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esther.queiroz\Desktop\PainelProdutividade\"/>
    </mc:Choice>
  </mc:AlternateContent>
  <xr:revisionPtr revIDLastSave="0" documentId="13_ncr:1_{84567CCF-F95E-401D-97EA-BAF29EC18B0F}" xr6:coauthVersionLast="47" xr6:coauthVersionMax="47" xr10:uidLastSave="{00000000-0000-0000-0000-000000000000}"/>
  <bookViews>
    <workbookView xWindow="-120" yWindow="-120" windowWidth="21840" windowHeight="13140" xr2:uid="{00000000-000D-0000-FFFF-FFFF00000000}"/>
  </bookViews>
  <sheets>
    <sheet name="Produtividade" sheetId="1" r:id="rId1"/>
    <sheet name="Aliases" sheetId="2" r:id="rId2"/>
  </sheets>
  <definedNames>
    <definedName name="_xlnm._FilterDatabase" localSheetId="0" hidden="1">Produtividade!$A$1:$O$4660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615" i="1" l="1"/>
  <c r="I4615" i="1"/>
  <c r="K4615" i="1" s="1"/>
  <c r="L4615" i="1" s="1"/>
  <c r="J4614" i="1"/>
  <c r="I4614" i="1"/>
  <c r="K4614" i="1" s="1"/>
  <c r="L4614" i="1" s="1"/>
  <c r="J4613" i="1"/>
  <c r="I4613" i="1"/>
  <c r="K4613" i="1" s="1"/>
  <c r="L4613" i="1" s="1"/>
  <c r="J4612" i="1"/>
  <c r="I4612" i="1"/>
  <c r="K4612" i="1" s="1"/>
  <c r="L4612" i="1" s="1"/>
  <c r="J4611" i="1"/>
  <c r="I4611" i="1"/>
  <c r="K4611" i="1" s="1"/>
  <c r="L4611" i="1" s="1"/>
  <c r="J4610" i="1"/>
  <c r="I4610" i="1"/>
  <c r="K4610" i="1" s="1"/>
  <c r="L4610" i="1" s="1"/>
  <c r="J4609" i="1"/>
  <c r="I4609" i="1"/>
  <c r="K4609" i="1" s="1"/>
  <c r="L4609" i="1" s="1"/>
  <c r="J4608" i="1"/>
  <c r="I4608" i="1"/>
  <c r="K4608" i="1" s="1"/>
  <c r="L4608" i="1" s="1"/>
  <c r="J4607" i="1"/>
  <c r="I4607" i="1"/>
  <c r="K4607" i="1" s="1"/>
  <c r="L4607" i="1" s="1"/>
  <c r="J4606" i="1"/>
  <c r="I4606" i="1"/>
  <c r="K4606" i="1" s="1"/>
  <c r="L4606" i="1" s="1"/>
  <c r="J4605" i="1"/>
  <c r="I4605" i="1"/>
  <c r="K4605" i="1" s="1"/>
  <c r="L4605" i="1" s="1"/>
  <c r="J4604" i="1"/>
  <c r="I4604" i="1"/>
  <c r="K4604" i="1" s="1"/>
  <c r="L4604" i="1" s="1"/>
  <c r="J4603" i="1"/>
  <c r="I4603" i="1"/>
  <c r="K4603" i="1" s="1"/>
  <c r="L4603" i="1" s="1"/>
  <c r="J4602" i="1"/>
  <c r="I4602" i="1"/>
  <c r="K4602" i="1" s="1"/>
  <c r="L4602" i="1" s="1"/>
  <c r="J4601" i="1"/>
  <c r="I4601" i="1"/>
  <c r="K4601" i="1" s="1"/>
  <c r="L4601" i="1" s="1"/>
  <c r="J4600" i="1"/>
  <c r="I4600" i="1"/>
  <c r="K4600" i="1" s="1"/>
  <c r="L4600" i="1" s="1"/>
  <c r="J4599" i="1"/>
  <c r="I4599" i="1"/>
  <c r="K4599" i="1" s="1"/>
  <c r="L4599" i="1" s="1"/>
  <c r="J4598" i="1"/>
  <c r="I4598" i="1"/>
  <c r="K4598" i="1" s="1"/>
  <c r="L4598" i="1" s="1"/>
  <c r="J4597" i="1"/>
  <c r="I4597" i="1"/>
  <c r="K4597" i="1" s="1"/>
  <c r="L4597" i="1" s="1"/>
  <c r="J4596" i="1"/>
  <c r="I4596" i="1"/>
  <c r="K4596" i="1" s="1"/>
  <c r="L4596" i="1" s="1"/>
  <c r="J4595" i="1"/>
  <c r="I4595" i="1"/>
  <c r="K4595" i="1" s="1"/>
  <c r="L4595" i="1" s="1"/>
  <c r="J4594" i="1"/>
  <c r="I4594" i="1"/>
  <c r="K4594" i="1" s="1"/>
  <c r="L4594" i="1" s="1"/>
  <c r="J4593" i="1"/>
  <c r="I4593" i="1"/>
  <c r="K4593" i="1" s="1"/>
  <c r="L4593" i="1" s="1"/>
  <c r="J4592" i="1"/>
  <c r="I4592" i="1"/>
  <c r="K4592" i="1" s="1"/>
  <c r="L4592" i="1" s="1"/>
  <c r="J4591" i="1"/>
  <c r="I4591" i="1"/>
  <c r="K4591" i="1" s="1"/>
  <c r="L4591" i="1" s="1"/>
  <c r="J4590" i="1"/>
  <c r="I4590" i="1"/>
  <c r="K4590" i="1" s="1"/>
  <c r="L4590" i="1" s="1"/>
  <c r="J4589" i="1"/>
  <c r="I4589" i="1"/>
  <c r="K4589" i="1" s="1"/>
  <c r="L4589" i="1" s="1"/>
  <c r="J4588" i="1"/>
  <c r="I4588" i="1"/>
  <c r="K4588" i="1" s="1"/>
  <c r="L4588" i="1" s="1"/>
  <c r="J4587" i="1"/>
  <c r="I4587" i="1"/>
  <c r="K4587" i="1" s="1"/>
  <c r="L4587" i="1" s="1"/>
  <c r="J4586" i="1"/>
  <c r="I4586" i="1"/>
  <c r="K4586" i="1" s="1"/>
  <c r="L4586" i="1" s="1"/>
  <c r="J4585" i="1"/>
  <c r="I4585" i="1"/>
  <c r="K4585" i="1" s="1"/>
  <c r="L4585" i="1" s="1"/>
  <c r="J4584" i="1"/>
  <c r="I4584" i="1"/>
  <c r="K4584" i="1" s="1"/>
  <c r="L4584" i="1" s="1"/>
  <c r="J4583" i="1"/>
  <c r="I4583" i="1"/>
  <c r="K4583" i="1" s="1"/>
  <c r="L4583" i="1" s="1"/>
  <c r="J4569" i="1"/>
  <c r="I4569" i="1"/>
  <c r="K4569" i="1" s="1"/>
  <c r="L4569" i="1" s="1"/>
  <c r="J4513" i="1"/>
  <c r="I4513" i="1"/>
  <c r="K4513" i="1" s="1"/>
  <c r="L4513" i="1" s="1"/>
  <c r="J440" i="1"/>
  <c r="I440" i="1"/>
  <c r="K440" i="1" s="1"/>
  <c r="L440" i="1" s="1"/>
  <c r="J405" i="1"/>
  <c r="I405" i="1"/>
  <c r="K405" i="1" s="1"/>
  <c r="L405" i="1" s="1"/>
  <c r="J372" i="1"/>
  <c r="I372" i="1"/>
  <c r="K372" i="1" s="1"/>
  <c r="L372" i="1" s="1"/>
  <c r="J338" i="1"/>
  <c r="I338" i="1"/>
  <c r="K338" i="1" s="1"/>
  <c r="L338" i="1" s="1"/>
  <c r="J304" i="1"/>
  <c r="I304" i="1"/>
  <c r="K304" i="1" s="1"/>
  <c r="L304" i="1" s="1"/>
  <c r="J270" i="1"/>
  <c r="I270" i="1"/>
  <c r="K270" i="1" s="1"/>
  <c r="L270" i="1" s="1"/>
  <c r="J4512" i="1"/>
  <c r="I4512" i="1"/>
  <c r="K4512" i="1" s="1"/>
  <c r="L4512" i="1" s="1"/>
  <c r="J439" i="1"/>
  <c r="I439" i="1"/>
  <c r="K439" i="1" s="1"/>
  <c r="L439" i="1" s="1"/>
  <c r="J404" i="1"/>
  <c r="I404" i="1"/>
  <c r="K404" i="1" s="1"/>
  <c r="L404" i="1" s="1"/>
  <c r="J4482" i="1"/>
  <c r="I4482" i="1"/>
  <c r="K4482" i="1" s="1"/>
  <c r="L4482" i="1" s="1"/>
  <c r="J371" i="1"/>
  <c r="I371" i="1"/>
  <c r="K371" i="1" s="1"/>
  <c r="L371" i="1" s="1"/>
  <c r="J337" i="1"/>
  <c r="I337" i="1"/>
  <c r="K337" i="1" s="1"/>
  <c r="L337" i="1" s="1"/>
  <c r="J303" i="1"/>
  <c r="I303" i="1"/>
  <c r="K303" i="1" s="1"/>
  <c r="L303" i="1" s="1"/>
  <c r="J269" i="1"/>
  <c r="I269" i="1"/>
  <c r="K269" i="1" s="1"/>
  <c r="L269" i="1" s="1"/>
  <c r="J4511" i="1"/>
  <c r="I4511" i="1"/>
  <c r="K4511" i="1" s="1"/>
  <c r="L4511" i="1" s="1"/>
  <c r="J438" i="1"/>
  <c r="I438" i="1"/>
  <c r="K438" i="1" s="1"/>
  <c r="L438" i="1" s="1"/>
  <c r="J403" i="1"/>
  <c r="I403" i="1"/>
  <c r="K403" i="1" s="1"/>
  <c r="L403" i="1" s="1"/>
  <c r="J370" i="1"/>
  <c r="I370" i="1"/>
  <c r="K370" i="1" s="1"/>
  <c r="L370" i="1" s="1"/>
  <c r="J336" i="1"/>
  <c r="I336" i="1"/>
  <c r="K336" i="1" s="1"/>
  <c r="L336" i="1" s="1"/>
  <c r="J302" i="1"/>
  <c r="I302" i="1"/>
  <c r="K302" i="1" s="1"/>
  <c r="L302" i="1" s="1"/>
  <c r="J268" i="1"/>
  <c r="I268" i="1"/>
  <c r="K268" i="1" s="1"/>
  <c r="L268" i="1" s="1"/>
  <c r="J4510" i="1"/>
  <c r="I4510" i="1"/>
  <c r="K4510" i="1" s="1"/>
  <c r="L4510" i="1" s="1"/>
  <c r="J4449" i="1"/>
  <c r="I4449" i="1"/>
  <c r="K4449" i="1" s="1"/>
  <c r="L4449" i="1" s="1"/>
  <c r="J437" i="1"/>
  <c r="I437" i="1"/>
  <c r="K437" i="1" s="1"/>
  <c r="L437" i="1" s="1"/>
  <c r="J402" i="1"/>
  <c r="I402" i="1"/>
  <c r="K402" i="1" s="1"/>
  <c r="L402" i="1" s="1"/>
  <c r="J368" i="1"/>
  <c r="I368" i="1"/>
  <c r="K368" i="1" s="1"/>
  <c r="L368" i="1" s="1"/>
  <c r="J4416" i="1"/>
  <c r="I4416" i="1"/>
  <c r="K4416" i="1" s="1"/>
  <c r="L4416" i="1" s="1"/>
  <c r="J4383" i="1"/>
  <c r="I4383" i="1"/>
  <c r="K4383" i="1" s="1"/>
  <c r="L4383" i="1" s="1"/>
  <c r="J4350" i="1"/>
  <c r="I4350" i="1"/>
  <c r="K4350" i="1" s="1"/>
  <c r="L4350" i="1" s="1"/>
  <c r="J3431" i="1"/>
  <c r="I3431" i="1"/>
  <c r="K3431" i="1" s="1"/>
  <c r="L3431" i="1" s="1"/>
  <c r="J743" i="1"/>
  <c r="I743" i="1"/>
  <c r="K743" i="1" s="1"/>
  <c r="L743" i="1" s="1"/>
  <c r="J648" i="1"/>
  <c r="I648" i="1"/>
  <c r="K648" i="1" s="1"/>
  <c r="L648" i="1" s="1"/>
  <c r="J613" i="1"/>
  <c r="I613" i="1"/>
  <c r="K613" i="1" s="1"/>
  <c r="L613" i="1" s="1"/>
  <c r="J578" i="1"/>
  <c r="I578" i="1"/>
  <c r="K578" i="1" s="1"/>
  <c r="L578" i="1" s="1"/>
  <c r="J543" i="1"/>
  <c r="I543" i="1"/>
  <c r="K543" i="1" s="1"/>
  <c r="L543" i="1" s="1"/>
  <c r="J510" i="1"/>
  <c r="I510" i="1"/>
  <c r="K510" i="1" s="1"/>
  <c r="L510" i="1" s="1"/>
  <c r="J474" i="1"/>
  <c r="I474" i="1"/>
  <c r="K474" i="1" s="1"/>
  <c r="L474" i="1" s="1"/>
  <c r="J335" i="1"/>
  <c r="I335" i="1"/>
  <c r="K335" i="1" s="1"/>
  <c r="L335" i="1" s="1"/>
  <c r="J301" i="1"/>
  <c r="I301" i="1"/>
  <c r="K301" i="1" s="1"/>
  <c r="L301" i="1" s="1"/>
  <c r="J267" i="1"/>
  <c r="I267" i="1"/>
  <c r="K267" i="1" s="1"/>
  <c r="L267" i="1" s="1"/>
  <c r="J4509" i="1"/>
  <c r="I4509" i="1"/>
  <c r="K4509" i="1" s="1"/>
  <c r="L4509" i="1" s="1"/>
  <c r="J436" i="1"/>
  <c r="I436" i="1"/>
  <c r="K436" i="1" s="1"/>
  <c r="L436" i="1" s="1"/>
  <c r="J401" i="1"/>
  <c r="I401" i="1"/>
  <c r="K401" i="1" s="1"/>
  <c r="L401" i="1" s="1"/>
  <c r="J4481" i="1"/>
  <c r="I4481" i="1"/>
  <c r="K4481" i="1" s="1"/>
  <c r="L4481" i="1" s="1"/>
  <c r="J4480" i="1"/>
  <c r="I4480" i="1"/>
  <c r="K4480" i="1" s="1"/>
  <c r="L4480" i="1" s="1"/>
  <c r="J4479" i="1"/>
  <c r="I4479" i="1"/>
  <c r="K4479" i="1" s="1"/>
  <c r="L4479" i="1" s="1"/>
  <c r="J4478" i="1"/>
  <c r="I4478" i="1"/>
  <c r="K4478" i="1" s="1"/>
  <c r="L4478" i="1" s="1"/>
  <c r="J4477" i="1"/>
  <c r="I4477" i="1"/>
  <c r="K4477" i="1" s="1"/>
  <c r="L4477" i="1" s="1"/>
  <c r="J4476" i="1"/>
  <c r="I4476" i="1"/>
  <c r="K4476" i="1" s="1"/>
  <c r="L4476" i="1" s="1"/>
  <c r="J4448" i="1"/>
  <c r="I4448" i="1"/>
  <c r="K4448" i="1" s="1"/>
  <c r="L4448" i="1" s="1"/>
  <c r="J4447" i="1"/>
  <c r="I4447" i="1"/>
  <c r="K4447" i="1" s="1"/>
  <c r="L4447" i="1" s="1"/>
  <c r="J4446" i="1"/>
  <c r="I4446" i="1"/>
  <c r="K4446" i="1" s="1"/>
  <c r="L4446" i="1" s="1"/>
  <c r="J4445" i="1"/>
  <c r="I4445" i="1"/>
  <c r="K4445" i="1" s="1"/>
  <c r="L4445" i="1" s="1"/>
  <c r="J4444" i="1"/>
  <c r="I4444" i="1"/>
  <c r="K4444" i="1" s="1"/>
  <c r="L4444" i="1" s="1"/>
  <c r="J4443" i="1"/>
  <c r="I4443" i="1"/>
  <c r="K4443" i="1" s="1"/>
  <c r="L4443" i="1" s="1"/>
  <c r="J4415" i="1"/>
  <c r="I4415" i="1"/>
  <c r="K4415" i="1" s="1"/>
  <c r="L4415" i="1" s="1"/>
  <c r="J4414" i="1"/>
  <c r="I4414" i="1"/>
  <c r="K4414" i="1" s="1"/>
  <c r="L4414" i="1" s="1"/>
  <c r="J4413" i="1"/>
  <c r="I4413" i="1"/>
  <c r="K4413" i="1" s="1"/>
  <c r="L4413" i="1" s="1"/>
  <c r="J4412" i="1"/>
  <c r="I4412" i="1"/>
  <c r="K4412" i="1" s="1"/>
  <c r="L4412" i="1" s="1"/>
  <c r="J4411" i="1"/>
  <c r="I4411" i="1"/>
  <c r="K4411" i="1" s="1"/>
  <c r="L4411" i="1" s="1"/>
  <c r="J4410" i="1"/>
  <c r="I4410" i="1"/>
  <c r="K4410" i="1" s="1"/>
  <c r="L4410" i="1" s="1"/>
  <c r="J4382" i="1"/>
  <c r="I4382" i="1"/>
  <c r="K4382" i="1" s="1"/>
  <c r="L4382" i="1" s="1"/>
  <c r="J4381" i="1"/>
  <c r="I4381" i="1"/>
  <c r="K4381" i="1" s="1"/>
  <c r="L4381" i="1" s="1"/>
  <c r="J4380" i="1"/>
  <c r="I4380" i="1"/>
  <c r="K4380" i="1" s="1"/>
  <c r="L4380" i="1" s="1"/>
  <c r="J4379" i="1"/>
  <c r="I4379" i="1"/>
  <c r="K4379" i="1" s="1"/>
  <c r="L4379" i="1" s="1"/>
  <c r="J4378" i="1"/>
  <c r="I4378" i="1"/>
  <c r="K4378" i="1" s="1"/>
  <c r="L4378" i="1" s="1"/>
  <c r="J4377" i="1"/>
  <c r="I4377" i="1"/>
  <c r="K4377" i="1" s="1"/>
  <c r="L4377" i="1" s="1"/>
  <c r="J4349" i="1"/>
  <c r="I4349" i="1"/>
  <c r="K4349" i="1" s="1"/>
  <c r="L4349" i="1" s="1"/>
  <c r="J4348" i="1"/>
  <c r="I4348" i="1"/>
  <c r="K4348" i="1" s="1"/>
  <c r="L4348" i="1" s="1"/>
  <c r="J4347" i="1"/>
  <c r="I4347" i="1"/>
  <c r="K4347" i="1" s="1"/>
  <c r="L4347" i="1" s="1"/>
  <c r="J4346" i="1"/>
  <c r="I4346" i="1"/>
  <c r="K4346" i="1" s="1"/>
  <c r="L4346" i="1" s="1"/>
  <c r="J4345" i="1"/>
  <c r="I4345" i="1"/>
  <c r="K4345" i="1" s="1"/>
  <c r="L4345" i="1" s="1"/>
  <c r="J4344" i="1"/>
  <c r="I4344" i="1"/>
  <c r="K4344" i="1" s="1"/>
  <c r="L4344" i="1" s="1"/>
  <c r="J3387" i="1"/>
  <c r="I3387" i="1"/>
  <c r="K3387" i="1" s="1"/>
  <c r="L3387" i="1" s="1"/>
  <c r="J3343" i="1"/>
  <c r="I3343" i="1"/>
  <c r="K3343" i="1" s="1"/>
  <c r="L3343" i="1" s="1"/>
  <c r="J3299" i="1"/>
  <c r="I3299" i="1"/>
  <c r="K3299" i="1" s="1"/>
  <c r="L3299" i="1" s="1"/>
  <c r="J773" i="1"/>
  <c r="I773" i="1"/>
  <c r="K773" i="1" s="1"/>
  <c r="L773" i="1" s="1"/>
  <c r="J772" i="1"/>
  <c r="I772" i="1"/>
  <c r="K772" i="1" s="1"/>
  <c r="L772" i="1" s="1"/>
  <c r="J771" i="1"/>
  <c r="I771" i="1"/>
  <c r="K771" i="1" s="1"/>
  <c r="L771" i="1" s="1"/>
  <c r="J742" i="1"/>
  <c r="I742" i="1"/>
  <c r="K742" i="1" s="1"/>
  <c r="L742" i="1" s="1"/>
  <c r="J741" i="1"/>
  <c r="I741" i="1"/>
  <c r="K741" i="1" s="1"/>
  <c r="L741" i="1" s="1"/>
  <c r="J740" i="1"/>
  <c r="I740" i="1"/>
  <c r="K740" i="1" s="1"/>
  <c r="L740" i="1" s="1"/>
  <c r="J739" i="1"/>
  <c r="I739" i="1"/>
  <c r="K739" i="1" s="1"/>
  <c r="L739" i="1" s="1"/>
  <c r="J738" i="1"/>
  <c r="I738" i="1"/>
  <c r="K738" i="1" s="1"/>
  <c r="L738" i="1" s="1"/>
  <c r="J737" i="1"/>
  <c r="I737" i="1"/>
  <c r="K737" i="1" s="1"/>
  <c r="L737" i="1" s="1"/>
  <c r="J647" i="1"/>
  <c r="I647" i="1"/>
  <c r="K647" i="1" s="1"/>
  <c r="L647" i="1" s="1"/>
  <c r="J646" i="1"/>
  <c r="I646" i="1"/>
  <c r="K646" i="1" s="1"/>
  <c r="L646" i="1" s="1"/>
  <c r="J645" i="1"/>
  <c r="I645" i="1"/>
  <c r="K645" i="1" s="1"/>
  <c r="L645" i="1" s="1"/>
  <c r="J644" i="1"/>
  <c r="I644" i="1"/>
  <c r="K644" i="1" s="1"/>
  <c r="L644" i="1" s="1"/>
  <c r="J643" i="1"/>
  <c r="I643" i="1"/>
  <c r="K643" i="1" s="1"/>
  <c r="L643" i="1" s="1"/>
  <c r="J642" i="1"/>
  <c r="I642" i="1"/>
  <c r="K642" i="1" s="1"/>
  <c r="L642" i="1" s="1"/>
  <c r="J612" i="1"/>
  <c r="I612" i="1"/>
  <c r="K612" i="1" s="1"/>
  <c r="L612" i="1" s="1"/>
  <c r="J611" i="1"/>
  <c r="I611" i="1"/>
  <c r="K611" i="1" s="1"/>
  <c r="L611" i="1" s="1"/>
  <c r="J610" i="1"/>
  <c r="I610" i="1"/>
  <c r="K610" i="1" s="1"/>
  <c r="L610" i="1" s="1"/>
  <c r="J609" i="1"/>
  <c r="I609" i="1"/>
  <c r="K609" i="1" s="1"/>
  <c r="L609" i="1" s="1"/>
  <c r="J608" i="1"/>
  <c r="I608" i="1"/>
  <c r="K608" i="1" s="1"/>
  <c r="L608" i="1" s="1"/>
  <c r="J607" i="1"/>
  <c r="I607" i="1"/>
  <c r="K607" i="1" s="1"/>
  <c r="L607" i="1" s="1"/>
  <c r="J577" i="1"/>
  <c r="I577" i="1"/>
  <c r="K577" i="1" s="1"/>
  <c r="L577" i="1" s="1"/>
  <c r="J576" i="1"/>
  <c r="I576" i="1"/>
  <c r="K576" i="1" s="1"/>
  <c r="L576" i="1" s="1"/>
  <c r="J575" i="1"/>
  <c r="I575" i="1"/>
  <c r="K575" i="1" s="1"/>
  <c r="L575" i="1" s="1"/>
  <c r="J574" i="1"/>
  <c r="I574" i="1"/>
  <c r="K574" i="1" s="1"/>
  <c r="L574" i="1" s="1"/>
  <c r="J573" i="1"/>
  <c r="I573" i="1"/>
  <c r="K573" i="1" s="1"/>
  <c r="L573" i="1" s="1"/>
  <c r="J572" i="1"/>
  <c r="I572" i="1"/>
  <c r="K572" i="1" s="1"/>
  <c r="L572" i="1" s="1"/>
  <c r="J542" i="1"/>
  <c r="I542" i="1"/>
  <c r="K542" i="1" s="1"/>
  <c r="L542" i="1" s="1"/>
  <c r="J541" i="1"/>
  <c r="I541" i="1"/>
  <c r="K541" i="1" s="1"/>
  <c r="L541" i="1" s="1"/>
  <c r="J540" i="1"/>
  <c r="I540" i="1"/>
  <c r="K540" i="1" s="1"/>
  <c r="L540" i="1" s="1"/>
  <c r="J539" i="1"/>
  <c r="I539" i="1"/>
  <c r="K539" i="1" s="1"/>
  <c r="L539" i="1" s="1"/>
  <c r="J538" i="1"/>
  <c r="I538" i="1"/>
  <c r="K538" i="1" s="1"/>
  <c r="L538" i="1" s="1"/>
  <c r="J537" i="1"/>
  <c r="I537" i="1"/>
  <c r="K537" i="1" s="1"/>
  <c r="L537" i="1" s="1"/>
  <c r="J509" i="1"/>
  <c r="I509" i="1"/>
  <c r="K509" i="1" s="1"/>
  <c r="L509" i="1" s="1"/>
  <c r="J508" i="1"/>
  <c r="I508" i="1"/>
  <c r="K508" i="1" s="1"/>
  <c r="L508" i="1" s="1"/>
  <c r="J507" i="1"/>
  <c r="I507" i="1"/>
  <c r="K507" i="1" s="1"/>
  <c r="L507" i="1" s="1"/>
  <c r="J506" i="1"/>
  <c r="I506" i="1"/>
  <c r="K506" i="1" s="1"/>
  <c r="L506" i="1" s="1"/>
  <c r="J505" i="1"/>
  <c r="I505" i="1"/>
  <c r="K505" i="1" s="1"/>
  <c r="L505" i="1" s="1"/>
  <c r="J502" i="1"/>
  <c r="I502" i="1"/>
  <c r="K502" i="1" s="1"/>
  <c r="L502" i="1" s="1"/>
  <c r="J473" i="1"/>
  <c r="I473" i="1"/>
  <c r="K473" i="1" s="1"/>
  <c r="L473" i="1" s="1"/>
  <c r="J472" i="1"/>
  <c r="I472" i="1"/>
  <c r="K472" i="1" s="1"/>
  <c r="L472" i="1" s="1"/>
  <c r="J471" i="1"/>
  <c r="I471" i="1"/>
  <c r="K471" i="1" s="1"/>
  <c r="L471" i="1" s="1"/>
  <c r="J470" i="1"/>
  <c r="I470" i="1"/>
  <c r="K470" i="1" s="1"/>
  <c r="L470" i="1" s="1"/>
  <c r="J469" i="1"/>
  <c r="I469" i="1"/>
  <c r="K469" i="1" s="1"/>
  <c r="L469" i="1" s="1"/>
  <c r="J468" i="1"/>
  <c r="I468" i="1"/>
  <c r="K468" i="1" s="1"/>
  <c r="L468" i="1" s="1"/>
  <c r="J367" i="1"/>
  <c r="I367" i="1"/>
  <c r="K367" i="1" s="1"/>
  <c r="L367" i="1" s="1"/>
  <c r="J334" i="1"/>
  <c r="I334" i="1"/>
  <c r="K334" i="1" s="1"/>
  <c r="L334" i="1" s="1"/>
  <c r="J300" i="1"/>
  <c r="I300" i="1"/>
  <c r="K300" i="1" s="1"/>
  <c r="L300" i="1" s="1"/>
  <c r="J266" i="1"/>
  <c r="I266" i="1"/>
  <c r="K266" i="1" s="1"/>
  <c r="L266" i="1" s="1"/>
  <c r="J4508" i="1"/>
  <c r="I4508" i="1"/>
  <c r="K4508" i="1" s="1"/>
  <c r="L4508" i="1" s="1"/>
  <c r="J435" i="1"/>
  <c r="I435" i="1"/>
  <c r="K435" i="1" s="1"/>
  <c r="L435" i="1" s="1"/>
  <c r="J400" i="1"/>
  <c r="I400" i="1"/>
  <c r="K400" i="1" s="1"/>
  <c r="L400" i="1" s="1"/>
  <c r="J366" i="1"/>
  <c r="I366" i="1"/>
  <c r="K366" i="1" s="1"/>
  <c r="L366" i="1" s="1"/>
  <c r="J333" i="1"/>
  <c r="I333" i="1"/>
  <c r="K333" i="1" s="1"/>
  <c r="L333" i="1" s="1"/>
  <c r="J299" i="1"/>
  <c r="I299" i="1"/>
  <c r="K299" i="1" s="1"/>
  <c r="L299" i="1" s="1"/>
  <c r="J265" i="1"/>
  <c r="I265" i="1"/>
  <c r="K265" i="1" s="1"/>
  <c r="L265" i="1" s="1"/>
  <c r="J4570" i="1"/>
  <c r="I4570" i="1"/>
  <c r="K4570" i="1" s="1"/>
  <c r="L4570" i="1" s="1"/>
  <c r="J434" i="1"/>
  <c r="I434" i="1"/>
  <c r="K434" i="1" s="1"/>
  <c r="L434" i="1" s="1"/>
  <c r="J399" i="1"/>
  <c r="I399" i="1"/>
  <c r="K399" i="1" s="1"/>
  <c r="L399" i="1" s="1"/>
  <c r="J365" i="1"/>
  <c r="I365" i="1"/>
  <c r="K365" i="1" s="1"/>
  <c r="L365" i="1" s="1"/>
  <c r="J332" i="1"/>
  <c r="I332" i="1"/>
  <c r="K332" i="1" s="1"/>
  <c r="L332" i="1" s="1"/>
  <c r="J298" i="1"/>
  <c r="I298" i="1"/>
  <c r="K298" i="1" s="1"/>
  <c r="L298" i="1" s="1"/>
  <c r="J264" i="1"/>
  <c r="I264" i="1"/>
  <c r="K264" i="1" s="1"/>
  <c r="L264" i="1" s="1"/>
  <c r="J4507" i="1"/>
  <c r="I4507" i="1"/>
  <c r="K4507" i="1" s="1"/>
  <c r="L4507" i="1" s="1"/>
  <c r="J433" i="1"/>
  <c r="I433" i="1"/>
  <c r="K433" i="1" s="1"/>
  <c r="L433" i="1" s="1"/>
  <c r="J398" i="1"/>
  <c r="I398" i="1"/>
  <c r="K398" i="1" s="1"/>
  <c r="L398" i="1" s="1"/>
  <c r="J364" i="1"/>
  <c r="I364" i="1"/>
  <c r="K364" i="1" s="1"/>
  <c r="L364" i="1" s="1"/>
  <c r="J331" i="1"/>
  <c r="I331" i="1"/>
  <c r="K331" i="1" s="1"/>
  <c r="L331" i="1" s="1"/>
  <c r="J297" i="1"/>
  <c r="I297" i="1"/>
  <c r="K297" i="1" s="1"/>
  <c r="L297" i="1" s="1"/>
  <c r="J263" i="1"/>
  <c r="I263" i="1"/>
  <c r="K263" i="1" s="1"/>
  <c r="L263" i="1" s="1"/>
  <c r="J4506" i="1"/>
  <c r="I4506" i="1"/>
  <c r="K4506" i="1" s="1"/>
  <c r="L4506" i="1" s="1"/>
  <c r="J432" i="1"/>
  <c r="I432" i="1"/>
  <c r="K432" i="1" s="1"/>
  <c r="L432" i="1" s="1"/>
  <c r="J397" i="1"/>
  <c r="I397" i="1"/>
  <c r="K397" i="1" s="1"/>
  <c r="L397" i="1" s="1"/>
  <c r="J363" i="1"/>
  <c r="I363" i="1"/>
  <c r="K363" i="1" s="1"/>
  <c r="L363" i="1" s="1"/>
  <c r="J330" i="1"/>
  <c r="I330" i="1"/>
  <c r="K330" i="1" s="1"/>
  <c r="L330" i="1" s="1"/>
  <c r="J296" i="1"/>
  <c r="I296" i="1"/>
  <c r="K296" i="1" s="1"/>
  <c r="L296" i="1" s="1"/>
  <c r="J262" i="1"/>
  <c r="I262" i="1"/>
  <c r="K262" i="1" s="1"/>
  <c r="L262" i="1" s="1"/>
  <c r="J4505" i="1"/>
  <c r="I4505" i="1"/>
  <c r="K4505" i="1" s="1"/>
  <c r="L4505" i="1" s="1"/>
  <c r="J431" i="1"/>
  <c r="I431" i="1"/>
  <c r="K431" i="1" s="1"/>
  <c r="L431" i="1" s="1"/>
  <c r="J396" i="1"/>
  <c r="I396" i="1"/>
  <c r="K396" i="1" s="1"/>
  <c r="L396" i="1" s="1"/>
  <c r="J362" i="1"/>
  <c r="I362" i="1"/>
  <c r="K362" i="1" s="1"/>
  <c r="L362" i="1" s="1"/>
  <c r="J329" i="1"/>
  <c r="I329" i="1"/>
  <c r="K329" i="1" s="1"/>
  <c r="L329" i="1" s="1"/>
  <c r="J295" i="1"/>
  <c r="I295" i="1"/>
  <c r="K295" i="1" s="1"/>
  <c r="L295" i="1" s="1"/>
  <c r="J261" i="1"/>
  <c r="I261" i="1"/>
  <c r="K261" i="1" s="1"/>
  <c r="L261" i="1" s="1"/>
  <c r="J4504" i="1"/>
  <c r="I4504" i="1"/>
  <c r="K4504" i="1" s="1"/>
  <c r="L4504" i="1" s="1"/>
  <c r="J429" i="1"/>
  <c r="I429" i="1"/>
  <c r="K429" i="1" s="1"/>
  <c r="L429" i="1" s="1"/>
  <c r="J395" i="1"/>
  <c r="I395" i="1"/>
  <c r="K395" i="1" s="1"/>
  <c r="L395" i="1" s="1"/>
  <c r="J361" i="1"/>
  <c r="I361" i="1"/>
  <c r="K361" i="1" s="1"/>
  <c r="L361" i="1" s="1"/>
  <c r="J328" i="1"/>
  <c r="I328" i="1"/>
  <c r="K328" i="1" s="1"/>
  <c r="L328" i="1" s="1"/>
  <c r="J294" i="1"/>
  <c r="I294" i="1"/>
  <c r="K294" i="1" s="1"/>
  <c r="L294" i="1" s="1"/>
  <c r="J260" i="1"/>
  <c r="I260" i="1"/>
  <c r="K260" i="1" s="1"/>
  <c r="L260" i="1" s="1"/>
  <c r="J4503" i="1"/>
  <c r="I4503" i="1"/>
  <c r="K4503" i="1" s="1"/>
  <c r="L4503" i="1" s="1"/>
  <c r="J428" i="1"/>
  <c r="I428" i="1"/>
  <c r="K428" i="1" s="1"/>
  <c r="L428" i="1" s="1"/>
  <c r="J394" i="1"/>
  <c r="I394" i="1"/>
  <c r="K394" i="1" s="1"/>
  <c r="L394" i="1" s="1"/>
  <c r="J360" i="1"/>
  <c r="I360" i="1"/>
  <c r="K360" i="1" s="1"/>
  <c r="L360" i="1" s="1"/>
  <c r="J327" i="1"/>
  <c r="I327" i="1"/>
  <c r="K327" i="1" s="1"/>
  <c r="L327" i="1" s="1"/>
  <c r="J293" i="1"/>
  <c r="I293" i="1"/>
  <c r="K293" i="1" s="1"/>
  <c r="L293" i="1" s="1"/>
  <c r="J259" i="1"/>
  <c r="I259" i="1"/>
  <c r="K259" i="1" s="1"/>
  <c r="L259" i="1" s="1"/>
  <c r="J4502" i="1"/>
  <c r="I4502" i="1"/>
  <c r="K4502" i="1" s="1"/>
  <c r="L4502" i="1" s="1"/>
  <c r="J427" i="1"/>
  <c r="I427" i="1"/>
  <c r="K427" i="1" s="1"/>
  <c r="L427" i="1" s="1"/>
  <c r="J393" i="1"/>
  <c r="I393" i="1"/>
  <c r="K393" i="1" s="1"/>
  <c r="L393" i="1" s="1"/>
  <c r="J359" i="1"/>
  <c r="I359" i="1"/>
  <c r="K359" i="1" s="1"/>
  <c r="L359" i="1" s="1"/>
  <c r="J326" i="1"/>
  <c r="I326" i="1"/>
  <c r="K326" i="1" s="1"/>
  <c r="L326" i="1" s="1"/>
  <c r="J292" i="1"/>
  <c r="I292" i="1"/>
  <c r="K292" i="1" s="1"/>
  <c r="L292" i="1" s="1"/>
  <c r="J258" i="1"/>
  <c r="I258" i="1"/>
  <c r="K258" i="1" s="1"/>
  <c r="L258" i="1" s="1"/>
  <c r="J4501" i="1"/>
  <c r="I4501" i="1"/>
  <c r="K4501" i="1" s="1"/>
  <c r="L4501" i="1" s="1"/>
  <c r="J426" i="1"/>
  <c r="I426" i="1"/>
  <c r="K426" i="1" s="1"/>
  <c r="L426" i="1" s="1"/>
  <c r="J4475" i="1"/>
  <c r="I4475" i="1"/>
  <c r="K4475" i="1" s="1"/>
  <c r="L4475" i="1" s="1"/>
  <c r="J4474" i="1"/>
  <c r="I4474" i="1"/>
  <c r="K4474" i="1" s="1"/>
  <c r="L4474" i="1" s="1"/>
  <c r="J4473" i="1"/>
  <c r="I4473" i="1"/>
  <c r="K4473" i="1" s="1"/>
  <c r="L4473" i="1" s="1"/>
  <c r="J4472" i="1"/>
  <c r="I4472" i="1"/>
  <c r="K4472" i="1" s="1"/>
  <c r="L4472" i="1" s="1"/>
  <c r="J4471" i="1"/>
  <c r="I4471" i="1"/>
  <c r="K4471" i="1" s="1"/>
  <c r="L4471" i="1" s="1"/>
  <c r="J4470" i="1"/>
  <c r="I4470" i="1"/>
  <c r="K4470" i="1" s="1"/>
  <c r="L4470" i="1" s="1"/>
  <c r="J4469" i="1"/>
  <c r="I4469" i="1"/>
  <c r="K4469" i="1" s="1"/>
  <c r="L4469" i="1" s="1"/>
  <c r="J4468" i="1"/>
  <c r="I4468" i="1"/>
  <c r="K4468" i="1" s="1"/>
  <c r="L4468" i="1" s="1"/>
  <c r="J4467" i="1"/>
  <c r="I4467" i="1"/>
  <c r="K4467" i="1" s="1"/>
  <c r="L4467" i="1" s="1"/>
  <c r="J4466" i="1"/>
  <c r="I4466" i="1"/>
  <c r="K4466" i="1" s="1"/>
  <c r="L4466" i="1" s="1"/>
  <c r="J4465" i="1"/>
  <c r="I4465" i="1"/>
  <c r="K4465" i="1" s="1"/>
  <c r="L4465" i="1" s="1"/>
  <c r="J4442" i="1"/>
  <c r="I4442" i="1"/>
  <c r="K4442" i="1" s="1"/>
  <c r="L4442" i="1" s="1"/>
  <c r="J4441" i="1"/>
  <c r="I4441" i="1"/>
  <c r="K4441" i="1" s="1"/>
  <c r="L4441" i="1" s="1"/>
  <c r="J4440" i="1"/>
  <c r="I4440" i="1"/>
  <c r="K4440" i="1" s="1"/>
  <c r="L4440" i="1" s="1"/>
  <c r="J4439" i="1"/>
  <c r="I4439" i="1"/>
  <c r="K4439" i="1" s="1"/>
  <c r="L4439" i="1" s="1"/>
  <c r="J4438" i="1"/>
  <c r="I4438" i="1"/>
  <c r="K4438" i="1" s="1"/>
  <c r="L4438" i="1" s="1"/>
  <c r="J4437" i="1"/>
  <c r="I4437" i="1"/>
  <c r="K4437" i="1" s="1"/>
  <c r="L4437" i="1" s="1"/>
  <c r="J4436" i="1"/>
  <c r="I4436" i="1"/>
  <c r="K4436" i="1" s="1"/>
  <c r="L4436" i="1" s="1"/>
  <c r="J4435" i="1"/>
  <c r="I4435" i="1"/>
  <c r="K4435" i="1" s="1"/>
  <c r="L4435" i="1" s="1"/>
  <c r="J4434" i="1"/>
  <c r="I4434" i="1"/>
  <c r="K4434" i="1" s="1"/>
  <c r="L4434" i="1" s="1"/>
  <c r="J4433" i="1"/>
  <c r="I4433" i="1"/>
  <c r="K4433" i="1" s="1"/>
  <c r="L4433" i="1" s="1"/>
  <c r="J4432" i="1"/>
  <c r="I4432" i="1"/>
  <c r="K4432" i="1" s="1"/>
  <c r="L4432" i="1" s="1"/>
  <c r="J4409" i="1"/>
  <c r="I4409" i="1"/>
  <c r="K4409" i="1" s="1"/>
  <c r="L4409" i="1" s="1"/>
  <c r="J4408" i="1"/>
  <c r="I4408" i="1"/>
  <c r="K4408" i="1" s="1"/>
  <c r="L4408" i="1" s="1"/>
  <c r="J4407" i="1"/>
  <c r="I4407" i="1"/>
  <c r="K4407" i="1" s="1"/>
  <c r="L4407" i="1" s="1"/>
  <c r="J4406" i="1"/>
  <c r="I4406" i="1"/>
  <c r="K4406" i="1" s="1"/>
  <c r="L4406" i="1" s="1"/>
  <c r="J4405" i="1"/>
  <c r="I4405" i="1"/>
  <c r="K4405" i="1" s="1"/>
  <c r="L4405" i="1" s="1"/>
  <c r="J4404" i="1"/>
  <c r="I4404" i="1"/>
  <c r="K4404" i="1" s="1"/>
  <c r="L4404" i="1" s="1"/>
  <c r="J4403" i="1"/>
  <c r="I4403" i="1"/>
  <c r="K4403" i="1" s="1"/>
  <c r="L4403" i="1" s="1"/>
  <c r="J4402" i="1"/>
  <c r="I4402" i="1"/>
  <c r="K4402" i="1" s="1"/>
  <c r="L4402" i="1" s="1"/>
  <c r="J4401" i="1"/>
  <c r="I4401" i="1"/>
  <c r="K4401" i="1" s="1"/>
  <c r="L4401" i="1" s="1"/>
  <c r="J4400" i="1"/>
  <c r="I4400" i="1"/>
  <c r="K4400" i="1" s="1"/>
  <c r="L4400" i="1" s="1"/>
  <c r="J4399" i="1"/>
  <c r="I4399" i="1"/>
  <c r="K4399" i="1" s="1"/>
  <c r="L4399" i="1" s="1"/>
  <c r="J4376" i="1"/>
  <c r="I4376" i="1"/>
  <c r="K4376" i="1" s="1"/>
  <c r="L4376" i="1" s="1"/>
  <c r="J4375" i="1"/>
  <c r="I4375" i="1"/>
  <c r="K4375" i="1" s="1"/>
  <c r="L4375" i="1" s="1"/>
  <c r="J4374" i="1"/>
  <c r="I4374" i="1"/>
  <c r="K4374" i="1" s="1"/>
  <c r="L4374" i="1" s="1"/>
  <c r="J4373" i="1"/>
  <c r="I4373" i="1"/>
  <c r="K4373" i="1" s="1"/>
  <c r="L4373" i="1" s="1"/>
  <c r="J4372" i="1"/>
  <c r="I4372" i="1"/>
  <c r="K4372" i="1" s="1"/>
  <c r="L4372" i="1" s="1"/>
  <c r="J4371" i="1"/>
  <c r="I4371" i="1"/>
  <c r="K4371" i="1" s="1"/>
  <c r="L4371" i="1" s="1"/>
  <c r="J4370" i="1"/>
  <c r="I4370" i="1"/>
  <c r="K4370" i="1" s="1"/>
  <c r="L4370" i="1" s="1"/>
  <c r="J4369" i="1"/>
  <c r="I4369" i="1"/>
  <c r="K4369" i="1" s="1"/>
  <c r="L4369" i="1" s="1"/>
  <c r="J4368" i="1"/>
  <c r="I4368" i="1"/>
  <c r="K4368" i="1" s="1"/>
  <c r="L4368" i="1" s="1"/>
  <c r="J4367" i="1"/>
  <c r="I4367" i="1"/>
  <c r="K4367" i="1" s="1"/>
  <c r="L4367" i="1" s="1"/>
  <c r="J4366" i="1"/>
  <c r="I4366" i="1"/>
  <c r="K4366" i="1" s="1"/>
  <c r="L4366" i="1" s="1"/>
  <c r="J4343" i="1"/>
  <c r="I4343" i="1"/>
  <c r="K4343" i="1" s="1"/>
  <c r="L4343" i="1" s="1"/>
  <c r="J4342" i="1"/>
  <c r="I4342" i="1"/>
  <c r="K4342" i="1" s="1"/>
  <c r="L4342" i="1" s="1"/>
  <c r="J4341" i="1"/>
  <c r="I4341" i="1"/>
  <c r="K4341" i="1" s="1"/>
  <c r="L4341" i="1" s="1"/>
  <c r="J4340" i="1"/>
  <c r="I4340" i="1"/>
  <c r="K4340" i="1" s="1"/>
  <c r="L4340" i="1" s="1"/>
  <c r="J4339" i="1"/>
  <c r="I4339" i="1"/>
  <c r="K4339" i="1" s="1"/>
  <c r="L4339" i="1" s="1"/>
  <c r="J4338" i="1"/>
  <c r="I4338" i="1"/>
  <c r="K4338" i="1" s="1"/>
  <c r="L4338" i="1" s="1"/>
  <c r="J4311" i="1"/>
  <c r="I4311" i="1"/>
  <c r="K4311" i="1" s="1"/>
  <c r="L4311" i="1" s="1"/>
  <c r="J4267" i="1"/>
  <c r="I4267" i="1"/>
  <c r="K4267" i="1" s="1"/>
  <c r="L4267" i="1" s="1"/>
  <c r="J4223" i="1"/>
  <c r="I4223" i="1"/>
  <c r="K4223" i="1" s="1"/>
  <c r="L4223" i="1" s="1"/>
  <c r="J4179" i="1"/>
  <c r="I4179" i="1"/>
  <c r="K4179" i="1" s="1"/>
  <c r="L4179" i="1" s="1"/>
  <c r="J4135" i="1"/>
  <c r="I4135" i="1"/>
  <c r="K4135" i="1" s="1"/>
  <c r="L4135" i="1" s="1"/>
  <c r="J770" i="1"/>
  <c r="I770" i="1"/>
  <c r="K770" i="1" s="1"/>
  <c r="L770" i="1" s="1"/>
  <c r="J769" i="1"/>
  <c r="I769" i="1"/>
  <c r="K769" i="1" s="1"/>
  <c r="L769" i="1" s="1"/>
  <c r="J768" i="1"/>
  <c r="I768" i="1"/>
  <c r="K768" i="1" s="1"/>
  <c r="L768" i="1" s="1"/>
  <c r="J767" i="1"/>
  <c r="I767" i="1"/>
  <c r="K767" i="1" s="1"/>
  <c r="L767" i="1" s="1"/>
  <c r="J766" i="1"/>
  <c r="I766" i="1"/>
  <c r="K766" i="1" s="1"/>
  <c r="L766" i="1" s="1"/>
  <c r="J765" i="1"/>
  <c r="I765" i="1"/>
  <c r="K765" i="1" s="1"/>
  <c r="L765" i="1" s="1"/>
  <c r="J764" i="1"/>
  <c r="I764" i="1"/>
  <c r="K764" i="1" s="1"/>
  <c r="L764" i="1" s="1"/>
  <c r="J763" i="1"/>
  <c r="I763" i="1"/>
  <c r="K763" i="1" s="1"/>
  <c r="L763" i="1" s="1"/>
  <c r="J762" i="1"/>
  <c r="I762" i="1"/>
  <c r="K762" i="1" s="1"/>
  <c r="L762" i="1" s="1"/>
  <c r="J761" i="1"/>
  <c r="I761" i="1"/>
  <c r="K761" i="1" s="1"/>
  <c r="L761" i="1" s="1"/>
  <c r="J760" i="1"/>
  <c r="I760" i="1"/>
  <c r="K760" i="1" s="1"/>
  <c r="L760" i="1" s="1"/>
  <c r="J736" i="1"/>
  <c r="I736" i="1"/>
  <c r="K736" i="1" s="1"/>
  <c r="L736" i="1" s="1"/>
  <c r="J735" i="1"/>
  <c r="I735" i="1"/>
  <c r="K735" i="1" s="1"/>
  <c r="L735" i="1" s="1"/>
  <c r="J734" i="1"/>
  <c r="I734" i="1"/>
  <c r="K734" i="1" s="1"/>
  <c r="L734" i="1" s="1"/>
  <c r="J733" i="1"/>
  <c r="I733" i="1"/>
  <c r="K733" i="1" s="1"/>
  <c r="L733" i="1" s="1"/>
  <c r="J732" i="1"/>
  <c r="I732" i="1"/>
  <c r="K732" i="1" s="1"/>
  <c r="L732" i="1" s="1"/>
  <c r="J731" i="1"/>
  <c r="I731" i="1"/>
  <c r="K731" i="1" s="1"/>
  <c r="L731" i="1" s="1"/>
  <c r="J730" i="1"/>
  <c r="I730" i="1"/>
  <c r="K730" i="1" s="1"/>
  <c r="L730" i="1" s="1"/>
  <c r="J729" i="1"/>
  <c r="I729" i="1"/>
  <c r="K729" i="1" s="1"/>
  <c r="L729" i="1" s="1"/>
  <c r="J664" i="1"/>
  <c r="I664" i="1"/>
  <c r="K664" i="1" s="1"/>
  <c r="L664" i="1" s="1"/>
  <c r="J663" i="1"/>
  <c r="I663" i="1"/>
  <c r="K663" i="1" s="1"/>
  <c r="L663" i="1" s="1"/>
  <c r="J662" i="1"/>
  <c r="I662" i="1"/>
  <c r="K662" i="1" s="1"/>
  <c r="L662" i="1" s="1"/>
  <c r="J641" i="1"/>
  <c r="I641" i="1"/>
  <c r="K641" i="1" s="1"/>
  <c r="L641" i="1" s="1"/>
  <c r="J640" i="1"/>
  <c r="I640" i="1"/>
  <c r="K640" i="1" s="1"/>
  <c r="L640" i="1" s="1"/>
  <c r="J639" i="1"/>
  <c r="I639" i="1"/>
  <c r="K639" i="1" s="1"/>
  <c r="L639" i="1" s="1"/>
  <c r="J636" i="1"/>
  <c r="I636" i="1"/>
  <c r="K636" i="1" s="1"/>
  <c r="L636" i="1" s="1"/>
  <c r="J635" i="1"/>
  <c r="I635" i="1"/>
  <c r="K635" i="1" s="1"/>
  <c r="L635" i="1" s="1"/>
  <c r="J634" i="1"/>
  <c r="I634" i="1"/>
  <c r="K634" i="1" s="1"/>
  <c r="L634" i="1" s="1"/>
  <c r="J633" i="1"/>
  <c r="I633" i="1"/>
  <c r="K633" i="1" s="1"/>
  <c r="L633" i="1" s="1"/>
  <c r="J632" i="1"/>
  <c r="I632" i="1"/>
  <c r="K632" i="1" s="1"/>
  <c r="L632" i="1" s="1"/>
  <c r="J631" i="1"/>
  <c r="I631" i="1"/>
  <c r="K631" i="1" s="1"/>
  <c r="L631" i="1" s="1"/>
  <c r="J630" i="1"/>
  <c r="I630" i="1"/>
  <c r="K630" i="1" s="1"/>
  <c r="L630" i="1" s="1"/>
  <c r="J629" i="1"/>
  <c r="I629" i="1"/>
  <c r="K629" i="1" s="1"/>
  <c r="L629" i="1" s="1"/>
  <c r="J606" i="1"/>
  <c r="I606" i="1"/>
  <c r="K606" i="1" s="1"/>
  <c r="L606" i="1" s="1"/>
  <c r="J605" i="1"/>
  <c r="I605" i="1"/>
  <c r="K605" i="1" s="1"/>
  <c r="L605" i="1" s="1"/>
  <c r="J604" i="1"/>
  <c r="I604" i="1"/>
  <c r="K604" i="1" s="1"/>
  <c r="L604" i="1" s="1"/>
  <c r="J603" i="1"/>
  <c r="I603" i="1"/>
  <c r="K603" i="1" s="1"/>
  <c r="L603" i="1" s="1"/>
  <c r="J602" i="1"/>
  <c r="I602" i="1"/>
  <c r="K602" i="1" s="1"/>
  <c r="L602" i="1" s="1"/>
  <c r="J601" i="1"/>
  <c r="I601" i="1"/>
  <c r="K601" i="1" s="1"/>
  <c r="L601" i="1" s="1"/>
  <c r="J600" i="1"/>
  <c r="I600" i="1"/>
  <c r="K600" i="1" s="1"/>
  <c r="L600" i="1" s="1"/>
  <c r="J599" i="1"/>
  <c r="I599" i="1"/>
  <c r="K599" i="1" s="1"/>
  <c r="L599" i="1" s="1"/>
  <c r="J598" i="1"/>
  <c r="I598" i="1"/>
  <c r="K598" i="1" s="1"/>
  <c r="L598" i="1" s="1"/>
  <c r="J597" i="1"/>
  <c r="I597" i="1"/>
  <c r="K597" i="1" s="1"/>
  <c r="L597" i="1" s="1"/>
  <c r="J596" i="1"/>
  <c r="I596" i="1"/>
  <c r="K596" i="1" s="1"/>
  <c r="L596" i="1" s="1"/>
  <c r="J571" i="1"/>
  <c r="I571" i="1"/>
  <c r="K571" i="1" s="1"/>
  <c r="L571" i="1" s="1"/>
  <c r="J570" i="1"/>
  <c r="I570" i="1"/>
  <c r="K570" i="1" s="1"/>
  <c r="L570" i="1" s="1"/>
  <c r="J569" i="1"/>
  <c r="I569" i="1"/>
  <c r="K569" i="1" s="1"/>
  <c r="L569" i="1" s="1"/>
  <c r="J568" i="1"/>
  <c r="I568" i="1"/>
  <c r="K568" i="1" s="1"/>
  <c r="L568" i="1" s="1"/>
  <c r="J567" i="1"/>
  <c r="I567" i="1"/>
  <c r="K567" i="1" s="1"/>
  <c r="L567" i="1" s="1"/>
  <c r="J566" i="1"/>
  <c r="I566" i="1"/>
  <c r="K566" i="1" s="1"/>
  <c r="L566" i="1" s="1"/>
  <c r="J565" i="1"/>
  <c r="I565" i="1"/>
  <c r="K565" i="1" s="1"/>
  <c r="L565" i="1" s="1"/>
  <c r="J564" i="1"/>
  <c r="I564" i="1"/>
  <c r="K564" i="1" s="1"/>
  <c r="L564" i="1" s="1"/>
  <c r="J563" i="1"/>
  <c r="I563" i="1"/>
  <c r="K563" i="1" s="1"/>
  <c r="L563" i="1" s="1"/>
  <c r="J562" i="1"/>
  <c r="I562" i="1"/>
  <c r="K562" i="1" s="1"/>
  <c r="L562" i="1" s="1"/>
  <c r="J561" i="1"/>
  <c r="I561" i="1"/>
  <c r="K561" i="1" s="1"/>
  <c r="L561" i="1" s="1"/>
  <c r="J536" i="1"/>
  <c r="I536" i="1"/>
  <c r="K536" i="1" s="1"/>
  <c r="L536" i="1" s="1"/>
  <c r="J535" i="1"/>
  <c r="I535" i="1"/>
  <c r="K535" i="1" s="1"/>
  <c r="L535" i="1" s="1"/>
  <c r="J534" i="1"/>
  <c r="I534" i="1"/>
  <c r="K534" i="1" s="1"/>
  <c r="L534" i="1" s="1"/>
  <c r="J533" i="1"/>
  <c r="I533" i="1"/>
  <c r="K533" i="1" s="1"/>
  <c r="L533" i="1" s="1"/>
  <c r="J532" i="1"/>
  <c r="I532" i="1"/>
  <c r="K532" i="1" s="1"/>
  <c r="L532" i="1" s="1"/>
  <c r="J531" i="1"/>
  <c r="I531" i="1"/>
  <c r="K531" i="1" s="1"/>
  <c r="L531" i="1" s="1"/>
  <c r="J530" i="1"/>
  <c r="I530" i="1"/>
  <c r="K530" i="1" s="1"/>
  <c r="L530" i="1" s="1"/>
  <c r="J529" i="1"/>
  <c r="I529" i="1"/>
  <c r="K529" i="1" s="1"/>
  <c r="L529" i="1" s="1"/>
  <c r="J528" i="1"/>
  <c r="I528" i="1"/>
  <c r="K528" i="1" s="1"/>
  <c r="L528" i="1" s="1"/>
  <c r="J527" i="1"/>
  <c r="I527" i="1"/>
  <c r="K527" i="1" s="1"/>
  <c r="L527" i="1" s="1"/>
  <c r="J526" i="1"/>
  <c r="I526" i="1"/>
  <c r="K526" i="1" s="1"/>
  <c r="L526" i="1" s="1"/>
  <c r="J501" i="1"/>
  <c r="I501" i="1"/>
  <c r="K501" i="1" s="1"/>
  <c r="L501" i="1" s="1"/>
  <c r="J500" i="1"/>
  <c r="I500" i="1"/>
  <c r="K500" i="1" s="1"/>
  <c r="L500" i="1" s="1"/>
  <c r="J499" i="1"/>
  <c r="I499" i="1"/>
  <c r="K499" i="1" s="1"/>
  <c r="L499" i="1" s="1"/>
  <c r="J498" i="1"/>
  <c r="I498" i="1"/>
  <c r="K498" i="1" s="1"/>
  <c r="L498" i="1" s="1"/>
  <c r="J497" i="1"/>
  <c r="I497" i="1"/>
  <c r="K497" i="1" s="1"/>
  <c r="L497" i="1" s="1"/>
  <c r="J496" i="1"/>
  <c r="I496" i="1"/>
  <c r="K496" i="1" s="1"/>
  <c r="L496" i="1" s="1"/>
  <c r="J495" i="1"/>
  <c r="I495" i="1"/>
  <c r="K495" i="1" s="1"/>
  <c r="L495" i="1" s="1"/>
  <c r="J494" i="1"/>
  <c r="I494" i="1"/>
  <c r="K494" i="1" s="1"/>
  <c r="L494" i="1" s="1"/>
  <c r="J493" i="1"/>
  <c r="I493" i="1"/>
  <c r="K493" i="1" s="1"/>
  <c r="L493" i="1" s="1"/>
  <c r="J492" i="1"/>
  <c r="I492" i="1"/>
  <c r="K492" i="1" s="1"/>
  <c r="L492" i="1" s="1"/>
  <c r="J491" i="1"/>
  <c r="I491" i="1"/>
  <c r="K491" i="1" s="1"/>
  <c r="L491" i="1" s="1"/>
  <c r="J467" i="1"/>
  <c r="I467" i="1"/>
  <c r="K467" i="1" s="1"/>
  <c r="L467" i="1" s="1"/>
  <c r="J466" i="1"/>
  <c r="I466" i="1"/>
  <c r="K466" i="1" s="1"/>
  <c r="L466" i="1" s="1"/>
  <c r="J465" i="1"/>
  <c r="I465" i="1"/>
  <c r="K465" i="1" s="1"/>
  <c r="L465" i="1" s="1"/>
  <c r="J464" i="1"/>
  <c r="I464" i="1"/>
  <c r="K464" i="1" s="1"/>
  <c r="L464" i="1" s="1"/>
  <c r="J463" i="1"/>
  <c r="I463" i="1"/>
  <c r="K463" i="1" s="1"/>
  <c r="L463" i="1" s="1"/>
  <c r="J462" i="1"/>
  <c r="I462" i="1"/>
  <c r="K462" i="1" s="1"/>
  <c r="L462" i="1" s="1"/>
  <c r="J461" i="1"/>
  <c r="I461" i="1"/>
  <c r="K461" i="1" s="1"/>
  <c r="L461" i="1" s="1"/>
  <c r="J460" i="1"/>
  <c r="I460" i="1"/>
  <c r="K460" i="1" s="1"/>
  <c r="L460" i="1" s="1"/>
  <c r="J459" i="1"/>
  <c r="I459" i="1"/>
  <c r="K459" i="1" s="1"/>
  <c r="L459" i="1" s="1"/>
  <c r="J458" i="1"/>
  <c r="I458" i="1"/>
  <c r="K458" i="1" s="1"/>
  <c r="L458" i="1" s="1"/>
  <c r="J457" i="1"/>
  <c r="I457" i="1"/>
  <c r="K457" i="1" s="1"/>
  <c r="L457" i="1" s="1"/>
  <c r="J392" i="1"/>
  <c r="I392" i="1"/>
  <c r="K392" i="1" s="1"/>
  <c r="L392" i="1" s="1"/>
  <c r="J358" i="1"/>
  <c r="I358" i="1"/>
  <c r="K358" i="1" s="1"/>
  <c r="L358" i="1" s="1"/>
  <c r="J324" i="1"/>
  <c r="I324" i="1"/>
  <c r="K324" i="1" s="1"/>
  <c r="L324" i="1" s="1"/>
  <c r="J291" i="1"/>
  <c r="I291" i="1"/>
  <c r="K291" i="1" s="1"/>
  <c r="L291" i="1" s="1"/>
  <c r="J257" i="1"/>
  <c r="I257" i="1"/>
  <c r="K257" i="1" s="1"/>
  <c r="L257" i="1" s="1"/>
  <c r="J4500" i="1"/>
  <c r="I4500" i="1"/>
  <c r="K4500" i="1" s="1"/>
  <c r="L4500" i="1" s="1"/>
  <c r="J425" i="1"/>
  <c r="I425" i="1"/>
  <c r="K425" i="1" s="1"/>
  <c r="L425" i="1" s="1"/>
  <c r="J391" i="1"/>
  <c r="I391" i="1"/>
  <c r="K391" i="1" s="1"/>
  <c r="L391" i="1" s="1"/>
  <c r="J357" i="1"/>
  <c r="I357" i="1"/>
  <c r="K357" i="1" s="1"/>
  <c r="L357" i="1" s="1"/>
  <c r="J323" i="1"/>
  <c r="I323" i="1"/>
  <c r="K323" i="1" s="1"/>
  <c r="L323" i="1" s="1"/>
  <c r="J290" i="1"/>
  <c r="I290" i="1"/>
  <c r="K290" i="1" s="1"/>
  <c r="L290" i="1" s="1"/>
  <c r="J256" i="1"/>
  <c r="I256" i="1"/>
  <c r="K256" i="1" s="1"/>
  <c r="L256" i="1" s="1"/>
  <c r="J4499" i="1"/>
  <c r="I4499" i="1"/>
  <c r="K4499" i="1" s="1"/>
  <c r="L4499" i="1" s="1"/>
  <c r="J424" i="1"/>
  <c r="I424" i="1"/>
  <c r="K424" i="1" s="1"/>
  <c r="L424" i="1" s="1"/>
  <c r="J390" i="1"/>
  <c r="I390" i="1"/>
  <c r="K390" i="1" s="1"/>
  <c r="L390" i="1" s="1"/>
  <c r="J356" i="1"/>
  <c r="I356" i="1"/>
  <c r="K356" i="1" s="1"/>
  <c r="L356" i="1" s="1"/>
  <c r="J322" i="1"/>
  <c r="I322" i="1"/>
  <c r="K322" i="1" s="1"/>
  <c r="L322" i="1" s="1"/>
  <c r="J289" i="1"/>
  <c r="I289" i="1"/>
  <c r="K289" i="1" s="1"/>
  <c r="L289" i="1" s="1"/>
  <c r="J255" i="1"/>
  <c r="I255" i="1"/>
  <c r="K255" i="1" s="1"/>
  <c r="L255" i="1" s="1"/>
  <c r="J4498" i="1"/>
  <c r="I4498" i="1"/>
  <c r="K4498" i="1" s="1"/>
  <c r="L4498" i="1" s="1"/>
  <c r="J423" i="1"/>
  <c r="I423" i="1"/>
  <c r="K423" i="1" s="1"/>
  <c r="L423" i="1" s="1"/>
  <c r="J389" i="1"/>
  <c r="I389" i="1"/>
  <c r="K389" i="1" s="1"/>
  <c r="L389" i="1" s="1"/>
  <c r="J355" i="1"/>
  <c r="I355" i="1"/>
  <c r="K355" i="1" s="1"/>
  <c r="L355" i="1" s="1"/>
  <c r="J321" i="1"/>
  <c r="I321" i="1"/>
  <c r="K321" i="1" s="1"/>
  <c r="L321" i="1" s="1"/>
  <c r="J288" i="1"/>
  <c r="I288" i="1"/>
  <c r="K288" i="1" s="1"/>
  <c r="L288" i="1" s="1"/>
  <c r="J254" i="1"/>
  <c r="I254" i="1"/>
  <c r="K254" i="1" s="1"/>
  <c r="L254" i="1" s="1"/>
  <c r="J422" i="1"/>
  <c r="I422" i="1"/>
  <c r="K422" i="1" s="1"/>
  <c r="L422" i="1" s="1"/>
  <c r="J388" i="1"/>
  <c r="I388" i="1"/>
  <c r="K388" i="1" s="1"/>
  <c r="L388" i="1" s="1"/>
  <c r="J354" i="1"/>
  <c r="I354" i="1"/>
  <c r="K354" i="1" s="1"/>
  <c r="L354" i="1" s="1"/>
  <c r="J320" i="1"/>
  <c r="I320" i="1"/>
  <c r="K320" i="1" s="1"/>
  <c r="L320" i="1" s="1"/>
  <c r="J287" i="1"/>
  <c r="I287" i="1"/>
  <c r="K287" i="1" s="1"/>
  <c r="L287" i="1" s="1"/>
  <c r="J253" i="1"/>
  <c r="I253" i="1"/>
  <c r="K253" i="1" s="1"/>
  <c r="L253" i="1" s="1"/>
  <c r="J4497" i="1"/>
  <c r="I4497" i="1"/>
  <c r="K4497" i="1" s="1"/>
  <c r="L4497" i="1" s="1"/>
  <c r="J421" i="1"/>
  <c r="I421" i="1"/>
  <c r="K421" i="1" s="1"/>
  <c r="L421" i="1" s="1"/>
  <c r="J387" i="1"/>
  <c r="I387" i="1"/>
  <c r="K387" i="1" s="1"/>
  <c r="L387" i="1" s="1"/>
  <c r="J353" i="1"/>
  <c r="I353" i="1"/>
  <c r="K353" i="1" s="1"/>
  <c r="L353" i="1" s="1"/>
  <c r="J319" i="1"/>
  <c r="I319" i="1"/>
  <c r="K319" i="1" s="1"/>
  <c r="L319" i="1" s="1"/>
  <c r="J286" i="1"/>
  <c r="I286" i="1"/>
  <c r="K286" i="1" s="1"/>
  <c r="L286" i="1" s="1"/>
  <c r="J252" i="1"/>
  <c r="I252" i="1"/>
  <c r="K252" i="1" s="1"/>
  <c r="L252" i="1" s="1"/>
  <c r="J4496" i="1"/>
  <c r="I4496" i="1"/>
  <c r="K4496" i="1" s="1"/>
  <c r="L4496" i="1" s="1"/>
  <c r="J420" i="1"/>
  <c r="I420" i="1"/>
  <c r="K420" i="1" s="1"/>
  <c r="L420" i="1" s="1"/>
  <c r="J386" i="1"/>
  <c r="I386" i="1"/>
  <c r="K386" i="1" s="1"/>
  <c r="L386" i="1" s="1"/>
  <c r="J352" i="1"/>
  <c r="I352" i="1"/>
  <c r="K352" i="1" s="1"/>
  <c r="L352" i="1" s="1"/>
  <c r="J318" i="1"/>
  <c r="I318" i="1"/>
  <c r="K318" i="1" s="1"/>
  <c r="L318" i="1" s="1"/>
  <c r="J285" i="1"/>
  <c r="I285" i="1"/>
  <c r="K285" i="1" s="1"/>
  <c r="L285" i="1" s="1"/>
  <c r="J251" i="1"/>
  <c r="I251" i="1"/>
  <c r="K251" i="1" s="1"/>
  <c r="L251" i="1" s="1"/>
  <c r="J4495" i="1"/>
  <c r="I4495" i="1"/>
  <c r="K4495" i="1" s="1"/>
  <c r="L4495" i="1" s="1"/>
  <c r="J419" i="1"/>
  <c r="I419" i="1"/>
  <c r="K419" i="1" s="1"/>
  <c r="L419" i="1" s="1"/>
  <c r="J385" i="1"/>
  <c r="I385" i="1"/>
  <c r="K385" i="1" s="1"/>
  <c r="L385" i="1" s="1"/>
  <c r="J351" i="1"/>
  <c r="I351" i="1"/>
  <c r="K351" i="1" s="1"/>
  <c r="L351" i="1" s="1"/>
  <c r="J317" i="1"/>
  <c r="I317" i="1"/>
  <c r="K317" i="1" s="1"/>
  <c r="L317" i="1" s="1"/>
  <c r="J284" i="1"/>
  <c r="I284" i="1"/>
  <c r="K284" i="1" s="1"/>
  <c r="L284" i="1" s="1"/>
  <c r="J250" i="1"/>
  <c r="I250" i="1"/>
  <c r="K250" i="1" s="1"/>
  <c r="L250" i="1" s="1"/>
  <c r="J4494" i="1"/>
  <c r="I4494" i="1"/>
  <c r="K4494" i="1" s="1"/>
  <c r="L4494" i="1" s="1"/>
  <c r="J418" i="1"/>
  <c r="I418" i="1"/>
  <c r="K418" i="1" s="1"/>
  <c r="L418" i="1" s="1"/>
  <c r="J384" i="1"/>
  <c r="I384" i="1"/>
  <c r="K384" i="1" s="1"/>
  <c r="L384" i="1" s="1"/>
  <c r="J350" i="1"/>
  <c r="I350" i="1"/>
  <c r="K350" i="1" s="1"/>
  <c r="L350" i="1" s="1"/>
  <c r="J316" i="1"/>
  <c r="I316" i="1"/>
  <c r="K316" i="1" s="1"/>
  <c r="L316" i="1" s="1"/>
  <c r="J283" i="1"/>
  <c r="I283" i="1"/>
  <c r="K283" i="1" s="1"/>
  <c r="L283" i="1" s="1"/>
  <c r="J249" i="1"/>
  <c r="I249" i="1"/>
  <c r="K249" i="1" s="1"/>
  <c r="L249" i="1" s="1"/>
  <c r="J4493" i="1"/>
  <c r="I4493" i="1"/>
  <c r="K4493" i="1" s="1"/>
  <c r="L4493" i="1" s="1"/>
  <c r="J417" i="1"/>
  <c r="I417" i="1"/>
  <c r="K417" i="1" s="1"/>
  <c r="L417" i="1" s="1"/>
  <c r="J383" i="1"/>
  <c r="I383" i="1"/>
  <c r="K383" i="1" s="1"/>
  <c r="L383" i="1" s="1"/>
  <c r="J349" i="1"/>
  <c r="I349" i="1"/>
  <c r="K349" i="1" s="1"/>
  <c r="L349" i="1" s="1"/>
  <c r="J315" i="1"/>
  <c r="I315" i="1"/>
  <c r="K315" i="1" s="1"/>
  <c r="L315" i="1" s="1"/>
  <c r="J281" i="1"/>
  <c r="I281" i="1"/>
  <c r="K281" i="1" s="1"/>
  <c r="L281" i="1" s="1"/>
  <c r="J248" i="1"/>
  <c r="I248" i="1"/>
  <c r="K248" i="1" s="1"/>
  <c r="L248" i="1" s="1"/>
  <c r="J4492" i="1"/>
  <c r="I4492" i="1"/>
  <c r="K4492" i="1" s="1"/>
  <c r="L4492" i="1" s="1"/>
  <c r="J416" i="1"/>
  <c r="I416" i="1"/>
  <c r="K416" i="1" s="1"/>
  <c r="L416" i="1" s="1"/>
  <c r="J382" i="1"/>
  <c r="I382" i="1"/>
  <c r="K382" i="1" s="1"/>
  <c r="L382" i="1" s="1"/>
  <c r="J348" i="1"/>
  <c r="I348" i="1"/>
  <c r="K348" i="1" s="1"/>
  <c r="L348" i="1" s="1"/>
  <c r="J314" i="1"/>
  <c r="I314" i="1"/>
  <c r="K314" i="1" s="1"/>
  <c r="L314" i="1" s="1"/>
  <c r="J280" i="1"/>
  <c r="I280" i="1"/>
  <c r="K280" i="1" s="1"/>
  <c r="L280" i="1" s="1"/>
  <c r="J247" i="1"/>
  <c r="I247" i="1"/>
  <c r="K247" i="1" s="1"/>
  <c r="L247" i="1" s="1"/>
  <c r="J4491" i="1"/>
  <c r="I4491" i="1"/>
  <c r="K4491" i="1" s="1"/>
  <c r="L4491" i="1" s="1"/>
  <c r="J415" i="1"/>
  <c r="I415" i="1"/>
  <c r="K415" i="1" s="1"/>
  <c r="L415" i="1" s="1"/>
  <c r="J381" i="1"/>
  <c r="I381" i="1"/>
  <c r="K381" i="1" s="1"/>
  <c r="L381" i="1" s="1"/>
  <c r="J347" i="1"/>
  <c r="I347" i="1"/>
  <c r="K347" i="1" s="1"/>
  <c r="L347" i="1" s="1"/>
  <c r="J313" i="1"/>
  <c r="I313" i="1"/>
  <c r="K313" i="1" s="1"/>
  <c r="L313" i="1" s="1"/>
  <c r="J279" i="1"/>
  <c r="I279" i="1"/>
  <c r="K279" i="1" s="1"/>
  <c r="L279" i="1" s="1"/>
  <c r="J246" i="1"/>
  <c r="I246" i="1"/>
  <c r="K246" i="1" s="1"/>
  <c r="L246" i="1" s="1"/>
  <c r="J4490" i="1"/>
  <c r="I4490" i="1"/>
  <c r="K4490" i="1" s="1"/>
  <c r="L4490" i="1" s="1"/>
  <c r="J414" i="1"/>
  <c r="I414" i="1"/>
  <c r="K414" i="1" s="1"/>
  <c r="L414" i="1" s="1"/>
  <c r="J380" i="1"/>
  <c r="I380" i="1"/>
  <c r="K380" i="1" s="1"/>
  <c r="L380" i="1" s="1"/>
  <c r="J346" i="1"/>
  <c r="I346" i="1"/>
  <c r="K346" i="1" s="1"/>
  <c r="L346" i="1" s="1"/>
  <c r="J312" i="1"/>
  <c r="I312" i="1"/>
  <c r="K312" i="1" s="1"/>
  <c r="L312" i="1" s="1"/>
  <c r="J278" i="1"/>
  <c r="I278" i="1"/>
  <c r="K278" i="1" s="1"/>
  <c r="L278" i="1" s="1"/>
  <c r="J245" i="1"/>
  <c r="I245" i="1"/>
  <c r="K245" i="1" s="1"/>
  <c r="L245" i="1" s="1"/>
  <c r="J4489" i="1"/>
  <c r="I4489" i="1"/>
  <c r="K4489" i="1" s="1"/>
  <c r="L4489" i="1" s="1"/>
  <c r="J413" i="1"/>
  <c r="I413" i="1"/>
  <c r="K413" i="1" s="1"/>
  <c r="L413" i="1" s="1"/>
  <c r="J379" i="1"/>
  <c r="I379" i="1"/>
  <c r="K379" i="1" s="1"/>
  <c r="L379" i="1" s="1"/>
  <c r="J345" i="1"/>
  <c r="I345" i="1"/>
  <c r="K345" i="1" s="1"/>
  <c r="L345" i="1" s="1"/>
  <c r="J4464" i="1"/>
  <c r="I4464" i="1"/>
  <c r="K4464" i="1" s="1"/>
  <c r="L4464" i="1" s="1"/>
  <c r="J4463" i="1"/>
  <c r="I4463" i="1"/>
  <c r="K4463" i="1" s="1"/>
  <c r="L4463" i="1" s="1"/>
  <c r="J4462" i="1"/>
  <c r="I4462" i="1"/>
  <c r="K4462" i="1" s="1"/>
  <c r="L4462" i="1" s="1"/>
  <c r="J4461" i="1"/>
  <c r="I4461" i="1"/>
  <c r="K4461" i="1" s="1"/>
  <c r="L4461" i="1" s="1"/>
  <c r="J4460" i="1"/>
  <c r="I4460" i="1"/>
  <c r="K4460" i="1" s="1"/>
  <c r="L4460" i="1" s="1"/>
  <c r="J4459" i="1"/>
  <c r="I4459" i="1"/>
  <c r="K4459" i="1" s="1"/>
  <c r="L4459" i="1" s="1"/>
  <c r="J4458" i="1"/>
  <c r="I4458" i="1"/>
  <c r="K4458" i="1" s="1"/>
  <c r="L4458" i="1" s="1"/>
  <c r="J4457" i="1"/>
  <c r="I4457" i="1"/>
  <c r="K4457" i="1" s="1"/>
  <c r="L4457" i="1" s="1"/>
  <c r="J4456" i="1"/>
  <c r="I4456" i="1"/>
  <c r="K4456" i="1" s="1"/>
  <c r="L4456" i="1" s="1"/>
  <c r="J4455" i="1"/>
  <c r="I4455" i="1"/>
  <c r="K4455" i="1" s="1"/>
  <c r="L4455" i="1" s="1"/>
  <c r="J4454" i="1"/>
  <c r="I4454" i="1"/>
  <c r="K4454" i="1" s="1"/>
  <c r="L4454" i="1" s="1"/>
  <c r="J4453" i="1"/>
  <c r="I4453" i="1"/>
  <c r="K4453" i="1" s="1"/>
  <c r="L4453" i="1" s="1"/>
  <c r="J4452" i="1"/>
  <c r="I4452" i="1"/>
  <c r="K4452" i="1" s="1"/>
  <c r="L4452" i="1" s="1"/>
  <c r="J4451" i="1"/>
  <c r="I4451" i="1"/>
  <c r="K4451" i="1" s="1"/>
  <c r="L4451" i="1" s="1"/>
  <c r="J4450" i="1"/>
  <c r="I4450" i="1"/>
  <c r="K4450" i="1" s="1"/>
  <c r="L4450" i="1" s="1"/>
  <c r="J4431" i="1"/>
  <c r="I4431" i="1"/>
  <c r="K4431" i="1" s="1"/>
  <c r="L4431" i="1" s="1"/>
  <c r="J4430" i="1"/>
  <c r="I4430" i="1"/>
  <c r="K4430" i="1" s="1"/>
  <c r="L4430" i="1" s="1"/>
  <c r="J4429" i="1"/>
  <c r="I4429" i="1"/>
  <c r="K4429" i="1" s="1"/>
  <c r="L4429" i="1" s="1"/>
  <c r="J4428" i="1"/>
  <c r="I4428" i="1"/>
  <c r="K4428" i="1" s="1"/>
  <c r="L4428" i="1" s="1"/>
  <c r="J4427" i="1"/>
  <c r="I4427" i="1"/>
  <c r="K4427" i="1" s="1"/>
  <c r="L4427" i="1" s="1"/>
  <c r="J4426" i="1"/>
  <c r="I4426" i="1"/>
  <c r="K4426" i="1" s="1"/>
  <c r="L4426" i="1" s="1"/>
  <c r="J4425" i="1"/>
  <c r="I4425" i="1"/>
  <c r="K4425" i="1" s="1"/>
  <c r="L4425" i="1" s="1"/>
  <c r="J4424" i="1"/>
  <c r="I4424" i="1"/>
  <c r="K4424" i="1" s="1"/>
  <c r="L4424" i="1" s="1"/>
  <c r="J4423" i="1"/>
  <c r="I4423" i="1"/>
  <c r="K4423" i="1" s="1"/>
  <c r="L4423" i="1" s="1"/>
  <c r="J4422" i="1"/>
  <c r="I4422" i="1"/>
  <c r="K4422" i="1" s="1"/>
  <c r="L4422" i="1" s="1"/>
  <c r="J4421" i="1"/>
  <c r="I4421" i="1"/>
  <c r="K4421" i="1" s="1"/>
  <c r="L4421" i="1" s="1"/>
  <c r="J4420" i="1"/>
  <c r="I4420" i="1"/>
  <c r="K4420" i="1" s="1"/>
  <c r="L4420" i="1" s="1"/>
  <c r="J4419" i="1"/>
  <c r="I4419" i="1"/>
  <c r="K4419" i="1" s="1"/>
  <c r="L4419" i="1" s="1"/>
  <c r="J4418" i="1"/>
  <c r="I4418" i="1"/>
  <c r="K4418" i="1" s="1"/>
  <c r="L4418" i="1" s="1"/>
  <c r="J4417" i="1"/>
  <c r="I4417" i="1"/>
  <c r="K4417" i="1" s="1"/>
  <c r="L4417" i="1" s="1"/>
  <c r="J4398" i="1"/>
  <c r="I4398" i="1"/>
  <c r="K4398" i="1" s="1"/>
  <c r="L4398" i="1" s="1"/>
  <c r="J4397" i="1"/>
  <c r="I4397" i="1"/>
  <c r="K4397" i="1" s="1"/>
  <c r="L4397" i="1" s="1"/>
  <c r="J4396" i="1"/>
  <c r="I4396" i="1"/>
  <c r="K4396" i="1" s="1"/>
  <c r="L4396" i="1" s="1"/>
  <c r="J4395" i="1"/>
  <c r="I4395" i="1"/>
  <c r="K4395" i="1" s="1"/>
  <c r="L4395" i="1" s="1"/>
  <c r="J4394" i="1"/>
  <c r="I4394" i="1"/>
  <c r="K4394" i="1" s="1"/>
  <c r="L4394" i="1" s="1"/>
  <c r="J4393" i="1"/>
  <c r="I4393" i="1"/>
  <c r="K4393" i="1" s="1"/>
  <c r="L4393" i="1" s="1"/>
  <c r="J4392" i="1"/>
  <c r="I4392" i="1"/>
  <c r="K4392" i="1" s="1"/>
  <c r="L4392" i="1" s="1"/>
  <c r="J4391" i="1"/>
  <c r="I4391" i="1"/>
  <c r="K4391" i="1" s="1"/>
  <c r="L4391" i="1" s="1"/>
  <c r="J4390" i="1"/>
  <c r="I4390" i="1"/>
  <c r="K4390" i="1" s="1"/>
  <c r="L4390" i="1" s="1"/>
  <c r="J4389" i="1"/>
  <c r="I4389" i="1"/>
  <c r="K4389" i="1" s="1"/>
  <c r="L4389" i="1" s="1"/>
  <c r="J4388" i="1"/>
  <c r="I4388" i="1"/>
  <c r="K4388" i="1" s="1"/>
  <c r="L4388" i="1" s="1"/>
  <c r="J4387" i="1"/>
  <c r="I4387" i="1"/>
  <c r="K4387" i="1" s="1"/>
  <c r="L4387" i="1" s="1"/>
  <c r="J4386" i="1"/>
  <c r="I4386" i="1"/>
  <c r="K4386" i="1" s="1"/>
  <c r="L4386" i="1" s="1"/>
  <c r="J4385" i="1"/>
  <c r="I4385" i="1"/>
  <c r="K4385" i="1" s="1"/>
  <c r="L4385" i="1" s="1"/>
  <c r="J4384" i="1"/>
  <c r="I4384" i="1"/>
  <c r="K4384" i="1" s="1"/>
  <c r="L4384" i="1" s="1"/>
  <c r="J4365" i="1"/>
  <c r="I4365" i="1"/>
  <c r="K4365" i="1" s="1"/>
  <c r="L4365" i="1" s="1"/>
  <c r="J4364" i="1"/>
  <c r="I4364" i="1"/>
  <c r="K4364" i="1" s="1"/>
  <c r="L4364" i="1" s="1"/>
  <c r="J4363" i="1"/>
  <c r="I4363" i="1"/>
  <c r="K4363" i="1" s="1"/>
  <c r="L4363" i="1" s="1"/>
  <c r="J4362" i="1"/>
  <c r="I4362" i="1"/>
  <c r="K4362" i="1" s="1"/>
  <c r="L4362" i="1" s="1"/>
  <c r="J4361" i="1"/>
  <c r="I4361" i="1"/>
  <c r="K4361" i="1" s="1"/>
  <c r="L4361" i="1" s="1"/>
  <c r="J4360" i="1"/>
  <c r="I4360" i="1"/>
  <c r="K4360" i="1" s="1"/>
  <c r="L4360" i="1" s="1"/>
  <c r="J4359" i="1"/>
  <c r="I4359" i="1"/>
  <c r="K4359" i="1" s="1"/>
  <c r="L4359" i="1" s="1"/>
  <c r="J4358" i="1"/>
  <c r="I4358" i="1"/>
  <c r="K4358" i="1" s="1"/>
  <c r="L4358" i="1" s="1"/>
  <c r="J4357" i="1"/>
  <c r="I4357" i="1"/>
  <c r="K4357" i="1" s="1"/>
  <c r="L4357" i="1" s="1"/>
  <c r="J4356" i="1"/>
  <c r="I4356" i="1"/>
  <c r="K4356" i="1" s="1"/>
  <c r="L4356" i="1" s="1"/>
  <c r="J4355" i="1"/>
  <c r="I4355" i="1"/>
  <c r="K4355" i="1" s="1"/>
  <c r="L4355" i="1" s="1"/>
  <c r="J4354" i="1"/>
  <c r="I4354" i="1"/>
  <c r="K4354" i="1" s="1"/>
  <c r="L4354" i="1" s="1"/>
  <c r="J4353" i="1"/>
  <c r="I4353" i="1"/>
  <c r="K4353" i="1" s="1"/>
  <c r="L4353" i="1" s="1"/>
  <c r="J4352" i="1"/>
  <c r="I4352" i="1"/>
  <c r="K4352" i="1" s="1"/>
  <c r="L4352" i="1" s="1"/>
  <c r="J4351" i="1"/>
  <c r="I4351" i="1"/>
  <c r="K4351" i="1" s="1"/>
  <c r="L4351" i="1" s="1"/>
  <c r="J4091" i="1"/>
  <c r="I4091" i="1"/>
  <c r="K4091" i="1" s="1"/>
  <c r="L4091" i="1" s="1"/>
  <c r="J4047" i="1"/>
  <c r="I4047" i="1"/>
  <c r="K4047" i="1" s="1"/>
  <c r="L4047" i="1" s="1"/>
  <c r="J4003" i="1"/>
  <c r="I4003" i="1"/>
  <c r="K4003" i="1" s="1"/>
  <c r="L4003" i="1" s="1"/>
  <c r="J3959" i="1"/>
  <c r="I3959" i="1"/>
  <c r="K3959" i="1" s="1"/>
  <c r="L3959" i="1" s="1"/>
  <c r="J3915" i="1"/>
  <c r="I3915" i="1"/>
  <c r="K3915" i="1" s="1"/>
  <c r="L3915" i="1" s="1"/>
  <c r="J3871" i="1"/>
  <c r="I3871" i="1"/>
  <c r="K3871" i="1" s="1"/>
  <c r="L3871" i="1" s="1"/>
  <c r="J3827" i="1"/>
  <c r="I3827" i="1"/>
  <c r="K3827" i="1" s="1"/>
  <c r="L3827" i="1" s="1"/>
  <c r="J3783" i="1"/>
  <c r="I3783" i="1"/>
  <c r="K3783" i="1" s="1"/>
  <c r="L3783" i="1" s="1"/>
  <c r="J3739" i="1"/>
  <c r="I3739" i="1"/>
  <c r="K3739" i="1" s="1"/>
  <c r="L3739" i="1" s="1"/>
  <c r="J3695" i="1"/>
  <c r="I3695" i="1"/>
  <c r="K3695" i="1" s="1"/>
  <c r="L3695" i="1" s="1"/>
  <c r="J3651" i="1"/>
  <c r="I3651" i="1"/>
  <c r="K3651" i="1" s="1"/>
  <c r="L3651" i="1" s="1"/>
  <c r="J3607" i="1"/>
  <c r="I3607" i="1"/>
  <c r="K3607" i="1" s="1"/>
  <c r="L3607" i="1" s="1"/>
  <c r="J3563" i="1"/>
  <c r="I3563" i="1"/>
  <c r="K3563" i="1" s="1"/>
  <c r="L3563" i="1" s="1"/>
  <c r="J3519" i="1"/>
  <c r="I3519" i="1"/>
  <c r="K3519" i="1" s="1"/>
  <c r="L3519" i="1" s="1"/>
  <c r="J3475" i="1"/>
  <c r="I3475" i="1"/>
  <c r="K3475" i="1" s="1"/>
  <c r="L3475" i="1" s="1"/>
  <c r="J759" i="1"/>
  <c r="I759" i="1"/>
  <c r="K759" i="1" s="1"/>
  <c r="L759" i="1" s="1"/>
  <c r="J758" i="1"/>
  <c r="I758" i="1"/>
  <c r="K758" i="1" s="1"/>
  <c r="L758" i="1" s="1"/>
  <c r="J757" i="1"/>
  <c r="I757" i="1"/>
  <c r="K757" i="1" s="1"/>
  <c r="L757" i="1" s="1"/>
  <c r="J756" i="1"/>
  <c r="I756" i="1"/>
  <c r="K756" i="1" s="1"/>
  <c r="L756" i="1" s="1"/>
  <c r="J755" i="1"/>
  <c r="I755" i="1"/>
  <c r="K755" i="1" s="1"/>
  <c r="L755" i="1" s="1"/>
  <c r="J754" i="1"/>
  <c r="I754" i="1"/>
  <c r="K754" i="1" s="1"/>
  <c r="L754" i="1" s="1"/>
  <c r="J753" i="1"/>
  <c r="I753" i="1"/>
  <c r="K753" i="1" s="1"/>
  <c r="L753" i="1" s="1"/>
  <c r="J752" i="1"/>
  <c r="I752" i="1"/>
  <c r="K752" i="1" s="1"/>
  <c r="L752" i="1" s="1"/>
  <c r="J751" i="1"/>
  <c r="I751" i="1"/>
  <c r="K751" i="1" s="1"/>
  <c r="L751" i="1" s="1"/>
  <c r="J750" i="1"/>
  <c r="I750" i="1"/>
  <c r="K750" i="1" s="1"/>
  <c r="L750" i="1" s="1"/>
  <c r="J749" i="1"/>
  <c r="I749" i="1"/>
  <c r="K749" i="1" s="1"/>
  <c r="L749" i="1" s="1"/>
  <c r="J748" i="1"/>
  <c r="I748" i="1"/>
  <c r="K748" i="1" s="1"/>
  <c r="L748" i="1" s="1"/>
  <c r="J745" i="1"/>
  <c r="I745" i="1"/>
  <c r="K745" i="1" s="1"/>
  <c r="L745" i="1" s="1"/>
  <c r="J744" i="1"/>
  <c r="I744" i="1"/>
  <c r="K744" i="1" s="1"/>
  <c r="L744" i="1" s="1"/>
  <c r="J661" i="1"/>
  <c r="I661" i="1"/>
  <c r="K661" i="1" s="1"/>
  <c r="L661" i="1" s="1"/>
  <c r="J660" i="1"/>
  <c r="I660" i="1"/>
  <c r="K660" i="1" s="1"/>
  <c r="L660" i="1" s="1"/>
  <c r="J659" i="1"/>
  <c r="I659" i="1"/>
  <c r="K659" i="1" s="1"/>
  <c r="L659" i="1" s="1"/>
  <c r="J658" i="1"/>
  <c r="I658" i="1"/>
  <c r="K658" i="1" s="1"/>
  <c r="L658" i="1" s="1"/>
  <c r="J657" i="1"/>
  <c r="I657" i="1"/>
  <c r="K657" i="1" s="1"/>
  <c r="L657" i="1" s="1"/>
  <c r="J656" i="1"/>
  <c r="I656" i="1"/>
  <c r="K656" i="1" s="1"/>
  <c r="L656" i="1" s="1"/>
  <c r="J655" i="1"/>
  <c r="I655" i="1"/>
  <c r="K655" i="1" s="1"/>
  <c r="L655" i="1" s="1"/>
  <c r="J654" i="1"/>
  <c r="I654" i="1"/>
  <c r="K654" i="1" s="1"/>
  <c r="L654" i="1" s="1"/>
  <c r="J653" i="1"/>
  <c r="I653" i="1"/>
  <c r="K653" i="1" s="1"/>
  <c r="L653" i="1" s="1"/>
  <c r="J652" i="1"/>
  <c r="I652" i="1"/>
  <c r="K652" i="1" s="1"/>
  <c r="L652" i="1" s="1"/>
  <c r="J651" i="1"/>
  <c r="I651" i="1"/>
  <c r="K651" i="1" s="1"/>
  <c r="L651" i="1" s="1"/>
  <c r="J650" i="1"/>
  <c r="I650" i="1"/>
  <c r="K650" i="1" s="1"/>
  <c r="L650" i="1" s="1"/>
  <c r="J649" i="1"/>
  <c r="I649" i="1"/>
  <c r="K649" i="1" s="1"/>
  <c r="L649" i="1" s="1"/>
  <c r="J628" i="1"/>
  <c r="I628" i="1"/>
  <c r="K628" i="1" s="1"/>
  <c r="L628" i="1" s="1"/>
  <c r="J627" i="1"/>
  <c r="I627" i="1"/>
  <c r="K627" i="1" s="1"/>
  <c r="L627" i="1" s="1"/>
  <c r="J626" i="1"/>
  <c r="I626" i="1"/>
  <c r="K626" i="1" s="1"/>
  <c r="L626" i="1" s="1"/>
  <c r="J625" i="1"/>
  <c r="I625" i="1"/>
  <c r="K625" i="1" s="1"/>
  <c r="L625" i="1" s="1"/>
  <c r="J624" i="1"/>
  <c r="I624" i="1"/>
  <c r="K624" i="1" s="1"/>
  <c r="L624" i="1" s="1"/>
  <c r="J623" i="1"/>
  <c r="I623" i="1"/>
  <c r="K623" i="1" s="1"/>
  <c r="L623" i="1" s="1"/>
  <c r="J622" i="1"/>
  <c r="I622" i="1"/>
  <c r="K622" i="1" s="1"/>
  <c r="L622" i="1" s="1"/>
  <c r="J621" i="1"/>
  <c r="I621" i="1"/>
  <c r="K621" i="1" s="1"/>
  <c r="L621" i="1" s="1"/>
  <c r="J620" i="1"/>
  <c r="I620" i="1"/>
  <c r="K620" i="1" s="1"/>
  <c r="L620" i="1" s="1"/>
  <c r="J619" i="1"/>
  <c r="I619" i="1"/>
  <c r="K619" i="1" s="1"/>
  <c r="L619" i="1" s="1"/>
  <c r="J618" i="1"/>
  <c r="I618" i="1"/>
  <c r="K618" i="1" s="1"/>
  <c r="L618" i="1" s="1"/>
  <c r="J617" i="1"/>
  <c r="I617" i="1"/>
  <c r="K617" i="1" s="1"/>
  <c r="L617" i="1" s="1"/>
  <c r="J616" i="1"/>
  <c r="I616" i="1"/>
  <c r="K616" i="1" s="1"/>
  <c r="L616" i="1" s="1"/>
  <c r="J615" i="1"/>
  <c r="I615" i="1"/>
  <c r="K615" i="1" s="1"/>
  <c r="L615" i="1" s="1"/>
  <c r="J614" i="1"/>
  <c r="I614" i="1"/>
  <c r="K614" i="1" s="1"/>
  <c r="L614" i="1" s="1"/>
  <c r="J595" i="1"/>
  <c r="I595" i="1"/>
  <c r="K595" i="1" s="1"/>
  <c r="L595" i="1" s="1"/>
  <c r="J594" i="1"/>
  <c r="I594" i="1"/>
  <c r="K594" i="1" s="1"/>
  <c r="L594" i="1" s="1"/>
  <c r="J591" i="1"/>
  <c r="I591" i="1"/>
  <c r="K591" i="1" s="1"/>
  <c r="L591" i="1" s="1"/>
  <c r="J590" i="1"/>
  <c r="I590" i="1"/>
  <c r="K590" i="1" s="1"/>
  <c r="L590" i="1" s="1"/>
  <c r="J589" i="1"/>
  <c r="I589" i="1"/>
  <c r="K589" i="1" s="1"/>
  <c r="L589" i="1" s="1"/>
  <c r="J588" i="1"/>
  <c r="I588" i="1"/>
  <c r="K588" i="1" s="1"/>
  <c r="L588" i="1" s="1"/>
  <c r="J587" i="1"/>
  <c r="I587" i="1"/>
  <c r="K587" i="1" s="1"/>
  <c r="L587" i="1" s="1"/>
  <c r="J586" i="1"/>
  <c r="I586" i="1"/>
  <c r="K586" i="1" s="1"/>
  <c r="L586" i="1" s="1"/>
  <c r="J585" i="1"/>
  <c r="I585" i="1"/>
  <c r="K585" i="1" s="1"/>
  <c r="L585" i="1" s="1"/>
  <c r="J584" i="1"/>
  <c r="I584" i="1"/>
  <c r="K584" i="1" s="1"/>
  <c r="L584" i="1" s="1"/>
  <c r="J583" i="1"/>
  <c r="I583" i="1"/>
  <c r="K583" i="1" s="1"/>
  <c r="L583" i="1" s="1"/>
  <c r="J582" i="1"/>
  <c r="I582" i="1"/>
  <c r="K582" i="1" s="1"/>
  <c r="L582" i="1" s="1"/>
  <c r="J581" i="1"/>
  <c r="I581" i="1"/>
  <c r="K581" i="1" s="1"/>
  <c r="L581" i="1" s="1"/>
  <c r="J580" i="1"/>
  <c r="I580" i="1"/>
  <c r="K580" i="1" s="1"/>
  <c r="L580" i="1" s="1"/>
  <c r="J579" i="1"/>
  <c r="I579" i="1"/>
  <c r="K579" i="1" s="1"/>
  <c r="L579" i="1" s="1"/>
  <c r="J560" i="1"/>
  <c r="I560" i="1"/>
  <c r="K560" i="1" s="1"/>
  <c r="L560" i="1" s="1"/>
  <c r="J559" i="1"/>
  <c r="I559" i="1"/>
  <c r="K559" i="1" s="1"/>
  <c r="L559" i="1" s="1"/>
  <c r="J558" i="1"/>
  <c r="I558" i="1"/>
  <c r="K558" i="1" s="1"/>
  <c r="L558" i="1" s="1"/>
  <c r="J557" i="1"/>
  <c r="I557" i="1"/>
  <c r="K557" i="1" s="1"/>
  <c r="L557" i="1" s="1"/>
  <c r="J556" i="1"/>
  <c r="I556" i="1"/>
  <c r="K556" i="1" s="1"/>
  <c r="L556" i="1" s="1"/>
  <c r="J555" i="1"/>
  <c r="I555" i="1"/>
  <c r="K555" i="1" s="1"/>
  <c r="L555" i="1" s="1"/>
  <c r="J554" i="1"/>
  <c r="I554" i="1"/>
  <c r="K554" i="1" s="1"/>
  <c r="L554" i="1" s="1"/>
  <c r="J553" i="1"/>
  <c r="I553" i="1"/>
  <c r="K553" i="1" s="1"/>
  <c r="L553" i="1" s="1"/>
  <c r="J552" i="1"/>
  <c r="I552" i="1"/>
  <c r="K552" i="1" s="1"/>
  <c r="L552" i="1" s="1"/>
  <c r="J551" i="1"/>
  <c r="I551" i="1"/>
  <c r="K551" i="1" s="1"/>
  <c r="L551" i="1" s="1"/>
  <c r="J550" i="1"/>
  <c r="I550" i="1"/>
  <c r="K550" i="1" s="1"/>
  <c r="L550" i="1" s="1"/>
  <c r="J549" i="1"/>
  <c r="I549" i="1"/>
  <c r="K549" i="1" s="1"/>
  <c r="L549" i="1" s="1"/>
  <c r="J546" i="1"/>
  <c r="I546" i="1"/>
  <c r="K546" i="1" s="1"/>
  <c r="L546" i="1" s="1"/>
  <c r="J545" i="1"/>
  <c r="I545" i="1"/>
  <c r="K545" i="1" s="1"/>
  <c r="L545" i="1" s="1"/>
  <c r="J544" i="1"/>
  <c r="I544" i="1"/>
  <c r="K544" i="1" s="1"/>
  <c r="L544" i="1" s="1"/>
  <c r="J525" i="1"/>
  <c r="I525" i="1"/>
  <c r="K525" i="1" s="1"/>
  <c r="L525" i="1" s="1"/>
  <c r="J524" i="1"/>
  <c r="I524" i="1"/>
  <c r="K524" i="1" s="1"/>
  <c r="L524" i="1" s="1"/>
  <c r="J523" i="1"/>
  <c r="I523" i="1"/>
  <c r="K523" i="1" s="1"/>
  <c r="L523" i="1" s="1"/>
  <c r="J522" i="1"/>
  <c r="I522" i="1"/>
  <c r="K522" i="1" s="1"/>
  <c r="L522" i="1" s="1"/>
  <c r="J521" i="1"/>
  <c r="I521" i="1"/>
  <c r="K521" i="1" s="1"/>
  <c r="L521" i="1" s="1"/>
  <c r="J520" i="1"/>
  <c r="I520" i="1"/>
  <c r="K520" i="1" s="1"/>
  <c r="L520" i="1" s="1"/>
  <c r="J519" i="1"/>
  <c r="I519" i="1"/>
  <c r="K519" i="1" s="1"/>
  <c r="L519" i="1" s="1"/>
  <c r="J518" i="1"/>
  <c r="I518" i="1"/>
  <c r="K518" i="1" s="1"/>
  <c r="L518" i="1" s="1"/>
  <c r="J517" i="1"/>
  <c r="I517" i="1"/>
  <c r="K517" i="1" s="1"/>
  <c r="L517" i="1" s="1"/>
  <c r="J516" i="1"/>
  <c r="I516" i="1"/>
  <c r="K516" i="1" s="1"/>
  <c r="L516" i="1" s="1"/>
  <c r="J515" i="1"/>
  <c r="I515" i="1"/>
  <c r="K515" i="1" s="1"/>
  <c r="L515" i="1" s="1"/>
  <c r="J514" i="1"/>
  <c r="I514" i="1"/>
  <c r="K514" i="1" s="1"/>
  <c r="L514" i="1" s="1"/>
  <c r="J513" i="1"/>
  <c r="I513" i="1"/>
  <c r="K513" i="1" s="1"/>
  <c r="L513" i="1" s="1"/>
  <c r="J512" i="1"/>
  <c r="I512" i="1"/>
  <c r="K512" i="1" s="1"/>
  <c r="L512" i="1" s="1"/>
  <c r="J511" i="1"/>
  <c r="I511" i="1"/>
  <c r="K511" i="1" s="1"/>
  <c r="L511" i="1" s="1"/>
  <c r="J490" i="1"/>
  <c r="I490" i="1"/>
  <c r="K490" i="1" s="1"/>
  <c r="L490" i="1" s="1"/>
  <c r="J489" i="1"/>
  <c r="I489" i="1"/>
  <c r="K489" i="1" s="1"/>
  <c r="L489" i="1" s="1"/>
  <c r="J488" i="1"/>
  <c r="I488" i="1"/>
  <c r="K488" i="1" s="1"/>
  <c r="L488" i="1" s="1"/>
  <c r="J487" i="1"/>
  <c r="I487" i="1"/>
  <c r="K487" i="1" s="1"/>
  <c r="L487" i="1" s="1"/>
  <c r="J486" i="1"/>
  <c r="I486" i="1"/>
  <c r="K486" i="1" s="1"/>
  <c r="L486" i="1" s="1"/>
  <c r="J485" i="1"/>
  <c r="I485" i="1"/>
  <c r="K485" i="1" s="1"/>
  <c r="L485" i="1" s="1"/>
  <c r="J484" i="1"/>
  <c r="I484" i="1"/>
  <c r="K484" i="1" s="1"/>
  <c r="L484" i="1" s="1"/>
  <c r="J483" i="1"/>
  <c r="I483" i="1"/>
  <c r="K483" i="1" s="1"/>
  <c r="L483" i="1" s="1"/>
  <c r="J482" i="1"/>
  <c r="I482" i="1"/>
  <c r="K482" i="1" s="1"/>
  <c r="L482" i="1" s="1"/>
  <c r="J481" i="1"/>
  <c r="I481" i="1"/>
  <c r="K481" i="1" s="1"/>
  <c r="L481" i="1" s="1"/>
  <c r="J480" i="1"/>
  <c r="I480" i="1"/>
  <c r="K480" i="1" s="1"/>
  <c r="L480" i="1" s="1"/>
  <c r="J479" i="1"/>
  <c r="I479" i="1"/>
  <c r="K479" i="1" s="1"/>
  <c r="L479" i="1" s="1"/>
  <c r="J477" i="1"/>
  <c r="I477" i="1"/>
  <c r="K477" i="1" s="1"/>
  <c r="L477" i="1" s="1"/>
  <c r="J476" i="1"/>
  <c r="I476" i="1"/>
  <c r="K476" i="1" s="1"/>
  <c r="L476" i="1" s="1"/>
  <c r="J475" i="1"/>
  <c r="I475" i="1"/>
  <c r="K475" i="1" s="1"/>
  <c r="L475" i="1" s="1"/>
  <c r="J455" i="1"/>
  <c r="I455" i="1"/>
  <c r="K455" i="1" s="1"/>
  <c r="L455" i="1" s="1"/>
  <c r="J454" i="1"/>
  <c r="I454" i="1"/>
  <c r="K454" i="1" s="1"/>
  <c r="L454" i="1" s="1"/>
  <c r="J453" i="1"/>
  <c r="I453" i="1"/>
  <c r="K453" i="1" s="1"/>
  <c r="L453" i="1" s="1"/>
  <c r="J452" i="1"/>
  <c r="I452" i="1"/>
  <c r="K452" i="1" s="1"/>
  <c r="L452" i="1" s="1"/>
  <c r="J451" i="1"/>
  <c r="I451" i="1"/>
  <c r="K451" i="1" s="1"/>
  <c r="L451" i="1" s="1"/>
  <c r="J450" i="1"/>
  <c r="I450" i="1"/>
  <c r="K450" i="1" s="1"/>
  <c r="L450" i="1" s="1"/>
  <c r="J449" i="1"/>
  <c r="I449" i="1"/>
  <c r="K449" i="1" s="1"/>
  <c r="L449" i="1" s="1"/>
  <c r="J448" i="1"/>
  <c r="I448" i="1"/>
  <c r="K448" i="1" s="1"/>
  <c r="L448" i="1" s="1"/>
  <c r="J447" i="1"/>
  <c r="I447" i="1"/>
  <c r="K447" i="1" s="1"/>
  <c r="L447" i="1" s="1"/>
  <c r="J446" i="1"/>
  <c r="I446" i="1"/>
  <c r="K446" i="1" s="1"/>
  <c r="L446" i="1" s="1"/>
  <c r="J445" i="1"/>
  <c r="I445" i="1"/>
  <c r="J444" i="1"/>
  <c r="I444" i="1"/>
  <c r="K444" i="1" s="1"/>
  <c r="L444" i="1" s="1"/>
  <c r="J443" i="1"/>
  <c r="I443" i="1"/>
  <c r="K443" i="1" s="1"/>
  <c r="L443" i="1" s="1"/>
  <c r="J442" i="1"/>
  <c r="I442" i="1"/>
  <c r="K442" i="1" s="1"/>
  <c r="L442" i="1" s="1"/>
  <c r="J441" i="1"/>
  <c r="I441" i="1"/>
  <c r="K441" i="1" s="1"/>
  <c r="L441" i="1" s="1"/>
  <c r="J311" i="1"/>
  <c r="I311" i="1"/>
  <c r="K311" i="1" s="1"/>
  <c r="L311" i="1" s="1"/>
  <c r="J277" i="1"/>
  <c r="I277" i="1"/>
  <c r="K277" i="1" s="1"/>
  <c r="L277" i="1" s="1"/>
  <c r="J244" i="1"/>
  <c r="I244" i="1"/>
  <c r="K244" i="1" s="1"/>
  <c r="L244" i="1" s="1"/>
  <c r="J4488" i="1"/>
  <c r="I4488" i="1"/>
  <c r="K4488" i="1" s="1"/>
  <c r="L4488" i="1" s="1"/>
  <c r="J411" i="1"/>
  <c r="I411" i="1"/>
  <c r="J378" i="1"/>
  <c r="I378" i="1"/>
  <c r="J344" i="1"/>
  <c r="I344" i="1"/>
  <c r="J310" i="1"/>
  <c r="I310" i="1"/>
  <c r="J276" i="1"/>
  <c r="I276" i="1"/>
  <c r="J242" i="1"/>
  <c r="I242" i="1"/>
  <c r="J4487" i="1"/>
  <c r="I4487" i="1"/>
  <c r="J410" i="1"/>
  <c r="I410" i="1"/>
  <c r="J377" i="1"/>
  <c r="I377" i="1"/>
  <c r="J343" i="1"/>
  <c r="I343" i="1"/>
  <c r="J309" i="1"/>
  <c r="I309" i="1"/>
  <c r="J275" i="1"/>
  <c r="I275" i="1"/>
  <c r="J241" i="1"/>
  <c r="I241" i="1"/>
  <c r="J4486" i="1"/>
  <c r="I4486" i="1"/>
  <c r="J409" i="1"/>
  <c r="I409" i="1"/>
  <c r="J376" i="1"/>
  <c r="I376" i="1"/>
  <c r="J342" i="1"/>
  <c r="I342" i="1"/>
  <c r="J308" i="1"/>
  <c r="I308" i="1"/>
  <c r="J274" i="1"/>
  <c r="I274" i="1"/>
  <c r="J240" i="1"/>
  <c r="I240" i="1"/>
  <c r="J4485" i="1"/>
  <c r="I4485" i="1"/>
  <c r="J408" i="1"/>
  <c r="I408" i="1"/>
  <c r="J375" i="1"/>
  <c r="I375" i="1"/>
  <c r="J341" i="1"/>
  <c r="I341" i="1"/>
  <c r="J307" i="1"/>
  <c r="I307" i="1"/>
  <c r="J273" i="1"/>
  <c r="I273" i="1"/>
  <c r="J239" i="1"/>
  <c r="I239" i="1"/>
  <c r="J4484" i="1"/>
  <c r="I4484" i="1"/>
  <c r="J407" i="1"/>
  <c r="I407" i="1"/>
  <c r="J374" i="1"/>
  <c r="I374" i="1"/>
  <c r="J340" i="1"/>
  <c r="I340" i="1"/>
  <c r="J4337" i="1"/>
  <c r="I4337" i="1"/>
  <c r="J4336" i="1"/>
  <c r="I4336" i="1"/>
  <c r="J4335" i="1"/>
  <c r="I4335" i="1"/>
  <c r="J4334" i="1"/>
  <c r="I4334" i="1"/>
  <c r="J4333" i="1"/>
  <c r="I4333" i="1"/>
  <c r="J4332" i="1"/>
  <c r="I4332" i="1"/>
  <c r="J4331" i="1"/>
  <c r="I4331" i="1"/>
  <c r="J4330" i="1"/>
  <c r="I4330" i="1"/>
  <c r="L4329" i="1"/>
  <c r="J4328" i="1"/>
  <c r="I4328" i="1"/>
  <c r="J4327" i="1"/>
  <c r="I4327" i="1"/>
  <c r="J4326" i="1"/>
  <c r="I4326" i="1"/>
  <c r="L4325" i="1"/>
  <c r="J4324" i="1"/>
  <c r="I4324" i="1"/>
  <c r="L4323" i="1"/>
  <c r="L4322" i="1"/>
  <c r="J4321" i="1"/>
  <c r="I4321" i="1"/>
  <c r="J4320" i="1"/>
  <c r="I4320" i="1"/>
  <c r="J4319" i="1"/>
  <c r="I4319" i="1"/>
  <c r="L4318" i="1"/>
  <c r="J4317" i="1"/>
  <c r="I4317" i="1"/>
  <c r="L4316" i="1"/>
  <c r="J4315" i="1"/>
  <c r="I4315" i="1"/>
  <c r="J4314" i="1"/>
  <c r="I4314" i="1"/>
  <c r="J4313" i="1"/>
  <c r="I4313" i="1"/>
  <c r="J4312" i="1"/>
  <c r="I4312" i="1"/>
  <c r="J4310" i="1"/>
  <c r="I4310" i="1"/>
  <c r="J4309" i="1"/>
  <c r="I4309" i="1"/>
  <c r="J4308" i="1"/>
  <c r="I4308" i="1"/>
  <c r="J4307" i="1"/>
  <c r="I4307" i="1"/>
  <c r="L4306" i="1"/>
  <c r="J4305" i="1"/>
  <c r="I4305" i="1"/>
  <c r="L4304" i="1"/>
  <c r="J4303" i="1"/>
  <c r="I4303" i="1"/>
  <c r="J4302" i="1"/>
  <c r="I4302" i="1"/>
  <c r="J4301" i="1"/>
  <c r="I4301" i="1"/>
  <c r="J4300" i="1"/>
  <c r="I4300" i="1"/>
  <c r="J4299" i="1"/>
  <c r="I4299" i="1"/>
  <c r="J4298" i="1"/>
  <c r="I4298" i="1"/>
  <c r="J4297" i="1"/>
  <c r="I4297" i="1"/>
  <c r="J4296" i="1"/>
  <c r="I4296" i="1"/>
  <c r="L4295" i="1"/>
  <c r="J4294" i="1"/>
  <c r="I4294" i="1"/>
  <c r="J4293" i="1"/>
  <c r="I4293" i="1"/>
  <c r="J4292" i="1"/>
  <c r="I4292" i="1"/>
  <c r="J4291" i="1"/>
  <c r="I4291" i="1"/>
  <c r="J4290" i="1"/>
  <c r="I4290" i="1"/>
  <c r="J4289" i="1"/>
  <c r="I4289" i="1"/>
  <c r="J4288" i="1"/>
  <c r="I4288" i="1"/>
  <c r="J4287" i="1"/>
  <c r="I4287" i="1"/>
  <c r="J4286" i="1"/>
  <c r="I4286" i="1"/>
  <c r="J4285" i="1"/>
  <c r="I4285" i="1"/>
  <c r="J4284" i="1"/>
  <c r="I4284" i="1"/>
  <c r="J4283" i="1"/>
  <c r="I4283" i="1"/>
  <c r="J4282" i="1"/>
  <c r="I4282" i="1"/>
  <c r="J4281" i="1"/>
  <c r="I4281" i="1"/>
  <c r="J4280" i="1"/>
  <c r="I4280" i="1"/>
  <c r="L4279" i="1"/>
  <c r="L4278" i="1"/>
  <c r="J4277" i="1"/>
  <c r="I4277" i="1"/>
  <c r="J4276" i="1"/>
  <c r="I4276" i="1"/>
  <c r="J4275" i="1"/>
  <c r="I4275" i="1"/>
  <c r="L4274" i="1"/>
  <c r="J4273" i="1"/>
  <c r="I4273" i="1"/>
  <c r="L4272" i="1"/>
  <c r="J4271" i="1"/>
  <c r="I4271" i="1"/>
  <c r="L4270" i="1"/>
  <c r="J4269" i="1"/>
  <c r="I4269" i="1"/>
  <c r="J4268" i="1"/>
  <c r="I4268" i="1"/>
  <c r="J4266" i="1"/>
  <c r="I4266" i="1"/>
  <c r="J4265" i="1"/>
  <c r="I4265" i="1"/>
  <c r="J4264" i="1"/>
  <c r="I4264" i="1"/>
  <c r="J4263" i="1"/>
  <c r="I4263" i="1"/>
  <c r="L4262" i="1"/>
  <c r="J4261" i="1"/>
  <c r="I4261" i="1"/>
  <c r="L4260" i="1"/>
  <c r="J4259" i="1"/>
  <c r="I4259" i="1"/>
  <c r="J4258" i="1"/>
  <c r="I4258" i="1"/>
  <c r="J4257" i="1"/>
  <c r="I4257" i="1"/>
  <c r="L4256" i="1"/>
  <c r="L4255" i="1"/>
  <c r="J4254" i="1"/>
  <c r="I4254" i="1"/>
  <c r="J4253" i="1"/>
  <c r="I4253" i="1"/>
  <c r="J4252" i="1"/>
  <c r="I4252" i="1"/>
  <c r="L4251" i="1"/>
  <c r="J4250" i="1"/>
  <c r="I4250" i="1"/>
  <c r="J4249" i="1"/>
  <c r="I4249" i="1"/>
  <c r="J4248" i="1"/>
  <c r="I4248" i="1"/>
  <c r="J4247" i="1"/>
  <c r="I4247" i="1"/>
  <c r="J4246" i="1"/>
  <c r="I4246" i="1"/>
  <c r="J4245" i="1"/>
  <c r="I4245" i="1"/>
  <c r="J4244" i="1"/>
  <c r="I4244" i="1"/>
  <c r="L4243" i="1"/>
  <c r="L4242" i="1"/>
  <c r="J4241" i="1"/>
  <c r="I4241" i="1"/>
  <c r="J4240" i="1"/>
  <c r="I4240" i="1"/>
  <c r="J4239" i="1"/>
  <c r="I4239" i="1"/>
  <c r="J4238" i="1"/>
  <c r="I4238" i="1"/>
  <c r="J4237" i="1"/>
  <c r="I4237" i="1"/>
  <c r="J4236" i="1"/>
  <c r="I4236" i="1"/>
  <c r="L4235" i="1"/>
  <c r="L4234" i="1"/>
  <c r="J4233" i="1"/>
  <c r="I4233" i="1"/>
  <c r="J4232" i="1"/>
  <c r="I4232" i="1"/>
  <c r="J4231" i="1"/>
  <c r="I4231" i="1"/>
  <c r="L4230" i="1"/>
  <c r="J4229" i="1"/>
  <c r="I4229" i="1"/>
  <c r="L4228" i="1"/>
  <c r="J4227" i="1"/>
  <c r="I4227" i="1"/>
  <c r="L4226" i="1"/>
  <c r="J4225" i="1"/>
  <c r="I4225" i="1"/>
  <c r="J4224" i="1"/>
  <c r="I4224" i="1"/>
  <c r="J4222" i="1"/>
  <c r="I4222" i="1"/>
  <c r="J4221" i="1"/>
  <c r="I4221" i="1"/>
  <c r="J4220" i="1"/>
  <c r="I4220" i="1"/>
  <c r="J4219" i="1"/>
  <c r="I4219" i="1"/>
  <c r="L4218" i="1"/>
  <c r="J4217" i="1"/>
  <c r="I4217" i="1"/>
  <c r="L4216" i="1"/>
  <c r="J4215" i="1"/>
  <c r="I4215" i="1"/>
  <c r="J4214" i="1"/>
  <c r="I4214" i="1"/>
  <c r="J4213" i="1"/>
  <c r="I4213" i="1"/>
  <c r="L4212" i="1"/>
  <c r="L4211" i="1"/>
  <c r="J4210" i="1"/>
  <c r="I4210" i="1"/>
  <c r="J4209" i="1"/>
  <c r="I4209" i="1"/>
  <c r="J4208" i="1"/>
  <c r="I4208" i="1"/>
  <c r="L4207" i="1"/>
  <c r="J4206" i="1"/>
  <c r="I4206" i="1"/>
  <c r="J4205" i="1"/>
  <c r="I4205" i="1"/>
  <c r="J4204" i="1"/>
  <c r="I4204" i="1"/>
  <c r="J4203" i="1"/>
  <c r="I4203" i="1"/>
  <c r="J4202" i="1"/>
  <c r="I4202" i="1"/>
  <c r="J4201" i="1"/>
  <c r="I4201" i="1"/>
  <c r="J4200" i="1"/>
  <c r="I4200" i="1"/>
  <c r="J4199" i="1"/>
  <c r="I4199" i="1"/>
  <c r="J4198" i="1"/>
  <c r="I4198" i="1"/>
  <c r="J4197" i="1"/>
  <c r="I4197" i="1"/>
  <c r="J4196" i="1"/>
  <c r="I4196" i="1"/>
  <c r="J4195" i="1"/>
  <c r="I4195" i="1"/>
  <c r="J4194" i="1"/>
  <c r="I4194" i="1"/>
  <c r="J4193" i="1"/>
  <c r="I4193" i="1"/>
  <c r="J4192" i="1"/>
  <c r="I4192" i="1"/>
  <c r="L4191" i="1"/>
  <c r="L4190" i="1"/>
  <c r="J4189" i="1"/>
  <c r="I4189" i="1"/>
  <c r="J4188" i="1"/>
  <c r="I4188" i="1"/>
  <c r="J4187" i="1"/>
  <c r="I4187" i="1"/>
  <c r="L4186" i="1"/>
  <c r="J4185" i="1"/>
  <c r="I4185" i="1"/>
  <c r="L4184" i="1"/>
  <c r="J4183" i="1"/>
  <c r="I4183" i="1"/>
  <c r="L4182" i="1"/>
  <c r="J4181" i="1"/>
  <c r="I4181" i="1"/>
  <c r="J4180" i="1"/>
  <c r="I4180" i="1"/>
  <c r="J4178" i="1"/>
  <c r="I4178" i="1"/>
  <c r="J4177" i="1"/>
  <c r="I4177" i="1"/>
  <c r="J4176" i="1"/>
  <c r="I4176" i="1"/>
  <c r="J4175" i="1"/>
  <c r="I4175" i="1"/>
  <c r="L4174" i="1"/>
  <c r="J4173" i="1"/>
  <c r="I4173" i="1"/>
  <c r="L4172" i="1"/>
  <c r="J4171" i="1"/>
  <c r="I4171" i="1"/>
  <c r="J4170" i="1"/>
  <c r="I4170" i="1"/>
  <c r="J4169" i="1"/>
  <c r="I4169" i="1"/>
  <c r="L4168" i="1"/>
  <c r="L4167" i="1"/>
  <c r="J4166" i="1"/>
  <c r="I4166" i="1"/>
  <c r="J4165" i="1"/>
  <c r="I4165" i="1"/>
  <c r="J4164" i="1"/>
  <c r="I4164" i="1"/>
  <c r="L4163" i="1"/>
  <c r="J4162" i="1"/>
  <c r="I4162" i="1"/>
  <c r="J4161" i="1"/>
  <c r="I4161" i="1"/>
  <c r="J4160" i="1"/>
  <c r="I4160" i="1"/>
  <c r="J4159" i="1"/>
  <c r="I4159" i="1"/>
  <c r="J4158" i="1"/>
  <c r="I4158" i="1"/>
  <c r="J4157" i="1"/>
  <c r="I4157" i="1"/>
  <c r="J4156" i="1"/>
  <c r="I4156" i="1"/>
  <c r="J4155" i="1"/>
  <c r="I4155" i="1"/>
  <c r="J4154" i="1"/>
  <c r="I4154" i="1"/>
  <c r="J4153" i="1"/>
  <c r="I4153" i="1"/>
  <c r="L4152" i="1"/>
  <c r="J4151" i="1"/>
  <c r="I4151" i="1"/>
  <c r="J4150" i="1"/>
  <c r="I4150" i="1"/>
  <c r="J4149" i="1"/>
  <c r="I4149" i="1"/>
  <c r="J4148" i="1"/>
  <c r="I4148" i="1"/>
  <c r="L4147" i="1"/>
  <c r="L4146" i="1"/>
  <c r="J4145" i="1"/>
  <c r="I4145" i="1"/>
  <c r="J4144" i="1"/>
  <c r="I4144" i="1"/>
  <c r="J4143" i="1"/>
  <c r="I4143" i="1"/>
  <c r="L4142" i="1"/>
  <c r="J4141" i="1"/>
  <c r="I4141" i="1"/>
  <c r="L4140" i="1"/>
  <c r="J4139" i="1"/>
  <c r="I4139" i="1"/>
  <c r="L4138" i="1"/>
  <c r="J4137" i="1"/>
  <c r="I4137" i="1"/>
  <c r="L4136" i="1"/>
  <c r="J4134" i="1"/>
  <c r="I4134" i="1"/>
  <c r="J4133" i="1"/>
  <c r="I4133" i="1"/>
  <c r="J4132" i="1"/>
  <c r="I4132" i="1"/>
  <c r="J4131" i="1"/>
  <c r="I4131" i="1"/>
  <c r="L4130" i="1"/>
  <c r="J4129" i="1"/>
  <c r="I4129" i="1"/>
  <c r="L4128" i="1"/>
  <c r="J4127" i="1"/>
  <c r="I4127" i="1"/>
  <c r="J4126" i="1"/>
  <c r="I4126" i="1"/>
  <c r="J4125" i="1"/>
  <c r="I4125" i="1"/>
  <c r="J4124" i="1"/>
  <c r="I4124" i="1"/>
  <c r="J4123" i="1"/>
  <c r="I4123" i="1"/>
  <c r="J4122" i="1"/>
  <c r="I4122" i="1"/>
  <c r="J4121" i="1"/>
  <c r="I4121" i="1"/>
  <c r="J4120" i="1"/>
  <c r="I4120" i="1"/>
  <c r="L4119" i="1"/>
  <c r="J4118" i="1"/>
  <c r="I4118" i="1"/>
  <c r="L4117" i="1"/>
  <c r="J4116" i="1"/>
  <c r="I4116" i="1"/>
  <c r="J4115" i="1"/>
  <c r="I4115" i="1"/>
  <c r="J4114" i="1"/>
  <c r="I4114" i="1"/>
  <c r="J4113" i="1"/>
  <c r="I4113" i="1"/>
  <c r="J4112" i="1"/>
  <c r="I4112" i="1"/>
  <c r="J4111" i="1"/>
  <c r="I4111" i="1"/>
  <c r="J4110" i="1"/>
  <c r="I4110" i="1"/>
  <c r="J4109" i="1"/>
  <c r="I4109" i="1"/>
  <c r="J4108" i="1"/>
  <c r="I4108" i="1"/>
  <c r="J4107" i="1"/>
  <c r="I4107" i="1"/>
  <c r="J4106" i="1"/>
  <c r="I4106" i="1"/>
  <c r="J4105" i="1"/>
  <c r="I4105" i="1"/>
  <c r="J4104" i="1"/>
  <c r="I4104" i="1"/>
  <c r="L4103" i="1"/>
  <c r="L4102" i="1"/>
  <c r="J4101" i="1"/>
  <c r="I4101" i="1"/>
  <c r="K4101" i="1" s="1"/>
  <c r="L4101" i="1" s="1"/>
  <c r="J4100" i="1"/>
  <c r="I4100" i="1"/>
  <c r="K4100" i="1" s="1"/>
  <c r="L4100" i="1" s="1"/>
  <c r="J4099" i="1"/>
  <c r="I4099" i="1"/>
  <c r="K4099" i="1" s="1"/>
  <c r="L4099" i="1" s="1"/>
  <c r="L4098" i="1"/>
  <c r="J4097" i="1"/>
  <c r="I4097" i="1"/>
  <c r="K4097" i="1" s="1"/>
  <c r="L4097" i="1" s="1"/>
  <c r="L4096" i="1"/>
  <c r="J4095" i="1"/>
  <c r="I4095" i="1"/>
  <c r="K4095" i="1" s="1"/>
  <c r="L4095" i="1" s="1"/>
  <c r="L4094" i="1"/>
  <c r="J4093" i="1"/>
  <c r="I4093" i="1"/>
  <c r="K4093" i="1" s="1"/>
  <c r="L4093" i="1" s="1"/>
  <c r="L4092" i="1"/>
  <c r="J4090" i="1"/>
  <c r="I4090" i="1"/>
  <c r="K4090" i="1" s="1"/>
  <c r="L4090" i="1" s="1"/>
  <c r="J4089" i="1"/>
  <c r="I4089" i="1"/>
  <c r="K4089" i="1" s="1"/>
  <c r="L4089" i="1" s="1"/>
  <c r="J4088" i="1"/>
  <c r="I4088" i="1"/>
  <c r="K4088" i="1" s="1"/>
  <c r="L4088" i="1" s="1"/>
  <c r="J4087" i="1"/>
  <c r="I4087" i="1"/>
  <c r="K4087" i="1" s="1"/>
  <c r="L4087" i="1" s="1"/>
  <c r="L4086" i="1"/>
  <c r="J4085" i="1"/>
  <c r="I4085" i="1"/>
  <c r="K4085" i="1" s="1"/>
  <c r="L4085" i="1" s="1"/>
  <c r="L4084" i="1"/>
  <c r="J4083" i="1"/>
  <c r="I4083" i="1"/>
  <c r="K4083" i="1" s="1"/>
  <c r="L4083" i="1" s="1"/>
  <c r="J4082" i="1"/>
  <c r="I4082" i="1"/>
  <c r="K4082" i="1" s="1"/>
  <c r="L4082" i="1" s="1"/>
  <c r="J4081" i="1"/>
  <c r="I4081" i="1"/>
  <c r="K4081" i="1" s="1"/>
  <c r="L4081" i="1" s="1"/>
  <c r="J4080" i="1"/>
  <c r="I4080" i="1"/>
  <c r="K4080" i="1" s="1"/>
  <c r="L4080" i="1" s="1"/>
  <c r="J4079" i="1"/>
  <c r="I4079" i="1"/>
  <c r="K4079" i="1" s="1"/>
  <c r="L4079" i="1" s="1"/>
  <c r="L4078" i="1"/>
  <c r="J4077" i="1"/>
  <c r="I4077" i="1"/>
  <c r="K4077" i="1" s="1"/>
  <c r="L4077" i="1" s="1"/>
  <c r="J4076" i="1"/>
  <c r="I4076" i="1"/>
  <c r="K4076" i="1" s="1"/>
  <c r="L4076" i="1" s="1"/>
  <c r="L4075" i="1"/>
  <c r="J4074" i="1"/>
  <c r="I4074" i="1"/>
  <c r="K4074" i="1" s="1"/>
  <c r="L4074" i="1" s="1"/>
  <c r="J4073" i="1"/>
  <c r="I4073" i="1"/>
  <c r="K4073" i="1" s="1"/>
  <c r="L4073" i="1" s="1"/>
  <c r="J4072" i="1"/>
  <c r="I4072" i="1"/>
  <c r="K4072" i="1" s="1"/>
  <c r="L4072" i="1" s="1"/>
  <c r="J4071" i="1"/>
  <c r="I4071" i="1"/>
  <c r="K4071" i="1" s="1"/>
  <c r="L4071" i="1" s="1"/>
  <c r="J4070" i="1"/>
  <c r="I4070" i="1"/>
  <c r="K4070" i="1" s="1"/>
  <c r="L4070" i="1" s="1"/>
  <c r="J4069" i="1"/>
  <c r="I4069" i="1"/>
  <c r="K4069" i="1" s="1"/>
  <c r="L4069" i="1" s="1"/>
  <c r="J4068" i="1"/>
  <c r="I4068" i="1"/>
  <c r="K4068" i="1" s="1"/>
  <c r="L4068" i="1" s="1"/>
  <c r="J4067" i="1"/>
  <c r="I4067" i="1"/>
  <c r="K4067" i="1" s="1"/>
  <c r="L4067" i="1" s="1"/>
  <c r="J4066" i="1"/>
  <c r="I4066" i="1"/>
  <c r="K4066" i="1" s="1"/>
  <c r="L4066" i="1" s="1"/>
  <c r="J4065" i="1"/>
  <c r="I4065" i="1"/>
  <c r="K4065" i="1" s="1"/>
  <c r="L4065" i="1" s="1"/>
  <c r="J4064" i="1"/>
  <c r="I4064" i="1"/>
  <c r="K4064" i="1" s="1"/>
  <c r="L4064" i="1" s="1"/>
  <c r="J4063" i="1"/>
  <c r="I4063" i="1"/>
  <c r="K4063" i="1" s="1"/>
  <c r="L4063" i="1" s="1"/>
  <c r="J4062" i="1"/>
  <c r="I4062" i="1"/>
  <c r="K4062" i="1" s="1"/>
  <c r="L4062" i="1" s="1"/>
  <c r="J4061" i="1"/>
  <c r="I4061" i="1"/>
  <c r="K4061" i="1" s="1"/>
  <c r="L4061" i="1" s="1"/>
  <c r="J4060" i="1"/>
  <c r="I4060" i="1"/>
  <c r="K4060" i="1" s="1"/>
  <c r="L4060" i="1" s="1"/>
  <c r="J4059" i="1"/>
  <c r="I4059" i="1"/>
  <c r="K4059" i="1" s="1"/>
  <c r="L4059" i="1" s="1"/>
  <c r="L4058" i="1"/>
  <c r="J4057" i="1"/>
  <c r="I4057" i="1"/>
  <c r="K4057" i="1" s="1"/>
  <c r="L4057" i="1" s="1"/>
  <c r="J4056" i="1"/>
  <c r="I4056" i="1"/>
  <c r="K4056" i="1" s="1"/>
  <c r="L4056" i="1" s="1"/>
  <c r="J4055" i="1"/>
  <c r="I4055" i="1"/>
  <c r="K4055" i="1" s="1"/>
  <c r="L4055" i="1" s="1"/>
  <c r="L4054" i="1"/>
  <c r="J4053" i="1"/>
  <c r="I4053" i="1"/>
  <c r="K4053" i="1" s="1"/>
  <c r="L4053" i="1" s="1"/>
  <c r="L4052" i="1"/>
  <c r="J4051" i="1"/>
  <c r="I4051" i="1"/>
  <c r="K4051" i="1" s="1"/>
  <c r="L4051" i="1" s="1"/>
  <c r="L4050" i="1"/>
  <c r="J4049" i="1"/>
  <c r="I4049" i="1"/>
  <c r="K4049" i="1" s="1"/>
  <c r="L4049" i="1" s="1"/>
  <c r="L4048" i="1"/>
  <c r="J4046" i="1"/>
  <c r="I4046" i="1"/>
  <c r="K4046" i="1" s="1"/>
  <c r="L4046" i="1" s="1"/>
  <c r="J4045" i="1"/>
  <c r="I4045" i="1"/>
  <c r="K4045" i="1" s="1"/>
  <c r="L4045" i="1" s="1"/>
  <c r="J4044" i="1"/>
  <c r="I4044" i="1"/>
  <c r="K4044" i="1" s="1"/>
  <c r="L4044" i="1" s="1"/>
  <c r="J4043" i="1"/>
  <c r="I4043" i="1"/>
  <c r="K4043" i="1" s="1"/>
  <c r="L4043" i="1" s="1"/>
  <c r="L4042" i="1"/>
  <c r="J4041" i="1"/>
  <c r="I4041" i="1"/>
  <c r="K4041" i="1" s="1"/>
  <c r="L4041" i="1" s="1"/>
  <c r="L4040" i="1"/>
  <c r="J4039" i="1"/>
  <c r="I4039" i="1"/>
  <c r="K4039" i="1" s="1"/>
  <c r="L4039" i="1" s="1"/>
  <c r="J4038" i="1"/>
  <c r="I4038" i="1"/>
  <c r="K4038" i="1" s="1"/>
  <c r="L4038" i="1" s="1"/>
  <c r="J4037" i="1"/>
  <c r="I4037" i="1"/>
  <c r="K4037" i="1" s="1"/>
  <c r="L4037" i="1" s="1"/>
  <c r="J4036" i="1"/>
  <c r="I4036" i="1"/>
  <c r="K4036" i="1" s="1"/>
  <c r="L4036" i="1" s="1"/>
  <c r="J4035" i="1"/>
  <c r="I4035" i="1"/>
  <c r="K4035" i="1" s="1"/>
  <c r="L4035" i="1" s="1"/>
  <c r="J4034" i="1"/>
  <c r="I4034" i="1"/>
  <c r="K4034" i="1" s="1"/>
  <c r="L4034" i="1" s="1"/>
  <c r="J4033" i="1"/>
  <c r="I4033" i="1"/>
  <c r="K4033" i="1" s="1"/>
  <c r="L4033" i="1" s="1"/>
  <c r="J4032" i="1"/>
  <c r="I4032" i="1"/>
  <c r="K4032" i="1" s="1"/>
  <c r="L4032" i="1" s="1"/>
  <c r="L4031" i="1"/>
  <c r="J4030" i="1"/>
  <c r="I4030" i="1"/>
  <c r="K4030" i="1" s="1"/>
  <c r="L4030" i="1" s="1"/>
  <c r="J4029" i="1"/>
  <c r="I4029" i="1"/>
  <c r="K4029" i="1" s="1"/>
  <c r="L4029" i="1" s="1"/>
  <c r="J4028" i="1"/>
  <c r="I4028" i="1"/>
  <c r="K4028" i="1" s="1"/>
  <c r="L4028" i="1" s="1"/>
  <c r="J4027" i="1"/>
  <c r="I4027" i="1"/>
  <c r="K4027" i="1" s="1"/>
  <c r="L4027" i="1" s="1"/>
  <c r="J4026" i="1"/>
  <c r="I4026" i="1"/>
  <c r="K4026" i="1" s="1"/>
  <c r="L4026" i="1" s="1"/>
  <c r="J4025" i="1"/>
  <c r="I4025" i="1"/>
  <c r="K4025" i="1" s="1"/>
  <c r="L4025" i="1" s="1"/>
  <c r="J4024" i="1"/>
  <c r="I4024" i="1"/>
  <c r="K4024" i="1" s="1"/>
  <c r="L4024" i="1" s="1"/>
  <c r="J4023" i="1"/>
  <c r="I4023" i="1"/>
  <c r="K4023" i="1" s="1"/>
  <c r="L4023" i="1" s="1"/>
  <c r="J4022" i="1"/>
  <c r="I4022" i="1"/>
  <c r="K4022" i="1" s="1"/>
  <c r="L4022" i="1" s="1"/>
  <c r="J4021" i="1"/>
  <c r="I4021" i="1"/>
  <c r="K4021" i="1" s="1"/>
  <c r="L4021" i="1" s="1"/>
  <c r="J4020" i="1"/>
  <c r="I4020" i="1"/>
  <c r="K4020" i="1" s="1"/>
  <c r="L4020" i="1" s="1"/>
  <c r="J4019" i="1"/>
  <c r="I4019" i="1"/>
  <c r="K4019" i="1" s="1"/>
  <c r="L4019" i="1" s="1"/>
  <c r="J4018" i="1"/>
  <c r="I4018" i="1"/>
  <c r="K4018" i="1" s="1"/>
  <c r="L4018" i="1" s="1"/>
  <c r="J4017" i="1"/>
  <c r="I4017" i="1"/>
  <c r="K4017" i="1" s="1"/>
  <c r="L4017" i="1" s="1"/>
  <c r="J4016" i="1"/>
  <c r="I4016" i="1"/>
  <c r="K4016" i="1" s="1"/>
  <c r="L4016" i="1" s="1"/>
  <c r="J4015" i="1"/>
  <c r="I4015" i="1"/>
  <c r="K4015" i="1" s="1"/>
  <c r="L4015" i="1" s="1"/>
  <c r="L4014" i="1"/>
  <c r="J4013" i="1"/>
  <c r="I4013" i="1"/>
  <c r="K4013" i="1" s="1"/>
  <c r="L4013" i="1" s="1"/>
  <c r="J4012" i="1"/>
  <c r="I4012" i="1"/>
  <c r="K4012" i="1" s="1"/>
  <c r="L4012" i="1" s="1"/>
  <c r="J4011" i="1"/>
  <c r="I4011" i="1"/>
  <c r="K4011" i="1" s="1"/>
  <c r="L4011" i="1" s="1"/>
  <c r="L4010" i="1"/>
  <c r="J4009" i="1"/>
  <c r="I4009" i="1"/>
  <c r="K4009" i="1" s="1"/>
  <c r="L4009" i="1" s="1"/>
  <c r="L4008" i="1"/>
  <c r="J4007" i="1"/>
  <c r="I4007" i="1"/>
  <c r="K4007" i="1" s="1"/>
  <c r="L4007" i="1" s="1"/>
  <c r="L4006" i="1"/>
  <c r="J4005" i="1"/>
  <c r="I4005" i="1"/>
  <c r="K4005" i="1" s="1"/>
  <c r="L4005" i="1" s="1"/>
  <c r="L4004" i="1"/>
  <c r="J4002" i="1"/>
  <c r="I4002" i="1"/>
  <c r="K4002" i="1" s="1"/>
  <c r="L4002" i="1" s="1"/>
  <c r="J4001" i="1"/>
  <c r="I4001" i="1"/>
  <c r="K4001" i="1" s="1"/>
  <c r="L4001" i="1" s="1"/>
  <c r="J4000" i="1"/>
  <c r="I4000" i="1"/>
  <c r="K4000" i="1" s="1"/>
  <c r="L4000" i="1" s="1"/>
  <c r="J3999" i="1"/>
  <c r="I3999" i="1"/>
  <c r="K3999" i="1" s="1"/>
  <c r="L3999" i="1" s="1"/>
  <c r="L3998" i="1"/>
  <c r="J3997" i="1"/>
  <c r="I3997" i="1"/>
  <c r="K3997" i="1" s="1"/>
  <c r="L3997" i="1" s="1"/>
  <c r="L3996" i="1"/>
  <c r="J3995" i="1"/>
  <c r="I3995" i="1"/>
  <c r="K3995" i="1" s="1"/>
  <c r="L3995" i="1" s="1"/>
  <c r="J3994" i="1"/>
  <c r="I3994" i="1"/>
  <c r="K3994" i="1" s="1"/>
  <c r="L3994" i="1" s="1"/>
  <c r="J3993" i="1"/>
  <c r="I3993" i="1"/>
  <c r="K3993" i="1" s="1"/>
  <c r="L3993" i="1" s="1"/>
  <c r="J3992" i="1"/>
  <c r="I3992" i="1"/>
  <c r="K3992" i="1" s="1"/>
  <c r="L3992" i="1" s="1"/>
  <c r="J3991" i="1"/>
  <c r="I3991" i="1"/>
  <c r="K3991" i="1" s="1"/>
  <c r="L3991" i="1" s="1"/>
  <c r="J3990" i="1"/>
  <c r="I3990" i="1"/>
  <c r="K3990" i="1" s="1"/>
  <c r="L3990" i="1" s="1"/>
  <c r="J3989" i="1"/>
  <c r="I3989" i="1"/>
  <c r="K3989" i="1" s="1"/>
  <c r="L3989" i="1" s="1"/>
  <c r="J3988" i="1"/>
  <c r="I3988" i="1"/>
  <c r="K3988" i="1" s="1"/>
  <c r="L3988" i="1" s="1"/>
  <c r="L3987" i="1"/>
  <c r="J3986" i="1"/>
  <c r="I3986" i="1"/>
  <c r="K3986" i="1" s="1"/>
  <c r="L3986" i="1" s="1"/>
  <c r="J3985" i="1"/>
  <c r="I3985" i="1"/>
  <c r="K3985" i="1" s="1"/>
  <c r="L3985" i="1" s="1"/>
  <c r="J3984" i="1"/>
  <c r="I3984" i="1"/>
  <c r="K3984" i="1" s="1"/>
  <c r="L3984" i="1" s="1"/>
  <c r="J3983" i="1"/>
  <c r="I3983" i="1"/>
  <c r="K3983" i="1" s="1"/>
  <c r="L3983" i="1" s="1"/>
  <c r="J3982" i="1"/>
  <c r="I3982" i="1"/>
  <c r="K3982" i="1" s="1"/>
  <c r="L3982" i="1" s="1"/>
  <c r="L3981" i="1"/>
  <c r="J3980" i="1"/>
  <c r="I3980" i="1"/>
  <c r="K3980" i="1" s="1"/>
  <c r="L3980" i="1" s="1"/>
  <c r="J3979" i="1"/>
  <c r="I3979" i="1"/>
  <c r="K3979" i="1" s="1"/>
  <c r="L3979" i="1" s="1"/>
  <c r="J3978" i="1"/>
  <c r="I3978" i="1"/>
  <c r="K3978" i="1" s="1"/>
  <c r="L3978" i="1" s="1"/>
  <c r="J3977" i="1"/>
  <c r="I3977" i="1"/>
  <c r="K3977" i="1" s="1"/>
  <c r="L3977" i="1" s="1"/>
  <c r="L3976" i="1"/>
  <c r="J3975" i="1"/>
  <c r="I3975" i="1"/>
  <c r="K3975" i="1" s="1"/>
  <c r="L3975" i="1" s="1"/>
  <c r="J3974" i="1"/>
  <c r="I3974" i="1"/>
  <c r="K3974" i="1" s="1"/>
  <c r="L3974" i="1" s="1"/>
  <c r="J3973" i="1"/>
  <c r="I3973" i="1"/>
  <c r="K3973" i="1" s="1"/>
  <c r="L3973" i="1" s="1"/>
  <c r="J3972" i="1"/>
  <c r="I3972" i="1"/>
  <c r="K3972" i="1" s="1"/>
  <c r="L3972" i="1" s="1"/>
  <c r="J3971" i="1"/>
  <c r="I3971" i="1"/>
  <c r="K3971" i="1" s="1"/>
  <c r="L3971" i="1" s="1"/>
  <c r="L3970" i="1"/>
  <c r="J3969" i="1"/>
  <c r="I3969" i="1"/>
  <c r="K3969" i="1" s="1"/>
  <c r="L3969" i="1" s="1"/>
  <c r="J3968" i="1"/>
  <c r="I3968" i="1"/>
  <c r="K3968" i="1" s="1"/>
  <c r="L3968" i="1" s="1"/>
  <c r="J3967" i="1"/>
  <c r="I3967" i="1"/>
  <c r="K3967" i="1" s="1"/>
  <c r="L3967" i="1" s="1"/>
  <c r="J3966" i="1"/>
  <c r="I3966" i="1"/>
  <c r="K3966" i="1" s="1"/>
  <c r="L3966" i="1" s="1"/>
  <c r="J3965" i="1"/>
  <c r="I3965" i="1"/>
  <c r="K3965" i="1" s="1"/>
  <c r="L3965" i="1" s="1"/>
  <c r="L3964" i="1"/>
  <c r="J3963" i="1"/>
  <c r="I3963" i="1"/>
  <c r="K3963" i="1" s="1"/>
  <c r="L3963" i="1" s="1"/>
  <c r="L3962" i="1"/>
  <c r="J3961" i="1"/>
  <c r="I3961" i="1"/>
  <c r="K3961" i="1" s="1"/>
  <c r="L3961" i="1" s="1"/>
  <c r="L3960" i="1"/>
  <c r="J3958" i="1"/>
  <c r="I3958" i="1"/>
  <c r="K3958" i="1" s="1"/>
  <c r="L3958" i="1" s="1"/>
  <c r="J3957" i="1"/>
  <c r="I3957" i="1"/>
  <c r="K3957" i="1" s="1"/>
  <c r="L3957" i="1" s="1"/>
  <c r="J3956" i="1"/>
  <c r="I3956" i="1"/>
  <c r="K3956" i="1" s="1"/>
  <c r="L3956" i="1" s="1"/>
  <c r="J3955" i="1"/>
  <c r="I3955" i="1"/>
  <c r="K3955" i="1" s="1"/>
  <c r="L3955" i="1" s="1"/>
  <c r="L3954" i="1"/>
  <c r="J3953" i="1"/>
  <c r="I3953" i="1"/>
  <c r="K3953" i="1" s="1"/>
  <c r="L3953" i="1" s="1"/>
  <c r="L3952" i="1"/>
  <c r="J3951" i="1"/>
  <c r="I3951" i="1"/>
  <c r="K3951" i="1" s="1"/>
  <c r="L3951" i="1" s="1"/>
  <c r="J3950" i="1"/>
  <c r="I3950" i="1"/>
  <c r="K3950" i="1" s="1"/>
  <c r="L3950" i="1" s="1"/>
  <c r="J3949" i="1"/>
  <c r="I3949" i="1"/>
  <c r="K3949" i="1" s="1"/>
  <c r="L3949" i="1" s="1"/>
  <c r="J3948" i="1"/>
  <c r="I3948" i="1"/>
  <c r="K3948" i="1" s="1"/>
  <c r="L3948" i="1" s="1"/>
  <c r="J3947" i="1"/>
  <c r="I3947" i="1"/>
  <c r="K3947" i="1" s="1"/>
  <c r="L3947" i="1" s="1"/>
  <c r="J3946" i="1"/>
  <c r="I3946" i="1"/>
  <c r="K3946" i="1" s="1"/>
  <c r="L3946" i="1" s="1"/>
  <c r="J3945" i="1"/>
  <c r="I3945" i="1"/>
  <c r="K3945" i="1" s="1"/>
  <c r="L3945" i="1" s="1"/>
  <c r="J3944" i="1"/>
  <c r="I3944" i="1"/>
  <c r="K3944" i="1" s="1"/>
  <c r="L3944" i="1" s="1"/>
  <c r="L3943" i="1"/>
  <c r="J3942" i="1"/>
  <c r="I3942" i="1"/>
  <c r="K3942" i="1" s="1"/>
  <c r="L3942" i="1" s="1"/>
  <c r="J3941" i="1"/>
  <c r="I3941" i="1"/>
  <c r="K3941" i="1" s="1"/>
  <c r="L3941" i="1" s="1"/>
  <c r="J3940" i="1"/>
  <c r="I3940" i="1"/>
  <c r="K3940" i="1" s="1"/>
  <c r="L3940" i="1" s="1"/>
  <c r="J3939" i="1"/>
  <c r="I3939" i="1"/>
  <c r="K3939" i="1" s="1"/>
  <c r="L3939" i="1" s="1"/>
  <c r="J3938" i="1"/>
  <c r="I3938" i="1"/>
  <c r="K3938" i="1" s="1"/>
  <c r="L3938" i="1" s="1"/>
  <c r="J3937" i="1"/>
  <c r="I3937" i="1"/>
  <c r="K3937" i="1" s="1"/>
  <c r="L3937" i="1" s="1"/>
  <c r="J3936" i="1"/>
  <c r="I3936" i="1"/>
  <c r="K3936" i="1" s="1"/>
  <c r="L3936" i="1" s="1"/>
  <c r="J3935" i="1"/>
  <c r="I3935" i="1"/>
  <c r="K3935" i="1" s="1"/>
  <c r="L3935" i="1" s="1"/>
  <c r="J3934" i="1"/>
  <c r="I3934" i="1"/>
  <c r="K3934" i="1" s="1"/>
  <c r="L3934" i="1" s="1"/>
  <c r="J3933" i="1"/>
  <c r="I3933" i="1"/>
  <c r="K3933" i="1" s="1"/>
  <c r="L3933" i="1" s="1"/>
  <c r="J3932" i="1"/>
  <c r="I3932" i="1"/>
  <c r="K3932" i="1" s="1"/>
  <c r="L3932" i="1" s="1"/>
  <c r="J3931" i="1"/>
  <c r="I3931" i="1"/>
  <c r="K3931" i="1" s="1"/>
  <c r="L3931" i="1" s="1"/>
  <c r="J3930" i="1"/>
  <c r="I3930" i="1"/>
  <c r="K3930" i="1" s="1"/>
  <c r="L3930" i="1" s="1"/>
  <c r="L3929" i="1"/>
  <c r="J3928" i="1"/>
  <c r="I3928" i="1"/>
  <c r="K3928" i="1" s="1"/>
  <c r="L3928" i="1" s="1"/>
  <c r="J3927" i="1"/>
  <c r="I3927" i="1"/>
  <c r="K3927" i="1" s="1"/>
  <c r="L3927" i="1" s="1"/>
  <c r="L3926" i="1"/>
  <c r="J3925" i="1"/>
  <c r="I3925" i="1"/>
  <c r="K3925" i="1" s="1"/>
  <c r="L3925" i="1" s="1"/>
  <c r="J3924" i="1"/>
  <c r="I3924" i="1"/>
  <c r="K3924" i="1" s="1"/>
  <c r="L3924" i="1" s="1"/>
  <c r="J3923" i="1"/>
  <c r="I3923" i="1"/>
  <c r="K3923" i="1" s="1"/>
  <c r="L3923" i="1" s="1"/>
  <c r="J3922" i="1"/>
  <c r="I3922" i="1"/>
  <c r="K3922" i="1" s="1"/>
  <c r="L3922" i="1" s="1"/>
  <c r="J3921" i="1"/>
  <c r="I3921" i="1"/>
  <c r="K3921" i="1" s="1"/>
  <c r="L3921" i="1" s="1"/>
  <c r="L3920" i="1"/>
  <c r="J3919" i="1"/>
  <c r="I3919" i="1"/>
  <c r="K3919" i="1" s="1"/>
  <c r="L3919" i="1" s="1"/>
  <c r="L3918" i="1"/>
  <c r="J3917" i="1"/>
  <c r="I3917" i="1"/>
  <c r="K3917" i="1" s="1"/>
  <c r="L3917" i="1" s="1"/>
  <c r="L3916" i="1"/>
  <c r="J3914" i="1"/>
  <c r="I3914" i="1"/>
  <c r="K3914" i="1" s="1"/>
  <c r="L3914" i="1" s="1"/>
  <c r="J3913" i="1"/>
  <c r="I3913" i="1"/>
  <c r="K3913" i="1" s="1"/>
  <c r="L3913" i="1" s="1"/>
  <c r="J3912" i="1"/>
  <c r="I3912" i="1"/>
  <c r="K3912" i="1" s="1"/>
  <c r="L3912" i="1" s="1"/>
  <c r="J3911" i="1"/>
  <c r="I3911" i="1"/>
  <c r="K3911" i="1" s="1"/>
  <c r="L3911" i="1" s="1"/>
  <c r="L3910" i="1"/>
  <c r="J3909" i="1"/>
  <c r="I3909" i="1"/>
  <c r="K3909" i="1" s="1"/>
  <c r="L3909" i="1" s="1"/>
  <c r="L3908" i="1"/>
  <c r="J3907" i="1"/>
  <c r="I3907" i="1"/>
  <c r="K3907" i="1" s="1"/>
  <c r="L3907" i="1" s="1"/>
  <c r="J3906" i="1"/>
  <c r="I3906" i="1"/>
  <c r="K3906" i="1" s="1"/>
  <c r="L3906" i="1" s="1"/>
  <c r="J3905" i="1"/>
  <c r="I3905" i="1"/>
  <c r="K3905" i="1" s="1"/>
  <c r="L3905" i="1" s="1"/>
  <c r="J3904" i="1"/>
  <c r="I3904" i="1"/>
  <c r="K3904" i="1" s="1"/>
  <c r="L3904" i="1" s="1"/>
  <c r="J3903" i="1"/>
  <c r="I3903" i="1"/>
  <c r="K3903" i="1" s="1"/>
  <c r="L3903" i="1" s="1"/>
  <c r="J3902" i="1"/>
  <c r="I3902" i="1"/>
  <c r="K3902" i="1" s="1"/>
  <c r="L3902" i="1" s="1"/>
  <c r="J3901" i="1"/>
  <c r="I3901" i="1"/>
  <c r="K3901" i="1" s="1"/>
  <c r="L3901" i="1" s="1"/>
  <c r="J3900" i="1"/>
  <c r="I3900" i="1"/>
  <c r="K3900" i="1" s="1"/>
  <c r="L3900" i="1" s="1"/>
  <c r="L3899" i="1"/>
  <c r="J3898" i="1"/>
  <c r="I3898" i="1"/>
  <c r="K3898" i="1" s="1"/>
  <c r="L3898" i="1" s="1"/>
  <c r="J3897" i="1"/>
  <c r="I3897" i="1"/>
  <c r="K3897" i="1" s="1"/>
  <c r="L3897" i="1" s="1"/>
  <c r="J3896" i="1"/>
  <c r="I3896" i="1"/>
  <c r="K3896" i="1" s="1"/>
  <c r="L3896" i="1" s="1"/>
  <c r="J3895" i="1"/>
  <c r="I3895" i="1"/>
  <c r="K3895" i="1" s="1"/>
  <c r="L3895" i="1" s="1"/>
  <c r="J3894" i="1"/>
  <c r="I3894" i="1"/>
  <c r="K3894" i="1" s="1"/>
  <c r="L3894" i="1" s="1"/>
  <c r="J3893" i="1"/>
  <c r="I3893" i="1"/>
  <c r="K3893" i="1" s="1"/>
  <c r="L3893" i="1" s="1"/>
  <c r="J3892" i="1"/>
  <c r="I3892" i="1"/>
  <c r="K3892" i="1" s="1"/>
  <c r="L3892" i="1" s="1"/>
  <c r="J3891" i="1"/>
  <c r="I3891" i="1"/>
  <c r="K3891" i="1" s="1"/>
  <c r="L3891" i="1" s="1"/>
  <c r="J3890" i="1"/>
  <c r="I3890" i="1"/>
  <c r="K3890" i="1" s="1"/>
  <c r="L3890" i="1" s="1"/>
  <c r="J3889" i="1"/>
  <c r="I3889" i="1"/>
  <c r="K3889" i="1" s="1"/>
  <c r="L3889" i="1" s="1"/>
  <c r="J3888" i="1"/>
  <c r="I3888" i="1"/>
  <c r="K3888" i="1" s="1"/>
  <c r="L3888" i="1" s="1"/>
  <c r="J3887" i="1"/>
  <c r="I3887" i="1"/>
  <c r="K3887" i="1" s="1"/>
  <c r="L3887" i="1" s="1"/>
  <c r="J3886" i="1"/>
  <c r="I3886" i="1"/>
  <c r="K3886" i="1" s="1"/>
  <c r="L3886" i="1" s="1"/>
  <c r="J3885" i="1"/>
  <c r="I3885" i="1"/>
  <c r="K3885" i="1" s="1"/>
  <c r="L3885" i="1" s="1"/>
  <c r="J3884" i="1"/>
  <c r="I3884" i="1"/>
  <c r="K3884" i="1" s="1"/>
  <c r="L3884" i="1" s="1"/>
  <c r="J3883" i="1"/>
  <c r="I3883" i="1"/>
  <c r="K3883" i="1" s="1"/>
  <c r="L3883" i="1" s="1"/>
  <c r="L3882" i="1"/>
  <c r="J3881" i="1"/>
  <c r="I3881" i="1"/>
  <c r="K3881" i="1" s="1"/>
  <c r="L3881" i="1" s="1"/>
  <c r="J3880" i="1"/>
  <c r="I3880" i="1"/>
  <c r="K3880" i="1" s="1"/>
  <c r="L3880" i="1" s="1"/>
  <c r="J3879" i="1"/>
  <c r="I3879" i="1"/>
  <c r="K3879" i="1" s="1"/>
  <c r="L3879" i="1" s="1"/>
  <c r="J3878" i="1"/>
  <c r="I3878" i="1"/>
  <c r="K3878" i="1" s="1"/>
  <c r="L3878" i="1" s="1"/>
  <c r="J3877" i="1"/>
  <c r="I3877" i="1"/>
  <c r="K3877" i="1" s="1"/>
  <c r="L3877" i="1" s="1"/>
  <c r="L3876" i="1"/>
  <c r="J3875" i="1"/>
  <c r="I3875" i="1"/>
  <c r="K3875" i="1" s="1"/>
  <c r="L3875" i="1" s="1"/>
  <c r="L3874" i="1"/>
  <c r="J3873" i="1"/>
  <c r="I3873" i="1"/>
  <c r="K3873" i="1" s="1"/>
  <c r="L3873" i="1" s="1"/>
  <c r="L3872" i="1"/>
  <c r="J3870" i="1"/>
  <c r="I3870" i="1"/>
  <c r="K3870" i="1" s="1"/>
  <c r="L3870" i="1" s="1"/>
  <c r="J3869" i="1"/>
  <c r="I3869" i="1"/>
  <c r="K3869" i="1" s="1"/>
  <c r="L3869" i="1" s="1"/>
  <c r="J3868" i="1"/>
  <c r="I3868" i="1"/>
  <c r="K3868" i="1" s="1"/>
  <c r="L3868" i="1" s="1"/>
  <c r="J3867" i="1"/>
  <c r="I3867" i="1"/>
  <c r="K3867" i="1" s="1"/>
  <c r="L3867" i="1" s="1"/>
  <c r="L3866" i="1"/>
  <c r="J3865" i="1"/>
  <c r="I3865" i="1"/>
  <c r="K3865" i="1" s="1"/>
  <c r="L3865" i="1" s="1"/>
  <c r="L3864" i="1"/>
  <c r="J3863" i="1"/>
  <c r="I3863" i="1"/>
  <c r="K3863" i="1" s="1"/>
  <c r="L3863" i="1" s="1"/>
  <c r="J3862" i="1"/>
  <c r="I3862" i="1"/>
  <c r="K3862" i="1" s="1"/>
  <c r="L3862" i="1" s="1"/>
  <c r="J3861" i="1"/>
  <c r="I3861" i="1"/>
  <c r="K3861" i="1" s="1"/>
  <c r="L3861" i="1" s="1"/>
  <c r="J3860" i="1"/>
  <c r="I3860" i="1"/>
  <c r="K3860" i="1" s="1"/>
  <c r="L3860" i="1" s="1"/>
  <c r="J3859" i="1"/>
  <c r="I3859" i="1"/>
  <c r="K3859" i="1" s="1"/>
  <c r="L3859" i="1" s="1"/>
  <c r="J3858" i="1"/>
  <c r="I3858" i="1"/>
  <c r="K3858" i="1" s="1"/>
  <c r="L3858" i="1" s="1"/>
  <c r="J3857" i="1"/>
  <c r="I3857" i="1"/>
  <c r="K3857" i="1" s="1"/>
  <c r="L3857" i="1" s="1"/>
  <c r="J3856" i="1"/>
  <c r="I3856" i="1"/>
  <c r="K3856" i="1" s="1"/>
  <c r="L3856" i="1" s="1"/>
  <c r="L3855" i="1"/>
  <c r="J3854" i="1"/>
  <c r="I3854" i="1"/>
  <c r="K3854" i="1" s="1"/>
  <c r="L3854" i="1" s="1"/>
  <c r="J3853" i="1"/>
  <c r="I3853" i="1"/>
  <c r="K3853" i="1" s="1"/>
  <c r="L3853" i="1" s="1"/>
  <c r="J3852" i="1"/>
  <c r="I3852" i="1"/>
  <c r="K3852" i="1" s="1"/>
  <c r="L3852" i="1" s="1"/>
  <c r="J3851" i="1"/>
  <c r="I3851" i="1"/>
  <c r="K3851" i="1" s="1"/>
  <c r="L3851" i="1" s="1"/>
  <c r="J3850" i="1"/>
  <c r="I3850" i="1"/>
  <c r="K3850" i="1" s="1"/>
  <c r="L3850" i="1" s="1"/>
  <c r="J3849" i="1"/>
  <c r="I3849" i="1"/>
  <c r="K3849" i="1" s="1"/>
  <c r="L3849" i="1" s="1"/>
  <c r="J3848" i="1"/>
  <c r="I3848" i="1"/>
  <c r="K3848" i="1" s="1"/>
  <c r="L3848" i="1" s="1"/>
  <c r="J3847" i="1"/>
  <c r="I3847" i="1"/>
  <c r="K3847" i="1" s="1"/>
  <c r="L3847" i="1" s="1"/>
  <c r="J3846" i="1"/>
  <c r="I3846" i="1"/>
  <c r="K3846" i="1" s="1"/>
  <c r="L3846" i="1" s="1"/>
  <c r="J3845" i="1"/>
  <c r="I3845" i="1"/>
  <c r="K3845" i="1" s="1"/>
  <c r="L3845" i="1" s="1"/>
  <c r="J3844" i="1"/>
  <c r="I3844" i="1"/>
  <c r="K3844" i="1" s="1"/>
  <c r="L3844" i="1" s="1"/>
  <c r="J3843" i="1"/>
  <c r="I3843" i="1"/>
  <c r="K3843" i="1" s="1"/>
  <c r="L3843" i="1" s="1"/>
  <c r="J3842" i="1"/>
  <c r="I3842" i="1"/>
  <c r="K3842" i="1" s="1"/>
  <c r="L3842" i="1" s="1"/>
  <c r="J3841" i="1"/>
  <c r="I3841" i="1"/>
  <c r="K3841" i="1" s="1"/>
  <c r="L3841" i="1" s="1"/>
  <c r="J3840" i="1"/>
  <c r="I3840" i="1"/>
  <c r="K3840" i="1" s="1"/>
  <c r="L3840" i="1" s="1"/>
  <c r="J3839" i="1"/>
  <c r="I3839" i="1"/>
  <c r="K3839" i="1" s="1"/>
  <c r="L3839" i="1" s="1"/>
  <c r="L3838" i="1"/>
  <c r="J3837" i="1"/>
  <c r="I3837" i="1"/>
  <c r="K3837" i="1" s="1"/>
  <c r="L3837" i="1" s="1"/>
  <c r="J3836" i="1"/>
  <c r="I3836" i="1"/>
  <c r="K3836" i="1" s="1"/>
  <c r="L3836" i="1" s="1"/>
  <c r="J3835" i="1"/>
  <c r="I3835" i="1"/>
  <c r="K3835" i="1" s="1"/>
  <c r="L3835" i="1" s="1"/>
  <c r="J3834" i="1"/>
  <c r="I3834" i="1"/>
  <c r="K3834" i="1" s="1"/>
  <c r="L3834" i="1" s="1"/>
  <c r="J3833" i="1"/>
  <c r="I3833" i="1"/>
  <c r="K3833" i="1" s="1"/>
  <c r="L3833" i="1" s="1"/>
  <c r="L3832" i="1"/>
  <c r="J3831" i="1"/>
  <c r="I3831" i="1"/>
  <c r="K3831" i="1" s="1"/>
  <c r="L3831" i="1" s="1"/>
  <c r="L3830" i="1"/>
  <c r="J3829" i="1"/>
  <c r="I3829" i="1"/>
  <c r="K3829" i="1" s="1"/>
  <c r="L3829" i="1" s="1"/>
  <c r="L3828" i="1"/>
  <c r="J3826" i="1"/>
  <c r="I3826" i="1"/>
  <c r="K3826" i="1" s="1"/>
  <c r="L3826" i="1" s="1"/>
  <c r="J3825" i="1"/>
  <c r="I3825" i="1"/>
  <c r="K3825" i="1" s="1"/>
  <c r="L3825" i="1" s="1"/>
  <c r="J3824" i="1"/>
  <c r="I3824" i="1"/>
  <c r="K3824" i="1" s="1"/>
  <c r="L3824" i="1" s="1"/>
  <c r="J3823" i="1"/>
  <c r="I3823" i="1"/>
  <c r="K3823" i="1" s="1"/>
  <c r="L3823" i="1" s="1"/>
  <c r="L3822" i="1"/>
  <c r="J3821" i="1"/>
  <c r="I3821" i="1"/>
  <c r="K3821" i="1" s="1"/>
  <c r="L3821" i="1" s="1"/>
  <c r="L3820" i="1"/>
  <c r="J3819" i="1"/>
  <c r="I3819" i="1"/>
  <c r="K3819" i="1" s="1"/>
  <c r="L3819" i="1" s="1"/>
  <c r="J3818" i="1"/>
  <c r="I3818" i="1"/>
  <c r="K3818" i="1" s="1"/>
  <c r="L3818" i="1" s="1"/>
  <c r="J3817" i="1"/>
  <c r="I3817" i="1"/>
  <c r="K3817" i="1" s="1"/>
  <c r="L3817" i="1" s="1"/>
  <c r="J3816" i="1"/>
  <c r="I3816" i="1"/>
  <c r="K3816" i="1" s="1"/>
  <c r="L3816" i="1" s="1"/>
  <c r="J3815" i="1"/>
  <c r="I3815" i="1"/>
  <c r="K3815" i="1" s="1"/>
  <c r="L3815" i="1" s="1"/>
  <c r="J3814" i="1"/>
  <c r="I3814" i="1"/>
  <c r="K3814" i="1" s="1"/>
  <c r="L3814" i="1" s="1"/>
  <c r="J3813" i="1"/>
  <c r="I3813" i="1"/>
  <c r="K3813" i="1" s="1"/>
  <c r="L3813" i="1" s="1"/>
  <c r="J3812" i="1"/>
  <c r="I3812" i="1"/>
  <c r="K3812" i="1" s="1"/>
  <c r="L3812" i="1" s="1"/>
  <c r="L3811" i="1"/>
  <c r="J3810" i="1"/>
  <c r="I3810" i="1"/>
  <c r="K3810" i="1" s="1"/>
  <c r="L3810" i="1" s="1"/>
  <c r="J3809" i="1"/>
  <c r="I3809" i="1"/>
  <c r="K3809" i="1" s="1"/>
  <c r="L3809" i="1" s="1"/>
  <c r="J3808" i="1"/>
  <c r="I3808" i="1"/>
  <c r="K3808" i="1" s="1"/>
  <c r="L3808" i="1" s="1"/>
  <c r="J3807" i="1"/>
  <c r="I3807" i="1"/>
  <c r="K3807" i="1" s="1"/>
  <c r="L3807" i="1" s="1"/>
  <c r="J3806" i="1"/>
  <c r="I3806" i="1"/>
  <c r="K3806" i="1" s="1"/>
  <c r="L3806" i="1" s="1"/>
  <c r="J3805" i="1"/>
  <c r="I3805" i="1"/>
  <c r="K3805" i="1" s="1"/>
  <c r="L3805" i="1" s="1"/>
  <c r="J3804" i="1"/>
  <c r="I3804" i="1"/>
  <c r="K3804" i="1" s="1"/>
  <c r="L3804" i="1" s="1"/>
  <c r="J3803" i="1"/>
  <c r="I3803" i="1"/>
  <c r="K3803" i="1" s="1"/>
  <c r="L3803" i="1" s="1"/>
  <c r="J3802" i="1"/>
  <c r="I3802" i="1"/>
  <c r="K3802" i="1" s="1"/>
  <c r="L3802" i="1" s="1"/>
  <c r="J3801" i="1"/>
  <c r="I3801" i="1"/>
  <c r="K3801" i="1" s="1"/>
  <c r="L3801" i="1" s="1"/>
  <c r="J3800" i="1"/>
  <c r="I3800" i="1"/>
  <c r="K3800" i="1" s="1"/>
  <c r="L3800" i="1" s="1"/>
  <c r="J3799" i="1"/>
  <c r="I3799" i="1"/>
  <c r="K3799" i="1" s="1"/>
  <c r="L3799" i="1" s="1"/>
  <c r="J3798" i="1"/>
  <c r="I3798" i="1"/>
  <c r="K3798" i="1" s="1"/>
  <c r="L3798" i="1" s="1"/>
  <c r="L3797" i="1"/>
  <c r="J3796" i="1"/>
  <c r="I3796" i="1"/>
  <c r="K3796" i="1" s="1"/>
  <c r="L3796" i="1" s="1"/>
  <c r="J3795" i="1"/>
  <c r="I3795" i="1"/>
  <c r="K3795" i="1" s="1"/>
  <c r="L3795" i="1" s="1"/>
  <c r="L3794" i="1"/>
  <c r="J3793" i="1"/>
  <c r="I3793" i="1"/>
  <c r="K3793" i="1" s="1"/>
  <c r="L3793" i="1" s="1"/>
  <c r="J3792" i="1"/>
  <c r="I3792" i="1"/>
  <c r="K3792" i="1" s="1"/>
  <c r="L3792" i="1" s="1"/>
  <c r="J3791" i="1"/>
  <c r="I3791" i="1"/>
  <c r="K3791" i="1" s="1"/>
  <c r="L3791" i="1" s="1"/>
  <c r="J3790" i="1"/>
  <c r="I3790" i="1"/>
  <c r="K3790" i="1" s="1"/>
  <c r="L3790" i="1" s="1"/>
  <c r="J3789" i="1"/>
  <c r="I3789" i="1"/>
  <c r="K3789" i="1" s="1"/>
  <c r="L3789" i="1" s="1"/>
  <c r="L3788" i="1"/>
  <c r="J3787" i="1"/>
  <c r="I3787" i="1"/>
  <c r="K3787" i="1" s="1"/>
  <c r="L3787" i="1" s="1"/>
  <c r="L3786" i="1"/>
  <c r="J3785" i="1"/>
  <c r="I3785" i="1"/>
  <c r="K3785" i="1" s="1"/>
  <c r="L3785" i="1" s="1"/>
  <c r="L3784" i="1"/>
  <c r="J3782" i="1"/>
  <c r="I3782" i="1"/>
  <c r="K3782" i="1" s="1"/>
  <c r="L3782" i="1" s="1"/>
  <c r="J3781" i="1"/>
  <c r="I3781" i="1"/>
  <c r="K3781" i="1" s="1"/>
  <c r="L3781" i="1" s="1"/>
  <c r="J3780" i="1"/>
  <c r="I3780" i="1"/>
  <c r="K3780" i="1" s="1"/>
  <c r="L3780" i="1" s="1"/>
  <c r="J3779" i="1"/>
  <c r="I3779" i="1"/>
  <c r="K3779" i="1" s="1"/>
  <c r="L3779" i="1" s="1"/>
  <c r="L3778" i="1"/>
  <c r="J3777" i="1"/>
  <c r="I3777" i="1"/>
  <c r="K3777" i="1" s="1"/>
  <c r="L3777" i="1" s="1"/>
  <c r="L3776" i="1"/>
  <c r="J3775" i="1"/>
  <c r="I3775" i="1"/>
  <c r="K3775" i="1" s="1"/>
  <c r="L3775" i="1" s="1"/>
  <c r="J3774" i="1"/>
  <c r="I3774" i="1"/>
  <c r="K3774" i="1" s="1"/>
  <c r="L3774" i="1" s="1"/>
  <c r="J3773" i="1"/>
  <c r="I3773" i="1"/>
  <c r="K3773" i="1" s="1"/>
  <c r="L3773" i="1" s="1"/>
  <c r="J3772" i="1"/>
  <c r="I3772" i="1"/>
  <c r="K3772" i="1" s="1"/>
  <c r="L3772" i="1" s="1"/>
  <c r="J3771" i="1"/>
  <c r="I3771" i="1"/>
  <c r="K3771" i="1" s="1"/>
  <c r="L3771" i="1" s="1"/>
  <c r="J3770" i="1"/>
  <c r="I3770" i="1"/>
  <c r="K3770" i="1" s="1"/>
  <c r="L3770" i="1" s="1"/>
  <c r="J3769" i="1"/>
  <c r="I3769" i="1"/>
  <c r="K3769" i="1" s="1"/>
  <c r="L3769" i="1" s="1"/>
  <c r="J3768" i="1"/>
  <c r="I3768" i="1"/>
  <c r="K3768" i="1" s="1"/>
  <c r="L3768" i="1" s="1"/>
  <c r="L3767" i="1"/>
  <c r="J3766" i="1"/>
  <c r="I3766" i="1"/>
  <c r="K3766" i="1" s="1"/>
  <c r="L3766" i="1" s="1"/>
  <c r="J3765" i="1"/>
  <c r="I3765" i="1"/>
  <c r="K3765" i="1" s="1"/>
  <c r="L3765" i="1" s="1"/>
  <c r="J3764" i="1"/>
  <c r="I3764" i="1"/>
  <c r="K3764" i="1" s="1"/>
  <c r="L3764" i="1" s="1"/>
  <c r="J3763" i="1"/>
  <c r="I3763" i="1"/>
  <c r="K3763" i="1" s="1"/>
  <c r="L3763" i="1" s="1"/>
  <c r="J3762" i="1"/>
  <c r="I3762" i="1"/>
  <c r="K3762" i="1" s="1"/>
  <c r="L3762" i="1" s="1"/>
  <c r="J3761" i="1"/>
  <c r="I3761" i="1"/>
  <c r="K3761" i="1" s="1"/>
  <c r="L3761" i="1" s="1"/>
  <c r="J3760" i="1"/>
  <c r="I3760" i="1"/>
  <c r="K3760" i="1" s="1"/>
  <c r="L3760" i="1" s="1"/>
  <c r="J3759" i="1"/>
  <c r="I3759" i="1"/>
  <c r="K3759" i="1" s="1"/>
  <c r="L3759" i="1" s="1"/>
  <c r="J3758" i="1"/>
  <c r="I3758" i="1"/>
  <c r="K3758" i="1" s="1"/>
  <c r="L3758" i="1" s="1"/>
  <c r="J3757" i="1"/>
  <c r="I3757" i="1"/>
  <c r="K3757" i="1" s="1"/>
  <c r="L3757" i="1" s="1"/>
  <c r="J3756" i="1"/>
  <c r="I3756" i="1"/>
  <c r="K3756" i="1" s="1"/>
  <c r="L3756" i="1" s="1"/>
  <c r="J3755" i="1"/>
  <c r="I3755" i="1"/>
  <c r="K3755" i="1" s="1"/>
  <c r="L3755" i="1" s="1"/>
  <c r="J3754" i="1"/>
  <c r="I3754" i="1"/>
  <c r="K3754" i="1" s="1"/>
  <c r="L3754" i="1" s="1"/>
  <c r="J3753" i="1"/>
  <c r="I3753" i="1"/>
  <c r="K3753" i="1" s="1"/>
  <c r="L3753" i="1" s="1"/>
  <c r="J3752" i="1"/>
  <c r="I3752" i="1"/>
  <c r="K3752" i="1" s="1"/>
  <c r="L3752" i="1" s="1"/>
  <c r="J3751" i="1"/>
  <c r="I3751" i="1"/>
  <c r="K3751" i="1" s="1"/>
  <c r="L3751" i="1" s="1"/>
  <c r="L3750" i="1"/>
  <c r="J3749" i="1"/>
  <c r="I3749" i="1"/>
  <c r="K3749" i="1" s="1"/>
  <c r="L3749" i="1" s="1"/>
  <c r="J3748" i="1"/>
  <c r="I3748" i="1"/>
  <c r="K3748" i="1" s="1"/>
  <c r="L3748" i="1" s="1"/>
  <c r="J3747" i="1"/>
  <c r="I3747" i="1"/>
  <c r="K3747" i="1" s="1"/>
  <c r="L3747" i="1" s="1"/>
  <c r="J3746" i="1"/>
  <c r="I3746" i="1"/>
  <c r="K3746" i="1" s="1"/>
  <c r="L3746" i="1" s="1"/>
  <c r="J3745" i="1"/>
  <c r="I3745" i="1"/>
  <c r="K3745" i="1" s="1"/>
  <c r="L3745" i="1" s="1"/>
  <c r="L3744" i="1"/>
  <c r="J3743" i="1"/>
  <c r="I3743" i="1"/>
  <c r="K3743" i="1" s="1"/>
  <c r="L3743" i="1" s="1"/>
  <c r="L3742" i="1"/>
  <c r="J3741" i="1"/>
  <c r="I3741" i="1"/>
  <c r="K3741" i="1" s="1"/>
  <c r="L3741" i="1" s="1"/>
  <c r="L3740" i="1"/>
  <c r="J3738" i="1"/>
  <c r="I3738" i="1"/>
  <c r="K3738" i="1" s="1"/>
  <c r="L3738" i="1" s="1"/>
  <c r="J3737" i="1"/>
  <c r="I3737" i="1"/>
  <c r="K3737" i="1" s="1"/>
  <c r="L3737" i="1" s="1"/>
  <c r="J3736" i="1"/>
  <c r="I3736" i="1"/>
  <c r="K3736" i="1" s="1"/>
  <c r="L3736" i="1" s="1"/>
  <c r="J3735" i="1"/>
  <c r="I3735" i="1"/>
  <c r="K3735" i="1" s="1"/>
  <c r="L3735" i="1" s="1"/>
  <c r="L3734" i="1"/>
  <c r="J3733" i="1"/>
  <c r="I3733" i="1"/>
  <c r="K3733" i="1" s="1"/>
  <c r="L3733" i="1" s="1"/>
  <c r="L3732" i="1"/>
  <c r="J3731" i="1"/>
  <c r="I3731" i="1"/>
  <c r="K3731" i="1" s="1"/>
  <c r="L3731" i="1" s="1"/>
  <c r="J3730" i="1"/>
  <c r="I3730" i="1"/>
  <c r="K3730" i="1" s="1"/>
  <c r="L3730" i="1" s="1"/>
  <c r="J3729" i="1"/>
  <c r="I3729" i="1"/>
  <c r="K3729" i="1" s="1"/>
  <c r="L3729" i="1" s="1"/>
  <c r="J3728" i="1"/>
  <c r="I3728" i="1"/>
  <c r="K3728" i="1" s="1"/>
  <c r="L3728" i="1" s="1"/>
  <c r="J3727" i="1"/>
  <c r="I3727" i="1"/>
  <c r="K3727" i="1" s="1"/>
  <c r="L3727" i="1" s="1"/>
  <c r="J3726" i="1"/>
  <c r="I3726" i="1"/>
  <c r="K3726" i="1" s="1"/>
  <c r="L3726" i="1" s="1"/>
  <c r="J3725" i="1"/>
  <c r="I3725" i="1"/>
  <c r="K3725" i="1" s="1"/>
  <c r="L3725" i="1" s="1"/>
  <c r="J3724" i="1"/>
  <c r="I3724" i="1"/>
  <c r="K3724" i="1" s="1"/>
  <c r="L3724" i="1" s="1"/>
  <c r="L3723" i="1"/>
  <c r="J3722" i="1"/>
  <c r="I3722" i="1"/>
  <c r="K3722" i="1" s="1"/>
  <c r="L3722" i="1" s="1"/>
  <c r="J3721" i="1"/>
  <c r="I3721" i="1"/>
  <c r="K3721" i="1" s="1"/>
  <c r="L3721" i="1" s="1"/>
  <c r="J3720" i="1"/>
  <c r="I3720" i="1"/>
  <c r="K3720" i="1" s="1"/>
  <c r="L3720" i="1" s="1"/>
  <c r="J3719" i="1"/>
  <c r="I3719" i="1"/>
  <c r="K3719" i="1" s="1"/>
  <c r="L3719" i="1" s="1"/>
  <c r="J3718" i="1"/>
  <c r="I3718" i="1"/>
  <c r="K3718" i="1" s="1"/>
  <c r="L3718" i="1" s="1"/>
  <c r="J3717" i="1"/>
  <c r="I3717" i="1"/>
  <c r="K3717" i="1" s="1"/>
  <c r="L3717" i="1" s="1"/>
  <c r="J3716" i="1"/>
  <c r="I3716" i="1"/>
  <c r="K3716" i="1" s="1"/>
  <c r="L3716" i="1" s="1"/>
  <c r="J3715" i="1"/>
  <c r="I3715" i="1"/>
  <c r="K3715" i="1" s="1"/>
  <c r="L3715" i="1" s="1"/>
  <c r="J3714" i="1"/>
  <c r="I3714" i="1"/>
  <c r="K3714" i="1" s="1"/>
  <c r="L3714" i="1" s="1"/>
  <c r="J3713" i="1"/>
  <c r="I3713" i="1"/>
  <c r="K3713" i="1" s="1"/>
  <c r="L3713" i="1" s="1"/>
  <c r="J3712" i="1"/>
  <c r="I3712" i="1"/>
  <c r="K3712" i="1" s="1"/>
  <c r="L3712" i="1" s="1"/>
  <c r="J3711" i="1"/>
  <c r="I3711" i="1"/>
  <c r="K3711" i="1" s="1"/>
  <c r="L3711" i="1" s="1"/>
  <c r="J3710" i="1"/>
  <c r="I3710" i="1"/>
  <c r="K3710" i="1" s="1"/>
  <c r="L3710" i="1" s="1"/>
  <c r="J3709" i="1"/>
  <c r="I3709" i="1"/>
  <c r="K3709" i="1" s="1"/>
  <c r="L3709" i="1" s="1"/>
  <c r="J3708" i="1"/>
  <c r="I3708" i="1"/>
  <c r="K3708" i="1" s="1"/>
  <c r="L3708" i="1" s="1"/>
  <c r="L3707" i="1"/>
  <c r="L3706" i="1"/>
  <c r="J3705" i="1"/>
  <c r="I3705" i="1"/>
  <c r="K3705" i="1" s="1"/>
  <c r="L3705" i="1" s="1"/>
  <c r="J3704" i="1"/>
  <c r="I3704" i="1"/>
  <c r="K3704" i="1" s="1"/>
  <c r="L3704" i="1" s="1"/>
  <c r="J3703" i="1"/>
  <c r="I3703" i="1"/>
  <c r="K3703" i="1" s="1"/>
  <c r="L3703" i="1" s="1"/>
  <c r="J3702" i="1"/>
  <c r="I3702" i="1"/>
  <c r="K3702" i="1" s="1"/>
  <c r="L3702" i="1" s="1"/>
  <c r="J3701" i="1"/>
  <c r="I3701" i="1"/>
  <c r="K3701" i="1" s="1"/>
  <c r="L3701" i="1" s="1"/>
  <c r="L3700" i="1"/>
  <c r="J3699" i="1"/>
  <c r="I3699" i="1"/>
  <c r="K3699" i="1" s="1"/>
  <c r="L3699" i="1" s="1"/>
  <c r="L3698" i="1"/>
  <c r="J3697" i="1"/>
  <c r="I3697" i="1"/>
  <c r="K3697" i="1" s="1"/>
  <c r="L3697" i="1" s="1"/>
  <c r="L3696" i="1"/>
  <c r="J3694" i="1"/>
  <c r="I3694" i="1"/>
  <c r="K3694" i="1" s="1"/>
  <c r="L3694" i="1" s="1"/>
  <c r="J3693" i="1"/>
  <c r="I3693" i="1"/>
  <c r="K3693" i="1" s="1"/>
  <c r="L3693" i="1" s="1"/>
  <c r="J3692" i="1"/>
  <c r="I3692" i="1"/>
  <c r="K3692" i="1" s="1"/>
  <c r="L3692" i="1" s="1"/>
  <c r="J3691" i="1"/>
  <c r="I3691" i="1"/>
  <c r="K3691" i="1" s="1"/>
  <c r="L3691" i="1" s="1"/>
  <c r="L3690" i="1"/>
  <c r="J3689" i="1"/>
  <c r="I3689" i="1"/>
  <c r="K3689" i="1" s="1"/>
  <c r="L3689" i="1" s="1"/>
  <c r="L3688" i="1"/>
  <c r="J3687" i="1"/>
  <c r="I3687" i="1"/>
  <c r="K3687" i="1" s="1"/>
  <c r="L3687" i="1" s="1"/>
  <c r="J3686" i="1"/>
  <c r="I3686" i="1"/>
  <c r="K3686" i="1" s="1"/>
  <c r="L3686" i="1" s="1"/>
  <c r="J3685" i="1"/>
  <c r="I3685" i="1"/>
  <c r="K3685" i="1" s="1"/>
  <c r="L3685" i="1" s="1"/>
  <c r="J3684" i="1"/>
  <c r="I3684" i="1"/>
  <c r="K3684" i="1" s="1"/>
  <c r="L3684" i="1" s="1"/>
  <c r="J3683" i="1"/>
  <c r="I3683" i="1"/>
  <c r="K3683" i="1" s="1"/>
  <c r="L3683" i="1" s="1"/>
  <c r="J3682" i="1"/>
  <c r="I3682" i="1"/>
  <c r="K3682" i="1" s="1"/>
  <c r="L3682" i="1" s="1"/>
  <c r="J3681" i="1"/>
  <c r="I3681" i="1"/>
  <c r="K3681" i="1" s="1"/>
  <c r="L3681" i="1" s="1"/>
  <c r="J3680" i="1"/>
  <c r="I3680" i="1"/>
  <c r="K3680" i="1" s="1"/>
  <c r="L3680" i="1" s="1"/>
  <c r="L3679" i="1"/>
  <c r="J3678" i="1"/>
  <c r="I3678" i="1"/>
  <c r="K3678" i="1" s="1"/>
  <c r="L3678" i="1" s="1"/>
  <c r="L3677" i="1"/>
  <c r="L3676" i="1"/>
  <c r="L3675" i="1"/>
  <c r="L3674" i="1"/>
  <c r="L3673" i="1"/>
  <c r="L3672" i="1"/>
  <c r="L3671" i="1"/>
  <c r="L3670" i="1"/>
  <c r="L3669" i="1"/>
  <c r="L3668" i="1"/>
  <c r="L3667" i="1"/>
  <c r="L3666" i="1"/>
  <c r="L3665" i="1"/>
  <c r="L3664" i="1"/>
  <c r="L3663" i="1"/>
  <c r="L3662" i="1"/>
  <c r="L3661" i="1"/>
  <c r="L3660" i="1"/>
  <c r="L3659" i="1"/>
  <c r="L3658" i="1"/>
  <c r="L3657" i="1"/>
  <c r="L3656" i="1"/>
  <c r="L3655" i="1"/>
  <c r="L3654" i="1"/>
  <c r="L3653" i="1"/>
  <c r="L3652" i="1"/>
  <c r="L3650" i="1"/>
  <c r="L3649" i="1"/>
  <c r="L3648" i="1"/>
  <c r="L3647" i="1"/>
  <c r="L3646" i="1"/>
  <c r="L3645" i="1"/>
  <c r="L3644" i="1"/>
  <c r="L3643" i="1"/>
  <c r="L3642" i="1"/>
  <c r="L3641" i="1"/>
  <c r="L3640" i="1"/>
  <c r="L3639" i="1"/>
  <c r="L3638" i="1"/>
  <c r="L3637" i="1"/>
  <c r="L3636" i="1"/>
  <c r="L3635" i="1"/>
  <c r="L3634" i="1"/>
  <c r="J3633" i="1"/>
  <c r="I3633" i="1"/>
  <c r="K3633" i="1" s="1"/>
  <c r="L3633" i="1" s="1"/>
  <c r="J3632" i="1"/>
  <c r="I3632" i="1"/>
  <c r="K3632" i="1" s="1"/>
  <c r="L3632" i="1" s="1"/>
  <c r="J3631" i="1"/>
  <c r="I3631" i="1"/>
  <c r="K3631" i="1" s="1"/>
  <c r="L3631" i="1" s="1"/>
  <c r="J3630" i="1"/>
  <c r="I3630" i="1"/>
  <c r="K3630" i="1" s="1"/>
  <c r="L3630" i="1" s="1"/>
  <c r="J3629" i="1"/>
  <c r="I3629" i="1"/>
  <c r="K3629" i="1" s="1"/>
  <c r="L3629" i="1" s="1"/>
  <c r="J3628" i="1"/>
  <c r="I3628" i="1"/>
  <c r="K3628" i="1" s="1"/>
  <c r="L3628" i="1" s="1"/>
  <c r="J3627" i="1"/>
  <c r="I3627" i="1"/>
  <c r="K3627" i="1" s="1"/>
  <c r="L3627" i="1" s="1"/>
  <c r="J3626" i="1"/>
  <c r="I3626" i="1"/>
  <c r="K3626" i="1" s="1"/>
  <c r="L3626" i="1" s="1"/>
  <c r="J3625" i="1"/>
  <c r="I3625" i="1"/>
  <c r="K3625" i="1" s="1"/>
  <c r="L3625" i="1" s="1"/>
  <c r="J3624" i="1"/>
  <c r="I3624" i="1"/>
  <c r="K3624" i="1" s="1"/>
  <c r="L3624" i="1" s="1"/>
  <c r="J3623" i="1"/>
  <c r="I3623" i="1"/>
  <c r="K3623" i="1" s="1"/>
  <c r="L3623" i="1" s="1"/>
  <c r="J3622" i="1"/>
  <c r="I3622" i="1"/>
  <c r="K3622" i="1" s="1"/>
  <c r="L3622" i="1" s="1"/>
  <c r="J3621" i="1"/>
  <c r="I3621" i="1"/>
  <c r="K3621" i="1" s="1"/>
  <c r="L3621" i="1" s="1"/>
  <c r="J3620" i="1"/>
  <c r="I3620" i="1"/>
  <c r="K3620" i="1" s="1"/>
  <c r="L3620" i="1" s="1"/>
  <c r="J3619" i="1"/>
  <c r="I3619" i="1"/>
  <c r="K3619" i="1" s="1"/>
  <c r="L3619" i="1" s="1"/>
  <c r="L3618" i="1"/>
  <c r="J3617" i="1"/>
  <c r="I3617" i="1"/>
  <c r="K3617" i="1" s="1"/>
  <c r="L3617" i="1" s="1"/>
  <c r="J3616" i="1"/>
  <c r="I3616" i="1"/>
  <c r="K3616" i="1" s="1"/>
  <c r="L3616" i="1" s="1"/>
  <c r="J3615" i="1"/>
  <c r="I3615" i="1"/>
  <c r="K3615" i="1" s="1"/>
  <c r="L3615" i="1" s="1"/>
  <c r="J3614" i="1"/>
  <c r="I3614" i="1"/>
  <c r="K3614" i="1" s="1"/>
  <c r="L3614" i="1" s="1"/>
  <c r="J3613" i="1"/>
  <c r="I3613" i="1"/>
  <c r="K3613" i="1" s="1"/>
  <c r="L3613" i="1" s="1"/>
  <c r="L3612" i="1"/>
  <c r="J3611" i="1"/>
  <c r="I3611" i="1"/>
  <c r="K3611" i="1" s="1"/>
  <c r="L3611" i="1" s="1"/>
  <c r="J3610" i="1"/>
  <c r="I3610" i="1"/>
  <c r="K3610" i="1" s="1"/>
  <c r="L3610" i="1" s="1"/>
  <c r="J3609" i="1"/>
  <c r="I3609" i="1"/>
  <c r="K3609" i="1" s="1"/>
  <c r="L3609" i="1" s="1"/>
  <c r="J3608" i="1"/>
  <c r="I3608" i="1"/>
  <c r="K3608" i="1" s="1"/>
  <c r="L3608" i="1" s="1"/>
  <c r="J3606" i="1"/>
  <c r="I3606" i="1"/>
  <c r="K3606" i="1" s="1"/>
  <c r="L3606" i="1" s="1"/>
  <c r="J3605" i="1"/>
  <c r="I3605" i="1"/>
  <c r="K3605" i="1" s="1"/>
  <c r="L3605" i="1" s="1"/>
  <c r="J3604" i="1"/>
  <c r="I3604" i="1"/>
  <c r="K3604" i="1" s="1"/>
  <c r="L3604" i="1" s="1"/>
  <c r="J3603" i="1"/>
  <c r="I3603" i="1"/>
  <c r="K3603" i="1" s="1"/>
  <c r="L3603" i="1" s="1"/>
  <c r="L3602" i="1"/>
  <c r="J3601" i="1"/>
  <c r="I3601" i="1"/>
  <c r="K3601" i="1" s="1"/>
  <c r="L3601" i="1" s="1"/>
  <c r="L3600" i="1"/>
  <c r="J3599" i="1"/>
  <c r="I3599" i="1"/>
  <c r="K3599" i="1" s="1"/>
  <c r="L3599" i="1" s="1"/>
  <c r="J3598" i="1"/>
  <c r="I3598" i="1"/>
  <c r="K3598" i="1" s="1"/>
  <c r="L3598" i="1" s="1"/>
  <c r="J3597" i="1"/>
  <c r="I3597" i="1"/>
  <c r="K3597" i="1" s="1"/>
  <c r="L3597" i="1" s="1"/>
  <c r="J3596" i="1"/>
  <c r="I3596" i="1"/>
  <c r="K3596" i="1" s="1"/>
  <c r="L3596" i="1" s="1"/>
  <c r="J3595" i="1"/>
  <c r="I3595" i="1"/>
  <c r="K3595" i="1" s="1"/>
  <c r="L3595" i="1" s="1"/>
  <c r="J3594" i="1"/>
  <c r="I3594" i="1"/>
  <c r="K3594" i="1" s="1"/>
  <c r="L3594" i="1" s="1"/>
  <c r="J3593" i="1"/>
  <c r="I3593" i="1"/>
  <c r="K3593" i="1" s="1"/>
  <c r="L3593" i="1" s="1"/>
  <c r="J3592" i="1"/>
  <c r="I3592" i="1"/>
  <c r="K3592" i="1" s="1"/>
  <c r="L3592" i="1" s="1"/>
  <c r="L3591" i="1"/>
  <c r="J3590" i="1"/>
  <c r="I3590" i="1"/>
  <c r="K3590" i="1" s="1"/>
  <c r="L3590" i="1" s="1"/>
  <c r="J3589" i="1"/>
  <c r="I3589" i="1"/>
  <c r="K3589" i="1" s="1"/>
  <c r="L3589" i="1" s="1"/>
  <c r="J3588" i="1"/>
  <c r="I3588" i="1"/>
  <c r="K3588" i="1" s="1"/>
  <c r="L3588" i="1" s="1"/>
  <c r="J3587" i="1"/>
  <c r="I3587" i="1"/>
  <c r="K3587" i="1" s="1"/>
  <c r="L3587" i="1" s="1"/>
  <c r="J3586" i="1"/>
  <c r="I3586" i="1"/>
  <c r="K3586" i="1" s="1"/>
  <c r="L3586" i="1" s="1"/>
  <c r="J3585" i="1"/>
  <c r="I3585" i="1"/>
  <c r="K3585" i="1" s="1"/>
  <c r="L3585" i="1" s="1"/>
  <c r="J3584" i="1"/>
  <c r="I3584" i="1"/>
  <c r="K3584" i="1" s="1"/>
  <c r="L3584" i="1" s="1"/>
  <c r="J3583" i="1"/>
  <c r="I3583" i="1"/>
  <c r="K3583" i="1" s="1"/>
  <c r="L3583" i="1" s="1"/>
  <c r="J3582" i="1"/>
  <c r="I3582" i="1"/>
  <c r="K3582" i="1" s="1"/>
  <c r="L3582" i="1" s="1"/>
  <c r="J3581" i="1"/>
  <c r="I3581" i="1"/>
  <c r="K3581" i="1" s="1"/>
  <c r="L3581" i="1" s="1"/>
  <c r="J3580" i="1"/>
  <c r="I3580" i="1"/>
  <c r="K3580" i="1" s="1"/>
  <c r="L3580" i="1" s="1"/>
  <c r="J3579" i="1"/>
  <c r="I3579" i="1"/>
  <c r="K3579" i="1" s="1"/>
  <c r="L3579" i="1" s="1"/>
  <c r="J3578" i="1"/>
  <c r="I3578" i="1"/>
  <c r="K3578" i="1" s="1"/>
  <c r="L3578" i="1" s="1"/>
  <c r="L3577" i="1"/>
  <c r="J3576" i="1"/>
  <c r="I3576" i="1"/>
  <c r="K3576" i="1" s="1"/>
  <c r="L3576" i="1" s="1"/>
  <c r="J3575" i="1"/>
  <c r="I3575" i="1"/>
  <c r="K3575" i="1" s="1"/>
  <c r="L3575" i="1" s="1"/>
  <c r="L3574" i="1"/>
  <c r="J3573" i="1"/>
  <c r="I3573" i="1"/>
  <c r="K3573" i="1" s="1"/>
  <c r="L3573" i="1" s="1"/>
  <c r="J3572" i="1"/>
  <c r="I3572" i="1"/>
  <c r="K3572" i="1" s="1"/>
  <c r="L3572" i="1" s="1"/>
  <c r="J3571" i="1"/>
  <c r="I3571" i="1"/>
  <c r="K3571" i="1" s="1"/>
  <c r="L3571" i="1" s="1"/>
  <c r="J3570" i="1"/>
  <c r="I3570" i="1"/>
  <c r="K3570" i="1" s="1"/>
  <c r="L3570" i="1" s="1"/>
  <c r="J3569" i="1"/>
  <c r="I3569" i="1"/>
  <c r="K3569" i="1" s="1"/>
  <c r="L3569" i="1" s="1"/>
  <c r="L3568" i="1"/>
  <c r="J3567" i="1"/>
  <c r="I3567" i="1"/>
  <c r="K3567" i="1" s="1"/>
  <c r="L3567" i="1" s="1"/>
  <c r="J3566" i="1"/>
  <c r="I3566" i="1"/>
  <c r="K3566" i="1" s="1"/>
  <c r="L3566" i="1" s="1"/>
  <c r="J3565" i="1"/>
  <c r="I3565" i="1"/>
  <c r="K3565" i="1" s="1"/>
  <c r="L3565" i="1" s="1"/>
  <c r="J3564" i="1"/>
  <c r="I3564" i="1"/>
  <c r="K3564" i="1" s="1"/>
  <c r="L3564" i="1" s="1"/>
  <c r="J3562" i="1"/>
  <c r="I3562" i="1"/>
  <c r="K3562" i="1" s="1"/>
  <c r="L3562" i="1" s="1"/>
  <c r="J3561" i="1"/>
  <c r="I3561" i="1"/>
  <c r="K3561" i="1" s="1"/>
  <c r="L3561" i="1" s="1"/>
  <c r="J3560" i="1"/>
  <c r="I3560" i="1"/>
  <c r="K3560" i="1" s="1"/>
  <c r="L3560" i="1" s="1"/>
  <c r="L3559" i="1"/>
  <c r="L3558" i="1"/>
  <c r="J3557" i="1"/>
  <c r="I3557" i="1"/>
  <c r="K3557" i="1" s="1"/>
  <c r="L3557" i="1" s="1"/>
  <c r="L3556" i="1"/>
  <c r="J3555" i="1"/>
  <c r="I3555" i="1"/>
  <c r="K3555" i="1" s="1"/>
  <c r="L3555" i="1" s="1"/>
  <c r="J3554" i="1"/>
  <c r="I3554" i="1"/>
  <c r="K3554" i="1" s="1"/>
  <c r="L3554" i="1" s="1"/>
  <c r="J3553" i="1"/>
  <c r="I3553" i="1"/>
  <c r="K3553" i="1" s="1"/>
  <c r="L3553" i="1" s="1"/>
  <c r="J3552" i="1"/>
  <c r="I3552" i="1"/>
  <c r="K3552" i="1" s="1"/>
  <c r="L3552" i="1" s="1"/>
  <c r="J3551" i="1"/>
  <c r="I3551" i="1"/>
  <c r="K3551" i="1" s="1"/>
  <c r="L3551" i="1" s="1"/>
  <c r="J3550" i="1"/>
  <c r="I3550" i="1"/>
  <c r="K3550" i="1" s="1"/>
  <c r="L3550" i="1" s="1"/>
  <c r="J3549" i="1"/>
  <c r="I3549" i="1"/>
  <c r="K3549" i="1" s="1"/>
  <c r="L3549" i="1" s="1"/>
  <c r="J3548" i="1"/>
  <c r="I3548" i="1"/>
  <c r="K3548" i="1" s="1"/>
  <c r="L3548" i="1" s="1"/>
  <c r="L3547" i="1"/>
  <c r="J3546" i="1"/>
  <c r="I3546" i="1"/>
  <c r="K3546" i="1" s="1"/>
  <c r="L3546" i="1" s="1"/>
  <c r="J3545" i="1"/>
  <c r="I3545" i="1"/>
  <c r="K3545" i="1" s="1"/>
  <c r="L3545" i="1" s="1"/>
  <c r="J3544" i="1"/>
  <c r="I3544" i="1"/>
  <c r="K3544" i="1" s="1"/>
  <c r="L3544" i="1" s="1"/>
  <c r="J3543" i="1"/>
  <c r="I3543" i="1"/>
  <c r="K3543" i="1" s="1"/>
  <c r="L3543" i="1" s="1"/>
  <c r="J3542" i="1"/>
  <c r="I3542" i="1"/>
  <c r="K3542" i="1" s="1"/>
  <c r="L3542" i="1" s="1"/>
  <c r="J3541" i="1"/>
  <c r="I3541" i="1"/>
  <c r="K3541" i="1" s="1"/>
  <c r="L3541" i="1" s="1"/>
  <c r="J3540" i="1"/>
  <c r="I3540" i="1"/>
  <c r="J3539" i="1"/>
  <c r="I3539" i="1"/>
  <c r="J3538" i="1"/>
  <c r="I3538" i="1"/>
  <c r="J3537" i="1"/>
  <c r="I3537" i="1"/>
  <c r="J3536" i="1"/>
  <c r="I3536" i="1"/>
  <c r="J3535" i="1"/>
  <c r="I3535" i="1"/>
  <c r="J3534" i="1"/>
  <c r="I3534" i="1"/>
  <c r="J3533" i="1"/>
  <c r="I3533" i="1"/>
  <c r="J3532" i="1"/>
  <c r="I3532" i="1"/>
  <c r="J3531" i="1"/>
  <c r="I3531" i="1"/>
  <c r="L3530" i="1"/>
  <c r="J3529" i="1"/>
  <c r="I3529" i="1"/>
  <c r="J3528" i="1"/>
  <c r="I3528" i="1"/>
  <c r="J3527" i="1"/>
  <c r="I3527" i="1"/>
  <c r="J3526" i="1"/>
  <c r="I3526" i="1"/>
  <c r="J3525" i="1"/>
  <c r="I3525" i="1"/>
  <c r="L3524" i="1"/>
  <c r="J3523" i="1"/>
  <c r="I3523" i="1"/>
  <c r="L3522" i="1"/>
  <c r="J3521" i="1"/>
  <c r="I3521" i="1"/>
  <c r="J3520" i="1"/>
  <c r="I3520" i="1"/>
  <c r="J3518" i="1"/>
  <c r="I3518" i="1"/>
  <c r="L3517" i="1"/>
  <c r="J3516" i="1"/>
  <c r="I3516" i="1"/>
  <c r="J3515" i="1"/>
  <c r="I3515" i="1"/>
  <c r="L3514" i="1"/>
  <c r="J3513" i="1"/>
  <c r="I3513" i="1"/>
  <c r="L3512" i="1"/>
  <c r="J3511" i="1"/>
  <c r="I3511" i="1"/>
  <c r="J3510" i="1"/>
  <c r="I3510" i="1"/>
  <c r="J3509" i="1"/>
  <c r="I3509" i="1"/>
  <c r="J3508" i="1"/>
  <c r="I3508" i="1"/>
  <c r="J3507" i="1"/>
  <c r="I3507" i="1"/>
  <c r="J3506" i="1"/>
  <c r="I3506" i="1"/>
  <c r="J3505" i="1"/>
  <c r="I3505" i="1"/>
  <c r="J3504" i="1"/>
  <c r="I3504" i="1"/>
  <c r="L3503" i="1"/>
  <c r="J3502" i="1"/>
  <c r="I3502" i="1"/>
  <c r="J3501" i="1"/>
  <c r="I3501" i="1"/>
  <c r="J3500" i="1"/>
  <c r="I3500" i="1"/>
  <c r="J3499" i="1"/>
  <c r="I3499" i="1"/>
  <c r="J3498" i="1"/>
  <c r="I3498" i="1"/>
  <c r="J3497" i="1"/>
  <c r="I3497" i="1"/>
  <c r="J3496" i="1"/>
  <c r="I3496" i="1"/>
  <c r="J3495" i="1"/>
  <c r="I3495" i="1"/>
  <c r="J3494" i="1"/>
  <c r="I3494" i="1"/>
  <c r="J3493" i="1"/>
  <c r="I3493" i="1"/>
  <c r="J3492" i="1"/>
  <c r="I3492" i="1"/>
  <c r="J3491" i="1"/>
  <c r="I3491" i="1"/>
  <c r="J3490" i="1"/>
  <c r="I3490" i="1"/>
  <c r="J3489" i="1"/>
  <c r="I3489" i="1"/>
  <c r="J3488" i="1"/>
  <c r="I3488" i="1"/>
  <c r="L3487" i="1"/>
  <c r="L3486" i="1"/>
  <c r="J3485" i="1"/>
  <c r="I3485" i="1"/>
  <c r="J3484" i="1"/>
  <c r="I3484" i="1"/>
  <c r="J3483" i="1"/>
  <c r="I3483" i="1"/>
  <c r="J3482" i="1"/>
  <c r="I3482" i="1"/>
  <c r="J3481" i="1"/>
  <c r="I3481" i="1"/>
  <c r="L3480" i="1"/>
  <c r="L3479" i="1"/>
  <c r="J3478" i="1"/>
  <c r="I3478" i="1"/>
  <c r="K3478" i="1" s="1"/>
  <c r="L3478" i="1" s="1"/>
  <c r="J3477" i="1"/>
  <c r="I3477" i="1"/>
  <c r="K3477" i="1" s="1"/>
  <c r="L3477" i="1" s="1"/>
  <c r="J3476" i="1"/>
  <c r="I3476" i="1"/>
  <c r="K3476" i="1" s="1"/>
  <c r="L3476" i="1" s="1"/>
  <c r="L3474" i="1"/>
  <c r="L3473" i="1"/>
  <c r="J3472" i="1"/>
  <c r="I3472" i="1"/>
  <c r="K3472" i="1" s="1"/>
  <c r="L3472" i="1" s="1"/>
  <c r="J3471" i="1"/>
  <c r="I3471" i="1"/>
  <c r="K3471" i="1" s="1"/>
  <c r="L3471" i="1" s="1"/>
  <c r="L3470" i="1"/>
  <c r="J3469" i="1"/>
  <c r="I3469" i="1"/>
  <c r="K3469" i="1" s="1"/>
  <c r="L3469" i="1" s="1"/>
  <c r="L3468" i="1"/>
  <c r="L3467" i="1"/>
  <c r="J3466" i="1"/>
  <c r="I3466" i="1"/>
  <c r="K3466" i="1" s="1"/>
  <c r="L3466" i="1" s="1"/>
  <c r="J3465" i="1"/>
  <c r="I3465" i="1"/>
  <c r="K3465" i="1" s="1"/>
  <c r="L3465" i="1" s="1"/>
  <c r="J3464" i="1"/>
  <c r="I3464" i="1"/>
  <c r="K3464" i="1" s="1"/>
  <c r="L3464" i="1" s="1"/>
  <c r="J3463" i="1"/>
  <c r="I3463" i="1"/>
  <c r="K3463" i="1" s="1"/>
  <c r="L3463" i="1" s="1"/>
  <c r="J3462" i="1"/>
  <c r="I3462" i="1"/>
  <c r="K3462" i="1" s="1"/>
  <c r="L3462" i="1" s="1"/>
  <c r="J3461" i="1"/>
  <c r="I3461" i="1"/>
  <c r="K3461" i="1" s="1"/>
  <c r="L3461" i="1" s="1"/>
  <c r="J3460" i="1"/>
  <c r="I3460" i="1"/>
  <c r="K3460" i="1" s="1"/>
  <c r="L3460" i="1" s="1"/>
  <c r="L3459" i="1"/>
  <c r="J3458" i="1"/>
  <c r="I3458" i="1"/>
  <c r="J3457" i="1"/>
  <c r="I3457" i="1"/>
  <c r="K3457" i="1" s="1"/>
  <c r="L3457" i="1" s="1"/>
  <c r="J3456" i="1"/>
  <c r="I3456" i="1"/>
  <c r="K3456" i="1" s="1"/>
  <c r="L3456" i="1" s="1"/>
  <c r="J3455" i="1"/>
  <c r="I3455" i="1"/>
  <c r="K3455" i="1" s="1"/>
  <c r="L3455" i="1" s="1"/>
  <c r="J3454" i="1"/>
  <c r="I3454" i="1"/>
  <c r="K3454" i="1" s="1"/>
  <c r="L3454" i="1" s="1"/>
  <c r="J3453" i="1"/>
  <c r="I3453" i="1"/>
  <c r="K3453" i="1" s="1"/>
  <c r="L3453" i="1" s="1"/>
  <c r="J3452" i="1"/>
  <c r="I3452" i="1"/>
  <c r="K3452" i="1" s="1"/>
  <c r="L3452" i="1" s="1"/>
  <c r="J3451" i="1"/>
  <c r="I3451" i="1"/>
  <c r="K3451" i="1" s="1"/>
  <c r="L3451" i="1" s="1"/>
  <c r="L3450" i="1"/>
  <c r="L3449" i="1"/>
  <c r="J3448" i="1"/>
  <c r="I3448" i="1"/>
  <c r="K3448" i="1" s="1"/>
  <c r="L3448" i="1" s="1"/>
  <c r="L3447" i="1"/>
  <c r="J3446" i="1"/>
  <c r="I3446" i="1"/>
  <c r="K3446" i="1" s="1"/>
  <c r="L3446" i="1" s="1"/>
  <c r="J3445" i="1"/>
  <c r="I3445" i="1"/>
  <c r="K3445" i="1" s="1"/>
  <c r="L3445" i="1" s="1"/>
  <c r="J3444" i="1"/>
  <c r="I3444" i="1"/>
  <c r="K3444" i="1" s="1"/>
  <c r="L3444" i="1" s="1"/>
  <c r="L3443" i="1"/>
  <c r="L3442" i="1"/>
  <c r="J3441" i="1"/>
  <c r="I3441" i="1"/>
  <c r="K3441" i="1" s="1"/>
  <c r="L3441" i="1" s="1"/>
  <c r="J3440" i="1"/>
  <c r="I3440" i="1"/>
  <c r="K3440" i="1" s="1"/>
  <c r="L3440" i="1" s="1"/>
  <c r="J3439" i="1"/>
  <c r="I3439" i="1"/>
  <c r="K3439" i="1" s="1"/>
  <c r="L3439" i="1" s="1"/>
  <c r="J3438" i="1"/>
  <c r="I3438" i="1"/>
  <c r="K3438" i="1" s="1"/>
  <c r="L3438" i="1" s="1"/>
  <c r="J3437" i="1"/>
  <c r="I3437" i="1"/>
  <c r="K3437" i="1" s="1"/>
  <c r="L3437" i="1" s="1"/>
  <c r="L3436" i="1"/>
  <c r="L3435" i="1"/>
  <c r="J3434" i="1"/>
  <c r="I3434" i="1"/>
  <c r="K3434" i="1" s="1"/>
  <c r="L3434" i="1" s="1"/>
  <c r="J3433" i="1"/>
  <c r="I3433" i="1"/>
  <c r="K3433" i="1" s="1"/>
  <c r="L3433" i="1" s="1"/>
  <c r="J3432" i="1"/>
  <c r="I3432" i="1"/>
  <c r="K3432" i="1" s="1"/>
  <c r="L3432" i="1" s="1"/>
  <c r="J3430" i="1"/>
  <c r="I3430" i="1"/>
  <c r="K3430" i="1" s="1"/>
  <c r="L3430" i="1" s="1"/>
  <c r="J3429" i="1"/>
  <c r="I3429" i="1"/>
  <c r="K3429" i="1" s="1"/>
  <c r="L3429" i="1" s="1"/>
  <c r="J3428" i="1"/>
  <c r="I3428" i="1"/>
  <c r="K3428" i="1" s="1"/>
  <c r="L3428" i="1" s="1"/>
  <c r="J3427" i="1"/>
  <c r="I3427" i="1"/>
  <c r="K3427" i="1" s="1"/>
  <c r="L3427" i="1" s="1"/>
  <c r="L3426" i="1"/>
  <c r="J3425" i="1"/>
  <c r="I3425" i="1"/>
  <c r="K3425" i="1" s="1"/>
  <c r="L3425" i="1" s="1"/>
  <c r="L3424" i="1"/>
  <c r="J3423" i="1"/>
  <c r="I3423" i="1"/>
  <c r="K3423" i="1" s="1"/>
  <c r="L3423" i="1" s="1"/>
  <c r="J3422" i="1"/>
  <c r="I3422" i="1"/>
  <c r="K3422" i="1" s="1"/>
  <c r="L3422" i="1" s="1"/>
  <c r="J3421" i="1"/>
  <c r="I3421" i="1"/>
  <c r="K3421" i="1" s="1"/>
  <c r="L3421" i="1" s="1"/>
  <c r="J3420" i="1"/>
  <c r="I3420" i="1"/>
  <c r="K3420" i="1" s="1"/>
  <c r="L3420" i="1" s="1"/>
  <c r="J3419" i="1"/>
  <c r="I3419" i="1"/>
  <c r="K3419" i="1" s="1"/>
  <c r="L3419" i="1" s="1"/>
  <c r="J3418" i="1"/>
  <c r="I3418" i="1"/>
  <c r="J3417" i="1"/>
  <c r="I3417" i="1"/>
  <c r="J3416" i="1"/>
  <c r="I3416" i="1"/>
  <c r="L3415" i="1"/>
  <c r="J3414" i="1"/>
  <c r="I3414" i="1"/>
  <c r="J3413" i="1"/>
  <c r="I3413" i="1"/>
  <c r="J3412" i="1"/>
  <c r="I3412" i="1"/>
  <c r="J3411" i="1"/>
  <c r="I3411" i="1"/>
  <c r="J3410" i="1"/>
  <c r="I3410" i="1"/>
  <c r="J3409" i="1"/>
  <c r="I3409" i="1"/>
  <c r="J3408" i="1"/>
  <c r="I3408" i="1"/>
  <c r="J3407" i="1"/>
  <c r="I3407" i="1"/>
  <c r="J3406" i="1"/>
  <c r="I3406" i="1"/>
  <c r="L3405" i="1"/>
  <c r="J3404" i="1"/>
  <c r="I3404" i="1"/>
  <c r="J3403" i="1"/>
  <c r="I3403" i="1"/>
  <c r="J3402" i="1"/>
  <c r="I3402" i="1"/>
  <c r="J3401" i="1"/>
  <c r="I3401" i="1"/>
  <c r="J3400" i="1"/>
  <c r="I3400" i="1"/>
  <c r="L3399" i="1"/>
  <c r="L3398" i="1"/>
  <c r="J3397" i="1"/>
  <c r="I3397" i="1"/>
  <c r="J3396" i="1"/>
  <c r="I3396" i="1"/>
  <c r="J3395" i="1"/>
  <c r="I3395" i="1"/>
  <c r="J3394" i="1"/>
  <c r="I3394" i="1"/>
  <c r="J3393" i="1"/>
  <c r="I3393" i="1"/>
  <c r="L3392" i="1"/>
  <c r="L3391" i="1"/>
  <c r="J3390" i="1"/>
  <c r="I3390" i="1"/>
  <c r="J3389" i="1"/>
  <c r="I3389" i="1"/>
  <c r="K3389" i="1" s="1"/>
  <c r="L3389" i="1" s="1"/>
  <c r="J3388" i="1"/>
  <c r="I3388" i="1"/>
  <c r="J3386" i="1"/>
  <c r="I3386" i="1"/>
  <c r="J3385" i="1"/>
  <c r="I3385" i="1"/>
  <c r="J3384" i="1"/>
  <c r="I3384" i="1"/>
  <c r="J3383" i="1"/>
  <c r="I3383" i="1"/>
  <c r="L3382" i="1"/>
  <c r="J3381" i="1"/>
  <c r="I3381" i="1"/>
  <c r="L3380" i="1"/>
  <c r="J3379" i="1"/>
  <c r="I3379" i="1"/>
  <c r="J3378" i="1"/>
  <c r="I3378" i="1"/>
  <c r="J3377" i="1"/>
  <c r="I3377" i="1"/>
  <c r="J3376" i="1"/>
  <c r="I3376" i="1"/>
  <c r="J3375" i="1"/>
  <c r="I3375" i="1"/>
  <c r="J3374" i="1"/>
  <c r="I3374" i="1"/>
  <c r="J3373" i="1"/>
  <c r="I3373" i="1"/>
  <c r="J3372" i="1"/>
  <c r="I3372" i="1"/>
  <c r="L3371" i="1"/>
  <c r="J3370" i="1"/>
  <c r="I3370" i="1"/>
  <c r="J3369" i="1"/>
  <c r="I3369" i="1"/>
  <c r="J3368" i="1"/>
  <c r="I3368" i="1"/>
  <c r="J3367" i="1"/>
  <c r="I3367" i="1"/>
  <c r="J3366" i="1"/>
  <c r="I3366" i="1"/>
  <c r="J3365" i="1"/>
  <c r="I3365" i="1"/>
  <c r="J3364" i="1"/>
  <c r="I3364" i="1"/>
  <c r="J3363" i="1"/>
  <c r="I3363" i="1"/>
  <c r="J3362" i="1"/>
  <c r="I3362" i="1"/>
  <c r="L3361" i="1"/>
  <c r="J3360" i="1"/>
  <c r="I3360" i="1"/>
  <c r="J3359" i="1"/>
  <c r="I3359" i="1"/>
  <c r="J3358" i="1"/>
  <c r="I3358" i="1"/>
  <c r="J3357" i="1"/>
  <c r="I3357" i="1"/>
  <c r="J3356" i="1"/>
  <c r="I3356" i="1"/>
  <c r="L3355" i="1"/>
  <c r="L3354" i="1"/>
  <c r="J3353" i="1"/>
  <c r="I3353" i="1"/>
  <c r="J3352" i="1"/>
  <c r="I3352" i="1"/>
  <c r="J3351" i="1"/>
  <c r="I3351" i="1"/>
  <c r="J3350" i="1"/>
  <c r="I3350" i="1"/>
  <c r="J3349" i="1"/>
  <c r="I3349" i="1"/>
  <c r="L3348" i="1"/>
  <c r="L3347" i="1"/>
  <c r="J3346" i="1"/>
  <c r="I3346" i="1"/>
  <c r="J3345" i="1"/>
  <c r="I3345" i="1"/>
  <c r="J3344" i="1"/>
  <c r="I3344" i="1"/>
  <c r="J3342" i="1"/>
  <c r="I3342" i="1"/>
  <c r="J3341" i="1"/>
  <c r="I3341" i="1"/>
  <c r="J3340" i="1"/>
  <c r="I3340" i="1"/>
  <c r="J3339" i="1"/>
  <c r="I3339" i="1"/>
  <c r="L3338" i="1"/>
  <c r="J3337" i="1"/>
  <c r="I3337" i="1"/>
  <c r="L3336" i="1"/>
  <c r="J3335" i="1"/>
  <c r="I3335" i="1"/>
  <c r="J3334" i="1"/>
  <c r="I3334" i="1"/>
  <c r="J3333" i="1"/>
  <c r="I3333" i="1"/>
  <c r="J3332" i="1"/>
  <c r="I3332" i="1"/>
  <c r="J3331" i="1"/>
  <c r="I3331" i="1"/>
  <c r="J3330" i="1"/>
  <c r="I3330" i="1"/>
  <c r="J3329" i="1"/>
  <c r="I3329" i="1"/>
  <c r="J3328" i="1"/>
  <c r="I3328" i="1"/>
  <c r="L3327" i="1"/>
  <c r="J3326" i="1"/>
  <c r="I3326" i="1"/>
  <c r="J3325" i="1"/>
  <c r="I3325" i="1"/>
  <c r="J3324" i="1"/>
  <c r="I3324" i="1"/>
  <c r="K3324" i="1" s="1"/>
  <c r="L3324" i="1" s="1"/>
  <c r="J3323" i="1"/>
  <c r="I3323" i="1"/>
  <c r="J3322" i="1"/>
  <c r="I3322" i="1"/>
  <c r="J3321" i="1"/>
  <c r="I3321" i="1"/>
  <c r="J3320" i="1"/>
  <c r="I3320" i="1"/>
  <c r="J3319" i="1"/>
  <c r="I3319" i="1"/>
  <c r="J3318" i="1"/>
  <c r="I3318" i="1"/>
  <c r="L3317" i="1"/>
  <c r="J3316" i="1"/>
  <c r="I3316" i="1"/>
  <c r="J3315" i="1"/>
  <c r="I3315" i="1"/>
  <c r="J3314" i="1"/>
  <c r="I3314" i="1"/>
  <c r="J3313" i="1"/>
  <c r="I3313" i="1"/>
  <c r="J3312" i="1"/>
  <c r="I3312" i="1"/>
  <c r="L3311" i="1"/>
  <c r="L3310" i="1"/>
  <c r="J3309" i="1"/>
  <c r="I3309" i="1"/>
  <c r="J3308" i="1"/>
  <c r="I3308" i="1"/>
  <c r="J3307" i="1"/>
  <c r="I3307" i="1"/>
  <c r="J3306" i="1"/>
  <c r="I3306" i="1"/>
  <c r="J3305" i="1"/>
  <c r="I3305" i="1"/>
  <c r="L3304" i="1"/>
  <c r="L3303" i="1"/>
  <c r="J3302" i="1"/>
  <c r="I3302" i="1"/>
  <c r="J3301" i="1"/>
  <c r="I3301" i="1"/>
  <c r="J3300" i="1"/>
  <c r="I3300" i="1"/>
  <c r="J3298" i="1"/>
  <c r="I3298" i="1"/>
  <c r="J3297" i="1"/>
  <c r="I3297" i="1"/>
  <c r="J3296" i="1"/>
  <c r="I3296" i="1"/>
  <c r="J3295" i="1"/>
  <c r="I3295" i="1"/>
  <c r="L3294" i="1"/>
  <c r="J3293" i="1"/>
  <c r="I3293" i="1"/>
  <c r="L3292" i="1"/>
  <c r="J3291" i="1"/>
  <c r="I3291" i="1"/>
  <c r="J3290" i="1"/>
  <c r="I3290" i="1"/>
  <c r="J3289" i="1"/>
  <c r="I3289" i="1"/>
  <c r="J3288" i="1"/>
  <c r="I3288" i="1"/>
  <c r="J3287" i="1"/>
  <c r="I3287" i="1"/>
  <c r="J3286" i="1"/>
  <c r="I3286" i="1"/>
  <c r="J3285" i="1"/>
  <c r="I3285" i="1"/>
  <c r="J3284" i="1"/>
  <c r="I3284" i="1"/>
  <c r="L3283" i="1"/>
  <c r="J3282" i="1"/>
  <c r="I3282" i="1"/>
  <c r="J3281" i="1"/>
  <c r="I3281" i="1"/>
  <c r="J3280" i="1"/>
  <c r="I3280" i="1"/>
  <c r="J3279" i="1"/>
  <c r="I3279" i="1"/>
  <c r="J3278" i="1"/>
  <c r="I3278" i="1"/>
  <c r="L3277" i="1"/>
  <c r="J3276" i="1"/>
  <c r="I3276" i="1"/>
  <c r="J3275" i="1"/>
  <c r="I3275" i="1"/>
  <c r="J3274" i="1"/>
  <c r="I3274" i="1"/>
  <c r="L3273" i="1"/>
  <c r="J3272" i="1"/>
  <c r="I3272" i="1"/>
  <c r="J3271" i="1"/>
  <c r="I3271" i="1"/>
  <c r="J3270" i="1"/>
  <c r="I3270" i="1"/>
  <c r="J3269" i="1"/>
  <c r="I3269" i="1"/>
  <c r="J3268" i="1"/>
  <c r="I3268" i="1"/>
  <c r="L3267" i="1"/>
  <c r="L3266" i="1"/>
  <c r="J3265" i="1"/>
  <c r="I3265" i="1"/>
  <c r="J3264" i="1"/>
  <c r="I3264" i="1"/>
  <c r="J3263" i="1"/>
  <c r="I3263" i="1"/>
  <c r="J3262" i="1"/>
  <c r="I3262" i="1"/>
  <c r="J3261" i="1"/>
  <c r="I3261" i="1"/>
  <c r="L3260" i="1"/>
  <c r="L3259" i="1"/>
  <c r="J3258" i="1"/>
  <c r="I3258" i="1"/>
  <c r="J3257" i="1"/>
  <c r="I3257" i="1"/>
  <c r="J3256" i="1"/>
  <c r="I3256" i="1"/>
  <c r="J3255" i="1"/>
  <c r="I3255" i="1"/>
  <c r="J3254" i="1"/>
  <c r="I3254" i="1"/>
  <c r="J3253" i="1"/>
  <c r="I3253" i="1"/>
  <c r="J3252" i="1"/>
  <c r="I3252" i="1"/>
  <c r="J3251" i="1"/>
  <c r="I3251" i="1"/>
  <c r="L3250" i="1"/>
  <c r="J3249" i="1"/>
  <c r="I3249" i="1"/>
  <c r="L3248" i="1"/>
  <c r="J3247" i="1"/>
  <c r="I3247" i="1"/>
  <c r="J3246" i="1"/>
  <c r="I3246" i="1"/>
  <c r="L3245" i="1"/>
  <c r="J3244" i="1"/>
  <c r="I3244" i="1"/>
  <c r="J3243" i="1"/>
  <c r="I3243" i="1"/>
  <c r="J3242" i="1"/>
  <c r="I3242" i="1"/>
  <c r="J3241" i="1"/>
  <c r="I3241" i="1"/>
  <c r="J3240" i="1"/>
  <c r="I3240" i="1"/>
  <c r="L3239" i="1"/>
  <c r="J3238" i="1"/>
  <c r="I3238" i="1"/>
  <c r="J3237" i="1"/>
  <c r="I3237" i="1"/>
  <c r="J3236" i="1"/>
  <c r="I3236" i="1"/>
  <c r="J3235" i="1"/>
  <c r="I3235" i="1"/>
  <c r="J3234" i="1"/>
  <c r="I3234" i="1"/>
  <c r="L3233" i="1"/>
  <c r="J3232" i="1"/>
  <c r="I3232" i="1"/>
  <c r="J3231" i="1"/>
  <c r="I3231" i="1"/>
  <c r="J3230" i="1"/>
  <c r="I3230" i="1"/>
  <c r="L3229" i="1"/>
  <c r="J3228" i="1"/>
  <c r="I3228" i="1"/>
  <c r="L3227" i="1"/>
  <c r="J3226" i="1"/>
  <c r="I3226" i="1"/>
  <c r="J3225" i="1"/>
  <c r="I3225" i="1"/>
  <c r="J3224" i="1"/>
  <c r="I3224" i="1"/>
  <c r="L3223" i="1"/>
  <c r="L3222" i="1"/>
  <c r="J3221" i="1"/>
  <c r="I3221" i="1"/>
  <c r="J3220" i="1"/>
  <c r="I3220" i="1"/>
  <c r="J3219" i="1"/>
  <c r="I3219" i="1"/>
  <c r="J3218" i="1"/>
  <c r="I3218" i="1"/>
  <c r="J3217" i="1"/>
  <c r="I3217" i="1"/>
  <c r="L3216" i="1"/>
  <c r="L3215" i="1"/>
  <c r="J3214" i="1"/>
  <c r="I3214" i="1"/>
  <c r="J3213" i="1"/>
  <c r="I3213" i="1"/>
  <c r="J3212" i="1"/>
  <c r="I3212" i="1"/>
  <c r="J3211" i="1"/>
  <c r="I3211" i="1"/>
  <c r="J3210" i="1"/>
  <c r="I3210" i="1"/>
  <c r="J3209" i="1"/>
  <c r="I3209" i="1"/>
  <c r="J3208" i="1"/>
  <c r="I3208" i="1"/>
  <c r="J3207" i="1"/>
  <c r="I3207" i="1"/>
  <c r="L3206" i="1"/>
  <c r="J3205" i="1"/>
  <c r="I3205" i="1"/>
  <c r="L3204" i="1"/>
  <c r="L3203" i="1"/>
  <c r="J3202" i="1"/>
  <c r="I3202" i="1"/>
  <c r="L3201" i="1"/>
  <c r="J3200" i="1"/>
  <c r="I3200" i="1"/>
  <c r="J3199" i="1"/>
  <c r="I3199" i="1"/>
  <c r="J3198" i="1"/>
  <c r="I3198" i="1"/>
  <c r="J3197" i="1"/>
  <c r="I3197" i="1"/>
  <c r="J3196" i="1"/>
  <c r="I3196" i="1"/>
  <c r="L3195" i="1"/>
  <c r="J3194" i="1"/>
  <c r="I3194" i="1"/>
  <c r="J3193" i="1"/>
  <c r="I3193" i="1"/>
  <c r="J3192" i="1"/>
  <c r="I3192" i="1"/>
  <c r="J3191" i="1"/>
  <c r="I3191" i="1"/>
  <c r="J3190" i="1"/>
  <c r="I3190" i="1"/>
  <c r="L3189" i="1"/>
  <c r="J3188" i="1"/>
  <c r="I3188" i="1"/>
  <c r="J3187" i="1"/>
  <c r="I3187" i="1"/>
  <c r="L3186" i="1"/>
  <c r="L3185" i="1"/>
  <c r="J3184" i="1"/>
  <c r="I3184" i="1"/>
  <c r="L3183" i="1"/>
  <c r="J3182" i="1"/>
  <c r="I3182" i="1"/>
  <c r="L3181" i="1"/>
  <c r="J3180" i="1"/>
  <c r="I3180" i="1"/>
  <c r="L3179" i="1"/>
  <c r="L3178" i="1"/>
  <c r="J3177" i="1"/>
  <c r="I3177" i="1"/>
  <c r="J3176" i="1"/>
  <c r="I3176" i="1"/>
  <c r="J3175" i="1"/>
  <c r="I3175" i="1"/>
  <c r="J3174" i="1"/>
  <c r="I3174" i="1"/>
  <c r="J3173" i="1"/>
  <c r="I3173" i="1"/>
  <c r="L3172" i="1"/>
  <c r="J3171" i="1"/>
  <c r="I3171" i="1"/>
  <c r="J3170" i="1"/>
  <c r="I3170" i="1"/>
  <c r="J3169" i="1"/>
  <c r="I3169" i="1"/>
  <c r="J3168" i="1"/>
  <c r="I3168" i="1"/>
  <c r="J3167" i="1"/>
  <c r="I3167" i="1"/>
  <c r="J3166" i="1"/>
  <c r="I3166" i="1"/>
  <c r="J3165" i="1"/>
  <c r="I3165" i="1"/>
  <c r="J3164" i="1"/>
  <c r="I3164" i="1"/>
  <c r="J3163" i="1"/>
  <c r="I3163" i="1"/>
  <c r="L3162" i="1"/>
  <c r="J3161" i="1"/>
  <c r="I3161" i="1"/>
  <c r="L3160" i="1"/>
  <c r="L3159" i="1"/>
  <c r="J3158" i="1"/>
  <c r="I3158" i="1"/>
  <c r="L3157" i="1"/>
  <c r="J3156" i="1"/>
  <c r="I3156" i="1"/>
  <c r="J3155" i="1"/>
  <c r="I3155" i="1"/>
  <c r="J3154" i="1"/>
  <c r="I3154" i="1"/>
  <c r="J3153" i="1"/>
  <c r="I3153" i="1"/>
  <c r="J3152" i="1"/>
  <c r="I3152" i="1"/>
  <c r="L3151" i="1"/>
  <c r="J3150" i="1"/>
  <c r="I3150" i="1"/>
  <c r="J3149" i="1"/>
  <c r="I3149" i="1"/>
  <c r="J3148" i="1"/>
  <c r="I3148" i="1"/>
  <c r="J3147" i="1"/>
  <c r="I3147" i="1"/>
  <c r="J3146" i="1"/>
  <c r="I3146" i="1"/>
  <c r="L3145" i="1"/>
  <c r="J3144" i="1"/>
  <c r="I3144" i="1"/>
  <c r="J3143" i="1"/>
  <c r="I3143" i="1"/>
  <c r="J3142" i="1"/>
  <c r="I3142" i="1"/>
  <c r="L3141" i="1"/>
  <c r="J3140" i="1"/>
  <c r="I3140" i="1"/>
  <c r="J3139" i="1"/>
  <c r="I3139" i="1"/>
  <c r="J3138" i="1"/>
  <c r="I3138" i="1"/>
  <c r="J3137" i="1"/>
  <c r="I3137" i="1"/>
  <c r="J3136" i="1"/>
  <c r="I3136" i="1"/>
  <c r="L3135" i="1"/>
  <c r="L3134" i="1"/>
  <c r="J3133" i="1"/>
  <c r="I3133" i="1"/>
  <c r="J3132" i="1"/>
  <c r="I3132" i="1"/>
  <c r="J3131" i="1"/>
  <c r="I3131" i="1"/>
  <c r="J3130" i="1"/>
  <c r="I3130" i="1"/>
  <c r="J3129" i="1"/>
  <c r="I3129" i="1"/>
  <c r="L3128" i="1"/>
  <c r="J3127" i="1"/>
  <c r="I3127" i="1"/>
  <c r="L3126" i="1"/>
  <c r="J3125" i="1"/>
  <c r="I3125" i="1"/>
  <c r="J3124" i="1"/>
  <c r="I3124" i="1"/>
  <c r="J3123" i="1"/>
  <c r="I3123" i="1"/>
  <c r="J3122" i="1"/>
  <c r="I3122" i="1"/>
  <c r="J3121" i="1"/>
  <c r="I3121" i="1"/>
  <c r="J3120" i="1"/>
  <c r="I3120" i="1"/>
  <c r="J3119" i="1"/>
  <c r="I3119" i="1"/>
  <c r="L3118" i="1"/>
  <c r="J3117" i="1"/>
  <c r="I3117" i="1"/>
  <c r="L3116" i="1"/>
  <c r="L3115" i="1"/>
  <c r="J3114" i="1"/>
  <c r="I3114" i="1"/>
  <c r="L3113" i="1"/>
  <c r="J3112" i="1"/>
  <c r="I3112" i="1"/>
  <c r="J3111" i="1"/>
  <c r="I3111" i="1"/>
  <c r="J3110" i="1"/>
  <c r="I3110" i="1"/>
  <c r="J3109" i="1"/>
  <c r="I3109" i="1"/>
  <c r="J3108" i="1"/>
  <c r="I3108" i="1"/>
  <c r="L3107" i="1"/>
  <c r="J3106" i="1"/>
  <c r="I3106" i="1"/>
  <c r="J3105" i="1"/>
  <c r="I3105" i="1"/>
  <c r="J3104" i="1"/>
  <c r="I3104" i="1"/>
  <c r="J3103" i="1"/>
  <c r="I3103" i="1"/>
  <c r="J3102" i="1"/>
  <c r="I3102" i="1"/>
  <c r="L3101" i="1"/>
  <c r="J3100" i="1"/>
  <c r="I3100" i="1"/>
  <c r="J3099" i="1"/>
  <c r="I3099" i="1"/>
  <c r="J3098" i="1"/>
  <c r="I3098" i="1"/>
  <c r="L3097" i="1"/>
  <c r="L3096" i="1"/>
  <c r="J3095" i="1"/>
  <c r="I3095" i="1"/>
  <c r="J3094" i="1"/>
  <c r="I3094" i="1"/>
  <c r="J3093" i="1"/>
  <c r="I3093" i="1"/>
  <c r="J3092" i="1"/>
  <c r="I3092" i="1"/>
  <c r="L3091" i="1"/>
  <c r="L3090" i="1"/>
  <c r="J3089" i="1"/>
  <c r="I3089" i="1"/>
  <c r="J3088" i="1"/>
  <c r="I3088" i="1"/>
  <c r="J3087" i="1"/>
  <c r="I3087" i="1"/>
  <c r="J3086" i="1"/>
  <c r="I3086" i="1"/>
  <c r="J3085" i="1"/>
  <c r="I3085" i="1"/>
  <c r="L3084" i="1"/>
  <c r="J3083" i="1"/>
  <c r="I3083" i="1"/>
  <c r="J3082" i="1"/>
  <c r="I3082" i="1"/>
  <c r="J3081" i="1"/>
  <c r="I3081" i="1"/>
  <c r="J3080" i="1"/>
  <c r="I3080" i="1"/>
  <c r="J3079" i="1"/>
  <c r="I3079" i="1"/>
  <c r="J3078" i="1"/>
  <c r="I3078" i="1"/>
  <c r="J3077" i="1"/>
  <c r="I3077" i="1"/>
  <c r="J3076" i="1"/>
  <c r="I3076" i="1"/>
  <c r="J3075" i="1"/>
  <c r="I3075" i="1"/>
  <c r="L3074" i="1"/>
  <c r="J3073" i="1"/>
  <c r="I3073" i="1"/>
  <c r="L3072" i="1"/>
  <c r="L3071" i="1"/>
  <c r="J3070" i="1"/>
  <c r="I3070" i="1"/>
  <c r="L3069" i="1"/>
  <c r="J3068" i="1"/>
  <c r="I3068" i="1"/>
  <c r="J3067" i="1"/>
  <c r="I3067" i="1"/>
  <c r="J3066" i="1"/>
  <c r="I3066" i="1"/>
  <c r="J3065" i="1"/>
  <c r="I3065" i="1"/>
  <c r="J3064" i="1"/>
  <c r="I3064" i="1"/>
  <c r="L3063" i="1"/>
  <c r="J3062" i="1"/>
  <c r="I3062" i="1"/>
  <c r="J3061" i="1"/>
  <c r="I3061" i="1"/>
  <c r="J3060" i="1"/>
  <c r="I3060" i="1"/>
  <c r="J3059" i="1"/>
  <c r="I3059" i="1"/>
  <c r="J3058" i="1"/>
  <c r="I3058" i="1"/>
  <c r="L3057" i="1"/>
  <c r="J3056" i="1"/>
  <c r="I3056" i="1"/>
  <c r="J3055" i="1"/>
  <c r="I3055" i="1"/>
  <c r="J3054" i="1"/>
  <c r="I3054" i="1"/>
  <c r="L3053" i="1"/>
  <c r="J3052" i="1"/>
  <c r="I3052" i="1"/>
  <c r="J3051" i="1"/>
  <c r="I3051" i="1"/>
  <c r="J3050" i="1"/>
  <c r="I3050" i="1"/>
  <c r="J3049" i="1"/>
  <c r="I3049" i="1"/>
  <c r="J3048" i="1"/>
  <c r="I3048" i="1"/>
  <c r="L3047" i="1"/>
  <c r="L3046" i="1"/>
  <c r="J3045" i="1"/>
  <c r="I3045" i="1"/>
  <c r="J3044" i="1"/>
  <c r="I3044" i="1"/>
  <c r="J3043" i="1"/>
  <c r="I3043" i="1"/>
  <c r="J3042" i="1"/>
  <c r="I3042" i="1"/>
  <c r="J3041" i="1"/>
  <c r="I3041" i="1"/>
  <c r="L3040" i="1"/>
  <c r="J3039" i="1"/>
  <c r="I3039" i="1"/>
  <c r="J3038" i="1"/>
  <c r="I3038" i="1"/>
  <c r="J3037" i="1"/>
  <c r="I3037" i="1"/>
  <c r="J3036" i="1"/>
  <c r="I3036" i="1"/>
  <c r="J3035" i="1"/>
  <c r="I3035" i="1"/>
  <c r="J3034" i="1"/>
  <c r="I3034" i="1"/>
  <c r="J3033" i="1"/>
  <c r="I3033" i="1"/>
  <c r="J3032" i="1"/>
  <c r="I3032" i="1"/>
  <c r="L3031" i="1"/>
  <c r="L3030" i="1"/>
  <c r="J3029" i="1"/>
  <c r="I3029" i="1"/>
  <c r="L3028" i="1"/>
  <c r="J3027" i="1"/>
  <c r="I3027" i="1"/>
  <c r="J3026" i="1"/>
  <c r="I3026" i="1"/>
  <c r="L3025" i="1"/>
  <c r="J3024" i="1"/>
  <c r="I3024" i="1"/>
  <c r="J3023" i="1"/>
  <c r="I3023" i="1"/>
  <c r="J3022" i="1"/>
  <c r="I3022" i="1"/>
  <c r="J3021" i="1"/>
  <c r="I3021" i="1"/>
  <c r="J3020" i="1"/>
  <c r="I3020" i="1"/>
  <c r="L3019" i="1"/>
  <c r="J3018" i="1"/>
  <c r="I3018" i="1"/>
  <c r="J3017" i="1"/>
  <c r="I3017" i="1"/>
  <c r="J3016" i="1"/>
  <c r="I3016" i="1"/>
  <c r="J3015" i="1"/>
  <c r="I3015" i="1"/>
  <c r="J3014" i="1"/>
  <c r="I3014" i="1"/>
  <c r="L3013" i="1"/>
  <c r="J3012" i="1"/>
  <c r="I3012" i="1"/>
  <c r="J3011" i="1"/>
  <c r="I3011" i="1"/>
  <c r="J3010" i="1"/>
  <c r="I3010" i="1"/>
  <c r="L3009" i="1"/>
  <c r="J3008" i="1"/>
  <c r="I3008" i="1"/>
  <c r="J3007" i="1"/>
  <c r="I3007" i="1"/>
  <c r="J3006" i="1"/>
  <c r="I3006" i="1"/>
  <c r="J3005" i="1"/>
  <c r="I3005" i="1"/>
  <c r="J3004" i="1"/>
  <c r="I3004" i="1"/>
  <c r="J3003" i="1"/>
  <c r="I3003" i="1"/>
  <c r="L3002" i="1"/>
  <c r="J3001" i="1"/>
  <c r="I3001" i="1"/>
  <c r="L3000" i="1"/>
  <c r="J2999" i="1"/>
  <c r="I2999" i="1"/>
  <c r="L2998" i="1"/>
  <c r="J2997" i="1"/>
  <c r="I2997" i="1"/>
  <c r="L2996" i="1"/>
  <c r="J2995" i="1"/>
  <c r="I2995" i="1"/>
  <c r="L2994" i="1"/>
  <c r="J2993" i="1"/>
  <c r="I2993" i="1"/>
  <c r="J2992" i="1"/>
  <c r="I2992" i="1"/>
  <c r="J2991" i="1"/>
  <c r="I2991" i="1"/>
  <c r="J2990" i="1"/>
  <c r="I2990" i="1"/>
  <c r="J2989" i="1"/>
  <c r="I2989" i="1"/>
  <c r="J2988" i="1"/>
  <c r="I2988" i="1"/>
  <c r="J2987" i="1"/>
  <c r="I2987" i="1"/>
  <c r="L2986" i="1"/>
  <c r="J2985" i="1"/>
  <c r="I2985" i="1"/>
  <c r="L2984" i="1"/>
  <c r="L2983" i="1"/>
  <c r="J2982" i="1"/>
  <c r="I2982" i="1"/>
  <c r="L2981" i="1"/>
  <c r="J2980" i="1"/>
  <c r="I2980" i="1"/>
  <c r="J2979" i="1"/>
  <c r="I2979" i="1"/>
  <c r="L2978" i="1"/>
  <c r="J2977" i="1"/>
  <c r="I2977" i="1"/>
  <c r="J2976" i="1"/>
  <c r="I2976" i="1"/>
  <c r="L2975" i="1"/>
  <c r="J2974" i="1"/>
  <c r="I2974" i="1"/>
  <c r="J2973" i="1"/>
  <c r="I2973" i="1"/>
  <c r="J2972" i="1"/>
  <c r="I2972" i="1"/>
  <c r="J2971" i="1"/>
  <c r="I2971" i="1"/>
  <c r="J2970" i="1"/>
  <c r="I2970" i="1"/>
  <c r="L2969" i="1"/>
  <c r="J2968" i="1"/>
  <c r="I2968" i="1"/>
  <c r="J2967" i="1"/>
  <c r="I2967" i="1"/>
  <c r="J2966" i="1"/>
  <c r="I2966" i="1"/>
  <c r="L2965" i="1"/>
  <c r="J2964" i="1"/>
  <c r="I2964" i="1"/>
  <c r="J2963" i="1"/>
  <c r="I2963" i="1"/>
  <c r="J2962" i="1"/>
  <c r="I2962" i="1"/>
  <c r="J2961" i="1"/>
  <c r="I2961" i="1"/>
  <c r="J2960" i="1"/>
  <c r="I2960" i="1"/>
  <c r="J2959" i="1"/>
  <c r="I2959" i="1"/>
  <c r="L2958" i="1"/>
  <c r="J2957" i="1"/>
  <c r="I2957" i="1"/>
  <c r="L2956" i="1"/>
  <c r="J2955" i="1"/>
  <c r="I2955" i="1"/>
  <c r="L2954" i="1"/>
  <c r="J2953" i="1"/>
  <c r="I2953" i="1"/>
  <c r="L2952" i="1"/>
  <c r="J2951" i="1"/>
  <c r="I2951" i="1"/>
  <c r="L2950" i="1"/>
  <c r="J2949" i="1"/>
  <c r="I2949" i="1"/>
  <c r="J2948" i="1"/>
  <c r="I2948" i="1"/>
  <c r="J2947" i="1"/>
  <c r="I2947" i="1"/>
  <c r="J2946" i="1"/>
  <c r="I2946" i="1"/>
  <c r="J2945" i="1"/>
  <c r="I2945" i="1"/>
  <c r="J2944" i="1"/>
  <c r="I2944" i="1"/>
  <c r="J2943" i="1"/>
  <c r="I2943" i="1"/>
  <c r="L2942" i="1"/>
  <c r="J2941" i="1"/>
  <c r="I2941" i="1"/>
  <c r="L2940" i="1"/>
  <c r="L2939" i="1"/>
  <c r="J2938" i="1"/>
  <c r="I2938" i="1"/>
  <c r="L2937" i="1"/>
  <c r="J2936" i="1"/>
  <c r="I2936" i="1"/>
  <c r="J2935" i="1"/>
  <c r="I2935" i="1"/>
  <c r="J2934" i="1"/>
  <c r="I2934" i="1"/>
  <c r="J2933" i="1"/>
  <c r="I2933" i="1"/>
  <c r="J2932" i="1"/>
  <c r="I2932" i="1"/>
  <c r="L2931" i="1"/>
  <c r="J2930" i="1"/>
  <c r="I2930" i="1"/>
  <c r="J2929" i="1"/>
  <c r="I2929" i="1"/>
  <c r="J2928" i="1"/>
  <c r="I2928" i="1"/>
  <c r="J2927" i="1"/>
  <c r="I2927" i="1"/>
  <c r="J2926" i="1"/>
  <c r="I2926" i="1"/>
  <c r="L2925" i="1"/>
  <c r="J2924" i="1"/>
  <c r="I2924" i="1"/>
  <c r="J2923" i="1"/>
  <c r="I2923" i="1"/>
  <c r="J2922" i="1"/>
  <c r="I2922" i="1"/>
  <c r="L2921" i="1"/>
  <c r="J2920" i="1"/>
  <c r="I2920" i="1"/>
  <c r="J2919" i="1"/>
  <c r="I2919" i="1"/>
  <c r="J2918" i="1"/>
  <c r="I2918" i="1"/>
  <c r="L2917" i="1"/>
  <c r="J2916" i="1"/>
  <c r="I2916" i="1"/>
  <c r="J2915" i="1"/>
  <c r="I2915" i="1"/>
  <c r="L2914" i="1"/>
  <c r="J2913" i="1"/>
  <c r="I2913" i="1"/>
  <c r="L2912" i="1"/>
  <c r="J2911" i="1"/>
  <c r="I2911" i="1"/>
  <c r="L2910" i="1"/>
  <c r="J2909" i="1"/>
  <c r="I2909" i="1"/>
  <c r="L2908" i="1"/>
  <c r="J2907" i="1"/>
  <c r="I2907" i="1"/>
  <c r="L2906" i="1"/>
  <c r="J2905" i="1"/>
  <c r="I2905" i="1"/>
  <c r="J2904" i="1"/>
  <c r="I2904" i="1"/>
  <c r="J2903" i="1"/>
  <c r="I2903" i="1"/>
  <c r="J2902" i="1"/>
  <c r="I2902" i="1"/>
  <c r="J2901" i="1"/>
  <c r="I2901" i="1"/>
  <c r="J2900" i="1"/>
  <c r="I2900" i="1"/>
  <c r="J2899" i="1"/>
  <c r="I2899" i="1"/>
  <c r="L2898" i="1"/>
  <c r="J2897" i="1"/>
  <c r="I2897" i="1"/>
  <c r="L2896" i="1"/>
  <c r="L2895" i="1"/>
  <c r="J2894" i="1"/>
  <c r="I2894" i="1"/>
  <c r="L2893" i="1"/>
  <c r="J2892" i="1"/>
  <c r="I2892" i="1"/>
  <c r="J2891" i="1"/>
  <c r="I2891" i="1"/>
  <c r="J2890" i="1"/>
  <c r="I2890" i="1"/>
  <c r="J2889" i="1"/>
  <c r="I2889" i="1"/>
  <c r="J2888" i="1"/>
  <c r="I2888" i="1"/>
  <c r="L2887" i="1"/>
  <c r="J2886" i="1"/>
  <c r="I2886" i="1"/>
  <c r="J2885" i="1"/>
  <c r="I2885" i="1"/>
  <c r="J2884" i="1"/>
  <c r="I2884" i="1"/>
  <c r="J2883" i="1"/>
  <c r="I2883" i="1"/>
  <c r="L2882" i="1"/>
  <c r="L2881" i="1"/>
  <c r="J2880" i="1"/>
  <c r="I2880" i="1"/>
  <c r="J2879" i="1"/>
  <c r="I2879" i="1"/>
  <c r="J2878" i="1"/>
  <c r="I2878" i="1"/>
  <c r="L2877" i="1"/>
  <c r="J2876" i="1"/>
  <c r="I2876" i="1"/>
  <c r="J2875" i="1"/>
  <c r="I2875" i="1"/>
  <c r="J2874" i="1"/>
  <c r="I2874" i="1"/>
  <c r="J2873" i="1"/>
  <c r="I2873" i="1"/>
  <c r="J2872" i="1"/>
  <c r="I2872" i="1"/>
  <c r="J2871" i="1"/>
  <c r="I2871" i="1"/>
  <c r="L2870" i="1"/>
  <c r="J2869" i="1"/>
  <c r="I2869" i="1"/>
  <c r="J2868" i="1"/>
  <c r="I2868" i="1"/>
  <c r="J2867" i="1"/>
  <c r="I2867" i="1"/>
  <c r="J2866" i="1"/>
  <c r="I2866" i="1"/>
  <c r="J2865" i="1"/>
  <c r="I2865" i="1"/>
  <c r="L2864" i="1"/>
  <c r="J2863" i="1"/>
  <c r="I2863" i="1"/>
  <c r="K2863" i="1" s="1"/>
  <c r="L2863" i="1" s="1"/>
  <c r="J2862" i="1"/>
  <c r="I2862" i="1"/>
  <c r="K2862" i="1" s="1"/>
  <c r="L2862" i="1" s="1"/>
  <c r="J2861" i="1"/>
  <c r="I2861" i="1"/>
  <c r="K2861" i="1" s="1"/>
  <c r="L2861" i="1" s="1"/>
  <c r="J2860" i="1"/>
  <c r="I2860" i="1"/>
  <c r="K2860" i="1" s="1"/>
  <c r="L2860" i="1" s="1"/>
  <c r="J2859" i="1"/>
  <c r="I2859" i="1"/>
  <c r="K2859" i="1" s="1"/>
  <c r="L2859" i="1" s="1"/>
  <c r="J2858" i="1"/>
  <c r="I2858" i="1"/>
  <c r="K2858" i="1" s="1"/>
  <c r="L2858" i="1" s="1"/>
  <c r="J2857" i="1"/>
  <c r="I2857" i="1"/>
  <c r="K2857" i="1" s="1"/>
  <c r="L2857" i="1" s="1"/>
  <c r="J2856" i="1"/>
  <c r="I2856" i="1"/>
  <c r="K2856" i="1" s="1"/>
  <c r="L2856" i="1" s="1"/>
  <c r="J2855" i="1"/>
  <c r="I2855" i="1"/>
  <c r="K2855" i="1" s="1"/>
  <c r="L2855" i="1" s="1"/>
  <c r="L2854" i="1"/>
  <c r="J2853" i="1"/>
  <c r="I2853" i="1"/>
  <c r="K2853" i="1" s="1"/>
  <c r="L2853" i="1" s="1"/>
  <c r="L2852" i="1"/>
  <c r="J2851" i="1"/>
  <c r="I2851" i="1"/>
  <c r="K2851" i="1" s="1"/>
  <c r="L2851" i="1" s="1"/>
  <c r="J2850" i="1"/>
  <c r="I2850" i="1"/>
  <c r="K2850" i="1" s="1"/>
  <c r="L2850" i="1" s="1"/>
  <c r="L2849" i="1"/>
  <c r="J2848" i="1"/>
  <c r="I2848" i="1"/>
  <c r="K2848" i="1" s="1"/>
  <c r="L2848" i="1" s="1"/>
  <c r="J2847" i="1"/>
  <c r="I2847" i="1"/>
  <c r="K2847" i="1" s="1"/>
  <c r="L2847" i="1" s="1"/>
  <c r="J2846" i="1"/>
  <c r="I2846" i="1"/>
  <c r="K2846" i="1" s="1"/>
  <c r="L2846" i="1" s="1"/>
  <c r="J2845" i="1"/>
  <c r="I2845" i="1"/>
  <c r="K2845" i="1" s="1"/>
  <c r="L2845" i="1" s="1"/>
  <c r="J2844" i="1"/>
  <c r="I2844" i="1"/>
  <c r="K2844" i="1" s="1"/>
  <c r="L2844" i="1" s="1"/>
  <c r="L2843" i="1"/>
  <c r="J2842" i="1"/>
  <c r="I2842" i="1"/>
  <c r="K2842" i="1" s="1"/>
  <c r="L2842" i="1" s="1"/>
  <c r="J2841" i="1"/>
  <c r="I2841" i="1"/>
  <c r="K2841" i="1" s="1"/>
  <c r="L2841" i="1" s="1"/>
  <c r="J2840" i="1"/>
  <c r="I2840" i="1"/>
  <c r="K2840" i="1" s="1"/>
  <c r="L2840" i="1" s="1"/>
  <c r="J2839" i="1"/>
  <c r="I2839" i="1"/>
  <c r="K2839" i="1" s="1"/>
  <c r="L2839" i="1" s="1"/>
  <c r="J2838" i="1"/>
  <c r="I2838" i="1"/>
  <c r="K2838" i="1" s="1"/>
  <c r="L2838" i="1" s="1"/>
  <c r="L2837" i="1"/>
  <c r="J2836" i="1"/>
  <c r="I2836" i="1"/>
  <c r="K2836" i="1" s="1"/>
  <c r="L2836" i="1" s="1"/>
  <c r="J2835" i="1"/>
  <c r="I2835" i="1"/>
  <c r="K2835" i="1" s="1"/>
  <c r="L2835" i="1" s="1"/>
  <c r="J2834" i="1"/>
  <c r="I2834" i="1"/>
  <c r="K2834" i="1" s="1"/>
  <c r="L2834" i="1" s="1"/>
  <c r="L2833" i="1"/>
  <c r="J2832" i="1"/>
  <c r="I2832" i="1"/>
  <c r="K2832" i="1" s="1"/>
  <c r="L2832" i="1" s="1"/>
  <c r="J2831" i="1"/>
  <c r="I2831" i="1"/>
  <c r="K2831" i="1" s="1"/>
  <c r="L2831" i="1" s="1"/>
  <c r="J2830" i="1"/>
  <c r="I2830" i="1"/>
  <c r="K2830" i="1" s="1"/>
  <c r="L2830" i="1" s="1"/>
  <c r="L2829" i="1"/>
  <c r="J2828" i="1"/>
  <c r="I2828" i="1"/>
  <c r="K2828" i="1" s="1"/>
  <c r="L2828" i="1" s="1"/>
  <c r="J2827" i="1"/>
  <c r="I2827" i="1"/>
  <c r="K2827" i="1" s="1"/>
  <c r="L2827" i="1" s="1"/>
  <c r="L2826" i="1"/>
  <c r="J2825" i="1"/>
  <c r="I2825" i="1"/>
  <c r="K2825" i="1" s="1"/>
  <c r="L2825" i="1" s="1"/>
  <c r="J2824" i="1"/>
  <c r="I2824" i="1"/>
  <c r="K2824" i="1" s="1"/>
  <c r="L2824" i="1" s="1"/>
  <c r="J2823" i="1"/>
  <c r="I2823" i="1"/>
  <c r="K2823" i="1" s="1"/>
  <c r="L2823" i="1" s="1"/>
  <c r="J2822" i="1"/>
  <c r="I2822" i="1"/>
  <c r="K2822" i="1" s="1"/>
  <c r="L2822" i="1" s="1"/>
  <c r="J2821" i="1"/>
  <c r="I2821" i="1"/>
  <c r="K2821" i="1" s="1"/>
  <c r="L2821" i="1" s="1"/>
  <c r="L2820" i="1"/>
  <c r="J2819" i="1"/>
  <c r="I2819" i="1"/>
  <c r="K2819" i="1" s="1"/>
  <c r="L2819" i="1" s="1"/>
  <c r="J2818" i="1"/>
  <c r="I2818" i="1"/>
  <c r="K2818" i="1" s="1"/>
  <c r="L2818" i="1" s="1"/>
  <c r="J2817" i="1"/>
  <c r="I2817" i="1"/>
  <c r="K2817" i="1" s="1"/>
  <c r="L2817" i="1" s="1"/>
  <c r="J2816" i="1"/>
  <c r="I2816" i="1"/>
  <c r="K2816" i="1" s="1"/>
  <c r="L2816" i="1" s="1"/>
  <c r="J2815" i="1"/>
  <c r="I2815" i="1"/>
  <c r="K2815" i="1" s="1"/>
  <c r="L2815" i="1" s="1"/>
  <c r="L2814" i="1"/>
  <c r="J2813" i="1"/>
  <c r="I2813" i="1"/>
  <c r="K2813" i="1" s="1"/>
  <c r="L2813" i="1" s="1"/>
  <c r="J2812" i="1"/>
  <c r="I2812" i="1"/>
  <c r="K2812" i="1" s="1"/>
  <c r="L2812" i="1" s="1"/>
  <c r="J2811" i="1"/>
  <c r="I2811" i="1"/>
  <c r="K2811" i="1" s="1"/>
  <c r="L2811" i="1" s="1"/>
  <c r="L2810" i="1"/>
  <c r="J2809" i="1"/>
  <c r="I2809" i="1"/>
  <c r="K2809" i="1" s="1"/>
  <c r="L2809" i="1" s="1"/>
  <c r="L2808" i="1"/>
  <c r="J2807" i="1"/>
  <c r="I2807" i="1"/>
  <c r="K2807" i="1" s="1"/>
  <c r="L2807" i="1" s="1"/>
  <c r="J2806" i="1"/>
  <c r="I2806" i="1"/>
  <c r="K2806" i="1" s="1"/>
  <c r="L2806" i="1" s="1"/>
  <c r="L2805" i="1"/>
  <c r="J2804" i="1"/>
  <c r="I2804" i="1"/>
  <c r="K2804" i="1" s="1"/>
  <c r="L2804" i="1" s="1"/>
  <c r="J2803" i="1"/>
  <c r="I2803" i="1"/>
  <c r="K2803" i="1" s="1"/>
  <c r="L2803" i="1" s="1"/>
  <c r="J2802" i="1"/>
  <c r="I2802" i="1"/>
  <c r="K2802" i="1" s="1"/>
  <c r="L2802" i="1" s="1"/>
  <c r="J2801" i="1"/>
  <c r="I2801" i="1"/>
  <c r="K2801" i="1" s="1"/>
  <c r="L2801" i="1" s="1"/>
  <c r="J2800" i="1"/>
  <c r="I2800" i="1"/>
  <c r="K2800" i="1" s="1"/>
  <c r="L2800" i="1" s="1"/>
  <c r="L2799" i="1"/>
  <c r="J2798" i="1"/>
  <c r="I2798" i="1"/>
  <c r="K2798" i="1" s="1"/>
  <c r="L2798" i="1" s="1"/>
  <c r="J2797" i="1"/>
  <c r="I2797" i="1"/>
  <c r="K2797" i="1" s="1"/>
  <c r="L2797" i="1" s="1"/>
  <c r="J2796" i="1"/>
  <c r="I2796" i="1"/>
  <c r="K2796" i="1" s="1"/>
  <c r="L2796" i="1" s="1"/>
  <c r="J2795" i="1"/>
  <c r="I2795" i="1"/>
  <c r="K2795" i="1" s="1"/>
  <c r="L2795" i="1" s="1"/>
  <c r="J2794" i="1"/>
  <c r="I2794" i="1"/>
  <c r="K2794" i="1" s="1"/>
  <c r="L2794" i="1" s="1"/>
  <c r="L2793" i="1"/>
  <c r="J2792" i="1"/>
  <c r="I2792" i="1"/>
  <c r="K2792" i="1" s="1"/>
  <c r="L2792" i="1" s="1"/>
  <c r="J2791" i="1"/>
  <c r="I2791" i="1"/>
  <c r="K2791" i="1" s="1"/>
  <c r="L2791" i="1" s="1"/>
  <c r="J2790" i="1"/>
  <c r="I2790" i="1"/>
  <c r="K2790" i="1" s="1"/>
  <c r="L2790" i="1" s="1"/>
  <c r="L2789" i="1"/>
  <c r="J2788" i="1"/>
  <c r="I2788" i="1"/>
  <c r="K2788" i="1" s="1"/>
  <c r="L2788" i="1" s="1"/>
  <c r="J2787" i="1"/>
  <c r="I2787" i="1"/>
  <c r="K2787" i="1" s="1"/>
  <c r="L2787" i="1" s="1"/>
  <c r="J2786" i="1"/>
  <c r="I2786" i="1"/>
  <c r="K2786" i="1" s="1"/>
  <c r="L2786" i="1" s="1"/>
  <c r="J2785" i="1"/>
  <c r="I2785" i="1"/>
  <c r="K2785" i="1" s="1"/>
  <c r="L2785" i="1" s="1"/>
  <c r="J2784" i="1"/>
  <c r="I2784" i="1"/>
  <c r="K2784" i="1" s="1"/>
  <c r="L2784" i="1" s="1"/>
  <c r="J2783" i="1"/>
  <c r="I2783" i="1"/>
  <c r="K2783" i="1" s="1"/>
  <c r="L2783" i="1" s="1"/>
  <c r="L2782" i="1"/>
  <c r="J2781" i="1"/>
  <c r="I2781" i="1"/>
  <c r="K2781" i="1" s="1"/>
  <c r="L2781" i="1" s="1"/>
  <c r="L2780" i="1"/>
  <c r="J2779" i="1"/>
  <c r="I2779" i="1"/>
  <c r="K2779" i="1" s="1"/>
  <c r="L2779" i="1" s="1"/>
  <c r="L2778" i="1"/>
  <c r="J2777" i="1"/>
  <c r="I2777" i="1"/>
  <c r="K2777" i="1" s="1"/>
  <c r="L2777" i="1" s="1"/>
  <c r="L2776" i="1"/>
  <c r="J2775" i="1"/>
  <c r="I2775" i="1"/>
  <c r="K2775" i="1" s="1"/>
  <c r="L2775" i="1" s="1"/>
  <c r="L2774" i="1"/>
  <c r="J2773" i="1"/>
  <c r="I2773" i="1"/>
  <c r="K2773" i="1" s="1"/>
  <c r="L2773" i="1" s="1"/>
  <c r="J2772" i="1"/>
  <c r="I2772" i="1"/>
  <c r="K2772" i="1" s="1"/>
  <c r="L2772" i="1" s="1"/>
  <c r="J2771" i="1"/>
  <c r="I2771" i="1"/>
  <c r="K2771" i="1" s="1"/>
  <c r="L2771" i="1" s="1"/>
  <c r="J2770" i="1"/>
  <c r="I2770" i="1"/>
  <c r="K2770" i="1" s="1"/>
  <c r="L2770" i="1" s="1"/>
  <c r="J2769" i="1"/>
  <c r="I2769" i="1"/>
  <c r="K2769" i="1" s="1"/>
  <c r="L2769" i="1" s="1"/>
  <c r="J2768" i="1"/>
  <c r="I2768" i="1"/>
  <c r="K2768" i="1" s="1"/>
  <c r="L2768" i="1" s="1"/>
  <c r="J2767" i="1"/>
  <c r="I2767" i="1"/>
  <c r="K2767" i="1" s="1"/>
  <c r="L2767" i="1" s="1"/>
  <c r="L2766" i="1"/>
  <c r="J2765" i="1"/>
  <c r="I2765" i="1"/>
  <c r="K2765" i="1" s="1"/>
  <c r="L2765" i="1" s="1"/>
  <c r="L2764" i="1"/>
  <c r="L2763" i="1"/>
  <c r="J2762" i="1"/>
  <c r="I2762" i="1"/>
  <c r="K2762" i="1" s="1"/>
  <c r="L2762" i="1" s="1"/>
  <c r="L2761" i="1"/>
  <c r="J2760" i="1"/>
  <c r="I2760" i="1"/>
  <c r="K2760" i="1" s="1"/>
  <c r="L2760" i="1" s="1"/>
  <c r="J2759" i="1"/>
  <c r="I2759" i="1"/>
  <c r="K2759" i="1" s="1"/>
  <c r="L2759" i="1" s="1"/>
  <c r="J2758" i="1"/>
  <c r="I2758" i="1"/>
  <c r="K2758" i="1" s="1"/>
  <c r="L2758" i="1" s="1"/>
  <c r="J2757" i="1"/>
  <c r="I2757" i="1"/>
  <c r="K2757" i="1" s="1"/>
  <c r="L2757" i="1" s="1"/>
  <c r="J2756" i="1"/>
  <c r="I2756" i="1"/>
  <c r="K2756" i="1" s="1"/>
  <c r="L2756" i="1" s="1"/>
  <c r="L2755" i="1"/>
  <c r="J2754" i="1"/>
  <c r="I2754" i="1"/>
  <c r="K2754" i="1" s="1"/>
  <c r="L2754" i="1" s="1"/>
  <c r="J2753" i="1"/>
  <c r="I2753" i="1"/>
  <c r="K2753" i="1" s="1"/>
  <c r="L2753" i="1" s="1"/>
  <c r="J2752" i="1"/>
  <c r="I2752" i="1"/>
  <c r="K2752" i="1" s="1"/>
  <c r="L2752" i="1" s="1"/>
  <c r="J2751" i="1"/>
  <c r="I2751" i="1"/>
  <c r="K2751" i="1" s="1"/>
  <c r="L2751" i="1" s="1"/>
  <c r="J2750" i="1"/>
  <c r="I2750" i="1"/>
  <c r="K2750" i="1" s="1"/>
  <c r="L2750" i="1" s="1"/>
  <c r="L2749" i="1"/>
  <c r="J2748" i="1"/>
  <c r="I2748" i="1"/>
  <c r="K2748" i="1" s="1"/>
  <c r="L2748" i="1" s="1"/>
  <c r="J2747" i="1"/>
  <c r="I2747" i="1"/>
  <c r="K2747" i="1" s="1"/>
  <c r="L2747" i="1" s="1"/>
  <c r="J2746" i="1"/>
  <c r="I2746" i="1"/>
  <c r="K2746" i="1" s="1"/>
  <c r="L2746" i="1" s="1"/>
  <c r="L2745" i="1"/>
  <c r="J2744" i="1"/>
  <c r="I2744" i="1"/>
  <c r="K2744" i="1" s="1"/>
  <c r="L2744" i="1" s="1"/>
  <c r="J2743" i="1"/>
  <c r="I2743" i="1"/>
  <c r="K2743" i="1" s="1"/>
  <c r="L2743" i="1" s="1"/>
  <c r="J2742" i="1"/>
  <c r="I2742" i="1"/>
  <c r="K2742" i="1" s="1"/>
  <c r="L2742" i="1" s="1"/>
  <c r="J2741" i="1"/>
  <c r="I2741" i="1"/>
  <c r="K2741" i="1" s="1"/>
  <c r="L2741" i="1" s="1"/>
  <c r="J2740" i="1"/>
  <c r="I2740" i="1"/>
  <c r="K2740" i="1" s="1"/>
  <c r="L2740" i="1" s="1"/>
  <c r="J2739" i="1"/>
  <c r="I2739" i="1"/>
  <c r="K2739" i="1" s="1"/>
  <c r="L2739" i="1" s="1"/>
  <c r="L2738" i="1"/>
  <c r="J2737" i="1"/>
  <c r="I2737" i="1"/>
  <c r="K2737" i="1" s="1"/>
  <c r="L2737" i="1" s="1"/>
  <c r="L2736" i="1"/>
  <c r="J2735" i="1"/>
  <c r="I2735" i="1"/>
  <c r="K2735" i="1" s="1"/>
  <c r="L2735" i="1" s="1"/>
  <c r="L2734" i="1"/>
  <c r="J2733" i="1"/>
  <c r="I2733" i="1"/>
  <c r="K2733" i="1" s="1"/>
  <c r="L2733" i="1" s="1"/>
  <c r="L2732" i="1"/>
  <c r="J2731" i="1"/>
  <c r="I2731" i="1"/>
  <c r="K2731" i="1" s="1"/>
  <c r="L2731" i="1" s="1"/>
  <c r="L2730" i="1"/>
  <c r="J2729" i="1"/>
  <c r="I2729" i="1"/>
  <c r="K2729" i="1" s="1"/>
  <c r="L2729" i="1" s="1"/>
  <c r="J2728" i="1"/>
  <c r="I2728" i="1"/>
  <c r="K2728" i="1" s="1"/>
  <c r="L2728" i="1" s="1"/>
  <c r="J2727" i="1"/>
  <c r="I2727" i="1"/>
  <c r="K2727" i="1" s="1"/>
  <c r="L2727" i="1" s="1"/>
  <c r="J2726" i="1"/>
  <c r="I2726" i="1"/>
  <c r="K2726" i="1" s="1"/>
  <c r="L2726" i="1" s="1"/>
  <c r="J2725" i="1"/>
  <c r="I2725" i="1"/>
  <c r="K2725" i="1" s="1"/>
  <c r="L2725" i="1" s="1"/>
  <c r="J2724" i="1"/>
  <c r="I2724" i="1"/>
  <c r="K2724" i="1" s="1"/>
  <c r="L2724" i="1" s="1"/>
  <c r="J2723" i="1"/>
  <c r="I2723" i="1"/>
  <c r="K2723" i="1" s="1"/>
  <c r="L2723" i="1" s="1"/>
  <c r="L2722" i="1"/>
  <c r="J2721" i="1"/>
  <c r="I2721" i="1"/>
  <c r="K2721" i="1" s="1"/>
  <c r="L2721" i="1" s="1"/>
  <c r="L2720" i="1"/>
  <c r="J2719" i="1"/>
  <c r="I2719" i="1"/>
  <c r="K2719" i="1" s="1"/>
  <c r="L2719" i="1" s="1"/>
  <c r="J2718" i="1"/>
  <c r="I2718" i="1"/>
  <c r="K2718" i="1" s="1"/>
  <c r="L2718" i="1" s="1"/>
  <c r="L2717" i="1"/>
  <c r="J2716" i="1"/>
  <c r="I2716" i="1"/>
  <c r="K2716" i="1" s="1"/>
  <c r="L2716" i="1" s="1"/>
  <c r="J2715" i="1"/>
  <c r="I2715" i="1"/>
  <c r="K2715" i="1" s="1"/>
  <c r="L2715" i="1" s="1"/>
  <c r="J2714" i="1"/>
  <c r="I2714" i="1"/>
  <c r="K2714" i="1" s="1"/>
  <c r="L2714" i="1" s="1"/>
  <c r="J2713" i="1"/>
  <c r="I2713" i="1"/>
  <c r="K2713" i="1" s="1"/>
  <c r="L2713" i="1" s="1"/>
  <c r="J2712" i="1"/>
  <c r="I2712" i="1"/>
  <c r="K2712" i="1" s="1"/>
  <c r="L2712" i="1" s="1"/>
  <c r="L2711" i="1"/>
  <c r="J2710" i="1"/>
  <c r="I2710" i="1"/>
  <c r="K2710" i="1" s="1"/>
  <c r="L2710" i="1" s="1"/>
  <c r="J2709" i="1"/>
  <c r="I2709" i="1"/>
  <c r="K2709" i="1" s="1"/>
  <c r="L2709" i="1" s="1"/>
  <c r="J2708" i="1"/>
  <c r="I2708" i="1"/>
  <c r="K2708" i="1" s="1"/>
  <c r="L2708" i="1" s="1"/>
  <c r="J2707" i="1"/>
  <c r="I2707" i="1"/>
  <c r="K2707" i="1" s="1"/>
  <c r="L2707" i="1" s="1"/>
  <c r="J2706" i="1"/>
  <c r="I2706" i="1"/>
  <c r="K2706" i="1" s="1"/>
  <c r="L2706" i="1" s="1"/>
  <c r="L2705" i="1"/>
  <c r="L2704" i="1"/>
  <c r="L2703" i="1"/>
  <c r="J2702" i="1"/>
  <c r="I2702" i="1"/>
  <c r="K2702" i="1" s="1"/>
  <c r="L2702" i="1" s="1"/>
  <c r="L2701" i="1"/>
  <c r="J2700" i="1"/>
  <c r="I2700" i="1"/>
  <c r="K2700" i="1" s="1"/>
  <c r="L2700" i="1" s="1"/>
  <c r="J2699" i="1"/>
  <c r="I2699" i="1"/>
  <c r="K2699" i="1" s="1"/>
  <c r="L2699" i="1" s="1"/>
  <c r="J2698" i="1"/>
  <c r="I2698" i="1"/>
  <c r="K2698" i="1" s="1"/>
  <c r="L2698" i="1" s="1"/>
  <c r="J2697" i="1"/>
  <c r="I2697" i="1"/>
  <c r="K2697" i="1" s="1"/>
  <c r="L2697" i="1" s="1"/>
  <c r="J2696" i="1"/>
  <c r="I2696" i="1"/>
  <c r="K2696" i="1" s="1"/>
  <c r="L2696" i="1" s="1"/>
  <c r="J2695" i="1"/>
  <c r="I2695" i="1"/>
  <c r="K2695" i="1" s="1"/>
  <c r="L2695" i="1" s="1"/>
  <c r="L2694" i="1"/>
  <c r="J2693" i="1"/>
  <c r="I2693" i="1"/>
  <c r="K2693" i="1" s="1"/>
  <c r="L2693" i="1" s="1"/>
  <c r="L2692" i="1"/>
  <c r="L2691" i="1"/>
  <c r="L2690" i="1"/>
  <c r="J2689" i="1"/>
  <c r="I2689" i="1"/>
  <c r="K2689" i="1" s="1"/>
  <c r="L2689" i="1" s="1"/>
  <c r="L2688" i="1"/>
  <c r="J2687" i="1"/>
  <c r="I2687" i="1"/>
  <c r="K2687" i="1" s="1"/>
  <c r="L2687" i="1" s="1"/>
  <c r="J2686" i="1"/>
  <c r="I2686" i="1"/>
  <c r="K2686" i="1" s="1"/>
  <c r="L2686" i="1" s="1"/>
  <c r="J2685" i="1"/>
  <c r="I2685" i="1"/>
  <c r="K2685" i="1" s="1"/>
  <c r="L2685" i="1" s="1"/>
  <c r="J2684" i="1"/>
  <c r="I2684" i="1"/>
  <c r="K2684" i="1" s="1"/>
  <c r="L2684" i="1" s="1"/>
  <c r="J2683" i="1"/>
  <c r="I2683" i="1"/>
  <c r="K2683" i="1" s="1"/>
  <c r="L2683" i="1" s="1"/>
  <c r="J2682" i="1"/>
  <c r="I2682" i="1"/>
  <c r="K2682" i="1" s="1"/>
  <c r="L2682" i="1" s="1"/>
  <c r="J2681" i="1"/>
  <c r="I2681" i="1"/>
  <c r="K2681" i="1" s="1"/>
  <c r="L2681" i="1" s="1"/>
  <c r="J2680" i="1"/>
  <c r="I2680" i="1"/>
  <c r="K2680" i="1" s="1"/>
  <c r="L2680" i="1" s="1"/>
  <c r="J2679" i="1"/>
  <c r="I2679" i="1"/>
  <c r="K2679" i="1" s="1"/>
  <c r="L2679" i="1" s="1"/>
  <c r="L2678" i="1"/>
  <c r="J2677" i="1"/>
  <c r="I2677" i="1"/>
  <c r="K2677" i="1" s="1"/>
  <c r="L2677" i="1" s="1"/>
  <c r="L2676" i="1"/>
  <c r="J2675" i="1"/>
  <c r="I2675" i="1"/>
  <c r="K2675" i="1" s="1"/>
  <c r="L2675" i="1" s="1"/>
  <c r="J2674" i="1"/>
  <c r="I2674" i="1"/>
  <c r="K2674" i="1" s="1"/>
  <c r="L2674" i="1" s="1"/>
  <c r="L2673" i="1"/>
  <c r="L2672" i="1"/>
  <c r="J2671" i="1"/>
  <c r="I2671" i="1"/>
  <c r="K2671" i="1" s="1"/>
  <c r="L2671" i="1" s="1"/>
  <c r="J2670" i="1"/>
  <c r="I2670" i="1"/>
  <c r="K2670" i="1" s="1"/>
  <c r="L2670" i="1" s="1"/>
  <c r="J2669" i="1"/>
  <c r="I2669" i="1"/>
  <c r="K2669" i="1" s="1"/>
  <c r="L2669" i="1" s="1"/>
  <c r="J2668" i="1"/>
  <c r="I2668" i="1"/>
  <c r="K2668" i="1" s="1"/>
  <c r="L2668" i="1" s="1"/>
  <c r="L2667" i="1"/>
  <c r="J2666" i="1"/>
  <c r="I2666" i="1"/>
  <c r="K2666" i="1" s="1"/>
  <c r="L2666" i="1" s="1"/>
  <c r="J2665" i="1"/>
  <c r="I2665" i="1"/>
  <c r="K2665" i="1" s="1"/>
  <c r="L2665" i="1" s="1"/>
  <c r="J2664" i="1"/>
  <c r="I2664" i="1"/>
  <c r="K2664" i="1" s="1"/>
  <c r="L2664" i="1" s="1"/>
  <c r="J2663" i="1"/>
  <c r="I2663" i="1"/>
  <c r="K2663" i="1" s="1"/>
  <c r="L2663" i="1" s="1"/>
  <c r="J2662" i="1"/>
  <c r="I2662" i="1"/>
  <c r="K2662" i="1" s="1"/>
  <c r="L2662" i="1" s="1"/>
  <c r="L2661" i="1"/>
  <c r="L2660" i="1"/>
  <c r="L2659" i="1"/>
  <c r="J2658" i="1"/>
  <c r="I2658" i="1"/>
  <c r="K2658" i="1" s="1"/>
  <c r="L2658" i="1" s="1"/>
  <c r="L2657" i="1"/>
  <c r="J2656" i="1"/>
  <c r="I2656" i="1"/>
  <c r="K2656" i="1" s="1"/>
  <c r="L2656" i="1" s="1"/>
  <c r="J2655" i="1"/>
  <c r="I2655" i="1"/>
  <c r="K2655" i="1" s="1"/>
  <c r="L2655" i="1" s="1"/>
  <c r="J2654" i="1"/>
  <c r="I2654" i="1"/>
  <c r="K2654" i="1" s="1"/>
  <c r="L2654" i="1" s="1"/>
  <c r="J2653" i="1"/>
  <c r="I2653" i="1"/>
  <c r="K2653" i="1" s="1"/>
  <c r="L2653" i="1" s="1"/>
  <c r="J2652" i="1"/>
  <c r="I2652" i="1"/>
  <c r="K2652" i="1" s="1"/>
  <c r="L2652" i="1" s="1"/>
  <c r="J2651" i="1"/>
  <c r="I2651" i="1"/>
  <c r="K2651" i="1" s="1"/>
  <c r="L2651" i="1" s="1"/>
  <c r="L2650" i="1"/>
  <c r="J2649" i="1"/>
  <c r="I2649" i="1"/>
  <c r="K2649" i="1" s="1"/>
  <c r="L2649" i="1" s="1"/>
  <c r="J2648" i="1"/>
  <c r="I2648" i="1"/>
  <c r="K2648" i="1" s="1"/>
  <c r="L2648" i="1" s="1"/>
  <c r="L2647" i="1"/>
  <c r="J2646" i="1"/>
  <c r="I2646" i="1"/>
  <c r="K2646" i="1" s="1"/>
  <c r="L2646" i="1" s="1"/>
  <c r="J2645" i="1"/>
  <c r="I2645" i="1"/>
  <c r="K2645" i="1" s="1"/>
  <c r="L2645" i="1" s="1"/>
  <c r="L2644" i="1"/>
  <c r="J2643" i="1"/>
  <c r="I2643" i="1"/>
  <c r="K2643" i="1" s="1"/>
  <c r="L2643" i="1" s="1"/>
  <c r="J2642" i="1"/>
  <c r="I2642" i="1"/>
  <c r="K2642" i="1" s="1"/>
  <c r="L2642" i="1" s="1"/>
  <c r="J2641" i="1"/>
  <c r="I2641" i="1"/>
  <c r="K2641" i="1" s="1"/>
  <c r="L2641" i="1" s="1"/>
  <c r="J2640" i="1"/>
  <c r="I2640" i="1"/>
  <c r="K2640" i="1" s="1"/>
  <c r="L2640" i="1" s="1"/>
  <c r="J2639" i="1"/>
  <c r="I2639" i="1"/>
  <c r="K2639" i="1" s="1"/>
  <c r="L2639" i="1" s="1"/>
  <c r="J2638" i="1"/>
  <c r="I2638" i="1"/>
  <c r="K2638" i="1" s="1"/>
  <c r="L2638" i="1" s="1"/>
  <c r="J2637" i="1"/>
  <c r="I2637" i="1"/>
  <c r="K2637" i="1" s="1"/>
  <c r="L2637" i="1" s="1"/>
  <c r="J2636" i="1"/>
  <c r="I2636" i="1"/>
  <c r="K2636" i="1" s="1"/>
  <c r="L2636" i="1" s="1"/>
  <c r="J2635" i="1"/>
  <c r="I2635" i="1"/>
  <c r="K2635" i="1" s="1"/>
  <c r="L2635" i="1" s="1"/>
  <c r="L2634" i="1"/>
  <c r="J2633" i="1"/>
  <c r="I2633" i="1"/>
  <c r="K2633" i="1" s="1"/>
  <c r="L2633" i="1" s="1"/>
  <c r="L2632" i="1"/>
  <c r="J2631" i="1"/>
  <c r="I2631" i="1"/>
  <c r="K2631" i="1" s="1"/>
  <c r="L2631" i="1" s="1"/>
  <c r="J2630" i="1"/>
  <c r="I2630" i="1"/>
  <c r="K2630" i="1" s="1"/>
  <c r="L2630" i="1" s="1"/>
  <c r="L2629" i="1"/>
  <c r="L2628" i="1"/>
  <c r="J2627" i="1"/>
  <c r="I2627" i="1"/>
  <c r="K2627" i="1" s="1"/>
  <c r="L2627" i="1" s="1"/>
  <c r="J2626" i="1"/>
  <c r="I2626" i="1"/>
  <c r="K2626" i="1" s="1"/>
  <c r="L2626" i="1" s="1"/>
  <c r="J2625" i="1"/>
  <c r="I2625" i="1"/>
  <c r="K2625" i="1" s="1"/>
  <c r="L2625" i="1" s="1"/>
  <c r="J2624" i="1"/>
  <c r="I2624" i="1"/>
  <c r="K2624" i="1" s="1"/>
  <c r="L2624" i="1" s="1"/>
  <c r="L2623" i="1"/>
  <c r="J2622" i="1"/>
  <c r="I2622" i="1"/>
  <c r="K2622" i="1" s="1"/>
  <c r="L2622" i="1" s="1"/>
  <c r="J2621" i="1"/>
  <c r="I2621" i="1"/>
  <c r="K2621" i="1" s="1"/>
  <c r="L2621" i="1" s="1"/>
  <c r="J2620" i="1"/>
  <c r="I2620" i="1"/>
  <c r="K2620" i="1" s="1"/>
  <c r="L2620" i="1" s="1"/>
  <c r="J2619" i="1"/>
  <c r="I2619" i="1"/>
  <c r="K2619" i="1" s="1"/>
  <c r="L2619" i="1" s="1"/>
  <c r="J2618" i="1"/>
  <c r="I2618" i="1"/>
  <c r="K2618" i="1" s="1"/>
  <c r="L2618" i="1" s="1"/>
  <c r="L2617" i="1"/>
  <c r="L2616" i="1"/>
  <c r="L2615" i="1"/>
  <c r="J2614" i="1"/>
  <c r="I2614" i="1"/>
  <c r="K2614" i="1" s="1"/>
  <c r="L2614" i="1" s="1"/>
  <c r="L2613" i="1"/>
  <c r="J2612" i="1"/>
  <c r="I2612" i="1"/>
  <c r="K2612" i="1" s="1"/>
  <c r="L2612" i="1" s="1"/>
  <c r="J2611" i="1"/>
  <c r="I2611" i="1"/>
  <c r="K2611" i="1" s="1"/>
  <c r="L2611" i="1" s="1"/>
  <c r="J2610" i="1"/>
  <c r="I2610" i="1"/>
  <c r="K2610" i="1" s="1"/>
  <c r="L2610" i="1" s="1"/>
  <c r="J2609" i="1"/>
  <c r="I2609" i="1"/>
  <c r="K2609" i="1" s="1"/>
  <c r="L2609" i="1" s="1"/>
  <c r="J2608" i="1"/>
  <c r="I2608" i="1"/>
  <c r="K2608" i="1" s="1"/>
  <c r="L2608" i="1" s="1"/>
  <c r="J2607" i="1"/>
  <c r="I2607" i="1"/>
  <c r="K2607" i="1" s="1"/>
  <c r="L2607" i="1" s="1"/>
  <c r="L2606" i="1"/>
  <c r="J2605" i="1"/>
  <c r="I2605" i="1"/>
  <c r="K2605" i="1" s="1"/>
  <c r="L2605" i="1" s="1"/>
  <c r="J2604" i="1"/>
  <c r="I2604" i="1"/>
  <c r="K2604" i="1" s="1"/>
  <c r="L2604" i="1" s="1"/>
  <c r="L2603" i="1"/>
  <c r="J2602" i="1"/>
  <c r="I2602" i="1"/>
  <c r="K2602" i="1" s="1"/>
  <c r="L2602" i="1" s="1"/>
  <c r="J2601" i="1"/>
  <c r="I2601" i="1"/>
  <c r="K2601" i="1" s="1"/>
  <c r="L2601" i="1" s="1"/>
  <c r="L2600" i="1"/>
  <c r="J2599" i="1"/>
  <c r="I2599" i="1"/>
  <c r="K2599" i="1" s="1"/>
  <c r="L2599" i="1" s="1"/>
  <c r="J2598" i="1"/>
  <c r="I2598" i="1"/>
  <c r="K2598" i="1" s="1"/>
  <c r="L2598" i="1" s="1"/>
  <c r="J2597" i="1"/>
  <c r="I2597" i="1"/>
  <c r="K2597" i="1" s="1"/>
  <c r="L2597" i="1" s="1"/>
  <c r="J2596" i="1"/>
  <c r="I2596" i="1"/>
  <c r="K2596" i="1" s="1"/>
  <c r="L2596" i="1" s="1"/>
  <c r="L2595" i="1"/>
  <c r="J2594" i="1"/>
  <c r="I2594" i="1"/>
  <c r="K2594" i="1" s="1"/>
  <c r="L2594" i="1" s="1"/>
  <c r="J2593" i="1"/>
  <c r="I2593" i="1"/>
  <c r="K2593" i="1" s="1"/>
  <c r="L2593" i="1" s="1"/>
  <c r="J2592" i="1"/>
  <c r="I2592" i="1"/>
  <c r="K2592" i="1" s="1"/>
  <c r="L2592" i="1" s="1"/>
  <c r="J2591" i="1"/>
  <c r="I2591" i="1"/>
  <c r="K2591" i="1" s="1"/>
  <c r="L2591" i="1" s="1"/>
  <c r="L2590" i="1"/>
  <c r="J2589" i="1"/>
  <c r="I2589" i="1"/>
  <c r="K2589" i="1" s="1"/>
  <c r="L2589" i="1" s="1"/>
  <c r="L2588" i="1"/>
  <c r="J2587" i="1"/>
  <c r="I2587" i="1"/>
  <c r="K2587" i="1" s="1"/>
  <c r="L2587" i="1" s="1"/>
  <c r="J2586" i="1"/>
  <c r="I2586" i="1"/>
  <c r="K2586" i="1" s="1"/>
  <c r="L2586" i="1" s="1"/>
  <c r="L2585" i="1"/>
  <c r="J2584" i="1"/>
  <c r="I2584" i="1"/>
  <c r="K2584" i="1" s="1"/>
  <c r="L2584" i="1" s="1"/>
  <c r="J2583" i="1"/>
  <c r="I2583" i="1"/>
  <c r="K2583" i="1" s="1"/>
  <c r="L2583" i="1" s="1"/>
  <c r="L2582" i="1"/>
  <c r="J2581" i="1"/>
  <c r="I2581" i="1"/>
  <c r="K2581" i="1" s="1"/>
  <c r="L2581" i="1" s="1"/>
  <c r="J2580" i="1"/>
  <c r="I2580" i="1"/>
  <c r="K2580" i="1" s="1"/>
  <c r="L2580" i="1" s="1"/>
  <c r="L2579" i="1"/>
  <c r="J2578" i="1"/>
  <c r="I2578" i="1"/>
  <c r="K2578" i="1" s="1"/>
  <c r="L2578" i="1" s="1"/>
  <c r="J2577" i="1"/>
  <c r="I2577" i="1"/>
  <c r="K2577" i="1" s="1"/>
  <c r="L2577" i="1" s="1"/>
  <c r="J2576" i="1"/>
  <c r="I2576" i="1"/>
  <c r="K2576" i="1" s="1"/>
  <c r="L2576" i="1" s="1"/>
  <c r="J2575" i="1"/>
  <c r="I2575" i="1"/>
  <c r="K2575" i="1" s="1"/>
  <c r="L2575" i="1" s="1"/>
  <c r="J2574" i="1"/>
  <c r="I2574" i="1"/>
  <c r="K2574" i="1" s="1"/>
  <c r="L2574" i="1" s="1"/>
  <c r="L2573" i="1"/>
  <c r="L2572" i="1"/>
  <c r="L2571" i="1"/>
  <c r="L2570" i="1"/>
  <c r="L2569" i="1"/>
  <c r="J2568" i="1"/>
  <c r="I2568" i="1"/>
  <c r="K2568" i="1" s="1"/>
  <c r="L2568" i="1" s="1"/>
  <c r="J2567" i="1"/>
  <c r="I2567" i="1"/>
  <c r="K2567" i="1" s="1"/>
  <c r="L2567" i="1" s="1"/>
  <c r="J2566" i="1"/>
  <c r="I2566" i="1"/>
  <c r="K2566" i="1" s="1"/>
  <c r="L2566" i="1" s="1"/>
  <c r="J2565" i="1"/>
  <c r="I2565" i="1"/>
  <c r="K2565" i="1" s="1"/>
  <c r="L2565" i="1" s="1"/>
  <c r="J2564" i="1"/>
  <c r="I2564" i="1"/>
  <c r="K2564" i="1" s="1"/>
  <c r="L2564" i="1" s="1"/>
  <c r="J2563" i="1"/>
  <c r="I2563" i="1"/>
  <c r="K2563" i="1" s="1"/>
  <c r="L2563" i="1" s="1"/>
  <c r="L2562" i="1"/>
  <c r="J2561" i="1"/>
  <c r="I2561" i="1"/>
  <c r="K2561" i="1" s="1"/>
  <c r="L2561" i="1" s="1"/>
  <c r="J2560" i="1"/>
  <c r="I2560" i="1"/>
  <c r="K2560" i="1" s="1"/>
  <c r="L2560" i="1" s="1"/>
  <c r="L2559" i="1"/>
  <c r="L2558" i="1"/>
  <c r="J2557" i="1"/>
  <c r="I2557" i="1"/>
  <c r="K2557" i="1" s="1"/>
  <c r="L2557" i="1" s="1"/>
  <c r="L2556" i="1"/>
  <c r="J2555" i="1"/>
  <c r="I2555" i="1"/>
  <c r="K2555" i="1" s="1"/>
  <c r="L2555" i="1" s="1"/>
  <c r="J2554" i="1"/>
  <c r="I2554" i="1"/>
  <c r="J2553" i="1"/>
  <c r="I2553" i="1"/>
  <c r="J2552" i="1"/>
  <c r="I2552" i="1"/>
  <c r="J2551" i="1"/>
  <c r="I2551" i="1"/>
  <c r="J2550" i="1"/>
  <c r="I2550" i="1"/>
  <c r="J2549" i="1"/>
  <c r="I2549" i="1"/>
  <c r="J2548" i="1"/>
  <c r="I2548" i="1"/>
  <c r="J2547" i="1"/>
  <c r="I2547" i="1"/>
  <c r="L2546" i="1"/>
  <c r="J2545" i="1"/>
  <c r="I2545" i="1"/>
  <c r="L2544" i="1"/>
  <c r="J2543" i="1"/>
  <c r="I2543" i="1"/>
  <c r="J2542" i="1"/>
  <c r="I2542" i="1"/>
  <c r="L2541" i="1"/>
  <c r="J2540" i="1"/>
  <c r="I2540" i="1"/>
  <c r="J2539" i="1"/>
  <c r="I2539" i="1"/>
  <c r="J2538" i="1"/>
  <c r="I2538" i="1"/>
  <c r="J2537" i="1"/>
  <c r="I2537" i="1"/>
  <c r="J2536" i="1"/>
  <c r="I2536" i="1"/>
  <c r="L2535" i="1"/>
  <c r="J2534" i="1"/>
  <c r="I2534" i="1"/>
  <c r="J2533" i="1"/>
  <c r="I2533" i="1"/>
  <c r="J2532" i="1"/>
  <c r="I2532" i="1"/>
  <c r="J2531" i="1"/>
  <c r="I2531" i="1"/>
  <c r="J2530" i="1"/>
  <c r="I2530" i="1"/>
  <c r="L2529" i="1"/>
  <c r="L2528" i="1"/>
  <c r="L2527" i="1"/>
  <c r="L2526" i="1"/>
  <c r="L2525" i="1"/>
  <c r="J2524" i="1"/>
  <c r="I2524" i="1"/>
  <c r="J2523" i="1"/>
  <c r="I2523" i="1"/>
  <c r="J2522" i="1"/>
  <c r="I2522" i="1"/>
  <c r="J2521" i="1"/>
  <c r="I2521" i="1"/>
  <c r="J2520" i="1"/>
  <c r="I2520" i="1"/>
  <c r="J2519" i="1"/>
  <c r="I2519" i="1"/>
  <c r="L2518" i="1"/>
  <c r="J2517" i="1"/>
  <c r="I2517" i="1"/>
  <c r="J2516" i="1"/>
  <c r="I2516" i="1"/>
  <c r="L2515" i="1"/>
  <c r="L2514" i="1"/>
  <c r="J2513" i="1"/>
  <c r="I2513" i="1"/>
  <c r="L2512" i="1"/>
  <c r="J2511" i="1"/>
  <c r="I2511" i="1"/>
  <c r="J2510" i="1"/>
  <c r="I2510" i="1"/>
  <c r="J2509" i="1"/>
  <c r="I2509" i="1"/>
  <c r="J2508" i="1"/>
  <c r="I2508" i="1"/>
  <c r="J2507" i="1"/>
  <c r="I2507" i="1"/>
  <c r="J2506" i="1"/>
  <c r="I2506" i="1"/>
  <c r="J2505" i="1"/>
  <c r="I2505" i="1"/>
  <c r="J2504" i="1"/>
  <c r="I2504" i="1"/>
  <c r="J2503" i="1"/>
  <c r="I2503" i="1"/>
  <c r="L2502" i="1"/>
  <c r="J2501" i="1"/>
  <c r="I2501" i="1"/>
  <c r="L2500" i="1"/>
  <c r="J2499" i="1"/>
  <c r="I2499" i="1"/>
  <c r="J2498" i="1"/>
  <c r="I2498" i="1"/>
  <c r="L2497" i="1"/>
  <c r="J2496" i="1"/>
  <c r="I2496" i="1"/>
  <c r="J2495" i="1"/>
  <c r="I2495" i="1"/>
  <c r="J2494" i="1"/>
  <c r="I2494" i="1"/>
  <c r="J2493" i="1"/>
  <c r="I2493" i="1"/>
  <c r="J2492" i="1"/>
  <c r="I2492" i="1"/>
  <c r="L2491" i="1"/>
  <c r="J2490" i="1"/>
  <c r="I2490" i="1"/>
  <c r="J2489" i="1"/>
  <c r="I2489" i="1"/>
  <c r="J2488" i="1"/>
  <c r="I2488" i="1"/>
  <c r="J2487" i="1"/>
  <c r="I2487" i="1"/>
  <c r="J2486" i="1"/>
  <c r="I2486" i="1"/>
  <c r="L2485" i="1"/>
  <c r="L2484" i="1"/>
  <c r="L2483" i="1"/>
  <c r="L2482" i="1"/>
  <c r="L2481" i="1"/>
  <c r="J2480" i="1"/>
  <c r="I2480" i="1"/>
  <c r="J2479" i="1"/>
  <c r="I2479" i="1"/>
  <c r="J2478" i="1"/>
  <c r="I2478" i="1"/>
  <c r="J2477" i="1"/>
  <c r="I2477" i="1"/>
  <c r="J2476" i="1"/>
  <c r="I2476" i="1"/>
  <c r="J2475" i="1"/>
  <c r="I2475" i="1"/>
  <c r="L2474" i="1"/>
  <c r="J2473" i="1"/>
  <c r="I2473" i="1"/>
  <c r="J2472" i="1"/>
  <c r="I2472" i="1"/>
  <c r="L2471" i="1"/>
  <c r="L2470" i="1"/>
  <c r="J2469" i="1"/>
  <c r="I2469" i="1"/>
  <c r="L2468" i="1"/>
  <c r="L2467" i="1"/>
  <c r="J2466" i="1"/>
  <c r="I2466" i="1"/>
  <c r="J2465" i="1"/>
  <c r="I2465" i="1"/>
  <c r="J2464" i="1"/>
  <c r="I2464" i="1"/>
  <c r="J2463" i="1"/>
  <c r="I2463" i="1"/>
  <c r="J2462" i="1"/>
  <c r="I2462" i="1"/>
  <c r="J2461" i="1"/>
  <c r="I2461" i="1"/>
  <c r="J2460" i="1"/>
  <c r="I2460" i="1"/>
  <c r="J2459" i="1"/>
  <c r="I2459" i="1"/>
  <c r="L2458" i="1"/>
  <c r="J2457" i="1"/>
  <c r="I2457" i="1"/>
  <c r="L2456" i="1"/>
  <c r="J2455" i="1"/>
  <c r="I2455" i="1"/>
  <c r="J2454" i="1"/>
  <c r="I2454" i="1"/>
  <c r="L2453" i="1"/>
  <c r="J2452" i="1"/>
  <c r="I2452" i="1"/>
  <c r="J2451" i="1"/>
  <c r="I2451" i="1"/>
  <c r="J2450" i="1"/>
  <c r="I2450" i="1"/>
  <c r="J2449" i="1"/>
  <c r="I2449" i="1"/>
  <c r="J2448" i="1"/>
  <c r="I2448" i="1"/>
  <c r="L2447" i="1"/>
  <c r="J2446" i="1"/>
  <c r="I2446" i="1"/>
  <c r="J2445" i="1"/>
  <c r="I2445" i="1"/>
  <c r="J2444" i="1"/>
  <c r="I2444" i="1"/>
  <c r="J2443" i="1"/>
  <c r="I2443" i="1"/>
  <c r="L2442" i="1"/>
  <c r="L2441" i="1"/>
  <c r="L2440" i="1"/>
  <c r="L2439" i="1"/>
  <c r="L2438" i="1"/>
  <c r="L2437" i="1"/>
  <c r="J2436" i="1"/>
  <c r="I2436" i="1"/>
  <c r="J2435" i="1"/>
  <c r="I2435" i="1"/>
  <c r="J2434" i="1"/>
  <c r="I2434" i="1"/>
  <c r="J2433" i="1"/>
  <c r="I2433" i="1"/>
  <c r="J2432" i="1"/>
  <c r="I2432" i="1"/>
  <c r="J2431" i="1"/>
  <c r="I2431" i="1"/>
  <c r="L2430" i="1"/>
  <c r="J2429" i="1"/>
  <c r="I2429" i="1"/>
  <c r="J2428" i="1"/>
  <c r="I2428" i="1"/>
  <c r="L2427" i="1"/>
  <c r="J2426" i="1"/>
  <c r="I2426" i="1"/>
  <c r="J2425" i="1"/>
  <c r="I2425" i="1"/>
  <c r="L2424" i="1"/>
  <c r="J2423" i="1"/>
  <c r="I2423" i="1"/>
  <c r="J2422" i="1"/>
  <c r="I2422" i="1"/>
  <c r="J2421" i="1"/>
  <c r="I2421" i="1"/>
  <c r="J2420" i="1"/>
  <c r="I2420" i="1"/>
  <c r="J2419" i="1"/>
  <c r="I2419" i="1"/>
  <c r="J2418" i="1"/>
  <c r="I2418" i="1"/>
  <c r="J2417" i="1"/>
  <c r="I2417" i="1"/>
  <c r="J2416" i="1"/>
  <c r="I2416" i="1"/>
  <c r="J2415" i="1"/>
  <c r="I2415" i="1"/>
  <c r="L2414" i="1"/>
  <c r="J2413" i="1"/>
  <c r="I2413" i="1"/>
  <c r="L2412" i="1"/>
  <c r="L2411" i="1"/>
  <c r="J2410" i="1"/>
  <c r="I2410" i="1"/>
  <c r="L2409" i="1"/>
  <c r="J2408" i="1"/>
  <c r="I2408" i="1"/>
  <c r="J2407" i="1"/>
  <c r="I2407" i="1"/>
  <c r="J2406" i="1"/>
  <c r="I2406" i="1"/>
  <c r="J2405" i="1"/>
  <c r="I2405" i="1"/>
  <c r="J2404" i="1"/>
  <c r="I2404" i="1"/>
  <c r="L2403" i="1"/>
  <c r="J2402" i="1"/>
  <c r="I2402" i="1"/>
  <c r="J2401" i="1"/>
  <c r="I2401" i="1"/>
  <c r="J2400" i="1"/>
  <c r="I2400" i="1"/>
  <c r="J2399" i="1"/>
  <c r="I2399" i="1"/>
  <c r="L2398" i="1"/>
  <c r="L2397" i="1"/>
  <c r="L2396" i="1"/>
  <c r="L2395" i="1"/>
  <c r="L2394" i="1"/>
  <c r="L2393" i="1"/>
  <c r="J2392" i="1"/>
  <c r="I2392" i="1"/>
  <c r="J2391" i="1"/>
  <c r="I2391" i="1"/>
  <c r="J2390" i="1"/>
  <c r="I2390" i="1"/>
  <c r="J2389" i="1"/>
  <c r="I2389" i="1"/>
  <c r="J2388" i="1"/>
  <c r="I2388" i="1"/>
  <c r="L2387" i="1"/>
  <c r="L2386" i="1"/>
  <c r="J2385" i="1"/>
  <c r="I2385" i="1"/>
  <c r="J2384" i="1"/>
  <c r="I2384" i="1"/>
  <c r="L2383" i="1"/>
  <c r="J2382" i="1"/>
  <c r="I2382" i="1"/>
  <c r="J2381" i="1"/>
  <c r="I2381" i="1"/>
  <c r="L2380" i="1"/>
  <c r="J2379" i="1"/>
  <c r="I2379" i="1"/>
  <c r="J2378" i="1"/>
  <c r="I2378" i="1"/>
  <c r="J2377" i="1"/>
  <c r="I2377" i="1"/>
  <c r="J2376" i="1"/>
  <c r="I2376" i="1"/>
  <c r="J2375" i="1"/>
  <c r="I2375" i="1"/>
  <c r="J2374" i="1"/>
  <c r="I2374" i="1"/>
  <c r="J2373" i="1"/>
  <c r="I2373" i="1"/>
  <c r="J2372" i="1"/>
  <c r="I2372" i="1"/>
  <c r="J2371" i="1"/>
  <c r="I2371" i="1"/>
  <c r="L2370" i="1"/>
  <c r="J2369" i="1"/>
  <c r="I2369" i="1"/>
  <c r="K2369" i="1" s="1"/>
  <c r="L2369" i="1" s="1"/>
  <c r="L2368" i="1"/>
  <c r="L2367" i="1"/>
  <c r="L2366" i="1"/>
  <c r="L2365" i="1"/>
  <c r="J2364" i="1"/>
  <c r="I2364" i="1"/>
  <c r="K2364" i="1" s="1"/>
  <c r="L2364" i="1" s="1"/>
  <c r="J2363" i="1"/>
  <c r="I2363" i="1"/>
  <c r="K2363" i="1" s="1"/>
  <c r="L2363" i="1" s="1"/>
  <c r="J2362" i="1"/>
  <c r="I2362" i="1"/>
  <c r="K2362" i="1" s="1"/>
  <c r="L2362" i="1" s="1"/>
  <c r="J2361" i="1"/>
  <c r="I2361" i="1"/>
  <c r="K2361" i="1" s="1"/>
  <c r="L2361" i="1" s="1"/>
  <c r="J2360" i="1"/>
  <c r="I2360" i="1"/>
  <c r="K2360" i="1" s="1"/>
  <c r="L2360" i="1" s="1"/>
  <c r="L2359" i="1"/>
  <c r="J2358" i="1"/>
  <c r="I2358" i="1"/>
  <c r="K2358" i="1" s="1"/>
  <c r="L2358" i="1" s="1"/>
  <c r="J2357" i="1"/>
  <c r="I2357" i="1"/>
  <c r="K2357" i="1" s="1"/>
  <c r="L2357" i="1" s="1"/>
  <c r="J2356" i="1"/>
  <c r="I2356" i="1"/>
  <c r="K2356" i="1" s="1"/>
  <c r="L2356" i="1" s="1"/>
  <c r="J2355" i="1"/>
  <c r="I2355" i="1"/>
  <c r="K2355" i="1" s="1"/>
  <c r="L2355" i="1" s="1"/>
  <c r="J2354" i="1"/>
  <c r="I2354" i="1"/>
  <c r="K2354" i="1" s="1"/>
  <c r="L2354" i="1" s="1"/>
  <c r="L2353" i="1"/>
  <c r="L2352" i="1"/>
  <c r="L2351" i="1"/>
  <c r="L2350" i="1"/>
  <c r="L2349" i="1"/>
  <c r="J2348" i="1"/>
  <c r="I2348" i="1"/>
  <c r="K2348" i="1" s="1"/>
  <c r="L2348" i="1" s="1"/>
  <c r="J2347" i="1"/>
  <c r="I2347" i="1"/>
  <c r="K2347" i="1" s="1"/>
  <c r="L2347" i="1" s="1"/>
  <c r="J2346" i="1"/>
  <c r="I2346" i="1"/>
  <c r="K2346" i="1" s="1"/>
  <c r="L2346" i="1" s="1"/>
  <c r="J2345" i="1"/>
  <c r="I2345" i="1"/>
  <c r="K2345" i="1" s="1"/>
  <c r="L2345" i="1" s="1"/>
  <c r="J2344" i="1"/>
  <c r="I2344" i="1"/>
  <c r="K2344" i="1" s="1"/>
  <c r="L2344" i="1" s="1"/>
  <c r="L2343" i="1"/>
  <c r="L2342" i="1"/>
  <c r="J2341" i="1"/>
  <c r="I2341" i="1"/>
  <c r="K2341" i="1" s="1"/>
  <c r="L2341" i="1" s="1"/>
  <c r="J2340" i="1"/>
  <c r="I2340" i="1"/>
  <c r="K2340" i="1" s="1"/>
  <c r="L2340" i="1" s="1"/>
  <c r="L2339" i="1"/>
  <c r="J2338" i="1"/>
  <c r="I2338" i="1"/>
  <c r="K2338" i="1" s="1"/>
  <c r="L2338" i="1" s="1"/>
  <c r="J2337" i="1"/>
  <c r="I2337" i="1"/>
  <c r="K2337" i="1" s="1"/>
  <c r="L2337" i="1" s="1"/>
  <c r="L2336" i="1"/>
  <c r="J2335" i="1"/>
  <c r="I2335" i="1"/>
  <c r="K2335" i="1" s="1"/>
  <c r="L2335" i="1" s="1"/>
  <c r="J2334" i="1"/>
  <c r="I2334" i="1"/>
  <c r="K2334" i="1" s="1"/>
  <c r="L2334" i="1" s="1"/>
  <c r="J2333" i="1"/>
  <c r="I2333" i="1"/>
  <c r="K2333" i="1" s="1"/>
  <c r="L2333" i="1" s="1"/>
  <c r="J2332" i="1"/>
  <c r="I2332" i="1"/>
  <c r="K2332" i="1" s="1"/>
  <c r="L2332" i="1" s="1"/>
  <c r="J2331" i="1"/>
  <c r="I2331" i="1"/>
  <c r="K2331" i="1" s="1"/>
  <c r="L2331" i="1" s="1"/>
  <c r="J2330" i="1"/>
  <c r="I2330" i="1"/>
  <c r="K2330" i="1" s="1"/>
  <c r="L2330" i="1" s="1"/>
  <c r="J2329" i="1"/>
  <c r="I2329" i="1"/>
  <c r="K2329" i="1" s="1"/>
  <c r="L2329" i="1" s="1"/>
  <c r="J2328" i="1"/>
  <c r="I2328" i="1"/>
  <c r="K2328" i="1" s="1"/>
  <c r="L2328" i="1" s="1"/>
  <c r="J2327" i="1"/>
  <c r="I2327" i="1"/>
  <c r="K2327" i="1" s="1"/>
  <c r="L2327" i="1" s="1"/>
  <c r="L2326" i="1"/>
  <c r="J2325" i="1"/>
  <c r="I2325" i="1"/>
  <c r="K2325" i="1" s="1"/>
  <c r="L2325" i="1" s="1"/>
  <c r="L2324" i="1"/>
  <c r="J2323" i="1"/>
  <c r="I2323" i="1"/>
  <c r="K2323" i="1" s="1"/>
  <c r="L2323" i="1" s="1"/>
  <c r="J2322" i="1"/>
  <c r="I2322" i="1"/>
  <c r="K2322" i="1" s="1"/>
  <c r="L2322" i="1" s="1"/>
  <c r="L2321" i="1"/>
  <c r="J2320" i="1"/>
  <c r="I2320" i="1"/>
  <c r="K2320" i="1" s="1"/>
  <c r="L2320" i="1" s="1"/>
  <c r="J2319" i="1"/>
  <c r="I2319" i="1"/>
  <c r="K2319" i="1" s="1"/>
  <c r="L2319" i="1" s="1"/>
  <c r="J2318" i="1"/>
  <c r="I2318" i="1"/>
  <c r="K2318" i="1" s="1"/>
  <c r="L2318" i="1" s="1"/>
  <c r="J2317" i="1"/>
  <c r="I2317" i="1"/>
  <c r="K2317" i="1" s="1"/>
  <c r="L2317" i="1" s="1"/>
  <c r="J2316" i="1"/>
  <c r="I2316" i="1"/>
  <c r="K2316" i="1" s="1"/>
  <c r="L2316" i="1" s="1"/>
  <c r="L2315" i="1"/>
  <c r="J2314" i="1"/>
  <c r="I2314" i="1"/>
  <c r="K2314" i="1" s="1"/>
  <c r="L2314" i="1" s="1"/>
  <c r="J2313" i="1"/>
  <c r="I2313" i="1"/>
  <c r="K2313" i="1" s="1"/>
  <c r="L2313" i="1" s="1"/>
  <c r="J2312" i="1"/>
  <c r="I2312" i="1"/>
  <c r="K2312" i="1" s="1"/>
  <c r="L2312" i="1" s="1"/>
  <c r="J2311" i="1"/>
  <c r="I2311" i="1"/>
  <c r="K2311" i="1" s="1"/>
  <c r="L2311" i="1" s="1"/>
  <c r="J2310" i="1"/>
  <c r="I2310" i="1"/>
  <c r="K2310" i="1" s="1"/>
  <c r="L2310" i="1" s="1"/>
  <c r="L2309" i="1"/>
  <c r="L2308" i="1"/>
  <c r="L2307" i="1"/>
  <c r="L2306" i="1"/>
  <c r="L2305" i="1"/>
  <c r="J2304" i="1"/>
  <c r="I2304" i="1"/>
  <c r="K2304" i="1" s="1"/>
  <c r="L2304" i="1" s="1"/>
  <c r="J2303" i="1"/>
  <c r="I2303" i="1"/>
  <c r="K2303" i="1" s="1"/>
  <c r="L2303" i="1" s="1"/>
  <c r="J2302" i="1"/>
  <c r="I2302" i="1"/>
  <c r="K2302" i="1" s="1"/>
  <c r="L2302" i="1" s="1"/>
  <c r="J2301" i="1"/>
  <c r="I2301" i="1"/>
  <c r="K2301" i="1" s="1"/>
  <c r="L2301" i="1" s="1"/>
  <c r="J2300" i="1"/>
  <c r="I2300" i="1"/>
  <c r="K2300" i="1" s="1"/>
  <c r="L2300" i="1" s="1"/>
  <c r="L2299" i="1"/>
  <c r="L2298" i="1"/>
  <c r="J2297" i="1"/>
  <c r="I2297" i="1"/>
  <c r="K2297" i="1" s="1"/>
  <c r="L2297" i="1" s="1"/>
  <c r="J2296" i="1"/>
  <c r="I2296" i="1"/>
  <c r="K2296" i="1" s="1"/>
  <c r="L2296" i="1" s="1"/>
  <c r="L2295" i="1"/>
  <c r="J2294" i="1"/>
  <c r="I2294" i="1"/>
  <c r="K2294" i="1" s="1"/>
  <c r="L2294" i="1" s="1"/>
  <c r="J2293" i="1"/>
  <c r="I2293" i="1"/>
  <c r="K2293" i="1" s="1"/>
  <c r="L2293" i="1" s="1"/>
  <c r="L2292" i="1"/>
  <c r="J2291" i="1"/>
  <c r="I2291" i="1"/>
  <c r="K2291" i="1" s="1"/>
  <c r="L2291" i="1" s="1"/>
  <c r="J2290" i="1"/>
  <c r="I2290" i="1"/>
  <c r="K2290" i="1" s="1"/>
  <c r="L2290" i="1" s="1"/>
  <c r="J2289" i="1"/>
  <c r="I2289" i="1"/>
  <c r="K2289" i="1" s="1"/>
  <c r="L2289" i="1" s="1"/>
  <c r="J2288" i="1"/>
  <c r="I2288" i="1"/>
  <c r="K2288" i="1" s="1"/>
  <c r="L2288" i="1" s="1"/>
  <c r="J2287" i="1"/>
  <c r="I2287" i="1"/>
  <c r="K2287" i="1" s="1"/>
  <c r="L2287" i="1" s="1"/>
  <c r="J2286" i="1"/>
  <c r="I2286" i="1"/>
  <c r="K2286" i="1" s="1"/>
  <c r="L2286" i="1" s="1"/>
  <c r="J2285" i="1"/>
  <c r="I2285" i="1"/>
  <c r="K2285" i="1" s="1"/>
  <c r="L2285" i="1" s="1"/>
  <c r="J2284" i="1"/>
  <c r="I2284" i="1"/>
  <c r="K2284" i="1" s="1"/>
  <c r="L2284" i="1" s="1"/>
  <c r="J2283" i="1"/>
  <c r="I2283" i="1"/>
  <c r="K2283" i="1" s="1"/>
  <c r="L2283" i="1" s="1"/>
  <c r="L2282" i="1"/>
  <c r="J2281" i="1"/>
  <c r="I2281" i="1"/>
  <c r="K2281" i="1" s="1"/>
  <c r="L2281" i="1" s="1"/>
  <c r="L2280" i="1"/>
  <c r="J2279" i="1"/>
  <c r="I2279" i="1"/>
  <c r="K2279" i="1" s="1"/>
  <c r="L2279" i="1" s="1"/>
  <c r="J2278" i="1"/>
  <c r="I2278" i="1"/>
  <c r="K2278" i="1" s="1"/>
  <c r="L2278" i="1" s="1"/>
  <c r="L2277" i="1"/>
  <c r="J2276" i="1"/>
  <c r="I2276" i="1"/>
  <c r="K2276" i="1" s="1"/>
  <c r="L2276" i="1" s="1"/>
  <c r="J2275" i="1"/>
  <c r="I2275" i="1"/>
  <c r="K2275" i="1" s="1"/>
  <c r="L2275" i="1" s="1"/>
  <c r="J2274" i="1"/>
  <c r="I2274" i="1"/>
  <c r="K2274" i="1" s="1"/>
  <c r="L2274" i="1" s="1"/>
  <c r="J2273" i="1"/>
  <c r="I2273" i="1"/>
  <c r="K2273" i="1" s="1"/>
  <c r="L2273" i="1" s="1"/>
  <c r="J2272" i="1"/>
  <c r="I2272" i="1"/>
  <c r="K2272" i="1" s="1"/>
  <c r="L2272" i="1" s="1"/>
  <c r="L2271" i="1"/>
  <c r="J2270" i="1"/>
  <c r="I2270" i="1"/>
  <c r="K2270" i="1" s="1"/>
  <c r="L2270" i="1" s="1"/>
  <c r="J2269" i="1"/>
  <c r="I2269" i="1"/>
  <c r="K2269" i="1" s="1"/>
  <c r="L2269" i="1" s="1"/>
  <c r="J2268" i="1"/>
  <c r="I2268" i="1"/>
  <c r="K2268" i="1" s="1"/>
  <c r="L2268" i="1" s="1"/>
  <c r="J2267" i="1"/>
  <c r="I2267" i="1"/>
  <c r="K2267" i="1" s="1"/>
  <c r="L2267" i="1" s="1"/>
  <c r="J2266" i="1"/>
  <c r="I2266" i="1"/>
  <c r="K2266" i="1" s="1"/>
  <c r="L2266" i="1" s="1"/>
  <c r="L2265" i="1"/>
  <c r="L2264" i="1"/>
  <c r="L2263" i="1"/>
  <c r="L2262" i="1"/>
  <c r="L2261" i="1"/>
  <c r="J2260" i="1"/>
  <c r="I2260" i="1"/>
  <c r="K2260" i="1" s="1"/>
  <c r="L2260" i="1" s="1"/>
  <c r="J2259" i="1"/>
  <c r="I2259" i="1"/>
  <c r="K2259" i="1" s="1"/>
  <c r="L2259" i="1" s="1"/>
  <c r="J2258" i="1"/>
  <c r="I2258" i="1"/>
  <c r="K2258" i="1" s="1"/>
  <c r="L2258" i="1" s="1"/>
  <c r="J2257" i="1"/>
  <c r="I2257" i="1"/>
  <c r="K2257" i="1" s="1"/>
  <c r="L2257" i="1" s="1"/>
  <c r="J2256" i="1"/>
  <c r="I2256" i="1"/>
  <c r="K2256" i="1" s="1"/>
  <c r="L2256" i="1" s="1"/>
  <c r="L2255" i="1"/>
  <c r="L2254" i="1"/>
  <c r="J2253" i="1"/>
  <c r="I2253" i="1"/>
  <c r="K2253" i="1" s="1"/>
  <c r="L2253" i="1" s="1"/>
  <c r="J2252" i="1"/>
  <c r="I2252" i="1"/>
  <c r="K2252" i="1" s="1"/>
  <c r="L2252" i="1" s="1"/>
  <c r="L2251" i="1"/>
  <c r="J2250" i="1"/>
  <c r="I2250" i="1"/>
  <c r="K2250" i="1" s="1"/>
  <c r="L2250" i="1" s="1"/>
  <c r="J2249" i="1"/>
  <c r="I2249" i="1"/>
  <c r="K2249" i="1" s="1"/>
  <c r="L2249" i="1" s="1"/>
  <c r="L2248" i="1"/>
  <c r="J2247" i="1"/>
  <c r="I2247" i="1"/>
  <c r="K2247" i="1" s="1"/>
  <c r="L2247" i="1" s="1"/>
  <c r="J2246" i="1"/>
  <c r="I2246" i="1"/>
  <c r="K2246" i="1" s="1"/>
  <c r="L2246" i="1" s="1"/>
  <c r="J2245" i="1"/>
  <c r="I2245" i="1"/>
  <c r="K2245" i="1" s="1"/>
  <c r="L2245" i="1" s="1"/>
  <c r="J2244" i="1"/>
  <c r="I2244" i="1"/>
  <c r="K2244" i="1" s="1"/>
  <c r="L2244" i="1" s="1"/>
  <c r="J2243" i="1"/>
  <c r="I2243" i="1"/>
  <c r="K2243" i="1" s="1"/>
  <c r="L2243" i="1" s="1"/>
  <c r="J2242" i="1"/>
  <c r="I2242" i="1"/>
  <c r="K2242" i="1" s="1"/>
  <c r="L2242" i="1" s="1"/>
  <c r="J2241" i="1"/>
  <c r="I2241" i="1"/>
  <c r="K2241" i="1" s="1"/>
  <c r="L2241" i="1" s="1"/>
  <c r="J2240" i="1"/>
  <c r="I2240" i="1"/>
  <c r="K2240" i="1" s="1"/>
  <c r="L2240" i="1" s="1"/>
  <c r="J2239" i="1"/>
  <c r="I2239" i="1"/>
  <c r="K2239" i="1" s="1"/>
  <c r="L2239" i="1" s="1"/>
  <c r="L2238" i="1"/>
  <c r="J2237" i="1"/>
  <c r="I2237" i="1"/>
  <c r="K2237" i="1" s="1"/>
  <c r="L2237" i="1" s="1"/>
  <c r="L2236" i="1"/>
  <c r="J2235" i="1"/>
  <c r="I2235" i="1"/>
  <c r="K2235" i="1" s="1"/>
  <c r="L2235" i="1" s="1"/>
  <c r="J2234" i="1"/>
  <c r="I2234" i="1"/>
  <c r="K2234" i="1" s="1"/>
  <c r="L2234" i="1" s="1"/>
  <c r="L2233" i="1"/>
  <c r="J2232" i="1"/>
  <c r="I2232" i="1"/>
  <c r="K2232" i="1" s="1"/>
  <c r="L2232" i="1" s="1"/>
  <c r="J2231" i="1"/>
  <c r="I2231" i="1"/>
  <c r="K2231" i="1" s="1"/>
  <c r="L2231" i="1" s="1"/>
  <c r="J2230" i="1"/>
  <c r="I2230" i="1"/>
  <c r="K2230" i="1" s="1"/>
  <c r="L2230" i="1" s="1"/>
  <c r="J2229" i="1"/>
  <c r="I2229" i="1"/>
  <c r="K2229" i="1" s="1"/>
  <c r="L2229" i="1" s="1"/>
  <c r="J2228" i="1"/>
  <c r="I2228" i="1"/>
  <c r="K2228" i="1" s="1"/>
  <c r="L2228" i="1" s="1"/>
  <c r="L2227" i="1"/>
  <c r="J2226" i="1"/>
  <c r="I2226" i="1"/>
  <c r="K2226" i="1" s="1"/>
  <c r="L2226" i="1" s="1"/>
  <c r="L2225" i="1"/>
  <c r="L2224" i="1"/>
  <c r="L2223" i="1"/>
  <c r="L2222" i="1"/>
  <c r="L2221" i="1"/>
  <c r="L2220" i="1"/>
  <c r="L2219" i="1"/>
  <c r="L2218" i="1"/>
  <c r="L2217" i="1"/>
  <c r="L2216" i="1"/>
  <c r="L2215" i="1"/>
  <c r="L2214" i="1"/>
  <c r="L2213" i="1"/>
  <c r="L2212" i="1"/>
  <c r="L2211" i="1"/>
  <c r="L2210" i="1"/>
  <c r="L2209" i="1"/>
  <c r="L2208" i="1"/>
  <c r="L2207" i="1"/>
  <c r="L2206" i="1"/>
  <c r="L2205" i="1"/>
  <c r="L2204" i="1"/>
  <c r="L2203" i="1"/>
  <c r="L2202" i="1"/>
  <c r="L2201" i="1"/>
  <c r="L2200" i="1"/>
  <c r="J2199" i="1"/>
  <c r="I2199" i="1"/>
  <c r="K2199" i="1" s="1"/>
  <c r="L2199" i="1" s="1"/>
  <c r="L2198" i="1"/>
  <c r="L2197" i="1"/>
  <c r="L2196" i="1"/>
  <c r="L2195" i="1"/>
  <c r="L2194" i="1"/>
  <c r="L2193" i="1"/>
  <c r="L2192" i="1"/>
  <c r="L2191" i="1"/>
  <c r="L2190" i="1"/>
  <c r="L2189" i="1"/>
  <c r="L2188" i="1"/>
  <c r="L2187" i="1"/>
  <c r="L2186" i="1"/>
  <c r="L2185" i="1"/>
  <c r="L2184" i="1"/>
  <c r="L2183" i="1"/>
  <c r="L2182" i="1"/>
  <c r="J2181" i="1"/>
  <c r="I2181" i="1"/>
  <c r="K2181" i="1" s="1"/>
  <c r="L2181" i="1" s="1"/>
  <c r="J2180" i="1"/>
  <c r="I2180" i="1"/>
  <c r="K2180" i="1" s="1"/>
  <c r="L2180" i="1" s="1"/>
  <c r="J2179" i="1"/>
  <c r="I2179" i="1"/>
  <c r="K2179" i="1" s="1"/>
  <c r="L2179" i="1" s="1"/>
  <c r="J2178" i="1"/>
  <c r="I2178" i="1"/>
  <c r="K2178" i="1" s="1"/>
  <c r="L2178" i="1" s="1"/>
  <c r="L2177" i="1"/>
  <c r="L2176" i="1"/>
  <c r="L2175" i="1"/>
  <c r="L2174" i="1"/>
  <c r="L2173" i="1"/>
  <c r="L2172" i="1"/>
  <c r="J2171" i="1"/>
  <c r="I2171" i="1"/>
  <c r="K2171" i="1" s="1"/>
  <c r="L2171" i="1" s="1"/>
  <c r="J2170" i="1"/>
  <c r="I2170" i="1"/>
  <c r="K2170" i="1" s="1"/>
  <c r="L2170" i="1" s="1"/>
  <c r="J2169" i="1"/>
  <c r="I2169" i="1"/>
  <c r="K2169" i="1" s="1"/>
  <c r="L2169" i="1" s="1"/>
  <c r="J2168" i="1"/>
  <c r="I2168" i="1"/>
  <c r="K2168" i="1" s="1"/>
  <c r="L2168" i="1" s="1"/>
  <c r="L2167" i="1"/>
  <c r="L2166" i="1"/>
  <c r="J2165" i="1"/>
  <c r="I2165" i="1"/>
  <c r="K2165" i="1" s="1"/>
  <c r="L2165" i="1" s="1"/>
  <c r="J2164" i="1"/>
  <c r="I2164" i="1"/>
  <c r="K2164" i="1" s="1"/>
  <c r="L2164" i="1" s="1"/>
  <c r="L2163" i="1"/>
  <c r="J2162" i="1"/>
  <c r="I2162" i="1"/>
  <c r="K2162" i="1" s="1"/>
  <c r="L2162" i="1" s="1"/>
  <c r="L2161" i="1"/>
  <c r="L2160" i="1"/>
  <c r="J2159" i="1"/>
  <c r="I2159" i="1"/>
  <c r="K2159" i="1" s="1"/>
  <c r="L2159" i="1" s="1"/>
  <c r="J2158" i="1"/>
  <c r="I2158" i="1"/>
  <c r="K2158" i="1" s="1"/>
  <c r="L2158" i="1" s="1"/>
  <c r="J2157" i="1"/>
  <c r="I2157" i="1"/>
  <c r="K2157" i="1" s="1"/>
  <c r="L2157" i="1" s="1"/>
  <c r="J2156" i="1"/>
  <c r="I2156" i="1"/>
  <c r="K2156" i="1" s="1"/>
  <c r="L2156" i="1" s="1"/>
  <c r="J2155" i="1"/>
  <c r="I2155" i="1"/>
  <c r="K2155" i="1" s="1"/>
  <c r="L2155" i="1" s="1"/>
  <c r="J2154" i="1"/>
  <c r="I2154" i="1"/>
  <c r="K2154" i="1" s="1"/>
  <c r="L2154" i="1" s="1"/>
  <c r="J2153" i="1"/>
  <c r="I2153" i="1"/>
  <c r="K2153" i="1" s="1"/>
  <c r="L2153" i="1" s="1"/>
  <c r="J2152" i="1"/>
  <c r="I2152" i="1"/>
  <c r="K2152" i="1" s="1"/>
  <c r="L2152" i="1" s="1"/>
  <c r="J2151" i="1"/>
  <c r="I2151" i="1"/>
  <c r="K2151" i="1" s="1"/>
  <c r="L2151" i="1" s="1"/>
  <c r="L2150" i="1"/>
  <c r="J2149" i="1"/>
  <c r="I2149" i="1"/>
  <c r="K2149" i="1" s="1"/>
  <c r="L2149" i="1" s="1"/>
  <c r="L2148" i="1"/>
  <c r="J2147" i="1"/>
  <c r="I2147" i="1"/>
  <c r="K2147" i="1" s="1"/>
  <c r="L2147" i="1" s="1"/>
  <c r="J2146" i="1"/>
  <c r="I2146" i="1"/>
  <c r="K2146" i="1" s="1"/>
  <c r="L2146" i="1" s="1"/>
  <c r="L2145" i="1"/>
  <c r="J2144" i="1"/>
  <c r="I2144" i="1"/>
  <c r="K2144" i="1" s="1"/>
  <c r="L2144" i="1" s="1"/>
  <c r="J2143" i="1"/>
  <c r="I2143" i="1"/>
  <c r="K2143" i="1" s="1"/>
  <c r="L2143" i="1" s="1"/>
  <c r="J2142" i="1"/>
  <c r="I2142" i="1"/>
  <c r="K2142" i="1" s="1"/>
  <c r="L2142" i="1" s="1"/>
  <c r="J2141" i="1"/>
  <c r="I2141" i="1"/>
  <c r="K2141" i="1" s="1"/>
  <c r="L2141" i="1" s="1"/>
  <c r="J2140" i="1"/>
  <c r="I2140" i="1"/>
  <c r="K2140" i="1" s="1"/>
  <c r="L2140" i="1" s="1"/>
  <c r="L2139" i="1"/>
  <c r="J2138" i="1"/>
  <c r="I2138" i="1"/>
  <c r="K2138" i="1" s="1"/>
  <c r="L2138" i="1" s="1"/>
  <c r="J2137" i="1"/>
  <c r="I2137" i="1"/>
  <c r="K2137" i="1" s="1"/>
  <c r="L2137" i="1" s="1"/>
  <c r="J2136" i="1"/>
  <c r="I2136" i="1"/>
  <c r="K2136" i="1" s="1"/>
  <c r="L2136" i="1" s="1"/>
  <c r="J2135" i="1"/>
  <c r="I2135" i="1"/>
  <c r="K2135" i="1" s="1"/>
  <c r="L2135" i="1" s="1"/>
  <c r="J2134" i="1"/>
  <c r="I2134" i="1"/>
  <c r="K2134" i="1" s="1"/>
  <c r="L2134" i="1" s="1"/>
  <c r="L2133" i="1"/>
  <c r="L2132" i="1"/>
  <c r="L2131" i="1"/>
  <c r="L2130" i="1"/>
  <c r="L2129" i="1"/>
  <c r="J2128" i="1"/>
  <c r="I2128" i="1"/>
  <c r="K2128" i="1" s="1"/>
  <c r="L2128" i="1" s="1"/>
  <c r="J2127" i="1"/>
  <c r="I2127" i="1"/>
  <c r="K2127" i="1" s="1"/>
  <c r="L2127" i="1" s="1"/>
  <c r="J2126" i="1"/>
  <c r="I2126" i="1"/>
  <c r="K2126" i="1" s="1"/>
  <c r="L2126" i="1" s="1"/>
  <c r="J2125" i="1"/>
  <c r="I2125" i="1"/>
  <c r="K2125" i="1" s="1"/>
  <c r="L2125" i="1" s="1"/>
  <c r="J2124" i="1"/>
  <c r="I2124" i="1"/>
  <c r="K2124" i="1" s="1"/>
  <c r="L2124" i="1" s="1"/>
  <c r="L2123" i="1"/>
  <c r="L2122" i="1"/>
  <c r="J2121" i="1"/>
  <c r="I2121" i="1"/>
  <c r="K2121" i="1" s="1"/>
  <c r="L2121" i="1" s="1"/>
  <c r="J2120" i="1"/>
  <c r="I2120" i="1"/>
  <c r="K2120" i="1" s="1"/>
  <c r="L2120" i="1" s="1"/>
  <c r="L2119" i="1"/>
  <c r="J2118" i="1"/>
  <c r="I2118" i="1"/>
  <c r="K2118" i="1" s="1"/>
  <c r="L2118" i="1" s="1"/>
  <c r="J2117" i="1"/>
  <c r="I2117" i="1"/>
  <c r="K2117" i="1" s="1"/>
  <c r="L2117" i="1" s="1"/>
  <c r="L2116" i="1"/>
  <c r="J2115" i="1"/>
  <c r="I2115" i="1"/>
  <c r="K2115" i="1" s="1"/>
  <c r="L2115" i="1" s="1"/>
  <c r="J2114" i="1"/>
  <c r="I2114" i="1"/>
  <c r="K2114" i="1" s="1"/>
  <c r="L2114" i="1" s="1"/>
  <c r="J2113" i="1"/>
  <c r="I2113" i="1"/>
  <c r="K2113" i="1" s="1"/>
  <c r="L2113" i="1" s="1"/>
  <c r="J2112" i="1"/>
  <c r="I2112" i="1"/>
  <c r="K2112" i="1" s="1"/>
  <c r="L2112" i="1" s="1"/>
  <c r="J2111" i="1"/>
  <c r="I2111" i="1"/>
  <c r="K2111" i="1" s="1"/>
  <c r="L2111" i="1" s="1"/>
  <c r="J2110" i="1"/>
  <c r="I2110" i="1"/>
  <c r="K2110" i="1" s="1"/>
  <c r="L2110" i="1" s="1"/>
  <c r="J2109" i="1"/>
  <c r="I2109" i="1"/>
  <c r="K2109" i="1" s="1"/>
  <c r="L2109" i="1" s="1"/>
  <c r="J2108" i="1"/>
  <c r="I2108" i="1"/>
  <c r="K2108" i="1" s="1"/>
  <c r="L2108" i="1" s="1"/>
  <c r="J2107" i="1"/>
  <c r="I2107" i="1"/>
  <c r="K2107" i="1" s="1"/>
  <c r="L2107" i="1" s="1"/>
  <c r="L2106" i="1"/>
  <c r="J2105" i="1"/>
  <c r="I2105" i="1"/>
  <c r="K2105" i="1" s="1"/>
  <c r="L2105" i="1" s="1"/>
  <c r="L2104" i="1"/>
  <c r="J2103" i="1"/>
  <c r="I2103" i="1"/>
  <c r="K2103" i="1" s="1"/>
  <c r="L2103" i="1" s="1"/>
  <c r="J2102" i="1"/>
  <c r="I2102" i="1"/>
  <c r="K2102" i="1" s="1"/>
  <c r="L2102" i="1" s="1"/>
  <c r="L2101" i="1"/>
  <c r="J2100" i="1"/>
  <c r="I2100" i="1"/>
  <c r="K2100" i="1" s="1"/>
  <c r="L2100" i="1" s="1"/>
  <c r="J2099" i="1"/>
  <c r="I2099" i="1"/>
  <c r="K2099" i="1" s="1"/>
  <c r="L2099" i="1" s="1"/>
  <c r="J2098" i="1"/>
  <c r="I2098" i="1"/>
  <c r="K2098" i="1" s="1"/>
  <c r="L2098" i="1" s="1"/>
  <c r="J2097" i="1"/>
  <c r="I2097" i="1"/>
  <c r="K2097" i="1" s="1"/>
  <c r="L2097" i="1" s="1"/>
  <c r="J2096" i="1"/>
  <c r="I2096" i="1"/>
  <c r="K2096" i="1" s="1"/>
  <c r="L2096" i="1" s="1"/>
  <c r="L2095" i="1"/>
  <c r="J2094" i="1"/>
  <c r="I2094" i="1"/>
  <c r="K2094" i="1" s="1"/>
  <c r="L2094" i="1" s="1"/>
  <c r="J2093" i="1"/>
  <c r="I2093" i="1"/>
  <c r="K2093" i="1" s="1"/>
  <c r="L2093" i="1" s="1"/>
  <c r="J2092" i="1"/>
  <c r="I2092" i="1"/>
  <c r="K2092" i="1" s="1"/>
  <c r="L2092" i="1" s="1"/>
  <c r="J2091" i="1"/>
  <c r="I2091" i="1"/>
  <c r="K2091" i="1" s="1"/>
  <c r="L2091" i="1" s="1"/>
  <c r="J2090" i="1"/>
  <c r="I2090" i="1"/>
  <c r="K2090" i="1" s="1"/>
  <c r="L2090" i="1" s="1"/>
  <c r="L2089" i="1"/>
  <c r="L2088" i="1"/>
  <c r="L2087" i="1"/>
  <c r="L2086" i="1"/>
  <c r="L2085" i="1"/>
  <c r="J2084" i="1"/>
  <c r="I2084" i="1"/>
  <c r="K2084" i="1" s="1"/>
  <c r="L2084" i="1" s="1"/>
  <c r="J2083" i="1"/>
  <c r="I2083" i="1"/>
  <c r="K2083" i="1" s="1"/>
  <c r="L2083" i="1" s="1"/>
  <c r="J2082" i="1"/>
  <c r="I2082" i="1"/>
  <c r="K2082" i="1" s="1"/>
  <c r="L2082" i="1" s="1"/>
  <c r="J2081" i="1"/>
  <c r="I2081" i="1"/>
  <c r="K2081" i="1" s="1"/>
  <c r="L2081" i="1" s="1"/>
  <c r="J2080" i="1"/>
  <c r="I2080" i="1"/>
  <c r="K2080" i="1" s="1"/>
  <c r="L2080" i="1" s="1"/>
  <c r="L2079" i="1"/>
  <c r="L2078" i="1"/>
  <c r="J2077" i="1"/>
  <c r="I2077" i="1"/>
  <c r="K2077" i="1" s="1"/>
  <c r="L2077" i="1" s="1"/>
  <c r="J2076" i="1"/>
  <c r="I2076" i="1"/>
  <c r="K2076" i="1" s="1"/>
  <c r="L2076" i="1" s="1"/>
  <c r="L2075" i="1"/>
  <c r="J2074" i="1"/>
  <c r="I2074" i="1"/>
  <c r="K2074" i="1" s="1"/>
  <c r="L2074" i="1" s="1"/>
  <c r="J2073" i="1"/>
  <c r="I2073" i="1"/>
  <c r="K2073" i="1" s="1"/>
  <c r="L2073" i="1" s="1"/>
  <c r="L2072" i="1"/>
  <c r="J2071" i="1"/>
  <c r="I2071" i="1"/>
  <c r="K2071" i="1" s="1"/>
  <c r="L2071" i="1" s="1"/>
  <c r="J2070" i="1"/>
  <c r="I2070" i="1"/>
  <c r="K2070" i="1" s="1"/>
  <c r="L2070" i="1" s="1"/>
  <c r="J2069" i="1"/>
  <c r="I2069" i="1"/>
  <c r="K2069" i="1" s="1"/>
  <c r="L2069" i="1" s="1"/>
  <c r="J2068" i="1"/>
  <c r="I2068" i="1"/>
  <c r="K2068" i="1" s="1"/>
  <c r="L2068" i="1" s="1"/>
  <c r="J2067" i="1"/>
  <c r="I2067" i="1"/>
  <c r="K2067" i="1" s="1"/>
  <c r="L2067" i="1" s="1"/>
  <c r="J2066" i="1"/>
  <c r="I2066" i="1"/>
  <c r="K2066" i="1" s="1"/>
  <c r="L2066" i="1" s="1"/>
  <c r="J2065" i="1"/>
  <c r="I2065" i="1"/>
  <c r="K2065" i="1" s="1"/>
  <c r="L2065" i="1" s="1"/>
  <c r="J2064" i="1"/>
  <c r="I2064" i="1"/>
  <c r="K2064" i="1" s="1"/>
  <c r="L2064" i="1" s="1"/>
  <c r="J2063" i="1"/>
  <c r="I2063" i="1"/>
  <c r="K2063" i="1" s="1"/>
  <c r="L2063" i="1" s="1"/>
  <c r="L2062" i="1"/>
  <c r="J2061" i="1"/>
  <c r="I2061" i="1"/>
  <c r="K2061" i="1" s="1"/>
  <c r="L2061" i="1" s="1"/>
  <c r="L2060" i="1"/>
  <c r="J2059" i="1"/>
  <c r="I2059" i="1"/>
  <c r="K2059" i="1" s="1"/>
  <c r="L2059" i="1" s="1"/>
  <c r="J2058" i="1"/>
  <c r="I2058" i="1"/>
  <c r="K2058" i="1" s="1"/>
  <c r="L2058" i="1" s="1"/>
  <c r="L2057" i="1"/>
  <c r="J2056" i="1"/>
  <c r="I2056" i="1"/>
  <c r="K2056" i="1" s="1"/>
  <c r="L2056" i="1" s="1"/>
  <c r="J2055" i="1"/>
  <c r="I2055" i="1"/>
  <c r="K2055" i="1" s="1"/>
  <c r="L2055" i="1" s="1"/>
  <c r="J2054" i="1"/>
  <c r="I2054" i="1"/>
  <c r="K2054" i="1" s="1"/>
  <c r="L2054" i="1" s="1"/>
  <c r="J2053" i="1"/>
  <c r="I2053" i="1"/>
  <c r="K2053" i="1" s="1"/>
  <c r="L2053" i="1" s="1"/>
  <c r="J2052" i="1"/>
  <c r="I2052" i="1"/>
  <c r="K2052" i="1" s="1"/>
  <c r="L2052" i="1" s="1"/>
  <c r="L2051" i="1"/>
  <c r="J2050" i="1"/>
  <c r="I2050" i="1"/>
  <c r="K2050" i="1" s="1"/>
  <c r="L2050" i="1" s="1"/>
  <c r="J2049" i="1"/>
  <c r="I2049" i="1"/>
  <c r="K2049" i="1" s="1"/>
  <c r="L2049" i="1" s="1"/>
  <c r="J2048" i="1"/>
  <c r="I2048" i="1"/>
  <c r="K2048" i="1" s="1"/>
  <c r="L2048" i="1" s="1"/>
  <c r="J2047" i="1"/>
  <c r="I2047" i="1"/>
  <c r="K2047" i="1" s="1"/>
  <c r="L2047" i="1" s="1"/>
  <c r="J2046" i="1"/>
  <c r="I2046" i="1"/>
  <c r="K2046" i="1" s="1"/>
  <c r="L2046" i="1" s="1"/>
  <c r="L2045" i="1"/>
  <c r="L2044" i="1"/>
  <c r="L2043" i="1"/>
  <c r="L2042" i="1"/>
  <c r="L2041" i="1"/>
  <c r="J2040" i="1"/>
  <c r="I2040" i="1"/>
  <c r="K2040" i="1" s="1"/>
  <c r="L2040" i="1" s="1"/>
  <c r="J2039" i="1"/>
  <c r="I2039" i="1"/>
  <c r="K2039" i="1" s="1"/>
  <c r="L2039" i="1" s="1"/>
  <c r="J2038" i="1"/>
  <c r="I2038" i="1"/>
  <c r="K2038" i="1" s="1"/>
  <c r="L2038" i="1" s="1"/>
  <c r="J2037" i="1"/>
  <c r="I2037" i="1"/>
  <c r="K2037" i="1" s="1"/>
  <c r="L2037" i="1" s="1"/>
  <c r="J2036" i="1"/>
  <c r="I2036" i="1"/>
  <c r="K2036" i="1" s="1"/>
  <c r="L2036" i="1" s="1"/>
  <c r="L2035" i="1"/>
  <c r="L2034" i="1"/>
  <c r="J2033" i="1"/>
  <c r="I2033" i="1"/>
  <c r="K2033" i="1" s="1"/>
  <c r="L2033" i="1" s="1"/>
  <c r="J2032" i="1"/>
  <c r="I2032" i="1"/>
  <c r="K2032" i="1" s="1"/>
  <c r="L2032" i="1" s="1"/>
  <c r="L2031" i="1"/>
  <c r="J2030" i="1"/>
  <c r="I2030" i="1"/>
  <c r="K2030" i="1" s="1"/>
  <c r="L2030" i="1" s="1"/>
  <c r="J2029" i="1"/>
  <c r="I2029" i="1"/>
  <c r="K2029" i="1" s="1"/>
  <c r="L2029" i="1" s="1"/>
  <c r="L2028" i="1"/>
  <c r="J2027" i="1"/>
  <c r="I2027" i="1"/>
  <c r="K2027" i="1" s="1"/>
  <c r="L2027" i="1" s="1"/>
  <c r="J2026" i="1"/>
  <c r="I2026" i="1"/>
  <c r="K2026" i="1" s="1"/>
  <c r="L2026" i="1" s="1"/>
  <c r="J2025" i="1"/>
  <c r="I2025" i="1"/>
  <c r="K2025" i="1" s="1"/>
  <c r="L2025" i="1" s="1"/>
  <c r="J2024" i="1"/>
  <c r="I2024" i="1"/>
  <c r="K2024" i="1" s="1"/>
  <c r="L2024" i="1" s="1"/>
  <c r="J2023" i="1"/>
  <c r="I2023" i="1"/>
  <c r="K2023" i="1" s="1"/>
  <c r="L2023" i="1" s="1"/>
  <c r="J2022" i="1"/>
  <c r="I2022" i="1"/>
  <c r="K2022" i="1" s="1"/>
  <c r="L2022" i="1" s="1"/>
  <c r="J2021" i="1"/>
  <c r="I2021" i="1"/>
  <c r="K2021" i="1" s="1"/>
  <c r="L2021" i="1" s="1"/>
  <c r="J2020" i="1"/>
  <c r="I2020" i="1"/>
  <c r="K2020" i="1" s="1"/>
  <c r="L2020" i="1" s="1"/>
  <c r="J2019" i="1"/>
  <c r="I2019" i="1"/>
  <c r="K2019" i="1" s="1"/>
  <c r="L2019" i="1" s="1"/>
  <c r="L2018" i="1"/>
  <c r="J2017" i="1"/>
  <c r="I2017" i="1"/>
  <c r="K2017" i="1" s="1"/>
  <c r="L2017" i="1" s="1"/>
  <c r="L2016" i="1"/>
  <c r="J2015" i="1"/>
  <c r="I2015" i="1"/>
  <c r="K2015" i="1" s="1"/>
  <c r="L2015" i="1" s="1"/>
  <c r="J2014" i="1"/>
  <c r="I2014" i="1"/>
  <c r="K2014" i="1" s="1"/>
  <c r="L2014" i="1" s="1"/>
  <c r="L2013" i="1"/>
  <c r="J2012" i="1"/>
  <c r="I2012" i="1"/>
  <c r="K2012" i="1" s="1"/>
  <c r="L2012" i="1" s="1"/>
  <c r="J2011" i="1"/>
  <c r="I2011" i="1"/>
  <c r="K2011" i="1" s="1"/>
  <c r="L2011" i="1" s="1"/>
  <c r="J2010" i="1"/>
  <c r="I2010" i="1"/>
  <c r="K2010" i="1" s="1"/>
  <c r="L2010" i="1" s="1"/>
  <c r="J2009" i="1"/>
  <c r="I2009" i="1"/>
  <c r="K2009" i="1" s="1"/>
  <c r="L2009" i="1" s="1"/>
  <c r="J2008" i="1"/>
  <c r="I2008" i="1"/>
  <c r="K2008" i="1" s="1"/>
  <c r="L2008" i="1" s="1"/>
  <c r="L2007" i="1"/>
  <c r="J2006" i="1"/>
  <c r="I2006" i="1"/>
  <c r="K2006" i="1" s="1"/>
  <c r="L2006" i="1" s="1"/>
  <c r="J2005" i="1"/>
  <c r="I2005" i="1"/>
  <c r="K2005" i="1" s="1"/>
  <c r="L2005" i="1" s="1"/>
  <c r="J2004" i="1"/>
  <c r="I2004" i="1"/>
  <c r="K2004" i="1" s="1"/>
  <c r="L2004" i="1" s="1"/>
  <c r="J2003" i="1"/>
  <c r="I2003" i="1"/>
  <c r="K2003" i="1" s="1"/>
  <c r="L2003" i="1" s="1"/>
  <c r="J2002" i="1"/>
  <c r="I2002" i="1"/>
  <c r="K2002" i="1" s="1"/>
  <c r="L2002" i="1" s="1"/>
  <c r="L2001" i="1"/>
  <c r="L2000" i="1"/>
  <c r="L1999" i="1"/>
  <c r="L1998" i="1"/>
  <c r="L1997" i="1"/>
  <c r="J1996" i="1"/>
  <c r="I1996" i="1"/>
  <c r="K1996" i="1" s="1"/>
  <c r="L1996" i="1" s="1"/>
  <c r="J1995" i="1"/>
  <c r="I1995" i="1"/>
  <c r="K1995" i="1" s="1"/>
  <c r="L1995" i="1" s="1"/>
  <c r="J1994" i="1"/>
  <c r="I1994" i="1"/>
  <c r="K1994" i="1" s="1"/>
  <c r="L1994" i="1" s="1"/>
  <c r="L1993" i="1"/>
  <c r="J1992" i="1"/>
  <c r="I1992" i="1"/>
  <c r="K1992" i="1" s="1"/>
  <c r="L1992" i="1" s="1"/>
  <c r="L1991" i="1"/>
  <c r="L1990" i="1"/>
  <c r="J1989" i="1"/>
  <c r="I1989" i="1"/>
  <c r="K1989" i="1" s="1"/>
  <c r="L1989" i="1" s="1"/>
  <c r="J1988" i="1"/>
  <c r="I1988" i="1"/>
  <c r="K1988" i="1" s="1"/>
  <c r="L1988" i="1" s="1"/>
  <c r="L1987" i="1"/>
  <c r="J1986" i="1"/>
  <c r="I1986" i="1"/>
  <c r="K1986" i="1" s="1"/>
  <c r="L1986" i="1" s="1"/>
  <c r="J1985" i="1"/>
  <c r="I1985" i="1"/>
  <c r="K1985" i="1" s="1"/>
  <c r="L1985" i="1" s="1"/>
  <c r="L1984" i="1"/>
  <c r="J1983" i="1"/>
  <c r="I1983" i="1"/>
  <c r="K1983" i="1" s="1"/>
  <c r="L1983" i="1" s="1"/>
  <c r="J1982" i="1"/>
  <c r="I1982" i="1"/>
  <c r="K1982" i="1" s="1"/>
  <c r="L1982" i="1" s="1"/>
  <c r="J1981" i="1"/>
  <c r="I1981" i="1"/>
  <c r="K1981" i="1" s="1"/>
  <c r="L1981" i="1" s="1"/>
  <c r="J1980" i="1"/>
  <c r="I1980" i="1"/>
  <c r="K1980" i="1" s="1"/>
  <c r="L1980" i="1" s="1"/>
  <c r="J1979" i="1"/>
  <c r="I1979" i="1"/>
  <c r="K1979" i="1" s="1"/>
  <c r="L1979" i="1" s="1"/>
  <c r="J1978" i="1"/>
  <c r="I1978" i="1"/>
  <c r="K1978" i="1" s="1"/>
  <c r="L1978" i="1" s="1"/>
  <c r="J1977" i="1"/>
  <c r="I1977" i="1"/>
  <c r="K1977" i="1" s="1"/>
  <c r="L1977" i="1" s="1"/>
  <c r="J1976" i="1"/>
  <c r="I1976" i="1"/>
  <c r="K1976" i="1" s="1"/>
  <c r="L1976" i="1" s="1"/>
  <c r="J1975" i="1"/>
  <c r="I1975" i="1"/>
  <c r="K1975" i="1" s="1"/>
  <c r="L1975" i="1" s="1"/>
  <c r="L1974" i="1"/>
  <c r="J1973" i="1"/>
  <c r="I1973" i="1"/>
  <c r="K1973" i="1" s="1"/>
  <c r="L1973" i="1" s="1"/>
  <c r="L1972" i="1"/>
  <c r="J1971" i="1"/>
  <c r="I1971" i="1"/>
  <c r="K1971" i="1" s="1"/>
  <c r="L1971" i="1" s="1"/>
  <c r="J1970" i="1"/>
  <c r="I1970" i="1"/>
  <c r="K1970" i="1" s="1"/>
  <c r="L1970" i="1" s="1"/>
  <c r="L1969" i="1"/>
  <c r="J1968" i="1"/>
  <c r="I1968" i="1"/>
  <c r="K1968" i="1" s="1"/>
  <c r="L1968" i="1" s="1"/>
  <c r="J1967" i="1"/>
  <c r="I1967" i="1"/>
  <c r="K1967" i="1" s="1"/>
  <c r="L1967" i="1" s="1"/>
  <c r="J1966" i="1"/>
  <c r="I1966" i="1"/>
  <c r="K1966" i="1" s="1"/>
  <c r="L1966" i="1" s="1"/>
  <c r="J1965" i="1"/>
  <c r="I1965" i="1"/>
  <c r="K1965" i="1" s="1"/>
  <c r="L1965" i="1" s="1"/>
  <c r="J1964" i="1"/>
  <c r="I1964" i="1"/>
  <c r="K1964" i="1" s="1"/>
  <c r="L1964" i="1" s="1"/>
  <c r="L1963" i="1"/>
  <c r="J1962" i="1"/>
  <c r="I1962" i="1"/>
  <c r="K1962" i="1" s="1"/>
  <c r="L1962" i="1" s="1"/>
  <c r="J1961" i="1"/>
  <c r="I1961" i="1"/>
  <c r="K1961" i="1" s="1"/>
  <c r="L1961" i="1" s="1"/>
  <c r="J1960" i="1"/>
  <c r="I1960" i="1"/>
  <c r="K1960" i="1" s="1"/>
  <c r="L1960" i="1" s="1"/>
  <c r="J1959" i="1"/>
  <c r="I1959" i="1"/>
  <c r="K1959" i="1" s="1"/>
  <c r="L1959" i="1" s="1"/>
  <c r="J1958" i="1"/>
  <c r="I1958" i="1"/>
  <c r="K1958" i="1" s="1"/>
  <c r="L1958" i="1" s="1"/>
  <c r="L1957" i="1"/>
  <c r="L1956" i="1"/>
  <c r="L1955" i="1"/>
  <c r="L1954" i="1"/>
  <c r="L1953" i="1"/>
  <c r="J1952" i="1"/>
  <c r="I1952" i="1"/>
  <c r="K1952" i="1" s="1"/>
  <c r="L1952" i="1" s="1"/>
  <c r="J1951" i="1"/>
  <c r="I1951" i="1"/>
  <c r="K1951" i="1" s="1"/>
  <c r="L1951" i="1" s="1"/>
  <c r="J1950" i="1"/>
  <c r="I1950" i="1"/>
  <c r="K1950" i="1" s="1"/>
  <c r="L1950" i="1" s="1"/>
  <c r="L1949" i="1"/>
  <c r="J1948" i="1"/>
  <c r="I1948" i="1"/>
  <c r="K1948" i="1" s="1"/>
  <c r="L1948" i="1" s="1"/>
  <c r="J1947" i="1"/>
  <c r="I1947" i="1"/>
  <c r="K1947" i="1" s="1"/>
  <c r="L1947" i="1" s="1"/>
  <c r="L1946" i="1"/>
  <c r="J1945" i="1"/>
  <c r="I1945" i="1"/>
  <c r="K1945" i="1" s="1"/>
  <c r="L1945" i="1" s="1"/>
  <c r="J1944" i="1"/>
  <c r="I1944" i="1"/>
  <c r="K1944" i="1" s="1"/>
  <c r="L1944" i="1" s="1"/>
  <c r="L1943" i="1"/>
  <c r="J1942" i="1"/>
  <c r="I1942" i="1"/>
  <c r="K1942" i="1" s="1"/>
  <c r="L1942" i="1" s="1"/>
  <c r="J1941" i="1"/>
  <c r="I1941" i="1"/>
  <c r="K1941" i="1" s="1"/>
  <c r="L1941" i="1" s="1"/>
  <c r="L1940" i="1"/>
  <c r="J1939" i="1"/>
  <c r="I1939" i="1"/>
  <c r="K1939" i="1" s="1"/>
  <c r="L1939" i="1" s="1"/>
  <c r="J1938" i="1"/>
  <c r="I1938" i="1"/>
  <c r="K1938" i="1" s="1"/>
  <c r="L1938" i="1" s="1"/>
  <c r="J1937" i="1"/>
  <c r="I1937" i="1"/>
  <c r="K1937" i="1" s="1"/>
  <c r="L1937" i="1" s="1"/>
  <c r="J1936" i="1"/>
  <c r="I1936" i="1"/>
  <c r="K1936" i="1" s="1"/>
  <c r="L1936" i="1" s="1"/>
  <c r="J1935" i="1"/>
  <c r="I1935" i="1"/>
  <c r="K1935" i="1" s="1"/>
  <c r="L1935" i="1" s="1"/>
  <c r="J1934" i="1"/>
  <c r="I1934" i="1"/>
  <c r="K1934" i="1" s="1"/>
  <c r="L1934" i="1" s="1"/>
  <c r="J1933" i="1"/>
  <c r="I1933" i="1"/>
  <c r="K1933" i="1" s="1"/>
  <c r="L1933" i="1" s="1"/>
  <c r="J1932" i="1"/>
  <c r="I1932" i="1"/>
  <c r="K1932" i="1" s="1"/>
  <c r="L1932" i="1" s="1"/>
  <c r="J1931" i="1"/>
  <c r="I1931" i="1"/>
  <c r="K1931" i="1" s="1"/>
  <c r="L1931" i="1" s="1"/>
  <c r="L1930" i="1"/>
  <c r="J1929" i="1"/>
  <c r="I1929" i="1"/>
  <c r="K1929" i="1" s="1"/>
  <c r="L1929" i="1" s="1"/>
  <c r="L1928" i="1"/>
  <c r="J1927" i="1"/>
  <c r="I1927" i="1"/>
  <c r="K1927" i="1" s="1"/>
  <c r="L1927" i="1" s="1"/>
  <c r="J1926" i="1"/>
  <c r="I1926" i="1"/>
  <c r="K1926" i="1" s="1"/>
  <c r="L1926" i="1" s="1"/>
  <c r="L1925" i="1"/>
  <c r="J1924" i="1"/>
  <c r="I1924" i="1"/>
  <c r="K1924" i="1" s="1"/>
  <c r="L1924" i="1" s="1"/>
  <c r="J1923" i="1"/>
  <c r="I1923" i="1"/>
  <c r="K1923" i="1" s="1"/>
  <c r="L1923" i="1" s="1"/>
  <c r="J1922" i="1"/>
  <c r="I1922" i="1"/>
  <c r="K1922" i="1" s="1"/>
  <c r="L1922" i="1" s="1"/>
  <c r="J1921" i="1"/>
  <c r="I1921" i="1"/>
  <c r="K1921" i="1" s="1"/>
  <c r="L1921" i="1" s="1"/>
  <c r="J1920" i="1"/>
  <c r="I1920" i="1"/>
  <c r="K1920" i="1" s="1"/>
  <c r="L1920" i="1" s="1"/>
  <c r="L1919" i="1"/>
  <c r="J1918" i="1"/>
  <c r="I1918" i="1"/>
  <c r="K1918" i="1" s="1"/>
  <c r="L1918" i="1" s="1"/>
  <c r="J1917" i="1"/>
  <c r="I1917" i="1"/>
  <c r="K1917" i="1" s="1"/>
  <c r="L1917" i="1" s="1"/>
  <c r="J1916" i="1"/>
  <c r="I1916" i="1"/>
  <c r="K1916" i="1" s="1"/>
  <c r="L1916" i="1" s="1"/>
  <c r="J1915" i="1"/>
  <c r="I1915" i="1"/>
  <c r="K1915" i="1" s="1"/>
  <c r="L1915" i="1" s="1"/>
  <c r="J1914" i="1"/>
  <c r="I1914" i="1"/>
  <c r="K1914" i="1" s="1"/>
  <c r="L1914" i="1" s="1"/>
  <c r="L1913" i="1"/>
  <c r="L1912" i="1"/>
  <c r="L1911" i="1"/>
  <c r="L1910" i="1"/>
  <c r="L1909" i="1"/>
  <c r="J1908" i="1"/>
  <c r="I1908" i="1"/>
  <c r="K1908" i="1" s="1"/>
  <c r="L1908" i="1" s="1"/>
  <c r="J1907" i="1"/>
  <c r="I1907" i="1"/>
  <c r="K1907" i="1" s="1"/>
  <c r="L1907" i="1" s="1"/>
  <c r="J1906" i="1"/>
  <c r="I1906" i="1"/>
  <c r="K1906" i="1" s="1"/>
  <c r="L1906" i="1" s="1"/>
  <c r="J1905" i="1"/>
  <c r="I1905" i="1"/>
  <c r="K1905" i="1" s="1"/>
  <c r="L1905" i="1" s="1"/>
  <c r="J1904" i="1"/>
  <c r="I1904" i="1"/>
  <c r="K1904" i="1" s="1"/>
  <c r="L1904" i="1" s="1"/>
  <c r="J1903" i="1"/>
  <c r="I1903" i="1"/>
  <c r="K1903" i="1" s="1"/>
  <c r="L1903" i="1" s="1"/>
  <c r="L1902" i="1"/>
  <c r="J1901" i="1"/>
  <c r="I1901" i="1"/>
  <c r="K1901" i="1" s="1"/>
  <c r="L1901" i="1" s="1"/>
  <c r="J1900" i="1"/>
  <c r="I1900" i="1"/>
  <c r="K1900" i="1" s="1"/>
  <c r="L1900" i="1" s="1"/>
  <c r="L1899" i="1"/>
  <c r="J1898" i="1"/>
  <c r="I1898" i="1"/>
  <c r="K1898" i="1" s="1"/>
  <c r="L1898" i="1" s="1"/>
  <c r="J1897" i="1"/>
  <c r="I1897" i="1"/>
  <c r="K1897" i="1" s="1"/>
  <c r="L1897" i="1" s="1"/>
  <c r="L1896" i="1"/>
  <c r="J1895" i="1"/>
  <c r="I1895" i="1"/>
  <c r="K1895" i="1" s="1"/>
  <c r="L1895" i="1" s="1"/>
  <c r="J1894" i="1"/>
  <c r="I1894" i="1"/>
  <c r="K1894" i="1" s="1"/>
  <c r="L1894" i="1" s="1"/>
  <c r="J1893" i="1"/>
  <c r="I1893" i="1"/>
  <c r="K1893" i="1" s="1"/>
  <c r="L1893" i="1" s="1"/>
  <c r="J1892" i="1"/>
  <c r="I1892" i="1"/>
  <c r="K1892" i="1" s="1"/>
  <c r="L1892" i="1" s="1"/>
  <c r="L1891" i="1"/>
  <c r="J1890" i="1"/>
  <c r="I1890" i="1"/>
  <c r="K1890" i="1" s="1"/>
  <c r="L1890" i="1" s="1"/>
  <c r="J1889" i="1"/>
  <c r="I1889" i="1"/>
  <c r="K1889" i="1" s="1"/>
  <c r="L1889" i="1" s="1"/>
  <c r="J1888" i="1"/>
  <c r="I1888" i="1"/>
  <c r="K1888" i="1" s="1"/>
  <c r="L1888" i="1" s="1"/>
  <c r="J1887" i="1"/>
  <c r="I1887" i="1"/>
  <c r="K1887" i="1" s="1"/>
  <c r="L1887" i="1" s="1"/>
  <c r="L1886" i="1"/>
  <c r="J1885" i="1"/>
  <c r="I1885" i="1"/>
  <c r="K1885" i="1" s="1"/>
  <c r="L1885" i="1" s="1"/>
  <c r="L1884" i="1"/>
  <c r="J1883" i="1"/>
  <c r="I1883" i="1"/>
  <c r="K1883" i="1" s="1"/>
  <c r="L1883" i="1" s="1"/>
  <c r="J1882" i="1"/>
  <c r="I1882" i="1"/>
  <c r="K1882" i="1" s="1"/>
  <c r="L1882" i="1" s="1"/>
  <c r="L1881" i="1"/>
  <c r="J1880" i="1"/>
  <c r="I1880" i="1"/>
  <c r="K1880" i="1" s="1"/>
  <c r="L1880" i="1" s="1"/>
  <c r="J1879" i="1"/>
  <c r="I1879" i="1"/>
  <c r="K1879" i="1" s="1"/>
  <c r="L1879" i="1" s="1"/>
  <c r="J1878" i="1"/>
  <c r="I1878" i="1"/>
  <c r="K1878" i="1" s="1"/>
  <c r="L1878" i="1" s="1"/>
  <c r="J1877" i="1"/>
  <c r="I1877" i="1"/>
  <c r="K1877" i="1" s="1"/>
  <c r="L1877" i="1" s="1"/>
  <c r="J1876" i="1"/>
  <c r="I1876" i="1"/>
  <c r="K1876" i="1" s="1"/>
  <c r="L1876" i="1" s="1"/>
  <c r="L1875" i="1"/>
  <c r="J1874" i="1"/>
  <c r="I1874" i="1"/>
  <c r="K1874" i="1" s="1"/>
  <c r="L1874" i="1" s="1"/>
  <c r="J1873" i="1"/>
  <c r="I1873" i="1"/>
  <c r="K1873" i="1" s="1"/>
  <c r="L1873" i="1" s="1"/>
  <c r="J1872" i="1"/>
  <c r="I1872" i="1"/>
  <c r="K1872" i="1" s="1"/>
  <c r="L1872" i="1" s="1"/>
  <c r="J1871" i="1"/>
  <c r="I1871" i="1"/>
  <c r="K1871" i="1" s="1"/>
  <c r="L1871" i="1" s="1"/>
  <c r="J1870" i="1"/>
  <c r="I1870" i="1"/>
  <c r="K1870" i="1" s="1"/>
  <c r="L1870" i="1" s="1"/>
  <c r="L1869" i="1"/>
  <c r="L1868" i="1"/>
  <c r="L1867" i="1"/>
  <c r="J1866" i="1"/>
  <c r="I1866" i="1"/>
  <c r="K1866" i="1" s="1"/>
  <c r="L1866" i="1" s="1"/>
  <c r="L1865" i="1"/>
  <c r="J1864" i="1"/>
  <c r="I1864" i="1"/>
  <c r="K1864" i="1" s="1"/>
  <c r="L1864" i="1" s="1"/>
  <c r="J1863" i="1"/>
  <c r="I1863" i="1"/>
  <c r="K1863" i="1" s="1"/>
  <c r="L1863" i="1" s="1"/>
  <c r="J1862" i="1"/>
  <c r="I1862" i="1"/>
  <c r="K1862" i="1" s="1"/>
  <c r="L1862" i="1" s="1"/>
  <c r="J1861" i="1"/>
  <c r="I1861" i="1"/>
  <c r="K1861" i="1" s="1"/>
  <c r="L1861" i="1" s="1"/>
  <c r="J1860" i="1"/>
  <c r="I1860" i="1"/>
  <c r="K1860" i="1" s="1"/>
  <c r="L1860" i="1" s="1"/>
  <c r="J1859" i="1"/>
  <c r="I1859" i="1"/>
  <c r="K1859" i="1" s="1"/>
  <c r="L1859" i="1" s="1"/>
  <c r="L1858" i="1"/>
  <c r="J1857" i="1"/>
  <c r="I1857" i="1"/>
  <c r="K1857" i="1" s="1"/>
  <c r="L1857" i="1" s="1"/>
  <c r="J1856" i="1"/>
  <c r="I1856" i="1"/>
  <c r="K1856" i="1" s="1"/>
  <c r="L1856" i="1" s="1"/>
  <c r="L1855" i="1"/>
  <c r="J1854" i="1"/>
  <c r="I1854" i="1"/>
  <c r="K1854" i="1" s="1"/>
  <c r="L1854" i="1" s="1"/>
  <c r="J1853" i="1"/>
  <c r="I1853" i="1"/>
  <c r="K1853" i="1" s="1"/>
  <c r="L1853" i="1" s="1"/>
  <c r="L1852" i="1"/>
  <c r="J1851" i="1"/>
  <c r="I1851" i="1"/>
  <c r="K1851" i="1" s="1"/>
  <c r="L1851" i="1" s="1"/>
  <c r="J1850" i="1"/>
  <c r="I1850" i="1"/>
  <c r="K1850" i="1" s="1"/>
  <c r="L1850" i="1" s="1"/>
  <c r="J1849" i="1"/>
  <c r="I1849" i="1"/>
  <c r="K1849" i="1" s="1"/>
  <c r="L1849" i="1" s="1"/>
  <c r="J1848" i="1"/>
  <c r="I1848" i="1"/>
  <c r="K1848" i="1" s="1"/>
  <c r="L1848" i="1" s="1"/>
  <c r="J1847" i="1"/>
  <c r="I1847" i="1"/>
  <c r="K1847" i="1" s="1"/>
  <c r="L1847" i="1" s="1"/>
  <c r="J1846" i="1"/>
  <c r="I1846" i="1"/>
  <c r="K1846" i="1" s="1"/>
  <c r="L1846" i="1" s="1"/>
  <c r="J1845" i="1"/>
  <c r="I1845" i="1"/>
  <c r="K1845" i="1" s="1"/>
  <c r="L1845" i="1" s="1"/>
  <c r="J1844" i="1"/>
  <c r="I1844" i="1"/>
  <c r="K1844" i="1" s="1"/>
  <c r="L1844" i="1" s="1"/>
  <c r="J1843" i="1"/>
  <c r="I1843" i="1"/>
  <c r="K1843" i="1" s="1"/>
  <c r="L1843" i="1" s="1"/>
  <c r="L1842" i="1"/>
  <c r="J1841" i="1"/>
  <c r="I1841" i="1"/>
  <c r="K1841" i="1" s="1"/>
  <c r="L1841" i="1" s="1"/>
  <c r="L1840" i="1"/>
  <c r="J1839" i="1"/>
  <c r="I1839" i="1"/>
  <c r="K1839" i="1" s="1"/>
  <c r="L1839" i="1" s="1"/>
  <c r="J1838" i="1"/>
  <c r="I1838" i="1"/>
  <c r="K1838" i="1" s="1"/>
  <c r="L1838" i="1" s="1"/>
  <c r="L1837" i="1"/>
  <c r="J1836" i="1"/>
  <c r="I1836" i="1"/>
  <c r="K1836" i="1" s="1"/>
  <c r="L1836" i="1" s="1"/>
  <c r="J1835" i="1"/>
  <c r="I1835" i="1"/>
  <c r="K1835" i="1" s="1"/>
  <c r="L1835" i="1" s="1"/>
  <c r="L1834" i="1"/>
  <c r="J1833" i="1"/>
  <c r="I1833" i="1"/>
  <c r="K1833" i="1" s="1"/>
  <c r="L1833" i="1" s="1"/>
  <c r="J1832" i="1"/>
  <c r="I1832" i="1"/>
  <c r="K1832" i="1" s="1"/>
  <c r="L1832" i="1" s="1"/>
  <c r="L1831" i="1"/>
  <c r="J1830" i="1"/>
  <c r="I1830" i="1"/>
  <c r="K1830" i="1" s="1"/>
  <c r="L1830" i="1" s="1"/>
  <c r="J1829" i="1"/>
  <c r="I1829" i="1"/>
  <c r="K1829" i="1" s="1"/>
  <c r="L1829" i="1" s="1"/>
  <c r="J1828" i="1"/>
  <c r="I1828" i="1"/>
  <c r="K1828" i="1" s="1"/>
  <c r="L1828" i="1" s="1"/>
  <c r="J1827" i="1"/>
  <c r="I1827" i="1"/>
  <c r="K1827" i="1" s="1"/>
  <c r="L1827" i="1" s="1"/>
  <c r="J1826" i="1"/>
  <c r="I1826" i="1"/>
  <c r="K1826" i="1" s="1"/>
  <c r="L1826" i="1" s="1"/>
  <c r="L1825" i="1"/>
  <c r="L1824" i="1"/>
  <c r="L1823" i="1"/>
  <c r="L1822" i="1"/>
  <c r="L1821" i="1"/>
  <c r="J1820" i="1"/>
  <c r="I1820" i="1"/>
  <c r="K1820" i="1" s="1"/>
  <c r="L1820" i="1" s="1"/>
  <c r="J1819" i="1"/>
  <c r="I1819" i="1"/>
  <c r="K1819" i="1" s="1"/>
  <c r="L1819" i="1" s="1"/>
  <c r="J1818" i="1"/>
  <c r="I1818" i="1"/>
  <c r="K1818" i="1" s="1"/>
  <c r="L1818" i="1" s="1"/>
  <c r="J1817" i="1"/>
  <c r="I1817" i="1"/>
  <c r="K1817" i="1" s="1"/>
  <c r="L1817" i="1" s="1"/>
  <c r="J1816" i="1"/>
  <c r="I1816" i="1"/>
  <c r="K1816" i="1" s="1"/>
  <c r="L1816" i="1" s="1"/>
  <c r="J1815" i="1"/>
  <c r="I1815" i="1"/>
  <c r="K1815" i="1" s="1"/>
  <c r="L1815" i="1" s="1"/>
  <c r="L1814" i="1"/>
  <c r="J1813" i="1"/>
  <c r="I1813" i="1"/>
  <c r="K1813" i="1" s="1"/>
  <c r="L1813" i="1" s="1"/>
  <c r="J1812" i="1"/>
  <c r="I1812" i="1"/>
  <c r="K1812" i="1" s="1"/>
  <c r="L1812" i="1" s="1"/>
  <c r="L1811" i="1"/>
  <c r="J1810" i="1"/>
  <c r="I1810" i="1"/>
  <c r="K1810" i="1" s="1"/>
  <c r="L1810" i="1" s="1"/>
  <c r="J1809" i="1"/>
  <c r="I1809" i="1"/>
  <c r="K1809" i="1" s="1"/>
  <c r="L1809" i="1" s="1"/>
  <c r="L1808" i="1"/>
  <c r="J1807" i="1"/>
  <c r="I1807" i="1"/>
  <c r="K1807" i="1" s="1"/>
  <c r="L1807" i="1" s="1"/>
  <c r="J1806" i="1"/>
  <c r="I1806" i="1"/>
  <c r="K1806" i="1" s="1"/>
  <c r="L1806" i="1" s="1"/>
  <c r="J1805" i="1"/>
  <c r="I1805" i="1"/>
  <c r="K1805" i="1" s="1"/>
  <c r="L1805" i="1" s="1"/>
  <c r="J1804" i="1"/>
  <c r="I1804" i="1"/>
  <c r="K1804" i="1" s="1"/>
  <c r="L1804" i="1" s="1"/>
  <c r="J1803" i="1"/>
  <c r="I1803" i="1"/>
  <c r="K1803" i="1" s="1"/>
  <c r="L1803" i="1" s="1"/>
  <c r="J1802" i="1"/>
  <c r="I1802" i="1"/>
  <c r="K1802" i="1" s="1"/>
  <c r="L1802" i="1" s="1"/>
  <c r="J1801" i="1"/>
  <c r="I1801" i="1"/>
  <c r="K1801" i="1" s="1"/>
  <c r="L1801" i="1" s="1"/>
  <c r="J1800" i="1"/>
  <c r="I1800" i="1"/>
  <c r="K1800" i="1" s="1"/>
  <c r="L1800" i="1" s="1"/>
  <c r="J1799" i="1"/>
  <c r="I1799" i="1"/>
  <c r="K1799" i="1" s="1"/>
  <c r="L1799" i="1" s="1"/>
  <c r="L1798" i="1"/>
  <c r="J1797" i="1"/>
  <c r="I1797" i="1"/>
  <c r="K1797" i="1" s="1"/>
  <c r="L1797" i="1" s="1"/>
  <c r="L1796" i="1"/>
  <c r="J1795" i="1"/>
  <c r="I1795" i="1"/>
  <c r="K1795" i="1" s="1"/>
  <c r="L1795" i="1" s="1"/>
  <c r="J1794" i="1"/>
  <c r="I1794" i="1"/>
  <c r="K1794" i="1" s="1"/>
  <c r="L1794" i="1" s="1"/>
  <c r="L1793" i="1"/>
  <c r="J1792" i="1"/>
  <c r="I1792" i="1"/>
  <c r="K1792" i="1" s="1"/>
  <c r="L1792" i="1" s="1"/>
  <c r="J1791" i="1"/>
  <c r="I1791" i="1"/>
  <c r="K1791" i="1" s="1"/>
  <c r="L1791" i="1" s="1"/>
  <c r="J1790" i="1"/>
  <c r="I1790" i="1"/>
  <c r="J1789" i="1"/>
  <c r="I1789" i="1"/>
  <c r="K1789" i="1" s="1"/>
  <c r="L1789" i="1" s="1"/>
  <c r="J1788" i="1"/>
  <c r="I1788" i="1"/>
  <c r="K1788" i="1" s="1"/>
  <c r="L1788" i="1" s="1"/>
  <c r="L1787" i="1"/>
  <c r="J1786" i="1"/>
  <c r="I1786" i="1"/>
  <c r="K1786" i="1" s="1"/>
  <c r="L1786" i="1" s="1"/>
  <c r="J1785" i="1"/>
  <c r="I1785" i="1"/>
  <c r="K1785" i="1" s="1"/>
  <c r="L1785" i="1" s="1"/>
  <c r="J1784" i="1"/>
  <c r="I1784" i="1"/>
  <c r="K1784" i="1" s="1"/>
  <c r="L1784" i="1" s="1"/>
  <c r="J1783" i="1"/>
  <c r="I1783" i="1"/>
  <c r="K1783" i="1" s="1"/>
  <c r="L1783" i="1" s="1"/>
  <c r="J1782" i="1"/>
  <c r="I1782" i="1"/>
  <c r="K1782" i="1" s="1"/>
  <c r="L1782" i="1" s="1"/>
  <c r="L1781" i="1"/>
  <c r="L1780" i="1"/>
  <c r="L1779" i="1"/>
  <c r="J1778" i="1"/>
  <c r="I1778" i="1"/>
  <c r="K1778" i="1" s="1"/>
  <c r="L1778" i="1" s="1"/>
  <c r="L1777" i="1"/>
  <c r="J1776" i="1"/>
  <c r="I1776" i="1"/>
  <c r="K1776" i="1" s="1"/>
  <c r="L1776" i="1" s="1"/>
  <c r="J1775" i="1"/>
  <c r="I1775" i="1"/>
  <c r="K1775" i="1" s="1"/>
  <c r="L1775" i="1" s="1"/>
  <c r="J1774" i="1"/>
  <c r="I1774" i="1"/>
  <c r="K1774" i="1" s="1"/>
  <c r="L1774" i="1" s="1"/>
  <c r="J1773" i="1"/>
  <c r="I1773" i="1"/>
  <c r="J1772" i="1"/>
  <c r="I1772" i="1"/>
  <c r="K1772" i="1" s="1"/>
  <c r="L1772" i="1" s="1"/>
  <c r="J1771" i="1"/>
  <c r="I1771" i="1"/>
  <c r="L1770" i="1"/>
  <c r="J1769" i="1"/>
  <c r="I1769" i="1"/>
  <c r="K1769" i="1" s="1"/>
  <c r="L1769" i="1" s="1"/>
  <c r="J1768" i="1"/>
  <c r="I1768" i="1"/>
  <c r="K1768" i="1" s="1"/>
  <c r="L1768" i="1" s="1"/>
  <c r="L1767" i="1"/>
  <c r="J1766" i="1"/>
  <c r="I1766" i="1"/>
  <c r="K1766" i="1" s="1"/>
  <c r="L1766" i="1" s="1"/>
  <c r="J1765" i="1"/>
  <c r="I1765" i="1"/>
  <c r="K1765" i="1" s="1"/>
  <c r="L1765" i="1" s="1"/>
  <c r="L1764" i="1"/>
  <c r="J1763" i="1"/>
  <c r="I1763" i="1"/>
  <c r="K1763" i="1" s="1"/>
  <c r="L1763" i="1" s="1"/>
  <c r="J1762" i="1"/>
  <c r="I1762" i="1"/>
  <c r="K1762" i="1" s="1"/>
  <c r="L1762" i="1" s="1"/>
  <c r="J1761" i="1"/>
  <c r="I1761" i="1"/>
  <c r="K1761" i="1" s="1"/>
  <c r="L1761" i="1" s="1"/>
  <c r="J1760" i="1"/>
  <c r="I1760" i="1"/>
  <c r="K1760" i="1" s="1"/>
  <c r="L1760" i="1" s="1"/>
  <c r="J1759" i="1"/>
  <c r="I1759" i="1"/>
  <c r="K1759" i="1" s="1"/>
  <c r="L1759" i="1" s="1"/>
  <c r="J1758" i="1"/>
  <c r="I1758" i="1"/>
  <c r="K1758" i="1" s="1"/>
  <c r="L1758" i="1" s="1"/>
  <c r="J1757" i="1"/>
  <c r="I1757" i="1"/>
  <c r="K1757" i="1" s="1"/>
  <c r="L1757" i="1" s="1"/>
  <c r="J1756" i="1"/>
  <c r="I1756" i="1"/>
  <c r="K1756" i="1" s="1"/>
  <c r="L1756" i="1" s="1"/>
  <c r="J1755" i="1"/>
  <c r="I1755" i="1"/>
  <c r="K1755" i="1" s="1"/>
  <c r="L1755" i="1" s="1"/>
  <c r="L1754" i="1"/>
  <c r="J1753" i="1"/>
  <c r="I1753" i="1"/>
  <c r="K1753" i="1" s="1"/>
  <c r="L1753" i="1" s="1"/>
  <c r="L1752" i="1"/>
  <c r="J1751" i="1"/>
  <c r="I1751" i="1"/>
  <c r="K1751" i="1" s="1"/>
  <c r="L1751" i="1" s="1"/>
  <c r="J1750" i="1"/>
  <c r="I1750" i="1"/>
  <c r="K1750" i="1" s="1"/>
  <c r="L1750" i="1" s="1"/>
  <c r="L1749" i="1"/>
  <c r="J1748" i="1"/>
  <c r="I1748" i="1"/>
  <c r="K1748" i="1" s="1"/>
  <c r="L1748" i="1" s="1"/>
  <c r="J1747" i="1"/>
  <c r="I1747" i="1"/>
  <c r="K1747" i="1" s="1"/>
  <c r="L1747" i="1" s="1"/>
  <c r="J1746" i="1"/>
  <c r="I1746" i="1"/>
  <c r="K1746" i="1" s="1"/>
  <c r="L1746" i="1" s="1"/>
  <c r="J1745" i="1"/>
  <c r="I1745" i="1"/>
  <c r="K1745" i="1" s="1"/>
  <c r="L1745" i="1" s="1"/>
  <c r="J1744" i="1"/>
  <c r="I1744" i="1"/>
  <c r="K1744" i="1" s="1"/>
  <c r="L1744" i="1" s="1"/>
  <c r="L1743" i="1"/>
  <c r="J1742" i="1"/>
  <c r="I1742" i="1"/>
  <c r="K1742" i="1" s="1"/>
  <c r="L1742" i="1" s="1"/>
  <c r="J1741" i="1"/>
  <c r="I1741" i="1"/>
  <c r="K1741" i="1" s="1"/>
  <c r="L1741" i="1" s="1"/>
  <c r="J1740" i="1"/>
  <c r="I1740" i="1"/>
  <c r="K1740" i="1" s="1"/>
  <c r="L1740" i="1" s="1"/>
  <c r="J1739" i="1"/>
  <c r="I1739" i="1"/>
  <c r="K1739" i="1" s="1"/>
  <c r="L1739" i="1" s="1"/>
  <c r="J1738" i="1"/>
  <c r="I1738" i="1"/>
  <c r="K1738" i="1" s="1"/>
  <c r="L1738" i="1" s="1"/>
  <c r="L1737" i="1"/>
  <c r="L1736" i="1"/>
  <c r="L1735" i="1"/>
  <c r="J1734" i="1"/>
  <c r="I1734" i="1"/>
  <c r="K1734" i="1" s="1"/>
  <c r="L1734" i="1" s="1"/>
  <c r="L1733" i="1"/>
  <c r="J1732" i="1"/>
  <c r="I1732" i="1"/>
  <c r="K1732" i="1" s="1"/>
  <c r="L1732" i="1" s="1"/>
  <c r="J1731" i="1"/>
  <c r="I1731" i="1"/>
  <c r="K1731" i="1" s="1"/>
  <c r="L1731" i="1" s="1"/>
  <c r="J1730" i="1"/>
  <c r="I1730" i="1"/>
  <c r="K1730" i="1" s="1"/>
  <c r="L1730" i="1" s="1"/>
  <c r="J1729" i="1"/>
  <c r="I1729" i="1"/>
  <c r="K1729" i="1" s="1"/>
  <c r="L1729" i="1" s="1"/>
  <c r="J1728" i="1"/>
  <c r="I1728" i="1"/>
  <c r="K1728" i="1" s="1"/>
  <c r="L1728" i="1" s="1"/>
  <c r="L1727" i="1"/>
  <c r="L1726" i="1"/>
  <c r="J1725" i="1"/>
  <c r="I1725" i="1"/>
  <c r="K1725" i="1" s="1"/>
  <c r="L1725" i="1" s="1"/>
  <c r="J1724" i="1"/>
  <c r="I1724" i="1"/>
  <c r="K1724" i="1" s="1"/>
  <c r="L1724" i="1" s="1"/>
  <c r="L1723" i="1"/>
  <c r="J1722" i="1"/>
  <c r="I1722" i="1"/>
  <c r="K1722" i="1" s="1"/>
  <c r="L1722" i="1" s="1"/>
  <c r="J1721" i="1"/>
  <c r="I1721" i="1"/>
  <c r="K1721" i="1" s="1"/>
  <c r="L1721" i="1" s="1"/>
  <c r="L1720" i="1"/>
  <c r="J1719" i="1"/>
  <c r="I1719" i="1"/>
  <c r="K1719" i="1" s="1"/>
  <c r="L1719" i="1" s="1"/>
  <c r="J1718" i="1"/>
  <c r="I1718" i="1"/>
  <c r="K1718" i="1" s="1"/>
  <c r="L1718" i="1" s="1"/>
  <c r="J1717" i="1"/>
  <c r="I1717" i="1"/>
  <c r="K1717" i="1" s="1"/>
  <c r="L1717" i="1" s="1"/>
  <c r="J1716" i="1"/>
  <c r="I1716" i="1"/>
  <c r="K1716" i="1" s="1"/>
  <c r="L1716" i="1" s="1"/>
  <c r="L1715" i="1"/>
  <c r="J1714" i="1"/>
  <c r="I1714" i="1"/>
  <c r="K1714" i="1" s="1"/>
  <c r="L1714" i="1" s="1"/>
  <c r="J1713" i="1"/>
  <c r="I1713" i="1"/>
  <c r="J1712" i="1"/>
  <c r="I1712" i="1"/>
  <c r="K1712" i="1" s="1"/>
  <c r="L1712" i="1" s="1"/>
  <c r="L1711" i="1"/>
  <c r="L1710" i="1"/>
  <c r="J1709" i="1"/>
  <c r="I1709" i="1"/>
  <c r="K1709" i="1" s="1"/>
  <c r="L1709" i="1" s="1"/>
  <c r="L1708" i="1"/>
  <c r="J1707" i="1"/>
  <c r="I1707" i="1"/>
  <c r="K1707" i="1" s="1"/>
  <c r="L1707" i="1" s="1"/>
  <c r="J1706" i="1"/>
  <c r="I1706" i="1"/>
  <c r="K1706" i="1" s="1"/>
  <c r="L1706" i="1" s="1"/>
  <c r="L1705" i="1"/>
  <c r="J1704" i="1"/>
  <c r="I1704" i="1"/>
  <c r="K1704" i="1" s="1"/>
  <c r="L1704" i="1" s="1"/>
  <c r="J1703" i="1"/>
  <c r="I1703" i="1"/>
  <c r="K1703" i="1" s="1"/>
  <c r="L1703" i="1" s="1"/>
  <c r="L1702" i="1"/>
  <c r="J1701" i="1"/>
  <c r="I1701" i="1"/>
  <c r="K1701" i="1" s="1"/>
  <c r="L1701" i="1" s="1"/>
  <c r="J1700" i="1"/>
  <c r="I1700" i="1"/>
  <c r="K1700" i="1" s="1"/>
  <c r="L1700" i="1" s="1"/>
  <c r="L1699" i="1"/>
  <c r="J1698" i="1"/>
  <c r="I1698" i="1"/>
  <c r="K1698" i="1" s="1"/>
  <c r="L1698" i="1" s="1"/>
  <c r="J1697" i="1"/>
  <c r="I1697" i="1"/>
  <c r="K1697" i="1" s="1"/>
  <c r="L1697" i="1" s="1"/>
  <c r="J1696" i="1"/>
  <c r="I1696" i="1"/>
  <c r="K1696" i="1" s="1"/>
  <c r="L1696" i="1" s="1"/>
  <c r="J1695" i="1"/>
  <c r="I1695" i="1"/>
  <c r="K1695" i="1" s="1"/>
  <c r="L1695" i="1" s="1"/>
  <c r="J1694" i="1"/>
  <c r="I1694" i="1"/>
  <c r="K1694" i="1" s="1"/>
  <c r="L1694" i="1" s="1"/>
  <c r="L1693" i="1"/>
  <c r="L1692" i="1"/>
  <c r="L1691" i="1"/>
  <c r="J1690" i="1"/>
  <c r="I1690" i="1"/>
  <c r="K1690" i="1" s="1"/>
  <c r="L1690" i="1" s="1"/>
  <c r="L1689" i="1"/>
  <c r="J1688" i="1"/>
  <c r="I1688" i="1"/>
  <c r="K1688" i="1" s="1"/>
  <c r="L1688" i="1" s="1"/>
  <c r="J1687" i="1"/>
  <c r="I1687" i="1"/>
  <c r="K1687" i="1" s="1"/>
  <c r="L1687" i="1" s="1"/>
  <c r="L1686" i="1"/>
  <c r="J1685" i="1"/>
  <c r="I1685" i="1"/>
  <c r="K1685" i="1" s="1"/>
  <c r="L1685" i="1" s="1"/>
  <c r="J1684" i="1"/>
  <c r="I1684" i="1"/>
  <c r="K1684" i="1" s="1"/>
  <c r="L1684" i="1" s="1"/>
  <c r="J1683" i="1"/>
  <c r="I1683" i="1"/>
  <c r="K1683" i="1" s="1"/>
  <c r="L1683" i="1" s="1"/>
  <c r="L1682" i="1"/>
  <c r="J1681" i="1"/>
  <c r="I1681" i="1"/>
  <c r="K1681" i="1" s="1"/>
  <c r="L1681" i="1" s="1"/>
  <c r="J1680" i="1"/>
  <c r="I1680" i="1"/>
  <c r="K1680" i="1" s="1"/>
  <c r="L1680" i="1" s="1"/>
  <c r="L1679" i="1"/>
  <c r="J1678" i="1"/>
  <c r="I1678" i="1"/>
  <c r="K1678" i="1" s="1"/>
  <c r="L1678" i="1" s="1"/>
  <c r="J1677" i="1"/>
  <c r="I1677" i="1"/>
  <c r="K1677" i="1" s="1"/>
  <c r="L1677" i="1" s="1"/>
  <c r="L1676" i="1"/>
  <c r="J1675" i="1"/>
  <c r="I1675" i="1"/>
  <c r="K1675" i="1" s="1"/>
  <c r="L1675" i="1" s="1"/>
  <c r="J1674" i="1"/>
  <c r="I1674" i="1"/>
  <c r="K1674" i="1" s="1"/>
  <c r="L1674" i="1" s="1"/>
  <c r="J1673" i="1"/>
  <c r="I1673" i="1"/>
  <c r="K1673" i="1" s="1"/>
  <c r="L1673" i="1" s="1"/>
  <c r="J1672" i="1"/>
  <c r="I1672" i="1"/>
  <c r="K1672" i="1" s="1"/>
  <c r="L1672" i="1" s="1"/>
  <c r="J1671" i="1"/>
  <c r="I1671" i="1"/>
  <c r="K1671" i="1" s="1"/>
  <c r="L1671" i="1" s="1"/>
  <c r="J1670" i="1"/>
  <c r="I1670" i="1"/>
  <c r="K1670" i="1" s="1"/>
  <c r="L1670" i="1" s="1"/>
  <c r="J1669" i="1"/>
  <c r="I1669" i="1"/>
  <c r="K1669" i="1" s="1"/>
  <c r="L1669" i="1" s="1"/>
  <c r="J1668" i="1"/>
  <c r="I1668" i="1"/>
  <c r="K1668" i="1" s="1"/>
  <c r="L1668" i="1" s="1"/>
  <c r="J1667" i="1"/>
  <c r="I1667" i="1"/>
  <c r="K1667" i="1" s="1"/>
  <c r="L1667" i="1" s="1"/>
  <c r="L1666" i="1"/>
  <c r="J1665" i="1"/>
  <c r="I1665" i="1"/>
  <c r="K1665" i="1" s="1"/>
  <c r="L1665" i="1" s="1"/>
  <c r="L1664" i="1"/>
  <c r="J1663" i="1"/>
  <c r="I1663" i="1"/>
  <c r="K1663" i="1" s="1"/>
  <c r="L1663" i="1" s="1"/>
  <c r="J1662" i="1"/>
  <c r="I1662" i="1"/>
  <c r="K1662" i="1" s="1"/>
  <c r="L1662" i="1" s="1"/>
  <c r="L1661" i="1"/>
  <c r="J1660" i="1"/>
  <c r="I1660" i="1"/>
  <c r="K1660" i="1" s="1"/>
  <c r="L1660" i="1" s="1"/>
  <c r="J1659" i="1"/>
  <c r="I1659" i="1"/>
  <c r="K1659" i="1" s="1"/>
  <c r="L1659" i="1" s="1"/>
  <c r="L1658" i="1"/>
  <c r="J1657" i="1"/>
  <c r="I1657" i="1"/>
  <c r="K1657" i="1" s="1"/>
  <c r="L1657" i="1" s="1"/>
  <c r="J1656" i="1"/>
  <c r="I1656" i="1"/>
  <c r="K1656" i="1" s="1"/>
  <c r="L1656" i="1" s="1"/>
  <c r="L1655" i="1"/>
  <c r="J1654" i="1"/>
  <c r="I1654" i="1"/>
  <c r="K1654" i="1" s="1"/>
  <c r="L1654" i="1" s="1"/>
  <c r="J1653" i="1"/>
  <c r="I1653" i="1"/>
  <c r="K1653" i="1" s="1"/>
  <c r="L1653" i="1" s="1"/>
  <c r="J1652" i="1"/>
  <c r="I1652" i="1"/>
  <c r="K1652" i="1" s="1"/>
  <c r="L1652" i="1" s="1"/>
  <c r="J1651" i="1"/>
  <c r="I1651" i="1"/>
  <c r="K1651" i="1" s="1"/>
  <c r="L1651" i="1" s="1"/>
  <c r="J1650" i="1"/>
  <c r="I1650" i="1"/>
  <c r="K1650" i="1" s="1"/>
  <c r="L1650" i="1" s="1"/>
  <c r="L1649" i="1"/>
  <c r="L1648" i="1"/>
  <c r="L1647" i="1"/>
  <c r="J1646" i="1"/>
  <c r="I1646" i="1"/>
  <c r="K1646" i="1" s="1"/>
  <c r="L1646" i="1" s="1"/>
  <c r="L1645" i="1"/>
  <c r="J1644" i="1"/>
  <c r="I1644" i="1"/>
  <c r="K1644" i="1" s="1"/>
  <c r="L1644" i="1" s="1"/>
  <c r="J1643" i="1"/>
  <c r="I1643" i="1"/>
  <c r="K1643" i="1" s="1"/>
  <c r="L1643" i="1" s="1"/>
  <c r="L1642" i="1"/>
  <c r="J1641" i="1"/>
  <c r="I1641" i="1"/>
  <c r="K1641" i="1" s="1"/>
  <c r="L1641" i="1" s="1"/>
  <c r="J1640" i="1"/>
  <c r="I1640" i="1"/>
  <c r="K1640" i="1" s="1"/>
  <c r="L1640" i="1" s="1"/>
  <c r="J1639" i="1"/>
  <c r="I1639" i="1"/>
  <c r="K1639" i="1" s="1"/>
  <c r="L1639" i="1" s="1"/>
  <c r="L1638" i="1"/>
  <c r="J1637" i="1"/>
  <c r="I1637" i="1"/>
  <c r="K1637" i="1" s="1"/>
  <c r="L1637" i="1" s="1"/>
  <c r="J1636" i="1"/>
  <c r="I1636" i="1"/>
  <c r="K1636" i="1" s="1"/>
  <c r="L1636" i="1" s="1"/>
  <c r="L1635" i="1"/>
  <c r="J1634" i="1"/>
  <c r="I1634" i="1"/>
  <c r="K1634" i="1" s="1"/>
  <c r="L1634" i="1" s="1"/>
  <c r="J1633" i="1"/>
  <c r="I1633" i="1"/>
  <c r="K1633" i="1" s="1"/>
  <c r="L1633" i="1" s="1"/>
  <c r="L1632" i="1"/>
  <c r="J1631" i="1"/>
  <c r="I1631" i="1"/>
  <c r="K1631" i="1" s="1"/>
  <c r="L1631" i="1" s="1"/>
  <c r="J1630" i="1"/>
  <c r="I1630" i="1"/>
  <c r="K1630" i="1" s="1"/>
  <c r="L1630" i="1" s="1"/>
  <c r="J1629" i="1"/>
  <c r="I1629" i="1"/>
  <c r="K1629" i="1" s="1"/>
  <c r="L1629" i="1" s="1"/>
  <c r="J1628" i="1"/>
  <c r="I1628" i="1"/>
  <c r="K1628" i="1" s="1"/>
  <c r="L1628" i="1" s="1"/>
  <c r="J1627" i="1"/>
  <c r="I1627" i="1"/>
  <c r="K1627" i="1" s="1"/>
  <c r="L1627" i="1" s="1"/>
  <c r="J1626" i="1"/>
  <c r="I1626" i="1"/>
  <c r="K1626" i="1" s="1"/>
  <c r="L1626" i="1" s="1"/>
  <c r="J1625" i="1"/>
  <c r="I1625" i="1"/>
  <c r="K1625" i="1" s="1"/>
  <c r="L1625" i="1" s="1"/>
  <c r="J1624" i="1"/>
  <c r="I1624" i="1"/>
  <c r="K1624" i="1" s="1"/>
  <c r="L1624" i="1" s="1"/>
  <c r="J1623" i="1"/>
  <c r="I1623" i="1"/>
  <c r="K1623" i="1" s="1"/>
  <c r="L1623" i="1" s="1"/>
  <c r="L1622" i="1"/>
  <c r="J1621" i="1"/>
  <c r="I1621" i="1"/>
  <c r="K1621" i="1" s="1"/>
  <c r="L1621" i="1" s="1"/>
  <c r="L1620" i="1"/>
  <c r="J1619" i="1"/>
  <c r="I1619" i="1"/>
  <c r="K1619" i="1" s="1"/>
  <c r="L1619" i="1" s="1"/>
  <c r="J1618" i="1"/>
  <c r="I1618" i="1"/>
  <c r="K1618" i="1" s="1"/>
  <c r="L1618" i="1" s="1"/>
  <c r="L1617" i="1"/>
  <c r="J1616" i="1"/>
  <c r="I1616" i="1"/>
  <c r="K1616" i="1" s="1"/>
  <c r="L1616" i="1" s="1"/>
  <c r="J1615" i="1"/>
  <c r="I1615" i="1"/>
  <c r="K1615" i="1" s="1"/>
  <c r="L1615" i="1" s="1"/>
  <c r="J1614" i="1"/>
  <c r="I1614" i="1"/>
  <c r="K1614" i="1" s="1"/>
  <c r="L1614" i="1" s="1"/>
  <c r="J1613" i="1"/>
  <c r="I1613" i="1"/>
  <c r="K1613" i="1" s="1"/>
  <c r="L1613" i="1" s="1"/>
  <c r="J1612" i="1"/>
  <c r="I1612" i="1"/>
  <c r="K1612" i="1" s="1"/>
  <c r="L1612" i="1" s="1"/>
  <c r="L1611" i="1"/>
  <c r="J1610" i="1"/>
  <c r="I1610" i="1"/>
  <c r="K1610" i="1" s="1"/>
  <c r="L1610" i="1" s="1"/>
  <c r="J1609" i="1"/>
  <c r="I1609" i="1"/>
  <c r="K1609" i="1" s="1"/>
  <c r="L1609" i="1" s="1"/>
  <c r="J1608" i="1"/>
  <c r="I1608" i="1"/>
  <c r="K1608" i="1" s="1"/>
  <c r="L1608" i="1" s="1"/>
  <c r="J1607" i="1"/>
  <c r="I1607" i="1"/>
  <c r="K1607" i="1" s="1"/>
  <c r="L1607" i="1" s="1"/>
  <c r="J1606" i="1"/>
  <c r="I1606" i="1"/>
  <c r="K1606" i="1" s="1"/>
  <c r="L1606" i="1" s="1"/>
  <c r="L1605" i="1"/>
  <c r="L1604" i="1"/>
  <c r="L1603" i="1"/>
  <c r="J1602" i="1"/>
  <c r="I1602" i="1"/>
  <c r="K1602" i="1" s="1"/>
  <c r="L1602" i="1" s="1"/>
  <c r="L1601" i="1"/>
  <c r="J1600" i="1"/>
  <c r="I1600" i="1"/>
  <c r="K1600" i="1" s="1"/>
  <c r="L1600" i="1" s="1"/>
  <c r="J1599" i="1"/>
  <c r="I1599" i="1"/>
  <c r="K1599" i="1" s="1"/>
  <c r="L1599" i="1" s="1"/>
  <c r="L1598" i="1"/>
  <c r="L1597" i="1"/>
  <c r="J1596" i="1"/>
  <c r="I1596" i="1"/>
  <c r="K1596" i="1" s="1"/>
  <c r="L1596" i="1" s="1"/>
  <c r="J1595" i="1"/>
  <c r="I1595" i="1"/>
  <c r="K1595" i="1" s="1"/>
  <c r="L1595" i="1" s="1"/>
  <c r="L1594" i="1"/>
  <c r="J1593" i="1"/>
  <c r="I1593" i="1"/>
  <c r="K1593" i="1" s="1"/>
  <c r="L1593" i="1" s="1"/>
  <c r="J1592" i="1"/>
  <c r="I1592" i="1"/>
  <c r="K1592" i="1" s="1"/>
  <c r="L1592" i="1" s="1"/>
  <c r="L1591" i="1"/>
  <c r="J1590" i="1"/>
  <c r="I1590" i="1"/>
  <c r="K1590" i="1" s="1"/>
  <c r="L1590" i="1" s="1"/>
  <c r="J1589" i="1"/>
  <c r="I1589" i="1"/>
  <c r="K1589" i="1" s="1"/>
  <c r="L1589" i="1" s="1"/>
  <c r="L1588" i="1"/>
  <c r="J1587" i="1"/>
  <c r="I1587" i="1"/>
  <c r="K1587" i="1" s="1"/>
  <c r="L1587" i="1" s="1"/>
  <c r="J1586" i="1"/>
  <c r="I1586" i="1"/>
  <c r="K1586" i="1" s="1"/>
  <c r="L1586" i="1" s="1"/>
  <c r="J1585" i="1"/>
  <c r="I1585" i="1"/>
  <c r="K1585" i="1" s="1"/>
  <c r="L1585" i="1" s="1"/>
  <c r="J1584" i="1"/>
  <c r="I1584" i="1"/>
  <c r="K1584" i="1" s="1"/>
  <c r="L1584" i="1" s="1"/>
  <c r="J1583" i="1"/>
  <c r="I1583" i="1"/>
  <c r="K1583" i="1" s="1"/>
  <c r="L1583" i="1" s="1"/>
  <c r="J1582" i="1"/>
  <c r="I1582" i="1"/>
  <c r="K1582" i="1" s="1"/>
  <c r="L1582" i="1" s="1"/>
  <c r="J1581" i="1"/>
  <c r="I1581" i="1"/>
  <c r="K1581" i="1" s="1"/>
  <c r="L1581" i="1" s="1"/>
  <c r="J1580" i="1"/>
  <c r="I1580" i="1"/>
  <c r="K1580" i="1" s="1"/>
  <c r="L1580" i="1" s="1"/>
  <c r="J1579" i="1"/>
  <c r="I1579" i="1"/>
  <c r="K1579" i="1" s="1"/>
  <c r="L1579" i="1" s="1"/>
  <c r="L1578" i="1"/>
  <c r="J1577" i="1"/>
  <c r="I1577" i="1"/>
  <c r="K1577" i="1" s="1"/>
  <c r="L1577" i="1" s="1"/>
  <c r="L1576" i="1"/>
  <c r="J1575" i="1"/>
  <c r="I1575" i="1"/>
  <c r="K1575" i="1" s="1"/>
  <c r="L1575" i="1" s="1"/>
  <c r="J1574" i="1"/>
  <c r="I1574" i="1"/>
  <c r="K1574" i="1" s="1"/>
  <c r="L1574" i="1" s="1"/>
  <c r="L1573" i="1"/>
  <c r="J1572" i="1"/>
  <c r="I1572" i="1"/>
  <c r="K1572" i="1" s="1"/>
  <c r="L1572" i="1" s="1"/>
  <c r="J1571" i="1"/>
  <c r="I1571" i="1"/>
  <c r="K1571" i="1" s="1"/>
  <c r="L1571" i="1" s="1"/>
  <c r="J1570" i="1"/>
  <c r="I1570" i="1"/>
  <c r="K1570" i="1" s="1"/>
  <c r="L1570" i="1" s="1"/>
  <c r="J1569" i="1"/>
  <c r="I1569" i="1"/>
  <c r="K1569" i="1" s="1"/>
  <c r="L1569" i="1" s="1"/>
  <c r="J1568" i="1"/>
  <c r="I1568" i="1"/>
  <c r="K1568" i="1" s="1"/>
  <c r="L1568" i="1" s="1"/>
  <c r="L1567" i="1"/>
  <c r="J1566" i="1"/>
  <c r="I1566" i="1"/>
  <c r="K1566" i="1" s="1"/>
  <c r="L1566" i="1" s="1"/>
  <c r="J1565" i="1"/>
  <c r="I1565" i="1"/>
  <c r="K1565" i="1" s="1"/>
  <c r="L1565" i="1" s="1"/>
  <c r="J1564" i="1"/>
  <c r="I1564" i="1"/>
  <c r="K1564" i="1" s="1"/>
  <c r="L1564" i="1" s="1"/>
  <c r="J1563" i="1"/>
  <c r="I1563" i="1"/>
  <c r="K1563" i="1" s="1"/>
  <c r="L1563" i="1" s="1"/>
  <c r="L1562" i="1"/>
  <c r="L1561" i="1"/>
  <c r="L1560" i="1"/>
  <c r="L1559" i="1"/>
  <c r="J1558" i="1"/>
  <c r="I1558" i="1"/>
  <c r="K1558" i="1" s="1"/>
  <c r="L1558" i="1" s="1"/>
  <c r="L1557" i="1"/>
  <c r="J1556" i="1"/>
  <c r="I1556" i="1"/>
  <c r="K1556" i="1" s="1"/>
  <c r="L1556" i="1" s="1"/>
  <c r="J1555" i="1"/>
  <c r="I1555" i="1"/>
  <c r="K1555" i="1" s="1"/>
  <c r="L1555" i="1" s="1"/>
  <c r="L1554" i="1"/>
  <c r="J1553" i="1"/>
  <c r="I1553" i="1"/>
  <c r="K1553" i="1" s="1"/>
  <c r="L1553" i="1" s="1"/>
  <c r="J1552" i="1"/>
  <c r="I1552" i="1"/>
  <c r="K1552" i="1" s="1"/>
  <c r="L1552" i="1" s="1"/>
  <c r="J1551" i="1"/>
  <c r="I1551" i="1"/>
  <c r="K1551" i="1" s="1"/>
  <c r="L1551" i="1" s="1"/>
  <c r="L1550" i="1"/>
  <c r="J1549" i="1"/>
  <c r="I1549" i="1"/>
  <c r="K1549" i="1" s="1"/>
  <c r="L1549" i="1" s="1"/>
  <c r="J1548" i="1"/>
  <c r="I1548" i="1"/>
  <c r="K1548" i="1" s="1"/>
  <c r="L1548" i="1" s="1"/>
  <c r="L1547" i="1"/>
  <c r="J1546" i="1"/>
  <c r="I1546" i="1"/>
  <c r="K1546" i="1" s="1"/>
  <c r="L1546" i="1" s="1"/>
  <c r="J1545" i="1"/>
  <c r="I1545" i="1"/>
  <c r="K1545" i="1" s="1"/>
  <c r="L1545" i="1" s="1"/>
  <c r="L1544" i="1"/>
  <c r="J1543" i="1"/>
  <c r="I1543" i="1"/>
  <c r="K1543" i="1" s="1"/>
  <c r="L1543" i="1" s="1"/>
  <c r="J1542" i="1"/>
  <c r="I1542" i="1"/>
  <c r="K1542" i="1" s="1"/>
  <c r="L1542" i="1" s="1"/>
  <c r="J1541" i="1"/>
  <c r="I1541" i="1"/>
  <c r="K1541" i="1" s="1"/>
  <c r="L1541" i="1" s="1"/>
  <c r="J1540" i="1"/>
  <c r="I1540" i="1"/>
  <c r="K1540" i="1" s="1"/>
  <c r="L1540" i="1" s="1"/>
  <c r="J1539" i="1"/>
  <c r="I1539" i="1"/>
  <c r="K1539" i="1" s="1"/>
  <c r="L1539" i="1" s="1"/>
  <c r="J1538" i="1"/>
  <c r="I1538" i="1"/>
  <c r="K1538" i="1" s="1"/>
  <c r="L1538" i="1" s="1"/>
  <c r="J1537" i="1"/>
  <c r="I1537" i="1"/>
  <c r="K1537" i="1" s="1"/>
  <c r="L1537" i="1" s="1"/>
  <c r="J1536" i="1"/>
  <c r="I1536" i="1"/>
  <c r="K1536" i="1" s="1"/>
  <c r="L1536" i="1" s="1"/>
  <c r="L1535" i="1"/>
  <c r="L1534" i="1"/>
  <c r="J1533" i="1"/>
  <c r="I1533" i="1"/>
  <c r="K1533" i="1" s="1"/>
  <c r="L1533" i="1" s="1"/>
  <c r="L1532" i="1"/>
  <c r="J1531" i="1"/>
  <c r="I1531" i="1"/>
  <c r="K1531" i="1" s="1"/>
  <c r="L1531" i="1" s="1"/>
  <c r="J1530" i="1"/>
  <c r="I1530" i="1"/>
  <c r="K1530" i="1" s="1"/>
  <c r="L1530" i="1" s="1"/>
  <c r="L1529" i="1"/>
  <c r="J1528" i="1"/>
  <c r="I1528" i="1"/>
  <c r="K1528" i="1" s="1"/>
  <c r="L1528" i="1" s="1"/>
  <c r="J1527" i="1"/>
  <c r="I1527" i="1"/>
  <c r="K1527" i="1" s="1"/>
  <c r="L1527" i="1" s="1"/>
  <c r="J1526" i="1"/>
  <c r="I1526" i="1"/>
  <c r="K1526" i="1" s="1"/>
  <c r="L1526" i="1" s="1"/>
  <c r="J1525" i="1"/>
  <c r="I1525" i="1"/>
  <c r="K1525" i="1" s="1"/>
  <c r="L1525" i="1" s="1"/>
  <c r="J1524" i="1"/>
  <c r="I1524" i="1"/>
  <c r="K1524" i="1" s="1"/>
  <c r="L1524" i="1" s="1"/>
  <c r="L1523" i="1"/>
  <c r="J1522" i="1"/>
  <c r="I1522" i="1"/>
  <c r="K1522" i="1" s="1"/>
  <c r="L1522" i="1" s="1"/>
  <c r="J1521" i="1"/>
  <c r="I1521" i="1"/>
  <c r="K1521" i="1" s="1"/>
  <c r="L1521" i="1" s="1"/>
  <c r="J1520" i="1"/>
  <c r="I1520" i="1"/>
  <c r="K1520" i="1" s="1"/>
  <c r="L1520" i="1" s="1"/>
  <c r="J1519" i="1"/>
  <c r="I1519" i="1"/>
  <c r="K1519" i="1" s="1"/>
  <c r="L1519" i="1" s="1"/>
  <c r="L1518" i="1"/>
  <c r="L1517" i="1"/>
  <c r="L1516" i="1"/>
  <c r="L1515" i="1"/>
  <c r="J1514" i="1"/>
  <c r="I1514" i="1"/>
  <c r="K1514" i="1" s="1"/>
  <c r="L1514" i="1" s="1"/>
  <c r="L1513" i="1"/>
  <c r="J1512" i="1"/>
  <c r="I1512" i="1"/>
  <c r="K1512" i="1" s="1"/>
  <c r="L1512" i="1" s="1"/>
  <c r="J1511" i="1"/>
  <c r="I1511" i="1"/>
  <c r="K1511" i="1" s="1"/>
  <c r="L1511" i="1" s="1"/>
  <c r="L1510" i="1"/>
  <c r="L1509" i="1"/>
  <c r="J1508" i="1"/>
  <c r="I1508" i="1"/>
  <c r="K1508" i="1" s="1"/>
  <c r="L1508" i="1" s="1"/>
  <c r="J1507" i="1"/>
  <c r="I1507" i="1"/>
  <c r="K1507" i="1" s="1"/>
  <c r="L1507" i="1" s="1"/>
  <c r="L1506" i="1"/>
  <c r="J1505" i="1"/>
  <c r="I1505" i="1"/>
  <c r="K1505" i="1" s="1"/>
  <c r="L1505" i="1" s="1"/>
  <c r="J1504" i="1"/>
  <c r="I1504" i="1"/>
  <c r="K1504" i="1" s="1"/>
  <c r="L1504" i="1" s="1"/>
  <c r="L1503" i="1"/>
  <c r="J1502" i="1"/>
  <c r="I1502" i="1"/>
  <c r="K1502" i="1" s="1"/>
  <c r="L1502" i="1" s="1"/>
  <c r="J1501" i="1"/>
  <c r="I1501" i="1"/>
  <c r="K1501" i="1" s="1"/>
  <c r="L1501" i="1" s="1"/>
  <c r="L1500" i="1"/>
  <c r="J1499" i="1"/>
  <c r="I1499" i="1"/>
  <c r="K1499" i="1" s="1"/>
  <c r="L1499" i="1" s="1"/>
  <c r="J1498" i="1"/>
  <c r="I1498" i="1"/>
  <c r="K1498" i="1" s="1"/>
  <c r="L1498" i="1" s="1"/>
  <c r="J1497" i="1"/>
  <c r="I1497" i="1"/>
  <c r="K1497" i="1" s="1"/>
  <c r="L1497" i="1" s="1"/>
  <c r="J1496" i="1"/>
  <c r="I1496" i="1"/>
  <c r="K1496" i="1" s="1"/>
  <c r="L1496" i="1" s="1"/>
  <c r="J1495" i="1"/>
  <c r="I1495" i="1"/>
  <c r="K1495" i="1" s="1"/>
  <c r="L1495" i="1" s="1"/>
  <c r="J1494" i="1"/>
  <c r="I1494" i="1"/>
  <c r="K1494" i="1" s="1"/>
  <c r="L1494" i="1" s="1"/>
  <c r="J1493" i="1"/>
  <c r="I1493" i="1"/>
  <c r="K1493" i="1" s="1"/>
  <c r="L1493" i="1" s="1"/>
  <c r="J1492" i="1"/>
  <c r="I1492" i="1"/>
  <c r="K1492" i="1" s="1"/>
  <c r="L1492" i="1" s="1"/>
  <c r="L1491" i="1"/>
  <c r="L1490" i="1"/>
  <c r="J1489" i="1"/>
  <c r="I1489" i="1"/>
  <c r="K1489" i="1" s="1"/>
  <c r="L1489" i="1" s="1"/>
  <c r="L1488" i="1"/>
  <c r="J1487" i="1"/>
  <c r="I1487" i="1"/>
  <c r="K1487" i="1" s="1"/>
  <c r="L1487" i="1" s="1"/>
  <c r="J1486" i="1"/>
  <c r="I1486" i="1"/>
  <c r="K1486" i="1" s="1"/>
  <c r="L1486" i="1" s="1"/>
  <c r="L1485" i="1"/>
  <c r="J1484" i="1"/>
  <c r="I1484" i="1"/>
  <c r="K1484" i="1" s="1"/>
  <c r="L1484" i="1" s="1"/>
  <c r="J1483" i="1"/>
  <c r="I1483" i="1"/>
  <c r="K1483" i="1" s="1"/>
  <c r="L1483" i="1" s="1"/>
  <c r="J1482" i="1"/>
  <c r="I1482" i="1"/>
  <c r="K1482" i="1" s="1"/>
  <c r="L1482" i="1" s="1"/>
  <c r="J1481" i="1"/>
  <c r="I1481" i="1"/>
  <c r="K1481" i="1" s="1"/>
  <c r="L1481" i="1" s="1"/>
  <c r="J1480" i="1"/>
  <c r="I1480" i="1"/>
  <c r="K1480" i="1" s="1"/>
  <c r="L1480" i="1" s="1"/>
  <c r="L1479" i="1"/>
  <c r="J1478" i="1"/>
  <c r="I1478" i="1"/>
  <c r="K1478" i="1" s="1"/>
  <c r="L1478" i="1" s="1"/>
  <c r="J1477" i="1"/>
  <c r="I1477" i="1"/>
  <c r="K1477" i="1" s="1"/>
  <c r="L1477" i="1" s="1"/>
  <c r="J1476" i="1"/>
  <c r="I1476" i="1"/>
  <c r="K1476" i="1" s="1"/>
  <c r="L1476" i="1" s="1"/>
  <c r="J1475" i="1"/>
  <c r="I1475" i="1"/>
  <c r="K1475" i="1" s="1"/>
  <c r="L1475" i="1" s="1"/>
  <c r="L1474" i="1"/>
  <c r="L1473" i="1"/>
  <c r="L1472" i="1"/>
  <c r="L1471" i="1"/>
  <c r="J1470" i="1"/>
  <c r="I1470" i="1"/>
  <c r="K1470" i="1" s="1"/>
  <c r="L1470" i="1" s="1"/>
  <c r="L1469" i="1"/>
  <c r="J1468" i="1"/>
  <c r="I1468" i="1"/>
  <c r="K1468" i="1" s="1"/>
  <c r="L1468" i="1" s="1"/>
  <c r="J1467" i="1"/>
  <c r="I1467" i="1"/>
  <c r="K1467" i="1" s="1"/>
  <c r="L1467" i="1" s="1"/>
  <c r="J1466" i="1"/>
  <c r="I1466" i="1"/>
  <c r="K1466" i="1" s="1"/>
  <c r="L1466" i="1" s="1"/>
  <c r="J1465" i="1"/>
  <c r="I1465" i="1"/>
  <c r="K1465" i="1" s="1"/>
  <c r="L1465" i="1" s="1"/>
  <c r="J1464" i="1"/>
  <c r="I1464" i="1"/>
  <c r="K1464" i="1" s="1"/>
  <c r="L1464" i="1" s="1"/>
  <c r="J1463" i="1"/>
  <c r="I1463" i="1"/>
  <c r="K1463" i="1" s="1"/>
  <c r="L1463" i="1" s="1"/>
  <c r="L1462" i="1"/>
  <c r="J1461" i="1"/>
  <c r="I1461" i="1"/>
  <c r="K1461" i="1" s="1"/>
  <c r="L1461" i="1" s="1"/>
  <c r="J1460" i="1"/>
  <c r="I1460" i="1"/>
  <c r="K1460" i="1" s="1"/>
  <c r="L1460" i="1" s="1"/>
  <c r="L1459" i="1"/>
  <c r="J1458" i="1"/>
  <c r="I1458" i="1"/>
  <c r="K1458" i="1" s="1"/>
  <c r="L1458" i="1" s="1"/>
  <c r="J1457" i="1"/>
  <c r="I1457" i="1"/>
  <c r="K1457" i="1" s="1"/>
  <c r="L1457" i="1" s="1"/>
  <c r="L1456" i="1"/>
  <c r="J1455" i="1"/>
  <c r="I1455" i="1"/>
  <c r="K1455" i="1" s="1"/>
  <c r="L1455" i="1" s="1"/>
  <c r="J1454" i="1"/>
  <c r="I1454" i="1"/>
  <c r="K1454" i="1" s="1"/>
  <c r="L1454" i="1" s="1"/>
  <c r="J1453" i="1"/>
  <c r="I1453" i="1"/>
  <c r="K1453" i="1" s="1"/>
  <c r="L1453" i="1" s="1"/>
  <c r="J1452" i="1"/>
  <c r="I1452" i="1"/>
  <c r="K1452" i="1" s="1"/>
  <c r="L1452" i="1" s="1"/>
  <c r="J1451" i="1"/>
  <c r="I1451" i="1"/>
  <c r="K1451" i="1" s="1"/>
  <c r="L1451" i="1" s="1"/>
  <c r="J1450" i="1"/>
  <c r="I1450" i="1"/>
  <c r="K1450" i="1" s="1"/>
  <c r="L1450" i="1" s="1"/>
  <c r="J1449" i="1"/>
  <c r="I1449" i="1"/>
  <c r="K1449" i="1" s="1"/>
  <c r="L1449" i="1" s="1"/>
  <c r="J1448" i="1"/>
  <c r="I1448" i="1"/>
  <c r="K1448" i="1" s="1"/>
  <c r="L1448" i="1" s="1"/>
  <c r="L1447" i="1"/>
  <c r="L1446" i="1"/>
  <c r="J1445" i="1"/>
  <c r="I1445" i="1"/>
  <c r="K1445" i="1" s="1"/>
  <c r="L1445" i="1" s="1"/>
  <c r="L1444" i="1"/>
  <c r="J1443" i="1"/>
  <c r="I1443" i="1"/>
  <c r="K1443" i="1" s="1"/>
  <c r="L1443" i="1" s="1"/>
  <c r="J1442" i="1"/>
  <c r="I1442" i="1"/>
  <c r="K1442" i="1" s="1"/>
  <c r="L1442" i="1" s="1"/>
  <c r="L1441" i="1"/>
  <c r="J1440" i="1"/>
  <c r="I1440" i="1"/>
  <c r="K1440" i="1" s="1"/>
  <c r="L1440" i="1" s="1"/>
  <c r="J1439" i="1"/>
  <c r="I1439" i="1"/>
  <c r="K1439" i="1" s="1"/>
  <c r="L1439" i="1" s="1"/>
  <c r="J1438" i="1"/>
  <c r="I1438" i="1"/>
  <c r="K1438" i="1" s="1"/>
  <c r="L1438" i="1" s="1"/>
  <c r="J1437" i="1"/>
  <c r="I1437" i="1"/>
  <c r="K1437" i="1" s="1"/>
  <c r="L1437" i="1" s="1"/>
  <c r="J1436" i="1"/>
  <c r="I1436" i="1"/>
  <c r="K1436" i="1" s="1"/>
  <c r="L1436" i="1" s="1"/>
  <c r="L1435" i="1"/>
  <c r="J1434" i="1"/>
  <c r="I1434" i="1"/>
  <c r="K1434" i="1" s="1"/>
  <c r="L1434" i="1" s="1"/>
  <c r="J1433" i="1"/>
  <c r="I1433" i="1"/>
  <c r="K1433" i="1" s="1"/>
  <c r="L1433" i="1" s="1"/>
  <c r="J1432" i="1"/>
  <c r="I1432" i="1"/>
  <c r="K1432" i="1" s="1"/>
  <c r="L1432" i="1" s="1"/>
  <c r="J1431" i="1"/>
  <c r="I1431" i="1"/>
  <c r="K1431" i="1" s="1"/>
  <c r="L1431" i="1" s="1"/>
  <c r="L1430" i="1"/>
  <c r="L1429" i="1"/>
  <c r="L1428" i="1"/>
  <c r="L1427" i="1"/>
  <c r="J1426" i="1"/>
  <c r="I1426" i="1"/>
  <c r="K1426" i="1" s="1"/>
  <c r="L1426" i="1" s="1"/>
  <c r="L1425" i="1"/>
  <c r="J1424" i="1"/>
  <c r="I1424" i="1"/>
  <c r="K1424" i="1" s="1"/>
  <c r="L1424" i="1" s="1"/>
  <c r="J1423" i="1"/>
  <c r="I1423" i="1"/>
  <c r="K1423" i="1" s="1"/>
  <c r="L1423" i="1" s="1"/>
  <c r="J1422" i="1"/>
  <c r="I1422" i="1"/>
  <c r="K1422" i="1" s="1"/>
  <c r="L1422" i="1" s="1"/>
  <c r="J1421" i="1"/>
  <c r="I1421" i="1"/>
  <c r="K1421" i="1" s="1"/>
  <c r="L1421" i="1" s="1"/>
  <c r="J1420" i="1"/>
  <c r="I1420" i="1"/>
  <c r="K1420" i="1" s="1"/>
  <c r="L1420" i="1" s="1"/>
  <c r="J1419" i="1"/>
  <c r="I1419" i="1"/>
  <c r="K1419" i="1" s="1"/>
  <c r="L1419" i="1" s="1"/>
  <c r="L1418" i="1"/>
  <c r="J1417" i="1"/>
  <c r="I1417" i="1"/>
  <c r="K1417" i="1" s="1"/>
  <c r="L1417" i="1" s="1"/>
  <c r="J1416" i="1"/>
  <c r="I1416" i="1"/>
  <c r="K1416" i="1" s="1"/>
  <c r="L1416" i="1" s="1"/>
  <c r="L1415" i="1"/>
  <c r="J1414" i="1"/>
  <c r="I1414" i="1"/>
  <c r="K1414" i="1" s="1"/>
  <c r="L1414" i="1" s="1"/>
  <c r="J1413" i="1"/>
  <c r="I1413" i="1"/>
  <c r="K1413" i="1" s="1"/>
  <c r="L1413" i="1" s="1"/>
  <c r="L1412" i="1"/>
  <c r="J1411" i="1"/>
  <c r="I1411" i="1"/>
  <c r="K1411" i="1" s="1"/>
  <c r="L1411" i="1" s="1"/>
  <c r="J1410" i="1"/>
  <c r="I1410" i="1"/>
  <c r="K1410" i="1" s="1"/>
  <c r="L1410" i="1" s="1"/>
  <c r="J1409" i="1"/>
  <c r="I1409" i="1"/>
  <c r="K1409" i="1" s="1"/>
  <c r="L1409" i="1" s="1"/>
  <c r="J1408" i="1"/>
  <c r="I1408" i="1"/>
  <c r="K1408" i="1" s="1"/>
  <c r="L1408" i="1" s="1"/>
  <c r="J1407" i="1"/>
  <c r="I1407" i="1"/>
  <c r="K1407" i="1" s="1"/>
  <c r="L1407" i="1" s="1"/>
  <c r="J1406" i="1"/>
  <c r="I1406" i="1"/>
  <c r="K1406" i="1" s="1"/>
  <c r="L1406" i="1" s="1"/>
  <c r="J1405" i="1"/>
  <c r="I1405" i="1"/>
  <c r="K1405" i="1" s="1"/>
  <c r="L1405" i="1" s="1"/>
  <c r="J1404" i="1"/>
  <c r="I1404" i="1"/>
  <c r="K1404" i="1" s="1"/>
  <c r="L1404" i="1" s="1"/>
  <c r="L1403" i="1"/>
  <c r="L1402" i="1"/>
  <c r="J1401" i="1"/>
  <c r="I1401" i="1"/>
  <c r="K1401" i="1" s="1"/>
  <c r="L1401" i="1" s="1"/>
  <c r="L1400" i="1"/>
  <c r="J1399" i="1"/>
  <c r="I1399" i="1"/>
  <c r="K1399" i="1" s="1"/>
  <c r="L1399" i="1" s="1"/>
  <c r="J1398" i="1"/>
  <c r="I1398" i="1"/>
  <c r="K1398" i="1" s="1"/>
  <c r="L1398" i="1" s="1"/>
  <c r="L1397" i="1"/>
  <c r="J1396" i="1"/>
  <c r="I1396" i="1"/>
  <c r="K1396" i="1" s="1"/>
  <c r="L1396" i="1" s="1"/>
  <c r="J1395" i="1"/>
  <c r="I1395" i="1"/>
  <c r="K1395" i="1" s="1"/>
  <c r="L1395" i="1" s="1"/>
  <c r="J1394" i="1"/>
  <c r="I1394" i="1"/>
  <c r="K1394" i="1" s="1"/>
  <c r="L1394" i="1" s="1"/>
  <c r="J1393" i="1"/>
  <c r="I1393" i="1"/>
  <c r="K1393" i="1" s="1"/>
  <c r="L1393" i="1" s="1"/>
  <c r="J1392" i="1"/>
  <c r="I1392" i="1"/>
  <c r="K1392" i="1" s="1"/>
  <c r="L1392" i="1" s="1"/>
  <c r="L1391" i="1"/>
  <c r="J1390" i="1"/>
  <c r="I1390" i="1"/>
  <c r="K1390" i="1" s="1"/>
  <c r="L1390" i="1" s="1"/>
  <c r="J1389" i="1"/>
  <c r="I1389" i="1"/>
  <c r="K1389" i="1" s="1"/>
  <c r="L1389" i="1" s="1"/>
  <c r="J1388" i="1"/>
  <c r="I1388" i="1"/>
  <c r="K1388" i="1" s="1"/>
  <c r="L1388" i="1" s="1"/>
  <c r="J1387" i="1"/>
  <c r="I1387" i="1"/>
  <c r="K1387" i="1" s="1"/>
  <c r="L1387" i="1" s="1"/>
  <c r="L1386" i="1"/>
  <c r="L1385" i="1"/>
  <c r="L1384" i="1"/>
  <c r="L1383" i="1"/>
  <c r="J1382" i="1"/>
  <c r="I1382" i="1"/>
  <c r="K1382" i="1" s="1"/>
  <c r="L1382" i="1" s="1"/>
  <c r="L1381" i="1"/>
  <c r="J1380" i="1"/>
  <c r="I1380" i="1"/>
  <c r="K1380" i="1" s="1"/>
  <c r="L1380" i="1" s="1"/>
  <c r="J1379" i="1"/>
  <c r="I1379" i="1"/>
  <c r="K1379" i="1" s="1"/>
  <c r="L1379" i="1" s="1"/>
  <c r="J1378" i="1"/>
  <c r="I1378" i="1"/>
  <c r="K1378" i="1" s="1"/>
  <c r="L1378" i="1" s="1"/>
  <c r="J1377" i="1"/>
  <c r="I1377" i="1"/>
  <c r="K1377" i="1" s="1"/>
  <c r="L1377" i="1" s="1"/>
  <c r="J1376" i="1"/>
  <c r="I1376" i="1"/>
  <c r="K1376" i="1" s="1"/>
  <c r="L1376" i="1" s="1"/>
  <c r="J1375" i="1"/>
  <c r="I1375" i="1"/>
  <c r="K1375" i="1" s="1"/>
  <c r="L1375" i="1" s="1"/>
  <c r="L1374" i="1"/>
  <c r="J1373" i="1"/>
  <c r="I1373" i="1"/>
  <c r="K1373" i="1" s="1"/>
  <c r="L1373" i="1" s="1"/>
  <c r="J1372" i="1"/>
  <c r="I1372" i="1"/>
  <c r="K1372" i="1" s="1"/>
  <c r="L1372" i="1" s="1"/>
  <c r="L1371" i="1"/>
  <c r="J1370" i="1"/>
  <c r="I1370" i="1"/>
  <c r="K1370" i="1" s="1"/>
  <c r="L1370" i="1" s="1"/>
  <c r="J1369" i="1"/>
  <c r="I1369" i="1"/>
  <c r="K1369" i="1" s="1"/>
  <c r="L1369" i="1" s="1"/>
  <c r="L1368" i="1"/>
  <c r="L1367" i="1"/>
  <c r="J1366" i="1"/>
  <c r="I1366" i="1"/>
  <c r="K1366" i="1" s="1"/>
  <c r="L1366" i="1" s="1"/>
  <c r="J1365" i="1"/>
  <c r="I1365" i="1"/>
  <c r="K1365" i="1" s="1"/>
  <c r="L1365" i="1" s="1"/>
  <c r="J1364" i="1"/>
  <c r="I1364" i="1"/>
  <c r="K1364" i="1" s="1"/>
  <c r="L1364" i="1" s="1"/>
  <c r="J1363" i="1"/>
  <c r="I1363" i="1"/>
  <c r="K1363" i="1" s="1"/>
  <c r="L1363" i="1" s="1"/>
  <c r="J1362" i="1"/>
  <c r="I1362" i="1"/>
  <c r="K1362" i="1" s="1"/>
  <c r="L1362" i="1" s="1"/>
  <c r="J1361" i="1"/>
  <c r="I1361" i="1"/>
  <c r="K1361" i="1" s="1"/>
  <c r="L1361" i="1" s="1"/>
  <c r="J1360" i="1"/>
  <c r="I1360" i="1"/>
  <c r="K1360" i="1" s="1"/>
  <c r="L1360" i="1" s="1"/>
  <c r="L1359" i="1"/>
  <c r="L1358" i="1"/>
  <c r="J1357" i="1"/>
  <c r="I1357" i="1"/>
  <c r="K1357" i="1" s="1"/>
  <c r="L1357" i="1" s="1"/>
  <c r="L1356" i="1"/>
  <c r="J1355" i="1"/>
  <c r="I1355" i="1"/>
  <c r="K1355" i="1" s="1"/>
  <c r="L1355" i="1" s="1"/>
  <c r="J1354" i="1"/>
  <c r="I1354" i="1"/>
  <c r="K1354" i="1" s="1"/>
  <c r="L1354" i="1" s="1"/>
  <c r="L1353" i="1"/>
  <c r="J1352" i="1"/>
  <c r="I1352" i="1"/>
  <c r="K1352" i="1" s="1"/>
  <c r="L1352" i="1" s="1"/>
  <c r="J1351" i="1"/>
  <c r="I1351" i="1"/>
  <c r="K1351" i="1" s="1"/>
  <c r="L1351" i="1" s="1"/>
  <c r="J1350" i="1"/>
  <c r="I1350" i="1"/>
  <c r="K1350" i="1" s="1"/>
  <c r="L1350" i="1" s="1"/>
  <c r="J1349" i="1"/>
  <c r="I1349" i="1"/>
  <c r="K1349" i="1" s="1"/>
  <c r="L1349" i="1" s="1"/>
  <c r="J1348" i="1"/>
  <c r="I1348" i="1"/>
  <c r="K1348" i="1" s="1"/>
  <c r="L1348" i="1" s="1"/>
  <c r="L1347" i="1"/>
  <c r="J1346" i="1"/>
  <c r="I1346" i="1"/>
  <c r="K1346" i="1" s="1"/>
  <c r="L1346" i="1" s="1"/>
  <c r="J1345" i="1"/>
  <c r="I1345" i="1"/>
  <c r="K1345" i="1" s="1"/>
  <c r="L1345" i="1" s="1"/>
  <c r="J1344" i="1"/>
  <c r="I1344" i="1"/>
  <c r="K1344" i="1" s="1"/>
  <c r="L1344" i="1" s="1"/>
  <c r="J1343" i="1"/>
  <c r="I1343" i="1"/>
  <c r="K1343" i="1" s="1"/>
  <c r="L1343" i="1" s="1"/>
  <c r="L1342" i="1"/>
  <c r="L1341" i="1"/>
  <c r="L1340" i="1"/>
  <c r="L1339" i="1"/>
  <c r="J1338" i="1"/>
  <c r="I1338" i="1"/>
  <c r="K1338" i="1" s="1"/>
  <c r="L1338" i="1" s="1"/>
  <c r="L1337" i="1"/>
  <c r="L1336" i="1"/>
  <c r="J1335" i="1"/>
  <c r="I1335" i="1"/>
  <c r="K1335" i="1" s="1"/>
  <c r="L1335" i="1" s="1"/>
  <c r="J1334" i="1"/>
  <c r="I1334" i="1"/>
  <c r="K1334" i="1" s="1"/>
  <c r="L1334" i="1" s="1"/>
  <c r="J1333" i="1"/>
  <c r="I1333" i="1"/>
  <c r="K1333" i="1" s="1"/>
  <c r="L1333" i="1" s="1"/>
  <c r="J1332" i="1"/>
  <c r="I1332" i="1"/>
  <c r="K1332" i="1" s="1"/>
  <c r="L1332" i="1" s="1"/>
  <c r="J1331" i="1"/>
  <c r="I1331" i="1"/>
  <c r="K1331" i="1" s="1"/>
  <c r="L1331" i="1" s="1"/>
  <c r="L1330" i="1"/>
  <c r="J1329" i="1"/>
  <c r="I1329" i="1"/>
  <c r="K1329" i="1" s="1"/>
  <c r="L1329" i="1" s="1"/>
  <c r="J1328" i="1"/>
  <c r="I1328" i="1"/>
  <c r="K1328" i="1" s="1"/>
  <c r="L1328" i="1" s="1"/>
  <c r="L1327" i="1"/>
  <c r="J1326" i="1"/>
  <c r="I1326" i="1"/>
  <c r="K1326" i="1" s="1"/>
  <c r="L1326" i="1" s="1"/>
  <c r="J1325" i="1"/>
  <c r="I1325" i="1"/>
  <c r="K1325" i="1" s="1"/>
  <c r="L1325" i="1" s="1"/>
  <c r="L1324" i="1"/>
  <c r="J1323" i="1"/>
  <c r="I1323" i="1"/>
  <c r="K1323" i="1" s="1"/>
  <c r="L1323" i="1" s="1"/>
  <c r="J1322" i="1"/>
  <c r="I1322" i="1"/>
  <c r="K1322" i="1" s="1"/>
  <c r="L1322" i="1" s="1"/>
  <c r="J1321" i="1"/>
  <c r="I1321" i="1"/>
  <c r="K1321" i="1" s="1"/>
  <c r="L1321" i="1" s="1"/>
  <c r="J1320" i="1"/>
  <c r="I1320" i="1"/>
  <c r="K1320" i="1" s="1"/>
  <c r="L1320" i="1" s="1"/>
  <c r="J1319" i="1"/>
  <c r="I1319" i="1"/>
  <c r="K1319" i="1" s="1"/>
  <c r="L1319" i="1" s="1"/>
  <c r="J1318" i="1"/>
  <c r="I1318" i="1"/>
  <c r="K1318" i="1" s="1"/>
  <c r="L1318" i="1" s="1"/>
  <c r="J1317" i="1"/>
  <c r="I1317" i="1"/>
  <c r="K1317" i="1" s="1"/>
  <c r="L1317" i="1" s="1"/>
  <c r="J1316" i="1"/>
  <c r="I1316" i="1"/>
  <c r="K1316" i="1" s="1"/>
  <c r="L1316" i="1" s="1"/>
  <c r="L1315" i="1"/>
  <c r="L1314" i="1"/>
  <c r="J1313" i="1"/>
  <c r="I1313" i="1"/>
  <c r="K1313" i="1" s="1"/>
  <c r="L1313" i="1" s="1"/>
  <c r="L1312" i="1"/>
  <c r="J1311" i="1"/>
  <c r="I1311" i="1"/>
  <c r="K1311" i="1" s="1"/>
  <c r="L1311" i="1" s="1"/>
  <c r="J1310" i="1"/>
  <c r="I1310" i="1"/>
  <c r="K1310" i="1" s="1"/>
  <c r="L1310" i="1" s="1"/>
  <c r="L1309" i="1"/>
  <c r="J1308" i="1"/>
  <c r="I1308" i="1"/>
  <c r="K1308" i="1" s="1"/>
  <c r="L1308" i="1" s="1"/>
  <c r="J1307" i="1"/>
  <c r="I1307" i="1"/>
  <c r="K1307" i="1" s="1"/>
  <c r="L1307" i="1" s="1"/>
  <c r="J1306" i="1"/>
  <c r="I1306" i="1"/>
  <c r="K1306" i="1" s="1"/>
  <c r="L1306" i="1" s="1"/>
  <c r="J1305" i="1"/>
  <c r="I1305" i="1"/>
  <c r="K1305" i="1" s="1"/>
  <c r="L1305" i="1" s="1"/>
  <c r="J1304" i="1"/>
  <c r="I1304" i="1"/>
  <c r="K1304" i="1" s="1"/>
  <c r="L1304" i="1" s="1"/>
  <c r="L1303" i="1"/>
  <c r="J1302" i="1"/>
  <c r="I1302" i="1"/>
  <c r="K1302" i="1" s="1"/>
  <c r="L1302" i="1" s="1"/>
  <c r="J1301" i="1"/>
  <c r="I1301" i="1"/>
  <c r="K1301" i="1" s="1"/>
  <c r="L1301" i="1" s="1"/>
  <c r="J1300" i="1"/>
  <c r="I1300" i="1"/>
  <c r="K1300" i="1" s="1"/>
  <c r="L1300" i="1" s="1"/>
  <c r="L1299" i="1"/>
  <c r="L1298" i="1"/>
  <c r="L1297" i="1"/>
  <c r="L1296" i="1"/>
  <c r="L1295" i="1"/>
  <c r="J1294" i="1"/>
  <c r="I1294" i="1"/>
  <c r="K1294" i="1" s="1"/>
  <c r="L1294" i="1" s="1"/>
  <c r="L1293" i="1"/>
  <c r="J1292" i="1"/>
  <c r="I1292" i="1"/>
  <c r="K1292" i="1" s="1"/>
  <c r="L1292" i="1" s="1"/>
  <c r="J1291" i="1"/>
  <c r="I1291" i="1"/>
  <c r="K1291" i="1" s="1"/>
  <c r="L1291" i="1" s="1"/>
  <c r="J1290" i="1"/>
  <c r="I1290" i="1"/>
  <c r="K1290" i="1" s="1"/>
  <c r="L1290" i="1" s="1"/>
  <c r="J1289" i="1"/>
  <c r="I1289" i="1"/>
  <c r="K1289" i="1" s="1"/>
  <c r="L1289" i="1" s="1"/>
  <c r="J1288" i="1"/>
  <c r="I1288" i="1"/>
  <c r="K1288" i="1" s="1"/>
  <c r="L1288" i="1" s="1"/>
  <c r="J1287" i="1"/>
  <c r="I1287" i="1"/>
  <c r="K1287" i="1" s="1"/>
  <c r="L1287" i="1" s="1"/>
  <c r="L1286" i="1"/>
  <c r="J1285" i="1"/>
  <c r="I1285" i="1"/>
  <c r="K1285" i="1" s="1"/>
  <c r="L1285" i="1" s="1"/>
  <c r="J1284" i="1"/>
  <c r="I1284" i="1"/>
  <c r="K1284" i="1" s="1"/>
  <c r="L1284" i="1" s="1"/>
  <c r="L1283" i="1"/>
  <c r="J1282" i="1"/>
  <c r="I1282" i="1"/>
  <c r="K1282" i="1" s="1"/>
  <c r="L1282" i="1" s="1"/>
  <c r="J1281" i="1"/>
  <c r="I1281" i="1"/>
  <c r="K1281" i="1" s="1"/>
  <c r="L1281" i="1" s="1"/>
  <c r="L1280" i="1"/>
  <c r="J1279" i="1"/>
  <c r="I1279" i="1"/>
  <c r="K1279" i="1" s="1"/>
  <c r="L1279" i="1" s="1"/>
  <c r="J1278" i="1"/>
  <c r="I1278" i="1"/>
  <c r="K1278" i="1" s="1"/>
  <c r="L1278" i="1" s="1"/>
  <c r="J1277" i="1"/>
  <c r="I1277" i="1"/>
  <c r="K1277" i="1" s="1"/>
  <c r="L1277" i="1" s="1"/>
  <c r="J1276" i="1"/>
  <c r="I1276" i="1"/>
  <c r="K1276" i="1" s="1"/>
  <c r="L1276" i="1" s="1"/>
  <c r="J1275" i="1"/>
  <c r="I1275" i="1"/>
  <c r="K1275" i="1" s="1"/>
  <c r="L1275" i="1" s="1"/>
  <c r="J1274" i="1"/>
  <c r="I1274" i="1"/>
  <c r="K1274" i="1" s="1"/>
  <c r="L1274" i="1" s="1"/>
  <c r="J1273" i="1"/>
  <c r="I1273" i="1"/>
  <c r="K1273" i="1" s="1"/>
  <c r="L1273" i="1" s="1"/>
  <c r="J1272" i="1"/>
  <c r="I1272" i="1"/>
  <c r="K1272" i="1" s="1"/>
  <c r="L1272" i="1" s="1"/>
  <c r="L1271" i="1"/>
  <c r="L1270" i="1"/>
  <c r="J1269" i="1"/>
  <c r="I1269" i="1"/>
  <c r="K1269" i="1" s="1"/>
  <c r="L1269" i="1" s="1"/>
  <c r="L1268" i="1"/>
  <c r="J1267" i="1"/>
  <c r="I1267" i="1"/>
  <c r="K1267" i="1" s="1"/>
  <c r="L1267" i="1" s="1"/>
  <c r="J1266" i="1"/>
  <c r="I1266" i="1"/>
  <c r="K1266" i="1" s="1"/>
  <c r="L1266" i="1" s="1"/>
  <c r="L1265" i="1"/>
  <c r="J1264" i="1"/>
  <c r="I1264" i="1"/>
  <c r="K1264" i="1" s="1"/>
  <c r="L1264" i="1" s="1"/>
  <c r="J1263" i="1"/>
  <c r="I1263" i="1"/>
  <c r="K1263" i="1" s="1"/>
  <c r="L1263" i="1" s="1"/>
  <c r="J1262" i="1"/>
  <c r="I1262" i="1"/>
  <c r="K1262" i="1" s="1"/>
  <c r="L1262" i="1" s="1"/>
  <c r="J1261" i="1"/>
  <c r="I1261" i="1"/>
  <c r="J1260" i="1"/>
  <c r="I1260" i="1"/>
  <c r="L1259" i="1"/>
  <c r="J1258" i="1"/>
  <c r="I1258" i="1"/>
  <c r="J1257" i="1"/>
  <c r="I1257" i="1"/>
  <c r="J1256" i="1"/>
  <c r="I1256" i="1"/>
  <c r="J1255" i="1"/>
  <c r="I1255" i="1"/>
  <c r="L1254" i="1"/>
  <c r="L1253" i="1"/>
  <c r="L1252" i="1"/>
  <c r="L1251" i="1"/>
  <c r="L1250" i="1"/>
  <c r="L1249" i="1"/>
  <c r="J1248" i="1"/>
  <c r="I1248" i="1"/>
  <c r="J1247" i="1"/>
  <c r="I1247" i="1"/>
  <c r="L1246" i="1"/>
  <c r="J1245" i="1"/>
  <c r="I1245" i="1"/>
  <c r="K1245" i="1" s="1"/>
  <c r="L1245" i="1" s="1"/>
  <c r="J1244" i="1"/>
  <c r="I1244" i="1"/>
  <c r="K1244" i="1" s="1"/>
  <c r="L1244" i="1" s="1"/>
  <c r="J1243" i="1"/>
  <c r="I1243" i="1"/>
  <c r="K1243" i="1" s="1"/>
  <c r="L1243" i="1" s="1"/>
  <c r="L1242" i="1"/>
  <c r="J1241" i="1"/>
  <c r="I1241" i="1"/>
  <c r="K1241" i="1" s="1"/>
  <c r="L1241" i="1" s="1"/>
  <c r="J1240" i="1"/>
  <c r="I1240" i="1"/>
  <c r="K1240" i="1" s="1"/>
  <c r="L1240" i="1" s="1"/>
  <c r="L1239" i="1"/>
  <c r="J1238" i="1"/>
  <c r="I1238" i="1"/>
  <c r="K1238" i="1" s="1"/>
  <c r="L1238" i="1" s="1"/>
  <c r="J1237" i="1"/>
  <c r="I1237" i="1"/>
  <c r="K1237" i="1" s="1"/>
  <c r="L1237" i="1" s="1"/>
  <c r="L1236" i="1"/>
  <c r="J1235" i="1"/>
  <c r="I1235" i="1"/>
  <c r="K1235" i="1" s="1"/>
  <c r="L1235" i="1" s="1"/>
  <c r="J1234" i="1"/>
  <c r="I1234" i="1"/>
  <c r="K1234" i="1" s="1"/>
  <c r="L1234" i="1" s="1"/>
  <c r="J1233" i="1"/>
  <c r="I1233" i="1"/>
  <c r="K1233" i="1" s="1"/>
  <c r="L1233" i="1" s="1"/>
  <c r="J1232" i="1"/>
  <c r="I1232" i="1"/>
  <c r="K1232" i="1" s="1"/>
  <c r="L1232" i="1" s="1"/>
  <c r="J1231" i="1"/>
  <c r="I1231" i="1"/>
  <c r="K1231" i="1" s="1"/>
  <c r="L1231" i="1" s="1"/>
  <c r="J1230" i="1"/>
  <c r="I1230" i="1"/>
  <c r="K1230" i="1" s="1"/>
  <c r="L1230" i="1" s="1"/>
  <c r="J1229" i="1"/>
  <c r="I1229" i="1"/>
  <c r="K1229" i="1" s="1"/>
  <c r="L1229" i="1" s="1"/>
  <c r="J1228" i="1"/>
  <c r="I1228" i="1"/>
  <c r="K1228" i="1" s="1"/>
  <c r="L1228" i="1" s="1"/>
  <c r="L1227" i="1"/>
  <c r="L1226" i="1"/>
  <c r="J1225" i="1"/>
  <c r="I1225" i="1"/>
  <c r="K1225" i="1" s="1"/>
  <c r="L1225" i="1" s="1"/>
  <c r="L1224" i="1"/>
  <c r="J1223" i="1"/>
  <c r="I1223" i="1"/>
  <c r="K1223" i="1" s="1"/>
  <c r="L1223" i="1" s="1"/>
  <c r="J1222" i="1"/>
  <c r="I1222" i="1"/>
  <c r="K1222" i="1" s="1"/>
  <c r="L1222" i="1" s="1"/>
  <c r="L1221" i="1"/>
  <c r="J1220" i="1"/>
  <c r="I1220" i="1"/>
  <c r="K1220" i="1" s="1"/>
  <c r="L1220" i="1" s="1"/>
  <c r="J1219" i="1"/>
  <c r="I1219" i="1"/>
  <c r="K1219" i="1" s="1"/>
  <c r="L1219" i="1" s="1"/>
  <c r="J1218" i="1"/>
  <c r="I1218" i="1"/>
  <c r="K1218" i="1" s="1"/>
  <c r="L1218" i="1" s="1"/>
  <c r="J1217" i="1"/>
  <c r="I1217" i="1"/>
  <c r="K1217" i="1" s="1"/>
  <c r="L1217" i="1" s="1"/>
  <c r="J1216" i="1"/>
  <c r="I1216" i="1"/>
  <c r="K1216" i="1" s="1"/>
  <c r="L1216" i="1" s="1"/>
  <c r="L1215" i="1"/>
  <c r="J1214" i="1"/>
  <c r="I1214" i="1"/>
  <c r="K1214" i="1" s="1"/>
  <c r="L1214" i="1" s="1"/>
  <c r="J1213" i="1"/>
  <c r="I1213" i="1"/>
  <c r="K1213" i="1" s="1"/>
  <c r="L1213" i="1" s="1"/>
  <c r="J1212" i="1"/>
  <c r="I1212" i="1"/>
  <c r="K1212" i="1" s="1"/>
  <c r="L1212" i="1" s="1"/>
  <c r="L1211" i="1"/>
  <c r="L1210" i="1"/>
  <c r="L1209" i="1"/>
  <c r="L1208" i="1"/>
  <c r="L1207" i="1"/>
  <c r="L1206" i="1"/>
  <c r="L1205" i="1"/>
  <c r="J1204" i="1"/>
  <c r="I1204" i="1"/>
  <c r="K1204" i="1" s="1"/>
  <c r="L1204" i="1" s="1"/>
  <c r="J1203" i="1"/>
  <c r="I1203" i="1"/>
  <c r="K1203" i="1" s="1"/>
  <c r="L1203" i="1" s="1"/>
  <c r="L1202" i="1"/>
  <c r="L1201" i="1"/>
  <c r="J1200" i="1"/>
  <c r="I1200" i="1"/>
  <c r="K1200" i="1" s="1"/>
  <c r="L1200" i="1" s="1"/>
  <c r="J1199" i="1"/>
  <c r="I1199" i="1"/>
  <c r="K1199" i="1" s="1"/>
  <c r="L1199" i="1" s="1"/>
  <c r="L1198" i="1"/>
  <c r="J1197" i="1"/>
  <c r="I1197" i="1"/>
  <c r="K1197" i="1" s="1"/>
  <c r="L1197" i="1" s="1"/>
  <c r="J1196" i="1"/>
  <c r="I1196" i="1"/>
  <c r="K1196" i="1" s="1"/>
  <c r="L1196" i="1" s="1"/>
  <c r="L1195" i="1"/>
  <c r="J1194" i="1"/>
  <c r="I1194" i="1"/>
  <c r="K1194" i="1" s="1"/>
  <c r="L1194" i="1" s="1"/>
  <c r="J1193" i="1"/>
  <c r="I1193" i="1"/>
  <c r="K1193" i="1" s="1"/>
  <c r="L1193" i="1" s="1"/>
  <c r="L1192" i="1"/>
  <c r="J1191" i="1"/>
  <c r="I1191" i="1"/>
  <c r="K1191" i="1" s="1"/>
  <c r="L1191" i="1" s="1"/>
  <c r="L1190" i="1"/>
  <c r="J1189" i="1"/>
  <c r="I1189" i="1"/>
  <c r="K1189" i="1" s="1"/>
  <c r="L1189" i="1" s="1"/>
  <c r="J1188" i="1"/>
  <c r="I1188" i="1"/>
  <c r="K1188" i="1" s="1"/>
  <c r="L1188" i="1" s="1"/>
  <c r="J1187" i="1"/>
  <c r="I1187" i="1"/>
  <c r="K1187" i="1" s="1"/>
  <c r="L1187" i="1" s="1"/>
  <c r="L1186" i="1"/>
  <c r="J1185" i="1"/>
  <c r="I1185" i="1"/>
  <c r="K1185" i="1" s="1"/>
  <c r="L1185" i="1" s="1"/>
  <c r="J1184" i="1"/>
  <c r="I1184" i="1"/>
  <c r="K1184" i="1" s="1"/>
  <c r="L1184" i="1" s="1"/>
  <c r="L1183" i="1"/>
  <c r="L1182" i="1"/>
  <c r="J1181" i="1"/>
  <c r="I1181" i="1"/>
  <c r="K1181" i="1" s="1"/>
  <c r="L1181" i="1" s="1"/>
  <c r="L1180" i="1"/>
  <c r="J1179" i="1"/>
  <c r="I1179" i="1"/>
  <c r="K1179" i="1" s="1"/>
  <c r="L1179" i="1" s="1"/>
  <c r="J1178" i="1"/>
  <c r="I1178" i="1"/>
  <c r="K1178" i="1" s="1"/>
  <c r="L1178" i="1" s="1"/>
  <c r="L1177" i="1"/>
  <c r="J1176" i="1"/>
  <c r="I1176" i="1"/>
  <c r="K1176" i="1" s="1"/>
  <c r="L1176" i="1" s="1"/>
  <c r="J1175" i="1"/>
  <c r="I1175" i="1"/>
  <c r="K1175" i="1" s="1"/>
  <c r="L1175" i="1" s="1"/>
  <c r="J1174" i="1"/>
  <c r="I1174" i="1"/>
  <c r="K1174" i="1" s="1"/>
  <c r="L1174" i="1" s="1"/>
  <c r="J1173" i="1"/>
  <c r="I1173" i="1"/>
  <c r="K1173" i="1" s="1"/>
  <c r="L1173" i="1" s="1"/>
  <c r="J1172" i="1"/>
  <c r="I1172" i="1"/>
  <c r="K1172" i="1" s="1"/>
  <c r="L1172" i="1" s="1"/>
  <c r="L1171" i="1"/>
  <c r="J1170" i="1"/>
  <c r="I1170" i="1"/>
  <c r="K1170" i="1" s="1"/>
  <c r="L1170" i="1" s="1"/>
  <c r="J1169" i="1"/>
  <c r="I1169" i="1"/>
  <c r="K1169" i="1" s="1"/>
  <c r="L1169" i="1" s="1"/>
  <c r="J1168" i="1"/>
  <c r="I1168" i="1"/>
  <c r="K1168" i="1" s="1"/>
  <c r="L1168" i="1" s="1"/>
  <c r="L1167" i="1"/>
  <c r="L1166" i="1"/>
  <c r="L1165" i="1"/>
  <c r="L1164" i="1"/>
  <c r="L1163" i="1"/>
  <c r="J1162" i="1"/>
  <c r="I1162" i="1"/>
  <c r="K1162" i="1" s="1"/>
  <c r="L1162" i="1" s="1"/>
  <c r="L1161" i="1"/>
  <c r="L1160" i="1"/>
  <c r="J1159" i="1"/>
  <c r="I1159" i="1"/>
  <c r="K1159" i="1" s="1"/>
  <c r="L1159" i="1" s="1"/>
  <c r="L1158" i="1"/>
  <c r="J1157" i="1"/>
  <c r="I1157" i="1"/>
  <c r="K1157" i="1" s="1"/>
  <c r="L1157" i="1" s="1"/>
  <c r="J1156" i="1"/>
  <c r="I1156" i="1"/>
  <c r="K1156" i="1" s="1"/>
  <c r="L1156" i="1" s="1"/>
  <c r="J1155" i="1"/>
  <c r="I1155" i="1"/>
  <c r="K1155" i="1" s="1"/>
  <c r="L1155" i="1" s="1"/>
  <c r="L1154" i="1"/>
  <c r="J1153" i="1"/>
  <c r="I1153" i="1"/>
  <c r="K1153" i="1" s="1"/>
  <c r="L1153" i="1" s="1"/>
  <c r="J1152" i="1"/>
  <c r="I1152" i="1"/>
  <c r="K1152" i="1" s="1"/>
  <c r="L1152" i="1" s="1"/>
  <c r="L1151" i="1"/>
  <c r="J1150" i="1"/>
  <c r="I1150" i="1"/>
  <c r="K1150" i="1" s="1"/>
  <c r="L1150" i="1" s="1"/>
  <c r="J1149" i="1"/>
  <c r="I1149" i="1"/>
  <c r="K1149" i="1" s="1"/>
  <c r="L1149" i="1" s="1"/>
  <c r="L1148" i="1"/>
  <c r="J1147" i="1"/>
  <c r="I1147" i="1"/>
  <c r="K1147" i="1" s="1"/>
  <c r="L1147" i="1" s="1"/>
  <c r="J1146" i="1"/>
  <c r="I1146" i="1"/>
  <c r="K1146" i="1" s="1"/>
  <c r="L1146" i="1" s="1"/>
  <c r="J1145" i="1"/>
  <c r="I1145" i="1"/>
  <c r="K1145" i="1" s="1"/>
  <c r="L1145" i="1" s="1"/>
  <c r="J1144" i="1"/>
  <c r="I1144" i="1"/>
  <c r="K1144" i="1" s="1"/>
  <c r="L1144" i="1" s="1"/>
  <c r="L1143" i="1"/>
  <c r="J1142" i="1"/>
  <c r="I1142" i="1"/>
  <c r="K1142" i="1" s="1"/>
  <c r="L1142" i="1" s="1"/>
  <c r="J1141" i="1"/>
  <c r="I1141" i="1"/>
  <c r="K1141" i="1" s="1"/>
  <c r="L1141" i="1" s="1"/>
  <c r="J1140" i="1"/>
  <c r="I1140" i="1"/>
  <c r="K1140" i="1" s="1"/>
  <c r="L1140" i="1" s="1"/>
  <c r="L1139" i="1"/>
  <c r="L1138" i="1"/>
  <c r="J1137" i="1"/>
  <c r="I1137" i="1"/>
  <c r="K1137" i="1" s="1"/>
  <c r="L1137" i="1" s="1"/>
  <c r="L1136" i="1"/>
  <c r="J1135" i="1"/>
  <c r="I1135" i="1"/>
  <c r="K1135" i="1" s="1"/>
  <c r="L1135" i="1" s="1"/>
  <c r="J1134" i="1"/>
  <c r="I1134" i="1"/>
  <c r="K1134" i="1" s="1"/>
  <c r="L1134" i="1" s="1"/>
  <c r="L1133" i="1"/>
  <c r="J1132" i="1"/>
  <c r="I1132" i="1"/>
  <c r="K1132" i="1" s="1"/>
  <c r="L1132" i="1" s="1"/>
  <c r="J1131" i="1"/>
  <c r="I1131" i="1"/>
  <c r="K1131" i="1" s="1"/>
  <c r="L1131" i="1" s="1"/>
  <c r="J1130" i="1"/>
  <c r="I1130" i="1"/>
  <c r="K1130" i="1" s="1"/>
  <c r="L1130" i="1" s="1"/>
  <c r="J1129" i="1"/>
  <c r="I1129" i="1"/>
  <c r="K1129" i="1" s="1"/>
  <c r="L1129" i="1" s="1"/>
  <c r="J1128" i="1"/>
  <c r="I1128" i="1"/>
  <c r="K1128" i="1" s="1"/>
  <c r="L1128" i="1" s="1"/>
  <c r="L1127" i="1"/>
  <c r="J1126" i="1"/>
  <c r="I1126" i="1"/>
  <c r="K1126" i="1" s="1"/>
  <c r="L1126" i="1" s="1"/>
  <c r="J1125" i="1"/>
  <c r="I1125" i="1"/>
  <c r="K1125" i="1" s="1"/>
  <c r="L1125" i="1" s="1"/>
  <c r="J1124" i="1"/>
  <c r="I1124" i="1"/>
  <c r="K1124" i="1" s="1"/>
  <c r="L1124" i="1" s="1"/>
  <c r="L1123" i="1"/>
  <c r="L1122" i="1"/>
  <c r="L1121" i="1"/>
  <c r="L1120" i="1"/>
  <c r="L1119" i="1"/>
  <c r="L1118" i="1"/>
  <c r="L1117" i="1"/>
  <c r="L1116" i="1"/>
  <c r="J1115" i="1"/>
  <c r="I1115" i="1"/>
  <c r="K1115" i="1" s="1"/>
  <c r="L1115" i="1" s="1"/>
  <c r="L1114" i="1"/>
  <c r="J1113" i="1"/>
  <c r="I1113" i="1"/>
  <c r="K1113" i="1" s="1"/>
  <c r="L1113" i="1" s="1"/>
  <c r="J1112" i="1"/>
  <c r="I1112" i="1"/>
  <c r="K1112" i="1" s="1"/>
  <c r="L1112" i="1" s="1"/>
  <c r="J1111" i="1"/>
  <c r="I1111" i="1"/>
  <c r="K1111" i="1" s="1"/>
  <c r="L1111" i="1" s="1"/>
  <c r="L1110" i="1"/>
  <c r="J1109" i="1"/>
  <c r="I1109" i="1"/>
  <c r="K1109" i="1" s="1"/>
  <c r="L1109" i="1" s="1"/>
  <c r="J1108" i="1"/>
  <c r="I1108" i="1"/>
  <c r="K1108" i="1" s="1"/>
  <c r="L1108" i="1" s="1"/>
  <c r="L1107" i="1"/>
  <c r="J1106" i="1"/>
  <c r="I1106" i="1"/>
  <c r="K1106" i="1" s="1"/>
  <c r="L1106" i="1" s="1"/>
  <c r="J1105" i="1"/>
  <c r="I1105" i="1"/>
  <c r="K1105" i="1" s="1"/>
  <c r="L1105" i="1" s="1"/>
  <c r="L1104" i="1"/>
  <c r="J1103" i="1"/>
  <c r="I1103" i="1"/>
  <c r="K1103" i="1" s="1"/>
  <c r="L1103" i="1" s="1"/>
  <c r="J1102" i="1"/>
  <c r="I1102" i="1"/>
  <c r="K1102" i="1" s="1"/>
  <c r="L1102" i="1" s="1"/>
  <c r="J1101" i="1"/>
  <c r="I1101" i="1"/>
  <c r="K1101" i="1" s="1"/>
  <c r="L1101" i="1" s="1"/>
  <c r="J1100" i="1"/>
  <c r="I1100" i="1"/>
  <c r="K1100" i="1" s="1"/>
  <c r="L1100" i="1" s="1"/>
  <c r="J1099" i="1"/>
  <c r="I1099" i="1"/>
  <c r="K1099" i="1" s="1"/>
  <c r="L1099" i="1" s="1"/>
  <c r="J1098" i="1"/>
  <c r="I1098" i="1"/>
  <c r="K1098" i="1" s="1"/>
  <c r="L1098" i="1" s="1"/>
  <c r="J1097" i="1"/>
  <c r="I1097" i="1"/>
  <c r="K1097" i="1" s="1"/>
  <c r="L1097" i="1" s="1"/>
  <c r="J1096" i="1"/>
  <c r="I1096" i="1"/>
  <c r="K1096" i="1" s="1"/>
  <c r="L1096" i="1" s="1"/>
  <c r="L1095" i="1"/>
  <c r="L1094" i="1"/>
  <c r="J1093" i="1"/>
  <c r="I1093" i="1"/>
  <c r="K1093" i="1" s="1"/>
  <c r="L1093" i="1" s="1"/>
  <c r="L1092" i="1"/>
  <c r="J1091" i="1"/>
  <c r="I1091" i="1"/>
  <c r="K1091" i="1" s="1"/>
  <c r="L1091" i="1" s="1"/>
  <c r="J1090" i="1"/>
  <c r="I1090" i="1"/>
  <c r="K1090" i="1" s="1"/>
  <c r="L1090" i="1" s="1"/>
  <c r="L1089" i="1"/>
  <c r="J1088" i="1"/>
  <c r="I1088" i="1"/>
  <c r="K1088" i="1" s="1"/>
  <c r="L1088" i="1" s="1"/>
  <c r="J1087" i="1"/>
  <c r="I1087" i="1"/>
  <c r="K1087" i="1" s="1"/>
  <c r="L1087" i="1" s="1"/>
  <c r="L1086" i="1"/>
  <c r="J1085" i="1"/>
  <c r="I1085" i="1"/>
  <c r="K1085" i="1" s="1"/>
  <c r="L1085" i="1" s="1"/>
  <c r="J1084" i="1"/>
  <c r="I1084" i="1"/>
  <c r="K1084" i="1" s="1"/>
  <c r="L1084" i="1" s="1"/>
  <c r="L1083" i="1"/>
  <c r="J1082" i="1"/>
  <c r="I1082" i="1"/>
  <c r="K1082" i="1" s="1"/>
  <c r="L1082" i="1" s="1"/>
  <c r="J1081" i="1"/>
  <c r="I1081" i="1"/>
  <c r="K1081" i="1" s="1"/>
  <c r="L1081" i="1" s="1"/>
  <c r="J1080" i="1"/>
  <c r="I1080" i="1"/>
  <c r="K1080" i="1" s="1"/>
  <c r="L1080" i="1" s="1"/>
  <c r="L1079" i="1"/>
  <c r="L1078" i="1"/>
  <c r="L1077" i="1"/>
  <c r="L1076" i="1"/>
  <c r="L1075" i="1"/>
  <c r="L1074" i="1"/>
  <c r="L1073" i="1"/>
  <c r="L1072" i="1"/>
  <c r="J1071" i="1"/>
  <c r="I1071" i="1"/>
  <c r="K1071" i="1" s="1"/>
  <c r="L1071" i="1" s="1"/>
  <c r="L1070" i="1"/>
  <c r="J1069" i="1"/>
  <c r="I1069" i="1"/>
  <c r="K1069" i="1" s="1"/>
  <c r="L1069" i="1" s="1"/>
  <c r="J1068" i="1"/>
  <c r="I1068" i="1"/>
  <c r="K1068" i="1" s="1"/>
  <c r="L1068" i="1" s="1"/>
  <c r="J1067" i="1"/>
  <c r="I1067" i="1"/>
  <c r="K1067" i="1" s="1"/>
  <c r="L1067" i="1" s="1"/>
  <c r="L1066" i="1"/>
  <c r="J1065" i="1"/>
  <c r="I1065" i="1"/>
  <c r="K1065" i="1" s="1"/>
  <c r="L1065" i="1" s="1"/>
  <c r="J1064" i="1"/>
  <c r="I1064" i="1"/>
  <c r="K1064" i="1" s="1"/>
  <c r="L1064" i="1" s="1"/>
  <c r="L1063" i="1"/>
  <c r="J1062" i="1"/>
  <c r="I1062" i="1"/>
  <c r="K1062" i="1" s="1"/>
  <c r="L1062" i="1" s="1"/>
  <c r="J1061" i="1"/>
  <c r="I1061" i="1"/>
  <c r="K1061" i="1" s="1"/>
  <c r="L1061" i="1" s="1"/>
  <c r="L1060" i="1"/>
  <c r="J1059" i="1"/>
  <c r="I1059" i="1"/>
  <c r="K1059" i="1" s="1"/>
  <c r="L1059" i="1" s="1"/>
  <c r="J1058" i="1"/>
  <c r="I1058" i="1"/>
  <c r="K1058" i="1" s="1"/>
  <c r="L1058" i="1" s="1"/>
  <c r="J1057" i="1"/>
  <c r="I1057" i="1"/>
  <c r="K1057" i="1" s="1"/>
  <c r="L1057" i="1" s="1"/>
  <c r="J1056" i="1"/>
  <c r="I1056" i="1"/>
  <c r="K1056" i="1" s="1"/>
  <c r="L1056" i="1" s="1"/>
  <c r="J1055" i="1"/>
  <c r="I1055" i="1"/>
  <c r="K1055" i="1" s="1"/>
  <c r="L1055" i="1" s="1"/>
  <c r="J1054" i="1"/>
  <c r="I1054" i="1"/>
  <c r="K1054" i="1" s="1"/>
  <c r="L1054" i="1" s="1"/>
  <c r="J1053" i="1"/>
  <c r="I1053" i="1"/>
  <c r="K1053" i="1" s="1"/>
  <c r="L1053" i="1" s="1"/>
  <c r="J1052" i="1"/>
  <c r="I1052" i="1"/>
  <c r="L1051" i="1"/>
  <c r="L1050" i="1"/>
  <c r="J1049" i="1"/>
  <c r="I1049" i="1"/>
  <c r="L1048" i="1"/>
  <c r="J1047" i="1"/>
  <c r="I1047" i="1"/>
  <c r="J1046" i="1"/>
  <c r="I1046" i="1"/>
  <c r="L1045" i="1"/>
  <c r="J1044" i="1"/>
  <c r="I1044" i="1"/>
  <c r="J1043" i="1"/>
  <c r="I1043" i="1"/>
  <c r="J1042" i="1"/>
  <c r="I1042" i="1"/>
  <c r="J1041" i="1"/>
  <c r="I1041" i="1"/>
  <c r="J1040" i="1"/>
  <c r="I1040" i="1"/>
  <c r="L1039" i="1"/>
  <c r="J1038" i="1"/>
  <c r="I1038" i="1"/>
  <c r="J1037" i="1"/>
  <c r="I1037" i="1"/>
  <c r="J1036" i="1"/>
  <c r="I1036" i="1"/>
  <c r="L1035" i="1"/>
  <c r="L1034" i="1"/>
  <c r="L1033" i="1"/>
  <c r="L1032" i="1"/>
  <c r="L1031" i="1"/>
  <c r="J1030" i="1"/>
  <c r="I1030" i="1"/>
  <c r="L1029" i="1"/>
  <c r="L1028" i="1"/>
  <c r="J1027" i="1"/>
  <c r="I1027" i="1"/>
  <c r="L1026" i="1"/>
  <c r="J1025" i="1"/>
  <c r="I1025" i="1"/>
  <c r="J1024" i="1"/>
  <c r="I1024" i="1"/>
  <c r="J1023" i="1"/>
  <c r="I1023" i="1"/>
  <c r="L1022" i="1"/>
  <c r="J1021" i="1"/>
  <c r="I1021" i="1"/>
  <c r="J1020" i="1"/>
  <c r="I1020" i="1"/>
  <c r="L1019" i="1"/>
  <c r="J1018" i="1"/>
  <c r="I1018" i="1"/>
  <c r="J1017" i="1"/>
  <c r="I1017" i="1"/>
  <c r="L1016" i="1"/>
  <c r="J1015" i="1"/>
  <c r="I1015" i="1"/>
  <c r="J1014" i="1"/>
  <c r="I1014" i="1"/>
  <c r="J1013" i="1"/>
  <c r="I1013" i="1"/>
  <c r="J1012" i="1"/>
  <c r="I1012" i="1"/>
  <c r="J1011" i="1"/>
  <c r="I1011" i="1"/>
  <c r="J1010" i="1"/>
  <c r="I1010" i="1"/>
  <c r="J1009" i="1"/>
  <c r="I1009" i="1"/>
  <c r="J1008" i="1"/>
  <c r="I1008" i="1"/>
  <c r="L1007" i="1"/>
  <c r="L1006" i="1"/>
  <c r="J1005" i="1"/>
  <c r="I1005" i="1"/>
  <c r="L1004" i="1"/>
  <c r="J1003" i="1"/>
  <c r="I1003" i="1"/>
  <c r="J1002" i="1"/>
  <c r="I1002" i="1"/>
  <c r="K1002" i="1" s="1"/>
  <c r="L1002" i="1" s="1"/>
  <c r="L1001" i="1"/>
  <c r="J1000" i="1"/>
  <c r="I1000" i="1"/>
  <c r="J999" i="1"/>
  <c r="I999" i="1"/>
  <c r="J998" i="1"/>
  <c r="I998" i="1"/>
  <c r="J997" i="1"/>
  <c r="I997" i="1"/>
  <c r="J996" i="1"/>
  <c r="I996" i="1"/>
  <c r="L995" i="1"/>
  <c r="J994" i="1"/>
  <c r="I994" i="1"/>
  <c r="J993" i="1"/>
  <c r="I993" i="1"/>
  <c r="J992" i="1"/>
  <c r="I992" i="1"/>
  <c r="L991" i="1"/>
  <c r="L990" i="1"/>
  <c r="L989" i="1"/>
  <c r="L988" i="1"/>
  <c r="L987" i="1"/>
  <c r="L986" i="1"/>
  <c r="L985" i="1"/>
  <c r="L984" i="1"/>
  <c r="J983" i="1"/>
  <c r="I983" i="1"/>
  <c r="L982" i="1"/>
  <c r="J981" i="1"/>
  <c r="I981" i="1"/>
  <c r="J980" i="1"/>
  <c r="I980" i="1"/>
  <c r="J979" i="1"/>
  <c r="I979" i="1"/>
  <c r="L978" i="1"/>
  <c r="J977" i="1"/>
  <c r="I977" i="1"/>
  <c r="J976" i="1"/>
  <c r="I976" i="1"/>
  <c r="L975" i="1"/>
  <c r="J974" i="1"/>
  <c r="I974" i="1"/>
  <c r="J973" i="1"/>
  <c r="I973" i="1"/>
  <c r="L972" i="1"/>
  <c r="J971" i="1"/>
  <c r="I971" i="1"/>
  <c r="J970" i="1"/>
  <c r="I970" i="1"/>
  <c r="J969" i="1"/>
  <c r="I969" i="1"/>
  <c r="J968" i="1"/>
  <c r="I968" i="1"/>
  <c r="J967" i="1"/>
  <c r="I967" i="1"/>
  <c r="J966" i="1"/>
  <c r="I966" i="1"/>
  <c r="J965" i="1"/>
  <c r="I965" i="1"/>
  <c r="J964" i="1"/>
  <c r="I964" i="1"/>
  <c r="L963" i="1"/>
  <c r="L962" i="1"/>
  <c r="J961" i="1"/>
  <c r="I961" i="1"/>
  <c r="L960" i="1"/>
  <c r="J959" i="1"/>
  <c r="I959" i="1"/>
  <c r="J958" i="1"/>
  <c r="I958" i="1"/>
  <c r="L957" i="1"/>
  <c r="J956" i="1"/>
  <c r="I956" i="1"/>
  <c r="J955" i="1"/>
  <c r="I955" i="1"/>
  <c r="J954" i="1"/>
  <c r="I954" i="1"/>
  <c r="J953" i="1"/>
  <c r="I953" i="1"/>
  <c r="J952" i="1"/>
  <c r="I952" i="1"/>
  <c r="L951" i="1"/>
  <c r="J950" i="1"/>
  <c r="I950" i="1"/>
  <c r="J949" i="1"/>
  <c r="I949" i="1"/>
  <c r="J948" i="1"/>
  <c r="I948" i="1"/>
  <c r="L947" i="1"/>
  <c r="L946" i="1"/>
  <c r="L945" i="1"/>
  <c r="L944" i="1"/>
  <c r="L943" i="1"/>
  <c r="L942" i="1"/>
  <c r="L941" i="1"/>
  <c r="L940" i="1"/>
  <c r="J939" i="1"/>
  <c r="I939" i="1"/>
  <c r="L938" i="1"/>
  <c r="J937" i="1"/>
  <c r="I937" i="1"/>
  <c r="J936" i="1"/>
  <c r="I936" i="1"/>
  <c r="J935" i="1"/>
  <c r="I935" i="1"/>
  <c r="L934" i="1"/>
  <c r="J933" i="1"/>
  <c r="I933" i="1"/>
  <c r="J932" i="1"/>
  <c r="I932" i="1"/>
  <c r="L931" i="1"/>
  <c r="J930" i="1"/>
  <c r="I930" i="1"/>
  <c r="J929" i="1"/>
  <c r="I929" i="1"/>
  <c r="L928" i="1"/>
  <c r="J927" i="1"/>
  <c r="I927" i="1"/>
  <c r="J926" i="1"/>
  <c r="I926" i="1"/>
  <c r="J925" i="1"/>
  <c r="I925" i="1"/>
  <c r="J924" i="1"/>
  <c r="I924" i="1"/>
  <c r="J923" i="1"/>
  <c r="I923" i="1"/>
  <c r="J922" i="1"/>
  <c r="I922" i="1"/>
  <c r="J921" i="1"/>
  <c r="I921" i="1"/>
  <c r="J920" i="1"/>
  <c r="I920" i="1"/>
  <c r="L919" i="1"/>
  <c r="L918" i="1"/>
  <c r="J917" i="1"/>
  <c r="I917" i="1"/>
  <c r="L916" i="1"/>
  <c r="J915" i="1"/>
  <c r="I915" i="1"/>
  <c r="J914" i="1"/>
  <c r="I914" i="1"/>
  <c r="L913" i="1"/>
  <c r="J912" i="1"/>
  <c r="I912" i="1"/>
  <c r="J911" i="1"/>
  <c r="I911" i="1"/>
  <c r="J910" i="1"/>
  <c r="I910" i="1"/>
  <c r="J909" i="1"/>
  <c r="I909" i="1"/>
  <c r="J908" i="1"/>
  <c r="I908" i="1"/>
  <c r="L907" i="1"/>
  <c r="J906" i="1"/>
  <c r="I906" i="1"/>
  <c r="J905" i="1"/>
  <c r="I905" i="1"/>
  <c r="J904" i="1"/>
  <c r="I904" i="1"/>
  <c r="L903" i="1"/>
  <c r="L902" i="1"/>
  <c r="L901" i="1"/>
  <c r="L900" i="1"/>
  <c r="L899" i="1"/>
  <c r="L898" i="1"/>
  <c r="L897" i="1"/>
  <c r="L896" i="1"/>
  <c r="J895" i="1"/>
  <c r="I895" i="1"/>
  <c r="L894" i="1"/>
  <c r="J893" i="1"/>
  <c r="I893" i="1"/>
  <c r="J892" i="1"/>
  <c r="I892" i="1"/>
  <c r="J891" i="1"/>
  <c r="I891" i="1"/>
  <c r="L890" i="1"/>
  <c r="J889" i="1"/>
  <c r="I889" i="1"/>
  <c r="J888" i="1"/>
  <c r="I888" i="1"/>
  <c r="L887" i="1"/>
  <c r="L886" i="1"/>
  <c r="J885" i="1"/>
  <c r="I885" i="1"/>
  <c r="L884" i="1"/>
  <c r="J883" i="1"/>
  <c r="I883" i="1"/>
  <c r="J882" i="1"/>
  <c r="I882" i="1"/>
  <c r="J881" i="1"/>
  <c r="I881" i="1"/>
  <c r="J880" i="1"/>
  <c r="I880" i="1"/>
  <c r="J879" i="1"/>
  <c r="I879" i="1"/>
  <c r="J878" i="1"/>
  <c r="I878" i="1"/>
  <c r="J877" i="1"/>
  <c r="I877" i="1"/>
  <c r="J876" i="1"/>
  <c r="I876" i="1"/>
  <c r="L875" i="1"/>
  <c r="L874" i="1"/>
  <c r="J873" i="1"/>
  <c r="I873" i="1"/>
  <c r="L872" i="1"/>
  <c r="J871" i="1"/>
  <c r="I871" i="1"/>
  <c r="J870" i="1"/>
  <c r="I870" i="1"/>
  <c r="L869" i="1"/>
  <c r="J868" i="1"/>
  <c r="I868" i="1"/>
  <c r="J867" i="1"/>
  <c r="I867" i="1"/>
  <c r="J866" i="1"/>
  <c r="I866" i="1"/>
  <c r="J865" i="1"/>
  <c r="I865" i="1"/>
  <c r="J864" i="1"/>
  <c r="I864" i="1"/>
  <c r="L863" i="1"/>
  <c r="J862" i="1"/>
  <c r="I862" i="1"/>
  <c r="J861" i="1"/>
  <c r="I861" i="1"/>
  <c r="J860" i="1"/>
  <c r="I860" i="1"/>
  <c r="L859" i="1"/>
  <c r="L858" i="1"/>
  <c r="L857" i="1"/>
  <c r="L856" i="1"/>
  <c r="L855" i="1"/>
  <c r="L854" i="1"/>
  <c r="L853" i="1"/>
  <c r="L852" i="1"/>
  <c r="J851" i="1"/>
  <c r="I851" i="1"/>
  <c r="L850" i="1"/>
  <c r="J849" i="1"/>
  <c r="I849" i="1"/>
  <c r="J848" i="1"/>
  <c r="I848" i="1"/>
  <c r="J847" i="1"/>
  <c r="I847" i="1"/>
  <c r="L846" i="1"/>
  <c r="J845" i="1"/>
  <c r="I845" i="1"/>
  <c r="J844" i="1"/>
  <c r="I844" i="1"/>
  <c r="L843" i="1"/>
  <c r="L842" i="1"/>
  <c r="J841" i="1"/>
  <c r="I841" i="1"/>
  <c r="L840" i="1"/>
  <c r="J839" i="1"/>
  <c r="I839" i="1"/>
  <c r="J838" i="1"/>
  <c r="I838" i="1"/>
  <c r="J837" i="1"/>
  <c r="I837" i="1"/>
  <c r="J836" i="1"/>
  <c r="I836" i="1"/>
  <c r="J835" i="1"/>
  <c r="I835" i="1"/>
  <c r="J834" i="1"/>
  <c r="I834" i="1"/>
  <c r="J833" i="1"/>
  <c r="I833" i="1"/>
  <c r="J832" i="1"/>
  <c r="I832" i="1"/>
  <c r="L831" i="1"/>
  <c r="L830" i="1"/>
  <c r="J829" i="1"/>
  <c r="I829" i="1"/>
  <c r="L828" i="1"/>
  <c r="J827" i="1"/>
  <c r="I827" i="1"/>
  <c r="J826" i="1"/>
  <c r="I826" i="1"/>
  <c r="L825" i="1"/>
  <c r="J824" i="1"/>
  <c r="I824" i="1"/>
  <c r="J823" i="1"/>
  <c r="I823" i="1"/>
  <c r="J822" i="1"/>
  <c r="I822" i="1"/>
  <c r="J821" i="1"/>
  <c r="I821" i="1"/>
  <c r="J820" i="1"/>
  <c r="I820" i="1"/>
  <c r="L819" i="1"/>
  <c r="J818" i="1"/>
  <c r="I818" i="1"/>
  <c r="J817" i="1"/>
  <c r="I817" i="1"/>
  <c r="L816" i="1"/>
  <c r="L815" i="1"/>
  <c r="L814" i="1"/>
  <c r="L813" i="1"/>
  <c r="L812" i="1"/>
  <c r="L811" i="1"/>
  <c r="L810" i="1"/>
  <c r="L809" i="1"/>
  <c r="L808" i="1"/>
  <c r="L807" i="1"/>
  <c r="L806" i="1"/>
  <c r="L805" i="1"/>
  <c r="J804" i="1"/>
  <c r="I804" i="1"/>
  <c r="J803" i="1"/>
  <c r="I803" i="1"/>
  <c r="L802" i="1"/>
  <c r="J801" i="1"/>
  <c r="I801" i="1"/>
  <c r="L800" i="1"/>
  <c r="L799" i="1"/>
  <c r="L798" i="1"/>
  <c r="J797" i="1"/>
  <c r="I797" i="1"/>
  <c r="L796" i="1"/>
  <c r="J795" i="1"/>
  <c r="I795" i="1"/>
  <c r="J794" i="1"/>
  <c r="I794" i="1"/>
  <c r="J793" i="1"/>
  <c r="I793" i="1"/>
  <c r="J792" i="1"/>
  <c r="I792" i="1"/>
  <c r="J791" i="1"/>
  <c r="I791" i="1"/>
  <c r="J790" i="1"/>
  <c r="I790" i="1"/>
  <c r="J789" i="1"/>
  <c r="I789" i="1"/>
  <c r="J788" i="1"/>
  <c r="I788" i="1"/>
  <c r="L787" i="1"/>
  <c r="L786" i="1"/>
  <c r="J785" i="1"/>
  <c r="I785" i="1"/>
  <c r="L784" i="1"/>
  <c r="L783" i="1"/>
  <c r="L782" i="1"/>
  <c r="L781" i="1"/>
  <c r="J780" i="1"/>
  <c r="I780" i="1"/>
  <c r="J779" i="1"/>
  <c r="I779" i="1"/>
  <c r="L778" i="1"/>
  <c r="J777" i="1"/>
  <c r="I777" i="1"/>
  <c r="J776" i="1"/>
  <c r="I776" i="1"/>
  <c r="L775" i="1"/>
  <c r="J774" i="1"/>
  <c r="I774" i="1"/>
  <c r="J747" i="1"/>
  <c r="I747" i="1"/>
  <c r="J746" i="1"/>
  <c r="I746" i="1"/>
  <c r="J638" i="1"/>
  <c r="I638" i="1"/>
  <c r="J637" i="1"/>
  <c r="I637" i="1"/>
  <c r="L593" i="1"/>
  <c r="J592" i="1"/>
  <c r="I592" i="1"/>
  <c r="J548" i="1"/>
  <c r="I548" i="1"/>
  <c r="J547" i="1"/>
  <c r="I547" i="1"/>
  <c r="J504" i="1"/>
  <c r="I504" i="1"/>
  <c r="K504" i="1" s="1"/>
  <c r="L504" i="1" s="1"/>
  <c r="J503" i="1"/>
  <c r="I503" i="1"/>
  <c r="J478" i="1"/>
  <c r="I478" i="1"/>
  <c r="J456" i="1"/>
  <c r="I456" i="1"/>
  <c r="J430" i="1"/>
  <c r="I430" i="1"/>
  <c r="J412" i="1"/>
  <c r="I412" i="1"/>
  <c r="J369" i="1"/>
  <c r="I369" i="1"/>
  <c r="J325" i="1"/>
  <c r="I325" i="1"/>
  <c r="J282" i="1"/>
  <c r="I282" i="1"/>
  <c r="J306" i="1"/>
  <c r="I306" i="1"/>
  <c r="L272" i="1"/>
  <c r="L238" i="1"/>
  <c r="J243" i="1"/>
  <c r="I243" i="1"/>
  <c r="L406" i="1"/>
  <c r="L373" i="1"/>
  <c r="L339" i="1"/>
  <c r="L305" i="1"/>
  <c r="L271" i="1"/>
  <c r="L237" i="1"/>
  <c r="J230" i="1"/>
  <c r="I230" i="1"/>
  <c r="J229" i="1"/>
  <c r="I229" i="1"/>
  <c r="J228" i="1"/>
  <c r="I228" i="1"/>
  <c r="J227" i="1"/>
  <c r="I227" i="1"/>
  <c r="J226" i="1"/>
  <c r="I226" i="1"/>
  <c r="J225" i="1"/>
  <c r="I225" i="1"/>
  <c r="J224" i="1"/>
  <c r="I224" i="1"/>
  <c r="L223" i="1"/>
  <c r="J222" i="1"/>
  <c r="I222" i="1"/>
  <c r="J221" i="1"/>
  <c r="I221" i="1"/>
  <c r="J220" i="1"/>
  <c r="I220" i="1"/>
  <c r="J219" i="1"/>
  <c r="I219" i="1"/>
  <c r="J218" i="1"/>
  <c r="I218" i="1"/>
  <c r="J217" i="1"/>
  <c r="I217" i="1"/>
  <c r="J216" i="1"/>
  <c r="I216" i="1"/>
  <c r="L215" i="1"/>
  <c r="L214" i="1"/>
  <c r="L213" i="1"/>
  <c r="L212" i="1"/>
  <c r="L211" i="1"/>
  <c r="L210" i="1"/>
  <c r="J209" i="1"/>
  <c r="I209" i="1"/>
  <c r="J208" i="1"/>
  <c r="I208" i="1"/>
  <c r="J207" i="1"/>
  <c r="I207" i="1"/>
  <c r="J206" i="1"/>
  <c r="I206" i="1"/>
  <c r="J205" i="1"/>
  <c r="I205" i="1"/>
  <c r="J204" i="1"/>
  <c r="I204" i="1"/>
  <c r="J203" i="1"/>
  <c r="I203" i="1"/>
  <c r="J202" i="1"/>
  <c r="I202" i="1"/>
  <c r="J201" i="1"/>
  <c r="I201" i="1"/>
  <c r="J200" i="1"/>
  <c r="I200" i="1"/>
  <c r="J199" i="1"/>
  <c r="I199" i="1"/>
  <c r="J198" i="1"/>
  <c r="I198" i="1"/>
  <c r="J197" i="1"/>
  <c r="I197" i="1"/>
  <c r="J196" i="1"/>
  <c r="I196" i="1"/>
  <c r="J195" i="1"/>
  <c r="I195" i="1"/>
  <c r="J194" i="1"/>
  <c r="I194" i="1"/>
  <c r="J193" i="1"/>
  <c r="I193" i="1"/>
  <c r="J192" i="1"/>
  <c r="I192" i="1"/>
  <c r="J191" i="1"/>
  <c r="I191" i="1"/>
  <c r="J190" i="1"/>
  <c r="I190" i="1"/>
  <c r="J189" i="1"/>
  <c r="I189" i="1"/>
  <c r="J188" i="1"/>
  <c r="I188" i="1"/>
  <c r="J187" i="1"/>
  <c r="I187" i="1"/>
  <c r="J186" i="1"/>
  <c r="I186" i="1"/>
  <c r="J185" i="1"/>
  <c r="I185" i="1"/>
  <c r="J184" i="1"/>
  <c r="I184" i="1"/>
  <c r="J183" i="1"/>
  <c r="I183" i="1"/>
  <c r="J182" i="1"/>
  <c r="I182" i="1"/>
  <c r="J181" i="1"/>
  <c r="I181" i="1"/>
  <c r="J180" i="1"/>
  <c r="I180" i="1"/>
  <c r="J179" i="1"/>
  <c r="I179" i="1"/>
  <c r="J178" i="1"/>
  <c r="I178" i="1"/>
  <c r="J177" i="1"/>
  <c r="I177" i="1"/>
  <c r="J176" i="1"/>
  <c r="I176" i="1"/>
  <c r="J175" i="1"/>
  <c r="I175" i="1"/>
  <c r="J174" i="1"/>
  <c r="I174" i="1"/>
  <c r="J173" i="1"/>
  <c r="I173" i="1"/>
  <c r="J172" i="1"/>
  <c r="I172" i="1"/>
  <c r="J171" i="1"/>
  <c r="I171" i="1"/>
  <c r="J170" i="1"/>
  <c r="I170" i="1"/>
  <c r="J169" i="1"/>
  <c r="I169" i="1"/>
  <c r="J168" i="1"/>
  <c r="I168" i="1"/>
  <c r="J167" i="1"/>
  <c r="I167" i="1"/>
  <c r="J166" i="1"/>
  <c r="I166" i="1"/>
  <c r="J165" i="1"/>
  <c r="I165" i="1"/>
  <c r="L164" i="1"/>
  <c r="J163" i="1"/>
  <c r="I163" i="1"/>
  <c r="J162" i="1"/>
  <c r="I162" i="1"/>
  <c r="J161" i="1"/>
  <c r="I161" i="1"/>
  <c r="J160" i="1"/>
  <c r="I160" i="1"/>
  <c r="J159" i="1"/>
  <c r="I159" i="1"/>
  <c r="J158" i="1"/>
  <c r="I158" i="1"/>
  <c r="J157" i="1"/>
  <c r="I157" i="1"/>
  <c r="J156" i="1"/>
  <c r="I156" i="1"/>
  <c r="J155" i="1"/>
  <c r="I155" i="1"/>
  <c r="J154" i="1"/>
  <c r="I154" i="1"/>
  <c r="J153" i="1"/>
  <c r="I153" i="1"/>
  <c r="J152" i="1"/>
  <c r="I152" i="1"/>
  <c r="J151" i="1"/>
  <c r="I151" i="1"/>
  <c r="J150" i="1"/>
  <c r="I150" i="1"/>
  <c r="J149" i="1"/>
  <c r="I149" i="1"/>
  <c r="J148" i="1"/>
  <c r="I148" i="1"/>
  <c r="J147" i="1"/>
  <c r="I147" i="1"/>
  <c r="J146" i="1"/>
  <c r="I146" i="1"/>
  <c r="J145" i="1"/>
  <c r="I145" i="1"/>
  <c r="L144" i="1"/>
  <c r="J143" i="1"/>
  <c r="I143" i="1"/>
  <c r="J142" i="1"/>
  <c r="I142" i="1"/>
  <c r="J141" i="1"/>
  <c r="I141" i="1"/>
  <c r="J140" i="1"/>
  <c r="I140" i="1"/>
  <c r="L139" i="1"/>
  <c r="J138" i="1"/>
  <c r="I138" i="1"/>
  <c r="J137" i="1"/>
  <c r="I137" i="1"/>
  <c r="J136" i="1"/>
  <c r="I136" i="1"/>
  <c r="J135" i="1"/>
  <c r="I135" i="1"/>
  <c r="J134" i="1"/>
  <c r="I134" i="1"/>
  <c r="J133" i="1"/>
  <c r="I133" i="1"/>
  <c r="J132" i="1"/>
  <c r="I132" i="1"/>
  <c r="J131" i="1"/>
  <c r="I131" i="1"/>
  <c r="J130" i="1"/>
  <c r="I130" i="1"/>
  <c r="J129" i="1"/>
  <c r="I129" i="1"/>
  <c r="J128" i="1"/>
  <c r="I128" i="1"/>
  <c r="J127" i="1"/>
  <c r="I127" i="1"/>
  <c r="J120" i="1"/>
  <c r="I120" i="1"/>
  <c r="J119" i="1"/>
  <c r="I119" i="1"/>
  <c r="J118" i="1"/>
  <c r="I118" i="1"/>
  <c r="J117" i="1"/>
  <c r="I117" i="1"/>
  <c r="J116" i="1"/>
  <c r="I116" i="1"/>
  <c r="J115" i="1"/>
  <c r="I115" i="1"/>
  <c r="J114" i="1"/>
  <c r="I114" i="1"/>
  <c r="J113" i="1"/>
  <c r="I113" i="1"/>
  <c r="J112" i="1"/>
  <c r="I112" i="1"/>
  <c r="L111" i="1"/>
  <c r="J110" i="1"/>
  <c r="I110" i="1"/>
  <c r="J109" i="1"/>
  <c r="I109" i="1"/>
  <c r="J108" i="1"/>
  <c r="I108" i="1"/>
  <c r="J107" i="1"/>
  <c r="I107" i="1"/>
  <c r="J106" i="1"/>
  <c r="I106" i="1"/>
  <c r="J105" i="1"/>
  <c r="I105" i="1"/>
  <c r="J104" i="1"/>
  <c r="I104" i="1"/>
  <c r="J103" i="1"/>
  <c r="I103" i="1"/>
  <c r="J102" i="1"/>
  <c r="I102" i="1"/>
  <c r="J101" i="1"/>
  <c r="I101" i="1"/>
  <c r="L100" i="1"/>
  <c r="L99" i="1"/>
  <c r="J98" i="1"/>
  <c r="I98" i="1"/>
  <c r="J97" i="1"/>
  <c r="I97" i="1"/>
  <c r="J96" i="1"/>
  <c r="I96" i="1"/>
  <c r="J95" i="1"/>
  <c r="I95" i="1"/>
  <c r="J94" i="1"/>
  <c r="I94" i="1"/>
  <c r="L93" i="1"/>
  <c r="L92" i="1"/>
  <c r="L91" i="1"/>
  <c r="L90" i="1"/>
  <c r="L89" i="1"/>
  <c r="J88" i="1"/>
  <c r="I88" i="1"/>
  <c r="J87" i="1"/>
  <c r="I87" i="1"/>
  <c r="J86" i="1"/>
  <c r="I86" i="1"/>
  <c r="J85" i="1"/>
  <c r="I85" i="1"/>
  <c r="J84" i="1"/>
  <c r="I84" i="1"/>
  <c r="J83" i="1"/>
  <c r="I83" i="1"/>
  <c r="J82" i="1"/>
  <c r="I82" i="1"/>
  <c r="J81" i="1"/>
  <c r="I81" i="1"/>
  <c r="J80" i="1"/>
  <c r="I80" i="1"/>
  <c r="J79" i="1"/>
  <c r="I79" i="1"/>
  <c r="J78" i="1"/>
  <c r="I78" i="1"/>
  <c r="J77" i="1"/>
  <c r="I77" i="1"/>
  <c r="J76" i="1"/>
  <c r="I76" i="1"/>
  <c r="J75" i="1"/>
  <c r="I75" i="1"/>
  <c r="J74" i="1"/>
  <c r="I74" i="1"/>
  <c r="J73" i="1"/>
  <c r="I73" i="1"/>
  <c r="J72" i="1"/>
  <c r="I72" i="1"/>
  <c r="J71" i="1"/>
  <c r="I71" i="1"/>
  <c r="J70" i="1"/>
  <c r="I70" i="1"/>
  <c r="J69" i="1"/>
  <c r="I69" i="1"/>
  <c r="J68" i="1"/>
  <c r="I68" i="1"/>
  <c r="J67" i="1"/>
  <c r="I67" i="1"/>
  <c r="J66" i="1"/>
  <c r="I66" i="1"/>
  <c r="J65" i="1"/>
  <c r="I65" i="1"/>
  <c r="J64" i="1"/>
  <c r="I64" i="1"/>
  <c r="J63" i="1"/>
  <c r="I63" i="1"/>
  <c r="J62" i="1"/>
  <c r="I62" i="1"/>
  <c r="J61" i="1"/>
  <c r="I61" i="1"/>
  <c r="J60" i="1"/>
  <c r="I60" i="1"/>
  <c r="J59" i="1"/>
  <c r="I59" i="1"/>
  <c r="J58" i="1"/>
  <c r="I58" i="1"/>
  <c r="J57" i="1"/>
  <c r="I57" i="1"/>
  <c r="J56" i="1"/>
  <c r="I56" i="1"/>
  <c r="J55" i="1"/>
  <c r="I55" i="1"/>
  <c r="J54" i="1"/>
  <c r="I54" i="1"/>
  <c r="J53" i="1"/>
  <c r="I53" i="1"/>
  <c r="J52" i="1"/>
  <c r="I52" i="1"/>
  <c r="J51" i="1"/>
  <c r="I51" i="1"/>
  <c r="J50" i="1"/>
  <c r="I50" i="1"/>
  <c r="J49" i="1"/>
  <c r="I49" i="1"/>
  <c r="J48" i="1"/>
  <c r="I48" i="1"/>
  <c r="J47" i="1"/>
  <c r="I47" i="1"/>
  <c r="J46" i="1"/>
  <c r="I46" i="1"/>
  <c r="J45" i="1"/>
  <c r="I45" i="1"/>
  <c r="J44" i="1"/>
  <c r="I44" i="1"/>
  <c r="J43" i="1"/>
  <c r="I43" i="1"/>
  <c r="J42" i="1"/>
  <c r="I42" i="1"/>
  <c r="J41" i="1"/>
  <c r="I41" i="1"/>
  <c r="J40" i="1"/>
  <c r="I40" i="1"/>
  <c r="J39" i="1"/>
  <c r="I39" i="1"/>
  <c r="J38" i="1"/>
  <c r="I38" i="1"/>
  <c r="J37" i="1"/>
  <c r="I37" i="1"/>
  <c r="J36" i="1"/>
  <c r="I36" i="1"/>
  <c r="J35" i="1"/>
  <c r="I35" i="1"/>
  <c r="J34" i="1"/>
  <c r="I34" i="1"/>
  <c r="J33" i="1"/>
  <c r="I33" i="1"/>
  <c r="J32" i="1"/>
  <c r="I32" i="1"/>
  <c r="J31" i="1"/>
  <c r="I31" i="1"/>
  <c r="J30" i="1"/>
  <c r="I30" i="1"/>
  <c r="J29" i="1"/>
  <c r="I29" i="1"/>
  <c r="J28" i="1"/>
  <c r="I28" i="1"/>
  <c r="J27" i="1"/>
  <c r="I27" i="1"/>
  <c r="J26" i="1"/>
  <c r="I26" i="1"/>
  <c r="J25" i="1"/>
  <c r="I25" i="1"/>
  <c r="J24" i="1"/>
  <c r="I24" i="1"/>
  <c r="J23" i="1"/>
  <c r="I23" i="1"/>
  <c r="J22" i="1"/>
  <c r="I22" i="1"/>
  <c r="J21" i="1"/>
  <c r="I21" i="1"/>
  <c r="J20" i="1"/>
  <c r="I20" i="1"/>
  <c r="J19" i="1"/>
  <c r="I19" i="1"/>
  <c r="J18" i="1"/>
  <c r="I18" i="1"/>
  <c r="J17" i="1"/>
  <c r="I17" i="1"/>
  <c r="J16" i="1"/>
  <c r="I16" i="1"/>
  <c r="J15" i="1"/>
  <c r="I15" i="1"/>
  <c r="J14" i="1"/>
  <c r="I14" i="1"/>
  <c r="J13" i="1"/>
  <c r="I13" i="1"/>
  <c r="J12" i="1"/>
  <c r="I12" i="1"/>
  <c r="L11" i="1"/>
  <c r="J10" i="1"/>
  <c r="I10" i="1"/>
  <c r="J9" i="1"/>
  <c r="I9" i="1"/>
  <c r="J8" i="1"/>
  <c r="I8" i="1"/>
  <c r="J7" i="1"/>
  <c r="I7" i="1"/>
  <c r="J6" i="1"/>
  <c r="I6" i="1"/>
  <c r="J5" i="1"/>
  <c r="I5" i="1"/>
  <c r="J4" i="1"/>
  <c r="I4" i="1"/>
  <c r="J3" i="1"/>
  <c r="I3" i="1"/>
  <c r="J2" i="1"/>
  <c r="I2" i="1"/>
  <c r="K1771" i="1" l="1"/>
  <c r="L1771" i="1" s="1"/>
  <c r="K282" i="1"/>
  <c r="L282" i="1" s="1"/>
  <c r="K227" i="1"/>
  <c r="L227" i="1" s="1"/>
  <c r="K2865" i="1"/>
  <c r="L2865" i="1" s="1"/>
  <c r="K4104" i="1"/>
  <c r="L4104" i="1" s="1"/>
  <c r="K4105" i="1"/>
  <c r="L4105" i="1" s="1"/>
  <c r="K2866" i="1"/>
  <c r="L2866" i="1" s="1"/>
  <c r="K4286" i="1"/>
  <c r="L4286" i="1" s="1"/>
  <c r="K4287" i="1"/>
  <c r="L4287" i="1" s="1"/>
  <c r="K4288" i="1"/>
  <c r="L4288" i="1" s="1"/>
  <c r="K4285" i="1"/>
  <c r="L4285" i="1" s="1"/>
  <c r="K2867" i="1"/>
  <c r="L2867" i="1" s="1"/>
  <c r="K4107" i="1"/>
  <c r="L4107" i="1" s="1"/>
  <c r="K4106" i="1"/>
  <c r="L4106" i="1" s="1"/>
  <c r="K2868" i="1"/>
  <c r="L2868" i="1" s="1"/>
  <c r="K4282" i="1"/>
  <c r="L4282" i="1" s="1"/>
  <c r="K4281" i="1"/>
  <c r="L4281" i="1" s="1"/>
  <c r="K4284" i="1"/>
  <c r="L4284" i="1" s="1"/>
  <c r="K4283" i="1"/>
  <c r="L4283" i="1" s="1"/>
  <c r="K2869" i="1"/>
  <c r="L2869" i="1" s="1"/>
  <c r="K2871" i="1"/>
  <c r="L2871" i="1" s="1"/>
  <c r="K4108" i="1"/>
  <c r="L4108" i="1" s="1"/>
  <c r="K1773" i="1"/>
  <c r="L1773" i="1" s="1"/>
  <c r="K4109" i="1"/>
  <c r="L4109" i="1" s="1"/>
  <c r="K4114" i="1"/>
  <c r="L4114" i="1" s="1"/>
  <c r="K4111" i="1"/>
  <c r="L4111" i="1" s="1"/>
  <c r="K2872" i="1"/>
  <c r="L2872" i="1" s="1"/>
  <c r="K4112" i="1"/>
  <c r="L4112" i="1" s="1"/>
  <c r="K4113" i="1"/>
  <c r="L4113" i="1" s="1"/>
  <c r="K4110" i="1"/>
  <c r="L4110" i="1" s="1"/>
  <c r="K4132" i="1"/>
  <c r="L4132" i="1" s="1"/>
  <c r="K4129" i="1"/>
  <c r="L4129" i="1" s="1"/>
  <c r="K4125" i="1"/>
  <c r="L4125" i="1" s="1"/>
  <c r="K4122" i="1"/>
  <c r="L4122" i="1" s="1"/>
  <c r="K4118" i="1"/>
  <c r="L4118" i="1" s="1"/>
  <c r="K4131" i="1"/>
  <c r="L4131" i="1" s="1"/>
  <c r="K4126" i="1"/>
  <c r="L4126" i="1" s="1"/>
  <c r="K4123" i="1"/>
  <c r="L4123" i="1" s="1"/>
  <c r="K4120" i="1"/>
  <c r="L4120" i="1" s="1"/>
  <c r="K4115" i="1"/>
  <c r="L4115" i="1" s="1"/>
  <c r="K4127" i="1"/>
  <c r="L4127" i="1" s="1"/>
  <c r="K4124" i="1"/>
  <c r="L4124" i="1" s="1"/>
  <c r="K4121" i="1"/>
  <c r="L4121" i="1" s="1"/>
  <c r="K4116" i="1"/>
  <c r="L4116" i="1" s="1"/>
  <c r="K3320" i="1"/>
  <c r="L3320" i="1" s="1"/>
  <c r="K3315" i="1"/>
  <c r="L3315" i="1" s="1"/>
  <c r="K3293" i="1"/>
  <c r="L3293" i="1" s="1"/>
  <c r="K3360" i="1"/>
  <c r="L3360" i="1" s="1"/>
  <c r="K3352" i="1"/>
  <c r="L3352" i="1" s="1"/>
  <c r="K3344" i="1"/>
  <c r="L3344" i="1" s="1"/>
  <c r="K3335" i="1"/>
  <c r="L3335" i="1" s="1"/>
  <c r="K3329" i="1"/>
  <c r="L3329" i="1" s="1"/>
  <c r="K411" i="1"/>
  <c r="L411" i="1" s="1"/>
  <c r="K344" i="1"/>
  <c r="L344" i="1" s="1"/>
  <c r="K276" i="1"/>
  <c r="L276" i="1" s="1"/>
  <c r="K4487" i="1"/>
  <c r="L4487" i="1" s="1"/>
  <c r="K377" i="1"/>
  <c r="L377" i="1" s="1"/>
  <c r="K309" i="1"/>
  <c r="L309" i="1" s="1"/>
  <c r="K241" i="1"/>
  <c r="L241" i="1" s="1"/>
  <c r="K409" i="1"/>
  <c r="L409" i="1" s="1"/>
  <c r="K342" i="1"/>
  <c r="L342" i="1" s="1"/>
  <c r="K274" i="1"/>
  <c r="L274" i="1" s="1"/>
  <c r="K4485" i="1"/>
  <c r="L4485" i="1" s="1"/>
  <c r="K375" i="1"/>
  <c r="L375" i="1" s="1"/>
  <c r="K307" i="1"/>
  <c r="L307" i="1" s="1"/>
  <c r="K239" i="1"/>
  <c r="L239" i="1" s="1"/>
  <c r="K407" i="1"/>
  <c r="L407" i="1" s="1"/>
  <c r="K340" i="1"/>
  <c r="L340" i="1" s="1"/>
  <c r="K4336" i="1"/>
  <c r="L4336" i="1" s="1"/>
  <c r="K4334" i="1"/>
  <c r="L4334" i="1" s="1"/>
  <c r="K4332" i="1"/>
  <c r="L4332" i="1" s="1"/>
  <c r="K4330" i="1"/>
  <c r="L4330" i="1" s="1"/>
  <c r="K4327" i="1"/>
  <c r="L4327" i="1" s="1"/>
  <c r="K4324" i="1"/>
  <c r="L4324" i="1" s="1"/>
  <c r="K4320" i="1"/>
  <c r="L4320" i="1" s="1"/>
  <c r="K4317" i="1"/>
  <c r="L4317" i="1" s="1"/>
  <c r="K4314" i="1"/>
  <c r="L4314" i="1" s="1"/>
  <c r="K4312" i="1"/>
  <c r="L4312" i="1" s="1"/>
  <c r="K4309" i="1"/>
  <c r="L4309" i="1" s="1"/>
  <c r="K4307" i="1"/>
  <c r="L4307" i="1" s="1"/>
  <c r="K4303" i="1"/>
  <c r="L4303" i="1" s="1"/>
  <c r="K4301" i="1"/>
  <c r="L4301" i="1" s="1"/>
  <c r="K4299" i="1"/>
  <c r="L4299" i="1" s="1"/>
  <c r="K4297" i="1"/>
  <c r="L4297" i="1" s="1"/>
  <c r="K4294" i="1"/>
  <c r="L4294" i="1" s="1"/>
  <c r="K4292" i="1"/>
  <c r="L4292" i="1" s="1"/>
  <c r="K4290" i="1"/>
  <c r="L4290" i="1" s="1"/>
  <c r="K1790" i="1"/>
  <c r="L1790" i="1" s="1"/>
  <c r="K445" i="1"/>
  <c r="L445" i="1" s="1"/>
  <c r="K378" i="1"/>
  <c r="L378" i="1" s="1"/>
  <c r="K310" i="1"/>
  <c r="L310" i="1" s="1"/>
  <c r="K242" i="1"/>
  <c r="L242" i="1" s="1"/>
  <c r="K410" i="1"/>
  <c r="L410" i="1" s="1"/>
  <c r="K343" i="1"/>
  <c r="L343" i="1" s="1"/>
  <c r="K275" i="1"/>
  <c r="L275" i="1" s="1"/>
  <c r="K4486" i="1"/>
  <c r="L4486" i="1" s="1"/>
  <c r="K376" i="1"/>
  <c r="L376" i="1" s="1"/>
  <c r="K308" i="1"/>
  <c r="L308" i="1" s="1"/>
  <c r="K240" i="1"/>
  <c r="L240" i="1" s="1"/>
  <c r="K408" i="1"/>
  <c r="L408" i="1" s="1"/>
  <c r="K341" i="1"/>
  <c r="L341" i="1" s="1"/>
  <c r="K273" i="1"/>
  <c r="L273" i="1" s="1"/>
  <c r="K4484" i="1"/>
  <c r="L4484" i="1" s="1"/>
  <c r="K374" i="1"/>
  <c r="L374" i="1" s="1"/>
  <c r="K4337" i="1"/>
  <c r="L4337" i="1" s="1"/>
  <c r="K4335" i="1"/>
  <c r="L4335" i="1" s="1"/>
  <c r="K4333" i="1"/>
  <c r="L4333" i="1" s="1"/>
  <c r="K4331" i="1"/>
  <c r="L4331" i="1" s="1"/>
  <c r="K4328" i="1"/>
  <c r="L4328" i="1" s="1"/>
  <c r="K4326" i="1"/>
  <c r="L4326" i="1" s="1"/>
  <c r="K4321" i="1"/>
  <c r="L4321" i="1" s="1"/>
  <c r="K4319" i="1"/>
  <c r="L4319" i="1" s="1"/>
  <c r="K4315" i="1"/>
  <c r="L4315" i="1" s="1"/>
  <c r="K4313" i="1"/>
  <c r="L4313" i="1" s="1"/>
  <c r="K4310" i="1"/>
  <c r="L4310" i="1" s="1"/>
  <c r="K4308" i="1"/>
  <c r="L4308" i="1" s="1"/>
  <c r="K4305" i="1"/>
  <c r="L4305" i="1" s="1"/>
  <c r="K4302" i="1"/>
  <c r="L4302" i="1" s="1"/>
  <c r="K4300" i="1"/>
  <c r="L4300" i="1" s="1"/>
  <c r="K4298" i="1"/>
  <c r="L4298" i="1" s="1"/>
  <c r="K4296" i="1"/>
  <c r="L4296" i="1" s="1"/>
  <c r="K4293" i="1"/>
  <c r="L4293" i="1" s="1"/>
  <c r="K4291" i="1"/>
  <c r="L4291" i="1" s="1"/>
  <c r="K4289" i="1"/>
  <c r="L4289" i="1" s="1"/>
  <c r="K4196" i="1"/>
  <c r="L4196" i="1" s="1"/>
  <c r="K3418" i="1"/>
  <c r="L3418" i="1" s="1"/>
  <c r="K3416" i="1"/>
  <c r="L3416" i="1" s="1"/>
  <c r="K3413" i="1"/>
  <c r="L3413" i="1" s="1"/>
  <c r="K3411" i="1"/>
  <c r="L3411" i="1" s="1"/>
  <c r="K3409" i="1"/>
  <c r="L3409" i="1" s="1"/>
  <c r="K3407" i="1"/>
  <c r="L3407" i="1" s="1"/>
  <c r="K3404" i="1"/>
  <c r="L3404" i="1" s="1"/>
  <c r="K3402" i="1"/>
  <c r="L3402" i="1" s="1"/>
  <c r="K3400" i="1"/>
  <c r="L3400" i="1" s="1"/>
  <c r="K3396" i="1"/>
  <c r="L3396" i="1" s="1"/>
  <c r="K3394" i="1"/>
  <c r="L3394" i="1" s="1"/>
  <c r="K3390" i="1"/>
  <c r="L3390" i="1" s="1"/>
  <c r="K3388" i="1"/>
  <c r="L3388" i="1" s="1"/>
  <c r="K3385" i="1"/>
  <c r="L3385" i="1" s="1"/>
  <c r="K3383" i="1"/>
  <c r="L3383" i="1" s="1"/>
  <c r="K3379" i="1"/>
  <c r="L3379" i="1" s="1"/>
  <c r="K3377" i="1"/>
  <c r="L3377" i="1" s="1"/>
  <c r="K3375" i="1"/>
  <c r="L3375" i="1" s="1"/>
  <c r="K3373" i="1"/>
  <c r="L3373" i="1" s="1"/>
  <c r="K3370" i="1"/>
  <c r="L3370" i="1" s="1"/>
  <c r="K3368" i="1"/>
  <c r="L3368" i="1" s="1"/>
  <c r="K3366" i="1"/>
  <c r="L3366" i="1" s="1"/>
  <c r="K3364" i="1"/>
  <c r="L3364" i="1" s="1"/>
  <c r="K3362" i="1"/>
  <c r="L3362" i="1" s="1"/>
  <c r="K3358" i="1"/>
  <c r="L3358" i="1" s="1"/>
  <c r="K3356" i="1"/>
  <c r="L3356" i="1" s="1"/>
  <c r="K3353" i="1"/>
  <c r="L3353" i="1" s="1"/>
  <c r="K3351" i="1"/>
  <c r="L3351" i="1" s="1"/>
  <c r="K3349" i="1"/>
  <c r="L3349" i="1" s="1"/>
  <c r="K3345" i="1"/>
  <c r="L3345" i="1" s="1"/>
  <c r="K3341" i="1"/>
  <c r="L3341" i="1" s="1"/>
  <c r="K3339" i="1"/>
  <c r="L3339" i="1" s="1"/>
  <c r="K3333" i="1"/>
  <c r="L3333" i="1" s="1"/>
  <c r="K3331" i="1"/>
  <c r="L3331" i="1" s="1"/>
  <c r="K3328" i="1"/>
  <c r="L3328" i="1" s="1"/>
  <c r="K3325" i="1"/>
  <c r="L3325" i="1" s="1"/>
  <c r="K3322" i="1"/>
  <c r="L3322" i="1" s="1"/>
  <c r="K3319" i="1"/>
  <c r="L3319" i="1" s="1"/>
  <c r="K3316" i="1"/>
  <c r="L3316" i="1" s="1"/>
  <c r="K3314" i="1"/>
  <c r="L3314" i="1" s="1"/>
  <c r="K3308" i="1"/>
  <c r="L3308" i="1" s="1"/>
  <c r="K3306" i="1"/>
  <c r="L3306" i="1" s="1"/>
  <c r="K3302" i="1"/>
  <c r="L3302" i="1" s="1"/>
  <c r="K3300" i="1"/>
  <c r="L3300" i="1" s="1"/>
  <c r="K3289" i="1"/>
  <c r="L3289" i="1" s="1"/>
  <c r="K3275" i="1"/>
  <c r="L3275" i="1" s="1"/>
  <c r="K3252" i="1"/>
  <c r="L3252" i="1" s="1"/>
  <c r="K2892" i="1"/>
  <c r="L2892" i="1" s="1"/>
  <c r="K2888" i="1"/>
  <c r="L2888" i="1" s="1"/>
  <c r="K2884" i="1"/>
  <c r="L2884" i="1" s="1"/>
  <c r="K2883" i="1"/>
  <c r="L2883" i="1" s="1"/>
  <c r="K2876" i="1"/>
  <c r="L2876" i="1" s="1"/>
  <c r="K2875" i="1"/>
  <c r="L2875" i="1" s="1"/>
  <c r="K3417" i="1"/>
  <c r="L3417" i="1" s="1"/>
  <c r="K3414" i="1"/>
  <c r="L3414" i="1" s="1"/>
  <c r="K3412" i="1"/>
  <c r="L3412" i="1" s="1"/>
  <c r="K3410" i="1"/>
  <c r="L3410" i="1" s="1"/>
  <c r="K3408" i="1"/>
  <c r="L3408" i="1" s="1"/>
  <c r="K3406" i="1"/>
  <c r="L3406" i="1" s="1"/>
  <c r="K3403" i="1"/>
  <c r="L3403" i="1" s="1"/>
  <c r="K3401" i="1"/>
  <c r="L3401" i="1" s="1"/>
  <c r="K3397" i="1"/>
  <c r="L3397" i="1" s="1"/>
  <c r="K3395" i="1"/>
  <c r="L3395" i="1" s="1"/>
  <c r="K3393" i="1"/>
  <c r="L3393" i="1" s="1"/>
  <c r="K3386" i="1"/>
  <c r="L3386" i="1" s="1"/>
  <c r="K3384" i="1"/>
  <c r="L3384" i="1" s="1"/>
  <c r="K3381" i="1"/>
  <c r="L3381" i="1" s="1"/>
  <c r="K3378" i="1"/>
  <c r="L3378" i="1" s="1"/>
  <c r="K3376" i="1"/>
  <c r="L3376" i="1" s="1"/>
  <c r="K3374" i="1"/>
  <c r="L3374" i="1" s="1"/>
  <c r="K3372" i="1"/>
  <c r="L3372" i="1" s="1"/>
  <c r="K3369" i="1"/>
  <c r="L3369" i="1" s="1"/>
  <c r="K3367" i="1"/>
  <c r="L3367" i="1" s="1"/>
  <c r="K3365" i="1"/>
  <c r="L3365" i="1" s="1"/>
  <c r="K3363" i="1"/>
  <c r="L3363" i="1" s="1"/>
  <c r="K3359" i="1"/>
  <c r="L3359" i="1" s="1"/>
  <c r="K3357" i="1"/>
  <c r="L3357" i="1" s="1"/>
  <c r="K3350" i="1"/>
  <c r="L3350" i="1" s="1"/>
  <c r="K3346" i="1"/>
  <c r="L3346" i="1" s="1"/>
  <c r="K3342" i="1"/>
  <c r="L3342" i="1" s="1"/>
  <c r="K3340" i="1"/>
  <c r="L3340" i="1" s="1"/>
  <c r="K3337" i="1"/>
  <c r="L3337" i="1" s="1"/>
  <c r="K3334" i="1"/>
  <c r="L3334" i="1" s="1"/>
  <c r="K3332" i="1"/>
  <c r="L3332" i="1" s="1"/>
  <c r="K3330" i="1"/>
  <c r="L3330" i="1" s="1"/>
  <c r="K3326" i="1"/>
  <c r="L3326" i="1" s="1"/>
  <c r="K3323" i="1"/>
  <c r="L3323" i="1" s="1"/>
  <c r="K3321" i="1"/>
  <c r="L3321" i="1" s="1"/>
  <c r="K3318" i="1"/>
  <c r="L3318" i="1" s="1"/>
  <c r="K3313" i="1"/>
  <c r="L3313" i="1" s="1"/>
  <c r="K3309" i="1"/>
  <c r="L3309" i="1" s="1"/>
  <c r="K3307" i="1"/>
  <c r="L3307" i="1" s="1"/>
  <c r="K3305" i="1"/>
  <c r="L3305" i="1" s="1"/>
  <c r="K3301" i="1"/>
  <c r="L3301" i="1" s="1"/>
  <c r="K3286" i="1"/>
  <c r="L3286" i="1" s="1"/>
  <c r="K3279" i="1"/>
  <c r="L3279" i="1" s="1"/>
  <c r="K3271" i="1"/>
  <c r="L3271" i="1" s="1"/>
  <c r="K2890" i="1"/>
  <c r="L2890" i="1" s="1"/>
  <c r="K2889" i="1"/>
  <c r="L2889" i="1" s="1"/>
  <c r="K2878" i="1"/>
  <c r="L2878" i="1" s="1"/>
  <c r="K2873" i="1"/>
  <c r="L2873" i="1" s="1"/>
  <c r="K1052" i="1"/>
  <c r="L1052" i="1" s="1"/>
  <c r="K1047" i="1"/>
  <c r="L1047" i="1" s="1"/>
  <c r="K1044" i="1"/>
  <c r="L1044" i="1" s="1"/>
  <c r="K1042" i="1"/>
  <c r="L1042" i="1" s="1"/>
  <c r="K1040" i="1"/>
  <c r="L1040" i="1" s="1"/>
  <c r="K1037" i="1"/>
  <c r="L1037" i="1" s="1"/>
  <c r="K1030" i="1"/>
  <c r="L1030" i="1" s="1"/>
  <c r="K1025" i="1"/>
  <c r="L1025" i="1" s="1"/>
  <c r="K1023" i="1"/>
  <c r="L1023" i="1" s="1"/>
  <c r="K1020" i="1"/>
  <c r="L1020" i="1" s="1"/>
  <c r="K1017" i="1"/>
  <c r="L1017" i="1" s="1"/>
  <c r="K1014" i="1"/>
  <c r="L1014" i="1" s="1"/>
  <c r="K1012" i="1"/>
  <c r="L1012" i="1" s="1"/>
  <c r="K1010" i="1"/>
  <c r="L1010" i="1" s="1"/>
  <c r="K1008" i="1"/>
  <c r="L1008" i="1" s="1"/>
  <c r="K1003" i="1"/>
  <c r="L1003" i="1" s="1"/>
  <c r="K999" i="1"/>
  <c r="L999" i="1" s="1"/>
  <c r="K997" i="1"/>
  <c r="L997" i="1" s="1"/>
  <c r="K994" i="1"/>
  <c r="L994" i="1" s="1"/>
  <c r="K992" i="1"/>
  <c r="L992" i="1" s="1"/>
  <c r="K981" i="1"/>
  <c r="L981" i="1" s="1"/>
  <c r="K979" i="1"/>
  <c r="L979" i="1" s="1"/>
  <c r="K976" i="1"/>
  <c r="L976" i="1" s="1"/>
  <c r="K973" i="1"/>
  <c r="L973" i="1" s="1"/>
  <c r="K970" i="1"/>
  <c r="L970" i="1" s="1"/>
  <c r="K968" i="1"/>
  <c r="L968" i="1" s="1"/>
  <c r="K966" i="1"/>
  <c r="L966" i="1" s="1"/>
  <c r="K964" i="1"/>
  <c r="L964" i="1" s="1"/>
  <c r="K959" i="1"/>
  <c r="L959" i="1" s="1"/>
  <c r="K956" i="1"/>
  <c r="L956" i="1" s="1"/>
  <c r="K954" i="1"/>
  <c r="L954" i="1" s="1"/>
  <c r="K952" i="1"/>
  <c r="L952" i="1" s="1"/>
  <c r="K949" i="1"/>
  <c r="L949" i="1" s="1"/>
  <c r="K939" i="1"/>
  <c r="L939" i="1" s="1"/>
  <c r="K936" i="1"/>
  <c r="L936" i="1" s="1"/>
  <c r="K933" i="1"/>
  <c r="L933" i="1" s="1"/>
  <c r="K930" i="1"/>
  <c r="L930" i="1" s="1"/>
  <c r="K927" i="1"/>
  <c r="L927" i="1" s="1"/>
  <c r="K925" i="1"/>
  <c r="L925" i="1" s="1"/>
  <c r="K923" i="1"/>
  <c r="L923" i="1" s="1"/>
  <c r="K921" i="1"/>
  <c r="L921" i="1" s="1"/>
  <c r="K917" i="1"/>
  <c r="L917" i="1" s="1"/>
  <c r="K914" i="1"/>
  <c r="L914" i="1" s="1"/>
  <c r="K911" i="1"/>
  <c r="L911" i="1" s="1"/>
  <c r="K909" i="1"/>
  <c r="L909" i="1" s="1"/>
  <c r="K906" i="1"/>
  <c r="L906" i="1" s="1"/>
  <c r="K904" i="1"/>
  <c r="L904" i="1" s="1"/>
  <c r="K893" i="1"/>
  <c r="L893" i="1" s="1"/>
  <c r="K891" i="1"/>
  <c r="L891" i="1" s="1"/>
  <c r="K888" i="1"/>
  <c r="L888" i="1" s="1"/>
  <c r="K883" i="1"/>
  <c r="L883" i="1" s="1"/>
  <c r="K881" i="1"/>
  <c r="L881" i="1" s="1"/>
  <c r="K879" i="1"/>
  <c r="L879" i="1" s="1"/>
  <c r="K877" i="1"/>
  <c r="L877" i="1" s="1"/>
  <c r="K873" i="1"/>
  <c r="L873" i="1" s="1"/>
  <c r="K870" i="1"/>
  <c r="L870" i="1" s="1"/>
  <c r="K867" i="1"/>
  <c r="L867" i="1" s="1"/>
  <c r="K865" i="1"/>
  <c r="L865" i="1" s="1"/>
  <c r="K862" i="1"/>
  <c r="L862" i="1" s="1"/>
  <c r="K860" i="1"/>
  <c r="L860" i="1" s="1"/>
  <c r="K849" i="1"/>
  <c r="L849" i="1" s="1"/>
  <c r="K847" i="1"/>
  <c r="L847" i="1" s="1"/>
  <c r="K844" i="1"/>
  <c r="L844" i="1" s="1"/>
  <c r="K839" i="1"/>
  <c r="L839" i="1" s="1"/>
  <c r="K837" i="1"/>
  <c r="L837" i="1" s="1"/>
  <c r="K835" i="1"/>
  <c r="L835" i="1" s="1"/>
  <c r="K833" i="1"/>
  <c r="L833" i="1" s="1"/>
  <c r="K829" i="1"/>
  <c r="L829" i="1" s="1"/>
  <c r="K826" i="1"/>
  <c r="L826" i="1" s="1"/>
  <c r="K823" i="1"/>
  <c r="L823" i="1" s="1"/>
  <c r="K821" i="1"/>
  <c r="L821" i="1" s="1"/>
  <c r="K818" i="1"/>
  <c r="L818" i="1" s="1"/>
  <c r="K804" i="1"/>
  <c r="L804" i="1" s="1"/>
  <c r="K801" i="1"/>
  <c r="L801" i="1" s="1"/>
  <c r="K795" i="1"/>
  <c r="L795" i="1" s="1"/>
  <c r="K793" i="1"/>
  <c r="L793" i="1" s="1"/>
  <c r="K791" i="1"/>
  <c r="L791" i="1" s="1"/>
  <c r="K789" i="1"/>
  <c r="L789" i="1" s="1"/>
  <c r="K785" i="1"/>
  <c r="L785" i="1" s="1"/>
  <c r="K779" i="1"/>
  <c r="L779" i="1" s="1"/>
  <c r="K776" i="1"/>
  <c r="L776" i="1" s="1"/>
  <c r="K747" i="1"/>
  <c r="L747" i="1" s="1"/>
  <c r="K638" i="1"/>
  <c r="L638" i="1" s="1"/>
  <c r="K592" i="1"/>
  <c r="L592" i="1" s="1"/>
  <c r="K547" i="1"/>
  <c r="L547" i="1" s="1"/>
  <c r="K478" i="1"/>
  <c r="L478" i="1" s="1"/>
  <c r="K430" i="1"/>
  <c r="L430" i="1" s="1"/>
  <c r="K369" i="1"/>
  <c r="L369" i="1" s="1"/>
  <c r="K243" i="1"/>
  <c r="L243" i="1" s="1"/>
  <c r="K230" i="1"/>
  <c r="L230" i="1" s="1"/>
  <c r="K228" i="1"/>
  <c r="L228" i="1" s="1"/>
  <c r="K226" i="1"/>
  <c r="L226" i="1" s="1"/>
  <c r="K224" i="1"/>
  <c r="L224" i="1" s="1"/>
  <c r="K221" i="1"/>
  <c r="L221" i="1" s="1"/>
  <c r="K219" i="1"/>
  <c r="L219" i="1" s="1"/>
  <c r="K217" i="1"/>
  <c r="L217" i="1" s="1"/>
  <c r="K209" i="1"/>
  <c r="L209" i="1" s="1"/>
  <c r="K197" i="1"/>
  <c r="L197" i="1" s="1"/>
  <c r="K2899" i="1"/>
  <c r="L2899" i="1" s="1"/>
  <c r="K2891" i="1"/>
  <c r="L2891" i="1" s="1"/>
  <c r="K2886" i="1"/>
  <c r="L2886" i="1" s="1"/>
  <c r="K2880" i="1"/>
  <c r="L2880" i="1" s="1"/>
  <c r="K1713" i="1"/>
  <c r="L1713" i="1" s="1"/>
  <c r="K1049" i="1"/>
  <c r="L1049" i="1" s="1"/>
  <c r="K1046" i="1"/>
  <c r="L1046" i="1" s="1"/>
  <c r="K1043" i="1"/>
  <c r="L1043" i="1" s="1"/>
  <c r="K1041" i="1"/>
  <c r="L1041" i="1" s="1"/>
  <c r="K1038" i="1"/>
  <c r="L1038" i="1" s="1"/>
  <c r="K1036" i="1"/>
  <c r="L1036" i="1" s="1"/>
  <c r="K1027" i="1"/>
  <c r="L1027" i="1" s="1"/>
  <c r="K1024" i="1"/>
  <c r="L1024" i="1" s="1"/>
  <c r="K1021" i="1"/>
  <c r="L1021" i="1" s="1"/>
  <c r="K1018" i="1"/>
  <c r="L1018" i="1" s="1"/>
  <c r="K1015" i="1"/>
  <c r="L1015" i="1" s="1"/>
  <c r="K1013" i="1"/>
  <c r="L1013" i="1" s="1"/>
  <c r="K1011" i="1"/>
  <c r="L1011" i="1" s="1"/>
  <c r="K1009" i="1"/>
  <c r="L1009" i="1" s="1"/>
  <c r="K1005" i="1"/>
  <c r="L1005" i="1" s="1"/>
  <c r="K1000" i="1"/>
  <c r="L1000" i="1" s="1"/>
  <c r="K998" i="1"/>
  <c r="L998" i="1" s="1"/>
  <c r="K996" i="1"/>
  <c r="L996" i="1" s="1"/>
  <c r="K993" i="1"/>
  <c r="L993" i="1" s="1"/>
  <c r="K983" i="1"/>
  <c r="L983" i="1" s="1"/>
  <c r="K980" i="1"/>
  <c r="L980" i="1" s="1"/>
  <c r="K977" i="1"/>
  <c r="L977" i="1" s="1"/>
  <c r="K974" i="1"/>
  <c r="L974" i="1" s="1"/>
  <c r="K971" i="1"/>
  <c r="L971" i="1" s="1"/>
  <c r="K969" i="1"/>
  <c r="L969" i="1" s="1"/>
  <c r="K967" i="1"/>
  <c r="L967" i="1" s="1"/>
  <c r="K965" i="1"/>
  <c r="L965" i="1" s="1"/>
  <c r="K961" i="1"/>
  <c r="L961" i="1" s="1"/>
  <c r="K958" i="1"/>
  <c r="L958" i="1" s="1"/>
  <c r="K955" i="1"/>
  <c r="L955" i="1" s="1"/>
  <c r="K953" i="1"/>
  <c r="L953" i="1" s="1"/>
  <c r="K950" i="1"/>
  <c r="L950" i="1" s="1"/>
  <c r="K948" i="1"/>
  <c r="L948" i="1" s="1"/>
  <c r="K937" i="1"/>
  <c r="L937" i="1" s="1"/>
  <c r="K935" i="1"/>
  <c r="L935" i="1" s="1"/>
  <c r="K932" i="1"/>
  <c r="L932" i="1" s="1"/>
  <c r="K929" i="1"/>
  <c r="L929" i="1" s="1"/>
  <c r="K926" i="1"/>
  <c r="L926" i="1" s="1"/>
  <c r="K924" i="1"/>
  <c r="L924" i="1" s="1"/>
  <c r="K922" i="1"/>
  <c r="L922" i="1" s="1"/>
  <c r="K920" i="1"/>
  <c r="L920" i="1" s="1"/>
  <c r="K915" i="1"/>
  <c r="L915" i="1" s="1"/>
  <c r="K912" i="1"/>
  <c r="L912" i="1" s="1"/>
  <c r="K910" i="1"/>
  <c r="L910" i="1" s="1"/>
  <c r="K908" i="1"/>
  <c r="L908" i="1" s="1"/>
  <c r="K905" i="1"/>
  <c r="L905" i="1" s="1"/>
  <c r="K895" i="1"/>
  <c r="L895" i="1" s="1"/>
  <c r="K892" i="1"/>
  <c r="L892" i="1" s="1"/>
  <c r="K889" i="1"/>
  <c r="L889" i="1" s="1"/>
  <c r="K885" i="1"/>
  <c r="L885" i="1" s="1"/>
  <c r="K882" i="1"/>
  <c r="L882" i="1" s="1"/>
  <c r="K880" i="1"/>
  <c r="L880" i="1" s="1"/>
  <c r="K878" i="1"/>
  <c r="L878" i="1" s="1"/>
  <c r="K876" i="1"/>
  <c r="L876" i="1" s="1"/>
  <c r="K871" i="1"/>
  <c r="L871" i="1" s="1"/>
  <c r="K868" i="1"/>
  <c r="L868" i="1" s="1"/>
  <c r="K866" i="1"/>
  <c r="L866" i="1" s="1"/>
  <c r="K864" i="1"/>
  <c r="L864" i="1" s="1"/>
  <c r="K861" i="1"/>
  <c r="L861" i="1" s="1"/>
  <c r="K851" i="1"/>
  <c r="L851" i="1" s="1"/>
  <c r="K848" i="1"/>
  <c r="L848" i="1" s="1"/>
  <c r="K845" i="1"/>
  <c r="L845" i="1" s="1"/>
  <c r="K841" i="1"/>
  <c r="L841" i="1" s="1"/>
  <c r="K838" i="1"/>
  <c r="L838" i="1" s="1"/>
  <c r="K836" i="1"/>
  <c r="L836" i="1" s="1"/>
  <c r="K834" i="1"/>
  <c r="L834" i="1" s="1"/>
  <c r="K832" i="1"/>
  <c r="L832" i="1" s="1"/>
  <c r="K827" i="1"/>
  <c r="L827" i="1" s="1"/>
  <c r="K824" i="1"/>
  <c r="L824" i="1" s="1"/>
  <c r="K822" i="1"/>
  <c r="L822" i="1" s="1"/>
  <c r="K820" i="1"/>
  <c r="L820" i="1" s="1"/>
  <c r="K817" i="1"/>
  <c r="L817" i="1" s="1"/>
  <c r="K803" i="1"/>
  <c r="L803" i="1" s="1"/>
  <c r="K797" i="1"/>
  <c r="L797" i="1" s="1"/>
  <c r="K794" i="1"/>
  <c r="L794" i="1" s="1"/>
  <c r="K792" i="1"/>
  <c r="L792" i="1" s="1"/>
  <c r="K790" i="1"/>
  <c r="L790" i="1" s="1"/>
  <c r="K788" i="1"/>
  <c r="L788" i="1" s="1"/>
  <c r="K780" i="1"/>
  <c r="L780" i="1" s="1"/>
  <c r="K777" i="1"/>
  <c r="L777" i="1" s="1"/>
  <c r="K774" i="1"/>
  <c r="L774" i="1" s="1"/>
  <c r="K746" i="1"/>
  <c r="L746" i="1" s="1"/>
  <c r="K637" i="1"/>
  <c r="L637" i="1" s="1"/>
  <c r="K548" i="1"/>
  <c r="L548" i="1" s="1"/>
  <c r="K503" i="1"/>
  <c r="L503" i="1" s="1"/>
  <c r="K456" i="1"/>
  <c r="L456" i="1" s="1"/>
  <c r="K412" i="1"/>
  <c r="L412" i="1" s="1"/>
  <c r="K325" i="1"/>
  <c r="L325" i="1" s="1"/>
  <c r="K306" i="1"/>
  <c r="L306" i="1" s="1"/>
  <c r="K229" i="1"/>
  <c r="L229" i="1" s="1"/>
  <c r="K225" i="1"/>
  <c r="L225" i="1" s="1"/>
  <c r="K222" i="1"/>
  <c r="L222" i="1" s="1"/>
  <c r="K220" i="1"/>
  <c r="L220" i="1" s="1"/>
  <c r="K218" i="1"/>
  <c r="L218" i="1" s="1"/>
  <c r="K216" i="1"/>
  <c r="L216" i="1" s="1"/>
  <c r="K208" i="1"/>
  <c r="L208" i="1" s="1"/>
  <c r="K182" i="1"/>
  <c r="L182" i="1" s="1"/>
  <c r="K176" i="1"/>
  <c r="L176" i="1" s="1"/>
  <c r="K166" i="1"/>
  <c r="L166" i="1" s="1"/>
  <c r="K2897" i="1"/>
  <c r="L2897" i="1" s="1"/>
  <c r="K2894" i="1"/>
  <c r="L2894" i="1" s="1"/>
  <c r="K2885" i="1"/>
  <c r="L2885" i="1" s="1"/>
  <c r="K2879" i="1"/>
  <c r="L2879" i="1" s="1"/>
  <c r="K2874" i="1"/>
  <c r="L2874" i="1" s="1"/>
  <c r="K4165" i="1"/>
  <c r="L4165" i="1" s="1"/>
  <c r="K4161" i="1"/>
  <c r="L4161" i="1" s="1"/>
  <c r="K4158" i="1"/>
  <c r="L4158" i="1" s="1"/>
  <c r="K4134" i="1"/>
  <c r="L4134" i="1" s="1"/>
  <c r="K2907" i="1"/>
  <c r="L2907" i="1" s="1"/>
  <c r="K2903" i="1"/>
  <c r="L2903" i="1" s="1"/>
  <c r="K2900" i="1"/>
  <c r="L2900" i="1" s="1"/>
  <c r="K4166" i="1"/>
  <c r="L4166" i="1" s="1"/>
  <c r="K4162" i="1"/>
  <c r="L4162" i="1" s="1"/>
  <c r="K4159" i="1"/>
  <c r="L4159" i="1" s="1"/>
  <c r="K4133" i="1"/>
  <c r="L4133" i="1" s="1"/>
  <c r="K2902" i="1"/>
  <c r="L2902" i="1" s="1"/>
  <c r="K2901" i="1"/>
  <c r="L2901" i="1" s="1"/>
  <c r="K4170" i="1"/>
  <c r="L4170" i="1" s="1"/>
  <c r="K4169" i="1"/>
  <c r="L4169" i="1" s="1"/>
  <c r="K4164" i="1"/>
  <c r="L4164" i="1" s="1"/>
  <c r="K4160" i="1"/>
  <c r="L4160" i="1" s="1"/>
  <c r="K4157" i="1"/>
  <c r="L4157" i="1" s="1"/>
  <c r="K4137" i="1"/>
  <c r="L4137" i="1" s="1"/>
  <c r="K2905" i="1"/>
  <c r="L2905" i="1" s="1"/>
  <c r="K2904" i="1"/>
  <c r="L2904" i="1" s="1"/>
  <c r="K4154" i="1"/>
  <c r="L4154" i="1" s="1"/>
  <c r="K4153" i="1"/>
  <c r="L4153" i="1" s="1"/>
  <c r="K4150" i="1"/>
  <c r="L4150" i="1" s="1"/>
  <c r="K4148" i="1"/>
  <c r="L4148" i="1" s="1"/>
  <c r="K4144" i="1"/>
  <c r="L4144" i="1" s="1"/>
  <c r="K4141" i="1"/>
  <c r="L4141" i="1" s="1"/>
  <c r="K2928" i="1"/>
  <c r="L2928" i="1" s="1"/>
  <c r="K2923" i="1"/>
  <c r="L2923" i="1" s="1"/>
  <c r="K2918" i="1"/>
  <c r="L2918" i="1" s="1"/>
  <c r="K2911" i="1"/>
  <c r="L2911" i="1" s="1"/>
  <c r="K2927" i="1"/>
  <c r="L2927" i="1" s="1"/>
  <c r="K2922" i="1"/>
  <c r="L2922" i="1" s="1"/>
  <c r="K2916" i="1"/>
  <c r="L2916" i="1" s="1"/>
  <c r="K2909" i="1"/>
  <c r="L2909" i="1" s="1"/>
  <c r="K2929" i="1"/>
  <c r="L2929" i="1" s="1"/>
  <c r="K2924" i="1"/>
  <c r="L2924" i="1" s="1"/>
  <c r="K2919" i="1"/>
  <c r="L2919" i="1" s="1"/>
  <c r="K2913" i="1"/>
  <c r="L2913" i="1" s="1"/>
  <c r="K4156" i="1"/>
  <c r="L4156" i="1" s="1"/>
  <c r="K4155" i="1"/>
  <c r="L4155" i="1" s="1"/>
  <c r="K4151" i="1"/>
  <c r="L4151" i="1" s="1"/>
  <c r="K4149" i="1"/>
  <c r="L4149" i="1" s="1"/>
  <c r="K4145" i="1"/>
  <c r="L4145" i="1" s="1"/>
  <c r="K4143" i="1"/>
  <c r="L4143" i="1" s="1"/>
  <c r="K4139" i="1"/>
  <c r="L4139" i="1" s="1"/>
  <c r="K2930" i="1"/>
  <c r="L2930" i="1" s="1"/>
  <c r="K2926" i="1"/>
  <c r="L2926" i="1" s="1"/>
  <c r="K2920" i="1"/>
  <c r="L2920" i="1" s="1"/>
  <c r="K2915" i="1"/>
  <c r="L2915" i="1" s="1"/>
  <c r="K4276" i="1"/>
  <c r="L4276" i="1" s="1"/>
  <c r="K4271" i="1"/>
  <c r="L4271" i="1" s="1"/>
  <c r="K4266" i="1"/>
  <c r="L4266" i="1" s="1"/>
  <c r="K4263" i="1"/>
  <c r="L4263" i="1" s="1"/>
  <c r="K4258" i="1"/>
  <c r="L4258" i="1" s="1"/>
  <c r="K4253" i="1"/>
  <c r="L4253" i="1" s="1"/>
  <c r="K4249" i="1"/>
  <c r="L4249" i="1" s="1"/>
  <c r="K4246" i="1"/>
  <c r="L4246" i="1" s="1"/>
  <c r="K4241" i="1"/>
  <c r="L4241" i="1" s="1"/>
  <c r="K4238" i="1"/>
  <c r="L4238" i="1" s="1"/>
  <c r="K4233" i="1"/>
  <c r="L4233" i="1" s="1"/>
  <c r="K4229" i="1"/>
  <c r="L4229" i="1" s="1"/>
  <c r="K4224" i="1"/>
  <c r="L4224" i="1" s="1"/>
  <c r="K4220" i="1"/>
  <c r="L4220" i="1" s="1"/>
  <c r="K4219" i="1"/>
  <c r="L4219" i="1" s="1"/>
  <c r="K4214" i="1"/>
  <c r="L4214" i="1" s="1"/>
  <c r="K4210" i="1"/>
  <c r="L4210" i="1" s="1"/>
  <c r="K4209" i="1"/>
  <c r="L4209" i="1" s="1"/>
  <c r="K4205" i="1"/>
  <c r="L4205" i="1" s="1"/>
  <c r="K4202" i="1"/>
  <c r="L4202" i="1" s="1"/>
  <c r="K4200" i="1"/>
  <c r="L4200" i="1" s="1"/>
  <c r="K4198" i="1"/>
  <c r="L4198" i="1" s="1"/>
  <c r="K4195" i="1"/>
  <c r="L4195" i="1" s="1"/>
  <c r="K4193" i="1"/>
  <c r="L4193" i="1" s="1"/>
  <c r="K4188" i="1"/>
  <c r="L4188" i="1" s="1"/>
  <c r="K4185" i="1"/>
  <c r="L4185" i="1" s="1"/>
  <c r="K4183" i="1"/>
  <c r="L4183" i="1" s="1"/>
  <c r="K4180" i="1"/>
  <c r="L4180" i="1" s="1"/>
  <c r="K4171" i="1"/>
  <c r="L4171" i="1" s="1"/>
  <c r="K4277" i="1"/>
  <c r="L4277" i="1" s="1"/>
  <c r="K4273" i="1"/>
  <c r="L4273" i="1" s="1"/>
  <c r="K4268" i="1"/>
  <c r="L4268" i="1" s="1"/>
  <c r="K4264" i="1"/>
  <c r="L4264" i="1" s="1"/>
  <c r="K4259" i="1"/>
  <c r="L4259" i="1" s="1"/>
  <c r="K4254" i="1"/>
  <c r="L4254" i="1" s="1"/>
  <c r="K4250" i="1"/>
  <c r="L4250" i="1" s="1"/>
  <c r="K4247" i="1"/>
  <c r="L4247" i="1" s="1"/>
  <c r="K4244" i="1"/>
  <c r="L4244" i="1" s="1"/>
  <c r="K4239" i="1"/>
  <c r="L4239" i="1" s="1"/>
  <c r="K4236" i="1"/>
  <c r="L4236" i="1" s="1"/>
  <c r="K4231" i="1"/>
  <c r="L4231" i="1" s="1"/>
  <c r="K4225" i="1"/>
  <c r="L4225" i="1" s="1"/>
  <c r="K4221" i="1"/>
  <c r="L4221" i="1" s="1"/>
  <c r="K4217" i="1"/>
  <c r="L4217" i="1" s="1"/>
  <c r="K4213" i="1"/>
  <c r="L4213" i="1" s="1"/>
  <c r="K4208" i="1"/>
  <c r="L4208" i="1" s="1"/>
  <c r="K4204" i="1"/>
  <c r="L4204" i="1" s="1"/>
  <c r="K4201" i="1"/>
  <c r="L4201" i="1" s="1"/>
  <c r="K4199" i="1"/>
  <c r="L4199" i="1" s="1"/>
  <c r="K4197" i="1"/>
  <c r="L4197" i="1" s="1"/>
  <c r="K4194" i="1"/>
  <c r="L4194" i="1" s="1"/>
  <c r="K4192" i="1"/>
  <c r="L4192" i="1" s="1"/>
  <c r="K4187" i="1"/>
  <c r="L4187" i="1" s="1"/>
  <c r="K4181" i="1"/>
  <c r="L4181" i="1" s="1"/>
  <c r="K2932" i="1"/>
  <c r="L2932" i="1" s="1"/>
  <c r="K4280" i="1"/>
  <c r="L4280" i="1" s="1"/>
  <c r="K4275" i="1"/>
  <c r="L4275" i="1" s="1"/>
  <c r="K4269" i="1"/>
  <c r="L4269" i="1" s="1"/>
  <c r="K4265" i="1"/>
  <c r="L4265" i="1" s="1"/>
  <c r="K4261" i="1"/>
  <c r="L4261" i="1" s="1"/>
  <c r="K4257" i="1"/>
  <c r="L4257" i="1" s="1"/>
  <c r="K4252" i="1"/>
  <c r="L4252" i="1" s="1"/>
  <c r="K4248" i="1"/>
  <c r="L4248" i="1" s="1"/>
  <c r="K4245" i="1"/>
  <c r="L4245" i="1" s="1"/>
  <c r="K4240" i="1"/>
  <c r="L4240" i="1" s="1"/>
  <c r="K4237" i="1"/>
  <c r="L4237" i="1" s="1"/>
  <c r="K4232" i="1"/>
  <c r="L4232" i="1" s="1"/>
  <c r="K4227" i="1"/>
  <c r="L4227" i="1" s="1"/>
  <c r="K4222" i="1"/>
  <c r="L4222" i="1" s="1"/>
  <c r="K4215" i="1"/>
  <c r="L4215" i="1" s="1"/>
  <c r="K4206" i="1"/>
  <c r="L4206" i="1" s="1"/>
  <c r="K4203" i="1"/>
  <c r="L4203" i="1" s="1"/>
  <c r="K4189" i="1"/>
  <c r="L4189" i="1" s="1"/>
  <c r="K2934" i="1"/>
  <c r="L2934" i="1" s="1"/>
  <c r="K2933" i="1"/>
  <c r="L2933" i="1" s="1"/>
  <c r="K2936" i="1"/>
  <c r="L2936" i="1" s="1"/>
  <c r="K2935" i="1"/>
  <c r="L2935" i="1" s="1"/>
  <c r="K4176" i="1"/>
  <c r="L4176" i="1" s="1"/>
  <c r="K2949" i="1"/>
  <c r="L2949" i="1" s="1"/>
  <c r="K2945" i="1"/>
  <c r="L2945" i="1" s="1"/>
  <c r="K2938" i="1"/>
  <c r="L2938" i="1" s="1"/>
  <c r="K2951" i="1"/>
  <c r="L2951" i="1" s="1"/>
  <c r="K2946" i="1"/>
  <c r="L2946" i="1" s="1"/>
  <c r="K4177" i="1"/>
  <c r="L4177" i="1" s="1"/>
  <c r="K4173" i="1"/>
  <c r="L4173" i="1" s="1"/>
  <c r="K2948" i="1"/>
  <c r="L2948" i="1" s="1"/>
  <c r="K2944" i="1"/>
  <c r="L2944" i="1" s="1"/>
  <c r="K4178" i="1"/>
  <c r="L4178" i="1" s="1"/>
  <c r="K4175" i="1"/>
  <c r="L4175" i="1" s="1"/>
  <c r="K2947" i="1"/>
  <c r="L2947" i="1" s="1"/>
  <c r="K2943" i="1"/>
  <c r="L2943" i="1" s="1"/>
  <c r="K2941" i="1"/>
  <c r="L2941" i="1" s="1"/>
  <c r="K3015" i="1"/>
  <c r="L3015" i="1" s="1"/>
  <c r="K3010" i="1"/>
  <c r="L3010" i="1" s="1"/>
  <c r="K3005" i="1"/>
  <c r="L3005" i="1" s="1"/>
  <c r="K2999" i="1"/>
  <c r="L2999" i="1" s="1"/>
  <c r="K2992" i="1"/>
  <c r="L2992" i="1" s="1"/>
  <c r="K2988" i="1"/>
  <c r="L2988" i="1" s="1"/>
  <c r="K2980" i="1"/>
  <c r="L2980" i="1" s="1"/>
  <c r="K2974" i="1"/>
  <c r="L2974" i="1" s="1"/>
  <c r="K2970" i="1"/>
  <c r="L2970" i="1" s="1"/>
  <c r="K2964" i="1"/>
  <c r="L2964" i="1" s="1"/>
  <c r="K2961" i="1"/>
  <c r="L2961" i="1" s="1"/>
  <c r="K2960" i="1"/>
  <c r="L2960" i="1" s="1"/>
  <c r="K2955" i="1"/>
  <c r="L2955" i="1" s="1"/>
  <c r="K3016" i="1"/>
  <c r="L3016" i="1" s="1"/>
  <c r="K3011" i="1"/>
  <c r="L3011" i="1" s="1"/>
  <c r="K3006" i="1"/>
  <c r="L3006" i="1" s="1"/>
  <c r="K3001" i="1"/>
  <c r="L3001" i="1" s="1"/>
  <c r="K2993" i="1"/>
  <c r="L2993" i="1" s="1"/>
  <c r="K2989" i="1"/>
  <c r="L2989" i="1" s="1"/>
  <c r="K2982" i="1"/>
  <c r="L2982" i="1" s="1"/>
  <c r="K2976" i="1"/>
  <c r="L2976" i="1" s="1"/>
  <c r="K2971" i="1"/>
  <c r="L2971" i="1" s="1"/>
  <c r="K2966" i="1"/>
  <c r="L2966" i="1" s="1"/>
  <c r="K2953" i="1"/>
  <c r="L2953" i="1" s="1"/>
  <c r="K3014" i="1"/>
  <c r="L3014" i="1" s="1"/>
  <c r="K3008" i="1"/>
  <c r="L3008" i="1" s="1"/>
  <c r="K3004" i="1"/>
  <c r="L3004" i="1" s="1"/>
  <c r="K2997" i="1"/>
  <c r="L2997" i="1" s="1"/>
  <c r="K2991" i="1"/>
  <c r="L2991" i="1" s="1"/>
  <c r="K2987" i="1"/>
  <c r="L2987" i="1" s="1"/>
  <c r="K2979" i="1"/>
  <c r="L2979" i="1" s="1"/>
  <c r="K2973" i="1"/>
  <c r="L2973" i="1" s="1"/>
  <c r="K2968" i="1"/>
  <c r="L2968" i="1" s="1"/>
  <c r="K2963" i="1"/>
  <c r="L2963" i="1" s="1"/>
  <c r="K2959" i="1"/>
  <c r="L2959" i="1" s="1"/>
  <c r="K3012" i="1"/>
  <c r="L3012" i="1" s="1"/>
  <c r="K3007" i="1"/>
  <c r="L3007" i="1" s="1"/>
  <c r="K3003" i="1"/>
  <c r="L3003" i="1" s="1"/>
  <c r="K2995" i="1"/>
  <c r="L2995" i="1" s="1"/>
  <c r="K2990" i="1"/>
  <c r="L2990" i="1" s="1"/>
  <c r="K2985" i="1"/>
  <c r="L2985" i="1" s="1"/>
  <c r="K2977" i="1"/>
  <c r="L2977" i="1" s="1"/>
  <c r="K2972" i="1"/>
  <c r="L2972" i="1" s="1"/>
  <c r="K2967" i="1"/>
  <c r="L2967" i="1" s="1"/>
  <c r="K2962" i="1"/>
  <c r="L2962" i="1" s="1"/>
  <c r="K2957" i="1"/>
  <c r="L2957" i="1" s="1"/>
  <c r="K3312" i="1"/>
  <c r="L3312" i="1" s="1"/>
  <c r="K3297" i="1"/>
  <c r="L3297" i="1" s="1"/>
  <c r="K3296" i="1"/>
  <c r="L3296" i="1" s="1"/>
  <c r="K3288" i="1"/>
  <c r="L3288" i="1" s="1"/>
  <c r="K3284" i="1"/>
  <c r="L3284" i="1" s="1"/>
  <c r="K3280" i="1"/>
  <c r="L3280" i="1" s="1"/>
  <c r="K3274" i="1"/>
  <c r="L3274" i="1" s="1"/>
  <c r="K3258" i="1"/>
  <c r="L3258" i="1" s="1"/>
  <c r="K3257" i="1"/>
  <c r="L3257" i="1" s="1"/>
  <c r="K3251" i="1"/>
  <c r="L3251" i="1" s="1"/>
  <c r="K3249" i="1"/>
  <c r="L3249" i="1" s="1"/>
  <c r="K3243" i="1"/>
  <c r="L3243" i="1" s="1"/>
  <c r="K3238" i="1"/>
  <c r="L3238" i="1" s="1"/>
  <c r="K3234" i="1"/>
  <c r="L3234" i="1" s="1"/>
  <c r="K3228" i="1"/>
  <c r="L3228" i="1" s="1"/>
  <c r="K3218" i="1"/>
  <c r="L3218" i="1" s="1"/>
  <c r="K3213" i="1"/>
  <c r="L3213" i="1" s="1"/>
  <c r="K3212" i="1"/>
  <c r="L3212" i="1" s="1"/>
  <c r="K3208" i="1"/>
  <c r="L3208" i="1" s="1"/>
  <c r="K3200" i="1"/>
  <c r="L3200" i="1" s="1"/>
  <c r="K3192" i="1"/>
  <c r="L3192" i="1" s="1"/>
  <c r="K3187" i="1"/>
  <c r="L3187" i="1" s="1"/>
  <c r="K3177" i="1"/>
  <c r="L3177" i="1" s="1"/>
  <c r="K3173" i="1"/>
  <c r="L3173" i="1" s="1"/>
  <c r="K3167" i="1"/>
  <c r="L3167" i="1" s="1"/>
  <c r="K3164" i="1"/>
  <c r="L3164" i="1" s="1"/>
  <c r="K3163" i="1"/>
  <c r="L3163" i="1" s="1"/>
  <c r="K3155" i="1"/>
  <c r="L3155" i="1" s="1"/>
  <c r="K3150" i="1"/>
  <c r="L3150" i="1" s="1"/>
  <c r="K3149" i="1"/>
  <c r="L3149" i="1" s="1"/>
  <c r="K3146" i="1"/>
  <c r="L3146" i="1" s="1"/>
  <c r="K3140" i="1"/>
  <c r="L3140" i="1" s="1"/>
  <c r="K3131" i="1"/>
  <c r="L3131" i="1" s="1"/>
  <c r="K3125" i="1"/>
  <c r="L3125" i="1" s="1"/>
  <c r="K3121" i="1"/>
  <c r="L3121" i="1" s="1"/>
  <c r="K3114" i="1"/>
  <c r="L3114" i="1" s="1"/>
  <c r="K3109" i="1"/>
  <c r="L3109" i="1" s="1"/>
  <c r="K3104" i="1"/>
  <c r="L3104" i="1" s="1"/>
  <c r="K3103" i="1"/>
  <c r="L3103" i="1" s="1"/>
  <c r="K3093" i="1"/>
  <c r="L3093" i="1" s="1"/>
  <c r="K3087" i="1"/>
  <c r="L3087" i="1" s="1"/>
  <c r="K3082" i="1"/>
  <c r="L3082" i="1" s="1"/>
  <c r="K3078" i="1"/>
  <c r="L3078" i="1" s="1"/>
  <c r="K3073" i="1"/>
  <c r="L3073" i="1" s="1"/>
  <c r="K3066" i="1"/>
  <c r="L3066" i="1" s="1"/>
  <c r="K3061" i="1"/>
  <c r="L3061" i="1" s="1"/>
  <c r="K3056" i="1"/>
  <c r="L3056" i="1" s="1"/>
  <c r="K3048" i="1"/>
  <c r="L3048" i="1" s="1"/>
  <c r="K3042" i="1"/>
  <c r="L3042" i="1" s="1"/>
  <c r="K3037" i="1"/>
  <c r="L3037" i="1" s="1"/>
  <c r="K3033" i="1"/>
  <c r="L3033" i="1" s="1"/>
  <c r="K3026" i="1"/>
  <c r="L3026" i="1" s="1"/>
  <c r="K3021" i="1"/>
  <c r="L3021" i="1" s="1"/>
  <c r="K3017" i="1"/>
  <c r="L3017" i="1" s="1"/>
  <c r="K3268" i="1"/>
  <c r="L3268" i="1" s="1"/>
  <c r="K3262" i="1"/>
  <c r="L3262" i="1" s="1"/>
  <c r="K3256" i="1"/>
  <c r="L3256" i="1" s="1"/>
  <c r="K3247" i="1"/>
  <c r="L3247" i="1" s="1"/>
  <c r="K3242" i="1"/>
  <c r="L3242" i="1" s="1"/>
  <c r="K3237" i="1"/>
  <c r="L3237" i="1" s="1"/>
  <c r="K3232" i="1"/>
  <c r="L3232" i="1" s="1"/>
  <c r="K3226" i="1"/>
  <c r="L3226" i="1" s="1"/>
  <c r="K3220" i="1"/>
  <c r="L3220" i="1" s="1"/>
  <c r="K3214" i="1"/>
  <c r="L3214" i="1" s="1"/>
  <c r="K3210" i="1"/>
  <c r="L3210" i="1" s="1"/>
  <c r="K3205" i="1"/>
  <c r="L3205" i="1" s="1"/>
  <c r="K3193" i="1"/>
  <c r="L3193" i="1" s="1"/>
  <c r="K3188" i="1"/>
  <c r="L3188" i="1" s="1"/>
  <c r="K3180" i="1"/>
  <c r="L3180" i="1" s="1"/>
  <c r="K3174" i="1"/>
  <c r="L3174" i="1" s="1"/>
  <c r="K3169" i="1"/>
  <c r="L3169" i="1" s="1"/>
  <c r="K3165" i="1"/>
  <c r="L3165" i="1" s="1"/>
  <c r="K3158" i="1"/>
  <c r="L3158" i="1" s="1"/>
  <c r="K3153" i="1"/>
  <c r="L3153" i="1" s="1"/>
  <c r="K3148" i="1"/>
  <c r="L3148" i="1" s="1"/>
  <c r="K3143" i="1"/>
  <c r="L3143" i="1" s="1"/>
  <c r="K3138" i="1"/>
  <c r="L3138" i="1" s="1"/>
  <c r="K3132" i="1"/>
  <c r="L3132" i="1" s="1"/>
  <c r="K3127" i="1"/>
  <c r="L3127" i="1" s="1"/>
  <c r="K3122" i="1"/>
  <c r="L3122" i="1" s="1"/>
  <c r="K3117" i="1"/>
  <c r="L3117" i="1" s="1"/>
  <c r="K3110" i="1"/>
  <c r="L3110" i="1" s="1"/>
  <c r="K3105" i="1"/>
  <c r="L3105" i="1" s="1"/>
  <c r="K3100" i="1"/>
  <c r="L3100" i="1" s="1"/>
  <c r="K3094" i="1"/>
  <c r="L3094" i="1" s="1"/>
  <c r="K3088" i="1"/>
  <c r="L3088" i="1" s="1"/>
  <c r="K3083" i="1"/>
  <c r="L3083" i="1" s="1"/>
  <c r="K3079" i="1"/>
  <c r="L3079" i="1" s="1"/>
  <c r="K3075" i="1"/>
  <c r="L3075" i="1" s="1"/>
  <c r="K3067" i="1"/>
  <c r="L3067" i="1" s="1"/>
  <c r="K3062" i="1"/>
  <c r="L3062" i="1" s="1"/>
  <c r="K3058" i="1"/>
  <c r="L3058" i="1" s="1"/>
  <c r="K3052" i="1"/>
  <c r="L3052" i="1" s="1"/>
  <c r="K3049" i="1"/>
  <c r="L3049" i="1" s="1"/>
  <c r="K3043" i="1"/>
  <c r="L3043" i="1" s="1"/>
  <c r="K3038" i="1"/>
  <c r="L3038" i="1" s="1"/>
  <c r="K3034" i="1"/>
  <c r="L3034" i="1" s="1"/>
  <c r="K3027" i="1"/>
  <c r="L3027" i="1" s="1"/>
  <c r="K3022" i="1"/>
  <c r="L3022" i="1" s="1"/>
  <c r="K77" i="1"/>
  <c r="L77" i="1" s="1"/>
  <c r="K75" i="1"/>
  <c r="L75" i="1" s="1"/>
  <c r="K73" i="1"/>
  <c r="L73" i="1" s="1"/>
  <c r="K3285" i="1"/>
  <c r="L3285" i="1" s="1"/>
  <c r="K3282" i="1"/>
  <c r="L3282" i="1" s="1"/>
  <c r="K3281" i="1"/>
  <c r="L3281" i="1" s="1"/>
  <c r="K3270" i="1"/>
  <c r="L3270" i="1" s="1"/>
  <c r="K3264" i="1"/>
  <c r="L3264" i="1" s="1"/>
  <c r="K3263" i="1"/>
  <c r="L3263" i="1" s="1"/>
  <c r="K3261" i="1"/>
  <c r="L3261" i="1" s="1"/>
  <c r="K3254" i="1"/>
  <c r="L3254" i="1" s="1"/>
  <c r="K3246" i="1"/>
  <c r="L3246" i="1" s="1"/>
  <c r="K3244" i="1"/>
  <c r="L3244" i="1" s="1"/>
  <c r="K3240" i="1"/>
  <c r="L3240" i="1" s="1"/>
  <c r="K3231" i="1"/>
  <c r="L3231" i="1" s="1"/>
  <c r="K3230" i="1"/>
  <c r="L3230" i="1" s="1"/>
  <c r="K3224" i="1"/>
  <c r="L3224" i="1" s="1"/>
  <c r="K3221" i="1"/>
  <c r="L3221" i="1" s="1"/>
  <c r="K3217" i="1"/>
  <c r="L3217" i="1" s="1"/>
  <c r="K3211" i="1"/>
  <c r="L3211" i="1" s="1"/>
  <c r="K3207" i="1"/>
  <c r="L3207" i="1" s="1"/>
  <c r="K3199" i="1"/>
  <c r="L3199" i="1" s="1"/>
  <c r="K3198" i="1"/>
  <c r="L3198" i="1" s="1"/>
  <c r="K3194" i="1"/>
  <c r="L3194" i="1" s="1"/>
  <c r="K3190" i="1"/>
  <c r="L3190" i="1" s="1"/>
  <c r="K3182" i="1"/>
  <c r="L3182" i="1" s="1"/>
  <c r="K3175" i="1"/>
  <c r="L3175" i="1" s="1"/>
  <c r="K3170" i="1"/>
  <c r="L3170" i="1" s="1"/>
  <c r="K3166" i="1"/>
  <c r="L3166" i="1" s="1"/>
  <c r="K3161" i="1"/>
  <c r="L3161" i="1" s="1"/>
  <c r="K3154" i="1"/>
  <c r="L3154" i="1" s="1"/>
  <c r="K3144" i="1"/>
  <c r="L3144" i="1" s="1"/>
  <c r="K3139" i="1"/>
  <c r="L3139" i="1" s="1"/>
  <c r="K3133" i="1"/>
  <c r="L3133" i="1" s="1"/>
  <c r="K3129" i="1"/>
  <c r="L3129" i="1" s="1"/>
  <c r="K3123" i="1"/>
  <c r="L3123" i="1" s="1"/>
  <c r="K3119" i="1"/>
  <c r="L3119" i="1" s="1"/>
  <c r="K3111" i="1"/>
  <c r="L3111" i="1" s="1"/>
  <c r="K3106" i="1"/>
  <c r="L3106" i="1" s="1"/>
  <c r="K3102" i="1"/>
  <c r="L3102" i="1" s="1"/>
  <c r="K3095" i="1"/>
  <c r="L3095" i="1" s="1"/>
  <c r="K3089" i="1"/>
  <c r="L3089" i="1" s="1"/>
  <c r="K3085" i="1"/>
  <c r="L3085" i="1" s="1"/>
  <c r="K3080" i="1"/>
  <c r="L3080" i="1" s="1"/>
  <c r="K3076" i="1"/>
  <c r="L3076" i="1" s="1"/>
  <c r="K3068" i="1"/>
  <c r="L3068" i="1" s="1"/>
  <c r="K3065" i="1"/>
  <c r="L3065" i="1" s="1"/>
  <c r="K3064" i="1"/>
  <c r="L3064" i="1" s="1"/>
  <c r="K3059" i="1"/>
  <c r="L3059" i="1" s="1"/>
  <c r="K3054" i="1"/>
  <c r="L3054" i="1" s="1"/>
  <c r="K3050" i="1"/>
  <c r="L3050" i="1" s="1"/>
  <c r="K3044" i="1"/>
  <c r="L3044" i="1" s="1"/>
  <c r="K3039" i="1"/>
  <c r="L3039" i="1" s="1"/>
  <c r="K3035" i="1"/>
  <c r="L3035" i="1" s="1"/>
  <c r="K3029" i="1"/>
  <c r="L3029" i="1" s="1"/>
  <c r="K3024" i="1"/>
  <c r="L3024" i="1" s="1"/>
  <c r="K3020" i="1"/>
  <c r="L3020" i="1" s="1"/>
  <c r="K76" i="1"/>
  <c r="L76" i="1" s="1"/>
  <c r="K74" i="1"/>
  <c r="L74" i="1" s="1"/>
  <c r="K3298" i="1"/>
  <c r="L3298" i="1" s="1"/>
  <c r="K3295" i="1"/>
  <c r="L3295" i="1" s="1"/>
  <c r="K3291" i="1"/>
  <c r="L3291" i="1" s="1"/>
  <c r="K3290" i="1"/>
  <c r="L3290" i="1" s="1"/>
  <c r="K3287" i="1"/>
  <c r="L3287" i="1" s="1"/>
  <c r="K3278" i="1"/>
  <c r="L3278" i="1" s="1"/>
  <c r="K3276" i="1"/>
  <c r="L3276" i="1" s="1"/>
  <c r="K3272" i="1"/>
  <c r="L3272" i="1" s="1"/>
  <c r="K3269" i="1"/>
  <c r="L3269" i="1" s="1"/>
  <c r="K3265" i="1"/>
  <c r="L3265" i="1" s="1"/>
  <c r="K3255" i="1"/>
  <c r="L3255" i="1" s="1"/>
  <c r="K3253" i="1"/>
  <c r="L3253" i="1" s="1"/>
  <c r="K3241" i="1"/>
  <c r="L3241" i="1" s="1"/>
  <c r="K3236" i="1"/>
  <c r="L3236" i="1" s="1"/>
  <c r="K3235" i="1"/>
  <c r="L3235" i="1" s="1"/>
  <c r="K3225" i="1"/>
  <c r="L3225" i="1" s="1"/>
  <c r="K3219" i="1"/>
  <c r="L3219" i="1" s="1"/>
  <c r="K3209" i="1"/>
  <c r="L3209" i="1" s="1"/>
  <c r="K3202" i="1"/>
  <c r="L3202" i="1" s="1"/>
  <c r="K3197" i="1"/>
  <c r="L3197" i="1" s="1"/>
  <c r="K3196" i="1"/>
  <c r="L3196" i="1" s="1"/>
  <c r="K3191" i="1"/>
  <c r="L3191" i="1" s="1"/>
  <c r="K3184" i="1"/>
  <c r="L3184" i="1" s="1"/>
  <c r="K3176" i="1"/>
  <c r="L3176" i="1" s="1"/>
  <c r="K3171" i="1"/>
  <c r="L3171" i="1" s="1"/>
  <c r="K3168" i="1"/>
  <c r="L3168" i="1" s="1"/>
  <c r="K3156" i="1"/>
  <c r="L3156" i="1" s="1"/>
  <c r="K3152" i="1"/>
  <c r="L3152" i="1" s="1"/>
  <c r="K3147" i="1"/>
  <c r="L3147" i="1" s="1"/>
  <c r="K3142" i="1"/>
  <c r="L3142" i="1" s="1"/>
  <c r="K3137" i="1"/>
  <c r="L3137" i="1" s="1"/>
  <c r="K3136" i="1"/>
  <c r="L3136" i="1" s="1"/>
  <c r="K3130" i="1"/>
  <c r="L3130" i="1" s="1"/>
  <c r="K3124" i="1"/>
  <c r="L3124" i="1" s="1"/>
  <c r="K3120" i="1"/>
  <c r="L3120" i="1" s="1"/>
  <c r="K3112" i="1"/>
  <c r="L3112" i="1" s="1"/>
  <c r="K3108" i="1"/>
  <c r="L3108" i="1" s="1"/>
  <c r="K3099" i="1"/>
  <c r="L3099" i="1" s="1"/>
  <c r="K3098" i="1"/>
  <c r="L3098" i="1" s="1"/>
  <c r="K3092" i="1"/>
  <c r="L3092" i="1" s="1"/>
  <c r="K3086" i="1"/>
  <c r="L3086" i="1" s="1"/>
  <c r="K3081" i="1"/>
  <c r="L3081" i="1" s="1"/>
  <c r="K3077" i="1"/>
  <c r="L3077" i="1" s="1"/>
  <c r="K3070" i="1"/>
  <c r="L3070" i="1" s="1"/>
  <c r="K3060" i="1"/>
  <c r="L3060" i="1" s="1"/>
  <c r="K3055" i="1"/>
  <c r="L3055" i="1" s="1"/>
  <c r="K3051" i="1"/>
  <c r="L3051" i="1" s="1"/>
  <c r="K3045" i="1"/>
  <c r="L3045" i="1" s="1"/>
  <c r="K3041" i="1"/>
  <c r="L3041" i="1" s="1"/>
  <c r="K3036" i="1"/>
  <c r="L3036" i="1" s="1"/>
  <c r="K3032" i="1"/>
  <c r="L3032" i="1" s="1"/>
  <c r="K3023" i="1"/>
  <c r="L3023" i="1" s="1"/>
  <c r="K3018" i="1"/>
  <c r="L3018" i="1" s="1"/>
  <c r="K2554" i="1"/>
  <c r="L2554" i="1" s="1"/>
  <c r="K2552" i="1"/>
  <c r="L2552" i="1" s="1"/>
  <c r="K2550" i="1"/>
  <c r="L2550" i="1" s="1"/>
  <c r="K2548" i="1"/>
  <c r="L2548" i="1" s="1"/>
  <c r="K2545" i="1"/>
  <c r="L2545" i="1" s="1"/>
  <c r="K2542" i="1"/>
  <c r="L2542" i="1" s="1"/>
  <c r="K2539" i="1"/>
  <c r="L2539" i="1" s="1"/>
  <c r="K2537" i="1"/>
  <c r="L2537" i="1" s="1"/>
  <c r="K2534" i="1"/>
  <c r="L2534" i="1" s="1"/>
  <c r="K2532" i="1"/>
  <c r="L2532" i="1" s="1"/>
  <c r="K2530" i="1"/>
  <c r="L2530" i="1" s="1"/>
  <c r="K2523" i="1"/>
  <c r="L2523" i="1" s="1"/>
  <c r="K2521" i="1"/>
  <c r="L2521" i="1" s="1"/>
  <c r="K2519" i="1"/>
  <c r="L2519" i="1" s="1"/>
  <c r="K2516" i="1"/>
  <c r="L2516" i="1" s="1"/>
  <c r="K2511" i="1"/>
  <c r="L2511" i="1" s="1"/>
  <c r="K2507" i="1"/>
  <c r="L2507" i="1" s="1"/>
  <c r="K2503" i="1"/>
  <c r="L2503" i="1" s="1"/>
  <c r="K2496" i="1"/>
  <c r="L2496" i="1" s="1"/>
  <c r="K2492" i="1"/>
  <c r="L2492" i="1" s="1"/>
  <c r="K2487" i="1"/>
  <c r="L2487" i="1" s="1"/>
  <c r="K2478" i="1"/>
  <c r="L2478" i="1" s="1"/>
  <c r="K2473" i="1"/>
  <c r="L2473" i="1" s="1"/>
  <c r="K2465" i="1"/>
  <c r="L2465" i="1" s="1"/>
  <c r="K2461" i="1"/>
  <c r="L2461" i="1" s="1"/>
  <c r="K2377" i="1"/>
  <c r="L2377" i="1" s="1"/>
  <c r="K2373" i="1"/>
  <c r="L2373" i="1" s="1"/>
  <c r="K3458" i="1"/>
  <c r="L3458" i="1" s="1"/>
  <c r="K2553" i="1"/>
  <c r="L2553" i="1" s="1"/>
  <c r="K2551" i="1"/>
  <c r="L2551" i="1" s="1"/>
  <c r="K2549" i="1"/>
  <c r="L2549" i="1" s="1"/>
  <c r="K2547" i="1"/>
  <c r="L2547" i="1" s="1"/>
  <c r="K2543" i="1"/>
  <c r="L2543" i="1" s="1"/>
  <c r="K2540" i="1"/>
  <c r="L2540" i="1" s="1"/>
  <c r="K2538" i="1"/>
  <c r="L2538" i="1" s="1"/>
  <c r="K2536" i="1"/>
  <c r="L2536" i="1" s="1"/>
  <c r="K2533" i="1"/>
  <c r="L2533" i="1" s="1"/>
  <c r="K2531" i="1"/>
  <c r="L2531" i="1" s="1"/>
  <c r="K2524" i="1"/>
  <c r="L2524" i="1" s="1"/>
  <c r="K2522" i="1"/>
  <c r="L2522" i="1" s="1"/>
  <c r="K2520" i="1"/>
  <c r="L2520" i="1" s="1"/>
  <c r="K2517" i="1"/>
  <c r="L2517" i="1" s="1"/>
  <c r="K2513" i="1"/>
  <c r="L2513" i="1" s="1"/>
  <c r="K2508" i="1"/>
  <c r="L2508" i="1" s="1"/>
  <c r="K2504" i="1"/>
  <c r="L2504" i="1" s="1"/>
  <c r="K2498" i="1"/>
  <c r="L2498" i="1" s="1"/>
  <c r="K2493" i="1"/>
  <c r="L2493" i="1" s="1"/>
  <c r="K2488" i="1"/>
  <c r="L2488" i="1" s="1"/>
  <c r="K2479" i="1"/>
  <c r="L2479" i="1" s="1"/>
  <c r="K2475" i="1"/>
  <c r="L2475" i="1" s="1"/>
  <c r="K2466" i="1"/>
  <c r="L2466" i="1" s="1"/>
  <c r="K2462" i="1"/>
  <c r="L2462" i="1" s="1"/>
  <c r="K2457" i="1"/>
  <c r="L2457" i="1" s="1"/>
  <c r="K2374" i="1"/>
  <c r="L2374" i="1" s="1"/>
  <c r="K2371" i="1"/>
  <c r="L2371" i="1" s="1"/>
  <c r="K206" i="1"/>
  <c r="L206" i="1" s="1"/>
  <c r="K204" i="1"/>
  <c r="L204" i="1" s="1"/>
  <c r="K202" i="1"/>
  <c r="L202" i="1" s="1"/>
  <c r="K200" i="1"/>
  <c r="L200" i="1" s="1"/>
  <c r="K198" i="1"/>
  <c r="L198" i="1" s="1"/>
  <c r="K195" i="1"/>
  <c r="L195" i="1" s="1"/>
  <c r="K193" i="1"/>
  <c r="L193" i="1" s="1"/>
  <c r="K191" i="1"/>
  <c r="L191" i="1" s="1"/>
  <c r="K189" i="1"/>
  <c r="L189" i="1" s="1"/>
  <c r="K187" i="1"/>
  <c r="L187" i="1" s="1"/>
  <c r="K185" i="1"/>
  <c r="L185" i="1" s="1"/>
  <c r="K183" i="1"/>
  <c r="L183" i="1" s="1"/>
  <c r="K180" i="1"/>
  <c r="L180" i="1" s="1"/>
  <c r="K178" i="1"/>
  <c r="L178" i="1" s="1"/>
  <c r="K175" i="1"/>
  <c r="L175" i="1" s="1"/>
  <c r="K173" i="1"/>
  <c r="L173" i="1" s="1"/>
  <c r="K171" i="1"/>
  <c r="L171" i="1" s="1"/>
  <c r="K169" i="1"/>
  <c r="L169" i="1" s="1"/>
  <c r="K167" i="1"/>
  <c r="L167" i="1" s="1"/>
  <c r="K163" i="1"/>
  <c r="L163" i="1" s="1"/>
  <c r="K161" i="1"/>
  <c r="L161" i="1" s="1"/>
  <c r="K159" i="1"/>
  <c r="L159" i="1" s="1"/>
  <c r="K157" i="1"/>
  <c r="L157" i="1" s="1"/>
  <c r="K155" i="1"/>
  <c r="L155" i="1" s="1"/>
  <c r="K153" i="1"/>
  <c r="L153" i="1" s="1"/>
  <c r="K151" i="1"/>
  <c r="L151" i="1" s="1"/>
  <c r="K149" i="1"/>
  <c r="L149" i="1" s="1"/>
  <c r="K147" i="1"/>
  <c r="L147" i="1" s="1"/>
  <c r="K145" i="1"/>
  <c r="L145" i="1" s="1"/>
  <c r="K142" i="1"/>
  <c r="L142" i="1" s="1"/>
  <c r="K140" i="1"/>
  <c r="L140" i="1" s="1"/>
  <c r="K137" i="1"/>
  <c r="L137" i="1" s="1"/>
  <c r="K135" i="1"/>
  <c r="L135" i="1" s="1"/>
  <c r="K133" i="1"/>
  <c r="L133" i="1" s="1"/>
  <c r="K131" i="1"/>
  <c r="L131" i="1" s="1"/>
  <c r="K129" i="1"/>
  <c r="L129" i="1" s="1"/>
  <c r="K127" i="1"/>
  <c r="L127" i="1" s="1"/>
  <c r="K119" i="1"/>
  <c r="L119" i="1" s="1"/>
  <c r="K117" i="1"/>
  <c r="L117" i="1" s="1"/>
  <c r="K115" i="1"/>
  <c r="L115" i="1" s="1"/>
  <c r="K113" i="1"/>
  <c r="L113" i="1" s="1"/>
  <c r="K110" i="1"/>
  <c r="L110" i="1" s="1"/>
  <c r="K108" i="1"/>
  <c r="L108" i="1" s="1"/>
  <c r="K106" i="1"/>
  <c r="L106" i="1" s="1"/>
  <c r="K104" i="1"/>
  <c r="L104" i="1" s="1"/>
  <c r="K102" i="1"/>
  <c r="L102" i="1" s="1"/>
  <c r="K98" i="1"/>
  <c r="L98" i="1" s="1"/>
  <c r="K96" i="1"/>
  <c r="L96" i="1" s="1"/>
  <c r="K94" i="1"/>
  <c r="L94" i="1" s="1"/>
  <c r="K87" i="1"/>
  <c r="L87" i="1" s="1"/>
  <c r="K85" i="1"/>
  <c r="L85" i="1" s="1"/>
  <c r="K83" i="1"/>
  <c r="L83" i="1" s="1"/>
  <c r="K81" i="1"/>
  <c r="L81" i="1" s="1"/>
  <c r="K79" i="1"/>
  <c r="L79" i="1" s="1"/>
  <c r="K72" i="1"/>
  <c r="L72" i="1" s="1"/>
  <c r="K70" i="1"/>
  <c r="L70" i="1" s="1"/>
  <c r="K68" i="1"/>
  <c r="L68" i="1" s="1"/>
  <c r="K66" i="1"/>
  <c r="L66" i="1" s="1"/>
  <c r="K2509" i="1"/>
  <c r="L2509" i="1" s="1"/>
  <c r="K2505" i="1"/>
  <c r="L2505" i="1" s="1"/>
  <c r="K2499" i="1"/>
  <c r="L2499" i="1" s="1"/>
  <c r="K2494" i="1"/>
  <c r="L2494" i="1" s="1"/>
  <c r="K2489" i="1"/>
  <c r="L2489" i="1" s="1"/>
  <c r="K2480" i="1"/>
  <c r="L2480" i="1" s="1"/>
  <c r="K2476" i="1"/>
  <c r="L2476" i="1" s="1"/>
  <c r="K2469" i="1"/>
  <c r="L2469" i="1" s="1"/>
  <c r="K2463" i="1"/>
  <c r="L2463" i="1" s="1"/>
  <c r="K2459" i="1"/>
  <c r="L2459" i="1" s="1"/>
  <c r="K2375" i="1"/>
  <c r="L2375" i="1" s="1"/>
  <c r="K207" i="1"/>
  <c r="L207" i="1" s="1"/>
  <c r="K205" i="1"/>
  <c r="L205" i="1" s="1"/>
  <c r="K203" i="1"/>
  <c r="L203" i="1" s="1"/>
  <c r="K201" i="1"/>
  <c r="L201" i="1" s="1"/>
  <c r="K199" i="1"/>
  <c r="L199" i="1" s="1"/>
  <c r="K196" i="1"/>
  <c r="L196" i="1" s="1"/>
  <c r="K194" i="1"/>
  <c r="L194" i="1" s="1"/>
  <c r="K192" i="1"/>
  <c r="L192" i="1" s="1"/>
  <c r="K190" i="1"/>
  <c r="L190" i="1" s="1"/>
  <c r="K188" i="1"/>
  <c r="L188" i="1" s="1"/>
  <c r="K186" i="1"/>
  <c r="L186" i="1" s="1"/>
  <c r="K184" i="1"/>
  <c r="L184" i="1" s="1"/>
  <c r="K181" i="1"/>
  <c r="L181" i="1" s="1"/>
  <c r="K179" i="1"/>
  <c r="L179" i="1" s="1"/>
  <c r="K177" i="1"/>
  <c r="L177" i="1" s="1"/>
  <c r="K174" i="1"/>
  <c r="L174" i="1" s="1"/>
  <c r="K172" i="1"/>
  <c r="L172" i="1" s="1"/>
  <c r="K170" i="1"/>
  <c r="L170" i="1" s="1"/>
  <c r="K168" i="1"/>
  <c r="L168" i="1" s="1"/>
  <c r="K165" i="1"/>
  <c r="L165" i="1" s="1"/>
  <c r="K162" i="1"/>
  <c r="L162" i="1" s="1"/>
  <c r="K160" i="1"/>
  <c r="L160" i="1" s="1"/>
  <c r="K158" i="1"/>
  <c r="L158" i="1" s="1"/>
  <c r="K156" i="1"/>
  <c r="L156" i="1" s="1"/>
  <c r="K154" i="1"/>
  <c r="L154" i="1" s="1"/>
  <c r="K152" i="1"/>
  <c r="L152" i="1" s="1"/>
  <c r="K150" i="1"/>
  <c r="L150" i="1" s="1"/>
  <c r="K148" i="1"/>
  <c r="L148" i="1" s="1"/>
  <c r="K146" i="1"/>
  <c r="L146" i="1" s="1"/>
  <c r="K143" i="1"/>
  <c r="L143" i="1" s="1"/>
  <c r="K141" i="1"/>
  <c r="L141" i="1" s="1"/>
  <c r="K138" i="1"/>
  <c r="L138" i="1" s="1"/>
  <c r="K136" i="1"/>
  <c r="L136" i="1" s="1"/>
  <c r="K134" i="1"/>
  <c r="L134" i="1" s="1"/>
  <c r="K132" i="1"/>
  <c r="L132" i="1" s="1"/>
  <c r="K130" i="1"/>
  <c r="L130" i="1" s="1"/>
  <c r="K128" i="1"/>
  <c r="L128" i="1" s="1"/>
  <c r="K120" i="1"/>
  <c r="L120" i="1" s="1"/>
  <c r="K118" i="1"/>
  <c r="L118" i="1" s="1"/>
  <c r="K116" i="1"/>
  <c r="L116" i="1" s="1"/>
  <c r="K114" i="1"/>
  <c r="L114" i="1" s="1"/>
  <c r="K112" i="1"/>
  <c r="L112" i="1" s="1"/>
  <c r="K109" i="1"/>
  <c r="L109" i="1" s="1"/>
  <c r="K107" i="1"/>
  <c r="L107" i="1" s="1"/>
  <c r="K105" i="1"/>
  <c r="L105" i="1" s="1"/>
  <c r="K103" i="1"/>
  <c r="L103" i="1" s="1"/>
  <c r="K101" i="1"/>
  <c r="L101" i="1" s="1"/>
  <c r="K97" i="1"/>
  <c r="L97" i="1" s="1"/>
  <c r="K95" i="1"/>
  <c r="L95" i="1" s="1"/>
  <c r="K88" i="1"/>
  <c r="L88" i="1" s="1"/>
  <c r="K86" i="1"/>
  <c r="L86" i="1" s="1"/>
  <c r="K84" i="1"/>
  <c r="L84" i="1" s="1"/>
  <c r="K82" i="1"/>
  <c r="L82" i="1" s="1"/>
  <c r="K80" i="1"/>
  <c r="L80" i="1" s="1"/>
  <c r="K78" i="1"/>
  <c r="L78" i="1" s="1"/>
  <c r="K71" i="1"/>
  <c r="L71" i="1" s="1"/>
  <c r="K69" i="1"/>
  <c r="L69" i="1" s="1"/>
  <c r="K67" i="1"/>
  <c r="L67" i="1" s="1"/>
  <c r="K15" i="1"/>
  <c r="L15" i="1" s="1"/>
  <c r="K2510" i="1"/>
  <c r="L2510" i="1" s="1"/>
  <c r="K2506" i="1"/>
  <c r="L2506" i="1" s="1"/>
  <c r="K2501" i="1"/>
  <c r="L2501" i="1" s="1"/>
  <c r="K2495" i="1"/>
  <c r="L2495" i="1" s="1"/>
  <c r="K2490" i="1"/>
  <c r="L2490" i="1" s="1"/>
  <c r="K2486" i="1"/>
  <c r="L2486" i="1" s="1"/>
  <c r="K2477" i="1"/>
  <c r="L2477" i="1" s="1"/>
  <c r="K2472" i="1"/>
  <c r="L2472" i="1" s="1"/>
  <c r="K2464" i="1"/>
  <c r="L2464" i="1" s="1"/>
  <c r="K2460" i="1"/>
  <c r="L2460" i="1" s="1"/>
  <c r="K2376" i="1"/>
  <c r="L2376" i="1" s="1"/>
  <c r="K2372" i="1"/>
  <c r="L2372" i="1" s="1"/>
  <c r="K3535" i="1"/>
  <c r="L3535" i="1" s="1"/>
  <c r="K3531" i="1"/>
  <c r="L3531" i="1" s="1"/>
  <c r="K3529" i="1"/>
  <c r="L3529" i="1" s="1"/>
  <c r="K3507" i="1"/>
  <c r="L3507" i="1" s="1"/>
  <c r="K3502" i="1"/>
  <c r="L3502" i="1" s="1"/>
  <c r="K3498" i="1"/>
  <c r="L3498" i="1" s="1"/>
  <c r="K3494" i="1"/>
  <c r="L3494" i="1" s="1"/>
  <c r="K3490" i="1"/>
  <c r="L3490" i="1" s="1"/>
  <c r="K3484" i="1"/>
  <c r="L3484" i="1" s="1"/>
  <c r="K1261" i="1"/>
  <c r="L1261" i="1" s="1"/>
  <c r="K1258" i="1"/>
  <c r="L1258" i="1" s="1"/>
  <c r="K1256" i="1"/>
  <c r="L1256" i="1" s="1"/>
  <c r="K1248" i="1"/>
  <c r="L1248" i="1" s="1"/>
  <c r="K3537" i="1"/>
  <c r="L3537" i="1" s="1"/>
  <c r="K3533" i="1"/>
  <c r="L3533" i="1" s="1"/>
  <c r="K3528" i="1"/>
  <c r="L3528" i="1" s="1"/>
  <c r="K3525" i="1"/>
  <c r="L3525" i="1" s="1"/>
  <c r="K3513" i="1"/>
  <c r="L3513" i="1" s="1"/>
  <c r="K3509" i="1"/>
  <c r="L3509" i="1" s="1"/>
  <c r="K3505" i="1"/>
  <c r="L3505" i="1" s="1"/>
  <c r="K3500" i="1"/>
  <c r="L3500" i="1" s="1"/>
  <c r="K3496" i="1"/>
  <c r="L3496" i="1" s="1"/>
  <c r="K3492" i="1"/>
  <c r="L3492" i="1" s="1"/>
  <c r="K3488" i="1"/>
  <c r="L3488" i="1" s="1"/>
  <c r="K3482" i="1"/>
  <c r="L3482" i="1" s="1"/>
  <c r="K1260" i="1"/>
  <c r="L1260" i="1" s="1"/>
  <c r="K1257" i="1"/>
  <c r="L1257" i="1" s="1"/>
  <c r="K1255" i="1"/>
  <c r="L1255" i="1" s="1"/>
  <c r="K1247" i="1"/>
  <c r="L1247" i="1" s="1"/>
  <c r="K3540" i="1"/>
  <c r="L3540" i="1" s="1"/>
  <c r="K3536" i="1"/>
  <c r="L3536" i="1" s="1"/>
  <c r="K3532" i="1"/>
  <c r="L3532" i="1" s="1"/>
  <c r="K3527" i="1"/>
  <c r="L3527" i="1" s="1"/>
  <c r="K3523" i="1"/>
  <c r="L3523" i="1" s="1"/>
  <c r="K3520" i="1"/>
  <c r="L3520" i="1" s="1"/>
  <c r="K3516" i="1"/>
  <c r="L3516" i="1" s="1"/>
  <c r="K3511" i="1"/>
  <c r="L3511" i="1" s="1"/>
  <c r="K3508" i="1"/>
  <c r="L3508" i="1" s="1"/>
  <c r="K3504" i="1"/>
  <c r="L3504" i="1" s="1"/>
  <c r="K3499" i="1"/>
  <c r="L3499" i="1" s="1"/>
  <c r="K3495" i="1"/>
  <c r="L3495" i="1" s="1"/>
  <c r="K3491" i="1"/>
  <c r="L3491" i="1" s="1"/>
  <c r="K3485" i="1"/>
  <c r="L3485" i="1" s="1"/>
  <c r="K3481" i="1"/>
  <c r="L3481" i="1" s="1"/>
  <c r="K3539" i="1"/>
  <c r="L3539" i="1" s="1"/>
  <c r="K3538" i="1"/>
  <c r="L3538" i="1" s="1"/>
  <c r="K3534" i="1"/>
  <c r="L3534" i="1" s="1"/>
  <c r="K3526" i="1"/>
  <c r="L3526" i="1" s="1"/>
  <c r="K3521" i="1"/>
  <c r="L3521" i="1" s="1"/>
  <c r="K3518" i="1"/>
  <c r="L3518" i="1" s="1"/>
  <c r="K3515" i="1"/>
  <c r="L3515" i="1" s="1"/>
  <c r="K3510" i="1"/>
  <c r="L3510" i="1" s="1"/>
  <c r="K3506" i="1"/>
  <c r="L3506" i="1" s="1"/>
  <c r="K3501" i="1"/>
  <c r="L3501" i="1" s="1"/>
  <c r="K3497" i="1"/>
  <c r="L3497" i="1" s="1"/>
  <c r="K3493" i="1"/>
  <c r="L3493" i="1" s="1"/>
  <c r="K3489" i="1"/>
  <c r="L3489" i="1" s="1"/>
  <c r="K3483" i="1"/>
  <c r="L3483" i="1" s="1"/>
  <c r="K2455" i="1"/>
  <c r="L2455" i="1" s="1"/>
  <c r="K2452" i="1"/>
  <c r="L2452" i="1" s="1"/>
  <c r="K2450" i="1"/>
  <c r="L2450" i="1" s="1"/>
  <c r="K2448" i="1"/>
  <c r="L2448" i="1" s="1"/>
  <c r="K2445" i="1"/>
  <c r="L2445" i="1" s="1"/>
  <c r="K2443" i="1"/>
  <c r="L2443" i="1" s="1"/>
  <c r="K2435" i="1"/>
  <c r="L2435" i="1" s="1"/>
  <c r="K2433" i="1"/>
  <c r="L2433" i="1" s="1"/>
  <c r="K2431" i="1"/>
  <c r="L2431" i="1" s="1"/>
  <c r="K2428" i="1"/>
  <c r="L2428" i="1" s="1"/>
  <c r="K2425" i="1"/>
  <c r="L2425" i="1" s="1"/>
  <c r="K2422" i="1"/>
  <c r="L2422" i="1" s="1"/>
  <c r="K2418" i="1"/>
  <c r="L2418" i="1" s="1"/>
  <c r="K2413" i="1"/>
  <c r="L2413" i="1" s="1"/>
  <c r="K2406" i="1"/>
  <c r="L2406" i="1" s="1"/>
  <c r="K2401" i="1"/>
  <c r="L2401" i="1" s="1"/>
  <c r="K2391" i="1"/>
  <c r="L2391" i="1" s="1"/>
  <c r="K2385" i="1"/>
  <c r="L2385" i="1" s="1"/>
  <c r="K2379" i="1"/>
  <c r="L2379" i="1" s="1"/>
  <c r="K2454" i="1"/>
  <c r="L2454" i="1" s="1"/>
  <c r="K2451" i="1"/>
  <c r="L2451" i="1" s="1"/>
  <c r="K2449" i="1"/>
  <c r="L2449" i="1" s="1"/>
  <c r="K2446" i="1"/>
  <c r="L2446" i="1" s="1"/>
  <c r="K2444" i="1"/>
  <c r="L2444" i="1" s="1"/>
  <c r="K2436" i="1"/>
  <c r="L2436" i="1" s="1"/>
  <c r="K2434" i="1"/>
  <c r="L2434" i="1" s="1"/>
  <c r="K2432" i="1"/>
  <c r="L2432" i="1" s="1"/>
  <c r="K2429" i="1"/>
  <c r="L2429" i="1" s="1"/>
  <c r="K2426" i="1"/>
  <c r="L2426" i="1" s="1"/>
  <c r="K2423" i="1"/>
  <c r="L2423" i="1" s="1"/>
  <c r="K2419" i="1"/>
  <c r="L2419" i="1" s="1"/>
  <c r="K2415" i="1"/>
  <c r="L2415" i="1" s="1"/>
  <c r="K2407" i="1"/>
  <c r="L2407" i="1" s="1"/>
  <c r="K2402" i="1"/>
  <c r="L2402" i="1" s="1"/>
  <c r="K2392" i="1"/>
  <c r="L2392" i="1" s="1"/>
  <c r="K2388" i="1"/>
  <c r="L2388" i="1" s="1"/>
  <c r="K2381" i="1"/>
  <c r="L2381" i="1" s="1"/>
  <c r="K65" i="1"/>
  <c r="L65" i="1" s="1"/>
  <c r="K63" i="1"/>
  <c r="L63" i="1" s="1"/>
  <c r="K61" i="1"/>
  <c r="L61" i="1" s="1"/>
  <c r="K59" i="1"/>
  <c r="L59" i="1" s="1"/>
  <c r="K57" i="1"/>
  <c r="L57" i="1" s="1"/>
  <c r="K55" i="1"/>
  <c r="L55" i="1" s="1"/>
  <c r="K53" i="1"/>
  <c r="L53" i="1" s="1"/>
  <c r="K51" i="1"/>
  <c r="L51" i="1" s="1"/>
  <c r="K49" i="1"/>
  <c r="L49" i="1" s="1"/>
  <c r="K47" i="1"/>
  <c r="L47" i="1" s="1"/>
  <c r="K45" i="1"/>
  <c r="L45" i="1" s="1"/>
  <c r="K43" i="1"/>
  <c r="L43" i="1" s="1"/>
  <c r="K41" i="1"/>
  <c r="L41" i="1" s="1"/>
  <c r="K39" i="1"/>
  <c r="L39" i="1" s="1"/>
  <c r="K37" i="1"/>
  <c r="L37" i="1" s="1"/>
  <c r="K35" i="1"/>
  <c r="L35" i="1" s="1"/>
  <c r="K33" i="1"/>
  <c r="L33" i="1" s="1"/>
  <c r="K31" i="1"/>
  <c r="L31" i="1" s="1"/>
  <c r="K29" i="1"/>
  <c r="L29" i="1" s="1"/>
  <c r="K27" i="1"/>
  <c r="L27" i="1" s="1"/>
  <c r="K25" i="1"/>
  <c r="L25" i="1" s="1"/>
  <c r="K23" i="1"/>
  <c r="L23" i="1" s="1"/>
  <c r="K21" i="1"/>
  <c r="L21" i="1" s="1"/>
  <c r="K19" i="1"/>
  <c r="L19" i="1" s="1"/>
  <c r="K17" i="1"/>
  <c r="L17" i="1" s="1"/>
  <c r="K14" i="1"/>
  <c r="L14" i="1" s="1"/>
  <c r="K12" i="1"/>
  <c r="L12" i="1" s="1"/>
  <c r="K9" i="1"/>
  <c r="L9" i="1" s="1"/>
  <c r="K7" i="1"/>
  <c r="L7" i="1" s="1"/>
  <c r="K5" i="1"/>
  <c r="L5" i="1" s="1"/>
  <c r="K3" i="1"/>
  <c r="L3" i="1" s="1"/>
  <c r="K2420" i="1"/>
  <c r="L2420" i="1" s="1"/>
  <c r="K2416" i="1"/>
  <c r="L2416" i="1" s="1"/>
  <c r="K2408" i="1"/>
  <c r="L2408" i="1" s="1"/>
  <c r="K2404" i="1"/>
  <c r="L2404" i="1" s="1"/>
  <c r="K2399" i="1"/>
  <c r="L2399" i="1" s="1"/>
  <c r="K2389" i="1"/>
  <c r="L2389" i="1" s="1"/>
  <c r="K2382" i="1"/>
  <c r="L2382" i="1" s="1"/>
  <c r="K64" i="1"/>
  <c r="L64" i="1" s="1"/>
  <c r="K62" i="1"/>
  <c r="L62" i="1" s="1"/>
  <c r="K60" i="1"/>
  <c r="L60" i="1" s="1"/>
  <c r="K58" i="1"/>
  <c r="L58" i="1" s="1"/>
  <c r="K56" i="1"/>
  <c r="L56" i="1" s="1"/>
  <c r="K54" i="1"/>
  <c r="L54" i="1" s="1"/>
  <c r="K52" i="1"/>
  <c r="L52" i="1" s="1"/>
  <c r="K50" i="1"/>
  <c r="L50" i="1" s="1"/>
  <c r="K48" i="1"/>
  <c r="L48" i="1" s="1"/>
  <c r="K46" i="1"/>
  <c r="L46" i="1" s="1"/>
  <c r="K44" i="1"/>
  <c r="L44" i="1" s="1"/>
  <c r="K42" i="1"/>
  <c r="L42" i="1" s="1"/>
  <c r="K40" i="1"/>
  <c r="L40" i="1" s="1"/>
  <c r="K38" i="1"/>
  <c r="L38" i="1" s="1"/>
  <c r="K36" i="1"/>
  <c r="L36" i="1" s="1"/>
  <c r="K34" i="1"/>
  <c r="L34" i="1" s="1"/>
  <c r="K32" i="1"/>
  <c r="L32" i="1" s="1"/>
  <c r="K30" i="1"/>
  <c r="L30" i="1" s="1"/>
  <c r="K28" i="1"/>
  <c r="L28" i="1" s="1"/>
  <c r="K26" i="1"/>
  <c r="L26" i="1" s="1"/>
  <c r="K24" i="1"/>
  <c r="L24" i="1" s="1"/>
  <c r="K22" i="1"/>
  <c r="L22" i="1" s="1"/>
  <c r="K20" i="1"/>
  <c r="L20" i="1" s="1"/>
  <c r="K18" i="1"/>
  <c r="L18" i="1" s="1"/>
  <c r="K16" i="1"/>
  <c r="L16" i="1" s="1"/>
  <c r="K13" i="1"/>
  <c r="L13" i="1" s="1"/>
  <c r="K10" i="1"/>
  <c r="L10" i="1" s="1"/>
  <c r="K8" i="1"/>
  <c r="L8" i="1" s="1"/>
  <c r="K6" i="1"/>
  <c r="L6" i="1" s="1"/>
  <c r="K4" i="1"/>
  <c r="L4" i="1" s="1"/>
  <c r="K2" i="1"/>
  <c r="L2" i="1" s="1"/>
  <c r="K2421" i="1"/>
  <c r="L2421" i="1" s="1"/>
  <c r="K2417" i="1"/>
  <c r="L2417" i="1" s="1"/>
  <c r="K2410" i="1"/>
  <c r="L2410" i="1" s="1"/>
  <c r="K2405" i="1"/>
  <c r="L2405" i="1" s="1"/>
  <c r="K2400" i="1"/>
  <c r="L2400" i="1" s="1"/>
  <c r="K2390" i="1"/>
  <c r="L2390" i="1" s="1"/>
  <c r="K2384" i="1"/>
  <c r="L2384" i="1" s="1"/>
  <c r="K2378" i="1"/>
  <c r="L2378" i="1" s="1"/>
</calcChain>
</file>

<file path=xl/sharedStrings.xml><?xml version="1.0" encoding="utf-8"?>
<sst xmlns="http://schemas.openxmlformats.org/spreadsheetml/2006/main" count="9348" uniqueCount="125">
  <si>
    <t>Data</t>
  </si>
  <si>
    <t>Técnico</t>
  </si>
  <si>
    <t>Nível</t>
  </si>
  <si>
    <t>Atendidas</t>
  </si>
  <si>
    <t xml:space="preserve"> &gt; 2min</t>
  </si>
  <si>
    <t>TMA</t>
  </si>
  <si>
    <t>RO</t>
  </si>
  <si>
    <t>CHAT</t>
  </si>
  <si>
    <t>Realizado</t>
  </si>
  <si>
    <t>Esperado</t>
  </si>
  <si>
    <t>Desvio</t>
  </si>
  <si>
    <t>Classificação</t>
  </si>
  <si>
    <t>SSC</t>
  </si>
  <si>
    <t>Satisfação</t>
  </si>
  <si>
    <t>Votação</t>
  </si>
  <si>
    <t>Anna Luiza Rezende Tavares</t>
  </si>
  <si>
    <t>Estágio</t>
  </si>
  <si>
    <t>Claudio de Sousa Velasco Filho</t>
  </si>
  <si>
    <t>Emilly Caylane Costa</t>
  </si>
  <si>
    <t>Maria Eduarda Sousa Costa</t>
  </si>
  <si>
    <t>Michelle G Santos</t>
  </si>
  <si>
    <t>Quirino Diogo Leite Torres</t>
  </si>
  <si>
    <t>Gabriel Gomes de Andrade</t>
  </si>
  <si>
    <t>Técnico I</t>
  </si>
  <si>
    <t>Gabriel Alves</t>
  </si>
  <si>
    <t>Karina Gonçalves Martins</t>
  </si>
  <si>
    <t>JR</t>
  </si>
  <si>
    <t>Leandro de Souza Silva</t>
  </si>
  <si>
    <t>Milena Sales</t>
  </si>
  <si>
    <t>Paulo Ricardo Santos</t>
  </si>
  <si>
    <t>Pedro Luiz Mota Sousa</t>
  </si>
  <si>
    <t>Amanda Moura Ferreira</t>
  </si>
  <si>
    <t>Técnico III</t>
  </si>
  <si>
    <t>Ana Paula Da Luz Silva Aleixo</t>
  </si>
  <si>
    <t>Cristiane Ramos da Silva Rocha</t>
  </si>
  <si>
    <t>Davylla Rodrigues Freitas Silva</t>
  </si>
  <si>
    <t>Francielson de Oliveira</t>
  </si>
  <si>
    <t>Janaina Lima dos Reis Urany</t>
  </si>
  <si>
    <t>Jaqueline Evangelista da Silva Martins</t>
  </si>
  <si>
    <t>Jéssica Fé Moura</t>
  </si>
  <si>
    <t>Kerollen Cristielly de Jesus Siqueira</t>
  </si>
  <si>
    <t>Leandro Oliveira de Sousa</t>
  </si>
  <si>
    <t>Lucas Luiz Romero</t>
  </si>
  <si>
    <t>Matheus Farias De Souza</t>
  </si>
  <si>
    <t>Maysa Victoria Dias Moura</t>
  </si>
  <si>
    <t>Rafael Gomes de Morais</t>
  </si>
  <si>
    <t>Sarah Steffanie de Lima Borges</t>
  </si>
  <si>
    <t>Alisson de Freitas Silva</t>
  </si>
  <si>
    <t>Técnico II</t>
  </si>
  <si>
    <t>Brenda de Menezes Silva</t>
  </si>
  <si>
    <t>Carlos Mateus Cassimiro Nunes</t>
  </si>
  <si>
    <t>Damyllis Lorraine de Oliveira Gonçalves</t>
  </si>
  <si>
    <t>Emilly Kamilly Medeiros Miranda</t>
  </si>
  <si>
    <t>Francilene Ferreira de Jesus</t>
  </si>
  <si>
    <t>Isabella Borges de Oliveira</t>
  </si>
  <si>
    <t>Jessica Faria da Silveira</t>
  </si>
  <si>
    <t>Lizandra Gomes Duarte</t>
  </si>
  <si>
    <t>Lorena Dias de Araujo</t>
  </si>
  <si>
    <t>Patrícia Karla de Sousa Araújo</t>
  </si>
  <si>
    <t>Ana Karollyne Souza Faria</t>
  </si>
  <si>
    <t>Clessiane Pereira dos Santos</t>
  </si>
  <si>
    <t>Daniel Gomes da Silva</t>
  </si>
  <si>
    <t>Luiz Fernando de Carvalho Junior</t>
  </si>
  <si>
    <t>Raane Batista Matos</t>
  </si>
  <si>
    <t>Sara Maria Monteiro Lopes</t>
  </si>
  <si>
    <t>Técnico Planilha</t>
  </si>
  <si>
    <t>Agente BI</t>
  </si>
  <si>
    <t>Agente SGD</t>
  </si>
  <si>
    <t>Agente Ponto</t>
  </si>
  <si>
    <t>Alisson Freitas</t>
  </si>
  <si>
    <t>Amanda Moreira</t>
  </si>
  <si>
    <t>Ana Karollyne</t>
  </si>
  <si>
    <t>Ana Paula Aleixo</t>
  </si>
  <si>
    <t>Anna Luiza</t>
  </si>
  <si>
    <t>Brenda Gulinely</t>
  </si>
  <si>
    <t>Brenda de Menezes Gulinely da Silva</t>
  </si>
  <si>
    <t>Carlos Nunes</t>
  </si>
  <si>
    <t>Claudio Filho (Estagio)</t>
  </si>
  <si>
    <t>Clessiane Pereira</t>
  </si>
  <si>
    <t>Cristiane Rocha</t>
  </si>
  <si>
    <t>Damyllis</t>
  </si>
  <si>
    <t>Daniel Silva</t>
  </si>
  <si>
    <t>Davylla</t>
  </si>
  <si>
    <t>Emilly Caylane (Estagio)</t>
  </si>
  <si>
    <t>Emilly Miranda</t>
  </si>
  <si>
    <t>Emilly Kamilly Simão de Medeiros Miranda</t>
  </si>
  <si>
    <t>Francielson</t>
  </si>
  <si>
    <t>Francilene Jesus</t>
  </si>
  <si>
    <t>Gabriel Alves (Estagio)</t>
  </si>
  <si>
    <t>Gabriel Alves de Andrade</t>
  </si>
  <si>
    <t>Gabriel Andrade</t>
  </si>
  <si>
    <t>Isabella Borges</t>
  </si>
  <si>
    <t>Janaina Urany</t>
  </si>
  <si>
    <t>Jaqueline Evangelista</t>
  </si>
  <si>
    <t>Jessica Silveira</t>
  </si>
  <si>
    <t>Jessica</t>
  </si>
  <si>
    <t>Jessica Fe Moura</t>
  </si>
  <si>
    <t>Karina Martins</t>
  </si>
  <si>
    <t>Kerollen</t>
  </si>
  <si>
    <t>Leandro Sousa</t>
  </si>
  <si>
    <t>Leandro Silva</t>
  </si>
  <si>
    <t>Lizandra Duarte</t>
  </si>
  <si>
    <t>Lorena</t>
  </si>
  <si>
    <t>Lucas Romero</t>
  </si>
  <si>
    <t>Luiz Fernando</t>
  </si>
  <si>
    <t>Luiz Fernando de Carvalho Júnior</t>
  </si>
  <si>
    <t>Maria Eduarda (Estagio)</t>
  </si>
  <si>
    <t>Matheus Farias</t>
  </si>
  <si>
    <t>Maysa Victoria</t>
  </si>
  <si>
    <t>Maysa Victoria dias moura</t>
  </si>
  <si>
    <t>Michelle Gomes (Estagio)</t>
  </si>
  <si>
    <t>Michelle Gomes dos Santos</t>
  </si>
  <si>
    <t>Milena da Silva Sales</t>
  </si>
  <si>
    <t>Patricia</t>
  </si>
  <si>
    <t>Paulo Santos</t>
  </si>
  <si>
    <t>Paulo Ricardo da Rita Santos</t>
  </si>
  <si>
    <t>Pedro Luiz Mota</t>
  </si>
  <si>
    <t>Quirino Diogo (Estagio)</t>
  </si>
  <si>
    <t>Raane Matos</t>
  </si>
  <si>
    <t>Raane Batista Martins Matos</t>
  </si>
  <si>
    <t>Rafael Gomes</t>
  </si>
  <si>
    <t>Sara Lopes</t>
  </si>
  <si>
    <t>Sarah Borges</t>
  </si>
  <si>
    <t>J?ssica F? Moura</t>
  </si>
  <si>
    <t>Patr?cia Karla de Sousa Ara?jo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</si>
</sst>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center" vertical="center"/>
    </xf>
    <xf numFmtId="14" fontId="1" fillId="0" borderId="0" xfId="0" applyNumberFormat="1" applyFon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1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 vertical="center"/>
    </xf>
    <xf numFmtId="164" fontId="0" fillId="0" borderId="0" xfId="0" applyNumberFormat="1"/>
    <xf numFmtId="0" fontId="0" fillId="0" borderId="0" xfId="0" applyAlignment="1">
      <alignment vertical="center"/>
    </xf>
    <xf numFmtId="14" fontId="0" fillId="0" borderId="0" xfId="0" applyNumberFormat="1"/>
    <xf numFmtId="0" fontId="1" fillId="0" borderId="0" xfId="0" applyFont="1" applyAlignment="1">
      <alignment horizontal="center"/>
    </xf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P4660"/>
  <sheetViews>
    <sheetView tabSelected="1" zoomScale="85" zoomScaleNormal="85" workbookViewId="0">
      <selection activeCell="H4661" sqref="H4661"/>
    </sheetView>
  </sheetViews>
  <sheetFormatPr defaultRowHeight="15" x14ac:dyDescent="0.25"/>
  <cols>
    <col min="1" max="1" width="10.42578125" style="5" bestFit="1" customWidth="1"/>
    <col min="2" max="2" width="41.7109375" style="6" customWidth="1"/>
    <col min="3" max="3" width="10.28515625" style="1" bestFit="1" customWidth="1"/>
    <col min="4" max="4" width="14.5703125" style="3" bestFit="1" customWidth="1"/>
    <col min="5" max="8" width="9.140625" style="3" customWidth="1"/>
    <col min="9" max="9" width="14.5703125" style="3" bestFit="1" customWidth="1"/>
    <col min="10" max="11" width="9.140625" style="3" customWidth="1"/>
    <col min="12" max="12" width="13.140625" style="3" bestFit="1" customWidth="1"/>
    <col min="13" max="13" width="9.140625" style="3" customWidth="1"/>
    <col min="14" max="14" width="14.85546875" style="3" bestFit="1" customWidth="1"/>
    <col min="15" max="15" width="12.7109375" style="3" bestFit="1" customWidth="1"/>
    <col min="16" max="16" width="9.140625" style="3" customWidth="1"/>
  </cols>
  <sheetData>
    <row r="1" spans="1:16" x14ac:dyDescent="0.25">
      <c r="A1" s="4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/>
    </row>
    <row r="2" spans="1:16" hidden="1" x14ac:dyDescent="0.25">
      <c r="A2" s="5">
        <v>46146</v>
      </c>
      <c r="B2" s="6" t="s">
        <v>15</v>
      </c>
      <c r="C2" s="3" t="s">
        <v>16</v>
      </c>
      <c r="D2" s="3">
        <v>48</v>
      </c>
      <c r="E2" s="3">
        <v>36</v>
      </c>
      <c r="F2" s="3">
        <v>10.4</v>
      </c>
      <c r="G2" s="3">
        <v>0</v>
      </c>
      <c r="H2" s="3">
        <v>0</v>
      </c>
      <c r="I2" s="3">
        <f t="shared" ref="I2:I10" si="0">E2+G2+H2</f>
        <v>36</v>
      </c>
      <c r="J2" s="3">
        <f>ROUND(MIN(IF(C2="Técnico III",35,IF(C2="Técnico II",28,IF(C2="Técnico I",23,IF(C2="JR",20,IF(C2="Estágio",10,0))))),IF(C2="Técnico III",SUMIFS($D:$D,$A:$A,$A2,$B:$B,"&lt;&gt;Patrícia Karla de Sousa Araújo",$B:$B,"&lt;&gt;Lorena Dias de Araujo",$B:$B,"&lt;&gt;Lucas Luiz Romero")*(35/1083),IF(C2="Técnico II",SUMIFS($D:$D,$A:$A,$A2,$B:$B,"&lt;&gt;Patrícia Karla de Sousa Araújo",$B:$B,"&lt;&gt;Lorena Dias de Araujo",$B:$B,"&lt;&gt;Lucas Luiz Romero")*(28/1083),IF(C2="Técnico I",SUMIFS($D:$D,$A:$A,$A2,$B:$B,"&lt;&gt;Patrícia Karla de Sousa Araújo",$B:$B,"&lt;&gt;Lorena Dias de Araujo",$B:$B,"&lt;&gt;Lucas Luiz Romero")*(23/1083),IF(C2="JR",SUMIFS($D:$D,$A:$A,$A2,$B:$B,"&lt;&gt;Patrícia Karla de Sousa Araújo",$B:$B,"&lt;&gt;Lorena Dias de Araujo",$B:$B,"&lt;&gt;Lucas Luiz Romero")*(20/1083),IF(C2="Estágio",SUMIFS($D:$D,$A:$A,$A2,$B:$B,"&lt;&gt;Patrícia Karla de Sousa Araújo",$B:$B,"&lt;&gt;Lorena Dias de Araujo",$B:$B,"&lt;&gt;Lucas Luiz Romero")*(10/1083),0)))))),0)</f>
        <v>10</v>
      </c>
      <c r="K2" s="3">
        <f t="shared" ref="K2:K10" si="1">I2-J2</f>
        <v>26</v>
      </c>
      <c r="L2" s="3" t="str">
        <f t="shared" ref="L2:L33" si="2">IF(K2&lt;-5,"CRÍTICO",IF(K2&lt;0,"ATENÇÃO",IF(K2&lt;=5,"BOM","EXCELENTE")))</f>
        <v>EXCELENTE</v>
      </c>
      <c r="M2" s="9">
        <v>29</v>
      </c>
      <c r="N2" s="9">
        <v>99.25</v>
      </c>
      <c r="O2" s="9">
        <v>20.408163265306118</v>
      </c>
    </row>
    <row r="3" spans="1:16" hidden="1" x14ac:dyDescent="0.25">
      <c r="A3" s="5">
        <v>46146</v>
      </c>
      <c r="B3" s="6" t="s">
        <v>17</v>
      </c>
      <c r="C3" s="3" t="s">
        <v>16</v>
      </c>
      <c r="D3" s="3">
        <v>8</v>
      </c>
      <c r="E3" s="3">
        <v>8</v>
      </c>
      <c r="F3" s="3">
        <v>25.13</v>
      </c>
      <c r="G3" s="3">
        <v>0</v>
      </c>
      <c r="H3" s="3">
        <v>0</v>
      </c>
      <c r="I3" s="3">
        <f t="shared" si="0"/>
        <v>8</v>
      </c>
      <c r="J3" s="3">
        <f>ROUND(MIN(IF(C3="Técnico III",35,IF(C3="Técnico II",28,IF(C3="Técnico I",23,IF(C3="JR",20,IF(C3="Estágio",10,0))))),IF(C3="Técnico III",SUMIFS($D:$D,$A:$A,$A3,$B:$B,"&lt;&gt;Patrícia Karla de Sousa Araújo",$B:$B,"&lt;&gt;Lorena Dias de Araujo",$B:$B,"&lt;&gt;Lucas Luiz Romero")*(35/1083),IF(C3="Técnico II",SUMIFS($D:$D,$A:$A,$A3,$B:$B,"&lt;&gt;Patrícia Karla de Sousa Araújo",$B:$B,"&lt;&gt;Lorena Dias de Araujo",$B:$B,"&lt;&gt;Lucas Luiz Romero")*(28/1083),IF(C3="Técnico I",SUMIFS($D:$D,$A:$A,$A3,$B:$B,"&lt;&gt;Patrícia Karla de Sousa Araújo",$B:$B,"&lt;&gt;Lorena Dias de Araujo",$B:$B,"&lt;&gt;Lucas Luiz Romero")*(23/1083),IF(C3="JR",SUMIFS($D:$D,$A:$A,$A3,$B:$B,"&lt;&gt;Patrícia Karla de Sousa Araújo",$B:$B,"&lt;&gt;Lorena Dias de Araujo",$B:$B,"&lt;&gt;Lucas Luiz Romero")*(20/1083),IF(C3="Estágio",SUMIFS($D:$D,$A:$A,$A3,$B:$B,"&lt;&gt;Patrícia Karla de Sousa Araújo",$B:$B,"&lt;&gt;Lorena Dias de Araujo",$B:$B,"&lt;&gt;Lucas Luiz Romero")*(10/1083),0)))))),0)</f>
        <v>10</v>
      </c>
      <c r="K3" s="3">
        <f t="shared" si="1"/>
        <v>-2</v>
      </c>
      <c r="L3" s="3" t="str">
        <f t="shared" si="2"/>
        <v>ATENÇÃO</v>
      </c>
      <c r="M3" s="9">
        <v>7</v>
      </c>
      <c r="N3" s="9">
        <v>97.14</v>
      </c>
      <c r="O3" s="9">
        <v>24.761904761904759</v>
      </c>
    </row>
    <row r="4" spans="1:16" hidden="1" x14ac:dyDescent="0.25">
      <c r="A4" s="5">
        <v>46146</v>
      </c>
      <c r="B4" s="6" t="s">
        <v>18</v>
      </c>
      <c r="C4" s="3" t="s">
        <v>16</v>
      </c>
      <c r="D4" s="3">
        <v>8</v>
      </c>
      <c r="E4" s="3">
        <v>8</v>
      </c>
      <c r="F4" s="3">
        <v>38.450000000000003</v>
      </c>
      <c r="G4" s="3">
        <v>0</v>
      </c>
      <c r="H4" s="3">
        <v>0</v>
      </c>
      <c r="I4" s="3">
        <f t="shared" si="0"/>
        <v>8</v>
      </c>
      <c r="J4" s="3">
        <f>ROUND(MIN(IF(C4="Técnico III",35,IF(C4="Técnico II",28,IF(C4="Técnico I",23,IF(C4="JR",20,IF(C4="Estágio",10,0))))),IF(C4="Técnico III",SUMIFS($D:$D,$A:$A,$A4,$B:$B,"&lt;&gt;Patrícia Karla de Sousa Araújo",$B:$B,"&lt;&gt;Lorena Dias de Araujo",$B:$B,"&lt;&gt;Lucas Luiz Romero")*(35/1083),IF(C4="Técnico II",SUMIFS($D:$D,$A:$A,$A4,$B:$B,"&lt;&gt;Patrícia Karla de Sousa Araújo",$B:$B,"&lt;&gt;Lorena Dias de Araujo",$B:$B,"&lt;&gt;Lucas Luiz Romero")*(28/1083),IF(C4="Técnico I",SUMIFS($D:$D,$A:$A,$A4,$B:$B,"&lt;&gt;Patrícia Karla de Sousa Araújo",$B:$B,"&lt;&gt;Lorena Dias de Araujo",$B:$B,"&lt;&gt;Lucas Luiz Romero")*(23/1083),IF(C4="JR",SUMIFS($D:$D,$A:$A,$A4,$B:$B,"&lt;&gt;Patrícia Karla de Sousa Araújo",$B:$B,"&lt;&gt;Lorena Dias de Araujo",$B:$B,"&lt;&gt;Lucas Luiz Romero")*(20/1083),IF(C4="Estágio",SUMIFS($D:$D,$A:$A,$A4,$B:$B,"&lt;&gt;Patrícia Karla de Sousa Araújo",$B:$B,"&lt;&gt;Lorena Dias de Araujo",$B:$B,"&lt;&gt;Lucas Luiz Romero")*(10/1083),0)))))),0)</f>
        <v>10</v>
      </c>
      <c r="K4" s="3">
        <f t="shared" si="1"/>
        <v>-2</v>
      </c>
      <c r="L4" s="3" t="str">
        <f t="shared" si="2"/>
        <v>ATENÇÃO</v>
      </c>
      <c r="M4" s="9">
        <v>8</v>
      </c>
      <c r="N4" s="9">
        <v>100</v>
      </c>
      <c r="O4" s="9">
        <v>28.94736842105263</v>
      </c>
    </row>
    <row r="5" spans="1:16" hidden="1" x14ac:dyDescent="0.25">
      <c r="A5" s="5">
        <v>46146</v>
      </c>
      <c r="B5" s="6" t="s">
        <v>19</v>
      </c>
      <c r="C5" s="3" t="s">
        <v>16</v>
      </c>
      <c r="D5" s="3">
        <v>47</v>
      </c>
      <c r="E5" s="3">
        <v>25</v>
      </c>
      <c r="F5" s="3">
        <v>3.57</v>
      </c>
      <c r="G5" s="3">
        <v>0</v>
      </c>
      <c r="H5" s="3">
        <v>0</v>
      </c>
      <c r="I5" s="3">
        <f t="shared" si="0"/>
        <v>25</v>
      </c>
      <c r="J5" s="3">
        <f>ROUND(MIN(IF(C5="Técnico III",35,IF(C5="Técnico II",28,IF(C5="Técnico I",23,IF(C5="JR",20,IF(C5="Estágio",10,0))))),IF(C5="Técnico III",SUMIFS($D:$D,$A:$A,$A5,$B:$B,"&lt;&gt;Patrícia Karla de Sousa Araújo",$B:$B,"&lt;&gt;Lorena Dias de Araujo",$B:$B,"&lt;&gt;Lucas Luiz Romero")*(35/1083),IF(C5="Técnico II",SUMIFS($D:$D,$A:$A,$A5,$B:$B,"&lt;&gt;Patrícia Karla de Sousa Araújo",$B:$B,"&lt;&gt;Lorena Dias de Araujo",$B:$B,"&lt;&gt;Lucas Luiz Romero")*(28/1083),IF(C5="Técnico I",SUMIFS($D:$D,$A:$A,$A5,$B:$B,"&lt;&gt;Patrícia Karla de Sousa Araújo",$B:$B,"&lt;&gt;Lorena Dias de Araujo",$B:$B,"&lt;&gt;Lucas Luiz Romero")*(23/1083),IF(C5="JR",SUMIFS($D:$D,$A:$A,$A5,$B:$B,"&lt;&gt;Patrícia Karla de Sousa Araújo",$B:$B,"&lt;&gt;Lorena Dias de Araujo",$B:$B,"&lt;&gt;Lucas Luiz Romero")*(20/1083),IF(C5="Estágio",SUMIFS($D:$D,$A:$A,$A5,$B:$B,"&lt;&gt;Patrícia Karla de Sousa Araújo",$B:$B,"&lt;&gt;Lorena Dias de Araujo",$B:$B,"&lt;&gt;Lucas Luiz Romero")*(10/1083),0)))))),0)</f>
        <v>10</v>
      </c>
      <c r="K5" s="3">
        <f t="shared" si="1"/>
        <v>15</v>
      </c>
      <c r="L5" s="3" t="str">
        <f t="shared" si="2"/>
        <v>EXCELENTE</v>
      </c>
      <c r="M5" s="9">
        <v>0</v>
      </c>
      <c r="N5" s="9">
        <v>100</v>
      </c>
      <c r="O5" s="9">
        <v>12.941176470588241</v>
      </c>
    </row>
    <row r="6" spans="1:16" hidden="1" x14ac:dyDescent="0.25">
      <c r="A6" s="5">
        <v>46146</v>
      </c>
      <c r="B6" s="6" t="s">
        <v>20</v>
      </c>
      <c r="C6" s="3" t="s">
        <v>16</v>
      </c>
      <c r="D6" s="3">
        <v>8</v>
      </c>
      <c r="E6" s="3">
        <v>7</v>
      </c>
      <c r="F6" s="3">
        <v>23.3</v>
      </c>
      <c r="G6" s="3">
        <v>0</v>
      </c>
      <c r="H6" s="3">
        <v>0</v>
      </c>
      <c r="I6" s="3">
        <f t="shared" si="0"/>
        <v>7</v>
      </c>
      <c r="J6" s="3">
        <f>ROUND(MIN(IF(C6="Técnico III",35,IF(C6="Técnico II",28,IF(C6="Técnico I",23,IF(C6="JR",20,IF(C6="Estágio",10,0))))),IF(C6="Técnico III",SUMIFS($D:$D,$A:$A,$A6,$B:$B,"&lt;&gt;Patrícia Karla de Sousa Araújo",$B:$B,"&lt;&gt;Lorena Dias de Araujo",$B:$B,"&lt;&gt;Lucas Luiz Romero")*(35/1083),IF(C6="Técnico II",SUMIFS($D:$D,$A:$A,$A6,$B:$B,"&lt;&gt;Patrícia Karla de Sousa Araújo",$B:$B,"&lt;&gt;Lorena Dias de Araujo",$B:$B,"&lt;&gt;Lucas Luiz Romero")*(28/1083),IF(C6="Técnico I",SUMIFS($D:$D,$A:$A,$A6,$B:$B,"&lt;&gt;Patrícia Karla de Sousa Araújo",$B:$B,"&lt;&gt;Lorena Dias de Araujo",$B:$B,"&lt;&gt;Lucas Luiz Romero")*(23/1083),IF(C6="JR",SUMIFS($D:$D,$A:$A,$A6,$B:$B,"&lt;&gt;Patrícia Karla de Sousa Araújo",$B:$B,"&lt;&gt;Lorena Dias de Araujo",$B:$B,"&lt;&gt;Lucas Luiz Romero")*(20/1083),IF(C6="Estágio",SUMIFS($D:$D,$A:$A,$A6,$B:$B,"&lt;&gt;Patrícia Karla de Sousa Araújo",$B:$B,"&lt;&gt;Lorena Dias de Araujo",$B:$B,"&lt;&gt;Lucas Luiz Romero")*(10/1083),0)))))),0)</f>
        <v>10</v>
      </c>
      <c r="K6" s="3">
        <f t="shared" si="1"/>
        <v>-3</v>
      </c>
      <c r="L6" s="3" t="str">
        <f t="shared" si="2"/>
        <v>ATENÇÃO</v>
      </c>
      <c r="M6" s="9">
        <v>4</v>
      </c>
      <c r="N6" s="9">
        <v>100</v>
      </c>
      <c r="O6" s="9">
        <v>17.1875</v>
      </c>
    </row>
    <row r="7" spans="1:16" hidden="1" x14ac:dyDescent="0.25">
      <c r="A7" s="5">
        <v>46146</v>
      </c>
      <c r="B7" s="6" t="s">
        <v>21</v>
      </c>
      <c r="C7" s="3" t="s">
        <v>16</v>
      </c>
      <c r="D7" s="3">
        <v>14</v>
      </c>
      <c r="E7" s="3">
        <v>14</v>
      </c>
      <c r="F7" s="3">
        <v>34.04</v>
      </c>
      <c r="G7" s="3">
        <v>1</v>
      </c>
      <c r="H7" s="3">
        <v>0</v>
      </c>
      <c r="I7" s="3">
        <f t="shared" si="0"/>
        <v>15</v>
      </c>
      <c r="J7" s="3">
        <f>ROUND(MIN(IF(C7="Técnico III",35,IF(C7="Técnico II",28,IF(C7="Técnico I",23,IF(C7="JR",20,IF(C7="Estágio",10,0))))),IF(C7="Técnico III",SUMIFS($D:$D,$A:$A,$A7,$B:$B,"&lt;&gt;Patrícia Karla de Sousa Araújo",$B:$B,"&lt;&gt;Lorena Dias de Araujo",$B:$B,"&lt;&gt;Lucas Luiz Romero")*(35/1083),IF(C7="Técnico II",SUMIFS($D:$D,$A:$A,$A7,$B:$B,"&lt;&gt;Patrícia Karla de Sousa Araújo",$B:$B,"&lt;&gt;Lorena Dias de Araujo",$B:$B,"&lt;&gt;Lucas Luiz Romero")*(28/1083),IF(C7="Técnico I",SUMIFS($D:$D,$A:$A,$A7,$B:$B,"&lt;&gt;Patrícia Karla de Sousa Araújo",$B:$B,"&lt;&gt;Lorena Dias de Araujo",$B:$B,"&lt;&gt;Lucas Luiz Romero")*(23/1083),IF(C7="JR",SUMIFS($D:$D,$A:$A,$A7,$B:$B,"&lt;&gt;Patrícia Karla de Sousa Araújo",$B:$B,"&lt;&gt;Lorena Dias de Araujo",$B:$B,"&lt;&gt;Lucas Luiz Romero")*(20/1083),IF(C7="Estágio",SUMIFS($D:$D,$A:$A,$A7,$B:$B,"&lt;&gt;Patrícia Karla de Sousa Araújo",$B:$B,"&lt;&gt;Lorena Dias de Araujo",$B:$B,"&lt;&gt;Lucas Luiz Romero")*(10/1083),0)))))),0)</f>
        <v>10</v>
      </c>
      <c r="K7" s="3">
        <f t="shared" si="1"/>
        <v>5</v>
      </c>
      <c r="L7" s="3" t="str">
        <f t="shared" si="2"/>
        <v>BOM</v>
      </c>
      <c r="M7" s="9">
        <v>12</v>
      </c>
      <c r="N7" s="9">
        <v>98.36</v>
      </c>
      <c r="O7" s="9">
        <v>21.917808219178081</v>
      </c>
    </row>
    <row r="8" spans="1:16" hidden="1" x14ac:dyDescent="0.25">
      <c r="A8" s="5">
        <v>46147</v>
      </c>
      <c r="B8" s="6" t="s">
        <v>15</v>
      </c>
      <c r="C8" s="3" t="s">
        <v>16</v>
      </c>
      <c r="D8" s="3">
        <v>36</v>
      </c>
      <c r="E8" s="3">
        <v>35</v>
      </c>
      <c r="F8" s="3">
        <v>17.29</v>
      </c>
      <c r="G8" s="3">
        <v>0</v>
      </c>
      <c r="H8" s="3">
        <v>0</v>
      </c>
      <c r="I8" s="3">
        <f t="shared" si="0"/>
        <v>35</v>
      </c>
      <c r="J8" s="3">
        <f>ROUND(MIN(IF(C8="Técnico III",35,IF(C8="Técnico II",28,IF(C8="Técnico I",23,IF(C8="JR",20,IF(C8="Estágio",10,0))))),IF(C8="Técnico III",SUMIFS($D:$D,$A:$A,$A8,$B:$B,"&lt;&gt;Patrícia Karla de Sousa Araújo",$B:$B,"&lt;&gt;Lorena Dias de Araujo",$B:$B,"&lt;&gt;Lucas Luiz Romero")*(35/1083),IF(C8="Técnico II",SUMIFS($D:$D,$A:$A,$A8,$B:$B,"&lt;&gt;Patrícia Karla de Sousa Araújo",$B:$B,"&lt;&gt;Lorena Dias de Araujo",$B:$B,"&lt;&gt;Lucas Luiz Romero")*(28/1083),IF(C8="Técnico I",SUMIFS($D:$D,$A:$A,$A8,$B:$B,"&lt;&gt;Patrícia Karla de Sousa Araújo",$B:$B,"&lt;&gt;Lorena Dias de Araujo",$B:$B,"&lt;&gt;Lucas Luiz Romero")*(23/1083),IF(C8="JR",SUMIFS($D:$D,$A:$A,$A8,$B:$B,"&lt;&gt;Patrícia Karla de Sousa Araújo",$B:$B,"&lt;&gt;Lorena Dias de Araujo",$B:$B,"&lt;&gt;Lucas Luiz Romero")*(20/1083),IF(C8="Estágio",SUMIFS($D:$D,$A:$A,$A8,$B:$B,"&lt;&gt;Patrícia Karla de Sousa Araújo",$B:$B,"&lt;&gt;Lorena Dias de Araujo",$B:$B,"&lt;&gt;Lucas Luiz Romero")*(10/1083),0)))))),0)</f>
        <v>10</v>
      </c>
      <c r="K8" s="3">
        <f t="shared" si="1"/>
        <v>25</v>
      </c>
      <c r="L8" s="3" t="str">
        <f t="shared" si="2"/>
        <v>EXCELENTE</v>
      </c>
      <c r="M8" s="3">
        <v>33</v>
      </c>
      <c r="N8" s="3">
        <v>99.25</v>
      </c>
      <c r="O8" s="3">
        <v>20.408163265306118</v>
      </c>
    </row>
    <row r="9" spans="1:16" hidden="1" x14ac:dyDescent="0.25">
      <c r="A9" s="5">
        <v>46147</v>
      </c>
      <c r="B9" s="6" t="s">
        <v>17</v>
      </c>
      <c r="C9" s="3" t="s">
        <v>16</v>
      </c>
      <c r="D9" s="3">
        <v>10</v>
      </c>
      <c r="E9" s="3">
        <v>10</v>
      </c>
      <c r="F9" s="3">
        <v>12.39</v>
      </c>
      <c r="G9" s="3">
        <v>0</v>
      </c>
      <c r="H9" s="3">
        <v>0</v>
      </c>
      <c r="I9" s="3">
        <f t="shared" si="0"/>
        <v>10</v>
      </c>
      <c r="J9" s="3">
        <f>ROUND(MIN(IF(C9="Técnico III",35,IF(C9="Técnico II",28,IF(C9="Técnico I",23,IF(C9="JR",20,IF(C9="Estágio",10,0))))),IF(C9="Técnico III",SUMIFS($D:$D,$A:$A,$A9,$B:$B,"&lt;&gt;Patrícia Karla de Sousa Araújo",$B:$B,"&lt;&gt;Lorena Dias de Araujo",$B:$B,"&lt;&gt;Lucas Luiz Romero")*(35/1083),IF(C9="Técnico II",SUMIFS($D:$D,$A:$A,$A9,$B:$B,"&lt;&gt;Patrícia Karla de Sousa Araújo",$B:$B,"&lt;&gt;Lorena Dias de Araujo",$B:$B,"&lt;&gt;Lucas Luiz Romero")*(28/1083),IF(C9="Técnico I",SUMIFS($D:$D,$A:$A,$A9,$B:$B,"&lt;&gt;Patrícia Karla de Sousa Araújo",$B:$B,"&lt;&gt;Lorena Dias de Araujo",$B:$B,"&lt;&gt;Lucas Luiz Romero")*(23/1083),IF(C9="JR",SUMIFS($D:$D,$A:$A,$A9,$B:$B,"&lt;&gt;Patrícia Karla de Sousa Araújo",$B:$B,"&lt;&gt;Lorena Dias de Araujo",$B:$B,"&lt;&gt;Lucas Luiz Romero")*(20/1083),IF(C9="Estágio",SUMIFS($D:$D,$A:$A,$A9,$B:$B,"&lt;&gt;Patrícia Karla de Sousa Araújo",$B:$B,"&lt;&gt;Lorena Dias de Araujo",$B:$B,"&lt;&gt;Lucas Luiz Romero")*(10/1083),0)))))),0)</f>
        <v>10</v>
      </c>
      <c r="K9" s="3">
        <f t="shared" si="1"/>
        <v>0</v>
      </c>
      <c r="L9" s="3" t="str">
        <f t="shared" si="2"/>
        <v>BOM</v>
      </c>
      <c r="M9" s="3">
        <v>9</v>
      </c>
      <c r="N9" s="3">
        <v>97.14</v>
      </c>
      <c r="O9" s="3">
        <v>24.761904761904759</v>
      </c>
    </row>
    <row r="10" spans="1:16" hidden="1" x14ac:dyDescent="0.25">
      <c r="A10" s="5">
        <v>46147</v>
      </c>
      <c r="B10" s="6" t="s">
        <v>18</v>
      </c>
      <c r="C10" s="3" t="s">
        <v>16</v>
      </c>
      <c r="D10" s="3">
        <v>48</v>
      </c>
      <c r="E10" s="3">
        <v>32</v>
      </c>
      <c r="F10" s="3">
        <v>4.04</v>
      </c>
      <c r="G10" s="3">
        <v>0</v>
      </c>
      <c r="H10" s="3">
        <v>0</v>
      </c>
      <c r="I10" s="3">
        <f t="shared" si="0"/>
        <v>32</v>
      </c>
      <c r="J10" s="3">
        <f>ROUND(MIN(IF(C10="Técnico III",35,IF(C10="Técnico II",28,IF(C10="Técnico I",23,IF(C10="JR",20,IF(C10="Estágio",10,0))))),IF(C10="Técnico III",SUMIFS($D:$D,$A:$A,$A10,$B:$B,"&lt;&gt;Patrícia Karla de Sousa Araújo",$B:$B,"&lt;&gt;Lorena Dias de Araujo",$B:$B,"&lt;&gt;Lucas Luiz Romero")*(35/1083),IF(C10="Técnico II",SUMIFS($D:$D,$A:$A,$A10,$B:$B,"&lt;&gt;Patrícia Karla de Sousa Araújo",$B:$B,"&lt;&gt;Lorena Dias de Araujo",$B:$B,"&lt;&gt;Lucas Luiz Romero")*(28/1083),IF(C10="Técnico I",SUMIFS($D:$D,$A:$A,$A10,$B:$B,"&lt;&gt;Patrícia Karla de Sousa Araújo",$B:$B,"&lt;&gt;Lorena Dias de Araujo",$B:$B,"&lt;&gt;Lucas Luiz Romero")*(23/1083),IF(C10="JR",SUMIFS($D:$D,$A:$A,$A10,$B:$B,"&lt;&gt;Patrícia Karla de Sousa Araújo",$B:$B,"&lt;&gt;Lorena Dias de Araujo",$B:$B,"&lt;&gt;Lucas Luiz Romero")*(20/1083),IF(C10="Estágio",SUMIFS($D:$D,$A:$A,$A10,$B:$B,"&lt;&gt;Patrícia Karla de Sousa Araújo",$B:$B,"&lt;&gt;Lorena Dias de Araujo",$B:$B,"&lt;&gt;Lucas Luiz Romero")*(10/1083),0)))))),0)</f>
        <v>10</v>
      </c>
      <c r="K10" s="3">
        <f t="shared" si="1"/>
        <v>22</v>
      </c>
      <c r="L10" s="3" t="str">
        <f t="shared" si="2"/>
        <v>EXCELENTE</v>
      </c>
      <c r="M10" s="3">
        <v>0</v>
      </c>
      <c r="N10" s="3">
        <v>100</v>
      </c>
      <c r="O10" s="3">
        <v>28.94736842105263</v>
      </c>
    </row>
    <row r="11" spans="1:16" hidden="1" x14ac:dyDescent="0.25">
      <c r="A11" s="5">
        <v>46147</v>
      </c>
      <c r="B11" s="6" t="s">
        <v>19</v>
      </c>
      <c r="C11" s="3" t="s">
        <v>16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>
        <v>0</v>
      </c>
      <c r="L11" s="3" t="str">
        <f t="shared" si="2"/>
        <v>BOM</v>
      </c>
      <c r="M11" s="3">
        <v>0</v>
      </c>
      <c r="N11" s="3">
        <v>100</v>
      </c>
      <c r="O11" s="3">
        <v>12.941176470588241</v>
      </c>
    </row>
    <row r="12" spans="1:16" hidden="1" x14ac:dyDescent="0.25">
      <c r="A12" s="5">
        <v>46147</v>
      </c>
      <c r="B12" s="6" t="s">
        <v>20</v>
      </c>
      <c r="C12" s="3" t="s">
        <v>16</v>
      </c>
      <c r="D12" s="3">
        <v>11</v>
      </c>
      <c r="E12" s="3">
        <v>11</v>
      </c>
      <c r="F12" s="3">
        <v>42.06</v>
      </c>
      <c r="G12" s="3">
        <v>0</v>
      </c>
      <c r="H12" s="3">
        <v>0</v>
      </c>
      <c r="I12" s="3">
        <f t="shared" ref="I12:I43" si="3">E12+G12+H12</f>
        <v>11</v>
      </c>
      <c r="J12" s="3">
        <f>ROUND(MIN(IF(C12="Técnico III",35,IF(C12="Técnico II",28,IF(C12="Técnico I",23,IF(C12="JR",20,IF(C12="Estágio",10,0))))),IF(C12="Técnico III",SUMIFS($D:$D,$A:$A,$A12,$B:$B,"&lt;&gt;Patrícia Karla de Sousa Araújo",$B:$B,"&lt;&gt;Lorena Dias de Araujo",$B:$B,"&lt;&gt;Lucas Luiz Romero")*(35/1083),IF(C12="Técnico II",SUMIFS($D:$D,$A:$A,$A12,$B:$B,"&lt;&gt;Patrícia Karla de Sousa Araújo",$B:$B,"&lt;&gt;Lorena Dias de Araujo",$B:$B,"&lt;&gt;Lucas Luiz Romero")*(28/1083),IF(C12="Técnico I",SUMIFS($D:$D,$A:$A,$A12,$B:$B,"&lt;&gt;Patrícia Karla de Sousa Araújo",$B:$B,"&lt;&gt;Lorena Dias de Araujo",$B:$B,"&lt;&gt;Lucas Luiz Romero")*(23/1083),IF(C12="JR",SUMIFS($D:$D,$A:$A,$A12,$B:$B,"&lt;&gt;Patrícia Karla de Sousa Araújo",$B:$B,"&lt;&gt;Lorena Dias de Araujo",$B:$B,"&lt;&gt;Lucas Luiz Romero")*(20/1083),IF(C12="Estágio",SUMIFS($D:$D,$A:$A,$A12,$B:$B,"&lt;&gt;Patrícia Karla de Sousa Araújo",$B:$B,"&lt;&gt;Lorena Dias de Araujo",$B:$B,"&lt;&gt;Lucas Luiz Romero")*(10/1083),0)))))),0)</f>
        <v>10</v>
      </c>
      <c r="K12" s="3">
        <f t="shared" ref="K12:K43" si="4">I12-J12</f>
        <v>1</v>
      </c>
      <c r="L12" s="3" t="str">
        <f t="shared" si="2"/>
        <v>BOM</v>
      </c>
      <c r="M12" s="3">
        <v>10</v>
      </c>
      <c r="N12" s="3">
        <v>100</v>
      </c>
      <c r="O12" s="3">
        <v>17.1875</v>
      </c>
    </row>
    <row r="13" spans="1:16" hidden="1" x14ac:dyDescent="0.25">
      <c r="A13" s="5">
        <v>46147</v>
      </c>
      <c r="B13" s="6" t="s">
        <v>21</v>
      </c>
      <c r="C13" s="3" t="s">
        <v>16</v>
      </c>
      <c r="D13" s="3">
        <v>22</v>
      </c>
      <c r="E13" s="3">
        <v>18</v>
      </c>
      <c r="F13" s="3">
        <v>18.46</v>
      </c>
      <c r="G13" s="3">
        <v>1</v>
      </c>
      <c r="H13" s="3">
        <v>0</v>
      </c>
      <c r="I13" s="3">
        <f t="shared" si="3"/>
        <v>19</v>
      </c>
      <c r="J13" s="3">
        <f>ROUND(MIN(IF(C13="Técnico III",35,IF(C13="Técnico II",28,IF(C13="Técnico I",23,IF(C13="JR",20,IF(C13="Estágio",10,0))))),IF(C13="Técnico III",SUMIFS($D:$D,$A:$A,$A13,$B:$B,"&lt;&gt;Patrícia Karla de Sousa Araújo",$B:$B,"&lt;&gt;Lorena Dias de Araujo",$B:$B,"&lt;&gt;Lucas Luiz Romero")*(35/1083),IF(C13="Técnico II",SUMIFS($D:$D,$A:$A,$A13,$B:$B,"&lt;&gt;Patrícia Karla de Sousa Araújo",$B:$B,"&lt;&gt;Lorena Dias de Araujo",$B:$B,"&lt;&gt;Lucas Luiz Romero")*(28/1083),IF(C13="Técnico I",SUMIFS($D:$D,$A:$A,$A13,$B:$B,"&lt;&gt;Patrícia Karla de Sousa Araújo",$B:$B,"&lt;&gt;Lorena Dias de Araujo",$B:$B,"&lt;&gt;Lucas Luiz Romero")*(23/1083),IF(C13="JR",SUMIFS($D:$D,$A:$A,$A13,$B:$B,"&lt;&gt;Patrícia Karla de Sousa Araújo",$B:$B,"&lt;&gt;Lorena Dias de Araujo",$B:$B,"&lt;&gt;Lucas Luiz Romero")*(20/1083),IF(C13="Estágio",SUMIFS($D:$D,$A:$A,$A13,$B:$B,"&lt;&gt;Patrícia Karla de Sousa Araújo",$B:$B,"&lt;&gt;Lorena Dias de Araujo",$B:$B,"&lt;&gt;Lucas Luiz Romero")*(10/1083),0)))))),0)</f>
        <v>10</v>
      </c>
      <c r="K13" s="3">
        <f t="shared" si="4"/>
        <v>9</v>
      </c>
      <c r="L13" s="3" t="str">
        <f t="shared" si="2"/>
        <v>EXCELENTE</v>
      </c>
      <c r="M13" s="3">
        <v>18</v>
      </c>
      <c r="N13" s="3">
        <v>98.36</v>
      </c>
      <c r="O13" s="3">
        <v>21.917808219178081</v>
      </c>
    </row>
    <row r="14" spans="1:16" hidden="1" x14ac:dyDescent="0.25">
      <c r="A14" s="5">
        <v>46148</v>
      </c>
      <c r="B14" s="6" t="s">
        <v>15</v>
      </c>
      <c r="C14" s="3" t="s">
        <v>16</v>
      </c>
      <c r="D14" s="3">
        <v>27</v>
      </c>
      <c r="E14" s="3">
        <v>26</v>
      </c>
      <c r="F14">
        <v>23.4</v>
      </c>
      <c r="G14" s="3">
        <v>0</v>
      </c>
      <c r="H14" s="3">
        <v>0</v>
      </c>
      <c r="I14" s="3">
        <f t="shared" si="3"/>
        <v>26</v>
      </c>
      <c r="J14" s="3">
        <f>ROUND(MIN(IF(C14="Técnico III",35,IF(C14="Técnico II",28,IF(C14="Técnico I",23,IF(C14="JR",20,IF(C14="Estágio",10,0))))),IF(C14="Técnico III",SUMIFS($D:$D,$A:$A,$A14,$B:$B,"&lt;&gt;Patrícia Karla de Sousa Araújo",$B:$B,"&lt;&gt;Lorena Dias de Araujo",$B:$B,"&lt;&gt;Lucas Luiz Romero")*(35/1083),IF(C14="Técnico II",SUMIFS($D:$D,$A:$A,$A14,$B:$B,"&lt;&gt;Patrícia Karla de Sousa Araújo",$B:$B,"&lt;&gt;Lorena Dias de Araujo",$B:$B,"&lt;&gt;Lucas Luiz Romero")*(28/1083),IF(C14="Técnico I",SUMIFS($D:$D,$A:$A,$A14,$B:$B,"&lt;&gt;Patrícia Karla de Sousa Araújo",$B:$B,"&lt;&gt;Lorena Dias de Araujo",$B:$B,"&lt;&gt;Lucas Luiz Romero")*(23/1083),IF(C14="JR",SUMIFS($D:$D,$A:$A,$A14,$B:$B,"&lt;&gt;Patrícia Karla de Sousa Araújo",$B:$B,"&lt;&gt;Lorena Dias de Araujo",$B:$B,"&lt;&gt;Lucas Luiz Romero")*(20/1083),IF(C14="Estágio",SUMIFS($D:$D,$A:$A,$A14,$B:$B,"&lt;&gt;Patrícia Karla de Sousa Araújo",$B:$B,"&lt;&gt;Lorena Dias de Araujo",$B:$B,"&lt;&gt;Lucas Luiz Romero")*(10/1083),0)))))),0)</f>
        <v>10</v>
      </c>
      <c r="K14" s="3">
        <f t="shared" si="4"/>
        <v>16</v>
      </c>
      <c r="L14" s="3" t="str">
        <f t="shared" si="2"/>
        <v>EXCELENTE</v>
      </c>
      <c r="M14" s="3">
        <v>25</v>
      </c>
      <c r="N14" s="3">
        <v>99.25</v>
      </c>
      <c r="O14" s="3">
        <v>20.408163265306118</v>
      </c>
    </row>
    <row r="15" spans="1:16" hidden="1" x14ac:dyDescent="0.25">
      <c r="A15" s="5">
        <v>46148</v>
      </c>
      <c r="B15" s="6" t="s">
        <v>17</v>
      </c>
      <c r="C15" s="3" t="s">
        <v>16</v>
      </c>
      <c r="D15" s="3">
        <v>13</v>
      </c>
      <c r="E15" s="3">
        <v>12</v>
      </c>
      <c r="F15">
        <v>20.07</v>
      </c>
      <c r="G15" s="3">
        <v>0</v>
      </c>
      <c r="H15" s="3">
        <v>0</v>
      </c>
      <c r="I15" s="3">
        <f t="shared" si="3"/>
        <v>12</v>
      </c>
      <c r="J15" s="3">
        <f>ROUND(MIN(IF(C15="Técnico III",35,IF(C15="Técnico II",28,IF(C15="Técnico I",23,IF(C15="JR",20,IF(C15="Estágio",10,0))))),IF(C15="Técnico III",SUMIFS($D:$D,$A:$A,$A15,$B:$B,"&lt;&gt;Patrícia Karla de Sousa Araújo",$B:$B,"&lt;&gt;Lorena Dias de Araujo",$B:$B,"&lt;&gt;Lucas Luiz Romero")*(35/1083),IF(C15="Técnico II",SUMIFS($D:$D,$A:$A,$A15,$B:$B,"&lt;&gt;Patrícia Karla de Sousa Araújo",$B:$B,"&lt;&gt;Lorena Dias de Araujo",$B:$B,"&lt;&gt;Lucas Luiz Romero")*(28/1083),IF(C15="Técnico I",SUMIFS($D:$D,$A:$A,$A15,$B:$B,"&lt;&gt;Patrícia Karla de Sousa Araújo",$B:$B,"&lt;&gt;Lorena Dias de Araujo",$B:$B,"&lt;&gt;Lucas Luiz Romero")*(23/1083),IF(C15="JR",SUMIFS($D:$D,$A:$A,$A15,$B:$B,"&lt;&gt;Patrícia Karla de Sousa Araújo",$B:$B,"&lt;&gt;Lorena Dias de Araujo",$B:$B,"&lt;&gt;Lucas Luiz Romero")*(20/1083),IF(C15="Estágio",SUMIFS($D:$D,$A:$A,$A15,$B:$B,"&lt;&gt;Patrícia Karla de Sousa Araújo",$B:$B,"&lt;&gt;Lorena Dias de Araujo",$B:$B,"&lt;&gt;Lucas Luiz Romero")*(10/1083),0)))))),0)</f>
        <v>10</v>
      </c>
      <c r="K15" s="3">
        <f t="shared" si="4"/>
        <v>2</v>
      </c>
      <c r="L15" s="3" t="str">
        <f t="shared" si="2"/>
        <v>BOM</v>
      </c>
      <c r="M15" s="3">
        <v>9</v>
      </c>
      <c r="N15" s="3">
        <v>97.14</v>
      </c>
      <c r="O15" s="3">
        <v>24.761904761904759</v>
      </c>
    </row>
    <row r="16" spans="1:16" hidden="1" x14ac:dyDescent="0.25">
      <c r="A16" s="5">
        <v>46148</v>
      </c>
      <c r="B16" s="6" t="s">
        <v>18</v>
      </c>
      <c r="C16" s="3" t="s">
        <v>16</v>
      </c>
      <c r="D16" s="3">
        <v>56</v>
      </c>
      <c r="E16" s="3">
        <v>43</v>
      </c>
      <c r="F16">
        <v>5.13</v>
      </c>
      <c r="G16" s="3">
        <v>0</v>
      </c>
      <c r="H16" s="3">
        <v>0</v>
      </c>
      <c r="I16" s="3">
        <f t="shared" si="3"/>
        <v>43</v>
      </c>
      <c r="J16" s="3">
        <f>ROUND(MIN(IF(C16="Técnico III",35,IF(C16="Técnico II",28,IF(C16="Técnico I",23,IF(C16="JR",20,IF(C16="Estágio",10,0))))),IF(C16="Técnico III",SUMIFS($D:$D,$A:$A,$A16,$B:$B,"&lt;&gt;Patrícia Karla de Sousa Araújo",$B:$B,"&lt;&gt;Lorena Dias de Araujo",$B:$B,"&lt;&gt;Lucas Luiz Romero")*(35/1083),IF(C16="Técnico II",SUMIFS($D:$D,$A:$A,$A16,$B:$B,"&lt;&gt;Patrícia Karla de Sousa Araújo",$B:$B,"&lt;&gt;Lorena Dias de Araujo",$B:$B,"&lt;&gt;Lucas Luiz Romero")*(28/1083),IF(C16="Técnico I",SUMIFS($D:$D,$A:$A,$A16,$B:$B,"&lt;&gt;Patrícia Karla de Sousa Araújo",$B:$B,"&lt;&gt;Lorena Dias de Araujo",$B:$B,"&lt;&gt;Lucas Luiz Romero")*(23/1083),IF(C16="JR",SUMIFS($D:$D,$A:$A,$A16,$B:$B,"&lt;&gt;Patrícia Karla de Sousa Araújo",$B:$B,"&lt;&gt;Lorena Dias de Araujo",$B:$B,"&lt;&gt;Lucas Luiz Romero")*(20/1083),IF(C16="Estágio",SUMIFS($D:$D,$A:$A,$A16,$B:$B,"&lt;&gt;Patrícia Karla de Sousa Araújo",$B:$B,"&lt;&gt;Lorena Dias de Araujo",$B:$B,"&lt;&gt;Lucas Luiz Romero")*(10/1083),0)))))),0)</f>
        <v>10</v>
      </c>
      <c r="K16" s="3">
        <f t="shared" si="4"/>
        <v>33</v>
      </c>
      <c r="L16" s="3" t="str">
        <f t="shared" si="2"/>
        <v>EXCELENTE</v>
      </c>
      <c r="M16" s="3">
        <v>2</v>
      </c>
      <c r="N16" s="3">
        <v>100</v>
      </c>
      <c r="O16" s="3">
        <v>28.94736842105263</v>
      </c>
    </row>
    <row r="17" spans="1:15" hidden="1" x14ac:dyDescent="0.25">
      <c r="A17" s="5">
        <v>46148</v>
      </c>
      <c r="B17" s="6" t="s">
        <v>19</v>
      </c>
      <c r="C17" s="3" t="s">
        <v>16</v>
      </c>
      <c r="D17" s="3">
        <v>66</v>
      </c>
      <c r="E17" s="3">
        <v>38</v>
      </c>
      <c r="F17">
        <v>7.02</v>
      </c>
      <c r="G17" s="3">
        <v>0</v>
      </c>
      <c r="H17" s="3">
        <v>0</v>
      </c>
      <c r="I17" s="3">
        <f t="shared" si="3"/>
        <v>38</v>
      </c>
      <c r="J17" s="3">
        <f>ROUND(MIN(IF(C17="Técnico III",35,IF(C17="Técnico II",28,IF(C17="Técnico I",23,IF(C17="JR",20,IF(C17="Estágio",10,0))))),IF(C17="Técnico III",SUMIFS($D:$D,$A:$A,$A17,$B:$B,"&lt;&gt;Patrícia Karla de Sousa Araújo",$B:$B,"&lt;&gt;Lorena Dias de Araujo",$B:$B,"&lt;&gt;Lucas Luiz Romero")*(35/1083),IF(C17="Técnico II",SUMIFS($D:$D,$A:$A,$A17,$B:$B,"&lt;&gt;Patrícia Karla de Sousa Araújo",$B:$B,"&lt;&gt;Lorena Dias de Araujo",$B:$B,"&lt;&gt;Lucas Luiz Romero")*(28/1083),IF(C17="Técnico I",SUMIFS($D:$D,$A:$A,$A17,$B:$B,"&lt;&gt;Patrícia Karla de Sousa Araújo",$B:$B,"&lt;&gt;Lorena Dias de Araujo",$B:$B,"&lt;&gt;Lucas Luiz Romero")*(23/1083),IF(C17="JR",SUMIFS($D:$D,$A:$A,$A17,$B:$B,"&lt;&gt;Patrícia Karla de Sousa Araújo",$B:$B,"&lt;&gt;Lorena Dias de Araujo",$B:$B,"&lt;&gt;Lucas Luiz Romero")*(20/1083),IF(C17="Estágio",SUMIFS($D:$D,$A:$A,$A17,$B:$B,"&lt;&gt;Patrícia Karla de Sousa Araújo",$B:$B,"&lt;&gt;Lorena Dias de Araujo",$B:$B,"&lt;&gt;Lucas Luiz Romero")*(10/1083),0)))))),0)</f>
        <v>10</v>
      </c>
      <c r="K17" s="3">
        <f t="shared" si="4"/>
        <v>28</v>
      </c>
      <c r="L17" s="3" t="str">
        <f t="shared" si="2"/>
        <v>EXCELENTE</v>
      </c>
      <c r="M17" s="3">
        <v>3</v>
      </c>
      <c r="N17" s="3">
        <v>100</v>
      </c>
      <c r="O17" s="3">
        <v>12.941176470588241</v>
      </c>
    </row>
    <row r="18" spans="1:15" hidden="1" x14ac:dyDescent="0.25">
      <c r="A18" s="5">
        <v>46148</v>
      </c>
      <c r="B18" s="6" t="s">
        <v>20</v>
      </c>
      <c r="C18" s="3" t="s">
        <v>16</v>
      </c>
      <c r="D18" s="3">
        <v>9</v>
      </c>
      <c r="E18" s="3">
        <v>8</v>
      </c>
      <c r="F18">
        <v>30.08</v>
      </c>
      <c r="G18" s="3">
        <v>0</v>
      </c>
      <c r="H18" s="3">
        <v>0</v>
      </c>
      <c r="I18" s="3">
        <f t="shared" si="3"/>
        <v>8</v>
      </c>
      <c r="J18" s="3">
        <f>ROUND(MIN(IF(C18="Técnico III",35,IF(C18="Técnico II",28,IF(C18="Técnico I",23,IF(C18="JR",20,IF(C18="Estágio",10,0))))),IF(C18="Técnico III",SUMIFS($D:$D,$A:$A,$A18,$B:$B,"&lt;&gt;Patrícia Karla de Sousa Araújo",$B:$B,"&lt;&gt;Lorena Dias de Araujo",$B:$B,"&lt;&gt;Lucas Luiz Romero")*(35/1083),IF(C18="Técnico II",SUMIFS($D:$D,$A:$A,$A18,$B:$B,"&lt;&gt;Patrícia Karla de Sousa Araújo",$B:$B,"&lt;&gt;Lorena Dias de Araujo",$B:$B,"&lt;&gt;Lucas Luiz Romero")*(28/1083),IF(C18="Técnico I",SUMIFS($D:$D,$A:$A,$A18,$B:$B,"&lt;&gt;Patrícia Karla de Sousa Araújo",$B:$B,"&lt;&gt;Lorena Dias de Araujo",$B:$B,"&lt;&gt;Lucas Luiz Romero")*(23/1083),IF(C18="JR",SUMIFS($D:$D,$A:$A,$A18,$B:$B,"&lt;&gt;Patrícia Karla de Sousa Araújo",$B:$B,"&lt;&gt;Lorena Dias de Araujo",$B:$B,"&lt;&gt;Lucas Luiz Romero")*(20/1083),IF(C18="Estágio",SUMIFS($D:$D,$A:$A,$A18,$B:$B,"&lt;&gt;Patrícia Karla de Sousa Araújo",$B:$B,"&lt;&gt;Lorena Dias de Araujo",$B:$B,"&lt;&gt;Lucas Luiz Romero")*(10/1083),0)))))),0)</f>
        <v>10</v>
      </c>
      <c r="K18" s="3">
        <f t="shared" si="4"/>
        <v>-2</v>
      </c>
      <c r="L18" s="3" t="str">
        <f t="shared" si="2"/>
        <v>ATENÇÃO</v>
      </c>
      <c r="M18" s="3">
        <v>7</v>
      </c>
      <c r="N18" s="3">
        <v>100</v>
      </c>
      <c r="O18" s="3">
        <v>17.1875</v>
      </c>
    </row>
    <row r="19" spans="1:15" hidden="1" x14ac:dyDescent="0.25">
      <c r="A19" s="11">
        <v>46024</v>
      </c>
      <c r="B19" t="s">
        <v>22</v>
      </c>
      <c r="C19" t="s">
        <v>23</v>
      </c>
      <c r="D19">
        <v>17</v>
      </c>
      <c r="E19">
        <v>17</v>
      </c>
      <c r="F19">
        <v>27.06</v>
      </c>
      <c r="I19" s="3">
        <f t="shared" si="3"/>
        <v>17</v>
      </c>
      <c r="J19" s="3">
        <f>ROUND(MIN(IF(C19="Técnico III",35,IF(C19="Técnico II",28,IF(C19="Técnico I",23,IF(C19="JR",20,IF(C19="Estágio",10,0))))),IF(C19="Técnico III",SUMIFS($D:$D,$A:$A,$A19,$B:$B,"&lt;&gt;Patrícia Karla de Sousa Araújo",$B:$B,"&lt;&gt;Lorena Dias de Araujo",$B:$B,"&lt;&gt;Lucas Luiz Romero")*(35/1083),IF(C19="Técnico II",SUMIFS($D:$D,$A:$A,$A19,$B:$B,"&lt;&gt;Patrícia Karla de Sousa Araújo",$B:$B,"&lt;&gt;Lorena Dias de Araujo",$B:$B,"&lt;&gt;Lucas Luiz Romero")*(28/1083),IF(C19="Técnico I",SUMIFS($D:$D,$A:$A,$A19,$B:$B,"&lt;&gt;Patrícia Karla de Sousa Araújo",$B:$B,"&lt;&gt;Lorena Dias de Araujo",$B:$B,"&lt;&gt;Lucas Luiz Romero")*(23/1083),IF(C19="JR",SUMIFS($D:$D,$A:$A,$A19,$B:$B,"&lt;&gt;Patrícia Karla de Sousa Araújo",$B:$B,"&lt;&gt;Lorena Dias de Araujo",$B:$B,"&lt;&gt;Lucas Luiz Romero")*(20/1083),IF(C19="Estágio",SUMIFS($D:$D,$A:$A,$A19,$B:$B,"&lt;&gt;Patrícia Karla de Sousa Araújo",$B:$B,"&lt;&gt;Lorena Dias de Araujo",$B:$B,"&lt;&gt;Lucas Luiz Romero")*(10/1083),0)))))),0)</f>
        <v>9</v>
      </c>
      <c r="K19" s="3">
        <f t="shared" si="4"/>
        <v>8</v>
      </c>
      <c r="L19" s="3" t="str">
        <f t="shared" si="2"/>
        <v>EXCELENTE</v>
      </c>
      <c r="M19">
        <v>14</v>
      </c>
      <c r="N19">
        <v>98.91</v>
      </c>
      <c r="O19">
        <v>31.367292225201069</v>
      </c>
    </row>
    <row r="20" spans="1:15" hidden="1" x14ac:dyDescent="0.25">
      <c r="A20" s="5">
        <v>46148</v>
      </c>
      <c r="B20" s="6" t="s">
        <v>21</v>
      </c>
      <c r="C20" s="3" t="s">
        <v>16</v>
      </c>
      <c r="D20" s="3">
        <v>17</v>
      </c>
      <c r="E20" s="3">
        <v>15</v>
      </c>
      <c r="F20">
        <v>22.06</v>
      </c>
      <c r="G20" s="3">
        <v>0</v>
      </c>
      <c r="H20" s="3">
        <v>0</v>
      </c>
      <c r="I20" s="3">
        <f t="shared" si="3"/>
        <v>15</v>
      </c>
      <c r="J20" s="3">
        <f>ROUND(MIN(IF(C20="Técnico III",35,IF(C20="Técnico II",28,IF(C20="Técnico I",23,IF(C20="JR",20,IF(C20="Estágio",10,0))))),IF(C20="Técnico III",SUMIFS($D:$D,$A:$A,$A20,$B:$B,"&lt;&gt;Patrícia Karla de Sousa Araújo",$B:$B,"&lt;&gt;Lorena Dias de Araujo",$B:$B,"&lt;&gt;Lucas Luiz Romero")*(35/1083),IF(C20="Técnico II",SUMIFS($D:$D,$A:$A,$A20,$B:$B,"&lt;&gt;Patrícia Karla de Sousa Araújo",$B:$B,"&lt;&gt;Lorena Dias de Araujo",$B:$B,"&lt;&gt;Lucas Luiz Romero")*(28/1083),IF(C20="Técnico I",SUMIFS($D:$D,$A:$A,$A20,$B:$B,"&lt;&gt;Patrícia Karla de Sousa Araújo",$B:$B,"&lt;&gt;Lorena Dias de Araujo",$B:$B,"&lt;&gt;Lucas Luiz Romero")*(23/1083),IF(C20="JR",SUMIFS($D:$D,$A:$A,$A20,$B:$B,"&lt;&gt;Patrícia Karla de Sousa Araújo",$B:$B,"&lt;&gt;Lorena Dias de Araujo",$B:$B,"&lt;&gt;Lucas Luiz Romero")*(20/1083),IF(C20="Estágio",SUMIFS($D:$D,$A:$A,$A20,$B:$B,"&lt;&gt;Patrícia Karla de Sousa Araújo",$B:$B,"&lt;&gt;Lorena Dias de Araujo",$B:$B,"&lt;&gt;Lucas Luiz Romero")*(10/1083),0)))))),0)</f>
        <v>10</v>
      </c>
      <c r="K20" s="3">
        <f t="shared" si="4"/>
        <v>5</v>
      </c>
      <c r="L20" s="3" t="str">
        <f t="shared" si="2"/>
        <v>BOM</v>
      </c>
      <c r="M20" s="3">
        <v>14</v>
      </c>
      <c r="N20" s="3">
        <v>98.36</v>
      </c>
      <c r="O20" s="3">
        <v>21.917808219178081</v>
      </c>
    </row>
    <row r="21" spans="1:15" hidden="1" x14ac:dyDescent="0.25">
      <c r="A21" s="5">
        <v>46149</v>
      </c>
      <c r="B21" s="6" t="s">
        <v>15</v>
      </c>
      <c r="C21" s="3" t="s">
        <v>16</v>
      </c>
      <c r="D21" s="3">
        <v>33</v>
      </c>
      <c r="E21" s="3">
        <v>32</v>
      </c>
      <c r="F21">
        <v>19.09</v>
      </c>
      <c r="G21" s="3">
        <v>0</v>
      </c>
      <c r="H21" s="3">
        <v>0</v>
      </c>
      <c r="I21" s="3">
        <f t="shared" si="3"/>
        <v>32</v>
      </c>
      <c r="J21" s="3">
        <f>ROUND(MIN(IF(C21="Técnico III",35,IF(C21="Técnico II",28,IF(C21="Técnico I",23,IF(C21="JR",20,IF(C21="Estágio",10,0))))),IF(C21="Técnico III",SUMIFS($D:$D,$A:$A,$A21,$B:$B,"&lt;&gt;Patrícia Karla de Sousa Araújo",$B:$B,"&lt;&gt;Lorena Dias de Araujo",$B:$B,"&lt;&gt;Lucas Luiz Romero")*(35/1083),IF(C21="Técnico II",SUMIFS($D:$D,$A:$A,$A21,$B:$B,"&lt;&gt;Patrícia Karla de Sousa Araújo",$B:$B,"&lt;&gt;Lorena Dias de Araujo",$B:$B,"&lt;&gt;Lucas Luiz Romero")*(28/1083),IF(C21="Técnico I",SUMIFS($D:$D,$A:$A,$A21,$B:$B,"&lt;&gt;Patrícia Karla de Sousa Araújo",$B:$B,"&lt;&gt;Lorena Dias de Araujo",$B:$B,"&lt;&gt;Lucas Luiz Romero")*(23/1083),IF(C21="JR",SUMIFS($D:$D,$A:$A,$A21,$B:$B,"&lt;&gt;Patrícia Karla de Sousa Araújo",$B:$B,"&lt;&gt;Lorena Dias de Araujo",$B:$B,"&lt;&gt;Lucas Luiz Romero")*(20/1083),IF(C21="Estágio",SUMIFS($D:$D,$A:$A,$A21,$B:$B,"&lt;&gt;Patrícia Karla de Sousa Araújo",$B:$B,"&lt;&gt;Lorena Dias de Araujo",$B:$B,"&lt;&gt;Lucas Luiz Romero")*(10/1083),0)))))),0)</f>
        <v>9</v>
      </c>
      <c r="K21" s="3">
        <f t="shared" si="4"/>
        <v>23</v>
      </c>
      <c r="L21" s="3" t="str">
        <f t="shared" si="2"/>
        <v>EXCELENTE</v>
      </c>
      <c r="M21" s="3">
        <v>30</v>
      </c>
      <c r="N21" s="3">
        <v>99.25</v>
      </c>
      <c r="O21" s="3">
        <v>20.408163265306118</v>
      </c>
    </row>
    <row r="22" spans="1:15" hidden="1" x14ac:dyDescent="0.25">
      <c r="A22" s="5">
        <v>46149</v>
      </c>
      <c r="B22" s="6" t="s">
        <v>17</v>
      </c>
      <c r="C22" s="3" t="s">
        <v>16</v>
      </c>
      <c r="D22" s="3">
        <v>12</v>
      </c>
      <c r="E22" s="3">
        <v>12</v>
      </c>
      <c r="F22">
        <v>19.170000000000002</v>
      </c>
      <c r="G22" s="3">
        <v>0</v>
      </c>
      <c r="H22" s="3">
        <v>0</v>
      </c>
      <c r="I22" s="3">
        <f t="shared" si="3"/>
        <v>12</v>
      </c>
      <c r="J22" s="3">
        <f>ROUND(MIN(IF(C22="Técnico III",35,IF(C22="Técnico II",28,IF(C22="Técnico I",23,IF(C22="JR",20,IF(C22="Estágio",10,0))))),IF(C22="Técnico III",SUMIFS($D:$D,$A:$A,$A22,$B:$B,"&lt;&gt;Patrícia Karla de Sousa Araújo",$B:$B,"&lt;&gt;Lorena Dias de Araujo",$B:$B,"&lt;&gt;Lucas Luiz Romero")*(35/1083),IF(C22="Técnico II",SUMIFS($D:$D,$A:$A,$A22,$B:$B,"&lt;&gt;Patrícia Karla de Sousa Araújo",$B:$B,"&lt;&gt;Lorena Dias de Araujo",$B:$B,"&lt;&gt;Lucas Luiz Romero")*(28/1083),IF(C22="Técnico I",SUMIFS($D:$D,$A:$A,$A22,$B:$B,"&lt;&gt;Patrícia Karla de Sousa Araújo",$B:$B,"&lt;&gt;Lorena Dias de Araujo",$B:$B,"&lt;&gt;Lucas Luiz Romero")*(23/1083),IF(C22="JR",SUMIFS($D:$D,$A:$A,$A22,$B:$B,"&lt;&gt;Patrícia Karla de Sousa Araújo",$B:$B,"&lt;&gt;Lorena Dias de Araujo",$B:$B,"&lt;&gt;Lucas Luiz Romero")*(20/1083),IF(C22="Estágio",SUMIFS($D:$D,$A:$A,$A22,$B:$B,"&lt;&gt;Patrícia Karla de Sousa Araújo",$B:$B,"&lt;&gt;Lorena Dias de Araujo",$B:$B,"&lt;&gt;Lucas Luiz Romero")*(10/1083),0)))))),0)</f>
        <v>9</v>
      </c>
      <c r="K22" s="3">
        <f t="shared" si="4"/>
        <v>3</v>
      </c>
      <c r="L22" s="3" t="str">
        <f t="shared" si="2"/>
        <v>BOM</v>
      </c>
      <c r="M22" s="3">
        <v>9</v>
      </c>
      <c r="N22" s="3">
        <v>97.14</v>
      </c>
      <c r="O22" s="3">
        <v>24.761904761904759</v>
      </c>
    </row>
    <row r="23" spans="1:15" hidden="1" x14ac:dyDescent="0.25">
      <c r="A23" s="5">
        <v>46149</v>
      </c>
      <c r="B23" s="6" t="s">
        <v>18</v>
      </c>
      <c r="C23" s="3" t="s">
        <v>16</v>
      </c>
      <c r="D23" s="3">
        <v>51</v>
      </c>
      <c r="E23" s="3">
        <v>32</v>
      </c>
      <c r="F23">
        <v>3.44</v>
      </c>
      <c r="G23" s="3">
        <v>0</v>
      </c>
      <c r="H23" s="3">
        <v>0</v>
      </c>
      <c r="I23" s="3">
        <f t="shared" si="3"/>
        <v>32</v>
      </c>
      <c r="J23" s="3">
        <f>ROUND(MIN(IF(C23="Técnico III",35,IF(C23="Técnico II",28,IF(C23="Técnico I",23,IF(C23="JR",20,IF(C23="Estágio",10,0))))),IF(C23="Técnico III",SUMIFS($D:$D,$A:$A,$A23,$B:$B,"&lt;&gt;Patrícia Karla de Sousa Araújo",$B:$B,"&lt;&gt;Lorena Dias de Araujo",$B:$B,"&lt;&gt;Lucas Luiz Romero")*(35/1083),IF(C23="Técnico II",SUMIFS($D:$D,$A:$A,$A23,$B:$B,"&lt;&gt;Patrícia Karla de Sousa Araújo",$B:$B,"&lt;&gt;Lorena Dias de Araujo",$B:$B,"&lt;&gt;Lucas Luiz Romero")*(28/1083),IF(C23="Técnico I",SUMIFS($D:$D,$A:$A,$A23,$B:$B,"&lt;&gt;Patrícia Karla de Sousa Araújo",$B:$B,"&lt;&gt;Lorena Dias de Araujo",$B:$B,"&lt;&gt;Lucas Luiz Romero")*(23/1083),IF(C23="JR",SUMIFS($D:$D,$A:$A,$A23,$B:$B,"&lt;&gt;Patrícia Karla de Sousa Araújo",$B:$B,"&lt;&gt;Lorena Dias de Araujo",$B:$B,"&lt;&gt;Lucas Luiz Romero")*(20/1083),IF(C23="Estágio",SUMIFS($D:$D,$A:$A,$A23,$B:$B,"&lt;&gt;Patrícia Karla de Sousa Araújo",$B:$B,"&lt;&gt;Lorena Dias de Araujo",$B:$B,"&lt;&gt;Lucas Luiz Romero")*(10/1083),0)))))),0)</f>
        <v>9</v>
      </c>
      <c r="K23" s="3">
        <f t="shared" si="4"/>
        <v>23</v>
      </c>
      <c r="L23" s="3" t="str">
        <f t="shared" si="2"/>
        <v>EXCELENTE</v>
      </c>
      <c r="M23" s="3">
        <v>1</v>
      </c>
      <c r="N23" s="3">
        <v>100</v>
      </c>
      <c r="O23" s="3">
        <v>28.94736842105263</v>
      </c>
    </row>
    <row r="24" spans="1:15" hidden="1" x14ac:dyDescent="0.25">
      <c r="A24" s="5">
        <v>46149</v>
      </c>
      <c r="B24" s="6" t="s">
        <v>19</v>
      </c>
      <c r="C24" s="3" t="s">
        <v>16</v>
      </c>
      <c r="D24" s="3">
        <v>52</v>
      </c>
      <c r="E24" s="3">
        <v>37</v>
      </c>
      <c r="F24">
        <v>5.49</v>
      </c>
      <c r="G24" s="3">
        <v>0</v>
      </c>
      <c r="H24" s="3">
        <v>0</v>
      </c>
      <c r="I24" s="3">
        <f t="shared" si="3"/>
        <v>37</v>
      </c>
      <c r="J24" s="3">
        <f>ROUND(MIN(IF(C24="Técnico III",35,IF(C24="Técnico II",28,IF(C24="Técnico I",23,IF(C24="JR",20,IF(C24="Estágio",10,0))))),IF(C24="Técnico III",SUMIFS($D:$D,$A:$A,$A24,$B:$B,"&lt;&gt;Patrícia Karla de Sousa Araújo",$B:$B,"&lt;&gt;Lorena Dias de Araujo",$B:$B,"&lt;&gt;Lucas Luiz Romero")*(35/1083),IF(C24="Técnico II",SUMIFS($D:$D,$A:$A,$A24,$B:$B,"&lt;&gt;Patrícia Karla de Sousa Araújo",$B:$B,"&lt;&gt;Lorena Dias de Araujo",$B:$B,"&lt;&gt;Lucas Luiz Romero")*(28/1083),IF(C24="Técnico I",SUMIFS($D:$D,$A:$A,$A24,$B:$B,"&lt;&gt;Patrícia Karla de Sousa Araújo",$B:$B,"&lt;&gt;Lorena Dias de Araujo",$B:$B,"&lt;&gt;Lucas Luiz Romero")*(23/1083),IF(C24="JR",SUMIFS($D:$D,$A:$A,$A24,$B:$B,"&lt;&gt;Patrícia Karla de Sousa Araújo",$B:$B,"&lt;&gt;Lorena Dias de Araujo",$B:$B,"&lt;&gt;Lucas Luiz Romero")*(20/1083),IF(C24="Estágio",SUMIFS($D:$D,$A:$A,$A24,$B:$B,"&lt;&gt;Patrícia Karla de Sousa Araújo",$B:$B,"&lt;&gt;Lorena Dias de Araujo",$B:$B,"&lt;&gt;Lucas Luiz Romero")*(10/1083),0)))))),0)</f>
        <v>9</v>
      </c>
      <c r="K24" s="3">
        <f t="shared" si="4"/>
        <v>28</v>
      </c>
      <c r="L24" s="3" t="str">
        <f t="shared" si="2"/>
        <v>EXCELENTE</v>
      </c>
      <c r="M24" s="3">
        <v>4</v>
      </c>
      <c r="N24" s="3">
        <v>100</v>
      </c>
      <c r="O24" s="3">
        <v>12.941176470588241</v>
      </c>
    </row>
    <row r="25" spans="1:15" hidden="1" x14ac:dyDescent="0.25">
      <c r="A25" s="5">
        <v>46149</v>
      </c>
      <c r="B25" s="6" t="s">
        <v>20</v>
      </c>
      <c r="C25" s="3" t="s">
        <v>16</v>
      </c>
      <c r="D25" s="3">
        <v>16</v>
      </c>
      <c r="E25" s="3">
        <v>15</v>
      </c>
      <c r="F25">
        <v>27.04</v>
      </c>
      <c r="G25" s="3">
        <v>0</v>
      </c>
      <c r="H25" s="3">
        <v>0</v>
      </c>
      <c r="I25" s="3">
        <f t="shared" si="3"/>
        <v>15</v>
      </c>
      <c r="J25" s="3">
        <f>ROUND(MIN(IF(C25="Técnico III",35,IF(C25="Técnico II",28,IF(C25="Técnico I",23,IF(C25="JR",20,IF(C25="Estágio",10,0))))),IF(C25="Técnico III",SUMIFS($D:$D,$A:$A,$A25,$B:$B,"&lt;&gt;Patrícia Karla de Sousa Araújo",$B:$B,"&lt;&gt;Lorena Dias de Araujo",$B:$B,"&lt;&gt;Lucas Luiz Romero")*(35/1083),IF(C25="Técnico II",SUMIFS($D:$D,$A:$A,$A25,$B:$B,"&lt;&gt;Patrícia Karla de Sousa Araújo",$B:$B,"&lt;&gt;Lorena Dias de Araujo",$B:$B,"&lt;&gt;Lucas Luiz Romero")*(28/1083),IF(C25="Técnico I",SUMIFS($D:$D,$A:$A,$A25,$B:$B,"&lt;&gt;Patrícia Karla de Sousa Araújo",$B:$B,"&lt;&gt;Lorena Dias de Araujo",$B:$B,"&lt;&gt;Lucas Luiz Romero")*(23/1083),IF(C25="JR",SUMIFS($D:$D,$A:$A,$A25,$B:$B,"&lt;&gt;Patrícia Karla de Sousa Araújo",$B:$B,"&lt;&gt;Lorena Dias de Araujo",$B:$B,"&lt;&gt;Lucas Luiz Romero")*(20/1083),IF(C25="Estágio",SUMIFS($D:$D,$A:$A,$A25,$B:$B,"&lt;&gt;Patrícia Karla de Sousa Araújo",$B:$B,"&lt;&gt;Lorena Dias de Araujo",$B:$B,"&lt;&gt;Lucas Luiz Romero")*(10/1083),0)))))),0)</f>
        <v>9</v>
      </c>
      <c r="K25" s="3">
        <f t="shared" si="4"/>
        <v>6</v>
      </c>
      <c r="L25" s="3" t="str">
        <f t="shared" si="2"/>
        <v>EXCELENTE</v>
      </c>
      <c r="M25" s="3">
        <v>13</v>
      </c>
      <c r="N25" s="3">
        <v>100</v>
      </c>
      <c r="O25" s="3">
        <v>17.1875</v>
      </c>
    </row>
    <row r="26" spans="1:15" hidden="1" x14ac:dyDescent="0.25">
      <c r="A26" s="5">
        <v>46149</v>
      </c>
      <c r="B26" s="6" t="s">
        <v>21</v>
      </c>
      <c r="C26" s="3" t="s">
        <v>16</v>
      </c>
      <c r="D26" s="3">
        <v>15</v>
      </c>
      <c r="E26" s="3">
        <v>15</v>
      </c>
      <c r="F26">
        <v>32.020000000000003</v>
      </c>
      <c r="G26" s="3">
        <v>0</v>
      </c>
      <c r="H26" s="3">
        <v>0</v>
      </c>
      <c r="I26" s="3">
        <f t="shared" si="3"/>
        <v>15</v>
      </c>
      <c r="J26" s="3">
        <f>ROUND(MIN(IF(C26="Técnico III",35,IF(C26="Técnico II",28,IF(C26="Técnico I",23,IF(C26="JR",20,IF(C26="Estágio",10,0))))),IF(C26="Técnico III",SUMIFS($D:$D,$A:$A,$A26,$B:$B,"&lt;&gt;Patrícia Karla de Sousa Araújo",$B:$B,"&lt;&gt;Lorena Dias de Araujo",$B:$B,"&lt;&gt;Lucas Luiz Romero")*(35/1083),IF(C26="Técnico II",SUMIFS($D:$D,$A:$A,$A26,$B:$B,"&lt;&gt;Patrícia Karla de Sousa Araújo",$B:$B,"&lt;&gt;Lorena Dias de Araujo",$B:$B,"&lt;&gt;Lucas Luiz Romero")*(28/1083),IF(C26="Técnico I",SUMIFS($D:$D,$A:$A,$A26,$B:$B,"&lt;&gt;Patrícia Karla de Sousa Araújo",$B:$B,"&lt;&gt;Lorena Dias de Araujo",$B:$B,"&lt;&gt;Lucas Luiz Romero")*(23/1083),IF(C26="JR",SUMIFS($D:$D,$A:$A,$A26,$B:$B,"&lt;&gt;Patrícia Karla de Sousa Araújo",$B:$B,"&lt;&gt;Lorena Dias de Araujo",$B:$B,"&lt;&gt;Lucas Luiz Romero")*(20/1083),IF(C26="Estágio",SUMIFS($D:$D,$A:$A,$A26,$B:$B,"&lt;&gt;Patrícia Karla de Sousa Araújo",$B:$B,"&lt;&gt;Lorena Dias de Araujo",$B:$B,"&lt;&gt;Lucas Luiz Romero")*(10/1083),0)))))),0)</f>
        <v>9</v>
      </c>
      <c r="K26" s="3">
        <f t="shared" si="4"/>
        <v>6</v>
      </c>
      <c r="L26" s="3" t="str">
        <f t="shared" si="2"/>
        <v>EXCELENTE</v>
      </c>
      <c r="M26" s="3">
        <v>13</v>
      </c>
      <c r="N26" s="3">
        <v>98.36</v>
      </c>
      <c r="O26" s="3">
        <v>21.917808219178081</v>
      </c>
    </row>
    <row r="27" spans="1:15" hidden="1" x14ac:dyDescent="0.25">
      <c r="A27" s="5">
        <v>46150</v>
      </c>
      <c r="B27" s="6" t="s">
        <v>15</v>
      </c>
      <c r="C27" s="3" t="s">
        <v>16</v>
      </c>
      <c r="D27" s="3">
        <v>38</v>
      </c>
      <c r="E27" s="3">
        <v>35</v>
      </c>
      <c r="F27">
        <v>15.27</v>
      </c>
      <c r="G27" s="3">
        <v>0</v>
      </c>
      <c r="H27" s="3">
        <v>0</v>
      </c>
      <c r="I27" s="3">
        <f t="shared" si="3"/>
        <v>35</v>
      </c>
      <c r="J27" s="3">
        <f>ROUND(MIN(IF(C27="Técnico III",35,IF(C27="Técnico II",28,IF(C27="Técnico I",23,IF(C27="JR",20,IF(C27="Estágio",10,0))))),IF(C27="Técnico III",SUMIFS($D:$D,$A:$A,$A27,$B:$B,"&lt;&gt;Patrícia Karla de Sousa Araújo",$B:$B,"&lt;&gt;Lorena Dias de Araujo",$B:$B,"&lt;&gt;Lucas Luiz Romero")*(35/1083),IF(C27="Técnico II",SUMIFS($D:$D,$A:$A,$A27,$B:$B,"&lt;&gt;Patrícia Karla de Sousa Araújo",$B:$B,"&lt;&gt;Lorena Dias de Araujo",$B:$B,"&lt;&gt;Lucas Luiz Romero")*(28/1083),IF(C27="Técnico I",SUMIFS($D:$D,$A:$A,$A27,$B:$B,"&lt;&gt;Patrícia Karla de Sousa Araújo",$B:$B,"&lt;&gt;Lorena Dias de Araujo",$B:$B,"&lt;&gt;Lucas Luiz Romero")*(23/1083),IF(C27="JR",SUMIFS($D:$D,$A:$A,$A27,$B:$B,"&lt;&gt;Patrícia Karla de Sousa Araújo",$B:$B,"&lt;&gt;Lorena Dias de Araujo",$B:$B,"&lt;&gt;Lucas Luiz Romero")*(20/1083),IF(C27="Estágio",SUMIFS($D:$D,$A:$A,$A27,$B:$B,"&lt;&gt;Patrícia Karla de Sousa Araújo",$B:$B,"&lt;&gt;Lorena Dias de Araujo",$B:$B,"&lt;&gt;Lucas Luiz Romero")*(10/1083),0)))))),0)</f>
        <v>8</v>
      </c>
      <c r="K27" s="3">
        <f t="shared" si="4"/>
        <v>27</v>
      </c>
      <c r="L27" s="3" t="str">
        <f t="shared" si="2"/>
        <v>EXCELENTE</v>
      </c>
      <c r="M27">
        <v>29</v>
      </c>
      <c r="N27">
        <v>99.25</v>
      </c>
      <c r="O27">
        <v>20.408163265306118</v>
      </c>
    </row>
    <row r="28" spans="1:15" hidden="1" x14ac:dyDescent="0.25">
      <c r="A28" s="5">
        <v>46150</v>
      </c>
      <c r="B28" s="6" t="s">
        <v>17</v>
      </c>
      <c r="C28" s="3" t="s">
        <v>16</v>
      </c>
      <c r="D28" s="3">
        <v>10</v>
      </c>
      <c r="E28" s="3">
        <v>9</v>
      </c>
      <c r="F28">
        <v>17.38</v>
      </c>
      <c r="G28" s="3">
        <v>0</v>
      </c>
      <c r="H28" s="3">
        <v>0</v>
      </c>
      <c r="I28" s="3">
        <f t="shared" si="3"/>
        <v>9</v>
      </c>
      <c r="J28" s="3">
        <f>ROUND(MIN(IF(C28="Técnico III",35,IF(C28="Técnico II",28,IF(C28="Técnico I",23,IF(C28="JR",20,IF(C28="Estágio",10,0))))),IF(C28="Técnico III",SUMIFS($D:$D,$A:$A,$A28,$B:$B,"&lt;&gt;Patrícia Karla de Sousa Araújo",$B:$B,"&lt;&gt;Lorena Dias de Araujo",$B:$B,"&lt;&gt;Lucas Luiz Romero")*(35/1083),IF(C28="Técnico II",SUMIFS($D:$D,$A:$A,$A28,$B:$B,"&lt;&gt;Patrícia Karla de Sousa Araújo",$B:$B,"&lt;&gt;Lorena Dias de Araujo",$B:$B,"&lt;&gt;Lucas Luiz Romero")*(28/1083),IF(C28="Técnico I",SUMIFS($D:$D,$A:$A,$A28,$B:$B,"&lt;&gt;Patrícia Karla de Sousa Araújo",$B:$B,"&lt;&gt;Lorena Dias de Araujo",$B:$B,"&lt;&gt;Lucas Luiz Romero")*(23/1083),IF(C28="JR",SUMIFS($D:$D,$A:$A,$A28,$B:$B,"&lt;&gt;Patrícia Karla de Sousa Araújo",$B:$B,"&lt;&gt;Lorena Dias de Araujo",$B:$B,"&lt;&gt;Lucas Luiz Romero")*(20/1083),IF(C28="Estágio",SUMIFS($D:$D,$A:$A,$A28,$B:$B,"&lt;&gt;Patrícia Karla de Sousa Araújo",$B:$B,"&lt;&gt;Lorena Dias de Araujo",$B:$B,"&lt;&gt;Lucas Luiz Romero")*(10/1083),0)))))),0)</f>
        <v>8</v>
      </c>
      <c r="K28" s="3">
        <f t="shared" si="4"/>
        <v>1</v>
      </c>
      <c r="L28" s="3" t="str">
        <f t="shared" si="2"/>
        <v>BOM</v>
      </c>
      <c r="M28">
        <v>7</v>
      </c>
      <c r="N28">
        <v>97.14</v>
      </c>
      <c r="O28">
        <v>24.761904761904759</v>
      </c>
    </row>
    <row r="29" spans="1:15" hidden="1" x14ac:dyDescent="0.25">
      <c r="A29" s="5">
        <v>46150</v>
      </c>
      <c r="B29" s="6" t="s">
        <v>18</v>
      </c>
      <c r="C29" s="3" t="s">
        <v>16</v>
      </c>
      <c r="D29" s="3">
        <v>9</v>
      </c>
      <c r="E29" s="3">
        <v>8</v>
      </c>
      <c r="F29">
        <v>27.06</v>
      </c>
      <c r="G29" s="3">
        <v>0</v>
      </c>
      <c r="H29" s="3">
        <v>0</v>
      </c>
      <c r="I29" s="3">
        <f t="shared" si="3"/>
        <v>8</v>
      </c>
      <c r="J29" s="3">
        <f>ROUND(MIN(IF(C29="Técnico III",35,IF(C29="Técnico II",28,IF(C29="Técnico I",23,IF(C29="JR",20,IF(C29="Estágio",10,0))))),IF(C29="Técnico III",SUMIFS($D:$D,$A:$A,$A29,$B:$B,"&lt;&gt;Patrícia Karla de Sousa Araújo",$B:$B,"&lt;&gt;Lorena Dias de Araujo",$B:$B,"&lt;&gt;Lucas Luiz Romero")*(35/1083),IF(C29="Técnico II",SUMIFS($D:$D,$A:$A,$A29,$B:$B,"&lt;&gt;Patrícia Karla de Sousa Araújo",$B:$B,"&lt;&gt;Lorena Dias de Araujo",$B:$B,"&lt;&gt;Lucas Luiz Romero")*(28/1083),IF(C29="Técnico I",SUMIFS($D:$D,$A:$A,$A29,$B:$B,"&lt;&gt;Patrícia Karla de Sousa Araújo",$B:$B,"&lt;&gt;Lorena Dias de Araujo",$B:$B,"&lt;&gt;Lucas Luiz Romero")*(23/1083),IF(C29="JR",SUMIFS($D:$D,$A:$A,$A29,$B:$B,"&lt;&gt;Patrícia Karla de Sousa Araújo",$B:$B,"&lt;&gt;Lorena Dias de Araujo",$B:$B,"&lt;&gt;Lucas Luiz Romero")*(20/1083),IF(C29="Estágio",SUMIFS($D:$D,$A:$A,$A29,$B:$B,"&lt;&gt;Patrícia Karla de Sousa Araújo",$B:$B,"&lt;&gt;Lorena Dias de Araujo",$B:$B,"&lt;&gt;Lucas Luiz Romero")*(10/1083),0)))))),0)</f>
        <v>8</v>
      </c>
      <c r="K29" s="3">
        <f t="shared" si="4"/>
        <v>0</v>
      </c>
      <c r="L29" s="3" t="str">
        <f t="shared" si="2"/>
        <v>BOM</v>
      </c>
      <c r="M29">
        <v>6</v>
      </c>
      <c r="N29">
        <v>100</v>
      </c>
      <c r="O29">
        <v>28.94736842105263</v>
      </c>
    </row>
    <row r="30" spans="1:15" hidden="1" x14ac:dyDescent="0.25">
      <c r="A30" s="5">
        <v>46150</v>
      </c>
      <c r="B30" s="6" t="s">
        <v>19</v>
      </c>
      <c r="C30" s="3" t="s">
        <v>16</v>
      </c>
      <c r="D30" s="3">
        <v>55</v>
      </c>
      <c r="E30" s="3">
        <v>34</v>
      </c>
      <c r="F30">
        <v>5.58</v>
      </c>
      <c r="G30" s="3">
        <v>0</v>
      </c>
      <c r="H30" s="3">
        <v>0</v>
      </c>
      <c r="I30" s="3">
        <f t="shared" si="3"/>
        <v>34</v>
      </c>
      <c r="J30" s="3">
        <f>ROUND(MIN(IF(C30="Técnico III",35,IF(C30="Técnico II",28,IF(C30="Técnico I",23,IF(C30="JR",20,IF(C30="Estágio",10,0))))),IF(C30="Técnico III",SUMIFS($D:$D,$A:$A,$A30,$B:$B,"&lt;&gt;Patrícia Karla de Sousa Araújo",$B:$B,"&lt;&gt;Lorena Dias de Araujo",$B:$B,"&lt;&gt;Lucas Luiz Romero")*(35/1083),IF(C30="Técnico II",SUMIFS($D:$D,$A:$A,$A30,$B:$B,"&lt;&gt;Patrícia Karla de Sousa Araújo",$B:$B,"&lt;&gt;Lorena Dias de Araujo",$B:$B,"&lt;&gt;Lucas Luiz Romero")*(28/1083),IF(C30="Técnico I",SUMIFS($D:$D,$A:$A,$A30,$B:$B,"&lt;&gt;Patrícia Karla de Sousa Araújo",$B:$B,"&lt;&gt;Lorena Dias de Araujo",$B:$B,"&lt;&gt;Lucas Luiz Romero")*(23/1083),IF(C30="JR",SUMIFS($D:$D,$A:$A,$A30,$B:$B,"&lt;&gt;Patrícia Karla de Sousa Araújo",$B:$B,"&lt;&gt;Lorena Dias de Araujo",$B:$B,"&lt;&gt;Lucas Luiz Romero")*(20/1083),IF(C30="Estágio",SUMIFS($D:$D,$A:$A,$A30,$B:$B,"&lt;&gt;Patrícia Karla de Sousa Araújo",$B:$B,"&lt;&gt;Lorena Dias de Araujo",$B:$B,"&lt;&gt;Lucas Luiz Romero")*(10/1083),0)))))),0)</f>
        <v>8</v>
      </c>
      <c r="K30" s="3">
        <f t="shared" si="4"/>
        <v>26</v>
      </c>
      <c r="L30" s="3" t="str">
        <f t="shared" si="2"/>
        <v>EXCELENTE</v>
      </c>
      <c r="M30">
        <v>1</v>
      </c>
      <c r="N30">
        <v>100</v>
      </c>
      <c r="O30">
        <v>12.941176470588241</v>
      </c>
    </row>
    <row r="31" spans="1:15" hidden="1" x14ac:dyDescent="0.25">
      <c r="A31" s="5">
        <v>46150</v>
      </c>
      <c r="B31" s="6" t="s">
        <v>20</v>
      </c>
      <c r="C31" s="3" t="s">
        <v>16</v>
      </c>
      <c r="D31" s="3">
        <v>14</v>
      </c>
      <c r="E31" s="3">
        <v>13</v>
      </c>
      <c r="F31">
        <v>41.45</v>
      </c>
      <c r="G31" s="3">
        <v>0</v>
      </c>
      <c r="H31" s="3">
        <v>0</v>
      </c>
      <c r="I31" s="3">
        <f t="shared" si="3"/>
        <v>13</v>
      </c>
      <c r="J31" s="3">
        <f>ROUND(MIN(IF(C31="Técnico III",35,IF(C31="Técnico II",28,IF(C31="Técnico I",23,IF(C31="JR",20,IF(C31="Estágio",10,0))))),IF(C31="Técnico III",SUMIFS($D:$D,$A:$A,$A31,$B:$B,"&lt;&gt;Patrícia Karla de Sousa Araújo",$B:$B,"&lt;&gt;Lorena Dias de Araujo",$B:$B,"&lt;&gt;Lucas Luiz Romero")*(35/1083),IF(C31="Técnico II",SUMIFS($D:$D,$A:$A,$A31,$B:$B,"&lt;&gt;Patrícia Karla de Sousa Araújo",$B:$B,"&lt;&gt;Lorena Dias de Araujo",$B:$B,"&lt;&gt;Lucas Luiz Romero")*(28/1083),IF(C31="Técnico I",SUMIFS($D:$D,$A:$A,$A31,$B:$B,"&lt;&gt;Patrícia Karla de Sousa Araújo",$B:$B,"&lt;&gt;Lorena Dias de Araujo",$B:$B,"&lt;&gt;Lucas Luiz Romero")*(23/1083),IF(C31="JR",SUMIFS($D:$D,$A:$A,$A31,$B:$B,"&lt;&gt;Patrícia Karla de Sousa Araújo",$B:$B,"&lt;&gt;Lorena Dias de Araujo",$B:$B,"&lt;&gt;Lucas Luiz Romero")*(20/1083),IF(C31="Estágio",SUMIFS($D:$D,$A:$A,$A31,$B:$B,"&lt;&gt;Patrícia Karla de Sousa Araújo",$B:$B,"&lt;&gt;Lorena Dias de Araujo",$B:$B,"&lt;&gt;Lucas Luiz Romero")*(10/1083),0)))))),0)</f>
        <v>8</v>
      </c>
      <c r="K31" s="3">
        <f t="shared" si="4"/>
        <v>5</v>
      </c>
      <c r="L31" s="3" t="str">
        <f t="shared" si="2"/>
        <v>BOM</v>
      </c>
      <c r="M31">
        <v>9</v>
      </c>
      <c r="N31">
        <v>100</v>
      </c>
      <c r="O31">
        <v>17.1875</v>
      </c>
    </row>
    <row r="32" spans="1:15" hidden="1" x14ac:dyDescent="0.25">
      <c r="A32" s="5">
        <v>46150</v>
      </c>
      <c r="B32" s="6" t="s">
        <v>21</v>
      </c>
      <c r="C32" s="3" t="s">
        <v>16</v>
      </c>
      <c r="D32" s="3">
        <v>17</v>
      </c>
      <c r="E32" s="3">
        <v>17</v>
      </c>
      <c r="F32">
        <v>28.35</v>
      </c>
      <c r="G32" s="3">
        <v>0</v>
      </c>
      <c r="H32" s="3">
        <v>0</v>
      </c>
      <c r="I32" s="3">
        <f t="shared" si="3"/>
        <v>17</v>
      </c>
      <c r="J32" s="3">
        <f>ROUND(MIN(IF(C32="Técnico III",35,IF(C32="Técnico II",28,IF(C32="Técnico I",23,IF(C32="JR",20,IF(C32="Estágio",10,0))))),IF(C32="Técnico III",SUMIFS($D:$D,$A:$A,$A32,$B:$B,"&lt;&gt;Patrícia Karla de Sousa Araújo",$B:$B,"&lt;&gt;Lorena Dias de Araujo",$B:$B,"&lt;&gt;Lucas Luiz Romero")*(35/1083),IF(C32="Técnico II",SUMIFS($D:$D,$A:$A,$A32,$B:$B,"&lt;&gt;Patrícia Karla de Sousa Araújo",$B:$B,"&lt;&gt;Lorena Dias de Araujo",$B:$B,"&lt;&gt;Lucas Luiz Romero")*(28/1083),IF(C32="Técnico I",SUMIFS($D:$D,$A:$A,$A32,$B:$B,"&lt;&gt;Patrícia Karla de Sousa Araújo",$B:$B,"&lt;&gt;Lorena Dias de Araujo",$B:$B,"&lt;&gt;Lucas Luiz Romero")*(23/1083),IF(C32="JR",SUMIFS($D:$D,$A:$A,$A32,$B:$B,"&lt;&gt;Patrícia Karla de Sousa Araújo",$B:$B,"&lt;&gt;Lorena Dias de Araujo",$B:$B,"&lt;&gt;Lucas Luiz Romero")*(20/1083),IF(C32="Estágio",SUMIFS($D:$D,$A:$A,$A32,$B:$B,"&lt;&gt;Patrícia Karla de Sousa Araújo",$B:$B,"&lt;&gt;Lorena Dias de Araujo",$B:$B,"&lt;&gt;Lucas Luiz Romero")*(10/1083),0)))))),0)</f>
        <v>8</v>
      </c>
      <c r="K32" s="3">
        <f t="shared" si="4"/>
        <v>9</v>
      </c>
      <c r="L32" s="3" t="str">
        <f t="shared" si="2"/>
        <v>EXCELENTE</v>
      </c>
      <c r="M32">
        <v>11</v>
      </c>
      <c r="N32">
        <v>98.36</v>
      </c>
      <c r="O32">
        <v>21.917808219178081</v>
      </c>
    </row>
    <row r="33" spans="1:15" hidden="1" x14ac:dyDescent="0.25">
      <c r="A33" s="5">
        <v>46153</v>
      </c>
      <c r="B33" s="6" t="s">
        <v>15</v>
      </c>
      <c r="C33" s="3" t="s">
        <v>16</v>
      </c>
      <c r="D33" s="3">
        <v>32</v>
      </c>
      <c r="E33" s="3">
        <v>32</v>
      </c>
      <c r="F33">
        <v>15.35</v>
      </c>
      <c r="G33" s="3">
        <v>0</v>
      </c>
      <c r="H33" s="3">
        <v>0</v>
      </c>
      <c r="I33" s="3">
        <f t="shared" si="3"/>
        <v>32</v>
      </c>
      <c r="J33" s="3">
        <f>ROUND(MIN(IF(C33="Técnico III",35,IF(C33="Técnico II",28,IF(C33="Técnico I",23,IF(C33="JR",20,IF(C33="Estágio",10,0))))),IF(C33="Técnico III",SUMIFS($D:$D,$A:$A,$A33,$B:$B,"&lt;&gt;Patrícia Karla de Sousa Araújo",$B:$B,"&lt;&gt;Lorena Dias de Araujo",$B:$B,"&lt;&gt;Lucas Luiz Romero")*(35/1083),IF(C33="Técnico II",SUMIFS($D:$D,$A:$A,$A33,$B:$B,"&lt;&gt;Patrícia Karla de Sousa Araújo",$B:$B,"&lt;&gt;Lorena Dias de Araujo",$B:$B,"&lt;&gt;Lucas Luiz Romero")*(28/1083),IF(C33="Técnico I",SUMIFS($D:$D,$A:$A,$A33,$B:$B,"&lt;&gt;Patrícia Karla de Sousa Araújo",$B:$B,"&lt;&gt;Lorena Dias de Araujo",$B:$B,"&lt;&gt;Lucas Luiz Romero")*(23/1083),IF(C33="JR",SUMIFS($D:$D,$A:$A,$A33,$B:$B,"&lt;&gt;Patrícia Karla de Sousa Araújo",$B:$B,"&lt;&gt;Lorena Dias de Araujo",$B:$B,"&lt;&gt;Lucas Luiz Romero")*(20/1083),IF(C33="Estágio",SUMIFS($D:$D,$A:$A,$A33,$B:$B,"&lt;&gt;Patrícia Karla de Sousa Araújo",$B:$B,"&lt;&gt;Lorena Dias de Araujo",$B:$B,"&lt;&gt;Lucas Luiz Romero")*(10/1083),0)))))),0)</f>
        <v>9</v>
      </c>
      <c r="K33" s="3">
        <f t="shared" si="4"/>
        <v>23</v>
      </c>
      <c r="L33" s="3" t="str">
        <f t="shared" si="2"/>
        <v>EXCELENTE</v>
      </c>
      <c r="M33">
        <v>29</v>
      </c>
      <c r="N33">
        <v>99.25</v>
      </c>
      <c r="O33">
        <v>20.408163265306118</v>
      </c>
    </row>
    <row r="34" spans="1:15" hidden="1" x14ac:dyDescent="0.25">
      <c r="A34" s="5">
        <v>46153</v>
      </c>
      <c r="B34" s="6" t="s">
        <v>17</v>
      </c>
      <c r="C34" s="3" t="s">
        <v>16</v>
      </c>
      <c r="D34" s="3">
        <v>1</v>
      </c>
      <c r="E34" s="3">
        <v>1</v>
      </c>
      <c r="F34">
        <v>45.11</v>
      </c>
      <c r="G34" s="3">
        <v>0</v>
      </c>
      <c r="H34" s="3">
        <v>0</v>
      </c>
      <c r="I34" s="3">
        <f t="shared" si="3"/>
        <v>1</v>
      </c>
      <c r="J34" s="3">
        <f>ROUND(MIN(IF(C34="Técnico III",35,IF(C34="Técnico II",28,IF(C34="Técnico I",23,IF(C34="JR",20,IF(C34="Estágio",10,0))))),IF(C34="Técnico III",SUMIFS($D:$D,$A:$A,$A34,$B:$B,"&lt;&gt;Patrícia Karla de Sousa Araújo",$B:$B,"&lt;&gt;Lorena Dias de Araujo",$B:$B,"&lt;&gt;Lucas Luiz Romero")*(35/1083),IF(C34="Técnico II",SUMIFS($D:$D,$A:$A,$A34,$B:$B,"&lt;&gt;Patrícia Karla de Sousa Araújo",$B:$B,"&lt;&gt;Lorena Dias de Araujo",$B:$B,"&lt;&gt;Lucas Luiz Romero")*(28/1083),IF(C34="Técnico I",SUMIFS($D:$D,$A:$A,$A34,$B:$B,"&lt;&gt;Patrícia Karla de Sousa Araújo",$B:$B,"&lt;&gt;Lorena Dias de Araujo",$B:$B,"&lt;&gt;Lucas Luiz Romero")*(23/1083),IF(C34="JR",SUMIFS($D:$D,$A:$A,$A34,$B:$B,"&lt;&gt;Patrícia Karla de Sousa Araújo",$B:$B,"&lt;&gt;Lorena Dias de Araujo",$B:$B,"&lt;&gt;Lucas Luiz Romero")*(20/1083),IF(C34="Estágio",SUMIFS($D:$D,$A:$A,$A34,$B:$B,"&lt;&gt;Patrícia Karla de Sousa Araújo",$B:$B,"&lt;&gt;Lorena Dias de Araujo",$B:$B,"&lt;&gt;Lucas Luiz Romero")*(10/1083),0)))))),0)</f>
        <v>9</v>
      </c>
      <c r="K34" s="3">
        <f t="shared" si="4"/>
        <v>-8</v>
      </c>
      <c r="L34" s="3" t="str">
        <f t="shared" ref="L34:L65" si="5">IF(K34&lt;-5,"CRÍTICO",IF(K34&lt;0,"ATENÇÃO",IF(K34&lt;=5,"BOM","EXCELENTE")))</f>
        <v>CRÍTICO</v>
      </c>
      <c r="M34">
        <v>1</v>
      </c>
      <c r="N34">
        <v>97.14</v>
      </c>
      <c r="O34">
        <v>24.761904761904759</v>
      </c>
    </row>
    <row r="35" spans="1:15" hidden="1" x14ac:dyDescent="0.25">
      <c r="A35" s="5">
        <v>46153</v>
      </c>
      <c r="B35" s="6" t="s">
        <v>18</v>
      </c>
      <c r="C35" s="3" t="s">
        <v>16</v>
      </c>
      <c r="D35" s="3">
        <v>8</v>
      </c>
      <c r="E35" s="3">
        <v>5</v>
      </c>
      <c r="F35">
        <v>21.51</v>
      </c>
      <c r="G35" s="3">
        <v>0</v>
      </c>
      <c r="H35" s="3">
        <v>0</v>
      </c>
      <c r="I35" s="3">
        <f t="shared" si="3"/>
        <v>5</v>
      </c>
      <c r="J35" s="3">
        <f>ROUND(MIN(IF(C35="Técnico III",35,IF(C35="Técnico II",28,IF(C35="Técnico I",23,IF(C35="JR",20,IF(C35="Estágio",10,0))))),IF(C35="Técnico III",SUMIFS($D:$D,$A:$A,$A35,$B:$B,"&lt;&gt;Patrícia Karla de Sousa Araújo",$B:$B,"&lt;&gt;Lorena Dias de Araujo",$B:$B,"&lt;&gt;Lucas Luiz Romero")*(35/1083),IF(C35="Técnico II",SUMIFS($D:$D,$A:$A,$A35,$B:$B,"&lt;&gt;Patrícia Karla de Sousa Araújo",$B:$B,"&lt;&gt;Lorena Dias de Araujo",$B:$B,"&lt;&gt;Lucas Luiz Romero")*(28/1083),IF(C35="Técnico I",SUMIFS($D:$D,$A:$A,$A35,$B:$B,"&lt;&gt;Patrícia Karla de Sousa Araújo",$B:$B,"&lt;&gt;Lorena Dias de Araujo",$B:$B,"&lt;&gt;Lucas Luiz Romero")*(23/1083),IF(C35="JR",SUMIFS($D:$D,$A:$A,$A35,$B:$B,"&lt;&gt;Patrícia Karla de Sousa Araújo",$B:$B,"&lt;&gt;Lorena Dias de Araujo",$B:$B,"&lt;&gt;Lucas Luiz Romero")*(20/1083),IF(C35="Estágio",SUMIFS($D:$D,$A:$A,$A35,$B:$B,"&lt;&gt;Patrícia Karla de Sousa Araújo",$B:$B,"&lt;&gt;Lorena Dias de Araujo",$B:$B,"&lt;&gt;Lucas Luiz Romero")*(10/1083),0)))))),0)</f>
        <v>9</v>
      </c>
      <c r="K35" s="3">
        <f t="shared" si="4"/>
        <v>-4</v>
      </c>
      <c r="L35" s="3" t="str">
        <f t="shared" si="5"/>
        <v>ATENÇÃO</v>
      </c>
      <c r="M35">
        <v>2</v>
      </c>
      <c r="N35">
        <v>100</v>
      </c>
      <c r="O35">
        <v>28.94736842105263</v>
      </c>
    </row>
    <row r="36" spans="1:15" hidden="1" x14ac:dyDescent="0.25">
      <c r="A36" s="5">
        <v>46153</v>
      </c>
      <c r="B36" s="6" t="s">
        <v>19</v>
      </c>
      <c r="C36" s="3" t="s">
        <v>16</v>
      </c>
      <c r="D36" s="3">
        <v>52</v>
      </c>
      <c r="E36" s="3">
        <v>32</v>
      </c>
      <c r="F36">
        <v>5.18</v>
      </c>
      <c r="G36" s="3">
        <v>0</v>
      </c>
      <c r="H36" s="3">
        <v>0</v>
      </c>
      <c r="I36" s="3">
        <f t="shared" si="3"/>
        <v>32</v>
      </c>
      <c r="J36" s="3">
        <f>ROUND(MIN(IF(C36="Técnico III",35,IF(C36="Técnico II",28,IF(C36="Técnico I",23,IF(C36="JR",20,IF(C36="Estágio",10,0))))),IF(C36="Técnico III",SUMIFS($D:$D,$A:$A,$A36,$B:$B,"&lt;&gt;Patrícia Karla de Sousa Araújo",$B:$B,"&lt;&gt;Lorena Dias de Araujo",$B:$B,"&lt;&gt;Lucas Luiz Romero")*(35/1083),IF(C36="Técnico II",SUMIFS($D:$D,$A:$A,$A36,$B:$B,"&lt;&gt;Patrícia Karla de Sousa Araújo",$B:$B,"&lt;&gt;Lorena Dias de Araujo",$B:$B,"&lt;&gt;Lucas Luiz Romero")*(28/1083),IF(C36="Técnico I",SUMIFS($D:$D,$A:$A,$A36,$B:$B,"&lt;&gt;Patrícia Karla de Sousa Araújo",$B:$B,"&lt;&gt;Lorena Dias de Araujo",$B:$B,"&lt;&gt;Lucas Luiz Romero")*(23/1083),IF(C36="JR",SUMIFS($D:$D,$A:$A,$A36,$B:$B,"&lt;&gt;Patrícia Karla de Sousa Araújo",$B:$B,"&lt;&gt;Lorena Dias de Araujo",$B:$B,"&lt;&gt;Lucas Luiz Romero")*(20/1083),IF(C36="Estágio",SUMIFS($D:$D,$A:$A,$A36,$B:$B,"&lt;&gt;Patrícia Karla de Sousa Araújo",$B:$B,"&lt;&gt;Lorena Dias de Araujo",$B:$B,"&lt;&gt;Lucas Luiz Romero")*(10/1083),0)))))),0)</f>
        <v>9</v>
      </c>
      <c r="K36" s="3">
        <f t="shared" si="4"/>
        <v>23</v>
      </c>
      <c r="L36" s="3" t="str">
        <f t="shared" si="5"/>
        <v>EXCELENTE</v>
      </c>
      <c r="M36">
        <v>4</v>
      </c>
      <c r="N36">
        <v>100</v>
      </c>
      <c r="O36">
        <v>12.941176470588241</v>
      </c>
    </row>
    <row r="37" spans="1:15" hidden="1" x14ac:dyDescent="0.25">
      <c r="A37" s="5">
        <v>46153</v>
      </c>
      <c r="B37" s="6" t="s">
        <v>20</v>
      </c>
      <c r="C37" s="3" t="s">
        <v>16</v>
      </c>
      <c r="D37" s="3">
        <v>7</v>
      </c>
      <c r="E37" s="3">
        <v>7</v>
      </c>
      <c r="F37">
        <v>29.17</v>
      </c>
      <c r="G37" s="3">
        <v>0</v>
      </c>
      <c r="H37" s="3">
        <v>0</v>
      </c>
      <c r="I37" s="3">
        <f t="shared" si="3"/>
        <v>7</v>
      </c>
      <c r="J37" s="3">
        <f>ROUND(MIN(IF(C37="Técnico III",35,IF(C37="Técnico II",28,IF(C37="Técnico I",23,IF(C37="JR",20,IF(C37="Estágio",10,0))))),IF(C37="Técnico III",SUMIFS($D:$D,$A:$A,$A37,$B:$B,"&lt;&gt;Patrícia Karla de Sousa Araújo",$B:$B,"&lt;&gt;Lorena Dias de Araujo",$B:$B,"&lt;&gt;Lucas Luiz Romero")*(35/1083),IF(C37="Técnico II",SUMIFS($D:$D,$A:$A,$A37,$B:$B,"&lt;&gt;Patrícia Karla de Sousa Araújo",$B:$B,"&lt;&gt;Lorena Dias de Araujo",$B:$B,"&lt;&gt;Lucas Luiz Romero")*(28/1083),IF(C37="Técnico I",SUMIFS($D:$D,$A:$A,$A37,$B:$B,"&lt;&gt;Patrícia Karla de Sousa Araújo",$B:$B,"&lt;&gt;Lorena Dias de Araujo",$B:$B,"&lt;&gt;Lucas Luiz Romero")*(23/1083),IF(C37="JR",SUMIFS($D:$D,$A:$A,$A37,$B:$B,"&lt;&gt;Patrícia Karla de Sousa Araújo",$B:$B,"&lt;&gt;Lorena Dias de Araujo",$B:$B,"&lt;&gt;Lucas Luiz Romero")*(20/1083),IF(C37="Estágio",SUMIFS($D:$D,$A:$A,$A37,$B:$B,"&lt;&gt;Patrícia Karla de Sousa Araújo",$B:$B,"&lt;&gt;Lorena Dias de Araujo",$B:$B,"&lt;&gt;Lucas Luiz Romero")*(10/1083),0)))))),0)</f>
        <v>9</v>
      </c>
      <c r="K37" s="3">
        <f t="shared" si="4"/>
        <v>-2</v>
      </c>
      <c r="L37" s="3" t="str">
        <f t="shared" si="5"/>
        <v>ATENÇÃO</v>
      </c>
      <c r="M37">
        <v>4</v>
      </c>
      <c r="N37">
        <v>100</v>
      </c>
      <c r="O37">
        <v>17.1875</v>
      </c>
    </row>
    <row r="38" spans="1:15" hidden="1" x14ac:dyDescent="0.25">
      <c r="A38" s="5">
        <v>46153</v>
      </c>
      <c r="B38" s="6" t="s">
        <v>21</v>
      </c>
      <c r="C38" s="3" t="s">
        <v>16</v>
      </c>
      <c r="D38" s="3">
        <v>16</v>
      </c>
      <c r="E38" s="3">
        <v>16</v>
      </c>
      <c r="F38">
        <v>30.41</v>
      </c>
      <c r="G38" s="3">
        <v>0</v>
      </c>
      <c r="H38" s="3">
        <v>0</v>
      </c>
      <c r="I38" s="3">
        <f t="shared" si="3"/>
        <v>16</v>
      </c>
      <c r="J38" s="3">
        <f>ROUND(MIN(IF(C38="Técnico III",35,IF(C38="Técnico II",28,IF(C38="Técnico I",23,IF(C38="JR",20,IF(C38="Estágio",10,0))))),IF(C38="Técnico III",SUMIFS($D:$D,$A:$A,$A38,$B:$B,"&lt;&gt;Patrícia Karla de Sousa Araújo",$B:$B,"&lt;&gt;Lorena Dias de Araujo",$B:$B,"&lt;&gt;Lucas Luiz Romero")*(35/1083),IF(C38="Técnico II",SUMIFS($D:$D,$A:$A,$A38,$B:$B,"&lt;&gt;Patrícia Karla de Sousa Araújo",$B:$B,"&lt;&gt;Lorena Dias de Araujo",$B:$B,"&lt;&gt;Lucas Luiz Romero")*(28/1083),IF(C38="Técnico I",SUMIFS($D:$D,$A:$A,$A38,$B:$B,"&lt;&gt;Patrícia Karla de Sousa Araújo",$B:$B,"&lt;&gt;Lorena Dias de Araujo",$B:$B,"&lt;&gt;Lucas Luiz Romero")*(23/1083),IF(C38="JR",SUMIFS($D:$D,$A:$A,$A38,$B:$B,"&lt;&gt;Patrícia Karla de Sousa Araújo",$B:$B,"&lt;&gt;Lorena Dias de Araujo",$B:$B,"&lt;&gt;Lucas Luiz Romero")*(20/1083),IF(C38="Estágio",SUMIFS($D:$D,$A:$A,$A38,$B:$B,"&lt;&gt;Patrícia Karla de Sousa Araújo",$B:$B,"&lt;&gt;Lorena Dias de Araujo",$B:$B,"&lt;&gt;Lucas Luiz Romero")*(10/1083),0)))))),0)</f>
        <v>9</v>
      </c>
      <c r="K38" s="3">
        <f t="shared" si="4"/>
        <v>7</v>
      </c>
      <c r="L38" s="3" t="str">
        <f t="shared" si="5"/>
        <v>EXCELENTE</v>
      </c>
      <c r="M38">
        <v>15</v>
      </c>
      <c r="N38">
        <v>98.36</v>
      </c>
      <c r="O38">
        <v>21.917808219178081</v>
      </c>
    </row>
    <row r="39" spans="1:15" hidden="1" x14ac:dyDescent="0.25">
      <c r="A39" s="5">
        <v>46154</v>
      </c>
      <c r="B39" s="6" t="s">
        <v>15</v>
      </c>
      <c r="C39" s="3" t="s">
        <v>16</v>
      </c>
      <c r="D39" s="3">
        <v>25</v>
      </c>
      <c r="E39" s="3">
        <v>25</v>
      </c>
      <c r="F39">
        <v>20.14</v>
      </c>
      <c r="G39" s="3">
        <v>0</v>
      </c>
      <c r="H39" s="3">
        <v>0</v>
      </c>
      <c r="I39" s="3">
        <f t="shared" si="3"/>
        <v>25</v>
      </c>
      <c r="J39" s="3">
        <f>ROUND(MIN(IF(C39="Técnico III",35,IF(C39="Técnico II",28,IF(C39="Técnico I",23,IF(C39="JR",20,IF(C39="Estágio",10,0))))),IF(C39="Técnico III",SUMIFS($D:$D,$A:$A,$A39,$B:$B,"&lt;&gt;Patrícia Karla de Sousa Araújo",$B:$B,"&lt;&gt;Lorena Dias de Araujo",$B:$B,"&lt;&gt;Lucas Luiz Romero")*(35/1083),IF(C39="Técnico II",SUMIFS($D:$D,$A:$A,$A39,$B:$B,"&lt;&gt;Patrícia Karla de Sousa Araújo",$B:$B,"&lt;&gt;Lorena Dias de Araujo",$B:$B,"&lt;&gt;Lucas Luiz Romero")*(28/1083),IF(C39="Técnico I",SUMIFS($D:$D,$A:$A,$A39,$B:$B,"&lt;&gt;Patrícia Karla de Sousa Araújo",$B:$B,"&lt;&gt;Lorena Dias de Araujo",$B:$B,"&lt;&gt;Lucas Luiz Romero")*(23/1083),IF(C39="JR",SUMIFS($D:$D,$A:$A,$A39,$B:$B,"&lt;&gt;Patrícia Karla de Sousa Araújo",$B:$B,"&lt;&gt;Lorena Dias de Araujo",$B:$B,"&lt;&gt;Lucas Luiz Romero")*(20/1083),IF(C39="Estágio",SUMIFS($D:$D,$A:$A,$A39,$B:$B,"&lt;&gt;Patrícia Karla de Sousa Araújo",$B:$B,"&lt;&gt;Lorena Dias de Araujo",$B:$B,"&lt;&gt;Lucas Luiz Romero")*(10/1083),0)))))),0)</f>
        <v>9</v>
      </c>
      <c r="K39" s="3">
        <f t="shared" si="4"/>
        <v>16</v>
      </c>
      <c r="L39" s="3" t="str">
        <f t="shared" si="5"/>
        <v>EXCELENTE</v>
      </c>
      <c r="M39">
        <v>18</v>
      </c>
      <c r="N39">
        <v>99.25</v>
      </c>
      <c r="O39">
        <v>20.408163265306118</v>
      </c>
    </row>
    <row r="40" spans="1:15" hidden="1" x14ac:dyDescent="0.25">
      <c r="A40" s="5">
        <v>46154</v>
      </c>
      <c r="B40" s="6" t="s">
        <v>17</v>
      </c>
      <c r="C40" s="3" t="s">
        <v>16</v>
      </c>
      <c r="D40" s="3">
        <v>8</v>
      </c>
      <c r="E40" s="3">
        <v>7</v>
      </c>
      <c r="F40">
        <v>33.4</v>
      </c>
      <c r="G40" s="3">
        <v>0</v>
      </c>
      <c r="H40" s="3">
        <v>0</v>
      </c>
      <c r="I40" s="3">
        <f t="shared" si="3"/>
        <v>7</v>
      </c>
      <c r="J40" s="3">
        <f>ROUND(MIN(IF(C40="Técnico III",35,IF(C40="Técnico II",28,IF(C40="Técnico I",23,IF(C40="JR",20,IF(C40="Estágio",10,0))))),IF(C40="Técnico III",SUMIFS($D:$D,$A:$A,$A40,$B:$B,"&lt;&gt;Patrícia Karla de Sousa Araújo",$B:$B,"&lt;&gt;Lorena Dias de Araujo",$B:$B,"&lt;&gt;Lucas Luiz Romero")*(35/1083),IF(C40="Técnico II",SUMIFS($D:$D,$A:$A,$A40,$B:$B,"&lt;&gt;Patrícia Karla de Sousa Araújo",$B:$B,"&lt;&gt;Lorena Dias de Araujo",$B:$B,"&lt;&gt;Lucas Luiz Romero")*(28/1083),IF(C40="Técnico I",SUMIFS($D:$D,$A:$A,$A40,$B:$B,"&lt;&gt;Patrícia Karla de Sousa Araújo",$B:$B,"&lt;&gt;Lorena Dias de Araujo",$B:$B,"&lt;&gt;Lucas Luiz Romero")*(23/1083),IF(C40="JR",SUMIFS($D:$D,$A:$A,$A40,$B:$B,"&lt;&gt;Patrícia Karla de Sousa Araújo",$B:$B,"&lt;&gt;Lorena Dias de Araujo",$B:$B,"&lt;&gt;Lucas Luiz Romero")*(20/1083),IF(C40="Estágio",SUMIFS($D:$D,$A:$A,$A40,$B:$B,"&lt;&gt;Patrícia Karla de Sousa Araújo",$B:$B,"&lt;&gt;Lorena Dias de Araujo",$B:$B,"&lt;&gt;Lucas Luiz Romero")*(10/1083),0)))))),0)</f>
        <v>9</v>
      </c>
      <c r="K40" s="3">
        <f t="shared" si="4"/>
        <v>-2</v>
      </c>
      <c r="L40" s="3" t="str">
        <f t="shared" si="5"/>
        <v>ATENÇÃO</v>
      </c>
      <c r="M40">
        <v>6</v>
      </c>
      <c r="N40">
        <v>97.14</v>
      </c>
      <c r="O40">
        <v>24.761904761904759</v>
      </c>
    </row>
    <row r="41" spans="1:15" hidden="1" x14ac:dyDescent="0.25">
      <c r="A41" s="5">
        <v>46154</v>
      </c>
      <c r="B41" s="6" t="s">
        <v>18</v>
      </c>
      <c r="C41" s="3" t="s">
        <v>16</v>
      </c>
      <c r="D41" s="3">
        <v>28</v>
      </c>
      <c r="E41" s="3">
        <v>16</v>
      </c>
      <c r="F41">
        <v>3.55</v>
      </c>
      <c r="G41" s="3">
        <v>0</v>
      </c>
      <c r="H41" s="3">
        <v>0</v>
      </c>
      <c r="I41" s="3">
        <f t="shared" si="3"/>
        <v>16</v>
      </c>
      <c r="J41" s="3">
        <f>ROUND(MIN(IF(C41="Técnico III",35,IF(C41="Técnico II",28,IF(C41="Técnico I",23,IF(C41="JR",20,IF(C41="Estágio",10,0))))),IF(C41="Técnico III",SUMIFS($D:$D,$A:$A,$A41,$B:$B,"&lt;&gt;Patrícia Karla de Sousa Araújo",$B:$B,"&lt;&gt;Lorena Dias de Araujo",$B:$B,"&lt;&gt;Lucas Luiz Romero")*(35/1083),IF(C41="Técnico II",SUMIFS($D:$D,$A:$A,$A41,$B:$B,"&lt;&gt;Patrícia Karla de Sousa Araújo",$B:$B,"&lt;&gt;Lorena Dias de Araujo",$B:$B,"&lt;&gt;Lucas Luiz Romero")*(28/1083),IF(C41="Técnico I",SUMIFS($D:$D,$A:$A,$A41,$B:$B,"&lt;&gt;Patrícia Karla de Sousa Araújo",$B:$B,"&lt;&gt;Lorena Dias de Araujo",$B:$B,"&lt;&gt;Lucas Luiz Romero")*(23/1083),IF(C41="JR",SUMIFS($D:$D,$A:$A,$A41,$B:$B,"&lt;&gt;Patrícia Karla de Sousa Araújo",$B:$B,"&lt;&gt;Lorena Dias de Araujo",$B:$B,"&lt;&gt;Lucas Luiz Romero")*(20/1083),IF(C41="Estágio",SUMIFS($D:$D,$A:$A,$A41,$B:$B,"&lt;&gt;Patrícia Karla de Sousa Araújo",$B:$B,"&lt;&gt;Lorena Dias de Araujo",$B:$B,"&lt;&gt;Lucas Luiz Romero")*(10/1083),0)))))),0)</f>
        <v>9</v>
      </c>
      <c r="K41" s="3">
        <f t="shared" si="4"/>
        <v>7</v>
      </c>
      <c r="L41" s="3" t="str">
        <f t="shared" si="5"/>
        <v>EXCELENTE</v>
      </c>
      <c r="M41">
        <v>0</v>
      </c>
      <c r="N41">
        <v>100</v>
      </c>
      <c r="O41">
        <v>28.94736842105263</v>
      </c>
    </row>
    <row r="42" spans="1:15" hidden="1" x14ac:dyDescent="0.25">
      <c r="A42" s="5">
        <v>46154</v>
      </c>
      <c r="B42" s="6" t="s">
        <v>19</v>
      </c>
      <c r="C42" s="3" t="s">
        <v>16</v>
      </c>
      <c r="D42" s="3">
        <v>45</v>
      </c>
      <c r="E42" s="3">
        <v>27</v>
      </c>
      <c r="F42">
        <v>7.15</v>
      </c>
      <c r="G42" s="3">
        <v>0</v>
      </c>
      <c r="H42" s="3">
        <v>0</v>
      </c>
      <c r="I42" s="3">
        <f t="shared" si="3"/>
        <v>27</v>
      </c>
      <c r="J42" s="3">
        <f>ROUND(MIN(IF(C42="Técnico III",35,IF(C42="Técnico II",28,IF(C42="Técnico I",23,IF(C42="JR",20,IF(C42="Estágio",10,0))))),IF(C42="Técnico III",SUMIFS($D:$D,$A:$A,$A42,$B:$B,"&lt;&gt;Patrícia Karla de Sousa Araújo",$B:$B,"&lt;&gt;Lorena Dias de Araujo",$B:$B,"&lt;&gt;Lucas Luiz Romero")*(35/1083),IF(C42="Técnico II",SUMIFS($D:$D,$A:$A,$A42,$B:$B,"&lt;&gt;Patrícia Karla de Sousa Araújo",$B:$B,"&lt;&gt;Lorena Dias de Araujo",$B:$B,"&lt;&gt;Lucas Luiz Romero")*(28/1083),IF(C42="Técnico I",SUMIFS($D:$D,$A:$A,$A42,$B:$B,"&lt;&gt;Patrícia Karla de Sousa Araújo",$B:$B,"&lt;&gt;Lorena Dias de Araujo",$B:$B,"&lt;&gt;Lucas Luiz Romero")*(23/1083),IF(C42="JR",SUMIFS($D:$D,$A:$A,$A42,$B:$B,"&lt;&gt;Patrícia Karla de Sousa Araújo",$B:$B,"&lt;&gt;Lorena Dias de Araujo",$B:$B,"&lt;&gt;Lucas Luiz Romero")*(20/1083),IF(C42="Estágio",SUMIFS($D:$D,$A:$A,$A42,$B:$B,"&lt;&gt;Patrícia Karla de Sousa Araújo",$B:$B,"&lt;&gt;Lorena Dias de Araujo",$B:$B,"&lt;&gt;Lucas Luiz Romero")*(10/1083),0)))))),0)</f>
        <v>9</v>
      </c>
      <c r="K42" s="3">
        <f t="shared" si="4"/>
        <v>18</v>
      </c>
      <c r="L42" s="3" t="str">
        <f t="shared" si="5"/>
        <v>EXCELENTE</v>
      </c>
      <c r="M42">
        <v>1</v>
      </c>
      <c r="N42">
        <v>100</v>
      </c>
      <c r="O42">
        <v>12.941176470588241</v>
      </c>
    </row>
    <row r="43" spans="1:15" hidden="1" x14ac:dyDescent="0.25">
      <c r="A43" s="5">
        <v>46154</v>
      </c>
      <c r="B43" s="6" t="s">
        <v>20</v>
      </c>
      <c r="C43" s="3" t="s">
        <v>16</v>
      </c>
      <c r="D43" s="3">
        <v>9</v>
      </c>
      <c r="E43" s="3">
        <v>7</v>
      </c>
      <c r="F43">
        <v>29.01</v>
      </c>
      <c r="G43" s="3">
        <v>0</v>
      </c>
      <c r="H43" s="3">
        <v>0</v>
      </c>
      <c r="I43" s="3">
        <f t="shared" si="3"/>
        <v>7</v>
      </c>
      <c r="J43" s="3">
        <f>ROUND(MIN(IF(C43="Técnico III",35,IF(C43="Técnico II",28,IF(C43="Técnico I",23,IF(C43="JR",20,IF(C43="Estágio",10,0))))),IF(C43="Técnico III",SUMIFS($D:$D,$A:$A,$A43,$B:$B,"&lt;&gt;Patrícia Karla de Sousa Araújo",$B:$B,"&lt;&gt;Lorena Dias de Araujo",$B:$B,"&lt;&gt;Lucas Luiz Romero")*(35/1083),IF(C43="Técnico II",SUMIFS($D:$D,$A:$A,$A43,$B:$B,"&lt;&gt;Patrícia Karla de Sousa Araújo",$B:$B,"&lt;&gt;Lorena Dias de Araujo",$B:$B,"&lt;&gt;Lucas Luiz Romero")*(28/1083),IF(C43="Técnico I",SUMIFS($D:$D,$A:$A,$A43,$B:$B,"&lt;&gt;Patrícia Karla de Sousa Araújo",$B:$B,"&lt;&gt;Lorena Dias de Araujo",$B:$B,"&lt;&gt;Lucas Luiz Romero")*(23/1083),IF(C43="JR",SUMIFS($D:$D,$A:$A,$A43,$B:$B,"&lt;&gt;Patrícia Karla de Sousa Araújo",$B:$B,"&lt;&gt;Lorena Dias de Araujo",$B:$B,"&lt;&gt;Lucas Luiz Romero")*(20/1083),IF(C43="Estágio",SUMIFS($D:$D,$A:$A,$A43,$B:$B,"&lt;&gt;Patrícia Karla de Sousa Araújo",$B:$B,"&lt;&gt;Lorena Dias de Araujo",$B:$B,"&lt;&gt;Lucas Luiz Romero")*(10/1083),0)))))),0)</f>
        <v>9</v>
      </c>
      <c r="K43" s="3">
        <f t="shared" si="4"/>
        <v>-2</v>
      </c>
      <c r="L43" s="3" t="str">
        <f t="shared" si="5"/>
        <v>ATENÇÃO</v>
      </c>
      <c r="M43">
        <v>4</v>
      </c>
      <c r="N43">
        <v>100</v>
      </c>
      <c r="O43">
        <v>17.1875</v>
      </c>
    </row>
    <row r="44" spans="1:15" hidden="1" x14ac:dyDescent="0.25">
      <c r="A44" s="5">
        <v>46154</v>
      </c>
      <c r="B44" s="6" t="s">
        <v>21</v>
      </c>
      <c r="C44" s="3" t="s">
        <v>16</v>
      </c>
      <c r="D44" s="3">
        <v>20</v>
      </c>
      <c r="E44" s="3">
        <v>17</v>
      </c>
      <c r="F44">
        <v>24.05</v>
      </c>
      <c r="G44" s="3">
        <v>0</v>
      </c>
      <c r="H44" s="3">
        <v>0</v>
      </c>
      <c r="I44" s="3">
        <f t="shared" ref="I44:I75" si="6">E44+G44+H44</f>
        <v>17</v>
      </c>
      <c r="J44" s="3">
        <f>ROUND(MIN(IF(C44="Técnico III",35,IF(C44="Técnico II",28,IF(C44="Técnico I",23,IF(C44="JR",20,IF(C44="Estágio",10,0))))),IF(C44="Técnico III",SUMIFS($D:$D,$A:$A,$A44,$B:$B,"&lt;&gt;Patrícia Karla de Sousa Araújo",$B:$B,"&lt;&gt;Lorena Dias de Araujo",$B:$B,"&lt;&gt;Lucas Luiz Romero")*(35/1083),IF(C44="Técnico II",SUMIFS($D:$D,$A:$A,$A44,$B:$B,"&lt;&gt;Patrícia Karla de Sousa Araújo",$B:$B,"&lt;&gt;Lorena Dias de Araujo",$B:$B,"&lt;&gt;Lucas Luiz Romero")*(28/1083),IF(C44="Técnico I",SUMIFS($D:$D,$A:$A,$A44,$B:$B,"&lt;&gt;Patrícia Karla de Sousa Araújo",$B:$B,"&lt;&gt;Lorena Dias de Araujo",$B:$B,"&lt;&gt;Lucas Luiz Romero")*(23/1083),IF(C44="JR",SUMIFS($D:$D,$A:$A,$A44,$B:$B,"&lt;&gt;Patrícia Karla de Sousa Araújo",$B:$B,"&lt;&gt;Lorena Dias de Araujo",$B:$B,"&lt;&gt;Lucas Luiz Romero")*(20/1083),IF(C44="Estágio",SUMIFS($D:$D,$A:$A,$A44,$B:$B,"&lt;&gt;Patrícia Karla de Sousa Araújo",$B:$B,"&lt;&gt;Lorena Dias de Araujo",$B:$B,"&lt;&gt;Lucas Luiz Romero")*(10/1083),0)))))),0)</f>
        <v>9</v>
      </c>
      <c r="K44" s="3">
        <f t="shared" ref="K44:K75" si="7">I44-J44</f>
        <v>8</v>
      </c>
      <c r="L44" s="3" t="str">
        <f t="shared" si="5"/>
        <v>EXCELENTE</v>
      </c>
      <c r="M44">
        <v>13</v>
      </c>
      <c r="N44">
        <v>98.36</v>
      </c>
      <c r="O44">
        <v>21.917808219178081</v>
      </c>
    </row>
    <row r="45" spans="1:15" hidden="1" x14ac:dyDescent="0.25">
      <c r="A45" s="5">
        <v>46155</v>
      </c>
      <c r="B45" s="6" t="s">
        <v>15</v>
      </c>
      <c r="C45" s="3" t="s">
        <v>16</v>
      </c>
      <c r="D45" s="3">
        <v>23</v>
      </c>
      <c r="E45" s="3">
        <v>23</v>
      </c>
      <c r="F45">
        <v>15.57</v>
      </c>
      <c r="G45" s="3">
        <v>0</v>
      </c>
      <c r="H45" s="3">
        <v>0</v>
      </c>
      <c r="I45" s="3">
        <f t="shared" si="6"/>
        <v>23</v>
      </c>
      <c r="J45" s="3">
        <f>ROUND(MIN(IF(C45="Técnico III",35,IF(C45="Técnico II",28,IF(C45="Técnico I",23,IF(C45="JR",20,IF(C45="Estágio",10,0))))),IF(C45="Técnico III",SUMIFS($D:$D,$A:$A,$A45,$B:$B,"&lt;&gt;Patrícia Karla de Sousa Araújo",$B:$B,"&lt;&gt;Lorena Dias de Araujo",$B:$B,"&lt;&gt;Lucas Luiz Romero")*(35/1083),IF(C45="Técnico II",SUMIFS($D:$D,$A:$A,$A45,$B:$B,"&lt;&gt;Patrícia Karla de Sousa Araújo",$B:$B,"&lt;&gt;Lorena Dias de Araujo",$B:$B,"&lt;&gt;Lucas Luiz Romero")*(28/1083),IF(C45="Técnico I",SUMIFS($D:$D,$A:$A,$A45,$B:$B,"&lt;&gt;Patrícia Karla de Sousa Araújo",$B:$B,"&lt;&gt;Lorena Dias de Araujo",$B:$B,"&lt;&gt;Lucas Luiz Romero")*(23/1083),IF(C45="JR",SUMIFS($D:$D,$A:$A,$A45,$B:$B,"&lt;&gt;Patrícia Karla de Sousa Araújo",$B:$B,"&lt;&gt;Lorena Dias de Araujo",$B:$B,"&lt;&gt;Lucas Luiz Romero")*(20/1083),IF(C45="Estágio",SUMIFS($D:$D,$A:$A,$A45,$B:$B,"&lt;&gt;Patrícia Karla de Sousa Araújo",$B:$B,"&lt;&gt;Lorena Dias de Araujo",$B:$B,"&lt;&gt;Lucas Luiz Romero")*(10/1083),0)))))),0)</f>
        <v>8</v>
      </c>
      <c r="K45" s="3">
        <f t="shared" si="7"/>
        <v>15</v>
      </c>
      <c r="L45" s="3" t="str">
        <f t="shared" si="5"/>
        <v>EXCELENTE</v>
      </c>
      <c r="M45">
        <v>18</v>
      </c>
      <c r="N45">
        <v>99.25</v>
      </c>
      <c r="O45">
        <v>20.408163265306118</v>
      </c>
    </row>
    <row r="46" spans="1:15" hidden="1" x14ac:dyDescent="0.25">
      <c r="A46" s="5">
        <v>46155</v>
      </c>
      <c r="B46" s="6" t="s">
        <v>17</v>
      </c>
      <c r="C46" s="3" t="s">
        <v>16</v>
      </c>
      <c r="D46" s="3">
        <v>5</v>
      </c>
      <c r="E46" s="3">
        <v>5</v>
      </c>
      <c r="F46">
        <v>42.33</v>
      </c>
      <c r="G46" s="3">
        <v>0</v>
      </c>
      <c r="H46" s="3">
        <v>0</v>
      </c>
      <c r="I46" s="3">
        <f t="shared" si="6"/>
        <v>5</v>
      </c>
      <c r="J46" s="3">
        <f>ROUND(MIN(IF(C46="Técnico III",35,IF(C46="Técnico II",28,IF(C46="Técnico I",23,IF(C46="JR",20,IF(C46="Estágio",10,0))))),IF(C46="Técnico III",SUMIFS($D:$D,$A:$A,$A46,$B:$B,"&lt;&gt;Patrícia Karla de Sousa Araújo",$B:$B,"&lt;&gt;Lorena Dias de Araujo",$B:$B,"&lt;&gt;Lucas Luiz Romero")*(35/1083),IF(C46="Técnico II",SUMIFS($D:$D,$A:$A,$A46,$B:$B,"&lt;&gt;Patrícia Karla de Sousa Araújo",$B:$B,"&lt;&gt;Lorena Dias de Araujo",$B:$B,"&lt;&gt;Lucas Luiz Romero")*(28/1083),IF(C46="Técnico I",SUMIFS($D:$D,$A:$A,$A46,$B:$B,"&lt;&gt;Patrícia Karla de Sousa Araújo",$B:$B,"&lt;&gt;Lorena Dias de Araujo",$B:$B,"&lt;&gt;Lucas Luiz Romero")*(23/1083),IF(C46="JR",SUMIFS($D:$D,$A:$A,$A46,$B:$B,"&lt;&gt;Patrícia Karla de Sousa Araújo",$B:$B,"&lt;&gt;Lorena Dias de Araujo",$B:$B,"&lt;&gt;Lucas Luiz Romero")*(20/1083),IF(C46="Estágio",SUMIFS($D:$D,$A:$A,$A46,$B:$B,"&lt;&gt;Patrícia Karla de Sousa Araújo",$B:$B,"&lt;&gt;Lorena Dias de Araujo",$B:$B,"&lt;&gt;Lucas Luiz Romero")*(10/1083),0)))))),0)</f>
        <v>8</v>
      </c>
      <c r="K46" s="3">
        <f t="shared" si="7"/>
        <v>-3</v>
      </c>
      <c r="L46" s="3" t="str">
        <f t="shared" si="5"/>
        <v>ATENÇÃO</v>
      </c>
      <c r="M46">
        <v>5</v>
      </c>
      <c r="N46">
        <v>97.14</v>
      </c>
      <c r="O46">
        <v>24.761904761904759</v>
      </c>
    </row>
    <row r="47" spans="1:15" hidden="1" x14ac:dyDescent="0.25">
      <c r="A47" s="5">
        <v>46155</v>
      </c>
      <c r="B47" s="6" t="s">
        <v>18</v>
      </c>
      <c r="C47" s="3" t="s">
        <v>16</v>
      </c>
      <c r="D47" s="3">
        <v>60</v>
      </c>
      <c r="E47" s="3">
        <v>19</v>
      </c>
      <c r="F47">
        <v>2.2400000000000002</v>
      </c>
      <c r="G47" s="3">
        <v>0</v>
      </c>
      <c r="H47" s="3">
        <v>0</v>
      </c>
      <c r="I47" s="3">
        <f t="shared" si="6"/>
        <v>19</v>
      </c>
      <c r="J47" s="3">
        <f>ROUND(MIN(IF(C47="Técnico III",35,IF(C47="Técnico II",28,IF(C47="Técnico I",23,IF(C47="JR",20,IF(C47="Estágio",10,0))))),IF(C47="Técnico III",SUMIFS($D:$D,$A:$A,$A47,$B:$B,"&lt;&gt;Patrícia Karla de Sousa Araújo",$B:$B,"&lt;&gt;Lorena Dias de Araujo",$B:$B,"&lt;&gt;Lucas Luiz Romero")*(35/1083),IF(C47="Técnico II",SUMIFS($D:$D,$A:$A,$A47,$B:$B,"&lt;&gt;Patrícia Karla de Sousa Araújo",$B:$B,"&lt;&gt;Lorena Dias de Araujo",$B:$B,"&lt;&gt;Lucas Luiz Romero")*(28/1083),IF(C47="Técnico I",SUMIFS($D:$D,$A:$A,$A47,$B:$B,"&lt;&gt;Patrícia Karla de Sousa Araújo",$B:$B,"&lt;&gt;Lorena Dias de Araujo",$B:$B,"&lt;&gt;Lucas Luiz Romero")*(23/1083),IF(C47="JR",SUMIFS($D:$D,$A:$A,$A47,$B:$B,"&lt;&gt;Patrícia Karla de Sousa Araújo",$B:$B,"&lt;&gt;Lorena Dias de Araujo",$B:$B,"&lt;&gt;Lucas Luiz Romero")*(20/1083),IF(C47="Estágio",SUMIFS($D:$D,$A:$A,$A47,$B:$B,"&lt;&gt;Patrícia Karla de Sousa Araújo",$B:$B,"&lt;&gt;Lorena Dias de Araujo",$B:$B,"&lt;&gt;Lucas Luiz Romero")*(10/1083),0)))))),0)</f>
        <v>8</v>
      </c>
      <c r="K47" s="3">
        <f t="shared" si="7"/>
        <v>11</v>
      </c>
      <c r="L47" s="3" t="str">
        <f t="shared" si="5"/>
        <v>EXCELENTE</v>
      </c>
      <c r="M47">
        <v>0</v>
      </c>
      <c r="N47">
        <v>100</v>
      </c>
      <c r="O47">
        <v>28.94736842105263</v>
      </c>
    </row>
    <row r="48" spans="1:15" hidden="1" x14ac:dyDescent="0.25">
      <c r="A48" s="5">
        <v>46155</v>
      </c>
      <c r="B48" s="6" t="s">
        <v>19</v>
      </c>
      <c r="C48" s="3" t="s">
        <v>16</v>
      </c>
      <c r="D48" s="3">
        <v>37</v>
      </c>
      <c r="E48" s="3">
        <v>23</v>
      </c>
      <c r="F48">
        <v>6.59</v>
      </c>
      <c r="G48" s="3">
        <v>0</v>
      </c>
      <c r="H48" s="3">
        <v>0</v>
      </c>
      <c r="I48" s="3">
        <f t="shared" si="6"/>
        <v>23</v>
      </c>
      <c r="J48" s="3">
        <f>ROUND(MIN(IF(C48="Técnico III",35,IF(C48="Técnico II",28,IF(C48="Técnico I",23,IF(C48="JR",20,IF(C48="Estágio",10,0))))),IF(C48="Técnico III",SUMIFS($D:$D,$A:$A,$A48,$B:$B,"&lt;&gt;Patrícia Karla de Sousa Araújo",$B:$B,"&lt;&gt;Lorena Dias de Araujo",$B:$B,"&lt;&gt;Lucas Luiz Romero")*(35/1083),IF(C48="Técnico II",SUMIFS($D:$D,$A:$A,$A48,$B:$B,"&lt;&gt;Patrícia Karla de Sousa Araújo",$B:$B,"&lt;&gt;Lorena Dias de Araujo",$B:$B,"&lt;&gt;Lucas Luiz Romero")*(28/1083),IF(C48="Técnico I",SUMIFS($D:$D,$A:$A,$A48,$B:$B,"&lt;&gt;Patrícia Karla de Sousa Araújo",$B:$B,"&lt;&gt;Lorena Dias de Araujo",$B:$B,"&lt;&gt;Lucas Luiz Romero")*(23/1083),IF(C48="JR",SUMIFS($D:$D,$A:$A,$A48,$B:$B,"&lt;&gt;Patrícia Karla de Sousa Araújo",$B:$B,"&lt;&gt;Lorena Dias de Araujo",$B:$B,"&lt;&gt;Lucas Luiz Romero")*(20/1083),IF(C48="Estágio",SUMIFS($D:$D,$A:$A,$A48,$B:$B,"&lt;&gt;Patrícia Karla de Sousa Araújo",$B:$B,"&lt;&gt;Lorena Dias de Araujo",$B:$B,"&lt;&gt;Lucas Luiz Romero")*(10/1083),0)))))),0)</f>
        <v>8</v>
      </c>
      <c r="K48" s="3">
        <f t="shared" si="7"/>
        <v>15</v>
      </c>
      <c r="L48" s="3" t="str">
        <f t="shared" si="5"/>
        <v>EXCELENTE</v>
      </c>
      <c r="M48">
        <v>1</v>
      </c>
      <c r="N48">
        <v>100</v>
      </c>
      <c r="O48">
        <v>12.941176470588241</v>
      </c>
    </row>
    <row r="49" spans="1:15" hidden="1" x14ac:dyDescent="0.25">
      <c r="A49" s="5">
        <v>46155</v>
      </c>
      <c r="B49" s="6" t="s">
        <v>20</v>
      </c>
      <c r="C49" s="3" t="s">
        <v>16</v>
      </c>
      <c r="D49" s="3">
        <v>6</v>
      </c>
      <c r="E49" s="3">
        <v>6</v>
      </c>
      <c r="F49">
        <v>29.1</v>
      </c>
      <c r="G49" s="3">
        <v>0</v>
      </c>
      <c r="H49" s="3">
        <v>0</v>
      </c>
      <c r="I49" s="3">
        <f t="shared" si="6"/>
        <v>6</v>
      </c>
      <c r="J49" s="3">
        <f>ROUND(MIN(IF(C49="Técnico III",35,IF(C49="Técnico II",28,IF(C49="Técnico I",23,IF(C49="JR",20,IF(C49="Estágio",10,0))))),IF(C49="Técnico III",SUMIFS($D:$D,$A:$A,$A49,$B:$B,"&lt;&gt;Patrícia Karla de Sousa Araújo",$B:$B,"&lt;&gt;Lorena Dias de Araujo",$B:$B,"&lt;&gt;Lucas Luiz Romero")*(35/1083),IF(C49="Técnico II",SUMIFS($D:$D,$A:$A,$A49,$B:$B,"&lt;&gt;Patrícia Karla de Sousa Araújo",$B:$B,"&lt;&gt;Lorena Dias de Araujo",$B:$B,"&lt;&gt;Lucas Luiz Romero")*(28/1083),IF(C49="Técnico I",SUMIFS($D:$D,$A:$A,$A49,$B:$B,"&lt;&gt;Patrícia Karla de Sousa Araújo",$B:$B,"&lt;&gt;Lorena Dias de Araujo",$B:$B,"&lt;&gt;Lucas Luiz Romero")*(23/1083),IF(C49="JR",SUMIFS($D:$D,$A:$A,$A49,$B:$B,"&lt;&gt;Patrícia Karla de Sousa Araújo",$B:$B,"&lt;&gt;Lorena Dias de Araujo",$B:$B,"&lt;&gt;Lucas Luiz Romero")*(20/1083),IF(C49="Estágio",SUMIFS($D:$D,$A:$A,$A49,$B:$B,"&lt;&gt;Patrícia Karla de Sousa Araújo",$B:$B,"&lt;&gt;Lorena Dias de Araujo",$B:$B,"&lt;&gt;Lucas Luiz Romero")*(10/1083),0)))))),0)</f>
        <v>8</v>
      </c>
      <c r="K49" s="3">
        <f t="shared" si="7"/>
        <v>-2</v>
      </c>
      <c r="L49" s="3" t="str">
        <f t="shared" si="5"/>
        <v>ATENÇÃO</v>
      </c>
      <c r="M49">
        <v>5</v>
      </c>
      <c r="N49">
        <v>100</v>
      </c>
      <c r="O49">
        <v>17.1875</v>
      </c>
    </row>
    <row r="50" spans="1:15" hidden="1" x14ac:dyDescent="0.25">
      <c r="A50" s="5">
        <v>46155</v>
      </c>
      <c r="B50" s="6" t="s">
        <v>21</v>
      </c>
      <c r="C50" s="3" t="s">
        <v>16</v>
      </c>
      <c r="D50" s="3">
        <v>19</v>
      </c>
      <c r="E50" s="3">
        <v>18</v>
      </c>
      <c r="F50">
        <v>23.42</v>
      </c>
      <c r="G50" s="3">
        <v>0</v>
      </c>
      <c r="H50" s="3">
        <v>0</v>
      </c>
      <c r="I50" s="3">
        <f t="shared" si="6"/>
        <v>18</v>
      </c>
      <c r="J50" s="3">
        <f>ROUND(MIN(IF(C50="Técnico III",35,IF(C50="Técnico II",28,IF(C50="Técnico I",23,IF(C50="JR",20,IF(C50="Estágio",10,0))))),IF(C50="Técnico III",SUMIFS($D:$D,$A:$A,$A50,$B:$B,"&lt;&gt;Patrícia Karla de Sousa Araújo",$B:$B,"&lt;&gt;Lorena Dias de Araujo",$B:$B,"&lt;&gt;Lucas Luiz Romero")*(35/1083),IF(C50="Técnico II",SUMIFS($D:$D,$A:$A,$A50,$B:$B,"&lt;&gt;Patrícia Karla de Sousa Araújo",$B:$B,"&lt;&gt;Lorena Dias de Araujo",$B:$B,"&lt;&gt;Lucas Luiz Romero")*(28/1083),IF(C50="Técnico I",SUMIFS($D:$D,$A:$A,$A50,$B:$B,"&lt;&gt;Patrícia Karla de Sousa Araújo",$B:$B,"&lt;&gt;Lorena Dias de Araujo",$B:$B,"&lt;&gt;Lucas Luiz Romero")*(23/1083),IF(C50="JR",SUMIFS($D:$D,$A:$A,$A50,$B:$B,"&lt;&gt;Patrícia Karla de Sousa Araújo",$B:$B,"&lt;&gt;Lorena Dias de Araujo",$B:$B,"&lt;&gt;Lucas Luiz Romero")*(20/1083),IF(C50="Estágio",SUMIFS($D:$D,$A:$A,$A50,$B:$B,"&lt;&gt;Patrícia Karla de Sousa Araújo",$B:$B,"&lt;&gt;Lorena Dias de Araujo",$B:$B,"&lt;&gt;Lucas Luiz Romero")*(10/1083),0)))))),0)</f>
        <v>8</v>
      </c>
      <c r="K50" s="3">
        <f t="shared" si="7"/>
        <v>10</v>
      </c>
      <c r="L50" s="3" t="str">
        <f t="shared" si="5"/>
        <v>EXCELENTE</v>
      </c>
      <c r="M50">
        <v>13</v>
      </c>
      <c r="N50">
        <v>98.36</v>
      </c>
      <c r="O50">
        <v>21.917808219178081</v>
      </c>
    </row>
    <row r="51" spans="1:15" hidden="1" x14ac:dyDescent="0.25">
      <c r="A51" s="5">
        <v>46156</v>
      </c>
      <c r="B51" s="6" t="s">
        <v>15</v>
      </c>
      <c r="C51" s="3" t="s">
        <v>16</v>
      </c>
      <c r="D51" s="3">
        <v>31</v>
      </c>
      <c r="E51" s="3">
        <v>29</v>
      </c>
      <c r="F51">
        <v>18.5</v>
      </c>
      <c r="G51" s="3">
        <v>0</v>
      </c>
      <c r="H51" s="3">
        <v>0</v>
      </c>
      <c r="I51" s="3">
        <f t="shared" si="6"/>
        <v>29</v>
      </c>
      <c r="J51" s="3">
        <f>ROUND(MIN(IF(C51="Técnico III",35,IF(C51="Técnico II",28,IF(C51="Técnico I",23,IF(C51="JR",20,IF(C51="Estágio",10,0))))),IF(C51="Técnico III",SUMIFS($D:$D,$A:$A,$A51,$B:$B,"&lt;&gt;Patrícia Karla de Sousa Araújo",$B:$B,"&lt;&gt;Lorena Dias de Araujo",$B:$B,"&lt;&gt;Lucas Luiz Romero")*(35/1083),IF(C51="Técnico II",SUMIFS($D:$D,$A:$A,$A51,$B:$B,"&lt;&gt;Patrícia Karla de Sousa Araújo",$B:$B,"&lt;&gt;Lorena Dias de Araujo",$B:$B,"&lt;&gt;Lucas Luiz Romero")*(28/1083),IF(C51="Técnico I",SUMIFS($D:$D,$A:$A,$A51,$B:$B,"&lt;&gt;Patrícia Karla de Sousa Araújo",$B:$B,"&lt;&gt;Lorena Dias de Araujo",$B:$B,"&lt;&gt;Lucas Luiz Romero")*(23/1083),IF(C51="JR",SUMIFS($D:$D,$A:$A,$A51,$B:$B,"&lt;&gt;Patrícia Karla de Sousa Araújo",$B:$B,"&lt;&gt;Lorena Dias de Araujo",$B:$B,"&lt;&gt;Lucas Luiz Romero")*(20/1083),IF(C51="Estágio",SUMIFS($D:$D,$A:$A,$A51,$B:$B,"&lt;&gt;Patrícia Karla de Sousa Araújo",$B:$B,"&lt;&gt;Lorena Dias de Araujo",$B:$B,"&lt;&gt;Lucas Luiz Romero")*(10/1083),0)))))),0)</f>
        <v>8</v>
      </c>
      <c r="K51" s="3">
        <f t="shared" si="7"/>
        <v>21</v>
      </c>
      <c r="L51" s="3" t="str">
        <f t="shared" si="5"/>
        <v>EXCELENTE</v>
      </c>
      <c r="M51">
        <v>26</v>
      </c>
      <c r="N51">
        <v>99.25</v>
      </c>
      <c r="O51">
        <v>20.408163265306118</v>
      </c>
    </row>
    <row r="52" spans="1:15" hidden="1" x14ac:dyDescent="0.25">
      <c r="A52" s="5">
        <v>46156</v>
      </c>
      <c r="B52" s="6" t="s">
        <v>17</v>
      </c>
      <c r="C52" s="3" t="s">
        <v>16</v>
      </c>
      <c r="D52" s="3">
        <v>9</v>
      </c>
      <c r="E52" s="3">
        <v>9</v>
      </c>
      <c r="F52">
        <v>24.16</v>
      </c>
      <c r="G52" s="3">
        <v>0</v>
      </c>
      <c r="H52" s="3">
        <v>0</v>
      </c>
      <c r="I52" s="3">
        <f t="shared" si="6"/>
        <v>9</v>
      </c>
      <c r="J52" s="3">
        <f>ROUND(MIN(IF(C52="Técnico III",35,IF(C52="Técnico II",28,IF(C52="Técnico I",23,IF(C52="JR",20,IF(C52="Estágio",10,0))))),IF(C52="Técnico III",SUMIFS($D:$D,$A:$A,$A52,$B:$B,"&lt;&gt;Patrícia Karla de Sousa Araújo",$B:$B,"&lt;&gt;Lorena Dias de Araujo",$B:$B,"&lt;&gt;Lucas Luiz Romero")*(35/1083),IF(C52="Técnico II",SUMIFS($D:$D,$A:$A,$A52,$B:$B,"&lt;&gt;Patrícia Karla de Sousa Araújo",$B:$B,"&lt;&gt;Lorena Dias de Araujo",$B:$B,"&lt;&gt;Lucas Luiz Romero")*(28/1083),IF(C52="Técnico I",SUMIFS($D:$D,$A:$A,$A52,$B:$B,"&lt;&gt;Patrícia Karla de Sousa Araújo",$B:$B,"&lt;&gt;Lorena Dias de Araujo",$B:$B,"&lt;&gt;Lucas Luiz Romero")*(23/1083),IF(C52="JR",SUMIFS($D:$D,$A:$A,$A52,$B:$B,"&lt;&gt;Patrícia Karla de Sousa Araújo",$B:$B,"&lt;&gt;Lorena Dias de Araujo",$B:$B,"&lt;&gt;Lucas Luiz Romero")*(20/1083),IF(C52="Estágio",SUMIFS($D:$D,$A:$A,$A52,$B:$B,"&lt;&gt;Patrícia Karla de Sousa Araújo",$B:$B,"&lt;&gt;Lorena Dias de Araujo",$B:$B,"&lt;&gt;Lucas Luiz Romero")*(10/1083),0)))))),0)</f>
        <v>8</v>
      </c>
      <c r="K52" s="3">
        <f t="shared" si="7"/>
        <v>1</v>
      </c>
      <c r="L52" s="3" t="str">
        <f t="shared" si="5"/>
        <v>BOM</v>
      </c>
      <c r="M52">
        <v>6</v>
      </c>
      <c r="N52">
        <v>97.14</v>
      </c>
      <c r="O52">
        <v>24.761904761904759</v>
      </c>
    </row>
    <row r="53" spans="1:15" hidden="1" x14ac:dyDescent="0.25">
      <c r="A53" s="5">
        <v>46156</v>
      </c>
      <c r="B53" s="6" t="s">
        <v>18</v>
      </c>
      <c r="C53" s="3" t="s">
        <v>16</v>
      </c>
      <c r="D53" s="3">
        <v>21</v>
      </c>
      <c r="E53" s="3">
        <v>10</v>
      </c>
      <c r="F53">
        <v>3.22</v>
      </c>
      <c r="G53" s="3">
        <v>5</v>
      </c>
      <c r="H53" s="3">
        <v>0</v>
      </c>
      <c r="I53" s="3">
        <f t="shared" si="6"/>
        <v>15</v>
      </c>
      <c r="J53" s="3">
        <f>ROUND(MIN(IF(C53="Técnico III",35,IF(C53="Técnico II",28,IF(C53="Técnico I",23,IF(C53="JR",20,IF(C53="Estágio",10,0))))),IF(C53="Técnico III",SUMIFS($D:$D,$A:$A,$A53,$B:$B,"&lt;&gt;Patrícia Karla de Sousa Araújo",$B:$B,"&lt;&gt;Lorena Dias de Araujo",$B:$B,"&lt;&gt;Lucas Luiz Romero")*(35/1083),IF(C53="Técnico II",SUMIFS($D:$D,$A:$A,$A53,$B:$B,"&lt;&gt;Patrícia Karla de Sousa Araújo",$B:$B,"&lt;&gt;Lorena Dias de Araujo",$B:$B,"&lt;&gt;Lucas Luiz Romero")*(28/1083),IF(C53="Técnico I",SUMIFS($D:$D,$A:$A,$A53,$B:$B,"&lt;&gt;Patrícia Karla de Sousa Araújo",$B:$B,"&lt;&gt;Lorena Dias de Araujo",$B:$B,"&lt;&gt;Lucas Luiz Romero")*(23/1083),IF(C53="JR",SUMIFS($D:$D,$A:$A,$A53,$B:$B,"&lt;&gt;Patrícia Karla de Sousa Araújo",$B:$B,"&lt;&gt;Lorena Dias de Araujo",$B:$B,"&lt;&gt;Lucas Luiz Romero")*(20/1083),IF(C53="Estágio",SUMIFS($D:$D,$A:$A,$A53,$B:$B,"&lt;&gt;Patrícia Karla de Sousa Araújo",$B:$B,"&lt;&gt;Lorena Dias de Araujo",$B:$B,"&lt;&gt;Lucas Luiz Romero")*(10/1083),0)))))),0)</f>
        <v>8</v>
      </c>
      <c r="K53" s="3">
        <f t="shared" si="7"/>
        <v>7</v>
      </c>
      <c r="L53" s="3" t="str">
        <f t="shared" si="5"/>
        <v>EXCELENTE</v>
      </c>
      <c r="M53">
        <v>0</v>
      </c>
      <c r="N53">
        <v>100</v>
      </c>
      <c r="O53">
        <v>28.94736842105263</v>
      </c>
    </row>
    <row r="54" spans="1:15" hidden="1" x14ac:dyDescent="0.25">
      <c r="A54" s="5">
        <v>46156</v>
      </c>
      <c r="B54" s="6" t="s">
        <v>19</v>
      </c>
      <c r="C54" s="3" t="s">
        <v>16</v>
      </c>
      <c r="D54" s="3">
        <v>63</v>
      </c>
      <c r="E54" s="3">
        <v>43</v>
      </c>
      <c r="F54">
        <v>6.57</v>
      </c>
      <c r="G54" s="3">
        <v>0</v>
      </c>
      <c r="H54" s="3">
        <v>0</v>
      </c>
      <c r="I54" s="3">
        <f t="shared" si="6"/>
        <v>43</v>
      </c>
      <c r="J54" s="3">
        <f>ROUND(MIN(IF(C54="Técnico III",35,IF(C54="Técnico II",28,IF(C54="Técnico I",23,IF(C54="JR",20,IF(C54="Estágio",10,0))))),IF(C54="Técnico III",SUMIFS($D:$D,$A:$A,$A54,$B:$B,"&lt;&gt;Patrícia Karla de Sousa Araújo",$B:$B,"&lt;&gt;Lorena Dias de Araujo",$B:$B,"&lt;&gt;Lucas Luiz Romero")*(35/1083),IF(C54="Técnico II",SUMIFS($D:$D,$A:$A,$A54,$B:$B,"&lt;&gt;Patrícia Karla de Sousa Araújo",$B:$B,"&lt;&gt;Lorena Dias de Araujo",$B:$B,"&lt;&gt;Lucas Luiz Romero")*(28/1083),IF(C54="Técnico I",SUMIFS($D:$D,$A:$A,$A54,$B:$B,"&lt;&gt;Patrícia Karla de Sousa Araújo",$B:$B,"&lt;&gt;Lorena Dias de Araujo",$B:$B,"&lt;&gt;Lucas Luiz Romero")*(23/1083),IF(C54="JR",SUMIFS($D:$D,$A:$A,$A54,$B:$B,"&lt;&gt;Patrícia Karla de Sousa Araújo",$B:$B,"&lt;&gt;Lorena Dias de Araujo",$B:$B,"&lt;&gt;Lucas Luiz Romero")*(20/1083),IF(C54="Estágio",SUMIFS($D:$D,$A:$A,$A54,$B:$B,"&lt;&gt;Patrícia Karla de Sousa Araújo",$B:$B,"&lt;&gt;Lorena Dias de Araujo",$B:$B,"&lt;&gt;Lucas Luiz Romero")*(10/1083),0)))))),0)</f>
        <v>8</v>
      </c>
      <c r="K54" s="3">
        <f t="shared" si="7"/>
        <v>35</v>
      </c>
      <c r="L54" s="3" t="str">
        <f t="shared" si="5"/>
        <v>EXCELENTE</v>
      </c>
      <c r="M54">
        <v>2</v>
      </c>
      <c r="N54">
        <v>100</v>
      </c>
      <c r="O54">
        <v>12.941176470588241</v>
      </c>
    </row>
    <row r="55" spans="1:15" hidden="1" x14ac:dyDescent="0.25">
      <c r="A55" s="5">
        <v>46156</v>
      </c>
      <c r="B55" s="6" t="s">
        <v>20</v>
      </c>
      <c r="C55" s="3" t="s">
        <v>16</v>
      </c>
      <c r="D55" s="3">
        <v>4</v>
      </c>
      <c r="E55" s="3">
        <v>4</v>
      </c>
      <c r="F55">
        <v>54.06</v>
      </c>
      <c r="G55" s="3">
        <v>0</v>
      </c>
      <c r="H55" s="3">
        <v>0</v>
      </c>
      <c r="I55" s="3">
        <f t="shared" si="6"/>
        <v>4</v>
      </c>
      <c r="J55" s="3">
        <f>ROUND(MIN(IF(C55="Técnico III",35,IF(C55="Técnico II",28,IF(C55="Técnico I",23,IF(C55="JR",20,IF(C55="Estágio",10,0))))),IF(C55="Técnico III",SUMIFS($D:$D,$A:$A,$A55,$B:$B,"&lt;&gt;Patrícia Karla de Sousa Araújo",$B:$B,"&lt;&gt;Lorena Dias de Araujo",$B:$B,"&lt;&gt;Lucas Luiz Romero")*(35/1083),IF(C55="Técnico II",SUMIFS($D:$D,$A:$A,$A55,$B:$B,"&lt;&gt;Patrícia Karla de Sousa Araújo",$B:$B,"&lt;&gt;Lorena Dias de Araujo",$B:$B,"&lt;&gt;Lucas Luiz Romero")*(28/1083),IF(C55="Técnico I",SUMIFS($D:$D,$A:$A,$A55,$B:$B,"&lt;&gt;Patrícia Karla de Sousa Araújo",$B:$B,"&lt;&gt;Lorena Dias de Araujo",$B:$B,"&lt;&gt;Lucas Luiz Romero")*(23/1083),IF(C55="JR",SUMIFS($D:$D,$A:$A,$A55,$B:$B,"&lt;&gt;Patrícia Karla de Sousa Araújo",$B:$B,"&lt;&gt;Lorena Dias de Araujo",$B:$B,"&lt;&gt;Lucas Luiz Romero")*(20/1083),IF(C55="Estágio",SUMIFS($D:$D,$A:$A,$A55,$B:$B,"&lt;&gt;Patrícia Karla de Sousa Araújo",$B:$B,"&lt;&gt;Lorena Dias de Araujo",$B:$B,"&lt;&gt;Lucas Luiz Romero")*(10/1083),0)))))),0)</f>
        <v>8</v>
      </c>
      <c r="K55" s="3">
        <f t="shared" si="7"/>
        <v>-4</v>
      </c>
      <c r="L55" s="3" t="str">
        <f t="shared" si="5"/>
        <v>ATENÇÃO</v>
      </c>
      <c r="M55">
        <v>3</v>
      </c>
      <c r="N55">
        <v>100</v>
      </c>
      <c r="O55">
        <v>17.1875</v>
      </c>
    </row>
    <row r="56" spans="1:15" hidden="1" x14ac:dyDescent="0.25">
      <c r="A56" s="5">
        <v>46156</v>
      </c>
      <c r="B56" s="6" t="s">
        <v>21</v>
      </c>
      <c r="C56" s="3" t="s">
        <v>16</v>
      </c>
      <c r="D56" s="3">
        <v>19</v>
      </c>
      <c r="E56" s="3">
        <v>18</v>
      </c>
      <c r="F56">
        <v>24.18</v>
      </c>
      <c r="G56" s="3">
        <v>0</v>
      </c>
      <c r="H56" s="3">
        <v>0</v>
      </c>
      <c r="I56" s="3">
        <f t="shared" si="6"/>
        <v>18</v>
      </c>
      <c r="J56" s="3">
        <f>ROUND(MIN(IF(C56="Técnico III",35,IF(C56="Técnico II",28,IF(C56="Técnico I",23,IF(C56="JR",20,IF(C56="Estágio",10,0))))),IF(C56="Técnico III",SUMIFS($D:$D,$A:$A,$A56,$B:$B,"&lt;&gt;Patrícia Karla de Sousa Araújo",$B:$B,"&lt;&gt;Lorena Dias de Araujo",$B:$B,"&lt;&gt;Lucas Luiz Romero")*(35/1083),IF(C56="Técnico II",SUMIFS($D:$D,$A:$A,$A56,$B:$B,"&lt;&gt;Patrícia Karla de Sousa Araújo",$B:$B,"&lt;&gt;Lorena Dias de Araujo",$B:$B,"&lt;&gt;Lucas Luiz Romero")*(28/1083),IF(C56="Técnico I",SUMIFS($D:$D,$A:$A,$A56,$B:$B,"&lt;&gt;Patrícia Karla de Sousa Araújo",$B:$B,"&lt;&gt;Lorena Dias de Araujo",$B:$B,"&lt;&gt;Lucas Luiz Romero")*(23/1083),IF(C56="JR",SUMIFS($D:$D,$A:$A,$A56,$B:$B,"&lt;&gt;Patrícia Karla de Sousa Araújo",$B:$B,"&lt;&gt;Lorena Dias de Araujo",$B:$B,"&lt;&gt;Lucas Luiz Romero")*(20/1083),IF(C56="Estágio",SUMIFS($D:$D,$A:$A,$A56,$B:$B,"&lt;&gt;Patrícia Karla de Sousa Araújo",$B:$B,"&lt;&gt;Lorena Dias de Araujo",$B:$B,"&lt;&gt;Lucas Luiz Romero")*(10/1083),0)))))),0)</f>
        <v>8</v>
      </c>
      <c r="K56" s="3">
        <f t="shared" si="7"/>
        <v>10</v>
      </c>
      <c r="L56" s="3" t="str">
        <f t="shared" si="5"/>
        <v>EXCELENTE</v>
      </c>
      <c r="M56">
        <v>15</v>
      </c>
      <c r="N56">
        <v>98.36</v>
      </c>
      <c r="O56">
        <v>21.917808219178081</v>
      </c>
    </row>
    <row r="57" spans="1:15" hidden="1" x14ac:dyDescent="0.25">
      <c r="A57" s="5">
        <v>46157</v>
      </c>
      <c r="B57" s="6" t="s">
        <v>15</v>
      </c>
      <c r="C57" s="3" t="s">
        <v>16</v>
      </c>
      <c r="D57" s="3">
        <v>42</v>
      </c>
      <c r="E57" s="3">
        <v>40</v>
      </c>
      <c r="F57">
        <v>15.42</v>
      </c>
      <c r="G57" s="3">
        <v>0</v>
      </c>
      <c r="H57" s="3">
        <v>0</v>
      </c>
      <c r="I57" s="3">
        <f t="shared" si="6"/>
        <v>40</v>
      </c>
      <c r="J57" s="3">
        <f>ROUND(MIN(IF(C57="Técnico III",35,IF(C57="Técnico II",28,IF(C57="Técnico I",23,IF(C57="JR",20,IF(C57="Estágio",10,0))))),IF(C57="Técnico III",SUMIFS($D:$D,$A:$A,$A57,$B:$B,"&lt;&gt;Patrícia Karla de Sousa Araújo",$B:$B,"&lt;&gt;Lorena Dias de Araujo",$B:$B,"&lt;&gt;Lucas Luiz Romero")*(35/1083),IF(C57="Técnico II",SUMIFS($D:$D,$A:$A,$A57,$B:$B,"&lt;&gt;Patrícia Karla de Sousa Araújo",$B:$B,"&lt;&gt;Lorena Dias de Araujo",$B:$B,"&lt;&gt;Lucas Luiz Romero")*(28/1083),IF(C57="Técnico I",SUMIFS($D:$D,$A:$A,$A57,$B:$B,"&lt;&gt;Patrícia Karla de Sousa Araújo",$B:$B,"&lt;&gt;Lorena Dias de Araujo",$B:$B,"&lt;&gt;Lucas Luiz Romero")*(23/1083),IF(C57="JR",SUMIFS($D:$D,$A:$A,$A57,$B:$B,"&lt;&gt;Patrícia Karla de Sousa Araújo",$B:$B,"&lt;&gt;Lorena Dias de Araujo",$B:$B,"&lt;&gt;Lucas Luiz Romero")*(20/1083),IF(C57="Estágio",SUMIFS($D:$D,$A:$A,$A57,$B:$B,"&lt;&gt;Patrícia Karla de Sousa Araújo",$B:$B,"&lt;&gt;Lorena Dias de Araujo",$B:$B,"&lt;&gt;Lucas Luiz Romero")*(10/1083),0)))))),0)</f>
        <v>8</v>
      </c>
      <c r="K57" s="3">
        <f t="shared" si="7"/>
        <v>32</v>
      </c>
      <c r="L57" s="3" t="str">
        <f t="shared" si="5"/>
        <v>EXCELENTE</v>
      </c>
      <c r="M57">
        <v>34</v>
      </c>
      <c r="N57">
        <v>99.25</v>
      </c>
      <c r="O57">
        <v>20.408163265306118</v>
      </c>
    </row>
    <row r="58" spans="1:15" hidden="1" x14ac:dyDescent="0.25">
      <c r="A58" s="5">
        <v>46157</v>
      </c>
      <c r="B58" s="6" t="s">
        <v>17</v>
      </c>
      <c r="C58" s="3" t="s">
        <v>16</v>
      </c>
      <c r="D58" s="3">
        <v>11</v>
      </c>
      <c r="E58" s="3">
        <v>10</v>
      </c>
      <c r="F58">
        <v>20.190000000000001</v>
      </c>
      <c r="G58" s="3">
        <v>0</v>
      </c>
      <c r="H58" s="3">
        <v>0</v>
      </c>
      <c r="I58" s="3">
        <f t="shared" si="6"/>
        <v>10</v>
      </c>
      <c r="J58" s="3">
        <f>ROUND(MIN(IF(C58="Técnico III",35,IF(C58="Técnico II",28,IF(C58="Técnico I",23,IF(C58="JR",20,IF(C58="Estágio",10,0))))),IF(C58="Técnico III",SUMIFS($D:$D,$A:$A,$A58,$B:$B,"&lt;&gt;Patrícia Karla de Sousa Araújo",$B:$B,"&lt;&gt;Lorena Dias de Araujo",$B:$B,"&lt;&gt;Lucas Luiz Romero")*(35/1083),IF(C58="Técnico II",SUMIFS($D:$D,$A:$A,$A58,$B:$B,"&lt;&gt;Patrícia Karla de Sousa Araújo",$B:$B,"&lt;&gt;Lorena Dias de Araujo",$B:$B,"&lt;&gt;Lucas Luiz Romero")*(28/1083),IF(C58="Técnico I",SUMIFS($D:$D,$A:$A,$A58,$B:$B,"&lt;&gt;Patrícia Karla de Sousa Araújo",$B:$B,"&lt;&gt;Lorena Dias de Araujo",$B:$B,"&lt;&gt;Lucas Luiz Romero")*(23/1083),IF(C58="JR",SUMIFS($D:$D,$A:$A,$A58,$B:$B,"&lt;&gt;Patrícia Karla de Sousa Araújo",$B:$B,"&lt;&gt;Lorena Dias de Araujo",$B:$B,"&lt;&gt;Lucas Luiz Romero")*(20/1083),IF(C58="Estágio",SUMIFS($D:$D,$A:$A,$A58,$B:$B,"&lt;&gt;Patrícia Karla de Sousa Araújo",$B:$B,"&lt;&gt;Lorena Dias de Araujo",$B:$B,"&lt;&gt;Lucas Luiz Romero")*(10/1083),0)))))),0)</f>
        <v>8</v>
      </c>
      <c r="K58" s="3">
        <f t="shared" si="7"/>
        <v>2</v>
      </c>
      <c r="L58" s="3" t="str">
        <f t="shared" si="5"/>
        <v>BOM</v>
      </c>
      <c r="M58">
        <v>8</v>
      </c>
      <c r="N58">
        <v>97.14</v>
      </c>
      <c r="O58">
        <v>24.761904761904759</v>
      </c>
    </row>
    <row r="59" spans="1:15" hidden="1" x14ac:dyDescent="0.25">
      <c r="A59" s="5">
        <v>46157</v>
      </c>
      <c r="B59" s="6" t="s">
        <v>18</v>
      </c>
      <c r="C59" s="3" t="s">
        <v>16</v>
      </c>
      <c r="D59" s="3">
        <v>39</v>
      </c>
      <c r="E59" s="3">
        <v>24</v>
      </c>
      <c r="F59">
        <v>3.43</v>
      </c>
      <c r="G59" s="3">
        <v>0</v>
      </c>
      <c r="H59" s="3">
        <v>0</v>
      </c>
      <c r="I59" s="3">
        <f t="shared" si="6"/>
        <v>24</v>
      </c>
      <c r="J59" s="3">
        <f>ROUND(MIN(IF(C59="Técnico III",35,IF(C59="Técnico II",28,IF(C59="Técnico I",23,IF(C59="JR",20,IF(C59="Estágio",10,0))))),IF(C59="Técnico III",SUMIFS($D:$D,$A:$A,$A59,$B:$B,"&lt;&gt;Patrícia Karla de Sousa Araújo",$B:$B,"&lt;&gt;Lorena Dias de Araujo",$B:$B,"&lt;&gt;Lucas Luiz Romero")*(35/1083),IF(C59="Técnico II",SUMIFS($D:$D,$A:$A,$A59,$B:$B,"&lt;&gt;Patrícia Karla de Sousa Araújo",$B:$B,"&lt;&gt;Lorena Dias de Araujo",$B:$B,"&lt;&gt;Lucas Luiz Romero")*(28/1083),IF(C59="Técnico I",SUMIFS($D:$D,$A:$A,$A59,$B:$B,"&lt;&gt;Patrícia Karla de Sousa Araújo",$B:$B,"&lt;&gt;Lorena Dias de Araujo",$B:$B,"&lt;&gt;Lucas Luiz Romero")*(23/1083),IF(C59="JR",SUMIFS($D:$D,$A:$A,$A59,$B:$B,"&lt;&gt;Patrícia Karla de Sousa Araújo",$B:$B,"&lt;&gt;Lorena Dias de Araujo",$B:$B,"&lt;&gt;Lucas Luiz Romero")*(20/1083),IF(C59="Estágio",SUMIFS($D:$D,$A:$A,$A59,$B:$B,"&lt;&gt;Patrícia Karla de Sousa Araújo",$B:$B,"&lt;&gt;Lorena Dias de Araujo",$B:$B,"&lt;&gt;Lucas Luiz Romero")*(10/1083),0)))))),0)</f>
        <v>8</v>
      </c>
      <c r="K59" s="3">
        <f t="shared" si="7"/>
        <v>16</v>
      </c>
      <c r="L59" s="3" t="str">
        <f t="shared" si="5"/>
        <v>EXCELENTE</v>
      </c>
      <c r="M59">
        <v>0</v>
      </c>
      <c r="N59">
        <v>100</v>
      </c>
      <c r="O59">
        <v>28.94736842105263</v>
      </c>
    </row>
    <row r="60" spans="1:15" hidden="1" x14ac:dyDescent="0.25">
      <c r="A60" s="5">
        <v>46157</v>
      </c>
      <c r="B60" s="6" t="s">
        <v>19</v>
      </c>
      <c r="C60" s="3" t="s">
        <v>16</v>
      </c>
      <c r="D60" s="3">
        <v>54</v>
      </c>
      <c r="E60" s="3">
        <v>32</v>
      </c>
      <c r="F60">
        <v>6.47</v>
      </c>
      <c r="G60" s="3">
        <v>0</v>
      </c>
      <c r="H60" s="3">
        <v>0</v>
      </c>
      <c r="I60" s="3">
        <f t="shared" si="6"/>
        <v>32</v>
      </c>
      <c r="J60" s="3">
        <f>ROUND(MIN(IF(C60="Técnico III",35,IF(C60="Técnico II",28,IF(C60="Técnico I",23,IF(C60="JR",20,IF(C60="Estágio",10,0))))),IF(C60="Técnico III",SUMIFS($D:$D,$A:$A,$A60,$B:$B,"&lt;&gt;Patrícia Karla de Sousa Araújo",$B:$B,"&lt;&gt;Lorena Dias de Araujo",$B:$B,"&lt;&gt;Lucas Luiz Romero")*(35/1083),IF(C60="Técnico II",SUMIFS($D:$D,$A:$A,$A60,$B:$B,"&lt;&gt;Patrícia Karla de Sousa Araújo",$B:$B,"&lt;&gt;Lorena Dias de Araujo",$B:$B,"&lt;&gt;Lucas Luiz Romero")*(28/1083),IF(C60="Técnico I",SUMIFS($D:$D,$A:$A,$A60,$B:$B,"&lt;&gt;Patrícia Karla de Sousa Araújo",$B:$B,"&lt;&gt;Lorena Dias de Araujo",$B:$B,"&lt;&gt;Lucas Luiz Romero")*(23/1083),IF(C60="JR",SUMIFS($D:$D,$A:$A,$A60,$B:$B,"&lt;&gt;Patrícia Karla de Sousa Araújo",$B:$B,"&lt;&gt;Lorena Dias de Araujo",$B:$B,"&lt;&gt;Lucas Luiz Romero")*(20/1083),IF(C60="Estágio",SUMIFS($D:$D,$A:$A,$A60,$B:$B,"&lt;&gt;Patrícia Karla de Sousa Araújo",$B:$B,"&lt;&gt;Lorena Dias de Araujo",$B:$B,"&lt;&gt;Lucas Luiz Romero")*(10/1083),0)))))),0)</f>
        <v>8</v>
      </c>
      <c r="K60" s="3">
        <f t="shared" si="7"/>
        <v>24</v>
      </c>
      <c r="L60" s="3" t="str">
        <f t="shared" si="5"/>
        <v>EXCELENTE</v>
      </c>
      <c r="M60">
        <v>1</v>
      </c>
      <c r="N60">
        <v>100</v>
      </c>
      <c r="O60">
        <v>12.941176470588241</v>
      </c>
    </row>
    <row r="61" spans="1:15" hidden="1" x14ac:dyDescent="0.25">
      <c r="A61" s="5">
        <v>46157</v>
      </c>
      <c r="B61" s="6" t="s">
        <v>20</v>
      </c>
      <c r="C61" s="3" t="s">
        <v>16</v>
      </c>
      <c r="D61" s="3">
        <v>9</v>
      </c>
      <c r="E61" s="3">
        <v>8</v>
      </c>
      <c r="F61">
        <v>39.06</v>
      </c>
      <c r="G61" s="3">
        <v>0</v>
      </c>
      <c r="H61" s="3">
        <v>0</v>
      </c>
      <c r="I61" s="3">
        <f t="shared" si="6"/>
        <v>8</v>
      </c>
      <c r="J61" s="3">
        <f>ROUND(MIN(IF(C61="Técnico III",35,IF(C61="Técnico II",28,IF(C61="Técnico I",23,IF(C61="JR",20,IF(C61="Estágio",10,0))))),IF(C61="Técnico III",SUMIFS($D:$D,$A:$A,$A61,$B:$B,"&lt;&gt;Patrícia Karla de Sousa Araújo",$B:$B,"&lt;&gt;Lorena Dias de Araujo",$B:$B,"&lt;&gt;Lucas Luiz Romero")*(35/1083),IF(C61="Técnico II",SUMIFS($D:$D,$A:$A,$A61,$B:$B,"&lt;&gt;Patrícia Karla de Sousa Araújo",$B:$B,"&lt;&gt;Lorena Dias de Araujo",$B:$B,"&lt;&gt;Lucas Luiz Romero")*(28/1083),IF(C61="Técnico I",SUMIFS($D:$D,$A:$A,$A61,$B:$B,"&lt;&gt;Patrícia Karla de Sousa Araújo",$B:$B,"&lt;&gt;Lorena Dias de Araujo",$B:$B,"&lt;&gt;Lucas Luiz Romero")*(23/1083),IF(C61="JR",SUMIFS($D:$D,$A:$A,$A61,$B:$B,"&lt;&gt;Patrícia Karla de Sousa Araújo",$B:$B,"&lt;&gt;Lorena Dias de Araujo",$B:$B,"&lt;&gt;Lucas Luiz Romero")*(20/1083),IF(C61="Estágio",SUMIFS($D:$D,$A:$A,$A61,$B:$B,"&lt;&gt;Patrícia Karla de Sousa Araújo",$B:$B,"&lt;&gt;Lorena Dias de Araujo",$B:$B,"&lt;&gt;Lucas Luiz Romero")*(10/1083),0)))))),0)</f>
        <v>8</v>
      </c>
      <c r="K61" s="3">
        <f t="shared" si="7"/>
        <v>0</v>
      </c>
      <c r="L61" s="3" t="str">
        <f t="shared" si="5"/>
        <v>BOM</v>
      </c>
      <c r="M61">
        <v>7</v>
      </c>
      <c r="N61">
        <v>100</v>
      </c>
      <c r="O61">
        <v>17.1875</v>
      </c>
    </row>
    <row r="62" spans="1:15" hidden="1" x14ac:dyDescent="0.25">
      <c r="A62" s="5">
        <v>46157</v>
      </c>
      <c r="B62" s="6" t="s">
        <v>21</v>
      </c>
      <c r="C62" s="3" t="s">
        <v>16</v>
      </c>
      <c r="D62" s="3">
        <v>17</v>
      </c>
      <c r="E62" s="3">
        <v>15</v>
      </c>
      <c r="F62">
        <v>23.57</v>
      </c>
      <c r="G62" s="3">
        <v>0</v>
      </c>
      <c r="H62" s="3">
        <v>0</v>
      </c>
      <c r="I62" s="3">
        <f t="shared" si="6"/>
        <v>15</v>
      </c>
      <c r="J62" s="3">
        <f>ROUND(MIN(IF(C62="Técnico III",35,IF(C62="Técnico II",28,IF(C62="Técnico I",23,IF(C62="JR",20,IF(C62="Estágio",10,0))))),IF(C62="Técnico III",SUMIFS($D:$D,$A:$A,$A62,$B:$B,"&lt;&gt;Patrícia Karla de Sousa Araújo",$B:$B,"&lt;&gt;Lorena Dias de Araujo",$B:$B,"&lt;&gt;Lucas Luiz Romero")*(35/1083),IF(C62="Técnico II",SUMIFS($D:$D,$A:$A,$A62,$B:$B,"&lt;&gt;Patrícia Karla de Sousa Araújo",$B:$B,"&lt;&gt;Lorena Dias de Araujo",$B:$B,"&lt;&gt;Lucas Luiz Romero")*(28/1083),IF(C62="Técnico I",SUMIFS($D:$D,$A:$A,$A62,$B:$B,"&lt;&gt;Patrícia Karla de Sousa Araújo",$B:$B,"&lt;&gt;Lorena Dias de Araujo",$B:$B,"&lt;&gt;Lucas Luiz Romero")*(23/1083),IF(C62="JR",SUMIFS($D:$D,$A:$A,$A62,$B:$B,"&lt;&gt;Patrícia Karla de Sousa Araújo",$B:$B,"&lt;&gt;Lorena Dias de Araujo",$B:$B,"&lt;&gt;Lucas Luiz Romero")*(20/1083),IF(C62="Estágio",SUMIFS($D:$D,$A:$A,$A62,$B:$B,"&lt;&gt;Patrícia Karla de Sousa Araújo",$B:$B,"&lt;&gt;Lorena Dias de Araujo",$B:$B,"&lt;&gt;Lucas Luiz Romero")*(10/1083),0)))))),0)</f>
        <v>8</v>
      </c>
      <c r="K62" s="3">
        <f t="shared" si="7"/>
        <v>7</v>
      </c>
      <c r="L62" s="3" t="str">
        <f t="shared" si="5"/>
        <v>EXCELENTE</v>
      </c>
      <c r="M62">
        <v>14</v>
      </c>
      <c r="N62">
        <v>98.36</v>
      </c>
      <c r="O62">
        <v>21.917808219178081</v>
      </c>
    </row>
    <row r="63" spans="1:15" hidden="1" x14ac:dyDescent="0.25">
      <c r="A63" s="5">
        <v>46160</v>
      </c>
      <c r="B63" s="6" t="s">
        <v>17</v>
      </c>
      <c r="C63" s="3" t="s">
        <v>16</v>
      </c>
      <c r="D63" s="3">
        <v>6</v>
      </c>
      <c r="E63" s="3">
        <v>6</v>
      </c>
      <c r="F63">
        <v>15.59</v>
      </c>
      <c r="G63" s="3">
        <v>0</v>
      </c>
      <c r="H63" s="3">
        <v>0</v>
      </c>
      <c r="I63" s="3">
        <f t="shared" si="6"/>
        <v>6</v>
      </c>
      <c r="J63" s="3">
        <f>ROUND(MIN(IF(C63="Técnico III",35,IF(C63="Técnico II",28,IF(C63="Técnico I",23,IF(C63="JR",20,IF(C63="Estágio",10,0))))),IF(C63="Técnico III",SUMIFS($D:$D,$A:$A,$A63,$B:$B,"&lt;&gt;Patrícia Karla de Sousa Araújo",$B:$B,"&lt;&gt;Lorena Dias de Araujo",$B:$B,"&lt;&gt;Lucas Luiz Romero")*(35/1083),IF(C63="Técnico II",SUMIFS($D:$D,$A:$A,$A63,$B:$B,"&lt;&gt;Patrícia Karla de Sousa Araújo",$B:$B,"&lt;&gt;Lorena Dias de Araujo",$B:$B,"&lt;&gt;Lucas Luiz Romero")*(28/1083),IF(C63="Técnico I",SUMIFS($D:$D,$A:$A,$A63,$B:$B,"&lt;&gt;Patrícia Karla de Sousa Araújo",$B:$B,"&lt;&gt;Lorena Dias de Araujo",$B:$B,"&lt;&gt;Lucas Luiz Romero")*(23/1083),IF(C63="JR",SUMIFS($D:$D,$A:$A,$A63,$B:$B,"&lt;&gt;Patrícia Karla de Sousa Araújo",$B:$B,"&lt;&gt;Lorena Dias de Araujo",$B:$B,"&lt;&gt;Lucas Luiz Romero")*(20/1083),IF(C63="Estágio",SUMIFS($D:$D,$A:$A,$A63,$B:$B,"&lt;&gt;Patrícia Karla de Sousa Araújo",$B:$B,"&lt;&gt;Lorena Dias de Araujo",$B:$B,"&lt;&gt;Lucas Luiz Romero")*(10/1083),0)))))),0)</f>
        <v>7</v>
      </c>
      <c r="K63" s="3">
        <f t="shared" si="7"/>
        <v>-1</v>
      </c>
      <c r="L63" s="3" t="str">
        <f t="shared" si="5"/>
        <v>ATENÇÃO</v>
      </c>
      <c r="M63">
        <v>6</v>
      </c>
      <c r="N63">
        <v>97.14</v>
      </c>
      <c r="O63">
        <v>24.761904761904759</v>
      </c>
    </row>
    <row r="64" spans="1:15" hidden="1" x14ac:dyDescent="0.25">
      <c r="A64" s="5">
        <v>46160</v>
      </c>
      <c r="B64" s="6" t="s">
        <v>18</v>
      </c>
      <c r="C64" s="3" t="s">
        <v>16</v>
      </c>
      <c r="D64" s="3">
        <v>32</v>
      </c>
      <c r="E64" s="3">
        <v>13</v>
      </c>
      <c r="F64">
        <v>4.16</v>
      </c>
      <c r="G64" s="3">
        <v>0</v>
      </c>
      <c r="H64" s="3">
        <v>0</v>
      </c>
      <c r="I64" s="3">
        <f t="shared" si="6"/>
        <v>13</v>
      </c>
      <c r="J64" s="3">
        <f>ROUND(MIN(IF(C64="Técnico III",35,IF(C64="Técnico II",28,IF(C64="Técnico I",23,IF(C64="JR",20,IF(C64="Estágio",10,0))))),IF(C64="Técnico III",SUMIFS($D:$D,$A:$A,$A64,$B:$B,"&lt;&gt;Patrícia Karla de Sousa Araújo",$B:$B,"&lt;&gt;Lorena Dias de Araujo",$B:$B,"&lt;&gt;Lucas Luiz Romero")*(35/1083),IF(C64="Técnico II",SUMIFS($D:$D,$A:$A,$A64,$B:$B,"&lt;&gt;Patrícia Karla de Sousa Araújo",$B:$B,"&lt;&gt;Lorena Dias de Araujo",$B:$B,"&lt;&gt;Lucas Luiz Romero")*(28/1083),IF(C64="Técnico I",SUMIFS($D:$D,$A:$A,$A64,$B:$B,"&lt;&gt;Patrícia Karla de Sousa Araújo",$B:$B,"&lt;&gt;Lorena Dias de Araujo",$B:$B,"&lt;&gt;Lucas Luiz Romero")*(23/1083),IF(C64="JR",SUMIFS($D:$D,$A:$A,$A64,$B:$B,"&lt;&gt;Patrícia Karla de Sousa Araújo",$B:$B,"&lt;&gt;Lorena Dias de Araujo",$B:$B,"&lt;&gt;Lucas Luiz Romero")*(20/1083),IF(C64="Estágio",SUMIFS($D:$D,$A:$A,$A64,$B:$B,"&lt;&gt;Patrícia Karla de Sousa Araújo",$B:$B,"&lt;&gt;Lorena Dias de Araujo",$B:$B,"&lt;&gt;Lucas Luiz Romero")*(10/1083),0)))))),0)</f>
        <v>7</v>
      </c>
      <c r="K64" s="3">
        <f t="shared" si="7"/>
        <v>6</v>
      </c>
      <c r="L64" s="3" t="str">
        <f t="shared" si="5"/>
        <v>EXCELENTE</v>
      </c>
      <c r="M64">
        <v>0</v>
      </c>
      <c r="N64">
        <v>100</v>
      </c>
      <c r="O64">
        <v>28.94736842105263</v>
      </c>
    </row>
    <row r="65" spans="1:15" hidden="1" x14ac:dyDescent="0.25">
      <c r="A65" s="5">
        <v>46160</v>
      </c>
      <c r="B65" s="6" t="s">
        <v>19</v>
      </c>
      <c r="C65" s="3" t="s">
        <v>16</v>
      </c>
      <c r="D65" s="3">
        <v>72</v>
      </c>
      <c r="E65" s="3">
        <v>45</v>
      </c>
      <c r="F65">
        <v>8.2100000000000009</v>
      </c>
      <c r="G65" s="3">
        <v>0</v>
      </c>
      <c r="H65" s="3">
        <v>0</v>
      </c>
      <c r="I65" s="3">
        <f t="shared" si="6"/>
        <v>45</v>
      </c>
      <c r="J65" s="3">
        <f>ROUND(MIN(IF(C65="Técnico III",35,IF(C65="Técnico II",28,IF(C65="Técnico I",23,IF(C65="JR",20,IF(C65="Estágio",10,0))))),IF(C65="Técnico III",SUMIFS($D:$D,$A:$A,$A65,$B:$B,"&lt;&gt;Patrícia Karla de Sousa Araújo",$B:$B,"&lt;&gt;Lorena Dias de Araujo",$B:$B,"&lt;&gt;Lucas Luiz Romero")*(35/1083),IF(C65="Técnico II",SUMIFS($D:$D,$A:$A,$A65,$B:$B,"&lt;&gt;Patrícia Karla de Sousa Araújo",$B:$B,"&lt;&gt;Lorena Dias de Araujo",$B:$B,"&lt;&gt;Lucas Luiz Romero")*(28/1083),IF(C65="Técnico I",SUMIFS($D:$D,$A:$A,$A65,$B:$B,"&lt;&gt;Patrícia Karla de Sousa Araújo",$B:$B,"&lt;&gt;Lorena Dias de Araujo",$B:$B,"&lt;&gt;Lucas Luiz Romero")*(23/1083),IF(C65="JR",SUMIFS($D:$D,$A:$A,$A65,$B:$B,"&lt;&gt;Patrícia Karla de Sousa Araújo",$B:$B,"&lt;&gt;Lorena Dias de Araujo",$B:$B,"&lt;&gt;Lucas Luiz Romero")*(20/1083),IF(C65="Estágio",SUMIFS($D:$D,$A:$A,$A65,$B:$B,"&lt;&gt;Patrícia Karla de Sousa Araújo",$B:$B,"&lt;&gt;Lorena Dias de Araujo",$B:$B,"&lt;&gt;Lucas Luiz Romero")*(10/1083),0)))))),0)</f>
        <v>7</v>
      </c>
      <c r="K65" s="3">
        <f t="shared" si="7"/>
        <v>38</v>
      </c>
      <c r="L65" s="3" t="str">
        <f t="shared" si="5"/>
        <v>EXCELENTE</v>
      </c>
      <c r="M65">
        <v>11</v>
      </c>
      <c r="N65">
        <v>100</v>
      </c>
      <c r="O65">
        <v>12.941176470588241</v>
      </c>
    </row>
    <row r="66" spans="1:15" hidden="1" x14ac:dyDescent="0.25">
      <c r="A66" s="11">
        <v>46027</v>
      </c>
      <c r="B66" t="s">
        <v>22</v>
      </c>
      <c r="C66" t="s">
        <v>23</v>
      </c>
      <c r="D66">
        <v>21</v>
      </c>
      <c r="E66">
        <v>19</v>
      </c>
      <c r="F66">
        <v>21.5</v>
      </c>
      <c r="G66">
        <v>0</v>
      </c>
      <c r="H66">
        <v>0</v>
      </c>
      <c r="I66" s="3">
        <f t="shared" si="6"/>
        <v>19</v>
      </c>
      <c r="J66" s="3">
        <f>ROUND(MIN(IF(C66="Técnico III",35,IF(C66="Técnico II",28,IF(C66="Técnico I",23,IF(C66="JR",20,IF(C66="Estágio",10,0))))),IF(C66="Técnico III",SUMIFS($D:$D,$A:$A,$A66,$B:$B,"&lt;&gt;Patrícia Karla de Sousa Araújo",$B:$B,"&lt;&gt;Lorena Dias de Araujo",$B:$B,"&lt;&gt;Lucas Luiz Romero")*(35/1083),IF(C66="Técnico II",SUMIFS($D:$D,$A:$A,$A66,$B:$B,"&lt;&gt;Patrícia Karla de Sousa Araújo",$B:$B,"&lt;&gt;Lorena Dias de Araujo",$B:$B,"&lt;&gt;Lucas Luiz Romero")*(28/1083),IF(C66="Técnico I",SUMIFS($D:$D,$A:$A,$A66,$B:$B,"&lt;&gt;Patrícia Karla de Sousa Araújo",$B:$B,"&lt;&gt;Lorena Dias de Araujo",$B:$B,"&lt;&gt;Lucas Luiz Romero")*(23/1083),IF(C66="JR",SUMIFS($D:$D,$A:$A,$A66,$B:$B,"&lt;&gt;Patrícia Karla de Sousa Araújo",$B:$B,"&lt;&gt;Lorena Dias de Araujo",$B:$B,"&lt;&gt;Lucas Luiz Romero")*(20/1083),IF(C66="Estágio",SUMIFS($D:$D,$A:$A,$A66,$B:$B,"&lt;&gt;Patrícia Karla de Sousa Araújo",$B:$B,"&lt;&gt;Lorena Dias de Araujo",$B:$B,"&lt;&gt;Lucas Luiz Romero")*(10/1083),0)))))),0)</f>
        <v>17</v>
      </c>
      <c r="K66" s="3">
        <f t="shared" si="7"/>
        <v>2</v>
      </c>
      <c r="L66" s="3" t="str">
        <f t="shared" ref="L66:L73" si="8">IF(K66&lt;-5,"CRÍTICO",IF(K66&lt;0,"ATENÇÃO",IF(K66&lt;=5,"BOM","EXCELENTE")))</f>
        <v>BOM</v>
      </c>
      <c r="M66">
        <v>18</v>
      </c>
      <c r="N66">
        <v>98.91</v>
      </c>
      <c r="O66">
        <v>31.367292225201069</v>
      </c>
    </row>
    <row r="67" spans="1:15" hidden="1" x14ac:dyDescent="0.25">
      <c r="A67" s="5">
        <v>46160</v>
      </c>
      <c r="B67" s="6" t="s">
        <v>20</v>
      </c>
      <c r="C67" s="3" t="s">
        <v>16</v>
      </c>
      <c r="D67" s="3">
        <v>7</v>
      </c>
      <c r="E67" s="3">
        <v>7</v>
      </c>
      <c r="F67">
        <v>30.49</v>
      </c>
      <c r="G67" s="3">
        <v>0</v>
      </c>
      <c r="H67" s="3">
        <v>0</v>
      </c>
      <c r="I67" s="3">
        <f t="shared" si="6"/>
        <v>7</v>
      </c>
      <c r="J67" s="3">
        <f>ROUND(MIN(IF(C67="Técnico III",35,IF(C67="Técnico II",28,IF(C67="Técnico I",23,IF(C67="JR",20,IF(C67="Estágio",10,0))))),IF(C67="Técnico III",SUMIFS($D:$D,$A:$A,$A67,$B:$B,"&lt;&gt;Patrícia Karla de Sousa Araújo",$B:$B,"&lt;&gt;Lorena Dias de Araujo",$B:$B,"&lt;&gt;Lucas Luiz Romero")*(35/1083),IF(C67="Técnico II",SUMIFS($D:$D,$A:$A,$A67,$B:$B,"&lt;&gt;Patrícia Karla de Sousa Araújo",$B:$B,"&lt;&gt;Lorena Dias de Araujo",$B:$B,"&lt;&gt;Lucas Luiz Romero")*(28/1083),IF(C67="Técnico I",SUMIFS($D:$D,$A:$A,$A67,$B:$B,"&lt;&gt;Patrícia Karla de Sousa Araújo",$B:$B,"&lt;&gt;Lorena Dias de Araujo",$B:$B,"&lt;&gt;Lucas Luiz Romero")*(23/1083),IF(C67="JR",SUMIFS($D:$D,$A:$A,$A67,$B:$B,"&lt;&gt;Patrícia Karla de Sousa Araújo",$B:$B,"&lt;&gt;Lorena Dias de Araujo",$B:$B,"&lt;&gt;Lucas Luiz Romero")*(20/1083),IF(C67="Estágio",SUMIFS($D:$D,$A:$A,$A67,$B:$B,"&lt;&gt;Patrícia Karla de Sousa Araújo",$B:$B,"&lt;&gt;Lorena Dias de Araujo",$B:$B,"&lt;&gt;Lucas Luiz Romero")*(10/1083),0)))))),0)</f>
        <v>7</v>
      </c>
      <c r="K67" s="3">
        <f t="shared" si="7"/>
        <v>0</v>
      </c>
      <c r="L67" s="3" t="str">
        <f t="shared" si="8"/>
        <v>BOM</v>
      </c>
      <c r="M67">
        <v>6</v>
      </c>
      <c r="N67">
        <v>100</v>
      </c>
      <c r="O67">
        <v>17.1875</v>
      </c>
    </row>
    <row r="68" spans="1:15" hidden="1" x14ac:dyDescent="0.25">
      <c r="A68" s="5">
        <v>46160</v>
      </c>
      <c r="B68" s="6" t="s">
        <v>21</v>
      </c>
      <c r="C68" s="3" t="s">
        <v>16</v>
      </c>
      <c r="D68" s="3">
        <v>14</v>
      </c>
      <c r="E68" s="3">
        <v>13</v>
      </c>
      <c r="F68">
        <v>29.09</v>
      </c>
      <c r="G68" s="3">
        <v>0</v>
      </c>
      <c r="H68" s="3">
        <v>0</v>
      </c>
      <c r="I68" s="3">
        <f t="shared" si="6"/>
        <v>13</v>
      </c>
      <c r="J68" s="3">
        <f>ROUND(MIN(IF(C68="Técnico III",35,IF(C68="Técnico II",28,IF(C68="Técnico I",23,IF(C68="JR",20,IF(C68="Estágio",10,0))))),IF(C68="Técnico III",SUMIFS($D:$D,$A:$A,$A68,$B:$B,"&lt;&gt;Patrícia Karla de Sousa Araújo",$B:$B,"&lt;&gt;Lorena Dias de Araujo",$B:$B,"&lt;&gt;Lucas Luiz Romero")*(35/1083),IF(C68="Técnico II",SUMIFS($D:$D,$A:$A,$A68,$B:$B,"&lt;&gt;Patrícia Karla de Sousa Araújo",$B:$B,"&lt;&gt;Lorena Dias de Araujo",$B:$B,"&lt;&gt;Lucas Luiz Romero")*(28/1083),IF(C68="Técnico I",SUMIFS($D:$D,$A:$A,$A68,$B:$B,"&lt;&gt;Patrícia Karla de Sousa Araújo",$B:$B,"&lt;&gt;Lorena Dias de Araujo",$B:$B,"&lt;&gt;Lucas Luiz Romero")*(23/1083),IF(C68="JR",SUMIFS($D:$D,$A:$A,$A68,$B:$B,"&lt;&gt;Patrícia Karla de Sousa Araújo",$B:$B,"&lt;&gt;Lorena Dias de Araujo",$B:$B,"&lt;&gt;Lucas Luiz Romero")*(20/1083),IF(C68="Estágio",SUMIFS($D:$D,$A:$A,$A68,$B:$B,"&lt;&gt;Patrícia Karla de Sousa Araújo",$B:$B,"&lt;&gt;Lorena Dias de Araujo",$B:$B,"&lt;&gt;Lucas Luiz Romero")*(10/1083),0)))))),0)</f>
        <v>7</v>
      </c>
      <c r="K68" s="3">
        <f t="shared" si="7"/>
        <v>6</v>
      </c>
      <c r="L68" s="3" t="str">
        <f t="shared" si="8"/>
        <v>EXCELENTE</v>
      </c>
      <c r="M68">
        <v>9</v>
      </c>
      <c r="N68">
        <v>98.36</v>
      </c>
      <c r="O68">
        <v>21.917808219178081</v>
      </c>
    </row>
    <row r="69" spans="1:15" hidden="1" x14ac:dyDescent="0.25">
      <c r="A69" s="7">
        <v>46161</v>
      </c>
      <c r="B69" s="8" t="s">
        <v>17</v>
      </c>
      <c r="C69" s="9" t="s">
        <v>16</v>
      </c>
      <c r="D69" s="3">
        <v>9</v>
      </c>
      <c r="E69" s="3">
        <v>9</v>
      </c>
      <c r="F69">
        <v>25.28</v>
      </c>
      <c r="G69" s="3">
        <v>0</v>
      </c>
      <c r="H69" s="3">
        <v>0</v>
      </c>
      <c r="I69" s="3">
        <f t="shared" si="6"/>
        <v>9</v>
      </c>
      <c r="J69" s="3">
        <f>ROUND(MIN(IF(C69="Técnico III",35,IF(C69="Técnico II",28,IF(C69="Técnico I",23,IF(C69="JR",20,IF(C69="Estágio",10,0))))),IF(C69="Técnico III",SUMIFS($D:$D,$A:$A,$A69,$B:$B,"&lt;&gt;Patrícia Karla de Sousa Araújo",$B:$B,"&lt;&gt;Lorena Dias de Araujo",$B:$B,"&lt;&gt;Lucas Luiz Romero")*(35/1083),IF(C69="Técnico II",SUMIFS($D:$D,$A:$A,$A69,$B:$B,"&lt;&gt;Patrícia Karla de Sousa Araújo",$B:$B,"&lt;&gt;Lorena Dias de Araujo",$B:$B,"&lt;&gt;Lucas Luiz Romero")*(28/1083),IF(C69="Técnico I",SUMIFS($D:$D,$A:$A,$A69,$B:$B,"&lt;&gt;Patrícia Karla de Sousa Araújo",$B:$B,"&lt;&gt;Lorena Dias de Araujo",$B:$B,"&lt;&gt;Lucas Luiz Romero")*(23/1083),IF(C69="JR",SUMIFS($D:$D,$A:$A,$A69,$B:$B,"&lt;&gt;Patrícia Karla de Sousa Araújo",$B:$B,"&lt;&gt;Lorena Dias de Araujo",$B:$B,"&lt;&gt;Lucas Luiz Romero")*(20/1083),IF(C69="Estágio",SUMIFS($D:$D,$A:$A,$A69,$B:$B,"&lt;&gt;Patrícia Karla de Sousa Araújo",$B:$B,"&lt;&gt;Lorena Dias de Araujo",$B:$B,"&lt;&gt;Lucas Luiz Romero")*(10/1083),0)))))),0)</f>
        <v>8</v>
      </c>
      <c r="K69" s="3">
        <f t="shared" si="7"/>
        <v>1</v>
      </c>
      <c r="L69" s="3" t="str">
        <f t="shared" si="8"/>
        <v>BOM</v>
      </c>
      <c r="M69">
        <v>7</v>
      </c>
      <c r="N69">
        <v>97.14</v>
      </c>
      <c r="O69">
        <v>24.761904761904759</v>
      </c>
    </row>
    <row r="70" spans="1:15" hidden="1" x14ac:dyDescent="0.25">
      <c r="A70" s="7">
        <v>46161</v>
      </c>
      <c r="B70" s="8" t="s">
        <v>18</v>
      </c>
      <c r="C70" s="9" t="s">
        <v>16</v>
      </c>
      <c r="D70" s="3">
        <v>17</v>
      </c>
      <c r="E70" s="3">
        <v>5</v>
      </c>
      <c r="F70">
        <v>2.2000000000000002</v>
      </c>
      <c r="G70" s="3">
        <v>0</v>
      </c>
      <c r="H70" s="3">
        <v>0</v>
      </c>
      <c r="I70" s="3">
        <f t="shared" si="6"/>
        <v>5</v>
      </c>
      <c r="J70" s="3">
        <f>ROUND(MIN(IF(C70="Técnico III",35,IF(C70="Técnico II",28,IF(C70="Técnico I",23,IF(C70="JR",20,IF(C70="Estágio",10,0))))),IF(C70="Técnico III",SUMIFS($D:$D,$A:$A,$A70,$B:$B,"&lt;&gt;Patrícia Karla de Sousa Araújo",$B:$B,"&lt;&gt;Lorena Dias de Araujo",$B:$B,"&lt;&gt;Lucas Luiz Romero")*(35/1083),IF(C70="Técnico II",SUMIFS($D:$D,$A:$A,$A70,$B:$B,"&lt;&gt;Patrícia Karla de Sousa Araújo",$B:$B,"&lt;&gt;Lorena Dias de Araujo",$B:$B,"&lt;&gt;Lucas Luiz Romero")*(28/1083),IF(C70="Técnico I",SUMIFS($D:$D,$A:$A,$A70,$B:$B,"&lt;&gt;Patrícia Karla de Sousa Araújo",$B:$B,"&lt;&gt;Lorena Dias de Araujo",$B:$B,"&lt;&gt;Lucas Luiz Romero")*(23/1083),IF(C70="JR",SUMIFS($D:$D,$A:$A,$A70,$B:$B,"&lt;&gt;Patrícia Karla de Sousa Araújo",$B:$B,"&lt;&gt;Lorena Dias de Araujo",$B:$B,"&lt;&gt;Lucas Luiz Romero")*(20/1083),IF(C70="Estágio",SUMIFS($D:$D,$A:$A,$A70,$B:$B,"&lt;&gt;Patrícia Karla de Sousa Araújo",$B:$B,"&lt;&gt;Lorena Dias de Araujo",$B:$B,"&lt;&gt;Lucas Luiz Romero")*(10/1083),0)))))),0)</f>
        <v>8</v>
      </c>
      <c r="K70" s="3">
        <f t="shared" si="7"/>
        <v>-3</v>
      </c>
      <c r="L70" s="3" t="str">
        <f t="shared" si="8"/>
        <v>ATENÇÃO</v>
      </c>
      <c r="M70">
        <v>0</v>
      </c>
      <c r="N70">
        <v>100</v>
      </c>
      <c r="O70">
        <v>28.94736842105263</v>
      </c>
    </row>
    <row r="71" spans="1:15" hidden="1" x14ac:dyDescent="0.25">
      <c r="A71" s="7">
        <v>46161</v>
      </c>
      <c r="B71" s="8" t="s">
        <v>19</v>
      </c>
      <c r="C71" s="9" t="s">
        <v>16</v>
      </c>
      <c r="D71" s="3">
        <v>36</v>
      </c>
      <c r="E71" s="3">
        <v>24</v>
      </c>
      <c r="F71">
        <v>13.26</v>
      </c>
      <c r="G71" s="3">
        <v>0</v>
      </c>
      <c r="H71" s="3">
        <v>0</v>
      </c>
      <c r="I71" s="3">
        <f t="shared" si="6"/>
        <v>24</v>
      </c>
      <c r="J71" s="3">
        <f>ROUND(MIN(IF(C71="Técnico III",35,IF(C71="Técnico II",28,IF(C71="Técnico I",23,IF(C71="JR",20,IF(C71="Estágio",10,0))))),IF(C71="Técnico III",SUMIFS($D:$D,$A:$A,$A71,$B:$B,"&lt;&gt;Patrícia Karla de Sousa Araújo",$B:$B,"&lt;&gt;Lorena Dias de Araujo",$B:$B,"&lt;&gt;Lucas Luiz Romero")*(35/1083),IF(C71="Técnico II",SUMIFS($D:$D,$A:$A,$A71,$B:$B,"&lt;&gt;Patrícia Karla de Sousa Araújo",$B:$B,"&lt;&gt;Lorena Dias de Araujo",$B:$B,"&lt;&gt;Lucas Luiz Romero")*(28/1083),IF(C71="Técnico I",SUMIFS($D:$D,$A:$A,$A71,$B:$B,"&lt;&gt;Patrícia Karla de Sousa Araújo",$B:$B,"&lt;&gt;Lorena Dias de Araujo",$B:$B,"&lt;&gt;Lucas Luiz Romero")*(23/1083),IF(C71="JR",SUMIFS($D:$D,$A:$A,$A71,$B:$B,"&lt;&gt;Patrícia Karla de Sousa Araújo",$B:$B,"&lt;&gt;Lorena Dias de Araujo",$B:$B,"&lt;&gt;Lucas Luiz Romero")*(20/1083),IF(C71="Estágio",SUMIFS($D:$D,$A:$A,$A71,$B:$B,"&lt;&gt;Patrícia Karla de Sousa Araújo",$B:$B,"&lt;&gt;Lorena Dias de Araujo",$B:$B,"&lt;&gt;Lucas Luiz Romero")*(10/1083),0)))))),0)</f>
        <v>8</v>
      </c>
      <c r="K71" s="3">
        <f t="shared" si="7"/>
        <v>16</v>
      </c>
      <c r="L71" s="3" t="str">
        <f t="shared" si="8"/>
        <v>EXCELENTE</v>
      </c>
      <c r="M71">
        <v>12</v>
      </c>
      <c r="N71">
        <v>100</v>
      </c>
      <c r="O71">
        <v>12.941176470588241</v>
      </c>
    </row>
    <row r="72" spans="1:15" hidden="1" x14ac:dyDescent="0.25">
      <c r="A72" s="7">
        <v>46161</v>
      </c>
      <c r="B72" s="8" t="s">
        <v>20</v>
      </c>
      <c r="C72" s="9" t="s">
        <v>16</v>
      </c>
      <c r="D72" s="3">
        <v>15</v>
      </c>
      <c r="E72" s="3">
        <v>13</v>
      </c>
      <c r="F72">
        <v>21.51</v>
      </c>
      <c r="G72" s="3">
        <v>0</v>
      </c>
      <c r="H72" s="3">
        <v>0</v>
      </c>
      <c r="I72" s="3">
        <f t="shared" si="6"/>
        <v>13</v>
      </c>
      <c r="J72" s="3">
        <f>ROUND(MIN(IF(C72="Técnico III",35,IF(C72="Técnico II",28,IF(C72="Técnico I",23,IF(C72="JR",20,IF(C72="Estágio",10,0))))),IF(C72="Técnico III",SUMIFS($D:$D,$A:$A,$A72,$B:$B,"&lt;&gt;Patrícia Karla de Sousa Araújo",$B:$B,"&lt;&gt;Lorena Dias de Araujo",$B:$B,"&lt;&gt;Lucas Luiz Romero")*(35/1083),IF(C72="Técnico II",SUMIFS($D:$D,$A:$A,$A72,$B:$B,"&lt;&gt;Patrícia Karla de Sousa Araújo",$B:$B,"&lt;&gt;Lorena Dias de Araujo",$B:$B,"&lt;&gt;Lucas Luiz Romero")*(28/1083),IF(C72="Técnico I",SUMIFS($D:$D,$A:$A,$A72,$B:$B,"&lt;&gt;Patrícia Karla de Sousa Araújo",$B:$B,"&lt;&gt;Lorena Dias de Araujo",$B:$B,"&lt;&gt;Lucas Luiz Romero")*(23/1083),IF(C72="JR",SUMIFS($D:$D,$A:$A,$A72,$B:$B,"&lt;&gt;Patrícia Karla de Sousa Araújo",$B:$B,"&lt;&gt;Lorena Dias de Araujo",$B:$B,"&lt;&gt;Lucas Luiz Romero")*(20/1083),IF(C72="Estágio",SUMIFS($D:$D,$A:$A,$A72,$B:$B,"&lt;&gt;Patrícia Karla de Sousa Araújo",$B:$B,"&lt;&gt;Lorena Dias de Araujo",$B:$B,"&lt;&gt;Lucas Luiz Romero")*(10/1083),0)))))),0)</f>
        <v>8</v>
      </c>
      <c r="K72" s="3">
        <f t="shared" si="7"/>
        <v>5</v>
      </c>
      <c r="L72" s="3" t="str">
        <f t="shared" si="8"/>
        <v>BOM</v>
      </c>
      <c r="M72">
        <v>9</v>
      </c>
      <c r="N72">
        <v>100</v>
      </c>
      <c r="O72">
        <v>17.1875</v>
      </c>
    </row>
    <row r="73" spans="1:15" hidden="1" x14ac:dyDescent="0.25">
      <c r="A73" s="7">
        <v>46161</v>
      </c>
      <c r="B73" s="8" t="s">
        <v>21</v>
      </c>
      <c r="C73" s="9" t="s">
        <v>16</v>
      </c>
      <c r="D73" s="3">
        <v>20</v>
      </c>
      <c r="E73" s="3">
        <v>19</v>
      </c>
      <c r="F73">
        <v>25.31</v>
      </c>
      <c r="G73" s="3">
        <v>0</v>
      </c>
      <c r="H73" s="3">
        <v>0</v>
      </c>
      <c r="I73" s="3">
        <f t="shared" si="6"/>
        <v>19</v>
      </c>
      <c r="J73" s="3">
        <f>ROUND(MIN(IF(C73="Técnico III",35,IF(C73="Técnico II",28,IF(C73="Técnico I",23,IF(C73="JR",20,IF(C73="Estágio",10,0))))),IF(C73="Técnico III",SUMIFS($D:$D,$A:$A,$A73,$B:$B,"&lt;&gt;Patrícia Karla de Sousa Araújo",$B:$B,"&lt;&gt;Lorena Dias de Araujo",$B:$B,"&lt;&gt;Lucas Luiz Romero")*(35/1083),IF(C73="Técnico II",SUMIFS($D:$D,$A:$A,$A73,$B:$B,"&lt;&gt;Patrícia Karla de Sousa Araújo",$B:$B,"&lt;&gt;Lorena Dias de Araujo",$B:$B,"&lt;&gt;Lucas Luiz Romero")*(28/1083),IF(C73="Técnico I",SUMIFS($D:$D,$A:$A,$A73,$B:$B,"&lt;&gt;Patrícia Karla de Sousa Araújo",$B:$B,"&lt;&gt;Lorena Dias de Araujo",$B:$B,"&lt;&gt;Lucas Luiz Romero")*(23/1083),IF(C73="JR",SUMIFS($D:$D,$A:$A,$A73,$B:$B,"&lt;&gt;Patrícia Karla de Sousa Araújo",$B:$B,"&lt;&gt;Lorena Dias de Araujo",$B:$B,"&lt;&gt;Lucas Luiz Romero")*(20/1083),IF(C73="Estágio",SUMIFS($D:$D,$A:$A,$A73,$B:$B,"&lt;&gt;Patrícia Karla de Sousa Araújo",$B:$B,"&lt;&gt;Lorena Dias de Araujo",$B:$B,"&lt;&gt;Lucas Luiz Romero")*(10/1083),0)))))),0)</f>
        <v>8</v>
      </c>
      <c r="K73" s="3">
        <f t="shared" si="7"/>
        <v>11</v>
      </c>
      <c r="L73" s="3" t="str">
        <f t="shared" si="8"/>
        <v>EXCELENTE</v>
      </c>
      <c r="M73">
        <v>16</v>
      </c>
      <c r="N73">
        <v>98.36</v>
      </c>
      <c r="O73">
        <v>21.917808219178081</v>
      </c>
    </row>
    <row r="74" spans="1:15" hidden="1" x14ac:dyDescent="0.25">
      <c r="A74" s="7">
        <v>46162</v>
      </c>
      <c r="B74" s="8" t="s">
        <v>17</v>
      </c>
      <c r="C74" s="9" t="s">
        <v>16</v>
      </c>
      <c r="D74" s="3">
        <v>11</v>
      </c>
      <c r="E74" s="3">
        <v>10</v>
      </c>
      <c r="F74" s="3">
        <v>20.440000000000001</v>
      </c>
      <c r="G74" s="3">
        <v>0</v>
      </c>
      <c r="H74" s="3">
        <v>0</v>
      </c>
      <c r="I74" s="3">
        <f t="shared" si="6"/>
        <v>10</v>
      </c>
      <c r="J74" s="3">
        <f>ROUND(MIN(IF(C74="Técnico III",35,IF(C74="Técnico II",28,IF(C74="Técnico I",23,IF(C74="JR",20,IF(C74="Estágio",10,0))))),IF(C74="Técnico III",SUMIFS($D:$D,$A:$A,$A74,$B:$B,"&lt;&gt;Patrícia Karla de Sousa Araújo",$B:$B,"&lt;&gt;Lorena Dias de Araujo",$B:$B,"&lt;&gt;Lucas Luiz Romero")*(35/1083),IF(C74="Técnico II",SUMIFS($D:$D,$A:$A,$A74,$B:$B,"&lt;&gt;Patrícia Karla de Sousa Araújo",$B:$B,"&lt;&gt;Lorena Dias de Araujo",$B:$B,"&lt;&gt;Lucas Luiz Romero")*(28/1083),IF(C74="Técnico I",SUMIFS($D:$D,$A:$A,$A74,$B:$B,"&lt;&gt;Patrícia Karla de Sousa Araújo",$B:$B,"&lt;&gt;Lorena Dias de Araujo",$B:$B,"&lt;&gt;Lucas Luiz Romero")*(23/1083),IF(C74="JR",SUMIFS($D:$D,$A:$A,$A74,$B:$B,"&lt;&gt;Patrícia Karla de Sousa Araújo",$B:$B,"&lt;&gt;Lorena Dias de Araujo",$B:$B,"&lt;&gt;Lucas Luiz Romero")*(20/1083),IF(C74="Estágio",SUMIFS($D:$D,$A:$A,$A74,$B:$B,"&lt;&gt;Patrícia Karla de Sousa Araújo",$B:$B,"&lt;&gt;Lorena Dias de Araujo",$B:$B,"&lt;&gt;Lucas Luiz Romero")*(10/1083),0)))))),0)</f>
        <v>7</v>
      </c>
      <c r="K74" s="3">
        <f t="shared" si="7"/>
        <v>3</v>
      </c>
      <c r="L74" s="3" t="str">
        <f t="shared" ref="L74:L109" si="9">IF(K74&lt;-5,"CRÍTICO",IF(K74&lt;0,"ATENÇÃO",IF(K74&lt;=5,"OPORTUNO","MUITO BOM")))</f>
        <v>OPORTUNO</v>
      </c>
      <c r="M74" s="9">
        <v>8</v>
      </c>
      <c r="N74" s="9">
        <v>97.14</v>
      </c>
      <c r="O74" s="9">
        <v>24.761904761904759</v>
      </c>
    </row>
    <row r="75" spans="1:15" hidden="1" x14ac:dyDescent="0.25">
      <c r="A75" s="7">
        <v>46162</v>
      </c>
      <c r="B75" s="8" t="s">
        <v>18</v>
      </c>
      <c r="C75" s="9" t="s">
        <v>16</v>
      </c>
      <c r="D75" s="3">
        <v>10</v>
      </c>
      <c r="E75" s="3">
        <v>4</v>
      </c>
      <c r="F75" s="3">
        <v>3.22</v>
      </c>
      <c r="G75" s="3">
        <v>0</v>
      </c>
      <c r="H75" s="3">
        <v>0</v>
      </c>
      <c r="I75" s="3">
        <f t="shared" si="6"/>
        <v>4</v>
      </c>
      <c r="J75" s="3">
        <f>ROUND(MIN(IF(C75="Técnico III",35,IF(C75="Técnico II",28,IF(C75="Técnico I",23,IF(C75="JR",20,IF(C75="Estágio",10,0))))),IF(C75="Técnico III",SUMIFS($D:$D,$A:$A,$A75,$B:$B,"&lt;&gt;Patrícia Karla de Sousa Araújo",$B:$B,"&lt;&gt;Lorena Dias de Araujo",$B:$B,"&lt;&gt;Lucas Luiz Romero")*(35/1083),IF(C75="Técnico II",SUMIFS($D:$D,$A:$A,$A75,$B:$B,"&lt;&gt;Patrícia Karla de Sousa Araújo",$B:$B,"&lt;&gt;Lorena Dias de Araujo",$B:$B,"&lt;&gt;Lucas Luiz Romero")*(28/1083),IF(C75="Técnico I",SUMIFS($D:$D,$A:$A,$A75,$B:$B,"&lt;&gt;Patrícia Karla de Sousa Araújo",$B:$B,"&lt;&gt;Lorena Dias de Araujo",$B:$B,"&lt;&gt;Lucas Luiz Romero")*(23/1083),IF(C75="JR",SUMIFS($D:$D,$A:$A,$A75,$B:$B,"&lt;&gt;Patrícia Karla de Sousa Araújo",$B:$B,"&lt;&gt;Lorena Dias de Araujo",$B:$B,"&lt;&gt;Lucas Luiz Romero")*(20/1083),IF(C75="Estágio",SUMIFS($D:$D,$A:$A,$A75,$B:$B,"&lt;&gt;Patrícia Karla de Sousa Araújo",$B:$B,"&lt;&gt;Lorena Dias de Araujo",$B:$B,"&lt;&gt;Lucas Luiz Romero")*(10/1083),0)))))),0)</f>
        <v>7</v>
      </c>
      <c r="K75" s="3">
        <f t="shared" si="7"/>
        <v>-3</v>
      </c>
      <c r="L75" s="3" t="str">
        <f t="shared" si="9"/>
        <v>ATENÇÃO</v>
      </c>
      <c r="M75" s="9">
        <v>0</v>
      </c>
      <c r="N75" s="9">
        <v>100</v>
      </c>
      <c r="O75" s="9">
        <v>28.94736842105263</v>
      </c>
    </row>
    <row r="76" spans="1:15" hidden="1" x14ac:dyDescent="0.25">
      <c r="A76" s="7">
        <v>46162</v>
      </c>
      <c r="B76" s="8" t="s">
        <v>19</v>
      </c>
      <c r="C76" s="9" t="s">
        <v>16</v>
      </c>
      <c r="D76" s="3">
        <v>15</v>
      </c>
      <c r="E76" s="3">
        <v>10</v>
      </c>
      <c r="F76" s="3">
        <v>10.49</v>
      </c>
      <c r="G76" s="3">
        <v>0</v>
      </c>
      <c r="H76" s="3">
        <v>0</v>
      </c>
      <c r="I76" s="3">
        <f t="shared" ref="I76:I88" si="10">E76+G76+H76</f>
        <v>10</v>
      </c>
      <c r="J76" s="3">
        <f>ROUND(MIN(IF(C76="Técnico III",35,IF(C76="Técnico II",28,IF(C76="Técnico I",23,IF(C76="JR",20,IF(C76="Estágio",10,0))))),IF(C76="Técnico III",SUMIFS($D:$D,$A:$A,$A76,$B:$B,"&lt;&gt;Patrícia Karla de Sousa Araújo",$B:$B,"&lt;&gt;Lorena Dias de Araujo",$B:$B,"&lt;&gt;Lucas Luiz Romero")*(35/1083),IF(C76="Técnico II",SUMIFS($D:$D,$A:$A,$A76,$B:$B,"&lt;&gt;Patrícia Karla de Sousa Araújo",$B:$B,"&lt;&gt;Lorena Dias de Araujo",$B:$B,"&lt;&gt;Lucas Luiz Romero")*(28/1083),IF(C76="Técnico I",SUMIFS($D:$D,$A:$A,$A76,$B:$B,"&lt;&gt;Patrícia Karla de Sousa Araújo",$B:$B,"&lt;&gt;Lorena Dias de Araujo",$B:$B,"&lt;&gt;Lucas Luiz Romero")*(23/1083),IF(C76="JR",SUMIFS($D:$D,$A:$A,$A76,$B:$B,"&lt;&gt;Patrícia Karla de Sousa Araújo",$B:$B,"&lt;&gt;Lorena Dias de Araujo",$B:$B,"&lt;&gt;Lucas Luiz Romero")*(20/1083),IF(C76="Estágio",SUMIFS($D:$D,$A:$A,$A76,$B:$B,"&lt;&gt;Patrícia Karla de Sousa Araújo",$B:$B,"&lt;&gt;Lorena Dias de Araujo",$B:$B,"&lt;&gt;Lucas Luiz Romero")*(10/1083),0)))))),0)</f>
        <v>7</v>
      </c>
      <c r="K76" s="3">
        <f t="shared" ref="K76:K88" si="11">I76-J76</f>
        <v>3</v>
      </c>
      <c r="L76" s="3" t="str">
        <f t="shared" si="9"/>
        <v>OPORTUNO</v>
      </c>
      <c r="M76" s="9">
        <v>5</v>
      </c>
      <c r="N76" s="9">
        <v>100</v>
      </c>
      <c r="O76" s="9">
        <v>12.941176470588241</v>
      </c>
    </row>
    <row r="77" spans="1:15" hidden="1" x14ac:dyDescent="0.25">
      <c r="A77" s="7">
        <v>46162</v>
      </c>
      <c r="B77" s="8" t="s">
        <v>20</v>
      </c>
      <c r="C77" s="9" t="s">
        <v>16</v>
      </c>
      <c r="D77" s="3">
        <v>19</v>
      </c>
      <c r="E77" s="3">
        <v>17</v>
      </c>
      <c r="F77" s="3">
        <v>22.03</v>
      </c>
      <c r="G77" s="3">
        <v>0</v>
      </c>
      <c r="H77" s="3">
        <v>0</v>
      </c>
      <c r="I77" s="3">
        <f t="shared" si="10"/>
        <v>17</v>
      </c>
      <c r="J77" s="3">
        <f>ROUND(MIN(IF(C77="Técnico III",35,IF(C77="Técnico II",28,IF(C77="Técnico I",23,IF(C77="JR",20,IF(C77="Estágio",10,0))))),IF(C77="Técnico III",SUMIFS($D:$D,$A:$A,$A77,$B:$B,"&lt;&gt;Patrícia Karla de Sousa Araújo",$B:$B,"&lt;&gt;Lorena Dias de Araujo",$B:$B,"&lt;&gt;Lucas Luiz Romero")*(35/1083),IF(C77="Técnico II",SUMIFS($D:$D,$A:$A,$A77,$B:$B,"&lt;&gt;Patrícia Karla de Sousa Araújo",$B:$B,"&lt;&gt;Lorena Dias de Araujo",$B:$B,"&lt;&gt;Lucas Luiz Romero")*(28/1083),IF(C77="Técnico I",SUMIFS($D:$D,$A:$A,$A77,$B:$B,"&lt;&gt;Patrícia Karla de Sousa Araújo",$B:$B,"&lt;&gt;Lorena Dias de Araujo",$B:$B,"&lt;&gt;Lucas Luiz Romero")*(23/1083),IF(C77="JR",SUMIFS($D:$D,$A:$A,$A77,$B:$B,"&lt;&gt;Patrícia Karla de Sousa Araújo",$B:$B,"&lt;&gt;Lorena Dias de Araujo",$B:$B,"&lt;&gt;Lucas Luiz Romero")*(20/1083),IF(C77="Estágio",SUMIFS($D:$D,$A:$A,$A77,$B:$B,"&lt;&gt;Patrícia Karla de Sousa Araújo",$B:$B,"&lt;&gt;Lorena Dias de Araujo",$B:$B,"&lt;&gt;Lucas Luiz Romero")*(10/1083),0)))))),0)</f>
        <v>7</v>
      </c>
      <c r="K77" s="3">
        <f t="shared" si="11"/>
        <v>10</v>
      </c>
      <c r="L77" s="3" t="str">
        <f t="shared" si="9"/>
        <v>MUITO BOM</v>
      </c>
      <c r="M77" s="9">
        <v>14</v>
      </c>
      <c r="N77" s="9">
        <v>100</v>
      </c>
      <c r="O77" s="9">
        <v>17.1875</v>
      </c>
    </row>
    <row r="78" spans="1:15" hidden="1" x14ac:dyDescent="0.25">
      <c r="A78" s="7">
        <v>46162</v>
      </c>
      <c r="B78" s="8" t="s">
        <v>21</v>
      </c>
      <c r="C78" s="9" t="s">
        <v>16</v>
      </c>
      <c r="D78" s="3">
        <v>18</v>
      </c>
      <c r="E78" s="3">
        <v>15</v>
      </c>
      <c r="F78" s="3">
        <v>25.22</v>
      </c>
      <c r="G78" s="3">
        <v>0</v>
      </c>
      <c r="H78" s="3">
        <v>0</v>
      </c>
      <c r="I78" s="3">
        <f t="shared" si="10"/>
        <v>15</v>
      </c>
      <c r="J78" s="3">
        <f>ROUND(MIN(IF(C78="Técnico III",35,IF(C78="Técnico II",28,IF(C78="Técnico I",23,IF(C78="JR",20,IF(C78="Estágio",10,0))))),IF(C78="Técnico III",SUMIFS($D:$D,$A:$A,$A78,$B:$B,"&lt;&gt;Patrícia Karla de Sousa Araújo",$B:$B,"&lt;&gt;Lorena Dias de Araujo",$B:$B,"&lt;&gt;Lucas Luiz Romero")*(35/1083),IF(C78="Técnico II",SUMIFS($D:$D,$A:$A,$A78,$B:$B,"&lt;&gt;Patrícia Karla de Sousa Araújo",$B:$B,"&lt;&gt;Lorena Dias de Araujo",$B:$B,"&lt;&gt;Lucas Luiz Romero")*(28/1083),IF(C78="Técnico I",SUMIFS($D:$D,$A:$A,$A78,$B:$B,"&lt;&gt;Patrícia Karla de Sousa Araújo",$B:$B,"&lt;&gt;Lorena Dias de Araujo",$B:$B,"&lt;&gt;Lucas Luiz Romero")*(23/1083),IF(C78="JR",SUMIFS($D:$D,$A:$A,$A78,$B:$B,"&lt;&gt;Patrícia Karla de Sousa Araújo",$B:$B,"&lt;&gt;Lorena Dias de Araujo",$B:$B,"&lt;&gt;Lucas Luiz Romero")*(20/1083),IF(C78="Estágio",SUMIFS($D:$D,$A:$A,$A78,$B:$B,"&lt;&gt;Patrícia Karla de Sousa Araújo",$B:$B,"&lt;&gt;Lorena Dias de Araujo",$B:$B,"&lt;&gt;Lucas Luiz Romero")*(10/1083),0)))))),0)</f>
        <v>7</v>
      </c>
      <c r="K78" s="3">
        <f t="shared" si="11"/>
        <v>8</v>
      </c>
      <c r="L78" s="3" t="str">
        <f t="shared" si="9"/>
        <v>MUITO BOM</v>
      </c>
      <c r="M78" s="9">
        <v>13</v>
      </c>
      <c r="N78" s="9">
        <v>98.36</v>
      </c>
      <c r="O78" s="9">
        <v>21.917808219178081</v>
      </c>
    </row>
    <row r="79" spans="1:15" hidden="1" x14ac:dyDescent="0.25">
      <c r="A79" s="5">
        <v>46163</v>
      </c>
      <c r="B79" s="6" t="s">
        <v>17</v>
      </c>
      <c r="C79" s="3" t="s">
        <v>16</v>
      </c>
      <c r="D79" s="3">
        <v>7</v>
      </c>
      <c r="E79" s="3">
        <v>6</v>
      </c>
      <c r="F79" s="3">
        <v>27.14</v>
      </c>
      <c r="G79" s="3">
        <v>0</v>
      </c>
      <c r="H79" s="3">
        <v>0</v>
      </c>
      <c r="I79" s="3">
        <f t="shared" si="10"/>
        <v>6</v>
      </c>
      <c r="J79" s="3">
        <f>ROUND(MIN(IF(C79="Técnico III",35,IF(C79="Técnico II",28,IF(C79="Técnico I",23,IF(C79="JR",20,IF(C79="Estágio",10,0))))),IF(C79="Técnico III",SUMIFS($D:$D,$A:$A,$A79,$B:$B,"&lt;&gt;Patrícia Karla de Sousa Araújo",$B:$B,"&lt;&gt;Lorena Dias de Araujo",$B:$B,"&lt;&gt;Lucas Luiz Romero")*(35/1083),IF(C79="Técnico II",SUMIFS($D:$D,$A:$A,$A79,$B:$B,"&lt;&gt;Patrícia Karla de Sousa Araújo",$B:$B,"&lt;&gt;Lorena Dias de Araujo",$B:$B,"&lt;&gt;Lucas Luiz Romero")*(28/1083),IF(C79="Técnico I",SUMIFS($D:$D,$A:$A,$A79,$B:$B,"&lt;&gt;Patrícia Karla de Sousa Araújo",$B:$B,"&lt;&gt;Lorena Dias de Araujo",$B:$B,"&lt;&gt;Lucas Luiz Romero")*(23/1083),IF(C79="JR",SUMIFS($D:$D,$A:$A,$A79,$B:$B,"&lt;&gt;Patrícia Karla de Sousa Araújo",$B:$B,"&lt;&gt;Lorena Dias de Araujo",$B:$B,"&lt;&gt;Lucas Luiz Romero")*(20/1083),IF(C79="Estágio",SUMIFS($D:$D,$A:$A,$A79,$B:$B,"&lt;&gt;Patrícia Karla de Sousa Araújo",$B:$B,"&lt;&gt;Lorena Dias de Araujo",$B:$B,"&lt;&gt;Lucas Luiz Romero")*(10/1083),0)))))),0)</f>
        <v>6</v>
      </c>
      <c r="K79" s="3">
        <f t="shared" si="11"/>
        <v>0</v>
      </c>
      <c r="L79" s="3" t="str">
        <f t="shared" si="9"/>
        <v>OPORTUNO</v>
      </c>
      <c r="M79" s="3">
        <v>4</v>
      </c>
      <c r="N79" s="3">
        <v>97.14</v>
      </c>
      <c r="O79" s="3">
        <v>24.761904761904759</v>
      </c>
    </row>
    <row r="80" spans="1:15" hidden="1" x14ac:dyDescent="0.25">
      <c r="A80" s="5">
        <v>46163</v>
      </c>
      <c r="B80" s="6" t="s">
        <v>18</v>
      </c>
      <c r="C80" s="3" t="s">
        <v>16</v>
      </c>
      <c r="D80" s="3">
        <v>9</v>
      </c>
      <c r="E80" s="3">
        <v>8</v>
      </c>
      <c r="F80" s="3">
        <v>23.57</v>
      </c>
      <c r="G80" s="3">
        <v>0</v>
      </c>
      <c r="H80" s="3">
        <v>0</v>
      </c>
      <c r="I80" s="3">
        <f t="shared" si="10"/>
        <v>8</v>
      </c>
      <c r="J80" s="3">
        <f>ROUND(MIN(IF(C80="Técnico III",35,IF(C80="Técnico II",28,IF(C80="Técnico I",23,IF(C80="JR",20,IF(C80="Estágio",10,0))))),IF(C80="Técnico III",SUMIFS($D:$D,$A:$A,$A80,$B:$B,"&lt;&gt;Patrícia Karla de Sousa Araújo",$B:$B,"&lt;&gt;Lorena Dias de Araujo",$B:$B,"&lt;&gt;Lucas Luiz Romero")*(35/1083),IF(C80="Técnico II",SUMIFS($D:$D,$A:$A,$A80,$B:$B,"&lt;&gt;Patrícia Karla de Sousa Araújo",$B:$B,"&lt;&gt;Lorena Dias de Araujo",$B:$B,"&lt;&gt;Lucas Luiz Romero")*(28/1083),IF(C80="Técnico I",SUMIFS($D:$D,$A:$A,$A80,$B:$B,"&lt;&gt;Patrícia Karla de Sousa Araújo",$B:$B,"&lt;&gt;Lorena Dias de Araujo",$B:$B,"&lt;&gt;Lucas Luiz Romero")*(23/1083),IF(C80="JR",SUMIFS($D:$D,$A:$A,$A80,$B:$B,"&lt;&gt;Patrícia Karla de Sousa Araújo",$B:$B,"&lt;&gt;Lorena Dias de Araujo",$B:$B,"&lt;&gt;Lucas Luiz Romero")*(20/1083),IF(C80="Estágio",SUMIFS($D:$D,$A:$A,$A80,$B:$B,"&lt;&gt;Patrícia Karla de Sousa Araújo",$B:$B,"&lt;&gt;Lorena Dias de Araujo",$B:$B,"&lt;&gt;Lucas Luiz Romero")*(10/1083),0)))))),0)</f>
        <v>6</v>
      </c>
      <c r="K80" s="3">
        <f t="shared" si="11"/>
        <v>2</v>
      </c>
      <c r="L80" s="3" t="str">
        <f t="shared" si="9"/>
        <v>OPORTUNO</v>
      </c>
      <c r="M80" s="3">
        <v>6</v>
      </c>
      <c r="N80" s="3">
        <v>100</v>
      </c>
      <c r="O80" s="3">
        <v>28.94736842105263</v>
      </c>
    </row>
    <row r="81" spans="1:15" hidden="1" x14ac:dyDescent="0.25">
      <c r="A81" s="5">
        <v>46163</v>
      </c>
      <c r="B81" s="6" t="s">
        <v>19</v>
      </c>
      <c r="C81" s="3" t="s">
        <v>16</v>
      </c>
      <c r="D81" s="3">
        <v>12</v>
      </c>
      <c r="E81" s="3">
        <v>12</v>
      </c>
      <c r="F81" s="3">
        <v>21.43</v>
      </c>
      <c r="G81" s="3">
        <v>0</v>
      </c>
      <c r="H81" s="3">
        <v>0</v>
      </c>
      <c r="I81" s="3">
        <f t="shared" si="10"/>
        <v>12</v>
      </c>
      <c r="J81" s="3">
        <f>ROUND(MIN(IF(C81="Técnico III",35,IF(C81="Técnico II",28,IF(C81="Técnico I",23,IF(C81="JR",20,IF(C81="Estágio",10,0))))),IF(C81="Técnico III",SUMIFS($D:$D,$A:$A,$A81,$B:$B,"&lt;&gt;Patrícia Karla de Sousa Araújo",$B:$B,"&lt;&gt;Lorena Dias de Araujo",$B:$B,"&lt;&gt;Lucas Luiz Romero")*(35/1083),IF(C81="Técnico II",SUMIFS($D:$D,$A:$A,$A81,$B:$B,"&lt;&gt;Patrícia Karla de Sousa Araújo",$B:$B,"&lt;&gt;Lorena Dias de Araujo",$B:$B,"&lt;&gt;Lucas Luiz Romero")*(28/1083),IF(C81="Técnico I",SUMIFS($D:$D,$A:$A,$A81,$B:$B,"&lt;&gt;Patrícia Karla de Sousa Araújo",$B:$B,"&lt;&gt;Lorena Dias de Araujo",$B:$B,"&lt;&gt;Lucas Luiz Romero")*(23/1083),IF(C81="JR",SUMIFS($D:$D,$A:$A,$A81,$B:$B,"&lt;&gt;Patrícia Karla de Sousa Araújo",$B:$B,"&lt;&gt;Lorena Dias de Araujo",$B:$B,"&lt;&gt;Lucas Luiz Romero")*(20/1083),IF(C81="Estágio",SUMIFS($D:$D,$A:$A,$A81,$B:$B,"&lt;&gt;Patrícia Karla de Sousa Araújo",$B:$B,"&lt;&gt;Lorena Dias de Araujo",$B:$B,"&lt;&gt;Lucas Luiz Romero")*(10/1083),0)))))),0)</f>
        <v>6</v>
      </c>
      <c r="K81" s="3">
        <f t="shared" si="11"/>
        <v>6</v>
      </c>
      <c r="L81" s="3" t="str">
        <f t="shared" si="9"/>
        <v>MUITO BOM</v>
      </c>
      <c r="M81" s="3">
        <v>8</v>
      </c>
      <c r="N81" s="3">
        <v>100</v>
      </c>
      <c r="O81" s="3">
        <v>12.941176470588241</v>
      </c>
    </row>
    <row r="82" spans="1:15" hidden="1" x14ac:dyDescent="0.25">
      <c r="A82" s="5">
        <v>46163</v>
      </c>
      <c r="B82" s="6" t="s">
        <v>20</v>
      </c>
      <c r="C82" s="3" t="s">
        <v>16</v>
      </c>
      <c r="D82" s="3">
        <v>14</v>
      </c>
      <c r="E82" s="3">
        <v>13</v>
      </c>
      <c r="F82" s="3">
        <v>33.54</v>
      </c>
      <c r="G82" s="3">
        <v>0</v>
      </c>
      <c r="H82" s="3">
        <v>0</v>
      </c>
      <c r="I82" s="3">
        <f t="shared" si="10"/>
        <v>13</v>
      </c>
      <c r="J82" s="3">
        <f>ROUND(MIN(IF(C82="Técnico III",35,IF(C82="Técnico II",28,IF(C82="Técnico I",23,IF(C82="JR",20,IF(C82="Estágio",10,0))))),IF(C82="Técnico III",SUMIFS($D:$D,$A:$A,$A82,$B:$B,"&lt;&gt;Patrícia Karla de Sousa Araújo",$B:$B,"&lt;&gt;Lorena Dias de Araujo",$B:$B,"&lt;&gt;Lucas Luiz Romero")*(35/1083),IF(C82="Técnico II",SUMIFS($D:$D,$A:$A,$A82,$B:$B,"&lt;&gt;Patrícia Karla de Sousa Araújo",$B:$B,"&lt;&gt;Lorena Dias de Araujo",$B:$B,"&lt;&gt;Lucas Luiz Romero")*(28/1083),IF(C82="Técnico I",SUMIFS($D:$D,$A:$A,$A82,$B:$B,"&lt;&gt;Patrícia Karla de Sousa Araújo",$B:$B,"&lt;&gt;Lorena Dias de Araujo",$B:$B,"&lt;&gt;Lucas Luiz Romero")*(23/1083),IF(C82="JR",SUMIFS($D:$D,$A:$A,$A82,$B:$B,"&lt;&gt;Patrícia Karla de Sousa Araújo",$B:$B,"&lt;&gt;Lorena Dias de Araujo",$B:$B,"&lt;&gt;Lucas Luiz Romero")*(20/1083),IF(C82="Estágio",SUMIFS($D:$D,$A:$A,$A82,$B:$B,"&lt;&gt;Patrícia Karla de Sousa Araújo",$B:$B,"&lt;&gt;Lorena Dias de Araujo",$B:$B,"&lt;&gt;Lucas Luiz Romero")*(10/1083),0)))))),0)</f>
        <v>6</v>
      </c>
      <c r="K82" s="3">
        <f t="shared" si="11"/>
        <v>7</v>
      </c>
      <c r="L82" s="3" t="str">
        <f t="shared" si="9"/>
        <v>MUITO BOM</v>
      </c>
      <c r="M82" s="3">
        <v>8</v>
      </c>
      <c r="N82" s="3">
        <v>100</v>
      </c>
      <c r="O82" s="3">
        <v>17.1875</v>
      </c>
    </row>
    <row r="83" spans="1:15" hidden="1" x14ac:dyDescent="0.25">
      <c r="A83" s="5">
        <v>46163</v>
      </c>
      <c r="B83" s="6" t="s">
        <v>21</v>
      </c>
      <c r="C83" s="3" t="s">
        <v>16</v>
      </c>
      <c r="D83" s="3">
        <v>20</v>
      </c>
      <c r="E83" s="3">
        <v>18</v>
      </c>
      <c r="F83" s="3">
        <v>16.489999999999998</v>
      </c>
      <c r="G83" s="3">
        <v>0</v>
      </c>
      <c r="H83" s="3">
        <v>0</v>
      </c>
      <c r="I83" s="3">
        <f t="shared" si="10"/>
        <v>18</v>
      </c>
      <c r="J83" s="3">
        <f>ROUND(MIN(IF(C83="Técnico III",35,IF(C83="Técnico II",28,IF(C83="Técnico I",23,IF(C83="JR",20,IF(C83="Estágio",10,0))))),IF(C83="Técnico III",SUMIFS($D:$D,$A:$A,$A83,$B:$B,"&lt;&gt;Patrícia Karla de Sousa Araújo",$B:$B,"&lt;&gt;Lorena Dias de Araujo",$B:$B,"&lt;&gt;Lucas Luiz Romero")*(35/1083),IF(C83="Técnico II",SUMIFS($D:$D,$A:$A,$A83,$B:$B,"&lt;&gt;Patrícia Karla de Sousa Araújo",$B:$B,"&lt;&gt;Lorena Dias de Araujo",$B:$B,"&lt;&gt;Lucas Luiz Romero")*(28/1083),IF(C83="Técnico I",SUMIFS($D:$D,$A:$A,$A83,$B:$B,"&lt;&gt;Patrícia Karla de Sousa Araújo",$B:$B,"&lt;&gt;Lorena Dias de Araujo",$B:$B,"&lt;&gt;Lucas Luiz Romero")*(23/1083),IF(C83="JR",SUMIFS($D:$D,$A:$A,$A83,$B:$B,"&lt;&gt;Patrícia Karla de Sousa Araújo",$B:$B,"&lt;&gt;Lorena Dias de Araujo",$B:$B,"&lt;&gt;Lucas Luiz Romero")*(20/1083),IF(C83="Estágio",SUMIFS($D:$D,$A:$A,$A83,$B:$B,"&lt;&gt;Patrícia Karla de Sousa Araújo",$B:$B,"&lt;&gt;Lorena Dias de Araujo",$B:$B,"&lt;&gt;Lucas Luiz Romero")*(10/1083),0)))))),0)</f>
        <v>6</v>
      </c>
      <c r="K83" s="3">
        <f t="shared" si="11"/>
        <v>12</v>
      </c>
      <c r="L83" s="3" t="str">
        <f t="shared" si="9"/>
        <v>MUITO BOM</v>
      </c>
      <c r="M83" s="3">
        <v>13</v>
      </c>
      <c r="N83" s="3">
        <v>98.36</v>
      </c>
      <c r="O83" s="3">
        <v>21.917808219178081</v>
      </c>
    </row>
    <row r="84" spans="1:15" hidden="1" x14ac:dyDescent="0.25">
      <c r="A84" s="10">
        <v>46164</v>
      </c>
      <c r="B84" s="6" t="s">
        <v>17</v>
      </c>
      <c r="C84" s="3" t="s">
        <v>16</v>
      </c>
      <c r="D84" s="3">
        <v>7</v>
      </c>
      <c r="E84" s="3">
        <v>7</v>
      </c>
      <c r="F84" s="3">
        <v>22.38</v>
      </c>
      <c r="G84" s="3">
        <v>0</v>
      </c>
      <c r="H84" s="3">
        <v>0</v>
      </c>
      <c r="I84" s="3">
        <f t="shared" si="10"/>
        <v>7</v>
      </c>
      <c r="J84" s="3">
        <f>ROUND(MIN(IF(C84="Técnico III",35,IF(C84="Técnico II",28,IF(C84="Técnico I",23,IF(C84="JR",20,IF(C84="Estágio",10,0))))),IF(C84="Técnico III",SUMIFS($D:$D,$A:$A,$A84,$B:$B,"&lt;&gt;Patrícia Karla de Sousa Araújo",$B:$B,"&lt;&gt;Lorena Dias de Araujo",$B:$B,"&lt;&gt;Lucas Luiz Romero")*(35/1083),IF(C84="Técnico II",SUMIFS($D:$D,$A:$A,$A84,$B:$B,"&lt;&gt;Patrícia Karla de Sousa Araújo",$B:$B,"&lt;&gt;Lorena Dias de Araujo",$B:$B,"&lt;&gt;Lucas Luiz Romero")*(28/1083),IF(C84="Técnico I",SUMIFS($D:$D,$A:$A,$A84,$B:$B,"&lt;&gt;Patrícia Karla de Sousa Araújo",$B:$B,"&lt;&gt;Lorena Dias de Araujo",$B:$B,"&lt;&gt;Lucas Luiz Romero")*(23/1083),IF(C84="JR",SUMIFS($D:$D,$A:$A,$A84,$B:$B,"&lt;&gt;Patrícia Karla de Sousa Araújo",$B:$B,"&lt;&gt;Lorena Dias de Araujo",$B:$B,"&lt;&gt;Lucas Luiz Romero")*(20/1083),IF(C84="Estágio",SUMIFS($D:$D,$A:$A,$A84,$B:$B,"&lt;&gt;Patrícia Karla de Sousa Araújo",$B:$B,"&lt;&gt;Lorena Dias de Araujo",$B:$B,"&lt;&gt;Lucas Luiz Romero")*(10/1083),0)))))),0)</f>
        <v>6</v>
      </c>
      <c r="K84" s="3">
        <f t="shared" si="11"/>
        <v>1</v>
      </c>
      <c r="L84" s="3" t="str">
        <f t="shared" si="9"/>
        <v>OPORTUNO</v>
      </c>
      <c r="M84" s="3">
        <v>3</v>
      </c>
      <c r="N84" s="3">
        <v>97.14</v>
      </c>
      <c r="O84" s="3">
        <v>24.761904761904759</v>
      </c>
    </row>
    <row r="85" spans="1:15" hidden="1" x14ac:dyDescent="0.25">
      <c r="A85" s="10">
        <v>46164</v>
      </c>
      <c r="B85" s="6" t="s">
        <v>18</v>
      </c>
      <c r="C85" s="3" t="s">
        <v>16</v>
      </c>
      <c r="D85" s="3">
        <v>6</v>
      </c>
      <c r="E85" s="3">
        <v>6</v>
      </c>
      <c r="F85" s="3">
        <v>36.58</v>
      </c>
      <c r="G85" s="3">
        <v>0</v>
      </c>
      <c r="H85" s="3">
        <v>0</v>
      </c>
      <c r="I85" s="3">
        <f t="shared" si="10"/>
        <v>6</v>
      </c>
      <c r="J85" s="3">
        <f>ROUND(MIN(IF(C85="Técnico III",35,IF(C85="Técnico II",28,IF(C85="Técnico I",23,IF(C85="JR",20,IF(C85="Estágio",10,0))))),IF(C85="Técnico III",SUMIFS($D:$D,$A:$A,$A85,$B:$B,"&lt;&gt;Patrícia Karla de Sousa Araújo",$B:$B,"&lt;&gt;Lorena Dias de Araujo",$B:$B,"&lt;&gt;Lucas Luiz Romero")*(35/1083),IF(C85="Técnico II",SUMIFS($D:$D,$A:$A,$A85,$B:$B,"&lt;&gt;Patrícia Karla de Sousa Araújo",$B:$B,"&lt;&gt;Lorena Dias de Araujo",$B:$B,"&lt;&gt;Lucas Luiz Romero")*(28/1083),IF(C85="Técnico I",SUMIFS($D:$D,$A:$A,$A85,$B:$B,"&lt;&gt;Patrícia Karla de Sousa Araújo",$B:$B,"&lt;&gt;Lorena Dias de Araujo",$B:$B,"&lt;&gt;Lucas Luiz Romero")*(23/1083),IF(C85="JR",SUMIFS($D:$D,$A:$A,$A85,$B:$B,"&lt;&gt;Patrícia Karla de Sousa Araújo",$B:$B,"&lt;&gt;Lorena Dias de Araujo",$B:$B,"&lt;&gt;Lucas Luiz Romero")*(20/1083),IF(C85="Estágio",SUMIFS($D:$D,$A:$A,$A85,$B:$B,"&lt;&gt;Patrícia Karla de Sousa Araújo",$B:$B,"&lt;&gt;Lorena Dias de Araujo",$B:$B,"&lt;&gt;Lucas Luiz Romero")*(10/1083),0)))))),0)</f>
        <v>6</v>
      </c>
      <c r="K85" s="3">
        <f t="shared" si="11"/>
        <v>0</v>
      </c>
      <c r="L85" s="3" t="str">
        <f t="shared" si="9"/>
        <v>OPORTUNO</v>
      </c>
      <c r="M85" s="3">
        <v>6</v>
      </c>
      <c r="N85" s="3">
        <v>100</v>
      </c>
      <c r="O85" s="3">
        <v>28.94736842105263</v>
      </c>
    </row>
    <row r="86" spans="1:15" hidden="1" x14ac:dyDescent="0.25">
      <c r="A86" s="10">
        <v>46164</v>
      </c>
      <c r="B86" s="6" t="s">
        <v>19</v>
      </c>
      <c r="C86" s="3" t="s">
        <v>16</v>
      </c>
      <c r="D86" s="3">
        <v>8</v>
      </c>
      <c r="E86" s="3">
        <v>8</v>
      </c>
      <c r="F86" s="3">
        <v>20.010000000000002</v>
      </c>
      <c r="G86" s="3">
        <v>0</v>
      </c>
      <c r="H86" s="3">
        <v>0</v>
      </c>
      <c r="I86" s="3">
        <f t="shared" si="10"/>
        <v>8</v>
      </c>
      <c r="J86" s="3">
        <f>ROUND(MIN(IF(C86="Técnico III",35,IF(C86="Técnico II",28,IF(C86="Técnico I",23,IF(C86="JR",20,IF(C86="Estágio",10,0))))),IF(C86="Técnico III",SUMIFS($D:$D,$A:$A,$A86,$B:$B,"&lt;&gt;Patrícia Karla de Sousa Araújo",$B:$B,"&lt;&gt;Lorena Dias de Araujo",$B:$B,"&lt;&gt;Lucas Luiz Romero")*(35/1083),IF(C86="Técnico II",SUMIFS($D:$D,$A:$A,$A86,$B:$B,"&lt;&gt;Patrícia Karla de Sousa Araújo",$B:$B,"&lt;&gt;Lorena Dias de Araujo",$B:$B,"&lt;&gt;Lucas Luiz Romero")*(28/1083),IF(C86="Técnico I",SUMIFS($D:$D,$A:$A,$A86,$B:$B,"&lt;&gt;Patrícia Karla de Sousa Araújo",$B:$B,"&lt;&gt;Lorena Dias de Araujo",$B:$B,"&lt;&gt;Lucas Luiz Romero")*(23/1083),IF(C86="JR",SUMIFS($D:$D,$A:$A,$A86,$B:$B,"&lt;&gt;Patrícia Karla de Sousa Araújo",$B:$B,"&lt;&gt;Lorena Dias de Araujo",$B:$B,"&lt;&gt;Lucas Luiz Romero")*(20/1083),IF(C86="Estágio",SUMIFS($D:$D,$A:$A,$A86,$B:$B,"&lt;&gt;Patrícia Karla de Sousa Araújo",$B:$B,"&lt;&gt;Lorena Dias de Araujo",$B:$B,"&lt;&gt;Lucas Luiz Romero")*(10/1083),0)))))),0)</f>
        <v>6</v>
      </c>
      <c r="K86" s="3">
        <f t="shared" si="11"/>
        <v>2</v>
      </c>
      <c r="L86" s="3" t="str">
        <f t="shared" si="9"/>
        <v>OPORTUNO</v>
      </c>
      <c r="M86" s="3">
        <v>6</v>
      </c>
      <c r="N86" s="3">
        <v>100</v>
      </c>
      <c r="O86" s="3">
        <v>12.941176470588241</v>
      </c>
    </row>
    <row r="87" spans="1:15" hidden="1" x14ac:dyDescent="0.25">
      <c r="A87" s="10">
        <v>46164</v>
      </c>
      <c r="B87" s="6" t="s">
        <v>20</v>
      </c>
      <c r="C87" s="3" t="s">
        <v>16</v>
      </c>
      <c r="D87" s="3">
        <v>15</v>
      </c>
      <c r="E87" s="3">
        <v>14</v>
      </c>
      <c r="F87" s="3">
        <v>31.4</v>
      </c>
      <c r="G87" s="3">
        <v>0</v>
      </c>
      <c r="H87" s="3">
        <v>0</v>
      </c>
      <c r="I87" s="3">
        <f t="shared" si="10"/>
        <v>14</v>
      </c>
      <c r="J87" s="3">
        <f>ROUND(MIN(IF(C87="Técnico III",35,IF(C87="Técnico II",28,IF(C87="Técnico I",23,IF(C87="JR",20,IF(C87="Estágio",10,0))))),IF(C87="Técnico III",SUMIFS($D:$D,$A:$A,$A87,$B:$B,"&lt;&gt;Patrícia Karla de Sousa Araújo",$B:$B,"&lt;&gt;Lorena Dias de Araujo",$B:$B,"&lt;&gt;Lucas Luiz Romero")*(35/1083),IF(C87="Técnico II",SUMIFS($D:$D,$A:$A,$A87,$B:$B,"&lt;&gt;Patrícia Karla de Sousa Araújo",$B:$B,"&lt;&gt;Lorena Dias de Araujo",$B:$B,"&lt;&gt;Lucas Luiz Romero")*(28/1083),IF(C87="Técnico I",SUMIFS($D:$D,$A:$A,$A87,$B:$B,"&lt;&gt;Patrícia Karla de Sousa Araújo",$B:$B,"&lt;&gt;Lorena Dias de Araujo",$B:$B,"&lt;&gt;Lucas Luiz Romero")*(23/1083),IF(C87="JR",SUMIFS($D:$D,$A:$A,$A87,$B:$B,"&lt;&gt;Patrícia Karla de Sousa Araújo",$B:$B,"&lt;&gt;Lorena Dias de Araujo",$B:$B,"&lt;&gt;Lucas Luiz Romero")*(20/1083),IF(C87="Estágio",SUMIFS($D:$D,$A:$A,$A87,$B:$B,"&lt;&gt;Patrícia Karla de Sousa Araújo",$B:$B,"&lt;&gt;Lorena Dias de Araujo",$B:$B,"&lt;&gt;Lucas Luiz Romero")*(10/1083),0)))))),0)</f>
        <v>6</v>
      </c>
      <c r="K87" s="3">
        <f t="shared" si="11"/>
        <v>8</v>
      </c>
      <c r="L87" s="3" t="str">
        <f t="shared" si="9"/>
        <v>MUITO BOM</v>
      </c>
      <c r="M87" s="3">
        <v>11</v>
      </c>
      <c r="N87" s="3">
        <v>100</v>
      </c>
      <c r="O87" s="3">
        <v>17.1875</v>
      </c>
    </row>
    <row r="88" spans="1:15" hidden="1" x14ac:dyDescent="0.25">
      <c r="A88" s="10">
        <v>46164</v>
      </c>
      <c r="B88" s="6" t="s">
        <v>21</v>
      </c>
      <c r="C88" s="3" t="s">
        <v>16</v>
      </c>
      <c r="D88" s="3">
        <v>17</v>
      </c>
      <c r="E88" s="3">
        <v>15</v>
      </c>
      <c r="F88" s="3">
        <v>25.36</v>
      </c>
      <c r="G88" s="3">
        <v>0</v>
      </c>
      <c r="H88" s="3">
        <v>0</v>
      </c>
      <c r="I88" s="3">
        <f t="shared" si="10"/>
        <v>15</v>
      </c>
      <c r="J88" s="3">
        <f>ROUND(MIN(IF(C88="Técnico III",35,IF(C88="Técnico II",28,IF(C88="Técnico I",23,IF(C88="JR",20,IF(C88="Estágio",10,0))))),IF(C88="Técnico III",SUMIFS($D:$D,$A:$A,$A88,$B:$B,"&lt;&gt;Patrícia Karla de Sousa Araújo",$B:$B,"&lt;&gt;Lorena Dias de Araujo",$B:$B,"&lt;&gt;Lucas Luiz Romero")*(35/1083),IF(C88="Técnico II",SUMIFS($D:$D,$A:$A,$A88,$B:$B,"&lt;&gt;Patrícia Karla de Sousa Araújo",$B:$B,"&lt;&gt;Lorena Dias de Araujo",$B:$B,"&lt;&gt;Lucas Luiz Romero")*(28/1083),IF(C88="Técnico I",SUMIFS($D:$D,$A:$A,$A88,$B:$B,"&lt;&gt;Patrícia Karla de Sousa Araújo",$B:$B,"&lt;&gt;Lorena Dias de Araujo",$B:$B,"&lt;&gt;Lucas Luiz Romero")*(23/1083),IF(C88="JR",SUMIFS($D:$D,$A:$A,$A88,$B:$B,"&lt;&gt;Patrícia Karla de Sousa Araújo",$B:$B,"&lt;&gt;Lorena Dias de Araujo",$B:$B,"&lt;&gt;Lucas Luiz Romero")*(20/1083),IF(C88="Estágio",SUMIFS($D:$D,$A:$A,$A88,$B:$B,"&lt;&gt;Patrícia Karla de Sousa Araújo",$B:$B,"&lt;&gt;Lorena Dias de Araujo",$B:$B,"&lt;&gt;Lucas Luiz Romero")*(10/1083),0)))))),0)</f>
        <v>6</v>
      </c>
      <c r="K88" s="3">
        <f t="shared" si="11"/>
        <v>9</v>
      </c>
      <c r="L88" s="3" t="str">
        <f t="shared" si="9"/>
        <v>MUITO BOM</v>
      </c>
      <c r="M88" s="3">
        <v>9</v>
      </c>
      <c r="N88" s="3">
        <v>98.36</v>
      </c>
      <c r="O88" s="3">
        <v>21.917808219178081</v>
      </c>
    </row>
    <row r="89" spans="1:15" hidden="1" x14ac:dyDescent="0.25">
      <c r="A89" s="11">
        <v>46167</v>
      </c>
      <c r="B89" t="s">
        <v>17</v>
      </c>
      <c r="C89" t="s">
        <v>16</v>
      </c>
      <c r="D89">
        <v>6</v>
      </c>
      <c r="E89">
        <v>4</v>
      </c>
      <c r="F89">
        <v>26.55</v>
      </c>
      <c r="G89">
        <v>0</v>
      </c>
      <c r="H89">
        <v>0</v>
      </c>
      <c r="I89" s="3">
        <v>0</v>
      </c>
      <c r="J89" s="3">
        <v>0</v>
      </c>
      <c r="K89" s="3">
        <v>0</v>
      </c>
      <c r="L89" s="3" t="str">
        <f t="shared" si="9"/>
        <v>OPORTUNO</v>
      </c>
      <c r="M89">
        <v>3</v>
      </c>
      <c r="N89">
        <v>97.14</v>
      </c>
      <c r="O89">
        <v>24.761904761904759</v>
      </c>
    </row>
    <row r="90" spans="1:15" hidden="1" x14ac:dyDescent="0.25">
      <c r="A90" s="11">
        <v>46167</v>
      </c>
      <c r="B90" t="s">
        <v>18</v>
      </c>
      <c r="C90" t="s">
        <v>16</v>
      </c>
      <c r="D90">
        <v>1</v>
      </c>
      <c r="E90">
        <v>1</v>
      </c>
      <c r="F90">
        <v>72.069999999999993</v>
      </c>
      <c r="G90">
        <v>0</v>
      </c>
      <c r="H90">
        <v>0</v>
      </c>
      <c r="I90" s="3">
        <v>0</v>
      </c>
      <c r="J90" s="3">
        <v>0</v>
      </c>
      <c r="K90" s="3">
        <v>0</v>
      </c>
      <c r="L90" s="3" t="str">
        <f t="shared" si="9"/>
        <v>OPORTUNO</v>
      </c>
      <c r="M90">
        <v>1</v>
      </c>
      <c r="N90">
        <v>100</v>
      </c>
      <c r="O90">
        <v>28.94736842105263</v>
      </c>
    </row>
    <row r="91" spans="1:15" hidden="1" x14ac:dyDescent="0.25">
      <c r="A91" s="11">
        <v>46167</v>
      </c>
      <c r="B91" t="s">
        <v>19</v>
      </c>
      <c r="C91" t="s">
        <v>16</v>
      </c>
      <c r="D91">
        <v>9</v>
      </c>
      <c r="E91">
        <v>9</v>
      </c>
      <c r="F91">
        <v>20.48</v>
      </c>
      <c r="G91">
        <v>0</v>
      </c>
      <c r="H91">
        <v>0</v>
      </c>
      <c r="I91" s="3">
        <v>0</v>
      </c>
      <c r="J91" s="3">
        <v>0</v>
      </c>
      <c r="K91" s="3">
        <v>0</v>
      </c>
      <c r="L91" s="3" t="str">
        <f t="shared" si="9"/>
        <v>OPORTUNO</v>
      </c>
      <c r="M91">
        <v>6</v>
      </c>
      <c r="N91">
        <v>100</v>
      </c>
      <c r="O91">
        <v>12.941176470588241</v>
      </c>
    </row>
    <row r="92" spans="1:15" hidden="1" x14ac:dyDescent="0.25">
      <c r="A92" s="11">
        <v>46167</v>
      </c>
      <c r="B92" t="s">
        <v>20</v>
      </c>
      <c r="C92" t="s">
        <v>16</v>
      </c>
      <c r="D92">
        <v>5</v>
      </c>
      <c r="E92">
        <v>5</v>
      </c>
      <c r="F92">
        <v>54.07</v>
      </c>
      <c r="G92">
        <v>0</v>
      </c>
      <c r="H92">
        <v>0</v>
      </c>
      <c r="I92" s="3">
        <v>0</v>
      </c>
      <c r="J92" s="3">
        <v>0</v>
      </c>
      <c r="K92" s="3">
        <v>0</v>
      </c>
      <c r="L92" s="3" t="str">
        <f t="shared" si="9"/>
        <v>OPORTUNO</v>
      </c>
      <c r="M92">
        <v>5</v>
      </c>
      <c r="N92">
        <v>100</v>
      </c>
      <c r="O92">
        <v>17.1875</v>
      </c>
    </row>
    <row r="93" spans="1:15" hidden="1" x14ac:dyDescent="0.25">
      <c r="A93" s="11">
        <v>46167</v>
      </c>
      <c r="B93" t="s">
        <v>21</v>
      </c>
      <c r="C93" t="s">
        <v>16</v>
      </c>
      <c r="D93">
        <v>17</v>
      </c>
      <c r="E93">
        <v>17</v>
      </c>
      <c r="F93">
        <v>32.24</v>
      </c>
      <c r="G93">
        <v>0</v>
      </c>
      <c r="H93">
        <v>0</v>
      </c>
      <c r="I93" s="3">
        <v>0</v>
      </c>
      <c r="J93" s="3">
        <v>0</v>
      </c>
      <c r="K93" s="3">
        <v>0</v>
      </c>
      <c r="L93" s="3" t="str">
        <f t="shared" si="9"/>
        <v>OPORTUNO</v>
      </c>
      <c r="M93">
        <v>11</v>
      </c>
      <c r="N93">
        <v>98.36</v>
      </c>
      <c r="O93">
        <v>21.917808219178081</v>
      </c>
    </row>
    <row r="94" spans="1:15" hidden="1" x14ac:dyDescent="0.25">
      <c r="A94" s="5">
        <v>46150</v>
      </c>
      <c r="B94" s="6" t="s">
        <v>24</v>
      </c>
      <c r="C94" s="3" t="s">
        <v>16</v>
      </c>
      <c r="D94" s="3">
        <v>46</v>
      </c>
      <c r="E94" s="3">
        <v>42</v>
      </c>
      <c r="F94">
        <v>5.38</v>
      </c>
      <c r="G94" s="3">
        <v>0</v>
      </c>
      <c r="H94" s="3">
        <v>0</v>
      </c>
      <c r="I94" s="3">
        <f>E94+G94+H94</f>
        <v>42</v>
      </c>
      <c r="J94" s="3">
        <f>ROUND(MIN(IF(C94="Técnico III",35,IF(C94="Técnico II",28,IF(C94="Técnico I",23,IF(C94="JR",20,IF(C94="Estágio",10,0))))),IF(C94="Técnico III",SUMIFS($D:$D,$A:$A,$A94,$B:$B,"&lt;&gt;Patrícia Karla de Sousa Araújo",$B:$B,"&lt;&gt;Lorena Dias de Araujo",$B:$B,"&lt;&gt;Lucas Luiz Romero")*(35/1083),IF(C94="Técnico II",SUMIFS($D:$D,$A:$A,$A94,$B:$B,"&lt;&gt;Patrícia Karla de Sousa Araújo",$B:$B,"&lt;&gt;Lorena Dias de Araujo",$B:$B,"&lt;&gt;Lucas Luiz Romero")*(28/1083),IF(C94="Técnico I",SUMIFS($D:$D,$A:$A,$A94,$B:$B,"&lt;&gt;Patrícia Karla de Sousa Araújo",$B:$B,"&lt;&gt;Lorena Dias de Araujo",$B:$B,"&lt;&gt;Lucas Luiz Romero")*(23/1083),IF(C94="JR",SUMIFS($D:$D,$A:$A,$A94,$B:$B,"&lt;&gt;Patrícia Karla de Sousa Araújo",$B:$B,"&lt;&gt;Lorena Dias de Araujo",$B:$B,"&lt;&gt;Lucas Luiz Romero")*(20/1083),IF(C94="Estágio",SUMIFS($D:$D,$A:$A,$A94,$B:$B,"&lt;&gt;Patrícia Karla de Sousa Araújo",$B:$B,"&lt;&gt;Lorena Dias de Araujo",$B:$B,"&lt;&gt;Lucas Luiz Romero")*(10/1083),0)))))),0)</f>
        <v>8</v>
      </c>
      <c r="K94" s="3">
        <f>I94-J94</f>
        <v>34</v>
      </c>
      <c r="L94" s="3" t="str">
        <f t="shared" si="9"/>
        <v>MUITO BOM</v>
      </c>
      <c r="M94">
        <v>0</v>
      </c>
      <c r="N94">
        <v>100</v>
      </c>
      <c r="O94">
        <v>33.333333333333329</v>
      </c>
    </row>
    <row r="95" spans="1:15" hidden="1" x14ac:dyDescent="0.25">
      <c r="A95" s="5">
        <v>46157</v>
      </c>
      <c r="B95" s="6" t="s">
        <v>24</v>
      </c>
      <c r="C95" s="3" t="s">
        <v>16</v>
      </c>
      <c r="D95" s="3">
        <v>4</v>
      </c>
      <c r="E95" s="3">
        <v>4</v>
      </c>
      <c r="F95">
        <v>55.52</v>
      </c>
      <c r="G95" s="3">
        <v>0</v>
      </c>
      <c r="H95" s="3">
        <v>0</v>
      </c>
      <c r="I95" s="3">
        <f>E95+G95+H95</f>
        <v>4</v>
      </c>
      <c r="J95" s="3">
        <f>ROUND(MIN(IF(C95="Técnico III",35,IF(C95="Técnico II",28,IF(C95="Técnico I",23,IF(C95="JR",20,IF(C95="Estágio",10,0))))),IF(C95="Técnico III",SUMIFS($D:$D,$A:$A,$A95,$B:$B,"&lt;&gt;Patrícia Karla de Sousa Araújo",$B:$B,"&lt;&gt;Lorena Dias de Araujo",$B:$B,"&lt;&gt;Lucas Luiz Romero")*(35/1083),IF(C95="Técnico II",SUMIFS($D:$D,$A:$A,$A95,$B:$B,"&lt;&gt;Patrícia Karla de Sousa Araújo",$B:$B,"&lt;&gt;Lorena Dias de Araujo",$B:$B,"&lt;&gt;Lucas Luiz Romero")*(28/1083),IF(C95="Técnico I",SUMIFS($D:$D,$A:$A,$A95,$B:$B,"&lt;&gt;Patrícia Karla de Sousa Araújo",$B:$B,"&lt;&gt;Lorena Dias de Araujo",$B:$B,"&lt;&gt;Lucas Luiz Romero")*(23/1083),IF(C95="JR",SUMIFS($D:$D,$A:$A,$A95,$B:$B,"&lt;&gt;Patrícia Karla de Sousa Araújo",$B:$B,"&lt;&gt;Lorena Dias de Araujo",$B:$B,"&lt;&gt;Lucas Luiz Romero")*(20/1083),IF(C95="Estágio",SUMIFS($D:$D,$A:$A,$A95,$B:$B,"&lt;&gt;Patrícia Karla de Sousa Araújo",$B:$B,"&lt;&gt;Lorena Dias de Araujo",$B:$B,"&lt;&gt;Lucas Luiz Romero")*(10/1083),0)))))),0)</f>
        <v>8</v>
      </c>
      <c r="K95" s="3">
        <f>I95-J95</f>
        <v>-4</v>
      </c>
      <c r="L95" s="3" t="str">
        <f t="shared" si="9"/>
        <v>ATENÇÃO</v>
      </c>
      <c r="M95">
        <v>3</v>
      </c>
      <c r="N95">
        <v>100</v>
      </c>
      <c r="O95">
        <v>33.333333333333329</v>
      </c>
    </row>
    <row r="96" spans="1:15" hidden="1" x14ac:dyDescent="0.25">
      <c r="A96" s="5">
        <v>46160</v>
      </c>
      <c r="B96" s="6" t="s">
        <v>24</v>
      </c>
      <c r="C96" s="3" t="s">
        <v>16</v>
      </c>
      <c r="D96" s="3">
        <v>2</v>
      </c>
      <c r="E96" s="3">
        <v>2</v>
      </c>
      <c r="F96">
        <v>170.55</v>
      </c>
      <c r="G96" s="3">
        <v>0</v>
      </c>
      <c r="H96" s="3">
        <v>0</v>
      </c>
      <c r="I96" s="3">
        <f>E96+G96+H96</f>
        <v>2</v>
      </c>
      <c r="J96" s="3">
        <f>ROUND(MIN(IF(C96="Técnico III",35,IF(C96="Técnico II",28,IF(C96="Técnico I",23,IF(C96="JR",20,IF(C96="Estágio",10,0))))),IF(C96="Técnico III",SUMIFS($D:$D,$A:$A,$A96,$B:$B,"&lt;&gt;Patrícia Karla de Sousa Araújo",$B:$B,"&lt;&gt;Lorena Dias de Araujo",$B:$B,"&lt;&gt;Lucas Luiz Romero")*(35/1083),IF(C96="Técnico II",SUMIFS($D:$D,$A:$A,$A96,$B:$B,"&lt;&gt;Patrícia Karla de Sousa Araújo",$B:$B,"&lt;&gt;Lorena Dias de Araujo",$B:$B,"&lt;&gt;Lucas Luiz Romero")*(28/1083),IF(C96="Técnico I",SUMIFS($D:$D,$A:$A,$A96,$B:$B,"&lt;&gt;Patrícia Karla de Sousa Araújo",$B:$B,"&lt;&gt;Lorena Dias de Araujo",$B:$B,"&lt;&gt;Lucas Luiz Romero")*(23/1083),IF(C96="JR",SUMIFS($D:$D,$A:$A,$A96,$B:$B,"&lt;&gt;Patrícia Karla de Sousa Araújo",$B:$B,"&lt;&gt;Lorena Dias de Araujo",$B:$B,"&lt;&gt;Lucas Luiz Romero")*(20/1083),IF(C96="Estágio",SUMIFS($D:$D,$A:$A,$A96,$B:$B,"&lt;&gt;Patrícia Karla de Sousa Araújo",$B:$B,"&lt;&gt;Lorena Dias de Araujo",$B:$B,"&lt;&gt;Lucas Luiz Romero")*(10/1083),0)))))),0)</f>
        <v>7</v>
      </c>
      <c r="K96" s="3">
        <f>I96-J96</f>
        <v>-5</v>
      </c>
      <c r="L96" s="3" t="str">
        <f t="shared" si="9"/>
        <v>ATENÇÃO</v>
      </c>
      <c r="M96">
        <v>2</v>
      </c>
      <c r="N96">
        <v>100</v>
      </c>
      <c r="O96">
        <v>33.333333333333329</v>
      </c>
    </row>
    <row r="97" spans="1:15" hidden="1" x14ac:dyDescent="0.25">
      <c r="A97" s="7">
        <v>46161</v>
      </c>
      <c r="B97" s="8" t="s">
        <v>24</v>
      </c>
      <c r="C97" s="9" t="s">
        <v>16</v>
      </c>
      <c r="D97" s="3">
        <v>4</v>
      </c>
      <c r="E97" s="3">
        <v>4</v>
      </c>
      <c r="F97">
        <v>56.44</v>
      </c>
      <c r="G97" s="3">
        <v>0</v>
      </c>
      <c r="H97" s="3">
        <v>0</v>
      </c>
      <c r="I97" s="3">
        <f>E97+G97+H97</f>
        <v>4</v>
      </c>
      <c r="J97" s="3">
        <f>ROUND(MIN(IF(C97="Técnico III",35,IF(C97="Técnico II",28,IF(C97="Técnico I",23,IF(C97="JR",20,IF(C97="Estágio",10,0))))),IF(C97="Técnico III",SUMIFS($D:$D,$A:$A,$A97,$B:$B,"&lt;&gt;Patrícia Karla de Sousa Araújo",$B:$B,"&lt;&gt;Lorena Dias de Araujo",$B:$B,"&lt;&gt;Lucas Luiz Romero")*(35/1083),IF(C97="Técnico II",SUMIFS($D:$D,$A:$A,$A97,$B:$B,"&lt;&gt;Patrícia Karla de Sousa Araújo",$B:$B,"&lt;&gt;Lorena Dias de Araujo",$B:$B,"&lt;&gt;Lucas Luiz Romero")*(28/1083),IF(C97="Técnico I",SUMIFS($D:$D,$A:$A,$A97,$B:$B,"&lt;&gt;Patrícia Karla de Sousa Araújo",$B:$B,"&lt;&gt;Lorena Dias de Araujo",$B:$B,"&lt;&gt;Lucas Luiz Romero")*(23/1083),IF(C97="JR",SUMIFS($D:$D,$A:$A,$A97,$B:$B,"&lt;&gt;Patrícia Karla de Sousa Araújo",$B:$B,"&lt;&gt;Lorena Dias de Araujo",$B:$B,"&lt;&gt;Lucas Luiz Romero")*(20/1083),IF(C97="Estágio",SUMIFS($D:$D,$A:$A,$A97,$B:$B,"&lt;&gt;Patrícia Karla de Sousa Araújo",$B:$B,"&lt;&gt;Lorena Dias de Araujo",$B:$B,"&lt;&gt;Lucas Luiz Romero")*(10/1083),0)))))),0)</f>
        <v>8</v>
      </c>
      <c r="K97" s="3">
        <f>I97-J97</f>
        <v>-4</v>
      </c>
      <c r="L97" s="3" t="str">
        <f t="shared" si="9"/>
        <v>ATENÇÃO</v>
      </c>
      <c r="M97">
        <v>3</v>
      </c>
      <c r="N97">
        <v>100</v>
      </c>
      <c r="O97">
        <v>33.333333333333329</v>
      </c>
    </row>
    <row r="98" spans="1:15" hidden="1" x14ac:dyDescent="0.25">
      <c r="A98" s="7">
        <v>46162</v>
      </c>
      <c r="B98" s="8" t="s">
        <v>24</v>
      </c>
      <c r="C98" s="9" t="s">
        <v>16</v>
      </c>
      <c r="D98" s="3">
        <v>7</v>
      </c>
      <c r="E98" s="3">
        <v>7</v>
      </c>
      <c r="F98" s="3">
        <v>37.06</v>
      </c>
      <c r="G98" s="3">
        <v>0</v>
      </c>
      <c r="H98" s="3">
        <v>0</v>
      </c>
      <c r="I98" s="3">
        <f>E98+G98+H98</f>
        <v>7</v>
      </c>
      <c r="J98" s="3">
        <f>ROUND(MIN(IF(C98="Técnico III",35,IF(C98="Técnico II",28,IF(C98="Técnico I",23,IF(C98="JR",20,IF(C98="Estágio",10,0))))),IF(C98="Técnico III",SUMIFS($D:$D,$A:$A,$A98,$B:$B,"&lt;&gt;Patrícia Karla de Sousa Araújo",$B:$B,"&lt;&gt;Lorena Dias de Araujo",$B:$B,"&lt;&gt;Lucas Luiz Romero")*(35/1083),IF(C98="Técnico II",SUMIFS($D:$D,$A:$A,$A98,$B:$B,"&lt;&gt;Patrícia Karla de Sousa Araújo",$B:$B,"&lt;&gt;Lorena Dias de Araujo",$B:$B,"&lt;&gt;Lucas Luiz Romero")*(28/1083),IF(C98="Técnico I",SUMIFS($D:$D,$A:$A,$A98,$B:$B,"&lt;&gt;Patrícia Karla de Sousa Araújo",$B:$B,"&lt;&gt;Lorena Dias de Araujo",$B:$B,"&lt;&gt;Lucas Luiz Romero")*(23/1083),IF(C98="JR",SUMIFS($D:$D,$A:$A,$A98,$B:$B,"&lt;&gt;Patrícia Karla de Sousa Araújo",$B:$B,"&lt;&gt;Lorena Dias de Araujo",$B:$B,"&lt;&gt;Lucas Luiz Romero")*(20/1083),IF(C98="Estágio",SUMIFS($D:$D,$A:$A,$A98,$B:$B,"&lt;&gt;Patrícia Karla de Sousa Araújo",$B:$B,"&lt;&gt;Lorena Dias de Araujo",$B:$B,"&lt;&gt;Lucas Luiz Romero")*(10/1083),0)))))),0)</f>
        <v>7</v>
      </c>
      <c r="K98" s="3">
        <f>I98-J98</f>
        <v>0</v>
      </c>
      <c r="L98" s="3" t="str">
        <f t="shared" si="9"/>
        <v>OPORTUNO</v>
      </c>
      <c r="M98" s="9">
        <v>6</v>
      </c>
      <c r="N98" s="9">
        <v>100</v>
      </c>
      <c r="O98" s="9">
        <v>33.333333333333329</v>
      </c>
    </row>
    <row r="99" spans="1:15" hidden="1" x14ac:dyDescent="0.25">
      <c r="A99" s="5">
        <v>46163</v>
      </c>
      <c r="B99" s="6" t="s">
        <v>24</v>
      </c>
      <c r="C99" s="3" t="s">
        <v>16</v>
      </c>
      <c r="D99" s="3">
        <v>0</v>
      </c>
      <c r="E99" s="3">
        <v>0</v>
      </c>
      <c r="F99" s="3">
        <v>0</v>
      </c>
      <c r="G99" s="3">
        <v>0</v>
      </c>
      <c r="H99" s="3">
        <v>0</v>
      </c>
      <c r="I99" s="3">
        <v>0</v>
      </c>
      <c r="J99" s="3">
        <v>0</v>
      </c>
      <c r="K99" s="3">
        <v>0</v>
      </c>
      <c r="L99" s="3" t="str">
        <f t="shared" si="9"/>
        <v>OPORTUNO</v>
      </c>
      <c r="M99" s="3">
        <v>0</v>
      </c>
      <c r="N99" s="3">
        <v>100</v>
      </c>
      <c r="O99" s="3">
        <v>33.333333333333329</v>
      </c>
    </row>
    <row r="100" spans="1:15" hidden="1" x14ac:dyDescent="0.25">
      <c r="A100" s="10">
        <v>46164</v>
      </c>
      <c r="B100" s="6" t="s">
        <v>24</v>
      </c>
      <c r="C100" s="3" t="s">
        <v>16</v>
      </c>
      <c r="D100" s="3">
        <v>0</v>
      </c>
      <c r="E100" s="3">
        <v>0</v>
      </c>
      <c r="F100" s="3">
        <v>0</v>
      </c>
      <c r="G100" s="3">
        <v>0</v>
      </c>
      <c r="H100" s="3">
        <v>0</v>
      </c>
      <c r="I100" s="3">
        <v>0</v>
      </c>
      <c r="J100" s="3">
        <v>0</v>
      </c>
      <c r="K100" s="3">
        <v>0</v>
      </c>
      <c r="L100" s="3" t="str">
        <f t="shared" si="9"/>
        <v>OPORTUNO</v>
      </c>
      <c r="M100" s="3">
        <v>0</v>
      </c>
      <c r="N100" s="3">
        <v>100</v>
      </c>
      <c r="O100" s="3">
        <v>33.333333333333329</v>
      </c>
    </row>
    <row r="101" spans="1:15" hidden="1" x14ac:dyDescent="0.25">
      <c r="A101" s="11">
        <v>46140</v>
      </c>
      <c r="B101" t="s">
        <v>15</v>
      </c>
      <c r="C101" t="s">
        <v>16</v>
      </c>
      <c r="D101">
        <v>27</v>
      </c>
      <c r="E101">
        <v>27</v>
      </c>
      <c r="F101">
        <v>20.5</v>
      </c>
      <c r="G101">
        <v>0</v>
      </c>
      <c r="H101">
        <v>0</v>
      </c>
      <c r="I101" s="3">
        <f t="shared" ref="I101:I110" si="12">E101+G101+H101</f>
        <v>27</v>
      </c>
      <c r="J101" s="3">
        <f>ROUND(MIN(IF(C101="Técnico III",35,IF(C101="Técnico II",28,IF(C101="Técnico I",23,IF(C101="JR",20,IF(C101="Estágio",10,0))))),IF(C101="Técnico III",SUMIFS($D:$D,$A:$A,$A101,$B:$B,"&lt;&gt;Patrícia Karla de Sousa Araújo",$B:$B,"&lt;&gt;Lorena Dias de Araujo",$B:$B,"&lt;&gt;Lucas Luiz Romero")*(35/1083),IF(C101="Técnico II",SUMIFS($D:$D,$A:$A,$A101,$B:$B,"&lt;&gt;Patrícia Karla de Sousa Araújo",$B:$B,"&lt;&gt;Lorena Dias de Araujo",$B:$B,"&lt;&gt;Lucas Luiz Romero")*(28/1083),IF(C101="Técnico I",SUMIFS($D:$D,$A:$A,$A101,$B:$B,"&lt;&gt;Patrícia Karla de Sousa Araújo",$B:$B,"&lt;&gt;Lorena Dias de Araujo",$B:$B,"&lt;&gt;Lucas Luiz Romero")*(23/1083),IF(C101="JR",SUMIFS($D:$D,$A:$A,$A101,$B:$B,"&lt;&gt;Patrícia Karla de Sousa Araújo",$B:$B,"&lt;&gt;Lorena Dias de Araujo",$B:$B,"&lt;&gt;Lucas Luiz Romero")*(20/1083),IF(C101="Estágio",SUMIFS($D:$D,$A:$A,$A101,$B:$B,"&lt;&gt;Patrícia Karla de Sousa Araújo",$B:$B,"&lt;&gt;Lorena Dias de Araujo",$B:$B,"&lt;&gt;Lucas Luiz Romero")*(10/1083),0)))))),0)</f>
        <v>10</v>
      </c>
      <c r="K101" s="3">
        <f t="shared" ref="K101:K110" si="13">I101-J101</f>
        <v>17</v>
      </c>
      <c r="L101" s="3" t="str">
        <f t="shared" si="9"/>
        <v>MUITO BOM</v>
      </c>
      <c r="M101">
        <v>26</v>
      </c>
      <c r="N101">
        <v>96.74</v>
      </c>
      <c r="O101">
        <v>28.67647058823529</v>
      </c>
    </row>
    <row r="102" spans="1:15" hidden="1" x14ac:dyDescent="0.25">
      <c r="A102" s="11">
        <v>46140</v>
      </c>
      <c r="B102" t="s">
        <v>17</v>
      </c>
      <c r="C102" t="s">
        <v>16</v>
      </c>
      <c r="D102">
        <v>10</v>
      </c>
      <c r="E102">
        <v>9</v>
      </c>
      <c r="F102">
        <v>13.36</v>
      </c>
      <c r="G102">
        <v>0</v>
      </c>
      <c r="H102">
        <v>0</v>
      </c>
      <c r="I102" s="3">
        <f t="shared" si="12"/>
        <v>9</v>
      </c>
      <c r="J102" s="3">
        <f>ROUND(MIN(IF(C102="Técnico III",35,IF(C102="Técnico II",28,IF(C102="Técnico I",23,IF(C102="JR",20,IF(C102="Estágio",10,0))))),IF(C102="Técnico III",SUMIFS($D:$D,$A:$A,$A102,$B:$B,"&lt;&gt;Patrícia Karla de Sousa Araújo",$B:$B,"&lt;&gt;Lorena Dias de Araujo",$B:$B,"&lt;&gt;Lucas Luiz Romero")*(35/1083),IF(C102="Técnico II",SUMIFS($D:$D,$A:$A,$A102,$B:$B,"&lt;&gt;Patrícia Karla de Sousa Araújo",$B:$B,"&lt;&gt;Lorena Dias de Araujo",$B:$B,"&lt;&gt;Lucas Luiz Romero")*(28/1083),IF(C102="Técnico I",SUMIFS($D:$D,$A:$A,$A102,$B:$B,"&lt;&gt;Patrícia Karla de Sousa Araújo",$B:$B,"&lt;&gt;Lorena Dias de Araujo",$B:$B,"&lt;&gt;Lucas Luiz Romero")*(23/1083),IF(C102="JR",SUMIFS($D:$D,$A:$A,$A102,$B:$B,"&lt;&gt;Patrícia Karla de Sousa Araújo",$B:$B,"&lt;&gt;Lorena Dias de Araujo",$B:$B,"&lt;&gt;Lucas Luiz Romero")*(20/1083),IF(C102="Estágio",SUMIFS($D:$D,$A:$A,$A102,$B:$B,"&lt;&gt;Patrícia Karla de Sousa Araújo",$B:$B,"&lt;&gt;Lorena Dias de Araujo",$B:$B,"&lt;&gt;Lucas Luiz Romero")*(10/1083),0)))))),0)</f>
        <v>10</v>
      </c>
      <c r="K102" s="3">
        <f t="shared" si="13"/>
        <v>-1</v>
      </c>
      <c r="L102" s="3" t="str">
        <f t="shared" si="9"/>
        <v>ATENÇÃO</v>
      </c>
      <c r="M102">
        <v>5</v>
      </c>
      <c r="N102">
        <v>100</v>
      </c>
      <c r="O102">
        <v>23.134328358208951</v>
      </c>
    </row>
    <row r="103" spans="1:15" hidden="1" x14ac:dyDescent="0.25">
      <c r="A103" s="11">
        <v>46140</v>
      </c>
      <c r="B103" t="s">
        <v>18</v>
      </c>
      <c r="C103" t="s">
        <v>16</v>
      </c>
      <c r="D103">
        <v>8</v>
      </c>
      <c r="E103">
        <v>6</v>
      </c>
      <c r="F103">
        <v>39.18</v>
      </c>
      <c r="G103">
        <v>0</v>
      </c>
      <c r="H103">
        <v>0</v>
      </c>
      <c r="I103" s="3">
        <f t="shared" si="12"/>
        <v>6</v>
      </c>
      <c r="J103" s="3">
        <f>ROUND(MIN(IF(C103="Técnico III",35,IF(C103="Técnico II",28,IF(C103="Técnico I",23,IF(C103="JR",20,IF(C103="Estágio",10,0))))),IF(C103="Técnico III",SUMIFS($D:$D,$A:$A,$A103,$B:$B,"&lt;&gt;Patrícia Karla de Sousa Araújo",$B:$B,"&lt;&gt;Lorena Dias de Araujo",$B:$B,"&lt;&gt;Lucas Luiz Romero")*(35/1083),IF(C103="Técnico II",SUMIFS($D:$D,$A:$A,$A103,$B:$B,"&lt;&gt;Patrícia Karla de Sousa Araújo",$B:$B,"&lt;&gt;Lorena Dias de Araujo",$B:$B,"&lt;&gt;Lucas Luiz Romero")*(28/1083),IF(C103="Técnico I",SUMIFS($D:$D,$A:$A,$A103,$B:$B,"&lt;&gt;Patrícia Karla de Sousa Araújo",$B:$B,"&lt;&gt;Lorena Dias de Araujo",$B:$B,"&lt;&gt;Lucas Luiz Romero")*(23/1083),IF(C103="JR",SUMIFS($D:$D,$A:$A,$A103,$B:$B,"&lt;&gt;Patrícia Karla de Sousa Araújo",$B:$B,"&lt;&gt;Lorena Dias de Araujo",$B:$B,"&lt;&gt;Lucas Luiz Romero")*(20/1083),IF(C103="Estágio",SUMIFS($D:$D,$A:$A,$A103,$B:$B,"&lt;&gt;Patrícia Karla de Sousa Araújo",$B:$B,"&lt;&gt;Lorena Dias de Araujo",$B:$B,"&lt;&gt;Lucas Luiz Romero")*(10/1083),0)))))),0)</f>
        <v>10</v>
      </c>
      <c r="K103" s="3">
        <f t="shared" si="13"/>
        <v>-4</v>
      </c>
      <c r="L103" s="3" t="str">
        <f t="shared" si="9"/>
        <v>ATENÇÃO</v>
      </c>
      <c r="M103">
        <v>4</v>
      </c>
      <c r="N103">
        <v>100</v>
      </c>
      <c r="O103">
        <v>27.368421052631579</v>
      </c>
    </row>
    <row r="104" spans="1:15" hidden="1" x14ac:dyDescent="0.25">
      <c r="A104" s="11">
        <v>46140</v>
      </c>
      <c r="B104" t="s">
        <v>19</v>
      </c>
      <c r="C104" t="s">
        <v>16</v>
      </c>
      <c r="D104">
        <v>78</v>
      </c>
      <c r="E104">
        <v>47</v>
      </c>
      <c r="F104">
        <v>5.47</v>
      </c>
      <c r="G104">
        <v>0</v>
      </c>
      <c r="H104">
        <v>0</v>
      </c>
      <c r="I104" s="3">
        <f t="shared" si="12"/>
        <v>47</v>
      </c>
      <c r="J104" s="3">
        <f>ROUND(MIN(IF(C104="Técnico III",35,IF(C104="Técnico II",28,IF(C104="Técnico I",23,IF(C104="JR",20,IF(C104="Estágio",10,0))))),IF(C104="Técnico III",SUMIFS($D:$D,$A:$A,$A104,$B:$B,"&lt;&gt;Patrícia Karla de Sousa Araújo",$B:$B,"&lt;&gt;Lorena Dias de Araujo",$B:$B,"&lt;&gt;Lucas Luiz Romero")*(35/1083),IF(C104="Técnico II",SUMIFS($D:$D,$A:$A,$A104,$B:$B,"&lt;&gt;Patrícia Karla de Sousa Araújo",$B:$B,"&lt;&gt;Lorena Dias de Araujo",$B:$B,"&lt;&gt;Lucas Luiz Romero")*(28/1083),IF(C104="Técnico I",SUMIFS($D:$D,$A:$A,$A104,$B:$B,"&lt;&gt;Patrícia Karla de Sousa Araújo",$B:$B,"&lt;&gt;Lorena Dias de Araujo",$B:$B,"&lt;&gt;Lucas Luiz Romero")*(23/1083),IF(C104="JR",SUMIFS($D:$D,$A:$A,$A104,$B:$B,"&lt;&gt;Patrícia Karla de Sousa Araújo",$B:$B,"&lt;&gt;Lorena Dias de Araujo",$B:$B,"&lt;&gt;Lucas Luiz Romero")*(20/1083),IF(C104="Estágio",SUMIFS($D:$D,$A:$A,$A104,$B:$B,"&lt;&gt;Patrícia Karla de Sousa Araújo",$B:$B,"&lt;&gt;Lorena Dias de Araujo",$B:$B,"&lt;&gt;Lucas Luiz Romero")*(10/1083),0)))))),0)</f>
        <v>10</v>
      </c>
      <c r="K104" s="3">
        <f t="shared" si="13"/>
        <v>37</v>
      </c>
      <c r="L104" s="3" t="str">
        <f t="shared" si="9"/>
        <v>MUITO BOM</v>
      </c>
      <c r="M104">
        <v>3</v>
      </c>
      <c r="N104">
        <v>100</v>
      </c>
      <c r="O104">
        <v>25</v>
      </c>
    </row>
    <row r="105" spans="1:15" hidden="1" x14ac:dyDescent="0.25">
      <c r="A105" s="11">
        <v>46140</v>
      </c>
      <c r="B105" t="s">
        <v>20</v>
      </c>
      <c r="C105" t="s">
        <v>16</v>
      </c>
      <c r="D105">
        <v>13</v>
      </c>
      <c r="E105">
        <v>13</v>
      </c>
      <c r="F105">
        <v>25.28</v>
      </c>
      <c r="G105">
        <v>0</v>
      </c>
      <c r="H105">
        <v>0</v>
      </c>
      <c r="I105" s="3">
        <f t="shared" si="12"/>
        <v>13</v>
      </c>
      <c r="J105" s="3">
        <f>ROUND(MIN(IF(C105="Técnico III",35,IF(C105="Técnico II",28,IF(C105="Técnico I",23,IF(C105="JR",20,IF(C105="Estágio",10,0))))),IF(C105="Técnico III",SUMIFS($D:$D,$A:$A,$A105,$B:$B,"&lt;&gt;Patrícia Karla de Sousa Araújo",$B:$B,"&lt;&gt;Lorena Dias de Araujo",$B:$B,"&lt;&gt;Lucas Luiz Romero")*(35/1083),IF(C105="Técnico II",SUMIFS($D:$D,$A:$A,$A105,$B:$B,"&lt;&gt;Patrícia Karla de Sousa Araújo",$B:$B,"&lt;&gt;Lorena Dias de Araujo",$B:$B,"&lt;&gt;Lucas Luiz Romero")*(28/1083),IF(C105="Técnico I",SUMIFS($D:$D,$A:$A,$A105,$B:$B,"&lt;&gt;Patrícia Karla de Sousa Araújo",$B:$B,"&lt;&gt;Lorena Dias de Araujo",$B:$B,"&lt;&gt;Lucas Luiz Romero")*(23/1083),IF(C105="JR",SUMIFS($D:$D,$A:$A,$A105,$B:$B,"&lt;&gt;Patrícia Karla de Sousa Araújo",$B:$B,"&lt;&gt;Lorena Dias de Araujo",$B:$B,"&lt;&gt;Lucas Luiz Romero")*(20/1083),IF(C105="Estágio",SUMIFS($D:$D,$A:$A,$A105,$B:$B,"&lt;&gt;Patrícia Karla de Sousa Araújo",$B:$B,"&lt;&gt;Lorena Dias de Araujo",$B:$B,"&lt;&gt;Lucas Luiz Romero")*(10/1083),0)))))),0)</f>
        <v>10</v>
      </c>
      <c r="K105" s="3">
        <f t="shared" si="13"/>
        <v>3</v>
      </c>
      <c r="L105" s="3" t="str">
        <f t="shared" si="9"/>
        <v>OPORTUNO</v>
      </c>
      <c r="M105">
        <v>10</v>
      </c>
      <c r="N105">
        <v>100</v>
      </c>
      <c r="O105">
        <v>23.77622377622378</v>
      </c>
    </row>
    <row r="106" spans="1:15" hidden="1" x14ac:dyDescent="0.25">
      <c r="A106" s="11">
        <v>46140</v>
      </c>
      <c r="B106" t="s">
        <v>21</v>
      </c>
      <c r="C106" t="s">
        <v>16</v>
      </c>
      <c r="D106">
        <v>13</v>
      </c>
      <c r="E106">
        <v>13</v>
      </c>
      <c r="F106">
        <v>33.200000000000003</v>
      </c>
      <c r="G106">
        <v>0</v>
      </c>
      <c r="H106">
        <v>0</v>
      </c>
      <c r="I106" s="3">
        <f t="shared" si="12"/>
        <v>13</v>
      </c>
      <c r="J106" s="3">
        <f>ROUND(MIN(IF(C106="Técnico III",35,IF(C106="Técnico II",28,IF(C106="Técnico I",23,IF(C106="JR",20,IF(C106="Estágio",10,0))))),IF(C106="Técnico III",SUMIFS($D:$D,$A:$A,$A106,$B:$B,"&lt;&gt;Patrícia Karla de Sousa Araújo",$B:$B,"&lt;&gt;Lorena Dias de Araujo",$B:$B,"&lt;&gt;Lucas Luiz Romero")*(35/1083),IF(C106="Técnico II",SUMIFS($D:$D,$A:$A,$A106,$B:$B,"&lt;&gt;Patrícia Karla de Sousa Araújo",$B:$B,"&lt;&gt;Lorena Dias de Araujo",$B:$B,"&lt;&gt;Lucas Luiz Romero")*(28/1083),IF(C106="Técnico I",SUMIFS($D:$D,$A:$A,$A106,$B:$B,"&lt;&gt;Patrícia Karla de Sousa Araújo",$B:$B,"&lt;&gt;Lorena Dias de Araujo",$B:$B,"&lt;&gt;Lucas Luiz Romero")*(23/1083),IF(C106="JR",SUMIFS($D:$D,$A:$A,$A106,$B:$B,"&lt;&gt;Patrícia Karla de Sousa Araújo",$B:$B,"&lt;&gt;Lorena Dias de Araujo",$B:$B,"&lt;&gt;Lucas Luiz Romero")*(20/1083),IF(C106="Estágio",SUMIFS($D:$D,$A:$A,$A106,$B:$B,"&lt;&gt;Patrícia Karla de Sousa Araújo",$B:$B,"&lt;&gt;Lorena Dias de Araujo",$B:$B,"&lt;&gt;Lucas Luiz Romero")*(10/1083),0)))))),0)</f>
        <v>10</v>
      </c>
      <c r="K106" s="3">
        <f t="shared" si="13"/>
        <v>3</v>
      </c>
      <c r="L106" s="3" t="str">
        <f t="shared" si="9"/>
        <v>OPORTUNO</v>
      </c>
      <c r="M106">
        <v>9</v>
      </c>
      <c r="N106">
        <v>94.12</v>
      </c>
      <c r="O106">
        <v>32.799999999999997</v>
      </c>
    </row>
    <row r="107" spans="1:15" hidden="1" x14ac:dyDescent="0.25">
      <c r="A107" s="11">
        <v>46141</v>
      </c>
      <c r="B107" t="s">
        <v>15</v>
      </c>
      <c r="C107" t="s">
        <v>16</v>
      </c>
      <c r="D107">
        <v>34</v>
      </c>
      <c r="E107">
        <v>31</v>
      </c>
      <c r="F107">
        <v>15.45</v>
      </c>
      <c r="G107">
        <v>0</v>
      </c>
      <c r="H107">
        <v>0</v>
      </c>
      <c r="I107" s="3">
        <f t="shared" si="12"/>
        <v>31</v>
      </c>
      <c r="J107" s="3">
        <f>ROUND(MIN(IF(C107="Técnico III",35,IF(C107="Técnico II",28,IF(C107="Técnico I",23,IF(C107="JR",20,IF(C107="Estágio",10,0))))),IF(C107="Técnico III",SUMIFS($D:$D,$A:$A,$A107,$B:$B,"&lt;&gt;Patrícia Karla de Sousa Araújo",$B:$B,"&lt;&gt;Lorena Dias de Araujo",$B:$B,"&lt;&gt;Lucas Luiz Romero")*(35/1083),IF(C107="Técnico II",SUMIFS($D:$D,$A:$A,$A107,$B:$B,"&lt;&gt;Patrícia Karla de Sousa Araújo",$B:$B,"&lt;&gt;Lorena Dias de Araujo",$B:$B,"&lt;&gt;Lucas Luiz Romero")*(28/1083),IF(C107="Técnico I",SUMIFS($D:$D,$A:$A,$A107,$B:$B,"&lt;&gt;Patrícia Karla de Sousa Araújo",$B:$B,"&lt;&gt;Lorena Dias de Araujo",$B:$B,"&lt;&gt;Lucas Luiz Romero")*(23/1083),IF(C107="JR",SUMIFS($D:$D,$A:$A,$A107,$B:$B,"&lt;&gt;Patrícia Karla de Sousa Araújo",$B:$B,"&lt;&gt;Lorena Dias de Araujo",$B:$B,"&lt;&gt;Lucas Luiz Romero")*(20/1083),IF(C107="Estágio",SUMIFS($D:$D,$A:$A,$A107,$B:$B,"&lt;&gt;Patrícia Karla de Sousa Araújo",$B:$B,"&lt;&gt;Lorena Dias de Araujo",$B:$B,"&lt;&gt;Lucas Luiz Romero")*(10/1083),0)))))),0)</f>
        <v>10</v>
      </c>
      <c r="K107" s="3">
        <f t="shared" si="13"/>
        <v>21</v>
      </c>
      <c r="L107" s="3" t="str">
        <f t="shared" si="9"/>
        <v>MUITO BOM</v>
      </c>
      <c r="M107">
        <v>27</v>
      </c>
      <c r="N107">
        <v>96.74</v>
      </c>
      <c r="O107">
        <v>28.67647058823529</v>
      </c>
    </row>
    <row r="108" spans="1:15" hidden="1" x14ac:dyDescent="0.25">
      <c r="A108" s="11">
        <v>46141</v>
      </c>
      <c r="B108" t="s">
        <v>17</v>
      </c>
      <c r="C108" t="s">
        <v>16</v>
      </c>
      <c r="D108">
        <v>22</v>
      </c>
      <c r="E108">
        <v>17</v>
      </c>
      <c r="F108">
        <v>10.53</v>
      </c>
      <c r="G108">
        <v>0</v>
      </c>
      <c r="H108">
        <v>0</v>
      </c>
      <c r="I108" s="3">
        <f t="shared" si="12"/>
        <v>17</v>
      </c>
      <c r="J108" s="3">
        <f>ROUND(MIN(IF(C108="Técnico III",35,IF(C108="Técnico II",28,IF(C108="Técnico I",23,IF(C108="JR",20,IF(C108="Estágio",10,0))))),IF(C108="Técnico III",SUMIFS($D:$D,$A:$A,$A108,$B:$B,"&lt;&gt;Patrícia Karla de Sousa Araújo",$B:$B,"&lt;&gt;Lorena Dias de Araujo",$B:$B,"&lt;&gt;Lucas Luiz Romero")*(35/1083),IF(C108="Técnico II",SUMIFS($D:$D,$A:$A,$A108,$B:$B,"&lt;&gt;Patrícia Karla de Sousa Araújo",$B:$B,"&lt;&gt;Lorena Dias de Araujo",$B:$B,"&lt;&gt;Lucas Luiz Romero")*(28/1083),IF(C108="Técnico I",SUMIFS($D:$D,$A:$A,$A108,$B:$B,"&lt;&gt;Patrícia Karla de Sousa Araújo",$B:$B,"&lt;&gt;Lorena Dias de Araujo",$B:$B,"&lt;&gt;Lucas Luiz Romero")*(23/1083),IF(C108="JR",SUMIFS($D:$D,$A:$A,$A108,$B:$B,"&lt;&gt;Patrícia Karla de Sousa Araújo",$B:$B,"&lt;&gt;Lorena Dias de Araujo",$B:$B,"&lt;&gt;Lucas Luiz Romero")*(20/1083),IF(C108="Estágio",SUMIFS($D:$D,$A:$A,$A108,$B:$B,"&lt;&gt;Patrícia Karla de Sousa Araújo",$B:$B,"&lt;&gt;Lorena Dias de Araujo",$B:$B,"&lt;&gt;Lucas Luiz Romero")*(10/1083),0)))))),0)</f>
        <v>10</v>
      </c>
      <c r="K108" s="3">
        <f t="shared" si="13"/>
        <v>7</v>
      </c>
      <c r="L108" s="3" t="str">
        <f t="shared" si="9"/>
        <v>MUITO BOM</v>
      </c>
      <c r="M108">
        <v>12</v>
      </c>
      <c r="N108">
        <v>100</v>
      </c>
      <c r="O108">
        <v>23.134328358208951</v>
      </c>
    </row>
    <row r="109" spans="1:15" hidden="1" x14ac:dyDescent="0.25">
      <c r="A109" s="11">
        <v>46141</v>
      </c>
      <c r="B109" t="s">
        <v>18</v>
      </c>
      <c r="C109" t="s">
        <v>16</v>
      </c>
      <c r="D109">
        <v>8</v>
      </c>
      <c r="E109">
        <v>8</v>
      </c>
      <c r="F109">
        <v>43.36</v>
      </c>
      <c r="G109">
        <v>0</v>
      </c>
      <c r="H109">
        <v>0</v>
      </c>
      <c r="I109" s="3">
        <f t="shared" si="12"/>
        <v>8</v>
      </c>
      <c r="J109" s="3">
        <f>ROUND(MIN(IF(C109="Técnico III",35,IF(C109="Técnico II",28,IF(C109="Técnico I",23,IF(C109="JR",20,IF(C109="Estágio",10,0))))),IF(C109="Técnico III",SUMIFS($D:$D,$A:$A,$A109,$B:$B,"&lt;&gt;Patrícia Karla de Sousa Araújo",$B:$B,"&lt;&gt;Lorena Dias de Araujo",$B:$B,"&lt;&gt;Lucas Luiz Romero")*(35/1083),IF(C109="Técnico II",SUMIFS($D:$D,$A:$A,$A109,$B:$B,"&lt;&gt;Patrícia Karla de Sousa Araújo",$B:$B,"&lt;&gt;Lorena Dias de Araujo",$B:$B,"&lt;&gt;Lucas Luiz Romero")*(28/1083),IF(C109="Técnico I",SUMIFS($D:$D,$A:$A,$A109,$B:$B,"&lt;&gt;Patrícia Karla de Sousa Araújo",$B:$B,"&lt;&gt;Lorena Dias de Araujo",$B:$B,"&lt;&gt;Lucas Luiz Romero")*(23/1083),IF(C109="JR",SUMIFS($D:$D,$A:$A,$A109,$B:$B,"&lt;&gt;Patrícia Karla de Sousa Araújo",$B:$B,"&lt;&gt;Lorena Dias de Araujo",$B:$B,"&lt;&gt;Lucas Luiz Romero")*(20/1083),IF(C109="Estágio",SUMIFS($D:$D,$A:$A,$A109,$B:$B,"&lt;&gt;Patrícia Karla de Sousa Araújo",$B:$B,"&lt;&gt;Lorena Dias de Araujo",$B:$B,"&lt;&gt;Lucas Luiz Romero")*(10/1083),0)))))),0)</f>
        <v>10</v>
      </c>
      <c r="K109" s="3">
        <f t="shared" si="13"/>
        <v>-2</v>
      </c>
      <c r="L109" s="3" t="str">
        <f t="shared" si="9"/>
        <v>ATENÇÃO</v>
      </c>
      <c r="M109">
        <v>7</v>
      </c>
      <c r="N109">
        <v>100</v>
      </c>
      <c r="O109">
        <v>27.368421052631579</v>
      </c>
    </row>
    <row r="110" spans="1:15" hidden="1" x14ac:dyDescent="0.25">
      <c r="A110" s="11">
        <v>46028</v>
      </c>
      <c r="B110" t="s">
        <v>22</v>
      </c>
      <c r="C110" t="s">
        <v>23</v>
      </c>
      <c r="D110">
        <v>34</v>
      </c>
      <c r="E110">
        <v>33</v>
      </c>
      <c r="F110">
        <v>18.57</v>
      </c>
      <c r="G110">
        <v>0</v>
      </c>
      <c r="H110">
        <v>0</v>
      </c>
      <c r="I110" s="3">
        <f t="shared" si="12"/>
        <v>33</v>
      </c>
      <c r="J110" s="3">
        <f>ROUND(MIN(IF(C110="Técnico III",35,IF(C110="Técnico II",28,IF(C110="Técnico I",23,IF(C110="JR",20,IF(C110="Estágio",10,0))))),IF(C110="Técnico III",SUMIFS($D:$D,$A:$A,$A110,$B:$B,"&lt;&gt;Patrícia Karla de Sousa Araújo",$B:$B,"&lt;&gt;Lorena Dias de Araujo",$B:$B,"&lt;&gt;Lucas Luiz Romero")*(35/1083),IF(C110="Técnico II",SUMIFS($D:$D,$A:$A,$A110,$B:$B,"&lt;&gt;Patrícia Karla de Sousa Araújo",$B:$B,"&lt;&gt;Lorena Dias de Araujo",$B:$B,"&lt;&gt;Lucas Luiz Romero")*(28/1083),IF(C110="Técnico I",SUMIFS($D:$D,$A:$A,$A110,$B:$B,"&lt;&gt;Patrícia Karla de Sousa Araújo",$B:$B,"&lt;&gt;Lorena Dias de Araujo",$B:$B,"&lt;&gt;Lucas Luiz Romero")*(23/1083),IF(C110="JR",SUMIFS($D:$D,$A:$A,$A110,$B:$B,"&lt;&gt;Patrícia Karla de Sousa Araújo",$B:$B,"&lt;&gt;Lorena Dias de Araujo",$B:$B,"&lt;&gt;Lucas Luiz Romero")*(20/1083),IF(C110="Estágio",SUMIFS($D:$D,$A:$A,$A110,$B:$B,"&lt;&gt;Patrícia Karla de Sousa Araújo",$B:$B,"&lt;&gt;Lorena Dias de Araujo",$B:$B,"&lt;&gt;Lucas Luiz Romero")*(10/1083),0)))))),0)</f>
        <v>17</v>
      </c>
      <c r="K110" s="3">
        <f t="shared" si="13"/>
        <v>16</v>
      </c>
      <c r="L110" s="3" t="str">
        <f>IF(K110&lt;-5,"CRÍTICO",IF(K110&lt;0,"ATENÇÃO",IF(K110&lt;=5,"BOM","EXCELENTE")))</f>
        <v>EXCELENTE</v>
      </c>
      <c r="M110">
        <v>30</v>
      </c>
      <c r="N110">
        <v>98.91</v>
      </c>
      <c r="O110">
        <v>31.367292225201069</v>
      </c>
    </row>
    <row r="111" spans="1:15" hidden="1" x14ac:dyDescent="0.25">
      <c r="A111" s="11">
        <v>46167</v>
      </c>
      <c r="B111" t="s">
        <v>24</v>
      </c>
      <c r="C111" t="s">
        <v>16</v>
      </c>
      <c r="D111">
        <v>0</v>
      </c>
      <c r="E111">
        <v>0</v>
      </c>
      <c r="F111">
        <v>0</v>
      </c>
      <c r="G111">
        <v>0</v>
      </c>
      <c r="H111">
        <v>0</v>
      </c>
      <c r="I111" s="3">
        <v>0</v>
      </c>
      <c r="J111" s="3">
        <v>0</v>
      </c>
      <c r="K111" s="3">
        <v>0</v>
      </c>
      <c r="L111" s="3" t="str">
        <f t="shared" ref="L111:L120" si="14">IF(K111&lt;-5,"CRÍTICO",IF(K111&lt;0,"ATENÇÃO",IF(K111&lt;=5,"OPORTUNO","MUITO BOM")))</f>
        <v>OPORTUNO</v>
      </c>
      <c r="M111">
        <v>0</v>
      </c>
      <c r="N111">
        <v>100</v>
      </c>
      <c r="O111">
        <v>33.333333333333329</v>
      </c>
    </row>
    <row r="112" spans="1:15" hidden="1" x14ac:dyDescent="0.25">
      <c r="A112" s="11">
        <v>46141</v>
      </c>
      <c r="B112" t="s">
        <v>19</v>
      </c>
      <c r="C112" t="s">
        <v>16</v>
      </c>
      <c r="D112">
        <v>69</v>
      </c>
      <c r="E112">
        <v>34</v>
      </c>
      <c r="F112">
        <v>3.49</v>
      </c>
      <c r="G112">
        <v>0</v>
      </c>
      <c r="H112">
        <v>0</v>
      </c>
      <c r="I112" s="3">
        <f t="shared" ref="I112:I120" si="15">E112+G112+H112</f>
        <v>34</v>
      </c>
      <c r="J112" s="3">
        <f>ROUND(MIN(IF(C112="Técnico III",35,IF(C112="Técnico II",28,IF(C112="Técnico I",23,IF(C112="JR",20,IF(C112="Estágio",10,0))))),IF(C112="Técnico III",SUMIFS($D:$D,$A:$A,$A112,$B:$B,"&lt;&gt;Patrícia Karla de Sousa Araújo",$B:$B,"&lt;&gt;Lorena Dias de Araujo",$B:$B,"&lt;&gt;Lucas Luiz Romero")*(35/1083),IF(C112="Técnico II",SUMIFS($D:$D,$A:$A,$A112,$B:$B,"&lt;&gt;Patrícia Karla de Sousa Araújo",$B:$B,"&lt;&gt;Lorena Dias de Araujo",$B:$B,"&lt;&gt;Lucas Luiz Romero")*(28/1083),IF(C112="Técnico I",SUMIFS($D:$D,$A:$A,$A112,$B:$B,"&lt;&gt;Patrícia Karla de Sousa Araújo",$B:$B,"&lt;&gt;Lorena Dias de Araujo",$B:$B,"&lt;&gt;Lucas Luiz Romero")*(23/1083),IF(C112="JR",SUMIFS($D:$D,$A:$A,$A112,$B:$B,"&lt;&gt;Patrícia Karla de Sousa Araújo",$B:$B,"&lt;&gt;Lorena Dias de Araujo",$B:$B,"&lt;&gt;Lucas Luiz Romero")*(20/1083),IF(C112="Estágio",SUMIFS($D:$D,$A:$A,$A112,$B:$B,"&lt;&gt;Patrícia Karla de Sousa Araújo",$B:$B,"&lt;&gt;Lorena Dias de Araujo",$B:$B,"&lt;&gt;Lucas Luiz Romero")*(10/1083),0)))))),0)</f>
        <v>10</v>
      </c>
      <c r="K112" s="3">
        <f t="shared" ref="K112:K120" si="16">I112-J112</f>
        <v>24</v>
      </c>
      <c r="L112" s="3" t="str">
        <f t="shared" si="14"/>
        <v>MUITO BOM</v>
      </c>
      <c r="M112">
        <v>0</v>
      </c>
      <c r="N112">
        <v>100</v>
      </c>
      <c r="O112">
        <v>25</v>
      </c>
    </row>
    <row r="113" spans="1:15" hidden="1" x14ac:dyDescent="0.25">
      <c r="A113" s="11">
        <v>46141</v>
      </c>
      <c r="B113" t="s">
        <v>20</v>
      </c>
      <c r="C113" t="s">
        <v>16</v>
      </c>
      <c r="D113">
        <v>19</v>
      </c>
      <c r="E113">
        <v>15</v>
      </c>
      <c r="F113">
        <v>21.55</v>
      </c>
      <c r="G113">
        <v>0</v>
      </c>
      <c r="H113">
        <v>0</v>
      </c>
      <c r="I113" s="3">
        <f t="shared" si="15"/>
        <v>15</v>
      </c>
      <c r="J113" s="3">
        <f>ROUND(MIN(IF(C113="Técnico III",35,IF(C113="Técnico II",28,IF(C113="Técnico I",23,IF(C113="JR",20,IF(C113="Estágio",10,0))))),IF(C113="Técnico III",SUMIFS($D:$D,$A:$A,$A113,$B:$B,"&lt;&gt;Patrícia Karla de Sousa Araújo",$B:$B,"&lt;&gt;Lorena Dias de Araujo",$B:$B,"&lt;&gt;Lucas Luiz Romero")*(35/1083),IF(C113="Técnico II",SUMIFS($D:$D,$A:$A,$A113,$B:$B,"&lt;&gt;Patrícia Karla de Sousa Araújo",$B:$B,"&lt;&gt;Lorena Dias de Araujo",$B:$B,"&lt;&gt;Lucas Luiz Romero")*(28/1083),IF(C113="Técnico I",SUMIFS($D:$D,$A:$A,$A113,$B:$B,"&lt;&gt;Patrícia Karla de Sousa Araújo",$B:$B,"&lt;&gt;Lorena Dias de Araujo",$B:$B,"&lt;&gt;Lucas Luiz Romero")*(23/1083),IF(C113="JR",SUMIFS($D:$D,$A:$A,$A113,$B:$B,"&lt;&gt;Patrícia Karla de Sousa Araújo",$B:$B,"&lt;&gt;Lorena Dias de Araujo",$B:$B,"&lt;&gt;Lucas Luiz Romero")*(20/1083),IF(C113="Estágio",SUMIFS($D:$D,$A:$A,$A113,$B:$B,"&lt;&gt;Patrícia Karla de Sousa Araújo",$B:$B,"&lt;&gt;Lorena Dias de Araujo",$B:$B,"&lt;&gt;Lucas Luiz Romero")*(10/1083),0)))))),0)</f>
        <v>10</v>
      </c>
      <c r="K113" s="3">
        <f t="shared" si="16"/>
        <v>5</v>
      </c>
      <c r="L113" s="3" t="str">
        <f t="shared" si="14"/>
        <v>OPORTUNO</v>
      </c>
      <c r="M113">
        <v>11</v>
      </c>
      <c r="N113">
        <v>100</v>
      </c>
      <c r="O113">
        <v>23.77622377622378</v>
      </c>
    </row>
    <row r="114" spans="1:15" hidden="1" x14ac:dyDescent="0.25">
      <c r="A114" s="11">
        <v>46141</v>
      </c>
      <c r="B114" t="s">
        <v>21</v>
      </c>
      <c r="C114" t="s">
        <v>16</v>
      </c>
      <c r="D114">
        <v>19</v>
      </c>
      <c r="E114">
        <v>17</v>
      </c>
      <c r="F114">
        <v>18.46</v>
      </c>
      <c r="G114">
        <v>0</v>
      </c>
      <c r="H114">
        <v>0</v>
      </c>
      <c r="I114" s="3">
        <f t="shared" si="15"/>
        <v>17</v>
      </c>
      <c r="J114" s="3">
        <f>ROUND(MIN(IF(C114="Técnico III",35,IF(C114="Técnico II",28,IF(C114="Técnico I",23,IF(C114="JR",20,IF(C114="Estágio",10,0))))),IF(C114="Técnico III",SUMIFS($D:$D,$A:$A,$A114,$B:$B,"&lt;&gt;Patrícia Karla de Sousa Araújo",$B:$B,"&lt;&gt;Lorena Dias de Araujo",$B:$B,"&lt;&gt;Lucas Luiz Romero")*(35/1083),IF(C114="Técnico II",SUMIFS($D:$D,$A:$A,$A114,$B:$B,"&lt;&gt;Patrícia Karla de Sousa Araújo",$B:$B,"&lt;&gt;Lorena Dias de Araujo",$B:$B,"&lt;&gt;Lucas Luiz Romero")*(28/1083),IF(C114="Técnico I",SUMIFS($D:$D,$A:$A,$A114,$B:$B,"&lt;&gt;Patrícia Karla de Sousa Araújo",$B:$B,"&lt;&gt;Lorena Dias de Araujo",$B:$B,"&lt;&gt;Lucas Luiz Romero")*(23/1083),IF(C114="JR",SUMIFS($D:$D,$A:$A,$A114,$B:$B,"&lt;&gt;Patrícia Karla de Sousa Araújo",$B:$B,"&lt;&gt;Lorena Dias de Araujo",$B:$B,"&lt;&gt;Lucas Luiz Romero")*(20/1083),IF(C114="Estágio",SUMIFS($D:$D,$A:$A,$A114,$B:$B,"&lt;&gt;Patrícia Karla de Sousa Araújo",$B:$B,"&lt;&gt;Lorena Dias de Araujo",$B:$B,"&lt;&gt;Lucas Luiz Romero")*(10/1083),0)))))),0)</f>
        <v>10</v>
      </c>
      <c r="K114" s="3">
        <f t="shared" si="16"/>
        <v>7</v>
      </c>
      <c r="L114" s="3" t="str">
        <f t="shared" si="14"/>
        <v>MUITO BOM</v>
      </c>
      <c r="M114">
        <v>11</v>
      </c>
      <c r="N114">
        <v>94.12</v>
      </c>
      <c r="O114">
        <v>32.799999999999997</v>
      </c>
    </row>
    <row r="115" spans="1:15" hidden="1" x14ac:dyDescent="0.25">
      <c r="A115" s="11">
        <v>46142</v>
      </c>
      <c r="B115" t="s">
        <v>15</v>
      </c>
      <c r="C115" t="s">
        <v>16</v>
      </c>
      <c r="D115">
        <v>34</v>
      </c>
      <c r="E115">
        <v>33</v>
      </c>
      <c r="F115">
        <v>14.16</v>
      </c>
      <c r="G115">
        <v>0</v>
      </c>
      <c r="H115">
        <v>0</v>
      </c>
      <c r="I115" s="3">
        <f t="shared" si="15"/>
        <v>33</v>
      </c>
      <c r="J115" s="3">
        <f>ROUND(MIN(IF(C115="Técnico III",35,IF(C115="Técnico II",28,IF(C115="Técnico I",23,IF(C115="JR",20,IF(C115="Estágio",10,0))))),IF(C115="Técnico III",SUMIFS($D:$D,$A:$A,$A115,$B:$B,"&lt;&gt;Patrícia Karla de Sousa Araújo",$B:$B,"&lt;&gt;Lorena Dias de Araujo",$B:$B,"&lt;&gt;Lucas Luiz Romero")*(35/1083),IF(C115="Técnico II",SUMIFS($D:$D,$A:$A,$A115,$B:$B,"&lt;&gt;Patrícia Karla de Sousa Araújo",$B:$B,"&lt;&gt;Lorena Dias de Araujo",$B:$B,"&lt;&gt;Lucas Luiz Romero")*(28/1083),IF(C115="Técnico I",SUMIFS($D:$D,$A:$A,$A115,$B:$B,"&lt;&gt;Patrícia Karla de Sousa Araújo",$B:$B,"&lt;&gt;Lorena Dias de Araujo",$B:$B,"&lt;&gt;Lucas Luiz Romero")*(23/1083),IF(C115="JR",SUMIFS($D:$D,$A:$A,$A115,$B:$B,"&lt;&gt;Patrícia Karla de Sousa Araújo",$B:$B,"&lt;&gt;Lorena Dias de Araujo",$B:$B,"&lt;&gt;Lucas Luiz Romero")*(20/1083),IF(C115="Estágio",SUMIFS($D:$D,$A:$A,$A115,$B:$B,"&lt;&gt;Patrícia Karla de Sousa Araújo",$B:$B,"&lt;&gt;Lorena Dias de Araujo",$B:$B,"&lt;&gt;Lucas Luiz Romero")*(10/1083),0)))))),0)</f>
        <v>9</v>
      </c>
      <c r="K115" s="3">
        <f t="shared" si="16"/>
        <v>24</v>
      </c>
      <c r="L115" s="3" t="str">
        <f t="shared" si="14"/>
        <v>MUITO BOM</v>
      </c>
      <c r="M115">
        <v>33</v>
      </c>
      <c r="N115">
        <v>96.74</v>
      </c>
      <c r="O115">
        <v>28.67647058823529</v>
      </c>
    </row>
    <row r="116" spans="1:15" hidden="1" x14ac:dyDescent="0.25">
      <c r="A116" s="11">
        <v>46142</v>
      </c>
      <c r="B116" t="s">
        <v>17</v>
      </c>
      <c r="C116" t="s">
        <v>16</v>
      </c>
      <c r="D116">
        <v>6</v>
      </c>
      <c r="E116">
        <v>6</v>
      </c>
      <c r="F116">
        <v>28.42</v>
      </c>
      <c r="G116">
        <v>0</v>
      </c>
      <c r="H116">
        <v>0</v>
      </c>
      <c r="I116" s="3">
        <f t="shared" si="15"/>
        <v>6</v>
      </c>
      <c r="J116" s="3">
        <f>ROUND(MIN(IF(C116="Técnico III",35,IF(C116="Técnico II",28,IF(C116="Técnico I",23,IF(C116="JR",20,IF(C116="Estágio",10,0))))),IF(C116="Técnico III",SUMIFS($D:$D,$A:$A,$A116,$B:$B,"&lt;&gt;Patrícia Karla de Sousa Araújo",$B:$B,"&lt;&gt;Lorena Dias de Araujo",$B:$B,"&lt;&gt;Lucas Luiz Romero")*(35/1083),IF(C116="Técnico II",SUMIFS($D:$D,$A:$A,$A116,$B:$B,"&lt;&gt;Patrícia Karla de Sousa Araújo",$B:$B,"&lt;&gt;Lorena Dias de Araujo",$B:$B,"&lt;&gt;Lucas Luiz Romero")*(28/1083),IF(C116="Técnico I",SUMIFS($D:$D,$A:$A,$A116,$B:$B,"&lt;&gt;Patrícia Karla de Sousa Araújo",$B:$B,"&lt;&gt;Lorena Dias de Araujo",$B:$B,"&lt;&gt;Lucas Luiz Romero")*(23/1083),IF(C116="JR",SUMIFS($D:$D,$A:$A,$A116,$B:$B,"&lt;&gt;Patrícia Karla de Sousa Araújo",$B:$B,"&lt;&gt;Lorena Dias de Araujo",$B:$B,"&lt;&gt;Lucas Luiz Romero")*(20/1083),IF(C116="Estágio",SUMIFS($D:$D,$A:$A,$A116,$B:$B,"&lt;&gt;Patrícia Karla de Sousa Araújo",$B:$B,"&lt;&gt;Lorena Dias de Araujo",$B:$B,"&lt;&gt;Lucas Luiz Romero")*(10/1083),0)))))),0)</f>
        <v>9</v>
      </c>
      <c r="K116" s="3">
        <f t="shared" si="16"/>
        <v>-3</v>
      </c>
      <c r="L116" s="3" t="str">
        <f t="shared" si="14"/>
        <v>ATENÇÃO</v>
      </c>
      <c r="M116">
        <v>5</v>
      </c>
      <c r="N116">
        <v>100</v>
      </c>
      <c r="O116">
        <v>23.134328358208951</v>
      </c>
    </row>
    <row r="117" spans="1:15" hidden="1" x14ac:dyDescent="0.25">
      <c r="A117" s="11">
        <v>46142</v>
      </c>
      <c r="B117" t="s">
        <v>18</v>
      </c>
      <c r="C117" t="s">
        <v>16</v>
      </c>
      <c r="D117">
        <v>32</v>
      </c>
      <c r="E117">
        <v>23</v>
      </c>
      <c r="F117">
        <v>4.1399999999999997</v>
      </c>
      <c r="G117">
        <v>0</v>
      </c>
      <c r="H117">
        <v>0</v>
      </c>
      <c r="I117" s="3">
        <f t="shared" si="15"/>
        <v>23</v>
      </c>
      <c r="J117" s="3">
        <f>ROUND(MIN(IF(C117="Técnico III",35,IF(C117="Técnico II",28,IF(C117="Técnico I",23,IF(C117="JR",20,IF(C117="Estágio",10,0))))),IF(C117="Técnico III",SUMIFS($D:$D,$A:$A,$A117,$B:$B,"&lt;&gt;Patrícia Karla de Sousa Araújo",$B:$B,"&lt;&gt;Lorena Dias de Araujo",$B:$B,"&lt;&gt;Lucas Luiz Romero")*(35/1083),IF(C117="Técnico II",SUMIFS($D:$D,$A:$A,$A117,$B:$B,"&lt;&gt;Patrícia Karla de Sousa Araújo",$B:$B,"&lt;&gt;Lorena Dias de Araujo",$B:$B,"&lt;&gt;Lucas Luiz Romero")*(28/1083),IF(C117="Técnico I",SUMIFS($D:$D,$A:$A,$A117,$B:$B,"&lt;&gt;Patrícia Karla de Sousa Araújo",$B:$B,"&lt;&gt;Lorena Dias de Araujo",$B:$B,"&lt;&gt;Lucas Luiz Romero")*(23/1083),IF(C117="JR",SUMIFS($D:$D,$A:$A,$A117,$B:$B,"&lt;&gt;Patrícia Karla de Sousa Araújo",$B:$B,"&lt;&gt;Lorena Dias de Araujo",$B:$B,"&lt;&gt;Lucas Luiz Romero")*(20/1083),IF(C117="Estágio",SUMIFS($D:$D,$A:$A,$A117,$B:$B,"&lt;&gt;Patrícia Karla de Sousa Araújo",$B:$B,"&lt;&gt;Lorena Dias de Araujo",$B:$B,"&lt;&gt;Lucas Luiz Romero")*(10/1083),0)))))),0)</f>
        <v>9</v>
      </c>
      <c r="K117" s="3">
        <f t="shared" si="16"/>
        <v>14</v>
      </c>
      <c r="L117" s="3" t="str">
        <f t="shared" si="14"/>
        <v>MUITO BOM</v>
      </c>
      <c r="M117">
        <v>1</v>
      </c>
      <c r="N117">
        <v>100</v>
      </c>
      <c r="O117">
        <v>27.368421052631579</v>
      </c>
    </row>
    <row r="118" spans="1:15" hidden="1" x14ac:dyDescent="0.25">
      <c r="A118" s="11">
        <v>46142</v>
      </c>
      <c r="B118" t="s">
        <v>19</v>
      </c>
      <c r="C118" t="s">
        <v>16</v>
      </c>
      <c r="D118">
        <v>80</v>
      </c>
      <c r="E118">
        <v>46</v>
      </c>
      <c r="F118">
        <v>5.0599999999999996</v>
      </c>
      <c r="G118">
        <v>0</v>
      </c>
      <c r="H118">
        <v>0</v>
      </c>
      <c r="I118" s="3">
        <f t="shared" si="15"/>
        <v>46</v>
      </c>
      <c r="J118" s="3">
        <f>ROUND(MIN(IF(C118="Técnico III",35,IF(C118="Técnico II",28,IF(C118="Técnico I",23,IF(C118="JR",20,IF(C118="Estágio",10,0))))),IF(C118="Técnico III",SUMIFS($D:$D,$A:$A,$A118,$B:$B,"&lt;&gt;Patrícia Karla de Sousa Araújo",$B:$B,"&lt;&gt;Lorena Dias de Araujo",$B:$B,"&lt;&gt;Lucas Luiz Romero")*(35/1083),IF(C118="Técnico II",SUMIFS($D:$D,$A:$A,$A118,$B:$B,"&lt;&gt;Patrícia Karla de Sousa Araújo",$B:$B,"&lt;&gt;Lorena Dias de Araujo",$B:$B,"&lt;&gt;Lucas Luiz Romero")*(28/1083),IF(C118="Técnico I",SUMIFS($D:$D,$A:$A,$A118,$B:$B,"&lt;&gt;Patrícia Karla de Sousa Araújo",$B:$B,"&lt;&gt;Lorena Dias de Araujo",$B:$B,"&lt;&gt;Lucas Luiz Romero")*(23/1083),IF(C118="JR",SUMIFS($D:$D,$A:$A,$A118,$B:$B,"&lt;&gt;Patrícia Karla de Sousa Araújo",$B:$B,"&lt;&gt;Lorena Dias de Araujo",$B:$B,"&lt;&gt;Lucas Luiz Romero")*(20/1083),IF(C118="Estágio",SUMIFS($D:$D,$A:$A,$A118,$B:$B,"&lt;&gt;Patrícia Karla de Sousa Araújo",$B:$B,"&lt;&gt;Lorena Dias de Araujo",$B:$B,"&lt;&gt;Lucas Luiz Romero")*(10/1083),0)))))),0)</f>
        <v>9</v>
      </c>
      <c r="K118" s="3">
        <f t="shared" si="16"/>
        <v>37</v>
      </c>
      <c r="L118" s="3" t="str">
        <f t="shared" si="14"/>
        <v>MUITO BOM</v>
      </c>
      <c r="M118">
        <v>0</v>
      </c>
      <c r="N118">
        <v>100</v>
      </c>
      <c r="O118">
        <v>25</v>
      </c>
    </row>
    <row r="119" spans="1:15" hidden="1" x14ac:dyDescent="0.25">
      <c r="A119" s="11">
        <v>46142</v>
      </c>
      <c r="B119" t="s">
        <v>20</v>
      </c>
      <c r="C119" t="s">
        <v>16</v>
      </c>
      <c r="D119">
        <v>19</v>
      </c>
      <c r="E119">
        <v>17</v>
      </c>
      <c r="F119">
        <v>24.14</v>
      </c>
      <c r="G119">
        <v>0</v>
      </c>
      <c r="H119">
        <v>0</v>
      </c>
      <c r="I119" s="3">
        <f t="shared" si="15"/>
        <v>17</v>
      </c>
      <c r="J119" s="3">
        <f>ROUND(MIN(IF(C119="Técnico III",35,IF(C119="Técnico II",28,IF(C119="Técnico I",23,IF(C119="JR",20,IF(C119="Estágio",10,0))))),IF(C119="Técnico III",SUMIFS($D:$D,$A:$A,$A119,$B:$B,"&lt;&gt;Patrícia Karla de Sousa Araújo",$B:$B,"&lt;&gt;Lorena Dias de Araujo",$B:$B,"&lt;&gt;Lucas Luiz Romero")*(35/1083),IF(C119="Técnico II",SUMIFS($D:$D,$A:$A,$A119,$B:$B,"&lt;&gt;Patrícia Karla de Sousa Araújo",$B:$B,"&lt;&gt;Lorena Dias de Araujo",$B:$B,"&lt;&gt;Lucas Luiz Romero")*(28/1083),IF(C119="Técnico I",SUMIFS($D:$D,$A:$A,$A119,$B:$B,"&lt;&gt;Patrícia Karla de Sousa Araújo",$B:$B,"&lt;&gt;Lorena Dias de Araujo",$B:$B,"&lt;&gt;Lucas Luiz Romero")*(23/1083),IF(C119="JR",SUMIFS($D:$D,$A:$A,$A119,$B:$B,"&lt;&gt;Patrícia Karla de Sousa Araújo",$B:$B,"&lt;&gt;Lorena Dias de Araujo",$B:$B,"&lt;&gt;Lucas Luiz Romero")*(20/1083),IF(C119="Estágio",SUMIFS($D:$D,$A:$A,$A119,$B:$B,"&lt;&gt;Patrícia Karla de Sousa Araújo",$B:$B,"&lt;&gt;Lorena Dias de Araujo",$B:$B,"&lt;&gt;Lucas Luiz Romero")*(10/1083),0)))))),0)</f>
        <v>9</v>
      </c>
      <c r="K119" s="3">
        <f t="shared" si="16"/>
        <v>8</v>
      </c>
      <c r="L119" s="3" t="str">
        <f t="shared" si="14"/>
        <v>MUITO BOM</v>
      </c>
      <c r="M119">
        <v>7</v>
      </c>
      <c r="N119">
        <v>100</v>
      </c>
      <c r="O119">
        <v>23.77622377622378</v>
      </c>
    </row>
    <row r="120" spans="1:15" hidden="1" x14ac:dyDescent="0.25">
      <c r="A120" s="11">
        <v>46142</v>
      </c>
      <c r="B120" t="s">
        <v>21</v>
      </c>
      <c r="C120" t="s">
        <v>16</v>
      </c>
      <c r="D120">
        <v>18</v>
      </c>
      <c r="E120">
        <v>17</v>
      </c>
      <c r="F120">
        <v>28.41</v>
      </c>
      <c r="G120">
        <v>0</v>
      </c>
      <c r="H120">
        <v>0</v>
      </c>
      <c r="I120" s="3">
        <f t="shared" si="15"/>
        <v>17</v>
      </c>
      <c r="J120" s="3">
        <f>ROUND(MIN(IF(C120="Técnico III",35,IF(C120="Técnico II",28,IF(C120="Técnico I",23,IF(C120="JR",20,IF(C120="Estágio",10,0))))),IF(C120="Técnico III",SUMIFS($D:$D,$A:$A,$A120,$B:$B,"&lt;&gt;Patrícia Karla de Sousa Araújo",$B:$B,"&lt;&gt;Lorena Dias de Araujo",$B:$B,"&lt;&gt;Lucas Luiz Romero")*(35/1083),IF(C120="Técnico II",SUMIFS($D:$D,$A:$A,$A120,$B:$B,"&lt;&gt;Patrícia Karla de Sousa Araújo",$B:$B,"&lt;&gt;Lorena Dias de Araujo",$B:$B,"&lt;&gt;Lucas Luiz Romero")*(28/1083),IF(C120="Técnico I",SUMIFS($D:$D,$A:$A,$A120,$B:$B,"&lt;&gt;Patrícia Karla de Sousa Araújo",$B:$B,"&lt;&gt;Lorena Dias de Araujo",$B:$B,"&lt;&gt;Lucas Luiz Romero")*(23/1083),IF(C120="JR",SUMIFS($D:$D,$A:$A,$A120,$B:$B,"&lt;&gt;Patrícia Karla de Sousa Araújo",$B:$B,"&lt;&gt;Lorena Dias de Araujo",$B:$B,"&lt;&gt;Lucas Luiz Romero")*(20/1083),IF(C120="Estágio",SUMIFS($D:$D,$A:$A,$A120,$B:$B,"&lt;&gt;Patrícia Karla de Sousa Araújo",$B:$B,"&lt;&gt;Lorena Dias de Araujo",$B:$B,"&lt;&gt;Lucas Luiz Romero")*(10/1083),0)))))),0)</f>
        <v>9</v>
      </c>
      <c r="K120" s="3">
        <f t="shared" si="16"/>
        <v>8</v>
      </c>
      <c r="L120" s="3" t="str">
        <f t="shared" si="14"/>
        <v>MUITO BOM</v>
      </c>
      <c r="M120">
        <v>13</v>
      </c>
      <c r="N120">
        <v>94.12</v>
      </c>
      <c r="O120">
        <v>32.799999999999997</v>
      </c>
    </row>
    <row r="121" spans="1:15" hidden="1" x14ac:dyDescent="0.25">
      <c r="A121" s="11">
        <v>46168</v>
      </c>
      <c r="B121" t="s">
        <v>17</v>
      </c>
      <c r="C121" t="s">
        <v>16</v>
      </c>
      <c r="D121">
        <v>9</v>
      </c>
      <c r="E121">
        <v>8</v>
      </c>
      <c r="F121">
        <v>22.08</v>
      </c>
      <c r="G121">
        <v>0</v>
      </c>
      <c r="M121">
        <v>7</v>
      </c>
      <c r="N121">
        <v>97.14</v>
      </c>
      <c r="O121">
        <v>24.761904761904759</v>
      </c>
    </row>
    <row r="122" spans="1:15" hidden="1" x14ac:dyDescent="0.25">
      <c r="A122" s="11">
        <v>46168</v>
      </c>
      <c r="B122" t="s">
        <v>18</v>
      </c>
      <c r="C122" t="s">
        <v>16</v>
      </c>
      <c r="D122">
        <v>7</v>
      </c>
      <c r="E122">
        <v>7</v>
      </c>
      <c r="F122">
        <v>41.42</v>
      </c>
      <c r="G122">
        <v>0</v>
      </c>
      <c r="M122">
        <v>6</v>
      </c>
      <c r="N122">
        <v>100</v>
      </c>
      <c r="O122">
        <v>31.578947368421051</v>
      </c>
    </row>
    <row r="123" spans="1:15" hidden="1" x14ac:dyDescent="0.25">
      <c r="A123" s="11">
        <v>46168</v>
      </c>
      <c r="B123" t="s">
        <v>19</v>
      </c>
      <c r="C123" t="s">
        <v>16</v>
      </c>
      <c r="D123">
        <v>24</v>
      </c>
      <c r="E123">
        <v>22</v>
      </c>
      <c r="F123">
        <v>20.59</v>
      </c>
      <c r="G123">
        <v>0</v>
      </c>
      <c r="M123">
        <v>20</v>
      </c>
      <c r="N123">
        <v>100</v>
      </c>
      <c r="O123">
        <v>15.294117647058821</v>
      </c>
    </row>
    <row r="124" spans="1:15" hidden="1" x14ac:dyDescent="0.25">
      <c r="A124" s="11">
        <v>46168</v>
      </c>
      <c r="B124" t="s">
        <v>20</v>
      </c>
      <c r="C124" t="s">
        <v>16</v>
      </c>
      <c r="D124">
        <v>15</v>
      </c>
      <c r="E124">
        <v>15</v>
      </c>
      <c r="F124">
        <v>32.39</v>
      </c>
      <c r="G124">
        <v>0</v>
      </c>
      <c r="M124">
        <v>10</v>
      </c>
      <c r="N124">
        <v>100</v>
      </c>
      <c r="O124">
        <v>17.96875</v>
      </c>
    </row>
    <row r="125" spans="1:15" hidden="1" x14ac:dyDescent="0.25">
      <c r="A125" s="11">
        <v>46168</v>
      </c>
      <c r="B125" t="s">
        <v>21</v>
      </c>
      <c r="C125" t="s">
        <v>16</v>
      </c>
      <c r="D125">
        <v>14</v>
      </c>
      <c r="E125">
        <v>13</v>
      </c>
      <c r="F125">
        <v>29.12</v>
      </c>
      <c r="G125">
        <v>0</v>
      </c>
      <c r="M125">
        <v>12</v>
      </c>
      <c r="N125">
        <v>98.36</v>
      </c>
      <c r="O125">
        <v>24.200913242009129</v>
      </c>
    </row>
    <row r="126" spans="1:15" hidden="1" x14ac:dyDescent="0.25">
      <c r="A126" s="11">
        <v>46168</v>
      </c>
      <c r="B126" t="s">
        <v>24</v>
      </c>
      <c r="C126" t="s">
        <v>16</v>
      </c>
      <c r="D126">
        <v>1</v>
      </c>
      <c r="E126">
        <v>1</v>
      </c>
      <c r="F126">
        <v>55.47</v>
      </c>
      <c r="G126">
        <v>0</v>
      </c>
      <c r="M126">
        <v>1</v>
      </c>
      <c r="N126">
        <v>100</v>
      </c>
      <c r="O126">
        <v>33.333333333333329</v>
      </c>
    </row>
    <row r="127" spans="1:15" hidden="1" x14ac:dyDescent="0.25">
      <c r="A127" s="5">
        <v>46146</v>
      </c>
      <c r="B127" s="6" t="s">
        <v>25</v>
      </c>
      <c r="C127" s="3" t="s">
        <v>26</v>
      </c>
      <c r="D127" s="3">
        <v>24</v>
      </c>
      <c r="E127" s="3">
        <v>24</v>
      </c>
      <c r="F127" s="3">
        <v>18.510000000000002</v>
      </c>
      <c r="G127" s="3">
        <v>0</v>
      </c>
      <c r="H127" s="3">
        <v>0</v>
      </c>
      <c r="I127" s="3">
        <f t="shared" ref="I127:I138" si="17">E127+G127+H127</f>
        <v>24</v>
      </c>
      <c r="J127" s="3">
        <f>ROUND(MIN(IF(C127="Técnico III",35,IF(C127="Técnico II",28,IF(C127="Técnico I",23,IF(C127="JR",20,IF(C127="Estágio",10,0))))),IF(C127="Técnico III",SUMIFS($D:$D,$A:$A,$A127,$B:$B,"&lt;&gt;Patrícia Karla de Sousa Araújo",$B:$B,"&lt;&gt;Lorena Dias de Araujo",$B:$B,"&lt;&gt;Lucas Luiz Romero")*(35/1083),IF(C127="Técnico II",SUMIFS($D:$D,$A:$A,$A127,$B:$B,"&lt;&gt;Patrícia Karla de Sousa Araújo",$B:$B,"&lt;&gt;Lorena Dias de Araujo",$B:$B,"&lt;&gt;Lucas Luiz Romero")*(28/1083),IF(C127="Técnico I",SUMIFS($D:$D,$A:$A,$A127,$B:$B,"&lt;&gt;Patrícia Karla de Sousa Araújo",$B:$B,"&lt;&gt;Lorena Dias de Araujo",$B:$B,"&lt;&gt;Lucas Luiz Romero")*(23/1083),IF(C127="JR",SUMIFS($D:$D,$A:$A,$A127,$B:$B,"&lt;&gt;Patrícia Karla de Sousa Araújo",$B:$B,"&lt;&gt;Lorena Dias de Araujo",$B:$B,"&lt;&gt;Lucas Luiz Romero")*(20/1083),IF(C127="Estágio",SUMIFS($D:$D,$A:$A,$A127,$B:$B,"&lt;&gt;Patrícia Karla de Sousa Araújo",$B:$B,"&lt;&gt;Lorena Dias de Araujo",$B:$B,"&lt;&gt;Lucas Luiz Romero")*(10/1083),0)))))),0)</f>
        <v>20</v>
      </c>
      <c r="K127" s="3">
        <f t="shared" ref="K127:K138" si="18">I127-J127</f>
        <v>4</v>
      </c>
      <c r="L127" s="3" t="str">
        <f t="shared" ref="L127:L158" si="19">IF(K127&lt;-5,"CRÍTICO",IF(K127&lt;0,"ATENÇÃO",IF(K127&lt;=5,"BOM","EXCELENTE")))</f>
        <v>BOM</v>
      </c>
      <c r="M127" s="9">
        <v>22</v>
      </c>
      <c r="N127" s="9">
        <v>97.62</v>
      </c>
      <c r="O127" s="9">
        <v>17.82477341389728</v>
      </c>
    </row>
    <row r="128" spans="1:15" hidden="1" x14ac:dyDescent="0.25">
      <c r="A128" s="5">
        <v>46146</v>
      </c>
      <c r="B128" s="6" t="s">
        <v>27</v>
      </c>
      <c r="C128" s="3" t="s">
        <v>26</v>
      </c>
      <c r="D128" s="3">
        <v>12</v>
      </c>
      <c r="E128" s="3">
        <v>11</v>
      </c>
      <c r="F128" s="3">
        <v>25.03</v>
      </c>
      <c r="G128" s="3">
        <v>4</v>
      </c>
      <c r="H128" s="3">
        <v>0</v>
      </c>
      <c r="I128" s="3">
        <f t="shared" si="17"/>
        <v>15</v>
      </c>
      <c r="J128" s="3">
        <f>ROUND(MIN(IF(C128="Técnico III",35,IF(C128="Técnico II",28,IF(C128="Técnico I",23,IF(C128="JR",20,IF(C128="Estágio",10,0))))),IF(C128="Técnico III",SUMIFS($D:$D,$A:$A,$A128,$B:$B,"&lt;&gt;Patrícia Karla de Sousa Araújo",$B:$B,"&lt;&gt;Lorena Dias de Araujo",$B:$B,"&lt;&gt;Lucas Luiz Romero")*(35/1083),IF(C128="Técnico II",SUMIFS($D:$D,$A:$A,$A128,$B:$B,"&lt;&gt;Patrícia Karla de Sousa Araújo",$B:$B,"&lt;&gt;Lorena Dias de Araujo",$B:$B,"&lt;&gt;Lucas Luiz Romero")*(28/1083),IF(C128="Técnico I",SUMIFS($D:$D,$A:$A,$A128,$B:$B,"&lt;&gt;Patrícia Karla de Sousa Araújo",$B:$B,"&lt;&gt;Lorena Dias de Araujo",$B:$B,"&lt;&gt;Lucas Luiz Romero")*(23/1083),IF(C128="JR",SUMIFS($D:$D,$A:$A,$A128,$B:$B,"&lt;&gt;Patrícia Karla de Sousa Araújo",$B:$B,"&lt;&gt;Lorena Dias de Araujo",$B:$B,"&lt;&gt;Lucas Luiz Romero")*(20/1083),IF(C128="Estágio",SUMIFS($D:$D,$A:$A,$A128,$B:$B,"&lt;&gt;Patrícia Karla de Sousa Araújo",$B:$B,"&lt;&gt;Lorena Dias de Araujo",$B:$B,"&lt;&gt;Lucas Luiz Romero")*(10/1083),0)))))),0)</f>
        <v>20</v>
      </c>
      <c r="K128" s="3">
        <f t="shared" si="18"/>
        <v>-5</v>
      </c>
      <c r="L128" s="3" t="str">
        <f t="shared" si="19"/>
        <v>ATENÇÃO</v>
      </c>
      <c r="M128" s="9">
        <v>15</v>
      </c>
      <c r="N128" s="9">
        <v>100</v>
      </c>
      <c r="O128" s="9">
        <v>19.072164948453612</v>
      </c>
    </row>
    <row r="129" spans="1:15" hidden="1" x14ac:dyDescent="0.25">
      <c r="A129" s="5">
        <v>46146</v>
      </c>
      <c r="B129" s="6" t="s">
        <v>28</v>
      </c>
      <c r="C129" s="3" t="s">
        <v>26</v>
      </c>
      <c r="D129" s="3">
        <v>42</v>
      </c>
      <c r="E129" s="3">
        <v>23</v>
      </c>
      <c r="F129" s="3">
        <v>8.34</v>
      </c>
      <c r="G129" s="3">
        <v>0</v>
      </c>
      <c r="H129" s="3">
        <v>0</v>
      </c>
      <c r="I129" s="3">
        <f t="shared" si="17"/>
        <v>23</v>
      </c>
      <c r="J129" s="3">
        <f>ROUND(MIN(IF(C129="Técnico III",35,IF(C129="Técnico II",28,IF(C129="Técnico I",23,IF(C129="JR",20,IF(C129="Estágio",10,0))))),IF(C129="Técnico III",SUMIFS($D:$D,$A:$A,$A129,$B:$B,"&lt;&gt;Patrícia Karla de Sousa Araújo",$B:$B,"&lt;&gt;Lorena Dias de Araujo",$B:$B,"&lt;&gt;Lucas Luiz Romero")*(35/1083),IF(C129="Técnico II",SUMIFS($D:$D,$A:$A,$A129,$B:$B,"&lt;&gt;Patrícia Karla de Sousa Araújo",$B:$B,"&lt;&gt;Lorena Dias de Araujo",$B:$B,"&lt;&gt;Lucas Luiz Romero")*(28/1083),IF(C129="Técnico I",SUMIFS($D:$D,$A:$A,$A129,$B:$B,"&lt;&gt;Patrícia Karla de Sousa Araújo",$B:$B,"&lt;&gt;Lorena Dias de Araujo",$B:$B,"&lt;&gt;Lucas Luiz Romero")*(23/1083),IF(C129="JR",SUMIFS($D:$D,$A:$A,$A129,$B:$B,"&lt;&gt;Patrícia Karla de Sousa Araújo",$B:$B,"&lt;&gt;Lorena Dias de Araujo",$B:$B,"&lt;&gt;Lucas Luiz Romero")*(20/1083),IF(C129="Estágio",SUMIFS($D:$D,$A:$A,$A129,$B:$B,"&lt;&gt;Patrícia Karla de Sousa Araújo",$B:$B,"&lt;&gt;Lorena Dias de Araujo",$B:$B,"&lt;&gt;Lucas Luiz Romero")*(10/1083),0)))))),0)</f>
        <v>20</v>
      </c>
      <c r="K129" s="3">
        <f t="shared" si="18"/>
        <v>3</v>
      </c>
      <c r="L129" s="3" t="str">
        <f t="shared" si="19"/>
        <v>BOM</v>
      </c>
      <c r="M129" s="9">
        <v>19</v>
      </c>
      <c r="N129" s="9">
        <v>96.83</v>
      </c>
      <c r="O129" s="9">
        <v>20.94017094017094</v>
      </c>
    </row>
    <row r="130" spans="1:15" hidden="1" x14ac:dyDescent="0.25">
      <c r="A130" s="5">
        <v>46146</v>
      </c>
      <c r="B130" s="6" t="s">
        <v>29</v>
      </c>
      <c r="C130" s="3" t="s">
        <v>26</v>
      </c>
      <c r="D130" s="3">
        <v>23</v>
      </c>
      <c r="E130" s="3">
        <v>23</v>
      </c>
      <c r="F130" s="3">
        <v>17.350000000000001</v>
      </c>
      <c r="G130" s="3">
        <v>0</v>
      </c>
      <c r="H130" s="3">
        <v>0</v>
      </c>
      <c r="I130" s="3">
        <f t="shared" si="17"/>
        <v>23</v>
      </c>
      <c r="J130" s="3">
        <f>ROUND(MIN(IF(C130="Técnico III",35,IF(C130="Técnico II",28,IF(C130="Técnico I",23,IF(C130="JR",20,IF(C130="Estágio",10,0))))),IF(C130="Técnico III",SUMIFS($D:$D,$A:$A,$A130,$B:$B,"&lt;&gt;Patrícia Karla de Sousa Araújo",$B:$B,"&lt;&gt;Lorena Dias de Araujo",$B:$B,"&lt;&gt;Lucas Luiz Romero")*(35/1083),IF(C130="Técnico II",SUMIFS($D:$D,$A:$A,$A130,$B:$B,"&lt;&gt;Patrícia Karla de Sousa Araújo",$B:$B,"&lt;&gt;Lorena Dias de Araujo",$B:$B,"&lt;&gt;Lucas Luiz Romero")*(28/1083),IF(C130="Técnico I",SUMIFS($D:$D,$A:$A,$A130,$B:$B,"&lt;&gt;Patrícia Karla de Sousa Araújo",$B:$B,"&lt;&gt;Lorena Dias de Araujo",$B:$B,"&lt;&gt;Lucas Luiz Romero")*(23/1083),IF(C130="JR",SUMIFS($D:$D,$A:$A,$A130,$B:$B,"&lt;&gt;Patrícia Karla de Sousa Araújo",$B:$B,"&lt;&gt;Lorena Dias de Araujo",$B:$B,"&lt;&gt;Lucas Luiz Romero")*(20/1083),IF(C130="Estágio",SUMIFS($D:$D,$A:$A,$A130,$B:$B,"&lt;&gt;Patrícia Karla de Sousa Araújo",$B:$B,"&lt;&gt;Lorena Dias de Araujo",$B:$B,"&lt;&gt;Lucas Luiz Romero")*(10/1083),0)))))),0)</f>
        <v>20</v>
      </c>
      <c r="K130" s="3">
        <f t="shared" si="18"/>
        <v>3</v>
      </c>
      <c r="L130" s="3" t="str">
        <f t="shared" si="19"/>
        <v>BOM</v>
      </c>
      <c r="M130" s="9">
        <v>18</v>
      </c>
      <c r="N130" s="9">
        <v>100</v>
      </c>
      <c r="O130" s="9">
        <v>20.0836820083682</v>
      </c>
    </row>
    <row r="131" spans="1:15" hidden="1" x14ac:dyDescent="0.25">
      <c r="A131" s="5">
        <v>46146</v>
      </c>
      <c r="B131" s="6" t="s">
        <v>30</v>
      </c>
      <c r="C131" s="3" t="s">
        <v>26</v>
      </c>
      <c r="D131" s="3">
        <v>23</v>
      </c>
      <c r="E131" s="3">
        <v>21</v>
      </c>
      <c r="F131" s="3">
        <v>17.11</v>
      </c>
      <c r="G131" s="3">
        <v>0</v>
      </c>
      <c r="H131" s="3">
        <v>0</v>
      </c>
      <c r="I131" s="3">
        <f t="shared" si="17"/>
        <v>21</v>
      </c>
      <c r="J131" s="3">
        <f>ROUND(MIN(IF(C131="Técnico III",35,IF(C131="Técnico II",28,IF(C131="Técnico I",23,IF(C131="JR",20,IF(C131="Estágio",10,0))))),IF(C131="Técnico III",SUMIFS($D:$D,$A:$A,$A131,$B:$B,"&lt;&gt;Patrícia Karla de Sousa Araújo",$B:$B,"&lt;&gt;Lorena Dias de Araujo",$B:$B,"&lt;&gt;Lucas Luiz Romero")*(35/1083),IF(C131="Técnico II",SUMIFS($D:$D,$A:$A,$A131,$B:$B,"&lt;&gt;Patrícia Karla de Sousa Araújo",$B:$B,"&lt;&gt;Lorena Dias de Araujo",$B:$B,"&lt;&gt;Lucas Luiz Romero")*(28/1083),IF(C131="Técnico I",SUMIFS($D:$D,$A:$A,$A131,$B:$B,"&lt;&gt;Patrícia Karla de Sousa Araújo",$B:$B,"&lt;&gt;Lorena Dias de Araujo",$B:$B,"&lt;&gt;Lucas Luiz Romero")*(23/1083),IF(C131="JR",SUMIFS($D:$D,$A:$A,$A131,$B:$B,"&lt;&gt;Patrícia Karla de Sousa Araújo",$B:$B,"&lt;&gt;Lorena Dias de Araujo",$B:$B,"&lt;&gt;Lucas Luiz Romero")*(20/1083),IF(C131="Estágio",SUMIFS($D:$D,$A:$A,$A131,$B:$B,"&lt;&gt;Patrícia Karla de Sousa Araújo",$B:$B,"&lt;&gt;Lorena Dias de Araujo",$B:$B,"&lt;&gt;Lucas Luiz Romero")*(10/1083),0)))))),0)</f>
        <v>20</v>
      </c>
      <c r="K131" s="3">
        <f t="shared" si="18"/>
        <v>1</v>
      </c>
      <c r="L131" s="3" t="str">
        <f t="shared" si="19"/>
        <v>BOM</v>
      </c>
      <c r="M131" s="9">
        <v>21</v>
      </c>
      <c r="N131" s="9">
        <v>100</v>
      </c>
      <c r="O131" s="9">
        <v>16.34241245136187</v>
      </c>
    </row>
    <row r="132" spans="1:15" hidden="1" x14ac:dyDescent="0.25">
      <c r="A132" s="5">
        <v>46147</v>
      </c>
      <c r="B132" s="6" t="s">
        <v>25</v>
      </c>
      <c r="C132" s="3" t="s">
        <v>26</v>
      </c>
      <c r="D132" s="3">
        <v>10</v>
      </c>
      <c r="E132" s="3">
        <v>10</v>
      </c>
      <c r="F132" s="3">
        <v>21.42</v>
      </c>
      <c r="G132" s="3">
        <v>10</v>
      </c>
      <c r="H132" s="3">
        <v>0</v>
      </c>
      <c r="I132" s="3">
        <f t="shared" si="17"/>
        <v>20</v>
      </c>
      <c r="J132" s="3">
        <f>ROUND(MIN(IF(C132="Técnico III",35,IF(C132="Técnico II",28,IF(C132="Técnico I",23,IF(C132="JR",20,IF(C132="Estágio",10,0))))),IF(C132="Técnico III",SUMIFS($D:$D,$A:$A,$A132,$B:$B,"&lt;&gt;Patrícia Karla de Sousa Araújo",$B:$B,"&lt;&gt;Lorena Dias de Araujo",$B:$B,"&lt;&gt;Lucas Luiz Romero")*(35/1083),IF(C132="Técnico II",SUMIFS($D:$D,$A:$A,$A132,$B:$B,"&lt;&gt;Patrícia Karla de Sousa Araújo",$B:$B,"&lt;&gt;Lorena Dias de Araujo",$B:$B,"&lt;&gt;Lucas Luiz Romero")*(28/1083),IF(C132="Técnico I",SUMIFS($D:$D,$A:$A,$A132,$B:$B,"&lt;&gt;Patrícia Karla de Sousa Araújo",$B:$B,"&lt;&gt;Lorena Dias de Araujo",$B:$B,"&lt;&gt;Lucas Luiz Romero")*(23/1083),IF(C132="JR",SUMIFS($D:$D,$A:$A,$A132,$B:$B,"&lt;&gt;Patrícia Karla de Sousa Araújo",$B:$B,"&lt;&gt;Lorena Dias de Araujo",$B:$B,"&lt;&gt;Lucas Luiz Romero")*(20/1083),IF(C132="Estágio",SUMIFS($D:$D,$A:$A,$A132,$B:$B,"&lt;&gt;Patrícia Karla de Sousa Araújo",$B:$B,"&lt;&gt;Lorena Dias de Araujo",$B:$B,"&lt;&gt;Lucas Luiz Romero")*(10/1083),0)))))),0)</f>
        <v>20</v>
      </c>
      <c r="K132" s="3">
        <f t="shared" si="18"/>
        <v>0</v>
      </c>
      <c r="L132" s="3" t="str">
        <f t="shared" si="19"/>
        <v>BOM</v>
      </c>
      <c r="M132" s="3">
        <v>27</v>
      </c>
      <c r="N132" s="3">
        <v>97.62</v>
      </c>
      <c r="O132" s="3">
        <v>17.82477341389728</v>
      </c>
    </row>
    <row r="133" spans="1:15" hidden="1" x14ac:dyDescent="0.25">
      <c r="A133" s="5">
        <v>46147</v>
      </c>
      <c r="B133" s="6" t="s">
        <v>27</v>
      </c>
      <c r="C133" s="3" t="s">
        <v>26</v>
      </c>
      <c r="D133" s="3">
        <v>17</v>
      </c>
      <c r="E133" s="3">
        <v>17</v>
      </c>
      <c r="F133" s="3">
        <v>22.35</v>
      </c>
      <c r="G133" s="3">
        <v>5</v>
      </c>
      <c r="H133" s="3">
        <v>0</v>
      </c>
      <c r="I133" s="3">
        <f t="shared" si="17"/>
        <v>22</v>
      </c>
      <c r="J133" s="3">
        <f>ROUND(MIN(IF(C133="Técnico III",35,IF(C133="Técnico II",28,IF(C133="Técnico I",23,IF(C133="JR",20,IF(C133="Estágio",10,0))))),IF(C133="Técnico III",SUMIFS($D:$D,$A:$A,$A133,$B:$B,"&lt;&gt;Patrícia Karla de Sousa Araújo",$B:$B,"&lt;&gt;Lorena Dias de Araujo",$B:$B,"&lt;&gt;Lucas Luiz Romero")*(35/1083),IF(C133="Técnico II",SUMIFS($D:$D,$A:$A,$A133,$B:$B,"&lt;&gt;Patrícia Karla de Sousa Araújo",$B:$B,"&lt;&gt;Lorena Dias de Araujo",$B:$B,"&lt;&gt;Lucas Luiz Romero")*(28/1083),IF(C133="Técnico I",SUMIFS($D:$D,$A:$A,$A133,$B:$B,"&lt;&gt;Patrícia Karla de Sousa Araújo",$B:$B,"&lt;&gt;Lorena Dias de Araujo",$B:$B,"&lt;&gt;Lucas Luiz Romero")*(23/1083),IF(C133="JR",SUMIFS($D:$D,$A:$A,$A133,$B:$B,"&lt;&gt;Patrícia Karla de Sousa Araújo",$B:$B,"&lt;&gt;Lorena Dias de Araujo",$B:$B,"&lt;&gt;Lucas Luiz Romero")*(20/1083),IF(C133="Estágio",SUMIFS($D:$D,$A:$A,$A133,$B:$B,"&lt;&gt;Patrícia Karla de Sousa Araújo",$B:$B,"&lt;&gt;Lorena Dias de Araujo",$B:$B,"&lt;&gt;Lucas Luiz Romero")*(10/1083),0)))))),0)</f>
        <v>20</v>
      </c>
      <c r="K133" s="3">
        <f t="shared" si="18"/>
        <v>2</v>
      </c>
      <c r="L133" s="3" t="str">
        <f t="shared" si="19"/>
        <v>BOM</v>
      </c>
      <c r="M133" s="3">
        <v>16</v>
      </c>
      <c r="N133" s="3">
        <v>100</v>
      </c>
      <c r="O133" s="3">
        <v>19.072164948453612</v>
      </c>
    </row>
    <row r="134" spans="1:15" hidden="1" x14ac:dyDescent="0.25">
      <c r="A134" s="5">
        <v>46147</v>
      </c>
      <c r="B134" s="6" t="s">
        <v>28</v>
      </c>
      <c r="C134" s="3" t="s">
        <v>26</v>
      </c>
      <c r="D134" s="3">
        <v>56</v>
      </c>
      <c r="E134" s="3">
        <v>34</v>
      </c>
      <c r="F134" s="3">
        <v>11.53</v>
      </c>
      <c r="G134" s="3">
        <v>0</v>
      </c>
      <c r="H134" s="3">
        <v>0</v>
      </c>
      <c r="I134" s="3">
        <f t="shared" si="17"/>
        <v>34</v>
      </c>
      <c r="J134" s="3">
        <f>ROUND(MIN(IF(C134="Técnico III",35,IF(C134="Técnico II",28,IF(C134="Técnico I",23,IF(C134="JR",20,IF(C134="Estágio",10,0))))),IF(C134="Técnico III",SUMIFS($D:$D,$A:$A,$A134,$B:$B,"&lt;&gt;Patrícia Karla de Sousa Araújo",$B:$B,"&lt;&gt;Lorena Dias de Araujo",$B:$B,"&lt;&gt;Lucas Luiz Romero")*(35/1083),IF(C134="Técnico II",SUMIFS($D:$D,$A:$A,$A134,$B:$B,"&lt;&gt;Patrícia Karla de Sousa Araújo",$B:$B,"&lt;&gt;Lorena Dias de Araujo",$B:$B,"&lt;&gt;Lucas Luiz Romero")*(28/1083),IF(C134="Técnico I",SUMIFS($D:$D,$A:$A,$A134,$B:$B,"&lt;&gt;Patrícia Karla de Sousa Araújo",$B:$B,"&lt;&gt;Lorena Dias de Araujo",$B:$B,"&lt;&gt;Lucas Luiz Romero")*(23/1083),IF(C134="JR",SUMIFS($D:$D,$A:$A,$A134,$B:$B,"&lt;&gt;Patrícia Karla de Sousa Araújo",$B:$B,"&lt;&gt;Lorena Dias de Araujo",$B:$B,"&lt;&gt;Lucas Luiz Romero")*(20/1083),IF(C134="Estágio",SUMIFS($D:$D,$A:$A,$A134,$B:$B,"&lt;&gt;Patrícia Karla de Sousa Araújo",$B:$B,"&lt;&gt;Lorena Dias de Araujo",$B:$B,"&lt;&gt;Lucas Luiz Romero")*(10/1083),0)))))),0)</f>
        <v>20</v>
      </c>
      <c r="K134" s="3">
        <f t="shared" si="18"/>
        <v>14</v>
      </c>
      <c r="L134" s="3" t="str">
        <f t="shared" si="19"/>
        <v>EXCELENTE</v>
      </c>
      <c r="M134" s="3">
        <v>22</v>
      </c>
      <c r="N134" s="3">
        <v>96.83</v>
      </c>
      <c r="O134" s="3">
        <v>20.94017094017094</v>
      </c>
    </row>
    <row r="135" spans="1:15" hidden="1" x14ac:dyDescent="0.25">
      <c r="A135" s="5">
        <v>46147</v>
      </c>
      <c r="B135" s="6" t="s">
        <v>29</v>
      </c>
      <c r="C135" s="3" t="s">
        <v>26</v>
      </c>
      <c r="D135" s="3">
        <v>18</v>
      </c>
      <c r="E135" s="3">
        <v>17</v>
      </c>
      <c r="F135" s="3">
        <v>20.04</v>
      </c>
      <c r="G135" s="3">
        <v>0</v>
      </c>
      <c r="H135" s="3">
        <v>0</v>
      </c>
      <c r="I135" s="3">
        <f t="shared" si="17"/>
        <v>17</v>
      </c>
      <c r="J135" s="3">
        <f>ROUND(MIN(IF(C135="Técnico III",35,IF(C135="Técnico II",28,IF(C135="Técnico I",23,IF(C135="JR",20,IF(C135="Estágio",10,0))))),IF(C135="Técnico III",SUMIFS($D:$D,$A:$A,$A135,$B:$B,"&lt;&gt;Patrícia Karla de Sousa Araújo",$B:$B,"&lt;&gt;Lorena Dias de Araujo",$B:$B,"&lt;&gt;Lucas Luiz Romero")*(35/1083),IF(C135="Técnico II",SUMIFS($D:$D,$A:$A,$A135,$B:$B,"&lt;&gt;Patrícia Karla de Sousa Araújo",$B:$B,"&lt;&gt;Lorena Dias de Araujo",$B:$B,"&lt;&gt;Lucas Luiz Romero")*(28/1083),IF(C135="Técnico I",SUMIFS($D:$D,$A:$A,$A135,$B:$B,"&lt;&gt;Patrícia Karla de Sousa Araújo",$B:$B,"&lt;&gt;Lorena Dias de Araujo",$B:$B,"&lt;&gt;Lucas Luiz Romero")*(23/1083),IF(C135="JR",SUMIFS($D:$D,$A:$A,$A135,$B:$B,"&lt;&gt;Patrícia Karla de Sousa Araújo",$B:$B,"&lt;&gt;Lorena Dias de Araujo",$B:$B,"&lt;&gt;Lucas Luiz Romero")*(20/1083),IF(C135="Estágio",SUMIFS($D:$D,$A:$A,$A135,$B:$B,"&lt;&gt;Patrícia Karla de Sousa Araújo",$B:$B,"&lt;&gt;Lorena Dias de Araujo",$B:$B,"&lt;&gt;Lucas Luiz Romero")*(10/1083),0)))))),0)</f>
        <v>20</v>
      </c>
      <c r="K135" s="3">
        <f t="shared" si="18"/>
        <v>-3</v>
      </c>
      <c r="L135" s="3" t="str">
        <f t="shared" si="19"/>
        <v>ATENÇÃO</v>
      </c>
      <c r="M135" s="3">
        <v>17</v>
      </c>
      <c r="N135" s="3">
        <v>100</v>
      </c>
      <c r="O135" s="3">
        <v>20.0836820083682</v>
      </c>
    </row>
    <row r="136" spans="1:15" hidden="1" x14ac:dyDescent="0.25">
      <c r="A136" s="5">
        <v>46147</v>
      </c>
      <c r="B136" s="6" t="s">
        <v>30</v>
      </c>
      <c r="C136" s="3" t="s">
        <v>26</v>
      </c>
      <c r="D136" s="3">
        <v>11</v>
      </c>
      <c r="E136" s="3">
        <v>11</v>
      </c>
      <c r="F136" s="3">
        <v>18.23</v>
      </c>
      <c r="G136" s="3">
        <v>9</v>
      </c>
      <c r="H136" s="3">
        <v>0</v>
      </c>
      <c r="I136" s="3">
        <f t="shared" si="17"/>
        <v>20</v>
      </c>
      <c r="J136" s="3">
        <f>ROUND(MIN(IF(C136="Técnico III",35,IF(C136="Técnico II",28,IF(C136="Técnico I",23,IF(C136="JR",20,IF(C136="Estágio",10,0))))),IF(C136="Técnico III",SUMIFS($D:$D,$A:$A,$A136,$B:$B,"&lt;&gt;Patrícia Karla de Sousa Araújo",$B:$B,"&lt;&gt;Lorena Dias de Araujo",$B:$B,"&lt;&gt;Lucas Luiz Romero")*(35/1083),IF(C136="Técnico II",SUMIFS($D:$D,$A:$A,$A136,$B:$B,"&lt;&gt;Patrícia Karla de Sousa Araújo",$B:$B,"&lt;&gt;Lorena Dias de Araujo",$B:$B,"&lt;&gt;Lucas Luiz Romero")*(28/1083),IF(C136="Técnico I",SUMIFS($D:$D,$A:$A,$A136,$B:$B,"&lt;&gt;Patrícia Karla de Sousa Araújo",$B:$B,"&lt;&gt;Lorena Dias de Araujo",$B:$B,"&lt;&gt;Lucas Luiz Romero")*(23/1083),IF(C136="JR",SUMIFS($D:$D,$A:$A,$A136,$B:$B,"&lt;&gt;Patrícia Karla de Sousa Araújo",$B:$B,"&lt;&gt;Lorena Dias de Araujo",$B:$B,"&lt;&gt;Lucas Luiz Romero")*(20/1083),IF(C136="Estágio",SUMIFS($D:$D,$A:$A,$A136,$B:$B,"&lt;&gt;Patrícia Karla de Sousa Araújo",$B:$B,"&lt;&gt;Lorena Dias de Araujo",$B:$B,"&lt;&gt;Lucas Luiz Romero")*(10/1083),0)))))),0)</f>
        <v>20</v>
      </c>
      <c r="K136" s="3">
        <f t="shared" si="18"/>
        <v>0</v>
      </c>
      <c r="L136" s="3" t="str">
        <f t="shared" si="19"/>
        <v>BOM</v>
      </c>
      <c r="M136" s="3">
        <v>19</v>
      </c>
      <c r="N136" s="3">
        <v>100</v>
      </c>
      <c r="O136" s="3">
        <v>16.34241245136187</v>
      </c>
    </row>
    <row r="137" spans="1:15" hidden="1" x14ac:dyDescent="0.25">
      <c r="A137" s="5">
        <v>46148</v>
      </c>
      <c r="B137" s="6" t="s">
        <v>25</v>
      </c>
      <c r="C137" s="3" t="s">
        <v>26</v>
      </c>
      <c r="D137" s="3">
        <v>22</v>
      </c>
      <c r="E137" s="3">
        <v>22</v>
      </c>
      <c r="F137">
        <v>30.08</v>
      </c>
      <c r="G137" s="3">
        <v>1</v>
      </c>
      <c r="H137" s="3">
        <v>0</v>
      </c>
      <c r="I137" s="3">
        <f t="shared" si="17"/>
        <v>23</v>
      </c>
      <c r="J137" s="3">
        <f>ROUND(MIN(IF(C137="Técnico III",35,IF(C137="Técnico II",28,IF(C137="Técnico I",23,IF(C137="JR",20,IF(C137="Estágio",10,0))))),IF(C137="Técnico III",SUMIFS($D:$D,$A:$A,$A137,$B:$B,"&lt;&gt;Patrícia Karla de Sousa Araújo",$B:$B,"&lt;&gt;Lorena Dias de Araujo",$B:$B,"&lt;&gt;Lucas Luiz Romero")*(35/1083),IF(C137="Técnico II",SUMIFS($D:$D,$A:$A,$A137,$B:$B,"&lt;&gt;Patrícia Karla de Sousa Araújo",$B:$B,"&lt;&gt;Lorena Dias de Araujo",$B:$B,"&lt;&gt;Lucas Luiz Romero")*(28/1083),IF(C137="Técnico I",SUMIFS($D:$D,$A:$A,$A137,$B:$B,"&lt;&gt;Patrícia Karla de Sousa Araújo",$B:$B,"&lt;&gt;Lorena Dias de Araujo",$B:$B,"&lt;&gt;Lucas Luiz Romero")*(23/1083),IF(C137="JR",SUMIFS($D:$D,$A:$A,$A137,$B:$B,"&lt;&gt;Patrícia Karla de Sousa Araújo",$B:$B,"&lt;&gt;Lorena Dias de Araujo",$B:$B,"&lt;&gt;Lucas Luiz Romero")*(20/1083),IF(C137="Estágio",SUMIFS($D:$D,$A:$A,$A137,$B:$B,"&lt;&gt;Patrícia Karla de Sousa Araújo",$B:$B,"&lt;&gt;Lorena Dias de Araujo",$B:$B,"&lt;&gt;Lucas Luiz Romero")*(10/1083),0)))))),0)</f>
        <v>20</v>
      </c>
      <c r="K137" s="3">
        <f t="shared" si="18"/>
        <v>3</v>
      </c>
      <c r="L137" s="3" t="str">
        <f t="shared" si="19"/>
        <v>BOM</v>
      </c>
      <c r="M137" s="3">
        <v>22</v>
      </c>
      <c r="N137" s="3">
        <v>97.62</v>
      </c>
      <c r="O137" s="3">
        <v>17.82477341389728</v>
      </c>
    </row>
    <row r="138" spans="1:15" hidden="1" x14ac:dyDescent="0.25">
      <c r="A138" s="5">
        <v>46148</v>
      </c>
      <c r="B138" s="6" t="s">
        <v>27</v>
      </c>
      <c r="C138" s="3" t="s">
        <v>26</v>
      </c>
      <c r="D138" s="3">
        <v>13</v>
      </c>
      <c r="E138" s="3">
        <v>12</v>
      </c>
      <c r="F138">
        <v>30.43</v>
      </c>
      <c r="G138" s="3">
        <v>12</v>
      </c>
      <c r="H138" s="3">
        <v>0</v>
      </c>
      <c r="I138" s="3">
        <f t="shared" si="17"/>
        <v>24</v>
      </c>
      <c r="J138" s="3">
        <f>ROUND(MIN(IF(C138="Técnico III",35,IF(C138="Técnico II",28,IF(C138="Técnico I",23,IF(C138="JR",20,IF(C138="Estágio",10,0))))),IF(C138="Técnico III",SUMIFS($D:$D,$A:$A,$A138,$B:$B,"&lt;&gt;Patrícia Karla de Sousa Araújo",$B:$B,"&lt;&gt;Lorena Dias de Araujo",$B:$B,"&lt;&gt;Lucas Luiz Romero")*(35/1083),IF(C138="Técnico II",SUMIFS($D:$D,$A:$A,$A138,$B:$B,"&lt;&gt;Patrícia Karla de Sousa Araújo",$B:$B,"&lt;&gt;Lorena Dias de Araujo",$B:$B,"&lt;&gt;Lucas Luiz Romero")*(28/1083),IF(C138="Técnico I",SUMIFS($D:$D,$A:$A,$A138,$B:$B,"&lt;&gt;Patrícia Karla de Sousa Araújo",$B:$B,"&lt;&gt;Lorena Dias de Araujo",$B:$B,"&lt;&gt;Lucas Luiz Romero")*(23/1083),IF(C138="JR",SUMIFS($D:$D,$A:$A,$A138,$B:$B,"&lt;&gt;Patrícia Karla de Sousa Araújo",$B:$B,"&lt;&gt;Lorena Dias de Araujo",$B:$B,"&lt;&gt;Lucas Luiz Romero")*(20/1083),IF(C138="Estágio",SUMIFS($D:$D,$A:$A,$A138,$B:$B,"&lt;&gt;Patrícia Karla de Sousa Araújo",$B:$B,"&lt;&gt;Lorena Dias de Araujo",$B:$B,"&lt;&gt;Lucas Luiz Romero")*(10/1083),0)))))),0)</f>
        <v>20</v>
      </c>
      <c r="K138" s="3">
        <f t="shared" si="18"/>
        <v>4</v>
      </c>
      <c r="L138" s="3" t="str">
        <f t="shared" si="19"/>
        <v>BOM</v>
      </c>
      <c r="M138" s="3">
        <v>17</v>
      </c>
      <c r="N138" s="3">
        <v>100</v>
      </c>
      <c r="O138" s="3">
        <v>19.072164948453612</v>
      </c>
    </row>
    <row r="139" spans="1:15" hidden="1" x14ac:dyDescent="0.25">
      <c r="A139" s="5">
        <v>46148</v>
      </c>
      <c r="B139" s="6" t="s">
        <v>28</v>
      </c>
      <c r="C139" s="3" t="s">
        <v>26</v>
      </c>
      <c r="D139" s="3">
        <v>0</v>
      </c>
      <c r="E139" s="3">
        <v>0</v>
      </c>
      <c r="F139" s="3">
        <v>0</v>
      </c>
      <c r="G139" s="3">
        <v>0</v>
      </c>
      <c r="H139" s="3">
        <v>0</v>
      </c>
      <c r="I139" s="3">
        <v>0</v>
      </c>
      <c r="J139" s="3">
        <v>0</v>
      </c>
      <c r="K139" s="3">
        <v>0</v>
      </c>
      <c r="L139" s="3" t="str">
        <f t="shared" si="19"/>
        <v>BOM</v>
      </c>
      <c r="M139" s="3">
        <v>0</v>
      </c>
      <c r="N139" s="3">
        <v>96.83</v>
      </c>
      <c r="O139" s="3">
        <v>20.94017094017094</v>
      </c>
    </row>
    <row r="140" spans="1:15" hidden="1" x14ac:dyDescent="0.25">
      <c r="A140" s="5">
        <v>46148</v>
      </c>
      <c r="B140" s="6" t="s">
        <v>29</v>
      </c>
      <c r="C140" s="3" t="s">
        <v>26</v>
      </c>
      <c r="D140" s="3">
        <v>17</v>
      </c>
      <c r="E140" s="3">
        <v>17</v>
      </c>
      <c r="F140">
        <v>20.34</v>
      </c>
      <c r="G140" s="3">
        <v>0</v>
      </c>
      <c r="H140" s="3">
        <v>0</v>
      </c>
      <c r="I140" s="3">
        <f>E140+G140+H140</f>
        <v>17</v>
      </c>
      <c r="J140" s="3">
        <f>ROUND(MIN(IF(C140="Técnico III",35,IF(C140="Técnico II",28,IF(C140="Técnico I",23,IF(C140="JR",20,IF(C140="Estágio",10,0))))),IF(C140="Técnico III",SUMIFS($D:$D,$A:$A,$A140,$B:$B,"&lt;&gt;Patrícia Karla de Sousa Araújo",$B:$B,"&lt;&gt;Lorena Dias de Araujo",$B:$B,"&lt;&gt;Lucas Luiz Romero")*(35/1083),IF(C140="Técnico II",SUMIFS($D:$D,$A:$A,$A140,$B:$B,"&lt;&gt;Patrícia Karla de Sousa Araújo",$B:$B,"&lt;&gt;Lorena Dias de Araujo",$B:$B,"&lt;&gt;Lucas Luiz Romero")*(28/1083),IF(C140="Técnico I",SUMIFS($D:$D,$A:$A,$A140,$B:$B,"&lt;&gt;Patrícia Karla de Sousa Araújo",$B:$B,"&lt;&gt;Lorena Dias de Araujo",$B:$B,"&lt;&gt;Lucas Luiz Romero")*(23/1083),IF(C140="JR",SUMIFS($D:$D,$A:$A,$A140,$B:$B,"&lt;&gt;Patrícia Karla de Sousa Araújo",$B:$B,"&lt;&gt;Lorena Dias de Araujo",$B:$B,"&lt;&gt;Lucas Luiz Romero")*(20/1083),IF(C140="Estágio",SUMIFS($D:$D,$A:$A,$A140,$B:$B,"&lt;&gt;Patrícia Karla de Sousa Araújo",$B:$B,"&lt;&gt;Lorena Dias de Araujo",$B:$B,"&lt;&gt;Lucas Luiz Romero")*(10/1083),0)))))),0)</f>
        <v>20</v>
      </c>
      <c r="K140" s="3">
        <f>I140-J140</f>
        <v>-3</v>
      </c>
      <c r="L140" s="3" t="str">
        <f t="shared" si="19"/>
        <v>ATENÇÃO</v>
      </c>
      <c r="M140" s="3">
        <v>15</v>
      </c>
      <c r="N140" s="3">
        <v>100</v>
      </c>
      <c r="O140" s="3">
        <v>20.0836820083682</v>
      </c>
    </row>
    <row r="141" spans="1:15" hidden="1" x14ac:dyDescent="0.25">
      <c r="A141" s="5">
        <v>46148</v>
      </c>
      <c r="B141" s="6" t="s">
        <v>30</v>
      </c>
      <c r="C141" s="3" t="s">
        <v>26</v>
      </c>
      <c r="D141" s="3">
        <v>22</v>
      </c>
      <c r="E141" s="3">
        <v>21</v>
      </c>
      <c r="F141">
        <v>17.239999999999998</v>
      </c>
      <c r="G141" s="3">
        <v>3</v>
      </c>
      <c r="H141" s="3">
        <v>0</v>
      </c>
      <c r="I141" s="3">
        <f>E141+G141+H141</f>
        <v>24</v>
      </c>
      <c r="J141" s="3">
        <f>ROUND(MIN(IF(C141="Técnico III",35,IF(C141="Técnico II",28,IF(C141="Técnico I",23,IF(C141="JR",20,IF(C141="Estágio",10,0))))),IF(C141="Técnico III",SUMIFS($D:$D,$A:$A,$A141,$B:$B,"&lt;&gt;Patrícia Karla de Sousa Araújo",$B:$B,"&lt;&gt;Lorena Dias de Araujo",$B:$B,"&lt;&gt;Lucas Luiz Romero")*(35/1083),IF(C141="Técnico II",SUMIFS($D:$D,$A:$A,$A141,$B:$B,"&lt;&gt;Patrícia Karla de Sousa Araújo",$B:$B,"&lt;&gt;Lorena Dias de Araujo",$B:$B,"&lt;&gt;Lucas Luiz Romero")*(28/1083),IF(C141="Técnico I",SUMIFS($D:$D,$A:$A,$A141,$B:$B,"&lt;&gt;Patrícia Karla de Sousa Araújo",$B:$B,"&lt;&gt;Lorena Dias de Araujo",$B:$B,"&lt;&gt;Lucas Luiz Romero")*(23/1083),IF(C141="JR",SUMIFS($D:$D,$A:$A,$A141,$B:$B,"&lt;&gt;Patrícia Karla de Sousa Araújo",$B:$B,"&lt;&gt;Lorena Dias de Araujo",$B:$B,"&lt;&gt;Lucas Luiz Romero")*(20/1083),IF(C141="Estágio",SUMIFS($D:$D,$A:$A,$A141,$B:$B,"&lt;&gt;Patrícia Karla de Sousa Araújo",$B:$B,"&lt;&gt;Lorena Dias de Araujo",$B:$B,"&lt;&gt;Lucas Luiz Romero")*(10/1083),0)))))),0)</f>
        <v>20</v>
      </c>
      <c r="K141" s="3">
        <f>I141-J141</f>
        <v>4</v>
      </c>
      <c r="L141" s="3" t="str">
        <f t="shared" si="19"/>
        <v>BOM</v>
      </c>
      <c r="M141" s="3">
        <v>18</v>
      </c>
      <c r="N141" s="3">
        <v>100</v>
      </c>
      <c r="O141" s="3">
        <v>16.34241245136187</v>
      </c>
    </row>
    <row r="142" spans="1:15" hidden="1" x14ac:dyDescent="0.25">
      <c r="A142" s="5">
        <v>46149</v>
      </c>
      <c r="B142" s="6" t="s">
        <v>25</v>
      </c>
      <c r="C142" s="3" t="s">
        <v>26</v>
      </c>
      <c r="D142" s="3">
        <v>18</v>
      </c>
      <c r="E142" s="3">
        <v>17</v>
      </c>
      <c r="F142">
        <v>23.23</v>
      </c>
      <c r="G142" s="3">
        <v>9</v>
      </c>
      <c r="H142" s="3">
        <v>0</v>
      </c>
      <c r="I142" s="3">
        <f>E142+G142+H142</f>
        <v>26</v>
      </c>
      <c r="J142" s="3">
        <f>ROUND(MIN(IF(C142="Técnico III",35,IF(C142="Técnico II",28,IF(C142="Técnico I",23,IF(C142="JR",20,IF(C142="Estágio",10,0))))),IF(C142="Técnico III",SUMIFS($D:$D,$A:$A,$A142,$B:$B,"&lt;&gt;Patrícia Karla de Sousa Araújo",$B:$B,"&lt;&gt;Lorena Dias de Araujo",$B:$B,"&lt;&gt;Lucas Luiz Romero")*(35/1083),IF(C142="Técnico II",SUMIFS($D:$D,$A:$A,$A142,$B:$B,"&lt;&gt;Patrícia Karla de Sousa Araújo",$B:$B,"&lt;&gt;Lorena Dias de Araujo",$B:$B,"&lt;&gt;Lucas Luiz Romero")*(28/1083),IF(C142="Técnico I",SUMIFS($D:$D,$A:$A,$A142,$B:$B,"&lt;&gt;Patrícia Karla de Sousa Araújo",$B:$B,"&lt;&gt;Lorena Dias de Araujo",$B:$B,"&lt;&gt;Lucas Luiz Romero")*(23/1083),IF(C142="JR",SUMIFS($D:$D,$A:$A,$A142,$B:$B,"&lt;&gt;Patrícia Karla de Sousa Araújo",$B:$B,"&lt;&gt;Lorena Dias de Araujo",$B:$B,"&lt;&gt;Lucas Luiz Romero")*(20/1083),IF(C142="Estágio",SUMIFS($D:$D,$A:$A,$A142,$B:$B,"&lt;&gt;Patrícia Karla de Sousa Araújo",$B:$B,"&lt;&gt;Lorena Dias de Araujo",$B:$B,"&lt;&gt;Lucas Luiz Romero")*(10/1083),0)))))),0)</f>
        <v>19</v>
      </c>
      <c r="K142" s="3">
        <f>I142-J142</f>
        <v>7</v>
      </c>
      <c r="L142" s="3" t="str">
        <f t="shared" si="19"/>
        <v>EXCELENTE</v>
      </c>
      <c r="M142" s="3">
        <v>22</v>
      </c>
      <c r="N142" s="3">
        <v>97.62</v>
      </c>
      <c r="O142" s="3">
        <v>17.82477341389728</v>
      </c>
    </row>
    <row r="143" spans="1:15" hidden="1" x14ac:dyDescent="0.25">
      <c r="A143" s="5">
        <v>46149</v>
      </c>
      <c r="B143" s="6" t="s">
        <v>27</v>
      </c>
      <c r="C143" s="3" t="s">
        <v>26</v>
      </c>
      <c r="D143" s="3">
        <v>12</v>
      </c>
      <c r="E143" s="3">
        <v>11</v>
      </c>
      <c r="F143">
        <v>36.43</v>
      </c>
      <c r="G143" s="3">
        <v>4</v>
      </c>
      <c r="H143" s="3">
        <v>0</v>
      </c>
      <c r="I143" s="3">
        <f>E143+G143+H143</f>
        <v>15</v>
      </c>
      <c r="J143" s="3">
        <f>ROUND(MIN(IF(C143="Técnico III",35,IF(C143="Técnico II",28,IF(C143="Técnico I",23,IF(C143="JR",20,IF(C143="Estágio",10,0))))),IF(C143="Técnico III",SUMIFS($D:$D,$A:$A,$A143,$B:$B,"&lt;&gt;Patrícia Karla de Sousa Araújo",$B:$B,"&lt;&gt;Lorena Dias de Araujo",$B:$B,"&lt;&gt;Lucas Luiz Romero")*(35/1083),IF(C143="Técnico II",SUMIFS($D:$D,$A:$A,$A143,$B:$B,"&lt;&gt;Patrícia Karla de Sousa Araújo",$B:$B,"&lt;&gt;Lorena Dias de Araujo",$B:$B,"&lt;&gt;Lucas Luiz Romero")*(28/1083),IF(C143="Técnico I",SUMIFS($D:$D,$A:$A,$A143,$B:$B,"&lt;&gt;Patrícia Karla de Sousa Araújo",$B:$B,"&lt;&gt;Lorena Dias de Araujo",$B:$B,"&lt;&gt;Lucas Luiz Romero")*(23/1083),IF(C143="JR",SUMIFS($D:$D,$A:$A,$A143,$B:$B,"&lt;&gt;Patrícia Karla de Sousa Araújo",$B:$B,"&lt;&gt;Lorena Dias de Araujo",$B:$B,"&lt;&gt;Lucas Luiz Romero")*(20/1083),IF(C143="Estágio",SUMIFS($D:$D,$A:$A,$A143,$B:$B,"&lt;&gt;Patrícia Karla de Sousa Araújo",$B:$B,"&lt;&gt;Lorena Dias de Araujo",$B:$B,"&lt;&gt;Lucas Luiz Romero")*(10/1083),0)))))),0)</f>
        <v>19</v>
      </c>
      <c r="K143" s="3">
        <f>I143-J143</f>
        <v>-4</v>
      </c>
      <c r="L143" s="3" t="str">
        <f t="shared" si="19"/>
        <v>ATENÇÃO</v>
      </c>
      <c r="M143" s="3">
        <v>8</v>
      </c>
      <c r="N143" s="3">
        <v>100</v>
      </c>
      <c r="O143" s="3">
        <v>19.072164948453612</v>
      </c>
    </row>
    <row r="144" spans="1:15" hidden="1" x14ac:dyDescent="0.25">
      <c r="A144" s="5">
        <v>46149</v>
      </c>
      <c r="B144" s="6" t="s">
        <v>28</v>
      </c>
      <c r="C144" s="3" t="s">
        <v>26</v>
      </c>
      <c r="D144" s="3">
        <v>0</v>
      </c>
      <c r="E144" s="3">
        <v>0</v>
      </c>
      <c r="F144" s="3">
        <v>0</v>
      </c>
      <c r="G144" s="3">
        <v>0</v>
      </c>
      <c r="H144" s="3">
        <v>0</v>
      </c>
      <c r="I144" s="3">
        <v>0</v>
      </c>
      <c r="J144" s="3">
        <v>0</v>
      </c>
      <c r="K144" s="3">
        <v>0</v>
      </c>
      <c r="L144" s="3" t="str">
        <f t="shared" si="19"/>
        <v>BOM</v>
      </c>
      <c r="M144" s="3">
        <v>0</v>
      </c>
      <c r="N144" s="3">
        <v>96.83</v>
      </c>
      <c r="O144" s="3">
        <v>20.94017094017094</v>
      </c>
    </row>
    <row r="145" spans="1:15" hidden="1" x14ac:dyDescent="0.25">
      <c r="A145" s="5">
        <v>46149</v>
      </c>
      <c r="B145" s="6" t="s">
        <v>29</v>
      </c>
      <c r="C145" s="3" t="s">
        <v>26</v>
      </c>
      <c r="D145" s="3">
        <v>16</v>
      </c>
      <c r="E145" s="3">
        <v>16</v>
      </c>
      <c r="F145">
        <v>21.57</v>
      </c>
      <c r="G145" s="3">
        <v>8</v>
      </c>
      <c r="H145" s="3">
        <v>0</v>
      </c>
      <c r="I145" s="3">
        <f t="shared" ref="I145:I163" si="20">E145+G145+H145</f>
        <v>24</v>
      </c>
      <c r="J145" s="3">
        <f>ROUND(MIN(IF(C145="Técnico III",35,IF(C145="Técnico II",28,IF(C145="Técnico I",23,IF(C145="JR",20,IF(C145="Estágio",10,0))))),IF(C145="Técnico III",SUMIFS($D:$D,$A:$A,$A145,$B:$B,"&lt;&gt;Patrícia Karla de Sousa Araújo",$B:$B,"&lt;&gt;Lorena Dias de Araujo",$B:$B,"&lt;&gt;Lucas Luiz Romero")*(35/1083),IF(C145="Técnico II",SUMIFS($D:$D,$A:$A,$A145,$B:$B,"&lt;&gt;Patrícia Karla de Sousa Araújo",$B:$B,"&lt;&gt;Lorena Dias de Araujo",$B:$B,"&lt;&gt;Lucas Luiz Romero")*(28/1083),IF(C145="Técnico I",SUMIFS($D:$D,$A:$A,$A145,$B:$B,"&lt;&gt;Patrícia Karla de Sousa Araújo",$B:$B,"&lt;&gt;Lorena Dias de Araujo",$B:$B,"&lt;&gt;Lucas Luiz Romero")*(23/1083),IF(C145="JR",SUMIFS($D:$D,$A:$A,$A145,$B:$B,"&lt;&gt;Patrícia Karla de Sousa Araújo",$B:$B,"&lt;&gt;Lorena Dias de Araujo",$B:$B,"&lt;&gt;Lucas Luiz Romero")*(20/1083),IF(C145="Estágio",SUMIFS($D:$D,$A:$A,$A145,$B:$B,"&lt;&gt;Patrícia Karla de Sousa Araújo",$B:$B,"&lt;&gt;Lorena Dias de Araujo",$B:$B,"&lt;&gt;Lucas Luiz Romero")*(10/1083),0)))))),0)</f>
        <v>19</v>
      </c>
      <c r="K145" s="3">
        <f t="shared" ref="K145:K163" si="21">I145-J145</f>
        <v>5</v>
      </c>
      <c r="L145" s="3" t="str">
        <f t="shared" si="19"/>
        <v>BOM</v>
      </c>
      <c r="M145" s="3">
        <v>18</v>
      </c>
      <c r="N145" s="3">
        <v>100</v>
      </c>
      <c r="O145" s="3">
        <v>20.0836820083682</v>
      </c>
    </row>
    <row r="146" spans="1:15" hidden="1" x14ac:dyDescent="0.25">
      <c r="A146" s="5">
        <v>46149</v>
      </c>
      <c r="B146" s="6" t="s">
        <v>30</v>
      </c>
      <c r="C146" s="3" t="s">
        <v>26</v>
      </c>
      <c r="D146" s="3">
        <v>19</v>
      </c>
      <c r="E146" s="3">
        <v>19</v>
      </c>
      <c r="F146">
        <v>17.09</v>
      </c>
      <c r="G146" s="3">
        <v>5</v>
      </c>
      <c r="H146" s="3">
        <v>0</v>
      </c>
      <c r="I146" s="3">
        <f t="shared" si="20"/>
        <v>24</v>
      </c>
      <c r="J146" s="3">
        <f>ROUND(MIN(IF(C146="Técnico III",35,IF(C146="Técnico II",28,IF(C146="Técnico I",23,IF(C146="JR",20,IF(C146="Estágio",10,0))))),IF(C146="Técnico III",SUMIFS($D:$D,$A:$A,$A146,$B:$B,"&lt;&gt;Patrícia Karla de Sousa Araújo",$B:$B,"&lt;&gt;Lorena Dias de Araujo",$B:$B,"&lt;&gt;Lucas Luiz Romero")*(35/1083),IF(C146="Técnico II",SUMIFS($D:$D,$A:$A,$A146,$B:$B,"&lt;&gt;Patrícia Karla de Sousa Araújo",$B:$B,"&lt;&gt;Lorena Dias de Araujo",$B:$B,"&lt;&gt;Lucas Luiz Romero")*(28/1083),IF(C146="Técnico I",SUMIFS($D:$D,$A:$A,$A146,$B:$B,"&lt;&gt;Patrícia Karla de Sousa Araújo",$B:$B,"&lt;&gt;Lorena Dias de Araujo",$B:$B,"&lt;&gt;Lucas Luiz Romero")*(23/1083),IF(C146="JR",SUMIFS($D:$D,$A:$A,$A146,$B:$B,"&lt;&gt;Patrícia Karla de Sousa Araújo",$B:$B,"&lt;&gt;Lorena Dias de Araujo",$B:$B,"&lt;&gt;Lucas Luiz Romero")*(20/1083),IF(C146="Estágio",SUMIFS($D:$D,$A:$A,$A146,$B:$B,"&lt;&gt;Patrícia Karla de Sousa Araújo",$B:$B,"&lt;&gt;Lorena Dias de Araujo",$B:$B,"&lt;&gt;Lucas Luiz Romero")*(10/1083),0)))))),0)</f>
        <v>19</v>
      </c>
      <c r="K146" s="3">
        <f t="shared" si="21"/>
        <v>5</v>
      </c>
      <c r="L146" s="3" t="str">
        <f t="shared" si="19"/>
        <v>BOM</v>
      </c>
      <c r="M146" s="3">
        <v>25</v>
      </c>
      <c r="N146" s="3">
        <v>100</v>
      </c>
      <c r="O146" s="3">
        <v>16.34241245136187</v>
      </c>
    </row>
    <row r="147" spans="1:15" hidden="1" x14ac:dyDescent="0.25">
      <c r="A147" s="5">
        <v>46150</v>
      </c>
      <c r="B147" s="6" t="s">
        <v>25</v>
      </c>
      <c r="C147" s="3" t="s">
        <v>26</v>
      </c>
      <c r="D147" s="3">
        <v>21</v>
      </c>
      <c r="E147" s="3">
        <v>20</v>
      </c>
      <c r="F147">
        <v>22.21</v>
      </c>
      <c r="G147" s="3">
        <v>1</v>
      </c>
      <c r="H147" s="3">
        <v>0</v>
      </c>
      <c r="I147" s="3">
        <f t="shared" si="20"/>
        <v>21</v>
      </c>
      <c r="J147" s="3">
        <f>ROUND(MIN(IF(C147="Técnico III",35,IF(C147="Técnico II",28,IF(C147="Técnico I",23,IF(C147="JR",20,IF(C147="Estágio",10,0))))),IF(C147="Técnico III",SUMIFS($D:$D,$A:$A,$A147,$B:$B,"&lt;&gt;Patrícia Karla de Sousa Araújo",$B:$B,"&lt;&gt;Lorena Dias de Araujo",$B:$B,"&lt;&gt;Lucas Luiz Romero")*(35/1083),IF(C147="Técnico II",SUMIFS($D:$D,$A:$A,$A147,$B:$B,"&lt;&gt;Patrícia Karla de Sousa Araújo",$B:$B,"&lt;&gt;Lorena Dias de Araujo",$B:$B,"&lt;&gt;Lucas Luiz Romero")*(28/1083),IF(C147="Técnico I",SUMIFS($D:$D,$A:$A,$A147,$B:$B,"&lt;&gt;Patrícia Karla de Sousa Araújo",$B:$B,"&lt;&gt;Lorena Dias de Araujo",$B:$B,"&lt;&gt;Lucas Luiz Romero")*(23/1083),IF(C147="JR",SUMIFS($D:$D,$A:$A,$A147,$B:$B,"&lt;&gt;Patrícia Karla de Sousa Araújo",$B:$B,"&lt;&gt;Lorena Dias de Araujo",$B:$B,"&lt;&gt;Lucas Luiz Romero")*(20/1083),IF(C147="Estágio",SUMIFS($D:$D,$A:$A,$A147,$B:$B,"&lt;&gt;Patrícia Karla de Sousa Araújo",$B:$B,"&lt;&gt;Lorena Dias de Araujo",$B:$B,"&lt;&gt;Lucas Luiz Romero")*(10/1083),0)))))),0)</f>
        <v>16</v>
      </c>
      <c r="K147" s="3">
        <f t="shared" si="21"/>
        <v>5</v>
      </c>
      <c r="L147" s="3" t="str">
        <f t="shared" si="19"/>
        <v>BOM</v>
      </c>
      <c r="M147">
        <v>16</v>
      </c>
      <c r="N147">
        <v>97.62</v>
      </c>
      <c r="O147">
        <v>17.82477341389728</v>
      </c>
    </row>
    <row r="148" spans="1:15" hidden="1" x14ac:dyDescent="0.25">
      <c r="A148" s="5">
        <v>46150</v>
      </c>
      <c r="B148" s="6" t="s">
        <v>27</v>
      </c>
      <c r="C148" s="3" t="s">
        <v>26</v>
      </c>
      <c r="D148" s="3">
        <v>11</v>
      </c>
      <c r="E148" s="3">
        <v>11</v>
      </c>
      <c r="F148">
        <v>33.549999999999997</v>
      </c>
      <c r="G148" s="3">
        <v>4</v>
      </c>
      <c r="H148" s="3">
        <v>0</v>
      </c>
      <c r="I148" s="3">
        <f t="shared" si="20"/>
        <v>15</v>
      </c>
      <c r="J148" s="3">
        <f>ROUND(MIN(IF(C148="Técnico III",35,IF(C148="Técnico II",28,IF(C148="Técnico I",23,IF(C148="JR",20,IF(C148="Estágio",10,0))))),IF(C148="Técnico III",SUMIFS($D:$D,$A:$A,$A148,$B:$B,"&lt;&gt;Patrícia Karla de Sousa Araújo",$B:$B,"&lt;&gt;Lorena Dias de Araujo",$B:$B,"&lt;&gt;Lucas Luiz Romero")*(35/1083),IF(C148="Técnico II",SUMIFS($D:$D,$A:$A,$A148,$B:$B,"&lt;&gt;Patrícia Karla de Sousa Araújo",$B:$B,"&lt;&gt;Lorena Dias de Araujo",$B:$B,"&lt;&gt;Lucas Luiz Romero")*(28/1083),IF(C148="Técnico I",SUMIFS($D:$D,$A:$A,$A148,$B:$B,"&lt;&gt;Patrícia Karla de Sousa Araújo",$B:$B,"&lt;&gt;Lorena Dias de Araujo",$B:$B,"&lt;&gt;Lucas Luiz Romero")*(23/1083),IF(C148="JR",SUMIFS($D:$D,$A:$A,$A148,$B:$B,"&lt;&gt;Patrícia Karla de Sousa Araújo",$B:$B,"&lt;&gt;Lorena Dias de Araujo",$B:$B,"&lt;&gt;Lucas Luiz Romero")*(20/1083),IF(C148="Estágio",SUMIFS($D:$D,$A:$A,$A148,$B:$B,"&lt;&gt;Patrícia Karla de Sousa Araújo",$B:$B,"&lt;&gt;Lorena Dias de Araujo",$B:$B,"&lt;&gt;Lucas Luiz Romero")*(10/1083),0)))))),0)</f>
        <v>16</v>
      </c>
      <c r="K148" s="3">
        <f t="shared" si="21"/>
        <v>-1</v>
      </c>
      <c r="L148" s="3" t="str">
        <f t="shared" si="19"/>
        <v>ATENÇÃO</v>
      </c>
      <c r="M148">
        <v>14</v>
      </c>
      <c r="N148">
        <v>100</v>
      </c>
      <c r="O148">
        <v>19.072164948453612</v>
      </c>
    </row>
    <row r="149" spans="1:15" hidden="1" x14ac:dyDescent="0.25">
      <c r="A149" s="5">
        <v>46150</v>
      </c>
      <c r="B149" s="6" t="s">
        <v>28</v>
      </c>
      <c r="C149" s="3" t="s">
        <v>26</v>
      </c>
      <c r="D149" s="3">
        <v>53</v>
      </c>
      <c r="E149" s="3">
        <v>26</v>
      </c>
      <c r="F149">
        <v>5.5</v>
      </c>
      <c r="G149" s="3">
        <v>0</v>
      </c>
      <c r="H149" s="3">
        <v>0</v>
      </c>
      <c r="I149" s="3">
        <f t="shared" si="20"/>
        <v>26</v>
      </c>
      <c r="J149" s="3">
        <f>ROUND(MIN(IF(C149="Técnico III",35,IF(C149="Técnico II",28,IF(C149="Técnico I",23,IF(C149="JR",20,IF(C149="Estágio",10,0))))),IF(C149="Técnico III",SUMIFS($D:$D,$A:$A,$A149,$B:$B,"&lt;&gt;Patrícia Karla de Sousa Araújo",$B:$B,"&lt;&gt;Lorena Dias de Araujo",$B:$B,"&lt;&gt;Lucas Luiz Romero")*(35/1083),IF(C149="Técnico II",SUMIFS($D:$D,$A:$A,$A149,$B:$B,"&lt;&gt;Patrícia Karla de Sousa Araújo",$B:$B,"&lt;&gt;Lorena Dias de Araujo",$B:$B,"&lt;&gt;Lucas Luiz Romero")*(28/1083),IF(C149="Técnico I",SUMIFS($D:$D,$A:$A,$A149,$B:$B,"&lt;&gt;Patrícia Karla de Sousa Araújo",$B:$B,"&lt;&gt;Lorena Dias de Araujo",$B:$B,"&lt;&gt;Lucas Luiz Romero")*(23/1083),IF(C149="JR",SUMIFS($D:$D,$A:$A,$A149,$B:$B,"&lt;&gt;Patrícia Karla de Sousa Araújo",$B:$B,"&lt;&gt;Lorena Dias de Araujo",$B:$B,"&lt;&gt;Lucas Luiz Romero")*(20/1083),IF(C149="Estágio",SUMIFS($D:$D,$A:$A,$A149,$B:$B,"&lt;&gt;Patrícia Karla de Sousa Araújo",$B:$B,"&lt;&gt;Lorena Dias de Araujo",$B:$B,"&lt;&gt;Lucas Luiz Romero")*(10/1083),0)))))),0)</f>
        <v>16</v>
      </c>
      <c r="K149" s="3">
        <f t="shared" si="21"/>
        <v>10</v>
      </c>
      <c r="L149" s="3" t="str">
        <f t="shared" si="19"/>
        <v>EXCELENTE</v>
      </c>
      <c r="M149">
        <v>20</v>
      </c>
      <c r="N149">
        <v>96.83</v>
      </c>
      <c r="O149">
        <v>20.94017094017094</v>
      </c>
    </row>
    <row r="150" spans="1:15" hidden="1" x14ac:dyDescent="0.25">
      <c r="A150" s="5">
        <v>46150</v>
      </c>
      <c r="B150" s="6" t="s">
        <v>29</v>
      </c>
      <c r="C150" s="3" t="s">
        <v>26</v>
      </c>
      <c r="D150" s="3">
        <v>14</v>
      </c>
      <c r="E150" s="3">
        <v>14</v>
      </c>
      <c r="F150">
        <v>23.46</v>
      </c>
      <c r="G150" s="3">
        <v>0</v>
      </c>
      <c r="H150" s="3">
        <v>0</v>
      </c>
      <c r="I150" s="3">
        <f t="shared" si="20"/>
        <v>14</v>
      </c>
      <c r="J150" s="3">
        <f>ROUND(MIN(IF(C150="Técnico III",35,IF(C150="Técnico II",28,IF(C150="Técnico I",23,IF(C150="JR",20,IF(C150="Estágio",10,0))))),IF(C150="Técnico III",SUMIFS($D:$D,$A:$A,$A150,$B:$B,"&lt;&gt;Patrícia Karla de Sousa Araújo",$B:$B,"&lt;&gt;Lorena Dias de Araujo",$B:$B,"&lt;&gt;Lucas Luiz Romero")*(35/1083),IF(C150="Técnico II",SUMIFS($D:$D,$A:$A,$A150,$B:$B,"&lt;&gt;Patrícia Karla de Sousa Araújo",$B:$B,"&lt;&gt;Lorena Dias de Araujo",$B:$B,"&lt;&gt;Lucas Luiz Romero")*(28/1083),IF(C150="Técnico I",SUMIFS($D:$D,$A:$A,$A150,$B:$B,"&lt;&gt;Patrícia Karla de Sousa Araújo",$B:$B,"&lt;&gt;Lorena Dias de Araujo",$B:$B,"&lt;&gt;Lucas Luiz Romero")*(23/1083),IF(C150="JR",SUMIFS($D:$D,$A:$A,$A150,$B:$B,"&lt;&gt;Patrícia Karla de Sousa Araújo",$B:$B,"&lt;&gt;Lorena Dias de Araujo",$B:$B,"&lt;&gt;Lucas Luiz Romero")*(20/1083),IF(C150="Estágio",SUMIFS($D:$D,$A:$A,$A150,$B:$B,"&lt;&gt;Patrícia Karla de Sousa Araújo",$B:$B,"&lt;&gt;Lorena Dias de Araujo",$B:$B,"&lt;&gt;Lucas Luiz Romero")*(10/1083),0)))))),0)</f>
        <v>16</v>
      </c>
      <c r="K150" s="3">
        <f t="shared" si="21"/>
        <v>-2</v>
      </c>
      <c r="L150" s="3" t="str">
        <f t="shared" si="19"/>
        <v>ATENÇÃO</v>
      </c>
      <c r="M150">
        <v>14</v>
      </c>
      <c r="N150">
        <v>100</v>
      </c>
      <c r="O150">
        <v>20.0836820083682</v>
      </c>
    </row>
    <row r="151" spans="1:15" hidden="1" x14ac:dyDescent="0.25">
      <c r="A151" s="5">
        <v>46150</v>
      </c>
      <c r="B151" s="6" t="s">
        <v>30</v>
      </c>
      <c r="C151" s="3" t="s">
        <v>26</v>
      </c>
      <c r="D151" s="3">
        <v>18</v>
      </c>
      <c r="E151" s="3">
        <v>17</v>
      </c>
      <c r="F151">
        <v>18.3</v>
      </c>
      <c r="G151" s="3">
        <v>0</v>
      </c>
      <c r="H151" s="3">
        <v>0</v>
      </c>
      <c r="I151" s="3">
        <f t="shared" si="20"/>
        <v>17</v>
      </c>
      <c r="J151" s="3">
        <f>ROUND(MIN(IF(C151="Técnico III",35,IF(C151="Técnico II",28,IF(C151="Técnico I",23,IF(C151="JR",20,IF(C151="Estágio",10,0))))),IF(C151="Técnico III",SUMIFS($D:$D,$A:$A,$A151,$B:$B,"&lt;&gt;Patrícia Karla de Sousa Araújo",$B:$B,"&lt;&gt;Lorena Dias de Araujo",$B:$B,"&lt;&gt;Lucas Luiz Romero")*(35/1083),IF(C151="Técnico II",SUMIFS($D:$D,$A:$A,$A151,$B:$B,"&lt;&gt;Patrícia Karla de Sousa Araújo",$B:$B,"&lt;&gt;Lorena Dias de Araujo",$B:$B,"&lt;&gt;Lucas Luiz Romero")*(28/1083),IF(C151="Técnico I",SUMIFS($D:$D,$A:$A,$A151,$B:$B,"&lt;&gt;Patrícia Karla de Sousa Araújo",$B:$B,"&lt;&gt;Lorena Dias de Araujo",$B:$B,"&lt;&gt;Lucas Luiz Romero")*(23/1083),IF(C151="JR",SUMIFS($D:$D,$A:$A,$A151,$B:$B,"&lt;&gt;Patrícia Karla de Sousa Araújo",$B:$B,"&lt;&gt;Lorena Dias de Araujo",$B:$B,"&lt;&gt;Lucas Luiz Romero")*(20/1083),IF(C151="Estágio",SUMIFS($D:$D,$A:$A,$A151,$B:$B,"&lt;&gt;Patrícia Karla de Sousa Araújo",$B:$B,"&lt;&gt;Lorena Dias de Araujo",$B:$B,"&lt;&gt;Lucas Luiz Romero")*(10/1083),0)))))),0)</f>
        <v>16</v>
      </c>
      <c r="K151" s="3">
        <f t="shared" si="21"/>
        <v>1</v>
      </c>
      <c r="L151" s="3" t="str">
        <f t="shared" si="19"/>
        <v>BOM</v>
      </c>
      <c r="M151">
        <v>16</v>
      </c>
      <c r="N151">
        <v>100</v>
      </c>
      <c r="O151">
        <v>16.34241245136187</v>
      </c>
    </row>
    <row r="152" spans="1:15" hidden="1" x14ac:dyDescent="0.25">
      <c r="A152" s="5">
        <v>46153</v>
      </c>
      <c r="B152" s="6" t="s">
        <v>25</v>
      </c>
      <c r="C152" s="3" t="s">
        <v>26</v>
      </c>
      <c r="D152" s="3">
        <v>17</v>
      </c>
      <c r="E152" s="3">
        <v>17</v>
      </c>
      <c r="F152">
        <v>30.53</v>
      </c>
      <c r="G152" s="3">
        <v>2</v>
      </c>
      <c r="H152" s="3">
        <v>0</v>
      </c>
      <c r="I152" s="3">
        <f t="shared" si="20"/>
        <v>19</v>
      </c>
      <c r="J152" s="3">
        <f>ROUND(MIN(IF(C152="Técnico III",35,IF(C152="Técnico II",28,IF(C152="Técnico I",23,IF(C152="JR",20,IF(C152="Estágio",10,0))))),IF(C152="Técnico III",SUMIFS($D:$D,$A:$A,$A152,$B:$B,"&lt;&gt;Patrícia Karla de Sousa Araújo",$B:$B,"&lt;&gt;Lorena Dias de Araujo",$B:$B,"&lt;&gt;Lucas Luiz Romero")*(35/1083),IF(C152="Técnico II",SUMIFS($D:$D,$A:$A,$A152,$B:$B,"&lt;&gt;Patrícia Karla de Sousa Araújo",$B:$B,"&lt;&gt;Lorena Dias de Araujo",$B:$B,"&lt;&gt;Lucas Luiz Romero")*(28/1083),IF(C152="Técnico I",SUMIFS($D:$D,$A:$A,$A152,$B:$B,"&lt;&gt;Patrícia Karla de Sousa Araújo",$B:$B,"&lt;&gt;Lorena Dias de Araujo",$B:$B,"&lt;&gt;Lucas Luiz Romero")*(23/1083),IF(C152="JR",SUMIFS($D:$D,$A:$A,$A152,$B:$B,"&lt;&gt;Patrícia Karla de Sousa Araújo",$B:$B,"&lt;&gt;Lorena Dias de Araujo",$B:$B,"&lt;&gt;Lucas Luiz Romero")*(20/1083),IF(C152="Estágio",SUMIFS($D:$D,$A:$A,$A152,$B:$B,"&lt;&gt;Patrícia Karla de Sousa Araújo",$B:$B,"&lt;&gt;Lorena Dias de Araujo",$B:$B,"&lt;&gt;Lucas Luiz Romero")*(10/1083),0)))))),0)</f>
        <v>17</v>
      </c>
      <c r="K152" s="3">
        <f t="shared" si="21"/>
        <v>2</v>
      </c>
      <c r="L152" s="3" t="str">
        <f t="shared" si="19"/>
        <v>BOM</v>
      </c>
      <c r="M152">
        <v>18</v>
      </c>
      <c r="N152">
        <v>97.62</v>
      </c>
      <c r="O152">
        <v>17.82477341389728</v>
      </c>
    </row>
    <row r="153" spans="1:15" hidden="1" x14ac:dyDescent="0.25">
      <c r="A153" s="5">
        <v>46153</v>
      </c>
      <c r="B153" s="6" t="s">
        <v>27</v>
      </c>
      <c r="C153" s="3" t="s">
        <v>26</v>
      </c>
      <c r="D153" s="3">
        <v>12</v>
      </c>
      <c r="E153" s="3">
        <v>11</v>
      </c>
      <c r="F153">
        <v>22.06</v>
      </c>
      <c r="G153" s="3">
        <v>1</v>
      </c>
      <c r="H153" s="3">
        <v>0</v>
      </c>
      <c r="I153" s="3">
        <f t="shared" si="20"/>
        <v>12</v>
      </c>
      <c r="J153" s="3">
        <f>ROUND(MIN(IF(C153="Técnico III",35,IF(C153="Técnico II",28,IF(C153="Técnico I",23,IF(C153="JR",20,IF(C153="Estágio",10,0))))),IF(C153="Técnico III",SUMIFS($D:$D,$A:$A,$A153,$B:$B,"&lt;&gt;Patrícia Karla de Sousa Araújo",$B:$B,"&lt;&gt;Lorena Dias de Araujo",$B:$B,"&lt;&gt;Lucas Luiz Romero")*(35/1083),IF(C153="Técnico II",SUMIFS($D:$D,$A:$A,$A153,$B:$B,"&lt;&gt;Patrícia Karla de Sousa Araújo",$B:$B,"&lt;&gt;Lorena Dias de Araujo",$B:$B,"&lt;&gt;Lucas Luiz Romero")*(28/1083),IF(C153="Técnico I",SUMIFS($D:$D,$A:$A,$A153,$B:$B,"&lt;&gt;Patrícia Karla de Sousa Araújo",$B:$B,"&lt;&gt;Lorena Dias de Araujo",$B:$B,"&lt;&gt;Lucas Luiz Romero")*(23/1083),IF(C153="JR",SUMIFS($D:$D,$A:$A,$A153,$B:$B,"&lt;&gt;Patrícia Karla de Sousa Araújo",$B:$B,"&lt;&gt;Lorena Dias de Araujo",$B:$B,"&lt;&gt;Lucas Luiz Romero")*(20/1083),IF(C153="Estágio",SUMIFS($D:$D,$A:$A,$A153,$B:$B,"&lt;&gt;Patrícia Karla de Sousa Araújo",$B:$B,"&lt;&gt;Lorena Dias de Araujo",$B:$B,"&lt;&gt;Lucas Luiz Romero")*(10/1083),0)))))),0)</f>
        <v>17</v>
      </c>
      <c r="K153" s="3">
        <f t="shared" si="21"/>
        <v>-5</v>
      </c>
      <c r="L153" s="3" t="str">
        <f t="shared" si="19"/>
        <v>ATENÇÃO</v>
      </c>
      <c r="M153">
        <v>11</v>
      </c>
      <c r="N153">
        <v>100</v>
      </c>
      <c r="O153">
        <v>19.072164948453612</v>
      </c>
    </row>
    <row r="154" spans="1:15" hidden="1" x14ac:dyDescent="0.25">
      <c r="A154" s="11">
        <v>46029</v>
      </c>
      <c r="B154" t="s">
        <v>22</v>
      </c>
      <c r="C154" t="s">
        <v>23</v>
      </c>
      <c r="D154">
        <v>26</v>
      </c>
      <c r="E154">
        <v>25</v>
      </c>
      <c r="F154">
        <v>23.44</v>
      </c>
      <c r="G154">
        <v>0</v>
      </c>
      <c r="H154">
        <v>0</v>
      </c>
      <c r="I154" s="3">
        <f t="shared" si="20"/>
        <v>25</v>
      </c>
      <c r="J154" s="3">
        <f>ROUND(MIN(IF(C154="Técnico III",35,IF(C154="Técnico II",28,IF(C154="Técnico I",23,IF(C154="JR",20,IF(C154="Estágio",10,0))))),IF(C154="Técnico III",SUMIFS($D:$D,$A:$A,$A154,$B:$B,"&lt;&gt;Patrícia Karla de Sousa Araújo",$B:$B,"&lt;&gt;Lorena Dias de Araujo",$B:$B,"&lt;&gt;Lucas Luiz Romero")*(35/1083),IF(C154="Técnico II",SUMIFS($D:$D,$A:$A,$A154,$B:$B,"&lt;&gt;Patrícia Karla de Sousa Araújo",$B:$B,"&lt;&gt;Lorena Dias de Araujo",$B:$B,"&lt;&gt;Lucas Luiz Romero")*(28/1083),IF(C154="Técnico I",SUMIFS($D:$D,$A:$A,$A154,$B:$B,"&lt;&gt;Patrícia Karla de Sousa Araújo",$B:$B,"&lt;&gt;Lorena Dias de Araujo",$B:$B,"&lt;&gt;Lucas Luiz Romero")*(23/1083),IF(C154="JR",SUMIFS($D:$D,$A:$A,$A154,$B:$B,"&lt;&gt;Patrícia Karla de Sousa Araújo",$B:$B,"&lt;&gt;Lorena Dias de Araujo",$B:$B,"&lt;&gt;Lucas Luiz Romero")*(20/1083),IF(C154="Estágio",SUMIFS($D:$D,$A:$A,$A154,$B:$B,"&lt;&gt;Patrícia Karla de Sousa Araújo",$B:$B,"&lt;&gt;Lorena Dias de Araujo",$B:$B,"&lt;&gt;Lucas Luiz Romero")*(10/1083),0)))))),0)</f>
        <v>17</v>
      </c>
      <c r="K154" s="3">
        <f t="shared" si="21"/>
        <v>8</v>
      </c>
      <c r="L154" s="3" t="str">
        <f t="shared" si="19"/>
        <v>EXCELENTE</v>
      </c>
      <c r="M154">
        <v>23</v>
      </c>
      <c r="N154">
        <v>98.91</v>
      </c>
      <c r="O154">
        <v>31.367292225201069</v>
      </c>
    </row>
    <row r="155" spans="1:15" hidden="1" x14ac:dyDescent="0.25">
      <c r="A155" s="5">
        <v>46153</v>
      </c>
      <c r="B155" s="6" t="s">
        <v>28</v>
      </c>
      <c r="C155" s="3" t="s">
        <v>26</v>
      </c>
      <c r="D155" s="3">
        <v>44</v>
      </c>
      <c r="E155" s="3">
        <v>23</v>
      </c>
      <c r="F155">
        <v>10.02</v>
      </c>
      <c r="G155" s="3">
        <v>0</v>
      </c>
      <c r="H155" s="3">
        <v>0</v>
      </c>
      <c r="I155" s="3">
        <f t="shared" si="20"/>
        <v>23</v>
      </c>
      <c r="J155" s="3">
        <f>ROUND(MIN(IF(C155="Técnico III",35,IF(C155="Técnico II",28,IF(C155="Técnico I",23,IF(C155="JR",20,IF(C155="Estágio",10,0))))),IF(C155="Técnico III",SUMIFS($D:$D,$A:$A,$A155,$B:$B,"&lt;&gt;Patrícia Karla de Sousa Araújo",$B:$B,"&lt;&gt;Lorena Dias de Araujo",$B:$B,"&lt;&gt;Lucas Luiz Romero")*(35/1083),IF(C155="Técnico II",SUMIFS($D:$D,$A:$A,$A155,$B:$B,"&lt;&gt;Patrícia Karla de Sousa Araújo",$B:$B,"&lt;&gt;Lorena Dias de Araujo",$B:$B,"&lt;&gt;Lucas Luiz Romero")*(28/1083),IF(C155="Técnico I",SUMIFS($D:$D,$A:$A,$A155,$B:$B,"&lt;&gt;Patrícia Karla de Sousa Araújo",$B:$B,"&lt;&gt;Lorena Dias de Araujo",$B:$B,"&lt;&gt;Lucas Luiz Romero")*(23/1083),IF(C155="JR",SUMIFS($D:$D,$A:$A,$A155,$B:$B,"&lt;&gt;Patrícia Karla de Sousa Araújo",$B:$B,"&lt;&gt;Lorena Dias de Araujo",$B:$B,"&lt;&gt;Lucas Luiz Romero")*(20/1083),IF(C155="Estágio",SUMIFS($D:$D,$A:$A,$A155,$B:$B,"&lt;&gt;Patrícia Karla de Sousa Araújo",$B:$B,"&lt;&gt;Lorena Dias de Araujo",$B:$B,"&lt;&gt;Lucas Luiz Romero")*(10/1083),0)))))),0)</f>
        <v>17</v>
      </c>
      <c r="K155" s="3">
        <f t="shared" si="21"/>
        <v>6</v>
      </c>
      <c r="L155" s="3" t="str">
        <f t="shared" si="19"/>
        <v>EXCELENTE</v>
      </c>
      <c r="M155">
        <v>13</v>
      </c>
      <c r="N155">
        <v>96.83</v>
      </c>
      <c r="O155">
        <v>20.94017094017094</v>
      </c>
    </row>
    <row r="156" spans="1:15" hidden="1" x14ac:dyDescent="0.25">
      <c r="A156" s="5">
        <v>46153</v>
      </c>
      <c r="B156" s="6" t="s">
        <v>29</v>
      </c>
      <c r="C156" s="3" t="s">
        <v>26</v>
      </c>
      <c r="D156" s="3">
        <v>11</v>
      </c>
      <c r="E156" s="3">
        <v>11</v>
      </c>
      <c r="F156">
        <v>15.43</v>
      </c>
      <c r="G156" s="3">
        <v>0</v>
      </c>
      <c r="H156" s="3">
        <v>0</v>
      </c>
      <c r="I156" s="3">
        <f t="shared" si="20"/>
        <v>11</v>
      </c>
      <c r="J156" s="3">
        <f>ROUND(MIN(IF(C156="Técnico III",35,IF(C156="Técnico II",28,IF(C156="Técnico I",23,IF(C156="JR",20,IF(C156="Estágio",10,0))))),IF(C156="Técnico III",SUMIFS($D:$D,$A:$A,$A156,$B:$B,"&lt;&gt;Patrícia Karla de Sousa Araújo",$B:$B,"&lt;&gt;Lorena Dias de Araujo",$B:$B,"&lt;&gt;Lucas Luiz Romero")*(35/1083),IF(C156="Técnico II",SUMIFS($D:$D,$A:$A,$A156,$B:$B,"&lt;&gt;Patrícia Karla de Sousa Araújo",$B:$B,"&lt;&gt;Lorena Dias de Araujo",$B:$B,"&lt;&gt;Lucas Luiz Romero")*(28/1083),IF(C156="Técnico I",SUMIFS($D:$D,$A:$A,$A156,$B:$B,"&lt;&gt;Patrícia Karla de Sousa Araújo",$B:$B,"&lt;&gt;Lorena Dias de Araujo",$B:$B,"&lt;&gt;Lucas Luiz Romero")*(23/1083),IF(C156="JR",SUMIFS($D:$D,$A:$A,$A156,$B:$B,"&lt;&gt;Patrícia Karla de Sousa Araújo",$B:$B,"&lt;&gt;Lorena Dias de Araujo",$B:$B,"&lt;&gt;Lucas Luiz Romero")*(20/1083),IF(C156="Estágio",SUMIFS($D:$D,$A:$A,$A156,$B:$B,"&lt;&gt;Patrícia Karla de Sousa Araújo",$B:$B,"&lt;&gt;Lorena Dias de Araujo",$B:$B,"&lt;&gt;Lucas Luiz Romero")*(10/1083),0)))))),0)</f>
        <v>17</v>
      </c>
      <c r="K156" s="3">
        <f t="shared" si="21"/>
        <v>-6</v>
      </c>
      <c r="L156" s="3" t="str">
        <f t="shared" si="19"/>
        <v>CRÍTICO</v>
      </c>
      <c r="M156">
        <v>12</v>
      </c>
      <c r="N156">
        <v>100</v>
      </c>
      <c r="O156">
        <v>20.0836820083682</v>
      </c>
    </row>
    <row r="157" spans="1:15" hidden="1" x14ac:dyDescent="0.25">
      <c r="A157" s="5">
        <v>46153</v>
      </c>
      <c r="B157" s="6" t="s">
        <v>30</v>
      </c>
      <c r="C157" s="3" t="s">
        <v>26</v>
      </c>
      <c r="D157" s="3">
        <v>17</v>
      </c>
      <c r="E157" s="3">
        <v>17</v>
      </c>
      <c r="F157">
        <v>20.21</v>
      </c>
      <c r="G157" s="3">
        <v>3</v>
      </c>
      <c r="H157" s="3">
        <v>0</v>
      </c>
      <c r="I157" s="3">
        <f t="shared" si="20"/>
        <v>20</v>
      </c>
      <c r="J157" s="3">
        <f>ROUND(MIN(IF(C157="Técnico III",35,IF(C157="Técnico II",28,IF(C157="Técnico I",23,IF(C157="JR",20,IF(C157="Estágio",10,0))))),IF(C157="Técnico III",SUMIFS($D:$D,$A:$A,$A157,$B:$B,"&lt;&gt;Patrícia Karla de Sousa Araújo",$B:$B,"&lt;&gt;Lorena Dias de Araujo",$B:$B,"&lt;&gt;Lucas Luiz Romero")*(35/1083),IF(C157="Técnico II",SUMIFS($D:$D,$A:$A,$A157,$B:$B,"&lt;&gt;Patrícia Karla de Sousa Araújo",$B:$B,"&lt;&gt;Lorena Dias de Araujo",$B:$B,"&lt;&gt;Lucas Luiz Romero")*(28/1083),IF(C157="Técnico I",SUMIFS($D:$D,$A:$A,$A157,$B:$B,"&lt;&gt;Patrícia Karla de Sousa Araújo",$B:$B,"&lt;&gt;Lorena Dias de Araujo",$B:$B,"&lt;&gt;Lucas Luiz Romero")*(23/1083),IF(C157="JR",SUMIFS($D:$D,$A:$A,$A157,$B:$B,"&lt;&gt;Patrícia Karla de Sousa Araújo",$B:$B,"&lt;&gt;Lorena Dias de Araujo",$B:$B,"&lt;&gt;Lucas Luiz Romero")*(20/1083),IF(C157="Estágio",SUMIFS($D:$D,$A:$A,$A157,$B:$B,"&lt;&gt;Patrícia Karla de Sousa Araújo",$B:$B,"&lt;&gt;Lorena Dias de Araujo",$B:$B,"&lt;&gt;Lucas Luiz Romero")*(10/1083),0)))))),0)</f>
        <v>17</v>
      </c>
      <c r="K157" s="3">
        <f t="shared" si="21"/>
        <v>3</v>
      </c>
      <c r="L157" s="3" t="str">
        <f t="shared" si="19"/>
        <v>BOM</v>
      </c>
      <c r="M157">
        <v>17</v>
      </c>
      <c r="N157">
        <v>100</v>
      </c>
      <c r="O157">
        <v>16.34241245136187</v>
      </c>
    </row>
    <row r="158" spans="1:15" hidden="1" x14ac:dyDescent="0.25">
      <c r="A158" s="5">
        <v>46154</v>
      </c>
      <c r="B158" s="6" t="s">
        <v>25</v>
      </c>
      <c r="C158" s="3" t="s">
        <v>26</v>
      </c>
      <c r="D158" s="3">
        <v>26</v>
      </c>
      <c r="E158" s="3">
        <v>22</v>
      </c>
      <c r="F158">
        <v>21.43</v>
      </c>
      <c r="G158" s="3">
        <v>0</v>
      </c>
      <c r="H158" s="3">
        <v>0</v>
      </c>
      <c r="I158" s="3">
        <f t="shared" si="20"/>
        <v>22</v>
      </c>
      <c r="J158" s="3">
        <f>ROUND(MIN(IF(C158="Técnico III",35,IF(C158="Técnico II",28,IF(C158="Técnico I",23,IF(C158="JR",20,IF(C158="Estágio",10,0))))),IF(C158="Técnico III",SUMIFS($D:$D,$A:$A,$A158,$B:$B,"&lt;&gt;Patrícia Karla de Sousa Araújo",$B:$B,"&lt;&gt;Lorena Dias de Araujo",$B:$B,"&lt;&gt;Lucas Luiz Romero")*(35/1083),IF(C158="Técnico II",SUMIFS($D:$D,$A:$A,$A158,$B:$B,"&lt;&gt;Patrícia Karla de Sousa Araújo",$B:$B,"&lt;&gt;Lorena Dias de Araujo",$B:$B,"&lt;&gt;Lucas Luiz Romero")*(28/1083),IF(C158="Técnico I",SUMIFS($D:$D,$A:$A,$A158,$B:$B,"&lt;&gt;Patrícia Karla de Sousa Araújo",$B:$B,"&lt;&gt;Lorena Dias de Araujo",$B:$B,"&lt;&gt;Lucas Luiz Romero")*(23/1083),IF(C158="JR",SUMIFS($D:$D,$A:$A,$A158,$B:$B,"&lt;&gt;Patrícia Karla de Sousa Araújo",$B:$B,"&lt;&gt;Lorena Dias de Araujo",$B:$B,"&lt;&gt;Lucas Luiz Romero")*(20/1083),IF(C158="Estágio",SUMIFS($D:$D,$A:$A,$A158,$B:$B,"&lt;&gt;Patrícia Karla de Sousa Araújo",$B:$B,"&lt;&gt;Lorena Dias de Araujo",$B:$B,"&lt;&gt;Lucas Luiz Romero")*(10/1083),0)))))),0)</f>
        <v>18</v>
      </c>
      <c r="K158" s="3">
        <f t="shared" si="21"/>
        <v>4</v>
      </c>
      <c r="L158" s="3" t="str">
        <f t="shared" si="19"/>
        <v>BOM</v>
      </c>
      <c r="M158">
        <v>22</v>
      </c>
      <c r="N158">
        <v>97.62</v>
      </c>
      <c r="O158">
        <v>17.82477341389728</v>
      </c>
    </row>
    <row r="159" spans="1:15" hidden="1" x14ac:dyDescent="0.25">
      <c r="A159" s="5">
        <v>46154</v>
      </c>
      <c r="B159" s="6" t="s">
        <v>27</v>
      </c>
      <c r="C159" s="3" t="s">
        <v>26</v>
      </c>
      <c r="D159" s="3">
        <v>10</v>
      </c>
      <c r="E159" s="3">
        <v>6</v>
      </c>
      <c r="F159">
        <v>33.28</v>
      </c>
      <c r="G159" s="3">
        <v>7</v>
      </c>
      <c r="H159" s="3">
        <v>0</v>
      </c>
      <c r="I159" s="3">
        <f t="shared" si="20"/>
        <v>13</v>
      </c>
      <c r="J159" s="3">
        <f>ROUND(MIN(IF(C159="Técnico III",35,IF(C159="Técnico II",28,IF(C159="Técnico I",23,IF(C159="JR",20,IF(C159="Estágio",10,0))))),IF(C159="Técnico III",SUMIFS($D:$D,$A:$A,$A159,$B:$B,"&lt;&gt;Patrícia Karla de Sousa Araújo",$B:$B,"&lt;&gt;Lorena Dias de Araujo",$B:$B,"&lt;&gt;Lucas Luiz Romero")*(35/1083),IF(C159="Técnico II",SUMIFS($D:$D,$A:$A,$A159,$B:$B,"&lt;&gt;Patrícia Karla de Sousa Araújo",$B:$B,"&lt;&gt;Lorena Dias de Araujo",$B:$B,"&lt;&gt;Lucas Luiz Romero")*(28/1083),IF(C159="Técnico I",SUMIFS($D:$D,$A:$A,$A159,$B:$B,"&lt;&gt;Patrícia Karla de Sousa Araújo",$B:$B,"&lt;&gt;Lorena Dias de Araujo",$B:$B,"&lt;&gt;Lucas Luiz Romero")*(23/1083),IF(C159="JR",SUMIFS($D:$D,$A:$A,$A159,$B:$B,"&lt;&gt;Patrícia Karla de Sousa Araújo",$B:$B,"&lt;&gt;Lorena Dias de Araujo",$B:$B,"&lt;&gt;Lucas Luiz Romero")*(20/1083),IF(C159="Estágio",SUMIFS($D:$D,$A:$A,$A159,$B:$B,"&lt;&gt;Patrícia Karla de Sousa Araújo",$B:$B,"&lt;&gt;Lorena Dias de Araujo",$B:$B,"&lt;&gt;Lucas Luiz Romero")*(10/1083),0)))))),0)</f>
        <v>18</v>
      </c>
      <c r="K159" s="3">
        <f t="shared" si="21"/>
        <v>-5</v>
      </c>
      <c r="L159" s="3" t="str">
        <f t="shared" ref="L159:L189" si="22">IF(K159&lt;-5,"CRÍTICO",IF(K159&lt;0,"ATENÇÃO",IF(K159&lt;=5,"BOM","EXCELENTE")))</f>
        <v>ATENÇÃO</v>
      </c>
      <c r="M159">
        <v>12</v>
      </c>
      <c r="N159">
        <v>100</v>
      </c>
      <c r="O159">
        <v>19.072164948453612</v>
      </c>
    </row>
    <row r="160" spans="1:15" hidden="1" x14ac:dyDescent="0.25">
      <c r="A160" s="5">
        <v>46154</v>
      </c>
      <c r="B160" s="6" t="s">
        <v>28</v>
      </c>
      <c r="C160" s="3" t="s">
        <v>26</v>
      </c>
      <c r="D160" s="3">
        <v>47</v>
      </c>
      <c r="E160" s="3">
        <v>23</v>
      </c>
      <c r="F160">
        <v>8.3800000000000008</v>
      </c>
      <c r="G160" s="3">
        <v>0</v>
      </c>
      <c r="H160" s="3">
        <v>0</v>
      </c>
      <c r="I160" s="3">
        <f t="shared" si="20"/>
        <v>23</v>
      </c>
      <c r="J160" s="3">
        <f>ROUND(MIN(IF(C160="Técnico III",35,IF(C160="Técnico II",28,IF(C160="Técnico I",23,IF(C160="JR",20,IF(C160="Estágio",10,0))))),IF(C160="Técnico III",SUMIFS($D:$D,$A:$A,$A160,$B:$B,"&lt;&gt;Patrícia Karla de Sousa Araújo",$B:$B,"&lt;&gt;Lorena Dias de Araujo",$B:$B,"&lt;&gt;Lucas Luiz Romero")*(35/1083),IF(C160="Técnico II",SUMIFS($D:$D,$A:$A,$A160,$B:$B,"&lt;&gt;Patrícia Karla de Sousa Araújo",$B:$B,"&lt;&gt;Lorena Dias de Araujo",$B:$B,"&lt;&gt;Lucas Luiz Romero")*(28/1083),IF(C160="Técnico I",SUMIFS($D:$D,$A:$A,$A160,$B:$B,"&lt;&gt;Patrícia Karla de Sousa Araújo",$B:$B,"&lt;&gt;Lorena Dias de Araujo",$B:$B,"&lt;&gt;Lucas Luiz Romero")*(23/1083),IF(C160="JR",SUMIFS($D:$D,$A:$A,$A160,$B:$B,"&lt;&gt;Patrícia Karla de Sousa Araújo",$B:$B,"&lt;&gt;Lorena Dias de Araujo",$B:$B,"&lt;&gt;Lucas Luiz Romero")*(20/1083),IF(C160="Estágio",SUMIFS($D:$D,$A:$A,$A160,$B:$B,"&lt;&gt;Patrícia Karla de Sousa Araújo",$B:$B,"&lt;&gt;Lorena Dias de Araujo",$B:$B,"&lt;&gt;Lucas Luiz Romero")*(10/1083),0)))))),0)</f>
        <v>18</v>
      </c>
      <c r="K160" s="3">
        <f t="shared" si="21"/>
        <v>5</v>
      </c>
      <c r="L160" s="3" t="str">
        <f t="shared" si="22"/>
        <v>BOM</v>
      </c>
      <c r="M160">
        <v>15</v>
      </c>
      <c r="N160">
        <v>96.83</v>
      </c>
      <c r="O160">
        <v>20.94017094017094</v>
      </c>
    </row>
    <row r="161" spans="1:15" hidden="1" x14ac:dyDescent="0.25">
      <c r="A161" s="5">
        <v>46154</v>
      </c>
      <c r="B161" s="6" t="s">
        <v>29</v>
      </c>
      <c r="C161" s="3" t="s">
        <v>26</v>
      </c>
      <c r="D161" s="3">
        <v>21</v>
      </c>
      <c r="E161" s="3">
        <v>21</v>
      </c>
      <c r="F161">
        <v>21.44</v>
      </c>
      <c r="G161" s="3">
        <v>0</v>
      </c>
      <c r="H161" s="3">
        <v>0</v>
      </c>
      <c r="I161" s="3">
        <f t="shared" si="20"/>
        <v>21</v>
      </c>
      <c r="J161" s="3">
        <f>ROUND(MIN(IF(C161="Técnico III",35,IF(C161="Técnico II",28,IF(C161="Técnico I",23,IF(C161="JR",20,IF(C161="Estágio",10,0))))),IF(C161="Técnico III",SUMIFS($D:$D,$A:$A,$A161,$B:$B,"&lt;&gt;Patrícia Karla de Sousa Araújo",$B:$B,"&lt;&gt;Lorena Dias de Araujo",$B:$B,"&lt;&gt;Lucas Luiz Romero")*(35/1083),IF(C161="Técnico II",SUMIFS($D:$D,$A:$A,$A161,$B:$B,"&lt;&gt;Patrícia Karla de Sousa Araújo",$B:$B,"&lt;&gt;Lorena Dias de Araujo",$B:$B,"&lt;&gt;Lucas Luiz Romero")*(28/1083),IF(C161="Técnico I",SUMIFS($D:$D,$A:$A,$A161,$B:$B,"&lt;&gt;Patrícia Karla de Sousa Araújo",$B:$B,"&lt;&gt;Lorena Dias de Araujo",$B:$B,"&lt;&gt;Lucas Luiz Romero")*(23/1083),IF(C161="JR",SUMIFS($D:$D,$A:$A,$A161,$B:$B,"&lt;&gt;Patrícia Karla de Sousa Araújo",$B:$B,"&lt;&gt;Lorena Dias de Araujo",$B:$B,"&lt;&gt;Lucas Luiz Romero")*(20/1083),IF(C161="Estágio",SUMIFS($D:$D,$A:$A,$A161,$B:$B,"&lt;&gt;Patrícia Karla de Sousa Araújo",$B:$B,"&lt;&gt;Lorena Dias de Araujo",$B:$B,"&lt;&gt;Lucas Luiz Romero")*(10/1083),0)))))),0)</f>
        <v>18</v>
      </c>
      <c r="K161" s="3">
        <f t="shared" si="21"/>
        <v>3</v>
      </c>
      <c r="L161" s="3" t="str">
        <f t="shared" si="22"/>
        <v>BOM</v>
      </c>
      <c r="M161">
        <v>19</v>
      </c>
      <c r="N161">
        <v>100</v>
      </c>
      <c r="O161">
        <v>20.0836820083682</v>
      </c>
    </row>
    <row r="162" spans="1:15" hidden="1" x14ac:dyDescent="0.25">
      <c r="A162" s="5">
        <v>46154</v>
      </c>
      <c r="B162" s="6" t="s">
        <v>30</v>
      </c>
      <c r="C162" s="3" t="s">
        <v>26</v>
      </c>
      <c r="D162" s="3">
        <v>12</v>
      </c>
      <c r="E162" s="3">
        <v>12</v>
      </c>
      <c r="F162">
        <v>21.47</v>
      </c>
      <c r="G162" s="3">
        <v>0</v>
      </c>
      <c r="H162" s="3">
        <v>0</v>
      </c>
      <c r="I162" s="3">
        <f t="shared" si="20"/>
        <v>12</v>
      </c>
      <c r="J162" s="3">
        <f>ROUND(MIN(IF(C162="Técnico III",35,IF(C162="Técnico II",28,IF(C162="Técnico I",23,IF(C162="JR",20,IF(C162="Estágio",10,0))))),IF(C162="Técnico III",SUMIFS($D:$D,$A:$A,$A162,$B:$B,"&lt;&gt;Patrícia Karla de Sousa Araújo",$B:$B,"&lt;&gt;Lorena Dias de Araujo",$B:$B,"&lt;&gt;Lucas Luiz Romero")*(35/1083),IF(C162="Técnico II",SUMIFS($D:$D,$A:$A,$A162,$B:$B,"&lt;&gt;Patrícia Karla de Sousa Araújo",$B:$B,"&lt;&gt;Lorena Dias de Araujo",$B:$B,"&lt;&gt;Lucas Luiz Romero")*(28/1083),IF(C162="Técnico I",SUMIFS($D:$D,$A:$A,$A162,$B:$B,"&lt;&gt;Patrícia Karla de Sousa Araújo",$B:$B,"&lt;&gt;Lorena Dias de Araujo",$B:$B,"&lt;&gt;Lucas Luiz Romero")*(23/1083),IF(C162="JR",SUMIFS($D:$D,$A:$A,$A162,$B:$B,"&lt;&gt;Patrícia Karla de Sousa Araújo",$B:$B,"&lt;&gt;Lorena Dias de Araujo",$B:$B,"&lt;&gt;Lucas Luiz Romero")*(20/1083),IF(C162="Estágio",SUMIFS($D:$D,$A:$A,$A162,$B:$B,"&lt;&gt;Patrícia Karla de Sousa Araújo",$B:$B,"&lt;&gt;Lorena Dias de Araujo",$B:$B,"&lt;&gt;Lucas Luiz Romero")*(10/1083),0)))))),0)</f>
        <v>18</v>
      </c>
      <c r="K162" s="3">
        <f t="shared" si="21"/>
        <v>-6</v>
      </c>
      <c r="L162" s="3" t="str">
        <f t="shared" si="22"/>
        <v>CRÍTICO</v>
      </c>
      <c r="M162">
        <v>9</v>
      </c>
      <c r="N162">
        <v>100</v>
      </c>
      <c r="O162">
        <v>16.34241245136187</v>
      </c>
    </row>
    <row r="163" spans="1:15" hidden="1" x14ac:dyDescent="0.25">
      <c r="A163" s="5">
        <v>46155</v>
      </c>
      <c r="B163" s="6" t="s">
        <v>25</v>
      </c>
      <c r="C163" s="3" t="s">
        <v>26</v>
      </c>
      <c r="D163" s="3">
        <v>17</v>
      </c>
      <c r="E163" s="3">
        <v>14</v>
      </c>
      <c r="F163">
        <v>24.07</v>
      </c>
      <c r="G163" s="3">
        <v>6</v>
      </c>
      <c r="H163" s="3">
        <v>0</v>
      </c>
      <c r="I163" s="3">
        <f t="shared" si="20"/>
        <v>20</v>
      </c>
      <c r="J163" s="3">
        <f>ROUND(MIN(IF(C163="Técnico III",35,IF(C163="Técnico II",28,IF(C163="Técnico I",23,IF(C163="JR",20,IF(C163="Estágio",10,0))))),IF(C163="Técnico III",SUMIFS($D:$D,$A:$A,$A163,$B:$B,"&lt;&gt;Patrícia Karla de Sousa Araújo",$B:$B,"&lt;&gt;Lorena Dias de Araujo",$B:$B,"&lt;&gt;Lucas Luiz Romero")*(35/1083),IF(C163="Técnico II",SUMIFS($D:$D,$A:$A,$A163,$B:$B,"&lt;&gt;Patrícia Karla de Sousa Araújo",$B:$B,"&lt;&gt;Lorena Dias de Araujo",$B:$B,"&lt;&gt;Lucas Luiz Romero")*(28/1083),IF(C163="Técnico I",SUMIFS($D:$D,$A:$A,$A163,$B:$B,"&lt;&gt;Patrícia Karla de Sousa Araújo",$B:$B,"&lt;&gt;Lorena Dias de Araujo",$B:$B,"&lt;&gt;Lucas Luiz Romero")*(23/1083),IF(C163="JR",SUMIFS($D:$D,$A:$A,$A163,$B:$B,"&lt;&gt;Patrícia Karla de Sousa Araújo",$B:$B,"&lt;&gt;Lorena Dias de Araujo",$B:$B,"&lt;&gt;Lucas Luiz Romero")*(20/1083),IF(C163="Estágio",SUMIFS($D:$D,$A:$A,$A163,$B:$B,"&lt;&gt;Patrícia Karla de Sousa Araújo",$B:$B,"&lt;&gt;Lorena Dias de Araujo",$B:$B,"&lt;&gt;Lucas Luiz Romero")*(10/1083),0)))))),0)</f>
        <v>16</v>
      </c>
      <c r="K163" s="3">
        <f t="shared" si="21"/>
        <v>4</v>
      </c>
      <c r="L163" s="3" t="str">
        <f t="shared" si="22"/>
        <v>BOM</v>
      </c>
      <c r="M163">
        <v>18</v>
      </c>
      <c r="N163">
        <v>97.62</v>
      </c>
      <c r="O163">
        <v>17.82477341389728</v>
      </c>
    </row>
    <row r="164" spans="1:15" hidden="1" x14ac:dyDescent="0.25">
      <c r="A164" s="5">
        <v>46155</v>
      </c>
      <c r="B164" s="6" t="s">
        <v>27</v>
      </c>
      <c r="C164" s="3" t="s">
        <v>26</v>
      </c>
      <c r="D164" s="3">
        <v>0</v>
      </c>
      <c r="E164" s="3">
        <v>0</v>
      </c>
      <c r="F164" s="3">
        <v>0</v>
      </c>
      <c r="G164" s="3">
        <v>0</v>
      </c>
      <c r="H164" s="3">
        <v>0</v>
      </c>
      <c r="I164" s="3">
        <v>0</v>
      </c>
      <c r="J164" s="3">
        <v>0</v>
      </c>
      <c r="K164" s="3">
        <v>0</v>
      </c>
      <c r="L164" s="3" t="str">
        <f t="shared" si="22"/>
        <v>BOM</v>
      </c>
      <c r="M164" s="9">
        <v>0</v>
      </c>
      <c r="N164" s="9">
        <v>100</v>
      </c>
      <c r="O164" s="9">
        <v>19.072164948453612</v>
      </c>
    </row>
    <row r="165" spans="1:15" hidden="1" x14ac:dyDescent="0.25">
      <c r="A165" s="5">
        <v>46155</v>
      </c>
      <c r="B165" s="6" t="s">
        <v>28</v>
      </c>
      <c r="C165" s="3" t="s">
        <v>26</v>
      </c>
      <c r="D165" s="3">
        <v>27</v>
      </c>
      <c r="E165" s="3">
        <v>24</v>
      </c>
      <c r="F165">
        <v>17.14</v>
      </c>
      <c r="G165" s="3">
        <v>1</v>
      </c>
      <c r="H165" s="3">
        <v>0</v>
      </c>
      <c r="I165" s="3">
        <f t="shared" ref="I165:I209" si="23">E165+G165+H165</f>
        <v>25</v>
      </c>
      <c r="J165" s="3">
        <f>ROUND(MIN(IF(C165="Técnico III",35,IF(C165="Técnico II",28,IF(C165="Técnico I",23,IF(C165="JR",20,IF(C165="Estágio",10,0))))),IF(C165="Técnico III",SUMIFS($D:$D,$A:$A,$A165,$B:$B,"&lt;&gt;Patrícia Karla de Sousa Araújo",$B:$B,"&lt;&gt;Lorena Dias de Araujo",$B:$B,"&lt;&gt;Lucas Luiz Romero")*(35/1083),IF(C165="Técnico II",SUMIFS($D:$D,$A:$A,$A165,$B:$B,"&lt;&gt;Patrícia Karla de Sousa Araújo",$B:$B,"&lt;&gt;Lorena Dias de Araujo",$B:$B,"&lt;&gt;Lucas Luiz Romero")*(28/1083),IF(C165="Técnico I",SUMIFS($D:$D,$A:$A,$A165,$B:$B,"&lt;&gt;Patrícia Karla de Sousa Araújo",$B:$B,"&lt;&gt;Lorena Dias de Araujo",$B:$B,"&lt;&gt;Lucas Luiz Romero")*(23/1083),IF(C165="JR",SUMIFS($D:$D,$A:$A,$A165,$B:$B,"&lt;&gt;Patrícia Karla de Sousa Araújo",$B:$B,"&lt;&gt;Lorena Dias de Araujo",$B:$B,"&lt;&gt;Lucas Luiz Romero")*(20/1083),IF(C165="Estágio",SUMIFS($D:$D,$A:$A,$A165,$B:$B,"&lt;&gt;Patrícia Karla de Sousa Araújo",$B:$B,"&lt;&gt;Lorena Dias de Araujo",$B:$B,"&lt;&gt;Lucas Luiz Romero")*(10/1083),0)))))),0)</f>
        <v>16</v>
      </c>
      <c r="K165" s="3">
        <f t="shared" ref="K165:K209" si="24">I165-J165</f>
        <v>9</v>
      </c>
      <c r="L165" s="3" t="str">
        <f t="shared" si="22"/>
        <v>EXCELENTE</v>
      </c>
      <c r="M165">
        <v>18</v>
      </c>
      <c r="N165">
        <v>96.83</v>
      </c>
      <c r="O165">
        <v>20.94017094017094</v>
      </c>
    </row>
    <row r="166" spans="1:15" hidden="1" x14ac:dyDescent="0.25">
      <c r="A166" s="5">
        <v>46155</v>
      </c>
      <c r="B166" s="6" t="s">
        <v>29</v>
      </c>
      <c r="C166" s="3" t="s">
        <v>26</v>
      </c>
      <c r="D166" s="3">
        <v>12</v>
      </c>
      <c r="E166" s="3">
        <v>11</v>
      </c>
      <c r="F166">
        <v>25.27</v>
      </c>
      <c r="G166" s="3">
        <v>0</v>
      </c>
      <c r="H166" s="3">
        <v>0</v>
      </c>
      <c r="I166" s="3">
        <f t="shared" si="23"/>
        <v>11</v>
      </c>
      <c r="J166" s="3">
        <f>ROUND(MIN(IF(C166="Técnico III",35,IF(C166="Técnico II",28,IF(C166="Técnico I",23,IF(C166="JR",20,IF(C166="Estágio",10,0))))),IF(C166="Técnico III",SUMIFS($D:$D,$A:$A,$A166,$B:$B,"&lt;&gt;Patrícia Karla de Sousa Araújo",$B:$B,"&lt;&gt;Lorena Dias de Araujo",$B:$B,"&lt;&gt;Lucas Luiz Romero")*(35/1083),IF(C166="Técnico II",SUMIFS($D:$D,$A:$A,$A166,$B:$B,"&lt;&gt;Patrícia Karla de Sousa Araújo",$B:$B,"&lt;&gt;Lorena Dias de Araujo",$B:$B,"&lt;&gt;Lucas Luiz Romero")*(28/1083),IF(C166="Técnico I",SUMIFS($D:$D,$A:$A,$A166,$B:$B,"&lt;&gt;Patrícia Karla de Sousa Araújo",$B:$B,"&lt;&gt;Lorena Dias de Araujo",$B:$B,"&lt;&gt;Lucas Luiz Romero")*(23/1083),IF(C166="JR",SUMIFS($D:$D,$A:$A,$A166,$B:$B,"&lt;&gt;Patrícia Karla de Sousa Araújo",$B:$B,"&lt;&gt;Lorena Dias de Araujo",$B:$B,"&lt;&gt;Lucas Luiz Romero")*(20/1083),IF(C166="Estágio",SUMIFS($D:$D,$A:$A,$A166,$B:$B,"&lt;&gt;Patrícia Karla de Sousa Araújo",$B:$B,"&lt;&gt;Lorena Dias de Araujo",$B:$B,"&lt;&gt;Lucas Luiz Romero")*(10/1083),0)))))),0)</f>
        <v>16</v>
      </c>
      <c r="K166" s="3">
        <f t="shared" si="24"/>
        <v>-5</v>
      </c>
      <c r="L166" s="3" t="str">
        <f t="shared" si="22"/>
        <v>ATENÇÃO</v>
      </c>
      <c r="M166">
        <v>14</v>
      </c>
      <c r="N166">
        <v>100</v>
      </c>
      <c r="O166">
        <v>20.0836820083682</v>
      </c>
    </row>
    <row r="167" spans="1:15" hidden="1" x14ac:dyDescent="0.25">
      <c r="A167" s="5">
        <v>46155</v>
      </c>
      <c r="B167" s="6" t="s">
        <v>30</v>
      </c>
      <c r="C167" s="3" t="s">
        <v>26</v>
      </c>
      <c r="D167" s="3">
        <v>15</v>
      </c>
      <c r="E167" s="3">
        <v>14</v>
      </c>
      <c r="F167">
        <v>13.2</v>
      </c>
      <c r="G167" s="3">
        <v>4</v>
      </c>
      <c r="H167" s="3">
        <v>0</v>
      </c>
      <c r="I167" s="3">
        <f t="shared" si="23"/>
        <v>18</v>
      </c>
      <c r="J167" s="3">
        <f>ROUND(MIN(IF(C167="Técnico III",35,IF(C167="Técnico II",28,IF(C167="Técnico I",23,IF(C167="JR",20,IF(C167="Estágio",10,0))))),IF(C167="Técnico III",SUMIFS($D:$D,$A:$A,$A167,$B:$B,"&lt;&gt;Patrícia Karla de Sousa Araújo",$B:$B,"&lt;&gt;Lorena Dias de Araujo",$B:$B,"&lt;&gt;Lucas Luiz Romero")*(35/1083),IF(C167="Técnico II",SUMIFS($D:$D,$A:$A,$A167,$B:$B,"&lt;&gt;Patrícia Karla de Sousa Araújo",$B:$B,"&lt;&gt;Lorena Dias de Araujo",$B:$B,"&lt;&gt;Lucas Luiz Romero")*(28/1083),IF(C167="Técnico I",SUMIFS($D:$D,$A:$A,$A167,$B:$B,"&lt;&gt;Patrícia Karla de Sousa Araújo",$B:$B,"&lt;&gt;Lorena Dias de Araujo",$B:$B,"&lt;&gt;Lucas Luiz Romero")*(23/1083),IF(C167="JR",SUMIFS($D:$D,$A:$A,$A167,$B:$B,"&lt;&gt;Patrícia Karla de Sousa Araújo",$B:$B,"&lt;&gt;Lorena Dias de Araujo",$B:$B,"&lt;&gt;Lucas Luiz Romero")*(20/1083),IF(C167="Estágio",SUMIFS($D:$D,$A:$A,$A167,$B:$B,"&lt;&gt;Patrícia Karla de Sousa Araújo",$B:$B,"&lt;&gt;Lorena Dias de Araujo",$B:$B,"&lt;&gt;Lucas Luiz Romero")*(10/1083),0)))))),0)</f>
        <v>16</v>
      </c>
      <c r="K167" s="3">
        <f t="shared" si="24"/>
        <v>2</v>
      </c>
      <c r="L167" s="3" t="str">
        <f t="shared" si="22"/>
        <v>BOM</v>
      </c>
      <c r="M167">
        <v>18</v>
      </c>
      <c r="N167">
        <v>100</v>
      </c>
      <c r="O167">
        <v>16.34241245136187</v>
      </c>
    </row>
    <row r="168" spans="1:15" hidden="1" x14ac:dyDescent="0.25">
      <c r="A168" s="5">
        <v>46156</v>
      </c>
      <c r="B168" s="6" t="s">
        <v>25</v>
      </c>
      <c r="C168" s="3" t="s">
        <v>26</v>
      </c>
      <c r="D168" s="3">
        <v>23</v>
      </c>
      <c r="E168" s="3">
        <v>23</v>
      </c>
      <c r="F168">
        <v>25.1</v>
      </c>
      <c r="G168" s="3">
        <v>0</v>
      </c>
      <c r="H168" s="3">
        <v>0</v>
      </c>
      <c r="I168" s="3">
        <f t="shared" si="23"/>
        <v>23</v>
      </c>
      <c r="J168" s="3">
        <f>ROUND(MIN(IF(C168="Técnico III",35,IF(C168="Técnico II",28,IF(C168="Técnico I",23,IF(C168="JR",20,IF(C168="Estágio",10,0))))),IF(C168="Técnico III",SUMIFS($D:$D,$A:$A,$A168,$B:$B,"&lt;&gt;Patrícia Karla de Sousa Araújo",$B:$B,"&lt;&gt;Lorena Dias de Araujo",$B:$B,"&lt;&gt;Lucas Luiz Romero")*(35/1083),IF(C168="Técnico II",SUMIFS($D:$D,$A:$A,$A168,$B:$B,"&lt;&gt;Patrícia Karla de Sousa Araújo",$B:$B,"&lt;&gt;Lorena Dias de Araujo",$B:$B,"&lt;&gt;Lucas Luiz Romero")*(28/1083),IF(C168="Técnico I",SUMIFS($D:$D,$A:$A,$A168,$B:$B,"&lt;&gt;Patrícia Karla de Sousa Araújo",$B:$B,"&lt;&gt;Lorena Dias de Araujo",$B:$B,"&lt;&gt;Lucas Luiz Romero")*(23/1083),IF(C168="JR",SUMIFS($D:$D,$A:$A,$A168,$B:$B,"&lt;&gt;Patrícia Karla de Sousa Araújo",$B:$B,"&lt;&gt;Lorena Dias de Araujo",$B:$B,"&lt;&gt;Lucas Luiz Romero")*(20/1083),IF(C168="Estágio",SUMIFS($D:$D,$A:$A,$A168,$B:$B,"&lt;&gt;Patrícia Karla de Sousa Araújo",$B:$B,"&lt;&gt;Lorena Dias de Araujo",$B:$B,"&lt;&gt;Lucas Luiz Romero")*(10/1083),0)))))),0)</f>
        <v>16</v>
      </c>
      <c r="K168" s="3">
        <f t="shared" si="24"/>
        <v>7</v>
      </c>
      <c r="L168" s="3" t="str">
        <f t="shared" si="22"/>
        <v>EXCELENTE</v>
      </c>
      <c r="M168">
        <v>22</v>
      </c>
      <c r="N168">
        <v>97.62</v>
      </c>
      <c r="O168">
        <v>17.82477341389728</v>
      </c>
    </row>
    <row r="169" spans="1:15" hidden="1" x14ac:dyDescent="0.25">
      <c r="A169" s="5">
        <v>46156</v>
      </c>
      <c r="B169" s="6" t="s">
        <v>27</v>
      </c>
      <c r="C169" s="3" t="s">
        <v>26</v>
      </c>
      <c r="D169" s="3">
        <v>9</v>
      </c>
      <c r="E169" s="3">
        <v>7</v>
      </c>
      <c r="F169">
        <v>27.03</v>
      </c>
      <c r="G169" s="3">
        <v>8</v>
      </c>
      <c r="H169" s="3">
        <v>0</v>
      </c>
      <c r="I169" s="3">
        <f t="shared" si="23"/>
        <v>15</v>
      </c>
      <c r="J169" s="3">
        <f>ROUND(MIN(IF(C169="Técnico III",35,IF(C169="Técnico II",28,IF(C169="Técnico I",23,IF(C169="JR",20,IF(C169="Estágio",10,0))))),IF(C169="Técnico III",SUMIFS($D:$D,$A:$A,$A169,$B:$B,"&lt;&gt;Patrícia Karla de Sousa Araújo",$B:$B,"&lt;&gt;Lorena Dias de Araujo",$B:$B,"&lt;&gt;Lucas Luiz Romero")*(35/1083),IF(C169="Técnico II",SUMIFS($D:$D,$A:$A,$A169,$B:$B,"&lt;&gt;Patrícia Karla de Sousa Araújo",$B:$B,"&lt;&gt;Lorena Dias de Araujo",$B:$B,"&lt;&gt;Lucas Luiz Romero")*(28/1083),IF(C169="Técnico I",SUMIFS($D:$D,$A:$A,$A169,$B:$B,"&lt;&gt;Patrícia Karla de Sousa Araújo",$B:$B,"&lt;&gt;Lorena Dias de Araujo",$B:$B,"&lt;&gt;Lucas Luiz Romero")*(23/1083),IF(C169="JR",SUMIFS($D:$D,$A:$A,$A169,$B:$B,"&lt;&gt;Patrícia Karla de Sousa Araújo",$B:$B,"&lt;&gt;Lorena Dias de Araujo",$B:$B,"&lt;&gt;Lucas Luiz Romero")*(20/1083),IF(C169="Estágio",SUMIFS($D:$D,$A:$A,$A169,$B:$B,"&lt;&gt;Patrícia Karla de Sousa Araújo",$B:$B,"&lt;&gt;Lorena Dias de Araujo",$B:$B,"&lt;&gt;Lucas Luiz Romero")*(10/1083),0)))))),0)</f>
        <v>16</v>
      </c>
      <c r="K169" s="3">
        <f t="shared" si="24"/>
        <v>-1</v>
      </c>
      <c r="L169" s="3" t="str">
        <f t="shared" si="22"/>
        <v>ATENÇÃO</v>
      </c>
      <c r="M169">
        <v>9</v>
      </c>
      <c r="N169">
        <v>100</v>
      </c>
      <c r="O169">
        <v>19.072164948453612</v>
      </c>
    </row>
    <row r="170" spans="1:15" hidden="1" x14ac:dyDescent="0.25">
      <c r="A170" s="5">
        <v>46156</v>
      </c>
      <c r="B170" s="6" t="s">
        <v>28</v>
      </c>
      <c r="C170" s="3" t="s">
        <v>26</v>
      </c>
      <c r="D170" s="3">
        <v>26</v>
      </c>
      <c r="E170" s="3">
        <v>19</v>
      </c>
      <c r="F170">
        <v>12.17</v>
      </c>
      <c r="G170" s="3">
        <v>4</v>
      </c>
      <c r="H170" s="3">
        <v>0</v>
      </c>
      <c r="I170" s="3">
        <f t="shared" si="23"/>
        <v>23</v>
      </c>
      <c r="J170" s="3">
        <f>ROUND(MIN(IF(C170="Técnico III",35,IF(C170="Técnico II",28,IF(C170="Técnico I",23,IF(C170="JR",20,IF(C170="Estágio",10,0))))),IF(C170="Técnico III",SUMIFS($D:$D,$A:$A,$A170,$B:$B,"&lt;&gt;Patrícia Karla de Sousa Araújo",$B:$B,"&lt;&gt;Lorena Dias de Araujo",$B:$B,"&lt;&gt;Lucas Luiz Romero")*(35/1083),IF(C170="Técnico II",SUMIFS($D:$D,$A:$A,$A170,$B:$B,"&lt;&gt;Patrícia Karla de Sousa Araújo",$B:$B,"&lt;&gt;Lorena Dias de Araujo",$B:$B,"&lt;&gt;Lucas Luiz Romero")*(28/1083),IF(C170="Técnico I",SUMIFS($D:$D,$A:$A,$A170,$B:$B,"&lt;&gt;Patrícia Karla de Sousa Araújo",$B:$B,"&lt;&gt;Lorena Dias de Araujo",$B:$B,"&lt;&gt;Lucas Luiz Romero")*(23/1083),IF(C170="JR",SUMIFS($D:$D,$A:$A,$A170,$B:$B,"&lt;&gt;Patrícia Karla de Sousa Araújo",$B:$B,"&lt;&gt;Lorena Dias de Araujo",$B:$B,"&lt;&gt;Lucas Luiz Romero")*(20/1083),IF(C170="Estágio",SUMIFS($D:$D,$A:$A,$A170,$B:$B,"&lt;&gt;Patrícia Karla de Sousa Araújo",$B:$B,"&lt;&gt;Lorena Dias de Araujo",$B:$B,"&lt;&gt;Lucas Luiz Romero")*(10/1083),0)))))),0)</f>
        <v>16</v>
      </c>
      <c r="K170" s="3">
        <f t="shared" si="24"/>
        <v>7</v>
      </c>
      <c r="L170" s="3" t="str">
        <f t="shared" si="22"/>
        <v>EXCELENTE</v>
      </c>
      <c r="M170">
        <v>15</v>
      </c>
      <c r="N170">
        <v>96.83</v>
      </c>
      <c r="O170">
        <v>20.94017094017094</v>
      </c>
    </row>
    <row r="171" spans="1:15" hidden="1" x14ac:dyDescent="0.25">
      <c r="A171" s="5">
        <v>46156</v>
      </c>
      <c r="B171" s="6" t="s">
        <v>29</v>
      </c>
      <c r="C171" s="3" t="s">
        <v>26</v>
      </c>
      <c r="D171" s="3">
        <v>15</v>
      </c>
      <c r="E171" s="3">
        <v>15</v>
      </c>
      <c r="F171">
        <v>19.079999999999998</v>
      </c>
      <c r="G171" s="3">
        <v>0</v>
      </c>
      <c r="H171" s="3">
        <v>0</v>
      </c>
      <c r="I171" s="3">
        <f t="shared" si="23"/>
        <v>15</v>
      </c>
      <c r="J171" s="3">
        <f>ROUND(MIN(IF(C171="Técnico III",35,IF(C171="Técnico II",28,IF(C171="Técnico I",23,IF(C171="JR",20,IF(C171="Estágio",10,0))))),IF(C171="Técnico III",SUMIFS($D:$D,$A:$A,$A171,$B:$B,"&lt;&gt;Patrícia Karla de Sousa Araújo",$B:$B,"&lt;&gt;Lorena Dias de Araujo",$B:$B,"&lt;&gt;Lucas Luiz Romero")*(35/1083),IF(C171="Técnico II",SUMIFS($D:$D,$A:$A,$A171,$B:$B,"&lt;&gt;Patrícia Karla de Sousa Araújo",$B:$B,"&lt;&gt;Lorena Dias de Araujo",$B:$B,"&lt;&gt;Lucas Luiz Romero")*(28/1083),IF(C171="Técnico I",SUMIFS($D:$D,$A:$A,$A171,$B:$B,"&lt;&gt;Patrícia Karla de Sousa Araújo",$B:$B,"&lt;&gt;Lorena Dias de Araujo",$B:$B,"&lt;&gt;Lucas Luiz Romero")*(23/1083),IF(C171="JR",SUMIFS($D:$D,$A:$A,$A171,$B:$B,"&lt;&gt;Patrícia Karla de Sousa Araújo",$B:$B,"&lt;&gt;Lorena Dias de Araujo",$B:$B,"&lt;&gt;Lucas Luiz Romero")*(20/1083),IF(C171="Estágio",SUMIFS($D:$D,$A:$A,$A171,$B:$B,"&lt;&gt;Patrícia Karla de Sousa Araújo",$B:$B,"&lt;&gt;Lorena Dias de Araujo",$B:$B,"&lt;&gt;Lucas Luiz Romero")*(10/1083),0)))))),0)</f>
        <v>16</v>
      </c>
      <c r="K171" s="3">
        <f t="shared" si="24"/>
        <v>-1</v>
      </c>
      <c r="L171" s="3" t="str">
        <f t="shared" si="22"/>
        <v>ATENÇÃO</v>
      </c>
      <c r="M171">
        <v>13</v>
      </c>
      <c r="N171">
        <v>100</v>
      </c>
      <c r="O171">
        <v>20.0836820083682</v>
      </c>
    </row>
    <row r="172" spans="1:15" hidden="1" x14ac:dyDescent="0.25">
      <c r="A172" s="5">
        <v>46156</v>
      </c>
      <c r="B172" s="6" t="s">
        <v>30</v>
      </c>
      <c r="C172" s="3" t="s">
        <v>26</v>
      </c>
      <c r="D172" s="3">
        <v>6</v>
      </c>
      <c r="E172" s="3">
        <v>6</v>
      </c>
      <c r="F172">
        <v>23.26</v>
      </c>
      <c r="G172" s="3">
        <v>0</v>
      </c>
      <c r="H172" s="3">
        <v>0</v>
      </c>
      <c r="I172" s="3">
        <f t="shared" si="23"/>
        <v>6</v>
      </c>
      <c r="J172" s="3">
        <f>ROUND(MIN(IF(C172="Técnico III",35,IF(C172="Técnico II",28,IF(C172="Técnico I",23,IF(C172="JR",20,IF(C172="Estágio",10,0))))),IF(C172="Técnico III",SUMIFS($D:$D,$A:$A,$A172,$B:$B,"&lt;&gt;Patrícia Karla de Sousa Araújo",$B:$B,"&lt;&gt;Lorena Dias de Araujo",$B:$B,"&lt;&gt;Lucas Luiz Romero")*(35/1083),IF(C172="Técnico II",SUMIFS($D:$D,$A:$A,$A172,$B:$B,"&lt;&gt;Patrícia Karla de Sousa Araújo",$B:$B,"&lt;&gt;Lorena Dias de Araujo",$B:$B,"&lt;&gt;Lucas Luiz Romero")*(28/1083),IF(C172="Técnico I",SUMIFS($D:$D,$A:$A,$A172,$B:$B,"&lt;&gt;Patrícia Karla de Sousa Araújo",$B:$B,"&lt;&gt;Lorena Dias de Araujo",$B:$B,"&lt;&gt;Lucas Luiz Romero")*(23/1083),IF(C172="JR",SUMIFS($D:$D,$A:$A,$A172,$B:$B,"&lt;&gt;Patrícia Karla de Sousa Araújo",$B:$B,"&lt;&gt;Lorena Dias de Araujo",$B:$B,"&lt;&gt;Lucas Luiz Romero")*(20/1083),IF(C172="Estágio",SUMIFS($D:$D,$A:$A,$A172,$B:$B,"&lt;&gt;Patrícia Karla de Sousa Araújo",$B:$B,"&lt;&gt;Lorena Dias de Araujo",$B:$B,"&lt;&gt;Lucas Luiz Romero")*(10/1083),0)))))),0)</f>
        <v>16</v>
      </c>
      <c r="K172" s="3">
        <f t="shared" si="24"/>
        <v>-10</v>
      </c>
      <c r="L172" s="3" t="str">
        <f t="shared" si="22"/>
        <v>CRÍTICO</v>
      </c>
      <c r="M172">
        <v>5</v>
      </c>
      <c r="N172">
        <v>100</v>
      </c>
      <c r="O172">
        <v>16.34241245136187</v>
      </c>
    </row>
    <row r="173" spans="1:15" hidden="1" x14ac:dyDescent="0.25">
      <c r="A173" s="5">
        <v>46157</v>
      </c>
      <c r="B173" s="6" t="s">
        <v>25</v>
      </c>
      <c r="C173" s="3" t="s">
        <v>26</v>
      </c>
      <c r="D173" s="3">
        <v>23</v>
      </c>
      <c r="E173" s="3">
        <v>20</v>
      </c>
      <c r="F173">
        <v>25.17</v>
      </c>
      <c r="G173" s="3">
        <v>5</v>
      </c>
      <c r="H173" s="3">
        <v>0</v>
      </c>
      <c r="I173" s="3">
        <f t="shared" si="23"/>
        <v>25</v>
      </c>
      <c r="J173" s="3">
        <f>ROUND(MIN(IF(C173="Técnico III",35,IF(C173="Técnico II",28,IF(C173="Técnico I",23,IF(C173="JR",20,IF(C173="Estágio",10,0))))),IF(C173="Técnico III",SUMIFS($D:$D,$A:$A,$A173,$B:$B,"&lt;&gt;Patrícia Karla de Sousa Araújo",$B:$B,"&lt;&gt;Lorena Dias de Araujo",$B:$B,"&lt;&gt;Lucas Luiz Romero")*(35/1083),IF(C173="Técnico II",SUMIFS($D:$D,$A:$A,$A173,$B:$B,"&lt;&gt;Patrícia Karla de Sousa Araújo",$B:$B,"&lt;&gt;Lorena Dias de Araujo",$B:$B,"&lt;&gt;Lucas Luiz Romero")*(28/1083),IF(C173="Técnico I",SUMIFS($D:$D,$A:$A,$A173,$B:$B,"&lt;&gt;Patrícia Karla de Sousa Araújo",$B:$B,"&lt;&gt;Lorena Dias de Araujo",$B:$B,"&lt;&gt;Lucas Luiz Romero")*(23/1083),IF(C173="JR",SUMIFS($D:$D,$A:$A,$A173,$B:$B,"&lt;&gt;Patrícia Karla de Sousa Araújo",$B:$B,"&lt;&gt;Lorena Dias de Araujo",$B:$B,"&lt;&gt;Lucas Luiz Romero")*(20/1083),IF(C173="Estágio",SUMIFS($D:$D,$A:$A,$A173,$B:$B,"&lt;&gt;Patrícia Karla de Sousa Araújo",$B:$B,"&lt;&gt;Lorena Dias de Araujo",$B:$B,"&lt;&gt;Lucas Luiz Romero")*(10/1083),0)))))),0)</f>
        <v>17</v>
      </c>
      <c r="K173" s="3">
        <f t="shared" si="24"/>
        <v>8</v>
      </c>
      <c r="L173" s="3" t="str">
        <f t="shared" si="22"/>
        <v>EXCELENTE</v>
      </c>
      <c r="M173">
        <v>23</v>
      </c>
      <c r="N173">
        <v>97.62</v>
      </c>
      <c r="O173">
        <v>17.82477341389728</v>
      </c>
    </row>
    <row r="174" spans="1:15" hidden="1" x14ac:dyDescent="0.25">
      <c r="A174" s="5">
        <v>46157</v>
      </c>
      <c r="B174" s="6" t="s">
        <v>27</v>
      </c>
      <c r="C174" s="3" t="s">
        <v>26</v>
      </c>
      <c r="D174" s="3">
        <v>15</v>
      </c>
      <c r="E174" s="3">
        <v>14</v>
      </c>
      <c r="F174">
        <v>16.53</v>
      </c>
      <c r="G174" s="3">
        <v>2</v>
      </c>
      <c r="H174" s="3">
        <v>0</v>
      </c>
      <c r="I174" s="3">
        <f t="shared" si="23"/>
        <v>16</v>
      </c>
      <c r="J174" s="3">
        <f>ROUND(MIN(IF(C174="Técnico III",35,IF(C174="Técnico II",28,IF(C174="Técnico I",23,IF(C174="JR",20,IF(C174="Estágio",10,0))))),IF(C174="Técnico III",SUMIFS($D:$D,$A:$A,$A174,$B:$B,"&lt;&gt;Patrícia Karla de Sousa Araújo",$B:$B,"&lt;&gt;Lorena Dias de Araujo",$B:$B,"&lt;&gt;Lucas Luiz Romero")*(35/1083),IF(C174="Técnico II",SUMIFS($D:$D,$A:$A,$A174,$B:$B,"&lt;&gt;Patrícia Karla de Sousa Araújo",$B:$B,"&lt;&gt;Lorena Dias de Araujo",$B:$B,"&lt;&gt;Lucas Luiz Romero")*(28/1083),IF(C174="Técnico I",SUMIFS($D:$D,$A:$A,$A174,$B:$B,"&lt;&gt;Patrícia Karla de Sousa Araújo",$B:$B,"&lt;&gt;Lorena Dias de Araujo",$B:$B,"&lt;&gt;Lucas Luiz Romero")*(23/1083),IF(C174="JR",SUMIFS($D:$D,$A:$A,$A174,$B:$B,"&lt;&gt;Patrícia Karla de Sousa Araújo",$B:$B,"&lt;&gt;Lorena Dias de Araujo",$B:$B,"&lt;&gt;Lucas Luiz Romero")*(20/1083),IF(C174="Estágio",SUMIFS($D:$D,$A:$A,$A174,$B:$B,"&lt;&gt;Patrícia Karla de Sousa Araújo",$B:$B,"&lt;&gt;Lorena Dias de Araujo",$B:$B,"&lt;&gt;Lucas Luiz Romero")*(10/1083),0)))))),0)</f>
        <v>17</v>
      </c>
      <c r="K174" s="3">
        <f t="shared" si="24"/>
        <v>-1</v>
      </c>
      <c r="L174" s="3" t="str">
        <f t="shared" si="22"/>
        <v>ATENÇÃO</v>
      </c>
      <c r="M174">
        <v>11</v>
      </c>
      <c r="N174">
        <v>100</v>
      </c>
      <c r="O174">
        <v>19.072164948453612</v>
      </c>
    </row>
    <row r="175" spans="1:15" hidden="1" x14ac:dyDescent="0.25">
      <c r="A175" s="5">
        <v>46157</v>
      </c>
      <c r="B175" s="6" t="s">
        <v>28</v>
      </c>
      <c r="C175" s="3" t="s">
        <v>26</v>
      </c>
      <c r="D175" s="3">
        <v>29</v>
      </c>
      <c r="E175" s="3">
        <v>21</v>
      </c>
      <c r="F175">
        <v>13.55</v>
      </c>
      <c r="G175" s="3">
        <v>2</v>
      </c>
      <c r="H175" s="3">
        <v>0</v>
      </c>
      <c r="I175" s="3">
        <f t="shared" si="23"/>
        <v>23</v>
      </c>
      <c r="J175" s="3">
        <f>ROUND(MIN(IF(C175="Técnico III",35,IF(C175="Técnico II",28,IF(C175="Técnico I",23,IF(C175="JR",20,IF(C175="Estágio",10,0))))),IF(C175="Técnico III",SUMIFS($D:$D,$A:$A,$A175,$B:$B,"&lt;&gt;Patrícia Karla de Sousa Araújo",$B:$B,"&lt;&gt;Lorena Dias de Araujo",$B:$B,"&lt;&gt;Lucas Luiz Romero")*(35/1083),IF(C175="Técnico II",SUMIFS($D:$D,$A:$A,$A175,$B:$B,"&lt;&gt;Patrícia Karla de Sousa Araújo",$B:$B,"&lt;&gt;Lorena Dias de Araujo",$B:$B,"&lt;&gt;Lucas Luiz Romero")*(28/1083),IF(C175="Técnico I",SUMIFS($D:$D,$A:$A,$A175,$B:$B,"&lt;&gt;Patrícia Karla de Sousa Araújo",$B:$B,"&lt;&gt;Lorena Dias de Araujo",$B:$B,"&lt;&gt;Lucas Luiz Romero")*(23/1083),IF(C175="JR",SUMIFS($D:$D,$A:$A,$A175,$B:$B,"&lt;&gt;Patrícia Karla de Sousa Araújo",$B:$B,"&lt;&gt;Lorena Dias de Araujo",$B:$B,"&lt;&gt;Lucas Luiz Romero")*(20/1083),IF(C175="Estágio",SUMIFS($D:$D,$A:$A,$A175,$B:$B,"&lt;&gt;Patrícia Karla de Sousa Araújo",$B:$B,"&lt;&gt;Lorena Dias de Araujo",$B:$B,"&lt;&gt;Lucas Luiz Romero")*(10/1083),0)))))),0)</f>
        <v>17</v>
      </c>
      <c r="K175" s="3">
        <f t="shared" si="24"/>
        <v>6</v>
      </c>
      <c r="L175" s="3" t="str">
        <f t="shared" si="22"/>
        <v>EXCELENTE</v>
      </c>
      <c r="M175">
        <v>19</v>
      </c>
      <c r="N175">
        <v>96.83</v>
      </c>
      <c r="O175">
        <v>20.94017094017094</v>
      </c>
    </row>
    <row r="176" spans="1:15" hidden="1" x14ac:dyDescent="0.25">
      <c r="A176" s="5">
        <v>46157</v>
      </c>
      <c r="B176" s="6" t="s">
        <v>29</v>
      </c>
      <c r="C176" s="3" t="s">
        <v>26</v>
      </c>
      <c r="D176" s="3">
        <v>13</v>
      </c>
      <c r="E176" s="3">
        <v>13</v>
      </c>
      <c r="F176">
        <v>28.33</v>
      </c>
      <c r="G176" s="3">
        <v>0</v>
      </c>
      <c r="H176" s="3">
        <v>0</v>
      </c>
      <c r="I176" s="3">
        <f t="shared" si="23"/>
        <v>13</v>
      </c>
      <c r="J176" s="3">
        <f>ROUND(MIN(IF(C176="Técnico III",35,IF(C176="Técnico II",28,IF(C176="Técnico I",23,IF(C176="JR",20,IF(C176="Estágio",10,0))))),IF(C176="Técnico III",SUMIFS($D:$D,$A:$A,$A176,$B:$B,"&lt;&gt;Patrícia Karla de Sousa Araújo",$B:$B,"&lt;&gt;Lorena Dias de Araujo",$B:$B,"&lt;&gt;Lucas Luiz Romero")*(35/1083),IF(C176="Técnico II",SUMIFS($D:$D,$A:$A,$A176,$B:$B,"&lt;&gt;Patrícia Karla de Sousa Araújo",$B:$B,"&lt;&gt;Lorena Dias de Araujo",$B:$B,"&lt;&gt;Lucas Luiz Romero")*(28/1083),IF(C176="Técnico I",SUMIFS($D:$D,$A:$A,$A176,$B:$B,"&lt;&gt;Patrícia Karla de Sousa Araújo",$B:$B,"&lt;&gt;Lorena Dias de Araujo",$B:$B,"&lt;&gt;Lucas Luiz Romero")*(23/1083),IF(C176="JR",SUMIFS($D:$D,$A:$A,$A176,$B:$B,"&lt;&gt;Patrícia Karla de Sousa Araújo",$B:$B,"&lt;&gt;Lorena Dias de Araujo",$B:$B,"&lt;&gt;Lucas Luiz Romero")*(20/1083),IF(C176="Estágio",SUMIFS($D:$D,$A:$A,$A176,$B:$B,"&lt;&gt;Patrícia Karla de Sousa Araújo",$B:$B,"&lt;&gt;Lorena Dias de Araujo",$B:$B,"&lt;&gt;Lucas Luiz Romero")*(10/1083),0)))))),0)</f>
        <v>17</v>
      </c>
      <c r="K176" s="3">
        <f t="shared" si="24"/>
        <v>-4</v>
      </c>
      <c r="L176" s="3" t="str">
        <f t="shared" si="22"/>
        <v>ATENÇÃO</v>
      </c>
      <c r="M176">
        <v>14</v>
      </c>
      <c r="N176">
        <v>100</v>
      </c>
      <c r="O176">
        <v>20.0836820083682</v>
      </c>
    </row>
    <row r="177" spans="1:15" hidden="1" x14ac:dyDescent="0.25">
      <c r="A177" s="5">
        <v>46157</v>
      </c>
      <c r="B177" s="6" t="s">
        <v>30</v>
      </c>
      <c r="C177" s="3" t="s">
        <v>26</v>
      </c>
      <c r="D177" s="3">
        <v>14</v>
      </c>
      <c r="E177" s="3">
        <v>12</v>
      </c>
      <c r="F177">
        <v>15.53</v>
      </c>
      <c r="G177" s="3">
        <v>2</v>
      </c>
      <c r="H177" s="3">
        <v>0</v>
      </c>
      <c r="I177" s="3">
        <f t="shared" si="23"/>
        <v>14</v>
      </c>
      <c r="J177" s="3">
        <f>ROUND(MIN(IF(C177="Técnico III",35,IF(C177="Técnico II",28,IF(C177="Técnico I",23,IF(C177="JR",20,IF(C177="Estágio",10,0))))),IF(C177="Técnico III",SUMIFS($D:$D,$A:$A,$A177,$B:$B,"&lt;&gt;Patrícia Karla de Sousa Araújo",$B:$B,"&lt;&gt;Lorena Dias de Araujo",$B:$B,"&lt;&gt;Lucas Luiz Romero")*(35/1083),IF(C177="Técnico II",SUMIFS($D:$D,$A:$A,$A177,$B:$B,"&lt;&gt;Patrícia Karla de Sousa Araújo",$B:$B,"&lt;&gt;Lorena Dias de Araujo",$B:$B,"&lt;&gt;Lucas Luiz Romero")*(28/1083),IF(C177="Técnico I",SUMIFS($D:$D,$A:$A,$A177,$B:$B,"&lt;&gt;Patrícia Karla de Sousa Araújo",$B:$B,"&lt;&gt;Lorena Dias de Araujo",$B:$B,"&lt;&gt;Lucas Luiz Romero")*(23/1083),IF(C177="JR",SUMIFS($D:$D,$A:$A,$A177,$B:$B,"&lt;&gt;Patrícia Karla de Sousa Araújo",$B:$B,"&lt;&gt;Lorena Dias de Araujo",$B:$B,"&lt;&gt;Lucas Luiz Romero")*(20/1083),IF(C177="Estágio",SUMIFS($D:$D,$A:$A,$A177,$B:$B,"&lt;&gt;Patrícia Karla de Sousa Araújo",$B:$B,"&lt;&gt;Lorena Dias de Araujo",$B:$B,"&lt;&gt;Lucas Luiz Romero")*(10/1083),0)))))),0)</f>
        <v>17</v>
      </c>
      <c r="K177" s="3">
        <f t="shared" si="24"/>
        <v>-3</v>
      </c>
      <c r="L177" s="3" t="str">
        <f t="shared" si="22"/>
        <v>ATENÇÃO</v>
      </c>
      <c r="M177">
        <v>16</v>
      </c>
      <c r="N177">
        <v>100</v>
      </c>
      <c r="O177">
        <v>16.34241245136187</v>
      </c>
    </row>
    <row r="178" spans="1:15" hidden="1" x14ac:dyDescent="0.25">
      <c r="A178" s="5">
        <v>46160</v>
      </c>
      <c r="B178" s="6" t="s">
        <v>15</v>
      </c>
      <c r="C178" s="3" t="s">
        <v>26</v>
      </c>
      <c r="D178" s="3">
        <v>1</v>
      </c>
      <c r="E178" s="3">
        <v>1</v>
      </c>
      <c r="F178">
        <v>5.09</v>
      </c>
      <c r="G178" s="3">
        <v>0</v>
      </c>
      <c r="H178" s="3">
        <v>0</v>
      </c>
      <c r="I178" s="3">
        <f t="shared" si="23"/>
        <v>1</v>
      </c>
      <c r="J178" s="3">
        <f>ROUND(MIN(IF(C178="Técnico III",35,IF(C178="Técnico II",28,IF(C178="Técnico I",23,IF(C178="JR",20,IF(C178="Estágio",10,0))))),IF(C178="Técnico III",SUMIFS($D:$D,$A:$A,$A178,$B:$B,"&lt;&gt;Patrícia Karla de Sousa Araújo",$B:$B,"&lt;&gt;Lorena Dias de Araujo",$B:$B,"&lt;&gt;Lucas Luiz Romero")*(35/1083),IF(C178="Técnico II",SUMIFS($D:$D,$A:$A,$A178,$B:$B,"&lt;&gt;Patrícia Karla de Sousa Araújo",$B:$B,"&lt;&gt;Lorena Dias de Araujo",$B:$B,"&lt;&gt;Lucas Luiz Romero")*(28/1083),IF(C178="Técnico I",SUMIFS($D:$D,$A:$A,$A178,$B:$B,"&lt;&gt;Patrícia Karla de Sousa Araújo",$B:$B,"&lt;&gt;Lorena Dias de Araujo",$B:$B,"&lt;&gt;Lucas Luiz Romero")*(23/1083),IF(C178="JR",SUMIFS($D:$D,$A:$A,$A178,$B:$B,"&lt;&gt;Patrícia Karla de Sousa Araújo",$B:$B,"&lt;&gt;Lorena Dias de Araujo",$B:$B,"&lt;&gt;Lucas Luiz Romero")*(20/1083),IF(C178="Estágio",SUMIFS($D:$D,$A:$A,$A178,$B:$B,"&lt;&gt;Patrícia Karla de Sousa Araújo",$B:$B,"&lt;&gt;Lorena Dias de Araujo",$B:$B,"&lt;&gt;Lucas Luiz Romero")*(10/1083),0)))))),0)</f>
        <v>15</v>
      </c>
      <c r="K178" s="3">
        <f t="shared" si="24"/>
        <v>-14</v>
      </c>
      <c r="L178" s="3" t="str">
        <f t="shared" si="22"/>
        <v>CRÍTICO</v>
      </c>
      <c r="M178">
        <v>28</v>
      </c>
      <c r="N178">
        <v>99.25</v>
      </c>
      <c r="O178">
        <v>20.408163265306118</v>
      </c>
    </row>
    <row r="179" spans="1:15" hidden="1" x14ac:dyDescent="0.25">
      <c r="A179" s="5">
        <v>46160</v>
      </c>
      <c r="B179" s="6" t="s">
        <v>25</v>
      </c>
      <c r="C179" s="3" t="s">
        <v>26</v>
      </c>
      <c r="D179" s="3">
        <v>18</v>
      </c>
      <c r="E179" s="3">
        <v>17</v>
      </c>
      <c r="F179">
        <v>30.41</v>
      </c>
      <c r="G179" s="3">
        <v>2</v>
      </c>
      <c r="H179" s="3">
        <v>0</v>
      </c>
      <c r="I179" s="3">
        <f t="shared" si="23"/>
        <v>19</v>
      </c>
      <c r="J179" s="3">
        <f>ROUND(MIN(IF(C179="Técnico III",35,IF(C179="Técnico II",28,IF(C179="Técnico I",23,IF(C179="JR",20,IF(C179="Estágio",10,0))))),IF(C179="Técnico III",SUMIFS($D:$D,$A:$A,$A179,$B:$B,"&lt;&gt;Patrícia Karla de Sousa Araújo",$B:$B,"&lt;&gt;Lorena Dias de Araujo",$B:$B,"&lt;&gt;Lucas Luiz Romero")*(35/1083),IF(C179="Técnico II",SUMIFS($D:$D,$A:$A,$A179,$B:$B,"&lt;&gt;Patrícia Karla de Sousa Araújo",$B:$B,"&lt;&gt;Lorena Dias de Araujo",$B:$B,"&lt;&gt;Lucas Luiz Romero")*(28/1083),IF(C179="Técnico I",SUMIFS($D:$D,$A:$A,$A179,$B:$B,"&lt;&gt;Patrícia Karla de Sousa Araújo",$B:$B,"&lt;&gt;Lorena Dias de Araujo",$B:$B,"&lt;&gt;Lucas Luiz Romero")*(23/1083),IF(C179="JR",SUMIFS($D:$D,$A:$A,$A179,$B:$B,"&lt;&gt;Patrícia Karla de Sousa Araújo",$B:$B,"&lt;&gt;Lorena Dias de Araujo",$B:$B,"&lt;&gt;Lucas Luiz Romero")*(20/1083),IF(C179="Estágio",SUMIFS($D:$D,$A:$A,$A179,$B:$B,"&lt;&gt;Patrícia Karla de Sousa Araújo",$B:$B,"&lt;&gt;Lorena Dias de Araujo",$B:$B,"&lt;&gt;Lucas Luiz Romero")*(10/1083),0)))))),0)</f>
        <v>15</v>
      </c>
      <c r="K179" s="3">
        <f t="shared" si="24"/>
        <v>4</v>
      </c>
      <c r="L179" s="3" t="str">
        <f t="shared" si="22"/>
        <v>BOM</v>
      </c>
      <c r="M179">
        <v>21</v>
      </c>
      <c r="N179">
        <v>97.62</v>
      </c>
      <c r="O179">
        <v>17.82477341389728</v>
      </c>
    </row>
    <row r="180" spans="1:15" hidden="1" x14ac:dyDescent="0.25">
      <c r="A180" s="5">
        <v>46160</v>
      </c>
      <c r="B180" s="6" t="s">
        <v>27</v>
      </c>
      <c r="C180" s="3" t="s">
        <v>26</v>
      </c>
      <c r="D180" s="3">
        <v>16</v>
      </c>
      <c r="E180" s="3">
        <v>13</v>
      </c>
      <c r="F180">
        <v>21.58</v>
      </c>
      <c r="G180" s="3">
        <v>4</v>
      </c>
      <c r="H180" s="3">
        <v>0</v>
      </c>
      <c r="I180" s="3">
        <f t="shared" si="23"/>
        <v>17</v>
      </c>
      <c r="J180" s="3">
        <f>ROUND(MIN(IF(C180="Técnico III",35,IF(C180="Técnico II",28,IF(C180="Técnico I",23,IF(C180="JR",20,IF(C180="Estágio",10,0))))),IF(C180="Técnico III",SUMIFS($D:$D,$A:$A,$A180,$B:$B,"&lt;&gt;Patrícia Karla de Sousa Araújo",$B:$B,"&lt;&gt;Lorena Dias de Araujo",$B:$B,"&lt;&gt;Lucas Luiz Romero")*(35/1083),IF(C180="Técnico II",SUMIFS($D:$D,$A:$A,$A180,$B:$B,"&lt;&gt;Patrícia Karla de Sousa Araújo",$B:$B,"&lt;&gt;Lorena Dias de Araujo",$B:$B,"&lt;&gt;Lucas Luiz Romero")*(28/1083),IF(C180="Técnico I",SUMIFS($D:$D,$A:$A,$A180,$B:$B,"&lt;&gt;Patrícia Karla de Sousa Araújo",$B:$B,"&lt;&gt;Lorena Dias de Araujo",$B:$B,"&lt;&gt;Lucas Luiz Romero")*(23/1083),IF(C180="JR",SUMIFS($D:$D,$A:$A,$A180,$B:$B,"&lt;&gt;Patrícia Karla de Sousa Araújo",$B:$B,"&lt;&gt;Lorena Dias de Araujo",$B:$B,"&lt;&gt;Lucas Luiz Romero")*(20/1083),IF(C180="Estágio",SUMIFS($D:$D,$A:$A,$A180,$B:$B,"&lt;&gt;Patrícia Karla de Sousa Araújo",$B:$B,"&lt;&gt;Lorena Dias de Araujo",$B:$B,"&lt;&gt;Lucas Luiz Romero")*(10/1083),0)))))),0)</f>
        <v>15</v>
      </c>
      <c r="K180" s="3">
        <f t="shared" si="24"/>
        <v>2</v>
      </c>
      <c r="L180" s="3" t="str">
        <f t="shared" si="22"/>
        <v>BOM</v>
      </c>
      <c r="M180">
        <v>14</v>
      </c>
      <c r="N180">
        <v>100</v>
      </c>
      <c r="O180">
        <v>19.072164948453612</v>
      </c>
    </row>
    <row r="181" spans="1:15" hidden="1" x14ac:dyDescent="0.25">
      <c r="A181" s="5">
        <v>46160</v>
      </c>
      <c r="B181" s="6" t="s">
        <v>28</v>
      </c>
      <c r="C181" s="3" t="s">
        <v>26</v>
      </c>
      <c r="D181" s="3">
        <v>11</v>
      </c>
      <c r="E181" s="3">
        <v>9</v>
      </c>
      <c r="F181">
        <v>13.56</v>
      </c>
      <c r="G181" s="3">
        <v>1</v>
      </c>
      <c r="H181" s="3">
        <v>0</v>
      </c>
      <c r="I181" s="3">
        <f t="shared" si="23"/>
        <v>10</v>
      </c>
      <c r="J181" s="3">
        <f>ROUND(MIN(IF(C181="Técnico III",35,IF(C181="Técnico II",28,IF(C181="Técnico I",23,IF(C181="JR",20,IF(C181="Estágio",10,0))))),IF(C181="Técnico III",SUMIFS($D:$D,$A:$A,$A181,$B:$B,"&lt;&gt;Patrícia Karla de Sousa Araújo",$B:$B,"&lt;&gt;Lorena Dias de Araujo",$B:$B,"&lt;&gt;Lucas Luiz Romero")*(35/1083),IF(C181="Técnico II",SUMIFS($D:$D,$A:$A,$A181,$B:$B,"&lt;&gt;Patrícia Karla de Sousa Araújo",$B:$B,"&lt;&gt;Lorena Dias de Araujo",$B:$B,"&lt;&gt;Lucas Luiz Romero")*(28/1083),IF(C181="Técnico I",SUMIFS($D:$D,$A:$A,$A181,$B:$B,"&lt;&gt;Patrícia Karla de Sousa Araújo",$B:$B,"&lt;&gt;Lorena Dias de Araujo",$B:$B,"&lt;&gt;Lucas Luiz Romero")*(23/1083),IF(C181="JR",SUMIFS($D:$D,$A:$A,$A181,$B:$B,"&lt;&gt;Patrícia Karla de Sousa Araújo",$B:$B,"&lt;&gt;Lorena Dias de Araujo",$B:$B,"&lt;&gt;Lucas Luiz Romero")*(20/1083),IF(C181="Estágio",SUMIFS($D:$D,$A:$A,$A181,$B:$B,"&lt;&gt;Patrícia Karla de Sousa Araújo",$B:$B,"&lt;&gt;Lorena Dias de Araujo",$B:$B,"&lt;&gt;Lucas Luiz Romero")*(10/1083),0)))))),0)</f>
        <v>15</v>
      </c>
      <c r="K181" s="3">
        <f t="shared" si="24"/>
        <v>-5</v>
      </c>
      <c r="L181" s="3" t="str">
        <f t="shared" si="22"/>
        <v>ATENÇÃO</v>
      </c>
      <c r="M181">
        <v>6</v>
      </c>
      <c r="N181">
        <v>96.83</v>
      </c>
      <c r="O181">
        <v>20.94017094017094</v>
      </c>
    </row>
    <row r="182" spans="1:15" hidden="1" x14ac:dyDescent="0.25">
      <c r="A182" s="5">
        <v>46160</v>
      </c>
      <c r="B182" s="6" t="s">
        <v>29</v>
      </c>
      <c r="C182" s="3" t="s">
        <v>26</v>
      </c>
      <c r="D182" s="3">
        <v>11</v>
      </c>
      <c r="E182" s="3">
        <v>10</v>
      </c>
      <c r="F182">
        <v>22.14</v>
      </c>
      <c r="G182" s="3">
        <v>0</v>
      </c>
      <c r="H182" s="3">
        <v>0</v>
      </c>
      <c r="I182" s="3">
        <f t="shared" si="23"/>
        <v>10</v>
      </c>
      <c r="J182" s="3">
        <f>ROUND(MIN(IF(C182="Técnico III",35,IF(C182="Técnico II",28,IF(C182="Técnico I",23,IF(C182="JR",20,IF(C182="Estágio",10,0))))),IF(C182="Técnico III",SUMIFS($D:$D,$A:$A,$A182,$B:$B,"&lt;&gt;Patrícia Karla de Sousa Araújo",$B:$B,"&lt;&gt;Lorena Dias de Araujo",$B:$B,"&lt;&gt;Lucas Luiz Romero")*(35/1083),IF(C182="Técnico II",SUMIFS($D:$D,$A:$A,$A182,$B:$B,"&lt;&gt;Patrícia Karla de Sousa Araújo",$B:$B,"&lt;&gt;Lorena Dias de Araujo",$B:$B,"&lt;&gt;Lucas Luiz Romero")*(28/1083),IF(C182="Técnico I",SUMIFS($D:$D,$A:$A,$A182,$B:$B,"&lt;&gt;Patrícia Karla de Sousa Araújo",$B:$B,"&lt;&gt;Lorena Dias de Araujo",$B:$B,"&lt;&gt;Lucas Luiz Romero")*(23/1083),IF(C182="JR",SUMIFS($D:$D,$A:$A,$A182,$B:$B,"&lt;&gt;Patrícia Karla de Sousa Araújo",$B:$B,"&lt;&gt;Lorena Dias de Araujo",$B:$B,"&lt;&gt;Lucas Luiz Romero")*(20/1083),IF(C182="Estágio",SUMIFS($D:$D,$A:$A,$A182,$B:$B,"&lt;&gt;Patrícia Karla de Sousa Araújo",$B:$B,"&lt;&gt;Lorena Dias de Araujo",$B:$B,"&lt;&gt;Lucas Luiz Romero")*(10/1083),0)))))),0)</f>
        <v>15</v>
      </c>
      <c r="K182" s="3">
        <f t="shared" si="24"/>
        <v>-5</v>
      </c>
      <c r="L182" s="3" t="str">
        <f t="shared" si="22"/>
        <v>ATENÇÃO</v>
      </c>
      <c r="M182">
        <v>11</v>
      </c>
      <c r="N182">
        <v>100</v>
      </c>
      <c r="O182">
        <v>20.0836820083682</v>
      </c>
    </row>
    <row r="183" spans="1:15" hidden="1" x14ac:dyDescent="0.25">
      <c r="A183" s="5">
        <v>46160</v>
      </c>
      <c r="B183" s="6" t="s">
        <v>30</v>
      </c>
      <c r="C183" s="3" t="s">
        <v>26</v>
      </c>
      <c r="D183" s="3">
        <v>14</v>
      </c>
      <c r="E183" s="3">
        <v>13</v>
      </c>
      <c r="F183">
        <v>20.47</v>
      </c>
      <c r="G183" s="3">
        <v>2</v>
      </c>
      <c r="H183" s="3">
        <v>0</v>
      </c>
      <c r="I183" s="3">
        <f t="shared" si="23"/>
        <v>15</v>
      </c>
      <c r="J183" s="3">
        <f>ROUND(MIN(IF(C183="Técnico III",35,IF(C183="Técnico II",28,IF(C183="Técnico I",23,IF(C183="JR",20,IF(C183="Estágio",10,0))))),IF(C183="Técnico III",SUMIFS($D:$D,$A:$A,$A183,$B:$B,"&lt;&gt;Patrícia Karla de Sousa Araújo",$B:$B,"&lt;&gt;Lorena Dias de Araujo",$B:$B,"&lt;&gt;Lucas Luiz Romero")*(35/1083),IF(C183="Técnico II",SUMIFS($D:$D,$A:$A,$A183,$B:$B,"&lt;&gt;Patrícia Karla de Sousa Araújo",$B:$B,"&lt;&gt;Lorena Dias de Araujo",$B:$B,"&lt;&gt;Lucas Luiz Romero")*(28/1083),IF(C183="Técnico I",SUMIFS($D:$D,$A:$A,$A183,$B:$B,"&lt;&gt;Patrícia Karla de Sousa Araújo",$B:$B,"&lt;&gt;Lorena Dias de Araujo",$B:$B,"&lt;&gt;Lucas Luiz Romero")*(23/1083),IF(C183="JR",SUMIFS($D:$D,$A:$A,$A183,$B:$B,"&lt;&gt;Patrícia Karla de Sousa Araújo",$B:$B,"&lt;&gt;Lorena Dias de Araujo",$B:$B,"&lt;&gt;Lucas Luiz Romero")*(20/1083),IF(C183="Estágio",SUMIFS($D:$D,$A:$A,$A183,$B:$B,"&lt;&gt;Patrícia Karla de Sousa Araújo",$B:$B,"&lt;&gt;Lorena Dias de Araujo",$B:$B,"&lt;&gt;Lucas Luiz Romero")*(10/1083),0)))))),0)</f>
        <v>15</v>
      </c>
      <c r="K183" s="3">
        <f t="shared" si="24"/>
        <v>0</v>
      </c>
      <c r="L183" s="3" t="str">
        <f t="shared" si="22"/>
        <v>BOM</v>
      </c>
      <c r="M183">
        <v>14</v>
      </c>
      <c r="N183">
        <v>100</v>
      </c>
      <c r="O183">
        <v>16.34241245136187</v>
      </c>
    </row>
    <row r="184" spans="1:15" hidden="1" x14ac:dyDescent="0.25">
      <c r="A184" s="7">
        <v>46161</v>
      </c>
      <c r="B184" s="8" t="s">
        <v>15</v>
      </c>
      <c r="C184" s="9" t="s">
        <v>26</v>
      </c>
      <c r="D184" s="3">
        <v>30</v>
      </c>
      <c r="E184" s="3">
        <v>29</v>
      </c>
      <c r="F184">
        <v>18.21</v>
      </c>
      <c r="G184" s="3">
        <v>0</v>
      </c>
      <c r="H184" s="3">
        <v>0</v>
      </c>
      <c r="I184" s="3">
        <f t="shared" si="23"/>
        <v>29</v>
      </c>
      <c r="J184" s="3">
        <f>ROUND(MIN(IF(C184="Técnico III",35,IF(C184="Técnico II",28,IF(C184="Técnico I",23,IF(C184="JR",20,IF(C184="Estágio",10,0))))),IF(C184="Técnico III",SUMIFS($D:$D,$A:$A,$A184,$B:$B,"&lt;&gt;Patrícia Karla de Sousa Araújo",$B:$B,"&lt;&gt;Lorena Dias de Araujo",$B:$B,"&lt;&gt;Lucas Luiz Romero")*(35/1083),IF(C184="Técnico II",SUMIFS($D:$D,$A:$A,$A184,$B:$B,"&lt;&gt;Patrícia Karla de Sousa Araújo",$B:$B,"&lt;&gt;Lorena Dias de Araujo",$B:$B,"&lt;&gt;Lucas Luiz Romero")*(28/1083),IF(C184="Técnico I",SUMIFS($D:$D,$A:$A,$A184,$B:$B,"&lt;&gt;Patrícia Karla de Sousa Araújo",$B:$B,"&lt;&gt;Lorena Dias de Araujo",$B:$B,"&lt;&gt;Lucas Luiz Romero")*(23/1083),IF(C184="JR",SUMIFS($D:$D,$A:$A,$A184,$B:$B,"&lt;&gt;Patrícia Karla de Sousa Araújo",$B:$B,"&lt;&gt;Lorena Dias de Araujo",$B:$B,"&lt;&gt;Lucas Luiz Romero")*(20/1083),IF(C184="Estágio",SUMIFS($D:$D,$A:$A,$A184,$B:$B,"&lt;&gt;Patrícia Karla de Sousa Araújo",$B:$B,"&lt;&gt;Lorena Dias de Araujo",$B:$B,"&lt;&gt;Lucas Luiz Romero")*(10/1083),0)))))),0)</f>
        <v>17</v>
      </c>
      <c r="K184" s="3">
        <f t="shared" si="24"/>
        <v>12</v>
      </c>
      <c r="L184" s="3" t="str">
        <f t="shared" si="22"/>
        <v>EXCELENTE</v>
      </c>
      <c r="M184">
        <v>28</v>
      </c>
      <c r="N184">
        <v>99.25</v>
      </c>
      <c r="O184">
        <v>20.408163265306118</v>
      </c>
    </row>
    <row r="185" spans="1:15" hidden="1" x14ac:dyDescent="0.25">
      <c r="A185" s="7">
        <v>46161</v>
      </c>
      <c r="B185" s="8" t="s">
        <v>25</v>
      </c>
      <c r="C185" s="9" t="s">
        <v>26</v>
      </c>
      <c r="D185" s="3">
        <v>20</v>
      </c>
      <c r="E185" s="3">
        <v>19</v>
      </c>
      <c r="F185">
        <v>28.41</v>
      </c>
      <c r="G185" s="3">
        <v>2</v>
      </c>
      <c r="H185" s="3">
        <v>0</v>
      </c>
      <c r="I185" s="3">
        <f t="shared" si="23"/>
        <v>21</v>
      </c>
      <c r="J185" s="3">
        <f>ROUND(MIN(IF(C185="Técnico III",35,IF(C185="Técnico II",28,IF(C185="Técnico I",23,IF(C185="JR",20,IF(C185="Estágio",10,0))))),IF(C185="Técnico III",SUMIFS($D:$D,$A:$A,$A185,$B:$B,"&lt;&gt;Patrícia Karla de Sousa Araújo",$B:$B,"&lt;&gt;Lorena Dias de Araujo",$B:$B,"&lt;&gt;Lucas Luiz Romero")*(35/1083),IF(C185="Técnico II",SUMIFS($D:$D,$A:$A,$A185,$B:$B,"&lt;&gt;Patrícia Karla de Sousa Araújo",$B:$B,"&lt;&gt;Lorena Dias de Araujo",$B:$B,"&lt;&gt;Lucas Luiz Romero")*(28/1083),IF(C185="Técnico I",SUMIFS($D:$D,$A:$A,$A185,$B:$B,"&lt;&gt;Patrícia Karla de Sousa Araújo",$B:$B,"&lt;&gt;Lorena Dias de Araujo",$B:$B,"&lt;&gt;Lucas Luiz Romero")*(23/1083),IF(C185="JR",SUMIFS($D:$D,$A:$A,$A185,$B:$B,"&lt;&gt;Patrícia Karla de Sousa Araújo",$B:$B,"&lt;&gt;Lorena Dias de Araujo",$B:$B,"&lt;&gt;Lucas Luiz Romero")*(20/1083),IF(C185="Estágio",SUMIFS($D:$D,$A:$A,$A185,$B:$B,"&lt;&gt;Patrícia Karla de Sousa Araújo",$B:$B,"&lt;&gt;Lorena Dias de Araujo",$B:$B,"&lt;&gt;Lucas Luiz Romero")*(10/1083),0)))))),0)</f>
        <v>17</v>
      </c>
      <c r="K185" s="3">
        <f t="shared" si="24"/>
        <v>4</v>
      </c>
      <c r="L185" s="3" t="str">
        <f t="shared" si="22"/>
        <v>BOM</v>
      </c>
      <c r="M185">
        <v>20</v>
      </c>
      <c r="N185">
        <v>97.62</v>
      </c>
      <c r="O185">
        <v>17.82477341389728</v>
      </c>
    </row>
    <row r="186" spans="1:15" hidden="1" x14ac:dyDescent="0.25">
      <c r="A186" s="7">
        <v>46161</v>
      </c>
      <c r="B186" s="8" t="s">
        <v>27</v>
      </c>
      <c r="C186" s="9" t="s">
        <v>26</v>
      </c>
      <c r="D186" s="3">
        <v>19</v>
      </c>
      <c r="E186" s="3">
        <v>17</v>
      </c>
      <c r="F186">
        <v>18.559999999999999</v>
      </c>
      <c r="G186" s="3">
        <v>1</v>
      </c>
      <c r="H186" s="3">
        <v>0</v>
      </c>
      <c r="I186" s="3">
        <f t="shared" si="23"/>
        <v>18</v>
      </c>
      <c r="J186" s="3">
        <f>ROUND(MIN(IF(C186="Técnico III",35,IF(C186="Técnico II",28,IF(C186="Técnico I",23,IF(C186="JR",20,IF(C186="Estágio",10,0))))),IF(C186="Técnico III",SUMIFS($D:$D,$A:$A,$A186,$B:$B,"&lt;&gt;Patrícia Karla de Sousa Araújo",$B:$B,"&lt;&gt;Lorena Dias de Araujo",$B:$B,"&lt;&gt;Lucas Luiz Romero")*(35/1083),IF(C186="Técnico II",SUMIFS($D:$D,$A:$A,$A186,$B:$B,"&lt;&gt;Patrícia Karla de Sousa Araújo",$B:$B,"&lt;&gt;Lorena Dias de Araujo",$B:$B,"&lt;&gt;Lucas Luiz Romero")*(28/1083),IF(C186="Técnico I",SUMIFS($D:$D,$A:$A,$A186,$B:$B,"&lt;&gt;Patrícia Karla de Sousa Araújo",$B:$B,"&lt;&gt;Lorena Dias de Araujo",$B:$B,"&lt;&gt;Lucas Luiz Romero")*(23/1083),IF(C186="JR",SUMIFS($D:$D,$A:$A,$A186,$B:$B,"&lt;&gt;Patrícia Karla de Sousa Araújo",$B:$B,"&lt;&gt;Lorena Dias de Araujo",$B:$B,"&lt;&gt;Lucas Luiz Romero")*(20/1083),IF(C186="Estágio",SUMIFS($D:$D,$A:$A,$A186,$B:$B,"&lt;&gt;Patrícia Karla de Sousa Araújo",$B:$B,"&lt;&gt;Lorena Dias de Araujo",$B:$B,"&lt;&gt;Lucas Luiz Romero")*(10/1083),0)))))),0)</f>
        <v>17</v>
      </c>
      <c r="K186" s="3">
        <f t="shared" si="24"/>
        <v>1</v>
      </c>
      <c r="L186" s="3" t="str">
        <f t="shared" si="22"/>
        <v>BOM</v>
      </c>
      <c r="M186">
        <v>15</v>
      </c>
      <c r="N186">
        <v>100</v>
      </c>
      <c r="O186">
        <v>19.072164948453612</v>
      </c>
    </row>
    <row r="187" spans="1:15" hidden="1" x14ac:dyDescent="0.25">
      <c r="A187" s="7">
        <v>46161</v>
      </c>
      <c r="B187" s="8" t="s">
        <v>28</v>
      </c>
      <c r="C187" s="9" t="s">
        <v>26</v>
      </c>
      <c r="D187" s="3">
        <v>42</v>
      </c>
      <c r="E187" s="3">
        <v>23</v>
      </c>
      <c r="F187">
        <v>11.43</v>
      </c>
      <c r="G187" s="3">
        <v>0</v>
      </c>
      <c r="H187" s="3">
        <v>0</v>
      </c>
      <c r="I187" s="3">
        <f t="shared" si="23"/>
        <v>23</v>
      </c>
      <c r="J187" s="3">
        <f>ROUND(MIN(IF(C187="Técnico III",35,IF(C187="Técnico II",28,IF(C187="Técnico I",23,IF(C187="JR",20,IF(C187="Estágio",10,0))))),IF(C187="Técnico III",SUMIFS($D:$D,$A:$A,$A187,$B:$B,"&lt;&gt;Patrícia Karla de Sousa Araújo",$B:$B,"&lt;&gt;Lorena Dias de Araujo",$B:$B,"&lt;&gt;Lucas Luiz Romero")*(35/1083),IF(C187="Técnico II",SUMIFS($D:$D,$A:$A,$A187,$B:$B,"&lt;&gt;Patrícia Karla de Sousa Araújo",$B:$B,"&lt;&gt;Lorena Dias de Araujo",$B:$B,"&lt;&gt;Lucas Luiz Romero")*(28/1083),IF(C187="Técnico I",SUMIFS($D:$D,$A:$A,$A187,$B:$B,"&lt;&gt;Patrícia Karla de Sousa Araújo",$B:$B,"&lt;&gt;Lorena Dias de Araujo",$B:$B,"&lt;&gt;Lucas Luiz Romero")*(23/1083),IF(C187="JR",SUMIFS($D:$D,$A:$A,$A187,$B:$B,"&lt;&gt;Patrícia Karla de Sousa Araújo",$B:$B,"&lt;&gt;Lorena Dias de Araujo",$B:$B,"&lt;&gt;Lucas Luiz Romero")*(20/1083),IF(C187="Estágio",SUMIFS($D:$D,$A:$A,$A187,$B:$B,"&lt;&gt;Patrícia Karla de Sousa Araújo",$B:$B,"&lt;&gt;Lorena Dias de Araujo",$B:$B,"&lt;&gt;Lucas Luiz Romero")*(10/1083),0)))))),0)</f>
        <v>17</v>
      </c>
      <c r="K187" s="3">
        <f t="shared" si="24"/>
        <v>6</v>
      </c>
      <c r="L187" s="3" t="str">
        <f t="shared" si="22"/>
        <v>EXCELENTE</v>
      </c>
      <c r="M187">
        <v>22</v>
      </c>
      <c r="N187">
        <v>96.83</v>
      </c>
      <c r="O187">
        <v>20.94017094017094</v>
      </c>
    </row>
    <row r="188" spans="1:15" hidden="1" x14ac:dyDescent="0.25">
      <c r="A188" s="7">
        <v>46161</v>
      </c>
      <c r="B188" s="8" t="s">
        <v>29</v>
      </c>
      <c r="C188" s="9" t="s">
        <v>26</v>
      </c>
      <c r="D188" s="3">
        <v>13</v>
      </c>
      <c r="E188" s="3">
        <v>13</v>
      </c>
      <c r="F188">
        <v>19.190000000000001</v>
      </c>
      <c r="G188" s="3">
        <v>0</v>
      </c>
      <c r="H188" s="3">
        <v>0</v>
      </c>
      <c r="I188" s="3">
        <f t="shared" si="23"/>
        <v>13</v>
      </c>
      <c r="J188" s="3">
        <f>ROUND(MIN(IF(C188="Técnico III",35,IF(C188="Técnico II",28,IF(C188="Técnico I",23,IF(C188="JR",20,IF(C188="Estágio",10,0))))),IF(C188="Técnico III",SUMIFS($D:$D,$A:$A,$A188,$B:$B,"&lt;&gt;Patrícia Karla de Sousa Araújo",$B:$B,"&lt;&gt;Lorena Dias de Araujo",$B:$B,"&lt;&gt;Lucas Luiz Romero")*(35/1083),IF(C188="Técnico II",SUMIFS($D:$D,$A:$A,$A188,$B:$B,"&lt;&gt;Patrícia Karla de Sousa Araújo",$B:$B,"&lt;&gt;Lorena Dias de Araujo",$B:$B,"&lt;&gt;Lucas Luiz Romero")*(28/1083),IF(C188="Técnico I",SUMIFS($D:$D,$A:$A,$A188,$B:$B,"&lt;&gt;Patrícia Karla de Sousa Araújo",$B:$B,"&lt;&gt;Lorena Dias de Araujo",$B:$B,"&lt;&gt;Lucas Luiz Romero")*(23/1083),IF(C188="JR",SUMIFS($D:$D,$A:$A,$A188,$B:$B,"&lt;&gt;Patrícia Karla de Sousa Araújo",$B:$B,"&lt;&gt;Lorena Dias de Araujo",$B:$B,"&lt;&gt;Lucas Luiz Romero")*(20/1083),IF(C188="Estágio",SUMIFS($D:$D,$A:$A,$A188,$B:$B,"&lt;&gt;Patrícia Karla de Sousa Araújo",$B:$B,"&lt;&gt;Lorena Dias de Araujo",$B:$B,"&lt;&gt;Lucas Luiz Romero")*(10/1083),0)))))),0)</f>
        <v>17</v>
      </c>
      <c r="K188" s="3">
        <f t="shared" si="24"/>
        <v>-4</v>
      </c>
      <c r="L188" s="3" t="str">
        <f t="shared" si="22"/>
        <v>ATENÇÃO</v>
      </c>
      <c r="M188">
        <v>12</v>
      </c>
      <c r="N188">
        <v>100</v>
      </c>
      <c r="O188">
        <v>20.0836820083682</v>
      </c>
    </row>
    <row r="189" spans="1:15" hidden="1" x14ac:dyDescent="0.25">
      <c r="A189" s="7">
        <v>46161</v>
      </c>
      <c r="B189" s="8" t="s">
        <v>30</v>
      </c>
      <c r="C189" s="9" t="s">
        <v>26</v>
      </c>
      <c r="D189" s="3">
        <v>17</v>
      </c>
      <c r="E189" s="3">
        <v>17</v>
      </c>
      <c r="F189">
        <v>23.57</v>
      </c>
      <c r="G189" s="3">
        <v>0</v>
      </c>
      <c r="H189" s="3">
        <v>0</v>
      </c>
      <c r="I189" s="3">
        <f t="shared" si="23"/>
        <v>17</v>
      </c>
      <c r="J189" s="3">
        <f>ROUND(MIN(IF(C189="Técnico III",35,IF(C189="Técnico II",28,IF(C189="Técnico I",23,IF(C189="JR",20,IF(C189="Estágio",10,0))))),IF(C189="Técnico III",SUMIFS($D:$D,$A:$A,$A189,$B:$B,"&lt;&gt;Patrícia Karla de Sousa Araújo",$B:$B,"&lt;&gt;Lorena Dias de Araujo",$B:$B,"&lt;&gt;Lucas Luiz Romero")*(35/1083),IF(C189="Técnico II",SUMIFS($D:$D,$A:$A,$A189,$B:$B,"&lt;&gt;Patrícia Karla de Sousa Araújo",$B:$B,"&lt;&gt;Lorena Dias de Araujo",$B:$B,"&lt;&gt;Lucas Luiz Romero")*(28/1083),IF(C189="Técnico I",SUMIFS($D:$D,$A:$A,$A189,$B:$B,"&lt;&gt;Patrícia Karla de Sousa Araújo",$B:$B,"&lt;&gt;Lorena Dias de Araujo",$B:$B,"&lt;&gt;Lucas Luiz Romero")*(23/1083),IF(C189="JR",SUMIFS($D:$D,$A:$A,$A189,$B:$B,"&lt;&gt;Patrícia Karla de Sousa Araújo",$B:$B,"&lt;&gt;Lorena Dias de Araujo",$B:$B,"&lt;&gt;Lucas Luiz Romero")*(20/1083),IF(C189="Estágio",SUMIFS($D:$D,$A:$A,$A189,$B:$B,"&lt;&gt;Patrícia Karla de Sousa Araújo",$B:$B,"&lt;&gt;Lorena Dias de Araujo",$B:$B,"&lt;&gt;Lucas Luiz Romero")*(10/1083),0)))))),0)</f>
        <v>17</v>
      </c>
      <c r="K189" s="3">
        <f t="shared" si="24"/>
        <v>0</v>
      </c>
      <c r="L189" s="3" t="str">
        <f t="shared" si="22"/>
        <v>BOM</v>
      </c>
      <c r="M189">
        <v>15</v>
      </c>
      <c r="N189">
        <v>100</v>
      </c>
      <c r="O189">
        <v>16.34241245136187</v>
      </c>
    </row>
    <row r="190" spans="1:15" hidden="1" x14ac:dyDescent="0.25">
      <c r="A190" s="7">
        <v>46162</v>
      </c>
      <c r="B190" s="8" t="s">
        <v>15</v>
      </c>
      <c r="C190" s="9" t="s">
        <v>26</v>
      </c>
      <c r="D190" s="3">
        <v>33</v>
      </c>
      <c r="E190" s="3">
        <v>33</v>
      </c>
      <c r="F190" s="3">
        <v>14.07</v>
      </c>
      <c r="G190" s="3">
        <v>0</v>
      </c>
      <c r="H190" s="3">
        <v>0</v>
      </c>
      <c r="I190" s="3">
        <f t="shared" si="23"/>
        <v>33</v>
      </c>
      <c r="J190" s="3">
        <f>ROUND(MIN(IF(C190="Técnico III",35,IF(C190="Técnico II",28,IF(C190="Técnico I",23,IF(C190="JR",20,IF(C190="Estágio",10,0))))),IF(C190="Técnico III",SUMIFS($D:$D,$A:$A,$A190,$B:$B,"&lt;&gt;Patrícia Karla de Sousa Araújo",$B:$B,"&lt;&gt;Lorena Dias de Araujo",$B:$B,"&lt;&gt;Lucas Luiz Romero")*(35/1083),IF(C190="Técnico II",SUMIFS($D:$D,$A:$A,$A190,$B:$B,"&lt;&gt;Patrícia Karla de Sousa Araújo",$B:$B,"&lt;&gt;Lorena Dias de Araujo",$B:$B,"&lt;&gt;Lucas Luiz Romero")*(28/1083),IF(C190="Técnico I",SUMIFS($D:$D,$A:$A,$A190,$B:$B,"&lt;&gt;Patrícia Karla de Sousa Araújo",$B:$B,"&lt;&gt;Lorena Dias de Araujo",$B:$B,"&lt;&gt;Lucas Luiz Romero")*(23/1083),IF(C190="JR",SUMIFS($D:$D,$A:$A,$A190,$B:$B,"&lt;&gt;Patrícia Karla de Sousa Araújo",$B:$B,"&lt;&gt;Lorena Dias de Araujo",$B:$B,"&lt;&gt;Lucas Luiz Romero")*(20/1083),IF(C190="Estágio",SUMIFS($D:$D,$A:$A,$A190,$B:$B,"&lt;&gt;Patrícia Karla de Sousa Araújo",$B:$B,"&lt;&gt;Lorena Dias de Araujo",$B:$B,"&lt;&gt;Lucas Luiz Romero")*(10/1083),0)))))),0)</f>
        <v>15</v>
      </c>
      <c r="K190" s="3">
        <f t="shared" si="24"/>
        <v>18</v>
      </c>
      <c r="L190" s="3" t="str">
        <f>IF(K190&lt;-5,"CRÍTICO",IF(K190&lt;0,"ATENÇÃO",IF(K190&lt;=5,"OPORTUNO","MUITO BOM")))</f>
        <v>MUITO BOM</v>
      </c>
      <c r="M190" s="9">
        <v>32</v>
      </c>
      <c r="N190" s="9">
        <v>99.25</v>
      </c>
      <c r="O190" s="9">
        <v>20.408163265306118</v>
      </c>
    </row>
    <row r="191" spans="1:15" hidden="1" x14ac:dyDescent="0.25">
      <c r="A191" s="7">
        <v>46162</v>
      </c>
      <c r="B191" s="8" t="s">
        <v>25</v>
      </c>
      <c r="C191" s="9" t="s">
        <v>26</v>
      </c>
      <c r="D191" s="3">
        <v>21</v>
      </c>
      <c r="E191" s="3">
        <v>20</v>
      </c>
      <c r="F191" s="3">
        <v>23.27</v>
      </c>
      <c r="G191" s="3">
        <v>0</v>
      </c>
      <c r="H191" s="3">
        <v>0</v>
      </c>
      <c r="I191" s="3">
        <f t="shared" si="23"/>
        <v>20</v>
      </c>
      <c r="J191" s="3">
        <f>ROUND(MIN(IF(C191="Técnico III",35,IF(C191="Técnico II",28,IF(C191="Técnico I",23,IF(C191="JR",20,IF(C191="Estágio",10,0))))),IF(C191="Técnico III",SUMIFS($D:$D,$A:$A,$A191,$B:$B,"&lt;&gt;Patrícia Karla de Sousa Araújo",$B:$B,"&lt;&gt;Lorena Dias de Araujo",$B:$B,"&lt;&gt;Lucas Luiz Romero")*(35/1083),IF(C191="Técnico II",SUMIFS($D:$D,$A:$A,$A191,$B:$B,"&lt;&gt;Patrícia Karla de Sousa Araújo",$B:$B,"&lt;&gt;Lorena Dias de Araujo",$B:$B,"&lt;&gt;Lucas Luiz Romero")*(28/1083),IF(C191="Técnico I",SUMIFS($D:$D,$A:$A,$A191,$B:$B,"&lt;&gt;Patrícia Karla de Sousa Araújo",$B:$B,"&lt;&gt;Lorena Dias de Araujo",$B:$B,"&lt;&gt;Lucas Luiz Romero")*(23/1083),IF(C191="JR",SUMIFS($D:$D,$A:$A,$A191,$B:$B,"&lt;&gt;Patrícia Karla de Sousa Araújo",$B:$B,"&lt;&gt;Lorena Dias de Araujo",$B:$B,"&lt;&gt;Lucas Luiz Romero")*(20/1083),IF(C191="Estágio",SUMIFS($D:$D,$A:$A,$A191,$B:$B,"&lt;&gt;Patrícia Karla de Sousa Araújo",$B:$B,"&lt;&gt;Lorena Dias de Araujo",$B:$B,"&lt;&gt;Lucas Luiz Romero")*(10/1083),0)))))),0)</f>
        <v>15</v>
      </c>
      <c r="K191" s="3">
        <f t="shared" si="24"/>
        <v>5</v>
      </c>
      <c r="L191" s="3" t="str">
        <f>IF(K191&lt;-5,"CRÍTICO",IF(K191&lt;0,"ATENÇÃO",IF(K191&lt;=5,"OPORTUNO","MUITO BOM")))</f>
        <v>OPORTUNO</v>
      </c>
      <c r="M191" s="9">
        <v>20</v>
      </c>
      <c r="N191" s="9">
        <v>97.62</v>
      </c>
      <c r="O191" s="9">
        <v>17.82477341389728</v>
      </c>
    </row>
    <row r="192" spans="1:15" hidden="1" x14ac:dyDescent="0.25">
      <c r="A192" s="11">
        <v>46030</v>
      </c>
      <c r="B192" t="s">
        <v>22</v>
      </c>
      <c r="C192" t="s">
        <v>23</v>
      </c>
      <c r="D192">
        <v>17</v>
      </c>
      <c r="E192">
        <v>17</v>
      </c>
      <c r="F192">
        <v>38.39</v>
      </c>
      <c r="G192">
        <v>0</v>
      </c>
      <c r="H192">
        <v>0</v>
      </c>
      <c r="I192" s="3">
        <f t="shared" si="23"/>
        <v>17</v>
      </c>
      <c r="J192" s="3">
        <f>ROUND(MIN(IF(C192="Técnico III",35,IF(C192="Técnico II",28,IF(C192="Técnico I",23,IF(C192="JR",20,IF(C192="Estágio",10,0))))),IF(C192="Técnico III",SUMIFS($D:$D,$A:$A,$A192,$B:$B,"&lt;&gt;Patrícia Karla de Sousa Araújo",$B:$B,"&lt;&gt;Lorena Dias de Araujo",$B:$B,"&lt;&gt;Lucas Luiz Romero")*(35/1083),IF(C192="Técnico II",SUMIFS($D:$D,$A:$A,$A192,$B:$B,"&lt;&gt;Patrícia Karla de Sousa Araújo",$B:$B,"&lt;&gt;Lorena Dias de Araujo",$B:$B,"&lt;&gt;Lucas Luiz Romero")*(28/1083),IF(C192="Técnico I",SUMIFS($D:$D,$A:$A,$A192,$B:$B,"&lt;&gt;Patrícia Karla de Sousa Araújo",$B:$B,"&lt;&gt;Lorena Dias de Araujo",$B:$B,"&lt;&gt;Lucas Luiz Romero")*(23/1083),IF(C192="JR",SUMIFS($D:$D,$A:$A,$A192,$B:$B,"&lt;&gt;Patrícia Karla de Sousa Araújo",$B:$B,"&lt;&gt;Lorena Dias de Araujo",$B:$B,"&lt;&gt;Lucas Luiz Romero")*(20/1083),IF(C192="Estágio",SUMIFS($D:$D,$A:$A,$A192,$B:$B,"&lt;&gt;Patrícia Karla de Sousa Araújo",$B:$B,"&lt;&gt;Lorena Dias de Araujo",$B:$B,"&lt;&gt;Lucas Luiz Romero")*(10/1083),0)))))),0)</f>
        <v>16</v>
      </c>
      <c r="K192" s="3">
        <f t="shared" si="24"/>
        <v>1</v>
      </c>
      <c r="L192" s="3" t="str">
        <f>IF(K192&lt;-5,"CRÍTICO",IF(K192&lt;0,"ATENÇÃO",IF(K192&lt;=5,"BOM","EXCELENTE")))</f>
        <v>BOM</v>
      </c>
      <c r="M192">
        <v>16</v>
      </c>
      <c r="N192">
        <v>98.91</v>
      </c>
      <c r="O192">
        <v>31.367292225201069</v>
      </c>
    </row>
    <row r="193" spans="1:15" hidden="1" x14ac:dyDescent="0.25">
      <c r="A193" s="7">
        <v>46162</v>
      </c>
      <c r="B193" s="8" t="s">
        <v>27</v>
      </c>
      <c r="C193" s="9" t="s">
        <v>26</v>
      </c>
      <c r="D193" s="3">
        <v>11</v>
      </c>
      <c r="E193" s="3">
        <v>10</v>
      </c>
      <c r="F193" s="3">
        <v>28.22</v>
      </c>
      <c r="G193" s="3">
        <v>2</v>
      </c>
      <c r="H193" s="3">
        <v>0</v>
      </c>
      <c r="I193" s="3">
        <f t="shared" si="23"/>
        <v>12</v>
      </c>
      <c r="J193" s="3">
        <f>ROUND(MIN(IF(C193="Técnico III",35,IF(C193="Técnico II",28,IF(C193="Técnico I",23,IF(C193="JR",20,IF(C193="Estágio",10,0))))),IF(C193="Técnico III",SUMIFS($D:$D,$A:$A,$A193,$B:$B,"&lt;&gt;Patrícia Karla de Sousa Araújo",$B:$B,"&lt;&gt;Lorena Dias de Araujo",$B:$B,"&lt;&gt;Lucas Luiz Romero")*(35/1083),IF(C193="Técnico II",SUMIFS($D:$D,$A:$A,$A193,$B:$B,"&lt;&gt;Patrícia Karla de Sousa Araújo",$B:$B,"&lt;&gt;Lorena Dias de Araujo",$B:$B,"&lt;&gt;Lucas Luiz Romero")*(28/1083),IF(C193="Técnico I",SUMIFS($D:$D,$A:$A,$A193,$B:$B,"&lt;&gt;Patrícia Karla de Sousa Araújo",$B:$B,"&lt;&gt;Lorena Dias de Araujo",$B:$B,"&lt;&gt;Lucas Luiz Romero")*(23/1083),IF(C193="JR",SUMIFS($D:$D,$A:$A,$A193,$B:$B,"&lt;&gt;Patrícia Karla de Sousa Araújo",$B:$B,"&lt;&gt;Lorena Dias de Araujo",$B:$B,"&lt;&gt;Lucas Luiz Romero")*(20/1083),IF(C193="Estágio",SUMIFS($D:$D,$A:$A,$A193,$B:$B,"&lt;&gt;Patrícia Karla de Sousa Araújo",$B:$B,"&lt;&gt;Lorena Dias de Araujo",$B:$B,"&lt;&gt;Lucas Luiz Romero")*(10/1083),0)))))),0)</f>
        <v>15</v>
      </c>
      <c r="K193" s="3">
        <f t="shared" si="24"/>
        <v>-3</v>
      </c>
      <c r="L193" s="3" t="str">
        <f t="shared" ref="L193:L198" si="25">IF(K193&lt;-5,"CRÍTICO",IF(K193&lt;0,"ATENÇÃO",IF(K193&lt;=5,"OPORTUNO","MUITO BOM")))</f>
        <v>ATENÇÃO</v>
      </c>
      <c r="M193" s="9">
        <v>12</v>
      </c>
      <c r="N193" s="9">
        <v>100</v>
      </c>
      <c r="O193" s="9">
        <v>19.072164948453612</v>
      </c>
    </row>
    <row r="194" spans="1:15" hidden="1" x14ac:dyDescent="0.25">
      <c r="A194" s="7">
        <v>46162</v>
      </c>
      <c r="B194" s="8" t="s">
        <v>28</v>
      </c>
      <c r="C194" s="9" t="s">
        <v>26</v>
      </c>
      <c r="D194" s="3">
        <v>25</v>
      </c>
      <c r="E194" s="3">
        <v>20</v>
      </c>
      <c r="F194" s="3">
        <v>15.38</v>
      </c>
      <c r="G194" s="3">
        <v>1</v>
      </c>
      <c r="H194" s="3">
        <v>0</v>
      </c>
      <c r="I194" s="3">
        <f t="shared" si="23"/>
        <v>21</v>
      </c>
      <c r="J194" s="3">
        <f>ROUND(MIN(IF(C194="Técnico III",35,IF(C194="Técnico II",28,IF(C194="Técnico I",23,IF(C194="JR",20,IF(C194="Estágio",10,0))))),IF(C194="Técnico III",SUMIFS($D:$D,$A:$A,$A194,$B:$B,"&lt;&gt;Patrícia Karla de Sousa Araújo",$B:$B,"&lt;&gt;Lorena Dias de Araujo",$B:$B,"&lt;&gt;Lucas Luiz Romero")*(35/1083),IF(C194="Técnico II",SUMIFS($D:$D,$A:$A,$A194,$B:$B,"&lt;&gt;Patrícia Karla de Sousa Araújo",$B:$B,"&lt;&gt;Lorena Dias de Araujo",$B:$B,"&lt;&gt;Lucas Luiz Romero")*(28/1083),IF(C194="Técnico I",SUMIFS($D:$D,$A:$A,$A194,$B:$B,"&lt;&gt;Patrícia Karla de Sousa Araújo",$B:$B,"&lt;&gt;Lorena Dias de Araujo",$B:$B,"&lt;&gt;Lucas Luiz Romero")*(23/1083),IF(C194="JR",SUMIFS($D:$D,$A:$A,$A194,$B:$B,"&lt;&gt;Patrícia Karla de Sousa Araújo",$B:$B,"&lt;&gt;Lorena Dias de Araujo",$B:$B,"&lt;&gt;Lucas Luiz Romero")*(20/1083),IF(C194="Estágio",SUMIFS($D:$D,$A:$A,$A194,$B:$B,"&lt;&gt;Patrícia Karla de Sousa Araújo",$B:$B,"&lt;&gt;Lorena Dias de Araujo",$B:$B,"&lt;&gt;Lucas Luiz Romero")*(10/1083),0)))))),0)</f>
        <v>15</v>
      </c>
      <c r="K194" s="3">
        <f t="shared" si="24"/>
        <v>6</v>
      </c>
      <c r="L194" s="3" t="str">
        <f t="shared" si="25"/>
        <v>MUITO BOM</v>
      </c>
      <c r="M194" s="9">
        <v>19</v>
      </c>
      <c r="N194" s="9">
        <v>96.83</v>
      </c>
      <c r="O194" s="9">
        <v>20.94017094017094</v>
      </c>
    </row>
    <row r="195" spans="1:15" hidden="1" x14ac:dyDescent="0.25">
      <c r="A195" s="7">
        <v>46162</v>
      </c>
      <c r="B195" s="8" t="s">
        <v>29</v>
      </c>
      <c r="C195" s="9" t="s">
        <v>26</v>
      </c>
      <c r="D195" s="3">
        <v>14</v>
      </c>
      <c r="E195" s="3">
        <v>14</v>
      </c>
      <c r="F195" s="3">
        <v>22.09</v>
      </c>
      <c r="G195" s="3">
        <v>0</v>
      </c>
      <c r="H195" s="3">
        <v>0</v>
      </c>
      <c r="I195" s="3">
        <f t="shared" si="23"/>
        <v>14</v>
      </c>
      <c r="J195" s="3">
        <f>ROUND(MIN(IF(C195="Técnico III",35,IF(C195="Técnico II",28,IF(C195="Técnico I",23,IF(C195="JR",20,IF(C195="Estágio",10,0))))),IF(C195="Técnico III",SUMIFS($D:$D,$A:$A,$A195,$B:$B,"&lt;&gt;Patrícia Karla de Sousa Araújo",$B:$B,"&lt;&gt;Lorena Dias de Araujo",$B:$B,"&lt;&gt;Lucas Luiz Romero")*(35/1083),IF(C195="Técnico II",SUMIFS($D:$D,$A:$A,$A195,$B:$B,"&lt;&gt;Patrícia Karla de Sousa Araújo",$B:$B,"&lt;&gt;Lorena Dias de Araujo",$B:$B,"&lt;&gt;Lucas Luiz Romero")*(28/1083),IF(C195="Técnico I",SUMIFS($D:$D,$A:$A,$A195,$B:$B,"&lt;&gt;Patrícia Karla de Sousa Araújo",$B:$B,"&lt;&gt;Lorena Dias de Araujo",$B:$B,"&lt;&gt;Lucas Luiz Romero")*(23/1083),IF(C195="JR",SUMIFS($D:$D,$A:$A,$A195,$B:$B,"&lt;&gt;Patrícia Karla de Sousa Araújo",$B:$B,"&lt;&gt;Lorena Dias de Araujo",$B:$B,"&lt;&gt;Lucas Luiz Romero")*(20/1083),IF(C195="Estágio",SUMIFS($D:$D,$A:$A,$A195,$B:$B,"&lt;&gt;Patrícia Karla de Sousa Araújo",$B:$B,"&lt;&gt;Lorena Dias de Araujo",$B:$B,"&lt;&gt;Lucas Luiz Romero")*(10/1083),0)))))),0)</f>
        <v>15</v>
      </c>
      <c r="K195" s="3">
        <f t="shared" si="24"/>
        <v>-1</v>
      </c>
      <c r="L195" s="3" t="str">
        <f t="shared" si="25"/>
        <v>ATENÇÃO</v>
      </c>
      <c r="M195" s="9">
        <v>11</v>
      </c>
      <c r="N195" s="9">
        <v>100</v>
      </c>
      <c r="O195" s="9">
        <v>20.0836820083682</v>
      </c>
    </row>
    <row r="196" spans="1:15" hidden="1" x14ac:dyDescent="0.25">
      <c r="A196" s="7">
        <v>46162</v>
      </c>
      <c r="B196" s="8" t="s">
        <v>30</v>
      </c>
      <c r="C196" s="9" t="s">
        <v>26</v>
      </c>
      <c r="D196" s="3">
        <v>15</v>
      </c>
      <c r="E196" s="3">
        <v>13</v>
      </c>
      <c r="F196" s="3">
        <v>18.21</v>
      </c>
      <c r="G196" s="3">
        <v>2</v>
      </c>
      <c r="H196" s="3">
        <v>0</v>
      </c>
      <c r="I196" s="3">
        <f t="shared" si="23"/>
        <v>15</v>
      </c>
      <c r="J196" s="3">
        <f>ROUND(MIN(IF(C196="Técnico III",35,IF(C196="Técnico II",28,IF(C196="Técnico I",23,IF(C196="JR",20,IF(C196="Estágio",10,0))))),IF(C196="Técnico III",SUMIFS($D:$D,$A:$A,$A196,$B:$B,"&lt;&gt;Patrícia Karla de Sousa Araújo",$B:$B,"&lt;&gt;Lorena Dias de Araujo",$B:$B,"&lt;&gt;Lucas Luiz Romero")*(35/1083),IF(C196="Técnico II",SUMIFS($D:$D,$A:$A,$A196,$B:$B,"&lt;&gt;Patrícia Karla de Sousa Araújo",$B:$B,"&lt;&gt;Lorena Dias de Araujo",$B:$B,"&lt;&gt;Lucas Luiz Romero")*(28/1083),IF(C196="Técnico I",SUMIFS($D:$D,$A:$A,$A196,$B:$B,"&lt;&gt;Patrícia Karla de Sousa Araújo",$B:$B,"&lt;&gt;Lorena Dias de Araujo",$B:$B,"&lt;&gt;Lucas Luiz Romero")*(23/1083),IF(C196="JR",SUMIFS($D:$D,$A:$A,$A196,$B:$B,"&lt;&gt;Patrícia Karla de Sousa Araújo",$B:$B,"&lt;&gt;Lorena Dias de Araujo",$B:$B,"&lt;&gt;Lucas Luiz Romero")*(20/1083),IF(C196="Estágio",SUMIFS($D:$D,$A:$A,$A196,$B:$B,"&lt;&gt;Patrícia Karla de Sousa Araújo",$B:$B,"&lt;&gt;Lorena Dias de Araujo",$B:$B,"&lt;&gt;Lucas Luiz Romero")*(10/1083),0)))))),0)</f>
        <v>15</v>
      </c>
      <c r="K196" s="3">
        <f t="shared" si="24"/>
        <v>0</v>
      </c>
      <c r="L196" s="3" t="str">
        <f t="shared" si="25"/>
        <v>OPORTUNO</v>
      </c>
      <c r="M196" s="9">
        <v>15</v>
      </c>
      <c r="N196" s="9">
        <v>100</v>
      </c>
      <c r="O196" s="9">
        <v>16.34241245136187</v>
      </c>
    </row>
    <row r="197" spans="1:15" hidden="1" x14ac:dyDescent="0.25">
      <c r="A197" s="5">
        <v>46163</v>
      </c>
      <c r="B197" s="6" t="s">
        <v>15</v>
      </c>
      <c r="C197" s="3" t="s">
        <v>26</v>
      </c>
      <c r="D197" s="3">
        <v>24</v>
      </c>
      <c r="E197" s="3">
        <v>22</v>
      </c>
      <c r="F197" s="3">
        <v>15.57</v>
      </c>
      <c r="G197" s="3">
        <v>0</v>
      </c>
      <c r="H197" s="3">
        <v>0</v>
      </c>
      <c r="I197" s="3">
        <f t="shared" si="23"/>
        <v>22</v>
      </c>
      <c r="J197" s="3">
        <f>ROUND(MIN(IF(C197="Técnico III",35,IF(C197="Técnico II",28,IF(C197="Técnico I",23,IF(C197="JR",20,IF(C197="Estágio",10,0))))),IF(C197="Técnico III",SUMIFS($D:$D,$A:$A,$A197,$B:$B,"&lt;&gt;Patrícia Karla de Sousa Araújo",$B:$B,"&lt;&gt;Lorena Dias de Araujo",$B:$B,"&lt;&gt;Lucas Luiz Romero")*(35/1083),IF(C197="Técnico II",SUMIFS($D:$D,$A:$A,$A197,$B:$B,"&lt;&gt;Patrícia Karla de Sousa Araújo",$B:$B,"&lt;&gt;Lorena Dias de Araujo",$B:$B,"&lt;&gt;Lucas Luiz Romero")*(28/1083),IF(C197="Técnico I",SUMIFS($D:$D,$A:$A,$A197,$B:$B,"&lt;&gt;Patrícia Karla de Sousa Araújo",$B:$B,"&lt;&gt;Lorena Dias de Araujo",$B:$B,"&lt;&gt;Lucas Luiz Romero")*(23/1083),IF(C197="JR",SUMIFS($D:$D,$A:$A,$A197,$B:$B,"&lt;&gt;Patrícia Karla de Sousa Araújo",$B:$B,"&lt;&gt;Lorena Dias de Araujo",$B:$B,"&lt;&gt;Lucas Luiz Romero")*(20/1083),IF(C197="Estágio",SUMIFS($D:$D,$A:$A,$A197,$B:$B,"&lt;&gt;Patrícia Karla de Sousa Araújo",$B:$B,"&lt;&gt;Lorena Dias de Araujo",$B:$B,"&lt;&gt;Lucas Luiz Romero")*(10/1083),0)))))),0)</f>
        <v>13</v>
      </c>
      <c r="K197" s="3">
        <f t="shared" si="24"/>
        <v>9</v>
      </c>
      <c r="L197" s="3" t="str">
        <f t="shared" si="25"/>
        <v>MUITO BOM</v>
      </c>
      <c r="M197" s="3">
        <v>20</v>
      </c>
      <c r="N197" s="3">
        <v>99.25</v>
      </c>
      <c r="O197" s="3">
        <v>20.408163265306118</v>
      </c>
    </row>
    <row r="198" spans="1:15" hidden="1" x14ac:dyDescent="0.25">
      <c r="A198" s="5">
        <v>46163</v>
      </c>
      <c r="B198" s="6" t="s">
        <v>25</v>
      </c>
      <c r="C198" s="3" t="s">
        <v>26</v>
      </c>
      <c r="D198" s="3">
        <v>15</v>
      </c>
      <c r="E198" s="3">
        <v>13</v>
      </c>
      <c r="F198" s="3">
        <v>20.57</v>
      </c>
      <c r="G198" s="3">
        <v>1</v>
      </c>
      <c r="H198" s="3">
        <v>0</v>
      </c>
      <c r="I198" s="3">
        <f t="shared" si="23"/>
        <v>14</v>
      </c>
      <c r="J198" s="3">
        <f>ROUND(MIN(IF(C198="Técnico III",35,IF(C198="Técnico II",28,IF(C198="Técnico I",23,IF(C198="JR",20,IF(C198="Estágio",10,0))))),IF(C198="Técnico III",SUMIFS($D:$D,$A:$A,$A198,$B:$B,"&lt;&gt;Patrícia Karla de Sousa Araújo",$B:$B,"&lt;&gt;Lorena Dias de Araujo",$B:$B,"&lt;&gt;Lucas Luiz Romero")*(35/1083),IF(C198="Técnico II",SUMIFS($D:$D,$A:$A,$A198,$B:$B,"&lt;&gt;Patrícia Karla de Sousa Araújo",$B:$B,"&lt;&gt;Lorena Dias de Araujo",$B:$B,"&lt;&gt;Lucas Luiz Romero")*(28/1083),IF(C198="Técnico I",SUMIFS($D:$D,$A:$A,$A198,$B:$B,"&lt;&gt;Patrícia Karla de Sousa Araújo",$B:$B,"&lt;&gt;Lorena Dias de Araujo",$B:$B,"&lt;&gt;Lucas Luiz Romero")*(23/1083),IF(C198="JR",SUMIFS($D:$D,$A:$A,$A198,$B:$B,"&lt;&gt;Patrícia Karla de Sousa Araújo",$B:$B,"&lt;&gt;Lorena Dias de Araujo",$B:$B,"&lt;&gt;Lucas Luiz Romero")*(20/1083),IF(C198="Estágio",SUMIFS($D:$D,$A:$A,$A198,$B:$B,"&lt;&gt;Patrícia Karla de Sousa Araújo",$B:$B,"&lt;&gt;Lorena Dias de Araujo",$B:$B,"&lt;&gt;Lucas Luiz Romero")*(10/1083),0)))))),0)</f>
        <v>13</v>
      </c>
      <c r="K198" s="3">
        <f t="shared" si="24"/>
        <v>1</v>
      </c>
      <c r="L198" s="3" t="str">
        <f t="shared" si="25"/>
        <v>OPORTUNO</v>
      </c>
      <c r="M198" s="3">
        <v>15</v>
      </c>
      <c r="N198" s="3">
        <v>97.62</v>
      </c>
      <c r="O198" s="3">
        <v>17.82477341389728</v>
      </c>
    </row>
    <row r="199" spans="1:15" hidden="1" x14ac:dyDescent="0.25">
      <c r="A199" s="11">
        <v>46031</v>
      </c>
      <c r="B199" t="s">
        <v>22</v>
      </c>
      <c r="C199" t="s">
        <v>23</v>
      </c>
      <c r="D199">
        <v>18</v>
      </c>
      <c r="E199">
        <v>17</v>
      </c>
      <c r="F199">
        <v>25.04</v>
      </c>
      <c r="G199">
        <v>0</v>
      </c>
      <c r="H199">
        <v>0</v>
      </c>
      <c r="I199" s="3">
        <f t="shared" si="23"/>
        <v>17</v>
      </c>
      <c r="J199" s="3">
        <f>ROUND(MIN(IF(C199="Técnico III",35,IF(C199="Técnico II",28,IF(C199="Técnico I",23,IF(C199="JR",20,IF(C199="Estágio",10,0))))),IF(C199="Técnico III",SUMIFS($D:$D,$A:$A,$A199,$B:$B,"&lt;&gt;Patrícia Karla de Sousa Araújo",$B:$B,"&lt;&gt;Lorena Dias de Araujo",$B:$B,"&lt;&gt;Lucas Luiz Romero")*(35/1083),IF(C199="Técnico II",SUMIFS($D:$D,$A:$A,$A199,$B:$B,"&lt;&gt;Patrícia Karla de Sousa Araújo",$B:$B,"&lt;&gt;Lorena Dias de Araujo",$B:$B,"&lt;&gt;Lucas Luiz Romero")*(28/1083),IF(C199="Técnico I",SUMIFS($D:$D,$A:$A,$A199,$B:$B,"&lt;&gt;Patrícia Karla de Sousa Araújo",$B:$B,"&lt;&gt;Lorena Dias de Araujo",$B:$B,"&lt;&gt;Lucas Luiz Romero")*(23/1083),IF(C199="JR",SUMIFS($D:$D,$A:$A,$A199,$B:$B,"&lt;&gt;Patrícia Karla de Sousa Araújo",$B:$B,"&lt;&gt;Lorena Dias de Araujo",$B:$B,"&lt;&gt;Lucas Luiz Romero")*(20/1083),IF(C199="Estágio",SUMIFS($D:$D,$A:$A,$A199,$B:$B,"&lt;&gt;Patrícia Karla de Sousa Araújo",$B:$B,"&lt;&gt;Lorena Dias de Araujo",$B:$B,"&lt;&gt;Lucas Luiz Romero")*(10/1083),0)))))),0)</f>
        <v>13</v>
      </c>
      <c r="K199" s="3">
        <f t="shared" si="24"/>
        <v>4</v>
      </c>
      <c r="L199" s="3" t="str">
        <f>IF(K199&lt;-5,"CRÍTICO",IF(K199&lt;0,"ATENÇÃO",IF(K199&lt;=5,"BOM","EXCELENTE")))</f>
        <v>BOM</v>
      </c>
      <c r="M199">
        <v>15</v>
      </c>
      <c r="N199">
        <v>98.91</v>
      </c>
      <c r="O199">
        <v>31.367292225201069</v>
      </c>
    </row>
    <row r="200" spans="1:15" hidden="1" x14ac:dyDescent="0.25">
      <c r="A200" s="5">
        <v>46163</v>
      </c>
      <c r="B200" s="6" t="s">
        <v>27</v>
      </c>
      <c r="C200" s="3" t="s">
        <v>26</v>
      </c>
      <c r="D200" s="3">
        <v>13</v>
      </c>
      <c r="E200" s="3">
        <v>11</v>
      </c>
      <c r="F200" s="3">
        <v>20.49</v>
      </c>
      <c r="G200" s="3">
        <v>1</v>
      </c>
      <c r="H200" s="3">
        <v>0</v>
      </c>
      <c r="I200" s="3">
        <f t="shared" si="23"/>
        <v>12</v>
      </c>
      <c r="J200" s="3">
        <f>ROUND(MIN(IF(C200="Técnico III",35,IF(C200="Técnico II",28,IF(C200="Técnico I",23,IF(C200="JR",20,IF(C200="Estágio",10,0))))),IF(C200="Técnico III",SUMIFS($D:$D,$A:$A,$A200,$B:$B,"&lt;&gt;Patrícia Karla de Sousa Araújo",$B:$B,"&lt;&gt;Lorena Dias de Araujo",$B:$B,"&lt;&gt;Lucas Luiz Romero")*(35/1083),IF(C200="Técnico II",SUMIFS($D:$D,$A:$A,$A200,$B:$B,"&lt;&gt;Patrícia Karla de Sousa Araújo",$B:$B,"&lt;&gt;Lorena Dias de Araujo",$B:$B,"&lt;&gt;Lucas Luiz Romero")*(28/1083),IF(C200="Técnico I",SUMIFS($D:$D,$A:$A,$A200,$B:$B,"&lt;&gt;Patrícia Karla de Sousa Araújo",$B:$B,"&lt;&gt;Lorena Dias de Araujo",$B:$B,"&lt;&gt;Lucas Luiz Romero")*(23/1083),IF(C200="JR",SUMIFS($D:$D,$A:$A,$A200,$B:$B,"&lt;&gt;Patrícia Karla de Sousa Araújo",$B:$B,"&lt;&gt;Lorena Dias de Araujo",$B:$B,"&lt;&gt;Lucas Luiz Romero")*(20/1083),IF(C200="Estágio",SUMIFS($D:$D,$A:$A,$A200,$B:$B,"&lt;&gt;Patrícia Karla de Sousa Araújo",$B:$B,"&lt;&gt;Lorena Dias de Araujo",$B:$B,"&lt;&gt;Lucas Luiz Romero")*(10/1083),0)))))),0)</f>
        <v>13</v>
      </c>
      <c r="K200" s="3">
        <f t="shared" si="24"/>
        <v>-1</v>
      </c>
      <c r="L200" s="3" t="str">
        <f t="shared" ref="L200:L230" si="26">IF(K200&lt;-5,"CRÍTICO",IF(K200&lt;0,"ATENÇÃO",IF(K200&lt;=5,"OPORTUNO","MUITO BOM")))</f>
        <v>ATENÇÃO</v>
      </c>
      <c r="M200" s="3">
        <v>10</v>
      </c>
      <c r="N200" s="3">
        <v>100</v>
      </c>
      <c r="O200" s="3">
        <v>19.072164948453612</v>
      </c>
    </row>
    <row r="201" spans="1:15" hidden="1" x14ac:dyDescent="0.25">
      <c r="A201" s="5">
        <v>46163</v>
      </c>
      <c r="B201" s="6" t="s">
        <v>28</v>
      </c>
      <c r="C201" s="3" t="s">
        <v>26</v>
      </c>
      <c r="D201" s="3">
        <v>26</v>
      </c>
      <c r="E201" s="3">
        <v>18</v>
      </c>
      <c r="F201" s="3">
        <v>12.17</v>
      </c>
      <c r="G201" s="3">
        <v>0</v>
      </c>
      <c r="H201" s="3">
        <v>0</v>
      </c>
      <c r="I201" s="3">
        <f t="shared" si="23"/>
        <v>18</v>
      </c>
      <c r="J201" s="3">
        <f>ROUND(MIN(IF(C201="Técnico III",35,IF(C201="Técnico II",28,IF(C201="Técnico I",23,IF(C201="JR",20,IF(C201="Estágio",10,0))))),IF(C201="Técnico III",SUMIFS($D:$D,$A:$A,$A201,$B:$B,"&lt;&gt;Patrícia Karla de Sousa Araújo",$B:$B,"&lt;&gt;Lorena Dias de Araujo",$B:$B,"&lt;&gt;Lucas Luiz Romero")*(35/1083),IF(C201="Técnico II",SUMIFS($D:$D,$A:$A,$A201,$B:$B,"&lt;&gt;Patrícia Karla de Sousa Araújo",$B:$B,"&lt;&gt;Lorena Dias de Araujo",$B:$B,"&lt;&gt;Lucas Luiz Romero")*(28/1083),IF(C201="Técnico I",SUMIFS($D:$D,$A:$A,$A201,$B:$B,"&lt;&gt;Patrícia Karla de Sousa Araújo",$B:$B,"&lt;&gt;Lorena Dias de Araujo",$B:$B,"&lt;&gt;Lucas Luiz Romero")*(23/1083),IF(C201="JR",SUMIFS($D:$D,$A:$A,$A201,$B:$B,"&lt;&gt;Patrícia Karla de Sousa Araújo",$B:$B,"&lt;&gt;Lorena Dias de Araujo",$B:$B,"&lt;&gt;Lucas Luiz Romero")*(20/1083),IF(C201="Estágio",SUMIFS($D:$D,$A:$A,$A201,$B:$B,"&lt;&gt;Patrícia Karla de Sousa Araújo",$B:$B,"&lt;&gt;Lorena Dias de Araujo",$B:$B,"&lt;&gt;Lucas Luiz Romero")*(10/1083),0)))))),0)</f>
        <v>13</v>
      </c>
      <c r="K201" s="3">
        <f t="shared" si="24"/>
        <v>5</v>
      </c>
      <c r="L201" s="3" t="str">
        <f t="shared" si="26"/>
        <v>OPORTUNO</v>
      </c>
      <c r="M201" s="3">
        <v>16</v>
      </c>
      <c r="N201" s="3">
        <v>96.83</v>
      </c>
      <c r="O201" s="3">
        <v>20.94017094017094</v>
      </c>
    </row>
    <row r="202" spans="1:15" hidden="1" x14ac:dyDescent="0.25">
      <c r="A202" s="5">
        <v>46163</v>
      </c>
      <c r="B202" s="6" t="s">
        <v>29</v>
      </c>
      <c r="C202" s="3" t="s">
        <v>26</v>
      </c>
      <c r="D202" s="3">
        <v>10</v>
      </c>
      <c r="E202" s="3">
        <v>10</v>
      </c>
      <c r="F202" s="3">
        <v>20.18</v>
      </c>
      <c r="G202" s="3">
        <v>0</v>
      </c>
      <c r="H202" s="3">
        <v>0</v>
      </c>
      <c r="I202" s="3">
        <f t="shared" si="23"/>
        <v>10</v>
      </c>
      <c r="J202" s="3">
        <f>ROUND(MIN(IF(C202="Técnico III",35,IF(C202="Técnico II",28,IF(C202="Técnico I",23,IF(C202="JR",20,IF(C202="Estágio",10,0))))),IF(C202="Técnico III",SUMIFS($D:$D,$A:$A,$A202,$B:$B,"&lt;&gt;Patrícia Karla de Sousa Araújo",$B:$B,"&lt;&gt;Lorena Dias de Araujo",$B:$B,"&lt;&gt;Lucas Luiz Romero")*(35/1083),IF(C202="Técnico II",SUMIFS($D:$D,$A:$A,$A202,$B:$B,"&lt;&gt;Patrícia Karla de Sousa Araújo",$B:$B,"&lt;&gt;Lorena Dias de Araujo",$B:$B,"&lt;&gt;Lucas Luiz Romero")*(28/1083),IF(C202="Técnico I",SUMIFS($D:$D,$A:$A,$A202,$B:$B,"&lt;&gt;Patrícia Karla de Sousa Araújo",$B:$B,"&lt;&gt;Lorena Dias de Araujo",$B:$B,"&lt;&gt;Lucas Luiz Romero")*(23/1083),IF(C202="JR",SUMIFS($D:$D,$A:$A,$A202,$B:$B,"&lt;&gt;Patrícia Karla de Sousa Araújo",$B:$B,"&lt;&gt;Lorena Dias de Araujo",$B:$B,"&lt;&gt;Lucas Luiz Romero")*(20/1083),IF(C202="Estágio",SUMIFS($D:$D,$A:$A,$A202,$B:$B,"&lt;&gt;Patrícia Karla de Sousa Araújo",$B:$B,"&lt;&gt;Lorena Dias de Araujo",$B:$B,"&lt;&gt;Lucas Luiz Romero")*(10/1083),0)))))),0)</f>
        <v>13</v>
      </c>
      <c r="K202" s="3">
        <f t="shared" si="24"/>
        <v>-3</v>
      </c>
      <c r="L202" s="3" t="str">
        <f t="shared" si="26"/>
        <v>ATENÇÃO</v>
      </c>
      <c r="M202" s="3">
        <v>12</v>
      </c>
      <c r="N202" s="3">
        <v>100</v>
      </c>
      <c r="O202" s="3">
        <v>20.0836820083682</v>
      </c>
    </row>
    <row r="203" spans="1:15" hidden="1" x14ac:dyDescent="0.25">
      <c r="A203" s="5">
        <v>46163</v>
      </c>
      <c r="B203" s="6" t="s">
        <v>30</v>
      </c>
      <c r="C203" s="3" t="s">
        <v>26</v>
      </c>
      <c r="D203" s="3">
        <v>16</v>
      </c>
      <c r="E203" s="3">
        <v>14</v>
      </c>
      <c r="F203" s="3">
        <v>23.22</v>
      </c>
      <c r="G203" s="3">
        <v>0</v>
      </c>
      <c r="H203" s="3">
        <v>0</v>
      </c>
      <c r="I203" s="3">
        <f t="shared" si="23"/>
        <v>14</v>
      </c>
      <c r="J203" s="3">
        <f>ROUND(MIN(IF(C203="Técnico III",35,IF(C203="Técnico II",28,IF(C203="Técnico I",23,IF(C203="JR",20,IF(C203="Estágio",10,0))))),IF(C203="Técnico III",SUMIFS($D:$D,$A:$A,$A203,$B:$B,"&lt;&gt;Patrícia Karla de Sousa Araújo",$B:$B,"&lt;&gt;Lorena Dias de Araujo",$B:$B,"&lt;&gt;Lucas Luiz Romero")*(35/1083),IF(C203="Técnico II",SUMIFS($D:$D,$A:$A,$A203,$B:$B,"&lt;&gt;Patrícia Karla de Sousa Araújo",$B:$B,"&lt;&gt;Lorena Dias de Araujo",$B:$B,"&lt;&gt;Lucas Luiz Romero")*(28/1083),IF(C203="Técnico I",SUMIFS($D:$D,$A:$A,$A203,$B:$B,"&lt;&gt;Patrícia Karla de Sousa Araújo",$B:$B,"&lt;&gt;Lorena Dias de Araujo",$B:$B,"&lt;&gt;Lucas Luiz Romero")*(23/1083),IF(C203="JR",SUMIFS($D:$D,$A:$A,$A203,$B:$B,"&lt;&gt;Patrícia Karla de Sousa Araújo",$B:$B,"&lt;&gt;Lorena Dias de Araujo",$B:$B,"&lt;&gt;Lucas Luiz Romero")*(20/1083),IF(C203="Estágio",SUMIFS($D:$D,$A:$A,$A203,$B:$B,"&lt;&gt;Patrícia Karla de Sousa Araújo",$B:$B,"&lt;&gt;Lorena Dias de Araujo",$B:$B,"&lt;&gt;Lucas Luiz Romero")*(10/1083),0)))))),0)</f>
        <v>13</v>
      </c>
      <c r="K203" s="3">
        <f t="shared" si="24"/>
        <v>1</v>
      </c>
      <c r="L203" s="3" t="str">
        <f t="shared" si="26"/>
        <v>OPORTUNO</v>
      </c>
      <c r="M203" s="3">
        <v>12</v>
      </c>
      <c r="N203" s="3">
        <v>100</v>
      </c>
      <c r="O203" s="3">
        <v>16.34241245136187</v>
      </c>
    </row>
    <row r="204" spans="1:15" hidden="1" x14ac:dyDescent="0.25">
      <c r="A204" s="10">
        <v>46164</v>
      </c>
      <c r="B204" s="6" t="s">
        <v>15</v>
      </c>
      <c r="C204" s="3" t="s">
        <v>26</v>
      </c>
      <c r="D204" s="3">
        <v>20</v>
      </c>
      <c r="E204" s="3">
        <v>19</v>
      </c>
      <c r="F204" s="3">
        <v>22.07</v>
      </c>
      <c r="G204" s="3">
        <v>0</v>
      </c>
      <c r="H204" s="3">
        <v>0</v>
      </c>
      <c r="I204" s="3">
        <f t="shared" si="23"/>
        <v>19</v>
      </c>
      <c r="J204" s="3">
        <f>ROUND(MIN(IF(C204="Técnico III",35,IF(C204="Técnico II",28,IF(C204="Técnico I",23,IF(C204="JR",20,IF(C204="Estágio",10,0))))),IF(C204="Técnico III",SUMIFS($D:$D,$A:$A,$A204,$B:$B,"&lt;&gt;Patrícia Karla de Sousa Araújo",$B:$B,"&lt;&gt;Lorena Dias de Araujo",$B:$B,"&lt;&gt;Lucas Luiz Romero")*(35/1083),IF(C204="Técnico II",SUMIFS($D:$D,$A:$A,$A204,$B:$B,"&lt;&gt;Patrícia Karla de Sousa Araújo",$B:$B,"&lt;&gt;Lorena Dias de Araujo",$B:$B,"&lt;&gt;Lucas Luiz Romero")*(28/1083),IF(C204="Técnico I",SUMIFS($D:$D,$A:$A,$A204,$B:$B,"&lt;&gt;Patrícia Karla de Sousa Araújo",$B:$B,"&lt;&gt;Lorena Dias de Araujo",$B:$B,"&lt;&gt;Lucas Luiz Romero")*(23/1083),IF(C204="JR",SUMIFS($D:$D,$A:$A,$A204,$B:$B,"&lt;&gt;Patrícia Karla de Sousa Araújo",$B:$B,"&lt;&gt;Lorena Dias de Araujo",$B:$B,"&lt;&gt;Lucas Luiz Romero")*(20/1083),IF(C204="Estágio",SUMIFS($D:$D,$A:$A,$A204,$B:$B,"&lt;&gt;Patrícia Karla de Sousa Araújo",$B:$B,"&lt;&gt;Lorena Dias de Araujo",$B:$B,"&lt;&gt;Lucas Luiz Romero")*(10/1083),0)))))),0)</f>
        <v>11</v>
      </c>
      <c r="K204" s="3">
        <f t="shared" si="24"/>
        <v>8</v>
      </c>
      <c r="L204" s="3" t="str">
        <f t="shared" si="26"/>
        <v>MUITO BOM</v>
      </c>
      <c r="M204" s="3">
        <v>18</v>
      </c>
      <c r="N204" s="3">
        <v>99.25</v>
      </c>
      <c r="O204" s="3">
        <v>20.408163265306118</v>
      </c>
    </row>
    <row r="205" spans="1:15" hidden="1" x14ac:dyDescent="0.25">
      <c r="A205" s="10">
        <v>46164</v>
      </c>
      <c r="B205" s="6" t="s">
        <v>25</v>
      </c>
      <c r="C205" s="3" t="s">
        <v>26</v>
      </c>
      <c r="D205" s="3">
        <v>19</v>
      </c>
      <c r="E205" s="3">
        <v>19</v>
      </c>
      <c r="F205" s="3">
        <v>21.43</v>
      </c>
      <c r="G205" s="3">
        <v>0</v>
      </c>
      <c r="H205" s="3">
        <v>0</v>
      </c>
      <c r="I205" s="3">
        <f t="shared" si="23"/>
        <v>19</v>
      </c>
      <c r="J205" s="3">
        <f>ROUND(MIN(IF(C205="Técnico III",35,IF(C205="Técnico II",28,IF(C205="Técnico I",23,IF(C205="JR",20,IF(C205="Estágio",10,0))))),IF(C205="Técnico III",SUMIFS($D:$D,$A:$A,$A205,$B:$B,"&lt;&gt;Patrícia Karla de Sousa Araújo",$B:$B,"&lt;&gt;Lorena Dias de Araujo",$B:$B,"&lt;&gt;Lucas Luiz Romero")*(35/1083),IF(C205="Técnico II",SUMIFS($D:$D,$A:$A,$A205,$B:$B,"&lt;&gt;Patrícia Karla de Sousa Araújo",$B:$B,"&lt;&gt;Lorena Dias de Araujo",$B:$B,"&lt;&gt;Lucas Luiz Romero")*(28/1083),IF(C205="Técnico I",SUMIFS($D:$D,$A:$A,$A205,$B:$B,"&lt;&gt;Patrícia Karla de Sousa Araújo",$B:$B,"&lt;&gt;Lorena Dias de Araujo",$B:$B,"&lt;&gt;Lucas Luiz Romero")*(23/1083),IF(C205="JR",SUMIFS($D:$D,$A:$A,$A205,$B:$B,"&lt;&gt;Patrícia Karla de Sousa Araújo",$B:$B,"&lt;&gt;Lorena Dias de Araujo",$B:$B,"&lt;&gt;Lucas Luiz Romero")*(20/1083),IF(C205="Estágio",SUMIFS($D:$D,$A:$A,$A205,$B:$B,"&lt;&gt;Patrícia Karla de Sousa Araújo",$B:$B,"&lt;&gt;Lorena Dias de Araujo",$B:$B,"&lt;&gt;Lucas Luiz Romero")*(10/1083),0)))))),0)</f>
        <v>11</v>
      </c>
      <c r="K205" s="3">
        <f t="shared" si="24"/>
        <v>8</v>
      </c>
      <c r="L205" s="3" t="str">
        <f t="shared" si="26"/>
        <v>MUITO BOM</v>
      </c>
      <c r="M205" s="3">
        <v>20</v>
      </c>
      <c r="N205" s="3">
        <v>97.62</v>
      </c>
      <c r="O205" s="3">
        <v>17.82477341389728</v>
      </c>
    </row>
    <row r="206" spans="1:15" hidden="1" x14ac:dyDescent="0.25">
      <c r="A206" s="10">
        <v>46164</v>
      </c>
      <c r="B206" s="6" t="s">
        <v>27</v>
      </c>
      <c r="C206" s="3" t="s">
        <v>26</v>
      </c>
      <c r="D206" s="3">
        <v>10</v>
      </c>
      <c r="E206" s="3">
        <v>10</v>
      </c>
      <c r="F206" s="3">
        <v>27.18</v>
      </c>
      <c r="G206" s="3">
        <v>2</v>
      </c>
      <c r="H206" s="3">
        <v>0</v>
      </c>
      <c r="I206" s="3">
        <f t="shared" si="23"/>
        <v>12</v>
      </c>
      <c r="J206" s="3">
        <f>ROUND(MIN(IF(C206="Técnico III",35,IF(C206="Técnico II",28,IF(C206="Técnico I",23,IF(C206="JR",20,IF(C206="Estágio",10,0))))),IF(C206="Técnico III",SUMIFS($D:$D,$A:$A,$A206,$B:$B,"&lt;&gt;Patrícia Karla de Sousa Araújo",$B:$B,"&lt;&gt;Lorena Dias de Araujo",$B:$B,"&lt;&gt;Lucas Luiz Romero")*(35/1083),IF(C206="Técnico II",SUMIFS($D:$D,$A:$A,$A206,$B:$B,"&lt;&gt;Patrícia Karla de Sousa Araújo",$B:$B,"&lt;&gt;Lorena Dias de Araujo",$B:$B,"&lt;&gt;Lucas Luiz Romero")*(28/1083),IF(C206="Técnico I",SUMIFS($D:$D,$A:$A,$A206,$B:$B,"&lt;&gt;Patrícia Karla de Sousa Araújo",$B:$B,"&lt;&gt;Lorena Dias de Araujo",$B:$B,"&lt;&gt;Lucas Luiz Romero")*(23/1083),IF(C206="JR",SUMIFS($D:$D,$A:$A,$A206,$B:$B,"&lt;&gt;Patrícia Karla de Sousa Araújo",$B:$B,"&lt;&gt;Lorena Dias de Araujo",$B:$B,"&lt;&gt;Lucas Luiz Romero")*(20/1083),IF(C206="Estágio",SUMIFS($D:$D,$A:$A,$A206,$B:$B,"&lt;&gt;Patrícia Karla de Sousa Araújo",$B:$B,"&lt;&gt;Lorena Dias de Araujo",$B:$B,"&lt;&gt;Lucas Luiz Romero")*(10/1083),0)))))),0)</f>
        <v>11</v>
      </c>
      <c r="K206" s="3">
        <f t="shared" si="24"/>
        <v>1</v>
      </c>
      <c r="L206" s="3" t="str">
        <f t="shared" si="26"/>
        <v>OPORTUNO</v>
      </c>
      <c r="M206" s="3">
        <v>8</v>
      </c>
      <c r="N206" s="3">
        <v>100</v>
      </c>
      <c r="O206" s="3">
        <v>19.072164948453612</v>
      </c>
    </row>
    <row r="207" spans="1:15" hidden="1" x14ac:dyDescent="0.25">
      <c r="A207" s="10">
        <v>46164</v>
      </c>
      <c r="B207" s="6" t="s">
        <v>28</v>
      </c>
      <c r="C207" s="3" t="s">
        <v>26</v>
      </c>
      <c r="D207" s="3">
        <v>21</v>
      </c>
      <c r="E207" s="3">
        <v>18</v>
      </c>
      <c r="F207" s="3">
        <v>13.49</v>
      </c>
      <c r="G207" s="3">
        <v>0</v>
      </c>
      <c r="H207" s="3">
        <v>0</v>
      </c>
      <c r="I207" s="3">
        <f t="shared" si="23"/>
        <v>18</v>
      </c>
      <c r="J207" s="3">
        <f>ROUND(MIN(IF(C207="Técnico III",35,IF(C207="Técnico II",28,IF(C207="Técnico I",23,IF(C207="JR",20,IF(C207="Estágio",10,0))))),IF(C207="Técnico III",SUMIFS($D:$D,$A:$A,$A207,$B:$B,"&lt;&gt;Patrícia Karla de Sousa Araújo",$B:$B,"&lt;&gt;Lorena Dias de Araujo",$B:$B,"&lt;&gt;Lucas Luiz Romero")*(35/1083),IF(C207="Técnico II",SUMIFS($D:$D,$A:$A,$A207,$B:$B,"&lt;&gt;Patrícia Karla de Sousa Araújo",$B:$B,"&lt;&gt;Lorena Dias de Araujo",$B:$B,"&lt;&gt;Lucas Luiz Romero")*(28/1083),IF(C207="Técnico I",SUMIFS($D:$D,$A:$A,$A207,$B:$B,"&lt;&gt;Patrícia Karla de Sousa Araújo",$B:$B,"&lt;&gt;Lorena Dias de Araujo",$B:$B,"&lt;&gt;Lucas Luiz Romero")*(23/1083),IF(C207="JR",SUMIFS($D:$D,$A:$A,$A207,$B:$B,"&lt;&gt;Patrícia Karla de Sousa Araújo",$B:$B,"&lt;&gt;Lorena Dias de Araujo",$B:$B,"&lt;&gt;Lucas Luiz Romero")*(20/1083),IF(C207="Estágio",SUMIFS($D:$D,$A:$A,$A207,$B:$B,"&lt;&gt;Patrícia Karla de Sousa Araújo",$B:$B,"&lt;&gt;Lorena Dias de Araujo",$B:$B,"&lt;&gt;Lucas Luiz Romero")*(10/1083),0)))))),0)</f>
        <v>11</v>
      </c>
      <c r="K207" s="3">
        <f t="shared" si="24"/>
        <v>7</v>
      </c>
      <c r="L207" s="3" t="str">
        <f t="shared" si="26"/>
        <v>MUITO BOM</v>
      </c>
      <c r="M207" s="3">
        <v>16</v>
      </c>
      <c r="N207" s="3">
        <v>96.83</v>
      </c>
      <c r="O207" s="3">
        <v>20.94017094017094</v>
      </c>
    </row>
    <row r="208" spans="1:15" hidden="1" x14ac:dyDescent="0.25">
      <c r="A208" s="10">
        <v>46164</v>
      </c>
      <c r="B208" s="6" t="s">
        <v>29</v>
      </c>
      <c r="C208" s="3" t="s">
        <v>26</v>
      </c>
      <c r="D208" s="3">
        <v>13</v>
      </c>
      <c r="E208" s="3">
        <v>13</v>
      </c>
      <c r="F208" s="3">
        <v>27</v>
      </c>
      <c r="G208" s="3">
        <v>4</v>
      </c>
      <c r="H208" s="3">
        <v>0</v>
      </c>
      <c r="I208" s="3">
        <f t="shared" si="23"/>
        <v>17</v>
      </c>
      <c r="J208" s="3">
        <f>ROUND(MIN(IF(C208="Técnico III",35,IF(C208="Técnico II",28,IF(C208="Técnico I",23,IF(C208="JR",20,IF(C208="Estágio",10,0))))),IF(C208="Técnico III",SUMIFS($D:$D,$A:$A,$A208,$B:$B,"&lt;&gt;Patrícia Karla de Sousa Araújo",$B:$B,"&lt;&gt;Lorena Dias de Araujo",$B:$B,"&lt;&gt;Lucas Luiz Romero")*(35/1083),IF(C208="Técnico II",SUMIFS($D:$D,$A:$A,$A208,$B:$B,"&lt;&gt;Patrícia Karla de Sousa Araújo",$B:$B,"&lt;&gt;Lorena Dias de Araujo",$B:$B,"&lt;&gt;Lucas Luiz Romero")*(28/1083),IF(C208="Técnico I",SUMIFS($D:$D,$A:$A,$A208,$B:$B,"&lt;&gt;Patrícia Karla de Sousa Araújo",$B:$B,"&lt;&gt;Lorena Dias de Araujo",$B:$B,"&lt;&gt;Lucas Luiz Romero")*(23/1083),IF(C208="JR",SUMIFS($D:$D,$A:$A,$A208,$B:$B,"&lt;&gt;Patrícia Karla de Sousa Araújo",$B:$B,"&lt;&gt;Lorena Dias de Araujo",$B:$B,"&lt;&gt;Lucas Luiz Romero")*(20/1083),IF(C208="Estágio",SUMIFS($D:$D,$A:$A,$A208,$B:$B,"&lt;&gt;Patrícia Karla de Sousa Araújo",$B:$B,"&lt;&gt;Lorena Dias de Araujo",$B:$B,"&lt;&gt;Lucas Luiz Romero")*(10/1083),0)))))),0)</f>
        <v>11</v>
      </c>
      <c r="K208" s="3">
        <f t="shared" si="24"/>
        <v>6</v>
      </c>
      <c r="L208" s="3" t="str">
        <f t="shared" si="26"/>
        <v>MUITO BOM</v>
      </c>
      <c r="M208" s="3">
        <v>9</v>
      </c>
      <c r="N208" s="3">
        <v>100</v>
      </c>
      <c r="O208" s="3">
        <v>20.0836820083682</v>
      </c>
    </row>
    <row r="209" spans="1:15" hidden="1" x14ac:dyDescent="0.25">
      <c r="A209" s="10">
        <v>46164</v>
      </c>
      <c r="B209" s="6" t="s">
        <v>30</v>
      </c>
      <c r="C209" s="3" t="s">
        <v>26</v>
      </c>
      <c r="D209" s="3">
        <v>17</v>
      </c>
      <c r="E209" s="3">
        <v>17</v>
      </c>
      <c r="F209" s="3">
        <v>17.239999999999998</v>
      </c>
      <c r="G209" s="3">
        <v>2</v>
      </c>
      <c r="H209" s="3">
        <v>0</v>
      </c>
      <c r="I209" s="3">
        <f t="shared" si="23"/>
        <v>19</v>
      </c>
      <c r="J209" s="3">
        <f>ROUND(MIN(IF(C209="Técnico III",35,IF(C209="Técnico II",28,IF(C209="Técnico I",23,IF(C209="JR",20,IF(C209="Estágio",10,0))))),IF(C209="Técnico III",SUMIFS($D:$D,$A:$A,$A209,$B:$B,"&lt;&gt;Patrícia Karla de Sousa Araújo",$B:$B,"&lt;&gt;Lorena Dias de Araujo",$B:$B,"&lt;&gt;Lucas Luiz Romero")*(35/1083),IF(C209="Técnico II",SUMIFS($D:$D,$A:$A,$A209,$B:$B,"&lt;&gt;Patrícia Karla de Sousa Araújo",$B:$B,"&lt;&gt;Lorena Dias de Araujo",$B:$B,"&lt;&gt;Lucas Luiz Romero")*(28/1083),IF(C209="Técnico I",SUMIFS($D:$D,$A:$A,$A209,$B:$B,"&lt;&gt;Patrícia Karla de Sousa Araújo",$B:$B,"&lt;&gt;Lorena Dias de Araujo",$B:$B,"&lt;&gt;Lucas Luiz Romero")*(23/1083),IF(C209="JR",SUMIFS($D:$D,$A:$A,$A209,$B:$B,"&lt;&gt;Patrícia Karla de Sousa Araújo",$B:$B,"&lt;&gt;Lorena Dias de Araujo",$B:$B,"&lt;&gt;Lucas Luiz Romero")*(20/1083),IF(C209="Estágio",SUMIFS($D:$D,$A:$A,$A209,$B:$B,"&lt;&gt;Patrícia Karla de Sousa Araújo",$B:$B,"&lt;&gt;Lorena Dias de Araujo",$B:$B,"&lt;&gt;Lucas Luiz Romero")*(10/1083),0)))))),0)</f>
        <v>11</v>
      </c>
      <c r="K209" s="3">
        <f t="shared" si="24"/>
        <v>8</v>
      </c>
      <c r="L209" s="3" t="str">
        <f t="shared" si="26"/>
        <v>MUITO BOM</v>
      </c>
      <c r="M209" s="3">
        <v>15</v>
      </c>
      <c r="N209" s="3">
        <v>100</v>
      </c>
      <c r="O209" s="3">
        <v>16.34241245136187</v>
      </c>
    </row>
    <row r="210" spans="1:15" hidden="1" x14ac:dyDescent="0.25">
      <c r="A210" s="11">
        <v>46167</v>
      </c>
      <c r="B210" t="s">
        <v>15</v>
      </c>
      <c r="C210" t="s">
        <v>26</v>
      </c>
      <c r="D210">
        <v>25</v>
      </c>
      <c r="E210">
        <v>25</v>
      </c>
      <c r="F210">
        <v>15.22</v>
      </c>
      <c r="G210">
        <v>0</v>
      </c>
      <c r="H210">
        <v>0</v>
      </c>
      <c r="I210" s="3">
        <v>0</v>
      </c>
      <c r="J210" s="3">
        <v>0</v>
      </c>
      <c r="K210" s="3">
        <v>0</v>
      </c>
      <c r="L210" s="3" t="str">
        <f t="shared" si="26"/>
        <v>OPORTUNO</v>
      </c>
      <c r="M210">
        <v>25</v>
      </c>
      <c r="N210">
        <v>99.25</v>
      </c>
      <c r="O210">
        <v>20.408163265306118</v>
      </c>
    </row>
    <row r="211" spans="1:15" hidden="1" x14ac:dyDescent="0.25">
      <c r="A211" s="11">
        <v>46167</v>
      </c>
      <c r="B211" t="s">
        <v>25</v>
      </c>
      <c r="C211" t="s">
        <v>26</v>
      </c>
      <c r="D211">
        <v>14</v>
      </c>
      <c r="E211">
        <v>13</v>
      </c>
      <c r="F211">
        <v>14.05</v>
      </c>
      <c r="G211">
        <v>0</v>
      </c>
      <c r="H211">
        <v>0</v>
      </c>
      <c r="I211" s="3">
        <v>0</v>
      </c>
      <c r="J211" s="3">
        <v>0</v>
      </c>
      <c r="K211" s="3">
        <v>0</v>
      </c>
      <c r="L211" s="3" t="str">
        <f t="shared" si="26"/>
        <v>OPORTUNO</v>
      </c>
      <c r="M211">
        <v>13</v>
      </c>
      <c r="N211">
        <v>97.62</v>
      </c>
      <c r="O211">
        <v>17.82477341389728</v>
      </c>
    </row>
    <row r="212" spans="1:15" hidden="1" x14ac:dyDescent="0.25">
      <c r="A212" s="11">
        <v>46167</v>
      </c>
      <c r="B212" t="s">
        <v>27</v>
      </c>
      <c r="C212" t="s">
        <v>26</v>
      </c>
      <c r="D212">
        <v>16</v>
      </c>
      <c r="E212">
        <v>16</v>
      </c>
      <c r="F212">
        <v>25.06</v>
      </c>
      <c r="G212">
        <v>0</v>
      </c>
      <c r="H212">
        <v>0</v>
      </c>
      <c r="I212" s="3">
        <v>0</v>
      </c>
      <c r="J212" s="3">
        <v>0</v>
      </c>
      <c r="K212" s="3">
        <v>0</v>
      </c>
      <c r="L212" s="3" t="str">
        <f t="shared" si="26"/>
        <v>OPORTUNO</v>
      </c>
      <c r="M212">
        <v>13</v>
      </c>
      <c r="N212">
        <v>100</v>
      </c>
      <c r="O212">
        <v>19.072164948453612</v>
      </c>
    </row>
    <row r="213" spans="1:15" hidden="1" x14ac:dyDescent="0.25">
      <c r="A213" s="11">
        <v>46167</v>
      </c>
      <c r="B213" t="s">
        <v>28</v>
      </c>
      <c r="C213" t="s">
        <v>26</v>
      </c>
      <c r="D213">
        <v>0</v>
      </c>
      <c r="E213">
        <v>0</v>
      </c>
      <c r="F213">
        <v>0</v>
      </c>
      <c r="G213">
        <v>0</v>
      </c>
      <c r="H213">
        <v>0</v>
      </c>
      <c r="I213" s="3">
        <v>0</v>
      </c>
      <c r="J213" s="3">
        <v>0</v>
      </c>
      <c r="K213" s="3">
        <v>0</v>
      </c>
      <c r="L213" s="3" t="str">
        <f t="shared" si="26"/>
        <v>OPORTUNO</v>
      </c>
      <c r="M213">
        <v>0</v>
      </c>
      <c r="N213">
        <v>96.83</v>
      </c>
      <c r="O213">
        <v>20.94017094017094</v>
      </c>
    </row>
    <row r="214" spans="1:15" hidden="1" x14ac:dyDescent="0.25">
      <c r="A214" s="11">
        <v>46167</v>
      </c>
      <c r="B214" t="s">
        <v>29</v>
      </c>
      <c r="C214" t="s">
        <v>26</v>
      </c>
      <c r="D214">
        <v>16</v>
      </c>
      <c r="E214">
        <v>16</v>
      </c>
      <c r="F214">
        <v>21.46</v>
      </c>
      <c r="G214">
        <v>0</v>
      </c>
      <c r="H214">
        <v>0</v>
      </c>
      <c r="I214" s="3">
        <v>0</v>
      </c>
      <c r="J214" s="3">
        <v>0</v>
      </c>
      <c r="K214" s="3">
        <v>0</v>
      </c>
      <c r="L214" s="3" t="str">
        <f t="shared" si="26"/>
        <v>OPORTUNO</v>
      </c>
      <c r="M214">
        <v>16</v>
      </c>
      <c r="N214">
        <v>100</v>
      </c>
      <c r="O214">
        <v>20.0836820083682</v>
      </c>
    </row>
    <row r="215" spans="1:15" hidden="1" x14ac:dyDescent="0.25">
      <c r="A215" s="11">
        <v>46167</v>
      </c>
      <c r="B215" t="s">
        <v>30</v>
      </c>
      <c r="C215" t="s">
        <v>26</v>
      </c>
      <c r="D215">
        <v>13</v>
      </c>
      <c r="E215">
        <v>12</v>
      </c>
      <c r="F215">
        <v>15.01</v>
      </c>
      <c r="G215">
        <v>0</v>
      </c>
      <c r="H215">
        <v>0</v>
      </c>
      <c r="I215" s="3">
        <v>0</v>
      </c>
      <c r="J215" s="3">
        <v>0</v>
      </c>
      <c r="K215" s="3">
        <v>0</v>
      </c>
      <c r="L215" s="3" t="str">
        <f t="shared" si="26"/>
        <v>OPORTUNO</v>
      </c>
      <c r="M215">
        <v>10</v>
      </c>
      <c r="N215">
        <v>100</v>
      </c>
      <c r="O215">
        <v>16.34241245136187</v>
      </c>
    </row>
    <row r="216" spans="1:15" hidden="1" x14ac:dyDescent="0.25">
      <c r="A216" s="11">
        <v>46140</v>
      </c>
      <c r="B216" t="s">
        <v>25</v>
      </c>
      <c r="C216" t="s">
        <v>26</v>
      </c>
      <c r="D216">
        <v>27</v>
      </c>
      <c r="E216">
        <v>25</v>
      </c>
      <c r="F216">
        <v>16.48</v>
      </c>
      <c r="G216">
        <v>0</v>
      </c>
      <c r="H216">
        <v>0</v>
      </c>
      <c r="I216" s="3">
        <f t="shared" ref="I216:I222" si="27">E216+G216+H216</f>
        <v>25</v>
      </c>
      <c r="J216" s="3">
        <f>ROUND(MIN(IF(C216="Técnico III",35,IF(C216="Técnico II",28,IF(C216="Técnico I",23,IF(C216="JR",20,IF(C216="Estágio",10,0))))),IF(C216="Técnico III",SUMIFS($D:$D,$A:$A,$A216,$B:$B,"&lt;&gt;Patrícia Karla de Sousa Araújo",$B:$B,"&lt;&gt;Lorena Dias de Araujo",$B:$B,"&lt;&gt;Lucas Luiz Romero")*(35/1083),IF(C216="Técnico II",SUMIFS($D:$D,$A:$A,$A216,$B:$B,"&lt;&gt;Patrícia Karla de Sousa Araújo",$B:$B,"&lt;&gt;Lorena Dias de Araujo",$B:$B,"&lt;&gt;Lucas Luiz Romero")*(28/1083),IF(C216="Técnico I",SUMIFS($D:$D,$A:$A,$A216,$B:$B,"&lt;&gt;Patrícia Karla de Sousa Araújo",$B:$B,"&lt;&gt;Lorena Dias de Araujo",$B:$B,"&lt;&gt;Lucas Luiz Romero")*(23/1083),IF(C216="JR",SUMIFS($D:$D,$A:$A,$A216,$B:$B,"&lt;&gt;Patrícia Karla de Sousa Araújo",$B:$B,"&lt;&gt;Lorena Dias de Araujo",$B:$B,"&lt;&gt;Lucas Luiz Romero")*(20/1083),IF(C216="Estágio",SUMIFS($D:$D,$A:$A,$A216,$B:$B,"&lt;&gt;Patrícia Karla de Sousa Araújo",$B:$B,"&lt;&gt;Lorena Dias de Araujo",$B:$B,"&lt;&gt;Lucas Luiz Romero")*(10/1083),0)))))),0)</f>
        <v>19</v>
      </c>
      <c r="K216" s="3">
        <f t="shared" ref="K216:K222" si="28">I216-J216</f>
        <v>6</v>
      </c>
      <c r="L216" s="3" t="str">
        <f t="shared" si="26"/>
        <v>MUITO BOM</v>
      </c>
      <c r="M216">
        <v>26</v>
      </c>
      <c r="N216">
        <v>97.17</v>
      </c>
      <c r="O216">
        <v>28.81844380403458</v>
      </c>
    </row>
    <row r="217" spans="1:15" hidden="1" x14ac:dyDescent="0.25">
      <c r="A217" s="11">
        <v>46140</v>
      </c>
      <c r="B217" t="s">
        <v>27</v>
      </c>
      <c r="C217" t="s">
        <v>26</v>
      </c>
      <c r="D217">
        <v>17</v>
      </c>
      <c r="E217">
        <v>14</v>
      </c>
      <c r="F217">
        <v>22.19</v>
      </c>
      <c r="G217">
        <v>0</v>
      </c>
      <c r="H217">
        <v>0</v>
      </c>
      <c r="I217" s="3">
        <f t="shared" si="27"/>
        <v>14</v>
      </c>
      <c r="J217" s="3">
        <f>ROUND(MIN(IF(C217="Técnico III",35,IF(C217="Técnico II",28,IF(C217="Técnico I",23,IF(C217="JR",20,IF(C217="Estágio",10,0))))),IF(C217="Técnico III",SUMIFS($D:$D,$A:$A,$A217,$B:$B,"&lt;&gt;Patrícia Karla de Sousa Araújo",$B:$B,"&lt;&gt;Lorena Dias de Araujo",$B:$B,"&lt;&gt;Lucas Luiz Romero")*(35/1083),IF(C217="Técnico II",SUMIFS($D:$D,$A:$A,$A217,$B:$B,"&lt;&gt;Patrícia Karla de Sousa Araújo",$B:$B,"&lt;&gt;Lorena Dias de Araujo",$B:$B,"&lt;&gt;Lucas Luiz Romero")*(28/1083),IF(C217="Técnico I",SUMIFS($D:$D,$A:$A,$A217,$B:$B,"&lt;&gt;Patrícia Karla de Sousa Araújo",$B:$B,"&lt;&gt;Lorena Dias de Araujo",$B:$B,"&lt;&gt;Lucas Luiz Romero")*(23/1083),IF(C217="JR",SUMIFS($D:$D,$A:$A,$A217,$B:$B,"&lt;&gt;Patrícia Karla de Sousa Araújo",$B:$B,"&lt;&gt;Lorena Dias de Araujo",$B:$B,"&lt;&gt;Lucas Luiz Romero")*(20/1083),IF(C217="Estágio",SUMIFS($D:$D,$A:$A,$A217,$B:$B,"&lt;&gt;Patrícia Karla de Sousa Araújo",$B:$B,"&lt;&gt;Lorena Dias de Araujo",$B:$B,"&lt;&gt;Lucas Luiz Romero")*(10/1083),0)))))),0)</f>
        <v>19</v>
      </c>
      <c r="K217" s="3">
        <f t="shared" si="28"/>
        <v>-5</v>
      </c>
      <c r="L217" s="3" t="str">
        <f t="shared" si="26"/>
        <v>ATENÇÃO</v>
      </c>
      <c r="M217">
        <v>12</v>
      </c>
      <c r="N217">
        <v>98.15</v>
      </c>
      <c r="O217">
        <v>27.1551724137931</v>
      </c>
    </row>
    <row r="218" spans="1:15" hidden="1" x14ac:dyDescent="0.25">
      <c r="A218" s="11">
        <v>46140</v>
      </c>
      <c r="B218" t="s">
        <v>28</v>
      </c>
      <c r="C218" t="s">
        <v>26</v>
      </c>
      <c r="D218">
        <v>28</v>
      </c>
      <c r="E218">
        <v>18</v>
      </c>
      <c r="F218">
        <v>15.03</v>
      </c>
      <c r="G218">
        <v>0</v>
      </c>
      <c r="H218">
        <v>0</v>
      </c>
      <c r="I218" s="3">
        <f t="shared" si="27"/>
        <v>18</v>
      </c>
      <c r="J218" s="3">
        <f>ROUND(MIN(IF(C218="Técnico III",35,IF(C218="Técnico II",28,IF(C218="Técnico I",23,IF(C218="JR",20,IF(C218="Estágio",10,0))))),IF(C218="Técnico III",SUMIFS($D:$D,$A:$A,$A218,$B:$B,"&lt;&gt;Patrícia Karla de Sousa Araújo",$B:$B,"&lt;&gt;Lorena Dias de Araujo",$B:$B,"&lt;&gt;Lucas Luiz Romero")*(35/1083),IF(C218="Técnico II",SUMIFS($D:$D,$A:$A,$A218,$B:$B,"&lt;&gt;Patrícia Karla de Sousa Araújo",$B:$B,"&lt;&gt;Lorena Dias de Araujo",$B:$B,"&lt;&gt;Lucas Luiz Romero")*(28/1083),IF(C218="Técnico I",SUMIFS($D:$D,$A:$A,$A218,$B:$B,"&lt;&gt;Patrícia Karla de Sousa Araújo",$B:$B,"&lt;&gt;Lorena Dias de Araujo",$B:$B,"&lt;&gt;Lucas Luiz Romero")*(23/1083),IF(C218="JR",SUMIFS($D:$D,$A:$A,$A218,$B:$B,"&lt;&gt;Patrícia Karla de Sousa Araújo",$B:$B,"&lt;&gt;Lorena Dias de Araujo",$B:$B,"&lt;&gt;Lucas Luiz Romero")*(20/1083),IF(C218="Estágio",SUMIFS($D:$D,$A:$A,$A218,$B:$B,"&lt;&gt;Patrícia Karla de Sousa Araújo",$B:$B,"&lt;&gt;Lorena Dias de Araujo",$B:$B,"&lt;&gt;Lucas Luiz Romero")*(10/1083),0)))))),0)</f>
        <v>19</v>
      </c>
      <c r="K218" s="3">
        <f t="shared" si="28"/>
        <v>-1</v>
      </c>
      <c r="L218" s="3" t="str">
        <f t="shared" si="26"/>
        <v>ATENÇÃO</v>
      </c>
      <c r="M218">
        <v>12</v>
      </c>
      <c r="N218">
        <v>96.15</v>
      </c>
      <c r="O218">
        <v>24.045801526717561</v>
      </c>
    </row>
    <row r="219" spans="1:15" hidden="1" x14ac:dyDescent="0.25">
      <c r="A219" s="11">
        <v>46140</v>
      </c>
      <c r="B219" t="s">
        <v>29</v>
      </c>
      <c r="C219" t="s">
        <v>26</v>
      </c>
      <c r="D219">
        <v>23</v>
      </c>
      <c r="E219">
        <v>22</v>
      </c>
      <c r="F219">
        <v>17.079999999999998</v>
      </c>
      <c r="G219">
        <v>0</v>
      </c>
      <c r="H219">
        <v>0</v>
      </c>
      <c r="I219" s="3">
        <f t="shared" si="27"/>
        <v>22</v>
      </c>
      <c r="J219" s="3">
        <f>ROUND(MIN(IF(C219="Técnico III",35,IF(C219="Técnico II",28,IF(C219="Técnico I",23,IF(C219="JR",20,IF(C219="Estágio",10,0))))),IF(C219="Técnico III",SUMIFS($D:$D,$A:$A,$A219,$B:$B,"&lt;&gt;Patrícia Karla de Sousa Araújo",$B:$B,"&lt;&gt;Lorena Dias de Araujo",$B:$B,"&lt;&gt;Lucas Luiz Romero")*(35/1083),IF(C219="Técnico II",SUMIFS($D:$D,$A:$A,$A219,$B:$B,"&lt;&gt;Patrícia Karla de Sousa Araújo",$B:$B,"&lt;&gt;Lorena Dias de Araujo",$B:$B,"&lt;&gt;Lucas Luiz Romero")*(28/1083),IF(C219="Técnico I",SUMIFS($D:$D,$A:$A,$A219,$B:$B,"&lt;&gt;Patrícia Karla de Sousa Araújo",$B:$B,"&lt;&gt;Lorena Dias de Araujo",$B:$B,"&lt;&gt;Lucas Luiz Romero")*(23/1083),IF(C219="JR",SUMIFS($D:$D,$A:$A,$A219,$B:$B,"&lt;&gt;Patrícia Karla de Sousa Araújo",$B:$B,"&lt;&gt;Lorena Dias de Araujo",$B:$B,"&lt;&gt;Lucas Luiz Romero")*(20/1083),IF(C219="Estágio",SUMIFS($D:$D,$A:$A,$A219,$B:$B,"&lt;&gt;Patrícia Karla de Sousa Araújo",$B:$B,"&lt;&gt;Lorena Dias de Araujo",$B:$B,"&lt;&gt;Lucas Luiz Romero")*(10/1083),0)))))),0)</f>
        <v>19</v>
      </c>
      <c r="K219" s="3">
        <f t="shared" si="28"/>
        <v>3</v>
      </c>
      <c r="L219" s="3" t="str">
        <f t="shared" si="26"/>
        <v>OPORTUNO</v>
      </c>
      <c r="M219">
        <v>20</v>
      </c>
      <c r="N219">
        <v>98.84</v>
      </c>
      <c r="O219">
        <v>31.868131868131869</v>
      </c>
    </row>
    <row r="220" spans="1:15" hidden="1" x14ac:dyDescent="0.25">
      <c r="A220" s="11">
        <v>46140</v>
      </c>
      <c r="B220" t="s">
        <v>30</v>
      </c>
      <c r="C220" t="s">
        <v>26</v>
      </c>
      <c r="D220">
        <v>19</v>
      </c>
      <c r="E220">
        <v>19</v>
      </c>
      <c r="F220">
        <v>17.21</v>
      </c>
      <c r="G220">
        <v>0</v>
      </c>
      <c r="H220">
        <v>0</v>
      </c>
      <c r="I220" s="3">
        <f t="shared" si="27"/>
        <v>19</v>
      </c>
      <c r="J220" s="3">
        <f>ROUND(MIN(IF(C220="Técnico III",35,IF(C220="Técnico II",28,IF(C220="Técnico I",23,IF(C220="JR",20,IF(C220="Estágio",10,0))))),IF(C220="Técnico III",SUMIFS($D:$D,$A:$A,$A220,$B:$B,"&lt;&gt;Patrícia Karla de Sousa Araújo",$B:$B,"&lt;&gt;Lorena Dias de Araujo",$B:$B,"&lt;&gt;Lucas Luiz Romero")*(35/1083),IF(C220="Técnico II",SUMIFS($D:$D,$A:$A,$A220,$B:$B,"&lt;&gt;Patrícia Karla de Sousa Araújo",$B:$B,"&lt;&gt;Lorena Dias de Araujo",$B:$B,"&lt;&gt;Lucas Luiz Romero")*(28/1083),IF(C220="Técnico I",SUMIFS($D:$D,$A:$A,$A220,$B:$B,"&lt;&gt;Patrícia Karla de Sousa Araújo",$B:$B,"&lt;&gt;Lorena Dias de Araujo",$B:$B,"&lt;&gt;Lucas Luiz Romero")*(23/1083),IF(C220="JR",SUMIFS($D:$D,$A:$A,$A220,$B:$B,"&lt;&gt;Patrícia Karla de Sousa Araújo",$B:$B,"&lt;&gt;Lorena Dias de Araujo",$B:$B,"&lt;&gt;Lucas Luiz Romero")*(20/1083),IF(C220="Estágio",SUMIFS($D:$D,$A:$A,$A220,$B:$B,"&lt;&gt;Patrícia Karla de Sousa Araújo",$B:$B,"&lt;&gt;Lorena Dias de Araujo",$B:$B,"&lt;&gt;Lucas Luiz Romero")*(10/1083),0)))))),0)</f>
        <v>19</v>
      </c>
      <c r="K220" s="3">
        <f t="shared" si="28"/>
        <v>0</v>
      </c>
      <c r="L220" s="3" t="str">
        <f t="shared" si="26"/>
        <v>OPORTUNO</v>
      </c>
      <c r="M220">
        <v>15</v>
      </c>
      <c r="N220">
        <v>100</v>
      </c>
      <c r="O220">
        <v>34.666666666666671</v>
      </c>
    </row>
    <row r="221" spans="1:15" hidden="1" x14ac:dyDescent="0.25">
      <c r="A221" s="11">
        <v>46141</v>
      </c>
      <c r="B221" t="s">
        <v>25</v>
      </c>
      <c r="C221" t="s">
        <v>26</v>
      </c>
      <c r="D221">
        <v>24</v>
      </c>
      <c r="E221">
        <v>22</v>
      </c>
      <c r="F221">
        <v>19.14</v>
      </c>
      <c r="G221">
        <v>0</v>
      </c>
      <c r="H221">
        <v>0</v>
      </c>
      <c r="I221" s="3">
        <f t="shared" si="27"/>
        <v>22</v>
      </c>
      <c r="J221" s="3">
        <f>ROUND(MIN(IF(C221="Técnico III",35,IF(C221="Técnico II",28,IF(C221="Técnico I",23,IF(C221="JR",20,IF(C221="Estágio",10,0))))),IF(C221="Técnico III",SUMIFS($D:$D,$A:$A,$A221,$B:$B,"&lt;&gt;Patrícia Karla de Sousa Araújo",$B:$B,"&lt;&gt;Lorena Dias de Araujo",$B:$B,"&lt;&gt;Lucas Luiz Romero")*(35/1083),IF(C221="Técnico II",SUMIFS($D:$D,$A:$A,$A221,$B:$B,"&lt;&gt;Patrícia Karla de Sousa Araújo",$B:$B,"&lt;&gt;Lorena Dias de Araujo",$B:$B,"&lt;&gt;Lucas Luiz Romero")*(28/1083),IF(C221="Técnico I",SUMIFS($D:$D,$A:$A,$A221,$B:$B,"&lt;&gt;Patrícia Karla de Sousa Araújo",$B:$B,"&lt;&gt;Lorena Dias de Araujo",$B:$B,"&lt;&gt;Lucas Luiz Romero")*(23/1083),IF(C221="JR",SUMIFS($D:$D,$A:$A,$A221,$B:$B,"&lt;&gt;Patrícia Karla de Sousa Araújo",$B:$B,"&lt;&gt;Lorena Dias de Araujo",$B:$B,"&lt;&gt;Lucas Luiz Romero")*(20/1083),IF(C221="Estágio",SUMIFS($D:$D,$A:$A,$A221,$B:$B,"&lt;&gt;Patrícia Karla de Sousa Araújo",$B:$B,"&lt;&gt;Lorena Dias de Araujo",$B:$B,"&lt;&gt;Lucas Luiz Romero")*(10/1083),0)))))),0)</f>
        <v>20</v>
      </c>
      <c r="K221" s="3">
        <f t="shared" si="28"/>
        <v>2</v>
      </c>
      <c r="L221" s="3" t="str">
        <f t="shared" si="26"/>
        <v>OPORTUNO</v>
      </c>
      <c r="M221">
        <v>22</v>
      </c>
      <c r="N221">
        <v>97.17</v>
      </c>
      <c r="O221">
        <v>28.81844380403458</v>
      </c>
    </row>
    <row r="222" spans="1:15" hidden="1" x14ac:dyDescent="0.25">
      <c r="A222" s="11">
        <v>46141</v>
      </c>
      <c r="B222" t="s">
        <v>27</v>
      </c>
      <c r="C222" t="s">
        <v>26</v>
      </c>
      <c r="D222">
        <v>16</v>
      </c>
      <c r="E222">
        <v>14</v>
      </c>
      <c r="F222">
        <v>20.46</v>
      </c>
      <c r="G222">
        <v>0</v>
      </c>
      <c r="H222">
        <v>0</v>
      </c>
      <c r="I222" s="3">
        <f t="shared" si="27"/>
        <v>14</v>
      </c>
      <c r="J222" s="3">
        <f>ROUND(MIN(IF(C222="Técnico III",35,IF(C222="Técnico II",28,IF(C222="Técnico I",23,IF(C222="JR",20,IF(C222="Estágio",10,0))))),IF(C222="Técnico III",SUMIFS($D:$D,$A:$A,$A222,$B:$B,"&lt;&gt;Patrícia Karla de Sousa Araújo",$B:$B,"&lt;&gt;Lorena Dias de Araujo",$B:$B,"&lt;&gt;Lucas Luiz Romero")*(35/1083),IF(C222="Técnico II",SUMIFS($D:$D,$A:$A,$A222,$B:$B,"&lt;&gt;Patrícia Karla de Sousa Araújo",$B:$B,"&lt;&gt;Lorena Dias de Araujo",$B:$B,"&lt;&gt;Lucas Luiz Romero")*(28/1083),IF(C222="Técnico I",SUMIFS($D:$D,$A:$A,$A222,$B:$B,"&lt;&gt;Patrícia Karla de Sousa Araújo",$B:$B,"&lt;&gt;Lorena Dias de Araujo",$B:$B,"&lt;&gt;Lucas Luiz Romero")*(23/1083),IF(C222="JR",SUMIFS($D:$D,$A:$A,$A222,$B:$B,"&lt;&gt;Patrícia Karla de Sousa Araújo",$B:$B,"&lt;&gt;Lorena Dias de Araujo",$B:$B,"&lt;&gt;Lucas Luiz Romero")*(20/1083),IF(C222="Estágio",SUMIFS($D:$D,$A:$A,$A222,$B:$B,"&lt;&gt;Patrícia Karla de Sousa Araújo",$B:$B,"&lt;&gt;Lorena Dias de Araujo",$B:$B,"&lt;&gt;Lucas Luiz Romero")*(10/1083),0)))))),0)</f>
        <v>20</v>
      </c>
      <c r="K222" s="3">
        <f t="shared" si="28"/>
        <v>-6</v>
      </c>
      <c r="L222" s="3" t="str">
        <f t="shared" si="26"/>
        <v>CRÍTICO</v>
      </c>
      <c r="M222">
        <v>11</v>
      </c>
      <c r="N222">
        <v>98.15</v>
      </c>
      <c r="O222">
        <v>27.1551724137931</v>
      </c>
    </row>
    <row r="223" spans="1:15" hidden="1" x14ac:dyDescent="0.25">
      <c r="A223" s="11">
        <v>46141</v>
      </c>
      <c r="B223" t="s">
        <v>28</v>
      </c>
      <c r="C223" t="s">
        <v>26</v>
      </c>
      <c r="D223">
        <v>0</v>
      </c>
      <c r="E223">
        <v>0</v>
      </c>
      <c r="F223">
        <v>0</v>
      </c>
      <c r="G223">
        <v>0</v>
      </c>
      <c r="H223">
        <v>0</v>
      </c>
      <c r="I223" s="3">
        <v>0</v>
      </c>
      <c r="J223" s="3">
        <v>0</v>
      </c>
      <c r="K223" s="3">
        <v>0</v>
      </c>
      <c r="L223" s="3" t="str">
        <f t="shared" si="26"/>
        <v>OPORTUNO</v>
      </c>
      <c r="M223">
        <v>0</v>
      </c>
      <c r="N223">
        <v>96.15</v>
      </c>
      <c r="O223">
        <v>24.045801526717561</v>
      </c>
    </row>
    <row r="224" spans="1:15" hidden="1" x14ac:dyDescent="0.25">
      <c r="A224" s="11">
        <v>46141</v>
      </c>
      <c r="B224" t="s">
        <v>29</v>
      </c>
      <c r="C224" t="s">
        <v>26</v>
      </c>
      <c r="D224">
        <v>23</v>
      </c>
      <c r="E224">
        <v>22</v>
      </c>
      <c r="F224">
        <v>17.07</v>
      </c>
      <c r="G224">
        <v>0</v>
      </c>
      <c r="H224">
        <v>0</v>
      </c>
      <c r="I224" s="3">
        <f t="shared" ref="I224:I230" si="29">E224+G224+H224</f>
        <v>22</v>
      </c>
      <c r="J224" s="3">
        <f>ROUND(MIN(IF(C224="Técnico III",35,IF(C224="Técnico II",28,IF(C224="Técnico I",23,IF(C224="JR",20,IF(C224="Estágio",10,0))))),IF(C224="Técnico III",SUMIFS($D:$D,$A:$A,$A224,$B:$B,"&lt;&gt;Patrícia Karla de Sousa Araújo",$B:$B,"&lt;&gt;Lorena Dias de Araujo",$B:$B,"&lt;&gt;Lucas Luiz Romero")*(35/1083),IF(C224="Técnico II",SUMIFS($D:$D,$A:$A,$A224,$B:$B,"&lt;&gt;Patrícia Karla de Sousa Araújo",$B:$B,"&lt;&gt;Lorena Dias de Araujo",$B:$B,"&lt;&gt;Lucas Luiz Romero")*(28/1083),IF(C224="Técnico I",SUMIFS($D:$D,$A:$A,$A224,$B:$B,"&lt;&gt;Patrícia Karla de Sousa Araújo",$B:$B,"&lt;&gt;Lorena Dias de Araujo",$B:$B,"&lt;&gt;Lucas Luiz Romero")*(23/1083),IF(C224="JR",SUMIFS($D:$D,$A:$A,$A224,$B:$B,"&lt;&gt;Patrícia Karla de Sousa Araújo",$B:$B,"&lt;&gt;Lorena Dias de Araujo",$B:$B,"&lt;&gt;Lucas Luiz Romero")*(20/1083),IF(C224="Estágio",SUMIFS($D:$D,$A:$A,$A224,$B:$B,"&lt;&gt;Patrícia Karla de Sousa Araújo",$B:$B,"&lt;&gt;Lorena Dias de Araujo",$B:$B,"&lt;&gt;Lucas Luiz Romero")*(10/1083),0)))))),0)</f>
        <v>20</v>
      </c>
      <c r="K224" s="3">
        <f t="shared" ref="K224:K230" si="30">I224-J224</f>
        <v>2</v>
      </c>
      <c r="L224" s="3" t="str">
        <f t="shared" si="26"/>
        <v>OPORTUNO</v>
      </c>
      <c r="M224">
        <v>17</v>
      </c>
      <c r="N224">
        <v>98.84</v>
      </c>
      <c r="O224">
        <v>31.868131868131869</v>
      </c>
    </row>
    <row r="225" spans="1:15" hidden="1" x14ac:dyDescent="0.25">
      <c r="A225" s="11">
        <v>46141</v>
      </c>
      <c r="B225" t="s">
        <v>30</v>
      </c>
      <c r="C225" t="s">
        <v>26</v>
      </c>
      <c r="D225">
        <v>24</v>
      </c>
      <c r="E225">
        <v>23</v>
      </c>
      <c r="F225">
        <v>17.3</v>
      </c>
      <c r="G225">
        <v>0</v>
      </c>
      <c r="H225">
        <v>0</v>
      </c>
      <c r="I225" s="3">
        <f t="shared" si="29"/>
        <v>23</v>
      </c>
      <c r="J225" s="3">
        <f>ROUND(MIN(IF(C225="Técnico III",35,IF(C225="Técnico II",28,IF(C225="Técnico I",23,IF(C225="JR",20,IF(C225="Estágio",10,0))))),IF(C225="Técnico III",SUMIFS($D:$D,$A:$A,$A225,$B:$B,"&lt;&gt;Patrícia Karla de Sousa Araújo",$B:$B,"&lt;&gt;Lorena Dias de Araujo",$B:$B,"&lt;&gt;Lucas Luiz Romero")*(35/1083),IF(C225="Técnico II",SUMIFS($D:$D,$A:$A,$A225,$B:$B,"&lt;&gt;Patrícia Karla de Sousa Araújo",$B:$B,"&lt;&gt;Lorena Dias de Araujo",$B:$B,"&lt;&gt;Lucas Luiz Romero")*(28/1083),IF(C225="Técnico I",SUMIFS($D:$D,$A:$A,$A225,$B:$B,"&lt;&gt;Patrícia Karla de Sousa Araújo",$B:$B,"&lt;&gt;Lorena Dias de Araujo",$B:$B,"&lt;&gt;Lucas Luiz Romero")*(23/1083),IF(C225="JR",SUMIFS($D:$D,$A:$A,$A225,$B:$B,"&lt;&gt;Patrícia Karla de Sousa Araújo",$B:$B,"&lt;&gt;Lorena Dias de Araujo",$B:$B,"&lt;&gt;Lucas Luiz Romero")*(20/1083),IF(C225="Estágio",SUMIFS($D:$D,$A:$A,$A225,$B:$B,"&lt;&gt;Patrícia Karla de Sousa Araújo",$B:$B,"&lt;&gt;Lorena Dias de Araujo",$B:$B,"&lt;&gt;Lucas Luiz Romero")*(10/1083),0)))))),0)</f>
        <v>20</v>
      </c>
      <c r="K225" s="3">
        <f t="shared" si="30"/>
        <v>3</v>
      </c>
      <c r="L225" s="3" t="str">
        <f t="shared" si="26"/>
        <v>OPORTUNO</v>
      </c>
      <c r="M225">
        <v>18</v>
      </c>
      <c r="N225">
        <v>100</v>
      </c>
      <c r="O225">
        <v>34.666666666666671</v>
      </c>
    </row>
    <row r="226" spans="1:15" hidden="1" x14ac:dyDescent="0.25">
      <c r="A226" s="11">
        <v>46142</v>
      </c>
      <c r="B226" t="s">
        <v>25</v>
      </c>
      <c r="C226" t="s">
        <v>26</v>
      </c>
      <c r="D226">
        <v>19</v>
      </c>
      <c r="E226">
        <v>17</v>
      </c>
      <c r="F226">
        <v>19.12</v>
      </c>
      <c r="G226">
        <v>0</v>
      </c>
      <c r="H226">
        <v>0</v>
      </c>
      <c r="I226" s="3">
        <f t="shared" si="29"/>
        <v>17</v>
      </c>
      <c r="J226" s="3">
        <f>ROUND(MIN(IF(C226="Técnico III",35,IF(C226="Técnico II",28,IF(C226="Técnico I",23,IF(C226="JR",20,IF(C226="Estágio",10,0))))),IF(C226="Técnico III",SUMIFS($D:$D,$A:$A,$A226,$B:$B,"&lt;&gt;Patrícia Karla de Sousa Araújo",$B:$B,"&lt;&gt;Lorena Dias de Araujo",$B:$B,"&lt;&gt;Lucas Luiz Romero")*(35/1083),IF(C226="Técnico II",SUMIFS($D:$D,$A:$A,$A226,$B:$B,"&lt;&gt;Patrícia Karla de Sousa Araújo",$B:$B,"&lt;&gt;Lorena Dias de Araujo",$B:$B,"&lt;&gt;Lucas Luiz Romero")*(28/1083),IF(C226="Técnico I",SUMIFS($D:$D,$A:$A,$A226,$B:$B,"&lt;&gt;Patrícia Karla de Sousa Araújo",$B:$B,"&lt;&gt;Lorena Dias de Araujo",$B:$B,"&lt;&gt;Lucas Luiz Romero")*(23/1083),IF(C226="JR",SUMIFS($D:$D,$A:$A,$A226,$B:$B,"&lt;&gt;Patrícia Karla de Sousa Araújo",$B:$B,"&lt;&gt;Lorena Dias de Araujo",$B:$B,"&lt;&gt;Lucas Luiz Romero")*(20/1083),IF(C226="Estágio",SUMIFS($D:$D,$A:$A,$A226,$B:$B,"&lt;&gt;Patrícia Karla de Sousa Araújo",$B:$B,"&lt;&gt;Lorena Dias de Araujo",$B:$B,"&lt;&gt;Lucas Luiz Romero")*(10/1083),0)))))),0)</f>
        <v>18</v>
      </c>
      <c r="K226" s="3">
        <f t="shared" si="30"/>
        <v>-1</v>
      </c>
      <c r="L226" s="3" t="str">
        <f t="shared" si="26"/>
        <v>ATENÇÃO</v>
      </c>
      <c r="M226">
        <v>17</v>
      </c>
      <c r="N226">
        <v>97.17</v>
      </c>
      <c r="O226">
        <v>28.81844380403458</v>
      </c>
    </row>
    <row r="227" spans="1:15" hidden="1" x14ac:dyDescent="0.25">
      <c r="A227" s="11">
        <v>46142</v>
      </c>
      <c r="B227" t="s">
        <v>27</v>
      </c>
      <c r="C227" t="s">
        <v>26</v>
      </c>
      <c r="D227">
        <v>22</v>
      </c>
      <c r="E227">
        <v>21</v>
      </c>
      <c r="F227">
        <v>17.260000000000002</v>
      </c>
      <c r="G227">
        <v>0</v>
      </c>
      <c r="H227">
        <v>0</v>
      </c>
      <c r="I227" s="3">
        <f t="shared" si="29"/>
        <v>21</v>
      </c>
      <c r="J227" s="3">
        <f>ROUND(MIN(IF(C227="Técnico III",35,IF(C227="Técnico II",28,IF(C227="Técnico I",23,IF(C227="JR",20,IF(C227="Estágio",10,0))))),IF(C227="Técnico III",SUMIFS($D:$D,$A:$A,$A227,$B:$B,"&lt;&gt;Patrícia Karla de Sousa Araújo",$B:$B,"&lt;&gt;Lorena Dias de Araujo",$B:$B,"&lt;&gt;Lucas Luiz Romero")*(35/1083),IF(C227="Técnico II",SUMIFS($D:$D,$A:$A,$A227,$B:$B,"&lt;&gt;Patrícia Karla de Sousa Araújo",$B:$B,"&lt;&gt;Lorena Dias de Araujo",$B:$B,"&lt;&gt;Lucas Luiz Romero")*(28/1083),IF(C227="Técnico I",SUMIFS($D:$D,$A:$A,$A227,$B:$B,"&lt;&gt;Patrícia Karla de Sousa Araújo",$B:$B,"&lt;&gt;Lorena Dias de Araujo",$B:$B,"&lt;&gt;Lucas Luiz Romero")*(23/1083),IF(C227="JR",SUMIFS($D:$D,$A:$A,$A227,$B:$B,"&lt;&gt;Patrícia Karla de Sousa Araújo",$B:$B,"&lt;&gt;Lorena Dias de Araujo",$B:$B,"&lt;&gt;Lucas Luiz Romero")*(20/1083),IF(C227="Estágio",SUMIFS($D:$D,$A:$A,$A227,$B:$B,"&lt;&gt;Patrícia Karla de Sousa Araújo",$B:$B,"&lt;&gt;Lorena Dias de Araujo",$B:$B,"&lt;&gt;Lucas Luiz Romero")*(10/1083),0)))))),0)</f>
        <v>18</v>
      </c>
      <c r="K227" s="3">
        <f t="shared" si="30"/>
        <v>3</v>
      </c>
      <c r="L227" s="3" t="str">
        <f t="shared" si="26"/>
        <v>OPORTUNO</v>
      </c>
      <c r="M227">
        <v>19</v>
      </c>
      <c r="N227">
        <v>98.15</v>
      </c>
      <c r="O227">
        <v>27.1551724137931</v>
      </c>
    </row>
    <row r="228" spans="1:15" hidden="1" x14ac:dyDescent="0.25">
      <c r="A228" s="11">
        <v>46142</v>
      </c>
      <c r="B228" t="s">
        <v>28</v>
      </c>
      <c r="C228" t="s">
        <v>26</v>
      </c>
      <c r="D228">
        <v>36</v>
      </c>
      <c r="E228">
        <v>20</v>
      </c>
      <c r="F228">
        <v>9.19</v>
      </c>
      <c r="G228">
        <v>0</v>
      </c>
      <c r="H228">
        <v>0</v>
      </c>
      <c r="I228" s="3">
        <f t="shared" si="29"/>
        <v>20</v>
      </c>
      <c r="J228" s="3">
        <f>ROUND(MIN(IF(C228="Técnico III",35,IF(C228="Técnico II",28,IF(C228="Técnico I",23,IF(C228="JR",20,IF(C228="Estágio",10,0))))),IF(C228="Técnico III",SUMIFS($D:$D,$A:$A,$A228,$B:$B,"&lt;&gt;Patrícia Karla de Sousa Araújo",$B:$B,"&lt;&gt;Lorena Dias de Araujo",$B:$B,"&lt;&gt;Lucas Luiz Romero")*(35/1083),IF(C228="Técnico II",SUMIFS($D:$D,$A:$A,$A228,$B:$B,"&lt;&gt;Patrícia Karla de Sousa Araújo",$B:$B,"&lt;&gt;Lorena Dias de Araujo",$B:$B,"&lt;&gt;Lucas Luiz Romero")*(28/1083),IF(C228="Técnico I",SUMIFS($D:$D,$A:$A,$A228,$B:$B,"&lt;&gt;Patrícia Karla de Sousa Araújo",$B:$B,"&lt;&gt;Lorena Dias de Araujo",$B:$B,"&lt;&gt;Lucas Luiz Romero")*(23/1083),IF(C228="JR",SUMIFS($D:$D,$A:$A,$A228,$B:$B,"&lt;&gt;Patrícia Karla de Sousa Araújo",$B:$B,"&lt;&gt;Lorena Dias de Araujo",$B:$B,"&lt;&gt;Lucas Luiz Romero")*(20/1083),IF(C228="Estágio",SUMIFS($D:$D,$A:$A,$A228,$B:$B,"&lt;&gt;Patrícia Karla de Sousa Araújo",$B:$B,"&lt;&gt;Lorena Dias de Araujo",$B:$B,"&lt;&gt;Lucas Luiz Romero")*(10/1083),0)))))),0)</f>
        <v>18</v>
      </c>
      <c r="K228" s="3">
        <f t="shared" si="30"/>
        <v>2</v>
      </c>
      <c r="L228" s="3" t="str">
        <f t="shared" si="26"/>
        <v>OPORTUNO</v>
      </c>
      <c r="M228">
        <v>9</v>
      </c>
      <c r="N228">
        <v>96.15</v>
      </c>
      <c r="O228">
        <v>24.045801526717561</v>
      </c>
    </row>
    <row r="229" spans="1:15" hidden="1" x14ac:dyDescent="0.25">
      <c r="A229" s="11">
        <v>46142</v>
      </c>
      <c r="B229" t="s">
        <v>29</v>
      </c>
      <c r="C229" t="s">
        <v>26</v>
      </c>
      <c r="D229">
        <v>19</v>
      </c>
      <c r="E229">
        <v>19</v>
      </c>
      <c r="F229">
        <v>20.079999999999998</v>
      </c>
      <c r="G229">
        <v>0</v>
      </c>
      <c r="H229">
        <v>0</v>
      </c>
      <c r="I229" s="3">
        <f t="shared" si="29"/>
        <v>19</v>
      </c>
      <c r="J229" s="3">
        <f>ROUND(MIN(IF(C229="Técnico III",35,IF(C229="Técnico II",28,IF(C229="Técnico I",23,IF(C229="JR",20,IF(C229="Estágio",10,0))))),IF(C229="Técnico III",SUMIFS($D:$D,$A:$A,$A229,$B:$B,"&lt;&gt;Patrícia Karla de Sousa Araújo",$B:$B,"&lt;&gt;Lorena Dias de Araujo",$B:$B,"&lt;&gt;Lucas Luiz Romero")*(35/1083),IF(C229="Técnico II",SUMIFS($D:$D,$A:$A,$A229,$B:$B,"&lt;&gt;Patrícia Karla de Sousa Araújo",$B:$B,"&lt;&gt;Lorena Dias de Araujo",$B:$B,"&lt;&gt;Lucas Luiz Romero")*(28/1083),IF(C229="Técnico I",SUMIFS($D:$D,$A:$A,$A229,$B:$B,"&lt;&gt;Patrícia Karla de Sousa Araújo",$B:$B,"&lt;&gt;Lorena Dias de Araujo",$B:$B,"&lt;&gt;Lucas Luiz Romero")*(23/1083),IF(C229="JR",SUMIFS($D:$D,$A:$A,$A229,$B:$B,"&lt;&gt;Patrícia Karla de Sousa Araújo",$B:$B,"&lt;&gt;Lorena Dias de Araujo",$B:$B,"&lt;&gt;Lucas Luiz Romero")*(20/1083),IF(C229="Estágio",SUMIFS($D:$D,$A:$A,$A229,$B:$B,"&lt;&gt;Patrícia Karla de Sousa Araújo",$B:$B,"&lt;&gt;Lorena Dias de Araujo",$B:$B,"&lt;&gt;Lucas Luiz Romero")*(10/1083),0)))))),0)</f>
        <v>18</v>
      </c>
      <c r="K229" s="3">
        <f t="shared" si="30"/>
        <v>1</v>
      </c>
      <c r="L229" s="3" t="str">
        <f t="shared" si="26"/>
        <v>OPORTUNO</v>
      </c>
      <c r="M229">
        <v>16</v>
      </c>
      <c r="N229">
        <v>98.84</v>
      </c>
      <c r="O229">
        <v>31.868131868131869</v>
      </c>
    </row>
    <row r="230" spans="1:15" hidden="1" x14ac:dyDescent="0.25">
      <c r="A230" s="11">
        <v>46142</v>
      </c>
      <c r="B230" t="s">
        <v>30</v>
      </c>
      <c r="C230" t="s">
        <v>26</v>
      </c>
      <c r="D230">
        <v>15</v>
      </c>
      <c r="E230">
        <v>13</v>
      </c>
      <c r="F230">
        <v>13.59</v>
      </c>
      <c r="G230">
        <v>0</v>
      </c>
      <c r="H230">
        <v>0</v>
      </c>
      <c r="I230" s="3">
        <f t="shared" si="29"/>
        <v>13</v>
      </c>
      <c r="J230" s="3">
        <f>ROUND(MIN(IF(C230="Técnico III",35,IF(C230="Técnico II",28,IF(C230="Técnico I",23,IF(C230="JR",20,IF(C230="Estágio",10,0))))),IF(C230="Técnico III",SUMIFS($D:$D,$A:$A,$A230,$B:$B,"&lt;&gt;Patrícia Karla de Sousa Araújo",$B:$B,"&lt;&gt;Lorena Dias de Araujo",$B:$B,"&lt;&gt;Lucas Luiz Romero")*(35/1083),IF(C230="Técnico II",SUMIFS($D:$D,$A:$A,$A230,$B:$B,"&lt;&gt;Patrícia Karla de Sousa Araújo",$B:$B,"&lt;&gt;Lorena Dias de Araujo",$B:$B,"&lt;&gt;Lucas Luiz Romero")*(28/1083),IF(C230="Técnico I",SUMIFS($D:$D,$A:$A,$A230,$B:$B,"&lt;&gt;Patrícia Karla de Sousa Araújo",$B:$B,"&lt;&gt;Lorena Dias de Araujo",$B:$B,"&lt;&gt;Lucas Luiz Romero")*(23/1083),IF(C230="JR",SUMIFS($D:$D,$A:$A,$A230,$B:$B,"&lt;&gt;Patrícia Karla de Sousa Araújo",$B:$B,"&lt;&gt;Lorena Dias de Araujo",$B:$B,"&lt;&gt;Lucas Luiz Romero")*(20/1083),IF(C230="Estágio",SUMIFS($D:$D,$A:$A,$A230,$B:$B,"&lt;&gt;Patrícia Karla de Sousa Araújo",$B:$B,"&lt;&gt;Lorena Dias de Araujo",$B:$B,"&lt;&gt;Lucas Luiz Romero")*(10/1083),0)))))),0)</f>
        <v>18</v>
      </c>
      <c r="K230" s="3">
        <f t="shared" si="30"/>
        <v>-5</v>
      </c>
      <c r="L230" s="3" t="str">
        <f t="shared" si="26"/>
        <v>ATENÇÃO</v>
      </c>
      <c r="M230">
        <v>12</v>
      </c>
      <c r="N230">
        <v>100</v>
      </c>
      <c r="O230">
        <v>34.666666666666671</v>
      </c>
    </row>
    <row r="231" spans="1:15" hidden="1" x14ac:dyDescent="0.25">
      <c r="A231" s="11">
        <v>46168</v>
      </c>
      <c r="B231" t="s">
        <v>15</v>
      </c>
      <c r="C231" t="s">
        <v>26</v>
      </c>
      <c r="D231">
        <v>27</v>
      </c>
      <c r="E231">
        <v>27</v>
      </c>
      <c r="F231">
        <v>19.04</v>
      </c>
      <c r="G231">
        <v>0</v>
      </c>
      <c r="M231">
        <v>22</v>
      </c>
      <c r="N231">
        <v>99.25</v>
      </c>
      <c r="O231">
        <v>21.7687074829932</v>
      </c>
    </row>
    <row r="232" spans="1:15" hidden="1" x14ac:dyDescent="0.25">
      <c r="A232" s="11">
        <v>46168</v>
      </c>
      <c r="B232" t="s">
        <v>25</v>
      </c>
      <c r="C232" t="s">
        <v>26</v>
      </c>
      <c r="D232">
        <v>13</v>
      </c>
      <c r="E232">
        <v>12</v>
      </c>
      <c r="F232">
        <v>14.16</v>
      </c>
      <c r="G232">
        <v>2</v>
      </c>
      <c r="M232">
        <v>10</v>
      </c>
      <c r="N232">
        <v>97.62</v>
      </c>
      <c r="O232">
        <v>19.637462235649551</v>
      </c>
    </row>
    <row r="233" spans="1:15" hidden="1" x14ac:dyDescent="0.25">
      <c r="A233" s="11">
        <v>46168</v>
      </c>
      <c r="B233" t="s">
        <v>27</v>
      </c>
      <c r="C233" t="s">
        <v>26</v>
      </c>
      <c r="D233">
        <v>14</v>
      </c>
      <c r="E233">
        <v>13</v>
      </c>
      <c r="F233">
        <v>26.51</v>
      </c>
      <c r="G233">
        <v>3</v>
      </c>
      <c r="M233">
        <v>10</v>
      </c>
      <c r="N233">
        <v>100</v>
      </c>
      <c r="O233">
        <v>21.134020618556701</v>
      </c>
    </row>
    <row r="234" spans="1:15" hidden="1" x14ac:dyDescent="0.25">
      <c r="A234" s="11">
        <v>46168</v>
      </c>
      <c r="B234" t="s">
        <v>28</v>
      </c>
      <c r="C234" t="s">
        <v>26</v>
      </c>
      <c r="D234">
        <v>33</v>
      </c>
      <c r="E234">
        <v>23</v>
      </c>
      <c r="F234">
        <v>11.5</v>
      </c>
      <c r="G234">
        <v>5</v>
      </c>
      <c r="M234">
        <v>15</v>
      </c>
      <c r="N234">
        <v>96.83</v>
      </c>
      <c r="O234">
        <v>24.358974358974361</v>
      </c>
    </row>
    <row r="235" spans="1:15" hidden="1" x14ac:dyDescent="0.25">
      <c r="A235" s="11">
        <v>46168</v>
      </c>
      <c r="B235" t="s">
        <v>29</v>
      </c>
      <c r="C235" t="s">
        <v>26</v>
      </c>
      <c r="D235">
        <v>17</v>
      </c>
      <c r="E235">
        <v>16</v>
      </c>
      <c r="F235">
        <v>20.350000000000001</v>
      </c>
      <c r="G235">
        <v>3</v>
      </c>
      <c r="M235">
        <v>14</v>
      </c>
      <c r="N235">
        <v>100</v>
      </c>
      <c r="O235">
        <v>21.33891213389121</v>
      </c>
    </row>
    <row r="236" spans="1:15" hidden="1" x14ac:dyDescent="0.25">
      <c r="A236" s="11">
        <v>46168</v>
      </c>
      <c r="B236" t="s">
        <v>30</v>
      </c>
      <c r="C236" t="s">
        <v>26</v>
      </c>
      <c r="D236">
        <v>17</v>
      </c>
      <c r="E236">
        <v>16</v>
      </c>
      <c r="F236">
        <v>15.28</v>
      </c>
      <c r="G236">
        <v>2</v>
      </c>
      <c r="M236">
        <v>13</v>
      </c>
      <c r="N236">
        <v>100</v>
      </c>
      <c r="O236">
        <v>18.677042801556421</v>
      </c>
    </row>
    <row r="237" spans="1:15" hidden="1" x14ac:dyDescent="0.25">
      <c r="A237" s="11">
        <v>46140</v>
      </c>
      <c r="B237" t="s">
        <v>31</v>
      </c>
      <c r="C237" s="15" t="s">
        <v>32</v>
      </c>
      <c r="D237" s="3">
        <v>0</v>
      </c>
      <c r="E237" s="3">
        <v>0</v>
      </c>
      <c r="F237" s="3">
        <v>0</v>
      </c>
      <c r="G237" s="3">
        <v>0</v>
      </c>
      <c r="H237" s="3">
        <v>0</v>
      </c>
      <c r="I237" s="3">
        <v>0</v>
      </c>
      <c r="J237" s="3">
        <v>0</v>
      </c>
      <c r="K237" s="3">
        <v>0</v>
      </c>
      <c r="L237" s="3" t="str">
        <f>IF(K237&lt;-5,"CRÍTICO",IF(K237&lt;0,"ATENÇÃO",IF(K237&lt;=5,"OPORTUNO","MUITO BOM")))</f>
        <v>OPORTUNO</v>
      </c>
      <c r="M237" s="3">
        <v>19</v>
      </c>
      <c r="N237" s="3">
        <v>98.66</v>
      </c>
      <c r="O237" s="3">
        <v>35.416666666666671</v>
      </c>
    </row>
    <row r="238" spans="1:15" hidden="1" x14ac:dyDescent="0.25">
      <c r="A238" s="11">
        <v>46140</v>
      </c>
      <c r="B238" t="s">
        <v>33</v>
      </c>
      <c r="C238" s="15" t="s">
        <v>32</v>
      </c>
      <c r="D238" s="3">
        <v>0</v>
      </c>
      <c r="E238" s="3">
        <v>0</v>
      </c>
      <c r="F238" s="3">
        <v>0</v>
      </c>
      <c r="G238" s="3">
        <v>0</v>
      </c>
      <c r="H238" s="3">
        <v>0</v>
      </c>
      <c r="I238" s="3">
        <v>0</v>
      </c>
      <c r="J238" s="3">
        <v>0</v>
      </c>
      <c r="K238" s="3">
        <v>0</v>
      </c>
      <c r="L238" s="3" t="str">
        <f>IF(K238&lt;-5,"CRÍTICO",IF(K238&lt;0,"ATENÇÃO",IF(K238&lt;=5,"OPORTUNO","MUITO BOM")))</f>
        <v>OPORTUNO</v>
      </c>
      <c r="M238" s="3">
        <v>0</v>
      </c>
      <c r="N238" s="3">
        <v>100</v>
      </c>
      <c r="O238" s="3">
        <v>27.803738317757009</v>
      </c>
    </row>
    <row r="239" spans="1:15" hidden="1" x14ac:dyDescent="0.25">
      <c r="A239" s="11">
        <v>46140</v>
      </c>
      <c r="B239" t="s">
        <v>34</v>
      </c>
      <c r="C239" s="15" t="s">
        <v>32</v>
      </c>
      <c r="D239" s="3">
        <v>28</v>
      </c>
      <c r="E239" s="3">
        <v>24</v>
      </c>
      <c r="F239" s="3">
        <v>15.03</v>
      </c>
      <c r="G239" s="3">
        <v>0</v>
      </c>
      <c r="H239" s="3">
        <v>0</v>
      </c>
      <c r="I239" s="3">
        <f>E239+G239+H239</f>
        <v>24</v>
      </c>
      <c r="J239" s="3">
        <f>ROUND(MIN(IF(C239="Técnico III",35,IF(C239="Técnico II",28,IF(C239="Técnico I",23,IF(C239="JR",20,IF(C239="Estágio",10,0))))),IF(C239="Técnico III",SUMIFS($D:$D,$A:$A,$A239,$B:$B,"&lt;&gt;Patrícia Karla de Sousa Araújo",$B:$B,"&lt;&gt;Lorena Dias de Araujo",$B:$B,"&lt;&gt;Lucas Luiz Romero")*(35/1083),IF(C239="Técnico II",SUMIFS($D:$D,$A:$A,$A239,$B:$B,"&lt;&gt;Patrícia Karla de Sousa Araújo",$B:$B,"&lt;&gt;Lorena Dias de Araujo",$B:$B,"&lt;&gt;Lucas Luiz Romero")*(28/1083),IF(C239="Técnico I",SUMIFS($D:$D,$A:$A,$A239,$B:$B,"&lt;&gt;Patrícia Karla de Sousa Araújo",$B:$B,"&lt;&gt;Lorena Dias de Araujo",$B:$B,"&lt;&gt;Lucas Luiz Romero")*(23/1083),IF(C239="JR",SUMIFS($D:$D,$A:$A,$A239,$B:$B,"&lt;&gt;Patrícia Karla de Sousa Araújo",$B:$B,"&lt;&gt;Lorena Dias de Araujo",$B:$B,"&lt;&gt;Lucas Luiz Romero")*(20/1083),IF(C239="Estágio",SUMIFS($D:$D,$A:$A,$A239,$B:$B,"&lt;&gt;Patrícia Karla de Sousa Araújo",$B:$B,"&lt;&gt;Lorena Dias de Araujo",$B:$B,"&lt;&gt;Lucas Luiz Romero")*(10/1083),0)))))),0)</f>
        <v>34</v>
      </c>
      <c r="K239" s="3">
        <f>I239-J239</f>
        <v>-10</v>
      </c>
      <c r="L239" s="3" t="str">
        <f>IF(K239&lt;-5,"CRÍTICO",IF(K239&lt;0,"ATENÇÃO",IF(K239&lt;=5,"OPORTUNO","MUITO BOM")))</f>
        <v>CRÍTICO</v>
      </c>
      <c r="M239" s="3">
        <v>22</v>
      </c>
      <c r="N239" s="3">
        <v>93.75</v>
      </c>
      <c r="O239" s="3">
        <v>26.819923371647509</v>
      </c>
    </row>
    <row r="240" spans="1:15" hidden="1" x14ac:dyDescent="0.25">
      <c r="A240" s="11">
        <v>46140</v>
      </c>
      <c r="B240" t="s">
        <v>35</v>
      </c>
      <c r="C240" s="15" t="s">
        <v>32</v>
      </c>
      <c r="D240" s="3">
        <v>30</v>
      </c>
      <c r="E240" s="3">
        <v>28</v>
      </c>
      <c r="F240" s="3">
        <v>22.11</v>
      </c>
      <c r="G240" s="3">
        <v>0</v>
      </c>
      <c r="H240" s="3">
        <v>0</v>
      </c>
      <c r="I240" s="3">
        <f>E240+G240+H240</f>
        <v>28</v>
      </c>
      <c r="J240" s="3">
        <f>ROUND(MIN(IF(C240="Técnico III",35,IF(C240="Técnico II",28,IF(C240="Técnico I",23,IF(C240="JR",20,IF(C240="Estágio",10,0))))),IF(C240="Técnico III",SUMIFS($D:$D,$A:$A,$A240,$B:$B,"&lt;&gt;Patrícia Karla de Sousa Araújo",$B:$B,"&lt;&gt;Lorena Dias de Araujo",$B:$B,"&lt;&gt;Lucas Luiz Romero")*(35/1083),IF(C240="Técnico II",SUMIFS($D:$D,$A:$A,$A240,$B:$B,"&lt;&gt;Patrícia Karla de Sousa Araújo",$B:$B,"&lt;&gt;Lorena Dias de Araujo",$B:$B,"&lt;&gt;Lucas Luiz Romero")*(28/1083),IF(C240="Técnico I",SUMIFS($D:$D,$A:$A,$A240,$B:$B,"&lt;&gt;Patrícia Karla de Sousa Araújo",$B:$B,"&lt;&gt;Lorena Dias de Araujo",$B:$B,"&lt;&gt;Lucas Luiz Romero")*(23/1083),IF(C240="JR",SUMIFS($D:$D,$A:$A,$A240,$B:$B,"&lt;&gt;Patrícia Karla de Sousa Araújo",$B:$B,"&lt;&gt;Lorena Dias de Araujo",$B:$B,"&lt;&gt;Lucas Luiz Romero")*(20/1083),IF(C240="Estágio",SUMIFS($D:$D,$A:$A,$A240,$B:$B,"&lt;&gt;Patrícia Karla de Sousa Araújo",$B:$B,"&lt;&gt;Lorena Dias de Araujo",$B:$B,"&lt;&gt;Lucas Luiz Romero")*(10/1083),0)))))),0)</f>
        <v>34</v>
      </c>
      <c r="K240" s="3">
        <f>I240-J240</f>
        <v>-6</v>
      </c>
      <c r="L240" s="3" t="str">
        <f>IF(K240&lt;-5,"CRÍTICO",IF(K240&lt;0,"ATENÇÃO",IF(K240&lt;=5,"OPORTUNO","MUITO BOM")))</f>
        <v>CRÍTICO</v>
      </c>
      <c r="M240" s="3">
        <v>29</v>
      </c>
      <c r="N240" s="3">
        <v>100</v>
      </c>
      <c r="O240" s="3">
        <v>38.653846153846153</v>
      </c>
    </row>
    <row r="241" spans="1:15" hidden="1" x14ac:dyDescent="0.25">
      <c r="A241" s="11">
        <v>46140</v>
      </c>
      <c r="B241" t="s">
        <v>36</v>
      </c>
      <c r="C241" s="15" t="s">
        <v>32</v>
      </c>
      <c r="D241" s="3">
        <v>32</v>
      </c>
      <c r="E241" s="3">
        <v>31</v>
      </c>
      <c r="F241" s="3">
        <v>18.489999999999998</v>
      </c>
      <c r="G241" s="3">
        <v>0</v>
      </c>
      <c r="H241" s="3">
        <v>0</v>
      </c>
      <c r="I241" s="3">
        <f>E241+G241+H241</f>
        <v>31</v>
      </c>
      <c r="J241" s="3">
        <f>ROUND(MIN(IF(C241="Técnico III",35,IF(C241="Técnico II",28,IF(C241="Técnico I",23,IF(C241="JR",20,IF(C241="Estágio",10,0))))),IF(C241="Técnico III",SUMIFS($D:$D,$A:$A,$A241,$B:$B,"&lt;&gt;Patrícia Karla de Sousa Araújo",$B:$B,"&lt;&gt;Lorena Dias de Araujo",$B:$B,"&lt;&gt;Lucas Luiz Romero")*(35/1083),IF(C241="Técnico II",SUMIFS($D:$D,$A:$A,$A241,$B:$B,"&lt;&gt;Patrícia Karla de Sousa Araújo",$B:$B,"&lt;&gt;Lorena Dias de Araujo",$B:$B,"&lt;&gt;Lucas Luiz Romero")*(28/1083),IF(C241="Técnico I",SUMIFS($D:$D,$A:$A,$A241,$B:$B,"&lt;&gt;Patrícia Karla de Sousa Araújo",$B:$B,"&lt;&gt;Lorena Dias de Araujo",$B:$B,"&lt;&gt;Lucas Luiz Romero")*(23/1083),IF(C241="JR",SUMIFS($D:$D,$A:$A,$A241,$B:$B,"&lt;&gt;Patrícia Karla de Sousa Araújo",$B:$B,"&lt;&gt;Lorena Dias de Araujo",$B:$B,"&lt;&gt;Lucas Luiz Romero")*(20/1083),IF(C241="Estágio",SUMIFS($D:$D,$A:$A,$A241,$B:$B,"&lt;&gt;Patrícia Karla de Sousa Araújo",$B:$B,"&lt;&gt;Lorena Dias de Araujo",$B:$B,"&lt;&gt;Lucas Luiz Romero")*(10/1083),0)))))),0)</f>
        <v>34</v>
      </c>
      <c r="K241" s="3">
        <f>I241-J241</f>
        <v>-3</v>
      </c>
      <c r="L241" s="3" t="str">
        <f>IF(K241&lt;-5,"CRÍTICO",IF(K241&lt;0,"ATENÇÃO",IF(K241&lt;=5,"OPORTUNO","MUITO BOM")))</f>
        <v>ATENÇÃO</v>
      </c>
      <c r="M241" s="3">
        <v>30</v>
      </c>
      <c r="N241" s="3">
        <v>99.26</v>
      </c>
      <c r="O241" s="3">
        <v>29.766536964980549</v>
      </c>
    </row>
    <row r="242" spans="1:15" hidden="1" x14ac:dyDescent="0.25">
      <c r="A242" s="11">
        <v>46140</v>
      </c>
      <c r="B242" t="s">
        <v>37</v>
      </c>
      <c r="C242" s="15" t="s">
        <v>32</v>
      </c>
      <c r="D242" s="3">
        <v>38</v>
      </c>
      <c r="E242" s="3">
        <v>35</v>
      </c>
      <c r="F242" s="3">
        <v>16.57</v>
      </c>
      <c r="G242" s="3">
        <v>0</v>
      </c>
      <c r="H242" s="3">
        <v>0</v>
      </c>
      <c r="I242" s="3">
        <f>E242+G242+H242</f>
        <v>35</v>
      </c>
      <c r="J242" s="3">
        <f>ROUND(MIN(IF(C242="Técnico III",35,IF(C242="Técnico II",28,IF(C242="Técnico I",23,IF(C242="JR",20,IF(C242="Estágio",10,0))))),IF(C242="Técnico III",SUMIFS($D:$D,$A:$A,$A242,$B:$B,"&lt;&gt;Patrícia Karla de Sousa Araújo",$B:$B,"&lt;&gt;Lorena Dias de Araujo",$B:$B,"&lt;&gt;Lucas Luiz Romero")*(35/1083),IF(C242="Técnico II",SUMIFS($D:$D,$A:$A,$A242,$B:$B,"&lt;&gt;Patrícia Karla de Sousa Araújo",$B:$B,"&lt;&gt;Lorena Dias de Araujo",$B:$B,"&lt;&gt;Lucas Luiz Romero")*(28/1083),IF(C242="Técnico I",SUMIFS($D:$D,$A:$A,$A242,$B:$B,"&lt;&gt;Patrícia Karla de Sousa Araújo",$B:$B,"&lt;&gt;Lorena Dias de Araujo",$B:$B,"&lt;&gt;Lucas Luiz Romero")*(23/1083),IF(C242="JR",SUMIFS($D:$D,$A:$A,$A242,$B:$B,"&lt;&gt;Patrícia Karla de Sousa Araújo",$B:$B,"&lt;&gt;Lorena Dias de Araujo",$B:$B,"&lt;&gt;Lucas Luiz Romero")*(20/1083),IF(C242="Estágio",SUMIFS($D:$D,$A:$A,$A242,$B:$B,"&lt;&gt;Patrícia Karla de Sousa Araújo",$B:$B,"&lt;&gt;Lorena Dias de Araujo",$B:$B,"&lt;&gt;Lucas Luiz Romero")*(10/1083),0)))))),0)</f>
        <v>34</v>
      </c>
      <c r="K242" s="3">
        <f>I242-J242</f>
        <v>1</v>
      </c>
      <c r="L242" s="3" t="str">
        <f>IF(K242&lt;-5,"CRÍTICO",IF(K242&lt;0,"ATENÇÃO",IF(K242&lt;=5,"OPORTUNO","MUITO BOM")))</f>
        <v>OPORTUNO</v>
      </c>
      <c r="M242" s="3">
        <v>32</v>
      </c>
      <c r="N242" s="3">
        <v>99.57</v>
      </c>
      <c r="O242" s="3">
        <v>30.635838150289018</v>
      </c>
    </row>
    <row r="243" spans="1:15" hidden="1" x14ac:dyDescent="0.25">
      <c r="A243" s="11">
        <v>46034</v>
      </c>
      <c r="B243" t="s">
        <v>22</v>
      </c>
      <c r="C243" t="s">
        <v>23</v>
      </c>
      <c r="D243">
        <v>22</v>
      </c>
      <c r="E243">
        <v>22</v>
      </c>
      <c r="F243">
        <v>20.39</v>
      </c>
      <c r="G243">
        <v>0</v>
      </c>
      <c r="H243">
        <v>0</v>
      </c>
      <c r="I243" s="3">
        <f>E243+G243+H243</f>
        <v>22</v>
      </c>
      <c r="J243" s="3">
        <f>ROUND(MIN(IF(C243="Técnico III",35,IF(C243="Técnico II",28,IF(C243="Técnico I",23,IF(C243="JR",20,IF(C243="Estágio",10,0))))),IF(C243="Técnico III",SUMIFS($D:$D,$A:$A,$A243,$B:$B,"&lt;&gt;Patrícia Karla de Sousa Araújo",$B:$B,"&lt;&gt;Lorena Dias de Araujo",$B:$B,"&lt;&gt;Lucas Luiz Romero")*(35/1083),IF(C243="Técnico II",SUMIFS($D:$D,$A:$A,$A243,$B:$B,"&lt;&gt;Patrícia Karla de Sousa Araújo",$B:$B,"&lt;&gt;Lorena Dias de Araujo",$B:$B,"&lt;&gt;Lucas Luiz Romero")*(28/1083),IF(C243="Técnico I",SUMIFS($D:$D,$A:$A,$A243,$B:$B,"&lt;&gt;Patrícia Karla de Sousa Araújo",$B:$B,"&lt;&gt;Lorena Dias de Araujo",$B:$B,"&lt;&gt;Lucas Luiz Romero")*(23/1083),IF(C243="JR",SUMIFS($D:$D,$A:$A,$A243,$B:$B,"&lt;&gt;Patrícia Karla de Sousa Araújo",$B:$B,"&lt;&gt;Lorena Dias de Araujo",$B:$B,"&lt;&gt;Lucas Luiz Romero")*(20/1083),IF(C243="Estágio",SUMIFS($D:$D,$A:$A,$A243,$B:$B,"&lt;&gt;Patrícia Karla de Sousa Araújo",$B:$B,"&lt;&gt;Lorena Dias de Araujo",$B:$B,"&lt;&gt;Lucas Luiz Romero")*(10/1083),0)))))),0)</f>
        <v>13</v>
      </c>
      <c r="K243" s="3">
        <f>I243-J243</f>
        <v>9</v>
      </c>
      <c r="L243" s="3" t="str">
        <f>IF(K243&lt;-5,"CRÍTICO",IF(K243&lt;0,"ATENÇÃO",IF(K243&lt;=5,"BOM","EXCELENTE")))</f>
        <v>EXCELENTE</v>
      </c>
      <c r="M243">
        <v>20</v>
      </c>
      <c r="N243">
        <v>98.91</v>
      </c>
      <c r="O243">
        <v>31.367292225201069</v>
      </c>
    </row>
    <row r="244" spans="1:15" hidden="1" x14ac:dyDescent="0.25">
      <c r="A244" s="11">
        <v>46140</v>
      </c>
      <c r="B244" t="s">
        <v>38</v>
      </c>
      <c r="C244" s="15" t="s">
        <v>32</v>
      </c>
      <c r="D244" s="3">
        <v>28</v>
      </c>
      <c r="E244" s="3">
        <v>28</v>
      </c>
      <c r="F244" s="3">
        <v>14.08</v>
      </c>
      <c r="G244" s="3">
        <v>0</v>
      </c>
      <c r="H244" s="3">
        <v>0</v>
      </c>
      <c r="I244" s="3">
        <f>E244+G244+H244</f>
        <v>28</v>
      </c>
      <c r="J244" s="3">
        <f>ROUND(MIN(IF(C244="Técnico III",35,IF(C244="Técnico II",28,IF(C244="Técnico I",23,IF(C244="JR",20,IF(C244="Estágio",10,0))))),IF(C244="Técnico III",SUMIFS($D:$D,$A:$A,$A244,$B:$B,"&lt;&gt;Patrícia Karla de Sousa Araújo",$B:$B,"&lt;&gt;Lorena Dias de Araujo",$B:$B,"&lt;&gt;Lucas Luiz Romero")*(35/1083),IF(C244="Técnico II",SUMIFS($D:$D,$A:$A,$A244,$B:$B,"&lt;&gt;Patrícia Karla de Sousa Araújo",$B:$B,"&lt;&gt;Lorena Dias de Araujo",$B:$B,"&lt;&gt;Lucas Luiz Romero")*(28/1083),IF(C244="Técnico I",SUMIFS($D:$D,$A:$A,$A244,$B:$B,"&lt;&gt;Patrícia Karla de Sousa Araújo",$B:$B,"&lt;&gt;Lorena Dias de Araujo",$B:$B,"&lt;&gt;Lucas Luiz Romero")*(23/1083),IF(C244="JR",SUMIFS($D:$D,$A:$A,$A244,$B:$B,"&lt;&gt;Patrícia Karla de Sousa Araújo",$B:$B,"&lt;&gt;Lorena Dias de Araujo",$B:$B,"&lt;&gt;Lucas Luiz Romero")*(20/1083),IF(C244="Estágio",SUMIFS($D:$D,$A:$A,$A244,$B:$B,"&lt;&gt;Patrícia Karla de Sousa Araújo",$B:$B,"&lt;&gt;Lorena Dias de Araujo",$B:$B,"&lt;&gt;Lucas Luiz Romero")*(10/1083),0)))))),0)</f>
        <v>34</v>
      </c>
      <c r="K244" s="3">
        <f>I244-J244</f>
        <v>-6</v>
      </c>
      <c r="L244" s="3" t="str">
        <f>IF(K244&lt;-5,"CRÍTICO",IF(K244&lt;0,"ATENÇÃO",IF(K244&lt;=5,"OPORTUNO","MUITO BOM")))</f>
        <v>CRÍTICO</v>
      </c>
      <c r="M244" s="3">
        <v>24</v>
      </c>
      <c r="N244" s="3">
        <v>95.65</v>
      </c>
      <c r="O244" s="3">
        <v>32.432432432432442</v>
      </c>
    </row>
    <row r="245" spans="1:15" hidden="1" x14ac:dyDescent="0.25">
      <c r="A245" s="11">
        <v>46140</v>
      </c>
      <c r="B245" t="s">
        <v>39</v>
      </c>
      <c r="C245" s="15" t="s">
        <v>32</v>
      </c>
      <c r="D245" s="3">
        <v>0</v>
      </c>
      <c r="E245" s="3">
        <v>0</v>
      </c>
      <c r="F245" s="3">
        <v>0</v>
      </c>
      <c r="G245" s="3">
        <v>0</v>
      </c>
      <c r="H245" s="3">
        <v>0</v>
      </c>
      <c r="I245" s="3">
        <f>E245+G245+H245</f>
        <v>0</v>
      </c>
      <c r="J245" s="3">
        <f>ROUND(MIN(IF(C245="Técnico III",35,IF(C245="Técnico II",28,IF(C245="Técnico I",23,IF(C245="JR",20,IF(C245="Estágio",10,0))))),IF(C245="Técnico III",SUMIFS($D:$D,$A:$A,$A245,$B:$B,"&lt;&gt;Patrícia Karla de Sousa Araújo",$B:$B,"&lt;&gt;Lorena Dias de Araujo",$B:$B,"&lt;&gt;Lucas Luiz Romero")*(35/1083),IF(C245="Técnico II",SUMIFS($D:$D,$A:$A,$A245,$B:$B,"&lt;&gt;Patrícia Karla de Sousa Araújo",$B:$B,"&lt;&gt;Lorena Dias de Araujo",$B:$B,"&lt;&gt;Lucas Luiz Romero")*(28/1083),IF(C245="Técnico I",SUMIFS($D:$D,$A:$A,$A245,$B:$B,"&lt;&gt;Patrícia Karla de Sousa Araújo",$B:$B,"&lt;&gt;Lorena Dias de Araujo",$B:$B,"&lt;&gt;Lucas Luiz Romero")*(23/1083),IF(C245="JR",SUMIFS($D:$D,$A:$A,$A245,$B:$B,"&lt;&gt;Patrícia Karla de Sousa Araújo",$B:$B,"&lt;&gt;Lorena Dias de Araujo",$B:$B,"&lt;&gt;Lucas Luiz Romero")*(20/1083),IF(C245="Estágio",SUMIFS($D:$D,$A:$A,$A245,$B:$B,"&lt;&gt;Patrícia Karla de Sousa Araújo",$B:$B,"&lt;&gt;Lorena Dias de Araujo",$B:$B,"&lt;&gt;Lucas Luiz Romero")*(10/1083),0)))))),0)</f>
        <v>34</v>
      </c>
      <c r="K245" s="3">
        <f>I245-J245</f>
        <v>-34</v>
      </c>
      <c r="L245" s="3" t="str">
        <f>IF(K245&lt;-5,"CRÍTICO",IF(K245&lt;0,"ATENÇÃO",IF(K245&lt;=5,"OPORTUNO","MUITO BOM")))</f>
        <v>CRÍTICO</v>
      </c>
      <c r="M245" s="3">
        <v>0</v>
      </c>
      <c r="N245" s="3">
        <v>0</v>
      </c>
      <c r="O245" s="3">
        <v>0</v>
      </c>
    </row>
    <row r="246" spans="1:15" hidden="1" x14ac:dyDescent="0.25">
      <c r="A246" s="11">
        <v>46140</v>
      </c>
      <c r="B246" t="s">
        <v>40</v>
      </c>
      <c r="C246" s="15" t="s">
        <v>32</v>
      </c>
      <c r="D246" s="3">
        <v>0</v>
      </c>
      <c r="E246" s="3">
        <v>0</v>
      </c>
      <c r="F246" s="3">
        <v>0</v>
      </c>
      <c r="G246" s="3">
        <v>0</v>
      </c>
      <c r="H246" s="3">
        <v>0</v>
      </c>
      <c r="I246" s="3">
        <f>E246+G246+H246</f>
        <v>0</v>
      </c>
      <c r="J246" s="3">
        <f>ROUND(MIN(IF(C246="Técnico III",35,IF(C246="Técnico II",28,IF(C246="Técnico I",23,IF(C246="JR",20,IF(C246="Estágio",10,0))))),IF(C246="Técnico III",SUMIFS($D:$D,$A:$A,$A246,$B:$B,"&lt;&gt;Patrícia Karla de Sousa Araújo",$B:$B,"&lt;&gt;Lorena Dias de Araujo",$B:$B,"&lt;&gt;Lucas Luiz Romero")*(35/1083),IF(C246="Técnico II",SUMIFS($D:$D,$A:$A,$A246,$B:$B,"&lt;&gt;Patrícia Karla de Sousa Araújo",$B:$B,"&lt;&gt;Lorena Dias de Araujo",$B:$B,"&lt;&gt;Lucas Luiz Romero")*(28/1083),IF(C246="Técnico I",SUMIFS($D:$D,$A:$A,$A246,$B:$B,"&lt;&gt;Patrícia Karla de Sousa Araújo",$B:$B,"&lt;&gt;Lorena Dias de Araujo",$B:$B,"&lt;&gt;Lucas Luiz Romero")*(23/1083),IF(C246="JR",SUMIFS($D:$D,$A:$A,$A246,$B:$B,"&lt;&gt;Patrícia Karla de Sousa Araújo",$B:$B,"&lt;&gt;Lorena Dias de Araujo",$B:$B,"&lt;&gt;Lucas Luiz Romero")*(20/1083),IF(C246="Estágio",SUMIFS($D:$D,$A:$A,$A246,$B:$B,"&lt;&gt;Patrícia Karla de Sousa Araújo",$B:$B,"&lt;&gt;Lorena Dias de Araujo",$B:$B,"&lt;&gt;Lucas Luiz Romero")*(10/1083),0)))))),0)</f>
        <v>34</v>
      </c>
      <c r="K246" s="3">
        <f>I246-J246</f>
        <v>-34</v>
      </c>
      <c r="L246" s="3" t="str">
        <f>IF(K246&lt;-5,"CRÍTICO",IF(K246&lt;0,"ATENÇÃO",IF(K246&lt;=5,"OPORTUNO","MUITO BOM")))</f>
        <v>CRÍTICO</v>
      </c>
      <c r="M246" s="3">
        <v>26</v>
      </c>
      <c r="N246" s="3">
        <v>96.81</v>
      </c>
      <c r="O246" s="3">
        <v>48.018648018648022</v>
      </c>
    </row>
    <row r="247" spans="1:15" hidden="1" x14ac:dyDescent="0.25">
      <c r="A247" s="11">
        <v>46140</v>
      </c>
      <c r="B247" t="s">
        <v>41</v>
      </c>
      <c r="C247" s="15" t="s">
        <v>32</v>
      </c>
      <c r="D247" s="3">
        <v>29</v>
      </c>
      <c r="E247" s="3">
        <v>28</v>
      </c>
      <c r="F247" s="3">
        <v>17.309999999999999</v>
      </c>
      <c r="G247" s="3">
        <v>0</v>
      </c>
      <c r="H247" s="3">
        <v>0</v>
      </c>
      <c r="I247" s="3">
        <f>E247+G247+H247</f>
        <v>28</v>
      </c>
      <c r="J247" s="3">
        <f>ROUND(MIN(IF(C247="Técnico III",35,IF(C247="Técnico II",28,IF(C247="Técnico I",23,IF(C247="JR",20,IF(C247="Estágio",10,0))))),IF(C247="Técnico III",SUMIFS($D:$D,$A:$A,$A247,$B:$B,"&lt;&gt;Patrícia Karla de Sousa Araújo",$B:$B,"&lt;&gt;Lorena Dias de Araujo",$B:$B,"&lt;&gt;Lucas Luiz Romero")*(35/1083),IF(C247="Técnico II",SUMIFS($D:$D,$A:$A,$A247,$B:$B,"&lt;&gt;Patrícia Karla de Sousa Araújo",$B:$B,"&lt;&gt;Lorena Dias de Araujo",$B:$B,"&lt;&gt;Lucas Luiz Romero")*(28/1083),IF(C247="Técnico I",SUMIFS($D:$D,$A:$A,$A247,$B:$B,"&lt;&gt;Patrícia Karla de Sousa Araújo",$B:$B,"&lt;&gt;Lorena Dias de Araujo",$B:$B,"&lt;&gt;Lucas Luiz Romero")*(23/1083),IF(C247="JR",SUMIFS($D:$D,$A:$A,$A247,$B:$B,"&lt;&gt;Patrícia Karla de Sousa Araújo",$B:$B,"&lt;&gt;Lorena Dias de Araujo",$B:$B,"&lt;&gt;Lucas Luiz Romero")*(20/1083),IF(C247="Estágio",SUMIFS($D:$D,$A:$A,$A247,$B:$B,"&lt;&gt;Patrícia Karla de Sousa Araújo",$B:$B,"&lt;&gt;Lorena Dias de Araujo",$B:$B,"&lt;&gt;Lucas Luiz Romero")*(10/1083),0)))))),0)</f>
        <v>34</v>
      </c>
      <c r="K247" s="3">
        <f>I247-J247</f>
        <v>-6</v>
      </c>
      <c r="L247" s="3" t="str">
        <f>IF(K247&lt;-5,"CRÍTICO",IF(K247&lt;0,"ATENÇÃO",IF(K247&lt;=5,"OPORTUNO","MUITO BOM")))</f>
        <v>CRÍTICO</v>
      </c>
      <c r="M247" s="3">
        <v>27</v>
      </c>
      <c r="N247" s="3">
        <v>99.15</v>
      </c>
      <c r="O247" s="3">
        <v>27.586206896551719</v>
      </c>
    </row>
    <row r="248" spans="1:15" hidden="1" x14ac:dyDescent="0.25">
      <c r="A248" s="11">
        <v>46140</v>
      </c>
      <c r="B248" t="s">
        <v>42</v>
      </c>
      <c r="C248" s="15" t="s">
        <v>32</v>
      </c>
      <c r="D248" s="3">
        <v>0</v>
      </c>
      <c r="E248" s="3">
        <v>0</v>
      </c>
      <c r="F248" s="3">
        <v>0</v>
      </c>
      <c r="G248" s="3">
        <v>0</v>
      </c>
      <c r="H248" s="3">
        <v>0</v>
      </c>
      <c r="I248" s="3">
        <f>E248+G248+H248</f>
        <v>0</v>
      </c>
      <c r="J248" s="3">
        <f>ROUND(MIN(IF(C248="Técnico III",35,IF(C248="Técnico II",28,IF(C248="Técnico I",23,IF(C248="JR",20,IF(C248="Estágio",10,0))))),IF(C248="Técnico III",SUMIFS($D:$D,$A:$A,$A248,$B:$B,"&lt;&gt;Patrícia Karla de Sousa Araújo",$B:$B,"&lt;&gt;Lorena Dias de Araujo",$B:$B,"&lt;&gt;Lucas Luiz Romero")*(35/1083),IF(C248="Técnico II",SUMIFS($D:$D,$A:$A,$A248,$B:$B,"&lt;&gt;Patrícia Karla de Sousa Araújo",$B:$B,"&lt;&gt;Lorena Dias de Araujo",$B:$B,"&lt;&gt;Lucas Luiz Romero")*(28/1083),IF(C248="Técnico I",SUMIFS($D:$D,$A:$A,$A248,$B:$B,"&lt;&gt;Patrícia Karla de Sousa Araújo",$B:$B,"&lt;&gt;Lorena Dias de Araujo",$B:$B,"&lt;&gt;Lucas Luiz Romero")*(23/1083),IF(C248="JR",SUMIFS($D:$D,$A:$A,$A248,$B:$B,"&lt;&gt;Patrícia Karla de Sousa Araújo",$B:$B,"&lt;&gt;Lorena Dias de Araujo",$B:$B,"&lt;&gt;Lucas Luiz Romero")*(20/1083),IF(C248="Estágio",SUMIFS($D:$D,$A:$A,$A248,$B:$B,"&lt;&gt;Patrícia Karla de Sousa Araújo",$B:$B,"&lt;&gt;Lorena Dias de Araujo",$B:$B,"&lt;&gt;Lucas Luiz Romero")*(10/1083),0)))))),0)</f>
        <v>34</v>
      </c>
      <c r="K248" s="3">
        <f>I248-J248</f>
        <v>-34</v>
      </c>
      <c r="L248" s="3" t="str">
        <f>IF(K248&lt;-5,"CRÍTICO",IF(K248&lt;0,"ATENÇÃO",IF(K248&lt;=5,"OPORTUNO","MUITO BOM")))</f>
        <v>CRÍTICO</v>
      </c>
      <c r="M248" s="3">
        <v>0</v>
      </c>
      <c r="N248" s="3">
        <v>88.68</v>
      </c>
      <c r="O248" s="3">
        <v>22.03389830508474</v>
      </c>
    </row>
    <row r="249" spans="1:15" x14ac:dyDescent="0.25">
      <c r="A249" s="11">
        <v>46140</v>
      </c>
      <c r="B249" t="s">
        <v>43</v>
      </c>
      <c r="C249" s="15" t="s">
        <v>32</v>
      </c>
      <c r="D249" s="3">
        <v>35</v>
      </c>
      <c r="E249" s="3">
        <v>34</v>
      </c>
      <c r="F249" s="3">
        <v>15.13</v>
      </c>
      <c r="G249" s="3">
        <v>0</v>
      </c>
      <c r="H249" s="3">
        <v>0</v>
      </c>
      <c r="I249" s="3">
        <f>E249+G249+H249</f>
        <v>34</v>
      </c>
      <c r="J249" s="3">
        <f>ROUND(MIN(IF(C249="Técnico III",35,IF(C249="Técnico II",28,IF(C249="Técnico I",23,IF(C249="JR",20,IF(C249="Estágio",10,0))))),IF(C249="Técnico III",SUMIFS($D:$D,$A:$A,$A249,$B:$B,"&lt;&gt;Patrícia Karla de Sousa Araújo",$B:$B,"&lt;&gt;Lorena Dias de Araujo",$B:$B,"&lt;&gt;Lucas Luiz Romero")*(35/1083),IF(C249="Técnico II",SUMIFS($D:$D,$A:$A,$A249,$B:$B,"&lt;&gt;Patrícia Karla de Sousa Araújo",$B:$B,"&lt;&gt;Lorena Dias de Araujo",$B:$B,"&lt;&gt;Lucas Luiz Romero")*(28/1083),IF(C249="Técnico I",SUMIFS($D:$D,$A:$A,$A249,$B:$B,"&lt;&gt;Patrícia Karla de Sousa Araújo",$B:$B,"&lt;&gt;Lorena Dias de Araujo",$B:$B,"&lt;&gt;Lucas Luiz Romero")*(23/1083),IF(C249="JR",SUMIFS($D:$D,$A:$A,$A249,$B:$B,"&lt;&gt;Patrícia Karla de Sousa Araújo",$B:$B,"&lt;&gt;Lorena Dias de Araujo",$B:$B,"&lt;&gt;Lucas Luiz Romero")*(20/1083),IF(C249="Estágio",SUMIFS($D:$D,$A:$A,$A249,$B:$B,"&lt;&gt;Patrícia Karla de Sousa Araújo",$B:$B,"&lt;&gt;Lorena Dias de Araujo",$B:$B,"&lt;&gt;Lucas Luiz Romero")*(10/1083),0)))))),0)</f>
        <v>34</v>
      </c>
      <c r="K249" s="3">
        <f>I249-J249</f>
        <v>0</v>
      </c>
      <c r="L249" s="3" t="str">
        <f>IF(K249&lt;-5,"CRÍTICO",IF(K249&lt;0,"ATENÇÃO",IF(K249&lt;=5,"OPORTUNO","MUITO BOM")))</f>
        <v>OPORTUNO</v>
      </c>
      <c r="M249" s="3">
        <v>45</v>
      </c>
      <c r="N249" s="3">
        <v>100</v>
      </c>
      <c r="O249" s="3">
        <v>23.9870340356564</v>
      </c>
    </row>
    <row r="250" spans="1:15" hidden="1" x14ac:dyDescent="0.25">
      <c r="A250" s="11">
        <v>46140</v>
      </c>
      <c r="B250" t="s">
        <v>44</v>
      </c>
      <c r="C250" s="15" t="s">
        <v>32</v>
      </c>
      <c r="D250" s="3">
        <v>38</v>
      </c>
      <c r="E250" s="3">
        <v>32</v>
      </c>
      <c r="F250" s="3">
        <v>12.32</v>
      </c>
      <c r="G250" s="3">
        <v>0</v>
      </c>
      <c r="H250" s="3">
        <v>0</v>
      </c>
      <c r="I250" s="3">
        <f>E250+G250+H250</f>
        <v>32</v>
      </c>
      <c r="J250" s="3">
        <f>ROUND(MIN(IF(C250="Técnico III",35,IF(C250="Técnico II",28,IF(C250="Técnico I",23,IF(C250="JR",20,IF(C250="Estágio",10,0))))),IF(C250="Técnico III",SUMIFS($D:$D,$A:$A,$A250,$B:$B,"&lt;&gt;Patrícia Karla de Sousa Araújo",$B:$B,"&lt;&gt;Lorena Dias de Araujo",$B:$B,"&lt;&gt;Lucas Luiz Romero")*(35/1083),IF(C250="Técnico II",SUMIFS($D:$D,$A:$A,$A250,$B:$B,"&lt;&gt;Patrícia Karla de Sousa Araújo",$B:$B,"&lt;&gt;Lorena Dias de Araujo",$B:$B,"&lt;&gt;Lucas Luiz Romero")*(28/1083),IF(C250="Técnico I",SUMIFS($D:$D,$A:$A,$A250,$B:$B,"&lt;&gt;Patrícia Karla de Sousa Araújo",$B:$B,"&lt;&gt;Lorena Dias de Araujo",$B:$B,"&lt;&gt;Lucas Luiz Romero")*(23/1083),IF(C250="JR",SUMIFS($D:$D,$A:$A,$A250,$B:$B,"&lt;&gt;Patrícia Karla de Sousa Araújo",$B:$B,"&lt;&gt;Lorena Dias de Araujo",$B:$B,"&lt;&gt;Lucas Luiz Romero")*(20/1083),IF(C250="Estágio",SUMIFS($D:$D,$A:$A,$A250,$B:$B,"&lt;&gt;Patrícia Karla de Sousa Araújo",$B:$B,"&lt;&gt;Lorena Dias de Araujo",$B:$B,"&lt;&gt;Lucas Luiz Romero")*(10/1083),0)))))),0)</f>
        <v>34</v>
      </c>
      <c r="K250" s="3">
        <f>I250-J250</f>
        <v>-2</v>
      </c>
      <c r="L250" s="3" t="str">
        <f>IF(K250&lt;-5,"CRÍTICO",IF(K250&lt;0,"ATENÇÃO",IF(K250&lt;=5,"OPORTUNO","MUITO BOM")))</f>
        <v>ATENÇÃO</v>
      </c>
      <c r="M250" s="3">
        <v>31</v>
      </c>
      <c r="N250" s="3">
        <v>95.49</v>
      </c>
      <c r="O250" s="3">
        <v>28.370221327967808</v>
      </c>
    </row>
    <row r="251" spans="1:15" hidden="1" x14ac:dyDescent="0.25">
      <c r="A251" s="11">
        <v>46140</v>
      </c>
      <c r="B251" t="s">
        <v>45</v>
      </c>
      <c r="C251" s="15" t="s">
        <v>32</v>
      </c>
      <c r="D251" s="3">
        <v>43</v>
      </c>
      <c r="E251" s="3">
        <v>39</v>
      </c>
      <c r="F251" s="3">
        <v>12.1</v>
      </c>
      <c r="G251" s="3">
        <v>0</v>
      </c>
      <c r="H251" s="3">
        <v>0</v>
      </c>
      <c r="I251" s="3">
        <f>E251+G251+H251</f>
        <v>39</v>
      </c>
      <c r="J251" s="3">
        <f>ROUND(MIN(IF(C251="Técnico III",35,IF(C251="Técnico II",28,IF(C251="Técnico I",23,IF(C251="JR",20,IF(C251="Estágio",10,0))))),IF(C251="Técnico III",SUMIFS($D:$D,$A:$A,$A251,$B:$B,"&lt;&gt;Patrícia Karla de Sousa Araújo",$B:$B,"&lt;&gt;Lorena Dias de Araujo",$B:$B,"&lt;&gt;Lucas Luiz Romero")*(35/1083),IF(C251="Técnico II",SUMIFS($D:$D,$A:$A,$A251,$B:$B,"&lt;&gt;Patrícia Karla de Sousa Araújo",$B:$B,"&lt;&gt;Lorena Dias de Araujo",$B:$B,"&lt;&gt;Lucas Luiz Romero")*(28/1083),IF(C251="Técnico I",SUMIFS($D:$D,$A:$A,$A251,$B:$B,"&lt;&gt;Patrícia Karla de Sousa Araújo",$B:$B,"&lt;&gt;Lorena Dias de Araujo",$B:$B,"&lt;&gt;Lucas Luiz Romero")*(23/1083),IF(C251="JR",SUMIFS($D:$D,$A:$A,$A251,$B:$B,"&lt;&gt;Patrícia Karla de Sousa Araújo",$B:$B,"&lt;&gt;Lorena Dias de Araujo",$B:$B,"&lt;&gt;Lucas Luiz Romero")*(20/1083),IF(C251="Estágio",SUMIFS($D:$D,$A:$A,$A251,$B:$B,"&lt;&gt;Patrícia Karla de Sousa Araújo",$B:$B,"&lt;&gt;Lorena Dias de Araujo",$B:$B,"&lt;&gt;Lucas Luiz Romero")*(10/1083),0)))))),0)</f>
        <v>34</v>
      </c>
      <c r="K251" s="3">
        <f>I251-J251</f>
        <v>5</v>
      </c>
      <c r="L251" s="3" t="str">
        <f>IF(K251&lt;-5,"CRÍTICO",IF(K251&lt;0,"ATENÇÃO",IF(K251&lt;=5,"OPORTUNO","MUITO BOM")))</f>
        <v>OPORTUNO</v>
      </c>
      <c r="M251" s="3">
        <v>31</v>
      </c>
      <c r="N251" s="3">
        <v>100</v>
      </c>
      <c r="O251" s="3">
        <v>31.135531135531139</v>
      </c>
    </row>
    <row r="252" spans="1:15" hidden="1" x14ac:dyDescent="0.25">
      <c r="A252" s="11">
        <v>46140</v>
      </c>
      <c r="B252" t="s">
        <v>46</v>
      </c>
      <c r="C252" s="15" t="s">
        <v>32</v>
      </c>
      <c r="D252" s="3">
        <v>30</v>
      </c>
      <c r="E252" s="3">
        <v>28</v>
      </c>
      <c r="F252" s="3">
        <v>17.329999999999998</v>
      </c>
      <c r="G252" s="3">
        <v>0</v>
      </c>
      <c r="H252" s="3">
        <v>0</v>
      </c>
      <c r="I252" s="3">
        <f>E252+G252+H252</f>
        <v>28</v>
      </c>
      <c r="J252" s="3">
        <f>ROUND(MIN(IF(C252="Técnico III",35,IF(C252="Técnico II",28,IF(C252="Técnico I",23,IF(C252="JR",20,IF(C252="Estágio",10,0))))),IF(C252="Técnico III",SUMIFS($D:$D,$A:$A,$A252,$B:$B,"&lt;&gt;Patrícia Karla de Sousa Araújo",$B:$B,"&lt;&gt;Lorena Dias de Araujo",$B:$B,"&lt;&gt;Lucas Luiz Romero")*(35/1083),IF(C252="Técnico II",SUMIFS($D:$D,$A:$A,$A252,$B:$B,"&lt;&gt;Patrícia Karla de Sousa Araújo",$B:$B,"&lt;&gt;Lorena Dias de Araujo",$B:$B,"&lt;&gt;Lucas Luiz Romero")*(28/1083),IF(C252="Técnico I",SUMIFS($D:$D,$A:$A,$A252,$B:$B,"&lt;&gt;Patrícia Karla de Sousa Araújo",$B:$B,"&lt;&gt;Lorena Dias de Araujo",$B:$B,"&lt;&gt;Lucas Luiz Romero")*(23/1083),IF(C252="JR",SUMIFS($D:$D,$A:$A,$A252,$B:$B,"&lt;&gt;Patrícia Karla de Sousa Araújo",$B:$B,"&lt;&gt;Lorena Dias de Araujo",$B:$B,"&lt;&gt;Lucas Luiz Romero")*(20/1083),IF(C252="Estágio",SUMIFS($D:$D,$A:$A,$A252,$B:$B,"&lt;&gt;Patrícia Karla de Sousa Araújo",$B:$B,"&lt;&gt;Lorena Dias de Araujo",$B:$B,"&lt;&gt;Lucas Luiz Romero")*(10/1083),0)))))),0)</f>
        <v>34</v>
      </c>
      <c r="K252" s="3">
        <f>I252-J252</f>
        <v>-6</v>
      </c>
      <c r="L252" s="3" t="str">
        <f>IF(K252&lt;-5,"CRÍTICO",IF(K252&lt;0,"ATENÇÃO",IF(K252&lt;=5,"OPORTUNO","MUITO BOM")))</f>
        <v>CRÍTICO</v>
      </c>
      <c r="M252" s="3">
        <v>24</v>
      </c>
      <c r="N252" s="3">
        <v>99.21</v>
      </c>
      <c r="O252" s="3">
        <v>25.188916876574311</v>
      </c>
    </row>
    <row r="253" spans="1:15" hidden="1" x14ac:dyDescent="0.25">
      <c r="A253" s="13">
        <v>46140</v>
      </c>
      <c r="B253" t="s">
        <v>47</v>
      </c>
      <c r="C253" s="15" t="s">
        <v>48</v>
      </c>
      <c r="D253" s="3">
        <v>53</v>
      </c>
      <c r="E253" s="3">
        <v>46</v>
      </c>
      <c r="F253" s="3">
        <v>10.58</v>
      </c>
      <c r="G253" s="3">
        <v>0</v>
      </c>
      <c r="H253" s="3">
        <v>0</v>
      </c>
      <c r="I253" s="3">
        <f>E253+G253+H253</f>
        <v>46</v>
      </c>
      <c r="J253" s="3">
        <f>ROUND(MIN(IF(C253="Técnico III",35,IF(C253="Técnico II",28,IF(C253="Técnico I",23,IF(C253="JR",20,IF(C253="Estágio",10,0))))),IF(C253="Técnico III",SUMIFS($D:$D,$A:$A,$A253,$B:$B,"&lt;&gt;Patrícia Karla de Sousa Araújo",$B:$B,"&lt;&gt;Lorena Dias de Araujo",$B:$B,"&lt;&gt;Lucas Luiz Romero")*(35/1083),IF(C253="Técnico II",SUMIFS($D:$D,$A:$A,$A253,$B:$B,"&lt;&gt;Patrícia Karla de Sousa Araújo",$B:$B,"&lt;&gt;Lorena Dias de Araujo",$B:$B,"&lt;&gt;Lucas Luiz Romero")*(28/1083),IF(C253="Técnico I",SUMIFS($D:$D,$A:$A,$A253,$B:$B,"&lt;&gt;Patrícia Karla de Sousa Araújo",$B:$B,"&lt;&gt;Lorena Dias de Araujo",$B:$B,"&lt;&gt;Lucas Luiz Romero")*(23/1083),IF(C253="JR",SUMIFS($D:$D,$A:$A,$A253,$B:$B,"&lt;&gt;Patrícia Karla de Sousa Araújo",$B:$B,"&lt;&gt;Lorena Dias de Araujo",$B:$B,"&lt;&gt;Lucas Luiz Romero")*(20/1083),IF(C253="Estágio",SUMIFS($D:$D,$A:$A,$A253,$B:$B,"&lt;&gt;Patrícia Karla de Sousa Araújo",$B:$B,"&lt;&gt;Lorena Dias de Araujo",$B:$B,"&lt;&gt;Lucas Luiz Romero")*(10/1083),0)))))),0)</f>
        <v>27</v>
      </c>
      <c r="K253" s="3">
        <f>I253-J253</f>
        <v>19</v>
      </c>
      <c r="L253" s="3" t="str">
        <f>IF(K253&lt;-5,"CRÍTICO",IF(K253&lt;0,"ATENÇÃO",IF(K253&lt;=5,"OPORTUNO","MUITO BOM")))</f>
        <v>MUITO BOM</v>
      </c>
      <c r="M253" s="3">
        <v>43</v>
      </c>
      <c r="N253" s="3">
        <v>100</v>
      </c>
      <c r="O253" s="3">
        <v>32.764505119453922</v>
      </c>
    </row>
    <row r="254" spans="1:15" hidden="1" x14ac:dyDescent="0.25">
      <c r="A254" s="11">
        <v>46140</v>
      </c>
      <c r="B254" t="s">
        <v>49</v>
      </c>
      <c r="C254" s="15" t="s">
        <v>48</v>
      </c>
      <c r="D254" s="3">
        <v>34</v>
      </c>
      <c r="E254" s="3">
        <v>34</v>
      </c>
      <c r="F254" s="3">
        <v>13.45</v>
      </c>
      <c r="G254" s="3">
        <v>0</v>
      </c>
      <c r="H254" s="3">
        <v>0</v>
      </c>
      <c r="I254" s="3">
        <f>E254+G254+H254</f>
        <v>34</v>
      </c>
      <c r="J254" s="3">
        <f>ROUND(MIN(IF(C254="Técnico III",35,IF(C254="Técnico II",28,IF(C254="Técnico I",23,IF(C254="JR",20,IF(C254="Estágio",10,0))))),IF(C254="Técnico III",SUMIFS($D:$D,$A:$A,$A254,$B:$B,"&lt;&gt;Patrícia Karla de Sousa Araújo",$B:$B,"&lt;&gt;Lorena Dias de Araujo",$B:$B,"&lt;&gt;Lucas Luiz Romero")*(35/1083),IF(C254="Técnico II",SUMIFS($D:$D,$A:$A,$A254,$B:$B,"&lt;&gt;Patrícia Karla de Sousa Araújo",$B:$B,"&lt;&gt;Lorena Dias de Araujo",$B:$B,"&lt;&gt;Lucas Luiz Romero")*(28/1083),IF(C254="Técnico I",SUMIFS($D:$D,$A:$A,$A254,$B:$B,"&lt;&gt;Patrícia Karla de Sousa Araújo",$B:$B,"&lt;&gt;Lorena Dias de Araujo",$B:$B,"&lt;&gt;Lucas Luiz Romero")*(23/1083),IF(C254="JR",SUMIFS($D:$D,$A:$A,$A254,$B:$B,"&lt;&gt;Patrícia Karla de Sousa Araújo",$B:$B,"&lt;&gt;Lorena Dias de Araujo",$B:$B,"&lt;&gt;Lucas Luiz Romero")*(20/1083),IF(C254="Estágio",SUMIFS($D:$D,$A:$A,$A254,$B:$B,"&lt;&gt;Patrícia Karla de Sousa Araújo",$B:$B,"&lt;&gt;Lorena Dias de Araujo",$B:$B,"&lt;&gt;Lucas Luiz Romero")*(10/1083),0)))))),0)</f>
        <v>27</v>
      </c>
      <c r="K254" s="3">
        <f>I254-J254</f>
        <v>7</v>
      </c>
      <c r="L254" s="3" t="str">
        <f>IF(K254&lt;-5,"CRÍTICO",IF(K254&lt;0,"ATENÇÃO",IF(K254&lt;=5,"OPORTUNO","MUITO BOM")))</f>
        <v>MUITO BOM</v>
      </c>
      <c r="M254" s="3">
        <v>31</v>
      </c>
      <c r="N254" s="3">
        <v>98.82</v>
      </c>
      <c r="O254" s="3">
        <v>30.741410488245929</v>
      </c>
    </row>
    <row r="255" spans="1:15" hidden="1" x14ac:dyDescent="0.25">
      <c r="A255" s="11">
        <v>46140</v>
      </c>
      <c r="B255" t="s">
        <v>50</v>
      </c>
      <c r="C255" s="15" t="s">
        <v>48</v>
      </c>
      <c r="D255" s="3">
        <v>24</v>
      </c>
      <c r="E255" s="3">
        <v>23</v>
      </c>
      <c r="F255" s="3">
        <v>25.57</v>
      </c>
      <c r="G255" s="3">
        <v>0</v>
      </c>
      <c r="H255" s="3">
        <v>0</v>
      </c>
      <c r="I255" s="3">
        <f>E255+G255+H255</f>
        <v>23</v>
      </c>
      <c r="J255" s="3">
        <f>ROUND(MIN(IF(C255="Técnico III",35,IF(C255="Técnico II",28,IF(C255="Técnico I",23,IF(C255="JR",20,IF(C255="Estágio",10,0))))),IF(C255="Técnico III",SUMIFS($D:$D,$A:$A,$A255,$B:$B,"&lt;&gt;Patrícia Karla de Sousa Araújo",$B:$B,"&lt;&gt;Lorena Dias de Araujo",$B:$B,"&lt;&gt;Lucas Luiz Romero")*(35/1083),IF(C255="Técnico II",SUMIFS($D:$D,$A:$A,$A255,$B:$B,"&lt;&gt;Patrícia Karla de Sousa Araújo",$B:$B,"&lt;&gt;Lorena Dias de Araujo",$B:$B,"&lt;&gt;Lucas Luiz Romero")*(28/1083),IF(C255="Técnico I",SUMIFS($D:$D,$A:$A,$A255,$B:$B,"&lt;&gt;Patrícia Karla de Sousa Araújo",$B:$B,"&lt;&gt;Lorena Dias de Araujo",$B:$B,"&lt;&gt;Lucas Luiz Romero")*(23/1083),IF(C255="JR",SUMIFS($D:$D,$A:$A,$A255,$B:$B,"&lt;&gt;Patrícia Karla de Sousa Araújo",$B:$B,"&lt;&gt;Lorena Dias de Araujo",$B:$B,"&lt;&gt;Lucas Luiz Romero")*(20/1083),IF(C255="Estágio",SUMIFS($D:$D,$A:$A,$A255,$B:$B,"&lt;&gt;Patrícia Karla de Sousa Araújo",$B:$B,"&lt;&gt;Lorena Dias de Araujo",$B:$B,"&lt;&gt;Lucas Luiz Romero")*(10/1083),0)))))),0)</f>
        <v>27</v>
      </c>
      <c r="K255" s="3">
        <f>I255-J255</f>
        <v>-4</v>
      </c>
      <c r="L255" s="3" t="str">
        <f>IF(K255&lt;-5,"CRÍTICO",IF(K255&lt;0,"ATENÇÃO",IF(K255&lt;=5,"OPORTUNO","MUITO BOM")))</f>
        <v>ATENÇÃO</v>
      </c>
      <c r="M255" s="3">
        <v>23</v>
      </c>
      <c r="N255" s="3">
        <v>98.2</v>
      </c>
      <c r="O255" s="3">
        <v>27.170868347338931</v>
      </c>
    </row>
    <row r="256" spans="1:15" hidden="1" x14ac:dyDescent="0.25">
      <c r="A256" s="11">
        <v>46140</v>
      </c>
      <c r="B256" t="s">
        <v>51</v>
      </c>
      <c r="C256" s="15" t="s">
        <v>48</v>
      </c>
      <c r="D256" s="3">
        <v>31</v>
      </c>
      <c r="E256" s="3">
        <v>28</v>
      </c>
      <c r="F256" s="3">
        <v>17.04</v>
      </c>
      <c r="G256" s="3">
        <v>0</v>
      </c>
      <c r="H256" s="3">
        <v>0</v>
      </c>
      <c r="I256" s="3">
        <f>E256+G256+H256</f>
        <v>28</v>
      </c>
      <c r="J256" s="3">
        <f>ROUND(MIN(IF(C256="Técnico III",35,IF(C256="Técnico II",28,IF(C256="Técnico I",23,IF(C256="JR",20,IF(C256="Estágio",10,0))))),IF(C256="Técnico III",SUMIFS($D:$D,$A:$A,$A256,$B:$B,"&lt;&gt;Patrícia Karla de Sousa Araújo",$B:$B,"&lt;&gt;Lorena Dias de Araujo",$B:$B,"&lt;&gt;Lucas Luiz Romero")*(35/1083),IF(C256="Técnico II",SUMIFS($D:$D,$A:$A,$A256,$B:$B,"&lt;&gt;Patrícia Karla de Sousa Araújo",$B:$B,"&lt;&gt;Lorena Dias de Araujo",$B:$B,"&lt;&gt;Lucas Luiz Romero")*(28/1083),IF(C256="Técnico I",SUMIFS($D:$D,$A:$A,$A256,$B:$B,"&lt;&gt;Patrícia Karla de Sousa Araújo",$B:$B,"&lt;&gt;Lorena Dias de Araujo",$B:$B,"&lt;&gt;Lucas Luiz Romero")*(23/1083),IF(C256="JR",SUMIFS($D:$D,$A:$A,$A256,$B:$B,"&lt;&gt;Patrícia Karla de Sousa Araújo",$B:$B,"&lt;&gt;Lorena Dias de Araujo",$B:$B,"&lt;&gt;Lucas Luiz Romero")*(20/1083),IF(C256="Estágio",SUMIFS($D:$D,$A:$A,$A256,$B:$B,"&lt;&gt;Patrícia Karla de Sousa Araújo",$B:$B,"&lt;&gt;Lorena Dias de Araujo",$B:$B,"&lt;&gt;Lucas Luiz Romero")*(10/1083),0)))))),0)</f>
        <v>27</v>
      </c>
      <c r="K256" s="3">
        <f>I256-J256</f>
        <v>1</v>
      </c>
      <c r="L256" s="3" t="str">
        <f>IF(K256&lt;-5,"CRÍTICO",IF(K256&lt;0,"ATENÇÃO",IF(K256&lt;=5,"OPORTUNO","MUITO BOM")))</f>
        <v>OPORTUNO</v>
      </c>
      <c r="M256" s="3">
        <v>28</v>
      </c>
      <c r="N256" s="3">
        <v>97.86</v>
      </c>
      <c r="O256" s="3">
        <v>31.018518518518519</v>
      </c>
    </row>
    <row r="257" spans="1:15" hidden="1" x14ac:dyDescent="0.25">
      <c r="A257" s="11">
        <v>46140</v>
      </c>
      <c r="B257" t="s">
        <v>52</v>
      </c>
      <c r="C257" s="15" t="s">
        <v>48</v>
      </c>
      <c r="D257" s="3">
        <v>27</v>
      </c>
      <c r="E257" s="3">
        <v>27</v>
      </c>
      <c r="F257" s="3">
        <v>18.350000000000001</v>
      </c>
      <c r="G257" s="3">
        <v>0</v>
      </c>
      <c r="H257" s="3">
        <v>0</v>
      </c>
      <c r="I257" s="3">
        <f>E257+G257+H257</f>
        <v>27</v>
      </c>
      <c r="J257" s="3">
        <f>ROUND(MIN(IF(C257="Técnico III",35,IF(C257="Técnico II",28,IF(C257="Técnico I",23,IF(C257="JR",20,IF(C257="Estágio",10,0))))),IF(C257="Técnico III",SUMIFS($D:$D,$A:$A,$A257,$B:$B,"&lt;&gt;Patrícia Karla de Sousa Araújo",$B:$B,"&lt;&gt;Lorena Dias de Araujo",$B:$B,"&lt;&gt;Lucas Luiz Romero")*(35/1083),IF(C257="Técnico II",SUMIFS($D:$D,$A:$A,$A257,$B:$B,"&lt;&gt;Patrícia Karla de Sousa Araújo",$B:$B,"&lt;&gt;Lorena Dias de Araujo",$B:$B,"&lt;&gt;Lucas Luiz Romero")*(28/1083),IF(C257="Técnico I",SUMIFS($D:$D,$A:$A,$A257,$B:$B,"&lt;&gt;Patrícia Karla de Sousa Araújo",$B:$B,"&lt;&gt;Lorena Dias de Araujo",$B:$B,"&lt;&gt;Lucas Luiz Romero")*(23/1083),IF(C257="JR",SUMIFS($D:$D,$A:$A,$A257,$B:$B,"&lt;&gt;Patrícia Karla de Sousa Araújo",$B:$B,"&lt;&gt;Lorena Dias de Araujo",$B:$B,"&lt;&gt;Lucas Luiz Romero")*(20/1083),IF(C257="Estágio",SUMIFS($D:$D,$A:$A,$A257,$B:$B,"&lt;&gt;Patrícia Karla de Sousa Araújo",$B:$B,"&lt;&gt;Lorena Dias de Araujo",$B:$B,"&lt;&gt;Lucas Luiz Romero")*(10/1083),0)))))),0)</f>
        <v>27</v>
      </c>
      <c r="K257" s="3">
        <f>I257-J257</f>
        <v>0</v>
      </c>
      <c r="L257" s="3" t="str">
        <f>IF(K257&lt;-5,"CRÍTICO",IF(K257&lt;0,"ATENÇÃO",IF(K257&lt;=5,"OPORTUNO","MUITO BOM")))</f>
        <v>OPORTUNO</v>
      </c>
      <c r="M257" s="3">
        <v>26</v>
      </c>
      <c r="N257" s="3">
        <v>97.83</v>
      </c>
      <c r="O257" s="3">
        <v>28.35164835164835</v>
      </c>
    </row>
    <row r="258" spans="1:15" hidden="1" x14ac:dyDescent="0.25">
      <c r="A258" s="11">
        <v>46140</v>
      </c>
      <c r="B258" t="s">
        <v>53</v>
      </c>
      <c r="C258" s="15" t="s">
        <v>48</v>
      </c>
      <c r="D258" s="3">
        <v>29</v>
      </c>
      <c r="E258" s="3">
        <v>25</v>
      </c>
      <c r="F258" s="3">
        <v>20.23</v>
      </c>
      <c r="G258" s="3">
        <v>0</v>
      </c>
      <c r="H258" s="3">
        <v>0</v>
      </c>
      <c r="I258" s="3">
        <f>E258+G258+H258</f>
        <v>25</v>
      </c>
      <c r="J258" s="3">
        <f>ROUND(MIN(IF(C258="Técnico III",35,IF(C258="Técnico II",28,IF(C258="Técnico I",23,IF(C258="JR",20,IF(C258="Estágio",10,0))))),IF(C258="Técnico III",SUMIFS($D:$D,$A:$A,$A258,$B:$B,"&lt;&gt;Patrícia Karla de Sousa Araújo",$B:$B,"&lt;&gt;Lorena Dias de Araujo",$B:$B,"&lt;&gt;Lucas Luiz Romero")*(35/1083),IF(C258="Técnico II",SUMIFS($D:$D,$A:$A,$A258,$B:$B,"&lt;&gt;Patrícia Karla de Sousa Araújo",$B:$B,"&lt;&gt;Lorena Dias de Araujo",$B:$B,"&lt;&gt;Lucas Luiz Romero")*(28/1083),IF(C258="Técnico I",SUMIFS($D:$D,$A:$A,$A258,$B:$B,"&lt;&gt;Patrícia Karla de Sousa Araújo",$B:$B,"&lt;&gt;Lorena Dias de Araujo",$B:$B,"&lt;&gt;Lucas Luiz Romero")*(23/1083),IF(C258="JR",SUMIFS($D:$D,$A:$A,$A258,$B:$B,"&lt;&gt;Patrícia Karla de Sousa Araújo",$B:$B,"&lt;&gt;Lorena Dias de Araujo",$B:$B,"&lt;&gt;Lucas Luiz Romero")*(20/1083),IF(C258="Estágio",SUMIFS($D:$D,$A:$A,$A258,$B:$B,"&lt;&gt;Patrícia Karla de Sousa Araújo",$B:$B,"&lt;&gt;Lorena Dias de Araujo",$B:$B,"&lt;&gt;Lucas Luiz Romero")*(10/1083),0)))))),0)</f>
        <v>27</v>
      </c>
      <c r="K258" s="3">
        <f>I258-J258</f>
        <v>-2</v>
      </c>
      <c r="L258" s="3" t="str">
        <f>IF(K258&lt;-5,"CRÍTICO",IF(K258&lt;0,"ATENÇÃO",IF(K258&lt;=5,"OPORTUNO","MUITO BOM")))</f>
        <v>ATENÇÃO</v>
      </c>
      <c r="M258" s="3">
        <v>23</v>
      </c>
      <c r="N258" s="3">
        <v>99.19</v>
      </c>
      <c r="O258" s="3">
        <v>29.462365591397852</v>
      </c>
    </row>
    <row r="259" spans="1:15" hidden="1" x14ac:dyDescent="0.25">
      <c r="A259" s="11">
        <v>46140</v>
      </c>
      <c r="B259" t="s">
        <v>54</v>
      </c>
      <c r="C259" s="15" t="s">
        <v>48</v>
      </c>
      <c r="D259" s="3">
        <v>37</v>
      </c>
      <c r="E259" s="3">
        <v>36</v>
      </c>
      <c r="F259" s="3">
        <v>15.51</v>
      </c>
      <c r="G259" s="3">
        <v>0</v>
      </c>
      <c r="H259" s="3">
        <v>0</v>
      </c>
      <c r="I259" s="3">
        <f>E259+G259+H259</f>
        <v>36</v>
      </c>
      <c r="J259" s="3">
        <f>ROUND(MIN(IF(C259="Técnico III",35,IF(C259="Técnico II",28,IF(C259="Técnico I",23,IF(C259="JR",20,IF(C259="Estágio",10,0))))),IF(C259="Técnico III",SUMIFS($D:$D,$A:$A,$A259,$B:$B,"&lt;&gt;Patrícia Karla de Sousa Araújo",$B:$B,"&lt;&gt;Lorena Dias de Araujo",$B:$B,"&lt;&gt;Lucas Luiz Romero")*(35/1083),IF(C259="Técnico II",SUMIFS($D:$D,$A:$A,$A259,$B:$B,"&lt;&gt;Patrícia Karla de Sousa Araújo",$B:$B,"&lt;&gt;Lorena Dias de Araujo",$B:$B,"&lt;&gt;Lucas Luiz Romero")*(28/1083),IF(C259="Técnico I",SUMIFS($D:$D,$A:$A,$A259,$B:$B,"&lt;&gt;Patrícia Karla de Sousa Araújo",$B:$B,"&lt;&gt;Lorena Dias de Araujo",$B:$B,"&lt;&gt;Lucas Luiz Romero")*(23/1083),IF(C259="JR",SUMIFS($D:$D,$A:$A,$A259,$B:$B,"&lt;&gt;Patrícia Karla de Sousa Araújo",$B:$B,"&lt;&gt;Lorena Dias de Araujo",$B:$B,"&lt;&gt;Lucas Luiz Romero")*(20/1083),IF(C259="Estágio",SUMIFS($D:$D,$A:$A,$A259,$B:$B,"&lt;&gt;Patrícia Karla de Sousa Araújo",$B:$B,"&lt;&gt;Lorena Dias de Araujo",$B:$B,"&lt;&gt;Lucas Luiz Romero")*(10/1083),0)))))),0)</f>
        <v>27</v>
      </c>
      <c r="K259" s="3">
        <f>I259-J259</f>
        <v>9</v>
      </c>
      <c r="L259" s="3" t="str">
        <f>IF(K259&lt;-5,"CRÍTICO",IF(K259&lt;0,"ATENÇÃO",IF(K259&lt;=5,"OPORTUNO","MUITO BOM")))</f>
        <v>MUITO BOM</v>
      </c>
      <c r="M259" s="3">
        <v>25</v>
      </c>
      <c r="N259" s="3">
        <v>100</v>
      </c>
      <c r="O259" s="3">
        <v>28.921568627450981</v>
      </c>
    </row>
    <row r="260" spans="1:15" hidden="1" x14ac:dyDescent="0.25">
      <c r="A260" s="11">
        <v>46140</v>
      </c>
      <c r="B260" t="s">
        <v>55</v>
      </c>
      <c r="C260" s="15" t="s">
        <v>48</v>
      </c>
      <c r="D260" s="3">
        <v>29</v>
      </c>
      <c r="E260" s="3">
        <v>25</v>
      </c>
      <c r="F260" s="3">
        <v>17.3</v>
      </c>
      <c r="G260" s="3">
        <v>0</v>
      </c>
      <c r="H260" s="3">
        <v>0</v>
      </c>
      <c r="I260" s="3">
        <f>E260+G260+H260</f>
        <v>25</v>
      </c>
      <c r="J260" s="3">
        <f>ROUND(MIN(IF(C260="Técnico III",35,IF(C260="Técnico II",28,IF(C260="Técnico I",23,IF(C260="JR",20,IF(C260="Estágio",10,0))))),IF(C260="Técnico III",SUMIFS($D:$D,$A:$A,$A260,$B:$B,"&lt;&gt;Patrícia Karla de Sousa Araújo",$B:$B,"&lt;&gt;Lorena Dias de Araujo",$B:$B,"&lt;&gt;Lucas Luiz Romero")*(35/1083),IF(C260="Técnico II",SUMIFS($D:$D,$A:$A,$A260,$B:$B,"&lt;&gt;Patrícia Karla de Sousa Araújo",$B:$B,"&lt;&gt;Lorena Dias de Araujo",$B:$B,"&lt;&gt;Lucas Luiz Romero")*(28/1083),IF(C260="Técnico I",SUMIFS($D:$D,$A:$A,$A260,$B:$B,"&lt;&gt;Patrícia Karla de Sousa Araújo",$B:$B,"&lt;&gt;Lorena Dias de Araujo",$B:$B,"&lt;&gt;Lucas Luiz Romero")*(23/1083),IF(C260="JR",SUMIFS($D:$D,$A:$A,$A260,$B:$B,"&lt;&gt;Patrícia Karla de Sousa Araújo",$B:$B,"&lt;&gt;Lorena Dias de Araujo",$B:$B,"&lt;&gt;Lucas Luiz Romero")*(20/1083),IF(C260="Estágio",SUMIFS($D:$D,$A:$A,$A260,$B:$B,"&lt;&gt;Patrícia Karla de Sousa Araújo",$B:$B,"&lt;&gt;Lorena Dias de Araujo",$B:$B,"&lt;&gt;Lucas Luiz Romero")*(10/1083),0)))))),0)</f>
        <v>27</v>
      </c>
      <c r="K260" s="3">
        <f>I260-J260</f>
        <v>-2</v>
      </c>
      <c r="L260" s="3" t="str">
        <f>IF(K260&lt;-5,"CRÍTICO",IF(K260&lt;0,"ATENÇÃO",IF(K260&lt;=5,"OPORTUNO","MUITO BOM")))</f>
        <v>ATENÇÃO</v>
      </c>
      <c r="M260" s="3">
        <v>22</v>
      </c>
      <c r="N260" s="3">
        <v>98.81</v>
      </c>
      <c r="O260" s="3">
        <v>26.256983240223459</v>
      </c>
    </row>
    <row r="261" spans="1:15" hidden="1" x14ac:dyDescent="0.25">
      <c r="A261" s="11">
        <v>46140</v>
      </c>
      <c r="B261" t="s">
        <v>56</v>
      </c>
      <c r="C261" s="15" t="s">
        <v>48</v>
      </c>
      <c r="D261" s="3">
        <v>20</v>
      </c>
      <c r="E261" s="3">
        <v>19</v>
      </c>
      <c r="F261" s="3">
        <v>21.45</v>
      </c>
      <c r="G261" s="3">
        <v>0</v>
      </c>
      <c r="H261" s="3">
        <v>0</v>
      </c>
      <c r="I261" s="3">
        <f>E261+G261+H261</f>
        <v>19</v>
      </c>
      <c r="J261" s="3">
        <f>ROUND(MIN(IF(C261="Técnico III",35,IF(C261="Técnico II",28,IF(C261="Técnico I",23,IF(C261="JR",20,IF(C261="Estágio",10,0))))),IF(C261="Técnico III",SUMIFS($D:$D,$A:$A,$A261,$B:$B,"&lt;&gt;Patrícia Karla de Sousa Araújo",$B:$B,"&lt;&gt;Lorena Dias de Araujo",$B:$B,"&lt;&gt;Lucas Luiz Romero")*(35/1083),IF(C261="Técnico II",SUMIFS($D:$D,$A:$A,$A261,$B:$B,"&lt;&gt;Patrícia Karla de Sousa Araújo",$B:$B,"&lt;&gt;Lorena Dias de Araujo",$B:$B,"&lt;&gt;Lucas Luiz Romero")*(28/1083),IF(C261="Técnico I",SUMIFS($D:$D,$A:$A,$A261,$B:$B,"&lt;&gt;Patrícia Karla de Sousa Araújo",$B:$B,"&lt;&gt;Lorena Dias de Araujo",$B:$B,"&lt;&gt;Lucas Luiz Romero")*(23/1083),IF(C261="JR",SUMIFS($D:$D,$A:$A,$A261,$B:$B,"&lt;&gt;Patrícia Karla de Sousa Araújo",$B:$B,"&lt;&gt;Lorena Dias de Araujo",$B:$B,"&lt;&gt;Lucas Luiz Romero")*(20/1083),IF(C261="Estágio",SUMIFS($D:$D,$A:$A,$A261,$B:$B,"&lt;&gt;Patrícia Karla de Sousa Araújo",$B:$B,"&lt;&gt;Lorena Dias de Araujo",$B:$B,"&lt;&gt;Lucas Luiz Romero")*(10/1083),0)))))),0)</f>
        <v>27</v>
      </c>
      <c r="K261" s="3">
        <f>I261-J261</f>
        <v>-8</v>
      </c>
      <c r="L261" s="3" t="str">
        <f>IF(K261&lt;-5,"CRÍTICO",IF(K261&lt;0,"ATENÇÃO",IF(K261&lt;=5,"OPORTUNO","MUITO BOM")))</f>
        <v>CRÍTICO</v>
      </c>
      <c r="M261" s="3">
        <v>4</v>
      </c>
      <c r="N261" s="3">
        <v>99.17</v>
      </c>
      <c r="O261" s="3">
        <v>29.75206611570248</v>
      </c>
    </row>
    <row r="262" spans="1:15" hidden="1" x14ac:dyDescent="0.25">
      <c r="A262" s="11">
        <v>46140</v>
      </c>
      <c r="B262" t="s">
        <v>57</v>
      </c>
      <c r="C262" s="15" t="s">
        <v>48</v>
      </c>
      <c r="D262" s="3">
        <v>0</v>
      </c>
      <c r="E262" s="3">
        <v>0</v>
      </c>
      <c r="F262" s="3">
        <v>0</v>
      </c>
      <c r="G262" s="3">
        <v>0</v>
      </c>
      <c r="H262" s="3">
        <v>0</v>
      </c>
      <c r="I262" s="3">
        <f>E262+G262+H262</f>
        <v>0</v>
      </c>
      <c r="J262" s="3">
        <f>ROUND(MIN(IF(C262="Técnico III",35,IF(C262="Técnico II",28,IF(C262="Técnico I",23,IF(C262="JR",20,IF(C262="Estágio",10,0))))),IF(C262="Técnico III",SUMIFS($D:$D,$A:$A,$A262,$B:$B,"&lt;&gt;Patrícia Karla de Sousa Araújo",$B:$B,"&lt;&gt;Lorena Dias de Araujo",$B:$B,"&lt;&gt;Lucas Luiz Romero")*(35/1083),IF(C262="Técnico II",SUMIFS($D:$D,$A:$A,$A262,$B:$B,"&lt;&gt;Patrícia Karla de Sousa Araújo",$B:$B,"&lt;&gt;Lorena Dias de Araujo",$B:$B,"&lt;&gt;Lucas Luiz Romero")*(28/1083),IF(C262="Técnico I",SUMIFS($D:$D,$A:$A,$A262,$B:$B,"&lt;&gt;Patrícia Karla de Sousa Araújo",$B:$B,"&lt;&gt;Lorena Dias de Araujo",$B:$B,"&lt;&gt;Lucas Luiz Romero")*(23/1083),IF(C262="JR",SUMIFS($D:$D,$A:$A,$A262,$B:$B,"&lt;&gt;Patrícia Karla de Sousa Araújo",$B:$B,"&lt;&gt;Lorena Dias de Araujo",$B:$B,"&lt;&gt;Lucas Luiz Romero")*(20/1083),IF(C262="Estágio",SUMIFS($D:$D,$A:$A,$A262,$B:$B,"&lt;&gt;Patrícia Karla de Sousa Araújo",$B:$B,"&lt;&gt;Lorena Dias de Araujo",$B:$B,"&lt;&gt;Lucas Luiz Romero")*(10/1083),0)))))),0)</f>
        <v>27</v>
      </c>
      <c r="K262" s="3">
        <f>I262-J262</f>
        <v>-27</v>
      </c>
      <c r="L262" s="3" t="str">
        <f>IF(K262&lt;-5,"CRÍTICO",IF(K262&lt;0,"ATENÇÃO",IF(K262&lt;=5,"OPORTUNO","MUITO BOM")))</f>
        <v>CRÍTICO</v>
      </c>
      <c r="M262" s="3">
        <v>0</v>
      </c>
      <c r="N262" s="3">
        <v>98.73</v>
      </c>
      <c r="O262" s="3">
        <v>28.961748633879779</v>
      </c>
    </row>
    <row r="263" spans="1:15" hidden="1" x14ac:dyDescent="0.25">
      <c r="A263" s="11">
        <v>46140</v>
      </c>
      <c r="B263" t="s">
        <v>58</v>
      </c>
      <c r="C263" s="15" t="s">
        <v>48</v>
      </c>
      <c r="D263" s="3">
        <v>0</v>
      </c>
      <c r="E263" s="3">
        <v>0</v>
      </c>
      <c r="F263" s="3">
        <v>0</v>
      </c>
      <c r="G263" s="3">
        <v>0</v>
      </c>
      <c r="H263" s="3">
        <v>0</v>
      </c>
      <c r="I263" s="3">
        <f>E263+G263+H263</f>
        <v>0</v>
      </c>
      <c r="J263" s="3">
        <f>ROUND(MIN(IF(C263="Técnico III",35,IF(C263="Técnico II",28,IF(C263="Técnico I",23,IF(C263="JR",20,IF(C263="Estágio",10,0))))),IF(C263="Técnico III",SUMIFS($D:$D,$A:$A,$A263,$B:$B,"&lt;&gt;Patrícia Karla de Sousa Araújo",$B:$B,"&lt;&gt;Lorena Dias de Araujo",$B:$B,"&lt;&gt;Lucas Luiz Romero")*(35/1083),IF(C263="Técnico II",SUMIFS($D:$D,$A:$A,$A263,$B:$B,"&lt;&gt;Patrícia Karla de Sousa Araújo",$B:$B,"&lt;&gt;Lorena Dias de Araujo",$B:$B,"&lt;&gt;Lucas Luiz Romero")*(28/1083),IF(C263="Técnico I",SUMIFS($D:$D,$A:$A,$A263,$B:$B,"&lt;&gt;Patrícia Karla de Sousa Araújo",$B:$B,"&lt;&gt;Lorena Dias de Araujo",$B:$B,"&lt;&gt;Lucas Luiz Romero")*(23/1083),IF(C263="JR",SUMIFS($D:$D,$A:$A,$A263,$B:$B,"&lt;&gt;Patrícia Karla de Sousa Araújo",$B:$B,"&lt;&gt;Lorena Dias de Araujo",$B:$B,"&lt;&gt;Lucas Luiz Romero")*(20/1083),IF(C263="Estágio",SUMIFS($D:$D,$A:$A,$A263,$B:$B,"&lt;&gt;Patrícia Karla de Sousa Araújo",$B:$B,"&lt;&gt;Lorena Dias de Araujo",$B:$B,"&lt;&gt;Lucas Luiz Romero")*(10/1083),0)))))),0)</f>
        <v>27</v>
      </c>
      <c r="K263" s="3">
        <f>I263-J263</f>
        <v>-27</v>
      </c>
      <c r="L263" s="3" t="str">
        <f>IF(K263&lt;-5,"CRÍTICO",IF(K263&lt;0,"ATENÇÃO",IF(K263&lt;=5,"OPORTUNO","MUITO BOM")))</f>
        <v>CRÍTICO</v>
      </c>
      <c r="M263" s="3">
        <v>0</v>
      </c>
      <c r="N263" s="3">
        <v>99.02</v>
      </c>
      <c r="O263" s="3">
        <v>34.797297297297298</v>
      </c>
    </row>
    <row r="264" spans="1:15" hidden="1" x14ac:dyDescent="0.25">
      <c r="A264" s="11">
        <v>46140</v>
      </c>
      <c r="B264" t="s">
        <v>59</v>
      </c>
      <c r="C264" s="15" t="s">
        <v>23</v>
      </c>
      <c r="D264" s="3">
        <v>26</v>
      </c>
      <c r="E264" s="3">
        <v>24</v>
      </c>
      <c r="F264" s="3">
        <v>19.190000000000001</v>
      </c>
      <c r="G264" s="3">
        <v>0</v>
      </c>
      <c r="H264" s="3">
        <v>0</v>
      </c>
      <c r="I264" s="3">
        <f>E264+G264+H264</f>
        <v>24</v>
      </c>
      <c r="J264" s="3">
        <f>ROUND(MIN(IF(C264="Técnico III",35,IF(C264="Técnico II",28,IF(C264="Técnico I",23,IF(C264="JR",20,IF(C264="Estágio",10,0))))),IF(C264="Técnico III",SUMIFS($D:$D,$A:$A,$A264,$B:$B,"&lt;&gt;Patrícia Karla de Sousa Araújo",$B:$B,"&lt;&gt;Lorena Dias de Araujo",$B:$B,"&lt;&gt;Lucas Luiz Romero")*(35/1083),IF(C264="Técnico II",SUMIFS($D:$D,$A:$A,$A264,$B:$B,"&lt;&gt;Patrícia Karla de Sousa Araújo",$B:$B,"&lt;&gt;Lorena Dias de Araujo",$B:$B,"&lt;&gt;Lucas Luiz Romero")*(28/1083),IF(C264="Técnico I",SUMIFS($D:$D,$A:$A,$A264,$B:$B,"&lt;&gt;Patrícia Karla de Sousa Araújo",$B:$B,"&lt;&gt;Lorena Dias de Araujo",$B:$B,"&lt;&gt;Lucas Luiz Romero")*(23/1083),IF(C264="JR",SUMIFS($D:$D,$A:$A,$A264,$B:$B,"&lt;&gt;Patrícia Karla de Sousa Araújo",$B:$B,"&lt;&gt;Lorena Dias de Araujo",$B:$B,"&lt;&gt;Lucas Luiz Romero")*(20/1083),IF(C264="Estágio",SUMIFS($D:$D,$A:$A,$A264,$B:$B,"&lt;&gt;Patrícia Karla de Sousa Araújo",$B:$B,"&lt;&gt;Lorena Dias de Araujo",$B:$B,"&lt;&gt;Lucas Luiz Romero")*(10/1083),0)))))),0)</f>
        <v>22</v>
      </c>
      <c r="K264" s="3">
        <f>I264-J264</f>
        <v>2</v>
      </c>
      <c r="L264" s="3" t="str">
        <f>IF(K264&lt;-5,"CRÍTICO",IF(K264&lt;0,"ATENÇÃO",IF(K264&lt;=5,"OPORTUNO","MUITO BOM")))</f>
        <v>OPORTUNO</v>
      </c>
      <c r="M264" s="3">
        <v>22</v>
      </c>
      <c r="N264" s="3">
        <v>99.32</v>
      </c>
      <c r="O264" s="3">
        <v>30.648330058939099</v>
      </c>
    </row>
    <row r="265" spans="1:15" hidden="1" x14ac:dyDescent="0.25">
      <c r="A265" s="11">
        <v>46140</v>
      </c>
      <c r="B265" t="s">
        <v>60</v>
      </c>
      <c r="C265" s="15" t="s">
        <v>23</v>
      </c>
      <c r="D265" s="3">
        <v>27</v>
      </c>
      <c r="E265" s="3">
        <v>26</v>
      </c>
      <c r="F265" s="3">
        <v>15.4</v>
      </c>
      <c r="G265" s="3">
        <v>0</v>
      </c>
      <c r="H265" s="3">
        <v>0</v>
      </c>
      <c r="I265" s="3">
        <f>E265+G265+H265</f>
        <v>26</v>
      </c>
      <c r="J265" s="3">
        <f>ROUND(MIN(IF(C265="Técnico III",35,IF(C265="Técnico II",28,IF(C265="Técnico I",23,IF(C265="JR",20,IF(C265="Estágio",10,0))))),IF(C265="Técnico III",SUMIFS($D:$D,$A:$A,$A265,$B:$B,"&lt;&gt;Patrícia Karla de Sousa Araújo",$B:$B,"&lt;&gt;Lorena Dias de Araujo",$B:$B,"&lt;&gt;Lucas Luiz Romero")*(35/1083),IF(C265="Técnico II",SUMIFS($D:$D,$A:$A,$A265,$B:$B,"&lt;&gt;Patrícia Karla de Sousa Araújo",$B:$B,"&lt;&gt;Lorena Dias de Araujo",$B:$B,"&lt;&gt;Lucas Luiz Romero")*(28/1083),IF(C265="Técnico I",SUMIFS($D:$D,$A:$A,$A265,$B:$B,"&lt;&gt;Patrícia Karla de Sousa Araújo",$B:$B,"&lt;&gt;Lorena Dias de Araujo",$B:$B,"&lt;&gt;Lucas Luiz Romero")*(23/1083),IF(C265="JR",SUMIFS($D:$D,$A:$A,$A265,$B:$B,"&lt;&gt;Patrícia Karla de Sousa Araújo",$B:$B,"&lt;&gt;Lorena Dias de Araujo",$B:$B,"&lt;&gt;Lucas Luiz Romero")*(20/1083),IF(C265="Estágio",SUMIFS($D:$D,$A:$A,$A265,$B:$B,"&lt;&gt;Patrícia Karla de Sousa Araújo",$B:$B,"&lt;&gt;Lorena Dias de Araujo",$B:$B,"&lt;&gt;Lucas Luiz Romero")*(10/1083),0)))))),0)</f>
        <v>22</v>
      </c>
      <c r="K265" s="3">
        <f>I265-J265</f>
        <v>4</v>
      </c>
      <c r="L265" s="3" t="str">
        <f>IF(K265&lt;-5,"CRÍTICO",IF(K265&lt;0,"ATENÇÃO",IF(K265&lt;=5,"OPORTUNO","MUITO BOM")))</f>
        <v>OPORTUNO</v>
      </c>
      <c r="M265" s="3">
        <v>25</v>
      </c>
      <c r="N265" s="3">
        <v>96.3</v>
      </c>
      <c r="O265" s="3">
        <v>32.219570405727922</v>
      </c>
    </row>
    <row r="266" spans="1:15" hidden="1" x14ac:dyDescent="0.25">
      <c r="A266" s="11">
        <v>46140</v>
      </c>
      <c r="B266" t="s">
        <v>61</v>
      </c>
      <c r="C266" s="15" t="s">
        <v>23</v>
      </c>
      <c r="D266" s="3">
        <v>17</v>
      </c>
      <c r="E266" s="3">
        <v>17</v>
      </c>
      <c r="F266" s="3">
        <v>17.23</v>
      </c>
      <c r="G266" s="3">
        <v>0</v>
      </c>
      <c r="H266" s="3">
        <v>0</v>
      </c>
      <c r="I266" s="3">
        <f>E266+G266+H266</f>
        <v>17</v>
      </c>
      <c r="J266" s="3">
        <f>ROUND(MIN(IF(C266="Técnico III",35,IF(C266="Técnico II",28,IF(C266="Técnico I",23,IF(C266="JR",20,IF(C266="Estágio",10,0))))),IF(C266="Técnico III",SUMIFS($D:$D,$A:$A,$A266,$B:$B,"&lt;&gt;Patrícia Karla de Sousa Araújo",$B:$B,"&lt;&gt;Lorena Dias de Araujo",$B:$B,"&lt;&gt;Lucas Luiz Romero")*(35/1083),IF(C266="Técnico II",SUMIFS($D:$D,$A:$A,$A266,$B:$B,"&lt;&gt;Patrícia Karla de Sousa Araújo",$B:$B,"&lt;&gt;Lorena Dias de Araujo",$B:$B,"&lt;&gt;Lucas Luiz Romero")*(28/1083),IF(C266="Técnico I",SUMIFS($D:$D,$A:$A,$A266,$B:$B,"&lt;&gt;Patrícia Karla de Sousa Araújo",$B:$B,"&lt;&gt;Lorena Dias de Araujo",$B:$B,"&lt;&gt;Lucas Luiz Romero")*(23/1083),IF(C266="JR",SUMIFS($D:$D,$A:$A,$A266,$B:$B,"&lt;&gt;Patrícia Karla de Sousa Araújo",$B:$B,"&lt;&gt;Lorena Dias de Araujo",$B:$B,"&lt;&gt;Lucas Luiz Romero")*(20/1083),IF(C266="Estágio",SUMIFS($D:$D,$A:$A,$A266,$B:$B,"&lt;&gt;Patrícia Karla de Sousa Araújo",$B:$B,"&lt;&gt;Lorena Dias de Araujo",$B:$B,"&lt;&gt;Lucas Luiz Romero")*(10/1083),0)))))),0)</f>
        <v>22</v>
      </c>
      <c r="K266" s="3">
        <f>I266-J266</f>
        <v>-5</v>
      </c>
      <c r="L266" s="3" t="str">
        <f>IF(K266&lt;-5,"CRÍTICO",IF(K266&lt;0,"ATENÇÃO",IF(K266&lt;=5,"OPORTUNO","MUITO BOM")))</f>
        <v>ATENÇÃO</v>
      </c>
      <c r="M266" s="3">
        <v>15</v>
      </c>
      <c r="N266" s="3">
        <v>100</v>
      </c>
      <c r="O266" s="3">
        <v>36.594202898550733</v>
      </c>
    </row>
    <row r="267" spans="1:15" hidden="1" x14ac:dyDescent="0.25">
      <c r="A267" s="11">
        <v>46140</v>
      </c>
      <c r="B267" t="s">
        <v>22</v>
      </c>
      <c r="C267" s="15" t="s">
        <v>23</v>
      </c>
      <c r="D267" s="3">
        <v>9</v>
      </c>
      <c r="E267" s="3">
        <v>5</v>
      </c>
      <c r="F267" s="3">
        <v>10.29</v>
      </c>
      <c r="G267" s="3">
        <v>0</v>
      </c>
      <c r="H267" s="3">
        <v>0</v>
      </c>
      <c r="I267" s="3">
        <f>E267+G267+H267</f>
        <v>5</v>
      </c>
      <c r="J267" s="3">
        <f>ROUND(MIN(IF(C267="Técnico III",35,IF(C267="Técnico II",28,IF(C267="Técnico I",23,IF(C267="JR",20,IF(C267="Estágio",10,0))))),IF(C267="Técnico III",SUMIFS($D:$D,$A:$A,$A267,$B:$B,"&lt;&gt;Patrícia Karla de Sousa Araújo",$B:$B,"&lt;&gt;Lorena Dias de Araujo",$B:$B,"&lt;&gt;Lucas Luiz Romero")*(35/1083),IF(C267="Técnico II",SUMIFS($D:$D,$A:$A,$A267,$B:$B,"&lt;&gt;Patrícia Karla de Sousa Araújo",$B:$B,"&lt;&gt;Lorena Dias de Araujo",$B:$B,"&lt;&gt;Lucas Luiz Romero")*(28/1083),IF(C267="Técnico I",SUMIFS($D:$D,$A:$A,$A267,$B:$B,"&lt;&gt;Patrícia Karla de Sousa Araújo",$B:$B,"&lt;&gt;Lorena Dias de Araujo",$B:$B,"&lt;&gt;Lucas Luiz Romero")*(23/1083),IF(C267="JR",SUMIFS($D:$D,$A:$A,$A267,$B:$B,"&lt;&gt;Patrícia Karla de Sousa Araújo",$B:$B,"&lt;&gt;Lorena Dias de Araujo",$B:$B,"&lt;&gt;Lucas Luiz Romero")*(20/1083),IF(C267="Estágio",SUMIFS($D:$D,$A:$A,$A267,$B:$B,"&lt;&gt;Patrícia Karla de Sousa Araújo",$B:$B,"&lt;&gt;Lorena Dias de Araujo",$B:$B,"&lt;&gt;Lucas Luiz Romero")*(10/1083),0)))))),0)</f>
        <v>22</v>
      </c>
      <c r="K267" s="3">
        <f>I267-J267</f>
        <v>-17</v>
      </c>
      <c r="L267" s="3" t="str">
        <f>IF(K267&lt;-5,"CRÍTICO",IF(K267&lt;0,"ATENÇÃO",IF(K267&lt;=5,"OPORTUNO","MUITO BOM")))</f>
        <v>CRÍTICO</v>
      </c>
      <c r="M267" s="3">
        <v>39</v>
      </c>
      <c r="N267" s="3">
        <v>99.28</v>
      </c>
      <c r="O267" s="3">
        <v>27.689243027888441</v>
      </c>
    </row>
    <row r="268" spans="1:15" hidden="1" x14ac:dyDescent="0.25">
      <c r="A268" s="11">
        <v>46140</v>
      </c>
      <c r="B268" t="s">
        <v>62</v>
      </c>
      <c r="C268" s="15" t="s">
        <v>23</v>
      </c>
      <c r="D268" s="3">
        <v>20</v>
      </c>
      <c r="E268" s="3">
        <v>19</v>
      </c>
      <c r="F268" s="3">
        <v>20.09</v>
      </c>
      <c r="G268" s="3">
        <v>0</v>
      </c>
      <c r="H268" s="3">
        <v>0</v>
      </c>
      <c r="I268" s="3">
        <f>E268+G268+H268</f>
        <v>19</v>
      </c>
      <c r="J268" s="3">
        <f>ROUND(MIN(IF(C268="Técnico III",35,IF(C268="Técnico II",28,IF(C268="Técnico I",23,IF(C268="JR",20,IF(C268="Estágio",10,0))))),IF(C268="Técnico III",SUMIFS($D:$D,$A:$A,$A268,$B:$B,"&lt;&gt;Patrícia Karla de Sousa Araújo",$B:$B,"&lt;&gt;Lorena Dias de Araujo",$B:$B,"&lt;&gt;Lucas Luiz Romero")*(35/1083),IF(C268="Técnico II",SUMIFS($D:$D,$A:$A,$A268,$B:$B,"&lt;&gt;Patrícia Karla de Sousa Araújo",$B:$B,"&lt;&gt;Lorena Dias de Araujo",$B:$B,"&lt;&gt;Lucas Luiz Romero")*(28/1083),IF(C268="Técnico I",SUMIFS($D:$D,$A:$A,$A268,$B:$B,"&lt;&gt;Patrícia Karla de Sousa Araújo",$B:$B,"&lt;&gt;Lorena Dias de Araujo",$B:$B,"&lt;&gt;Lucas Luiz Romero")*(23/1083),IF(C268="JR",SUMIFS($D:$D,$A:$A,$A268,$B:$B,"&lt;&gt;Patrícia Karla de Sousa Araújo",$B:$B,"&lt;&gt;Lorena Dias de Araujo",$B:$B,"&lt;&gt;Lucas Luiz Romero")*(20/1083),IF(C268="Estágio",SUMIFS($D:$D,$A:$A,$A268,$B:$B,"&lt;&gt;Patrícia Karla de Sousa Araújo",$B:$B,"&lt;&gt;Lorena Dias de Araujo",$B:$B,"&lt;&gt;Lucas Luiz Romero")*(10/1083),0)))))),0)</f>
        <v>22</v>
      </c>
      <c r="K268" s="3">
        <f>I268-J268</f>
        <v>-3</v>
      </c>
      <c r="L268" s="3" t="str">
        <f>IF(K268&lt;-5,"CRÍTICO",IF(K268&lt;0,"ATENÇÃO",IF(K268&lt;=5,"OPORTUNO","MUITO BOM")))</f>
        <v>ATENÇÃO</v>
      </c>
      <c r="M268" s="3">
        <v>18</v>
      </c>
      <c r="N268" s="3">
        <v>97.37</v>
      </c>
      <c r="O268" s="3">
        <v>25.76530612244898</v>
      </c>
    </row>
    <row r="269" spans="1:15" hidden="1" x14ac:dyDescent="0.25">
      <c r="A269" s="11">
        <v>46140</v>
      </c>
      <c r="B269" t="s">
        <v>63</v>
      </c>
      <c r="C269" s="15" t="s">
        <v>23</v>
      </c>
      <c r="D269" s="3">
        <v>36</v>
      </c>
      <c r="E269" s="3">
        <v>30</v>
      </c>
      <c r="F269" s="3">
        <v>13.43</v>
      </c>
      <c r="G269" s="3">
        <v>0</v>
      </c>
      <c r="H269" s="3">
        <v>0</v>
      </c>
      <c r="I269" s="3">
        <f>E269+G269+H269</f>
        <v>30</v>
      </c>
      <c r="J269" s="3">
        <f>ROUND(MIN(IF(C269="Técnico III",35,IF(C269="Técnico II",28,IF(C269="Técnico I",23,IF(C269="JR",20,IF(C269="Estágio",10,0))))),IF(C269="Técnico III",SUMIFS($D:$D,$A:$A,$A269,$B:$B,"&lt;&gt;Patrícia Karla de Sousa Araújo",$B:$B,"&lt;&gt;Lorena Dias de Araujo",$B:$B,"&lt;&gt;Lucas Luiz Romero")*(35/1083),IF(C269="Técnico II",SUMIFS($D:$D,$A:$A,$A269,$B:$B,"&lt;&gt;Patrícia Karla de Sousa Araújo",$B:$B,"&lt;&gt;Lorena Dias de Araujo",$B:$B,"&lt;&gt;Lucas Luiz Romero")*(28/1083),IF(C269="Técnico I",SUMIFS($D:$D,$A:$A,$A269,$B:$B,"&lt;&gt;Patrícia Karla de Sousa Araújo",$B:$B,"&lt;&gt;Lorena Dias de Araujo",$B:$B,"&lt;&gt;Lucas Luiz Romero")*(23/1083),IF(C269="JR",SUMIFS($D:$D,$A:$A,$A269,$B:$B,"&lt;&gt;Patrícia Karla de Sousa Araújo",$B:$B,"&lt;&gt;Lorena Dias de Araujo",$B:$B,"&lt;&gt;Lucas Luiz Romero")*(20/1083),IF(C269="Estágio",SUMIFS($D:$D,$A:$A,$A269,$B:$B,"&lt;&gt;Patrícia Karla de Sousa Araújo",$B:$B,"&lt;&gt;Lorena Dias de Araujo",$B:$B,"&lt;&gt;Lucas Luiz Romero")*(10/1083),0)))))),0)</f>
        <v>22</v>
      </c>
      <c r="K269" s="3">
        <f>I269-J269</f>
        <v>8</v>
      </c>
      <c r="L269" s="3" t="str">
        <f>IF(K269&lt;-5,"CRÍTICO",IF(K269&lt;0,"ATENÇÃO",IF(K269&lt;=5,"OPORTUNO","MUITO BOM")))</f>
        <v>MUITO BOM</v>
      </c>
      <c r="M269" s="3">
        <v>26</v>
      </c>
      <c r="N269" s="3">
        <v>98.32</v>
      </c>
      <c r="O269" s="3">
        <v>26.858513189448441</v>
      </c>
    </row>
    <row r="270" spans="1:15" hidden="1" x14ac:dyDescent="0.25">
      <c r="A270" s="11">
        <v>46140</v>
      </c>
      <c r="B270" t="s">
        <v>64</v>
      </c>
      <c r="C270" s="15" t="s">
        <v>23</v>
      </c>
      <c r="D270" s="3">
        <v>25</v>
      </c>
      <c r="E270" s="3">
        <v>25</v>
      </c>
      <c r="F270" s="3">
        <v>20.47</v>
      </c>
      <c r="G270" s="3">
        <v>0</v>
      </c>
      <c r="H270" s="3">
        <v>0</v>
      </c>
      <c r="I270" s="3">
        <f>E270+G270+H270</f>
        <v>25</v>
      </c>
      <c r="J270" s="3">
        <f>ROUND(MIN(IF(C270="Técnico III",35,IF(C270="Técnico II",28,IF(C270="Técnico I",23,IF(C270="JR",20,IF(C270="Estágio",10,0))))),IF(C270="Técnico III",SUMIFS($D:$D,$A:$A,$A270,$B:$B,"&lt;&gt;Patrícia Karla de Sousa Araújo",$B:$B,"&lt;&gt;Lorena Dias de Araujo",$B:$B,"&lt;&gt;Lucas Luiz Romero")*(35/1083),IF(C270="Técnico II",SUMIFS($D:$D,$A:$A,$A270,$B:$B,"&lt;&gt;Patrícia Karla de Sousa Araújo",$B:$B,"&lt;&gt;Lorena Dias de Araujo",$B:$B,"&lt;&gt;Lucas Luiz Romero")*(28/1083),IF(C270="Técnico I",SUMIFS($D:$D,$A:$A,$A270,$B:$B,"&lt;&gt;Patrícia Karla de Sousa Araújo",$B:$B,"&lt;&gt;Lorena Dias de Araujo",$B:$B,"&lt;&gt;Lucas Luiz Romero")*(23/1083),IF(C270="JR",SUMIFS($D:$D,$A:$A,$A270,$B:$B,"&lt;&gt;Patrícia Karla de Sousa Araújo",$B:$B,"&lt;&gt;Lorena Dias de Araujo",$B:$B,"&lt;&gt;Lucas Luiz Romero")*(20/1083),IF(C270="Estágio",SUMIFS($D:$D,$A:$A,$A270,$B:$B,"&lt;&gt;Patrícia Karla de Sousa Araújo",$B:$B,"&lt;&gt;Lorena Dias de Araujo",$B:$B,"&lt;&gt;Lucas Luiz Romero")*(10/1083),0)))))),0)</f>
        <v>22</v>
      </c>
      <c r="K270" s="3">
        <f>I270-J270</f>
        <v>3</v>
      </c>
      <c r="L270" s="3" t="str">
        <f>IF(K270&lt;-5,"CRÍTICO",IF(K270&lt;0,"ATENÇÃO",IF(K270&lt;=5,"OPORTUNO","MUITO BOM")))</f>
        <v>OPORTUNO</v>
      </c>
      <c r="M270" s="3">
        <v>23</v>
      </c>
      <c r="N270" s="3">
        <v>100</v>
      </c>
      <c r="O270" s="3">
        <v>26.36986301369863</v>
      </c>
    </row>
    <row r="271" spans="1:15" hidden="1" x14ac:dyDescent="0.25">
      <c r="A271" s="11">
        <v>46141</v>
      </c>
      <c r="B271" t="s">
        <v>31</v>
      </c>
      <c r="C271" s="15" t="s">
        <v>32</v>
      </c>
      <c r="D271" s="3">
        <v>0</v>
      </c>
      <c r="E271" s="3">
        <v>0</v>
      </c>
      <c r="F271" s="3">
        <v>0</v>
      </c>
      <c r="G271" s="3">
        <v>0</v>
      </c>
      <c r="H271" s="3">
        <v>0</v>
      </c>
      <c r="I271" s="3">
        <v>0</v>
      </c>
      <c r="J271" s="3">
        <v>0</v>
      </c>
      <c r="K271" s="3">
        <v>0</v>
      </c>
      <c r="L271" s="3" t="str">
        <f>IF(K271&lt;-5,"CRÍTICO",IF(K271&lt;0,"ATENÇÃO",IF(K271&lt;=5,"OPORTUNO","MUITO BOM")))</f>
        <v>OPORTUNO</v>
      </c>
      <c r="M271" s="3">
        <v>0</v>
      </c>
      <c r="N271" s="3">
        <v>98.66</v>
      </c>
      <c r="O271" s="3">
        <v>35.416666666666671</v>
      </c>
    </row>
    <row r="272" spans="1:15" hidden="1" x14ac:dyDescent="0.25">
      <c r="A272" s="11">
        <v>46141</v>
      </c>
      <c r="B272" t="s">
        <v>33</v>
      </c>
      <c r="C272" s="15" t="s">
        <v>32</v>
      </c>
      <c r="D272" s="3">
        <v>0</v>
      </c>
      <c r="E272" s="3">
        <v>0</v>
      </c>
      <c r="F272" s="3">
        <v>0</v>
      </c>
      <c r="G272" s="3">
        <v>0</v>
      </c>
      <c r="H272" s="3">
        <v>0</v>
      </c>
      <c r="I272" s="3">
        <v>0</v>
      </c>
      <c r="J272" s="3">
        <v>0</v>
      </c>
      <c r="K272" s="3">
        <v>0</v>
      </c>
      <c r="L272" s="3" t="str">
        <f>IF(K272&lt;-5,"CRÍTICO",IF(K272&lt;0,"ATENÇÃO",IF(K272&lt;=5,"OPORTUNO","MUITO BOM")))</f>
        <v>OPORTUNO</v>
      </c>
      <c r="M272" s="3">
        <v>0</v>
      </c>
      <c r="N272" s="3">
        <v>100</v>
      </c>
      <c r="O272" s="3">
        <v>27.803738317757009</v>
      </c>
    </row>
    <row r="273" spans="1:15" hidden="1" x14ac:dyDescent="0.25">
      <c r="A273" s="11">
        <v>46141</v>
      </c>
      <c r="B273" t="s">
        <v>34</v>
      </c>
      <c r="C273" s="15" t="s">
        <v>32</v>
      </c>
      <c r="D273" s="3">
        <v>42</v>
      </c>
      <c r="E273" s="3">
        <v>35</v>
      </c>
      <c r="F273" s="3">
        <v>10.130000000000001</v>
      </c>
      <c r="G273" s="3">
        <v>0</v>
      </c>
      <c r="H273" s="3">
        <v>0</v>
      </c>
      <c r="I273" s="3">
        <f>E273+G273+H273</f>
        <v>35</v>
      </c>
      <c r="J273" s="3">
        <f>ROUND(MIN(IF(C273="Técnico III",35,IF(C273="Técnico II",28,IF(C273="Técnico I",23,IF(C273="JR",20,IF(C273="Estágio",10,0))))),IF(C273="Técnico III",SUMIFS($D:$D,$A:$A,$A273,$B:$B,"&lt;&gt;Patrícia Karla de Sousa Araújo",$B:$B,"&lt;&gt;Lorena Dias de Araujo",$B:$B,"&lt;&gt;Lucas Luiz Romero")*(35/1083),IF(C273="Técnico II",SUMIFS($D:$D,$A:$A,$A273,$B:$B,"&lt;&gt;Patrícia Karla de Sousa Araújo",$B:$B,"&lt;&gt;Lorena Dias de Araujo",$B:$B,"&lt;&gt;Lucas Luiz Romero")*(28/1083),IF(C273="Técnico I",SUMIFS($D:$D,$A:$A,$A273,$B:$B,"&lt;&gt;Patrícia Karla de Sousa Araújo",$B:$B,"&lt;&gt;Lorena Dias de Araujo",$B:$B,"&lt;&gt;Lucas Luiz Romero")*(23/1083),IF(C273="JR",SUMIFS($D:$D,$A:$A,$A273,$B:$B,"&lt;&gt;Patrícia Karla de Sousa Araújo",$B:$B,"&lt;&gt;Lorena Dias de Araujo",$B:$B,"&lt;&gt;Lucas Luiz Romero")*(20/1083),IF(C273="Estágio",SUMIFS($D:$D,$A:$A,$A273,$B:$B,"&lt;&gt;Patrícia Karla de Sousa Araújo",$B:$B,"&lt;&gt;Lorena Dias de Araujo",$B:$B,"&lt;&gt;Lucas Luiz Romero")*(10/1083),0)))))),0)</f>
        <v>35</v>
      </c>
      <c r="K273" s="3">
        <f>I273-J273</f>
        <v>0</v>
      </c>
      <c r="L273" s="3" t="str">
        <f>IF(K273&lt;-5,"CRÍTICO",IF(K273&lt;0,"ATENÇÃO",IF(K273&lt;=5,"OPORTUNO","MUITO BOM")))</f>
        <v>OPORTUNO</v>
      </c>
      <c r="M273" s="3">
        <v>39</v>
      </c>
      <c r="N273" s="3">
        <v>93.75</v>
      </c>
      <c r="O273" s="3">
        <v>26.819923371647509</v>
      </c>
    </row>
    <row r="274" spans="1:15" hidden="1" x14ac:dyDescent="0.25">
      <c r="A274" s="11">
        <v>46141</v>
      </c>
      <c r="B274" t="s">
        <v>35</v>
      </c>
      <c r="C274" s="15" t="s">
        <v>32</v>
      </c>
      <c r="D274" s="3">
        <v>33</v>
      </c>
      <c r="E274" s="3">
        <v>31</v>
      </c>
      <c r="F274" s="3">
        <v>20.43</v>
      </c>
      <c r="G274" s="3">
        <v>0</v>
      </c>
      <c r="H274" s="3">
        <v>0</v>
      </c>
      <c r="I274" s="3">
        <f>E274+G274+H274</f>
        <v>31</v>
      </c>
      <c r="J274" s="3">
        <f>ROUND(MIN(IF(C274="Técnico III",35,IF(C274="Técnico II",28,IF(C274="Técnico I",23,IF(C274="JR",20,IF(C274="Estágio",10,0))))),IF(C274="Técnico III",SUMIFS($D:$D,$A:$A,$A274,$B:$B,"&lt;&gt;Patrícia Karla de Sousa Araújo",$B:$B,"&lt;&gt;Lorena Dias de Araujo",$B:$B,"&lt;&gt;Lucas Luiz Romero")*(35/1083),IF(C274="Técnico II",SUMIFS($D:$D,$A:$A,$A274,$B:$B,"&lt;&gt;Patrícia Karla de Sousa Araújo",$B:$B,"&lt;&gt;Lorena Dias de Araujo",$B:$B,"&lt;&gt;Lucas Luiz Romero")*(28/1083),IF(C274="Técnico I",SUMIFS($D:$D,$A:$A,$A274,$B:$B,"&lt;&gt;Patrícia Karla de Sousa Araújo",$B:$B,"&lt;&gt;Lorena Dias de Araujo",$B:$B,"&lt;&gt;Lucas Luiz Romero")*(23/1083),IF(C274="JR",SUMIFS($D:$D,$A:$A,$A274,$B:$B,"&lt;&gt;Patrícia Karla de Sousa Araújo",$B:$B,"&lt;&gt;Lorena Dias de Araujo",$B:$B,"&lt;&gt;Lucas Luiz Romero")*(20/1083),IF(C274="Estágio",SUMIFS($D:$D,$A:$A,$A274,$B:$B,"&lt;&gt;Patrícia Karla de Sousa Araújo",$B:$B,"&lt;&gt;Lorena Dias de Araujo",$B:$B,"&lt;&gt;Lucas Luiz Romero")*(10/1083),0)))))),0)</f>
        <v>35</v>
      </c>
      <c r="K274" s="3">
        <f>I274-J274</f>
        <v>-4</v>
      </c>
      <c r="L274" s="3" t="str">
        <f>IF(K274&lt;-5,"CRÍTICO",IF(K274&lt;0,"ATENÇÃO",IF(K274&lt;=5,"OPORTUNO","MUITO BOM")))</f>
        <v>ATENÇÃO</v>
      </c>
      <c r="M274" s="3">
        <v>33</v>
      </c>
      <c r="N274" s="3">
        <v>100</v>
      </c>
      <c r="O274" s="3">
        <v>38.653846153846153</v>
      </c>
    </row>
    <row r="275" spans="1:15" hidden="1" x14ac:dyDescent="0.25">
      <c r="A275" s="11">
        <v>46141</v>
      </c>
      <c r="B275" t="s">
        <v>36</v>
      </c>
      <c r="C275" s="15" t="s">
        <v>32</v>
      </c>
      <c r="D275" s="3">
        <v>31</v>
      </c>
      <c r="E275" s="3">
        <v>29</v>
      </c>
      <c r="F275" s="3">
        <v>16.579999999999998</v>
      </c>
      <c r="G275" s="3">
        <v>0</v>
      </c>
      <c r="H275" s="3">
        <v>0</v>
      </c>
      <c r="I275" s="3">
        <f>E275+G275+H275</f>
        <v>29</v>
      </c>
      <c r="J275" s="3">
        <f>ROUND(MIN(IF(C275="Técnico III",35,IF(C275="Técnico II",28,IF(C275="Técnico I",23,IF(C275="JR",20,IF(C275="Estágio",10,0))))),IF(C275="Técnico III",SUMIFS($D:$D,$A:$A,$A275,$B:$B,"&lt;&gt;Patrícia Karla de Sousa Araújo",$B:$B,"&lt;&gt;Lorena Dias de Araujo",$B:$B,"&lt;&gt;Lucas Luiz Romero")*(35/1083),IF(C275="Técnico II",SUMIFS($D:$D,$A:$A,$A275,$B:$B,"&lt;&gt;Patrícia Karla de Sousa Araújo",$B:$B,"&lt;&gt;Lorena Dias de Araujo",$B:$B,"&lt;&gt;Lucas Luiz Romero")*(28/1083),IF(C275="Técnico I",SUMIFS($D:$D,$A:$A,$A275,$B:$B,"&lt;&gt;Patrícia Karla de Sousa Araújo",$B:$B,"&lt;&gt;Lorena Dias de Araujo",$B:$B,"&lt;&gt;Lucas Luiz Romero")*(23/1083),IF(C275="JR",SUMIFS($D:$D,$A:$A,$A275,$B:$B,"&lt;&gt;Patrícia Karla de Sousa Araújo",$B:$B,"&lt;&gt;Lorena Dias de Araujo",$B:$B,"&lt;&gt;Lucas Luiz Romero")*(20/1083),IF(C275="Estágio",SUMIFS($D:$D,$A:$A,$A275,$B:$B,"&lt;&gt;Patrícia Karla de Sousa Araújo",$B:$B,"&lt;&gt;Lorena Dias de Araujo",$B:$B,"&lt;&gt;Lucas Luiz Romero")*(10/1083),0)))))),0)</f>
        <v>35</v>
      </c>
      <c r="K275" s="3">
        <f>I275-J275</f>
        <v>-6</v>
      </c>
      <c r="L275" s="3" t="str">
        <f>IF(K275&lt;-5,"CRÍTICO",IF(K275&lt;0,"ATENÇÃO",IF(K275&lt;=5,"OPORTUNO","MUITO BOM")))</f>
        <v>CRÍTICO</v>
      </c>
      <c r="M275" s="3">
        <v>28</v>
      </c>
      <c r="N275" s="3">
        <v>99.26</v>
      </c>
      <c r="O275" s="3">
        <v>29.766536964980549</v>
      </c>
    </row>
    <row r="276" spans="1:15" hidden="1" x14ac:dyDescent="0.25">
      <c r="A276" s="11">
        <v>46141</v>
      </c>
      <c r="B276" t="s">
        <v>37</v>
      </c>
      <c r="C276" s="15" t="s">
        <v>32</v>
      </c>
      <c r="D276" s="3">
        <v>44</v>
      </c>
      <c r="E276" s="3">
        <v>40</v>
      </c>
      <c r="F276" s="3">
        <v>12.14</v>
      </c>
      <c r="G276" s="3">
        <v>0</v>
      </c>
      <c r="H276" s="3">
        <v>0</v>
      </c>
      <c r="I276" s="3">
        <f>E276+G276+H276</f>
        <v>40</v>
      </c>
      <c r="J276" s="3">
        <f>ROUND(MIN(IF(C276="Técnico III",35,IF(C276="Técnico II",28,IF(C276="Técnico I",23,IF(C276="JR",20,IF(C276="Estágio",10,0))))),IF(C276="Técnico III",SUMIFS($D:$D,$A:$A,$A276,$B:$B,"&lt;&gt;Patrícia Karla de Sousa Araújo",$B:$B,"&lt;&gt;Lorena Dias de Araujo",$B:$B,"&lt;&gt;Lucas Luiz Romero")*(35/1083),IF(C276="Técnico II",SUMIFS($D:$D,$A:$A,$A276,$B:$B,"&lt;&gt;Patrícia Karla de Sousa Araújo",$B:$B,"&lt;&gt;Lorena Dias de Araujo",$B:$B,"&lt;&gt;Lucas Luiz Romero")*(28/1083),IF(C276="Técnico I",SUMIFS($D:$D,$A:$A,$A276,$B:$B,"&lt;&gt;Patrícia Karla de Sousa Araújo",$B:$B,"&lt;&gt;Lorena Dias de Araujo",$B:$B,"&lt;&gt;Lucas Luiz Romero")*(23/1083),IF(C276="JR",SUMIFS($D:$D,$A:$A,$A276,$B:$B,"&lt;&gt;Patrícia Karla de Sousa Araújo",$B:$B,"&lt;&gt;Lorena Dias de Araujo",$B:$B,"&lt;&gt;Lucas Luiz Romero")*(20/1083),IF(C276="Estágio",SUMIFS($D:$D,$A:$A,$A276,$B:$B,"&lt;&gt;Patrícia Karla de Sousa Araújo",$B:$B,"&lt;&gt;Lorena Dias de Araujo",$B:$B,"&lt;&gt;Lucas Luiz Romero")*(10/1083),0)))))),0)</f>
        <v>35</v>
      </c>
      <c r="K276" s="3">
        <f>I276-J276</f>
        <v>5</v>
      </c>
      <c r="L276" s="3" t="str">
        <f>IF(K276&lt;-5,"CRÍTICO",IF(K276&lt;0,"ATENÇÃO",IF(K276&lt;=5,"OPORTUNO","MUITO BOM")))</f>
        <v>OPORTUNO</v>
      </c>
      <c r="M276" s="3">
        <v>45</v>
      </c>
      <c r="N276" s="3">
        <v>99.57</v>
      </c>
      <c r="O276" s="3">
        <v>30.635838150289018</v>
      </c>
    </row>
    <row r="277" spans="1:15" hidden="1" x14ac:dyDescent="0.25">
      <c r="A277" s="11">
        <v>46141</v>
      </c>
      <c r="B277" t="s">
        <v>38</v>
      </c>
      <c r="C277" s="15" t="s">
        <v>32</v>
      </c>
      <c r="D277" s="3">
        <v>22</v>
      </c>
      <c r="E277" s="3">
        <v>20</v>
      </c>
      <c r="F277" s="3">
        <v>15.05</v>
      </c>
      <c r="G277" s="3">
        <v>0</v>
      </c>
      <c r="H277" s="3">
        <v>0</v>
      </c>
      <c r="I277" s="3">
        <f>E277+G277+H277</f>
        <v>20</v>
      </c>
      <c r="J277" s="3">
        <f>ROUND(MIN(IF(C277="Técnico III",35,IF(C277="Técnico II",28,IF(C277="Técnico I",23,IF(C277="JR",20,IF(C277="Estágio",10,0))))),IF(C277="Técnico III",SUMIFS($D:$D,$A:$A,$A277,$B:$B,"&lt;&gt;Patrícia Karla de Sousa Araújo",$B:$B,"&lt;&gt;Lorena Dias de Araujo",$B:$B,"&lt;&gt;Lucas Luiz Romero")*(35/1083),IF(C277="Técnico II",SUMIFS($D:$D,$A:$A,$A277,$B:$B,"&lt;&gt;Patrícia Karla de Sousa Araújo",$B:$B,"&lt;&gt;Lorena Dias de Araujo",$B:$B,"&lt;&gt;Lucas Luiz Romero")*(28/1083),IF(C277="Técnico I",SUMIFS($D:$D,$A:$A,$A277,$B:$B,"&lt;&gt;Patrícia Karla de Sousa Araújo",$B:$B,"&lt;&gt;Lorena Dias de Araujo",$B:$B,"&lt;&gt;Lucas Luiz Romero")*(23/1083),IF(C277="JR",SUMIFS($D:$D,$A:$A,$A277,$B:$B,"&lt;&gt;Patrícia Karla de Sousa Araújo",$B:$B,"&lt;&gt;Lorena Dias de Araujo",$B:$B,"&lt;&gt;Lucas Luiz Romero")*(20/1083),IF(C277="Estágio",SUMIFS($D:$D,$A:$A,$A277,$B:$B,"&lt;&gt;Patrícia Karla de Sousa Araújo",$B:$B,"&lt;&gt;Lorena Dias de Araujo",$B:$B,"&lt;&gt;Lucas Luiz Romero")*(10/1083),0)))))),0)</f>
        <v>35</v>
      </c>
      <c r="K277" s="3">
        <f>I277-J277</f>
        <v>-15</v>
      </c>
      <c r="L277" s="3" t="str">
        <f>IF(K277&lt;-5,"CRÍTICO",IF(K277&lt;0,"ATENÇÃO",IF(K277&lt;=5,"OPORTUNO","MUITO BOM")))</f>
        <v>CRÍTICO</v>
      </c>
      <c r="M277" s="3">
        <v>19</v>
      </c>
      <c r="N277" s="3">
        <v>95.65</v>
      </c>
      <c r="O277" s="3">
        <v>32.432432432432442</v>
      </c>
    </row>
    <row r="278" spans="1:15" hidden="1" x14ac:dyDescent="0.25">
      <c r="A278" s="11">
        <v>46141</v>
      </c>
      <c r="B278" t="s">
        <v>39</v>
      </c>
      <c r="C278" s="15" t="s">
        <v>32</v>
      </c>
      <c r="D278" s="3">
        <v>0</v>
      </c>
      <c r="E278" s="3">
        <v>0</v>
      </c>
      <c r="F278" s="3">
        <v>0</v>
      </c>
      <c r="G278" s="3">
        <v>0</v>
      </c>
      <c r="H278" s="3">
        <v>0</v>
      </c>
      <c r="I278" s="3">
        <f>E278+G278+H278</f>
        <v>0</v>
      </c>
      <c r="J278" s="3">
        <f>ROUND(MIN(IF(C278="Técnico III",35,IF(C278="Técnico II",28,IF(C278="Técnico I",23,IF(C278="JR",20,IF(C278="Estágio",10,0))))),IF(C278="Técnico III",SUMIFS($D:$D,$A:$A,$A278,$B:$B,"&lt;&gt;Patrícia Karla de Sousa Araújo",$B:$B,"&lt;&gt;Lorena Dias de Araujo",$B:$B,"&lt;&gt;Lucas Luiz Romero")*(35/1083),IF(C278="Técnico II",SUMIFS($D:$D,$A:$A,$A278,$B:$B,"&lt;&gt;Patrícia Karla de Sousa Araújo",$B:$B,"&lt;&gt;Lorena Dias de Araujo",$B:$B,"&lt;&gt;Lucas Luiz Romero")*(28/1083),IF(C278="Técnico I",SUMIFS($D:$D,$A:$A,$A278,$B:$B,"&lt;&gt;Patrícia Karla de Sousa Araújo",$B:$B,"&lt;&gt;Lorena Dias de Araujo",$B:$B,"&lt;&gt;Lucas Luiz Romero")*(23/1083),IF(C278="JR",SUMIFS($D:$D,$A:$A,$A278,$B:$B,"&lt;&gt;Patrícia Karla de Sousa Araújo",$B:$B,"&lt;&gt;Lorena Dias de Araujo",$B:$B,"&lt;&gt;Lucas Luiz Romero")*(20/1083),IF(C278="Estágio",SUMIFS($D:$D,$A:$A,$A278,$B:$B,"&lt;&gt;Patrícia Karla de Sousa Araújo",$B:$B,"&lt;&gt;Lorena Dias de Araujo",$B:$B,"&lt;&gt;Lucas Luiz Romero")*(10/1083),0)))))),0)</f>
        <v>35</v>
      </c>
      <c r="K278" s="3">
        <f>I278-J278</f>
        <v>-35</v>
      </c>
      <c r="L278" s="3" t="str">
        <f>IF(K278&lt;-5,"CRÍTICO",IF(K278&lt;0,"ATENÇÃO",IF(K278&lt;=5,"OPORTUNO","MUITO BOM")))</f>
        <v>CRÍTICO</v>
      </c>
      <c r="M278" s="3">
        <v>0</v>
      </c>
      <c r="N278" s="3">
        <v>0</v>
      </c>
      <c r="O278" s="3">
        <v>0</v>
      </c>
    </row>
    <row r="279" spans="1:15" hidden="1" x14ac:dyDescent="0.25">
      <c r="A279" s="11">
        <v>46141</v>
      </c>
      <c r="B279" t="s">
        <v>40</v>
      </c>
      <c r="C279" s="15" t="s">
        <v>32</v>
      </c>
      <c r="D279" s="3">
        <v>0</v>
      </c>
      <c r="E279" s="3">
        <v>0</v>
      </c>
      <c r="F279" s="3">
        <v>0</v>
      </c>
      <c r="G279" s="3">
        <v>0</v>
      </c>
      <c r="H279" s="3">
        <v>0</v>
      </c>
      <c r="I279" s="3">
        <f>E279+G279+H279</f>
        <v>0</v>
      </c>
      <c r="J279" s="3">
        <f>ROUND(MIN(IF(C279="Técnico III",35,IF(C279="Técnico II",28,IF(C279="Técnico I",23,IF(C279="JR",20,IF(C279="Estágio",10,0))))),IF(C279="Técnico III",SUMIFS($D:$D,$A:$A,$A279,$B:$B,"&lt;&gt;Patrícia Karla de Sousa Araújo",$B:$B,"&lt;&gt;Lorena Dias de Araujo",$B:$B,"&lt;&gt;Lucas Luiz Romero")*(35/1083),IF(C279="Técnico II",SUMIFS($D:$D,$A:$A,$A279,$B:$B,"&lt;&gt;Patrícia Karla de Sousa Araújo",$B:$B,"&lt;&gt;Lorena Dias de Araujo",$B:$B,"&lt;&gt;Lucas Luiz Romero")*(28/1083),IF(C279="Técnico I",SUMIFS($D:$D,$A:$A,$A279,$B:$B,"&lt;&gt;Patrícia Karla de Sousa Araújo",$B:$B,"&lt;&gt;Lorena Dias de Araujo",$B:$B,"&lt;&gt;Lucas Luiz Romero")*(23/1083),IF(C279="JR",SUMIFS($D:$D,$A:$A,$A279,$B:$B,"&lt;&gt;Patrícia Karla de Sousa Araújo",$B:$B,"&lt;&gt;Lorena Dias de Araujo",$B:$B,"&lt;&gt;Lucas Luiz Romero")*(20/1083),IF(C279="Estágio",SUMIFS($D:$D,$A:$A,$A279,$B:$B,"&lt;&gt;Patrícia Karla de Sousa Araújo",$B:$B,"&lt;&gt;Lorena Dias de Araujo",$B:$B,"&lt;&gt;Lucas Luiz Romero")*(10/1083),0)))))),0)</f>
        <v>35</v>
      </c>
      <c r="K279" s="3">
        <f>I279-J279</f>
        <v>-35</v>
      </c>
      <c r="L279" s="3" t="str">
        <f>IF(K279&lt;-5,"CRÍTICO",IF(K279&lt;0,"ATENÇÃO",IF(K279&lt;=5,"OPORTUNO","MUITO BOM")))</f>
        <v>CRÍTICO</v>
      </c>
      <c r="M279" s="3">
        <v>34</v>
      </c>
      <c r="N279" s="3">
        <v>96.81</v>
      </c>
      <c r="O279" s="3">
        <v>48.018648018648022</v>
      </c>
    </row>
    <row r="280" spans="1:15" hidden="1" x14ac:dyDescent="0.25">
      <c r="A280" s="11">
        <v>46141</v>
      </c>
      <c r="B280" t="s">
        <v>41</v>
      </c>
      <c r="C280" s="15" t="s">
        <v>32</v>
      </c>
      <c r="D280" s="3">
        <v>32</v>
      </c>
      <c r="E280" s="3">
        <v>26</v>
      </c>
      <c r="F280" s="3">
        <v>12.16</v>
      </c>
      <c r="G280" s="3">
        <v>0</v>
      </c>
      <c r="H280" s="3">
        <v>0</v>
      </c>
      <c r="I280" s="3">
        <f>E280+G280+H280</f>
        <v>26</v>
      </c>
      <c r="J280" s="3">
        <f>ROUND(MIN(IF(C280="Técnico III",35,IF(C280="Técnico II",28,IF(C280="Técnico I",23,IF(C280="JR",20,IF(C280="Estágio",10,0))))),IF(C280="Técnico III",SUMIFS($D:$D,$A:$A,$A280,$B:$B,"&lt;&gt;Patrícia Karla de Sousa Araújo",$B:$B,"&lt;&gt;Lorena Dias de Araujo",$B:$B,"&lt;&gt;Lucas Luiz Romero")*(35/1083),IF(C280="Técnico II",SUMIFS($D:$D,$A:$A,$A280,$B:$B,"&lt;&gt;Patrícia Karla de Sousa Araújo",$B:$B,"&lt;&gt;Lorena Dias de Araujo",$B:$B,"&lt;&gt;Lucas Luiz Romero")*(28/1083),IF(C280="Técnico I",SUMIFS($D:$D,$A:$A,$A280,$B:$B,"&lt;&gt;Patrícia Karla de Sousa Araújo",$B:$B,"&lt;&gt;Lorena Dias de Araujo",$B:$B,"&lt;&gt;Lucas Luiz Romero")*(23/1083),IF(C280="JR",SUMIFS($D:$D,$A:$A,$A280,$B:$B,"&lt;&gt;Patrícia Karla de Sousa Araújo",$B:$B,"&lt;&gt;Lorena Dias de Araujo",$B:$B,"&lt;&gt;Lucas Luiz Romero")*(20/1083),IF(C280="Estágio",SUMIFS($D:$D,$A:$A,$A280,$B:$B,"&lt;&gt;Patrícia Karla de Sousa Araújo",$B:$B,"&lt;&gt;Lorena Dias de Araujo",$B:$B,"&lt;&gt;Lucas Luiz Romero")*(10/1083),0)))))),0)</f>
        <v>35</v>
      </c>
      <c r="K280" s="3">
        <f>I280-J280</f>
        <v>-9</v>
      </c>
      <c r="L280" s="3" t="str">
        <f>IF(K280&lt;-5,"CRÍTICO",IF(K280&lt;0,"ATENÇÃO",IF(K280&lt;=5,"OPORTUNO","MUITO BOM")))</f>
        <v>CRÍTICO</v>
      </c>
      <c r="M280" s="3">
        <v>27</v>
      </c>
      <c r="N280" s="3">
        <v>99.15</v>
      </c>
      <c r="O280" s="3">
        <v>27.586206896551719</v>
      </c>
    </row>
    <row r="281" spans="1:15" hidden="1" x14ac:dyDescent="0.25">
      <c r="A281" s="11">
        <v>46141</v>
      </c>
      <c r="B281" t="s">
        <v>42</v>
      </c>
      <c r="C281" s="15" t="s">
        <v>32</v>
      </c>
      <c r="D281" s="3">
        <v>0</v>
      </c>
      <c r="E281" s="3">
        <v>0</v>
      </c>
      <c r="F281" s="3">
        <v>0</v>
      </c>
      <c r="G281" s="3">
        <v>0</v>
      </c>
      <c r="H281" s="3">
        <v>0</v>
      </c>
      <c r="I281" s="3">
        <f>E281+G281+H281</f>
        <v>0</v>
      </c>
      <c r="J281" s="3">
        <f>ROUND(MIN(IF(C281="Técnico III",35,IF(C281="Técnico II",28,IF(C281="Técnico I",23,IF(C281="JR",20,IF(C281="Estágio",10,0))))),IF(C281="Técnico III",SUMIFS($D:$D,$A:$A,$A281,$B:$B,"&lt;&gt;Patrícia Karla de Sousa Araújo",$B:$B,"&lt;&gt;Lorena Dias de Araujo",$B:$B,"&lt;&gt;Lucas Luiz Romero")*(35/1083),IF(C281="Técnico II",SUMIFS($D:$D,$A:$A,$A281,$B:$B,"&lt;&gt;Patrícia Karla de Sousa Araújo",$B:$B,"&lt;&gt;Lorena Dias de Araujo",$B:$B,"&lt;&gt;Lucas Luiz Romero")*(28/1083),IF(C281="Técnico I",SUMIFS($D:$D,$A:$A,$A281,$B:$B,"&lt;&gt;Patrícia Karla de Sousa Araújo",$B:$B,"&lt;&gt;Lorena Dias de Araujo",$B:$B,"&lt;&gt;Lucas Luiz Romero")*(23/1083),IF(C281="JR",SUMIFS($D:$D,$A:$A,$A281,$B:$B,"&lt;&gt;Patrícia Karla de Sousa Araújo",$B:$B,"&lt;&gt;Lorena Dias de Araujo",$B:$B,"&lt;&gt;Lucas Luiz Romero")*(20/1083),IF(C281="Estágio",SUMIFS($D:$D,$A:$A,$A281,$B:$B,"&lt;&gt;Patrícia Karla de Sousa Araújo",$B:$B,"&lt;&gt;Lorena Dias de Araujo",$B:$B,"&lt;&gt;Lucas Luiz Romero")*(10/1083),0)))))),0)</f>
        <v>35</v>
      </c>
      <c r="K281" s="3">
        <f>I281-J281</f>
        <v>-35</v>
      </c>
      <c r="L281" s="3" t="str">
        <f>IF(K281&lt;-5,"CRÍTICO",IF(K281&lt;0,"ATENÇÃO",IF(K281&lt;=5,"OPORTUNO","MUITO BOM")))</f>
        <v>CRÍTICO</v>
      </c>
      <c r="M281" s="3">
        <v>0</v>
      </c>
      <c r="N281" s="3">
        <v>88.68</v>
      </c>
      <c r="O281" s="3">
        <v>22.03389830508474</v>
      </c>
    </row>
    <row r="282" spans="1:15" hidden="1" x14ac:dyDescent="0.25">
      <c r="A282" s="11">
        <v>46035</v>
      </c>
      <c r="B282" t="s">
        <v>22</v>
      </c>
      <c r="C282" t="s">
        <v>23</v>
      </c>
      <c r="D282">
        <v>27</v>
      </c>
      <c r="E282">
        <v>24</v>
      </c>
      <c r="F282">
        <v>16.46</v>
      </c>
      <c r="G282">
        <v>0</v>
      </c>
      <c r="H282">
        <v>0</v>
      </c>
      <c r="I282" s="3">
        <f>E282+G282+H282</f>
        <v>24</v>
      </c>
      <c r="J282" s="3">
        <f>ROUND(MIN(IF(C282="Técnico III",35,IF(C282="Técnico II",28,IF(C282="Técnico I",23,IF(C282="JR",20,IF(C282="Estágio",10,0))))),IF(C282="Técnico III",SUMIFS($D:$D,$A:$A,$A282,$B:$B,"&lt;&gt;Patrícia Karla de Sousa Araújo",$B:$B,"&lt;&gt;Lorena Dias de Araujo",$B:$B,"&lt;&gt;Lucas Luiz Romero")*(35/1083),IF(C282="Técnico II",SUMIFS($D:$D,$A:$A,$A282,$B:$B,"&lt;&gt;Patrícia Karla de Sousa Araújo",$B:$B,"&lt;&gt;Lorena Dias de Araujo",$B:$B,"&lt;&gt;Lucas Luiz Romero")*(28/1083),IF(C282="Técnico I",SUMIFS($D:$D,$A:$A,$A282,$B:$B,"&lt;&gt;Patrícia Karla de Sousa Araújo",$B:$B,"&lt;&gt;Lorena Dias de Araujo",$B:$B,"&lt;&gt;Lucas Luiz Romero")*(23/1083),IF(C282="JR",SUMIFS($D:$D,$A:$A,$A282,$B:$B,"&lt;&gt;Patrícia Karla de Sousa Araújo",$B:$B,"&lt;&gt;Lorena Dias de Araujo",$B:$B,"&lt;&gt;Lucas Luiz Romero")*(20/1083),IF(C282="Estágio",SUMIFS($D:$D,$A:$A,$A282,$B:$B,"&lt;&gt;Patrícia Karla de Sousa Araújo",$B:$B,"&lt;&gt;Lorena Dias de Araujo",$B:$B,"&lt;&gt;Lucas Luiz Romero")*(10/1083),0)))))),0)</f>
        <v>14</v>
      </c>
      <c r="K282" s="3">
        <f>I282-J282</f>
        <v>10</v>
      </c>
      <c r="L282" s="3" t="str">
        <f>IF(K282&lt;-5,"CRÍTICO",IF(K282&lt;0,"ATENÇÃO",IF(K282&lt;=5,"BOM","EXCELENTE")))</f>
        <v>EXCELENTE</v>
      </c>
      <c r="M282">
        <v>22</v>
      </c>
      <c r="N282">
        <v>98.91</v>
      </c>
      <c r="O282">
        <v>31.367292225201069</v>
      </c>
    </row>
    <row r="283" spans="1:15" x14ac:dyDescent="0.25">
      <c r="A283" s="11">
        <v>46141</v>
      </c>
      <c r="B283" t="s">
        <v>43</v>
      </c>
      <c r="C283" s="15" t="s">
        <v>32</v>
      </c>
      <c r="D283" s="3">
        <v>26</v>
      </c>
      <c r="E283" s="3">
        <v>23</v>
      </c>
      <c r="F283" s="3">
        <v>11.5</v>
      </c>
      <c r="G283" s="3">
        <v>0</v>
      </c>
      <c r="H283" s="3">
        <v>0</v>
      </c>
      <c r="I283" s="3">
        <f>E283+G283+H283</f>
        <v>23</v>
      </c>
      <c r="J283" s="3">
        <f>ROUND(MIN(IF(C283="Técnico III",35,IF(C283="Técnico II",28,IF(C283="Técnico I",23,IF(C283="JR",20,IF(C283="Estágio",10,0))))),IF(C283="Técnico III",SUMIFS($D:$D,$A:$A,$A283,$B:$B,"&lt;&gt;Patrícia Karla de Sousa Araújo",$B:$B,"&lt;&gt;Lorena Dias de Araujo",$B:$B,"&lt;&gt;Lucas Luiz Romero")*(35/1083),IF(C283="Técnico II",SUMIFS($D:$D,$A:$A,$A283,$B:$B,"&lt;&gt;Patrícia Karla de Sousa Araújo",$B:$B,"&lt;&gt;Lorena Dias de Araujo",$B:$B,"&lt;&gt;Lucas Luiz Romero")*(28/1083),IF(C283="Técnico I",SUMIFS($D:$D,$A:$A,$A283,$B:$B,"&lt;&gt;Patrícia Karla de Sousa Araújo",$B:$B,"&lt;&gt;Lorena Dias de Araujo",$B:$B,"&lt;&gt;Lucas Luiz Romero")*(23/1083),IF(C283="JR",SUMIFS($D:$D,$A:$A,$A283,$B:$B,"&lt;&gt;Patrícia Karla de Sousa Araújo",$B:$B,"&lt;&gt;Lorena Dias de Araujo",$B:$B,"&lt;&gt;Lucas Luiz Romero")*(20/1083),IF(C283="Estágio",SUMIFS($D:$D,$A:$A,$A283,$B:$B,"&lt;&gt;Patrícia Karla de Sousa Araújo",$B:$B,"&lt;&gt;Lorena Dias de Araujo",$B:$B,"&lt;&gt;Lucas Luiz Romero")*(10/1083),0)))))),0)</f>
        <v>35</v>
      </c>
      <c r="K283" s="3">
        <f>I283-J283</f>
        <v>-12</v>
      </c>
      <c r="L283" s="3" t="str">
        <f>IF(K283&lt;-5,"CRÍTICO",IF(K283&lt;0,"ATENÇÃO",IF(K283&lt;=5,"OPORTUNO","MUITO BOM")))</f>
        <v>CRÍTICO</v>
      </c>
      <c r="M283" s="3">
        <v>33</v>
      </c>
      <c r="N283" s="3">
        <v>100</v>
      </c>
      <c r="O283" s="3">
        <v>23.9870340356564</v>
      </c>
    </row>
    <row r="284" spans="1:15" hidden="1" x14ac:dyDescent="0.25">
      <c r="A284" s="11">
        <v>46141</v>
      </c>
      <c r="B284" t="s">
        <v>44</v>
      </c>
      <c r="C284" s="15" t="s">
        <v>32</v>
      </c>
      <c r="D284" s="3">
        <v>32</v>
      </c>
      <c r="E284" s="3">
        <v>29</v>
      </c>
      <c r="F284" s="3">
        <v>12.35</v>
      </c>
      <c r="G284" s="3">
        <v>0</v>
      </c>
      <c r="H284" s="3">
        <v>0</v>
      </c>
      <c r="I284" s="3">
        <f>E284+G284+H284</f>
        <v>29</v>
      </c>
      <c r="J284" s="3">
        <f>ROUND(MIN(IF(C284="Técnico III",35,IF(C284="Técnico II",28,IF(C284="Técnico I",23,IF(C284="JR",20,IF(C284="Estágio",10,0))))),IF(C284="Técnico III",SUMIFS($D:$D,$A:$A,$A284,$B:$B,"&lt;&gt;Patrícia Karla de Sousa Araújo",$B:$B,"&lt;&gt;Lorena Dias de Araujo",$B:$B,"&lt;&gt;Lucas Luiz Romero")*(35/1083),IF(C284="Técnico II",SUMIFS($D:$D,$A:$A,$A284,$B:$B,"&lt;&gt;Patrícia Karla de Sousa Araújo",$B:$B,"&lt;&gt;Lorena Dias de Araujo",$B:$B,"&lt;&gt;Lucas Luiz Romero")*(28/1083),IF(C284="Técnico I",SUMIFS($D:$D,$A:$A,$A284,$B:$B,"&lt;&gt;Patrícia Karla de Sousa Araújo",$B:$B,"&lt;&gt;Lorena Dias de Araujo",$B:$B,"&lt;&gt;Lucas Luiz Romero")*(23/1083),IF(C284="JR",SUMIFS($D:$D,$A:$A,$A284,$B:$B,"&lt;&gt;Patrícia Karla de Sousa Araújo",$B:$B,"&lt;&gt;Lorena Dias de Araujo",$B:$B,"&lt;&gt;Lucas Luiz Romero")*(20/1083),IF(C284="Estágio",SUMIFS($D:$D,$A:$A,$A284,$B:$B,"&lt;&gt;Patrícia Karla de Sousa Araújo",$B:$B,"&lt;&gt;Lorena Dias de Araujo",$B:$B,"&lt;&gt;Lucas Luiz Romero")*(10/1083),0)))))),0)</f>
        <v>35</v>
      </c>
      <c r="K284" s="3">
        <f>I284-J284</f>
        <v>-6</v>
      </c>
      <c r="L284" s="3" t="str">
        <f>IF(K284&lt;-5,"CRÍTICO",IF(K284&lt;0,"ATENÇÃO",IF(K284&lt;=5,"OPORTUNO","MUITO BOM")))</f>
        <v>CRÍTICO</v>
      </c>
      <c r="M284" s="3">
        <v>27</v>
      </c>
      <c r="N284" s="3">
        <v>95.49</v>
      </c>
      <c r="O284" s="3">
        <v>28.370221327967808</v>
      </c>
    </row>
    <row r="285" spans="1:15" hidden="1" x14ac:dyDescent="0.25">
      <c r="A285" s="11">
        <v>46141</v>
      </c>
      <c r="B285" t="s">
        <v>45</v>
      </c>
      <c r="C285" s="15" t="s">
        <v>32</v>
      </c>
      <c r="D285" s="3">
        <v>52</v>
      </c>
      <c r="E285" s="3">
        <v>48</v>
      </c>
      <c r="F285" s="3">
        <v>10.56</v>
      </c>
      <c r="G285" s="3">
        <v>0</v>
      </c>
      <c r="H285" s="3">
        <v>0</v>
      </c>
      <c r="I285" s="3">
        <f>E285+G285+H285</f>
        <v>48</v>
      </c>
      <c r="J285" s="3">
        <f>ROUND(MIN(IF(C285="Técnico III",35,IF(C285="Técnico II",28,IF(C285="Técnico I",23,IF(C285="JR",20,IF(C285="Estágio",10,0))))),IF(C285="Técnico III",SUMIFS($D:$D,$A:$A,$A285,$B:$B,"&lt;&gt;Patrícia Karla de Sousa Araújo",$B:$B,"&lt;&gt;Lorena Dias de Araujo",$B:$B,"&lt;&gt;Lucas Luiz Romero")*(35/1083),IF(C285="Técnico II",SUMIFS($D:$D,$A:$A,$A285,$B:$B,"&lt;&gt;Patrícia Karla de Sousa Araújo",$B:$B,"&lt;&gt;Lorena Dias de Araujo",$B:$B,"&lt;&gt;Lucas Luiz Romero")*(28/1083),IF(C285="Técnico I",SUMIFS($D:$D,$A:$A,$A285,$B:$B,"&lt;&gt;Patrícia Karla de Sousa Araújo",$B:$B,"&lt;&gt;Lorena Dias de Araujo",$B:$B,"&lt;&gt;Lucas Luiz Romero")*(23/1083),IF(C285="JR",SUMIFS($D:$D,$A:$A,$A285,$B:$B,"&lt;&gt;Patrícia Karla de Sousa Araújo",$B:$B,"&lt;&gt;Lorena Dias de Araujo",$B:$B,"&lt;&gt;Lucas Luiz Romero")*(20/1083),IF(C285="Estágio",SUMIFS($D:$D,$A:$A,$A285,$B:$B,"&lt;&gt;Patrícia Karla de Sousa Araújo",$B:$B,"&lt;&gt;Lorena Dias de Araujo",$B:$B,"&lt;&gt;Lucas Luiz Romero")*(10/1083),0)))))),0)</f>
        <v>35</v>
      </c>
      <c r="K285" s="3">
        <f>I285-J285</f>
        <v>13</v>
      </c>
      <c r="L285" s="3" t="str">
        <f>IF(K285&lt;-5,"CRÍTICO",IF(K285&lt;0,"ATENÇÃO",IF(K285&lt;=5,"OPORTUNO","MUITO BOM")))</f>
        <v>MUITO BOM</v>
      </c>
      <c r="M285" s="3">
        <v>40</v>
      </c>
      <c r="N285" s="3">
        <v>100</v>
      </c>
      <c r="O285" s="3">
        <v>31.135531135531139</v>
      </c>
    </row>
    <row r="286" spans="1:15" hidden="1" x14ac:dyDescent="0.25">
      <c r="A286" s="11">
        <v>46141</v>
      </c>
      <c r="B286" t="s">
        <v>46</v>
      </c>
      <c r="C286" s="15" t="s">
        <v>32</v>
      </c>
      <c r="D286" s="3">
        <v>30</v>
      </c>
      <c r="E286" s="3">
        <v>30</v>
      </c>
      <c r="F286" s="3">
        <v>15</v>
      </c>
      <c r="G286" s="3">
        <v>0</v>
      </c>
      <c r="H286" s="3">
        <v>0</v>
      </c>
      <c r="I286" s="3">
        <f>E286+G286+H286</f>
        <v>30</v>
      </c>
      <c r="J286" s="3">
        <f>ROUND(MIN(IF(C286="Técnico III",35,IF(C286="Técnico II",28,IF(C286="Técnico I",23,IF(C286="JR",20,IF(C286="Estágio",10,0))))),IF(C286="Técnico III",SUMIFS($D:$D,$A:$A,$A286,$B:$B,"&lt;&gt;Patrícia Karla de Sousa Araújo",$B:$B,"&lt;&gt;Lorena Dias de Araujo",$B:$B,"&lt;&gt;Lucas Luiz Romero")*(35/1083),IF(C286="Técnico II",SUMIFS($D:$D,$A:$A,$A286,$B:$B,"&lt;&gt;Patrícia Karla de Sousa Araújo",$B:$B,"&lt;&gt;Lorena Dias de Araujo",$B:$B,"&lt;&gt;Lucas Luiz Romero")*(28/1083),IF(C286="Técnico I",SUMIFS($D:$D,$A:$A,$A286,$B:$B,"&lt;&gt;Patrícia Karla de Sousa Araújo",$B:$B,"&lt;&gt;Lorena Dias de Araujo",$B:$B,"&lt;&gt;Lucas Luiz Romero")*(23/1083),IF(C286="JR",SUMIFS($D:$D,$A:$A,$A286,$B:$B,"&lt;&gt;Patrícia Karla de Sousa Araújo",$B:$B,"&lt;&gt;Lorena Dias de Araujo",$B:$B,"&lt;&gt;Lucas Luiz Romero")*(20/1083),IF(C286="Estágio",SUMIFS($D:$D,$A:$A,$A286,$B:$B,"&lt;&gt;Patrícia Karla de Sousa Araújo",$B:$B,"&lt;&gt;Lorena Dias de Araujo",$B:$B,"&lt;&gt;Lucas Luiz Romero")*(10/1083),0)))))),0)</f>
        <v>35</v>
      </c>
      <c r="K286" s="3">
        <f>I286-J286</f>
        <v>-5</v>
      </c>
      <c r="L286" s="3" t="str">
        <f>IF(K286&lt;-5,"CRÍTICO",IF(K286&lt;0,"ATENÇÃO",IF(K286&lt;=5,"OPORTUNO","MUITO BOM")))</f>
        <v>ATENÇÃO</v>
      </c>
      <c r="M286" s="3">
        <v>28</v>
      </c>
      <c r="N286" s="3">
        <v>99.21</v>
      </c>
      <c r="O286" s="3">
        <v>25.188916876574311</v>
      </c>
    </row>
    <row r="287" spans="1:15" hidden="1" x14ac:dyDescent="0.25">
      <c r="A287" s="13">
        <v>46141</v>
      </c>
      <c r="B287" t="s">
        <v>47</v>
      </c>
      <c r="C287" s="15" t="s">
        <v>48</v>
      </c>
      <c r="D287" s="3">
        <v>43</v>
      </c>
      <c r="E287" s="3">
        <v>35</v>
      </c>
      <c r="F287" s="3">
        <v>10.15</v>
      </c>
      <c r="G287" s="3">
        <v>0</v>
      </c>
      <c r="H287" s="3">
        <v>0</v>
      </c>
      <c r="I287" s="3">
        <f>E287+G287+H287</f>
        <v>35</v>
      </c>
      <c r="J287" s="3">
        <f>ROUND(MIN(IF(C287="Técnico III",35,IF(C287="Técnico II",28,IF(C287="Técnico I",23,IF(C287="JR",20,IF(C287="Estágio",10,0))))),IF(C287="Técnico III",SUMIFS($D:$D,$A:$A,$A287,$B:$B,"&lt;&gt;Patrícia Karla de Sousa Araújo",$B:$B,"&lt;&gt;Lorena Dias de Araujo",$B:$B,"&lt;&gt;Lucas Luiz Romero")*(35/1083),IF(C287="Técnico II",SUMIFS($D:$D,$A:$A,$A287,$B:$B,"&lt;&gt;Patrícia Karla de Sousa Araújo",$B:$B,"&lt;&gt;Lorena Dias de Araujo",$B:$B,"&lt;&gt;Lucas Luiz Romero")*(28/1083),IF(C287="Técnico I",SUMIFS($D:$D,$A:$A,$A287,$B:$B,"&lt;&gt;Patrícia Karla de Sousa Araújo",$B:$B,"&lt;&gt;Lorena Dias de Araujo",$B:$B,"&lt;&gt;Lucas Luiz Romero")*(23/1083),IF(C287="JR",SUMIFS($D:$D,$A:$A,$A287,$B:$B,"&lt;&gt;Patrícia Karla de Sousa Araújo",$B:$B,"&lt;&gt;Lorena Dias de Araujo",$B:$B,"&lt;&gt;Lucas Luiz Romero")*(20/1083),IF(C287="Estágio",SUMIFS($D:$D,$A:$A,$A287,$B:$B,"&lt;&gt;Patrícia Karla de Sousa Araújo",$B:$B,"&lt;&gt;Lorena Dias de Araujo",$B:$B,"&lt;&gt;Lucas Luiz Romero")*(10/1083),0)))))),0)</f>
        <v>28</v>
      </c>
      <c r="K287" s="3">
        <f>I287-J287</f>
        <v>7</v>
      </c>
      <c r="L287" s="3" t="str">
        <f>IF(K287&lt;-5,"CRÍTICO",IF(K287&lt;0,"ATENÇÃO",IF(K287&lt;=5,"OPORTUNO","MUITO BOM")))</f>
        <v>MUITO BOM</v>
      </c>
      <c r="M287" s="3">
        <v>28</v>
      </c>
      <c r="N287" s="3">
        <v>100</v>
      </c>
      <c r="O287" s="3">
        <v>32.764505119453922</v>
      </c>
    </row>
    <row r="288" spans="1:15" hidden="1" x14ac:dyDescent="0.25">
      <c r="A288" s="11">
        <v>46141</v>
      </c>
      <c r="B288" t="s">
        <v>49</v>
      </c>
      <c r="C288" s="15" t="s">
        <v>48</v>
      </c>
      <c r="D288" s="3">
        <v>38</v>
      </c>
      <c r="E288" s="3">
        <v>31</v>
      </c>
      <c r="F288" s="3">
        <v>11.5</v>
      </c>
      <c r="G288" s="3">
        <v>0</v>
      </c>
      <c r="H288" s="3">
        <v>0</v>
      </c>
      <c r="I288" s="3">
        <f>E288+G288+H288</f>
        <v>31</v>
      </c>
      <c r="J288" s="3">
        <f>ROUND(MIN(IF(C288="Técnico III",35,IF(C288="Técnico II",28,IF(C288="Técnico I",23,IF(C288="JR",20,IF(C288="Estágio",10,0))))),IF(C288="Técnico III",SUMIFS($D:$D,$A:$A,$A288,$B:$B,"&lt;&gt;Patrícia Karla de Sousa Araújo",$B:$B,"&lt;&gt;Lorena Dias de Araujo",$B:$B,"&lt;&gt;Lucas Luiz Romero")*(35/1083),IF(C288="Técnico II",SUMIFS($D:$D,$A:$A,$A288,$B:$B,"&lt;&gt;Patrícia Karla de Sousa Araújo",$B:$B,"&lt;&gt;Lorena Dias de Araujo",$B:$B,"&lt;&gt;Lucas Luiz Romero")*(28/1083),IF(C288="Técnico I",SUMIFS($D:$D,$A:$A,$A288,$B:$B,"&lt;&gt;Patrícia Karla de Sousa Araújo",$B:$B,"&lt;&gt;Lorena Dias de Araujo",$B:$B,"&lt;&gt;Lucas Luiz Romero")*(23/1083),IF(C288="JR",SUMIFS($D:$D,$A:$A,$A288,$B:$B,"&lt;&gt;Patrícia Karla de Sousa Araújo",$B:$B,"&lt;&gt;Lorena Dias de Araujo",$B:$B,"&lt;&gt;Lucas Luiz Romero")*(20/1083),IF(C288="Estágio",SUMIFS($D:$D,$A:$A,$A288,$B:$B,"&lt;&gt;Patrícia Karla de Sousa Araújo",$B:$B,"&lt;&gt;Lorena Dias de Araujo",$B:$B,"&lt;&gt;Lucas Luiz Romero")*(10/1083),0)))))),0)</f>
        <v>28</v>
      </c>
      <c r="K288" s="3">
        <f>I288-J288</f>
        <v>3</v>
      </c>
      <c r="L288" s="3" t="str">
        <f>IF(K288&lt;-5,"CRÍTICO",IF(K288&lt;0,"ATENÇÃO",IF(K288&lt;=5,"OPORTUNO","MUITO BOM")))</f>
        <v>OPORTUNO</v>
      </c>
      <c r="M288" s="3">
        <v>39</v>
      </c>
      <c r="N288" s="3">
        <v>98.82</v>
      </c>
      <c r="O288" s="3">
        <v>30.741410488245929</v>
      </c>
    </row>
    <row r="289" spans="1:15" hidden="1" x14ac:dyDescent="0.25">
      <c r="A289" s="11">
        <v>46141</v>
      </c>
      <c r="B289" t="s">
        <v>50</v>
      </c>
      <c r="C289" s="15" t="s">
        <v>48</v>
      </c>
      <c r="D289" s="3">
        <v>24</v>
      </c>
      <c r="E289" s="3">
        <v>23</v>
      </c>
      <c r="F289" s="3">
        <v>25.46</v>
      </c>
      <c r="G289" s="3">
        <v>0</v>
      </c>
      <c r="H289" s="3">
        <v>0</v>
      </c>
      <c r="I289" s="3">
        <f>E289+G289+H289</f>
        <v>23</v>
      </c>
      <c r="J289" s="3">
        <f>ROUND(MIN(IF(C289="Técnico III",35,IF(C289="Técnico II",28,IF(C289="Técnico I",23,IF(C289="JR",20,IF(C289="Estágio",10,0))))),IF(C289="Técnico III",SUMIFS($D:$D,$A:$A,$A289,$B:$B,"&lt;&gt;Patrícia Karla de Sousa Araújo",$B:$B,"&lt;&gt;Lorena Dias de Araujo",$B:$B,"&lt;&gt;Lucas Luiz Romero")*(35/1083),IF(C289="Técnico II",SUMIFS($D:$D,$A:$A,$A289,$B:$B,"&lt;&gt;Patrícia Karla de Sousa Araújo",$B:$B,"&lt;&gt;Lorena Dias de Araujo",$B:$B,"&lt;&gt;Lucas Luiz Romero")*(28/1083),IF(C289="Técnico I",SUMIFS($D:$D,$A:$A,$A289,$B:$B,"&lt;&gt;Patrícia Karla de Sousa Araújo",$B:$B,"&lt;&gt;Lorena Dias de Araujo",$B:$B,"&lt;&gt;Lucas Luiz Romero")*(23/1083),IF(C289="JR",SUMIFS($D:$D,$A:$A,$A289,$B:$B,"&lt;&gt;Patrícia Karla de Sousa Araújo",$B:$B,"&lt;&gt;Lorena Dias de Araujo",$B:$B,"&lt;&gt;Lucas Luiz Romero")*(20/1083),IF(C289="Estágio",SUMIFS($D:$D,$A:$A,$A289,$B:$B,"&lt;&gt;Patrícia Karla de Sousa Araújo",$B:$B,"&lt;&gt;Lorena Dias de Araujo",$B:$B,"&lt;&gt;Lucas Luiz Romero")*(10/1083),0)))))),0)</f>
        <v>28</v>
      </c>
      <c r="K289" s="3">
        <f>I289-J289</f>
        <v>-5</v>
      </c>
      <c r="L289" s="3" t="str">
        <f>IF(K289&lt;-5,"CRÍTICO",IF(K289&lt;0,"ATENÇÃO",IF(K289&lt;=5,"OPORTUNO","MUITO BOM")))</f>
        <v>ATENÇÃO</v>
      </c>
      <c r="M289" s="3">
        <v>24</v>
      </c>
      <c r="N289" s="3">
        <v>98.2</v>
      </c>
      <c r="O289" s="3">
        <v>27.170868347338931</v>
      </c>
    </row>
    <row r="290" spans="1:15" hidden="1" x14ac:dyDescent="0.25">
      <c r="A290" s="11">
        <v>46141</v>
      </c>
      <c r="B290" t="s">
        <v>51</v>
      </c>
      <c r="C290" s="15" t="s">
        <v>48</v>
      </c>
      <c r="D290" s="3">
        <v>32</v>
      </c>
      <c r="E290" s="3">
        <v>30</v>
      </c>
      <c r="F290" s="3">
        <v>18.45</v>
      </c>
      <c r="G290" s="3">
        <v>0</v>
      </c>
      <c r="H290" s="3">
        <v>0</v>
      </c>
      <c r="I290" s="3">
        <f>E290+G290+H290</f>
        <v>30</v>
      </c>
      <c r="J290" s="3">
        <f>ROUND(MIN(IF(C290="Técnico III",35,IF(C290="Técnico II",28,IF(C290="Técnico I",23,IF(C290="JR",20,IF(C290="Estágio",10,0))))),IF(C290="Técnico III",SUMIFS($D:$D,$A:$A,$A290,$B:$B,"&lt;&gt;Patrícia Karla de Sousa Araújo",$B:$B,"&lt;&gt;Lorena Dias de Araujo",$B:$B,"&lt;&gt;Lucas Luiz Romero")*(35/1083),IF(C290="Técnico II",SUMIFS($D:$D,$A:$A,$A290,$B:$B,"&lt;&gt;Patrícia Karla de Sousa Araújo",$B:$B,"&lt;&gt;Lorena Dias de Araujo",$B:$B,"&lt;&gt;Lucas Luiz Romero")*(28/1083),IF(C290="Técnico I",SUMIFS($D:$D,$A:$A,$A290,$B:$B,"&lt;&gt;Patrícia Karla de Sousa Araújo",$B:$B,"&lt;&gt;Lorena Dias de Araujo",$B:$B,"&lt;&gt;Lucas Luiz Romero")*(23/1083),IF(C290="JR",SUMIFS($D:$D,$A:$A,$A290,$B:$B,"&lt;&gt;Patrícia Karla de Sousa Araújo",$B:$B,"&lt;&gt;Lorena Dias de Araujo",$B:$B,"&lt;&gt;Lucas Luiz Romero")*(20/1083),IF(C290="Estágio",SUMIFS($D:$D,$A:$A,$A290,$B:$B,"&lt;&gt;Patrícia Karla de Sousa Araújo",$B:$B,"&lt;&gt;Lorena Dias de Araujo",$B:$B,"&lt;&gt;Lucas Luiz Romero")*(10/1083),0)))))),0)</f>
        <v>28</v>
      </c>
      <c r="K290" s="3">
        <f>I290-J290</f>
        <v>2</v>
      </c>
      <c r="L290" s="3" t="str">
        <f>IF(K290&lt;-5,"CRÍTICO",IF(K290&lt;0,"ATENÇÃO",IF(K290&lt;=5,"OPORTUNO","MUITO BOM")))</f>
        <v>OPORTUNO</v>
      </c>
      <c r="M290" s="3">
        <v>24</v>
      </c>
      <c r="N290" s="3">
        <v>97.86</v>
      </c>
      <c r="O290" s="3">
        <v>31.018518518518519</v>
      </c>
    </row>
    <row r="291" spans="1:15" hidden="1" x14ac:dyDescent="0.25">
      <c r="A291" s="11">
        <v>46141</v>
      </c>
      <c r="B291" t="s">
        <v>52</v>
      </c>
      <c r="C291" s="15" t="s">
        <v>48</v>
      </c>
      <c r="D291" s="3">
        <v>31</v>
      </c>
      <c r="E291" s="3">
        <v>28</v>
      </c>
      <c r="F291" s="3">
        <v>18.260000000000002</v>
      </c>
      <c r="G291" s="3">
        <v>0</v>
      </c>
      <c r="H291" s="3">
        <v>0</v>
      </c>
      <c r="I291" s="3">
        <f>E291+G291+H291</f>
        <v>28</v>
      </c>
      <c r="J291" s="3">
        <f>ROUND(MIN(IF(C291="Técnico III",35,IF(C291="Técnico II",28,IF(C291="Técnico I",23,IF(C291="JR",20,IF(C291="Estágio",10,0))))),IF(C291="Técnico III",SUMIFS($D:$D,$A:$A,$A291,$B:$B,"&lt;&gt;Patrícia Karla de Sousa Araújo",$B:$B,"&lt;&gt;Lorena Dias de Araujo",$B:$B,"&lt;&gt;Lucas Luiz Romero")*(35/1083),IF(C291="Técnico II",SUMIFS($D:$D,$A:$A,$A291,$B:$B,"&lt;&gt;Patrícia Karla de Sousa Araújo",$B:$B,"&lt;&gt;Lorena Dias de Araujo",$B:$B,"&lt;&gt;Lucas Luiz Romero")*(28/1083),IF(C291="Técnico I",SUMIFS($D:$D,$A:$A,$A291,$B:$B,"&lt;&gt;Patrícia Karla de Sousa Araújo",$B:$B,"&lt;&gt;Lorena Dias de Araujo",$B:$B,"&lt;&gt;Lucas Luiz Romero")*(23/1083),IF(C291="JR",SUMIFS($D:$D,$A:$A,$A291,$B:$B,"&lt;&gt;Patrícia Karla de Sousa Araújo",$B:$B,"&lt;&gt;Lorena Dias de Araujo",$B:$B,"&lt;&gt;Lucas Luiz Romero")*(20/1083),IF(C291="Estágio",SUMIFS($D:$D,$A:$A,$A291,$B:$B,"&lt;&gt;Patrícia Karla de Sousa Araújo",$B:$B,"&lt;&gt;Lorena Dias de Araujo",$B:$B,"&lt;&gt;Lucas Luiz Romero")*(10/1083),0)))))),0)</f>
        <v>28</v>
      </c>
      <c r="K291" s="3">
        <f>I291-J291</f>
        <v>0</v>
      </c>
      <c r="L291" s="3" t="str">
        <f>IF(K291&lt;-5,"CRÍTICO",IF(K291&lt;0,"ATENÇÃO",IF(K291&lt;=5,"OPORTUNO","MUITO BOM")))</f>
        <v>OPORTUNO</v>
      </c>
      <c r="M291" s="3">
        <v>23</v>
      </c>
      <c r="N291" s="3">
        <v>97.83</v>
      </c>
      <c r="O291" s="3">
        <v>28.35164835164835</v>
      </c>
    </row>
    <row r="292" spans="1:15" hidden="1" x14ac:dyDescent="0.25">
      <c r="A292" s="11">
        <v>46141</v>
      </c>
      <c r="B292" t="s">
        <v>53</v>
      </c>
      <c r="C292" s="15" t="s">
        <v>48</v>
      </c>
      <c r="D292" s="3">
        <v>36</v>
      </c>
      <c r="E292" s="3">
        <v>34</v>
      </c>
      <c r="F292" s="3">
        <v>15.24</v>
      </c>
      <c r="G292" s="3">
        <v>0</v>
      </c>
      <c r="H292" s="3">
        <v>0</v>
      </c>
      <c r="I292" s="3">
        <f>E292+G292+H292</f>
        <v>34</v>
      </c>
      <c r="J292" s="3">
        <f>ROUND(MIN(IF(C292="Técnico III",35,IF(C292="Técnico II",28,IF(C292="Técnico I",23,IF(C292="JR",20,IF(C292="Estágio",10,0))))),IF(C292="Técnico III",SUMIFS($D:$D,$A:$A,$A292,$B:$B,"&lt;&gt;Patrícia Karla de Sousa Araújo",$B:$B,"&lt;&gt;Lorena Dias de Araujo",$B:$B,"&lt;&gt;Lucas Luiz Romero")*(35/1083),IF(C292="Técnico II",SUMIFS($D:$D,$A:$A,$A292,$B:$B,"&lt;&gt;Patrícia Karla de Sousa Araújo",$B:$B,"&lt;&gt;Lorena Dias de Araujo",$B:$B,"&lt;&gt;Lucas Luiz Romero")*(28/1083),IF(C292="Técnico I",SUMIFS($D:$D,$A:$A,$A292,$B:$B,"&lt;&gt;Patrícia Karla de Sousa Araújo",$B:$B,"&lt;&gt;Lorena Dias de Araujo",$B:$B,"&lt;&gt;Lucas Luiz Romero")*(23/1083),IF(C292="JR",SUMIFS($D:$D,$A:$A,$A292,$B:$B,"&lt;&gt;Patrícia Karla de Sousa Araújo",$B:$B,"&lt;&gt;Lorena Dias de Araujo",$B:$B,"&lt;&gt;Lucas Luiz Romero")*(20/1083),IF(C292="Estágio",SUMIFS($D:$D,$A:$A,$A292,$B:$B,"&lt;&gt;Patrícia Karla de Sousa Araújo",$B:$B,"&lt;&gt;Lorena Dias de Araujo",$B:$B,"&lt;&gt;Lucas Luiz Romero")*(10/1083),0)))))),0)</f>
        <v>28</v>
      </c>
      <c r="K292" s="3">
        <f>I292-J292</f>
        <v>6</v>
      </c>
      <c r="L292" s="3" t="str">
        <f>IF(K292&lt;-5,"CRÍTICO",IF(K292&lt;0,"ATENÇÃO",IF(K292&lt;=5,"OPORTUNO","MUITO BOM")))</f>
        <v>MUITO BOM</v>
      </c>
      <c r="M292" s="3">
        <v>30</v>
      </c>
      <c r="N292" s="3">
        <v>99.19</v>
      </c>
      <c r="O292" s="3">
        <v>29.462365591397852</v>
      </c>
    </row>
    <row r="293" spans="1:15" hidden="1" x14ac:dyDescent="0.25">
      <c r="A293" s="11">
        <v>46141</v>
      </c>
      <c r="B293" t="s">
        <v>54</v>
      </c>
      <c r="C293" s="15" t="s">
        <v>48</v>
      </c>
      <c r="D293" s="3">
        <v>29</v>
      </c>
      <c r="E293" s="3">
        <v>26</v>
      </c>
      <c r="F293" s="3">
        <v>18.329999999999998</v>
      </c>
      <c r="G293" s="3">
        <v>0</v>
      </c>
      <c r="H293" s="3">
        <v>0</v>
      </c>
      <c r="I293" s="3">
        <f>E293+G293+H293</f>
        <v>26</v>
      </c>
      <c r="J293" s="3">
        <f>ROUND(MIN(IF(C293="Técnico III",35,IF(C293="Técnico II",28,IF(C293="Técnico I",23,IF(C293="JR",20,IF(C293="Estágio",10,0))))),IF(C293="Técnico III",SUMIFS($D:$D,$A:$A,$A293,$B:$B,"&lt;&gt;Patrícia Karla de Sousa Araújo",$B:$B,"&lt;&gt;Lorena Dias de Araujo",$B:$B,"&lt;&gt;Lucas Luiz Romero")*(35/1083),IF(C293="Técnico II",SUMIFS($D:$D,$A:$A,$A293,$B:$B,"&lt;&gt;Patrícia Karla de Sousa Araújo",$B:$B,"&lt;&gt;Lorena Dias de Araujo",$B:$B,"&lt;&gt;Lucas Luiz Romero")*(28/1083),IF(C293="Técnico I",SUMIFS($D:$D,$A:$A,$A293,$B:$B,"&lt;&gt;Patrícia Karla de Sousa Araújo",$B:$B,"&lt;&gt;Lorena Dias de Araujo",$B:$B,"&lt;&gt;Lucas Luiz Romero")*(23/1083),IF(C293="JR",SUMIFS($D:$D,$A:$A,$A293,$B:$B,"&lt;&gt;Patrícia Karla de Sousa Araújo",$B:$B,"&lt;&gt;Lorena Dias de Araujo",$B:$B,"&lt;&gt;Lucas Luiz Romero")*(20/1083),IF(C293="Estágio",SUMIFS($D:$D,$A:$A,$A293,$B:$B,"&lt;&gt;Patrícia Karla de Sousa Araújo",$B:$B,"&lt;&gt;Lorena Dias de Araujo",$B:$B,"&lt;&gt;Lucas Luiz Romero")*(10/1083),0)))))),0)</f>
        <v>28</v>
      </c>
      <c r="K293" s="3">
        <f>I293-J293</f>
        <v>-2</v>
      </c>
      <c r="L293" s="3" t="str">
        <f>IF(K293&lt;-5,"CRÍTICO",IF(K293&lt;0,"ATENÇÃO",IF(K293&lt;=5,"OPORTUNO","MUITO BOM")))</f>
        <v>ATENÇÃO</v>
      </c>
      <c r="M293" s="3">
        <v>27</v>
      </c>
      <c r="N293" s="3">
        <v>100</v>
      </c>
      <c r="O293" s="3">
        <v>28.921568627450981</v>
      </c>
    </row>
    <row r="294" spans="1:15" hidden="1" x14ac:dyDescent="0.25">
      <c r="A294" s="11">
        <v>46141</v>
      </c>
      <c r="B294" t="s">
        <v>55</v>
      </c>
      <c r="C294" s="15" t="s">
        <v>48</v>
      </c>
      <c r="D294" s="3">
        <v>39</v>
      </c>
      <c r="E294" s="3">
        <v>28</v>
      </c>
      <c r="F294" s="3">
        <v>10.24</v>
      </c>
      <c r="G294" s="3">
        <v>0</v>
      </c>
      <c r="H294" s="3">
        <v>0</v>
      </c>
      <c r="I294" s="3">
        <f>E294+G294+H294</f>
        <v>28</v>
      </c>
      <c r="J294" s="3">
        <f>ROUND(MIN(IF(C294="Técnico III",35,IF(C294="Técnico II",28,IF(C294="Técnico I",23,IF(C294="JR",20,IF(C294="Estágio",10,0))))),IF(C294="Técnico III",SUMIFS($D:$D,$A:$A,$A294,$B:$B,"&lt;&gt;Patrícia Karla de Sousa Araújo",$B:$B,"&lt;&gt;Lorena Dias de Araujo",$B:$B,"&lt;&gt;Lucas Luiz Romero")*(35/1083),IF(C294="Técnico II",SUMIFS($D:$D,$A:$A,$A294,$B:$B,"&lt;&gt;Patrícia Karla de Sousa Araújo",$B:$B,"&lt;&gt;Lorena Dias de Araujo",$B:$B,"&lt;&gt;Lucas Luiz Romero")*(28/1083),IF(C294="Técnico I",SUMIFS($D:$D,$A:$A,$A294,$B:$B,"&lt;&gt;Patrícia Karla de Sousa Araújo",$B:$B,"&lt;&gt;Lorena Dias de Araujo",$B:$B,"&lt;&gt;Lucas Luiz Romero")*(23/1083),IF(C294="JR",SUMIFS($D:$D,$A:$A,$A294,$B:$B,"&lt;&gt;Patrícia Karla de Sousa Araújo",$B:$B,"&lt;&gt;Lorena Dias de Araujo",$B:$B,"&lt;&gt;Lucas Luiz Romero")*(20/1083),IF(C294="Estágio",SUMIFS($D:$D,$A:$A,$A294,$B:$B,"&lt;&gt;Patrícia Karla de Sousa Araújo",$B:$B,"&lt;&gt;Lorena Dias de Araujo",$B:$B,"&lt;&gt;Lucas Luiz Romero")*(10/1083),0)))))),0)</f>
        <v>28</v>
      </c>
      <c r="K294" s="3">
        <f>I294-J294</f>
        <v>0</v>
      </c>
      <c r="L294" s="3" t="str">
        <f>IF(K294&lt;-5,"CRÍTICO",IF(K294&lt;0,"ATENÇÃO",IF(K294&lt;=5,"OPORTUNO","MUITO BOM")))</f>
        <v>OPORTUNO</v>
      </c>
      <c r="M294" s="3">
        <v>30</v>
      </c>
      <c r="N294" s="3">
        <v>98.81</v>
      </c>
      <c r="O294" s="3">
        <v>26.256983240223459</v>
      </c>
    </row>
    <row r="295" spans="1:15" hidden="1" x14ac:dyDescent="0.25">
      <c r="A295" s="11">
        <v>46141</v>
      </c>
      <c r="B295" t="s">
        <v>56</v>
      </c>
      <c r="C295" s="15" t="s">
        <v>48</v>
      </c>
      <c r="D295" s="3">
        <v>37</v>
      </c>
      <c r="E295" s="3">
        <v>35</v>
      </c>
      <c r="F295" s="3">
        <v>15.55</v>
      </c>
      <c r="G295" s="3">
        <v>0</v>
      </c>
      <c r="H295" s="3">
        <v>0</v>
      </c>
      <c r="I295" s="3">
        <f>E295+G295+H295</f>
        <v>35</v>
      </c>
      <c r="J295" s="3">
        <f>ROUND(MIN(IF(C295="Técnico III",35,IF(C295="Técnico II",28,IF(C295="Técnico I",23,IF(C295="JR",20,IF(C295="Estágio",10,0))))),IF(C295="Técnico III",SUMIFS($D:$D,$A:$A,$A295,$B:$B,"&lt;&gt;Patrícia Karla de Sousa Araújo",$B:$B,"&lt;&gt;Lorena Dias de Araujo",$B:$B,"&lt;&gt;Lucas Luiz Romero")*(35/1083),IF(C295="Técnico II",SUMIFS($D:$D,$A:$A,$A295,$B:$B,"&lt;&gt;Patrícia Karla de Sousa Araújo",$B:$B,"&lt;&gt;Lorena Dias de Araujo",$B:$B,"&lt;&gt;Lucas Luiz Romero")*(28/1083),IF(C295="Técnico I",SUMIFS($D:$D,$A:$A,$A295,$B:$B,"&lt;&gt;Patrícia Karla de Sousa Araújo",$B:$B,"&lt;&gt;Lorena Dias de Araujo",$B:$B,"&lt;&gt;Lucas Luiz Romero")*(23/1083),IF(C295="JR",SUMIFS($D:$D,$A:$A,$A295,$B:$B,"&lt;&gt;Patrícia Karla de Sousa Araújo",$B:$B,"&lt;&gt;Lorena Dias de Araujo",$B:$B,"&lt;&gt;Lucas Luiz Romero")*(20/1083),IF(C295="Estágio",SUMIFS($D:$D,$A:$A,$A295,$B:$B,"&lt;&gt;Patrícia Karla de Sousa Araújo",$B:$B,"&lt;&gt;Lorena Dias de Araujo",$B:$B,"&lt;&gt;Lucas Luiz Romero")*(10/1083),0)))))),0)</f>
        <v>28</v>
      </c>
      <c r="K295" s="3">
        <f>I295-J295</f>
        <v>7</v>
      </c>
      <c r="L295" s="3" t="str">
        <f>IF(K295&lt;-5,"CRÍTICO",IF(K295&lt;0,"ATENÇÃO",IF(K295&lt;=5,"OPORTUNO","MUITO BOM")))</f>
        <v>MUITO BOM</v>
      </c>
      <c r="M295" s="3">
        <v>18</v>
      </c>
      <c r="N295" s="3">
        <v>99.17</v>
      </c>
      <c r="O295" s="3">
        <v>29.75206611570248</v>
      </c>
    </row>
    <row r="296" spans="1:15" hidden="1" x14ac:dyDescent="0.25">
      <c r="A296" s="11">
        <v>46141</v>
      </c>
      <c r="B296" t="s">
        <v>57</v>
      </c>
      <c r="C296" s="15" t="s">
        <v>48</v>
      </c>
      <c r="D296" s="3">
        <v>0</v>
      </c>
      <c r="E296" s="3">
        <v>0</v>
      </c>
      <c r="F296" s="3">
        <v>0</v>
      </c>
      <c r="G296" s="3">
        <v>0</v>
      </c>
      <c r="H296" s="3">
        <v>0</v>
      </c>
      <c r="I296" s="3">
        <f>E296+G296+H296</f>
        <v>0</v>
      </c>
      <c r="J296" s="3">
        <f>ROUND(MIN(IF(C296="Técnico III",35,IF(C296="Técnico II",28,IF(C296="Técnico I",23,IF(C296="JR",20,IF(C296="Estágio",10,0))))),IF(C296="Técnico III",SUMIFS($D:$D,$A:$A,$A296,$B:$B,"&lt;&gt;Patrícia Karla de Sousa Araújo",$B:$B,"&lt;&gt;Lorena Dias de Araujo",$B:$B,"&lt;&gt;Lucas Luiz Romero")*(35/1083),IF(C296="Técnico II",SUMIFS($D:$D,$A:$A,$A296,$B:$B,"&lt;&gt;Patrícia Karla de Sousa Araújo",$B:$B,"&lt;&gt;Lorena Dias de Araujo",$B:$B,"&lt;&gt;Lucas Luiz Romero")*(28/1083),IF(C296="Técnico I",SUMIFS($D:$D,$A:$A,$A296,$B:$B,"&lt;&gt;Patrícia Karla de Sousa Araújo",$B:$B,"&lt;&gt;Lorena Dias de Araujo",$B:$B,"&lt;&gt;Lucas Luiz Romero")*(23/1083),IF(C296="JR",SUMIFS($D:$D,$A:$A,$A296,$B:$B,"&lt;&gt;Patrícia Karla de Sousa Araújo",$B:$B,"&lt;&gt;Lorena Dias de Araujo",$B:$B,"&lt;&gt;Lucas Luiz Romero")*(20/1083),IF(C296="Estágio",SUMIFS($D:$D,$A:$A,$A296,$B:$B,"&lt;&gt;Patrícia Karla de Sousa Araújo",$B:$B,"&lt;&gt;Lorena Dias de Araujo",$B:$B,"&lt;&gt;Lucas Luiz Romero")*(10/1083),0)))))),0)</f>
        <v>28</v>
      </c>
      <c r="K296" s="3">
        <f>I296-J296</f>
        <v>-28</v>
      </c>
      <c r="L296" s="3" t="str">
        <f>IF(K296&lt;-5,"CRÍTICO",IF(K296&lt;0,"ATENÇÃO",IF(K296&lt;=5,"OPORTUNO","MUITO BOM")))</f>
        <v>CRÍTICO</v>
      </c>
      <c r="M296" s="3">
        <v>0</v>
      </c>
      <c r="N296" s="3">
        <v>98.73</v>
      </c>
      <c r="O296" s="3">
        <v>28.961748633879779</v>
      </c>
    </row>
    <row r="297" spans="1:15" hidden="1" x14ac:dyDescent="0.25">
      <c r="A297" s="11">
        <v>46141</v>
      </c>
      <c r="B297" t="s">
        <v>58</v>
      </c>
      <c r="C297" s="15" t="s">
        <v>48</v>
      </c>
      <c r="D297" s="3">
        <v>0</v>
      </c>
      <c r="E297" s="3">
        <v>0</v>
      </c>
      <c r="F297" s="3">
        <v>0</v>
      </c>
      <c r="G297" s="3">
        <v>0</v>
      </c>
      <c r="H297" s="3">
        <v>0</v>
      </c>
      <c r="I297" s="3">
        <f>E297+G297+H297</f>
        <v>0</v>
      </c>
      <c r="J297" s="3">
        <f>ROUND(MIN(IF(C297="Técnico III",35,IF(C297="Técnico II",28,IF(C297="Técnico I",23,IF(C297="JR",20,IF(C297="Estágio",10,0))))),IF(C297="Técnico III",SUMIFS($D:$D,$A:$A,$A297,$B:$B,"&lt;&gt;Patrícia Karla de Sousa Araújo",$B:$B,"&lt;&gt;Lorena Dias de Araujo",$B:$B,"&lt;&gt;Lucas Luiz Romero")*(35/1083),IF(C297="Técnico II",SUMIFS($D:$D,$A:$A,$A297,$B:$B,"&lt;&gt;Patrícia Karla de Sousa Araújo",$B:$B,"&lt;&gt;Lorena Dias de Araujo",$B:$B,"&lt;&gt;Lucas Luiz Romero")*(28/1083),IF(C297="Técnico I",SUMIFS($D:$D,$A:$A,$A297,$B:$B,"&lt;&gt;Patrícia Karla de Sousa Araújo",$B:$B,"&lt;&gt;Lorena Dias de Araujo",$B:$B,"&lt;&gt;Lucas Luiz Romero")*(23/1083),IF(C297="JR",SUMIFS($D:$D,$A:$A,$A297,$B:$B,"&lt;&gt;Patrícia Karla de Sousa Araújo",$B:$B,"&lt;&gt;Lorena Dias de Araujo",$B:$B,"&lt;&gt;Lucas Luiz Romero")*(20/1083),IF(C297="Estágio",SUMIFS($D:$D,$A:$A,$A297,$B:$B,"&lt;&gt;Patrícia Karla de Sousa Araújo",$B:$B,"&lt;&gt;Lorena Dias de Araujo",$B:$B,"&lt;&gt;Lucas Luiz Romero")*(10/1083),0)))))),0)</f>
        <v>28</v>
      </c>
      <c r="K297" s="3">
        <f>I297-J297</f>
        <v>-28</v>
      </c>
      <c r="L297" s="3" t="str">
        <f>IF(K297&lt;-5,"CRÍTICO",IF(K297&lt;0,"ATENÇÃO",IF(K297&lt;=5,"OPORTUNO","MUITO BOM")))</f>
        <v>CRÍTICO</v>
      </c>
      <c r="M297" s="3">
        <v>0</v>
      </c>
      <c r="N297" s="3">
        <v>99.02</v>
      </c>
      <c r="O297" s="3">
        <v>34.797297297297298</v>
      </c>
    </row>
    <row r="298" spans="1:15" hidden="1" x14ac:dyDescent="0.25">
      <c r="A298" s="11">
        <v>46141</v>
      </c>
      <c r="B298" t="s">
        <v>59</v>
      </c>
      <c r="C298" s="15" t="s">
        <v>23</v>
      </c>
      <c r="D298" s="3">
        <v>33</v>
      </c>
      <c r="E298" s="3">
        <v>29</v>
      </c>
      <c r="F298" s="3">
        <v>20.25</v>
      </c>
      <c r="G298" s="3">
        <v>0</v>
      </c>
      <c r="H298" s="3">
        <v>0</v>
      </c>
      <c r="I298" s="3">
        <f>E298+G298+H298</f>
        <v>29</v>
      </c>
      <c r="J298" s="3">
        <f>ROUND(MIN(IF(C298="Técnico III",35,IF(C298="Técnico II",28,IF(C298="Técnico I",23,IF(C298="JR",20,IF(C298="Estágio",10,0))))),IF(C298="Técnico III",SUMIFS($D:$D,$A:$A,$A298,$B:$B,"&lt;&gt;Patrícia Karla de Sousa Araújo",$B:$B,"&lt;&gt;Lorena Dias de Araujo",$B:$B,"&lt;&gt;Lucas Luiz Romero")*(35/1083),IF(C298="Técnico II",SUMIFS($D:$D,$A:$A,$A298,$B:$B,"&lt;&gt;Patrícia Karla de Sousa Araújo",$B:$B,"&lt;&gt;Lorena Dias de Araujo",$B:$B,"&lt;&gt;Lucas Luiz Romero")*(28/1083),IF(C298="Técnico I",SUMIFS($D:$D,$A:$A,$A298,$B:$B,"&lt;&gt;Patrícia Karla de Sousa Araújo",$B:$B,"&lt;&gt;Lorena Dias de Araujo",$B:$B,"&lt;&gt;Lucas Luiz Romero")*(23/1083),IF(C298="JR",SUMIFS($D:$D,$A:$A,$A298,$B:$B,"&lt;&gt;Patrícia Karla de Sousa Araújo",$B:$B,"&lt;&gt;Lorena Dias de Araujo",$B:$B,"&lt;&gt;Lucas Luiz Romero")*(20/1083),IF(C298="Estágio",SUMIFS($D:$D,$A:$A,$A298,$B:$B,"&lt;&gt;Patrícia Karla de Sousa Araújo",$B:$B,"&lt;&gt;Lorena Dias de Araujo",$B:$B,"&lt;&gt;Lucas Luiz Romero")*(10/1083),0)))))),0)</f>
        <v>23</v>
      </c>
      <c r="K298" s="3">
        <f>I298-J298</f>
        <v>6</v>
      </c>
      <c r="L298" s="3" t="str">
        <f>IF(K298&lt;-5,"CRÍTICO",IF(K298&lt;0,"ATENÇÃO",IF(K298&lt;=5,"OPORTUNO","MUITO BOM")))</f>
        <v>MUITO BOM</v>
      </c>
      <c r="M298" s="3">
        <v>28</v>
      </c>
      <c r="N298" s="3">
        <v>99.32</v>
      </c>
      <c r="O298" s="3">
        <v>30.648330058939099</v>
      </c>
    </row>
    <row r="299" spans="1:15" hidden="1" x14ac:dyDescent="0.25">
      <c r="A299" s="11">
        <v>46141</v>
      </c>
      <c r="B299" t="s">
        <v>60</v>
      </c>
      <c r="C299" s="15" t="s">
        <v>23</v>
      </c>
      <c r="D299" s="3">
        <v>51</v>
      </c>
      <c r="E299" s="3">
        <v>13</v>
      </c>
      <c r="F299" s="3">
        <v>3.26</v>
      </c>
      <c r="G299" s="3">
        <v>0</v>
      </c>
      <c r="H299" s="3">
        <v>0</v>
      </c>
      <c r="I299" s="3">
        <f>E299+G299+H299</f>
        <v>13</v>
      </c>
      <c r="J299" s="3">
        <f>ROUND(MIN(IF(C299="Técnico III",35,IF(C299="Técnico II",28,IF(C299="Técnico I",23,IF(C299="JR",20,IF(C299="Estágio",10,0))))),IF(C299="Técnico III",SUMIFS($D:$D,$A:$A,$A299,$B:$B,"&lt;&gt;Patrícia Karla de Sousa Araújo",$B:$B,"&lt;&gt;Lorena Dias de Araujo",$B:$B,"&lt;&gt;Lucas Luiz Romero")*(35/1083),IF(C299="Técnico II",SUMIFS($D:$D,$A:$A,$A299,$B:$B,"&lt;&gt;Patrícia Karla de Sousa Araújo",$B:$B,"&lt;&gt;Lorena Dias de Araujo",$B:$B,"&lt;&gt;Lucas Luiz Romero")*(28/1083),IF(C299="Técnico I",SUMIFS($D:$D,$A:$A,$A299,$B:$B,"&lt;&gt;Patrícia Karla de Sousa Araújo",$B:$B,"&lt;&gt;Lorena Dias de Araujo",$B:$B,"&lt;&gt;Lucas Luiz Romero")*(23/1083),IF(C299="JR",SUMIFS($D:$D,$A:$A,$A299,$B:$B,"&lt;&gt;Patrícia Karla de Sousa Araújo",$B:$B,"&lt;&gt;Lorena Dias de Araujo",$B:$B,"&lt;&gt;Lucas Luiz Romero")*(20/1083),IF(C299="Estágio",SUMIFS($D:$D,$A:$A,$A299,$B:$B,"&lt;&gt;Patrícia Karla de Sousa Araújo",$B:$B,"&lt;&gt;Lorena Dias de Araujo",$B:$B,"&lt;&gt;Lucas Luiz Romero")*(10/1083),0)))))),0)</f>
        <v>23</v>
      </c>
      <c r="K299" s="3">
        <f>I299-J299</f>
        <v>-10</v>
      </c>
      <c r="L299" s="3" t="str">
        <f>IF(K299&lt;-5,"CRÍTICO",IF(K299&lt;0,"ATENÇÃO",IF(K299&lt;=5,"OPORTUNO","MUITO BOM")))</f>
        <v>CRÍTICO</v>
      </c>
      <c r="M299" s="3">
        <v>19</v>
      </c>
      <c r="N299" s="3">
        <v>96.3</v>
      </c>
      <c r="O299" s="3">
        <v>32.219570405727922</v>
      </c>
    </row>
    <row r="300" spans="1:15" hidden="1" x14ac:dyDescent="0.25">
      <c r="A300" s="11">
        <v>46141</v>
      </c>
      <c r="B300" t="s">
        <v>61</v>
      </c>
      <c r="C300" s="15" t="s">
        <v>23</v>
      </c>
      <c r="D300" s="3">
        <v>29</v>
      </c>
      <c r="E300" s="3">
        <v>28</v>
      </c>
      <c r="F300" s="3">
        <v>18.510000000000002</v>
      </c>
      <c r="G300" s="3">
        <v>0</v>
      </c>
      <c r="H300" s="3">
        <v>0</v>
      </c>
      <c r="I300" s="3">
        <f>E300+G300+H300</f>
        <v>28</v>
      </c>
      <c r="J300" s="3">
        <f>ROUND(MIN(IF(C300="Técnico III",35,IF(C300="Técnico II",28,IF(C300="Técnico I",23,IF(C300="JR",20,IF(C300="Estágio",10,0))))),IF(C300="Técnico III",SUMIFS($D:$D,$A:$A,$A300,$B:$B,"&lt;&gt;Patrícia Karla de Sousa Araújo",$B:$B,"&lt;&gt;Lorena Dias de Araujo",$B:$B,"&lt;&gt;Lucas Luiz Romero")*(35/1083),IF(C300="Técnico II",SUMIFS($D:$D,$A:$A,$A300,$B:$B,"&lt;&gt;Patrícia Karla de Sousa Araújo",$B:$B,"&lt;&gt;Lorena Dias de Araujo",$B:$B,"&lt;&gt;Lucas Luiz Romero")*(28/1083),IF(C300="Técnico I",SUMIFS($D:$D,$A:$A,$A300,$B:$B,"&lt;&gt;Patrícia Karla de Sousa Araújo",$B:$B,"&lt;&gt;Lorena Dias de Araujo",$B:$B,"&lt;&gt;Lucas Luiz Romero")*(23/1083),IF(C300="JR",SUMIFS($D:$D,$A:$A,$A300,$B:$B,"&lt;&gt;Patrícia Karla de Sousa Araújo",$B:$B,"&lt;&gt;Lorena Dias de Araujo",$B:$B,"&lt;&gt;Lucas Luiz Romero")*(20/1083),IF(C300="Estágio",SUMIFS($D:$D,$A:$A,$A300,$B:$B,"&lt;&gt;Patrícia Karla de Sousa Araújo",$B:$B,"&lt;&gt;Lorena Dias de Araujo",$B:$B,"&lt;&gt;Lucas Luiz Romero")*(10/1083),0)))))),0)</f>
        <v>23</v>
      </c>
      <c r="K300" s="3">
        <f>I300-J300</f>
        <v>5</v>
      </c>
      <c r="L300" s="3" t="str">
        <f>IF(K300&lt;-5,"CRÍTICO",IF(K300&lt;0,"ATENÇÃO",IF(K300&lt;=5,"OPORTUNO","MUITO BOM")))</f>
        <v>OPORTUNO</v>
      </c>
      <c r="M300" s="3">
        <v>22</v>
      </c>
      <c r="N300" s="3">
        <v>100</v>
      </c>
      <c r="O300" s="3">
        <v>36.594202898550733</v>
      </c>
    </row>
    <row r="301" spans="1:15" hidden="1" x14ac:dyDescent="0.25">
      <c r="A301" s="11">
        <v>46141</v>
      </c>
      <c r="B301" t="s">
        <v>22</v>
      </c>
      <c r="C301" s="15" t="s">
        <v>23</v>
      </c>
      <c r="D301" s="3">
        <v>0</v>
      </c>
      <c r="E301" s="3">
        <v>0</v>
      </c>
      <c r="F301" s="3">
        <v>0</v>
      </c>
      <c r="G301" s="3">
        <v>0</v>
      </c>
      <c r="H301" s="3">
        <v>0</v>
      </c>
      <c r="I301" s="3">
        <f>E301+G301+H301</f>
        <v>0</v>
      </c>
      <c r="J301" s="3">
        <f>ROUND(MIN(IF(C301="Técnico III",35,IF(C301="Técnico II",28,IF(C301="Técnico I",23,IF(C301="JR",20,IF(C301="Estágio",10,0))))),IF(C301="Técnico III",SUMIFS($D:$D,$A:$A,$A301,$B:$B,"&lt;&gt;Patrícia Karla de Sousa Araújo",$B:$B,"&lt;&gt;Lorena Dias de Araujo",$B:$B,"&lt;&gt;Lucas Luiz Romero")*(35/1083),IF(C301="Técnico II",SUMIFS($D:$D,$A:$A,$A301,$B:$B,"&lt;&gt;Patrícia Karla de Sousa Araújo",$B:$B,"&lt;&gt;Lorena Dias de Araujo",$B:$B,"&lt;&gt;Lucas Luiz Romero")*(28/1083),IF(C301="Técnico I",SUMIFS($D:$D,$A:$A,$A301,$B:$B,"&lt;&gt;Patrícia Karla de Sousa Araújo",$B:$B,"&lt;&gt;Lorena Dias de Araujo",$B:$B,"&lt;&gt;Lucas Luiz Romero")*(23/1083),IF(C301="JR",SUMIFS($D:$D,$A:$A,$A301,$B:$B,"&lt;&gt;Patrícia Karla de Sousa Araújo",$B:$B,"&lt;&gt;Lorena Dias de Araujo",$B:$B,"&lt;&gt;Lucas Luiz Romero")*(20/1083),IF(C301="Estágio",SUMIFS($D:$D,$A:$A,$A301,$B:$B,"&lt;&gt;Patrícia Karla de Sousa Araújo",$B:$B,"&lt;&gt;Lorena Dias de Araujo",$B:$B,"&lt;&gt;Lucas Luiz Romero")*(10/1083),0)))))),0)</f>
        <v>23</v>
      </c>
      <c r="K301" s="3">
        <f>I301-J301</f>
        <v>-23</v>
      </c>
      <c r="L301" s="3" t="str">
        <f>IF(K301&lt;-5,"CRÍTICO",IF(K301&lt;0,"ATENÇÃO",IF(K301&lt;=5,"OPORTUNO","MUITO BOM")))</f>
        <v>CRÍTICO</v>
      </c>
      <c r="M301" s="3">
        <v>54</v>
      </c>
      <c r="N301" s="3">
        <v>99.28</v>
      </c>
      <c r="O301" s="3">
        <v>27.689243027888441</v>
      </c>
    </row>
    <row r="302" spans="1:15" hidden="1" x14ac:dyDescent="0.25">
      <c r="A302" s="11">
        <v>46141</v>
      </c>
      <c r="B302" t="s">
        <v>62</v>
      </c>
      <c r="C302" s="15" t="s">
        <v>23</v>
      </c>
      <c r="D302" s="3">
        <v>20</v>
      </c>
      <c r="E302" s="3">
        <v>18</v>
      </c>
      <c r="F302" s="3">
        <v>20.37</v>
      </c>
      <c r="G302" s="3">
        <v>0</v>
      </c>
      <c r="H302" s="3">
        <v>0</v>
      </c>
      <c r="I302" s="3">
        <f>E302+G302+H302</f>
        <v>18</v>
      </c>
      <c r="J302" s="3">
        <f>ROUND(MIN(IF(C302="Técnico III",35,IF(C302="Técnico II",28,IF(C302="Técnico I",23,IF(C302="JR",20,IF(C302="Estágio",10,0))))),IF(C302="Técnico III",SUMIFS($D:$D,$A:$A,$A302,$B:$B,"&lt;&gt;Patrícia Karla de Sousa Araújo",$B:$B,"&lt;&gt;Lorena Dias de Araujo",$B:$B,"&lt;&gt;Lucas Luiz Romero")*(35/1083),IF(C302="Técnico II",SUMIFS($D:$D,$A:$A,$A302,$B:$B,"&lt;&gt;Patrícia Karla de Sousa Araújo",$B:$B,"&lt;&gt;Lorena Dias de Araujo",$B:$B,"&lt;&gt;Lucas Luiz Romero")*(28/1083),IF(C302="Técnico I",SUMIFS($D:$D,$A:$A,$A302,$B:$B,"&lt;&gt;Patrícia Karla de Sousa Araújo",$B:$B,"&lt;&gt;Lorena Dias de Araujo",$B:$B,"&lt;&gt;Lucas Luiz Romero")*(23/1083),IF(C302="JR",SUMIFS($D:$D,$A:$A,$A302,$B:$B,"&lt;&gt;Patrícia Karla de Sousa Araújo",$B:$B,"&lt;&gt;Lorena Dias de Araujo",$B:$B,"&lt;&gt;Lucas Luiz Romero")*(20/1083),IF(C302="Estágio",SUMIFS($D:$D,$A:$A,$A302,$B:$B,"&lt;&gt;Patrícia Karla de Sousa Araújo",$B:$B,"&lt;&gt;Lorena Dias de Araujo",$B:$B,"&lt;&gt;Lucas Luiz Romero")*(10/1083),0)))))),0)</f>
        <v>23</v>
      </c>
      <c r="K302" s="3">
        <f>I302-J302</f>
        <v>-5</v>
      </c>
      <c r="L302" s="3" t="str">
        <f>IF(K302&lt;-5,"CRÍTICO",IF(K302&lt;0,"ATENÇÃO",IF(K302&lt;=5,"OPORTUNO","MUITO BOM")))</f>
        <v>ATENÇÃO</v>
      </c>
      <c r="M302" s="3">
        <v>20</v>
      </c>
      <c r="N302" s="3">
        <v>97.37</v>
      </c>
      <c r="O302" s="3">
        <v>25.76530612244898</v>
      </c>
    </row>
    <row r="303" spans="1:15" hidden="1" x14ac:dyDescent="0.25">
      <c r="A303" s="11">
        <v>46141</v>
      </c>
      <c r="B303" t="s">
        <v>63</v>
      </c>
      <c r="C303" s="15" t="s">
        <v>23</v>
      </c>
      <c r="D303" s="3">
        <v>32</v>
      </c>
      <c r="E303" s="3">
        <v>28</v>
      </c>
      <c r="F303" s="3">
        <v>13.21</v>
      </c>
      <c r="G303" s="3">
        <v>0</v>
      </c>
      <c r="H303" s="3">
        <v>0</v>
      </c>
      <c r="I303" s="3">
        <f>E303+G303+H303</f>
        <v>28</v>
      </c>
      <c r="J303" s="3">
        <f>ROUND(MIN(IF(C303="Técnico III",35,IF(C303="Técnico II",28,IF(C303="Técnico I",23,IF(C303="JR",20,IF(C303="Estágio",10,0))))),IF(C303="Técnico III",SUMIFS($D:$D,$A:$A,$A303,$B:$B,"&lt;&gt;Patrícia Karla de Sousa Araújo",$B:$B,"&lt;&gt;Lorena Dias de Araujo",$B:$B,"&lt;&gt;Lucas Luiz Romero")*(35/1083),IF(C303="Técnico II",SUMIFS($D:$D,$A:$A,$A303,$B:$B,"&lt;&gt;Patrícia Karla de Sousa Araújo",$B:$B,"&lt;&gt;Lorena Dias de Araujo",$B:$B,"&lt;&gt;Lucas Luiz Romero")*(28/1083),IF(C303="Técnico I",SUMIFS($D:$D,$A:$A,$A303,$B:$B,"&lt;&gt;Patrícia Karla de Sousa Araújo",$B:$B,"&lt;&gt;Lorena Dias de Araujo",$B:$B,"&lt;&gt;Lucas Luiz Romero")*(23/1083),IF(C303="JR",SUMIFS($D:$D,$A:$A,$A303,$B:$B,"&lt;&gt;Patrícia Karla de Sousa Araújo",$B:$B,"&lt;&gt;Lorena Dias de Araujo",$B:$B,"&lt;&gt;Lucas Luiz Romero")*(20/1083),IF(C303="Estágio",SUMIFS($D:$D,$A:$A,$A303,$B:$B,"&lt;&gt;Patrícia Karla de Sousa Araújo",$B:$B,"&lt;&gt;Lorena Dias de Araujo",$B:$B,"&lt;&gt;Lucas Luiz Romero")*(10/1083),0)))))),0)</f>
        <v>23</v>
      </c>
      <c r="K303" s="3">
        <f>I303-J303</f>
        <v>5</v>
      </c>
      <c r="L303" s="3" t="str">
        <f>IF(K303&lt;-5,"CRÍTICO",IF(K303&lt;0,"ATENÇÃO",IF(K303&lt;=5,"OPORTUNO","MUITO BOM")))</f>
        <v>OPORTUNO</v>
      </c>
      <c r="M303" s="3">
        <v>21</v>
      </c>
      <c r="N303" s="3">
        <v>98.32</v>
      </c>
      <c r="O303" s="3">
        <v>26.858513189448441</v>
      </c>
    </row>
    <row r="304" spans="1:15" hidden="1" x14ac:dyDescent="0.25">
      <c r="A304" s="11">
        <v>46141</v>
      </c>
      <c r="B304" t="s">
        <v>64</v>
      </c>
      <c r="C304" s="15" t="s">
        <v>23</v>
      </c>
      <c r="D304" s="3">
        <v>15</v>
      </c>
      <c r="E304" s="3">
        <v>14</v>
      </c>
      <c r="F304" s="3">
        <v>23.58</v>
      </c>
      <c r="G304" s="3">
        <v>0</v>
      </c>
      <c r="H304" s="3">
        <v>0</v>
      </c>
      <c r="I304" s="3">
        <f>E304+G304+H304</f>
        <v>14</v>
      </c>
      <c r="J304" s="3">
        <f>ROUND(MIN(IF(C304="Técnico III",35,IF(C304="Técnico II",28,IF(C304="Técnico I",23,IF(C304="JR",20,IF(C304="Estágio",10,0))))),IF(C304="Técnico III",SUMIFS($D:$D,$A:$A,$A304,$B:$B,"&lt;&gt;Patrícia Karla de Sousa Araújo",$B:$B,"&lt;&gt;Lorena Dias de Araujo",$B:$B,"&lt;&gt;Lucas Luiz Romero")*(35/1083),IF(C304="Técnico II",SUMIFS($D:$D,$A:$A,$A304,$B:$B,"&lt;&gt;Patrícia Karla de Sousa Araújo",$B:$B,"&lt;&gt;Lorena Dias de Araujo",$B:$B,"&lt;&gt;Lucas Luiz Romero")*(28/1083),IF(C304="Técnico I",SUMIFS($D:$D,$A:$A,$A304,$B:$B,"&lt;&gt;Patrícia Karla de Sousa Araújo",$B:$B,"&lt;&gt;Lorena Dias de Araujo",$B:$B,"&lt;&gt;Lucas Luiz Romero")*(23/1083),IF(C304="JR",SUMIFS($D:$D,$A:$A,$A304,$B:$B,"&lt;&gt;Patrícia Karla de Sousa Araújo",$B:$B,"&lt;&gt;Lorena Dias de Araujo",$B:$B,"&lt;&gt;Lucas Luiz Romero")*(20/1083),IF(C304="Estágio",SUMIFS($D:$D,$A:$A,$A304,$B:$B,"&lt;&gt;Patrícia Karla de Sousa Araújo",$B:$B,"&lt;&gt;Lorena Dias de Araujo",$B:$B,"&lt;&gt;Lucas Luiz Romero")*(10/1083),0)))))),0)</f>
        <v>23</v>
      </c>
      <c r="K304" s="3">
        <f>I304-J304</f>
        <v>-9</v>
      </c>
      <c r="L304" s="3" t="str">
        <f>IF(K304&lt;-5,"CRÍTICO",IF(K304&lt;0,"ATENÇÃO",IF(K304&lt;=5,"OPORTUNO","MUITO BOM")))</f>
        <v>CRÍTICO</v>
      </c>
      <c r="M304" s="3">
        <v>13</v>
      </c>
      <c r="N304" s="3">
        <v>100</v>
      </c>
      <c r="O304" s="3">
        <v>26.36986301369863</v>
      </c>
    </row>
    <row r="305" spans="1:15" hidden="1" x14ac:dyDescent="0.25">
      <c r="A305" s="11">
        <v>46142</v>
      </c>
      <c r="B305" t="s">
        <v>31</v>
      </c>
      <c r="C305" s="15" t="s">
        <v>32</v>
      </c>
      <c r="D305" s="3">
        <v>0</v>
      </c>
      <c r="E305" s="3">
        <v>0</v>
      </c>
      <c r="F305" s="3">
        <v>0</v>
      </c>
      <c r="G305" s="3">
        <v>0</v>
      </c>
      <c r="H305" s="3">
        <v>0</v>
      </c>
      <c r="I305" s="3">
        <v>0</v>
      </c>
      <c r="J305" s="3">
        <v>0</v>
      </c>
      <c r="K305" s="3">
        <v>0</v>
      </c>
      <c r="L305" s="3" t="str">
        <f>IF(K305&lt;-5,"CRÍTICO",IF(K305&lt;0,"ATENÇÃO",IF(K305&lt;=5,"OPORTUNO","MUITO BOM")))</f>
        <v>OPORTUNO</v>
      </c>
      <c r="M305" s="3">
        <v>0</v>
      </c>
      <c r="N305" s="3">
        <v>98.66</v>
      </c>
      <c r="O305" s="3">
        <v>35.416666666666671</v>
      </c>
    </row>
    <row r="306" spans="1:15" hidden="1" x14ac:dyDescent="0.25">
      <c r="A306" s="11">
        <v>46142</v>
      </c>
      <c r="B306" t="s">
        <v>33</v>
      </c>
      <c r="C306" s="15" t="s">
        <v>32</v>
      </c>
      <c r="D306" s="3">
        <v>33</v>
      </c>
      <c r="E306" s="3">
        <v>32</v>
      </c>
      <c r="F306" s="3">
        <v>13.4</v>
      </c>
      <c r="G306" s="3">
        <v>0</v>
      </c>
      <c r="H306" s="3">
        <v>0</v>
      </c>
      <c r="I306" s="3">
        <f>E306+G306+H306</f>
        <v>32</v>
      </c>
      <c r="J306" s="3">
        <f>ROUND(MIN(IF(C306="Técnico III",35,IF(C306="Técnico II",28,IF(C306="Técnico I",23,IF(C306="JR",20,IF(C306="Estágio",10,0))))),IF(C306="Técnico III",SUMIFS($D:$D,$A:$A,$A306,$B:$B,"&lt;&gt;Patrícia Karla de Sousa Araújo",$B:$B,"&lt;&gt;Lorena Dias de Araujo",$B:$B,"&lt;&gt;Lucas Luiz Romero")*(35/1083),IF(C306="Técnico II",SUMIFS($D:$D,$A:$A,$A306,$B:$B,"&lt;&gt;Patrícia Karla de Sousa Araújo",$B:$B,"&lt;&gt;Lorena Dias de Araujo",$B:$B,"&lt;&gt;Lucas Luiz Romero")*(28/1083),IF(C306="Técnico I",SUMIFS($D:$D,$A:$A,$A306,$B:$B,"&lt;&gt;Patrícia Karla de Sousa Araújo",$B:$B,"&lt;&gt;Lorena Dias de Araujo",$B:$B,"&lt;&gt;Lucas Luiz Romero")*(23/1083),IF(C306="JR",SUMIFS($D:$D,$A:$A,$A306,$B:$B,"&lt;&gt;Patrícia Karla de Sousa Araújo",$B:$B,"&lt;&gt;Lorena Dias de Araujo",$B:$B,"&lt;&gt;Lucas Luiz Romero")*(20/1083),IF(C306="Estágio",SUMIFS($D:$D,$A:$A,$A306,$B:$B,"&lt;&gt;Patrícia Karla de Sousa Araújo",$B:$B,"&lt;&gt;Lorena Dias de Araujo",$B:$B,"&lt;&gt;Lucas Luiz Romero")*(10/1083),0)))))),0)</f>
        <v>32</v>
      </c>
      <c r="K306" s="3">
        <f>I306-J306</f>
        <v>0</v>
      </c>
      <c r="L306" s="3" t="str">
        <f>IF(K306&lt;-5,"CRÍTICO",IF(K306&lt;0,"ATENÇÃO",IF(K306&lt;=5,"OPORTUNO","MUITO BOM")))</f>
        <v>OPORTUNO</v>
      </c>
      <c r="M306" s="3">
        <v>28</v>
      </c>
      <c r="N306" s="3">
        <v>100</v>
      </c>
      <c r="O306" s="3">
        <v>27.803738317757009</v>
      </c>
    </row>
    <row r="307" spans="1:15" hidden="1" x14ac:dyDescent="0.25">
      <c r="A307" s="11">
        <v>46142</v>
      </c>
      <c r="B307" t="s">
        <v>34</v>
      </c>
      <c r="C307" s="15" t="s">
        <v>32</v>
      </c>
      <c r="D307" s="3">
        <v>39</v>
      </c>
      <c r="E307" s="3">
        <v>37</v>
      </c>
      <c r="F307" s="3">
        <v>11.54</v>
      </c>
      <c r="G307" s="3">
        <v>0</v>
      </c>
      <c r="H307" s="3">
        <v>0</v>
      </c>
      <c r="I307" s="3">
        <f>E307+G307+H307</f>
        <v>37</v>
      </c>
      <c r="J307" s="3">
        <f>ROUND(MIN(IF(C307="Técnico III",35,IF(C307="Técnico II",28,IF(C307="Técnico I",23,IF(C307="JR",20,IF(C307="Estágio",10,0))))),IF(C307="Técnico III",SUMIFS($D:$D,$A:$A,$A307,$B:$B,"&lt;&gt;Patrícia Karla de Sousa Araújo",$B:$B,"&lt;&gt;Lorena Dias de Araujo",$B:$B,"&lt;&gt;Lucas Luiz Romero")*(35/1083),IF(C307="Técnico II",SUMIFS($D:$D,$A:$A,$A307,$B:$B,"&lt;&gt;Patrícia Karla de Sousa Araújo",$B:$B,"&lt;&gt;Lorena Dias de Araujo",$B:$B,"&lt;&gt;Lucas Luiz Romero")*(28/1083),IF(C307="Técnico I",SUMIFS($D:$D,$A:$A,$A307,$B:$B,"&lt;&gt;Patrícia Karla de Sousa Araújo",$B:$B,"&lt;&gt;Lorena Dias de Araujo",$B:$B,"&lt;&gt;Lucas Luiz Romero")*(23/1083),IF(C307="JR",SUMIFS($D:$D,$A:$A,$A307,$B:$B,"&lt;&gt;Patrícia Karla de Sousa Araújo",$B:$B,"&lt;&gt;Lorena Dias de Araujo",$B:$B,"&lt;&gt;Lucas Luiz Romero")*(20/1083),IF(C307="Estágio",SUMIFS($D:$D,$A:$A,$A307,$B:$B,"&lt;&gt;Patrícia Karla de Sousa Araújo",$B:$B,"&lt;&gt;Lorena Dias de Araujo",$B:$B,"&lt;&gt;Lucas Luiz Romero")*(10/1083),0)))))),0)</f>
        <v>32</v>
      </c>
      <c r="K307" s="3">
        <f>I307-J307</f>
        <v>5</v>
      </c>
      <c r="L307" s="3" t="str">
        <f>IF(K307&lt;-5,"CRÍTICO",IF(K307&lt;0,"ATENÇÃO",IF(K307&lt;=5,"OPORTUNO","MUITO BOM")))</f>
        <v>OPORTUNO</v>
      </c>
      <c r="M307" s="3">
        <v>37</v>
      </c>
      <c r="N307" s="3">
        <v>93.75</v>
      </c>
      <c r="O307" s="3">
        <v>26.819923371647509</v>
      </c>
    </row>
    <row r="308" spans="1:15" hidden="1" x14ac:dyDescent="0.25">
      <c r="A308" s="11">
        <v>46142</v>
      </c>
      <c r="B308" t="s">
        <v>35</v>
      </c>
      <c r="C308" s="15" t="s">
        <v>32</v>
      </c>
      <c r="D308" s="3">
        <v>33</v>
      </c>
      <c r="E308" s="3">
        <v>30</v>
      </c>
      <c r="F308" s="3">
        <v>20.329999999999998</v>
      </c>
      <c r="G308" s="3">
        <v>0</v>
      </c>
      <c r="H308" s="3">
        <v>0</v>
      </c>
      <c r="I308" s="3">
        <f>E308+G308+H308</f>
        <v>30</v>
      </c>
      <c r="J308" s="3">
        <f>ROUND(MIN(IF(C308="Técnico III",35,IF(C308="Técnico II",28,IF(C308="Técnico I",23,IF(C308="JR",20,IF(C308="Estágio",10,0))))),IF(C308="Técnico III",SUMIFS($D:$D,$A:$A,$A308,$B:$B,"&lt;&gt;Patrícia Karla de Sousa Araújo",$B:$B,"&lt;&gt;Lorena Dias de Araujo",$B:$B,"&lt;&gt;Lucas Luiz Romero")*(35/1083),IF(C308="Técnico II",SUMIFS($D:$D,$A:$A,$A308,$B:$B,"&lt;&gt;Patrícia Karla de Sousa Araújo",$B:$B,"&lt;&gt;Lorena Dias de Araujo",$B:$B,"&lt;&gt;Lucas Luiz Romero")*(28/1083),IF(C308="Técnico I",SUMIFS($D:$D,$A:$A,$A308,$B:$B,"&lt;&gt;Patrícia Karla de Sousa Araújo",$B:$B,"&lt;&gt;Lorena Dias de Araujo",$B:$B,"&lt;&gt;Lucas Luiz Romero")*(23/1083),IF(C308="JR",SUMIFS($D:$D,$A:$A,$A308,$B:$B,"&lt;&gt;Patrícia Karla de Sousa Araújo",$B:$B,"&lt;&gt;Lorena Dias de Araujo",$B:$B,"&lt;&gt;Lucas Luiz Romero")*(20/1083),IF(C308="Estágio",SUMIFS($D:$D,$A:$A,$A308,$B:$B,"&lt;&gt;Patrícia Karla de Sousa Araújo",$B:$B,"&lt;&gt;Lorena Dias de Araujo",$B:$B,"&lt;&gt;Lucas Luiz Romero")*(10/1083),0)))))),0)</f>
        <v>32</v>
      </c>
      <c r="K308" s="3">
        <f>I308-J308</f>
        <v>-2</v>
      </c>
      <c r="L308" s="3" t="str">
        <f>IF(K308&lt;-5,"CRÍTICO",IF(K308&lt;0,"ATENÇÃO",IF(K308&lt;=5,"OPORTUNO","MUITO BOM")))</f>
        <v>ATENÇÃO</v>
      </c>
      <c r="M308" s="3">
        <v>31</v>
      </c>
      <c r="N308" s="3">
        <v>100</v>
      </c>
      <c r="O308" s="3">
        <v>38.653846153846153</v>
      </c>
    </row>
    <row r="309" spans="1:15" hidden="1" x14ac:dyDescent="0.25">
      <c r="A309" s="11">
        <v>46142</v>
      </c>
      <c r="B309" t="s">
        <v>36</v>
      </c>
      <c r="C309" s="15" t="s">
        <v>32</v>
      </c>
      <c r="D309" s="3">
        <v>29</v>
      </c>
      <c r="E309" s="3">
        <v>26</v>
      </c>
      <c r="F309" s="3">
        <v>15.07</v>
      </c>
      <c r="G309" s="3">
        <v>0</v>
      </c>
      <c r="H309" s="3">
        <v>0</v>
      </c>
      <c r="I309" s="3">
        <f>E309+G309+H309</f>
        <v>26</v>
      </c>
      <c r="J309" s="3">
        <f>ROUND(MIN(IF(C309="Técnico III",35,IF(C309="Técnico II",28,IF(C309="Técnico I",23,IF(C309="JR",20,IF(C309="Estágio",10,0))))),IF(C309="Técnico III",SUMIFS($D:$D,$A:$A,$A309,$B:$B,"&lt;&gt;Patrícia Karla de Sousa Araújo",$B:$B,"&lt;&gt;Lorena Dias de Araujo",$B:$B,"&lt;&gt;Lucas Luiz Romero")*(35/1083),IF(C309="Técnico II",SUMIFS($D:$D,$A:$A,$A309,$B:$B,"&lt;&gt;Patrícia Karla de Sousa Araújo",$B:$B,"&lt;&gt;Lorena Dias de Araujo",$B:$B,"&lt;&gt;Lucas Luiz Romero")*(28/1083),IF(C309="Técnico I",SUMIFS($D:$D,$A:$A,$A309,$B:$B,"&lt;&gt;Patrícia Karla de Sousa Araújo",$B:$B,"&lt;&gt;Lorena Dias de Araujo",$B:$B,"&lt;&gt;Lucas Luiz Romero")*(23/1083),IF(C309="JR",SUMIFS($D:$D,$A:$A,$A309,$B:$B,"&lt;&gt;Patrícia Karla de Sousa Araújo",$B:$B,"&lt;&gt;Lorena Dias de Araujo",$B:$B,"&lt;&gt;Lucas Luiz Romero")*(20/1083),IF(C309="Estágio",SUMIFS($D:$D,$A:$A,$A309,$B:$B,"&lt;&gt;Patrícia Karla de Sousa Araújo",$B:$B,"&lt;&gt;Lorena Dias de Araujo",$B:$B,"&lt;&gt;Lucas Luiz Romero")*(10/1083),0)))))),0)</f>
        <v>32</v>
      </c>
      <c r="K309" s="3">
        <f>I309-J309</f>
        <v>-6</v>
      </c>
      <c r="L309" s="3" t="str">
        <f>IF(K309&lt;-5,"CRÍTICO",IF(K309&lt;0,"ATENÇÃO",IF(K309&lt;=5,"OPORTUNO","MUITO BOM")))</f>
        <v>CRÍTICO</v>
      </c>
      <c r="M309" s="3">
        <v>27</v>
      </c>
      <c r="N309" s="3">
        <v>99.26</v>
      </c>
      <c r="O309" s="3">
        <v>29.766536964980549</v>
      </c>
    </row>
    <row r="310" spans="1:15" hidden="1" x14ac:dyDescent="0.25">
      <c r="A310" s="11">
        <v>46142</v>
      </c>
      <c r="B310" t="s">
        <v>37</v>
      </c>
      <c r="C310" s="15" t="s">
        <v>32</v>
      </c>
      <c r="D310" s="3">
        <v>47</v>
      </c>
      <c r="E310" s="3">
        <v>42</v>
      </c>
      <c r="F310" s="3">
        <v>12.14</v>
      </c>
      <c r="G310" s="3">
        <v>0</v>
      </c>
      <c r="H310" s="3">
        <v>0</v>
      </c>
      <c r="I310" s="3">
        <f>E310+G310+H310</f>
        <v>42</v>
      </c>
      <c r="J310" s="3">
        <f>ROUND(MIN(IF(C310="Técnico III",35,IF(C310="Técnico II",28,IF(C310="Técnico I",23,IF(C310="JR",20,IF(C310="Estágio",10,0))))),IF(C310="Técnico III",SUMIFS($D:$D,$A:$A,$A310,$B:$B,"&lt;&gt;Patrícia Karla de Sousa Araújo",$B:$B,"&lt;&gt;Lorena Dias de Araujo",$B:$B,"&lt;&gt;Lucas Luiz Romero")*(35/1083),IF(C310="Técnico II",SUMIFS($D:$D,$A:$A,$A310,$B:$B,"&lt;&gt;Patrícia Karla de Sousa Araújo",$B:$B,"&lt;&gt;Lorena Dias de Araujo",$B:$B,"&lt;&gt;Lucas Luiz Romero")*(28/1083),IF(C310="Técnico I",SUMIFS($D:$D,$A:$A,$A310,$B:$B,"&lt;&gt;Patrícia Karla de Sousa Araújo",$B:$B,"&lt;&gt;Lorena Dias de Araujo",$B:$B,"&lt;&gt;Lucas Luiz Romero")*(23/1083),IF(C310="JR",SUMIFS($D:$D,$A:$A,$A310,$B:$B,"&lt;&gt;Patrícia Karla de Sousa Araújo",$B:$B,"&lt;&gt;Lorena Dias de Araujo",$B:$B,"&lt;&gt;Lucas Luiz Romero")*(20/1083),IF(C310="Estágio",SUMIFS($D:$D,$A:$A,$A310,$B:$B,"&lt;&gt;Patrícia Karla de Sousa Araújo",$B:$B,"&lt;&gt;Lorena Dias de Araujo",$B:$B,"&lt;&gt;Lucas Luiz Romero")*(10/1083),0)))))),0)</f>
        <v>32</v>
      </c>
      <c r="K310" s="3">
        <f>I310-J310</f>
        <v>10</v>
      </c>
      <c r="L310" s="3" t="str">
        <f>IF(K310&lt;-5,"CRÍTICO",IF(K310&lt;0,"ATENÇÃO",IF(K310&lt;=5,"OPORTUNO","MUITO BOM")))</f>
        <v>MUITO BOM</v>
      </c>
      <c r="M310" s="3">
        <v>45</v>
      </c>
      <c r="N310" s="3">
        <v>99.57</v>
      </c>
      <c r="O310" s="3">
        <v>30.635838150289018</v>
      </c>
    </row>
    <row r="311" spans="1:15" hidden="1" x14ac:dyDescent="0.25">
      <c r="A311" s="11">
        <v>46142</v>
      </c>
      <c r="B311" t="s">
        <v>38</v>
      </c>
      <c r="C311" s="15" t="s">
        <v>32</v>
      </c>
      <c r="D311" s="3">
        <v>0</v>
      </c>
      <c r="E311" s="3">
        <v>0</v>
      </c>
      <c r="F311" s="3">
        <v>0</v>
      </c>
      <c r="G311" s="3">
        <v>0</v>
      </c>
      <c r="H311" s="3">
        <v>0</v>
      </c>
      <c r="I311" s="3">
        <f>E311+G311+H311</f>
        <v>0</v>
      </c>
      <c r="J311" s="3">
        <f>ROUND(MIN(IF(C311="Técnico III",35,IF(C311="Técnico II",28,IF(C311="Técnico I",23,IF(C311="JR",20,IF(C311="Estágio",10,0))))),IF(C311="Técnico III",SUMIFS($D:$D,$A:$A,$A311,$B:$B,"&lt;&gt;Patrícia Karla de Sousa Araújo",$B:$B,"&lt;&gt;Lorena Dias de Araujo",$B:$B,"&lt;&gt;Lucas Luiz Romero")*(35/1083),IF(C311="Técnico II",SUMIFS($D:$D,$A:$A,$A311,$B:$B,"&lt;&gt;Patrícia Karla de Sousa Araújo",$B:$B,"&lt;&gt;Lorena Dias de Araujo",$B:$B,"&lt;&gt;Lucas Luiz Romero")*(28/1083),IF(C311="Técnico I",SUMIFS($D:$D,$A:$A,$A311,$B:$B,"&lt;&gt;Patrícia Karla de Sousa Araújo",$B:$B,"&lt;&gt;Lorena Dias de Araujo",$B:$B,"&lt;&gt;Lucas Luiz Romero")*(23/1083),IF(C311="JR",SUMIFS($D:$D,$A:$A,$A311,$B:$B,"&lt;&gt;Patrícia Karla de Sousa Araújo",$B:$B,"&lt;&gt;Lorena Dias de Araujo",$B:$B,"&lt;&gt;Lucas Luiz Romero")*(20/1083),IF(C311="Estágio",SUMIFS($D:$D,$A:$A,$A311,$B:$B,"&lt;&gt;Patrícia Karla de Sousa Araújo",$B:$B,"&lt;&gt;Lorena Dias de Araujo",$B:$B,"&lt;&gt;Lucas Luiz Romero")*(10/1083),0)))))),0)</f>
        <v>32</v>
      </c>
      <c r="K311" s="3">
        <f>I311-J311</f>
        <v>-32</v>
      </c>
      <c r="L311" s="3" t="str">
        <f>IF(K311&lt;-5,"CRÍTICO",IF(K311&lt;0,"ATENÇÃO",IF(K311&lt;=5,"OPORTUNO","MUITO BOM")))</f>
        <v>CRÍTICO</v>
      </c>
      <c r="M311" s="3">
        <v>9</v>
      </c>
      <c r="N311" s="3">
        <v>95.65</v>
      </c>
      <c r="O311" s="3">
        <v>32.432432432432442</v>
      </c>
    </row>
    <row r="312" spans="1:15" hidden="1" x14ac:dyDescent="0.25">
      <c r="A312" s="11">
        <v>46142</v>
      </c>
      <c r="B312" t="s">
        <v>39</v>
      </c>
      <c r="C312" s="15" t="s">
        <v>32</v>
      </c>
      <c r="D312" s="3">
        <v>0</v>
      </c>
      <c r="E312" s="3">
        <v>0</v>
      </c>
      <c r="F312" s="3">
        <v>0</v>
      </c>
      <c r="G312" s="3">
        <v>0</v>
      </c>
      <c r="H312" s="3">
        <v>0</v>
      </c>
      <c r="I312" s="3">
        <f>E312+G312+H312</f>
        <v>0</v>
      </c>
      <c r="J312" s="3">
        <f>ROUND(MIN(IF(C312="Técnico III",35,IF(C312="Técnico II",28,IF(C312="Técnico I",23,IF(C312="JR",20,IF(C312="Estágio",10,0))))),IF(C312="Técnico III",SUMIFS($D:$D,$A:$A,$A312,$B:$B,"&lt;&gt;Patrícia Karla de Sousa Araújo",$B:$B,"&lt;&gt;Lorena Dias de Araujo",$B:$B,"&lt;&gt;Lucas Luiz Romero")*(35/1083),IF(C312="Técnico II",SUMIFS($D:$D,$A:$A,$A312,$B:$B,"&lt;&gt;Patrícia Karla de Sousa Araújo",$B:$B,"&lt;&gt;Lorena Dias de Araujo",$B:$B,"&lt;&gt;Lucas Luiz Romero")*(28/1083),IF(C312="Técnico I",SUMIFS($D:$D,$A:$A,$A312,$B:$B,"&lt;&gt;Patrícia Karla de Sousa Araújo",$B:$B,"&lt;&gt;Lorena Dias de Araujo",$B:$B,"&lt;&gt;Lucas Luiz Romero")*(23/1083),IF(C312="JR",SUMIFS($D:$D,$A:$A,$A312,$B:$B,"&lt;&gt;Patrícia Karla de Sousa Araújo",$B:$B,"&lt;&gt;Lorena Dias de Araujo",$B:$B,"&lt;&gt;Lucas Luiz Romero")*(20/1083),IF(C312="Estágio",SUMIFS($D:$D,$A:$A,$A312,$B:$B,"&lt;&gt;Patrícia Karla de Sousa Araújo",$B:$B,"&lt;&gt;Lorena Dias de Araujo",$B:$B,"&lt;&gt;Lucas Luiz Romero")*(10/1083),0)))))),0)</f>
        <v>32</v>
      </c>
      <c r="K312" s="3">
        <f>I312-J312</f>
        <v>-32</v>
      </c>
      <c r="L312" s="3" t="str">
        <f>IF(K312&lt;-5,"CRÍTICO",IF(K312&lt;0,"ATENÇÃO",IF(K312&lt;=5,"OPORTUNO","MUITO BOM")))</f>
        <v>CRÍTICO</v>
      </c>
      <c r="M312" s="3">
        <v>0</v>
      </c>
      <c r="N312" s="3">
        <v>0</v>
      </c>
      <c r="O312" s="3">
        <v>0</v>
      </c>
    </row>
    <row r="313" spans="1:15" hidden="1" x14ac:dyDescent="0.25">
      <c r="A313" s="11">
        <v>46142</v>
      </c>
      <c r="B313" t="s">
        <v>40</v>
      </c>
      <c r="C313" s="15" t="s">
        <v>32</v>
      </c>
      <c r="D313" s="3">
        <v>0</v>
      </c>
      <c r="E313" s="3">
        <v>0</v>
      </c>
      <c r="F313" s="3">
        <v>0</v>
      </c>
      <c r="G313" s="3">
        <v>0</v>
      </c>
      <c r="H313" s="3">
        <v>0</v>
      </c>
      <c r="I313" s="3">
        <f>E313+G313+H313</f>
        <v>0</v>
      </c>
      <c r="J313" s="3">
        <f>ROUND(MIN(IF(C313="Técnico III",35,IF(C313="Técnico II",28,IF(C313="Técnico I",23,IF(C313="JR",20,IF(C313="Estágio",10,0))))),IF(C313="Técnico III",SUMIFS($D:$D,$A:$A,$A313,$B:$B,"&lt;&gt;Patrícia Karla de Sousa Araújo",$B:$B,"&lt;&gt;Lorena Dias de Araujo",$B:$B,"&lt;&gt;Lucas Luiz Romero")*(35/1083),IF(C313="Técnico II",SUMIFS($D:$D,$A:$A,$A313,$B:$B,"&lt;&gt;Patrícia Karla de Sousa Araújo",$B:$B,"&lt;&gt;Lorena Dias de Araujo",$B:$B,"&lt;&gt;Lucas Luiz Romero")*(28/1083),IF(C313="Técnico I",SUMIFS($D:$D,$A:$A,$A313,$B:$B,"&lt;&gt;Patrícia Karla de Sousa Araújo",$B:$B,"&lt;&gt;Lorena Dias de Araujo",$B:$B,"&lt;&gt;Lucas Luiz Romero")*(23/1083),IF(C313="JR",SUMIFS($D:$D,$A:$A,$A313,$B:$B,"&lt;&gt;Patrícia Karla de Sousa Araújo",$B:$B,"&lt;&gt;Lorena Dias de Araujo",$B:$B,"&lt;&gt;Lucas Luiz Romero")*(20/1083),IF(C313="Estágio",SUMIFS($D:$D,$A:$A,$A313,$B:$B,"&lt;&gt;Patrícia Karla de Sousa Araújo",$B:$B,"&lt;&gt;Lorena Dias de Araujo",$B:$B,"&lt;&gt;Lucas Luiz Romero")*(10/1083),0)))))),0)</f>
        <v>32</v>
      </c>
      <c r="K313" s="3">
        <f>I313-J313</f>
        <v>-32</v>
      </c>
      <c r="L313" s="3" t="str">
        <f>IF(K313&lt;-5,"CRÍTICO",IF(K313&lt;0,"ATENÇÃO",IF(K313&lt;=5,"OPORTUNO","MUITO BOM")))</f>
        <v>CRÍTICO</v>
      </c>
      <c r="M313" s="3">
        <v>16</v>
      </c>
      <c r="N313" s="3">
        <v>96.81</v>
      </c>
      <c r="O313" s="3">
        <v>48.018648018648022</v>
      </c>
    </row>
    <row r="314" spans="1:15" hidden="1" x14ac:dyDescent="0.25">
      <c r="A314" s="11">
        <v>46142</v>
      </c>
      <c r="B314" t="s">
        <v>41</v>
      </c>
      <c r="C314" s="15" t="s">
        <v>32</v>
      </c>
      <c r="D314" s="3">
        <v>31</v>
      </c>
      <c r="E314" s="3">
        <v>29</v>
      </c>
      <c r="F314" s="3">
        <v>13.5</v>
      </c>
      <c r="G314" s="3">
        <v>0</v>
      </c>
      <c r="H314" s="3">
        <v>0</v>
      </c>
      <c r="I314" s="3">
        <f>E314+G314+H314</f>
        <v>29</v>
      </c>
      <c r="J314" s="3">
        <f>ROUND(MIN(IF(C314="Técnico III",35,IF(C314="Técnico II",28,IF(C314="Técnico I",23,IF(C314="JR",20,IF(C314="Estágio",10,0))))),IF(C314="Técnico III",SUMIFS($D:$D,$A:$A,$A314,$B:$B,"&lt;&gt;Patrícia Karla de Sousa Araújo",$B:$B,"&lt;&gt;Lorena Dias de Araujo",$B:$B,"&lt;&gt;Lucas Luiz Romero")*(35/1083),IF(C314="Técnico II",SUMIFS($D:$D,$A:$A,$A314,$B:$B,"&lt;&gt;Patrícia Karla de Sousa Araújo",$B:$B,"&lt;&gt;Lorena Dias de Araujo",$B:$B,"&lt;&gt;Lucas Luiz Romero")*(28/1083),IF(C314="Técnico I",SUMIFS($D:$D,$A:$A,$A314,$B:$B,"&lt;&gt;Patrícia Karla de Sousa Araújo",$B:$B,"&lt;&gt;Lorena Dias de Araujo",$B:$B,"&lt;&gt;Lucas Luiz Romero")*(23/1083),IF(C314="JR",SUMIFS($D:$D,$A:$A,$A314,$B:$B,"&lt;&gt;Patrícia Karla de Sousa Araújo",$B:$B,"&lt;&gt;Lorena Dias de Araujo",$B:$B,"&lt;&gt;Lucas Luiz Romero")*(20/1083),IF(C314="Estágio",SUMIFS($D:$D,$A:$A,$A314,$B:$B,"&lt;&gt;Patrícia Karla de Sousa Araújo",$B:$B,"&lt;&gt;Lorena Dias de Araujo",$B:$B,"&lt;&gt;Lucas Luiz Romero")*(10/1083),0)))))),0)</f>
        <v>32</v>
      </c>
      <c r="K314" s="3">
        <f>I314-J314</f>
        <v>-3</v>
      </c>
      <c r="L314" s="3" t="str">
        <f>IF(K314&lt;-5,"CRÍTICO",IF(K314&lt;0,"ATENÇÃO",IF(K314&lt;=5,"OPORTUNO","MUITO BOM")))</f>
        <v>ATENÇÃO</v>
      </c>
      <c r="M314" s="3">
        <v>30</v>
      </c>
      <c r="N314" s="3">
        <v>99.15</v>
      </c>
      <c r="O314" s="3">
        <v>27.586206896551719</v>
      </c>
    </row>
    <row r="315" spans="1:15" hidden="1" x14ac:dyDescent="0.25">
      <c r="A315" s="11">
        <v>46142</v>
      </c>
      <c r="B315" t="s">
        <v>42</v>
      </c>
      <c r="C315" s="15" t="s">
        <v>32</v>
      </c>
      <c r="D315" s="3">
        <v>0</v>
      </c>
      <c r="E315" s="3">
        <v>0</v>
      </c>
      <c r="F315" s="3">
        <v>0</v>
      </c>
      <c r="G315" s="3">
        <v>0</v>
      </c>
      <c r="H315" s="3">
        <v>0</v>
      </c>
      <c r="I315" s="3">
        <f>E315+G315+H315</f>
        <v>0</v>
      </c>
      <c r="J315" s="3">
        <f>ROUND(MIN(IF(C315="Técnico III",35,IF(C315="Técnico II",28,IF(C315="Técnico I",23,IF(C315="JR",20,IF(C315="Estágio",10,0))))),IF(C315="Técnico III",SUMIFS($D:$D,$A:$A,$A315,$B:$B,"&lt;&gt;Patrícia Karla de Sousa Araújo",$B:$B,"&lt;&gt;Lorena Dias de Araujo",$B:$B,"&lt;&gt;Lucas Luiz Romero")*(35/1083),IF(C315="Técnico II",SUMIFS($D:$D,$A:$A,$A315,$B:$B,"&lt;&gt;Patrícia Karla de Sousa Araújo",$B:$B,"&lt;&gt;Lorena Dias de Araujo",$B:$B,"&lt;&gt;Lucas Luiz Romero")*(28/1083),IF(C315="Técnico I",SUMIFS($D:$D,$A:$A,$A315,$B:$B,"&lt;&gt;Patrícia Karla de Sousa Araújo",$B:$B,"&lt;&gt;Lorena Dias de Araujo",$B:$B,"&lt;&gt;Lucas Luiz Romero")*(23/1083),IF(C315="JR",SUMIFS($D:$D,$A:$A,$A315,$B:$B,"&lt;&gt;Patrícia Karla de Sousa Araújo",$B:$B,"&lt;&gt;Lorena Dias de Araujo",$B:$B,"&lt;&gt;Lucas Luiz Romero")*(20/1083),IF(C315="Estágio",SUMIFS($D:$D,$A:$A,$A315,$B:$B,"&lt;&gt;Patrícia Karla de Sousa Araújo",$B:$B,"&lt;&gt;Lorena Dias de Araujo",$B:$B,"&lt;&gt;Lucas Luiz Romero")*(10/1083),0)))))),0)</f>
        <v>32</v>
      </c>
      <c r="K315" s="3">
        <f>I315-J315</f>
        <v>-32</v>
      </c>
      <c r="L315" s="3" t="str">
        <f>IF(K315&lt;-5,"CRÍTICO",IF(K315&lt;0,"ATENÇÃO",IF(K315&lt;=5,"OPORTUNO","MUITO BOM")))</f>
        <v>CRÍTICO</v>
      </c>
      <c r="M315" s="3">
        <v>0</v>
      </c>
      <c r="N315" s="3">
        <v>88.68</v>
      </c>
      <c r="O315" s="3">
        <v>22.03389830508474</v>
      </c>
    </row>
    <row r="316" spans="1:15" x14ac:dyDescent="0.25">
      <c r="A316" s="11">
        <v>46142</v>
      </c>
      <c r="B316" t="s">
        <v>43</v>
      </c>
      <c r="C316" s="15" t="s">
        <v>32</v>
      </c>
      <c r="D316" s="3">
        <v>15</v>
      </c>
      <c r="E316" s="3">
        <v>13</v>
      </c>
      <c r="F316" s="3">
        <v>11.57</v>
      </c>
      <c r="G316" s="3">
        <v>0</v>
      </c>
      <c r="H316" s="3">
        <v>0</v>
      </c>
      <c r="I316" s="3">
        <f>E316+G316+H316</f>
        <v>13</v>
      </c>
      <c r="J316" s="3">
        <f>ROUND(MIN(IF(C316="Técnico III",35,IF(C316="Técnico II",28,IF(C316="Técnico I",23,IF(C316="JR",20,IF(C316="Estágio",10,0))))),IF(C316="Técnico III",SUMIFS($D:$D,$A:$A,$A316,$B:$B,"&lt;&gt;Patrícia Karla de Sousa Araújo",$B:$B,"&lt;&gt;Lorena Dias de Araujo",$B:$B,"&lt;&gt;Lucas Luiz Romero")*(35/1083),IF(C316="Técnico II",SUMIFS($D:$D,$A:$A,$A316,$B:$B,"&lt;&gt;Patrícia Karla de Sousa Araújo",$B:$B,"&lt;&gt;Lorena Dias de Araujo",$B:$B,"&lt;&gt;Lucas Luiz Romero")*(28/1083),IF(C316="Técnico I",SUMIFS($D:$D,$A:$A,$A316,$B:$B,"&lt;&gt;Patrícia Karla de Sousa Araújo",$B:$B,"&lt;&gt;Lorena Dias de Araujo",$B:$B,"&lt;&gt;Lucas Luiz Romero")*(23/1083),IF(C316="JR",SUMIFS($D:$D,$A:$A,$A316,$B:$B,"&lt;&gt;Patrícia Karla de Sousa Araújo",$B:$B,"&lt;&gt;Lorena Dias de Araujo",$B:$B,"&lt;&gt;Lucas Luiz Romero")*(20/1083),IF(C316="Estágio",SUMIFS($D:$D,$A:$A,$A316,$B:$B,"&lt;&gt;Patrícia Karla de Sousa Araújo",$B:$B,"&lt;&gt;Lorena Dias de Araujo",$B:$B,"&lt;&gt;Lucas Luiz Romero")*(10/1083),0)))))),0)</f>
        <v>32</v>
      </c>
      <c r="K316" s="3">
        <f>I316-J316</f>
        <v>-19</v>
      </c>
      <c r="L316" s="3" t="str">
        <f>IF(K316&lt;-5,"CRÍTICO",IF(K316&lt;0,"ATENÇÃO",IF(K316&lt;=5,"OPORTUNO","MUITO BOM")))</f>
        <v>CRÍTICO</v>
      </c>
      <c r="M316" s="3">
        <v>33</v>
      </c>
      <c r="N316" s="3">
        <v>100</v>
      </c>
      <c r="O316" s="3">
        <v>23.9870340356564</v>
      </c>
    </row>
    <row r="317" spans="1:15" hidden="1" x14ac:dyDescent="0.25">
      <c r="A317" s="11">
        <v>46142</v>
      </c>
      <c r="B317" t="s">
        <v>44</v>
      </c>
      <c r="C317" s="15" t="s">
        <v>32</v>
      </c>
      <c r="D317" s="3">
        <v>35</v>
      </c>
      <c r="E317" s="3">
        <v>34</v>
      </c>
      <c r="F317" s="3">
        <v>14.14</v>
      </c>
      <c r="G317" s="3">
        <v>0</v>
      </c>
      <c r="H317" s="3">
        <v>0</v>
      </c>
      <c r="I317" s="3">
        <f>E317+G317+H317</f>
        <v>34</v>
      </c>
      <c r="J317" s="3">
        <f>ROUND(MIN(IF(C317="Técnico III",35,IF(C317="Técnico II",28,IF(C317="Técnico I",23,IF(C317="JR",20,IF(C317="Estágio",10,0))))),IF(C317="Técnico III",SUMIFS($D:$D,$A:$A,$A317,$B:$B,"&lt;&gt;Patrícia Karla de Sousa Araújo",$B:$B,"&lt;&gt;Lorena Dias de Araujo",$B:$B,"&lt;&gt;Lucas Luiz Romero")*(35/1083),IF(C317="Técnico II",SUMIFS($D:$D,$A:$A,$A317,$B:$B,"&lt;&gt;Patrícia Karla de Sousa Araújo",$B:$B,"&lt;&gt;Lorena Dias de Araujo",$B:$B,"&lt;&gt;Lucas Luiz Romero")*(28/1083),IF(C317="Técnico I",SUMIFS($D:$D,$A:$A,$A317,$B:$B,"&lt;&gt;Patrícia Karla de Sousa Araújo",$B:$B,"&lt;&gt;Lorena Dias de Araujo",$B:$B,"&lt;&gt;Lucas Luiz Romero")*(23/1083),IF(C317="JR",SUMIFS($D:$D,$A:$A,$A317,$B:$B,"&lt;&gt;Patrícia Karla de Sousa Araújo",$B:$B,"&lt;&gt;Lorena Dias de Araujo",$B:$B,"&lt;&gt;Lucas Luiz Romero")*(20/1083),IF(C317="Estágio",SUMIFS($D:$D,$A:$A,$A317,$B:$B,"&lt;&gt;Patrícia Karla de Sousa Araújo",$B:$B,"&lt;&gt;Lorena Dias de Araujo",$B:$B,"&lt;&gt;Lucas Luiz Romero")*(10/1083),0)))))),0)</f>
        <v>32</v>
      </c>
      <c r="K317" s="3">
        <f>I317-J317</f>
        <v>2</v>
      </c>
      <c r="L317" s="3" t="str">
        <f>IF(K317&lt;-5,"CRÍTICO",IF(K317&lt;0,"ATENÇÃO",IF(K317&lt;=5,"OPORTUNO","MUITO BOM")))</f>
        <v>OPORTUNO</v>
      </c>
      <c r="M317" s="3">
        <v>27</v>
      </c>
      <c r="N317" s="3">
        <v>95.49</v>
      </c>
      <c r="O317" s="3">
        <v>28.370221327967808</v>
      </c>
    </row>
    <row r="318" spans="1:15" hidden="1" x14ac:dyDescent="0.25">
      <c r="A318" s="11">
        <v>46142</v>
      </c>
      <c r="B318" t="s">
        <v>45</v>
      </c>
      <c r="C318" s="15" t="s">
        <v>32</v>
      </c>
      <c r="D318" s="3">
        <v>36</v>
      </c>
      <c r="E318" s="3">
        <v>33</v>
      </c>
      <c r="F318" s="3">
        <v>18.2</v>
      </c>
      <c r="G318" s="3">
        <v>0</v>
      </c>
      <c r="H318" s="3">
        <v>0</v>
      </c>
      <c r="I318" s="3">
        <f>E318+G318+H318</f>
        <v>33</v>
      </c>
      <c r="J318" s="3">
        <f>ROUND(MIN(IF(C318="Técnico III",35,IF(C318="Técnico II",28,IF(C318="Técnico I",23,IF(C318="JR",20,IF(C318="Estágio",10,0))))),IF(C318="Técnico III",SUMIFS($D:$D,$A:$A,$A318,$B:$B,"&lt;&gt;Patrícia Karla de Sousa Araújo",$B:$B,"&lt;&gt;Lorena Dias de Araujo",$B:$B,"&lt;&gt;Lucas Luiz Romero")*(35/1083),IF(C318="Técnico II",SUMIFS($D:$D,$A:$A,$A318,$B:$B,"&lt;&gt;Patrícia Karla de Sousa Araújo",$B:$B,"&lt;&gt;Lorena Dias de Araujo",$B:$B,"&lt;&gt;Lucas Luiz Romero")*(28/1083),IF(C318="Técnico I",SUMIFS($D:$D,$A:$A,$A318,$B:$B,"&lt;&gt;Patrícia Karla de Sousa Araújo",$B:$B,"&lt;&gt;Lorena Dias de Araujo",$B:$B,"&lt;&gt;Lucas Luiz Romero")*(23/1083),IF(C318="JR",SUMIFS($D:$D,$A:$A,$A318,$B:$B,"&lt;&gt;Patrícia Karla de Sousa Araújo",$B:$B,"&lt;&gt;Lorena Dias de Araujo",$B:$B,"&lt;&gt;Lucas Luiz Romero")*(20/1083),IF(C318="Estágio",SUMIFS($D:$D,$A:$A,$A318,$B:$B,"&lt;&gt;Patrícia Karla de Sousa Araújo",$B:$B,"&lt;&gt;Lorena Dias de Araujo",$B:$B,"&lt;&gt;Lucas Luiz Romero")*(10/1083),0)))))),0)</f>
        <v>32</v>
      </c>
      <c r="K318" s="3">
        <f>I318-J318</f>
        <v>1</v>
      </c>
      <c r="L318" s="3" t="str">
        <f>IF(K318&lt;-5,"CRÍTICO",IF(K318&lt;0,"ATENÇÃO",IF(K318&lt;=5,"OPORTUNO","MUITO BOM")))</f>
        <v>OPORTUNO</v>
      </c>
      <c r="M318" s="3">
        <v>30</v>
      </c>
      <c r="N318" s="3">
        <v>100</v>
      </c>
      <c r="O318" s="3">
        <v>31.135531135531139</v>
      </c>
    </row>
    <row r="319" spans="1:15" hidden="1" x14ac:dyDescent="0.25">
      <c r="A319" s="11">
        <v>46142</v>
      </c>
      <c r="B319" t="s">
        <v>46</v>
      </c>
      <c r="C319" s="15" t="s">
        <v>32</v>
      </c>
      <c r="D319" s="3">
        <v>10</v>
      </c>
      <c r="E319" s="3">
        <v>10</v>
      </c>
      <c r="F319" s="3">
        <v>20.23</v>
      </c>
      <c r="G319" s="3">
        <v>0</v>
      </c>
      <c r="H319" s="3">
        <v>0</v>
      </c>
      <c r="I319" s="3">
        <f>E319+G319+H319</f>
        <v>10</v>
      </c>
      <c r="J319" s="3">
        <f>ROUND(MIN(IF(C319="Técnico III",35,IF(C319="Técnico II",28,IF(C319="Técnico I",23,IF(C319="JR",20,IF(C319="Estágio",10,0))))),IF(C319="Técnico III",SUMIFS($D:$D,$A:$A,$A319,$B:$B,"&lt;&gt;Patrícia Karla de Sousa Araújo",$B:$B,"&lt;&gt;Lorena Dias de Araujo",$B:$B,"&lt;&gt;Lucas Luiz Romero")*(35/1083),IF(C319="Técnico II",SUMIFS($D:$D,$A:$A,$A319,$B:$B,"&lt;&gt;Patrícia Karla de Sousa Araújo",$B:$B,"&lt;&gt;Lorena Dias de Araujo",$B:$B,"&lt;&gt;Lucas Luiz Romero")*(28/1083),IF(C319="Técnico I",SUMIFS($D:$D,$A:$A,$A319,$B:$B,"&lt;&gt;Patrícia Karla de Sousa Araújo",$B:$B,"&lt;&gt;Lorena Dias de Araujo",$B:$B,"&lt;&gt;Lucas Luiz Romero")*(23/1083),IF(C319="JR",SUMIFS($D:$D,$A:$A,$A319,$B:$B,"&lt;&gt;Patrícia Karla de Sousa Araújo",$B:$B,"&lt;&gt;Lorena Dias de Araujo",$B:$B,"&lt;&gt;Lucas Luiz Romero")*(20/1083),IF(C319="Estágio",SUMIFS($D:$D,$A:$A,$A319,$B:$B,"&lt;&gt;Patrícia Karla de Sousa Araújo",$B:$B,"&lt;&gt;Lorena Dias de Araujo",$B:$B,"&lt;&gt;Lucas Luiz Romero")*(10/1083),0)))))),0)</f>
        <v>32</v>
      </c>
      <c r="K319" s="3">
        <f>I319-J319</f>
        <v>-22</v>
      </c>
      <c r="L319" s="3" t="str">
        <f>IF(K319&lt;-5,"CRÍTICO",IF(K319&lt;0,"ATENÇÃO",IF(K319&lt;=5,"OPORTUNO","MUITO BOM")))</f>
        <v>CRÍTICO</v>
      </c>
      <c r="M319" s="3">
        <v>10</v>
      </c>
      <c r="N319" s="3">
        <v>99.21</v>
      </c>
      <c r="O319" s="3">
        <v>25.188916876574311</v>
      </c>
    </row>
    <row r="320" spans="1:15" hidden="1" x14ac:dyDescent="0.25">
      <c r="A320" s="13">
        <v>46142</v>
      </c>
      <c r="B320" t="s">
        <v>47</v>
      </c>
      <c r="C320" s="15" t="s">
        <v>48</v>
      </c>
      <c r="D320" s="3">
        <v>12</v>
      </c>
      <c r="E320" s="3">
        <v>10</v>
      </c>
      <c r="F320" s="3">
        <v>9.1199999999999992</v>
      </c>
      <c r="G320" s="3">
        <v>0</v>
      </c>
      <c r="H320" s="3">
        <v>0</v>
      </c>
      <c r="I320" s="3">
        <f>E320+G320+H320</f>
        <v>10</v>
      </c>
      <c r="J320" s="3">
        <f>ROUND(MIN(IF(C320="Técnico III",35,IF(C320="Técnico II",28,IF(C320="Técnico I",23,IF(C320="JR",20,IF(C320="Estágio",10,0))))),IF(C320="Técnico III",SUMIFS($D:$D,$A:$A,$A320,$B:$B,"&lt;&gt;Patrícia Karla de Sousa Araújo",$B:$B,"&lt;&gt;Lorena Dias de Araujo",$B:$B,"&lt;&gt;Lucas Luiz Romero")*(35/1083),IF(C320="Técnico II",SUMIFS($D:$D,$A:$A,$A320,$B:$B,"&lt;&gt;Patrícia Karla de Sousa Araújo",$B:$B,"&lt;&gt;Lorena Dias de Araujo",$B:$B,"&lt;&gt;Lucas Luiz Romero")*(28/1083),IF(C320="Técnico I",SUMIFS($D:$D,$A:$A,$A320,$B:$B,"&lt;&gt;Patrícia Karla de Sousa Araújo",$B:$B,"&lt;&gt;Lorena Dias de Araujo",$B:$B,"&lt;&gt;Lucas Luiz Romero")*(23/1083),IF(C320="JR",SUMIFS($D:$D,$A:$A,$A320,$B:$B,"&lt;&gt;Patrícia Karla de Sousa Araújo",$B:$B,"&lt;&gt;Lorena Dias de Araujo",$B:$B,"&lt;&gt;Lucas Luiz Romero")*(20/1083),IF(C320="Estágio",SUMIFS($D:$D,$A:$A,$A320,$B:$B,"&lt;&gt;Patrícia Karla de Sousa Araújo",$B:$B,"&lt;&gt;Lorena Dias de Araujo",$B:$B,"&lt;&gt;Lucas Luiz Romero")*(10/1083),0)))))),0)</f>
        <v>26</v>
      </c>
      <c r="K320" s="3">
        <f>I320-J320</f>
        <v>-16</v>
      </c>
      <c r="L320" s="3" t="str">
        <f>IF(K320&lt;-5,"CRÍTICO",IF(K320&lt;0,"ATENÇÃO",IF(K320&lt;=5,"OPORTUNO","MUITO BOM")))</f>
        <v>CRÍTICO</v>
      </c>
      <c r="M320" s="3">
        <v>8</v>
      </c>
      <c r="N320" s="3">
        <v>100</v>
      </c>
      <c r="O320" s="3">
        <v>32.764505119453922</v>
      </c>
    </row>
    <row r="321" spans="1:15" hidden="1" x14ac:dyDescent="0.25">
      <c r="A321" s="11">
        <v>46142</v>
      </c>
      <c r="B321" t="s">
        <v>49</v>
      </c>
      <c r="C321" s="15" t="s">
        <v>48</v>
      </c>
      <c r="D321" s="3">
        <v>32</v>
      </c>
      <c r="E321" s="3">
        <v>31</v>
      </c>
      <c r="F321" s="3">
        <v>13.5</v>
      </c>
      <c r="G321" s="3">
        <v>0</v>
      </c>
      <c r="H321" s="3">
        <v>0</v>
      </c>
      <c r="I321" s="3">
        <f>E321+G321+H321</f>
        <v>31</v>
      </c>
      <c r="J321" s="3">
        <f>ROUND(MIN(IF(C321="Técnico III",35,IF(C321="Técnico II",28,IF(C321="Técnico I",23,IF(C321="JR",20,IF(C321="Estágio",10,0))))),IF(C321="Técnico III",SUMIFS($D:$D,$A:$A,$A321,$B:$B,"&lt;&gt;Patrícia Karla de Sousa Araújo",$B:$B,"&lt;&gt;Lorena Dias de Araujo",$B:$B,"&lt;&gt;Lucas Luiz Romero")*(35/1083),IF(C321="Técnico II",SUMIFS($D:$D,$A:$A,$A321,$B:$B,"&lt;&gt;Patrícia Karla de Sousa Araújo",$B:$B,"&lt;&gt;Lorena Dias de Araujo",$B:$B,"&lt;&gt;Lucas Luiz Romero")*(28/1083),IF(C321="Técnico I",SUMIFS($D:$D,$A:$A,$A321,$B:$B,"&lt;&gt;Patrícia Karla de Sousa Araújo",$B:$B,"&lt;&gt;Lorena Dias de Araujo",$B:$B,"&lt;&gt;Lucas Luiz Romero")*(23/1083),IF(C321="JR",SUMIFS($D:$D,$A:$A,$A321,$B:$B,"&lt;&gt;Patrícia Karla de Sousa Araújo",$B:$B,"&lt;&gt;Lorena Dias de Araujo",$B:$B,"&lt;&gt;Lucas Luiz Romero")*(20/1083),IF(C321="Estágio",SUMIFS($D:$D,$A:$A,$A321,$B:$B,"&lt;&gt;Patrícia Karla de Sousa Araújo",$B:$B,"&lt;&gt;Lorena Dias de Araujo",$B:$B,"&lt;&gt;Lucas Luiz Romero")*(10/1083),0)))))),0)</f>
        <v>26</v>
      </c>
      <c r="K321" s="3">
        <f>I321-J321</f>
        <v>5</v>
      </c>
      <c r="L321" s="3" t="str">
        <f>IF(K321&lt;-5,"CRÍTICO",IF(K321&lt;0,"ATENÇÃO",IF(K321&lt;=5,"OPORTUNO","MUITO BOM")))</f>
        <v>OPORTUNO</v>
      </c>
      <c r="M321" s="3">
        <v>29</v>
      </c>
      <c r="N321" s="3">
        <v>98.82</v>
      </c>
      <c r="O321" s="3">
        <v>30.741410488245929</v>
      </c>
    </row>
    <row r="322" spans="1:15" hidden="1" x14ac:dyDescent="0.25">
      <c r="A322" s="11">
        <v>46142</v>
      </c>
      <c r="B322" t="s">
        <v>50</v>
      </c>
      <c r="C322" s="15" t="s">
        <v>48</v>
      </c>
      <c r="D322" s="3">
        <v>32</v>
      </c>
      <c r="E322" s="3">
        <v>30</v>
      </c>
      <c r="F322" s="3">
        <v>15.09</v>
      </c>
      <c r="G322" s="3">
        <v>0</v>
      </c>
      <c r="H322" s="3">
        <v>0</v>
      </c>
      <c r="I322" s="3">
        <f>E322+G322+H322</f>
        <v>30</v>
      </c>
      <c r="J322" s="3">
        <f>ROUND(MIN(IF(C322="Técnico III",35,IF(C322="Técnico II",28,IF(C322="Técnico I",23,IF(C322="JR",20,IF(C322="Estágio",10,0))))),IF(C322="Técnico III",SUMIFS($D:$D,$A:$A,$A322,$B:$B,"&lt;&gt;Patrícia Karla de Sousa Araújo",$B:$B,"&lt;&gt;Lorena Dias de Araujo",$B:$B,"&lt;&gt;Lucas Luiz Romero")*(35/1083),IF(C322="Técnico II",SUMIFS($D:$D,$A:$A,$A322,$B:$B,"&lt;&gt;Patrícia Karla de Sousa Araújo",$B:$B,"&lt;&gt;Lorena Dias de Araujo",$B:$B,"&lt;&gt;Lucas Luiz Romero")*(28/1083),IF(C322="Técnico I",SUMIFS($D:$D,$A:$A,$A322,$B:$B,"&lt;&gt;Patrícia Karla de Sousa Araújo",$B:$B,"&lt;&gt;Lorena Dias de Araujo",$B:$B,"&lt;&gt;Lucas Luiz Romero")*(23/1083),IF(C322="JR",SUMIFS($D:$D,$A:$A,$A322,$B:$B,"&lt;&gt;Patrícia Karla de Sousa Araújo",$B:$B,"&lt;&gt;Lorena Dias de Araujo",$B:$B,"&lt;&gt;Lucas Luiz Romero")*(20/1083),IF(C322="Estágio",SUMIFS($D:$D,$A:$A,$A322,$B:$B,"&lt;&gt;Patrícia Karla de Sousa Araújo",$B:$B,"&lt;&gt;Lorena Dias de Araujo",$B:$B,"&lt;&gt;Lucas Luiz Romero")*(10/1083),0)))))),0)</f>
        <v>26</v>
      </c>
      <c r="K322" s="3">
        <f>I322-J322</f>
        <v>4</v>
      </c>
      <c r="L322" s="3" t="str">
        <f>IF(K322&lt;-5,"CRÍTICO",IF(K322&lt;0,"ATENÇÃO",IF(K322&lt;=5,"OPORTUNO","MUITO BOM")))</f>
        <v>OPORTUNO</v>
      </c>
      <c r="M322" s="3">
        <v>30</v>
      </c>
      <c r="N322" s="3">
        <v>98.2</v>
      </c>
      <c r="O322" s="3">
        <v>27.170868347338931</v>
      </c>
    </row>
    <row r="323" spans="1:15" hidden="1" x14ac:dyDescent="0.25">
      <c r="A323" s="11">
        <v>46142</v>
      </c>
      <c r="B323" t="s">
        <v>51</v>
      </c>
      <c r="C323" s="15" t="s">
        <v>48</v>
      </c>
      <c r="D323" s="3">
        <v>27</v>
      </c>
      <c r="E323" s="3">
        <v>24</v>
      </c>
      <c r="F323" s="3">
        <v>20.149999999999999</v>
      </c>
      <c r="G323" s="3">
        <v>0</v>
      </c>
      <c r="H323" s="3">
        <v>0</v>
      </c>
      <c r="I323" s="3">
        <f>E323+G323+H323</f>
        <v>24</v>
      </c>
      <c r="J323" s="3">
        <f>ROUND(MIN(IF(C323="Técnico III",35,IF(C323="Técnico II",28,IF(C323="Técnico I",23,IF(C323="JR",20,IF(C323="Estágio",10,0))))),IF(C323="Técnico III",SUMIFS($D:$D,$A:$A,$A323,$B:$B,"&lt;&gt;Patrícia Karla de Sousa Araújo",$B:$B,"&lt;&gt;Lorena Dias de Araujo",$B:$B,"&lt;&gt;Lucas Luiz Romero")*(35/1083),IF(C323="Técnico II",SUMIFS($D:$D,$A:$A,$A323,$B:$B,"&lt;&gt;Patrícia Karla de Sousa Araújo",$B:$B,"&lt;&gt;Lorena Dias de Araujo",$B:$B,"&lt;&gt;Lucas Luiz Romero")*(28/1083),IF(C323="Técnico I",SUMIFS($D:$D,$A:$A,$A323,$B:$B,"&lt;&gt;Patrícia Karla de Sousa Araújo",$B:$B,"&lt;&gt;Lorena Dias de Araujo",$B:$B,"&lt;&gt;Lucas Luiz Romero")*(23/1083),IF(C323="JR",SUMIFS($D:$D,$A:$A,$A323,$B:$B,"&lt;&gt;Patrícia Karla de Sousa Araújo",$B:$B,"&lt;&gt;Lorena Dias de Araujo",$B:$B,"&lt;&gt;Lucas Luiz Romero")*(20/1083),IF(C323="Estágio",SUMIFS($D:$D,$A:$A,$A323,$B:$B,"&lt;&gt;Patrícia Karla de Sousa Araújo",$B:$B,"&lt;&gt;Lorena Dias de Araujo",$B:$B,"&lt;&gt;Lucas Luiz Romero")*(10/1083),0)))))),0)</f>
        <v>26</v>
      </c>
      <c r="K323" s="3">
        <f>I323-J323</f>
        <v>-2</v>
      </c>
      <c r="L323" s="3" t="str">
        <f>IF(K323&lt;-5,"CRÍTICO",IF(K323&lt;0,"ATENÇÃO",IF(K323&lt;=5,"OPORTUNO","MUITO BOM")))</f>
        <v>ATENÇÃO</v>
      </c>
      <c r="M323" s="3">
        <v>18</v>
      </c>
      <c r="N323" s="3">
        <v>97.86</v>
      </c>
      <c r="O323" s="3">
        <v>31.018518518518519</v>
      </c>
    </row>
    <row r="324" spans="1:15" hidden="1" x14ac:dyDescent="0.25">
      <c r="A324" s="11">
        <v>46142</v>
      </c>
      <c r="B324" t="s">
        <v>52</v>
      </c>
      <c r="C324" s="15" t="s">
        <v>48</v>
      </c>
      <c r="D324" s="3">
        <v>38</v>
      </c>
      <c r="E324" s="3">
        <v>38</v>
      </c>
      <c r="F324" s="3">
        <v>15.02</v>
      </c>
      <c r="G324" s="3">
        <v>0</v>
      </c>
      <c r="H324" s="3">
        <v>0</v>
      </c>
      <c r="I324" s="3">
        <f>E324+G324+H324</f>
        <v>38</v>
      </c>
      <c r="J324" s="3">
        <f>ROUND(MIN(IF(C324="Técnico III",35,IF(C324="Técnico II",28,IF(C324="Técnico I",23,IF(C324="JR",20,IF(C324="Estágio",10,0))))),IF(C324="Técnico III",SUMIFS($D:$D,$A:$A,$A324,$B:$B,"&lt;&gt;Patrícia Karla de Sousa Araújo",$B:$B,"&lt;&gt;Lorena Dias de Araujo",$B:$B,"&lt;&gt;Lucas Luiz Romero")*(35/1083),IF(C324="Técnico II",SUMIFS($D:$D,$A:$A,$A324,$B:$B,"&lt;&gt;Patrícia Karla de Sousa Araújo",$B:$B,"&lt;&gt;Lorena Dias de Araujo",$B:$B,"&lt;&gt;Lucas Luiz Romero")*(28/1083),IF(C324="Técnico I",SUMIFS($D:$D,$A:$A,$A324,$B:$B,"&lt;&gt;Patrícia Karla de Sousa Araújo",$B:$B,"&lt;&gt;Lorena Dias de Araujo",$B:$B,"&lt;&gt;Lucas Luiz Romero")*(23/1083),IF(C324="JR",SUMIFS($D:$D,$A:$A,$A324,$B:$B,"&lt;&gt;Patrícia Karla de Sousa Araújo",$B:$B,"&lt;&gt;Lorena Dias de Araujo",$B:$B,"&lt;&gt;Lucas Luiz Romero")*(20/1083),IF(C324="Estágio",SUMIFS($D:$D,$A:$A,$A324,$B:$B,"&lt;&gt;Patrícia Karla de Sousa Araújo",$B:$B,"&lt;&gt;Lorena Dias de Araujo",$B:$B,"&lt;&gt;Lucas Luiz Romero")*(10/1083),0)))))),0)</f>
        <v>26</v>
      </c>
      <c r="K324" s="3">
        <f>I324-J324</f>
        <v>12</v>
      </c>
      <c r="L324" s="3" t="str">
        <f>IF(K324&lt;-5,"CRÍTICO",IF(K324&lt;0,"ATENÇÃO",IF(K324&lt;=5,"OPORTUNO","MUITO BOM")))</f>
        <v>MUITO BOM</v>
      </c>
      <c r="M324" s="3">
        <v>35</v>
      </c>
      <c r="N324" s="3">
        <v>97.83</v>
      </c>
      <c r="O324" s="3">
        <v>28.35164835164835</v>
      </c>
    </row>
    <row r="325" spans="1:15" hidden="1" x14ac:dyDescent="0.25">
      <c r="A325" s="11">
        <v>46036</v>
      </c>
      <c r="B325" t="s">
        <v>22</v>
      </c>
      <c r="C325" t="s">
        <v>23</v>
      </c>
      <c r="D325">
        <v>17</v>
      </c>
      <c r="E325">
        <v>16</v>
      </c>
      <c r="F325">
        <v>22.33</v>
      </c>
      <c r="G325">
        <v>0</v>
      </c>
      <c r="H325">
        <v>0</v>
      </c>
      <c r="I325" s="3">
        <f>E325+G325+H325</f>
        <v>16</v>
      </c>
      <c r="J325" s="3">
        <f>ROUND(MIN(IF(C325="Técnico III",35,IF(C325="Técnico II",28,IF(C325="Técnico I",23,IF(C325="JR",20,IF(C325="Estágio",10,0))))),IF(C325="Técnico III",SUMIFS($D:$D,$A:$A,$A325,$B:$B,"&lt;&gt;Patrícia Karla de Sousa Araújo",$B:$B,"&lt;&gt;Lorena Dias de Araujo",$B:$B,"&lt;&gt;Lucas Luiz Romero")*(35/1083),IF(C325="Técnico II",SUMIFS($D:$D,$A:$A,$A325,$B:$B,"&lt;&gt;Patrícia Karla de Sousa Araújo",$B:$B,"&lt;&gt;Lorena Dias de Araujo",$B:$B,"&lt;&gt;Lucas Luiz Romero")*(28/1083),IF(C325="Técnico I",SUMIFS($D:$D,$A:$A,$A325,$B:$B,"&lt;&gt;Patrícia Karla de Sousa Araújo",$B:$B,"&lt;&gt;Lorena Dias de Araujo",$B:$B,"&lt;&gt;Lucas Luiz Romero")*(23/1083),IF(C325="JR",SUMIFS($D:$D,$A:$A,$A325,$B:$B,"&lt;&gt;Patrícia Karla de Sousa Araújo",$B:$B,"&lt;&gt;Lorena Dias de Araujo",$B:$B,"&lt;&gt;Lucas Luiz Romero")*(20/1083),IF(C325="Estágio",SUMIFS($D:$D,$A:$A,$A325,$B:$B,"&lt;&gt;Patrícia Karla de Sousa Araújo",$B:$B,"&lt;&gt;Lorena Dias de Araujo",$B:$B,"&lt;&gt;Lucas Luiz Romero")*(10/1083),0)))))),0)</f>
        <v>13</v>
      </c>
      <c r="K325" s="3">
        <f>I325-J325</f>
        <v>3</v>
      </c>
      <c r="L325" s="3" t="str">
        <f>IF(K325&lt;-5,"CRÍTICO",IF(K325&lt;0,"ATENÇÃO",IF(K325&lt;=5,"BOM","EXCELENTE")))</f>
        <v>BOM</v>
      </c>
      <c r="M325">
        <v>16</v>
      </c>
      <c r="N325">
        <v>98.91</v>
      </c>
      <c r="O325">
        <v>31.367292225201069</v>
      </c>
    </row>
    <row r="326" spans="1:15" hidden="1" x14ac:dyDescent="0.25">
      <c r="A326" s="11">
        <v>46142</v>
      </c>
      <c r="B326" t="s">
        <v>53</v>
      </c>
      <c r="C326" s="15" t="s">
        <v>48</v>
      </c>
      <c r="D326" s="3">
        <v>42</v>
      </c>
      <c r="E326" s="3">
        <v>42</v>
      </c>
      <c r="F326" s="3">
        <v>16.41</v>
      </c>
      <c r="G326" s="3">
        <v>0</v>
      </c>
      <c r="H326" s="3">
        <v>0</v>
      </c>
      <c r="I326" s="3">
        <f>E326+G326+H326</f>
        <v>42</v>
      </c>
      <c r="J326" s="3">
        <f>ROUND(MIN(IF(C326="Técnico III",35,IF(C326="Técnico II",28,IF(C326="Técnico I",23,IF(C326="JR",20,IF(C326="Estágio",10,0))))),IF(C326="Técnico III",SUMIFS($D:$D,$A:$A,$A326,$B:$B,"&lt;&gt;Patrícia Karla de Sousa Araújo",$B:$B,"&lt;&gt;Lorena Dias de Araujo",$B:$B,"&lt;&gt;Lucas Luiz Romero")*(35/1083),IF(C326="Técnico II",SUMIFS($D:$D,$A:$A,$A326,$B:$B,"&lt;&gt;Patrícia Karla de Sousa Araújo",$B:$B,"&lt;&gt;Lorena Dias de Araujo",$B:$B,"&lt;&gt;Lucas Luiz Romero")*(28/1083),IF(C326="Técnico I",SUMIFS($D:$D,$A:$A,$A326,$B:$B,"&lt;&gt;Patrícia Karla de Sousa Araújo",$B:$B,"&lt;&gt;Lorena Dias de Araujo",$B:$B,"&lt;&gt;Lucas Luiz Romero")*(23/1083),IF(C326="JR",SUMIFS($D:$D,$A:$A,$A326,$B:$B,"&lt;&gt;Patrícia Karla de Sousa Araújo",$B:$B,"&lt;&gt;Lorena Dias de Araujo",$B:$B,"&lt;&gt;Lucas Luiz Romero")*(20/1083),IF(C326="Estágio",SUMIFS($D:$D,$A:$A,$A326,$B:$B,"&lt;&gt;Patrícia Karla de Sousa Araújo",$B:$B,"&lt;&gt;Lorena Dias de Araujo",$B:$B,"&lt;&gt;Lucas Luiz Romero")*(10/1083),0)))))),0)</f>
        <v>26</v>
      </c>
      <c r="K326" s="3">
        <f>I326-J326</f>
        <v>16</v>
      </c>
      <c r="L326" s="3" t="str">
        <f>IF(K326&lt;-5,"CRÍTICO",IF(K326&lt;0,"ATENÇÃO",IF(K326&lt;=5,"OPORTUNO","MUITO BOM")))</f>
        <v>MUITO BOM</v>
      </c>
      <c r="M326" s="3">
        <v>35</v>
      </c>
      <c r="N326" s="3">
        <v>99.19</v>
      </c>
      <c r="O326" s="3">
        <v>29.462365591397852</v>
      </c>
    </row>
    <row r="327" spans="1:15" hidden="1" x14ac:dyDescent="0.25">
      <c r="A327" s="11">
        <v>46142</v>
      </c>
      <c r="B327" t="s">
        <v>54</v>
      </c>
      <c r="C327" s="15" t="s">
        <v>48</v>
      </c>
      <c r="D327" s="3">
        <v>25</v>
      </c>
      <c r="E327" s="3">
        <v>25</v>
      </c>
      <c r="F327" s="3">
        <v>18.5</v>
      </c>
      <c r="G327" s="3">
        <v>0</v>
      </c>
      <c r="H327" s="3">
        <v>0</v>
      </c>
      <c r="I327" s="3">
        <f>E327+G327+H327</f>
        <v>25</v>
      </c>
      <c r="J327" s="3">
        <f>ROUND(MIN(IF(C327="Técnico III",35,IF(C327="Técnico II",28,IF(C327="Técnico I",23,IF(C327="JR",20,IF(C327="Estágio",10,0))))),IF(C327="Técnico III",SUMIFS($D:$D,$A:$A,$A327,$B:$B,"&lt;&gt;Patrícia Karla de Sousa Araújo",$B:$B,"&lt;&gt;Lorena Dias de Araujo",$B:$B,"&lt;&gt;Lucas Luiz Romero")*(35/1083),IF(C327="Técnico II",SUMIFS($D:$D,$A:$A,$A327,$B:$B,"&lt;&gt;Patrícia Karla de Sousa Araújo",$B:$B,"&lt;&gt;Lorena Dias de Araujo",$B:$B,"&lt;&gt;Lucas Luiz Romero")*(28/1083),IF(C327="Técnico I",SUMIFS($D:$D,$A:$A,$A327,$B:$B,"&lt;&gt;Patrícia Karla de Sousa Araújo",$B:$B,"&lt;&gt;Lorena Dias de Araujo",$B:$B,"&lt;&gt;Lucas Luiz Romero")*(23/1083),IF(C327="JR",SUMIFS($D:$D,$A:$A,$A327,$B:$B,"&lt;&gt;Patrícia Karla de Sousa Araújo",$B:$B,"&lt;&gt;Lorena Dias de Araujo",$B:$B,"&lt;&gt;Lucas Luiz Romero")*(20/1083),IF(C327="Estágio",SUMIFS($D:$D,$A:$A,$A327,$B:$B,"&lt;&gt;Patrícia Karla de Sousa Araújo",$B:$B,"&lt;&gt;Lorena Dias de Araujo",$B:$B,"&lt;&gt;Lucas Luiz Romero")*(10/1083),0)))))),0)</f>
        <v>26</v>
      </c>
      <c r="K327" s="3">
        <f>I327-J327</f>
        <v>-1</v>
      </c>
      <c r="L327" s="3" t="str">
        <f>IF(K327&lt;-5,"CRÍTICO",IF(K327&lt;0,"ATENÇÃO",IF(K327&lt;=5,"OPORTUNO","MUITO BOM")))</f>
        <v>ATENÇÃO</v>
      </c>
      <c r="M327" s="3">
        <v>26</v>
      </c>
      <c r="N327" s="3">
        <v>100</v>
      </c>
      <c r="O327" s="3">
        <v>28.921568627450981</v>
      </c>
    </row>
    <row r="328" spans="1:15" hidden="1" x14ac:dyDescent="0.25">
      <c r="A328" s="11">
        <v>46142</v>
      </c>
      <c r="B328" t="s">
        <v>55</v>
      </c>
      <c r="C328" s="15" t="s">
        <v>48</v>
      </c>
      <c r="D328" s="3">
        <v>21</v>
      </c>
      <c r="E328" s="3">
        <v>16</v>
      </c>
      <c r="F328" s="3">
        <v>11.48</v>
      </c>
      <c r="G328" s="3">
        <v>0</v>
      </c>
      <c r="H328" s="3">
        <v>0</v>
      </c>
      <c r="I328" s="3">
        <f>E328+G328+H328</f>
        <v>16</v>
      </c>
      <c r="J328" s="3">
        <f>ROUND(MIN(IF(C328="Técnico III",35,IF(C328="Técnico II",28,IF(C328="Técnico I",23,IF(C328="JR",20,IF(C328="Estágio",10,0))))),IF(C328="Técnico III",SUMIFS($D:$D,$A:$A,$A328,$B:$B,"&lt;&gt;Patrícia Karla de Sousa Araújo",$B:$B,"&lt;&gt;Lorena Dias de Araujo",$B:$B,"&lt;&gt;Lucas Luiz Romero")*(35/1083),IF(C328="Técnico II",SUMIFS($D:$D,$A:$A,$A328,$B:$B,"&lt;&gt;Patrícia Karla de Sousa Araújo",$B:$B,"&lt;&gt;Lorena Dias de Araujo",$B:$B,"&lt;&gt;Lucas Luiz Romero")*(28/1083),IF(C328="Técnico I",SUMIFS($D:$D,$A:$A,$A328,$B:$B,"&lt;&gt;Patrícia Karla de Sousa Araújo",$B:$B,"&lt;&gt;Lorena Dias de Araujo",$B:$B,"&lt;&gt;Lucas Luiz Romero")*(23/1083),IF(C328="JR",SUMIFS($D:$D,$A:$A,$A328,$B:$B,"&lt;&gt;Patrícia Karla de Sousa Araújo",$B:$B,"&lt;&gt;Lorena Dias de Araujo",$B:$B,"&lt;&gt;Lucas Luiz Romero")*(20/1083),IF(C328="Estágio",SUMIFS($D:$D,$A:$A,$A328,$B:$B,"&lt;&gt;Patrícia Karla de Sousa Araújo",$B:$B,"&lt;&gt;Lorena Dias de Araujo",$B:$B,"&lt;&gt;Lucas Luiz Romero")*(10/1083),0)))))),0)</f>
        <v>26</v>
      </c>
      <c r="K328" s="3">
        <f>I328-J328</f>
        <v>-10</v>
      </c>
      <c r="L328" s="3" t="str">
        <f>IF(K328&lt;-5,"CRÍTICO",IF(K328&lt;0,"ATENÇÃO",IF(K328&lt;=5,"OPORTUNO","MUITO BOM")))</f>
        <v>CRÍTICO</v>
      </c>
      <c r="M328" s="3">
        <v>13</v>
      </c>
      <c r="N328" s="3">
        <v>98.81</v>
      </c>
      <c r="O328" s="3">
        <v>26.256983240223459</v>
      </c>
    </row>
    <row r="329" spans="1:15" hidden="1" x14ac:dyDescent="0.25">
      <c r="A329" s="11">
        <v>46142</v>
      </c>
      <c r="B329" t="s">
        <v>56</v>
      </c>
      <c r="C329" s="15" t="s">
        <v>48</v>
      </c>
      <c r="D329" s="3">
        <v>18</v>
      </c>
      <c r="E329" s="3">
        <v>17</v>
      </c>
      <c r="F329" s="3">
        <v>21.44</v>
      </c>
      <c r="G329" s="3">
        <v>0</v>
      </c>
      <c r="H329" s="3">
        <v>0</v>
      </c>
      <c r="I329" s="3">
        <f>E329+G329+H329</f>
        <v>17</v>
      </c>
      <c r="J329" s="3">
        <f>ROUND(MIN(IF(C329="Técnico III",35,IF(C329="Técnico II",28,IF(C329="Técnico I",23,IF(C329="JR",20,IF(C329="Estágio",10,0))))),IF(C329="Técnico III",SUMIFS($D:$D,$A:$A,$A329,$B:$B,"&lt;&gt;Patrícia Karla de Sousa Araújo",$B:$B,"&lt;&gt;Lorena Dias de Araujo",$B:$B,"&lt;&gt;Lucas Luiz Romero")*(35/1083),IF(C329="Técnico II",SUMIFS($D:$D,$A:$A,$A329,$B:$B,"&lt;&gt;Patrícia Karla de Sousa Araújo",$B:$B,"&lt;&gt;Lorena Dias de Araujo",$B:$B,"&lt;&gt;Lucas Luiz Romero")*(28/1083),IF(C329="Técnico I",SUMIFS($D:$D,$A:$A,$A329,$B:$B,"&lt;&gt;Patrícia Karla de Sousa Araújo",$B:$B,"&lt;&gt;Lorena Dias de Araujo",$B:$B,"&lt;&gt;Lucas Luiz Romero")*(23/1083),IF(C329="JR",SUMIFS($D:$D,$A:$A,$A329,$B:$B,"&lt;&gt;Patrícia Karla de Sousa Araújo",$B:$B,"&lt;&gt;Lorena Dias de Araujo",$B:$B,"&lt;&gt;Lucas Luiz Romero")*(20/1083),IF(C329="Estágio",SUMIFS($D:$D,$A:$A,$A329,$B:$B,"&lt;&gt;Patrícia Karla de Sousa Araújo",$B:$B,"&lt;&gt;Lorena Dias de Araujo",$B:$B,"&lt;&gt;Lucas Luiz Romero")*(10/1083),0)))))),0)</f>
        <v>26</v>
      </c>
      <c r="K329" s="3">
        <f>I329-J329</f>
        <v>-9</v>
      </c>
      <c r="L329" s="3" t="str">
        <f>IF(K329&lt;-5,"CRÍTICO",IF(K329&lt;0,"ATENÇÃO",IF(K329&lt;=5,"OPORTUNO","MUITO BOM")))</f>
        <v>CRÍTICO</v>
      </c>
      <c r="M329" s="3">
        <v>1</v>
      </c>
      <c r="N329" s="3">
        <v>99.17</v>
      </c>
      <c r="O329" s="3">
        <v>29.75206611570248</v>
      </c>
    </row>
    <row r="330" spans="1:15" hidden="1" x14ac:dyDescent="0.25">
      <c r="A330" s="11">
        <v>46142</v>
      </c>
      <c r="B330" t="s">
        <v>57</v>
      </c>
      <c r="C330" s="15" t="s">
        <v>48</v>
      </c>
      <c r="D330" s="3">
        <v>0</v>
      </c>
      <c r="E330" s="3">
        <v>0</v>
      </c>
      <c r="F330" s="3">
        <v>0</v>
      </c>
      <c r="G330" s="3">
        <v>0</v>
      </c>
      <c r="H330" s="3">
        <v>0</v>
      </c>
      <c r="I330" s="3">
        <f>E330+G330+H330</f>
        <v>0</v>
      </c>
      <c r="J330" s="3">
        <f>ROUND(MIN(IF(C330="Técnico III",35,IF(C330="Técnico II",28,IF(C330="Técnico I",23,IF(C330="JR",20,IF(C330="Estágio",10,0))))),IF(C330="Técnico III",SUMIFS($D:$D,$A:$A,$A330,$B:$B,"&lt;&gt;Patrícia Karla de Sousa Araújo",$B:$B,"&lt;&gt;Lorena Dias de Araujo",$B:$B,"&lt;&gt;Lucas Luiz Romero")*(35/1083),IF(C330="Técnico II",SUMIFS($D:$D,$A:$A,$A330,$B:$B,"&lt;&gt;Patrícia Karla de Sousa Araújo",$B:$B,"&lt;&gt;Lorena Dias de Araujo",$B:$B,"&lt;&gt;Lucas Luiz Romero")*(28/1083),IF(C330="Técnico I",SUMIFS($D:$D,$A:$A,$A330,$B:$B,"&lt;&gt;Patrícia Karla de Sousa Araújo",$B:$B,"&lt;&gt;Lorena Dias de Araujo",$B:$B,"&lt;&gt;Lucas Luiz Romero")*(23/1083),IF(C330="JR",SUMIFS($D:$D,$A:$A,$A330,$B:$B,"&lt;&gt;Patrícia Karla de Sousa Araújo",$B:$B,"&lt;&gt;Lorena Dias de Araujo",$B:$B,"&lt;&gt;Lucas Luiz Romero")*(20/1083),IF(C330="Estágio",SUMIFS($D:$D,$A:$A,$A330,$B:$B,"&lt;&gt;Patrícia Karla de Sousa Araújo",$B:$B,"&lt;&gt;Lorena Dias de Araujo",$B:$B,"&lt;&gt;Lucas Luiz Romero")*(10/1083),0)))))),0)</f>
        <v>26</v>
      </c>
      <c r="K330" s="3">
        <f>I330-J330</f>
        <v>-26</v>
      </c>
      <c r="L330" s="3" t="str">
        <f>IF(K330&lt;-5,"CRÍTICO",IF(K330&lt;0,"ATENÇÃO",IF(K330&lt;=5,"OPORTUNO","MUITO BOM")))</f>
        <v>CRÍTICO</v>
      </c>
      <c r="M330" s="3">
        <v>0</v>
      </c>
      <c r="N330" s="3">
        <v>98.73</v>
      </c>
      <c r="O330" s="3">
        <v>28.961748633879779</v>
      </c>
    </row>
    <row r="331" spans="1:15" hidden="1" x14ac:dyDescent="0.25">
      <c r="A331" s="11">
        <v>46142</v>
      </c>
      <c r="B331" t="s">
        <v>58</v>
      </c>
      <c r="C331" s="15" t="s">
        <v>48</v>
      </c>
      <c r="D331" s="3">
        <v>31</v>
      </c>
      <c r="E331" s="3">
        <v>27</v>
      </c>
      <c r="F331" s="3">
        <v>15.42</v>
      </c>
      <c r="G331" s="3">
        <v>0</v>
      </c>
      <c r="H331" s="3">
        <v>0</v>
      </c>
      <c r="I331" s="3">
        <f>E331+G331+H331</f>
        <v>27</v>
      </c>
      <c r="J331" s="3">
        <f>ROUND(MIN(IF(C331="Técnico III",35,IF(C331="Técnico II",28,IF(C331="Técnico I",23,IF(C331="JR",20,IF(C331="Estágio",10,0))))),IF(C331="Técnico III",SUMIFS($D:$D,$A:$A,$A331,$B:$B,"&lt;&gt;Patrícia Karla de Sousa Araújo",$B:$B,"&lt;&gt;Lorena Dias de Araujo",$B:$B,"&lt;&gt;Lucas Luiz Romero")*(35/1083),IF(C331="Técnico II",SUMIFS($D:$D,$A:$A,$A331,$B:$B,"&lt;&gt;Patrícia Karla de Sousa Araújo",$B:$B,"&lt;&gt;Lorena Dias de Araujo",$B:$B,"&lt;&gt;Lucas Luiz Romero")*(28/1083),IF(C331="Técnico I",SUMIFS($D:$D,$A:$A,$A331,$B:$B,"&lt;&gt;Patrícia Karla de Sousa Araújo",$B:$B,"&lt;&gt;Lorena Dias de Araujo",$B:$B,"&lt;&gt;Lucas Luiz Romero")*(23/1083),IF(C331="JR",SUMIFS($D:$D,$A:$A,$A331,$B:$B,"&lt;&gt;Patrícia Karla de Sousa Araújo",$B:$B,"&lt;&gt;Lorena Dias de Araujo",$B:$B,"&lt;&gt;Lucas Luiz Romero")*(20/1083),IF(C331="Estágio",SUMIFS($D:$D,$A:$A,$A331,$B:$B,"&lt;&gt;Patrícia Karla de Sousa Araújo",$B:$B,"&lt;&gt;Lorena Dias de Araujo",$B:$B,"&lt;&gt;Lucas Luiz Romero")*(10/1083),0)))))),0)</f>
        <v>26</v>
      </c>
      <c r="K331" s="3">
        <f>I331-J331</f>
        <v>1</v>
      </c>
      <c r="L331" s="3" t="str">
        <f>IF(K331&lt;-5,"CRÍTICO",IF(K331&lt;0,"ATENÇÃO",IF(K331&lt;=5,"OPORTUNO","MUITO BOM")))</f>
        <v>OPORTUNO</v>
      </c>
      <c r="M331" s="3">
        <v>24</v>
      </c>
      <c r="N331" s="3">
        <v>99.02</v>
      </c>
      <c r="O331" s="3">
        <v>34.797297297297298</v>
      </c>
    </row>
    <row r="332" spans="1:15" hidden="1" x14ac:dyDescent="0.25">
      <c r="A332" s="11">
        <v>46142</v>
      </c>
      <c r="B332" t="s">
        <v>59</v>
      </c>
      <c r="C332" s="15" t="s">
        <v>23</v>
      </c>
      <c r="D332" s="3">
        <v>26</v>
      </c>
      <c r="E332" s="3">
        <v>24</v>
      </c>
      <c r="F332" s="3">
        <v>18.239999999999998</v>
      </c>
      <c r="G332" s="3">
        <v>0</v>
      </c>
      <c r="H332" s="3">
        <v>0</v>
      </c>
      <c r="I332" s="3">
        <f>E332+G332+H332</f>
        <v>24</v>
      </c>
      <c r="J332" s="3">
        <f>ROUND(MIN(IF(C332="Técnico III",35,IF(C332="Técnico II",28,IF(C332="Técnico I",23,IF(C332="JR",20,IF(C332="Estágio",10,0))))),IF(C332="Técnico III",SUMIFS($D:$D,$A:$A,$A332,$B:$B,"&lt;&gt;Patrícia Karla de Sousa Araújo",$B:$B,"&lt;&gt;Lorena Dias de Araujo",$B:$B,"&lt;&gt;Lucas Luiz Romero")*(35/1083),IF(C332="Técnico II",SUMIFS($D:$D,$A:$A,$A332,$B:$B,"&lt;&gt;Patrícia Karla de Sousa Araújo",$B:$B,"&lt;&gt;Lorena Dias de Araujo",$B:$B,"&lt;&gt;Lucas Luiz Romero")*(28/1083),IF(C332="Técnico I",SUMIFS($D:$D,$A:$A,$A332,$B:$B,"&lt;&gt;Patrícia Karla de Sousa Araújo",$B:$B,"&lt;&gt;Lorena Dias de Araujo",$B:$B,"&lt;&gt;Lucas Luiz Romero")*(23/1083),IF(C332="JR",SUMIFS($D:$D,$A:$A,$A332,$B:$B,"&lt;&gt;Patrícia Karla de Sousa Araújo",$B:$B,"&lt;&gt;Lorena Dias de Araujo",$B:$B,"&lt;&gt;Lucas Luiz Romero")*(20/1083),IF(C332="Estágio",SUMIFS($D:$D,$A:$A,$A332,$B:$B,"&lt;&gt;Patrícia Karla de Sousa Araújo",$B:$B,"&lt;&gt;Lorena Dias de Araujo",$B:$B,"&lt;&gt;Lucas Luiz Romero")*(10/1083),0)))))),0)</f>
        <v>21</v>
      </c>
      <c r="K332" s="3">
        <f>I332-J332</f>
        <v>3</v>
      </c>
      <c r="L332" s="3" t="str">
        <f>IF(K332&lt;-5,"CRÍTICO",IF(K332&lt;0,"ATENÇÃO",IF(K332&lt;=5,"OPORTUNO","MUITO BOM")))</f>
        <v>OPORTUNO</v>
      </c>
      <c r="M332" s="3">
        <v>26</v>
      </c>
      <c r="N332" s="3">
        <v>99.32</v>
      </c>
      <c r="O332" s="3">
        <v>30.648330058939099</v>
      </c>
    </row>
    <row r="333" spans="1:15" hidden="1" x14ac:dyDescent="0.25">
      <c r="A333" s="11">
        <v>46142</v>
      </c>
      <c r="B333" t="s">
        <v>60</v>
      </c>
      <c r="C333" s="15" t="s">
        <v>23</v>
      </c>
      <c r="D333" s="3">
        <v>23</v>
      </c>
      <c r="E333" s="3">
        <v>23</v>
      </c>
      <c r="F333" s="3">
        <v>25.3</v>
      </c>
      <c r="G333" s="3">
        <v>0</v>
      </c>
      <c r="H333" s="3">
        <v>0</v>
      </c>
      <c r="I333" s="3">
        <f>E333+G333+H333</f>
        <v>23</v>
      </c>
      <c r="J333" s="3">
        <f>ROUND(MIN(IF(C333="Técnico III",35,IF(C333="Técnico II",28,IF(C333="Técnico I",23,IF(C333="JR",20,IF(C333="Estágio",10,0))))),IF(C333="Técnico III",SUMIFS($D:$D,$A:$A,$A333,$B:$B,"&lt;&gt;Patrícia Karla de Sousa Araújo",$B:$B,"&lt;&gt;Lorena Dias de Araujo",$B:$B,"&lt;&gt;Lucas Luiz Romero")*(35/1083),IF(C333="Técnico II",SUMIFS($D:$D,$A:$A,$A333,$B:$B,"&lt;&gt;Patrícia Karla de Sousa Araújo",$B:$B,"&lt;&gt;Lorena Dias de Araujo",$B:$B,"&lt;&gt;Lucas Luiz Romero")*(28/1083),IF(C333="Técnico I",SUMIFS($D:$D,$A:$A,$A333,$B:$B,"&lt;&gt;Patrícia Karla de Sousa Araújo",$B:$B,"&lt;&gt;Lorena Dias de Araujo",$B:$B,"&lt;&gt;Lucas Luiz Romero")*(23/1083),IF(C333="JR",SUMIFS($D:$D,$A:$A,$A333,$B:$B,"&lt;&gt;Patrícia Karla de Sousa Araújo",$B:$B,"&lt;&gt;Lorena Dias de Araujo",$B:$B,"&lt;&gt;Lucas Luiz Romero")*(20/1083),IF(C333="Estágio",SUMIFS($D:$D,$A:$A,$A333,$B:$B,"&lt;&gt;Patrícia Karla de Sousa Araújo",$B:$B,"&lt;&gt;Lorena Dias de Araujo",$B:$B,"&lt;&gt;Lucas Luiz Romero")*(10/1083),0)))))),0)</f>
        <v>21</v>
      </c>
      <c r="K333" s="3">
        <f>I333-J333</f>
        <v>2</v>
      </c>
      <c r="L333" s="3" t="str">
        <f>IF(K333&lt;-5,"CRÍTICO",IF(K333&lt;0,"ATENÇÃO",IF(K333&lt;=5,"OPORTUNO","MUITO BOM")))</f>
        <v>OPORTUNO</v>
      </c>
      <c r="M333" s="3">
        <v>19</v>
      </c>
      <c r="N333" s="3">
        <v>96.3</v>
      </c>
      <c r="O333" s="3">
        <v>32.219570405727922</v>
      </c>
    </row>
    <row r="334" spans="1:15" hidden="1" x14ac:dyDescent="0.25">
      <c r="A334" s="11">
        <v>46142</v>
      </c>
      <c r="B334" t="s">
        <v>61</v>
      </c>
      <c r="C334" s="15" t="s">
        <v>23</v>
      </c>
      <c r="D334" s="3">
        <v>23</v>
      </c>
      <c r="E334" s="3">
        <v>23</v>
      </c>
      <c r="F334" s="3">
        <v>20.21</v>
      </c>
      <c r="G334" s="3">
        <v>0</v>
      </c>
      <c r="H334" s="3">
        <v>0</v>
      </c>
      <c r="I334" s="3">
        <f>E334+G334+H334</f>
        <v>23</v>
      </c>
      <c r="J334" s="3">
        <f>ROUND(MIN(IF(C334="Técnico III",35,IF(C334="Técnico II",28,IF(C334="Técnico I",23,IF(C334="JR",20,IF(C334="Estágio",10,0))))),IF(C334="Técnico III",SUMIFS($D:$D,$A:$A,$A334,$B:$B,"&lt;&gt;Patrícia Karla de Sousa Araújo",$B:$B,"&lt;&gt;Lorena Dias de Araujo",$B:$B,"&lt;&gt;Lucas Luiz Romero")*(35/1083),IF(C334="Técnico II",SUMIFS($D:$D,$A:$A,$A334,$B:$B,"&lt;&gt;Patrícia Karla de Sousa Araújo",$B:$B,"&lt;&gt;Lorena Dias de Araujo",$B:$B,"&lt;&gt;Lucas Luiz Romero")*(28/1083),IF(C334="Técnico I",SUMIFS($D:$D,$A:$A,$A334,$B:$B,"&lt;&gt;Patrícia Karla de Sousa Araújo",$B:$B,"&lt;&gt;Lorena Dias de Araujo",$B:$B,"&lt;&gt;Lucas Luiz Romero")*(23/1083),IF(C334="JR",SUMIFS($D:$D,$A:$A,$A334,$B:$B,"&lt;&gt;Patrícia Karla de Sousa Araújo",$B:$B,"&lt;&gt;Lorena Dias de Araujo",$B:$B,"&lt;&gt;Lucas Luiz Romero")*(20/1083),IF(C334="Estágio",SUMIFS($D:$D,$A:$A,$A334,$B:$B,"&lt;&gt;Patrícia Karla de Sousa Araújo",$B:$B,"&lt;&gt;Lorena Dias de Araujo",$B:$B,"&lt;&gt;Lucas Luiz Romero")*(10/1083),0)))))),0)</f>
        <v>21</v>
      </c>
      <c r="K334" s="3">
        <f>I334-J334</f>
        <v>2</v>
      </c>
      <c r="L334" s="3" t="str">
        <f>IF(K334&lt;-5,"CRÍTICO",IF(K334&lt;0,"ATENÇÃO",IF(K334&lt;=5,"OPORTUNO","MUITO BOM")))</f>
        <v>OPORTUNO</v>
      </c>
      <c r="M334" s="3">
        <v>17</v>
      </c>
      <c r="N334" s="3">
        <v>100</v>
      </c>
      <c r="O334" s="3">
        <v>36.594202898550733</v>
      </c>
    </row>
    <row r="335" spans="1:15" hidden="1" x14ac:dyDescent="0.25">
      <c r="A335" s="11">
        <v>46142</v>
      </c>
      <c r="B335" t="s">
        <v>22</v>
      </c>
      <c r="C335" s="15" t="s">
        <v>23</v>
      </c>
      <c r="D335" s="3">
        <v>3</v>
      </c>
      <c r="E335" s="3">
        <v>3</v>
      </c>
      <c r="F335" s="3">
        <v>15.05</v>
      </c>
      <c r="G335" s="3">
        <v>0</v>
      </c>
      <c r="H335" s="3">
        <v>0</v>
      </c>
      <c r="I335" s="3">
        <f>E335+G335+H335</f>
        <v>3</v>
      </c>
      <c r="J335" s="3">
        <f>ROUND(MIN(IF(C335="Técnico III",35,IF(C335="Técnico II",28,IF(C335="Técnico I",23,IF(C335="JR",20,IF(C335="Estágio",10,0))))),IF(C335="Técnico III",SUMIFS($D:$D,$A:$A,$A335,$B:$B,"&lt;&gt;Patrícia Karla de Sousa Araújo",$B:$B,"&lt;&gt;Lorena Dias de Araujo",$B:$B,"&lt;&gt;Lucas Luiz Romero")*(35/1083),IF(C335="Técnico II",SUMIFS($D:$D,$A:$A,$A335,$B:$B,"&lt;&gt;Patrícia Karla de Sousa Araújo",$B:$B,"&lt;&gt;Lorena Dias de Araujo",$B:$B,"&lt;&gt;Lucas Luiz Romero")*(28/1083),IF(C335="Técnico I",SUMIFS($D:$D,$A:$A,$A335,$B:$B,"&lt;&gt;Patrícia Karla de Sousa Araújo",$B:$B,"&lt;&gt;Lorena Dias de Araujo",$B:$B,"&lt;&gt;Lucas Luiz Romero")*(23/1083),IF(C335="JR",SUMIFS($D:$D,$A:$A,$A335,$B:$B,"&lt;&gt;Patrícia Karla de Sousa Araújo",$B:$B,"&lt;&gt;Lorena Dias de Araujo",$B:$B,"&lt;&gt;Lucas Luiz Romero")*(20/1083),IF(C335="Estágio",SUMIFS($D:$D,$A:$A,$A335,$B:$B,"&lt;&gt;Patrícia Karla de Sousa Araújo",$B:$B,"&lt;&gt;Lorena Dias de Araujo",$B:$B,"&lt;&gt;Lucas Luiz Romero")*(10/1083),0)))))),0)</f>
        <v>21</v>
      </c>
      <c r="K335" s="3">
        <f>I335-J335</f>
        <v>-18</v>
      </c>
      <c r="L335" s="3" t="str">
        <f>IF(K335&lt;-5,"CRÍTICO",IF(K335&lt;0,"ATENÇÃO",IF(K335&lt;=5,"OPORTUNO","MUITO BOM")))</f>
        <v>CRÍTICO</v>
      </c>
      <c r="M335" s="3">
        <v>24</v>
      </c>
      <c r="N335" s="3">
        <v>99.28</v>
      </c>
      <c r="O335" s="3">
        <v>27.689243027888441</v>
      </c>
    </row>
    <row r="336" spans="1:15" hidden="1" x14ac:dyDescent="0.25">
      <c r="A336" s="11">
        <v>46142</v>
      </c>
      <c r="B336" t="s">
        <v>62</v>
      </c>
      <c r="C336" s="15" t="s">
        <v>23</v>
      </c>
      <c r="D336" s="3">
        <v>30</v>
      </c>
      <c r="E336" s="3">
        <v>28</v>
      </c>
      <c r="F336" s="3">
        <v>16.54</v>
      </c>
      <c r="G336" s="3">
        <v>0</v>
      </c>
      <c r="H336" s="3">
        <v>0</v>
      </c>
      <c r="I336" s="3">
        <f>E336+G336+H336</f>
        <v>28</v>
      </c>
      <c r="J336" s="3">
        <f>ROUND(MIN(IF(C336="Técnico III",35,IF(C336="Técnico II",28,IF(C336="Técnico I",23,IF(C336="JR",20,IF(C336="Estágio",10,0))))),IF(C336="Técnico III",SUMIFS($D:$D,$A:$A,$A336,$B:$B,"&lt;&gt;Patrícia Karla de Sousa Araújo",$B:$B,"&lt;&gt;Lorena Dias de Araujo",$B:$B,"&lt;&gt;Lucas Luiz Romero")*(35/1083),IF(C336="Técnico II",SUMIFS($D:$D,$A:$A,$A336,$B:$B,"&lt;&gt;Patrícia Karla de Sousa Araújo",$B:$B,"&lt;&gt;Lorena Dias de Araujo",$B:$B,"&lt;&gt;Lucas Luiz Romero")*(28/1083),IF(C336="Técnico I",SUMIFS($D:$D,$A:$A,$A336,$B:$B,"&lt;&gt;Patrícia Karla de Sousa Araújo",$B:$B,"&lt;&gt;Lorena Dias de Araujo",$B:$B,"&lt;&gt;Lucas Luiz Romero")*(23/1083),IF(C336="JR",SUMIFS($D:$D,$A:$A,$A336,$B:$B,"&lt;&gt;Patrícia Karla de Sousa Araújo",$B:$B,"&lt;&gt;Lorena Dias de Araujo",$B:$B,"&lt;&gt;Lucas Luiz Romero")*(20/1083),IF(C336="Estágio",SUMIFS($D:$D,$A:$A,$A336,$B:$B,"&lt;&gt;Patrícia Karla de Sousa Araújo",$B:$B,"&lt;&gt;Lorena Dias de Araujo",$B:$B,"&lt;&gt;Lucas Luiz Romero")*(10/1083),0)))))),0)</f>
        <v>21</v>
      </c>
      <c r="K336" s="3">
        <f>I336-J336</f>
        <v>7</v>
      </c>
      <c r="L336" s="3" t="str">
        <f>IF(K336&lt;-5,"CRÍTICO",IF(K336&lt;0,"ATENÇÃO",IF(K336&lt;=5,"OPORTUNO","MUITO BOM")))</f>
        <v>MUITO BOM</v>
      </c>
      <c r="M336" s="3">
        <v>26</v>
      </c>
      <c r="N336" s="3">
        <v>97.37</v>
      </c>
      <c r="O336" s="3">
        <v>25.76530612244898</v>
      </c>
    </row>
    <row r="337" spans="1:15" hidden="1" x14ac:dyDescent="0.25">
      <c r="A337" s="11">
        <v>46142</v>
      </c>
      <c r="B337" t="s">
        <v>63</v>
      </c>
      <c r="C337" s="15" t="s">
        <v>23</v>
      </c>
      <c r="D337" s="3">
        <v>27</v>
      </c>
      <c r="E337" s="3">
        <v>24</v>
      </c>
      <c r="F337" s="3">
        <v>15.08</v>
      </c>
      <c r="G337" s="3">
        <v>0</v>
      </c>
      <c r="H337" s="3">
        <v>0</v>
      </c>
      <c r="I337" s="3">
        <f>E337+G337+H337</f>
        <v>24</v>
      </c>
      <c r="J337" s="3">
        <f>ROUND(MIN(IF(C337="Técnico III",35,IF(C337="Técnico II",28,IF(C337="Técnico I",23,IF(C337="JR",20,IF(C337="Estágio",10,0))))),IF(C337="Técnico III",SUMIFS($D:$D,$A:$A,$A337,$B:$B,"&lt;&gt;Patrícia Karla de Sousa Araújo",$B:$B,"&lt;&gt;Lorena Dias de Araujo",$B:$B,"&lt;&gt;Lucas Luiz Romero")*(35/1083),IF(C337="Técnico II",SUMIFS($D:$D,$A:$A,$A337,$B:$B,"&lt;&gt;Patrícia Karla de Sousa Araújo",$B:$B,"&lt;&gt;Lorena Dias de Araujo",$B:$B,"&lt;&gt;Lucas Luiz Romero")*(28/1083),IF(C337="Técnico I",SUMIFS($D:$D,$A:$A,$A337,$B:$B,"&lt;&gt;Patrícia Karla de Sousa Araújo",$B:$B,"&lt;&gt;Lorena Dias de Araujo",$B:$B,"&lt;&gt;Lucas Luiz Romero")*(23/1083),IF(C337="JR",SUMIFS($D:$D,$A:$A,$A337,$B:$B,"&lt;&gt;Patrícia Karla de Sousa Araújo",$B:$B,"&lt;&gt;Lorena Dias de Araujo",$B:$B,"&lt;&gt;Lucas Luiz Romero")*(20/1083),IF(C337="Estágio",SUMIFS($D:$D,$A:$A,$A337,$B:$B,"&lt;&gt;Patrícia Karla de Sousa Araújo",$B:$B,"&lt;&gt;Lorena Dias de Araujo",$B:$B,"&lt;&gt;Lucas Luiz Romero")*(10/1083),0)))))),0)</f>
        <v>21</v>
      </c>
      <c r="K337" s="3">
        <f>I337-J337</f>
        <v>3</v>
      </c>
      <c r="L337" s="3" t="str">
        <f>IF(K337&lt;-5,"CRÍTICO",IF(K337&lt;0,"ATENÇÃO",IF(K337&lt;=5,"OPORTUNO","MUITO BOM")))</f>
        <v>OPORTUNO</v>
      </c>
      <c r="M337" s="3">
        <v>22</v>
      </c>
      <c r="N337" s="3">
        <v>98.32</v>
      </c>
      <c r="O337" s="3">
        <v>26.858513189448441</v>
      </c>
    </row>
    <row r="338" spans="1:15" hidden="1" x14ac:dyDescent="0.25">
      <c r="A338" s="11">
        <v>46142</v>
      </c>
      <c r="B338" t="s">
        <v>64</v>
      </c>
      <c r="C338" s="15" t="s">
        <v>23</v>
      </c>
      <c r="D338" s="3">
        <v>10</v>
      </c>
      <c r="E338" s="3">
        <v>10</v>
      </c>
      <c r="F338" s="3">
        <v>23.27</v>
      </c>
      <c r="G338" s="3">
        <v>0</v>
      </c>
      <c r="H338" s="3">
        <v>0</v>
      </c>
      <c r="I338" s="3">
        <f>E338+G338+H338</f>
        <v>10</v>
      </c>
      <c r="J338" s="3">
        <f>ROUND(MIN(IF(C338="Técnico III",35,IF(C338="Técnico II",28,IF(C338="Técnico I",23,IF(C338="JR",20,IF(C338="Estágio",10,0))))),IF(C338="Técnico III",SUMIFS($D:$D,$A:$A,$A338,$B:$B,"&lt;&gt;Patrícia Karla de Sousa Araújo",$B:$B,"&lt;&gt;Lorena Dias de Araujo",$B:$B,"&lt;&gt;Lucas Luiz Romero")*(35/1083),IF(C338="Técnico II",SUMIFS($D:$D,$A:$A,$A338,$B:$B,"&lt;&gt;Patrícia Karla de Sousa Araújo",$B:$B,"&lt;&gt;Lorena Dias de Araujo",$B:$B,"&lt;&gt;Lucas Luiz Romero")*(28/1083),IF(C338="Técnico I",SUMIFS($D:$D,$A:$A,$A338,$B:$B,"&lt;&gt;Patrícia Karla de Sousa Araújo",$B:$B,"&lt;&gt;Lorena Dias de Araujo",$B:$B,"&lt;&gt;Lucas Luiz Romero")*(23/1083),IF(C338="JR",SUMIFS($D:$D,$A:$A,$A338,$B:$B,"&lt;&gt;Patrícia Karla de Sousa Araújo",$B:$B,"&lt;&gt;Lorena Dias de Araujo",$B:$B,"&lt;&gt;Lucas Luiz Romero")*(20/1083),IF(C338="Estágio",SUMIFS($D:$D,$A:$A,$A338,$B:$B,"&lt;&gt;Patrícia Karla de Sousa Araújo",$B:$B,"&lt;&gt;Lorena Dias de Araujo",$B:$B,"&lt;&gt;Lucas Luiz Romero")*(10/1083),0)))))),0)</f>
        <v>21</v>
      </c>
      <c r="K338" s="3">
        <f>I338-J338</f>
        <v>-11</v>
      </c>
      <c r="L338" s="3" t="str">
        <f>IF(K338&lt;-5,"CRÍTICO",IF(K338&lt;0,"ATENÇÃO",IF(K338&lt;=5,"OPORTUNO","MUITO BOM")))</f>
        <v>CRÍTICO</v>
      </c>
      <c r="M338" s="3">
        <v>10</v>
      </c>
      <c r="N338" s="3">
        <v>100</v>
      </c>
      <c r="O338" s="3">
        <v>26.36986301369863</v>
      </c>
    </row>
    <row r="339" spans="1:15" hidden="1" x14ac:dyDescent="0.25">
      <c r="A339" s="5">
        <v>46146</v>
      </c>
      <c r="B339" s="6" t="s">
        <v>31</v>
      </c>
      <c r="C339" s="1" t="s">
        <v>32</v>
      </c>
      <c r="D339" s="3">
        <v>0</v>
      </c>
      <c r="E339" s="3">
        <v>0</v>
      </c>
      <c r="F339" s="3">
        <v>0</v>
      </c>
      <c r="G339" s="3">
        <v>0</v>
      </c>
      <c r="H339" s="3">
        <v>0</v>
      </c>
      <c r="I339" s="3">
        <v>0</v>
      </c>
      <c r="J339" s="3">
        <v>0</v>
      </c>
      <c r="K339" s="3">
        <v>0</v>
      </c>
      <c r="L339" s="3" t="str">
        <f>IF(K339&lt;-5,"CRÍTICO",IF(K339&lt;0,"ATENÇÃO",IF(K339&lt;=5,"BOM","EXCELENTE")))</f>
        <v>BOM</v>
      </c>
      <c r="M339" s="3">
        <v>0</v>
      </c>
      <c r="N339" s="3">
        <v>100</v>
      </c>
      <c r="O339" s="3">
        <v>0</v>
      </c>
    </row>
    <row r="340" spans="1:15" hidden="1" x14ac:dyDescent="0.25">
      <c r="A340" s="5">
        <v>46146</v>
      </c>
      <c r="B340" s="6" t="s">
        <v>33</v>
      </c>
      <c r="C340" s="14" t="s">
        <v>32</v>
      </c>
      <c r="D340" s="3">
        <v>30</v>
      </c>
      <c r="E340" s="3">
        <v>27</v>
      </c>
      <c r="F340" s="3">
        <v>17.2</v>
      </c>
      <c r="G340" s="3">
        <v>0</v>
      </c>
      <c r="H340" s="3">
        <v>0</v>
      </c>
      <c r="I340" s="3">
        <f>E340+G340+H340</f>
        <v>27</v>
      </c>
      <c r="J340" s="3">
        <f>ROUND(MIN(IF(C340="Técnico III",35,IF(C340="Técnico II",28,IF(C340="Técnico I",23,IF(C340="JR",20,IF(C340="Estágio",10,0))))),IF(C340="Técnico III",SUMIFS($D:$D,$A:$A,$A340,$B:$B,"&lt;&gt;Patrícia Karla de Sousa Araújo",$B:$B,"&lt;&gt;Lorena Dias de Araujo",$B:$B,"&lt;&gt;Lucas Luiz Romero")*(35/1083),IF(C340="Técnico II",SUMIFS($D:$D,$A:$A,$A340,$B:$B,"&lt;&gt;Patrícia Karla de Sousa Araújo",$B:$B,"&lt;&gt;Lorena Dias de Araujo",$B:$B,"&lt;&gt;Lucas Luiz Romero")*(28/1083),IF(C340="Técnico I",SUMIFS($D:$D,$A:$A,$A340,$B:$B,"&lt;&gt;Patrícia Karla de Sousa Araújo",$B:$B,"&lt;&gt;Lorena Dias de Araujo",$B:$B,"&lt;&gt;Lucas Luiz Romero")*(23/1083),IF(C340="JR",SUMIFS($D:$D,$A:$A,$A340,$B:$B,"&lt;&gt;Patrícia Karla de Sousa Araújo",$B:$B,"&lt;&gt;Lorena Dias de Araujo",$B:$B,"&lt;&gt;Lucas Luiz Romero")*(20/1083),IF(C340="Estágio",SUMIFS($D:$D,$A:$A,$A340,$B:$B,"&lt;&gt;Patrícia Karla de Sousa Araújo",$B:$B,"&lt;&gt;Lorena Dias de Araujo",$B:$B,"&lt;&gt;Lucas Luiz Romero")*(10/1083),0)))))),0)</f>
        <v>35</v>
      </c>
      <c r="K340" s="3">
        <f>I340-J340</f>
        <v>-8</v>
      </c>
      <c r="L340" s="3" t="str">
        <f>IF(K340&lt;-5,"CRÍTICO",IF(K340&lt;0,"ATENÇÃO",IF(K340&lt;=5,"OPORTUNO","MUITO BOM")))</f>
        <v>CRÍTICO</v>
      </c>
      <c r="M340" s="3">
        <v>31</v>
      </c>
      <c r="N340" s="3">
        <v>96.94</v>
      </c>
      <c r="O340" s="3">
        <v>19.613259668508292</v>
      </c>
    </row>
    <row r="341" spans="1:15" hidden="1" x14ac:dyDescent="0.25">
      <c r="A341" s="5">
        <v>46146</v>
      </c>
      <c r="B341" s="6" t="s">
        <v>34</v>
      </c>
      <c r="C341" s="1" t="s">
        <v>32</v>
      </c>
      <c r="D341" s="3">
        <v>38</v>
      </c>
      <c r="E341" s="3">
        <v>37</v>
      </c>
      <c r="F341" s="3">
        <v>13.54</v>
      </c>
      <c r="G341" s="3">
        <v>1</v>
      </c>
      <c r="H341" s="3">
        <v>0</v>
      </c>
      <c r="I341" s="3">
        <f>E341+G341+H341</f>
        <v>38</v>
      </c>
      <c r="J341" s="3">
        <f>ROUND(MIN(IF(C341="Técnico III",35,IF(C341="Técnico II",28,IF(C341="Técnico I",23,IF(C341="JR",20,IF(C341="Estágio",10,0))))),IF(C341="Técnico III",SUMIFS($D:$D,$A:$A,$A341,$B:$B,"&lt;&gt;Patrícia Karla de Sousa Araújo",$B:$B,"&lt;&gt;Lorena Dias de Araujo",$B:$B,"&lt;&gt;Lucas Luiz Romero")*(35/1083),IF(C341="Técnico II",SUMIFS($D:$D,$A:$A,$A341,$B:$B,"&lt;&gt;Patrícia Karla de Sousa Araújo",$B:$B,"&lt;&gt;Lorena Dias de Araujo",$B:$B,"&lt;&gt;Lucas Luiz Romero")*(28/1083),IF(C341="Técnico I",SUMIFS($D:$D,$A:$A,$A341,$B:$B,"&lt;&gt;Patrícia Karla de Sousa Araújo",$B:$B,"&lt;&gt;Lorena Dias de Araujo",$B:$B,"&lt;&gt;Lucas Luiz Romero")*(23/1083),IF(C341="JR",SUMIFS($D:$D,$A:$A,$A341,$B:$B,"&lt;&gt;Patrícia Karla de Sousa Araújo",$B:$B,"&lt;&gt;Lorena Dias de Araujo",$B:$B,"&lt;&gt;Lucas Luiz Romero")*(20/1083),IF(C341="Estágio",SUMIFS($D:$D,$A:$A,$A341,$B:$B,"&lt;&gt;Patrícia Karla de Sousa Araújo",$B:$B,"&lt;&gt;Lorena Dias de Araujo",$B:$B,"&lt;&gt;Lucas Luiz Romero")*(10/1083),0)))))),0)</f>
        <v>35</v>
      </c>
      <c r="K341" s="3">
        <f>I341-J341</f>
        <v>3</v>
      </c>
      <c r="L341" s="3" t="str">
        <f>IF(K341&lt;-5,"CRÍTICO",IF(K341&lt;0,"ATENÇÃO",IF(K341&lt;=5,"OPORTUNO","MUITO BOM")))</f>
        <v>OPORTUNO</v>
      </c>
      <c r="M341" s="3">
        <v>32</v>
      </c>
      <c r="N341" s="3">
        <v>92.81</v>
      </c>
      <c r="O341" s="3">
        <v>25.477707006369432</v>
      </c>
    </row>
    <row r="342" spans="1:15" hidden="1" x14ac:dyDescent="0.25">
      <c r="A342" s="5">
        <v>46146</v>
      </c>
      <c r="B342" s="6" t="s">
        <v>35</v>
      </c>
      <c r="C342" s="14" t="s">
        <v>32</v>
      </c>
      <c r="D342" s="3">
        <v>21</v>
      </c>
      <c r="E342" s="3">
        <v>20</v>
      </c>
      <c r="F342" s="3">
        <v>21.4</v>
      </c>
      <c r="G342" s="3">
        <v>0</v>
      </c>
      <c r="H342" s="3">
        <v>0</v>
      </c>
      <c r="I342" s="3">
        <f>E342+G342+H342</f>
        <v>20</v>
      </c>
      <c r="J342" s="3">
        <f>ROUND(MIN(IF(C342="Técnico III",35,IF(C342="Técnico II",28,IF(C342="Técnico I",23,IF(C342="JR",20,IF(C342="Estágio",10,0))))),IF(C342="Técnico III",SUMIFS($D:$D,$A:$A,$A342,$B:$B,"&lt;&gt;Patrícia Karla de Sousa Araújo",$B:$B,"&lt;&gt;Lorena Dias de Araujo",$B:$B,"&lt;&gt;Lucas Luiz Romero")*(35/1083),IF(C342="Técnico II",SUMIFS($D:$D,$A:$A,$A342,$B:$B,"&lt;&gt;Patrícia Karla de Sousa Araújo",$B:$B,"&lt;&gt;Lorena Dias de Araujo",$B:$B,"&lt;&gt;Lucas Luiz Romero")*(28/1083),IF(C342="Técnico I",SUMIFS($D:$D,$A:$A,$A342,$B:$B,"&lt;&gt;Patrícia Karla de Sousa Araújo",$B:$B,"&lt;&gt;Lorena Dias de Araujo",$B:$B,"&lt;&gt;Lucas Luiz Romero")*(23/1083),IF(C342="JR",SUMIFS($D:$D,$A:$A,$A342,$B:$B,"&lt;&gt;Patrícia Karla de Sousa Araújo",$B:$B,"&lt;&gt;Lorena Dias de Araujo",$B:$B,"&lt;&gt;Lucas Luiz Romero")*(20/1083),IF(C342="Estágio",SUMIFS($D:$D,$A:$A,$A342,$B:$B,"&lt;&gt;Patrícia Karla de Sousa Araújo",$B:$B,"&lt;&gt;Lorena Dias de Araujo",$B:$B,"&lt;&gt;Lucas Luiz Romero")*(10/1083),0)))))),0)</f>
        <v>35</v>
      </c>
      <c r="K342" s="3">
        <f>I342-J342</f>
        <v>-15</v>
      </c>
      <c r="L342" s="3" t="str">
        <f>IF(K342&lt;-5,"CRÍTICO",IF(K342&lt;0,"ATENÇÃO",IF(K342&lt;=5,"OPORTUNO","MUITO BOM")))</f>
        <v>CRÍTICO</v>
      </c>
      <c r="M342" s="3">
        <v>25</v>
      </c>
      <c r="N342" s="3">
        <v>99.19</v>
      </c>
      <c r="O342" s="3">
        <v>28.404669260700391</v>
      </c>
    </row>
    <row r="343" spans="1:15" hidden="1" x14ac:dyDescent="0.25">
      <c r="A343" s="5">
        <v>46146</v>
      </c>
      <c r="B343" s="6" t="s">
        <v>36</v>
      </c>
      <c r="C343" s="14" t="s">
        <v>32</v>
      </c>
      <c r="D343" s="3">
        <v>0</v>
      </c>
      <c r="E343" s="3">
        <v>0</v>
      </c>
      <c r="F343" s="3">
        <v>0</v>
      </c>
      <c r="G343" s="3">
        <v>0</v>
      </c>
      <c r="H343" s="3">
        <v>0</v>
      </c>
      <c r="I343" s="3">
        <f>E343+G343+H343</f>
        <v>0</v>
      </c>
      <c r="J343" s="3">
        <f>ROUND(MIN(IF(C343="Técnico III",35,IF(C343="Técnico II",28,IF(C343="Técnico I",23,IF(C343="JR",20,IF(C343="Estágio",10,0))))),IF(C343="Técnico III",SUMIFS($D:$D,$A:$A,$A343,$B:$B,"&lt;&gt;Patrícia Karla de Sousa Araújo",$B:$B,"&lt;&gt;Lorena Dias de Araujo",$B:$B,"&lt;&gt;Lucas Luiz Romero")*(35/1083),IF(C343="Técnico II",SUMIFS($D:$D,$A:$A,$A343,$B:$B,"&lt;&gt;Patrícia Karla de Sousa Araújo",$B:$B,"&lt;&gt;Lorena Dias de Araujo",$B:$B,"&lt;&gt;Lucas Luiz Romero")*(28/1083),IF(C343="Técnico I",SUMIFS($D:$D,$A:$A,$A343,$B:$B,"&lt;&gt;Patrícia Karla de Sousa Araújo",$B:$B,"&lt;&gt;Lorena Dias de Araujo",$B:$B,"&lt;&gt;Lucas Luiz Romero")*(23/1083),IF(C343="JR",SUMIFS($D:$D,$A:$A,$A343,$B:$B,"&lt;&gt;Patrícia Karla de Sousa Araújo",$B:$B,"&lt;&gt;Lorena Dias de Araujo",$B:$B,"&lt;&gt;Lucas Luiz Romero")*(20/1083),IF(C343="Estágio",SUMIFS($D:$D,$A:$A,$A343,$B:$B,"&lt;&gt;Patrícia Karla de Sousa Araújo",$B:$B,"&lt;&gt;Lorena Dias de Araujo",$B:$B,"&lt;&gt;Lucas Luiz Romero")*(10/1083),0)))))),0)</f>
        <v>35</v>
      </c>
      <c r="K343" s="3">
        <f>I343-J343</f>
        <v>-35</v>
      </c>
      <c r="L343" s="3" t="str">
        <f>IF(K343&lt;-5,"CRÍTICO",IF(K343&lt;0,"ATENÇÃO",IF(K343&lt;=5,"OPORTUNO","MUITO BOM")))</f>
        <v>CRÍTICO</v>
      </c>
      <c r="M343" s="3">
        <v>0</v>
      </c>
      <c r="N343" s="3">
        <v>100</v>
      </c>
      <c r="O343" s="3">
        <v>13.51351351351351</v>
      </c>
    </row>
    <row r="344" spans="1:15" hidden="1" x14ac:dyDescent="0.25">
      <c r="A344" s="5">
        <v>46146</v>
      </c>
      <c r="B344" s="6" t="s">
        <v>37</v>
      </c>
      <c r="C344" s="1" t="s">
        <v>32</v>
      </c>
      <c r="D344" s="3">
        <v>47</v>
      </c>
      <c r="E344" s="3">
        <v>44</v>
      </c>
      <c r="F344" s="3">
        <v>12.18</v>
      </c>
      <c r="G344" s="3">
        <v>5</v>
      </c>
      <c r="H344" s="3">
        <v>0</v>
      </c>
      <c r="I344" s="3">
        <f>E344+G344+H344</f>
        <v>49</v>
      </c>
      <c r="J344" s="3">
        <f>ROUND(MIN(IF(C344="Técnico III",35,IF(C344="Técnico II",28,IF(C344="Técnico I",23,IF(C344="JR",20,IF(C344="Estágio",10,0))))),IF(C344="Técnico III",SUMIFS($D:$D,$A:$A,$A344,$B:$B,"&lt;&gt;Patrícia Karla de Sousa Araújo",$B:$B,"&lt;&gt;Lorena Dias de Araujo",$B:$B,"&lt;&gt;Lucas Luiz Romero")*(35/1083),IF(C344="Técnico II",SUMIFS($D:$D,$A:$A,$A344,$B:$B,"&lt;&gt;Patrícia Karla de Sousa Araújo",$B:$B,"&lt;&gt;Lorena Dias de Araujo",$B:$B,"&lt;&gt;Lucas Luiz Romero")*(28/1083),IF(C344="Técnico I",SUMIFS($D:$D,$A:$A,$A344,$B:$B,"&lt;&gt;Patrícia Karla de Sousa Araújo",$B:$B,"&lt;&gt;Lorena Dias de Araujo",$B:$B,"&lt;&gt;Lucas Luiz Romero")*(23/1083),IF(C344="JR",SUMIFS($D:$D,$A:$A,$A344,$B:$B,"&lt;&gt;Patrícia Karla de Sousa Araújo",$B:$B,"&lt;&gt;Lorena Dias de Araujo",$B:$B,"&lt;&gt;Lucas Luiz Romero")*(20/1083),IF(C344="Estágio",SUMIFS($D:$D,$A:$A,$A344,$B:$B,"&lt;&gt;Patrícia Karla de Sousa Araújo",$B:$B,"&lt;&gt;Lorena Dias de Araujo",$B:$B,"&lt;&gt;Lucas Luiz Romero")*(10/1083),0)))))),0)</f>
        <v>35</v>
      </c>
      <c r="K344" s="3">
        <f>I344-J344</f>
        <v>14</v>
      </c>
      <c r="L344" s="3" t="str">
        <f>IF(K344&lt;-5,"CRÍTICO",IF(K344&lt;0,"ATENÇÃO",IF(K344&lt;=5,"OPORTUNO","MUITO BOM")))</f>
        <v>MUITO BOM</v>
      </c>
      <c r="M344" s="3">
        <v>46</v>
      </c>
      <c r="N344" s="3">
        <v>99</v>
      </c>
      <c r="O344" s="3">
        <v>22.27414330218069</v>
      </c>
    </row>
    <row r="345" spans="1:15" hidden="1" x14ac:dyDescent="0.25">
      <c r="A345" s="5">
        <v>46146</v>
      </c>
      <c r="B345" s="6" t="s">
        <v>38</v>
      </c>
      <c r="C345" s="1" t="s">
        <v>32</v>
      </c>
      <c r="D345" s="3">
        <v>11</v>
      </c>
      <c r="E345" s="3">
        <v>11</v>
      </c>
      <c r="F345" s="3">
        <v>22</v>
      </c>
      <c r="G345" s="3">
        <v>5</v>
      </c>
      <c r="H345" s="3">
        <v>0</v>
      </c>
      <c r="I345" s="3">
        <f>E345+G345+H345</f>
        <v>16</v>
      </c>
      <c r="J345" s="3">
        <f>ROUND(MIN(IF(C345="Técnico III",35,IF(C345="Técnico II",28,IF(C345="Técnico I",23,IF(C345="JR",20,IF(C345="Estágio",10,0))))),IF(C345="Técnico III",SUMIFS($D:$D,$A:$A,$A345,$B:$B,"&lt;&gt;Patrícia Karla de Sousa Araújo",$B:$B,"&lt;&gt;Lorena Dias de Araujo",$B:$B,"&lt;&gt;Lucas Luiz Romero")*(35/1083),IF(C345="Técnico II",SUMIFS($D:$D,$A:$A,$A345,$B:$B,"&lt;&gt;Patrícia Karla de Sousa Araújo",$B:$B,"&lt;&gt;Lorena Dias de Araujo",$B:$B,"&lt;&gt;Lucas Luiz Romero")*(28/1083),IF(C345="Técnico I",SUMIFS($D:$D,$A:$A,$A345,$B:$B,"&lt;&gt;Patrícia Karla de Sousa Araújo",$B:$B,"&lt;&gt;Lorena Dias de Araujo",$B:$B,"&lt;&gt;Lucas Luiz Romero")*(23/1083),IF(C345="JR",SUMIFS($D:$D,$A:$A,$A345,$B:$B,"&lt;&gt;Patrícia Karla de Sousa Araújo",$B:$B,"&lt;&gt;Lorena Dias de Araujo",$B:$B,"&lt;&gt;Lucas Luiz Romero")*(20/1083),IF(C345="Estágio",SUMIFS($D:$D,$A:$A,$A345,$B:$B,"&lt;&gt;Patrícia Karla de Sousa Araújo",$B:$B,"&lt;&gt;Lorena Dias de Araujo",$B:$B,"&lt;&gt;Lucas Luiz Romero")*(10/1083),0)))))),0)</f>
        <v>35</v>
      </c>
      <c r="K345" s="3">
        <f>I345-J345</f>
        <v>-19</v>
      </c>
      <c r="L345" s="3" t="str">
        <f>IF(K345&lt;-5,"CRÍTICO",IF(K345&lt;0,"ATENÇÃO",IF(K345&lt;=5,"OPORTUNO","MUITO BOM")))</f>
        <v>CRÍTICO</v>
      </c>
      <c r="M345" s="3">
        <v>18</v>
      </c>
      <c r="N345" s="3">
        <v>97.04</v>
      </c>
      <c r="O345" s="3">
        <v>29.828850855745721</v>
      </c>
    </row>
    <row r="346" spans="1:15" hidden="1" x14ac:dyDescent="0.25">
      <c r="A346" s="5">
        <v>46146</v>
      </c>
      <c r="B346" s="6" t="s">
        <v>39</v>
      </c>
      <c r="C346" s="1" t="s">
        <v>32</v>
      </c>
      <c r="D346" s="3">
        <v>0</v>
      </c>
      <c r="E346" s="3">
        <v>0</v>
      </c>
      <c r="F346" s="3">
        <v>0</v>
      </c>
      <c r="G346" s="3">
        <v>0</v>
      </c>
      <c r="H346" s="3">
        <v>0</v>
      </c>
      <c r="I346" s="3">
        <f>E346+G346+H346</f>
        <v>0</v>
      </c>
      <c r="J346" s="3">
        <f>ROUND(MIN(IF(C346="Técnico III",35,IF(C346="Técnico II",28,IF(C346="Técnico I",23,IF(C346="JR",20,IF(C346="Estágio",10,0))))),IF(C346="Técnico III",SUMIFS($D:$D,$A:$A,$A346,$B:$B,"&lt;&gt;Patrícia Karla de Sousa Araújo",$B:$B,"&lt;&gt;Lorena Dias de Araujo",$B:$B,"&lt;&gt;Lucas Luiz Romero")*(35/1083),IF(C346="Técnico II",SUMIFS($D:$D,$A:$A,$A346,$B:$B,"&lt;&gt;Patrícia Karla de Sousa Araújo",$B:$B,"&lt;&gt;Lorena Dias de Araujo",$B:$B,"&lt;&gt;Lucas Luiz Romero")*(28/1083),IF(C346="Técnico I",SUMIFS($D:$D,$A:$A,$A346,$B:$B,"&lt;&gt;Patrícia Karla de Sousa Araújo",$B:$B,"&lt;&gt;Lorena Dias de Araujo",$B:$B,"&lt;&gt;Lucas Luiz Romero")*(23/1083),IF(C346="JR",SUMIFS($D:$D,$A:$A,$A346,$B:$B,"&lt;&gt;Patrícia Karla de Sousa Araújo",$B:$B,"&lt;&gt;Lorena Dias de Araujo",$B:$B,"&lt;&gt;Lucas Luiz Romero")*(20/1083),IF(C346="Estágio",SUMIFS($D:$D,$A:$A,$A346,$B:$B,"&lt;&gt;Patrícia Karla de Sousa Araújo",$B:$B,"&lt;&gt;Lorena Dias de Araujo",$B:$B,"&lt;&gt;Lucas Luiz Romero")*(10/1083),0)))))),0)</f>
        <v>35</v>
      </c>
      <c r="K346" s="3">
        <f>I346-J346</f>
        <v>-35</v>
      </c>
      <c r="L346" s="3" t="str">
        <f>IF(K346&lt;-5,"CRÍTICO",IF(K346&lt;0,"ATENÇÃO",IF(K346&lt;=5,"OPORTUNO","MUITO BOM")))</f>
        <v>CRÍTICO</v>
      </c>
      <c r="M346" s="3">
        <v>0</v>
      </c>
      <c r="N346" s="3">
        <v>0</v>
      </c>
      <c r="O346" s="3">
        <v>0</v>
      </c>
    </row>
    <row r="347" spans="1:15" hidden="1" x14ac:dyDescent="0.25">
      <c r="A347" s="5">
        <v>46146</v>
      </c>
      <c r="B347" s="6" t="s">
        <v>40</v>
      </c>
      <c r="C347" s="14" t="s">
        <v>32</v>
      </c>
      <c r="D347" s="3">
        <v>20</v>
      </c>
      <c r="E347" s="3">
        <v>20</v>
      </c>
      <c r="F347" s="3">
        <v>20.48</v>
      </c>
      <c r="G347" s="3">
        <v>0</v>
      </c>
      <c r="H347" s="3">
        <v>0</v>
      </c>
      <c r="I347" s="3">
        <f>E347+G347+H347</f>
        <v>20</v>
      </c>
      <c r="J347" s="3">
        <f>ROUND(MIN(IF(C347="Técnico III",35,IF(C347="Técnico II",28,IF(C347="Técnico I",23,IF(C347="JR",20,IF(C347="Estágio",10,0))))),IF(C347="Técnico III",SUMIFS($D:$D,$A:$A,$A347,$B:$B,"&lt;&gt;Patrícia Karla de Sousa Araújo",$B:$B,"&lt;&gt;Lorena Dias de Araujo",$B:$B,"&lt;&gt;Lucas Luiz Romero")*(35/1083),IF(C347="Técnico II",SUMIFS($D:$D,$A:$A,$A347,$B:$B,"&lt;&gt;Patrícia Karla de Sousa Araújo",$B:$B,"&lt;&gt;Lorena Dias de Araujo",$B:$B,"&lt;&gt;Lucas Luiz Romero")*(28/1083),IF(C347="Técnico I",SUMIFS($D:$D,$A:$A,$A347,$B:$B,"&lt;&gt;Patrícia Karla de Sousa Araújo",$B:$B,"&lt;&gt;Lorena Dias de Araujo",$B:$B,"&lt;&gt;Lucas Luiz Romero")*(23/1083),IF(C347="JR",SUMIFS($D:$D,$A:$A,$A347,$B:$B,"&lt;&gt;Patrícia Karla de Sousa Araújo",$B:$B,"&lt;&gt;Lorena Dias de Araujo",$B:$B,"&lt;&gt;Lucas Luiz Romero")*(20/1083),IF(C347="Estágio",SUMIFS($D:$D,$A:$A,$A347,$B:$B,"&lt;&gt;Patrícia Karla de Sousa Araújo",$B:$B,"&lt;&gt;Lorena Dias de Araujo",$B:$B,"&lt;&gt;Lucas Luiz Romero")*(10/1083),0)))))),0)</f>
        <v>35</v>
      </c>
      <c r="K347" s="3">
        <f>I347-J347</f>
        <v>-15</v>
      </c>
      <c r="L347" s="3" t="str">
        <f>IF(K347&lt;-5,"CRÍTICO",IF(K347&lt;0,"ATENÇÃO",IF(K347&lt;=5,"OPORTUNO","MUITO BOM")))</f>
        <v>CRÍTICO</v>
      </c>
      <c r="M347" s="3">
        <v>20</v>
      </c>
      <c r="N347" s="3">
        <v>96.84</v>
      </c>
      <c r="O347" s="3">
        <v>16.338028169014081</v>
      </c>
    </row>
    <row r="348" spans="1:15" hidden="1" x14ac:dyDescent="0.25">
      <c r="A348" s="5">
        <v>46146</v>
      </c>
      <c r="B348" s="6" t="s">
        <v>41</v>
      </c>
      <c r="C348" s="14" t="s">
        <v>32</v>
      </c>
      <c r="D348" s="3">
        <v>32</v>
      </c>
      <c r="E348" s="3">
        <v>29</v>
      </c>
      <c r="F348" s="3">
        <v>15.44</v>
      </c>
      <c r="G348" s="3">
        <v>0</v>
      </c>
      <c r="H348" s="3">
        <v>0</v>
      </c>
      <c r="I348" s="3">
        <f>E348+G348+H348</f>
        <v>29</v>
      </c>
      <c r="J348" s="3">
        <f>ROUND(MIN(IF(C348="Técnico III",35,IF(C348="Técnico II",28,IF(C348="Técnico I",23,IF(C348="JR",20,IF(C348="Estágio",10,0))))),IF(C348="Técnico III",SUMIFS($D:$D,$A:$A,$A348,$B:$B,"&lt;&gt;Patrícia Karla de Sousa Araújo",$B:$B,"&lt;&gt;Lorena Dias de Araujo",$B:$B,"&lt;&gt;Lucas Luiz Romero")*(35/1083),IF(C348="Técnico II",SUMIFS($D:$D,$A:$A,$A348,$B:$B,"&lt;&gt;Patrícia Karla de Sousa Araújo",$B:$B,"&lt;&gt;Lorena Dias de Araujo",$B:$B,"&lt;&gt;Lucas Luiz Romero")*(28/1083),IF(C348="Técnico I",SUMIFS($D:$D,$A:$A,$A348,$B:$B,"&lt;&gt;Patrícia Karla de Sousa Araújo",$B:$B,"&lt;&gt;Lorena Dias de Araujo",$B:$B,"&lt;&gt;Lucas Luiz Romero")*(23/1083),IF(C348="JR",SUMIFS($D:$D,$A:$A,$A348,$B:$B,"&lt;&gt;Patrícia Karla de Sousa Araújo",$B:$B,"&lt;&gt;Lorena Dias de Araujo",$B:$B,"&lt;&gt;Lucas Luiz Romero")*(20/1083),IF(C348="Estágio",SUMIFS($D:$D,$A:$A,$A348,$B:$B,"&lt;&gt;Patrícia Karla de Sousa Araújo",$B:$B,"&lt;&gt;Lorena Dias de Araujo",$B:$B,"&lt;&gt;Lucas Luiz Romero")*(10/1083),0)))))),0)</f>
        <v>35</v>
      </c>
      <c r="K348" s="3">
        <f>I348-J348</f>
        <v>-6</v>
      </c>
      <c r="L348" s="3" t="str">
        <f>IF(K348&lt;-5,"CRÍTICO",IF(K348&lt;0,"ATENÇÃO",IF(K348&lt;=5,"OPORTUNO","MUITO BOM")))</f>
        <v>CRÍTICO</v>
      </c>
      <c r="M348" s="3">
        <v>27</v>
      </c>
      <c r="N348" s="3">
        <v>100</v>
      </c>
      <c r="O348" s="3">
        <v>18.244803695150122</v>
      </c>
    </row>
    <row r="349" spans="1:15" hidden="1" x14ac:dyDescent="0.25">
      <c r="A349" s="5">
        <v>46146</v>
      </c>
      <c r="B349" s="6" t="s">
        <v>42</v>
      </c>
      <c r="C349" s="1" t="s">
        <v>32</v>
      </c>
      <c r="D349" s="3">
        <v>0</v>
      </c>
      <c r="E349" s="3">
        <v>0</v>
      </c>
      <c r="F349" s="3">
        <v>0</v>
      </c>
      <c r="G349" s="3">
        <v>0</v>
      </c>
      <c r="H349" s="3">
        <v>0</v>
      </c>
      <c r="I349" s="3">
        <f>E349+G349+H349</f>
        <v>0</v>
      </c>
      <c r="J349" s="3">
        <f>ROUND(MIN(IF(C349="Técnico III",35,IF(C349="Técnico II",28,IF(C349="Técnico I",23,IF(C349="JR",20,IF(C349="Estágio",10,0))))),IF(C349="Técnico III",SUMIFS($D:$D,$A:$A,$A349,$B:$B,"&lt;&gt;Patrícia Karla de Sousa Araújo",$B:$B,"&lt;&gt;Lorena Dias de Araujo",$B:$B,"&lt;&gt;Lucas Luiz Romero")*(35/1083),IF(C349="Técnico II",SUMIFS($D:$D,$A:$A,$A349,$B:$B,"&lt;&gt;Patrícia Karla de Sousa Araújo",$B:$B,"&lt;&gt;Lorena Dias de Araujo",$B:$B,"&lt;&gt;Lucas Luiz Romero")*(28/1083),IF(C349="Técnico I",SUMIFS($D:$D,$A:$A,$A349,$B:$B,"&lt;&gt;Patrícia Karla de Sousa Araújo",$B:$B,"&lt;&gt;Lorena Dias de Araujo",$B:$B,"&lt;&gt;Lucas Luiz Romero")*(23/1083),IF(C349="JR",SUMIFS($D:$D,$A:$A,$A349,$B:$B,"&lt;&gt;Patrícia Karla de Sousa Araújo",$B:$B,"&lt;&gt;Lorena Dias de Araujo",$B:$B,"&lt;&gt;Lucas Luiz Romero")*(20/1083),IF(C349="Estágio",SUMIFS($D:$D,$A:$A,$A349,$B:$B,"&lt;&gt;Patrícia Karla de Sousa Araújo",$B:$B,"&lt;&gt;Lorena Dias de Araujo",$B:$B,"&lt;&gt;Lucas Luiz Romero")*(10/1083),0)))))),0)</f>
        <v>35</v>
      </c>
      <c r="K349" s="3">
        <f>I349-J349</f>
        <v>-35</v>
      </c>
      <c r="L349" s="3" t="str">
        <f>IF(K349&lt;-5,"CRÍTICO",IF(K349&lt;0,"ATENÇÃO",IF(K349&lt;=5,"OPORTUNO","MUITO BOM")))</f>
        <v>CRÍTICO</v>
      </c>
      <c r="M349" s="3">
        <v>0</v>
      </c>
      <c r="N349" s="3">
        <v>100</v>
      </c>
      <c r="O349" s="3">
        <v>15.789473684210529</v>
      </c>
    </row>
    <row r="350" spans="1:15" x14ac:dyDescent="0.25">
      <c r="A350" s="5">
        <v>46146</v>
      </c>
      <c r="B350" s="6" t="s">
        <v>43</v>
      </c>
      <c r="C350" s="1" t="s">
        <v>32</v>
      </c>
      <c r="D350" s="3">
        <v>32</v>
      </c>
      <c r="E350" s="3">
        <v>31</v>
      </c>
      <c r="F350" s="3">
        <v>10.27</v>
      </c>
      <c r="G350" s="3">
        <v>1</v>
      </c>
      <c r="H350" s="3">
        <v>25</v>
      </c>
      <c r="I350" s="3">
        <f>E350+G350+H350</f>
        <v>57</v>
      </c>
      <c r="J350" s="3">
        <f>ROUND(MIN(IF(C350="Técnico III",35,IF(C350="Técnico II",28,IF(C350="Técnico I",23,IF(C350="JR",20,IF(C350="Estágio",10,0))))),IF(C350="Técnico III",SUMIFS($D:$D,$A:$A,$A350,$B:$B,"&lt;&gt;Patrícia Karla de Sousa Araújo",$B:$B,"&lt;&gt;Lorena Dias de Araujo",$B:$B,"&lt;&gt;Lucas Luiz Romero")*(35/1083),IF(C350="Técnico II",SUMIFS($D:$D,$A:$A,$A350,$B:$B,"&lt;&gt;Patrícia Karla de Sousa Araújo",$B:$B,"&lt;&gt;Lorena Dias de Araujo",$B:$B,"&lt;&gt;Lucas Luiz Romero")*(28/1083),IF(C350="Técnico I",SUMIFS($D:$D,$A:$A,$A350,$B:$B,"&lt;&gt;Patrícia Karla de Sousa Araújo",$B:$B,"&lt;&gt;Lorena Dias de Araujo",$B:$B,"&lt;&gt;Lucas Luiz Romero")*(23/1083),IF(C350="JR",SUMIFS($D:$D,$A:$A,$A350,$B:$B,"&lt;&gt;Patrícia Karla de Sousa Araújo",$B:$B,"&lt;&gt;Lorena Dias de Araujo",$B:$B,"&lt;&gt;Lucas Luiz Romero")*(20/1083),IF(C350="Estágio",SUMIFS($D:$D,$A:$A,$A350,$B:$B,"&lt;&gt;Patrícia Karla de Sousa Araújo",$B:$B,"&lt;&gt;Lorena Dias de Araujo",$B:$B,"&lt;&gt;Lucas Luiz Romero")*(10/1083),0)))))),0)</f>
        <v>35</v>
      </c>
      <c r="K350" s="3">
        <f>I350-J350</f>
        <v>22</v>
      </c>
      <c r="L350" s="3" t="str">
        <f>IF(K350&lt;-5,"CRÍTICO",IF(K350&lt;0,"ATENÇÃO",IF(K350&lt;=5,"OPORTUNO","MUITO BOM")))</f>
        <v>MUITO BOM</v>
      </c>
      <c r="M350" s="3">
        <v>36</v>
      </c>
      <c r="N350" s="3">
        <v>98.39</v>
      </c>
      <c r="O350" s="3">
        <v>8.7999999999999989</v>
      </c>
    </row>
    <row r="351" spans="1:15" hidden="1" x14ac:dyDescent="0.25">
      <c r="A351" s="5">
        <v>46146</v>
      </c>
      <c r="B351" s="6" t="s">
        <v>44</v>
      </c>
      <c r="C351" s="1" t="s">
        <v>32</v>
      </c>
      <c r="D351" s="3">
        <v>40</v>
      </c>
      <c r="E351" s="3">
        <v>37</v>
      </c>
      <c r="F351" s="3">
        <v>10.48</v>
      </c>
      <c r="G351" s="3">
        <v>1</v>
      </c>
      <c r="H351" s="3">
        <v>0</v>
      </c>
      <c r="I351" s="3">
        <f>E351+G351+H351</f>
        <v>38</v>
      </c>
      <c r="J351" s="3">
        <f>ROUND(MIN(IF(C351="Técnico III",35,IF(C351="Técnico II",28,IF(C351="Técnico I",23,IF(C351="JR",20,IF(C351="Estágio",10,0))))),IF(C351="Técnico III",SUMIFS($D:$D,$A:$A,$A351,$B:$B,"&lt;&gt;Patrícia Karla de Sousa Araújo",$B:$B,"&lt;&gt;Lorena Dias de Araujo",$B:$B,"&lt;&gt;Lucas Luiz Romero")*(35/1083),IF(C351="Técnico II",SUMIFS($D:$D,$A:$A,$A351,$B:$B,"&lt;&gt;Patrícia Karla de Sousa Araújo",$B:$B,"&lt;&gt;Lorena Dias de Araujo",$B:$B,"&lt;&gt;Lucas Luiz Romero")*(28/1083),IF(C351="Técnico I",SUMIFS($D:$D,$A:$A,$A351,$B:$B,"&lt;&gt;Patrícia Karla de Sousa Araújo",$B:$B,"&lt;&gt;Lorena Dias de Araujo",$B:$B,"&lt;&gt;Lucas Luiz Romero")*(23/1083),IF(C351="JR",SUMIFS($D:$D,$A:$A,$A351,$B:$B,"&lt;&gt;Patrícia Karla de Sousa Araújo",$B:$B,"&lt;&gt;Lorena Dias de Araujo",$B:$B,"&lt;&gt;Lucas Luiz Romero")*(20/1083),IF(C351="Estágio",SUMIFS($D:$D,$A:$A,$A351,$B:$B,"&lt;&gt;Patrícia Karla de Sousa Araújo",$B:$B,"&lt;&gt;Lorena Dias de Araujo",$B:$B,"&lt;&gt;Lucas Luiz Romero")*(10/1083),0)))))),0)</f>
        <v>35</v>
      </c>
      <c r="K351" s="3">
        <f>I351-J351</f>
        <v>3</v>
      </c>
      <c r="L351" s="3" t="str">
        <f>IF(K351&lt;-5,"CRÍTICO",IF(K351&lt;0,"ATENÇÃO",IF(K351&lt;=5,"OPORTUNO","MUITO BOM")))</f>
        <v>OPORTUNO</v>
      </c>
      <c r="M351" s="3">
        <v>33</v>
      </c>
      <c r="N351" s="3">
        <v>96.38</v>
      </c>
      <c r="O351" s="3">
        <v>23.198198198198199</v>
      </c>
    </row>
    <row r="352" spans="1:15" hidden="1" x14ac:dyDescent="0.25">
      <c r="A352" s="5">
        <v>46146</v>
      </c>
      <c r="B352" s="6" t="s">
        <v>45</v>
      </c>
      <c r="C352" s="1" t="s">
        <v>32</v>
      </c>
      <c r="D352" s="3">
        <v>50</v>
      </c>
      <c r="E352" s="3">
        <v>46</v>
      </c>
      <c r="F352" s="3">
        <v>12.23</v>
      </c>
      <c r="G352" s="3">
        <v>1</v>
      </c>
      <c r="H352" s="3">
        <v>0</v>
      </c>
      <c r="I352" s="3">
        <f>E352+G352+H352</f>
        <v>47</v>
      </c>
      <c r="J352" s="3">
        <f>ROUND(MIN(IF(C352="Técnico III",35,IF(C352="Técnico II",28,IF(C352="Técnico I",23,IF(C352="JR",20,IF(C352="Estágio",10,0))))),IF(C352="Técnico III",SUMIFS($D:$D,$A:$A,$A352,$B:$B,"&lt;&gt;Patrícia Karla de Sousa Araújo",$B:$B,"&lt;&gt;Lorena Dias de Araujo",$B:$B,"&lt;&gt;Lucas Luiz Romero")*(35/1083),IF(C352="Técnico II",SUMIFS($D:$D,$A:$A,$A352,$B:$B,"&lt;&gt;Patrícia Karla de Sousa Araújo",$B:$B,"&lt;&gt;Lorena Dias de Araujo",$B:$B,"&lt;&gt;Lucas Luiz Romero")*(28/1083),IF(C352="Técnico I",SUMIFS($D:$D,$A:$A,$A352,$B:$B,"&lt;&gt;Patrícia Karla de Sousa Araújo",$B:$B,"&lt;&gt;Lorena Dias de Araujo",$B:$B,"&lt;&gt;Lucas Luiz Romero")*(23/1083),IF(C352="JR",SUMIFS($D:$D,$A:$A,$A352,$B:$B,"&lt;&gt;Patrícia Karla de Sousa Araújo",$B:$B,"&lt;&gt;Lorena Dias de Araujo",$B:$B,"&lt;&gt;Lucas Luiz Romero")*(20/1083),IF(C352="Estágio",SUMIFS($D:$D,$A:$A,$A352,$B:$B,"&lt;&gt;Patrícia Karla de Sousa Araújo",$B:$B,"&lt;&gt;Lorena Dias de Araujo",$B:$B,"&lt;&gt;Lucas Luiz Romero")*(10/1083),0)))))),0)</f>
        <v>35</v>
      </c>
      <c r="K352" s="3">
        <f>I352-J352</f>
        <v>12</v>
      </c>
      <c r="L352" s="3" t="str">
        <f>IF(K352&lt;-5,"CRÍTICO",IF(K352&lt;0,"ATENÇÃO",IF(K352&lt;=5,"OPORTUNO","MUITO BOM")))</f>
        <v>MUITO BOM</v>
      </c>
      <c r="M352" s="3">
        <v>32</v>
      </c>
      <c r="N352" s="3">
        <v>99.39</v>
      </c>
      <c r="O352" s="3">
        <v>25.203252032520329</v>
      </c>
    </row>
    <row r="353" spans="1:15" hidden="1" x14ac:dyDescent="0.25">
      <c r="A353" s="5">
        <v>46146</v>
      </c>
      <c r="B353" s="6" t="s">
        <v>46</v>
      </c>
      <c r="C353" s="1" t="s">
        <v>32</v>
      </c>
      <c r="D353" s="3">
        <v>26</v>
      </c>
      <c r="E353" s="3">
        <v>25</v>
      </c>
      <c r="F353" s="3">
        <v>17.25</v>
      </c>
      <c r="G353" s="3">
        <v>4</v>
      </c>
      <c r="H353" s="3">
        <v>0</v>
      </c>
      <c r="I353" s="3">
        <f>E353+G353+H353</f>
        <v>29</v>
      </c>
      <c r="J353" s="3">
        <f>ROUND(MIN(IF(C353="Técnico III",35,IF(C353="Técnico II",28,IF(C353="Técnico I",23,IF(C353="JR",20,IF(C353="Estágio",10,0))))),IF(C353="Técnico III",SUMIFS($D:$D,$A:$A,$A353,$B:$B,"&lt;&gt;Patrícia Karla de Sousa Araújo",$B:$B,"&lt;&gt;Lorena Dias de Araujo",$B:$B,"&lt;&gt;Lucas Luiz Romero")*(35/1083),IF(C353="Técnico II",SUMIFS($D:$D,$A:$A,$A353,$B:$B,"&lt;&gt;Patrícia Karla de Sousa Araújo",$B:$B,"&lt;&gt;Lorena Dias de Araujo",$B:$B,"&lt;&gt;Lucas Luiz Romero")*(28/1083),IF(C353="Técnico I",SUMIFS($D:$D,$A:$A,$A353,$B:$B,"&lt;&gt;Patrícia Karla de Sousa Araújo",$B:$B,"&lt;&gt;Lorena Dias de Araujo",$B:$B,"&lt;&gt;Lucas Luiz Romero")*(23/1083),IF(C353="JR",SUMIFS($D:$D,$A:$A,$A353,$B:$B,"&lt;&gt;Patrícia Karla de Sousa Araújo",$B:$B,"&lt;&gt;Lorena Dias de Araujo",$B:$B,"&lt;&gt;Lucas Luiz Romero")*(20/1083),IF(C353="Estágio",SUMIFS($D:$D,$A:$A,$A353,$B:$B,"&lt;&gt;Patrícia Karla de Sousa Araújo",$B:$B,"&lt;&gt;Lorena Dias de Araujo",$B:$B,"&lt;&gt;Lucas Luiz Romero")*(10/1083),0)))))),0)</f>
        <v>35</v>
      </c>
      <c r="K353" s="3">
        <f>I353-J353</f>
        <v>-6</v>
      </c>
      <c r="L353" s="3" t="str">
        <f>IF(K353&lt;-5,"CRÍTICO",IF(K353&lt;0,"ATENÇÃO",IF(K353&lt;=5,"OPORTUNO","MUITO BOM")))</f>
        <v>CRÍTICO</v>
      </c>
      <c r="M353" s="3">
        <v>26</v>
      </c>
      <c r="N353" s="3">
        <v>97</v>
      </c>
      <c r="O353" s="3">
        <v>20.325203252032519</v>
      </c>
    </row>
    <row r="354" spans="1:15" hidden="1" x14ac:dyDescent="0.25">
      <c r="A354" s="5">
        <v>46146</v>
      </c>
      <c r="B354" s="6" t="s">
        <v>47</v>
      </c>
      <c r="C354" s="1" t="s">
        <v>48</v>
      </c>
      <c r="D354" s="3">
        <v>40</v>
      </c>
      <c r="E354" s="3">
        <v>38</v>
      </c>
      <c r="F354" s="3">
        <v>13.5</v>
      </c>
      <c r="G354" s="3">
        <v>4</v>
      </c>
      <c r="H354" s="3">
        <v>0</v>
      </c>
      <c r="I354" s="3">
        <f>E354+G354+H354</f>
        <v>42</v>
      </c>
      <c r="J354" s="3">
        <f>ROUND(MIN(IF(C354="Técnico III",35,IF(C354="Técnico II",28,IF(C354="Técnico I",23,IF(C354="JR",20,IF(C354="Estágio",10,0))))),IF(C354="Técnico III",SUMIFS($D:$D,$A:$A,$A354,$B:$B,"&lt;&gt;Patrícia Karla de Sousa Araújo",$B:$B,"&lt;&gt;Lorena Dias de Araujo",$B:$B,"&lt;&gt;Lucas Luiz Romero")*(35/1083),IF(C354="Técnico II",SUMIFS($D:$D,$A:$A,$A354,$B:$B,"&lt;&gt;Patrícia Karla de Sousa Araújo",$B:$B,"&lt;&gt;Lorena Dias de Araujo",$B:$B,"&lt;&gt;Lucas Luiz Romero")*(28/1083),IF(C354="Técnico I",SUMIFS($D:$D,$A:$A,$A354,$B:$B,"&lt;&gt;Patrícia Karla de Sousa Araújo",$B:$B,"&lt;&gt;Lorena Dias de Araujo",$B:$B,"&lt;&gt;Lucas Luiz Romero")*(23/1083),IF(C354="JR",SUMIFS($D:$D,$A:$A,$A354,$B:$B,"&lt;&gt;Patrícia Karla de Sousa Araújo",$B:$B,"&lt;&gt;Lorena Dias de Araujo",$B:$B,"&lt;&gt;Lucas Luiz Romero")*(20/1083),IF(C354="Estágio",SUMIFS($D:$D,$A:$A,$A354,$B:$B,"&lt;&gt;Patrícia Karla de Sousa Araújo",$B:$B,"&lt;&gt;Lorena Dias de Araujo",$B:$B,"&lt;&gt;Lucas Luiz Romero")*(10/1083),0)))))),0)</f>
        <v>28</v>
      </c>
      <c r="K354" s="3">
        <f>I354-J354</f>
        <v>14</v>
      </c>
      <c r="L354" s="3" t="str">
        <f>IF(K354&lt;-5,"CRÍTICO",IF(K354&lt;0,"ATENÇÃO",IF(K354&lt;=5,"OPORTUNO","MUITO BOM")))</f>
        <v>MUITO BOM</v>
      </c>
      <c r="M354" s="3">
        <v>36</v>
      </c>
      <c r="N354" s="3">
        <v>99.18</v>
      </c>
      <c r="O354" s="3">
        <v>24.501424501424498</v>
      </c>
    </row>
    <row r="355" spans="1:15" hidden="1" x14ac:dyDescent="0.25">
      <c r="A355" s="5">
        <v>46146</v>
      </c>
      <c r="B355" s="6" t="s">
        <v>49</v>
      </c>
      <c r="C355" s="1" t="s">
        <v>48</v>
      </c>
      <c r="D355" s="3">
        <v>41</v>
      </c>
      <c r="E355" s="3">
        <v>38</v>
      </c>
      <c r="F355" s="3">
        <v>11.44</v>
      </c>
      <c r="G355" s="3">
        <v>5</v>
      </c>
      <c r="H355" s="3">
        <v>0</v>
      </c>
      <c r="I355" s="3">
        <f>E355+G355+H355</f>
        <v>43</v>
      </c>
      <c r="J355" s="3">
        <f>ROUND(MIN(IF(C355="Técnico III",35,IF(C355="Técnico II",28,IF(C355="Técnico I",23,IF(C355="JR",20,IF(C355="Estágio",10,0))))),IF(C355="Técnico III",SUMIFS($D:$D,$A:$A,$A355,$B:$B,"&lt;&gt;Patrícia Karla de Sousa Araújo",$B:$B,"&lt;&gt;Lorena Dias de Araujo",$B:$B,"&lt;&gt;Lucas Luiz Romero")*(35/1083),IF(C355="Técnico II",SUMIFS($D:$D,$A:$A,$A355,$B:$B,"&lt;&gt;Patrícia Karla de Sousa Araújo",$B:$B,"&lt;&gt;Lorena Dias de Araujo",$B:$B,"&lt;&gt;Lucas Luiz Romero")*(28/1083),IF(C355="Técnico I",SUMIFS($D:$D,$A:$A,$A355,$B:$B,"&lt;&gt;Patrícia Karla de Sousa Araújo",$B:$B,"&lt;&gt;Lorena Dias de Araujo",$B:$B,"&lt;&gt;Lucas Luiz Romero")*(23/1083),IF(C355="JR",SUMIFS($D:$D,$A:$A,$A355,$B:$B,"&lt;&gt;Patrícia Karla de Sousa Araújo",$B:$B,"&lt;&gt;Lorena Dias de Araujo",$B:$B,"&lt;&gt;Lucas Luiz Romero")*(20/1083),IF(C355="Estágio",SUMIFS($D:$D,$A:$A,$A355,$B:$B,"&lt;&gt;Patrícia Karla de Sousa Araújo",$B:$B,"&lt;&gt;Lorena Dias de Araujo",$B:$B,"&lt;&gt;Lucas Luiz Romero")*(10/1083),0)))))),0)</f>
        <v>28</v>
      </c>
      <c r="K355" s="3">
        <f>I355-J355</f>
        <v>15</v>
      </c>
      <c r="L355" s="3" t="str">
        <f>IF(K355&lt;-5,"CRÍTICO",IF(K355&lt;0,"ATENÇÃO",IF(K355&lt;=5,"OPORTUNO","MUITO BOM")))</f>
        <v>MUITO BOM</v>
      </c>
      <c r="M355" s="3">
        <v>43</v>
      </c>
      <c r="N355" s="3">
        <v>99.35</v>
      </c>
      <c r="O355" s="3">
        <v>19.852941176470591</v>
      </c>
    </row>
    <row r="356" spans="1:15" hidden="1" x14ac:dyDescent="0.25">
      <c r="A356" s="5">
        <v>46146</v>
      </c>
      <c r="B356" s="6" t="s">
        <v>50</v>
      </c>
      <c r="C356" s="14" t="s">
        <v>48</v>
      </c>
      <c r="D356" s="3">
        <v>31</v>
      </c>
      <c r="E356" s="3">
        <v>29</v>
      </c>
      <c r="F356" s="3">
        <v>20.3</v>
      </c>
      <c r="G356" s="3">
        <v>0</v>
      </c>
      <c r="H356" s="3">
        <v>0</v>
      </c>
      <c r="I356" s="3">
        <f>E356+G356+H356</f>
        <v>29</v>
      </c>
      <c r="J356" s="3">
        <f>ROUND(MIN(IF(C356="Técnico III",35,IF(C356="Técnico II",28,IF(C356="Técnico I",23,IF(C356="JR",20,IF(C356="Estágio",10,0))))),IF(C356="Técnico III",SUMIFS($D:$D,$A:$A,$A356,$B:$B,"&lt;&gt;Patrícia Karla de Sousa Araújo",$B:$B,"&lt;&gt;Lorena Dias de Araujo",$B:$B,"&lt;&gt;Lucas Luiz Romero")*(35/1083),IF(C356="Técnico II",SUMIFS($D:$D,$A:$A,$A356,$B:$B,"&lt;&gt;Patrícia Karla de Sousa Araújo",$B:$B,"&lt;&gt;Lorena Dias de Araujo",$B:$B,"&lt;&gt;Lucas Luiz Romero")*(28/1083),IF(C356="Técnico I",SUMIFS($D:$D,$A:$A,$A356,$B:$B,"&lt;&gt;Patrícia Karla de Sousa Araújo",$B:$B,"&lt;&gt;Lorena Dias de Araujo",$B:$B,"&lt;&gt;Lucas Luiz Romero")*(23/1083),IF(C356="JR",SUMIFS($D:$D,$A:$A,$A356,$B:$B,"&lt;&gt;Patrícia Karla de Sousa Araújo",$B:$B,"&lt;&gt;Lorena Dias de Araujo",$B:$B,"&lt;&gt;Lucas Luiz Romero")*(20/1083),IF(C356="Estágio",SUMIFS($D:$D,$A:$A,$A356,$B:$B,"&lt;&gt;Patrícia Karla de Sousa Araújo",$B:$B,"&lt;&gt;Lorena Dias de Araujo",$B:$B,"&lt;&gt;Lucas Luiz Romero")*(10/1083),0)))))),0)</f>
        <v>28</v>
      </c>
      <c r="K356" s="3">
        <f>I356-J356</f>
        <v>1</v>
      </c>
      <c r="L356" s="3" t="str">
        <f>IF(K356&lt;-5,"CRÍTICO",IF(K356&lt;0,"ATENÇÃO",IF(K356&lt;=5,"OPORTUNO","MUITO BOM")))</f>
        <v>OPORTUNO</v>
      </c>
      <c r="M356" s="3">
        <v>28</v>
      </c>
      <c r="N356" s="3">
        <v>99.07</v>
      </c>
      <c r="O356" s="3">
        <v>20.098039215686271</v>
      </c>
    </row>
    <row r="357" spans="1:15" hidden="1" x14ac:dyDescent="0.25">
      <c r="A357" s="5">
        <v>46146</v>
      </c>
      <c r="B357" s="6" t="s">
        <v>51</v>
      </c>
      <c r="C357" s="1" t="s">
        <v>48</v>
      </c>
      <c r="D357" s="3">
        <v>37</v>
      </c>
      <c r="E357" s="3">
        <v>30</v>
      </c>
      <c r="F357" s="3">
        <v>15.15</v>
      </c>
      <c r="G357" s="3">
        <v>0</v>
      </c>
      <c r="H357" s="3">
        <v>0</v>
      </c>
      <c r="I357" s="3">
        <f>E357+G357+H357</f>
        <v>30</v>
      </c>
      <c r="J357" s="3">
        <f>ROUND(MIN(IF(C357="Técnico III",35,IF(C357="Técnico II",28,IF(C357="Técnico I",23,IF(C357="JR",20,IF(C357="Estágio",10,0))))),IF(C357="Técnico III",SUMIFS($D:$D,$A:$A,$A357,$B:$B,"&lt;&gt;Patrícia Karla de Sousa Araújo",$B:$B,"&lt;&gt;Lorena Dias de Araujo",$B:$B,"&lt;&gt;Lucas Luiz Romero")*(35/1083),IF(C357="Técnico II",SUMIFS($D:$D,$A:$A,$A357,$B:$B,"&lt;&gt;Patrícia Karla de Sousa Araújo",$B:$B,"&lt;&gt;Lorena Dias de Araujo",$B:$B,"&lt;&gt;Lucas Luiz Romero")*(28/1083),IF(C357="Técnico I",SUMIFS($D:$D,$A:$A,$A357,$B:$B,"&lt;&gt;Patrícia Karla de Sousa Araújo",$B:$B,"&lt;&gt;Lorena Dias de Araujo",$B:$B,"&lt;&gt;Lucas Luiz Romero")*(23/1083),IF(C357="JR",SUMIFS($D:$D,$A:$A,$A357,$B:$B,"&lt;&gt;Patrícia Karla de Sousa Araújo",$B:$B,"&lt;&gt;Lorena Dias de Araujo",$B:$B,"&lt;&gt;Lucas Luiz Romero")*(20/1083),IF(C357="Estágio",SUMIFS($D:$D,$A:$A,$A357,$B:$B,"&lt;&gt;Patrícia Karla de Sousa Araújo",$B:$B,"&lt;&gt;Lorena Dias de Araujo",$B:$B,"&lt;&gt;Lucas Luiz Romero")*(10/1083),0)))))),0)</f>
        <v>28</v>
      </c>
      <c r="K357" s="3">
        <f>I357-J357</f>
        <v>2</v>
      </c>
      <c r="L357" s="3" t="str">
        <f>IF(K357&lt;-5,"CRÍTICO",IF(K357&lt;0,"ATENÇÃO",IF(K357&lt;=5,"OPORTUNO","MUITO BOM")))</f>
        <v>OPORTUNO</v>
      </c>
      <c r="M357" s="3">
        <v>25</v>
      </c>
      <c r="N357" s="3">
        <v>98.81</v>
      </c>
      <c r="O357" s="3">
        <v>22.767857142857139</v>
      </c>
    </row>
    <row r="358" spans="1:15" hidden="1" x14ac:dyDescent="0.25">
      <c r="A358" s="5">
        <v>46146</v>
      </c>
      <c r="B358" s="6" t="s">
        <v>52</v>
      </c>
      <c r="C358" s="1" t="s">
        <v>48</v>
      </c>
      <c r="D358" s="3">
        <v>31</v>
      </c>
      <c r="E358" s="3">
        <v>28</v>
      </c>
      <c r="F358" s="3">
        <v>15.09</v>
      </c>
      <c r="G358" s="3">
        <v>7</v>
      </c>
      <c r="H358" s="3">
        <v>0</v>
      </c>
      <c r="I358" s="3">
        <f>E358+G358+H358</f>
        <v>35</v>
      </c>
      <c r="J358" s="3">
        <f>ROUND(MIN(IF(C358="Técnico III",35,IF(C358="Técnico II",28,IF(C358="Técnico I",23,IF(C358="JR",20,IF(C358="Estágio",10,0))))),IF(C358="Técnico III",SUMIFS($D:$D,$A:$A,$A358,$B:$B,"&lt;&gt;Patrícia Karla de Sousa Araújo",$B:$B,"&lt;&gt;Lorena Dias de Araujo",$B:$B,"&lt;&gt;Lucas Luiz Romero")*(35/1083),IF(C358="Técnico II",SUMIFS($D:$D,$A:$A,$A358,$B:$B,"&lt;&gt;Patrícia Karla de Sousa Araújo",$B:$B,"&lt;&gt;Lorena Dias de Araujo",$B:$B,"&lt;&gt;Lucas Luiz Romero")*(28/1083),IF(C358="Técnico I",SUMIFS($D:$D,$A:$A,$A358,$B:$B,"&lt;&gt;Patrícia Karla de Sousa Araújo",$B:$B,"&lt;&gt;Lorena Dias de Araujo",$B:$B,"&lt;&gt;Lucas Luiz Romero")*(23/1083),IF(C358="JR",SUMIFS($D:$D,$A:$A,$A358,$B:$B,"&lt;&gt;Patrícia Karla de Sousa Araújo",$B:$B,"&lt;&gt;Lorena Dias de Araujo",$B:$B,"&lt;&gt;Lucas Luiz Romero")*(20/1083),IF(C358="Estágio",SUMIFS($D:$D,$A:$A,$A358,$B:$B,"&lt;&gt;Patrícia Karla de Sousa Araújo",$B:$B,"&lt;&gt;Lorena Dias de Araujo",$B:$B,"&lt;&gt;Lucas Luiz Romero")*(10/1083),0)))))),0)</f>
        <v>28</v>
      </c>
      <c r="K358" s="3">
        <f>I358-J358</f>
        <v>7</v>
      </c>
      <c r="L358" s="3" t="str">
        <f>IF(K358&lt;-5,"CRÍTICO",IF(K358&lt;0,"ATENÇÃO",IF(K358&lt;=5,"OPORTUNO","MUITO BOM")))</f>
        <v>MUITO BOM</v>
      </c>
      <c r="M358" s="3">
        <v>29</v>
      </c>
      <c r="N358" s="3">
        <v>99.01</v>
      </c>
      <c r="O358" s="3">
        <v>17.766497461928939</v>
      </c>
    </row>
    <row r="359" spans="1:15" hidden="1" x14ac:dyDescent="0.25">
      <c r="A359" s="5">
        <v>46146</v>
      </c>
      <c r="B359" s="6" t="s">
        <v>53</v>
      </c>
      <c r="C359" s="1" t="s">
        <v>48</v>
      </c>
      <c r="D359" s="3">
        <v>36</v>
      </c>
      <c r="E359" s="3">
        <v>33</v>
      </c>
      <c r="F359" s="3">
        <v>18.37</v>
      </c>
      <c r="G359" s="3">
        <v>0</v>
      </c>
      <c r="H359" s="3">
        <v>0</v>
      </c>
      <c r="I359" s="3">
        <f>E359+G359+H359</f>
        <v>33</v>
      </c>
      <c r="J359" s="3">
        <f>ROUND(MIN(IF(C359="Técnico III",35,IF(C359="Técnico II",28,IF(C359="Técnico I",23,IF(C359="JR",20,IF(C359="Estágio",10,0))))),IF(C359="Técnico III",SUMIFS($D:$D,$A:$A,$A359,$B:$B,"&lt;&gt;Patrícia Karla de Sousa Araújo",$B:$B,"&lt;&gt;Lorena Dias de Araujo",$B:$B,"&lt;&gt;Lucas Luiz Romero")*(35/1083),IF(C359="Técnico II",SUMIFS($D:$D,$A:$A,$A359,$B:$B,"&lt;&gt;Patrícia Karla de Sousa Araújo",$B:$B,"&lt;&gt;Lorena Dias de Araujo",$B:$B,"&lt;&gt;Lucas Luiz Romero")*(28/1083),IF(C359="Técnico I",SUMIFS($D:$D,$A:$A,$A359,$B:$B,"&lt;&gt;Patrícia Karla de Sousa Araújo",$B:$B,"&lt;&gt;Lorena Dias de Araujo",$B:$B,"&lt;&gt;Lucas Luiz Romero")*(23/1083),IF(C359="JR",SUMIFS($D:$D,$A:$A,$A359,$B:$B,"&lt;&gt;Patrícia Karla de Sousa Araújo",$B:$B,"&lt;&gt;Lorena Dias de Araujo",$B:$B,"&lt;&gt;Lucas Luiz Romero")*(20/1083),IF(C359="Estágio",SUMIFS($D:$D,$A:$A,$A359,$B:$B,"&lt;&gt;Patrícia Karla de Sousa Araújo",$B:$B,"&lt;&gt;Lorena Dias de Araujo",$B:$B,"&lt;&gt;Lucas Luiz Romero")*(10/1083),0)))))),0)</f>
        <v>28</v>
      </c>
      <c r="K359" s="3">
        <f>I359-J359</f>
        <v>5</v>
      </c>
      <c r="L359" s="3" t="str">
        <f>IF(K359&lt;-5,"CRÍTICO",IF(K359&lt;0,"ATENÇÃO",IF(K359&lt;=5,"OPORTUNO","MUITO BOM")))</f>
        <v>OPORTUNO</v>
      </c>
      <c r="M359" s="3">
        <v>29</v>
      </c>
      <c r="N359" s="3">
        <v>100</v>
      </c>
      <c r="O359" s="3">
        <v>17.241379310344829</v>
      </c>
    </row>
    <row r="360" spans="1:15" hidden="1" x14ac:dyDescent="0.25">
      <c r="A360" s="5">
        <v>46146</v>
      </c>
      <c r="B360" s="6" t="s">
        <v>54</v>
      </c>
      <c r="C360" s="14" t="s">
        <v>48</v>
      </c>
      <c r="D360" s="3">
        <v>36</v>
      </c>
      <c r="E360" s="3">
        <v>34</v>
      </c>
      <c r="F360" s="3">
        <v>14.11</v>
      </c>
      <c r="G360" s="3">
        <v>0</v>
      </c>
      <c r="H360" s="3">
        <v>0</v>
      </c>
      <c r="I360" s="3">
        <f>E360+G360+H360</f>
        <v>34</v>
      </c>
      <c r="J360" s="3">
        <f>ROUND(MIN(IF(C360="Técnico III",35,IF(C360="Técnico II",28,IF(C360="Técnico I",23,IF(C360="JR",20,IF(C360="Estágio",10,0))))),IF(C360="Técnico III",SUMIFS($D:$D,$A:$A,$A360,$B:$B,"&lt;&gt;Patrícia Karla de Sousa Araújo",$B:$B,"&lt;&gt;Lorena Dias de Araujo",$B:$B,"&lt;&gt;Lucas Luiz Romero")*(35/1083),IF(C360="Técnico II",SUMIFS($D:$D,$A:$A,$A360,$B:$B,"&lt;&gt;Patrícia Karla de Sousa Araújo",$B:$B,"&lt;&gt;Lorena Dias de Araujo",$B:$B,"&lt;&gt;Lucas Luiz Romero")*(28/1083),IF(C360="Técnico I",SUMIFS($D:$D,$A:$A,$A360,$B:$B,"&lt;&gt;Patrícia Karla de Sousa Araújo",$B:$B,"&lt;&gt;Lorena Dias de Araujo",$B:$B,"&lt;&gt;Lucas Luiz Romero")*(23/1083),IF(C360="JR",SUMIFS($D:$D,$A:$A,$A360,$B:$B,"&lt;&gt;Patrícia Karla de Sousa Araújo",$B:$B,"&lt;&gt;Lorena Dias de Araujo",$B:$B,"&lt;&gt;Lucas Luiz Romero")*(20/1083),IF(C360="Estágio",SUMIFS($D:$D,$A:$A,$A360,$B:$B,"&lt;&gt;Patrícia Karla de Sousa Araújo",$B:$B,"&lt;&gt;Lorena Dias de Araujo",$B:$B,"&lt;&gt;Lucas Luiz Romero")*(10/1083),0)))))),0)</f>
        <v>28</v>
      </c>
      <c r="K360" s="3">
        <f>I360-J360</f>
        <v>6</v>
      </c>
      <c r="L360" s="3" t="str">
        <f>IF(K360&lt;-5,"CRÍTICO",IF(K360&lt;0,"ATENÇÃO",IF(K360&lt;=5,"OPORTUNO","MUITO BOM")))</f>
        <v>MUITO BOM</v>
      </c>
      <c r="M360" s="3">
        <v>33</v>
      </c>
      <c r="N360" s="3">
        <v>98.98</v>
      </c>
      <c r="O360" s="3">
        <v>19.35483870967742</v>
      </c>
    </row>
    <row r="361" spans="1:15" hidden="1" x14ac:dyDescent="0.25">
      <c r="A361" s="5">
        <v>46146</v>
      </c>
      <c r="B361" s="6" t="s">
        <v>55</v>
      </c>
      <c r="C361" s="1" t="s">
        <v>48</v>
      </c>
      <c r="D361" s="3">
        <v>32</v>
      </c>
      <c r="E361" s="3">
        <v>28</v>
      </c>
      <c r="F361" s="3">
        <v>14.15</v>
      </c>
      <c r="G361" s="3">
        <v>4</v>
      </c>
      <c r="H361" s="3">
        <v>0</v>
      </c>
      <c r="I361" s="3">
        <f>E361+G361+H361</f>
        <v>32</v>
      </c>
      <c r="J361" s="3">
        <f>ROUND(MIN(IF(C361="Técnico III",35,IF(C361="Técnico II",28,IF(C361="Técnico I",23,IF(C361="JR",20,IF(C361="Estágio",10,0))))),IF(C361="Técnico III",SUMIFS($D:$D,$A:$A,$A361,$B:$B,"&lt;&gt;Patrícia Karla de Sousa Araújo",$B:$B,"&lt;&gt;Lorena Dias de Araujo",$B:$B,"&lt;&gt;Lucas Luiz Romero")*(35/1083),IF(C361="Técnico II",SUMIFS($D:$D,$A:$A,$A361,$B:$B,"&lt;&gt;Patrícia Karla de Sousa Araújo",$B:$B,"&lt;&gt;Lorena Dias de Araujo",$B:$B,"&lt;&gt;Lucas Luiz Romero")*(28/1083),IF(C361="Técnico I",SUMIFS($D:$D,$A:$A,$A361,$B:$B,"&lt;&gt;Patrícia Karla de Sousa Araújo",$B:$B,"&lt;&gt;Lorena Dias de Araujo",$B:$B,"&lt;&gt;Lucas Luiz Romero")*(23/1083),IF(C361="JR",SUMIFS($D:$D,$A:$A,$A361,$B:$B,"&lt;&gt;Patrícia Karla de Sousa Araújo",$B:$B,"&lt;&gt;Lorena Dias de Araujo",$B:$B,"&lt;&gt;Lucas Luiz Romero")*(20/1083),IF(C361="Estágio",SUMIFS($D:$D,$A:$A,$A361,$B:$B,"&lt;&gt;Patrícia Karla de Sousa Araújo",$B:$B,"&lt;&gt;Lorena Dias de Araujo",$B:$B,"&lt;&gt;Lucas Luiz Romero")*(10/1083),0)))))),0)</f>
        <v>28</v>
      </c>
      <c r="K361" s="3">
        <f>I361-J361</f>
        <v>4</v>
      </c>
      <c r="L361" s="3" t="str">
        <f>IF(K361&lt;-5,"CRÍTICO",IF(K361&lt;0,"ATENÇÃO",IF(K361&lt;=5,"OPORTUNO","MUITO BOM")))</f>
        <v>OPORTUNO</v>
      </c>
      <c r="M361" s="3">
        <v>31</v>
      </c>
      <c r="N361" s="3">
        <v>98.94</v>
      </c>
      <c r="O361" s="3">
        <v>21.270718232044199</v>
      </c>
    </row>
    <row r="362" spans="1:15" hidden="1" x14ac:dyDescent="0.25">
      <c r="A362" s="5">
        <v>46146</v>
      </c>
      <c r="B362" s="6" t="s">
        <v>56</v>
      </c>
      <c r="C362" s="1" t="s">
        <v>48</v>
      </c>
      <c r="D362" s="3">
        <v>29</v>
      </c>
      <c r="E362" s="3">
        <v>26</v>
      </c>
      <c r="F362" s="3">
        <v>15.47</v>
      </c>
      <c r="G362" s="3">
        <v>0</v>
      </c>
      <c r="H362" s="3">
        <v>0</v>
      </c>
      <c r="I362" s="3">
        <f>E362+G362+H362</f>
        <v>26</v>
      </c>
      <c r="J362" s="3">
        <f>ROUND(MIN(IF(C362="Técnico III",35,IF(C362="Técnico II",28,IF(C362="Técnico I",23,IF(C362="JR",20,IF(C362="Estágio",10,0))))),IF(C362="Técnico III",SUMIFS($D:$D,$A:$A,$A362,$B:$B,"&lt;&gt;Patrícia Karla de Sousa Araújo",$B:$B,"&lt;&gt;Lorena Dias de Araujo",$B:$B,"&lt;&gt;Lucas Luiz Romero")*(35/1083),IF(C362="Técnico II",SUMIFS($D:$D,$A:$A,$A362,$B:$B,"&lt;&gt;Patrícia Karla de Sousa Araújo",$B:$B,"&lt;&gt;Lorena Dias de Araujo",$B:$B,"&lt;&gt;Lucas Luiz Romero")*(28/1083),IF(C362="Técnico I",SUMIFS($D:$D,$A:$A,$A362,$B:$B,"&lt;&gt;Patrícia Karla de Sousa Araújo",$B:$B,"&lt;&gt;Lorena Dias de Araujo",$B:$B,"&lt;&gt;Lucas Luiz Romero")*(23/1083),IF(C362="JR",SUMIFS($D:$D,$A:$A,$A362,$B:$B,"&lt;&gt;Patrícia Karla de Sousa Araújo",$B:$B,"&lt;&gt;Lorena Dias de Araujo",$B:$B,"&lt;&gt;Lucas Luiz Romero")*(20/1083),IF(C362="Estágio",SUMIFS($D:$D,$A:$A,$A362,$B:$B,"&lt;&gt;Patrícia Karla de Sousa Araújo",$B:$B,"&lt;&gt;Lorena Dias de Araujo",$B:$B,"&lt;&gt;Lucas Luiz Romero")*(10/1083),0)))))),0)</f>
        <v>28</v>
      </c>
      <c r="K362" s="3">
        <f>I362-J362</f>
        <v>-2</v>
      </c>
      <c r="L362" s="3" t="str">
        <f>IF(K362&lt;-5,"CRÍTICO",IF(K362&lt;0,"ATENÇÃO",IF(K362&lt;=5,"OPORTUNO","MUITO BOM")))</f>
        <v>ATENÇÃO</v>
      </c>
      <c r="M362" s="3">
        <v>15</v>
      </c>
      <c r="N362" s="3">
        <v>99</v>
      </c>
      <c r="O362" s="3">
        <v>22.010869565217391</v>
      </c>
    </row>
    <row r="363" spans="1:15" hidden="1" x14ac:dyDescent="0.25">
      <c r="A363" s="5">
        <v>46146</v>
      </c>
      <c r="B363" s="6" t="s">
        <v>57</v>
      </c>
      <c r="C363" s="1" t="s">
        <v>48</v>
      </c>
      <c r="D363" s="3">
        <v>41</v>
      </c>
      <c r="E363" s="3">
        <v>40</v>
      </c>
      <c r="F363" s="3">
        <v>15.1</v>
      </c>
      <c r="G363" s="3">
        <v>0</v>
      </c>
      <c r="H363" s="3">
        <v>0</v>
      </c>
      <c r="I363" s="3">
        <f>E363+G363+H363</f>
        <v>40</v>
      </c>
      <c r="J363" s="3">
        <f>ROUND(MIN(IF(C363="Técnico III",35,IF(C363="Técnico II",28,IF(C363="Técnico I",23,IF(C363="JR",20,IF(C363="Estágio",10,0))))),IF(C363="Técnico III",SUMIFS($D:$D,$A:$A,$A363,$B:$B,"&lt;&gt;Patrícia Karla de Sousa Araújo",$B:$B,"&lt;&gt;Lorena Dias de Araujo",$B:$B,"&lt;&gt;Lucas Luiz Romero")*(35/1083),IF(C363="Técnico II",SUMIFS($D:$D,$A:$A,$A363,$B:$B,"&lt;&gt;Patrícia Karla de Sousa Araújo",$B:$B,"&lt;&gt;Lorena Dias de Araujo",$B:$B,"&lt;&gt;Lucas Luiz Romero")*(28/1083),IF(C363="Técnico I",SUMIFS($D:$D,$A:$A,$A363,$B:$B,"&lt;&gt;Patrícia Karla de Sousa Araújo",$B:$B,"&lt;&gt;Lorena Dias de Araujo",$B:$B,"&lt;&gt;Lucas Luiz Romero")*(23/1083),IF(C363="JR",SUMIFS($D:$D,$A:$A,$A363,$B:$B,"&lt;&gt;Patrícia Karla de Sousa Araújo",$B:$B,"&lt;&gt;Lorena Dias de Araujo",$B:$B,"&lt;&gt;Lucas Luiz Romero")*(20/1083),IF(C363="Estágio",SUMIFS($D:$D,$A:$A,$A363,$B:$B,"&lt;&gt;Patrícia Karla de Sousa Araújo",$B:$B,"&lt;&gt;Lorena Dias de Araujo",$B:$B,"&lt;&gt;Lucas Luiz Romero")*(10/1083),0)))))),0)</f>
        <v>28</v>
      </c>
      <c r="K363" s="3">
        <f>I363-J363</f>
        <v>12</v>
      </c>
      <c r="L363" s="3" t="str">
        <f>IF(K363&lt;-5,"CRÍTICO",IF(K363&lt;0,"ATENÇÃO",IF(K363&lt;=5,"OPORTUNO","MUITO BOM")))</f>
        <v>MUITO BOM</v>
      </c>
      <c r="M363" s="3">
        <v>31</v>
      </c>
      <c r="N363" s="3">
        <v>100</v>
      </c>
      <c r="O363" s="3">
        <v>25</v>
      </c>
    </row>
    <row r="364" spans="1:15" hidden="1" x14ac:dyDescent="0.25">
      <c r="A364" s="5">
        <v>46146</v>
      </c>
      <c r="B364" s="6" t="s">
        <v>58</v>
      </c>
      <c r="C364" s="1" t="s">
        <v>48</v>
      </c>
      <c r="D364" s="3">
        <v>20</v>
      </c>
      <c r="E364" s="3">
        <v>16</v>
      </c>
      <c r="F364" s="3">
        <v>16.510000000000002</v>
      </c>
      <c r="G364" s="3">
        <v>0</v>
      </c>
      <c r="H364" s="3">
        <v>0</v>
      </c>
      <c r="I364" s="3">
        <f>E364+G364+H364</f>
        <v>16</v>
      </c>
      <c r="J364" s="3">
        <f>ROUND(MIN(IF(C364="Técnico III",35,IF(C364="Técnico II",28,IF(C364="Técnico I",23,IF(C364="JR",20,IF(C364="Estágio",10,0))))),IF(C364="Técnico III",SUMIFS($D:$D,$A:$A,$A364,$B:$B,"&lt;&gt;Patrícia Karla de Sousa Araújo",$B:$B,"&lt;&gt;Lorena Dias de Araujo",$B:$B,"&lt;&gt;Lucas Luiz Romero")*(35/1083),IF(C364="Técnico II",SUMIFS($D:$D,$A:$A,$A364,$B:$B,"&lt;&gt;Patrícia Karla de Sousa Araújo",$B:$B,"&lt;&gt;Lorena Dias de Araujo",$B:$B,"&lt;&gt;Lucas Luiz Romero")*(28/1083),IF(C364="Técnico I",SUMIFS($D:$D,$A:$A,$A364,$B:$B,"&lt;&gt;Patrícia Karla de Sousa Araújo",$B:$B,"&lt;&gt;Lorena Dias de Araujo",$B:$B,"&lt;&gt;Lucas Luiz Romero")*(23/1083),IF(C364="JR",SUMIFS($D:$D,$A:$A,$A364,$B:$B,"&lt;&gt;Patrícia Karla de Sousa Araújo",$B:$B,"&lt;&gt;Lorena Dias de Araujo",$B:$B,"&lt;&gt;Lucas Luiz Romero")*(20/1083),IF(C364="Estágio",SUMIFS($D:$D,$A:$A,$A364,$B:$B,"&lt;&gt;Patrícia Karla de Sousa Araújo",$B:$B,"&lt;&gt;Lorena Dias de Araujo",$B:$B,"&lt;&gt;Lucas Luiz Romero")*(10/1083),0)))))),0)</f>
        <v>28</v>
      </c>
      <c r="K364" s="3">
        <f>I364-J364</f>
        <v>-12</v>
      </c>
      <c r="L364" s="3" t="str">
        <f>IF(K364&lt;-5,"CRÍTICO",IF(K364&lt;0,"ATENÇÃO",IF(K364&lt;=5,"OPORTUNO","MUITO BOM")))</f>
        <v>CRÍTICO</v>
      </c>
      <c r="M364" s="3">
        <v>14</v>
      </c>
      <c r="N364" s="3">
        <v>100</v>
      </c>
      <c r="O364" s="3">
        <v>20.183486238532112</v>
      </c>
    </row>
    <row r="365" spans="1:15" hidden="1" x14ac:dyDescent="0.25">
      <c r="A365" s="5">
        <v>46146</v>
      </c>
      <c r="B365" s="6" t="s">
        <v>59</v>
      </c>
      <c r="C365" s="1" t="s">
        <v>23</v>
      </c>
      <c r="D365" s="3">
        <v>41</v>
      </c>
      <c r="E365" s="3">
        <v>39</v>
      </c>
      <c r="F365" s="3">
        <v>17.309999999999999</v>
      </c>
      <c r="G365" s="3">
        <v>1</v>
      </c>
      <c r="H365" s="3">
        <v>0</v>
      </c>
      <c r="I365" s="3">
        <f>E365+G365+H365</f>
        <v>40</v>
      </c>
      <c r="J365" s="3">
        <f>ROUND(MIN(IF(C365="Técnico III",35,IF(C365="Técnico II",28,IF(C365="Técnico I",23,IF(C365="JR",20,IF(C365="Estágio",10,0))))),IF(C365="Técnico III",SUMIFS($D:$D,$A:$A,$A365,$B:$B,"&lt;&gt;Patrícia Karla de Sousa Araújo",$B:$B,"&lt;&gt;Lorena Dias de Araujo",$B:$B,"&lt;&gt;Lucas Luiz Romero")*(35/1083),IF(C365="Técnico II",SUMIFS($D:$D,$A:$A,$A365,$B:$B,"&lt;&gt;Patrícia Karla de Sousa Araújo",$B:$B,"&lt;&gt;Lorena Dias de Araujo",$B:$B,"&lt;&gt;Lucas Luiz Romero")*(28/1083),IF(C365="Técnico I",SUMIFS($D:$D,$A:$A,$A365,$B:$B,"&lt;&gt;Patrícia Karla de Sousa Araújo",$B:$B,"&lt;&gt;Lorena Dias de Araujo",$B:$B,"&lt;&gt;Lucas Luiz Romero")*(23/1083),IF(C365="JR",SUMIFS($D:$D,$A:$A,$A365,$B:$B,"&lt;&gt;Patrícia Karla de Sousa Araújo",$B:$B,"&lt;&gt;Lorena Dias de Araujo",$B:$B,"&lt;&gt;Lucas Luiz Romero")*(20/1083),IF(C365="Estágio",SUMIFS($D:$D,$A:$A,$A365,$B:$B,"&lt;&gt;Patrícia Karla de Sousa Araújo",$B:$B,"&lt;&gt;Lorena Dias de Araujo",$B:$B,"&lt;&gt;Lucas Luiz Romero")*(10/1083),0)))))),0)</f>
        <v>23</v>
      </c>
      <c r="K365" s="3">
        <f>I365-J365</f>
        <v>17</v>
      </c>
      <c r="L365" s="3" t="str">
        <f>IF(K365&lt;-5,"CRÍTICO",IF(K365&lt;0,"ATENÇÃO",IF(K365&lt;=5,"OPORTUNO","MUITO BOM")))</f>
        <v>MUITO BOM</v>
      </c>
      <c r="M365" s="3">
        <v>35</v>
      </c>
      <c r="N365" s="3">
        <v>96.25</v>
      </c>
      <c r="O365" s="3">
        <v>25.586353944562902</v>
      </c>
    </row>
    <row r="366" spans="1:15" hidden="1" x14ac:dyDescent="0.25">
      <c r="A366" s="5">
        <v>46146</v>
      </c>
      <c r="B366" s="6" t="s">
        <v>60</v>
      </c>
      <c r="C366" s="1" t="s">
        <v>23</v>
      </c>
      <c r="D366" s="3">
        <v>32</v>
      </c>
      <c r="E366" s="3">
        <v>26</v>
      </c>
      <c r="F366" s="3">
        <v>15.13</v>
      </c>
      <c r="G366" s="3">
        <v>6</v>
      </c>
      <c r="H366" s="3">
        <v>0</v>
      </c>
      <c r="I366" s="3">
        <f>E366+G366+H366</f>
        <v>32</v>
      </c>
      <c r="J366" s="3">
        <f>ROUND(MIN(IF(C366="Técnico III",35,IF(C366="Técnico II",28,IF(C366="Técnico I",23,IF(C366="JR",20,IF(C366="Estágio",10,0))))),IF(C366="Técnico III",SUMIFS($D:$D,$A:$A,$A366,$B:$B,"&lt;&gt;Patrícia Karla de Sousa Araújo",$B:$B,"&lt;&gt;Lorena Dias de Araujo",$B:$B,"&lt;&gt;Lucas Luiz Romero")*(35/1083),IF(C366="Técnico II",SUMIFS($D:$D,$A:$A,$A366,$B:$B,"&lt;&gt;Patrícia Karla de Sousa Araújo",$B:$B,"&lt;&gt;Lorena Dias de Araujo",$B:$B,"&lt;&gt;Lucas Luiz Romero")*(28/1083),IF(C366="Técnico I",SUMIFS($D:$D,$A:$A,$A366,$B:$B,"&lt;&gt;Patrícia Karla de Sousa Araújo",$B:$B,"&lt;&gt;Lorena Dias de Araujo",$B:$B,"&lt;&gt;Lucas Luiz Romero")*(23/1083),IF(C366="JR",SUMIFS($D:$D,$A:$A,$A366,$B:$B,"&lt;&gt;Patrícia Karla de Sousa Araújo",$B:$B,"&lt;&gt;Lorena Dias de Araujo",$B:$B,"&lt;&gt;Lucas Luiz Romero")*(20/1083),IF(C366="Estágio",SUMIFS($D:$D,$A:$A,$A366,$B:$B,"&lt;&gt;Patrícia Karla de Sousa Araújo",$B:$B,"&lt;&gt;Lorena Dias de Araujo",$B:$B,"&lt;&gt;Lucas Luiz Romero")*(10/1083),0)))))),0)</f>
        <v>23</v>
      </c>
      <c r="K366" s="3">
        <f>I366-J366</f>
        <v>9</v>
      </c>
      <c r="L366" s="3" t="str">
        <f>IF(K366&lt;-5,"CRÍTICO",IF(K366&lt;0,"ATENÇÃO",IF(K366&lt;=5,"OPORTUNO","MUITO BOM")))</f>
        <v>MUITO BOM</v>
      </c>
      <c r="M366" s="3">
        <v>29</v>
      </c>
      <c r="N366" s="3">
        <v>97.48</v>
      </c>
      <c r="O366" s="3">
        <v>22.99465240641711</v>
      </c>
    </row>
    <row r="367" spans="1:15" hidden="1" x14ac:dyDescent="0.25">
      <c r="A367" s="5">
        <v>46146</v>
      </c>
      <c r="B367" s="6" t="s">
        <v>61</v>
      </c>
      <c r="C367" s="1" t="s">
        <v>23</v>
      </c>
      <c r="D367" s="3">
        <v>28</v>
      </c>
      <c r="E367" s="3">
        <v>27</v>
      </c>
      <c r="F367" s="3">
        <v>17.14</v>
      </c>
      <c r="G367" s="3">
        <v>0</v>
      </c>
      <c r="H367" s="3">
        <v>0</v>
      </c>
      <c r="I367" s="3">
        <f>E367+G367+H367</f>
        <v>27</v>
      </c>
      <c r="J367" s="3">
        <f>ROUND(MIN(IF(C367="Técnico III",35,IF(C367="Técnico II",28,IF(C367="Técnico I",23,IF(C367="JR",20,IF(C367="Estágio",10,0))))),IF(C367="Técnico III",SUMIFS($D:$D,$A:$A,$A367,$B:$B,"&lt;&gt;Patrícia Karla de Sousa Araújo",$B:$B,"&lt;&gt;Lorena Dias de Araujo",$B:$B,"&lt;&gt;Lucas Luiz Romero")*(35/1083),IF(C367="Técnico II",SUMIFS($D:$D,$A:$A,$A367,$B:$B,"&lt;&gt;Patrícia Karla de Sousa Araújo",$B:$B,"&lt;&gt;Lorena Dias de Araujo",$B:$B,"&lt;&gt;Lucas Luiz Romero")*(28/1083),IF(C367="Técnico I",SUMIFS($D:$D,$A:$A,$A367,$B:$B,"&lt;&gt;Patrícia Karla de Sousa Araújo",$B:$B,"&lt;&gt;Lorena Dias de Araujo",$B:$B,"&lt;&gt;Lucas Luiz Romero")*(23/1083),IF(C367="JR",SUMIFS($D:$D,$A:$A,$A367,$B:$B,"&lt;&gt;Patrícia Karla de Sousa Araújo",$B:$B,"&lt;&gt;Lorena Dias de Araujo",$B:$B,"&lt;&gt;Lucas Luiz Romero")*(20/1083),IF(C367="Estágio",SUMIFS($D:$D,$A:$A,$A367,$B:$B,"&lt;&gt;Patrícia Karla de Sousa Araújo",$B:$B,"&lt;&gt;Lorena Dias de Araujo",$B:$B,"&lt;&gt;Lucas Luiz Romero")*(10/1083),0)))))),0)</f>
        <v>23</v>
      </c>
      <c r="K367" s="3">
        <f>I367-J367</f>
        <v>4</v>
      </c>
      <c r="L367" s="3" t="str">
        <f>IF(K367&lt;-5,"CRÍTICO",IF(K367&lt;0,"ATENÇÃO",IF(K367&lt;=5,"OPORTUNO","MUITO BOM")))</f>
        <v>OPORTUNO</v>
      </c>
      <c r="M367" s="3">
        <v>16</v>
      </c>
      <c r="N367" s="3">
        <v>100</v>
      </c>
      <c r="O367" s="3">
        <v>20.788530465949819</v>
      </c>
    </row>
    <row r="368" spans="1:15" hidden="1" x14ac:dyDescent="0.25">
      <c r="A368" s="5">
        <v>46146</v>
      </c>
      <c r="B368" s="6" t="s">
        <v>22</v>
      </c>
      <c r="C368" s="1" t="s">
        <v>23</v>
      </c>
      <c r="D368" s="3">
        <v>24</v>
      </c>
      <c r="E368" s="3">
        <v>20</v>
      </c>
      <c r="F368" s="3">
        <v>21.45</v>
      </c>
      <c r="G368" s="3">
        <v>7</v>
      </c>
      <c r="H368" s="3">
        <v>0</v>
      </c>
      <c r="I368" s="3">
        <f>E368+G368+H368</f>
        <v>27</v>
      </c>
      <c r="J368" s="3">
        <f>ROUND(MIN(IF(C368="Técnico III",35,IF(C368="Técnico II",28,IF(C368="Técnico I",23,IF(C368="JR",20,IF(C368="Estágio",10,0))))),IF(C368="Técnico III",SUMIFS($D:$D,$A:$A,$A368,$B:$B,"&lt;&gt;Patrícia Karla de Sousa Araújo",$B:$B,"&lt;&gt;Lorena Dias de Araujo",$B:$B,"&lt;&gt;Lucas Luiz Romero")*(35/1083),IF(C368="Técnico II",SUMIFS($D:$D,$A:$A,$A368,$B:$B,"&lt;&gt;Patrícia Karla de Sousa Araújo",$B:$B,"&lt;&gt;Lorena Dias de Araujo",$B:$B,"&lt;&gt;Lucas Luiz Romero")*(28/1083),IF(C368="Técnico I",SUMIFS($D:$D,$A:$A,$A368,$B:$B,"&lt;&gt;Patrícia Karla de Sousa Araújo",$B:$B,"&lt;&gt;Lorena Dias de Araujo",$B:$B,"&lt;&gt;Lucas Luiz Romero")*(23/1083),IF(C368="JR",SUMIFS($D:$D,$A:$A,$A368,$B:$B,"&lt;&gt;Patrícia Karla de Sousa Araújo",$B:$B,"&lt;&gt;Lorena Dias de Araujo",$B:$B,"&lt;&gt;Lucas Luiz Romero")*(20/1083),IF(C368="Estágio",SUMIFS($D:$D,$A:$A,$A368,$B:$B,"&lt;&gt;Patrícia Karla de Sousa Araújo",$B:$B,"&lt;&gt;Lorena Dias de Araujo",$B:$B,"&lt;&gt;Lucas Luiz Romero")*(10/1083),0)))))),0)</f>
        <v>23</v>
      </c>
      <c r="K368" s="3">
        <f>I368-J368</f>
        <v>4</v>
      </c>
      <c r="L368" s="3" t="str">
        <f>IF(K368&lt;-5,"CRÍTICO",IF(K368&lt;0,"ATENÇÃO",IF(K368&lt;=5,"OPORTUNO","MUITO BOM")))</f>
        <v>OPORTUNO</v>
      </c>
      <c r="M368" s="3">
        <v>22</v>
      </c>
      <c r="N368" s="3">
        <v>99.06</v>
      </c>
      <c r="O368" s="3">
        <v>19.417475728155338</v>
      </c>
    </row>
    <row r="369" spans="1:15" hidden="1" x14ac:dyDescent="0.25">
      <c r="A369" s="11">
        <v>46037</v>
      </c>
      <c r="B369" t="s">
        <v>22</v>
      </c>
      <c r="C369" t="s">
        <v>23</v>
      </c>
      <c r="D369">
        <v>27</v>
      </c>
      <c r="E369">
        <v>27</v>
      </c>
      <c r="F369">
        <v>18.350000000000001</v>
      </c>
      <c r="G369">
        <v>0</v>
      </c>
      <c r="H369">
        <v>0</v>
      </c>
      <c r="I369" s="3">
        <f>E369+G369+H369</f>
        <v>27</v>
      </c>
      <c r="J369" s="3">
        <f>ROUND(MIN(IF(C369="Técnico III",35,IF(C369="Técnico II",28,IF(C369="Técnico I",23,IF(C369="JR",20,IF(C369="Estágio",10,0))))),IF(C369="Técnico III",SUMIFS($D:$D,$A:$A,$A369,$B:$B,"&lt;&gt;Patrícia Karla de Sousa Araújo",$B:$B,"&lt;&gt;Lorena Dias de Araujo",$B:$B,"&lt;&gt;Lucas Luiz Romero")*(35/1083),IF(C369="Técnico II",SUMIFS($D:$D,$A:$A,$A369,$B:$B,"&lt;&gt;Patrícia Karla de Sousa Araújo",$B:$B,"&lt;&gt;Lorena Dias de Araujo",$B:$B,"&lt;&gt;Lucas Luiz Romero")*(28/1083),IF(C369="Técnico I",SUMIFS($D:$D,$A:$A,$A369,$B:$B,"&lt;&gt;Patrícia Karla de Sousa Araújo",$B:$B,"&lt;&gt;Lorena Dias de Araujo",$B:$B,"&lt;&gt;Lucas Luiz Romero")*(23/1083),IF(C369="JR",SUMIFS($D:$D,$A:$A,$A369,$B:$B,"&lt;&gt;Patrícia Karla de Sousa Araújo",$B:$B,"&lt;&gt;Lorena Dias de Araujo",$B:$B,"&lt;&gt;Lucas Luiz Romero")*(20/1083),IF(C369="Estágio",SUMIFS($D:$D,$A:$A,$A369,$B:$B,"&lt;&gt;Patrícia Karla de Sousa Araújo",$B:$B,"&lt;&gt;Lorena Dias de Araujo",$B:$B,"&lt;&gt;Lucas Luiz Romero")*(10/1083),0)))))),0)</f>
        <v>15</v>
      </c>
      <c r="K369" s="3">
        <f>I369-J369</f>
        <v>12</v>
      </c>
      <c r="L369" s="3" t="str">
        <f>IF(K369&lt;-5,"CRÍTICO",IF(K369&lt;0,"ATENÇÃO",IF(K369&lt;=5,"BOM","EXCELENTE")))</f>
        <v>EXCELENTE</v>
      </c>
      <c r="M369">
        <v>24</v>
      </c>
      <c r="N369">
        <v>98.91</v>
      </c>
      <c r="O369">
        <v>31.367292225201069</v>
      </c>
    </row>
    <row r="370" spans="1:15" hidden="1" x14ac:dyDescent="0.25">
      <c r="A370" s="5">
        <v>46146</v>
      </c>
      <c r="B370" s="6" t="s">
        <v>62</v>
      </c>
      <c r="C370" s="1" t="s">
        <v>23</v>
      </c>
      <c r="D370" s="3">
        <v>25</v>
      </c>
      <c r="E370" s="3">
        <v>21</v>
      </c>
      <c r="F370" s="3">
        <v>17.18</v>
      </c>
      <c r="G370" s="3">
        <v>4</v>
      </c>
      <c r="H370" s="3">
        <v>0</v>
      </c>
      <c r="I370" s="3">
        <f>E370+G370+H370</f>
        <v>25</v>
      </c>
      <c r="J370" s="3">
        <f>ROUND(MIN(IF(C370="Técnico III",35,IF(C370="Técnico II",28,IF(C370="Técnico I",23,IF(C370="JR",20,IF(C370="Estágio",10,0))))),IF(C370="Técnico III",SUMIFS($D:$D,$A:$A,$A370,$B:$B,"&lt;&gt;Patrícia Karla de Sousa Araújo",$B:$B,"&lt;&gt;Lorena Dias de Araujo",$B:$B,"&lt;&gt;Lucas Luiz Romero")*(35/1083),IF(C370="Técnico II",SUMIFS($D:$D,$A:$A,$A370,$B:$B,"&lt;&gt;Patrícia Karla de Sousa Araújo",$B:$B,"&lt;&gt;Lorena Dias de Araujo",$B:$B,"&lt;&gt;Lucas Luiz Romero")*(28/1083),IF(C370="Técnico I",SUMIFS($D:$D,$A:$A,$A370,$B:$B,"&lt;&gt;Patrícia Karla de Sousa Araújo",$B:$B,"&lt;&gt;Lorena Dias de Araujo",$B:$B,"&lt;&gt;Lucas Luiz Romero")*(23/1083),IF(C370="JR",SUMIFS($D:$D,$A:$A,$A370,$B:$B,"&lt;&gt;Patrícia Karla de Sousa Araújo",$B:$B,"&lt;&gt;Lorena Dias de Araujo",$B:$B,"&lt;&gt;Lucas Luiz Romero")*(20/1083),IF(C370="Estágio",SUMIFS($D:$D,$A:$A,$A370,$B:$B,"&lt;&gt;Patrícia Karla de Sousa Araújo",$B:$B,"&lt;&gt;Lorena Dias de Araujo",$B:$B,"&lt;&gt;Lucas Luiz Romero")*(10/1083),0)))))),0)</f>
        <v>23</v>
      </c>
      <c r="K370" s="3">
        <f>I370-J370</f>
        <v>2</v>
      </c>
      <c r="L370" s="3" t="str">
        <f>IF(K370&lt;-5,"CRÍTICO",IF(K370&lt;0,"ATENÇÃO",IF(K370&lt;=5,"OPORTUNO","MUITO BOM")))</f>
        <v>OPORTUNO</v>
      </c>
      <c r="M370" s="3">
        <v>26</v>
      </c>
      <c r="N370" s="3">
        <v>94.55</v>
      </c>
      <c r="O370" s="3">
        <v>23.450134770889491</v>
      </c>
    </row>
    <row r="371" spans="1:15" hidden="1" x14ac:dyDescent="0.25">
      <c r="A371" s="5">
        <v>46146</v>
      </c>
      <c r="B371" s="6" t="s">
        <v>63</v>
      </c>
      <c r="C371" s="1" t="s">
        <v>23</v>
      </c>
      <c r="D371" s="3">
        <v>27</v>
      </c>
      <c r="E371" s="3">
        <v>23</v>
      </c>
      <c r="F371" s="3">
        <v>14.07</v>
      </c>
      <c r="G371" s="3">
        <v>4</v>
      </c>
      <c r="H371" s="3">
        <v>0</v>
      </c>
      <c r="I371" s="3">
        <f>E371+G371+H371</f>
        <v>27</v>
      </c>
      <c r="J371" s="3">
        <f>ROUND(MIN(IF(C371="Técnico III",35,IF(C371="Técnico II",28,IF(C371="Técnico I",23,IF(C371="JR",20,IF(C371="Estágio",10,0))))),IF(C371="Técnico III",SUMIFS($D:$D,$A:$A,$A371,$B:$B,"&lt;&gt;Patrícia Karla de Sousa Araújo",$B:$B,"&lt;&gt;Lorena Dias de Araujo",$B:$B,"&lt;&gt;Lucas Luiz Romero")*(35/1083),IF(C371="Técnico II",SUMIFS($D:$D,$A:$A,$A371,$B:$B,"&lt;&gt;Patrícia Karla de Sousa Araújo",$B:$B,"&lt;&gt;Lorena Dias de Araujo",$B:$B,"&lt;&gt;Lucas Luiz Romero")*(28/1083),IF(C371="Técnico I",SUMIFS($D:$D,$A:$A,$A371,$B:$B,"&lt;&gt;Patrícia Karla de Sousa Araújo",$B:$B,"&lt;&gt;Lorena Dias de Araujo",$B:$B,"&lt;&gt;Lucas Luiz Romero")*(23/1083),IF(C371="JR",SUMIFS($D:$D,$A:$A,$A371,$B:$B,"&lt;&gt;Patrícia Karla de Sousa Araújo",$B:$B,"&lt;&gt;Lorena Dias de Araujo",$B:$B,"&lt;&gt;Lucas Luiz Romero")*(20/1083),IF(C371="Estágio",SUMIFS($D:$D,$A:$A,$A371,$B:$B,"&lt;&gt;Patrícia Karla de Sousa Araújo",$B:$B,"&lt;&gt;Lorena Dias de Araujo",$B:$B,"&lt;&gt;Lucas Luiz Romero")*(10/1083),0)))))),0)</f>
        <v>23</v>
      </c>
      <c r="K371" s="3">
        <f>I371-J371</f>
        <v>4</v>
      </c>
      <c r="L371" s="3" t="str">
        <f>IF(K371&lt;-5,"CRÍTICO",IF(K371&lt;0,"ATENÇÃO",IF(K371&lt;=5,"OPORTUNO","MUITO BOM")))</f>
        <v>OPORTUNO</v>
      </c>
      <c r="M371" s="3">
        <v>20</v>
      </c>
      <c r="N371" s="3">
        <v>98</v>
      </c>
      <c r="O371" s="3">
        <v>20.73490813648294</v>
      </c>
    </row>
    <row r="372" spans="1:15" hidden="1" x14ac:dyDescent="0.25">
      <c r="A372" s="5">
        <v>46146</v>
      </c>
      <c r="B372" s="6" t="s">
        <v>64</v>
      </c>
      <c r="C372" s="1" t="s">
        <v>23</v>
      </c>
      <c r="D372" s="3">
        <v>20</v>
      </c>
      <c r="E372" s="3">
        <v>20</v>
      </c>
      <c r="F372" s="3">
        <v>25.29</v>
      </c>
      <c r="G372" s="3">
        <v>0</v>
      </c>
      <c r="H372" s="3">
        <v>0</v>
      </c>
      <c r="I372" s="3">
        <f>E372+G372+H372</f>
        <v>20</v>
      </c>
      <c r="J372" s="3">
        <f>ROUND(MIN(IF(C372="Técnico III",35,IF(C372="Técnico II",28,IF(C372="Técnico I",23,IF(C372="JR",20,IF(C372="Estágio",10,0))))),IF(C372="Técnico III",SUMIFS($D:$D,$A:$A,$A372,$B:$B,"&lt;&gt;Patrícia Karla de Sousa Araújo",$B:$B,"&lt;&gt;Lorena Dias de Araujo",$B:$B,"&lt;&gt;Lucas Luiz Romero")*(35/1083),IF(C372="Técnico II",SUMIFS($D:$D,$A:$A,$A372,$B:$B,"&lt;&gt;Patrícia Karla de Sousa Araújo",$B:$B,"&lt;&gt;Lorena Dias de Araujo",$B:$B,"&lt;&gt;Lucas Luiz Romero")*(28/1083),IF(C372="Técnico I",SUMIFS($D:$D,$A:$A,$A372,$B:$B,"&lt;&gt;Patrícia Karla de Sousa Araújo",$B:$B,"&lt;&gt;Lorena Dias de Araujo",$B:$B,"&lt;&gt;Lucas Luiz Romero")*(23/1083),IF(C372="JR",SUMIFS($D:$D,$A:$A,$A372,$B:$B,"&lt;&gt;Patrícia Karla de Sousa Araújo",$B:$B,"&lt;&gt;Lorena Dias de Araujo",$B:$B,"&lt;&gt;Lucas Luiz Romero")*(20/1083),IF(C372="Estágio",SUMIFS($D:$D,$A:$A,$A372,$B:$B,"&lt;&gt;Patrícia Karla de Sousa Araújo",$B:$B,"&lt;&gt;Lorena Dias de Araujo",$B:$B,"&lt;&gt;Lucas Luiz Romero")*(10/1083),0)))))),0)</f>
        <v>23</v>
      </c>
      <c r="K372" s="3">
        <f>I372-J372</f>
        <v>-3</v>
      </c>
      <c r="L372" s="3" t="str">
        <f>IF(K372&lt;-5,"CRÍTICO",IF(K372&lt;0,"ATENÇÃO",IF(K372&lt;=5,"OPORTUNO","MUITO BOM")))</f>
        <v>ATENÇÃO</v>
      </c>
      <c r="M372" s="3">
        <v>20</v>
      </c>
      <c r="N372" s="3">
        <v>100</v>
      </c>
      <c r="O372" s="3">
        <v>18</v>
      </c>
    </row>
    <row r="373" spans="1:15" hidden="1" x14ac:dyDescent="0.25">
      <c r="A373" s="5">
        <v>46147</v>
      </c>
      <c r="B373" s="6" t="s">
        <v>31</v>
      </c>
      <c r="C373" s="1" t="s">
        <v>32</v>
      </c>
      <c r="D373" s="3">
        <v>0</v>
      </c>
      <c r="E373" s="3">
        <v>0</v>
      </c>
      <c r="F373" s="3">
        <v>0</v>
      </c>
      <c r="G373" s="3">
        <v>0</v>
      </c>
      <c r="H373" s="3">
        <v>0</v>
      </c>
      <c r="I373" s="3">
        <v>0</v>
      </c>
      <c r="J373" s="3">
        <v>0</v>
      </c>
      <c r="K373" s="3">
        <v>0</v>
      </c>
      <c r="L373" s="3" t="str">
        <f>IF(K373&lt;-5,"CRÍTICO",IF(K373&lt;0,"ATENÇÃO",IF(K373&lt;=5,"BOM","EXCELENTE")))</f>
        <v>BOM</v>
      </c>
      <c r="M373" s="3">
        <v>0</v>
      </c>
      <c r="N373" s="3">
        <v>100</v>
      </c>
      <c r="O373" s="3">
        <v>0</v>
      </c>
    </row>
    <row r="374" spans="1:15" hidden="1" x14ac:dyDescent="0.25">
      <c r="A374" s="5">
        <v>46147</v>
      </c>
      <c r="B374" s="6" t="s">
        <v>33</v>
      </c>
      <c r="C374" s="14" t="s">
        <v>32</v>
      </c>
      <c r="D374" s="3">
        <v>30</v>
      </c>
      <c r="E374" s="3">
        <v>28</v>
      </c>
      <c r="F374" s="3">
        <v>18.41</v>
      </c>
      <c r="G374" s="3">
        <v>0</v>
      </c>
      <c r="H374" s="3">
        <v>0</v>
      </c>
      <c r="I374" s="3">
        <f>E374+G374+H374</f>
        <v>28</v>
      </c>
      <c r="J374" s="3">
        <f>ROUND(MIN(IF(C374="Técnico III",35,IF(C374="Técnico II",28,IF(C374="Técnico I",23,IF(C374="JR",20,IF(C374="Estágio",10,0))))),IF(C374="Técnico III",SUMIFS($D:$D,$A:$A,$A374,$B:$B,"&lt;&gt;Patrícia Karla de Sousa Araújo",$B:$B,"&lt;&gt;Lorena Dias de Araujo",$B:$B,"&lt;&gt;Lucas Luiz Romero")*(35/1083),IF(C374="Técnico II",SUMIFS($D:$D,$A:$A,$A374,$B:$B,"&lt;&gt;Patrícia Karla de Sousa Araújo",$B:$B,"&lt;&gt;Lorena Dias de Araujo",$B:$B,"&lt;&gt;Lucas Luiz Romero")*(28/1083),IF(C374="Técnico I",SUMIFS($D:$D,$A:$A,$A374,$B:$B,"&lt;&gt;Patrícia Karla de Sousa Araújo",$B:$B,"&lt;&gt;Lorena Dias de Araujo",$B:$B,"&lt;&gt;Lucas Luiz Romero")*(23/1083),IF(C374="JR",SUMIFS($D:$D,$A:$A,$A374,$B:$B,"&lt;&gt;Patrícia Karla de Sousa Araújo",$B:$B,"&lt;&gt;Lorena Dias de Araujo",$B:$B,"&lt;&gt;Lucas Luiz Romero")*(20/1083),IF(C374="Estágio",SUMIFS($D:$D,$A:$A,$A374,$B:$B,"&lt;&gt;Patrícia Karla de Sousa Araújo",$B:$B,"&lt;&gt;Lorena Dias de Araujo",$B:$B,"&lt;&gt;Lucas Luiz Romero")*(10/1083),0)))))),0)</f>
        <v>35</v>
      </c>
      <c r="K374" s="3">
        <f>I374-J374</f>
        <v>-7</v>
      </c>
      <c r="L374" s="3" t="str">
        <f>IF(K374&lt;-5,"CRÍTICO",IF(K374&lt;0,"ATENÇÃO",IF(K374&lt;=5,"OPORTUNO","MUITO BOM")))</f>
        <v>CRÍTICO</v>
      </c>
      <c r="M374" s="3">
        <v>26</v>
      </c>
      <c r="N374" s="3">
        <v>96.94</v>
      </c>
      <c r="O374" s="3">
        <v>19.613259668508292</v>
      </c>
    </row>
    <row r="375" spans="1:15" hidden="1" x14ac:dyDescent="0.25">
      <c r="A375" s="5">
        <v>46147</v>
      </c>
      <c r="B375" s="6" t="s">
        <v>34</v>
      </c>
      <c r="C375" s="1" t="s">
        <v>32</v>
      </c>
      <c r="D375" s="3">
        <v>46</v>
      </c>
      <c r="E375" s="3">
        <v>39</v>
      </c>
      <c r="F375" s="3">
        <v>10.45</v>
      </c>
      <c r="G375" s="3">
        <v>8</v>
      </c>
      <c r="H375" s="3">
        <v>0</v>
      </c>
      <c r="I375" s="3">
        <f>E375+G375+H375</f>
        <v>47</v>
      </c>
      <c r="J375" s="3">
        <f>ROUND(MIN(IF(C375="Técnico III",35,IF(C375="Técnico II",28,IF(C375="Técnico I",23,IF(C375="JR",20,IF(C375="Estágio",10,0))))),IF(C375="Técnico III",SUMIFS($D:$D,$A:$A,$A375,$B:$B,"&lt;&gt;Patrícia Karla de Sousa Araújo",$B:$B,"&lt;&gt;Lorena Dias de Araujo",$B:$B,"&lt;&gt;Lucas Luiz Romero")*(35/1083),IF(C375="Técnico II",SUMIFS($D:$D,$A:$A,$A375,$B:$B,"&lt;&gt;Patrícia Karla de Sousa Araújo",$B:$B,"&lt;&gt;Lorena Dias de Araujo",$B:$B,"&lt;&gt;Lucas Luiz Romero")*(28/1083),IF(C375="Técnico I",SUMIFS($D:$D,$A:$A,$A375,$B:$B,"&lt;&gt;Patrícia Karla de Sousa Araújo",$B:$B,"&lt;&gt;Lorena Dias de Araujo",$B:$B,"&lt;&gt;Lucas Luiz Romero")*(23/1083),IF(C375="JR",SUMIFS($D:$D,$A:$A,$A375,$B:$B,"&lt;&gt;Patrícia Karla de Sousa Araújo",$B:$B,"&lt;&gt;Lorena Dias de Araujo",$B:$B,"&lt;&gt;Lucas Luiz Romero")*(20/1083),IF(C375="Estágio",SUMIFS($D:$D,$A:$A,$A375,$B:$B,"&lt;&gt;Patrícia Karla de Sousa Araújo",$B:$B,"&lt;&gt;Lorena Dias de Araujo",$B:$B,"&lt;&gt;Lucas Luiz Romero")*(10/1083),0)))))),0)</f>
        <v>35</v>
      </c>
      <c r="K375" s="3">
        <f>I375-J375</f>
        <v>12</v>
      </c>
      <c r="L375" s="3" t="str">
        <f>IF(K375&lt;-5,"CRÍTICO",IF(K375&lt;0,"ATENÇÃO",IF(K375&lt;=5,"OPORTUNO","MUITO BOM")))</f>
        <v>MUITO BOM</v>
      </c>
      <c r="M375" s="3">
        <v>46</v>
      </c>
      <c r="N375" s="3">
        <v>92.81</v>
      </c>
      <c r="O375" s="3">
        <v>25.477707006369432</v>
      </c>
    </row>
    <row r="376" spans="1:15" hidden="1" x14ac:dyDescent="0.25">
      <c r="A376" s="5">
        <v>46147</v>
      </c>
      <c r="B376" s="6" t="s">
        <v>35</v>
      </c>
      <c r="C376" s="14" t="s">
        <v>32</v>
      </c>
      <c r="D376" s="3">
        <v>27</v>
      </c>
      <c r="E376" s="3">
        <v>27</v>
      </c>
      <c r="F376" s="3">
        <v>24.15</v>
      </c>
      <c r="G376" s="3">
        <v>0</v>
      </c>
      <c r="H376" s="3">
        <v>0</v>
      </c>
      <c r="I376" s="3">
        <f>E376+G376+H376</f>
        <v>27</v>
      </c>
      <c r="J376" s="3">
        <f>ROUND(MIN(IF(C376="Técnico III",35,IF(C376="Técnico II",28,IF(C376="Técnico I",23,IF(C376="JR",20,IF(C376="Estágio",10,0))))),IF(C376="Técnico III",SUMIFS($D:$D,$A:$A,$A376,$B:$B,"&lt;&gt;Patrícia Karla de Sousa Araújo",$B:$B,"&lt;&gt;Lorena Dias de Araujo",$B:$B,"&lt;&gt;Lucas Luiz Romero")*(35/1083),IF(C376="Técnico II",SUMIFS($D:$D,$A:$A,$A376,$B:$B,"&lt;&gt;Patrícia Karla de Sousa Araújo",$B:$B,"&lt;&gt;Lorena Dias de Araujo",$B:$B,"&lt;&gt;Lucas Luiz Romero")*(28/1083),IF(C376="Técnico I",SUMIFS($D:$D,$A:$A,$A376,$B:$B,"&lt;&gt;Patrícia Karla de Sousa Araújo",$B:$B,"&lt;&gt;Lorena Dias de Araujo",$B:$B,"&lt;&gt;Lucas Luiz Romero")*(23/1083),IF(C376="JR",SUMIFS($D:$D,$A:$A,$A376,$B:$B,"&lt;&gt;Patrícia Karla de Sousa Araújo",$B:$B,"&lt;&gt;Lorena Dias de Araujo",$B:$B,"&lt;&gt;Lucas Luiz Romero")*(20/1083),IF(C376="Estágio",SUMIFS($D:$D,$A:$A,$A376,$B:$B,"&lt;&gt;Patrícia Karla de Sousa Araújo",$B:$B,"&lt;&gt;Lorena Dias de Araujo",$B:$B,"&lt;&gt;Lucas Luiz Romero")*(10/1083),0)))))),0)</f>
        <v>35</v>
      </c>
      <c r="K376" s="3">
        <f>I376-J376</f>
        <v>-8</v>
      </c>
      <c r="L376" s="3" t="str">
        <f>IF(K376&lt;-5,"CRÍTICO",IF(K376&lt;0,"ATENÇÃO",IF(K376&lt;=5,"OPORTUNO","MUITO BOM")))</f>
        <v>CRÍTICO</v>
      </c>
      <c r="M376" s="3">
        <v>28</v>
      </c>
      <c r="N376" s="3">
        <v>99.19</v>
      </c>
      <c r="O376" s="3">
        <v>28.404669260700391</v>
      </c>
    </row>
    <row r="377" spans="1:15" hidden="1" x14ac:dyDescent="0.25">
      <c r="A377" s="5">
        <v>46147</v>
      </c>
      <c r="B377" s="6" t="s">
        <v>36</v>
      </c>
      <c r="C377" s="14" t="s">
        <v>32</v>
      </c>
      <c r="D377" s="3">
        <v>0</v>
      </c>
      <c r="E377" s="3">
        <v>0</v>
      </c>
      <c r="F377" s="3">
        <v>0</v>
      </c>
      <c r="G377" s="3">
        <v>0</v>
      </c>
      <c r="H377" s="3">
        <v>0</v>
      </c>
      <c r="I377" s="3">
        <f>E377+G377+H377</f>
        <v>0</v>
      </c>
      <c r="J377" s="3">
        <f>ROUND(MIN(IF(C377="Técnico III",35,IF(C377="Técnico II",28,IF(C377="Técnico I",23,IF(C377="JR",20,IF(C377="Estágio",10,0))))),IF(C377="Técnico III",SUMIFS($D:$D,$A:$A,$A377,$B:$B,"&lt;&gt;Patrícia Karla de Sousa Araújo",$B:$B,"&lt;&gt;Lorena Dias de Araujo",$B:$B,"&lt;&gt;Lucas Luiz Romero")*(35/1083),IF(C377="Técnico II",SUMIFS($D:$D,$A:$A,$A377,$B:$B,"&lt;&gt;Patrícia Karla de Sousa Araújo",$B:$B,"&lt;&gt;Lorena Dias de Araujo",$B:$B,"&lt;&gt;Lucas Luiz Romero")*(28/1083),IF(C377="Técnico I",SUMIFS($D:$D,$A:$A,$A377,$B:$B,"&lt;&gt;Patrícia Karla de Sousa Araújo",$B:$B,"&lt;&gt;Lorena Dias de Araujo",$B:$B,"&lt;&gt;Lucas Luiz Romero")*(23/1083),IF(C377="JR",SUMIFS($D:$D,$A:$A,$A377,$B:$B,"&lt;&gt;Patrícia Karla de Sousa Araújo",$B:$B,"&lt;&gt;Lorena Dias de Araujo",$B:$B,"&lt;&gt;Lucas Luiz Romero")*(20/1083),IF(C377="Estágio",SUMIFS($D:$D,$A:$A,$A377,$B:$B,"&lt;&gt;Patrícia Karla de Sousa Araújo",$B:$B,"&lt;&gt;Lorena Dias de Araujo",$B:$B,"&lt;&gt;Lucas Luiz Romero")*(10/1083),0)))))),0)</f>
        <v>35</v>
      </c>
      <c r="K377" s="3">
        <f>I377-J377</f>
        <v>-35</v>
      </c>
      <c r="L377" s="3" t="str">
        <f>IF(K377&lt;-5,"CRÍTICO",IF(K377&lt;0,"ATENÇÃO",IF(K377&lt;=5,"OPORTUNO","MUITO BOM")))</f>
        <v>CRÍTICO</v>
      </c>
      <c r="M377" s="3">
        <v>0</v>
      </c>
      <c r="N377" s="3">
        <v>100</v>
      </c>
      <c r="O377" s="3">
        <v>13.51351351351351</v>
      </c>
    </row>
    <row r="378" spans="1:15" hidden="1" x14ac:dyDescent="0.25">
      <c r="A378" s="5">
        <v>46147</v>
      </c>
      <c r="B378" s="6" t="s">
        <v>37</v>
      </c>
      <c r="C378" s="1" t="s">
        <v>32</v>
      </c>
      <c r="D378" s="3">
        <v>40</v>
      </c>
      <c r="E378" s="3">
        <v>40</v>
      </c>
      <c r="F378" s="3">
        <v>15.42</v>
      </c>
      <c r="G378" s="3">
        <v>2</v>
      </c>
      <c r="H378" s="3">
        <v>0</v>
      </c>
      <c r="I378" s="3">
        <f>E378+G378+H378</f>
        <v>42</v>
      </c>
      <c r="J378" s="3">
        <f>ROUND(MIN(IF(C378="Técnico III",35,IF(C378="Técnico II",28,IF(C378="Técnico I",23,IF(C378="JR",20,IF(C378="Estágio",10,0))))),IF(C378="Técnico III",SUMIFS($D:$D,$A:$A,$A378,$B:$B,"&lt;&gt;Patrícia Karla de Sousa Araújo",$B:$B,"&lt;&gt;Lorena Dias de Araujo",$B:$B,"&lt;&gt;Lucas Luiz Romero")*(35/1083),IF(C378="Técnico II",SUMIFS($D:$D,$A:$A,$A378,$B:$B,"&lt;&gt;Patrícia Karla de Sousa Araújo",$B:$B,"&lt;&gt;Lorena Dias de Araujo",$B:$B,"&lt;&gt;Lucas Luiz Romero")*(28/1083),IF(C378="Técnico I",SUMIFS($D:$D,$A:$A,$A378,$B:$B,"&lt;&gt;Patrícia Karla de Sousa Araújo",$B:$B,"&lt;&gt;Lorena Dias de Araujo",$B:$B,"&lt;&gt;Lucas Luiz Romero")*(23/1083),IF(C378="JR",SUMIFS($D:$D,$A:$A,$A378,$B:$B,"&lt;&gt;Patrícia Karla de Sousa Araújo",$B:$B,"&lt;&gt;Lorena Dias de Araujo",$B:$B,"&lt;&gt;Lucas Luiz Romero")*(20/1083),IF(C378="Estágio",SUMIFS($D:$D,$A:$A,$A378,$B:$B,"&lt;&gt;Patrícia Karla de Sousa Araújo",$B:$B,"&lt;&gt;Lorena Dias de Araujo",$B:$B,"&lt;&gt;Lucas Luiz Romero")*(10/1083),0)))))),0)</f>
        <v>35</v>
      </c>
      <c r="K378" s="3">
        <f>I378-J378</f>
        <v>7</v>
      </c>
      <c r="L378" s="3" t="str">
        <f>IF(K378&lt;-5,"CRÍTICO",IF(K378&lt;0,"ATENÇÃO",IF(K378&lt;=5,"OPORTUNO","MUITO BOM")))</f>
        <v>MUITO BOM</v>
      </c>
      <c r="M378" s="3">
        <v>40</v>
      </c>
      <c r="N378" s="3">
        <v>99</v>
      </c>
      <c r="O378" s="3">
        <v>22.27414330218069</v>
      </c>
    </row>
    <row r="379" spans="1:15" hidden="1" x14ac:dyDescent="0.25">
      <c r="A379" s="5">
        <v>46147</v>
      </c>
      <c r="B379" s="6" t="s">
        <v>38</v>
      </c>
      <c r="C379" s="1" t="s">
        <v>32</v>
      </c>
      <c r="D379" s="3">
        <v>42</v>
      </c>
      <c r="E379" s="3">
        <v>41</v>
      </c>
      <c r="F379" s="3">
        <v>13.26</v>
      </c>
      <c r="G379" s="3">
        <v>2</v>
      </c>
      <c r="H379" s="3">
        <v>0</v>
      </c>
      <c r="I379" s="3">
        <f>E379+G379+H379</f>
        <v>43</v>
      </c>
      <c r="J379" s="3">
        <f>ROUND(MIN(IF(C379="Técnico III",35,IF(C379="Técnico II",28,IF(C379="Técnico I",23,IF(C379="JR",20,IF(C379="Estágio",10,0))))),IF(C379="Técnico III",SUMIFS($D:$D,$A:$A,$A379,$B:$B,"&lt;&gt;Patrícia Karla de Sousa Araújo",$B:$B,"&lt;&gt;Lorena Dias de Araujo",$B:$B,"&lt;&gt;Lucas Luiz Romero")*(35/1083),IF(C379="Técnico II",SUMIFS($D:$D,$A:$A,$A379,$B:$B,"&lt;&gt;Patrícia Karla de Sousa Araújo",$B:$B,"&lt;&gt;Lorena Dias de Araujo",$B:$B,"&lt;&gt;Lucas Luiz Romero")*(28/1083),IF(C379="Técnico I",SUMIFS($D:$D,$A:$A,$A379,$B:$B,"&lt;&gt;Patrícia Karla de Sousa Araújo",$B:$B,"&lt;&gt;Lorena Dias de Araujo",$B:$B,"&lt;&gt;Lucas Luiz Romero")*(23/1083),IF(C379="JR",SUMIFS($D:$D,$A:$A,$A379,$B:$B,"&lt;&gt;Patrícia Karla de Sousa Araújo",$B:$B,"&lt;&gt;Lorena Dias de Araujo",$B:$B,"&lt;&gt;Lucas Luiz Romero")*(20/1083),IF(C379="Estágio",SUMIFS($D:$D,$A:$A,$A379,$B:$B,"&lt;&gt;Patrícia Karla de Sousa Araújo",$B:$B,"&lt;&gt;Lorena Dias de Araujo",$B:$B,"&lt;&gt;Lucas Luiz Romero")*(10/1083),0)))))),0)</f>
        <v>35</v>
      </c>
      <c r="K379" s="3">
        <f>I379-J379</f>
        <v>8</v>
      </c>
      <c r="L379" s="3" t="str">
        <f>IF(K379&lt;-5,"CRÍTICO",IF(K379&lt;0,"ATENÇÃO",IF(K379&lt;=5,"OPORTUNO","MUITO BOM")))</f>
        <v>MUITO BOM</v>
      </c>
      <c r="M379" s="3">
        <v>41</v>
      </c>
      <c r="N379" s="3">
        <v>97.04</v>
      </c>
      <c r="O379" s="3">
        <v>29.828850855745721</v>
      </c>
    </row>
    <row r="380" spans="1:15" hidden="1" x14ac:dyDescent="0.25">
      <c r="A380" s="5">
        <v>46147</v>
      </c>
      <c r="B380" s="6" t="s">
        <v>39</v>
      </c>
      <c r="C380" s="1" t="s">
        <v>32</v>
      </c>
      <c r="D380" s="3">
        <v>0</v>
      </c>
      <c r="E380" s="3">
        <v>0</v>
      </c>
      <c r="F380" s="3">
        <v>0</v>
      </c>
      <c r="G380" s="3">
        <v>0</v>
      </c>
      <c r="H380" s="3">
        <v>0</v>
      </c>
      <c r="I380" s="3">
        <f>E380+G380+H380</f>
        <v>0</v>
      </c>
      <c r="J380" s="3">
        <f>ROUND(MIN(IF(C380="Técnico III",35,IF(C380="Técnico II",28,IF(C380="Técnico I",23,IF(C380="JR",20,IF(C380="Estágio",10,0))))),IF(C380="Técnico III",SUMIFS($D:$D,$A:$A,$A380,$B:$B,"&lt;&gt;Patrícia Karla de Sousa Araújo",$B:$B,"&lt;&gt;Lorena Dias de Araujo",$B:$B,"&lt;&gt;Lucas Luiz Romero")*(35/1083),IF(C380="Técnico II",SUMIFS($D:$D,$A:$A,$A380,$B:$B,"&lt;&gt;Patrícia Karla de Sousa Araújo",$B:$B,"&lt;&gt;Lorena Dias de Araujo",$B:$B,"&lt;&gt;Lucas Luiz Romero")*(28/1083),IF(C380="Técnico I",SUMIFS($D:$D,$A:$A,$A380,$B:$B,"&lt;&gt;Patrícia Karla de Sousa Araújo",$B:$B,"&lt;&gt;Lorena Dias de Araujo",$B:$B,"&lt;&gt;Lucas Luiz Romero")*(23/1083),IF(C380="JR",SUMIFS($D:$D,$A:$A,$A380,$B:$B,"&lt;&gt;Patrícia Karla de Sousa Araújo",$B:$B,"&lt;&gt;Lorena Dias de Araujo",$B:$B,"&lt;&gt;Lucas Luiz Romero")*(20/1083),IF(C380="Estágio",SUMIFS($D:$D,$A:$A,$A380,$B:$B,"&lt;&gt;Patrícia Karla de Sousa Araújo",$B:$B,"&lt;&gt;Lorena Dias de Araujo",$B:$B,"&lt;&gt;Lucas Luiz Romero")*(10/1083),0)))))),0)</f>
        <v>35</v>
      </c>
      <c r="K380" s="3">
        <f>I380-J380</f>
        <v>-35</v>
      </c>
      <c r="L380" s="3" t="str">
        <f>IF(K380&lt;-5,"CRÍTICO",IF(K380&lt;0,"ATENÇÃO",IF(K380&lt;=5,"OPORTUNO","MUITO BOM")))</f>
        <v>CRÍTICO</v>
      </c>
      <c r="M380" s="3">
        <v>0</v>
      </c>
      <c r="N380" s="3">
        <v>0</v>
      </c>
      <c r="O380" s="3">
        <v>0</v>
      </c>
    </row>
    <row r="381" spans="1:15" hidden="1" x14ac:dyDescent="0.25">
      <c r="A381" s="5">
        <v>46147</v>
      </c>
      <c r="B381" s="6" t="s">
        <v>40</v>
      </c>
      <c r="C381" s="14" t="s">
        <v>32</v>
      </c>
      <c r="D381" s="3">
        <v>26</v>
      </c>
      <c r="E381" s="3">
        <v>26</v>
      </c>
      <c r="F381" s="3">
        <v>18.420000000000002</v>
      </c>
      <c r="G381" s="3">
        <v>1</v>
      </c>
      <c r="H381" s="3">
        <v>0</v>
      </c>
      <c r="I381" s="3">
        <f>E381+G381+H381</f>
        <v>27</v>
      </c>
      <c r="J381" s="3">
        <f>ROUND(MIN(IF(C381="Técnico III",35,IF(C381="Técnico II",28,IF(C381="Técnico I",23,IF(C381="JR",20,IF(C381="Estágio",10,0))))),IF(C381="Técnico III",SUMIFS($D:$D,$A:$A,$A381,$B:$B,"&lt;&gt;Patrícia Karla de Sousa Araújo",$B:$B,"&lt;&gt;Lorena Dias de Araujo",$B:$B,"&lt;&gt;Lucas Luiz Romero")*(35/1083),IF(C381="Técnico II",SUMIFS($D:$D,$A:$A,$A381,$B:$B,"&lt;&gt;Patrícia Karla de Sousa Araújo",$B:$B,"&lt;&gt;Lorena Dias de Araujo",$B:$B,"&lt;&gt;Lucas Luiz Romero")*(28/1083),IF(C381="Técnico I",SUMIFS($D:$D,$A:$A,$A381,$B:$B,"&lt;&gt;Patrícia Karla de Sousa Araújo",$B:$B,"&lt;&gt;Lorena Dias de Araujo",$B:$B,"&lt;&gt;Lucas Luiz Romero")*(23/1083),IF(C381="JR",SUMIFS($D:$D,$A:$A,$A381,$B:$B,"&lt;&gt;Patrícia Karla de Sousa Araújo",$B:$B,"&lt;&gt;Lorena Dias de Araujo",$B:$B,"&lt;&gt;Lucas Luiz Romero")*(20/1083),IF(C381="Estágio",SUMIFS($D:$D,$A:$A,$A381,$B:$B,"&lt;&gt;Patrícia Karla de Sousa Araújo",$B:$B,"&lt;&gt;Lorena Dias de Araujo",$B:$B,"&lt;&gt;Lucas Luiz Romero")*(10/1083),0)))))),0)</f>
        <v>35</v>
      </c>
      <c r="K381" s="3">
        <f>I381-J381</f>
        <v>-8</v>
      </c>
      <c r="L381" s="3" t="str">
        <f>IF(K381&lt;-5,"CRÍTICO",IF(K381&lt;0,"ATENÇÃO",IF(K381&lt;=5,"OPORTUNO","MUITO BOM")))</f>
        <v>CRÍTICO</v>
      </c>
      <c r="M381" s="3">
        <v>22</v>
      </c>
      <c r="N381" s="3">
        <v>96.84</v>
      </c>
      <c r="O381" s="3">
        <v>16.338028169014081</v>
      </c>
    </row>
    <row r="382" spans="1:15" hidden="1" x14ac:dyDescent="0.25">
      <c r="A382" s="5">
        <v>46147</v>
      </c>
      <c r="B382" s="6" t="s">
        <v>41</v>
      </c>
      <c r="C382" s="14" t="s">
        <v>32</v>
      </c>
      <c r="D382" s="3">
        <v>29</v>
      </c>
      <c r="E382" s="3">
        <v>25</v>
      </c>
      <c r="F382" s="3">
        <v>16.399999999999999</v>
      </c>
      <c r="G382" s="3">
        <v>0</v>
      </c>
      <c r="H382" s="3">
        <v>0</v>
      </c>
      <c r="I382" s="3">
        <f>E382+G382+H382</f>
        <v>25</v>
      </c>
      <c r="J382" s="3">
        <f>ROUND(MIN(IF(C382="Técnico III",35,IF(C382="Técnico II",28,IF(C382="Técnico I",23,IF(C382="JR",20,IF(C382="Estágio",10,0))))),IF(C382="Técnico III",SUMIFS($D:$D,$A:$A,$A382,$B:$B,"&lt;&gt;Patrícia Karla de Sousa Araújo",$B:$B,"&lt;&gt;Lorena Dias de Araujo",$B:$B,"&lt;&gt;Lucas Luiz Romero")*(35/1083),IF(C382="Técnico II",SUMIFS($D:$D,$A:$A,$A382,$B:$B,"&lt;&gt;Patrícia Karla de Sousa Araújo",$B:$B,"&lt;&gt;Lorena Dias de Araujo",$B:$B,"&lt;&gt;Lucas Luiz Romero")*(28/1083),IF(C382="Técnico I",SUMIFS($D:$D,$A:$A,$A382,$B:$B,"&lt;&gt;Patrícia Karla de Sousa Araújo",$B:$B,"&lt;&gt;Lorena Dias de Araujo",$B:$B,"&lt;&gt;Lucas Luiz Romero")*(23/1083),IF(C382="JR",SUMIFS($D:$D,$A:$A,$A382,$B:$B,"&lt;&gt;Patrícia Karla de Sousa Araújo",$B:$B,"&lt;&gt;Lorena Dias de Araujo",$B:$B,"&lt;&gt;Lucas Luiz Romero")*(20/1083),IF(C382="Estágio",SUMIFS($D:$D,$A:$A,$A382,$B:$B,"&lt;&gt;Patrícia Karla de Sousa Araújo",$B:$B,"&lt;&gt;Lorena Dias de Araujo",$B:$B,"&lt;&gt;Lucas Luiz Romero")*(10/1083),0)))))),0)</f>
        <v>35</v>
      </c>
      <c r="K382" s="3">
        <f>I382-J382</f>
        <v>-10</v>
      </c>
      <c r="L382" s="3" t="str">
        <f>IF(K382&lt;-5,"CRÍTICO",IF(K382&lt;0,"ATENÇÃO",IF(K382&lt;=5,"OPORTUNO","MUITO BOM")))</f>
        <v>CRÍTICO</v>
      </c>
      <c r="M382" s="3">
        <v>32</v>
      </c>
      <c r="N382" s="3">
        <v>100</v>
      </c>
      <c r="O382" s="3">
        <v>18.244803695150122</v>
      </c>
    </row>
    <row r="383" spans="1:15" hidden="1" x14ac:dyDescent="0.25">
      <c r="A383" s="5">
        <v>46147</v>
      </c>
      <c r="B383" s="6" t="s">
        <v>42</v>
      </c>
      <c r="C383" s="1" t="s">
        <v>32</v>
      </c>
      <c r="D383" s="3">
        <v>0</v>
      </c>
      <c r="E383" s="3">
        <v>0</v>
      </c>
      <c r="F383" s="3">
        <v>0</v>
      </c>
      <c r="G383" s="3">
        <v>0</v>
      </c>
      <c r="H383" s="3">
        <v>0</v>
      </c>
      <c r="I383" s="3">
        <f>E383+G383+H383</f>
        <v>0</v>
      </c>
      <c r="J383" s="3">
        <f>ROUND(MIN(IF(C383="Técnico III",35,IF(C383="Técnico II",28,IF(C383="Técnico I",23,IF(C383="JR",20,IF(C383="Estágio",10,0))))),IF(C383="Técnico III",SUMIFS($D:$D,$A:$A,$A383,$B:$B,"&lt;&gt;Patrícia Karla de Sousa Araújo",$B:$B,"&lt;&gt;Lorena Dias de Araujo",$B:$B,"&lt;&gt;Lucas Luiz Romero")*(35/1083),IF(C383="Técnico II",SUMIFS($D:$D,$A:$A,$A383,$B:$B,"&lt;&gt;Patrícia Karla de Sousa Araújo",$B:$B,"&lt;&gt;Lorena Dias de Araujo",$B:$B,"&lt;&gt;Lucas Luiz Romero")*(28/1083),IF(C383="Técnico I",SUMIFS($D:$D,$A:$A,$A383,$B:$B,"&lt;&gt;Patrícia Karla de Sousa Araújo",$B:$B,"&lt;&gt;Lorena Dias de Araujo",$B:$B,"&lt;&gt;Lucas Luiz Romero")*(23/1083),IF(C383="JR",SUMIFS($D:$D,$A:$A,$A383,$B:$B,"&lt;&gt;Patrícia Karla de Sousa Araújo",$B:$B,"&lt;&gt;Lorena Dias de Araujo",$B:$B,"&lt;&gt;Lucas Luiz Romero")*(20/1083),IF(C383="Estágio",SUMIFS($D:$D,$A:$A,$A383,$B:$B,"&lt;&gt;Patrícia Karla de Sousa Araújo",$B:$B,"&lt;&gt;Lorena Dias de Araujo",$B:$B,"&lt;&gt;Lucas Luiz Romero")*(10/1083),0)))))),0)</f>
        <v>35</v>
      </c>
      <c r="K383" s="3">
        <f>I383-J383</f>
        <v>-35</v>
      </c>
      <c r="L383" s="3" t="str">
        <f>IF(K383&lt;-5,"CRÍTICO",IF(K383&lt;0,"ATENÇÃO",IF(K383&lt;=5,"OPORTUNO","MUITO BOM")))</f>
        <v>CRÍTICO</v>
      </c>
      <c r="M383" s="3">
        <v>0</v>
      </c>
      <c r="N383" s="3">
        <v>100</v>
      </c>
      <c r="O383" s="3">
        <v>15.789473684210529</v>
      </c>
    </row>
    <row r="384" spans="1:15" x14ac:dyDescent="0.25">
      <c r="A384" s="5">
        <v>46147</v>
      </c>
      <c r="B384" s="6" t="s">
        <v>43</v>
      </c>
      <c r="C384" s="1" t="s">
        <v>32</v>
      </c>
      <c r="D384" s="3">
        <v>14</v>
      </c>
      <c r="E384" s="3">
        <v>14</v>
      </c>
      <c r="F384" s="3">
        <v>15.35</v>
      </c>
      <c r="G384" s="3">
        <v>0</v>
      </c>
      <c r="H384" s="3">
        <v>21</v>
      </c>
      <c r="I384" s="3">
        <f>E384+G384+H384</f>
        <v>35</v>
      </c>
      <c r="J384" s="3">
        <f>ROUND(MIN(IF(C384="Técnico III",35,IF(C384="Técnico II",28,IF(C384="Técnico I",23,IF(C384="JR",20,IF(C384="Estágio",10,0))))),IF(C384="Técnico III",SUMIFS($D:$D,$A:$A,$A384,$B:$B,"&lt;&gt;Patrícia Karla de Sousa Araújo",$B:$B,"&lt;&gt;Lorena Dias de Araujo",$B:$B,"&lt;&gt;Lucas Luiz Romero")*(35/1083),IF(C384="Técnico II",SUMIFS($D:$D,$A:$A,$A384,$B:$B,"&lt;&gt;Patrícia Karla de Sousa Araújo",$B:$B,"&lt;&gt;Lorena Dias de Araujo",$B:$B,"&lt;&gt;Lucas Luiz Romero")*(28/1083),IF(C384="Técnico I",SUMIFS($D:$D,$A:$A,$A384,$B:$B,"&lt;&gt;Patrícia Karla de Sousa Araújo",$B:$B,"&lt;&gt;Lorena Dias de Araujo",$B:$B,"&lt;&gt;Lucas Luiz Romero")*(23/1083),IF(C384="JR",SUMIFS($D:$D,$A:$A,$A384,$B:$B,"&lt;&gt;Patrícia Karla de Sousa Araújo",$B:$B,"&lt;&gt;Lorena Dias de Araujo",$B:$B,"&lt;&gt;Lucas Luiz Romero")*(20/1083),IF(C384="Estágio",SUMIFS($D:$D,$A:$A,$A384,$B:$B,"&lt;&gt;Patrícia Karla de Sousa Araújo",$B:$B,"&lt;&gt;Lorena Dias de Araujo",$B:$B,"&lt;&gt;Lucas Luiz Romero")*(10/1083),0)))))),0)</f>
        <v>35</v>
      </c>
      <c r="K384" s="3">
        <f>I384-J384</f>
        <v>0</v>
      </c>
      <c r="L384" s="3" t="str">
        <f>IF(K384&lt;-5,"CRÍTICO",IF(K384&lt;0,"ATENÇÃO",IF(K384&lt;=5,"OPORTUNO","MUITO BOM")))</f>
        <v>OPORTUNO</v>
      </c>
      <c r="M384" s="3">
        <v>28</v>
      </c>
      <c r="N384" s="3">
        <v>98.39</v>
      </c>
      <c r="O384" s="3">
        <v>8.7999999999999989</v>
      </c>
    </row>
    <row r="385" spans="1:15" hidden="1" x14ac:dyDescent="0.25">
      <c r="A385" s="5">
        <v>46147</v>
      </c>
      <c r="B385" s="6" t="s">
        <v>44</v>
      </c>
      <c r="C385" s="1" t="s">
        <v>32</v>
      </c>
      <c r="D385" s="3">
        <v>32</v>
      </c>
      <c r="E385" s="3">
        <v>30</v>
      </c>
      <c r="F385" s="3">
        <v>15.03</v>
      </c>
      <c r="G385" s="3">
        <v>10</v>
      </c>
      <c r="H385" s="3">
        <v>0</v>
      </c>
      <c r="I385" s="3">
        <f>E385+G385+H385</f>
        <v>40</v>
      </c>
      <c r="J385" s="3">
        <f>ROUND(MIN(IF(C385="Técnico III",35,IF(C385="Técnico II",28,IF(C385="Técnico I",23,IF(C385="JR",20,IF(C385="Estágio",10,0))))),IF(C385="Técnico III",SUMIFS($D:$D,$A:$A,$A385,$B:$B,"&lt;&gt;Patrícia Karla de Sousa Araújo",$B:$B,"&lt;&gt;Lorena Dias de Araujo",$B:$B,"&lt;&gt;Lucas Luiz Romero")*(35/1083),IF(C385="Técnico II",SUMIFS($D:$D,$A:$A,$A385,$B:$B,"&lt;&gt;Patrícia Karla de Sousa Araújo",$B:$B,"&lt;&gt;Lorena Dias de Araujo",$B:$B,"&lt;&gt;Lucas Luiz Romero")*(28/1083),IF(C385="Técnico I",SUMIFS($D:$D,$A:$A,$A385,$B:$B,"&lt;&gt;Patrícia Karla de Sousa Araújo",$B:$B,"&lt;&gt;Lorena Dias de Araujo",$B:$B,"&lt;&gt;Lucas Luiz Romero")*(23/1083),IF(C385="JR",SUMIFS($D:$D,$A:$A,$A385,$B:$B,"&lt;&gt;Patrícia Karla de Sousa Araújo",$B:$B,"&lt;&gt;Lorena Dias de Araujo",$B:$B,"&lt;&gt;Lucas Luiz Romero")*(20/1083),IF(C385="Estágio",SUMIFS($D:$D,$A:$A,$A385,$B:$B,"&lt;&gt;Patrícia Karla de Sousa Araújo",$B:$B,"&lt;&gt;Lorena Dias de Araujo",$B:$B,"&lt;&gt;Lucas Luiz Romero")*(10/1083),0)))))),0)</f>
        <v>35</v>
      </c>
      <c r="K385" s="3">
        <f>I385-J385</f>
        <v>5</v>
      </c>
      <c r="L385" s="3" t="str">
        <f>IF(K385&lt;-5,"CRÍTICO",IF(K385&lt;0,"ATENÇÃO",IF(K385&lt;=5,"OPORTUNO","MUITO BOM")))</f>
        <v>OPORTUNO</v>
      </c>
      <c r="M385" s="3">
        <v>37</v>
      </c>
      <c r="N385" s="3">
        <v>96.38</v>
      </c>
      <c r="O385" s="3">
        <v>23.198198198198199</v>
      </c>
    </row>
    <row r="386" spans="1:15" hidden="1" x14ac:dyDescent="0.25">
      <c r="A386" s="5">
        <v>46147</v>
      </c>
      <c r="B386" s="6" t="s">
        <v>45</v>
      </c>
      <c r="C386" s="1" t="s">
        <v>32</v>
      </c>
      <c r="D386" s="3">
        <v>49</v>
      </c>
      <c r="E386" s="3">
        <v>45</v>
      </c>
      <c r="F386" s="3">
        <v>10.46</v>
      </c>
      <c r="G386" s="3">
        <v>9</v>
      </c>
      <c r="H386" s="3">
        <v>0</v>
      </c>
      <c r="I386" s="3">
        <f>E386+G386+H386</f>
        <v>54</v>
      </c>
      <c r="J386" s="3">
        <f>ROUND(MIN(IF(C386="Técnico III",35,IF(C386="Técnico II",28,IF(C386="Técnico I",23,IF(C386="JR",20,IF(C386="Estágio",10,0))))),IF(C386="Técnico III",SUMIFS($D:$D,$A:$A,$A386,$B:$B,"&lt;&gt;Patrícia Karla de Sousa Araújo",$B:$B,"&lt;&gt;Lorena Dias de Araujo",$B:$B,"&lt;&gt;Lucas Luiz Romero")*(35/1083),IF(C386="Técnico II",SUMIFS($D:$D,$A:$A,$A386,$B:$B,"&lt;&gt;Patrícia Karla de Sousa Araújo",$B:$B,"&lt;&gt;Lorena Dias de Araujo",$B:$B,"&lt;&gt;Lucas Luiz Romero")*(28/1083),IF(C386="Técnico I",SUMIFS($D:$D,$A:$A,$A386,$B:$B,"&lt;&gt;Patrícia Karla de Sousa Araújo",$B:$B,"&lt;&gt;Lorena Dias de Araujo",$B:$B,"&lt;&gt;Lucas Luiz Romero")*(23/1083),IF(C386="JR",SUMIFS($D:$D,$A:$A,$A386,$B:$B,"&lt;&gt;Patrícia Karla de Sousa Araújo",$B:$B,"&lt;&gt;Lorena Dias de Araujo",$B:$B,"&lt;&gt;Lucas Luiz Romero")*(20/1083),IF(C386="Estágio",SUMIFS($D:$D,$A:$A,$A386,$B:$B,"&lt;&gt;Patrícia Karla de Sousa Araújo",$B:$B,"&lt;&gt;Lorena Dias de Araujo",$B:$B,"&lt;&gt;Lucas Luiz Romero")*(10/1083),0)))))),0)</f>
        <v>35</v>
      </c>
      <c r="K386" s="3">
        <f>I386-J386</f>
        <v>19</v>
      </c>
      <c r="L386" s="3" t="str">
        <f>IF(K386&lt;-5,"CRÍTICO",IF(K386&lt;0,"ATENÇÃO",IF(K386&lt;=5,"OPORTUNO","MUITO BOM")))</f>
        <v>MUITO BOM</v>
      </c>
      <c r="M386" s="3">
        <v>49</v>
      </c>
      <c r="N386" s="3">
        <v>99.39</v>
      </c>
      <c r="O386" s="3">
        <v>25.203252032520329</v>
      </c>
    </row>
    <row r="387" spans="1:15" hidden="1" x14ac:dyDescent="0.25">
      <c r="A387" s="5">
        <v>46147</v>
      </c>
      <c r="B387" s="6" t="s">
        <v>46</v>
      </c>
      <c r="C387" s="1" t="s">
        <v>32</v>
      </c>
      <c r="D387" s="3">
        <v>33</v>
      </c>
      <c r="E387" s="3">
        <v>32</v>
      </c>
      <c r="F387" s="3">
        <v>15.31</v>
      </c>
      <c r="G387" s="3">
        <v>0</v>
      </c>
      <c r="H387" s="3">
        <v>0</v>
      </c>
      <c r="I387" s="3">
        <f>E387+G387+H387</f>
        <v>32</v>
      </c>
      <c r="J387" s="3">
        <f>ROUND(MIN(IF(C387="Técnico III",35,IF(C387="Técnico II",28,IF(C387="Técnico I",23,IF(C387="JR",20,IF(C387="Estágio",10,0))))),IF(C387="Técnico III",SUMIFS($D:$D,$A:$A,$A387,$B:$B,"&lt;&gt;Patrícia Karla de Sousa Araújo",$B:$B,"&lt;&gt;Lorena Dias de Araujo",$B:$B,"&lt;&gt;Lucas Luiz Romero")*(35/1083),IF(C387="Técnico II",SUMIFS($D:$D,$A:$A,$A387,$B:$B,"&lt;&gt;Patrícia Karla de Sousa Araújo",$B:$B,"&lt;&gt;Lorena Dias de Araujo",$B:$B,"&lt;&gt;Lucas Luiz Romero")*(28/1083),IF(C387="Técnico I",SUMIFS($D:$D,$A:$A,$A387,$B:$B,"&lt;&gt;Patrícia Karla de Sousa Araújo",$B:$B,"&lt;&gt;Lorena Dias de Araujo",$B:$B,"&lt;&gt;Lucas Luiz Romero")*(23/1083),IF(C387="JR",SUMIFS($D:$D,$A:$A,$A387,$B:$B,"&lt;&gt;Patrícia Karla de Sousa Araújo",$B:$B,"&lt;&gt;Lorena Dias de Araujo",$B:$B,"&lt;&gt;Lucas Luiz Romero")*(20/1083),IF(C387="Estágio",SUMIFS($D:$D,$A:$A,$A387,$B:$B,"&lt;&gt;Patrícia Karla de Sousa Araújo",$B:$B,"&lt;&gt;Lorena Dias de Araujo",$B:$B,"&lt;&gt;Lucas Luiz Romero")*(10/1083),0)))))),0)</f>
        <v>35</v>
      </c>
      <c r="K387" s="3">
        <f>I387-J387</f>
        <v>-3</v>
      </c>
      <c r="L387" s="3" t="str">
        <f>IF(K387&lt;-5,"CRÍTICO",IF(K387&lt;0,"ATENÇÃO",IF(K387&lt;=5,"OPORTUNO","MUITO BOM")))</f>
        <v>ATENÇÃO</v>
      </c>
      <c r="M387" s="3">
        <v>28</v>
      </c>
      <c r="N387" s="3">
        <v>97</v>
      </c>
      <c r="O387" s="3">
        <v>20.325203252032519</v>
      </c>
    </row>
    <row r="388" spans="1:15" hidden="1" x14ac:dyDescent="0.25">
      <c r="A388" s="5">
        <v>46147</v>
      </c>
      <c r="B388" s="6" t="s">
        <v>47</v>
      </c>
      <c r="C388" s="1" t="s">
        <v>48</v>
      </c>
      <c r="D388" s="3">
        <v>42</v>
      </c>
      <c r="E388" s="3">
        <v>37</v>
      </c>
      <c r="F388" s="3">
        <v>12.29</v>
      </c>
      <c r="G388" s="3">
        <v>4</v>
      </c>
      <c r="H388" s="3">
        <v>0</v>
      </c>
      <c r="I388" s="3">
        <f>E388+G388+H388</f>
        <v>41</v>
      </c>
      <c r="J388" s="3">
        <f>ROUND(MIN(IF(C388="Técnico III",35,IF(C388="Técnico II",28,IF(C388="Técnico I",23,IF(C388="JR",20,IF(C388="Estágio",10,0))))),IF(C388="Técnico III",SUMIFS($D:$D,$A:$A,$A388,$B:$B,"&lt;&gt;Patrícia Karla de Sousa Araújo",$B:$B,"&lt;&gt;Lorena Dias de Araujo",$B:$B,"&lt;&gt;Lucas Luiz Romero")*(35/1083),IF(C388="Técnico II",SUMIFS($D:$D,$A:$A,$A388,$B:$B,"&lt;&gt;Patrícia Karla de Sousa Araújo",$B:$B,"&lt;&gt;Lorena Dias de Araujo",$B:$B,"&lt;&gt;Lucas Luiz Romero")*(28/1083),IF(C388="Técnico I",SUMIFS($D:$D,$A:$A,$A388,$B:$B,"&lt;&gt;Patrícia Karla de Sousa Araújo",$B:$B,"&lt;&gt;Lorena Dias de Araujo",$B:$B,"&lt;&gt;Lucas Luiz Romero")*(23/1083),IF(C388="JR",SUMIFS($D:$D,$A:$A,$A388,$B:$B,"&lt;&gt;Patrícia Karla de Sousa Araújo",$B:$B,"&lt;&gt;Lorena Dias de Araujo",$B:$B,"&lt;&gt;Lucas Luiz Romero")*(20/1083),IF(C388="Estágio",SUMIFS($D:$D,$A:$A,$A388,$B:$B,"&lt;&gt;Patrícia Karla de Sousa Araújo",$B:$B,"&lt;&gt;Lorena Dias de Araujo",$B:$B,"&lt;&gt;Lucas Luiz Romero")*(10/1083),0)))))),0)</f>
        <v>28</v>
      </c>
      <c r="K388" s="3">
        <f>I388-J388</f>
        <v>13</v>
      </c>
      <c r="L388" s="3" t="str">
        <f>IF(K388&lt;-5,"CRÍTICO",IF(K388&lt;0,"ATENÇÃO",IF(K388&lt;=5,"OPORTUNO","MUITO BOM")))</f>
        <v>MUITO BOM</v>
      </c>
      <c r="M388" s="3">
        <v>32</v>
      </c>
      <c r="N388" s="3">
        <v>99.18</v>
      </c>
      <c r="O388" s="3">
        <v>24.501424501424498</v>
      </c>
    </row>
    <row r="389" spans="1:15" hidden="1" x14ac:dyDescent="0.25">
      <c r="A389" s="5">
        <v>46147</v>
      </c>
      <c r="B389" s="6" t="s">
        <v>49</v>
      </c>
      <c r="C389" s="1" t="s">
        <v>48</v>
      </c>
      <c r="D389" s="3">
        <v>45</v>
      </c>
      <c r="E389" s="3">
        <v>37</v>
      </c>
      <c r="F389" s="3">
        <v>13.52</v>
      </c>
      <c r="G389" s="3">
        <v>6</v>
      </c>
      <c r="H389" s="3">
        <v>0</v>
      </c>
      <c r="I389" s="3">
        <f>E389+G389+H389</f>
        <v>43</v>
      </c>
      <c r="J389" s="3">
        <f>ROUND(MIN(IF(C389="Técnico III",35,IF(C389="Técnico II",28,IF(C389="Técnico I",23,IF(C389="JR",20,IF(C389="Estágio",10,0))))),IF(C389="Técnico III",SUMIFS($D:$D,$A:$A,$A389,$B:$B,"&lt;&gt;Patrícia Karla de Sousa Araújo",$B:$B,"&lt;&gt;Lorena Dias de Araujo",$B:$B,"&lt;&gt;Lucas Luiz Romero")*(35/1083),IF(C389="Técnico II",SUMIFS($D:$D,$A:$A,$A389,$B:$B,"&lt;&gt;Patrícia Karla de Sousa Araújo",$B:$B,"&lt;&gt;Lorena Dias de Araujo",$B:$B,"&lt;&gt;Lucas Luiz Romero")*(28/1083),IF(C389="Técnico I",SUMIFS($D:$D,$A:$A,$A389,$B:$B,"&lt;&gt;Patrícia Karla de Sousa Araújo",$B:$B,"&lt;&gt;Lorena Dias de Araujo",$B:$B,"&lt;&gt;Lucas Luiz Romero")*(23/1083),IF(C389="JR",SUMIFS($D:$D,$A:$A,$A389,$B:$B,"&lt;&gt;Patrícia Karla de Sousa Araújo",$B:$B,"&lt;&gt;Lorena Dias de Araujo",$B:$B,"&lt;&gt;Lucas Luiz Romero")*(20/1083),IF(C389="Estágio",SUMIFS($D:$D,$A:$A,$A389,$B:$B,"&lt;&gt;Patrícia Karla de Sousa Araújo",$B:$B,"&lt;&gt;Lorena Dias de Araujo",$B:$B,"&lt;&gt;Lucas Luiz Romero")*(10/1083),0)))))),0)</f>
        <v>28</v>
      </c>
      <c r="K389" s="3">
        <f>I389-J389</f>
        <v>15</v>
      </c>
      <c r="L389" s="3" t="str">
        <f>IF(K389&lt;-5,"CRÍTICO",IF(K389&lt;0,"ATENÇÃO",IF(K389&lt;=5,"OPORTUNO","MUITO BOM")))</f>
        <v>MUITO BOM</v>
      </c>
      <c r="M389" s="3">
        <v>43</v>
      </c>
      <c r="N389" s="3">
        <v>99.35</v>
      </c>
      <c r="O389" s="3">
        <v>19.852941176470591</v>
      </c>
    </row>
    <row r="390" spans="1:15" hidden="1" x14ac:dyDescent="0.25">
      <c r="A390" s="5">
        <v>46147</v>
      </c>
      <c r="B390" s="6" t="s">
        <v>50</v>
      </c>
      <c r="C390" s="14" t="s">
        <v>48</v>
      </c>
      <c r="D390" s="3">
        <v>19</v>
      </c>
      <c r="E390" s="3">
        <v>18</v>
      </c>
      <c r="F390" s="3">
        <v>26.46</v>
      </c>
      <c r="G390" s="3">
        <v>9</v>
      </c>
      <c r="H390" s="3">
        <v>0</v>
      </c>
      <c r="I390" s="3">
        <f>E390+G390+H390</f>
        <v>27</v>
      </c>
      <c r="J390" s="3">
        <f>ROUND(MIN(IF(C390="Técnico III",35,IF(C390="Técnico II",28,IF(C390="Técnico I",23,IF(C390="JR",20,IF(C390="Estágio",10,0))))),IF(C390="Técnico III",SUMIFS($D:$D,$A:$A,$A390,$B:$B,"&lt;&gt;Patrícia Karla de Sousa Araújo",$B:$B,"&lt;&gt;Lorena Dias de Araujo",$B:$B,"&lt;&gt;Lucas Luiz Romero")*(35/1083),IF(C390="Técnico II",SUMIFS($D:$D,$A:$A,$A390,$B:$B,"&lt;&gt;Patrícia Karla de Sousa Araújo",$B:$B,"&lt;&gt;Lorena Dias de Araujo",$B:$B,"&lt;&gt;Lucas Luiz Romero")*(28/1083),IF(C390="Técnico I",SUMIFS($D:$D,$A:$A,$A390,$B:$B,"&lt;&gt;Patrícia Karla de Sousa Araújo",$B:$B,"&lt;&gt;Lorena Dias de Araujo",$B:$B,"&lt;&gt;Lucas Luiz Romero")*(23/1083),IF(C390="JR",SUMIFS($D:$D,$A:$A,$A390,$B:$B,"&lt;&gt;Patrícia Karla de Sousa Araújo",$B:$B,"&lt;&gt;Lorena Dias de Araujo",$B:$B,"&lt;&gt;Lucas Luiz Romero")*(20/1083),IF(C390="Estágio",SUMIFS($D:$D,$A:$A,$A390,$B:$B,"&lt;&gt;Patrícia Karla de Sousa Araújo",$B:$B,"&lt;&gt;Lorena Dias de Araujo",$B:$B,"&lt;&gt;Lucas Luiz Romero")*(10/1083),0)))))),0)</f>
        <v>28</v>
      </c>
      <c r="K390" s="3">
        <f>I390-J390</f>
        <v>-1</v>
      </c>
      <c r="L390" s="3" t="str">
        <f>IF(K390&lt;-5,"CRÍTICO",IF(K390&lt;0,"ATENÇÃO",IF(K390&lt;=5,"OPORTUNO","MUITO BOM")))</f>
        <v>ATENÇÃO</v>
      </c>
      <c r="M390" s="3">
        <v>27</v>
      </c>
      <c r="N390" s="3">
        <v>99.07</v>
      </c>
      <c r="O390" s="3">
        <v>20.098039215686271</v>
      </c>
    </row>
    <row r="391" spans="1:15" hidden="1" x14ac:dyDescent="0.25">
      <c r="A391" s="5">
        <v>46147</v>
      </c>
      <c r="B391" s="6" t="s">
        <v>51</v>
      </c>
      <c r="C391" s="1" t="s">
        <v>48</v>
      </c>
      <c r="D391" s="3">
        <v>23</v>
      </c>
      <c r="E391" s="3">
        <v>21</v>
      </c>
      <c r="F391" s="3">
        <v>19.190000000000001</v>
      </c>
      <c r="G391" s="3">
        <v>0</v>
      </c>
      <c r="H391" s="3">
        <v>0</v>
      </c>
      <c r="I391" s="3">
        <f>E391+G391+H391</f>
        <v>21</v>
      </c>
      <c r="J391" s="3">
        <f>ROUND(MIN(IF(C391="Técnico III",35,IF(C391="Técnico II",28,IF(C391="Técnico I",23,IF(C391="JR",20,IF(C391="Estágio",10,0))))),IF(C391="Técnico III",SUMIFS($D:$D,$A:$A,$A391,$B:$B,"&lt;&gt;Patrícia Karla de Sousa Araújo",$B:$B,"&lt;&gt;Lorena Dias de Araujo",$B:$B,"&lt;&gt;Lucas Luiz Romero")*(35/1083),IF(C391="Técnico II",SUMIFS($D:$D,$A:$A,$A391,$B:$B,"&lt;&gt;Patrícia Karla de Sousa Araújo",$B:$B,"&lt;&gt;Lorena Dias de Araujo",$B:$B,"&lt;&gt;Lucas Luiz Romero")*(28/1083),IF(C391="Técnico I",SUMIFS($D:$D,$A:$A,$A391,$B:$B,"&lt;&gt;Patrícia Karla de Sousa Araújo",$B:$B,"&lt;&gt;Lorena Dias de Araujo",$B:$B,"&lt;&gt;Lucas Luiz Romero")*(23/1083),IF(C391="JR",SUMIFS($D:$D,$A:$A,$A391,$B:$B,"&lt;&gt;Patrícia Karla de Sousa Araújo",$B:$B,"&lt;&gt;Lorena Dias de Araujo",$B:$B,"&lt;&gt;Lucas Luiz Romero")*(20/1083),IF(C391="Estágio",SUMIFS($D:$D,$A:$A,$A391,$B:$B,"&lt;&gt;Patrícia Karla de Sousa Araújo",$B:$B,"&lt;&gt;Lorena Dias de Araujo",$B:$B,"&lt;&gt;Lucas Luiz Romero")*(10/1083),0)))))),0)</f>
        <v>28</v>
      </c>
      <c r="K391" s="3">
        <f>I391-J391</f>
        <v>-7</v>
      </c>
      <c r="L391" s="3" t="str">
        <f>IF(K391&lt;-5,"CRÍTICO",IF(K391&lt;0,"ATENÇÃO",IF(K391&lt;=5,"OPORTUNO","MUITO BOM")))</f>
        <v>CRÍTICO</v>
      </c>
      <c r="M391" s="3">
        <v>26</v>
      </c>
      <c r="N391" s="3">
        <v>98.81</v>
      </c>
      <c r="O391" s="3">
        <v>22.767857142857139</v>
      </c>
    </row>
    <row r="392" spans="1:15" hidden="1" x14ac:dyDescent="0.25">
      <c r="A392" s="5">
        <v>46147</v>
      </c>
      <c r="B392" s="6" t="s">
        <v>52</v>
      </c>
      <c r="C392" s="1" t="s">
        <v>48</v>
      </c>
      <c r="D392" s="3">
        <v>34</v>
      </c>
      <c r="E392" s="3">
        <v>31</v>
      </c>
      <c r="F392" s="3">
        <v>14.15</v>
      </c>
      <c r="G392" s="3">
        <v>3</v>
      </c>
      <c r="H392" s="3">
        <v>0</v>
      </c>
      <c r="I392" s="3">
        <f>E392+G392+H392</f>
        <v>34</v>
      </c>
      <c r="J392" s="3">
        <f>ROUND(MIN(IF(C392="Técnico III",35,IF(C392="Técnico II",28,IF(C392="Técnico I",23,IF(C392="JR",20,IF(C392="Estágio",10,0))))),IF(C392="Técnico III",SUMIFS($D:$D,$A:$A,$A392,$B:$B,"&lt;&gt;Patrícia Karla de Sousa Araújo",$B:$B,"&lt;&gt;Lorena Dias de Araujo",$B:$B,"&lt;&gt;Lucas Luiz Romero")*(35/1083),IF(C392="Técnico II",SUMIFS($D:$D,$A:$A,$A392,$B:$B,"&lt;&gt;Patrícia Karla de Sousa Araújo",$B:$B,"&lt;&gt;Lorena Dias de Araujo",$B:$B,"&lt;&gt;Lucas Luiz Romero")*(28/1083),IF(C392="Técnico I",SUMIFS($D:$D,$A:$A,$A392,$B:$B,"&lt;&gt;Patrícia Karla de Sousa Araújo",$B:$B,"&lt;&gt;Lorena Dias de Araujo",$B:$B,"&lt;&gt;Lucas Luiz Romero")*(23/1083),IF(C392="JR",SUMIFS($D:$D,$A:$A,$A392,$B:$B,"&lt;&gt;Patrícia Karla de Sousa Araújo",$B:$B,"&lt;&gt;Lorena Dias de Araujo",$B:$B,"&lt;&gt;Lucas Luiz Romero")*(20/1083),IF(C392="Estágio",SUMIFS($D:$D,$A:$A,$A392,$B:$B,"&lt;&gt;Patrícia Karla de Sousa Araújo",$B:$B,"&lt;&gt;Lorena Dias de Araujo",$B:$B,"&lt;&gt;Lucas Luiz Romero")*(10/1083),0)))))),0)</f>
        <v>28</v>
      </c>
      <c r="K392" s="3">
        <f>I392-J392</f>
        <v>6</v>
      </c>
      <c r="L392" s="3" t="str">
        <f>IF(K392&lt;-5,"CRÍTICO",IF(K392&lt;0,"ATENÇÃO",IF(K392&lt;=5,"OPORTUNO","MUITO BOM")))</f>
        <v>MUITO BOM</v>
      </c>
      <c r="M392" s="3">
        <v>31</v>
      </c>
      <c r="N392" s="3">
        <v>99.01</v>
      </c>
      <c r="O392" s="3">
        <v>17.766497461928939</v>
      </c>
    </row>
    <row r="393" spans="1:15" hidden="1" x14ac:dyDescent="0.25">
      <c r="A393" s="5">
        <v>46147</v>
      </c>
      <c r="B393" s="6" t="s">
        <v>53</v>
      </c>
      <c r="C393" s="1" t="s">
        <v>48</v>
      </c>
      <c r="D393" s="3">
        <v>0</v>
      </c>
      <c r="E393" s="3">
        <v>0</v>
      </c>
      <c r="F393" s="3">
        <v>0</v>
      </c>
      <c r="G393" s="3">
        <v>0</v>
      </c>
      <c r="H393" s="3">
        <v>0</v>
      </c>
      <c r="I393" s="3">
        <f>E393+G393+H393</f>
        <v>0</v>
      </c>
      <c r="J393" s="3">
        <f>ROUND(MIN(IF(C393="Técnico III",35,IF(C393="Técnico II",28,IF(C393="Técnico I",23,IF(C393="JR",20,IF(C393="Estágio",10,0))))),IF(C393="Técnico III",SUMIFS($D:$D,$A:$A,$A393,$B:$B,"&lt;&gt;Patrícia Karla de Sousa Araújo",$B:$B,"&lt;&gt;Lorena Dias de Araujo",$B:$B,"&lt;&gt;Lucas Luiz Romero")*(35/1083),IF(C393="Técnico II",SUMIFS($D:$D,$A:$A,$A393,$B:$B,"&lt;&gt;Patrícia Karla de Sousa Araújo",$B:$B,"&lt;&gt;Lorena Dias de Araujo",$B:$B,"&lt;&gt;Lucas Luiz Romero")*(28/1083),IF(C393="Técnico I",SUMIFS($D:$D,$A:$A,$A393,$B:$B,"&lt;&gt;Patrícia Karla de Sousa Araújo",$B:$B,"&lt;&gt;Lorena Dias de Araujo",$B:$B,"&lt;&gt;Lucas Luiz Romero")*(23/1083),IF(C393="JR",SUMIFS($D:$D,$A:$A,$A393,$B:$B,"&lt;&gt;Patrícia Karla de Sousa Araújo",$B:$B,"&lt;&gt;Lorena Dias de Araujo",$B:$B,"&lt;&gt;Lucas Luiz Romero")*(20/1083),IF(C393="Estágio",SUMIFS($D:$D,$A:$A,$A393,$B:$B,"&lt;&gt;Patrícia Karla de Sousa Araújo",$B:$B,"&lt;&gt;Lorena Dias de Araujo",$B:$B,"&lt;&gt;Lucas Luiz Romero")*(10/1083),0)))))),0)</f>
        <v>28</v>
      </c>
      <c r="K393" s="3">
        <f>I393-J393</f>
        <v>-28</v>
      </c>
      <c r="L393" s="3" t="str">
        <f>IF(K393&lt;-5,"CRÍTICO",IF(K393&lt;0,"ATENÇÃO",IF(K393&lt;=5,"OPORTUNO","MUITO BOM")))</f>
        <v>CRÍTICO</v>
      </c>
      <c r="M393" s="3">
        <v>0</v>
      </c>
      <c r="N393" s="3">
        <v>100</v>
      </c>
      <c r="O393" s="3">
        <v>17.241379310344829</v>
      </c>
    </row>
    <row r="394" spans="1:15" hidden="1" x14ac:dyDescent="0.25">
      <c r="A394" s="5">
        <v>46147</v>
      </c>
      <c r="B394" s="6" t="s">
        <v>54</v>
      </c>
      <c r="C394" s="14" t="s">
        <v>48</v>
      </c>
      <c r="D394" s="3">
        <v>26</v>
      </c>
      <c r="E394" s="3">
        <v>26</v>
      </c>
      <c r="F394" s="3">
        <v>20.010000000000002</v>
      </c>
      <c r="G394" s="3">
        <v>1</v>
      </c>
      <c r="H394" s="3">
        <v>0</v>
      </c>
      <c r="I394" s="3">
        <f>E394+G394+H394</f>
        <v>27</v>
      </c>
      <c r="J394" s="3">
        <f>ROUND(MIN(IF(C394="Técnico III",35,IF(C394="Técnico II",28,IF(C394="Técnico I",23,IF(C394="JR",20,IF(C394="Estágio",10,0))))),IF(C394="Técnico III",SUMIFS($D:$D,$A:$A,$A394,$B:$B,"&lt;&gt;Patrícia Karla de Sousa Araújo",$B:$B,"&lt;&gt;Lorena Dias de Araujo",$B:$B,"&lt;&gt;Lucas Luiz Romero")*(35/1083),IF(C394="Técnico II",SUMIFS($D:$D,$A:$A,$A394,$B:$B,"&lt;&gt;Patrícia Karla de Sousa Araújo",$B:$B,"&lt;&gt;Lorena Dias de Araujo",$B:$B,"&lt;&gt;Lucas Luiz Romero")*(28/1083),IF(C394="Técnico I",SUMIFS($D:$D,$A:$A,$A394,$B:$B,"&lt;&gt;Patrícia Karla de Sousa Araújo",$B:$B,"&lt;&gt;Lorena Dias de Araujo",$B:$B,"&lt;&gt;Lucas Luiz Romero")*(23/1083),IF(C394="JR",SUMIFS($D:$D,$A:$A,$A394,$B:$B,"&lt;&gt;Patrícia Karla de Sousa Araújo",$B:$B,"&lt;&gt;Lorena Dias de Araujo",$B:$B,"&lt;&gt;Lucas Luiz Romero")*(20/1083),IF(C394="Estágio",SUMIFS($D:$D,$A:$A,$A394,$B:$B,"&lt;&gt;Patrícia Karla de Sousa Araújo",$B:$B,"&lt;&gt;Lorena Dias de Araujo",$B:$B,"&lt;&gt;Lucas Luiz Romero")*(10/1083),0)))))),0)</f>
        <v>28</v>
      </c>
      <c r="K394" s="3">
        <f>I394-J394</f>
        <v>-1</v>
      </c>
      <c r="L394" s="3" t="str">
        <f>IF(K394&lt;-5,"CRÍTICO",IF(K394&lt;0,"ATENÇÃO",IF(K394&lt;=5,"OPORTUNO","MUITO BOM")))</f>
        <v>ATENÇÃO</v>
      </c>
      <c r="M394" s="3">
        <v>31</v>
      </c>
      <c r="N394" s="3">
        <v>98.98</v>
      </c>
      <c r="O394" s="3">
        <v>19.35483870967742</v>
      </c>
    </row>
    <row r="395" spans="1:15" hidden="1" x14ac:dyDescent="0.25">
      <c r="A395" s="5">
        <v>46147</v>
      </c>
      <c r="B395" s="6" t="s">
        <v>55</v>
      </c>
      <c r="C395" s="1" t="s">
        <v>48</v>
      </c>
      <c r="D395" s="3">
        <v>39</v>
      </c>
      <c r="E395" s="3">
        <v>30</v>
      </c>
      <c r="F395" s="3">
        <v>14.13</v>
      </c>
      <c r="G395" s="3">
        <v>0</v>
      </c>
      <c r="H395" s="3">
        <v>0</v>
      </c>
      <c r="I395" s="3">
        <f>E395+G395+H395</f>
        <v>30</v>
      </c>
      <c r="J395" s="3">
        <f>ROUND(MIN(IF(C395="Técnico III",35,IF(C395="Técnico II",28,IF(C395="Técnico I",23,IF(C395="JR",20,IF(C395="Estágio",10,0))))),IF(C395="Técnico III",SUMIFS($D:$D,$A:$A,$A395,$B:$B,"&lt;&gt;Patrícia Karla de Sousa Araújo",$B:$B,"&lt;&gt;Lorena Dias de Araujo",$B:$B,"&lt;&gt;Lucas Luiz Romero")*(35/1083),IF(C395="Técnico II",SUMIFS($D:$D,$A:$A,$A395,$B:$B,"&lt;&gt;Patrícia Karla de Sousa Araújo",$B:$B,"&lt;&gt;Lorena Dias de Araujo",$B:$B,"&lt;&gt;Lucas Luiz Romero")*(28/1083),IF(C395="Técnico I",SUMIFS($D:$D,$A:$A,$A395,$B:$B,"&lt;&gt;Patrícia Karla de Sousa Araújo",$B:$B,"&lt;&gt;Lorena Dias de Araujo",$B:$B,"&lt;&gt;Lucas Luiz Romero")*(23/1083),IF(C395="JR",SUMIFS($D:$D,$A:$A,$A395,$B:$B,"&lt;&gt;Patrícia Karla de Sousa Araújo",$B:$B,"&lt;&gt;Lorena Dias de Araujo",$B:$B,"&lt;&gt;Lucas Luiz Romero")*(20/1083),IF(C395="Estágio",SUMIFS($D:$D,$A:$A,$A395,$B:$B,"&lt;&gt;Patrícia Karla de Sousa Araújo",$B:$B,"&lt;&gt;Lorena Dias de Araujo",$B:$B,"&lt;&gt;Lucas Luiz Romero")*(10/1083),0)))))),0)</f>
        <v>28</v>
      </c>
      <c r="K395" s="3">
        <f>I395-J395</f>
        <v>2</v>
      </c>
      <c r="L395" s="3" t="str">
        <f>IF(K395&lt;-5,"CRÍTICO",IF(K395&lt;0,"ATENÇÃO",IF(K395&lt;=5,"OPORTUNO","MUITO BOM")))</f>
        <v>OPORTUNO</v>
      </c>
      <c r="M395" s="3">
        <v>30</v>
      </c>
      <c r="N395" s="3">
        <v>98.94</v>
      </c>
      <c r="O395" s="3">
        <v>21.270718232044199</v>
      </c>
    </row>
    <row r="396" spans="1:15" hidden="1" x14ac:dyDescent="0.25">
      <c r="A396" s="5">
        <v>46147</v>
      </c>
      <c r="B396" s="6" t="s">
        <v>56</v>
      </c>
      <c r="C396" s="1" t="s">
        <v>48</v>
      </c>
      <c r="D396" s="3">
        <v>18</v>
      </c>
      <c r="E396" s="3">
        <v>18</v>
      </c>
      <c r="F396" s="3">
        <v>18.28</v>
      </c>
      <c r="G396" s="3">
        <v>4</v>
      </c>
      <c r="H396" s="3">
        <v>0</v>
      </c>
      <c r="I396" s="3">
        <f>E396+G396+H396</f>
        <v>22</v>
      </c>
      <c r="J396" s="3">
        <f>ROUND(MIN(IF(C396="Técnico III",35,IF(C396="Técnico II",28,IF(C396="Técnico I",23,IF(C396="JR",20,IF(C396="Estágio",10,0))))),IF(C396="Técnico III",SUMIFS($D:$D,$A:$A,$A396,$B:$B,"&lt;&gt;Patrícia Karla de Sousa Araújo",$B:$B,"&lt;&gt;Lorena Dias de Araujo",$B:$B,"&lt;&gt;Lucas Luiz Romero")*(35/1083),IF(C396="Técnico II",SUMIFS($D:$D,$A:$A,$A396,$B:$B,"&lt;&gt;Patrícia Karla de Sousa Araújo",$B:$B,"&lt;&gt;Lorena Dias de Araujo",$B:$B,"&lt;&gt;Lucas Luiz Romero")*(28/1083),IF(C396="Técnico I",SUMIFS($D:$D,$A:$A,$A396,$B:$B,"&lt;&gt;Patrícia Karla de Sousa Araújo",$B:$B,"&lt;&gt;Lorena Dias de Araujo",$B:$B,"&lt;&gt;Lucas Luiz Romero")*(23/1083),IF(C396="JR",SUMIFS($D:$D,$A:$A,$A396,$B:$B,"&lt;&gt;Patrícia Karla de Sousa Araújo",$B:$B,"&lt;&gt;Lorena Dias de Araujo",$B:$B,"&lt;&gt;Lucas Luiz Romero")*(20/1083),IF(C396="Estágio",SUMIFS($D:$D,$A:$A,$A396,$B:$B,"&lt;&gt;Patrícia Karla de Sousa Araújo",$B:$B,"&lt;&gt;Lorena Dias de Araujo",$B:$B,"&lt;&gt;Lucas Luiz Romero")*(10/1083),0)))))),0)</f>
        <v>28</v>
      </c>
      <c r="K396" s="3">
        <f>I396-J396</f>
        <v>-6</v>
      </c>
      <c r="L396" s="3" t="str">
        <f>IF(K396&lt;-5,"CRÍTICO",IF(K396&lt;0,"ATENÇÃO",IF(K396&lt;=5,"OPORTUNO","MUITO BOM")))</f>
        <v>CRÍTICO</v>
      </c>
      <c r="M396" s="3">
        <v>25</v>
      </c>
      <c r="N396" s="3">
        <v>99</v>
      </c>
      <c r="O396" s="3">
        <v>22.010869565217391</v>
      </c>
    </row>
    <row r="397" spans="1:15" hidden="1" x14ac:dyDescent="0.25">
      <c r="A397" s="5">
        <v>46147</v>
      </c>
      <c r="B397" s="6" t="s">
        <v>57</v>
      </c>
      <c r="C397" s="1" t="s">
        <v>48</v>
      </c>
      <c r="D397" s="3">
        <v>37</v>
      </c>
      <c r="E397" s="3">
        <v>35</v>
      </c>
      <c r="F397" s="3">
        <v>15.27</v>
      </c>
      <c r="G397" s="3">
        <v>0</v>
      </c>
      <c r="H397" s="3">
        <v>0</v>
      </c>
      <c r="I397" s="3">
        <f>E397+G397+H397</f>
        <v>35</v>
      </c>
      <c r="J397" s="3">
        <f>ROUND(MIN(IF(C397="Técnico III",35,IF(C397="Técnico II",28,IF(C397="Técnico I",23,IF(C397="JR",20,IF(C397="Estágio",10,0))))),IF(C397="Técnico III",SUMIFS($D:$D,$A:$A,$A397,$B:$B,"&lt;&gt;Patrícia Karla de Sousa Araújo",$B:$B,"&lt;&gt;Lorena Dias de Araujo",$B:$B,"&lt;&gt;Lucas Luiz Romero")*(35/1083),IF(C397="Técnico II",SUMIFS($D:$D,$A:$A,$A397,$B:$B,"&lt;&gt;Patrícia Karla de Sousa Araújo",$B:$B,"&lt;&gt;Lorena Dias de Araujo",$B:$B,"&lt;&gt;Lucas Luiz Romero")*(28/1083),IF(C397="Técnico I",SUMIFS($D:$D,$A:$A,$A397,$B:$B,"&lt;&gt;Patrícia Karla de Sousa Araújo",$B:$B,"&lt;&gt;Lorena Dias de Araujo",$B:$B,"&lt;&gt;Lucas Luiz Romero")*(23/1083),IF(C397="JR",SUMIFS($D:$D,$A:$A,$A397,$B:$B,"&lt;&gt;Patrícia Karla de Sousa Araújo",$B:$B,"&lt;&gt;Lorena Dias de Araujo",$B:$B,"&lt;&gt;Lucas Luiz Romero")*(20/1083),IF(C397="Estágio",SUMIFS($D:$D,$A:$A,$A397,$B:$B,"&lt;&gt;Patrícia Karla de Sousa Araújo",$B:$B,"&lt;&gt;Lorena Dias de Araujo",$B:$B,"&lt;&gt;Lucas Luiz Romero")*(10/1083),0)))))),0)</f>
        <v>28</v>
      </c>
      <c r="K397" s="3">
        <f>I397-J397</f>
        <v>7</v>
      </c>
      <c r="L397" s="3" t="str">
        <f>IF(K397&lt;-5,"CRÍTICO",IF(K397&lt;0,"ATENÇÃO",IF(K397&lt;=5,"OPORTUNO","MUITO BOM")))</f>
        <v>MUITO BOM</v>
      </c>
      <c r="M397" s="3">
        <v>37</v>
      </c>
      <c r="N397" s="3">
        <v>100</v>
      </c>
      <c r="O397" s="3">
        <v>25</v>
      </c>
    </row>
    <row r="398" spans="1:15" hidden="1" x14ac:dyDescent="0.25">
      <c r="A398" s="5">
        <v>46147</v>
      </c>
      <c r="B398" s="6" t="s">
        <v>58</v>
      </c>
      <c r="C398" s="1" t="s">
        <v>48</v>
      </c>
      <c r="D398" s="3">
        <v>27</v>
      </c>
      <c r="E398" s="3">
        <v>25</v>
      </c>
      <c r="F398" s="3">
        <v>17.39</v>
      </c>
      <c r="G398" s="3">
        <v>0</v>
      </c>
      <c r="H398" s="3">
        <v>0</v>
      </c>
      <c r="I398" s="3">
        <f>E398+G398+H398</f>
        <v>25</v>
      </c>
      <c r="J398" s="3">
        <f>ROUND(MIN(IF(C398="Técnico III",35,IF(C398="Técnico II",28,IF(C398="Técnico I",23,IF(C398="JR",20,IF(C398="Estágio",10,0))))),IF(C398="Técnico III",SUMIFS($D:$D,$A:$A,$A398,$B:$B,"&lt;&gt;Patrícia Karla de Sousa Araújo",$B:$B,"&lt;&gt;Lorena Dias de Araujo",$B:$B,"&lt;&gt;Lucas Luiz Romero")*(35/1083),IF(C398="Técnico II",SUMIFS($D:$D,$A:$A,$A398,$B:$B,"&lt;&gt;Patrícia Karla de Sousa Araújo",$B:$B,"&lt;&gt;Lorena Dias de Araujo",$B:$B,"&lt;&gt;Lucas Luiz Romero")*(28/1083),IF(C398="Técnico I",SUMIFS($D:$D,$A:$A,$A398,$B:$B,"&lt;&gt;Patrícia Karla de Sousa Araújo",$B:$B,"&lt;&gt;Lorena Dias de Araujo",$B:$B,"&lt;&gt;Lucas Luiz Romero")*(23/1083),IF(C398="JR",SUMIFS($D:$D,$A:$A,$A398,$B:$B,"&lt;&gt;Patrícia Karla de Sousa Araújo",$B:$B,"&lt;&gt;Lorena Dias de Araujo",$B:$B,"&lt;&gt;Lucas Luiz Romero")*(20/1083),IF(C398="Estágio",SUMIFS($D:$D,$A:$A,$A398,$B:$B,"&lt;&gt;Patrícia Karla de Sousa Araújo",$B:$B,"&lt;&gt;Lorena Dias de Araujo",$B:$B,"&lt;&gt;Lucas Luiz Romero")*(10/1083),0)))))),0)</f>
        <v>28</v>
      </c>
      <c r="K398" s="3">
        <f>I398-J398</f>
        <v>-3</v>
      </c>
      <c r="L398" s="3" t="str">
        <f>IF(K398&lt;-5,"CRÍTICO",IF(K398&lt;0,"ATENÇÃO",IF(K398&lt;=5,"OPORTUNO","MUITO BOM")))</f>
        <v>ATENÇÃO</v>
      </c>
      <c r="M398" s="3">
        <v>21</v>
      </c>
      <c r="N398" s="3">
        <v>100</v>
      </c>
      <c r="O398" s="3">
        <v>20.183486238532112</v>
      </c>
    </row>
    <row r="399" spans="1:15" hidden="1" x14ac:dyDescent="0.25">
      <c r="A399" s="5">
        <v>46147</v>
      </c>
      <c r="B399" t="s">
        <v>59</v>
      </c>
      <c r="C399" s="1" t="s">
        <v>23</v>
      </c>
      <c r="D399" s="3">
        <v>30</v>
      </c>
      <c r="E399" s="3">
        <v>30</v>
      </c>
      <c r="F399" s="3">
        <v>17.010000000000002</v>
      </c>
      <c r="G399" s="3">
        <v>7</v>
      </c>
      <c r="H399" s="3">
        <v>0</v>
      </c>
      <c r="I399" s="3">
        <f>E399+G399+H399</f>
        <v>37</v>
      </c>
      <c r="J399" s="3">
        <f>ROUND(MIN(IF(C399="Técnico III",35,IF(C399="Técnico II",28,IF(C399="Técnico I",23,IF(C399="JR",20,IF(C399="Estágio",10,0))))),IF(C399="Técnico III",SUMIFS($D:$D,$A:$A,$A399,$B:$B,"&lt;&gt;Patrícia Karla de Sousa Araújo",$B:$B,"&lt;&gt;Lorena Dias de Araujo",$B:$B,"&lt;&gt;Lucas Luiz Romero")*(35/1083),IF(C399="Técnico II",SUMIFS($D:$D,$A:$A,$A399,$B:$B,"&lt;&gt;Patrícia Karla de Sousa Araújo",$B:$B,"&lt;&gt;Lorena Dias de Araujo",$B:$B,"&lt;&gt;Lucas Luiz Romero")*(28/1083),IF(C399="Técnico I",SUMIFS($D:$D,$A:$A,$A399,$B:$B,"&lt;&gt;Patrícia Karla de Sousa Araújo",$B:$B,"&lt;&gt;Lorena Dias de Araujo",$B:$B,"&lt;&gt;Lucas Luiz Romero")*(23/1083),IF(C399="JR",SUMIFS($D:$D,$A:$A,$A399,$B:$B,"&lt;&gt;Patrícia Karla de Sousa Araújo",$B:$B,"&lt;&gt;Lorena Dias de Araujo",$B:$B,"&lt;&gt;Lucas Luiz Romero")*(20/1083),IF(C399="Estágio",SUMIFS($D:$D,$A:$A,$A399,$B:$B,"&lt;&gt;Patrícia Karla de Sousa Araújo",$B:$B,"&lt;&gt;Lorena Dias de Araujo",$B:$B,"&lt;&gt;Lucas Luiz Romero")*(10/1083),0)))))),0)</f>
        <v>23</v>
      </c>
      <c r="K399" s="3">
        <f>I399-J399</f>
        <v>14</v>
      </c>
      <c r="L399" s="3" t="str">
        <f>IF(K399&lt;-5,"CRÍTICO",IF(K399&lt;0,"ATENÇÃO",IF(K399&lt;=5,"OPORTUNO","MUITO BOM")))</f>
        <v>MUITO BOM</v>
      </c>
      <c r="M399" s="3">
        <v>36</v>
      </c>
      <c r="N399" s="3">
        <v>96.25</v>
      </c>
      <c r="O399" s="3">
        <v>25.586353944562902</v>
      </c>
    </row>
    <row r="400" spans="1:15" hidden="1" x14ac:dyDescent="0.25">
      <c r="A400" s="5">
        <v>46147</v>
      </c>
      <c r="B400" s="6" t="s">
        <v>60</v>
      </c>
      <c r="C400" s="1" t="s">
        <v>23</v>
      </c>
      <c r="D400" s="3">
        <v>122</v>
      </c>
      <c r="E400" s="3">
        <v>28</v>
      </c>
      <c r="F400" s="3">
        <v>3.47</v>
      </c>
      <c r="G400" s="3">
        <v>1</v>
      </c>
      <c r="H400" s="3">
        <v>0</v>
      </c>
      <c r="I400" s="3">
        <f>E400+G400+H400</f>
        <v>29</v>
      </c>
      <c r="J400" s="3">
        <f>ROUND(MIN(IF(C400="Técnico III",35,IF(C400="Técnico II",28,IF(C400="Técnico I",23,IF(C400="JR",20,IF(C400="Estágio",10,0))))),IF(C400="Técnico III",SUMIFS($D:$D,$A:$A,$A400,$B:$B,"&lt;&gt;Patrícia Karla de Sousa Araújo",$B:$B,"&lt;&gt;Lorena Dias de Araujo",$B:$B,"&lt;&gt;Lucas Luiz Romero")*(35/1083),IF(C400="Técnico II",SUMIFS($D:$D,$A:$A,$A400,$B:$B,"&lt;&gt;Patrícia Karla de Sousa Araújo",$B:$B,"&lt;&gt;Lorena Dias de Araujo",$B:$B,"&lt;&gt;Lucas Luiz Romero")*(28/1083),IF(C400="Técnico I",SUMIFS($D:$D,$A:$A,$A400,$B:$B,"&lt;&gt;Patrícia Karla de Sousa Araújo",$B:$B,"&lt;&gt;Lorena Dias de Araujo",$B:$B,"&lt;&gt;Lucas Luiz Romero")*(23/1083),IF(C400="JR",SUMIFS($D:$D,$A:$A,$A400,$B:$B,"&lt;&gt;Patrícia Karla de Sousa Araújo",$B:$B,"&lt;&gt;Lorena Dias de Araujo",$B:$B,"&lt;&gt;Lucas Luiz Romero")*(20/1083),IF(C400="Estágio",SUMIFS($D:$D,$A:$A,$A400,$B:$B,"&lt;&gt;Patrícia Karla de Sousa Araújo",$B:$B,"&lt;&gt;Lorena Dias de Araujo",$B:$B,"&lt;&gt;Lucas Luiz Romero")*(10/1083),0)))))),0)</f>
        <v>23</v>
      </c>
      <c r="K400" s="3">
        <f>I400-J400</f>
        <v>6</v>
      </c>
      <c r="L400" s="3" t="str">
        <f>IF(K400&lt;-5,"CRÍTICO",IF(K400&lt;0,"ATENÇÃO",IF(K400&lt;=5,"OPORTUNO","MUITO BOM")))</f>
        <v>MUITO BOM</v>
      </c>
      <c r="M400" s="3">
        <v>16</v>
      </c>
      <c r="N400" s="3">
        <v>97.48</v>
      </c>
      <c r="O400" s="3">
        <v>22.99465240641711</v>
      </c>
    </row>
    <row r="401" spans="1:15" hidden="1" x14ac:dyDescent="0.25">
      <c r="A401" s="5">
        <v>46147</v>
      </c>
      <c r="B401" s="6" t="s">
        <v>61</v>
      </c>
      <c r="C401" s="1" t="s">
        <v>23</v>
      </c>
      <c r="D401" s="3">
        <v>12</v>
      </c>
      <c r="E401" s="3">
        <v>12</v>
      </c>
      <c r="F401" s="3">
        <v>28.25</v>
      </c>
      <c r="G401" s="3">
        <v>10</v>
      </c>
      <c r="H401" s="3">
        <v>0</v>
      </c>
      <c r="I401" s="3">
        <f>E401+G401+H401</f>
        <v>22</v>
      </c>
      <c r="J401" s="3">
        <f>ROUND(MIN(IF(C401="Técnico III",35,IF(C401="Técnico II",28,IF(C401="Técnico I",23,IF(C401="JR",20,IF(C401="Estágio",10,0))))),IF(C401="Técnico III",SUMIFS($D:$D,$A:$A,$A401,$B:$B,"&lt;&gt;Patrícia Karla de Sousa Araújo",$B:$B,"&lt;&gt;Lorena Dias de Araujo",$B:$B,"&lt;&gt;Lucas Luiz Romero")*(35/1083),IF(C401="Técnico II",SUMIFS($D:$D,$A:$A,$A401,$B:$B,"&lt;&gt;Patrícia Karla de Sousa Araújo",$B:$B,"&lt;&gt;Lorena Dias de Araujo",$B:$B,"&lt;&gt;Lucas Luiz Romero")*(28/1083),IF(C401="Técnico I",SUMIFS($D:$D,$A:$A,$A401,$B:$B,"&lt;&gt;Patrícia Karla de Sousa Araújo",$B:$B,"&lt;&gt;Lorena Dias de Araujo",$B:$B,"&lt;&gt;Lucas Luiz Romero")*(23/1083),IF(C401="JR",SUMIFS($D:$D,$A:$A,$A401,$B:$B,"&lt;&gt;Patrícia Karla de Sousa Araújo",$B:$B,"&lt;&gt;Lorena Dias de Araujo",$B:$B,"&lt;&gt;Lucas Luiz Romero")*(20/1083),IF(C401="Estágio",SUMIFS($D:$D,$A:$A,$A401,$B:$B,"&lt;&gt;Patrícia Karla de Sousa Araújo",$B:$B,"&lt;&gt;Lorena Dias de Araujo",$B:$B,"&lt;&gt;Lucas Luiz Romero")*(10/1083),0)))))),0)</f>
        <v>23</v>
      </c>
      <c r="K401" s="3">
        <f>I401-J401</f>
        <v>-1</v>
      </c>
      <c r="L401" s="3" t="str">
        <f>IF(K401&lt;-5,"CRÍTICO",IF(K401&lt;0,"ATENÇÃO",IF(K401&lt;=5,"OPORTUNO","MUITO BOM")))</f>
        <v>ATENÇÃO</v>
      </c>
      <c r="M401" s="3">
        <v>18</v>
      </c>
      <c r="N401" s="3">
        <v>100</v>
      </c>
      <c r="O401" s="3">
        <v>20.788530465949819</v>
      </c>
    </row>
    <row r="402" spans="1:15" hidden="1" x14ac:dyDescent="0.25">
      <c r="A402" s="5">
        <v>46147</v>
      </c>
      <c r="B402" s="6" t="s">
        <v>22</v>
      </c>
      <c r="C402" s="1" t="s">
        <v>23</v>
      </c>
      <c r="D402" s="3">
        <v>13</v>
      </c>
      <c r="E402" s="3">
        <v>12</v>
      </c>
      <c r="F402" s="3">
        <v>17.149999999999999</v>
      </c>
      <c r="G402" s="3">
        <v>9</v>
      </c>
      <c r="H402" s="3">
        <v>0</v>
      </c>
      <c r="I402" s="3">
        <f>E402+G402+H402</f>
        <v>21</v>
      </c>
      <c r="J402" s="3">
        <f>ROUND(MIN(IF(C402="Técnico III",35,IF(C402="Técnico II",28,IF(C402="Técnico I",23,IF(C402="JR",20,IF(C402="Estágio",10,0))))),IF(C402="Técnico III",SUMIFS($D:$D,$A:$A,$A402,$B:$B,"&lt;&gt;Patrícia Karla de Sousa Araújo",$B:$B,"&lt;&gt;Lorena Dias de Araujo",$B:$B,"&lt;&gt;Lucas Luiz Romero")*(35/1083),IF(C402="Técnico II",SUMIFS($D:$D,$A:$A,$A402,$B:$B,"&lt;&gt;Patrícia Karla de Sousa Araújo",$B:$B,"&lt;&gt;Lorena Dias de Araujo",$B:$B,"&lt;&gt;Lucas Luiz Romero")*(28/1083),IF(C402="Técnico I",SUMIFS($D:$D,$A:$A,$A402,$B:$B,"&lt;&gt;Patrícia Karla de Sousa Araújo",$B:$B,"&lt;&gt;Lorena Dias de Araujo",$B:$B,"&lt;&gt;Lucas Luiz Romero")*(23/1083),IF(C402="JR",SUMIFS($D:$D,$A:$A,$A402,$B:$B,"&lt;&gt;Patrícia Karla de Sousa Araújo",$B:$B,"&lt;&gt;Lorena Dias de Araujo",$B:$B,"&lt;&gt;Lucas Luiz Romero")*(20/1083),IF(C402="Estágio",SUMIFS($D:$D,$A:$A,$A402,$B:$B,"&lt;&gt;Patrícia Karla de Sousa Araújo",$B:$B,"&lt;&gt;Lorena Dias de Araujo",$B:$B,"&lt;&gt;Lucas Luiz Romero")*(10/1083),0)))))),0)</f>
        <v>23</v>
      </c>
      <c r="K402" s="3">
        <f>I402-J402</f>
        <v>-2</v>
      </c>
      <c r="L402" s="3" t="str">
        <f>IF(K402&lt;-5,"CRÍTICO",IF(K402&lt;0,"ATENÇÃO",IF(K402&lt;=5,"OPORTUNO","MUITO BOM")))</f>
        <v>ATENÇÃO</v>
      </c>
      <c r="M402" s="3">
        <v>12</v>
      </c>
      <c r="N402" s="3">
        <v>99.06</v>
      </c>
      <c r="O402" s="3">
        <v>19.417475728155338</v>
      </c>
    </row>
    <row r="403" spans="1:15" hidden="1" x14ac:dyDescent="0.25">
      <c r="A403" s="5">
        <v>46147</v>
      </c>
      <c r="B403" s="6" t="s">
        <v>62</v>
      </c>
      <c r="C403" s="1" t="s">
        <v>23</v>
      </c>
      <c r="D403" s="3">
        <v>31</v>
      </c>
      <c r="E403" s="3">
        <v>28</v>
      </c>
      <c r="F403" s="3">
        <v>17.329999999999998</v>
      </c>
      <c r="G403" s="3">
        <v>1</v>
      </c>
      <c r="H403" s="3">
        <v>0</v>
      </c>
      <c r="I403" s="3">
        <f>E403+G403+H403</f>
        <v>29</v>
      </c>
      <c r="J403" s="3">
        <f>ROUND(MIN(IF(C403="Técnico III",35,IF(C403="Técnico II",28,IF(C403="Técnico I",23,IF(C403="JR",20,IF(C403="Estágio",10,0))))),IF(C403="Técnico III",SUMIFS($D:$D,$A:$A,$A403,$B:$B,"&lt;&gt;Patrícia Karla de Sousa Araújo",$B:$B,"&lt;&gt;Lorena Dias de Araujo",$B:$B,"&lt;&gt;Lucas Luiz Romero")*(35/1083),IF(C403="Técnico II",SUMIFS($D:$D,$A:$A,$A403,$B:$B,"&lt;&gt;Patrícia Karla de Sousa Araújo",$B:$B,"&lt;&gt;Lorena Dias de Araujo",$B:$B,"&lt;&gt;Lucas Luiz Romero")*(28/1083),IF(C403="Técnico I",SUMIFS($D:$D,$A:$A,$A403,$B:$B,"&lt;&gt;Patrícia Karla de Sousa Araújo",$B:$B,"&lt;&gt;Lorena Dias de Araujo",$B:$B,"&lt;&gt;Lucas Luiz Romero")*(23/1083),IF(C403="JR",SUMIFS($D:$D,$A:$A,$A403,$B:$B,"&lt;&gt;Patrícia Karla de Sousa Araújo",$B:$B,"&lt;&gt;Lorena Dias de Araujo",$B:$B,"&lt;&gt;Lucas Luiz Romero")*(20/1083),IF(C403="Estágio",SUMIFS($D:$D,$A:$A,$A403,$B:$B,"&lt;&gt;Patrícia Karla de Sousa Araújo",$B:$B,"&lt;&gt;Lorena Dias de Araujo",$B:$B,"&lt;&gt;Lucas Luiz Romero")*(10/1083),0)))))),0)</f>
        <v>23</v>
      </c>
      <c r="K403" s="3">
        <f>I403-J403</f>
        <v>6</v>
      </c>
      <c r="L403" s="3" t="str">
        <f>IF(K403&lt;-5,"CRÍTICO",IF(K403&lt;0,"ATENÇÃO",IF(K403&lt;=5,"OPORTUNO","MUITO BOM")))</f>
        <v>MUITO BOM</v>
      </c>
      <c r="M403" s="3">
        <v>30</v>
      </c>
      <c r="N403" s="3">
        <v>94.55</v>
      </c>
      <c r="O403" s="3">
        <v>23.450134770889491</v>
      </c>
    </row>
    <row r="404" spans="1:15" hidden="1" x14ac:dyDescent="0.25">
      <c r="A404" s="5">
        <v>46147</v>
      </c>
      <c r="B404" s="6" t="s">
        <v>63</v>
      </c>
      <c r="C404" s="1" t="s">
        <v>23</v>
      </c>
      <c r="D404" s="3">
        <v>31</v>
      </c>
      <c r="E404" s="3">
        <v>26</v>
      </c>
      <c r="F404" s="3">
        <v>13.5</v>
      </c>
      <c r="G404" s="3">
        <v>10</v>
      </c>
      <c r="H404" s="3">
        <v>0</v>
      </c>
      <c r="I404" s="3">
        <f>E404+G404+H404</f>
        <v>36</v>
      </c>
      <c r="J404" s="3">
        <f>ROUND(MIN(IF(C404="Técnico III",35,IF(C404="Técnico II",28,IF(C404="Técnico I",23,IF(C404="JR",20,IF(C404="Estágio",10,0))))),IF(C404="Técnico III",SUMIFS($D:$D,$A:$A,$A404,$B:$B,"&lt;&gt;Patrícia Karla de Sousa Araújo",$B:$B,"&lt;&gt;Lorena Dias de Araujo",$B:$B,"&lt;&gt;Lucas Luiz Romero")*(35/1083),IF(C404="Técnico II",SUMIFS($D:$D,$A:$A,$A404,$B:$B,"&lt;&gt;Patrícia Karla de Sousa Araújo",$B:$B,"&lt;&gt;Lorena Dias de Araujo",$B:$B,"&lt;&gt;Lucas Luiz Romero")*(28/1083),IF(C404="Técnico I",SUMIFS($D:$D,$A:$A,$A404,$B:$B,"&lt;&gt;Patrícia Karla de Sousa Araújo",$B:$B,"&lt;&gt;Lorena Dias de Araujo",$B:$B,"&lt;&gt;Lucas Luiz Romero")*(23/1083),IF(C404="JR",SUMIFS($D:$D,$A:$A,$A404,$B:$B,"&lt;&gt;Patrícia Karla de Sousa Araújo",$B:$B,"&lt;&gt;Lorena Dias de Araujo",$B:$B,"&lt;&gt;Lucas Luiz Romero")*(20/1083),IF(C404="Estágio",SUMIFS($D:$D,$A:$A,$A404,$B:$B,"&lt;&gt;Patrícia Karla de Sousa Araújo",$B:$B,"&lt;&gt;Lorena Dias de Araujo",$B:$B,"&lt;&gt;Lucas Luiz Romero")*(10/1083),0)))))),0)</f>
        <v>23</v>
      </c>
      <c r="K404" s="3">
        <f>I404-J404</f>
        <v>13</v>
      </c>
      <c r="L404" s="3" t="str">
        <f>IF(K404&lt;-5,"CRÍTICO",IF(K404&lt;0,"ATENÇÃO",IF(K404&lt;=5,"OPORTUNO","MUITO BOM")))</f>
        <v>MUITO BOM</v>
      </c>
      <c r="M404" s="3">
        <v>21</v>
      </c>
      <c r="N404" s="3">
        <v>98</v>
      </c>
      <c r="O404" s="3">
        <v>20.73490813648294</v>
      </c>
    </row>
    <row r="405" spans="1:15" hidden="1" x14ac:dyDescent="0.25">
      <c r="A405" s="5">
        <v>46147</v>
      </c>
      <c r="B405" s="6" t="s">
        <v>64</v>
      </c>
      <c r="C405" s="1" t="s">
        <v>23</v>
      </c>
      <c r="D405" s="3">
        <v>14</v>
      </c>
      <c r="E405" s="3">
        <v>14</v>
      </c>
      <c r="F405" s="3">
        <v>35.53</v>
      </c>
      <c r="G405" s="3">
        <v>3</v>
      </c>
      <c r="H405" s="3">
        <v>0</v>
      </c>
      <c r="I405" s="3">
        <f>E405+G405+H405</f>
        <v>17</v>
      </c>
      <c r="J405" s="3">
        <f>ROUND(MIN(IF(C405="Técnico III",35,IF(C405="Técnico II",28,IF(C405="Técnico I",23,IF(C405="JR",20,IF(C405="Estágio",10,0))))),IF(C405="Técnico III",SUMIFS($D:$D,$A:$A,$A405,$B:$B,"&lt;&gt;Patrícia Karla de Sousa Araújo",$B:$B,"&lt;&gt;Lorena Dias de Araujo",$B:$B,"&lt;&gt;Lucas Luiz Romero")*(35/1083),IF(C405="Técnico II",SUMIFS($D:$D,$A:$A,$A405,$B:$B,"&lt;&gt;Patrícia Karla de Sousa Araújo",$B:$B,"&lt;&gt;Lorena Dias de Araujo",$B:$B,"&lt;&gt;Lucas Luiz Romero")*(28/1083),IF(C405="Técnico I",SUMIFS($D:$D,$A:$A,$A405,$B:$B,"&lt;&gt;Patrícia Karla de Sousa Araújo",$B:$B,"&lt;&gt;Lorena Dias de Araujo",$B:$B,"&lt;&gt;Lucas Luiz Romero")*(23/1083),IF(C405="JR",SUMIFS($D:$D,$A:$A,$A405,$B:$B,"&lt;&gt;Patrícia Karla de Sousa Araújo",$B:$B,"&lt;&gt;Lorena Dias de Araujo",$B:$B,"&lt;&gt;Lucas Luiz Romero")*(20/1083),IF(C405="Estágio",SUMIFS($D:$D,$A:$A,$A405,$B:$B,"&lt;&gt;Patrícia Karla de Sousa Araújo",$B:$B,"&lt;&gt;Lorena Dias de Araujo",$B:$B,"&lt;&gt;Lucas Luiz Romero")*(10/1083),0)))))),0)</f>
        <v>23</v>
      </c>
      <c r="K405" s="3">
        <f>I405-J405</f>
        <v>-6</v>
      </c>
      <c r="L405" s="3" t="str">
        <f>IF(K405&lt;-5,"CRÍTICO",IF(K405&lt;0,"ATENÇÃO",IF(K405&lt;=5,"OPORTUNO","MUITO BOM")))</f>
        <v>CRÍTICO</v>
      </c>
      <c r="M405" s="3">
        <v>10</v>
      </c>
      <c r="N405" s="3">
        <v>100</v>
      </c>
      <c r="O405" s="3">
        <v>18</v>
      </c>
    </row>
    <row r="406" spans="1:15" hidden="1" x14ac:dyDescent="0.25">
      <c r="A406" s="5">
        <v>46148</v>
      </c>
      <c r="B406" s="6" t="s">
        <v>31</v>
      </c>
      <c r="C406" s="1" t="s">
        <v>32</v>
      </c>
      <c r="D406" s="3">
        <v>0</v>
      </c>
      <c r="E406" s="3">
        <v>0</v>
      </c>
      <c r="F406" s="3">
        <v>0</v>
      </c>
      <c r="G406" s="3">
        <v>0</v>
      </c>
      <c r="H406" s="3">
        <v>0</v>
      </c>
      <c r="I406" s="3">
        <v>0</v>
      </c>
      <c r="J406" s="3">
        <v>0</v>
      </c>
      <c r="K406" s="3">
        <v>0</v>
      </c>
      <c r="L406" s="3" t="str">
        <f>IF(K406&lt;-5,"CRÍTICO",IF(K406&lt;0,"ATENÇÃO",IF(K406&lt;=5,"BOM","EXCELENTE")))</f>
        <v>BOM</v>
      </c>
      <c r="M406" s="3">
        <v>0</v>
      </c>
      <c r="N406" s="3">
        <v>100</v>
      </c>
      <c r="O406" s="3">
        <v>0</v>
      </c>
    </row>
    <row r="407" spans="1:15" hidden="1" x14ac:dyDescent="0.25">
      <c r="A407" s="5">
        <v>46148</v>
      </c>
      <c r="B407" s="6" t="s">
        <v>33</v>
      </c>
      <c r="C407" s="14" t="s">
        <v>32</v>
      </c>
      <c r="D407" s="3">
        <v>22</v>
      </c>
      <c r="E407" s="3">
        <v>20</v>
      </c>
      <c r="F407" s="3">
        <v>18.47</v>
      </c>
      <c r="G407" s="3">
        <v>12</v>
      </c>
      <c r="H407" s="3">
        <v>0</v>
      </c>
      <c r="I407" s="3">
        <f>E407+G407+H407</f>
        <v>32</v>
      </c>
      <c r="J407" s="3">
        <f>ROUND(MIN(IF(C407="Técnico III",35,IF(C407="Técnico II",28,IF(C407="Técnico I",23,IF(C407="JR",20,IF(C407="Estágio",10,0))))),IF(C407="Técnico III",SUMIFS($D:$D,$A:$A,$A407,$B:$B,"&lt;&gt;Patrícia Karla de Sousa Araújo",$B:$B,"&lt;&gt;Lorena Dias de Araujo",$B:$B,"&lt;&gt;Lucas Luiz Romero")*(35/1083),IF(C407="Técnico II",SUMIFS($D:$D,$A:$A,$A407,$B:$B,"&lt;&gt;Patrícia Karla de Sousa Araújo",$B:$B,"&lt;&gt;Lorena Dias de Araujo",$B:$B,"&lt;&gt;Lucas Luiz Romero")*(28/1083),IF(C407="Técnico I",SUMIFS($D:$D,$A:$A,$A407,$B:$B,"&lt;&gt;Patrícia Karla de Sousa Araújo",$B:$B,"&lt;&gt;Lorena Dias de Araujo",$B:$B,"&lt;&gt;Lucas Luiz Romero")*(23/1083),IF(C407="JR",SUMIFS($D:$D,$A:$A,$A407,$B:$B,"&lt;&gt;Patrícia Karla de Sousa Araújo",$B:$B,"&lt;&gt;Lorena Dias de Araujo",$B:$B,"&lt;&gt;Lucas Luiz Romero")*(20/1083),IF(C407="Estágio",SUMIFS($D:$D,$A:$A,$A407,$B:$B,"&lt;&gt;Patrícia Karla de Sousa Araújo",$B:$B,"&lt;&gt;Lorena Dias de Araujo",$B:$B,"&lt;&gt;Lucas Luiz Romero")*(10/1083),0)))))),0)</f>
        <v>35</v>
      </c>
      <c r="K407" s="3">
        <f>I407-J407</f>
        <v>-3</v>
      </c>
      <c r="L407" s="3" t="str">
        <f>IF(K407&lt;-5,"CRÍTICO",IF(K407&lt;0,"ATENÇÃO",IF(K407&lt;=5,"OPORTUNO","MUITO BOM")))</f>
        <v>ATENÇÃO</v>
      </c>
      <c r="M407" s="3">
        <v>30</v>
      </c>
      <c r="N407" s="3">
        <v>96.94</v>
      </c>
      <c r="O407" s="3">
        <v>19.613259668508292</v>
      </c>
    </row>
    <row r="408" spans="1:15" hidden="1" x14ac:dyDescent="0.25">
      <c r="A408" s="5">
        <v>46148</v>
      </c>
      <c r="B408" s="6" t="s">
        <v>34</v>
      </c>
      <c r="C408" s="1" t="s">
        <v>32</v>
      </c>
      <c r="D408" s="3">
        <v>48</v>
      </c>
      <c r="E408" s="3">
        <v>44</v>
      </c>
      <c r="F408" s="3">
        <v>12.07</v>
      </c>
      <c r="G408" s="3">
        <v>0</v>
      </c>
      <c r="H408" s="3">
        <v>0</v>
      </c>
      <c r="I408" s="3">
        <f>E408+G408+H408</f>
        <v>44</v>
      </c>
      <c r="J408" s="3">
        <f>ROUND(MIN(IF(C408="Técnico III",35,IF(C408="Técnico II",28,IF(C408="Técnico I",23,IF(C408="JR",20,IF(C408="Estágio",10,0))))),IF(C408="Técnico III",SUMIFS($D:$D,$A:$A,$A408,$B:$B,"&lt;&gt;Patrícia Karla de Sousa Araújo",$B:$B,"&lt;&gt;Lorena Dias de Araujo",$B:$B,"&lt;&gt;Lucas Luiz Romero")*(35/1083),IF(C408="Técnico II",SUMIFS($D:$D,$A:$A,$A408,$B:$B,"&lt;&gt;Patrícia Karla de Sousa Araújo",$B:$B,"&lt;&gt;Lorena Dias de Araujo",$B:$B,"&lt;&gt;Lucas Luiz Romero")*(28/1083),IF(C408="Técnico I",SUMIFS($D:$D,$A:$A,$A408,$B:$B,"&lt;&gt;Patrícia Karla de Sousa Araújo",$B:$B,"&lt;&gt;Lorena Dias de Araujo",$B:$B,"&lt;&gt;Lucas Luiz Romero")*(23/1083),IF(C408="JR",SUMIFS($D:$D,$A:$A,$A408,$B:$B,"&lt;&gt;Patrícia Karla de Sousa Araújo",$B:$B,"&lt;&gt;Lorena Dias de Araujo",$B:$B,"&lt;&gt;Lucas Luiz Romero")*(20/1083),IF(C408="Estágio",SUMIFS($D:$D,$A:$A,$A408,$B:$B,"&lt;&gt;Patrícia Karla de Sousa Araújo",$B:$B,"&lt;&gt;Lorena Dias de Araujo",$B:$B,"&lt;&gt;Lucas Luiz Romero")*(10/1083),0)))))),0)</f>
        <v>35</v>
      </c>
      <c r="K408" s="3">
        <f>I408-J408</f>
        <v>9</v>
      </c>
      <c r="L408" s="3" t="str">
        <f>IF(K408&lt;-5,"CRÍTICO",IF(K408&lt;0,"ATENÇÃO",IF(K408&lt;=5,"OPORTUNO","MUITO BOM")))</f>
        <v>MUITO BOM</v>
      </c>
      <c r="M408" s="3">
        <v>41</v>
      </c>
      <c r="N408" s="3">
        <v>92.81</v>
      </c>
      <c r="O408" s="3">
        <v>25.477707006369432</v>
      </c>
    </row>
    <row r="409" spans="1:15" hidden="1" x14ac:dyDescent="0.25">
      <c r="A409" s="5">
        <v>46148</v>
      </c>
      <c r="B409" s="6" t="s">
        <v>35</v>
      </c>
      <c r="C409" s="14" t="s">
        <v>32</v>
      </c>
      <c r="D409" s="3">
        <v>24</v>
      </c>
      <c r="E409" s="3">
        <v>22</v>
      </c>
      <c r="F409" s="3">
        <v>17.18</v>
      </c>
      <c r="G409" s="3">
        <v>0</v>
      </c>
      <c r="H409" s="3">
        <v>0</v>
      </c>
      <c r="I409" s="3">
        <f>E409+G409+H409</f>
        <v>22</v>
      </c>
      <c r="J409" s="3">
        <f>ROUND(MIN(IF(C409="Técnico III",35,IF(C409="Técnico II",28,IF(C409="Técnico I",23,IF(C409="JR",20,IF(C409="Estágio",10,0))))),IF(C409="Técnico III",SUMIFS($D:$D,$A:$A,$A409,$B:$B,"&lt;&gt;Patrícia Karla de Sousa Araújo",$B:$B,"&lt;&gt;Lorena Dias de Araujo",$B:$B,"&lt;&gt;Lucas Luiz Romero")*(35/1083),IF(C409="Técnico II",SUMIFS($D:$D,$A:$A,$A409,$B:$B,"&lt;&gt;Patrícia Karla de Sousa Araújo",$B:$B,"&lt;&gt;Lorena Dias de Araujo",$B:$B,"&lt;&gt;Lucas Luiz Romero")*(28/1083),IF(C409="Técnico I",SUMIFS($D:$D,$A:$A,$A409,$B:$B,"&lt;&gt;Patrícia Karla de Sousa Araújo",$B:$B,"&lt;&gt;Lorena Dias de Araujo",$B:$B,"&lt;&gt;Lucas Luiz Romero")*(23/1083),IF(C409="JR",SUMIFS($D:$D,$A:$A,$A409,$B:$B,"&lt;&gt;Patrícia Karla de Sousa Araújo",$B:$B,"&lt;&gt;Lorena Dias de Araujo",$B:$B,"&lt;&gt;Lucas Luiz Romero")*(20/1083),IF(C409="Estágio",SUMIFS($D:$D,$A:$A,$A409,$B:$B,"&lt;&gt;Patrícia Karla de Sousa Araújo",$B:$B,"&lt;&gt;Lorena Dias de Araujo",$B:$B,"&lt;&gt;Lucas Luiz Romero")*(10/1083),0)))))),0)</f>
        <v>35</v>
      </c>
      <c r="K409" s="3">
        <f>I409-J409</f>
        <v>-13</v>
      </c>
      <c r="L409" s="3" t="str">
        <f>IF(K409&lt;-5,"CRÍTICO",IF(K409&lt;0,"ATENÇÃO",IF(K409&lt;=5,"OPORTUNO","MUITO BOM")))</f>
        <v>CRÍTICO</v>
      </c>
      <c r="M409" s="3">
        <v>32</v>
      </c>
      <c r="N409" s="3">
        <v>99.19</v>
      </c>
      <c r="O409" s="3">
        <v>28.404669260700391</v>
      </c>
    </row>
    <row r="410" spans="1:15" hidden="1" x14ac:dyDescent="0.25">
      <c r="A410" s="5">
        <v>46148</v>
      </c>
      <c r="B410" s="6" t="s">
        <v>36</v>
      </c>
      <c r="C410" s="14" t="s">
        <v>32</v>
      </c>
      <c r="D410" s="3">
        <v>0</v>
      </c>
      <c r="E410" s="3">
        <v>0</v>
      </c>
      <c r="F410" s="3">
        <v>0</v>
      </c>
      <c r="G410" s="3">
        <v>0</v>
      </c>
      <c r="H410" s="3">
        <v>0</v>
      </c>
      <c r="I410" s="3">
        <f>E410+G410+H410</f>
        <v>0</v>
      </c>
      <c r="J410" s="3">
        <f>ROUND(MIN(IF(C410="Técnico III",35,IF(C410="Técnico II",28,IF(C410="Técnico I",23,IF(C410="JR",20,IF(C410="Estágio",10,0))))),IF(C410="Técnico III",SUMIFS($D:$D,$A:$A,$A410,$B:$B,"&lt;&gt;Patrícia Karla de Sousa Araújo",$B:$B,"&lt;&gt;Lorena Dias de Araujo",$B:$B,"&lt;&gt;Lucas Luiz Romero")*(35/1083),IF(C410="Técnico II",SUMIFS($D:$D,$A:$A,$A410,$B:$B,"&lt;&gt;Patrícia Karla de Sousa Araújo",$B:$B,"&lt;&gt;Lorena Dias de Araujo",$B:$B,"&lt;&gt;Lucas Luiz Romero")*(28/1083),IF(C410="Técnico I",SUMIFS($D:$D,$A:$A,$A410,$B:$B,"&lt;&gt;Patrícia Karla de Sousa Araújo",$B:$B,"&lt;&gt;Lorena Dias de Araujo",$B:$B,"&lt;&gt;Lucas Luiz Romero")*(23/1083),IF(C410="JR",SUMIFS($D:$D,$A:$A,$A410,$B:$B,"&lt;&gt;Patrícia Karla de Sousa Araújo",$B:$B,"&lt;&gt;Lorena Dias de Araujo",$B:$B,"&lt;&gt;Lucas Luiz Romero")*(20/1083),IF(C410="Estágio",SUMIFS($D:$D,$A:$A,$A410,$B:$B,"&lt;&gt;Patrícia Karla de Sousa Araújo",$B:$B,"&lt;&gt;Lorena Dias de Araujo",$B:$B,"&lt;&gt;Lucas Luiz Romero")*(10/1083),0)))))),0)</f>
        <v>35</v>
      </c>
      <c r="K410" s="3">
        <f>I410-J410</f>
        <v>-35</v>
      </c>
      <c r="L410" s="3" t="str">
        <f>IF(K410&lt;-5,"CRÍTICO",IF(K410&lt;0,"ATENÇÃO",IF(K410&lt;=5,"OPORTUNO","MUITO BOM")))</f>
        <v>CRÍTICO</v>
      </c>
      <c r="M410" s="3">
        <v>0</v>
      </c>
      <c r="N410" s="3">
        <v>100</v>
      </c>
      <c r="O410" s="3">
        <v>13.51351351351351</v>
      </c>
    </row>
    <row r="411" spans="1:15" hidden="1" x14ac:dyDescent="0.25">
      <c r="A411" s="5">
        <v>46148</v>
      </c>
      <c r="B411" s="6" t="s">
        <v>37</v>
      </c>
      <c r="C411" s="1" t="s">
        <v>32</v>
      </c>
      <c r="D411" s="3">
        <v>52</v>
      </c>
      <c r="E411" s="3">
        <v>45</v>
      </c>
      <c r="F411" s="3">
        <v>13.59</v>
      </c>
      <c r="G411" s="3">
        <v>23</v>
      </c>
      <c r="H411" s="3">
        <v>0</v>
      </c>
      <c r="I411" s="3">
        <f>E411+G411+H411</f>
        <v>68</v>
      </c>
      <c r="J411" s="3">
        <f>ROUND(MIN(IF(C411="Técnico III",35,IF(C411="Técnico II",28,IF(C411="Técnico I",23,IF(C411="JR",20,IF(C411="Estágio",10,0))))),IF(C411="Técnico III",SUMIFS($D:$D,$A:$A,$A411,$B:$B,"&lt;&gt;Patrícia Karla de Sousa Araújo",$B:$B,"&lt;&gt;Lorena Dias de Araujo",$B:$B,"&lt;&gt;Lucas Luiz Romero")*(35/1083),IF(C411="Técnico II",SUMIFS($D:$D,$A:$A,$A411,$B:$B,"&lt;&gt;Patrícia Karla de Sousa Araújo",$B:$B,"&lt;&gt;Lorena Dias de Araujo",$B:$B,"&lt;&gt;Lucas Luiz Romero")*(28/1083),IF(C411="Técnico I",SUMIFS($D:$D,$A:$A,$A411,$B:$B,"&lt;&gt;Patrícia Karla de Sousa Araújo",$B:$B,"&lt;&gt;Lorena Dias de Araujo",$B:$B,"&lt;&gt;Lucas Luiz Romero")*(23/1083),IF(C411="JR",SUMIFS($D:$D,$A:$A,$A411,$B:$B,"&lt;&gt;Patrícia Karla de Sousa Araújo",$B:$B,"&lt;&gt;Lorena Dias de Araujo",$B:$B,"&lt;&gt;Lucas Luiz Romero")*(20/1083),IF(C411="Estágio",SUMIFS($D:$D,$A:$A,$A411,$B:$B,"&lt;&gt;Patrícia Karla de Sousa Araújo",$B:$B,"&lt;&gt;Lorena Dias de Araujo",$B:$B,"&lt;&gt;Lucas Luiz Romero")*(10/1083),0)))))),0)</f>
        <v>35</v>
      </c>
      <c r="K411" s="3">
        <f>I411-J411</f>
        <v>33</v>
      </c>
      <c r="L411" s="3" t="str">
        <f>IF(K411&lt;-5,"CRÍTICO",IF(K411&lt;0,"ATENÇÃO",IF(K411&lt;=5,"OPORTUNO","MUITO BOM")))</f>
        <v>MUITO BOM</v>
      </c>
      <c r="M411" s="3">
        <v>55</v>
      </c>
      <c r="N411" s="3">
        <v>99</v>
      </c>
      <c r="O411" s="3">
        <v>22.27414330218069</v>
      </c>
    </row>
    <row r="412" spans="1:15" hidden="1" x14ac:dyDescent="0.25">
      <c r="A412" s="11">
        <v>46038</v>
      </c>
      <c r="B412" t="s">
        <v>22</v>
      </c>
      <c r="C412" t="s">
        <v>23</v>
      </c>
      <c r="D412">
        <v>19</v>
      </c>
      <c r="E412">
        <v>19</v>
      </c>
      <c r="F412">
        <v>24.19</v>
      </c>
      <c r="G412">
        <v>0</v>
      </c>
      <c r="H412">
        <v>0</v>
      </c>
      <c r="I412" s="3">
        <f>E412+G412+H412</f>
        <v>19</v>
      </c>
      <c r="J412" s="3">
        <f>ROUND(MIN(IF(C412="Técnico III",35,IF(C412="Técnico II",28,IF(C412="Técnico I",23,IF(C412="JR",20,IF(C412="Estágio",10,0))))),IF(C412="Técnico III",SUMIFS($D:$D,$A:$A,$A412,$B:$B,"&lt;&gt;Patrícia Karla de Sousa Araújo",$B:$B,"&lt;&gt;Lorena Dias de Araujo",$B:$B,"&lt;&gt;Lucas Luiz Romero")*(35/1083),IF(C412="Técnico II",SUMIFS($D:$D,$A:$A,$A412,$B:$B,"&lt;&gt;Patrícia Karla de Sousa Araújo",$B:$B,"&lt;&gt;Lorena Dias de Araujo",$B:$B,"&lt;&gt;Lucas Luiz Romero")*(28/1083),IF(C412="Técnico I",SUMIFS($D:$D,$A:$A,$A412,$B:$B,"&lt;&gt;Patrícia Karla de Sousa Araújo",$B:$B,"&lt;&gt;Lorena Dias de Araujo",$B:$B,"&lt;&gt;Lucas Luiz Romero")*(23/1083),IF(C412="JR",SUMIFS($D:$D,$A:$A,$A412,$B:$B,"&lt;&gt;Patrícia Karla de Sousa Araújo",$B:$B,"&lt;&gt;Lorena Dias de Araujo",$B:$B,"&lt;&gt;Lucas Luiz Romero")*(20/1083),IF(C412="Estágio",SUMIFS($D:$D,$A:$A,$A412,$B:$B,"&lt;&gt;Patrícia Karla de Sousa Araújo",$B:$B,"&lt;&gt;Lorena Dias de Araujo",$B:$B,"&lt;&gt;Lucas Luiz Romero")*(10/1083),0)))))),0)</f>
        <v>14</v>
      </c>
      <c r="K412" s="3">
        <f>I412-J412</f>
        <v>5</v>
      </c>
      <c r="L412" s="3" t="str">
        <f>IF(K412&lt;-5,"CRÍTICO",IF(K412&lt;0,"ATENÇÃO",IF(K412&lt;=5,"BOM","EXCELENTE")))</f>
        <v>BOM</v>
      </c>
      <c r="M412">
        <v>16</v>
      </c>
      <c r="N412">
        <v>98.91</v>
      </c>
      <c r="O412">
        <v>31.367292225201069</v>
      </c>
    </row>
    <row r="413" spans="1:15" hidden="1" x14ac:dyDescent="0.25">
      <c r="A413" s="5">
        <v>46148</v>
      </c>
      <c r="B413" s="6" t="s">
        <v>38</v>
      </c>
      <c r="C413" s="1" t="s">
        <v>32</v>
      </c>
      <c r="D413" s="3">
        <v>27</v>
      </c>
      <c r="E413" s="3">
        <v>26</v>
      </c>
      <c r="F413" s="3">
        <v>12.18</v>
      </c>
      <c r="G413" s="3">
        <v>7</v>
      </c>
      <c r="H413" s="3">
        <v>0</v>
      </c>
      <c r="I413" s="3">
        <f>E413+G413+H413</f>
        <v>33</v>
      </c>
      <c r="J413" s="3">
        <f>ROUND(MIN(IF(C413="Técnico III",35,IF(C413="Técnico II",28,IF(C413="Técnico I",23,IF(C413="JR",20,IF(C413="Estágio",10,0))))),IF(C413="Técnico III",SUMIFS($D:$D,$A:$A,$A413,$B:$B,"&lt;&gt;Patrícia Karla de Sousa Araújo",$B:$B,"&lt;&gt;Lorena Dias de Araujo",$B:$B,"&lt;&gt;Lucas Luiz Romero")*(35/1083),IF(C413="Técnico II",SUMIFS($D:$D,$A:$A,$A413,$B:$B,"&lt;&gt;Patrícia Karla de Sousa Araújo",$B:$B,"&lt;&gt;Lorena Dias de Araujo",$B:$B,"&lt;&gt;Lucas Luiz Romero")*(28/1083),IF(C413="Técnico I",SUMIFS($D:$D,$A:$A,$A413,$B:$B,"&lt;&gt;Patrícia Karla de Sousa Araújo",$B:$B,"&lt;&gt;Lorena Dias de Araujo",$B:$B,"&lt;&gt;Lucas Luiz Romero")*(23/1083),IF(C413="JR",SUMIFS($D:$D,$A:$A,$A413,$B:$B,"&lt;&gt;Patrícia Karla de Sousa Araújo",$B:$B,"&lt;&gt;Lorena Dias de Araujo",$B:$B,"&lt;&gt;Lucas Luiz Romero")*(20/1083),IF(C413="Estágio",SUMIFS($D:$D,$A:$A,$A413,$B:$B,"&lt;&gt;Patrícia Karla de Sousa Araújo",$B:$B,"&lt;&gt;Lorena Dias de Araujo",$B:$B,"&lt;&gt;Lucas Luiz Romero")*(10/1083),0)))))),0)</f>
        <v>35</v>
      </c>
      <c r="K413" s="3">
        <f>I413-J413</f>
        <v>-2</v>
      </c>
      <c r="L413" s="3" t="str">
        <f>IF(K413&lt;-5,"CRÍTICO",IF(K413&lt;0,"ATENÇÃO",IF(K413&lt;=5,"OPORTUNO","MUITO BOM")))</f>
        <v>ATENÇÃO</v>
      </c>
      <c r="M413" s="3">
        <v>26</v>
      </c>
      <c r="N413" s="3">
        <v>97.04</v>
      </c>
      <c r="O413" s="3">
        <v>29.828850855745721</v>
      </c>
    </row>
    <row r="414" spans="1:15" hidden="1" x14ac:dyDescent="0.25">
      <c r="A414" s="5">
        <v>46148</v>
      </c>
      <c r="B414" s="6" t="s">
        <v>39</v>
      </c>
      <c r="C414" s="1" t="s">
        <v>32</v>
      </c>
      <c r="D414" s="3">
        <v>0</v>
      </c>
      <c r="E414" s="3">
        <v>0</v>
      </c>
      <c r="F414" s="3">
        <v>0</v>
      </c>
      <c r="G414" s="3">
        <v>0</v>
      </c>
      <c r="H414" s="3">
        <v>0</v>
      </c>
      <c r="I414" s="3">
        <f>E414+G414+H414</f>
        <v>0</v>
      </c>
      <c r="J414" s="3">
        <f>ROUND(MIN(IF(C414="Técnico III",35,IF(C414="Técnico II",28,IF(C414="Técnico I",23,IF(C414="JR",20,IF(C414="Estágio",10,0))))),IF(C414="Técnico III",SUMIFS($D:$D,$A:$A,$A414,$B:$B,"&lt;&gt;Patrícia Karla de Sousa Araújo",$B:$B,"&lt;&gt;Lorena Dias de Araujo",$B:$B,"&lt;&gt;Lucas Luiz Romero")*(35/1083),IF(C414="Técnico II",SUMIFS($D:$D,$A:$A,$A414,$B:$B,"&lt;&gt;Patrícia Karla de Sousa Araújo",$B:$B,"&lt;&gt;Lorena Dias de Araujo",$B:$B,"&lt;&gt;Lucas Luiz Romero")*(28/1083),IF(C414="Técnico I",SUMIFS($D:$D,$A:$A,$A414,$B:$B,"&lt;&gt;Patrícia Karla de Sousa Araújo",$B:$B,"&lt;&gt;Lorena Dias de Araujo",$B:$B,"&lt;&gt;Lucas Luiz Romero")*(23/1083),IF(C414="JR",SUMIFS($D:$D,$A:$A,$A414,$B:$B,"&lt;&gt;Patrícia Karla de Sousa Araújo",$B:$B,"&lt;&gt;Lorena Dias de Araujo",$B:$B,"&lt;&gt;Lucas Luiz Romero")*(20/1083),IF(C414="Estágio",SUMIFS($D:$D,$A:$A,$A414,$B:$B,"&lt;&gt;Patrícia Karla de Sousa Araújo",$B:$B,"&lt;&gt;Lorena Dias de Araujo",$B:$B,"&lt;&gt;Lucas Luiz Romero")*(10/1083),0)))))),0)</f>
        <v>35</v>
      </c>
      <c r="K414" s="3">
        <f>I414-J414</f>
        <v>-35</v>
      </c>
      <c r="L414" s="3" t="str">
        <f>IF(K414&lt;-5,"CRÍTICO",IF(K414&lt;0,"ATENÇÃO",IF(K414&lt;=5,"OPORTUNO","MUITO BOM")))</f>
        <v>CRÍTICO</v>
      </c>
      <c r="M414" s="3">
        <v>0</v>
      </c>
      <c r="N414" s="3">
        <v>0</v>
      </c>
      <c r="O414" s="3">
        <v>0</v>
      </c>
    </row>
    <row r="415" spans="1:15" hidden="1" x14ac:dyDescent="0.25">
      <c r="A415" s="5">
        <v>46148</v>
      </c>
      <c r="B415" s="6" t="s">
        <v>40</v>
      </c>
      <c r="C415" s="14" t="s">
        <v>32</v>
      </c>
      <c r="D415" s="3">
        <v>27</v>
      </c>
      <c r="E415" s="3">
        <v>25</v>
      </c>
      <c r="F415" s="3">
        <v>22.17</v>
      </c>
      <c r="G415" s="3">
        <v>1</v>
      </c>
      <c r="H415" s="3">
        <v>0</v>
      </c>
      <c r="I415" s="3">
        <f>E415+G415+H415</f>
        <v>26</v>
      </c>
      <c r="J415" s="3">
        <f>ROUND(MIN(IF(C415="Técnico III",35,IF(C415="Técnico II",28,IF(C415="Técnico I",23,IF(C415="JR",20,IF(C415="Estágio",10,0))))),IF(C415="Técnico III",SUMIFS($D:$D,$A:$A,$A415,$B:$B,"&lt;&gt;Patrícia Karla de Sousa Araújo",$B:$B,"&lt;&gt;Lorena Dias de Araujo",$B:$B,"&lt;&gt;Lucas Luiz Romero")*(35/1083),IF(C415="Técnico II",SUMIFS($D:$D,$A:$A,$A415,$B:$B,"&lt;&gt;Patrícia Karla de Sousa Araújo",$B:$B,"&lt;&gt;Lorena Dias de Araujo",$B:$B,"&lt;&gt;Lucas Luiz Romero")*(28/1083),IF(C415="Técnico I",SUMIFS($D:$D,$A:$A,$A415,$B:$B,"&lt;&gt;Patrícia Karla de Sousa Araújo",$B:$B,"&lt;&gt;Lorena Dias de Araujo",$B:$B,"&lt;&gt;Lucas Luiz Romero")*(23/1083),IF(C415="JR",SUMIFS($D:$D,$A:$A,$A415,$B:$B,"&lt;&gt;Patrícia Karla de Sousa Araújo",$B:$B,"&lt;&gt;Lorena Dias de Araujo",$B:$B,"&lt;&gt;Lucas Luiz Romero")*(20/1083),IF(C415="Estágio",SUMIFS($D:$D,$A:$A,$A415,$B:$B,"&lt;&gt;Patrícia Karla de Sousa Araújo",$B:$B,"&lt;&gt;Lorena Dias de Araujo",$B:$B,"&lt;&gt;Lucas Luiz Romero")*(10/1083),0)))))),0)</f>
        <v>35</v>
      </c>
      <c r="K415" s="3">
        <f>I415-J415</f>
        <v>-9</v>
      </c>
      <c r="L415" s="3" t="str">
        <f>IF(K415&lt;-5,"CRÍTICO",IF(K415&lt;0,"ATENÇÃO",IF(K415&lt;=5,"OPORTUNO","MUITO BOM")))</f>
        <v>CRÍTICO</v>
      </c>
      <c r="M415" s="3">
        <v>26</v>
      </c>
      <c r="N415" s="3">
        <v>96.84</v>
      </c>
      <c r="O415" s="3">
        <v>16.338028169014081</v>
      </c>
    </row>
    <row r="416" spans="1:15" hidden="1" x14ac:dyDescent="0.25">
      <c r="A416" s="5">
        <v>46148</v>
      </c>
      <c r="B416" s="6" t="s">
        <v>41</v>
      </c>
      <c r="C416" s="14" t="s">
        <v>32</v>
      </c>
      <c r="D416" s="3">
        <v>38</v>
      </c>
      <c r="E416" s="3">
        <v>38</v>
      </c>
      <c r="F416" s="3">
        <v>16.420000000000002</v>
      </c>
      <c r="G416" s="3">
        <v>0</v>
      </c>
      <c r="H416" s="3">
        <v>0</v>
      </c>
      <c r="I416" s="3">
        <f>E416+G416+H416</f>
        <v>38</v>
      </c>
      <c r="J416" s="3">
        <f>ROUND(MIN(IF(C416="Técnico III",35,IF(C416="Técnico II",28,IF(C416="Técnico I",23,IF(C416="JR",20,IF(C416="Estágio",10,0))))),IF(C416="Técnico III",SUMIFS($D:$D,$A:$A,$A416,$B:$B,"&lt;&gt;Patrícia Karla de Sousa Araújo",$B:$B,"&lt;&gt;Lorena Dias de Araujo",$B:$B,"&lt;&gt;Lucas Luiz Romero")*(35/1083),IF(C416="Técnico II",SUMIFS($D:$D,$A:$A,$A416,$B:$B,"&lt;&gt;Patrícia Karla de Sousa Araújo",$B:$B,"&lt;&gt;Lorena Dias de Araujo",$B:$B,"&lt;&gt;Lucas Luiz Romero")*(28/1083),IF(C416="Técnico I",SUMIFS($D:$D,$A:$A,$A416,$B:$B,"&lt;&gt;Patrícia Karla de Sousa Araújo",$B:$B,"&lt;&gt;Lorena Dias de Araujo",$B:$B,"&lt;&gt;Lucas Luiz Romero")*(23/1083),IF(C416="JR",SUMIFS($D:$D,$A:$A,$A416,$B:$B,"&lt;&gt;Patrícia Karla de Sousa Araújo",$B:$B,"&lt;&gt;Lorena Dias de Araujo",$B:$B,"&lt;&gt;Lucas Luiz Romero")*(20/1083),IF(C416="Estágio",SUMIFS($D:$D,$A:$A,$A416,$B:$B,"&lt;&gt;Patrícia Karla de Sousa Araújo",$B:$B,"&lt;&gt;Lorena Dias de Araujo",$B:$B,"&lt;&gt;Lucas Luiz Romero")*(10/1083),0)))))),0)</f>
        <v>35</v>
      </c>
      <c r="K416" s="3">
        <f>I416-J416</f>
        <v>3</v>
      </c>
      <c r="L416" s="3" t="str">
        <f>IF(K416&lt;-5,"CRÍTICO",IF(K416&lt;0,"ATENÇÃO",IF(K416&lt;=5,"OPORTUNO","MUITO BOM")))</f>
        <v>OPORTUNO</v>
      </c>
      <c r="M416" s="3">
        <v>36</v>
      </c>
      <c r="N416" s="3">
        <v>100</v>
      </c>
      <c r="O416" s="3">
        <v>18.244803695150122</v>
      </c>
    </row>
    <row r="417" spans="1:15" hidden="1" x14ac:dyDescent="0.25">
      <c r="A417" s="5">
        <v>46148</v>
      </c>
      <c r="B417" s="6" t="s">
        <v>42</v>
      </c>
      <c r="C417" s="1" t="s">
        <v>32</v>
      </c>
      <c r="D417" s="3">
        <v>0</v>
      </c>
      <c r="E417" s="3">
        <v>0</v>
      </c>
      <c r="F417" s="3">
        <v>0</v>
      </c>
      <c r="G417" s="3">
        <v>0</v>
      </c>
      <c r="H417" s="3">
        <v>0</v>
      </c>
      <c r="I417" s="3">
        <f>E417+G417+H417</f>
        <v>0</v>
      </c>
      <c r="J417" s="3">
        <f>ROUND(MIN(IF(C417="Técnico III",35,IF(C417="Técnico II",28,IF(C417="Técnico I",23,IF(C417="JR",20,IF(C417="Estágio",10,0))))),IF(C417="Técnico III",SUMIFS($D:$D,$A:$A,$A417,$B:$B,"&lt;&gt;Patrícia Karla de Sousa Araújo",$B:$B,"&lt;&gt;Lorena Dias de Araujo",$B:$B,"&lt;&gt;Lucas Luiz Romero")*(35/1083),IF(C417="Técnico II",SUMIFS($D:$D,$A:$A,$A417,$B:$B,"&lt;&gt;Patrícia Karla de Sousa Araújo",$B:$B,"&lt;&gt;Lorena Dias de Araujo",$B:$B,"&lt;&gt;Lucas Luiz Romero")*(28/1083),IF(C417="Técnico I",SUMIFS($D:$D,$A:$A,$A417,$B:$B,"&lt;&gt;Patrícia Karla de Sousa Araújo",$B:$B,"&lt;&gt;Lorena Dias de Araujo",$B:$B,"&lt;&gt;Lucas Luiz Romero")*(23/1083),IF(C417="JR",SUMIFS($D:$D,$A:$A,$A417,$B:$B,"&lt;&gt;Patrícia Karla de Sousa Araújo",$B:$B,"&lt;&gt;Lorena Dias de Araujo",$B:$B,"&lt;&gt;Lucas Luiz Romero")*(20/1083),IF(C417="Estágio",SUMIFS($D:$D,$A:$A,$A417,$B:$B,"&lt;&gt;Patrícia Karla de Sousa Araújo",$B:$B,"&lt;&gt;Lorena Dias de Araujo",$B:$B,"&lt;&gt;Lucas Luiz Romero")*(10/1083),0)))))),0)</f>
        <v>35</v>
      </c>
      <c r="K417" s="3">
        <f>I417-J417</f>
        <v>-35</v>
      </c>
      <c r="L417" s="3" t="str">
        <f>IF(K417&lt;-5,"CRÍTICO",IF(K417&lt;0,"ATENÇÃO",IF(K417&lt;=5,"OPORTUNO","MUITO BOM")))</f>
        <v>CRÍTICO</v>
      </c>
      <c r="M417" s="3">
        <v>0</v>
      </c>
      <c r="N417" s="3">
        <v>100</v>
      </c>
      <c r="O417" s="3">
        <v>15.789473684210529</v>
      </c>
    </row>
    <row r="418" spans="1:15" x14ac:dyDescent="0.25">
      <c r="A418" s="5">
        <v>46148</v>
      </c>
      <c r="B418" s="6" t="s">
        <v>43</v>
      </c>
      <c r="C418" s="1" t="s">
        <v>32</v>
      </c>
      <c r="D418" s="3">
        <v>24</v>
      </c>
      <c r="E418" s="3">
        <v>24</v>
      </c>
      <c r="F418" s="3">
        <v>18.39</v>
      </c>
      <c r="G418" s="3">
        <v>0</v>
      </c>
      <c r="H418" s="3">
        <v>17</v>
      </c>
      <c r="I418" s="3">
        <f>E418+G418+H418</f>
        <v>41</v>
      </c>
      <c r="J418" s="3">
        <f>ROUND(MIN(IF(C418="Técnico III",35,IF(C418="Técnico II",28,IF(C418="Técnico I",23,IF(C418="JR",20,IF(C418="Estágio",10,0))))),IF(C418="Técnico III",SUMIFS($D:$D,$A:$A,$A418,$B:$B,"&lt;&gt;Patrícia Karla de Sousa Araújo",$B:$B,"&lt;&gt;Lorena Dias de Araujo",$B:$B,"&lt;&gt;Lucas Luiz Romero")*(35/1083),IF(C418="Técnico II",SUMIFS($D:$D,$A:$A,$A418,$B:$B,"&lt;&gt;Patrícia Karla de Sousa Araújo",$B:$B,"&lt;&gt;Lorena Dias de Araujo",$B:$B,"&lt;&gt;Lucas Luiz Romero")*(28/1083),IF(C418="Técnico I",SUMIFS($D:$D,$A:$A,$A418,$B:$B,"&lt;&gt;Patrícia Karla de Sousa Araújo",$B:$B,"&lt;&gt;Lorena Dias de Araujo",$B:$B,"&lt;&gt;Lucas Luiz Romero")*(23/1083),IF(C418="JR",SUMIFS($D:$D,$A:$A,$A418,$B:$B,"&lt;&gt;Patrícia Karla de Sousa Araújo",$B:$B,"&lt;&gt;Lorena Dias de Araujo",$B:$B,"&lt;&gt;Lucas Luiz Romero")*(20/1083),IF(C418="Estágio",SUMIFS($D:$D,$A:$A,$A418,$B:$B,"&lt;&gt;Patrícia Karla de Sousa Araújo",$B:$B,"&lt;&gt;Lorena Dias de Araujo",$B:$B,"&lt;&gt;Lucas Luiz Romero")*(10/1083),0)))))),0)</f>
        <v>35</v>
      </c>
      <c r="K418" s="3">
        <f>I418-J418</f>
        <v>6</v>
      </c>
      <c r="L418" s="3" t="str">
        <f>IF(K418&lt;-5,"CRÍTICO",IF(K418&lt;0,"ATENÇÃO",IF(K418&lt;=5,"OPORTUNO","MUITO BOM")))</f>
        <v>MUITO BOM</v>
      </c>
      <c r="M418" s="3">
        <v>31</v>
      </c>
      <c r="N418" s="3">
        <v>98.39</v>
      </c>
      <c r="O418" s="3">
        <v>8.7999999999999989</v>
      </c>
    </row>
    <row r="419" spans="1:15" hidden="1" x14ac:dyDescent="0.25">
      <c r="A419" s="5">
        <v>46148</v>
      </c>
      <c r="B419" s="6" t="s">
        <v>44</v>
      </c>
      <c r="C419" s="1" t="s">
        <v>32</v>
      </c>
      <c r="D419" s="3">
        <v>32</v>
      </c>
      <c r="E419" s="3">
        <v>30</v>
      </c>
      <c r="F419" s="3">
        <v>19.04</v>
      </c>
      <c r="G419" s="3">
        <v>1</v>
      </c>
      <c r="H419" s="3">
        <v>0</v>
      </c>
      <c r="I419" s="3">
        <f>E419+G419+H419</f>
        <v>31</v>
      </c>
      <c r="J419" s="3">
        <f>ROUND(MIN(IF(C419="Técnico III",35,IF(C419="Técnico II",28,IF(C419="Técnico I",23,IF(C419="JR",20,IF(C419="Estágio",10,0))))),IF(C419="Técnico III",SUMIFS($D:$D,$A:$A,$A419,$B:$B,"&lt;&gt;Patrícia Karla de Sousa Araújo",$B:$B,"&lt;&gt;Lorena Dias de Araujo",$B:$B,"&lt;&gt;Lucas Luiz Romero")*(35/1083),IF(C419="Técnico II",SUMIFS($D:$D,$A:$A,$A419,$B:$B,"&lt;&gt;Patrícia Karla de Sousa Araújo",$B:$B,"&lt;&gt;Lorena Dias de Araujo",$B:$B,"&lt;&gt;Lucas Luiz Romero")*(28/1083),IF(C419="Técnico I",SUMIFS($D:$D,$A:$A,$A419,$B:$B,"&lt;&gt;Patrícia Karla de Sousa Araújo",$B:$B,"&lt;&gt;Lorena Dias de Araujo",$B:$B,"&lt;&gt;Lucas Luiz Romero")*(23/1083),IF(C419="JR",SUMIFS($D:$D,$A:$A,$A419,$B:$B,"&lt;&gt;Patrícia Karla de Sousa Araújo",$B:$B,"&lt;&gt;Lorena Dias de Araujo",$B:$B,"&lt;&gt;Lucas Luiz Romero")*(20/1083),IF(C419="Estágio",SUMIFS($D:$D,$A:$A,$A419,$B:$B,"&lt;&gt;Patrícia Karla de Sousa Araújo",$B:$B,"&lt;&gt;Lorena Dias de Araujo",$B:$B,"&lt;&gt;Lucas Luiz Romero")*(10/1083),0)))))),0)</f>
        <v>35</v>
      </c>
      <c r="K419" s="3">
        <f>I419-J419</f>
        <v>-4</v>
      </c>
      <c r="L419" s="3" t="str">
        <f>IF(K419&lt;-5,"CRÍTICO",IF(K419&lt;0,"ATENÇÃO",IF(K419&lt;=5,"OPORTUNO","MUITO BOM")))</f>
        <v>ATENÇÃO</v>
      </c>
      <c r="M419" s="3">
        <v>31</v>
      </c>
      <c r="N419" s="3">
        <v>96.38</v>
      </c>
      <c r="O419" s="3">
        <v>23.198198198198199</v>
      </c>
    </row>
    <row r="420" spans="1:15" hidden="1" x14ac:dyDescent="0.25">
      <c r="A420" s="5">
        <v>46148</v>
      </c>
      <c r="B420" s="6" t="s">
        <v>45</v>
      </c>
      <c r="C420" s="1" t="s">
        <v>32</v>
      </c>
      <c r="D420" s="3">
        <v>57</v>
      </c>
      <c r="E420" s="3">
        <v>51</v>
      </c>
      <c r="F420" s="3">
        <v>10.53</v>
      </c>
      <c r="G420" s="3">
        <v>1</v>
      </c>
      <c r="H420" s="3">
        <v>0</v>
      </c>
      <c r="I420" s="3">
        <f>E420+G420+H420</f>
        <v>52</v>
      </c>
      <c r="J420" s="3">
        <f>ROUND(MIN(IF(C420="Técnico III",35,IF(C420="Técnico II",28,IF(C420="Técnico I",23,IF(C420="JR",20,IF(C420="Estágio",10,0))))),IF(C420="Técnico III",SUMIFS($D:$D,$A:$A,$A420,$B:$B,"&lt;&gt;Patrícia Karla de Sousa Araújo",$B:$B,"&lt;&gt;Lorena Dias de Araujo",$B:$B,"&lt;&gt;Lucas Luiz Romero")*(35/1083),IF(C420="Técnico II",SUMIFS($D:$D,$A:$A,$A420,$B:$B,"&lt;&gt;Patrícia Karla de Sousa Araújo",$B:$B,"&lt;&gt;Lorena Dias de Araujo",$B:$B,"&lt;&gt;Lucas Luiz Romero")*(28/1083),IF(C420="Técnico I",SUMIFS($D:$D,$A:$A,$A420,$B:$B,"&lt;&gt;Patrícia Karla de Sousa Araújo",$B:$B,"&lt;&gt;Lorena Dias de Araujo",$B:$B,"&lt;&gt;Lucas Luiz Romero")*(23/1083),IF(C420="JR",SUMIFS($D:$D,$A:$A,$A420,$B:$B,"&lt;&gt;Patrícia Karla de Sousa Araújo",$B:$B,"&lt;&gt;Lorena Dias de Araujo",$B:$B,"&lt;&gt;Lucas Luiz Romero")*(20/1083),IF(C420="Estágio",SUMIFS($D:$D,$A:$A,$A420,$B:$B,"&lt;&gt;Patrícia Karla de Sousa Araújo",$B:$B,"&lt;&gt;Lorena Dias de Araujo",$B:$B,"&lt;&gt;Lucas Luiz Romero")*(10/1083),0)))))),0)</f>
        <v>35</v>
      </c>
      <c r="K420" s="3">
        <f>I420-J420</f>
        <v>17</v>
      </c>
      <c r="L420" s="3" t="str">
        <f>IF(K420&lt;-5,"CRÍTICO",IF(K420&lt;0,"ATENÇÃO",IF(K420&lt;=5,"OPORTUNO","MUITO BOM")))</f>
        <v>MUITO BOM</v>
      </c>
      <c r="M420" s="3">
        <v>37</v>
      </c>
      <c r="N420" s="3">
        <v>99.39</v>
      </c>
      <c r="O420" s="3">
        <v>25.203252032520329</v>
      </c>
    </row>
    <row r="421" spans="1:15" hidden="1" x14ac:dyDescent="0.25">
      <c r="A421" s="5">
        <v>46148</v>
      </c>
      <c r="B421" s="6" t="s">
        <v>46</v>
      </c>
      <c r="C421" s="1" t="s">
        <v>32</v>
      </c>
      <c r="D421" s="3">
        <v>21</v>
      </c>
      <c r="E421" s="3">
        <v>20</v>
      </c>
      <c r="F421" s="3">
        <v>18.47</v>
      </c>
      <c r="G421" s="3">
        <v>8</v>
      </c>
      <c r="H421" s="3">
        <v>0</v>
      </c>
      <c r="I421" s="3">
        <f>E421+G421+H421</f>
        <v>28</v>
      </c>
      <c r="J421" s="3">
        <f>ROUND(MIN(IF(C421="Técnico III",35,IF(C421="Técnico II",28,IF(C421="Técnico I",23,IF(C421="JR",20,IF(C421="Estágio",10,0))))),IF(C421="Técnico III",SUMIFS($D:$D,$A:$A,$A421,$B:$B,"&lt;&gt;Patrícia Karla de Sousa Araújo",$B:$B,"&lt;&gt;Lorena Dias de Araujo",$B:$B,"&lt;&gt;Lucas Luiz Romero")*(35/1083),IF(C421="Técnico II",SUMIFS($D:$D,$A:$A,$A421,$B:$B,"&lt;&gt;Patrícia Karla de Sousa Araújo",$B:$B,"&lt;&gt;Lorena Dias de Araujo",$B:$B,"&lt;&gt;Lucas Luiz Romero")*(28/1083),IF(C421="Técnico I",SUMIFS($D:$D,$A:$A,$A421,$B:$B,"&lt;&gt;Patrícia Karla de Sousa Araújo",$B:$B,"&lt;&gt;Lorena Dias de Araujo",$B:$B,"&lt;&gt;Lucas Luiz Romero")*(23/1083),IF(C421="JR",SUMIFS($D:$D,$A:$A,$A421,$B:$B,"&lt;&gt;Patrícia Karla de Sousa Araújo",$B:$B,"&lt;&gt;Lorena Dias de Araujo",$B:$B,"&lt;&gt;Lucas Luiz Romero")*(20/1083),IF(C421="Estágio",SUMIFS($D:$D,$A:$A,$A421,$B:$B,"&lt;&gt;Patrícia Karla de Sousa Araújo",$B:$B,"&lt;&gt;Lorena Dias de Araujo",$B:$B,"&lt;&gt;Lucas Luiz Romero")*(10/1083),0)))))),0)</f>
        <v>35</v>
      </c>
      <c r="K421" s="3">
        <f>I421-J421</f>
        <v>-7</v>
      </c>
      <c r="L421" s="3" t="str">
        <f>IF(K421&lt;-5,"CRÍTICO",IF(K421&lt;0,"ATENÇÃO",IF(K421&lt;=5,"OPORTUNO","MUITO BOM")))</f>
        <v>CRÍTICO</v>
      </c>
      <c r="M421" s="3">
        <v>25</v>
      </c>
      <c r="N421" s="3">
        <v>97</v>
      </c>
      <c r="O421" s="3">
        <v>20.325203252032519</v>
      </c>
    </row>
    <row r="422" spans="1:15" hidden="1" x14ac:dyDescent="0.25">
      <c r="A422" s="5">
        <v>46148</v>
      </c>
      <c r="B422" s="6" t="s">
        <v>47</v>
      </c>
      <c r="C422" s="1" t="s">
        <v>48</v>
      </c>
      <c r="D422" s="3">
        <v>35</v>
      </c>
      <c r="E422" s="3">
        <v>29</v>
      </c>
      <c r="F422" s="3">
        <v>12.32</v>
      </c>
      <c r="G422" s="3">
        <v>11</v>
      </c>
      <c r="H422" s="3">
        <v>0</v>
      </c>
      <c r="I422" s="3">
        <f>E422+G422+H422</f>
        <v>40</v>
      </c>
      <c r="J422" s="3">
        <f>ROUND(MIN(IF(C422="Técnico III",35,IF(C422="Técnico II",28,IF(C422="Técnico I",23,IF(C422="JR",20,IF(C422="Estágio",10,0))))),IF(C422="Técnico III",SUMIFS($D:$D,$A:$A,$A422,$B:$B,"&lt;&gt;Patrícia Karla de Sousa Araújo",$B:$B,"&lt;&gt;Lorena Dias de Araujo",$B:$B,"&lt;&gt;Lucas Luiz Romero")*(35/1083),IF(C422="Técnico II",SUMIFS($D:$D,$A:$A,$A422,$B:$B,"&lt;&gt;Patrícia Karla de Sousa Araújo",$B:$B,"&lt;&gt;Lorena Dias de Araujo",$B:$B,"&lt;&gt;Lucas Luiz Romero")*(28/1083),IF(C422="Técnico I",SUMIFS($D:$D,$A:$A,$A422,$B:$B,"&lt;&gt;Patrícia Karla de Sousa Araújo",$B:$B,"&lt;&gt;Lorena Dias de Araujo",$B:$B,"&lt;&gt;Lucas Luiz Romero")*(23/1083),IF(C422="JR",SUMIFS($D:$D,$A:$A,$A422,$B:$B,"&lt;&gt;Patrícia Karla de Sousa Araújo",$B:$B,"&lt;&gt;Lorena Dias de Araujo",$B:$B,"&lt;&gt;Lucas Luiz Romero")*(20/1083),IF(C422="Estágio",SUMIFS($D:$D,$A:$A,$A422,$B:$B,"&lt;&gt;Patrícia Karla de Sousa Araújo",$B:$B,"&lt;&gt;Lorena Dias de Araujo",$B:$B,"&lt;&gt;Lucas Luiz Romero")*(10/1083),0)))))),0)</f>
        <v>28</v>
      </c>
      <c r="K422" s="3">
        <f>I422-J422</f>
        <v>12</v>
      </c>
      <c r="L422" s="3" t="str">
        <f>IF(K422&lt;-5,"CRÍTICO",IF(K422&lt;0,"ATENÇÃO",IF(K422&lt;=5,"OPORTUNO","MUITO BOM")))</f>
        <v>MUITO BOM</v>
      </c>
      <c r="M422" s="3">
        <v>32</v>
      </c>
      <c r="N422" s="3">
        <v>99.18</v>
      </c>
      <c r="O422" s="3">
        <v>24.501424501424498</v>
      </c>
    </row>
    <row r="423" spans="1:15" hidden="1" x14ac:dyDescent="0.25">
      <c r="A423" s="5">
        <v>46148</v>
      </c>
      <c r="B423" s="6" t="s">
        <v>49</v>
      </c>
      <c r="C423" s="1" t="s">
        <v>48</v>
      </c>
      <c r="D423" s="3">
        <v>31</v>
      </c>
      <c r="E423" s="3">
        <v>28</v>
      </c>
      <c r="F423" s="3">
        <v>18.45</v>
      </c>
      <c r="G423" s="3">
        <v>9</v>
      </c>
      <c r="H423" s="3">
        <v>0</v>
      </c>
      <c r="I423" s="3">
        <f>E423+G423+H423</f>
        <v>37</v>
      </c>
      <c r="J423" s="3">
        <f>ROUND(MIN(IF(C423="Técnico III",35,IF(C423="Técnico II",28,IF(C423="Técnico I",23,IF(C423="JR",20,IF(C423="Estágio",10,0))))),IF(C423="Técnico III",SUMIFS($D:$D,$A:$A,$A423,$B:$B,"&lt;&gt;Patrícia Karla de Sousa Araújo",$B:$B,"&lt;&gt;Lorena Dias de Araujo",$B:$B,"&lt;&gt;Lucas Luiz Romero")*(35/1083),IF(C423="Técnico II",SUMIFS($D:$D,$A:$A,$A423,$B:$B,"&lt;&gt;Patrícia Karla de Sousa Araújo",$B:$B,"&lt;&gt;Lorena Dias de Araujo",$B:$B,"&lt;&gt;Lucas Luiz Romero")*(28/1083),IF(C423="Técnico I",SUMIFS($D:$D,$A:$A,$A423,$B:$B,"&lt;&gt;Patrícia Karla de Sousa Araújo",$B:$B,"&lt;&gt;Lorena Dias de Araujo",$B:$B,"&lt;&gt;Lucas Luiz Romero")*(23/1083),IF(C423="JR",SUMIFS($D:$D,$A:$A,$A423,$B:$B,"&lt;&gt;Patrícia Karla de Sousa Araújo",$B:$B,"&lt;&gt;Lorena Dias de Araujo",$B:$B,"&lt;&gt;Lucas Luiz Romero")*(20/1083),IF(C423="Estágio",SUMIFS($D:$D,$A:$A,$A423,$B:$B,"&lt;&gt;Patrícia Karla de Sousa Araújo",$B:$B,"&lt;&gt;Lorena Dias de Araujo",$B:$B,"&lt;&gt;Lucas Luiz Romero")*(10/1083),0)))))),0)</f>
        <v>28</v>
      </c>
      <c r="K423" s="3">
        <f>I423-J423</f>
        <v>9</v>
      </c>
      <c r="L423" s="3" t="str">
        <f>IF(K423&lt;-5,"CRÍTICO",IF(K423&lt;0,"ATENÇÃO",IF(K423&lt;=5,"OPORTUNO","MUITO BOM")))</f>
        <v>MUITO BOM</v>
      </c>
      <c r="M423" s="3">
        <v>35</v>
      </c>
      <c r="N423" s="3">
        <v>99.35</v>
      </c>
      <c r="O423" s="3">
        <v>19.852941176470591</v>
      </c>
    </row>
    <row r="424" spans="1:15" hidden="1" x14ac:dyDescent="0.25">
      <c r="A424" s="5">
        <v>46148</v>
      </c>
      <c r="B424" s="6" t="s">
        <v>50</v>
      </c>
      <c r="C424" s="14" t="s">
        <v>48</v>
      </c>
      <c r="D424" s="3">
        <v>34</v>
      </c>
      <c r="E424" s="3">
        <v>32</v>
      </c>
      <c r="F424" s="3">
        <v>14.16</v>
      </c>
      <c r="G424" s="3">
        <v>1</v>
      </c>
      <c r="H424" s="3">
        <v>0</v>
      </c>
      <c r="I424" s="3">
        <f>E424+G424+H424</f>
        <v>33</v>
      </c>
      <c r="J424" s="3">
        <f>ROUND(MIN(IF(C424="Técnico III",35,IF(C424="Técnico II",28,IF(C424="Técnico I",23,IF(C424="JR",20,IF(C424="Estágio",10,0))))),IF(C424="Técnico III",SUMIFS($D:$D,$A:$A,$A424,$B:$B,"&lt;&gt;Patrícia Karla de Sousa Araújo",$B:$B,"&lt;&gt;Lorena Dias de Araujo",$B:$B,"&lt;&gt;Lucas Luiz Romero")*(35/1083),IF(C424="Técnico II",SUMIFS($D:$D,$A:$A,$A424,$B:$B,"&lt;&gt;Patrícia Karla de Sousa Araújo",$B:$B,"&lt;&gt;Lorena Dias de Araujo",$B:$B,"&lt;&gt;Lucas Luiz Romero")*(28/1083),IF(C424="Técnico I",SUMIFS($D:$D,$A:$A,$A424,$B:$B,"&lt;&gt;Patrícia Karla de Sousa Araújo",$B:$B,"&lt;&gt;Lorena Dias de Araujo",$B:$B,"&lt;&gt;Lucas Luiz Romero")*(23/1083),IF(C424="JR",SUMIFS($D:$D,$A:$A,$A424,$B:$B,"&lt;&gt;Patrícia Karla de Sousa Araújo",$B:$B,"&lt;&gt;Lorena Dias de Araujo",$B:$B,"&lt;&gt;Lucas Luiz Romero")*(20/1083),IF(C424="Estágio",SUMIFS($D:$D,$A:$A,$A424,$B:$B,"&lt;&gt;Patrícia Karla de Sousa Araújo",$B:$B,"&lt;&gt;Lorena Dias de Araujo",$B:$B,"&lt;&gt;Lucas Luiz Romero")*(10/1083),0)))))),0)</f>
        <v>28</v>
      </c>
      <c r="K424" s="3">
        <f>I424-J424</f>
        <v>5</v>
      </c>
      <c r="L424" s="3" t="str">
        <f>IF(K424&lt;-5,"CRÍTICO",IF(K424&lt;0,"ATENÇÃO",IF(K424&lt;=5,"OPORTUNO","MUITO BOM")))</f>
        <v>OPORTUNO</v>
      </c>
      <c r="M424" s="3">
        <v>31</v>
      </c>
      <c r="N424" s="3">
        <v>99.07</v>
      </c>
      <c r="O424" s="3">
        <v>20.098039215686271</v>
      </c>
    </row>
    <row r="425" spans="1:15" hidden="1" x14ac:dyDescent="0.25">
      <c r="A425" s="5">
        <v>46148</v>
      </c>
      <c r="B425" s="6" t="s">
        <v>51</v>
      </c>
      <c r="C425" s="1" t="s">
        <v>48</v>
      </c>
      <c r="D425" s="3">
        <v>40</v>
      </c>
      <c r="E425" s="3">
        <v>35</v>
      </c>
      <c r="F425" s="3">
        <v>15.25</v>
      </c>
      <c r="G425" s="3">
        <v>0</v>
      </c>
      <c r="H425" s="3">
        <v>0</v>
      </c>
      <c r="I425" s="3">
        <f>E425+G425+H425</f>
        <v>35</v>
      </c>
      <c r="J425" s="3">
        <f>ROUND(MIN(IF(C425="Técnico III",35,IF(C425="Técnico II",28,IF(C425="Técnico I",23,IF(C425="JR",20,IF(C425="Estágio",10,0))))),IF(C425="Técnico III",SUMIFS($D:$D,$A:$A,$A425,$B:$B,"&lt;&gt;Patrícia Karla de Sousa Araújo",$B:$B,"&lt;&gt;Lorena Dias de Araujo",$B:$B,"&lt;&gt;Lucas Luiz Romero")*(35/1083),IF(C425="Técnico II",SUMIFS($D:$D,$A:$A,$A425,$B:$B,"&lt;&gt;Patrícia Karla de Sousa Araújo",$B:$B,"&lt;&gt;Lorena Dias de Araujo",$B:$B,"&lt;&gt;Lucas Luiz Romero")*(28/1083),IF(C425="Técnico I",SUMIFS($D:$D,$A:$A,$A425,$B:$B,"&lt;&gt;Patrícia Karla de Sousa Araújo",$B:$B,"&lt;&gt;Lorena Dias de Araujo",$B:$B,"&lt;&gt;Lucas Luiz Romero")*(23/1083),IF(C425="JR",SUMIFS($D:$D,$A:$A,$A425,$B:$B,"&lt;&gt;Patrícia Karla de Sousa Araújo",$B:$B,"&lt;&gt;Lorena Dias de Araujo",$B:$B,"&lt;&gt;Lucas Luiz Romero")*(20/1083),IF(C425="Estágio",SUMIFS($D:$D,$A:$A,$A425,$B:$B,"&lt;&gt;Patrícia Karla de Sousa Araújo",$B:$B,"&lt;&gt;Lorena Dias de Araujo",$B:$B,"&lt;&gt;Lucas Luiz Romero")*(10/1083),0)))))),0)</f>
        <v>28</v>
      </c>
      <c r="K425" s="3">
        <f>I425-J425</f>
        <v>7</v>
      </c>
      <c r="L425" s="3" t="str">
        <f>IF(K425&lt;-5,"CRÍTICO",IF(K425&lt;0,"ATENÇÃO",IF(K425&lt;=5,"OPORTUNO","MUITO BOM")))</f>
        <v>MUITO BOM</v>
      </c>
      <c r="M425" s="3">
        <v>29</v>
      </c>
      <c r="N425" s="3">
        <v>98.81</v>
      </c>
      <c r="O425" s="3">
        <v>22.767857142857139</v>
      </c>
    </row>
    <row r="426" spans="1:15" hidden="1" x14ac:dyDescent="0.25">
      <c r="A426" s="5">
        <v>46148</v>
      </c>
      <c r="B426" s="6" t="s">
        <v>52</v>
      </c>
      <c r="C426" s="1" t="s">
        <v>48</v>
      </c>
      <c r="D426" s="3">
        <v>15</v>
      </c>
      <c r="E426" s="3">
        <v>14</v>
      </c>
      <c r="F426" s="3">
        <v>17.309999999999999</v>
      </c>
      <c r="G426" s="3">
        <v>9</v>
      </c>
      <c r="H426" s="3">
        <v>0</v>
      </c>
      <c r="I426" s="3">
        <f>E426+G426+H426</f>
        <v>23</v>
      </c>
      <c r="J426" s="3">
        <f>ROUND(MIN(IF(C426="Técnico III",35,IF(C426="Técnico II",28,IF(C426="Técnico I",23,IF(C426="JR",20,IF(C426="Estágio",10,0))))),IF(C426="Técnico III",SUMIFS($D:$D,$A:$A,$A426,$B:$B,"&lt;&gt;Patrícia Karla de Sousa Araújo",$B:$B,"&lt;&gt;Lorena Dias de Araujo",$B:$B,"&lt;&gt;Lucas Luiz Romero")*(35/1083),IF(C426="Técnico II",SUMIFS($D:$D,$A:$A,$A426,$B:$B,"&lt;&gt;Patrícia Karla de Sousa Araújo",$B:$B,"&lt;&gt;Lorena Dias de Araujo",$B:$B,"&lt;&gt;Lucas Luiz Romero")*(28/1083),IF(C426="Técnico I",SUMIFS($D:$D,$A:$A,$A426,$B:$B,"&lt;&gt;Patrícia Karla de Sousa Araújo",$B:$B,"&lt;&gt;Lorena Dias de Araujo",$B:$B,"&lt;&gt;Lucas Luiz Romero")*(23/1083),IF(C426="JR",SUMIFS($D:$D,$A:$A,$A426,$B:$B,"&lt;&gt;Patrícia Karla de Sousa Araújo",$B:$B,"&lt;&gt;Lorena Dias de Araujo",$B:$B,"&lt;&gt;Lucas Luiz Romero")*(20/1083),IF(C426="Estágio",SUMIFS($D:$D,$A:$A,$A426,$B:$B,"&lt;&gt;Patrícia Karla de Sousa Araújo",$B:$B,"&lt;&gt;Lorena Dias de Araujo",$B:$B,"&lt;&gt;Lucas Luiz Romero")*(10/1083),0)))))),0)</f>
        <v>28</v>
      </c>
      <c r="K426" s="3">
        <f>I426-J426</f>
        <v>-5</v>
      </c>
      <c r="L426" s="3" t="str">
        <f>IF(K426&lt;-5,"CRÍTICO",IF(K426&lt;0,"ATENÇÃO",IF(K426&lt;=5,"OPORTUNO","MUITO BOM")))</f>
        <v>ATENÇÃO</v>
      </c>
      <c r="M426" s="3">
        <v>22</v>
      </c>
      <c r="N426" s="3">
        <v>99.01</v>
      </c>
      <c r="O426" s="3">
        <v>17.766497461928939</v>
      </c>
    </row>
    <row r="427" spans="1:15" hidden="1" x14ac:dyDescent="0.25">
      <c r="A427" s="5">
        <v>46148</v>
      </c>
      <c r="B427" s="6" t="s">
        <v>53</v>
      </c>
      <c r="C427" s="1" t="s">
        <v>48</v>
      </c>
      <c r="D427" s="3">
        <v>0</v>
      </c>
      <c r="E427" s="3">
        <v>0</v>
      </c>
      <c r="F427" s="3">
        <v>0</v>
      </c>
      <c r="G427" s="3">
        <v>0</v>
      </c>
      <c r="H427" s="3">
        <v>0</v>
      </c>
      <c r="I427" s="3">
        <f>E427+G427+H427</f>
        <v>0</v>
      </c>
      <c r="J427" s="3">
        <f>ROUND(MIN(IF(C427="Técnico III",35,IF(C427="Técnico II",28,IF(C427="Técnico I",23,IF(C427="JR",20,IF(C427="Estágio",10,0))))),IF(C427="Técnico III",SUMIFS($D:$D,$A:$A,$A427,$B:$B,"&lt;&gt;Patrícia Karla de Sousa Araújo",$B:$B,"&lt;&gt;Lorena Dias de Araujo",$B:$B,"&lt;&gt;Lucas Luiz Romero")*(35/1083),IF(C427="Técnico II",SUMIFS($D:$D,$A:$A,$A427,$B:$B,"&lt;&gt;Patrícia Karla de Sousa Araújo",$B:$B,"&lt;&gt;Lorena Dias de Araujo",$B:$B,"&lt;&gt;Lucas Luiz Romero")*(28/1083),IF(C427="Técnico I",SUMIFS($D:$D,$A:$A,$A427,$B:$B,"&lt;&gt;Patrícia Karla de Sousa Araújo",$B:$B,"&lt;&gt;Lorena Dias de Araujo",$B:$B,"&lt;&gt;Lucas Luiz Romero")*(23/1083),IF(C427="JR",SUMIFS($D:$D,$A:$A,$A427,$B:$B,"&lt;&gt;Patrícia Karla de Sousa Araújo",$B:$B,"&lt;&gt;Lorena Dias de Araujo",$B:$B,"&lt;&gt;Lucas Luiz Romero")*(20/1083),IF(C427="Estágio",SUMIFS($D:$D,$A:$A,$A427,$B:$B,"&lt;&gt;Patrícia Karla de Sousa Araújo",$B:$B,"&lt;&gt;Lorena Dias de Araujo",$B:$B,"&lt;&gt;Lucas Luiz Romero")*(10/1083),0)))))),0)</f>
        <v>28</v>
      </c>
      <c r="K427" s="3">
        <f>I427-J427</f>
        <v>-28</v>
      </c>
      <c r="L427" s="3" t="str">
        <f>IF(K427&lt;-5,"CRÍTICO",IF(K427&lt;0,"ATENÇÃO",IF(K427&lt;=5,"OPORTUNO","MUITO BOM")))</f>
        <v>CRÍTICO</v>
      </c>
      <c r="M427" s="3">
        <v>0</v>
      </c>
      <c r="N427" s="3">
        <v>100</v>
      </c>
      <c r="O427" s="3">
        <v>17.241379310344829</v>
      </c>
    </row>
    <row r="428" spans="1:15" hidden="1" x14ac:dyDescent="0.25">
      <c r="A428" s="5">
        <v>46148</v>
      </c>
      <c r="B428" s="6" t="s">
        <v>54</v>
      </c>
      <c r="C428" s="14" t="s">
        <v>48</v>
      </c>
      <c r="D428" s="3">
        <v>33</v>
      </c>
      <c r="E428" s="3">
        <v>32</v>
      </c>
      <c r="F428" s="3">
        <v>20.010000000000002</v>
      </c>
      <c r="G428" s="3">
        <v>9</v>
      </c>
      <c r="H428" s="3">
        <v>0</v>
      </c>
      <c r="I428" s="3">
        <f>E428+G428+H428</f>
        <v>41</v>
      </c>
      <c r="J428" s="3">
        <f>ROUND(MIN(IF(C428="Técnico III",35,IF(C428="Técnico II",28,IF(C428="Técnico I",23,IF(C428="JR",20,IF(C428="Estágio",10,0))))),IF(C428="Técnico III",SUMIFS($D:$D,$A:$A,$A428,$B:$B,"&lt;&gt;Patrícia Karla de Sousa Araújo",$B:$B,"&lt;&gt;Lorena Dias de Araujo",$B:$B,"&lt;&gt;Lucas Luiz Romero")*(35/1083),IF(C428="Técnico II",SUMIFS($D:$D,$A:$A,$A428,$B:$B,"&lt;&gt;Patrícia Karla de Sousa Araújo",$B:$B,"&lt;&gt;Lorena Dias de Araujo",$B:$B,"&lt;&gt;Lucas Luiz Romero")*(28/1083),IF(C428="Técnico I",SUMIFS($D:$D,$A:$A,$A428,$B:$B,"&lt;&gt;Patrícia Karla de Sousa Araújo",$B:$B,"&lt;&gt;Lorena Dias de Araujo",$B:$B,"&lt;&gt;Lucas Luiz Romero")*(23/1083),IF(C428="JR",SUMIFS($D:$D,$A:$A,$A428,$B:$B,"&lt;&gt;Patrícia Karla de Sousa Araújo",$B:$B,"&lt;&gt;Lorena Dias de Araujo",$B:$B,"&lt;&gt;Lucas Luiz Romero")*(20/1083),IF(C428="Estágio",SUMIFS($D:$D,$A:$A,$A428,$B:$B,"&lt;&gt;Patrícia Karla de Sousa Araújo",$B:$B,"&lt;&gt;Lorena Dias de Araujo",$B:$B,"&lt;&gt;Lucas Luiz Romero")*(10/1083),0)))))),0)</f>
        <v>28</v>
      </c>
      <c r="K428" s="3">
        <f>I428-J428</f>
        <v>13</v>
      </c>
      <c r="L428" s="3" t="str">
        <f>IF(K428&lt;-5,"CRÍTICO",IF(K428&lt;0,"ATENÇÃO",IF(K428&lt;=5,"OPORTUNO","MUITO BOM")))</f>
        <v>MUITO BOM</v>
      </c>
      <c r="M428" s="3">
        <v>30</v>
      </c>
      <c r="N428" s="3">
        <v>98.98</v>
      </c>
      <c r="O428" s="3">
        <v>19.35483870967742</v>
      </c>
    </row>
    <row r="429" spans="1:15" hidden="1" x14ac:dyDescent="0.25">
      <c r="A429" s="5">
        <v>46148</v>
      </c>
      <c r="B429" s="6" t="s">
        <v>55</v>
      </c>
      <c r="C429" s="1" t="s">
        <v>48</v>
      </c>
      <c r="D429" s="3">
        <v>29</v>
      </c>
      <c r="E429" s="3">
        <v>28</v>
      </c>
      <c r="F429" s="3">
        <v>10.28</v>
      </c>
      <c r="G429" s="3">
        <v>7</v>
      </c>
      <c r="H429" s="3">
        <v>0</v>
      </c>
      <c r="I429" s="3">
        <f>E429+G429+H429</f>
        <v>35</v>
      </c>
      <c r="J429" s="3">
        <f>ROUND(MIN(IF(C429="Técnico III",35,IF(C429="Técnico II",28,IF(C429="Técnico I",23,IF(C429="JR",20,IF(C429="Estágio",10,0))))),IF(C429="Técnico III",SUMIFS($D:$D,$A:$A,$A429,$B:$B,"&lt;&gt;Patrícia Karla de Sousa Araújo",$B:$B,"&lt;&gt;Lorena Dias de Araujo",$B:$B,"&lt;&gt;Lucas Luiz Romero")*(35/1083),IF(C429="Técnico II",SUMIFS($D:$D,$A:$A,$A429,$B:$B,"&lt;&gt;Patrícia Karla de Sousa Araújo",$B:$B,"&lt;&gt;Lorena Dias de Araujo",$B:$B,"&lt;&gt;Lucas Luiz Romero")*(28/1083),IF(C429="Técnico I",SUMIFS($D:$D,$A:$A,$A429,$B:$B,"&lt;&gt;Patrícia Karla de Sousa Araújo",$B:$B,"&lt;&gt;Lorena Dias de Araujo",$B:$B,"&lt;&gt;Lucas Luiz Romero")*(23/1083),IF(C429="JR",SUMIFS($D:$D,$A:$A,$A429,$B:$B,"&lt;&gt;Patrícia Karla de Sousa Araújo",$B:$B,"&lt;&gt;Lorena Dias de Araujo",$B:$B,"&lt;&gt;Lucas Luiz Romero")*(20/1083),IF(C429="Estágio",SUMIFS($D:$D,$A:$A,$A429,$B:$B,"&lt;&gt;Patrícia Karla de Sousa Araújo",$B:$B,"&lt;&gt;Lorena Dias de Araujo",$B:$B,"&lt;&gt;Lucas Luiz Romero")*(10/1083),0)))))),0)</f>
        <v>28</v>
      </c>
      <c r="K429" s="3">
        <f>I429-J429</f>
        <v>7</v>
      </c>
      <c r="L429" s="3" t="str">
        <f>IF(K429&lt;-5,"CRÍTICO",IF(K429&lt;0,"ATENÇÃO",IF(K429&lt;=5,"OPORTUNO","MUITO BOM")))</f>
        <v>MUITO BOM</v>
      </c>
      <c r="M429" s="3">
        <v>34</v>
      </c>
      <c r="N429" s="3">
        <v>98.94</v>
      </c>
      <c r="O429" s="3">
        <v>21.270718232044199</v>
      </c>
    </row>
    <row r="430" spans="1:15" hidden="1" x14ac:dyDescent="0.25">
      <c r="A430" s="11">
        <v>46041</v>
      </c>
      <c r="B430" t="s">
        <v>22</v>
      </c>
      <c r="C430" t="s">
        <v>23</v>
      </c>
      <c r="D430">
        <v>13</v>
      </c>
      <c r="E430">
        <v>13</v>
      </c>
      <c r="F430">
        <v>29.11</v>
      </c>
      <c r="G430">
        <v>0</v>
      </c>
      <c r="H430">
        <v>0</v>
      </c>
      <c r="I430" s="3">
        <f>E430+G430+H430</f>
        <v>13</v>
      </c>
      <c r="J430" s="3">
        <f>ROUND(MIN(IF(C430="Técnico III",35,IF(C430="Técnico II",28,IF(C430="Técnico I",23,IF(C430="JR",20,IF(C430="Estágio",10,0))))),IF(C430="Técnico III",SUMIFS($D:$D,$A:$A,$A430,$B:$B,"&lt;&gt;Patrícia Karla de Sousa Araújo",$B:$B,"&lt;&gt;Lorena Dias de Araujo",$B:$B,"&lt;&gt;Lucas Luiz Romero")*(35/1083),IF(C430="Técnico II",SUMIFS($D:$D,$A:$A,$A430,$B:$B,"&lt;&gt;Patrícia Karla de Sousa Araújo",$B:$B,"&lt;&gt;Lorena Dias de Araujo",$B:$B,"&lt;&gt;Lucas Luiz Romero")*(28/1083),IF(C430="Técnico I",SUMIFS($D:$D,$A:$A,$A430,$B:$B,"&lt;&gt;Patrícia Karla de Sousa Araújo",$B:$B,"&lt;&gt;Lorena Dias de Araujo",$B:$B,"&lt;&gt;Lucas Luiz Romero")*(23/1083),IF(C430="JR",SUMIFS($D:$D,$A:$A,$A430,$B:$B,"&lt;&gt;Patrícia Karla de Sousa Araújo",$B:$B,"&lt;&gt;Lorena Dias de Araujo",$B:$B,"&lt;&gt;Lucas Luiz Romero")*(20/1083),IF(C430="Estágio",SUMIFS($D:$D,$A:$A,$A430,$B:$B,"&lt;&gt;Patrícia Karla de Sousa Araújo",$B:$B,"&lt;&gt;Lorena Dias de Araujo",$B:$B,"&lt;&gt;Lucas Luiz Romero")*(10/1083),0)))))),0)</f>
        <v>14</v>
      </c>
      <c r="K430" s="3">
        <f>I430-J430</f>
        <v>-1</v>
      </c>
      <c r="L430" s="3" t="str">
        <f>IF(K430&lt;-5,"CRÍTICO",IF(K430&lt;0,"ATENÇÃO",IF(K430&lt;=5,"BOM","EXCELENTE")))</f>
        <v>ATENÇÃO</v>
      </c>
      <c r="M430">
        <v>12</v>
      </c>
      <c r="N430">
        <v>98.91</v>
      </c>
      <c r="O430">
        <v>31.367292225201069</v>
      </c>
    </row>
    <row r="431" spans="1:15" hidden="1" x14ac:dyDescent="0.25">
      <c r="A431" s="5">
        <v>46148</v>
      </c>
      <c r="B431" s="6" t="s">
        <v>56</v>
      </c>
      <c r="C431" s="1" t="s">
        <v>48</v>
      </c>
      <c r="D431" s="3">
        <v>38</v>
      </c>
      <c r="E431" s="3">
        <v>36</v>
      </c>
      <c r="F431" s="3">
        <v>15.35</v>
      </c>
      <c r="G431" s="3">
        <v>2</v>
      </c>
      <c r="H431" s="3">
        <v>0</v>
      </c>
      <c r="I431" s="3">
        <f>E431+G431+H431</f>
        <v>38</v>
      </c>
      <c r="J431" s="3">
        <f>ROUND(MIN(IF(C431="Técnico III",35,IF(C431="Técnico II",28,IF(C431="Técnico I",23,IF(C431="JR",20,IF(C431="Estágio",10,0))))),IF(C431="Técnico III",SUMIFS($D:$D,$A:$A,$A431,$B:$B,"&lt;&gt;Patrícia Karla de Sousa Araújo",$B:$B,"&lt;&gt;Lorena Dias de Araujo",$B:$B,"&lt;&gt;Lucas Luiz Romero")*(35/1083),IF(C431="Técnico II",SUMIFS($D:$D,$A:$A,$A431,$B:$B,"&lt;&gt;Patrícia Karla de Sousa Araújo",$B:$B,"&lt;&gt;Lorena Dias de Araujo",$B:$B,"&lt;&gt;Lucas Luiz Romero")*(28/1083),IF(C431="Técnico I",SUMIFS($D:$D,$A:$A,$A431,$B:$B,"&lt;&gt;Patrícia Karla de Sousa Araújo",$B:$B,"&lt;&gt;Lorena Dias de Araujo",$B:$B,"&lt;&gt;Lucas Luiz Romero")*(23/1083),IF(C431="JR",SUMIFS($D:$D,$A:$A,$A431,$B:$B,"&lt;&gt;Patrícia Karla de Sousa Araújo",$B:$B,"&lt;&gt;Lorena Dias de Araujo",$B:$B,"&lt;&gt;Lucas Luiz Romero")*(20/1083),IF(C431="Estágio",SUMIFS($D:$D,$A:$A,$A431,$B:$B,"&lt;&gt;Patrícia Karla de Sousa Araújo",$B:$B,"&lt;&gt;Lorena Dias de Araujo",$B:$B,"&lt;&gt;Lucas Luiz Romero")*(10/1083),0)))))),0)</f>
        <v>28</v>
      </c>
      <c r="K431" s="3">
        <f>I431-J431</f>
        <v>10</v>
      </c>
      <c r="L431" s="3" t="str">
        <f>IF(K431&lt;-5,"CRÍTICO",IF(K431&lt;0,"ATENÇÃO",IF(K431&lt;=5,"OPORTUNO","MUITO BOM")))</f>
        <v>MUITO BOM</v>
      </c>
      <c r="M431" s="3">
        <v>16</v>
      </c>
      <c r="N431" s="3">
        <v>99</v>
      </c>
      <c r="O431" s="3">
        <v>22.010869565217391</v>
      </c>
    </row>
    <row r="432" spans="1:15" hidden="1" x14ac:dyDescent="0.25">
      <c r="A432" s="5">
        <v>46148</v>
      </c>
      <c r="B432" s="6" t="s">
        <v>57</v>
      </c>
      <c r="C432" s="1" t="s">
        <v>48</v>
      </c>
      <c r="D432" s="3">
        <v>34</v>
      </c>
      <c r="E432" s="3">
        <v>31</v>
      </c>
      <c r="F432" s="3">
        <v>16.420000000000002</v>
      </c>
      <c r="G432" s="3">
        <v>0</v>
      </c>
      <c r="H432" s="3">
        <v>0</v>
      </c>
      <c r="I432" s="3">
        <f>E432+G432+H432</f>
        <v>31</v>
      </c>
      <c r="J432" s="3">
        <f>ROUND(MIN(IF(C432="Técnico III",35,IF(C432="Técnico II",28,IF(C432="Técnico I",23,IF(C432="JR",20,IF(C432="Estágio",10,0))))),IF(C432="Técnico III",SUMIFS($D:$D,$A:$A,$A432,$B:$B,"&lt;&gt;Patrícia Karla de Sousa Araújo",$B:$B,"&lt;&gt;Lorena Dias de Araujo",$B:$B,"&lt;&gt;Lucas Luiz Romero")*(35/1083),IF(C432="Técnico II",SUMIFS($D:$D,$A:$A,$A432,$B:$B,"&lt;&gt;Patrícia Karla de Sousa Araújo",$B:$B,"&lt;&gt;Lorena Dias de Araujo",$B:$B,"&lt;&gt;Lucas Luiz Romero")*(28/1083),IF(C432="Técnico I",SUMIFS($D:$D,$A:$A,$A432,$B:$B,"&lt;&gt;Patrícia Karla de Sousa Araújo",$B:$B,"&lt;&gt;Lorena Dias de Araujo",$B:$B,"&lt;&gt;Lucas Luiz Romero")*(23/1083),IF(C432="JR",SUMIFS($D:$D,$A:$A,$A432,$B:$B,"&lt;&gt;Patrícia Karla de Sousa Araújo",$B:$B,"&lt;&gt;Lorena Dias de Araujo",$B:$B,"&lt;&gt;Lucas Luiz Romero")*(20/1083),IF(C432="Estágio",SUMIFS($D:$D,$A:$A,$A432,$B:$B,"&lt;&gt;Patrícia Karla de Sousa Araújo",$B:$B,"&lt;&gt;Lorena Dias de Araujo",$B:$B,"&lt;&gt;Lucas Luiz Romero")*(10/1083),0)))))),0)</f>
        <v>28</v>
      </c>
      <c r="K432" s="3">
        <f>I432-J432</f>
        <v>3</v>
      </c>
      <c r="L432" s="3" t="str">
        <f>IF(K432&lt;-5,"CRÍTICO",IF(K432&lt;0,"ATENÇÃO",IF(K432&lt;=5,"OPORTUNO","MUITO BOM")))</f>
        <v>OPORTUNO</v>
      </c>
      <c r="M432" s="3">
        <v>28</v>
      </c>
      <c r="N432" s="3">
        <v>100</v>
      </c>
      <c r="O432" s="3">
        <v>25</v>
      </c>
    </row>
    <row r="433" spans="1:15" hidden="1" x14ac:dyDescent="0.25">
      <c r="A433" s="5">
        <v>46148</v>
      </c>
      <c r="B433" s="6" t="s">
        <v>58</v>
      </c>
      <c r="C433" s="1" t="s">
        <v>48</v>
      </c>
      <c r="D433" s="3">
        <v>35</v>
      </c>
      <c r="E433" s="3">
        <v>33</v>
      </c>
      <c r="F433" s="3">
        <v>15.19</v>
      </c>
      <c r="G433" s="3">
        <v>0</v>
      </c>
      <c r="H433" s="3">
        <v>0</v>
      </c>
      <c r="I433" s="3">
        <f>E433+G433+H433</f>
        <v>33</v>
      </c>
      <c r="J433" s="3">
        <f>ROUND(MIN(IF(C433="Técnico III",35,IF(C433="Técnico II",28,IF(C433="Técnico I",23,IF(C433="JR",20,IF(C433="Estágio",10,0))))),IF(C433="Técnico III",SUMIFS($D:$D,$A:$A,$A433,$B:$B,"&lt;&gt;Patrícia Karla de Sousa Araújo",$B:$B,"&lt;&gt;Lorena Dias de Araujo",$B:$B,"&lt;&gt;Lucas Luiz Romero")*(35/1083),IF(C433="Técnico II",SUMIFS($D:$D,$A:$A,$A433,$B:$B,"&lt;&gt;Patrícia Karla de Sousa Araújo",$B:$B,"&lt;&gt;Lorena Dias de Araujo",$B:$B,"&lt;&gt;Lucas Luiz Romero")*(28/1083),IF(C433="Técnico I",SUMIFS($D:$D,$A:$A,$A433,$B:$B,"&lt;&gt;Patrícia Karla de Sousa Araújo",$B:$B,"&lt;&gt;Lorena Dias de Araujo",$B:$B,"&lt;&gt;Lucas Luiz Romero")*(23/1083),IF(C433="JR",SUMIFS($D:$D,$A:$A,$A433,$B:$B,"&lt;&gt;Patrícia Karla de Sousa Araújo",$B:$B,"&lt;&gt;Lorena Dias de Araujo",$B:$B,"&lt;&gt;Lucas Luiz Romero")*(20/1083),IF(C433="Estágio",SUMIFS($D:$D,$A:$A,$A433,$B:$B,"&lt;&gt;Patrícia Karla de Sousa Araújo",$B:$B,"&lt;&gt;Lorena Dias de Araujo",$B:$B,"&lt;&gt;Lucas Luiz Romero")*(10/1083),0)))))),0)</f>
        <v>28</v>
      </c>
      <c r="K433" s="3">
        <f>I433-J433</f>
        <v>5</v>
      </c>
      <c r="L433" s="3" t="str">
        <f>IF(K433&lt;-5,"CRÍTICO",IF(K433&lt;0,"ATENÇÃO",IF(K433&lt;=5,"OPORTUNO","MUITO BOM")))</f>
        <v>OPORTUNO</v>
      </c>
      <c r="M433" s="3">
        <v>30</v>
      </c>
      <c r="N433" s="3">
        <v>100</v>
      </c>
      <c r="O433" s="3">
        <v>20.183486238532112</v>
      </c>
    </row>
    <row r="434" spans="1:15" hidden="1" x14ac:dyDescent="0.25">
      <c r="A434" s="5">
        <v>46148</v>
      </c>
      <c r="B434" s="6" t="s">
        <v>59</v>
      </c>
      <c r="C434" s="1" t="s">
        <v>23</v>
      </c>
      <c r="D434" s="3">
        <v>50</v>
      </c>
      <c r="E434" s="3">
        <v>43</v>
      </c>
      <c r="F434" s="3">
        <v>14.05</v>
      </c>
      <c r="G434" s="3">
        <v>6</v>
      </c>
      <c r="H434" s="3">
        <v>0</v>
      </c>
      <c r="I434" s="3">
        <f>E434+G434+H434</f>
        <v>49</v>
      </c>
      <c r="J434" s="3">
        <f>ROUND(MIN(IF(C434="Técnico III",35,IF(C434="Técnico II",28,IF(C434="Técnico I",23,IF(C434="JR",20,IF(C434="Estágio",10,0))))),IF(C434="Técnico III",SUMIFS($D:$D,$A:$A,$A434,$B:$B,"&lt;&gt;Patrícia Karla de Sousa Araújo",$B:$B,"&lt;&gt;Lorena Dias de Araujo",$B:$B,"&lt;&gt;Lucas Luiz Romero")*(35/1083),IF(C434="Técnico II",SUMIFS($D:$D,$A:$A,$A434,$B:$B,"&lt;&gt;Patrícia Karla de Sousa Araújo",$B:$B,"&lt;&gt;Lorena Dias de Araujo",$B:$B,"&lt;&gt;Lucas Luiz Romero")*(28/1083),IF(C434="Técnico I",SUMIFS($D:$D,$A:$A,$A434,$B:$B,"&lt;&gt;Patrícia Karla de Sousa Araújo",$B:$B,"&lt;&gt;Lorena Dias de Araujo",$B:$B,"&lt;&gt;Lucas Luiz Romero")*(23/1083),IF(C434="JR",SUMIFS($D:$D,$A:$A,$A434,$B:$B,"&lt;&gt;Patrícia Karla de Sousa Araújo",$B:$B,"&lt;&gt;Lorena Dias de Araujo",$B:$B,"&lt;&gt;Lucas Luiz Romero")*(20/1083),IF(C434="Estágio",SUMIFS($D:$D,$A:$A,$A434,$B:$B,"&lt;&gt;Patrícia Karla de Sousa Araújo",$B:$B,"&lt;&gt;Lorena Dias de Araujo",$B:$B,"&lt;&gt;Lucas Luiz Romero")*(10/1083),0)))))),0)</f>
        <v>23</v>
      </c>
      <c r="K434" s="3">
        <f>I434-J434</f>
        <v>26</v>
      </c>
      <c r="L434" s="3" t="str">
        <f>IF(K434&lt;-5,"CRÍTICO",IF(K434&lt;0,"ATENÇÃO",IF(K434&lt;=5,"OPORTUNO","MUITO BOM")))</f>
        <v>MUITO BOM</v>
      </c>
      <c r="M434" s="3">
        <v>43</v>
      </c>
      <c r="N434" s="3">
        <v>96.25</v>
      </c>
      <c r="O434" s="3">
        <v>25.586353944562902</v>
      </c>
    </row>
    <row r="435" spans="1:15" hidden="1" x14ac:dyDescent="0.25">
      <c r="A435" s="5">
        <v>46148</v>
      </c>
      <c r="B435" s="6" t="s">
        <v>60</v>
      </c>
      <c r="C435" s="1" t="s">
        <v>23</v>
      </c>
      <c r="D435" s="3">
        <v>24</v>
      </c>
      <c r="E435" s="3">
        <v>23</v>
      </c>
      <c r="F435" s="3">
        <v>17.07</v>
      </c>
      <c r="G435" s="3">
        <v>9</v>
      </c>
      <c r="H435" s="3">
        <v>0</v>
      </c>
      <c r="I435" s="3">
        <f>E435+G435+H435</f>
        <v>32</v>
      </c>
      <c r="J435" s="3">
        <f>ROUND(MIN(IF(C435="Técnico III",35,IF(C435="Técnico II",28,IF(C435="Técnico I",23,IF(C435="JR",20,IF(C435="Estágio",10,0))))),IF(C435="Técnico III",SUMIFS($D:$D,$A:$A,$A435,$B:$B,"&lt;&gt;Patrícia Karla de Sousa Araújo",$B:$B,"&lt;&gt;Lorena Dias de Araujo",$B:$B,"&lt;&gt;Lucas Luiz Romero")*(35/1083),IF(C435="Técnico II",SUMIFS($D:$D,$A:$A,$A435,$B:$B,"&lt;&gt;Patrícia Karla de Sousa Araújo",$B:$B,"&lt;&gt;Lorena Dias de Araujo",$B:$B,"&lt;&gt;Lucas Luiz Romero")*(28/1083),IF(C435="Técnico I",SUMIFS($D:$D,$A:$A,$A435,$B:$B,"&lt;&gt;Patrícia Karla de Sousa Araújo",$B:$B,"&lt;&gt;Lorena Dias de Araujo",$B:$B,"&lt;&gt;Lucas Luiz Romero")*(23/1083),IF(C435="JR",SUMIFS($D:$D,$A:$A,$A435,$B:$B,"&lt;&gt;Patrícia Karla de Sousa Araújo",$B:$B,"&lt;&gt;Lorena Dias de Araujo",$B:$B,"&lt;&gt;Lucas Luiz Romero")*(20/1083),IF(C435="Estágio",SUMIFS($D:$D,$A:$A,$A435,$B:$B,"&lt;&gt;Patrícia Karla de Sousa Araújo",$B:$B,"&lt;&gt;Lorena Dias de Araujo",$B:$B,"&lt;&gt;Lucas Luiz Romero")*(10/1083),0)))))),0)</f>
        <v>23</v>
      </c>
      <c r="K435" s="3">
        <f>I435-J435</f>
        <v>9</v>
      </c>
      <c r="L435" s="3" t="str">
        <f>IF(K435&lt;-5,"CRÍTICO",IF(K435&lt;0,"ATENÇÃO",IF(K435&lt;=5,"OPORTUNO","MUITO BOM")))</f>
        <v>MUITO BOM</v>
      </c>
      <c r="M435" s="3">
        <v>30</v>
      </c>
      <c r="N435" s="3">
        <v>97.48</v>
      </c>
      <c r="O435" s="3">
        <v>22.99465240641711</v>
      </c>
    </row>
    <row r="436" spans="1:15" hidden="1" x14ac:dyDescent="0.25">
      <c r="A436" s="5">
        <v>46148</v>
      </c>
      <c r="B436" s="6" t="s">
        <v>61</v>
      </c>
      <c r="C436" s="1" t="s">
        <v>23</v>
      </c>
      <c r="D436" s="3">
        <v>19</v>
      </c>
      <c r="E436" s="3">
        <v>16</v>
      </c>
      <c r="F436" s="3">
        <v>16.510000000000002</v>
      </c>
      <c r="G436" s="3">
        <v>0</v>
      </c>
      <c r="H436" s="3">
        <v>0</v>
      </c>
      <c r="I436" s="3">
        <f>E436+G436+H436</f>
        <v>16</v>
      </c>
      <c r="J436" s="3">
        <f>ROUND(MIN(IF(C436="Técnico III",35,IF(C436="Técnico II",28,IF(C436="Técnico I",23,IF(C436="JR",20,IF(C436="Estágio",10,0))))),IF(C436="Técnico III",SUMIFS($D:$D,$A:$A,$A436,$B:$B,"&lt;&gt;Patrícia Karla de Sousa Araújo",$B:$B,"&lt;&gt;Lorena Dias de Araujo",$B:$B,"&lt;&gt;Lucas Luiz Romero")*(35/1083),IF(C436="Técnico II",SUMIFS($D:$D,$A:$A,$A436,$B:$B,"&lt;&gt;Patrícia Karla de Sousa Araújo",$B:$B,"&lt;&gt;Lorena Dias de Araujo",$B:$B,"&lt;&gt;Lucas Luiz Romero")*(28/1083),IF(C436="Técnico I",SUMIFS($D:$D,$A:$A,$A436,$B:$B,"&lt;&gt;Patrícia Karla de Sousa Araújo",$B:$B,"&lt;&gt;Lorena Dias de Araujo",$B:$B,"&lt;&gt;Lucas Luiz Romero")*(23/1083),IF(C436="JR",SUMIFS($D:$D,$A:$A,$A436,$B:$B,"&lt;&gt;Patrícia Karla de Sousa Araújo",$B:$B,"&lt;&gt;Lorena Dias de Araujo",$B:$B,"&lt;&gt;Lucas Luiz Romero")*(20/1083),IF(C436="Estágio",SUMIFS($D:$D,$A:$A,$A436,$B:$B,"&lt;&gt;Patrícia Karla de Sousa Araújo",$B:$B,"&lt;&gt;Lorena Dias de Araujo",$B:$B,"&lt;&gt;Lucas Luiz Romero")*(10/1083),0)))))),0)</f>
        <v>23</v>
      </c>
      <c r="K436" s="3">
        <f>I436-J436</f>
        <v>-7</v>
      </c>
      <c r="L436" s="3" t="str">
        <f>IF(K436&lt;-5,"CRÍTICO",IF(K436&lt;0,"ATENÇÃO",IF(K436&lt;=5,"OPORTUNO","MUITO BOM")))</f>
        <v>CRÍTICO</v>
      </c>
      <c r="M436" s="3">
        <v>13</v>
      </c>
      <c r="N436" s="3">
        <v>100</v>
      </c>
      <c r="O436" s="3">
        <v>20.788530465949819</v>
      </c>
    </row>
    <row r="437" spans="1:15" hidden="1" x14ac:dyDescent="0.25">
      <c r="A437" s="5">
        <v>46148</v>
      </c>
      <c r="B437" s="6" t="s">
        <v>22</v>
      </c>
      <c r="C437" s="1" t="s">
        <v>23</v>
      </c>
      <c r="D437" s="3">
        <v>23</v>
      </c>
      <c r="E437" s="3">
        <v>22</v>
      </c>
      <c r="F437" s="3">
        <v>20.21</v>
      </c>
      <c r="G437" s="3">
        <v>9</v>
      </c>
      <c r="H437" s="3">
        <v>0</v>
      </c>
      <c r="I437" s="3">
        <f>E437+G437+H437</f>
        <v>31</v>
      </c>
      <c r="J437" s="3">
        <f>ROUND(MIN(IF(C437="Técnico III",35,IF(C437="Técnico II",28,IF(C437="Técnico I",23,IF(C437="JR",20,IF(C437="Estágio",10,0))))),IF(C437="Técnico III",SUMIFS($D:$D,$A:$A,$A437,$B:$B,"&lt;&gt;Patrícia Karla de Sousa Araújo",$B:$B,"&lt;&gt;Lorena Dias de Araujo",$B:$B,"&lt;&gt;Lucas Luiz Romero")*(35/1083),IF(C437="Técnico II",SUMIFS($D:$D,$A:$A,$A437,$B:$B,"&lt;&gt;Patrícia Karla de Sousa Araújo",$B:$B,"&lt;&gt;Lorena Dias de Araujo",$B:$B,"&lt;&gt;Lucas Luiz Romero")*(28/1083),IF(C437="Técnico I",SUMIFS($D:$D,$A:$A,$A437,$B:$B,"&lt;&gt;Patrícia Karla de Sousa Araújo",$B:$B,"&lt;&gt;Lorena Dias de Araujo",$B:$B,"&lt;&gt;Lucas Luiz Romero")*(23/1083),IF(C437="JR",SUMIFS($D:$D,$A:$A,$A437,$B:$B,"&lt;&gt;Patrícia Karla de Sousa Araújo",$B:$B,"&lt;&gt;Lorena Dias de Araujo",$B:$B,"&lt;&gt;Lucas Luiz Romero")*(20/1083),IF(C437="Estágio",SUMIFS($D:$D,$A:$A,$A437,$B:$B,"&lt;&gt;Patrícia Karla de Sousa Araújo",$B:$B,"&lt;&gt;Lorena Dias de Araujo",$B:$B,"&lt;&gt;Lucas Luiz Romero")*(10/1083),0)))))),0)</f>
        <v>23</v>
      </c>
      <c r="K437" s="3">
        <f>I437-J437</f>
        <v>8</v>
      </c>
      <c r="L437" s="3" t="str">
        <f>IF(K437&lt;-5,"CRÍTICO",IF(K437&lt;0,"ATENÇÃO",IF(K437&lt;=5,"OPORTUNO","MUITO BOM")))</f>
        <v>MUITO BOM</v>
      </c>
      <c r="M437" s="3">
        <v>24</v>
      </c>
      <c r="N437" s="3">
        <v>99.06</v>
      </c>
      <c r="O437" s="3">
        <v>19.417475728155338</v>
      </c>
    </row>
    <row r="438" spans="1:15" hidden="1" x14ac:dyDescent="0.25">
      <c r="A438" s="5">
        <v>46148</v>
      </c>
      <c r="B438" s="6" t="s">
        <v>62</v>
      </c>
      <c r="C438" s="1" t="s">
        <v>23</v>
      </c>
      <c r="D438" s="3">
        <v>31</v>
      </c>
      <c r="E438" s="3">
        <v>30</v>
      </c>
      <c r="F438" s="3">
        <v>17.329999999999998</v>
      </c>
      <c r="G438" s="3">
        <v>8</v>
      </c>
      <c r="H438" s="3">
        <v>0</v>
      </c>
      <c r="I438" s="3">
        <f>E438+G438+H438</f>
        <v>38</v>
      </c>
      <c r="J438" s="3">
        <f>ROUND(MIN(IF(C438="Técnico III",35,IF(C438="Técnico II",28,IF(C438="Técnico I",23,IF(C438="JR",20,IF(C438="Estágio",10,0))))),IF(C438="Técnico III",SUMIFS($D:$D,$A:$A,$A438,$B:$B,"&lt;&gt;Patrícia Karla de Sousa Araújo",$B:$B,"&lt;&gt;Lorena Dias de Araujo",$B:$B,"&lt;&gt;Lucas Luiz Romero")*(35/1083),IF(C438="Técnico II",SUMIFS($D:$D,$A:$A,$A438,$B:$B,"&lt;&gt;Patrícia Karla de Sousa Araújo",$B:$B,"&lt;&gt;Lorena Dias de Araujo",$B:$B,"&lt;&gt;Lucas Luiz Romero")*(28/1083),IF(C438="Técnico I",SUMIFS($D:$D,$A:$A,$A438,$B:$B,"&lt;&gt;Patrícia Karla de Sousa Araújo",$B:$B,"&lt;&gt;Lorena Dias de Araujo",$B:$B,"&lt;&gt;Lucas Luiz Romero")*(23/1083),IF(C438="JR",SUMIFS($D:$D,$A:$A,$A438,$B:$B,"&lt;&gt;Patrícia Karla de Sousa Araújo",$B:$B,"&lt;&gt;Lorena Dias de Araujo",$B:$B,"&lt;&gt;Lucas Luiz Romero")*(20/1083),IF(C438="Estágio",SUMIFS($D:$D,$A:$A,$A438,$B:$B,"&lt;&gt;Patrícia Karla de Sousa Araújo",$B:$B,"&lt;&gt;Lorena Dias de Araujo",$B:$B,"&lt;&gt;Lucas Luiz Romero")*(10/1083),0)))))),0)</f>
        <v>23</v>
      </c>
      <c r="K438" s="3">
        <f>I438-J438</f>
        <v>15</v>
      </c>
      <c r="L438" s="3" t="str">
        <f>IF(K438&lt;-5,"CRÍTICO",IF(K438&lt;0,"ATENÇÃO",IF(K438&lt;=5,"OPORTUNO","MUITO BOM")))</f>
        <v>MUITO BOM</v>
      </c>
      <c r="M438" s="3">
        <v>36</v>
      </c>
      <c r="N438" s="3">
        <v>94.55</v>
      </c>
      <c r="O438" s="3">
        <v>23.450134770889491</v>
      </c>
    </row>
    <row r="439" spans="1:15" hidden="1" x14ac:dyDescent="0.25">
      <c r="A439" s="5">
        <v>46148</v>
      </c>
      <c r="B439" s="6" t="s">
        <v>63</v>
      </c>
      <c r="C439" s="1" t="s">
        <v>23</v>
      </c>
      <c r="D439" s="3">
        <v>34</v>
      </c>
      <c r="E439" s="3">
        <v>30</v>
      </c>
      <c r="F439" s="3">
        <v>13.25</v>
      </c>
      <c r="G439" s="3">
        <v>5</v>
      </c>
      <c r="H439" s="3">
        <v>0</v>
      </c>
      <c r="I439" s="3">
        <f>E439+G439+H439</f>
        <v>35</v>
      </c>
      <c r="J439" s="3">
        <f>ROUND(MIN(IF(C439="Técnico III",35,IF(C439="Técnico II",28,IF(C439="Técnico I",23,IF(C439="JR",20,IF(C439="Estágio",10,0))))),IF(C439="Técnico III",SUMIFS($D:$D,$A:$A,$A439,$B:$B,"&lt;&gt;Patrícia Karla de Sousa Araújo",$B:$B,"&lt;&gt;Lorena Dias de Araujo",$B:$B,"&lt;&gt;Lucas Luiz Romero")*(35/1083),IF(C439="Técnico II",SUMIFS($D:$D,$A:$A,$A439,$B:$B,"&lt;&gt;Patrícia Karla de Sousa Araújo",$B:$B,"&lt;&gt;Lorena Dias de Araujo",$B:$B,"&lt;&gt;Lucas Luiz Romero")*(28/1083),IF(C439="Técnico I",SUMIFS($D:$D,$A:$A,$A439,$B:$B,"&lt;&gt;Patrícia Karla de Sousa Araújo",$B:$B,"&lt;&gt;Lorena Dias de Araujo",$B:$B,"&lt;&gt;Lucas Luiz Romero")*(23/1083),IF(C439="JR",SUMIFS($D:$D,$A:$A,$A439,$B:$B,"&lt;&gt;Patrícia Karla de Sousa Araújo",$B:$B,"&lt;&gt;Lorena Dias de Araujo",$B:$B,"&lt;&gt;Lucas Luiz Romero")*(20/1083),IF(C439="Estágio",SUMIFS($D:$D,$A:$A,$A439,$B:$B,"&lt;&gt;Patrícia Karla de Sousa Araújo",$B:$B,"&lt;&gt;Lorena Dias de Araujo",$B:$B,"&lt;&gt;Lucas Luiz Romero")*(10/1083),0)))))),0)</f>
        <v>23</v>
      </c>
      <c r="K439" s="3">
        <f>I439-J439</f>
        <v>12</v>
      </c>
      <c r="L439" s="3" t="str">
        <f>IF(K439&lt;-5,"CRÍTICO",IF(K439&lt;0,"ATENÇÃO",IF(K439&lt;=5,"OPORTUNO","MUITO BOM")))</f>
        <v>MUITO BOM</v>
      </c>
      <c r="M439" s="3">
        <v>23</v>
      </c>
      <c r="N439" s="3">
        <v>98</v>
      </c>
      <c r="O439" s="3">
        <v>20.73490813648294</v>
      </c>
    </row>
    <row r="440" spans="1:15" hidden="1" x14ac:dyDescent="0.25">
      <c r="A440" s="5">
        <v>46148</v>
      </c>
      <c r="B440" s="6" t="s">
        <v>64</v>
      </c>
      <c r="C440" s="1" t="s">
        <v>23</v>
      </c>
      <c r="D440" s="3">
        <v>19</v>
      </c>
      <c r="E440" s="3">
        <v>18</v>
      </c>
      <c r="F440" s="3">
        <v>26.43</v>
      </c>
      <c r="G440" s="3">
        <v>1</v>
      </c>
      <c r="H440" s="3">
        <v>0</v>
      </c>
      <c r="I440" s="3">
        <f>E440+G440+H440</f>
        <v>19</v>
      </c>
      <c r="J440" s="3">
        <f>ROUND(MIN(IF(C440="Técnico III",35,IF(C440="Técnico II",28,IF(C440="Técnico I",23,IF(C440="JR",20,IF(C440="Estágio",10,0))))),IF(C440="Técnico III",SUMIFS($D:$D,$A:$A,$A440,$B:$B,"&lt;&gt;Patrícia Karla de Sousa Araújo",$B:$B,"&lt;&gt;Lorena Dias de Araujo",$B:$B,"&lt;&gt;Lucas Luiz Romero")*(35/1083),IF(C440="Técnico II",SUMIFS($D:$D,$A:$A,$A440,$B:$B,"&lt;&gt;Patrícia Karla de Sousa Araújo",$B:$B,"&lt;&gt;Lorena Dias de Araujo",$B:$B,"&lt;&gt;Lucas Luiz Romero")*(28/1083),IF(C440="Técnico I",SUMIFS($D:$D,$A:$A,$A440,$B:$B,"&lt;&gt;Patrícia Karla de Sousa Araújo",$B:$B,"&lt;&gt;Lorena Dias de Araujo",$B:$B,"&lt;&gt;Lucas Luiz Romero")*(23/1083),IF(C440="JR",SUMIFS($D:$D,$A:$A,$A440,$B:$B,"&lt;&gt;Patrícia Karla de Sousa Araújo",$B:$B,"&lt;&gt;Lorena Dias de Araujo",$B:$B,"&lt;&gt;Lucas Luiz Romero")*(20/1083),IF(C440="Estágio",SUMIFS($D:$D,$A:$A,$A440,$B:$B,"&lt;&gt;Patrícia Karla de Sousa Araújo",$B:$B,"&lt;&gt;Lorena Dias de Araujo",$B:$B,"&lt;&gt;Lucas Luiz Romero")*(10/1083),0)))))),0)</f>
        <v>23</v>
      </c>
      <c r="K440" s="3">
        <f>I440-J440</f>
        <v>-4</v>
      </c>
      <c r="L440" s="3" t="str">
        <f>IF(K440&lt;-5,"CRÍTICO",IF(K440&lt;0,"ATENÇÃO",IF(K440&lt;=5,"OPORTUNO","MUITO BOM")))</f>
        <v>ATENÇÃO</v>
      </c>
      <c r="M440" s="3">
        <v>18</v>
      </c>
      <c r="N440" s="3">
        <v>100</v>
      </c>
      <c r="O440" s="3">
        <v>18</v>
      </c>
    </row>
    <row r="441" spans="1:15" hidden="1" x14ac:dyDescent="0.25">
      <c r="A441" s="5">
        <v>46149</v>
      </c>
      <c r="B441" s="6" t="s">
        <v>31</v>
      </c>
      <c r="C441" s="1" t="s">
        <v>32</v>
      </c>
      <c r="D441" s="3">
        <v>0</v>
      </c>
      <c r="E441" s="3">
        <v>0</v>
      </c>
      <c r="F441" s="3">
        <v>0</v>
      </c>
      <c r="G441" s="3">
        <v>0</v>
      </c>
      <c r="H441" s="3">
        <v>0</v>
      </c>
      <c r="I441" s="3">
        <f>E441+G441+H441</f>
        <v>0</v>
      </c>
      <c r="J441" s="3">
        <f>ROUND(MIN(IF(C441="Técnico III",35,IF(C441="Técnico II",28,IF(C441="Técnico I",23,IF(C441="JR",20,IF(C441="Estágio",10,0))))),IF(C441="Técnico III",SUMIFS($D:$D,$A:$A,$A441,$B:$B,"&lt;&gt;Patrícia Karla de Sousa Araújo",$B:$B,"&lt;&gt;Lorena Dias de Araujo",$B:$B,"&lt;&gt;Lucas Luiz Romero")*(35/1083),IF(C441="Técnico II",SUMIFS($D:$D,$A:$A,$A441,$B:$B,"&lt;&gt;Patrícia Karla de Sousa Araújo",$B:$B,"&lt;&gt;Lorena Dias de Araujo",$B:$B,"&lt;&gt;Lucas Luiz Romero")*(28/1083),IF(C441="Técnico I",SUMIFS($D:$D,$A:$A,$A441,$B:$B,"&lt;&gt;Patrícia Karla de Sousa Araújo",$B:$B,"&lt;&gt;Lorena Dias de Araujo",$B:$B,"&lt;&gt;Lucas Luiz Romero")*(23/1083),IF(C441="JR",SUMIFS($D:$D,$A:$A,$A441,$B:$B,"&lt;&gt;Patrícia Karla de Sousa Araújo",$B:$B,"&lt;&gt;Lorena Dias de Araujo",$B:$B,"&lt;&gt;Lucas Luiz Romero")*(20/1083),IF(C441="Estágio",SUMIFS($D:$D,$A:$A,$A441,$B:$B,"&lt;&gt;Patrícia Karla de Sousa Araújo",$B:$B,"&lt;&gt;Lorena Dias de Araujo",$B:$B,"&lt;&gt;Lucas Luiz Romero")*(10/1083),0)))))),0)</f>
        <v>33</v>
      </c>
      <c r="K441" s="3">
        <f>I441-J441</f>
        <v>-33</v>
      </c>
      <c r="L441" s="3" t="str">
        <f>IF(K441&lt;-5,"CRÍTICO",IF(K441&lt;0,"ATENÇÃO",IF(K441&lt;=5,"OPORTUNO","MUITO BOM")))</f>
        <v>CRÍTICO</v>
      </c>
      <c r="M441" s="3">
        <v>0</v>
      </c>
      <c r="N441" s="3">
        <v>100</v>
      </c>
      <c r="O441" s="3">
        <v>0</v>
      </c>
    </row>
    <row r="442" spans="1:15" hidden="1" x14ac:dyDescent="0.25">
      <c r="A442" s="5">
        <v>46149</v>
      </c>
      <c r="B442" s="6" t="s">
        <v>33</v>
      </c>
      <c r="C442" s="14" t="s">
        <v>32</v>
      </c>
      <c r="D442" s="3">
        <v>32</v>
      </c>
      <c r="E442" s="3">
        <v>32</v>
      </c>
      <c r="F442" s="3">
        <v>17.260000000000002</v>
      </c>
      <c r="G442" s="3">
        <v>0</v>
      </c>
      <c r="H442" s="3">
        <v>0</v>
      </c>
      <c r="I442" s="3">
        <f>E442+G442+H442</f>
        <v>32</v>
      </c>
      <c r="J442" s="3">
        <f>ROUND(MIN(IF(C442="Técnico III",35,IF(C442="Técnico II",28,IF(C442="Técnico I",23,IF(C442="JR",20,IF(C442="Estágio",10,0))))),IF(C442="Técnico III",SUMIFS($D:$D,$A:$A,$A442,$B:$B,"&lt;&gt;Patrícia Karla de Sousa Araújo",$B:$B,"&lt;&gt;Lorena Dias de Araujo",$B:$B,"&lt;&gt;Lucas Luiz Romero")*(35/1083),IF(C442="Técnico II",SUMIFS($D:$D,$A:$A,$A442,$B:$B,"&lt;&gt;Patrícia Karla de Sousa Araújo",$B:$B,"&lt;&gt;Lorena Dias de Araujo",$B:$B,"&lt;&gt;Lucas Luiz Romero")*(28/1083),IF(C442="Técnico I",SUMIFS($D:$D,$A:$A,$A442,$B:$B,"&lt;&gt;Patrícia Karla de Sousa Araújo",$B:$B,"&lt;&gt;Lorena Dias de Araujo",$B:$B,"&lt;&gt;Lucas Luiz Romero")*(23/1083),IF(C442="JR",SUMIFS($D:$D,$A:$A,$A442,$B:$B,"&lt;&gt;Patrícia Karla de Sousa Araújo",$B:$B,"&lt;&gt;Lorena Dias de Araujo",$B:$B,"&lt;&gt;Lucas Luiz Romero")*(20/1083),IF(C442="Estágio",SUMIFS($D:$D,$A:$A,$A442,$B:$B,"&lt;&gt;Patrícia Karla de Sousa Araújo",$B:$B,"&lt;&gt;Lorena Dias de Araujo",$B:$B,"&lt;&gt;Lucas Luiz Romero")*(10/1083),0)))))),0)</f>
        <v>33</v>
      </c>
      <c r="K442" s="3">
        <f>I442-J442</f>
        <v>-1</v>
      </c>
      <c r="L442" s="3" t="str">
        <f>IF(K442&lt;-5,"CRÍTICO",IF(K442&lt;0,"ATENÇÃO",IF(K442&lt;=5,"OPORTUNO","MUITO BOM")))</f>
        <v>ATENÇÃO</v>
      </c>
      <c r="M442" s="3">
        <v>33</v>
      </c>
      <c r="N442" s="3">
        <v>96.94</v>
      </c>
      <c r="O442" s="3">
        <v>19.613259668508292</v>
      </c>
    </row>
    <row r="443" spans="1:15" hidden="1" x14ac:dyDescent="0.25">
      <c r="A443" s="5">
        <v>46149</v>
      </c>
      <c r="B443" s="6" t="s">
        <v>34</v>
      </c>
      <c r="C443" s="1" t="s">
        <v>32</v>
      </c>
      <c r="D443" s="3">
        <v>47</v>
      </c>
      <c r="E443" s="3">
        <v>44</v>
      </c>
      <c r="F443" s="3">
        <v>11.45</v>
      </c>
      <c r="G443" s="3">
        <v>0</v>
      </c>
      <c r="H443" s="3">
        <v>0</v>
      </c>
      <c r="I443" s="3">
        <f>E443+G443+H443</f>
        <v>44</v>
      </c>
      <c r="J443" s="3">
        <f>ROUND(MIN(IF(C443="Técnico III",35,IF(C443="Técnico II",28,IF(C443="Técnico I",23,IF(C443="JR",20,IF(C443="Estágio",10,0))))),IF(C443="Técnico III",SUMIFS($D:$D,$A:$A,$A443,$B:$B,"&lt;&gt;Patrícia Karla de Sousa Araújo",$B:$B,"&lt;&gt;Lorena Dias de Araujo",$B:$B,"&lt;&gt;Lucas Luiz Romero")*(35/1083),IF(C443="Técnico II",SUMIFS($D:$D,$A:$A,$A443,$B:$B,"&lt;&gt;Patrícia Karla de Sousa Araújo",$B:$B,"&lt;&gt;Lorena Dias de Araujo",$B:$B,"&lt;&gt;Lucas Luiz Romero")*(28/1083),IF(C443="Técnico I",SUMIFS($D:$D,$A:$A,$A443,$B:$B,"&lt;&gt;Patrícia Karla de Sousa Araújo",$B:$B,"&lt;&gt;Lorena Dias de Araujo",$B:$B,"&lt;&gt;Lucas Luiz Romero")*(23/1083),IF(C443="JR",SUMIFS($D:$D,$A:$A,$A443,$B:$B,"&lt;&gt;Patrícia Karla de Sousa Araújo",$B:$B,"&lt;&gt;Lorena Dias de Araujo",$B:$B,"&lt;&gt;Lucas Luiz Romero")*(20/1083),IF(C443="Estágio",SUMIFS($D:$D,$A:$A,$A443,$B:$B,"&lt;&gt;Patrícia Karla de Sousa Araújo",$B:$B,"&lt;&gt;Lorena Dias de Araujo",$B:$B,"&lt;&gt;Lucas Luiz Romero")*(10/1083),0)))))),0)</f>
        <v>33</v>
      </c>
      <c r="K443" s="3">
        <f>I443-J443</f>
        <v>11</v>
      </c>
      <c r="L443" s="3" t="str">
        <f>IF(K443&lt;-5,"CRÍTICO",IF(K443&lt;0,"ATENÇÃO",IF(K443&lt;=5,"OPORTUNO","MUITO BOM")))</f>
        <v>MUITO BOM</v>
      </c>
      <c r="M443" s="3">
        <v>38</v>
      </c>
      <c r="N443" s="3">
        <v>92.81</v>
      </c>
      <c r="O443" s="3">
        <v>25.477707006369432</v>
      </c>
    </row>
    <row r="444" spans="1:15" hidden="1" x14ac:dyDescent="0.25">
      <c r="A444" s="5">
        <v>46149</v>
      </c>
      <c r="B444" s="6" t="s">
        <v>35</v>
      </c>
      <c r="C444" s="14" t="s">
        <v>32</v>
      </c>
      <c r="D444" s="3">
        <v>31</v>
      </c>
      <c r="E444" s="3">
        <v>30</v>
      </c>
      <c r="F444" s="3">
        <v>21.48</v>
      </c>
      <c r="G444" s="3">
        <v>0</v>
      </c>
      <c r="H444" s="3">
        <v>0</v>
      </c>
      <c r="I444" s="3">
        <f>E444+G444+H444</f>
        <v>30</v>
      </c>
      <c r="J444" s="3">
        <f>ROUND(MIN(IF(C444="Técnico III",35,IF(C444="Técnico II",28,IF(C444="Técnico I",23,IF(C444="JR",20,IF(C444="Estágio",10,0))))),IF(C444="Técnico III",SUMIFS($D:$D,$A:$A,$A444,$B:$B,"&lt;&gt;Patrícia Karla de Sousa Araújo",$B:$B,"&lt;&gt;Lorena Dias de Araujo",$B:$B,"&lt;&gt;Lucas Luiz Romero")*(35/1083),IF(C444="Técnico II",SUMIFS($D:$D,$A:$A,$A444,$B:$B,"&lt;&gt;Patrícia Karla de Sousa Araújo",$B:$B,"&lt;&gt;Lorena Dias de Araujo",$B:$B,"&lt;&gt;Lucas Luiz Romero")*(28/1083),IF(C444="Técnico I",SUMIFS($D:$D,$A:$A,$A444,$B:$B,"&lt;&gt;Patrícia Karla de Sousa Araújo",$B:$B,"&lt;&gt;Lorena Dias de Araujo",$B:$B,"&lt;&gt;Lucas Luiz Romero")*(23/1083),IF(C444="JR",SUMIFS($D:$D,$A:$A,$A444,$B:$B,"&lt;&gt;Patrícia Karla de Sousa Araújo",$B:$B,"&lt;&gt;Lorena Dias de Araujo",$B:$B,"&lt;&gt;Lucas Luiz Romero")*(20/1083),IF(C444="Estágio",SUMIFS($D:$D,$A:$A,$A444,$B:$B,"&lt;&gt;Patrícia Karla de Sousa Araújo",$B:$B,"&lt;&gt;Lorena Dias de Araujo",$B:$B,"&lt;&gt;Lucas Luiz Romero")*(10/1083),0)))))),0)</f>
        <v>33</v>
      </c>
      <c r="K444" s="3">
        <f>I444-J444</f>
        <v>-3</v>
      </c>
      <c r="L444" s="3" t="str">
        <f>IF(K444&lt;-5,"CRÍTICO",IF(K444&lt;0,"ATENÇÃO",IF(K444&lt;=5,"OPORTUNO","MUITO BOM")))</f>
        <v>ATENÇÃO</v>
      </c>
      <c r="M444" s="3">
        <v>29</v>
      </c>
      <c r="N444" s="3">
        <v>99.19</v>
      </c>
      <c r="O444" s="3">
        <v>28.404669260700391</v>
      </c>
    </row>
    <row r="445" spans="1:15" hidden="1" x14ac:dyDescent="0.25">
      <c r="A445" s="5">
        <v>46149</v>
      </c>
      <c r="B445" s="6" t="s">
        <v>36</v>
      </c>
      <c r="C445" s="14" t="s">
        <v>32</v>
      </c>
      <c r="D445" s="3">
        <v>0</v>
      </c>
      <c r="E445" s="3">
        <v>0</v>
      </c>
      <c r="F445" s="3">
        <v>0</v>
      </c>
      <c r="G445" s="3">
        <v>0</v>
      </c>
      <c r="H445" s="3">
        <v>0</v>
      </c>
      <c r="I445" s="3">
        <f>E445+G445+H445</f>
        <v>0</v>
      </c>
      <c r="J445" s="3">
        <f>ROUND(MIN(IF(C445="Técnico III",35,IF(C445="Técnico II",28,IF(C445="Técnico I",23,IF(C445="JR",20,IF(C445="Estágio",10,0))))),IF(C445="Técnico III",SUMIFS($D:$D,$A:$A,$A445,$B:$B,"&lt;&gt;Patrícia Karla de Sousa Araújo",$B:$B,"&lt;&gt;Lorena Dias de Araujo",$B:$B,"&lt;&gt;Lucas Luiz Romero")*(35/1083),IF(C445="Técnico II",SUMIFS($D:$D,$A:$A,$A445,$B:$B,"&lt;&gt;Patrícia Karla de Sousa Araújo",$B:$B,"&lt;&gt;Lorena Dias de Araujo",$B:$B,"&lt;&gt;Lucas Luiz Romero")*(28/1083),IF(C445="Técnico I",SUMIFS($D:$D,$A:$A,$A445,$B:$B,"&lt;&gt;Patrícia Karla de Sousa Araújo",$B:$B,"&lt;&gt;Lorena Dias de Araujo",$B:$B,"&lt;&gt;Lucas Luiz Romero")*(23/1083),IF(C445="JR",SUMIFS($D:$D,$A:$A,$A445,$B:$B,"&lt;&gt;Patrícia Karla de Sousa Araújo",$B:$B,"&lt;&gt;Lorena Dias de Araujo",$B:$B,"&lt;&gt;Lucas Luiz Romero")*(20/1083),IF(C445="Estágio",SUMIFS($D:$D,$A:$A,$A445,$B:$B,"&lt;&gt;Patrícia Karla de Sousa Araújo",$B:$B,"&lt;&gt;Lorena Dias de Araujo",$B:$B,"&lt;&gt;Lucas Luiz Romero")*(10/1083),0)))))),0)</f>
        <v>33</v>
      </c>
      <c r="K445" s="3">
        <f>I445-J445</f>
        <v>-33</v>
      </c>
      <c r="L445" s="3" t="str">
        <f>IF(K445&lt;-5,"CRÍTICO",IF(K445&lt;0,"ATENÇÃO",IF(K445&lt;=5,"OPORTUNO","MUITO BOM")))</f>
        <v>CRÍTICO</v>
      </c>
      <c r="M445" s="3">
        <v>0</v>
      </c>
      <c r="N445" s="3">
        <v>100</v>
      </c>
      <c r="O445" s="3">
        <v>13.51351351351351</v>
      </c>
    </row>
    <row r="446" spans="1:15" hidden="1" x14ac:dyDescent="0.25">
      <c r="A446" s="5">
        <v>46149</v>
      </c>
      <c r="B446" s="6" t="s">
        <v>37</v>
      </c>
      <c r="C446" s="1" t="s">
        <v>32</v>
      </c>
      <c r="D446" s="3">
        <v>56</v>
      </c>
      <c r="E446" s="3">
        <v>51</v>
      </c>
      <c r="F446" s="3">
        <v>13.48</v>
      </c>
      <c r="G446" s="3">
        <v>9</v>
      </c>
      <c r="H446" s="3">
        <v>0</v>
      </c>
      <c r="I446" s="3">
        <f>E446+G446+H446</f>
        <v>60</v>
      </c>
      <c r="J446" s="3">
        <f>ROUND(MIN(IF(C446="Técnico III",35,IF(C446="Técnico II",28,IF(C446="Técnico I",23,IF(C446="JR",20,IF(C446="Estágio",10,0))))),IF(C446="Técnico III",SUMIFS($D:$D,$A:$A,$A446,$B:$B,"&lt;&gt;Patrícia Karla de Sousa Araújo",$B:$B,"&lt;&gt;Lorena Dias de Araujo",$B:$B,"&lt;&gt;Lucas Luiz Romero")*(35/1083),IF(C446="Técnico II",SUMIFS($D:$D,$A:$A,$A446,$B:$B,"&lt;&gt;Patrícia Karla de Sousa Araújo",$B:$B,"&lt;&gt;Lorena Dias de Araujo",$B:$B,"&lt;&gt;Lucas Luiz Romero")*(28/1083),IF(C446="Técnico I",SUMIFS($D:$D,$A:$A,$A446,$B:$B,"&lt;&gt;Patrícia Karla de Sousa Araújo",$B:$B,"&lt;&gt;Lorena Dias de Araujo",$B:$B,"&lt;&gt;Lucas Luiz Romero")*(23/1083),IF(C446="JR",SUMIFS($D:$D,$A:$A,$A446,$B:$B,"&lt;&gt;Patrícia Karla de Sousa Araújo",$B:$B,"&lt;&gt;Lorena Dias de Araujo",$B:$B,"&lt;&gt;Lucas Luiz Romero")*(20/1083),IF(C446="Estágio",SUMIFS($D:$D,$A:$A,$A446,$B:$B,"&lt;&gt;Patrícia Karla de Sousa Araújo",$B:$B,"&lt;&gt;Lorena Dias de Araujo",$B:$B,"&lt;&gt;Lucas Luiz Romero")*(10/1083),0)))))),0)</f>
        <v>33</v>
      </c>
      <c r="K446" s="3">
        <f>I446-J446</f>
        <v>27</v>
      </c>
      <c r="L446" s="3" t="str">
        <f>IF(K446&lt;-5,"CRÍTICO",IF(K446&lt;0,"ATENÇÃO",IF(K446&lt;=5,"OPORTUNO","MUITO BOM")))</f>
        <v>MUITO BOM</v>
      </c>
      <c r="M446" s="3">
        <v>49</v>
      </c>
      <c r="N446" s="3">
        <v>99</v>
      </c>
      <c r="O446" s="3">
        <v>22.27414330218069</v>
      </c>
    </row>
    <row r="447" spans="1:15" hidden="1" x14ac:dyDescent="0.25">
      <c r="A447" s="5">
        <v>46149</v>
      </c>
      <c r="B447" s="6" t="s">
        <v>38</v>
      </c>
      <c r="C447" s="1" t="s">
        <v>32</v>
      </c>
      <c r="D447" s="3">
        <v>48</v>
      </c>
      <c r="E447" s="3">
        <v>39</v>
      </c>
      <c r="F447" s="3">
        <v>10.43</v>
      </c>
      <c r="G447" s="3">
        <v>6</v>
      </c>
      <c r="H447" s="3">
        <v>0</v>
      </c>
      <c r="I447" s="3">
        <f>E447+G447+H447</f>
        <v>45</v>
      </c>
      <c r="J447" s="3">
        <f>ROUND(MIN(IF(C447="Técnico III",35,IF(C447="Técnico II",28,IF(C447="Técnico I",23,IF(C447="JR",20,IF(C447="Estágio",10,0))))),IF(C447="Técnico III",SUMIFS($D:$D,$A:$A,$A447,$B:$B,"&lt;&gt;Patrícia Karla de Sousa Araújo",$B:$B,"&lt;&gt;Lorena Dias de Araujo",$B:$B,"&lt;&gt;Lucas Luiz Romero")*(35/1083),IF(C447="Técnico II",SUMIFS($D:$D,$A:$A,$A447,$B:$B,"&lt;&gt;Patrícia Karla de Sousa Araújo",$B:$B,"&lt;&gt;Lorena Dias de Araujo",$B:$B,"&lt;&gt;Lucas Luiz Romero")*(28/1083),IF(C447="Técnico I",SUMIFS($D:$D,$A:$A,$A447,$B:$B,"&lt;&gt;Patrícia Karla de Sousa Araújo",$B:$B,"&lt;&gt;Lorena Dias de Araujo",$B:$B,"&lt;&gt;Lucas Luiz Romero")*(23/1083),IF(C447="JR",SUMIFS($D:$D,$A:$A,$A447,$B:$B,"&lt;&gt;Patrícia Karla de Sousa Araújo",$B:$B,"&lt;&gt;Lorena Dias de Araujo",$B:$B,"&lt;&gt;Lucas Luiz Romero")*(20/1083),IF(C447="Estágio",SUMIFS($D:$D,$A:$A,$A447,$B:$B,"&lt;&gt;Patrícia Karla de Sousa Araújo",$B:$B,"&lt;&gt;Lorena Dias de Araujo",$B:$B,"&lt;&gt;Lucas Luiz Romero")*(10/1083),0)))))),0)</f>
        <v>33</v>
      </c>
      <c r="K447" s="3">
        <f>I447-J447</f>
        <v>12</v>
      </c>
      <c r="L447" s="3" t="str">
        <f>IF(K447&lt;-5,"CRÍTICO",IF(K447&lt;0,"ATENÇÃO",IF(K447&lt;=5,"OPORTUNO","MUITO BOM")))</f>
        <v>MUITO BOM</v>
      </c>
      <c r="M447" s="3">
        <v>41</v>
      </c>
      <c r="N447" s="3">
        <v>97.04</v>
      </c>
      <c r="O447" s="3">
        <v>29.828850855745721</v>
      </c>
    </row>
    <row r="448" spans="1:15" hidden="1" x14ac:dyDescent="0.25">
      <c r="A448" s="5">
        <v>46149</v>
      </c>
      <c r="B448" s="6" t="s">
        <v>39</v>
      </c>
      <c r="C448" s="1" t="s">
        <v>32</v>
      </c>
      <c r="D448" s="3">
        <v>0</v>
      </c>
      <c r="E448" s="3">
        <v>0</v>
      </c>
      <c r="F448" s="3">
        <v>0</v>
      </c>
      <c r="G448" s="3">
        <v>0</v>
      </c>
      <c r="H448" s="3">
        <v>0</v>
      </c>
      <c r="I448" s="3">
        <f>E448+G448+H448</f>
        <v>0</v>
      </c>
      <c r="J448" s="3">
        <f>ROUND(MIN(IF(C448="Técnico III",35,IF(C448="Técnico II",28,IF(C448="Técnico I",23,IF(C448="JR",20,IF(C448="Estágio",10,0))))),IF(C448="Técnico III",SUMIFS($D:$D,$A:$A,$A448,$B:$B,"&lt;&gt;Patrícia Karla de Sousa Araújo",$B:$B,"&lt;&gt;Lorena Dias de Araujo",$B:$B,"&lt;&gt;Lucas Luiz Romero")*(35/1083),IF(C448="Técnico II",SUMIFS($D:$D,$A:$A,$A448,$B:$B,"&lt;&gt;Patrícia Karla de Sousa Araújo",$B:$B,"&lt;&gt;Lorena Dias de Araujo",$B:$B,"&lt;&gt;Lucas Luiz Romero")*(28/1083),IF(C448="Técnico I",SUMIFS($D:$D,$A:$A,$A448,$B:$B,"&lt;&gt;Patrícia Karla de Sousa Araújo",$B:$B,"&lt;&gt;Lorena Dias de Araujo",$B:$B,"&lt;&gt;Lucas Luiz Romero")*(23/1083),IF(C448="JR",SUMIFS($D:$D,$A:$A,$A448,$B:$B,"&lt;&gt;Patrícia Karla de Sousa Araújo",$B:$B,"&lt;&gt;Lorena Dias de Araujo",$B:$B,"&lt;&gt;Lucas Luiz Romero")*(20/1083),IF(C448="Estágio",SUMIFS($D:$D,$A:$A,$A448,$B:$B,"&lt;&gt;Patrícia Karla de Sousa Araújo",$B:$B,"&lt;&gt;Lorena Dias de Araujo",$B:$B,"&lt;&gt;Lucas Luiz Romero")*(10/1083),0)))))),0)</f>
        <v>33</v>
      </c>
      <c r="K448" s="3">
        <f>I448-J448</f>
        <v>-33</v>
      </c>
      <c r="L448" s="3" t="str">
        <f>IF(K448&lt;-5,"CRÍTICO",IF(K448&lt;0,"ATENÇÃO",IF(K448&lt;=5,"OPORTUNO","MUITO BOM")))</f>
        <v>CRÍTICO</v>
      </c>
      <c r="M448" s="3">
        <v>0</v>
      </c>
      <c r="N448" s="3">
        <v>0</v>
      </c>
      <c r="O448" s="3">
        <v>0</v>
      </c>
    </row>
    <row r="449" spans="1:15" hidden="1" x14ac:dyDescent="0.25">
      <c r="A449" s="5">
        <v>46149</v>
      </c>
      <c r="B449" s="6" t="s">
        <v>40</v>
      </c>
      <c r="C449" s="14" t="s">
        <v>32</v>
      </c>
      <c r="D449" s="3">
        <v>20</v>
      </c>
      <c r="E449" s="3">
        <v>19</v>
      </c>
      <c r="F449" s="3">
        <v>20.329999999999998</v>
      </c>
      <c r="G449" s="3">
        <v>4</v>
      </c>
      <c r="H449" s="3">
        <v>0</v>
      </c>
      <c r="I449" s="3">
        <f>E449+G449+H449</f>
        <v>23</v>
      </c>
      <c r="J449" s="3">
        <f>ROUND(MIN(IF(C449="Técnico III",35,IF(C449="Técnico II",28,IF(C449="Técnico I",23,IF(C449="JR",20,IF(C449="Estágio",10,0))))),IF(C449="Técnico III",SUMIFS($D:$D,$A:$A,$A449,$B:$B,"&lt;&gt;Patrícia Karla de Sousa Araújo",$B:$B,"&lt;&gt;Lorena Dias de Araujo",$B:$B,"&lt;&gt;Lucas Luiz Romero")*(35/1083),IF(C449="Técnico II",SUMIFS($D:$D,$A:$A,$A449,$B:$B,"&lt;&gt;Patrícia Karla de Sousa Araújo",$B:$B,"&lt;&gt;Lorena Dias de Araujo",$B:$B,"&lt;&gt;Lucas Luiz Romero")*(28/1083),IF(C449="Técnico I",SUMIFS($D:$D,$A:$A,$A449,$B:$B,"&lt;&gt;Patrícia Karla de Sousa Araújo",$B:$B,"&lt;&gt;Lorena Dias de Araujo",$B:$B,"&lt;&gt;Lucas Luiz Romero")*(23/1083),IF(C449="JR",SUMIFS($D:$D,$A:$A,$A449,$B:$B,"&lt;&gt;Patrícia Karla de Sousa Araújo",$B:$B,"&lt;&gt;Lorena Dias de Araujo",$B:$B,"&lt;&gt;Lucas Luiz Romero")*(20/1083),IF(C449="Estágio",SUMIFS($D:$D,$A:$A,$A449,$B:$B,"&lt;&gt;Patrícia Karla de Sousa Araújo",$B:$B,"&lt;&gt;Lorena Dias de Araujo",$B:$B,"&lt;&gt;Lucas Luiz Romero")*(10/1083),0)))))),0)</f>
        <v>33</v>
      </c>
      <c r="K449" s="3">
        <f>I449-J449</f>
        <v>-10</v>
      </c>
      <c r="L449" s="3" t="str">
        <f>IF(K449&lt;-5,"CRÍTICO",IF(K449&lt;0,"ATENÇÃO",IF(K449&lt;=5,"OPORTUNO","MUITO BOM")))</f>
        <v>CRÍTICO</v>
      </c>
      <c r="M449" s="3">
        <v>23</v>
      </c>
      <c r="N449" s="3">
        <v>96.84</v>
      </c>
      <c r="O449" s="3">
        <v>16.338028169014081</v>
      </c>
    </row>
    <row r="450" spans="1:15" hidden="1" x14ac:dyDescent="0.25">
      <c r="A450" s="5">
        <v>46149</v>
      </c>
      <c r="B450" s="6" t="s">
        <v>41</v>
      </c>
      <c r="C450" s="14" t="s">
        <v>32</v>
      </c>
      <c r="D450" s="3">
        <v>25</v>
      </c>
      <c r="E450" s="3">
        <v>23</v>
      </c>
      <c r="F450" s="3">
        <v>20.420000000000002</v>
      </c>
      <c r="G450" s="3">
        <v>0</v>
      </c>
      <c r="H450" s="3">
        <v>0</v>
      </c>
      <c r="I450" s="3">
        <f>E450+G450+H450</f>
        <v>23</v>
      </c>
      <c r="J450" s="3">
        <f>ROUND(MIN(IF(C450="Técnico III",35,IF(C450="Técnico II",28,IF(C450="Técnico I",23,IF(C450="JR",20,IF(C450="Estágio",10,0))))),IF(C450="Técnico III",SUMIFS($D:$D,$A:$A,$A450,$B:$B,"&lt;&gt;Patrícia Karla de Sousa Araújo",$B:$B,"&lt;&gt;Lorena Dias de Araujo",$B:$B,"&lt;&gt;Lucas Luiz Romero")*(35/1083),IF(C450="Técnico II",SUMIFS($D:$D,$A:$A,$A450,$B:$B,"&lt;&gt;Patrícia Karla de Sousa Araújo",$B:$B,"&lt;&gt;Lorena Dias de Araujo",$B:$B,"&lt;&gt;Lucas Luiz Romero")*(28/1083),IF(C450="Técnico I",SUMIFS($D:$D,$A:$A,$A450,$B:$B,"&lt;&gt;Patrícia Karla de Sousa Araújo",$B:$B,"&lt;&gt;Lorena Dias de Araujo",$B:$B,"&lt;&gt;Lucas Luiz Romero")*(23/1083),IF(C450="JR",SUMIFS($D:$D,$A:$A,$A450,$B:$B,"&lt;&gt;Patrícia Karla de Sousa Araújo",$B:$B,"&lt;&gt;Lorena Dias de Araujo",$B:$B,"&lt;&gt;Lucas Luiz Romero")*(20/1083),IF(C450="Estágio",SUMIFS($D:$D,$A:$A,$A450,$B:$B,"&lt;&gt;Patrícia Karla de Sousa Araújo",$B:$B,"&lt;&gt;Lorena Dias de Araujo",$B:$B,"&lt;&gt;Lucas Luiz Romero")*(10/1083),0)))))),0)</f>
        <v>33</v>
      </c>
      <c r="K450" s="3">
        <f>I450-J450</f>
        <v>-10</v>
      </c>
      <c r="L450" s="3" t="str">
        <f>IF(K450&lt;-5,"CRÍTICO",IF(K450&lt;0,"ATENÇÃO",IF(K450&lt;=5,"OPORTUNO","MUITO BOM")))</f>
        <v>CRÍTICO</v>
      </c>
      <c r="M450" s="3">
        <v>25</v>
      </c>
      <c r="N450" s="3">
        <v>100</v>
      </c>
      <c r="O450" s="3">
        <v>18.244803695150122</v>
      </c>
    </row>
    <row r="451" spans="1:15" hidden="1" x14ac:dyDescent="0.25">
      <c r="A451" s="5">
        <v>46149</v>
      </c>
      <c r="B451" s="6" t="s">
        <v>42</v>
      </c>
      <c r="C451" s="1" t="s">
        <v>32</v>
      </c>
      <c r="D451" s="3">
        <v>0</v>
      </c>
      <c r="E451" s="3">
        <v>0</v>
      </c>
      <c r="F451" s="3">
        <v>0</v>
      </c>
      <c r="G451" s="3">
        <v>0</v>
      </c>
      <c r="H451" s="3">
        <v>0</v>
      </c>
      <c r="I451" s="3">
        <f>E451+G451+H451</f>
        <v>0</v>
      </c>
      <c r="J451" s="3">
        <f>ROUND(MIN(IF(C451="Técnico III",35,IF(C451="Técnico II",28,IF(C451="Técnico I",23,IF(C451="JR",20,IF(C451="Estágio",10,0))))),IF(C451="Técnico III",SUMIFS($D:$D,$A:$A,$A451,$B:$B,"&lt;&gt;Patrícia Karla de Sousa Araújo",$B:$B,"&lt;&gt;Lorena Dias de Araujo",$B:$B,"&lt;&gt;Lucas Luiz Romero")*(35/1083),IF(C451="Técnico II",SUMIFS($D:$D,$A:$A,$A451,$B:$B,"&lt;&gt;Patrícia Karla de Sousa Araújo",$B:$B,"&lt;&gt;Lorena Dias de Araujo",$B:$B,"&lt;&gt;Lucas Luiz Romero")*(28/1083),IF(C451="Técnico I",SUMIFS($D:$D,$A:$A,$A451,$B:$B,"&lt;&gt;Patrícia Karla de Sousa Araújo",$B:$B,"&lt;&gt;Lorena Dias de Araujo",$B:$B,"&lt;&gt;Lucas Luiz Romero")*(23/1083),IF(C451="JR",SUMIFS($D:$D,$A:$A,$A451,$B:$B,"&lt;&gt;Patrícia Karla de Sousa Araújo",$B:$B,"&lt;&gt;Lorena Dias de Araujo",$B:$B,"&lt;&gt;Lucas Luiz Romero")*(20/1083),IF(C451="Estágio",SUMIFS($D:$D,$A:$A,$A451,$B:$B,"&lt;&gt;Patrícia Karla de Sousa Araújo",$B:$B,"&lt;&gt;Lorena Dias de Araujo",$B:$B,"&lt;&gt;Lucas Luiz Romero")*(10/1083),0)))))),0)</f>
        <v>33</v>
      </c>
      <c r="K451" s="3">
        <f>I451-J451</f>
        <v>-33</v>
      </c>
      <c r="L451" s="3" t="str">
        <f>IF(K451&lt;-5,"CRÍTICO",IF(K451&lt;0,"ATENÇÃO",IF(K451&lt;=5,"OPORTUNO","MUITO BOM")))</f>
        <v>CRÍTICO</v>
      </c>
      <c r="M451" s="3">
        <v>0</v>
      </c>
      <c r="N451" s="3">
        <v>100</v>
      </c>
      <c r="O451" s="3">
        <v>15.789473684210529</v>
      </c>
    </row>
    <row r="452" spans="1:15" x14ac:dyDescent="0.25">
      <c r="A452" s="5">
        <v>46149</v>
      </c>
      <c r="B452" s="6" t="s">
        <v>43</v>
      </c>
      <c r="C452" s="1" t="s">
        <v>32</v>
      </c>
      <c r="D452" s="3">
        <v>15</v>
      </c>
      <c r="E452" s="3">
        <v>14</v>
      </c>
      <c r="F452" s="3">
        <v>9.02</v>
      </c>
      <c r="G452" s="3">
        <v>0</v>
      </c>
      <c r="H452" s="3">
        <v>32</v>
      </c>
      <c r="I452" s="3">
        <f>E452+G452+H452</f>
        <v>46</v>
      </c>
      <c r="J452" s="3">
        <f>ROUND(MIN(IF(C452="Técnico III",35,IF(C452="Técnico II",28,IF(C452="Técnico I",23,IF(C452="JR",20,IF(C452="Estágio",10,0))))),IF(C452="Técnico III",SUMIFS($D:$D,$A:$A,$A452,$B:$B,"&lt;&gt;Patrícia Karla de Sousa Araújo",$B:$B,"&lt;&gt;Lorena Dias de Araujo",$B:$B,"&lt;&gt;Lucas Luiz Romero")*(35/1083),IF(C452="Técnico II",SUMIFS($D:$D,$A:$A,$A452,$B:$B,"&lt;&gt;Patrícia Karla de Sousa Araújo",$B:$B,"&lt;&gt;Lorena Dias de Araujo",$B:$B,"&lt;&gt;Lucas Luiz Romero")*(28/1083),IF(C452="Técnico I",SUMIFS($D:$D,$A:$A,$A452,$B:$B,"&lt;&gt;Patrícia Karla de Sousa Araújo",$B:$B,"&lt;&gt;Lorena Dias de Araujo",$B:$B,"&lt;&gt;Lucas Luiz Romero")*(23/1083),IF(C452="JR",SUMIFS($D:$D,$A:$A,$A452,$B:$B,"&lt;&gt;Patrícia Karla de Sousa Araújo",$B:$B,"&lt;&gt;Lorena Dias de Araujo",$B:$B,"&lt;&gt;Lucas Luiz Romero")*(20/1083),IF(C452="Estágio",SUMIFS($D:$D,$A:$A,$A452,$B:$B,"&lt;&gt;Patrícia Karla de Sousa Araújo",$B:$B,"&lt;&gt;Lorena Dias de Araujo",$B:$B,"&lt;&gt;Lucas Luiz Romero")*(10/1083),0)))))),0)</f>
        <v>33</v>
      </c>
      <c r="K452" s="3">
        <f>I452-J452</f>
        <v>13</v>
      </c>
      <c r="L452" s="3" t="str">
        <f>IF(K452&lt;-5,"CRÍTICO",IF(K452&lt;0,"ATENÇÃO",IF(K452&lt;=5,"OPORTUNO","MUITO BOM")))</f>
        <v>MUITO BOM</v>
      </c>
      <c r="M452" s="3">
        <v>35</v>
      </c>
      <c r="N452" s="3">
        <v>98.39</v>
      </c>
      <c r="O452" s="3">
        <v>8.7999999999999989</v>
      </c>
    </row>
    <row r="453" spans="1:15" hidden="1" x14ac:dyDescent="0.25">
      <c r="A453" s="5">
        <v>46149</v>
      </c>
      <c r="B453" s="6" t="s">
        <v>44</v>
      </c>
      <c r="C453" s="1" t="s">
        <v>32</v>
      </c>
      <c r="D453" s="3">
        <v>26</v>
      </c>
      <c r="E453" s="3">
        <v>23</v>
      </c>
      <c r="F453" s="3">
        <v>15.28</v>
      </c>
      <c r="G453" s="3">
        <v>6</v>
      </c>
      <c r="H453" s="3">
        <v>0</v>
      </c>
      <c r="I453" s="3">
        <f>E453+G453+H453</f>
        <v>29</v>
      </c>
      <c r="J453" s="3">
        <f>ROUND(MIN(IF(C453="Técnico III",35,IF(C453="Técnico II",28,IF(C453="Técnico I",23,IF(C453="JR",20,IF(C453="Estágio",10,0))))),IF(C453="Técnico III",SUMIFS($D:$D,$A:$A,$A453,$B:$B,"&lt;&gt;Patrícia Karla de Sousa Araújo",$B:$B,"&lt;&gt;Lorena Dias de Araujo",$B:$B,"&lt;&gt;Lucas Luiz Romero")*(35/1083),IF(C453="Técnico II",SUMIFS($D:$D,$A:$A,$A453,$B:$B,"&lt;&gt;Patrícia Karla de Sousa Araújo",$B:$B,"&lt;&gt;Lorena Dias de Araujo",$B:$B,"&lt;&gt;Lucas Luiz Romero")*(28/1083),IF(C453="Técnico I",SUMIFS($D:$D,$A:$A,$A453,$B:$B,"&lt;&gt;Patrícia Karla de Sousa Araújo",$B:$B,"&lt;&gt;Lorena Dias de Araujo",$B:$B,"&lt;&gt;Lucas Luiz Romero")*(23/1083),IF(C453="JR",SUMIFS($D:$D,$A:$A,$A453,$B:$B,"&lt;&gt;Patrícia Karla de Sousa Araújo",$B:$B,"&lt;&gt;Lorena Dias de Araujo",$B:$B,"&lt;&gt;Lucas Luiz Romero")*(20/1083),IF(C453="Estágio",SUMIFS($D:$D,$A:$A,$A453,$B:$B,"&lt;&gt;Patrícia Karla de Sousa Araújo",$B:$B,"&lt;&gt;Lorena Dias de Araujo",$B:$B,"&lt;&gt;Lucas Luiz Romero")*(10/1083),0)))))),0)</f>
        <v>33</v>
      </c>
      <c r="K453" s="3">
        <f>I453-J453</f>
        <v>-4</v>
      </c>
      <c r="L453" s="3" t="str">
        <f>IF(K453&lt;-5,"CRÍTICO",IF(K453&lt;0,"ATENÇÃO",IF(K453&lt;=5,"OPORTUNO","MUITO BOM")))</f>
        <v>ATENÇÃO</v>
      </c>
      <c r="M453" s="3">
        <v>26</v>
      </c>
      <c r="N453" s="3">
        <v>96.38</v>
      </c>
      <c r="O453" s="3">
        <v>23.198198198198199</v>
      </c>
    </row>
    <row r="454" spans="1:15" hidden="1" x14ac:dyDescent="0.25">
      <c r="A454" s="5">
        <v>46149</v>
      </c>
      <c r="B454" s="6" t="s">
        <v>45</v>
      </c>
      <c r="C454" s="1" t="s">
        <v>32</v>
      </c>
      <c r="D454" s="3">
        <v>35</v>
      </c>
      <c r="E454" s="3">
        <v>30</v>
      </c>
      <c r="F454" s="3">
        <v>13.33</v>
      </c>
      <c r="G454" s="3">
        <v>8</v>
      </c>
      <c r="H454" s="3">
        <v>0</v>
      </c>
      <c r="I454" s="3">
        <f>E454+G454+H454</f>
        <v>38</v>
      </c>
      <c r="J454" s="3">
        <f>ROUND(MIN(IF(C454="Técnico III",35,IF(C454="Técnico II",28,IF(C454="Técnico I",23,IF(C454="JR",20,IF(C454="Estágio",10,0))))),IF(C454="Técnico III",SUMIFS($D:$D,$A:$A,$A454,$B:$B,"&lt;&gt;Patrícia Karla de Sousa Araújo",$B:$B,"&lt;&gt;Lorena Dias de Araujo",$B:$B,"&lt;&gt;Lucas Luiz Romero")*(35/1083),IF(C454="Técnico II",SUMIFS($D:$D,$A:$A,$A454,$B:$B,"&lt;&gt;Patrícia Karla de Sousa Araújo",$B:$B,"&lt;&gt;Lorena Dias de Araujo",$B:$B,"&lt;&gt;Lucas Luiz Romero")*(28/1083),IF(C454="Técnico I",SUMIFS($D:$D,$A:$A,$A454,$B:$B,"&lt;&gt;Patrícia Karla de Sousa Araújo",$B:$B,"&lt;&gt;Lorena Dias de Araujo",$B:$B,"&lt;&gt;Lucas Luiz Romero")*(23/1083),IF(C454="JR",SUMIFS($D:$D,$A:$A,$A454,$B:$B,"&lt;&gt;Patrícia Karla de Sousa Araújo",$B:$B,"&lt;&gt;Lorena Dias de Araujo",$B:$B,"&lt;&gt;Lucas Luiz Romero")*(20/1083),IF(C454="Estágio",SUMIFS($D:$D,$A:$A,$A454,$B:$B,"&lt;&gt;Patrícia Karla de Sousa Araújo",$B:$B,"&lt;&gt;Lorena Dias de Araujo",$B:$B,"&lt;&gt;Lucas Luiz Romero")*(10/1083),0)))))),0)</f>
        <v>33</v>
      </c>
      <c r="K454" s="3">
        <f>I454-J454</f>
        <v>5</v>
      </c>
      <c r="L454" s="3" t="str">
        <f>IF(K454&lt;-5,"CRÍTICO",IF(K454&lt;0,"ATENÇÃO",IF(K454&lt;=5,"OPORTUNO","MUITO BOM")))</f>
        <v>OPORTUNO</v>
      </c>
      <c r="M454" s="3">
        <v>37</v>
      </c>
      <c r="N454" s="3">
        <v>99.39</v>
      </c>
      <c r="O454" s="3">
        <v>25.203252032520329</v>
      </c>
    </row>
    <row r="455" spans="1:15" hidden="1" x14ac:dyDescent="0.25">
      <c r="A455" s="5">
        <v>46149</v>
      </c>
      <c r="B455" s="6" t="s">
        <v>46</v>
      </c>
      <c r="C455" s="1" t="s">
        <v>32</v>
      </c>
      <c r="D455" s="3">
        <v>34</v>
      </c>
      <c r="E455" s="3">
        <v>31</v>
      </c>
      <c r="F455" s="3">
        <v>15.09</v>
      </c>
      <c r="G455" s="3">
        <v>1</v>
      </c>
      <c r="H455" s="3">
        <v>0</v>
      </c>
      <c r="I455" s="3">
        <f>E455+G455+H455</f>
        <v>32</v>
      </c>
      <c r="J455" s="3">
        <f>ROUND(MIN(IF(C455="Técnico III",35,IF(C455="Técnico II",28,IF(C455="Técnico I",23,IF(C455="JR",20,IF(C455="Estágio",10,0))))),IF(C455="Técnico III",SUMIFS($D:$D,$A:$A,$A455,$B:$B,"&lt;&gt;Patrícia Karla de Sousa Araújo",$B:$B,"&lt;&gt;Lorena Dias de Araujo",$B:$B,"&lt;&gt;Lucas Luiz Romero")*(35/1083),IF(C455="Técnico II",SUMIFS($D:$D,$A:$A,$A455,$B:$B,"&lt;&gt;Patrícia Karla de Sousa Araújo",$B:$B,"&lt;&gt;Lorena Dias de Araujo",$B:$B,"&lt;&gt;Lucas Luiz Romero")*(28/1083),IF(C455="Técnico I",SUMIFS($D:$D,$A:$A,$A455,$B:$B,"&lt;&gt;Patrícia Karla de Sousa Araújo",$B:$B,"&lt;&gt;Lorena Dias de Araujo",$B:$B,"&lt;&gt;Lucas Luiz Romero")*(23/1083),IF(C455="JR",SUMIFS($D:$D,$A:$A,$A455,$B:$B,"&lt;&gt;Patrícia Karla de Sousa Araújo",$B:$B,"&lt;&gt;Lorena Dias de Araujo",$B:$B,"&lt;&gt;Lucas Luiz Romero")*(20/1083),IF(C455="Estágio",SUMIFS($D:$D,$A:$A,$A455,$B:$B,"&lt;&gt;Patrícia Karla de Sousa Araújo",$B:$B,"&lt;&gt;Lorena Dias de Araujo",$B:$B,"&lt;&gt;Lucas Luiz Romero")*(10/1083),0)))))),0)</f>
        <v>33</v>
      </c>
      <c r="K455" s="3">
        <f>I455-J455</f>
        <v>-1</v>
      </c>
      <c r="L455" s="3" t="str">
        <f>IF(K455&lt;-5,"CRÍTICO",IF(K455&lt;0,"ATENÇÃO",IF(K455&lt;=5,"OPORTUNO","MUITO BOM")))</f>
        <v>ATENÇÃO</v>
      </c>
      <c r="M455" s="3">
        <v>28</v>
      </c>
      <c r="N455" s="3">
        <v>97</v>
      </c>
      <c r="O455" s="3">
        <v>20.325203252032519</v>
      </c>
    </row>
    <row r="456" spans="1:15" hidden="1" x14ac:dyDescent="0.25">
      <c r="A456" s="11">
        <v>46042</v>
      </c>
      <c r="B456" t="s">
        <v>22</v>
      </c>
      <c r="C456" t="s">
        <v>23</v>
      </c>
      <c r="D456">
        <v>12</v>
      </c>
      <c r="E456">
        <v>9</v>
      </c>
      <c r="F456">
        <v>10.01</v>
      </c>
      <c r="G456">
        <v>0</v>
      </c>
      <c r="H456">
        <v>0</v>
      </c>
      <c r="I456" s="3">
        <f>E456+G456+H456</f>
        <v>9</v>
      </c>
      <c r="J456" s="3">
        <f>ROUND(MIN(IF(C456="Técnico III",35,IF(C456="Técnico II",28,IF(C456="Técnico I",23,IF(C456="JR",20,IF(C456="Estágio",10,0))))),IF(C456="Técnico III",SUMIFS($D:$D,$A:$A,$A456,$B:$B,"&lt;&gt;Patrícia Karla de Sousa Araújo",$B:$B,"&lt;&gt;Lorena Dias de Araujo",$B:$B,"&lt;&gt;Lucas Luiz Romero")*(35/1083),IF(C456="Técnico II",SUMIFS($D:$D,$A:$A,$A456,$B:$B,"&lt;&gt;Patrícia Karla de Sousa Araújo",$B:$B,"&lt;&gt;Lorena Dias de Araujo",$B:$B,"&lt;&gt;Lucas Luiz Romero")*(28/1083),IF(C456="Técnico I",SUMIFS($D:$D,$A:$A,$A456,$B:$B,"&lt;&gt;Patrícia Karla de Sousa Araújo",$B:$B,"&lt;&gt;Lorena Dias de Araujo",$B:$B,"&lt;&gt;Lucas Luiz Romero")*(23/1083),IF(C456="JR",SUMIFS($D:$D,$A:$A,$A456,$B:$B,"&lt;&gt;Patrícia Karla de Sousa Araújo",$B:$B,"&lt;&gt;Lorena Dias de Araujo",$B:$B,"&lt;&gt;Lucas Luiz Romero")*(20/1083),IF(C456="Estágio",SUMIFS($D:$D,$A:$A,$A456,$B:$B,"&lt;&gt;Patrícia Karla de Sousa Araújo",$B:$B,"&lt;&gt;Lorena Dias de Araujo",$B:$B,"&lt;&gt;Lucas Luiz Romero")*(10/1083),0)))))),0)</f>
        <v>13</v>
      </c>
      <c r="K456" s="3">
        <f>I456-J456</f>
        <v>-4</v>
      </c>
      <c r="L456" s="3" t="str">
        <f>IF(K456&lt;-5,"CRÍTICO",IF(K456&lt;0,"ATENÇÃO",IF(K456&lt;=5,"BOM","EXCELENTE")))</f>
        <v>ATENÇÃO</v>
      </c>
      <c r="M456">
        <v>6</v>
      </c>
      <c r="N456">
        <v>98.91</v>
      </c>
      <c r="O456">
        <v>31.367292225201069</v>
      </c>
    </row>
    <row r="457" spans="1:15" hidden="1" x14ac:dyDescent="0.25">
      <c r="A457" s="5">
        <v>46149</v>
      </c>
      <c r="B457" s="6" t="s">
        <v>47</v>
      </c>
      <c r="C457" s="1" t="s">
        <v>48</v>
      </c>
      <c r="D457" s="3">
        <v>39</v>
      </c>
      <c r="E457" s="3">
        <v>34</v>
      </c>
      <c r="F457" s="3">
        <v>8.33</v>
      </c>
      <c r="G457" s="3">
        <v>0</v>
      </c>
      <c r="H457" s="3">
        <v>0</v>
      </c>
      <c r="I457" s="3">
        <f>E457+G457+H457</f>
        <v>34</v>
      </c>
      <c r="J457" s="3">
        <f>ROUND(MIN(IF(C457="Técnico III",35,IF(C457="Técnico II",28,IF(C457="Técnico I",23,IF(C457="JR",20,IF(C457="Estágio",10,0))))),IF(C457="Técnico III",SUMIFS($D:$D,$A:$A,$A457,$B:$B,"&lt;&gt;Patrícia Karla de Sousa Araújo",$B:$B,"&lt;&gt;Lorena Dias de Araujo",$B:$B,"&lt;&gt;Lucas Luiz Romero")*(35/1083),IF(C457="Técnico II",SUMIFS($D:$D,$A:$A,$A457,$B:$B,"&lt;&gt;Patrícia Karla de Sousa Araújo",$B:$B,"&lt;&gt;Lorena Dias de Araujo",$B:$B,"&lt;&gt;Lucas Luiz Romero")*(28/1083),IF(C457="Técnico I",SUMIFS($D:$D,$A:$A,$A457,$B:$B,"&lt;&gt;Patrícia Karla de Sousa Araújo",$B:$B,"&lt;&gt;Lorena Dias de Araujo",$B:$B,"&lt;&gt;Lucas Luiz Romero")*(23/1083),IF(C457="JR",SUMIFS($D:$D,$A:$A,$A457,$B:$B,"&lt;&gt;Patrícia Karla de Sousa Araújo",$B:$B,"&lt;&gt;Lorena Dias de Araujo",$B:$B,"&lt;&gt;Lucas Luiz Romero")*(20/1083),IF(C457="Estágio",SUMIFS($D:$D,$A:$A,$A457,$B:$B,"&lt;&gt;Patrícia Karla de Sousa Araújo",$B:$B,"&lt;&gt;Lorena Dias de Araujo",$B:$B,"&lt;&gt;Lucas Luiz Romero")*(10/1083),0)))))),0)</f>
        <v>26</v>
      </c>
      <c r="K457" s="3">
        <f>I457-J457</f>
        <v>8</v>
      </c>
      <c r="L457" s="3" t="str">
        <f>IF(K457&lt;-5,"CRÍTICO",IF(K457&lt;0,"ATENÇÃO",IF(K457&lt;=5,"OPORTUNO","MUITO BOM")))</f>
        <v>MUITO BOM</v>
      </c>
      <c r="M457" s="3">
        <v>19</v>
      </c>
      <c r="N457" s="3">
        <v>99.18</v>
      </c>
      <c r="O457" s="3">
        <v>24.501424501424498</v>
      </c>
    </row>
    <row r="458" spans="1:15" hidden="1" x14ac:dyDescent="0.25">
      <c r="A458" s="5">
        <v>46149</v>
      </c>
      <c r="B458" s="6" t="s">
        <v>49</v>
      </c>
      <c r="C458" s="1" t="s">
        <v>48</v>
      </c>
      <c r="D458" s="3">
        <v>33</v>
      </c>
      <c r="E458" s="3">
        <v>29</v>
      </c>
      <c r="F458" s="3">
        <v>13.37</v>
      </c>
      <c r="G458" s="3">
        <v>5</v>
      </c>
      <c r="H458" s="3">
        <v>0</v>
      </c>
      <c r="I458" s="3">
        <f>E458+G458+H458</f>
        <v>34</v>
      </c>
      <c r="J458" s="3">
        <f>ROUND(MIN(IF(C458="Técnico III",35,IF(C458="Técnico II",28,IF(C458="Técnico I",23,IF(C458="JR",20,IF(C458="Estágio",10,0))))),IF(C458="Técnico III",SUMIFS($D:$D,$A:$A,$A458,$B:$B,"&lt;&gt;Patrícia Karla de Sousa Araújo",$B:$B,"&lt;&gt;Lorena Dias de Araujo",$B:$B,"&lt;&gt;Lucas Luiz Romero")*(35/1083),IF(C458="Técnico II",SUMIFS($D:$D,$A:$A,$A458,$B:$B,"&lt;&gt;Patrícia Karla de Sousa Araújo",$B:$B,"&lt;&gt;Lorena Dias de Araujo",$B:$B,"&lt;&gt;Lucas Luiz Romero")*(28/1083),IF(C458="Técnico I",SUMIFS($D:$D,$A:$A,$A458,$B:$B,"&lt;&gt;Patrícia Karla de Sousa Araújo",$B:$B,"&lt;&gt;Lorena Dias de Araujo",$B:$B,"&lt;&gt;Lucas Luiz Romero")*(23/1083),IF(C458="JR",SUMIFS($D:$D,$A:$A,$A458,$B:$B,"&lt;&gt;Patrícia Karla de Sousa Araújo",$B:$B,"&lt;&gt;Lorena Dias de Araujo",$B:$B,"&lt;&gt;Lucas Luiz Romero")*(20/1083),IF(C458="Estágio",SUMIFS($D:$D,$A:$A,$A458,$B:$B,"&lt;&gt;Patrícia Karla de Sousa Araújo",$B:$B,"&lt;&gt;Lorena Dias de Araujo",$B:$B,"&lt;&gt;Lucas Luiz Romero")*(10/1083),0)))))),0)</f>
        <v>26</v>
      </c>
      <c r="K458" s="3">
        <f>I458-J458</f>
        <v>8</v>
      </c>
      <c r="L458" s="3" t="str">
        <f>IF(K458&lt;-5,"CRÍTICO",IF(K458&lt;0,"ATENÇÃO",IF(K458&lt;=5,"OPORTUNO","MUITO BOM")))</f>
        <v>MUITO BOM</v>
      </c>
      <c r="M458" s="3">
        <v>31</v>
      </c>
      <c r="N458" s="3">
        <v>99.35</v>
      </c>
      <c r="O458" s="3">
        <v>19.852941176470591</v>
      </c>
    </row>
    <row r="459" spans="1:15" hidden="1" x14ac:dyDescent="0.25">
      <c r="A459" s="5">
        <v>46149</v>
      </c>
      <c r="B459" s="6" t="s">
        <v>50</v>
      </c>
      <c r="C459" s="14" t="s">
        <v>48</v>
      </c>
      <c r="D459" s="3">
        <v>24</v>
      </c>
      <c r="E459" s="3">
        <v>24</v>
      </c>
      <c r="F459" s="3">
        <v>25.23</v>
      </c>
      <c r="G459" s="3">
        <v>5</v>
      </c>
      <c r="H459" s="3">
        <v>0</v>
      </c>
      <c r="I459" s="3">
        <f>E459+G459+H459</f>
        <v>29</v>
      </c>
      <c r="J459" s="3">
        <f>ROUND(MIN(IF(C459="Técnico III",35,IF(C459="Técnico II",28,IF(C459="Técnico I",23,IF(C459="JR",20,IF(C459="Estágio",10,0))))),IF(C459="Técnico III",SUMIFS($D:$D,$A:$A,$A459,$B:$B,"&lt;&gt;Patrícia Karla de Sousa Araújo",$B:$B,"&lt;&gt;Lorena Dias de Araujo",$B:$B,"&lt;&gt;Lucas Luiz Romero")*(35/1083),IF(C459="Técnico II",SUMIFS($D:$D,$A:$A,$A459,$B:$B,"&lt;&gt;Patrícia Karla de Sousa Araújo",$B:$B,"&lt;&gt;Lorena Dias de Araujo",$B:$B,"&lt;&gt;Lucas Luiz Romero")*(28/1083),IF(C459="Técnico I",SUMIFS($D:$D,$A:$A,$A459,$B:$B,"&lt;&gt;Patrícia Karla de Sousa Araújo",$B:$B,"&lt;&gt;Lorena Dias de Araujo",$B:$B,"&lt;&gt;Lucas Luiz Romero")*(23/1083),IF(C459="JR",SUMIFS($D:$D,$A:$A,$A459,$B:$B,"&lt;&gt;Patrícia Karla de Sousa Araújo",$B:$B,"&lt;&gt;Lorena Dias de Araujo",$B:$B,"&lt;&gt;Lucas Luiz Romero")*(20/1083),IF(C459="Estágio",SUMIFS($D:$D,$A:$A,$A459,$B:$B,"&lt;&gt;Patrícia Karla de Sousa Araújo",$B:$B,"&lt;&gt;Lorena Dias de Araujo",$B:$B,"&lt;&gt;Lucas Luiz Romero")*(10/1083),0)))))),0)</f>
        <v>26</v>
      </c>
      <c r="K459" s="3">
        <f>I459-J459</f>
        <v>3</v>
      </c>
      <c r="L459" s="3" t="str">
        <f>IF(K459&lt;-5,"CRÍTICO",IF(K459&lt;0,"ATENÇÃO",IF(K459&lt;=5,"OPORTUNO","MUITO BOM")))</f>
        <v>OPORTUNO</v>
      </c>
      <c r="M459" s="3">
        <v>27</v>
      </c>
      <c r="N459" s="3">
        <v>99.07</v>
      </c>
      <c r="O459" s="3">
        <v>20.098039215686271</v>
      </c>
    </row>
    <row r="460" spans="1:15" hidden="1" x14ac:dyDescent="0.25">
      <c r="A460" s="5">
        <v>46149</v>
      </c>
      <c r="B460" s="6" t="s">
        <v>51</v>
      </c>
      <c r="C460" s="1" t="s">
        <v>48</v>
      </c>
      <c r="D460" s="3">
        <v>17</v>
      </c>
      <c r="E460" s="3">
        <v>16</v>
      </c>
      <c r="F460" s="3">
        <v>30.25</v>
      </c>
      <c r="G460" s="3">
        <v>0</v>
      </c>
      <c r="H460" s="3">
        <v>0</v>
      </c>
      <c r="I460" s="3">
        <f>E460+G460+H460</f>
        <v>16</v>
      </c>
      <c r="J460" s="3">
        <f>ROUND(MIN(IF(C460="Técnico III",35,IF(C460="Técnico II",28,IF(C460="Técnico I",23,IF(C460="JR",20,IF(C460="Estágio",10,0))))),IF(C460="Técnico III",SUMIFS($D:$D,$A:$A,$A460,$B:$B,"&lt;&gt;Patrícia Karla de Sousa Araújo",$B:$B,"&lt;&gt;Lorena Dias de Araujo",$B:$B,"&lt;&gt;Lucas Luiz Romero")*(35/1083),IF(C460="Técnico II",SUMIFS($D:$D,$A:$A,$A460,$B:$B,"&lt;&gt;Patrícia Karla de Sousa Araújo",$B:$B,"&lt;&gt;Lorena Dias de Araujo",$B:$B,"&lt;&gt;Lucas Luiz Romero")*(28/1083),IF(C460="Técnico I",SUMIFS($D:$D,$A:$A,$A460,$B:$B,"&lt;&gt;Patrícia Karla de Sousa Araújo",$B:$B,"&lt;&gt;Lorena Dias de Araujo",$B:$B,"&lt;&gt;Lucas Luiz Romero")*(23/1083),IF(C460="JR",SUMIFS($D:$D,$A:$A,$A460,$B:$B,"&lt;&gt;Patrícia Karla de Sousa Araújo",$B:$B,"&lt;&gt;Lorena Dias de Araujo",$B:$B,"&lt;&gt;Lucas Luiz Romero")*(20/1083),IF(C460="Estágio",SUMIFS($D:$D,$A:$A,$A460,$B:$B,"&lt;&gt;Patrícia Karla de Sousa Araújo",$B:$B,"&lt;&gt;Lorena Dias de Araujo",$B:$B,"&lt;&gt;Lucas Luiz Romero")*(10/1083),0)))))),0)</f>
        <v>26</v>
      </c>
      <c r="K460" s="3">
        <f>I460-J460</f>
        <v>-10</v>
      </c>
      <c r="L460" s="3" t="str">
        <f>IF(K460&lt;-5,"CRÍTICO",IF(K460&lt;0,"ATENÇÃO",IF(K460&lt;=5,"OPORTUNO","MUITO BOM")))</f>
        <v>CRÍTICO</v>
      </c>
      <c r="M460" s="3">
        <v>19</v>
      </c>
      <c r="N460" s="3">
        <v>98.81</v>
      </c>
      <c r="O460" s="3">
        <v>22.767857142857139</v>
      </c>
    </row>
    <row r="461" spans="1:15" hidden="1" x14ac:dyDescent="0.25">
      <c r="A461" s="5">
        <v>46149</v>
      </c>
      <c r="B461" s="6" t="s">
        <v>52</v>
      </c>
      <c r="C461" s="1" t="s">
        <v>48</v>
      </c>
      <c r="D461" s="3">
        <v>30</v>
      </c>
      <c r="E461" s="3">
        <v>29</v>
      </c>
      <c r="F461" s="3">
        <v>17.100000000000001</v>
      </c>
      <c r="G461" s="3">
        <v>2</v>
      </c>
      <c r="H461" s="3">
        <v>0</v>
      </c>
      <c r="I461" s="3">
        <f>E461+G461+H461</f>
        <v>31</v>
      </c>
      <c r="J461" s="3">
        <f>ROUND(MIN(IF(C461="Técnico III",35,IF(C461="Técnico II",28,IF(C461="Técnico I",23,IF(C461="JR",20,IF(C461="Estágio",10,0))))),IF(C461="Técnico III",SUMIFS($D:$D,$A:$A,$A461,$B:$B,"&lt;&gt;Patrícia Karla de Sousa Araújo",$B:$B,"&lt;&gt;Lorena Dias de Araujo",$B:$B,"&lt;&gt;Lucas Luiz Romero")*(35/1083),IF(C461="Técnico II",SUMIFS($D:$D,$A:$A,$A461,$B:$B,"&lt;&gt;Patrícia Karla de Sousa Araújo",$B:$B,"&lt;&gt;Lorena Dias de Araujo",$B:$B,"&lt;&gt;Lucas Luiz Romero")*(28/1083),IF(C461="Técnico I",SUMIFS($D:$D,$A:$A,$A461,$B:$B,"&lt;&gt;Patrícia Karla de Sousa Araújo",$B:$B,"&lt;&gt;Lorena Dias de Araujo",$B:$B,"&lt;&gt;Lucas Luiz Romero")*(23/1083),IF(C461="JR",SUMIFS($D:$D,$A:$A,$A461,$B:$B,"&lt;&gt;Patrícia Karla de Sousa Araújo",$B:$B,"&lt;&gt;Lorena Dias de Araujo",$B:$B,"&lt;&gt;Lucas Luiz Romero")*(20/1083),IF(C461="Estágio",SUMIFS($D:$D,$A:$A,$A461,$B:$B,"&lt;&gt;Patrícia Karla de Sousa Araújo",$B:$B,"&lt;&gt;Lorena Dias de Araujo",$B:$B,"&lt;&gt;Lucas Luiz Romero")*(10/1083),0)))))),0)</f>
        <v>26</v>
      </c>
      <c r="K461" s="3">
        <f>I461-J461</f>
        <v>5</v>
      </c>
      <c r="L461" s="3" t="str">
        <f>IF(K461&lt;-5,"CRÍTICO",IF(K461&lt;0,"ATENÇÃO",IF(K461&lt;=5,"OPORTUNO","MUITO BOM")))</f>
        <v>OPORTUNO</v>
      </c>
      <c r="M461" s="3">
        <v>28</v>
      </c>
      <c r="N461" s="3">
        <v>99.01</v>
      </c>
      <c r="O461" s="3">
        <v>17.766497461928939</v>
      </c>
    </row>
    <row r="462" spans="1:15" hidden="1" x14ac:dyDescent="0.25">
      <c r="A462" s="5">
        <v>46149</v>
      </c>
      <c r="B462" s="6" t="s">
        <v>53</v>
      </c>
      <c r="C462" s="1" t="s">
        <v>48</v>
      </c>
      <c r="D462" s="3">
        <v>0</v>
      </c>
      <c r="E462" s="3">
        <v>0</v>
      </c>
      <c r="F462" s="3">
        <v>0</v>
      </c>
      <c r="G462" s="3">
        <v>0</v>
      </c>
      <c r="H462" s="3">
        <v>0</v>
      </c>
      <c r="I462" s="3">
        <f>E462+G462+H462</f>
        <v>0</v>
      </c>
      <c r="J462" s="3">
        <f>ROUND(MIN(IF(C462="Técnico III",35,IF(C462="Técnico II",28,IF(C462="Técnico I",23,IF(C462="JR",20,IF(C462="Estágio",10,0))))),IF(C462="Técnico III",SUMIFS($D:$D,$A:$A,$A462,$B:$B,"&lt;&gt;Patrícia Karla de Sousa Araújo",$B:$B,"&lt;&gt;Lorena Dias de Araujo",$B:$B,"&lt;&gt;Lucas Luiz Romero")*(35/1083),IF(C462="Técnico II",SUMIFS($D:$D,$A:$A,$A462,$B:$B,"&lt;&gt;Patrícia Karla de Sousa Araújo",$B:$B,"&lt;&gt;Lorena Dias de Araujo",$B:$B,"&lt;&gt;Lucas Luiz Romero")*(28/1083),IF(C462="Técnico I",SUMIFS($D:$D,$A:$A,$A462,$B:$B,"&lt;&gt;Patrícia Karla de Sousa Araújo",$B:$B,"&lt;&gt;Lorena Dias de Araujo",$B:$B,"&lt;&gt;Lucas Luiz Romero")*(23/1083),IF(C462="JR",SUMIFS($D:$D,$A:$A,$A462,$B:$B,"&lt;&gt;Patrícia Karla de Sousa Araújo",$B:$B,"&lt;&gt;Lorena Dias de Araujo",$B:$B,"&lt;&gt;Lucas Luiz Romero")*(20/1083),IF(C462="Estágio",SUMIFS($D:$D,$A:$A,$A462,$B:$B,"&lt;&gt;Patrícia Karla de Sousa Araújo",$B:$B,"&lt;&gt;Lorena Dias de Araujo",$B:$B,"&lt;&gt;Lucas Luiz Romero")*(10/1083),0)))))),0)</f>
        <v>26</v>
      </c>
      <c r="K462" s="3">
        <f>I462-J462</f>
        <v>-26</v>
      </c>
      <c r="L462" s="3" t="str">
        <f>IF(K462&lt;-5,"CRÍTICO",IF(K462&lt;0,"ATENÇÃO",IF(K462&lt;=5,"OPORTUNO","MUITO BOM")))</f>
        <v>CRÍTICO</v>
      </c>
      <c r="M462" s="3">
        <v>0</v>
      </c>
      <c r="N462" s="3">
        <v>100</v>
      </c>
      <c r="O462" s="3">
        <v>17.241379310344829</v>
      </c>
    </row>
    <row r="463" spans="1:15" hidden="1" x14ac:dyDescent="0.25">
      <c r="A463" s="5">
        <v>46149</v>
      </c>
      <c r="B463" s="6" t="s">
        <v>54</v>
      </c>
      <c r="C463" s="14" t="s">
        <v>48</v>
      </c>
      <c r="D463" s="3">
        <v>25</v>
      </c>
      <c r="E463" s="3">
        <v>24</v>
      </c>
      <c r="F463" s="3">
        <v>24.02</v>
      </c>
      <c r="G463" s="3">
        <v>0</v>
      </c>
      <c r="H463" s="3">
        <v>0</v>
      </c>
      <c r="I463" s="3">
        <f>E463+G463+H463</f>
        <v>24</v>
      </c>
      <c r="J463" s="3">
        <f>ROUND(MIN(IF(C463="Técnico III",35,IF(C463="Técnico II",28,IF(C463="Técnico I",23,IF(C463="JR",20,IF(C463="Estágio",10,0))))),IF(C463="Técnico III",SUMIFS($D:$D,$A:$A,$A463,$B:$B,"&lt;&gt;Patrícia Karla de Sousa Araújo",$B:$B,"&lt;&gt;Lorena Dias de Araujo",$B:$B,"&lt;&gt;Lucas Luiz Romero")*(35/1083),IF(C463="Técnico II",SUMIFS($D:$D,$A:$A,$A463,$B:$B,"&lt;&gt;Patrícia Karla de Sousa Araújo",$B:$B,"&lt;&gt;Lorena Dias de Araujo",$B:$B,"&lt;&gt;Lucas Luiz Romero")*(28/1083),IF(C463="Técnico I",SUMIFS($D:$D,$A:$A,$A463,$B:$B,"&lt;&gt;Patrícia Karla de Sousa Araújo",$B:$B,"&lt;&gt;Lorena Dias de Araujo",$B:$B,"&lt;&gt;Lucas Luiz Romero")*(23/1083),IF(C463="JR",SUMIFS($D:$D,$A:$A,$A463,$B:$B,"&lt;&gt;Patrícia Karla de Sousa Araújo",$B:$B,"&lt;&gt;Lorena Dias de Araujo",$B:$B,"&lt;&gt;Lucas Luiz Romero")*(20/1083),IF(C463="Estágio",SUMIFS($D:$D,$A:$A,$A463,$B:$B,"&lt;&gt;Patrícia Karla de Sousa Araújo",$B:$B,"&lt;&gt;Lorena Dias de Araujo",$B:$B,"&lt;&gt;Lucas Luiz Romero")*(10/1083),0)))))),0)</f>
        <v>26</v>
      </c>
      <c r="K463" s="3">
        <f>I463-J463</f>
        <v>-2</v>
      </c>
      <c r="L463" s="3" t="str">
        <f>IF(K463&lt;-5,"CRÍTICO",IF(K463&lt;0,"ATENÇÃO",IF(K463&lt;=5,"OPORTUNO","MUITO BOM")))</f>
        <v>ATENÇÃO</v>
      </c>
      <c r="M463" s="3">
        <v>22</v>
      </c>
      <c r="N463" s="3">
        <v>98.98</v>
      </c>
      <c r="O463" s="3">
        <v>19.35483870967742</v>
      </c>
    </row>
    <row r="464" spans="1:15" hidden="1" x14ac:dyDescent="0.25">
      <c r="A464" s="5">
        <v>46149</v>
      </c>
      <c r="B464" s="6" t="s">
        <v>55</v>
      </c>
      <c r="C464" s="1" t="s">
        <v>48</v>
      </c>
      <c r="D464" s="3">
        <v>34</v>
      </c>
      <c r="E464" s="3">
        <v>28</v>
      </c>
      <c r="F464" s="3">
        <v>13.53</v>
      </c>
      <c r="G464" s="3">
        <v>0</v>
      </c>
      <c r="H464" s="3">
        <v>0</v>
      </c>
      <c r="I464" s="3">
        <f>E464+G464+H464</f>
        <v>28</v>
      </c>
      <c r="J464" s="3">
        <f>ROUND(MIN(IF(C464="Técnico III",35,IF(C464="Técnico II",28,IF(C464="Técnico I",23,IF(C464="JR",20,IF(C464="Estágio",10,0))))),IF(C464="Técnico III",SUMIFS($D:$D,$A:$A,$A464,$B:$B,"&lt;&gt;Patrícia Karla de Sousa Araújo",$B:$B,"&lt;&gt;Lorena Dias de Araujo",$B:$B,"&lt;&gt;Lucas Luiz Romero")*(35/1083),IF(C464="Técnico II",SUMIFS($D:$D,$A:$A,$A464,$B:$B,"&lt;&gt;Patrícia Karla de Sousa Araújo",$B:$B,"&lt;&gt;Lorena Dias de Araujo",$B:$B,"&lt;&gt;Lucas Luiz Romero")*(28/1083),IF(C464="Técnico I",SUMIFS($D:$D,$A:$A,$A464,$B:$B,"&lt;&gt;Patrícia Karla de Sousa Araújo",$B:$B,"&lt;&gt;Lorena Dias de Araujo",$B:$B,"&lt;&gt;Lucas Luiz Romero")*(23/1083),IF(C464="JR",SUMIFS($D:$D,$A:$A,$A464,$B:$B,"&lt;&gt;Patrícia Karla de Sousa Araújo",$B:$B,"&lt;&gt;Lorena Dias de Araujo",$B:$B,"&lt;&gt;Lucas Luiz Romero")*(20/1083),IF(C464="Estágio",SUMIFS($D:$D,$A:$A,$A464,$B:$B,"&lt;&gt;Patrícia Karla de Sousa Araújo",$B:$B,"&lt;&gt;Lorena Dias de Araujo",$B:$B,"&lt;&gt;Lucas Luiz Romero")*(10/1083),0)))))),0)</f>
        <v>26</v>
      </c>
      <c r="K464" s="3">
        <f>I464-J464</f>
        <v>2</v>
      </c>
      <c r="L464" s="3" t="str">
        <f>IF(K464&lt;-5,"CRÍTICO",IF(K464&lt;0,"ATENÇÃO",IF(K464&lt;=5,"OPORTUNO","MUITO BOM")))</f>
        <v>OPORTUNO</v>
      </c>
      <c r="M464" s="3">
        <v>26</v>
      </c>
      <c r="N464" s="3">
        <v>98.94</v>
      </c>
      <c r="O464" s="3">
        <v>21.270718232044199</v>
      </c>
    </row>
    <row r="465" spans="1:15" hidden="1" x14ac:dyDescent="0.25">
      <c r="A465" s="5">
        <v>46149</v>
      </c>
      <c r="B465" s="6" t="s">
        <v>56</v>
      </c>
      <c r="C465" s="1" t="s">
        <v>48</v>
      </c>
      <c r="D465" s="3">
        <v>40</v>
      </c>
      <c r="E465" s="3">
        <v>37</v>
      </c>
      <c r="F465" s="3">
        <v>13.54</v>
      </c>
      <c r="G465" s="3">
        <v>6</v>
      </c>
      <c r="H465" s="3">
        <v>0</v>
      </c>
      <c r="I465" s="3">
        <f>E465+G465+H465</f>
        <v>43</v>
      </c>
      <c r="J465" s="3">
        <f>ROUND(MIN(IF(C465="Técnico III",35,IF(C465="Técnico II",28,IF(C465="Técnico I",23,IF(C465="JR",20,IF(C465="Estágio",10,0))))),IF(C465="Técnico III",SUMIFS($D:$D,$A:$A,$A465,$B:$B,"&lt;&gt;Patrícia Karla de Sousa Araújo",$B:$B,"&lt;&gt;Lorena Dias de Araujo",$B:$B,"&lt;&gt;Lucas Luiz Romero")*(35/1083),IF(C465="Técnico II",SUMIFS($D:$D,$A:$A,$A465,$B:$B,"&lt;&gt;Patrícia Karla de Sousa Araújo",$B:$B,"&lt;&gt;Lorena Dias de Araujo",$B:$B,"&lt;&gt;Lucas Luiz Romero")*(28/1083),IF(C465="Técnico I",SUMIFS($D:$D,$A:$A,$A465,$B:$B,"&lt;&gt;Patrícia Karla de Sousa Araújo",$B:$B,"&lt;&gt;Lorena Dias de Araujo",$B:$B,"&lt;&gt;Lucas Luiz Romero")*(23/1083),IF(C465="JR",SUMIFS($D:$D,$A:$A,$A465,$B:$B,"&lt;&gt;Patrícia Karla de Sousa Araújo",$B:$B,"&lt;&gt;Lorena Dias de Araujo",$B:$B,"&lt;&gt;Lucas Luiz Romero")*(20/1083),IF(C465="Estágio",SUMIFS($D:$D,$A:$A,$A465,$B:$B,"&lt;&gt;Patrícia Karla de Sousa Araújo",$B:$B,"&lt;&gt;Lorena Dias de Araujo",$B:$B,"&lt;&gt;Lucas Luiz Romero")*(10/1083),0)))))),0)</f>
        <v>26</v>
      </c>
      <c r="K465" s="3">
        <f>I465-J465</f>
        <v>17</v>
      </c>
      <c r="L465" s="3" t="str">
        <f>IF(K465&lt;-5,"CRÍTICO",IF(K465&lt;0,"ATENÇÃO",IF(K465&lt;=5,"OPORTUNO","MUITO BOM")))</f>
        <v>MUITO BOM</v>
      </c>
      <c r="M465" s="3">
        <v>51</v>
      </c>
      <c r="N465" s="3">
        <v>99</v>
      </c>
      <c r="O465" s="3">
        <v>22.010869565217391</v>
      </c>
    </row>
    <row r="466" spans="1:15" hidden="1" x14ac:dyDescent="0.25">
      <c r="A466" s="5">
        <v>46149</v>
      </c>
      <c r="B466" s="6" t="s">
        <v>57</v>
      </c>
      <c r="C466" s="1" t="s">
        <v>48</v>
      </c>
      <c r="D466" s="3">
        <v>26</v>
      </c>
      <c r="E466" s="3">
        <v>24</v>
      </c>
      <c r="F466" s="3">
        <v>18.21</v>
      </c>
      <c r="G466" s="3">
        <v>0</v>
      </c>
      <c r="H466" s="3">
        <v>0</v>
      </c>
      <c r="I466" s="3">
        <f>E466+G466+H466</f>
        <v>24</v>
      </c>
      <c r="J466" s="3">
        <f>ROUND(MIN(IF(C466="Técnico III",35,IF(C466="Técnico II",28,IF(C466="Técnico I",23,IF(C466="JR",20,IF(C466="Estágio",10,0))))),IF(C466="Técnico III",SUMIFS($D:$D,$A:$A,$A466,$B:$B,"&lt;&gt;Patrícia Karla de Sousa Araújo",$B:$B,"&lt;&gt;Lorena Dias de Araujo",$B:$B,"&lt;&gt;Lucas Luiz Romero")*(35/1083),IF(C466="Técnico II",SUMIFS($D:$D,$A:$A,$A466,$B:$B,"&lt;&gt;Patrícia Karla de Sousa Araújo",$B:$B,"&lt;&gt;Lorena Dias de Araujo",$B:$B,"&lt;&gt;Lucas Luiz Romero")*(28/1083),IF(C466="Técnico I",SUMIFS($D:$D,$A:$A,$A466,$B:$B,"&lt;&gt;Patrícia Karla de Sousa Araújo",$B:$B,"&lt;&gt;Lorena Dias de Araujo",$B:$B,"&lt;&gt;Lucas Luiz Romero")*(23/1083),IF(C466="JR",SUMIFS($D:$D,$A:$A,$A466,$B:$B,"&lt;&gt;Patrícia Karla de Sousa Araújo",$B:$B,"&lt;&gt;Lorena Dias de Araujo",$B:$B,"&lt;&gt;Lucas Luiz Romero")*(20/1083),IF(C466="Estágio",SUMIFS($D:$D,$A:$A,$A466,$B:$B,"&lt;&gt;Patrícia Karla de Sousa Araújo",$B:$B,"&lt;&gt;Lorena Dias de Araujo",$B:$B,"&lt;&gt;Lucas Luiz Romero")*(10/1083),0)))))),0)</f>
        <v>26</v>
      </c>
      <c r="K466" s="3">
        <f>I466-J466</f>
        <v>-2</v>
      </c>
      <c r="L466" s="3" t="str">
        <f>IF(K466&lt;-5,"CRÍTICO",IF(K466&lt;0,"ATENÇÃO",IF(K466&lt;=5,"OPORTUNO","MUITO BOM")))</f>
        <v>ATENÇÃO</v>
      </c>
      <c r="M466" s="3">
        <v>26</v>
      </c>
      <c r="N466" s="3">
        <v>100</v>
      </c>
      <c r="O466" s="3">
        <v>25</v>
      </c>
    </row>
    <row r="467" spans="1:15" hidden="1" x14ac:dyDescent="0.25">
      <c r="A467" s="5">
        <v>46149</v>
      </c>
      <c r="B467" s="6" t="s">
        <v>58</v>
      </c>
      <c r="C467" s="1" t="s">
        <v>48</v>
      </c>
      <c r="D467" s="3">
        <v>10</v>
      </c>
      <c r="E467" s="3">
        <v>10</v>
      </c>
      <c r="F467" s="3">
        <v>28.38</v>
      </c>
      <c r="G467" s="3">
        <v>0</v>
      </c>
      <c r="H467" s="3">
        <v>0</v>
      </c>
      <c r="I467" s="3">
        <f>E467+G467+H467</f>
        <v>10</v>
      </c>
      <c r="J467" s="3">
        <f>ROUND(MIN(IF(C467="Técnico III",35,IF(C467="Técnico II",28,IF(C467="Técnico I",23,IF(C467="JR",20,IF(C467="Estágio",10,0))))),IF(C467="Técnico III",SUMIFS($D:$D,$A:$A,$A467,$B:$B,"&lt;&gt;Patrícia Karla de Sousa Araújo",$B:$B,"&lt;&gt;Lorena Dias de Araujo",$B:$B,"&lt;&gt;Lucas Luiz Romero")*(35/1083),IF(C467="Técnico II",SUMIFS($D:$D,$A:$A,$A467,$B:$B,"&lt;&gt;Patrícia Karla de Sousa Araújo",$B:$B,"&lt;&gt;Lorena Dias de Araujo",$B:$B,"&lt;&gt;Lucas Luiz Romero")*(28/1083),IF(C467="Técnico I",SUMIFS($D:$D,$A:$A,$A467,$B:$B,"&lt;&gt;Patrícia Karla de Sousa Araújo",$B:$B,"&lt;&gt;Lorena Dias de Araujo",$B:$B,"&lt;&gt;Lucas Luiz Romero")*(23/1083),IF(C467="JR",SUMIFS($D:$D,$A:$A,$A467,$B:$B,"&lt;&gt;Patrícia Karla de Sousa Araújo",$B:$B,"&lt;&gt;Lorena Dias de Araujo",$B:$B,"&lt;&gt;Lucas Luiz Romero")*(20/1083),IF(C467="Estágio",SUMIFS($D:$D,$A:$A,$A467,$B:$B,"&lt;&gt;Patrícia Karla de Sousa Araújo",$B:$B,"&lt;&gt;Lorena Dias de Araujo",$B:$B,"&lt;&gt;Lucas Luiz Romero")*(10/1083),0)))))),0)</f>
        <v>26</v>
      </c>
      <c r="K467" s="3">
        <f>I467-J467</f>
        <v>-16</v>
      </c>
      <c r="L467" s="3" t="str">
        <f>IF(K467&lt;-5,"CRÍTICO",IF(K467&lt;0,"ATENÇÃO",IF(K467&lt;=5,"OPORTUNO","MUITO BOM")))</f>
        <v>CRÍTICO</v>
      </c>
      <c r="M467" s="3">
        <v>9</v>
      </c>
      <c r="N467" s="3">
        <v>100</v>
      </c>
      <c r="O467" s="3">
        <v>20.183486238532112</v>
      </c>
    </row>
    <row r="468" spans="1:15" hidden="1" x14ac:dyDescent="0.25">
      <c r="A468" s="5">
        <v>46149</v>
      </c>
      <c r="B468" s="6" t="s">
        <v>59</v>
      </c>
      <c r="C468" s="1" t="s">
        <v>23</v>
      </c>
      <c r="D468" s="3">
        <v>31</v>
      </c>
      <c r="E468" s="3">
        <v>28</v>
      </c>
      <c r="F468" s="3">
        <v>15.11</v>
      </c>
      <c r="G468" s="3">
        <v>10</v>
      </c>
      <c r="H468" s="3">
        <v>0</v>
      </c>
      <c r="I468" s="3">
        <f>E468+G468+H468</f>
        <v>38</v>
      </c>
      <c r="J468" s="3">
        <f>ROUND(MIN(IF(C468="Técnico III",35,IF(C468="Técnico II",28,IF(C468="Técnico I",23,IF(C468="JR",20,IF(C468="Estágio",10,0))))),IF(C468="Técnico III",SUMIFS($D:$D,$A:$A,$A468,$B:$B,"&lt;&gt;Patrícia Karla de Sousa Araújo",$B:$B,"&lt;&gt;Lorena Dias de Araujo",$B:$B,"&lt;&gt;Lucas Luiz Romero")*(35/1083),IF(C468="Técnico II",SUMIFS($D:$D,$A:$A,$A468,$B:$B,"&lt;&gt;Patrícia Karla de Sousa Araújo",$B:$B,"&lt;&gt;Lorena Dias de Araujo",$B:$B,"&lt;&gt;Lucas Luiz Romero")*(28/1083),IF(C468="Técnico I",SUMIFS($D:$D,$A:$A,$A468,$B:$B,"&lt;&gt;Patrícia Karla de Sousa Araújo",$B:$B,"&lt;&gt;Lorena Dias de Araujo",$B:$B,"&lt;&gt;Lucas Luiz Romero")*(23/1083),IF(C468="JR",SUMIFS($D:$D,$A:$A,$A468,$B:$B,"&lt;&gt;Patrícia Karla de Sousa Araújo",$B:$B,"&lt;&gt;Lorena Dias de Araujo",$B:$B,"&lt;&gt;Lucas Luiz Romero")*(20/1083),IF(C468="Estágio",SUMIFS($D:$D,$A:$A,$A468,$B:$B,"&lt;&gt;Patrícia Karla de Sousa Araújo",$B:$B,"&lt;&gt;Lorena Dias de Araujo",$B:$B,"&lt;&gt;Lucas Luiz Romero")*(10/1083),0)))))),0)</f>
        <v>22</v>
      </c>
      <c r="K468" s="3">
        <f>I468-J468</f>
        <v>16</v>
      </c>
      <c r="L468" s="3" t="str">
        <f>IF(K468&lt;-5,"CRÍTICO",IF(K468&lt;0,"ATENÇÃO",IF(K468&lt;=5,"OPORTUNO","MUITO BOM")))</f>
        <v>MUITO BOM</v>
      </c>
      <c r="M468" s="3">
        <v>36</v>
      </c>
      <c r="N468" s="3">
        <v>96.25</v>
      </c>
      <c r="O468" s="3">
        <v>25.586353944562902</v>
      </c>
    </row>
    <row r="469" spans="1:15" hidden="1" x14ac:dyDescent="0.25">
      <c r="A469" s="5">
        <v>46149</v>
      </c>
      <c r="B469" s="6" t="s">
        <v>60</v>
      </c>
      <c r="C469" s="1" t="s">
        <v>23</v>
      </c>
      <c r="D469" s="3">
        <v>25</v>
      </c>
      <c r="E469" s="3">
        <v>23</v>
      </c>
      <c r="F469" s="3">
        <v>16.559999999999999</v>
      </c>
      <c r="G469" s="3">
        <v>1</v>
      </c>
      <c r="H469" s="3">
        <v>0</v>
      </c>
      <c r="I469" s="3">
        <f>E469+G469+H469</f>
        <v>24</v>
      </c>
      <c r="J469" s="3">
        <f>ROUND(MIN(IF(C469="Técnico III",35,IF(C469="Técnico II",28,IF(C469="Técnico I",23,IF(C469="JR",20,IF(C469="Estágio",10,0))))),IF(C469="Técnico III",SUMIFS($D:$D,$A:$A,$A469,$B:$B,"&lt;&gt;Patrícia Karla de Sousa Araújo",$B:$B,"&lt;&gt;Lorena Dias de Araujo",$B:$B,"&lt;&gt;Lucas Luiz Romero")*(35/1083),IF(C469="Técnico II",SUMIFS($D:$D,$A:$A,$A469,$B:$B,"&lt;&gt;Patrícia Karla de Sousa Araújo",$B:$B,"&lt;&gt;Lorena Dias de Araujo",$B:$B,"&lt;&gt;Lucas Luiz Romero")*(28/1083),IF(C469="Técnico I",SUMIFS($D:$D,$A:$A,$A469,$B:$B,"&lt;&gt;Patrícia Karla de Sousa Araújo",$B:$B,"&lt;&gt;Lorena Dias de Araujo",$B:$B,"&lt;&gt;Lucas Luiz Romero")*(23/1083),IF(C469="JR",SUMIFS($D:$D,$A:$A,$A469,$B:$B,"&lt;&gt;Patrícia Karla de Sousa Araújo",$B:$B,"&lt;&gt;Lorena Dias de Araujo",$B:$B,"&lt;&gt;Lucas Luiz Romero")*(20/1083),IF(C469="Estágio",SUMIFS($D:$D,$A:$A,$A469,$B:$B,"&lt;&gt;Patrícia Karla de Sousa Araújo",$B:$B,"&lt;&gt;Lorena Dias de Araujo",$B:$B,"&lt;&gt;Lucas Luiz Romero")*(10/1083),0)))))),0)</f>
        <v>22</v>
      </c>
      <c r="K469" s="3">
        <f>I469-J469</f>
        <v>2</v>
      </c>
      <c r="L469" s="3" t="str">
        <f>IF(K469&lt;-5,"CRÍTICO",IF(K469&lt;0,"ATENÇÃO",IF(K469&lt;=5,"OPORTUNO","MUITO BOM")))</f>
        <v>OPORTUNO</v>
      </c>
      <c r="M469" s="3">
        <v>22</v>
      </c>
      <c r="N469" s="3">
        <v>97.48</v>
      </c>
      <c r="O469" s="3">
        <v>22.99465240641711</v>
      </c>
    </row>
    <row r="470" spans="1:15" hidden="1" x14ac:dyDescent="0.25">
      <c r="A470" s="5">
        <v>46149</v>
      </c>
      <c r="B470" s="6" t="s">
        <v>61</v>
      </c>
      <c r="C470" s="1" t="s">
        <v>23</v>
      </c>
      <c r="D470" s="3">
        <v>17</v>
      </c>
      <c r="E470" s="3">
        <v>17</v>
      </c>
      <c r="F470" s="3">
        <v>16.5</v>
      </c>
      <c r="G470" s="3">
        <v>7</v>
      </c>
      <c r="H470" s="3">
        <v>0</v>
      </c>
      <c r="I470" s="3">
        <f>E470+G470+H470</f>
        <v>24</v>
      </c>
      <c r="J470" s="3">
        <f>ROUND(MIN(IF(C470="Técnico III",35,IF(C470="Técnico II",28,IF(C470="Técnico I",23,IF(C470="JR",20,IF(C470="Estágio",10,0))))),IF(C470="Técnico III",SUMIFS($D:$D,$A:$A,$A470,$B:$B,"&lt;&gt;Patrícia Karla de Sousa Araújo",$B:$B,"&lt;&gt;Lorena Dias de Araujo",$B:$B,"&lt;&gt;Lucas Luiz Romero")*(35/1083),IF(C470="Técnico II",SUMIFS($D:$D,$A:$A,$A470,$B:$B,"&lt;&gt;Patrícia Karla de Sousa Araújo",$B:$B,"&lt;&gt;Lorena Dias de Araujo",$B:$B,"&lt;&gt;Lucas Luiz Romero")*(28/1083),IF(C470="Técnico I",SUMIFS($D:$D,$A:$A,$A470,$B:$B,"&lt;&gt;Patrícia Karla de Sousa Araújo",$B:$B,"&lt;&gt;Lorena Dias de Araujo",$B:$B,"&lt;&gt;Lucas Luiz Romero")*(23/1083),IF(C470="JR",SUMIFS($D:$D,$A:$A,$A470,$B:$B,"&lt;&gt;Patrícia Karla de Sousa Araújo",$B:$B,"&lt;&gt;Lorena Dias de Araujo",$B:$B,"&lt;&gt;Lucas Luiz Romero")*(20/1083),IF(C470="Estágio",SUMIFS($D:$D,$A:$A,$A470,$B:$B,"&lt;&gt;Patrícia Karla de Sousa Araújo",$B:$B,"&lt;&gt;Lorena Dias de Araujo",$B:$B,"&lt;&gt;Lucas Luiz Romero")*(10/1083),0)))))),0)</f>
        <v>22</v>
      </c>
      <c r="K470" s="3">
        <f>I470-J470</f>
        <v>2</v>
      </c>
      <c r="L470" s="3" t="str">
        <f>IF(K470&lt;-5,"CRÍTICO",IF(K470&lt;0,"ATENÇÃO",IF(K470&lt;=5,"OPORTUNO","MUITO BOM")))</f>
        <v>OPORTUNO</v>
      </c>
      <c r="M470" s="3">
        <v>19</v>
      </c>
      <c r="N470" s="3">
        <v>100</v>
      </c>
      <c r="O470" s="3">
        <v>20.788530465949819</v>
      </c>
    </row>
    <row r="471" spans="1:15" hidden="1" x14ac:dyDescent="0.25">
      <c r="A471" s="5">
        <v>46149</v>
      </c>
      <c r="B471" s="6" t="s">
        <v>62</v>
      </c>
      <c r="C471" s="1" t="s">
        <v>23</v>
      </c>
      <c r="D471" s="3">
        <v>25</v>
      </c>
      <c r="E471" s="3">
        <v>25</v>
      </c>
      <c r="F471" s="3">
        <v>25.28</v>
      </c>
      <c r="G471" s="3">
        <v>1</v>
      </c>
      <c r="H471" s="3">
        <v>0</v>
      </c>
      <c r="I471" s="3">
        <f>E471+G471+H471</f>
        <v>26</v>
      </c>
      <c r="J471" s="3">
        <f>ROUND(MIN(IF(C471="Técnico III",35,IF(C471="Técnico II",28,IF(C471="Técnico I",23,IF(C471="JR",20,IF(C471="Estágio",10,0))))),IF(C471="Técnico III",SUMIFS($D:$D,$A:$A,$A471,$B:$B,"&lt;&gt;Patrícia Karla de Sousa Araújo",$B:$B,"&lt;&gt;Lorena Dias de Araujo",$B:$B,"&lt;&gt;Lucas Luiz Romero")*(35/1083),IF(C471="Técnico II",SUMIFS($D:$D,$A:$A,$A471,$B:$B,"&lt;&gt;Patrícia Karla de Sousa Araújo",$B:$B,"&lt;&gt;Lorena Dias de Araujo",$B:$B,"&lt;&gt;Lucas Luiz Romero")*(28/1083),IF(C471="Técnico I",SUMIFS($D:$D,$A:$A,$A471,$B:$B,"&lt;&gt;Patrícia Karla de Sousa Araújo",$B:$B,"&lt;&gt;Lorena Dias de Araujo",$B:$B,"&lt;&gt;Lucas Luiz Romero")*(23/1083),IF(C471="JR",SUMIFS($D:$D,$A:$A,$A471,$B:$B,"&lt;&gt;Patrícia Karla de Sousa Araújo",$B:$B,"&lt;&gt;Lorena Dias de Araujo",$B:$B,"&lt;&gt;Lucas Luiz Romero")*(20/1083),IF(C471="Estágio",SUMIFS($D:$D,$A:$A,$A471,$B:$B,"&lt;&gt;Patrícia Karla de Sousa Araújo",$B:$B,"&lt;&gt;Lorena Dias de Araujo",$B:$B,"&lt;&gt;Lucas Luiz Romero")*(10/1083),0)))))),0)</f>
        <v>22</v>
      </c>
      <c r="K471" s="3">
        <f>I471-J471</f>
        <v>4</v>
      </c>
      <c r="L471" s="3" t="str">
        <f>IF(K471&lt;-5,"CRÍTICO",IF(K471&lt;0,"ATENÇÃO",IF(K471&lt;=5,"OPORTUNO","MUITO BOM")))</f>
        <v>OPORTUNO</v>
      </c>
      <c r="M471" s="3">
        <v>25</v>
      </c>
      <c r="N471" s="3">
        <v>94.55</v>
      </c>
      <c r="O471" s="3">
        <v>23.450134770889491</v>
      </c>
    </row>
    <row r="472" spans="1:15" hidden="1" x14ac:dyDescent="0.25">
      <c r="A472" s="5">
        <v>46149</v>
      </c>
      <c r="B472" s="6" t="s">
        <v>63</v>
      </c>
      <c r="C472" s="1" t="s">
        <v>23</v>
      </c>
      <c r="D472" s="3">
        <v>31</v>
      </c>
      <c r="E472" s="3">
        <v>26</v>
      </c>
      <c r="F472" s="3">
        <v>11.59</v>
      </c>
      <c r="G472" s="3">
        <v>14</v>
      </c>
      <c r="H472" s="3">
        <v>0</v>
      </c>
      <c r="I472" s="3">
        <f>E472+G472+H472</f>
        <v>40</v>
      </c>
      <c r="J472" s="3">
        <f>ROUND(MIN(IF(C472="Técnico III",35,IF(C472="Técnico II",28,IF(C472="Técnico I",23,IF(C472="JR",20,IF(C472="Estágio",10,0))))),IF(C472="Técnico III",SUMIFS($D:$D,$A:$A,$A472,$B:$B,"&lt;&gt;Patrícia Karla de Sousa Araújo",$B:$B,"&lt;&gt;Lorena Dias de Araujo",$B:$B,"&lt;&gt;Lucas Luiz Romero")*(35/1083),IF(C472="Técnico II",SUMIFS($D:$D,$A:$A,$A472,$B:$B,"&lt;&gt;Patrícia Karla de Sousa Araújo",$B:$B,"&lt;&gt;Lorena Dias de Araujo",$B:$B,"&lt;&gt;Lucas Luiz Romero")*(28/1083),IF(C472="Técnico I",SUMIFS($D:$D,$A:$A,$A472,$B:$B,"&lt;&gt;Patrícia Karla de Sousa Araújo",$B:$B,"&lt;&gt;Lorena Dias de Araujo",$B:$B,"&lt;&gt;Lucas Luiz Romero")*(23/1083),IF(C472="JR",SUMIFS($D:$D,$A:$A,$A472,$B:$B,"&lt;&gt;Patrícia Karla de Sousa Araújo",$B:$B,"&lt;&gt;Lorena Dias de Araujo",$B:$B,"&lt;&gt;Lucas Luiz Romero")*(20/1083),IF(C472="Estágio",SUMIFS($D:$D,$A:$A,$A472,$B:$B,"&lt;&gt;Patrícia Karla de Sousa Araújo",$B:$B,"&lt;&gt;Lorena Dias de Araujo",$B:$B,"&lt;&gt;Lucas Luiz Romero")*(10/1083),0)))))),0)</f>
        <v>22</v>
      </c>
      <c r="K472" s="3">
        <f>I472-J472</f>
        <v>18</v>
      </c>
      <c r="L472" s="3" t="str">
        <f>IF(K472&lt;-5,"CRÍTICO",IF(K472&lt;0,"ATENÇÃO",IF(K472&lt;=5,"OPORTUNO","MUITO BOM")))</f>
        <v>MUITO BOM</v>
      </c>
      <c r="M472" s="3">
        <v>23</v>
      </c>
      <c r="N472" s="3">
        <v>98</v>
      </c>
      <c r="O472" s="3">
        <v>20.73490813648294</v>
      </c>
    </row>
    <row r="473" spans="1:15" hidden="1" x14ac:dyDescent="0.25">
      <c r="A473" s="5">
        <v>46149</v>
      </c>
      <c r="B473" s="6" t="s">
        <v>64</v>
      </c>
      <c r="C473" s="1" t="s">
        <v>23</v>
      </c>
      <c r="D473" s="3">
        <v>14</v>
      </c>
      <c r="E473" s="3">
        <v>14</v>
      </c>
      <c r="F473" s="3">
        <v>33.450000000000003</v>
      </c>
      <c r="G473" s="3">
        <v>6</v>
      </c>
      <c r="H473" s="3">
        <v>0</v>
      </c>
      <c r="I473" s="3">
        <f>E473+G473+H473</f>
        <v>20</v>
      </c>
      <c r="J473" s="3">
        <f>ROUND(MIN(IF(C473="Técnico III",35,IF(C473="Técnico II",28,IF(C473="Técnico I",23,IF(C473="JR",20,IF(C473="Estágio",10,0))))),IF(C473="Técnico III",SUMIFS($D:$D,$A:$A,$A473,$B:$B,"&lt;&gt;Patrícia Karla de Sousa Araújo",$B:$B,"&lt;&gt;Lorena Dias de Araujo",$B:$B,"&lt;&gt;Lucas Luiz Romero")*(35/1083),IF(C473="Técnico II",SUMIFS($D:$D,$A:$A,$A473,$B:$B,"&lt;&gt;Patrícia Karla de Sousa Araújo",$B:$B,"&lt;&gt;Lorena Dias de Araujo",$B:$B,"&lt;&gt;Lucas Luiz Romero")*(28/1083),IF(C473="Técnico I",SUMIFS($D:$D,$A:$A,$A473,$B:$B,"&lt;&gt;Patrícia Karla de Sousa Araújo",$B:$B,"&lt;&gt;Lorena Dias de Araujo",$B:$B,"&lt;&gt;Lucas Luiz Romero")*(23/1083),IF(C473="JR",SUMIFS($D:$D,$A:$A,$A473,$B:$B,"&lt;&gt;Patrícia Karla de Sousa Araújo",$B:$B,"&lt;&gt;Lorena Dias de Araujo",$B:$B,"&lt;&gt;Lucas Luiz Romero")*(20/1083),IF(C473="Estágio",SUMIFS($D:$D,$A:$A,$A473,$B:$B,"&lt;&gt;Patrícia Karla de Sousa Araújo",$B:$B,"&lt;&gt;Lorena Dias de Araujo",$B:$B,"&lt;&gt;Lucas Luiz Romero")*(10/1083),0)))))),0)</f>
        <v>22</v>
      </c>
      <c r="K473" s="3">
        <f>I473-J473</f>
        <v>-2</v>
      </c>
      <c r="L473" s="3" t="str">
        <f>IF(K473&lt;-5,"CRÍTICO",IF(K473&lt;0,"ATENÇÃO",IF(K473&lt;=5,"OPORTUNO","MUITO BOM")))</f>
        <v>ATENÇÃO</v>
      </c>
      <c r="M473" s="3">
        <v>20</v>
      </c>
      <c r="N473" s="3">
        <v>100</v>
      </c>
      <c r="O473" s="3">
        <v>18</v>
      </c>
    </row>
    <row r="474" spans="1:15" hidden="1" x14ac:dyDescent="0.25">
      <c r="A474" s="5">
        <v>46149</v>
      </c>
      <c r="B474" s="6" t="s">
        <v>22</v>
      </c>
      <c r="C474" s="1" t="s">
        <v>23</v>
      </c>
      <c r="D474" s="3">
        <v>26</v>
      </c>
      <c r="E474" s="3">
        <v>26</v>
      </c>
      <c r="F474" s="3">
        <v>18.46</v>
      </c>
      <c r="G474" s="3">
        <v>2</v>
      </c>
      <c r="H474" s="3">
        <v>0</v>
      </c>
      <c r="I474" s="3">
        <f>E474+G474+H474</f>
        <v>28</v>
      </c>
      <c r="J474" s="3">
        <f>ROUND(MIN(IF(C474="Técnico III",35,IF(C474="Técnico II",28,IF(C474="Técnico I",23,IF(C474="JR",20,IF(C474="Estágio",10,0))))),IF(C474="Técnico III",SUMIFS($D:$D,$A:$A,$A474,$B:$B,"&lt;&gt;Patrícia Karla de Sousa Araújo",$B:$B,"&lt;&gt;Lorena Dias de Araujo",$B:$B,"&lt;&gt;Lucas Luiz Romero")*(35/1083),IF(C474="Técnico II",SUMIFS($D:$D,$A:$A,$A474,$B:$B,"&lt;&gt;Patrícia Karla de Sousa Araújo",$B:$B,"&lt;&gt;Lorena Dias de Araujo",$B:$B,"&lt;&gt;Lucas Luiz Romero")*(28/1083),IF(C474="Técnico I",SUMIFS($D:$D,$A:$A,$A474,$B:$B,"&lt;&gt;Patrícia Karla de Sousa Araújo",$B:$B,"&lt;&gt;Lorena Dias de Araujo",$B:$B,"&lt;&gt;Lucas Luiz Romero")*(23/1083),IF(C474="JR",SUMIFS($D:$D,$A:$A,$A474,$B:$B,"&lt;&gt;Patrícia Karla de Sousa Araújo",$B:$B,"&lt;&gt;Lorena Dias de Araujo",$B:$B,"&lt;&gt;Lucas Luiz Romero")*(20/1083),IF(C474="Estágio",SUMIFS($D:$D,$A:$A,$A474,$B:$B,"&lt;&gt;Patrícia Karla de Sousa Araújo",$B:$B,"&lt;&gt;Lorena Dias de Araujo",$B:$B,"&lt;&gt;Lucas Luiz Romero")*(10/1083),0)))))),0)</f>
        <v>22</v>
      </c>
      <c r="K474" s="3">
        <f>I474-J474</f>
        <v>6</v>
      </c>
      <c r="L474" s="3" t="str">
        <f>IF(K474&lt;-5,"CRÍTICO",IF(K474&lt;0,"ATENÇÃO",IF(K474&lt;=5,"OPORTUNO","MUITO BOM")))</f>
        <v>MUITO BOM</v>
      </c>
      <c r="M474" s="3">
        <v>24</v>
      </c>
      <c r="N474" s="3">
        <v>99.06</v>
      </c>
      <c r="O474" s="3">
        <v>19.417475728155338</v>
      </c>
    </row>
    <row r="475" spans="1:15" hidden="1" x14ac:dyDescent="0.25">
      <c r="A475" s="5">
        <v>46150</v>
      </c>
      <c r="B475" s="6" t="s">
        <v>31</v>
      </c>
      <c r="C475" s="1" t="s">
        <v>32</v>
      </c>
      <c r="D475" s="3">
        <v>0</v>
      </c>
      <c r="E475" s="3">
        <v>0</v>
      </c>
      <c r="F475" s="3">
        <v>0</v>
      </c>
      <c r="G475" s="3">
        <v>0</v>
      </c>
      <c r="H475" s="3">
        <v>0</v>
      </c>
      <c r="I475" s="3">
        <f>E475+G475+H475</f>
        <v>0</v>
      </c>
      <c r="J475" s="3">
        <f>ROUND(MIN(IF(C475="Técnico III",35,IF(C475="Técnico II",28,IF(C475="Técnico I",23,IF(C475="JR",20,IF(C475="Estágio",10,0))))),IF(C475="Técnico III",SUMIFS($D:$D,$A:$A,$A475,$B:$B,"&lt;&gt;Patrícia Karla de Sousa Araújo",$B:$B,"&lt;&gt;Lorena Dias de Araujo",$B:$B,"&lt;&gt;Lucas Luiz Romero")*(35/1083),IF(C475="Técnico II",SUMIFS($D:$D,$A:$A,$A475,$B:$B,"&lt;&gt;Patrícia Karla de Sousa Araújo",$B:$B,"&lt;&gt;Lorena Dias de Araujo",$B:$B,"&lt;&gt;Lucas Luiz Romero")*(28/1083),IF(C475="Técnico I",SUMIFS($D:$D,$A:$A,$A475,$B:$B,"&lt;&gt;Patrícia Karla de Sousa Araújo",$B:$B,"&lt;&gt;Lorena Dias de Araujo",$B:$B,"&lt;&gt;Lucas Luiz Romero")*(23/1083),IF(C475="JR",SUMIFS($D:$D,$A:$A,$A475,$B:$B,"&lt;&gt;Patrícia Karla de Sousa Araújo",$B:$B,"&lt;&gt;Lorena Dias de Araujo",$B:$B,"&lt;&gt;Lucas Luiz Romero")*(20/1083),IF(C475="Estágio",SUMIFS($D:$D,$A:$A,$A475,$B:$B,"&lt;&gt;Patrícia Karla de Sousa Araújo",$B:$B,"&lt;&gt;Lorena Dias de Araujo",$B:$B,"&lt;&gt;Lucas Luiz Romero")*(10/1083),0)))))),0)</f>
        <v>29</v>
      </c>
      <c r="K475" s="3">
        <f>I475-J475</f>
        <v>-29</v>
      </c>
      <c r="L475" s="3" t="str">
        <f>IF(K475&lt;-5,"CRÍTICO",IF(K475&lt;0,"ATENÇÃO",IF(K475&lt;=5,"OPORTUNO","MUITO BOM")))</f>
        <v>CRÍTICO</v>
      </c>
      <c r="M475" s="3">
        <v>0</v>
      </c>
      <c r="N475" s="3">
        <v>100</v>
      </c>
      <c r="O475" s="3">
        <v>0</v>
      </c>
    </row>
    <row r="476" spans="1:15" hidden="1" x14ac:dyDescent="0.25">
      <c r="A476" s="5">
        <v>46150</v>
      </c>
      <c r="B476" s="6" t="s">
        <v>33</v>
      </c>
      <c r="C476" s="14" t="s">
        <v>32</v>
      </c>
      <c r="D476" s="3">
        <v>22</v>
      </c>
      <c r="E476" s="3">
        <v>21</v>
      </c>
      <c r="F476" s="3">
        <v>16.5</v>
      </c>
      <c r="G476" s="3">
        <v>3</v>
      </c>
      <c r="H476" s="3">
        <v>0</v>
      </c>
      <c r="I476" s="3">
        <f>E476+G476+H476</f>
        <v>24</v>
      </c>
      <c r="J476" s="3">
        <f>ROUND(MIN(IF(C476="Técnico III",35,IF(C476="Técnico II",28,IF(C476="Técnico I",23,IF(C476="JR",20,IF(C476="Estágio",10,0))))),IF(C476="Técnico III",SUMIFS($D:$D,$A:$A,$A476,$B:$B,"&lt;&gt;Patrícia Karla de Sousa Araújo",$B:$B,"&lt;&gt;Lorena Dias de Araujo",$B:$B,"&lt;&gt;Lucas Luiz Romero")*(35/1083),IF(C476="Técnico II",SUMIFS($D:$D,$A:$A,$A476,$B:$B,"&lt;&gt;Patrícia Karla de Sousa Araújo",$B:$B,"&lt;&gt;Lorena Dias de Araujo",$B:$B,"&lt;&gt;Lucas Luiz Romero")*(28/1083),IF(C476="Técnico I",SUMIFS($D:$D,$A:$A,$A476,$B:$B,"&lt;&gt;Patrícia Karla de Sousa Araújo",$B:$B,"&lt;&gt;Lorena Dias de Araujo",$B:$B,"&lt;&gt;Lucas Luiz Romero")*(23/1083),IF(C476="JR",SUMIFS($D:$D,$A:$A,$A476,$B:$B,"&lt;&gt;Patrícia Karla de Sousa Araújo",$B:$B,"&lt;&gt;Lorena Dias de Araujo",$B:$B,"&lt;&gt;Lucas Luiz Romero")*(20/1083),IF(C476="Estágio",SUMIFS($D:$D,$A:$A,$A476,$B:$B,"&lt;&gt;Patrícia Karla de Sousa Araújo",$B:$B,"&lt;&gt;Lorena Dias de Araujo",$B:$B,"&lt;&gt;Lucas Luiz Romero")*(10/1083),0)))))),0)</f>
        <v>29</v>
      </c>
      <c r="K476" s="3">
        <f>I476-J476</f>
        <v>-5</v>
      </c>
      <c r="L476" s="3" t="str">
        <f>IF(K476&lt;-5,"CRÍTICO",IF(K476&lt;0,"ATENÇÃO",IF(K476&lt;=5,"OPORTUNO","MUITO BOM")))</f>
        <v>ATENÇÃO</v>
      </c>
      <c r="M476" s="3">
        <v>20</v>
      </c>
      <c r="N476" s="3">
        <v>96.94</v>
      </c>
      <c r="O476" s="3">
        <v>19.613259668508292</v>
      </c>
    </row>
    <row r="477" spans="1:15" hidden="1" x14ac:dyDescent="0.25">
      <c r="A477" s="5">
        <v>46150</v>
      </c>
      <c r="B477" s="6" t="s">
        <v>34</v>
      </c>
      <c r="C477" s="1" t="s">
        <v>32</v>
      </c>
      <c r="D477" s="3">
        <v>27</v>
      </c>
      <c r="E477" s="3">
        <v>26</v>
      </c>
      <c r="F477" s="3">
        <v>17.37</v>
      </c>
      <c r="G477" s="3">
        <v>0</v>
      </c>
      <c r="H477" s="3">
        <v>0</v>
      </c>
      <c r="I477" s="3">
        <f>E477+G477+H477</f>
        <v>26</v>
      </c>
      <c r="J477" s="3">
        <f>ROUND(MIN(IF(C477="Técnico III",35,IF(C477="Técnico II",28,IF(C477="Técnico I",23,IF(C477="JR",20,IF(C477="Estágio",10,0))))),IF(C477="Técnico III",SUMIFS($D:$D,$A:$A,$A477,$B:$B,"&lt;&gt;Patrícia Karla de Sousa Araújo",$B:$B,"&lt;&gt;Lorena Dias de Araujo",$B:$B,"&lt;&gt;Lucas Luiz Romero")*(35/1083),IF(C477="Técnico II",SUMIFS($D:$D,$A:$A,$A477,$B:$B,"&lt;&gt;Patrícia Karla de Sousa Araújo",$B:$B,"&lt;&gt;Lorena Dias de Araujo",$B:$B,"&lt;&gt;Lucas Luiz Romero")*(28/1083),IF(C477="Técnico I",SUMIFS($D:$D,$A:$A,$A477,$B:$B,"&lt;&gt;Patrícia Karla de Sousa Araújo",$B:$B,"&lt;&gt;Lorena Dias de Araujo",$B:$B,"&lt;&gt;Lucas Luiz Romero")*(23/1083),IF(C477="JR",SUMIFS($D:$D,$A:$A,$A477,$B:$B,"&lt;&gt;Patrícia Karla de Sousa Araújo",$B:$B,"&lt;&gt;Lorena Dias de Araujo",$B:$B,"&lt;&gt;Lucas Luiz Romero")*(20/1083),IF(C477="Estágio",SUMIFS($D:$D,$A:$A,$A477,$B:$B,"&lt;&gt;Patrícia Karla de Sousa Araújo",$B:$B,"&lt;&gt;Lorena Dias de Araujo",$B:$B,"&lt;&gt;Lucas Luiz Romero")*(10/1083),0)))))),0)</f>
        <v>29</v>
      </c>
      <c r="K477" s="3">
        <f>I477-J477</f>
        <v>-3</v>
      </c>
      <c r="L477" s="3" t="str">
        <f>IF(K477&lt;-5,"CRÍTICO",IF(K477&lt;0,"ATENÇÃO",IF(K477&lt;=5,"OPORTUNO","MUITO BOM")))</f>
        <v>ATENÇÃO</v>
      </c>
      <c r="M477" s="3">
        <v>25</v>
      </c>
      <c r="N477" s="3">
        <v>92.81</v>
      </c>
      <c r="O477" s="3">
        <v>25.477707006369432</v>
      </c>
    </row>
    <row r="478" spans="1:15" hidden="1" x14ac:dyDescent="0.25">
      <c r="A478" s="11">
        <v>46043</v>
      </c>
      <c r="B478" t="s">
        <v>22</v>
      </c>
      <c r="C478" t="s">
        <v>23</v>
      </c>
      <c r="D478">
        <v>17</v>
      </c>
      <c r="E478">
        <v>17</v>
      </c>
      <c r="F478">
        <v>26.55</v>
      </c>
      <c r="G478">
        <v>0</v>
      </c>
      <c r="H478">
        <v>0</v>
      </c>
      <c r="I478" s="3">
        <f>E478+G478+H478</f>
        <v>17</v>
      </c>
      <c r="J478" s="3">
        <f>ROUND(MIN(IF(C478="Técnico III",35,IF(C478="Técnico II",28,IF(C478="Técnico I",23,IF(C478="JR",20,IF(C478="Estágio",10,0))))),IF(C478="Técnico III",SUMIFS($D:$D,$A:$A,$A478,$B:$B,"&lt;&gt;Patrícia Karla de Sousa Araújo",$B:$B,"&lt;&gt;Lorena Dias de Araujo",$B:$B,"&lt;&gt;Lucas Luiz Romero")*(35/1083),IF(C478="Técnico II",SUMIFS($D:$D,$A:$A,$A478,$B:$B,"&lt;&gt;Patrícia Karla de Sousa Araújo",$B:$B,"&lt;&gt;Lorena Dias de Araujo",$B:$B,"&lt;&gt;Lucas Luiz Romero")*(28/1083),IF(C478="Técnico I",SUMIFS($D:$D,$A:$A,$A478,$B:$B,"&lt;&gt;Patrícia Karla de Sousa Araújo",$B:$B,"&lt;&gt;Lorena Dias de Araujo",$B:$B,"&lt;&gt;Lucas Luiz Romero")*(23/1083),IF(C478="JR",SUMIFS($D:$D,$A:$A,$A478,$B:$B,"&lt;&gt;Patrícia Karla de Sousa Araújo",$B:$B,"&lt;&gt;Lorena Dias de Araujo",$B:$B,"&lt;&gt;Lucas Luiz Romero")*(20/1083),IF(C478="Estágio",SUMIFS($D:$D,$A:$A,$A478,$B:$B,"&lt;&gt;Patrícia Karla de Sousa Araújo",$B:$B,"&lt;&gt;Lorena Dias de Araujo",$B:$B,"&lt;&gt;Lucas Luiz Romero")*(10/1083),0)))))),0)</f>
        <v>13</v>
      </c>
      <c r="K478" s="3">
        <f>I478-J478</f>
        <v>4</v>
      </c>
      <c r="L478" s="3" t="str">
        <f>IF(K478&lt;-5,"CRÍTICO",IF(K478&lt;0,"ATENÇÃO",IF(K478&lt;=5,"BOM","EXCELENTE")))</f>
        <v>BOM</v>
      </c>
      <c r="M478">
        <v>15</v>
      </c>
      <c r="N478">
        <v>98.91</v>
      </c>
      <c r="O478">
        <v>31.367292225201069</v>
      </c>
    </row>
    <row r="479" spans="1:15" hidden="1" x14ac:dyDescent="0.25">
      <c r="A479" s="5">
        <v>46150</v>
      </c>
      <c r="B479" s="6" t="s">
        <v>35</v>
      </c>
      <c r="C479" s="14" t="s">
        <v>32</v>
      </c>
      <c r="D479" s="3">
        <v>17</v>
      </c>
      <c r="E479" s="3">
        <v>17</v>
      </c>
      <c r="F479" s="3">
        <v>25.05</v>
      </c>
      <c r="G479" s="3">
        <v>0</v>
      </c>
      <c r="H479" s="3">
        <v>0</v>
      </c>
      <c r="I479" s="3">
        <f>E479+G479+H479</f>
        <v>17</v>
      </c>
      <c r="J479" s="3">
        <f>ROUND(MIN(IF(C479="Técnico III",35,IF(C479="Técnico II",28,IF(C479="Técnico I",23,IF(C479="JR",20,IF(C479="Estágio",10,0))))),IF(C479="Técnico III",SUMIFS($D:$D,$A:$A,$A479,$B:$B,"&lt;&gt;Patrícia Karla de Sousa Araújo",$B:$B,"&lt;&gt;Lorena Dias de Araujo",$B:$B,"&lt;&gt;Lucas Luiz Romero")*(35/1083),IF(C479="Técnico II",SUMIFS($D:$D,$A:$A,$A479,$B:$B,"&lt;&gt;Patrícia Karla de Sousa Araújo",$B:$B,"&lt;&gt;Lorena Dias de Araujo",$B:$B,"&lt;&gt;Lucas Luiz Romero")*(28/1083),IF(C479="Técnico I",SUMIFS($D:$D,$A:$A,$A479,$B:$B,"&lt;&gt;Patrícia Karla de Sousa Araújo",$B:$B,"&lt;&gt;Lorena Dias de Araujo",$B:$B,"&lt;&gt;Lucas Luiz Romero")*(23/1083),IF(C479="JR",SUMIFS($D:$D,$A:$A,$A479,$B:$B,"&lt;&gt;Patrícia Karla de Sousa Araújo",$B:$B,"&lt;&gt;Lorena Dias de Araujo",$B:$B,"&lt;&gt;Lucas Luiz Romero")*(20/1083),IF(C479="Estágio",SUMIFS($D:$D,$A:$A,$A479,$B:$B,"&lt;&gt;Patrícia Karla de Sousa Araújo",$B:$B,"&lt;&gt;Lorena Dias de Araujo",$B:$B,"&lt;&gt;Lucas Luiz Romero")*(10/1083),0)))))),0)</f>
        <v>29</v>
      </c>
      <c r="K479" s="3">
        <f>I479-J479</f>
        <v>-12</v>
      </c>
      <c r="L479" s="3" t="str">
        <f>IF(K479&lt;-5,"CRÍTICO",IF(K479&lt;0,"ATENÇÃO",IF(K479&lt;=5,"OPORTUNO","MUITO BOM")))</f>
        <v>CRÍTICO</v>
      </c>
      <c r="M479" s="3">
        <v>22</v>
      </c>
      <c r="N479" s="3">
        <v>99.19</v>
      </c>
      <c r="O479" s="3">
        <v>28.404669260700391</v>
      </c>
    </row>
    <row r="480" spans="1:15" hidden="1" x14ac:dyDescent="0.25">
      <c r="A480" s="5">
        <v>46150</v>
      </c>
      <c r="B480" s="6" t="s">
        <v>36</v>
      </c>
      <c r="C480" s="14" t="s">
        <v>32</v>
      </c>
      <c r="D480" s="3">
        <v>0</v>
      </c>
      <c r="E480" s="3">
        <v>0</v>
      </c>
      <c r="F480" s="3">
        <v>0</v>
      </c>
      <c r="G480" s="3">
        <v>0</v>
      </c>
      <c r="H480" s="3">
        <v>0</v>
      </c>
      <c r="I480" s="3">
        <f>E480+G480+H480</f>
        <v>0</v>
      </c>
      <c r="J480" s="3">
        <f>ROUND(MIN(IF(C480="Técnico III",35,IF(C480="Técnico II",28,IF(C480="Técnico I",23,IF(C480="JR",20,IF(C480="Estágio",10,0))))),IF(C480="Técnico III",SUMIFS($D:$D,$A:$A,$A480,$B:$B,"&lt;&gt;Patrícia Karla de Sousa Araújo",$B:$B,"&lt;&gt;Lorena Dias de Araujo",$B:$B,"&lt;&gt;Lucas Luiz Romero")*(35/1083),IF(C480="Técnico II",SUMIFS($D:$D,$A:$A,$A480,$B:$B,"&lt;&gt;Patrícia Karla de Sousa Araújo",$B:$B,"&lt;&gt;Lorena Dias de Araujo",$B:$B,"&lt;&gt;Lucas Luiz Romero")*(28/1083),IF(C480="Técnico I",SUMIFS($D:$D,$A:$A,$A480,$B:$B,"&lt;&gt;Patrícia Karla de Sousa Araújo",$B:$B,"&lt;&gt;Lorena Dias de Araujo",$B:$B,"&lt;&gt;Lucas Luiz Romero")*(23/1083),IF(C480="JR",SUMIFS($D:$D,$A:$A,$A480,$B:$B,"&lt;&gt;Patrícia Karla de Sousa Araújo",$B:$B,"&lt;&gt;Lorena Dias de Araujo",$B:$B,"&lt;&gt;Lucas Luiz Romero")*(20/1083),IF(C480="Estágio",SUMIFS($D:$D,$A:$A,$A480,$B:$B,"&lt;&gt;Patrícia Karla de Sousa Araújo",$B:$B,"&lt;&gt;Lorena Dias de Araujo",$B:$B,"&lt;&gt;Lucas Luiz Romero")*(10/1083),0)))))),0)</f>
        <v>29</v>
      </c>
      <c r="K480" s="3">
        <f>I480-J480</f>
        <v>-29</v>
      </c>
      <c r="L480" s="3" t="str">
        <f>IF(K480&lt;-5,"CRÍTICO",IF(K480&lt;0,"ATENÇÃO",IF(K480&lt;=5,"OPORTUNO","MUITO BOM")))</f>
        <v>CRÍTICO</v>
      </c>
      <c r="M480" s="3">
        <v>0</v>
      </c>
      <c r="N480" s="3">
        <v>100</v>
      </c>
      <c r="O480" s="3">
        <v>13.51351351351351</v>
      </c>
    </row>
    <row r="481" spans="1:15" hidden="1" x14ac:dyDescent="0.25">
      <c r="A481" s="5">
        <v>46150</v>
      </c>
      <c r="B481" s="6" t="s">
        <v>37</v>
      </c>
      <c r="C481" s="1" t="s">
        <v>32</v>
      </c>
      <c r="D481" s="3">
        <v>41</v>
      </c>
      <c r="E481" s="3">
        <v>37</v>
      </c>
      <c r="F481" s="3">
        <v>14.1</v>
      </c>
      <c r="G481" s="3">
        <v>8</v>
      </c>
      <c r="H481" s="3">
        <v>0</v>
      </c>
      <c r="I481" s="3">
        <f>E481+G481+H481</f>
        <v>45</v>
      </c>
      <c r="J481" s="3">
        <f>ROUND(MIN(IF(C481="Técnico III",35,IF(C481="Técnico II",28,IF(C481="Técnico I",23,IF(C481="JR",20,IF(C481="Estágio",10,0))))),IF(C481="Técnico III",SUMIFS($D:$D,$A:$A,$A481,$B:$B,"&lt;&gt;Patrícia Karla de Sousa Araújo",$B:$B,"&lt;&gt;Lorena Dias de Araujo",$B:$B,"&lt;&gt;Lucas Luiz Romero")*(35/1083),IF(C481="Técnico II",SUMIFS($D:$D,$A:$A,$A481,$B:$B,"&lt;&gt;Patrícia Karla de Sousa Araújo",$B:$B,"&lt;&gt;Lorena Dias de Araujo",$B:$B,"&lt;&gt;Lucas Luiz Romero")*(28/1083),IF(C481="Técnico I",SUMIFS($D:$D,$A:$A,$A481,$B:$B,"&lt;&gt;Patrícia Karla de Sousa Araújo",$B:$B,"&lt;&gt;Lorena Dias de Araujo",$B:$B,"&lt;&gt;Lucas Luiz Romero")*(23/1083),IF(C481="JR",SUMIFS($D:$D,$A:$A,$A481,$B:$B,"&lt;&gt;Patrícia Karla de Sousa Araújo",$B:$B,"&lt;&gt;Lorena Dias de Araujo",$B:$B,"&lt;&gt;Lucas Luiz Romero")*(20/1083),IF(C481="Estágio",SUMIFS($D:$D,$A:$A,$A481,$B:$B,"&lt;&gt;Patrícia Karla de Sousa Araújo",$B:$B,"&lt;&gt;Lorena Dias de Araujo",$B:$B,"&lt;&gt;Lucas Luiz Romero")*(10/1083),0)))))),0)</f>
        <v>29</v>
      </c>
      <c r="K481" s="3">
        <f>I481-J481</f>
        <v>16</v>
      </c>
      <c r="L481" s="3" t="str">
        <f>IF(K481&lt;-5,"CRÍTICO",IF(K481&lt;0,"ATENÇÃO",IF(K481&lt;=5,"OPORTUNO","MUITO BOM")))</f>
        <v>MUITO BOM</v>
      </c>
      <c r="M481" s="3">
        <v>41</v>
      </c>
      <c r="N481" s="3">
        <v>99</v>
      </c>
      <c r="O481" s="3">
        <v>22.27414330218069</v>
      </c>
    </row>
    <row r="482" spans="1:15" hidden="1" x14ac:dyDescent="0.25">
      <c r="A482" s="5">
        <v>46150</v>
      </c>
      <c r="B482" s="6" t="s">
        <v>38</v>
      </c>
      <c r="C482" s="1" t="s">
        <v>32</v>
      </c>
      <c r="D482" s="3">
        <v>20</v>
      </c>
      <c r="E482" s="3">
        <v>19</v>
      </c>
      <c r="F482" s="3">
        <v>12.31</v>
      </c>
      <c r="G482" s="3">
        <v>5</v>
      </c>
      <c r="H482" s="3">
        <v>0</v>
      </c>
      <c r="I482" s="3">
        <f>E482+G482+H482</f>
        <v>24</v>
      </c>
      <c r="J482" s="3">
        <f>ROUND(MIN(IF(C482="Técnico III",35,IF(C482="Técnico II",28,IF(C482="Técnico I",23,IF(C482="JR",20,IF(C482="Estágio",10,0))))),IF(C482="Técnico III",SUMIFS($D:$D,$A:$A,$A482,$B:$B,"&lt;&gt;Patrícia Karla de Sousa Araújo",$B:$B,"&lt;&gt;Lorena Dias de Araujo",$B:$B,"&lt;&gt;Lucas Luiz Romero")*(35/1083),IF(C482="Técnico II",SUMIFS($D:$D,$A:$A,$A482,$B:$B,"&lt;&gt;Patrícia Karla de Sousa Araújo",$B:$B,"&lt;&gt;Lorena Dias de Araujo",$B:$B,"&lt;&gt;Lucas Luiz Romero")*(28/1083),IF(C482="Técnico I",SUMIFS($D:$D,$A:$A,$A482,$B:$B,"&lt;&gt;Patrícia Karla de Sousa Araújo",$B:$B,"&lt;&gt;Lorena Dias de Araujo",$B:$B,"&lt;&gt;Lucas Luiz Romero")*(23/1083),IF(C482="JR",SUMIFS($D:$D,$A:$A,$A482,$B:$B,"&lt;&gt;Patrícia Karla de Sousa Araújo",$B:$B,"&lt;&gt;Lorena Dias de Araujo",$B:$B,"&lt;&gt;Lucas Luiz Romero")*(20/1083),IF(C482="Estágio",SUMIFS($D:$D,$A:$A,$A482,$B:$B,"&lt;&gt;Patrícia Karla de Sousa Araújo",$B:$B,"&lt;&gt;Lorena Dias de Araujo",$B:$B,"&lt;&gt;Lucas Luiz Romero")*(10/1083),0)))))),0)</f>
        <v>29</v>
      </c>
      <c r="K482" s="3">
        <f>I482-J482</f>
        <v>-5</v>
      </c>
      <c r="L482" s="3" t="str">
        <f>IF(K482&lt;-5,"CRÍTICO",IF(K482&lt;0,"ATENÇÃO",IF(K482&lt;=5,"OPORTUNO","MUITO BOM")))</f>
        <v>ATENÇÃO</v>
      </c>
      <c r="M482" s="3">
        <v>21</v>
      </c>
      <c r="N482" s="3">
        <v>97.04</v>
      </c>
      <c r="O482" s="3">
        <v>29.828850855745721</v>
      </c>
    </row>
    <row r="483" spans="1:15" hidden="1" x14ac:dyDescent="0.25">
      <c r="A483" s="5">
        <v>46150</v>
      </c>
      <c r="B483" s="6" t="s">
        <v>39</v>
      </c>
      <c r="C483" s="1" t="s">
        <v>32</v>
      </c>
      <c r="D483" s="3">
        <v>0</v>
      </c>
      <c r="E483" s="3">
        <v>0</v>
      </c>
      <c r="F483" s="3">
        <v>0</v>
      </c>
      <c r="G483" s="3">
        <v>0</v>
      </c>
      <c r="H483" s="3">
        <v>0</v>
      </c>
      <c r="I483" s="3">
        <f>E483+G483+H483</f>
        <v>0</v>
      </c>
      <c r="J483" s="3">
        <f>ROUND(MIN(IF(C483="Técnico III",35,IF(C483="Técnico II",28,IF(C483="Técnico I",23,IF(C483="JR",20,IF(C483="Estágio",10,0))))),IF(C483="Técnico III",SUMIFS($D:$D,$A:$A,$A483,$B:$B,"&lt;&gt;Patrícia Karla de Sousa Araújo",$B:$B,"&lt;&gt;Lorena Dias de Araujo",$B:$B,"&lt;&gt;Lucas Luiz Romero")*(35/1083),IF(C483="Técnico II",SUMIFS($D:$D,$A:$A,$A483,$B:$B,"&lt;&gt;Patrícia Karla de Sousa Araújo",$B:$B,"&lt;&gt;Lorena Dias de Araujo",$B:$B,"&lt;&gt;Lucas Luiz Romero")*(28/1083),IF(C483="Técnico I",SUMIFS($D:$D,$A:$A,$A483,$B:$B,"&lt;&gt;Patrícia Karla de Sousa Araújo",$B:$B,"&lt;&gt;Lorena Dias de Araujo",$B:$B,"&lt;&gt;Lucas Luiz Romero")*(23/1083),IF(C483="JR",SUMIFS($D:$D,$A:$A,$A483,$B:$B,"&lt;&gt;Patrícia Karla de Sousa Araújo",$B:$B,"&lt;&gt;Lorena Dias de Araujo",$B:$B,"&lt;&gt;Lucas Luiz Romero")*(20/1083),IF(C483="Estágio",SUMIFS($D:$D,$A:$A,$A483,$B:$B,"&lt;&gt;Patrícia Karla de Sousa Araújo",$B:$B,"&lt;&gt;Lorena Dias de Araujo",$B:$B,"&lt;&gt;Lucas Luiz Romero")*(10/1083),0)))))),0)</f>
        <v>29</v>
      </c>
      <c r="K483" s="3">
        <f>I483-J483</f>
        <v>-29</v>
      </c>
      <c r="L483" s="3" t="str">
        <f>IF(K483&lt;-5,"CRÍTICO",IF(K483&lt;0,"ATENÇÃO",IF(K483&lt;=5,"OPORTUNO","MUITO BOM")))</f>
        <v>CRÍTICO</v>
      </c>
      <c r="M483" s="3">
        <v>0</v>
      </c>
      <c r="N483" s="3">
        <v>0</v>
      </c>
      <c r="O483" s="3">
        <v>0</v>
      </c>
    </row>
    <row r="484" spans="1:15" hidden="1" x14ac:dyDescent="0.25">
      <c r="A484" s="5">
        <v>46150</v>
      </c>
      <c r="B484" s="6" t="s">
        <v>40</v>
      </c>
      <c r="C484" s="14" t="s">
        <v>32</v>
      </c>
      <c r="D484" s="3">
        <v>4</v>
      </c>
      <c r="E484" s="3">
        <v>4</v>
      </c>
      <c r="F484" s="3">
        <v>30.5</v>
      </c>
      <c r="G484" s="3">
        <v>0</v>
      </c>
      <c r="H484" s="3">
        <v>0</v>
      </c>
      <c r="I484" s="3">
        <f>E484+G484+H484</f>
        <v>4</v>
      </c>
      <c r="J484" s="3">
        <f>ROUND(MIN(IF(C484="Técnico III",35,IF(C484="Técnico II",28,IF(C484="Técnico I",23,IF(C484="JR",20,IF(C484="Estágio",10,0))))),IF(C484="Técnico III",SUMIFS($D:$D,$A:$A,$A484,$B:$B,"&lt;&gt;Patrícia Karla de Sousa Araújo",$B:$B,"&lt;&gt;Lorena Dias de Araujo",$B:$B,"&lt;&gt;Lucas Luiz Romero")*(35/1083),IF(C484="Técnico II",SUMIFS($D:$D,$A:$A,$A484,$B:$B,"&lt;&gt;Patrícia Karla de Sousa Araújo",$B:$B,"&lt;&gt;Lorena Dias de Araujo",$B:$B,"&lt;&gt;Lucas Luiz Romero")*(28/1083),IF(C484="Técnico I",SUMIFS($D:$D,$A:$A,$A484,$B:$B,"&lt;&gt;Patrícia Karla de Sousa Araújo",$B:$B,"&lt;&gt;Lorena Dias de Araujo",$B:$B,"&lt;&gt;Lucas Luiz Romero")*(23/1083),IF(C484="JR",SUMIFS($D:$D,$A:$A,$A484,$B:$B,"&lt;&gt;Patrícia Karla de Sousa Araújo",$B:$B,"&lt;&gt;Lorena Dias de Araujo",$B:$B,"&lt;&gt;Lucas Luiz Romero")*(20/1083),IF(C484="Estágio",SUMIFS($D:$D,$A:$A,$A484,$B:$B,"&lt;&gt;Patrícia Karla de Sousa Araújo",$B:$B,"&lt;&gt;Lorena Dias de Araujo",$B:$B,"&lt;&gt;Lucas Luiz Romero")*(10/1083),0)))))),0)</f>
        <v>29</v>
      </c>
      <c r="K484" s="3">
        <f>I484-J484</f>
        <v>-25</v>
      </c>
      <c r="L484" s="3" t="str">
        <f>IF(K484&lt;-5,"CRÍTICO",IF(K484&lt;0,"ATENÇÃO",IF(K484&lt;=5,"OPORTUNO","MUITO BOM")))</f>
        <v>CRÍTICO</v>
      </c>
      <c r="M484" s="3">
        <v>4</v>
      </c>
      <c r="N484" s="3">
        <v>96.84</v>
      </c>
      <c r="O484" s="3">
        <v>16.338028169014081</v>
      </c>
    </row>
    <row r="485" spans="1:15" hidden="1" x14ac:dyDescent="0.25">
      <c r="A485" s="5">
        <v>46150</v>
      </c>
      <c r="B485" s="6" t="s">
        <v>41</v>
      </c>
      <c r="C485" s="14" t="s">
        <v>32</v>
      </c>
      <c r="D485" s="3">
        <v>29</v>
      </c>
      <c r="E485" s="3">
        <v>28</v>
      </c>
      <c r="F485" s="3">
        <v>22.03</v>
      </c>
      <c r="G485" s="3">
        <v>0</v>
      </c>
      <c r="H485" s="3">
        <v>0</v>
      </c>
      <c r="I485" s="3">
        <f>E485+G485+H485</f>
        <v>28</v>
      </c>
      <c r="J485" s="3">
        <f>ROUND(MIN(IF(C485="Técnico III",35,IF(C485="Técnico II",28,IF(C485="Técnico I",23,IF(C485="JR",20,IF(C485="Estágio",10,0))))),IF(C485="Técnico III",SUMIFS($D:$D,$A:$A,$A485,$B:$B,"&lt;&gt;Patrícia Karla de Sousa Araújo",$B:$B,"&lt;&gt;Lorena Dias de Araujo",$B:$B,"&lt;&gt;Lucas Luiz Romero")*(35/1083),IF(C485="Técnico II",SUMIFS($D:$D,$A:$A,$A485,$B:$B,"&lt;&gt;Patrícia Karla de Sousa Araújo",$B:$B,"&lt;&gt;Lorena Dias de Araujo",$B:$B,"&lt;&gt;Lucas Luiz Romero")*(28/1083),IF(C485="Técnico I",SUMIFS($D:$D,$A:$A,$A485,$B:$B,"&lt;&gt;Patrícia Karla de Sousa Araújo",$B:$B,"&lt;&gt;Lorena Dias de Araujo",$B:$B,"&lt;&gt;Lucas Luiz Romero")*(23/1083),IF(C485="JR",SUMIFS($D:$D,$A:$A,$A485,$B:$B,"&lt;&gt;Patrícia Karla de Sousa Araújo",$B:$B,"&lt;&gt;Lorena Dias de Araujo",$B:$B,"&lt;&gt;Lucas Luiz Romero")*(20/1083),IF(C485="Estágio",SUMIFS($D:$D,$A:$A,$A485,$B:$B,"&lt;&gt;Patrícia Karla de Sousa Araújo",$B:$B,"&lt;&gt;Lorena Dias de Araujo",$B:$B,"&lt;&gt;Lucas Luiz Romero")*(10/1083),0)))))),0)</f>
        <v>29</v>
      </c>
      <c r="K485" s="3">
        <f>I485-J485</f>
        <v>-1</v>
      </c>
      <c r="L485" s="3" t="str">
        <f>IF(K485&lt;-5,"CRÍTICO",IF(K485&lt;0,"ATENÇÃO",IF(K485&lt;=5,"OPORTUNO","MUITO BOM")))</f>
        <v>ATENÇÃO</v>
      </c>
      <c r="M485" s="3">
        <v>24</v>
      </c>
      <c r="N485" s="3">
        <v>100</v>
      </c>
      <c r="O485" s="3">
        <v>18.244803695150122</v>
      </c>
    </row>
    <row r="486" spans="1:15" hidden="1" x14ac:dyDescent="0.25">
      <c r="A486" s="5">
        <v>46150</v>
      </c>
      <c r="B486" s="6" t="s">
        <v>42</v>
      </c>
      <c r="C486" s="1" t="s">
        <v>32</v>
      </c>
      <c r="D486" s="3">
        <v>0</v>
      </c>
      <c r="E486" s="3">
        <v>0</v>
      </c>
      <c r="F486" s="3">
        <v>0</v>
      </c>
      <c r="G486" s="3">
        <v>0</v>
      </c>
      <c r="H486" s="3">
        <v>0</v>
      </c>
      <c r="I486" s="3">
        <f>E486+G486+H486</f>
        <v>0</v>
      </c>
      <c r="J486" s="3">
        <f>ROUND(MIN(IF(C486="Técnico III",35,IF(C486="Técnico II",28,IF(C486="Técnico I",23,IF(C486="JR",20,IF(C486="Estágio",10,0))))),IF(C486="Técnico III",SUMIFS($D:$D,$A:$A,$A486,$B:$B,"&lt;&gt;Patrícia Karla de Sousa Araújo",$B:$B,"&lt;&gt;Lorena Dias de Araujo",$B:$B,"&lt;&gt;Lucas Luiz Romero")*(35/1083),IF(C486="Técnico II",SUMIFS($D:$D,$A:$A,$A486,$B:$B,"&lt;&gt;Patrícia Karla de Sousa Araújo",$B:$B,"&lt;&gt;Lorena Dias de Araujo",$B:$B,"&lt;&gt;Lucas Luiz Romero")*(28/1083),IF(C486="Técnico I",SUMIFS($D:$D,$A:$A,$A486,$B:$B,"&lt;&gt;Patrícia Karla de Sousa Araújo",$B:$B,"&lt;&gt;Lorena Dias de Araujo",$B:$B,"&lt;&gt;Lucas Luiz Romero")*(23/1083),IF(C486="JR",SUMIFS($D:$D,$A:$A,$A486,$B:$B,"&lt;&gt;Patrícia Karla de Sousa Araújo",$B:$B,"&lt;&gt;Lorena Dias de Araujo",$B:$B,"&lt;&gt;Lucas Luiz Romero")*(20/1083),IF(C486="Estágio",SUMIFS($D:$D,$A:$A,$A486,$B:$B,"&lt;&gt;Patrícia Karla de Sousa Araújo",$B:$B,"&lt;&gt;Lorena Dias de Araujo",$B:$B,"&lt;&gt;Lucas Luiz Romero")*(10/1083),0)))))),0)</f>
        <v>29</v>
      </c>
      <c r="K486" s="3">
        <f>I486-J486</f>
        <v>-29</v>
      </c>
      <c r="L486" s="3" t="str">
        <f>IF(K486&lt;-5,"CRÍTICO",IF(K486&lt;0,"ATENÇÃO",IF(K486&lt;=5,"OPORTUNO","MUITO BOM")))</f>
        <v>CRÍTICO</v>
      </c>
      <c r="M486" s="3">
        <v>0</v>
      </c>
      <c r="N486" s="3">
        <v>100</v>
      </c>
      <c r="O486" s="3">
        <v>15.789473684210529</v>
      </c>
    </row>
    <row r="487" spans="1:15" x14ac:dyDescent="0.25">
      <c r="A487" s="5">
        <v>46150</v>
      </c>
      <c r="B487" s="6" t="s">
        <v>43</v>
      </c>
      <c r="C487" s="1" t="s">
        <v>32</v>
      </c>
      <c r="D487" s="3">
        <v>0</v>
      </c>
      <c r="E487" s="3">
        <v>0</v>
      </c>
      <c r="F487" s="3">
        <v>0</v>
      </c>
      <c r="G487" s="3">
        <v>0</v>
      </c>
      <c r="H487" s="3">
        <v>31</v>
      </c>
      <c r="I487" s="3">
        <f>E487+G487+H487</f>
        <v>31</v>
      </c>
      <c r="J487" s="3">
        <f>ROUND(MIN(IF(C487="Técnico III",35,IF(C487="Técnico II",28,IF(C487="Técnico I",23,IF(C487="JR",20,IF(C487="Estágio",10,0))))),IF(C487="Técnico III",SUMIFS($D:$D,$A:$A,$A487,$B:$B,"&lt;&gt;Patrícia Karla de Sousa Araújo",$B:$B,"&lt;&gt;Lorena Dias de Araujo",$B:$B,"&lt;&gt;Lucas Luiz Romero")*(35/1083),IF(C487="Técnico II",SUMIFS($D:$D,$A:$A,$A487,$B:$B,"&lt;&gt;Patrícia Karla de Sousa Araújo",$B:$B,"&lt;&gt;Lorena Dias de Araujo",$B:$B,"&lt;&gt;Lucas Luiz Romero")*(28/1083),IF(C487="Técnico I",SUMIFS($D:$D,$A:$A,$A487,$B:$B,"&lt;&gt;Patrícia Karla de Sousa Araújo",$B:$B,"&lt;&gt;Lorena Dias de Araujo",$B:$B,"&lt;&gt;Lucas Luiz Romero")*(23/1083),IF(C487="JR",SUMIFS($D:$D,$A:$A,$A487,$B:$B,"&lt;&gt;Patrícia Karla de Sousa Araújo",$B:$B,"&lt;&gt;Lorena Dias de Araujo",$B:$B,"&lt;&gt;Lucas Luiz Romero")*(20/1083),IF(C487="Estágio",SUMIFS($D:$D,$A:$A,$A487,$B:$B,"&lt;&gt;Patrícia Karla de Sousa Araújo",$B:$B,"&lt;&gt;Lorena Dias de Araujo",$B:$B,"&lt;&gt;Lucas Luiz Romero")*(10/1083),0)))))),0)</f>
        <v>29</v>
      </c>
      <c r="K487" s="3">
        <f>I487-J487</f>
        <v>2</v>
      </c>
      <c r="L487" s="3" t="str">
        <f>IF(K487&lt;-5,"CRÍTICO",IF(K487&lt;0,"ATENÇÃO",IF(K487&lt;=5,"OPORTUNO","MUITO BOM")))</f>
        <v>OPORTUNO</v>
      </c>
      <c r="M487" s="3">
        <v>21</v>
      </c>
      <c r="N487" s="3">
        <v>98.39</v>
      </c>
      <c r="O487" s="3">
        <v>8.7999999999999989</v>
      </c>
    </row>
    <row r="488" spans="1:15" hidden="1" x14ac:dyDescent="0.25">
      <c r="A488" s="5">
        <v>46150</v>
      </c>
      <c r="B488" s="6" t="s">
        <v>44</v>
      </c>
      <c r="C488" s="1" t="s">
        <v>32</v>
      </c>
      <c r="D488" s="3">
        <v>30</v>
      </c>
      <c r="E488" s="3">
        <v>28</v>
      </c>
      <c r="F488" s="3">
        <v>13.33</v>
      </c>
      <c r="G488" s="3">
        <v>1</v>
      </c>
      <c r="H488" s="3">
        <v>0</v>
      </c>
      <c r="I488" s="3">
        <f>E488+G488+H488</f>
        <v>29</v>
      </c>
      <c r="J488" s="3">
        <f>ROUND(MIN(IF(C488="Técnico III",35,IF(C488="Técnico II",28,IF(C488="Técnico I",23,IF(C488="JR",20,IF(C488="Estágio",10,0))))),IF(C488="Técnico III",SUMIFS($D:$D,$A:$A,$A488,$B:$B,"&lt;&gt;Patrícia Karla de Sousa Araújo",$B:$B,"&lt;&gt;Lorena Dias de Araujo",$B:$B,"&lt;&gt;Lucas Luiz Romero")*(35/1083),IF(C488="Técnico II",SUMIFS($D:$D,$A:$A,$A488,$B:$B,"&lt;&gt;Patrícia Karla de Sousa Araújo",$B:$B,"&lt;&gt;Lorena Dias de Araujo",$B:$B,"&lt;&gt;Lucas Luiz Romero")*(28/1083),IF(C488="Técnico I",SUMIFS($D:$D,$A:$A,$A488,$B:$B,"&lt;&gt;Patrícia Karla de Sousa Araújo",$B:$B,"&lt;&gt;Lorena Dias de Araujo",$B:$B,"&lt;&gt;Lucas Luiz Romero")*(23/1083),IF(C488="JR",SUMIFS($D:$D,$A:$A,$A488,$B:$B,"&lt;&gt;Patrícia Karla de Sousa Araújo",$B:$B,"&lt;&gt;Lorena Dias de Araujo",$B:$B,"&lt;&gt;Lucas Luiz Romero")*(20/1083),IF(C488="Estágio",SUMIFS($D:$D,$A:$A,$A488,$B:$B,"&lt;&gt;Patrícia Karla de Sousa Araújo",$B:$B,"&lt;&gt;Lorena Dias de Araujo",$B:$B,"&lt;&gt;Lucas Luiz Romero")*(10/1083),0)))))),0)</f>
        <v>29</v>
      </c>
      <c r="K488" s="3">
        <f>I488-J488</f>
        <v>0</v>
      </c>
      <c r="L488" s="3" t="str">
        <f>IF(K488&lt;-5,"CRÍTICO",IF(K488&lt;0,"ATENÇÃO",IF(K488&lt;=5,"OPORTUNO","MUITO BOM")))</f>
        <v>OPORTUNO</v>
      </c>
      <c r="M488" s="3">
        <v>23</v>
      </c>
      <c r="N488" s="3">
        <v>96.38</v>
      </c>
      <c r="O488" s="3">
        <v>23.198198198198199</v>
      </c>
    </row>
    <row r="489" spans="1:15" hidden="1" x14ac:dyDescent="0.25">
      <c r="A489" s="5">
        <v>46150</v>
      </c>
      <c r="B489" s="6" t="s">
        <v>45</v>
      </c>
      <c r="C489" s="1" t="s">
        <v>32</v>
      </c>
      <c r="D489" s="3">
        <v>44</v>
      </c>
      <c r="E489" s="3">
        <v>38</v>
      </c>
      <c r="F489" s="3">
        <v>10.220000000000001</v>
      </c>
      <c r="G489" s="3">
        <v>0</v>
      </c>
      <c r="H489" s="3">
        <v>0</v>
      </c>
      <c r="I489" s="3">
        <f>E489+G489+H489</f>
        <v>38</v>
      </c>
      <c r="J489" s="3">
        <f>ROUND(MIN(IF(C489="Técnico III",35,IF(C489="Técnico II",28,IF(C489="Técnico I",23,IF(C489="JR",20,IF(C489="Estágio",10,0))))),IF(C489="Técnico III",SUMIFS($D:$D,$A:$A,$A489,$B:$B,"&lt;&gt;Patrícia Karla de Sousa Araújo",$B:$B,"&lt;&gt;Lorena Dias de Araujo",$B:$B,"&lt;&gt;Lucas Luiz Romero")*(35/1083),IF(C489="Técnico II",SUMIFS($D:$D,$A:$A,$A489,$B:$B,"&lt;&gt;Patrícia Karla de Sousa Araújo",$B:$B,"&lt;&gt;Lorena Dias de Araujo",$B:$B,"&lt;&gt;Lucas Luiz Romero")*(28/1083),IF(C489="Técnico I",SUMIFS($D:$D,$A:$A,$A489,$B:$B,"&lt;&gt;Patrícia Karla de Sousa Araújo",$B:$B,"&lt;&gt;Lorena Dias de Araujo",$B:$B,"&lt;&gt;Lucas Luiz Romero")*(23/1083),IF(C489="JR",SUMIFS($D:$D,$A:$A,$A489,$B:$B,"&lt;&gt;Patrícia Karla de Sousa Araújo",$B:$B,"&lt;&gt;Lorena Dias de Araujo",$B:$B,"&lt;&gt;Lucas Luiz Romero")*(20/1083),IF(C489="Estágio",SUMIFS($D:$D,$A:$A,$A489,$B:$B,"&lt;&gt;Patrícia Karla de Sousa Araújo",$B:$B,"&lt;&gt;Lorena Dias de Araujo",$B:$B,"&lt;&gt;Lucas Luiz Romero")*(10/1083),0)))))),0)</f>
        <v>29</v>
      </c>
      <c r="K489" s="3">
        <f>I489-J489</f>
        <v>9</v>
      </c>
      <c r="L489" s="3" t="str">
        <f>IF(K489&lt;-5,"CRÍTICO",IF(K489&lt;0,"ATENÇÃO",IF(K489&lt;=5,"OPORTUNO","MUITO BOM")))</f>
        <v>MUITO BOM</v>
      </c>
      <c r="M489" s="3">
        <v>26</v>
      </c>
      <c r="N489" s="3">
        <v>99.39</v>
      </c>
      <c r="O489" s="3">
        <v>25.203252032520329</v>
      </c>
    </row>
    <row r="490" spans="1:15" hidden="1" x14ac:dyDescent="0.25">
      <c r="A490" s="5">
        <v>46150</v>
      </c>
      <c r="B490" s="6" t="s">
        <v>46</v>
      </c>
      <c r="C490" s="1" t="s">
        <v>32</v>
      </c>
      <c r="D490" s="3">
        <v>22</v>
      </c>
      <c r="E490" s="3">
        <v>21</v>
      </c>
      <c r="F490" s="3">
        <v>14.04</v>
      </c>
      <c r="G490" s="3">
        <v>5</v>
      </c>
      <c r="H490" s="3">
        <v>0</v>
      </c>
      <c r="I490" s="3">
        <f>E490+G490+H490</f>
        <v>26</v>
      </c>
      <c r="J490" s="3">
        <f>ROUND(MIN(IF(C490="Técnico III",35,IF(C490="Técnico II",28,IF(C490="Técnico I",23,IF(C490="JR",20,IF(C490="Estágio",10,0))))),IF(C490="Técnico III",SUMIFS($D:$D,$A:$A,$A490,$B:$B,"&lt;&gt;Patrícia Karla de Sousa Araújo",$B:$B,"&lt;&gt;Lorena Dias de Araujo",$B:$B,"&lt;&gt;Lucas Luiz Romero")*(35/1083),IF(C490="Técnico II",SUMIFS($D:$D,$A:$A,$A490,$B:$B,"&lt;&gt;Patrícia Karla de Sousa Araújo",$B:$B,"&lt;&gt;Lorena Dias de Araujo",$B:$B,"&lt;&gt;Lucas Luiz Romero")*(28/1083),IF(C490="Técnico I",SUMIFS($D:$D,$A:$A,$A490,$B:$B,"&lt;&gt;Patrícia Karla de Sousa Araújo",$B:$B,"&lt;&gt;Lorena Dias de Araujo",$B:$B,"&lt;&gt;Lucas Luiz Romero")*(23/1083),IF(C490="JR",SUMIFS($D:$D,$A:$A,$A490,$B:$B,"&lt;&gt;Patrícia Karla de Sousa Araújo",$B:$B,"&lt;&gt;Lorena Dias de Araujo",$B:$B,"&lt;&gt;Lucas Luiz Romero")*(20/1083),IF(C490="Estágio",SUMIFS($D:$D,$A:$A,$A490,$B:$B,"&lt;&gt;Patrícia Karla de Sousa Araújo",$B:$B,"&lt;&gt;Lorena Dias de Araujo",$B:$B,"&lt;&gt;Lucas Luiz Romero")*(10/1083),0)))))),0)</f>
        <v>29</v>
      </c>
      <c r="K490" s="3">
        <f>I490-J490</f>
        <v>-3</v>
      </c>
      <c r="L490" s="3" t="str">
        <f>IF(K490&lt;-5,"CRÍTICO",IF(K490&lt;0,"ATENÇÃO",IF(K490&lt;=5,"OPORTUNO","MUITO BOM")))</f>
        <v>ATENÇÃO</v>
      </c>
      <c r="M490" s="3">
        <v>25</v>
      </c>
      <c r="N490" s="3">
        <v>97</v>
      </c>
      <c r="O490" s="3">
        <v>20.325203252032519</v>
      </c>
    </row>
    <row r="491" spans="1:15" hidden="1" x14ac:dyDescent="0.25">
      <c r="A491" s="5">
        <v>46150</v>
      </c>
      <c r="B491" s="6" t="s">
        <v>47</v>
      </c>
      <c r="C491" s="1" t="s">
        <v>48</v>
      </c>
      <c r="D491" s="3">
        <v>34</v>
      </c>
      <c r="E491" s="3">
        <v>30</v>
      </c>
      <c r="F491" s="3">
        <v>11.56</v>
      </c>
      <c r="G491" s="3">
        <v>4</v>
      </c>
      <c r="H491" s="3">
        <v>0</v>
      </c>
      <c r="I491" s="3">
        <f>E491+G491+H491</f>
        <v>34</v>
      </c>
      <c r="J491" s="3">
        <f>ROUND(MIN(IF(C491="Técnico III",35,IF(C491="Técnico II",28,IF(C491="Técnico I",23,IF(C491="JR",20,IF(C491="Estágio",10,0))))),IF(C491="Técnico III",SUMIFS($D:$D,$A:$A,$A491,$B:$B,"&lt;&gt;Patrícia Karla de Sousa Araújo",$B:$B,"&lt;&gt;Lorena Dias de Araujo",$B:$B,"&lt;&gt;Lucas Luiz Romero")*(35/1083),IF(C491="Técnico II",SUMIFS($D:$D,$A:$A,$A491,$B:$B,"&lt;&gt;Patrícia Karla de Sousa Araújo",$B:$B,"&lt;&gt;Lorena Dias de Araujo",$B:$B,"&lt;&gt;Lucas Luiz Romero")*(28/1083),IF(C491="Técnico I",SUMIFS($D:$D,$A:$A,$A491,$B:$B,"&lt;&gt;Patrícia Karla de Sousa Araújo",$B:$B,"&lt;&gt;Lorena Dias de Araujo",$B:$B,"&lt;&gt;Lucas Luiz Romero")*(23/1083),IF(C491="JR",SUMIFS($D:$D,$A:$A,$A491,$B:$B,"&lt;&gt;Patrícia Karla de Sousa Araújo",$B:$B,"&lt;&gt;Lorena Dias de Araujo",$B:$B,"&lt;&gt;Lucas Luiz Romero")*(20/1083),IF(C491="Estágio",SUMIFS($D:$D,$A:$A,$A491,$B:$B,"&lt;&gt;Patrícia Karla de Sousa Araújo",$B:$B,"&lt;&gt;Lorena Dias de Araujo",$B:$B,"&lt;&gt;Lucas Luiz Romero")*(10/1083),0)))))),0)</f>
        <v>23</v>
      </c>
      <c r="K491" s="3">
        <f>I491-J491</f>
        <v>11</v>
      </c>
      <c r="L491" s="3" t="str">
        <f>IF(K491&lt;-5,"CRÍTICO",IF(K491&lt;0,"ATENÇÃO",IF(K491&lt;=5,"OPORTUNO","MUITO BOM")))</f>
        <v>MUITO BOM</v>
      </c>
      <c r="M491" s="3">
        <v>21</v>
      </c>
      <c r="N491" s="3">
        <v>99.18</v>
      </c>
      <c r="O491" s="3">
        <v>24.501424501424498</v>
      </c>
    </row>
    <row r="492" spans="1:15" hidden="1" x14ac:dyDescent="0.25">
      <c r="A492" s="5">
        <v>46150</v>
      </c>
      <c r="B492" s="6" t="s">
        <v>49</v>
      </c>
      <c r="C492" s="1" t="s">
        <v>48</v>
      </c>
      <c r="D492" s="3">
        <v>31</v>
      </c>
      <c r="E492" s="3">
        <v>28</v>
      </c>
      <c r="F492" s="3">
        <v>15.19</v>
      </c>
      <c r="G492" s="3">
        <v>4</v>
      </c>
      <c r="H492" s="3">
        <v>0</v>
      </c>
      <c r="I492" s="3">
        <f>E492+G492+H492</f>
        <v>32</v>
      </c>
      <c r="J492" s="3">
        <f>ROUND(MIN(IF(C492="Técnico III",35,IF(C492="Técnico II",28,IF(C492="Técnico I",23,IF(C492="JR",20,IF(C492="Estágio",10,0))))),IF(C492="Técnico III",SUMIFS($D:$D,$A:$A,$A492,$B:$B,"&lt;&gt;Patrícia Karla de Sousa Araújo",$B:$B,"&lt;&gt;Lorena Dias de Araujo",$B:$B,"&lt;&gt;Lucas Luiz Romero")*(35/1083),IF(C492="Técnico II",SUMIFS($D:$D,$A:$A,$A492,$B:$B,"&lt;&gt;Patrícia Karla de Sousa Araújo",$B:$B,"&lt;&gt;Lorena Dias de Araujo",$B:$B,"&lt;&gt;Lucas Luiz Romero")*(28/1083),IF(C492="Técnico I",SUMIFS($D:$D,$A:$A,$A492,$B:$B,"&lt;&gt;Patrícia Karla de Sousa Araújo",$B:$B,"&lt;&gt;Lorena Dias de Araujo",$B:$B,"&lt;&gt;Lucas Luiz Romero")*(23/1083),IF(C492="JR",SUMIFS($D:$D,$A:$A,$A492,$B:$B,"&lt;&gt;Patrícia Karla de Sousa Araújo",$B:$B,"&lt;&gt;Lorena Dias de Araujo",$B:$B,"&lt;&gt;Lucas Luiz Romero")*(20/1083),IF(C492="Estágio",SUMIFS($D:$D,$A:$A,$A492,$B:$B,"&lt;&gt;Patrícia Karla de Sousa Araújo",$B:$B,"&lt;&gt;Lorena Dias de Araujo",$B:$B,"&lt;&gt;Lucas Luiz Romero")*(10/1083),0)))))),0)</f>
        <v>23</v>
      </c>
      <c r="K492" s="3">
        <f>I492-J492</f>
        <v>9</v>
      </c>
      <c r="L492" s="3" t="str">
        <f>IF(K492&lt;-5,"CRÍTICO",IF(K492&lt;0,"ATENÇÃO",IF(K492&lt;=5,"OPORTUNO","MUITO BOM")))</f>
        <v>MUITO BOM</v>
      </c>
      <c r="M492" s="3">
        <v>35</v>
      </c>
      <c r="N492" s="3">
        <v>99.35</v>
      </c>
      <c r="O492" s="3">
        <v>19.852941176470591</v>
      </c>
    </row>
    <row r="493" spans="1:15" hidden="1" x14ac:dyDescent="0.25">
      <c r="A493" s="5">
        <v>46150</v>
      </c>
      <c r="B493" s="6" t="s">
        <v>50</v>
      </c>
      <c r="C493" s="14" t="s">
        <v>48</v>
      </c>
      <c r="D493" s="3">
        <v>12</v>
      </c>
      <c r="E493" s="3">
        <v>12</v>
      </c>
      <c r="F493" s="3">
        <v>38.58</v>
      </c>
      <c r="G493" s="3">
        <v>0</v>
      </c>
      <c r="H493" s="3">
        <v>0</v>
      </c>
      <c r="I493" s="3">
        <f>E493+G493+H493</f>
        <v>12</v>
      </c>
      <c r="J493" s="3">
        <f>ROUND(MIN(IF(C493="Técnico III",35,IF(C493="Técnico II",28,IF(C493="Técnico I",23,IF(C493="JR",20,IF(C493="Estágio",10,0))))),IF(C493="Técnico III",SUMIFS($D:$D,$A:$A,$A493,$B:$B,"&lt;&gt;Patrícia Karla de Sousa Araújo",$B:$B,"&lt;&gt;Lorena Dias de Araujo",$B:$B,"&lt;&gt;Lucas Luiz Romero")*(35/1083),IF(C493="Técnico II",SUMIFS($D:$D,$A:$A,$A493,$B:$B,"&lt;&gt;Patrícia Karla de Sousa Araújo",$B:$B,"&lt;&gt;Lorena Dias de Araujo",$B:$B,"&lt;&gt;Lucas Luiz Romero")*(28/1083),IF(C493="Técnico I",SUMIFS($D:$D,$A:$A,$A493,$B:$B,"&lt;&gt;Patrícia Karla de Sousa Araújo",$B:$B,"&lt;&gt;Lorena Dias de Araujo",$B:$B,"&lt;&gt;Lucas Luiz Romero")*(23/1083),IF(C493="JR",SUMIFS($D:$D,$A:$A,$A493,$B:$B,"&lt;&gt;Patrícia Karla de Sousa Araújo",$B:$B,"&lt;&gt;Lorena Dias de Araujo",$B:$B,"&lt;&gt;Lucas Luiz Romero")*(20/1083),IF(C493="Estágio",SUMIFS($D:$D,$A:$A,$A493,$B:$B,"&lt;&gt;Patrícia Karla de Sousa Araújo",$B:$B,"&lt;&gt;Lorena Dias de Araujo",$B:$B,"&lt;&gt;Lucas Luiz Romero")*(10/1083),0)))))),0)</f>
        <v>23</v>
      </c>
      <c r="K493" s="3">
        <f>I493-J493</f>
        <v>-11</v>
      </c>
      <c r="L493" s="3" t="str">
        <f>IF(K493&lt;-5,"CRÍTICO",IF(K493&lt;0,"ATENÇÃO",IF(K493&lt;=5,"OPORTUNO","MUITO BOM")))</f>
        <v>CRÍTICO</v>
      </c>
      <c r="M493" s="3">
        <v>12</v>
      </c>
      <c r="N493" s="3">
        <v>99.07</v>
      </c>
      <c r="O493" s="3">
        <v>20.098039215686271</v>
      </c>
    </row>
    <row r="494" spans="1:15" hidden="1" x14ac:dyDescent="0.25">
      <c r="A494" s="5">
        <v>46150</v>
      </c>
      <c r="B494" s="6" t="s">
        <v>51</v>
      </c>
      <c r="C494" s="1" t="s">
        <v>48</v>
      </c>
      <c r="D494" s="3">
        <v>19</v>
      </c>
      <c r="E494" s="3">
        <v>17</v>
      </c>
      <c r="F494" s="3">
        <v>23.59</v>
      </c>
      <c r="G494" s="3">
        <v>0</v>
      </c>
      <c r="H494" s="3">
        <v>0</v>
      </c>
      <c r="I494" s="3">
        <f>E494+G494+H494</f>
        <v>17</v>
      </c>
      <c r="J494" s="3">
        <f>ROUND(MIN(IF(C494="Técnico III",35,IF(C494="Técnico II",28,IF(C494="Técnico I",23,IF(C494="JR",20,IF(C494="Estágio",10,0))))),IF(C494="Técnico III",SUMIFS($D:$D,$A:$A,$A494,$B:$B,"&lt;&gt;Patrícia Karla de Sousa Araújo",$B:$B,"&lt;&gt;Lorena Dias de Araujo",$B:$B,"&lt;&gt;Lucas Luiz Romero")*(35/1083),IF(C494="Técnico II",SUMIFS($D:$D,$A:$A,$A494,$B:$B,"&lt;&gt;Patrícia Karla de Sousa Araújo",$B:$B,"&lt;&gt;Lorena Dias de Araujo",$B:$B,"&lt;&gt;Lucas Luiz Romero")*(28/1083),IF(C494="Técnico I",SUMIFS($D:$D,$A:$A,$A494,$B:$B,"&lt;&gt;Patrícia Karla de Sousa Araújo",$B:$B,"&lt;&gt;Lorena Dias de Araujo",$B:$B,"&lt;&gt;Lucas Luiz Romero")*(23/1083),IF(C494="JR",SUMIFS($D:$D,$A:$A,$A494,$B:$B,"&lt;&gt;Patrícia Karla de Sousa Araújo",$B:$B,"&lt;&gt;Lorena Dias de Araujo",$B:$B,"&lt;&gt;Lucas Luiz Romero")*(20/1083),IF(C494="Estágio",SUMIFS($D:$D,$A:$A,$A494,$B:$B,"&lt;&gt;Patrícia Karla de Sousa Araújo",$B:$B,"&lt;&gt;Lorena Dias de Araujo",$B:$B,"&lt;&gt;Lucas Luiz Romero")*(10/1083),0)))))),0)</f>
        <v>23</v>
      </c>
      <c r="K494" s="3">
        <f>I494-J494</f>
        <v>-6</v>
      </c>
      <c r="L494" s="3" t="str">
        <f>IF(K494&lt;-5,"CRÍTICO",IF(K494&lt;0,"ATENÇÃO",IF(K494&lt;=5,"OPORTUNO","MUITO BOM")))</f>
        <v>CRÍTICO</v>
      </c>
      <c r="M494" s="3">
        <v>16</v>
      </c>
      <c r="N494" s="3">
        <v>98.81</v>
      </c>
      <c r="O494" s="3">
        <v>22.767857142857139</v>
      </c>
    </row>
    <row r="495" spans="1:15" hidden="1" x14ac:dyDescent="0.25">
      <c r="A495" s="5">
        <v>46150</v>
      </c>
      <c r="B495" s="6" t="s">
        <v>52</v>
      </c>
      <c r="C495" s="1" t="s">
        <v>48</v>
      </c>
      <c r="D495" s="3">
        <v>25</v>
      </c>
      <c r="E495" s="3">
        <v>23</v>
      </c>
      <c r="F495" s="3">
        <v>12.17</v>
      </c>
      <c r="G495" s="3">
        <v>6</v>
      </c>
      <c r="H495" s="3">
        <v>0</v>
      </c>
      <c r="I495" s="3">
        <f>E495+G495+H495</f>
        <v>29</v>
      </c>
      <c r="J495" s="3">
        <f>ROUND(MIN(IF(C495="Técnico III",35,IF(C495="Técnico II",28,IF(C495="Técnico I",23,IF(C495="JR",20,IF(C495="Estágio",10,0))))),IF(C495="Técnico III",SUMIFS($D:$D,$A:$A,$A495,$B:$B,"&lt;&gt;Patrícia Karla de Sousa Araújo",$B:$B,"&lt;&gt;Lorena Dias de Araujo",$B:$B,"&lt;&gt;Lucas Luiz Romero")*(35/1083),IF(C495="Técnico II",SUMIFS($D:$D,$A:$A,$A495,$B:$B,"&lt;&gt;Patrícia Karla de Sousa Araújo",$B:$B,"&lt;&gt;Lorena Dias de Araujo",$B:$B,"&lt;&gt;Lucas Luiz Romero")*(28/1083),IF(C495="Técnico I",SUMIFS($D:$D,$A:$A,$A495,$B:$B,"&lt;&gt;Patrícia Karla de Sousa Araújo",$B:$B,"&lt;&gt;Lorena Dias de Araujo",$B:$B,"&lt;&gt;Lucas Luiz Romero")*(23/1083),IF(C495="JR",SUMIFS($D:$D,$A:$A,$A495,$B:$B,"&lt;&gt;Patrícia Karla de Sousa Araújo",$B:$B,"&lt;&gt;Lorena Dias de Araujo",$B:$B,"&lt;&gt;Lucas Luiz Romero")*(20/1083),IF(C495="Estágio",SUMIFS($D:$D,$A:$A,$A495,$B:$B,"&lt;&gt;Patrícia Karla de Sousa Araújo",$B:$B,"&lt;&gt;Lorena Dias de Araujo",$B:$B,"&lt;&gt;Lucas Luiz Romero")*(10/1083),0)))))),0)</f>
        <v>23</v>
      </c>
      <c r="K495" s="3">
        <f>I495-J495</f>
        <v>6</v>
      </c>
      <c r="L495" s="3" t="str">
        <f>IF(K495&lt;-5,"CRÍTICO",IF(K495&lt;0,"ATENÇÃO",IF(K495&lt;=5,"OPORTUNO","MUITO BOM")))</f>
        <v>MUITO BOM</v>
      </c>
      <c r="M495" s="3">
        <v>26</v>
      </c>
      <c r="N495" s="3">
        <v>99.01</v>
      </c>
      <c r="O495" s="3">
        <v>17.766497461928939</v>
      </c>
    </row>
    <row r="496" spans="1:15" hidden="1" x14ac:dyDescent="0.25">
      <c r="A496" s="5">
        <v>46150</v>
      </c>
      <c r="B496" s="6" t="s">
        <v>53</v>
      </c>
      <c r="C496" s="1" t="s">
        <v>48</v>
      </c>
      <c r="D496" s="3">
        <v>0</v>
      </c>
      <c r="E496" s="3">
        <v>0</v>
      </c>
      <c r="F496" s="3">
        <v>0</v>
      </c>
      <c r="G496" s="3">
        <v>0</v>
      </c>
      <c r="H496" s="3">
        <v>0</v>
      </c>
      <c r="I496" s="3">
        <f>E496+G496+H496</f>
        <v>0</v>
      </c>
      <c r="J496" s="3">
        <f>ROUND(MIN(IF(C496="Técnico III",35,IF(C496="Técnico II",28,IF(C496="Técnico I",23,IF(C496="JR",20,IF(C496="Estágio",10,0))))),IF(C496="Técnico III",SUMIFS($D:$D,$A:$A,$A496,$B:$B,"&lt;&gt;Patrícia Karla de Sousa Araújo",$B:$B,"&lt;&gt;Lorena Dias de Araujo",$B:$B,"&lt;&gt;Lucas Luiz Romero")*(35/1083),IF(C496="Técnico II",SUMIFS($D:$D,$A:$A,$A496,$B:$B,"&lt;&gt;Patrícia Karla de Sousa Araújo",$B:$B,"&lt;&gt;Lorena Dias de Araujo",$B:$B,"&lt;&gt;Lucas Luiz Romero")*(28/1083),IF(C496="Técnico I",SUMIFS($D:$D,$A:$A,$A496,$B:$B,"&lt;&gt;Patrícia Karla de Sousa Araújo",$B:$B,"&lt;&gt;Lorena Dias de Araujo",$B:$B,"&lt;&gt;Lucas Luiz Romero")*(23/1083),IF(C496="JR",SUMIFS($D:$D,$A:$A,$A496,$B:$B,"&lt;&gt;Patrícia Karla de Sousa Araújo",$B:$B,"&lt;&gt;Lorena Dias de Araujo",$B:$B,"&lt;&gt;Lucas Luiz Romero")*(20/1083),IF(C496="Estágio",SUMIFS($D:$D,$A:$A,$A496,$B:$B,"&lt;&gt;Patrícia Karla de Sousa Araújo",$B:$B,"&lt;&gt;Lorena Dias de Araujo",$B:$B,"&lt;&gt;Lucas Luiz Romero")*(10/1083),0)))))),0)</f>
        <v>23</v>
      </c>
      <c r="K496" s="3">
        <f>I496-J496</f>
        <v>-23</v>
      </c>
      <c r="L496" s="3" t="str">
        <f>IF(K496&lt;-5,"CRÍTICO",IF(K496&lt;0,"ATENÇÃO",IF(K496&lt;=5,"OPORTUNO","MUITO BOM")))</f>
        <v>CRÍTICO</v>
      </c>
      <c r="M496" s="3">
        <v>0</v>
      </c>
      <c r="N496" s="3">
        <v>100</v>
      </c>
      <c r="O496" s="3">
        <v>17.241379310344829</v>
      </c>
    </row>
    <row r="497" spans="1:15" hidden="1" x14ac:dyDescent="0.25">
      <c r="A497" s="5">
        <v>46150</v>
      </c>
      <c r="B497" s="6" t="s">
        <v>54</v>
      </c>
      <c r="C497" s="14" t="s">
        <v>48</v>
      </c>
      <c r="D497" s="3">
        <v>30</v>
      </c>
      <c r="E497" s="3">
        <v>27</v>
      </c>
      <c r="F497" s="3">
        <v>15.28</v>
      </c>
      <c r="G497" s="3">
        <v>0</v>
      </c>
      <c r="H497" s="3">
        <v>0</v>
      </c>
      <c r="I497" s="3">
        <f>E497+G497+H497</f>
        <v>27</v>
      </c>
      <c r="J497" s="3">
        <f>ROUND(MIN(IF(C497="Técnico III",35,IF(C497="Técnico II",28,IF(C497="Técnico I",23,IF(C497="JR",20,IF(C497="Estágio",10,0))))),IF(C497="Técnico III",SUMIFS($D:$D,$A:$A,$A497,$B:$B,"&lt;&gt;Patrícia Karla de Sousa Araújo",$B:$B,"&lt;&gt;Lorena Dias de Araujo",$B:$B,"&lt;&gt;Lucas Luiz Romero")*(35/1083),IF(C497="Técnico II",SUMIFS($D:$D,$A:$A,$A497,$B:$B,"&lt;&gt;Patrícia Karla de Sousa Araújo",$B:$B,"&lt;&gt;Lorena Dias de Araujo",$B:$B,"&lt;&gt;Lucas Luiz Romero")*(28/1083),IF(C497="Técnico I",SUMIFS($D:$D,$A:$A,$A497,$B:$B,"&lt;&gt;Patrícia Karla de Sousa Araújo",$B:$B,"&lt;&gt;Lorena Dias de Araujo",$B:$B,"&lt;&gt;Lucas Luiz Romero")*(23/1083),IF(C497="JR",SUMIFS($D:$D,$A:$A,$A497,$B:$B,"&lt;&gt;Patrícia Karla de Sousa Araújo",$B:$B,"&lt;&gt;Lorena Dias de Araujo",$B:$B,"&lt;&gt;Lucas Luiz Romero")*(20/1083),IF(C497="Estágio",SUMIFS($D:$D,$A:$A,$A497,$B:$B,"&lt;&gt;Patrícia Karla de Sousa Araújo",$B:$B,"&lt;&gt;Lorena Dias de Araujo",$B:$B,"&lt;&gt;Lucas Luiz Romero")*(10/1083),0)))))),0)</f>
        <v>23</v>
      </c>
      <c r="K497" s="3">
        <f>I497-J497</f>
        <v>4</v>
      </c>
      <c r="L497" s="3" t="str">
        <f>IF(K497&lt;-5,"CRÍTICO",IF(K497&lt;0,"ATENÇÃO",IF(K497&lt;=5,"OPORTUNO","MUITO BOM")))</f>
        <v>OPORTUNO</v>
      </c>
      <c r="M497" s="3">
        <v>22</v>
      </c>
      <c r="N497" s="3">
        <v>98.98</v>
      </c>
      <c r="O497" s="3">
        <v>19.35483870967742</v>
      </c>
    </row>
    <row r="498" spans="1:15" hidden="1" x14ac:dyDescent="0.25">
      <c r="A498" s="5">
        <v>46150</v>
      </c>
      <c r="B498" s="6" t="s">
        <v>55</v>
      </c>
      <c r="C498" s="1" t="s">
        <v>48</v>
      </c>
      <c r="D498" s="3">
        <v>25</v>
      </c>
      <c r="E498" s="3">
        <v>20</v>
      </c>
      <c r="F498" s="3">
        <v>14.16</v>
      </c>
      <c r="G498" s="3">
        <v>3</v>
      </c>
      <c r="H498" s="3">
        <v>0</v>
      </c>
      <c r="I498" s="3">
        <f>E498+G498+H498</f>
        <v>23</v>
      </c>
      <c r="J498" s="3">
        <f>ROUND(MIN(IF(C498="Técnico III",35,IF(C498="Técnico II",28,IF(C498="Técnico I",23,IF(C498="JR",20,IF(C498="Estágio",10,0))))),IF(C498="Técnico III",SUMIFS($D:$D,$A:$A,$A498,$B:$B,"&lt;&gt;Patrícia Karla de Sousa Araújo",$B:$B,"&lt;&gt;Lorena Dias de Araujo",$B:$B,"&lt;&gt;Lucas Luiz Romero")*(35/1083),IF(C498="Técnico II",SUMIFS($D:$D,$A:$A,$A498,$B:$B,"&lt;&gt;Patrícia Karla de Sousa Araújo",$B:$B,"&lt;&gt;Lorena Dias de Araujo",$B:$B,"&lt;&gt;Lucas Luiz Romero")*(28/1083),IF(C498="Técnico I",SUMIFS($D:$D,$A:$A,$A498,$B:$B,"&lt;&gt;Patrícia Karla de Sousa Araújo",$B:$B,"&lt;&gt;Lorena Dias de Araujo",$B:$B,"&lt;&gt;Lucas Luiz Romero")*(23/1083),IF(C498="JR",SUMIFS($D:$D,$A:$A,$A498,$B:$B,"&lt;&gt;Patrícia Karla de Sousa Araújo",$B:$B,"&lt;&gt;Lorena Dias de Araujo",$B:$B,"&lt;&gt;Lucas Luiz Romero")*(20/1083),IF(C498="Estágio",SUMIFS($D:$D,$A:$A,$A498,$B:$B,"&lt;&gt;Patrícia Karla de Sousa Araújo",$B:$B,"&lt;&gt;Lorena Dias de Araujo",$B:$B,"&lt;&gt;Lucas Luiz Romero")*(10/1083),0)))))),0)</f>
        <v>23</v>
      </c>
      <c r="K498" s="3">
        <f>I498-J498</f>
        <v>0</v>
      </c>
      <c r="L498" s="3" t="str">
        <f>IF(K498&lt;-5,"CRÍTICO",IF(K498&lt;0,"ATENÇÃO",IF(K498&lt;=5,"OPORTUNO","MUITO BOM")))</f>
        <v>OPORTUNO</v>
      </c>
      <c r="M498" s="3">
        <v>24</v>
      </c>
      <c r="N498" s="3">
        <v>98.94</v>
      </c>
      <c r="O498" s="3">
        <v>21.270718232044199</v>
      </c>
    </row>
    <row r="499" spans="1:15" hidden="1" x14ac:dyDescent="0.25">
      <c r="A499" s="5">
        <v>46150</v>
      </c>
      <c r="B499" s="6" t="s">
        <v>56</v>
      </c>
      <c r="C499" s="1" t="s">
        <v>48</v>
      </c>
      <c r="D499" s="3">
        <v>22</v>
      </c>
      <c r="E499" s="3">
        <v>18</v>
      </c>
      <c r="F499" s="3">
        <v>15.45</v>
      </c>
      <c r="G499" s="3">
        <v>3</v>
      </c>
      <c r="H499" s="3">
        <v>0</v>
      </c>
      <c r="I499" s="3">
        <f>E499+G499+H499</f>
        <v>21</v>
      </c>
      <c r="J499" s="3">
        <f>ROUND(MIN(IF(C499="Técnico III",35,IF(C499="Técnico II",28,IF(C499="Técnico I",23,IF(C499="JR",20,IF(C499="Estágio",10,0))))),IF(C499="Técnico III",SUMIFS($D:$D,$A:$A,$A499,$B:$B,"&lt;&gt;Patrícia Karla de Sousa Araújo",$B:$B,"&lt;&gt;Lorena Dias de Araujo",$B:$B,"&lt;&gt;Lucas Luiz Romero")*(35/1083),IF(C499="Técnico II",SUMIFS($D:$D,$A:$A,$A499,$B:$B,"&lt;&gt;Patrícia Karla de Sousa Araújo",$B:$B,"&lt;&gt;Lorena Dias de Araujo",$B:$B,"&lt;&gt;Lucas Luiz Romero")*(28/1083),IF(C499="Técnico I",SUMIFS($D:$D,$A:$A,$A499,$B:$B,"&lt;&gt;Patrícia Karla de Sousa Araújo",$B:$B,"&lt;&gt;Lorena Dias de Araujo",$B:$B,"&lt;&gt;Lucas Luiz Romero")*(23/1083),IF(C499="JR",SUMIFS($D:$D,$A:$A,$A499,$B:$B,"&lt;&gt;Patrícia Karla de Sousa Araújo",$B:$B,"&lt;&gt;Lorena Dias de Araujo",$B:$B,"&lt;&gt;Lucas Luiz Romero")*(20/1083),IF(C499="Estágio",SUMIFS($D:$D,$A:$A,$A499,$B:$B,"&lt;&gt;Patrícia Karla de Sousa Araújo",$B:$B,"&lt;&gt;Lorena Dias de Araujo",$B:$B,"&lt;&gt;Lucas Luiz Romero")*(10/1083),0)))))),0)</f>
        <v>23</v>
      </c>
      <c r="K499" s="3">
        <f>I499-J499</f>
        <v>-2</v>
      </c>
      <c r="L499" s="3" t="str">
        <f>IF(K499&lt;-5,"CRÍTICO",IF(K499&lt;0,"ATENÇÃO",IF(K499&lt;=5,"OPORTUNO","MUITO BOM")))</f>
        <v>ATENÇÃO</v>
      </c>
      <c r="M499" s="3">
        <v>18</v>
      </c>
      <c r="N499" s="3">
        <v>99</v>
      </c>
      <c r="O499" s="3">
        <v>22.010869565217391</v>
      </c>
    </row>
    <row r="500" spans="1:15" hidden="1" x14ac:dyDescent="0.25">
      <c r="A500" s="5">
        <v>46150</v>
      </c>
      <c r="B500" s="6" t="s">
        <v>57</v>
      </c>
      <c r="C500" s="1" t="s">
        <v>48</v>
      </c>
      <c r="D500" s="3">
        <v>26</v>
      </c>
      <c r="E500" s="3">
        <v>26</v>
      </c>
      <c r="F500" s="3">
        <v>20.059999999999999</v>
      </c>
      <c r="G500" s="3">
        <v>0</v>
      </c>
      <c r="H500" s="3">
        <v>0</v>
      </c>
      <c r="I500" s="3">
        <f>E500+G500+H500</f>
        <v>26</v>
      </c>
      <c r="J500" s="3">
        <f>ROUND(MIN(IF(C500="Técnico III",35,IF(C500="Técnico II",28,IF(C500="Técnico I",23,IF(C500="JR",20,IF(C500="Estágio",10,0))))),IF(C500="Técnico III",SUMIFS($D:$D,$A:$A,$A500,$B:$B,"&lt;&gt;Patrícia Karla de Sousa Araújo",$B:$B,"&lt;&gt;Lorena Dias de Araujo",$B:$B,"&lt;&gt;Lucas Luiz Romero")*(35/1083),IF(C500="Técnico II",SUMIFS($D:$D,$A:$A,$A500,$B:$B,"&lt;&gt;Patrícia Karla de Sousa Araújo",$B:$B,"&lt;&gt;Lorena Dias de Araujo",$B:$B,"&lt;&gt;Lucas Luiz Romero")*(28/1083),IF(C500="Técnico I",SUMIFS($D:$D,$A:$A,$A500,$B:$B,"&lt;&gt;Patrícia Karla de Sousa Araújo",$B:$B,"&lt;&gt;Lorena Dias de Araujo",$B:$B,"&lt;&gt;Lucas Luiz Romero")*(23/1083),IF(C500="JR",SUMIFS($D:$D,$A:$A,$A500,$B:$B,"&lt;&gt;Patrícia Karla de Sousa Araújo",$B:$B,"&lt;&gt;Lorena Dias de Araujo",$B:$B,"&lt;&gt;Lucas Luiz Romero")*(20/1083),IF(C500="Estágio",SUMIFS($D:$D,$A:$A,$A500,$B:$B,"&lt;&gt;Patrícia Karla de Sousa Araújo",$B:$B,"&lt;&gt;Lorena Dias de Araujo",$B:$B,"&lt;&gt;Lucas Luiz Romero")*(10/1083),0)))))),0)</f>
        <v>23</v>
      </c>
      <c r="K500" s="3">
        <f>I500-J500</f>
        <v>3</v>
      </c>
      <c r="L500" s="3" t="str">
        <f>IF(K500&lt;-5,"CRÍTICO",IF(K500&lt;0,"ATENÇÃO",IF(K500&lt;=5,"OPORTUNO","MUITO BOM")))</f>
        <v>OPORTUNO</v>
      </c>
      <c r="M500" s="3">
        <v>21</v>
      </c>
      <c r="N500" s="3">
        <v>100</v>
      </c>
      <c r="O500" s="3">
        <v>25</v>
      </c>
    </row>
    <row r="501" spans="1:15" hidden="1" x14ac:dyDescent="0.25">
      <c r="A501" s="5">
        <v>46150</v>
      </c>
      <c r="B501" s="6" t="s">
        <v>58</v>
      </c>
      <c r="C501" s="1" t="s">
        <v>48</v>
      </c>
      <c r="D501" s="3">
        <v>19</v>
      </c>
      <c r="E501" s="3">
        <v>19</v>
      </c>
      <c r="F501" s="3">
        <v>17.079999999999998</v>
      </c>
      <c r="G501" s="3">
        <v>0</v>
      </c>
      <c r="H501" s="3">
        <v>0</v>
      </c>
      <c r="I501" s="3">
        <f>E501+G501+H501</f>
        <v>19</v>
      </c>
      <c r="J501" s="3">
        <f>ROUND(MIN(IF(C501="Técnico III",35,IF(C501="Técnico II",28,IF(C501="Técnico I",23,IF(C501="JR",20,IF(C501="Estágio",10,0))))),IF(C501="Técnico III",SUMIFS($D:$D,$A:$A,$A501,$B:$B,"&lt;&gt;Patrícia Karla de Sousa Araújo",$B:$B,"&lt;&gt;Lorena Dias de Araujo",$B:$B,"&lt;&gt;Lucas Luiz Romero")*(35/1083),IF(C501="Técnico II",SUMIFS($D:$D,$A:$A,$A501,$B:$B,"&lt;&gt;Patrícia Karla de Sousa Araújo",$B:$B,"&lt;&gt;Lorena Dias de Araujo",$B:$B,"&lt;&gt;Lucas Luiz Romero")*(28/1083),IF(C501="Técnico I",SUMIFS($D:$D,$A:$A,$A501,$B:$B,"&lt;&gt;Patrícia Karla de Sousa Araújo",$B:$B,"&lt;&gt;Lorena Dias de Araujo",$B:$B,"&lt;&gt;Lucas Luiz Romero")*(23/1083),IF(C501="JR",SUMIFS($D:$D,$A:$A,$A501,$B:$B,"&lt;&gt;Patrícia Karla de Sousa Araújo",$B:$B,"&lt;&gt;Lorena Dias de Araujo",$B:$B,"&lt;&gt;Lucas Luiz Romero")*(20/1083),IF(C501="Estágio",SUMIFS($D:$D,$A:$A,$A501,$B:$B,"&lt;&gt;Patrícia Karla de Sousa Araújo",$B:$B,"&lt;&gt;Lorena Dias de Araujo",$B:$B,"&lt;&gt;Lucas Luiz Romero")*(10/1083),0)))))),0)</f>
        <v>23</v>
      </c>
      <c r="K501" s="3">
        <f>I501-J501</f>
        <v>-4</v>
      </c>
      <c r="L501" s="3" t="str">
        <f>IF(K501&lt;-5,"CRÍTICO",IF(K501&lt;0,"ATENÇÃO",IF(K501&lt;=5,"OPORTUNO","MUITO BOM")))</f>
        <v>ATENÇÃO</v>
      </c>
      <c r="M501" s="3">
        <v>17</v>
      </c>
      <c r="N501" s="3">
        <v>100</v>
      </c>
      <c r="O501" s="3">
        <v>20.183486238532112</v>
      </c>
    </row>
    <row r="502" spans="1:15" hidden="1" x14ac:dyDescent="0.25">
      <c r="A502" s="5">
        <v>46150</v>
      </c>
      <c r="B502" s="6" t="s">
        <v>59</v>
      </c>
      <c r="C502" s="1" t="s">
        <v>23</v>
      </c>
      <c r="D502" s="3">
        <v>26</v>
      </c>
      <c r="E502" s="3">
        <v>25</v>
      </c>
      <c r="F502" s="3">
        <v>22.39</v>
      </c>
      <c r="G502" s="3">
        <v>0</v>
      </c>
      <c r="H502" s="3">
        <v>0</v>
      </c>
      <c r="I502" s="3">
        <f>E502+G502+H502</f>
        <v>25</v>
      </c>
      <c r="J502" s="3">
        <f>ROUND(MIN(IF(C502="Técnico III",35,IF(C502="Técnico II",28,IF(C502="Técnico I",23,IF(C502="JR",20,IF(C502="Estágio",10,0))))),IF(C502="Técnico III",SUMIFS($D:$D,$A:$A,$A502,$B:$B,"&lt;&gt;Patrícia Karla de Sousa Araújo",$B:$B,"&lt;&gt;Lorena Dias de Araujo",$B:$B,"&lt;&gt;Lucas Luiz Romero")*(35/1083),IF(C502="Técnico II",SUMIFS($D:$D,$A:$A,$A502,$B:$B,"&lt;&gt;Patrícia Karla de Sousa Araújo",$B:$B,"&lt;&gt;Lorena Dias de Araujo",$B:$B,"&lt;&gt;Lucas Luiz Romero")*(28/1083),IF(C502="Técnico I",SUMIFS($D:$D,$A:$A,$A502,$B:$B,"&lt;&gt;Patrícia Karla de Sousa Araújo",$B:$B,"&lt;&gt;Lorena Dias de Araujo",$B:$B,"&lt;&gt;Lucas Luiz Romero")*(23/1083),IF(C502="JR",SUMIFS($D:$D,$A:$A,$A502,$B:$B,"&lt;&gt;Patrícia Karla de Sousa Araújo",$B:$B,"&lt;&gt;Lorena Dias de Araujo",$B:$B,"&lt;&gt;Lucas Luiz Romero")*(20/1083),IF(C502="Estágio",SUMIFS($D:$D,$A:$A,$A502,$B:$B,"&lt;&gt;Patrícia Karla de Sousa Araújo",$B:$B,"&lt;&gt;Lorena Dias de Araujo",$B:$B,"&lt;&gt;Lucas Luiz Romero")*(10/1083),0)))))),0)</f>
        <v>19</v>
      </c>
      <c r="K502" s="3">
        <f>I502-J502</f>
        <v>6</v>
      </c>
      <c r="L502" s="3" t="str">
        <f>IF(K502&lt;-5,"CRÍTICO",IF(K502&lt;0,"ATENÇÃO",IF(K502&lt;=5,"OPORTUNO","MUITO BOM")))</f>
        <v>MUITO BOM</v>
      </c>
      <c r="M502" s="3">
        <v>24</v>
      </c>
      <c r="N502" s="3">
        <v>96.25</v>
      </c>
      <c r="O502" s="3">
        <v>25.586353944562902</v>
      </c>
    </row>
    <row r="503" spans="1:15" hidden="1" x14ac:dyDescent="0.25">
      <c r="A503" s="11">
        <v>46044</v>
      </c>
      <c r="B503" t="s">
        <v>22</v>
      </c>
      <c r="C503" t="s">
        <v>23</v>
      </c>
      <c r="D503">
        <v>23</v>
      </c>
      <c r="E503">
        <v>22</v>
      </c>
      <c r="F503">
        <v>23.38</v>
      </c>
      <c r="G503">
        <v>0</v>
      </c>
      <c r="H503">
        <v>0</v>
      </c>
      <c r="I503" s="3">
        <f>E503+G503+H503</f>
        <v>22</v>
      </c>
      <c r="J503" s="3">
        <f>ROUND(MIN(IF(C503="Técnico III",35,IF(C503="Técnico II",28,IF(C503="Técnico I",23,IF(C503="JR",20,IF(C503="Estágio",10,0))))),IF(C503="Técnico III",SUMIFS($D:$D,$A:$A,$A503,$B:$B,"&lt;&gt;Patrícia Karla de Sousa Araújo",$B:$B,"&lt;&gt;Lorena Dias de Araujo",$B:$B,"&lt;&gt;Lucas Luiz Romero")*(35/1083),IF(C503="Técnico II",SUMIFS($D:$D,$A:$A,$A503,$B:$B,"&lt;&gt;Patrícia Karla de Sousa Araújo",$B:$B,"&lt;&gt;Lorena Dias de Araujo",$B:$B,"&lt;&gt;Lucas Luiz Romero")*(28/1083),IF(C503="Técnico I",SUMIFS($D:$D,$A:$A,$A503,$B:$B,"&lt;&gt;Patrícia Karla de Sousa Araújo",$B:$B,"&lt;&gt;Lorena Dias de Araujo",$B:$B,"&lt;&gt;Lucas Luiz Romero")*(23/1083),IF(C503="JR",SUMIFS($D:$D,$A:$A,$A503,$B:$B,"&lt;&gt;Patrícia Karla de Sousa Araújo",$B:$B,"&lt;&gt;Lorena Dias de Araujo",$B:$B,"&lt;&gt;Lucas Luiz Romero")*(20/1083),IF(C503="Estágio",SUMIFS($D:$D,$A:$A,$A503,$B:$B,"&lt;&gt;Patrícia Karla de Sousa Araújo",$B:$B,"&lt;&gt;Lorena Dias de Araujo",$B:$B,"&lt;&gt;Lucas Luiz Romero")*(10/1083),0)))))),0)</f>
        <v>14</v>
      </c>
      <c r="K503" s="3">
        <f>I503-J503</f>
        <v>8</v>
      </c>
      <c r="L503" s="3" t="str">
        <f>IF(K503&lt;-5,"CRÍTICO",IF(K503&lt;0,"ATENÇÃO",IF(K503&lt;=5,"BOM","EXCELENTE")))</f>
        <v>EXCELENTE</v>
      </c>
      <c r="M503">
        <v>21</v>
      </c>
      <c r="N503">
        <v>98.91</v>
      </c>
      <c r="O503">
        <v>31.367292225201069</v>
      </c>
    </row>
    <row r="504" spans="1:15" hidden="1" x14ac:dyDescent="0.25">
      <c r="A504" s="11">
        <v>46045</v>
      </c>
      <c r="B504" t="s">
        <v>22</v>
      </c>
      <c r="C504" t="s">
        <v>23</v>
      </c>
      <c r="D504">
        <v>17</v>
      </c>
      <c r="E504">
        <v>17</v>
      </c>
      <c r="F504">
        <v>17</v>
      </c>
      <c r="G504">
        <v>0</v>
      </c>
      <c r="H504">
        <v>0</v>
      </c>
      <c r="I504" s="3">
        <f>E504+G504+H504</f>
        <v>17</v>
      </c>
      <c r="J504" s="3">
        <f>ROUND(MIN(IF(C504="Técnico III",35,IF(C504="Técnico II",28,IF(C504="Técnico I",23,IF(C504="JR",20,IF(C504="Estágio",10,0))))),IF(C504="Técnico III",SUMIFS($D:$D,$A:$A,$A504,$B:$B,"&lt;&gt;Patrícia Karla de Sousa Araújo",$B:$B,"&lt;&gt;Lorena Dias de Araujo",$B:$B,"&lt;&gt;Lucas Luiz Romero")*(35/1083),IF(C504="Técnico II",SUMIFS($D:$D,$A:$A,$A504,$B:$B,"&lt;&gt;Patrícia Karla de Sousa Araújo",$B:$B,"&lt;&gt;Lorena Dias de Araujo",$B:$B,"&lt;&gt;Lucas Luiz Romero")*(28/1083),IF(C504="Técnico I",SUMIFS($D:$D,$A:$A,$A504,$B:$B,"&lt;&gt;Patrícia Karla de Sousa Araújo",$B:$B,"&lt;&gt;Lorena Dias de Araujo",$B:$B,"&lt;&gt;Lucas Luiz Romero")*(23/1083),IF(C504="JR",SUMIFS($D:$D,$A:$A,$A504,$B:$B,"&lt;&gt;Patrícia Karla de Sousa Araújo",$B:$B,"&lt;&gt;Lorena Dias de Araujo",$B:$B,"&lt;&gt;Lucas Luiz Romero")*(20/1083),IF(C504="Estágio",SUMIFS($D:$D,$A:$A,$A504,$B:$B,"&lt;&gt;Patrícia Karla de Sousa Araújo",$B:$B,"&lt;&gt;Lorena Dias de Araujo",$B:$B,"&lt;&gt;Lucas Luiz Romero")*(10/1083),0)))))),0)</f>
        <v>14</v>
      </c>
      <c r="K504" s="3">
        <f>I504-J504</f>
        <v>3</v>
      </c>
      <c r="L504" s="3" t="str">
        <f>IF(K504&lt;-5,"CRÍTICO",IF(K504&lt;0,"ATENÇÃO",IF(K504&lt;=5,"BOM","EXCELENTE")))</f>
        <v>BOM</v>
      </c>
      <c r="M504">
        <v>16</v>
      </c>
      <c r="N504">
        <v>98.91</v>
      </c>
      <c r="O504">
        <v>31.367292225201069</v>
      </c>
    </row>
    <row r="505" spans="1:15" hidden="1" x14ac:dyDescent="0.25">
      <c r="A505" s="5">
        <v>46150</v>
      </c>
      <c r="B505" s="6" t="s">
        <v>60</v>
      </c>
      <c r="C505" s="1" t="s">
        <v>23</v>
      </c>
      <c r="D505" s="3">
        <v>25</v>
      </c>
      <c r="E505" s="3">
        <v>24</v>
      </c>
      <c r="F505" s="3">
        <v>17.350000000000001</v>
      </c>
      <c r="G505" s="3">
        <v>6</v>
      </c>
      <c r="H505" s="3">
        <v>0</v>
      </c>
      <c r="I505" s="3">
        <f>E505+G505+H505</f>
        <v>30</v>
      </c>
      <c r="J505" s="3">
        <f>ROUND(MIN(IF(C505="Técnico III",35,IF(C505="Técnico II",28,IF(C505="Técnico I",23,IF(C505="JR",20,IF(C505="Estágio",10,0))))),IF(C505="Técnico III",SUMIFS($D:$D,$A:$A,$A505,$B:$B,"&lt;&gt;Patrícia Karla de Sousa Araújo",$B:$B,"&lt;&gt;Lorena Dias de Araujo",$B:$B,"&lt;&gt;Lucas Luiz Romero")*(35/1083),IF(C505="Técnico II",SUMIFS($D:$D,$A:$A,$A505,$B:$B,"&lt;&gt;Patrícia Karla de Sousa Araújo",$B:$B,"&lt;&gt;Lorena Dias de Araujo",$B:$B,"&lt;&gt;Lucas Luiz Romero")*(28/1083),IF(C505="Técnico I",SUMIFS($D:$D,$A:$A,$A505,$B:$B,"&lt;&gt;Patrícia Karla de Sousa Araújo",$B:$B,"&lt;&gt;Lorena Dias de Araujo",$B:$B,"&lt;&gt;Lucas Luiz Romero")*(23/1083),IF(C505="JR",SUMIFS($D:$D,$A:$A,$A505,$B:$B,"&lt;&gt;Patrícia Karla de Sousa Araújo",$B:$B,"&lt;&gt;Lorena Dias de Araujo",$B:$B,"&lt;&gt;Lucas Luiz Romero")*(20/1083),IF(C505="Estágio",SUMIFS($D:$D,$A:$A,$A505,$B:$B,"&lt;&gt;Patrícia Karla de Sousa Araújo",$B:$B,"&lt;&gt;Lorena Dias de Araujo",$B:$B,"&lt;&gt;Lucas Luiz Romero")*(10/1083),0)))))),0)</f>
        <v>19</v>
      </c>
      <c r="K505" s="3">
        <f>I505-J505</f>
        <v>11</v>
      </c>
      <c r="L505" s="3" t="str">
        <f>IF(K505&lt;-5,"CRÍTICO",IF(K505&lt;0,"ATENÇÃO",IF(K505&lt;=5,"OPORTUNO","MUITO BOM")))</f>
        <v>MUITO BOM</v>
      </c>
      <c r="M505" s="3">
        <v>27</v>
      </c>
      <c r="N505" s="3">
        <v>97.48</v>
      </c>
      <c r="O505" s="3">
        <v>22.99465240641711</v>
      </c>
    </row>
    <row r="506" spans="1:15" hidden="1" x14ac:dyDescent="0.25">
      <c r="A506" s="5">
        <v>46150</v>
      </c>
      <c r="B506" s="6" t="s">
        <v>61</v>
      </c>
      <c r="C506" s="1" t="s">
        <v>23</v>
      </c>
      <c r="D506" s="3">
        <v>16</v>
      </c>
      <c r="E506" s="3">
        <v>16</v>
      </c>
      <c r="F506" s="3">
        <v>23.51</v>
      </c>
      <c r="G506" s="3">
        <v>0</v>
      </c>
      <c r="H506" s="3">
        <v>0</v>
      </c>
      <c r="I506" s="3">
        <f>E506+G506+H506</f>
        <v>16</v>
      </c>
      <c r="J506" s="3">
        <f>ROUND(MIN(IF(C506="Técnico III",35,IF(C506="Técnico II",28,IF(C506="Técnico I",23,IF(C506="JR",20,IF(C506="Estágio",10,0))))),IF(C506="Técnico III",SUMIFS($D:$D,$A:$A,$A506,$B:$B,"&lt;&gt;Patrícia Karla de Sousa Araújo",$B:$B,"&lt;&gt;Lorena Dias de Araujo",$B:$B,"&lt;&gt;Lucas Luiz Romero")*(35/1083),IF(C506="Técnico II",SUMIFS($D:$D,$A:$A,$A506,$B:$B,"&lt;&gt;Patrícia Karla de Sousa Araújo",$B:$B,"&lt;&gt;Lorena Dias de Araujo",$B:$B,"&lt;&gt;Lucas Luiz Romero")*(28/1083),IF(C506="Técnico I",SUMIFS($D:$D,$A:$A,$A506,$B:$B,"&lt;&gt;Patrícia Karla de Sousa Araújo",$B:$B,"&lt;&gt;Lorena Dias de Araujo",$B:$B,"&lt;&gt;Lucas Luiz Romero")*(23/1083),IF(C506="JR",SUMIFS($D:$D,$A:$A,$A506,$B:$B,"&lt;&gt;Patrícia Karla de Sousa Araújo",$B:$B,"&lt;&gt;Lorena Dias de Araujo",$B:$B,"&lt;&gt;Lucas Luiz Romero")*(20/1083),IF(C506="Estágio",SUMIFS($D:$D,$A:$A,$A506,$B:$B,"&lt;&gt;Patrícia Karla de Sousa Araújo",$B:$B,"&lt;&gt;Lorena Dias de Araujo",$B:$B,"&lt;&gt;Lucas Luiz Romero")*(10/1083),0)))))),0)</f>
        <v>19</v>
      </c>
      <c r="K506" s="3">
        <f>I506-J506</f>
        <v>-3</v>
      </c>
      <c r="L506" s="3" t="str">
        <f>IF(K506&lt;-5,"CRÍTICO",IF(K506&lt;0,"ATENÇÃO",IF(K506&lt;=5,"OPORTUNO","MUITO BOM")))</f>
        <v>ATENÇÃO</v>
      </c>
      <c r="M506" s="3">
        <v>11</v>
      </c>
      <c r="N506" s="3">
        <v>100</v>
      </c>
      <c r="O506" s="3">
        <v>20.788530465949819</v>
      </c>
    </row>
    <row r="507" spans="1:15" hidden="1" x14ac:dyDescent="0.25">
      <c r="A507" s="5">
        <v>46150</v>
      </c>
      <c r="B507" s="6" t="s">
        <v>62</v>
      </c>
      <c r="C507" s="1" t="s">
        <v>23</v>
      </c>
      <c r="D507" s="3">
        <v>18</v>
      </c>
      <c r="E507" s="3">
        <v>17</v>
      </c>
      <c r="F507" s="3">
        <v>25.06</v>
      </c>
      <c r="G507" s="3">
        <v>6</v>
      </c>
      <c r="H507" s="3">
        <v>0</v>
      </c>
      <c r="I507" s="3">
        <f>E507+G507+H507</f>
        <v>23</v>
      </c>
      <c r="J507" s="3">
        <f>ROUND(MIN(IF(C507="Técnico III",35,IF(C507="Técnico II",28,IF(C507="Técnico I",23,IF(C507="JR",20,IF(C507="Estágio",10,0))))),IF(C507="Técnico III",SUMIFS($D:$D,$A:$A,$A507,$B:$B,"&lt;&gt;Patrícia Karla de Sousa Araújo",$B:$B,"&lt;&gt;Lorena Dias de Araujo",$B:$B,"&lt;&gt;Lucas Luiz Romero")*(35/1083),IF(C507="Técnico II",SUMIFS($D:$D,$A:$A,$A507,$B:$B,"&lt;&gt;Patrícia Karla de Sousa Araújo",$B:$B,"&lt;&gt;Lorena Dias de Araujo",$B:$B,"&lt;&gt;Lucas Luiz Romero")*(28/1083),IF(C507="Técnico I",SUMIFS($D:$D,$A:$A,$A507,$B:$B,"&lt;&gt;Patrícia Karla de Sousa Araújo",$B:$B,"&lt;&gt;Lorena Dias de Araujo",$B:$B,"&lt;&gt;Lucas Luiz Romero")*(23/1083),IF(C507="JR",SUMIFS($D:$D,$A:$A,$A507,$B:$B,"&lt;&gt;Patrícia Karla de Sousa Araújo",$B:$B,"&lt;&gt;Lorena Dias de Araujo",$B:$B,"&lt;&gt;Lucas Luiz Romero")*(20/1083),IF(C507="Estágio",SUMIFS($D:$D,$A:$A,$A507,$B:$B,"&lt;&gt;Patrícia Karla de Sousa Araújo",$B:$B,"&lt;&gt;Lorena Dias de Araujo",$B:$B,"&lt;&gt;Lucas Luiz Romero")*(10/1083),0)))))),0)</f>
        <v>19</v>
      </c>
      <c r="K507" s="3">
        <f>I507-J507</f>
        <v>4</v>
      </c>
      <c r="L507" s="3" t="str">
        <f>IF(K507&lt;-5,"CRÍTICO",IF(K507&lt;0,"ATENÇÃO",IF(K507&lt;=5,"OPORTUNO","MUITO BOM")))</f>
        <v>OPORTUNO</v>
      </c>
      <c r="M507" s="3">
        <v>23</v>
      </c>
      <c r="N507" s="3">
        <v>94.55</v>
      </c>
      <c r="O507" s="3">
        <v>23.450134770889491</v>
      </c>
    </row>
    <row r="508" spans="1:15" hidden="1" x14ac:dyDescent="0.25">
      <c r="A508" s="5">
        <v>46150</v>
      </c>
      <c r="B508" s="6" t="s">
        <v>63</v>
      </c>
      <c r="C508" s="1" t="s">
        <v>23</v>
      </c>
      <c r="D508" s="3">
        <v>39</v>
      </c>
      <c r="E508" s="3">
        <v>34</v>
      </c>
      <c r="F508" s="3">
        <v>12.08</v>
      </c>
      <c r="G508" s="3">
        <v>2</v>
      </c>
      <c r="H508" s="3">
        <v>0</v>
      </c>
      <c r="I508" s="3">
        <f>E508+G508+H508</f>
        <v>36</v>
      </c>
      <c r="J508" s="3">
        <f>ROUND(MIN(IF(C508="Técnico III",35,IF(C508="Técnico II",28,IF(C508="Técnico I",23,IF(C508="JR",20,IF(C508="Estágio",10,0))))),IF(C508="Técnico III",SUMIFS($D:$D,$A:$A,$A508,$B:$B,"&lt;&gt;Patrícia Karla de Sousa Araújo",$B:$B,"&lt;&gt;Lorena Dias de Araujo",$B:$B,"&lt;&gt;Lucas Luiz Romero")*(35/1083),IF(C508="Técnico II",SUMIFS($D:$D,$A:$A,$A508,$B:$B,"&lt;&gt;Patrícia Karla de Sousa Araújo",$B:$B,"&lt;&gt;Lorena Dias de Araujo",$B:$B,"&lt;&gt;Lucas Luiz Romero")*(28/1083),IF(C508="Técnico I",SUMIFS($D:$D,$A:$A,$A508,$B:$B,"&lt;&gt;Patrícia Karla de Sousa Araújo",$B:$B,"&lt;&gt;Lorena Dias de Araujo",$B:$B,"&lt;&gt;Lucas Luiz Romero")*(23/1083),IF(C508="JR",SUMIFS($D:$D,$A:$A,$A508,$B:$B,"&lt;&gt;Patrícia Karla de Sousa Araújo",$B:$B,"&lt;&gt;Lorena Dias de Araujo",$B:$B,"&lt;&gt;Lucas Luiz Romero")*(20/1083),IF(C508="Estágio",SUMIFS($D:$D,$A:$A,$A508,$B:$B,"&lt;&gt;Patrícia Karla de Sousa Araújo",$B:$B,"&lt;&gt;Lorena Dias de Araujo",$B:$B,"&lt;&gt;Lucas Luiz Romero")*(10/1083),0)))))),0)</f>
        <v>19</v>
      </c>
      <c r="K508" s="3">
        <f>I508-J508</f>
        <v>17</v>
      </c>
      <c r="L508" s="3" t="str">
        <f>IF(K508&lt;-5,"CRÍTICO",IF(K508&lt;0,"ATENÇÃO",IF(K508&lt;=5,"OPORTUNO","MUITO BOM")))</f>
        <v>MUITO BOM</v>
      </c>
      <c r="M508" s="3">
        <v>32</v>
      </c>
      <c r="N508" s="3">
        <v>98</v>
      </c>
      <c r="O508" s="3">
        <v>20.73490813648294</v>
      </c>
    </row>
    <row r="509" spans="1:15" hidden="1" x14ac:dyDescent="0.25">
      <c r="A509" s="5">
        <v>46150</v>
      </c>
      <c r="B509" s="6" t="s">
        <v>64</v>
      </c>
      <c r="C509" s="1" t="s">
        <v>23</v>
      </c>
      <c r="D509" s="3">
        <v>0</v>
      </c>
      <c r="E509" s="3">
        <v>0</v>
      </c>
      <c r="F509" s="3">
        <v>0</v>
      </c>
      <c r="G509" s="3">
        <v>0</v>
      </c>
      <c r="H509" s="3">
        <v>0</v>
      </c>
      <c r="I509" s="3">
        <f>E509+G509+H509</f>
        <v>0</v>
      </c>
      <c r="J509" s="3">
        <f>ROUND(MIN(IF(C509="Técnico III",35,IF(C509="Técnico II",28,IF(C509="Técnico I",23,IF(C509="JR",20,IF(C509="Estágio",10,0))))),IF(C509="Técnico III",SUMIFS($D:$D,$A:$A,$A509,$B:$B,"&lt;&gt;Patrícia Karla de Sousa Araújo",$B:$B,"&lt;&gt;Lorena Dias de Araujo",$B:$B,"&lt;&gt;Lucas Luiz Romero")*(35/1083),IF(C509="Técnico II",SUMIFS($D:$D,$A:$A,$A509,$B:$B,"&lt;&gt;Patrícia Karla de Sousa Araújo",$B:$B,"&lt;&gt;Lorena Dias de Araujo",$B:$B,"&lt;&gt;Lucas Luiz Romero")*(28/1083),IF(C509="Técnico I",SUMIFS($D:$D,$A:$A,$A509,$B:$B,"&lt;&gt;Patrícia Karla de Sousa Araújo",$B:$B,"&lt;&gt;Lorena Dias de Araujo",$B:$B,"&lt;&gt;Lucas Luiz Romero")*(23/1083),IF(C509="JR",SUMIFS($D:$D,$A:$A,$A509,$B:$B,"&lt;&gt;Patrícia Karla de Sousa Araújo",$B:$B,"&lt;&gt;Lorena Dias de Araujo",$B:$B,"&lt;&gt;Lucas Luiz Romero")*(20/1083),IF(C509="Estágio",SUMIFS($D:$D,$A:$A,$A509,$B:$B,"&lt;&gt;Patrícia Karla de Sousa Araújo",$B:$B,"&lt;&gt;Lorena Dias de Araujo",$B:$B,"&lt;&gt;Lucas Luiz Romero")*(10/1083),0)))))),0)</f>
        <v>19</v>
      </c>
      <c r="K509" s="3">
        <f>I509-J509</f>
        <v>-19</v>
      </c>
      <c r="L509" s="3" t="str">
        <f>IF(K509&lt;-5,"CRÍTICO",IF(K509&lt;0,"ATENÇÃO",IF(K509&lt;=5,"OPORTUNO","MUITO BOM")))</f>
        <v>CRÍTICO</v>
      </c>
      <c r="M509" s="3">
        <v>0</v>
      </c>
      <c r="N509" s="3">
        <v>100</v>
      </c>
      <c r="O509" s="3">
        <v>18</v>
      </c>
    </row>
    <row r="510" spans="1:15" hidden="1" x14ac:dyDescent="0.25">
      <c r="A510" s="5">
        <v>46150</v>
      </c>
      <c r="B510" s="6" t="s">
        <v>22</v>
      </c>
      <c r="C510" s="1" t="s">
        <v>23</v>
      </c>
      <c r="D510" s="3">
        <v>0</v>
      </c>
      <c r="E510" s="3">
        <v>0</v>
      </c>
      <c r="F510" s="3">
        <v>0</v>
      </c>
      <c r="G510" s="3">
        <v>0</v>
      </c>
      <c r="H510" s="3">
        <v>0</v>
      </c>
      <c r="I510" s="3">
        <f>E510+G510+H510</f>
        <v>0</v>
      </c>
      <c r="J510" s="3">
        <f>ROUND(MIN(IF(C510="Técnico III",35,IF(C510="Técnico II",28,IF(C510="Técnico I",23,IF(C510="JR",20,IF(C510="Estágio",10,0))))),IF(C510="Técnico III",SUMIFS($D:$D,$A:$A,$A510,$B:$B,"&lt;&gt;Patrícia Karla de Sousa Araújo",$B:$B,"&lt;&gt;Lorena Dias de Araujo",$B:$B,"&lt;&gt;Lucas Luiz Romero")*(35/1083),IF(C510="Técnico II",SUMIFS($D:$D,$A:$A,$A510,$B:$B,"&lt;&gt;Patrícia Karla de Sousa Araújo",$B:$B,"&lt;&gt;Lorena Dias de Araujo",$B:$B,"&lt;&gt;Lucas Luiz Romero")*(28/1083),IF(C510="Técnico I",SUMIFS($D:$D,$A:$A,$A510,$B:$B,"&lt;&gt;Patrícia Karla de Sousa Araújo",$B:$B,"&lt;&gt;Lorena Dias de Araujo",$B:$B,"&lt;&gt;Lucas Luiz Romero")*(23/1083),IF(C510="JR",SUMIFS($D:$D,$A:$A,$A510,$B:$B,"&lt;&gt;Patrícia Karla de Sousa Araújo",$B:$B,"&lt;&gt;Lorena Dias de Araujo",$B:$B,"&lt;&gt;Lucas Luiz Romero")*(20/1083),IF(C510="Estágio",SUMIFS($D:$D,$A:$A,$A510,$B:$B,"&lt;&gt;Patrícia Karla de Sousa Araújo",$B:$B,"&lt;&gt;Lorena Dias de Araujo",$B:$B,"&lt;&gt;Lucas Luiz Romero")*(10/1083),0)))))),0)</f>
        <v>19</v>
      </c>
      <c r="K510" s="3">
        <f>I510-J510</f>
        <v>-19</v>
      </c>
      <c r="L510" s="3" t="str">
        <f>IF(K510&lt;-5,"CRÍTICO",IF(K510&lt;0,"ATENÇÃO",IF(K510&lt;=5,"OPORTUNO","MUITO BOM")))</f>
        <v>CRÍTICO</v>
      </c>
      <c r="M510" s="3">
        <v>0</v>
      </c>
      <c r="N510" s="3">
        <v>99.06</v>
      </c>
      <c r="O510" s="3">
        <v>19.417475728155338</v>
      </c>
    </row>
    <row r="511" spans="1:15" hidden="1" x14ac:dyDescent="0.25">
      <c r="A511" s="5">
        <v>46153</v>
      </c>
      <c r="B511" s="6" t="s">
        <v>31</v>
      </c>
      <c r="C511" s="1" t="s">
        <v>32</v>
      </c>
      <c r="D511" s="3">
        <v>0</v>
      </c>
      <c r="E511" s="3">
        <v>0</v>
      </c>
      <c r="F511" s="3">
        <v>0</v>
      </c>
      <c r="G511" s="3">
        <v>0</v>
      </c>
      <c r="H511" s="3">
        <v>0</v>
      </c>
      <c r="I511" s="3">
        <f>E511+G511+H511</f>
        <v>0</v>
      </c>
      <c r="J511" s="3">
        <f>ROUND(MIN(IF(C511="Técnico III",35,IF(C511="Técnico II",28,IF(C511="Técnico I",23,IF(C511="JR",20,IF(C511="Estágio",10,0))))),IF(C511="Técnico III",SUMIFS($D:$D,$A:$A,$A511,$B:$B,"&lt;&gt;Patrícia Karla de Sousa Araújo",$B:$B,"&lt;&gt;Lorena Dias de Araujo",$B:$B,"&lt;&gt;Lucas Luiz Romero")*(35/1083),IF(C511="Técnico II",SUMIFS($D:$D,$A:$A,$A511,$B:$B,"&lt;&gt;Patrícia Karla de Sousa Araújo",$B:$B,"&lt;&gt;Lorena Dias de Araujo",$B:$B,"&lt;&gt;Lucas Luiz Romero")*(28/1083),IF(C511="Técnico I",SUMIFS($D:$D,$A:$A,$A511,$B:$B,"&lt;&gt;Patrícia Karla de Sousa Araújo",$B:$B,"&lt;&gt;Lorena Dias de Araujo",$B:$B,"&lt;&gt;Lucas Luiz Romero")*(23/1083),IF(C511="JR",SUMIFS($D:$D,$A:$A,$A511,$B:$B,"&lt;&gt;Patrícia Karla de Sousa Araújo",$B:$B,"&lt;&gt;Lorena Dias de Araujo",$B:$B,"&lt;&gt;Lucas Luiz Romero")*(20/1083),IF(C511="Estágio",SUMIFS($D:$D,$A:$A,$A511,$B:$B,"&lt;&gt;Patrícia Karla de Sousa Araújo",$B:$B,"&lt;&gt;Lorena Dias de Araujo",$B:$B,"&lt;&gt;Lucas Luiz Romero")*(10/1083),0)))))),0)</f>
        <v>30</v>
      </c>
      <c r="K511" s="3">
        <f>I511-J511</f>
        <v>-30</v>
      </c>
      <c r="L511" s="3" t="str">
        <f>IF(K511&lt;-5,"CRÍTICO",IF(K511&lt;0,"ATENÇÃO",IF(K511&lt;=5,"OPORTUNO","MUITO BOM")))</f>
        <v>CRÍTICO</v>
      </c>
      <c r="M511" s="3">
        <v>0</v>
      </c>
      <c r="N511" s="3">
        <v>100</v>
      </c>
      <c r="O511" s="3">
        <v>0</v>
      </c>
    </row>
    <row r="512" spans="1:15" hidden="1" x14ac:dyDescent="0.25">
      <c r="A512" s="5">
        <v>46153</v>
      </c>
      <c r="B512" s="6" t="s">
        <v>33</v>
      </c>
      <c r="C512" s="14" t="s">
        <v>32</v>
      </c>
      <c r="D512" s="3">
        <v>18</v>
      </c>
      <c r="E512" s="3">
        <v>16</v>
      </c>
      <c r="F512" s="3">
        <v>23.31</v>
      </c>
      <c r="G512" s="3">
        <v>0</v>
      </c>
      <c r="H512" s="3">
        <v>0</v>
      </c>
      <c r="I512" s="3">
        <f>E512+G512+H512</f>
        <v>16</v>
      </c>
      <c r="J512" s="3">
        <f>ROUND(MIN(IF(C512="Técnico III",35,IF(C512="Técnico II",28,IF(C512="Técnico I",23,IF(C512="JR",20,IF(C512="Estágio",10,0))))),IF(C512="Técnico III",SUMIFS($D:$D,$A:$A,$A512,$B:$B,"&lt;&gt;Patrícia Karla de Sousa Araújo",$B:$B,"&lt;&gt;Lorena Dias de Araujo",$B:$B,"&lt;&gt;Lucas Luiz Romero")*(35/1083),IF(C512="Técnico II",SUMIFS($D:$D,$A:$A,$A512,$B:$B,"&lt;&gt;Patrícia Karla de Sousa Araújo",$B:$B,"&lt;&gt;Lorena Dias de Araujo",$B:$B,"&lt;&gt;Lucas Luiz Romero")*(28/1083),IF(C512="Técnico I",SUMIFS($D:$D,$A:$A,$A512,$B:$B,"&lt;&gt;Patrícia Karla de Sousa Araújo",$B:$B,"&lt;&gt;Lorena Dias de Araujo",$B:$B,"&lt;&gt;Lucas Luiz Romero")*(23/1083),IF(C512="JR",SUMIFS($D:$D,$A:$A,$A512,$B:$B,"&lt;&gt;Patrícia Karla de Sousa Araújo",$B:$B,"&lt;&gt;Lorena Dias de Araujo",$B:$B,"&lt;&gt;Lucas Luiz Romero")*(20/1083),IF(C512="Estágio",SUMIFS($D:$D,$A:$A,$A512,$B:$B,"&lt;&gt;Patrícia Karla de Sousa Araújo",$B:$B,"&lt;&gt;Lorena Dias de Araujo",$B:$B,"&lt;&gt;Lucas Luiz Romero")*(10/1083),0)))))),0)</f>
        <v>30</v>
      </c>
      <c r="K512" s="3">
        <f>I512-J512</f>
        <v>-14</v>
      </c>
      <c r="L512" s="3" t="str">
        <f>IF(K512&lt;-5,"CRÍTICO",IF(K512&lt;0,"ATENÇÃO",IF(K512&lt;=5,"OPORTUNO","MUITO BOM")))</f>
        <v>CRÍTICO</v>
      </c>
      <c r="M512" s="3">
        <v>13</v>
      </c>
      <c r="N512" s="3">
        <v>96.94</v>
      </c>
      <c r="O512" s="3">
        <v>19.613259668508292</v>
      </c>
    </row>
    <row r="513" spans="1:15" hidden="1" x14ac:dyDescent="0.25">
      <c r="A513" s="5">
        <v>46153</v>
      </c>
      <c r="B513" s="6" t="s">
        <v>34</v>
      </c>
      <c r="C513" s="1" t="s">
        <v>32</v>
      </c>
      <c r="D513" s="3">
        <v>35</v>
      </c>
      <c r="E513" s="3">
        <v>35</v>
      </c>
      <c r="F513" s="3">
        <v>12.1</v>
      </c>
      <c r="G513" s="3">
        <v>0</v>
      </c>
      <c r="H513" s="3">
        <v>0</v>
      </c>
      <c r="I513" s="3">
        <f>E513+G513+H513</f>
        <v>35</v>
      </c>
      <c r="J513" s="3">
        <f>ROUND(MIN(IF(C513="Técnico III",35,IF(C513="Técnico II",28,IF(C513="Técnico I",23,IF(C513="JR",20,IF(C513="Estágio",10,0))))),IF(C513="Técnico III",SUMIFS($D:$D,$A:$A,$A513,$B:$B,"&lt;&gt;Patrícia Karla de Sousa Araújo",$B:$B,"&lt;&gt;Lorena Dias de Araujo",$B:$B,"&lt;&gt;Lucas Luiz Romero")*(35/1083),IF(C513="Técnico II",SUMIFS($D:$D,$A:$A,$A513,$B:$B,"&lt;&gt;Patrícia Karla de Sousa Araújo",$B:$B,"&lt;&gt;Lorena Dias de Araujo",$B:$B,"&lt;&gt;Lucas Luiz Romero")*(28/1083),IF(C513="Técnico I",SUMIFS($D:$D,$A:$A,$A513,$B:$B,"&lt;&gt;Patrícia Karla de Sousa Araújo",$B:$B,"&lt;&gt;Lorena Dias de Araujo",$B:$B,"&lt;&gt;Lucas Luiz Romero")*(23/1083),IF(C513="JR",SUMIFS($D:$D,$A:$A,$A513,$B:$B,"&lt;&gt;Patrícia Karla de Sousa Araújo",$B:$B,"&lt;&gt;Lorena Dias de Araujo",$B:$B,"&lt;&gt;Lucas Luiz Romero")*(20/1083),IF(C513="Estágio",SUMIFS($D:$D,$A:$A,$A513,$B:$B,"&lt;&gt;Patrícia Karla de Sousa Araújo",$B:$B,"&lt;&gt;Lorena Dias de Araujo",$B:$B,"&lt;&gt;Lucas Luiz Romero")*(10/1083),0)))))),0)</f>
        <v>30</v>
      </c>
      <c r="K513" s="3">
        <f>I513-J513</f>
        <v>5</v>
      </c>
      <c r="L513" s="3" t="str">
        <f>IF(K513&lt;-5,"CRÍTICO",IF(K513&lt;0,"ATENÇÃO",IF(K513&lt;=5,"OPORTUNO","MUITO BOM")))</f>
        <v>OPORTUNO</v>
      </c>
      <c r="M513" s="3">
        <v>31</v>
      </c>
      <c r="N513" s="3">
        <v>92.81</v>
      </c>
      <c r="O513" s="3">
        <v>25.477707006369432</v>
      </c>
    </row>
    <row r="514" spans="1:15" hidden="1" x14ac:dyDescent="0.25">
      <c r="A514" s="5">
        <v>46153</v>
      </c>
      <c r="B514" s="6" t="s">
        <v>35</v>
      </c>
      <c r="C514" s="14" t="s">
        <v>32</v>
      </c>
      <c r="D514" s="3">
        <v>25</v>
      </c>
      <c r="E514" s="3">
        <v>25</v>
      </c>
      <c r="F514" s="3">
        <v>29.18</v>
      </c>
      <c r="G514" s="3">
        <v>0</v>
      </c>
      <c r="H514" s="3">
        <v>0</v>
      </c>
      <c r="I514" s="3">
        <f>E514+G514+H514</f>
        <v>25</v>
      </c>
      <c r="J514" s="3">
        <f>ROUND(MIN(IF(C514="Técnico III",35,IF(C514="Técnico II",28,IF(C514="Técnico I",23,IF(C514="JR",20,IF(C514="Estágio",10,0))))),IF(C514="Técnico III",SUMIFS($D:$D,$A:$A,$A514,$B:$B,"&lt;&gt;Patrícia Karla de Sousa Araújo",$B:$B,"&lt;&gt;Lorena Dias de Araujo",$B:$B,"&lt;&gt;Lucas Luiz Romero")*(35/1083),IF(C514="Técnico II",SUMIFS($D:$D,$A:$A,$A514,$B:$B,"&lt;&gt;Patrícia Karla de Sousa Araújo",$B:$B,"&lt;&gt;Lorena Dias de Araujo",$B:$B,"&lt;&gt;Lucas Luiz Romero")*(28/1083),IF(C514="Técnico I",SUMIFS($D:$D,$A:$A,$A514,$B:$B,"&lt;&gt;Patrícia Karla de Sousa Araújo",$B:$B,"&lt;&gt;Lorena Dias de Araujo",$B:$B,"&lt;&gt;Lucas Luiz Romero")*(23/1083),IF(C514="JR",SUMIFS($D:$D,$A:$A,$A514,$B:$B,"&lt;&gt;Patrícia Karla de Sousa Araújo",$B:$B,"&lt;&gt;Lorena Dias de Araujo",$B:$B,"&lt;&gt;Lucas Luiz Romero")*(20/1083),IF(C514="Estágio",SUMIFS($D:$D,$A:$A,$A514,$B:$B,"&lt;&gt;Patrícia Karla de Sousa Araújo",$B:$B,"&lt;&gt;Lorena Dias de Araujo",$B:$B,"&lt;&gt;Lucas Luiz Romero")*(10/1083),0)))))),0)</f>
        <v>30</v>
      </c>
      <c r="K514" s="3">
        <f>I514-J514</f>
        <v>-5</v>
      </c>
      <c r="L514" s="3" t="str">
        <f>IF(K514&lt;-5,"CRÍTICO",IF(K514&lt;0,"ATENÇÃO",IF(K514&lt;=5,"OPORTUNO","MUITO BOM")))</f>
        <v>ATENÇÃO</v>
      </c>
      <c r="M514" s="3">
        <v>25</v>
      </c>
      <c r="N514" s="3">
        <v>99.19</v>
      </c>
      <c r="O514" s="3">
        <v>28.404669260700391</v>
      </c>
    </row>
    <row r="515" spans="1:15" hidden="1" x14ac:dyDescent="0.25">
      <c r="A515" s="5">
        <v>46153</v>
      </c>
      <c r="B515" s="6" t="s">
        <v>36</v>
      </c>
      <c r="C515" s="14" t="s">
        <v>32</v>
      </c>
      <c r="D515" s="3">
        <v>0</v>
      </c>
      <c r="E515" s="3">
        <v>0</v>
      </c>
      <c r="F515" s="3">
        <v>0</v>
      </c>
      <c r="G515" s="3">
        <v>0</v>
      </c>
      <c r="H515" s="3">
        <v>0</v>
      </c>
      <c r="I515" s="3">
        <f>E515+G515+H515</f>
        <v>0</v>
      </c>
      <c r="J515" s="3">
        <f>ROUND(MIN(IF(C515="Técnico III",35,IF(C515="Técnico II",28,IF(C515="Técnico I",23,IF(C515="JR",20,IF(C515="Estágio",10,0))))),IF(C515="Técnico III",SUMIFS($D:$D,$A:$A,$A515,$B:$B,"&lt;&gt;Patrícia Karla de Sousa Araújo",$B:$B,"&lt;&gt;Lorena Dias de Araujo",$B:$B,"&lt;&gt;Lucas Luiz Romero")*(35/1083),IF(C515="Técnico II",SUMIFS($D:$D,$A:$A,$A515,$B:$B,"&lt;&gt;Patrícia Karla de Sousa Araújo",$B:$B,"&lt;&gt;Lorena Dias de Araujo",$B:$B,"&lt;&gt;Lucas Luiz Romero")*(28/1083),IF(C515="Técnico I",SUMIFS($D:$D,$A:$A,$A515,$B:$B,"&lt;&gt;Patrícia Karla de Sousa Araújo",$B:$B,"&lt;&gt;Lorena Dias de Araujo",$B:$B,"&lt;&gt;Lucas Luiz Romero")*(23/1083),IF(C515="JR",SUMIFS($D:$D,$A:$A,$A515,$B:$B,"&lt;&gt;Patrícia Karla de Sousa Araújo",$B:$B,"&lt;&gt;Lorena Dias de Araujo",$B:$B,"&lt;&gt;Lucas Luiz Romero")*(20/1083),IF(C515="Estágio",SUMIFS($D:$D,$A:$A,$A515,$B:$B,"&lt;&gt;Patrícia Karla de Sousa Araújo",$B:$B,"&lt;&gt;Lorena Dias de Araujo",$B:$B,"&lt;&gt;Lucas Luiz Romero")*(10/1083),0)))))),0)</f>
        <v>30</v>
      </c>
      <c r="K515" s="3">
        <f>I515-J515</f>
        <v>-30</v>
      </c>
      <c r="L515" s="3" t="str">
        <f>IF(K515&lt;-5,"CRÍTICO",IF(K515&lt;0,"ATENÇÃO",IF(K515&lt;=5,"OPORTUNO","MUITO BOM")))</f>
        <v>CRÍTICO</v>
      </c>
      <c r="M515" s="3">
        <v>0</v>
      </c>
      <c r="N515" s="3">
        <v>100</v>
      </c>
      <c r="O515" s="3">
        <v>13.51351351351351</v>
      </c>
    </row>
    <row r="516" spans="1:15" hidden="1" x14ac:dyDescent="0.25">
      <c r="A516" s="5">
        <v>46153</v>
      </c>
      <c r="B516" s="6" t="s">
        <v>37</v>
      </c>
      <c r="C516" s="1" t="s">
        <v>32</v>
      </c>
      <c r="D516" s="3">
        <v>53</v>
      </c>
      <c r="E516" s="3">
        <v>46</v>
      </c>
      <c r="F516" s="3">
        <v>11.56</v>
      </c>
      <c r="G516" s="3">
        <v>3</v>
      </c>
      <c r="H516" s="3">
        <v>0</v>
      </c>
      <c r="I516" s="3">
        <f>E516+G516+H516</f>
        <v>49</v>
      </c>
      <c r="J516" s="3">
        <f>ROUND(MIN(IF(C516="Técnico III",35,IF(C516="Técnico II",28,IF(C516="Técnico I",23,IF(C516="JR",20,IF(C516="Estágio",10,0))))),IF(C516="Técnico III",SUMIFS($D:$D,$A:$A,$A516,$B:$B,"&lt;&gt;Patrícia Karla de Sousa Araújo",$B:$B,"&lt;&gt;Lorena Dias de Araujo",$B:$B,"&lt;&gt;Lucas Luiz Romero")*(35/1083),IF(C516="Técnico II",SUMIFS($D:$D,$A:$A,$A516,$B:$B,"&lt;&gt;Patrícia Karla de Sousa Araújo",$B:$B,"&lt;&gt;Lorena Dias de Araujo",$B:$B,"&lt;&gt;Lucas Luiz Romero")*(28/1083),IF(C516="Técnico I",SUMIFS($D:$D,$A:$A,$A516,$B:$B,"&lt;&gt;Patrícia Karla de Sousa Araújo",$B:$B,"&lt;&gt;Lorena Dias de Araujo",$B:$B,"&lt;&gt;Lucas Luiz Romero")*(23/1083),IF(C516="JR",SUMIFS($D:$D,$A:$A,$A516,$B:$B,"&lt;&gt;Patrícia Karla de Sousa Araújo",$B:$B,"&lt;&gt;Lorena Dias de Araujo",$B:$B,"&lt;&gt;Lucas Luiz Romero")*(20/1083),IF(C516="Estágio",SUMIFS($D:$D,$A:$A,$A516,$B:$B,"&lt;&gt;Patrícia Karla de Sousa Araújo",$B:$B,"&lt;&gt;Lorena Dias de Araujo",$B:$B,"&lt;&gt;Lucas Luiz Romero")*(10/1083),0)))))),0)</f>
        <v>30</v>
      </c>
      <c r="K516" s="3">
        <f>I516-J516</f>
        <v>19</v>
      </c>
      <c r="L516" s="3" t="str">
        <f>IF(K516&lt;-5,"CRÍTICO",IF(K516&lt;0,"ATENÇÃO",IF(K516&lt;=5,"OPORTUNO","MUITO BOM")))</f>
        <v>MUITO BOM</v>
      </c>
      <c r="M516" s="3">
        <v>44</v>
      </c>
      <c r="N516" s="3">
        <v>99</v>
      </c>
      <c r="O516" s="3">
        <v>22.27414330218069</v>
      </c>
    </row>
    <row r="517" spans="1:15" hidden="1" x14ac:dyDescent="0.25">
      <c r="A517" s="5">
        <v>46153</v>
      </c>
      <c r="B517" s="6" t="s">
        <v>38</v>
      </c>
      <c r="C517" s="1" t="s">
        <v>32</v>
      </c>
      <c r="D517" s="3">
        <v>22</v>
      </c>
      <c r="E517" s="3">
        <v>20</v>
      </c>
      <c r="F517" s="3">
        <v>11.59</v>
      </c>
      <c r="G517" s="3">
        <v>4</v>
      </c>
      <c r="H517" s="3">
        <v>0</v>
      </c>
      <c r="I517" s="3">
        <f>E517+G517+H517</f>
        <v>24</v>
      </c>
      <c r="J517" s="3">
        <f>ROUND(MIN(IF(C517="Técnico III",35,IF(C517="Técnico II",28,IF(C517="Técnico I",23,IF(C517="JR",20,IF(C517="Estágio",10,0))))),IF(C517="Técnico III",SUMIFS($D:$D,$A:$A,$A517,$B:$B,"&lt;&gt;Patrícia Karla de Sousa Araújo",$B:$B,"&lt;&gt;Lorena Dias de Araujo",$B:$B,"&lt;&gt;Lucas Luiz Romero")*(35/1083),IF(C517="Técnico II",SUMIFS($D:$D,$A:$A,$A517,$B:$B,"&lt;&gt;Patrícia Karla de Sousa Araújo",$B:$B,"&lt;&gt;Lorena Dias de Araujo",$B:$B,"&lt;&gt;Lucas Luiz Romero")*(28/1083),IF(C517="Técnico I",SUMIFS($D:$D,$A:$A,$A517,$B:$B,"&lt;&gt;Patrícia Karla de Sousa Araújo",$B:$B,"&lt;&gt;Lorena Dias de Araujo",$B:$B,"&lt;&gt;Lucas Luiz Romero")*(23/1083),IF(C517="JR",SUMIFS($D:$D,$A:$A,$A517,$B:$B,"&lt;&gt;Patrícia Karla de Sousa Araújo",$B:$B,"&lt;&gt;Lorena Dias de Araujo",$B:$B,"&lt;&gt;Lucas Luiz Romero")*(20/1083),IF(C517="Estágio",SUMIFS($D:$D,$A:$A,$A517,$B:$B,"&lt;&gt;Patrícia Karla de Sousa Araújo",$B:$B,"&lt;&gt;Lorena Dias de Araujo",$B:$B,"&lt;&gt;Lucas Luiz Romero")*(10/1083),0)))))),0)</f>
        <v>30</v>
      </c>
      <c r="K517" s="3">
        <f>I517-J517</f>
        <v>-6</v>
      </c>
      <c r="L517" s="3" t="str">
        <f>IF(K517&lt;-5,"CRÍTICO",IF(K517&lt;0,"ATENÇÃO",IF(K517&lt;=5,"OPORTUNO","MUITO BOM")))</f>
        <v>CRÍTICO</v>
      </c>
      <c r="M517" s="3">
        <v>17</v>
      </c>
      <c r="N517" s="3">
        <v>97.04</v>
      </c>
      <c r="O517" s="3">
        <v>29.828850855745721</v>
      </c>
    </row>
    <row r="518" spans="1:15" hidden="1" x14ac:dyDescent="0.25">
      <c r="A518" s="5">
        <v>46153</v>
      </c>
      <c r="B518" s="6" t="s">
        <v>39</v>
      </c>
      <c r="C518" s="1" t="s">
        <v>32</v>
      </c>
      <c r="D518" s="3">
        <v>0</v>
      </c>
      <c r="E518" s="3">
        <v>0</v>
      </c>
      <c r="F518" s="3">
        <v>0</v>
      </c>
      <c r="G518" s="3">
        <v>0</v>
      </c>
      <c r="H518" s="3">
        <v>0</v>
      </c>
      <c r="I518" s="3">
        <f>E518+G518+H518</f>
        <v>0</v>
      </c>
      <c r="J518" s="3">
        <f>ROUND(MIN(IF(C518="Técnico III",35,IF(C518="Técnico II",28,IF(C518="Técnico I",23,IF(C518="JR",20,IF(C518="Estágio",10,0))))),IF(C518="Técnico III",SUMIFS($D:$D,$A:$A,$A518,$B:$B,"&lt;&gt;Patrícia Karla de Sousa Araújo",$B:$B,"&lt;&gt;Lorena Dias de Araujo",$B:$B,"&lt;&gt;Lucas Luiz Romero")*(35/1083),IF(C518="Técnico II",SUMIFS($D:$D,$A:$A,$A518,$B:$B,"&lt;&gt;Patrícia Karla de Sousa Araújo",$B:$B,"&lt;&gt;Lorena Dias de Araujo",$B:$B,"&lt;&gt;Lucas Luiz Romero")*(28/1083),IF(C518="Técnico I",SUMIFS($D:$D,$A:$A,$A518,$B:$B,"&lt;&gt;Patrícia Karla de Sousa Araújo",$B:$B,"&lt;&gt;Lorena Dias de Araujo",$B:$B,"&lt;&gt;Lucas Luiz Romero")*(23/1083),IF(C518="JR",SUMIFS($D:$D,$A:$A,$A518,$B:$B,"&lt;&gt;Patrícia Karla de Sousa Araújo",$B:$B,"&lt;&gt;Lorena Dias de Araujo",$B:$B,"&lt;&gt;Lucas Luiz Romero")*(20/1083),IF(C518="Estágio",SUMIFS($D:$D,$A:$A,$A518,$B:$B,"&lt;&gt;Patrícia Karla de Sousa Araújo",$B:$B,"&lt;&gt;Lorena Dias de Araujo",$B:$B,"&lt;&gt;Lucas Luiz Romero")*(10/1083),0)))))),0)</f>
        <v>30</v>
      </c>
      <c r="K518" s="3">
        <f>I518-J518</f>
        <v>-30</v>
      </c>
      <c r="L518" s="3" t="str">
        <f>IF(K518&lt;-5,"CRÍTICO",IF(K518&lt;0,"ATENÇÃO",IF(K518&lt;=5,"OPORTUNO","MUITO BOM")))</f>
        <v>CRÍTICO</v>
      </c>
      <c r="M518" s="3">
        <v>0</v>
      </c>
      <c r="N518" s="3">
        <v>0</v>
      </c>
      <c r="O518" s="3">
        <v>0</v>
      </c>
    </row>
    <row r="519" spans="1:15" hidden="1" x14ac:dyDescent="0.25">
      <c r="A519" s="5">
        <v>46153</v>
      </c>
      <c r="B519" s="6" t="s">
        <v>40</v>
      </c>
      <c r="C519" s="14" t="s">
        <v>32</v>
      </c>
      <c r="D519" s="3">
        <v>24</v>
      </c>
      <c r="E519" s="3">
        <v>23</v>
      </c>
      <c r="F519" s="3">
        <v>20</v>
      </c>
      <c r="G519" s="3">
        <v>1</v>
      </c>
      <c r="H519" s="3">
        <v>0</v>
      </c>
      <c r="I519" s="3">
        <f>E519+G519+H519</f>
        <v>24</v>
      </c>
      <c r="J519" s="3">
        <f>ROUND(MIN(IF(C519="Técnico III",35,IF(C519="Técnico II",28,IF(C519="Técnico I",23,IF(C519="JR",20,IF(C519="Estágio",10,0))))),IF(C519="Técnico III",SUMIFS($D:$D,$A:$A,$A519,$B:$B,"&lt;&gt;Patrícia Karla de Sousa Araújo",$B:$B,"&lt;&gt;Lorena Dias de Araujo",$B:$B,"&lt;&gt;Lucas Luiz Romero")*(35/1083),IF(C519="Técnico II",SUMIFS($D:$D,$A:$A,$A519,$B:$B,"&lt;&gt;Patrícia Karla de Sousa Araújo",$B:$B,"&lt;&gt;Lorena Dias de Araujo",$B:$B,"&lt;&gt;Lucas Luiz Romero")*(28/1083),IF(C519="Técnico I",SUMIFS($D:$D,$A:$A,$A519,$B:$B,"&lt;&gt;Patrícia Karla de Sousa Araújo",$B:$B,"&lt;&gt;Lorena Dias de Araujo",$B:$B,"&lt;&gt;Lucas Luiz Romero")*(23/1083),IF(C519="JR",SUMIFS($D:$D,$A:$A,$A519,$B:$B,"&lt;&gt;Patrícia Karla de Sousa Araújo",$B:$B,"&lt;&gt;Lorena Dias de Araujo",$B:$B,"&lt;&gt;Lucas Luiz Romero")*(20/1083),IF(C519="Estágio",SUMIFS($D:$D,$A:$A,$A519,$B:$B,"&lt;&gt;Patrícia Karla de Sousa Araújo",$B:$B,"&lt;&gt;Lorena Dias de Araujo",$B:$B,"&lt;&gt;Lucas Luiz Romero")*(10/1083),0)))))),0)</f>
        <v>30</v>
      </c>
      <c r="K519" s="3">
        <f>I519-J519</f>
        <v>-6</v>
      </c>
      <c r="L519" s="3" t="str">
        <f>IF(K519&lt;-5,"CRÍTICO",IF(K519&lt;0,"ATENÇÃO",IF(K519&lt;=5,"OPORTUNO","MUITO BOM")))</f>
        <v>CRÍTICO</v>
      </c>
      <c r="M519" s="3">
        <v>23</v>
      </c>
      <c r="N519" s="3">
        <v>96.84</v>
      </c>
      <c r="O519" s="3">
        <v>16.338028169014081</v>
      </c>
    </row>
    <row r="520" spans="1:15" hidden="1" x14ac:dyDescent="0.25">
      <c r="A520" s="5">
        <v>46153</v>
      </c>
      <c r="B520" s="6" t="s">
        <v>41</v>
      </c>
      <c r="C520" s="14" t="s">
        <v>32</v>
      </c>
      <c r="D520" s="3">
        <v>31</v>
      </c>
      <c r="E520" s="3">
        <v>29</v>
      </c>
      <c r="F520" s="3">
        <v>14.18</v>
      </c>
      <c r="G520" s="3">
        <v>0</v>
      </c>
      <c r="H520" s="3">
        <v>0</v>
      </c>
      <c r="I520" s="3">
        <f>E520+G520+H520</f>
        <v>29</v>
      </c>
      <c r="J520" s="3">
        <f>ROUND(MIN(IF(C520="Técnico III",35,IF(C520="Técnico II",28,IF(C520="Técnico I",23,IF(C520="JR",20,IF(C520="Estágio",10,0))))),IF(C520="Técnico III",SUMIFS($D:$D,$A:$A,$A520,$B:$B,"&lt;&gt;Patrícia Karla de Sousa Araújo",$B:$B,"&lt;&gt;Lorena Dias de Araujo",$B:$B,"&lt;&gt;Lucas Luiz Romero")*(35/1083),IF(C520="Técnico II",SUMIFS($D:$D,$A:$A,$A520,$B:$B,"&lt;&gt;Patrícia Karla de Sousa Araújo",$B:$B,"&lt;&gt;Lorena Dias de Araujo",$B:$B,"&lt;&gt;Lucas Luiz Romero")*(28/1083),IF(C520="Técnico I",SUMIFS($D:$D,$A:$A,$A520,$B:$B,"&lt;&gt;Patrícia Karla de Sousa Araújo",$B:$B,"&lt;&gt;Lorena Dias de Araujo",$B:$B,"&lt;&gt;Lucas Luiz Romero")*(23/1083),IF(C520="JR",SUMIFS($D:$D,$A:$A,$A520,$B:$B,"&lt;&gt;Patrícia Karla de Sousa Araújo",$B:$B,"&lt;&gt;Lorena Dias de Araujo",$B:$B,"&lt;&gt;Lucas Luiz Romero")*(20/1083),IF(C520="Estágio",SUMIFS($D:$D,$A:$A,$A520,$B:$B,"&lt;&gt;Patrícia Karla de Sousa Araújo",$B:$B,"&lt;&gt;Lorena Dias de Araujo",$B:$B,"&lt;&gt;Lucas Luiz Romero")*(10/1083),0)))))),0)</f>
        <v>30</v>
      </c>
      <c r="K520" s="3">
        <f>I520-J520</f>
        <v>-1</v>
      </c>
      <c r="L520" s="3" t="str">
        <f>IF(K520&lt;-5,"CRÍTICO",IF(K520&lt;0,"ATENÇÃO",IF(K520&lt;=5,"OPORTUNO","MUITO BOM")))</f>
        <v>ATENÇÃO</v>
      </c>
      <c r="M520" s="3">
        <v>29</v>
      </c>
      <c r="N520" s="3">
        <v>100</v>
      </c>
      <c r="O520" s="3">
        <v>18.244803695150122</v>
      </c>
    </row>
    <row r="521" spans="1:15" hidden="1" x14ac:dyDescent="0.25">
      <c r="A521" s="5">
        <v>46153</v>
      </c>
      <c r="B521" s="6" t="s">
        <v>42</v>
      </c>
      <c r="C521" s="1" t="s">
        <v>32</v>
      </c>
      <c r="D521" s="3">
        <v>0</v>
      </c>
      <c r="E521" s="3">
        <v>0</v>
      </c>
      <c r="F521" s="3">
        <v>0</v>
      </c>
      <c r="G521" s="3">
        <v>0</v>
      </c>
      <c r="H521" s="3">
        <v>0</v>
      </c>
      <c r="I521" s="3">
        <f>E521+G521+H521</f>
        <v>0</v>
      </c>
      <c r="J521" s="3">
        <f>ROUND(MIN(IF(C521="Técnico III",35,IF(C521="Técnico II",28,IF(C521="Técnico I",23,IF(C521="JR",20,IF(C521="Estágio",10,0))))),IF(C521="Técnico III",SUMIFS($D:$D,$A:$A,$A521,$B:$B,"&lt;&gt;Patrícia Karla de Sousa Araújo",$B:$B,"&lt;&gt;Lorena Dias de Araujo",$B:$B,"&lt;&gt;Lucas Luiz Romero")*(35/1083),IF(C521="Técnico II",SUMIFS($D:$D,$A:$A,$A521,$B:$B,"&lt;&gt;Patrícia Karla de Sousa Araújo",$B:$B,"&lt;&gt;Lorena Dias de Araujo",$B:$B,"&lt;&gt;Lucas Luiz Romero")*(28/1083),IF(C521="Técnico I",SUMIFS($D:$D,$A:$A,$A521,$B:$B,"&lt;&gt;Patrícia Karla de Sousa Araújo",$B:$B,"&lt;&gt;Lorena Dias de Araujo",$B:$B,"&lt;&gt;Lucas Luiz Romero")*(23/1083),IF(C521="JR",SUMIFS($D:$D,$A:$A,$A521,$B:$B,"&lt;&gt;Patrícia Karla de Sousa Araújo",$B:$B,"&lt;&gt;Lorena Dias de Araujo",$B:$B,"&lt;&gt;Lucas Luiz Romero")*(20/1083),IF(C521="Estágio",SUMIFS($D:$D,$A:$A,$A521,$B:$B,"&lt;&gt;Patrícia Karla de Sousa Araújo",$B:$B,"&lt;&gt;Lorena Dias de Araujo",$B:$B,"&lt;&gt;Lucas Luiz Romero")*(10/1083),0)))))),0)</f>
        <v>30</v>
      </c>
      <c r="K521" s="3">
        <f>I521-J521</f>
        <v>-30</v>
      </c>
      <c r="L521" s="3" t="str">
        <f>IF(K521&lt;-5,"CRÍTICO",IF(K521&lt;0,"ATENÇÃO",IF(K521&lt;=5,"OPORTUNO","MUITO BOM")))</f>
        <v>CRÍTICO</v>
      </c>
      <c r="M521" s="3">
        <v>0</v>
      </c>
      <c r="N521" s="3">
        <v>100</v>
      </c>
      <c r="O521" s="3">
        <v>15.789473684210529</v>
      </c>
    </row>
    <row r="522" spans="1:15" x14ac:dyDescent="0.25">
      <c r="A522" s="5">
        <v>46153</v>
      </c>
      <c r="B522" s="6" t="s">
        <v>43</v>
      </c>
      <c r="C522" s="1" t="s">
        <v>32</v>
      </c>
      <c r="D522" s="3">
        <v>0</v>
      </c>
      <c r="E522" s="3">
        <v>0</v>
      </c>
      <c r="F522" s="3">
        <v>0</v>
      </c>
      <c r="H522" s="3">
        <v>46</v>
      </c>
      <c r="I522" s="3">
        <f>E522+G522+H522</f>
        <v>46</v>
      </c>
      <c r="J522" s="3">
        <f>ROUND(MIN(IF(C522="Técnico III",35,IF(C522="Técnico II",28,IF(C522="Técnico I",23,IF(C522="JR",20,IF(C522="Estágio",10,0))))),IF(C522="Técnico III",SUMIFS($D:$D,$A:$A,$A522,$B:$B,"&lt;&gt;Patrícia Karla de Sousa Araújo",$B:$B,"&lt;&gt;Lorena Dias de Araujo",$B:$B,"&lt;&gt;Lucas Luiz Romero")*(35/1083),IF(C522="Técnico II",SUMIFS($D:$D,$A:$A,$A522,$B:$B,"&lt;&gt;Patrícia Karla de Sousa Araújo",$B:$B,"&lt;&gt;Lorena Dias de Araujo",$B:$B,"&lt;&gt;Lucas Luiz Romero")*(28/1083),IF(C522="Técnico I",SUMIFS($D:$D,$A:$A,$A522,$B:$B,"&lt;&gt;Patrícia Karla de Sousa Araújo",$B:$B,"&lt;&gt;Lorena Dias de Araujo",$B:$B,"&lt;&gt;Lucas Luiz Romero")*(23/1083),IF(C522="JR",SUMIFS($D:$D,$A:$A,$A522,$B:$B,"&lt;&gt;Patrícia Karla de Sousa Araújo",$B:$B,"&lt;&gt;Lorena Dias de Araujo",$B:$B,"&lt;&gt;Lucas Luiz Romero")*(20/1083),IF(C522="Estágio",SUMIFS($D:$D,$A:$A,$A522,$B:$B,"&lt;&gt;Patrícia Karla de Sousa Araújo",$B:$B,"&lt;&gt;Lorena Dias de Araujo",$B:$B,"&lt;&gt;Lucas Luiz Romero")*(10/1083),0)))))),0)</f>
        <v>30</v>
      </c>
      <c r="K522" s="3">
        <f>I522-J522</f>
        <v>16</v>
      </c>
      <c r="L522" s="3" t="str">
        <f>IF(K522&lt;-5,"CRÍTICO",IF(K522&lt;0,"ATENÇÃO",IF(K522&lt;=5,"OPORTUNO","MUITO BOM")))</f>
        <v>MUITO BOM</v>
      </c>
      <c r="M522" s="3">
        <v>27</v>
      </c>
      <c r="N522" s="3">
        <v>98.39</v>
      </c>
      <c r="O522" s="3">
        <v>8.7999999999999989</v>
      </c>
    </row>
    <row r="523" spans="1:15" hidden="1" x14ac:dyDescent="0.25">
      <c r="A523" s="5">
        <v>46153</v>
      </c>
      <c r="B523" s="6" t="s">
        <v>44</v>
      </c>
      <c r="C523" s="1" t="s">
        <v>32</v>
      </c>
      <c r="D523" s="3">
        <v>33</v>
      </c>
      <c r="E523" s="3">
        <v>24</v>
      </c>
      <c r="F523" s="3">
        <v>8.43</v>
      </c>
      <c r="G523" s="3">
        <v>5</v>
      </c>
      <c r="H523" s="3">
        <v>0</v>
      </c>
      <c r="I523" s="3">
        <f>E523+G523+H523</f>
        <v>29</v>
      </c>
      <c r="J523" s="3">
        <f>ROUND(MIN(IF(C523="Técnico III",35,IF(C523="Técnico II",28,IF(C523="Técnico I",23,IF(C523="JR",20,IF(C523="Estágio",10,0))))),IF(C523="Técnico III",SUMIFS($D:$D,$A:$A,$A523,$B:$B,"&lt;&gt;Patrícia Karla de Sousa Araújo",$B:$B,"&lt;&gt;Lorena Dias de Araujo",$B:$B,"&lt;&gt;Lucas Luiz Romero")*(35/1083),IF(C523="Técnico II",SUMIFS($D:$D,$A:$A,$A523,$B:$B,"&lt;&gt;Patrícia Karla de Sousa Araújo",$B:$B,"&lt;&gt;Lorena Dias de Araujo",$B:$B,"&lt;&gt;Lucas Luiz Romero")*(28/1083),IF(C523="Técnico I",SUMIFS($D:$D,$A:$A,$A523,$B:$B,"&lt;&gt;Patrícia Karla de Sousa Araújo",$B:$B,"&lt;&gt;Lorena Dias de Araujo",$B:$B,"&lt;&gt;Lucas Luiz Romero")*(23/1083),IF(C523="JR",SUMIFS($D:$D,$A:$A,$A523,$B:$B,"&lt;&gt;Patrícia Karla de Sousa Araújo",$B:$B,"&lt;&gt;Lorena Dias de Araujo",$B:$B,"&lt;&gt;Lucas Luiz Romero")*(20/1083),IF(C523="Estágio",SUMIFS($D:$D,$A:$A,$A523,$B:$B,"&lt;&gt;Patrícia Karla de Sousa Araújo",$B:$B,"&lt;&gt;Lorena Dias de Araujo",$B:$B,"&lt;&gt;Lucas Luiz Romero")*(10/1083),0)))))),0)</f>
        <v>30</v>
      </c>
      <c r="K523" s="3">
        <f>I523-J523</f>
        <v>-1</v>
      </c>
      <c r="L523" s="3" t="str">
        <f>IF(K523&lt;-5,"CRÍTICO",IF(K523&lt;0,"ATENÇÃO",IF(K523&lt;=5,"OPORTUNO","MUITO BOM")))</f>
        <v>ATENÇÃO</v>
      </c>
      <c r="M523" s="3">
        <v>26</v>
      </c>
      <c r="N523" s="3">
        <v>96.38</v>
      </c>
      <c r="O523" s="3">
        <v>23.198198198198199</v>
      </c>
    </row>
    <row r="524" spans="1:15" hidden="1" x14ac:dyDescent="0.25">
      <c r="A524" s="5">
        <v>46153</v>
      </c>
      <c r="B524" s="6" t="s">
        <v>45</v>
      </c>
      <c r="C524" s="1" t="s">
        <v>32</v>
      </c>
      <c r="D524" s="3">
        <v>23</v>
      </c>
      <c r="E524" s="3">
        <v>21</v>
      </c>
      <c r="F524" s="3">
        <v>17.37</v>
      </c>
      <c r="G524" s="3">
        <v>2</v>
      </c>
      <c r="H524" s="3">
        <v>0</v>
      </c>
      <c r="I524" s="3">
        <f>E524+G524+H524</f>
        <v>23</v>
      </c>
      <c r="J524" s="3">
        <f>ROUND(MIN(IF(C524="Técnico III",35,IF(C524="Técnico II",28,IF(C524="Técnico I",23,IF(C524="JR",20,IF(C524="Estágio",10,0))))),IF(C524="Técnico III",SUMIFS($D:$D,$A:$A,$A524,$B:$B,"&lt;&gt;Patrícia Karla de Sousa Araújo",$B:$B,"&lt;&gt;Lorena Dias de Araujo",$B:$B,"&lt;&gt;Lucas Luiz Romero")*(35/1083),IF(C524="Técnico II",SUMIFS($D:$D,$A:$A,$A524,$B:$B,"&lt;&gt;Patrícia Karla de Sousa Araújo",$B:$B,"&lt;&gt;Lorena Dias de Araujo",$B:$B,"&lt;&gt;Lucas Luiz Romero")*(28/1083),IF(C524="Técnico I",SUMIFS($D:$D,$A:$A,$A524,$B:$B,"&lt;&gt;Patrícia Karla de Sousa Araújo",$B:$B,"&lt;&gt;Lorena Dias de Araujo",$B:$B,"&lt;&gt;Lucas Luiz Romero")*(23/1083),IF(C524="JR",SUMIFS($D:$D,$A:$A,$A524,$B:$B,"&lt;&gt;Patrícia Karla de Sousa Araújo",$B:$B,"&lt;&gt;Lorena Dias de Araujo",$B:$B,"&lt;&gt;Lucas Luiz Romero")*(20/1083),IF(C524="Estágio",SUMIFS($D:$D,$A:$A,$A524,$B:$B,"&lt;&gt;Patrícia Karla de Sousa Araújo",$B:$B,"&lt;&gt;Lorena Dias de Araujo",$B:$B,"&lt;&gt;Lucas Luiz Romero")*(10/1083),0)))))),0)</f>
        <v>30</v>
      </c>
      <c r="K524" s="3">
        <f>I524-J524</f>
        <v>-7</v>
      </c>
      <c r="L524" s="3" t="str">
        <f>IF(K524&lt;-5,"CRÍTICO",IF(K524&lt;0,"ATENÇÃO",IF(K524&lt;=5,"OPORTUNO","MUITO BOM")))</f>
        <v>CRÍTICO</v>
      </c>
      <c r="M524" s="3">
        <v>17</v>
      </c>
      <c r="N524" s="3">
        <v>99.39</v>
      </c>
      <c r="O524" s="3">
        <v>25.203252032520329</v>
      </c>
    </row>
    <row r="525" spans="1:15" hidden="1" x14ac:dyDescent="0.25">
      <c r="A525" s="5">
        <v>46153</v>
      </c>
      <c r="B525" s="6" t="s">
        <v>46</v>
      </c>
      <c r="C525" s="1" t="s">
        <v>32</v>
      </c>
      <c r="D525" s="3">
        <v>25</v>
      </c>
      <c r="E525" s="3">
        <v>21</v>
      </c>
      <c r="F525" s="3">
        <v>15.04</v>
      </c>
      <c r="G525" s="3">
        <v>0</v>
      </c>
      <c r="H525" s="3">
        <v>0</v>
      </c>
      <c r="I525" s="3">
        <f>E525+G525+H525</f>
        <v>21</v>
      </c>
      <c r="J525" s="3">
        <f>ROUND(MIN(IF(C525="Técnico III",35,IF(C525="Técnico II",28,IF(C525="Técnico I",23,IF(C525="JR",20,IF(C525="Estágio",10,0))))),IF(C525="Técnico III",SUMIFS($D:$D,$A:$A,$A525,$B:$B,"&lt;&gt;Patrícia Karla de Sousa Araújo",$B:$B,"&lt;&gt;Lorena Dias de Araujo",$B:$B,"&lt;&gt;Lucas Luiz Romero")*(35/1083),IF(C525="Técnico II",SUMIFS($D:$D,$A:$A,$A525,$B:$B,"&lt;&gt;Patrícia Karla de Sousa Araújo",$B:$B,"&lt;&gt;Lorena Dias de Araujo",$B:$B,"&lt;&gt;Lucas Luiz Romero")*(28/1083),IF(C525="Técnico I",SUMIFS($D:$D,$A:$A,$A525,$B:$B,"&lt;&gt;Patrícia Karla de Sousa Araújo",$B:$B,"&lt;&gt;Lorena Dias de Araujo",$B:$B,"&lt;&gt;Lucas Luiz Romero")*(23/1083),IF(C525="JR",SUMIFS($D:$D,$A:$A,$A525,$B:$B,"&lt;&gt;Patrícia Karla de Sousa Araújo",$B:$B,"&lt;&gt;Lorena Dias de Araujo",$B:$B,"&lt;&gt;Lucas Luiz Romero")*(20/1083),IF(C525="Estágio",SUMIFS($D:$D,$A:$A,$A525,$B:$B,"&lt;&gt;Patrícia Karla de Sousa Araújo",$B:$B,"&lt;&gt;Lorena Dias de Araujo",$B:$B,"&lt;&gt;Lucas Luiz Romero")*(10/1083),0)))))),0)</f>
        <v>30</v>
      </c>
      <c r="K525" s="3">
        <f>I525-J525</f>
        <v>-9</v>
      </c>
      <c r="L525" s="3" t="str">
        <f>IF(K525&lt;-5,"CRÍTICO",IF(K525&lt;0,"ATENÇÃO",IF(K525&lt;=5,"OPORTUNO","MUITO BOM")))</f>
        <v>CRÍTICO</v>
      </c>
      <c r="M525" s="3">
        <v>16</v>
      </c>
      <c r="N525" s="3">
        <v>97</v>
      </c>
      <c r="O525" s="3">
        <v>20.325203252032519</v>
      </c>
    </row>
    <row r="526" spans="1:15" hidden="1" x14ac:dyDescent="0.25">
      <c r="A526" s="5">
        <v>46153</v>
      </c>
      <c r="B526" s="6" t="s">
        <v>47</v>
      </c>
      <c r="C526" s="1" t="s">
        <v>48</v>
      </c>
      <c r="D526" s="3">
        <v>36</v>
      </c>
      <c r="E526" s="3">
        <v>29</v>
      </c>
      <c r="F526" s="3">
        <v>11.5</v>
      </c>
      <c r="G526" s="3">
        <v>5</v>
      </c>
      <c r="H526" s="3">
        <v>0</v>
      </c>
      <c r="I526" s="3">
        <f>E526+G526+H526</f>
        <v>34</v>
      </c>
      <c r="J526" s="3">
        <f>ROUND(MIN(IF(C526="Técnico III",35,IF(C526="Técnico II",28,IF(C526="Técnico I",23,IF(C526="JR",20,IF(C526="Estágio",10,0))))),IF(C526="Técnico III",SUMIFS($D:$D,$A:$A,$A526,$B:$B,"&lt;&gt;Patrícia Karla de Sousa Araújo",$B:$B,"&lt;&gt;Lorena Dias de Araujo",$B:$B,"&lt;&gt;Lucas Luiz Romero")*(35/1083),IF(C526="Técnico II",SUMIFS($D:$D,$A:$A,$A526,$B:$B,"&lt;&gt;Patrícia Karla de Sousa Araújo",$B:$B,"&lt;&gt;Lorena Dias de Araujo",$B:$B,"&lt;&gt;Lucas Luiz Romero")*(28/1083),IF(C526="Técnico I",SUMIFS($D:$D,$A:$A,$A526,$B:$B,"&lt;&gt;Patrícia Karla de Sousa Araújo",$B:$B,"&lt;&gt;Lorena Dias de Araujo",$B:$B,"&lt;&gt;Lucas Luiz Romero")*(23/1083),IF(C526="JR",SUMIFS($D:$D,$A:$A,$A526,$B:$B,"&lt;&gt;Patrícia Karla de Sousa Araújo",$B:$B,"&lt;&gt;Lorena Dias de Araujo",$B:$B,"&lt;&gt;Lucas Luiz Romero")*(20/1083),IF(C526="Estágio",SUMIFS($D:$D,$A:$A,$A526,$B:$B,"&lt;&gt;Patrícia Karla de Sousa Araújo",$B:$B,"&lt;&gt;Lorena Dias de Araujo",$B:$B,"&lt;&gt;Lucas Luiz Romero")*(10/1083),0)))))),0)</f>
        <v>24</v>
      </c>
      <c r="K526" s="3">
        <f>I526-J526</f>
        <v>10</v>
      </c>
      <c r="L526" s="3" t="str">
        <f>IF(K526&lt;-5,"CRÍTICO",IF(K526&lt;0,"ATENÇÃO",IF(K526&lt;=5,"OPORTUNO","MUITO BOM")))</f>
        <v>MUITO BOM</v>
      </c>
      <c r="M526" s="3">
        <v>18</v>
      </c>
      <c r="N526" s="3">
        <v>99.18</v>
      </c>
      <c r="O526" s="3">
        <v>24.501424501424498</v>
      </c>
    </row>
    <row r="527" spans="1:15" hidden="1" x14ac:dyDescent="0.25">
      <c r="A527" s="5">
        <v>46153</v>
      </c>
      <c r="B527" s="6" t="s">
        <v>49</v>
      </c>
      <c r="C527" s="1" t="s">
        <v>48</v>
      </c>
      <c r="D527" s="3">
        <v>31</v>
      </c>
      <c r="E527" s="3">
        <v>29</v>
      </c>
      <c r="F527" s="3">
        <v>17.13</v>
      </c>
      <c r="G527" s="3">
        <v>1</v>
      </c>
      <c r="H527" s="3">
        <v>0</v>
      </c>
      <c r="I527" s="3">
        <f>E527+G527+H527</f>
        <v>30</v>
      </c>
      <c r="J527" s="3">
        <f>ROUND(MIN(IF(C527="Técnico III",35,IF(C527="Técnico II",28,IF(C527="Técnico I",23,IF(C527="JR",20,IF(C527="Estágio",10,0))))),IF(C527="Técnico III",SUMIFS($D:$D,$A:$A,$A527,$B:$B,"&lt;&gt;Patrícia Karla de Sousa Araújo",$B:$B,"&lt;&gt;Lorena Dias de Araujo",$B:$B,"&lt;&gt;Lucas Luiz Romero")*(35/1083),IF(C527="Técnico II",SUMIFS($D:$D,$A:$A,$A527,$B:$B,"&lt;&gt;Patrícia Karla de Sousa Araújo",$B:$B,"&lt;&gt;Lorena Dias de Araujo",$B:$B,"&lt;&gt;Lucas Luiz Romero")*(28/1083),IF(C527="Técnico I",SUMIFS($D:$D,$A:$A,$A527,$B:$B,"&lt;&gt;Patrícia Karla de Sousa Araújo",$B:$B,"&lt;&gt;Lorena Dias de Araujo",$B:$B,"&lt;&gt;Lucas Luiz Romero")*(23/1083),IF(C527="JR",SUMIFS($D:$D,$A:$A,$A527,$B:$B,"&lt;&gt;Patrícia Karla de Sousa Araújo",$B:$B,"&lt;&gt;Lorena Dias de Araujo",$B:$B,"&lt;&gt;Lucas Luiz Romero")*(20/1083),IF(C527="Estágio",SUMIFS($D:$D,$A:$A,$A527,$B:$B,"&lt;&gt;Patrícia Karla de Sousa Araújo",$B:$B,"&lt;&gt;Lorena Dias de Araujo",$B:$B,"&lt;&gt;Lucas Luiz Romero")*(10/1083),0)))))),0)</f>
        <v>24</v>
      </c>
      <c r="K527" s="3">
        <f>I527-J527</f>
        <v>6</v>
      </c>
      <c r="L527" s="3" t="str">
        <f>IF(K527&lt;-5,"CRÍTICO",IF(K527&lt;0,"ATENÇÃO",IF(K527&lt;=5,"OPORTUNO","MUITO BOM")))</f>
        <v>MUITO BOM</v>
      </c>
      <c r="M527" s="3">
        <v>30</v>
      </c>
      <c r="N527" s="3">
        <v>99.35</v>
      </c>
      <c r="O527" s="3">
        <v>19.852941176470591</v>
      </c>
    </row>
    <row r="528" spans="1:15" hidden="1" x14ac:dyDescent="0.25">
      <c r="A528" s="5">
        <v>46153</v>
      </c>
      <c r="B528" s="6" t="s">
        <v>50</v>
      </c>
      <c r="C528" s="14" t="s">
        <v>48</v>
      </c>
      <c r="D528" s="3">
        <v>22</v>
      </c>
      <c r="E528" s="3">
        <v>22</v>
      </c>
      <c r="F528" s="3">
        <v>26.55</v>
      </c>
      <c r="G528" s="3">
        <v>4</v>
      </c>
      <c r="H528" s="3">
        <v>0</v>
      </c>
      <c r="I528" s="3">
        <f>E528+G528+H528</f>
        <v>26</v>
      </c>
      <c r="J528" s="3">
        <f>ROUND(MIN(IF(C528="Técnico III",35,IF(C528="Técnico II",28,IF(C528="Técnico I",23,IF(C528="JR",20,IF(C528="Estágio",10,0))))),IF(C528="Técnico III",SUMIFS($D:$D,$A:$A,$A528,$B:$B,"&lt;&gt;Patrícia Karla de Sousa Araújo",$B:$B,"&lt;&gt;Lorena Dias de Araujo",$B:$B,"&lt;&gt;Lucas Luiz Romero")*(35/1083),IF(C528="Técnico II",SUMIFS($D:$D,$A:$A,$A528,$B:$B,"&lt;&gt;Patrícia Karla de Sousa Araújo",$B:$B,"&lt;&gt;Lorena Dias de Araujo",$B:$B,"&lt;&gt;Lucas Luiz Romero")*(28/1083),IF(C528="Técnico I",SUMIFS($D:$D,$A:$A,$A528,$B:$B,"&lt;&gt;Patrícia Karla de Sousa Araújo",$B:$B,"&lt;&gt;Lorena Dias de Araujo",$B:$B,"&lt;&gt;Lucas Luiz Romero")*(23/1083),IF(C528="JR",SUMIFS($D:$D,$A:$A,$A528,$B:$B,"&lt;&gt;Patrícia Karla de Sousa Araújo",$B:$B,"&lt;&gt;Lorena Dias de Araujo",$B:$B,"&lt;&gt;Lucas Luiz Romero")*(20/1083),IF(C528="Estágio",SUMIFS($D:$D,$A:$A,$A528,$B:$B,"&lt;&gt;Patrícia Karla de Sousa Araújo",$B:$B,"&lt;&gt;Lorena Dias de Araujo",$B:$B,"&lt;&gt;Lucas Luiz Romero")*(10/1083),0)))))),0)</f>
        <v>24</v>
      </c>
      <c r="K528" s="3">
        <f>I528-J528</f>
        <v>2</v>
      </c>
      <c r="L528" s="3" t="str">
        <f>IF(K528&lt;-5,"CRÍTICO",IF(K528&lt;0,"ATENÇÃO",IF(K528&lt;=5,"OPORTUNO","MUITO BOM")))</f>
        <v>OPORTUNO</v>
      </c>
      <c r="M528" s="3">
        <v>26</v>
      </c>
      <c r="N528" s="3">
        <v>99.07</v>
      </c>
      <c r="O528" s="3">
        <v>20.098039215686271</v>
      </c>
    </row>
    <row r="529" spans="1:15" hidden="1" x14ac:dyDescent="0.25">
      <c r="A529" s="5">
        <v>46153</v>
      </c>
      <c r="B529" s="6" t="s">
        <v>51</v>
      </c>
      <c r="C529" s="1" t="s">
        <v>48</v>
      </c>
      <c r="D529" s="3">
        <v>30</v>
      </c>
      <c r="E529" s="3">
        <v>27</v>
      </c>
      <c r="F529" s="3">
        <v>16.46</v>
      </c>
      <c r="G529" s="3">
        <v>0</v>
      </c>
      <c r="H529" s="3">
        <v>0</v>
      </c>
      <c r="I529" s="3">
        <f>E529+G529+H529</f>
        <v>27</v>
      </c>
      <c r="J529" s="3">
        <f>ROUND(MIN(IF(C529="Técnico III",35,IF(C529="Técnico II",28,IF(C529="Técnico I",23,IF(C529="JR",20,IF(C529="Estágio",10,0))))),IF(C529="Técnico III",SUMIFS($D:$D,$A:$A,$A529,$B:$B,"&lt;&gt;Patrícia Karla de Sousa Araújo",$B:$B,"&lt;&gt;Lorena Dias de Araujo",$B:$B,"&lt;&gt;Lucas Luiz Romero")*(35/1083),IF(C529="Técnico II",SUMIFS($D:$D,$A:$A,$A529,$B:$B,"&lt;&gt;Patrícia Karla de Sousa Araújo",$B:$B,"&lt;&gt;Lorena Dias de Araujo",$B:$B,"&lt;&gt;Lucas Luiz Romero")*(28/1083),IF(C529="Técnico I",SUMIFS($D:$D,$A:$A,$A529,$B:$B,"&lt;&gt;Patrícia Karla de Sousa Araújo",$B:$B,"&lt;&gt;Lorena Dias de Araujo",$B:$B,"&lt;&gt;Lucas Luiz Romero")*(23/1083),IF(C529="JR",SUMIFS($D:$D,$A:$A,$A529,$B:$B,"&lt;&gt;Patrícia Karla de Sousa Araújo",$B:$B,"&lt;&gt;Lorena Dias de Araujo",$B:$B,"&lt;&gt;Lucas Luiz Romero")*(20/1083),IF(C529="Estágio",SUMIFS($D:$D,$A:$A,$A529,$B:$B,"&lt;&gt;Patrícia Karla de Sousa Araújo",$B:$B,"&lt;&gt;Lorena Dias de Araujo",$B:$B,"&lt;&gt;Lucas Luiz Romero")*(10/1083),0)))))),0)</f>
        <v>24</v>
      </c>
      <c r="K529" s="3">
        <f>I529-J529</f>
        <v>3</v>
      </c>
      <c r="L529" s="3" t="str">
        <f>IF(K529&lt;-5,"CRÍTICO",IF(K529&lt;0,"ATENÇÃO",IF(K529&lt;=5,"OPORTUNO","MUITO BOM")))</f>
        <v>OPORTUNO</v>
      </c>
      <c r="M529" s="3">
        <v>22</v>
      </c>
      <c r="N529" s="3">
        <v>98.81</v>
      </c>
      <c r="O529" s="3">
        <v>22.767857142857139</v>
      </c>
    </row>
    <row r="530" spans="1:15" hidden="1" x14ac:dyDescent="0.25">
      <c r="A530" s="5">
        <v>46153</v>
      </c>
      <c r="B530" s="6" t="s">
        <v>52</v>
      </c>
      <c r="C530" s="1" t="s">
        <v>48</v>
      </c>
      <c r="D530" s="3">
        <v>28</v>
      </c>
      <c r="E530" s="3">
        <v>27</v>
      </c>
      <c r="F530" s="3">
        <v>15.05</v>
      </c>
      <c r="G530" s="3">
        <v>4</v>
      </c>
      <c r="H530" s="3">
        <v>0</v>
      </c>
      <c r="I530" s="3">
        <f>E530+G530+H530</f>
        <v>31</v>
      </c>
      <c r="J530" s="3">
        <f>ROUND(MIN(IF(C530="Técnico III",35,IF(C530="Técnico II",28,IF(C530="Técnico I",23,IF(C530="JR",20,IF(C530="Estágio",10,0))))),IF(C530="Técnico III",SUMIFS($D:$D,$A:$A,$A530,$B:$B,"&lt;&gt;Patrícia Karla de Sousa Araújo",$B:$B,"&lt;&gt;Lorena Dias de Araujo",$B:$B,"&lt;&gt;Lucas Luiz Romero")*(35/1083),IF(C530="Técnico II",SUMIFS($D:$D,$A:$A,$A530,$B:$B,"&lt;&gt;Patrícia Karla de Sousa Araújo",$B:$B,"&lt;&gt;Lorena Dias de Araujo",$B:$B,"&lt;&gt;Lucas Luiz Romero")*(28/1083),IF(C530="Técnico I",SUMIFS($D:$D,$A:$A,$A530,$B:$B,"&lt;&gt;Patrícia Karla de Sousa Araújo",$B:$B,"&lt;&gt;Lorena Dias de Araujo",$B:$B,"&lt;&gt;Lucas Luiz Romero")*(23/1083),IF(C530="JR",SUMIFS($D:$D,$A:$A,$A530,$B:$B,"&lt;&gt;Patrícia Karla de Sousa Araújo",$B:$B,"&lt;&gt;Lorena Dias de Araujo",$B:$B,"&lt;&gt;Lucas Luiz Romero")*(20/1083),IF(C530="Estágio",SUMIFS($D:$D,$A:$A,$A530,$B:$B,"&lt;&gt;Patrícia Karla de Sousa Araújo",$B:$B,"&lt;&gt;Lorena Dias de Araujo",$B:$B,"&lt;&gt;Lucas Luiz Romero")*(10/1083),0)))))),0)</f>
        <v>24</v>
      </c>
      <c r="K530" s="3">
        <f>I530-J530</f>
        <v>7</v>
      </c>
      <c r="L530" s="3" t="str">
        <f>IF(K530&lt;-5,"CRÍTICO",IF(K530&lt;0,"ATENÇÃO",IF(K530&lt;=5,"OPORTUNO","MUITO BOM")))</f>
        <v>MUITO BOM</v>
      </c>
      <c r="M530" s="3">
        <v>27</v>
      </c>
      <c r="N530" s="3">
        <v>99.01</v>
      </c>
      <c r="O530" s="3">
        <v>17.766497461928939</v>
      </c>
    </row>
    <row r="531" spans="1:15" hidden="1" x14ac:dyDescent="0.25">
      <c r="A531" s="5">
        <v>46153</v>
      </c>
      <c r="B531" s="6" t="s">
        <v>53</v>
      </c>
      <c r="C531" s="1" t="s">
        <v>48</v>
      </c>
      <c r="D531" s="3">
        <v>0</v>
      </c>
      <c r="E531" s="3">
        <v>0</v>
      </c>
      <c r="F531" s="3">
        <v>0</v>
      </c>
      <c r="G531" s="3">
        <v>0</v>
      </c>
      <c r="H531" s="3">
        <v>0</v>
      </c>
      <c r="I531" s="3">
        <f>E531+G531+H531</f>
        <v>0</v>
      </c>
      <c r="J531" s="3">
        <f>ROUND(MIN(IF(C531="Técnico III",35,IF(C531="Técnico II",28,IF(C531="Técnico I",23,IF(C531="JR",20,IF(C531="Estágio",10,0))))),IF(C531="Técnico III",SUMIFS($D:$D,$A:$A,$A531,$B:$B,"&lt;&gt;Patrícia Karla de Sousa Araújo",$B:$B,"&lt;&gt;Lorena Dias de Araujo",$B:$B,"&lt;&gt;Lucas Luiz Romero")*(35/1083),IF(C531="Técnico II",SUMIFS($D:$D,$A:$A,$A531,$B:$B,"&lt;&gt;Patrícia Karla de Sousa Araújo",$B:$B,"&lt;&gt;Lorena Dias de Araujo",$B:$B,"&lt;&gt;Lucas Luiz Romero")*(28/1083),IF(C531="Técnico I",SUMIFS($D:$D,$A:$A,$A531,$B:$B,"&lt;&gt;Patrícia Karla de Sousa Araújo",$B:$B,"&lt;&gt;Lorena Dias de Araujo",$B:$B,"&lt;&gt;Lucas Luiz Romero")*(23/1083),IF(C531="JR",SUMIFS($D:$D,$A:$A,$A531,$B:$B,"&lt;&gt;Patrícia Karla de Sousa Araújo",$B:$B,"&lt;&gt;Lorena Dias de Araujo",$B:$B,"&lt;&gt;Lucas Luiz Romero")*(20/1083),IF(C531="Estágio",SUMIFS($D:$D,$A:$A,$A531,$B:$B,"&lt;&gt;Patrícia Karla de Sousa Araújo",$B:$B,"&lt;&gt;Lorena Dias de Araujo",$B:$B,"&lt;&gt;Lucas Luiz Romero")*(10/1083),0)))))),0)</f>
        <v>24</v>
      </c>
      <c r="K531" s="3">
        <f>I531-J531</f>
        <v>-24</v>
      </c>
      <c r="L531" s="3" t="str">
        <f>IF(K531&lt;-5,"CRÍTICO",IF(K531&lt;0,"ATENÇÃO",IF(K531&lt;=5,"OPORTUNO","MUITO BOM")))</f>
        <v>CRÍTICO</v>
      </c>
      <c r="M531" s="3">
        <v>0</v>
      </c>
      <c r="N531" s="3">
        <v>100</v>
      </c>
      <c r="O531" s="3">
        <v>17.241379310344829</v>
      </c>
    </row>
    <row r="532" spans="1:15" hidden="1" x14ac:dyDescent="0.25">
      <c r="A532" s="5">
        <v>46153</v>
      </c>
      <c r="B532" s="6" t="s">
        <v>54</v>
      </c>
      <c r="C532" s="14" t="s">
        <v>48</v>
      </c>
      <c r="D532" s="3">
        <v>26</v>
      </c>
      <c r="E532" s="3">
        <v>24</v>
      </c>
      <c r="F532" s="3">
        <v>18.309999999999999</v>
      </c>
      <c r="G532" s="3">
        <v>0</v>
      </c>
      <c r="H532" s="3">
        <v>0</v>
      </c>
      <c r="I532" s="3">
        <f>E532+G532+H532</f>
        <v>24</v>
      </c>
      <c r="J532" s="3">
        <f>ROUND(MIN(IF(C532="Técnico III",35,IF(C532="Técnico II",28,IF(C532="Técnico I",23,IF(C532="JR",20,IF(C532="Estágio",10,0))))),IF(C532="Técnico III",SUMIFS($D:$D,$A:$A,$A532,$B:$B,"&lt;&gt;Patrícia Karla de Sousa Araújo",$B:$B,"&lt;&gt;Lorena Dias de Araujo",$B:$B,"&lt;&gt;Lucas Luiz Romero")*(35/1083),IF(C532="Técnico II",SUMIFS($D:$D,$A:$A,$A532,$B:$B,"&lt;&gt;Patrícia Karla de Sousa Araújo",$B:$B,"&lt;&gt;Lorena Dias de Araujo",$B:$B,"&lt;&gt;Lucas Luiz Romero")*(28/1083),IF(C532="Técnico I",SUMIFS($D:$D,$A:$A,$A532,$B:$B,"&lt;&gt;Patrícia Karla de Sousa Araújo",$B:$B,"&lt;&gt;Lorena Dias de Araujo",$B:$B,"&lt;&gt;Lucas Luiz Romero")*(23/1083),IF(C532="JR",SUMIFS($D:$D,$A:$A,$A532,$B:$B,"&lt;&gt;Patrícia Karla de Sousa Araújo",$B:$B,"&lt;&gt;Lorena Dias de Araujo",$B:$B,"&lt;&gt;Lucas Luiz Romero")*(20/1083),IF(C532="Estágio",SUMIFS($D:$D,$A:$A,$A532,$B:$B,"&lt;&gt;Patrícia Karla de Sousa Araújo",$B:$B,"&lt;&gt;Lorena Dias de Araujo",$B:$B,"&lt;&gt;Lucas Luiz Romero")*(10/1083),0)))))),0)</f>
        <v>24</v>
      </c>
      <c r="K532" s="3">
        <f>I532-J532</f>
        <v>0</v>
      </c>
      <c r="L532" s="3" t="str">
        <f>IF(K532&lt;-5,"CRÍTICO",IF(K532&lt;0,"ATENÇÃO",IF(K532&lt;=5,"OPORTUNO","MUITO BOM")))</f>
        <v>OPORTUNO</v>
      </c>
      <c r="M532" s="3">
        <v>23</v>
      </c>
      <c r="N532" s="3">
        <v>98.98</v>
      </c>
      <c r="O532" s="3">
        <v>19.35483870967742</v>
      </c>
    </row>
    <row r="533" spans="1:15" hidden="1" x14ac:dyDescent="0.25">
      <c r="A533" s="5">
        <v>46153</v>
      </c>
      <c r="B533" s="6" t="s">
        <v>55</v>
      </c>
      <c r="C533" s="1" t="s">
        <v>48</v>
      </c>
      <c r="D533" s="3">
        <v>39</v>
      </c>
      <c r="E533" s="3">
        <v>31</v>
      </c>
      <c r="F533" s="3">
        <v>12</v>
      </c>
      <c r="G533" s="3">
        <v>1</v>
      </c>
      <c r="H533" s="3">
        <v>0</v>
      </c>
      <c r="I533" s="3">
        <f>E533+G533+H533</f>
        <v>32</v>
      </c>
      <c r="J533" s="3">
        <f>ROUND(MIN(IF(C533="Técnico III",35,IF(C533="Técnico II",28,IF(C533="Técnico I",23,IF(C533="JR",20,IF(C533="Estágio",10,0))))),IF(C533="Técnico III",SUMIFS($D:$D,$A:$A,$A533,$B:$B,"&lt;&gt;Patrícia Karla de Sousa Araújo",$B:$B,"&lt;&gt;Lorena Dias de Araujo",$B:$B,"&lt;&gt;Lucas Luiz Romero")*(35/1083),IF(C533="Técnico II",SUMIFS($D:$D,$A:$A,$A533,$B:$B,"&lt;&gt;Patrícia Karla de Sousa Araújo",$B:$B,"&lt;&gt;Lorena Dias de Araujo",$B:$B,"&lt;&gt;Lucas Luiz Romero")*(28/1083),IF(C533="Técnico I",SUMIFS($D:$D,$A:$A,$A533,$B:$B,"&lt;&gt;Patrícia Karla de Sousa Araújo",$B:$B,"&lt;&gt;Lorena Dias de Araujo",$B:$B,"&lt;&gt;Lucas Luiz Romero")*(23/1083),IF(C533="JR",SUMIFS($D:$D,$A:$A,$A533,$B:$B,"&lt;&gt;Patrícia Karla de Sousa Araújo",$B:$B,"&lt;&gt;Lorena Dias de Araujo",$B:$B,"&lt;&gt;Lucas Luiz Romero")*(20/1083),IF(C533="Estágio",SUMIFS($D:$D,$A:$A,$A533,$B:$B,"&lt;&gt;Patrícia Karla de Sousa Araújo",$B:$B,"&lt;&gt;Lorena Dias de Araujo",$B:$B,"&lt;&gt;Lucas Luiz Romero")*(10/1083),0)))))),0)</f>
        <v>24</v>
      </c>
      <c r="K533" s="3">
        <f>I533-J533</f>
        <v>8</v>
      </c>
      <c r="L533" s="3" t="str">
        <f>IF(K533&lt;-5,"CRÍTICO",IF(K533&lt;0,"ATENÇÃO",IF(K533&lt;=5,"OPORTUNO","MUITO BOM")))</f>
        <v>MUITO BOM</v>
      </c>
      <c r="M533" s="3">
        <v>25</v>
      </c>
      <c r="N533" s="3">
        <v>98.94</v>
      </c>
      <c r="O533" s="3">
        <v>21.270718232044199</v>
      </c>
    </row>
    <row r="534" spans="1:15" hidden="1" x14ac:dyDescent="0.25">
      <c r="A534" s="5">
        <v>46153</v>
      </c>
      <c r="B534" s="6" t="s">
        <v>56</v>
      </c>
      <c r="C534" s="1" t="s">
        <v>48</v>
      </c>
      <c r="D534" s="3">
        <v>25</v>
      </c>
      <c r="E534" s="3">
        <v>22</v>
      </c>
      <c r="F534" s="3">
        <v>17.13</v>
      </c>
      <c r="G534" s="3">
        <v>2</v>
      </c>
      <c r="H534" s="3">
        <v>0</v>
      </c>
      <c r="I534" s="3">
        <f>E534+G534+H534</f>
        <v>24</v>
      </c>
      <c r="J534" s="3">
        <f>ROUND(MIN(IF(C534="Técnico III",35,IF(C534="Técnico II",28,IF(C534="Técnico I",23,IF(C534="JR",20,IF(C534="Estágio",10,0))))),IF(C534="Técnico III",SUMIFS($D:$D,$A:$A,$A534,$B:$B,"&lt;&gt;Patrícia Karla de Sousa Araújo",$B:$B,"&lt;&gt;Lorena Dias de Araujo",$B:$B,"&lt;&gt;Lucas Luiz Romero")*(35/1083),IF(C534="Técnico II",SUMIFS($D:$D,$A:$A,$A534,$B:$B,"&lt;&gt;Patrícia Karla de Sousa Araújo",$B:$B,"&lt;&gt;Lorena Dias de Araujo",$B:$B,"&lt;&gt;Lucas Luiz Romero")*(28/1083),IF(C534="Técnico I",SUMIFS($D:$D,$A:$A,$A534,$B:$B,"&lt;&gt;Patrícia Karla de Sousa Araújo",$B:$B,"&lt;&gt;Lorena Dias de Araujo",$B:$B,"&lt;&gt;Lucas Luiz Romero")*(23/1083),IF(C534="JR",SUMIFS($D:$D,$A:$A,$A534,$B:$B,"&lt;&gt;Patrícia Karla de Sousa Araújo",$B:$B,"&lt;&gt;Lorena Dias de Araujo",$B:$B,"&lt;&gt;Lucas Luiz Romero")*(20/1083),IF(C534="Estágio",SUMIFS($D:$D,$A:$A,$A534,$B:$B,"&lt;&gt;Patrícia Karla de Sousa Araújo",$B:$B,"&lt;&gt;Lorena Dias de Araujo",$B:$B,"&lt;&gt;Lucas Luiz Romero")*(10/1083),0)))))),0)</f>
        <v>24</v>
      </c>
      <c r="K534" s="3">
        <f>I534-J534</f>
        <v>0</v>
      </c>
      <c r="L534" s="3" t="str">
        <f>IF(K534&lt;-5,"CRÍTICO",IF(K534&lt;0,"ATENÇÃO",IF(K534&lt;=5,"OPORTUNO","MUITO BOM")))</f>
        <v>OPORTUNO</v>
      </c>
      <c r="M534" s="3">
        <v>21</v>
      </c>
      <c r="N534" s="3">
        <v>99</v>
      </c>
      <c r="O534" s="3">
        <v>22.010869565217391</v>
      </c>
    </row>
    <row r="535" spans="1:15" hidden="1" x14ac:dyDescent="0.25">
      <c r="A535" s="5">
        <v>46153</v>
      </c>
      <c r="B535" s="6" t="s">
        <v>57</v>
      </c>
      <c r="C535" s="1" t="s">
        <v>48</v>
      </c>
      <c r="D535" s="3">
        <v>31</v>
      </c>
      <c r="E535" s="3">
        <v>30</v>
      </c>
      <c r="F535" s="3">
        <v>17.05</v>
      </c>
      <c r="G535" s="3">
        <v>0</v>
      </c>
      <c r="H535" s="3">
        <v>0</v>
      </c>
      <c r="I535" s="3">
        <f>E535+G535+H535</f>
        <v>30</v>
      </c>
      <c r="J535" s="3">
        <f>ROUND(MIN(IF(C535="Técnico III",35,IF(C535="Técnico II",28,IF(C535="Técnico I",23,IF(C535="JR",20,IF(C535="Estágio",10,0))))),IF(C535="Técnico III",SUMIFS($D:$D,$A:$A,$A535,$B:$B,"&lt;&gt;Patrícia Karla de Sousa Araújo",$B:$B,"&lt;&gt;Lorena Dias de Araujo",$B:$B,"&lt;&gt;Lucas Luiz Romero")*(35/1083),IF(C535="Técnico II",SUMIFS($D:$D,$A:$A,$A535,$B:$B,"&lt;&gt;Patrícia Karla de Sousa Araújo",$B:$B,"&lt;&gt;Lorena Dias de Araujo",$B:$B,"&lt;&gt;Lucas Luiz Romero")*(28/1083),IF(C535="Técnico I",SUMIFS($D:$D,$A:$A,$A535,$B:$B,"&lt;&gt;Patrícia Karla de Sousa Araújo",$B:$B,"&lt;&gt;Lorena Dias de Araujo",$B:$B,"&lt;&gt;Lucas Luiz Romero")*(23/1083),IF(C535="JR",SUMIFS($D:$D,$A:$A,$A535,$B:$B,"&lt;&gt;Patrícia Karla de Sousa Araújo",$B:$B,"&lt;&gt;Lorena Dias de Araujo",$B:$B,"&lt;&gt;Lucas Luiz Romero")*(20/1083),IF(C535="Estágio",SUMIFS($D:$D,$A:$A,$A535,$B:$B,"&lt;&gt;Patrícia Karla de Sousa Araújo",$B:$B,"&lt;&gt;Lorena Dias de Araujo",$B:$B,"&lt;&gt;Lucas Luiz Romero")*(10/1083),0)))))),0)</f>
        <v>24</v>
      </c>
      <c r="K535" s="3">
        <f>I535-J535</f>
        <v>6</v>
      </c>
      <c r="L535" s="3" t="str">
        <f>IF(K535&lt;-5,"CRÍTICO",IF(K535&lt;0,"ATENÇÃO",IF(K535&lt;=5,"OPORTUNO","MUITO BOM")))</f>
        <v>MUITO BOM</v>
      </c>
      <c r="M535" s="3">
        <v>25</v>
      </c>
      <c r="N535" s="3">
        <v>100</v>
      </c>
      <c r="O535" s="3">
        <v>25</v>
      </c>
    </row>
    <row r="536" spans="1:15" hidden="1" x14ac:dyDescent="0.25">
      <c r="A536" s="5">
        <v>46153</v>
      </c>
      <c r="B536" s="6" t="s">
        <v>58</v>
      </c>
      <c r="C536" s="1" t="s">
        <v>48</v>
      </c>
      <c r="D536" s="3">
        <v>9</v>
      </c>
      <c r="E536" s="3">
        <v>8</v>
      </c>
      <c r="F536" s="3">
        <v>23.37</v>
      </c>
      <c r="G536" s="3">
        <v>0</v>
      </c>
      <c r="H536" s="3">
        <v>0</v>
      </c>
      <c r="I536" s="3">
        <f>E536+G536+H536</f>
        <v>8</v>
      </c>
      <c r="J536" s="3">
        <f>ROUND(MIN(IF(C536="Técnico III",35,IF(C536="Técnico II",28,IF(C536="Técnico I",23,IF(C536="JR",20,IF(C536="Estágio",10,0))))),IF(C536="Técnico III",SUMIFS($D:$D,$A:$A,$A536,$B:$B,"&lt;&gt;Patrícia Karla de Sousa Araújo",$B:$B,"&lt;&gt;Lorena Dias de Araujo",$B:$B,"&lt;&gt;Lucas Luiz Romero")*(35/1083),IF(C536="Técnico II",SUMIFS($D:$D,$A:$A,$A536,$B:$B,"&lt;&gt;Patrícia Karla de Sousa Araújo",$B:$B,"&lt;&gt;Lorena Dias de Araujo",$B:$B,"&lt;&gt;Lucas Luiz Romero")*(28/1083),IF(C536="Técnico I",SUMIFS($D:$D,$A:$A,$A536,$B:$B,"&lt;&gt;Patrícia Karla de Sousa Araújo",$B:$B,"&lt;&gt;Lorena Dias de Araujo",$B:$B,"&lt;&gt;Lucas Luiz Romero")*(23/1083),IF(C536="JR",SUMIFS($D:$D,$A:$A,$A536,$B:$B,"&lt;&gt;Patrícia Karla de Sousa Araújo",$B:$B,"&lt;&gt;Lorena Dias de Araujo",$B:$B,"&lt;&gt;Lucas Luiz Romero")*(20/1083),IF(C536="Estágio",SUMIFS($D:$D,$A:$A,$A536,$B:$B,"&lt;&gt;Patrícia Karla de Sousa Araújo",$B:$B,"&lt;&gt;Lorena Dias de Araujo",$B:$B,"&lt;&gt;Lucas Luiz Romero")*(10/1083),0)))))),0)</f>
        <v>24</v>
      </c>
      <c r="K536" s="3">
        <f>I536-J536</f>
        <v>-16</v>
      </c>
      <c r="L536" s="3" t="str">
        <f>IF(K536&lt;-5,"CRÍTICO",IF(K536&lt;0,"ATENÇÃO",IF(K536&lt;=5,"OPORTUNO","MUITO BOM")))</f>
        <v>CRÍTICO</v>
      </c>
      <c r="M536" s="3">
        <v>7</v>
      </c>
      <c r="N536" s="3">
        <v>100</v>
      </c>
      <c r="O536" s="3">
        <v>20.183486238532112</v>
      </c>
    </row>
    <row r="537" spans="1:15" hidden="1" x14ac:dyDescent="0.25">
      <c r="A537" s="5">
        <v>46153</v>
      </c>
      <c r="B537" s="6" t="s">
        <v>59</v>
      </c>
      <c r="C537" s="1" t="s">
        <v>23</v>
      </c>
      <c r="D537" s="3">
        <v>40</v>
      </c>
      <c r="E537" s="3">
        <v>38</v>
      </c>
      <c r="F537" s="3">
        <v>13.44</v>
      </c>
      <c r="G537" s="3">
        <v>8</v>
      </c>
      <c r="H537" s="3">
        <v>0</v>
      </c>
      <c r="I537" s="3">
        <f>E537+G537+H537</f>
        <v>46</v>
      </c>
      <c r="J537" s="3">
        <f>ROUND(MIN(IF(C537="Técnico III",35,IF(C537="Técnico II",28,IF(C537="Técnico I",23,IF(C537="JR",20,IF(C537="Estágio",10,0))))),IF(C537="Técnico III",SUMIFS($D:$D,$A:$A,$A537,$B:$B,"&lt;&gt;Patrícia Karla de Sousa Araújo",$B:$B,"&lt;&gt;Lorena Dias de Araujo",$B:$B,"&lt;&gt;Lucas Luiz Romero")*(35/1083),IF(C537="Técnico II",SUMIFS($D:$D,$A:$A,$A537,$B:$B,"&lt;&gt;Patrícia Karla de Sousa Araújo",$B:$B,"&lt;&gt;Lorena Dias de Araujo",$B:$B,"&lt;&gt;Lucas Luiz Romero")*(28/1083),IF(C537="Técnico I",SUMIFS($D:$D,$A:$A,$A537,$B:$B,"&lt;&gt;Patrícia Karla de Sousa Araújo",$B:$B,"&lt;&gt;Lorena Dias de Araujo",$B:$B,"&lt;&gt;Lucas Luiz Romero")*(23/1083),IF(C537="JR",SUMIFS($D:$D,$A:$A,$A537,$B:$B,"&lt;&gt;Patrícia Karla de Sousa Araújo",$B:$B,"&lt;&gt;Lorena Dias de Araujo",$B:$B,"&lt;&gt;Lucas Luiz Romero")*(20/1083),IF(C537="Estágio",SUMIFS($D:$D,$A:$A,$A537,$B:$B,"&lt;&gt;Patrícia Karla de Sousa Araújo",$B:$B,"&lt;&gt;Lorena Dias de Araujo",$B:$B,"&lt;&gt;Lucas Luiz Romero")*(10/1083),0)))))),0)</f>
        <v>20</v>
      </c>
      <c r="K537" s="3">
        <f>I537-J537</f>
        <v>26</v>
      </c>
      <c r="L537" s="3" t="str">
        <f>IF(K537&lt;-5,"CRÍTICO",IF(K537&lt;0,"ATENÇÃO",IF(K537&lt;=5,"OPORTUNO","MUITO BOM")))</f>
        <v>MUITO BOM</v>
      </c>
      <c r="M537" s="3">
        <v>38</v>
      </c>
      <c r="N537" s="3">
        <v>96.25</v>
      </c>
      <c r="O537" s="3">
        <v>25.586353944562902</v>
      </c>
    </row>
    <row r="538" spans="1:15" hidden="1" x14ac:dyDescent="0.25">
      <c r="A538" s="5">
        <v>46153</v>
      </c>
      <c r="B538" s="6" t="s">
        <v>60</v>
      </c>
      <c r="C538" s="1" t="s">
        <v>23</v>
      </c>
      <c r="D538" s="3">
        <v>24</v>
      </c>
      <c r="E538" s="3">
        <v>23</v>
      </c>
      <c r="F538" s="3">
        <v>18.57</v>
      </c>
      <c r="G538" s="3">
        <v>2</v>
      </c>
      <c r="H538" s="3">
        <v>0</v>
      </c>
      <c r="I538" s="3">
        <f>E538+G538+H538</f>
        <v>25</v>
      </c>
      <c r="J538" s="3">
        <f>ROUND(MIN(IF(C538="Técnico III",35,IF(C538="Técnico II",28,IF(C538="Técnico I",23,IF(C538="JR",20,IF(C538="Estágio",10,0))))),IF(C538="Técnico III",SUMIFS($D:$D,$A:$A,$A538,$B:$B,"&lt;&gt;Patrícia Karla de Sousa Araújo",$B:$B,"&lt;&gt;Lorena Dias de Araujo",$B:$B,"&lt;&gt;Lucas Luiz Romero")*(35/1083),IF(C538="Técnico II",SUMIFS($D:$D,$A:$A,$A538,$B:$B,"&lt;&gt;Patrícia Karla de Sousa Araújo",$B:$B,"&lt;&gt;Lorena Dias de Araujo",$B:$B,"&lt;&gt;Lucas Luiz Romero")*(28/1083),IF(C538="Técnico I",SUMIFS($D:$D,$A:$A,$A538,$B:$B,"&lt;&gt;Patrícia Karla de Sousa Araújo",$B:$B,"&lt;&gt;Lorena Dias de Araujo",$B:$B,"&lt;&gt;Lucas Luiz Romero")*(23/1083),IF(C538="JR",SUMIFS($D:$D,$A:$A,$A538,$B:$B,"&lt;&gt;Patrícia Karla de Sousa Araújo",$B:$B,"&lt;&gt;Lorena Dias de Araujo",$B:$B,"&lt;&gt;Lucas Luiz Romero")*(20/1083),IF(C538="Estágio",SUMIFS($D:$D,$A:$A,$A538,$B:$B,"&lt;&gt;Patrícia Karla de Sousa Araújo",$B:$B,"&lt;&gt;Lorena Dias de Araujo",$B:$B,"&lt;&gt;Lucas Luiz Romero")*(10/1083),0)))))),0)</f>
        <v>20</v>
      </c>
      <c r="K538" s="3">
        <f>I538-J538</f>
        <v>5</v>
      </c>
      <c r="L538" s="3" t="str">
        <f>IF(K538&lt;-5,"CRÍTICO",IF(K538&lt;0,"ATENÇÃO",IF(K538&lt;=5,"OPORTUNO","MUITO BOM")))</f>
        <v>OPORTUNO</v>
      </c>
      <c r="M538" s="3">
        <v>21</v>
      </c>
      <c r="N538" s="3">
        <v>97.48</v>
      </c>
      <c r="O538" s="3">
        <v>22.99465240641711</v>
      </c>
    </row>
    <row r="539" spans="1:15" hidden="1" x14ac:dyDescent="0.25">
      <c r="A539" s="5">
        <v>46153</v>
      </c>
      <c r="B539" s="6" t="s">
        <v>61</v>
      </c>
      <c r="C539" s="1" t="s">
        <v>23</v>
      </c>
      <c r="D539" s="3">
        <v>24</v>
      </c>
      <c r="E539" s="3">
        <v>20</v>
      </c>
      <c r="F539" s="3">
        <v>13.37</v>
      </c>
      <c r="G539" s="3">
        <v>2</v>
      </c>
      <c r="H539" s="3">
        <v>0</v>
      </c>
      <c r="I539" s="3">
        <f>E539+G539+H539</f>
        <v>22</v>
      </c>
      <c r="J539" s="3">
        <f>ROUND(MIN(IF(C539="Técnico III",35,IF(C539="Técnico II",28,IF(C539="Técnico I",23,IF(C539="JR",20,IF(C539="Estágio",10,0))))),IF(C539="Técnico III",SUMIFS($D:$D,$A:$A,$A539,$B:$B,"&lt;&gt;Patrícia Karla de Sousa Araújo",$B:$B,"&lt;&gt;Lorena Dias de Araujo",$B:$B,"&lt;&gt;Lucas Luiz Romero")*(35/1083),IF(C539="Técnico II",SUMIFS($D:$D,$A:$A,$A539,$B:$B,"&lt;&gt;Patrícia Karla de Sousa Araújo",$B:$B,"&lt;&gt;Lorena Dias de Araujo",$B:$B,"&lt;&gt;Lucas Luiz Romero")*(28/1083),IF(C539="Técnico I",SUMIFS($D:$D,$A:$A,$A539,$B:$B,"&lt;&gt;Patrícia Karla de Sousa Araújo",$B:$B,"&lt;&gt;Lorena Dias de Araujo",$B:$B,"&lt;&gt;Lucas Luiz Romero")*(23/1083),IF(C539="JR",SUMIFS($D:$D,$A:$A,$A539,$B:$B,"&lt;&gt;Patrícia Karla de Sousa Araújo",$B:$B,"&lt;&gt;Lorena Dias de Araujo",$B:$B,"&lt;&gt;Lucas Luiz Romero")*(20/1083),IF(C539="Estágio",SUMIFS($D:$D,$A:$A,$A539,$B:$B,"&lt;&gt;Patrícia Karla de Sousa Araújo",$B:$B,"&lt;&gt;Lorena Dias de Araujo",$B:$B,"&lt;&gt;Lucas Luiz Romero")*(10/1083),0)))))),0)</f>
        <v>20</v>
      </c>
      <c r="K539" s="3">
        <f>I539-J539</f>
        <v>2</v>
      </c>
      <c r="L539" s="3" t="str">
        <f>IF(K539&lt;-5,"CRÍTICO",IF(K539&lt;0,"ATENÇÃO",IF(K539&lt;=5,"OPORTUNO","MUITO BOM")))</f>
        <v>OPORTUNO</v>
      </c>
      <c r="M539" s="3">
        <v>19</v>
      </c>
      <c r="N539" s="3">
        <v>100</v>
      </c>
      <c r="O539" s="3">
        <v>20.788530465949819</v>
      </c>
    </row>
    <row r="540" spans="1:15" hidden="1" x14ac:dyDescent="0.25">
      <c r="A540" s="5">
        <v>46153</v>
      </c>
      <c r="B540" s="6" t="s">
        <v>62</v>
      </c>
      <c r="C540" s="1" t="s">
        <v>23</v>
      </c>
      <c r="D540" s="3">
        <v>24</v>
      </c>
      <c r="E540" s="3">
        <v>23</v>
      </c>
      <c r="F540" s="3">
        <v>17.22</v>
      </c>
      <c r="G540" s="3">
        <v>1</v>
      </c>
      <c r="H540" s="3">
        <v>0</v>
      </c>
      <c r="I540" s="3">
        <f>E540+G540+H540</f>
        <v>24</v>
      </c>
      <c r="J540" s="3">
        <f>ROUND(MIN(IF(C540="Técnico III",35,IF(C540="Técnico II",28,IF(C540="Técnico I",23,IF(C540="JR",20,IF(C540="Estágio",10,0))))),IF(C540="Técnico III",SUMIFS($D:$D,$A:$A,$A540,$B:$B,"&lt;&gt;Patrícia Karla de Sousa Araújo",$B:$B,"&lt;&gt;Lorena Dias de Araujo",$B:$B,"&lt;&gt;Lucas Luiz Romero")*(35/1083),IF(C540="Técnico II",SUMIFS($D:$D,$A:$A,$A540,$B:$B,"&lt;&gt;Patrícia Karla de Sousa Araújo",$B:$B,"&lt;&gt;Lorena Dias de Araujo",$B:$B,"&lt;&gt;Lucas Luiz Romero")*(28/1083),IF(C540="Técnico I",SUMIFS($D:$D,$A:$A,$A540,$B:$B,"&lt;&gt;Patrícia Karla de Sousa Araújo",$B:$B,"&lt;&gt;Lorena Dias de Araujo",$B:$B,"&lt;&gt;Lucas Luiz Romero")*(23/1083),IF(C540="JR",SUMIFS($D:$D,$A:$A,$A540,$B:$B,"&lt;&gt;Patrícia Karla de Sousa Araújo",$B:$B,"&lt;&gt;Lorena Dias de Araujo",$B:$B,"&lt;&gt;Lucas Luiz Romero")*(20/1083),IF(C540="Estágio",SUMIFS($D:$D,$A:$A,$A540,$B:$B,"&lt;&gt;Patrícia Karla de Sousa Araújo",$B:$B,"&lt;&gt;Lorena Dias de Araujo",$B:$B,"&lt;&gt;Lucas Luiz Romero")*(10/1083),0)))))),0)</f>
        <v>20</v>
      </c>
      <c r="K540" s="3">
        <f>I540-J540</f>
        <v>4</v>
      </c>
      <c r="L540" s="3" t="str">
        <f>IF(K540&lt;-5,"CRÍTICO",IF(K540&lt;0,"ATENÇÃO",IF(K540&lt;=5,"OPORTUNO","MUITO BOM")))</f>
        <v>OPORTUNO</v>
      </c>
      <c r="M540" s="3">
        <v>25</v>
      </c>
      <c r="N540" s="3">
        <v>94.55</v>
      </c>
      <c r="O540" s="3">
        <v>23.450134770889491</v>
      </c>
    </row>
    <row r="541" spans="1:15" hidden="1" x14ac:dyDescent="0.25">
      <c r="A541" s="5">
        <v>46153</v>
      </c>
      <c r="B541" s="6" t="s">
        <v>63</v>
      </c>
      <c r="C541" s="1" t="s">
        <v>23</v>
      </c>
      <c r="D541" s="3">
        <v>29</v>
      </c>
      <c r="E541" s="3">
        <v>25</v>
      </c>
      <c r="F541" s="3">
        <v>22.14</v>
      </c>
      <c r="G541" s="3">
        <v>6</v>
      </c>
      <c r="H541" s="3">
        <v>0</v>
      </c>
      <c r="I541" s="3">
        <f>E541+G541+H541</f>
        <v>31</v>
      </c>
      <c r="J541" s="3">
        <f>ROUND(MIN(IF(C541="Técnico III",35,IF(C541="Técnico II",28,IF(C541="Técnico I",23,IF(C541="JR",20,IF(C541="Estágio",10,0))))),IF(C541="Técnico III",SUMIFS($D:$D,$A:$A,$A541,$B:$B,"&lt;&gt;Patrícia Karla de Sousa Araújo",$B:$B,"&lt;&gt;Lorena Dias de Araujo",$B:$B,"&lt;&gt;Lucas Luiz Romero")*(35/1083),IF(C541="Técnico II",SUMIFS($D:$D,$A:$A,$A541,$B:$B,"&lt;&gt;Patrícia Karla de Sousa Araújo",$B:$B,"&lt;&gt;Lorena Dias de Araujo",$B:$B,"&lt;&gt;Lucas Luiz Romero")*(28/1083),IF(C541="Técnico I",SUMIFS($D:$D,$A:$A,$A541,$B:$B,"&lt;&gt;Patrícia Karla de Sousa Araújo",$B:$B,"&lt;&gt;Lorena Dias de Araujo",$B:$B,"&lt;&gt;Lucas Luiz Romero")*(23/1083),IF(C541="JR",SUMIFS($D:$D,$A:$A,$A541,$B:$B,"&lt;&gt;Patrícia Karla de Sousa Araújo",$B:$B,"&lt;&gt;Lorena Dias de Araujo",$B:$B,"&lt;&gt;Lucas Luiz Romero")*(20/1083),IF(C541="Estágio",SUMIFS($D:$D,$A:$A,$A541,$B:$B,"&lt;&gt;Patrícia Karla de Sousa Araújo",$B:$B,"&lt;&gt;Lorena Dias de Araujo",$B:$B,"&lt;&gt;Lucas Luiz Romero")*(10/1083),0)))))),0)</f>
        <v>20</v>
      </c>
      <c r="K541" s="3">
        <f>I541-J541</f>
        <v>11</v>
      </c>
      <c r="L541" s="3" t="str">
        <f>IF(K541&lt;-5,"CRÍTICO",IF(K541&lt;0,"ATENÇÃO",IF(K541&lt;=5,"OPORTUNO","MUITO BOM")))</f>
        <v>MUITO BOM</v>
      </c>
      <c r="M541" s="3">
        <v>24</v>
      </c>
      <c r="N541" s="3">
        <v>98</v>
      </c>
      <c r="O541" s="3">
        <v>20.73490813648294</v>
      </c>
    </row>
    <row r="542" spans="1:15" hidden="1" x14ac:dyDescent="0.25">
      <c r="A542" s="5">
        <v>46153</v>
      </c>
      <c r="B542" s="6" t="s">
        <v>64</v>
      </c>
      <c r="C542" s="1" t="s">
        <v>23</v>
      </c>
      <c r="D542" s="3">
        <v>16</v>
      </c>
      <c r="E542" s="3">
        <v>16</v>
      </c>
      <c r="F542" s="3">
        <v>33.21</v>
      </c>
      <c r="G542" s="3">
        <v>1</v>
      </c>
      <c r="H542" s="3">
        <v>0</v>
      </c>
      <c r="I542" s="3">
        <f>E542+G542+H542</f>
        <v>17</v>
      </c>
      <c r="J542" s="3">
        <f>ROUND(MIN(IF(C542="Técnico III",35,IF(C542="Técnico II",28,IF(C542="Técnico I",23,IF(C542="JR",20,IF(C542="Estágio",10,0))))),IF(C542="Técnico III",SUMIFS($D:$D,$A:$A,$A542,$B:$B,"&lt;&gt;Patrícia Karla de Sousa Araújo",$B:$B,"&lt;&gt;Lorena Dias de Araujo",$B:$B,"&lt;&gt;Lucas Luiz Romero")*(35/1083),IF(C542="Técnico II",SUMIFS($D:$D,$A:$A,$A542,$B:$B,"&lt;&gt;Patrícia Karla de Sousa Araújo",$B:$B,"&lt;&gt;Lorena Dias de Araujo",$B:$B,"&lt;&gt;Lucas Luiz Romero")*(28/1083),IF(C542="Técnico I",SUMIFS($D:$D,$A:$A,$A542,$B:$B,"&lt;&gt;Patrícia Karla de Sousa Araújo",$B:$B,"&lt;&gt;Lorena Dias de Araujo",$B:$B,"&lt;&gt;Lucas Luiz Romero")*(23/1083),IF(C542="JR",SUMIFS($D:$D,$A:$A,$A542,$B:$B,"&lt;&gt;Patrícia Karla de Sousa Araújo",$B:$B,"&lt;&gt;Lorena Dias de Araujo",$B:$B,"&lt;&gt;Lucas Luiz Romero")*(20/1083),IF(C542="Estágio",SUMIFS($D:$D,$A:$A,$A542,$B:$B,"&lt;&gt;Patrícia Karla de Sousa Araújo",$B:$B,"&lt;&gt;Lorena Dias de Araujo",$B:$B,"&lt;&gt;Lucas Luiz Romero")*(10/1083),0)))))),0)</f>
        <v>20</v>
      </c>
      <c r="K542" s="3">
        <f>I542-J542</f>
        <v>-3</v>
      </c>
      <c r="L542" s="3" t="str">
        <f>IF(K542&lt;-5,"CRÍTICO",IF(K542&lt;0,"ATENÇÃO",IF(K542&lt;=5,"OPORTUNO","MUITO BOM")))</f>
        <v>ATENÇÃO</v>
      </c>
      <c r="M542" s="3">
        <v>15</v>
      </c>
      <c r="N542" s="3">
        <v>100</v>
      </c>
      <c r="O542" s="3">
        <v>18</v>
      </c>
    </row>
    <row r="543" spans="1:15" hidden="1" x14ac:dyDescent="0.25">
      <c r="A543" s="5">
        <v>46153</v>
      </c>
      <c r="B543" s="6" t="s">
        <v>22</v>
      </c>
      <c r="C543" s="1" t="s">
        <v>23</v>
      </c>
      <c r="D543" s="3">
        <v>25</v>
      </c>
      <c r="E543" s="3">
        <v>22</v>
      </c>
      <c r="F543" s="3">
        <v>17.3</v>
      </c>
      <c r="G543" s="3">
        <v>5</v>
      </c>
      <c r="H543" s="3">
        <v>0</v>
      </c>
      <c r="I543" s="3">
        <f>E543+G543+H543</f>
        <v>27</v>
      </c>
      <c r="J543" s="3">
        <f>ROUND(MIN(IF(C543="Técnico III",35,IF(C543="Técnico II",28,IF(C543="Técnico I",23,IF(C543="JR",20,IF(C543="Estágio",10,0))))),IF(C543="Técnico III",SUMIFS($D:$D,$A:$A,$A543,$B:$B,"&lt;&gt;Patrícia Karla de Sousa Araújo",$B:$B,"&lt;&gt;Lorena Dias de Araujo",$B:$B,"&lt;&gt;Lucas Luiz Romero")*(35/1083),IF(C543="Técnico II",SUMIFS($D:$D,$A:$A,$A543,$B:$B,"&lt;&gt;Patrícia Karla de Sousa Araújo",$B:$B,"&lt;&gt;Lorena Dias de Araujo",$B:$B,"&lt;&gt;Lucas Luiz Romero")*(28/1083),IF(C543="Técnico I",SUMIFS($D:$D,$A:$A,$A543,$B:$B,"&lt;&gt;Patrícia Karla de Sousa Araújo",$B:$B,"&lt;&gt;Lorena Dias de Araujo",$B:$B,"&lt;&gt;Lucas Luiz Romero")*(23/1083),IF(C543="JR",SUMIFS($D:$D,$A:$A,$A543,$B:$B,"&lt;&gt;Patrícia Karla de Sousa Araújo",$B:$B,"&lt;&gt;Lorena Dias de Araujo",$B:$B,"&lt;&gt;Lucas Luiz Romero")*(20/1083),IF(C543="Estágio",SUMIFS($D:$D,$A:$A,$A543,$B:$B,"&lt;&gt;Patrícia Karla de Sousa Araújo",$B:$B,"&lt;&gt;Lorena Dias de Araujo",$B:$B,"&lt;&gt;Lucas Luiz Romero")*(10/1083),0)))))),0)</f>
        <v>20</v>
      </c>
      <c r="K543" s="3">
        <f>I543-J543</f>
        <v>7</v>
      </c>
      <c r="L543" s="3" t="str">
        <f>IF(K543&lt;-5,"CRÍTICO",IF(K543&lt;0,"ATENÇÃO",IF(K543&lt;=5,"OPORTUNO","MUITO BOM")))</f>
        <v>MUITO BOM</v>
      </c>
      <c r="M543" s="3">
        <v>23</v>
      </c>
      <c r="N543" s="3">
        <v>99.06</v>
      </c>
      <c r="O543" s="3">
        <v>19.417475728155338</v>
      </c>
    </row>
    <row r="544" spans="1:15" hidden="1" x14ac:dyDescent="0.25">
      <c r="A544" s="5">
        <v>46154</v>
      </c>
      <c r="B544" s="6" t="s">
        <v>31</v>
      </c>
      <c r="C544" s="1" t="s">
        <v>32</v>
      </c>
      <c r="D544" s="3">
        <v>0</v>
      </c>
      <c r="E544" s="3">
        <v>0</v>
      </c>
      <c r="F544" s="3">
        <v>0</v>
      </c>
      <c r="G544" s="3">
        <v>0</v>
      </c>
      <c r="H544" s="3">
        <v>0</v>
      </c>
      <c r="I544" s="3">
        <f>E544+G544+H544</f>
        <v>0</v>
      </c>
      <c r="J544" s="3">
        <f>ROUND(MIN(IF(C544="Técnico III",35,IF(C544="Técnico II",28,IF(C544="Técnico I",23,IF(C544="JR",20,IF(C544="Estágio",10,0))))),IF(C544="Técnico III",SUMIFS($D:$D,$A:$A,$A544,$B:$B,"&lt;&gt;Patrícia Karla de Sousa Araújo",$B:$B,"&lt;&gt;Lorena Dias de Araujo",$B:$B,"&lt;&gt;Lucas Luiz Romero")*(35/1083),IF(C544="Técnico II",SUMIFS($D:$D,$A:$A,$A544,$B:$B,"&lt;&gt;Patrícia Karla de Sousa Araújo",$B:$B,"&lt;&gt;Lorena Dias de Araujo",$B:$B,"&lt;&gt;Lucas Luiz Romero")*(28/1083),IF(C544="Técnico I",SUMIFS($D:$D,$A:$A,$A544,$B:$B,"&lt;&gt;Patrícia Karla de Sousa Araújo",$B:$B,"&lt;&gt;Lorena Dias de Araujo",$B:$B,"&lt;&gt;Lucas Luiz Romero")*(23/1083),IF(C544="JR",SUMIFS($D:$D,$A:$A,$A544,$B:$B,"&lt;&gt;Patrícia Karla de Sousa Araújo",$B:$B,"&lt;&gt;Lorena Dias de Araujo",$B:$B,"&lt;&gt;Lucas Luiz Romero")*(20/1083),IF(C544="Estágio",SUMIFS($D:$D,$A:$A,$A544,$B:$B,"&lt;&gt;Patrícia Karla de Sousa Araújo",$B:$B,"&lt;&gt;Lorena Dias de Araujo",$B:$B,"&lt;&gt;Lucas Luiz Romero")*(10/1083),0)))))),0)</f>
        <v>32</v>
      </c>
      <c r="K544" s="3">
        <f>I544-J544</f>
        <v>-32</v>
      </c>
      <c r="L544" s="3" t="str">
        <f>IF(K544&lt;-5,"CRÍTICO",IF(K544&lt;0,"ATENÇÃO",IF(K544&lt;=5,"OPORTUNO","MUITO BOM")))</f>
        <v>CRÍTICO</v>
      </c>
      <c r="M544" s="3">
        <v>0</v>
      </c>
      <c r="N544" s="3">
        <v>100</v>
      </c>
      <c r="O544" s="3">
        <v>0</v>
      </c>
    </row>
    <row r="545" spans="1:15" hidden="1" x14ac:dyDescent="0.25">
      <c r="A545" s="5">
        <v>46154</v>
      </c>
      <c r="B545" s="6" t="s">
        <v>33</v>
      </c>
      <c r="C545" s="14" t="s">
        <v>32</v>
      </c>
      <c r="D545" s="3">
        <v>28</v>
      </c>
      <c r="E545" s="3">
        <v>24</v>
      </c>
      <c r="F545" s="3">
        <v>15.56</v>
      </c>
      <c r="G545" s="3">
        <v>4</v>
      </c>
      <c r="H545" s="3">
        <v>0</v>
      </c>
      <c r="I545" s="3">
        <f>E545+G545+H545</f>
        <v>28</v>
      </c>
      <c r="J545" s="3">
        <f>ROUND(MIN(IF(C545="Técnico III",35,IF(C545="Técnico II",28,IF(C545="Técnico I",23,IF(C545="JR",20,IF(C545="Estágio",10,0))))),IF(C545="Técnico III",SUMIFS($D:$D,$A:$A,$A545,$B:$B,"&lt;&gt;Patrícia Karla de Sousa Araújo",$B:$B,"&lt;&gt;Lorena Dias de Araujo",$B:$B,"&lt;&gt;Lucas Luiz Romero")*(35/1083),IF(C545="Técnico II",SUMIFS($D:$D,$A:$A,$A545,$B:$B,"&lt;&gt;Patrícia Karla de Sousa Araújo",$B:$B,"&lt;&gt;Lorena Dias de Araujo",$B:$B,"&lt;&gt;Lucas Luiz Romero")*(28/1083),IF(C545="Técnico I",SUMIFS($D:$D,$A:$A,$A545,$B:$B,"&lt;&gt;Patrícia Karla de Sousa Araújo",$B:$B,"&lt;&gt;Lorena Dias de Araujo",$B:$B,"&lt;&gt;Lucas Luiz Romero")*(23/1083),IF(C545="JR",SUMIFS($D:$D,$A:$A,$A545,$B:$B,"&lt;&gt;Patrícia Karla de Sousa Araújo",$B:$B,"&lt;&gt;Lorena Dias de Araujo",$B:$B,"&lt;&gt;Lucas Luiz Romero")*(20/1083),IF(C545="Estágio",SUMIFS($D:$D,$A:$A,$A545,$B:$B,"&lt;&gt;Patrícia Karla de Sousa Araújo",$B:$B,"&lt;&gt;Lorena Dias de Araujo",$B:$B,"&lt;&gt;Lucas Luiz Romero")*(10/1083),0)))))),0)</f>
        <v>32</v>
      </c>
      <c r="K545" s="3">
        <f>I545-J545</f>
        <v>-4</v>
      </c>
      <c r="L545" s="3" t="str">
        <f>IF(K545&lt;-5,"CRÍTICO",IF(K545&lt;0,"ATENÇÃO",IF(K545&lt;=5,"OPORTUNO","MUITO BOM")))</f>
        <v>ATENÇÃO</v>
      </c>
      <c r="M545" s="3">
        <v>25</v>
      </c>
      <c r="N545" s="3">
        <v>96.94</v>
      </c>
      <c r="O545" s="3">
        <v>19.613259668508292</v>
      </c>
    </row>
    <row r="546" spans="1:15" hidden="1" x14ac:dyDescent="0.25">
      <c r="A546" s="5">
        <v>46154</v>
      </c>
      <c r="B546" s="6" t="s">
        <v>34</v>
      </c>
      <c r="C546" s="1" t="s">
        <v>32</v>
      </c>
      <c r="D546" s="3">
        <v>41</v>
      </c>
      <c r="E546" s="3">
        <v>39</v>
      </c>
      <c r="F546" s="3">
        <v>10.52</v>
      </c>
      <c r="G546" s="3">
        <v>0</v>
      </c>
      <c r="H546" s="3">
        <v>0</v>
      </c>
      <c r="I546" s="3">
        <f>E546+G546+H546</f>
        <v>39</v>
      </c>
      <c r="J546" s="3">
        <f>ROUND(MIN(IF(C546="Técnico III",35,IF(C546="Técnico II",28,IF(C546="Técnico I",23,IF(C546="JR",20,IF(C546="Estágio",10,0))))),IF(C546="Técnico III",SUMIFS($D:$D,$A:$A,$A546,$B:$B,"&lt;&gt;Patrícia Karla de Sousa Araújo",$B:$B,"&lt;&gt;Lorena Dias de Araujo",$B:$B,"&lt;&gt;Lucas Luiz Romero")*(35/1083),IF(C546="Técnico II",SUMIFS($D:$D,$A:$A,$A546,$B:$B,"&lt;&gt;Patrícia Karla de Sousa Araújo",$B:$B,"&lt;&gt;Lorena Dias de Araujo",$B:$B,"&lt;&gt;Lucas Luiz Romero")*(28/1083),IF(C546="Técnico I",SUMIFS($D:$D,$A:$A,$A546,$B:$B,"&lt;&gt;Patrícia Karla de Sousa Araújo",$B:$B,"&lt;&gt;Lorena Dias de Araujo",$B:$B,"&lt;&gt;Lucas Luiz Romero")*(23/1083),IF(C546="JR",SUMIFS($D:$D,$A:$A,$A546,$B:$B,"&lt;&gt;Patrícia Karla de Sousa Araújo",$B:$B,"&lt;&gt;Lorena Dias de Araujo",$B:$B,"&lt;&gt;Lucas Luiz Romero")*(20/1083),IF(C546="Estágio",SUMIFS($D:$D,$A:$A,$A546,$B:$B,"&lt;&gt;Patrícia Karla de Sousa Araújo",$B:$B,"&lt;&gt;Lorena Dias de Araujo",$B:$B,"&lt;&gt;Lucas Luiz Romero")*(10/1083),0)))))),0)</f>
        <v>32</v>
      </c>
      <c r="K546" s="3">
        <f>I546-J546</f>
        <v>7</v>
      </c>
      <c r="L546" s="3" t="str">
        <f>IF(K546&lt;-5,"CRÍTICO",IF(K546&lt;0,"ATENÇÃO",IF(K546&lt;=5,"OPORTUNO","MUITO BOM")))</f>
        <v>MUITO BOM</v>
      </c>
      <c r="M546" s="3">
        <v>33</v>
      </c>
      <c r="N546" s="3">
        <v>92.81</v>
      </c>
      <c r="O546" s="3">
        <v>25.477707006369432</v>
      </c>
    </row>
    <row r="547" spans="1:15" hidden="1" x14ac:dyDescent="0.25">
      <c r="A547" s="11">
        <v>46048</v>
      </c>
      <c r="B547" t="s">
        <v>22</v>
      </c>
      <c r="C547" t="s">
        <v>23</v>
      </c>
      <c r="D547">
        <v>17</v>
      </c>
      <c r="E547">
        <v>17</v>
      </c>
      <c r="F547">
        <v>27.39</v>
      </c>
      <c r="G547">
        <v>0</v>
      </c>
      <c r="H547">
        <v>0</v>
      </c>
      <c r="I547" s="3">
        <f>E547+G547+H547</f>
        <v>17</v>
      </c>
      <c r="J547" s="3">
        <f>ROUND(MIN(IF(C547="Técnico III",35,IF(C547="Técnico II",28,IF(C547="Técnico I",23,IF(C547="JR",20,IF(C547="Estágio",10,0))))),IF(C547="Técnico III",SUMIFS($D:$D,$A:$A,$A547,$B:$B,"&lt;&gt;Patrícia Karla de Sousa Araújo",$B:$B,"&lt;&gt;Lorena Dias de Araujo",$B:$B,"&lt;&gt;Lucas Luiz Romero")*(35/1083),IF(C547="Técnico II",SUMIFS($D:$D,$A:$A,$A547,$B:$B,"&lt;&gt;Patrícia Karla de Sousa Araújo",$B:$B,"&lt;&gt;Lorena Dias de Araujo",$B:$B,"&lt;&gt;Lucas Luiz Romero")*(28/1083),IF(C547="Técnico I",SUMIFS($D:$D,$A:$A,$A547,$B:$B,"&lt;&gt;Patrícia Karla de Sousa Araújo",$B:$B,"&lt;&gt;Lorena Dias de Araujo",$B:$B,"&lt;&gt;Lucas Luiz Romero")*(23/1083),IF(C547="JR",SUMIFS($D:$D,$A:$A,$A547,$B:$B,"&lt;&gt;Patrícia Karla de Sousa Araújo",$B:$B,"&lt;&gt;Lorena Dias de Araujo",$B:$B,"&lt;&gt;Lucas Luiz Romero")*(20/1083),IF(C547="Estágio",SUMIFS($D:$D,$A:$A,$A547,$B:$B,"&lt;&gt;Patrícia Karla de Sousa Araújo",$B:$B,"&lt;&gt;Lorena Dias de Araujo",$B:$B,"&lt;&gt;Lucas Luiz Romero")*(10/1083),0)))))),0)</f>
        <v>15</v>
      </c>
      <c r="K547" s="3">
        <f>I547-J547</f>
        <v>2</v>
      </c>
      <c r="L547" s="3" t="str">
        <f>IF(K547&lt;-5,"CRÍTICO",IF(K547&lt;0,"ATENÇÃO",IF(K547&lt;=5,"BOM","EXCELENTE")))</f>
        <v>BOM</v>
      </c>
      <c r="M547">
        <v>17</v>
      </c>
      <c r="N547">
        <v>98.91</v>
      </c>
      <c r="O547">
        <v>31.367292225201069</v>
      </c>
    </row>
    <row r="548" spans="1:15" hidden="1" x14ac:dyDescent="0.25">
      <c r="A548" s="11">
        <v>46049</v>
      </c>
      <c r="B548" t="s">
        <v>22</v>
      </c>
      <c r="C548" t="s">
        <v>23</v>
      </c>
      <c r="D548">
        <v>20</v>
      </c>
      <c r="E548">
        <v>20</v>
      </c>
      <c r="F548">
        <v>30.07</v>
      </c>
      <c r="G548">
        <v>0</v>
      </c>
      <c r="H548">
        <v>0</v>
      </c>
      <c r="I548" s="3">
        <f>E548+G548+H548</f>
        <v>20</v>
      </c>
      <c r="J548" s="3">
        <f>ROUND(MIN(IF(C548="Técnico III",35,IF(C548="Técnico II",28,IF(C548="Técnico I",23,IF(C548="JR",20,IF(C548="Estágio",10,0))))),IF(C548="Técnico III",SUMIFS($D:$D,$A:$A,$A548,$B:$B,"&lt;&gt;Patrícia Karla de Sousa Araújo",$B:$B,"&lt;&gt;Lorena Dias de Araujo",$B:$B,"&lt;&gt;Lucas Luiz Romero")*(35/1083),IF(C548="Técnico II",SUMIFS($D:$D,$A:$A,$A548,$B:$B,"&lt;&gt;Patrícia Karla de Sousa Araújo",$B:$B,"&lt;&gt;Lorena Dias de Araujo",$B:$B,"&lt;&gt;Lucas Luiz Romero")*(28/1083),IF(C548="Técnico I",SUMIFS($D:$D,$A:$A,$A548,$B:$B,"&lt;&gt;Patrícia Karla de Sousa Araújo",$B:$B,"&lt;&gt;Lorena Dias de Araujo",$B:$B,"&lt;&gt;Lucas Luiz Romero")*(23/1083),IF(C548="JR",SUMIFS($D:$D,$A:$A,$A548,$B:$B,"&lt;&gt;Patrícia Karla de Sousa Araújo",$B:$B,"&lt;&gt;Lorena Dias de Araujo",$B:$B,"&lt;&gt;Lucas Luiz Romero")*(20/1083),IF(C548="Estágio",SUMIFS($D:$D,$A:$A,$A548,$B:$B,"&lt;&gt;Patrícia Karla de Sousa Araújo",$B:$B,"&lt;&gt;Lorena Dias de Araujo",$B:$B,"&lt;&gt;Lucas Luiz Romero")*(10/1083),0)))))),0)</f>
        <v>17</v>
      </c>
      <c r="K548" s="3">
        <f>I548-J548</f>
        <v>3</v>
      </c>
      <c r="L548" s="3" t="str">
        <f>IF(K548&lt;-5,"CRÍTICO",IF(K548&lt;0,"ATENÇÃO",IF(K548&lt;=5,"BOM","EXCELENTE")))</f>
        <v>BOM</v>
      </c>
      <c r="M548">
        <v>20</v>
      </c>
      <c r="N548">
        <v>98.91</v>
      </c>
      <c r="O548">
        <v>31.367292225201069</v>
      </c>
    </row>
    <row r="549" spans="1:15" hidden="1" x14ac:dyDescent="0.25">
      <c r="A549" s="5">
        <v>46154</v>
      </c>
      <c r="B549" s="6" t="s">
        <v>35</v>
      </c>
      <c r="C549" s="14" t="s">
        <v>32</v>
      </c>
      <c r="D549" s="3">
        <v>23</v>
      </c>
      <c r="E549" s="3">
        <v>23</v>
      </c>
      <c r="F549" s="3">
        <v>25.03</v>
      </c>
      <c r="G549" s="3">
        <v>0</v>
      </c>
      <c r="H549" s="3">
        <v>0</v>
      </c>
      <c r="I549" s="3">
        <f>E549+G549+H549</f>
        <v>23</v>
      </c>
      <c r="J549" s="3">
        <f>ROUND(MIN(IF(C549="Técnico III",35,IF(C549="Técnico II",28,IF(C549="Técnico I",23,IF(C549="JR",20,IF(C549="Estágio",10,0))))),IF(C549="Técnico III",SUMIFS($D:$D,$A:$A,$A549,$B:$B,"&lt;&gt;Patrícia Karla de Sousa Araújo",$B:$B,"&lt;&gt;Lorena Dias de Araujo",$B:$B,"&lt;&gt;Lucas Luiz Romero")*(35/1083),IF(C549="Técnico II",SUMIFS($D:$D,$A:$A,$A549,$B:$B,"&lt;&gt;Patrícia Karla de Sousa Araújo",$B:$B,"&lt;&gt;Lorena Dias de Araujo",$B:$B,"&lt;&gt;Lucas Luiz Romero")*(28/1083),IF(C549="Técnico I",SUMIFS($D:$D,$A:$A,$A549,$B:$B,"&lt;&gt;Patrícia Karla de Sousa Araújo",$B:$B,"&lt;&gt;Lorena Dias de Araujo",$B:$B,"&lt;&gt;Lucas Luiz Romero")*(23/1083),IF(C549="JR",SUMIFS($D:$D,$A:$A,$A549,$B:$B,"&lt;&gt;Patrícia Karla de Sousa Araújo",$B:$B,"&lt;&gt;Lorena Dias de Araujo",$B:$B,"&lt;&gt;Lucas Luiz Romero")*(20/1083),IF(C549="Estágio",SUMIFS($D:$D,$A:$A,$A549,$B:$B,"&lt;&gt;Patrícia Karla de Sousa Araújo",$B:$B,"&lt;&gt;Lorena Dias de Araujo",$B:$B,"&lt;&gt;Lucas Luiz Romero")*(10/1083),0)))))),0)</f>
        <v>32</v>
      </c>
      <c r="K549" s="3">
        <f>I549-J549</f>
        <v>-9</v>
      </c>
      <c r="L549" s="3" t="str">
        <f>IF(K549&lt;-5,"CRÍTICO",IF(K549&lt;0,"ATENÇÃO",IF(K549&lt;=5,"OPORTUNO","MUITO BOM")))</f>
        <v>CRÍTICO</v>
      </c>
      <c r="M549" s="3">
        <v>27</v>
      </c>
      <c r="N549" s="3">
        <v>99.19</v>
      </c>
      <c r="O549" s="3">
        <v>28.404669260700391</v>
      </c>
    </row>
    <row r="550" spans="1:15" hidden="1" x14ac:dyDescent="0.25">
      <c r="A550" s="5">
        <v>46154</v>
      </c>
      <c r="B550" s="6" t="s">
        <v>36</v>
      </c>
      <c r="C550" s="14" t="s">
        <v>32</v>
      </c>
      <c r="D550" s="3">
        <v>0</v>
      </c>
      <c r="E550" s="3">
        <v>0</v>
      </c>
      <c r="F550" s="3">
        <v>0</v>
      </c>
      <c r="G550" s="3">
        <v>0</v>
      </c>
      <c r="H550" s="3">
        <v>0</v>
      </c>
      <c r="I550" s="3">
        <f>E550+G550+H550</f>
        <v>0</v>
      </c>
      <c r="J550" s="3">
        <f>ROUND(MIN(IF(C550="Técnico III",35,IF(C550="Técnico II",28,IF(C550="Técnico I",23,IF(C550="JR",20,IF(C550="Estágio",10,0))))),IF(C550="Técnico III",SUMIFS($D:$D,$A:$A,$A550,$B:$B,"&lt;&gt;Patrícia Karla de Sousa Araújo",$B:$B,"&lt;&gt;Lorena Dias de Araujo",$B:$B,"&lt;&gt;Lucas Luiz Romero")*(35/1083),IF(C550="Técnico II",SUMIFS($D:$D,$A:$A,$A550,$B:$B,"&lt;&gt;Patrícia Karla de Sousa Araújo",$B:$B,"&lt;&gt;Lorena Dias de Araujo",$B:$B,"&lt;&gt;Lucas Luiz Romero")*(28/1083),IF(C550="Técnico I",SUMIFS($D:$D,$A:$A,$A550,$B:$B,"&lt;&gt;Patrícia Karla de Sousa Araújo",$B:$B,"&lt;&gt;Lorena Dias de Araujo",$B:$B,"&lt;&gt;Lucas Luiz Romero")*(23/1083),IF(C550="JR",SUMIFS($D:$D,$A:$A,$A550,$B:$B,"&lt;&gt;Patrícia Karla de Sousa Araújo",$B:$B,"&lt;&gt;Lorena Dias de Araujo",$B:$B,"&lt;&gt;Lucas Luiz Romero")*(20/1083),IF(C550="Estágio",SUMIFS($D:$D,$A:$A,$A550,$B:$B,"&lt;&gt;Patrícia Karla de Sousa Araújo",$B:$B,"&lt;&gt;Lorena Dias de Araujo",$B:$B,"&lt;&gt;Lucas Luiz Romero")*(10/1083),0)))))),0)</f>
        <v>32</v>
      </c>
      <c r="K550" s="3">
        <f>I550-J550</f>
        <v>-32</v>
      </c>
      <c r="L550" s="3" t="str">
        <f>IF(K550&lt;-5,"CRÍTICO",IF(K550&lt;0,"ATENÇÃO",IF(K550&lt;=5,"OPORTUNO","MUITO BOM")))</f>
        <v>CRÍTICO</v>
      </c>
      <c r="M550" s="3">
        <v>0</v>
      </c>
      <c r="N550" s="3">
        <v>100</v>
      </c>
      <c r="O550" s="3">
        <v>13.51351351351351</v>
      </c>
    </row>
    <row r="551" spans="1:15" hidden="1" x14ac:dyDescent="0.25">
      <c r="A551" s="5">
        <v>46154</v>
      </c>
      <c r="B551" s="6" t="s">
        <v>37</v>
      </c>
      <c r="C551" s="1" t="s">
        <v>32</v>
      </c>
      <c r="D551" s="3">
        <v>47</v>
      </c>
      <c r="E551" s="3">
        <v>43</v>
      </c>
      <c r="F551" s="3">
        <v>10.34</v>
      </c>
      <c r="G551" s="3">
        <v>8</v>
      </c>
      <c r="H551" s="3">
        <v>0</v>
      </c>
      <c r="I551" s="3">
        <f>E551+G551+H551</f>
        <v>51</v>
      </c>
      <c r="J551" s="3">
        <f>ROUND(MIN(IF(C551="Técnico III",35,IF(C551="Técnico II",28,IF(C551="Técnico I",23,IF(C551="JR",20,IF(C551="Estágio",10,0))))),IF(C551="Técnico III",SUMIFS($D:$D,$A:$A,$A551,$B:$B,"&lt;&gt;Patrícia Karla de Sousa Araújo",$B:$B,"&lt;&gt;Lorena Dias de Araujo",$B:$B,"&lt;&gt;Lucas Luiz Romero")*(35/1083),IF(C551="Técnico II",SUMIFS($D:$D,$A:$A,$A551,$B:$B,"&lt;&gt;Patrícia Karla de Sousa Araújo",$B:$B,"&lt;&gt;Lorena Dias de Araujo",$B:$B,"&lt;&gt;Lucas Luiz Romero")*(28/1083),IF(C551="Técnico I",SUMIFS($D:$D,$A:$A,$A551,$B:$B,"&lt;&gt;Patrícia Karla de Sousa Araújo",$B:$B,"&lt;&gt;Lorena Dias de Araujo",$B:$B,"&lt;&gt;Lucas Luiz Romero")*(23/1083),IF(C551="JR",SUMIFS($D:$D,$A:$A,$A551,$B:$B,"&lt;&gt;Patrícia Karla de Sousa Araújo",$B:$B,"&lt;&gt;Lorena Dias de Araujo",$B:$B,"&lt;&gt;Lucas Luiz Romero")*(20/1083),IF(C551="Estágio",SUMIFS($D:$D,$A:$A,$A551,$B:$B,"&lt;&gt;Patrícia Karla de Sousa Araújo",$B:$B,"&lt;&gt;Lorena Dias de Araujo",$B:$B,"&lt;&gt;Lucas Luiz Romero")*(10/1083),0)))))),0)</f>
        <v>32</v>
      </c>
      <c r="K551" s="3">
        <f>I551-J551</f>
        <v>19</v>
      </c>
      <c r="L551" s="3" t="str">
        <f>IF(K551&lt;-5,"CRÍTICO",IF(K551&lt;0,"ATENÇÃO",IF(K551&lt;=5,"OPORTUNO","MUITO BOM")))</f>
        <v>MUITO BOM</v>
      </c>
      <c r="M551" s="3">
        <v>45</v>
      </c>
      <c r="N551" s="3">
        <v>99</v>
      </c>
      <c r="O551" s="3">
        <v>22.27414330218069</v>
      </c>
    </row>
    <row r="552" spans="1:15" hidden="1" x14ac:dyDescent="0.25">
      <c r="A552" s="5">
        <v>46154</v>
      </c>
      <c r="B552" s="6" t="s">
        <v>38</v>
      </c>
      <c r="C552" s="1" t="s">
        <v>32</v>
      </c>
      <c r="D552" s="3">
        <v>42</v>
      </c>
      <c r="E552" s="3">
        <v>37</v>
      </c>
      <c r="F552" s="3">
        <v>10.49</v>
      </c>
      <c r="G552" s="3">
        <v>9</v>
      </c>
      <c r="H552" s="3">
        <v>0</v>
      </c>
      <c r="I552" s="3">
        <f>E552+G552+H552</f>
        <v>46</v>
      </c>
      <c r="J552" s="3">
        <f>ROUND(MIN(IF(C552="Técnico III",35,IF(C552="Técnico II",28,IF(C552="Técnico I",23,IF(C552="JR",20,IF(C552="Estágio",10,0))))),IF(C552="Técnico III",SUMIFS($D:$D,$A:$A,$A552,$B:$B,"&lt;&gt;Patrícia Karla de Sousa Araújo",$B:$B,"&lt;&gt;Lorena Dias de Araujo",$B:$B,"&lt;&gt;Lucas Luiz Romero")*(35/1083),IF(C552="Técnico II",SUMIFS($D:$D,$A:$A,$A552,$B:$B,"&lt;&gt;Patrícia Karla de Sousa Araújo",$B:$B,"&lt;&gt;Lorena Dias de Araujo",$B:$B,"&lt;&gt;Lucas Luiz Romero")*(28/1083),IF(C552="Técnico I",SUMIFS($D:$D,$A:$A,$A552,$B:$B,"&lt;&gt;Patrícia Karla de Sousa Araújo",$B:$B,"&lt;&gt;Lorena Dias de Araujo",$B:$B,"&lt;&gt;Lucas Luiz Romero")*(23/1083),IF(C552="JR",SUMIFS($D:$D,$A:$A,$A552,$B:$B,"&lt;&gt;Patrícia Karla de Sousa Araújo",$B:$B,"&lt;&gt;Lorena Dias de Araujo",$B:$B,"&lt;&gt;Lucas Luiz Romero")*(20/1083),IF(C552="Estágio",SUMIFS($D:$D,$A:$A,$A552,$B:$B,"&lt;&gt;Patrícia Karla de Sousa Araújo",$B:$B,"&lt;&gt;Lorena Dias de Araujo",$B:$B,"&lt;&gt;Lucas Luiz Romero")*(10/1083),0)))))),0)</f>
        <v>32</v>
      </c>
      <c r="K552" s="3">
        <f>I552-J552</f>
        <v>14</v>
      </c>
      <c r="L552" s="3" t="str">
        <f>IF(K552&lt;-5,"CRÍTICO",IF(K552&lt;0,"ATENÇÃO",IF(K552&lt;=5,"OPORTUNO","MUITO BOM")))</f>
        <v>MUITO BOM</v>
      </c>
      <c r="M552" s="3">
        <v>37</v>
      </c>
      <c r="N552" s="3">
        <v>97.04</v>
      </c>
      <c r="O552" s="3">
        <v>29.828850855745721</v>
      </c>
    </row>
    <row r="553" spans="1:15" hidden="1" x14ac:dyDescent="0.25">
      <c r="A553" s="5">
        <v>46154</v>
      </c>
      <c r="B553" s="6" t="s">
        <v>39</v>
      </c>
      <c r="C553" s="1" t="s">
        <v>32</v>
      </c>
      <c r="D553" s="3">
        <v>0</v>
      </c>
      <c r="E553" s="3">
        <v>0</v>
      </c>
      <c r="F553" s="3">
        <v>0</v>
      </c>
      <c r="G553" s="3">
        <v>0</v>
      </c>
      <c r="H553" s="3">
        <v>0</v>
      </c>
      <c r="I553" s="3">
        <f>E553+G553+H553</f>
        <v>0</v>
      </c>
      <c r="J553" s="3">
        <f>ROUND(MIN(IF(C553="Técnico III",35,IF(C553="Técnico II",28,IF(C553="Técnico I",23,IF(C553="JR",20,IF(C553="Estágio",10,0))))),IF(C553="Técnico III",SUMIFS($D:$D,$A:$A,$A553,$B:$B,"&lt;&gt;Patrícia Karla de Sousa Araújo",$B:$B,"&lt;&gt;Lorena Dias de Araujo",$B:$B,"&lt;&gt;Lucas Luiz Romero")*(35/1083),IF(C553="Técnico II",SUMIFS($D:$D,$A:$A,$A553,$B:$B,"&lt;&gt;Patrícia Karla de Sousa Araújo",$B:$B,"&lt;&gt;Lorena Dias de Araujo",$B:$B,"&lt;&gt;Lucas Luiz Romero")*(28/1083),IF(C553="Técnico I",SUMIFS($D:$D,$A:$A,$A553,$B:$B,"&lt;&gt;Patrícia Karla de Sousa Araújo",$B:$B,"&lt;&gt;Lorena Dias de Araujo",$B:$B,"&lt;&gt;Lucas Luiz Romero")*(23/1083),IF(C553="JR",SUMIFS($D:$D,$A:$A,$A553,$B:$B,"&lt;&gt;Patrícia Karla de Sousa Araújo",$B:$B,"&lt;&gt;Lorena Dias de Araujo",$B:$B,"&lt;&gt;Lucas Luiz Romero")*(20/1083),IF(C553="Estágio",SUMIFS($D:$D,$A:$A,$A553,$B:$B,"&lt;&gt;Patrícia Karla de Sousa Araújo",$B:$B,"&lt;&gt;Lorena Dias de Araujo",$B:$B,"&lt;&gt;Lucas Luiz Romero")*(10/1083),0)))))),0)</f>
        <v>32</v>
      </c>
      <c r="K553" s="3">
        <f>I553-J553</f>
        <v>-32</v>
      </c>
      <c r="L553" s="3" t="str">
        <f>IF(K553&lt;-5,"CRÍTICO",IF(K553&lt;0,"ATENÇÃO",IF(K553&lt;=5,"OPORTUNO","MUITO BOM")))</f>
        <v>CRÍTICO</v>
      </c>
      <c r="M553" s="3">
        <v>0</v>
      </c>
      <c r="N553" s="3">
        <v>0</v>
      </c>
      <c r="O553" s="3">
        <v>0</v>
      </c>
    </row>
    <row r="554" spans="1:15" hidden="1" x14ac:dyDescent="0.25">
      <c r="A554" s="5">
        <v>46154</v>
      </c>
      <c r="B554" s="6" t="s">
        <v>40</v>
      </c>
      <c r="C554" s="14" t="s">
        <v>32</v>
      </c>
      <c r="D554" s="3">
        <v>19</v>
      </c>
      <c r="E554" s="3">
        <v>17</v>
      </c>
      <c r="F554" s="3">
        <v>25.12</v>
      </c>
      <c r="G554" s="3">
        <v>1</v>
      </c>
      <c r="H554" s="3">
        <v>0</v>
      </c>
      <c r="I554" s="3">
        <f>E554+G554+H554</f>
        <v>18</v>
      </c>
      <c r="J554" s="3">
        <f>ROUND(MIN(IF(C554="Técnico III",35,IF(C554="Técnico II",28,IF(C554="Técnico I",23,IF(C554="JR",20,IF(C554="Estágio",10,0))))),IF(C554="Técnico III",SUMIFS($D:$D,$A:$A,$A554,$B:$B,"&lt;&gt;Patrícia Karla de Sousa Araújo",$B:$B,"&lt;&gt;Lorena Dias de Araujo",$B:$B,"&lt;&gt;Lucas Luiz Romero")*(35/1083),IF(C554="Técnico II",SUMIFS($D:$D,$A:$A,$A554,$B:$B,"&lt;&gt;Patrícia Karla de Sousa Araújo",$B:$B,"&lt;&gt;Lorena Dias de Araujo",$B:$B,"&lt;&gt;Lucas Luiz Romero")*(28/1083),IF(C554="Técnico I",SUMIFS($D:$D,$A:$A,$A554,$B:$B,"&lt;&gt;Patrícia Karla de Sousa Araújo",$B:$B,"&lt;&gt;Lorena Dias de Araujo",$B:$B,"&lt;&gt;Lucas Luiz Romero")*(23/1083),IF(C554="JR",SUMIFS($D:$D,$A:$A,$A554,$B:$B,"&lt;&gt;Patrícia Karla de Sousa Araújo",$B:$B,"&lt;&gt;Lorena Dias de Araujo",$B:$B,"&lt;&gt;Lucas Luiz Romero")*(20/1083),IF(C554="Estágio",SUMIFS($D:$D,$A:$A,$A554,$B:$B,"&lt;&gt;Patrícia Karla de Sousa Araújo",$B:$B,"&lt;&gt;Lorena Dias de Araujo",$B:$B,"&lt;&gt;Lucas Luiz Romero")*(10/1083),0)))))),0)</f>
        <v>32</v>
      </c>
      <c r="K554" s="3">
        <f>I554-J554</f>
        <v>-14</v>
      </c>
      <c r="L554" s="3" t="str">
        <f>IF(K554&lt;-5,"CRÍTICO",IF(K554&lt;0,"ATENÇÃO",IF(K554&lt;=5,"OPORTUNO","MUITO BOM")))</f>
        <v>CRÍTICO</v>
      </c>
      <c r="M554" s="3">
        <v>18</v>
      </c>
      <c r="N554" s="3">
        <v>96.84</v>
      </c>
      <c r="O554" s="3">
        <v>16.338028169014081</v>
      </c>
    </row>
    <row r="555" spans="1:15" hidden="1" x14ac:dyDescent="0.25">
      <c r="A555" s="5">
        <v>46154</v>
      </c>
      <c r="B555" s="6" t="s">
        <v>41</v>
      </c>
      <c r="C555" s="14" t="s">
        <v>32</v>
      </c>
      <c r="D555" s="3">
        <v>31</v>
      </c>
      <c r="E555" s="3">
        <v>25</v>
      </c>
      <c r="F555" s="3">
        <v>16.55</v>
      </c>
      <c r="G555" s="3">
        <v>0</v>
      </c>
      <c r="H555" s="3">
        <v>0</v>
      </c>
      <c r="I555" s="3">
        <f>E555+G555+H555</f>
        <v>25</v>
      </c>
      <c r="J555" s="3">
        <f>ROUND(MIN(IF(C555="Técnico III",35,IF(C555="Técnico II",28,IF(C555="Técnico I",23,IF(C555="JR",20,IF(C555="Estágio",10,0))))),IF(C555="Técnico III",SUMIFS($D:$D,$A:$A,$A555,$B:$B,"&lt;&gt;Patrícia Karla de Sousa Araújo",$B:$B,"&lt;&gt;Lorena Dias de Araujo",$B:$B,"&lt;&gt;Lucas Luiz Romero")*(35/1083),IF(C555="Técnico II",SUMIFS($D:$D,$A:$A,$A555,$B:$B,"&lt;&gt;Patrícia Karla de Sousa Araújo",$B:$B,"&lt;&gt;Lorena Dias de Araujo",$B:$B,"&lt;&gt;Lucas Luiz Romero")*(28/1083),IF(C555="Técnico I",SUMIFS($D:$D,$A:$A,$A555,$B:$B,"&lt;&gt;Patrícia Karla de Sousa Araújo",$B:$B,"&lt;&gt;Lorena Dias de Araujo",$B:$B,"&lt;&gt;Lucas Luiz Romero")*(23/1083),IF(C555="JR",SUMIFS($D:$D,$A:$A,$A555,$B:$B,"&lt;&gt;Patrícia Karla de Sousa Araújo",$B:$B,"&lt;&gt;Lorena Dias de Araujo",$B:$B,"&lt;&gt;Lucas Luiz Romero")*(20/1083),IF(C555="Estágio",SUMIFS($D:$D,$A:$A,$A555,$B:$B,"&lt;&gt;Patrícia Karla de Sousa Araújo",$B:$B,"&lt;&gt;Lorena Dias de Araujo",$B:$B,"&lt;&gt;Lucas Luiz Romero")*(10/1083),0)))))),0)</f>
        <v>32</v>
      </c>
      <c r="K555" s="3">
        <f>I555-J555</f>
        <v>-7</v>
      </c>
      <c r="L555" s="3" t="str">
        <f>IF(K555&lt;-5,"CRÍTICO",IF(K555&lt;0,"ATENÇÃO",IF(K555&lt;=5,"OPORTUNO","MUITO BOM")))</f>
        <v>CRÍTICO</v>
      </c>
      <c r="M555" s="3">
        <v>28</v>
      </c>
      <c r="N555" s="3">
        <v>100</v>
      </c>
      <c r="O555" s="3">
        <v>18.244803695150122</v>
      </c>
    </row>
    <row r="556" spans="1:15" hidden="1" x14ac:dyDescent="0.25">
      <c r="A556" s="5">
        <v>46154</v>
      </c>
      <c r="B556" s="6" t="s">
        <v>42</v>
      </c>
      <c r="C556" s="1" t="s">
        <v>32</v>
      </c>
      <c r="D556" s="3">
        <v>0</v>
      </c>
      <c r="E556" s="3">
        <v>0</v>
      </c>
      <c r="F556" s="3">
        <v>0</v>
      </c>
      <c r="G556" s="3">
        <v>0</v>
      </c>
      <c r="H556" s="3">
        <v>0</v>
      </c>
      <c r="I556" s="3">
        <f>E556+G556+H556</f>
        <v>0</v>
      </c>
      <c r="J556" s="3">
        <f>ROUND(MIN(IF(C556="Técnico III",35,IF(C556="Técnico II",28,IF(C556="Técnico I",23,IF(C556="JR",20,IF(C556="Estágio",10,0))))),IF(C556="Técnico III",SUMIFS($D:$D,$A:$A,$A556,$B:$B,"&lt;&gt;Patrícia Karla de Sousa Araújo",$B:$B,"&lt;&gt;Lorena Dias de Araujo",$B:$B,"&lt;&gt;Lucas Luiz Romero")*(35/1083),IF(C556="Técnico II",SUMIFS($D:$D,$A:$A,$A556,$B:$B,"&lt;&gt;Patrícia Karla de Sousa Araújo",$B:$B,"&lt;&gt;Lorena Dias de Araujo",$B:$B,"&lt;&gt;Lucas Luiz Romero")*(28/1083),IF(C556="Técnico I",SUMIFS($D:$D,$A:$A,$A556,$B:$B,"&lt;&gt;Patrícia Karla de Sousa Araújo",$B:$B,"&lt;&gt;Lorena Dias de Araujo",$B:$B,"&lt;&gt;Lucas Luiz Romero")*(23/1083),IF(C556="JR",SUMIFS($D:$D,$A:$A,$A556,$B:$B,"&lt;&gt;Patrícia Karla de Sousa Araújo",$B:$B,"&lt;&gt;Lorena Dias de Araujo",$B:$B,"&lt;&gt;Lucas Luiz Romero")*(20/1083),IF(C556="Estágio",SUMIFS($D:$D,$A:$A,$A556,$B:$B,"&lt;&gt;Patrícia Karla de Sousa Araújo",$B:$B,"&lt;&gt;Lorena Dias de Araujo",$B:$B,"&lt;&gt;Lucas Luiz Romero")*(10/1083),0)))))),0)</f>
        <v>32</v>
      </c>
      <c r="K556" s="3">
        <f>I556-J556</f>
        <v>-32</v>
      </c>
      <c r="L556" s="3" t="str">
        <f>IF(K556&lt;-5,"CRÍTICO",IF(K556&lt;0,"ATENÇÃO",IF(K556&lt;=5,"OPORTUNO","MUITO BOM")))</f>
        <v>CRÍTICO</v>
      </c>
      <c r="M556" s="3">
        <v>0</v>
      </c>
      <c r="N556" s="3">
        <v>100</v>
      </c>
      <c r="O556" s="3">
        <v>15.789473684210529</v>
      </c>
    </row>
    <row r="557" spans="1:15" x14ac:dyDescent="0.25">
      <c r="A557" s="5">
        <v>46154</v>
      </c>
      <c r="B557" s="6" t="s">
        <v>43</v>
      </c>
      <c r="C557" s="1" t="s">
        <v>32</v>
      </c>
      <c r="D557" s="3">
        <v>0</v>
      </c>
      <c r="E557" s="3">
        <v>0</v>
      </c>
      <c r="F557" s="3">
        <v>0</v>
      </c>
      <c r="H557" s="3">
        <v>51</v>
      </c>
      <c r="I557" s="3">
        <f>E557+G557+H557</f>
        <v>51</v>
      </c>
      <c r="J557" s="3">
        <f>ROUND(MIN(IF(C557="Técnico III",35,IF(C557="Técnico II",28,IF(C557="Técnico I",23,IF(C557="JR",20,IF(C557="Estágio",10,0))))),IF(C557="Técnico III",SUMIFS($D:$D,$A:$A,$A557,$B:$B,"&lt;&gt;Patrícia Karla de Sousa Araújo",$B:$B,"&lt;&gt;Lorena Dias de Araujo",$B:$B,"&lt;&gt;Lucas Luiz Romero")*(35/1083),IF(C557="Técnico II",SUMIFS($D:$D,$A:$A,$A557,$B:$B,"&lt;&gt;Patrícia Karla de Sousa Araújo",$B:$B,"&lt;&gt;Lorena Dias de Araujo",$B:$B,"&lt;&gt;Lucas Luiz Romero")*(28/1083),IF(C557="Técnico I",SUMIFS($D:$D,$A:$A,$A557,$B:$B,"&lt;&gt;Patrícia Karla de Sousa Araújo",$B:$B,"&lt;&gt;Lorena Dias de Araujo",$B:$B,"&lt;&gt;Lucas Luiz Romero")*(23/1083),IF(C557="JR",SUMIFS($D:$D,$A:$A,$A557,$B:$B,"&lt;&gt;Patrícia Karla de Sousa Araújo",$B:$B,"&lt;&gt;Lorena Dias de Araujo",$B:$B,"&lt;&gt;Lucas Luiz Romero")*(20/1083),IF(C557="Estágio",SUMIFS($D:$D,$A:$A,$A557,$B:$B,"&lt;&gt;Patrícia Karla de Sousa Araújo",$B:$B,"&lt;&gt;Lorena Dias de Araujo",$B:$B,"&lt;&gt;Lucas Luiz Romero")*(10/1083),0)))))),0)</f>
        <v>32</v>
      </c>
      <c r="K557" s="3">
        <f>I557-J557</f>
        <v>19</v>
      </c>
      <c r="L557" s="3" t="str">
        <f>IF(K557&lt;-5,"CRÍTICO",IF(K557&lt;0,"ATENÇÃO",IF(K557&lt;=5,"OPORTUNO","MUITO BOM")))</f>
        <v>MUITO BOM</v>
      </c>
      <c r="M557" s="3">
        <v>25</v>
      </c>
      <c r="N557" s="3">
        <v>98.39</v>
      </c>
      <c r="O557" s="3">
        <v>8.7999999999999989</v>
      </c>
    </row>
    <row r="558" spans="1:15" hidden="1" x14ac:dyDescent="0.25">
      <c r="A558" s="5">
        <v>46154</v>
      </c>
      <c r="B558" s="6" t="s">
        <v>44</v>
      </c>
      <c r="C558" s="1" t="s">
        <v>32</v>
      </c>
      <c r="D558" s="3">
        <v>36</v>
      </c>
      <c r="E558" s="3">
        <v>31</v>
      </c>
      <c r="F558" s="3">
        <v>13.49</v>
      </c>
      <c r="G558" s="3">
        <v>2</v>
      </c>
      <c r="H558" s="3">
        <v>0</v>
      </c>
      <c r="I558" s="3">
        <f>E558+G558+H558</f>
        <v>33</v>
      </c>
      <c r="J558" s="3">
        <f>ROUND(MIN(IF(C558="Técnico III",35,IF(C558="Técnico II",28,IF(C558="Técnico I",23,IF(C558="JR",20,IF(C558="Estágio",10,0))))),IF(C558="Técnico III",SUMIFS($D:$D,$A:$A,$A558,$B:$B,"&lt;&gt;Patrícia Karla de Sousa Araújo",$B:$B,"&lt;&gt;Lorena Dias de Araujo",$B:$B,"&lt;&gt;Lucas Luiz Romero")*(35/1083),IF(C558="Técnico II",SUMIFS($D:$D,$A:$A,$A558,$B:$B,"&lt;&gt;Patrícia Karla de Sousa Araújo",$B:$B,"&lt;&gt;Lorena Dias de Araujo",$B:$B,"&lt;&gt;Lucas Luiz Romero")*(28/1083),IF(C558="Técnico I",SUMIFS($D:$D,$A:$A,$A558,$B:$B,"&lt;&gt;Patrícia Karla de Sousa Araújo",$B:$B,"&lt;&gt;Lorena Dias de Araujo",$B:$B,"&lt;&gt;Lucas Luiz Romero")*(23/1083),IF(C558="JR",SUMIFS($D:$D,$A:$A,$A558,$B:$B,"&lt;&gt;Patrícia Karla de Sousa Araújo",$B:$B,"&lt;&gt;Lorena Dias de Araujo",$B:$B,"&lt;&gt;Lucas Luiz Romero")*(20/1083),IF(C558="Estágio",SUMIFS($D:$D,$A:$A,$A558,$B:$B,"&lt;&gt;Patrícia Karla de Sousa Araújo",$B:$B,"&lt;&gt;Lorena Dias de Araujo",$B:$B,"&lt;&gt;Lucas Luiz Romero")*(10/1083),0)))))),0)</f>
        <v>32</v>
      </c>
      <c r="K558" s="3">
        <f>I558-J558</f>
        <v>1</v>
      </c>
      <c r="L558" s="3" t="str">
        <f>IF(K558&lt;-5,"CRÍTICO",IF(K558&lt;0,"ATENÇÃO",IF(K558&lt;=5,"OPORTUNO","MUITO BOM")))</f>
        <v>OPORTUNO</v>
      </c>
      <c r="M558" s="3">
        <v>28</v>
      </c>
      <c r="N558" s="3">
        <v>96.38</v>
      </c>
      <c r="O558" s="3">
        <v>23.198198198198199</v>
      </c>
    </row>
    <row r="559" spans="1:15" hidden="1" x14ac:dyDescent="0.25">
      <c r="A559" s="5">
        <v>46154</v>
      </c>
      <c r="B559" s="6" t="s">
        <v>45</v>
      </c>
      <c r="C559" s="1" t="s">
        <v>32</v>
      </c>
      <c r="D559" s="3">
        <v>33</v>
      </c>
      <c r="E559" s="3">
        <v>28</v>
      </c>
      <c r="F559" s="3">
        <v>13.43</v>
      </c>
      <c r="G559" s="3">
        <v>1</v>
      </c>
      <c r="H559" s="3">
        <v>0</v>
      </c>
      <c r="I559" s="3">
        <f>E559+G559+H559</f>
        <v>29</v>
      </c>
      <c r="J559" s="3">
        <f>ROUND(MIN(IF(C559="Técnico III",35,IF(C559="Técnico II",28,IF(C559="Técnico I",23,IF(C559="JR",20,IF(C559="Estágio",10,0))))),IF(C559="Técnico III",SUMIFS($D:$D,$A:$A,$A559,$B:$B,"&lt;&gt;Patrícia Karla de Sousa Araújo",$B:$B,"&lt;&gt;Lorena Dias de Araujo",$B:$B,"&lt;&gt;Lucas Luiz Romero")*(35/1083),IF(C559="Técnico II",SUMIFS($D:$D,$A:$A,$A559,$B:$B,"&lt;&gt;Patrícia Karla de Sousa Araújo",$B:$B,"&lt;&gt;Lorena Dias de Araujo",$B:$B,"&lt;&gt;Lucas Luiz Romero")*(28/1083),IF(C559="Técnico I",SUMIFS($D:$D,$A:$A,$A559,$B:$B,"&lt;&gt;Patrícia Karla de Sousa Araújo",$B:$B,"&lt;&gt;Lorena Dias de Araujo",$B:$B,"&lt;&gt;Lucas Luiz Romero")*(23/1083),IF(C559="JR",SUMIFS($D:$D,$A:$A,$A559,$B:$B,"&lt;&gt;Patrícia Karla de Sousa Araújo",$B:$B,"&lt;&gt;Lorena Dias de Araujo",$B:$B,"&lt;&gt;Lucas Luiz Romero")*(20/1083),IF(C559="Estágio",SUMIFS($D:$D,$A:$A,$A559,$B:$B,"&lt;&gt;Patrícia Karla de Sousa Araújo",$B:$B,"&lt;&gt;Lorena Dias de Araujo",$B:$B,"&lt;&gt;Lucas Luiz Romero")*(10/1083),0)))))),0)</f>
        <v>32</v>
      </c>
      <c r="K559" s="3">
        <f>I559-J559</f>
        <v>-3</v>
      </c>
      <c r="L559" s="3" t="str">
        <f>IF(K559&lt;-5,"CRÍTICO",IF(K559&lt;0,"ATENÇÃO",IF(K559&lt;=5,"OPORTUNO","MUITO BOM")))</f>
        <v>ATENÇÃO</v>
      </c>
      <c r="M559" s="3">
        <v>22</v>
      </c>
      <c r="N559" s="3">
        <v>99.39</v>
      </c>
      <c r="O559" s="3">
        <v>25.203252032520329</v>
      </c>
    </row>
    <row r="560" spans="1:15" hidden="1" x14ac:dyDescent="0.25">
      <c r="A560" s="5">
        <v>46154</v>
      </c>
      <c r="B560" s="6" t="s">
        <v>46</v>
      </c>
      <c r="C560" s="1" t="s">
        <v>32</v>
      </c>
      <c r="D560" s="3">
        <v>29</v>
      </c>
      <c r="E560" s="3">
        <v>28</v>
      </c>
      <c r="F560" s="3">
        <v>14.1</v>
      </c>
      <c r="G560" s="3">
        <v>4</v>
      </c>
      <c r="H560" s="3">
        <v>0</v>
      </c>
      <c r="I560" s="3">
        <f>E560+G560+H560</f>
        <v>32</v>
      </c>
      <c r="J560" s="3">
        <f>ROUND(MIN(IF(C560="Técnico III",35,IF(C560="Técnico II",28,IF(C560="Técnico I",23,IF(C560="JR",20,IF(C560="Estágio",10,0))))),IF(C560="Técnico III",SUMIFS($D:$D,$A:$A,$A560,$B:$B,"&lt;&gt;Patrícia Karla de Sousa Araújo",$B:$B,"&lt;&gt;Lorena Dias de Araujo",$B:$B,"&lt;&gt;Lucas Luiz Romero")*(35/1083),IF(C560="Técnico II",SUMIFS($D:$D,$A:$A,$A560,$B:$B,"&lt;&gt;Patrícia Karla de Sousa Araújo",$B:$B,"&lt;&gt;Lorena Dias de Araujo",$B:$B,"&lt;&gt;Lucas Luiz Romero")*(28/1083),IF(C560="Técnico I",SUMIFS($D:$D,$A:$A,$A560,$B:$B,"&lt;&gt;Patrícia Karla de Sousa Araújo",$B:$B,"&lt;&gt;Lorena Dias de Araujo",$B:$B,"&lt;&gt;Lucas Luiz Romero")*(23/1083),IF(C560="JR",SUMIFS($D:$D,$A:$A,$A560,$B:$B,"&lt;&gt;Patrícia Karla de Sousa Araújo",$B:$B,"&lt;&gt;Lorena Dias de Araujo",$B:$B,"&lt;&gt;Lucas Luiz Romero")*(20/1083),IF(C560="Estágio",SUMIFS($D:$D,$A:$A,$A560,$B:$B,"&lt;&gt;Patrícia Karla de Sousa Araújo",$B:$B,"&lt;&gt;Lorena Dias de Araujo",$B:$B,"&lt;&gt;Lucas Luiz Romero")*(10/1083),0)))))),0)</f>
        <v>32</v>
      </c>
      <c r="K560" s="3">
        <f>I560-J560</f>
        <v>0</v>
      </c>
      <c r="L560" s="3" t="str">
        <f>IF(K560&lt;-5,"CRÍTICO",IF(K560&lt;0,"ATENÇÃO",IF(K560&lt;=5,"OPORTUNO","MUITO BOM")))</f>
        <v>OPORTUNO</v>
      </c>
      <c r="M560" s="3">
        <v>25</v>
      </c>
      <c r="N560" s="3">
        <v>97</v>
      </c>
      <c r="O560" s="3">
        <v>20.325203252032519</v>
      </c>
    </row>
    <row r="561" spans="1:15" hidden="1" x14ac:dyDescent="0.25">
      <c r="A561" s="5">
        <v>46154</v>
      </c>
      <c r="B561" s="6" t="s">
        <v>47</v>
      </c>
      <c r="C561" s="1" t="s">
        <v>48</v>
      </c>
      <c r="D561" s="3">
        <v>25</v>
      </c>
      <c r="E561" s="3">
        <v>18</v>
      </c>
      <c r="F561" s="3">
        <v>9</v>
      </c>
      <c r="G561" s="3">
        <v>8</v>
      </c>
      <c r="H561" s="3">
        <v>0</v>
      </c>
      <c r="I561" s="3">
        <f>E561+G561+H561</f>
        <v>26</v>
      </c>
      <c r="J561" s="3">
        <f>ROUND(MIN(IF(C561="Técnico III",35,IF(C561="Técnico II",28,IF(C561="Técnico I",23,IF(C561="JR",20,IF(C561="Estágio",10,0))))),IF(C561="Técnico III",SUMIFS($D:$D,$A:$A,$A561,$B:$B,"&lt;&gt;Patrícia Karla de Sousa Araújo",$B:$B,"&lt;&gt;Lorena Dias de Araujo",$B:$B,"&lt;&gt;Lucas Luiz Romero")*(35/1083),IF(C561="Técnico II",SUMIFS($D:$D,$A:$A,$A561,$B:$B,"&lt;&gt;Patrícia Karla de Sousa Araújo",$B:$B,"&lt;&gt;Lorena Dias de Araujo",$B:$B,"&lt;&gt;Lucas Luiz Romero")*(28/1083),IF(C561="Técnico I",SUMIFS($D:$D,$A:$A,$A561,$B:$B,"&lt;&gt;Patrícia Karla de Sousa Araújo",$B:$B,"&lt;&gt;Lorena Dias de Araujo",$B:$B,"&lt;&gt;Lucas Luiz Romero")*(23/1083),IF(C561="JR",SUMIFS($D:$D,$A:$A,$A561,$B:$B,"&lt;&gt;Patrícia Karla de Sousa Araújo",$B:$B,"&lt;&gt;Lorena Dias de Araujo",$B:$B,"&lt;&gt;Lucas Luiz Romero")*(20/1083),IF(C561="Estágio",SUMIFS($D:$D,$A:$A,$A561,$B:$B,"&lt;&gt;Patrícia Karla de Sousa Araújo",$B:$B,"&lt;&gt;Lorena Dias de Araujo",$B:$B,"&lt;&gt;Lucas Luiz Romero")*(10/1083),0)))))),0)</f>
        <v>25</v>
      </c>
      <c r="K561" s="3">
        <f>I561-J561</f>
        <v>1</v>
      </c>
      <c r="L561" s="3" t="str">
        <f>IF(K561&lt;-5,"CRÍTICO",IF(K561&lt;0,"ATENÇÃO",IF(K561&lt;=5,"OPORTUNO","MUITO BOM")))</f>
        <v>OPORTUNO</v>
      </c>
      <c r="M561" s="3">
        <v>17</v>
      </c>
      <c r="N561" s="3">
        <v>99.18</v>
      </c>
      <c r="O561" s="3">
        <v>24.501424501424498</v>
      </c>
    </row>
    <row r="562" spans="1:15" hidden="1" x14ac:dyDescent="0.25">
      <c r="A562" s="5">
        <v>46154</v>
      </c>
      <c r="B562" s="6" t="s">
        <v>49</v>
      </c>
      <c r="C562" s="1" t="s">
        <v>48</v>
      </c>
      <c r="D562" s="3">
        <v>38</v>
      </c>
      <c r="E562" s="3">
        <v>35</v>
      </c>
      <c r="F562" s="3">
        <v>12.22</v>
      </c>
      <c r="G562" s="3">
        <v>3</v>
      </c>
      <c r="H562" s="3">
        <v>0</v>
      </c>
      <c r="I562" s="3">
        <f>E562+G562+H562</f>
        <v>38</v>
      </c>
      <c r="J562" s="3">
        <f>ROUND(MIN(IF(C562="Técnico III",35,IF(C562="Técnico II",28,IF(C562="Técnico I",23,IF(C562="JR",20,IF(C562="Estágio",10,0))))),IF(C562="Técnico III",SUMIFS($D:$D,$A:$A,$A562,$B:$B,"&lt;&gt;Patrícia Karla de Sousa Araújo",$B:$B,"&lt;&gt;Lorena Dias de Araujo",$B:$B,"&lt;&gt;Lucas Luiz Romero")*(35/1083),IF(C562="Técnico II",SUMIFS($D:$D,$A:$A,$A562,$B:$B,"&lt;&gt;Patrícia Karla de Sousa Araújo",$B:$B,"&lt;&gt;Lorena Dias de Araujo",$B:$B,"&lt;&gt;Lucas Luiz Romero")*(28/1083),IF(C562="Técnico I",SUMIFS($D:$D,$A:$A,$A562,$B:$B,"&lt;&gt;Patrícia Karla de Sousa Araújo",$B:$B,"&lt;&gt;Lorena Dias de Araujo",$B:$B,"&lt;&gt;Lucas Luiz Romero")*(23/1083),IF(C562="JR",SUMIFS($D:$D,$A:$A,$A562,$B:$B,"&lt;&gt;Patrícia Karla de Sousa Araújo",$B:$B,"&lt;&gt;Lorena Dias de Araujo",$B:$B,"&lt;&gt;Lucas Luiz Romero")*(20/1083),IF(C562="Estágio",SUMIFS($D:$D,$A:$A,$A562,$B:$B,"&lt;&gt;Patrícia Karla de Sousa Araújo",$B:$B,"&lt;&gt;Lorena Dias de Araujo",$B:$B,"&lt;&gt;Lucas Luiz Romero")*(10/1083),0)))))),0)</f>
        <v>25</v>
      </c>
      <c r="K562" s="3">
        <f>I562-J562</f>
        <v>13</v>
      </c>
      <c r="L562" s="3" t="str">
        <f>IF(K562&lt;-5,"CRÍTICO",IF(K562&lt;0,"ATENÇÃO",IF(K562&lt;=5,"OPORTUNO","MUITO BOM")))</f>
        <v>MUITO BOM</v>
      </c>
      <c r="M562" s="3">
        <v>34</v>
      </c>
      <c r="N562" s="3">
        <v>99.35</v>
      </c>
      <c r="O562" s="3">
        <v>19.852941176470591</v>
      </c>
    </row>
    <row r="563" spans="1:15" hidden="1" x14ac:dyDescent="0.25">
      <c r="A563" s="5">
        <v>46154</v>
      </c>
      <c r="B563" s="6" t="s">
        <v>50</v>
      </c>
      <c r="C563" s="14" t="s">
        <v>48</v>
      </c>
      <c r="D563" s="3">
        <v>26</v>
      </c>
      <c r="E563" s="3">
        <v>26</v>
      </c>
      <c r="F563" s="3">
        <v>27</v>
      </c>
      <c r="G563" s="3">
        <v>0</v>
      </c>
      <c r="H563" s="3">
        <v>0</v>
      </c>
      <c r="I563" s="3">
        <f>E563+G563+H563</f>
        <v>26</v>
      </c>
      <c r="J563" s="3">
        <f>ROUND(MIN(IF(C563="Técnico III",35,IF(C563="Técnico II",28,IF(C563="Técnico I",23,IF(C563="JR",20,IF(C563="Estágio",10,0))))),IF(C563="Técnico III",SUMIFS($D:$D,$A:$A,$A563,$B:$B,"&lt;&gt;Patrícia Karla de Sousa Araújo",$B:$B,"&lt;&gt;Lorena Dias de Araujo",$B:$B,"&lt;&gt;Lucas Luiz Romero")*(35/1083),IF(C563="Técnico II",SUMIFS($D:$D,$A:$A,$A563,$B:$B,"&lt;&gt;Patrícia Karla de Sousa Araújo",$B:$B,"&lt;&gt;Lorena Dias de Araujo",$B:$B,"&lt;&gt;Lucas Luiz Romero")*(28/1083),IF(C563="Técnico I",SUMIFS($D:$D,$A:$A,$A563,$B:$B,"&lt;&gt;Patrícia Karla de Sousa Araújo",$B:$B,"&lt;&gt;Lorena Dias de Araujo",$B:$B,"&lt;&gt;Lucas Luiz Romero")*(23/1083),IF(C563="JR",SUMIFS($D:$D,$A:$A,$A563,$B:$B,"&lt;&gt;Patrícia Karla de Sousa Araújo",$B:$B,"&lt;&gt;Lorena Dias de Araujo",$B:$B,"&lt;&gt;Lucas Luiz Romero")*(20/1083),IF(C563="Estágio",SUMIFS($D:$D,$A:$A,$A563,$B:$B,"&lt;&gt;Patrícia Karla de Sousa Araújo",$B:$B,"&lt;&gt;Lorena Dias de Araujo",$B:$B,"&lt;&gt;Lucas Luiz Romero")*(10/1083),0)))))),0)</f>
        <v>25</v>
      </c>
      <c r="K563" s="3">
        <f>I563-J563</f>
        <v>1</v>
      </c>
      <c r="L563" s="3" t="str">
        <f>IF(K563&lt;-5,"CRÍTICO",IF(K563&lt;0,"ATENÇÃO",IF(K563&lt;=5,"OPORTUNO","MUITO BOM")))</f>
        <v>OPORTUNO</v>
      </c>
      <c r="M563" s="3">
        <v>24</v>
      </c>
      <c r="N563" s="3">
        <v>99.07</v>
      </c>
      <c r="O563" s="3">
        <v>20.098039215686271</v>
      </c>
    </row>
    <row r="564" spans="1:15" hidden="1" x14ac:dyDescent="0.25">
      <c r="A564" s="5">
        <v>46154</v>
      </c>
      <c r="B564" s="6" t="s">
        <v>51</v>
      </c>
      <c r="C564" s="1" t="s">
        <v>48</v>
      </c>
      <c r="D564" s="3">
        <v>37</v>
      </c>
      <c r="E564" s="3">
        <v>30</v>
      </c>
      <c r="F564" s="3">
        <v>13.28</v>
      </c>
      <c r="G564" s="3">
        <v>0</v>
      </c>
      <c r="H564" s="3">
        <v>0</v>
      </c>
      <c r="I564" s="3">
        <f>E564+G564+H564</f>
        <v>30</v>
      </c>
      <c r="J564" s="3">
        <f>ROUND(MIN(IF(C564="Técnico III",35,IF(C564="Técnico II",28,IF(C564="Técnico I",23,IF(C564="JR",20,IF(C564="Estágio",10,0))))),IF(C564="Técnico III",SUMIFS($D:$D,$A:$A,$A564,$B:$B,"&lt;&gt;Patrícia Karla de Sousa Araújo",$B:$B,"&lt;&gt;Lorena Dias de Araujo",$B:$B,"&lt;&gt;Lucas Luiz Romero")*(35/1083),IF(C564="Técnico II",SUMIFS($D:$D,$A:$A,$A564,$B:$B,"&lt;&gt;Patrícia Karla de Sousa Araújo",$B:$B,"&lt;&gt;Lorena Dias de Araujo",$B:$B,"&lt;&gt;Lucas Luiz Romero")*(28/1083),IF(C564="Técnico I",SUMIFS($D:$D,$A:$A,$A564,$B:$B,"&lt;&gt;Patrícia Karla de Sousa Araújo",$B:$B,"&lt;&gt;Lorena Dias de Araujo",$B:$B,"&lt;&gt;Lucas Luiz Romero")*(23/1083),IF(C564="JR",SUMIFS($D:$D,$A:$A,$A564,$B:$B,"&lt;&gt;Patrícia Karla de Sousa Araújo",$B:$B,"&lt;&gt;Lorena Dias de Araujo",$B:$B,"&lt;&gt;Lucas Luiz Romero")*(20/1083),IF(C564="Estágio",SUMIFS($D:$D,$A:$A,$A564,$B:$B,"&lt;&gt;Patrícia Karla de Sousa Araújo",$B:$B,"&lt;&gt;Lorena Dias de Araujo",$B:$B,"&lt;&gt;Lucas Luiz Romero")*(10/1083),0)))))),0)</f>
        <v>25</v>
      </c>
      <c r="K564" s="3">
        <f>I564-J564</f>
        <v>5</v>
      </c>
      <c r="L564" s="3" t="str">
        <f>IF(K564&lt;-5,"CRÍTICO",IF(K564&lt;0,"ATENÇÃO",IF(K564&lt;=5,"OPORTUNO","MUITO BOM")))</f>
        <v>OPORTUNO</v>
      </c>
      <c r="M564" s="3">
        <v>27</v>
      </c>
      <c r="N564" s="3">
        <v>98.81</v>
      </c>
      <c r="O564" s="3">
        <v>22.767857142857139</v>
      </c>
    </row>
    <row r="565" spans="1:15" hidden="1" x14ac:dyDescent="0.25">
      <c r="A565" s="5">
        <v>46154</v>
      </c>
      <c r="B565" s="6" t="s">
        <v>52</v>
      </c>
      <c r="C565" s="1" t="s">
        <v>48</v>
      </c>
      <c r="D565" s="3">
        <v>25</v>
      </c>
      <c r="E565" s="3">
        <v>24</v>
      </c>
      <c r="F565" s="3">
        <v>17.21</v>
      </c>
      <c r="G565" s="3">
        <v>5</v>
      </c>
      <c r="H565" s="3">
        <v>0</v>
      </c>
      <c r="I565" s="3">
        <f>E565+G565+H565</f>
        <v>29</v>
      </c>
      <c r="J565" s="3">
        <f>ROUND(MIN(IF(C565="Técnico III",35,IF(C565="Técnico II",28,IF(C565="Técnico I",23,IF(C565="JR",20,IF(C565="Estágio",10,0))))),IF(C565="Técnico III",SUMIFS($D:$D,$A:$A,$A565,$B:$B,"&lt;&gt;Patrícia Karla de Sousa Araújo",$B:$B,"&lt;&gt;Lorena Dias de Araujo",$B:$B,"&lt;&gt;Lucas Luiz Romero")*(35/1083),IF(C565="Técnico II",SUMIFS($D:$D,$A:$A,$A565,$B:$B,"&lt;&gt;Patrícia Karla de Sousa Araújo",$B:$B,"&lt;&gt;Lorena Dias de Araujo",$B:$B,"&lt;&gt;Lucas Luiz Romero")*(28/1083),IF(C565="Técnico I",SUMIFS($D:$D,$A:$A,$A565,$B:$B,"&lt;&gt;Patrícia Karla de Sousa Araújo",$B:$B,"&lt;&gt;Lorena Dias de Araujo",$B:$B,"&lt;&gt;Lucas Luiz Romero")*(23/1083),IF(C565="JR",SUMIFS($D:$D,$A:$A,$A565,$B:$B,"&lt;&gt;Patrícia Karla de Sousa Araújo",$B:$B,"&lt;&gt;Lorena Dias de Araujo",$B:$B,"&lt;&gt;Lucas Luiz Romero")*(20/1083),IF(C565="Estágio",SUMIFS($D:$D,$A:$A,$A565,$B:$B,"&lt;&gt;Patrícia Karla de Sousa Araújo",$B:$B,"&lt;&gt;Lorena Dias de Araujo",$B:$B,"&lt;&gt;Lucas Luiz Romero")*(10/1083),0)))))),0)</f>
        <v>25</v>
      </c>
      <c r="K565" s="3">
        <f>I565-J565</f>
        <v>4</v>
      </c>
      <c r="L565" s="3" t="str">
        <f>IF(K565&lt;-5,"CRÍTICO",IF(K565&lt;0,"ATENÇÃO",IF(K565&lt;=5,"OPORTUNO","MUITO BOM")))</f>
        <v>OPORTUNO</v>
      </c>
      <c r="M565" s="3">
        <v>26</v>
      </c>
      <c r="N565" s="3">
        <v>99.01</v>
      </c>
      <c r="O565" s="3">
        <v>17.766497461928939</v>
      </c>
    </row>
    <row r="566" spans="1:15" hidden="1" x14ac:dyDescent="0.25">
      <c r="A566" s="5">
        <v>46154</v>
      </c>
      <c r="B566" s="6" t="s">
        <v>53</v>
      </c>
      <c r="C566" s="1" t="s">
        <v>48</v>
      </c>
      <c r="D566" s="3">
        <v>0</v>
      </c>
      <c r="E566" s="3">
        <v>0</v>
      </c>
      <c r="F566" s="3">
        <v>0</v>
      </c>
      <c r="G566" s="3">
        <v>0</v>
      </c>
      <c r="H566" s="3">
        <v>0</v>
      </c>
      <c r="I566" s="3">
        <f>E566+G566+H566</f>
        <v>0</v>
      </c>
      <c r="J566" s="3">
        <f>ROUND(MIN(IF(C566="Técnico III",35,IF(C566="Técnico II",28,IF(C566="Técnico I",23,IF(C566="JR",20,IF(C566="Estágio",10,0))))),IF(C566="Técnico III",SUMIFS($D:$D,$A:$A,$A566,$B:$B,"&lt;&gt;Patrícia Karla de Sousa Araújo",$B:$B,"&lt;&gt;Lorena Dias de Araujo",$B:$B,"&lt;&gt;Lucas Luiz Romero")*(35/1083),IF(C566="Técnico II",SUMIFS($D:$D,$A:$A,$A566,$B:$B,"&lt;&gt;Patrícia Karla de Sousa Araújo",$B:$B,"&lt;&gt;Lorena Dias de Araujo",$B:$B,"&lt;&gt;Lucas Luiz Romero")*(28/1083),IF(C566="Técnico I",SUMIFS($D:$D,$A:$A,$A566,$B:$B,"&lt;&gt;Patrícia Karla de Sousa Araújo",$B:$B,"&lt;&gt;Lorena Dias de Araujo",$B:$B,"&lt;&gt;Lucas Luiz Romero")*(23/1083),IF(C566="JR",SUMIFS($D:$D,$A:$A,$A566,$B:$B,"&lt;&gt;Patrícia Karla de Sousa Araújo",$B:$B,"&lt;&gt;Lorena Dias de Araujo",$B:$B,"&lt;&gt;Lucas Luiz Romero")*(20/1083),IF(C566="Estágio",SUMIFS($D:$D,$A:$A,$A566,$B:$B,"&lt;&gt;Patrícia Karla de Sousa Araújo",$B:$B,"&lt;&gt;Lorena Dias de Araujo",$B:$B,"&lt;&gt;Lucas Luiz Romero")*(10/1083),0)))))),0)</f>
        <v>25</v>
      </c>
      <c r="K566" s="3">
        <f>I566-J566</f>
        <v>-25</v>
      </c>
      <c r="L566" s="3" t="str">
        <f>IF(K566&lt;-5,"CRÍTICO",IF(K566&lt;0,"ATENÇÃO",IF(K566&lt;=5,"OPORTUNO","MUITO BOM")))</f>
        <v>CRÍTICO</v>
      </c>
      <c r="M566" s="3">
        <v>0</v>
      </c>
      <c r="N566" s="3">
        <v>100</v>
      </c>
      <c r="O566" s="3">
        <v>17.241379310344829</v>
      </c>
    </row>
    <row r="567" spans="1:15" hidden="1" x14ac:dyDescent="0.25">
      <c r="A567" s="5">
        <v>46154</v>
      </c>
      <c r="B567" s="6" t="s">
        <v>54</v>
      </c>
      <c r="C567" s="14" t="s">
        <v>48</v>
      </c>
      <c r="D567" s="3">
        <v>26</v>
      </c>
      <c r="E567" s="3">
        <v>24</v>
      </c>
      <c r="F567" s="3">
        <v>25.14</v>
      </c>
      <c r="G567" s="3">
        <v>0</v>
      </c>
      <c r="H567" s="3">
        <v>0</v>
      </c>
      <c r="I567" s="3">
        <f>E567+G567+H567</f>
        <v>24</v>
      </c>
      <c r="J567" s="3">
        <f>ROUND(MIN(IF(C567="Técnico III",35,IF(C567="Técnico II",28,IF(C567="Técnico I",23,IF(C567="JR",20,IF(C567="Estágio",10,0))))),IF(C567="Técnico III",SUMIFS($D:$D,$A:$A,$A567,$B:$B,"&lt;&gt;Patrícia Karla de Sousa Araújo",$B:$B,"&lt;&gt;Lorena Dias de Araujo",$B:$B,"&lt;&gt;Lucas Luiz Romero")*(35/1083),IF(C567="Técnico II",SUMIFS($D:$D,$A:$A,$A567,$B:$B,"&lt;&gt;Patrícia Karla de Sousa Araújo",$B:$B,"&lt;&gt;Lorena Dias de Araujo",$B:$B,"&lt;&gt;Lucas Luiz Romero")*(28/1083),IF(C567="Técnico I",SUMIFS($D:$D,$A:$A,$A567,$B:$B,"&lt;&gt;Patrícia Karla de Sousa Araújo",$B:$B,"&lt;&gt;Lorena Dias de Araujo",$B:$B,"&lt;&gt;Lucas Luiz Romero")*(23/1083),IF(C567="JR",SUMIFS($D:$D,$A:$A,$A567,$B:$B,"&lt;&gt;Patrícia Karla de Sousa Araújo",$B:$B,"&lt;&gt;Lorena Dias de Araujo",$B:$B,"&lt;&gt;Lucas Luiz Romero")*(20/1083),IF(C567="Estágio",SUMIFS($D:$D,$A:$A,$A567,$B:$B,"&lt;&gt;Patrícia Karla de Sousa Araújo",$B:$B,"&lt;&gt;Lorena Dias de Araujo",$B:$B,"&lt;&gt;Lucas Luiz Romero")*(10/1083),0)))))),0)</f>
        <v>25</v>
      </c>
      <c r="K567" s="3">
        <f>I567-J567</f>
        <v>-1</v>
      </c>
      <c r="L567" s="3" t="str">
        <f>IF(K567&lt;-5,"CRÍTICO",IF(K567&lt;0,"ATENÇÃO",IF(K567&lt;=5,"OPORTUNO","MUITO BOM")))</f>
        <v>ATENÇÃO</v>
      </c>
      <c r="M567" s="3">
        <v>18</v>
      </c>
      <c r="N567" s="3">
        <v>98.98</v>
      </c>
      <c r="O567" s="3">
        <v>19.35483870967742</v>
      </c>
    </row>
    <row r="568" spans="1:15" hidden="1" x14ac:dyDescent="0.25">
      <c r="A568" s="5">
        <v>46154</v>
      </c>
      <c r="B568" s="6" t="s">
        <v>55</v>
      </c>
      <c r="C568" s="1" t="s">
        <v>48</v>
      </c>
      <c r="D568" s="3">
        <v>29</v>
      </c>
      <c r="E568" s="3">
        <v>26</v>
      </c>
      <c r="F568" s="3">
        <v>15.07</v>
      </c>
      <c r="G568" s="3">
        <v>5</v>
      </c>
      <c r="H568" s="3">
        <v>0</v>
      </c>
      <c r="I568" s="3">
        <f>E568+G568+H568</f>
        <v>31</v>
      </c>
      <c r="J568" s="3">
        <f>ROUND(MIN(IF(C568="Técnico III",35,IF(C568="Técnico II",28,IF(C568="Técnico I",23,IF(C568="JR",20,IF(C568="Estágio",10,0))))),IF(C568="Técnico III",SUMIFS($D:$D,$A:$A,$A568,$B:$B,"&lt;&gt;Patrícia Karla de Sousa Araújo",$B:$B,"&lt;&gt;Lorena Dias de Araujo",$B:$B,"&lt;&gt;Lucas Luiz Romero")*(35/1083),IF(C568="Técnico II",SUMIFS($D:$D,$A:$A,$A568,$B:$B,"&lt;&gt;Patrícia Karla de Sousa Araújo",$B:$B,"&lt;&gt;Lorena Dias de Araujo",$B:$B,"&lt;&gt;Lucas Luiz Romero")*(28/1083),IF(C568="Técnico I",SUMIFS($D:$D,$A:$A,$A568,$B:$B,"&lt;&gt;Patrícia Karla de Sousa Araújo",$B:$B,"&lt;&gt;Lorena Dias de Araujo",$B:$B,"&lt;&gt;Lucas Luiz Romero")*(23/1083),IF(C568="JR",SUMIFS($D:$D,$A:$A,$A568,$B:$B,"&lt;&gt;Patrícia Karla de Sousa Araújo",$B:$B,"&lt;&gt;Lorena Dias de Araujo",$B:$B,"&lt;&gt;Lucas Luiz Romero")*(20/1083),IF(C568="Estágio",SUMIFS($D:$D,$A:$A,$A568,$B:$B,"&lt;&gt;Patrícia Karla de Sousa Araújo",$B:$B,"&lt;&gt;Lorena Dias de Araujo",$B:$B,"&lt;&gt;Lucas Luiz Romero")*(10/1083),0)))))),0)</f>
        <v>25</v>
      </c>
      <c r="K568" s="3">
        <f>I568-J568</f>
        <v>6</v>
      </c>
      <c r="L568" s="3" t="str">
        <f>IF(K568&lt;-5,"CRÍTICO",IF(K568&lt;0,"ATENÇÃO",IF(K568&lt;=5,"OPORTUNO","MUITO BOM")))</f>
        <v>MUITO BOM</v>
      </c>
      <c r="M568" s="3">
        <v>26</v>
      </c>
      <c r="N568" s="3">
        <v>98.94</v>
      </c>
      <c r="O568" s="3">
        <v>21.270718232044199</v>
      </c>
    </row>
    <row r="569" spans="1:15" hidden="1" x14ac:dyDescent="0.25">
      <c r="A569" s="5">
        <v>46154</v>
      </c>
      <c r="B569" s="6" t="s">
        <v>56</v>
      </c>
      <c r="C569" s="1" t="s">
        <v>48</v>
      </c>
      <c r="D569" s="3">
        <v>28</v>
      </c>
      <c r="E569" s="3">
        <v>26</v>
      </c>
      <c r="F569" s="3">
        <v>23.59</v>
      </c>
      <c r="G569" s="3">
        <v>2</v>
      </c>
      <c r="H569" s="3">
        <v>0</v>
      </c>
      <c r="I569" s="3">
        <f>E569+G569+H569</f>
        <v>28</v>
      </c>
      <c r="J569" s="3">
        <f>ROUND(MIN(IF(C569="Técnico III",35,IF(C569="Técnico II",28,IF(C569="Técnico I",23,IF(C569="JR",20,IF(C569="Estágio",10,0))))),IF(C569="Técnico III",SUMIFS($D:$D,$A:$A,$A569,$B:$B,"&lt;&gt;Patrícia Karla de Sousa Araújo",$B:$B,"&lt;&gt;Lorena Dias de Araujo",$B:$B,"&lt;&gt;Lucas Luiz Romero")*(35/1083),IF(C569="Técnico II",SUMIFS($D:$D,$A:$A,$A569,$B:$B,"&lt;&gt;Patrícia Karla de Sousa Araújo",$B:$B,"&lt;&gt;Lorena Dias de Araujo",$B:$B,"&lt;&gt;Lucas Luiz Romero")*(28/1083),IF(C569="Técnico I",SUMIFS($D:$D,$A:$A,$A569,$B:$B,"&lt;&gt;Patrícia Karla de Sousa Araújo",$B:$B,"&lt;&gt;Lorena Dias de Araujo",$B:$B,"&lt;&gt;Lucas Luiz Romero")*(23/1083),IF(C569="JR",SUMIFS($D:$D,$A:$A,$A569,$B:$B,"&lt;&gt;Patrícia Karla de Sousa Araújo",$B:$B,"&lt;&gt;Lorena Dias de Araujo",$B:$B,"&lt;&gt;Lucas Luiz Romero")*(20/1083),IF(C569="Estágio",SUMIFS($D:$D,$A:$A,$A569,$B:$B,"&lt;&gt;Patrícia Karla de Sousa Araújo",$B:$B,"&lt;&gt;Lorena Dias de Araujo",$B:$B,"&lt;&gt;Lucas Luiz Romero")*(10/1083),0)))))),0)</f>
        <v>25</v>
      </c>
      <c r="K569" s="3">
        <f>I569-J569</f>
        <v>3</v>
      </c>
      <c r="L569" s="3" t="str">
        <f>IF(K569&lt;-5,"CRÍTICO",IF(K569&lt;0,"ATENÇÃO",IF(K569&lt;=5,"OPORTUNO","MUITO BOM")))</f>
        <v>OPORTUNO</v>
      </c>
      <c r="M569" s="3">
        <v>22</v>
      </c>
      <c r="N569" s="3">
        <v>99</v>
      </c>
      <c r="O569" s="3">
        <v>22.010869565217391</v>
      </c>
    </row>
    <row r="570" spans="1:15" hidden="1" x14ac:dyDescent="0.25">
      <c r="A570" s="5">
        <v>46154</v>
      </c>
      <c r="B570" s="6" t="s">
        <v>57</v>
      </c>
      <c r="C570" s="1" t="s">
        <v>48</v>
      </c>
      <c r="D570" s="3">
        <v>25</v>
      </c>
      <c r="E570" s="3">
        <v>24</v>
      </c>
      <c r="F570" s="3">
        <v>25.44</v>
      </c>
      <c r="G570" s="3">
        <v>0</v>
      </c>
      <c r="H570" s="3">
        <v>0</v>
      </c>
      <c r="I570" s="3">
        <f>E570+G570+H570</f>
        <v>24</v>
      </c>
      <c r="J570" s="3">
        <f>ROUND(MIN(IF(C570="Técnico III",35,IF(C570="Técnico II",28,IF(C570="Técnico I",23,IF(C570="JR",20,IF(C570="Estágio",10,0))))),IF(C570="Técnico III",SUMIFS($D:$D,$A:$A,$A570,$B:$B,"&lt;&gt;Patrícia Karla de Sousa Araújo",$B:$B,"&lt;&gt;Lorena Dias de Araujo",$B:$B,"&lt;&gt;Lucas Luiz Romero")*(35/1083),IF(C570="Técnico II",SUMIFS($D:$D,$A:$A,$A570,$B:$B,"&lt;&gt;Patrícia Karla de Sousa Araújo",$B:$B,"&lt;&gt;Lorena Dias de Araujo",$B:$B,"&lt;&gt;Lucas Luiz Romero")*(28/1083),IF(C570="Técnico I",SUMIFS($D:$D,$A:$A,$A570,$B:$B,"&lt;&gt;Patrícia Karla de Sousa Araújo",$B:$B,"&lt;&gt;Lorena Dias de Araujo",$B:$B,"&lt;&gt;Lucas Luiz Romero")*(23/1083),IF(C570="JR",SUMIFS($D:$D,$A:$A,$A570,$B:$B,"&lt;&gt;Patrícia Karla de Sousa Araújo",$B:$B,"&lt;&gt;Lorena Dias de Araujo",$B:$B,"&lt;&gt;Lucas Luiz Romero")*(20/1083),IF(C570="Estágio",SUMIFS($D:$D,$A:$A,$A570,$B:$B,"&lt;&gt;Patrícia Karla de Sousa Araújo",$B:$B,"&lt;&gt;Lorena Dias de Araujo",$B:$B,"&lt;&gt;Lucas Luiz Romero")*(10/1083),0)))))),0)</f>
        <v>25</v>
      </c>
      <c r="K570" s="3">
        <f>I570-J570</f>
        <v>-1</v>
      </c>
      <c r="L570" s="3" t="str">
        <f>IF(K570&lt;-5,"CRÍTICO",IF(K570&lt;0,"ATENÇÃO",IF(K570&lt;=5,"OPORTUNO","MUITO BOM")))</f>
        <v>ATENÇÃO</v>
      </c>
      <c r="M570" s="3">
        <v>19</v>
      </c>
      <c r="N570" s="3">
        <v>100</v>
      </c>
      <c r="O570" s="3">
        <v>25</v>
      </c>
    </row>
    <row r="571" spans="1:15" hidden="1" x14ac:dyDescent="0.25">
      <c r="A571" s="5">
        <v>46154</v>
      </c>
      <c r="B571" s="6" t="s">
        <v>58</v>
      </c>
      <c r="C571" s="1" t="s">
        <v>48</v>
      </c>
      <c r="D571" s="3">
        <v>30</v>
      </c>
      <c r="E571" s="3">
        <v>26</v>
      </c>
      <c r="F571" s="3">
        <v>17.190000000000001</v>
      </c>
      <c r="G571" s="3">
        <v>0</v>
      </c>
      <c r="H571" s="3">
        <v>0</v>
      </c>
      <c r="I571" s="3">
        <f>E571+G571+H571</f>
        <v>26</v>
      </c>
      <c r="J571" s="3">
        <f>ROUND(MIN(IF(C571="Técnico III",35,IF(C571="Técnico II",28,IF(C571="Técnico I",23,IF(C571="JR",20,IF(C571="Estágio",10,0))))),IF(C571="Técnico III",SUMIFS($D:$D,$A:$A,$A571,$B:$B,"&lt;&gt;Patrícia Karla de Sousa Araújo",$B:$B,"&lt;&gt;Lorena Dias de Araujo",$B:$B,"&lt;&gt;Lucas Luiz Romero")*(35/1083),IF(C571="Técnico II",SUMIFS($D:$D,$A:$A,$A571,$B:$B,"&lt;&gt;Patrícia Karla de Sousa Araújo",$B:$B,"&lt;&gt;Lorena Dias de Araujo",$B:$B,"&lt;&gt;Lucas Luiz Romero")*(28/1083),IF(C571="Técnico I",SUMIFS($D:$D,$A:$A,$A571,$B:$B,"&lt;&gt;Patrícia Karla de Sousa Araújo",$B:$B,"&lt;&gt;Lorena Dias de Araujo",$B:$B,"&lt;&gt;Lucas Luiz Romero")*(23/1083),IF(C571="JR",SUMIFS($D:$D,$A:$A,$A571,$B:$B,"&lt;&gt;Patrícia Karla de Sousa Araújo",$B:$B,"&lt;&gt;Lorena Dias de Araujo",$B:$B,"&lt;&gt;Lucas Luiz Romero")*(20/1083),IF(C571="Estágio",SUMIFS($D:$D,$A:$A,$A571,$B:$B,"&lt;&gt;Patrícia Karla de Sousa Araújo",$B:$B,"&lt;&gt;Lorena Dias de Araujo",$B:$B,"&lt;&gt;Lucas Luiz Romero")*(10/1083),0)))))),0)</f>
        <v>25</v>
      </c>
      <c r="K571" s="3">
        <f>I571-J571</f>
        <v>1</v>
      </c>
      <c r="L571" s="3" t="str">
        <f>IF(K571&lt;-5,"CRÍTICO",IF(K571&lt;0,"ATENÇÃO",IF(K571&lt;=5,"OPORTUNO","MUITO BOM")))</f>
        <v>OPORTUNO</v>
      </c>
      <c r="M571" s="3">
        <v>22</v>
      </c>
      <c r="N571" s="3">
        <v>100</v>
      </c>
      <c r="O571" s="3">
        <v>20.183486238532112</v>
      </c>
    </row>
    <row r="572" spans="1:15" hidden="1" x14ac:dyDescent="0.25">
      <c r="A572" s="5">
        <v>46154</v>
      </c>
      <c r="B572" s="6" t="s">
        <v>59</v>
      </c>
      <c r="C572" s="1" t="s">
        <v>23</v>
      </c>
      <c r="D572" s="3">
        <v>31</v>
      </c>
      <c r="E572" s="3">
        <v>29</v>
      </c>
      <c r="F572" s="3">
        <v>17.38</v>
      </c>
      <c r="G572" s="3">
        <v>2</v>
      </c>
      <c r="H572" s="3">
        <v>0</v>
      </c>
      <c r="I572" s="3">
        <f>E572+G572+H572</f>
        <v>31</v>
      </c>
      <c r="J572" s="3">
        <f>ROUND(MIN(IF(C572="Técnico III",35,IF(C572="Técnico II",28,IF(C572="Técnico I",23,IF(C572="JR",20,IF(C572="Estágio",10,0))))),IF(C572="Técnico III",SUMIFS($D:$D,$A:$A,$A572,$B:$B,"&lt;&gt;Patrícia Karla de Sousa Araújo",$B:$B,"&lt;&gt;Lorena Dias de Araujo",$B:$B,"&lt;&gt;Lucas Luiz Romero")*(35/1083),IF(C572="Técnico II",SUMIFS($D:$D,$A:$A,$A572,$B:$B,"&lt;&gt;Patrícia Karla de Sousa Araújo",$B:$B,"&lt;&gt;Lorena Dias de Araujo",$B:$B,"&lt;&gt;Lucas Luiz Romero")*(28/1083),IF(C572="Técnico I",SUMIFS($D:$D,$A:$A,$A572,$B:$B,"&lt;&gt;Patrícia Karla de Sousa Araújo",$B:$B,"&lt;&gt;Lorena Dias de Araujo",$B:$B,"&lt;&gt;Lucas Luiz Romero")*(23/1083),IF(C572="JR",SUMIFS($D:$D,$A:$A,$A572,$B:$B,"&lt;&gt;Patrícia Karla de Sousa Araújo",$B:$B,"&lt;&gt;Lorena Dias de Araujo",$B:$B,"&lt;&gt;Lucas Luiz Romero")*(20/1083),IF(C572="Estágio",SUMIFS($D:$D,$A:$A,$A572,$B:$B,"&lt;&gt;Patrícia Karla de Sousa Araújo",$B:$B,"&lt;&gt;Lorena Dias de Araujo",$B:$B,"&lt;&gt;Lucas Luiz Romero")*(10/1083),0)))))),0)</f>
        <v>21</v>
      </c>
      <c r="K572" s="3">
        <f>I572-J572</f>
        <v>10</v>
      </c>
      <c r="L572" s="3" t="str">
        <f>IF(K572&lt;-5,"CRÍTICO",IF(K572&lt;0,"ATENÇÃO",IF(K572&lt;=5,"OPORTUNO","MUITO BOM")))</f>
        <v>MUITO BOM</v>
      </c>
      <c r="M572" s="3">
        <v>27</v>
      </c>
      <c r="N572" s="3">
        <v>96.25</v>
      </c>
      <c r="O572" s="3">
        <v>25.586353944562902</v>
      </c>
    </row>
    <row r="573" spans="1:15" hidden="1" x14ac:dyDescent="0.25">
      <c r="A573" s="5">
        <v>46154</v>
      </c>
      <c r="B573" s="6" t="s">
        <v>60</v>
      </c>
      <c r="C573" s="1" t="s">
        <v>23</v>
      </c>
      <c r="D573" s="3">
        <v>24</v>
      </c>
      <c r="E573" s="3">
        <v>23</v>
      </c>
      <c r="F573" s="3">
        <v>13.58</v>
      </c>
      <c r="G573" s="3">
        <v>5</v>
      </c>
      <c r="H573" s="3">
        <v>0</v>
      </c>
      <c r="I573" s="3">
        <f>E573+G573+H573</f>
        <v>28</v>
      </c>
      <c r="J573" s="3">
        <f>ROUND(MIN(IF(C573="Técnico III",35,IF(C573="Técnico II",28,IF(C573="Técnico I",23,IF(C573="JR",20,IF(C573="Estágio",10,0))))),IF(C573="Técnico III",SUMIFS($D:$D,$A:$A,$A573,$B:$B,"&lt;&gt;Patrícia Karla de Sousa Araújo",$B:$B,"&lt;&gt;Lorena Dias de Araujo",$B:$B,"&lt;&gt;Lucas Luiz Romero")*(35/1083),IF(C573="Técnico II",SUMIFS($D:$D,$A:$A,$A573,$B:$B,"&lt;&gt;Patrícia Karla de Sousa Araújo",$B:$B,"&lt;&gt;Lorena Dias de Araujo",$B:$B,"&lt;&gt;Lucas Luiz Romero")*(28/1083),IF(C573="Técnico I",SUMIFS($D:$D,$A:$A,$A573,$B:$B,"&lt;&gt;Patrícia Karla de Sousa Araújo",$B:$B,"&lt;&gt;Lorena Dias de Araujo",$B:$B,"&lt;&gt;Lucas Luiz Romero")*(23/1083),IF(C573="JR",SUMIFS($D:$D,$A:$A,$A573,$B:$B,"&lt;&gt;Patrícia Karla de Sousa Araújo",$B:$B,"&lt;&gt;Lorena Dias de Araujo",$B:$B,"&lt;&gt;Lucas Luiz Romero")*(20/1083),IF(C573="Estágio",SUMIFS($D:$D,$A:$A,$A573,$B:$B,"&lt;&gt;Patrícia Karla de Sousa Araújo",$B:$B,"&lt;&gt;Lorena Dias de Araujo",$B:$B,"&lt;&gt;Lucas Luiz Romero")*(10/1083),0)))))),0)</f>
        <v>21</v>
      </c>
      <c r="K573" s="3">
        <f>I573-J573</f>
        <v>7</v>
      </c>
      <c r="L573" s="3" t="str">
        <f>IF(K573&lt;-5,"CRÍTICO",IF(K573&lt;0,"ATENÇÃO",IF(K573&lt;=5,"OPORTUNO","MUITO BOM")))</f>
        <v>MUITO BOM</v>
      </c>
      <c r="M573" s="3">
        <v>25</v>
      </c>
      <c r="N573" s="3">
        <v>97.48</v>
      </c>
      <c r="O573" s="3">
        <v>22.99465240641711</v>
      </c>
    </row>
    <row r="574" spans="1:15" hidden="1" x14ac:dyDescent="0.25">
      <c r="A574" s="5">
        <v>46154</v>
      </c>
      <c r="B574" s="6" t="s">
        <v>61</v>
      </c>
      <c r="C574" s="1" t="s">
        <v>23</v>
      </c>
      <c r="D574" s="3">
        <v>28</v>
      </c>
      <c r="E574" s="3">
        <v>26</v>
      </c>
      <c r="F574" s="3">
        <v>11.47</v>
      </c>
      <c r="G574" s="3">
        <v>0</v>
      </c>
      <c r="H574" s="3">
        <v>0</v>
      </c>
      <c r="I574" s="3">
        <f>E574+G574+H574</f>
        <v>26</v>
      </c>
      <c r="J574" s="3">
        <f>ROUND(MIN(IF(C574="Técnico III",35,IF(C574="Técnico II",28,IF(C574="Técnico I",23,IF(C574="JR",20,IF(C574="Estágio",10,0))))),IF(C574="Técnico III",SUMIFS($D:$D,$A:$A,$A574,$B:$B,"&lt;&gt;Patrícia Karla de Sousa Araújo",$B:$B,"&lt;&gt;Lorena Dias de Araujo",$B:$B,"&lt;&gt;Lucas Luiz Romero")*(35/1083),IF(C574="Técnico II",SUMIFS($D:$D,$A:$A,$A574,$B:$B,"&lt;&gt;Patrícia Karla de Sousa Araújo",$B:$B,"&lt;&gt;Lorena Dias de Araujo",$B:$B,"&lt;&gt;Lucas Luiz Romero")*(28/1083),IF(C574="Técnico I",SUMIFS($D:$D,$A:$A,$A574,$B:$B,"&lt;&gt;Patrícia Karla de Sousa Araújo",$B:$B,"&lt;&gt;Lorena Dias de Araujo",$B:$B,"&lt;&gt;Lucas Luiz Romero")*(23/1083),IF(C574="JR",SUMIFS($D:$D,$A:$A,$A574,$B:$B,"&lt;&gt;Patrícia Karla de Sousa Araújo",$B:$B,"&lt;&gt;Lorena Dias de Araujo",$B:$B,"&lt;&gt;Lucas Luiz Romero")*(20/1083),IF(C574="Estágio",SUMIFS($D:$D,$A:$A,$A574,$B:$B,"&lt;&gt;Patrícia Karla de Sousa Araújo",$B:$B,"&lt;&gt;Lorena Dias de Araujo",$B:$B,"&lt;&gt;Lucas Luiz Romero")*(10/1083),0)))))),0)</f>
        <v>21</v>
      </c>
      <c r="K574" s="3">
        <f>I574-J574</f>
        <v>5</v>
      </c>
      <c r="L574" s="3" t="str">
        <f>IF(K574&lt;-5,"CRÍTICO",IF(K574&lt;0,"ATENÇÃO",IF(K574&lt;=5,"OPORTUNO","MUITO BOM")))</f>
        <v>OPORTUNO</v>
      </c>
      <c r="M574" s="3">
        <v>17</v>
      </c>
      <c r="N574" s="3">
        <v>100</v>
      </c>
      <c r="O574" s="3">
        <v>20.788530465949819</v>
      </c>
    </row>
    <row r="575" spans="1:15" hidden="1" x14ac:dyDescent="0.25">
      <c r="A575" s="5">
        <v>46154</v>
      </c>
      <c r="B575" s="6" t="s">
        <v>62</v>
      </c>
      <c r="C575" s="1" t="s">
        <v>23</v>
      </c>
      <c r="D575" s="3">
        <v>24</v>
      </c>
      <c r="E575" s="3">
        <v>20</v>
      </c>
      <c r="F575" s="3">
        <v>19.149999999999999</v>
      </c>
      <c r="G575" s="3">
        <v>4</v>
      </c>
      <c r="H575" s="3">
        <v>0</v>
      </c>
      <c r="I575" s="3">
        <f>E575+G575+H575</f>
        <v>24</v>
      </c>
      <c r="J575" s="3">
        <f>ROUND(MIN(IF(C575="Técnico III",35,IF(C575="Técnico II",28,IF(C575="Técnico I",23,IF(C575="JR",20,IF(C575="Estágio",10,0))))),IF(C575="Técnico III",SUMIFS($D:$D,$A:$A,$A575,$B:$B,"&lt;&gt;Patrícia Karla de Sousa Araújo",$B:$B,"&lt;&gt;Lorena Dias de Araujo",$B:$B,"&lt;&gt;Lucas Luiz Romero")*(35/1083),IF(C575="Técnico II",SUMIFS($D:$D,$A:$A,$A575,$B:$B,"&lt;&gt;Patrícia Karla de Sousa Araújo",$B:$B,"&lt;&gt;Lorena Dias de Araujo",$B:$B,"&lt;&gt;Lucas Luiz Romero")*(28/1083),IF(C575="Técnico I",SUMIFS($D:$D,$A:$A,$A575,$B:$B,"&lt;&gt;Patrícia Karla de Sousa Araújo",$B:$B,"&lt;&gt;Lorena Dias de Araujo",$B:$B,"&lt;&gt;Lucas Luiz Romero")*(23/1083),IF(C575="JR",SUMIFS($D:$D,$A:$A,$A575,$B:$B,"&lt;&gt;Patrícia Karla de Sousa Araújo",$B:$B,"&lt;&gt;Lorena Dias de Araujo",$B:$B,"&lt;&gt;Lucas Luiz Romero")*(20/1083),IF(C575="Estágio",SUMIFS($D:$D,$A:$A,$A575,$B:$B,"&lt;&gt;Patrícia Karla de Sousa Araújo",$B:$B,"&lt;&gt;Lorena Dias de Araujo",$B:$B,"&lt;&gt;Lucas Luiz Romero")*(10/1083),0)))))),0)</f>
        <v>21</v>
      </c>
      <c r="K575" s="3">
        <f>I575-J575</f>
        <v>3</v>
      </c>
      <c r="L575" s="3" t="str">
        <f>IF(K575&lt;-5,"CRÍTICO",IF(K575&lt;0,"ATENÇÃO",IF(K575&lt;=5,"OPORTUNO","MUITO BOM")))</f>
        <v>OPORTUNO</v>
      </c>
      <c r="M575" s="3">
        <v>22</v>
      </c>
      <c r="N575" s="3">
        <v>94.55</v>
      </c>
      <c r="O575" s="3">
        <v>23.450134770889491</v>
      </c>
    </row>
    <row r="576" spans="1:15" hidden="1" x14ac:dyDescent="0.25">
      <c r="A576" s="5">
        <v>46154</v>
      </c>
      <c r="B576" s="6" t="s">
        <v>63</v>
      </c>
      <c r="C576" s="1" t="s">
        <v>23</v>
      </c>
      <c r="D576" s="3">
        <v>27</v>
      </c>
      <c r="E576" s="3">
        <v>26</v>
      </c>
      <c r="F576" s="3">
        <v>17.2</v>
      </c>
      <c r="G576" s="3">
        <v>1</v>
      </c>
      <c r="H576" s="3">
        <v>0</v>
      </c>
      <c r="I576" s="3">
        <f>E576+G576+H576</f>
        <v>27</v>
      </c>
      <c r="J576" s="3">
        <f>ROUND(MIN(IF(C576="Técnico III",35,IF(C576="Técnico II",28,IF(C576="Técnico I",23,IF(C576="JR",20,IF(C576="Estágio",10,0))))),IF(C576="Técnico III",SUMIFS($D:$D,$A:$A,$A576,$B:$B,"&lt;&gt;Patrícia Karla de Sousa Araújo",$B:$B,"&lt;&gt;Lorena Dias de Araujo",$B:$B,"&lt;&gt;Lucas Luiz Romero")*(35/1083),IF(C576="Técnico II",SUMIFS($D:$D,$A:$A,$A576,$B:$B,"&lt;&gt;Patrícia Karla de Sousa Araújo",$B:$B,"&lt;&gt;Lorena Dias de Araujo",$B:$B,"&lt;&gt;Lucas Luiz Romero")*(28/1083),IF(C576="Técnico I",SUMIFS($D:$D,$A:$A,$A576,$B:$B,"&lt;&gt;Patrícia Karla de Sousa Araújo",$B:$B,"&lt;&gt;Lorena Dias de Araujo",$B:$B,"&lt;&gt;Lucas Luiz Romero")*(23/1083),IF(C576="JR",SUMIFS($D:$D,$A:$A,$A576,$B:$B,"&lt;&gt;Patrícia Karla de Sousa Araújo",$B:$B,"&lt;&gt;Lorena Dias de Araujo",$B:$B,"&lt;&gt;Lucas Luiz Romero")*(20/1083),IF(C576="Estágio",SUMIFS($D:$D,$A:$A,$A576,$B:$B,"&lt;&gt;Patrícia Karla de Sousa Araújo",$B:$B,"&lt;&gt;Lorena Dias de Araujo",$B:$B,"&lt;&gt;Lucas Luiz Romero")*(10/1083),0)))))),0)</f>
        <v>21</v>
      </c>
      <c r="K576" s="3">
        <f>I576-J576</f>
        <v>6</v>
      </c>
      <c r="L576" s="3" t="str">
        <f>IF(K576&lt;-5,"CRÍTICO",IF(K576&lt;0,"ATENÇÃO",IF(K576&lt;=5,"OPORTUNO","MUITO BOM")))</f>
        <v>MUITO BOM</v>
      </c>
      <c r="M576" s="3">
        <v>20</v>
      </c>
      <c r="N576" s="3">
        <v>98</v>
      </c>
      <c r="O576" s="3">
        <v>20.73490813648294</v>
      </c>
    </row>
    <row r="577" spans="1:15" hidden="1" x14ac:dyDescent="0.25">
      <c r="A577" s="5">
        <v>46154</v>
      </c>
      <c r="B577" s="6" t="s">
        <v>64</v>
      </c>
      <c r="C577" s="1" t="s">
        <v>23</v>
      </c>
      <c r="D577" s="3">
        <v>19</v>
      </c>
      <c r="E577" s="3">
        <v>19</v>
      </c>
      <c r="F577" s="3">
        <v>30.07</v>
      </c>
      <c r="G577" s="3">
        <v>0</v>
      </c>
      <c r="H577" s="3">
        <v>0</v>
      </c>
      <c r="I577" s="3">
        <f>E577+G577+H577</f>
        <v>19</v>
      </c>
      <c r="J577" s="3">
        <f>ROUND(MIN(IF(C577="Técnico III",35,IF(C577="Técnico II",28,IF(C577="Técnico I",23,IF(C577="JR",20,IF(C577="Estágio",10,0))))),IF(C577="Técnico III",SUMIFS($D:$D,$A:$A,$A577,$B:$B,"&lt;&gt;Patrícia Karla de Sousa Araújo",$B:$B,"&lt;&gt;Lorena Dias de Araujo",$B:$B,"&lt;&gt;Lucas Luiz Romero")*(35/1083),IF(C577="Técnico II",SUMIFS($D:$D,$A:$A,$A577,$B:$B,"&lt;&gt;Patrícia Karla de Sousa Araújo",$B:$B,"&lt;&gt;Lorena Dias de Araujo",$B:$B,"&lt;&gt;Lucas Luiz Romero")*(28/1083),IF(C577="Técnico I",SUMIFS($D:$D,$A:$A,$A577,$B:$B,"&lt;&gt;Patrícia Karla de Sousa Araújo",$B:$B,"&lt;&gt;Lorena Dias de Araujo",$B:$B,"&lt;&gt;Lucas Luiz Romero")*(23/1083),IF(C577="JR",SUMIFS($D:$D,$A:$A,$A577,$B:$B,"&lt;&gt;Patrícia Karla de Sousa Araújo",$B:$B,"&lt;&gt;Lorena Dias de Araujo",$B:$B,"&lt;&gt;Lucas Luiz Romero")*(20/1083),IF(C577="Estágio",SUMIFS($D:$D,$A:$A,$A577,$B:$B,"&lt;&gt;Patrícia Karla de Sousa Araújo",$B:$B,"&lt;&gt;Lorena Dias de Araujo",$B:$B,"&lt;&gt;Lucas Luiz Romero")*(10/1083),0)))))),0)</f>
        <v>21</v>
      </c>
      <c r="K577" s="3">
        <f>I577-J577</f>
        <v>-2</v>
      </c>
      <c r="L577" s="3" t="str">
        <f>IF(K577&lt;-5,"CRÍTICO",IF(K577&lt;0,"ATENÇÃO",IF(K577&lt;=5,"OPORTUNO","MUITO BOM")))</f>
        <v>ATENÇÃO</v>
      </c>
      <c r="M577" s="3">
        <v>19</v>
      </c>
      <c r="N577" s="3">
        <v>100</v>
      </c>
      <c r="O577" s="3">
        <v>18</v>
      </c>
    </row>
    <row r="578" spans="1:15" hidden="1" x14ac:dyDescent="0.25">
      <c r="A578" s="5">
        <v>46154</v>
      </c>
      <c r="B578" s="6" t="s">
        <v>22</v>
      </c>
      <c r="C578" s="1" t="s">
        <v>23</v>
      </c>
      <c r="D578" s="3">
        <v>17</v>
      </c>
      <c r="E578" s="3">
        <v>17</v>
      </c>
      <c r="F578" s="3">
        <v>17.170000000000002</v>
      </c>
      <c r="H578" s="3">
        <v>7</v>
      </c>
      <c r="I578" s="3">
        <f>E578+G578+H578</f>
        <v>24</v>
      </c>
      <c r="J578" s="3">
        <f>ROUND(MIN(IF(C578="Técnico III",35,IF(C578="Técnico II",28,IF(C578="Técnico I",23,IF(C578="JR",20,IF(C578="Estágio",10,0))))),IF(C578="Técnico III",SUMIFS($D:$D,$A:$A,$A578,$B:$B,"&lt;&gt;Patrícia Karla de Sousa Araújo",$B:$B,"&lt;&gt;Lorena Dias de Araujo",$B:$B,"&lt;&gt;Lucas Luiz Romero")*(35/1083),IF(C578="Técnico II",SUMIFS($D:$D,$A:$A,$A578,$B:$B,"&lt;&gt;Patrícia Karla de Sousa Araújo",$B:$B,"&lt;&gt;Lorena Dias de Araujo",$B:$B,"&lt;&gt;Lucas Luiz Romero")*(28/1083),IF(C578="Técnico I",SUMIFS($D:$D,$A:$A,$A578,$B:$B,"&lt;&gt;Patrícia Karla de Sousa Araújo",$B:$B,"&lt;&gt;Lorena Dias de Araujo",$B:$B,"&lt;&gt;Lucas Luiz Romero")*(23/1083),IF(C578="JR",SUMIFS($D:$D,$A:$A,$A578,$B:$B,"&lt;&gt;Patrícia Karla de Sousa Araújo",$B:$B,"&lt;&gt;Lorena Dias de Araujo",$B:$B,"&lt;&gt;Lucas Luiz Romero")*(20/1083),IF(C578="Estágio",SUMIFS($D:$D,$A:$A,$A578,$B:$B,"&lt;&gt;Patrícia Karla de Sousa Araújo",$B:$B,"&lt;&gt;Lorena Dias de Araujo",$B:$B,"&lt;&gt;Lucas Luiz Romero")*(10/1083),0)))))),0)</f>
        <v>21</v>
      </c>
      <c r="K578" s="3">
        <f>I578-J578</f>
        <v>3</v>
      </c>
      <c r="L578" s="3" t="str">
        <f>IF(K578&lt;-5,"CRÍTICO",IF(K578&lt;0,"ATENÇÃO",IF(K578&lt;=5,"OPORTUNO","MUITO BOM")))</f>
        <v>OPORTUNO</v>
      </c>
      <c r="M578" s="3">
        <v>24</v>
      </c>
      <c r="N578" s="3">
        <v>99.06</v>
      </c>
      <c r="O578" s="3">
        <v>19.417475728155338</v>
      </c>
    </row>
    <row r="579" spans="1:15" hidden="1" x14ac:dyDescent="0.25">
      <c r="A579" s="5">
        <v>46155</v>
      </c>
      <c r="B579" s="6" t="s">
        <v>31</v>
      </c>
      <c r="C579" s="1" t="s">
        <v>32</v>
      </c>
      <c r="D579" s="3">
        <v>0</v>
      </c>
      <c r="E579" s="3">
        <v>0</v>
      </c>
      <c r="F579" s="3">
        <v>0</v>
      </c>
      <c r="G579" s="3">
        <v>0</v>
      </c>
      <c r="H579" s="3">
        <v>0</v>
      </c>
      <c r="I579" s="3">
        <f>E579+G579+H579</f>
        <v>0</v>
      </c>
      <c r="J579" s="3">
        <f>ROUND(MIN(IF(C579="Técnico III",35,IF(C579="Técnico II",28,IF(C579="Técnico I",23,IF(C579="JR",20,IF(C579="Estágio",10,0))))),IF(C579="Técnico III",SUMIFS($D:$D,$A:$A,$A579,$B:$B,"&lt;&gt;Patrícia Karla de Sousa Araújo",$B:$B,"&lt;&gt;Lorena Dias de Araujo",$B:$B,"&lt;&gt;Lucas Luiz Romero")*(35/1083),IF(C579="Técnico II",SUMIFS($D:$D,$A:$A,$A579,$B:$B,"&lt;&gt;Patrícia Karla de Sousa Araújo",$B:$B,"&lt;&gt;Lorena Dias de Araujo",$B:$B,"&lt;&gt;Lucas Luiz Romero")*(28/1083),IF(C579="Técnico I",SUMIFS($D:$D,$A:$A,$A579,$B:$B,"&lt;&gt;Patrícia Karla de Sousa Araújo",$B:$B,"&lt;&gt;Lorena Dias de Araujo",$B:$B,"&lt;&gt;Lucas Luiz Romero")*(23/1083),IF(C579="JR",SUMIFS($D:$D,$A:$A,$A579,$B:$B,"&lt;&gt;Patrícia Karla de Sousa Araújo",$B:$B,"&lt;&gt;Lorena Dias de Araujo",$B:$B,"&lt;&gt;Lucas Luiz Romero")*(20/1083),IF(C579="Estágio",SUMIFS($D:$D,$A:$A,$A579,$B:$B,"&lt;&gt;Patrícia Karla de Sousa Araújo",$B:$B,"&lt;&gt;Lorena Dias de Araujo",$B:$B,"&lt;&gt;Lucas Luiz Romero")*(10/1083),0)))))),0)</f>
        <v>29</v>
      </c>
      <c r="K579" s="3">
        <f>I579-J579</f>
        <v>-29</v>
      </c>
      <c r="L579" s="3" t="str">
        <f>IF(K579&lt;-5,"CRÍTICO",IF(K579&lt;0,"ATENÇÃO",IF(K579&lt;=5,"OPORTUNO","MUITO BOM")))</f>
        <v>CRÍTICO</v>
      </c>
      <c r="M579" s="3">
        <v>0</v>
      </c>
      <c r="N579" s="3">
        <v>100</v>
      </c>
      <c r="O579" s="3">
        <v>0</v>
      </c>
    </row>
    <row r="580" spans="1:15" hidden="1" x14ac:dyDescent="0.25">
      <c r="A580" s="5">
        <v>46155</v>
      </c>
      <c r="B580" s="6" t="s">
        <v>33</v>
      </c>
      <c r="C580" s="14" t="s">
        <v>32</v>
      </c>
      <c r="D580" s="3">
        <v>26</v>
      </c>
      <c r="E580" s="3">
        <v>23</v>
      </c>
      <c r="F580" s="3">
        <v>18.239999999999998</v>
      </c>
      <c r="G580" s="3">
        <v>0</v>
      </c>
      <c r="H580" s="3">
        <v>0</v>
      </c>
      <c r="I580" s="3">
        <f>E580+G580+H580</f>
        <v>23</v>
      </c>
      <c r="J580" s="3">
        <f>ROUND(MIN(IF(C580="Técnico III",35,IF(C580="Técnico II",28,IF(C580="Técnico I",23,IF(C580="JR",20,IF(C580="Estágio",10,0))))),IF(C580="Técnico III",SUMIFS($D:$D,$A:$A,$A580,$B:$B,"&lt;&gt;Patrícia Karla de Sousa Araújo",$B:$B,"&lt;&gt;Lorena Dias de Araujo",$B:$B,"&lt;&gt;Lucas Luiz Romero")*(35/1083),IF(C580="Técnico II",SUMIFS($D:$D,$A:$A,$A580,$B:$B,"&lt;&gt;Patrícia Karla de Sousa Araújo",$B:$B,"&lt;&gt;Lorena Dias de Araujo",$B:$B,"&lt;&gt;Lucas Luiz Romero")*(28/1083),IF(C580="Técnico I",SUMIFS($D:$D,$A:$A,$A580,$B:$B,"&lt;&gt;Patrícia Karla de Sousa Araújo",$B:$B,"&lt;&gt;Lorena Dias de Araujo",$B:$B,"&lt;&gt;Lucas Luiz Romero")*(23/1083),IF(C580="JR",SUMIFS($D:$D,$A:$A,$A580,$B:$B,"&lt;&gt;Patrícia Karla de Sousa Araújo",$B:$B,"&lt;&gt;Lorena Dias de Araujo",$B:$B,"&lt;&gt;Lucas Luiz Romero")*(20/1083),IF(C580="Estágio",SUMIFS($D:$D,$A:$A,$A580,$B:$B,"&lt;&gt;Patrícia Karla de Sousa Araújo",$B:$B,"&lt;&gt;Lorena Dias de Araujo",$B:$B,"&lt;&gt;Lucas Luiz Romero")*(10/1083),0)))))),0)</f>
        <v>29</v>
      </c>
      <c r="K580" s="3">
        <f>I580-J580</f>
        <v>-6</v>
      </c>
      <c r="L580" s="3" t="str">
        <f>IF(K580&lt;-5,"CRÍTICO",IF(K580&lt;0,"ATENÇÃO",IF(K580&lt;=5,"OPORTUNO","MUITO BOM")))</f>
        <v>CRÍTICO</v>
      </c>
      <c r="M580" s="3">
        <v>21</v>
      </c>
      <c r="N580" s="3">
        <v>96.94</v>
      </c>
      <c r="O580" s="3">
        <v>19.613259668508292</v>
      </c>
    </row>
    <row r="581" spans="1:15" hidden="1" x14ac:dyDescent="0.25">
      <c r="A581" s="5">
        <v>46155</v>
      </c>
      <c r="B581" s="6" t="s">
        <v>34</v>
      </c>
      <c r="C581" s="1" t="s">
        <v>32</v>
      </c>
      <c r="D581" s="3">
        <v>34</v>
      </c>
      <c r="E581" s="3">
        <v>30</v>
      </c>
      <c r="F581" s="3">
        <v>12.09</v>
      </c>
      <c r="G581" s="3">
        <v>0</v>
      </c>
      <c r="H581" s="3">
        <v>0</v>
      </c>
      <c r="I581" s="3">
        <f>E581+G581+H581</f>
        <v>30</v>
      </c>
      <c r="J581" s="3">
        <f>ROUND(MIN(IF(C581="Técnico III",35,IF(C581="Técnico II",28,IF(C581="Técnico I",23,IF(C581="JR",20,IF(C581="Estágio",10,0))))),IF(C581="Técnico III",SUMIFS($D:$D,$A:$A,$A581,$B:$B,"&lt;&gt;Patrícia Karla de Sousa Araújo",$B:$B,"&lt;&gt;Lorena Dias de Araujo",$B:$B,"&lt;&gt;Lucas Luiz Romero")*(35/1083),IF(C581="Técnico II",SUMIFS($D:$D,$A:$A,$A581,$B:$B,"&lt;&gt;Patrícia Karla de Sousa Araújo",$B:$B,"&lt;&gt;Lorena Dias de Araujo",$B:$B,"&lt;&gt;Lucas Luiz Romero")*(28/1083),IF(C581="Técnico I",SUMIFS($D:$D,$A:$A,$A581,$B:$B,"&lt;&gt;Patrícia Karla de Sousa Araújo",$B:$B,"&lt;&gt;Lorena Dias de Araujo",$B:$B,"&lt;&gt;Lucas Luiz Romero")*(23/1083),IF(C581="JR",SUMIFS($D:$D,$A:$A,$A581,$B:$B,"&lt;&gt;Patrícia Karla de Sousa Araújo",$B:$B,"&lt;&gt;Lorena Dias de Araujo",$B:$B,"&lt;&gt;Lucas Luiz Romero")*(20/1083),IF(C581="Estágio",SUMIFS($D:$D,$A:$A,$A581,$B:$B,"&lt;&gt;Patrícia Karla de Sousa Araújo",$B:$B,"&lt;&gt;Lorena Dias de Araujo",$B:$B,"&lt;&gt;Lucas Luiz Romero")*(10/1083),0)))))),0)</f>
        <v>29</v>
      </c>
      <c r="K581" s="3">
        <f>I581-J581</f>
        <v>1</v>
      </c>
      <c r="L581" s="3" t="str">
        <f>IF(K581&lt;-5,"CRÍTICO",IF(K581&lt;0,"ATENÇÃO",IF(K581&lt;=5,"OPORTUNO","MUITO BOM")))</f>
        <v>OPORTUNO</v>
      </c>
      <c r="M581" s="3">
        <v>31</v>
      </c>
      <c r="N581" s="3">
        <v>92.81</v>
      </c>
      <c r="O581" s="3">
        <v>25.477707006369432</v>
      </c>
    </row>
    <row r="582" spans="1:15" hidden="1" x14ac:dyDescent="0.25">
      <c r="A582" s="5">
        <v>46155</v>
      </c>
      <c r="B582" s="6" t="s">
        <v>35</v>
      </c>
      <c r="C582" s="14" t="s">
        <v>32</v>
      </c>
      <c r="D582" s="3">
        <v>23</v>
      </c>
      <c r="E582" s="3">
        <v>23</v>
      </c>
      <c r="F582" s="3">
        <v>25.33</v>
      </c>
      <c r="G582" s="3">
        <v>0</v>
      </c>
      <c r="H582" s="3">
        <v>0</v>
      </c>
      <c r="I582" s="3">
        <f>E582+G582+H582</f>
        <v>23</v>
      </c>
      <c r="J582" s="3">
        <f>ROUND(MIN(IF(C582="Técnico III",35,IF(C582="Técnico II",28,IF(C582="Técnico I",23,IF(C582="JR",20,IF(C582="Estágio",10,0))))),IF(C582="Técnico III",SUMIFS($D:$D,$A:$A,$A582,$B:$B,"&lt;&gt;Patrícia Karla de Sousa Araújo",$B:$B,"&lt;&gt;Lorena Dias de Araujo",$B:$B,"&lt;&gt;Lucas Luiz Romero")*(35/1083),IF(C582="Técnico II",SUMIFS($D:$D,$A:$A,$A582,$B:$B,"&lt;&gt;Patrícia Karla de Sousa Araújo",$B:$B,"&lt;&gt;Lorena Dias de Araujo",$B:$B,"&lt;&gt;Lucas Luiz Romero")*(28/1083),IF(C582="Técnico I",SUMIFS($D:$D,$A:$A,$A582,$B:$B,"&lt;&gt;Patrícia Karla de Sousa Araújo",$B:$B,"&lt;&gt;Lorena Dias de Araujo",$B:$B,"&lt;&gt;Lucas Luiz Romero")*(23/1083),IF(C582="JR",SUMIFS($D:$D,$A:$A,$A582,$B:$B,"&lt;&gt;Patrícia Karla de Sousa Araújo",$B:$B,"&lt;&gt;Lorena Dias de Araujo",$B:$B,"&lt;&gt;Lucas Luiz Romero")*(20/1083),IF(C582="Estágio",SUMIFS($D:$D,$A:$A,$A582,$B:$B,"&lt;&gt;Patrícia Karla de Sousa Araújo",$B:$B,"&lt;&gt;Lorena Dias de Araujo",$B:$B,"&lt;&gt;Lucas Luiz Romero")*(10/1083),0)))))),0)</f>
        <v>29</v>
      </c>
      <c r="K582" s="3">
        <f>I582-J582</f>
        <v>-6</v>
      </c>
      <c r="L582" s="3" t="str">
        <f>IF(K582&lt;-5,"CRÍTICO",IF(K582&lt;0,"ATENÇÃO",IF(K582&lt;=5,"OPORTUNO","MUITO BOM")))</f>
        <v>CRÍTICO</v>
      </c>
      <c r="M582" s="3">
        <v>21</v>
      </c>
      <c r="N582" s="3">
        <v>99.19</v>
      </c>
      <c r="O582" s="3">
        <v>28.404669260700391</v>
      </c>
    </row>
    <row r="583" spans="1:15" hidden="1" x14ac:dyDescent="0.25">
      <c r="A583" s="5">
        <v>46155</v>
      </c>
      <c r="B583" s="6" t="s">
        <v>36</v>
      </c>
      <c r="C583" s="14" t="s">
        <v>32</v>
      </c>
      <c r="D583" s="3">
        <v>0</v>
      </c>
      <c r="E583" s="3">
        <v>0</v>
      </c>
      <c r="F583" s="3">
        <v>0</v>
      </c>
      <c r="G583" s="3">
        <v>0</v>
      </c>
      <c r="H583" s="3">
        <v>0</v>
      </c>
      <c r="I583" s="3">
        <f>E583+G583+H583</f>
        <v>0</v>
      </c>
      <c r="J583" s="3">
        <f>ROUND(MIN(IF(C583="Técnico III",35,IF(C583="Técnico II",28,IF(C583="Técnico I",23,IF(C583="JR",20,IF(C583="Estágio",10,0))))),IF(C583="Técnico III",SUMIFS($D:$D,$A:$A,$A583,$B:$B,"&lt;&gt;Patrícia Karla de Sousa Araújo",$B:$B,"&lt;&gt;Lorena Dias de Araujo",$B:$B,"&lt;&gt;Lucas Luiz Romero")*(35/1083),IF(C583="Técnico II",SUMIFS($D:$D,$A:$A,$A583,$B:$B,"&lt;&gt;Patrícia Karla de Sousa Araújo",$B:$B,"&lt;&gt;Lorena Dias de Araujo",$B:$B,"&lt;&gt;Lucas Luiz Romero")*(28/1083),IF(C583="Técnico I",SUMIFS($D:$D,$A:$A,$A583,$B:$B,"&lt;&gt;Patrícia Karla de Sousa Araújo",$B:$B,"&lt;&gt;Lorena Dias de Araujo",$B:$B,"&lt;&gt;Lucas Luiz Romero")*(23/1083),IF(C583="JR",SUMIFS($D:$D,$A:$A,$A583,$B:$B,"&lt;&gt;Patrícia Karla de Sousa Araújo",$B:$B,"&lt;&gt;Lorena Dias de Araujo",$B:$B,"&lt;&gt;Lucas Luiz Romero")*(20/1083),IF(C583="Estágio",SUMIFS($D:$D,$A:$A,$A583,$B:$B,"&lt;&gt;Patrícia Karla de Sousa Araújo",$B:$B,"&lt;&gt;Lorena Dias de Araujo",$B:$B,"&lt;&gt;Lucas Luiz Romero")*(10/1083),0)))))),0)</f>
        <v>29</v>
      </c>
      <c r="K583" s="3">
        <f>I583-J583</f>
        <v>-29</v>
      </c>
      <c r="L583" s="3" t="str">
        <f>IF(K583&lt;-5,"CRÍTICO",IF(K583&lt;0,"ATENÇÃO",IF(K583&lt;=5,"OPORTUNO","MUITO BOM")))</f>
        <v>CRÍTICO</v>
      </c>
      <c r="M583" s="3">
        <v>0</v>
      </c>
      <c r="N583" s="3">
        <v>100</v>
      </c>
      <c r="O583" s="3">
        <v>13.51351351351351</v>
      </c>
    </row>
    <row r="584" spans="1:15" hidden="1" x14ac:dyDescent="0.25">
      <c r="A584" s="5">
        <v>46155</v>
      </c>
      <c r="B584" s="6" t="s">
        <v>37</v>
      </c>
      <c r="C584" s="1" t="s">
        <v>32</v>
      </c>
      <c r="D584" s="3">
        <v>46</v>
      </c>
      <c r="E584" s="3">
        <v>40</v>
      </c>
      <c r="F584" s="3">
        <v>16.420000000000002</v>
      </c>
      <c r="G584" s="3">
        <v>3</v>
      </c>
      <c r="H584" s="3">
        <v>0</v>
      </c>
      <c r="I584" s="3">
        <f>E584+G584+H584</f>
        <v>43</v>
      </c>
      <c r="J584" s="3">
        <f>ROUND(MIN(IF(C584="Técnico III",35,IF(C584="Técnico II",28,IF(C584="Técnico I",23,IF(C584="JR",20,IF(C584="Estágio",10,0))))),IF(C584="Técnico III",SUMIFS($D:$D,$A:$A,$A584,$B:$B,"&lt;&gt;Patrícia Karla de Sousa Araújo",$B:$B,"&lt;&gt;Lorena Dias de Araujo",$B:$B,"&lt;&gt;Lucas Luiz Romero")*(35/1083),IF(C584="Técnico II",SUMIFS($D:$D,$A:$A,$A584,$B:$B,"&lt;&gt;Patrícia Karla de Sousa Araújo",$B:$B,"&lt;&gt;Lorena Dias de Araujo",$B:$B,"&lt;&gt;Lucas Luiz Romero")*(28/1083),IF(C584="Técnico I",SUMIFS($D:$D,$A:$A,$A584,$B:$B,"&lt;&gt;Patrícia Karla de Sousa Araújo",$B:$B,"&lt;&gt;Lorena Dias de Araujo",$B:$B,"&lt;&gt;Lucas Luiz Romero")*(23/1083),IF(C584="JR",SUMIFS($D:$D,$A:$A,$A584,$B:$B,"&lt;&gt;Patrícia Karla de Sousa Araújo",$B:$B,"&lt;&gt;Lorena Dias de Araujo",$B:$B,"&lt;&gt;Lucas Luiz Romero")*(20/1083),IF(C584="Estágio",SUMIFS($D:$D,$A:$A,$A584,$B:$B,"&lt;&gt;Patrícia Karla de Sousa Araújo",$B:$B,"&lt;&gt;Lorena Dias de Araujo",$B:$B,"&lt;&gt;Lucas Luiz Romero")*(10/1083),0)))))),0)</f>
        <v>29</v>
      </c>
      <c r="K584" s="3">
        <f>I584-J584</f>
        <v>14</v>
      </c>
      <c r="L584" s="3" t="str">
        <f>IF(K584&lt;-5,"CRÍTICO",IF(K584&lt;0,"ATENÇÃO",IF(K584&lt;=5,"OPORTUNO","MUITO BOM")))</f>
        <v>MUITO BOM</v>
      </c>
      <c r="M584" s="3">
        <v>37</v>
      </c>
      <c r="N584" s="3">
        <v>99</v>
      </c>
      <c r="O584" s="3">
        <v>22.27414330218069</v>
      </c>
    </row>
    <row r="585" spans="1:15" hidden="1" x14ac:dyDescent="0.25">
      <c r="A585" s="5">
        <v>46155</v>
      </c>
      <c r="B585" s="6" t="s">
        <v>38</v>
      </c>
      <c r="C585" s="1" t="s">
        <v>32</v>
      </c>
      <c r="D585" s="3">
        <v>30</v>
      </c>
      <c r="E585" s="3">
        <v>29</v>
      </c>
      <c r="F585" s="3">
        <v>12.34</v>
      </c>
      <c r="G585" s="3">
        <v>5</v>
      </c>
      <c r="H585" s="3">
        <v>0</v>
      </c>
      <c r="I585" s="3">
        <f>E585+G585+H585</f>
        <v>34</v>
      </c>
      <c r="J585" s="3">
        <f>ROUND(MIN(IF(C585="Técnico III",35,IF(C585="Técnico II",28,IF(C585="Técnico I",23,IF(C585="JR",20,IF(C585="Estágio",10,0))))),IF(C585="Técnico III",SUMIFS($D:$D,$A:$A,$A585,$B:$B,"&lt;&gt;Patrícia Karla de Sousa Araújo",$B:$B,"&lt;&gt;Lorena Dias de Araujo",$B:$B,"&lt;&gt;Lucas Luiz Romero")*(35/1083),IF(C585="Técnico II",SUMIFS($D:$D,$A:$A,$A585,$B:$B,"&lt;&gt;Patrícia Karla de Sousa Araújo",$B:$B,"&lt;&gt;Lorena Dias de Araujo",$B:$B,"&lt;&gt;Lucas Luiz Romero")*(28/1083),IF(C585="Técnico I",SUMIFS($D:$D,$A:$A,$A585,$B:$B,"&lt;&gt;Patrícia Karla de Sousa Araújo",$B:$B,"&lt;&gt;Lorena Dias de Araujo",$B:$B,"&lt;&gt;Lucas Luiz Romero")*(23/1083),IF(C585="JR",SUMIFS($D:$D,$A:$A,$A585,$B:$B,"&lt;&gt;Patrícia Karla de Sousa Araújo",$B:$B,"&lt;&gt;Lorena Dias de Araujo",$B:$B,"&lt;&gt;Lucas Luiz Romero")*(20/1083),IF(C585="Estágio",SUMIFS($D:$D,$A:$A,$A585,$B:$B,"&lt;&gt;Patrícia Karla de Sousa Araújo",$B:$B,"&lt;&gt;Lorena Dias de Araujo",$B:$B,"&lt;&gt;Lucas Luiz Romero")*(10/1083),0)))))),0)</f>
        <v>29</v>
      </c>
      <c r="K585" s="3">
        <f>I585-J585</f>
        <v>5</v>
      </c>
      <c r="L585" s="3" t="str">
        <f>IF(K585&lt;-5,"CRÍTICO",IF(K585&lt;0,"ATENÇÃO",IF(K585&lt;=5,"OPORTUNO","MUITO BOM")))</f>
        <v>OPORTUNO</v>
      </c>
      <c r="M585" s="3">
        <v>31</v>
      </c>
      <c r="N585" s="3">
        <v>97.04</v>
      </c>
      <c r="O585" s="3">
        <v>29.828850855745721</v>
      </c>
    </row>
    <row r="586" spans="1:15" hidden="1" x14ac:dyDescent="0.25">
      <c r="A586" s="5">
        <v>46155</v>
      </c>
      <c r="B586" s="6" t="s">
        <v>39</v>
      </c>
      <c r="C586" s="1" t="s">
        <v>32</v>
      </c>
      <c r="D586" s="3">
        <v>0</v>
      </c>
      <c r="E586" s="3">
        <v>0</v>
      </c>
      <c r="F586" s="3">
        <v>0</v>
      </c>
      <c r="G586" s="3">
        <v>0</v>
      </c>
      <c r="H586" s="3">
        <v>0</v>
      </c>
      <c r="I586" s="3">
        <f>E586+G586+H586</f>
        <v>0</v>
      </c>
      <c r="J586" s="3">
        <f>ROUND(MIN(IF(C586="Técnico III",35,IF(C586="Técnico II",28,IF(C586="Técnico I",23,IF(C586="JR",20,IF(C586="Estágio",10,0))))),IF(C586="Técnico III",SUMIFS($D:$D,$A:$A,$A586,$B:$B,"&lt;&gt;Patrícia Karla de Sousa Araújo",$B:$B,"&lt;&gt;Lorena Dias de Araujo",$B:$B,"&lt;&gt;Lucas Luiz Romero")*(35/1083),IF(C586="Técnico II",SUMIFS($D:$D,$A:$A,$A586,$B:$B,"&lt;&gt;Patrícia Karla de Sousa Araújo",$B:$B,"&lt;&gt;Lorena Dias de Araujo",$B:$B,"&lt;&gt;Lucas Luiz Romero")*(28/1083),IF(C586="Técnico I",SUMIFS($D:$D,$A:$A,$A586,$B:$B,"&lt;&gt;Patrícia Karla de Sousa Araújo",$B:$B,"&lt;&gt;Lorena Dias de Araujo",$B:$B,"&lt;&gt;Lucas Luiz Romero")*(23/1083),IF(C586="JR",SUMIFS($D:$D,$A:$A,$A586,$B:$B,"&lt;&gt;Patrícia Karla de Sousa Araújo",$B:$B,"&lt;&gt;Lorena Dias de Araujo",$B:$B,"&lt;&gt;Lucas Luiz Romero")*(20/1083),IF(C586="Estágio",SUMIFS($D:$D,$A:$A,$A586,$B:$B,"&lt;&gt;Patrícia Karla de Sousa Araújo",$B:$B,"&lt;&gt;Lorena Dias de Araujo",$B:$B,"&lt;&gt;Lucas Luiz Romero")*(10/1083),0)))))),0)</f>
        <v>29</v>
      </c>
      <c r="K586" s="3">
        <f>I586-J586</f>
        <v>-29</v>
      </c>
      <c r="L586" s="3" t="str">
        <f>IF(K586&lt;-5,"CRÍTICO",IF(K586&lt;0,"ATENÇÃO",IF(K586&lt;=5,"OPORTUNO","MUITO BOM")))</f>
        <v>CRÍTICO</v>
      </c>
      <c r="M586" s="3">
        <v>0</v>
      </c>
      <c r="N586" s="3">
        <v>0</v>
      </c>
      <c r="O586" s="3">
        <v>0</v>
      </c>
    </row>
    <row r="587" spans="1:15" hidden="1" x14ac:dyDescent="0.25">
      <c r="A587" s="5">
        <v>46155</v>
      </c>
      <c r="B587" s="6" t="s">
        <v>40</v>
      </c>
      <c r="C587" s="14" t="s">
        <v>32</v>
      </c>
      <c r="D587" s="3">
        <v>27</v>
      </c>
      <c r="E587" s="3">
        <v>26</v>
      </c>
      <c r="F587" s="3">
        <v>15.44</v>
      </c>
      <c r="G587" s="3">
        <v>0</v>
      </c>
      <c r="H587" s="3">
        <v>0</v>
      </c>
      <c r="I587" s="3">
        <f>E587+G587+H587</f>
        <v>26</v>
      </c>
      <c r="J587" s="3">
        <f>ROUND(MIN(IF(C587="Técnico III",35,IF(C587="Técnico II",28,IF(C587="Técnico I",23,IF(C587="JR",20,IF(C587="Estágio",10,0))))),IF(C587="Técnico III",SUMIFS($D:$D,$A:$A,$A587,$B:$B,"&lt;&gt;Patrícia Karla de Sousa Araújo",$B:$B,"&lt;&gt;Lorena Dias de Araujo",$B:$B,"&lt;&gt;Lucas Luiz Romero")*(35/1083),IF(C587="Técnico II",SUMIFS($D:$D,$A:$A,$A587,$B:$B,"&lt;&gt;Patrícia Karla de Sousa Araújo",$B:$B,"&lt;&gt;Lorena Dias de Araujo",$B:$B,"&lt;&gt;Lucas Luiz Romero")*(28/1083),IF(C587="Técnico I",SUMIFS($D:$D,$A:$A,$A587,$B:$B,"&lt;&gt;Patrícia Karla de Sousa Araújo",$B:$B,"&lt;&gt;Lorena Dias de Araujo",$B:$B,"&lt;&gt;Lucas Luiz Romero")*(23/1083),IF(C587="JR",SUMIFS($D:$D,$A:$A,$A587,$B:$B,"&lt;&gt;Patrícia Karla de Sousa Araújo",$B:$B,"&lt;&gt;Lorena Dias de Araujo",$B:$B,"&lt;&gt;Lucas Luiz Romero")*(20/1083),IF(C587="Estágio",SUMIFS($D:$D,$A:$A,$A587,$B:$B,"&lt;&gt;Patrícia Karla de Sousa Araújo",$B:$B,"&lt;&gt;Lorena Dias de Araujo",$B:$B,"&lt;&gt;Lucas Luiz Romero")*(10/1083),0)))))),0)</f>
        <v>29</v>
      </c>
      <c r="K587" s="3">
        <f>I587-J587</f>
        <v>-3</v>
      </c>
      <c r="L587" s="3" t="str">
        <f>IF(K587&lt;-5,"CRÍTICO",IF(K587&lt;0,"ATENÇÃO",IF(K587&lt;=5,"OPORTUNO","MUITO BOM")))</f>
        <v>ATENÇÃO</v>
      </c>
      <c r="M587" s="3">
        <v>20</v>
      </c>
      <c r="N587" s="3">
        <v>96.84</v>
      </c>
      <c r="O587" s="3">
        <v>16.338028169014081</v>
      </c>
    </row>
    <row r="588" spans="1:15" hidden="1" x14ac:dyDescent="0.25">
      <c r="A588" s="5">
        <v>46155</v>
      </c>
      <c r="B588" s="6" t="s">
        <v>41</v>
      </c>
      <c r="C588" s="14" t="s">
        <v>32</v>
      </c>
      <c r="D588" s="3">
        <v>25</v>
      </c>
      <c r="E588" s="3">
        <v>24</v>
      </c>
      <c r="F588" s="3">
        <v>20</v>
      </c>
      <c r="G588" s="3">
        <v>1</v>
      </c>
      <c r="H588" s="3">
        <v>0</v>
      </c>
      <c r="I588" s="3">
        <f>E588+G588+H588</f>
        <v>25</v>
      </c>
      <c r="J588" s="3">
        <f>ROUND(MIN(IF(C588="Técnico III",35,IF(C588="Técnico II",28,IF(C588="Técnico I",23,IF(C588="JR",20,IF(C588="Estágio",10,0))))),IF(C588="Técnico III",SUMIFS($D:$D,$A:$A,$A588,$B:$B,"&lt;&gt;Patrícia Karla de Sousa Araújo",$B:$B,"&lt;&gt;Lorena Dias de Araujo",$B:$B,"&lt;&gt;Lucas Luiz Romero")*(35/1083),IF(C588="Técnico II",SUMIFS($D:$D,$A:$A,$A588,$B:$B,"&lt;&gt;Patrícia Karla de Sousa Araújo",$B:$B,"&lt;&gt;Lorena Dias de Araujo",$B:$B,"&lt;&gt;Lucas Luiz Romero")*(28/1083),IF(C588="Técnico I",SUMIFS($D:$D,$A:$A,$A588,$B:$B,"&lt;&gt;Patrícia Karla de Sousa Araújo",$B:$B,"&lt;&gt;Lorena Dias de Araujo",$B:$B,"&lt;&gt;Lucas Luiz Romero")*(23/1083),IF(C588="JR",SUMIFS($D:$D,$A:$A,$A588,$B:$B,"&lt;&gt;Patrícia Karla de Sousa Araújo",$B:$B,"&lt;&gt;Lorena Dias de Araujo",$B:$B,"&lt;&gt;Lucas Luiz Romero")*(20/1083),IF(C588="Estágio",SUMIFS($D:$D,$A:$A,$A588,$B:$B,"&lt;&gt;Patrícia Karla de Sousa Araújo",$B:$B,"&lt;&gt;Lorena Dias de Araujo",$B:$B,"&lt;&gt;Lucas Luiz Romero")*(10/1083),0)))))),0)</f>
        <v>29</v>
      </c>
      <c r="K588" s="3">
        <f>I588-J588</f>
        <v>-4</v>
      </c>
      <c r="L588" s="3" t="str">
        <f>IF(K588&lt;-5,"CRÍTICO",IF(K588&lt;0,"ATENÇÃO",IF(K588&lt;=5,"OPORTUNO","MUITO BOM")))</f>
        <v>ATENÇÃO</v>
      </c>
      <c r="M588" s="3">
        <v>26</v>
      </c>
      <c r="N588" s="3">
        <v>100</v>
      </c>
      <c r="O588" s="3">
        <v>18.244803695150122</v>
      </c>
    </row>
    <row r="589" spans="1:15" hidden="1" x14ac:dyDescent="0.25">
      <c r="A589" s="5">
        <v>46155</v>
      </c>
      <c r="B589" s="6" t="s">
        <v>42</v>
      </c>
      <c r="C589" s="1" t="s">
        <v>32</v>
      </c>
      <c r="D589" s="3">
        <v>0</v>
      </c>
      <c r="E589" s="3">
        <v>0</v>
      </c>
      <c r="F589" s="3">
        <v>0</v>
      </c>
      <c r="G589" s="3">
        <v>0</v>
      </c>
      <c r="H589" s="3">
        <v>0</v>
      </c>
      <c r="I589" s="3">
        <f>E589+G589+H589</f>
        <v>0</v>
      </c>
      <c r="J589" s="3">
        <f>ROUND(MIN(IF(C589="Técnico III",35,IF(C589="Técnico II",28,IF(C589="Técnico I",23,IF(C589="JR",20,IF(C589="Estágio",10,0))))),IF(C589="Técnico III",SUMIFS($D:$D,$A:$A,$A589,$B:$B,"&lt;&gt;Patrícia Karla de Sousa Araújo",$B:$B,"&lt;&gt;Lorena Dias de Araujo",$B:$B,"&lt;&gt;Lucas Luiz Romero")*(35/1083),IF(C589="Técnico II",SUMIFS($D:$D,$A:$A,$A589,$B:$B,"&lt;&gt;Patrícia Karla de Sousa Araújo",$B:$B,"&lt;&gt;Lorena Dias de Araujo",$B:$B,"&lt;&gt;Lucas Luiz Romero")*(28/1083),IF(C589="Técnico I",SUMIFS($D:$D,$A:$A,$A589,$B:$B,"&lt;&gt;Patrícia Karla de Sousa Araújo",$B:$B,"&lt;&gt;Lorena Dias de Araujo",$B:$B,"&lt;&gt;Lucas Luiz Romero")*(23/1083),IF(C589="JR",SUMIFS($D:$D,$A:$A,$A589,$B:$B,"&lt;&gt;Patrícia Karla de Sousa Araújo",$B:$B,"&lt;&gt;Lorena Dias de Araujo",$B:$B,"&lt;&gt;Lucas Luiz Romero")*(20/1083),IF(C589="Estágio",SUMIFS($D:$D,$A:$A,$A589,$B:$B,"&lt;&gt;Patrícia Karla de Sousa Araújo",$B:$B,"&lt;&gt;Lorena Dias de Araujo",$B:$B,"&lt;&gt;Lucas Luiz Romero")*(10/1083),0)))))),0)</f>
        <v>29</v>
      </c>
      <c r="K589" s="3">
        <f>I589-J589</f>
        <v>-29</v>
      </c>
      <c r="L589" s="3" t="str">
        <f>IF(K589&lt;-5,"CRÍTICO",IF(K589&lt;0,"ATENÇÃO",IF(K589&lt;=5,"OPORTUNO","MUITO BOM")))</f>
        <v>CRÍTICO</v>
      </c>
      <c r="M589" s="3">
        <v>0</v>
      </c>
      <c r="N589" s="3">
        <v>100</v>
      </c>
      <c r="O589" s="3">
        <v>15.789473684210529</v>
      </c>
    </row>
    <row r="590" spans="1:15" x14ac:dyDescent="0.25">
      <c r="A590" s="5">
        <v>46155</v>
      </c>
      <c r="B590" s="6" t="s">
        <v>43</v>
      </c>
      <c r="C590" s="1" t="s">
        <v>32</v>
      </c>
      <c r="D590" s="3">
        <v>0</v>
      </c>
      <c r="E590" s="3">
        <v>0</v>
      </c>
      <c r="F590" s="3">
        <v>0</v>
      </c>
      <c r="G590" s="3">
        <v>0</v>
      </c>
      <c r="H590" s="3">
        <v>41</v>
      </c>
      <c r="I590" s="3">
        <f>E590+G590+H590</f>
        <v>41</v>
      </c>
      <c r="J590" s="3">
        <f>ROUND(MIN(IF(C590="Técnico III",35,IF(C590="Técnico II",28,IF(C590="Técnico I",23,IF(C590="JR",20,IF(C590="Estágio",10,0))))),IF(C590="Técnico III",SUMIFS($D:$D,$A:$A,$A590,$B:$B,"&lt;&gt;Patrícia Karla de Sousa Araújo",$B:$B,"&lt;&gt;Lorena Dias de Araujo",$B:$B,"&lt;&gt;Lucas Luiz Romero")*(35/1083),IF(C590="Técnico II",SUMIFS($D:$D,$A:$A,$A590,$B:$B,"&lt;&gt;Patrícia Karla de Sousa Araújo",$B:$B,"&lt;&gt;Lorena Dias de Araujo",$B:$B,"&lt;&gt;Lucas Luiz Romero")*(28/1083),IF(C590="Técnico I",SUMIFS($D:$D,$A:$A,$A590,$B:$B,"&lt;&gt;Patrícia Karla de Sousa Araújo",$B:$B,"&lt;&gt;Lorena Dias de Araujo",$B:$B,"&lt;&gt;Lucas Luiz Romero")*(23/1083),IF(C590="JR",SUMIFS($D:$D,$A:$A,$A590,$B:$B,"&lt;&gt;Patrícia Karla de Sousa Araújo",$B:$B,"&lt;&gt;Lorena Dias de Araujo",$B:$B,"&lt;&gt;Lucas Luiz Romero")*(20/1083),IF(C590="Estágio",SUMIFS($D:$D,$A:$A,$A590,$B:$B,"&lt;&gt;Patrícia Karla de Sousa Araújo",$B:$B,"&lt;&gt;Lorena Dias de Araujo",$B:$B,"&lt;&gt;Lucas Luiz Romero")*(10/1083),0)))))),0)</f>
        <v>29</v>
      </c>
      <c r="K590" s="3">
        <f>I590-J590</f>
        <v>12</v>
      </c>
      <c r="L590" s="3" t="str">
        <f>IF(K590&lt;-5,"CRÍTICO",IF(K590&lt;0,"ATENÇÃO",IF(K590&lt;=5,"OPORTUNO","MUITO BOM")))</f>
        <v>MUITO BOM</v>
      </c>
      <c r="M590" s="3">
        <v>28</v>
      </c>
      <c r="N590" s="3">
        <v>98.39</v>
      </c>
      <c r="O590" s="3">
        <v>8.7999999999999989</v>
      </c>
    </row>
    <row r="591" spans="1:15" hidden="1" x14ac:dyDescent="0.25">
      <c r="A591" s="5">
        <v>46155</v>
      </c>
      <c r="B591" s="6" t="s">
        <v>44</v>
      </c>
      <c r="C591" s="1" t="s">
        <v>32</v>
      </c>
      <c r="D591" s="3">
        <v>36</v>
      </c>
      <c r="E591" s="3">
        <v>30</v>
      </c>
      <c r="F591" s="3">
        <v>10.47</v>
      </c>
      <c r="G591" s="3">
        <v>4</v>
      </c>
      <c r="H591" s="3">
        <v>0</v>
      </c>
      <c r="I591" s="3">
        <f>E591+G591+H591</f>
        <v>34</v>
      </c>
      <c r="J591" s="3">
        <f>ROUND(MIN(IF(C591="Técnico III",35,IF(C591="Técnico II",28,IF(C591="Técnico I",23,IF(C591="JR",20,IF(C591="Estágio",10,0))))),IF(C591="Técnico III",SUMIFS($D:$D,$A:$A,$A591,$B:$B,"&lt;&gt;Patrícia Karla de Sousa Araújo",$B:$B,"&lt;&gt;Lorena Dias de Araujo",$B:$B,"&lt;&gt;Lucas Luiz Romero")*(35/1083),IF(C591="Técnico II",SUMIFS($D:$D,$A:$A,$A591,$B:$B,"&lt;&gt;Patrícia Karla de Sousa Araújo",$B:$B,"&lt;&gt;Lorena Dias de Araujo",$B:$B,"&lt;&gt;Lucas Luiz Romero")*(28/1083),IF(C591="Técnico I",SUMIFS($D:$D,$A:$A,$A591,$B:$B,"&lt;&gt;Patrícia Karla de Sousa Araújo",$B:$B,"&lt;&gt;Lorena Dias de Araujo",$B:$B,"&lt;&gt;Lucas Luiz Romero")*(23/1083),IF(C591="JR",SUMIFS($D:$D,$A:$A,$A591,$B:$B,"&lt;&gt;Patrícia Karla de Sousa Araújo",$B:$B,"&lt;&gt;Lorena Dias de Araujo",$B:$B,"&lt;&gt;Lucas Luiz Romero")*(20/1083),IF(C591="Estágio",SUMIFS($D:$D,$A:$A,$A591,$B:$B,"&lt;&gt;Patrícia Karla de Sousa Araújo",$B:$B,"&lt;&gt;Lorena Dias de Araujo",$B:$B,"&lt;&gt;Lucas Luiz Romero")*(10/1083),0)))))),0)</f>
        <v>29</v>
      </c>
      <c r="K591" s="3">
        <f>I591-J591</f>
        <v>5</v>
      </c>
      <c r="L591" s="3" t="str">
        <f>IF(K591&lt;-5,"CRÍTICO",IF(K591&lt;0,"ATENÇÃO",IF(K591&lt;=5,"OPORTUNO","MUITO BOM")))</f>
        <v>OPORTUNO</v>
      </c>
      <c r="M591" s="3">
        <v>29</v>
      </c>
      <c r="N591" s="3">
        <v>96.38</v>
      </c>
      <c r="O591" s="3">
        <v>23.198198198198199</v>
      </c>
    </row>
    <row r="592" spans="1:15" hidden="1" x14ac:dyDescent="0.25">
      <c r="A592" s="11">
        <v>46050</v>
      </c>
      <c r="B592" t="s">
        <v>22</v>
      </c>
      <c r="C592" t="s">
        <v>23</v>
      </c>
      <c r="D592">
        <v>26</v>
      </c>
      <c r="E592">
        <v>25</v>
      </c>
      <c r="F592">
        <v>23.42</v>
      </c>
      <c r="G592">
        <v>0</v>
      </c>
      <c r="H592">
        <v>0</v>
      </c>
      <c r="I592" s="3">
        <f>E592+G592+H592</f>
        <v>25</v>
      </c>
      <c r="J592" s="3">
        <f>ROUND(MIN(IF(C592="Técnico III",35,IF(C592="Técnico II",28,IF(C592="Técnico I",23,IF(C592="JR",20,IF(C592="Estágio",10,0))))),IF(C592="Técnico III",SUMIFS($D:$D,$A:$A,$A592,$B:$B,"&lt;&gt;Patrícia Karla de Sousa Araújo",$B:$B,"&lt;&gt;Lorena Dias de Araujo",$B:$B,"&lt;&gt;Lucas Luiz Romero")*(35/1083),IF(C592="Técnico II",SUMIFS($D:$D,$A:$A,$A592,$B:$B,"&lt;&gt;Patrícia Karla de Sousa Araújo",$B:$B,"&lt;&gt;Lorena Dias de Araujo",$B:$B,"&lt;&gt;Lucas Luiz Romero")*(28/1083),IF(C592="Técnico I",SUMIFS($D:$D,$A:$A,$A592,$B:$B,"&lt;&gt;Patrícia Karla de Sousa Araújo",$B:$B,"&lt;&gt;Lorena Dias de Araujo",$B:$B,"&lt;&gt;Lucas Luiz Romero")*(23/1083),IF(C592="JR",SUMIFS($D:$D,$A:$A,$A592,$B:$B,"&lt;&gt;Patrícia Karla de Sousa Araújo",$B:$B,"&lt;&gt;Lorena Dias de Araujo",$B:$B,"&lt;&gt;Lucas Luiz Romero")*(20/1083),IF(C592="Estágio",SUMIFS($D:$D,$A:$A,$A592,$B:$B,"&lt;&gt;Patrícia Karla de Sousa Araújo",$B:$B,"&lt;&gt;Lorena Dias de Araujo",$B:$B,"&lt;&gt;Lucas Luiz Romero")*(10/1083),0)))))),0)</f>
        <v>19</v>
      </c>
      <c r="K592" s="3">
        <f>I592-J592</f>
        <v>6</v>
      </c>
      <c r="L592" s="3" t="str">
        <f>IF(K592&lt;-5,"CRÍTICO",IF(K592&lt;0,"ATENÇÃO",IF(K592&lt;=5,"BOM","EXCELENTE")))</f>
        <v>EXCELENTE</v>
      </c>
      <c r="M592">
        <v>21</v>
      </c>
      <c r="N592">
        <v>98.91</v>
      </c>
      <c r="O592">
        <v>31.367292225201069</v>
      </c>
    </row>
    <row r="593" spans="1:15" hidden="1" x14ac:dyDescent="0.25">
      <c r="A593" s="11">
        <v>46051</v>
      </c>
      <c r="B593" t="s">
        <v>22</v>
      </c>
      <c r="C593" t="s">
        <v>23</v>
      </c>
      <c r="D593">
        <v>0</v>
      </c>
      <c r="E593">
        <v>0</v>
      </c>
      <c r="F593">
        <v>0</v>
      </c>
      <c r="G593">
        <v>0</v>
      </c>
      <c r="H593">
        <v>0</v>
      </c>
      <c r="I593" s="3">
        <v>0</v>
      </c>
      <c r="J593" s="3">
        <v>0</v>
      </c>
      <c r="K593" s="3">
        <v>0</v>
      </c>
      <c r="L593" s="3" t="str">
        <f>IF(K593&lt;-5,"CRÍTICO",IF(K593&lt;0,"ATENÇÃO",IF(K593&lt;=5,"BOM","EXCELENTE")))</f>
        <v>BOM</v>
      </c>
      <c r="M593">
        <v>0</v>
      </c>
      <c r="N593">
        <v>98.91</v>
      </c>
      <c r="O593">
        <v>31.367292225201069</v>
      </c>
    </row>
    <row r="594" spans="1:15" hidden="1" x14ac:dyDescent="0.25">
      <c r="A594" s="5">
        <v>46155</v>
      </c>
      <c r="B594" s="6" t="s">
        <v>45</v>
      </c>
      <c r="C594" s="1" t="s">
        <v>32</v>
      </c>
      <c r="D594" s="3">
        <v>36</v>
      </c>
      <c r="E594" s="3">
        <v>32</v>
      </c>
      <c r="F594" s="3">
        <v>13.49</v>
      </c>
      <c r="G594" s="3">
        <v>5</v>
      </c>
      <c r="H594" s="3">
        <v>0</v>
      </c>
      <c r="I594" s="3">
        <f>E594+G594+H594</f>
        <v>37</v>
      </c>
      <c r="J594" s="3">
        <f>ROUND(MIN(IF(C594="Técnico III",35,IF(C594="Técnico II",28,IF(C594="Técnico I",23,IF(C594="JR",20,IF(C594="Estágio",10,0))))),IF(C594="Técnico III",SUMIFS($D:$D,$A:$A,$A594,$B:$B,"&lt;&gt;Patrícia Karla de Sousa Araújo",$B:$B,"&lt;&gt;Lorena Dias de Araujo",$B:$B,"&lt;&gt;Lucas Luiz Romero")*(35/1083),IF(C594="Técnico II",SUMIFS($D:$D,$A:$A,$A594,$B:$B,"&lt;&gt;Patrícia Karla de Sousa Araújo",$B:$B,"&lt;&gt;Lorena Dias de Araujo",$B:$B,"&lt;&gt;Lucas Luiz Romero")*(28/1083),IF(C594="Técnico I",SUMIFS($D:$D,$A:$A,$A594,$B:$B,"&lt;&gt;Patrícia Karla de Sousa Araújo",$B:$B,"&lt;&gt;Lorena Dias de Araujo",$B:$B,"&lt;&gt;Lucas Luiz Romero")*(23/1083),IF(C594="JR",SUMIFS($D:$D,$A:$A,$A594,$B:$B,"&lt;&gt;Patrícia Karla de Sousa Araújo",$B:$B,"&lt;&gt;Lorena Dias de Araujo",$B:$B,"&lt;&gt;Lucas Luiz Romero")*(20/1083),IF(C594="Estágio",SUMIFS($D:$D,$A:$A,$A594,$B:$B,"&lt;&gt;Patrícia Karla de Sousa Araújo",$B:$B,"&lt;&gt;Lorena Dias de Araujo",$B:$B,"&lt;&gt;Lucas Luiz Romero")*(10/1083),0)))))),0)</f>
        <v>29</v>
      </c>
      <c r="K594" s="3">
        <f>I594-J594</f>
        <v>8</v>
      </c>
      <c r="L594" s="3" t="str">
        <f>IF(K594&lt;-5,"CRÍTICO",IF(K594&lt;0,"ATENÇÃO",IF(K594&lt;=5,"OPORTUNO","MUITO BOM")))</f>
        <v>MUITO BOM</v>
      </c>
      <c r="M594" s="3">
        <v>32</v>
      </c>
      <c r="N594" s="3">
        <v>99.39</v>
      </c>
      <c r="O594" s="3">
        <v>25.203252032520329</v>
      </c>
    </row>
    <row r="595" spans="1:15" hidden="1" x14ac:dyDescent="0.25">
      <c r="A595" s="5">
        <v>46155</v>
      </c>
      <c r="B595" s="6" t="s">
        <v>46</v>
      </c>
      <c r="C595" s="1" t="s">
        <v>32</v>
      </c>
      <c r="D595" s="3">
        <v>25</v>
      </c>
      <c r="E595" s="3">
        <v>23</v>
      </c>
      <c r="F595" s="3">
        <v>17.29</v>
      </c>
      <c r="G595" s="3">
        <v>0</v>
      </c>
      <c r="H595" s="3">
        <v>0</v>
      </c>
      <c r="I595" s="3">
        <f>E595+G595+H595</f>
        <v>23</v>
      </c>
      <c r="J595" s="3">
        <f>ROUND(MIN(IF(C595="Técnico III",35,IF(C595="Técnico II",28,IF(C595="Técnico I",23,IF(C595="JR",20,IF(C595="Estágio",10,0))))),IF(C595="Técnico III",SUMIFS($D:$D,$A:$A,$A595,$B:$B,"&lt;&gt;Patrícia Karla de Sousa Araújo",$B:$B,"&lt;&gt;Lorena Dias de Araujo",$B:$B,"&lt;&gt;Lucas Luiz Romero")*(35/1083),IF(C595="Técnico II",SUMIFS($D:$D,$A:$A,$A595,$B:$B,"&lt;&gt;Patrícia Karla de Sousa Araújo",$B:$B,"&lt;&gt;Lorena Dias de Araujo",$B:$B,"&lt;&gt;Lucas Luiz Romero")*(28/1083),IF(C595="Técnico I",SUMIFS($D:$D,$A:$A,$A595,$B:$B,"&lt;&gt;Patrícia Karla de Sousa Araújo",$B:$B,"&lt;&gt;Lorena Dias de Araujo",$B:$B,"&lt;&gt;Lucas Luiz Romero")*(23/1083),IF(C595="JR",SUMIFS($D:$D,$A:$A,$A595,$B:$B,"&lt;&gt;Patrícia Karla de Sousa Araújo",$B:$B,"&lt;&gt;Lorena Dias de Araujo",$B:$B,"&lt;&gt;Lucas Luiz Romero")*(20/1083),IF(C595="Estágio",SUMIFS($D:$D,$A:$A,$A595,$B:$B,"&lt;&gt;Patrícia Karla de Sousa Araújo",$B:$B,"&lt;&gt;Lorena Dias de Araujo",$B:$B,"&lt;&gt;Lucas Luiz Romero")*(10/1083),0)))))),0)</f>
        <v>29</v>
      </c>
      <c r="K595" s="3">
        <f>I595-J595</f>
        <v>-6</v>
      </c>
      <c r="L595" s="3" t="str">
        <f>IF(K595&lt;-5,"CRÍTICO",IF(K595&lt;0,"ATENÇÃO",IF(K595&lt;=5,"OPORTUNO","MUITO BOM")))</f>
        <v>CRÍTICO</v>
      </c>
      <c r="M595" s="3">
        <v>21</v>
      </c>
      <c r="N595" s="3">
        <v>97</v>
      </c>
      <c r="O595" s="3">
        <v>20.325203252032519</v>
      </c>
    </row>
    <row r="596" spans="1:15" hidden="1" x14ac:dyDescent="0.25">
      <c r="A596" s="5">
        <v>46155</v>
      </c>
      <c r="B596" s="6" t="s">
        <v>47</v>
      </c>
      <c r="C596" s="1" t="s">
        <v>48</v>
      </c>
      <c r="D596" s="3">
        <v>28</v>
      </c>
      <c r="E596" s="3">
        <v>21</v>
      </c>
      <c r="F596" s="3">
        <v>17.22</v>
      </c>
      <c r="G596" s="3">
        <v>2</v>
      </c>
      <c r="H596" s="3">
        <v>0</v>
      </c>
      <c r="I596" s="3">
        <f>E596+G596+H596</f>
        <v>23</v>
      </c>
      <c r="J596" s="3">
        <f>ROUND(MIN(IF(C596="Técnico III",35,IF(C596="Técnico II",28,IF(C596="Técnico I",23,IF(C596="JR",20,IF(C596="Estágio",10,0))))),IF(C596="Técnico III",SUMIFS($D:$D,$A:$A,$A596,$B:$B,"&lt;&gt;Patrícia Karla de Sousa Araújo",$B:$B,"&lt;&gt;Lorena Dias de Araujo",$B:$B,"&lt;&gt;Lucas Luiz Romero")*(35/1083),IF(C596="Técnico II",SUMIFS($D:$D,$A:$A,$A596,$B:$B,"&lt;&gt;Patrícia Karla de Sousa Araújo",$B:$B,"&lt;&gt;Lorena Dias de Araujo",$B:$B,"&lt;&gt;Lucas Luiz Romero")*(28/1083),IF(C596="Técnico I",SUMIFS($D:$D,$A:$A,$A596,$B:$B,"&lt;&gt;Patrícia Karla de Sousa Araújo",$B:$B,"&lt;&gt;Lorena Dias de Araujo",$B:$B,"&lt;&gt;Lucas Luiz Romero")*(23/1083),IF(C596="JR",SUMIFS($D:$D,$A:$A,$A596,$B:$B,"&lt;&gt;Patrícia Karla de Sousa Araújo",$B:$B,"&lt;&gt;Lorena Dias de Araujo",$B:$B,"&lt;&gt;Lucas Luiz Romero")*(20/1083),IF(C596="Estágio",SUMIFS($D:$D,$A:$A,$A596,$B:$B,"&lt;&gt;Patrícia Karla de Sousa Araújo",$B:$B,"&lt;&gt;Lorena Dias de Araujo",$B:$B,"&lt;&gt;Lucas Luiz Romero")*(10/1083),0)))))),0)</f>
        <v>23</v>
      </c>
      <c r="K596" s="3">
        <f>I596-J596</f>
        <v>0</v>
      </c>
      <c r="L596" s="3" t="str">
        <f>IF(K596&lt;-5,"CRÍTICO",IF(K596&lt;0,"ATENÇÃO",IF(K596&lt;=5,"OPORTUNO","MUITO BOM")))</f>
        <v>OPORTUNO</v>
      </c>
      <c r="M596" s="3">
        <v>17</v>
      </c>
      <c r="N596" s="3">
        <v>99.18</v>
      </c>
      <c r="O596" s="3">
        <v>24.501424501424498</v>
      </c>
    </row>
    <row r="597" spans="1:15" hidden="1" x14ac:dyDescent="0.25">
      <c r="A597" s="5">
        <v>46155</v>
      </c>
      <c r="B597" s="6" t="s">
        <v>49</v>
      </c>
      <c r="C597" s="1" t="s">
        <v>48</v>
      </c>
      <c r="D597" s="3">
        <v>33</v>
      </c>
      <c r="E597" s="3">
        <v>29</v>
      </c>
      <c r="F597" s="3">
        <v>18.309999999999999</v>
      </c>
      <c r="G597" s="3">
        <v>1</v>
      </c>
      <c r="H597" s="3">
        <v>0</v>
      </c>
      <c r="I597" s="3">
        <f>E597+G597+H597</f>
        <v>30</v>
      </c>
      <c r="J597" s="3">
        <f>ROUND(MIN(IF(C597="Técnico III",35,IF(C597="Técnico II",28,IF(C597="Técnico I",23,IF(C597="JR",20,IF(C597="Estágio",10,0))))),IF(C597="Técnico III",SUMIFS($D:$D,$A:$A,$A597,$B:$B,"&lt;&gt;Patrícia Karla de Sousa Araújo",$B:$B,"&lt;&gt;Lorena Dias de Araujo",$B:$B,"&lt;&gt;Lucas Luiz Romero")*(35/1083),IF(C597="Técnico II",SUMIFS($D:$D,$A:$A,$A597,$B:$B,"&lt;&gt;Patrícia Karla de Sousa Araújo",$B:$B,"&lt;&gt;Lorena Dias de Araujo",$B:$B,"&lt;&gt;Lucas Luiz Romero")*(28/1083),IF(C597="Técnico I",SUMIFS($D:$D,$A:$A,$A597,$B:$B,"&lt;&gt;Patrícia Karla de Sousa Araújo",$B:$B,"&lt;&gt;Lorena Dias de Araujo",$B:$B,"&lt;&gt;Lucas Luiz Romero")*(23/1083),IF(C597="JR",SUMIFS($D:$D,$A:$A,$A597,$B:$B,"&lt;&gt;Patrícia Karla de Sousa Araújo",$B:$B,"&lt;&gt;Lorena Dias de Araujo",$B:$B,"&lt;&gt;Lucas Luiz Romero")*(20/1083),IF(C597="Estágio",SUMIFS($D:$D,$A:$A,$A597,$B:$B,"&lt;&gt;Patrícia Karla de Sousa Araújo",$B:$B,"&lt;&gt;Lorena Dias de Araujo",$B:$B,"&lt;&gt;Lucas Luiz Romero")*(10/1083),0)))))),0)</f>
        <v>23</v>
      </c>
      <c r="K597" s="3">
        <f>I597-J597</f>
        <v>7</v>
      </c>
      <c r="L597" s="3" t="str">
        <f>IF(K597&lt;-5,"CRÍTICO",IF(K597&lt;0,"ATENÇÃO",IF(K597&lt;=5,"OPORTUNO","MUITO BOM")))</f>
        <v>MUITO BOM</v>
      </c>
      <c r="M597" s="3">
        <v>30</v>
      </c>
      <c r="N597" s="3">
        <v>99.35</v>
      </c>
      <c r="O597" s="3">
        <v>19.852941176470591</v>
      </c>
    </row>
    <row r="598" spans="1:15" hidden="1" x14ac:dyDescent="0.25">
      <c r="A598" s="5">
        <v>46155</v>
      </c>
      <c r="B598" s="6" t="s">
        <v>50</v>
      </c>
      <c r="C598" s="14" t="s">
        <v>48</v>
      </c>
      <c r="D598" s="3">
        <v>17</v>
      </c>
      <c r="E598" s="3">
        <v>16</v>
      </c>
      <c r="F598" s="3">
        <v>28.53</v>
      </c>
      <c r="G598" s="3">
        <v>5</v>
      </c>
      <c r="H598" s="3">
        <v>0</v>
      </c>
      <c r="I598" s="3">
        <f>E598+G598+H598</f>
        <v>21</v>
      </c>
      <c r="J598" s="3">
        <f>ROUND(MIN(IF(C598="Técnico III",35,IF(C598="Técnico II",28,IF(C598="Técnico I",23,IF(C598="JR",20,IF(C598="Estágio",10,0))))),IF(C598="Técnico III",SUMIFS($D:$D,$A:$A,$A598,$B:$B,"&lt;&gt;Patrícia Karla de Sousa Araújo",$B:$B,"&lt;&gt;Lorena Dias de Araujo",$B:$B,"&lt;&gt;Lucas Luiz Romero")*(35/1083),IF(C598="Técnico II",SUMIFS($D:$D,$A:$A,$A598,$B:$B,"&lt;&gt;Patrícia Karla de Sousa Araújo",$B:$B,"&lt;&gt;Lorena Dias de Araujo",$B:$B,"&lt;&gt;Lucas Luiz Romero")*(28/1083),IF(C598="Técnico I",SUMIFS($D:$D,$A:$A,$A598,$B:$B,"&lt;&gt;Patrícia Karla de Sousa Araújo",$B:$B,"&lt;&gt;Lorena Dias de Araujo",$B:$B,"&lt;&gt;Lucas Luiz Romero")*(23/1083),IF(C598="JR",SUMIFS($D:$D,$A:$A,$A598,$B:$B,"&lt;&gt;Patrícia Karla de Sousa Araújo",$B:$B,"&lt;&gt;Lorena Dias de Araujo",$B:$B,"&lt;&gt;Lucas Luiz Romero")*(20/1083),IF(C598="Estágio",SUMIFS($D:$D,$A:$A,$A598,$B:$B,"&lt;&gt;Patrícia Karla de Sousa Araújo",$B:$B,"&lt;&gt;Lorena Dias de Araujo",$B:$B,"&lt;&gt;Lucas Luiz Romero")*(10/1083),0)))))),0)</f>
        <v>23</v>
      </c>
      <c r="K598" s="3">
        <f>I598-J598</f>
        <v>-2</v>
      </c>
      <c r="L598" s="3" t="str">
        <f>IF(K598&lt;-5,"CRÍTICO",IF(K598&lt;0,"ATENÇÃO",IF(K598&lt;=5,"OPORTUNO","MUITO BOM")))</f>
        <v>ATENÇÃO</v>
      </c>
      <c r="M598" s="3">
        <v>19</v>
      </c>
      <c r="N598" s="3">
        <v>99.07</v>
      </c>
      <c r="O598" s="3">
        <v>20.098039215686271</v>
      </c>
    </row>
    <row r="599" spans="1:15" hidden="1" x14ac:dyDescent="0.25">
      <c r="A599" s="5">
        <v>46155</v>
      </c>
      <c r="B599" s="6" t="s">
        <v>51</v>
      </c>
      <c r="C599" s="1" t="s">
        <v>48</v>
      </c>
      <c r="D599" s="3">
        <v>12</v>
      </c>
      <c r="E599" s="3">
        <v>9</v>
      </c>
      <c r="F599" s="3">
        <v>22.13</v>
      </c>
      <c r="G599" s="3">
        <v>0</v>
      </c>
      <c r="H599" s="3">
        <v>0</v>
      </c>
      <c r="I599" s="3">
        <f>E599+G599+H599</f>
        <v>9</v>
      </c>
      <c r="J599" s="3">
        <f>ROUND(MIN(IF(C599="Técnico III",35,IF(C599="Técnico II",28,IF(C599="Técnico I",23,IF(C599="JR",20,IF(C599="Estágio",10,0))))),IF(C599="Técnico III",SUMIFS($D:$D,$A:$A,$A599,$B:$B,"&lt;&gt;Patrícia Karla de Sousa Araújo",$B:$B,"&lt;&gt;Lorena Dias de Araujo",$B:$B,"&lt;&gt;Lucas Luiz Romero")*(35/1083),IF(C599="Técnico II",SUMIFS($D:$D,$A:$A,$A599,$B:$B,"&lt;&gt;Patrícia Karla de Sousa Araújo",$B:$B,"&lt;&gt;Lorena Dias de Araujo",$B:$B,"&lt;&gt;Lucas Luiz Romero")*(28/1083),IF(C599="Técnico I",SUMIFS($D:$D,$A:$A,$A599,$B:$B,"&lt;&gt;Patrícia Karla de Sousa Araújo",$B:$B,"&lt;&gt;Lorena Dias de Araujo",$B:$B,"&lt;&gt;Lucas Luiz Romero")*(23/1083),IF(C599="JR",SUMIFS($D:$D,$A:$A,$A599,$B:$B,"&lt;&gt;Patrícia Karla de Sousa Araújo",$B:$B,"&lt;&gt;Lorena Dias de Araujo",$B:$B,"&lt;&gt;Lucas Luiz Romero")*(20/1083),IF(C599="Estágio",SUMIFS($D:$D,$A:$A,$A599,$B:$B,"&lt;&gt;Patrícia Karla de Sousa Araújo",$B:$B,"&lt;&gt;Lorena Dias de Araujo",$B:$B,"&lt;&gt;Lucas Luiz Romero")*(10/1083),0)))))),0)</f>
        <v>23</v>
      </c>
      <c r="K599" s="3">
        <f>I599-J599</f>
        <v>-14</v>
      </c>
      <c r="L599" s="3" t="str">
        <f>IF(K599&lt;-5,"CRÍTICO",IF(K599&lt;0,"ATENÇÃO",IF(K599&lt;=5,"OPORTUNO","MUITO BOM")))</f>
        <v>CRÍTICO</v>
      </c>
      <c r="M599" s="3">
        <v>13</v>
      </c>
      <c r="N599" s="3">
        <v>98.81</v>
      </c>
      <c r="O599" s="3">
        <v>22.767857142857139</v>
      </c>
    </row>
    <row r="600" spans="1:15" hidden="1" x14ac:dyDescent="0.25">
      <c r="A600" s="5">
        <v>46155</v>
      </c>
      <c r="B600" s="6" t="s">
        <v>52</v>
      </c>
      <c r="C600" s="1" t="s">
        <v>48</v>
      </c>
      <c r="D600" s="3">
        <v>28</v>
      </c>
      <c r="E600" s="3">
        <v>25</v>
      </c>
      <c r="F600" s="3">
        <v>20.05</v>
      </c>
      <c r="G600" s="3">
        <v>2</v>
      </c>
      <c r="H600" s="3">
        <v>0</v>
      </c>
      <c r="I600" s="3">
        <f>E600+G600+H600</f>
        <v>27</v>
      </c>
      <c r="J600" s="3">
        <f>ROUND(MIN(IF(C600="Técnico III",35,IF(C600="Técnico II",28,IF(C600="Técnico I",23,IF(C600="JR",20,IF(C600="Estágio",10,0))))),IF(C600="Técnico III",SUMIFS($D:$D,$A:$A,$A600,$B:$B,"&lt;&gt;Patrícia Karla de Sousa Araújo",$B:$B,"&lt;&gt;Lorena Dias de Araujo",$B:$B,"&lt;&gt;Lucas Luiz Romero")*(35/1083),IF(C600="Técnico II",SUMIFS($D:$D,$A:$A,$A600,$B:$B,"&lt;&gt;Patrícia Karla de Sousa Araújo",$B:$B,"&lt;&gt;Lorena Dias de Araujo",$B:$B,"&lt;&gt;Lucas Luiz Romero")*(28/1083),IF(C600="Técnico I",SUMIFS($D:$D,$A:$A,$A600,$B:$B,"&lt;&gt;Patrícia Karla de Sousa Araújo",$B:$B,"&lt;&gt;Lorena Dias de Araujo",$B:$B,"&lt;&gt;Lucas Luiz Romero")*(23/1083),IF(C600="JR",SUMIFS($D:$D,$A:$A,$A600,$B:$B,"&lt;&gt;Patrícia Karla de Sousa Araújo",$B:$B,"&lt;&gt;Lorena Dias de Araujo",$B:$B,"&lt;&gt;Lucas Luiz Romero")*(20/1083),IF(C600="Estágio",SUMIFS($D:$D,$A:$A,$A600,$B:$B,"&lt;&gt;Patrícia Karla de Sousa Araújo",$B:$B,"&lt;&gt;Lorena Dias de Araujo",$B:$B,"&lt;&gt;Lucas Luiz Romero")*(10/1083),0)))))),0)</f>
        <v>23</v>
      </c>
      <c r="K600" s="3">
        <f>I600-J600</f>
        <v>4</v>
      </c>
      <c r="L600" s="3" t="str">
        <f>IF(K600&lt;-5,"CRÍTICO",IF(K600&lt;0,"ATENÇÃO",IF(K600&lt;=5,"OPORTUNO","MUITO BOM")))</f>
        <v>OPORTUNO</v>
      </c>
      <c r="M600" s="3">
        <v>19</v>
      </c>
      <c r="N600" s="3">
        <v>99.01</v>
      </c>
      <c r="O600" s="3">
        <v>17.766497461928939</v>
      </c>
    </row>
    <row r="601" spans="1:15" hidden="1" x14ac:dyDescent="0.25">
      <c r="A601" s="5">
        <v>46155</v>
      </c>
      <c r="B601" s="6" t="s">
        <v>53</v>
      </c>
      <c r="C601" s="1" t="s">
        <v>48</v>
      </c>
      <c r="D601" s="3">
        <v>0</v>
      </c>
      <c r="E601" s="3">
        <v>0</v>
      </c>
      <c r="F601" s="3">
        <v>0</v>
      </c>
      <c r="G601" s="3">
        <v>0</v>
      </c>
      <c r="H601" s="3">
        <v>0</v>
      </c>
      <c r="I601" s="3">
        <f>E601+G601+H601</f>
        <v>0</v>
      </c>
      <c r="J601" s="3">
        <f>ROUND(MIN(IF(C601="Técnico III",35,IF(C601="Técnico II",28,IF(C601="Técnico I",23,IF(C601="JR",20,IF(C601="Estágio",10,0))))),IF(C601="Técnico III",SUMIFS($D:$D,$A:$A,$A601,$B:$B,"&lt;&gt;Patrícia Karla de Sousa Araújo",$B:$B,"&lt;&gt;Lorena Dias de Araujo",$B:$B,"&lt;&gt;Lucas Luiz Romero")*(35/1083),IF(C601="Técnico II",SUMIFS($D:$D,$A:$A,$A601,$B:$B,"&lt;&gt;Patrícia Karla de Sousa Araújo",$B:$B,"&lt;&gt;Lorena Dias de Araujo",$B:$B,"&lt;&gt;Lucas Luiz Romero")*(28/1083),IF(C601="Técnico I",SUMIFS($D:$D,$A:$A,$A601,$B:$B,"&lt;&gt;Patrícia Karla de Sousa Araújo",$B:$B,"&lt;&gt;Lorena Dias de Araujo",$B:$B,"&lt;&gt;Lucas Luiz Romero")*(23/1083),IF(C601="JR",SUMIFS($D:$D,$A:$A,$A601,$B:$B,"&lt;&gt;Patrícia Karla de Sousa Araújo",$B:$B,"&lt;&gt;Lorena Dias de Araujo",$B:$B,"&lt;&gt;Lucas Luiz Romero")*(20/1083),IF(C601="Estágio",SUMIFS($D:$D,$A:$A,$A601,$B:$B,"&lt;&gt;Patrícia Karla de Sousa Araújo",$B:$B,"&lt;&gt;Lorena Dias de Araujo",$B:$B,"&lt;&gt;Lucas Luiz Romero")*(10/1083),0)))))),0)</f>
        <v>23</v>
      </c>
      <c r="K601" s="3">
        <f>I601-J601</f>
        <v>-23</v>
      </c>
      <c r="L601" s="3" t="str">
        <f>IF(K601&lt;-5,"CRÍTICO",IF(K601&lt;0,"ATENÇÃO",IF(K601&lt;=5,"OPORTUNO","MUITO BOM")))</f>
        <v>CRÍTICO</v>
      </c>
      <c r="M601" s="3">
        <v>0</v>
      </c>
      <c r="N601" s="3">
        <v>100</v>
      </c>
      <c r="O601" s="3">
        <v>17.241379310344829</v>
      </c>
    </row>
    <row r="602" spans="1:15" hidden="1" x14ac:dyDescent="0.25">
      <c r="A602" s="5">
        <v>46155</v>
      </c>
      <c r="B602" s="6" t="s">
        <v>54</v>
      </c>
      <c r="C602" s="14" t="s">
        <v>48</v>
      </c>
      <c r="D602" s="3">
        <v>21</v>
      </c>
      <c r="E602" s="3">
        <v>21</v>
      </c>
      <c r="F602" s="3">
        <v>28.56</v>
      </c>
      <c r="G602" s="3">
        <v>1</v>
      </c>
      <c r="H602" s="3">
        <v>0</v>
      </c>
      <c r="I602" s="3">
        <f>E602+G602+H602</f>
        <v>22</v>
      </c>
      <c r="J602" s="3">
        <f>ROUND(MIN(IF(C602="Técnico III",35,IF(C602="Técnico II",28,IF(C602="Técnico I",23,IF(C602="JR",20,IF(C602="Estágio",10,0))))),IF(C602="Técnico III",SUMIFS($D:$D,$A:$A,$A602,$B:$B,"&lt;&gt;Patrícia Karla de Sousa Araújo",$B:$B,"&lt;&gt;Lorena Dias de Araujo",$B:$B,"&lt;&gt;Lucas Luiz Romero")*(35/1083),IF(C602="Técnico II",SUMIFS($D:$D,$A:$A,$A602,$B:$B,"&lt;&gt;Patrícia Karla de Sousa Araújo",$B:$B,"&lt;&gt;Lorena Dias de Araujo",$B:$B,"&lt;&gt;Lucas Luiz Romero")*(28/1083),IF(C602="Técnico I",SUMIFS($D:$D,$A:$A,$A602,$B:$B,"&lt;&gt;Patrícia Karla de Sousa Araújo",$B:$B,"&lt;&gt;Lorena Dias de Araujo",$B:$B,"&lt;&gt;Lucas Luiz Romero")*(23/1083),IF(C602="JR",SUMIFS($D:$D,$A:$A,$A602,$B:$B,"&lt;&gt;Patrícia Karla de Sousa Araújo",$B:$B,"&lt;&gt;Lorena Dias de Araujo",$B:$B,"&lt;&gt;Lucas Luiz Romero")*(20/1083),IF(C602="Estágio",SUMIFS($D:$D,$A:$A,$A602,$B:$B,"&lt;&gt;Patrícia Karla de Sousa Araújo",$B:$B,"&lt;&gt;Lorena Dias de Araujo",$B:$B,"&lt;&gt;Lucas Luiz Romero")*(10/1083),0)))))),0)</f>
        <v>23</v>
      </c>
      <c r="K602" s="3">
        <f>I602-J602</f>
        <v>-1</v>
      </c>
      <c r="L602" s="3" t="str">
        <f>IF(K602&lt;-5,"CRÍTICO",IF(K602&lt;0,"ATENÇÃO",IF(K602&lt;=5,"OPORTUNO","MUITO BOM")))</f>
        <v>ATENÇÃO</v>
      </c>
      <c r="M602" s="3">
        <v>22</v>
      </c>
      <c r="N602" s="3">
        <v>98.98</v>
      </c>
      <c r="O602" s="3">
        <v>19.35483870967742</v>
      </c>
    </row>
    <row r="603" spans="1:15" hidden="1" x14ac:dyDescent="0.25">
      <c r="A603" s="5">
        <v>46155</v>
      </c>
      <c r="B603" s="6" t="s">
        <v>55</v>
      </c>
      <c r="C603" s="1" t="s">
        <v>48</v>
      </c>
      <c r="D603" s="3">
        <v>33</v>
      </c>
      <c r="E603" s="3">
        <v>27</v>
      </c>
      <c r="F603" s="3">
        <v>15.43</v>
      </c>
      <c r="G603" s="3">
        <v>0</v>
      </c>
      <c r="H603" s="3">
        <v>0</v>
      </c>
      <c r="I603" s="3">
        <f>E603+G603+H603</f>
        <v>27</v>
      </c>
      <c r="J603" s="3">
        <f>ROUND(MIN(IF(C603="Técnico III",35,IF(C603="Técnico II",28,IF(C603="Técnico I",23,IF(C603="JR",20,IF(C603="Estágio",10,0))))),IF(C603="Técnico III",SUMIFS($D:$D,$A:$A,$A603,$B:$B,"&lt;&gt;Patrícia Karla de Sousa Araújo",$B:$B,"&lt;&gt;Lorena Dias de Araujo",$B:$B,"&lt;&gt;Lucas Luiz Romero")*(35/1083),IF(C603="Técnico II",SUMIFS($D:$D,$A:$A,$A603,$B:$B,"&lt;&gt;Patrícia Karla de Sousa Araújo",$B:$B,"&lt;&gt;Lorena Dias de Araujo",$B:$B,"&lt;&gt;Lucas Luiz Romero")*(28/1083),IF(C603="Técnico I",SUMIFS($D:$D,$A:$A,$A603,$B:$B,"&lt;&gt;Patrícia Karla de Sousa Araújo",$B:$B,"&lt;&gt;Lorena Dias de Araujo",$B:$B,"&lt;&gt;Lucas Luiz Romero")*(23/1083),IF(C603="JR",SUMIFS($D:$D,$A:$A,$A603,$B:$B,"&lt;&gt;Patrícia Karla de Sousa Araújo",$B:$B,"&lt;&gt;Lorena Dias de Araujo",$B:$B,"&lt;&gt;Lucas Luiz Romero")*(20/1083),IF(C603="Estágio",SUMIFS($D:$D,$A:$A,$A603,$B:$B,"&lt;&gt;Patrícia Karla de Sousa Araújo",$B:$B,"&lt;&gt;Lorena Dias de Araujo",$B:$B,"&lt;&gt;Lucas Luiz Romero")*(10/1083),0)))))),0)</f>
        <v>23</v>
      </c>
      <c r="K603" s="3">
        <f>I603-J603</f>
        <v>4</v>
      </c>
      <c r="L603" s="3" t="str">
        <f>IF(K603&lt;-5,"CRÍTICO",IF(K603&lt;0,"ATENÇÃO",IF(K603&lt;=5,"OPORTUNO","MUITO BOM")))</f>
        <v>OPORTUNO</v>
      </c>
      <c r="M603" s="3">
        <v>23</v>
      </c>
      <c r="N603" s="3">
        <v>98.94</v>
      </c>
      <c r="O603" s="3">
        <v>21.270718232044199</v>
      </c>
    </row>
    <row r="604" spans="1:15" hidden="1" x14ac:dyDescent="0.25">
      <c r="A604" s="5">
        <v>46155</v>
      </c>
      <c r="B604" s="6" t="s">
        <v>56</v>
      </c>
      <c r="C604" s="1" t="s">
        <v>48</v>
      </c>
      <c r="D604" s="3">
        <v>21</v>
      </c>
      <c r="E604" s="3">
        <v>20</v>
      </c>
      <c r="F604" s="3">
        <v>22.3</v>
      </c>
      <c r="G604" s="3">
        <v>5</v>
      </c>
      <c r="H604" s="3">
        <v>0</v>
      </c>
      <c r="I604" s="3">
        <f>E604+G604+H604</f>
        <v>25</v>
      </c>
      <c r="J604" s="3">
        <f>ROUND(MIN(IF(C604="Técnico III",35,IF(C604="Técnico II",28,IF(C604="Técnico I",23,IF(C604="JR",20,IF(C604="Estágio",10,0))))),IF(C604="Técnico III",SUMIFS($D:$D,$A:$A,$A604,$B:$B,"&lt;&gt;Patrícia Karla de Sousa Araújo",$B:$B,"&lt;&gt;Lorena Dias de Araujo",$B:$B,"&lt;&gt;Lucas Luiz Romero")*(35/1083),IF(C604="Técnico II",SUMIFS($D:$D,$A:$A,$A604,$B:$B,"&lt;&gt;Patrícia Karla de Sousa Araújo",$B:$B,"&lt;&gt;Lorena Dias de Araujo",$B:$B,"&lt;&gt;Lucas Luiz Romero")*(28/1083),IF(C604="Técnico I",SUMIFS($D:$D,$A:$A,$A604,$B:$B,"&lt;&gt;Patrícia Karla de Sousa Araújo",$B:$B,"&lt;&gt;Lorena Dias de Araujo",$B:$B,"&lt;&gt;Lucas Luiz Romero")*(23/1083),IF(C604="JR",SUMIFS($D:$D,$A:$A,$A604,$B:$B,"&lt;&gt;Patrícia Karla de Sousa Araújo",$B:$B,"&lt;&gt;Lorena Dias de Araujo",$B:$B,"&lt;&gt;Lucas Luiz Romero")*(20/1083),IF(C604="Estágio",SUMIFS($D:$D,$A:$A,$A604,$B:$B,"&lt;&gt;Patrícia Karla de Sousa Araújo",$B:$B,"&lt;&gt;Lorena Dias de Araujo",$B:$B,"&lt;&gt;Lucas Luiz Romero")*(10/1083),0)))))),0)</f>
        <v>23</v>
      </c>
      <c r="K604" s="3">
        <f>I604-J604</f>
        <v>2</v>
      </c>
      <c r="L604" s="3" t="str">
        <f>IF(K604&lt;-5,"CRÍTICO",IF(K604&lt;0,"ATENÇÃO",IF(K604&lt;=5,"OPORTUNO","MUITO BOM")))</f>
        <v>OPORTUNO</v>
      </c>
      <c r="M604" s="3">
        <v>22</v>
      </c>
      <c r="N604" s="3">
        <v>99</v>
      </c>
      <c r="O604" s="3">
        <v>22.010869565217391</v>
      </c>
    </row>
    <row r="605" spans="1:15" hidden="1" x14ac:dyDescent="0.25">
      <c r="A605" s="5">
        <v>46155</v>
      </c>
      <c r="B605" s="6" t="s">
        <v>57</v>
      </c>
      <c r="C605" s="1" t="s">
        <v>48</v>
      </c>
      <c r="D605" s="3">
        <v>30</v>
      </c>
      <c r="E605" s="3">
        <v>29</v>
      </c>
      <c r="F605" s="3">
        <v>15.49</v>
      </c>
      <c r="G605" s="3">
        <v>0</v>
      </c>
      <c r="H605" s="3">
        <v>0</v>
      </c>
      <c r="I605" s="3">
        <f>E605+G605+H605</f>
        <v>29</v>
      </c>
      <c r="J605" s="3">
        <f>ROUND(MIN(IF(C605="Técnico III",35,IF(C605="Técnico II",28,IF(C605="Técnico I",23,IF(C605="JR",20,IF(C605="Estágio",10,0))))),IF(C605="Técnico III",SUMIFS($D:$D,$A:$A,$A605,$B:$B,"&lt;&gt;Patrícia Karla de Sousa Araújo",$B:$B,"&lt;&gt;Lorena Dias de Araujo",$B:$B,"&lt;&gt;Lucas Luiz Romero")*(35/1083),IF(C605="Técnico II",SUMIFS($D:$D,$A:$A,$A605,$B:$B,"&lt;&gt;Patrícia Karla de Sousa Araújo",$B:$B,"&lt;&gt;Lorena Dias de Araujo",$B:$B,"&lt;&gt;Lucas Luiz Romero")*(28/1083),IF(C605="Técnico I",SUMIFS($D:$D,$A:$A,$A605,$B:$B,"&lt;&gt;Patrícia Karla de Sousa Araújo",$B:$B,"&lt;&gt;Lorena Dias de Araujo",$B:$B,"&lt;&gt;Lucas Luiz Romero")*(23/1083),IF(C605="JR",SUMIFS($D:$D,$A:$A,$A605,$B:$B,"&lt;&gt;Patrícia Karla de Sousa Araújo",$B:$B,"&lt;&gt;Lorena Dias de Araujo",$B:$B,"&lt;&gt;Lucas Luiz Romero")*(20/1083),IF(C605="Estágio",SUMIFS($D:$D,$A:$A,$A605,$B:$B,"&lt;&gt;Patrícia Karla de Sousa Araújo",$B:$B,"&lt;&gt;Lorena Dias de Araujo",$B:$B,"&lt;&gt;Lucas Luiz Romero")*(10/1083),0)))))),0)</f>
        <v>23</v>
      </c>
      <c r="K605" s="3">
        <f>I605-J605</f>
        <v>6</v>
      </c>
      <c r="L605" s="3" t="str">
        <f>IF(K605&lt;-5,"CRÍTICO",IF(K605&lt;0,"ATENÇÃO",IF(K605&lt;=5,"OPORTUNO","MUITO BOM")))</f>
        <v>MUITO BOM</v>
      </c>
      <c r="M605" s="3">
        <v>26</v>
      </c>
      <c r="N605" s="3">
        <v>100</v>
      </c>
      <c r="O605" s="3">
        <v>25</v>
      </c>
    </row>
    <row r="606" spans="1:15" hidden="1" x14ac:dyDescent="0.25">
      <c r="A606" s="5">
        <v>46155</v>
      </c>
      <c r="B606" s="6" t="s">
        <v>58</v>
      </c>
      <c r="C606" s="1" t="s">
        <v>48</v>
      </c>
      <c r="D606" s="3">
        <v>24</v>
      </c>
      <c r="E606" s="3">
        <v>22</v>
      </c>
      <c r="F606" s="3">
        <v>21.47</v>
      </c>
      <c r="G606" s="3">
        <v>0</v>
      </c>
      <c r="H606" s="3">
        <v>0</v>
      </c>
      <c r="I606" s="3">
        <f>E606+G606+H606</f>
        <v>22</v>
      </c>
      <c r="J606" s="3">
        <f>ROUND(MIN(IF(C606="Técnico III",35,IF(C606="Técnico II",28,IF(C606="Técnico I",23,IF(C606="JR",20,IF(C606="Estágio",10,0))))),IF(C606="Técnico III",SUMIFS($D:$D,$A:$A,$A606,$B:$B,"&lt;&gt;Patrícia Karla de Sousa Araújo",$B:$B,"&lt;&gt;Lorena Dias de Araujo",$B:$B,"&lt;&gt;Lucas Luiz Romero")*(35/1083),IF(C606="Técnico II",SUMIFS($D:$D,$A:$A,$A606,$B:$B,"&lt;&gt;Patrícia Karla de Sousa Araújo",$B:$B,"&lt;&gt;Lorena Dias de Araujo",$B:$B,"&lt;&gt;Lucas Luiz Romero")*(28/1083),IF(C606="Técnico I",SUMIFS($D:$D,$A:$A,$A606,$B:$B,"&lt;&gt;Patrícia Karla de Sousa Araújo",$B:$B,"&lt;&gt;Lorena Dias de Araujo",$B:$B,"&lt;&gt;Lucas Luiz Romero")*(23/1083),IF(C606="JR",SUMIFS($D:$D,$A:$A,$A606,$B:$B,"&lt;&gt;Patrícia Karla de Sousa Araújo",$B:$B,"&lt;&gt;Lorena Dias de Araujo",$B:$B,"&lt;&gt;Lucas Luiz Romero")*(20/1083),IF(C606="Estágio",SUMIFS($D:$D,$A:$A,$A606,$B:$B,"&lt;&gt;Patrícia Karla de Sousa Araújo",$B:$B,"&lt;&gt;Lorena Dias de Araujo",$B:$B,"&lt;&gt;Lucas Luiz Romero")*(10/1083),0)))))),0)</f>
        <v>23</v>
      </c>
      <c r="K606" s="3">
        <f>I606-J606</f>
        <v>-1</v>
      </c>
      <c r="L606" s="3" t="str">
        <f>IF(K606&lt;-5,"CRÍTICO",IF(K606&lt;0,"ATENÇÃO",IF(K606&lt;=5,"OPORTUNO","MUITO BOM")))</f>
        <v>ATENÇÃO</v>
      </c>
      <c r="M606" s="3">
        <v>18</v>
      </c>
      <c r="N606" s="3">
        <v>100</v>
      </c>
      <c r="O606" s="3">
        <v>20.183486238532112</v>
      </c>
    </row>
    <row r="607" spans="1:15" hidden="1" x14ac:dyDescent="0.25">
      <c r="A607" s="5">
        <v>46155</v>
      </c>
      <c r="B607" s="6" t="s">
        <v>59</v>
      </c>
      <c r="C607" s="1" t="s">
        <v>23</v>
      </c>
      <c r="D607" s="3">
        <v>25</v>
      </c>
      <c r="E607" s="3">
        <v>21</v>
      </c>
      <c r="F607" s="3">
        <v>22.22</v>
      </c>
      <c r="G607" s="3">
        <v>7</v>
      </c>
      <c r="H607" s="3">
        <v>0</v>
      </c>
      <c r="I607" s="3">
        <f>E607+G607+H607</f>
        <v>28</v>
      </c>
      <c r="J607" s="3">
        <f>ROUND(MIN(IF(C607="Técnico III",35,IF(C607="Técnico II",28,IF(C607="Técnico I",23,IF(C607="JR",20,IF(C607="Estágio",10,0))))),IF(C607="Técnico III",SUMIFS($D:$D,$A:$A,$A607,$B:$B,"&lt;&gt;Patrícia Karla de Sousa Araújo",$B:$B,"&lt;&gt;Lorena Dias de Araujo",$B:$B,"&lt;&gt;Lucas Luiz Romero")*(35/1083),IF(C607="Técnico II",SUMIFS($D:$D,$A:$A,$A607,$B:$B,"&lt;&gt;Patrícia Karla de Sousa Araújo",$B:$B,"&lt;&gt;Lorena Dias de Araujo",$B:$B,"&lt;&gt;Lucas Luiz Romero")*(28/1083),IF(C607="Técnico I",SUMIFS($D:$D,$A:$A,$A607,$B:$B,"&lt;&gt;Patrícia Karla de Sousa Araújo",$B:$B,"&lt;&gt;Lorena Dias de Araujo",$B:$B,"&lt;&gt;Lucas Luiz Romero")*(23/1083),IF(C607="JR",SUMIFS($D:$D,$A:$A,$A607,$B:$B,"&lt;&gt;Patrícia Karla de Sousa Araújo",$B:$B,"&lt;&gt;Lorena Dias de Araujo",$B:$B,"&lt;&gt;Lucas Luiz Romero")*(20/1083),IF(C607="Estágio",SUMIFS($D:$D,$A:$A,$A607,$B:$B,"&lt;&gt;Patrícia Karla de Sousa Araújo",$B:$B,"&lt;&gt;Lorena Dias de Araujo",$B:$B,"&lt;&gt;Lucas Luiz Romero")*(10/1083),0)))))),0)</f>
        <v>19</v>
      </c>
      <c r="K607" s="3">
        <f>I607-J607</f>
        <v>9</v>
      </c>
      <c r="L607" s="3" t="str">
        <f>IF(K607&lt;-5,"CRÍTICO",IF(K607&lt;0,"ATENÇÃO",IF(K607&lt;=5,"OPORTUNO","MUITO BOM")))</f>
        <v>MUITO BOM</v>
      </c>
      <c r="M607" s="3">
        <v>26</v>
      </c>
      <c r="N607" s="3">
        <v>96.25</v>
      </c>
      <c r="O607" s="3">
        <v>25.586353944562902</v>
      </c>
    </row>
    <row r="608" spans="1:15" hidden="1" x14ac:dyDescent="0.25">
      <c r="A608" s="5">
        <v>46155</v>
      </c>
      <c r="B608" s="6" t="s">
        <v>60</v>
      </c>
      <c r="C608" s="1" t="s">
        <v>23</v>
      </c>
      <c r="D608" s="3">
        <v>37</v>
      </c>
      <c r="E608" s="3">
        <v>32</v>
      </c>
      <c r="F608" s="3">
        <v>15.32</v>
      </c>
      <c r="G608" s="3">
        <v>3</v>
      </c>
      <c r="H608" s="3">
        <v>0</v>
      </c>
      <c r="I608" s="3">
        <f>E608+G608+H608</f>
        <v>35</v>
      </c>
      <c r="J608" s="3">
        <f>ROUND(MIN(IF(C608="Técnico III",35,IF(C608="Técnico II",28,IF(C608="Técnico I",23,IF(C608="JR",20,IF(C608="Estágio",10,0))))),IF(C608="Técnico III",SUMIFS($D:$D,$A:$A,$A608,$B:$B,"&lt;&gt;Patrícia Karla de Sousa Araújo",$B:$B,"&lt;&gt;Lorena Dias de Araujo",$B:$B,"&lt;&gt;Lucas Luiz Romero")*(35/1083),IF(C608="Técnico II",SUMIFS($D:$D,$A:$A,$A608,$B:$B,"&lt;&gt;Patrícia Karla de Sousa Araújo",$B:$B,"&lt;&gt;Lorena Dias de Araujo",$B:$B,"&lt;&gt;Lucas Luiz Romero")*(28/1083),IF(C608="Técnico I",SUMIFS($D:$D,$A:$A,$A608,$B:$B,"&lt;&gt;Patrícia Karla de Sousa Araújo",$B:$B,"&lt;&gt;Lorena Dias de Araujo",$B:$B,"&lt;&gt;Lucas Luiz Romero")*(23/1083),IF(C608="JR",SUMIFS($D:$D,$A:$A,$A608,$B:$B,"&lt;&gt;Patrícia Karla de Sousa Araújo",$B:$B,"&lt;&gt;Lorena Dias de Araujo",$B:$B,"&lt;&gt;Lucas Luiz Romero")*(20/1083),IF(C608="Estágio",SUMIFS($D:$D,$A:$A,$A608,$B:$B,"&lt;&gt;Patrícia Karla de Sousa Araújo",$B:$B,"&lt;&gt;Lorena Dias de Araujo",$B:$B,"&lt;&gt;Lucas Luiz Romero")*(10/1083),0)))))),0)</f>
        <v>19</v>
      </c>
      <c r="K608" s="3">
        <f>I608-J608</f>
        <v>16</v>
      </c>
      <c r="L608" s="3" t="str">
        <f>IF(K608&lt;-5,"CRÍTICO",IF(K608&lt;0,"ATENÇÃO",IF(K608&lt;=5,"OPORTUNO","MUITO BOM")))</f>
        <v>MUITO BOM</v>
      </c>
      <c r="M608" s="3">
        <v>26</v>
      </c>
      <c r="N608" s="3">
        <v>97.48</v>
      </c>
      <c r="O608" s="3">
        <v>22.99465240641711</v>
      </c>
    </row>
    <row r="609" spans="1:15" hidden="1" x14ac:dyDescent="0.25">
      <c r="A609" s="5">
        <v>46155</v>
      </c>
      <c r="B609" s="6" t="s">
        <v>61</v>
      </c>
      <c r="C609" s="1" t="s">
        <v>23</v>
      </c>
      <c r="D609" s="3">
        <v>17</v>
      </c>
      <c r="E609" s="3">
        <v>16</v>
      </c>
      <c r="F609" s="3">
        <v>21.54</v>
      </c>
      <c r="G609" s="3">
        <v>5</v>
      </c>
      <c r="H609" s="3">
        <v>0</v>
      </c>
      <c r="I609" s="3">
        <f>E609+G609+H609</f>
        <v>21</v>
      </c>
      <c r="J609" s="3">
        <f>ROUND(MIN(IF(C609="Técnico III",35,IF(C609="Técnico II",28,IF(C609="Técnico I",23,IF(C609="JR",20,IF(C609="Estágio",10,0))))),IF(C609="Técnico III",SUMIFS($D:$D,$A:$A,$A609,$B:$B,"&lt;&gt;Patrícia Karla de Sousa Araújo",$B:$B,"&lt;&gt;Lorena Dias de Araujo",$B:$B,"&lt;&gt;Lucas Luiz Romero")*(35/1083),IF(C609="Técnico II",SUMIFS($D:$D,$A:$A,$A609,$B:$B,"&lt;&gt;Patrícia Karla de Sousa Araújo",$B:$B,"&lt;&gt;Lorena Dias de Araujo",$B:$B,"&lt;&gt;Lucas Luiz Romero")*(28/1083),IF(C609="Técnico I",SUMIFS($D:$D,$A:$A,$A609,$B:$B,"&lt;&gt;Patrícia Karla de Sousa Araújo",$B:$B,"&lt;&gt;Lorena Dias de Araujo",$B:$B,"&lt;&gt;Lucas Luiz Romero")*(23/1083),IF(C609="JR",SUMIFS($D:$D,$A:$A,$A609,$B:$B,"&lt;&gt;Patrícia Karla de Sousa Araújo",$B:$B,"&lt;&gt;Lorena Dias de Araujo",$B:$B,"&lt;&gt;Lucas Luiz Romero")*(20/1083),IF(C609="Estágio",SUMIFS($D:$D,$A:$A,$A609,$B:$B,"&lt;&gt;Patrícia Karla de Sousa Araújo",$B:$B,"&lt;&gt;Lorena Dias de Araujo",$B:$B,"&lt;&gt;Lucas Luiz Romero")*(10/1083),0)))))),0)</f>
        <v>19</v>
      </c>
      <c r="K609" s="3">
        <f>I609-J609</f>
        <v>2</v>
      </c>
      <c r="L609" s="3" t="str">
        <f>IF(K609&lt;-5,"CRÍTICO",IF(K609&lt;0,"ATENÇÃO",IF(K609&lt;=5,"OPORTUNO","MUITO BOM")))</f>
        <v>OPORTUNO</v>
      </c>
      <c r="M609" s="3">
        <v>19</v>
      </c>
      <c r="N609" s="3">
        <v>100</v>
      </c>
      <c r="O609" s="3">
        <v>20.788530465949819</v>
      </c>
    </row>
    <row r="610" spans="1:15" hidden="1" x14ac:dyDescent="0.25">
      <c r="A610" s="5">
        <v>46155</v>
      </c>
      <c r="B610" s="6" t="s">
        <v>62</v>
      </c>
      <c r="C610" s="1" t="s">
        <v>23</v>
      </c>
      <c r="D610" s="3">
        <v>24</v>
      </c>
      <c r="E610" s="3">
        <v>22</v>
      </c>
      <c r="F610" s="3">
        <v>20.170000000000002</v>
      </c>
      <c r="G610" s="3">
        <v>1</v>
      </c>
      <c r="H610" s="3">
        <v>0</v>
      </c>
      <c r="I610" s="3">
        <f>E610+G610+H610</f>
        <v>23</v>
      </c>
      <c r="J610" s="3">
        <f>ROUND(MIN(IF(C610="Técnico III",35,IF(C610="Técnico II",28,IF(C610="Técnico I",23,IF(C610="JR",20,IF(C610="Estágio",10,0))))),IF(C610="Técnico III",SUMIFS($D:$D,$A:$A,$A610,$B:$B,"&lt;&gt;Patrícia Karla de Sousa Araújo",$B:$B,"&lt;&gt;Lorena Dias de Araujo",$B:$B,"&lt;&gt;Lucas Luiz Romero")*(35/1083),IF(C610="Técnico II",SUMIFS($D:$D,$A:$A,$A610,$B:$B,"&lt;&gt;Patrícia Karla de Sousa Araújo",$B:$B,"&lt;&gt;Lorena Dias de Araujo",$B:$B,"&lt;&gt;Lucas Luiz Romero")*(28/1083),IF(C610="Técnico I",SUMIFS($D:$D,$A:$A,$A610,$B:$B,"&lt;&gt;Patrícia Karla de Sousa Araújo",$B:$B,"&lt;&gt;Lorena Dias de Araujo",$B:$B,"&lt;&gt;Lucas Luiz Romero")*(23/1083),IF(C610="JR",SUMIFS($D:$D,$A:$A,$A610,$B:$B,"&lt;&gt;Patrícia Karla de Sousa Araújo",$B:$B,"&lt;&gt;Lorena Dias de Araujo",$B:$B,"&lt;&gt;Lucas Luiz Romero")*(20/1083),IF(C610="Estágio",SUMIFS($D:$D,$A:$A,$A610,$B:$B,"&lt;&gt;Patrícia Karla de Sousa Araújo",$B:$B,"&lt;&gt;Lorena Dias de Araujo",$B:$B,"&lt;&gt;Lucas Luiz Romero")*(10/1083),0)))))),0)</f>
        <v>19</v>
      </c>
      <c r="K610" s="3">
        <f>I610-J610</f>
        <v>4</v>
      </c>
      <c r="L610" s="3" t="str">
        <f>IF(K610&lt;-5,"CRÍTICO",IF(K610&lt;0,"ATENÇÃO",IF(K610&lt;=5,"OPORTUNO","MUITO BOM")))</f>
        <v>OPORTUNO</v>
      </c>
      <c r="M610" s="3">
        <v>22</v>
      </c>
      <c r="N610" s="3">
        <v>94.55</v>
      </c>
      <c r="O610" s="3">
        <v>23.450134770889491</v>
      </c>
    </row>
    <row r="611" spans="1:15" hidden="1" x14ac:dyDescent="0.25">
      <c r="A611" s="5">
        <v>46155</v>
      </c>
      <c r="B611" s="6" t="s">
        <v>63</v>
      </c>
      <c r="C611" s="1" t="s">
        <v>23</v>
      </c>
      <c r="D611" s="3">
        <v>33</v>
      </c>
      <c r="E611" s="3">
        <v>31</v>
      </c>
      <c r="F611" s="3">
        <v>13.48</v>
      </c>
      <c r="G611" s="3">
        <v>7</v>
      </c>
      <c r="H611" s="3">
        <v>0</v>
      </c>
      <c r="I611" s="3">
        <f>E611+G611+H611</f>
        <v>38</v>
      </c>
      <c r="J611" s="3">
        <f>ROUND(MIN(IF(C611="Técnico III",35,IF(C611="Técnico II",28,IF(C611="Técnico I",23,IF(C611="JR",20,IF(C611="Estágio",10,0))))),IF(C611="Técnico III",SUMIFS($D:$D,$A:$A,$A611,$B:$B,"&lt;&gt;Patrícia Karla de Sousa Araújo",$B:$B,"&lt;&gt;Lorena Dias de Araujo",$B:$B,"&lt;&gt;Lucas Luiz Romero")*(35/1083),IF(C611="Técnico II",SUMIFS($D:$D,$A:$A,$A611,$B:$B,"&lt;&gt;Patrícia Karla de Sousa Araújo",$B:$B,"&lt;&gt;Lorena Dias de Araujo",$B:$B,"&lt;&gt;Lucas Luiz Romero")*(28/1083),IF(C611="Técnico I",SUMIFS($D:$D,$A:$A,$A611,$B:$B,"&lt;&gt;Patrícia Karla de Sousa Araújo",$B:$B,"&lt;&gt;Lorena Dias de Araujo",$B:$B,"&lt;&gt;Lucas Luiz Romero")*(23/1083),IF(C611="JR",SUMIFS($D:$D,$A:$A,$A611,$B:$B,"&lt;&gt;Patrícia Karla de Sousa Araújo",$B:$B,"&lt;&gt;Lorena Dias de Araujo",$B:$B,"&lt;&gt;Lucas Luiz Romero")*(20/1083),IF(C611="Estágio",SUMIFS($D:$D,$A:$A,$A611,$B:$B,"&lt;&gt;Patrícia Karla de Sousa Araújo",$B:$B,"&lt;&gt;Lorena Dias de Araujo",$B:$B,"&lt;&gt;Lucas Luiz Romero")*(10/1083),0)))))),0)</f>
        <v>19</v>
      </c>
      <c r="K611" s="3">
        <f>I611-J611</f>
        <v>19</v>
      </c>
      <c r="L611" s="3" t="str">
        <f>IF(K611&lt;-5,"CRÍTICO",IF(K611&lt;0,"ATENÇÃO",IF(K611&lt;=5,"OPORTUNO","MUITO BOM")))</f>
        <v>MUITO BOM</v>
      </c>
      <c r="M611" s="3">
        <v>31</v>
      </c>
      <c r="N611" s="3">
        <v>98</v>
      </c>
      <c r="O611" s="3">
        <v>20.73490813648294</v>
      </c>
    </row>
    <row r="612" spans="1:15" hidden="1" x14ac:dyDescent="0.25">
      <c r="A612" s="5">
        <v>46155</v>
      </c>
      <c r="B612" s="6" t="s">
        <v>64</v>
      </c>
      <c r="C612" s="1" t="s">
        <v>23</v>
      </c>
      <c r="D612" s="3">
        <v>11</v>
      </c>
      <c r="E612" s="3">
        <v>10</v>
      </c>
      <c r="F612" s="3">
        <v>33.26</v>
      </c>
      <c r="G612" s="3">
        <v>5</v>
      </c>
      <c r="H612" s="3">
        <v>0</v>
      </c>
      <c r="I612" s="3">
        <f>E612+G612+H612</f>
        <v>15</v>
      </c>
      <c r="J612" s="3">
        <f>ROUND(MIN(IF(C612="Técnico III",35,IF(C612="Técnico II",28,IF(C612="Técnico I",23,IF(C612="JR",20,IF(C612="Estágio",10,0))))),IF(C612="Técnico III",SUMIFS($D:$D,$A:$A,$A612,$B:$B,"&lt;&gt;Patrícia Karla de Sousa Araújo",$B:$B,"&lt;&gt;Lorena Dias de Araujo",$B:$B,"&lt;&gt;Lucas Luiz Romero")*(35/1083),IF(C612="Técnico II",SUMIFS($D:$D,$A:$A,$A612,$B:$B,"&lt;&gt;Patrícia Karla de Sousa Araújo",$B:$B,"&lt;&gt;Lorena Dias de Araujo",$B:$B,"&lt;&gt;Lucas Luiz Romero")*(28/1083),IF(C612="Técnico I",SUMIFS($D:$D,$A:$A,$A612,$B:$B,"&lt;&gt;Patrícia Karla de Sousa Araújo",$B:$B,"&lt;&gt;Lorena Dias de Araujo",$B:$B,"&lt;&gt;Lucas Luiz Romero")*(23/1083),IF(C612="JR",SUMIFS($D:$D,$A:$A,$A612,$B:$B,"&lt;&gt;Patrícia Karla de Sousa Araújo",$B:$B,"&lt;&gt;Lorena Dias de Araujo",$B:$B,"&lt;&gt;Lucas Luiz Romero")*(20/1083),IF(C612="Estágio",SUMIFS($D:$D,$A:$A,$A612,$B:$B,"&lt;&gt;Patrícia Karla de Sousa Araújo",$B:$B,"&lt;&gt;Lorena Dias de Araujo",$B:$B,"&lt;&gt;Lucas Luiz Romero")*(10/1083),0)))))),0)</f>
        <v>19</v>
      </c>
      <c r="K612" s="3">
        <f>I612-J612</f>
        <v>-4</v>
      </c>
      <c r="L612" s="3" t="str">
        <f>IF(K612&lt;-5,"CRÍTICO",IF(K612&lt;0,"ATENÇÃO",IF(K612&lt;=5,"OPORTUNO","MUITO BOM")))</f>
        <v>ATENÇÃO</v>
      </c>
      <c r="M612" s="3">
        <v>16</v>
      </c>
      <c r="N612" s="3">
        <v>100</v>
      </c>
      <c r="O612" s="3">
        <v>18</v>
      </c>
    </row>
    <row r="613" spans="1:15" hidden="1" x14ac:dyDescent="0.25">
      <c r="A613" s="5">
        <v>46155</v>
      </c>
      <c r="B613" s="6" t="s">
        <v>22</v>
      </c>
      <c r="C613" s="1" t="s">
        <v>23</v>
      </c>
      <c r="D613" s="3">
        <v>20</v>
      </c>
      <c r="E613" s="3">
        <v>16</v>
      </c>
      <c r="F613" s="3">
        <v>23.26</v>
      </c>
      <c r="G613" s="3">
        <v>11</v>
      </c>
      <c r="H613" s="3">
        <v>7</v>
      </c>
      <c r="I613" s="3">
        <f>E613+G613+H613</f>
        <v>34</v>
      </c>
      <c r="J613" s="3">
        <f>ROUND(MIN(IF(C613="Técnico III",35,IF(C613="Técnico II",28,IF(C613="Técnico I",23,IF(C613="JR",20,IF(C613="Estágio",10,0))))),IF(C613="Técnico III",SUMIFS($D:$D,$A:$A,$A613,$B:$B,"&lt;&gt;Patrícia Karla de Sousa Araújo",$B:$B,"&lt;&gt;Lorena Dias de Araujo",$B:$B,"&lt;&gt;Lucas Luiz Romero")*(35/1083),IF(C613="Técnico II",SUMIFS($D:$D,$A:$A,$A613,$B:$B,"&lt;&gt;Patrícia Karla de Sousa Araújo",$B:$B,"&lt;&gt;Lorena Dias de Araujo",$B:$B,"&lt;&gt;Lucas Luiz Romero")*(28/1083),IF(C613="Técnico I",SUMIFS($D:$D,$A:$A,$A613,$B:$B,"&lt;&gt;Patrícia Karla de Sousa Araújo",$B:$B,"&lt;&gt;Lorena Dias de Araujo",$B:$B,"&lt;&gt;Lucas Luiz Romero")*(23/1083),IF(C613="JR",SUMIFS($D:$D,$A:$A,$A613,$B:$B,"&lt;&gt;Patrícia Karla de Sousa Araújo",$B:$B,"&lt;&gt;Lorena Dias de Araujo",$B:$B,"&lt;&gt;Lucas Luiz Romero")*(20/1083),IF(C613="Estágio",SUMIFS($D:$D,$A:$A,$A613,$B:$B,"&lt;&gt;Patrícia Karla de Sousa Araújo",$B:$B,"&lt;&gt;Lorena Dias de Araujo",$B:$B,"&lt;&gt;Lucas Luiz Romero")*(10/1083),0)))))),0)</f>
        <v>19</v>
      </c>
      <c r="K613" s="3">
        <f>I613-J613</f>
        <v>15</v>
      </c>
      <c r="L613" s="3" t="str">
        <f>IF(K613&lt;-5,"CRÍTICO",IF(K613&lt;0,"ATENÇÃO",IF(K613&lt;=5,"OPORTUNO","MUITO BOM")))</f>
        <v>MUITO BOM</v>
      </c>
      <c r="M613" s="3">
        <v>18</v>
      </c>
      <c r="N613" s="3">
        <v>99.06</v>
      </c>
      <c r="O613" s="3">
        <v>19.417475728155338</v>
      </c>
    </row>
    <row r="614" spans="1:15" hidden="1" x14ac:dyDescent="0.25">
      <c r="A614" s="5">
        <v>46156</v>
      </c>
      <c r="B614" s="6" t="s">
        <v>31</v>
      </c>
      <c r="C614" s="1" t="s">
        <v>32</v>
      </c>
      <c r="D614" s="3">
        <v>0</v>
      </c>
      <c r="E614" s="3">
        <v>0</v>
      </c>
      <c r="F614" s="3">
        <v>0</v>
      </c>
      <c r="G614" s="3">
        <v>0</v>
      </c>
      <c r="H614" s="3">
        <v>0</v>
      </c>
      <c r="I614" s="3">
        <f>E614+G614+H614</f>
        <v>0</v>
      </c>
      <c r="J614" s="3">
        <f>ROUND(MIN(IF(C614="Técnico III",35,IF(C614="Técnico II",28,IF(C614="Técnico I",23,IF(C614="JR",20,IF(C614="Estágio",10,0))))),IF(C614="Técnico III",SUMIFS($D:$D,$A:$A,$A614,$B:$B,"&lt;&gt;Patrícia Karla de Sousa Araújo",$B:$B,"&lt;&gt;Lorena Dias de Araujo",$B:$B,"&lt;&gt;Lucas Luiz Romero")*(35/1083),IF(C614="Técnico II",SUMIFS($D:$D,$A:$A,$A614,$B:$B,"&lt;&gt;Patrícia Karla de Sousa Araújo",$B:$B,"&lt;&gt;Lorena Dias de Araujo",$B:$B,"&lt;&gt;Lucas Luiz Romero")*(28/1083),IF(C614="Técnico I",SUMIFS($D:$D,$A:$A,$A614,$B:$B,"&lt;&gt;Patrícia Karla de Sousa Araújo",$B:$B,"&lt;&gt;Lorena Dias de Araujo",$B:$B,"&lt;&gt;Lucas Luiz Romero")*(23/1083),IF(C614="JR",SUMIFS($D:$D,$A:$A,$A614,$B:$B,"&lt;&gt;Patrícia Karla de Sousa Araújo",$B:$B,"&lt;&gt;Lorena Dias de Araujo",$B:$B,"&lt;&gt;Lucas Luiz Romero")*(20/1083),IF(C614="Estágio",SUMIFS($D:$D,$A:$A,$A614,$B:$B,"&lt;&gt;Patrícia Karla de Sousa Araújo",$B:$B,"&lt;&gt;Lorena Dias de Araujo",$B:$B,"&lt;&gt;Lucas Luiz Romero")*(10/1083),0)))))),0)</f>
        <v>28</v>
      </c>
      <c r="K614" s="3">
        <f>I614-J614</f>
        <v>-28</v>
      </c>
      <c r="L614" s="3" t="str">
        <f>IF(K614&lt;-5,"CRÍTICO",IF(K614&lt;0,"ATENÇÃO",IF(K614&lt;=5,"OPORTUNO","MUITO BOM")))</f>
        <v>CRÍTICO</v>
      </c>
      <c r="M614" s="3">
        <v>0</v>
      </c>
      <c r="N614" s="3">
        <v>100</v>
      </c>
      <c r="O614" s="3">
        <v>0</v>
      </c>
    </row>
    <row r="615" spans="1:15" hidden="1" x14ac:dyDescent="0.25">
      <c r="A615" s="5">
        <v>46156</v>
      </c>
      <c r="B615" s="6" t="s">
        <v>33</v>
      </c>
      <c r="C615" s="14" t="s">
        <v>32</v>
      </c>
      <c r="D615" s="3">
        <v>25</v>
      </c>
      <c r="E615" s="3">
        <v>25</v>
      </c>
      <c r="F615" s="3">
        <v>17.34</v>
      </c>
      <c r="G615" s="3">
        <v>5</v>
      </c>
      <c r="H615" s="3">
        <v>0</v>
      </c>
      <c r="I615" s="3">
        <f>E615+G615+H615</f>
        <v>30</v>
      </c>
      <c r="J615" s="3">
        <f>ROUND(MIN(IF(C615="Técnico III",35,IF(C615="Técnico II",28,IF(C615="Técnico I",23,IF(C615="JR",20,IF(C615="Estágio",10,0))))),IF(C615="Técnico III",SUMIFS($D:$D,$A:$A,$A615,$B:$B,"&lt;&gt;Patrícia Karla de Sousa Araújo",$B:$B,"&lt;&gt;Lorena Dias de Araujo",$B:$B,"&lt;&gt;Lucas Luiz Romero")*(35/1083),IF(C615="Técnico II",SUMIFS($D:$D,$A:$A,$A615,$B:$B,"&lt;&gt;Patrícia Karla de Sousa Araújo",$B:$B,"&lt;&gt;Lorena Dias de Araujo",$B:$B,"&lt;&gt;Lucas Luiz Romero")*(28/1083),IF(C615="Técnico I",SUMIFS($D:$D,$A:$A,$A615,$B:$B,"&lt;&gt;Patrícia Karla de Sousa Araújo",$B:$B,"&lt;&gt;Lorena Dias de Araujo",$B:$B,"&lt;&gt;Lucas Luiz Romero")*(23/1083),IF(C615="JR",SUMIFS($D:$D,$A:$A,$A615,$B:$B,"&lt;&gt;Patrícia Karla de Sousa Araújo",$B:$B,"&lt;&gt;Lorena Dias de Araujo",$B:$B,"&lt;&gt;Lucas Luiz Romero")*(20/1083),IF(C615="Estágio",SUMIFS($D:$D,$A:$A,$A615,$B:$B,"&lt;&gt;Patrícia Karla de Sousa Araújo",$B:$B,"&lt;&gt;Lorena Dias de Araujo",$B:$B,"&lt;&gt;Lucas Luiz Romero")*(10/1083),0)))))),0)</f>
        <v>28</v>
      </c>
      <c r="K615" s="3">
        <f>I615-J615</f>
        <v>2</v>
      </c>
      <c r="L615" s="3" t="str">
        <f>IF(K615&lt;-5,"CRÍTICO",IF(K615&lt;0,"ATENÇÃO",IF(K615&lt;=5,"OPORTUNO","MUITO BOM")))</f>
        <v>OPORTUNO</v>
      </c>
      <c r="M615" s="3">
        <v>27</v>
      </c>
      <c r="N615" s="3">
        <v>96.94</v>
      </c>
      <c r="O615" s="3">
        <v>19.613259668508292</v>
      </c>
    </row>
    <row r="616" spans="1:15" hidden="1" x14ac:dyDescent="0.25">
      <c r="A616" s="5">
        <v>46156</v>
      </c>
      <c r="B616" s="6" t="s">
        <v>34</v>
      </c>
      <c r="C616" s="1" t="s">
        <v>32</v>
      </c>
      <c r="D616" s="3">
        <v>22</v>
      </c>
      <c r="E616" s="3">
        <v>18</v>
      </c>
      <c r="F616" s="3">
        <v>11.42</v>
      </c>
      <c r="G616" s="3">
        <v>0</v>
      </c>
      <c r="H616" s="3">
        <v>0</v>
      </c>
      <c r="I616" s="3">
        <f>E616+G616+H616</f>
        <v>18</v>
      </c>
      <c r="J616" s="3">
        <f>ROUND(MIN(IF(C616="Técnico III",35,IF(C616="Técnico II",28,IF(C616="Técnico I",23,IF(C616="JR",20,IF(C616="Estágio",10,0))))),IF(C616="Técnico III",SUMIFS($D:$D,$A:$A,$A616,$B:$B,"&lt;&gt;Patrícia Karla de Sousa Araújo",$B:$B,"&lt;&gt;Lorena Dias de Araujo",$B:$B,"&lt;&gt;Lucas Luiz Romero")*(35/1083),IF(C616="Técnico II",SUMIFS($D:$D,$A:$A,$A616,$B:$B,"&lt;&gt;Patrícia Karla de Sousa Araújo",$B:$B,"&lt;&gt;Lorena Dias de Araujo",$B:$B,"&lt;&gt;Lucas Luiz Romero")*(28/1083),IF(C616="Técnico I",SUMIFS($D:$D,$A:$A,$A616,$B:$B,"&lt;&gt;Patrícia Karla de Sousa Araújo",$B:$B,"&lt;&gt;Lorena Dias de Araujo",$B:$B,"&lt;&gt;Lucas Luiz Romero")*(23/1083),IF(C616="JR",SUMIFS($D:$D,$A:$A,$A616,$B:$B,"&lt;&gt;Patrícia Karla de Sousa Araújo",$B:$B,"&lt;&gt;Lorena Dias de Araujo",$B:$B,"&lt;&gt;Lucas Luiz Romero")*(20/1083),IF(C616="Estágio",SUMIFS($D:$D,$A:$A,$A616,$B:$B,"&lt;&gt;Patrícia Karla de Sousa Araújo",$B:$B,"&lt;&gt;Lorena Dias de Araujo",$B:$B,"&lt;&gt;Lucas Luiz Romero")*(10/1083),0)))))),0)</f>
        <v>28</v>
      </c>
      <c r="K616" s="3">
        <f>I616-J616</f>
        <v>-10</v>
      </c>
      <c r="L616" s="3" t="str">
        <f>IF(K616&lt;-5,"CRÍTICO",IF(K616&lt;0,"ATENÇÃO",IF(K616&lt;=5,"OPORTUNO","MUITO BOM")))</f>
        <v>CRÍTICO</v>
      </c>
      <c r="M616" s="3">
        <v>14</v>
      </c>
      <c r="N616" s="3">
        <v>92.81</v>
      </c>
      <c r="O616" s="3">
        <v>25.477707006369432</v>
      </c>
    </row>
    <row r="617" spans="1:15" hidden="1" x14ac:dyDescent="0.25">
      <c r="A617" s="5">
        <v>46156</v>
      </c>
      <c r="B617" s="6" t="s">
        <v>35</v>
      </c>
      <c r="C617" s="14" t="s">
        <v>32</v>
      </c>
      <c r="D617" s="3">
        <v>22</v>
      </c>
      <c r="E617" s="3">
        <v>21</v>
      </c>
      <c r="F617" s="3">
        <v>22.3</v>
      </c>
      <c r="G617" s="3">
        <v>0</v>
      </c>
      <c r="H617" s="3">
        <v>0</v>
      </c>
      <c r="I617" s="3">
        <f>E617+G617+H617</f>
        <v>21</v>
      </c>
      <c r="J617" s="3">
        <f>ROUND(MIN(IF(C617="Técnico III",35,IF(C617="Técnico II",28,IF(C617="Técnico I",23,IF(C617="JR",20,IF(C617="Estágio",10,0))))),IF(C617="Técnico III",SUMIFS($D:$D,$A:$A,$A617,$B:$B,"&lt;&gt;Patrícia Karla de Sousa Araújo",$B:$B,"&lt;&gt;Lorena Dias de Araujo",$B:$B,"&lt;&gt;Lucas Luiz Romero")*(35/1083),IF(C617="Técnico II",SUMIFS($D:$D,$A:$A,$A617,$B:$B,"&lt;&gt;Patrícia Karla de Sousa Araújo",$B:$B,"&lt;&gt;Lorena Dias de Araujo",$B:$B,"&lt;&gt;Lucas Luiz Romero")*(28/1083),IF(C617="Técnico I",SUMIFS($D:$D,$A:$A,$A617,$B:$B,"&lt;&gt;Patrícia Karla de Sousa Araújo",$B:$B,"&lt;&gt;Lorena Dias de Araujo",$B:$B,"&lt;&gt;Lucas Luiz Romero")*(23/1083),IF(C617="JR",SUMIFS($D:$D,$A:$A,$A617,$B:$B,"&lt;&gt;Patrícia Karla de Sousa Araújo",$B:$B,"&lt;&gt;Lorena Dias de Araujo",$B:$B,"&lt;&gt;Lucas Luiz Romero")*(20/1083),IF(C617="Estágio",SUMIFS($D:$D,$A:$A,$A617,$B:$B,"&lt;&gt;Patrícia Karla de Sousa Araújo",$B:$B,"&lt;&gt;Lorena Dias de Araujo",$B:$B,"&lt;&gt;Lucas Luiz Romero")*(10/1083),0)))))),0)</f>
        <v>28</v>
      </c>
      <c r="K617" s="3">
        <f>I617-J617</f>
        <v>-7</v>
      </c>
      <c r="L617" s="3" t="str">
        <f>IF(K617&lt;-5,"CRÍTICO",IF(K617&lt;0,"ATENÇÃO",IF(K617&lt;=5,"OPORTUNO","MUITO BOM")))</f>
        <v>CRÍTICO</v>
      </c>
      <c r="M617" s="3">
        <v>26</v>
      </c>
      <c r="N617" s="3">
        <v>99.19</v>
      </c>
      <c r="O617" s="3">
        <v>28.404669260700391</v>
      </c>
    </row>
    <row r="618" spans="1:15" hidden="1" x14ac:dyDescent="0.25">
      <c r="A618" s="5">
        <v>46156</v>
      </c>
      <c r="B618" s="6" t="s">
        <v>36</v>
      </c>
      <c r="C618" s="14" t="s">
        <v>32</v>
      </c>
      <c r="D618" s="3">
        <v>0</v>
      </c>
      <c r="E618" s="3">
        <v>0</v>
      </c>
      <c r="F618" s="3">
        <v>0</v>
      </c>
      <c r="G618" s="3">
        <v>0</v>
      </c>
      <c r="H618" s="3">
        <v>0</v>
      </c>
      <c r="I618" s="3">
        <f>E618+G618+H618</f>
        <v>0</v>
      </c>
      <c r="J618" s="3">
        <f>ROUND(MIN(IF(C618="Técnico III",35,IF(C618="Técnico II",28,IF(C618="Técnico I",23,IF(C618="JR",20,IF(C618="Estágio",10,0))))),IF(C618="Técnico III",SUMIFS($D:$D,$A:$A,$A618,$B:$B,"&lt;&gt;Patrícia Karla de Sousa Araújo",$B:$B,"&lt;&gt;Lorena Dias de Araujo",$B:$B,"&lt;&gt;Lucas Luiz Romero")*(35/1083),IF(C618="Técnico II",SUMIFS($D:$D,$A:$A,$A618,$B:$B,"&lt;&gt;Patrícia Karla de Sousa Araújo",$B:$B,"&lt;&gt;Lorena Dias de Araujo",$B:$B,"&lt;&gt;Lucas Luiz Romero")*(28/1083),IF(C618="Técnico I",SUMIFS($D:$D,$A:$A,$A618,$B:$B,"&lt;&gt;Patrícia Karla de Sousa Araújo",$B:$B,"&lt;&gt;Lorena Dias de Araujo",$B:$B,"&lt;&gt;Lucas Luiz Romero")*(23/1083),IF(C618="JR",SUMIFS($D:$D,$A:$A,$A618,$B:$B,"&lt;&gt;Patrícia Karla de Sousa Araújo",$B:$B,"&lt;&gt;Lorena Dias de Araujo",$B:$B,"&lt;&gt;Lucas Luiz Romero")*(20/1083),IF(C618="Estágio",SUMIFS($D:$D,$A:$A,$A618,$B:$B,"&lt;&gt;Patrícia Karla de Sousa Araújo",$B:$B,"&lt;&gt;Lorena Dias de Araujo",$B:$B,"&lt;&gt;Lucas Luiz Romero")*(10/1083),0)))))),0)</f>
        <v>28</v>
      </c>
      <c r="K618" s="3">
        <f>I618-J618</f>
        <v>-28</v>
      </c>
      <c r="L618" s="3" t="str">
        <f>IF(K618&lt;-5,"CRÍTICO",IF(K618&lt;0,"ATENÇÃO",IF(K618&lt;=5,"OPORTUNO","MUITO BOM")))</f>
        <v>CRÍTICO</v>
      </c>
      <c r="M618" s="3">
        <v>0</v>
      </c>
      <c r="N618" s="3">
        <v>100</v>
      </c>
      <c r="O618" s="3">
        <v>13.51351351351351</v>
      </c>
    </row>
    <row r="619" spans="1:15" hidden="1" x14ac:dyDescent="0.25">
      <c r="A619" s="5">
        <v>46156</v>
      </c>
      <c r="B619" s="6" t="s">
        <v>37</v>
      </c>
      <c r="C619" s="1" t="s">
        <v>32</v>
      </c>
      <c r="D619" s="3">
        <v>35</v>
      </c>
      <c r="E619" s="3">
        <v>34</v>
      </c>
      <c r="F619" s="3">
        <v>13.41</v>
      </c>
      <c r="G619" s="3">
        <v>6</v>
      </c>
      <c r="H619" s="3">
        <v>0</v>
      </c>
      <c r="I619" s="3">
        <f>E619+G619+H619</f>
        <v>40</v>
      </c>
      <c r="J619" s="3">
        <f>ROUND(MIN(IF(C619="Técnico III",35,IF(C619="Técnico II",28,IF(C619="Técnico I",23,IF(C619="JR",20,IF(C619="Estágio",10,0))))),IF(C619="Técnico III",SUMIFS($D:$D,$A:$A,$A619,$B:$B,"&lt;&gt;Patrícia Karla de Sousa Araújo",$B:$B,"&lt;&gt;Lorena Dias de Araujo",$B:$B,"&lt;&gt;Lucas Luiz Romero")*(35/1083),IF(C619="Técnico II",SUMIFS($D:$D,$A:$A,$A619,$B:$B,"&lt;&gt;Patrícia Karla de Sousa Araújo",$B:$B,"&lt;&gt;Lorena Dias de Araujo",$B:$B,"&lt;&gt;Lucas Luiz Romero")*(28/1083),IF(C619="Técnico I",SUMIFS($D:$D,$A:$A,$A619,$B:$B,"&lt;&gt;Patrícia Karla de Sousa Araújo",$B:$B,"&lt;&gt;Lorena Dias de Araujo",$B:$B,"&lt;&gt;Lucas Luiz Romero")*(23/1083),IF(C619="JR",SUMIFS($D:$D,$A:$A,$A619,$B:$B,"&lt;&gt;Patrícia Karla de Sousa Araújo",$B:$B,"&lt;&gt;Lorena Dias de Araujo",$B:$B,"&lt;&gt;Lucas Luiz Romero")*(20/1083),IF(C619="Estágio",SUMIFS($D:$D,$A:$A,$A619,$B:$B,"&lt;&gt;Patrícia Karla de Sousa Araújo",$B:$B,"&lt;&gt;Lorena Dias de Araujo",$B:$B,"&lt;&gt;Lucas Luiz Romero")*(10/1083),0)))))),0)</f>
        <v>28</v>
      </c>
      <c r="K619" s="3">
        <f>I619-J619</f>
        <v>12</v>
      </c>
      <c r="L619" s="3" t="str">
        <f>IF(K619&lt;-5,"CRÍTICO",IF(K619&lt;0,"ATENÇÃO",IF(K619&lt;=5,"OPORTUNO","MUITO BOM")))</f>
        <v>MUITO BOM</v>
      </c>
      <c r="M619" s="3">
        <v>38</v>
      </c>
      <c r="N619" s="3">
        <v>99</v>
      </c>
      <c r="O619" s="3">
        <v>22.27414330218069</v>
      </c>
    </row>
    <row r="620" spans="1:15" hidden="1" x14ac:dyDescent="0.25">
      <c r="A620" s="5">
        <v>46156</v>
      </c>
      <c r="B620" s="6" t="s">
        <v>38</v>
      </c>
      <c r="C620" s="1" t="s">
        <v>32</v>
      </c>
      <c r="D620" s="3">
        <v>42</v>
      </c>
      <c r="E620" s="3">
        <v>40</v>
      </c>
      <c r="F620" s="3">
        <v>10.52</v>
      </c>
      <c r="G620" s="3">
        <v>8</v>
      </c>
      <c r="H620" s="3">
        <v>0</v>
      </c>
      <c r="I620" s="3">
        <f>E620+G620+H620</f>
        <v>48</v>
      </c>
      <c r="J620" s="3">
        <f>ROUND(MIN(IF(C620="Técnico III",35,IF(C620="Técnico II",28,IF(C620="Técnico I",23,IF(C620="JR",20,IF(C620="Estágio",10,0))))),IF(C620="Técnico III",SUMIFS($D:$D,$A:$A,$A620,$B:$B,"&lt;&gt;Patrícia Karla de Sousa Araújo",$B:$B,"&lt;&gt;Lorena Dias de Araujo",$B:$B,"&lt;&gt;Lucas Luiz Romero")*(35/1083),IF(C620="Técnico II",SUMIFS($D:$D,$A:$A,$A620,$B:$B,"&lt;&gt;Patrícia Karla de Sousa Araújo",$B:$B,"&lt;&gt;Lorena Dias de Araujo",$B:$B,"&lt;&gt;Lucas Luiz Romero")*(28/1083),IF(C620="Técnico I",SUMIFS($D:$D,$A:$A,$A620,$B:$B,"&lt;&gt;Patrícia Karla de Sousa Araújo",$B:$B,"&lt;&gt;Lorena Dias de Araujo",$B:$B,"&lt;&gt;Lucas Luiz Romero")*(23/1083),IF(C620="JR",SUMIFS($D:$D,$A:$A,$A620,$B:$B,"&lt;&gt;Patrícia Karla de Sousa Araújo",$B:$B,"&lt;&gt;Lorena Dias de Araujo",$B:$B,"&lt;&gt;Lucas Luiz Romero")*(20/1083),IF(C620="Estágio",SUMIFS($D:$D,$A:$A,$A620,$B:$B,"&lt;&gt;Patrícia Karla de Sousa Araújo",$B:$B,"&lt;&gt;Lorena Dias de Araujo",$B:$B,"&lt;&gt;Lucas Luiz Romero")*(10/1083),0)))))),0)</f>
        <v>28</v>
      </c>
      <c r="K620" s="3">
        <f>I620-J620</f>
        <v>20</v>
      </c>
      <c r="L620" s="3" t="str">
        <f>IF(K620&lt;-5,"CRÍTICO",IF(K620&lt;0,"ATENÇÃO",IF(K620&lt;=5,"OPORTUNO","MUITO BOM")))</f>
        <v>MUITO BOM</v>
      </c>
      <c r="M620" s="3">
        <v>44</v>
      </c>
      <c r="N620" s="3">
        <v>97.04</v>
      </c>
      <c r="O620" s="3">
        <v>29.828850855745721</v>
      </c>
    </row>
    <row r="621" spans="1:15" hidden="1" x14ac:dyDescent="0.25">
      <c r="A621" s="5">
        <v>46156</v>
      </c>
      <c r="B621" s="6" t="s">
        <v>39</v>
      </c>
      <c r="C621" s="1" t="s">
        <v>32</v>
      </c>
      <c r="D621" s="3">
        <v>0</v>
      </c>
      <c r="E621" s="3">
        <v>0</v>
      </c>
      <c r="F621" s="3">
        <v>0</v>
      </c>
      <c r="G621" s="3">
        <v>0</v>
      </c>
      <c r="H621" s="3">
        <v>0</v>
      </c>
      <c r="I621" s="3">
        <f>E621+G621+H621</f>
        <v>0</v>
      </c>
      <c r="J621" s="3">
        <f>ROUND(MIN(IF(C621="Técnico III",35,IF(C621="Técnico II",28,IF(C621="Técnico I",23,IF(C621="JR",20,IF(C621="Estágio",10,0))))),IF(C621="Técnico III",SUMIFS($D:$D,$A:$A,$A621,$B:$B,"&lt;&gt;Patrícia Karla de Sousa Araújo",$B:$B,"&lt;&gt;Lorena Dias de Araujo",$B:$B,"&lt;&gt;Lucas Luiz Romero")*(35/1083),IF(C621="Técnico II",SUMIFS($D:$D,$A:$A,$A621,$B:$B,"&lt;&gt;Patrícia Karla de Sousa Araújo",$B:$B,"&lt;&gt;Lorena Dias de Araujo",$B:$B,"&lt;&gt;Lucas Luiz Romero")*(28/1083),IF(C621="Técnico I",SUMIFS($D:$D,$A:$A,$A621,$B:$B,"&lt;&gt;Patrícia Karla de Sousa Araújo",$B:$B,"&lt;&gt;Lorena Dias de Araujo",$B:$B,"&lt;&gt;Lucas Luiz Romero")*(23/1083),IF(C621="JR",SUMIFS($D:$D,$A:$A,$A621,$B:$B,"&lt;&gt;Patrícia Karla de Sousa Araújo",$B:$B,"&lt;&gt;Lorena Dias de Araujo",$B:$B,"&lt;&gt;Lucas Luiz Romero")*(20/1083),IF(C621="Estágio",SUMIFS($D:$D,$A:$A,$A621,$B:$B,"&lt;&gt;Patrícia Karla de Sousa Araújo",$B:$B,"&lt;&gt;Lorena Dias de Araujo",$B:$B,"&lt;&gt;Lucas Luiz Romero")*(10/1083),0)))))),0)</f>
        <v>28</v>
      </c>
      <c r="K621" s="3">
        <f>I621-J621</f>
        <v>-28</v>
      </c>
      <c r="L621" s="3" t="str">
        <f>IF(K621&lt;-5,"CRÍTICO",IF(K621&lt;0,"ATENÇÃO",IF(K621&lt;=5,"OPORTUNO","MUITO BOM")))</f>
        <v>CRÍTICO</v>
      </c>
      <c r="M621" s="3">
        <v>0</v>
      </c>
      <c r="N621" s="3">
        <v>0</v>
      </c>
      <c r="O621" s="3">
        <v>0</v>
      </c>
    </row>
    <row r="622" spans="1:15" hidden="1" x14ac:dyDescent="0.25">
      <c r="A622" s="5">
        <v>46156</v>
      </c>
      <c r="B622" s="6" t="s">
        <v>40</v>
      </c>
      <c r="C622" s="14" t="s">
        <v>32</v>
      </c>
      <c r="D622" s="3">
        <v>30</v>
      </c>
      <c r="E622" s="3">
        <v>29</v>
      </c>
      <c r="F622" s="3">
        <v>17.03</v>
      </c>
      <c r="G622" s="3">
        <v>0</v>
      </c>
      <c r="H622" s="3">
        <v>0</v>
      </c>
      <c r="I622" s="3">
        <f>E622+G622+H622</f>
        <v>29</v>
      </c>
      <c r="J622" s="3">
        <f>ROUND(MIN(IF(C622="Técnico III",35,IF(C622="Técnico II",28,IF(C622="Técnico I",23,IF(C622="JR",20,IF(C622="Estágio",10,0))))),IF(C622="Técnico III",SUMIFS($D:$D,$A:$A,$A622,$B:$B,"&lt;&gt;Patrícia Karla de Sousa Araújo",$B:$B,"&lt;&gt;Lorena Dias de Araujo",$B:$B,"&lt;&gt;Lucas Luiz Romero")*(35/1083),IF(C622="Técnico II",SUMIFS($D:$D,$A:$A,$A622,$B:$B,"&lt;&gt;Patrícia Karla de Sousa Araújo",$B:$B,"&lt;&gt;Lorena Dias de Araujo",$B:$B,"&lt;&gt;Lucas Luiz Romero")*(28/1083),IF(C622="Técnico I",SUMIFS($D:$D,$A:$A,$A622,$B:$B,"&lt;&gt;Patrícia Karla de Sousa Araújo",$B:$B,"&lt;&gt;Lorena Dias de Araujo",$B:$B,"&lt;&gt;Lucas Luiz Romero")*(23/1083),IF(C622="JR",SUMIFS($D:$D,$A:$A,$A622,$B:$B,"&lt;&gt;Patrícia Karla de Sousa Araújo",$B:$B,"&lt;&gt;Lorena Dias de Araujo",$B:$B,"&lt;&gt;Lucas Luiz Romero")*(20/1083),IF(C622="Estágio",SUMIFS($D:$D,$A:$A,$A622,$B:$B,"&lt;&gt;Patrícia Karla de Sousa Araújo",$B:$B,"&lt;&gt;Lorena Dias de Araujo",$B:$B,"&lt;&gt;Lucas Luiz Romero")*(10/1083),0)))))),0)</f>
        <v>28</v>
      </c>
      <c r="K622" s="3">
        <f>I622-J622</f>
        <v>1</v>
      </c>
      <c r="L622" s="3" t="str">
        <f>IF(K622&lt;-5,"CRÍTICO",IF(K622&lt;0,"ATENÇÃO",IF(K622&lt;=5,"OPORTUNO","MUITO BOM")))</f>
        <v>OPORTUNO</v>
      </c>
      <c r="M622" s="3">
        <v>28</v>
      </c>
      <c r="N622" s="3">
        <v>96.84</v>
      </c>
      <c r="O622" s="3">
        <v>16.338028169014081</v>
      </c>
    </row>
    <row r="623" spans="1:15" hidden="1" x14ac:dyDescent="0.25">
      <c r="A623" s="5">
        <v>46156</v>
      </c>
      <c r="B623" s="6" t="s">
        <v>41</v>
      </c>
      <c r="C623" s="14" t="s">
        <v>32</v>
      </c>
      <c r="D623" s="3">
        <v>30</v>
      </c>
      <c r="E623" s="3">
        <v>27</v>
      </c>
      <c r="F623" s="3">
        <v>19.05</v>
      </c>
      <c r="G623" s="3">
        <v>0</v>
      </c>
      <c r="H623" s="3">
        <v>0</v>
      </c>
      <c r="I623" s="3">
        <f>E623+G623+H623</f>
        <v>27</v>
      </c>
      <c r="J623" s="3">
        <f>ROUND(MIN(IF(C623="Técnico III",35,IF(C623="Técnico II",28,IF(C623="Técnico I",23,IF(C623="JR",20,IF(C623="Estágio",10,0))))),IF(C623="Técnico III",SUMIFS($D:$D,$A:$A,$A623,$B:$B,"&lt;&gt;Patrícia Karla de Sousa Araújo",$B:$B,"&lt;&gt;Lorena Dias de Araujo",$B:$B,"&lt;&gt;Lucas Luiz Romero")*(35/1083),IF(C623="Técnico II",SUMIFS($D:$D,$A:$A,$A623,$B:$B,"&lt;&gt;Patrícia Karla de Sousa Araújo",$B:$B,"&lt;&gt;Lorena Dias de Araujo",$B:$B,"&lt;&gt;Lucas Luiz Romero")*(28/1083),IF(C623="Técnico I",SUMIFS($D:$D,$A:$A,$A623,$B:$B,"&lt;&gt;Patrícia Karla de Sousa Araújo",$B:$B,"&lt;&gt;Lorena Dias de Araujo",$B:$B,"&lt;&gt;Lucas Luiz Romero")*(23/1083),IF(C623="JR",SUMIFS($D:$D,$A:$A,$A623,$B:$B,"&lt;&gt;Patrícia Karla de Sousa Araújo",$B:$B,"&lt;&gt;Lorena Dias de Araujo",$B:$B,"&lt;&gt;Lucas Luiz Romero")*(20/1083),IF(C623="Estágio",SUMIFS($D:$D,$A:$A,$A623,$B:$B,"&lt;&gt;Patrícia Karla de Sousa Araújo",$B:$B,"&lt;&gt;Lorena Dias de Araujo",$B:$B,"&lt;&gt;Lucas Luiz Romero")*(10/1083),0)))))),0)</f>
        <v>28</v>
      </c>
      <c r="K623" s="3">
        <f>I623-J623</f>
        <v>-1</v>
      </c>
      <c r="L623" s="3" t="str">
        <f>IF(K623&lt;-5,"CRÍTICO",IF(K623&lt;0,"ATENÇÃO",IF(K623&lt;=5,"OPORTUNO","MUITO BOM")))</f>
        <v>ATENÇÃO</v>
      </c>
      <c r="M623" s="3">
        <v>23</v>
      </c>
      <c r="N623" s="3">
        <v>100</v>
      </c>
      <c r="O623" s="3">
        <v>18.244803695150122</v>
      </c>
    </row>
    <row r="624" spans="1:15" hidden="1" x14ac:dyDescent="0.25">
      <c r="A624" s="5">
        <v>46156</v>
      </c>
      <c r="B624" s="6" t="s">
        <v>42</v>
      </c>
      <c r="C624" s="1" t="s">
        <v>32</v>
      </c>
      <c r="D624" s="3">
        <v>0</v>
      </c>
      <c r="E624" s="3">
        <v>0</v>
      </c>
      <c r="F624" s="3">
        <v>0</v>
      </c>
      <c r="G624" s="3">
        <v>0</v>
      </c>
      <c r="H624" s="3">
        <v>0</v>
      </c>
      <c r="I624" s="3">
        <f>E624+G624+H624</f>
        <v>0</v>
      </c>
      <c r="J624" s="3">
        <f>ROUND(MIN(IF(C624="Técnico III",35,IF(C624="Técnico II",28,IF(C624="Técnico I",23,IF(C624="JR",20,IF(C624="Estágio",10,0))))),IF(C624="Técnico III",SUMIFS($D:$D,$A:$A,$A624,$B:$B,"&lt;&gt;Patrícia Karla de Sousa Araújo",$B:$B,"&lt;&gt;Lorena Dias de Araujo",$B:$B,"&lt;&gt;Lucas Luiz Romero")*(35/1083),IF(C624="Técnico II",SUMIFS($D:$D,$A:$A,$A624,$B:$B,"&lt;&gt;Patrícia Karla de Sousa Araújo",$B:$B,"&lt;&gt;Lorena Dias de Araujo",$B:$B,"&lt;&gt;Lucas Luiz Romero")*(28/1083),IF(C624="Técnico I",SUMIFS($D:$D,$A:$A,$A624,$B:$B,"&lt;&gt;Patrícia Karla de Sousa Araújo",$B:$B,"&lt;&gt;Lorena Dias de Araujo",$B:$B,"&lt;&gt;Lucas Luiz Romero")*(23/1083),IF(C624="JR",SUMIFS($D:$D,$A:$A,$A624,$B:$B,"&lt;&gt;Patrícia Karla de Sousa Araújo",$B:$B,"&lt;&gt;Lorena Dias de Araujo",$B:$B,"&lt;&gt;Lucas Luiz Romero")*(20/1083),IF(C624="Estágio",SUMIFS($D:$D,$A:$A,$A624,$B:$B,"&lt;&gt;Patrícia Karla de Sousa Araújo",$B:$B,"&lt;&gt;Lorena Dias de Araujo",$B:$B,"&lt;&gt;Lucas Luiz Romero")*(10/1083),0)))))),0)</f>
        <v>28</v>
      </c>
      <c r="K624" s="3">
        <f>I624-J624</f>
        <v>-28</v>
      </c>
      <c r="L624" s="3" t="str">
        <f>IF(K624&lt;-5,"CRÍTICO",IF(K624&lt;0,"ATENÇÃO",IF(K624&lt;=5,"OPORTUNO","MUITO BOM")))</f>
        <v>CRÍTICO</v>
      </c>
      <c r="M624" s="3">
        <v>0</v>
      </c>
      <c r="N624" s="3">
        <v>100</v>
      </c>
      <c r="O624" s="3">
        <v>15.789473684210529</v>
      </c>
    </row>
    <row r="625" spans="1:15" x14ac:dyDescent="0.25">
      <c r="A625" s="5">
        <v>46156</v>
      </c>
      <c r="B625" s="6" t="s">
        <v>43</v>
      </c>
      <c r="C625" s="1" t="s">
        <v>32</v>
      </c>
      <c r="D625" s="3">
        <v>0</v>
      </c>
      <c r="E625" s="3">
        <v>0</v>
      </c>
      <c r="F625" s="3">
        <v>0</v>
      </c>
      <c r="G625" s="3">
        <v>0</v>
      </c>
      <c r="H625" s="3">
        <v>52</v>
      </c>
      <c r="I625" s="3">
        <f>E625+G625+H625</f>
        <v>52</v>
      </c>
      <c r="J625" s="3">
        <f>ROUND(MIN(IF(C625="Técnico III",35,IF(C625="Técnico II",28,IF(C625="Técnico I",23,IF(C625="JR",20,IF(C625="Estágio",10,0))))),IF(C625="Técnico III",SUMIFS($D:$D,$A:$A,$A625,$B:$B,"&lt;&gt;Patrícia Karla de Sousa Araújo",$B:$B,"&lt;&gt;Lorena Dias de Araujo",$B:$B,"&lt;&gt;Lucas Luiz Romero")*(35/1083),IF(C625="Técnico II",SUMIFS($D:$D,$A:$A,$A625,$B:$B,"&lt;&gt;Patrícia Karla de Sousa Araújo",$B:$B,"&lt;&gt;Lorena Dias de Araujo",$B:$B,"&lt;&gt;Lucas Luiz Romero")*(28/1083),IF(C625="Técnico I",SUMIFS($D:$D,$A:$A,$A625,$B:$B,"&lt;&gt;Patrícia Karla de Sousa Araújo",$B:$B,"&lt;&gt;Lorena Dias de Araujo",$B:$B,"&lt;&gt;Lucas Luiz Romero")*(23/1083),IF(C625="JR",SUMIFS($D:$D,$A:$A,$A625,$B:$B,"&lt;&gt;Patrícia Karla de Sousa Araújo",$B:$B,"&lt;&gt;Lorena Dias de Araujo",$B:$B,"&lt;&gt;Lucas Luiz Romero")*(20/1083),IF(C625="Estágio",SUMIFS($D:$D,$A:$A,$A625,$B:$B,"&lt;&gt;Patrícia Karla de Sousa Araújo",$B:$B,"&lt;&gt;Lorena Dias de Araujo",$B:$B,"&lt;&gt;Lucas Luiz Romero")*(10/1083),0)))))),0)</f>
        <v>28</v>
      </c>
      <c r="K625" s="3">
        <f>I625-J625</f>
        <v>24</v>
      </c>
      <c r="L625" s="3" t="str">
        <f>IF(K625&lt;-5,"CRÍTICO",IF(K625&lt;0,"ATENÇÃO",IF(K625&lt;=5,"OPORTUNO","MUITO BOM")))</f>
        <v>MUITO BOM</v>
      </c>
      <c r="M625" s="3">
        <v>30</v>
      </c>
      <c r="N625" s="3">
        <v>98.39</v>
      </c>
      <c r="O625" s="3">
        <v>8.7999999999999989</v>
      </c>
    </row>
    <row r="626" spans="1:15" hidden="1" x14ac:dyDescent="0.25">
      <c r="A626" s="5">
        <v>46156</v>
      </c>
      <c r="B626" s="6" t="s">
        <v>44</v>
      </c>
      <c r="C626" s="1" t="s">
        <v>32</v>
      </c>
      <c r="D626" s="3">
        <v>39</v>
      </c>
      <c r="E626" s="3">
        <v>32</v>
      </c>
      <c r="F626" s="3">
        <v>9</v>
      </c>
      <c r="G626" s="3">
        <v>3</v>
      </c>
      <c r="H626" s="3">
        <v>0</v>
      </c>
      <c r="I626" s="3">
        <f>E626+G626+H626</f>
        <v>35</v>
      </c>
      <c r="J626" s="3">
        <f>ROUND(MIN(IF(C626="Técnico III",35,IF(C626="Técnico II",28,IF(C626="Técnico I",23,IF(C626="JR",20,IF(C626="Estágio",10,0))))),IF(C626="Técnico III",SUMIFS($D:$D,$A:$A,$A626,$B:$B,"&lt;&gt;Patrícia Karla de Sousa Araújo",$B:$B,"&lt;&gt;Lorena Dias de Araujo",$B:$B,"&lt;&gt;Lucas Luiz Romero")*(35/1083),IF(C626="Técnico II",SUMIFS($D:$D,$A:$A,$A626,$B:$B,"&lt;&gt;Patrícia Karla de Sousa Araújo",$B:$B,"&lt;&gt;Lorena Dias de Araujo",$B:$B,"&lt;&gt;Lucas Luiz Romero")*(28/1083),IF(C626="Técnico I",SUMIFS($D:$D,$A:$A,$A626,$B:$B,"&lt;&gt;Patrícia Karla de Sousa Araújo",$B:$B,"&lt;&gt;Lorena Dias de Araujo",$B:$B,"&lt;&gt;Lucas Luiz Romero")*(23/1083),IF(C626="JR",SUMIFS($D:$D,$A:$A,$A626,$B:$B,"&lt;&gt;Patrícia Karla de Sousa Araújo",$B:$B,"&lt;&gt;Lorena Dias de Araujo",$B:$B,"&lt;&gt;Lucas Luiz Romero")*(20/1083),IF(C626="Estágio",SUMIFS($D:$D,$A:$A,$A626,$B:$B,"&lt;&gt;Patrícia Karla de Sousa Araújo",$B:$B,"&lt;&gt;Lorena Dias de Araujo",$B:$B,"&lt;&gt;Lucas Luiz Romero")*(10/1083),0)))))),0)</f>
        <v>28</v>
      </c>
      <c r="K626" s="3">
        <f>I626-J626</f>
        <v>7</v>
      </c>
      <c r="L626" s="3" t="str">
        <f>IF(K626&lt;-5,"CRÍTICO",IF(K626&lt;0,"ATENÇÃO",IF(K626&lt;=5,"OPORTUNO","MUITO BOM")))</f>
        <v>MUITO BOM</v>
      </c>
      <c r="M626" s="3">
        <v>29</v>
      </c>
      <c r="N626" s="3">
        <v>96.38</v>
      </c>
      <c r="O626" s="3">
        <v>23.198198198198199</v>
      </c>
    </row>
    <row r="627" spans="1:15" hidden="1" x14ac:dyDescent="0.25">
      <c r="A627" s="5">
        <v>46156</v>
      </c>
      <c r="B627" s="6" t="s">
        <v>45</v>
      </c>
      <c r="C627" s="1" t="s">
        <v>32</v>
      </c>
      <c r="D627" s="3">
        <v>38</v>
      </c>
      <c r="E627" s="3">
        <v>37</v>
      </c>
      <c r="F627" s="3">
        <v>13.51</v>
      </c>
      <c r="G627" s="3">
        <v>0</v>
      </c>
      <c r="H627" s="3">
        <v>0</v>
      </c>
      <c r="I627" s="3">
        <f>E627+G627+H627</f>
        <v>37</v>
      </c>
      <c r="J627" s="3">
        <f>ROUND(MIN(IF(C627="Técnico III",35,IF(C627="Técnico II",28,IF(C627="Técnico I",23,IF(C627="JR",20,IF(C627="Estágio",10,0))))),IF(C627="Técnico III",SUMIFS($D:$D,$A:$A,$A627,$B:$B,"&lt;&gt;Patrícia Karla de Sousa Araújo",$B:$B,"&lt;&gt;Lorena Dias de Araujo",$B:$B,"&lt;&gt;Lucas Luiz Romero")*(35/1083),IF(C627="Técnico II",SUMIFS($D:$D,$A:$A,$A627,$B:$B,"&lt;&gt;Patrícia Karla de Sousa Araújo",$B:$B,"&lt;&gt;Lorena Dias de Araujo",$B:$B,"&lt;&gt;Lucas Luiz Romero")*(28/1083),IF(C627="Técnico I",SUMIFS($D:$D,$A:$A,$A627,$B:$B,"&lt;&gt;Patrícia Karla de Sousa Araújo",$B:$B,"&lt;&gt;Lorena Dias de Araujo",$B:$B,"&lt;&gt;Lucas Luiz Romero")*(23/1083),IF(C627="JR",SUMIFS($D:$D,$A:$A,$A627,$B:$B,"&lt;&gt;Patrícia Karla de Sousa Araújo",$B:$B,"&lt;&gt;Lorena Dias de Araujo",$B:$B,"&lt;&gt;Lucas Luiz Romero")*(20/1083),IF(C627="Estágio",SUMIFS($D:$D,$A:$A,$A627,$B:$B,"&lt;&gt;Patrícia Karla de Sousa Araújo",$B:$B,"&lt;&gt;Lorena Dias de Araujo",$B:$B,"&lt;&gt;Lucas Luiz Romero")*(10/1083),0)))))),0)</f>
        <v>28</v>
      </c>
      <c r="K627" s="3">
        <f>I627-J627</f>
        <v>9</v>
      </c>
      <c r="L627" s="3" t="str">
        <f>IF(K627&lt;-5,"CRÍTICO",IF(K627&lt;0,"ATENÇÃO",IF(K627&lt;=5,"OPORTUNO","MUITO BOM")))</f>
        <v>MUITO BOM</v>
      </c>
      <c r="M627" s="3">
        <v>40</v>
      </c>
      <c r="N627" s="3">
        <v>99.39</v>
      </c>
      <c r="O627" s="3">
        <v>25.203252032520329</v>
      </c>
    </row>
    <row r="628" spans="1:15" hidden="1" x14ac:dyDescent="0.25">
      <c r="A628" s="5">
        <v>46156</v>
      </c>
      <c r="B628" s="6" t="s">
        <v>46</v>
      </c>
      <c r="C628" s="1" t="s">
        <v>32</v>
      </c>
      <c r="D628" s="3">
        <v>22</v>
      </c>
      <c r="E628" s="3">
        <v>22</v>
      </c>
      <c r="F628" s="3">
        <v>13.43</v>
      </c>
      <c r="G628" s="3">
        <v>5</v>
      </c>
      <c r="H628" s="3">
        <v>0</v>
      </c>
      <c r="I628" s="3">
        <f>E628+G628+H628</f>
        <v>27</v>
      </c>
      <c r="J628" s="3">
        <f>ROUND(MIN(IF(C628="Técnico III",35,IF(C628="Técnico II",28,IF(C628="Técnico I",23,IF(C628="JR",20,IF(C628="Estágio",10,0))))),IF(C628="Técnico III",SUMIFS($D:$D,$A:$A,$A628,$B:$B,"&lt;&gt;Patrícia Karla de Sousa Araújo",$B:$B,"&lt;&gt;Lorena Dias de Araujo",$B:$B,"&lt;&gt;Lucas Luiz Romero")*(35/1083),IF(C628="Técnico II",SUMIFS($D:$D,$A:$A,$A628,$B:$B,"&lt;&gt;Patrícia Karla de Sousa Araújo",$B:$B,"&lt;&gt;Lorena Dias de Araujo",$B:$B,"&lt;&gt;Lucas Luiz Romero")*(28/1083),IF(C628="Técnico I",SUMIFS($D:$D,$A:$A,$A628,$B:$B,"&lt;&gt;Patrícia Karla de Sousa Araújo",$B:$B,"&lt;&gt;Lorena Dias de Araujo",$B:$B,"&lt;&gt;Lucas Luiz Romero")*(23/1083),IF(C628="JR",SUMIFS($D:$D,$A:$A,$A628,$B:$B,"&lt;&gt;Patrícia Karla de Sousa Araújo",$B:$B,"&lt;&gt;Lorena Dias de Araujo",$B:$B,"&lt;&gt;Lucas Luiz Romero")*(20/1083),IF(C628="Estágio",SUMIFS($D:$D,$A:$A,$A628,$B:$B,"&lt;&gt;Patrícia Karla de Sousa Araújo",$B:$B,"&lt;&gt;Lorena Dias de Araujo",$B:$B,"&lt;&gt;Lucas Luiz Romero")*(10/1083),0)))))),0)</f>
        <v>28</v>
      </c>
      <c r="K628" s="3">
        <f>I628-J628</f>
        <v>-1</v>
      </c>
      <c r="L628" s="3" t="str">
        <f>IF(K628&lt;-5,"CRÍTICO",IF(K628&lt;0,"ATENÇÃO",IF(K628&lt;=5,"OPORTUNO","MUITO BOM")))</f>
        <v>ATENÇÃO</v>
      </c>
      <c r="M628" s="3">
        <v>21</v>
      </c>
      <c r="N628" s="3">
        <v>97</v>
      </c>
      <c r="O628" s="3">
        <v>20.325203252032519</v>
      </c>
    </row>
    <row r="629" spans="1:15" hidden="1" x14ac:dyDescent="0.25">
      <c r="A629" s="5">
        <v>46156</v>
      </c>
      <c r="B629" s="6" t="s">
        <v>47</v>
      </c>
      <c r="C629" s="1" t="s">
        <v>48</v>
      </c>
      <c r="D629" s="3">
        <v>33</v>
      </c>
      <c r="E629" s="3">
        <v>28</v>
      </c>
      <c r="F629" s="3">
        <v>10.58</v>
      </c>
      <c r="G629" s="3">
        <v>6</v>
      </c>
      <c r="H629" s="3">
        <v>0</v>
      </c>
      <c r="I629" s="3">
        <f>E629+G629+H629</f>
        <v>34</v>
      </c>
      <c r="J629" s="3">
        <f>ROUND(MIN(IF(C629="Técnico III",35,IF(C629="Técnico II",28,IF(C629="Técnico I",23,IF(C629="JR",20,IF(C629="Estágio",10,0))))),IF(C629="Técnico III",SUMIFS($D:$D,$A:$A,$A629,$B:$B,"&lt;&gt;Patrícia Karla de Sousa Araújo",$B:$B,"&lt;&gt;Lorena Dias de Araujo",$B:$B,"&lt;&gt;Lucas Luiz Romero")*(35/1083),IF(C629="Técnico II",SUMIFS($D:$D,$A:$A,$A629,$B:$B,"&lt;&gt;Patrícia Karla de Sousa Araújo",$B:$B,"&lt;&gt;Lorena Dias de Araujo",$B:$B,"&lt;&gt;Lucas Luiz Romero")*(28/1083),IF(C629="Técnico I",SUMIFS($D:$D,$A:$A,$A629,$B:$B,"&lt;&gt;Patrícia Karla de Sousa Araújo",$B:$B,"&lt;&gt;Lorena Dias de Araujo",$B:$B,"&lt;&gt;Lucas Luiz Romero")*(23/1083),IF(C629="JR",SUMIFS($D:$D,$A:$A,$A629,$B:$B,"&lt;&gt;Patrícia Karla de Sousa Araújo",$B:$B,"&lt;&gt;Lorena Dias de Araujo",$B:$B,"&lt;&gt;Lucas Luiz Romero")*(20/1083),IF(C629="Estágio",SUMIFS($D:$D,$A:$A,$A629,$B:$B,"&lt;&gt;Patrícia Karla de Sousa Araújo",$B:$B,"&lt;&gt;Lorena Dias de Araujo",$B:$B,"&lt;&gt;Lucas Luiz Romero")*(10/1083),0)))))),0)</f>
        <v>23</v>
      </c>
      <c r="K629" s="3">
        <f>I629-J629</f>
        <v>11</v>
      </c>
      <c r="L629" s="3" t="str">
        <f>IF(K629&lt;-5,"CRÍTICO",IF(K629&lt;0,"ATENÇÃO",IF(K629&lt;=5,"OPORTUNO","MUITO BOM")))</f>
        <v>MUITO BOM</v>
      </c>
      <c r="M629" s="3">
        <v>23</v>
      </c>
      <c r="N629" s="3">
        <v>99.18</v>
      </c>
      <c r="O629" s="3">
        <v>24.501424501424498</v>
      </c>
    </row>
    <row r="630" spans="1:15" hidden="1" x14ac:dyDescent="0.25">
      <c r="A630" s="5">
        <v>46156</v>
      </c>
      <c r="B630" s="6" t="s">
        <v>49</v>
      </c>
      <c r="C630" s="1" t="s">
        <v>48</v>
      </c>
      <c r="D630" s="3">
        <v>29</v>
      </c>
      <c r="E630" s="3">
        <v>29</v>
      </c>
      <c r="F630" s="3">
        <v>12.28</v>
      </c>
      <c r="G630" s="3">
        <v>4</v>
      </c>
      <c r="H630" s="3">
        <v>0</v>
      </c>
      <c r="I630" s="3">
        <f>E630+G630+H630</f>
        <v>33</v>
      </c>
      <c r="J630" s="3">
        <f>ROUND(MIN(IF(C630="Técnico III",35,IF(C630="Técnico II",28,IF(C630="Técnico I",23,IF(C630="JR",20,IF(C630="Estágio",10,0))))),IF(C630="Técnico III",SUMIFS($D:$D,$A:$A,$A630,$B:$B,"&lt;&gt;Patrícia Karla de Sousa Araújo",$B:$B,"&lt;&gt;Lorena Dias de Araujo",$B:$B,"&lt;&gt;Lucas Luiz Romero")*(35/1083),IF(C630="Técnico II",SUMIFS($D:$D,$A:$A,$A630,$B:$B,"&lt;&gt;Patrícia Karla de Sousa Araújo",$B:$B,"&lt;&gt;Lorena Dias de Araujo",$B:$B,"&lt;&gt;Lucas Luiz Romero")*(28/1083),IF(C630="Técnico I",SUMIFS($D:$D,$A:$A,$A630,$B:$B,"&lt;&gt;Patrícia Karla de Sousa Araújo",$B:$B,"&lt;&gt;Lorena Dias de Araujo",$B:$B,"&lt;&gt;Lucas Luiz Romero")*(23/1083),IF(C630="JR",SUMIFS($D:$D,$A:$A,$A630,$B:$B,"&lt;&gt;Patrícia Karla de Sousa Araújo",$B:$B,"&lt;&gt;Lorena Dias de Araujo",$B:$B,"&lt;&gt;Lucas Luiz Romero")*(20/1083),IF(C630="Estágio",SUMIFS($D:$D,$A:$A,$A630,$B:$B,"&lt;&gt;Patrícia Karla de Sousa Araújo",$B:$B,"&lt;&gt;Lorena Dias de Araujo",$B:$B,"&lt;&gt;Lucas Luiz Romero")*(10/1083),0)))))),0)</f>
        <v>23</v>
      </c>
      <c r="K630" s="3">
        <f>I630-J630</f>
        <v>10</v>
      </c>
      <c r="L630" s="3" t="str">
        <f>IF(K630&lt;-5,"CRÍTICO",IF(K630&lt;0,"ATENÇÃO",IF(K630&lt;=5,"OPORTUNO","MUITO BOM")))</f>
        <v>MUITO BOM</v>
      </c>
      <c r="M630" s="3">
        <v>33</v>
      </c>
      <c r="N630" s="3">
        <v>99.35</v>
      </c>
      <c r="O630" s="3">
        <v>19.852941176470591</v>
      </c>
    </row>
    <row r="631" spans="1:15" hidden="1" x14ac:dyDescent="0.25">
      <c r="A631" s="5">
        <v>46156</v>
      </c>
      <c r="B631" s="6" t="s">
        <v>50</v>
      </c>
      <c r="C631" s="14" t="s">
        <v>48</v>
      </c>
      <c r="D631" s="3">
        <v>25</v>
      </c>
      <c r="E631" s="3">
        <v>23</v>
      </c>
      <c r="F631" s="3">
        <v>20.56</v>
      </c>
      <c r="G631" s="3">
        <v>4</v>
      </c>
      <c r="H631" s="3">
        <v>0</v>
      </c>
      <c r="I631" s="3">
        <f>E631+G631+H631</f>
        <v>27</v>
      </c>
      <c r="J631" s="3">
        <f>ROUND(MIN(IF(C631="Técnico III",35,IF(C631="Técnico II",28,IF(C631="Técnico I",23,IF(C631="JR",20,IF(C631="Estágio",10,0))))),IF(C631="Técnico III",SUMIFS($D:$D,$A:$A,$A631,$B:$B,"&lt;&gt;Patrícia Karla de Sousa Araújo",$B:$B,"&lt;&gt;Lorena Dias de Araujo",$B:$B,"&lt;&gt;Lucas Luiz Romero")*(35/1083),IF(C631="Técnico II",SUMIFS($D:$D,$A:$A,$A631,$B:$B,"&lt;&gt;Patrícia Karla de Sousa Araújo",$B:$B,"&lt;&gt;Lorena Dias de Araujo",$B:$B,"&lt;&gt;Lucas Luiz Romero")*(28/1083),IF(C631="Técnico I",SUMIFS($D:$D,$A:$A,$A631,$B:$B,"&lt;&gt;Patrícia Karla de Sousa Araújo",$B:$B,"&lt;&gt;Lorena Dias de Araujo",$B:$B,"&lt;&gt;Lucas Luiz Romero")*(23/1083),IF(C631="JR",SUMIFS($D:$D,$A:$A,$A631,$B:$B,"&lt;&gt;Patrícia Karla de Sousa Araújo",$B:$B,"&lt;&gt;Lorena Dias de Araujo",$B:$B,"&lt;&gt;Lucas Luiz Romero")*(20/1083),IF(C631="Estágio",SUMIFS($D:$D,$A:$A,$A631,$B:$B,"&lt;&gt;Patrícia Karla de Sousa Araújo",$B:$B,"&lt;&gt;Lorena Dias de Araujo",$B:$B,"&lt;&gt;Lucas Luiz Romero")*(10/1083),0)))))),0)</f>
        <v>23</v>
      </c>
      <c r="K631" s="3">
        <f>I631-J631</f>
        <v>4</v>
      </c>
      <c r="L631" s="3" t="str">
        <f>IF(K631&lt;-5,"CRÍTICO",IF(K631&lt;0,"ATENÇÃO",IF(K631&lt;=5,"OPORTUNO","MUITO BOM")))</f>
        <v>OPORTUNO</v>
      </c>
      <c r="M631" s="3">
        <v>25</v>
      </c>
      <c r="N631" s="3">
        <v>99.07</v>
      </c>
      <c r="O631" s="3">
        <v>20.098039215686271</v>
      </c>
    </row>
    <row r="632" spans="1:15" hidden="1" x14ac:dyDescent="0.25">
      <c r="A632" s="5">
        <v>46156</v>
      </c>
      <c r="B632" s="6" t="s">
        <v>51</v>
      </c>
      <c r="C632" s="1" t="s">
        <v>48</v>
      </c>
      <c r="D632" s="3">
        <v>22</v>
      </c>
      <c r="E632" s="3">
        <v>18</v>
      </c>
      <c r="F632" s="3">
        <v>25.02</v>
      </c>
      <c r="G632" s="3">
        <v>0</v>
      </c>
      <c r="H632" s="3">
        <v>0</v>
      </c>
      <c r="I632" s="3">
        <f>E632+G632+H632</f>
        <v>18</v>
      </c>
      <c r="J632" s="3">
        <f>ROUND(MIN(IF(C632="Técnico III",35,IF(C632="Técnico II",28,IF(C632="Técnico I",23,IF(C632="JR",20,IF(C632="Estágio",10,0))))),IF(C632="Técnico III",SUMIFS($D:$D,$A:$A,$A632,$B:$B,"&lt;&gt;Patrícia Karla de Sousa Araújo",$B:$B,"&lt;&gt;Lorena Dias de Araujo",$B:$B,"&lt;&gt;Lucas Luiz Romero")*(35/1083),IF(C632="Técnico II",SUMIFS($D:$D,$A:$A,$A632,$B:$B,"&lt;&gt;Patrícia Karla de Sousa Araújo",$B:$B,"&lt;&gt;Lorena Dias de Araujo",$B:$B,"&lt;&gt;Lucas Luiz Romero")*(28/1083),IF(C632="Técnico I",SUMIFS($D:$D,$A:$A,$A632,$B:$B,"&lt;&gt;Patrícia Karla de Sousa Araújo",$B:$B,"&lt;&gt;Lorena Dias de Araujo",$B:$B,"&lt;&gt;Lucas Luiz Romero")*(23/1083),IF(C632="JR",SUMIFS($D:$D,$A:$A,$A632,$B:$B,"&lt;&gt;Patrícia Karla de Sousa Araújo",$B:$B,"&lt;&gt;Lorena Dias de Araujo",$B:$B,"&lt;&gt;Lucas Luiz Romero")*(20/1083),IF(C632="Estágio",SUMIFS($D:$D,$A:$A,$A632,$B:$B,"&lt;&gt;Patrícia Karla de Sousa Araújo",$B:$B,"&lt;&gt;Lorena Dias de Araujo",$B:$B,"&lt;&gt;Lucas Luiz Romero")*(10/1083),0)))))),0)</f>
        <v>23</v>
      </c>
      <c r="K632" s="3">
        <f>I632-J632</f>
        <v>-5</v>
      </c>
      <c r="L632" s="3" t="str">
        <f>IF(K632&lt;-5,"CRÍTICO",IF(K632&lt;0,"ATENÇÃO",IF(K632&lt;=5,"OPORTUNO","MUITO BOM")))</f>
        <v>ATENÇÃO</v>
      </c>
      <c r="M632" s="3">
        <v>17</v>
      </c>
      <c r="N632" s="3">
        <v>98.81</v>
      </c>
      <c r="O632" s="3">
        <v>22.767857142857139</v>
      </c>
    </row>
    <row r="633" spans="1:15" hidden="1" x14ac:dyDescent="0.25">
      <c r="A633" s="5">
        <v>46156</v>
      </c>
      <c r="B633" s="6" t="s">
        <v>52</v>
      </c>
      <c r="C633" s="1" t="s">
        <v>48</v>
      </c>
      <c r="D633" s="3">
        <v>14</v>
      </c>
      <c r="E633" s="3">
        <v>13</v>
      </c>
      <c r="F633" s="3">
        <v>19.05</v>
      </c>
      <c r="G633" s="3">
        <v>0</v>
      </c>
      <c r="H633" s="3">
        <v>0</v>
      </c>
      <c r="I633" s="3">
        <f>E633+G633+H633</f>
        <v>13</v>
      </c>
      <c r="J633" s="3">
        <f>ROUND(MIN(IF(C633="Técnico III",35,IF(C633="Técnico II",28,IF(C633="Técnico I",23,IF(C633="JR",20,IF(C633="Estágio",10,0))))),IF(C633="Técnico III",SUMIFS($D:$D,$A:$A,$A633,$B:$B,"&lt;&gt;Patrícia Karla de Sousa Araújo",$B:$B,"&lt;&gt;Lorena Dias de Araujo",$B:$B,"&lt;&gt;Lucas Luiz Romero")*(35/1083),IF(C633="Técnico II",SUMIFS($D:$D,$A:$A,$A633,$B:$B,"&lt;&gt;Patrícia Karla de Sousa Araújo",$B:$B,"&lt;&gt;Lorena Dias de Araujo",$B:$B,"&lt;&gt;Lucas Luiz Romero")*(28/1083),IF(C633="Técnico I",SUMIFS($D:$D,$A:$A,$A633,$B:$B,"&lt;&gt;Patrícia Karla de Sousa Araújo",$B:$B,"&lt;&gt;Lorena Dias de Araujo",$B:$B,"&lt;&gt;Lucas Luiz Romero")*(23/1083),IF(C633="JR",SUMIFS($D:$D,$A:$A,$A633,$B:$B,"&lt;&gt;Patrícia Karla de Sousa Araújo",$B:$B,"&lt;&gt;Lorena Dias de Araujo",$B:$B,"&lt;&gt;Lucas Luiz Romero")*(20/1083),IF(C633="Estágio",SUMIFS($D:$D,$A:$A,$A633,$B:$B,"&lt;&gt;Patrícia Karla de Sousa Araújo",$B:$B,"&lt;&gt;Lorena Dias de Araujo",$B:$B,"&lt;&gt;Lucas Luiz Romero")*(10/1083),0)))))),0)</f>
        <v>23</v>
      </c>
      <c r="K633" s="3">
        <f>I633-J633</f>
        <v>-10</v>
      </c>
      <c r="L633" s="3" t="str">
        <f>IF(K633&lt;-5,"CRÍTICO",IF(K633&lt;0,"ATENÇÃO",IF(K633&lt;=5,"OPORTUNO","MUITO BOM")))</f>
        <v>CRÍTICO</v>
      </c>
      <c r="M633" s="3">
        <v>18</v>
      </c>
      <c r="N633" s="3">
        <v>99.01</v>
      </c>
      <c r="O633" s="3">
        <v>17.766497461928939</v>
      </c>
    </row>
    <row r="634" spans="1:15" hidden="1" x14ac:dyDescent="0.25">
      <c r="A634" s="5">
        <v>46156</v>
      </c>
      <c r="B634" s="6" t="s">
        <v>53</v>
      </c>
      <c r="C634" s="1" t="s">
        <v>48</v>
      </c>
      <c r="D634" s="3">
        <v>0</v>
      </c>
      <c r="E634" s="3">
        <v>0</v>
      </c>
      <c r="F634" s="3">
        <v>0</v>
      </c>
      <c r="G634" s="3">
        <v>0</v>
      </c>
      <c r="H634" s="3">
        <v>0</v>
      </c>
      <c r="I634" s="3">
        <f>E634+G634+H634</f>
        <v>0</v>
      </c>
      <c r="J634" s="3">
        <f>ROUND(MIN(IF(C634="Técnico III",35,IF(C634="Técnico II",28,IF(C634="Técnico I",23,IF(C634="JR",20,IF(C634="Estágio",10,0))))),IF(C634="Técnico III",SUMIFS($D:$D,$A:$A,$A634,$B:$B,"&lt;&gt;Patrícia Karla de Sousa Araújo",$B:$B,"&lt;&gt;Lorena Dias de Araujo",$B:$B,"&lt;&gt;Lucas Luiz Romero")*(35/1083),IF(C634="Técnico II",SUMIFS($D:$D,$A:$A,$A634,$B:$B,"&lt;&gt;Patrícia Karla de Sousa Araújo",$B:$B,"&lt;&gt;Lorena Dias de Araujo",$B:$B,"&lt;&gt;Lucas Luiz Romero")*(28/1083),IF(C634="Técnico I",SUMIFS($D:$D,$A:$A,$A634,$B:$B,"&lt;&gt;Patrícia Karla de Sousa Araújo",$B:$B,"&lt;&gt;Lorena Dias de Araujo",$B:$B,"&lt;&gt;Lucas Luiz Romero")*(23/1083),IF(C634="JR",SUMIFS($D:$D,$A:$A,$A634,$B:$B,"&lt;&gt;Patrícia Karla de Sousa Araújo",$B:$B,"&lt;&gt;Lorena Dias de Araujo",$B:$B,"&lt;&gt;Lucas Luiz Romero")*(20/1083),IF(C634="Estágio",SUMIFS($D:$D,$A:$A,$A634,$B:$B,"&lt;&gt;Patrícia Karla de Sousa Araújo",$B:$B,"&lt;&gt;Lorena Dias de Araujo",$B:$B,"&lt;&gt;Lucas Luiz Romero")*(10/1083),0)))))),0)</f>
        <v>23</v>
      </c>
      <c r="K634" s="3">
        <f>I634-J634</f>
        <v>-23</v>
      </c>
      <c r="L634" s="3" t="str">
        <f>IF(K634&lt;-5,"CRÍTICO",IF(K634&lt;0,"ATENÇÃO",IF(K634&lt;=5,"OPORTUNO","MUITO BOM")))</f>
        <v>CRÍTICO</v>
      </c>
      <c r="M634" s="3">
        <v>0</v>
      </c>
      <c r="N634" s="3">
        <v>100</v>
      </c>
      <c r="O634" s="3">
        <v>17.241379310344829</v>
      </c>
    </row>
    <row r="635" spans="1:15" hidden="1" x14ac:dyDescent="0.25">
      <c r="A635" s="5">
        <v>46156</v>
      </c>
      <c r="B635" s="6" t="s">
        <v>54</v>
      </c>
      <c r="C635" s="14" t="s">
        <v>48</v>
      </c>
      <c r="D635" s="3">
        <v>17</v>
      </c>
      <c r="E635" s="3">
        <v>17</v>
      </c>
      <c r="F635" s="3">
        <v>28.35</v>
      </c>
      <c r="G635" s="3">
        <v>0</v>
      </c>
      <c r="H635" s="3">
        <v>0</v>
      </c>
      <c r="I635" s="3">
        <f>E635+G635+H635</f>
        <v>17</v>
      </c>
      <c r="J635" s="3">
        <f>ROUND(MIN(IF(C635="Técnico III",35,IF(C635="Técnico II",28,IF(C635="Técnico I",23,IF(C635="JR",20,IF(C635="Estágio",10,0))))),IF(C635="Técnico III",SUMIFS($D:$D,$A:$A,$A635,$B:$B,"&lt;&gt;Patrícia Karla de Sousa Araújo",$B:$B,"&lt;&gt;Lorena Dias de Araujo",$B:$B,"&lt;&gt;Lucas Luiz Romero")*(35/1083),IF(C635="Técnico II",SUMIFS($D:$D,$A:$A,$A635,$B:$B,"&lt;&gt;Patrícia Karla de Sousa Araújo",$B:$B,"&lt;&gt;Lorena Dias de Araujo",$B:$B,"&lt;&gt;Lucas Luiz Romero")*(28/1083),IF(C635="Técnico I",SUMIFS($D:$D,$A:$A,$A635,$B:$B,"&lt;&gt;Patrícia Karla de Sousa Araújo",$B:$B,"&lt;&gt;Lorena Dias de Araujo",$B:$B,"&lt;&gt;Lucas Luiz Romero")*(23/1083),IF(C635="JR",SUMIFS($D:$D,$A:$A,$A635,$B:$B,"&lt;&gt;Patrícia Karla de Sousa Araújo",$B:$B,"&lt;&gt;Lorena Dias de Araujo",$B:$B,"&lt;&gt;Lucas Luiz Romero")*(20/1083),IF(C635="Estágio",SUMIFS($D:$D,$A:$A,$A635,$B:$B,"&lt;&gt;Patrícia Karla de Sousa Araújo",$B:$B,"&lt;&gt;Lorena Dias de Araujo",$B:$B,"&lt;&gt;Lucas Luiz Romero")*(10/1083),0)))))),0)</f>
        <v>23</v>
      </c>
      <c r="K635" s="3">
        <f>I635-J635</f>
        <v>-6</v>
      </c>
      <c r="L635" s="3" t="str">
        <f>IF(K635&lt;-5,"CRÍTICO",IF(K635&lt;0,"ATENÇÃO",IF(K635&lt;=5,"OPORTUNO","MUITO BOM")))</f>
        <v>CRÍTICO</v>
      </c>
      <c r="M635" s="3">
        <v>13</v>
      </c>
      <c r="N635" s="3">
        <v>98.98</v>
      </c>
      <c r="O635" s="3">
        <v>19.35483870967742</v>
      </c>
    </row>
    <row r="636" spans="1:15" hidden="1" x14ac:dyDescent="0.25">
      <c r="A636" s="5">
        <v>46156</v>
      </c>
      <c r="B636" s="6" t="s">
        <v>55</v>
      </c>
      <c r="C636" s="1" t="s">
        <v>48</v>
      </c>
      <c r="D636" s="3">
        <v>9</v>
      </c>
      <c r="E636" s="3">
        <v>9</v>
      </c>
      <c r="F636" s="3">
        <v>25.25</v>
      </c>
      <c r="G636" s="3">
        <v>1</v>
      </c>
      <c r="H636" s="3">
        <v>0</v>
      </c>
      <c r="I636" s="3">
        <f>E636+G636+H636</f>
        <v>10</v>
      </c>
      <c r="J636" s="3">
        <f>ROUND(MIN(IF(C636="Técnico III",35,IF(C636="Técnico II",28,IF(C636="Técnico I",23,IF(C636="JR",20,IF(C636="Estágio",10,0))))),IF(C636="Técnico III",SUMIFS($D:$D,$A:$A,$A636,$B:$B,"&lt;&gt;Patrícia Karla de Sousa Araújo",$B:$B,"&lt;&gt;Lorena Dias de Araujo",$B:$B,"&lt;&gt;Lucas Luiz Romero")*(35/1083),IF(C636="Técnico II",SUMIFS($D:$D,$A:$A,$A636,$B:$B,"&lt;&gt;Patrícia Karla de Sousa Araújo",$B:$B,"&lt;&gt;Lorena Dias de Araujo",$B:$B,"&lt;&gt;Lucas Luiz Romero")*(28/1083),IF(C636="Técnico I",SUMIFS($D:$D,$A:$A,$A636,$B:$B,"&lt;&gt;Patrícia Karla de Sousa Araújo",$B:$B,"&lt;&gt;Lorena Dias de Araujo",$B:$B,"&lt;&gt;Lucas Luiz Romero")*(23/1083),IF(C636="JR",SUMIFS($D:$D,$A:$A,$A636,$B:$B,"&lt;&gt;Patrícia Karla de Sousa Araújo",$B:$B,"&lt;&gt;Lorena Dias de Araujo",$B:$B,"&lt;&gt;Lucas Luiz Romero")*(20/1083),IF(C636="Estágio",SUMIFS($D:$D,$A:$A,$A636,$B:$B,"&lt;&gt;Patrícia Karla de Sousa Araújo",$B:$B,"&lt;&gt;Lorena Dias de Araujo",$B:$B,"&lt;&gt;Lucas Luiz Romero")*(10/1083),0)))))),0)</f>
        <v>23</v>
      </c>
      <c r="K636" s="3">
        <f>I636-J636</f>
        <v>-13</v>
      </c>
      <c r="L636" s="3" t="str">
        <f>IF(K636&lt;-5,"CRÍTICO",IF(K636&lt;0,"ATENÇÃO",IF(K636&lt;=5,"OPORTUNO","MUITO BOM")))</f>
        <v>CRÍTICO</v>
      </c>
      <c r="M636" s="3">
        <v>9</v>
      </c>
      <c r="N636" s="3">
        <v>98.94</v>
      </c>
      <c r="O636" s="3">
        <v>21.270718232044199</v>
      </c>
    </row>
    <row r="637" spans="1:15" hidden="1" x14ac:dyDescent="0.25">
      <c r="A637" s="11">
        <v>46052</v>
      </c>
      <c r="B637" t="s">
        <v>22</v>
      </c>
      <c r="C637" t="s">
        <v>23</v>
      </c>
      <c r="D637">
        <v>32</v>
      </c>
      <c r="E637">
        <v>31</v>
      </c>
      <c r="F637">
        <v>20.39</v>
      </c>
      <c r="G637">
        <v>0</v>
      </c>
      <c r="H637">
        <v>0</v>
      </c>
      <c r="I637" s="3">
        <f>E637+G637+H637</f>
        <v>31</v>
      </c>
      <c r="J637" s="3">
        <f>ROUND(MIN(IF(C637="Técnico III",35,IF(C637="Técnico II",28,IF(C637="Técnico I",23,IF(C637="JR",20,IF(C637="Estágio",10,0))))),IF(C637="Técnico III",SUMIFS($D:$D,$A:$A,$A637,$B:$B,"&lt;&gt;Patrícia Karla de Sousa Araújo",$B:$B,"&lt;&gt;Lorena Dias de Araujo",$B:$B,"&lt;&gt;Lucas Luiz Romero")*(35/1083),IF(C637="Técnico II",SUMIFS($D:$D,$A:$A,$A637,$B:$B,"&lt;&gt;Patrícia Karla de Sousa Araújo",$B:$B,"&lt;&gt;Lorena Dias de Araujo",$B:$B,"&lt;&gt;Lucas Luiz Romero")*(28/1083),IF(C637="Técnico I",SUMIFS($D:$D,$A:$A,$A637,$B:$B,"&lt;&gt;Patrícia Karla de Sousa Araújo",$B:$B,"&lt;&gt;Lorena Dias de Araujo",$B:$B,"&lt;&gt;Lucas Luiz Romero")*(23/1083),IF(C637="JR",SUMIFS($D:$D,$A:$A,$A637,$B:$B,"&lt;&gt;Patrícia Karla de Sousa Araújo",$B:$B,"&lt;&gt;Lorena Dias de Araujo",$B:$B,"&lt;&gt;Lucas Luiz Romero")*(20/1083),IF(C637="Estágio",SUMIFS($D:$D,$A:$A,$A637,$B:$B,"&lt;&gt;Patrícia Karla de Sousa Araújo",$B:$B,"&lt;&gt;Lorena Dias de Araujo",$B:$B,"&lt;&gt;Lucas Luiz Romero")*(10/1083),0)))))),0)</f>
        <v>18</v>
      </c>
      <c r="K637" s="3">
        <f>I637-J637</f>
        <v>13</v>
      </c>
      <c r="L637" s="3" t="str">
        <f>IF(K637&lt;-5,"CRÍTICO",IF(K637&lt;0,"ATENÇÃO",IF(K637&lt;=5,"BOM","EXCELENTE")))</f>
        <v>EXCELENTE</v>
      </c>
      <c r="M637">
        <v>31</v>
      </c>
      <c r="N637">
        <v>98.91</v>
      </c>
      <c r="O637">
        <v>31.367292225201069</v>
      </c>
    </row>
    <row r="638" spans="1:15" hidden="1" x14ac:dyDescent="0.25">
      <c r="A638" s="11">
        <v>46055</v>
      </c>
      <c r="B638" t="s">
        <v>22</v>
      </c>
      <c r="C638" t="s">
        <v>23</v>
      </c>
      <c r="D638">
        <v>17</v>
      </c>
      <c r="E638">
        <v>15</v>
      </c>
      <c r="F638">
        <v>25.08</v>
      </c>
      <c r="G638">
        <v>0</v>
      </c>
      <c r="H638">
        <v>0</v>
      </c>
      <c r="I638" s="3">
        <f>E638+G638+H638</f>
        <v>15</v>
      </c>
      <c r="J638" s="3">
        <f>ROUND(MIN(IF(C638="Técnico III",35,IF(C638="Técnico II",28,IF(C638="Técnico I",23,IF(C638="JR",20,IF(C638="Estágio",10,0))))),IF(C638="Técnico III",SUMIFS($D:$D,$A:$A,$A638,$B:$B,"&lt;&gt;Patrícia Karla de Sousa Araújo",$B:$B,"&lt;&gt;Lorena Dias de Araujo",$B:$B,"&lt;&gt;Lucas Luiz Romero")*(35/1083),IF(C638="Técnico II",SUMIFS($D:$D,$A:$A,$A638,$B:$B,"&lt;&gt;Patrícia Karla de Sousa Araújo",$B:$B,"&lt;&gt;Lorena Dias de Araujo",$B:$B,"&lt;&gt;Lucas Luiz Romero")*(28/1083),IF(C638="Técnico I",SUMIFS($D:$D,$A:$A,$A638,$B:$B,"&lt;&gt;Patrícia Karla de Sousa Araújo",$B:$B,"&lt;&gt;Lorena Dias de Araujo",$B:$B,"&lt;&gt;Lucas Luiz Romero")*(23/1083),IF(C638="JR",SUMIFS($D:$D,$A:$A,$A638,$B:$B,"&lt;&gt;Patrícia Karla de Sousa Araújo",$B:$B,"&lt;&gt;Lorena Dias de Araujo",$B:$B,"&lt;&gt;Lucas Luiz Romero")*(20/1083),IF(C638="Estágio",SUMIFS($D:$D,$A:$A,$A638,$B:$B,"&lt;&gt;Patrícia Karla de Sousa Araújo",$B:$B,"&lt;&gt;Lorena Dias de Araujo",$B:$B,"&lt;&gt;Lucas Luiz Romero")*(10/1083),0)))))),0)</f>
        <v>19</v>
      </c>
      <c r="K638" s="3">
        <f>I638-J638</f>
        <v>-4</v>
      </c>
      <c r="L638" s="3" t="str">
        <f>IF(K638&lt;-5,"CRÍTICO",IF(K638&lt;0,"ATENÇÃO",IF(K638&lt;=5,"BOM","EXCELENTE")))</f>
        <v>ATENÇÃO</v>
      </c>
      <c r="M638">
        <v>14</v>
      </c>
      <c r="N638">
        <v>96.67</v>
      </c>
      <c r="O638">
        <v>31.451612903225811</v>
      </c>
    </row>
    <row r="639" spans="1:15" hidden="1" x14ac:dyDescent="0.25">
      <c r="A639" s="5">
        <v>46156</v>
      </c>
      <c r="B639" s="6" t="s">
        <v>56</v>
      </c>
      <c r="C639" s="1" t="s">
        <v>48</v>
      </c>
      <c r="D639" s="3">
        <v>26</v>
      </c>
      <c r="E639" s="3">
        <v>24</v>
      </c>
      <c r="F639" s="3">
        <v>18.579999999999998</v>
      </c>
      <c r="G639" s="3">
        <v>0</v>
      </c>
      <c r="H639" s="3">
        <v>0</v>
      </c>
      <c r="I639" s="3">
        <f>E639+G639+H639</f>
        <v>24</v>
      </c>
      <c r="J639" s="3">
        <f>ROUND(MIN(IF(C639="Técnico III",35,IF(C639="Técnico II",28,IF(C639="Técnico I",23,IF(C639="JR",20,IF(C639="Estágio",10,0))))),IF(C639="Técnico III",SUMIFS($D:$D,$A:$A,$A639,$B:$B,"&lt;&gt;Patrícia Karla de Sousa Araújo",$B:$B,"&lt;&gt;Lorena Dias de Araujo",$B:$B,"&lt;&gt;Lucas Luiz Romero")*(35/1083),IF(C639="Técnico II",SUMIFS($D:$D,$A:$A,$A639,$B:$B,"&lt;&gt;Patrícia Karla de Sousa Araújo",$B:$B,"&lt;&gt;Lorena Dias de Araujo",$B:$B,"&lt;&gt;Lucas Luiz Romero")*(28/1083),IF(C639="Técnico I",SUMIFS($D:$D,$A:$A,$A639,$B:$B,"&lt;&gt;Patrícia Karla de Sousa Araújo",$B:$B,"&lt;&gt;Lorena Dias de Araujo",$B:$B,"&lt;&gt;Lucas Luiz Romero")*(23/1083),IF(C639="JR",SUMIFS($D:$D,$A:$A,$A639,$B:$B,"&lt;&gt;Patrícia Karla de Sousa Araújo",$B:$B,"&lt;&gt;Lorena Dias de Araujo",$B:$B,"&lt;&gt;Lucas Luiz Romero")*(20/1083),IF(C639="Estágio",SUMIFS($D:$D,$A:$A,$A639,$B:$B,"&lt;&gt;Patrícia Karla de Sousa Araújo",$B:$B,"&lt;&gt;Lorena Dias de Araujo",$B:$B,"&lt;&gt;Lucas Luiz Romero")*(10/1083),0)))))),0)</f>
        <v>23</v>
      </c>
      <c r="K639" s="3">
        <f>I639-J639</f>
        <v>1</v>
      </c>
      <c r="L639" s="3" t="str">
        <f>IF(K639&lt;-5,"CRÍTICO",IF(K639&lt;0,"ATENÇÃO",IF(K639&lt;=5,"OPORTUNO","MUITO BOM")))</f>
        <v>OPORTUNO</v>
      </c>
      <c r="M639" s="3">
        <v>12</v>
      </c>
      <c r="N639" s="3">
        <v>99</v>
      </c>
      <c r="O639" s="3">
        <v>22.010869565217391</v>
      </c>
    </row>
    <row r="640" spans="1:15" hidden="1" x14ac:dyDescent="0.25">
      <c r="A640" s="5">
        <v>46156</v>
      </c>
      <c r="B640" s="6" t="s">
        <v>57</v>
      </c>
      <c r="C640" s="1" t="s">
        <v>48</v>
      </c>
      <c r="D640" s="3">
        <v>22</v>
      </c>
      <c r="E640" s="3">
        <v>18</v>
      </c>
      <c r="F640" s="3">
        <v>23.52</v>
      </c>
      <c r="G640" s="3">
        <v>0</v>
      </c>
      <c r="H640" s="3">
        <v>0</v>
      </c>
      <c r="I640" s="3">
        <f>E640+G640+H640</f>
        <v>18</v>
      </c>
      <c r="J640" s="3">
        <f>ROUND(MIN(IF(C640="Técnico III",35,IF(C640="Técnico II",28,IF(C640="Técnico I",23,IF(C640="JR",20,IF(C640="Estágio",10,0))))),IF(C640="Técnico III",SUMIFS($D:$D,$A:$A,$A640,$B:$B,"&lt;&gt;Patrícia Karla de Sousa Araújo",$B:$B,"&lt;&gt;Lorena Dias de Araujo",$B:$B,"&lt;&gt;Lucas Luiz Romero")*(35/1083),IF(C640="Técnico II",SUMIFS($D:$D,$A:$A,$A640,$B:$B,"&lt;&gt;Patrícia Karla de Sousa Araújo",$B:$B,"&lt;&gt;Lorena Dias de Araujo",$B:$B,"&lt;&gt;Lucas Luiz Romero")*(28/1083),IF(C640="Técnico I",SUMIFS($D:$D,$A:$A,$A640,$B:$B,"&lt;&gt;Patrícia Karla de Sousa Araújo",$B:$B,"&lt;&gt;Lorena Dias de Araujo",$B:$B,"&lt;&gt;Lucas Luiz Romero")*(23/1083),IF(C640="JR",SUMIFS($D:$D,$A:$A,$A640,$B:$B,"&lt;&gt;Patrícia Karla de Sousa Araújo",$B:$B,"&lt;&gt;Lorena Dias de Araujo",$B:$B,"&lt;&gt;Lucas Luiz Romero")*(20/1083),IF(C640="Estágio",SUMIFS($D:$D,$A:$A,$A640,$B:$B,"&lt;&gt;Patrícia Karla de Sousa Araújo",$B:$B,"&lt;&gt;Lorena Dias de Araujo",$B:$B,"&lt;&gt;Lucas Luiz Romero")*(10/1083),0)))))),0)</f>
        <v>23</v>
      </c>
      <c r="K640" s="3">
        <f>I640-J640</f>
        <v>-5</v>
      </c>
      <c r="L640" s="3" t="str">
        <f>IF(K640&lt;-5,"CRÍTICO",IF(K640&lt;0,"ATENÇÃO",IF(K640&lt;=5,"OPORTUNO","MUITO BOM")))</f>
        <v>ATENÇÃO</v>
      </c>
      <c r="M640" s="3">
        <v>16</v>
      </c>
      <c r="N640" s="3">
        <v>100</v>
      </c>
      <c r="O640" s="3">
        <v>25</v>
      </c>
    </row>
    <row r="641" spans="1:15" hidden="1" x14ac:dyDescent="0.25">
      <c r="A641" s="5">
        <v>46156</v>
      </c>
      <c r="B641" s="6" t="s">
        <v>58</v>
      </c>
      <c r="C641" s="1" t="s">
        <v>48</v>
      </c>
      <c r="D641" s="3">
        <v>29</v>
      </c>
      <c r="E641" s="3">
        <v>26</v>
      </c>
      <c r="F641" s="3">
        <v>20.36</v>
      </c>
      <c r="G641" s="3">
        <v>0</v>
      </c>
      <c r="H641" s="3">
        <v>0</v>
      </c>
      <c r="I641" s="3">
        <f>E641+G641+H641</f>
        <v>26</v>
      </c>
      <c r="J641" s="3">
        <f>ROUND(MIN(IF(C641="Técnico III",35,IF(C641="Técnico II",28,IF(C641="Técnico I",23,IF(C641="JR",20,IF(C641="Estágio",10,0))))),IF(C641="Técnico III",SUMIFS($D:$D,$A:$A,$A641,$B:$B,"&lt;&gt;Patrícia Karla de Sousa Araújo",$B:$B,"&lt;&gt;Lorena Dias de Araujo",$B:$B,"&lt;&gt;Lucas Luiz Romero")*(35/1083),IF(C641="Técnico II",SUMIFS($D:$D,$A:$A,$A641,$B:$B,"&lt;&gt;Patrícia Karla de Sousa Araújo",$B:$B,"&lt;&gt;Lorena Dias de Araujo",$B:$B,"&lt;&gt;Lucas Luiz Romero")*(28/1083),IF(C641="Técnico I",SUMIFS($D:$D,$A:$A,$A641,$B:$B,"&lt;&gt;Patrícia Karla de Sousa Araújo",$B:$B,"&lt;&gt;Lorena Dias de Araujo",$B:$B,"&lt;&gt;Lucas Luiz Romero")*(23/1083),IF(C641="JR",SUMIFS($D:$D,$A:$A,$A641,$B:$B,"&lt;&gt;Patrícia Karla de Sousa Araújo",$B:$B,"&lt;&gt;Lorena Dias de Araujo",$B:$B,"&lt;&gt;Lucas Luiz Romero")*(20/1083),IF(C641="Estágio",SUMIFS($D:$D,$A:$A,$A641,$B:$B,"&lt;&gt;Patrícia Karla de Sousa Araújo",$B:$B,"&lt;&gt;Lorena Dias de Araujo",$B:$B,"&lt;&gt;Lucas Luiz Romero")*(10/1083),0)))))),0)</f>
        <v>23</v>
      </c>
      <c r="K641" s="3">
        <f>I641-J641</f>
        <v>3</v>
      </c>
      <c r="L641" s="3" t="str">
        <f>IF(K641&lt;-5,"CRÍTICO",IF(K641&lt;0,"ATENÇÃO",IF(K641&lt;=5,"OPORTUNO","MUITO BOM")))</f>
        <v>OPORTUNO</v>
      </c>
      <c r="M641" s="3">
        <v>23</v>
      </c>
      <c r="N641" s="3">
        <v>100</v>
      </c>
      <c r="O641" s="3">
        <v>20.183486238532112</v>
      </c>
    </row>
    <row r="642" spans="1:15" hidden="1" x14ac:dyDescent="0.25">
      <c r="A642" s="5">
        <v>46156</v>
      </c>
      <c r="B642" s="6" t="s">
        <v>59</v>
      </c>
      <c r="C642" s="1" t="s">
        <v>23</v>
      </c>
      <c r="D642" s="3">
        <v>27</v>
      </c>
      <c r="E642" s="3">
        <v>25</v>
      </c>
      <c r="F642" s="3">
        <v>18.510000000000002</v>
      </c>
      <c r="G642" s="3">
        <v>1</v>
      </c>
      <c r="H642" s="3">
        <v>0</v>
      </c>
      <c r="I642" s="3">
        <f>E642+G642+H642</f>
        <v>26</v>
      </c>
      <c r="J642" s="3">
        <f>ROUND(MIN(IF(C642="Técnico III",35,IF(C642="Técnico II",28,IF(C642="Técnico I",23,IF(C642="JR",20,IF(C642="Estágio",10,0))))),IF(C642="Técnico III",SUMIFS($D:$D,$A:$A,$A642,$B:$B,"&lt;&gt;Patrícia Karla de Sousa Araújo",$B:$B,"&lt;&gt;Lorena Dias de Araujo",$B:$B,"&lt;&gt;Lucas Luiz Romero")*(35/1083),IF(C642="Técnico II",SUMIFS($D:$D,$A:$A,$A642,$B:$B,"&lt;&gt;Patrícia Karla de Sousa Araújo",$B:$B,"&lt;&gt;Lorena Dias de Araujo",$B:$B,"&lt;&gt;Lucas Luiz Romero")*(28/1083),IF(C642="Técnico I",SUMIFS($D:$D,$A:$A,$A642,$B:$B,"&lt;&gt;Patrícia Karla de Sousa Araújo",$B:$B,"&lt;&gt;Lorena Dias de Araujo",$B:$B,"&lt;&gt;Lucas Luiz Romero")*(23/1083),IF(C642="JR",SUMIFS($D:$D,$A:$A,$A642,$B:$B,"&lt;&gt;Patrícia Karla de Sousa Araújo",$B:$B,"&lt;&gt;Lorena Dias de Araujo",$B:$B,"&lt;&gt;Lucas Luiz Romero")*(20/1083),IF(C642="Estágio",SUMIFS($D:$D,$A:$A,$A642,$B:$B,"&lt;&gt;Patrícia Karla de Sousa Araújo",$B:$B,"&lt;&gt;Lorena Dias de Araujo",$B:$B,"&lt;&gt;Lucas Luiz Romero")*(10/1083),0)))))),0)</f>
        <v>19</v>
      </c>
      <c r="K642" s="3">
        <f>I642-J642</f>
        <v>7</v>
      </c>
      <c r="L642" s="3" t="str">
        <f>IF(K642&lt;-5,"CRÍTICO",IF(K642&lt;0,"ATENÇÃO",IF(K642&lt;=5,"OPORTUNO","MUITO BOM")))</f>
        <v>MUITO BOM</v>
      </c>
      <c r="M642" s="3">
        <v>23</v>
      </c>
      <c r="N642" s="3">
        <v>96.25</v>
      </c>
      <c r="O642" s="3">
        <v>25.586353944562902</v>
      </c>
    </row>
    <row r="643" spans="1:15" hidden="1" x14ac:dyDescent="0.25">
      <c r="A643" s="5">
        <v>46156</v>
      </c>
      <c r="B643" s="6" t="s">
        <v>60</v>
      </c>
      <c r="C643" s="1" t="s">
        <v>23</v>
      </c>
      <c r="D643" s="3">
        <v>33</v>
      </c>
      <c r="E643" s="3">
        <v>29</v>
      </c>
      <c r="F643" s="3">
        <v>11.54</v>
      </c>
      <c r="G643" s="3">
        <v>7</v>
      </c>
      <c r="H643" s="3">
        <v>0</v>
      </c>
      <c r="I643" s="3">
        <f>E643+G643+H643</f>
        <v>36</v>
      </c>
      <c r="J643" s="3">
        <f>ROUND(MIN(IF(C643="Técnico III",35,IF(C643="Técnico II",28,IF(C643="Técnico I",23,IF(C643="JR",20,IF(C643="Estágio",10,0))))),IF(C643="Técnico III",SUMIFS($D:$D,$A:$A,$A643,$B:$B,"&lt;&gt;Patrícia Karla de Sousa Araújo",$B:$B,"&lt;&gt;Lorena Dias de Araujo",$B:$B,"&lt;&gt;Lucas Luiz Romero")*(35/1083),IF(C643="Técnico II",SUMIFS($D:$D,$A:$A,$A643,$B:$B,"&lt;&gt;Patrícia Karla de Sousa Araújo",$B:$B,"&lt;&gt;Lorena Dias de Araujo",$B:$B,"&lt;&gt;Lucas Luiz Romero")*(28/1083),IF(C643="Técnico I",SUMIFS($D:$D,$A:$A,$A643,$B:$B,"&lt;&gt;Patrícia Karla de Sousa Araújo",$B:$B,"&lt;&gt;Lorena Dias de Araujo",$B:$B,"&lt;&gt;Lucas Luiz Romero")*(23/1083),IF(C643="JR",SUMIFS($D:$D,$A:$A,$A643,$B:$B,"&lt;&gt;Patrícia Karla de Sousa Araújo",$B:$B,"&lt;&gt;Lorena Dias de Araujo",$B:$B,"&lt;&gt;Lucas Luiz Romero")*(20/1083),IF(C643="Estágio",SUMIFS($D:$D,$A:$A,$A643,$B:$B,"&lt;&gt;Patrícia Karla de Sousa Araújo",$B:$B,"&lt;&gt;Lorena Dias de Araujo",$B:$B,"&lt;&gt;Lucas Luiz Romero")*(10/1083),0)))))),0)</f>
        <v>19</v>
      </c>
      <c r="K643" s="3">
        <f>I643-J643</f>
        <v>17</v>
      </c>
      <c r="L643" s="3" t="str">
        <f>IF(K643&lt;-5,"CRÍTICO",IF(K643&lt;0,"ATENÇÃO",IF(K643&lt;=5,"OPORTUNO","MUITO BOM")))</f>
        <v>MUITO BOM</v>
      </c>
      <c r="M643" s="3">
        <v>30</v>
      </c>
      <c r="N643" s="3">
        <v>97.48</v>
      </c>
      <c r="O643" s="3">
        <v>22.99465240641711</v>
      </c>
    </row>
    <row r="644" spans="1:15" hidden="1" x14ac:dyDescent="0.25">
      <c r="A644" s="5">
        <v>46156</v>
      </c>
      <c r="B644" s="6" t="s">
        <v>61</v>
      </c>
      <c r="C644" s="1" t="s">
        <v>23</v>
      </c>
      <c r="D644" s="3">
        <v>30</v>
      </c>
      <c r="E644" s="3">
        <v>28</v>
      </c>
      <c r="F644" s="3">
        <v>18.25</v>
      </c>
      <c r="G644" s="3">
        <v>1</v>
      </c>
      <c r="H644" s="3">
        <v>0</v>
      </c>
      <c r="I644" s="3">
        <f>E644+G644+H644</f>
        <v>29</v>
      </c>
      <c r="J644" s="3">
        <f>ROUND(MIN(IF(C644="Técnico III",35,IF(C644="Técnico II",28,IF(C644="Técnico I",23,IF(C644="JR",20,IF(C644="Estágio",10,0))))),IF(C644="Técnico III",SUMIFS($D:$D,$A:$A,$A644,$B:$B,"&lt;&gt;Patrícia Karla de Sousa Araújo",$B:$B,"&lt;&gt;Lorena Dias de Araujo",$B:$B,"&lt;&gt;Lucas Luiz Romero")*(35/1083),IF(C644="Técnico II",SUMIFS($D:$D,$A:$A,$A644,$B:$B,"&lt;&gt;Patrícia Karla de Sousa Araújo",$B:$B,"&lt;&gt;Lorena Dias de Araujo",$B:$B,"&lt;&gt;Lucas Luiz Romero")*(28/1083),IF(C644="Técnico I",SUMIFS($D:$D,$A:$A,$A644,$B:$B,"&lt;&gt;Patrícia Karla de Sousa Araújo",$B:$B,"&lt;&gt;Lorena Dias de Araujo",$B:$B,"&lt;&gt;Lucas Luiz Romero")*(23/1083),IF(C644="JR",SUMIFS($D:$D,$A:$A,$A644,$B:$B,"&lt;&gt;Patrícia Karla de Sousa Araújo",$B:$B,"&lt;&gt;Lorena Dias de Araujo",$B:$B,"&lt;&gt;Lucas Luiz Romero")*(20/1083),IF(C644="Estágio",SUMIFS($D:$D,$A:$A,$A644,$B:$B,"&lt;&gt;Patrícia Karla de Sousa Araújo",$B:$B,"&lt;&gt;Lorena Dias de Araujo",$B:$B,"&lt;&gt;Lucas Luiz Romero")*(10/1083),0)))))),0)</f>
        <v>19</v>
      </c>
      <c r="K644" s="3">
        <f>I644-J644</f>
        <v>10</v>
      </c>
      <c r="L644" s="3" t="str">
        <f>IF(K644&lt;-5,"CRÍTICO",IF(K644&lt;0,"ATENÇÃO",IF(K644&lt;=5,"OPORTUNO","MUITO BOM")))</f>
        <v>MUITO BOM</v>
      </c>
      <c r="M644" s="3">
        <v>20</v>
      </c>
      <c r="N644" s="3">
        <v>100</v>
      </c>
      <c r="O644" s="3">
        <v>20.788530465949819</v>
      </c>
    </row>
    <row r="645" spans="1:15" hidden="1" x14ac:dyDescent="0.25">
      <c r="A645" s="5">
        <v>46156</v>
      </c>
      <c r="B645" s="6" t="s">
        <v>62</v>
      </c>
      <c r="C645" s="1" t="s">
        <v>23</v>
      </c>
      <c r="D645" s="3">
        <v>11</v>
      </c>
      <c r="E645" s="3">
        <v>11</v>
      </c>
      <c r="F645" s="3">
        <v>33.21</v>
      </c>
      <c r="G645" s="3">
        <v>4</v>
      </c>
      <c r="H645" s="3">
        <v>0</v>
      </c>
      <c r="I645" s="3">
        <f>E645+G645+H645</f>
        <v>15</v>
      </c>
      <c r="J645" s="3">
        <f>ROUND(MIN(IF(C645="Técnico III",35,IF(C645="Técnico II",28,IF(C645="Técnico I",23,IF(C645="JR",20,IF(C645="Estágio",10,0))))),IF(C645="Técnico III",SUMIFS($D:$D,$A:$A,$A645,$B:$B,"&lt;&gt;Patrícia Karla de Sousa Araújo",$B:$B,"&lt;&gt;Lorena Dias de Araujo",$B:$B,"&lt;&gt;Lucas Luiz Romero")*(35/1083),IF(C645="Técnico II",SUMIFS($D:$D,$A:$A,$A645,$B:$B,"&lt;&gt;Patrícia Karla de Sousa Araújo",$B:$B,"&lt;&gt;Lorena Dias de Araujo",$B:$B,"&lt;&gt;Lucas Luiz Romero")*(28/1083),IF(C645="Técnico I",SUMIFS($D:$D,$A:$A,$A645,$B:$B,"&lt;&gt;Patrícia Karla de Sousa Araújo",$B:$B,"&lt;&gt;Lorena Dias de Araujo",$B:$B,"&lt;&gt;Lucas Luiz Romero")*(23/1083),IF(C645="JR",SUMIFS($D:$D,$A:$A,$A645,$B:$B,"&lt;&gt;Patrícia Karla de Sousa Araújo",$B:$B,"&lt;&gt;Lorena Dias de Araujo",$B:$B,"&lt;&gt;Lucas Luiz Romero")*(20/1083),IF(C645="Estágio",SUMIFS($D:$D,$A:$A,$A645,$B:$B,"&lt;&gt;Patrícia Karla de Sousa Araújo",$B:$B,"&lt;&gt;Lorena Dias de Araujo",$B:$B,"&lt;&gt;Lucas Luiz Romero")*(10/1083),0)))))),0)</f>
        <v>19</v>
      </c>
      <c r="K645" s="3">
        <f>I645-J645</f>
        <v>-4</v>
      </c>
      <c r="L645" s="3" t="str">
        <f>IF(K645&lt;-5,"CRÍTICO",IF(K645&lt;0,"ATENÇÃO",IF(K645&lt;=5,"OPORTUNO","MUITO BOM")))</f>
        <v>ATENÇÃO</v>
      </c>
      <c r="M645" s="3">
        <v>16</v>
      </c>
      <c r="N645" s="3">
        <v>94.55</v>
      </c>
      <c r="O645" s="3">
        <v>23.450134770889491</v>
      </c>
    </row>
    <row r="646" spans="1:15" hidden="1" x14ac:dyDescent="0.25">
      <c r="A646" s="5">
        <v>46156</v>
      </c>
      <c r="B646" s="6" t="s">
        <v>63</v>
      </c>
      <c r="C646" s="1" t="s">
        <v>23</v>
      </c>
      <c r="D646" s="3">
        <v>26</v>
      </c>
      <c r="E646" s="3">
        <v>25</v>
      </c>
      <c r="F646" s="3">
        <v>15.24</v>
      </c>
      <c r="G646" s="3">
        <v>1</v>
      </c>
      <c r="H646" s="3">
        <v>0</v>
      </c>
      <c r="I646" s="3">
        <f>E646+G646+H646</f>
        <v>26</v>
      </c>
      <c r="J646" s="3">
        <f>ROUND(MIN(IF(C646="Técnico III",35,IF(C646="Técnico II",28,IF(C646="Técnico I",23,IF(C646="JR",20,IF(C646="Estágio",10,0))))),IF(C646="Técnico III",SUMIFS($D:$D,$A:$A,$A646,$B:$B,"&lt;&gt;Patrícia Karla de Sousa Araújo",$B:$B,"&lt;&gt;Lorena Dias de Araujo",$B:$B,"&lt;&gt;Lucas Luiz Romero")*(35/1083),IF(C646="Técnico II",SUMIFS($D:$D,$A:$A,$A646,$B:$B,"&lt;&gt;Patrícia Karla de Sousa Araújo",$B:$B,"&lt;&gt;Lorena Dias de Araujo",$B:$B,"&lt;&gt;Lucas Luiz Romero")*(28/1083),IF(C646="Técnico I",SUMIFS($D:$D,$A:$A,$A646,$B:$B,"&lt;&gt;Patrícia Karla de Sousa Araújo",$B:$B,"&lt;&gt;Lorena Dias de Araujo",$B:$B,"&lt;&gt;Lucas Luiz Romero")*(23/1083),IF(C646="JR",SUMIFS($D:$D,$A:$A,$A646,$B:$B,"&lt;&gt;Patrícia Karla de Sousa Araújo",$B:$B,"&lt;&gt;Lorena Dias de Araujo",$B:$B,"&lt;&gt;Lucas Luiz Romero")*(20/1083),IF(C646="Estágio",SUMIFS($D:$D,$A:$A,$A646,$B:$B,"&lt;&gt;Patrícia Karla de Sousa Araújo",$B:$B,"&lt;&gt;Lorena Dias de Araujo",$B:$B,"&lt;&gt;Lucas Luiz Romero")*(10/1083),0)))))),0)</f>
        <v>19</v>
      </c>
      <c r="K646" s="3">
        <f>I646-J646</f>
        <v>7</v>
      </c>
      <c r="L646" s="3" t="str">
        <f>IF(K646&lt;-5,"CRÍTICO",IF(K646&lt;0,"ATENÇÃO",IF(K646&lt;=5,"OPORTUNO","MUITO BOM")))</f>
        <v>MUITO BOM</v>
      </c>
      <c r="M646" s="3">
        <v>24</v>
      </c>
      <c r="N646" s="3">
        <v>98</v>
      </c>
      <c r="O646" s="3">
        <v>20.73490813648294</v>
      </c>
    </row>
    <row r="647" spans="1:15" hidden="1" x14ac:dyDescent="0.25">
      <c r="A647" s="5">
        <v>46156</v>
      </c>
      <c r="B647" s="6" t="s">
        <v>64</v>
      </c>
      <c r="C647" s="1" t="s">
        <v>23</v>
      </c>
      <c r="D647" s="3">
        <v>20</v>
      </c>
      <c r="E647" s="3">
        <v>19</v>
      </c>
      <c r="F647" s="3">
        <v>20.29</v>
      </c>
      <c r="G647" s="3">
        <v>0</v>
      </c>
      <c r="H647" s="3">
        <v>0</v>
      </c>
      <c r="I647" s="3">
        <f>E647+G647+H647</f>
        <v>19</v>
      </c>
      <c r="J647" s="3">
        <f>ROUND(MIN(IF(C647="Técnico III",35,IF(C647="Técnico II",28,IF(C647="Técnico I",23,IF(C647="JR",20,IF(C647="Estágio",10,0))))),IF(C647="Técnico III",SUMIFS($D:$D,$A:$A,$A647,$B:$B,"&lt;&gt;Patrícia Karla de Sousa Araújo",$B:$B,"&lt;&gt;Lorena Dias de Araujo",$B:$B,"&lt;&gt;Lucas Luiz Romero")*(35/1083),IF(C647="Técnico II",SUMIFS($D:$D,$A:$A,$A647,$B:$B,"&lt;&gt;Patrícia Karla de Sousa Araújo",$B:$B,"&lt;&gt;Lorena Dias de Araujo",$B:$B,"&lt;&gt;Lucas Luiz Romero")*(28/1083),IF(C647="Técnico I",SUMIFS($D:$D,$A:$A,$A647,$B:$B,"&lt;&gt;Patrícia Karla de Sousa Araújo",$B:$B,"&lt;&gt;Lorena Dias de Araujo",$B:$B,"&lt;&gt;Lucas Luiz Romero")*(23/1083),IF(C647="JR",SUMIFS($D:$D,$A:$A,$A647,$B:$B,"&lt;&gt;Patrícia Karla de Sousa Araújo",$B:$B,"&lt;&gt;Lorena Dias de Araujo",$B:$B,"&lt;&gt;Lucas Luiz Romero")*(20/1083),IF(C647="Estágio",SUMIFS($D:$D,$A:$A,$A647,$B:$B,"&lt;&gt;Patrícia Karla de Sousa Araújo",$B:$B,"&lt;&gt;Lorena Dias de Araujo",$B:$B,"&lt;&gt;Lucas Luiz Romero")*(10/1083),0)))))),0)</f>
        <v>19</v>
      </c>
      <c r="K647" s="3">
        <f>I647-J647</f>
        <v>0</v>
      </c>
      <c r="L647" s="3" t="str">
        <f>IF(K647&lt;-5,"CRÍTICO",IF(K647&lt;0,"ATENÇÃO",IF(K647&lt;=5,"OPORTUNO","MUITO BOM")))</f>
        <v>OPORTUNO</v>
      </c>
      <c r="M647" s="3">
        <v>17</v>
      </c>
      <c r="N647" s="3">
        <v>100</v>
      </c>
      <c r="O647" s="3">
        <v>18</v>
      </c>
    </row>
    <row r="648" spans="1:15" hidden="1" x14ac:dyDescent="0.25">
      <c r="A648" s="5">
        <v>46156</v>
      </c>
      <c r="B648" s="6" t="s">
        <v>22</v>
      </c>
      <c r="C648" s="1" t="s">
        <v>23</v>
      </c>
      <c r="D648" s="3">
        <v>19</v>
      </c>
      <c r="E648" s="3">
        <v>18</v>
      </c>
      <c r="F648" s="3">
        <v>22.29</v>
      </c>
      <c r="G648" s="3">
        <v>0</v>
      </c>
      <c r="H648" s="3">
        <v>5</v>
      </c>
      <c r="I648" s="3">
        <f>E648+G648+H648</f>
        <v>23</v>
      </c>
      <c r="J648" s="3">
        <f>ROUND(MIN(IF(C648="Técnico III",35,IF(C648="Técnico II",28,IF(C648="Técnico I",23,IF(C648="JR",20,IF(C648="Estágio",10,0))))),IF(C648="Técnico III",SUMIFS($D:$D,$A:$A,$A648,$B:$B,"&lt;&gt;Patrícia Karla de Sousa Araújo",$B:$B,"&lt;&gt;Lorena Dias de Araujo",$B:$B,"&lt;&gt;Lucas Luiz Romero")*(35/1083),IF(C648="Técnico II",SUMIFS($D:$D,$A:$A,$A648,$B:$B,"&lt;&gt;Patrícia Karla de Sousa Araújo",$B:$B,"&lt;&gt;Lorena Dias de Araujo",$B:$B,"&lt;&gt;Lucas Luiz Romero")*(28/1083),IF(C648="Técnico I",SUMIFS($D:$D,$A:$A,$A648,$B:$B,"&lt;&gt;Patrícia Karla de Sousa Araújo",$B:$B,"&lt;&gt;Lorena Dias de Araujo",$B:$B,"&lt;&gt;Lucas Luiz Romero")*(23/1083),IF(C648="JR",SUMIFS($D:$D,$A:$A,$A648,$B:$B,"&lt;&gt;Patrícia Karla de Sousa Araújo",$B:$B,"&lt;&gt;Lorena Dias de Araujo",$B:$B,"&lt;&gt;Lucas Luiz Romero")*(20/1083),IF(C648="Estágio",SUMIFS($D:$D,$A:$A,$A648,$B:$B,"&lt;&gt;Patrícia Karla de Sousa Araújo",$B:$B,"&lt;&gt;Lorena Dias de Araujo",$B:$B,"&lt;&gt;Lucas Luiz Romero")*(10/1083),0)))))),0)</f>
        <v>19</v>
      </c>
      <c r="K648" s="3">
        <f>I648-J648</f>
        <v>4</v>
      </c>
      <c r="L648" s="3" t="str">
        <f>IF(K648&lt;-5,"CRÍTICO",IF(K648&lt;0,"ATENÇÃO",IF(K648&lt;=5,"OPORTUNO","MUITO BOM")))</f>
        <v>OPORTUNO</v>
      </c>
      <c r="M648" s="3">
        <v>23</v>
      </c>
      <c r="N648" s="3">
        <v>99.06</v>
      </c>
      <c r="O648" s="3">
        <v>19.417475728155338</v>
      </c>
    </row>
    <row r="649" spans="1:15" hidden="1" x14ac:dyDescent="0.25">
      <c r="A649" s="5">
        <v>46157</v>
      </c>
      <c r="B649" s="6" t="s">
        <v>31</v>
      </c>
      <c r="C649" s="1" t="s">
        <v>32</v>
      </c>
      <c r="D649" s="3">
        <v>0</v>
      </c>
      <c r="E649" s="3">
        <v>0</v>
      </c>
      <c r="F649" s="3">
        <v>0</v>
      </c>
      <c r="G649" s="3">
        <v>0</v>
      </c>
      <c r="H649" s="3">
        <v>0</v>
      </c>
      <c r="I649" s="3">
        <f>E649+G649+H649</f>
        <v>0</v>
      </c>
      <c r="J649" s="3">
        <f>ROUND(MIN(IF(C649="Técnico III",35,IF(C649="Técnico II",28,IF(C649="Técnico I",23,IF(C649="JR",20,IF(C649="Estágio",10,0))))),IF(C649="Técnico III",SUMIFS($D:$D,$A:$A,$A649,$B:$B,"&lt;&gt;Patrícia Karla de Sousa Araújo",$B:$B,"&lt;&gt;Lorena Dias de Araujo",$B:$B,"&lt;&gt;Lucas Luiz Romero")*(35/1083),IF(C649="Técnico II",SUMIFS($D:$D,$A:$A,$A649,$B:$B,"&lt;&gt;Patrícia Karla de Sousa Araújo",$B:$B,"&lt;&gt;Lorena Dias de Araujo",$B:$B,"&lt;&gt;Lucas Luiz Romero")*(28/1083),IF(C649="Técnico I",SUMIFS($D:$D,$A:$A,$A649,$B:$B,"&lt;&gt;Patrícia Karla de Sousa Araújo",$B:$B,"&lt;&gt;Lorena Dias de Araujo",$B:$B,"&lt;&gt;Lucas Luiz Romero")*(23/1083),IF(C649="JR",SUMIFS($D:$D,$A:$A,$A649,$B:$B,"&lt;&gt;Patrícia Karla de Sousa Araújo",$B:$B,"&lt;&gt;Lorena Dias de Araujo",$B:$B,"&lt;&gt;Lucas Luiz Romero")*(20/1083),IF(C649="Estágio",SUMIFS($D:$D,$A:$A,$A649,$B:$B,"&lt;&gt;Patrícia Karla de Sousa Araújo",$B:$B,"&lt;&gt;Lorena Dias de Araujo",$B:$B,"&lt;&gt;Lucas Luiz Romero")*(10/1083),0)))))),0)</f>
        <v>29</v>
      </c>
      <c r="K649" s="3">
        <f>I649-J649</f>
        <v>-29</v>
      </c>
      <c r="L649" s="3" t="str">
        <f>IF(K649&lt;-5,"CRÍTICO",IF(K649&lt;0,"ATENÇÃO",IF(K649&lt;=5,"OPORTUNO","MUITO BOM")))</f>
        <v>CRÍTICO</v>
      </c>
      <c r="M649" s="3">
        <v>0</v>
      </c>
      <c r="N649" s="3">
        <v>100</v>
      </c>
      <c r="O649" s="3">
        <v>0</v>
      </c>
    </row>
    <row r="650" spans="1:15" hidden="1" x14ac:dyDescent="0.25">
      <c r="A650" s="5">
        <v>46157</v>
      </c>
      <c r="B650" s="6" t="s">
        <v>33</v>
      </c>
      <c r="C650" s="14" t="s">
        <v>32</v>
      </c>
      <c r="D650" s="3">
        <v>29</v>
      </c>
      <c r="E650" s="3">
        <v>28</v>
      </c>
      <c r="F650" s="3">
        <v>13.59</v>
      </c>
      <c r="G650" s="3">
        <v>3</v>
      </c>
      <c r="H650" s="3">
        <v>0</v>
      </c>
      <c r="I650" s="3">
        <f>E650+G650+H650</f>
        <v>31</v>
      </c>
      <c r="J650" s="3">
        <f>ROUND(MIN(IF(C650="Técnico III",35,IF(C650="Técnico II",28,IF(C650="Técnico I",23,IF(C650="JR",20,IF(C650="Estágio",10,0))))),IF(C650="Técnico III",SUMIFS($D:$D,$A:$A,$A650,$B:$B,"&lt;&gt;Patrícia Karla de Sousa Araújo",$B:$B,"&lt;&gt;Lorena Dias de Araujo",$B:$B,"&lt;&gt;Lucas Luiz Romero")*(35/1083),IF(C650="Técnico II",SUMIFS($D:$D,$A:$A,$A650,$B:$B,"&lt;&gt;Patrícia Karla de Sousa Araújo",$B:$B,"&lt;&gt;Lorena Dias de Araujo",$B:$B,"&lt;&gt;Lucas Luiz Romero")*(28/1083),IF(C650="Técnico I",SUMIFS($D:$D,$A:$A,$A650,$B:$B,"&lt;&gt;Patrícia Karla de Sousa Araújo",$B:$B,"&lt;&gt;Lorena Dias de Araujo",$B:$B,"&lt;&gt;Lucas Luiz Romero")*(23/1083),IF(C650="JR",SUMIFS($D:$D,$A:$A,$A650,$B:$B,"&lt;&gt;Patrícia Karla de Sousa Araújo",$B:$B,"&lt;&gt;Lorena Dias de Araujo",$B:$B,"&lt;&gt;Lucas Luiz Romero")*(20/1083),IF(C650="Estágio",SUMIFS($D:$D,$A:$A,$A650,$B:$B,"&lt;&gt;Patrícia Karla de Sousa Araújo",$B:$B,"&lt;&gt;Lorena Dias de Araujo",$B:$B,"&lt;&gt;Lucas Luiz Romero")*(10/1083),0)))))),0)</f>
        <v>29</v>
      </c>
      <c r="K650" s="3">
        <f>I650-J650</f>
        <v>2</v>
      </c>
      <c r="L650" s="3" t="str">
        <f>IF(K650&lt;-5,"CRÍTICO",IF(K650&lt;0,"ATENÇÃO",IF(K650&lt;=5,"OPORTUNO","MUITO BOM")))</f>
        <v>OPORTUNO</v>
      </c>
      <c r="M650" s="3">
        <v>25</v>
      </c>
      <c r="N650" s="3">
        <v>96.94</v>
      </c>
      <c r="O650" s="3">
        <v>19.613259668508292</v>
      </c>
    </row>
    <row r="651" spans="1:15" hidden="1" x14ac:dyDescent="0.25">
      <c r="A651" s="5">
        <v>46157</v>
      </c>
      <c r="B651" s="6" t="s">
        <v>34</v>
      </c>
      <c r="C651" s="1" t="s">
        <v>32</v>
      </c>
      <c r="D651" s="3">
        <v>37</v>
      </c>
      <c r="E651" s="3">
        <v>31</v>
      </c>
      <c r="F651" s="3">
        <v>11.51</v>
      </c>
      <c r="G651" s="3">
        <v>0</v>
      </c>
      <c r="H651" s="3">
        <v>0</v>
      </c>
      <c r="I651" s="3">
        <f>E651+G651+H651</f>
        <v>31</v>
      </c>
      <c r="J651" s="3">
        <f>ROUND(MIN(IF(C651="Técnico III",35,IF(C651="Técnico II",28,IF(C651="Técnico I",23,IF(C651="JR",20,IF(C651="Estágio",10,0))))),IF(C651="Técnico III",SUMIFS($D:$D,$A:$A,$A651,$B:$B,"&lt;&gt;Patrícia Karla de Sousa Araújo",$B:$B,"&lt;&gt;Lorena Dias de Araujo",$B:$B,"&lt;&gt;Lucas Luiz Romero")*(35/1083),IF(C651="Técnico II",SUMIFS($D:$D,$A:$A,$A651,$B:$B,"&lt;&gt;Patrícia Karla de Sousa Araújo",$B:$B,"&lt;&gt;Lorena Dias de Araujo",$B:$B,"&lt;&gt;Lucas Luiz Romero")*(28/1083),IF(C651="Técnico I",SUMIFS($D:$D,$A:$A,$A651,$B:$B,"&lt;&gt;Patrícia Karla de Sousa Araújo",$B:$B,"&lt;&gt;Lorena Dias de Araujo",$B:$B,"&lt;&gt;Lucas Luiz Romero")*(23/1083),IF(C651="JR",SUMIFS($D:$D,$A:$A,$A651,$B:$B,"&lt;&gt;Patrícia Karla de Sousa Araújo",$B:$B,"&lt;&gt;Lorena Dias de Araujo",$B:$B,"&lt;&gt;Lucas Luiz Romero")*(20/1083),IF(C651="Estágio",SUMIFS($D:$D,$A:$A,$A651,$B:$B,"&lt;&gt;Patrícia Karla de Sousa Araújo",$B:$B,"&lt;&gt;Lorena Dias de Araujo",$B:$B,"&lt;&gt;Lucas Luiz Romero")*(10/1083),0)))))),0)</f>
        <v>29</v>
      </c>
      <c r="K651" s="3">
        <f>I651-J651</f>
        <v>2</v>
      </c>
      <c r="L651" s="3" t="str">
        <f>IF(K651&lt;-5,"CRÍTICO",IF(K651&lt;0,"ATENÇÃO",IF(K651&lt;=5,"OPORTUNO","MUITO BOM")))</f>
        <v>OPORTUNO</v>
      </c>
      <c r="M651" s="3">
        <v>29</v>
      </c>
      <c r="N651" s="3">
        <v>92.81</v>
      </c>
      <c r="O651" s="3">
        <v>25.477707006369432</v>
      </c>
    </row>
    <row r="652" spans="1:15" hidden="1" x14ac:dyDescent="0.25">
      <c r="A652" s="5">
        <v>46157</v>
      </c>
      <c r="B652" s="6" t="s">
        <v>35</v>
      </c>
      <c r="C652" s="14" t="s">
        <v>32</v>
      </c>
      <c r="D652" s="3">
        <v>20</v>
      </c>
      <c r="E652" s="3">
        <v>20</v>
      </c>
      <c r="F652" s="3">
        <v>20.329999999999998</v>
      </c>
      <c r="G652" s="3">
        <v>0</v>
      </c>
      <c r="H652" s="3">
        <v>0</v>
      </c>
      <c r="I652" s="3">
        <f>E652+G652+H652</f>
        <v>20</v>
      </c>
      <c r="J652" s="3">
        <f>ROUND(MIN(IF(C652="Técnico III",35,IF(C652="Técnico II",28,IF(C652="Técnico I",23,IF(C652="JR",20,IF(C652="Estágio",10,0))))),IF(C652="Técnico III",SUMIFS($D:$D,$A:$A,$A652,$B:$B,"&lt;&gt;Patrícia Karla de Sousa Araújo",$B:$B,"&lt;&gt;Lorena Dias de Araujo",$B:$B,"&lt;&gt;Lucas Luiz Romero")*(35/1083),IF(C652="Técnico II",SUMIFS($D:$D,$A:$A,$A652,$B:$B,"&lt;&gt;Patrícia Karla de Sousa Araújo",$B:$B,"&lt;&gt;Lorena Dias de Araujo",$B:$B,"&lt;&gt;Lucas Luiz Romero")*(28/1083),IF(C652="Técnico I",SUMIFS($D:$D,$A:$A,$A652,$B:$B,"&lt;&gt;Patrícia Karla de Sousa Araújo",$B:$B,"&lt;&gt;Lorena Dias de Araujo",$B:$B,"&lt;&gt;Lucas Luiz Romero")*(23/1083),IF(C652="JR",SUMIFS($D:$D,$A:$A,$A652,$B:$B,"&lt;&gt;Patrícia Karla de Sousa Araújo",$B:$B,"&lt;&gt;Lorena Dias de Araujo",$B:$B,"&lt;&gt;Lucas Luiz Romero")*(20/1083),IF(C652="Estágio",SUMIFS($D:$D,$A:$A,$A652,$B:$B,"&lt;&gt;Patrícia Karla de Sousa Araújo",$B:$B,"&lt;&gt;Lorena Dias de Araujo",$B:$B,"&lt;&gt;Lucas Luiz Romero")*(10/1083),0)))))),0)</f>
        <v>29</v>
      </c>
      <c r="K652" s="3">
        <f>I652-J652</f>
        <v>-9</v>
      </c>
      <c r="L652" s="3" t="str">
        <f>IF(K652&lt;-5,"CRÍTICO",IF(K652&lt;0,"ATENÇÃO",IF(K652&lt;=5,"OPORTUNO","MUITO BOM")))</f>
        <v>CRÍTICO</v>
      </c>
      <c r="M652" s="3">
        <v>23</v>
      </c>
      <c r="N652" s="3">
        <v>99.19</v>
      </c>
      <c r="O652" s="3">
        <v>28.404669260700391</v>
      </c>
    </row>
    <row r="653" spans="1:15" hidden="1" x14ac:dyDescent="0.25">
      <c r="A653" s="5">
        <v>46157</v>
      </c>
      <c r="B653" s="6" t="s">
        <v>37</v>
      </c>
      <c r="C653" s="1" t="s">
        <v>32</v>
      </c>
      <c r="D653" s="3">
        <v>44</v>
      </c>
      <c r="E653" s="3">
        <v>38</v>
      </c>
      <c r="F653" s="3">
        <v>12.34</v>
      </c>
      <c r="G653" s="3">
        <v>6</v>
      </c>
      <c r="H653" s="3">
        <v>0</v>
      </c>
      <c r="I653" s="3">
        <f>E653+G653+H653</f>
        <v>44</v>
      </c>
      <c r="J653" s="3">
        <f>ROUND(MIN(IF(C653="Técnico III",35,IF(C653="Técnico II",28,IF(C653="Técnico I",23,IF(C653="JR",20,IF(C653="Estágio",10,0))))),IF(C653="Técnico III",SUMIFS($D:$D,$A:$A,$A653,$B:$B,"&lt;&gt;Patrícia Karla de Sousa Araújo",$B:$B,"&lt;&gt;Lorena Dias de Araujo",$B:$B,"&lt;&gt;Lucas Luiz Romero")*(35/1083),IF(C653="Técnico II",SUMIFS($D:$D,$A:$A,$A653,$B:$B,"&lt;&gt;Patrícia Karla de Sousa Araújo",$B:$B,"&lt;&gt;Lorena Dias de Araujo",$B:$B,"&lt;&gt;Lucas Luiz Romero")*(28/1083),IF(C653="Técnico I",SUMIFS($D:$D,$A:$A,$A653,$B:$B,"&lt;&gt;Patrícia Karla de Sousa Araújo",$B:$B,"&lt;&gt;Lorena Dias de Araujo",$B:$B,"&lt;&gt;Lucas Luiz Romero")*(23/1083),IF(C653="JR",SUMIFS($D:$D,$A:$A,$A653,$B:$B,"&lt;&gt;Patrícia Karla de Sousa Araújo",$B:$B,"&lt;&gt;Lorena Dias de Araujo",$B:$B,"&lt;&gt;Lucas Luiz Romero")*(20/1083),IF(C653="Estágio",SUMIFS($D:$D,$A:$A,$A653,$B:$B,"&lt;&gt;Patrícia Karla de Sousa Araújo",$B:$B,"&lt;&gt;Lorena Dias de Araujo",$B:$B,"&lt;&gt;Lucas Luiz Romero")*(10/1083),0)))))),0)</f>
        <v>29</v>
      </c>
      <c r="K653" s="3">
        <f>I653-J653</f>
        <v>15</v>
      </c>
      <c r="L653" s="3" t="str">
        <f>IF(K653&lt;-5,"CRÍTICO",IF(K653&lt;0,"ATENÇÃO",IF(K653&lt;=5,"OPORTUNO","MUITO BOM")))</f>
        <v>MUITO BOM</v>
      </c>
      <c r="M653" s="3">
        <v>39</v>
      </c>
      <c r="N653" s="3">
        <v>99</v>
      </c>
      <c r="O653" s="3">
        <v>22.27414330218069</v>
      </c>
    </row>
    <row r="654" spans="1:15" hidden="1" x14ac:dyDescent="0.25">
      <c r="A654" s="5">
        <v>46157</v>
      </c>
      <c r="B654" s="6" t="s">
        <v>38</v>
      </c>
      <c r="C654" s="1" t="s">
        <v>32</v>
      </c>
      <c r="D654" s="3">
        <v>30</v>
      </c>
      <c r="E654" s="3">
        <v>29</v>
      </c>
      <c r="F654" s="3">
        <v>13.38</v>
      </c>
      <c r="G654" s="3">
        <v>5</v>
      </c>
      <c r="H654" s="3">
        <v>0</v>
      </c>
      <c r="I654" s="3">
        <f>E654+G654+H654</f>
        <v>34</v>
      </c>
      <c r="J654" s="3">
        <f>ROUND(MIN(IF(C654="Técnico III",35,IF(C654="Técnico II",28,IF(C654="Técnico I",23,IF(C654="JR",20,IF(C654="Estágio",10,0))))),IF(C654="Técnico III",SUMIFS($D:$D,$A:$A,$A654,$B:$B,"&lt;&gt;Patrícia Karla de Sousa Araújo",$B:$B,"&lt;&gt;Lorena Dias de Araujo",$B:$B,"&lt;&gt;Lucas Luiz Romero")*(35/1083),IF(C654="Técnico II",SUMIFS($D:$D,$A:$A,$A654,$B:$B,"&lt;&gt;Patrícia Karla de Sousa Araújo",$B:$B,"&lt;&gt;Lorena Dias de Araujo",$B:$B,"&lt;&gt;Lucas Luiz Romero")*(28/1083),IF(C654="Técnico I",SUMIFS($D:$D,$A:$A,$A654,$B:$B,"&lt;&gt;Patrícia Karla de Sousa Araújo",$B:$B,"&lt;&gt;Lorena Dias de Araujo",$B:$B,"&lt;&gt;Lucas Luiz Romero")*(23/1083),IF(C654="JR",SUMIFS($D:$D,$A:$A,$A654,$B:$B,"&lt;&gt;Patrícia Karla de Sousa Araújo",$B:$B,"&lt;&gt;Lorena Dias de Araujo",$B:$B,"&lt;&gt;Lucas Luiz Romero")*(20/1083),IF(C654="Estágio",SUMIFS($D:$D,$A:$A,$A654,$B:$B,"&lt;&gt;Patrícia Karla de Sousa Araújo",$B:$B,"&lt;&gt;Lorena Dias de Araujo",$B:$B,"&lt;&gt;Lucas Luiz Romero")*(10/1083),0)))))),0)</f>
        <v>29</v>
      </c>
      <c r="K654" s="3">
        <f>I654-J654</f>
        <v>5</v>
      </c>
      <c r="L654" s="3" t="str">
        <f>IF(K654&lt;-5,"CRÍTICO",IF(K654&lt;0,"ATENÇÃO",IF(K654&lt;=5,"OPORTUNO","MUITO BOM")))</f>
        <v>OPORTUNO</v>
      </c>
      <c r="M654" s="3">
        <v>23</v>
      </c>
      <c r="N654" s="3">
        <v>97.04</v>
      </c>
      <c r="O654" s="3">
        <v>29.828850855745721</v>
      </c>
    </row>
    <row r="655" spans="1:15" hidden="1" x14ac:dyDescent="0.25">
      <c r="A655" s="5">
        <v>46157</v>
      </c>
      <c r="B655" s="6" t="s">
        <v>39</v>
      </c>
      <c r="C655" s="1" t="s">
        <v>32</v>
      </c>
      <c r="D655" s="3">
        <v>0</v>
      </c>
      <c r="E655" s="3">
        <v>0</v>
      </c>
      <c r="F655" s="3">
        <v>0</v>
      </c>
      <c r="G655" s="3">
        <v>0</v>
      </c>
      <c r="H655" s="3">
        <v>0</v>
      </c>
      <c r="I655" s="3">
        <f>E655+G655+H655</f>
        <v>0</v>
      </c>
      <c r="J655" s="3">
        <f>ROUND(MIN(IF(C655="Técnico III",35,IF(C655="Técnico II",28,IF(C655="Técnico I",23,IF(C655="JR",20,IF(C655="Estágio",10,0))))),IF(C655="Técnico III",SUMIFS($D:$D,$A:$A,$A655,$B:$B,"&lt;&gt;Patrícia Karla de Sousa Araújo",$B:$B,"&lt;&gt;Lorena Dias de Araujo",$B:$B,"&lt;&gt;Lucas Luiz Romero")*(35/1083),IF(C655="Técnico II",SUMIFS($D:$D,$A:$A,$A655,$B:$B,"&lt;&gt;Patrícia Karla de Sousa Araújo",$B:$B,"&lt;&gt;Lorena Dias de Araujo",$B:$B,"&lt;&gt;Lucas Luiz Romero")*(28/1083),IF(C655="Técnico I",SUMIFS($D:$D,$A:$A,$A655,$B:$B,"&lt;&gt;Patrícia Karla de Sousa Araújo",$B:$B,"&lt;&gt;Lorena Dias de Araujo",$B:$B,"&lt;&gt;Lucas Luiz Romero")*(23/1083),IF(C655="JR",SUMIFS($D:$D,$A:$A,$A655,$B:$B,"&lt;&gt;Patrícia Karla de Sousa Araújo",$B:$B,"&lt;&gt;Lorena Dias de Araujo",$B:$B,"&lt;&gt;Lucas Luiz Romero")*(20/1083),IF(C655="Estágio",SUMIFS($D:$D,$A:$A,$A655,$B:$B,"&lt;&gt;Patrícia Karla de Sousa Araújo",$B:$B,"&lt;&gt;Lorena Dias de Araujo",$B:$B,"&lt;&gt;Lucas Luiz Romero")*(10/1083),0)))))),0)</f>
        <v>29</v>
      </c>
      <c r="K655" s="3">
        <f>I655-J655</f>
        <v>-29</v>
      </c>
      <c r="L655" s="3" t="str">
        <f>IF(K655&lt;-5,"CRÍTICO",IF(K655&lt;0,"ATENÇÃO",IF(K655&lt;=5,"OPORTUNO","MUITO BOM")))</f>
        <v>CRÍTICO</v>
      </c>
      <c r="M655" s="3">
        <v>0</v>
      </c>
      <c r="N655" s="3">
        <v>0</v>
      </c>
      <c r="O655" s="3">
        <v>0</v>
      </c>
    </row>
    <row r="656" spans="1:15" hidden="1" x14ac:dyDescent="0.25">
      <c r="A656" s="5">
        <v>46157</v>
      </c>
      <c r="B656" s="6" t="s">
        <v>41</v>
      </c>
      <c r="C656" s="14" t="s">
        <v>32</v>
      </c>
      <c r="D656" s="3">
        <v>23</v>
      </c>
      <c r="E656" s="3">
        <v>22</v>
      </c>
      <c r="F656" s="3">
        <v>27.02</v>
      </c>
      <c r="G656" s="3">
        <v>1</v>
      </c>
      <c r="H656" s="3">
        <v>0</v>
      </c>
      <c r="I656" s="3">
        <f>E656+G656+H656</f>
        <v>23</v>
      </c>
      <c r="J656" s="3">
        <f>ROUND(MIN(IF(C656="Técnico III",35,IF(C656="Técnico II",28,IF(C656="Técnico I",23,IF(C656="JR",20,IF(C656="Estágio",10,0))))),IF(C656="Técnico III",SUMIFS($D:$D,$A:$A,$A656,$B:$B,"&lt;&gt;Patrícia Karla de Sousa Araújo",$B:$B,"&lt;&gt;Lorena Dias de Araujo",$B:$B,"&lt;&gt;Lucas Luiz Romero")*(35/1083),IF(C656="Técnico II",SUMIFS($D:$D,$A:$A,$A656,$B:$B,"&lt;&gt;Patrícia Karla de Sousa Araújo",$B:$B,"&lt;&gt;Lorena Dias de Araujo",$B:$B,"&lt;&gt;Lucas Luiz Romero")*(28/1083),IF(C656="Técnico I",SUMIFS($D:$D,$A:$A,$A656,$B:$B,"&lt;&gt;Patrícia Karla de Sousa Araújo",$B:$B,"&lt;&gt;Lorena Dias de Araujo",$B:$B,"&lt;&gt;Lucas Luiz Romero")*(23/1083),IF(C656="JR",SUMIFS($D:$D,$A:$A,$A656,$B:$B,"&lt;&gt;Patrícia Karla de Sousa Araújo",$B:$B,"&lt;&gt;Lorena Dias de Araujo",$B:$B,"&lt;&gt;Lucas Luiz Romero")*(20/1083),IF(C656="Estágio",SUMIFS($D:$D,$A:$A,$A656,$B:$B,"&lt;&gt;Patrícia Karla de Sousa Araújo",$B:$B,"&lt;&gt;Lorena Dias de Araujo",$B:$B,"&lt;&gt;Lucas Luiz Romero")*(10/1083),0)))))),0)</f>
        <v>29</v>
      </c>
      <c r="K656" s="3">
        <f>I656-J656</f>
        <v>-6</v>
      </c>
      <c r="L656" s="3" t="str">
        <f>IF(K656&lt;-5,"CRÍTICO",IF(K656&lt;0,"ATENÇÃO",IF(K656&lt;=5,"OPORTUNO","MUITO BOM")))</f>
        <v>CRÍTICO</v>
      </c>
      <c r="M656" s="3">
        <v>19</v>
      </c>
      <c r="N656" s="3">
        <v>100</v>
      </c>
      <c r="O656" s="3">
        <v>18.244803695150122</v>
      </c>
    </row>
    <row r="657" spans="1:15" hidden="1" x14ac:dyDescent="0.25">
      <c r="A657" s="5">
        <v>46157</v>
      </c>
      <c r="B657" s="6" t="s">
        <v>42</v>
      </c>
      <c r="C657" s="1" t="s">
        <v>32</v>
      </c>
      <c r="D657" s="3">
        <v>0</v>
      </c>
      <c r="E657" s="3">
        <v>0</v>
      </c>
      <c r="F657" s="3">
        <v>0</v>
      </c>
      <c r="G657" s="3">
        <v>0</v>
      </c>
      <c r="H657" s="3">
        <v>0</v>
      </c>
      <c r="I657" s="3">
        <f>E657+G657+H657</f>
        <v>0</v>
      </c>
      <c r="J657" s="3">
        <f>ROUND(MIN(IF(C657="Técnico III",35,IF(C657="Técnico II",28,IF(C657="Técnico I",23,IF(C657="JR",20,IF(C657="Estágio",10,0))))),IF(C657="Técnico III",SUMIFS($D:$D,$A:$A,$A657,$B:$B,"&lt;&gt;Patrícia Karla de Sousa Araújo",$B:$B,"&lt;&gt;Lorena Dias de Araujo",$B:$B,"&lt;&gt;Lucas Luiz Romero")*(35/1083),IF(C657="Técnico II",SUMIFS($D:$D,$A:$A,$A657,$B:$B,"&lt;&gt;Patrícia Karla de Sousa Araújo",$B:$B,"&lt;&gt;Lorena Dias de Araujo",$B:$B,"&lt;&gt;Lucas Luiz Romero")*(28/1083),IF(C657="Técnico I",SUMIFS($D:$D,$A:$A,$A657,$B:$B,"&lt;&gt;Patrícia Karla de Sousa Araújo",$B:$B,"&lt;&gt;Lorena Dias de Araujo",$B:$B,"&lt;&gt;Lucas Luiz Romero")*(23/1083),IF(C657="JR",SUMIFS($D:$D,$A:$A,$A657,$B:$B,"&lt;&gt;Patrícia Karla de Sousa Araújo",$B:$B,"&lt;&gt;Lorena Dias de Araujo",$B:$B,"&lt;&gt;Lucas Luiz Romero")*(20/1083),IF(C657="Estágio",SUMIFS($D:$D,$A:$A,$A657,$B:$B,"&lt;&gt;Patrícia Karla de Sousa Araújo",$B:$B,"&lt;&gt;Lorena Dias de Araujo",$B:$B,"&lt;&gt;Lucas Luiz Romero")*(10/1083),0)))))),0)</f>
        <v>29</v>
      </c>
      <c r="K657" s="3">
        <f>I657-J657</f>
        <v>-29</v>
      </c>
      <c r="L657" s="3" t="str">
        <f>IF(K657&lt;-5,"CRÍTICO",IF(K657&lt;0,"ATENÇÃO",IF(K657&lt;=5,"OPORTUNO","MUITO BOM")))</f>
        <v>CRÍTICO</v>
      </c>
      <c r="M657" s="3">
        <v>0</v>
      </c>
      <c r="N657" s="3">
        <v>100</v>
      </c>
      <c r="O657" s="3">
        <v>15.789473684210529</v>
      </c>
    </row>
    <row r="658" spans="1:15" x14ac:dyDescent="0.25">
      <c r="A658" s="5">
        <v>46157</v>
      </c>
      <c r="B658" s="6" t="s">
        <v>43</v>
      </c>
      <c r="C658" s="1" t="s">
        <v>32</v>
      </c>
      <c r="D658" s="3">
        <v>0</v>
      </c>
      <c r="E658" s="3">
        <v>0</v>
      </c>
      <c r="F658" s="3">
        <v>0</v>
      </c>
      <c r="G658" s="3">
        <v>0</v>
      </c>
      <c r="H658" s="3">
        <v>31</v>
      </c>
      <c r="I658" s="3">
        <f>E658+G658+H658</f>
        <v>31</v>
      </c>
      <c r="J658" s="3">
        <f>ROUND(MIN(IF(C658="Técnico III",35,IF(C658="Técnico II",28,IF(C658="Técnico I",23,IF(C658="JR",20,IF(C658="Estágio",10,0))))),IF(C658="Técnico III",SUMIFS($D:$D,$A:$A,$A658,$B:$B,"&lt;&gt;Patrícia Karla de Sousa Araújo",$B:$B,"&lt;&gt;Lorena Dias de Araujo",$B:$B,"&lt;&gt;Lucas Luiz Romero")*(35/1083),IF(C658="Técnico II",SUMIFS($D:$D,$A:$A,$A658,$B:$B,"&lt;&gt;Patrícia Karla de Sousa Araújo",$B:$B,"&lt;&gt;Lorena Dias de Araujo",$B:$B,"&lt;&gt;Lucas Luiz Romero")*(28/1083),IF(C658="Técnico I",SUMIFS($D:$D,$A:$A,$A658,$B:$B,"&lt;&gt;Patrícia Karla de Sousa Araújo",$B:$B,"&lt;&gt;Lorena Dias de Araujo",$B:$B,"&lt;&gt;Lucas Luiz Romero")*(23/1083),IF(C658="JR",SUMIFS($D:$D,$A:$A,$A658,$B:$B,"&lt;&gt;Patrícia Karla de Sousa Araújo",$B:$B,"&lt;&gt;Lorena Dias de Araujo",$B:$B,"&lt;&gt;Lucas Luiz Romero")*(20/1083),IF(C658="Estágio",SUMIFS($D:$D,$A:$A,$A658,$B:$B,"&lt;&gt;Patrícia Karla de Sousa Araújo",$B:$B,"&lt;&gt;Lorena Dias de Araujo",$B:$B,"&lt;&gt;Lucas Luiz Romero")*(10/1083),0)))))),0)</f>
        <v>29</v>
      </c>
      <c r="K658" s="3">
        <f>I658-J658</f>
        <v>2</v>
      </c>
      <c r="L658" s="3" t="str">
        <f>IF(K658&lt;-5,"CRÍTICO",IF(K658&lt;0,"ATENÇÃO",IF(K658&lt;=5,"OPORTUNO","MUITO BOM")))</f>
        <v>OPORTUNO</v>
      </c>
      <c r="M658" s="3">
        <v>19</v>
      </c>
      <c r="N658" s="3">
        <v>98.39</v>
      </c>
      <c r="O658" s="3">
        <v>8.7999999999999989</v>
      </c>
    </row>
    <row r="659" spans="1:15" hidden="1" x14ac:dyDescent="0.25">
      <c r="A659" s="5">
        <v>46157</v>
      </c>
      <c r="B659" s="6" t="s">
        <v>44</v>
      </c>
      <c r="C659" s="1" t="s">
        <v>32</v>
      </c>
      <c r="D659" s="3">
        <v>26</v>
      </c>
      <c r="E659" s="3">
        <v>24</v>
      </c>
      <c r="F659" s="3">
        <v>12.18</v>
      </c>
      <c r="G659" s="3">
        <v>2</v>
      </c>
      <c r="H659" s="3">
        <v>0</v>
      </c>
      <c r="I659" s="3">
        <f>E659+G659+H659</f>
        <v>26</v>
      </c>
      <c r="J659" s="3">
        <f>ROUND(MIN(IF(C659="Técnico III",35,IF(C659="Técnico II",28,IF(C659="Técnico I",23,IF(C659="JR",20,IF(C659="Estágio",10,0))))),IF(C659="Técnico III",SUMIFS($D:$D,$A:$A,$A659,$B:$B,"&lt;&gt;Patrícia Karla de Sousa Araújo",$B:$B,"&lt;&gt;Lorena Dias de Araujo",$B:$B,"&lt;&gt;Lucas Luiz Romero")*(35/1083),IF(C659="Técnico II",SUMIFS($D:$D,$A:$A,$A659,$B:$B,"&lt;&gt;Patrícia Karla de Sousa Araújo",$B:$B,"&lt;&gt;Lorena Dias de Araujo",$B:$B,"&lt;&gt;Lucas Luiz Romero")*(28/1083),IF(C659="Técnico I",SUMIFS($D:$D,$A:$A,$A659,$B:$B,"&lt;&gt;Patrícia Karla de Sousa Araújo",$B:$B,"&lt;&gt;Lorena Dias de Araujo",$B:$B,"&lt;&gt;Lucas Luiz Romero")*(23/1083),IF(C659="JR",SUMIFS($D:$D,$A:$A,$A659,$B:$B,"&lt;&gt;Patrícia Karla de Sousa Araújo",$B:$B,"&lt;&gt;Lorena Dias de Araujo",$B:$B,"&lt;&gt;Lucas Luiz Romero")*(20/1083),IF(C659="Estágio",SUMIFS($D:$D,$A:$A,$A659,$B:$B,"&lt;&gt;Patrícia Karla de Sousa Araújo",$B:$B,"&lt;&gt;Lorena Dias de Araujo",$B:$B,"&lt;&gt;Lucas Luiz Romero")*(10/1083),0)))))),0)</f>
        <v>29</v>
      </c>
      <c r="K659" s="3">
        <f>I659-J659</f>
        <v>-3</v>
      </c>
      <c r="L659" s="3" t="str">
        <f>IF(K659&lt;-5,"CRÍTICO",IF(K659&lt;0,"ATENÇÃO",IF(K659&lt;=5,"OPORTUNO","MUITO BOM")))</f>
        <v>ATENÇÃO</v>
      </c>
      <c r="M659" s="3">
        <v>22</v>
      </c>
      <c r="N659" s="3">
        <v>96.38</v>
      </c>
      <c r="O659" s="3">
        <v>23.198198198198199</v>
      </c>
    </row>
    <row r="660" spans="1:15" hidden="1" x14ac:dyDescent="0.25">
      <c r="A660" s="5">
        <v>46157</v>
      </c>
      <c r="B660" s="6" t="s">
        <v>45</v>
      </c>
      <c r="C660" s="1" t="s">
        <v>32</v>
      </c>
      <c r="D660" s="3">
        <v>31</v>
      </c>
      <c r="E660" s="3">
        <v>29</v>
      </c>
      <c r="F660" s="3">
        <v>13.49</v>
      </c>
      <c r="G660" s="3">
        <v>2</v>
      </c>
      <c r="H660" s="3">
        <v>0</v>
      </c>
      <c r="I660" s="3">
        <f>E660+G660+H660</f>
        <v>31</v>
      </c>
      <c r="J660" s="3">
        <f>ROUND(MIN(IF(C660="Técnico III",35,IF(C660="Técnico II",28,IF(C660="Técnico I",23,IF(C660="JR",20,IF(C660="Estágio",10,0))))),IF(C660="Técnico III",SUMIFS($D:$D,$A:$A,$A660,$B:$B,"&lt;&gt;Patrícia Karla de Sousa Araújo",$B:$B,"&lt;&gt;Lorena Dias de Araujo",$B:$B,"&lt;&gt;Lucas Luiz Romero")*(35/1083),IF(C660="Técnico II",SUMIFS($D:$D,$A:$A,$A660,$B:$B,"&lt;&gt;Patrícia Karla de Sousa Araújo",$B:$B,"&lt;&gt;Lorena Dias de Araujo",$B:$B,"&lt;&gt;Lucas Luiz Romero")*(28/1083),IF(C660="Técnico I",SUMIFS($D:$D,$A:$A,$A660,$B:$B,"&lt;&gt;Patrícia Karla de Sousa Araújo",$B:$B,"&lt;&gt;Lorena Dias de Araujo",$B:$B,"&lt;&gt;Lucas Luiz Romero")*(23/1083),IF(C660="JR",SUMIFS($D:$D,$A:$A,$A660,$B:$B,"&lt;&gt;Patrícia Karla de Sousa Araújo",$B:$B,"&lt;&gt;Lorena Dias de Araujo",$B:$B,"&lt;&gt;Lucas Luiz Romero")*(20/1083),IF(C660="Estágio",SUMIFS($D:$D,$A:$A,$A660,$B:$B,"&lt;&gt;Patrícia Karla de Sousa Araújo",$B:$B,"&lt;&gt;Lorena Dias de Araujo",$B:$B,"&lt;&gt;Lucas Luiz Romero")*(10/1083),0)))))),0)</f>
        <v>29</v>
      </c>
      <c r="K660" s="3">
        <f>I660-J660</f>
        <v>2</v>
      </c>
      <c r="L660" s="3" t="str">
        <f>IF(K660&lt;-5,"CRÍTICO",IF(K660&lt;0,"ATENÇÃO",IF(K660&lt;=5,"OPORTUNO","MUITO BOM")))</f>
        <v>OPORTUNO</v>
      </c>
      <c r="M660" s="3">
        <v>29</v>
      </c>
      <c r="N660" s="3">
        <v>99.39</v>
      </c>
      <c r="O660" s="3">
        <v>25.203252032520329</v>
      </c>
    </row>
    <row r="661" spans="1:15" hidden="1" x14ac:dyDescent="0.25">
      <c r="A661" s="5">
        <v>46157</v>
      </c>
      <c r="B661" s="6" t="s">
        <v>46</v>
      </c>
      <c r="C661" s="1" t="s">
        <v>32</v>
      </c>
      <c r="D661" s="3">
        <v>20</v>
      </c>
      <c r="E661" s="3">
        <v>20</v>
      </c>
      <c r="F661" s="3">
        <v>17.350000000000001</v>
      </c>
      <c r="G661" s="3">
        <v>1</v>
      </c>
      <c r="H661" s="3">
        <v>0</v>
      </c>
      <c r="I661" s="3">
        <f>E661+G661+H661</f>
        <v>21</v>
      </c>
      <c r="J661" s="3">
        <f>ROUND(MIN(IF(C661="Técnico III",35,IF(C661="Técnico II",28,IF(C661="Técnico I",23,IF(C661="JR",20,IF(C661="Estágio",10,0))))),IF(C661="Técnico III",SUMIFS($D:$D,$A:$A,$A661,$B:$B,"&lt;&gt;Patrícia Karla de Sousa Araújo",$B:$B,"&lt;&gt;Lorena Dias de Araujo",$B:$B,"&lt;&gt;Lucas Luiz Romero")*(35/1083),IF(C661="Técnico II",SUMIFS($D:$D,$A:$A,$A661,$B:$B,"&lt;&gt;Patrícia Karla de Sousa Araújo",$B:$B,"&lt;&gt;Lorena Dias de Araujo",$B:$B,"&lt;&gt;Lucas Luiz Romero")*(28/1083),IF(C661="Técnico I",SUMIFS($D:$D,$A:$A,$A661,$B:$B,"&lt;&gt;Patrícia Karla de Sousa Araújo",$B:$B,"&lt;&gt;Lorena Dias de Araujo",$B:$B,"&lt;&gt;Lucas Luiz Romero")*(23/1083),IF(C661="JR",SUMIFS($D:$D,$A:$A,$A661,$B:$B,"&lt;&gt;Patrícia Karla de Sousa Araújo",$B:$B,"&lt;&gt;Lorena Dias de Araujo",$B:$B,"&lt;&gt;Lucas Luiz Romero")*(20/1083),IF(C661="Estágio",SUMIFS($D:$D,$A:$A,$A661,$B:$B,"&lt;&gt;Patrícia Karla de Sousa Araújo",$B:$B,"&lt;&gt;Lorena Dias de Araujo",$B:$B,"&lt;&gt;Lucas Luiz Romero")*(10/1083),0)))))),0)</f>
        <v>29</v>
      </c>
      <c r="K661" s="3">
        <f>I661-J661</f>
        <v>-8</v>
      </c>
      <c r="L661" s="3" t="str">
        <f>IF(K661&lt;-5,"CRÍTICO",IF(K661&lt;0,"ATENÇÃO",IF(K661&lt;=5,"OPORTUNO","MUITO BOM")))</f>
        <v>CRÍTICO</v>
      </c>
      <c r="M661" s="3">
        <v>17</v>
      </c>
      <c r="N661" s="3">
        <v>97</v>
      </c>
      <c r="O661" s="3">
        <v>20.325203252032519</v>
      </c>
    </row>
    <row r="662" spans="1:15" hidden="1" x14ac:dyDescent="0.25">
      <c r="A662" s="5">
        <v>46157</v>
      </c>
      <c r="B662" s="6" t="s">
        <v>47</v>
      </c>
      <c r="C662" s="1" t="s">
        <v>48</v>
      </c>
      <c r="D662" s="3">
        <v>20</v>
      </c>
      <c r="E662" s="3">
        <v>19</v>
      </c>
      <c r="F662" s="3">
        <v>13.2</v>
      </c>
      <c r="G662" s="3">
        <v>1</v>
      </c>
      <c r="H662" s="3">
        <v>0</v>
      </c>
      <c r="I662" s="3">
        <f>E662+G662+H662</f>
        <v>20</v>
      </c>
      <c r="J662" s="3">
        <f>ROUND(MIN(IF(C662="Técnico III",35,IF(C662="Técnico II",28,IF(C662="Técnico I",23,IF(C662="JR",20,IF(C662="Estágio",10,0))))),IF(C662="Técnico III",SUMIFS($D:$D,$A:$A,$A662,$B:$B,"&lt;&gt;Patrícia Karla de Sousa Araújo",$B:$B,"&lt;&gt;Lorena Dias de Araujo",$B:$B,"&lt;&gt;Lucas Luiz Romero")*(35/1083),IF(C662="Técnico II",SUMIFS($D:$D,$A:$A,$A662,$B:$B,"&lt;&gt;Patrícia Karla de Sousa Araújo",$B:$B,"&lt;&gt;Lorena Dias de Araujo",$B:$B,"&lt;&gt;Lucas Luiz Romero")*(28/1083),IF(C662="Técnico I",SUMIFS($D:$D,$A:$A,$A662,$B:$B,"&lt;&gt;Patrícia Karla de Sousa Araújo",$B:$B,"&lt;&gt;Lorena Dias de Araujo",$B:$B,"&lt;&gt;Lucas Luiz Romero")*(23/1083),IF(C662="JR",SUMIFS($D:$D,$A:$A,$A662,$B:$B,"&lt;&gt;Patrícia Karla de Sousa Araújo",$B:$B,"&lt;&gt;Lorena Dias de Araujo",$B:$B,"&lt;&gt;Lucas Luiz Romero")*(20/1083),IF(C662="Estágio",SUMIFS($D:$D,$A:$A,$A662,$B:$B,"&lt;&gt;Patrícia Karla de Sousa Araújo",$B:$B,"&lt;&gt;Lorena Dias de Araujo",$B:$B,"&lt;&gt;Lucas Luiz Romero")*(10/1083),0)))))),0)</f>
        <v>23</v>
      </c>
      <c r="K662" s="3">
        <f>I662-J662</f>
        <v>-3</v>
      </c>
      <c r="L662" s="3" t="str">
        <f>IF(K662&lt;-5,"CRÍTICO",IF(K662&lt;0,"ATENÇÃO",IF(K662&lt;=5,"OPORTUNO","MUITO BOM")))</f>
        <v>ATENÇÃO</v>
      </c>
      <c r="M662" s="3">
        <v>12</v>
      </c>
      <c r="N662" s="3">
        <v>99.18</v>
      </c>
      <c r="O662" s="3">
        <v>24.501424501424498</v>
      </c>
    </row>
    <row r="663" spans="1:15" hidden="1" x14ac:dyDescent="0.25">
      <c r="A663" s="5">
        <v>46157</v>
      </c>
      <c r="B663" s="6" t="s">
        <v>49</v>
      </c>
      <c r="C663" s="1" t="s">
        <v>48</v>
      </c>
      <c r="D663" s="3">
        <v>20</v>
      </c>
      <c r="E663" s="3">
        <v>19</v>
      </c>
      <c r="F663" s="3">
        <v>23.34</v>
      </c>
      <c r="G663" s="3">
        <v>2</v>
      </c>
      <c r="H663" s="3">
        <v>0</v>
      </c>
      <c r="I663" s="3">
        <f>E663+G663+H663</f>
        <v>21</v>
      </c>
      <c r="J663" s="3">
        <f>ROUND(MIN(IF(C663="Técnico III",35,IF(C663="Técnico II",28,IF(C663="Técnico I",23,IF(C663="JR",20,IF(C663="Estágio",10,0))))),IF(C663="Técnico III",SUMIFS($D:$D,$A:$A,$A663,$B:$B,"&lt;&gt;Patrícia Karla de Sousa Araújo",$B:$B,"&lt;&gt;Lorena Dias de Araujo",$B:$B,"&lt;&gt;Lucas Luiz Romero")*(35/1083),IF(C663="Técnico II",SUMIFS($D:$D,$A:$A,$A663,$B:$B,"&lt;&gt;Patrícia Karla de Sousa Araújo",$B:$B,"&lt;&gt;Lorena Dias de Araujo",$B:$B,"&lt;&gt;Lucas Luiz Romero")*(28/1083),IF(C663="Técnico I",SUMIFS($D:$D,$A:$A,$A663,$B:$B,"&lt;&gt;Patrícia Karla de Sousa Araújo",$B:$B,"&lt;&gt;Lorena Dias de Araujo",$B:$B,"&lt;&gt;Lucas Luiz Romero")*(23/1083),IF(C663="JR",SUMIFS($D:$D,$A:$A,$A663,$B:$B,"&lt;&gt;Patrícia Karla de Sousa Araújo",$B:$B,"&lt;&gt;Lorena Dias de Araujo",$B:$B,"&lt;&gt;Lucas Luiz Romero")*(20/1083),IF(C663="Estágio",SUMIFS($D:$D,$A:$A,$A663,$B:$B,"&lt;&gt;Patrícia Karla de Sousa Araújo",$B:$B,"&lt;&gt;Lorena Dias de Araujo",$B:$B,"&lt;&gt;Lucas Luiz Romero")*(10/1083),0)))))),0)</f>
        <v>23</v>
      </c>
      <c r="K663" s="3">
        <f>I663-J663</f>
        <v>-2</v>
      </c>
      <c r="L663" s="3" t="str">
        <f>IF(K663&lt;-5,"CRÍTICO",IF(K663&lt;0,"ATENÇÃO",IF(K663&lt;=5,"OPORTUNO","MUITO BOM")))</f>
        <v>ATENÇÃO</v>
      </c>
      <c r="M663" s="3">
        <v>21</v>
      </c>
      <c r="N663" s="3">
        <v>99.35</v>
      </c>
      <c r="O663" s="3">
        <v>19.852941176470591</v>
      </c>
    </row>
    <row r="664" spans="1:15" hidden="1" x14ac:dyDescent="0.25">
      <c r="A664" s="5">
        <v>46157</v>
      </c>
      <c r="B664" s="6" t="s">
        <v>50</v>
      </c>
      <c r="C664" s="14" t="s">
        <v>48</v>
      </c>
      <c r="D664" s="3">
        <v>26</v>
      </c>
      <c r="E664" s="3">
        <v>26</v>
      </c>
      <c r="F664" s="3">
        <v>25.22</v>
      </c>
      <c r="G664" s="3">
        <v>3</v>
      </c>
      <c r="H664" s="3">
        <v>0</v>
      </c>
      <c r="I664" s="3">
        <f>E664+G664+H664</f>
        <v>29</v>
      </c>
      <c r="J664" s="3">
        <f>ROUND(MIN(IF(C664="Técnico III",35,IF(C664="Técnico II",28,IF(C664="Técnico I",23,IF(C664="JR",20,IF(C664="Estágio",10,0))))),IF(C664="Técnico III",SUMIFS($D:$D,$A:$A,$A664,$B:$B,"&lt;&gt;Patrícia Karla de Sousa Araújo",$B:$B,"&lt;&gt;Lorena Dias de Araujo",$B:$B,"&lt;&gt;Lucas Luiz Romero")*(35/1083),IF(C664="Técnico II",SUMIFS($D:$D,$A:$A,$A664,$B:$B,"&lt;&gt;Patrícia Karla de Sousa Araújo",$B:$B,"&lt;&gt;Lorena Dias de Araujo",$B:$B,"&lt;&gt;Lucas Luiz Romero")*(28/1083),IF(C664="Técnico I",SUMIFS($D:$D,$A:$A,$A664,$B:$B,"&lt;&gt;Patrícia Karla de Sousa Araújo",$B:$B,"&lt;&gt;Lorena Dias de Araujo",$B:$B,"&lt;&gt;Lucas Luiz Romero")*(23/1083),IF(C664="JR",SUMIFS($D:$D,$A:$A,$A664,$B:$B,"&lt;&gt;Patrícia Karla de Sousa Araújo",$B:$B,"&lt;&gt;Lorena Dias de Araujo",$B:$B,"&lt;&gt;Lucas Luiz Romero")*(20/1083),IF(C664="Estágio",SUMIFS($D:$D,$A:$A,$A664,$B:$B,"&lt;&gt;Patrícia Karla de Sousa Araújo",$B:$B,"&lt;&gt;Lorena Dias de Araujo",$B:$B,"&lt;&gt;Lucas Luiz Romero")*(10/1083),0)))))),0)</f>
        <v>23</v>
      </c>
      <c r="K664" s="3">
        <f>I664-J664</f>
        <v>6</v>
      </c>
      <c r="L664" s="3" t="str">
        <f>IF(K664&lt;-5,"CRÍTICO",IF(K664&lt;0,"ATENÇÃO",IF(K664&lt;=5,"OPORTUNO","MUITO BOM")))</f>
        <v>MUITO BOM</v>
      </c>
      <c r="M664" s="3">
        <v>29</v>
      </c>
      <c r="N664" s="3">
        <v>99.07</v>
      </c>
      <c r="O664" s="3">
        <v>20.098039215686271</v>
      </c>
    </row>
    <row r="665" spans="1:15" hidden="1" x14ac:dyDescent="0.25">
      <c r="C665" s="3"/>
      <c r="D665" s="3">
        <v>0</v>
      </c>
      <c r="E665" s="3">
        <v>0</v>
      </c>
      <c r="F665" s="3">
        <v>0</v>
      </c>
      <c r="G665" s="3">
        <v>0</v>
      </c>
      <c r="H665" s="3">
        <v>0</v>
      </c>
      <c r="I665" s="3">
        <v>0</v>
      </c>
      <c r="J665" s="3">
        <v>0</v>
      </c>
      <c r="K665" s="3">
        <v>0</v>
      </c>
    </row>
    <row r="666" spans="1:15" hidden="1" x14ac:dyDescent="0.25">
      <c r="C666" s="3"/>
      <c r="D666" s="3">
        <v>0</v>
      </c>
      <c r="E666" s="3">
        <v>0</v>
      </c>
      <c r="F666" s="3">
        <v>0</v>
      </c>
      <c r="G666" s="3">
        <v>0</v>
      </c>
      <c r="H666" s="3">
        <v>0</v>
      </c>
      <c r="I666" s="3">
        <v>0</v>
      </c>
      <c r="J666" s="3">
        <v>0</v>
      </c>
      <c r="K666" s="3">
        <v>0</v>
      </c>
    </row>
    <row r="667" spans="1:15" hidden="1" x14ac:dyDescent="0.25">
      <c r="C667" s="3"/>
      <c r="D667" s="3">
        <v>0</v>
      </c>
      <c r="E667" s="3">
        <v>0</v>
      </c>
      <c r="F667" s="3">
        <v>0</v>
      </c>
      <c r="G667" s="3">
        <v>0</v>
      </c>
      <c r="H667" s="3">
        <v>0</v>
      </c>
      <c r="I667" s="3">
        <v>0</v>
      </c>
      <c r="J667" s="3">
        <v>0</v>
      </c>
      <c r="K667" s="3">
        <v>0</v>
      </c>
    </row>
    <row r="668" spans="1:15" hidden="1" x14ac:dyDescent="0.25">
      <c r="C668" s="3"/>
      <c r="D668" s="3">
        <v>0</v>
      </c>
      <c r="E668" s="3">
        <v>0</v>
      </c>
      <c r="F668" s="3">
        <v>0</v>
      </c>
      <c r="G668" s="3">
        <v>0</v>
      </c>
      <c r="H668" s="3">
        <v>0</v>
      </c>
      <c r="I668" s="3">
        <v>0</v>
      </c>
      <c r="J668" s="3">
        <v>0</v>
      </c>
      <c r="K668" s="3">
        <v>0</v>
      </c>
    </row>
    <row r="669" spans="1:15" hidden="1" x14ac:dyDescent="0.25">
      <c r="C669" s="3"/>
      <c r="D669" s="3">
        <v>0</v>
      </c>
      <c r="E669" s="3">
        <v>0</v>
      </c>
      <c r="F669" s="3">
        <v>0</v>
      </c>
      <c r="G669" s="3">
        <v>0</v>
      </c>
      <c r="H669" s="3">
        <v>0</v>
      </c>
      <c r="I669" s="3">
        <v>0</v>
      </c>
      <c r="J669" s="3">
        <v>0</v>
      </c>
      <c r="K669" s="3">
        <v>0</v>
      </c>
    </row>
    <row r="670" spans="1:15" hidden="1" x14ac:dyDescent="0.25">
      <c r="C670" s="3"/>
      <c r="D670" s="3">
        <v>0</v>
      </c>
      <c r="E670" s="3">
        <v>0</v>
      </c>
      <c r="F670" s="3">
        <v>0</v>
      </c>
      <c r="G670" s="3">
        <v>0</v>
      </c>
      <c r="H670" s="3">
        <v>0</v>
      </c>
      <c r="I670" s="3">
        <v>0</v>
      </c>
      <c r="J670" s="3">
        <v>0</v>
      </c>
      <c r="K670" s="3">
        <v>0</v>
      </c>
    </row>
    <row r="671" spans="1:15" hidden="1" x14ac:dyDescent="0.25">
      <c r="C671" s="3"/>
      <c r="D671" s="3">
        <v>0</v>
      </c>
      <c r="E671" s="3">
        <v>0</v>
      </c>
      <c r="F671" s="3">
        <v>0</v>
      </c>
      <c r="G671" s="3">
        <v>0</v>
      </c>
      <c r="H671" s="3">
        <v>0</v>
      </c>
      <c r="I671" s="3">
        <v>0</v>
      </c>
      <c r="J671" s="3">
        <v>0</v>
      </c>
      <c r="K671" s="3">
        <v>0</v>
      </c>
    </row>
    <row r="672" spans="1:15" hidden="1" x14ac:dyDescent="0.25">
      <c r="C672" s="3"/>
      <c r="D672" s="3">
        <v>0</v>
      </c>
      <c r="E672" s="3">
        <v>0</v>
      </c>
      <c r="F672" s="3">
        <v>0</v>
      </c>
      <c r="G672" s="3">
        <v>0</v>
      </c>
      <c r="H672" s="3">
        <v>0</v>
      </c>
      <c r="I672" s="3">
        <v>0</v>
      </c>
      <c r="J672" s="3">
        <v>0</v>
      </c>
      <c r="K672" s="3">
        <v>0</v>
      </c>
    </row>
    <row r="673" spans="3:11" hidden="1" x14ac:dyDescent="0.25">
      <c r="C673" s="3"/>
      <c r="D673" s="3">
        <v>0</v>
      </c>
      <c r="E673" s="3">
        <v>0</v>
      </c>
      <c r="F673" s="3">
        <v>0</v>
      </c>
      <c r="G673" s="3">
        <v>0</v>
      </c>
      <c r="H673" s="3">
        <v>0</v>
      </c>
      <c r="I673" s="3">
        <v>0</v>
      </c>
      <c r="J673" s="3">
        <v>0</v>
      </c>
      <c r="K673" s="3">
        <v>0</v>
      </c>
    </row>
    <row r="674" spans="3:11" hidden="1" x14ac:dyDescent="0.25">
      <c r="C674" s="3"/>
      <c r="D674" s="3">
        <v>0</v>
      </c>
      <c r="E674" s="3">
        <v>0</v>
      </c>
      <c r="F674" s="3">
        <v>0</v>
      </c>
      <c r="G674" s="3">
        <v>0</v>
      </c>
      <c r="H674" s="3">
        <v>0</v>
      </c>
      <c r="I674" s="3">
        <v>0</v>
      </c>
      <c r="J674" s="3">
        <v>0</v>
      </c>
      <c r="K674" s="3">
        <v>0</v>
      </c>
    </row>
    <row r="675" spans="3:11" hidden="1" x14ac:dyDescent="0.25">
      <c r="C675" s="3"/>
      <c r="D675" s="3">
        <v>0</v>
      </c>
      <c r="E675" s="3">
        <v>0</v>
      </c>
      <c r="F675" s="3">
        <v>0</v>
      </c>
      <c r="G675" s="3">
        <v>0</v>
      </c>
      <c r="H675" s="3">
        <v>0</v>
      </c>
      <c r="I675" s="3">
        <v>0</v>
      </c>
      <c r="J675" s="3">
        <v>0</v>
      </c>
      <c r="K675" s="3">
        <v>0</v>
      </c>
    </row>
    <row r="676" spans="3:11" hidden="1" x14ac:dyDescent="0.25">
      <c r="C676" s="3"/>
      <c r="D676" s="3">
        <v>0</v>
      </c>
      <c r="E676" s="3">
        <v>0</v>
      </c>
      <c r="F676" s="3">
        <v>0</v>
      </c>
      <c r="G676" s="3">
        <v>0</v>
      </c>
      <c r="H676" s="3">
        <v>0</v>
      </c>
      <c r="I676" s="3">
        <v>0</v>
      </c>
      <c r="J676" s="3">
        <v>0</v>
      </c>
      <c r="K676" s="3">
        <v>0</v>
      </c>
    </row>
    <row r="677" spans="3:11" hidden="1" x14ac:dyDescent="0.25">
      <c r="C677" s="3"/>
      <c r="D677" s="3">
        <v>0</v>
      </c>
      <c r="E677" s="3">
        <v>0</v>
      </c>
      <c r="F677" s="3">
        <v>0</v>
      </c>
      <c r="G677" s="3">
        <v>0</v>
      </c>
      <c r="H677" s="3">
        <v>0</v>
      </c>
      <c r="I677" s="3">
        <v>0</v>
      </c>
      <c r="J677" s="3">
        <v>0</v>
      </c>
      <c r="K677" s="3">
        <v>0</v>
      </c>
    </row>
    <row r="678" spans="3:11" hidden="1" x14ac:dyDescent="0.25">
      <c r="C678" s="3"/>
      <c r="D678" s="3">
        <v>0</v>
      </c>
      <c r="E678" s="3">
        <v>0</v>
      </c>
      <c r="F678" s="3">
        <v>0</v>
      </c>
      <c r="G678" s="3">
        <v>0</v>
      </c>
      <c r="H678" s="3">
        <v>0</v>
      </c>
      <c r="I678" s="3">
        <v>0</v>
      </c>
      <c r="J678" s="3">
        <v>0</v>
      </c>
      <c r="K678" s="3">
        <v>0</v>
      </c>
    </row>
    <row r="679" spans="3:11" hidden="1" x14ac:dyDescent="0.25">
      <c r="C679" s="3"/>
      <c r="D679" s="3">
        <v>0</v>
      </c>
      <c r="E679" s="3">
        <v>0</v>
      </c>
      <c r="F679" s="3">
        <v>0</v>
      </c>
      <c r="G679" s="3">
        <v>0</v>
      </c>
      <c r="H679" s="3">
        <v>0</v>
      </c>
      <c r="I679" s="3">
        <v>0</v>
      </c>
      <c r="J679" s="3">
        <v>0</v>
      </c>
      <c r="K679" s="3">
        <v>0</v>
      </c>
    </row>
    <row r="680" spans="3:11" hidden="1" x14ac:dyDescent="0.25">
      <c r="C680" s="3"/>
      <c r="D680" s="3">
        <v>0</v>
      </c>
      <c r="E680" s="3">
        <v>0</v>
      </c>
      <c r="F680" s="3">
        <v>0</v>
      </c>
      <c r="G680" s="3">
        <v>0</v>
      </c>
      <c r="H680" s="3">
        <v>0</v>
      </c>
      <c r="I680" s="3">
        <v>0</v>
      </c>
      <c r="J680" s="3">
        <v>0</v>
      </c>
      <c r="K680" s="3">
        <v>0</v>
      </c>
    </row>
    <row r="681" spans="3:11" hidden="1" x14ac:dyDescent="0.25">
      <c r="C681" s="3"/>
      <c r="D681" s="3">
        <v>0</v>
      </c>
      <c r="E681" s="3">
        <v>0</v>
      </c>
      <c r="F681" s="3">
        <v>0</v>
      </c>
      <c r="G681" s="3">
        <v>0</v>
      </c>
      <c r="H681" s="3">
        <v>0</v>
      </c>
      <c r="I681" s="3">
        <v>0</v>
      </c>
      <c r="J681" s="3">
        <v>0</v>
      </c>
      <c r="K681" s="3">
        <v>0</v>
      </c>
    </row>
    <row r="682" spans="3:11" hidden="1" x14ac:dyDescent="0.25">
      <c r="C682" s="3"/>
      <c r="D682" s="3">
        <v>0</v>
      </c>
      <c r="E682" s="3">
        <v>0</v>
      </c>
      <c r="F682" s="3">
        <v>0</v>
      </c>
      <c r="G682" s="3">
        <v>0</v>
      </c>
      <c r="H682" s="3">
        <v>0</v>
      </c>
      <c r="I682" s="3">
        <v>0</v>
      </c>
      <c r="J682" s="3">
        <v>0</v>
      </c>
      <c r="K682" s="3">
        <v>0</v>
      </c>
    </row>
    <row r="683" spans="3:11" hidden="1" x14ac:dyDescent="0.25">
      <c r="C683" s="3"/>
      <c r="D683" s="3">
        <v>0</v>
      </c>
      <c r="E683" s="3">
        <v>0</v>
      </c>
      <c r="F683" s="3">
        <v>0</v>
      </c>
      <c r="G683" s="3">
        <v>0</v>
      </c>
      <c r="H683" s="3">
        <v>0</v>
      </c>
      <c r="I683" s="3">
        <v>0</v>
      </c>
      <c r="J683" s="3">
        <v>0</v>
      </c>
      <c r="K683" s="3">
        <v>0</v>
      </c>
    </row>
    <row r="684" spans="3:11" hidden="1" x14ac:dyDescent="0.25">
      <c r="C684" s="3"/>
      <c r="D684" s="3">
        <v>0</v>
      </c>
      <c r="E684" s="3">
        <v>0</v>
      </c>
      <c r="F684" s="3">
        <v>0</v>
      </c>
      <c r="G684" s="3">
        <v>0</v>
      </c>
      <c r="H684" s="3">
        <v>0</v>
      </c>
      <c r="I684" s="3">
        <v>0</v>
      </c>
      <c r="J684" s="3">
        <v>0</v>
      </c>
      <c r="K684" s="3">
        <v>0</v>
      </c>
    </row>
    <row r="685" spans="3:11" hidden="1" x14ac:dyDescent="0.25">
      <c r="C685" s="3"/>
      <c r="D685" s="3">
        <v>0</v>
      </c>
      <c r="E685" s="3">
        <v>0</v>
      </c>
      <c r="F685" s="3">
        <v>0</v>
      </c>
      <c r="G685" s="3">
        <v>0</v>
      </c>
      <c r="H685" s="3">
        <v>0</v>
      </c>
      <c r="I685" s="3">
        <v>0</v>
      </c>
      <c r="J685" s="3">
        <v>0</v>
      </c>
      <c r="K685" s="3">
        <v>0</v>
      </c>
    </row>
    <row r="686" spans="3:11" hidden="1" x14ac:dyDescent="0.25">
      <c r="C686" s="3"/>
      <c r="D686" s="3">
        <v>0</v>
      </c>
      <c r="E686" s="3">
        <v>0</v>
      </c>
      <c r="F686" s="3">
        <v>0</v>
      </c>
      <c r="G686" s="3">
        <v>0</v>
      </c>
      <c r="H686" s="3">
        <v>0</v>
      </c>
      <c r="I686" s="3">
        <v>0</v>
      </c>
      <c r="J686" s="3">
        <v>0</v>
      </c>
      <c r="K686" s="3">
        <v>0</v>
      </c>
    </row>
    <row r="687" spans="3:11" hidden="1" x14ac:dyDescent="0.25">
      <c r="C687" s="3"/>
      <c r="D687" s="3">
        <v>0</v>
      </c>
      <c r="E687" s="3">
        <v>0</v>
      </c>
      <c r="F687" s="3">
        <v>0</v>
      </c>
      <c r="G687" s="3">
        <v>0</v>
      </c>
      <c r="H687" s="3">
        <v>0</v>
      </c>
      <c r="I687" s="3">
        <v>0</v>
      </c>
      <c r="J687" s="3">
        <v>0</v>
      </c>
      <c r="K687" s="3">
        <v>0</v>
      </c>
    </row>
    <row r="688" spans="3:11" hidden="1" x14ac:dyDescent="0.25">
      <c r="C688" s="3"/>
      <c r="D688" s="3">
        <v>0</v>
      </c>
      <c r="E688" s="3">
        <v>0</v>
      </c>
      <c r="F688" s="3">
        <v>0</v>
      </c>
      <c r="G688" s="3">
        <v>0</v>
      </c>
      <c r="H688" s="3">
        <v>0</v>
      </c>
      <c r="I688" s="3">
        <v>0</v>
      </c>
      <c r="J688" s="3">
        <v>0</v>
      </c>
      <c r="K688" s="3">
        <v>0</v>
      </c>
    </row>
    <row r="689" spans="3:11" hidden="1" x14ac:dyDescent="0.25">
      <c r="C689" s="3"/>
      <c r="D689" s="3">
        <v>0</v>
      </c>
      <c r="E689" s="3">
        <v>0</v>
      </c>
      <c r="F689" s="3">
        <v>0</v>
      </c>
      <c r="G689" s="3">
        <v>0</v>
      </c>
      <c r="H689" s="3">
        <v>0</v>
      </c>
      <c r="I689" s="3">
        <v>0</v>
      </c>
      <c r="J689" s="3">
        <v>0</v>
      </c>
      <c r="K689" s="3">
        <v>0</v>
      </c>
    </row>
    <row r="690" spans="3:11" hidden="1" x14ac:dyDescent="0.25">
      <c r="C690" s="3"/>
      <c r="D690" s="3">
        <v>0</v>
      </c>
      <c r="E690" s="3">
        <v>0</v>
      </c>
      <c r="F690" s="3">
        <v>0</v>
      </c>
      <c r="G690" s="3">
        <v>0</v>
      </c>
      <c r="H690" s="3">
        <v>0</v>
      </c>
      <c r="I690" s="3">
        <v>0</v>
      </c>
      <c r="J690" s="3">
        <v>0</v>
      </c>
      <c r="K690" s="3">
        <v>0</v>
      </c>
    </row>
    <row r="691" spans="3:11" hidden="1" x14ac:dyDescent="0.25">
      <c r="C691" s="3"/>
      <c r="D691" s="3">
        <v>0</v>
      </c>
      <c r="E691" s="3">
        <v>0</v>
      </c>
      <c r="F691" s="3">
        <v>0</v>
      </c>
      <c r="G691" s="3">
        <v>0</v>
      </c>
      <c r="H691" s="3">
        <v>0</v>
      </c>
      <c r="I691" s="3">
        <v>0</v>
      </c>
      <c r="J691" s="3">
        <v>0</v>
      </c>
      <c r="K691" s="3">
        <v>0</v>
      </c>
    </row>
    <row r="692" spans="3:11" hidden="1" x14ac:dyDescent="0.25">
      <c r="C692" s="3"/>
      <c r="D692" s="3">
        <v>0</v>
      </c>
      <c r="E692" s="3">
        <v>0</v>
      </c>
      <c r="F692" s="3">
        <v>0</v>
      </c>
      <c r="G692" s="3">
        <v>0</v>
      </c>
      <c r="H692" s="3">
        <v>0</v>
      </c>
      <c r="I692" s="3">
        <v>0</v>
      </c>
      <c r="J692" s="3">
        <v>0</v>
      </c>
      <c r="K692" s="3">
        <v>0</v>
      </c>
    </row>
    <row r="693" spans="3:11" hidden="1" x14ac:dyDescent="0.25">
      <c r="C693" s="3"/>
      <c r="D693" s="3">
        <v>0</v>
      </c>
      <c r="E693" s="3">
        <v>0</v>
      </c>
      <c r="F693" s="3">
        <v>0</v>
      </c>
      <c r="G693" s="3">
        <v>0</v>
      </c>
      <c r="H693" s="3">
        <v>0</v>
      </c>
      <c r="I693" s="3">
        <v>0</v>
      </c>
      <c r="J693" s="3">
        <v>0</v>
      </c>
      <c r="K693" s="3">
        <v>0</v>
      </c>
    </row>
    <row r="694" spans="3:11" hidden="1" x14ac:dyDescent="0.25">
      <c r="C694" s="3"/>
      <c r="D694" s="3">
        <v>0</v>
      </c>
      <c r="E694" s="3">
        <v>0</v>
      </c>
      <c r="F694" s="3">
        <v>0</v>
      </c>
      <c r="G694" s="3">
        <v>0</v>
      </c>
      <c r="H694" s="3">
        <v>0</v>
      </c>
      <c r="I694" s="3">
        <v>0</v>
      </c>
      <c r="J694" s="3">
        <v>0</v>
      </c>
      <c r="K694" s="3">
        <v>0</v>
      </c>
    </row>
    <row r="695" spans="3:11" hidden="1" x14ac:dyDescent="0.25">
      <c r="C695" s="3"/>
      <c r="D695" s="3">
        <v>0</v>
      </c>
      <c r="E695" s="3">
        <v>0</v>
      </c>
      <c r="F695" s="3">
        <v>0</v>
      </c>
      <c r="G695" s="3">
        <v>0</v>
      </c>
      <c r="H695" s="3">
        <v>0</v>
      </c>
      <c r="I695" s="3">
        <v>0</v>
      </c>
      <c r="J695" s="3">
        <v>0</v>
      </c>
      <c r="K695" s="3">
        <v>0</v>
      </c>
    </row>
    <row r="696" spans="3:11" hidden="1" x14ac:dyDescent="0.25">
      <c r="C696" s="3"/>
      <c r="D696" s="3">
        <v>0</v>
      </c>
      <c r="E696" s="3">
        <v>0</v>
      </c>
      <c r="F696" s="3">
        <v>0</v>
      </c>
      <c r="G696" s="3">
        <v>0</v>
      </c>
      <c r="H696" s="3">
        <v>0</v>
      </c>
      <c r="I696" s="3">
        <v>0</v>
      </c>
      <c r="J696" s="3">
        <v>0</v>
      </c>
      <c r="K696" s="3">
        <v>0</v>
      </c>
    </row>
    <row r="697" spans="3:11" hidden="1" x14ac:dyDescent="0.25">
      <c r="C697" s="3"/>
      <c r="D697" s="3">
        <v>0</v>
      </c>
      <c r="E697" s="3">
        <v>0</v>
      </c>
      <c r="F697" s="3">
        <v>0</v>
      </c>
      <c r="G697" s="3">
        <v>0</v>
      </c>
      <c r="H697" s="3">
        <v>0</v>
      </c>
      <c r="I697" s="3">
        <v>0</v>
      </c>
      <c r="J697" s="3">
        <v>0</v>
      </c>
      <c r="K697" s="3">
        <v>0</v>
      </c>
    </row>
    <row r="698" spans="3:11" hidden="1" x14ac:dyDescent="0.25">
      <c r="C698" s="3"/>
      <c r="D698" s="3">
        <v>0</v>
      </c>
      <c r="E698" s="3">
        <v>0</v>
      </c>
      <c r="F698" s="3">
        <v>0</v>
      </c>
      <c r="G698" s="3">
        <v>0</v>
      </c>
      <c r="H698" s="3">
        <v>0</v>
      </c>
      <c r="I698" s="3">
        <v>0</v>
      </c>
      <c r="J698" s="3">
        <v>0</v>
      </c>
      <c r="K698" s="3">
        <v>0</v>
      </c>
    </row>
    <row r="699" spans="3:11" hidden="1" x14ac:dyDescent="0.25">
      <c r="C699" s="3"/>
      <c r="D699" s="3">
        <v>0</v>
      </c>
      <c r="E699" s="3">
        <v>0</v>
      </c>
      <c r="F699" s="3">
        <v>0</v>
      </c>
      <c r="G699" s="3">
        <v>0</v>
      </c>
      <c r="H699" s="3">
        <v>0</v>
      </c>
      <c r="I699" s="3">
        <v>0</v>
      </c>
      <c r="J699" s="3">
        <v>0</v>
      </c>
      <c r="K699" s="3">
        <v>0</v>
      </c>
    </row>
    <row r="700" spans="3:11" hidden="1" x14ac:dyDescent="0.25">
      <c r="C700" s="3"/>
      <c r="D700" s="3">
        <v>0</v>
      </c>
      <c r="E700" s="3">
        <v>0</v>
      </c>
      <c r="F700" s="3">
        <v>0</v>
      </c>
      <c r="G700" s="3">
        <v>0</v>
      </c>
      <c r="H700" s="3">
        <v>0</v>
      </c>
      <c r="I700" s="3">
        <v>0</v>
      </c>
      <c r="J700" s="3">
        <v>0</v>
      </c>
      <c r="K700" s="3">
        <v>0</v>
      </c>
    </row>
    <row r="701" spans="3:11" hidden="1" x14ac:dyDescent="0.25">
      <c r="C701" s="3"/>
      <c r="D701" s="3">
        <v>0</v>
      </c>
      <c r="E701" s="3">
        <v>0</v>
      </c>
      <c r="F701" s="3">
        <v>0</v>
      </c>
      <c r="G701" s="3">
        <v>0</v>
      </c>
      <c r="H701" s="3">
        <v>0</v>
      </c>
      <c r="I701" s="3">
        <v>0</v>
      </c>
      <c r="J701" s="3">
        <v>0</v>
      </c>
      <c r="K701" s="3">
        <v>0</v>
      </c>
    </row>
    <row r="702" spans="3:11" hidden="1" x14ac:dyDescent="0.25">
      <c r="C702" s="3"/>
      <c r="D702" s="3">
        <v>0</v>
      </c>
      <c r="E702" s="3">
        <v>0</v>
      </c>
      <c r="F702" s="3">
        <v>0</v>
      </c>
      <c r="G702" s="3">
        <v>0</v>
      </c>
      <c r="H702" s="3">
        <v>0</v>
      </c>
      <c r="I702" s="3">
        <v>0</v>
      </c>
      <c r="J702" s="3">
        <v>0</v>
      </c>
      <c r="K702" s="3">
        <v>0</v>
      </c>
    </row>
    <row r="703" spans="3:11" hidden="1" x14ac:dyDescent="0.25">
      <c r="C703" s="3"/>
      <c r="D703" s="3">
        <v>0</v>
      </c>
      <c r="E703" s="3">
        <v>0</v>
      </c>
      <c r="F703" s="3">
        <v>0</v>
      </c>
      <c r="G703" s="3">
        <v>0</v>
      </c>
      <c r="H703" s="3">
        <v>0</v>
      </c>
      <c r="I703" s="3">
        <v>0</v>
      </c>
      <c r="J703" s="3">
        <v>0</v>
      </c>
      <c r="K703" s="3">
        <v>0</v>
      </c>
    </row>
    <row r="704" spans="3:11" hidden="1" x14ac:dyDescent="0.25">
      <c r="C704" s="3"/>
      <c r="D704" s="3">
        <v>0</v>
      </c>
      <c r="E704" s="3">
        <v>0</v>
      </c>
      <c r="F704" s="3">
        <v>0</v>
      </c>
      <c r="G704" s="3">
        <v>0</v>
      </c>
      <c r="H704" s="3">
        <v>0</v>
      </c>
      <c r="I704" s="3">
        <v>0</v>
      </c>
      <c r="J704" s="3">
        <v>0</v>
      </c>
      <c r="K704" s="3">
        <v>0</v>
      </c>
    </row>
    <row r="705" spans="3:11" hidden="1" x14ac:dyDescent="0.25">
      <c r="C705" s="3"/>
      <c r="D705" s="3">
        <v>0</v>
      </c>
      <c r="E705" s="3">
        <v>0</v>
      </c>
      <c r="F705" s="3">
        <v>0</v>
      </c>
      <c r="G705" s="3">
        <v>0</v>
      </c>
      <c r="H705" s="3">
        <v>0</v>
      </c>
      <c r="I705" s="3">
        <v>0</v>
      </c>
      <c r="J705" s="3">
        <v>0</v>
      </c>
      <c r="K705" s="3">
        <v>0</v>
      </c>
    </row>
    <row r="706" spans="3:11" hidden="1" x14ac:dyDescent="0.25">
      <c r="C706" s="3"/>
      <c r="D706" s="3">
        <v>0</v>
      </c>
      <c r="E706" s="3">
        <v>0</v>
      </c>
      <c r="F706" s="3">
        <v>0</v>
      </c>
      <c r="G706" s="3">
        <v>0</v>
      </c>
      <c r="H706" s="3">
        <v>0</v>
      </c>
      <c r="I706" s="3">
        <v>0</v>
      </c>
      <c r="J706" s="3">
        <v>0</v>
      </c>
      <c r="K706" s="3">
        <v>0</v>
      </c>
    </row>
    <row r="707" spans="3:11" hidden="1" x14ac:dyDescent="0.25">
      <c r="C707" s="3"/>
      <c r="D707" s="3">
        <v>0</v>
      </c>
      <c r="E707" s="3">
        <v>0</v>
      </c>
      <c r="F707" s="3">
        <v>0</v>
      </c>
      <c r="G707" s="3">
        <v>0</v>
      </c>
      <c r="H707" s="3">
        <v>0</v>
      </c>
      <c r="I707" s="3">
        <v>0</v>
      </c>
      <c r="J707" s="3">
        <v>0</v>
      </c>
      <c r="K707" s="3">
        <v>0</v>
      </c>
    </row>
    <row r="708" spans="3:11" hidden="1" x14ac:dyDescent="0.25">
      <c r="C708" s="3"/>
      <c r="D708" s="3">
        <v>0</v>
      </c>
      <c r="E708" s="3">
        <v>0</v>
      </c>
      <c r="F708" s="3">
        <v>0</v>
      </c>
      <c r="G708" s="3">
        <v>0</v>
      </c>
      <c r="H708" s="3">
        <v>0</v>
      </c>
      <c r="I708" s="3">
        <v>0</v>
      </c>
      <c r="J708" s="3">
        <v>0</v>
      </c>
      <c r="K708" s="3">
        <v>0</v>
      </c>
    </row>
    <row r="709" spans="3:11" hidden="1" x14ac:dyDescent="0.25">
      <c r="C709" s="3"/>
      <c r="D709" s="3">
        <v>0</v>
      </c>
      <c r="E709" s="3">
        <v>0</v>
      </c>
      <c r="F709" s="3">
        <v>0</v>
      </c>
      <c r="G709" s="3">
        <v>0</v>
      </c>
      <c r="H709" s="3">
        <v>0</v>
      </c>
      <c r="I709" s="3">
        <v>0</v>
      </c>
      <c r="J709" s="3">
        <v>0</v>
      </c>
      <c r="K709" s="3">
        <v>0</v>
      </c>
    </row>
    <row r="710" spans="3:11" hidden="1" x14ac:dyDescent="0.25">
      <c r="C710" s="3"/>
      <c r="D710" s="3">
        <v>0</v>
      </c>
      <c r="E710" s="3">
        <v>0</v>
      </c>
      <c r="F710" s="3">
        <v>0</v>
      </c>
      <c r="G710" s="3">
        <v>0</v>
      </c>
      <c r="H710" s="3">
        <v>0</v>
      </c>
      <c r="I710" s="3">
        <v>0</v>
      </c>
      <c r="J710" s="3">
        <v>0</v>
      </c>
      <c r="K710" s="3">
        <v>0</v>
      </c>
    </row>
    <row r="711" spans="3:11" hidden="1" x14ac:dyDescent="0.25">
      <c r="C711" s="3"/>
      <c r="D711" s="3">
        <v>0</v>
      </c>
      <c r="E711" s="3">
        <v>0</v>
      </c>
      <c r="F711" s="3">
        <v>0</v>
      </c>
      <c r="G711" s="3">
        <v>0</v>
      </c>
      <c r="H711" s="3">
        <v>0</v>
      </c>
      <c r="I711" s="3">
        <v>0</v>
      </c>
      <c r="J711" s="3">
        <v>0</v>
      </c>
      <c r="K711" s="3">
        <v>0</v>
      </c>
    </row>
    <row r="712" spans="3:11" hidden="1" x14ac:dyDescent="0.25">
      <c r="C712" s="3"/>
      <c r="D712" s="3">
        <v>0</v>
      </c>
      <c r="E712" s="3">
        <v>0</v>
      </c>
      <c r="F712" s="3">
        <v>0</v>
      </c>
      <c r="G712" s="3">
        <v>0</v>
      </c>
      <c r="H712" s="3">
        <v>0</v>
      </c>
      <c r="I712" s="3">
        <v>0</v>
      </c>
      <c r="J712" s="3">
        <v>0</v>
      </c>
      <c r="K712" s="3">
        <v>0</v>
      </c>
    </row>
    <row r="713" spans="3:11" hidden="1" x14ac:dyDescent="0.25">
      <c r="C713" s="3"/>
      <c r="D713" s="3">
        <v>0</v>
      </c>
      <c r="E713" s="3">
        <v>0</v>
      </c>
      <c r="F713" s="3">
        <v>0</v>
      </c>
      <c r="G713" s="3">
        <v>0</v>
      </c>
      <c r="H713" s="3">
        <v>0</v>
      </c>
      <c r="I713" s="3">
        <v>0</v>
      </c>
      <c r="J713" s="3">
        <v>0</v>
      </c>
      <c r="K713" s="3">
        <v>0</v>
      </c>
    </row>
    <row r="714" spans="3:11" hidden="1" x14ac:dyDescent="0.25">
      <c r="C714" s="3"/>
      <c r="D714" s="3">
        <v>0</v>
      </c>
      <c r="E714" s="3">
        <v>0</v>
      </c>
      <c r="F714" s="3">
        <v>0</v>
      </c>
      <c r="G714" s="3">
        <v>0</v>
      </c>
      <c r="H714" s="3">
        <v>0</v>
      </c>
      <c r="I714" s="3">
        <v>0</v>
      </c>
      <c r="J714" s="3">
        <v>0</v>
      </c>
      <c r="K714" s="3">
        <v>0</v>
      </c>
    </row>
    <row r="715" spans="3:11" hidden="1" x14ac:dyDescent="0.25">
      <c r="C715" s="3"/>
      <c r="D715" s="3">
        <v>0</v>
      </c>
      <c r="E715" s="3">
        <v>0</v>
      </c>
      <c r="F715" s="3">
        <v>0</v>
      </c>
      <c r="G715" s="3">
        <v>0</v>
      </c>
      <c r="H715" s="3">
        <v>0</v>
      </c>
      <c r="I715" s="3">
        <v>0</v>
      </c>
      <c r="J715" s="3">
        <v>0</v>
      </c>
      <c r="K715" s="3">
        <v>0</v>
      </c>
    </row>
    <row r="716" spans="3:11" hidden="1" x14ac:dyDescent="0.25">
      <c r="C716" s="3"/>
      <c r="D716" s="3">
        <v>0</v>
      </c>
      <c r="E716" s="3">
        <v>0</v>
      </c>
      <c r="F716" s="3">
        <v>0</v>
      </c>
      <c r="G716" s="3">
        <v>0</v>
      </c>
      <c r="H716" s="3">
        <v>0</v>
      </c>
      <c r="I716" s="3">
        <v>0</v>
      </c>
      <c r="J716" s="3">
        <v>0</v>
      </c>
      <c r="K716" s="3">
        <v>0</v>
      </c>
    </row>
    <row r="717" spans="3:11" hidden="1" x14ac:dyDescent="0.25">
      <c r="C717" s="3"/>
      <c r="D717" s="3">
        <v>0</v>
      </c>
      <c r="E717" s="3">
        <v>0</v>
      </c>
      <c r="F717" s="3">
        <v>0</v>
      </c>
      <c r="G717" s="3">
        <v>0</v>
      </c>
      <c r="H717" s="3">
        <v>0</v>
      </c>
      <c r="I717" s="3">
        <v>0</v>
      </c>
      <c r="J717" s="3">
        <v>0</v>
      </c>
      <c r="K717" s="3">
        <v>0</v>
      </c>
    </row>
    <row r="718" spans="3:11" hidden="1" x14ac:dyDescent="0.25">
      <c r="C718" s="3"/>
      <c r="D718" s="3">
        <v>0</v>
      </c>
      <c r="E718" s="3">
        <v>0</v>
      </c>
      <c r="F718" s="3">
        <v>0</v>
      </c>
      <c r="G718" s="3">
        <v>0</v>
      </c>
      <c r="H718" s="3">
        <v>0</v>
      </c>
      <c r="I718" s="3">
        <v>0</v>
      </c>
      <c r="J718" s="3">
        <v>0</v>
      </c>
      <c r="K718" s="3">
        <v>0</v>
      </c>
    </row>
    <row r="719" spans="3:11" hidden="1" x14ac:dyDescent="0.25">
      <c r="C719" s="3"/>
      <c r="D719" s="3">
        <v>0</v>
      </c>
      <c r="E719" s="3">
        <v>0</v>
      </c>
      <c r="F719" s="3">
        <v>0</v>
      </c>
      <c r="G719" s="3">
        <v>0</v>
      </c>
      <c r="H719" s="3">
        <v>0</v>
      </c>
      <c r="I719" s="3">
        <v>0</v>
      </c>
      <c r="J719" s="3">
        <v>0</v>
      </c>
      <c r="K719" s="3">
        <v>0</v>
      </c>
    </row>
    <row r="720" spans="3:11" hidden="1" x14ac:dyDescent="0.25">
      <c r="C720" s="3"/>
      <c r="D720" s="3">
        <v>0</v>
      </c>
      <c r="E720" s="3">
        <v>0</v>
      </c>
      <c r="F720" s="3">
        <v>0</v>
      </c>
      <c r="G720" s="3">
        <v>0</v>
      </c>
      <c r="H720" s="3">
        <v>0</v>
      </c>
      <c r="I720" s="3">
        <v>0</v>
      </c>
      <c r="J720" s="3">
        <v>0</v>
      </c>
      <c r="K720" s="3">
        <v>0</v>
      </c>
    </row>
    <row r="721" spans="1:15" hidden="1" x14ac:dyDescent="0.25">
      <c r="C721" s="3"/>
      <c r="D721" s="3">
        <v>0</v>
      </c>
      <c r="E721" s="3">
        <v>0</v>
      </c>
      <c r="F721" s="3">
        <v>0</v>
      </c>
      <c r="G721" s="3">
        <v>0</v>
      </c>
      <c r="H721" s="3">
        <v>0</v>
      </c>
      <c r="I721" s="3">
        <v>0</v>
      </c>
      <c r="J721" s="3">
        <v>0</v>
      </c>
      <c r="K721" s="3">
        <v>0</v>
      </c>
    </row>
    <row r="722" spans="1:15" hidden="1" x14ac:dyDescent="0.25">
      <c r="C722" s="3"/>
      <c r="D722" s="3">
        <v>0</v>
      </c>
      <c r="E722" s="3">
        <v>0</v>
      </c>
      <c r="F722" s="3">
        <v>0</v>
      </c>
      <c r="G722" s="3">
        <v>0</v>
      </c>
      <c r="H722" s="3">
        <v>0</v>
      </c>
      <c r="I722" s="3">
        <v>0</v>
      </c>
      <c r="J722" s="3">
        <v>0</v>
      </c>
      <c r="K722" s="3">
        <v>0</v>
      </c>
    </row>
    <row r="723" spans="1:15" hidden="1" x14ac:dyDescent="0.25">
      <c r="C723" s="3"/>
      <c r="D723" s="3">
        <v>0</v>
      </c>
      <c r="E723" s="3">
        <v>0</v>
      </c>
      <c r="F723" s="3">
        <v>0</v>
      </c>
      <c r="G723" s="3">
        <v>0</v>
      </c>
      <c r="H723" s="3">
        <v>0</v>
      </c>
      <c r="I723" s="3">
        <v>0</v>
      </c>
      <c r="J723" s="3">
        <v>0</v>
      </c>
      <c r="K723" s="3">
        <v>0</v>
      </c>
    </row>
    <row r="724" spans="1:15" hidden="1" x14ac:dyDescent="0.25">
      <c r="C724" s="3"/>
      <c r="D724" s="3">
        <v>0</v>
      </c>
      <c r="E724" s="3">
        <v>0</v>
      </c>
      <c r="F724" s="3">
        <v>0</v>
      </c>
      <c r="G724" s="3">
        <v>0</v>
      </c>
      <c r="H724" s="3">
        <v>0</v>
      </c>
      <c r="I724" s="3">
        <v>0</v>
      </c>
      <c r="J724" s="3">
        <v>0</v>
      </c>
      <c r="K724" s="3">
        <v>0</v>
      </c>
    </row>
    <row r="725" spans="1:15" hidden="1" x14ac:dyDescent="0.25">
      <c r="C725" s="3"/>
      <c r="D725" s="3">
        <v>0</v>
      </c>
      <c r="E725" s="3">
        <v>0</v>
      </c>
      <c r="F725" s="3">
        <v>0</v>
      </c>
      <c r="G725" s="3">
        <v>0</v>
      </c>
      <c r="H725" s="3">
        <v>0</v>
      </c>
      <c r="I725" s="3">
        <v>0</v>
      </c>
      <c r="J725" s="3">
        <v>0</v>
      </c>
      <c r="K725" s="3">
        <v>0</v>
      </c>
    </row>
    <row r="726" spans="1:15" hidden="1" x14ac:dyDescent="0.25">
      <c r="C726" s="3"/>
      <c r="D726" s="3">
        <v>0</v>
      </c>
      <c r="E726" s="3">
        <v>0</v>
      </c>
      <c r="F726" s="3">
        <v>0</v>
      </c>
      <c r="G726" s="3">
        <v>0</v>
      </c>
      <c r="H726" s="3">
        <v>0</v>
      </c>
      <c r="I726" s="3">
        <v>0</v>
      </c>
      <c r="J726" s="3">
        <v>0</v>
      </c>
      <c r="K726" s="3">
        <v>0</v>
      </c>
    </row>
    <row r="727" spans="1:15" hidden="1" x14ac:dyDescent="0.25">
      <c r="C727" s="3"/>
      <c r="D727" s="3">
        <v>0</v>
      </c>
      <c r="E727" s="3">
        <v>0</v>
      </c>
      <c r="F727" s="3">
        <v>0</v>
      </c>
      <c r="G727" s="3">
        <v>0</v>
      </c>
      <c r="H727" s="3">
        <v>0</v>
      </c>
      <c r="I727" s="3">
        <v>0</v>
      </c>
      <c r="J727" s="3">
        <v>0</v>
      </c>
      <c r="K727" s="3">
        <v>0</v>
      </c>
    </row>
    <row r="728" spans="1:15" hidden="1" x14ac:dyDescent="0.25">
      <c r="C728" s="3"/>
      <c r="D728" s="3">
        <v>0</v>
      </c>
      <c r="E728" s="3">
        <v>0</v>
      </c>
      <c r="F728" s="3">
        <v>0</v>
      </c>
      <c r="G728" s="3">
        <v>0</v>
      </c>
      <c r="H728" s="3">
        <v>0</v>
      </c>
      <c r="I728" s="3">
        <v>0</v>
      </c>
      <c r="J728" s="3">
        <v>0</v>
      </c>
      <c r="K728" s="3">
        <v>0</v>
      </c>
    </row>
    <row r="729" spans="1:15" hidden="1" x14ac:dyDescent="0.25">
      <c r="A729" s="5">
        <v>46157</v>
      </c>
      <c r="B729" s="6" t="s">
        <v>51</v>
      </c>
      <c r="C729" s="1" t="s">
        <v>48</v>
      </c>
      <c r="D729" s="3">
        <v>35</v>
      </c>
      <c r="E729" s="3">
        <v>31</v>
      </c>
      <c r="F729" s="3">
        <v>18.53</v>
      </c>
      <c r="G729" s="3">
        <v>0</v>
      </c>
      <c r="H729" s="3">
        <v>0</v>
      </c>
      <c r="I729" s="3">
        <f>E729+G729+H729</f>
        <v>31</v>
      </c>
      <c r="J729" s="3">
        <f>ROUND(MIN(IF(C729="Técnico III",35,IF(C729="Técnico II",28,IF(C729="Técnico I",23,IF(C729="JR",20,IF(C729="Estágio",10,0))))),IF(C729="Técnico III",SUMIFS($D:$D,$A:$A,$A729,$B:$B,"&lt;&gt;Patrícia Karla de Sousa Araújo",$B:$B,"&lt;&gt;Lorena Dias de Araujo",$B:$B,"&lt;&gt;Lucas Luiz Romero")*(35/1083),IF(C729="Técnico II",SUMIFS($D:$D,$A:$A,$A729,$B:$B,"&lt;&gt;Patrícia Karla de Sousa Araújo",$B:$B,"&lt;&gt;Lorena Dias de Araujo",$B:$B,"&lt;&gt;Lucas Luiz Romero")*(28/1083),IF(C729="Técnico I",SUMIFS($D:$D,$A:$A,$A729,$B:$B,"&lt;&gt;Patrícia Karla de Sousa Araújo",$B:$B,"&lt;&gt;Lorena Dias de Araujo",$B:$B,"&lt;&gt;Lucas Luiz Romero")*(23/1083),IF(C729="JR",SUMIFS($D:$D,$A:$A,$A729,$B:$B,"&lt;&gt;Patrícia Karla de Sousa Araújo",$B:$B,"&lt;&gt;Lorena Dias de Araujo",$B:$B,"&lt;&gt;Lucas Luiz Romero")*(20/1083),IF(C729="Estágio",SUMIFS($D:$D,$A:$A,$A729,$B:$B,"&lt;&gt;Patrícia Karla de Sousa Araújo",$B:$B,"&lt;&gt;Lorena Dias de Araujo",$B:$B,"&lt;&gt;Lucas Luiz Romero")*(10/1083),0)))))),0)</f>
        <v>23</v>
      </c>
      <c r="K729" s="3">
        <f>I729-J729</f>
        <v>8</v>
      </c>
      <c r="L729" s="3" t="str">
        <f>IF(K729&lt;-5,"CRÍTICO",IF(K729&lt;0,"ATENÇÃO",IF(K729&lt;=5,"OPORTUNO","MUITO BOM")))</f>
        <v>MUITO BOM</v>
      </c>
      <c r="M729" s="3">
        <v>30</v>
      </c>
      <c r="N729" s="3">
        <v>98.81</v>
      </c>
      <c r="O729" s="3">
        <v>22.767857142857139</v>
      </c>
    </row>
    <row r="730" spans="1:15" hidden="1" x14ac:dyDescent="0.25">
      <c r="A730" s="5">
        <v>46157</v>
      </c>
      <c r="B730" s="6" t="s">
        <v>52</v>
      </c>
      <c r="C730" s="1" t="s">
        <v>48</v>
      </c>
      <c r="D730" s="3">
        <v>27</v>
      </c>
      <c r="E730" s="3">
        <v>25</v>
      </c>
      <c r="F730" s="3">
        <v>18.420000000000002</v>
      </c>
      <c r="G730" s="3">
        <v>2</v>
      </c>
      <c r="H730" s="3">
        <v>0</v>
      </c>
      <c r="I730" s="3">
        <f>E730+G730+H730</f>
        <v>27</v>
      </c>
      <c r="J730" s="3">
        <f>ROUND(MIN(IF(C730="Técnico III",35,IF(C730="Técnico II",28,IF(C730="Técnico I",23,IF(C730="JR",20,IF(C730="Estágio",10,0))))),IF(C730="Técnico III",SUMIFS($D:$D,$A:$A,$A730,$B:$B,"&lt;&gt;Patrícia Karla de Sousa Araújo",$B:$B,"&lt;&gt;Lorena Dias de Araujo",$B:$B,"&lt;&gt;Lucas Luiz Romero")*(35/1083),IF(C730="Técnico II",SUMIFS($D:$D,$A:$A,$A730,$B:$B,"&lt;&gt;Patrícia Karla de Sousa Araújo",$B:$B,"&lt;&gt;Lorena Dias de Araujo",$B:$B,"&lt;&gt;Lucas Luiz Romero")*(28/1083),IF(C730="Técnico I",SUMIFS($D:$D,$A:$A,$A730,$B:$B,"&lt;&gt;Patrícia Karla de Sousa Araújo",$B:$B,"&lt;&gt;Lorena Dias de Araujo",$B:$B,"&lt;&gt;Lucas Luiz Romero")*(23/1083),IF(C730="JR",SUMIFS($D:$D,$A:$A,$A730,$B:$B,"&lt;&gt;Patrícia Karla de Sousa Araújo",$B:$B,"&lt;&gt;Lorena Dias de Araujo",$B:$B,"&lt;&gt;Lucas Luiz Romero")*(20/1083),IF(C730="Estágio",SUMIFS($D:$D,$A:$A,$A730,$B:$B,"&lt;&gt;Patrícia Karla de Sousa Araújo",$B:$B,"&lt;&gt;Lorena Dias de Araujo",$B:$B,"&lt;&gt;Lucas Luiz Romero")*(10/1083),0)))))),0)</f>
        <v>23</v>
      </c>
      <c r="K730" s="3">
        <f>I730-J730</f>
        <v>4</v>
      </c>
      <c r="L730" s="3" t="str">
        <f>IF(K730&lt;-5,"CRÍTICO",IF(K730&lt;0,"ATENÇÃO",IF(K730&lt;=5,"OPORTUNO","MUITO BOM")))</f>
        <v>OPORTUNO</v>
      </c>
      <c r="M730" s="3">
        <v>23</v>
      </c>
      <c r="N730" s="3">
        <v>99.01</v>
      </c>
      <c r="O730" s="3">
        <v>17.766497461928939</v>
      </c>
    </row>
    <row r="731" spans="1:15" hidden="1" x14ac:dyDescent="0.25">
      <c r="A731" s="5">
        <v>46157</v>
      </c>
      <c r="B731" s="6" t="s">
        <v>53</v>
      </c>
      <c r="C731" s="1" t="s">
        <v>48</v>
      </c>
      <c r="D731" s="3">
        <v>0</v>
      </c>
      <c r="E731" s="3">
        <v>0</v>
      </c>
      <c r="F731" s="3">
        <v>0</v>
      </c>
      <c r="G731" s="3">
        <v>0</v>
      </c>
      <c r="H731" s="3">
        <v>0</v>
      </c>
      <c r="I731" s="3">
        <f>E731+G731+H731</f>
        <v>0</v>
      </c>
      <c r="J731" s="3">
        <f>ROUND(MIN(IF(C731="Técnico III",35,IF(C731="Técnico II",28,IF(C731="Técnico I",23,IF(C731="JR",20,IF(C731="Estágio",10,0))))),IF(C731="Técnico III",SUMIFS($D:$D,$A:$A,$A731,$B:$B,"&lt;&gt;Patrícia Karla de Sousa Araújo",$B:$B,"&lt;&gt;Lorena Dias de Araujo",$B:$B,"&lt;&gt;Lucas Luiz Romero")*(35/1083),IF(C731="Técnico II",SUMIFS($D:$D,$A:$A,$A731,$B:$B,"&lt;&gt;Patrícia Karla de Sousa Araújo",$B:$B,"&lt;&gt;Lorena Dias de Araujo",$B:$B,"&lt;&gt;Lucas Luiz Romero")*(28/1083),IF(C731="Técnico I",SUMIFS($D:$D,$A:$A,$A731,$B:$B,"&lt;&gt;Patrícia Karla de Sousa Araújo",$B:$B,"&lt;&gt;Lorena Dias de Araujo",$B:$B,"&lt;&gt;Lucas Luiz Romero")*(23/1083),IF(C731="JR",SUMIFS($D:$D,$A:$A,$A731,$B:$B,"&lt;&gt;Patrícia Karla de Sousa Araújo",$B:$B,"&lt;&gt;Lorena Dias de Araujo",$B:$B,"&lt;&gt;Lucas Luiz Romero")*(20/1083),IF(C731="Estágio",SUMIFS($D:$D,$A:$A,$A731,$B:$B,"&lt;&gt;Patrícia Karla de Sousa Araújo",$B:$B,"&lt;&gt;Lorena Dias de Araujo",$B:$B,"&lt;&gt;Lucas Luiz Romero")*(10/1083),0)))))),0)</f>
        <v>23</v>
      </c>
      <c r="K731" s="3">
        <f>I731-J731</f>
        <v>-23</v>
      </c>
      <c r="L731" s="3" t="str">
        <f>IF(K731&lt;-5,"CRÍTICO",IF(K731&lt;0,"ATENÇÃO",IF(K731&lt;=5,"OPORTUNO","MUITO BOM")))</f>
        <v>CRÍTICO</v>
      </c>
      <c r="M731" s="3">
        <v>0</v>
      </c>
      <c r="N731" s="3">
        <v>100</v>
      </c>
      <c r="O731" s="3">
        <v>17.241379310344829</v>
      </c>
    </row>
    <row r="732" spans="1:15" hidden="1" x14ac:dyDescent="0.25">
      <c r="A732" s="5">
        <v>46157</v>
      </c>
      <c r="B732" s="6" t="s">
        <v>54</v>
      </c>
      <c r="C732" s="14" t="s">
        <v>48</v>
      </c>
      <c r="D732" s="3">
        <v>28</v>
      </c>
      <c r="E732" s="3">
        <v>25</v>
      </c>
      <c r="F732" s="3">
        <v>22.04</v>
      </c>
      <c r="G732" s="3">
        <v>0</v>
      </c>
      <c r="H732" s="3">
        <v>0</v>
      </c>
      <c r="I732" s="3">
        <f>E732+G732+H732</f>
        <v>25</v>
      </c>
      <c r="J732" s="3">
        <f>ROUND(MIN(IF(C732="Técnico III",35,IF(C732="Técnico II",28,IF(C732="Técnico I",23,IF(C732="JR",20,IF(C732="Estágio",10,0))))),IF(C732="Técnico III",SUMIFS($D:$D,$A:$A,$A732,$B:$B,"&lt;&gt;Patrícia Karla de Sousa Araújo",$B:$B,"&lt;&gt;Lorena Dias de Araujo",$B:$B,"&lt;&gt;Lucas Luiz Romero")*(35/1083),IF(C732="Técnico II",SUMIFS($D:$D,$A:$A,$A732,$B:$B,"&lt;&gt;Patrícia Karla de Sousa Araújo",$B:$B,"&lt;&gt;Lorena Dias de Araujo",$B:$B,"&lt;&gt;Lucas Luiz Romero")*(28/1083),IF(C732="Técnico I",SUMIFS($D:$D,$A:$A,$A732,$B:$B,"&lt;&gt;Patrícia Karla de Sousa Araújo",$B:$B,"&lt;&gt;Lorena Dias de Araujo",$B:$B,"&lt;&gt;Lucas Luiz Romero")*(23/1083),IF(C732="JR",SUMIFS($D:$D,$A:$A,$A732,$B:$B,"&lt;&gt;Patrícia Karla de Sousa Araújo",$B:$B,"&lt;&gt;Lorena Dias de Araujo",$B:$B,"&lt;&gt;Lucas Luiz Romero")*(20/1083),IF(C732="Estágio",SUMIFS($D:$D,$A:$A,$A732,$B:$B,"&lt;&gt;Patrícia Karla de Sousa Araújo",$B:$B,"&lt;&gt;Lorena Dias de Araujo",$B:$B,"&lt;&gt;Lucas Luiz Romero")*(10/1083),0)))))),0)</f>
        <v>23</v>
      </c>
      <c r="K732" s="3">
        <f>I732-J732</f>
        <v>2</v>
      </c>
      <c r="L732" s="3" t="str">
        <f>IF(K732&lt;-5,"CRÍTICO",IF(K732&lt;0,"ATENÇÃO",IF(K732&lt;=5,"OPORTUNO","MUITO BOM")))</f>
        <v>OPORTUNO</v>
      </c>
      <c r="M732" s="3">
        <v>23</v>
      </c>
      <c r="N732" s="3">
        <v>98.98</v>
      </c>
      <c r="O732" s="3">
        <v>19.35483870967742</v>
      </c>
    </row>
    <row r="733" spans="1:15" hidden="1" x14ac:dyDescent="0.25">
      <c r="A733" s="5">
        <v>46157</v>
      </c>
      <c r="B733" s="6" t="s">
        <v>55</v>
      </c>
      <c r="C733" s="1" t="s">
        <v>48</v>
      </c>
      <c r="D733" s="3">
        <v>17</v>
      </c>
      <c r="E733" s="3">
        <v>14</v>
      </c>
      <c r="F733" s="3">
        <v>15.05</v>
      </c>
      <c r="G733" s="3">
        <v>1</v>
      </c>
      <c r="H733" s="3">
        <v>0</v>
      </c>
      <c r="I733" s="3">
        <f>E733+G733+H733</f>
        <v>15</v>
      </c>
      <c r="J733" s="3">
        <f>ROUND(MIN(IF(C733="Técnico III",35,IF(C733="Técnico II",28,IF(C733="Técnico I",23,IF(C733="JR",20,IF(C733="Estágio",10,0))))),IF(C733="Técnico III",SUMIFS($D:$D,$A:$A,$A733,$B:$B,"&lt;&gt;Patrícia Karla de Sousa Araújo",$B:$B,"&lt;&gt;Lorena Dias de Araujo",$B:$B,"&lt;&gt;Lucas Luiz Romero")*(35/1083),IF(C733="Técnico II",SUMIFS($D:$D,$A:$A,$A733,$B:$B,"&lt;&gt;Patrícia Karla de Sousa Araújo",$B:$B,"&lt;&gt;Lorena Dias de Araujo",$B:$B,"&lt;&gt;Lucas Luiz Romero")*(28/1083),IF(C733="Técnico I",SUMIFS($D:$D,$A:$A,$A733,$B:$B,"&lt;&gt;Patrícia Karla de Sousa Araújo",$B:$B,"&lt;&gt;Lorena Dias de Araujo",$B:$B,"&lt;&gt;Lucas Luiz Romero")*(23/1083),IF(C733="JR",SUMIFS($D:$D,$A:$A,$A733,$B:$B,"&lt;&gt;Patrícia Karla de Sousa Araújo",$B:$B,"&lt;&gt;Lorena Dias de Araujo",$B:$B,"&lt;&gt;Lucas Luiz Romero")*(20/1083),IF(C733="Estágio",SUMIFS($D:$D,$A:$A,$A733,$B:$B,"&lt;&gt;Patrícia Karla de Sousa Araújo",$B:$B,"&lt;&gt;Lorena Dias de Araujo",$B:$B,"&lt;&gt;Lucas Luiz Romero")*(10/1083),0)))))),0)</f>
        <v>23</v>
      </c>
      <c r="K733" s="3">
        <f>I733-J733</f>
        <v>-8</v>
      </c>
      <c r="L733" s="3" t="str">
        <f>IF(K733&lt;-5,"CRÍTICO",IF(K733&lt;0,"ATENÇÃO",IF(K733&lt;=5,"OPORTUNO","MUITO BOM")))</f>
        <v>CRÍTICO</v>
      </c>
      <c r="M733" s="3">
        <v>14</v>
      </c>
      <c r="N733" s="3">
        <v>98.94</v>
      </c>
      <c r="O733" s="3">
        <v>21.270718232044199</v>
      </c>
    </row>
    <row r="734" spans="1:15" hidden="1" x14ac:dyDescent="0.25">
      <c r="A734" s="5">
        <v>46157</v>
      </c>
      <c r="B734" s="6" t="s">
        <v>56</v>
      </c>
      <c r="C734" s="1" t="s">
        <v>48</v>
      </c>
      <c r="D734" s="3">
        <v>34</v>
      </c>
      <c r="E734" s="3">
        <v>32</v>
      </c>
      <c r="F734" s="3">
        <v>15.4</v>
      </c>
      <c r="G734" s="3">
        <v>0</v>
      </c>
      <c r="H734" s="3">
        <v>0</v>
      </c>
      <c r="I734" s="3">
        <f>E734+G734+H734</f>
        <v>32</v>
      </c>
      <c r="J734" s="3">
        <f>ROUND(MIN(IF(C734="Técnico III",35,IF(C734="Técnico II",28,IF(C734="Técnico I",23,IF(C734="JR",20,IF(C734="Estágio",10,0))))),IF(C734="Técnico III",SUMIFS($D:$D,$A:$A,$A734,$B:$B,"&lt;&gt;Patrícia Karla de Sousa Araújo",$B:$B,"&lt;&gt;Lorena Dias de Araujo",$B:$B,"&lt;&gt;Lucas Luiz Romero")*(35/1083),IF(C734="Técnico II",SUMIFS($D:$D,$A:$A,$A734,$B:$B,"&lt;&gt;Patrícia Karla de Sousa Araújo",$B:$B,"&lt;&gt;Lorena Dias de Araujo",$B:$B,"&lt;&gt;Lucas Luiz Romero")*(28/1083),IF(C734="Técnico I",SUMIFS($D:$D,$A:$A,$A734,$B:$B,"&lt;&gt;Patrícia Karla de Sousa Araújo",$B:$B,"&lt;&gt;Lorena Dias de Araujo",$B:$B,"&lt;&gt;Lucas Luiz Romero")*(23/1083),IF(C734="JR",SUMIFS($D:$D,$A:$A,$A734,$B:$B,"&lt;&gt;Patrícia Karla de Sousa Araújo",$B:$B,"&lt;&gt;Lorena Dias de Araujo",$B:$B,"&lt;&gt;Lucas Luiz Romero")*(20/1083),IF(C734="Estágio",SUMIFS($D:$D,$A:$A,$A734,$B:$B,"&lt;&gt;Patrícia Karla de Sousa Araújo",$B:$B,"&lt;&gt;Lorena Dias de Araujo",$B:$B,"&lt;&gt;Lucas Luiz Romero")*(10/1083),0)))))),0)</f>
        <v>23</v>
      </c>
      <c r="K734" s="3">
        <f>I734-J734</f>
        <v>9</v>
      </c>
      <c r="L734" s="3" t="str">
        <f>IF(K734&lt;-5,"CRÍTICO",IF(K734&lt;0,"ATENÇÃO",IF(K734&lt;=5,"OPORTUNO","MUITO BOM")))</f>
        <v>MUITO BOM</v>
      </c>
      <c r="M734" s="3">
        <v>13</v>
      </c>
      <c r="N734" s="3">
        <v>99</v>
      </c>
      <c r="O734" s="3">
        <v>22.010869565217391</v>
      </c>
    </row>
    <row r="735" spans="1:15" hidden="1" x14ac:dyDescent="0.25">
      <c r="A735" s="5">
        <v>46157</v>
      </c>
      <c r="B735" s="6" t="s">
        <v>57</v>
      </c>
      <c r="C735" s="1" t="s">
        <v>48</v>
      </c>
      <c r="D735" s="3">
        <v>28</v>
      </c>
      <c r="E735" s="3">
        <v>25</v>
      </c>
      <c r="F735" s="3">
        <v>25.42</v>
      </c>
      <c r="G735" s="3">
        <v>0</v>
      </c>
      <c r="H735" s="3">
        <v>0</v>
      </c>
      <c r="I735" s="3">
        <f>E735+G735+H735</f>
        <v>25</v>
      </c>
      <c r="J735" s="3">
        <f>ROUND(MIN(IF(C735="Técnico III",35,IF(C735="Técnico II",28,IF(C735="Técnico I",23,IF(C735="JR",20,IF(C735="Estágio",10,0))))),IF(C735="Técnico III",SUMIFS($D:$D,$A:$A,$A735,$B:$B,"&lt;&gt;Patrícia Karla de Sousa Araújo",$B:$B,"&lt;&gt;Lorena Dias de Araujo",$B:$B,"&lt;&gt;Lucas Luiz Romero")*(35/1083),IF(C735="Técnico II",SUMIFS($D:$D,$A:$A,$A735,$B:$B,"&lt;&gt;Patrícia Karla de Sousa Araújo",$B:$B,"&lt;&gt;Lorena Dias de Araujo",$B:$B,"&lt;&gt;Lucas Luiz Romero")*(28/1083),IF(C735="Técnico I",SUMIFS($D:$D,$A:$A,$A735,$B:$B,"&lt;&gt;Patrícia Karla de Sousa Araújo",$B:$B,"&lt;&gt;Lorena Dias de Araujo",$B:$B,"&lt;&gt;Lucas Luiz Romero")*(23/1083),IF(C735="JR",SUMIFS($D:$D,$A:$A,$A735,$B:$B,"&lt;&gt;Patrícia Karla de Sousa Araújo",$B:$B,"&lt;&gt;Lorena Dias de Araujo",$B:$B,"&lt;&gt;Lucas Luiz Romero")*(20/1083),IF(C735="Estágio",SUMIFS($D:$D,$A:$A,$A735,$B:$B,"&lt;&gt;Patrícia Karla de Sousa Araújo",$B:$B,"&lt;&gt;Lorena Dias de Araujo",$B:$B,"&lt;&gt;Lucas Luiz Romero")*(10/1083),0)))))),0)</f>
        <v>23</v>
      </c>
      <c r="K735" s="3">
        <f>I735-J735</f>
        <v>2</v>
      </c>
      <c r="L735" s="3" t="str">
        <f>IF(K735&lt;-5,"CRÍTICO",IF(K735&lt;0,"ATENÇÃO",IF(K735&lt;=5,"OPORTUNO","MUITO BOM")))</f>
        <v>OPORTUNO</v>
      </c>
      <c r="M735" s="3">
        <v>24</v>
      </c>
      <c r="N735" s="3">
        <v>100</v>
      </c>
      <c r="O735" s="3">
        <v>25</v>
      </c>
    </row>
    <row r="736" spans="1:15" hidden="1" x14ac:dyDescent="0.25">
      <c r="A736" s="5">
        <v>46157</v>
      </c>
      <c r="B736" s="6" t="s">
        <v>58</v>
      </c>
      <c r="C736" s="1" t="s">
        <v>48</v>
      </c>
      <c r="D736" s="3">
        <v>13</v>
      </c>
      <c r="E736" s="3">
        <v>13</v>
      </c>
      <c r="F736" s="3">
        <v>33.590000000000003</v>
      </c>
      <c r="G736" s="3">
        <v>0</v>
      </c>
      <c r="H736" s="3">
        <v>0</v>
      </c>
      <c r="I736" s="3">
        <f>E736+G736+H736</f>
        <v>13</v>
      </c>
      <c r="J736" s="3">
        <f>ROUND(MIN(IF(C736="Técnico III",35,IF(C736="Técnico II",28,IF(C736="Técnico I",23,IF(C736="JR",20,IF(C736="Estágio",10,0))))),IF(C736="Técnico III",SUMIFS($D:$D,$A:$A,$A736,$B:$B,"&lt;&gt;Patrícia Karla de Sousa Araújo",$B:$B,"&lt;&gt;Lorena Dias de Araujo",$B:$B,"&lt;&gt;Lucas Luiz Romero")*(35/1083),IF(C736="Técnico II",SUMIFS($D:$D,$A:$A,$A736,$B:$B,"&lt;&gt;Patrícia Karla de Sousa Araújo",$B:$B,"&lt;&gt;Lorena Dias de Araujo",$B:$B,"&lt;&gt;Lucas Luiz Romero")*(28/1083),IF(C736="Técnico I",SUMIFS($D:$D,$A:$A,$A736,$B:$B,"&lt;&gt;Patrícia Karla de Sousa Araújo",$B:$B,"&lt;&gt;Lorena Dias de Araujo",$B:$B,"&lt;&gt;Lucas Luiz Romero")*(23/1083),IF(C736="JR",SUMIFS($D:$D,$A:$A,$A736,$B:$B,"&lt;&gt;Patrícia Karla de Sousa Araújo",$B:$B,"&lt;&gt;Lorena Dias de Araujo",$B:$B,"&lt;&gt;Lucas Luiz Romero")*(20/1083),IF(C736="Estágio",SUMIFS($D:$D,$A:$A,$A736,$B:$B,"&lt;&gt;Patrícia Karla de Sousa Araújo",$B:$B,"&lt;&gt;Lorena Dias de Araujo",$B:$B,"&lt;&gt;Lucas Luiz Romero")*(10/1083),0)))))),0)</f>
        <v>23</v>
      </c>
      <c r="K736" s="3">
        <f>I736-J736</f>
        <v>-10</v>
      </c>
      <c r="L736" s="3" t="str">
        <f>IF(K736&lt;-5,"CRÍTICO",IF(K736&lt;0,"ATENÇÃO",IF(K736&lt;=5,"OPORTUNO","MUITO BOM")))</f>
        <v>CRÍTICO</v>
      </c>
      <c r="M736" s="3">
        <v>11</v>
      </c>
      <c r="N736" s="3">
        <v>100</v>
      </c>
      <c r="O736" s="3">
        <v>20.183486238532112</v>
      </c>
    </row>
    <row r="737" spans="1:15" hidden="1" x14ac:dyDescent="0.25">
      <c r="A737" s="5">
        <v>46157</v>
      </c>
      <c r="B737" s="6" t="s">
        <v>59</v>
      </c>
      <c r="C737" s="1" t="s">
        <v>23</v>
      </c>
      <c r="D737" s="3">
        <v>40</v>
      </c>
      <c r="E737" s="3">
        <v>38</v>
      </c>
      <c r="F737" s="3">
        <v>15.24</v>
      </c>
      <c r="G737" s="3">
        <v>5</v>
      </c>
      <c r="H737" s="3">
        <v>0</v>
      </c>
      <c r="I737" s="3">
        <f>E737+G737+H737</f>
        <v>43</v>
      </c>
      <c r="J737" s="3">
        <f>ROUND(MIN(IF(C737="Técnico III",35,IF(C737="Técnico II",28,IF(C737="Técnico I",23,IF(C737="JR",20,IF(C737="Estágio",10,0))))),IF(C737="Técnico III",SUMIFS($D:$D,$A:$A,$A737,$B:$B,"&lt;&gt;Patrícia Karla de Sousa Araújo",$B:$B,"&lt;&gt;Lorena Dias de Araujo",$B:$B,"&lt;&gt;Lucas Luiz Romero")*(35/1083),IF(C737="Técnico II",SUMIFS($D:$D,$A:$A,$A737,$B:$B,"&lt;&gt;Patrícia Karla de Sousa Araújo",$B:$B,"&lt;&gt;Lorena Dias de Araujo",$B:$B,"&lt;&gt;Lucas Luiz Romero")*(28/1083),IF(C737="Técnico I",SUMIFS($D:$D,$A:$A,$A737,$B:$B,"&lt;&gt;Patrícia Karla de Sousa Araújo",$B:$B,"&lt;&gt;Lorena Dias de Araujo",$B:$B,"&lt;&gt;Lucas Luiz Romero")*(23/1083),IF(C737="JR",SUMIFS($D:$D,$A:$A,$A737,$B:$B,"&lt;&gt;Patrícia Karla de Sousa Araújo",$B:$B,"&lt;&gt;Lorena Dias de Araujo",$B:$B,"&lt;&gt;Lucas Luiz Romero")*(20/1083),IF(C737="Estágio",SUMIFS($D:$D,$A:$A,$A737,$B:$B,"&lt;&gt;Patrícia Karla de Sousa Araújo",$B:$B,"&lt;&gt;Lorena Dias de Araujo",$B:$B,"&lt;&gt;Lucas Luiz Romero")*(10/1083),0)))))),0)</f>
        <v>19</v>
      </c>
      <c r="K737" s="3">
        <f>I737-J737</f>
        <v>24</v>
      </c>
      <c r="L737" s="3" t="str">
        <f>IF(K737&lt;-5,"CRÍTICO",IF(K737&lt;0,"ATENÇÃO",IF(K737&lt;=5,"OPORTUNO","MUITO BOM")))</f>
        <v>MUITO BOM</v>
      </c>
      <c r="M737" s="3">
        <v>36</v>
      </c>
      <c r="N737" s="3">
        <v>96.25</v>
      </c>
      <c r="O737" s="3">
        <v>25.586353944562902</v>
      </c>
    </row>
    <row r="738" spans="1:15" hidden="1" x14ac:dyDescent="0.25">
      <c r="A738" s="5">
        <v>46157</v>
      </c>
      <c r="B738" s="6" t="s">
        <v>60</v>
      </c>
      <c r="C738" s="1" t="s">
        <v>23</v>
      </c>
      <c r="D738" s="3">
        <v>24</v>
      </c>
      <c r="E738" s="3">
        <v>20</v>
      </c>
      <c r="F738" s="3">
        <v>19.190000000000001</v>
      </c>
      <c r="G738" s="3">
        <v>3</v>
      </c>
      <c r="H738" s="3">
        <v>0</v>
      </c>
      <c r="I738" s="3">
        <f>E738+G738+H738</f>
        <v>23</v>
      </c>
      <c r="J738" s="3">
        <f>ROUND(MIN(IF(C738="Técnico III",35,IF(C738="Técnico II",28,IF(C738="Técnico I",23,IF(C738="JR",20,IF(C738="Estágio",10,0))))),IF(C738="Técnico III",SUMIFS($D:$D,$A:$A,$A738,$B:$B,"&lt;&gt;Patrícia Karla de Sousa Araújo",$B:$B,"&lt;&gt;Lorena Dias de Araujo",$B:$B,"&lt;&gt;Lucas Luiz Romero")*(35/1083),IF(C738="Técnico II",SUMIFS($D:$D,$A:$A,$A738,$B:$B,"&lt;&gt;Patrícia Karla de Sousa Araújo",$B:$B,"&lt;&gt;Lorena Dias de Araujo",$B:$B,"&lt;&gt;Lucas Luiz Romero")*(28/1083),IF(C738="Técnico I",SUMIFS($D:$D,$A:$A,$A738,$B:$B,"&lt;&gt;Patrícia Karla de Sousa Araújo",$B:$B,"&lt;&gt;Lorena Dias de Araujo",$B:$B,"&lt;&gt;Lucas Luiz Romero")*(23/1083),IF(C738="JR",SUMIFS($D:$D,$A:$A,$A738,$B:$B,"&lt;&gt;Patrícia Karla de Sousa Araújo",$B:$B,"&lt;&gt;Lorena Dias de Araujo",$B:$B,"&lt;&gt;Lucas Luiz Romero")*(20/1083),IF(C738="Estágio",SUMIFS($D:$D,$A:$A,$A738,$B:$B,"&lt;&gt;Patrícia Karla de Sousa Araújo",$B:$B,"&lt;&gt;Lorena Dias de Araujo",$B:$B,"&lt;&gt;Lucas Luiz Romero")*(10/1083),0)))))),0)</f>
        <v>19</v>
      </c>
      <c r="K738" s="3">
        <f>I738-J738</f>
        <v>4</v>
      </c>
      <c r="L738" s="3" t="str">
        <f>IF(K738&lt;-5,"CRÍTICO",IF(K738&lt;0,"ATENÇÃO",IF(K738&lt;=5,"OPORTUNO","MUITO BOM")))</f>
        <v>OPORTUNO</v>
      </c>
      <c r="M738" s="3">
        <v>20</v>
      </c>
      <c r="N738" s="3">
        <v>97.48</v>
      </c>
      <c r="O738" s="3">
        <v>22.99465240641711</v>
      </c>
    </row>
    <row r="739" spans="1:15" hidden="1" x14ac:dyDescent="0.25">
      <c r="A739" s="5">
        <v>46157</v>
      </c>
      <c r="B739" s="6" t="s">
        <v>61</v>
      </c>
      <c r="C739" s="1" t="s">
        <v>23</v>
      </c>
      <c r="D739" s="3">
        <v>18</v>
      </c>
      <c r="E739" s="3">
        <v>18</v>
      </c>
      <c r="F739" s="3">
        <v>25.25</v>
      </c>
      <c r="G739" s="3">
        <v>3</v>
      </c>
      <c r="H739" s="3">
        <v>0</v>
      </c>
      <c r="I739" s="3">
        <f>E739+G739+H739</f>
        <v>21</v>
      </c>
      <c r="J739" s="3">
        <f>ROUND(MIN(IF(C739="Técnico III",35,IF(C739="Técnico II",28,IF(C739="Técnico I",23,IF(C739="JR",20,IF(C739="Estágio",10,0))))),IF(C739="Técnico III",SUMIFS($D:$D,$A:$A,$A739,$B:$B,"&lt;&gt;Patrícia Karla de Sousa Araújo",$B:$B,"&lt;&gt;Lorena Dias de Araujo",$B:$B,"&lt;&gt;Lucas Luiz Romero")*(35/1083),IF(C739="Técnico II",SUMIFS($D:$D,$A:$A,$A739,$B:$B,"&lt;&gt;Patrícia Karla de Sousa Araújo",$B:$B,"&lt;&gt;Lorena Dias de Araujo",$B:$B,"&lt;&gt;Lucas Luiz Romero")*(28/1083),IF(C739="Técnico I",SUMIFS($D:$D,$A:$A,$A739,$B:$B,"&lt;&gt;Patrícia Karla de Sousa Araújo",$B:$B,"&lt;&gt;Lorena Dias de Araujo",$B:$B,"&lt;&gt;Lucas Luiz Romero")*(23/1083),IF(C739="JR",SUMIFS($D:$D,$A:$A,$A739,$B:$B,"&lt;&gt;Patrícia Karla de Sousa Araújo",$B:$B,"&lt;&gt;Lorena Dias de Araujo",$B:$B,"&lt;&gt;Lucas Luiz Romero")*(20/1083),IF(C739="Estágio",SUMIFS($D:$D,$A:$A,$A739,$B:$B,"&lt;&gt;Patrícia Karla de Sousa Araújo",$B:$B,"&lt;&gt;Lorena Dias de Araujo",$B:$B,"&lt;&gt;Lucas Luiz Romero")*(10/1083),0)))))),0)</f>
        <v>19</v>
      </c>
      <c r="K739" s="3">
        <f>I739-J739</f>
        <v>2</v>
      </c>
      <c r="L739" s="3" t="str">
        <f>IF(K739&lt;-5,"CRÍTICO",IF(K739&lt;0,"ATENÇÃO",IF(K739&lt;=5,"OPORTUNO","MUITO BOM")))</f>
        <v>OPORTUNO</v>
      </c>
      <c r="M739" s="3">
        <v>19</v>
      </c>
      <c r="N739" s="3">
        <v>100</v>
      </c>
      <c r="O739" s="3">
        <v>20.788530465949819</v>
      </c>
    </row>
    <row r="740" spans="1:15" hidden="1" x14ac:dyDescent="0.25">
      <c r="A740" s="5">
        <v>46157</v>
      </c>
      <c r="B740" s="6" t="s">
        <v>62</v>
      </c>
      <c r="C740" s="1" t="s">
        <v>23</v>
      </c>
      <c r="D740" s="3">
        <v>24</v>
      </c>
      <c r="E740" s="3">
        <v>21</v>
      </c>
      <c r="F740" s="3">
        <v>20.350000000000001</v>
      </c>
      <c r="G740" s="3">
        <v>2</v>
      </c>
      <c r="H740" s="3">
        <v>0</v>
      </c>
      <c r="I740" s="3">
        <f>E740+G740+H740</f>
        <v>23</v>
      </c>
      <c r="J740" s="3">
        <f>ROUND(MIN(IF(C740="Técnico III",35,IF(C740="Técnico II",28,IF(C740="Técnico I",23,IF(C740="JR",20,IF(C740="Estágio",10,0))))),IF(C740="Técnico III",SUMIFS($D:$D,$A:$A,$A740,$B:$B,"&lt;&gt;Patrícia Karla de Sousa Araújo",$B:$B,"&lt;&gt;Lorena Dias de Araujo",$B:$B,"&lt;&gt;Lucas Luiz Romero")*(35/1083),IF(C740="Técnico II",SUMIFS($D:$D,$A:$A,$A740,$B:$B,"&lt;&gt;Patrícia Karla de Sousa Araújo",$B:$B,"&lt;&gt;Lorena Dias de Araujo",$B:$B,"&lt;&gt;Lucas Luiz Romero")*(28/1083),IF(C740="Técnico I",SUMIFS($D:$D,$A:$A,$A740,$B:$B,"&lt;&gt;Patrícia Karla de Sousa Araújo",$B:$B,"&lt;&gt;Lorena Dias de Araujo",$B:$B,"&lt;&gt;Lucas Luiz Romero")*(23/1083),IF(C740="JR",SUMIFS($D:$D,$A:$A,$A740,$B:$B,"&lt;&gt;Patrícia Karla de Sousa Araújo",$B:$B,"&lt;&gt;Lorena Dias de Araujo",$B:$B,"&lt;&gt;Lucas Luiz Romero")*(20/1083),IF(C740="Estágio",SUMIFS($D:$D,$A:$A,$A740,$B:$B,"&lt;&gt;Patrícia Karla de Sousa Araújo",$B:$B,"&lt;&gt;Lorena Dias de Araujo",$B:$B,"&lt;&gt;Lucas Luiz Romero")*(10/1083),0)))))),0)</f>
        <v>19</v>
      </c>
      <c r="K740" s="3">
        <f>I740-J740</f>
        <v>4</v>
      </c>
      <c r="L740" s="3" t="str">
        <f>IF(K740&lt;-5,"CRÍTICO",IF(K740&lt;0,"ATENÇÃO",IF(K740&lt;=5,"OPORTUNO","MUITO BOM")))</f>
        <v>OPORTUNO</v>
      </c>
      <c r="M740" s="3">
        <v>24</v>
      </c>
      <c r="N740" s="3">
        <v>94.55</v>
      </c>
      <c r="O740" s="3">
        <v>23.450134770889491</v>
      </c>
    </row>
    <row r="741" spans="1:15" hidden="1" x14ac:dyDescent="0.25">
      <c r="A741" s="5">
        <v>46157</v>
      </c>
      <c r="B741" s="6" t="s">
        <v>63</v>
      </c>
      <c r="C741" s="1" t="s">
        <v>23</v>
      </c>
      <c r="D741" s="3">
        <v>28</v>
      </c>
      <c r="E741" s="3">
        <v>25</v>
      </c>
      <c r="F741" s="3">
        <v>13.57</v>
      </c>
      <c r="G741" s="3">
        <v>5</v>
      </c>
      <c r="H741" s="3">
        <v>0</v>
      </c>
      <c r="I741" s="3">
        <f>E741+G741+H741</f>
        <v>30</v>
      </c>
      <c r="J741" s="3">
        <f>ROUND(MIN(IF(C741="Técnico III",35,IF(C741="Técnico II",28,IF(C741="Técnico I",23,IF(C741="JR",20,IF(C741="Estágio",10,0))))),IF(C741="Técnico III",SUMIFS($D:$D,$A:$A,$A741,$B:$B,"&lt;&gt;Patrícia Karla de Sousa Araújo",$B:$B,"&lt;&gt;Lorena Dias de Araujo",$B:$B,"&lt;&gt;Lucas Luiz Romero")*(35/1083),IF(C741="Técnico II",SUMIFS($D:$D,$A:$A,$A741,$B:$B,"&lt;&gt;Patrícia Karla de Sousa Araújo",$B:$B,"&lt;&gt;Lorena Dias de Araujo",$B:$B,"&lt;&gt;Lucas Luiz Romero")*(28/1083),IF(C741="Técnico I",SUMIFS($D:$D,$A:$A,$A741,$B:$B,"&lt;&gt;Patrícia Karla de Sousa Araújo",$B:$B,"&lt;&gt;Lorena Dias de Araujo",$B:$B,"&lt;&gt;Lucas Luiz Romero")*(23/1083),IF(C741="JR",SUMIFS($D:$D,$A:$A,$A741,$B:$B,"&lt;&gt;Patrícia Karla de Sousa Araújo",$B:$B,"&lt;&gt;Lorena Dias de Araujo",$B:$B,"&lt;&gt;Lucas Luiz Romero")*(20/1083),IF(C741="Estágio",SUMIFS($D:$D,$A:$A,$A741,$B:$B,"&lt;&gt;Patrícia Karla de Sousa Araújo",$B:$B,"&lt;&gt;Lorena Dias de Araujo",$B:$B,"&lt;&gt;Lucas Luiz Romero")*(10/1083),0)))))),0)</f>
        <v>19</v>
      </c>
      <c r="K741" s="3">
        <f>I741-J741</f>
        <v>11</v>
      </c>
      <c r="L741" s="3" t="str">
        <f>IF(K741&lt;-5,"CRÍTICO",IF(K741&lt;0,"ATENÇÃO",IF(K741&lt;=5,"OPORTUNO","MUITO BOM")))</f>
        <v>MUITO BOM</v>
      </c>
      <c r="M741" s="3">
        <v>23</v>
      </c>
      <c r="N741" s="3">
        <v>98</v>
      </c>
      <c r="O741" s="3">
        <v>20.73490813648294</v>
      </c>
    </row>
    <row r="742" spans="1:15" hidden="1" x14ac:dyDescent="0.25">
      <c r="A742" s="5">
        <v>46157</v>
      </c>
      <c r="B742" s="6" t="s">
        <v>64</v>
      </c>
      <c r="C742" s="1" t="s">
        <v>23</v>
      </c>
      <c r="D742" s="3">
        <v>18</v>
      </c>
      <c r="E742" s="3">
        <v>17</v>
      </c>
      <c r="F742" s="3">
        <v>35.31</v>
      </c>
      <c r="G742" s="3">
        <v>3</v>
      </c>
      <c r="H742" s="3">
        <v>0</v>
      </c>
      <c r="I742" s="3">
        <f>E742+G742+H742</f>
        <v>20</v>
      </c>
      <c r="J742" s="3">
        <f>ROUND(MIN(IF(C742="Técnico III",35,IF(C742="Técnico II",28,IF(C742="Técnico I",23,IF(C742="JR",20,IF(C742="Estágio",10,0))))),IF(C742="Técnico III",SUMIFS($D:$D,$A:$A,$A742,$B:$B,"&lt;&gt;Patrícia Karla de Sousa Araújo",$B:$B,"&lt;&gt;Lorena Dias de Araujo",$B:$B,"&lt;&gt;Lucas Luiz Romero")*(35/1083),IF(C742="Técnico II",SUMIFS($D:$D,$A:$A,$A742,$B:$B,"&lt;&gt;Patrícia Karla de Sousa Araújo",$B:$B,"&lt;&gt;Lorena Dias de Araujo",$B:$B,"&lt;&gt;Lucas Luiz Romero")*(28/1083),IF(C742="Técnico I",SUMIFS($D:$D,$A:$A,$A742,$B:$B,"&lt;&gt;Patrícia Karla de Sousa Araújo",$B:$B,"&lt;&gt;Lorena Dias de Araujo",$B:$B,"&lt;&gt;Lucas Luiz Romero")*(23/1083),IF(C742="JR",SUMIFS($D:$D,$A:$A,$A742,$B:$B,"&lt;&gt;Patrícia Karla de Sousa Araújo",$B:$B,"&lt;&gt;Lorena Dias de Araujo",$B:$B,"&lt;&gt;Lucas Luiz Romero")*(20/1083),IF(C742="Estágio",SUMIFS($D:$D,$A:$A,$A742,$B:$B,"&lt;&gt;Patrícia Karla de Sousa Araújo",$B:$B,"&lt;&gt;Lorena Dias de Araujo",$B:$B,"&lt;&gt;Lucas Luiz Romero")*(10/1083),0)))))),0)</f>
        <v>19</v>
      </c>
      <c r="K742" s="3">
        <f>I742-J742</f>
        <v>1</v>
      </c>
      <c r="L742" s="3" t="str">
        <f>IF(K742&lt;-5,"CRÍTICO",IF(K742&lt;0,"ATENÇÃO",IF(K742&lt;=5,"OPORTUNO","MUITO BOM")))</f>
        <v>OPORTUNO</v>
      </c>
      <c r="M742" s="3">
        <v>14</v>
      </c>
      <c r="N742" s="3">
        <v>100</v>
      </c>
      <c r="O742" s="3">
        <v>18</v>
      </c>
    </row>
    <row r="743" spans="1:15" hidden="1" x14ac:dyDescent="0.25">
      <c r="A743" s="5">
        <v>46157</v>
      </c>
      <c r="B743" s="6" t="s">
        <v>22</v>
      </c>
      <c r="C743" s="1" t="s">
        <v>23</v>
      </c>
      <c r="D743" s="3">
        <v>19</v>
      </c>
      <c r="E743" s="3">
        <v>16</v>
      </c>
      <c r="F743" s="3">
        <v>16.559999999999999</v>
      </c>
      <c r="G743" s="3">
        <v>6</v>
      </c>
      <c r="H743" s="3">
        <v>1</v>
      </c>
      <c r="I743" s="3">
        <f>E743+G743+H743</f>
        <v>23</v>
      </c>
      <c r="J743" s="3">
        <f>ROUND(MIN(IF(C743="Técnico III",35,IF(C743="Técnico II",28,IF(C743="Técnico I",23,IF(C743="JR",20,IF(C743="Estágio",10,0))))),IF(C743="Técnico III",SUMIFS($D:$D,$A:$A,$A743,$B:$B,"&lt;&gt;Patrícia Karla de Sousa Araújo",$B:$B,"&lt;&gt;Lorena Dias de Araujo",$B:$B,"&lt;&gt;Lucas Luiz Romero")*(35/1083),IF(C743="Técnico II",SUMIFS($D:$D,$A:$A,$A743,$B:$B,"&lt;&gt;Patrícia Karla de Sousa Araújo",$B:$B,"&lt;&gt;Lorena Dias de Araujo",$B:$B,"&lt;&gt;Lucas Luiz Romero")*(28/1083),IF(C743="Técnico I",SUMIFS($D:$D,$A:$A,$A743,$B:$B,"&lt;&gt;Patrícia Karla de Sousa Araújo",$B:$B,"&lt;&gt;Lorena Dias de Araujo",$B:$B,"&lt;&gt;Lucas Luiz Romero")*(23/1083),IF(C743="JR",SUMIFS($D:$D,$A:$A,$A743,$B:$B,"&lt;&gt;Patrícia Karla de Sousa Araújo",$B:$B,"&lt;&gt;Lorena Dias de Araujo",$B:$B,"&lt;&gt;Lucas Luiz Romero")*(20/1083),IF(C743="Estágio",SUMIFS($D:$D,$A:$A,$A743,$B:$B,"&lt;&gt;Patrícia Karla de Sousa Araújo",$B:$B,"&lt;&gt;Lorena Dias de Araujo",$B:$B,"&lt;&gt;Lucas Luiz Romero")*(10/1083),0)))))),0)</f>
        <v>19</v>
      </c>
      <c r="K743" s="3">
        <f>I743-J743</f>
        <v>4</v>
      </c>
      <c r="L743" s="3" t="str">
        <f>IF(K743&lt;-5,"CRÍTICO",IF(K743&lt;0,"ATENÇÃO",IF(K743&lt;=5,"OPORTUNO","MUITO BOM")))</f>
        <v>OPORTUNO</v>
      </c>
      <c r="M743" s="3">
        <v>15</v>
      </c>
      <c r="N743" s="3">
        <v>99.06</v>
      </c>
      <c r="O743" s="3">
        <v>19.417475728155338</v>
      </c>
    </row>
    <row r="744" spans="1:15" hidden="1" x14ac:dyDescent="0.25">
      <c r="A744" s="5">
        <v>46160</v>
      </c>
      <c r="B744" s="6" t="s">
        <v>31</v>
      </c>
      <c r="C744" s="1" t="s">
        <v>32</v>
      </c>
      <c r="D744" s="3">
        <v>0</v>
      </c>
      <c r="E744" s="3">
        <v>0</v>
      </c>
      <c r="F744" s="3">
        <v>0</v>
      </c>
      <c r="G744" s="3">
        <v>0</v>
      </c>
      <c r="H744" s="3">
        <v>0</v>
      </c>
      <c r="I744" s="3">
        <f>E744+G744+H744</f>
        <v>0</v>
      </c>
      <c r="J744" s="3">
        <f>ROUND(MIN(IF(C744="Técnico III",35,IF(C744="Técnico II",28,IF(C744="Técnico I",23,IF(C744="JR",20,IF(C744="Estágio",10,0))))),IF(C744="Técnico III",SUMIFS($D:$D,$A:$A,$A744,$B:$B,"&lt;&gt;Patrícia Karla de Sousa Araújo",$B:$B,"&lt;&gt;Lorena Dias de Araujo",$B:$B,"&lt;&gt;Lucas Luiz Romero")*(35/1083),IF(C744="Técnico II",SUMIFS($D:$D,$A:$A,$A744,$B:$B,"&lt;&gt;Patrícia Karla de Sousa Araújo",$B:$B,"&lt;&gt;Lorena Dias de Araujo",$B:$B,"&lt;&gt;Lucas Luiz Romero")*(28/1083),IF(C744="Técnico I",SUMIFS($D:$D,$A:$A,$A744,$B:$B,"&lt;&gt;Patrícia Karla de Sousa Araújo",$B:$B,"&lt;&gt;Lorena Dias de Araujo",$B:$B,"&lt;&gt;Lucas Luiz Romero")*(23/1083),IF(C744="JR",SUMIFS($D:$D,$A:$A,$A744,$B:$B,"&lt;&gt;Patrícia Karla de Sousa Araújo",$B:$B,"&lt;&gt;Lorena Dias de Araujo",$B:$B,"&lt;&gt;Lucas Luiz Romero")*(20/1083),IF(C744="Estágio",SUMIFS($D:$D,$A:$A,$A744,$B:$B,"&lt;&gt;Patrícia Karla de Sousa Araújo",$B:$B,"&lt;&gt;Lorena Dias de Araujo",$B:$B,"&lt;&gt;Lucas Luiz Romero")*(10/1083),0)))))),0)</f>
        <v>26</v>
      </c>
      <c r="K744" s="3">
        <f>I744-J744</f>
        <v>-26</v>
      </c>
      <c r="L744" s="3" t="str">
        <f>IF(K744&lt;-5,"CRÍTICO",IF(K744&lt;0,"ATENÇÃO",IF(K744&lt;=5,"OPORTUNO","MUITO BOM")))</f>
        <v>CRÍTICO</v>
      </c>
      <c r="M744" s="3">
        <v>0</v>
      </c>
      <c r="N744" s="3">
        <v>100</v>
      </c>
      <c r="O744" s="3">
        <v>0</v>
      </c>
    </row>
    <row r="745" spans="1:15" hidden="1" x14ac:dyDescent="0.25">
      <c r="A745" s="5">
        <v>46160</v>
      </c>
      <c r="B745" s="6" t="s">
        <v>33</v>
      </c>
      <c r="C745" s="14" t="s">
        <v>32</v>
      </c>
      <c r="D745" s="3">
        <v>0</v>
      </c>
      <c r="E745" s="3">
        <v>0</v>
      </c>
      <c r="F745" s="3">
        <v>0</v>
      </c>
      <c r="G745" s="3">
        <v>0</v>
      </c>
      <c r="H745" s="3">
        <v>0</v>
      </c>
      <c r="I745" s="3">
        <f>E745+G745+H745</f>
        <v>0</v>
      </c>
      <c r="J745" s="3">
        <f>ROUND(MIN(IF(C745="Técnico III",35,IF(C745="Técnico II",28,IF(C745="Técnico I",23,IF(C745="JR",20,IF(C745="Estágio",10,0))))),IF(C745="Técnico III",SUMIFS($D:$D,$A:$A,$A745,$B:$B,"&lt;&gt;Patrícia Karla de Sousa Araújo",$B:$B,"&lt;&gt;Lorena Dias de Araujo",$B:$B,"&lt;&gt;Lucas Luiz Romero")*(35/1083),IF(C745="Técnico II",SUMIFS($D:$D,$A:$A,$A745,$B:$B,"&lt;&gt;Patrícia Karla de Sousa Araújo",$B:$B,"&lt;&gt;Lorena Dias de Araujo",$B:$B,"&lt;&gt;Lucas Luiz Romero")*(28/1083),IF(C745="Técnico I",SUMIFS($D:$D,$A:$A,$A745,$B:$B,"&lt;&gt;Patrícia Karla de Sousa Araújo",$B:$B,"&lt;&gt;Lorena Dias de Araujo",$B:$B,"&lt;&gt;Lucas Luiz Romero")*(23/1083),IF(C745="JR",SUMIFS($D:$D,$A:$A,$A745,$B:$B,"&lt;&gt;Patrícia Karla de Sousa Araújo",$B:$B,"&lt;&gt;Lorena Dias de Araujo",$B:$B,"&lt;&gt;Lucas Luiz Romero")*(20/1083),IF(C745="Estágio",SUMIFS($D:$D,$A:$A,$A745,$B:$B,"&lt;&gt;Patrícia Karla de Sousa Araújo",$B:$B,"&lt;&gt;Lorena Dias de Araujo",$B:$B,"&lt;&gt;Lucas Luiz Romero")*(10/1083),0)))))),0)</f>
        <v>26</v>
      </c>
      <c r="K745" s="3">
        <f>I745-J745</f>
        <v>-26</v>
      </c>
      <c r="L745" s="3" t="str">
        <f>IF(K745&lt;-5,"CRÍTICO",IF(K745&lt;0,"ATENÇÃO",IF(K745&lt;=5,"OPORTUNO","MUITO BOM")))</f>
        <v>CRÍTICO</v>
      </c>
      <c r="M745" s="3">
        <v>0</v>
      </c>
      <c r="N745" s="3">
        <v>96.94</v>
      </c>
      <c r="O745" s="3">
        <v>19.613259668508292</v>
      </c>
    </row>
    <row r="746" spans="1:15" hidden="1" x14ac:dyDescent="0.25">
      <c r="A746" s="11">
        <v>46056</v>
      </c>
      <c r="B746" t="s">
        <v>22</v>
      </c>
      <c r="C746" t="s">
        <v>23</v>
      </c>
      <c r="D746">
        <v>32</v>
      </c>
      <c r="E746">
        <v>31</v>
      </c>
      <c r="F746">
        <v>18.29</v>
      </c>
      <c r="G746">
        <v>0</v>
      </c>
      <c r="H746">
        <v>0</v>
      </c>
      <c r="I746" s="3">
        <f>E746+G746+H746</f>
        <v>31</v>
      </c>
      <c r="J746" s="3">
        <f>ROUND(MIN(IF(C746="Técnico III",35,IF(C746="Técnico II",28,IF(C746="Técnico I",23,IF(C746="JR",20,IF(C746="Estágio",10,0))))),IF(C746="Técnico III",SUMIFS($D:$D,$A:$A,$A746,$B:$B,"&lt;&gt;Patrícia Karla de Sousa Araújo",$B:$B,"&lt;&gt;Lorena Dias de Araujo",$B:$B,"&lt;&gt;Lucas Luiz Romero")*(35/1083),IF(C746="Técnico II",SUMIFS($D:$D,$A:$A,$A746,$B:$B,"&lt;&gt;Patrícia Karla de Sousa Araújo",$B:$B,"&lt;&gt;Lorena Dias de Araujo",$B:$B,"&lt;&gt;Lucas Luiz Romero")*(28/1083),IF(C746="Técnico I",SUMIFS($D:$D,$A:$A,$A746,$B:$B,"&lt;&gt;Patrícia Karla de Sousa Araújo",$B:$B,"&lt;&gt;Lorena Dias de Araujo",$B:$B,"&lt;&gt;Lucas Luiz Romero")*(23/1083),IF(C746="JR",SUMIFS($D:$D,$A:$A,$A746,$B:$B,"&lt;&gt;Patrícia Karla de Sousa Araújo",$B:$B,"&lt;&gt;Lorena Dias de Araujo",$B:$B,"&lt;&gt;Lucas Luiz Romero")*(20/1083),IF(C746="Estágio",SUMIFS($D:$D,$A:$A,$A746,$B:$B,"&lt;&gt;Patrícia Karla de Sousa Araújo",$B:$B,"&lt;&gt;Lorena Dias de Araujo",$B:$B,"&lt;&gt;Lucas Luiz Romero")*(10/1083),0)))))),0)</f>
        <v>21</v>
      </c>
      <c r="K746" s="3">
        <f>I746-J746</f>
        <v>10</v>
      </c>
      <c r="L746" s="3" t="str">
        <f>IF(K746&lt;-5,"CRÍTICO",IF(K746&lt;0,"ATENÇÃO",IF(K746&lt;=5,"BOM","EXCELENTE")))</f>
        <v>EXCELENTE</v>
      </c>
      <c r="M746">
        <v>31</v>
      </c>
      <c r="N746">
        <v>96.67</v>
      </c>
      <c r="O746">
        <v>31.451612903225811</v>
      </c>
    </row>
    <row r="747" spans="1:15" hidden="1" x14ac:dyDescent="0.25">
      <c r="A747" s="11">
        <v>46057</v>
      </c>
      <c r="B747" t="s">
        <v>22</v>
      </c>
      <c r="C747" t="s">
        <v>23</v>
      </c>
      <c r="D747">
        <v>20</v>
      </c>
      <c r="E747">
        <v>19</v>
      </c>
      <c r="F747">
        <v>24.04</v>
      </c>
      <c r="G747">
        <v>0</v>
      </c>
      <c r="H747">
        <v>0</v>
      </c>
      <c r="I747" s="3">
        <f>E747+G747+H747</f>
        <v>19</v>
      </c>
      <c r="J747" s="3">
        <f>ROUND(MIN(IF(C747="Técnico III",35,IF(C747="Técnico II",28,IF(C747="Técnico I",23,IF(C747="JR",20,IF(C747="Estágio",10,0))))),IF(C747="Técnico III",SUMIFS($D:$D,$A:$A,$A747,$B:$B,"&lt;&gt;Patrícia Karla de Sousa Araújo",$B:$B,"&lt;&gt;Lorena Dias de Araujo",$B:$B,"&lt;&gt;Lucas Luiz Romero")*(35/1083),IF(C747="Técnico II",SUMIFS($D:$D,$A:$A,$A747,$B:$B,"&lt;&gt;Patrícia Karla de Sousa Araújo",$B:$B,"&lt;&gt;Lorena Dias de Araujo",$B:$B,"&lt;&gt;Lucas Luiz Romero")*(28/1083),IF(C747="Técnico I",SUMIFS($D:$D,$A:$A,$A747,$B:$B,"&lt;&gt;Patrícia Karla de Sousa Araújo",$B:$B,"&lt;&gt;Lorena Dias de Araujo",$B:$B,"&lt;&gt;Lucas Luiz Romero")*(23/1083),IF(C747="JR",SUMIFS($D:$D,$A:$A,$A747,$B:$B,"&lt;&gt;Patrícia Karla de Sousa Araújo",$B:$B,"&lt;&gt;Lorena Dias de Araujo",$B:$B,"&lt;&gt;Lucas Luiz Romero")*(20/1083),IF(C747="Estágio",SUMIFS($D:$D,$A:$A,$A747,$B:$B,"&lt;&gt;Patrícia Karla de Sousa Araújo",$B:$B,"&lt;&gt;Lorena Dias de Araujo",$B:$B,"&lt;&gt;Lucas Luiz Romero")*(10/1083),0)))))),0)</f>
        <v>21</v>
      </c>
      <c r="K747" s="3">
        <f>I747-J747</f>
        <v>-2</v>
      </c>
      <c r="L747" s="3" t="str">
        <f>IF(K747&lt;-5,"CRÍTICO",IF(K747&lt;0,"ATENÇÃO",IF(K747&lt;=5,"BOM","EXCELENTE")))</f>
        <v>ATENÇÃO</v>
      </c>
      <c r="M747">
        <v>18</v>
      </c>
      <c r="N747">
        <v>96.67</v>
      </c>
      <c r="O747">
        <v>31.451612903225811</v>
      </c>
    </row>
    <row r="748" spans="1:15" hidden="1" x14ac:dyDescent="0.25">
      <c r="A748" s="5">
        <v>46160</v>
      </c>
      <c r="B748" s="6" t="s">
        <v>34</v>
      </c>
      <c r="C748" s="1" t="s">
        <v>32</v>
      </c>
      <c r="D748" s="3">
        <v>30</v>
      </c>
      <c r="E748" s="3">
        <v>27</v>
      </c>
      <c r="F748" s="3">
        <v>13.29</v>
      </c>
      <c r="G748" s="3">
        <v>0</v>
      </c>
      <c r="H748" s="3">
        <v>0</v>
      </c>
      <c r="I748" s="3">
        <f>E748+G748+H748</f>
        <v>27</v>
      </c>
      <c r="J748" s="3">
        <f>ROUND(MIN(IF(C748="Técnico III",35,IF(C748="Técnico II",28,IF(C748="Técnico I",23,IF(C748="JR",20,IF(C748="Estágio",10,0))))),IF(C748="Técnico III",SUMIFS($D:$D,$A:$A,$A748,$B:$B,"&lt;&gt;Patrícia Karla de Sousa Araújo",$B:$B,"&lt;&gt;Lorena Dias de Araujo",$B:$B,"&lt;&gt;Lucas Luiz Romero")*(35/1083),IF(C748="Técnico II",SUMIFS($D:$D,$A:$A,$A748,$B:$B,"&lt;&gt;Patrícia Karla de Sousa Araújo",$B:$B,"&lt;&gt;Lorena Dias de Araujo",$B:$B,"&lt;&gt;Lucas Luiz Romero")*(28/1083),IF(C748="Técnico I",SUMIFS($D:$D,$A:$A,$A748,$B:$B,"&lt;&gt;Patrícia Karla de Sousa Araújo",$B:$B,"&lt;&gt;Lorena Dias de Araujo",$B:$B,"&lt;&gt;Lucas Luiz Romero")*(23/1083),IF(C748="JR",SUMIFS($D:$D,$A:$A,$A748,$B:$B,"&lt;&gt;Patrícia Karla de Sousa Araújo",$B:$B,"&lt;&gt;Lorena Dias de Araujo",$B:$B,"&lt;&gt;Lucas Luiz Romero")*(20/1083),IF(C748="Estágio",SUMIFS($D:$D,$A:$A,$A748,$B:$B,"&lt;&gt;Patrícia Karla de Sousa Araújo",$B:$B,"&lt;&gt;Lorena Dias de Araujo",$B:$B,"&lt;&gt;Lucas Luiz Romero")*(10/1083),0)))))),0)</f>
        <v>26</v>
      </c>
      <c r="K748" s="3">
        <f>I748-J748</f>
        <v>1</v>
      </c>
      <c r="L748" s="3" t="str">
        <f>IF(K748&lt;-5,"CRÍTICO",IF(K748&lt;0,"ATENÇÃO",IF(K748&lt;=5,"OPORTUNO","MUITO BOM")))</f>
        <v>OPORTUNO</v>
      </c>
      <c r="M748" s="3">
        <v>25</v>
      </c>
      <c r="N748" s="3">
        <v>92.81</v>
      </c>
      <c r="O748" s="3">
        <v>25.477707006369432</v>
      </c>
    </row>
    <row r="749" spans="1:15" hidden="1" x14ac:dyDescent="0.25">
      <c r="A749" s="5">
        <v>46160</v>
      </c>
      <c r="B749" s="6" t="s">
        <v>35</v>
      </c>
      <c r="C749" s="14" t="s">
        <v>32</v>
      </c>
      <c r="D749" s="3">
        <v>0</v>
      </c>
      <c r="E749" s="3">
        <v>0</v>
      </c>
      <c r="F749" s="3">
        <v>0</v>
      </c>
      <c r="G749" s="3">
        <v>0</v>
      </c>
      <c r="H749" s="3">
        <v>0</v>
      </c>
      <c r="I749" s="3">
        <f>E749+G749+H749</f>
        <v>0</v>
      </c>
      <c r="J749" s="3">
        <f>ROUND(MIN(IF(C749="Técnico III",35,IF(C749="Técnico II",28,IF(C749="Técnico I",23,IF(C749="JR",20,IF(C749="Estágio",10,0))))),IF(C749="Técnico III",SUMIFS($D:$D,$A:$A,$A749,$B:$B,"&lt;&gt;Patrícia Karla de Sousa Araújo",$B:$B,"&lt;&gt;Lorena Dias de Araujo",$B:$B,"&lt;&gt;Lucas Luiz Romero")*(35/1083),IF(C749="Técnico II",SUMIFS($D:$D,$A:$A,$A749,$B:$B,"&lt;&gt;Patrícia Karla de Sousa Araújo",$B:$B,"&lt;&gt;Lorena Dias de Araujo",$B:$B,"&lt;&gt;Lucas Luiz Romero")*(28/1083),IF(C749="Técnico I",SUMIFS($D:$D,$A:$A,$A749,$B:$B,"&lt;&gt;Patrícia Karla de Sousa Araújo",$B:$B,"&lt;&gt;Lorena Dias de Araujo",$B:$B,"&lt;&gt;Lucas Luiz Romero")*(23/1083),IF(C749="JR",SUMIFS($D:$D,$A:$A,$A749,$B:$B,"&lt;&gt;Patrícia Karla de Sousa Araújo",$B:$B,"&lt;&gt;Lorena Dias de Araujo",$B:$B,"&lt;&gt;Lucas Luiz Romero")*(20/1083),IF(C749="Estágio",SUMIFS($D:$D,$A:$A,$A749,$B:$B,"&lt;&gt;Patrícia Karla de Sousa Araújo",$B:$B,"&lt;&gt;Lorena Dias de Araujo",$B:$B,"&lt;&gt;Lucas Luiz Romero")*(10/1083),0)))))),0)</f>
        <v>26</v>
      </c>
      <c r="K749" s="3">
        <f>I749-J749</f>
        <v>-26</v>
      </c>
      <c r="L749" s="3" t="str">
        <f>IF(K749&lt;-5,"CRÍTICO",IF(K749&lt;0,"ATENÇÃO",IF(K749&lt;=5,"OPORTUNO","MUITO BOM")))</f>
        <v>CRÍTICO</v>
      </c>
      <c r="M749" s="3">
        <v>0</v>
      </c>
      <c r="N749" s="3">
        <v>99.19</v>
      </c>
      <c r="O749" s="3">
        <v>28.404669260700391</v>
      </c>
    </row>
    <row r="750" spans="1:15" hidden="1" x14ac:dyDescent="0.25">
      <c r="A750" s="5">
        <v>46160</v>
      </c>
      <c r="B750" s="6" t="s">
        <v>37</v>
      </c>
      <c r="C750" s="1" t="s">
        <v>32</v>
      </c>
      <c r="D750" s="3">
        <v>37</v>
      </c>
      <c r="E750" s="3">
        <v>32</v>
      </c>
      <c r="F750" s="3">
        <v>15.11</v>
      </c>
      <c r="G750" s="3">
        <v>5</v>
      </c>
      <c r="H750" s="3">
        <v>0</v>
      </c>
      <c r="I750" s="3">
        <f>E750+G750+H750</f>
        <v>37</v>
      </c>
      <c r="J750" s="3">
        <f>ROUND(MIN(IF(C750="Técnico III",35,IF(C750="Técnico II",28,IF(C750="Técnico I",23,IF(C750="JR",20,IF(C750="Estágio",10,0))))),IF(C750="Técnico III",SUMIFS($D:$D,$A:$A,$A750,$B:$B,"&lt;&gt;Patrícia Karla de Sousa Araújo",$B:$B,"&lt;&gt;Lorena Dias de Araujo",$B:$B,"&lt;&gt;Lucas Luiz Romero")*(35/1083),IF(C750="Técnico II",SUMIFS($D:$D,$A:$A,$A750,$B:$B,"&lt;&gt;Patrícia Karla de Sousa Araújo",$B:$B,"&lt;&gt;Lorena Dias de Araujo",$B:$B,"&lt;&gt;Lucas Luiz Romero")*(28/1083),IF(C750="Técnico I",SUMIFS($D:$D,$A:$A,$A750,$B:$B,"&lt;&gt;Patrícia Karla de Sousa Araújo",$B:$B,"&lt;&gt;Lorena Dias de Araujo",$B:$B,"&lt;&gt;Lucas Luiz Romero")*(23/1083),IF(C750="JR",SUMIFS($D:$D,$A:$A,$A750,$B:$B,"&lt;&gt;Patrícia Karla de Sousa Araújo",$B:$B,"&lt;&gt;Lorena Dias de Araujo",$B:$B,"&lt;&gt;Lucas Luiz Romero")*(20/1083),IF(C750="Estágio",SUMIFS($D:$D,$A:$A,$A750,$B:$B,"&lt;&gt;Patrícia Karla de Sousa Araújo",$B:$B,"&lt;&gt;Lorena Dias de Araujo",$B:$B,"&lt;&gt;Lucas Luiz Romero")*(10/1083),0)))))),0)</f>
        <v>26</v>
      </c>
      <c r="K750" s="3">
        <f>I750-J750</f>
        <v>11</v>
      </c>
      <c r="L750" s="3" t="str">
        <f>IF(K750&lt;-5,"CRÍTICO",IF(K750&lt;0,"ATENÇÃO",IF(K750&lt;=5,"OPORTUNO","MUITO BOM")))</f>
        <v>MUITO BOM</v>
      </c>
      <c r="M750" s="3">
        <v>34</v>
      </c>
      <c r="N750" s="3">
        <v>99</v>
      </c>
      <c r="O750" s="3">
        <v>22.27414330218069</v>
      </c>
    </row>
    <row r="751" spans="1:15" hidden="1" x14ac:dyDescent="0.25">
      <c r="A751" s="5">
        <v>46160</v>
      </c>
      <c r="B751" s="6" t="s">
        <v>38</v>
      </c>
      <c r="C751" s="1" t="s">
        <v>32</v>
      </c>
      <c r="D751" s="3">
        <v>26</v>
      </c>
      <c r="E751" s="3">
        <v>25</v>
      </c>
      <c r="F751" s="3">
        <v>13.21</v>
      </c>
      <c r="G751" s="3">
        <v>6</v>
      </c>
      <c r="H751" s="3">
        <v>0</v>
      </c>
      <c r="I751" s="3">
        <f>E751+G751+H751</f>
        <v>31</v>
      </c>
      <c r="J751" s="3">
        <f>ROUND(MIN(IF(C751="Técnico III",35,IF(C751="Técnico II",28,IF(C751="Técnico I",23,IF(C751="JR",20,IF(C751="Estágio",10,0))))),IF(C751="Técnico III",SUMIFS($D:$D,$A:$A,$A751,$B:$B,"&lt;&gt;Patrícia Karla de Sousa Araújo",$B:$B,"&lt;&gt;Lorena Dias de Araujo",$B:$B,"&lt;&gt;Lucas Luiz Romero")*(35/1083),IF(C751="Técnico II",SUMIFS($D:$D,$A:$A,$A751,$B:$B,"&lt;&gt;Patrícia Karla de Sousa Araújo",$B:$B,"&lt;&gt;Lorena Dias de Araujo",$B:$B,"&lt;&gt;Lucas Luiz Romero")*(28/1083),IF(C751="Técnico I",SUMIFS($D:$D,$A:$A,$A751,$B:$B,"&lt;&gt;Patrícia Karla de Sousa Araújo",$B:$B,"&lt;&gt;Lorena Dias de Araujo",$B:$B,"&lt;&gt;Lucas Luiz Romero")*(23/1083),IF(C751="JR",SUMIFS($D:$D,$A:$A,$A751,$B:$B,"&lt;&gt;Patrícia Karla de Sousa Araújo",$B:$B,"&lt;&gt;Lorena Dias de Araujo",$B:$B,"&lt;&gt;Lucas Luiz Romero")*(20/1083),IF(C751="Estágio",SUMIFS($D:$D,$A:$A,$A751,$B:$B,"&lt;&gt;Patrícia Karla de Sousa Araújo",$B:$B,"&lt;&gt;Lorena Dias de Araujo",$B:$B,"&lt;&gt;Lucas Luiz Romero")*(10/1083),0)))))),0)</f>
        <v>26</v>
      </c>
      <c r="K751" s="3">
        <f>I751-J751</f>
        <v>5</v>
      </c>
      <c r="L751" s="3" t="str">
        <f>IF(K751&lt;-5,"CRÍTICO",IF(K751&lt;0,"ATENÇÃO",IF(K751&lt;=5,"OPORTUNO","MUITO BOM")))</f>
        <v>OPORTUNO</v>
      </c>
      <c r="M751" s="3">
        <v>23</v>
      </c>
      <c r="N751" s="3">
        <v>97.04</v>
      </c>
      <c r="O751" s="3">
        <v>29.828850855745721</v>
      </c>
    </row>
    <row r="752" spans="1:15" hidden="1" x14ac:dyDescent="0.25">
      <c r="A752" s="5">
        <v>46160</v>
      </c>
      <c r="B752" s="6" t="s">
        <v>39</v>
      </c>
      <c r="C752" s="1" t="s">
        <v>32</v>
      </c>
      <c r="D752" s="3">
        <v>0</v>
      </c>
      <c r="E752" s="3">
        <v>0</v>
      </c>
      <c r="F752" s="3">
        <v>0</v>
      </c>
      <c r="G752" s="3">
        <v>0</v>
      </c>
      <c r="H752" s="3">
        <v>0</v>
      </c>
      <c r="I752" s="3">
        <f>E752+G752+H752</f>
        <v>0</v>
      </c>
      <c r="J752" s="3">
        <f>ROUND(MIN(IF(C752="Técnico III",35,IF(C752="Técnico II",28,IF(C752="Técnico I",23,IF(C752="JR",20,IF(C752="Estágio",10,0))))),IF(C752="Técnico III",SUMIFS($D:$D,$A:$A,$A752,$B:$B,"&lt;&gt;Patrícia Karla de Sousa Araújo",$B:$B,"&lt;&gt;Lorena Dias de Araujo",$B:$B,"&lt;&gt;Lucas Luiz Romero")*(35/1083),IF(C752="Técnico II",SUMIFS($D:$D,$A:$A,$A752,$B:$B,"&lt;&gt;Patrícia Karla de Sousa Araújo",$B:$B,"&lt;&gt;Lorena Dias de Araujo",$B:$B,"&lt;&gt;Lucas Luiz Romero")*(28/1083),IF(C752="Técnico I",SUMIFS($D:$D,$A:$A,$A752,$B:$B,"&lt;&gt;Patrícia Karla de Sousa Araújo",$B:$B,"&lt;&gt;Lorena Dias de Araujo",$B:$B,"&lt;&gt;Lucas Luiz Romero")*(23/1083),IF(C752="JR",SUMIFS($D:$D,$A:$A,$A752,$B:$B,"&lt;&gt;Patrícia Karla de Sousa Araújo",$B:$B,"&lt;&gt;Lorena Dias de Araujo",$B:$B,"&lt;&gt;Lucas Luiz Romero")*(20/1083),IF(C752="Estágio",SUMIFS($D:$D,$A:$A,$A752,$B:$B,"&lt;&gt;Patrícia Karla de Sousa Araújo",$B:$B,"&lt;&gt;Lorena Dias de Araujo",$B:$B,"&lt;&gt;Lucas Luiz Romero")*(10/1083),0)))))),0)</f>
        <v>26</v>
      </c>
      <c r="K752" s="3">
        <f>I752-J752</f>
        <v>-26</v>
      </c>
      <c r="L752" s="3" t="str">
        <f>IF(K752&lt;-5,"CRÍTICO",IF(K752&lt;0,"ATENÇÃO",IF(K752&lt;=5,"OPORTUNO","MUITO BOM")))</f>
        <v>CRÍTICO</v>
      </c>
      <c r="M752" s="3">
        <v>0</v>
      </c>
      <c r="N752" s="3">
        <v>0</v>
      </c>
      <c r="O752" s="3">
        <v>0</v>
      </c>
    </row>
    <row r="753" spans="1:15" hidden="1" x14ac:dyDescent="0.25">
      <c r="A753" s="5">
        <v>46160</v>
      </c>
      <c r="B753" s="6" t="s">
        <v>40</v>
      </c>
      <c r="C753" s="14" t="s">
        <v>32</v>
      </c>
      <c r="D753" s="3">
        <v>25</v>
      </c>
      <c r="E753" s="3">
        <v>24</v>
      </c>
      <c r="F753" s="3">
        <v>23.54</v>
      </c>
      <c r="G753" s="3">
        <v>0</v>
      </c>
      <c r="H753" s="3">
        <v>0</v>
      </c>
      <c r="I753" s="3">
        <f>E753+G753+H753</f>
        <v>24</v>
      </c>
      <c r="J753" s="3">
        <f>ROUND(MIN(IF(C753="Técnico III",35,IF(C753="Técnico II",28,IF(C753="Técnico I",23,IF(C753="JR",20,IF(C753="Estágio",10,0))))),IF(C753="Técnico III",SUMIFS($D:$D,$A:$A,$A753,$B:$B,"&lt;&gt;Patrícia Karla de Sousa Araújo",$B:$B,"&lt;&gt;Lorena Dias de Araujo",$B:$B,"&lt;&gt;Lucas Luiz Romero")*(35/1083),IF(C753="Técnico II",SUMIFS($D:$D,$A:$A,$A753,$B:$B,"&lt;&gt;Patrícia Karla de Sousa Araújo",$B:$B,"&lt;&gt;Lorena Dias de Araujo",$B:$B,"&lt;&gt;Lucas Luiz Romero")*(28/1083),IF(C753="Técnico I",SUMIFS($D:$D,$A:$A,$A753,$B:$B,"&lt;&gt;Patrícia Karla de Sousa Araújo",$B:$B,"&lt;&gt;Lorena Dias de Araujo",$B:$B,"&lt;&gt;Lucas Luiz Romero")*(23/1083),IF(C753="JR",SUMIFS($D:$D,$A:$A,$A753,$B:$B,"&lt;&gt;Patrícia Karla de Sousa Araújo",$B:$B,"&lt;&gt;Lorena Dias de Araujo",$B:$B,"&lt;&gt;Lucas Luiz Romero")*(20/1083),IF(C753="Estágio",SUMIFS($D:$D,$A:$A,$A753,$B:$B,"&lt;&gt;Patrícia Karla de Sousa Araújo",$B:$B,"&lt;&gt;Lorena Dias de Araujo",$B:$B,"&lt;&gt;Lucas Luiz Romero")*(10/1083),0)))))),0)</f>
        <v>26</v>
      </c>
      <c r="K753" s="3">
        <f>I753-J753</f>
        <v>-2</v>
      </c>
      <c r="L753" s="3" t="str">
        <f>IF(K753&lt;-5,"CRÍTICO",IF(K753&lt;0,"ATENÇÃO",IF(K753&lt;=5,"OPORTUNO","MUITO BOM")))</f>
        <v>ATENÇÃO</v>
      </c>
      <c r="M753" s="3">
        <v>21</v>
      </c>
      <c r="N753" s="3">
        <v>96.84</v>
      </c>
      <c r="O753" s="3">
        <v>16.338028169014081</v>
      </c>
    </row>
    <row r="754" spans="1:15" hidden="1" x14ac:dyDescent="0.25">
      <c r="A754" s="5">
        <v>46160</v>
      </c>
      <c r="B754" s="6" t="s">
        <v>41</v>
      </c>
      <c r="C754" s="14" t="s">
        <v>32</v>
      </c>
      <c r="D754" s="3">
        <v>28</v>
      </c>
      <c r="E754" s="3">
        <v>25</v>
      </c>
      <c r="F754" s="3">
        <v>15.47</v>
      </c>
      <c r="G754" s="3">
        <v>0</v>
      </c>
      <c r="H754" s="3">
        <v>0</v>
      </c>
      <c r="I754" s="3">
        <f>E754+G754+H754</f>
        <v>25</v>
      </c>
      <c r="J754" s="3">
        <f>ROUND(MIN(IF(C754="Técnico III",35,IF(C754="Técnico II",28,IF(C754="Técnico I",23,IF(C754="JR",20,IF(C754="Estágio",10,0))))),IF(C754="Técnico III",SUMIFS($D:$D,$A:$A,$A754,$B:$B,"&lt;&gt;Patrícia Karla de Sousa Araújo",$B:$B,"&lt;&gt;Lorena Dias de Araujo",$B:$B,"&lt;&gt;Lucas Luiz Romero")*(35/1083),IF(C754="Técnico II",SUMIFS($D:$D,$A:$A,$A754,$B:$B,"&lt;&gt;Patrícia Karla de Sousa Araújo",$B:$B,"&lt;&gt;Lorena Dias de Araujo",$B:$B,"&lt;&gt;Lucas Luiz Romero")*(28/1083),IF(C754="Técnico I",SUMIFS($D:$D,$A:$A,$A754,$B:$B,"&lt;&gt;Patrícia Karla de Sousa Araújo",$B:$B,"&lt;&gt;Lorena Dias de Araujo",$B:$B,"&lt;&gt;Lucas Luiz Romero")*(23/1083),IF(C754="JR",SUMIFS($D:$D,$A:$A,$A754,$B:$B,"&lt;&gt;Patrícia Karla de Sousa Araújo",$B:$B,"&lt;&gt;Lorena Dias de Araujo",$B:$B,"&lt;&gt;Lucas Luiz Romero")*(20/1083),IF(C754="Estágio",SUMIFS($D:$D,$A:$A,$A754,$B:$B,"&lt;&gt;Patrícia Karla de Sousa Araújo",$B:$B,"&lt;&gt;Lorena Dias de Araujo",$B:$B,"&lt;&gt;Lucas Luiz Romero")*(10/1083),0)))))),0)</f>
        <v>26</v>
      </c>
      <c r="K754" s="3">
        <f>I754-J754</f>
        <v>-1</v>
      </c>
      <c r="L754" s="3" t="str">
        <f>IF(K754&lt;-5,"CRÍTICO",IF(K754&lt;0,"ATENÇÃO",IF(K754&lt;=5,"OPORTUNO","MUITO BOM")))</f>
        <v>ATENÇÃO</v>
      </c>
      <c r="M754" s="3">
        <v>25</v>
      </c>
      <c r="N754" s="3">
        <v>100</v>
      </c>
      <c r="O754" s="3">
        <v>18.244803695150122</v>
      </c>
    </row>
    <row r="755" spans="1:15" hidden="1" x14ac:dyDescent="0.25">
      <c r="A755" s="5">
        <v>46160</v>
      </c>
      <c r="B755" s="6" t="s">
        <v>42</v>
      </c>
      <c r="C755" s="1" t="s">
        <v>32</v>
      </c>
      <c r="D755" s="3">
        <v>0</v>
      </c>
      <c r="E755" s="3">
        <v>0</v>
      </c>
      <c r="F755" s="3">
        <v>0</v>
      </c>
      <c r="G755" s="3">
        <v>0</v>
      </c>
      <c r="H755" s="3">
        <v>0</v>
      </c>
      <c r="I755" s="3">
        <f>E755+G755+H755</f>
        <v>0</v>
      </c>
      <c r="J755" s="3">
        <f>ROUND(MIN(IF(C755="Técnico III",35,IF(C755="Técnico II",28,IF(C755="Técnico I",23,IF(C755="JR",20,IF(C755="Estágio",10,0))))),IF(C755="Técnico III",SUMIFS($D:$D,$A:$A,$A755,$B:$B,"&lt;&gt;Patrícia Karla de Sousa Araújo",$B:$B,"&lt;&gt;Lorena Dias de Araujo",$B:$B,"&lt;&gt;Lucas Luiz Romero")*(35/1083),IF(C755="Técnico II",SUMIFS($D:$D,$A:$A,$A755,$B:$B,"&lt;&gt;Patrícia Karla de Sousa Araújo",$B:$B,"&lt;&gt;Lorena Dias de Araujo",$B:$B,"&lt;&gt;Lucas Luiz Romero")*(28/1083),IF(C755="Técnico I",SUMIFS($D:$D,$A:$A,$A755,$B:$B,"&lt;&gt;Patrícia Karla de Sousa Araújo",$B:$B,"&lt;&gt;Lorena Dias de Araujo",$B:$B,"&lt;&gt;Lucas Luiz Romero")*(23/1083),IF(C755="JR",SUMIFS($D:$D,$A:$A,$A755,$B:$B,"&lt;&gt;Patrícia Karla de Sousa Araújo",$B:$B,"&lt;&gt;Lorena Dias de Araujo",$B:$B,"&lt;&gt;Lucas Luiz Romero")*(20/1083),IF(C755="Estágio",SUMIFS($D:$D,$A:$A,$A755,$B:$B,"&lt;&gt;Patrícia Karla de Sousa Araújo",$B:$B,"&lt;&gt;Lorena Dias de Araujo",$B:$B,"&lt;&gt;Lucas Luiz Romero")*(10/1083),0)))))),0)</f>
        <v>26</v>
      </c>
      <c r="K755" s="3">
        <f>I755-J755</f>
        <v>-26</v>
      </c>
      <c r="L755" s="3" t="str">
        <f>IF(K755&lt;-5,"CRÍTICO",IF(K755&lt;0,"ATENÇÃO",IF(K755&lt;=5,"OPORTUNO","MUITO BOM")))</f>
        <v>CRÍTICO</v>
      </c>
      <c r="M755" s="3">
        <v>0</v>
      </c>
      <c r="N755" s="3">
        <v>100</v>
      </c>
      <c r="O755" s="3">
        <v>15.789473684210529</v>
      </c>
    </row>
    <row r="756" spans="1:15" x14ac:dyDescent="0.25">
      <c r="A756" s="5">
        <v>46160</v>
      </c>
      <c r="B756" s="6" t="s">
        <v>43</v>
      </c>
      <c r="C756" s="1" t="s">
        <v>32</v>
      </c>
      <c r="D756" s="3">
        <v>0</v>
      </c>
      <c r="E756" s="3">
        <v>0</v>
      </c>
      <c r="F756" s="3">
        <v>0</v>
      </c>
      <c r="G756" s="3">
        <v>0</v>
      </c>
      <c r="H756" s="3">
        <v>32</v>
      </c>
      <c r="I756" s="3">
        <f>E756+G756+H756</f>
        <v>32</v>
      </c>
      <c r="J756" s="3">
        <f>ROUND(MIN(IF(C756="Técnico III",35,IF(C756="Técnico II",28,IF(C756="Técnico I",23,IF(C756="JR",20,IF(C756="Estágio",10,0))))),IF(C756="Técnico III",SUMIFS($D:$D,$A:$A,$A756,$B:$B,"&lt;&gt;Patrícia Karla de Sousa Araújo",$B:$B,"&lt;&gt;Lorena Dias de Araujo",$B:$B,"&lt;&gt;Lucas Luiz Romero")*(35/1083),IF(C756="Técnico II",SUMIFS($D:$D,$A:$A,$A756,$B:$B,"&lt;&gt;Patrícia Karla de Sousa Araújo",$B:$B,"&lt;&gt;Lorena Dias de Araujo",$B:$B,"&lt;&gt;Lucas Luiz Romero")*(28/1083),IF(C756="Técnico I",SUMIFS($D:$D,$A:$A,$A756,$B:$B,"&lt;&gt;Patrícia Karla de Sousa Araújo",$B:$B,"&lt;&gt;Lorena Dias de Araujo",$B:$B,"&lt;&gt;Lucas Luiz Romero")*(23/1083),IF(C756="JR",SUMIFS($D:$D,$A:$A,$A756,$B:$B,"&lt;&gt;Patrícia Karla de Sousa Araújo",$B:$B,"&lt;&gt;Lorena Dias de Araujo",$B:$B,"&lt;&gt;Lucas Luiz Romero")*(20/1083),IF(C756="Estágio",SUMIFS($D:$D,$A:$A,$A756,$B:$B,"&lt;&gt;Patrícia Karla de Sousa Araújo",$B:$B,"&lt;&gt;Lorena Dias de Araujo",$B:$B,"&lt;&gt;Lucas Luiz Romero")*(10/1083),0)))))),0)</f>
        <v>26</v>
      </c>
      <c r="K756" s="3">
        <f>I756-J756</f>
        <v>6</v>
      </c>
      <c r="L756" s="3" t="str">
        <f>IF(K756&lt;-5,"CRÍTICO",IF(K756&lt;0,"ATENÇÃO",IF(K756&lt;=5,"OPORTUNO","MUITO BOM")))</f>
        <v>MUITO BOM</v>
      </c>
      <c r="M756" s="3">
        <v>16</v>
      </c>
      <c r="N756" s="3">
        <v>98.39</v>
      </c>
      <c r="O756" s="3">
        <v>8.7999999999999989</v>
      </c>
    </row>
    <row r="757" spans="1:15" hidden="1" x14ac:dyDescent="0.25">
      <c r="A757" s="5">
        <v>46160</v>
      </c>
      <c r="B757" s="6" t="s">
        <v>44</v>
      </c>
      <c r="C757" s="1" t="s">
        <v>32</v>
      </c>
      <c r="D757" s="3">
        <v>30</v>
      </c>
      <c r="E757" s="3">
        <v>27</v>
      </c>
      <c r="F757" s="3">
        <v>10.14</v>
      </c>
      <c r="G757" s="3">
        <v>2</v>
      </c>
      <c r="H757" s="3">
        <v>0</v>
      </c>
      <c r="I757" s="3">
        <f>E757+G757+H757</f>
        <v>29</v>
      </c>
      <c r="J757" s="3">
        <f>ROUND(MIN(IF(C757="Técnico III",35,IF(C757="Técnico II",28,IF(C757="Técnico I",23,IF(C757="JR",20,IF(C757="Estágio",10,0))))),IF(C757="Técnico III",SUMIFS($D:$D,$A:$A,$A757,$B:$B,"&lt;&gt;Patrícia Karla de Sousa Araújo",$B:$B,"&lt;&gt;Lorena Dias de Araujo",$B:$B,"&lt;&gt;Lucas Luiz Romero")*(35/1083),IF(C757="Técnico II",SUMIFS($D:$D,$A:$A,$A757,$B:$B,"&lt;&gt;Patrícia Karla de Sousa Araújo",$B:$B,"&lt;&gt;Lorena Dias de Araujo",$B:$B,"&lt;&gt;Lucas Luiz Romero")*(28/1083),IF(C757="Técnico I",SUMIFS($D:$D,$A:$A,$A757,$B:$B,"&lt;&gt;Patrícia Karla de Sousa Araújo",$B:$B,"&lt;&gt;Lorena Dias de Araujo",$B:$B,"&lt;&gt;Lucas Luiz Romero")*(23/1083),IF(C757="JR",SUMIFS($D:$D,$A:$A,$A757,$B:$B,"&lt;&gt;Patrícia Karla de Sousa Araújo",$B:$B,"&lt;&gt;Lorena Dias de Araujo",$B:$B,"&lt;&gt;Lucas Luiz Romero")*(20/1083),IF(C757="Estágio",SUMIFS($D:$D,$A:$A,$A757,$B:$B,"&lt;&gt;Patrícia Karla de Sousa Araújo",$B:$B,"&lt;&gt;Lorena Dias de Araujo",$B:$B,"&lt;&gt;Lucas Luiz Romero")*(10/1083),0)))))),0)</f>
        <v>26</v>
      </c>
      <c r="K757" s="3">
        <f>I757-J757</f>
        <v>3</v>
      </c>
      <c r="L757" s="3" t="str">
        <f>IF(K757&lt;-5,"CRÍTICO",IF(K757&lt;0,"ATENÇÃO",IF(K757&lt;=5,"OPORTUNO","MUITO BOM")))</f>
        <v>OPORTUNO</v>
      </c>
      <c r="M757" s="3">
        <v>27</v>
      </c>
      <c r="N757" s="3">
        <v>96.38</v>
      </c>
      <c r="O757" s="3">
        <v>23.198198198198199</v>
      </c>
    </row>
    <row r="758" spans="1:15" hidden="1" x14ac:dyDescent="0.25">
      <c r="A758" s="5">
        <v>46160</v>
      </c>
      <c r="B758" s="6" t="s">
        <v>45</v>
      </c>
      <c r="C758" s="1" t="s">
        <v>32</v>
      </c>
      <c r="D758" s="3">
        <v>34</v>
      </c>
      <c r="E758" s="3">
        <v>28</v>
      </c>
      <c r="F758" s="3">
        <v>13.56</v>
      </c>
      <c r="G758" s="3">
        <v>3</v>
      </c>
      <c r="H758" s="3">
        <v>0</v>
      </c>
      <c r="I758" s="3">
        <f>E758+G758+H758</f>
        <v>31</v>
      </c>
      <c r="J758" s="3">
        <f>ROUND(MIN(IF(C758="Técnico III",35,IF(C758="Técnico II",28,IF(C758="Técnico I",23,IF(C758="JR",20,IF(C758="Estágio",10,0))))),IF(C758="Técnico III",SUMIFS($D:$D,$A:$A,$A758,$B:$B,"&lt;&gt;Patrícia Karla de Sousa Araújo",$B:$B,"&lt;&gt;Lorena Dias de Araujo",$B:$B,"&lt;&gt;Lucas Luiz Romero")*(35/1083),IF(C758="Técnico II",SUMIFS($D:$D,$A:$A,$A758,$B:$B,"&lt;&gt;Patrícia Karla de Sousa Araújo",$B:$B,"&lt;&gt;Lorena Dias de Araujo",$B:$B,"&lt;&gt;Lucas Luiz Romero")*(28/1083),IF(C758="Técnico I",SUMIFS($D:$D,$A:$A,$A758,$B:$B,"&lt;&gt;Patrícia Karla de Sousa Araújo",$B:$B,"&lt;&gt;Lorena Dias de Araujo",$B:$B,"&lt;&gt;Lucas Luiz Romero")*(23/1083),IF(C758="JR",SUMIFS($D:$D,$A:$A,$A758,$B:$B,"&lt;&gt;Patrícia Karla de Sousa Araújo",$B:$B,"&lt;&gt;Lorena Dias de Araujo",$B:$B,"&lt;&gt;Lucas Luiz Romero")*(20/1083),IF(C758="Estágio",SUMIFS($D:$D,$A:$A,$A758,$B:$B,"&lt;&gt;Patrícia Karla de Sousa Araújo",$B:$B,"&lt;&gt;Lorena Dias de Araujo",$B:$B,"&lt;&gt;Lucas Luiz Romero")*(10/1083),0)))))),0)</f>
        <v>26</v>
      </c>
      <c r="K758" s="3">
        <f>I758-J758</f>
        <v>5</v>
      </c>
      <c r="L758" s="3" t="str">
        <f>IF(K758&lt;-5,"CRÍTICO",IF(K758&lt;0,"ATENÇÃO",IF(K758&lt;=5,"OPORTUNO","MUITO BOM")))</f>
        <v>OPORTUNO</v>
      </c>
      <c r="M758" s="3">
        <v>26</v>
      </c>
      <c r="N758" s="3">
        <v>99.39</v>
      </c>
      <c r="O758" s="3">
        <v>25.203252032520329</v>
      </c>
    </row>
    <row r="759" spans="1:15" hidden="1" x14ac:dyDescent="0.25">
      <c r="A759" s="5">
        <v>46160</v>
      </c>
      <c r="B759" s="6" t="s">
        <v>46</v>
      </c>
      <c r="C759" s="1" t="s">
        <v>32</v>
      </c>
      <c r="D759" s="3">
        <v>25</v>
      </c>
      <c r="E759" s="3">
        <v>22</v>
      </c>
      <c r="F759" s="3">
        <v>17.29</v>
      </c>
      <c r="G759" s="3">
        <v>4</v>
      </c>
      <c r="H759" s="3">
        <v>0</v>
      </c>
      <c r="I759" s="3">
        <f>E759+G759+H759</f>
        <v>26</v>
      </c>
      <c r="J759" s="3">
        <f>ROUND(MIN(IF(C759="Técnico III",35,IF(C759="Técnico II",28,IF(C759="Técnico I",23,IF(C759="JR",20,IF(C759="Estágio",10,0))))),IF(C759="Técnico III",SUMIFS($D:$D,$A:$A,$A759,$B:$B,"&lt;&gt;Patrícia Karla de Sousa Araújo",$B:$B,"&lt;&gt;Lorena Dias de Araujo",$B:$B,"&lt;&gt;Lucas Luiz Romero")*(35/1083),IF(C759="Técnico II",SUMIFS($D:$D,$A:$A,$A759,$B:$B,"&lt;&gt;Patrícia Karla de Sousa Araújo",$B:$B,"&lt;&gt;Lorena Dias de Araujo",$B:$B,"&lt;&gt;Lucas Luiz Romero")*(28/1083),IF(C759="Técnico I",SUMIFS($D:$D,$A:$A,$A759,$B:$B,"&lt;&gt;Patrícia Karla de Sousa Araújo",$B:$B,"&lt;&gt;Lorena Dias de Araujo",$B:$B,"&lt;&gt;Lucas Luiz Romero")*(23/1083),IF(C759="JR",SUMIFS($D:$D,$A:$A,$A759,$B:$B,"&lt;&gt;Patrícia Karla de Sousa Araújo",$B:$B,"&lt;&gt;Lorena Dias de Araujo",$B:$B,"&lt;&gt;Lucas Luiz Romero")*(20/1083),IF(C759="Estágio",SUMIFS($D:$D,$A:$A,$A759,$B:$B,"&lt;&gt;Patrícia Karla de Sousa Araújo",$B:$B,"&lt;&gt;Lorena Dias de Araujo",$B:$B,"&lt;&gt;Lucas Luiz Romero")*(10/1083),0)))))),0)</f>
        <v>26</v>
      </c>
      <c r="K759" s="3">
        <f>I759-J759</f>
        <v>0</v>
      </c>
      <c r="L759" s="3" t="str">
        <f>IF(K759&lt;-5,"CRÍTICO",IF(K759&lt;0,"ATENÇÃO",IF(K759&lt;=5,"OPORTUNO","MUITO BOM")))</f>
        <v>OPORTUNO</v>
      </c>
      <c r="M759" s="3">
        <v>21</v>
      </c>
      <c r="N759" s="3">
        <v>97</v>
      </c>
      <c r="O759" s="3">
        <v>20.325203252032519</v>
      </c>
    </row>
    <row r="760" spans="1:15" hidden="1" x14ac:dyDescent="0.25">
      <c r="A760" s="5">
        <v>46160</v>
      </c>
      <c r="B760" s="6" t="s">
        <v>47</v>
      </c>
      <c r="C760" s="1" t="s">
        <v>48</v>
      </c>
      <c r="D760" s="3">
        <v>42</v>
      </c>
      <c r="E760" s="3">
        <v>27</v>
      </c>
      <c r="F760" s="3">
        <v>7.38</v>
      </c>
      <c r="G760" s="3">
        <v>4</v>
      </c>
      <c r="H760" s="3">
        <v>0</v>
      </c>
      <c r="I760" s="3">
        <f>E760+G760+H760</f>
        <v>31</v>
      </c>
      <c r="J760" s="3">
        <f>ROUND(MIN(IF(C760="Técnico III",35,IF(C760="Técnico II",28,IF(C760="Técnico I",23,IF(C760="JR",20,IF(C760="Estágio",10,0))))),IF(C760="Técnico III",SUMIFS($D:$D,$A:$A,$A760,$B:$B,"&lt;&gt;Patrícia Karla de Sousa Araújo",$B:$B,"&lt;&gt;Lorena Dias de Araujo",$B:$B,"&lt;&gt;Lucas Luiz Romero")*(35/1083),IF(C760="Técnico II",SUMIFS($D:$D,$A:$A,$A760,$B:$B,"&lt;&gt;Patrícia Karla de Sousa Araújo",$B:$B,"&lt;&gt;Lorena Dias de Araujo",$B:$B,"&lt;&gt;Lucas Luiz Romero")*(28/1083),IF(C760="Técnico I",SUMIFS($D:$D,$A:$A,$A760,$B:$B,"&lt;&gt;Patrícia Karla de Sousa Araújo",$B:$B,"&lt;&gt;Lorena Dias de Araujo",$B:$B,"&lt;&gt;Lucas Luiz Romero")*(23/1083),IF(C760="JR",SUMIFS($D:$D,$A:$A,$A760,$B:$B,"&lt;&gt;Patrícia Karla de Sousa Araújo",$B:$B,"&lt;&gt;Lorena Dias de Araujo",$B:$B,"&lt;&gt;Lucas Luiz Romero")*(20/1083),IF(C760="Estágio",SUMIFS($D:$D,$A:$A,$A760,$B:$B,"&lt;&gt;Patrícia Karla de Sousa Araújo",$B:$B,"&lt;&gt;Lorena Dias de Araujo",$B:$B,"&lt;&gt;Lucas Luiz Romero")*(10/1083),0)))))),0)</f>
        <v>21</v>
      </c>
      <c r="K760" s="3">
        <f>I760-J760</f>
        <v>10</v>
      </c>
      <c r="L760" s="3" t="str">
        <f>IF(K760&lt;-5,"CRÍTICO",IF(K760&lt;0,"ATENÇÃO",IF(K760&lt;=5,"OPORTUNO","MUITO BOM")))</f>
        <v>MUITO BOM</v>
      </c>
      <c r="M760" s="3">
        <v>19</v>
      </c>
      <c r="N760" s="3">
        <v>99.18</v>
      </c>
      <c r="O760" s="3">
        <v>24.501424501424498</v>
      </c>
    </row>
    <row r="761" spans="1:15" hidden="1" x14ac:dyDescent="0.25">
      <c r="A761" s="5">
        <v>46160</v>
      </c>
      <c r="B761" s="6" t="s">
        <v>49</v>
      </c>
      <c r="C761" s="1" t="s">
        <v>48</v>
      </c>
      <c r="D761" s="3">
        <v>46</v>
      </c>
      <c r="E761" s="3">
        <v>39</v>
      </c>
      <c r="F761" s="3">
        <v>11.41</v>
      </c>
      <c r="G761" s="3">
        <v>7</v>
      </c>
      <c r="H761" s="3">
        <v>0</v>
      </c>
      <c r="I761" s="3">
        <f>E761+G761+H761</f>
        <v>46</v>
      </c>
      <c r="J761" s="3">
        <f>ROUND(MIN(IF(C761="Técnico III",35,IF(C761="Técnico II",28,IF(C761="Técnico I",23,IF(C761="JR",20,IF(C761="Estágio",10,0))))),IF(C761="Técnico III",SUMIFS($D:$D,$A:$A,$A761,$B:$B,"&lt;&gt;Patrícia Karla de Sousa Araújo",$B:$B,"&lt;&gt;Lorena Dias de Araujo",$B:$B,"&lt;&gt;Lucas Luiz Romero")*(35/1083),IF(C761="Técnico II",SUMIFS($D:$D,$A:$A,$A761,$B:$B,"&lt;&gt;Patrícia Karla de Sousa Araújo",$B:$B,"&lt;&gt;Lorena Dias de Araujo",$B:$B,"&lt;&gt;Lucas Luiz Romero")*(28/1083),IF(C761="Técnico I",SUMIFS($D:$D,$A:$A,$A761,$B:$B,"&lt;&gt;Patrícia Karla de Sousa Araújo",$B:$B,"&lt;&gt;Lorena Dias de Araujo",$B:$B,"&lt;&gt;Lucas Luiz Romero")*(23/1083),IF(C761="JR",SUMIFS($D:$D,$A:$A,$A761,$B:$B,"&lt;&gt;Patrícia Karla de Sousa Araújo",$B:$B,"&lt;&gt;Lorena Dias de Araujo",$B:$B,"&lt;&gt;Lucas Luiz Romero")*(20/1083),IF(C761="Estágio",SUMIFS($D:$D,$A:$A,$A761,$B:$B,"&lt;&gt;Patrícia Karla de Sousa Araújo",$B:$B,"&lt;&gt;Lorena Dias de Araujo",$B:$B,"&lt;&gt;Lucas Luiz Romero")*(10/1083),0)))))),0)</f>
        <v>21</v>
      </c>
      <c r="K761" s="3">
        <f>I761-J761</f>
        <v>25</v>
      </c>
      <c r="L761" s="3" t="str">
        <f>IF(K761&lt;-5,"CRÍTICO",IF(K761&lt;0,"ATENÇÃO",IF(K761&lt;=5,"OPORTUNO","MUITO BOM")))</f>
        <v>MUITO BOM</v>
      </c>
      <c r="M761" s="3">
        <v>42</v>
      </c>
      <c r="N761" s="3">
        <v>99.35</v>
      </c>
      <c r="O761" s="3">
        <v>19.852941176470591</v>
      </c>
    </row>
    <row r="762" spans="1:15" hidden="1" x14ac:dyDescent="0.25">
      <c r="A762" s="5">
        <v>46160</v>
      </c>
      <c r="B762" s="6" t="s">
        <v>50</v>
      </c>
      <c r="C762" s="14" t="s">
        <v>48</v>
      </c>
      <c r="D762" s="3">
        <v>23</v>
      </c>
      <c r="E762" s="3">
        <v>23</v>
      </c>
      <c r="F762" s="3">
        <v>21.44</v>
      </c>
      <c r="G762" s="3">
        <v>3</v>
      </c>
      <c r="H762" s="3">
        <v>0</v>
      </c>
      <c r="I762" s="3">
        <f>E762+G762+H762</f>
        <v>26</v>
      </c>
      <c r="J762" s="3">
        <f>ROUND(MIN(IF(C762="Técnico III",35,IF(C762="Técnico II",28,IF(C762="Técnico I",23,IF(C762="JR",20,IF(C762="Estágio",10,0))))),IF(C762="Técnico III",SUMIFS($D:$D,$A:$A,$A762,$B:$B,"&lt;&gt;Patrícia Karla de Sousa Araújo",$B:$B,"&lt;&gt;Lorena Dias de Araujo",$B:$B,"&lt;&gt;Lucas Luiz Romero")*(35/1083),IF(C762="Técnico II",SUMIFS($D:$D,$A:$A,$A762,$B:$B,"&lt;&gt;Patrícia Karla de Sousa Araújo",$B:$B,"&lt;&gt;Lorena Dias de Araujo",$B:$B,"&lt;&gt;Lucas Luiz Romero")*(28/1083),IF(C762="Técnico I",SUMIFS($D:$D,$A:$A,$A762,$B:$B,"&lt;&gt;Patrícia Karla de Sousa Araújo",$B:$B,"&lt;&gt;Lorena Dias de Araujo",$B:$B,"&lt;&gt;Lucas Luiz Romero")*(23/1083),IF(C762="JR",SUMIFS($D:$D,$A:$A,$A762,$B:$B,"&lt;&gt;Patrícia Karla de Sousa Araújo",$B:$B,"&lt;&gt;Lorena Dias de Araujo",$B:$B,"&lt;&gt;Lucas Luiz Romero")*(20/1083),IF(C762="Estágio",SUMIFS($D:$D,$A:$A,$A762,$B:$B,"&lt;&gt;Patrícia Karla de Sousa Araújo",$B:$B,"&lt;&gt;Lorena Dias de Araujo",$B:$B,"&lt;&gt;Lucas Luiz Romero")*(10/1083),0)))))),0)</f>
        <v>21</v>
      </c>
      <c r="K762" s="3">
        <f>I762-J762</f>
        <v>5</v>
      </c>
      <c r="L762" s="3" t="str">
        <f>IF(K762&lt;-5,"CRÍTICO",IF(K762&lt;0,"ATENÇÃO",IF(K762&lt;=5,"OPORTUNO","MUITO BOM")))</f>
        <v>OPORTUNO</v>
      </c>
      <c r="M762" s="3">
        <v>26</v>
      </c>
      <c r="N762" s="3">
        <v>99.07</v>
      </c>
      <c r="O762" s="3">
        <v>20.098039215686271</v>
      </c>
    </row>
    <row r="763" spans="1:15" hidden="1" x14ac:dyDescent="0.25">
      <c r="A763" s="5">
        <v>46160</v>
      </c>
      <c r="B763" s="6" t="s">
        <v>51</v>
      </c>
      <c r="C763" s="1" t="s">
        <v>48</v>
      </c>
      <c r="D763" s="3">
        <v>0</v>
      </c>
      <c r="E763" s="3">
        <v>0</v>
      </c>
      <c r="F763" s="3">
        <v>0</v>
      </c>
      <c r="G763" s="3">
        <v>0</v>
      </c>
      <c r="H763" s="3">
        <v>0</v>
      </c>
      <c r="I763" s="3">
        <f>E763+G763+H763</f>
        <v>0</v>
      </c>
      <c r="J763" s="3">
        <f>ROUND(MIN(IF(C763="Técnico III",35,IF(C763="Técnico II",28,IF(C763="Técnico I",23,IF(C763="JR",20,IF(C763="Estágio",10,0))))),IF(C763="Técnico III",SUMIFS($D:$D,$A:$A,$A763,$B:$B,"&lt;&gt;Patrícia Karla de Sousa Araújo",$B:$B,"&lt;&gt;Lorena Dias de Araujo",$B:$B,"&lt;&gt;Lucas Luiz Romero")*(35/1083),IF(C763="Técnico II",SUMIFS($D:$D,$A:$A,$A763,$B:$B,"&lt;&gt;Patrícia Karla de Sousa Araújo",$B:$B,"&lt;&gt;Lorena Dias de Araujo",$B:$B,"&lt;&gt;Lucas Luiz Romero")*(28/1083),IF(C763="Técnico I",SUMIFS($D:$D,$A:$A,$A763,$B:$B,"&lt;&gt;Patrícia Karla de Sousa Araújo",$B:$B,"&lt;&gt;Lorena Dias de Araujo",$B:$B,"&lt;&gt;Lucas Luiz Romero")*(23/1083),IF(C763="JR",SUMIFS($D:$D,$A:$A,$A763,$B:$B,"&lt;&gt;Patrícia Karla de Sousa Araújo",$B:$B,"&lt;&gt;Lorena Dias de Araujo",$B:$B,"&lt;&gt;Lucas Luiz Romero")*(20/1083),IF(C763="Estágio",SUMIFS($D:$D,$A:$A,$A763,$B:$B,"&lt;&gt;Patrícia Karla de Sousa Araújo",$B:$B,"&lt;&gt;Lorena Dias de Araujo",$B:$B,"&lt;&gt;Lucas Luiz Romero")*(10/1083),0)))))),0)</f>
        <v>21</v>
      </c>
      <c r="K763" s="3">
        <f>I763-J763</f>
        <v>-21</v>
      </c>
      <c r="L763" s="3" t="str">
        <f>IF(K763&lt;-5,"CRÍTICO",IF(K763&lt;0,"ATENÇÃO",IF(K763&lt;=5,"OPORTUNO","MUITO BOM")))</f>
        <v>CRÍTICO</v>
      </c>
      <c r="M763" s="3">
        <v>0</v>
      </c>
      <c r="N763" s="3">
        <v>98.81</v>
      </c>
      <c r="O763" s="3">
        <v>22.767857142857139</v>
      </c>
    </row>
    <row r="764" spans="1:15" hidden="1" x14ac:dyDescent="0.25">
      <c r="A764" s="5">
        <v>46160</v>
      </c>
      <c r="B764" s="6" t="s">
        <v>52</v>
      </c>
      <c r="C764" s="1" t="s">
        <v>48</v>
      </c>
      <c r="D764" s="3">
        <v>29</v>
      </c>
      <c r="E764" s="3">
        <v>27</v>
      </c>
      <c r="F764" s="3">
        <v>12.34</v>
      </c>
      <c r="G764" s="3">
        <v>3</v>
      </c>
      <c r="H764" s="3">
        <v>0</v>
      </c>
      <c r="I764" s="3">
        <f>E764+G764+H764</f>
        <v>30</v>
      </c>
      <c r="J764" s="3">
        <f>ROUND(MIN(IF(C764="Técnico III",35,IF(C764="Técnico II",28,IF(C764="Técnico I",23,IF(C764="JR",20,IF(C764="Estágio",10,0))))),IF(C764="Técnico III",SUMIFS($D:$D,$A:$A,$A764,$B:$B,"&lt;&gt;Patrícia Karla de Sousa Araújo",$B:$B,"&lt;&gt;Lorena Dias de Araujo",$B:$B,"&lt;&gt;Lucas Luiz Romero")*(35/1083),IF(C764="Técnico II",SUMIFS($D:$D,$A:$A,$A764,$B:$B,"&lt;&gt;Patrícia Karla de Sousa Araújo",$B:$B,"&lt;&gt;Lorena Dias de Araujo",$B:$B,"&lt;&gt;Lucas Luiz Romero")*(28/1083),IF(C764="Técnico I",SUMIFS($D:$D,$A:$A,$A764,$B:$B,"&lt;&gt;Patrícia Karla de Sousa Araújo",$B:$B,"&lt;&gt;Lorena Dias de Araujo",$B:$B,"&lt;&gt;Lucas Luiz Romero")*(23/1083),IF(C764="JR",SUMIFS($D:$D,$A:$A,$A764,$B:$B,"&lt;&gt;Patrícia Karla de Sousa Araújo",$B:$B,"&lt;&gt;Lorena Dias de Araujo",$B:$B,"&lt;&gt;Lucas Luiz Romero")*(20/1083),IF(C764="Estágio",SUMIFS($D:$D,$A:$A,$A764,$B:$B,"&lt;&gt;Patrícia Karla de Sousa Araújo",$B:$B,"&lt;&gt;Lorena Dias de Araujo",$B:$B,"&lt;&gt;Lucas Luiz Romero")*(10/1083),0)))))),0)</f>
        <v>21</v>
      </c>
      <c r="K764" s="3">
        <f>I764-J764</f>
        <v>9</v>
      </c>
      <c r="L764" s="3" t="str">
        <f>IF(K764&lt;-5,"CRÍTICO",IF(K764&lt;0,"ATENÇÃO",IF(K764&lt;=5,"OPORTUNO","MUITO BOM")))</f>
        <v>MUITO BOM</v>
      </c>
      <c r="M764" s="3">
        <v>25</v>
      </c>
      <c r="N764" s="3">
        <v>99.01</v>
      </c>
      <c r="O764" s="3">
        <v>17.766497461928939</v>
      </c>
    </row>
    <row r="765" spans="1:15" hidden="1" x14ac:dyDescent="0.25">
      <c r="A765" s="5">
        <v>46160</v>
      </c>
      <c r="B765" s="6" t="s">
        <v>53</v>
      </c>
      <c r="C765" s="1" t="s">
        <v>48</v>
      </c>
      <c r="D765" s="3">
        <v>0</v>
      </c>
      <c r="E765" s="3">
        <v>0</v>
      </c>
      <c r="F765" s="3">
        <v>0</v>
      </c>
      <c r="G765" s="3">
        <v>0</v>
      </c>
      <c r="H765" s="3">
        <v>0</v>
      </c>
      <c r="I765" s="3">
        <f>E765+G765+H765</f>
        <v>0</v>
      </c>
      <c r="J765" s="3">
        <f>ROUND(MIN(IF(C765="Técnico III",35,IF(C765="Técnico II",28,IF(C765="Técnico I",23,IF(C765="JR",20,IF(C765="Estágio",10,0))))),IF(C765="Técnico III",SUMIFS($D:$D,$A:$A,$A765,$B:$B,"&lt;&gt;Patrícia Karla de Sousa Araújo",$B:$B,"&lt;&gt;Lorena Dias de Araujo",$B:$B,"&lt;&gt;Lucas Luiz Romero")*(35/1083),IF(C765="Técnico II",SUMIFS($D:$D,$A:$A,$A765,$B:$B,"&lt;&gt;Patrícia Karla de Sousa Araújo",$B:$B,"&lt;&gt;Lorena Dias de Araujo",$B:$B,"&lt;&gt;Lucas Luiz Romero")*(28/1083),IF(C765="Técnico I",SUMIFS($D:$D,$A:$A,$A765,$B:$B,"&lt;&gt;Patrícia Karla de Sousa Araújo",$B:$B,"&lt;&gt;Lorena Dias de Araujo",$B:$B,"&lt;&gt;Lucas Luiz Romero")*(23/1083),IF(C765="JR",SUMIFS($D:$D,$A:$A,$A765,$B:$B,"&lt;&gt;Patrícia Karla de Sousa Araújo",$B:$B,"&lt;&gt;Lorena Dias de Araujo",$B:$B,"&lt;&gt;Lucas Luiz Romero")*(20/1083),IF(C765="Estágio",SUMIFS($D:$D,$A:$A,$A765,$B:$B,"&lt;&gt;Patrícia Karla de Sousa Araújo",$B:$B,"&lt;&gt;Lorena Dias de Araujo",$B:$B,"&lt;&gt;Lucas Luiz Romero")*(10/1083),0)))))),0)</f>
        <v>21</v>
      </c>
      <c r="K765" s="3">
        <f>I765-J765</f>
        <v>-21</v>
      </c>
      <c r="L765" s="3" t="str">
        <f>IF(K765&lt;-5,"CRÍTICO",IF(K765&lt;0,"ATENÇÃO",IF(K765&lt;=5,"OPORTUNO","MUITO BOM")))</f>
        <v>CRÍTICO</v>
      </c>
      <c r="M765" s="3">
        <v>0</v>
      </c>
      <c r="N765" s="3">
        <v>100</v>
      </c>
      <c r="O765" s="3">
        <v>17.241379310344829</v>
      </c>
    </row>
    <row r="766" spans="1:15" hidden="1" x14ac:dyDescent="0.25">
      <c r="A766" s="5">
        <v>46160</v>
      </c>
      <c r="B766" s="6" t="s">
        <v>54</v>
      </c>
      <c r="C766" s="14" t="s">
        <v>48</v>
      </c>
      <c r="D766" s="3">
        <v>20</v>
      </c>
      <c r="E766" s="3">
        <v>20</v>
      </c>
      <c r="F766" s="3">
        <v>24.07</v>
      </c>
      <c r="G766" s="3">
        <v>3</v>
      </c>
      <c r="H766" s="3">
        <v>0</v>
      </c>
      <c r="I766" s="3">
        <f>E766+G766+H766</f>
        <v>23</v>
      </c>
      <c r="J766" s="3">
        <f>ROUND(MIN(IF(C766="Técnico III",35,IF(C766="Técnico II",28,IF(C766="Técnico I",23,IF(C766="JR",20,IF(C766="Estágio",10,0))))),IF(C766="Técnico III",SUMIFS($D:$D,$A:$A,$A766,$B:$B,"&lt;&gt;Patrícia Karla de Sousa Araújo",$B:$B,"&lt;&gt;Lorena Dias de Araujo",$B:$B,"&lt;&gt;Lucas Luiz Romero")*(35/1083),IF(C766="Técnico II",SUMIFS($D:$D,$A:$A,$A766,$B:$B,"&lt;&gt;Patrícia Karla de Sousa Araújo",$B:$B,"&lt;&gt;Lorena Dias de Araujo",$B:$B,"&lt;&gt;Lucas Luiz Romero")*(28/1083),IF(C766="Técnico I",SUMIFS($D:$D,$A:$A,$A766,$B:$B,"&lt;&gt;Patrícia Karla de Sousa Araújo",$B:$B,"&lt;&gt;Lorena Dias de Araujo",$B:$B,"&lt;&gt;Lucas Luiz Romero")*(23/1083),IF(C766="JR",SUMIFS($D:$D,$A:$A,$A766,$B:$B,"&lt;&gt;Patrícia Karla de Sousa Araújo",$B:$B,"&lt;&gt;Lorena Dias de Araujo",$B:$B,"&lt;&gt;Lucas Luiz Romero")*(20/1083),IF(C766="Estágio",SUMIFS($D:$D,$A:$A,$A766,$B:$B,"&lt;&gt;Patrícia Karla de Sousa Araújo",$B:$B,"&lt;&gt;Lorena Dias de Araujo",$B:$B,"&lt;&gt;Lucas Luiz Romero")*(10/1083),0)))))),0)</f>
        <v>21</v>
      </c>
      <c r="K766" s="3">
        <f>I766-J766</f>
        <v>2</v>
      </c>
      <c r="L766" s="3" t="str">
        <f>IF(K766&lt;-5,"CRÍTICO",IF(K766&lt;0,"ATENÇÃO",IF(K766&lt;=5,"OPORTUNO","MUITO BOM")))</f>
        <v>OPORTUNO</v>
      </c>
      <c r="M766" s="3">
        <v>21</v>
      </c>
      <c r="N766" s="3">
        <v>98.98</v>
      </c>
      <c r="O766" s="3">
        <v>19.35483870967742</v>
      </c>
    </row>
    <row r="767" spans="1:15" hidden="1" x14ac:dyDescent="0.25">
      <c r="A767" s="5">
        <v>46160</v>
      </c>
      <c r="B767" s="6" t="s">
        <v>55</v>
      </c>
      <c r="C767" s="1" t="s">
        <v>48</v>
      </c>
      <c r="D767" s="3">
        <v>28</v>
      </c>
      <c r="E767" s="3">
        <v>22</v>
      </c>
      <c r="F767" s="3">
        <v>17.149999999999999</v>
      </c>
      <c r="G767" s="3">
        <v>0</v>
      </c>
      <c r="H767" s="3">
        <v>0</v>
      </c>
      <c r="I767" s="3">
        <f>E767+G767+H767</f>
        <v>22</v>
      </c>
      <c r="J767" s="3">
        <f>ROUND(MIN(IF(C767="Técnico III",35,IF(C767="Técnico II",28,IF(C767="Técnico I",23,IF(C767="JR",20,IF(C767="Estágio",10,0))))),IF(C767="Técnico III",SUMIFS($D:$D,$A:$A,$A767,$B:$B,"&lt;&gt;Patrícia Karla de Sousa Araújo",$B:$B,"&lt;&gt;Lorena Dias de Araujo",$B:$B,"&lt;&gt;Lucas Luiz Romero")*(35/1083),IF(C767="Técnico II",SUMIFS($D:$D,$A:$A,$A767,$B:$B,"&lt;&gt;Patrícia Karla de Sousa Araújo",$B:$B,"&lt;&gt;Lorena Dias de Araujo",$B:$B,"&lt;&gt;Lucas Luiz Romero")*(28/1083),IF(C767="Técnico I",SUMIFS($D:$D,$A:$A,$A767,$B:$B,"&lt;&gt;Patrícia Karla de Sousa Araújo",$B:$B,"&lt;&gt;Lorena Dias de Araujo",$B:$B,"&lt;&gt;Lucas Luiz Romero")*(23/1083),IF(C767="JR",SUMIFS($D:$D,$A:$A,$A767,$B:$B,"&lt;&gt;Patrícia Karla de Sousa Araújo",$B:$B,"&lt;&gt;Lorena Dias de Araujo",$B:$B,"&lt;&gt;Lucas Luiz Romero")*(20/1083),IF(C767="Estágio",SUMIFS($D:$D,$A:$A,$A767,$B:$B,"&lt;&gt;Patrícia Karla de Sousa Araújo",$B:$B,"&lt;&gt;Lorena Dias de Araujo",$B:$B,"&lt;&gt;Lucas Luiz Romero")*(10/1083),0)))))),0)</f>
        <v>21</v>
      </c>
      <c r="K767" s="3">
        <f>I767-J767</f>
        <v>1</v>
      </c>
      <c r="L767" s="3" t="str">
        <f>IF(K767&lt;-5,"CRÍTICO",IF(K767&lt;0,"ATENÇÃO",IF(K767&lt;=5,"OPORTUNO","MUITO BOM")))</f>
        <v>OPORTUNO</v>
      </c>
      <c r="M767" s="3">
        <v>19</v>
      </c>
      <c r="N767" s="3">
        <v>98.94</v>
      </c>
      <c r="O767" s="3">
        <v>21.270718232044199</v>
      </c>
    </row>
    <row r="768" spans="1:15" hidden="1" x14ac:dyDescent="0.25">
      <c r="A768" s="5">
        <v>46160</v>
      </c>
      <c r="B768" s="6" t="s">
        <v>56</v>
      </c>
      <c r="C768" s="1" t="s">
        <v>48</v>
      </c>
      <c r="D768" s="3">
        <v>25</v>
      </c>
      <c r="E768" s="3">
        <v>23</v>
      </c>
      <c r="F768" s="3">
        <v>16.55</v>
      </c>
      <c r="G768" s="3">
        <v>2</v>
      </c>
      <c r="H768" s="3">
        <v>0</v>
      </c>
      <c r="I768" s="3">
        <f>E768+G768+H768</f>
        <v>25</v>
      </c>
      <c r="J768" s="3">
        <f>ROUND(MIN(IF(C768="Técnico III",35,IF(C768="Técnico II",28,IF(C768="Técnico I",23,IF(C768="JR",20,IF(C768="Estágio",10,0))))),IF(C768="Técnico III",SUMIFS($D:$D,$A:$A,$A768,$B:$B,"&lt;&gt;Patrícia Karla de Sousa Araújo",$B:$B,"&lt;&gt;Lorena Dias de Araujo",$B:$B,"&lt;&gt;Lucas Luiz Romero")*(35/1083),IF(C768="Técnico II",SUMIFS($D:$D,$A:$A,$A768,$B:$B,"&lt;&gt;Patrícia Karla de Sousa Araújo",$B:$B,"&lt;&gt;Lorena Dias de Araujo",$B:$B,"&lt;&gt;Lucas Luiz Romero")*(28/1083),IF(C768="Técnico I",SUMIFS($D:$D,$A:$A,$A768,$B:$B,"&lt;&gt;Patrícia Karla de Sousa Araújo",$B:$B,"&lt;&gt;Lorena Dias de Araujo",$B:$B,"&lt;&gt;Lucas Luiz Romero")*(23/1083),IF(C768="JR",SUMIFS($D:$D,$A:$A,$A768,$B:$B,"&lt;&gt;Patrícia Karla de Sousa Araújo",$B:$B,"&lt;&gt;Lorena Dias de Araujo",$B:$B,"&lt;&gt;Lucas Luiz Romero")*(20/1083),IF(C768="Estágio",SUMIFS($D:$D,$A:$A,$A768,$B:$B,"&lt;&gt;Patrícia Karla de Sousa Araújo",$B:$B,"&lt;&gt;Lorena Dias de Araujo",$B:$B,"&lt;&gt;Lucas Luiz Romero")*(10/1083),0)))))),0)</f>
        <v>21</v>
      </c>
      <c r="K768" s="3">
        <f>I768-J768</f>
        <v>4</v>
      </c>
      <c r="L768" s="3" t="str">
        <f>IF(K768&lt;-5,"CRÍTICO",IF(K768&lt;0,"ATENÇÃO",IF(K768&lt;=5,"OPORTUNO","MUITO BOM")))</f>
        <v>OPORTUNO</v>
      </c>
      <c r="M768" s="3">
        <v>20</v>
      </c>
      <c r="N768" s="3">
        <v>99</v>
      </c>
      <c r="O768" s="3">
        <v>22.010869565217391</v>
      </c>
    </row>
    <row r="769" spans="1:15" hidden="1" x14ac:dyDescent="0.25">
      <c r="A769" s="5">
        <v>46160</v>
      </c>
      <c r="B769" s="6" t="s">
        <v>57</v>
      </c>
      <c r="C769" s="1" t="s">
        <v>48</v>
      </c>
      <c r="D769" s="3">
        <v>28</v>
      </c>
      <c r="E769" s="3">
        <v>26</v>
      </c>
      <c r="F769" s="3">
        <v>13.58</v>
      </c>
      <c r="G769" s="3">
        <v>0</v>
      </c>
      <c r="H769" s="3">
        <v>0</v>
      </c>
      <c r="I769" s="3">
        <f>E769+G769+H769</f>
        <v>26</v>
      </c>
      <c r="J769" s="3">
        <f>ROUND(MIN(IF(C769="Técnico III",35,IF(C769="Técnico II",28,IF(C769="Técnico I",23,IF(C769="JR",20,IF(C769="Estágio",10,0))))),IF(C769="Técnico III",SUMIFS($D:$D,$A:$A,$A769,$B:$B,"&lt;&gt;Patrícia Karla de Sousa Araújo",$B:$B,"&lt;&gt;Lorena Dias de Araujo",$B:$B,"&lt;&gt;Lucas Luiz Romero")*(35/1083),IF(C769="Técnico II",SUMIFS($D:$D,$A:$A,$A769,$B:$B,"&lt;&gt;Patrícia Karla de Sousa Araújo",$B:$B,"&lt;&gt;Lorena Dias de Araujo",$B:$B,"&lt;&gt;Lucas Luiz Romero")*(28/1083),IF(C769="Técnico I",SUMIFS($D:$D,$A:$A,$A769,$B:$B,"&lt;&gt;Patrícia Karla de Sousa Araújo",$B:$B,"&lt;&gt;Lorena Dias de Araujo",$B:$B,"&lt;&gt;Lucas Luiz Romero")*(23/1083),IF(C769="JR",SUMIFS($D:$D,$A:$A,$A769,$B:$B,"&lt;&gt;Patrícia Karla de Sousa Araújo",$B:$B,"&lt;&gt;Lorena Dias de Araujo",$B:$B,"&lt;&gt;Lucas Luiz Romero")*(20/1083),IF(C769="Estágio",SUMIFS($D:$D,$A:$A,$A769,$B:$B,"&lt;&gt;Patrícia Karla de Sousa Araújo",$B:$B,"&lt;&gt;Lorena Dias de Araujo",$B:$B,"&lt;&gt;Lucas Luiz Romero")*(10/1083),0)))))),0)</f>
        <v>21</v>
      </c>
      <c r="K769" s="3">
        <f>I769-J769</f>
        <v>5</v>
      </c>
      <c r="L769" s="3" t="str">
        <f>IF(K769&lt;-5,"CRÍTICO",IF(K769&lt;0,"ATENÇÃO",IF(K769&lt;=5,"OPORTUNO","MUITO BOM")))</f>
        <v>OPORTUNO</v>
      </c>
      <c r="M769" s="3">
        <v>23</v>
      </c>
      <c r="N769" s="3">
        <v>100</v>
      </c>
      <c r="O769" s="3">
        <v>25</v>
      </c>
    </row>
    <row r="770" spans="1:15" hidden="1" x14ac:dyDescent="0.25">
      <c r="A770" s="5">
        <v>46160</v>
      </c>
      <c r="B770" s="6" t="s">
        <v>58</v>
      </c>
      <c r="C770" s="1" t="s">
        <v>48</v>
      </c>
      <c r="D770" s="3">
        <v>16</v>
      </c>
      <c r="E770" s="3">
        <v>15</v>
      </c>
      <c r="F770" s="3">
        <v>19.190000000000001</v>
      </c>
      <c r="G770" s="3">
        <v>0</v>
      </c>
      <c r="H770" s="3">
        <v>0</v>
      </c>
      <c r="I770" s="3">
        <f>E770+G770+H770</f>
        <v>15</v>
      </c>
      <c r="J770" s="3">
        <f>ROUND(MIN(IF(C770="Técnico III",35,IF(C770="Técnico II",28,IF(C770="Técnico I",23,IF(C770="JR",20,IF(C770="Estágio",10,0))))),IF(C770="Técnico III",SUMIFS($D:$D,$A:$A,$A770,$B:$B,"&lt;&gt;Patrícia Karla de Sousa Araújo",$B:$B,"&lt;&gt;Lorena Dias de Araujo",$B:$B,"&lt;&gt;Lucas Luiz Romero")*(35/1083),IF(C770="Técnico II",SUMIFS($D:$D,$A:$A,$A770,$B:$B,"&lt;&gt;Patrícia Karla de Sousa Araújo",$B:$B,"&lt;&gt;Lorena Dias de Araujo",$B:$B,"&lt;&gt;Lucas Luiz Romero")*(28/1083),IF(C770="Técnico I",SUMIFS($D:$D,$A:$A,$A770,$B:$B,"&lt;&gt;Patrícia Karla de Sousa Araújo",$B:$B,"&lt;&gt;Lorena Dias de Araujo",$B:$B,"&lt;&gt;Lucas Luiz Romero")*(23/1083),IF(C770="JR",SUMIFS($D:$D,$A:$A,$A770,$B:$B,"&lt;&gt;Patrícia Karla de Sousa Araújo",$B:$B,"&lt;&gt;Lorena Dias de Araujo",$B:$B,"&lt;&gt;Lucas Luiz Romero")*(20/1083),IF(C770="Estágio",SUMIFS($D:$D,$A:$A,$A770,$B:$B,"&lt;&gt;Patrícia Karla de Sousa Araújo",$B:$B,"&lt;&gt;Lorena Dias de Araujo",$B:$B,"&lt;&gt;Lucas Luiz Romero")*(10/1083),0)))))),0)</f>
        <v>21</v>
      </c>
      <c r="K770" s="3">
        <f>I770-J770</f>
        <v>-6</v>
      </c>
      <c r="L770" s="3" t="str">
        <f>IF(K770&lt;-5,"CRÍTICO",IF(K770&lt;0,"ATENÇÃO",IF(K770&lt;=5,"OPORTUNO","MUITO BOM")))</f>
        <v>CRÍTICO</v>
      </c>
      <c r="M770" s="3">
        <v>13</v>
      </c>
      <c r="N770" s="3">
        <v>100</v>
      </c>
      <c r="O770" s="3">
        <v>20.183486238532112</v>
      </c>
    </row>
    <row r="771" spans="1:15" hidden="1" x14ac:dyDescent="0.25">
      <c r="A771" s="5">
        <v>46160</v>
      </c>
      <c r="B771" s="6" t="s">
        <v>59</v>
      </c>
      <c r="C771" s="1" t="s">
        <v>23</v>
      </c>
      <c r="D771" s="3">
        <v>18</v>
      </c>
      <c r="E771" s="3">
        <v>17</v>
      </c>
      <c r="F771" s="3">
        <v>20.190000000000001</v>
      </c>
      <c r="G771" s="3">
        <v>2</v>
      </c>
      <c r="H771" s="3">
        <v>0</v>
      </c>
      <c r="I771" s="3">
        <f>E771+G771+H771</f>
        <v>19</v>
      </c>
      <c r="J771" s="3">
        <f>ROUND(MIN(IF(C771="Técnico III",35,IF(C771="Técnico II",28,IF(C771="Técnico I",23,IF(C771="JR",20,IF(C771="Estágio",10,0))))),IF(C771="Técnico III",SUMIFS($D:$D,$A:$A,$A771,$B:$B,"&lt;&gt;Patrícia Karla de Sousa Araújo",$B:$B,"&lt;&gt;Lorena Dias de Araujo",$B:$B,"&lt;&gt;Lucas Luiz Romero")*(35/1083),IF(C771="Técnico II",SUMIFS($D:$D,$A:$A,$A771,$B:$B,"&lt;&gt;Patrícia Karla de Sousa Araújo",$B:$B,"&lt;&gt;Lorena Dias de Araujo",$B:$B,"&lt;&gt;Lucas Luiz Romero")*(28/1083),IF(C771="Técnico I",SUMIFS($D:$D,$A:$A,$A771,$B:$B,"&lt;&gt;Patrícia Karla de Sousa Araújo",$B:$B,"&lt;&gt;Lorena Dias de Araujo",$B:$B,"&lt;&gt;Lucas Luiz Romero")*(23/1083),IF(C771="JR",SUMIFS($D:$D,$A:$A,$A771,$B:$B,"&lt;&gt;Patrícia Karla de Sousa Araújo",$B:$B,"&lt;&gt;Lorena Dias de Araujo",$B:$B,"&lt;&gt;Lucas Luiz Romero")*(20/1083),IF(C771="Estágio",SUMIFS($D:$D,$A:$A,$A771,$B:$B,"&lt;&gt;Patrícia Karla de Sousa Araújo",$B:$B,"&lt;&gt;Lorena Dias de Araujo",$B:$B,"&lt;&gt;Lucas Luiz Romero")*(10/1083),0)))))),0)</f>
        <v>17</v>
      </c>
      <c r="K771" s="3">
        <f>I771-J771</f>
        <v>2</v>
      </c>
      <c r="L771" s="3" t="str">
        <f>IF(K771&lt;-5,"CRÍTICO",IF(K771&lt;0,"ATENÇÃO",IF(K771&lt;=5,"OPORTUNO","MUITO BOM")))</f>
        <v>OPORTUNO</v>
      </c>
      <c r="M771" s="3">
        <v>18</v>
      </c>
      <c r="N771" s="3">
        <v>96.25</v>
      </c>
      <c r="O771" s="3">
        <v>25.586353944562902</v>
      </c>
    </row>
    <row r="772" spans="1:15" hidden="1" x14ac:dyDescent="0.25">
      <c r="A772" s="5">
        <v>46160</v>
      </c>
      <c r="B772" s="6" t="s">
        <v>60</v>
      </c>
      <c r="C772" s="1" t="s">
        <v>23</v>
      </c>
      <c r="D772" s="3">
        <v>22</v>
      </c>
      <c r="E772" s="3">
        <v>21</v>
      </c>
      <c r="F772" s="3">
        <v>20.04</v>
      </c>
      <c r="G772" s="3">
        <v>3</v>
      </c>
      <c r="H772" s="3">
        <v>0</v>
      </c>
      <c r="I772" s="3">
        <f>E772+G772+H772</f>
        <v>24</v>
      </c>
      <c r="J772" s="3">
        <f>ROUND(MIN(IF(C772="Técnico III",35,IF(C772="Técnico II",28,IF(C772="Técnico I",23,IF(C772="JR",20,IF(C772="Estágio",10,0))))),IF(C772="Técnico III",SUMIFS($D:$D,$A:$A,$A772,$B:$B,"&lt;&gt;Patrícia Karla de Sousa Araújo",$B:$B,"&lt;&gt;Lorena Dias de Araujo",$B:$B,"&lt;&gt;Lucas Luiz Romero")*(35/1083),IF(C772="Técnico II",SUMIFS($D:$D,$A:$A,$A772,$B:$B,"&lt;&gt;Patrícia Karla de Sousa Araújo",$B:$B,"&lt;&gt;Lorena Dias de Araujo",$B:$B,"&lt;&gt;Lucas Luiz Romero")*(28/1083),IF(C772="Técnico I",SUMIFS($D:$D,$A:$A,$A772,$B:$B,"&lt;&gt;Patrícia Karla de Sousa Araújo",$B:$B,"&lt;&gt;Lorena Dias de Araujo",$B:$B,"&lt;&gt;Lucas Luiz Romero")*(23/1083),IF(C772="JR",SUMIFS($D:$D,$A:$A,$A772,$B:$B,"&lt;&gt;Patrícia Karla de Sousa Araújo",$B:$B,"&lt;&gt;Lorena Dias de Araujo",$B:$B,"&lt;&gt;Lucas Luiz Romero")*(20/1083),IF(C772="Estágio",SUMIFS($D:$D,$A:$A,$A772,$B:$B,"&lt;&gt;Patrícia Karla de Sousa Araújo",$B:$B,"&lt;&gt;Lorena Dias de Araujo",$B:$B,"&lt;&gt;Lucas Luiz Romero")*(10/1083),0)))))),0)</f>
        <v>17</v>
      </c>
      <c r="K772" s="3">
        <f>I772-J772</f>
        <v>7</v>
      </c>
      <c r="L772" s="3" t="str">
        <f>IF(K772&lt;-5,"CRÍTICO",IF(K772&lt;0,"ATENÇÃO",IF(K772&lt;=5,"OPORTUNO","MUITO BOM")))</f>
        <v>MUITO BOM</v>
      </c>
      <c r="M772" s="3">
        <v>22</v>
      </c>
      <c r="N772" s="3">
        <v>97.48</v>
      </c>
      <c r="O772" s="3">
        <v>22.99465240641711</v>
      </c>
    </row>
    <row r="773" spans="1:15" hidden="1" x14ac:dyDescent="0.25">
      <c r="A773" s="5">
        <v>46160</v>
      </c>
      <c r="B773" s="6" t="s">
        <v>61</v>
      </c>
      <c r="C773" s="1" t="s">
        <v>23</v>
      </c>
      <c r="D773" s="3">
        <v>20</v>
      </c>
      <c r="E773" s="3">
        <v>19</v>
      </c>
      <c r="F773" s="3">
        <v>18.52</v>
      </c>
      <c r="G773" s="3">
        <v>3</v>
      </c>
      <c r="H773" s="3">
        <v>0</v>
      </c>
      <c r="I773" s="3">
        <f>E773+G773+H773</f>
        <v>22</v>
      </c>
      <c r="J773" s="3">
        <f>ROUND(MIN(IF(C773="Técnico III",35,IF(C773="Técnico II",28,IF(C773="Técnico I",23,IF(C773="JR",20,IF(C773="Estágio",10,0))))),IF(C773="Técnico III",SUMIFS($D:$D,$A:$A,$A773,$B:$B,"&lt;&gt;Patrícia Karla de Sousa Araújo",$B:$B,"&lt;&gt;Lorena Dias de Araujo",$B:$B,"&lt;&gt;Lucas Luiz Romero")*(35/1083),IF(C773="Técnico II",SUMIFS($D:$D,$A:$A,$A773,$B:$B,"&lt;&gt;Patrícia Karla de Sousa Araújo",$B:$B,"&lt;&gt;Lorena Dias de Araujo",$B:$B,"&lt;&gt;Lucas Luiz Romero")*(28/1083),IF(C773="Técnico I",SUMIFS($D:$D,$A:$A,$A773,$B:$B,"&lt;&gt;Patrícia Karla de Sousa Araújo",$B:$B,"&lt;&gt;Lorena Dias de Araujo",$B:$B,"&lt;&gt;Lucas Luiz Romero")*(23/1083),IF(C773="JR",SUMIFS($D:$D,$A:$A,$A773,$B:$B,"&lt;&gt;Patrícia Karla de Sousa Araújo",$B:$B,"&lt;&gt;Lorena Dias de Araujo",$B:$B,"&lt;&gt;Lucas Luiz Romero")*(20/1083),IF(C773="Estágio",SUMIFS($D:$D,$A:$A,$A773,$B:$B,"&lt;&gt;Patrícia Karla de Sousa Araújo",$B:$B,"&lt;&gt;Lorena Dias de Araujo",$B:$B,"&lt;&gt;Lucas Luiz Romero")*(10/1083),0)))))),0)</f>
        <v>17</v>
      </c>
      <c r="K773" s="3">
        <f>I773-J773</f>
        <v>5</v>
      </c>
      <c r="L773" s="3" t="str">
        <f>IF(K773&lt;-5,"CRÍTICO",IF(K773&lt;0,"ATENÇÃO",IF(K773&lt;=5,"OPORTUNO","MUITO BOM")))</f>
        <v>OPORTUNO</v>
      </c>
      <c r="M773" s="3">
        <v>18</v>
      </c>
      <c r="N773" s="3">
        <v>100</v>
      </c>
      <c r="O773" s="3">
        <v>20.788530465949819</v>
      </c>
    </row>
    <row r="774" spans="1:15" hidden="1" x14ac:dyDescent="0.25">
      <c r="A774" s="11">
        <v>46024</v>
      </c>
      <c r="B774" t="s">
        <v>47</v>
      </c>
      <c r="C774" t="s">
        <v>48</v>
      </c>
      <c r="D774">
        <v>21</v>
      </c>
      <c r="E774">
        <v>17</v>
      </c>
      <c r="F774">
        <v>12.2</v>
      </c>
      <c r="I774" s="3">
        <f>E774+G774+H774</f>
        <v>17</v>
      </c>
      <c r="J774" s="3">
        <f>ROUND(MIN(IF(C774="Técnico III",35,IF(C774="Técnico II",28,IF(C774="Técnico I",23,IF(C774="JR",20,IF(C774="Estágio",10,0))))),IF(C774="Técnico III",SUMIFS($D:$D,$A:$A,$A774,$B:$B,"&lt;&gt;Patrícia Karla de Sousa Araújo",$B:$B,"&lt;&gt;Lorena Dias de Araujo",$B:$B,"&lt;&gt;Lucas Luiz Romero")*(35/1083),IF(C774="Técnico II",SUMIFS($D:$D,$A:$A,$A774,$B:$B,"&lt;&gt;Patrícia Karla de Sousa Araújo",$B:$B,"&lt;&gt;Lorena Dias de Araujo",$B:$B,"&lt;&gt;Lucas Luiz Romero")*(28/1083),IF(C774="Técnico I",SUMIFS($D:$D,$A:$A,$A774,$B:$B,"&lt;&gt;Patrícia Karla de Sousa Araújo",$B:$B,"&lt;&gt;Lorena Dias de Araujo",$B:$B,"&lt;&gt;Lucas Luiz Romero")*(23/1083),IF(C774="JR",SUMIFS($D:$D,$A:$A,$A774,$B:$B,"&lt;&gt;Patrícia Karla de Sousa Araújo",$B:$B,"&lt;&gt;Lorena Dias de Araujo",$B:$B,"&lt;&gt;Lucas Luiz Romero")*(20/1083),IF(C774="Estágio",SUMIFS($D:$D,$A:$A,$A774,$B:$B,"&lt;&gt;Patrícia Karla de Sousa Araújo",$B:$B,"&lt;&gt;Lorena Dias de Araujo",$B:$B,"&lt;&gt;Lucas Luiz Romero")*(10/1083),0)))))),0)</f>
        <v>11</v>
      </c>
      <c r="K774" s="3">
        <f>I774-J774</f>
        <v>6</v>
      </c>
      <c r="L774" s="3" t="str">
        <f>IF(K774&lt;-5,"CRÍTICO",IF(K774&lt;0,"ATENÇÃO",IF(K774&lt;=5,"BOM","EXCELENTE")))</f>
        <v>EXCELENTE</v>
      </c>
      <c r="M774">
        <v>15</v>
      </c>
      <c r="N774">
        <v>96.81</v>
      </c>
      <c r="O774">
        <v>27.980535279805348</v>
      </c>
    </row>
    <row r="775" spans="1:15" hidden="1" x14ac:dyDescent="0.25">
      <c r="A775" s="11">
        <v>46024</v>
      </c>
      <c r="B775" t="s">
        <v>31</v>
      </c>
      <c r="C775" t="s">
        <v>32</v>
      </c>
      <c r="D775">
        <v>0</v>
      </c>
      <c r="E775">
        <v>0</v>
      </c>
      <c r="F775">
        <v>0</v>
      </c>
      <c r="G775">
        <v>0</v>
      </c>
      <c r="H775">
        <v>0</v>
      </c>
      <c r="I775" s="3">
        <v>0</v>
      </c>
      <c r="J775" s="3">
        <v>0</v>
      </c>
      <c r="K775" s="3">
        <v>0</v>
      </c>
      <c r="L775" s="3" t="str">
        <f>IF(K775&lt;-5,"CRÍTICO",IF(K775&lt;0,"ATENÇÃO",IF(K775&lt;=5,"BOM","EXCELENTE")))</f>
        <v>BOM</v>
      </c>
      <c r="M775">
        <v>21</v>
      </c>
      <c r="N775">
        <v>98.73</v>
      </c>
      <c r="O775">
        <v>35.756385068762278</v>
      </c>
    </row>
    <row r="776" spans="1:15" hidden="1" x14ac:dyDescent="0.25">
      <c r="A776" s="11">
        <v>46024</v>
      </c>
      <c r="B776" t="s">
        <v>59</v>
      </c>
      <c r="C776" t="s">
        <v>23</v>
      </c>
      <c r="D776">
        <v>21</v>
      </c>
      <c r="E776">
        <v>19</v>
      </c>
      <c r="F776">
        <v>20.149999999999999</v>
      </c>
      <c r="I776" s="3">
        <f>E776+G776+H776</f>
        <v>19</v>
      </c>
      <c r="J776" s="3">
        <f>ROUND(MIN(IF(C776="Técnico III",35,IF(C776="Técnico II",28,IF(C776="Técnico I",23,IF(C776="JR",20,IF(C776="Estágio",10,0))))),IF(C776="Técnico III",SUMIFS($D:$D,$A:$A,$A776,$B:$B,"&lt;&gt;Patrícia Karla de Sousa Araújo",$B:$B,"&lt;&gt;Lorena Dias de Araujo",$B:$B,"&lt;&gt;Lucas Luiz Romero")*(35/1083),IF(C776="Técnico II",SUMIFS($D:$D,$A:$A,$A776,$B:$B,"&lt;&gt;Patrícia Karla de Sousa Araújo",$B:$B,"&lt;&gt;Lorena Dias de Araujo",$B:$B,"&lt;&gt;Lucas Luiz Romero")*(28/1083),IF(C776="Técnico I",SUMIFS($D:$D,$A:$A,$A776,$B:$B,"&lt;&gt;Patrícia Karla de Sousa Araújo",$B:$B,"&lt;&gt;Lorena Dias de Araujo",$B:$B,"&lt;&gt;Lucas Luiz Romero")*(23/1083),IF(C776="JR",SUMIFS($D:$D,$A:$A,$A776,$B:$B,"&lt;&gt;Patrícia Karla de Sousa Araújo",$B:$B,"&lt;&gt;Lorena Dias de Araujo",$B:$B,"&lt;&gt;Lucas Luiz Romero")*(20/1083),IF(C776="Estágio",SUMIFS($D:$D,$A:$A,$A776,$B:$B,"&lt;&gt;Patrícia Karla de Sousa Araújo",$B:$B,"&lt;&gt;Lorena Dias de Araujo",$B:$B,"&lt;&gt;Lucas Luiz Romero")*(10/1083),0)))))),0)</f>
        <v>9</v>
      </c>
      <c r="K776" s="3">
        <f>I776-J776</f>
        <v>10</v>
      </c>
      <c r="L776" s="3" t="str">
        <f>IF(K776&lt;-5,"CRÍTICO",IF(K776&lt;0,"ATENÇÃO",IF(K776&lt;=5,"BOM","EXCELENTE")))</f>
        <v>EXCELENTE</v>
      </c>
      <c r="M776">
        <v>18</v>
      </c>
      <c r="N776">
        <v>98.32</v>
      </c>
      <c r="O776">
        <v>26.763485477178421</v>
      </c>
    </row>
    <row r="777" spans="1:15" hidden="1" x14ac:dyDescent="0.25">
      <c r="A777" s="11">
        <v>46024</v>
      </c>
      <c r="B777" t="s">
        <v>33</v>
      </c>
      <c r="C777" t="s">
        <v>32</v>
      </c>
      <c r="D777">
        <v>21</v>
      </c>
      <c r="E777">
        <v>20</v>
      </c>
      <c r="F777">
        <v>21.43</v>
      </c>
      <c r="I777" s="3">
        <f>E777+G777+H777</f>
        <v>20</v>
      </c>
      <c r="J777" s="3">
        <f>ROUND(MIN(IF(C777="Técnico III",35,IF(C777="Técnico II",28,IF(C777="Técnico I",23,IF(C777="JR",20,IF(C777="Estágio",10,0))))),IF(C777="Técnico III",SUMIFS($D:$D,$A:$A,$A777,$B:$B,"&lt;&gt;Patrícia Karla de Sousa Araújo",$B:$B,"&lt;&gt;Lorena Dias de Araujo",$B:$B,"&lt;&gt;Lucas Luiz Romero")*(35/1083),IF(C777="Técnico II",SUMIFS($D:$D,$A:$A,$A777,$B:$B,"&lt;&gt;Patrícia Karla de Sousa Araújo",$B:$B,"&lt;&gt;Lorena Dias de Araujo",$B:$B,"&lt;&gt;Lucas Luiz Romero")*(28/1083),IF(C777="Técnico I",SUMIFS($D:$D,$A:$A,$A777,$B:$B,"&lt;&gt;Patrícia Karla de Sousa Araújo",$B:$B,"&lt;&gt;Lorena Dias de Araujo",$B:$B,"&lt;&gt;Lucas Luiz Romero")*(23/1083),IF(C777="JR",SUMIFS($D:$D,$A:$A,$A777,$B:$B,"&lt;&gt;Patrícia Karla de Sousa Araújo",$B:$B,"&lt;&gt;Lorena Dias de Araujo",$B:$B,"&lt;&gt;Lucas Luiz Romero")*(20/1083),IF(C777="Estágio",SUMIFS($D:$D,$A:$A,$A777,$B:$B,"&lt;&gt;Patrícia Karla de Sousa Araújo",$B:$B,"&lt;&gt;Lorena Dias de Araujo",$B:$B,"&lt;&gt;Lucas Luiz Romero")*(10/1083),0)))))),0)</f>
        <v>14</v>
      </c>
      <c r="K777" s="3">
        <f>I777-J777</f>
        <v>6</v>
      </c>
      <c r="L777" s="3" t="str">
        <f>IF(K777&lt;-5,"CRÍTICO",IF(K777&lt;0,"ATENÇÃO",IF(K777&lt;=5,"BOM","EXCELENTE")))</f>
        <v>EXCELENTE</v>
      </c>
      <c r="M777">
        <v>17</v>
      </c>
      <c r="N777">
        <v>99.19</v>
      </c>
      <c r="O777">
        <v>27.637130801687761</v>
      </c>
    </row>
    <row r="778" spans="1:15" hidden="1" x14ac:dyDescent="0.25">
      <c r="A778" s="11">
        <v>46024</v>
      </c>
      <c r="B778" t="s">
        <v>15</v>
      </c>
      <c r="C778" t="s">
        <v>16</v>
      </c>
      <c r="D778">
        <v>0</v>
      </c>
      <c r="E778">
        <v>0</v>
      </c>
      <c r="F778">
        <v>0</v>
      </c>
      <c r="G778">
        <v>0</v>
      </c>
      <c r="H778">
        <v>0</v>
      </c>
      <c r="I778" s="3">
        <v>0</v>
      </c>
      <c r="J778" s="3">
        <v>0</v>
      </c>
      <c r="K778" s="3">
        <v>0</v>
      </c>
      <c r="L778" s="3" t="str">
        <f>IF(K778&lt;-5,"CRÍTICO",IF(K778&lt;0,"ATENÇÃO",IF(K778&lt;=5,"BOM","EXCELENTE")))</f>
        <v>BOM</v>
      </c>
      <c r="M778">
        <v>0</v>
      </c>
      <c r="N778">
        <v>100</v>
      </c>
      <c r="O778">
        <v>39.568345323741013</v>
      </c>
    </row>
    <row r="779" spans="1:15" hidden="1" x14ac:dyDescent="0.25">
      <c r="A779" s="11">
        <v>46024</v>
      </c>
      <c r="B779" t="s">
        <v>49</v>
      </c>
      <c r="C779" t="s">
        <v>48</v>
      </c>
      <c r="D779">
        <v>28</v>
      </c>
      <c r="E779">
        <v>25</v>
      </c>
      <c r="F779">
        <v>13.37</v>
      </c>
      <c r="I779" s="3">
        <f>E779+G779+H779</f>
        <v>25</v>
      </c>
      <c r="J779" s="3">
        <f>ROUND(MIN(IF(C779="Técnico III",35,IF(C779="Técnico II",28,IF(C779="Técnico I",23,IF(C779="JR",20,IF(C779="Estágio",10,0))))),IF(C779="Técnico III",SUMIFS($D:$D,$A:$A,$A779,$B:$B,"&lt;&gt;Patrícia Karla de Sousa Araújo",$B:$B,"&lt;&gt;Lorena Dias de Araujo",$B:$B,"&lt;&gt;Lucas Luiz Romero")*(35/1083),IF(C779="Técnico II",SUMIFS($D:$D,$A:$A,$A779,$B:$B,"&lt;&gt;Patrícia Karla de Sousa Araújo",$B:$B,"&lt;&gt;Lorena Dias de Araujo",$B:$B,"&lt;&gt;Lucas Luiz Romero")*(28/1083),IF(C779="Técnico I",SUMIFS($D:$D,$A:$A,$A779,$B:$B,"&lt;&gt;Patrícia Karla de Sousa Araújo",$B:$B,"&lt;&gt;Lorena Dias de Araujo",$B:$B,"&lt;&gt;Lucas Luiz Romero")*(23/1083),IF(C779="JR",SUMIFS($D:$D,$A:$A,$A779,$B:$B,"&lt;&gt;Patrícia Karla de Sousa Araújo",$B:$B,"&lt;&gt;Lorena Dias de Araujo",$B:$B,"&lt;&gt;Lucas Luiz Romero")*(20/1083),IF(C779="Estágio",SUMIFS($D:$D,$A:$A,$A779,$B:$B,"&lt;&gt;Patrícia Karla de Sousa Araújo",$B:$B,"&lt;&gt;Lorena Dias de Araujo",$B:$B,"&lt;&gt;Lucas Luiz Romero")*(10/1083),0)))))),0)</f>
        <v>11</v>
      </c>
      <c r="K779" s="3">
        <f>I779-J779</f>
        <v>14</v>
      </c>
      <c r="L779" s="3" t="str">
        <f>IF(K779&lt;-5,"CRÍTICO",IF(K779&lt;0,"ATENÇÃO",IF(K779&lt;=5,"BOM","EXCELENTE")))</f>
        <v>EXCELENTE</v>
      </c>
      <c r="M779">
        <v>23</v>
      </c>
      <c r="N779">
        <v>98.54</v>
      </c>
      <c r="O779">
        <v>28.544776119402989</v>
      </c>
    </row>
    <row r="780" spans="1:15" hidden="1" x14ac:dyDescent="0.25">
      <c r="A780" s="11">
        <v>46024</v>
      </c>
      <c r="B780" t="s">
        <v>50</v>
      </c>
      <c r="C780" t="s">
        <v>48</v>
      </c>
      <c r="D780">
        <v>22</v>
      </c>
      <c r="E780">
        <v>19</v>
      </c>
      <c r="F780">
        <v>16.579999999999998</v>
      </c>
      <c r="I780" s="3">
        <f>E780+G780+H780</f>
        <v>19</v>
      </c>
      <c r="J780" s="3">
        <f>ROUND(MIN(IF(C780="Técnico III",35,IF(C780="Técnico II",28,IF(C780="Técnico I",23,IF(C780="JR",20,IF(C780="Estágio",10,0))))),IF(C780="Técnico III",SUMIFS($D:$D,$A:$A,$A780,$B:$B,"&lt;&gt;Patrícia Karla de Sousa Araújo",$B:$B,"&lt;&gt;Lorena Dias de Araujo",$B:$B,"&lt;&gt;Lucas Luiz Romero")*(35/1083),IF(C780="Técnico II",SUMIFS($D:$D,$A:$A,$A780,$B:$B,"&lt;&gt;Patrícia Karla de Sousa Araújo",$B:$B,"&lt;&gt;Lorena Dias de Araujo",$B:$B,"&lt;&gt;Lucas Luiz Romero")*(28/1083),IF(C780="Técnico I",SUMIFS($D:$D,$A:$A,$A780,$B:$B,"&lt;&gt;Patrícia Karla de Sousa Araújo",$B:$B,"&lt;&gt;Lorena Dias de Araujo",$B:$B,"&lt;&gt;Lucas Luiz Romero")*(23/1083),IF(C780="JR",SUMIFS($D:$D,$A:$A,$A780,$B:$B,"&lt;&gt;Patrícia Karla de Sousa Araújo",$B:$B,"&lt;&gt;Lorena Dias de Araujo",$B:$B,"&lt;&gt;Lucas Luiz Romero")*(20/1083),IF(C780="Estágio",SUMIFS($D:$D,$A:$A,$A780,$B:$B,"&lt;&gt;Patrícia Karla de Sousa Araújo",$B:$B,"&lt;&gt;Lorena Dias de Araujo",$B:$B,"&lt;&gt;Lucas Luiz Romero")*(10/1083),0)))))),0)</f>
        <v>11</v>
      </c>
      <c r="K780" s="3">
        <f>I780-J780</f>
        <v>8</v>
      </c>
      <c r="L780" s="3" t="str">
        <f>IF(K780&lt;-5,"CRÍTICO",IF(K780&lt;0,"ATENÇÃO",IF(K780&lt;=5,"BOM","EXCELENTE")))</f>
        <v>EXCELENTE</v>
      </c>
      <c r="M780">
        <v>20</v>
      </c>
      <c r="N780">
        <v>100</v>
      </c>
      <c r="O780">
        <v>34.366925064599492</v>
      </c>
    </row>
    <row r="781" spans="1:15" hidden="1" x14ac:dyDescent="0.25">
      <c r="A781" s="11">
        <v>46024</v>
      </c>
      <c r="B781" t="s">
        <v>17</v>
      </c>
      <c r="C781" t="s">
        <v>16</v>
      </c>
      <c r="D781">
        <v>0</v>
      </c>
      <c r="E781">
        <v>0</v>
      </c>
      <c r="F781">
        <v>0</v>
      </c>
      <c r="G781">
        <v>0</v>
      </c>
      <c r="H781">
        <v>0</v>
      </c>
      <c r="I781" s="3">
        <v>0</v>
      </c>
      <c r="J781" s="3">
        <v>0</v>
      </c>
      <c r="K781" s="3">
        <v>0</v>
      </c>
      <c r="L781" s="3" t="str">
        <f>IF(K781&lt;-5,"CRÍTICO",IF(K781&lt;0,"ATENÇÃO",IF(K781&lt;=5,"BOM","EXCELENTE")))</f>
        <v>BOM</v>
      </c>
      <c r="M781">
        <v>0</v>
      </c>
      <c r="N781">
        <v>0</v>
      </c>
      <c r="O781">
        <v>0</v>
      </c>
    </row>
    <row r="782" spans="1:15" hidden="1" x14ac:dyDescent="0.25">
      <c r="A782" s="11">
        <v>46024</v>
      </c>
      <c r="B782" t="s">
        <v>60</v>
      </c>
      <c r="C782" t="s">
        <v>23</v>
      </c>
      <c r="D782">
        <v>0</v>
      </c>
      <c r="E782">
        <v>0</v>
      </c>
      <c r="F782">
        <v>0</v>
      </c>
      <c r="G782">
        <v>0</v>
      </c>
      <c r="H782">
        <v>0</v>
      </c>
      <c r="I782" s="3">
        <v>0</v>
      </c>
      <c r="J782" s="3">
        <v>0</v>
      </c>
      <c r="K782" s="3">
        <v>0</v>
      </c>
      <c r="L782" s="3" t="str">
        <f>IF(K782&lt;-5,"CRÍTICO",IF(K782&lt;0,"ATENÇÃO",IF(K782&lt;=5,"BOM","EXCELENTE")))</f>
        <v>BOM</v>
      </c>
      <c r="M782">
        <v>0</v>
      </c>
      <c r="N782">
        <v>100</v>
      </c>
      <c r="O782">
        <v>29.518072289156631</v>
      </c>
    </row>
    <row r="783" spans="1:15" hidden="1" x14ac:dyDescent="0.25">
      <c r="A783" s="11">
        <v>46024</v>
      </c>
      <c r="B783" t="s">
        <v>34</v>
      </c>
      <c r="C783" t="s">
        <v>32</v>
      </c>
      <c r="D783">
        <v>0</v>
      </c>
      <c r="E783">
        <v>0</v>
      </c>
      <c r="F783">
        <v>0</v>
      </c>
      <c r="G783">
        <v>0</v>
      </c>
      <c r="H783">
        <v>0</v>
      </c>
      <c r="I783" s="3">
        <v>0</v>
      </c>
      <c r="J783" s="3">
        <v>0</v>
      </c>
      <c r="K783" s="3">
        <v>0</v>
      </c>
      <c r="L783" s="3" t="str">
        <f>IF(K783&lt;-5,"CRÍTICO",IF(K783&lt;0,"ATENÇÃO",IF(K783&lt;=5,"BOM","EXCELENTE")))</f>
        <v>BOM</v>
      </c>
      <c r="M783">
        <v>0</v>
      </c>
      <c r="N783">
        <v>97.45</v>
      </c>
      <c r="O783">
        <v>41.421143847487002</v>
      </c>
    </row>
    <row r="784" spans="1:15" hidden="1" x14ac:dyDescent="0.25">
      <c r="A784" s="11">
        <v>46024</v>
      </c>
      <c r="B784" t="s">
        <v>51</v>
      </c>
      <c r="C784" t="s">
        <v>48</v>
      </c>
      <c r="D784">
        <v>25</v>
      </c>
      <c r="E784">
        <v>16</v>
      </c>
      <c r="F784">
        <v>8.3699999999999992</v>
      </c>
      <c r="G784">
        <v>0</v>
      </c>
      <c r="H784">
        <v>0</v>
      </c>
      <c r="I784" s="3">
        <v>0</v>
      </c>
      <c r="J784" s="3">
        <v>0</v>
      </c>
      <c r="K784" s="3">
        <v>0</v>
      </c>
      <c r="L784" s="3" t="str">
        <f>IF(K784&lt;-5,"CRÍTICO",IF(K784&lt;0,"ATENÇÃO",IF(K784&lt;=5,"BOM","EXCELENTE")))</f>
        <v>BOM</v>
      </c>
      <c r="M784">
        <v>13</v>
      </c>
      <c r="N784">
        <v>96.58</v>
      </c>
      <c r="O784">
        <v>30.396475770925111</v>
      </c>
    </row>
    <row r="785" spans="1:15" hidden="1" x14ac:dyDescent="0.25">
      <c r="A785" s="11">
        <v>46024</v>
      </c>
      <c r="B785" t="s">
        <v>61</v>
      </c>
      <c r="C785" t="s">
        <v>23</v>
      </c>
      <c r="D785">
        <v>14</v>
      </c>
      <c r="E785">
        <v>14</v>
      </c>
      <c r="F785">
        <v>26.53</v>
      </c>
      <c r="I785" s="3">
        <f>E785+G785+H785</f>
        <v>14</v>
      </c>
      <c r="J785" s="3">
        <f>ROUND(MIN(IF(C785="Técnico III",35,IF(C785="Técnico II",28,IF(C785="Técnico I",23,IF(C785="JR",20,IF(C785="Estágio",10,0))))),IF(C785="Técnico III",SUMIFS($D:$D,$A:$A,$A785,$B:$B,"&lt;&gt;Patrícia Karla de Sousa Araújo",$B:$B,"&lt;&gt;Lorena Dias de Araujo",$B:$B,"&lt;&gt;Lucas Luiz Romero")*(35/1083),IF(C785="Técnico II",SUMIFS($D:$D,$A:$A,$A785,$B:$B,"&lt;&gt;Patrícia Karla de Sousa Araújo",$B:$B,"&lt;&gt;Lorena Dias de Araujo",$B:$B,"&lt;&gt;Lucas Luiz Romero")*(28/1083),IF(C785="Técnico I",SUMIFS($D:$D,$A:$A,$A785,$B:$B,"&lt;&gt;Patrícia Karla de Sousa Araújo",$B:$B,"&lt;&gt;Lorena Dias de Araujo",$B:$B,"&lt;&gt;Lucas Luiz Romero")*(23/1083),IF(C785="JR",SUMIFS($D:$D,$A:$A,$A785,$B:$B,"&lt;&gt;Patrícia Karla de Sousa Araújo",$B:$B,"&lt;&gt;Lorena Dias de Araujo",$B:$B,"&lt;&gt;Lucas Luiz Romero")*(20/1083),IF(C785="Estágio",SUMIFS($D:$D,$A:$A,$A785,$B:$B,"&lt;&gt;Patrícia Karla de Sousa Araújo",$B:$B,"&lt;&gt;Lorena Dias de Araujo",$B:$B,"&lt;&gt;Lucas Luiz Romero")*(10/1083),0)))))),0)</f>
        <v>9</v>
      </c>
      <c r="K785" s="3">
        <f>I785-J785</f>
        <v>5</v>
      </c>
      <c r="L785" s="3" t="str">
        <f>IF(K785&lt;-5,"CRÍTICO",IF(K785&lt;0,"ATENÇÃO",IF(K785&lt;=5,"BOM","EXCELENTE")))</f>
        <v>BOM</v>
      </c>
      <c r="M785">
        <v>14</v>
      </c>
      <c r="N785">
        <v>100</v>
      </c>
      <c r="O785">
        <v>27.44282744282744</v>
      </c>
    </row>
    <row r="786" spans="1:15" hidden="1" x14ac:dyDescent="0.25">
      <c r="A786" s="11">
        <v>46024</v>
      </c>
      <c r="B786" t="s">
        <v>35</v>
      </c>
      <c r="C786" t="s">
        <v>32</v>
      </c>
      <c r="D786">
        <v>18</v>
      </c>
      <c r="E786">
        <v>16</v>
      </c>
      <c r="F786">
        <v>27.31</v>
      </c>
      <c r="G786">
        <v>0</v>
      </c>
      <c r="H786">
        <v>0</v>
      </c>
      <c r="I786" s="3">
        <v>0</v>
      </c>
      <c r="J786" s="3">
        <v>0</v>
      </c>
      <c r="K786" s="3">
        <v>0</v>
      </c>
      <c r="L786" s="3" t="str">
        <f>IF(K786&lt;-5,"CRÍTICO",IF(K786&lt;0,"ATENÇÃO",IF(K786&lt;=5,"BOM","EXCELENTE")))</f>
        <v>BOM</v>
      </c>
      <c r="M786">
        <v>16</v>
      </c>
      <c r="N786">
        <v>99.49</v>
      </c>
      <c r="O786">
        <v>40.200000000000003</v>
      </c>
    </row>
    <row r="787" spans="1:15" hidden="1" x14ac:dyDescent="0.25">
      <c r="A787" s="11">
        <v>46024</v>
      </c>
      <c r="B787" t="s">
        <v>18</v>
      </c>
      <c r="C787" t="s">
        <v>16</v>
      </c>
      <c r="D787">
        <v>0</v>
      </c>
      <c r="E787">
        <v>0</v>
      </c>
      <c r="F787">
        <v>0</v>
      </c>
      <c r="G787">
        <v>0</v>
      </c>
      <c r="H787">
        <v>0</v>
      </c>
      <c r="I787" s="3">
        <v>0</v>
      </c>
      <c r="J787" s="3">
        <v>0</v>
      </c>
      <c r="K787" s="3">
        <v>0</v>
      </c>
      <c r="L787" s="3" t="str">
        <f>IF(K787&lt;-5,"CRÍTICO",IF(K787&lt;0,"ATENÇÃO",IF(K787&lt;=5,"BOM","EXCELENTE")))</f>
        <v>BOM</v>
      </c>
      <c r="M787">
        <v>0</v>
      </c>
      <c r="N787">
        <v>100</v>
      </c>
      <c r="O787">
        <v>25</v>
      </c>
    </row>
    <row r="788" spans="1:15" hidden="1" x14ac:dyDescent="0.25">
      <c r="A788" s="11">
        <v>46024</v>
      </c>
      <c r="B788" t="s">
        <v>52</v>
      </c>
      <c r="C788" t="s">
        <v>48</v>
      </c>
      <c r="D788">
        <v>27</v>
      </c>
      <c r="E788">
        <v>26</v>
      </c>
      <c r="F788">
        <v>12.32</v>
      </c>
      <c r="I788" s="3">
        <f>E788+G788+H788</f>
        <v>26</v>
      </c>
      <c r="J788" s="3">
        <f>ROUND(MIN(IF(C788="Técnico III",35,IF(C788="Técnico II",28,IF(C788="Técnico I",23,IF(C788="JR",20,IF(C788="Estágio",10,0))))),IF(C788="Técnico III",SUMIFS($D:$D,$A:$A,$A788,$B:$B,"&lt;&gt;Patrícia Karla de Sousa Araújo",$B:$B,"&lt;&gt;Lorena Dias de Araujo",$B:$B,"&lt;&gt;Lucas Luiz Romero")*(35/1083),IF(C788="Técnico II",SUMIFS($D:$D,$A:$A,$A788,$B:$B,"&lt;&gt;Patrícia Karla de Sousa Araújo",$B:$B,"&lt;&gt;Lorena Dias de Araujo",$B:$B,"&lt;&gt;Lucas Luiz Romero")*(28/1083),IF(C788="Técnico I",SUMIFS($D:$D,$A:$A,$A788,$B:$B,"&lt;&gt;Patrícia Karla de Sousa Araújo",$B:$B,"&lt;&gt;Lorena Dias de Araujo",$B:$B,"&lt;&gt;Lucas Luiz Romero")*(23/1083),IF(C788="JR",SUMIFS($D:$D,$A:$A,$A788,$B:$B,"&lt;&gt;Patrícia Karla de Sousa Araújo",$B:$B,"&lt;&gt;Lorena Dias de Araujo",$B:$B,"&lt;&gt;Lucas Luiz Romero")*(20/1083),IF(C788="Estágio",SUMIFS($D:$D,$A:$A,$A788,$B:$B,"&lt;&gt;Patrícia Karla de Sousa Araújo",$B:$B,"&lt;&gt;Lorena Dias de Araujo",$B:$B,"&lt;&gt;Lucas Luiz Romero")*(10/1083),0)))))),0)</f>
        <v>11</v>
      </c>
      <c r="K788" s="3">
        <f>I788-J788</f>
        <v>15</v>
      </c>
      <c r="L788" s="3" t="str">
        <f>IF(K788&lt;-5,"CRÍTICO",IF(K788&lt;0,"ATENÇÃO",IF(K788&lt;=5,"BOM","EXCELENTE")))</f>
        <v>EXCELENTE</v>
      </c>
      <c r="M788">
        <v>24</v>
      </c>
      <c r="N788">
        <v>100</v>
      </c>
      <c r="O788">
        <v>34.15094339622641</v>
      </c>
    </row>
    <row r="789" spans="1:15" hidden="1" x14ac:dyDescent="0.25">
      <c r="A789" s="11">
        <v>46024</v>
      </c>
      <c r="B789" t="s">
        <v>36</v>
      </c>
      <c r="C789" t="s">
        <v>32</v>
      </c>
      <c r="D789">
        <v>17</v>
      </c>
      <c r="E789">
        <v>17</v>
      </c>
      <c r="F789">
        <v>16.5</v>
      </c>
      <c r="I789" s="3">
        <f>E789+G789+H789</f>
        <v>17</v>
      </c>
      <c r="J789" s="3">
        <f>ROUND(MIN(IF(C789="Técnico III",35,IF(C789="Técnico II",28,IF(C789="Técnico I",23,IF(C789="JR",20,IF(C789="Estágio",10,0))))),IF(C789="Técnico III",SUMIFS($D:$D,$A:$A,$A789,$B:$B,"&lt;&gt;Patrícia Karla de Sousa Araújo",$B:$B,"&lt;&gt;Lorena Dias de Araujo",$B:$B,"&lt;&gt;Lucas Luiz Romero")*(35/1083),IF(C789="Técnico II",SUMIFS($D:$D,$A:$A,$A789,$B:$B,"&lt;&gt;Patrícia Karla de Sousa Araújo",$B:$B,"&lt;&gt;Lorena Dias de Araujo",$B:$B,"&lt;&gt;Lucas Luiz Romero")*(28/1083),IF(C789="Técnico I",SUMIFS($D:$D,$A:$A,$A789,$B:$B,"&lt;&gt;Patrícia Karla de Sousa Araújo",$B:$B,"&lt;&gt;Lorena Dias de Araujo",$B:$B,"&lt;&gt;Lucas Luiz Romero")*(23/1083),IF(C789="JR",SUMIFS($D:$D,$A:$A,$A789,$B:$B,"&lt;&gt;Patrícia Karla de Sousa Araújo",$B:$B,"&lt;&gt;Lorena Dias de Araujo",$B:$B,"&lt;&gt;Lucas Luiz Romero")*(20/1083),IF(C789="Estágio",SUMIFS($D:$D,$A:$A,$A789,$B:$B,"&lt;&gt;Patrícia Karla de Sousa Araújo",$B:$B,"&lt;&gt;Lorena Dias de Araujo",$B:$B,"&lt;&gt;Lucas Luiz Romero")*(10/1083),0)))))),0)</f>
        <v>14</v>
      </c>
      <c r="K789" s="3">
        <f>I789-J789</f>
        <v>3</v>
      </c>
      <c r="L789" s="3" t="str">
        <f>IF(K789&lt;-5,"CRÍTICO",IF(K789&lt;0,"ATENÇÃO",IF(K789&lt;=5,"BOM","EXCELENTE")))</f>
        <v>BOM</v>
      </c>
      <c r="M789">
        <v>15</v>
      </c>
      <c r="N789">
        <v>100</v>
      </c>
      <c r="O789">
        <v>32.731376975169297</v>
      </c>
    </row>
    <row r="790" spans="1:15" hidden="1" x14ac:dyDescent="0.25">
      <c r="A790" s="11">
        <v>46024</v>
      </c>
      <c r="B790" t="s">
        <v>53</v>
      </c>
      <c r="C790" t="s">
        <v>48</v>
      </c>
      <c r="D790">
        <v>27</v>
      </c>
      <c r="E790">
        <v>25</v>
      </c>
      <c r="F790">
        <v>14.1</v>
      </c>
      <c r="I790" s="3">
        <f>E790+G790+H790</f>
        <v>25</v>
      </c>
      <c r="J790" s="3">
        <f>ROUND(MIN(IF(C790="Técnico III",35,IF(C790="Técnico II",28,IF(C790="Técnico I",23,IF(C790="JR",20,IF(C790="Estágio",10,0))))),IF(C790="Técnico III",SUMIFS($D:$D,$A:$A,$A790,$B:$B,"&lt;&gt;Patrícia Karla de Sousa Araújo",$B:$B,"&lt;&gt;Lorena Dias de Araujo",$B:$B,"&lt;&gt;Lucas Luiz Romero")*(35/1083),IF(C790="Técnico II",SUMIFS($D:$D,$A:$A,$A790,$B:$B,"&lt;&gt;Patrícia Karla de Sousa Araújo",$B:$B,"&lt;&gt;Lorena Dias de Araujo",$B:$B,"&lt;&gt;Lucas Luiz Romero")*(28/1083),IF(C790="Técnico I",SUMIFS($D:$D,$A:$A,$A790,$B:$B,"&lt;&gt;Patrícia Karla de Sousa Araújo",$B:$B,"&lt;&gt;Lorena Dias de Araujo",$B:$B,"&lt;&gt;Lucas Luiz Romero")*(23/1083),IF(C790="JR",SUMIFS($D:$D,$A:$A,$A790,$B:$B,"&lt;&gt;Patrícia Karla de Sousa Araújo",$B:$B,"&lt;&gt;Lorena Dias de Araujo",$B:$B,"&lt;&gt;Lucas Luiz Romero")*(20/1083),IF(C790="Estágio",SUMIFS($D:$D,$A:$A,$A790,$B:$B,"&lt;&gt;Patrícia Karla de Sousa Araújo",$B:$B,"&lt;&gt;Lorena Dias de Araujo",$B:$B,"&lt;&gt;Lucas Luiz Romero")*(10/1083),0)))))),0)</f>
        <v>11</v>
      </c>
      <c r="K790" s="3">
        <f>I790-J790</f>
        <v>14</v>
      </c>
      <c r="L790" s="3" t="str">
        <f>IF(K790&lt;-5,"CRÍTICO",IF(K790&lt;0,"ATENÇÃO",IF(K790&lt;=5,"BOM","EXCELENTE")))</f>
        <v>EXCELENTE</v>
      </c>
      <c r="M790">
        <v>21</v>
      </c>
      <c r="N790">
        <v>99.31</v>
      </c>
      <c r="O790">
        <v>30.96234309623431</v>
      </c>
    </row>
    <row r="791" spans="1:15" hidden="1" x14ac:dyDescent="0.25">
      <c r="A791" s="11">
        <v>46058</v>
      </c>
      <c r="B791" t="s">
        <v>22</v>
      </c>
      <c r="C791" t="s">
        <v>23</v>
      </c>
      <c r="D791">
        <v>27</v>
      </c>
      <c r="E791">
        <v>26</v>
      </c>
      <c r="F791">
        <v>20.02</v>
      </c>
      <c r="G791">
        <v>0</v>
      </c>
      <c r="H791">
        <v>0</v>
      </c>
      <c r="I791" s="3">
        <f>E791+G791+H791</f>
        <v>26</v>
      </c>
      <c r="J791" s="3">
        <f>ROUND(MIN(IF(C791="Técnico III",35,IF(C791="Técnico II",28,IF(C791="Técnico I",23,IF(C791="JR",20,IF(C791="Estágio",10,0))))),IF(C791="Técnico III",SUMIFS($D:$D,$A:$A,$A791,$B:$B,"&lt;&gt;Patrícia Karla de Sousa Araújo",$B:$B,"&lt;&gt;Lorena Dias de Araujo",$B:$B,"&lt;&gt;Lucas Luiz Romero")*(35/1083),IF(C791="Técnico II",SUMIFS($D:$D,$A:$A,$A791,$B:$B,"&lt;&gt;Patrícia Karla de Sousa Araújo",$B:$B,"&lt;&gt;Lorena Dias de Araujo",$B:$B,"&lt;&gt;Lucas Luiz Romero")*(28/1083),IF(C791="Técnico I",SUMIFS($D:$D,$A:$A,$A791,$B:$B,"&lt;&gt;Patrícia Karla de Sousa Araújo",$B:$B,"&lt;&gt;Lorena Dias de Araujo",$B:$B,"&lt;&gt;Lucas Luiz Romero")*(23/1083),IF(C791="JR",SUMIFS($D:$D,$A:$A,$A791,$B:$B,"&lt;&gt;Patrícia Karla de Sousa Araújo",$B:$B,"&lt;&gt;Lorena Dias de Araujo",$B:$B,"&lt;&gt;Lucas Luiz Romero")*(20/1083),IF(C791="Estágio",SUMIFS($D:$D,$A:$A,$A791,$B:$B,"&lt;&gt;Patrícia Karla de Sousa Araújo",$B:$B,"&lt;&gt;Lorena Dias de Araujo",$B:$B,"&lt;&gt;Lucas Luiz Romero")*(10/1083),0)))))),0)</f>
        <v>23</v>
      </c>
      <c r="K791" s="3">
        <f>I791-J791</f>
        <v>3</v>
      </c>
      <c r="L791" s="3" t="str">
        <f>IF(K791&lt;-5,"CRÍTICO",IF(K791&lt;0,"ATENÇÃO",IF(K791&lt;=5,"BOM","EXCELENTE")))</f>
        <v>BOM</v>
      </c>
      <c r="M791">
        <v>27</v>
      </c>
      <c r="N791">
        <v>96.67</v>
      </c>
      <c r="O791">
        <v>31.451612903225811</v>
      </c>
    </row>
    <row r="792" spans="1:15" hidden="1" x14ac:dyDescent="0.25">
      <c r="A792" s="11">
        <v>46024</v>
      </c>
      <c r="B792" t="s">
        <v>54</v>
      </c>
      <c r="C792" t="s">
        <v>48</v>
      </c>
      <c r="D792">
        <v>21</v>
      </c>
      <c r="E792">
        <v>21</v>
      </c>
      <c r="F792">
        <v>20.28</v>
      </c>
      <c r="I792" s="3">
        <f>E792+G792+H792</f>
        <v>21</v>
      </c>
      <c r="J792" s="3">
        <f>ROUND(MIN(IF(C792="Técnico III",35,IF(C792="Técnico II",28,IF(C792="Técnico I",23,IF(C792="JR",20,IF(C792="Estágio",10,0))))),IF(C792="Técnico III",SUMIFS($D:$D,$A:$A,$A792,$B:$B,"&lt;&gt;Patrícia Karla de Sousa Araújo",$B:$B,"&lt;&gt;Lorena Dias de Araujo",$B:$B,"&lt;&gt;Lucas Luiz Romero")*(35/1083),IF(C792="Técnico II",SUMIFS($D:$D,$A:$A,$A792,$B:$B,"&lt;&gt;Patrícia Karla de Sousa Araújo",$B:$B,"&lt;&gt;Lorena Dias de Araujo",$B:$B,"&lt;&gt;Lucas Luiz Romero")*(28/1083),IF(C792="Técnico I",SUMIFS($D:$D,$A:$A,$A792,$B:$B,"&lt;&gt;Patrícia Karla de Sousa Araújo",$B:$B,"&lt;&gt;Lorena Dias de Araujo",$B:$B,"&lt;&gt;Lucas Luiz Romero")*(23/1083),IF(C792="JR",SUMIFS($D:$D,$A:$A,$A792,$B:$B,"&lt;&gt;Patrícia Karla de Sousa Araújo",$B:$B,"&lt;&gt;Lorena Dias de Araujo",$B:$B,"&lt;&gt;Lucas Luiz Romero")*(20/1083),IF(C792="Estágio",SUMIFS($D:$D,$A:$A,$A792,$B:$B,"&lt;&gt;Patrícia Karla de Sousa Araújo",$B:$B,"&lt;&gt;Lorena Dias de Araujo",$B:$B,"&lt;&gt;Lucas Luiz Romero")*(10/1083),0)))))),0)</f>
        <v>11</v>
      </c>
      <c r="K792" s="3">
        <f>I792-J792</f>
        <v>10</v>
      </c>
      <c r="L792" s="3" t="str">
        <f>IF(K792&lt;-5,"CRÍTICO",IF(K792&lt;0,"ATENÇÃO",IF(K792&lt;=5,"BOM","EXCELENTE")))</f>
        <v>EXCELENTE</v>
      </c>
      <c r="M792">
        <v>20</v>
      </c>
      <c r="N792">
        <v>100</v>
      </c>
      <c r="O792">
        <v>27.676767676767678</v>
      </c>
    </row>
    <row r="793" spans="1:15" hidden="1" x14ac:dyDescent="0.25">
      <c r="A793" s="11">
        <v>46024</v>
      </c>
      <c r="B793" t="s">
        <v>37</v>
      </c>
      <c r="C793" t="s">
        <v>32</v>
      </c>
      <c r="D793">
        <v>30</v>
      </c>
      <c r="E793">
        <v>27</v>
      </c>
      <c r="F793">
        <v>12.25</v>
      </c>
      <c r="I793" s="3">
        <f>E793+G793+H793</f>
        <v>27</v>
      </c>
      <c r="J793" s="3">
        <f>ROUND(MIN(IF(C793="Técnico III",35,IF(C793="Técnico II",28,IF(C793="Técnico I",23,IF(C793="JR",20,IF(C793="Estágio",10,0))))),IF(C793="Técnico III",SUMIFS($D:$D,$A:$A,$A793,$B:$B,"&lt;&gt;Patrícia Karla de Sousa Araújo",$B:$B,"&lt;&gt;Lorena Dias de Araujo",$B:$B,"&lt;&gt;Lucas Luiz Romero")*(35/1083),IF(C793="Técnico II",SUMIFS($D:$D,$A:$A,$A793,$B:$B,"&lt;&gt;Patrícia Karla de Sousa Araújo",$B:$B,"&lt;&gt;Lorena Dias de Araujo",$B:$B,"&lt;&gt;Lucas Luiz Romero")*(28/1083),IF(C793="Técnico I",SUMIFS($D:$D,$A:$A,$A793,$B:$B,"&lt;&gt;Patrícia Karla de Sousa Araújo",$B:$B,"&lt;&gt;Lorena Dias de Araujo",$B:$B,"&lt;&gt;Lucas Luiz Romero")*(23/1083),IF(C793="JR",SUMIFS($D:$D,$A:$A,$A793,$B:$B,"&lt;&gt;Patrícia Karla de Sousa Araújo",$B:$B,"&lt;&gt;Lorena Dias de Araujo",$B:$B,"&lt;&gt;Lucas Luiz Romero")*(20/1083),IF(C793="Estágio",SUMIFS($D:$D,$A:$A,$A793,$B:$B,"&lt;&gt;Patrícia Karla de Sousa Araújo",$B:$B,"&lt;&gt;Lorena Dias de Araujo",$B:$B,"&lt;&gt;Lucas Luiz Romero")*(10/1083),0)))))),0)</f>
        <v>14</v>
      </c>
      <c r="K793" s="3">
        <f>I793-J793</f>
        <v>13</v>
      </c>
      <c r="L793" s="3" t="str">
        <f>IF(K793&lt;-5,"CRÍTICO",IF(K793&lt;0,"ATENÇÃO",IF(K793&lt;=5,"BOM","EXCELENTE")))</f>
        <v>EXCELENTE</v>
      </c>
      <c r="M793">
        <v>27</v>
      </c>
      <c r="N793">
        <v>100</v>
      </c>
      <c r="O793">
        <v>31.17723156532988</v>
      </c>
    </row>
    <row r="794" spans="1:15" hidden="1" x14ac:dyDescent="0.25">
      <c r="A794" s="11">
        <v>46024</v>
      </c>
      <c r="B794" t="s">
        <v>38</v>
      </c>
      <c r="C794" t="s">
        <v>32</v>
      </c>
      <c r="D794">
        <v>14</v>
      </c>
      <c r="E794">
        <v>9</v>
      </c>
      <c r="F794">
        <v>8.59</v>
      </c>
      <c r="I794" s="3">
        <f>E794+G794+H794</f>
        <v>9</v>
      </c>
      <c r="J794" s="3">
        <f>ROUND(MIN(IF(C794="Técnico III",35,IF(C794="Técnico II",28,IF(C794="Técnico I",23,IF(C794="JR",20,IF(C794="Estágio",10,0))))),IF(C794="Técnico III",SUMIFS($D:$D,$A:$A,$A794,$B:$B,"&lt;&gt;Patrícia Karla de Sousa Araújo",$B:$B,"&lt;&gt;Lorena Dias de Araujo",$B:$B,"&lt;&gt;Lucas Luiz Romero")*(35/1083),IF(C794="Técnico II",SUMIFS($D:$D,$A:$A,$A794,$B:$B,"&lt;&gt;Patrícia Karla de Sousa Araújo",$B:$B,"&lt;&gt;Lorena Dias de Araujo",$B:$B,"&lt;&gt;Lucas Luiz Romero")*(28/1083),IF(C794="Técnico I",SUMIFS($D:$D,$A:$A,$A794,$B:$B,"&lt;&gt;Patrícia Karla de Sousa Araújo",$B:$B,"&lt;&gt;Lorena Dias de Araujo",$B:$B,"&lt;&gt;Lucas Luiz Romero")*(23/1083),IF(C794="JR",SUMIFS($D:$D,$A:$A,$A794,$B:$B,"&lt;&gt;Patrícia Karla de Sousa Araújo",$B:$B,"&lt;&gt;Lorena Dias de Araujo",$B:$B,"&lt;&gt;Lucas Luiz Romero")*(20/1083),IF(C794="Estágio",SUMIFS($D:$D,$A:$A,$A794,$B:$B,"&lt;&gt;Patrícia Karla de Sousa Araújo",$B:$B,"&lt;&gt;Lorena Dias de Araujo",$B:$B,"&lt;&gt;Lucas Luiz Romero")*(10/1083),0)))))),0)</f>
        <v>14</v>
      </c>
      <c r="K794" s="3">
        <f>I794-J794</f>
        <v>-5</v>
      </c>
      <c r="L794" s="3" t="str">
        <f>IF(K794&lt;-5,"CRÍTICO",IF(K794&lt;0,"ATENÇÃO",IF(K794&lt;=5,"BOM","EXCELENTE")))</f>
        <v>ATENÇÃO</v>
      </c>
      <c r="M794">
        <v>10</v>
      </c>
      <c r="N794">
        <v>100</v>
      </c>
      <c r="O794">
        <v>27.609427609427609</v>
      </c>
    </row>
    <row r="795" spans="1:15" hidden="1" x14ac:dyDescent="0.25">
      <c r="A795" s="11">
        <v>46024</v>
      </c>
      <c r="B795" t="s">
        <v>55</v>
      </c>
      <c r="C795" t="s">
        <v>48</v>
      </c>
      <c r="D795">
        <v>28</v>
      </c>
      <c r="E795">
        <v>24</v>
      </c>
      <c r="F795">
        <v>10.210000000000001</v>
      </c>
      <c r="I795" s="3">
        <f>E795+G795+H795</f>
        <v>24</v>
      </c>
      <c r="J795" s="3">
        <f>ROUND(MIN(IF(C795="Técnico III",35,IF(C795="Técnico II",28,IF(C795="Técnico I",23,IF(C795="JR",20,IF(C795="Estágio",10,0))))),IF(C795="Técnico III",SUMIFS($D:$D,$A:$A,$A795,$B:$B,"&lt;&gt;Patrícia Karla de Sousa Araújo",$B:$B,"&lt;&gt;Lorena Dias de Araujo",$B:$B,"&lt;&gt;Lucas Luiz Romero")*(35/1083),IF(C795="Técnico II",SUMIFS($D:$D,$A:$A,$A795,$B:$B,"&lt;&gt;Patrícia Karla de Sousa Araújo",$B:$B,"&lt;&gt;Lorena Dias de Araujo",$B:$B,"&lt;&gt;Lucas Luiz Romero")*(28/1083),IF(C795="Técnico I",SUMIFS($D:$D,$A:$A,$A795,$B:$B,"&lt;&gt;Patrícia Karla de Sousa Araújo",$B:$B,"&lt;&gt;Lorena Dias de Araujo",$B:$B,"&lt;&gt;Lucas Luiz Romero")*(23/1083),IF(C795="JR",SUMIFS($D:$D,$A:$A,$A795,$B:$B,"&lt;&gt;Patrícia Karla de Sousa Araújo",$B:$B,"&lt;&gt;Lorena Dias de Araujo",$B:$B,"&lt;&gt;Lucas Luiz Romero")*(20/1083),IF(C795="Estágio",SUMIFS($D:$D,$A:$A,$A795,$B:$B,"&lt;&gt;Patrícia Karla de Sousa Araújo",$B:$B,"&lt;&gt;Lorena Dias de Araujo",$B:$B,"&lt;&gt;Lucas Luiz Romero")*(10/1083),0)))))),0)</f>
        <v>11</v>
      </c>
      <c r="K795" s="3">
        <f>I795-J795</f>
        <v>13</v>
      </c>
      <c r="L795" s="3" t="str">
        <f>IF(K795&lt;-5,"CRÍTICO",IF(K795&lt;0,"ATENÇÃO",IF(K795&lt;=5,"BOM","EXCELENTE")))</f>
        <v>EXCELENTE</v>
      </c>
      <c r="M795">
        <v>22</v>
      </c>
      <c r="N795">
        <v>96.4</v>
      </c>
      <c r="O795">
        <v>28.764044943820231</v>
      </c>
    </row>
    <row r="796" spans="1:15" hidden="1" x14ac:dyDescent="0.25">
      <c r="A796" s="11">
        <v>46024</v>
      </c>
      <c r="B796" t="s">
        <v>39</v>
      </c>
      <c r="C796" t="s">
        <v>32</v>
      </c>
      <c r="D796">
        <v>0</v>
      </c>
      <c r="E796">
        <v>0</v>
      </c>
      <c r="F796">
        <v>0</v>
      </c>
      <c r="G796">
        <v>0</v>
      </c>
      <c r="H796">
        <v>0</v>
      </c>
      <c r="I796" s="3">
        <v>0</v>
      </c>
      <c r="J796" s="3">
        <v>0</v>
      </c>
      <c r="K796" s="3">
        <v>0</v>
      </c>
      <c r="L796" s="3" t="str">
        <f>IF(K796&lt;-5,"CRÍTICO",IF(K796&lt;0,"ATENÇÃO",IF(K796&lt;=5,"BOM","EXCELENTE")))</f>
        <v>BOM</v>
      </c>
      <c r="M796">
        <v>0</v>
      </c>
      <c r="N796">
        <v>100</v>
      </c>
      <c r="O796">
        <v>33.980582524271853</v>
      </c>
    </row>
    <row r="797" spans="1:15" hidden="1" x14ac:dyDescent="0.25">
      <c r="A797" s="11">
        <v>46024</v>
      </c>
      <c r="B797" t="s">
        <v>25</v>
      </c>
      <c r="C797" t="s">
        <v>26</v>
      </c>
      <c r="D797">
        <v>7</v>
      </c>
      <c r="E797">
        <v>7</v>
      </c>
      <c r="F797">
        <v>29.05</v>
      </c>
      <c r="I797" s="3">
        <f>E797+G797+H797</f>
        <v>7</v>
      </c>
      <c r="J797" s="3">
        <f>ROUND(MIN(IF(C797="Técnico III",35,IF(C797="Técnico II",28,IF(C797="Técnico I",23,IF(C797="JR",20,IF(C797="Estágio",10,0))))),IF(C797="Técnico III",SUMIFS($D:$D,$A:$A,$A797,$B:$B,"&lt;&gt;Patrícia Karla de Sousa Araújo",$B:$B,"&lt;&gt;Lorena Dias de Araujo",$B:$B,"&lt;&gt;Lucas Luiz Romero")*(35/1083),IF(C797="Técnico II",SUMIFS($D:$D,$A:$A,$A797,$B:$B,"&lt;&gt;Patrícia Karla de Sousa Araújo",$B:$B,"&lt;&gt;Lorena Dias de Araujo",$B:$B,"&lt;&gt;Lucas Luiz Romero")*(28/1083),IF(C797="Técnico I",SUMIFS($D:$D,$A:$A,$A797,$B:$B,"&lt;&gt;Patrícia Karla de Sousa Araújo",$B:$B,"&lt;&gt;Lorena Dias de Araujo",$B:$B,"&lt;&gt;Lucas Luiz Romero")*(23/1083),IF(C797="JR",SUMIFS($D:$D,$A:$A,$A797,$B:$B,"&lt;&gt;Patrícia Karla de Sousa Araújo",$B:$B,"&lt;&gt;Lorena Dias de Araujo",$B:$B,"&lt;&gt;Lucas Luiz Romero")*(20/1083),IF(C797="Estágio",SUMIFS($D:$D,$A:$A,$A797,$B:$B,"&lt;&gt;Patrícia Karla de Sousa Araújo",$B:$B,"&lt;&gt;Lorena Dias de Araujo",$B:$B,"&lt;&gt;Lucas Luiz Romero")*(10/1083),0)))))),0)</f>
        <v>8</v>
      </c>
      <c r="K797" s="3">
        <f>I797-J797</f>
        <v>-1</v>
      </c>
      <c r="L797" s="3" t="str">
        <f>IF(K797&lt;-5,"CRÍTICO",IF(K797&lt;0,"ATENÇÃO",IF(K797&lt;=5,"BOM","EXCELENTE")))</f>
        <v>ATENÇÃO</v>
      </c>
      <c r="M797">
        <v>6</v>
      </c>
      <c r="N797">
        <v>97.56</v>
      </c>
      <c r="O797">
        <v>32.515337423312893</v>
      </c>
    </row>
    <row r="798" spans="1:15" hidden="1" x14ac:dyDescent="0.25">
      <c r="A798" s="11">
        <v>46024</v>
      </c>
      <c r="B798" t="s">
        <v>40</v>
      </c>
      <c r="C798" t="s">
        <v>32</v>
      </c>
      <c r="D798">
        <v>0</v>
      </c>
      <c r="E798">
        <v>0</v>
      </c>
      <c r="F798">
        <v>0</v>
      </c>
      <c r="G798">
        <v>0</v>
      </c>
      <c r="H798">
        <v>0</v>
      </c>
      <c r="I798" s="3">
        <v>0</v>
      </c>
      <c r="J798" s="3">
        <v>0</v>
      </c>
      <c r="K798" s="3">
        <v>0</v>
      </c>
      <c r="L798" s="3" t="str">
        <f>IF(K798&lt;-5,"CRÍTICO",IF(K798&lt;0,"ATENÇÃO",IF(K798&lt;=5,"BOM","EXCELENTE")))</f>
        <v>BOM</v>
      </c>
      <c r="M798">
        <v>12</v>
      </c>
      <c r="N798">
        <v>97.11</v>
      </c>
      <c r="O798">
        <v>37.408312958435211</v>
      </c>
    </row>
    <row r="799" spans="1:15" hidden="1" x14ac:dyDescent="0.25">
      <c r="A799" s="11">
        <v>46024</v>
      </c>
      <c r="B799" t="s">
        <v>27</v>
      </c>
      <c r="C799" t="s">
        <v>26</v>
      </c>
      <c r="D799">
        <v>0</v>
      </c>
      <c r="E799">
        <v>0</v>
      </c>
      <c r="F799">
        <v>0</v>
      </c>
      <c r="G799">
        <v>0</v>
      </c>
      <c r="H799">
        <v>0</v>
      </c>
      <c r="I799" s="3">
        <v>0</v>
      </c>
      <c r="J799" s="3">
        <v>0</v>
      </c>
      <c r="K799" s="3">
        <v>0</v>
      </c>
      <c r="L799" s="3" t="str">
        <f>IF(K799&lt;-5,"CRÍTICO",IF(K799&lt;0,"ATENÇÃO",IF(K799&lt;=5,"BOM","EXCELENTE")))</f>
        <v>BOM</v>
      </c>
      <c r="M799">
        <v>0</v>
      </c>
      <c r="N799">
        <v>0</v>
      </c>
      <c r="O799">
        <v>0</v>
      </c>
    </row>
    <row r="800" spans="1:15" hidden="1" x14ac:dyDescent="0.25">
      <c r="A800" s="11">
        <v>46024</v>
      </c>
      <c r="B800" t="s">
        <v>41</v>
      </c>
      <c r="C800" t="s">
        <v>32</v>
      </c>
      <c r="D800">
        <v>0</v>
      </c>
      <c r="E800">
        <v>0</v>
      </c>
      <c r="F800">
        <v>0</v>
      </c>
      <c r="G800">
        <v>0</v>
      </c>
      <c r="H800">
        <v>0</v>
      </c>
      <c r="I800" s="3">
        <v>0</v>
      </c>
      <c r="J800" s="3">
        <v>0</v>
      </c>
      <c r="K800" s="3">
        <v>0</v>
      </c>
      <c r="L800" s="3" t="str">
        <f>IF(K800&lt;-5,"CRÍTICO",IF(K800&lt;0,"ATENÇÃO",IF(K800&lt;=5,"BOM","EXCELENTE")))</f>
        <v>BOM</v>
      </c>
      <c r="M800">
        <v>0</v>
      </c>
      <c r="N800">
        <v>100</v>
      </c>
      <c r="O800">
        <v>30.470347648261761</v>
      </c>
    </row>
    <row r="801" spans="1:15" hidden="1" x14ac:dyDescent="0.25">
      <c r="A801" s="11">
        <v>46024</v>
      </c>
      <c r="B801" t="s">
        <v>56</v>
      </c>
      <c r="C801" t="s">
        <v>48</v>
      </c>
      <c r="D801">
        <v>18</v>
      </c>
      <c r="E801">
        <v>17</v>
      </c>
      <c r="F801">
        <v>20.36</v>
      </c>
      <c r="I801" s="3">
        <f>E801+G801+H801</f>
        <v>17</v>
      </c>
      <c r="J801" s="3">
        <f>ROUND(MIN(IF(C801="Técnico III",35,IF(C801="Técnico II",28,IF(C801="Técnico I",23,IF(C801="JR",20,IF(C801="Estágio",10,0))))),IF(C801="Técnico III",SUMIFS($D:$D,$A:$A,$A801,$B:$B,"&lt;&gt;Patrícia Karla de Sousa Araújo",$B:$B,"&lt;&gt;Lorena Dias de Araujo",$B:$B,"&lt;&gt;Lucas Luiz Romero")*(35/1083),IF(C801="Técnico II",SUMIFS($D:$D,$A:$A,$A801,$B:$B,"&lt;&gt;Patrícia Karla de Sousa Araújo",$B:$B,"&lt;&gt;Lorena Dias de Araujo",$B:$B,"&lt;&gt;Lucas Luiz Romero")*(28/1083),IF(C801="Técnico I",SUMIFS($D:$D,$A:$A,$A801,$B:$B,"&lt;&gt;Patrícia Karla de Sousa Araújo",$B:$B,"&lt;&gt;Lorena Dias de Araujo",$B:$B,"&lt;&gt;Lucas Luiz Romero")*(23/1083),IF(C801="JR",SUMIFS($D:$D,$A:$A,$A801,$B:$B,"&lt;&gt;Patrícia Karla de Sousa Araújo",$B:$B,"&lt;&gt;Lorena Dias de Araujo",$B:$B,"&lt;&gt;Lucas Luiz Romero")*(20/1083),IF(C801="Estágio",SUMIFS($D:$D,$A:$A,$A801,$B:$B,"&lt;&gt;Patrícia Karla de Sousa Araújo",$B:$B,"&lt;&gt;Lorena Dias de Araujo",$B:$B,"&lt;&gt;Lucas Luiz Romero")*(10/1083),0)))))),0)</f>
        <v>11</v>
      </c>
      <c r="K801" s="3">
        <f>I801-J801</f>
        <v>6</v>
      </c>
      <c r="L801" s="3" t="str">
        <f>IF(K801&lt;-5,"CRÍTICO",IF(K801&lt;0,"ATENÇÃO",IF(K801&lt;=5,"BOM","EXCELENTE")))</f>
        <v>EXCELENTE</v>
      </c>
      <c r="M801">
        <v>16</v>
      </c>
      <c r="N801">
        <v>100</v>
      </c>
      <c r="O801">
        <v>32.371134020618562</v>
      </c>
    </row>
    <row r="802" spans="1:15" hidden="1" x14ac:dyDescent="0.25">
      <c r="A802" s="11">
        <v>46024</v>
      </c>
      <c r="B802" t="s">
        <v>57</v>
      </c>
      <c r="C802" t="s">
        <v>48</v>
      </c>
      <c r="D802">
        <v>12</v>
      </c>
      <c r="E802">
        <v>12</v>
      </c>
      <c r="F802">
        <v>29.09</v>
      </c>
      <c r="G802">
        <v>0</v>
      </c>
      <c r="H802">
        <v>0</v>
      </c>
      <c r="I802" s="3">
        <v>0</v>
      </c>
      <c r="J802" s="3">
        <v>0</v>
      </c>
      <c r="K802" s="3">
        <v>0</v>
      </c>
      <c r="L802" s="3" t="str">
        <f>IF(K802&lt;-5,"CRÍTICO",IF(K802&lt;0,"ATENÇÃO",IF(K802&lt;=5,"BOM","EXCELENTE")))</f>
        <v>BOM</v>
      </c>
      <c r="M802">
        <v>10</v>
      </c>
      <c r="N802">
        <v>98.32</v>
      </c>
      <c r="O802">
        <v>32.318501170960189</v>
      </c>
    </row>
    <row r="803" spans="1:15" hidden="1" x14ac:dyDescent="0.25">
      <c r="A803" s="11">
        <v>46024</v>
      </c>
      <c r="B803" t="s">
        <v>42</v>
      </c>
      <c r="C803" t="s">
        <v>32</v>
      </c>
      <c r="D803">
        <v>32</v>
      </c>
      <c r="E803">
        <v>21</v>
      </c>
      <c r="F803">
        <v>15.38</v>
      </c>
      <c r="I803" s="3">
        <f>E803+G803+H803</f>
        <v>21</v>
      </c>
      <c r="J803" s="3">
        <f>ROUND(MIN(IF(C803="Técnico III",35,IF(C803="Técnico II",28,IF(C803="Técnico I",23,IF(C803="JR",20,IF(C803="Estágio",10,0))))),IF(C803="Técnico III",SUMIFS($D:$D,$A:$A,$A803,$B:$B,"&lt;&gt;Patrícia Karla de Sousa Araújo",$B:$B,"&lt;&gt;Lorena Dias de Araujo",$B:$B,"&lt;&gt;Lucas Luiz Romero")*(35/1083),IF(C803="Técnico II",SUMIFS($D:$D,$A:$A,$A803,$B:$B,"&lt;&gt;Patrícia Karla de Sousa Araújo",$B:$B,"&lt;&gt;Lorena Dias de Araujo",$B:$B,"&lt;&gt;Lucas Luiz Romero")*(28/1083),IF(C803="Técnico I",SUMIFS($D:$D,$A:$A,$A803,$B:$B,"&lt;&gt;Patrícia Karla de Sousa Araújo",$B:$B,"&lt;&gt;Lorena Dias de Araujo",$B:$B,"&lt;&gt;Lucas Luiz Romero")*(23/1083),IF(C803="JR",SUMIFS($D:$D,$A:$A,$A803,$B:$B,"&lt;&gt;Patrícia Karla de Sousa Araújo",$B:$B,"&lt;&gt;Lorena Dias de Araujo",$B:$B,"&lt;&gt;Lucas Luiz Romero")*(20/1083),IF(C803="Estágio",SUMIFS($D:$D,$A:$A,$A803,$B:$B,"&lt;&gt;Patrícia Karla de Sousa Araújo",$B:$B,"&lt;&gt;Lorena Dias de Araujo",$B:$B,"&lt;&gt;Lucas Luiz Romero")*(10/1083),0)))))),0)</f>
        <v>14</v>
      </c>
      <c r="K803" s="3">
        <f>I803-J803</f>
        <v>7</v>
      </c>
      <c r="L803" s="3" t="str">
        <f>IF(K803&lt;-5,"CRÍTICO",IF(K803&lt;0,"ATENÇÃO",IF(K803&lt;=5,"BOM","EXCELENTE")))</f>
        <v>EXCELENTE</v>
      </c>
      <c r="M803">
        <v>20</v>
      </c>
      <c r="N803">
        <v>96.43</v>
      </c>
      <c r="O803">
        <v>27.015250544662312</v>
      </c>
    </row>
    <row r="804" spans="1:15" hidden="1" x14ac:dyDescent="0.25">
      <c r="A804" s="11">
        <v>46024</v>
      </c>
      <c r="B804" t="s">
        <v>62</v>
      </c>
      <c r="C804" t="s">
        <v>23</v>
      </c>
      <c r="D804">
        <v>22</v>
      </c>
      <c r="E804">
        <v>20</v>
      </c>
      <c r="F804">
        <v>17.170000000000002</v>
      </c>
      <c r="I804" s="3">
        <f>E804+G804+H804</f>
        <v>20</v>
      </c>
      <c r="J804" s="3">
        <f>ROUND(MIN(IF(C804="Técnico III",35,IF(C804="Técnico II",28,IF(C804="Técnico I",23,IF(C804="JR",20,IF(C804="Estágio",10,0))))),IF(C804="Técnico III",SUMIFS($D:$D,$A:$A,$A804,$B:$B,"&lt;&gt;Patrícia Karla de Sousa Araújo",$B:$B,"&lt;&gt;Lorena Dias de Araujo",$B:$B,"&lt;&gt;Lucas Luiz Romero")*(35/1083),IF(C804="Técnico II",SUMIFS($D:$D,$A:$A,$A804,$B:$B,"&lt;&gt;Patrícia Karla de Sousa Araújo",$B:$B,"&lt;&gt;Lorena Dias de Araujo",$B:$B,"&lt;&gt;Lucas Luiz Romero")*(28/1083),IF(C804="Técnico I",SUMIFS($D:$D,$A:$A,$A804,$B:$B,"&lt;&gt;Patrícia Karla de Sousa Araújo",$B:$B,"&lt;&gt;Lorena Dias de Araujo",$B:$B,"&lt;&gt;Lucas Luiz Romero")*(23/1083),IF(C804="JR",SUMIFS($D:$D,$A:$A,$A804,$B:$B,"&lt;&gt;Patrícia Karla de Sousa Araújo",$B:$B,"&lt;&gt;Lorena Dias de Araujo",$B:$B,"&lt;&gt;Lucas Luiz Romero")*(20/1083),IF(C804="Estágio",SUMIFS($D:$D,$A:$A,$A804,$B:$B,"&lt;&gt;Patrícia Karla de Sousa Araújo",$B:$B,"&lt;&gt;Lorena Dias de Araujo",$B:$B,"&lt;&gt;Lucas Luiz Romero")*(10/1083),0)))))),0)</f>
        <v>9</v>
      </c>
      <c r="K804" s="3">
        <f>I804-J804</f>
        <v>11</v>
      </c>
      <c r="L804" s="3" t="str">
        <f>IF(K804&lt;-5,"CRÍTICO",IF(K804&lt;0,"ATENÇÃO",IF(K804&lt;=5,"BOM","EXCELENTE")))</f>
        <v>EXCELENTE</v>
      </c>
      <c r="M804">
        <v>20</v>
      </c>
      <c r="N804">
        <v>98.89</v>
      </c>
      <c r="O804">
        <v>28.021978021978018</v>
      </c>
    </row>
    <row r="805" spans="1:15" hidden="1" x14ac:dyDescent="0.25">
      <c r="A805" s="11">
        <v>46024</v>
      </c>
      <c r="B805" t="s">
        <v>19</v>
      </c>
      <c r="C805" t="s">
        <v>16</v>
      </c>
      <c r="D805">
        <v>0</v>
      </c>
      <c r="E805">
        <v>0</v>
      </c>
      <c r="F805">
        <v>0</v>
      </c>
      <c r="G805">
        <v>0</v>
      </c>
      <c r="H805">
        <v>0</v>
      </c>
      <c r="I805" s="3">
        <v>0</v>
      </c>
      <c r="J805" s="3">
        <v>0</v>
      </c>
      <c r="K805" s="3">
        <v>0</v>
      </c>
      <c r="L805" s="3" t="str">
        <f>IF(K805&lt;-5,"CRÍTICO",IF(K805&lt;0,"ATENÇÃO",IF(K805&lt;=5,"BOM","EXCELENTE")))</f>
        <v>BOM</v>
      </c>
      <c r="M805">
        <v>0</v>
      </c>
      <c r="N805">
        <v>100</v>
      </c>
      <c r="O805">
        <v>33.333333333333329</v>
      </c>
    </row>
    <row r="806" spans="1:15" hidden="1" x14ac:dyDescent="0.25">
      <c r="A806" s="11">
        <v>46024</v>
      </c>
      <c r="B806" t="s">
        <v>43</v>
      </c>
      <c r="C806" t="s">
        <v>32</v>
      </c>
      <c r="D806">
        <v>0</v>
      </c>
      <c r="E806">
        <v>0</v>
      </c>
      <c r="F806">
        <v>0</v>
      </c>
      <c r="G806">
        <v>0</v>
      </c>
      <c r="H806">
        <v>0</v>
      </c>
      <c r="I806" s="3">
        <v>0</v>
      </c>
      <c r="J806" s="3">
        <v>0</v>
      </c>
      <c r="K806" s="3">
        <v>0</v>
      </c>
      <c r="L806" s="3" t="str">
        <f>IF(K806&lt;-5,"CRÍTICO",IF(K806&lt;0,"ATENÇÃO",IF(K806&lt;=5,"BOM","EXCELENTE")))</f>
        <v>BOM</v>
      </c>
      <c r="M806">
        <v>0</v>
      </c>
      <c r="N806">
        <v>100</v>
      </c>
      <c r="O806">
        <v>27.43362831858407</v>
      </c>
    </row>
    <row r="807" spans="1:15" hidden="1" x14ac:dyDescent="0.25">
      <c r="A807" s="11">
        <v>46024</v>
      </c>
      <c r="B807" t="s">
        <v>44</v>
      </c>
      <c r="C807" t="s">
        <v>32</v>
      </c>
      <c r="D807">
        <v>0</v>
      </c>
      <c r="E807">
        <v>0</v>
      </c>
      <c r="F807">
        <v>0</v>
      </c>
      <c r="G807">
        <v>0</v>
      </c>
      <c r="H807">
        <v>0</v>
      </c>
      <c r="I807" s="3">
        <v>0</v>
      </c>
      <c r="J807" s="3">
        <v>0</v>
      </c>
      <c r="K807" s="3">
        <v>0</v>
      </c>
      <c r="L807" s="3" t="str">
        <f>IF(K807&lt;-5,"CRÍTICO",IF(K807&lt;0,"ATENÇÃO",IF(K807&lt;=5,"BOM","EXCELENTE")))</f>
        <v>BOM</v>
      </c>
      <c r="M807">
        <v>0</v>
      </c>
      <c r="N807">
        <v>98.65</v>
      </c>
      <c r="O807">
        <v>30.978260869565219</v>
      </c>
    </row>
    <row r="808" spans="1:15" hidden="1" x14ac:dyDescent="0.25">
      <c r="A808" s="11">
        <v>46024</v>
      </c>
      <c r="B808" t="s">
        <v>20</v>
      </c>
      <c r="C808" t="s">
        <v>16</v>
      </c>
      <c r="D808">
        <v>0</v>
      </c>
      <c r="E808">
        <v>0</v>
      </c>
      <c r="F808">
        <v>0</v>
      </c>
      <c r="G808">
        <v>0</v>
      </c>
      <c r="H808">
        <v>0</v>
      </c>
      <c r="I808" s="3">
        <v>0</v>
      </c>
      <c r="J808" s="3">
        <v>0</v>
      </c>
      <c r="K808" s="3">
        <v>0</v>
      </c>
      <c r="L808" s="3" t="str">
        <f>IF(K808&lt;-5,"CRÍTICO",IF(K808&lt;0,"ATENÇÃO",IF(K808&lt;=5,"BOM","EXCELENTE")))</f>
        <v>BOM</v>
      </c>
      <c r="M808">
        <v>0</v>
      </c>
      <c r="N808">
        <v>100</v>
      </c>
      <c r="O808">
        <v>12</v>
      </c>
    </row>
    <row r="809" spans="1:15" hidden="1" x14ac:dyDescent="0.25">
      <c r="A809" s="11">
        <v>46024</v>
      </c>
      <c r="B809" t="s">
        <v>28</v>
      </c>
      <c r="C809" t="s">
        <v>26</v>
      </c>
      <c r="D809">
        <v>0</v>
      </c>
      <c r="E809">
        <v>0</v>
      </c>
      <c r="F809">
        <v>0</v>
      </c>
      <c r="G809">
        <v>0</v>
      </c>
      <c r="H809">
        <v>0</v>
      </c>
      <c r="I809" s="3">
        <v>0</v>
      </c>
      <c r="J809" s="3">
        <v>0</v>
      </c>
      <c r="K809" s="3">
        <v>0</v>
      </c>
      <c r="L809" s="3" t="str">
        <f>IF(K809&lt;-5,"CRÍTICO",IF(K809&lt;0,"ATENÇÃO",IF(K809&lt;=5,"BOM","EXCELENTE")))</f>
        <v>BOM</v>
      </c>
      <c r="M809">
        <v>0</v>
      </c>
      <c r="N809">
        <v>0</v>
      </c>
      <c r="O809">
        <v>0</v>
      </c>
    </row>
    <row r="810" spans="1:15" hidden="1" x14ac:dyDescent="0.25">
      <c r="A810" s="11">
        <v>46024</v>
      </c>
      <c r="B810" t="s">
        <v>58</v>
      </c>
      <c r="C810" t="s">
        <v>48</v>
      </c>
      <c r="D810">
        <v>0</v>
      </c>
      <c r="E810">
        <v>0</v>
      </c>
      <c r="F810">
        <v>0</v>
      </c>
      <c r="G810">
        <v>0</v>
      </c>
      <c r="H810">
        <v>0</v>
      </c>
      <c r="I810" s="3">
        <v>0</v>
      </c>
      <c r="J810" s="3">
        <v>0</v>
      </c>
      <c r="K810" s="3">
        <v>0</v>
      </c>
      <c r="L810" s="3" t="str">
        <f>IF(K810&lt;-5,"CRÍTICO",IF(K810&lt;0,"ATENÇÃO",IF(K810&lt;=5,"BOM","EXCELENTE")))</f>
        <v>BOM</v>
      </c>
      <c r="M810">
        <v>0</v>
      </c>
      <c r="N810">
        <v>97.56</v>
      </c>
      <c r="O810">
        <v>31.067961165048541</v>
      </c>
    </row>
    <row r="811" spans="1:15" hidden="1" x14ac:dyDescent="0.25">
      <c r="A811" s="11">
        <v>46024</v>
      </c>
      <c r="B811" t="s">
        <v>29</v>
      </c>
      <c r="C811" t="s">
        <v>26</v>
      </c>
      <c r="D811">
        <v>0</v>
      </c>
      <c r="E811">
        <v>0</v>
      </c>
      <c r="F811">
        <v>0</v>
      </c>
      <c r="G811">
        <v>0</v>
      </c>
      <c r="H811">
        <v>0</v>
      </c>
      <c r="I811" s="3">
        <v>0</v>
      </c>
      <c r="J811" s="3">
        <v>0</v>
      </c>
      <c r="K811" s="3">
        <v>0</v>
      </c>
      <c r="L811" s="3" t="str">
        <f>IF(K811&lt;-5,"CRÍTICO",IF(K811&lt;0,"ATENÇÃO",IF(K811&lt;=5,"BOM","EXCELENTE")))</f>
        <v>BOM</v>
      </c>
      <c r="M811">
        <v>0</v>
      </c>
      <c r="N811">
        <v>0</v>
      </c>
      <c r="O811">
        <v>0</v>
      </c>
    </row>
    <row r="812" spans="1:15" hidden="1" x14ac:dyDescent="0.25">
      <c r="A812" s="11">
        <v>46024</v>
      </c>
      <c r="B812" t="s">
        <v>30</v>
      </c>
      <c r="C812" t="s">
        <v>26</v>
      </c>
      <c r="D812">
        <v>0</v>
      </c>
      <c r="E812">
        <v>0</v>
      </c>
      <c r="F812">
        <v>0</v>
      </c>
      <c r="G812">
        <v>0</v>
      </c>
      <c r="H812">
        <v>0</v>
      </c>
      <c r="I812" s="3">
        <v>0</v>
      </c>
      <c r="J812" s="3">
        <v>0</v>
      </c>
      <c r="K812" s="3">
        <v>0</v>
      </c>
      <c r="L812" s="3" t="str">
        <f>IF(K812&lt;-5,"CRÍTICO",IF(K812&lt;0,"ATENÇÃO",IF(K812&lt;=5,"BOM","EXCELENTE")))</f>
        <v>BOM</v>
      </c>
      <c r="M812">
        <v>0</v>
      </c>
      <c r="N812">
        <v>0</v>
      </c>
      <c r="O812">
        <v>0</v>
      </c>
    </row>
    <row r="813" spans="1:15" hidden="1" x14ac:dyDescent="0.25">
      <c r="A813" s="11">
        <v>46024</v>
      </c>
      <c r="B813" t="s">
        <v>21</v>
      </c>
      <c r="C813" t="s">
        <v>16</v>
      </c>
      <c r="D813">
        <v>0</v>
      </c>
      <c r="E813">
        <v>0</v>
      </c>
      <c r="F813">
        <v>0</v>
      </c>
      <c r="G813">
        <v>0</v>
      </c>
      <c r="H813">
        <v>0</v>
      </c>
      <c r="I813" s="3">
        <v>0</v>
      </c>
      <c r="J813" s="3">
        <v>0</v>
      </c>
      <c r="K813" s="3">
        <v>0</v>
      </c>
      <c r="L813" s="3" t="str">
        <f>IF(K813&lt;-5,"CRÍTICO",IF(K813&lt;0,"ATENÇÃO",IF(K813&lt;=5,"BOM","EXCELENTE")))</f>
        <v>BOM</v>
      </c>
      <c r="M813">
        <v>0</v>
      </c>
      <c r="N813">
        <v>0</v>
      </c>
      <c r="O813">
        <v>0</v>
      </c>
    </row>
    <row r="814" spans="1:15" hidden="1" x14ac:dyDescent="0.25">
      <c r="A814" s="11">
        <v>46024</v>
      </c>
      <c r="B814" t="s">
        <v>63</v>
      </c>
      <c r="C814" t="s">
        <v>23</v>
      </c>
      <c r="D814">
        <v>0</v>
      </c>
      <c r="E814">
        <v>0</v>
      </c>
      <c r="F814">
        <v>0</v>
      </c>
      <c r="G814">
        <v>0</v>
      </c>
      <c r="H814">
        <v>0</v>
      </c>
      <c r="I814" s="3">
        <v>0</v>
      </c>
      <c r="J814" s="3">
        <v>0</v>
      </c>
      <c r="K814" s="3">
        <v>0</v>
      </c>
      <c r="L814" s="3" t="str">
        <f>IF(K814&lt;-5,"CRÍTICO",IF(K814&lt;0,"ATENÇÃO",IF(K814&lt;=5,"BOM","EXCELENTE")))</f>
        <v>BOM</v>
      </c>
      <c r="M814">
        <v>0</v>
      </c>
      <c r="N814">
        <v>100</v>
      </c>
      <c r="O814">
        <v>53.846153846153847</v>
      </c>
    </row>
    <row r="815" spans="1:15" hidden="1" x14ac:dyDescent="0.25">
      <c r="A815" s="11">
        <v>46024</v>
      </c>
      <c r="B815" t="s">
        <v>45</v>
      </c>
      <c r="C815" t="s">
        <v>32</v>
      </c>
      <c r="D815">
        <v>0</v>
      </c>
      <c r="E815">
        <v>0</v>
      </c>
      <c r="F815">
        <v>0</v>
      </c>
      <c r="G815">
        <v>0</v>
      </c>
      <c r="H815">
        <v>0</v>
      </c>
      <c r="I815" s="3">
        <v>0</v>
      </c>
      <c r="J815" s="3">
        <v>0</v>
      </c>
      <c r="K815" s="3">
        <v>0</v>
      </c>
      <c r="L815" s="3" t="str">
        <f>IF(K815&lt;-5,"CRÍTICO",IF(K815&lt;0,"ATENÇÃO",IF(K815&lt;=5,"BOM","EXCELENTE")))</f>
        <v>BOM</v>
      </c>
      <c r="M815">
        <v>0</v>
      </c>
      <c r="N815">
        <v>100</v>
      </c>
      <c r="O815">
        <v>44.05594405594406</v>
      </c>
    </row>
    <row r="816" spans="1:15" hidden="1" x14ac:dyDescent="0.25">
      <c r="A816" s="11">
        <v>46024</v>
      </c>
      <c r="B816" t="s">
        <v>64</v>
      </c>
      <c r="C816" t="s">
        <v>23</v>
      </c>
      <c r="D816">
        <v>0</v>
      </c>
      <c r="E816">
        <v>0</v>
      </c>
      <c r="F816">
        <v>0</v>
      </c>
      <c r="G816">
        <v>0</v>
      </c>
      <c r="H816">
        <v>0</v>
      </c>
      <c r="I816" s="3">
        <v>0</v>
      </c>
      <c r="J816" s="3">
        <v>0</v>
      </c>
      <c r="K816" s="3">
        <v>0</v>
      </c>
      <c r="L816" s="3" t="str">
        <f>IF(K816&lt;-5,"CRÍTICO",IF(K816&lt;0,"ATENÇÃO",IF(K816&lt;=5,"BOM","EXCELENTE")))</f>
        <v>BOM</v>
      </c>
      <c r="M816">
        <v>0</v>
      </c>
      <c r="N816">
        <v>100</v>
      </c>
      <c r="O816">
        <v>31.872509960159359</v>
      </c>
    </row>
    <row r="817" spans="1:15" hidden="1" x14ac:dyDescent="0.25">
      <c r="A817" s="11">
        <v>46024</v>
      </c>
      <c r="B817" t="s">
        <v>46</v>
      </c>
      <c r="C817" t="s">
        <v>32</v>
      </c>
      <c r="D817">
        <v>25</v>
      </c>
      <c r="E817">
        <v>24</v>
      </c>
      <c r="F817">
        <v>10.49</v>
      </c>
      <c r="I817" s="3">
        <f>E817+G817+H817</f>
        <v>24</v>
      </c>
      <c r="J817" s="3">
        <f>ROUND(MIN(IF(C817="Técnico III",35,IF(C817="Técnico II",28,IF(C817="Técnico I",23,IF(C817="JR",20,IF(C817="Estágio",10,0))))),IF(C817="Técnico III",SUMIFS($D:$D,$A:$A,$A817,$B:$B,"&lt;&gt;Patrícia Karla de Sousa Araújo",$B:$B,"&lt;&gt;Lorena Dias de Araujo",$B:$B,"&lt;&gt;Lucas Luiz Romero")*(35/1083),IF(C817="Técnico II",SUMIFS($D:$D,$A:$A,$A817,$B:$B,"&lt;&gt;Patrícia Karla de Sousa Araújo",$B:$B,"&lt;&gt;Lorena Dias de Araujo",$B:$B,"&lt;&gt;Lucas Luiz Romero")*(28/1083),IF(C817="Técnico I",SUMIFS($D:$D,$A:$A,$A817,$B:$B,"&lt;&gt;Patrícia Karla de Sousa Araújo",$B:$B,"&lt;&gt;Lorena Dias de Araujo",$B:$B,"&lt;&gt;Lucas Luiz Romero")*(23/1083),IF(C817="JR",SUMIFS($D:$D,$A:$A,$A817,$B:$B,"&lt;&gt;Patrícia Karla de Sousa Araújo",$B:$B,"&lt;&gt;Lorena Dias de Araujo",$B:$B,"&lt;&gt;Lucas Luiz Romero")*(20/1083),IF(C817="Estágio",SUMIFS($D:$D,$A:$A,$A817,$B:$B,"&lt;&gt;Patrícia Karla de Sousa Araújo",$B:$B,"&lt;&gt;Lorena Dias de Araujo",$B:$B,"&lt;&gt;Lucas Luiz Romero")*(10/1083),0)))))),0)</f>
        <v>14</v>
      </c>
      <c r="K817" s="3">
        <f>I817-J817</f>
        <v>10</v>
      </c>
      <c r="L817" s="3" t="str">
        <f>IF(K817&lt;-5,"CRÍTICO",IF(K817&lt;0,"ATENÇÃO",IF(K817&lt;=5,"BOM","EXCELENTE")))</f>
        <v>EXCELENTE</v>
      </c>
      <c r="M817">
        <v>22</v>
      </c>
      <c r="N817">
        <v>98.41</v>
      </c>
      <c r="O817">
        <v>29.22465208747515</v>
      </c>
    </row>
    <row r="818" spans="1:15" hidden="1" x14ac:dyDescent="0.25">
      <c r="A818" s="11">
        <v>46027</v>
      </c>
      <c r="B818" t="s">
        <v>47</v>
      </c>
      <c r="C818" t="s">
        <v>48</v>
      </c>
      <c r="D818">
        <v>36</v>
      </c>
      <c r="E818">
        <v>25</v>
      </c>
      <c r="F818">
        <v>11.48</v>
      </c>
      <c r="G818">
        <v>0</v>
      </c>
      <c r="H818">
        <v>0</v>
      </c>
      <c r="I818" s="3">
        <f>E818+G818+H818</f>
        <v>25</v>
      </c>
      <c r="J818" s="3">
        <f>ROUND(MIN(IF(C818="Técnico III",35,IF(C818="Técnico II",28,IF(C818="Técnico I",23,IF(C818="JR",20,IF(C818="Estágio",10,0))))),IF(C818="Técnico III",SUMIFS($D:$D,$A:$A,$A818,$B:$B,"&lt;&gt;Patrícia Karla de Sousa Araújo",$B:$B,"&lt;&gt;Lorena Dias de Araujo",$B:$B,"&lt;&gt;Lucas Luiz Romero")*(35/1083),IF(C818="Técnico II",SUMIFS($D:$D,$A:$A,$A818,$B:$B,"&lt;&gt;Patrícia Karla de Sousa Araújo",$B:$B,"&lt;&gt;Lorena Dias de Araujo",$B:$B,"&lt;&gt;Lucas Luiz Romero")*(28/1083),IF(C818="Técnico I",SUMIFS($D:$D,$A:$A,$A818,$B:$B,"&lt;&gt;Patrícia Karla de Sousa Araújo",$B:$B,"&lt;&gt;Lorena Dias de Araujo",$B:$B,"&lt;&gt;Lucas Luiz Romero")*(23/1083),IF(C818="JR",SUMIFS($D:$D,$A:$A,$A818,$B:$B,"&lt;&gt;Patrícia Karla de Sousa Araújo",$B:$B,"&lt;&gt;Lorena Dias de Araujo",$B:$B,"&lt;&gt;Lucas Luiz Romero")*(20/1083),IF(C818="Estágio",SUMIFS($D:$D,$A:$A,$A818,$B:$B,"&lt;&gt;Patrícia Karla de Sousa Araújo",$B:$B,"&lt;&gt;Lorena Dias de Araujo",$B:$B,"&lt;&gt;Lucas Luiz Romero")*(10/1083),0)))))),0)</f>
        <v>20</v>
      </c>
      <c r="K818" s="3">
        <f>I818-J818</f>
        <v>5</v>
      </c>
      <c r="L818" s="3" t="str">
        <f>IF(K818&lt;-5,"CRÍTICO",IF(K818&lt;0,"ATENÇÃO",IF(K818&lt;=5,"BOM","EXCELENTE")))</f>
        <v>BOM</v>
      </c>
      <c r="M818">
        <v>24</v>
      </c>
      <c r="N818">
        <v>96.81</v>
      </c>
      <c r="O818">
        <v>27.980535279805348</v>
      </c>
    </row>
    <row r="819" spans="1:15" hidden="1" x14ac:dyDescent="0.25">
      <c r="A819" s="11">
        <v>46027</v>
      </c>
      <c r="B819" t="s">
        <v>31</v>
      </c>
      <c r="C819" t="s">
        <v>32</v>
      </c>
      <c r="D819">
        <v>0</v>
      </c>
      <c r="E819">
        <v>0</v>
      </c>
      <c r="F819">
        <v>0</v>
      </c>
      <c r="G819">
        <v>0</v>
      </c>
      <c r="H819">
        <v>0</v>
      </c>
      <c r="I819" s="3">
        <v>0</v>
      </c>
      <c r="J819" s="3">
        <v>0</v>
      </c>
      <c r="K819" s="3">
        <v>0</v>
      </c>
      <c r="L819" s="3" t="str">
        <f>IF(K819&lt;-5,"CRÍTICO",IF(K819&lt;0,"ATENÇÃO",IF(K819&lt;=5,"BOM","EXCELENTE")))</f>
        <v>BOM</v>
      </c>
      <c r="M819">
        <v>25</v>
      </c>
      <c r="N819">
        <v>98.73</v>
      </c>
      <c r="O819">
        <v>35.756385068762278</v>
      </c>
    </row>
    <row r="820" spans="1:15" hidden="1" x14ac:dyDescent="0.25">
      <c r="A820" s="11">
        <v>46027</v>
      </c>
      <c r="B820" t="s">
        <v>59</v>
      </c>
      <c r="C820" t="s">
        <v>23</v>
      </c>
      <c r="D820">
        <v>36</v>
      </c>
      <c r="E820">
        <v>32</v>
      </c>
      <c r="F820">
        <v>18.559999999999999</v>
      </c>
      <c r="G820">
        <v>0</v>
      </c>
      <c r="H820">
        <v>0</v>
      </c>
      <c r="I820" s="3">
        <f>E820+G820+H820</f>
        <v>32</v>
      </c>
      <c r="J820" s="3">
        <f>ROUND(MIN(IF(C820="Técnico III",35,IF(C820="Técnico II",28,IF(C820="Técnico I",23,IF(C820="JR",20,IF(C820="Estágio",10,0))))),IF(C820="Técnico III",SUMIFS($D:$D,$A:$A,$A820,$B:$B,"&lt;&gt;Patrícia Karla de Sousa Araújo",$B:$B,"&lt;&gt;Lorena Dias de Araujo",$B:$B,"&lt;&gt;Lucas Luiz Romero")*(35/1083),IF(C820="Técnico II",SUMIFS($D:$D,$A:$A,$A820,$B:$B,"&lt;&gt;Patrícia Karla de Sousa Araújo",$B:$B,"&lt;&gt;Lorena Dias de Araujo",$B:$B,"&lt;&gt;Lucas Luiz Romero")*(28/1083),IF(C820="Técnico I",SUMIFS($D:$D,$A:$A,$A820,$B:$B,"&lt;&gt;Patrícia Karla de Sousa Araújo",$B:$B,"&lt;&gt;Lorena Dias de Araujo",$B:$B,"&lt;&gt;Lucas Luiz Romero")*(23/1083),IF(C820="JR",SUMIFS($D:$D,$A:$A,$A820,$B:$B,"&lt;&gt;Patrícia Karla de Sousa Araújo",$B:$B,"&lt;&gt;Lorena Dias de Araujo",$B:$B,"&lt;&gt;Lucas Luiz Romero")*(20/1083),IF(C820="Estágio",SUMIFS($D:$D,$A:$A,$A820,$B:$B,"&lt;&gt;Patrícia Karla de Sousa Araújo",$B:$B,"&lt;&gt;Lorena Dias de Araujo",$B:$B,"&lt;&gt;Lucas Luiz Romero")*(10/1083),0)))))),0)</f>
        <v>17</v>
      </c>
      <c r="K820" s="3">
        <f>I820-J820</f>
        <v>15</v>
      </c>
      <c r="L820" s="3" t="str">
        <f>IF(K820&lt;-5,"CRÍTICO",IF(K820&lt;0,"ATENÇÃO",IF(K820&lt;=5,"BOM","EXCELENTE")))</f>
        <v>EXCELENTE</v>
      </c>
      <c r="M820">
        <v>29</v>
      </c>
      <c r="N820">
        <v>98.32</v>
      </c>
      <c r="O820">
        <v>26.763485477178421</v>
      </c>
    </row>
    <row r="821" spans="1:15" hidden="1" x14ac:dyDescent="0.25">
      <c r="A821" s="11">
        <v>46027</v>
      </c>
      <c r="B821" t="s">
        <v>33</v>
      </c>
      <c r="C821" t="s">
        <v>32</v>
      </c>
      <c r="D821">
        <v>32</v>
      </c>
      <c r="E821">
        <v>32</v>
      </c>
      <c r="F821">
        <v>15.4</v>
      </c>
      <c r="G821">
        <v>0</v>
      </c>
      <c r="H821">
        <v>0</v>
      </c>
      <c r="I821" s="3">
        <f>E821+G821+H821</f>
        <v>32</v>
      </c>
      <c r="J821" s="3">
        <f>ROUND(MIN(IF(C821="Técnico III",35,IF(C821="Técnico II",28,IF(C821="Técnico I",23,IF(C821="JR",20,IF(C821="Estágio",10,0))))),IF(C821="Técnico III",SUMIFS($D:$D,$A:$A,$A821,$B:$B,"&lt;&gt;Patrícia Karla de Sousa Araújo",$B:$B,"&lt;&gt;Lorena Dias de Araujo",$B:$B,"&lt;&gt;Lucas Luiz Romero")*(35/1083),IF(C821="Técnico II",SUMIFS($D:$D,$A:$A,$A821,$B:$B,"&lt;&gt;Patrícia Karla de Sousa Araújo",$B:$B,"&lt;&gt;Lorena Dias de Araujo",$B:$B,"&lt;&gt;Lucas Luiz Romero")*(28/1083),IF(C821="Técnico I",SUMIFS($D:$D,$A:$A,$A821,$B:$B,"&lt;&gt;Patrícia Karla de Sousa Araújo",$B:$B,"&lt;&gt;Lorena Dias de Araujo",$B:$B,"&lt;&gt;Lucas Luiz Romero")*(23/1083),IF(C821="JR",SUMIFS($D:$D,$A:$A,$A821,$B:$B,"&lt;&gt;Patrícia Karla de Sousa Araújo",$B:$B,"&lt;&gt;Lorena Dias de Araujo",$B:$B,"&lt;&gt;Lucas Luiz Romero")*(20/1083),IF(C821="Estágio",SUMIFS($D:$D,$A:$A,$A821,$B:$B,"&lt;&gt;Patrícia Karla de Sousa Araújo",$B:$B,"&lt;&gt;Lorena Dias de Araujo",$B:$B,"&lt;&gt;Lucas Luiz Romero")*(10/1083),0)))))),0)</f>
        <v>25</v>
      </c>
      <c r="K821" s="3">
        <f>I821-J821</f>
        <v>7</v>
      </c>
      <c r="L821" s="3" t="str">
        <f>IF(K821&lt;-5,"CRÍTICO",IF(K821&lt;0,"ATENÇÃO",IF(K821&lt;=5,"BOM","EXCELENTE")))</f>
        <v>EXCELENTE</v>
      </c>
      <c r="M821">
        <v>27</v>
      </c>
      <c r="N821">
        <v>99.19</v>
      </c>
      <c r="O821">
        <v>27.637130801687761</v>
      </c>
    </row>
    <row r="822" spans="1:15" hidden="1" x14ac:dyDescent="0.25">
      <c r="A822" s="11">
        <v>46027</v>
      </c>
      <c r="B822" t="s">
        <v>15</v>
      </c>
      <c r="C822" t="s">
        <v>16</v>
      </c>
      <c r="D822">
        <v>9</v>
      </c>
      <c r="E822">
        <v>9</v>
      </c>
      <c r="F822">
        <v>20.23</v>
      </c>
      <c r="G822">
        <v>0</v>
      </c>
      <c r="H822">
        <v>0</v>
      </c>
      <c r="I822" s="3">
        <f>E822+G822+H822</f>
        <v>9</v>
      </c>
      <c r="J822" s="3">
        <f>ROUND(MIN(IF(C822="Técnico III",35,IF(C822="Técnico II",28,IF(C822="Técnico I",23,IF(C822="JR",20,IF(C822="Estágio",10,0))))),IF(C822="Técnico III",SUMIFS($D:$D,$A:$A,$A822,$B:$B,"&lt;&gt;Patrícia Karla de Sousa Araújo",$B:$B,"&lt;&gt;Lorena Dias de Araujo",$B:$B,"&lt;&gt;Lucas Luiz Romero")*(35/1083),IF(C822="Técnico II",SUMIFS($D:$D,$A:$A,$A822,$B:$B,"&lt;&gt;Patrícia Karla de Sousa Araújo",$B:$B,"&lt;&gt;Lorena Dias de Araujo",$B:$B,"&lt;&gt;Lucas Luiz Romero")*(28/1083),IF(C822="Técnico I",SUMIFS($D:$D,$A:$A,$A822,$B:$B,"&lt;&gt;Patrícia Karla de Sousa Araújo",$B:$B,"&lt;&gt;Lorena Dias de Araujo",$B:$B,"&lt;&gt;Lucas Luiz Romero")*(23/1083),IF(C822="JR",SUMIFS($D:$D,$A:$A,$A822,$B:$B,"&lt;&gt;Patrícia Karla de Sousa Araújo",$B:$B,"&lt;&gt;Lorena Dias de Araujo",$B:$B,"&lt;&gt;Lucas Luiz Romero")*(20/1083),IF(C822="Estágio",SUMIFS($D:$D,$A:$A,$A822,$B:$B,"&lt;&gt;Patrícia Karla de Sousa Araújo",$B:$B,"&lt;&gt;Lorena Dias de Araujo",$B:$B,"&lt;&gt;Lucas Luiz Romero")*(10/1083),0)))))),0)</f>
        <v>7</v>
      </c>
      <c r="K822" s="3">
        <f>I822-J822</f>
        <v>2</v>
      </c>
      <c r="L822" s="3" t="str">
        <f>IF(K822&lt;-5,"CRÍTICO",IF(K822&lt;0,"ATENÇÃO",IF(K822&lt;=5,"BOM","EXCELENTE")))</f>
        <v>BOM</v>
      </c>
      <c r="M822">
        <v>9</v>
      </c>
      <c r="N822">
        <v>100</v>
      </c>
      <c r="O822">
        <v>39.568345323741013</v>
      </c>
    </row>
    <row r="823" spans="1:15" hidden="1" x14ac:dyDescent="0.25">
      <c r="A823" s="11">
        <v>46027</v>
      </c>
      <c r="B823" t="s">
        <v>49</v>
      </c>
      <c r="C823" t="s">
        <v>48</v>
      </c>
      <c r="D823">
        <v>28</v>
      </c>
      <c r="E823">
        <v>26</v>
      </c>
      <c r="F823">
        <v>18.22</v>
      </c>
      <c r="G823">
        <v>0</v>
      </c>
      <c r="H823">
        <v>0</v>
      </c>
      <c r="I823" s="3">
        <f>E823+G823+H823</f>
        <v>26</v>
      </c>
      <c r="J823" s="3">
        <f>ROUND(MIN(IF(C823="Técnico III",35,IF(C823="Técnico II",28,IF(C823="Técnico I",23,IF(C823="JR",20,IF(C823="Estágio",10,0))))),IF(C823="Técnico III",SUMIFS($D:$D,$A:$A,$A823,$B:$B,"&lt;&gt;Patrícia Karla de Sousa Araújo",$B:$B,"&lt;&gt;Lorena Dias de Araujo",$B:$B,"&lt;&gt;Lucas Luiz Romero")*(35/1083),IF(C823="Técnico II",SUMIFS($D:$D,$A:$A,$A823,$B:$B,"&lt;&gt;Patrícia Karla de Sousa Araújo",$B:$B,"&lt;&gt;Lorena Dias de Araujo",$B:$B,"&lt;&gt;Lucas Luiz Romero")*(28/1083),IF(C823="Técnico I",SUMIFS($D:$D,$A:$A,$A823,$B:$B,"&lt;&gt;Patrícia Karla de Sousa Araújo",$B:$B,"&lt;&gt;Lorena Dias de Araujo",$B:$B,"&lt;&gt;Lucas Luiz Romero")*(23/1083),IF(C823="JR",SUMIFS($D:$D,$A:$A,$A823,$B:$B,"&lt;&gt;Patrícia Karla de Sousa Araújo",$B:$B,"&lt;&gt;Lorena Dias de Araujo",$B:$B,"&lt;&gt;Lucas Luiz Romero")*(20/1083),IF(C823="Estágio",SUMIFS($D:$D,$A:$A,$A823,$B:$B,"&lt;&gt;Patrícia Karla de Sousa Araújo",$B:$B,"&lt;&gt;Lorena Dias de Araujo",$B:$B,"&lt;&gt;Lucas Luiz Romero")*(10/1083),0)))))),0)</f>
        <v>20</v>
      </c>
      <c r="K823" s="3">
        <f>I823-J823</f>
        <v>6</v>
      </c>
      <c r="L823" s="3" t="str">
        <f>IF(K823&lt;-5,"CRÍTICO",IF(K823&lt;0,"ATENÇÃO",IF(K823&lt;=5,"BOM","EXCELENTE")))</f>
        <v>EXCELENTE</v>
      </c>
      <c r="M823">
        <v>26</v>
      </c>
      <c r="N823">
        <v>98.54</v>
      </c>
      <c r="O823">
        <v>28.544776119402989</v>
      </c>
    </row>
    <row r="824" spans="1:15" hidden="1" x14ac:dyDescent="0.25">
      <c r="A824" s="11">
        <v>46027</v>
      </c>
      <c r="B824" t="s">
        <v>50</v>
      </c>
      <c r="C824" t="s">
        <v>48</v>
      </c>
      <c r="D824">
        <v>33</v>
      </c>
      <c r="E824">
        <v>31</v>
      </c>
      <c r="F824">
        <v>15.32</v>
      </c>
      <c r="G824">
        <v>0</v>
      </c>
      <c r="H824">
        <v>0</v>
      </c>
      <c r="I824" s="3">
        <f>E824+G824+H824</f>
        <v>31</v>
      </c>
      <c r="J824" s="3">
        <f>ROUND(MIN(IF(C824="Técnico III",35,IF(C824="Técnico II",28,IF(C824="Técnico I",23,IF(C824="JR",20,IF(C824="Estágio",10,0))))),IF(C824="Técnico III",SUMIFS($D:$D,$A:$A,$A824,$B:$B,"&lt;&gt;Patrícia Karla de Sousa Araújo",$B:$B,"&lt;&gt;Lorena Dias de Araujo",$B:$B,"&lt;&gt;Lucas Luiz Romero")*(35/1083),IF(C824="Técnico II",SUMIFS($D:$D,$A:$A,$A824,$B:$B,"&lt;&gt;Patrícia Karla de Sousa Araújo",$B:$B,"&lt;&gt;Lorena Dias de Araujo",$B:$B,"&lt;&gt;Lucas Luiz Romero")*(28/1083),IF(C824="Técnico I",SUMIFS($D:$D,$A:$A,$A824,$B:$B,"&lt;&gt;Patrícia Karla de Sousa Araújo",$B:$B,"&lt;&gt;Lorena Dias de Araujo",$B:$B,"&lt;&gt;Lucas Luiz Romero")*(23/1083),IF(C824="JR",SUMIFS($D:$D,$A:$A,$A824,$B:$B,"&lt;&gt;Patrícia Karla de Sousa Araújo",$B:$B,"&lt;&gt;Lorena Dias de Araujo",$B:$B,"&lt;&gt;Lucas Luiz Romero")*(20/1083),IF(C824="Estágio",SUMIFS($D:$D,$A:$A,$A824,$B:$B,"&lt;&gt;Patrícia Karla de Sousa Araújo",$B:$B,"&lt;&gt;Lorena Dias de Araujo",$B:$B,"&lt;&gt;Lucas Luiz Romero")*(10/1083),0)))))),0)</f>
        <v>20</v>
      </c>
      <c r="K824" s="3">
        <f>I824-J824</f>
        <v>11</v>
      </c>
      <c r="L824" s="3" t="str">
        <f>IF(K824&lt;-5,"CRÍTICO",IF(K824&lt;0,"ATENÇÃO",IF(K824&lt;=5,"BOM","EXCELENTE")))</f>
        <v>EXCELENTE</v>
      </c>
      <c r="M824">
        <v>27</v>
      </c>
      <c r="N824">
        <v>100</v>
      </c>
      <c r="O824">
        <v>34.366925064599492</v>
      </c>
    </row>
    <row r="825" spans="1:15" hidden="1" x14ac:dyDescent="0.25">
      <c r="A825" s="11">
        <v>46027</v>
      </c>
      <c r="B825" t="s">
        <v>17</v>
      </c>
      <c r="C825" t="s">
        <v>16</v>
      </c>
      <c r="D825">
        <v>0</v>
      </c>
      <c r="E825">
        <v>0</v>
      </c>
      <c r="F825">
        <v>0</v>
      </c>
      <c r="G825">
        <v>0</v>
      </c>
      <c r="H825">
        <v>0</v>
      </c>
      <c r="I825" s="3">
        <v>0</v>
      </c>
      <c r="J825" s="3">
        <v>0</v>
      </c>
      <c r="K825" s="3">
        <v>0</v>
      </c>
      <c r="L825" s="3" t="str">
        <f>IF(K825&lt;-5,"CRÍTICO",IF(K825&lt;0,"ATENÇÃO",IF(K825&lt;=5,"BOM","EXCELENTE")))</f>
        <v>BOM</v>
      </c>
      <c r="M825">
        <v>0</v>
      </c>
      <c r="N825">
        <v>0</v>
      </c>
      <c r="O825">
        <v>0</v>
      </c>
    </row>
    <row r="826" spans="1:15" hidden="1" x14ac:dyDescent="0.25">
      <c r="A826" s="11">
        <v>46027</v>
      </c>
      <c r="B826" t="s">
        <v>60</v>
      </c>
      <c r="C826" t="s">
        <v>23</v>
      </c>
      <c r="D826">
        <v>22</v>
      </c>
      <c r="E826">
        <v>20</v>
      </c>
      <c r="F826">
        <v>18.23</v>
      </c>
      <c r="G826">
        <v>0</v>
      </c>
      <c r="H826">
        <v>0</v>
      </c>
      <c r="I826" s="3">
        <f>E826+G826+H826</f>
        <v>20</v>
      </c>
      <c r="J826" s="3">
        <f>ROUND(MIN(IF(C826="Técnico III",35,IF(C826="Técnico II",28,IF(C826="Técnico I",23,IF(C826="JR",20,IF(C826="Estágio",10,0))))),IF(C826="Técnico III",SUMIFS($D:$D,$A:$A,$A826,$B:$B,"&lt;&gt;Patrícia Karla de Sousa Araújo",$B:$B,"&lt;&gt;Lorena Dias de Araujo",$B:$B,"&lt;&gt;Lucas Luiz Romero")*(35/1083),IF(C826="Técnico II",SUMIFS($D:$D,$A:$A,$A826,$B:$B,"&lt;&gt;Patrícia Karla de Sousa Araújo",$B:$B,"&lt;&gt;Lorena Dias de Araujo",$B:$B,"&lt;&gt;Lucas Luiz Romero")*(28/1083),IF(C826="Técnico I",SUMIFS($D:$D,$A:$A,$A826,$B:$B,"&lt;&gt;Patrícia Karla de Sousa Araújo",$B:$B,"&lt;&gt;Lorena Dias de Araujo",$B:$B,"&lt;&gt;Lucas Luiz Romero")*(23/1083),IF(C826="JR",SUMIFS($D:$D,$A:$A,$A826,$B:$B,"&lt;&gt;Patrícia Karla de Sousa Araújo",$B:$B,"&lt;&gt;Lorena Dias de Araujo",$B:$B,"&lt;&gt;Lucas Luiz Romero")*(20/1083),IF(C826="Estágio",SUMIFS($D:$D,$A:$A,$A826,$B:$B,"&lt;&gt;Patrícia Karla de Sousa Araújo",$B:$B,"&lt;&gt;Lorena Dias de Araujo",$B:$B,"&lt;&gt;Lucas Luiz Romero")*(10/1083),0)))))),0)</f>
        <v>17</v>
      </c>
      <c r="K826" s="3">
        <f>I826-J826</f>
        <v>3</v>
      </c>
      <c r="L826" s="3" t="str">
        <f>IF(K826&lt;-5,"CRÍTICO",IF(K826&lt;0,"ATENÇÃO",IF(K826&lt;=5,"BOM","EXCELENTE")))</f>
        <v>BOM</v>
      </c>
      <c r="M826">
        <v>17</v>
      </c>
      <c r="N826">
        <v>100</v>
      </c>
      <c r="O826">
        <v>29.518072289156631</v>
      </c>
    </row>
    <row r="827" spans="1:15" hidden="1" x14ac:dyDescent="0.25">
      <c r="A827" s="11">
        <v>46027</v>
      </c>
      <c r="B827" t="s">
        <v>34</v>
      </c>
      <c r="C827" t="s">
        <v>32</v>
      </c>
      <c r="D827">
        <v>42</v>
      </c>
      <c r="E827">
        <v>40</v>
      </c>
      <c r="F827">
        <v>12.27</v>
      </c>
      <c r="G827">
        <v>0</v>
      </c>
      <c r="H827">
        <v>0</v>
      </c>
      <c r="I827" s="3">
        <f>E827+G827+H827</f>
        <v>40</v>
      </c>
      <c r="J827" s="3">
        <f>ROUND(MIN(IF(C827="Técnico III",35,IF(C827="Técnico II",28,IF(C827="Técnico I",23,IF(C827="JR",20,IF(C827="Estágio",10,0))))),IF(C827="Técnico III",SUMIFS($D:$D,$A:$A,$A827,$B:$B,"&lt;&gt;Patrícia Karla de Sousa Araújo",$B:$B,"&lt;&gt;Lorena Dias de Araujo",$B:$B,"&lt;&gt;Lucas Luiz Romero")*(35/1083),IF(C827="Técnico II",SUMIFS($D:$D,$A:$A,$A827,$B:$B,"&lt;&gt;Patrícia Karla de Sousa Araújo",$B:$B,"&lt;&gt;Lorena Dias de Araujo",$B:$B,"&lt;&gt;Lucas Luiz Romero")*(28/1083),IF(C827="Técnico I",SUMIFS($D:$D,$A:$A,$A827,$B:$B,"&lt;&gt;Patrícia Karla de Sousa Araújo",$B:$B,"&lt;&gt;Lorena Dias de Araujo",$B:$B,"&lt;&gt;Lucas Luiz Romero")*(23/1083),IF(C827="JR",SUMIFS($D:$D,$A:$A,$A827,$B:$B,"&lt;&gt;Patrícia Karla de Sousa Araújo",$B:$B,"&lt;&gt;Lorena Dias de Araujo",$B:$B,"&lt;&gt;Lucas Luiz Romero")*(20/1083),IF(C827="Estágio",SUMIFS($D:$D,$A:$A,$A827,$B:$B,"&lt;&gt;Patrícia Karla de Sousa Araújo",$B:$B,"&lt;&gt;Lorena Dias de Araujo",$B:$B,"&lt;&gt;Lucas Luiz Romero")*(10/1083),0)))))),0)</f>
        <v>25</v>
      </c>
      <c r="K827" s="3">
        <f>I827-J827</f>
        <v>15</v>
      </c>
      <c r="L827" s="3" t="str">
        <f>IF(K827&lt;-5,"CRÍTICO",IF(K827&lt;0,"ATENÇÃO",IF(K827&lt;=5,"BOM","EXCELENTE")))</f>
        <v>EXCELENTE</v>
      </c>
      <c r="M827">
        <v>38</v>
      </c>
      <c r="N827">
        <v>97.45</v>
      </c>
      <c r="O827">
        <v>41.421143847487002</v>
      </c>
    </row>
    <row r="828" spans="1:15" hidden="1" x14ac:dyDescent="0.25">
      <c r="A828" s="11">
        <v>46027</v>
      </c>
      <c r="B828" t="s">
        <v>51</v>
      </c>
      <c r="C828" t="s">
        <v>48</v>
      </c>
      <c r="D828">
        <v>33</v>
      </c>
      <c r="E828">
        <v>23</v>
      </c>
      <c r="F828">
        <v>13.36</v>
      </c>
      <c r="G828">
        <v>0</v>
      </c>
      <c r="H828">
        <v>0</v>
      </c>
      <c r="I828" s="3">
        <v>0</v>
      </c>
      <c r="J828" s="3">
        <v>0</v>
      </c>
      <c r="K828" s="3">
        <v>0</v>
      </c>
      <c r="L828" s="3" t="str">
        <f>IF(K828&lt;-5,"CRÍTICO",IF(K828&lt;0,"ATENÇÃO",IF(K828&lt;=5,"BOM","EXCELENTE")))</f>
        <v>BOM</v>
      </c>
      <c r="M828">
        <v>25</v>
      </c>
      <c r="N828">
        <v>96.58</v>
      </c>
      <c r="O828">
        <v>30.396475770925111</v>
      </c>
    </row>
    <row r="829" spans="1:15" hidden="1" x14ac:dyDescent="0.25">
      <c r="A829" s="11">
        <v>46027</v>
      </c>
      <c r="B829" t="s">
        <v>61</v>
      </c>
      <c r="C829" t="s">
        <v>23</v>
      </c>
      <c r="D829">
        <v>26</v>
      </c>
      <c r="E829">
        <v>22</v>
      </c>
      <c r="F829">
        <v>19.13</v>
      </c>
      <c r="G829">
        <v>0</v>
      </c>
      <c r="H829">
        <v>0</v>
      </c>
      <c r="I829" s="3">
        <f>E829+G829+H829</f>
        <v>22</v>
      </c>
      <c r="J829" s="3">
        <f>ROUND(MIN(IF(C829="Técnico III",35,IF(C829="Técnico II",28,IF(C829="Técnico I",23,IF(C829="JR",20,IF(C829="Estágio",10,0))))),IF(C829="Técnico III",SUMIFS($D:$D,$A:$A,$A829,$B:$B,"&lt;&gt;Patrícia Karla de Sousa Araújo",$B:$B,"&lt;&gt;Lorena Dias de Araujo",$B:$B,"&lt;&gt;Lucas Luiz Romero")*(35/1083),IF(C829="Técnico II",SUMIFS($D:$D,$A:$A,$A829,$B:$B,"&lt;&gt;Patrícia Karla de Sousa Araújo",$B:$B,"&lt;&gt;Lorena Dias de Araujo",$B:$B,"&lt;&gt;Lucas Luiz Romero")*(28/1083),IF(C829="Técnico I",SUMIFS($D:$D,$A:$A,$A829,$B:$B,"&lt;&gt;Patrícia Karla de Sousa Araújo",$B:$B,"&lt;&gt;Lorena Dias de Araujo",$B:$B,"&lt;&gt;Lucas Luiz Romero")*(23/1083),IF(C829="JR",SUMIFS($D:$D,$A:$A,$A829,$B:$B,"&lt;&gt;Patrícia Karla de Sousa Araújo",$B:$B,"&lt;&gt;Lorena Dias de Araujo",$B:$B,"&lt;&gt;Lucas Luiz Romero")*(20/1083),IF(C829="Estágio",SUMIFS($D:$D,$A:$A,$A829,$B:$B,"&lt;&gt;Patrícia Karla de Sousa Araújo",$B:$B,"&lt;&gt;Lorena Dias de Araujo",$B:$B,"&lt;&gt;Lucas Luiz Romero")*(10/1083),0)))))),0)</f>
        <v>17</v>
      </c>
      <c r="K829" s="3">
        <f>I829-J829</f>
        <v>5</v>
      </c>
      <c r="L829" s="3" t="str">
        <f>IF(K829&lt;-5,"CRÍTICO",IF(K829&lt;0,"ATENÇÃO",IF(K829&lt;=5,"BOM","EXCELENTE")))</f>
        <v>BOM</v>
      </c>
      <c r="M829">
        <v>25</v>
      </c>
      <c r="N829">
        <v>100</v>
      </c>
      <c r="O829">
        <v>27.44282744282744</v>
      </c>
    </row>
    <row r="830" spans="1:15" hidden="1" x14ac:dyDescent="0.25">
      <c r="A830" s="11">
        <v>46027</v>
      </c>
      <c r="B830" t="s">
        <v>35</v>
      </c>
      <c r="C830" t="s">
        <v>32</v>
      </c>
      <c r="D830">
        <v>22</v>
      </c>
      <c r="E830">
        <v>22</v>
      </c>
      <c r="F830">
        <v>23.55</v>
      </c>
      <c r="G830">
        <v>0</v>
      </c>
      <c r="H830">
        <v>0</v>
      </c>
      <c r="I830" s="3">
        <v>0</v>
      </c>
      <c r="J830" s="3">
        <v>0</v>
      </c>
      <c r="K830" s="3">
        <v>0</v>
      </c>
      <c r="L830" s="3" t="str">
        <f>IF(K830&lt;-5,"CRÍTICO",IF(K830&lt;0,"ATENÇÃO",IF(K830&lt;=5,"BOM","EXCELENTE")))</f>
        <v>BOM</v>
      </c>
      <c r="M830">
        <v>24</v>
      </c>
      <c r="N830">
        <v>99.49</v>
      </c>
      <c r="O830">
        <v>40.200000000000003</v>
      </c>
    </row>
    <row r="831" spans="1:15" hidden="1" x14ac:dyDescent="0.25">
      <c r="A831" s="11">
        <v>46027</v>
      </c>
      <c r="B831" t="s">
        <v>18</v>
      </c>
      <c r="C831" t="s">
        <v>16</v>
      </c>
      <c r="D831">
        <v>0</v>
      </c>
      <c r="E831">
        <v>0</v>
      </c>
      <c r="F831">
        <v>0</v>
      </c>
      <c r="G831">
        <v>0</v>
      </c>
      <c r="H831">
        <v>0</v>
      </c>
      <c r="I831" s="3">
        <v>0</v>
      </c>
      <c r="J831" s="3">
        <v>0</v>
      </c>
      <c r="K831" s="3">
        <v>0</v>
      </c>
      <c r="L831" s="3" t="str">
        <f>IF(K831&lt;-5,"CRÍTICO",IF(K831&lt;0,"ATENÇÃO",IF(K831&lt;=5,"BOM","EXCELENTE")))</f>
        <v>BOM</v>
      </c>
      <c r="M831">
        <v>0</v>
      </c>
      <c r="N831">
        <v>100</v>
      </c>
      <c r="O831">
        <v>25</v>
      </c>
    </row>
    <row r="832" spans="1:15" hidden="1" x14ac:dyDescent="0.25">
      <c r="A832" s="11">
        <v>46027</v>
      </c>
      <c r="B832" t="s">
        <v>52</v>
      </c>
      <c r="C832" t="s">
        <v>48</v>
      </c>
      <c r="D832">
        <v>39</v>
      </c>
      <c r="E832">
        <v>38</v>
      </c>
      <c r="F832">
        <v>12.19</v>
      </c>
      <c r="G832">
        <v>0</v>
      </c>
      <c r="H832">
        <v>0</v>
      </c>
      <c r="I832" s="3">
        <f>E832+G832+H832</f>
        <v>38</v>
      </c>
      <c r="J832" s="3">
        <f>ROUND(MIN(IF(C832="Técnico III",35,IF(C832="Técnico II",28,IF(C832="Técnico I",23,IF(C832="JR",20,IF(C832="Estágio",10,0))))),IF(C832="Técnico III",SUMIFS($D:$D,$A:$A,$A832,$B:$B,"&lt;&gt;Patrícia Karla de Sousa Araújo",$B:$B,"&lt;&gt;Lorena Dias de Araujo",$B:$B,"&lt;&gt;Lucas Luiz Romero")*(35/1083),IF(C832="Técnico II",SUMIFS($D:$D,$A:$A,$A832,$B:$B,"&lt;&gt;Patrícia Karla de Sousa Araújo",$B:$B,"&lt;&gt;Lorena Dias de Araujo",$B:$B,"&lt;&gt;Lucas Luiz Romero")*(28/1083),IF(C832="Técnico I",SUMIFS($D:$D,$A:$A,$A832,$B:$B,"&lt;&gt;Patrícia Karla de Sousa Araújo",$B:$B,"&lt;&gt;Lorena Dias de Araujo",$B:$B,"&lt;&gt;Lucas Luiz Romero")*(23/1083),IF(C832="JR",SUMIFS($D:$D,$A:$A,$A832,$B:$B,"&lt;&gt;Patrícia Karla de Sousa Araújo",$B:$B,"&lt;&gt;Lorena Dias de Araujo",$B:$B,"&lt;&gt;Lucas Luiz Romero")*(20/1083),IF(C832="Estágio",SUMIFS($D:$D,$A:$A,$A832,$B:$B,"&lt;&gt;Patrícia Karla de Sousa Araújo",$B:$B,"&lt;&gt;Lorena Dias de Araujo",$B:$B,"&lt;&gt;Lucas Luiz Romero")*(10/1083),0)))))),0)</f>
        <v>20</v>
      </c>
      <c r="K832" s="3">
        <f>I832-J832</f>
        <v>18</v>
      </c>
      <c r="L832" s="3" t="str">
        <f>IF(K832&lt;-5,"CRÍTICO",IF(K832&lt;0,"ATENÇÃO",IF(K832&lt;=5,"BOM","EXCELENTE")))</f>
        <v>EXCELENTE</v>
      </c>
      <c r="M832">
        <v>34</v>
      </c>
      <c r="N832">
        <v>100</v>
      </c>
      <c r="O832">
        <v>34.15094339622641</v>
      </c>
    </row>
    <row r="833" spans="1:15" hidden="1" x14ac:dyDescent="0.25">
      <c r="A833" s="11">
        <v>46027</v>
      </c>
      <c r="B833" t="s">
        <v>36</v>
      </c>
      <c r="C833" t="s">
        <v>32</v>
      </c>
      <c r="D833">
        <v>32</v>
      </c>
      <c r="E833">
        <v>29</v>
      </c>
      <c r="F833">
        <v>11.53</v>
      </c>
      <c r="G833">
        <v>0</v>
      </c>
      <c r="H833">
        <v>0</v>
      </c>
      <c r="I833" s="3">
        <f>E833+G833+H833</f>
        <v>29</v>
      </c>
      <c r="J833" s="3">
        <f>ROUND(MIN(IF(C833="Técnico III",35,IF(C833="Técnico II",28,IF(C833="Técnico I",23,IF(C833="JR",20,IF(C833="Estágio",10,0))))),IF(C833="Técnico III",SUMIFS($D:$D,$A:$A,$A833,$B:$B,"&lt;&gt;Patrícia Karla de Sousa Araújo",$B:$B,"&lt;&gt;Lorena Dias de Araujo",$B:$B,"&lt;&gt;Lucas Luiz Romero")*(35/1083),IF(C833="Técnico II",SUMIFS($D:$D,$A:$A,$A833,$B:$B,"&lt;&gt;Patrícia Karla de Sousa Araújo",$B:$B,"&lt;&gt;Lorena Dias de Araujo",$B:$B,"&lt;&gt;Lucas Luiz Romero")*(28/1083),IF(C833="Técnico I",SUMIFS($D:$D,$A:$A,$A833,$B:$B,"&lt;&gt;Patrícia Karla de Sousa Araújo",$B:$B,"&lt;&gt;Lorena Dias de Araujo",$B:$B,"&lt;&gt;Lucas Luiz Romero")*(23/1083),IF(C833="JR",SUMIFS($D:$D,$A:$A,$A833,$B:$B,"&lt;&gt;Patrícia Karla de Sousa Araújo",$B:$B,"&lt;&gt;Lorena Dias de Araujo",$B:$B,"&lt;&gt;Lucas Luiz Romero")*(20/1083),IF(C833="Estágio",SUMIFS($D:$D,$A:$A,$A833,$B:$B,"&lt;&gt;Patrícia Karla de Sousa Araújo",$B:$B,"&lt;&gt;Lorena Dias de Araujo",$B:$B,"&lt;&gt;Lucas Luiz Romero")*(10/1083),0)))))),0)</f>
        <v>25</v>
      </c>
      <c r="K833" s="3">
        <f>I833-J833</f>
        <v>4</v>
      </c>
      <c r="L833" s="3" t="str">
        <f>IF(K833&lt;-5,"CRÍTICO",IF(K833&lt;0,"ATENÇÃO",IF(K833&lt;=5,"BOM","EXCELENTE")))</f>
        <v>BOM</v>
      </c>
      <c r="M833">
        <v>30</v>
      </c>
      <c r="N833">
        <v>100</v>
      </c>
      <c r="O833">
        <v>32.731376975169297</v>
      </c>
    </row>
    <row r="834" spans="1:15" hidden="1" x14ac:dyDescent="0.25">
      <c r="A834" s="11">
        <v>46027</v>
      </c>
      <c r="B834" t="s">
        <v>53</v>
      </c>
      <c r="C834" t="s">
        <v>48</v>
      </c>
      <c r="D834">
        <v>32</v>
      </c>
      <c r="E834">
        <v>27</v>
      </c>
      <c r="F834">
        <v>20.36</v>
      </c>
      <c r="G834">
        <v>0</v>
      </c>
      <c r="H834">
        <v>0</v>
      </c>
      <c r="I834" s="3">
        <f>E834+G834+H834</f>
        <v>27</v>
      </c>
      <c r="J834" s="3">
        <f>ROUND(MIN(IF(C834="Técnico III",35,IF(C834="Técnico II",28,IF(C834="Técnico I",23,IF(C834="JR",20,IF(C834="Estágio",10,0))))),IF(C834="Técnico III",SUMIFS($D:$D,$A:$A,$A834,$B:$B,"&lt;&gt;Patrícia Karla de Sousa Araújo",$B:$B,"&lt;&gt;Lorena Dias de Araujo",$B:$B,"&lt;&gt;Lucas Luiz Romero")*(35/1083),IF(C834="Técnico II",SUMIFS($D:$D,$A:$A,$A834,$B:$B,"&lt;&gt;Patrícia Karla de Sousa Araújo",$B:$B,"&lt;&gt;Lorena Dias de Araujo",$B:$B,"&lt;&gt;Lucas Luiz Romero")*(28/1083),IF(C834="Técnico I",SUMIFS($D:$D,$A:$A,$A834,$B:$B,"&lt;&gt;Patrícia Karla de Sousa Araújo",$B:$B,"&lt;&gt;Lorena Dias de Araujo",$B:$B,"&lt;&gt;Lucas Luiz Romero")*(23/1083),IF(C834="JR",SUMIFS($D:$D,$A:$A,$A834,$B:$B,"&lt;&gt;Patrícia Karla de Sousa Araújo",$B:$B,"&lt;&gt;Lorena Dias de Araujo",$B:$B,"&lt;&gt;Lucas Luiz Romero")*(20/1083),IF(C834="Estágio",SUMIFS($D:$D,$A:$A,$A834,$B:$B,"&lt;&gt;Patrícia Karla de Sousa Araújo",$B:$B,"&lt;&gt;Lorena Dias de Araujo",$B:$B,"&lt;&gt;Lucas Luiz Romero")*(10/1083),0)))))),0)</f>
        <v>20</v>
      </c>
      <c r="K834" s="3">
        <f>I834-J834</f>
        <v>7</v>
      </c>
      <c r="L834" s="3" t="str">
        <f>IF(K834&lt;-5,"CRÍTICO",IF(K834&lt;0,"ATENÇÃO",IF(K834&lt;=5,"BOM","EXCELENTE")))</f>
        <v>EXCELENTE</v>
      </c>
      <c r="M834">
        <v>27</v>
      </c>
      <c r="N834">
        <v>99.31</v>
      </c>
      <c r="O834">
        <v>30.96234309623431</v>
      </c>
    </row>
    <row r="835" spans="1:15" hidden="1" x14ac:dyDescent="0.25">
      <c r="A835" s="11">
        <v>46059</v>
      </c>
      <c r="B835" t="s">
        <v>22</v>
      </c>
      <c r="C835" t="s">
        <v>23</v>
      </c>
      <c r="D835">
        <v>18</v>
      </c>
      <c r="E835">
        <v>16</v>
      </c>
      <c r="F835">
        <v>27.15</v>
      </c>
      <c r="G835">
        <v>0</v>
      </c>
      <c r="H835">
        <v>0</v>
      </c>
      <c r="I835" s="3">
        <f>E835+G835+H835</f>
        <v>16</v>
      </c>
      <c r="J835" s="3">
        <f>ROUND(MIN(IF(C835="Técnico III",35,IF(C835="Técnico II",28,IF(C835="Técnico I",23,IF(C835="JR",20,IF(C835="Estágio",10,0))))),IF(C835="Técnico III",SUMIFS($D:$D,$A:$A,$A835,$B:$B,"&lt;&gt;Patrícia Karla de Sousa Araújo",$B:$B,"&lt;&gt;Lorena Dias de Araujo",$B:$B,"&lt;&gt;Lucas Luiz Romero")*(35/1083),IF(C835="Técnico II",SUMIFS($D:$D,$A:$A,$A835,$B:$B,"&lt;&gt;Patrícia Karla de Sousa Araújo",$B:$B,"&lt;&gt;Lorena Dias de Araujo",$B:$B,"&lt;&gt;Lucas Luiz Romero")*(28/1083),IF(C835="Técnico I",SUMIFS($D:$D,$A:$A,$A835,$B:$B,"&lt;&gt;Patrícia Karla de Sousa Araújo",$B:$B,"&lt;&gt;Lorena Dias de Araujo",$B:$B,"&lt;&gt;Lucas Luiz Romero")*(23/1083),IF(C835="JR",SUMIFS($D:$D,$A:$A,$A835,$B:$B,"&lt;&gt;Patrícia Karla de Sousa Araújo",$B:$B,"&lt;&gt;Lorena Dias de Araujo",$B:$B,"&lt;&gt;Lucas Luiz Romero")*(20/1083),IF(C835="Estágio",SUMIFS($D:$D,$A:$A,$A835,$B:$B,"&lt;&gt;Patrícia Karla de Sousa Araújo",$B:$B,"&lt;&gt;Lorena Dias de Araujo",$B:$B,"&lt;&gt;Lucas Luiz Romero")*(10/1083),0)))))),0)</f>
        <v>22</v>
      </c>
      <c r="K835" s="3">
        <f>I835-J835</f>
        <v>-6</v>
      </c>
      <c r="L835" s="3" t="str">
        <f>IF(K835&lt;-5,"CRÍTICO",IF(K835&lt;0,"ATENÇÃO",IF(K835&lt;=5,"BOM","EXCELENTE")))</f>
        <v>CRÍTICO</v>
      </c>
      <c r="M835">
        <v>28</v>
      </c>
      <c r="N835">
        <v>96.67</v>
      </c>
      <c r="O835">
        <v>31.451612903225811</v>
      </c>
    </row>
    <row r="836" spans="1:15" hidden="1" x14ac:dyDescent="0.25">
      <c r="A836" s="11">
        <v>46027</v>
      </c>
      <c r="B836" t="s">
        <v>54</v>
      </c>
      <c r="C836" t="s">
        <v>48</v>
      </c>
      <c r="D836">
        <v>27</v>
      </c>
      <c r="E836">
        <v>24</v>
      </c>
      <c r="F836">
        <v>22.12</v>
      </c>
      <c r="G836">
        <v>0</v>
      </c>
      <c r="H836">
        <v>0</v>
      </c>
      <c r="I836" s="3">
        <f>E836+G836+H836</f>
        <v>24</v>
      </c>
      <c r="J836" s="3">
        <f>ROUND(MIN(IF(C836="Técnico III",35,IF(C836="Técnico II",28,IF(C836="Técnico I",23,IF(C836="JR",20,IF(C836="Estágio",10,0))))),IF(C836="Técnico III",SUMIFS($D:$D,$A:$A,$A836,$B:$B,"&lt;&gt;Patrícia Karla de Sousa Araújo",$B:$B,"&lt;&gt;Lorena Dias de Araujo",$B:$B,"&lt;&gt;Lucas Luiz Romero")*(35/1083),IF(C836="Técnico II",SUMIFS($D:$D,$A:$A,$A836,$B:$B,"&lt;&gt;Patrícia Karla de Sousa Araújo",$B:$B,"&lt;&gt;Lorena Dias de Araujo",$B:$B,"&lt;&gt;Lucas Luiz Romero")*(28/1083),IF(C836="Técnico I",SUMIFS($D:$D,$A:$A,$A836,$B:$B,"&lt;&gt;Patrícia Karla de Sousa Araújo",$B:$B,"&lt;&gt;Lorena Dias de Araujo",$B:$B,"&lt;&gt;Lucas Luiz Romero")*(23/1083),IF(C836="JR",SUMIFS($D:$D,$A:$A,$A836,$B:$B,"&lt;&gt;Patrícia Karla de Sousa Araújo",$B:$B,"&lt;&gt;Lorena Dias de Araujo",$B:$B,"&lt;&gt;Lucas Luiz Romero")*(20/1083),IF(C836="Estágio",SUMIFS($D:$D,$A:$A,$A836,$B:$B,"&lt;&gt;Patrícia Karla de Sousa Araújo",$B:$B,"&lt;&gt;Lorena Dias de Araujo",$B:$B,"&lt;&gt;Lucas Luiz Romero")*(10/1083),0)))))),0)</f>
        <v>20</v>
      </c>
      <c r="K836" s="3">
        <f>I836-J836</f>
        <v>4</v>
      </c>
      <c r="L836" s="3" t="str">
        <f>IF(K836&lt;-5,"CRÍTICO",IF(K836&lt;0,"ATENÇÃO",IF(K836&lt;=5,"BOM","EXCELENTE")))</f>
        <v>BOM</v>
      </c>
      <c r="M836">
        <v>25</v>
      </c>
      <c r="N836">
        <v>100</v>
      </c>
      <c r="O836">
        <v>27.676767676767678</v>
      </c>
    </row>
    <row r="837" spans="1:15" hidden="1" x14ac:dyDescent="0.25">
      <c r="A837" s="11">
        <v>46027</v>
      </c>
      <c r="B837" t="s">
        <v>37</v>
      </c>
      <c r="C837" t="s">
        <v>32</v>
      </c>
      <c r="D837">
        <v>53</v>
      </c>
      <c r="E837">
        <v>44</v>
      </c>
      <c r="F837">
        <v>12.26</v>
      </c>
      <c r="G837">
        <v>0</v>
      </c>
      <c r="H837">
        <v>0</v>
      </c>
      <c r="I837" s="3">
        <f>E837+G837+H837</f>
        <v>44</v>
      </c>
      <c r="J837" s="3">
        <f>ROUND(MIN(IF(C837="Técnico III",35,IF(C837="Técnico II",28,IF(C837="Técnico I",23,IF(C837="JR",20,IF(C837="Estágio",10,0))))),IF(C837="Técnico III",SUMIFS($D:$D,$A:$A,$A837,$B:$B,"&lt;&gt;Patrícia Karla de Sousa Araújo",$B:$B,"&lt;&gt;Lorena Dias de Araujo",$B:$B,"&lt;&gt;Lucas Luiz Romero")*(35/1083),IF(C837="Técnico II",SUMIFS($D:$D,$A:$A,$A837,$B:$B,"&lt;&gt;Patrícia Karla de Sousa Araújo",$B:$B,"&lt;&gt;Lorena Dias de Araujo",$B:$B,"&lt;&gt;Lucas Luiz Romero")*(28/1083),IF(C837="Técnico I",SUMIFS($D:$D,$A:$A,$A837,$B:$B,"&lt;&gt;Patrícia Karla de Sousa Araújo",$B:$B,"&lt;&gt;Lorena Dias de Araujo",$B:$B,"&lt;&gt;Lucas Luiz Romero")*(23/1083),IF(C837="JR",SUMIFS($D:$D,$A:$A,$A837,$B:$B,"&lt;&gt;Patrícia Karla de Sousa Araújo",$B:$B,"&lt;&gt;Lorena Dias de Araujo",$B:$B,"&lt;&gt;Lucas Luiz Romero")*(20/1083),IF(C837="Estágio",SUMIFS($D:$D,$A:$A,$A837,$B:$B,"&lt;&gt;Patrícia Karla de Sousa Araújo",$B:$B,"&lt;&gt;Lorena Dias de Araujo",$B:$B,"&lt;&gt;Lucas Luiz Romero")*(10/1083),0)))))),0)</f>
        <v>25</v>
      </c>
      <c r="K837" s="3">
        <f>I837-J837</f>
        <v>19</v>
      </c>
      <c r="L837" s="3" t="str">
        <f>IF(K837&lt;-5,"CRÍTICO",IF(K837&lt;0,"ATENÇÃO",IF(K837&lt;=5,"BOM","EXCELENTE")))</f>
        <v>EXCELENTE</v>
      </c>
      <c r="M837">
        <v>46</v>
      </c>
      <c r="N837">
        <v>100</v>
      </c>
      <c r="O837">
        <v>31.17723156532988</v>
      </c>
    </row>
    <row r="838" spans="1:15" hidden="1" x14ac:dyDescent="0.25">
      <c r="A838" s="11">
        <v>46027</v>
      </c>
      <c r="B838" t="s">
        <v>38</v>
      </c>
      <c r="C838" t="s">
        <v>32</v>
      </c>
      <c r="D838">
        <v>14</v>
      </c>
      <c r="E838">
        <v>12</v>
      </c>
      <c r="F838">
        <v>15.15</v>
      </c>
      <c r="G838">
        <v>0</v>
      </c>
      <c r="H838">
        <v>0</v>
      </c>
      <c r="I838" s="3">
        <f>E838+G838+H838</f>
        <v>12</v>
      </c>
      <c r="J838" s="3">
        <f>ROUND(MIN(IF(C838="Técnico III",35,IF(C838="Técnico II",28,IF(C838="Técnico I",23,IF(C838="JR",20,IF(C838="Estágio",10,0))))),IF(C838="Técnico III",SUMIFS($D:$D,$A:$A,$A838,$B:$B,"&lt;&gt;Patrícia Karla de Sousa Araújo",$B:$B,"&lt;&gt;Lorena Dias de Araujo",$B:$B,"&lt;&gt;Lucas Luiz Romero")*(35/1083),IF(C838="Técnico II",SUMIFS($D:$D,$A:$A,$A838,$B:$B,"&lt;&gt;Patrícia Karla de Sousa Araújo",$B:$B,"&lt;&gt;Lorena Dias de Araujo",$B:$B,"&lt;&gt;Lucas Luiz Romero")*(28/1083),IF(C838="Técnico I",SUMIFS($D:$D,$A:$A,$A838,$B:$B,"&lt;&gt;Patrícia Karla de Sousa Araújo",$B:$B,"&lt;&gt;Lorena Dias de Araujo",$B:$B,"&lt;&gt;Lucas Luiz Romero")*(23/1083),IF(C838="JR",SUMIFS($D:$D,$A:$A,$A838,$B:$B,"&lt;&gt;Patrícia Karla de Sousa Araújo",$B:$B,"&lt;&gt;Lorena Dias de Araujo",$B:$B,"&lt;&gt;Lucas Luiz Romero")*(20/1083),IF(C838="Estágio",SUMIFS($D:$D,$A:$A,$A838,$B:$B,"&lt;&gt;Patrícia Karla de Sousa Araújo",$B:$B,"&lt;&gt;Lorena Dias de Araujo",$B:$B,"&lt;&gt;Lucas Luiz Romero")*(10/1083),0)))))),0)</f>
        <v>25</v>
      </c>
      <c r="K838" s="3">
        <f>I838-J838</f>
        <v>-13</v>
      </c>
      <c r="L838" s="3" t="str">
        <f>IF(K838&lt;-5,"CRÍTICO",IF(K838&lt;0,"ATENÇÃO",IF(K838&lt;=5,"BOM","EXCELENTE")))</f>
        <v>CRÍTICO</v>
      </c>
      <c r="M838">
        <v>11</v>
      </c>
      <c r="N838">
        <v>100</v>
      </c>
      <c r="O838">
        <v>27.609427609427609</v>
      </c>
    </row>
    <row r="839" spans="1:15" hidden="1" x14ac:dyDescent="0.25">
      <c r="A839" s="11">
        <v>46027</v>
      </c>
      <c r="B839" t="s">
        <v>55</v>
      </c>
      <c r="C839" t="s">
        <v>48</v>
      </c>
      <c r="D839">
        <v>40</v>
      </c>
      <c r="E839">
        <v>30</v>
      </c>
      <c r="F839">
        <v>11.52</v>
      </c>
      <c r="G839">
        <v>0</v>
      </c>
      <c r="H839">
        <v>0</v>
      </c>
      <c r="I839" s="3">
        <f>E839+G839+H839</f>
        <v>30</v>
      </c>
      <c r="J839" s="3">
        <f>ROUND(MIN(IF(C839="Técnico III",35,IF(C839="Técnico II",28,IF(C839="Técnico I",23,IF(C839="JR",20,IF(C839="Estágio",10,0))))),IF(C839="Técnico III",SUMIFS($D:$D,$A:$A,$A839,$B:$B,"&lt;&gt;Patrícia Karla de Sousa Araújo",$B:$B,"&lt;&gt;Lorena Dias de Araujo",$B:$B,"&lt;&gt;Lucas Luiz Romero")*(35/1083),IF(C839="Técnico II",SUMIFS($D:$D,$A:$A,$A839,$B:$B,"&lt;&gt;Patrícia Karla de Sousa Araújo",$B:$B,"&lt;&gt;Lorena Dias de Araujo",$B:$B,"&lt;&gt;Lucas Luiz Romero")*(28/1083),IF(C839="Técnico I",SUMIFS($D:$D,$A:$A,$A839,$B:$B,"&lt;&gt;Patrícia Karla de Sousa Araújo",$B:$B,"&lt;&gt;Lorena Dias de Araujo",$B:$B,"&lt;&gt;Lucas Luiz Romero")*(23/1083),IF(C839="JR",SUMIFS($D:$D,$A:$A,$A839,$B:$B,"&lt;&gt;Patrícia Karla de Sousa Araújo",$B:$B,"&lt;&gt;Lorena Dias de Araujo",$B:$B,"&lt;&gt;Lucas Luiz Romero")*(20/1083),IF(C839="Estágio",SUMIFS($D:$D,$A:$A,$A839,$B:$B,"&lt;&gt;Patrícia Karla de Sousa Araújo",$B:$B,"&lt;&gt;Lorena Dias de Araujo",$B:$B,"&lt;&gt;Lucas Luiz Romero")*(10/1083),0)))))),0)</f>
        <v>20</v>
      </c>
      <c r="K839" s="3">
        <f>I839-J839</f>
        <v>10</v>
      </c>
      <c r="L839" s="3" t="str">
        <f>IF(K839&lt;-5,"CRÍTICO",IF(K839&lt;0,"ATENÇÃO",IF(K839&lt;=5,"BOM","EXCELENTE")))</f>
        <v>EXCELENTE</v>
      </c>
      <c r="M839">
        <v>29</v>
      </c>
      <c r="N839">
        <v>96.4</v>
      </c>
      <c r="O839">
        <v>28.764044943820231</v>
      </c>
    </row>
    <row r="840" spans="1:15" hidden="1" x14ac:dyDescent="0.25">
      <c r="A840" s="11">
        <v>46027</v>
      </c>
      <c r="B840" t="s">
        <v>39</v>
      </c>
      <c r="C840" t="s">
        <v>32</v>
      </c>
      <c r="D840">
        <v>0</v>
      </c>
      <c r="E840">
        <v>0</v>
      </c>
      <c r="F840">
        <v>0</v>
      </c>
      <c r="G840">
        <v>0</v>
      </c>
      <c r="H840">
        <v>0</v>
      </c>
      <c r="I840" s="3">
        <v>0</v>
      </c>
      <c r="J840" s="3">
        <v>0</v>
      </c>
      <c r="K840" s="3">
        <v>0</v>
      </c>
      <c r="L840" s="3" t="str">
        <f>IF(K840&lt;-5,"CRÍTICO",IF(K840&lt;0,"ATENÇÃO",IF(K840&lt;=5,"BOM","EXCELENTE")))</f>
        <v>BOM</v>
      </c>
      <c r="M840">
        <v>21</v>
      </c>
      <c r="N840">
        <v>100</v>
      </c>
      <c r="O840">
        <v>33.980582524271853</v>
      </c>
    </row>
    <row r="841" spans="1:15" hidden="1" x14ac:dyDescent="0.25">
      <c r="A841" s="11">
        <v>46027</v>
      </c>
      <c r="B841" t="s">
        <v>25</v>
      </c>
      <c r="C841" t="s">
        <v>26</v>
      </c>
      <c r="D841">
        <v>7</v>
      </c>
      <c r="E841">
        <v>6</v>
      </c>
      <c r="F841">
        <v>29.13</v>
      </c>
      <c r="G841">
        <v>0</v>
      </c>
      <c r="H841">
        <v>0</v>
      </c>
      <c r="I841" s="3">
        <f>E841+G841+H841</f>
        <v>6</v>
      </c>
      <c r="J841" s="3">
        <f>ROUND(MIN(IF(C841="Técnico III",35,IF(C841="Técnico II",28,IF(C841="Técnico I",23,IF(C841="JR",20,IF(C841="Estágio",10,0))))),IF(C841="Técnico III",SUMIFS($D:$D,$A:$A,$A841,$B:$B,"&lt;&gt;Patrícia Karla de Sousa Araújo",$B:$B,"&lt;&gt;Lorena Dias de Araujo",$B:$B,"&lt;&gt;Lucas Luiz Romero")*(35/1083),IF(C841="Técnico II",SUMIFS($D:$D,$A:$A,$A841,$B:$B,"&lt;&gt;Patrícia Karla de Sousa Araújo",$B:$B,"&lt;&gt;Lorena Dias de Araujo",$B:$B,"&lt;&gt;Lucas Luiz Romero")*(28/1083),IF(C841="Técnico I",SUMIFS($D:$D,$A:$A,$A841,$B:$B,"&lt;&gt;Patrícia Karla de Sousa Araújo",$B:$B,"&lt;&gt;Lorena Dias de Araujo",$B:$B,"&lt;&gt;Lucas Luiz Romero")*(23/1083),IF(C841="JR",SUMIFS($D:$D,$A:$A,$A841,$B:$B,"&lt;&gt;Patrícia Karla de Sousa Araújo",$B:$B,"&lt;&gt;Lorena Dias de Araujo",$B:$B,"&lt;&gt;Lucas Luiz Romero")*(20/1083),IF(C841="Estágio",SUMIFS($D:$D,$A:$A,$A841,$B:$B,"&lt;&gt;Patrícia Karla de Sousa Araújo",$B:$B,"&lt;&gt;Lorena Dias de Araujo",$B:$B,"&lt;&gt;Lucas Luiz Romero")*(10/1083),0)))))),0)</f>
        <v>14</v>
      </c>
      <c r="K841" s="3">
        <f>I841-J841</f>
        <v>-8</v>
      </c>
      <c r="L841" s="3" t="str">
        <f>IF(K841&lt;-5,"CRÍTICO",IF(K841&lt;0,"ATENÇÃO",IF(K841&lt;=5,"BOM","EXCELENTE")))</f>
        <v>CRÍTICO</v>
      </c>
      <c r="M841">
        <v>6</v>
      </c>
      <c r="N841">
        <v>97.56</v>
      </c>
      <c r="O841">
        <v>32.515337423312893</v>
      </c>
    </row>
    <row r="842" spans="1:15" hidden="1" x14ac:dyDescent="0.25">
      <c r="A842" s="11">
        <v>46027</v>
      </c>
      <c r="B842" t="s">
        <v>40</v>
      </c>
      <c r="C842" t="s">
        <v>32</v>
      </c>
      <c r="D842">
        <v>0</v>
      </c>
      <c r="E842">
        <v>0</v>
      </c>
      <c r="F842">
        <v>0</v>
      </c>
      <c r="G842">
        <v>0</v>
      </c>
      <c r="H842">
        <v>0</v>
      </c>
      <c r="I842" s="3">
        <v>0</v>
      </c>
      <c r="J842" s="3">
        <v>0</v>
      </c>
      <c r="K842" s="3">
        <v>0</v>
      </c>
      <c r="L842" s="3" t="str">
        <f>IF(K842&lt;-5,"CRÍTICO",IF(K842&lt;0,"ATENÇÃO",IF(K842&lt;=5,"BOM","EXCELENTE")))</f>
        <v>BOM</v>
      </c>
      <c r="M842">
        <v>15</v>
      </c>
      <c r="N842">
        <v>97.11</v>
      </c>
      <c r="O842">
        <v>37.408312958435211</v>
      </c>
    </row>
    <row r="843" spans="1:15" hidden="1" x14ac:dyDescent="0.25">
      <c r="A843" s="11">
        <v>46027</v>
      </c>
      <c r="B843" t="s">
        <v>27</v>
      </c>
      <c r="C843" t="s">
        <v>26</v>
      </c>
      <c r="D843">
        <v>0</v>
      </c>
      <c r="E843">
        <v>0</v>
      </c>
      <c r="F843">
        <v>0</v>
      </c>
      <c r="G843">
        <v>0</v>
      </c>
      <c r="H843">
        <v>0</v>
      </c>
      <c r="I843" s="3">
        <v>0</v>
      </c>
      <c r="J843" s="3">
        <v>0</v>
      </c>
      <c r="K843" s="3">
        <v>0</v>
      </c>
      <c r="L843" s="3" t="str">
        <f>IF(K843&lt;-5,"CRÍTICO",IF(K843&lt;0,"ATENÇÃO",IF(K843&lt;=5,"BOM","EXCELENTE")))</f>
        <v>BOM</v>
      </c>
      <c r="M843">
        <v>0</v>
      </c>
      <c r="N843">
        <v>0</v>
      </c>
      <c r="O843">
        <v>0</v>
      </c>
    </row>
    <row r="844" spans="1:15" hidden="1" x14ac:dyDescent="0.25">
      <c r="A844" s="11">
        <v>46027</v>
      </c>
      <c r="B844" t="s">
        <v>41</v>
      </c>
      <c r="C844" t="s">
        <v>32</v>
      </c>
      <c r="D844">
        <v>31</v>
      </c>
      <c r="E844">
        <v>29</v>
      </c>
      <c r="F844">
        <v>15.57</v>
      </c>
      <c r="G844">
        <v>0</v>
      </c>
      <c r="H844">
        <v>0</v>
      </c>
      <c r="I844" s="3">
        <f>E844+G844+H844</f>
        <v>29</v>
      </c>
      <c r="J844" s="3">
        <f>ROUND(MIN(IF(C844="Técnico III",35,IF(C844="Técnico II",28,IF(C844="Técnico I",23,IF(C844="JR",20,IF(C844="Estágio",10,0))))),IF(C844="Técnico III",SUMIFS($D:$D,$A:$A,$A844,$B:$B,"&lt;&gt;Patrícia Karla de Sousa Araújo",$B:$B,"&lt;&gt;Lorena Dias de Araujo",$B:$B,"&lt;&gt;Lucas Luiz Romero")*(35/1083),IF(C844="Técnico II",SUMIFS($D:$D,$A:$A,$A844,$B:$B,"&lt;&gt;Patrícia Karla de Sousa Araújo",$B:$B,"&lt;&gt;Lorena Dias de Araujo",$B:$B,"&lt;&gt;Lucas Luiz Romero")*(28/1083),IF(C844="Técnico I",SUMIFS($D:$D,$A:$A,$A844,$B:$B,"&lt;&gt;Patrícia Karla de Sousa Araújo",$B:$B,"&lt;&gt;Lorena Dias de Araujo",$B:$B,"&lt;&gt;Lucas Luiz Romero")*(23/1083),IF(C844="JR",SUMIFS($D:$D,$A:$A,$A844,$B:$B,"&lt;&gt;Patrícia Karla de Sousa Araújo",$B:$B,"&lt;&gt;Lorena Dias de Araujo",$B:$B,"&lt;&gt;Lucas Luiz Romero")*(20/1083),IF(C844="Estágio",SUMIFS($D:$D,$A:$A,$A844,$B:$B,"&lt;&gt;Patrícia Karla de Sousa Araújo",$B:$B,"&lt;&gt;Lorena Dias de Araujo",$B:$B,"&lt;&gt;Lucas Luiz Romero")*(10/1083),0)))))),0)</f>
        <v>25</v>
      </c>
      <c r="K844" s="3">
        <f>I844-J844</f>
        <v>4</v>
      </c>
      <c r="L844" s="3" t="str">
        <f>IF(K844&lt;-5,"CRÍTICO",IF(K844&lt;0,"ATENÇÃO",IF(K844&lt;=5,"BOM","EXCELENTE")))</f>
        <v>BOM</v>
      </c>
      <c r="M844">
        <v>25</v>
      </c>
      <c r="N844">
        <v>100</v>
      </c>
      <c r="O844">
        <v>30.470347648261761</v>
      </c>
    </row>
    <row r="845" spans="1:15" hidden="1" x14ac:dyDescent="0.25">
      <c r="A845" s="11">
        <v>46027</v>
      </c>
      <c r="B845" t="s">
        <v>56</v>
      </c>
      <c r="C845" t="s">
        <v>48</v>
      </c>
      <c r="D845">
        <v>32</v>
      </c>
      <c r="E845">
        <v>28</v>
      </c>
      <c r="F845">
        <v>17.100000000000001</v>
      </c>
      <c r="G845">
        <v>0</v>
      </c>
      <c r="H845">
        <v>0</v>
      </c>
      <c r="I845" s="3">
        <f>E845+G845+H845</f>
        <v>28</v>
      </c>
      <c r="J845" s="3">
        <f>ROUND(MIN(IF(C845="Técnico III",35,IF(C845="Técnico II",28,IF(C845="Técnico I",23,IF(C845="JR",20,IF(C845="Estágio",10,0))))),IF(C845="Técnico III",SUMIFS($D:$D,$A:$A,$A845,$B:$B,"&lt;&gt;Patrícia Karla de Sousa Araújo",$B:$B,"&lt;&gt;Lorena Dias de Araujo",$B:$B,"&lt;&gt;Lucas Luiz Romero")*(35/1083),IF(C845="Técnico II",SUMIFS($D:$D,$A:$A,$A845,$B:$B,"&lt;&gt;Patrícia Karla de Sousa Araújo",$B:$B,"&lt;&gt;Lorena Dias de Araujo",$B:$B,"&lt;&gt;Lucas Luiz Romero")*(28/1083),IF(C845="Técnico I",SUMIFS($D:$D,$A:$A,$A845,$B:$B,"&lt;&gt;Patrícia Karla de Sousa Araújo",$B:$B,"&lt;&gt;Lorena Dias de Araujo",$B:$B,"&lt;&gt;Lucas Luiz Romero")*(23/1083),IF(C845="JR",SUMIFS($D:$D,$A:$A,$A845,$B:$B,"&lt;&gt;Patrícia Karla de Sousa Araújo",$B:$B,"&lt;&gt;Lorena Dias de Araujo",$B:$B,"&lt;&gt;Lucas Luiz Romero")*(20/1083),IF(C845="Estágio",SUMIFS($D:$D,$A:$A,$A845,$B:$B,"&lt;&gt;Patrícia Karla de Sousa Araújo",$B:$B,"&lt;&gt;Lorena Dias de Araujo",$B:$B,"&lt;&gt;Lucas Luiz Romero")*(10/1083),0)))))),0)</f>
        <v>20</v>
      </c>
      <c r="K845" s="3">
        <f>I845-J845</f>
        <v>8</v>
      </c>
      <c r="L845" s="3" t="str">
        <f>IF(K845&lt;-5,"CRÍTICO",IF(K845&lt;0,"ATENÇÃO",IF(K845&lt;=5,"BOM","EXCELENTE")))</f>
        <v>EXCELENTE</v>
      </c>
      <c r="M845">
        <v>28</v>
      </c>
      <c r="N845">
        <v>100</v>
      </c>
      <c r="O845">
        <v>32.371134020618562</v>
      </c>
    </row>
    <row r="846" spans="1:15" hidden="1" x14ac:dyDescent="0.25">
      <c r="A846" s="11">
        <v>46027</v>
      </c>
      <c r="B846" t="s">
        <v>57</v>
      </c>
      <c r="C846" t="s">
        <v>48</v>
      </c>
      <c r="D846">
        <v>28</v>
      </c>
      <c r="E846">
        <v>26</v>
      </c>
      <c r="F846">
        <v>17.28</v>
      </c>
      <c r="G846">
        <v>0</v>
      </c>
      <c r="H846">
        <v>0</v>
      </c>
      <c r="I846" s="3">
        <v>0</v>
      </c>
      <c r="J846" s="3">
        <v>0</v>
      </c>
      <c r="K846" s="3">
        <v>0</v>
      </c>
      <c r="L846" s="3" t="str">
        <f>IF(K846&lt;-5,"CRÍTICO",IF(K846&lt;0,"ATENÇÃO",IF(K846&lt;=5,"BOM","EXCELENTE")))</f>
        <v>BOM</v>
      </c>
      <c r="M846">
        <v>26</v>
      </c>
      <c r="N846">
        <v>98.32</v>
      </c>
      <c r="O846">
        <v>32.318501170960189</v>
      </c>
    </row>
    <row r="847" spans="1:15" hidden="1" x14ac:dyDescent="0.25">
      <c r="A847" s="11">
        <v>46027</v>
      </c>
      <c r="B847" t="s">
        <v>42</v>
      </c>
      <c r="C847" t="s">
        <v>32</v>
      </c>
      <c r="D847">
        <v>47</v>
      </c>
      <c r="E847">
        <v>40</v>
      </c>
      <c r="F847">
        <v>9</v>
      </c>
      <c r="G847">
        <v>0</v>
      </c>
      <c r="H847">
        <v>0</v>
      </c>
      <c r="I847" s="3">
        <f>E847+G847+H847</f>
        <v>40</v>
      </c>
      <c r="J847" s="3">
        <f>ROUND(MIN(IF(C847="Técnico III",35,IF(C847="Técnico II",28,IF(C847="Técnico I",23,IF(C847="JR",20,IF(C847="Estágio",10,0))))),IF(C847="Técnico III",SUMIFS($D:$D,$A:$A,$A847,$B:$B,"&lt;&gt;Patrícia Karla de Sousa Araújo",$B:$B,"&lt;&gt;Lorena Dias de Araujo",$B:$B,"&lt;&gt;Lucas Luiz Romero")*(35/1083),IF(C847="Técnico II",SUMIFS($D:$D,$A:$A,$A847,$B:$B,"&lt;&gt;Patrícia Karla de Sousa Araújo",$B:$B,"&lt;&gt;Lorena Dias de Araujo",$B:$B,"&lt;&gt;Lucas Luiz Romero")*(28/1083),IF(C847="Técnico I",SUMIFS($D:$D,$A:$A,$A847,$B:$B,"&lt;&gt;Patrícia Karla de Sousa Araújo",$B:$B,"&lt;&gt;Lorena Dias de Araujo",$B:$B,"&lt;&gt;Lucas Luiz Romero")*(23/1083),IF(C847="JR",SUMIFS($D:$D,$A:$A,$A847,$B:$B,"&lt;&gt;Patrícia Karla de Sousa Araújo",$B:$B,"&lt;&gt;Lorena Dias de Araujo",$B:$B,"&lt;&gt;Lucas Luiz Romero")*(20/1083),IF(C847="Estágio",SUMIFS($D:$D,$A:$A,$A847,$B:$B,"&lt;&gt;Patrícia Karla de Sousa Araújo",$B:$B,"&lt;&gt;Lorena Dias de Araujo",$B:$B,"&lt;&gt;Lucas Luiz Romero")*(10/1083),0)))))),0)</f>
        <v>25</v>
      </c>
      <c r="K847" s="3">
        <f>I847-J847</f>
        <v>15</v>
      </c>
      <c r="L847" s="3" t="str">
        <f>IF(K847&lt;-5,"CRÍTICO",IF(K847&lt;0,"ATENÇÃO",IF(K847&lt;=5,"BOM","EXCELENTE")))</f>
        <v>EXCELENTE</v>
      </c>
      <c r="M847">
        <v>37</v>
      </c>
      <c r="N847">
        <v>96.43</v>
      </c>
      <c r="O847">
        <v>27.015250544662312</v>
      </c>
    </row>
    <row r="848" spans="1:15" hidden="1" x14ac:dyDescent="0.25">
      <c r="A848" s="11">
        <v>46027</v>
      </c>
      <c r="B848" t="s">
        <v>62</v>
      </c>
      <c r="C848" t="s">
        <v>23</v>
      </c>
      <c r="D848">
        <v>29</v>
      </c>
      <c r="E848">
        <v>28</v>
      </c>
      <c r="F848">
        <v>16.5</v>
      </c>
      <c r="G848">
        <v>0</v>
      </c>
      <c r="H848">
        <v>0</v>
      </c>
      <c r="I848" s="3">
        <f>E848+G848+H848</f>
        <v>28</v>
      </c>
      <c r="J848" s="3">
        <f>ROUND(MIN(IF(C848="Técnico III",35,IF(C848="Técnico II",28,IF(C848="Técnico I",23,IF(C848="JR",20,IF(C848="Estágio",10,0))))),IF(C848="Técnico III",SUMIFS($D:$D,$A:$A,$A848,$B:$B,"&lt;&gt;Patrícia Karla de Sousa Araújo",$B:$B,"&lt;&gt;Lorena Dias de Araujo",$B:$B,"&lt;&gt;Lucas Luiz Romero")*(35/1083),IF(C848="Técnico II",SUMIFS($D:$D,$A:$A,$A848,$B:$B,"&lt;&gt;Patrícia Karla de Sousa Araújo",$B:$B,"&lt;&gt;Lorena Dias de Araujo",$B:$B,"&lt;&gt;Lucas Luiz Romero")*(28/1083),IF(C848="Técnico I",SUMIFS($D:$D,$A:$A,$A848,$B:$B,"&lt;&gt;Patrícia Karla de Sousa Araújo",$B:$B,"&lt;&gt;Lorena Dias de Araujo",$B:$B,"&lt;&gt;Lucas Luiz Romero")*(23/1083),IF(C848="JR",SUMIFS($D:$D,$A:$A,$A848,$B:$B,"&lt;&gt;Patrícia Karla de Sousa Araújo",$B:$B,"&lt;&gt;Lorena Dias de Araujo",$B:$B,"&lt;&gt;Lucas Luiz Romero")*(20/1083),IF(C848="Estágio",SUMIFS($D:$D,$A:$A,$A848,$B:$B,"&lt;&gt;Patrícia Karla de Sousa Araújo",$B:$B,"&lt;&gt;Lorena Dias de Araujo",$B:$B,"&lt;&gt;Lucas Luiz Romero")*(10/1083),0)))))),0)</f>
        <v>17</v>
      </c>
      <c r="K848" s="3">
        <f>I848-J848</f>
        <v>11</v>
      </c>
      <c r="L848" s="3" t="str">
        <f>IF(K848&lt;-5,"CRÍTICO",IF(K848&lt;0,"ATENÇÃO",IF(K848&lt;=5,"BOM","EXCELENTE")))</f>
        <v>EXCELENTE</v>
      </c>
      <c r="M848">
        <v>25</v>
      </c>
      <c r="N848">
        <v>98.89</v>
      </c>
      <c r="O848">
        <v>28.021978021978018</v>
      </c>
    </row>
    <row r="849" spans="1:15" hidden="1" x14ac:dyDescent="0.25">
      <c r="A849" s="11">
        <v>46027</v>
      </c>
      <c r="B849" t="s">
        <v>19</v>
      </c>
      <c r="C849" t="s">
        <v>16</v>
      </c>
      <c r="D849">
        <v>10</v>
      </c>
      <c r="E849">
        <v>9</v>
      </c>
      <c r="F849">
        <v>34.119999999999997</v>
      </c>
      <c r="G849">
        <v>0</v>
      </c>
      <c r="H849">
        <v>0</v>
      </c>
      <c r="I849" s="3">
        <f>E849+G849+H849</f>
        <v>9</v>
      </c>
      <c r="J849" s="3">
        <f>ROUND(MIN(IF(C849="Técnico III",35,IF(C849="Técnico II",28,IF(C849="Técnico I",23,IF(C849="JR",20,IF(C849="Estágio",10,0))))),IF(C849="Técnico III",SUMIFS($D:$D,$A:$A,$A849,$B:$B,"&lt;&gt;Patrícia Karla de Sousa Araújo",$B:$B,"&lt;&gt;Lorena Dias de Araujo",$B:$B,"&lt;&gt;Lucas Luiz Romero")*(35/1083),IF(C849="Técnico II",SUMIFS($D:$D,$A:$A,$A849,$B:$B,"&lt;&gt;Patrícia Karla de Sousa Araújo",$B:$B,"&lt;&gt;Lorena Dias de Araujo",$B:$B,"&lt;&gt;Lucas Luiz Romero")*(28/1083),IF(C849="Técnico I",SUMIFS($D:$D,$A:$A,$A849,$B:$B,"&lt;&gt;Patrícia Karla de Sousa Araújo",$B:$B,"&lt;&gt;Lorena Dias de Araujo",$B:$B,"&lt;&gt;Lucas Luiz Romero")*(23/1083),IF(C849="JR",SUMIFS($D:$D,$A:$A,$A849,$B:$B,"&lt;&gt;Patrícia Karla de Sousa Araújo",$B:$B,"&lt;&gt;Lorena Dias de Araujo",$B:$B,"&lt;&gt;Lucas Luiz Romero")*(20/1083),IF(C849="Estágio",SUMIFS($D:$D,$A:$A,$A849,$B:$B,"&lt;&gt;Patrícia Karla de Sousa Araújo",$B:$B,"&lt;&gt;Lorena Dias de Araujo",$B:$B,"&lt;&gt;Lucas Luiz Romero")*(10/1083),0)))))),0)</f>
        <v>7</v>
      </c>
      <c r="K849" s="3">
        <f>I849-J849</f>
        <v>2</v>
      </c>
      <c r="L849" s="3" t="str">
        <f>IF(K849&lt;-5,"CRÍTICO",IF(K849&lt;0,"ATENÇÃO",IF(K849&lt;=5,"BOM","EXCELENTE")))</f>
        <v>BOM</v>
      </c>
      <c r="M849">
        <v>9</v>
      </c>
      <c r="N849">
        <v>100</v>
      </c>
      <c r="O849">
        <v>33.333333333333329</v>
      </c>
    </row>
    <row r="850" spans="1:15" hidden="1" x14ac:dyDescent="0.25">
      <c r="A850" s="11">
        <v>46027</v>
      </c>
      <c r="B850" t="s">
        <v>43</v>
      </c>
      <c r="C850" t="s">
        <v>32</v>
      </c>
      <c r="D850">
        <v>0</v>
      </c>
      <c r="E850">
        <v>0</v>
      </c>
      <c r="F850">
        <v>0</v>
      </c>
      <c r="G850">
        <v>0</v>
      </c>
      <c r="H850">
        <v>0</v>
      </c>
      <c r="I850" s="3">
        <v>0</v>
      </c>
      <c r="J850" s="3">
        <v>0</v>
      </c>
      <c r="K850" s="3">
        <v>0</v>
      </c>
      <c r="L850" s="3" t="str">
        <f>IF(K850&lt;-5,"CRÍTICO",IF(K850&lt;0,"ATENÇÃO",IF(K850&lt;=5,"BOM","EXCELENTE")))</f>
        <v>BOM</v>
      </c>
      <c r="M850">
        <v>0</v>
      </c>
      <c r="N850">
        <v>100</v>
      </c>
      <c r="O850">
        <v>27.43362831858407</v>
      </c>
    </row>
    <row r="851" spans="1:15" hidden="1" x14ac:dyDescent="0.25">
      <c r="A851" s="11">
        <v>46027</v>
      </c>
      <c r="B851" t="s">
        <v>44</v>
      </c>
      <c r="C851" t="s">
        <v>32</v>
      </c>
      <c r="D851">
        <v>44</v>
      </c>
      <c r="E851">
        <v>32</v>
      </c>
      <c r="F851">
        <v>10.58</v>
      </c>
      <c r="G851">
        <v>0</v>
      </c>
      <c r="H851">
        <v>0</v>
      </c>
      <c r="I851" s="3">
        <f>E851+G851+H851</f>
        <v>32</v>
      </c>
      <c r="J851" s="3">
        <f>ROUND(MIN(IF(C851="Técnico III",35,IF(C851="Técnico II",28,IF(C851="Técnico I",23,IF(C851="JR",20,IF(C851="Estágio",10,0))))),IF(C851="Técnico III",SUMIFS($D:$D,$A:$A,$A851,$B:$B,"&lt;&gt;Patrícia Karla de Sousa Araújo",$B:$B,"&lt;&gt;Lorena Dias de Araujo",$B:$B,"&lt;&gt;Lucas Luiz Romero")*(35/1083),IF(C851="Técnico II",SUMIFS($D:$D,$A:$A,$A851,$B:$B,"&lt;&gt;Patrícia Karla de Sousa Araújo",$B:$B,"&lt;&gt;Lorena Dias de Araujo",$B:$B,"&lt;&gt;Lucas Luiz Romero")*(28/1083),IF(C851="Técnico I",SUMIFS($D:$D,$A:$A,$A851,$B:$B,"&lt;&gt;Patrícia Karla de Sousa Araújo",$B:$B,"&lt;&gt;Lorena Dias de Araujo",$B:$B,"&lt;&gt;Lucas Luiz Romero")*(23/1083),IF(C851="JR",SUMIFS($D:$D,$A:$A,$A851,$B:$B,"&lt;&gt;Patrícia Karla de Sousa Araújo",$B:$B,"&lt;&gt;Lorena Dias de Araujo",$B:$B,"&lt;&gt;Lucas Luiz Romero")*(20/1083),IF(C851="Estágio",SUMIFS($D:$D,$A:$A,$A851,$B:$B,"&lt;&gt;Patrícia Karla de Sousa Araújo",$B:$B,"&lt;&gt;Lorena Dias de Araujo",$B:$B,"&lt;&gt;Lucas Luiz Romero")*(10/1083),0)))))),0)</f>
        <v>25</v>
      </c>
      <c r="K851" s="3">
        <f>I851-J851</f>
        <v>7</v>
      </c>
      <c r="L851" s="3" t="str">
        <f>IF(K851&lt;-5,"CRÍTICO",IF(K851&lt;0,"ATENÇÃO",IF(K851&lt;=5,"BOM","EXCELENTE")))</f>
        <v>EXCELENTE</v>
      </c>
      <c r="M851">
        <v>32</v>
      </c>
      <c r="N851">
        <v>98.65</v>
      </c>
      <c r="O851">
        <v>30.978260869565219</v>
      </c>
    </row>
    <row r="852" spans="1:15" hidden="1" x14ac:dyDescent="0.25">
      <c r="A852" s="11">
        <v>46027</v>
      </c>
      <c r="B852" t="s">
        <v>20</v>
      </c>
      <c r="C852" t="s">
        <v>16</v>
      </c>
      <c r="D852">
        <v>0</v>
      </c>
      <c r="E852">
        <v>0</v>
      </c>
      <c r="F852">
        <v>0</v>
      </c>
      <c r="G852">
        <v>0</v>
      </c>
      <c r="H852">
        <v>0</v>
      </c>
      <c r="I852" s="3">
        <v>0</v>
      </c>
      <c r="J852" s="3">
        <v>0</v>
      </c>
      <c r="K852" s="3">
        <v>0</v>
      </c>
      <c r="L852" s="3" t="str">
        <f>IF(K852&lt;-5,"CRÍTICO",IF(K852&lt;0,"ATENÇÃO",IF(K852&lt;=5,"BOM","EXCELENTE")))</f>
        <v>BOM</v>
      </c>
      <c r="M852">
        <v>0</v>
      </c>
      <c r="N852">
        <v>100</v>
      </c>
      <c r="O852">
        <v>12</v>
      </c>
    </row>
    <row r="853" spans="1:15" hidden="1" x14ac:dyDescent="0.25">
      <c r="A853" s="11">
        <v>46027</v>
      </c>
      <c r="B853" t="s">
        <v>28</v>
      </c>
      <c r="C853" t="s">
        <v>26</v>
      </c>
      <c r="D853">
        <v>0</v>
      </c>
      <c r="E853">
        <v>0</v>
      </c>
      <c r="F853">
        <v>0</v>
      </c>
      <c r="G853">
        <v>0</v>
      </c>
      <c r="H853">
        <v>0</v>
      </c>
      <c r="I853" s="3">
        <v>0</v>
      </c>
      <c r="J853" s="3">
        <v>0</v>
      </c>
      <c r="K853" s="3">
        <v>0</v>
      </c>
      <c r="L853" s="3" t="str">
        <f>IF(K853&lt;-5,"CRÍTICO",IF(K853&lt;0,"ATENÇÃO",IF(K853&lt;=5,"BOM","EXCELENTE")))</f>
        <v>BOM</v>
      </c>
      <c r="M853">
        <v>0</v>
      </c>
      <c r="N853">
        <v>0</v>
      </c>
      <c r="O853">
        <v>0</v>
      </c>
    </row>
    <row r="854" spans="1:15" hidden="1" x14ac:dyDescent="0.25">
      <c r="A854" s="11">
        <v>46027</v>
      </c>
      <c r="B854" t="s">
        <v>58</v>
      </c>
      <c r="C854" t="s">
        <v>48</v>
      </c>
      <c r="D854">
        <v>0</v>
      </c>
      <c r="E854">
        <v>0</v>
      </c>
      <c r="F854">
        <v>0</v>
      </c>
      <c r="G854">
        <v>0</v>
      </c>
      <c r="H854">
        <v>0</v>
      </c>
      <c r="I854" s="3">
        <v>0</v>
      </c>
      <c r="J854" s="3">
        <v>0</v>
      </c>
      <c r="K854" s="3">
        <v>0</v>
      </c>
      <c r="L854" s="3" t="str">
        <f>IF(K854&lt;-5,"CRÍTICO",IF(K854&lt;0,"ATENÇÃO",IF(K854&lt;=5,"BOM","EXCELENTE")))</f>
        <v>BOM</v>
      </c>
      <c r="M854">
        <v>0</v>
      </c>
      <c r="N854">
        <v>97.56</v>
      </c>
      <c r="O854">
        <v>31.067961165048541</v>
      </c>
    </row>
    <row r="855" spans="1:15" hidden="1" x14ac:dyDescent="0.25">
      <c r="A855" s="11">
        <v>46027</v>
      </c>
      <c r="B855" t="s">
        <v>29</v>
      </c>
      <c r="C855" t="s">
        <v>26</v>
      </c>
      <c r="D855">
        <v>0</v>
      </c>
      <c r="E855">
        <v>0</v>
      </c>
      <c r="F855">
        <v>0</v>
      </c>
      <c r="G855">
        <v>0</v>
      </c>
      <c r="H855">
        <v>0</v>
      </c>
      <c r="I855" s="3">
        <v>0</v>
      </c>
      <c r="J855" s="3">
        <v>0</v>
      </c>
      <c r="K855" s="3">
        <v>0</v>
      </c>
      <c r="L855" s="3" t="str">
        <f>IF(K855&lt;-5,"CRÍTICO",IF(K855&lt;0,"ATENÇÃO",IF(K855&lt;=5,"BOM","EXCELENTE")))</f>
        <v>BOM</v>
      </c>
      <c r="M855">
        <v>0</v>
      </c>
      <c r="N855">
        <v>0</v>
      </c>
      <c r="O855">
        <v>0</v>
      </c>
    </row>
    <row r="856" spans="1:15" hidden="1" x14ac:dyDescent="0.25">
      <c r="A856" s="11">
        <v>46027</v>
      </c>
      <c r="B856" t="s">
        <v>30</v>
      </c>
      <c r="C856" t="s">
        <v>26</v>
      </c>
      <c r="D856">
        <v>0</v>
      </c>
      <c r="E856">
        <v>0</v>
      </c>
      <c r="F856">
        <v>0</v>
      </c>
      <c r="G856">
        <v>0</v>
      </c>
      <c r="H856">
        <v>0</v>
      </c>
      <c r="I856" s="3">
        <v>0</v>
      </c>
      <c r="J856" s="3">
        <v>0</v>
      </c>
      <c r="K856" s="3">
        <v>0</v>
      </c>
      <c r="L856" s="3" t="str">
        <f>IF(K856&lt;-5,"CRÍTICO",IF(K856&lt;0,"ATENÇÃO",IF(K856&lt;=5,"BOM","EXCELENTE")))</f>
        <v>BOM</v>
      </c>
      <c r="M856">
        <v>0</v>
      </c>
      <c r="N856">
        <v>0</v>
      </c>
      <c r="O856">
        <v>0</v>
      </c>
    </row>
    <row r="857" spans="1:15" hidden="1" x14ac:dyDescent="0.25">
      <c r="A857" s="11">
        <v>46027</v>
      </c>
      <c r="B857" t="s">
        <v>21</v>
      </c>
      <c r="C857" t="s">
        <v>16</v>
      </c>
      <c r="D857">
        <v>0</v>
      </c>
      <c r="E857">
        <v>0</v>
      </c>
      <c r="F857">
        <v>0</v>
      </c>
      <c r="G857">
        <v>0</v>
      </c>
      <c r="H857">
        <v>0</v>
      </c>
      <c r="I857" s="3">
        <v>0</v>
      </c>
      <c r="J857" s="3">
        <v>0</v>
      </c>
      <c r="K857" s="3">
        <v>0</v>
      </c>
      <c r="L857" s="3" t="str">
        <f>IF(K857&lt;-5,"CRÍTICO",IF(K857&lt;0,"ATENÇÃO",IF(K857&lt;=5,"BOM","EXCELENTE")))</f>
        <v>BOM</v>
      </c>
      <c r="M857">
        <v>0</v>
      </c>
      <c r="N857">
        <v>0</v>
      </c>
      <c r="O857">
        <v>0</v>
      </c>
    </row>
    <row r="858" spans="1:15" hidden="1" x14ac:dyDescent="0.25">
      <c r="A858" s="11">
        <v>46027</v>
      </c>
      <c r="B858" t="s">
        <v>63</v>
      </c>
      <c r="C858" t="s">
        <v>23</v>
      </c>
      <c r="D858">
        <v>0</v>
      </c>
      <c r="E858">
        <v>0</v>
      </c>
      <c r="F858">
        <v>0</v>
      </c>
      <c r="G858">
        <v>0</v>
      </c>
      <c r="H858">
        <v>0</v>
      </c>
      <c r="I858" s="3">
        <v>0</v>
      </c>
      <c r="J858" s="3">
        <v>0</v>
      </c>
      <c r="K858" s="3">
        <v>0</v>
      </c>
      <c r="L858" s="3" t="str">
        <f>IF(K858&lt;-5,"CRÍTICO",IF(K858&lt;0,"ATENÇÃO",IF(K858&lt;=5,"BOM","EXCELENTE")))</f>
        <v>BOM</v>
      </c>
      <c r="M858">
        <v>0</v>
      </c>
      <c r="N858">
        <v>100</v>
      </c>
      <c r="O858">
        <v>53.846153846153847</v>
      </c>
    </row>
    <row r="859" spans="1:15" hidden="1" x14ac:dyDescent="0.25">
      <c r="A859" s="11">
        <v>46027</v>
      </c>
      <c r="B859" t="s">
        <v>45</v>
      </c>
      <c r="C859" t="s">
        <v>32</v>
      </c>
      <c r="D859">
        <v>0</v>
      </c>
      <c r="E859">
        <v>0</v>
      </c>
      <c r="F859">
        <v>0</v>
      </c>
      <c r="G859">
        <v>0</v>
      </c>
      <c r="H859">
        <v>0</v>
      </c>
      <c r="I859" s="3">
        <v>0</v>
      </c>
      <c r="J859" s="3">
        <v>0</v>
      </c>
      <c r="K859" s="3">
        <v>0</v>
      </c>
      <c r="L859" s="3" t="str">
        <f>IF(K859&lt;-5,"CRÍTICO",IF(K859&lt;0,"ATENÇÃO",IF(K859&lt;=5,"BOM","EXCELENTE")))</f>
        <v>BOM</v>
      </c>
      <c r="M859">
        <v>0</v>
      </c>
      <c r="N859">
        <v>100</v>
      </c>
      <c r="O859">
        <v>44.05594405594406</v>
      </c>
    </row>
    <row r="860" spans="1:15" hidden="1" x14ac:dyDescent="0.25">
      <c r="A860" s="11">
        <v>46027</v>
      </c>
      <c r="B860" t="s">
        <v>64</v>
      </c>
      <c r="C860" t="s">
        <v>23</v>
      </c>
      <c r="D860">
        <v>22</v>
      </c>
      <c r="E860">
        <v>19</v>
      </c>
      <c r="F860">
        <v>26.57</v>
      </c>
      <c r="G860">
        <v>0</v>
      </c>
      <c r="H860">
        <v>0</v>
      </c>
      <c r="I860" s="3">
        <f>E860+G860+H860</f>
        <v>19</v>
      </c>
      <c r="J860" s="3">
        <f>ROUND(MIN(IF(C860="Técnico III",35,IF(C860="Técnico II",28,IF(C860="Técnico I",23,IF(C860="JR",20,IF(C860="Estágio",10,0))))),IF(C860="Técnico III",SUMIFS($D:$D,$A:$A,$A860,$B:$B,"&lt;&gt;Patrícia Karla de Sousa Araújo",$B:$B,"&lt;&gt;Lorena Dias de Araujo",$B:$B,"&lt;&gt;Lucas Luiz Romero")*(35/1083),IF(C860="Técnico II",SUMIFS($D:$D,$A:$A,$A860,$B:$B,"&lt;&gt;Patrícia Karla de Sousa Araújo",$B:$B,"&lt;&gt;Lorena Dias de Araujo",$B:$B,"&lt;&gt;Lucas Luiz Romero")*(28/1083),IF(C860="Técnico I",SUMIFS($D:$D,$A:$A,$A860,$B:$B,"&lt;&gt;Patrícia Karla de Sousa Araújo",$B:$B,"&lt;&gt;Lorena Dias de Araujo",$B:$B,"&lt;&gt;Lucas Luiz Romero")*(23/1083),IF(C860="JR",SUMIFS($D:$D,$A:$A,$A860,$B:$B,"&lt;&gt;Patrícia Karla de Sousa Araújo",$B:$B,"&lt;&gt;Lorena Dias de Araujo",$B:$B,"&lt;&gt;Lucas Luiz Romero")*(20/1083),IF(C860="Estágio",SUMIFS($D:$D,$A:$A,$A860,$B:$B,"&lt;&gt;Patrícia Karla de Sousa Araújo",$B:$B,"&lt;&gt;Lorena Dias de Araujo",$B:$B,"&lt;&gt;Lucas Luiz Romero")*(10/1083),0)))))),0)</f>
        <v>17</v>
      </c>
      <c r="K860" s="3">
        <f>I860-J860</f>
        <v>2</v>
      </c>
      <c r="L860" s="3" t="str">
        <f>IF(K860&lt;-5,"CRÍTICO",IF(K860&lt;0,"ATENÇÃO",IF(K860&lt;=5,"BOM","EXCELENTE")))</f>
        <v>BOM</v>
      </c>
      <c r="M860">
        <v>18</v>
      </c>
      <c r="N860">
        <v>100</v>
      </c>
      <c r="O860">
        <v>31.872509960159359</v>
      </c>
    </row>
    <row r="861" spans="1:15" hidden="1" x14ac:dyDescent="0.25">
      <c r="A861" s="11">
        <v>46027</v>
      </c>
      <c r="B861" t="s">
        <v>46</v>
      </c>
      <c r="C861" t="s">
        <v>32</v>
      </c>
      <c r="D861">
        <v>30</v>
      </c>
      <c r="E861">
        <v>28</v>
      </c>
      <c r="F861">
        <v>18.21</v>
      </c>
      <c r="G861">
        <v>0</v>
      </c>
      <c r="H861">
        <v>0</v>
      </c>
      <c r="I861" s="3">
        <f>E861+G861+H861</f>
        <v>28</v>
      </c>
      <c r="J861" s="3">
        <f>ROUND(MIN(IF(C861="Técnico III",35,IF(C861="Técnico II",28,IF(C861="Técnico I",23,IF(C861="JR",20,IF(C861="Estágio",10,0))))),IF(C861="Técnico III",SUMIFS($D:$D,$A:$A,$A861,$B:$B,"&lt;&gt;Patrícia Karla de Sousa Araújo",$B:$B,"&lt;&gt;Lorena Dias de Araujo",$B:$B,"&lt;&gt;Lucas Luiz Romero")*(35/1083),IF(C861="Técnico II",SUMIFS($D:$D,$A:$A,$A861,$B:$B,"&lt;&gt;Patrícia Karla de Sousa Araújo",$B:$B,"&lt;&gt;Lorena Dias de Araujo",$B:$B,"&lt;&gt;Lucas Luiz Romero")*(28/1083),IF(C861="Técnico I",SUMIFS($D:$D,$A:$A,$A861,$B:$B,"&lt;&gt;Patrícia Karla de Sousa Araújo",$B:$B,"&lt;&gt;Lorena Dias de Araujo",$B:$B,"&lt;&gt;Lucas Luiz Romero")*(23/1083),IF(C861="JR",SUMIFS($D:$D,$A:$A,$A861,$B:$B,"&lt;&gt;Patrícia Karla de Sousa Araújo",$B:$B,"&lt;&gt;Lorena Dias de Araujo",$B:$B,"&lt;&gt;Lucas Luiz Romero")*(20/1083),IF(C861="Estágio",SUMIFS($D:$D,$A:$A,$A861,$B:$B,"&lt;&gt;Patrícia Karla de Sousa Araújo",$B:$B,"&lt;&gt;Lorena Dias de Araujo",$B:$B,"&lt;&gt;Lucas Luiz Romero")*(10/1083),0)))))),0)</f>
        <v>25</v>
      </c>
      <c r="K861" s="3">
        <f>I861-J861</f>
        <v>3</v>
      </c>
      <c r="L861" s="3" t="str">
        <f>IF(K861&lt;-5,"CRÍTICO",IF(K861&lt;0,"ATENÇÃO",IF(K861&lt;=5,"BOM","EXCELENTE")))</f>
        <v>BOM</v>
      </c>
      <c r="M861">
        <v>27</v>
      </c>
      <c r="N861">
        <v>98.41</v>
      </c>
      <c r="O861">
        <v>29.22465208747515</v>
      </c>
    </row>
    <row r="862" spans="1:15" hidden="1" x14ac:dyDescent="0.25">
      <c r="A862" s="11">
        <v>46028</v>
      </c>
      <c r="B862" t="s">
        <v>47</v>
      </c>
      <c r="C862" t="s">
        <v>48</v>
      </c>
      <c r="D862">
        <v>28</v>
      </c>
      <c r="E862">
        <v>25</v>
      </c>
      <c r="F862">
        <v>20.2</v>
      </c>
      <c r="G862">
        <v>0</v>
      </c>
      <c r="H862">
        <v>0</v>
      </c>
      <c r="I862" s="3">
        <f>E862+G862+H862</f>
        <v>25</v>
      </c>
      <c r="J862" s="3">
        <f>ROUND(MIN(IF(C862="Técnico III",35,IF(C862="Técnico II",28,IF(C862="Técnico I",23,IF(C862="JR",20,IF(C862="Estágio",10,0))))),IF(C862="Técnico III",SUMIFS($D:$D,$A:$A,$A862,$B:$B,"&lt;&gt;Patrícia Karla de Sousa Araújo",$B:$B,"&lt;&gt;Lorena Dias de Araujo",$B:$B,"&lt;&gt;Lucas Luiz Romero")*(35/1083),IF(C862="Técnico II",SUMIFS($D:$D,$A:$A,$A862,$B:$B,"&lt;&gt;Patrícia Karla de Sousa Araújo",$B:$B,"&lt;&gt;Lorena Dias de Araujo",$B:$B,"&lt;&gt;Lucas Luiz Romero")*(28/1083),IF(C862="Técnico I",SUMIFS($D:$D,$A:$A,$A862,$B:$B,"&lt;&gt;Patrícia Karla de Sousa Araújo",$B:$B,"&lt;&gt;Lorena Dias de Araujo",$B:$B,"&lt;&gt;Lucas Luiz Romero")*(23/1083),IF(C862="JR",SUMIFS($D:$D,$A:$A,$A862,$B:$B,"&lt;&gt;Patrícia Karla de Sousa Araújo",$B:$B,"&lt;&gt;Lorena Dias de Araujo",$B:$B,"&lt;&gt;Lucas Luiz Romero")*(20/1083),IF(C862="Estágio",SUMIFS($D:$D,$A:$A,$A862,$B:$B,"&lt;&gt;Patrícia Karla de Sousa Araújo",$B:$B,"&lt;&gt;Lorena Dias de Araujo",$B:$B,"&lt;&gt;Lucas Luiz Romero")*(10/1083),0)))))),0)</f>
        <v>20</v>
      </c>
      <c r="K862" s="3">
        <f>I862-J862</f>
        <v>5</v>
      </c>
      <c r="L862" s="3" t="str">
        <f>IF(K862&lt;-5,"CRÍTICO",IF(K862&lt;0,"ATENÇÃO",IF(K862&lt;=5,"BOM","EXCELENTE")))</f>
        <v>BOM</v>
      </c>
      <c r="M862">
        <v>17</v>
      </c>
      <c r="N862">
        <v>96.81</v>
      </c>
      <c r="O862">
        <v>27.980535279805348</v>
      </c>
    </row>
    <row r="863" spans="1:15" hidden="1" x14ac:dyDescent="0.25">
      <c r="A863" s="11">
        <v>46028</v>
      </c>
      <c r="B863" t="s">
        <v>31</v>
      </c>
      <c r="C863" t="s">
        <v>32</v>
      </c>
      <c r="D863">
        <v>0</v>
      </c>
      <c r="E863">
        <v>0</v>
      </c>
      <c r="F863">
        <v>0</v>
      </c>
      <c r="G863">
        <v>0</v>
      </c>
      <c r="H863">
        <v>0</v>
      </c>
      <c r="I863" s="3">
        <v>0</v>
      </c>
      <c r="J863" s="3">
        <v>0</v>
      </c>
      <c r="K863" s="3">
        <v>0</v>
      </c>
      <c r="L863" s="3" t="str">
        <f>IF(K863&lt;-5,"CRÍTICO",IF(K863&lt;0,"ATENÇÃO",IF(K863&lt;=5,"BOM","EXCELENTE")))</f>
        <v>BOM</v>
      </c>
      <c r="M863">
        <v>30</v>
      </c>
      <c r="N863">
        <v>98.73</v>
      </c>
      <c r="O863">
        <v>35.756385068762278</v>
      </c>
    </row>
    <row r="864" spans="1:15" hidden="1" x14ac:dyDescent="0.25">
      <c r="A864" s="11">
        <v>46028</v>
      </c>
      <c r="B864" t="s">
        <v>59</v>
      </c>
      <c r="C864" t="s">
        <v>23</v>
      </c>
      <c r="D864">
        <v>33</v>
      </c>
      <c r="E864">
        <v>30</v>
      </c>
      <c r="F864">
        <v>22.04</v>
      </c>
      <c r="G864">
        <v>0</v>
      </c>
      <c r="H864">
        <v>0</v>
      </c>
      <c r="I864" s="3">
        <f>E864+G864+H864</f>
        <v>30</v>
      </c>
      <c r="J864" s="3">
        <f>ROUND(MIN(IF(C864="Técnico III",35,IF(C864="Técnico II",28,IF(C864="Técnico I",23,IF(C864="JR",20,IF(C864="Estágio",10,0))))),IF(C864="Técnico III",SUMIFS($D:$D,$A:$A,$A864,$B:$B,"&lt;&gt;Patrícia Karla de Sousa Araújo",$B:$B,"&lt;&gt;Lorena Dias de Araujo",$B:$B,"&lt;&gt;Lucas Luiz Romero")*(35/1083),IF(C864="Técnico II",SUMIFS($D:$D,$A:$A,$A864,$B:$B,"&lt;&gt;Patrícia Karla de Sousa Araújo",$B:$B,"&lt;&gt;Lorena Dias de Araujo",$B:$B,"&lt;&gt;Lucas Luiz Romero")*(28/1083),IF(C864="Técnico I",SUMIFS($D:$D,$A:$A,$A864,$B:$B,"&lt;&gt;Patrícia Karla de Sousa Araújo",$B:$B,"&lt;&gt;Lorena Dias de Araujo",$B:$B,"&lt;&gt;Lucas Luiz Romero")*(23/1083),IF(C864="JR",SUMIFS($D:$D,$A:$A,$A864,$B:$B,"&lt;&gt;Patrícia Karla de Sousa Araújo",$B:$B,"&lt;&gt;Lorena Dias de Araujo",$B:$B,"&lt;&gt;Lucas Luiz Romero")*(20/1083),IF(C864="Estágio",SUMIFS($D:$D,$A:$A,$A864,$B:$B,"&lt;&gt;Patrícia Karla de Sousa Araújo",$B:$B,"&lt;&gt;Lorena Dias de Araujo",$B:$B,"&lt;&gt;Lucas Luiz Romero")*(10/1083),0)))))),0)</f>
        <v>17</v>
      </c>
      <c r="K864" s="3">
        <f>I864-J864</f>
        <v>13</v>
      </c>
      <c r="L864" s="3" t="str">
        <f>IF(K864&lt;-5,"CRÍTICO",IF(K864&lt;0,"ATENÇÃO",IF(K864&lt;=5,"BOM","EXCELENTE")))</f>
        <v>EXCELENTE</v>
      </c>
      <c r="M864">
        <v>33</v>
      </c>
      <c r="N864">
        <v>98.32</v>
      </c>
      <c r="O864">
        <v>26.763485477178421</v>
      </c>
    </row>
    <row r="865" spans="1:15" hidden="1" x14ac:dyDescent="0.25">
      <c r="A865" s="11">
        <v>46028</v>
      </c>
      <c r="B865" t="s">
        <v>33</v>
      </c>
      <c r="C865" t="s">
        <v>32</v>
      </c>
      <c r="D865">
        <v>40</v>
      </c>
      <c r="E865">
        <v>36</v>
      </c>
      <c r="F865">
        <v>15.18</v>
      </c>
      <c r="G865">
        <v>0</v>
      </c>
      <c r="H865">
        <v>0</v>
      </c>
      <c r="I865" s="3">
        <f>E865+G865+H865</f>
        <v>36</v>
      </c>
      <c r="J865" s="3">
        <f>ROUND(MIN(IF(C865="Técnico III",35,IF(C865="Técnico II",28,IF(C865="Técnico I",23,IF(C865="JR",20,IF(C865="Estágio",10,0))))),IF(C865="Técnico III",SUMIFS($D:$D,$A:$A,$A865,$B:$B,"&lt;&gt;Patrícia Karla de Sousa Araújo",$B:$B,"&lt;&gt;Lorena Dias de Araujo",$B:$B,"&lt;&gt;Lucas Luiz Romero")*(35/1083),IF(C865="Técnico II",SUMIFS($D:$D,$A:$A,$A865,$B:$B,"&lt;&gt;Patrícia Karla de Sousa Araújo",$B:$B,"&lt;&gt;Lorena Dias de Araujo",$B:$B,"&lt;&gt;Lucas Luiz Romero")*(28/1083),IF(C865="Técnico I",SUMIFS($D:$D,$A:$A,$A865,$B:$B,"&lt;&gt;Patrícia Karla de Sousa Araújo",$B:$B,"&lt;&gt;Lorena Dias de Araujo",$B:$B,"&lt;&gt;Lucas Luiz Romero")*(23/1083),IF(C865="JR",SUMIFS($D:$D,$A:$A,$A865,$B:$B,"&lt;&gt;Patrícia Karla de Sousa Araújo",$B:$B,"&lt;&gt;Lorena Dias de Araujo",$B:$B,"&lt;&gt;Lucas Luiz Romero")*(20/1083),IF(C865="Estágio",SUMIFS($D:$D,$A:$A,$A865,$B:$B,"&lt;&gt;Patrícia Karla de Sousa Araújo",$B:$B,"&lt;&gt;Lorena Dias de Araujo",$B:$B,"&lt;&gt;Lucas Luiz Romero")*(10/1083),0)))))),0)</f>
        <v>25</v>
      </c>
      <c r="K865" s="3">
        <f>I865-J865</f>
        <v>11</v>
      </c>
      <c r="L865" s="3" t="str">
        <f>IF(K865&lt;-5,"CRÍTICO",IF(K865&lt;0,"ATENÇÃO",IF(K865&lt;=5,"BOM","EXCELENTE")))</f>
        <v>EXCELENTE</v>
      </c>
      <c r="M865">
        <v>34</v>
      </c>
      <c r="N865">
        <v>99.19</v>
      </c>
      <c r="O865">
        <v>27.637130801687761</v>
      </c>
    </row>
    <row r="866" spans="1:15" hidden="1" x14ac:dyDescent="0.25">
      <c r="A866" s="11">
        <v>46028</v>
      </c>
      <c r="B866" t="s">
        <v>15</v>
      </c>
      <c r="C866" t="s">
        <v>16</v>
      </c>
      <c r="D866">
        <v>9</v>
      </c>
      <c r="E866">
        <v>9</v>
      </c>
      <c r="F866">
        <v>38.24</v>
      </c>
      <c r="G866">
        <v>0</v>
      </c>
      <c r="H866">
        <v>0</v>
      </c>
      <c r="I866" s="3">
        <f>E866+G866+H866</f>
        <v>9</v>
      </c>
      <c r="J866" s="3">
        <f>ROUND(MIN(IF(C866="Técnico III",35,IF(C866="Técnico II",28,IF(C866="Técnico I",23,IF(C866="JR",20,IF(C866="Estágio",10,0))))),IF(C866="Técnico III",SUMIFS($D:$D,$A:$A,$A866,$B:$B,"&lt;&gt;Patrícia Karla de Sousa Araújo",$B:$B,"&lt;&gt;Lorena Dias de Araujo",$B:$B,"&lt;&gt;Lucas Luiz Romero")*(35/1083),IF(C866="Técnico II",SUMIFS($D:$D,$A:$A,$A866,$B:$B,"&lt;&gt;Patrícia Karla de Sousa Araújo",$B:$B,"&lt;&gt;Lorena Dias de Araujo",$B:$B,"&lt;&gt;Lucas Luiz Romero")*(28/1083),IF(C866="Técnico I",SUMIFS($D:$D,$A:$A,$A866,$B:$B,"&lt;&gt;Patrícia Karla de Sousa Araújo",$B:$B,"&lt;&gt;Lorena Dias de Araujo",$B:$B,"&lt;&gt;Lucas Luiz Romero")*(23/1083),IF(C866="JR",SUMIFS($D:$D,$A:$A,$A866,$B:$B,"&lt;&gt;Patrícia Karla de Sousa Araújo",$B:$B,"&lt;&gt;Lorena Dias de Araujo",$B:$B,"&lt;&gt;Lucas Luiz Romero")*(20/1083),IF(C866="Estágio",SUMIFS($D:$D,$A:$A,$A866,$B:$B,"&lt;&gt;Patrícia Karla de Sousa Araújo",$B:$B,"&lt;&gt;Lorena Dias de Araujo",$B:$B,"&lt;&gt;Lucas Luiz Romero")*(10/1083),0)))))),0)</f>
        <v>7</v>
      </c>
      <c r="K866" s="3">
        <f>I866-J866</f>
        <v>2</v>
      </c>
      <c r="L866" s="3" t="str">
        <f>IF(K866&lt;-5,"CRÍTICO",IF(K866&lt;0,"ATENÇÃO",IF(K866&lt;=5,"BOM","EXCELENTE")))</f>
        <v>BOM</v>
      </c>
      <c r="M866">
        <v>8</v>
      </c>
      <c r="N866">
        <v>100</v>
      </c>
      <c r="O866">
        <v>39.568345323741013</v>
      </c>
    </row>
    <row r="867" spans="1:15" hidden="1" x14ac:dyDescent="0.25">
      <c r="A867" s="11">
        <v>46028</v>
      </c>
      <c r="B867" t="s">
        <v>49</v>
      </c>
      <c r="C867" t="s">
        <v>48</v>
      </c>
      <c r="D867">
        <v>27</v>
      </c>
      <c r="E867">
        <v>25</v>
      </c>
      <c r="F867">
        <v>23.35</v>
      </c>
      <c r="G867">
        <v>0</v>
      </c>
      <c r="H867">
        <v>0</v>
      </c>
      <c r="I867" s="3">
        <f>E867+G867+H867</f>
        <v>25</v>
      </c>
      <c r="J867" s="3">
        <f>ROUND(MIN(IF(C867="Técnico III",35,IF(C867="Técnico II",28,IF(C867="Técnico I",23,IF(C867="JR",20,IF(C867="Estágio",10,0))))),IF(C867="Técnico III",SUMIFS($D:$D,$A:$A,$A867,$B:$B,"&lt;&gt;Patrícia Karla de Sousa Araújo",$B:$B,"&lt;&gt;Lorena Dias de Araujo",$B:$B,"&lt;&gt;Lucas Luiz Romero")*(35/1083),IF(C867="Técnico II",SUMIFS($D:$D,$A:$A,$A867,$B:$B,"&lt;&gt;Patrícia Karla de Sousa Araújo",$B:$B,"&lt;&gt;Lorena Dias de Araujo",$B:$B,"&lt;&gt;Lucas Luiz Romero")*(28/1083),IF(C867="Técnico I",SUMIFS($D:$D,$A:$A,$A867,$B:$B,"&lt;&gt;Patrícia Karla de Sousa Araújo",$B:$B,"&lt;&gt;Lorena Dias de Araujo",$B:$B,"&lt;&gt;Lucas Luiz Romero")*(23/1083),IF(C867="JR",SUMIFS($D:$D,$A:$A,$A867,$B:$B,"&lt;&gt;Patrícia Karla de Sousa Araújo",$B:$B,"&lt;&gt;Lorena Dias de Araujo",$B:$B,"&lt;&gt;Lucas Luiz Romero")*(20/1083),IF(C867="Estágio",SUMIFS($D:$D,$A:$A,$A867,$B:$B,"&lt;&gt;Patrícia Karla de Sousa Araújo",$B:$B,"&lt;&gt;Lorena Dias de Araujo",$B:$B,"&lt;&gt;Lucas Luiz Romero")*(10/1083),0)))))),0)</f>
        <v>20</v>
      </c>
      <c r="K867" s="3">
        <f>I867-J867</f>
        <v>5</v>
      </c>
      <c r="L867" s="3" t="str">
        <f>IF(K867&lt;-5,"CRÍTICO",IF(K867&lt;0,"ATENÇÃO",IF(K867&lt;=5,"BOM","EXCELENTE")))</f>
        <v>BOM</v>
      </c>
      <c r="M867">
        <v>26</v>
      </c>
      <c r="N867">
        <v>98.54</v>
      </c>
      <c r="O867">
        <v>28.544776119402989</v>
      </c>
    </row>
    <row r="868" spans="1:15" hidden="1" x14ac:dyDescent="0.25">
      <c r="A868" s="11">
        <v>46028</v>
      </c>
      <c r="B868" t="s">
        <v>50</v>
      </c>
      <c r="C868" t="s">
        <v>48</v>
      </c>
      <c r="D868">
        <v>6</v>
      </c>
      <c r="E868">
        <v>6</v>
      </c>
      <c r="F868">
        <v>50.57</v>
      </c>
      <c r="G868">
        <v>0</v>
      </c>
      <c r="H868">
        <v>0</v>
      </c>
      <c r="I868" s="3">
        <f>E868+G868+H868</f>
        <v>6</v>
      </c>
      <c r="J868" s="3">
        <f>ROUND(MIN(IF(C868="Técnico III",35,IF(C868="Técnico II",28,IF(C868="Técnico I",23,IF(C868="JR",20,IF(C868="Estágio",10,0))))),IF(C868="Técnico III",SUMIFS($D:$D,$A:$A,$A868,$B:$B,"&lt;&gt;Patrícia Karla de Sousa Araújo",$B:$B,"&lt;&gt;Lorena Dias de Araujo",$B:$B,"&lt;&gt;Lucas Luiz Romero")*(35/1083),IF(C868="Técnico II",SUMIFS($D:$D,$A:$A,$A868,$B:$B,"&lt;&gt;Patrícia Karla de Sousa Araújo",$B:$B,"&lt;&gt;Lorena Dias de Araujo",$B:$B,"&lt;&gt;Lucas Luiz Romero")*(28/1083),IF(C868="Técnico I",SUMIFS($D:$D,$A:$A,$A868,$B:$B,"&lt;&gt;Patrícia Karla de Sousa Araújo",$B:$B,"&lt;&gt;Lorena Dias de Araujo",$B:$B,"&lt;&gt;Lucas Luiz Romero")*(23/1083),IF(C868="JR",SUMIFS($D:$D,$A:$A,$A868,$B:$B,"&lt;&gt;Patrícia Karla de Sousa Araújo",$B:$B,"&lt;&gt;Lorena Dias de Araujo",$B:$B,"&lt;&gt;Lucas Luiz Romero")*(20/1083),IF(C868="Estágio",SUMIFS($D:$D,$A:$A,$A868,$B:$B,"&lt;&gt;Patrícia Karla de Sousa Araújo",$B:$B,"&lt;&gt;Lorena Dias de Araujo",$B:$B,"&lt;&gt;Lucas Luiz Romero")*(10/1083),0)))))),0)</f>
        <v>20</v>
      </c>
      <c r="K868" s="3">
        <f>I868-J868</f>
        <v>-14</v>
      </c>
      <c r="L868" s="3" t="str">
        <f>IF(K868&lt;-5,"CRÍTICO",IF(K868&lt;0,"ATENÇÃO",IF(K868&lt;=5,"BOM","EXCELENTE")))</f>
        <v>CRÍTICO</v>
      </c>
      <c r="M868">
        <v>6</v>
      </c>
      <c r="N868">
        <v>100</v>
      </c>
      <c r="O868">
        <v>34.366925064599492</v>
      </c>
    </row>
    <row r="869" spans="1:15" hidden="1" x14ac:dyDescent="0.25">
      <c r="A869" s="11">
        <v>46028</v>
      </c>
      <c r="B869" t="s">
        <v>17</v>
      </c>
      <c r="C869" t="s">
        <v>16</v>
      </c>
      <c r="D869">
        <v>0</v>
      </c>
      <c r="E869">
        <v>0</v>
      </c>
      <c r="F869">
        <v>0</v>
      </c>
      <c r="G869">
        <v>0</v>
      </c>
      <c r="H869">
        <v>0</v>
      </c>
      <c r="I869" s="3">
        <v>0</v>
      </c>
      <c r="J869" s="3">
        <v>0</v>
      </c>
      <c r="K869" s="3">
        <v>0</v>
      </c>
      <c r="L869" s="3" t="str">
        <f>IF(K869&lt;-5,"CRÍTICO",IF(K869&lt;0,"ATENÇÃO",IF(K869&lt;=5,"BOM","EXCELENTE")))</f>
        <v>BOM</v>
      </c>
      <c r="M869">
        <v>0</v>
      </c>
      <c r="N869">
        <v>0</v>
      </c>
      <c r="O869">
        <v>0</v>
      </c>
    </row>
    <row r="870" spans="1:15" hidden="1" x14ac:dyDescent="0.25">
      <c r="A870" s="11">
        <v>46028</v>
      </c>
      <c r="B870" t="s">
        <v>60</v>
      </c>
      <c r="C870" t="s">
        <v>23</v>
      </c>
      <c r="D870">
        <v>21</v>
      </c>
      <c r="E870">
        <v>21</v>
      </c>
      <c r="F870">
        <v>30.15</v>
      </c>
      <c r="G870">
        <v>0</v>
      </c>
      <c r="H870">
        <v>0</v>
      </c>
      <c r="I870" s="3">
        <f>E870+G870+H870</f>
        <v>21</v>
      </c>
      <c r="J870" s="3">
        <f>ROUND(MIN(IF(C870="Técnico III",35,IF(C870="Técnico II",28,IF(C870="Técnico I",23,IF(C870="JR",20,IF(C870="Estágio",10,0))))),IF(C870="Técnico III",SUMIFS($D:$D,$A:$A,$A870,$B:$B,"&lt;&gt;Patrícia Karla de Sousa Araújo",$B:$B,"&lt;&gt;Lorena Dias de Araujo",$B:$B,"&lt;&gt;Lucas Luiz Romero")*(35/1083),IF(C870="Técnico II",SUMIFS($D:$D,$A:$A,$A870,$B:$B,"&lt;&gt;Patrícia Karla de Sousa Araújo",$B:$B,"&lt;&gt;Lorena Dias de Araujo",$B:$B,"&lt;&gt;Lucas Luiz Romero")*(28/1083),IF(C870="Técnico I",SUMIFS($D:$D,$A:$A,$A870,$B:$B,"&lt;&gt;Patrícia Karla de Sousa Araújo",$B:$B,"&lt;&gt;Lorena Dias de Araujo",$B:$B,"&lt;&gt;Lucas Luiz Romero")*(23/1083),IF(C870="JR",SUMIFS($D:$D,$A:$A,$A870,$B:$B,"&lt;&gt;Patrícia Karla de Sousa Araújo",$B:$B,"&lt;&gt;Lorena Dias de Araujo",$B:$B,"&lt;&gt;Lucas Luiz Romero")*(20/1083),IF(C870="Estágio",SUMIFS($D:$D,$A:$A,$A870,$B:$B,"&lt;&gt;Patrícia Karla de Sousa Araújo",$B:$B,"&lt;&gt;Lorena Dias de Araujo",$B:$B,"&lt;&gt;Lucas Luiz Romero")*(10/1083),0)))))),0)</f>
        <v>17</v>
      </c>
      <c r="K870" s="3">
        <f>I870-J870</f>
        <v>4</v>
      </c>
      <c r="L870" s="3" t="str">
        <f>IF(K870&lt;-5,"CRÍTICO",IF(K870&lt;0,"ATENÇÃO",IF(K870&lt;=5,"BOM","EXCELENTE")))</f>
        <v>BOM</v>
      </c>
      <c r="M870">
        <v>20</v>
      </c>
      <c r="N870">
        <v>100</v>
      </c>
      <c r="O870">
        <v>29.518072289156631</v>
      </c>
    </row>
    <row r="871" spans="1:15" hidden="1" x14ac:dyDescent="0.25">
      <c r="A871" s="11">
        <v>46028</v>
      </c>
      <c r="B871" t="s">
        <v>34</v>
      </c>
      <c r="C871" t="s">
        <v>32</v>
      </c>
      <c r="D871">
        <v>44</v>
      </c>
      <c r="E871">
        <v>41</v>
      </c>
      <c r="F871">
        <v>13.2</v>
      </c>
      <c r="G871">
        <v>0</v>
      </c>
      <c r="H871">
        <v>0</v>
      </c>
      <c r="I871" s="3">
        <f>E871+G871+H871</f>
        <v>41</v>
      </c>
      <c r="J871" s="3">
        <f>ROUND(MIN(IF(C871="Técnico III",35,IF(C871="Técnico II",28,IF(C871="Técnico I",23,IF(C871="JR",20,IF(C871="Estágio",10,0))))),IF(C871="Técnico III",SUMIFS($D:$D,$A:$A,$A871,$B:$B,"&lt;&gt;Patrícia Karla de Sousa Araújo",$B:$B,"&lt;&gt;Lorena Dias de Araujo",$B:$B,"&lt;&gt;Lucas Luiz Romero")*(35/1083),IF(C871="Técnico II",SUMIFS($D:$D,$A:$A,$A871,$B:$B,"&lt;&gt;Patrícia Karla de Sousa Araújo",$B:$B,"&lt;&gt;Lorena Dias de Araujo",$B:$B,"&lt;&gt;Lucas Luiz Romero")*(28/1083),IF(C871="Técnico I",SUMIFS($D:$D,$A:$A,$A871,$B:$B,"&lt;&gt;Patrícia Karla de Sousa Araújo",$B:$B,"&lt;&gt;Lorena Dias de Araujo",$B:$B,"&lt;&gt;Lucas Luiz Romero")*(23/1083),IF(C871="JR",SUMIFS($D:$D,$A:$A,$A871,$B:$B,"&lt;&gt;Patrícia Karla de Sousa Araújo",$B:$B,"&lt;&gt;Lorena Dias de Araujo",$B:$B,"&lt;&gt;Lucas Luiz Romero")*(20/1083),IF(C871="Estágio",SUMIFS($D:$D,$A:$A,$A871,$B:$B,"&lt;&gt;Patrícia Karla de Sousa Araújo",$B:$B,"&lt;&gt;Lorena Dias de Araujo",$B:$B,"&lt;&gt;Lucas Luiz Romero")*(10/1083),0)))))),0)</f>
        <v>25</v>
      </c>
      <c r="K871" s="3">
        <f>I871-J871</f>
        <v>16</v>
      </c>
      <c r="L871" s="3" t="str">
        <f>IF(K871&lt;-5,"CRÍTICO",IF(K871&lt;0,"ATENÇÃO",IF(K871&lt;=5,"BOM","EXCELENTE")))</f>
        <v>EXCELENTE</v>
      </c>
      <c r="M871">
        <v>38</v>
      </c>
      <c r="N871">
        <v>97.45</v>
      </c>
      <c r="O871">
        <v>41.421143847487002</v>
      </c>
    </row>
    <row r="872" spans="1:15" hidden="1" x14ac:dyDescent="0.25">
      <c r="A872" s="11">
        <v>46028</v>
      </c>
      <c r="B872" t="s">
        <v>51</v>
      </c>
      <c r="C872" t="s">
        <v>48</v>
      </c>
      <c r="D872">
        <v>29</v>
      </c>
      <c r="E872">
        <v>25</v>
      </c>
      <c r="F872">
        <v>19.059999999999999</v>
      </c>
      <c r="G872">
        <v>0</v>
      </c>
      <c r="H872">
        <v>0</v>
      </c>
      <c r="I872" s="3">
        <v>0</v>
      </c>
      <c r="J872" s="3">
        <v>0</v>
      </c>
      <c r="K872" s="3">
        <v>0</v>
      </c>
      <c r="L872" s="3" t="str">
        <f>IF(K872&lt;-5,"CRÍTICO",IF(K872&lt;0,"ATENÇÃO",IF(K872&lt;=5,"BOM","EXCELENTE")))</f>
        <v>BOM</v>
      </c>
      <c r="M872">
        <v>27</v>
      </c>
      <c r="N872">
        <v>96.58</v>
      </c>
      <c r="O872">
        <v>30.396475770925111</v>
      </c>
    </row>
    <row r="873" spans="1:15" hidden="1" x14ac:dyDescent="0.25">
      <c r="A873" s="11">
        <v>46028</v>
      </c>
      <c r="B873" t="s">
        <v>61</v>
      </c>
      <c r="C873" t="s">
        <v>23</v>
      </c>
      <c r="D873">
        <v>23</v>
      </c>
      <c r="E873">
        <v>23</v>
      </c>
      <c r="F873">
        <v>23.51</v>
      </c>
      <c r="G873">
        <v>0</v>
      </c>
      <c r="H873">
        <v>0</v>
      </c>
      <c r="I873" s="3">
        <f>E873+G873+H873</f>
        <v>23</v>
      </c>
      <c r="J873" s="3">
        <f>ROUND(MIN(IF(C873="Técnico III",35,IF(C873="Técnico II",28,IF(C873="Técnico I",23,IF(C873="JR",20,IF(C873="Estágio",10,0))))),IF(C873="Técnico III",SUMIFS($D:$D,$A:$A,$A873,$B:$B,"&lt;&gt;Patrícia Karla de Sousa Araújo",$B:$B,"&lt;&gt;Lorena Dias de Araujo",$B:$B,"&lt;&gt;Lucas Luiz Romero")*(35/1083),IF(C873="Técnico II",SUMIFS($D:$D,$A:$A,$A873,$B:$B,"&lt;&gt;Patrícia Karla de Sousa Araújo",$B:$B,"&lt;&gt;Lorena Dias de Araujo",$B:$B,"&lt;&gt;Lucas Luiz Romero")*(28/1083),IF(C873="Técnico I",SUMIFS($D:$D,$A:$A,$A873,$B:$B,"&lt;&gt;Patrícia Karla de Sousa Araújo",$B:$B,"&lt;&gt;Lorena Dias de Araujo",$B:$B,"&lt;&gt;Lucas Luiz Romero")*(23/1083),IF(C873="JR",SUMIFS($D:$D,$A:$A,$A873,$B:$B,"&lt;&gt;Patrícia Karla de Sousa Araújo",$B:$B,"&lt;&gt;Lorena Dias de Araujo",$B:$B,"&lt;&gt;Lucas Luiz Romero")*(20/1083),IF(C873="Estágio",SUMIFS($D:$D,$A:$A,$A873,$B:$B,"&lt;&gt;Patrícia Karla de Sousa Araújo",$B:$B,"&lt;&gt;Lorena Dias de Araujo",$B:$B,"&lt;&gt;Lucas Luiz Romero")*(10/1083),0)))))),0)</f>
        <v>17</v>
      </c>
      <c r="K873" s="3">
        <f>I873-J873</f>
        <v>6</v>
      </c>
      <c r="L873" s="3" t="str">
        <f>IF(K873&lt;-5,"CRÍTICO",IF(K873&lt;0,"ATENÇÃO",IF(K873&lt;=5,"BOM","EXCELENTE")))</f>
        <v>EXCELENTE</v>
      </c>
      <c r="M873">
        <v>24</v>
      </c>
      <c r="N873">
        <v>100</v>
      </c>
      <c r="O873">
        <v>27.44282744282744</v>
      </c>
    </row>
    <row r="874" spans="1:15" hidden="1" x14ac:dyDescent="0.25">
      <c r="A874" s="11">
        <v>46028</v>
      </c>
      <c r="B874" t="s">
        <v>35</v>
      </c>
      <c r="C874" t="s">
        <v>32</v>
      </c>
      <c r="D874">
        <v>27</v>
      </c>
      <c r="E874">
        <v>26</v>
      </c>
      <c r="F874">
        <v>26.51</v>
      </c>
      <c r="G874">
        <v>0</v>
      </c>
      <c r="H874">
        <v>0</v>
      </c>
      <c r="I874" s="3">
        <v>0</v>
      </c>
      <c r="J874" s="3">
        <v>0</v>
      </c>
      <c r="K874" s="3">
        <v>0</v>
      </c>
      <c r="L874" s="3" t="str">
        <f>IF(K874&lt;-5,"CRÍTICO",IF(K874&lt;0,"ATENÇÃO",IF(K874&lt;=5,"BOM","EXCELENTE")))</f>
        <v>BOM</v>
      </c>
      <c r="M874">
        <v>27</v>
      </c>
      <c r="N874">
        <v>99.49</v>
      </c>
      <c r="O874">
        <v>40.200000000000003</v>
      </c>
    </row>
    <row r="875" spans="1:15" hidden="1" x14ac:dyDescent="0.25">
      <c r="A875" s="11">
        <v>46028</v>
      </c>
      <c r="B875" t="s">
        <v>18</v>
      </c>
      <c r="C875" t="s">
        <v>16</v>
      </c>
      <c r="D875">
        <v>0</v>
      </c>
      <c r="E875">
        <v>0</v>
      </c>
      <c r="F875">
        <v>0</v>
      </c>
      <c r="G875">
        <v>0</v>
      </c>
      <c r="H875">
        <v>0</v>
      </c>
      <c r="I875" s="3">
        <v>0</v>
      </c>
      <c r="J875" s="3">
        <v>0</v>
      </c>
      <c r="K875" s="3">
        <v>0</v>
      </c>
      <c r="L875" s="3" t="str">
        <f>IF(K875&lt;-5,"CRÍTICO",IF(K875&lt;0,"ATENÇÃO",IF(K875&lt;=5,"BOM","EXCELENTE")))</f>
        <v>BOM</v>
      </c>
      <c r="M875">
        <v>0</v>
      </c>
      <c r="N875">
        <v>100</v>
      </c>
      <c r="O875">
        <v>25</v>
      </c>
    </row>
    <row r="876" spans="1:15" hidden="1" x14ac:dyDescent="0.25">
      <c r="A876" s="11">
        <v>46028</v>
      </c>
      <c r="B876" t="s">
        <v>52</v>
      </c>
      <c r="C876" t="s">
        <v>48</v>
      </c>
      <c r="D876">
        <v>30</v>
      </c>
      <c r="E876">
        <v>27</v>
      </c>
      <c r="F876">
        <v>15.04</v>
      </c>
      <c r="G876">
        <v>0</v>
      </c>
      <c r="H876">
        <v>0</v>
      </c>
      <c r="I876" s="3">
        <f>E876+G876+H876</f>
        <v>27</v>
      </c>
      <c r="J876" s="3">
        <f>ROUND(MIN(IF(C876="Técnico III",35,IF(C876="Técnico II",28,IF(C876="Técnico I",23,IF(C876="JR",20,IF(C876="Estágio",10,0))))),IF(C876="Técnico III",SUMIFS($D:$D,$A:$A,$A876,$B:$B,"&lt;&gt;Patrícia Karla de Sousa Araújo",$B:$B,"&lt;&gt;Lorena Dias de Araujo",$B:$B,"&lt;&gt;Lucas Luiz Romero")*(35/1083),IF(C876="Técnico II",SUMIFS($D:$D,$A:$A,$A876,$B:$B,"&lt;&gt;Patrícia Karla de Sousa Araújo",$B:$B,"&lt;&gt;Lorena Dias de Araujo",$B:$B,"&lt;&gt;Lucas Luiz Romero")*(28/1083),IF(C876="Técnico I",SUMIFS($D:$D,$A:$A,$A876,$B:$B,"&lt;&gt;Patrícia Karla de Sousa Araújo",$B:$B,"&lt;&gt;Lorena Dias de Araujo",$B:$B,"&lt;&gt;Lucas Luiz Romero")*(23/1083),IF(C876="JR",SUMIFS($D:$D,$A:$A,$A876,$B:$B,"&lt;&gt;Patrícia Karla de Sousa Araújo",$B:$B,"&lt;&gt;Lorena Dias de Araujo",$B:$B,"&lt;&gt;Lucas Luiz Romero")*(20/1083),IF(C876="Estágio",SUMIFS($D:$D,$A:$A,$A876,$B:$B,"&lt;&gt;Patrícia Karla de Sousa Araújo",$B:$B,"&lt;&gt;Lorena Dias de Araujo",$B:$B,"&lt;&gt;Lucas Luiz Romero")*(10/1083),0)))))),0)</f>
        <v>20</v>
      </c>
      <c r="K876" s="3">
        <f>I876-J876</f>
        <v>7</v>
      </c>
      <c r="L876" s="3" t="str">
        <f>IF(K876&lt;-5,"CRÍTICO",IF(K876&lt;0,"ATENÇÃO",IF(K876&lt;=5,"BOM","EXCELENTE")))</f>
        <v>EXCELENTE</v>
      </c>
      <c r="M876">
        <v>27</v>
      </c>
      <c r="N876">
        <v>100</v>
      </c>
      <c r="O876">
        <v>34.15094339622641</v>
      </c>
    </row>
    <row r="877" spans="1:15" hidden="1" x14ac:dyDescent="0.25">
      <c r="A877" s="11">
        <v>46028</v>
      </c>
      <c r="B877" t="s">
        <v>36</v>
      </c>
      <c r="C877" t="s">
        <v>32</v>
      </c>
      <c r="D877">
        <v>22</v>
      </c>
      <c r="E877">
        <v>17</v>
      </c>
      <c r="F877">
        <v>13.56</v>
      </c>
      <c r="G877">
        <v>0</v>
      </c>
      <c r="H877">
        <v>0</v>
      </c>
      <c r="I877" s="3">
        <f>E877+G877+H877</f>
        <v>17</v>
      </c>
      <c r="J877" s="3">
        <f>ROUND(MIN(IF(C877="Técnico III",35,IF(C877="Técnico II",28,IF(C877="Técnico I",23,IF(C877="JR",20,IF(C877="Estágio",10,0))))),IF(C877="Técnico III",SUMIFS($D:$D,$A:$A,$A877,$B:$B,"&lt;&gt;Patrícia Karla de Sousa Araújo",$B:$B,"&lt;&gt;Lorena Dias de Araujo",$B:$B,"&lt;&gt;Lucas Luiz Romero")*(35/1083),IF(C877="Técnico II",SUMIFS($D:$D,$A:$A,$A877,$B:$B,"&lt;&gt;Patrícia Karla de Sousa Araújo",$B:$B,"&lt;&gt;Lorena Dias de Araujo",$B:$B,"&lt;&gt;Lucas Luiz Romero")*(28/1083),IF(C877="Técnico I",SUMIFS($D:$D,$A:$A,$A877,$B:$B,"&lt;&gt;Patrícia Karla de Sousa Araújo",$B:$B,"&lt;&gt;Lorena Dias de Araujo",$B:$B,"&lt;&gt;Lucas Luiz Romero")*(23/1083),IF(C877="JR",SUMIFS($D:$D,$A:$A,$A877,$B:$B,"&lt;&gt;Patrícia Karla de Sousa Araújo",$B:$B,"&lt;&gt;Lorena Dias de Araujo",$B:$B,"&lt;&gt;Lucas Luiz Romero")*(20/1083),IF(C877="Estágio",SUMIFS($D:$D,$A:$A,$A877,$B:$B,"&lt;&gt;Patrícia Karla de Sousa Araújo",$B:$B,"&lt;&gt;Lorena Dias de Araujo",$B:$B,"&lt;&gt;Lucas Luiz Romero")*(10/1083),0)))))),0)</f>
        <v>25</v>
      </c>
      <c r="K877" s="3">
        <f>I877-J877</f>
        <v>-8</v>
      </c>
      <c r="L877" s="3" t="str">
        <f>IF(K877&lt;-5,"CRÍTICO",IF(K877&lt;0,"ATENÇÃO",IF(K877&lt;=5,"BOM","EXCELENTE")))</f>
        <v>CRÍTICO</v>
      </c>
      <c r="M877">
        <v>15</v>
      </c>
      <c r="N877">
        <v>100</v>
      </c>
      <c r="O877">
        <v>32.731376975169297</v>
      </c>
    </row>
    <row r="878" spans="1:15" hidden="1" x14ac:dyDescent="0.25">
      <c r="A878" s="11">
        <v>46028</v>
      </c>
      <c r="B878" t="s">
        <v>53</v>
      </c>
      <c r="C878" t="s">
        <v>48</v>
      </c>
      <c r="D878">
        <v>46</v>
      </c>
      <c r="E878">
        <v>45</v>
      </c>
      <c r="F878">
        <v>18.350000000000001</v>
      </c>
      <c r="G878">
        <v>0</v>
      </c>
      <c r="H878">
        <v>0</v>
      </c>
      <c r="I878" s="3">
        <f>E878+G878+H878</f>
        <v>45</v>
      </c>
      <c r="J878" s="3">
        <f>ROUND(MIN(IF(C878="Técnico III",35,IF(C878="Técnico II",28,IF(C878="Técnico I",23,IF(C878="JR",20,IF(C878="Estágio",10,0))))),IF(C878="Técnico III",SUMIFS($D:$D,$A:$A,$A878,$B:$B,"&lt;&gt;Patrícia Karla de Sousa Araújo",$B:$B,"&lt;&gt;Lorena Dias de Araujo",$B:$B,"&lt;&gt;Lucas Luiz Romero")*(35/1083),IF(C878="Técnico II",SUMIFS($D:$D,$A:$A,$A878,$B:$B,"&lt;&gt;Patrícia Karla de Sousa Araújo",$B:$B,"&lt;&gt;Lorena Dias de Araujo",$B:$B,"&lt;&gt;Lucas Luiz Romero")*(28/1083),IF(C878="Técnico I",SUMIFS($D:$D,$A:$A,$A878,$B:$B,"&lt;&gt;Patrícia Karla de Sousa Araújo",$B:$B,"&lt;&gt;Lorena Dias de Araujo",$B:$B,"&lt;&gt;Lucas Luiz Romero")*(23/1083),IF(C878="JR",SUMIFS($D:$D,$A:$A,$A878,$B:$B,"&lt;&gt;Patrícia Karla de Sousa Araújo",$B:$B,"&lt;&gt;Lorena Dias de Araujo",$B:$B,"&lt;&gt;Lucas Luiz Romero")*(20/1083),IF(C878="Estágio",SUMIFS($D:$D,$A:$A,$A878,$B:$B,"&lt;&gt;Patrícia Karla de Sousa Araújo",$B:$B,"&lt;&gt;Lorena Dias de Araujo",$B:$B,"&lt;&gt;Lucas Luiz Romero")*(10/1083),0)))))),0)</f>
        <v>20</v>
      </c>
      <c r="K878" s="3">
        <f>I878-J878</f>
        <v>25</v>
      </c>
      <c r="L878" s="3" t="str">
        <f>IF(K878&lt;-5,"CRÍTICO",IF(K878&lt;0,"ATENÇÃO",IF(K878&lt;=5,"BOM","EXCELENTE")))</f>
        <v>EXCELENTE</v>
      </c>
      <c r="M878">
        <v>38</v>
      </c>
      <c r="N878">
        <v>99.31</v>
      </c>
      <c r="O878">
        <v>30.96234309623431</v>
      </c>
    </row>
    <row r="879" spans="1:15" hidden="1" x14ac:dyDescent="0.25">
      <c r="A879" s="11">
        <v>46062</v>
      </c>
      <c r="B879" t="s">
        <v>22</v>
      </c>
      <c r="C879" t="s">
        <v>23</v>
      </c>
      <c r="D879">
        <v>14</v>
      </c>
      <c r="E879">
        <v>13</v>
      </c>
      <c r="F879">
        <v>29.08</v>
      </c>
      <c r="G879">
        <v>0</v>
      </c>
      <c r="H879">
        <v>0</v>
      </c>
      <c r="I879" s="3">
        <f>E879+G879+H879</f>
        <v>13</v>
      </c>
      <c r="J879" s="3">
        <f>ROUND(MIN(IF(C879="Técnico III",35,IF(C879="Técnico II",28,IF(C879="Técnico I",23,IF(C879="JR",20,IF(C879="Estágio",10,0))))),IF(C879="Técnico III",SUMIFS($D:$D,$A:$A,$A879,$B:$B,"&lt;&gt;Patrícia Karla de Sousa Araújo",$B:$B,"&lt;&gt;Lorena Dias de Araujo",$B:$B,"&lt;&gt;Lucas Luiz Romero")*(35/1083),IF(C879="Técnico II",SUMIFS($D:$D,$A:$A,$A879,$B:$B,"&lt;&gt;Patrícia Karla de Sousa Araújo",$B:$B,"&lt;&gt;Lorena Dias de Araujo",$B:$B,"&lt;&gt;Lucas Luiz Romero")*(28/1083),IF(C879="Técnico I",SUMIFS($D:$D,$A:$A,$A879,$B:$B,"&lt;&gt;Patrícia Karla de Sousa Araújo",$B:$B,"&lt;&gt;Lorena Dias de Araujo",$B:$B,"&lt;&gt;Lucas Luiz Romero")*(23/1083),IF(C879="JR",SUMIFS($D:$D,$A:$A,$A879,$B:$B,"&lt;&gt;Patrícia Karla de Sousa Araújo",$B:$B,"&lt;&gt;Lorena Dias de Araujo",$B:$B,"&lt;&gt;Lucas Luiz Romero")*(20/1083),IF(C879="Estágio",SUMIFS($D:$D,$A:$A,$A879,$B:$B,"&lt;&gt;Patrícia Karla de Sousa Araújo",$B:$B,"&lt;&gt;Lorena Dias de Araujo",$B:$B,"&lt;&gt;Lucas Luiz Romero")*(10/1083),0)))))),0)</f>
        <v>18</v>
      </c>
      <c r="K879" s="3">
        <f>I879-J879</f>
        <v>-5</v>
      </c>
      <c r="L879" s="3" t="str">
        <f>IF(K879&lt;-5,"CRÍTICO",IF(K879&lt;0,"ATENÇÃO",IF(K879&lt;=5,"BOM","EXCELENTE")))</f>
        <v>ATENÇÃO</v>
      </c>
      <c r="M879">
        <v>25</v>
      </c>
      <c r="N879">
        <v>96.67</v>
      </c>
      <c r="O879">
        <v>31.451612903225811</v>
      </c>
    </row>
    <row r="880" spans="1:15" hidden="1" x14ac:dyDescent="0.25">
      <c r="A880" s="11">
        <v>46028</v>
      </c>
      <c r="B880" t="s">
        <v>54</v>
      </c>
      <c r="C880" t="s">
        <v>48</v>
      </c>
      <c r="D880">
        <v>24</v>
      </c>
      <c r="E880">
        <v>21</v>
      </c>
      <c r="F880">
        <v>13.58</v>
      </c>
      <c r="G880">
        <v>0</v>
      </c>
      <c r="H880">
        <v>0</v>
      </c>
      <c r="I880" s="3">
        <f>E880+G880+H880</f>
        <v>21</v>
      </c>
      <c r="J880" s="3">
        <f>ROUND(MIN(IF(C880="Técnico III",35,IF(C880="Técnico II",28,IF(C880="Técnico I",23,IF(C880="JR",20,IF(C880="Estágio",10,0))))),IF(C880="Técnico III",SUMIFS($D:$D,$A:$A,$A880,$B:$B,"&lt;&gt;Patrícia Karla de Sousa Araújo",$B:$B,"&lt;&gt;Lorena Dias de Araujo",$B:$B,"&lt;&gt;Lucas Luiz Romero")*(35/1083),IF(C880="Técnico II",SUMIFS($D:$D,$A:$A,$A880,$B:$B,"&lt;&gt;Patrícia Karla de Sousa Araújo",$B:$B,"&lt;&gt;Lorena Dias de Araujo",$B:$B,"&lt;&gt;Lucas Luiz Romero")*(28/1083),IF(C880="Técnico I",SUMIFS($D:$D,$A:$A,$A880,$B:$B,"&lt;&gt;Patrícia Karla de Sousa Araújo",$B:$B,"&lt;&gt;Lorena Dias de Araujo",$B:$B,"&lt;&gt;Lucas Luiz Romero")*(23/1083),IF(C880="JR",SUMIFS($D:$D,$A:$A,$A880,$B:$B,"&lt;&gt;Patrícia Karla de Sousa Araújo",$B:$B,"&lt;&gt;Lorena Dias de Araujo",$B:$B,"&lt;&gt;Lucas Luiz Romero")*(20/1083),IF(C880="Estágio",SUMIFS($D:$D,$A:$A,$A880,$B:$B,"&lt;&gt;Patrícia Karla de Sousa Araújo",$B:$B,"&lt;&gt;Lorena Dias de Araujo",$B:$B,"&lt;&gt;Lucas Luiz Romero")*(10/1083),0)))))),0)</f>
        <v>20</v>
      </c>
      <c r="K880" s="3">
        <f>I880-J880</f>
        <v>1</v>
      </c>
      <c r="L880" s="3" t="str">
        <f>IF(K880&lt;-5,"CRÍTICO",IF(K880&lt;0,"ATENÇÃO",IF(K880&lt;=5,"BOM","EXCELENTE")))</f>
        <v>BOM</v>
      </c>
      <c r="M880">
        <v>20</v>
      </c>
      <c r="N880">
        <v>100</v>
      </c>
      <c r="O880">
        <v>27.676767676767678</v>
      </c>
    </row>
    <row r="881" spans="1:15" hidden="1" x14ac:dyDescent="0.25">
      <c r="A881" s="11">
        <v>46028</v>
      </c>
      <c r="B881" t="s">
        <v>37</v>
      </c>
      <c r="C881" t="s">
        <v>32</v>
      </c>
      <c r="D881">
        <v>53</v>
      </c>
      <c r="E881">
        <v>46</v>
      </c>
      <c r="F881">
        <v>12.3</v>
      </c>
      <c r="G881">
        <v>0</v>
      </c>
      <c r="H881">
        <v>0</v>
      </c>
      <c r="I881" s="3">
        <f>E881+G881+H881</f>
        <v>46</v>
      </c>
      <c r="J881" s="3">
        <f>ROUND(MIN(IF(C881="Técnico III",35,IF(C881="Técnico II",28,IF(C881="Técnico I",23,IF(C881="JR",20,IF(C881="Estágio",10,0))))),IF(C881="Técnico III",SUMIFS($D:$D,$A:$A,$A881,$B:$B,"&lt;&gt;Patrícia Karla de Sousa Araújo",$B:$B,"&lt;&gt;Lorena Dias de Araujo",$B:$B,"&lt;&gt;Lucas Luiz Romero")*(35/1083),IF(C881="Técnico II",SUMIFS($D:$D,$A:$A,$A881,$B:$B,"&lt;&gt;Patrícia Karla de Sousa Araújo",$B:$B,"&lt;&gt;Lorena Dias de Araujo",$B:$B,"&lt;&gt;Lucas Luiz Romero")*(28/1083),IF(C881="Técnico I",SUMIFS($D:$D,$A:$A,$A881,$B:$B,"&lt;&gt;Patrícia Karla de Sousa Araújo",$B:$B,"&lt;&gt;Lorena Dias de Araujo",$B:$B,"&lt;&gt;Lucas Luiz Romero")*(23/1083),IF(C881="JR",SUMIFS($D:$D,$A:$A,$A881,$B:$B,"&lt;&gt;Patrícia Karla de Sousa Araújo",$B:$B,"&lt;&gt;Lorena Dias de Araujo",$B:$B,"&lt;&gt;Lucas Luiz Romero")*(20/1083),IF(C881="Estágio",SUMIFS($D:$D,$A:$A,$A881,$B:$B,"&lt;&gt;Patrícia Karla de Sousa Araújo",$B:$B,"&lt;&gt;Lorena Dias de Araujo",$B:$B,"&lt;&gt;Lucas Luiz Romero")*(10/1083),0)))))),0)</f>
        <v>25</v>
      </c>
      <c r="K881" s="3">
        <f>I881-J881</f>
        <v>21</v>
      </c>
      <c r="L881" s="3" t="str">
        <f>IF(K881&lt;-5,"CRÍTICO",IF(K881&lt;0,"ATENÇÃO",IF(K881&lt;=5,"BOM","EXCELENTE")))</f>
        <v>EXCELENTE</v>
      </c>
      <c r="M881">
        <v>49</v>
      </c>
      <c r="N881">
        <v>100</v>
      </c>
      <c r="O881">
        <v>31.17723156532988</v>
      </c>
    </row>
    <row r="882" spans="1:15" hidden="1" x14ac:dyDescent="0.25">
      <c r="A882" s="11">
        <v>46028</v>
      </c>
      <c r="B882" t="s">
        <v>38</v>
      </c>
      <c r="C882" t="s">
        <v>32</v>
      </c>
      <c r="D882">
        <v>41</v>
      </c>
      <c r="E882">
        <v>41</v>
      </c>
      <c r="F882">
        <v>13.35</v>
      </c>
      <c r="G882">
        <v>0</v>
      </c>
      <c r="H882">
        <v>0</v>
      </c>
      <c r="I882" s="3">
        <f>E882+G882+H882</f>
        <v>41</v>
      </c>
      <c r="J882" s="3">
        <f>ROUND(MIN(IF(C882="Técnico III",35,IF(C882="Técnico II",28,IF(C882="Técnico I",23,IF(C882="JR",20,IF(C882="Estágio",10,0))))),IF(C882="Técnico III",SUMIFS($D:$D,$A:$A,$A882,$B:$B,"&lt;&gt;Patrícia Karla de Sousa Araújo",$B:$B,"&lt;&gt;Lorena Dias de Araujo",$B:$B,"&lt;&gt;Lucas Luiz Romero")*(35/1083),IF(C882="Técnico II",SUMIFS($D:$D,$A:$A,$A882,$B:$B,"&lt;&gt;Patrícia Karla de Sousa Araújo",$B:$B,"&lt;&gt;Lorena Dias de Araujo",$B:$B,"&lt;&gt;Lucas Luiz Romero")*(28/1083),IF(C882="Técnico I",SUMIFS($D:$D,$A:$A,$A882,$B:$B,"&lt;&gt;Patrícia Karla de Sousa Araújo",$B:$B,"&lt;&gt;Lorena Dias de Araujo",$B:$B,"&lt;&gt;Lucas Luiz Romero")*(23/1083),IF(C882="JR",SUMIFS($D:$D,$A:$A,$A882,$B:$B,"&lt;&gt;Patrícia Karla de Sousa Araújo",$B:$B,"&lt;&gt;Lorena Dias de Araujo",$B:$B,"&lt;&gt;Lucas Luiz Romero")*(20/1083),IF(C882="Estágio",SUMIFS($D:$D,$A:$A,$A882,$B:$B,"&lt;&gt;Patrícia Karla de Sousa Araújo",$B:$B,"&lt;&gt;Lorena Dias de Araujo",$B:$B,"&lt;&gt;Lucas Luiz Romero")*(10/1083),0)))))),0)</f>
        <v>25</v>
      </c>
      <c r="K882" s="3">
        <f>I882-J882</f>
        <v>16</v>
      </c>
      <c r="L882" s="3" t="str">
        <f>IF(K882&lt;-5,"CRÍTICO",IF(K882&lt;0,"ATENÇÃO",IF(K882&lt;=5,"BOM","EXCELENTE")))</f>
        <v>EXCELENTE</v>
      </c>
      <c r="M882">
        <v>38</v>
      </c>
      <c r="N882">
        <v>100</v>
      </c>
      <c r="O882">
        <v>27.609427609427609</v>
      </c>
    </row>
    <row r="883" spans="1:15" hidden="1" x14ac:dyDescent="0.25">
      <c r="A883" s="11">
        <v>46028</v>
      </c>
      <c r="B883" t="s">
        <v>55</v>
      </c>
      <c r="C883" t="s">
        <v>48</v>
      </c>
      <c r="D883">
        <v>38</v>
      </c>
      <c r="E883">
        <v>30</v>
      </c>
      <c r="F883">
        <v>13.52</v>
      </c>
      <c r="G883">
        <v>0</v>
      </c>
      <c r="H883">
        <v>0</v>
      </c>
      <c r="I883" s="3">
        <f>E883+G883+H883</f>
        <v>30</v>
      </c>
      <c r="J883" s="3">
        <f>ROUND(MIN(IF(C883="Técnico III",35,IF(C883="Técnico II",28,IF(C883="Técnico I",23,IF(C883="JR",20,IF(C883="Estágio",10,0))))),IF(C883="Técnico III",SUMIFS($D:$D,$A:$A,$A883,$B:$B,"&lt;&gt;Patrícia Karla de Sousa Araújo",$B:$B,"&lt;&gt;Lorena Dias de Araujo",$B:$B,"&lt;&gt;Lucas Luiz Romero")*(35/1083),IF(C883="Técnico II",SUMIFS($D:$D,$A:$A,$A883,$B:$B,"&lt;&gt;Patrícia Karla de Sousa Araújo",$B:$B,"&lt;&gt;Lorena Dias de Araujo",$B:$B,"&lt;&gt;Lucas Luiz Romero")*(28/1083),IF(C883="Técnico I",SUMIFS($D:$D,$A:$A,$A883,$B:$B,"&lt;&gt;Patrícia Karla de Sousa Araújo",$B:$B,"&lt;&gt;Lorena Dias de Araujo",$B:$B,"&lt;&gt;Lucas Luiz Romero")*(23/1083),IF(C883="JR",SUMIFS($D:$D,$A:$A,$A883,$B:$B,"&lt;&gt;Patrícia Karla de Sousa Araújo",$B:$B,"&lt;&gt;Lorena Dias de Araujo",$B:$B,"&lt;&gt;Lucas Luiz Romero")*(20/1083),IF(C883="Estágio",SUMIFS($D:$D,$A:$A,$A883,$B:$B,"&lt;&gt;Patrícia Karla de Sousa Araújo",$B:$B,"&lt;&gt;Lorena Dias de Araujo",$B:$B,"&lt;&gt;Lucas Luiz Romero")*(10/1083),0)))))),0)</f>
        <v>20</v>
      </c>
      <c r="K883" s="3">
        <f>I883-J883</f>
        <v>10</v>
      </c>
      <c r="L883" s="3" t="str">
        <f>IF(K883&lt;-5,"CRÍTICO",IF(K883&lt;0,"ATENÇÃO",IF(K883&lt;=5,"BOM","EXCELENTE")))</f>
        <v>EXCELENTE</v>
      </c>
      <c r="M883">
        <v>28</v>
      </c>
      <c r="N883">
        <v>96.4</v>
      </c>
      <c r="O883">
        <v>28.764044943820231</v>
      </c>
    </row>
    <row r="884" spans="1:15" hidden="1" x14ac:dyDescent="0.25">
      <c r="A884" s="11">
        <v>46028</v>
      </c>
      <c r="B884" t="s">
        <v>39</v>
      </c>
      <c r="C884" t="s">
        <v>32</v>
      </c>
      <c r="D884">
        <v>0</v>
      </c>
      <c r="E884">
        <v>0</v>
      </c>
      <c r="F884">
        <v>0</v>
      </c>
      <c r="G884">
        <v>0</v>
      </c>
      <c r="H884">
        <v>0</v>
      </c>
      <c r="I884" s="3">
        <v>0</v>
      </c>
      <c r="J884" s="3">
        <v>0</v>
      </c>
      <c r="K884" s="3">
        <v>0</v>
      </c>
      <c r="L884" s="3" t="str">
        <f>IF(K884&lt;-5,"CRÍTICO",IF(K884&lt;0,"ATENÇÃO",IF(K884&lt;=5,"BOM","EXCELENTE")))</f>
        <v>BOM</v>
      </c>
      <c r="M884">
        <v>26</v>
      </c>
      <c r="N884">
        <v>100</v>
      </c>
      <c r="O884">
        <v>33.980582524271853</v>
      </c>
    </row>
    <row r="885" spans="1:15" hidden="1" x14ac:dyDescent="0.25">
      <c r="A885" s="11">
        <v>46028</v>
      </c>
      <c r="B885" t="s">
        <v>25</v>
      </c>
      <c r="C885" t="s">
        <v>26</v>
      </c>
      <c r="D885">
        <v>3</v>
      </c>
      <c r="E885">
        <v>3</v>
      </c>
      <c r="F885">
        <v>57.08</v>
      </c>
      <c r="G885">
        <v>0</v>
      </c>
      <c r="H885">
        <v>0</v>
      </c>
      <c r="I885" s="3">
        <f>E885+G885+H885</f>
        <v>3</v>
      </c>
      <c r="J885" s="3">
        <f>ROUND(MIN(IF(C885="Técnico III",35,IF(C885="Técnico II",28,IF(C885="Técnico I",23,IF(C885="JR",20,IF(C885="Estágio",10,0))))),IF(C885="Técnico III",SUMIFS($D:$D,$A:$A,$A885,$B:$B,"&lt;&gt;Patrícia Karla de Sousa Araújo",$B:$B,"&lt;&gt;Lorena Dias de Araujo",$B:$B,"&lt;&gt;Lucas Luiz Romero")*(35/1083),IF(C885="Técnico II",SUMIFS($D:$D,$A:$A,$A885,$B:$B,"&lt;&gt;Patrícia Karla de Sousa Araújo",$B:$B,"&lt;&gt;Lorena Dias de Araujo",$B:$B,"&lt;&gt;Lucas Luiz Romero")*(28/1083),IF(C885="Técnico I",SUMIFS($D:$D,$A:$A,$A885,$B:$B,"&lt;&gt;Patrícia Karla de Sousa Araújo",$B:$B,"&lt;&gt;Lorena Dias de Araujo",$B:$B,"&lt;&gt;Lucas Luiz Romero")*(23/1083),IF(C885="JR",SUMIFS($D:$D,$A:$A,$A885,$B:$B,"&lt;&gt;Patrícia Karla de Sousa Araújo",$B:$B,"&lt;&gt;Lorena Dias de Araujo",$B:$B,"&lt;&gt;Lucas Luiz Romero")*(20/1083),IF(C885="Estágio",SUMIFS($D:$D,$A:$A,$A885,$B:$B,"&lt;&gt;Patrícia Karla de Sousa Araújo",$B:$B,"&lt;&gt;Lorena Dias de Araujo",$B:$B,"&lt;&gt;Lucas Luiz Romero")*(10/1083),0)))))),0)</f>
        <v>14</v>
      </c>
      <c r="K885" s="3">
        <f>I885-J885</f>
        <v>-11</v>
      </c>
      <c r="L885" s="3" t="str">
        <f>IF(K885&lt;-5,"CRÍTICO",IF(K885&lt;0,"ATENÇÃO",IF(K885&lt;=5,"BOM","EXCELENTE")))</f>
        <v>CRÍTICO</v>
      </c>
      <c r="M885">
        <v>3</v>
      </c>
      <c r="N885">
        <v>97.56</v>
      </c>
      <c r="O885">
        <v>32.515337423312893</v>
      </c>
    </row>
    <row r="886" spans="1:15" hidden="1" x14ac:dyDescent="0.25">
      <c r="A886" s="11">
        <v>46028</v>
      </c>
      <c r="B886" t="s">
        <v>40</v>
      </c>
      <c r="C886" t="s">
        <v>32</v>
      </c>
      <c r="D886">
        <v>0</v>
      </c>
      <c r="E886">
        <v>0</v>
      </c>
      <c r="F886">
        <v>0</v>
      </c>
      <c r="G886">
        <v>0</v>
      </c>
      <c r="H886">
        <v>0</v>
      </c>
      <c r="I886" s="3">
        <v>0</v>
      </c>
      <c r="J886" s="3">
        <v>0</v>
      </c>
      <c r="K886" s="3">
        <v>0</v>
      </c>
      <c r="L886" s="3" t="str">
        <f>IF(K886&lt;-5,"CRÍTICO",IF(K886&lt;0,"ATENÇÃO",IF(K886&lt;=5,"BOM","EXCELENTE")))</f>
        <v>BOM</v>
      </c>
      <c r="M886">
        <v>46</v>
      </c>
      <c r="N886">
        <v>97.11</v>
      </c>
      <c r="O886">
        <v>37.408312958435211</v>
      </c>
    </row>
    <row r="887" spans="1:15" hidden="1" x14ac:dyDescent="0.25">
      <c r="A887" s="11">
        <v>46028</v>
      </c>
      <c r="B887" t="s">
        <v>27</v>
      </c>
      <c r="C887" t="s">
        <v>26</v>
      </c>
      <c r="D887">
        <v>0</v>
      </c>
      <c r="E887">
        <v>0</v>
      </c>
      <c r="F887">
        <v>0</v>
      </c>
      <c r="G887">
        <v>0</v>
      </c>
      <c r="H887">
        <v>0</v>
      </c>
      <c r="I887" s="3">
        <v>0</v>
      </c>
      <c r="J887" s="3">
        <v>0</v>
      </c>
      <c r="K887" s="3">
        <v>0</v>
      </c>
      <c r="L887" s="3" t="str">
        <f>IF(K887&lt;-5,"CRÍTICO",IF(K887&lt;0,"ATENÇÃO",IF(K887&lt;=5,"BOM","EXCELENTE")))</f>
        <v>BOM</v>
      </c>
      <c r="M887">
        <v>0</v>
      </c>
      <c r="N887">
        <v>0</v>
      </c>
      <c r="O887">
        <v>0</v>
      </c>
    </row>
    <row r="888" spans="1:15" hidden="1" x14ac:dyDescent="0.25">
      <c r="A888" s="11">
        <v>46028</v>
      </c>
      <c r="B888" t="s">
        <v>41</v>
      </c>
      <c r="C888" t="s">
        <v>32</v>
      </c>
      <c r="D888">
        <v>45</v>
      </c>
      <c r="E888">
        <v>41</v>
      </c>
      <c r="F888">
        <v>15.19</v>
      </c>
      <c r="G888">
        <v>0</v>
      </c>
      <c r="H888">
        <v>0</v>
      </c>
      <c r="I888" s="3">
        <f>E888+G888+H888</f>
        <v>41</v>
      </c>
      <c r="J888" s="3">
        <f>ROUND(MIN(IF(C888="Técnico III",35,IF(C888="Técnico II",28,IF(C888="Técnico I",23,IF(C888="JR",20,IF(C888="Estágio",10,0))))),IF(C888="Técnico III",SUMIFS($D:$D,$A:$A,$A888,$B:$B,"&lt;&gt;Patrícia Karla de Sousa Araújo",$B:$B,"&lt;&gt;Lorena Dias de Araujo",$B:$B,"&lt;&gt;Lucas Luiz Romero")*(35/1083),IF(C888="Técnico II",SUMIFS($D:$D,$A:$A,$A888,$B:$B,"&lt;&gt;Patrícia Karla de Sousa Araújo",$B:$B,"&lt;&gt;Lorena Dias de Araujo",$B:$B,"&lt;&gt;Lucas Luiz Romero")*(28/1083),IF(C888="Técnico I",SUMIFS($D:$D,$A:$A,$A888,$B:$B,"&lt;&gt;Patrícia Karla de Sousa Araújo",$B:$B,"&lt;&gt;Lorena Dias de Araujo",$B:$B,"&lt;&gt;Lucas Luiz Romero")*(23/1083),IF(C888="JR",SUMIFS($D:$D,$A:$A,$A888,$B:$B,"&lt;&gt;Patrícia Karla de Sousa Araújo",$B:$B,"&lt;&gt;Lorena Dias de Araujo",$B:$B,"&lt;&gt;Lucas Luiz Romero")*(20/1083),IF(C888="Estágio",SUMIFS($D:$D,$A:$A,$A888,$B:$B,"&lt;&gt;Patrícia Karla de Sousa Araújo",$B:$B,"&lt;&gt;Lorena Dias de Araujo",$B:$B,"&lt;&gt;Lucas Luiz Romero")*(10/1083),0)))))),0)</f>
        <v>25</v>
      </c>
      <c r="K888" s="3">
        <f>I888-J888</f>
        <v>16</v>
      </c>
      <c r="L888" s="3" t="str">
        <f>IF(K888&lt;-5,"CRÍTICO",IF(K888&lt;0,"ATENÇÃO",IF(K888&lt;=5,"BOM","EXCELENTE")))</f>
        <v>EXCELENTE</v>
      </c>
      <c r="M888">
        <v>37</v>
      </c>
      <c r="N888">
        <v>100</v>
      </c>
      <c r="O888">
        <v>30.470347648261761</v>
      </c>
    </row>
    <row r="889" spans="1:15" hidden="1" x14ac:dyDescent="0.25">
      <c r="A889" s="11">
        <v>46028</v>
      </c>
      <c r="B889" t="s">
        <v>56</v>
      </c>
      <c r="C889" t="s">
        <v>48</v>
      </c>
      <c r="D889">
        <v>31</v>
      </c>
      <c r="E889">
        <v>29</v>
      </c>
      <c r="F889">
        <v>16.57</v>
      </c>
      <c r="G889">
        <v>0</v>
      </c>
      <c r="H889">
        <v>0</v>
      </c>
      <c r="I889" s="3">
        <f>E889+G889+H889</f>
        <v>29</v>
      </c>
      <c r="J889" s="3">
        <f>ROUND(MIN(IF(C889="Técnico III",35,IF(C889="Técnico II",28,IF(C889="Técnico I",23,IF(C889="JR",20,IF(C889="Estágio",10,0))))),IF(C889="Técnico III",SUMIFS($D:$D,$A:$A,$A889,$B:$B,"&lt;&gt;Patrícia Karla de Sousa Araújo",$B:$B,"&lt;&gt;Lorena Dias de Araujo",$B:$B,"&lt;&gt;Lucas Luiz Romero")*(35/1083),IF(C889="Técnico II",SUMIFS($D:$D,$A:$A,$A889,$B:$B,"&lt;&gt;Patrícia Karla de Sousa Araújo",$B:$B,"&lt;&gt;Lorena Dias de Araujo",$B:$B,"&lt;&gt;Lucas Luiz Romero")*(28/1083),IF(C889="Técnico I",SUMIFS($D:$D,$A:$A,$A889,$B:$B,"&lt;&gt;Patrícia Karla de Sousa Araújo",$B:$B,"&lt;&gt;Lorena Dias de Araujo",$B:$B,"&lt;&gt;Lucas Luiz Romero")*(23/1083),IF(C889="JR",SUMIFS($D:$D,$A:$A,$A889,$B:$B,"&lt;&gt;Patrícia Karla de Sousa Araújo",$B:$B,"&lt;&gt;Lorena Dias de Araujo",$B:$B,"&lt;&gt;Lucas Luiz Romero")*(20/1083),IF(C889="Estágio",SUMIFS($D:$D,$A:$A,$A889,$B:$B,"&lt;&gt;Patrícia Karla de Sousa Araújo",$B:$B,"&lt;&gt;Lorena Dias de Araujo",$B:$B,"&lt;&gt;Lucas Luiz Romero")*(10/1083),0)))))),0)</f>
        <v>20</v>
      </c>
      <c r="K889" s="3">
        <f>I889-J889</f>
        <v>9</v>
      </c>
      <c r="L889" s="3" t="str">
        <f>IF(K889&lt;-5,"CRÍTICO",IF(K889&lt;0,"ATENÇÃO",IF(K889&lt;=5,"BOM","EXCELENTE")))</f>
        <v>EXCELENTE</v>
      </c>
      <c r="M889">
        <v>28</v>
      </c>
      <c r="N889">
        <v>100</v>
      </c>
      <c r="O889">
        <v>32.371134020618562</v>
      </c>
    </row>
    <row r="890" spans="1:15" hidden="1" x14ac:dyDescent="0.25">
      <c r="A890" s="11">
        <v>46028</v>
      </c>
      <c r="B890" t="s">
        <v>57</v>
      </c>
      <c r="C890" t="s">
        <v>48</v>
      </c>
      <c r="D890">
        <v>33</v>
      </c>
      <c r="E890">
        <v>32</v>
      </c>
      <c r="F890">
        <v>17.16</v>
      </c>
      <c r="G890">
        <v>0</v>
      </c>
      <c r="H890">
        <v>0</v>
      </c>
      <c r="I890" s="3">
        <v>0</v>
      </c>
      <c r="J890" s="3">
        <v>0</v>
      </c>
      <c r="K890" s="3">
        <v>0</v>
      </c>
      <c r="L890" s="3" t="str">
        <f>IF(K890&lt;-5,"CRÍTICO",IF(K890&lt;0,"ATENÇÃO",IF(K890&lt;=5,"BOM","EXCELENTE")))</f>
        <v>BOM</v>
      </c>
      <c r="M890">
        <v>26</v>
      </c>
      <c r="N890">
        <v>98.32</v>
      </c>
      <c r="O890">
        <v>32.318501170960189</v>
      </c>
    </row>
    <row r="891" spans="1:15" hidden="1" x14ac:dyDescent="0.25">
      <c r="A891" s="11">
        <v>46028</v>
      </c>
      <c r="B891" t="s">
        <v>42</v>
      </c>
      <c r="C891" t="s">
        <v>32</v>
      </c>
      <c r="D891">
        <v>21</v>
      </c>
      <c r="E891">
        <v>16</v>
      </c>
      <c r="F891">
        <v>15.06</v>
      </c>
      <c r="G891">
        <v>0</v>
      </c>
      <c r="H891">
        <v>0</v>
      </c>
      <c r="I891" s="3">
        <f>E891+G891+H891</f>
        <v>16</v>
      </c>
      <c r="J891" s="3">
        <f>ROUND(MIN(IF(C891="Técnico III",35,IF(C891="Técnico II",28,IF(C891="Técnico I",23,IF(C891="JR",20,IF(C891="Estágio",10,0))))),IF(C891="Técnico III",SUMIFS($D:$D,$A:$A,$A891,$B:$B,"&lt;&gt;Patrícia Karla de Sousa Araújo",$B:$B,"&lt;&gt;Lorena Dias de Araujo",$B:$B,"&lt;&gt;Lucas Luiz Romero")*(35/1083),IF(C891="Técnico II",SUMIFS($D:$D,$A:$A,$A891,$B:$B,"&lt;&gt;Patrícia Karla de Sousa Araújo",$B:$B,"&lt;&gt;Lorena Dias de Araujo",$B:$B,"&lt;&gt;Lucas Luiz Romero")*(28/1083),IF(C891="Técnico I",SUMIFS($D:$D,$A:$A,$A891,$B:$B,"&lt;&gt;Patrícia Karla de Sousa Araújo",$B:$B,"&lt;&gt;Lorena Dias de Araujo",$B:$B,"&lt;&gt;Lucas Luiz Romero")*(23/1083),IF(C891="JR",SUMIFS($D:$D,$A:$A,$A891,$B:$B,"&lt;&gt;Patrícia Karla de Sousa Araújo",$B:$B,"&lt;&gt;Lorena Dias de Araujo",$B:$B,"&lt;&gt;Lucas Luiz Romero")*(20/1083),IF(C891="Estágio",SUMIFS($D:$D,$A:$A,$A891,$B:$B,"&lt;&gt;Patrícia Karla de Sousa Araújo",$B:$B,"&lt;&gt;Lorena Dias de Araujo",$B:$B,"&lt;&gt;Lucas Luiz Romero")*(10/1083),0)))))),0)</f>
        <v>25</v>
      </c>
      <c r="K891" s="3">
        <f>I891-J891</f>
        <v>-9</v>
      </c>
      <c r="L891" s="3" t="str">
        <f>IF(K891&lt;-5,"CRÍTICO",IF(K891&lt;0,"ATENÇÃO",IF(K891&lt;=5,"BOM","EXCELENTE")))</f>
        <v>CRÍTICO</v>
      </c>
      <c r="M891">
        <v>13</v>
      </c>
      <c r="N891">
        <v>96.43</v>
      </c>
      <c r="O891">
        <v>27.015250544662312</v>
      </c>
    </row>
    <row r="892" spans="1:15" hidden="1" x14ac:dyDescent="0.25">
      <c r="A892" s="11">
        <v>46028</v>
      </c>
      <c r="B892" t="s">
        <v>62</v>
      </c>
      <c r="C892" t="s">
        <v>23</v>
      </c>
      <c r="D892">
        <v>21</v>
      </c>
      <c r="E892">
        <v>21</v>
      </c>
      <c r="F892">
        <v>29.07</v>
      </c>
      <c r="G892">
        <v>0</v>
      </c>
      <c r="H892">
        <v>0</v>
      </c>
      <c r="I892" s="3">
        <f>E892+G892+H892</f>
        <v>21</v>
      </c>
      <c r="J892" s="3">
        <f>ROUND(MIN(IF(C892="Técnico III",35,IF(C892="Técnico II",28,IF(C892="Técnico I",23,IF(C892="JR",20,IF(C892="Estágio",10,0))))),IF(C892="Técnico III",SUMIFS($D:$D,$A:$A,$A892,$B:$B,"&lt;&gt;Patrícia Karla de Sousa Araújo",$B:$B,"&lt;&gt;Lorena Dias de Araujo",$B:$B,"&lt;&gt;Lucas Luiz Romero")*(35/1083),IF(C892="Técnico II",SUMIFS($D:$D,$A:$A,$A892,$B:$B,"&lt;&gt;Patrícia Karla de Sousa Araújo",$B:$B,"&lt;&gt;Lorena Dias de Araujo",$B:$B,"&lt;&gt;Lucas Luiz Romero")*(28/1083),IF(C892="Técnico I",SUMIFS($D:$D,$A:$A,$A892,$B:$B,"&lt;&gt;Patrícia Karla de Sousa Araújo",$B:$B,"&lt;&gt;Lorena Dias de Araujo",$B:$B,"&lt;&gt;Lucas Luiz Romero")*(23/1083),IF(C892="JR",SUMIFS($D:$D,$A:$A,$A892,$B:$B,"&lt;&gt;Patrícia Karla de Sousa Araújo",$B:$B,"&lt;&gt;Lorena Dias de Araujo",$B:$B,"&lt;&gt;Lucas Luiz Romero")*(20/1083),IF(C892="Estágio",SUMIFS($D:$D,$A:$A,$A892,$B:$B,"&lt;&gt;Patrícia Karla de Sousa Araújo",$B:$B,"&lt;&gt;Lorena Dias de Araujo",$B:$B,"&lt;&gt;Lucas Luiz Romero")*(10/1083),0)))))),0)</f>
        <v>17</v>
      </c>
      <c r="K892" s="3">
        <f>I892-J892</f>
        <v>4</v>
      </c>
      <c r="L892" s="3" t="str">
        <f>IF(K892&lt;-5,"CRÍTICO",IF(K892&lt;0,"ATENÇÃO",IF(K892&lt;=5,"BOM","EXCELENTE")))</f>
        <v>BOM</v>
      </c>
      <c r="M892">
        <v>19</v>
      </c>
      <c r="N892">
        <v>98.89</v>
      </c>
      <c r="O892">
        <v>28.021978021978018</v>
      </c>
    </row>
    <row r="893" spans="1:15" hidden="1" x14ac:dyDescent="0.25">
      <c r="A893" s="11">
        <v>46028</v>
      </c>
      <c r="B893" t="s">
        <v>19</v>
      </c>
      <c r="C893" t="s">
        <v>16</v>
      </c>
      <c r="D893">
        <v>11</v>
      </c>
      <c r="E893">
        <v>10</v>
      </c>
      <c r="F893">
        <v>37.26</v>
      </c>
      <c r="G893">
        <v>0</v>
      </c>
      <c r="H893">
        <v>0</v>
      </c>
      <c r="I893" s="3">
        <f>E893+G893+H893</f>
        <v>10</v>
      </c>
      <c r="J893" s="3">
        <f>ROUND(MIN(IF(C893="Técnico III",35,IF(C893="Técnico II",28,IF(C893="Técnico I",23,IF(C893="JR",20,IF(C893="Estágio",10,0))))),IF(C893="Técnico III",SUMIFS($D:$D,$A:$A,$A893,$B:$B,"&lt;&gt;Patrícia Karla de Sousa Araújo",$B:$B,"&lt;&gt;Lorena Dias de Araujo",$B:$B,"&lt;&gt;Lucas Luiz Romero")*(35/1083),IF(C893="Técnico II",SUMIFS($D:$D,$A:$A,$A893,$B:$B,"&lt;&gt;Patrícia Karla de Sousa Araújo",$B:$B,"&lt;&gt;Lorena Dias de Araujo",$B:$B,"&lt;&gt;Lucas Luiz Romero")*(28/1083),IF(C893="Técnico I",SUMIFS($D:$D,$A:$A,$A893,$B:$B,"&lt;&gt;Patrícia Karla de Sousa Araújo",$B:$B,"&lt;&gt;Lorena Dias de Araujo",$B:$B,"&lt;&gt;Lucas Luiz Romero")*(23/1083),IF(C893="JR",SUMIFS($D:$D,$A:$A,$A893,$B:$B,"&lt;&gt;Patrícia Karla de Sousa Araújo",$B:$B,"&lt;&gt;Lorena Dias de Araujo",$B:$B,"&lt;&gt;Lucas Luiz Romero")*(20/1083),IF(C893="Estágio",SUMIFS($D:$D,$A:$A,$A893,$B:$B,"&lt;&gt;Patrícia Karla de Sousa Araújo",$B:$B,"&lt;&gt;Lorena Dias de Araujo",$B:$B,"&lt;&gt;Lucas Luiz Romero")*(10/1083),0)))))),0)</f>
        <v>7</v>
      </c>
      <c r="K893" s="3">
        <f>I893-J893</f>
        <v>3</v>
      </c>
      <c r="L893" s="3" t="str">
        <f>IF(K893&lt;-5,"CRÍTICO",IF(K893&lt;0,"ATENÇÃO",IF(K893&lt;=5,"BOM","EXCELENTE")))</f>
        <v>BOM</v>
      </c>
      <c r="M893">
        <v>8</v>
      </c>
      <c r="N893">
        <v>100</v>
      </c>
      <c r="O893">
        <v>33.333333333333329</v>
      </c>
    </row>
    <row r="894" spans="1:15" hidden="1" x14ac:dyDescent="0.25">
      <c r="A894" s="11">
        <v>46028</v>
      </c>
      <c r="B894" t="s">
        <v>43</v>
      </c>
      <c r="C894" t="s">
        <v>32</v>
      </c>
      <c r="D894">
        <v>0</v>
      </c>
      <c r="E894">
        <v>0</v>
      </c>
      <c r="F894">
        <v>0</v>
      </c>
      <c r="G894">
        <v>0</v>
      </c>
      <c r="H894">
        <v>0</v>
      </c>
      <c r="I894" s="3">
        <v>0</v>
      </c>
      <c r="J894" s="3">
        <v>0</v>
      </c>
      <c r="K894" s="3">
        <v>0</v>
      </c>
      <c r="L894" s="3" t="str">
        <f>IF(K894&lt;-5,"CRÍTICO",IF(K894&lt;0,"ATENÇÃO",IF(K894&lt;=5,"BOM","EXCELENTE")))</f>
        <v>BOM</v>
      </c>
      <c r="M894">
        <v>0</v>
      </c>
      <c r="N894">
        <v>100</v>
      </c>
      <c r="O894">
        <v>27.43362831858407</v>
      </c>
    </row>
    <row r="895" spans="1:15" hidden="1" x14ac:dyDescent="0.25">
      <c r="A895" s="11">
        <v>46028</v>
      </c>
      <c r="B895" t="s">
        <v>44</v>
      </c>
      <c r="C895" t="s">
        <v>32</v>
      </c>
      <c r="D895">
        <v>49</v>
      </c>
      <c r="E895">
        <v>42</v>
      </c>
      <c r="F895">
        <v>10.4</v>
      </c>
      <c r="G895">
        <v>0</v>
      </c>
      <c r="H895">
        <v>0</v>
      </c>
      <c r="I895" s="3">
        <f>E895+G895+H895</f>
        <v>42</v>
      </c>
      <c r="J895" s="3">
        <f>ROUND(MIN(IF(C895="Técnico III",35,IF(C895="Técnico II",28,IF(C895="Técnico I",23,IF(C895="JR",20,IF(C895="Estágio",10,0))))),IF(C895="Técnico III",SUMIFS($D:$D,$A:$A,$A895,$B:$B,"&lt;&gt;Patrícia Karla de Sousa Araújo",$B:$B,"&lt;&gt;Lorena Dias de Araujo",$B:$B,"&lt;&gt;Lucas Luiz Romero")*(35/1083),IF(C895="Técnico II",SUMIFS($D:$D,$A:$A,$A895,$B:$B,"&lt;&gt;Patrícia Karla de Sousa Araújo",$B:$B,"&lt;&gt;Lorena Dias de Araujo",$B:$B,"&lt;&gt;Lucas Luiz Romero")*(28/1083),IF(C895="Técnico I",SUMIFS($D:$D,$A:$A,$A895,$B:$B,"&lt;&gt;Patrícia Karla de Sousa Araújo",$B:$B,"&lt;&gt;Lorena Dias de Araujo",$B:$B,"&lt;&gt;Lucas Luiz Romero")*(23/1083),IF(C895="JR",SUMIFS($D:$D,$A:$A,$A895,$B:$B,"&lt;&gt;Patrícia Karla de Sousa Araújo",$B:$B,"&lt;&gt;Lorena Dias de Araujo",$B:$B,"&lt;&gt;Lucas Luiz Romero")*(20/1083),IF(C895="Estágio",SUMIFS($D:$D,$A:$A,$A895,$B:$B,"&lt;&gt;Patrícia Karla de Sousa Araújo",$B:$B,"&lt;&gt;Lorena Dias de Araujo",$B:$B,"&lt;&gt;Lucas Luiz Romero")*(10/1083),0)))))),0)</f>
        <v>25</v>
      </c>
      <c r="K895" s="3">
        <f>I895-J895</f>
        <v>17</v>
      </c>
      <c r="L895" s="3" t="str">
        <f>IF(K895&lt;-5,"CRÍTICO",IF(K895&lt;0,"ATENÇÃO",IF(K895&lt;=5,"BOM","EXCELENTE")))</f>
        <v>EXCELENTE</v>
      </c>
      <c r="M895">
        <v>45</v>
      </c>
      <c r="N895">
        <v>98.65</v>
      </c>
      <c r="O895">
        <v>30.978260869565219</v>
      </c>
    </row>
    <row r="896" spans="1:15" hidden="1" x14ac:dyDescent="0.25">
      <c r="A896" s="11">
        <v>46028</v>
      </c>
      <c r="B896" t="s">
        <v>20</v>
      </c>
      <c r="C896" t="s">
        <v>16</v>
      </c>
      <c r="D896">
        <v>0</v>
      </c>
      <c r="E896">
        <v>0</v>
      </c>
      <c r="F896">
        <v>0</v>
      </c>
      <c r="G896">
        <v>0</v>
      </c>
      <c r="H896">
        <v>0</v>
      </c>
      <c r="I896" s="3">
        <v>0</v>
      </c>
      <c r="J896" s="3">
        <v>0</v>
      </c>
      <c r="K896" s="3">
        <v>0</v>
      </c>
      <c r="L896" s="3" t="str">
        <f>IF(K896&lt;-5,"CRÍTICO",IF(K896&lt;0,"ATENÇÃO",IF(K896&lt;=5,"BOM","EXCELENTE")))</f>
        <v>BOM</v>
      </c>
      <c r="M896">
        <v>0</v>
      </c>
      <c r="N896">
        <v>100</v>
      </c>
      <c r="O896">
        <v>12</v>
      </c>
    </row>
    <row r="897" spans="1:15" hidden="1" x14ac:dyDescent="0.25">
      <c r="A897" s="11">
        <v>46028</v>
      </c>
      <c r="B897" t="s">
        <v>28</v>
      </c>
      <c r="C897" t="s">
        <v>26</v>
      </c>
      <c r="D897">
        <v>0</v>
      </c>
      <c r="E897">
        <v>0</v>
      </c>
      <c r="F897">
        <v>0</v>
      </c>
      <c r="G897">
        <v>0</v>
      </c>
      <c r="H897">
        <v>0</v>
      </c>
      <c r="I897" s="3">
        <v>0</v>
      </c>
      <c r="J897" s="3">
        <v>0</v>
      </c>
      <c r="K897" s="3">
        <v>0</v>
      </c>
      <c r="L897" s="3" t="str">
        <f>IF(K897&lt;-5,"CRÍTICO",IF(K897&lt;0,"ATENÇÃO",IF(K897&lt;=5,"BOM","EXCELENTE")))</f>
        <v>BOM</v>
      </c>
      <c r="M897">
        <v>0</v>
      </c>
      <c r="N897">
        <v>0</v>
      </c>
      <c r="O897">
        <v>0</v>
      </c>
    </row>
    <row r="898" spans="1:15" hidden="1" x14ac:dyDescent="0.25">
      <c r="A898" s="11">
        <v>46028</v>
      </c>
      <c r="B898" t="s">
        <v>58</v>
      </c>
      <c r="C898" t="s">
        <v>48</v>
      </c>
      <c r="D898">
        <v>0</v>
      </c>
      <c r="E898">
        <v>0</v>
      </c>
      <c r="F898">
        <v>0</v>
      </c>
      <c r="G898">
        <v>0</v>
      </c>
      <c r="H898">
        <v>0</v>
      </c>
      <c r="I898" s="3">
        <v>0</v>
      </c>
      <c r="J898" s="3">
        <v>0</v>
      </c>
      <c r="K898" s="3">
        <v>0</v>
      </c>
      <c r="L898" s="3" t="str">
        <f>IF(K898&lt;-5,"CRÍTICO",IF(K898&lt;0,"ATENÇÃO",IF(K898&lt;=5,"BOM","EXCELENTE")))</f>
        <v>BOM</v>
      </c>
      <c r="M898">
        <v>0</v>
      </c>
      <c r="N898">
        <v>97.56</v>
      </c>
      <c r="O898">
        <v>31.067961165048541</v>
      </c>
    </row>
    <row r="899" spans="1:15" hidden="1" x14ac:dyDescent="0.25">
      <c r="A899" s="11">
        <v>46028</v>
      </c>
      <c r="B899" t="s">
        <v>29</v>
      </c>
      <c r="C899" t="s">
        <v>26</v>
      </c>
      <c r="D899">
        <v>0</v>
      </c>
      <c r="E899">
        <v>0</v>
      </c>
      <c r="F899">
        <v>0</v>
      </c>
      <c r="G899">
        <v>0</v>
      </c>
      <c r="H899">
        <v>0</v>
      </c>
      <c r="I899" s="3">
        <v>0</v>
      </c>
      <c r="J899" s="3">
        <v>0</v>
      </c>
      <c r="K899" s="3">
        <v>0</v>
      </c>
      <c r="L899" s="3" t="str">
        <f>IF(K899&lt;-5,"CRÍTICO",IF(K899&lt;0,"ATENÇÃO",IF(K899&lt;=5,"BOM","EXCELENTE")))</f>
        <v>BOM</v>
      </c>
      <c r="M899">
        <v>0</v>
      </c>
      <c r="N899">
        <v>0</v>
      </c>
      <c r="O899">
        <v>0</v>
      </c>
    </row>
    <row r="900" spans="1:15" hidden="1" x14ac:dyDescent="0.25">
      <c r="A900" s="11">
        <v>46028</v>
      </c>
      <c r="B900" t="s">
        <v>30</v>
      </c>
      <c r="C900" t="s">
        <v>26</v>
      </c>
      <c r="D900">
        <v>0</v>
      </c>
      <c r="E900">
        <v>0</v>
      </c>
      <c r="F900">
        <v>0</v>
      </c>
      <c r="G900">
        <v>0</v>
      </c>
      <c r="H900">
        <v>0</v>
      </c>
      <c r="I900" s="3">
        <v>0</v>
      </c>
      <c r="J900" s="3">
        <v>0</v>
      </c>
      <c r="K900" s="3">
        <v>0</v>
      </c>
      <c r="L900" s="3" t="str">
        <f>IF(K900&lt;-5,"CRÍTICO",IF(K900&lt;0,"ATENÇÃO",IF(K900&lt;=5,"BOM","EXCELENTE")))</f>
        <v>BOM</v>
      </c>
      <c r="M900">
        <v>0</v>
      </c>
      <c r="N900">
        <v>0</v>
      </c>
      <c r="O900">
        <v>0</v>
      </c>
    </row>
    <row r="901" spans="1:15" hidden="1" x14ac:dyDescent="0.25">
      <c r="A901" s="11">
        <v>46028</v>
      </c>
      <c r="B901" t="s">
        <v>21</v>
      </c>
      <c r="C901" t="s">
        <v>16</v>
      </c>
      <c r="D901">
        <v>0</v>
      </c>
      <c r="E901">
        <v>0</v>
      </c>
      <c r="F901">
        <v>0</v>
      </c>
      <c r="G901">
        <v>0</v>
      </c>
      <c r="H901">
        <v>0</v>
      </c>
      <c r="I901" s="3">
        <v>0</v>
      </c>
      <c r="J901" s="3">
        <v>0</v>
      </c>
      <c r="K901" s="3">
        <v>0</v>
      </c>
      <c r="L901" s="3" t="str">
        <f>IF(K901&lt;-5,"CRÍTICO",IF(K901&lt;0,"ATENÇÃO",IF(K901&lt;=5,"BOM","EXCELENTE")))</f>
        <v>BOM</v>
      </c>
      <c r="M901">
        <v>0</v>
      </c>
      <c r="N901">
        <v>0</v>
      </c>
      <c r="O901">
        <v>0</v>
      </c>
    </row>
    <row r="902" spans="1:15" hidden="1" x14ac:dyDescent="0.25">
      <c r="A902" s="11">
        <v>46028</v>
      </c>
      <c r="B902" t="s">
        <v>63</v>
      </c>
      <c r="C902" t="s">
        <v>23</v>
      </c>
      <c r="D902">
        <v>0</v>
      </c>
      <c r="E902">
        <v>0</v>
      </c>
      <c r="F902">
        <v>0</v>
      </c>
      <c r="G902">
        <v>0</v>
      </c>
      <c r="H902">
        <v>0</v>
      </c>
      <c r="I902" s="3">
        <v>0</v>
      </c>
      <c r="J902" s="3">
        <v>0</v>
      </c>
      <c r="K902" s="3">
        <v>0</v>
      </c>
      <c r="L902" s="3" t="str">
        <f>IF(K902&lt;-5,"CRÍTICO",IF(K902&lt;0,"ATENÇÃO",IF(K902&lt;=5,"BOM","EXCELENTE")))</f>
        <v>BOM</v>
      </c>
      <c r="M902">
        <v>0</v>
      </c>
      <c r="N902">
        <v>100</v>
      </c>
      <c r="O902">
        <v>53.846153846153847</v>
      </c>
    </row>
    <row r="903" spans="1:15" hidden="1" x14ac:dyDescent="0.25">
      <c r="A903" s="11">
        <v>46028</v>
      </c>
      <c r="B903" t="s">
        <v>45</v>
      </c>
      <c r="C903" t="s">
        <v>32</v>
      </c>
      <c r="D903">
        <v>0</v>
      </c>
      <c r="E903">
        <v>0</v>
      </c>
      <c r="F903">
        <v>0</v>
      </c>
      <c r="G903">
        <v>0</v>
      </c>
      <c r="H903">
        <v>0</v>
      </c>
      <c r="I903" s="3">
        <v>0</v>
      </c>
      <c r="J903" s="3">
        <v>0</v>
      </c>
      <c r="K903" s="3">
        <v>0</v>
      </c>
      <c r="L903" s="3" t="str">
        <f>IF(K903&lt;-5,"CRÍTICO",IF(K903&lt;0,"ATENÇÃO",IF(K903&lt;=5,"BOM","EXCELENTE")))</f>
        <v>BOM</v>
      </c>
      <c r="M903">
        <v>0</v>
      </c>
      <c r="N903">
        <v>100</v>
      </c>
      <c r="O903">
        <v>44.05594405594406</v>
      </c>
    </row>
    <row r="904" spans="1:15" hidden="1" x14ac:dyDescent="0.25">
      <c r="A904" s="11">
        <v>46028</v>
      </c>
      <c r="B904" t="s">
        <v>64</v>
      </c>
      <c r="C904" t="s">
        <v>23</v>
      </c>
      <c r="D904">
        <v>15</v>
      </c>
      <c r="E904">
        <v>11</v>
      </c>
      <c r="F904">
        <v>27.36</v>
      </c>
      <c r="G904">
        <v>0</v>
      </c>
      <c r="H904">
        <v>0</v>
      </c>
      <c r="I904" s="3">
        <f>E904+G904+H904</f>
        <v>11</v>
      </c>
      <c r="J904" s="3">
        <f>ROUND(MIN(IF(C904="Técnico III",35,IF(C904="Técnico II",28,IF(C904="Técnico I",23,IF(C904="JR",20,IF(C904="Estágio",10,0))))),IF(C904="Técnico III",SUMIFS($D:$D,$A:$A,$A904,$B:$B,"&lt;&gt;Patrícia Karla de Sousa Araújo",$B:$B,"&lt;&gt;Lorena Dias de Araujo",$B:$B,"&lt;&gt;Lucas Luiz Romero")*(35/1083),IF(C904="Técnico II",SUMIFS($D:$D,$A:$A,$A904,$B:$B,"&lt;&gt;Patrícia Karla de Sousa Araújo",$B:$B,"&lt;&gt;Lorena Dias de Araujo",$B:$B,"&lt;&gt;Lucas Luiz Romero")*(28/1083),IF(C904="Técnico I",SUMIFS($D:$D,$A:$A,$A904,$B:$B,"&lt;&gt;Patrícia Karla de Sousa Araújo",$B:$B,"&lt;&gt;Lorena Dias de Araujo",$B:$B,"&lt;&gt;Lucas Luiz Romero")*(23/1083),IF(C904="JR",SUMIFS($D:$D,$A:$A,$A904,$B:$B,"&lt;&gt;Patrícia Karla de Sousa Araújo",$B:$B,"&lt;&gt;Lorena Dias de Araujo",$B:$B,"&lt;&gt;Lucas Luiz Romero")*(20/1083),IF(C904="Estágio",SUMIFS($D:$D,$A:$A,$A904,$B:$B,"&lt;&gt;Patrícia Karla de Sousa Araújo",$B:$B,"&lt;&gt;Lorena Dias de Araujo",$B:$B,"&lt;&gt;Lucas Luiz Romero")*(10/1083),0)))))),0)</f>
        <v>17</v>
      </c>
      <c r="K904" s="3">
        <f>I904-J904</f>
        <v>-6</v>
      </c>
      <c r="L904" s="3" t="str">
        <f>IF(K904&lt;-5,"CRÍTICO",IF(K904&lt;0,"ATENÇÃO",IF(K904&lt;=5,"BOM","EXCELENTE")))</f>
        <v>CRÍTICO</v>
      </c>
      <c r="M904">
        <v>12</v>
      </c>
      <c r="N904">
        <v>100</v>
      </c>
      <c r="O904">
        <v>31.872509960159359</v>
      </c>
    </row>
    <row r="905" spans="1:15" hidden="1" x14ac:dyDescent="0.25">
      <c r="A905" s="11">
        <v>46028</v>
      </c>
      <c r="B905" t="s">
        <v>46</v>
      </c>
      <c r="C905" t="s">
        <v>32</v>
      </c>
      <c r="D905">
        <v>29</v>
      </c>
      <c r="E905">
        <v>27</v>
      </c>
      <c r="F905">
        <v>18.399999999999999</v>
      </c>
      <c r="G905">
        <v>0</v>
      </c>
      <c r="H905">
        <v>0</v>
      </c>
      <c r="I905" s="3">
        <f>E905+G905+H905</f>
        <v>27</v>
      </c>
      <c r="J905" s="3">
        <f>ROUND(MIN(IF(C905="Técnico III",35,IF(C905="Técnico II",28,IF(C905="Técnico I",23,IF(C905="JR",20,IF(C905="Estágio",10,0))))),IF(C905="Técnico III",SUMIFS($D:$D,$A:$A,$A905,$B:$B,"&lt;&gt;Patrícia Karla de Sousa Araújo",$B:$B,"&lt;&gt;Lorena Dias de Araujo",$B:$B,"&lt;&gt;Lucas Luiz Romero")*(35/1083),IF(C905="Técnico II",SUMIFS($D:$D,$A:$A,$A905,$B:$B,"&lt;&gt;Patrícia Karla de Sousa Araújo",$B:$B,"&lt;&gt;Lorena Dias de Araujo",$B:$B,"&lt;&gt;Lucas Luiz Romero")*(28/1083),IF(C905="Técnico I",SUMIFS($D:$D,$A:$A,$A905,$B:$B,"&lt;&gt;Patrícia Karla de Sousa Araújo",$B:$B,"&lt;&gt;Lorena Dias de Araujo",$B:$B,"&lt;&gt;Lucas Luiz Romero")*(23/1083),IF(C905="JR",SUMIFS($D:$D,$A:$A,$A905,$B:$B,"&lt;&gt;Patrícia Karla de Sousa Araújo",$B:$B,"&lt;&gt;Lorena Dias de Araujo",$B:$B,"&lt;&gt;Lucas Luiz Romero")*(20/1083),IF(C905="Estágio",SUMIFS($D:$D,$A:$A,$A905,$B:$B,"&lt;&gt;Patrícia Karla de Sousa Araújo",$B:$B,"&lt;&gt;Lorena Dias de Araujo",$B:$B,"&lt;&gt;Lucas Luiz Romero")*(10/1083),0)))))),0)</f>
        <v>25</v>
      </c>
      <c r="K905" s="3">
        <f>I905-J905</f>
        <v>2</v>
      </c>
      <c r="L905" s="3" t="str">
        <f>IF(K905&lt;-5,"CRÍTICO",IF(K905&lt;0,"ATENÇÃO",IF(K905&lt;=5,"BOM","EXCELENTE")))</f>
        <v>BOM</v>
      </c>
      <c r="M905">
        <v>25</v>
      </c>
      <c r="N905">
        <v>98.41</v>
      </c>
      <c r="O905">
        <v>29.22465208747515</v>
      </c>
    </row>
    <row r="906" spans="1:15" hidden="1" x14ac:dyDescent="0.25">
      <c r="A906" s="11">
        <v>46029</v>
      </c>
      <c r="B906" t="s">
        <v>47</v>
      </c>
      <c r="C906" t="s">
        <v>48</v>
      </c>
      <c r="D906">
        <v>26</v>
      </c>
      <c r="E906">
        <v>23</v>
      </c>
      <c r="F906">
        <v>20.57</v>
      </c>
      <c r="G906">
        <v>0</v>
      </c>
      <c r="H906">
        <v>0</v>
      </c>
      <c r="I906" s="3">
        <f>E906+G906+H906</f>
        <v>23</v>
      </c>
      <c r="J906" s="3">
        <f>ROUND(MIN(IF(C906="Técnico III",35,IF(C906="Técnico II",28,IF(C906="Técnico I",23,IF(C906="JR",20,IF(C906="Estágio",10,0))))),IF(C906="Técnico III",SUMIFS($D:$D,$A:$A,$A906,$B:$B,"&lt;&gt;Patrícia Karla de Sousa Araújo",$B:$B,"&lt;&gt;Lorena Dias de Araujo",$B:$B,"&lt;&gt;Lucas Luiz Romero")*(35/1083),IF(C906="Técnico II",SUMIFS($D:$D,$A:$A,$A906,$B:$B,"&lt;&gt;Patrícia Karla de Sousa Araújo",$B:$B,"&lt;&gt;Lorena Dias de Araujo",$B:$B,"&lt;&gt;Lucas Luiz Romero")*(28/1083),IF(C906="Técnico I",SUMIFS($D:$D,$A:$A,$A906,$B:$B,"&lt;&gt;Patrícia Karla de Sousa Araújo",$B:$B,"&lt;&gt;Lorena Dias de Araujo",$B:$B,"&lt;&gt;Lucas Luiz Romero")*(23/1083),IF(C906="JR",SUMIFS($D:$D,$A:$A,$A906,$B:$B,"&lt;&gt;Patrícia Karla de Sousa Araújo",$B:$B,"&lt;&gt;Lorena Dias de Araujo",$B:$B,"&lt;&gt;Lucas Luiz Romero")*(20/1083),IF(C906="Estágio",SUMIFS($D:$D,$A:$A,$A906,$B:$B,"&lt;&gt;Patrícia Karla de Sousa Araújo",$B:$B,"&lt;&gt;Lorena Dias de Araujo",$B:$B,"&lt;&gt;Lucas Luiz Romero")*(10/1083),0)))))),0)</f>
        <v>21</v>
      </c>
      <c r="K906" s="3">
        <f>I906-J906</f>
        <v>2</v>
      </c>
      <c r="L906" s="3" t="str">
        <f>IF(K906&lt;-5,"CRÍTICO",IF(K906&lt;0,"ATENÇÃO",IF(K906&lt;=5,"BOM","EXCELENTE")))</f>
        <v>BOM</v>
      </c>
      <c r="M906">
        <v>19</v>
      </c>
      <c r="N906">
        <v>96.81</v>
      </c>
      <c r="O906">
        <v>27.980535279805348</v>
      </c>
    </row>
    <row r="907" spans="1:15" hidden="1" x14ac:dyDescent="0.25">
      <c r="A907" s="11">
        <v>46029</v>
      </c>
      <c r="B907" t="s">
        <v>31</v>
      </c>
      <c r="C907" t="s">
        <v>32</v>
      </c>
      <c r="D907">
        <v>0</v>
      </c>
      <c r="E907">
        <v>0</v>
      </c>
      <c r="F907">
        <v>0</v>
      </c>
      <c r="G907">
        <v>0</v>
      </c>
      <c r="H907">
        <v>0</v>
      </c>
      <c r="I907" s="3">
        <v>0</v>
      </c>
      <c r="J907" s="3">
        <v>0</v>
      </c>
      <c r="K907" s="3">
        <v>0</v>
      </c>
      <c r="L907" s="3" t="str">
        <f>IF(K907&lt;-5,"CRÍTICO",IF(K907&lt;0,"ATENÇÃO",IF(K907&lt;=5,"BOM","EXCELENTE")))</f>
        <v>BOM</v>
      </c>
      <c r="M907">
        <v>26</v>
      </c>
      <c r="N907">
        <v>98.73</v>
      </c>
      <c r="O907">
        <v>35.756385068762278</v>
      </c>
    </row>
    <row r="908" spans="1:15" hidden="1" x14ac:dyDescent="0.25">
      <c r="A908" s="11">
        <v>46029</v>
      </c>
      <c r="B908" t="s">
        <v>59</v>
      </c>
      <c r="C908" t="s">
        <v>23</v>
      </c>
      <c r="D908">
        <v>30</v>
      </c>
      <c r="E908">
        <v>25</v>
      </c>
      <c r="F908">
        <v>15.14</v>
      </c>
      <c r="G908">
        <v>0</v>
      </c>
      <c r="H908">
        <v>0</v>
      </c>
      <c r="I908" s="3">
        <f>E908+G908+H908</f>
        <v>25</v>
      </c>
      <c r="J908" s="3">
        <f>ROUND(MIN(IF(C908="Técnico III",35,IF(C908="Técnico II",28,IF(C908="Técnico I",23,IF(C908="JR",20,IF(C908="Estágio",10,0))))),IF(C908="Técnico III",SUMIFS($D:$D,$A:$A,$A908,$B:$B,"&lt;&gt;Patrícia Karla de Sousa Araújo",$B:$B,"&lt;&gt;Lorena Dias de Araujo",$B:$B,"&lt;&gt;Lucas Luiz Romero")*(35/1083),IF(C908="Técnico II",SUMIFS($D:$D,$A:$A,$A908,$B:$B,"&lt;&gt;Patrícia Karla de Sousa Araújo",$B:$B,"&lt;&gt;Lorena Dias de Araujo",$B:$B,"&lt;&gt;Lucas Luiz Romero")*(28/1083),IF(C908="Técnico I",SUMIFS($D:$D,$A:$A,$A908,$B:$B,"&lt;&gt;Patrícia Karla de Sousa Araújo",$B:$B,"&lt;&gt;Lorena Dias de Araujo",$B:$B,"&lt;&gt;Lucas Luiz Romero")*(23/1083),IF(C908="JR",SUMIFS($D:$D,$A:$A,$A908,$B:$B,"&lt;&gt;Patrícia Karla de Sousa Araújo",$B:$B,"&lt;&gt;Lorena Dias de Araujo",$B:$B,"&lt;&gt;Lucas Luiz Romero")*(20/1083),IF(C908="Estágio",SUMIFS($D:$D,$A:$A,$A908,$B:$B,"&lt;&gt;Patrícia Karla de Sousa Araújo",$B:$B,"&lt;&gt;Lorena Dias de Araujo",$B:$B,"&lt;&gt;Lucas Luiz Romero")*(10/1083),0)))))),0)</f>
        <v>17</v>
      </c>
      <c r="K908" s="3">
        <f>I908-J908</f>
        <v>8</v>
      </c>
      <c r="L908" s="3" t="str">
        <f>IF(K908&lt;-5,"CRÍTICO",IF(K908&lt;0,"ATENÇÃO",IF(K908&lt;=5,"BOM","EXCELENTE")))</f>
        <v>EXCELENTE</v>
      </c>
      <c r="M908">
        <v>24</v>
      </c>
      <c r="N908">
        <v>98.32</v>
      </c>
      <c r="O908">
        <v>26.763485477178421</v>
      </c>
    </row>
    <row r="909" spans="1:15" hidden="1" x14ac:dyDescent="0.25">
      <c r="A909" s="11">
        <v>46029</v>
      </c>
      <c r="B909" t="s">
        <v>33</v>
      </c>
      <c r="C909" t="s">
        <v>32</v>
      </c>
      <c r="D909">
        <v>31</v>
      </c>
      <c r="E909">
        <v>30</v>
      </c>
      <c r="F909">
        <v>20.059999999999999</v>
      </c>
      <c r="G909">
        <v>0</v>
      </c>
      <c r="H909">
        <v>0</v>
      </c>
      <c r="I909" s="3">
        <f>E909+G909+H909</f>
        <v>30</v>
      </c>
      <c r="J909" s="3">
        <f>ROUND(MIN(IF(C909="Técnico III",35,IF(C909="Técnico II",28,IF(C909="Técnico I",23,IF(C909="JR",20,IF(C909="Estágio",10,0))))),IF(C909="Técnico III",SUMIFS($D:$D,$A:$A,$A909,$B:$B,"&lt;&gt;Patrícia Karla de Sousa Araújo",$B:$B,"&lt;&gt;Lorena Dias de Araujo",$B:$B,"&lt;&gt;Lucas Luiz Romero")*(35/1083),IF(C909="Técnico II",SUMIFS($D:$D,$A:$A,$A909,$B:$B,"&lt;&gt;Patrícia Karla de Sousa Araújo",$B:$B,"&lt;&gt;Lorena Dias de Araujo",$B:$B,"&lt;&gt;Lucas Luiz Romero")*(28/1083),IF(C909="Técnico I",SUMIFS($D:$D,$A:$A,$A909,$B:$B,"&lt;&gt;Patrícia Karla de Sousa Araújo",$B:$B,"&lt;&gt;Lorena Dias de Araujo",$B:$B,"&lt;&gt;Lucas Luiz Romero")*(23/1083),IF(C909="JR",SUMIFS($D:$D,$A:$A,$A909,$B:$B,"&lt;&gt;Patrícia Karla de Sousa Araújo",$B:$B,"&lt;&gt;Lorena Dias de Araujo",$B:$B,"&lt;&gt;Lucas Luiz Romero")*(20/1083),IF(C909="Estágio",SUMIFS($D:$D,$A:$A,$A909,$B:$B,"&lt;&gt;Patrícia Karla de Sousa Araújo",$B:$B,"&lt;&gt;Lorena Dias de Araujo",$B:$B,"&lt;&gt;Lucas Luiz Romero")*(10/1083),0)))))),0)</f>
        <v>26</v>
      </c>
      <c r="K909" s="3">
        <f>I909-J909</f>
        <v>4</v>
      </c>
      <c r="L909" s="3" t="str">
        <f>IF(K909&lt;-5,"CRÍTICO",IF(K909&lt;0,"ATENÇÃO",IF(K909&lt;=5,"BOM","EXCELENTE")))</f>
        <v>BOM</v>
      </c>
      <c r="M909">
        <v>28</v>
      </c>
      <c r="N909">
        <v>99.19</v>
      </c>
      <c r="O909">
        <v>27.637130801687761</v>
      </c>
    </row>
    <row r="910" spans="1:15" hidden="1" x14ac:dyDescent="0.25">
      <c r="A910" s="11">
        <v>46029</v>
      </c>
      <c r="B910" t="s">
        <v>15</v>
      </c>
      <c r="C910" t="s">
        <v>16</v>
      </c>
      <c r="D910">
        <v>15</v>
      </c>
      <c r="E910">
        <v>14</v>
      </c>
      <c r="F910">
        <v>32.35</v>
      </c>
      <c r="G910">
        <v>0</v>
      </c>
      <c r="H910">
        <v>0</v>
      </c>
      <c r="I910" s="3">
        <f>E910+G910+H910</f>
        <v>14</v>
      </c>
      <c r="J910" s="3">
        <f>ROUND(MIN(IF(C910="Técnico III",35,IF(C910="Técnico II",28,IF(C910="Técnico I",23,IF(C910="JR",20,IF(C910="Estágio",10,0))))),IF(C910="Técnico III",SUMIFS($D:$D,$A:$A,$A910,$B:$B,"&lt;&gt;Patrícia Karla de Sousa Araújo",$B:$B,"&lt;&gt;Lorena Dias de Araujo",$B:$B,"&lt;&gt;Lucas Luiz Romero")*(35/1083),IF(C910="Técnico II",SUMIFS($D:$D,$A:$A,$A910,$B:$B,"&lt;&gt;Patrícia Karla de Sousa Araújo",$B:$B,"&lt;&gt;Lorena Dias de Araujo",$B:$B,"&lt;&gt;Lucas Luiz Romero")*(28/1083),IF(C910="Técnico I",SUMIFS($D:$D,$A:$A,$A910,$B:$B,"&lt;&gt;Patrícia Karla de Sousa Araújo",$B:$B,"&lt;&gt;Lorena Dias de Araujo",$B:$B,"&lt;&gt;Lucas Luiz Romero")*(23/1083),IF(C910="JR",SUMIFS($D:$D,$A:$A,$A910,$B:$B,"&lt;&gt;Patrícia Karla de Sousa Araújo",$B:$B,"&lt;&gt;Lorena Dias de Araujo",$B:$B,"&lt;&gt;Lucas Luiz Romero")*(20/1083),IF(C910="Estágio",SUMIFS($D:$D,$A:$A,$A910,$B:$B,"&lt;&gt;Patrícia Karla de Sousa Araújo",$B:$B,"&lt;&gt;Lorena Dias de Araujo",$B:$B,"&lt;&gt;Lucas Luiz Romero")*(10/1083),0)))))),0)</f>
        <v>8</v>
      </c>
      <c r="K910" s="3">
        <f>I910-J910</f>
        <v>6</v>
      </c>
      <c r="L910" s="3" t="str">
        <f>IF(K910&lt;-5,"CRÍTICO",IF(K910&lt;0,"ATENÇÃO",IF(K910&lt;=5,"BOM","EXCELENTE")))</f>
        <v>EXCELENTE</v>
      </c>
      <c r="M910">
        <v>13</v>
      </c>
      <c r="N910">
        <v>100</v>
      </c>
      <c r="O910">
        <v>39.568345323741013</v>
      </c>
    </row>
    <row r="911" spans="1:15" hidden="1" x14ac:dyDescent="0.25">
      <c r="A911" s="11">
        <v>46029</v>
      </c>
      <c r="B911" t="s">
        <v>49</v>
      </c>
      <c r="C911" t="s">
        <v>48</v>
      </c>
      <c r="D911">
        <v>31</v>
      </c>
      <c r="E911">
        <v>28</v>
      </c>
      <c r="F911">
        <v>20.12</v>
      </c>
      <c r="G911">
        <v>0</v>
      </c>
      <c r="H911">
        <v>0</v>
      </c>
      <c r="I911" s="3">
        <f>E911+G911+H911</f>
        <v>28</v>
      </c>
      <c r="J911" s="3">
        <f>ROUND(MIN(IF(C911="Técnico III",35,IF(C911="Técnico II",28,IF(C911="Técnico I",23,IF(C911="JR",20,IF(C911="Estágio",10,0))))),IF(C911="Técnico III",SUMIFS($D:$D,$A:$A,$A911,$B:$B,"&lt;&gt;Patrícia Karla de Sousa Araújo",$B:$B,"&lt;&gt;Lorena Dias de Araujo",$B:$B,"&lt;&gt;Lucas Luiz Romero")*(35/1083),IF(C911="Técnico II",SUMIFS($D:$D,$A:$A,$A911,$B:$B,"&lt;&gt;Patrícia Karla de Sousa Araújo",$B:$B,"&lt;&gt;Lorena Dias de Araujo",$B:$B,"&lt;&gt;Lucas Luiz Romero")*(28/1083),IF(C911="Técnico I",SUMIFS($D:$D,$A:$A,$A911,$B:$B,"&lt;&gt;Patrícia Karla de Sousa Araújo",$B:$B,"&lt;&gt;Lorena Dias de Araujo",$B:$B,"&lt;&gt;Lucas Luiz Romero")*(23/1083),IF(C911="JR",SUMIFS($D:$D,$A:$A,$A911,$B:$B,"&lt;&gt;Patrícia Karla de Sousa Araújo",$B:$B,"&lt;&gt;Lorena Dias de Araujo",$B:$B,"&lt;&gt;Lucas Luiz Romero")*(20/1083),IF(C911="Estágio",SUMIFS($D:$D,$A:$A,$A911,$B:$B,"&lt;&gt;Patrícia Karla de Sousa Araújo",$B:$B,"&lt;&gt;Lorena Dias de Araujo",$B:$B,"&lt;&gt;Lucas Luiz Romero")*(10/1083),0)))))),0)</f>
        <v>21</v>
      </c>
      <c r="K911" s="3">
        <f>I911-J911</f>
        <v>7</v>
      </c>
      <c r="L911" s="3" t="str">
        <f>IF(K911&lt;-5,"CRÍTICO",IF(K911&lt;0,"ATENÇÃO",IF(K911&lt;=5,"BOM","EXCELENTE")))</f>
        <v>EXCELENTE</v>
      </c>
      <c r="M911">
        <v>26</v>
      </c>
      <c r="N911">
        <v>98.54</v>
      </c>
      <c r="O911">
        <v>28.544776119402989</v>
      </c>
    </row>
    <row r="912" spans="1:15" hidden="1" x14ac:dyDescent="0.25">
      <c r="A912" s="11">
        <v>46029</v>
      </c>
      <c r="B912" t="s">
        <v>50</v>
      </c>
      <c r="C912" t="s">
        <v>48</v>
      </c>
      <c r="D912">
        <v>28</v>
      </c>
      <c r="E912">
        <v>23</v>
      </c>
      <c r="F912">
        <v>19.14</v>
      </c>
      <c r="G912">
        <v>0</v>
      </c>
      <c r="H912">
        <v>0</v>
      </c>
      <c r="I912" s="3">
        <f>E912+G912+H912</f>
        <v>23</v>
      </c>
      <c r="J912" s="3">
        <f>ROUND(MIN(IF(C912="Técnico III",35,IF(C912="Técnico II",28,IF(C912="Técnico I",23,IF(C912="JR",20,IF(C912="Estágio",10,0))))),IF(C912="Técnico III",SUMIFS($D:$D,$A:$A,$A912,$B:$B,"&lt;&gt;Patrícia Karla de Sousa Araújo",$B:$B,"&lt;&gt;Lorena Dias de Araujo",$B:$B,"&lt;&gt;Lucas Luiz Romero")*(35/1083),IF(C912="Técnico II",SUMIFS($D:$D,$A:$A,$A912,$B:$B,"&lt;&gt;Patrícia Karla de Sousa Araújo",$B:$B,"&lt;&gt;Lorena Dias de Araujo",$B:$B,"&lt;&gt;Lucas Luiz Romero")*(28/1083),IF(C912="Técnico I",SUMIFS($D:$D,$A:$A,$A912,$B:$B,"&lt;&gt;Patrícia Karla de Sousa Araújo",$B:$B,"&lt;&gt;Lorena Dias de Araujo",$B:$B,"&lt;&gt;Lucas Luiz Romero")*(23/1083),IF(C912="JR",SUMIFS($D:$D,$A:$A,$A912,$B:$B,"&lt;&gt;Patrícia Karla de Sousa Araújo",$B:$B,"&lt;&gt;Lorena Dias de Araujo",$B:$B,"&lt;&gt;Lucas Luiz Romero")*(20/1083),IF(C912="Estágio",SUMIFS($D:$D,$A:$A,$A912,$B:$B,"&lt;&gt;Patrícia Karla de Sousa Araújo",$B:$B,"&lt;&gt;Lorena Dias de Araujo",$B:$B,"&lt;&gt;Lucas Luiz Romero")*(10/1083),0)))))),0)</f>
        <v>21</v>
      </c>
      <c r="K912" s="3">
        <f>I912-J912</f>
        <v>2</v>
      </c>
      <c r="L912" s="3" t="str">
        <f>IF(K912&lt;-5,"CRÍTICO",IF(K912&lt;0,"ATENÇÃO",IF(K912&lt;=5,"BOM","EXCELENTE")))</f>
        <v>BOM</v>
      </c>
      <c r="M912">
        <v>20</v>
      </c>
      <c r="N912">
        <v>100</v>
      </c>
      <c r="O912">
        <v>34.366925064599492</v>
      </c>
    </row>
    <row r="913" spans="1:15" hidden="1" x14ac:dyDescent="0.25">
      <c r="A913" s="11">
        <v>46029</v>
      </c>
      <c r="B913" t="s">
        <v>17</v>
      </c>
      <c r="C913" t="s">
        <v>16</v>
      </c>
      <c r="D913">
        <v>0</v>
      </c>
      <c r="E913">
        <v>0</v>
      </c>
      <c r="F913">
        <v>0</v>
      </c>
      <c r="G913">
        <v>0</v>
      </c>
      <c r="H913">
        <v>0</v>
      </c>
      <c r="I913" s="3">
        <v>0</v>
      </c>
      <c r="J913" s="3">
        <v>0</v>
      </c>
      <c r="K913" s="3">
        <v>0</v>
      </c>
      <c r="L913" s="3" t="str">
        <f>IF(K913&lt;-5,"CRÍTICO",IF(K913&lt;0,"ATENÇÃO",IF(K913&lt;=5,"BOM","EXCELENTE")))</f>
        <v>BOM</v>
      </c>
      <c r="M913">
        <v>0</v>
      </c>
      <c r="N913">
        <v>0</v>
      </c>
      <c r="O913">
        <v>0</v>
      </c>
    </row>
    <row r="914" spans="1:15" hidden="1" x14ac:dyDescent="0.25">
      <c r="A914" s="11">
        <v>46029</v>
      </c>
      <c r="B914" t="s">
        <v>60</v>
      </c>
      <c r="C914" t="s">
        <v>23</v>
      </c>
      <c r="D914">
        <v>17</v>
      </c>
      <c r="E914">
        <v>17</v>
      </c>
      <c r="F914">
        <v>30.57</v>
      </c>
      <c r="G914">
        <v>0</v>
      </c>
      <c r="H914">
        <v>0</v>
      </c>
      <c r="I914" s="3">
        <f>E914+G914+H914</f>
        <v>17</v>
      </c>
      <c r="J914" s="3">
        <f>ROUND(MIN(IF(C914="Técnico III",35,IF(C914="Técnico II",28,IF(C914="Técnico I",23,IF(C914="JR",20,IF(C914="Estágio",10,0))))),IF(C914="Técnico III",SUMIFS($D:$D,$A:$A,$A914,$B:$B,"&lt;&gt;Patrícia Karla de Sousa Araújo",$B:$B,"&lt;&gt;Lorena Dias de Araujo",$B:$B,"&lt;&gt;Lucas Luiz Romero")*(35/1083),IF(C914="Técnico II",SUMIFS($D:$D,$A:$A,$A914,$B:$B,"&lt;&gt;Patrícia Karla de Sousa Araújo",$B:$B,"&lt;&gt;Lorena Dias de Araujo",$B:$B,"&lt;&gt;Lucas Luiz Romero")*(28/1083),IF(C914="Técnico I",SUMIFS($D:$D,$A:$A,$A914,$B:$B,"&lt;&gt;Patrícia Karla de Sousa Araújo",$B:$B,"&lt;&gt;Lorena Dias de Araujo",$B:$B,"&lt;&gt;Lucas Luiz Romero")*(23/1083),IF(C914="JR",SUMIFS($D:$D,$A:$A,$A914,$B:$B,"&lt;&gt;Patrícia Karla de Sousa Araújo",$B:$B,"&lt;&gt;Lorena Dias de Araujo",$B:$B,"&lt;&gt;Lucas Luiz Romero")*(20/1083),IF(C914="Estágio",SUMIFS($D:$D,$A:$A,$A914,$B:$B,"&lt;&gt;Patrícia Karla de Sousa Araújo",$B:$B,"&lt;&gt;Lorena Dias de Araujo",$B:$B,"&lt;&gt;Lucas Luiz Romero")*(10/1083),0)))))),0)</f>
        <v>17</v>
      </c>
      <c r="K914" s="3">
        <f>I914-J914</f>
        <v>0</v>
      </c>
      <c r="L914" s="3" t="str">
        <f>IF(K914&lt;-5,"CRÍTICO",IF(K914&lt;0,"ATENÇÃO",IF(K914&lt;=5,"BOM","EXCELENTE")))</f>
        <v>BOM</v>
      </c>
      <c r="M914">
        <v>14</v>
      </c>
      <c r="N914">
        <v>100</v>
      </c>
      <c r="O914">
        <v>29.518072289156631</v>
      </c>
    </row>
    <row r="915" spans="1:15" hidden="1" x14ac:dyDescent="0.25">
      <c r="A915" s="11">
        <v>46029</v>
      </c>
      <c r="B915" t="s">
        <v>34</v>
      </c>
      <c r="C915" t="s">
        <v>32</v>
      </c>
      <c r="D915">
        <v>55</v>
      </c>
      <c r="E915">
        <v>45</v>
      </c>
      <c r="F915">
        <v>9.11</v>
      </c>
      <c r="G915">
        <v>0</v>
      </c>
      <c r="H915">
        <v>0</v>
      </c>
      <c r="I915" s="3">
        <f>E915+G915+H915</f>
        <v>45</v>
      </c>
      <c r="J915" s="3">
        <f>ROUND(MIN(IF(C915="Técnico III",35,IF(C915="Técnico II",28,IF(C915="Técnico I",23,IF(C915="JR",20,IF(C915="Estágio",10,0))))),IF(C915="Técnico III",SUMIFS($D:$D,$A:$A,$A915,$B:$B,"&lt;&gt;Patrícia Karla de Sousa Araújo",$B:$B,"&lt;&gt;Lorena Dias de Araujo",$B:$B,"&lt;&gt;Lucas Luiz Romero")*(35/1083),IF(C915="Técnico II",SUMIFS($D:$D,$A:$A,$A915,$B:$B,"&lt;&gt;Patrícia Karla de Sousa Araújo",$B:$B,"&lt;&gt;Lorena Dias de Araujo",$B:$B,"&lt;&gt;Lucas Luiz Romero")*(28/1083),IF(C915="Técnico I",SUMIFS($D:$D,$A:$A,$A915,$B:$B,"&lt;&gt;Patrícia Karla de Sousa Araújo",$B:$B,"&lt;&gt;Lorena Dias de Araujo",$B:$B,"&lt;&gt;Lucas Luiz Romero")*(23/1083),IF(C915="JR",SUMIFS($D:$D,$A:$A,$A915,$B:$B,"&lt;&gt;Patrícia Karla de Sousa Araújo",$B:$B,"&lt;&gt;Lorena Dias de Araujo",$B:$B,"&lt;&gt;Lucas Luiz Romero")*(20/1083),IF(C915="Estágio",SUMIFS($D:$D,$A:$A,$A915,$B:$B,"&lt;&gt;Patrícia Karla de Sousa Araújo",$B:$B,"&lt;&gt;Lorena Dias de Araujo",$B:$B,"&lt;&gt;Lucas Luiz Romero")*(10/1083),0)))))),0)</f>
        <v>26</v>
      </c>
      <c r="K915" s="3">
        <f>I915-J915</f>
        <v>19</v>
      </c>
      <c r="L915" s="3" t="str">
        <f>IF(K915&lt;-5,"CRÍTICO",IF(K915&lt;0,"ATENÇÃO",IF(K915&lt;=5,"BOM","EXCELENTE")))</f>
        <v>EXCELENTE</v>
      </c>
      <c r="M915">
        <v>42</v>
      </c>
      <c r="N915">
        <v>97.45</v>
      </c>
      <c r="O915">
        <v>41.421143847487002</v>
      </c>
    </row>
    <row r="916" spans="1:15" hidden="1" x14ac:dyDescent="0.25">
      <c r="A916" s="11">
        <v>46029</v>
      </c>
      <c r="B916" t="s">
        <v>51</v>
      </c>
      <c r="C916" t="s">
        <v>48</v>
      </c>
      <c r="D916">
        <v>37</v>
      </c>
      <c r="E916">
        <v>33</v>
      </c>
      <c r="F916">
        <v>15.37</v>
      </c>
      <c r="G916">
        <v>0</v>
      </c>
      <c r="H916">
        <v>0</v>
      </c>
      <c r="I916" s="3">
        <v>0</v>
      </c>
      <c r="J916" s="3">
        <v>0</v>
      </c>
      <c r="K916" s="3">
        <v>0</v>
      </c>
      <c r="L916" s="3" t="str">
        <f>IF(K916&lt;-5,"CRÍTICO",IF(K916&lt;0,"ATENÇÃO",IF(K916&lt;=5,"BOM","EXCELENTE")))</f>
        <v>BOM</v>
      </c>
      <c r="M916">
        <v>26</v>
      </c>
      <c r="N916">
        <v>96.58</v>
      </c>
      <c r="O916">
        <v>30.396475770925111</v>
      </c>
    </row>
    <row r="917" spans="1:15" hidden="1" x14ac:dyDescent="0.25">
      <c r="A917" s="11">
        <v>46029</v>
      </c>
      <c r="B917" t="s">
        <v>61</v>
      </c>
      <c r="C917" t="s">
        <v>23</v>
      </c>
      <c r="D917">
        <v>27</v>
      </c>
      <c r="E917">
        <v>27</v>
      </c>
      <c r="F917">
        <v>21.4</v>
      </c>
      <c r="G917">
        <v>0</v>
      </c>
      <c r="H917">
        <v>0</v>
      </c>
      <c r="I917" s="3">
        <f>E917+G917+H917</f>
        <v>27</v>
      </c>
      <c r="J917" s="3">
        <f>ROUND(MIN(IF(C917="Técnico III",35,IF(C917="Técnico II",28,IF(C917="Técnico I",23,IF(C917="JR",20,IF(C917="Estágio",10,0))))),IF(C917="Técnico III",SUMIFS($D:$D,$A:$A,$A917,$B:$B,"&lt;&gt;Patrícia Karla de Sousa Araújo",$B:$B,"&lt;&gt;Lorena Dias de Araujo",$B:$B,"&lt;&gt;Lucas Luiz Romero")*(35/1083),IF(C917="Técnico II",SUMIFS($D:$D,$A:$A,$A917,$B:$B,"&lt;&gt;Patrícia Karla de Sousa Araújo",$B:$B,"&lt;&gt;Lorena Dias de Araujo",$B:$B,"&lt;&gt;Lucas Luiz Romero")*(28/1083),IF(C917="Técnico I",SUMIFS($D:$D,$A:$A,$A917,$B:$B,"&lt;&gt;Patrícia Karla de Sousa Araújo",$B:$B,"&lt;&gt;Lorena Dias de Araujo",$B:$B,"&lt;&gt;Lucas Luiz Romero")*(23/1083),IF(C917="JR",SUMIFS($D:$D,$A:$A,$A917,$B:$B,"&lt;&gt;Patrícia Karla de Sousa Araújo",$B:$B,"&lt;&gt;Lorena Dias de Araujo",$B:$B,"&lt;&gt;Lucas Luiz Romero")*(20/1083),IF(C917="Estágio",SUMIFS($D:$D,$A:$A,$A917,$B:$B,"&lt;&gt;Patrícia Karla de Sousa Araújo",$B:$B,"&lt;&gt;Lorena Dias de Araujo",$B:$B,"&lt;&gt;Lucas Luiz Romero")*(10/1083),0)))))),0)</f>
        <v>17</v>
      </c>
      <c r="K917" s="3">
        <f>I917-J917</f>
        <v>10</v>
      </c>
      <c r="L917" s="3" t="str">
        <f>IF(K917&lt;-5,"CRÍTICO",IF(K917&lt;0,"ATENÇÃO",IF(K917&lt;=5,"BOM","EXCELENTE")))</f>
        <v>EXCELENTE</v>
      </c>
      <c r="M917">
        <v>25</v>
      </c>
      <c r="N917">
        <v>100</v>
      </c>
      <c r="O917">
        <v>27.44282744282744</v>
      </c>
    </row>
    <row r="918" spans="1:15" hidden="1" x14ac:dyDescent="0.25">
      <c r="A918" s="11">
        <v>46029</v>
      </c>
      <c r="B918" t="s">
        <v>35</v>
      </c>
      <c r="C918" t="s">
        <v>32</v>
      </c>
      <c r="D918">
        <v>34</v>
      </c>
      <c r="E918">
        <v>33</v>
      </c>
      <c r="F918">
        <v>21.41</v>
      </c>
      <c r="G918">
        <v>0</v>
      </c>
      <c r="H918">
        <v>0</v>
      </c>
      <c r="I918" s="3">
        <v>0</v>
      </c>
      <c r="J918" s="3">
        <v>0</v>
      </c>
      <c r="K918" s="3">
        <v>0</v>
      </c>
      <c r="L918" s="3" t="str">
        <f>IF(K918&lt;-5,"CRÍTICO",IF(K918&lt;0,"ATENÇÃO",IF(K918&lt;=5,"BOM","EXCELENTE")))</f>
        <v>BOM</v>
      </c>
      <c r="M918">
        <v>33</v>
      </c>
      <c r="N918">
        <v>99.49</v>
      </c>
      <c r="O918">
        <v>40.200000000000003</v>
      </c>
    </row>
    <row r="919" spans="1:15" hidden="1" x14ac:dyDescent="0.25">
      <c r="A919" s="11">
        <v>46029</v>
      </c>
      <c r="B919" t="s">
        <v>18</v>
      </c>
      <c r="C919" t="s">
        <v>16</v>
      </c>
      <c r="D919">
        <v>0</v>
      </c>
      <c r="E919">
        <v>0</v>
      </c>
      <c r="F919">
        <v>0</v>
      </c>
      <c r="G919">
        <v>0</v>
      </c>
      <c r="H919">
        <v>0</v>
      </c>
      <c r="I919" s="3">
        <v>0</v>
      </c>
      <c r="J919" s="3">
        <v>0</v>
      </c>
      <c r="K919" s="3">
        <v>0</v>
      </c>
      <c r="L919" s="3" t="str">
        <f>IF(K919&lt;-5,"CRÍTICO",IF(K919&lt;0,"ATENÇÃO",IF(K919&lt;=5,"BOM","EXCELENTE")))</f>
        <v>BOM</v>
      </c>
      <c r="M919">
        <v>0</v>
      </c>
      <c r="N919">
        <v>100</v>
      </c>
      <c r="O919">
        <v>25</v>
      </c>
    </row>
    <row r="920" spans="1:15" hidden="1" x14ac:dyDescent="0.25">
      <c r="A920" s="11">
        <v>46029</v>
      </c>
      <c r="B920" t="s">
        <v>52</v>
      </c>
      <c r="C920" t="s">
        <v>48</v>
      </c>
      <c r="D920">
        <v>34</v>
      </c>
      <c r="E920">
        <v>33</v>
      </c>
      <c r="F920">
        <v>16.43</v>
      </c>
      <c r="G920">
        <v>0</v>
      </c>
      <c r="H920">
        <v>0</v>
      </c>
      <c r="I920" s="3">
        <f>E920+G920+H920</f>
        <v>33</v>
      </c>
      <c r="J920" s="3">
        <f>ROUND(MIN(IF(C920="Técnico III",35,IF(C920="Técnico II",28,IF(C920="Técnico I",23,IF(C920="JR",20,IF(C920="Estágio",10,0))))),IF(C920="Técnico III",SUMIFS($D:$D,$A:$A,$A920,$B:$B,"&lt;&gt;Patrícia Karla de Sousa Araújo",$B:$B,"&lt;&gt;Lorena Dias de Araujo",$B:$B,"&lt;&gt;Lucas Luiz Romero")*(35/1083),IF(C920="Técnico II",SUMIFS($D:$D,$A:$A,$A920,$B:$B,"&lt;&gt;Patrícia Karla de Sousa Araújo",$B:$B,"&lt;&gt;Lorena Dias de Araujo",$B:$B,"&lt;&gt;Lucas Luiz Romero")*(28/1083),IF(C920="Técnico I",SUMIFS($D:$D,$A:$A,$A920,$B:$B,"&lt;&gt;Patrícia Karla de Sousa Araújo",$B:$B,"&lt;&gt;Lorena Dias de Araujo",$B:$B,"&lt;&gt;Lucas Luiz Romero")*(23/1083),IF(C920="JR",SUMIFS($D:$D,$A:$A,$A920,$B:$B,"&lt;&gt;Patrícia Karla de Sousa Araújo",$B:$B,"&lt;&gt;Lorena Dias de Araujo",$B:$B,"&lt;&gt;Lucas Luiz Romero")*(20/1083),IF(C920="Estágio",SUMIFS($D:$D,$A:$A,$A920,$B:$B,"&lt;&gt;Patrícia Karla de Sousa Araújo",$B:$B,"&lt;&gt;Lorena Dias de Araujo",$B:$B,"&lt;&gt;Lucas Luiz Romero")*(10/1083),0)))))),0)</f>
        <v>21</v>
      </c>
      <c r="K920" s="3">
        <f>I920-J920</f>
        <v>12</v>
      </c>
      <c r="L920" s="3" t="str">
        <f>IF(K920&lt;-5,"CRÍTICO",IF(K920&lt;0,"ATENÇÃO",IF(K920&lt;=5,"BOM","EXCELENTE")))</f>
        <v>EXCELENTE</v>
      </c>
      <c r="M920">
        <v>27</v>
      </c>
      <c r="N920">
        <v>100</v>
      </c>
      <c r="O920">
        <v>34.15094339622641</v>
      </c>
    </row>
    <row r="921" spans="1:15" hidden="1" x14ac:dyDescent="0.25">
      <c r="A921" s="11">
        <v>46029</v>
      </c>
      <c r="B921" t="s">
        <v>36</v>
      </c>
      <c r="C921" t="s">
        <v>32</v>
      </c>
      <c r="D921">
        <v>34</v>
      </c>
      <c r="E921">
        <v>31</v>
      </c>
      <c r="F921">
        <v>12.38</v>
      </c>
      <c r="G921">
        <v>0</v>
      </c>
      <c r="H921">
        <v>0</v>
      </c>
      <c r="I921" s="3">
        <f>E921+G921+H921</f>
        <v>31</v>
      </c>
      <c r="J921" s="3">
        <f>ROUND(MIN(IF(C921="Técnico III",35,IF(C921="Técnico II",28,IF(C921="Técnico I",23,IF(C921="JR",20,IF(C921="Estágio",10,0))))),IF(C921="Técnico III",SUMIFS($D:$D,$A:$A,$A921,$B:$B,"&lt;&gt;Patrícia Karla de Sousa Araújo",$B:$B,"&lt;&gt;Lorena Dias de Araujo",$B:$B,"&lt;&gt;Lucas Luiz Romero")*(35/1083),IF(C921="Técnico II",SUMIFS($D:$D,$A:$A,$A921,$B:$B,"&lt;&gt;Patrícia Karla de Sousa Araújo",$B:$B,"&lt;&gt;Lorena Dias de Araujo",$B:$B,"&lt;&gt;Lucas Luiz Romero")*(28/1083),IF(C921="Técnico I",SUMIFS($D:$D,$A:$A,$A921,$B:$B,"&lt;&gt;Patrícia Karla de Sousa Araújo",$B:$B,"&lt;&gt;Lorena Dias de Araujo",$B:$B,"&lt;&gt;Lucas Luiz Romero")*(23/1083),IF(C921="JR",SUMIFS($D:$D,$A:$A,$A921,$B:$B,"&lt;&gt;Patrícia Karla de Sousa Araújo",$B:$B,"&lt;&gt;Lorena Dias de Araujo",$B:$B,"&lt;&gt;Lucas Luiz Romero")*(20/1083),IF(C921="Estágio",SUMIFS($D:$D,$A:$A,$A921,$B:$B,"&lt;&gt;Patrícia Karla de Sousa Araújo",$B:$B,"&lt;&gt;Lorena Dias de Araujo",$B:$B,"&lt;&gt;Lucas Luiz Romero")*(10/1083),0)))))),0)</f>
        <v>26</v>
      </c>
      <c r="K921" s="3">
        <f>I921-J921</f>
        <v>5</v>
      </c>
      <c r="L921" s="3" t="str">
        <f>IF(K921&lt;-5,"CRÍTICO",IF(K921&lt;0,"ATENÇÃO",IF(K921&lt;=5,"BOM","EXCELENTE")))</f>
        <v>BOM</v>
      </c>
      <c r="M921">
        <v>32</v>
      </c>
      <c r="N921">
        <v>100</v>
      </c>
      <c r="O921">
        <v>32.731376975169297</v>
      </c>
    </row>
    <row r="922" spans="1:15" hidden="1" x14ac:dyDescent="0.25">
      <c r="A922" s="11">
        <v>46029</v>
      </c>
      <c r="B922" t="s">
        <v>53</v>
      </c>
      <c r="C922" t="s">
        <v>48</v>
      </c>
      <c r="D922">
        <v>33</v>
      </c>
      <c r="E922">
        <v>31</v>
      </c>
      <c r="F922">
        <v>25.16</v>
      </c>
      <c r="G922">
        <v>0</v>
      </c>
      <c r="H922">
        <v>0</v>
      </c>
      <c r="I922" s="3">
        <f>E922+G922+H922</f>
        <v>31</v>
      </c>
      <c r="J922" s="3">
        <f>ROUND(MIN(IF(C922="Técnico III",35,IF(C922="Técnico II",28,IF(C922="Técnico I",23,IF(C922="JR",20,IF(C922="Estágio",10,0))))),IF(C922="Técnico III",SUMIFS($D:$D,$A:$A,$A922,$B:$B,"&lt;&gt;Patrícia Karla de Sousa Araújo",$B:$B,"&lt;&gt;Lorena Dias de Araujo",$B:$B,"&lt;&gt;Lucas Luiz Romero")*(35/1083),IF(C922="Técnico II",SUMIFS($D:$D,$A:$A,$A922,$B:$B,"&lt;&gt;Patrícia Karla de Sousa Araújo",$B:$B,"&lt;&gt;Lorena Dias de Araujo",$B:$B,"&lt;&gt;Lucas Luiz Romero")*(28/1083),IF(C922="Técnico I",SUMIFS($D:$D,$A:$A,$A922,$B:$B,"&lt;&gt;Patrícia Karla de Sousa Araújo",$B:$B,"&lt;&gt;Lorena Dias de Araujo",$B:$B,"&lt;&gt;Lucas Luiz Romero")*(23/1083),IF(C922="JR",SUMIFS($D:$D,$A:$A,$A922,$B:$B,"&lt;&gt;Patrícia Karla de Sousa Araújo",$B:$B,"&lt;&gt;Lorena Dias de Araujo",$B:$B,"&lt;&gt;Lucas Luiz Romero")*(20/1083),IF(C922="Estágio",SUMIFS($D:$D,$A:$A,$A922,$B:$B,"&lt;&gt;Patrícia Karla de Sousa Araújo",$B:$B,"&lt;&gt;Lorena Dias de Araujo",$B:$B,"&lt;&gt;Lucas Luiz Romero")*(10/1083),0)))))),0)</f>
        <v>21</v>
      </c>
      <c r="K922" s="3">
        <f>I922-J922</f>
        <v>10</v>
      </c>
      <c r="L922" s="3" t="str">
        <f>IF(K922&lt;-5,"CRÍTICO",IF(K922&lt;0,"ATENÇÃO",IF(K922&lt;=5,"BOM","EXCELENTE")))</f>
        <v>EXCELENTE</v>
      </c>
      <c r="M922">
        <v>29</v>
      </c>
      <c r="N922">
        <v>99.31</v>
      </c>
      <c r="O922">
        <v>30.96234309623431</v>
      </c>
    </row>
    <row r="923" spans="1:15" hidden="1" x14ac:dyDescent="0.25">
      <c r="A923" s="11">
        <v>46063</v>
      </c>
      <c r="B923" t="s">
        <v>22</v>
      </c>
      <c r="C923" t="s">
        <v>23</v>
      </c>
      <c r="D923">
        <v>6</v>
      </c>
      <c r="E923">
        <v>6</v>
      </c>
      <c r="F923">
        <v>20.39</v>
      </c>
      <c r="G923">
        <v>0</v>
      </c>
      <c r="H923">
        <v>0</v>
      </c>
      <c r="I923" s="3">
        <f>E923+G923+H923</f>
        <v>6</v>
      </c>
      <c r="J923" s="3">
        <f>ROUND(MIN(IF(C923="Técnico III",35,IF(C923="Técnico II",28,IF(C923="Técnico I",23,IF(C923="JR",20,IF(C923="Estágio",10,0))))),IF(C923="Técnico III",SUMIFS($D:$D,$A:$A,$A923,$B:$B,"&lt;&gt;Patrícia Karla de Sousa Araújo",$B:$B,"&lt;&gt;Lorena Dias de Araujo",$B:$B,"&lt;&gt;Lucas Luiz Romero")*(35/1083),IF(C923="Técnico II",SUMIFS($D:$D,$A:$A,$A923,$B:$B,"&lt;&gt;Patrícia Karla de Sousa Araújo",$B:$B,"&lt;&gt;Lorena Dias de Araujo",$B:$B,"&lt;&gt;Lucas Luiz Romero")*(28/1083),IF(C923="Técnico I",SUMIFS($D:$D,$A:$A,$A923,$B:$B,"&lt;&gt;Patrícia Karla de Sousa Araújo",$B:$B,"&lt;&gt;Lorena Dias de Araujo",$B:$B,"&lt;&gt;Lucas Luiz Romero")*(23/1083),IF(C923="JR",SUMIFS($D:$D,$A:$A,$A923,$B:$B,"&lt;&gt;Patrícia Karla de Sousa Araújo",$B:$B,"&lt;&gt;Lorena Dias de Araujo",$B:$B,"&lt;&gt;Lucas Luiz Romero")*(20/1083),IF(C923="Estágio",SUMIFS($D:$D,$A:$A,$A923,$B:$B,"&lt;&gt;Patrícia Karla de Sousa Araújo",$B:$B,"&lt;&gt;Lorena Dias de Araujo",$B:$B,"&lt;&gt;Lucas Luiz Romero")*(10/1083),0)))))),0)</f>
        <v>20</v>
      </c>
      <c r="K923" s="3">
        <f>I923-J923</f>
        <v>-14</v>
      </c>
      <c r="L923" s="3" t="str">
        <f>IF(K923&lt;-5,"CRÍTICO",IF(K923&lt;0,"ATENÇÃO",IF(K923&lt;=5,"BOM","EXCELENTE")))</f>
        <v>CRÍTICO</v>
      </c>
      <c r="M923">
        <v>28</v>
      </c>
      <c r="N923">
        <v>96.67</v>
      </c>
      <c r="O923">
        <v>31.451612903225811</v>
      </c>
    </row>
    <row r="924" spans="1:15" hidden="1" x14ac:dyDescent="0.25">
      <c r="A924" s="11">
        <v>46029</v>
      </c>
      <c r="B924" t="s">
        <v>54</v>
      </c>
      <c r="C924" t="s">
        <v>48</v>
      </c>
      <c r="D924">
        <v>28</v>
      </c>
      <c r="E924">
        <v>25</v>
      </c>
      <c r="F924">
        <v>15.12</v>
      </c>
      <c r="G924">
        <v>0</v>
      </c>
      <c r="H924">
        <v>0</v>
      </c>
      <c r="I924" s="3">
        <f>E924+G924+H924</f>
        <v>25</v>
      </c>
      <c r="J924" s="3">
        <f>ROUND(MIN(IF(C924="Técnico III",35,IF(C924="Técnico II",28,IF(C924="Técnico I",23,IF(C924="JR",20,IF(C924="Estágio",10,0))))),IF(C924="Técnico III",SUMIFS($D:$D,$A:$A,$A924,$B:$B,"&lt;&gt;Patrícia Karla de Sousa Araújo",$B:$B,"&lt;&gt;Lorena Dias de Araujo",$B:$B,"&lt;&gt;Lucas Luiz Romero")*(35/1083),IF(C924="Técnico II",SUMIFS($D:$D,$A:$A,$A924,$B:$B,"&lt;&gt;Patrícia Karla de Sousa Araújo",$B:$B,"&lt;&gt;Lorena Dias de Araujo",$B:$B,"&lt;&gt;Lucas Luiz Romero")*(28/1083),IF(C924="Técnico I",SUMIFS($D:$D,$A:$A,$A924,$B:$B,"&lt;&gt;Patrícia Karla de Sousa Araújo",$B:$B,"&lt;&gt;Lorena Dias de Araujo",$B:$B,"&lt;&gt;Lucas Luiz Romero")*(23/1083),IF(C924="JR",SUMIFS($D:$D,$A:$A,$A924,$B:$B,"&lt;&gt;Patrícia Karla de Sousa Araújo",$B:$B,"&lt;&gt;Lorena Dias de Araujo",$B:$B,"&lt;&gt;Lucas Luiz Romero")*(20/1083),IF(C924="Estágio",SUMIFS($D:$D,$A:$A,$A924,$B:$B,"&lt;&gt;Patrícia Karla de Sousa Araújo",$B:$B,"&lt;&gt;Lorena Dias de Araujo",$B:$B,"&lt;&gt;Lucas Luiz Romero")*(10/1083),0)))))),0)</f>
        <v>21</v>
      </c>
      <c r="K924" s="3">
        <f>I924-J924</f>
        <v>4</v>
      </c>
      <c r="L924" s="3" t="str">
        <f>IF(K924&lt;-5,"CRÍTICO",IF(K924&lt;0,"ATENÇÃO",IF(K924&lt;=5,"BOM","EXCELENTE")))</f>
        <v>BOM</v>
      </c>
      <c r="M924">
        <v>27</v>
      </c>
      <c r="N924">
        <v>100</v>
      </c>
      <c r="O924">
        <v>27.676767676767678</v>
      </c>
    </row>
    <row r="925" spans="1:15" hidden="1" x14ac:dyDescent="0.25">
      <c r="A925" s="11">
        <v>46029</v>
      </c>
      <c r="B925" t="s">
        <v>37</v>
      </c>
      <c r="C925" t="s">
        <v>32</v>
      </c>
      <c r="D925">
        <v>59</v>
      </c>
      <c r="E925">
        <v>53</v>
      </c>
      <c r="F925">
        <v>10.35</v>
      </c>
      <c r="G925">
        <v>0</v>
      </c>
      <c r="H925">
        <v>0</v>
      </c>
      <c r="I925" s="3">
        <f>E925+G925+H925</f>
        <v>53</v>
      </c>
      <c r="J925" s="3">
        <f>ROUND(MIN(IF(C925="Técnico III",35,IF(C925="Técnico II",28,IF(C925="Técnico I",23,IF(C925="JR",20,IF(C925="Estágio",10,0))))),IF(C925="Técnico III",SUMIFS($D:$D,$A:$A,$A925,$B:$B,"&lt;&gt;Patrícia Karla de Sousa Araújo",$B:$B,"&lt;&gt;Lorena Dias de Araujo",$B:$B,"&lt;&gt;Lucas Luiz Romero")*(35/1083),IF(C925="Técnico II",SUMIFS($D:$D,$A:$A,$A925,$B:$B,"&lt;&gt;Patrícia Karla de Sousa Araújo",$B:$B,"&lt;&gt;Lorena Dias de Araujo",$B:$B,"&lt;&gt;Lucas Luiz Romero")*(28/1083),IF(C925="Técnico I",SUMIFS($D:$D,$A:$A,$A925,$B:$B,"&lt;&gt;Patrícia Karla de Sousa Araújo",$B:$B,"&lt;&gt;Lorena Dias de Araujo",$B:$B,"&lt;&gt;Lucas Luiz Romero")*(23/1083),IF(C925="JR",SUMIFS($D:$D,$A:$A,$A925,$B:$B,"&lt;&gt;Patrícia Karla de Sousa Araújo",$B:$B,"&lt;&gt;Lorena Dias de Araujo",$B:$B,"&lt;&gt;Lucas Luiz Romero")*(20/1083),IF(C925="Estágio",SUMIFS($D:$D,$A:$A,$A925,$B:$B,"&lt;&gt;Patrícia Karla de Sousa Araújo",$B:$B,"&lt;&gt;Lorena Dias de Araujo",$B:$B,"&lt;&gt;Lucas Luiz Romero")*(10/1083),0)))))),0)</f>
        <v>26</v>
      </c>
      <c r="K925" s="3">
        <f>I925-J925</f>
        <v>27</v>
      </c>
      <c r="L925" s="3" t="str">
        <f>IF(K925&lt;-5,"CRÍTICO",IF(K925&lt;0,"ATENÇÃO",IF(K925&lt;=5,"BOM","EXCELENTE")))</f>
        <v>EXCELENTE</v>
      </c>
      <c r="M925">
        <v>51</v>
      </c>
      <c r="N925">
        <v>100</v>
      </c>
      <c r="O925">
        <v>31.17723156532988</v>
      </c>
    </row>
    <row r="926" spans="1:15" hidden="1" x14ac:dyDescent="0.25">
      <c r="A926" s="11">
        <v>46029</v>
      </c>
      <c r="B926" t="s">
        <v>38</v>
      </c>
      <c r="C926" t="s">
        <v>32</v>
      </c>
      <c r="D926">
        <v>30</v>
      </c>
      <c r="E926">
        <v>27</v>
      </c>
      <c r="F926">
        <v>12.23</v>
      </c>
      <c r="G926">
        <v>0</v>
      </c>
      <c r="H926">
        <v>0</v>
      </c>
      <c r="I926" s="3">
        <f>E926+G926+H926</f>
        <v>27</v>
      </c>
      <c r="J926" s="3">
        <f>ROUND(MIN(IF(C926="Técnico III",35,IF(C926="Técnico II",28,IF(C926="Técnico I",23,IF(C926="JR",20,IF(C926="Estágio",10,0))))),IF(C926="Técnico III",SUMIFS($D:$D,$A:$A,$A926,$B:$B,"&lt;&gt;Patrícia Karla de Sousa Araújo",$B:$B,"&lt;&gt;Lorena Dias de Araujo",$B:$B,"&lt;&gt;Lucas Luiz Romero")*(35/1083),IF(C926="Técnico II",SUMIFS($D:$D,$A:$A,$A926,$B:$B,"&lt;&gt;Patrícia Karla de Sousa Araújo",$B:$B,"&lt;&gt;Lorena Dias de Araujo",$B:$B,"&lt;&gt;Lucas Luiz Romero")*(28/1083),IF(C926="Técnico I",SUMIFS($D:$D,$A:$A,$A926,$B:$B,"&lt;&gt;Patrícia Karla de Sousa Araújo",$B:$B,"&lt;&gt;Lorena Dias de Araujo",$B:$B,"&lt;&gt;Lucas Luiz Romero")*(23/1083),IF(C926="JR",SUMIFS($D:$D,$A:$A,$A926,$B:$B,"&lt;&gt;Patrícia Karla de Sousa Araújo",$B:$B,"&lt;&gt;Lorena Dias de Araujo",$B:$B,"&lt;&gt;Lucas Luiz Romero")*(20/1083),IF(C926="Estágio",SUMIFS($D:$D,$A:$A,$A926,$B:$B,"&lt;&gt;Patrícia Karla de Sousa Araújo",$B:$B,"&lt;&gt;Lorena Dias de Araujo",$B:$B,"&lt;&gt;Lucas Luiz Romero")*(10/1083),0)))))),0)</f>
        <v>26</v>
      </c>
      <c r="K926" s="3">
        <f>I926-J926</f>
        <v>1</v>
      </c>
      <c r="L926" s="3" t="str">
        <f>IF(K926&lt;-5,"CRÍTICO",IF(K926&lt;0,"ATENÇÃO",IF(K926&lt;=5,"BOM","EXCELENTE")))</f>
        <v>BOM</v>
      </c>
      <c r="M926">
        <v>24</v>
      </c>
      <c r="N926">
        <v>100</v>
      </c>
      <c r="O926">
        <v>27.609427609427609</v>
      </c>
    </row>
    <row r="927" spans="1:15" hidden="1" x14ac:dyDescent="0.25">
      <c r="A927" s="11">
        <v>46029</v>
      </c>
      <c r="B927" t="s">
        <v>55</v>
      </c>
      <c r="C927" t="s">
        <v>48</v>
      </c>
      <c r="D927">
        <v>33</v>
      </c>
      <c r="E927">
        <v>27</v>
      </c>
      <c r="F927">
        <v>11.54</v>
      </c>
      <c r="G927">
        <v>0</v>
      </c>
      <c r="H927">
        <v>0</v>
      </c>
      <c r="I927" s="3">
        <f>E927+G927+H927</f>
        <v>27</v>
      </c>
      <c r="J927" s="3">
        <f>ROUND(MIN(IF(C927="Técnico III",35,IF(C927="Técnico II",28,IF(C927="Técnico I",23,IF(C927="JR",20,IF(C927="Estágio",10,0))))),IF(C927="Técnico III",SUMIFS($D:$D,$A:$A,$A927,$B:$B,"&lt;&gt;Patrícia Karla de Sousa Araújo",$B:$B,"&lt;&gt;Lorena Dias de Araujo",$B:$B,"&lt;&gt;Lucas Luiz Romero")*(35/1083),IF(C927="Técnico II",SUMIFS($D:$D,$A:$A,$A927,$B:$B,"&lt;&gt;Patrícia Karla de Sousa Araújo",$B:$B,"&lt;&gt;Lorena Dias de Araujo",$B:$B,"&lt;&gt;Lucas Luiz Romero")*(28/1083),IF(C927="Técnico I",SUMIFS($D:$D,$A:$A,$A927,$B:$B,"&lt;&gt;Patrícia Karla de Sousa Araújo",$B:$B,"&lt;&gt;Lorena Dias de Araujo",$B:$B,"&lt;&gt;Lucas Luiz Romero")*(23/1083),IF(C927="JR",SUMIFS($D:$D,$A:$A,$A927,$B:$B,"&lt;&gt;Patrícia Karla de Sousa Araújo",$B:$B,"&lt;&gt;Lorena Dias de Araujo",$B:$B,"&lt;&gt;Lucas Luiz Romero")*(20/1083),IF(C927="Estágio",SUMIFS($D:$D,$A:$A,$A927,$B:$B,"&lt;&gt;Patrícia Karla de Sousa Araújo",$B:$B,"&lt;&gt;Lorena Dias de Araujo",$B:$B,"&lt;&gt;Lucas Luiz Romero")*(10/1083),0)))))),0)</f>
        <v>21</v>
      </c>
      <c r="K927" s="3">
        <f>I927-J927</f>
        <v>6</v>
      </c>
      <c r="L927" s="3" t="str">
        <f>IF(K927&lt;-5,"CRÍTICO",IF(K927&lt;0,"ATENÇÃO",IF(K927&lt;=5,"BOM","EXCELENTE")))</f>
        <v>EXCELENTE</v>
      </c>
      <c r="M927">
        <v>26</v>
      </c>
      <c r="N927">
        <v>96.4</v>
      </c>
      <c r="O927">
        <v>28.764044943820231</v>
      </c>
    </row>
    <row r="928" spans="1:15" hidden="1" x14ac:dyDescent="0.25">
      <c r="A928" s="11">
        <v>46029</v>
      </c>
      <c r="B928" t="s">
        <v>39</v>
      </c>
      <c r="C928" t="s">
        <v>32</v>
      </c>
      <c r="D928">
        <v>0</v>
      </c>
      <c r="E928">
        <v>0</v>
      </c>
      <c r="F928">
        <v>0</v>
      </c>
      <c r="G928">
        <v>0</v>
      </c>
      <c r="H928">
        <v>0</v>
      </c>
      <c r="I928" s="3">
        <v>0</v>
      </c>
      <c r="J928" s="3">
        <v>0</v>
      </c>
      <c r="K928" s="3">
        <v>0</v>
      </c>
      <c r="L928" s="3" t="str">
        <f>IF(K928&lt;-5,"CRÍTICO",IF(K928&lt;0,"ATENÇÃO",IF(K928&lt;=5,"BOM","EXCELENTE")))</f>
        <v>BOM</v>
      </c>
      <c r="M928">
        <v>28</v>
      </c>
      <c r="N928">
        <v>100</v>
      </c>
      <c r="O928">
        <v>33.980582524271853</v>
      </c>
    </row>
    <row r="929" spans="1:15" hidden="1" x14ac:dyDescent="0.25">
      <c r="A929" s="11">
        <v>46029</v>
      </c>
      <c r="B929" t="s">
        <v>25</v>
      </c>
      <c r="C929" t="s">
        <v>26</v>
      </c>
      <c r="D929">
        <v>8</v>
      </c>
      <c r="E929">
        <v>8</v>
      </c>
      <c r="F929">
        <v>33.340000000000003</v>
      </c>
      <c r="G929">
        <v>0</v>
      </c>
      <c r="H929">
        <v>0</v>
      </c>
      <c r="I929" s="3">
        <f>E929+G929+H929</f>
        <v>8</v>
      </c>
      <c r="J929" s="3">
        <f>ROUND(MIN(IF(C929="Técnico III",35,IF(C929="Técnico II",28,IF(C929="Técnico I",23,IF(C929="JR",20,IF(C929="Estágio",10,0))))),IF(C929="Técnico III",SUMIFS($D:$D,$A:$A,$A929,$B:$B,"&lt;&gt;Patrícia Karla de Sousa Araújo",$B:$B,"&lt;&gt;Lorena Dias de Araujo",$B:$B,"&lt;&gt;Lucas Luiz Romero")*(35/1083),IF(C929="Técnico II",SUMIFS($D:$D,$A:$A,$A929,$B:$B,"&lt;&gt;Patrícia Karla de Sousa Araújo",$B:$B,"&lt;&gt;Lorena Dias de Araujo",$B:$B,"&lt;&gt;Lucas Luiz Romero")*(28/1083),IF(C929="Técnico I",SUMIFS($D:$D,$A:$A,$A929,$B:$B,"&lt;&gt;Patrícia Karla de Sousa Araújo",$B:$B,"&lt;&gt;Lorena Dias de Araujo",$B:$B,"&lt;&gt;Lucas Luiz Romero")*(23/1083),IF(C929="JR",SUMIFS($D:$D,$A:$A,$A929,$B:$B,"&lt;&gt;Patrícia Karla de Sousa Araújo",$B:$B,"&lt;&gt;Lorena Dias de Araujo",$B:$B,"&lt;&gt;Lucas Luiz Romero")*(20/1083),IF(C929="Estágio",SUMIFS($D:$D,$A:$A,$A929,$B:$B,"&lt;&gt;Patrícia Karla de Sousa Araújo",$B:$B,"&lt;&gt;Lorena Dias de Araujo",$B:$B,"&lt;&gt;Lucas Luiz Romero")*(10/1083),0)))))),0)</f>
        <v>15</v>
      </c>
      <c r="K929" s="3">
        <f>I929-J929</f>
        <v>-7</v>
      </c>
      <c r="L929" s="3" t="str">
        <f>IF(K929&lt;-5,"CRÍTICO",IF(K929&lt;0,"ATENÇÃO",IF(K929&lt;=5,"BOM","EXCELENTE")))</f>
        <v>CRÍTICO</v>
      </c>
      <c r="M929">
        <v>7</v>
      </c>
      <c r="N929">
        <v>97.56</v>
      </c>
      <c r="O929">
        <v>32.515337423312893</v>
      </c>
    </row>
    <row r="930" spans="1:15" hidden="1" x14ac:dyDescent="0.25">
      <c r="A930" s="11">
        <v>46029</v>
      </c>
      <c r="B930" t="s">
        <v>40</v>
      </c>
      <c r="C930" t="s">
        <v>32</v>
      </c>
      <c r="D930">
        <v>15</v>
      </c>
      <c r="E930">
        <v>15</v>
      </c>
      <c r="F930">
        <v>34.14</v>
      </c>
      <c r="G930">
        <v>0</v>
      </c>
      <c r="H930">
        <v>0</v>
      </c>
      <c r="I930" s="3">
        <f>E930+G930+H930</f>
        <v>15</v>
      </c>
      <c r="J930" s="3">
        <f>ROUND(MIN(IF(C930="Técnico III",35,IF(C930="Técnico II",28,IF(C930="Técnico I",23,IF(C930="JR",20,IF(C930="Estágio",10,0))))),IF(C930="Técnico III",SUMIFS($D:$D,$A:$A,$A930,$B:$B,"&lt;&gt;Patrícia Karla de Sousa Araújo",$B:$B,"&lt;&gt;Lorena Dias de Araujo",$B:$B,"&lt;&gt;Lucas Luiz Romero")*(35/1083),IF(C930="Técnico II",SUMIFS($D:$D,$A:$A,$A930,$B:$B,"&lt;&gt;Patrícia Karla de Sousa Araújo",$B:$B,"&lt;&gt;Lorena Dias de Araujo",$B:$B,"&lt;&gt;Lucas Luiz Romero")*(28/1083),IF(C930="Técnico I",SUMIFS($D:$D,$A:$A,$A930,$B:$B,"&lt;&gt;Patrícia Karla de Sousa Araújo",$B:$B,"&lt;&gt;Lorena Dias de Araujo",$B:$B,"&lt;&gt;Lucas Luiz Romero")*(23/1083),IF(C930="JR",SUMIFS($D:$D,$A:$A,$A930,$B:$B,"&lt;&gt;Patrícia Karla de Sousa Araújo",$B:$B,"&lt;&gt;Lorena Dias de Araujo",$B:$B,"&lt;&gt;Lucas Luiz Romero")*(20/1083),IF(C930="Estágio",SUMIFS($D:$D,$A:$A,$A930,$B:$B,"&lt;&gt;Patrícia Karla de Sousa Araújo",$B:$B,"&lt;&gt;Lorena Dias de Araujo",$B:$B,"&lt;&gt;Lucas Luiz Romero")*(10/1083),0)))))),0)</f>
        <v>26</v>
      </c>
      <c r="K930" s="3">
        <f>I930-J930</f>
        <v>-11</v>
      </c>
      <c r="L930" s="3" t="str">
        <f>IF(K930&lt;-5,"CRÍTICO",IF(K930&lt;0,"ATENÇÃO",IF(K930&lt;=5,"BOM","EXCELENTE")))</f>
        <v>CRÍTICO</v>
      </c>
      <c r="M930">
        <v>15</v>
      </c>
      <c r="N930">
        <v>97.11</v>
      </c>
      <c r="O930">
        <v>37.408312958435211</v>
      </c>
    </row>
    <row r="931" spans="1:15" hidden="1" x14ac:dyDescent="0.25">
      <c r="A931" s="11">
        <v>46029</v>
      </c>
      <c r="B931" t="s">
        <v>27</v>
      </c>
      <c r="C931" t="s">
        <v>26</v>
      </c>
      <c r="D931">
        <v>0</v>
      </c>
      <c r="E931">
        <v>0</v>
      </c>
      <c r="F931">
        <v>0</v>
      </c>
      <c r="G931">
        <v>0</v>
      </c>
      <c r="H931">
        <v>0</v>
      </c>
      <c r="I931" s="3">
        <v>0</v>
      </c>
      <c r="J931" s="3">
        <v>0</v>
      </c>
      <c r="K931" s="3">
        <v>0</v>
      </c>
      <c r="L931" s="3" t="str">
        <f>IF(K931&lt;-5,"CRÍTICO",IF(K931&lt;0,"ATENÇÃO",IF(K931&lt;=5,"BOM","EXCELENTE")))</f>
        <v>BOM</v>
      </c>
      <c r="M931">
        <v>0</v>
      </c>
      <c r="N931">
        <v>0</v>
      </c>
      <c r="O931">
        <v>0</v>
      </c>
    </row>
    <row r="932" spans="1:15" hidden="1" x14ac:dyDescent="0.25">
      <c r="A932" s="11">
        <v>46029</v>
      </c>
      <c r="B932" t="s">
        <v>41</v>
      </c>
      <c r="C932" t="s">
        <v>32</v>
      </c>
      <c r="D932">
        <v>33</v>
      </c>
      <c r="E932">
        <v>30</v>
      </c>
      <c r="F932">
        <v>17.100000000000001</v>
      </c>
      <c r="G932">
        <v>0</v>
      </c>
      <c r="H932">
        <v>0</v>
      </c>
      <c r="I932" s="3">
        <f>E932+G932+H932</f>
        <v>30</v>
      </c>
      <c r="J932" s="3">
        <f>ROUND(MIN(IF(C932="Técnico III",35,IF(C932="Técnico II",28,IF(C932="Técnico I",23,IF(C932="JR",20,IF(C932="Estágio",10,0))))),IF(C932="Técnico III",SUMIFS($D:$D,$A:$A,$A932,$B:$B,"&lt;&gt;Patrícia Karla de Sousa Araújo",$B:$B,"&lt;&gt;Lorena Dias de Araujo",$B:$B,"&lt;&gt;Lucas Luiz Romero")*(35/1083),IF(C932="Técnico II",SUMIFS($D:$D,$A:$A,$A932,$B:$B,"&lt;&gt;Patrícia Karla de Sousa Araújo",$B:$B,"&lt;&gt;Lorena Dias de Araujo",$B:$B,"&lt;&gt;Lucas Luiz Romero")*(28/1083),IF(C932="Técnico I",SUMIFS($D:$D,$A:$A,$A932,$B:$B,"&lt;&gt;Patrícia Karla de Sousa Araújo",$B:$B,"&lt;&gt;Lorena Dias de Araujo",$B:$B,"&lt;&gt;Lucas Luiz Romero")*(23/1083),IF(C932="JR",SUMIFS($D:$D,$A:$A,$A932,$B:$B,"&lt;&gt;Patrícia Karla de Sousa Araújo",$B:$B,"&lt;&gt;Lorena Dias de Araujo",$B:$B,"&lt;&gt;Lucas Luiz Romero")*(20/1083),IF(C932="Estágio",SUMIFS($D:$D,$A:$A,$A932,$B:$B,"&lt;&gt;Patrícia Karla de Sousa Araújo",$B:$B,"&lt;&gt;Lorena Dias de Araujo",$B:$B,"&lt;&gt;Lucas Luiz Romero")*(10/1083),0)))))),0)</f>
        <v>26</v>
      </c>
      <c r="K932" s="3">
        <f>I932-J932</f>
        <v>4</v>
      </c>
      <c r="L932" s="3" t="str">
        <f>IF(K932&lt;-5,"CRÍTICO",IF(K932&lt;0,"ATENÇÃO",IF(K932&lt;=5,"BOM","EXCELENTE")))</f>
        <v>BOM</v>
      </c>
      <c r="M932">
        <v>33</v>
      </c>
      <c r="N932">
        <v>100</v>
      </c>
      <c r="O932">
        <v>30.470347648261761</v>
      </c>
    </row>
    <row r="933" spans="1:15" hidden="1" x14ac:dyDescent="0.25">
      <c r="A933" s="11">
        <v>46029</v>
      </c>
      <c r="B933" t="s">
        <v>56</v>
      </c>
      <c r="C933" t="s">
        <v>48</v>
      </c>
      <c r="D933">
        <v>29</v>
      </c>
      <c r="E933">
        <v>26</v>
      </c>
      <c r="F933">
        <v>20.34</v>
      </c>
      <c r="G933">
        <v>0</v>
      </c>
      <c r="H933">
        <v>0</v>
      </c>
      <c r="I933" s="3">
        <f>E933+G933+H933</f>
        <v>26</v>
      </c>
      <c r="J933" s="3">
        <f>ROUND(MIN(IF(C933="Técnico III",35,IF(C933="Técnico II",28,IF(C933="Técnico I",23,IF(C933="JR",20,IF(C933="Estágio",10,0))))),IF(C933="Técnico III",SUMIFS($D:$D,$A:$A,$A933,$B:$B,"&lt;&gt;Patrícia Karla de Sousa Araújo",$B:$B,"&lt;&gt;Lorena Dias de Araujo",$B:$B,"&lt;&gt;Lucas Luiz Romero")*(35/1083),IF(C933="Técnico II",SUMIFS($D:$D,$A:$A,$A933,$B:$B,"&lt;&gt;Patrícia Karla de Sousa Araújo",$B:$B,"&lt;&gt;Lorena Dias de Araujo",$B:$B,"&lt;&gt;Lucas Luiz Romero")*(28/1083),IF(C933="Técnico I",SUMIFS($D:$D,$A:$A,$A933,$B:$B,"&lt;&gt;Patrícia Karla de Sousa Araújo",$B:$B,"&lt;&gt;Lorena Dias de Araujo",$B:$B,"&lt;&gt;Lucas Luiz Romero")*(23/1083),IF(C933="JR",SUMIFS($D:$D,$A:$A,$A933,$B:$B,"&lt;&gt;Patrícia Karla de Sousa Araújo",$B:$B,"&lt;&gt;Lorena Dias de Araujo",$B:$B,"&lt;&gt;Lucas Luiz Romero")*(20/1083),IF(C933="Estágio",SUMIFS($D:$D,$A:$A,$A933,$B:$B,"&lt;&gt;Patrícia Karla de Sousa Araújo",$B:$B,"&lt;&gt;Lorena Dias de Araujo",$B:$B,"&lt;&gt;Lucas Luiz Romero")*(10/1083),0)))))),0)</f>
        <v>21</v>
      </c>
      <c r="K933" s="3">
        <f>I933-J933</f>
        <v>5</v>
      </c>
      <c r="L933" s="3" t="str">
        <f>IF(K933&lt;-5,"CRÍTICO",IF(K933&lt;0,"ATENÇÃO",IF(K933&lt;=5,"BOM","EXCELENTE")))</f>
        <v>BOM</v>
      </c>
      <c r="M933">
        <v>23</v>
      </c>
      <c r="N933">
        <v>100</v>
      </c>
      <c r="O933">
        <v>32.371134020618562</v>
      </c>
    </row>
    <row r="934" spans="1:15" hidden="1" x14ac:dyDescent="0.25">
      <c r="A934" s="11">
        <v>46029</v>
      </c>
      <c r="B934" t="s">
        <v>57</v>
      </c>
      <c r="C934" t="s">
        <v>48</v>
      </c>
      <c r="D934">
        <v>21</v>
      </c>
      <c r="E934">
        <v>21</v>
      </c>
      <c r="F934">
        <v>20.100000000000001</v>
      </c>
      <c r="G934">
        <v>0</v>
      </c>
      <c r="H934">
        <v>0</v>
      </c>
      <c r="I934" s="3">
        <v>0</v>
      </c>
      <c r="J934" s="3">
        <v>0</v>
      </c>
      <c r="K934" s="3">
        <v>0</v>
      </c>
      <c r="L934" s="3" t="str">
        <f>IF(K934&lt;-5,"CRÍTICO",IF(K934&lt;0,"ATENÇÃO",IF(K934&lt;=5,"BOM","EXCELENTE")))</f>
        <v>BOM</v>
      </c>
      <c r="M934">
        <v>18</v>
      </c>
      <c r="N934">
        <v>98.32</v>
      </c>
      <c r="O934">
        <v>32.318501170960189</v>
      </c>
    </row>
    <row r="935" spans="1:15" hidden="1" x14ac:dyDescent="0.25">
      <c r="A935" s="11">
        <v>46029</v>
      </c>
      <c r="B935" t="s">
        <v>42</v>
      </c>
      <c r="C935" t="s">
        <v>32</v>
      </c>
      <c r="D935">
        <v>48</v>
      </c>
      <c r="E935">
        <v>43</v>
      </c>
      <c r="F935">
        <v>17.34</v>
      </c>
      <c r="G935">
        <v>0</v>
      </c>
      <c r="H935">
        <v>0</v>
      </c>
      <c r="I935" s="3">
        <f>E935+G935+H935</f>
        <v>43</v>
      </c>
      <c r="J935" s="3">
        <f>ROUND(MIN(IF(C935="Técnico III",35,IF(C935="Técnico II",28,IF(C935="Técnico I",23,IF(C935="JR",20,IF(C935="Estágio",10,0))))),IF(C935="Técnico III",SUMIFS($D:$D,$A:$A,$A935,$B:$B,"&lt;&gt;Patrícia Karla de Sousa Araújo",$B:$B,"&lt;&gt;Lorena Dias de Araujo",$B:$B,"&lt;&gt;Lucas Luiz Romero")*(35/1083),IF(C935="Técnico II",SUMIFS($D:$D,$A:$A,$A935,$B:$B,"&lt;&gt;Patrícia Karla de Sousa Araújo",$B:$B,"&lt;&gt;Lorena Dias de Araujo",$B:$B,"&lt;&gt;Lucas Luiz Romero")*(28/1083),IF(C935="Técnico I",SUMIFS($D:$D,$A:$A,$A935,$B:$B,"&lt;&gt;Patrícia Karla de Sousa Araújo",$B:$B,"&lt;&gt;Lorena Dias de Araujo",$B:$B,"&lt;&gt;Lucas Luiz Romero")*(23/1083),IF(C935="JR",SUMIFS($D:$D,$A:$A,$A935,$B:$B,"&lt;&gt;Patrícia Karla de Sousa Araújo",$B:$B,"&lt;&gt;Lorena Dias de Araujo",$B:$B,"&lt;&gt;Lucas Luiz Romero")*(20/1083),IF(C935="Estágio",SUMIFS($D:$D,$A:$A,$A935,$B:$B,"&lt;&gt;Patrícia Karla de Sousa Araújo",$B:$B,"&lt;&gt;Lorena Dias de Araujo",$B:$B,"&lt;&gt;Lucas Luiz Romero")*(10/1083),0)))))),0)</f>
        <v>26</v>
      </c>
      <c r="K935" s="3">
        <f>I935-J935</f>
        <v>17</v>
      </c>
      <c r="L935" s="3" t="str">
        <f>IF(K935&lt;-5,"CRÍTICO",IF(K935&lt;0,"ATENÇÃO",IF(K935&lt;=5,"BOM","EXCELENTE")))</f>
        <v>EXCELENTE</v>
      </c>
      <c r="M935">
        <v>39</v>
      </c>
      <c r="N935">
        <v>96.43</v>
      </c>
      <c r="O935">
        <v>27.015250544662312</v>
      </c>
    </row>
    <row r="936" spans="1:15" hidden="1" x14ac:dyDescent="0.25">
      <c r="A936" s="11">
        <v>46029</v>
      </c>
      <c r="B936" t="s">
        <v>62</v>
      </c>
      <c r="C936" t="s">
        <v>23</v>
      </c>
      <c r="D936">
        <v>26</v>
      </c>
      <c r="E936">
        <v>26</v>
      </c>
      <c r="F936">
        <v>20.059999999999999</v>
      </c>
      <c r="G936">
        <v>0</v>
      </c>
      <c r="H936">
        <v>0</v>
      </c>
      <c r="I936" s="3">
        <f>E936+G936+H936</f>
        <v>26</v>
      </c>
      <c r="J936" s="3">
        <f>ROUND(MIN(IF(C936="Técnico III",35,IF(C936="Técnico II",28,IF(C936="Técnico I",23,IF(C936="JR",20,IF(C936="Estágio",10,0))))),IF(C936="Técnico III",SUMIFS($D:$D,$A:$A,$A936,$B:$B,"&lt;&gt;Patrícia Karla de Sousa Araújo",$B:$B,"&lt;&gt;Lorena Dias de Araujo",$B:$B,"&lt;&gt;Lucas Luiz Romero")*(35/1083),IF(C936="Técnico II",SUMIFS($D:$D,$A:$A,$A936,$B:$B,"&lt;&gt;Patrícia Karla de Sousa Araújo",$B:$B,"&lt;&gt;Lorena Dias de Araujo",$B:$B,"&lt;&gt;Lucas Luiz Romero")*(28/1083),IF(C936="Técnico I",SUMIFS($D:$D,$A:$A,$A936,$B:$B,"&lt;&gt;Patrícia Karla de Sousa Araújo",$B:$B,"&lt;&gt;Lorena Dias de Araujo",$B:$B,"&lt;&gt;Lucas Luiz Romero")*(23/1083),IF(C936="JR",SUMIFS($D:$D,$A:$A,$A936,$B:$B,"&lt;&gt;Patrícia Karla de Sousa Araújo",$B:$B,"&lt;&gt;Lorena Dias de Araujo",$B:$B,"&lt;&gt;Lucas Luiz Romero")*(20/1083),IF(C936="Estágio",SUMIFS($D:$D,$A:$A,$A936,$B:$B,"&lt;&gt;Patrícia Karla de Sousa Araújo",$B:$B,"&lt;&gt;Lorena Dias de Araujo",$B:$B,"&lt;&gt;Lucas Luiz Romero")*(10/1083),0)))))),0)</f>
        <v>17</v>
      </c>
      <c r="K936" s="3">
        <f>I936-J936</f>
        <v>9</v>
      </c>
      <c r="L936" s="3" t="str">
        <f>IF(K936&lt;-5,"CRÍTICO",IF(K936&lt;0,"ATENÇÃO",IF(K936&lt;=5,"BOM","EXCELENTE")))</f>
        <v>EXCELENTE</v>
      </c>
      <c r="M936">
        <v>22</v>
      </c>
      <c r="N936">
        <v>98.89</v>
      </c>
      <c r="O936">
        <v>28.021978021978018</v>
      </c>
    </row>
    <row r="937" spans="1:15" hidden="1" x14ac:dyDescent="0.25">
      <c r="A937" s="11">
        <v>46029</v>
      </c>
      <c r="B937" t="s">
        <v>19</v>
      </c>
      <c r="C937" t="s">
        <v>16</v>
      </c>
      <c r="D937">
        <v>18</v>
      </c>
      <c r="E937">
        <v>17</v>
      </c>
      <c r="F937">
        <v>37.01</v>
      </c>
      <c r="G937">
        <v>0</v>
      </c>
      <c r="H937">
        <v>0</v>
      </c>
      <c r="I937" s="3">
        <f>E937+G937+H937</f>
        <v>17</v>
      </c>
      <c r="J937" s="3">
        <f>ROUND(MIN(IF(C937="Técnico III",35,IF(C937="Técnico II",28,IF(C937="Técnico I",23,IF(C937="JR",20,IF(C937="Estágio",10,0))))),IF(C937="Técnico III",SUMIFS($D:$D,$A:$A,$A937,$B:$B,"&lt;&gt;Patrícia Karla de Sousa Araújo",$B:$B,"&lt;&gt;Lorena Dias de Araujo",$B:$B,"&lt;&gt;Lucas Luiz Romero")*(35/1083),IF(C937="Técnico II",SUMIFS($D:$D,$A:$A,$A937,$B:$B,"&lt;&gt;Patrícia Karla de Sousa Araújo",$B:$B,"&lt;&gt;Lorena Dias de Araujo",$B:$B,"&lt;&gt;Lucas Luiz Romero")*(28/1083),IF(C937="Técnico I",SUMIFS($D:$D,$A:$A,$A937,$B:$B,"&lt;&gt;Patrícia Karla de Sousa Araújo",$B:$B,"&lt;&gt;Lorena Dias de Araujo",$B:$B,"&lt;&gt;Lucas Luiz Romero")*(23/1083),IF(C937="JR",SUMIFS($D:$D,$A:$A,$A937,$B:$B,"&lt;&gt;Patrícia Karla de Sousa Araújo",$B:$B,"&lt;&gt;Lorena Dias de Araujo",$B:$B,"&lt;&gt;Lucas Luiz Romero")*(20/1083),IF(C937="Estágio",SUMIFS($D:$D,$A:$A,$A937,$B:$B,"&lt;&gt;Patrícia Karla de Sousa Araújo",$B:$B,"&lt;&gt;Lorena Dias de Araujo",$B:$B,"&lt;&gt;Lucas Luiz Romero")*(10/1083),0)))))),0)</f>
        <v>8</v>
      </c>
      <c r="K937" s="3">
        <f>I937-J937</f>
        <v>9</v>
      </c>
      <c r="L937" s="3" t="str">
        <f>IF(K937&lt;-5,"CRÍTICO",IF(K937&lt;0,"ATENÇÃO",IF(K937&lt;=5,"BOM","EXCELENTE")))</f>
        <v>EXCELENTE</v>
      </c>
      <c r="M937">
        <v>14</v>
      </c>
      <c r="N937">
        <v>100</v>
      </c>
      <c r="O937">
        <v>33.333333333333329</v>
      </c>
    </row>
    <row r="938" spans="1:15" hidden="1" x14ac:dyDescent="0.25">
      <c r="A938" s="11">
        <v>46029</v>
      </c>
      <c r="B938" t="s">
        <v>43</v>
      </c>
      <c r="C938" t="s">
        <v>32</v>
      </c>
      <c r="D938">
        <v>0</v>
      </c>
      <c r="E938">
        <v>0</v>
      </c>
      <c r="F938">
        <v>0</v>
      </c>
      <c r="G938">
        <v>0</v>
      </c>
      <c r="H938">
        <v>0</v>
      </c>
      <c r="I938" s="3">
        <v>0</v>
      </c>
      <c r="J938" s="3">
        <v>0</v>
      </c>
      <c r="K938" s="3">
        <v>0</v>
      </c>
      <c r="L938" s="3" t="str">
        <f>IF(K938&lt;-5,"CRÍTICO",IF(K938&lt;0,"ATENÇÃO",IF(K938&lt;=5,"BOM","EXCELENTE")))</f>
        <v>BOM</v>
      </c>
      <c r="M938">
        <v>0</v>
      </c>
      <c r="N938">
        <v>100</v>
      </c>
      <c r="O938">
        <v>27.43362831858407</v>
      </c>
    </row>
    <row r="939" spans="1:15" hidden="1" x14ac:dyDescent="0.25">
      <c r="A939" s="11">
        <v>46029</v>
      </c>
      <c r="B939" t="s">
        <v>44</v>
      </c>
      <c r="C939" t="s">
        <v>32</v>
      </c>
      <c r="D939">
        <v>32</v>
      </c>
      <c r="E939">
        <v>30</v>
      </c>
      <c r="F939">
        <v>20.05</v>
      </c>
      <c r="G939">
        <v>0</v>
      </c>
      <c r="H939">
        <v>0</v>
      </c>
      <c r="I939" s="3">
        <f>E939+G939+H939</f>
        <v>30</v>
      </c>
      <c r="J939" s="3">
        <f>ROUND(MIN(IF(C939="Técnico III",35,IF(C939="Técnico II",28,IF(C939="Técnico I",23,IF(C939="JR",20,IF(C939="Estágio",10,0))))),IF(C939="Técnico III",SUMIFS($D:$D,$A:$A,$A939,$B:$B,"&lt;&gt;Patrícia Karla de Sousa Araújo",$B:$B,"&lt;&gt;Lorena Dias de Araujo",$B:$B,"&lt;&gt;Lucas Luiz Romero")*(35/1083),IF(C939="Técnico II",SUMIFS($D:$D,$A:$A,$A939,$B:$B,"&lt;&gt;Patrícia Karla de Sousa Araújo",$B:$B,"&lt;&gt;Lorena Dias de Araujo",$B:$B,"&lt;&gt;Lucas Luiz Romero")*(28/1083),IF(C939="Técnico I",SUMIFS($D:$D,$A:$A,$A939,$B:$B,"&lt;&gt;Patrícia Karla de Sousa Araújo",$B:$B,"&lt;&gt;Lorena Dias de Araujo",$B:$B,"&lt;&gt;Lucas Luiz Romero")*(23/1083),IF(C939="JR",SUMIFS($D:$D,$A:$A,$A939,$B:$B,"&lt;&gt;Patrícia Karla de Sousa Araújo",$B:$B,"&lt;&gt;Lorena Dias de Araujo",$B:$B,"&lt;&gt;Lucas Luiz Romero")*(20/1083),IF(C939="Estágio",SUMIFS($D:$D,$A:$A,$A939,$B:$B,"&lt;&gt;Patrícia Karla de Sousa Araújo",$B:$B,"&lt;&gt;Lorena Dias de Araujo",$B:$B,"&lt;&gt;Lucas Luiz Romero")*(10/1083),0)))))),0)</f>
        <v>26</v>
      </c>
      <c r="K939" s="3">
        <f>I939-J939</f>
        <v>4</v>
      </c>
      <c r="L939" s="3" t="str">
        <f>IF(K939&lt;-5,"CRÍTICO",IF(K939&lt;0,"ATENÇÃO",IF(K939&lt;=5,"BOM","EXCELENTE")))</f>
        <v>BOM</v>
      </c>
      <c r="M939">
        <v>27</v>
      </c>
      <c r="N939">
        <v>98.65</v>
      </c>
      <c r="O939">
        <v>30.978260869565219</v>
      </c>
    </row>
    <row r="940" spans="1:15" hidden="1" x14ac:dyDescent="0.25">
      <c r="A940" s="11">
        <v>46029</v>
      </c>
      <c r="B940" t="s">
        <v>20</v>
      </c>
      <c r="C940" t="s">
        <v>16</v>
      </c>
      <c r="D940">
        <v>0</v>
      </c>
      <c r="E940">
        <v>0</v>
      </c>
      <c r="F940">
        <v>0</v>
      </c>
      <c r="G940">
        <v>0</v>
      </c>
      <c r="H940">
        <v>0</v>
      </c>
      <c r="I940" s="3">
        <v>0</v>
      </c>
      <c r="J940" s="3">
        <v>0</v>
      </c>
      <c r="K940" s="3">
        <v>0</v>
      </c>
      <c r="L940" s="3" t="str">
        <f>IF(K940&lt;-5,"CRÍTICO",IF(K940&lt;0,"ATENÇÃO",IF(K940&lt;=5,"BOM","EXCELENTE")))</f>
        <v>BOM</v>
      </c>
      <c r="M940">
        <v>0</v>
      </c>
      <c r="N940">
        <v>100</v>
      </c>
      <c r="O940">
        <v>12</v>
      </c>
    </row>
    <row r="941" spans="1:15" hidden="1" x14ac:dyDescent="0.25">
      <c r="A941" s="11">
        <v>46029</v>
      </c>
      <c r="B941" t="s">
        <v>28</v>
      </c>
      <c r="C941" t="s">
        <v>26</v>
      </c>
      <c r="D941">
        <v>0</v>
      </c>
      <c r="E941">
        <v>0</v>
      </c>
      <c r="F941">
        <v>0</v>
      </c>
      <c r="G941">
        <v>0</v>
      </c>
      <c r="H941">
        <v>0</v>
      </c>
      <c r="I941" s="3">
        <v>0</v>
      </c>
      <c r="J941" s="3">
        <v>0</v>
      </c>
      <c r="K941" s="3">
        <v>0</v>
      </c>
      <c r="L941" s="3" t="str">
        <f>IF(K941&lt;-5,"CRÍTICO",IF(K941&lt;0,"ATENÇÃO",IF(K941&lt;=5,"BOM","EXCELENTE")))</f>
        <v>BOM</v>
      </c>
      <c r="M941">
        <v>0</v>
      </c>
      <c r="N941">
        <v>0</v>
      </c>
      <c r="O941">
        <v>0</v>
      </c>
    </row>
    <row r="942" spans="1:15" hidden="1" x14ac:dyDescent="0.25">
      <c r="A942" s="11">
        <v>46029</v>
      </c>
      <c r="B942" t="s">
        <v>58</v>
      </c>
      <c r="C942" t="s">
        <v>48</v>
      </c>
      <c r="D942">
        <v>0</v>
      </c>
      <c r="E942">
        <v>0</v>
      </c>
      <c r="F942">
        <v>0</v>
      </c>
      <c r="G942">
        <v>0</v>
      </c>
      <c r="H942">
        <v>0</v>
      </c>
      <c r="I942" s="3">
        <v>0</v>
      </c>
      <c r="J942" s="3">
        <v>0</v>
      </c>
      <c r="K942" s="3">
        <v>0</v>
      </c>
      <c r="L942" s="3" t="str">
        <f>IF(K942&lt;-5,"CRÍTICO",IF(K942&lt;0,"ATENÇÃO",IF(K942&lt;=5,"BOM","EXCELENTE")))</f>
        <v>BOM</v>
      </c>
      <c r="M942">
        <v>0</v>
      </c>
      <c r="N942">
        <v>97.56</v>
      </c>
      <c r="O942">
        <v>31.067961165048541</v>
      </c>
    </row>
    <row r="943" spans="1:15" hidden="1" x14ac:dyDescent="0.25">
      <c r="A943" s="11">
        <v>46029</v>
      </c>
      <c r="B943" t="s">
        <v>29</v>
      </c>
      <c r="C943" t="s">
        <v>26</v>
      </c>
      <c r="D943">
        <v>0</v>
      </c>
      <c r="E943">
        <v>0</v>
      </c>
      <c r="F943">
        <v>0</v>
      </c>
      <c r="G943">
        <v>0</v>
      </c>
      <c r="H943">
        <v>0</v>
      </c>
      <c r="I943" s="3">
        <v>0</v>
      </c>
      <c r="J943" s="3">
        <v>0</v>
      </c>
      <c r="K943" s="3">
        <v>0</v>
      </c>
      <c r="L943" s="3" t="str">
        <f>IF(K943&lt;-5,"CRÍTICO",IF(K943&lt;0,"ATENÇÃO",IF(K943&lt;=5,"BOM","EXCELENTE")))</f>
        <v>BOM</v>
      </c>
      <c r="M943">
        <v>0</v>
      </c>
      <c r="N943">
        <v>0</v>
      </c>
      <c r="O943">
        <v>0</v>
      </c>
    </row>
    <row r="944" spans="1:15" hidden="1" x14ac:dyDescent="0.25">
      <c r="A944" s="11">
        <v>46029</v>
      </c>
      <c r="B944" t="s">
        <v>30</v>
      </c>
      <c r="C944" t="s">
        <v>26</v>
      </c>
      <c r="D944">
        <v>0</v>
      </c>
      <c r="E944">
        <v>0</v>
      </c>
      <c r="F944">
        <v>0</v>
      </c>
      <c r="G944">
        <v>0</v>
      </c>
      <c r="H944">
        <v>0</v>
      </c>
      <c r="I944" s="3">
        <v>0</v>
      </c>
      <c r="J944" s="3">
        <v>0</v>
      </c>
      <c r="K944" s="3">
        <v>0</v>
      </c>
      <c r="L944" s="3" t="str">
        <f>IF(K944&lt;-5,"CRÍTICO",IF(K944&lt;0,"ATENÇÃO",IF(K944&lt;=5,"BOM","EXCELENTE")))</f>
        <v>BOM</v>
      </c>
      <c r="M944">
        <v>0</v>
      </c>
      <c r="N944">
        <v>0</v>
      </c>
      <c r="O944">
        <v>0</v>
      </c>
    </row>
    <row r="945" spans="1:15" hidden="1" x14ac:dyDescent="0.25">
      <c r="A945" s="11">
        <v>46029</v>
      </c>
      <c r="B945" t="s">
        <v>21</v>
      </c>
      <c r="C945" t="s">
        <v>16</v>
      </c>
      <c r="D945">
        <v>0</v>
      </c>
      <c r="E945">
        <v>0</v>
      </c>
      <c r="F945">
        <v>0</v>
      </c>
      <c r="G945">
        <v>0</v>
      </c>
      <c r="H945">
        <v>0</v>
      </c>
      <c r="I945" s="3">
        <v>0</v>
      </c>
      <c r="J945" s="3">
        <v>0</v>
      </c>
      <c r="K945" s="3">
        <v>0</v>
      </c>
      <c r="L945" s="3" t="str">
        <f>IF(K945&lt;-5,"CRÍTICO",IF(K945&lt;0,"ATENÇÃO",IF(K945&lt;=5,"BOM","EXCELENTE")))</f>
        <v>BOM</v>
      </c>
      <c r="M945">
        <v>0</v>
      </c>
      <c r="N945">
        <v>0</v>
      </c>
      <c r="O945">
        <v>0</v>
      </c>
    </row>
    <row r="946" spans="1:15" hidden="1" x14ac:dyDescent="0.25">
      <c r="A946" s="11">
        <v>46029</v>
      </c>
      <c r="B946" t="s">
        <v>63</v>
      </c>
      <c r="C946" t="s">
        <v>23</v>
      </c>
      <c r="D946">
        <v>0</v>
      </c>
      <c r="E946">
        <v>0</v>
      </c>
      <c r="F946">
        <v>0</v>
      </c>
      <c r="G946">
        <v>0</v>
      </c>
      <c r="H946">
        <v>0</v>
      </c>
      <c r="I946" s="3">
        <v>0</v>
      </c>
      <c r="J946" s="3">
        <v>0</v>
      </c>
      <c r="K946" s="3">
        <v>0</v>
      </c>
      <c r="L946" s="3" t="str">
        <f>IF(K946&lt;-5,"CRÍTICO",IF(K946&lt;0,"ATENÇÃO",IF(K946&lt;=5,"BOM","EXCELENTE")))</f>
        <v>BOM</v>
      </c>
      <c r="M946">
        <v>0</v>
      </c>
      <c r="N946">
        <v>100</v>
      </c>
      <c r="O946">
        <v>53.846153846153847</v>
      </c>
    </row>
    <row r="947" spans="1:15" hidden="1" x14ac:dyDescent="0.25">
      <c r="A947" s="11">
        <v>46029</v>
      </c>
      <c r="B947" t="s">
        <v>45</v>
      </c>
      <c r="C947" t="s">
        <v>32</v>
      </c>
      <c r="D947">
        <v>0</v>
      </c>
      <c r="E947">
        <v>0</v>
      </c>
      <c r="F947">
        <v>0</v>
      </c>
      <c r="G947">
        <v>0</v>
      </c>
      <c r="H947">
        <v>0</v>
      </c>
      <c r="I947" s="3">
        <v>0</v>
      </c>
      <c r="J947" s="3">
        <v>0</v>
      </c>
      <c r="K947" s="3">
        <v>0</v>
      </c>
      <c r="L947" s="3" t="str">
        <f>IF(K947&lt;-5,"CRÍTICO",IF(K947&lt;0,"ATENÇÃO",IF(K947&lt;=5,"BOM","EXCELENTE")))</f>
        <v>BOM</v>
      </c>
      <c r="M947">
        <v>0</v>
      </c>
      <c r="N947">
        <v>100</v>
      </c>
      <c r="O947">
        <v>44.05594405594406</v>
      </c>
    </row>
    <row r="948" spans="1:15" hidden="1" x14ac:dyDescent="0.25">
      <c r="A948" s="11">
        <v>46029</v>
      </c>
      <c r="B948" t="s">
        <v>64</v>
      </c>
      <c r="C948" t="s">
        <v>23</v>
      </c>
      <c r="D948">
        <v>18</v>
      </c>
      <c r="E948">
        <v>17</v>
      </c>
      <c r="F948">
        <v>30.15</v>
      </c>
      <c r="G948">
        <v>0</v>
      </c>
      <c r="H948">
        <v>0</v>
      </c>
      <c r="I948" s="3">
        <f>E948+G948+H948</f>
        <v>17</v>
      </c>
      <c r="J948" s="3">
        <f>ROUND(MIN(IF(C948="Técnico III",35,IF(C948="Técnico II",28,IF(C948="Técnico I",23,IF(C948="JR",20,IF(C948="Estágio",10,0))))),IF(C948="Técnico III",SUMIFS($D:$D,$A:$A,$A948,$B:$B,"&lt;&gt;Patrícia Karla de Sousa Araújo",$B:$B,"&lt;&gt;Lorena Dias de Araujo",$B:$B,"&lt;&gt;Lucas Luiz Romero")*(35/1083),IF(C948="Técnico II",SUMIFS($D:$D,$A:$A,$A948,$B:$B,"&lt;&gt;Patrícia Karla de Sousa Araújo",$B:$B,"&lt;&gt;Lorena Dias de Araujo",$B:$B,"&lt;&gt;Lucas Luiz Romero")*(28/1083),IF(C948="Técnico I",SUMIFS($D:$D,$A:$A,$A948,$B:$B,"&lt;&gt;Patrícia Karla de Sousa Araújo",$B:$B,"&lt;&gt;Lorena Dias de Araujo",$B:$B,"&lt;&gt;Lucas Luiz Romero")*(23/1083),IF(C948="JR",SUMIFS($D:$D,$A:$A,$A948,$B:$B,"&lt;&gt;Patrícia Karla de Sousa Araújo",$B:$B,"&lt;&gt;Lorena Dias de Araujo",$B:$B,"&lt;&gt;Lucas Luiz Romero")*(20/1083),IF(C948="Estágio",SUMIFS($D:$D,$A:$A,$A948,$B:$B,"&lt;&gt;Patrícia Karla de Sousa Araújo",$B:$B,"&lt;&gt;Lorena Dias de Araujo",$B:$B,"&lt;&gt;Lucas Luiz Romero")*(10/1083),0)))))),0)</f>
        <v>17</v>
      </c>
      <c r="K948" s="3">
        <f>I948-J948</f>
        <v>0</v>
      </c>
      <c r="L948" s="3" t="str">
        <f>IF(K948&lt;-5,"CRÍTICO",IF(K948&lt;0,"ATENÇÃO",IF(K948&lt;=5,"BOM","EXCELENTE")))</f>
        <v>BOM</v>
      </c>
      <c r="M948">
        <v>16</v>
      </c>
      <c r="N948">
        <v>100</v>
      </c>
      <c r="O948">
        <v>31.872509960159359</v>
      </c>
    </row>
    <row r="949" spans="1:15" hidden="1" x14ac:dyDescent="0.25">
      <c r="A949" s="11">
        <v>46029</v>
      </c>
      <c r="B949" t="s">
        <v>46</v>
      </c>
      <c r="C949" t="s">
        <v>32</v>
      </c>
      <c r="D949">
        <v>30</v>
      </c>
      <c r="E949">
        <v>26</v>
      </c>
      <c r="F949">
        <v>18.53</v>
      </c>
      <c r="G949">
        <v>0</v>
      </c>
      <c r="H949">
        <v>0</v>
      </c>
      <c r="I949" s="3">
        <f>E949+G949+H949</f>
        <v>26</v>
      </c>
      <c r="J949" s="3">
        <f>ROUND(MIN(IF(C949="Técnico III",35,IF(C949="Técnico II",28,IF(C949="Técnico I",23,IF(C949="JR",20,IF(C949="Estágio",10,0))))),IF(C949="Técnico III",SUMIFS($D:$D,$A:$A,$A949,$B:$B,"&lt;&gt;Patrícia Karla de Sousa Araújo",$B:$B,"&lt;&gt;Lorena Dias de Araujo",$B:$B,"&lt;&gt;Lucas Luiz Romero")*(35/1083),IF(C949="Técnico II",SUMIFS($D:$D,$A:$A,$A949,$B:$B,"&lt;&gt;Patrícia Karla de Sousa Araújo",$B:$B,"&lt;&gt;Lorena Dias de Araujo",$B:$B,"&lt;&gt;Lucas Luiz Romero")*(28/1083),IF(C949="Técnico I",SUMIFS($D:$D,$A:$A,$A949,$B:$B,"&lt;&gt;Patrícia Karla de Sousa Araújo",$B:$B,"&lt;&gt;Lorena Dias de Araujo",$B:$B,"&lt;&gt;Lucas Luiz Romero")*(23/1083),IF(C949="JR",SUMIFS($D:$D,$A:$A,$A949,$B:$B,"&lt;&gt;Patrícia Karla de Sousa Araújo",$B:$B,"&lt;&gt;Lorena Dias de Araujo",$B:$B,"&lt;&gt;Lucas Luiz Romero")*(20/1083),IF(C949="Estágio",SUMIFS($D:$D,$A:$A,$A949,$B:$B,"&lt;&gt;Patrícia Karla de Sousa Araújo",$B:$B,"&lt;&gt;Lorena Dias de Araujo",$B:$B,"&lt;&gt;Lucas Luiz Romero")*(10/1083),0)))))),0)</f>
        <v>26</v>
      </c>
      <c r="K949" s="3">
        <f>I949-J949</f>
        <v>0</v>
      </c>
      <c r="L949" s="3" t="str">
        <f>IF(K949&lt;-5,"CRÍTICO",IF(K949&lt;0,"ATENÇÃO",IF(K949&lt;=5,"BOM","EXCELENTE")))</f>
        <v>BOM</v>
      </c>
      <c r="M949">
        <v>23</v>
      </c>
      <c r="N949">
        <v>98.41</v>
      </c>
      <c r="O949">
        <v>29.22465208747515</v>
      </c>
    </row>
    <row r="950" spans="1:15" hidden="1" x14ac:dyDescent="0.25">
      <c r="A950" s="11">
        <v>46030</v>
      </c>
      <c r="B950" t="s">
        <v>47</v>
      </c>
      <c r="C950" t="s">
        <v>48</v>
      </c>
      <c r="D950">
        <v>33</v>
      </c>
      <c r="E950">
        <v>27</v>
      </c>
      <c r="F950">
        <v>9.06</v>
      </c>
      <c r="G950">
        <v>0</v>
      </c>
      <c r="H950">
        <v>0</v>
      </c>
      <c r="I950" s="3">
        <f>E950+G950+H950</f>
        <v>27</v>
      </c>
      <c r="J950" s="3">
        <f>ROUND(MIN(IF(C950="Técnico III",35,IF(C950="Técnico II",28,IF(C950="Técnico I",23,IF(C950="JR",20,IF(C950="Estágio",10,0))))),IF(C950="Técnico III",SUMIFS($D:$D,$A:$A,$A950,$B:$B,"&lt;&gt;Patrícia Karla de Sousa Araújo",$B:$B,"&lt;&gt;Lorena Dias de Araujo",$B:$B,"&lt;&gt;Lucas Luiz Romero")*(35/1083),IF(C950="Técnico II",SUMIFS($D:$D,$A:$A,$A950,$B:$B,"&lt;&gt;Patrícia Karla de Sousa Araújo",$B:$B,"&lt;&gt;Lorena Dias de Araujo",$B:$B,"&lt;&gt;Lucas Luiz Romero")*(28/1083),IF(C950="Técnico I",SUMIFS($D:$D,$A:$A,$A950,$B:$B,"&lt;&gt;Patrícia Karla de Sousa Araújo",$B:$B,"&lt;&gt;Lorena Dias de Araujo",$B:$B,"&lt;&gt;Lucas Luiz Romero")*(23/1083),IF(C950="JR",SUMIFS($D:$D,$A:$A,$A950,$B:$B,"&lt;&gt;Patrícia Karla de Sousa Araújo",$B:$B,"&lt;&gt;Lorena Dias de Araujo",$B:$B,"&lt;&gt;Lucas Luiz Romero")*(20/1083),IF(C950="Estágio",SUMIFS($D:$D,$A:$A,$A950,$B:$B,"&lt;&gt;Patrícia Karla de Sousa Araújo",$B:$B,"&lt;&gt;Lorena Dias de Araujo",$B:$B,"&lt;&gt;Lucas Luiz Romero")*(10/1083),0)))))),0)</f>
        <v>19</v>
      </c>
      <c r="K950" s="3">
        <f>I950-J950</f>
        <v>8</v>
      </c>
      <c r="L950" s="3" t="str">
        <f>IF(K950&lt;-5,"CRÍTICO",IF(K950&lt;0,"ATENÇÃO",IF(K950&lt;=5,"BOM","EXCELENTE")))</f>
        <v>EXCELENTE</v>
      </c>
      <c r="M950">
        <v>21</v>
      </c>
      <c r="N950">
        <v>96.81</v>
      </c>
      <c r="O950">
        <v>27.980535279805348</v>
      </c>
    </row>
    <row r="951" spans="1:15" hidden="1" x14ac:dyDescent="0.25">
      <c r="A951" s="11">
        <v>46030</v>
      </c>
      <c r="B951" t="s">
        <v>31</v>
      </c>
      <c r="C951" t="s">
        <v>32</v>
      </c>
      <c r="D951">
        <v>0</v>
      </c>
      <c r="E951">
        <v>0</v>
      </c>
      <c r="F951">
        <v>0</v>
      </c>
      <c r="G951">
        <v>0</v>
      </c>
      <c r="H951">
        <v>0</v>
      </c>
      <c r="I951" s="3">
        <v>0</v>
      </c>
      <c r="J951" s="3">
        <v>0</v>
      </c>
      <c r="K951" s="3">
        <v>0</v>
      </c>
      <c r="L951" s="3" t="str">
        <f>IF(K951&lt;-5,"CRÍTICO",IF(K951&lt;0,"ATENÇÃO",IF(K951&lt;=5,"BOM","EXCELENTE")))</f>
        <v>BOM</v>
      </c>
      <c r="M951">
        <v>23</v>
      </c>
      <c r="N951">
        <v>98.73</v>
      </c>
      <c r="O951">
        <v>35.756385068762278</v>
      </c>
    </row>
    <row r="952" spans="1:15" hidden="1" x14ac:dyDescent="0.25">
      <c r="A952" s="11">
        <v>46030</v>
      </c>
      <c r="B952" t="s">
        <v>59</v>
      </c>
      <c r="C952" t="s">
        <v>23</v>
      </c>
      <c r="D952">
        <v>21</v>
      </c>
      <c r="E952">
        <v>17</v>
      </c>
      <c r="F952">
        <v>22.09</v>
      </c>
      <c r="G952">
        <v>0</v>
      </c>
      <c r="H952">
        <v>0</v>
      </c>
      <c r="I952" s="3">
        <f>E952+G952+H952</f>
        <v>17</v>
      </c>
      <c r="J952" s="3">
        <f>ROUND(MIN(IF(C952="Técnico III",35,IF(C952="Técnico II",28,IF(C952="Técnico I",23,IF(C952="JR",20,IF(C952="Estágio",10,0))))),IF(C952="Técnico III",SUMIFS($D:$D,$A:$A,$A952,$B:$B,"&lt;&gt;Patrícia Karla de Sousa Araújo",$B:$B,"&lt;&gt;Lorena Dias de Araujo",$B:$B,"&lt;&gt;Lucas Luiz Romero")*(35/1083),IF(C952="Técnico II",SUMIFS($D:$D,$A:$A,$A952,$B:$B,"&lt;&gt;Patrícia Karla de Sousa Araújo",$B:$B,"&lt;&gt;Lorena Dias de Araujo",$B:$B,"&lt;&gt;Lucas Luiz Romero")*(28/1083),IF(C952="Técnico I",SUMIFS($D:$D,$A:$A,$A952,$B:$B,"&lt;&gt;Patrícia Karla de Sousa Araújo",$B:$B,"&lt;&gt;Lorena Dias de Araujo",$B:$B,"&lt;&gt;Lucas Luiz Romero")*(23/1083),IF(C952="JR",SUMIFS($D:$D,$A:$A,$A952,$B:$B,"&lt;&gt;Patrícia Karla de Sousa Araújo",$B:$B,"&lt;&gt;Lorena Dias de Araujo",$B:$B,"&lt;&gt;Lucas Luiz Romero")*(20/1083),IF(C952="Estágio",SUMIFS($D:$D,$A:$A,$A952,$B:$B,"&lt;&gt;Patrícia Karla de Sousa Araújo",$B:$B,"&lt;&gt;Lorena Dias de Araujo",$B:$B,"&lt;&gt;Lucas Luiz Romero")*(10/1083),0)))))),0)</f>
        <v>16</v>
      </c>
      <c r="K952" s="3">
        <f>I952-J952</f>
        <v>1</v>
      </c>
      <c r="L952" s="3" t="str">
        <f>IF(K952&lt;-5,"CRÍTICO",IF(K952&lt;0,"ATENÇÃO",IF(K952&lt;=5,"BOM","EXCELENTE")))</f>
        <v>BOM</v>
      </c>
      <c r="M952">
        <v>17</v>
      </c>
      <c r="N952">
        <v>98.32</v>
      </c>
      <c r="O952">
        <v>26.763485477178421</v>
      </c>
    </row>
    <row r="953" spans="1:15" hidden="1" x14ac:dyDescent="0.25">
      <c r="A953" s="11">
        <v>46030</v>
      </c>
      <c r="B953" t="s">
        <v>33</v>
      </c>
      <c r="C953" t="s">
        <v>32</v>
      </c>
      <c r="D953">
        <v>45</v>
      </c>
      <c r="E953">
        <v>41</v>
      </c>
      <c r="F953">
        <v>13.52</v>
      </c>
      <c r="G953">
        <v>0</v>
      </c>
      <c r="H953">
        <v>0</v>
      </c>
      <c r="I953" s="3">
        <f>E953+G953+H953</f>
        <v>41</v>
      </c>
      <c r="J953" s="3">
        <f>ROUND(MIN(IF(C953="Técnico III",35,IF(C953="Técnico II",28,IF(C953="Técnico I",23,IF(C953="JR",20,IF(C953="Estágio",10,0))))),IF(C953="Técnico III",SUMIFS($D:$D,$A:$A,$A953,$B:$B,"&lt;&gt;Patrícia Karla de Sousa Araújo",$B:$B,"&lt;&gt;Lorena Dias de Araujo",$B:$B,"&lt;&gt;Lucas Luiz Romero")*(35/1083),IF(C953="Técnico II",SUMIFS($D:$D,$A:$A,$A953,$B:$B,"&lt;&gt;Patrícia Karla de Sousa Araújo",$B:$B,"&lt;&gt;Lorena Dias de Araujo",$B:$B,"&lt;&gt;Lucas Luiz Romero")*(28/1083),IF(C953="Técnico I",SUMIFS($D:$D,$A:$A,$A953,$B:$B,"&lt;&gt;Patrícia Karla de Sousa Araújo",$B:$B,"&lt;&gt;Lorena Dias de Araujo",$B:$B,"&lt;&gt;Lucas Luiz Romero")*(23/1083),IF(C953="JR",SUMIFS($D:$D,$A:$A,$A953,$B:$B,"&lt;&gt;Patrícia Karla de Sousa Araújo",$B:$B,"&lt;&gt;Lorena Dias de Araujo",$B:$B,"&lt;&gt;Lucas Luiz Romero")*(20/1083),IF(C953="Estágio",SUMIFS($D:$D,$A:$A,$A953,$B:$B,"&lt;&gt;Patrícia Karla de Sousa Araújo",$B:$B,"&lt;&gt;Lorena Dias de Araujo",$B:$B,"&lt;&gt;Lucas Luiz Romero")*(10/1083),0)))))),0)</f>
        <v>24</v>
      </c>
      <c r="K953" s="3">
        <f>I953-J953</f>
        <v>17</v>
      </c>
      <c r="L953" s="3" t="str">
        <f>IF(K953&lt;-5,"CRÍTICO",IF(K953&lt;0,"ATENÇÃO",IF(K953&lt;=5,"BOM","EXCELENTE")))</f>
        <v>EXCELENTE</v>
      </c>
      <c r="M953">
        <v>36</v>
      </c>
      <c r="N953">
        <v>99.19</v>
      </c>
      <c r="O953">
        <v>27.637130801687761</v>
      </c>
    </row>
    <row r="954" spans="1:15" hidden="1" x14ac:dyDescent="0.25">
      <c r="A954" s="11">
        <v>46030</v>
      </c>
      <c r="B954" t="s">
        <v>15</v>
      </c>
      <c r="C954" t="s">
        <v>16</v>
      </c>
      <c r="D954">
        <v>9</v>
      </c>
      <c r="E954">
        <v>9</v>
      </c>
      <c r="F954">
        <v>38.53</v>
      </c>
      <c r="G954">
        <v>0</v>
      </c>
      <c r="H954">
        <v>0</v>
      </c>
      <c r="I954" s="3">
        <f>E954+G954+H954</f>
        <v>9</v>
      </c>
      <c r="J954" s="3">
        <f>ROUND(MIN(IF(C954="Técnico III",35,IF(C954="Técnico II",28,IF(C954="Técnico I",23,IF(C954="JR",20,IF(C954="Estágio",10,0))))),IF(C954="Técnico III",SUMIFS($D:$D,$A:$A,$A954,$B:$B,"&lt;&gt;Patrícia Karla de Sousa Araújo",$B:$B,"&lt;&gt;Lorena Dias de Araujo",$B:$B,"&lt;&gt;Lucas Luiz Romero")*(35/1083),IF(C954="Técnico II",SUMIFS($D:$D,$A:$A,$A954,$B:$B,"&lt;&gt;Patrícia Karla de Sousa Araújo",$B:$B,"&lt;&gt;Lorena Dias de Araujo",$B:$B,"&lt;&gt;Lucas Luiz Romero")*(28/1083),IF(C954="Técnico I",SUMIFS($D:$D,$A:$A,$A954,$B:$B,"&lt;&gt;Patrícia Karla de Sousa Araújo",$B:$B,"&lt;&gt;Lorena Dias de Araujo",$B:$B,"&lt;&gt;Lucas Luiz Romero")*(23/1083),IF(C954="JR",SUMIFS($D:$D,$A:$A,$A954,$B:$B,"&lt;&gt;Patrícia Karla de Sousa Araújo",$B:$B,"&lt;&gt;Lorena Dias de Araujo",$B:$B,"&lt;&gt;Lucas Luiz Romero")*(20/1083),IF(C954="Estágio",SUMIFS($D:$D,$A:$A,$A954,$B:$B,"&lt;&gt;Patrícia Karla de Sousa Araújo",$B:$B,"&lt;&gt;Lorena Dias de Araujo",$B:$B,"&lt;&gt;Lucas Luiz Romero")*(10/1083),0)))))),0)</f>
        <v>7</v>
      </c>
      <c r="K954" s="3">
        <f>I954-J954</f>
        <v>2</v>
      </c>
      <c r="L954" s="3" t="str">
        <f>IF(K954&lt;-5,"CRÍTICO",IF(K954&lt;0,"ATENÇÃO",IF(K954&lt;=5,"BOM","EXCELENTE")))</f>
        <v>BOM</v>
      </c>
      <c r="M954">
        <v>7</v>
      </c>
      <c r="N954">
        <v>100</v>
      </c>
      <c r="O954">
        <v>39.568345323741013</v>
      </c>
    </row>
    <row r="955" spans="1:15" hidden="1" x14ac:dyDescent="0.25">
      <c r="A955" s="11">
        <v>46030</v>
      </c>
      <c r="B955" t="s">
        <v>49</v>
      </c>
      <c r="C955" t="s">
        <v>48</v>
      </c>
      <c r="D955">
        <v>34</v>
      </c>
      <c r="E955">
        <v>31</v>
      </c>
      <c r="F955">
        <v>16.59</v>
      </c>
      <c r="G955">
        <v>0</v>
      </c>
      <c r="H955">
        <v>0</v>
      </c>
      <c r="I955" s="3">
        <f>E955+G955+H955</f>
        <v>31</v>
      </c>
      <c r="J955" s="3">
        <f>ROUND(MIN(IF(C955="Técnico III",35,IF(C955="Técnico II",28,IF(C955="Técnico I",23,IF(C955="JR",20,IF(C955="Estágio",10,0))))),IF(C955="Técnico III",SUMIFS($D:$D,$A:$A,$A955,$B:$B,"&lt;&gt;Patrícia Karla de Sousa Araújo",$B:$B,"&lt;&gt;Lorena Dias de Araujo",$B:$B,"&lt;&gt;Lucas Luiz Romero")*(35/1083),IF(C955="Técnico II",SUMIFS($D:$D,$A:$A,$A955,$B:$B,"&lt;&gt;Patrícia Karla de Sousa Araújo",$B:$B,"&lt;&gt;Lorena Dias de Araujo",$B:$B,"&lt;&gt;Lucas Luiz Romero")*(28/1083),IF(C955="Técnico I",SUMIFS($D:$D,$A:$A,$A955,$B:$B,"&lt;&gt;Patrícia Karla de Sousa Araújo",$B:$B,"&lt;&gt;Lorena Dias de Araujo",$B:$B,"&lt;&gt;Lucas Luiz Romero")*(23/1083),IF(C955="JR",SUMIFS($D:$D,$A:$A,$A955,$B:$B,"&lt;&gt;Patrícia Karla de Sousa Araújo",$B:$B,"&lt;&gt;Lorena Dias de Araujo",$B:$B,"&lt;&gt;Lucas Luiz Romero")*(20/1083),IF(C955="Estágio",SUMIFS($D:$D,$A:$A,$A955,$B:$B,"&lt;&gt;Patrícia Karla de Sousa Araújo",$B:$B,"&lt;&gt;Lorena Dias de Araujo",$B:$B,"&lt;&gt;Lucas Luiz Romero")*(10/1083),0)))))),0)</f>
        <v>19</v>
      </c>
      <c r="K955" s="3">
        <f>I955-J955</f>
        <v>12</v>
      </c>
      <c r="L955" s="3" t="str">
        <f>IF(K955&lt;-5,"CRÍTICO",IF(K955&lt;0,"ATENÇÃO",IF(K955&lt;=5,"BOM","EXCELENTE")))</f>
        <v>EXCELENTE</v>
      </c>
      <c r="M955">
        <v>31</v>
      </c>
      <c r="N955">
        <v>98.54</v>
      </c>
      <c r="O955">
        <v>28.544776119402989</v>
      </c>
    </row>
    <row r="956" spans="1:15" hidden="1" x14ac:dyDescent="0.25">
      <c r="A956" s="11">
        <v>46030</v>
      </c>
      <c r="B956" t="s">
        <v>50</v>
      </c>
      <c r="C956" t="s">
        <v>48</v>
      </c>
      <c r="D956">
        <v>16</v>
      </c>
      <c r="E956">
        <v>16</v>
      </c>
      <c r="F956">
        <v>24.05</v>
      </c>
      <c r="G956">
        <v>0</v>
      </c>
      <c r="H956">
        <v>0</v>
      </c>
      <c r="I956" s="3">
        <f>E956+G956+H956</f>
        <v>16</v>
      </c>
      <c r="J956" s="3">
        <f>ROUND(MIN(IF(C956="Técnico III",35,IF(C956="Técnico II",28,IF(C956="Técnico I",23,IF(C956="JR",20,IF(C956="Estágio",10,0))))),IF(C956="Técnico III",SUMIFS($D:$D,$A:$A,$A956,$B:$B,"&lt;&gt;Patrícia Karla de Sousa Araújo",$B:$B,"&lt;&gt;Lorena Dias de Araujo",$B:$B,"&lt;&gt;Lucas Luiz Romero")*(35/1083),IF(C956="Técnico II",SUMIFS($D:$D,$A:$A,$A956,$B:$B,"&lt;&gt;Patrícia Karla de Sousa Araújo",$B:$B,"&lt;&gt;Lorena Dias de Araujo",$B:$B,"&lt;&gt;Lucas Luiz Romero")*(28/1083),IF(C956="Técnico I",SUMIFS($D:$D,$A:$A,$A956,$B:$B,"&lt;&gt;Patrícia Karla de Sousa Araújo",$B:$B,"&lt;&gt;Lorena Dias de Araujo",$B:$B,"&lt;&gt;Lucas Luiz Romero")*(23/1083),IF(C956="JR",SUMIFS($D:$D,$A:$A,$A956,$B:$B,"&lt;&gt;Patrícia Karla de Sousa Araújo",$B:$B,"&lt;&gt;Lorena Dias de Araujo",$B:$B,"&lt;&gt;Lucas Luiz Romero")*(20/1083),IF(C956="Estágio",SUMIFS($D:$D,$A:$A,$A956,$B:$B,"&lt;&gt;Patrícia Karla de Sousa Araújo",$B:$B,"&lt;&gt;Lorena Dias de Araujo",$B:$B,"&lt;&gt;Lucas Luiz Romero")*(10/1083),0)))))),0)</f>
        <v>19</v>
      </c>
      <c r="K956" s="3">
        <f>I956-J956</f>
        <v>-3</v>
      </c>
      <c r="L956" s="3" t="str">
        <f>IF(K956&lt;-5,"CRÍTICO",IF(K956&lt;0,"ATENÇÃO",IF(K956&lt;=5,"BOM","EXCELENTE")))</f>
        <v>ATENÇÃO</v>
      </c>
      <c r="M956">
        <v>16</v>
      </c>
      <c r="N956">
        <v>100</v>
      </c>
      <c r="O956">
        <v>34.366925064599492</v>
      </c>
    </row>
    <row r="957" spans="1:15" hidden="1" x14ac:dyDescent="0.25">
      <c r="A957" s="11">
        <v>46030</v>
      </c>
      <c r="B957" t="s">
        <v>17</v>
      </c>
      <c r="C957" t="s">
        <v>16</v>
      </c>
      <c r="D957">
        <v>0</v>
      </c>
      <c r="E957">
        <v>0</v>
      </c>
      <c r="F957">
        <v>0</v>
      </c>
      <c r="G957">
        <v>0</v>
      </c>
      <c r="H957">
        <v>0</v>
      </c>
      <c r="I957" s="3">
        <v>0</v>
      </c>
      <c r="J957" s="3">
        <v>0</v>
      </c>
      <c r="K957" s="3">
        <v>0</v>
      </c>
      <c r="L957" s="3" t="str">
        <f>IF(K957&lt;-5,"CRÍTICO",IF(K957&lt;0,"ATENÇÃO",IF(K957&lt;=5,"BOM","EXCELENTE")))</f>
        <v>BOM</v>
      </c>
      <c r="M957">
        <v>0</v>
      </c>
      <c r="N957">
        <v>0</v>
      </c>
      <c r="O957">
        <v>0</v>
      </c>
    </row>
    <row r="958" spans="1:15" hidden="1" x14ac:dyDescent="0.25">
      <c r="A958" s="11">
        <v>46030</v>
      </c>
      <c r="B958" t="s">
        <v>60</v>
      </c>
      <c r="C958" t="s">
        <v>23</v>
      </c>
      <c r="D958">
        <v>30</v>
      </c>
      <c r="E958">
        <v>29</v>
      </c>
      <c r="F958">
        <v>18.399999999999999</v>
      </c>
      <c r="G958">
        <v>0</v>
      </c>
      <c r="H958">
        <v>0</v>
      </c>
      <c r="I958" s="3">
        <f>E958+G958+H958</f>
        <v>29</v>
      </c>
      <c r="J958" s="3">
        <f>ROUND(MIN(IF(C958="Técnico III",35,IF(C958="Técnico II",28,IF(C958="Técnico I",23,IF(C958="JR",20,IF(C958="Estágio",10,0))))),IF(C958="Técnico III",SUMIFS($D:$D,$A:$A,$A958,$B:$B,"&lt;&gt;Patrícia Karla de Sousa Araújo",$B:$B,"&lt;&gt;Lorena Dias de Araujo",$B:$B,"&lt;&gt;Lucas Luiz Romero")*(35/1083),IF(C958="Técnico II",SUMIFS($D:$D,$A:$A,$A958,$B:$B,"&lt;&gt;Patrícia Karla de Sousa Araújo",$B:$B,"&lt;&gt;Lorena Dias de Araujo",$B:$B,"&lt;&gt;Lucas Luiz Romero")*(28/1083),IF(C958="Técnico I",SUMIFS($D:$D,$A:$A,$A958,$B:$B,"&lt;&gt;Patrícia Karla de Sousa Araújo",$B:$B,"&lt;&gt;Lorena Dias de Araujo",$B:$B,"&lt;&gt;Lucas Luiz Romero")*(23/1083),IF(C958="JR",SUMIFS($D:$D,$A:$A,$A958,$B:$B,"&lt;&gt;Patrícia Karla de Sousa Araújo",$B:$B,"&lt;&gt;Lorena Dias de Araujo",$B:$B,"&lt;&gt;Lucas Luiz Romero")*(20/1083),IF(C958="Estágio",SUMIFS($D:$D,$A:$A,$A958,$B:$B,"&lt;&gt;Patrícia Karla de Sousa Araújo",$B:$B,"&lt;&gt;Lorena Dias de Araujo",$B:$B,"&lt;&gt;Lucas Luiz Romero")*(10/1083),0)))))),0)</f>
        <v>16</v>
      </c>
      <c r="K958" s="3">
        <f>I958-J958</f>
        <v>13</v>
      </c>
      <c r="L958" s="3" t="str">
        <f>IF(K958&lt;-5,"CRÍTICO",IF(K958&lt;0,"ATENÇÃO",IF(K958&lt;=5,"BOM","EXCELENTE")))</f>
        <v>EXCELENTE</v>
      </c>
      <c r="M958">
        <v>22</v>
      </c>
      <c r="N958">
        <v>100</v>
      </c>
      <c r="O958">
        <v>29.518072289156631</v>
      </c>
    </row>
    <row r="959" spans="1:15" hidden="1" x14ac:dyDescent="0.25">
      <c r="A959" s="11">
        <v>46030</v>
      </c>
      <c r="B959" t="s">
        <v>34</v>
      </c>
      <c r="C959" t="s">
        <v>32</v>
      </c>
      <c r="D959">
        <v>32</v>
      </c>
      <c r="E959">
        <v>29</v>
      </c>
      <c r="F959">
        <v>17.010000000000002</v>
      </c>
      <c r="G959">
        <v>0</v>
      </c>
      <c r="H959">
        <v>0</v>
      </c>
      <c r="I959" s="3">
        <f>E959+G959+H959</f>
        <v>29</v>
      </c>
      <c r="J959" s="3">
        <f>ROUND(MIN(IF(C959="Técnico III",35,IF(C959="Técnico II",28,IF(C959="Técnico I",23,IF(C959="JR",20,IF(C959="Estágio",10,0))))),IF(C959="Técnico III",SUMIFS($D:$D,$A:$A,$A959,$B:$B,"&lt;&gt;Patrícia Karla de Sousa Araújo",$B:$B,"&lt;&gt;Lorena Dias de Araujo",$B:$B,"&lt;&gt;Lucas Luiz Romero")*(35/1083),IF(C959="Técnico II",SUMIFS($D:$D,$A:$A,$A959,$B:$B,"&lt;&gt;Patrícia Karla de Sousa Araújo",$B:$B,"&lt;&gt;Lorena Dias de Araujo",$B:$B,"&lt;&gt;Lucas Luiz Romero")*(28/1083),IF(C959="Técnico I",SUMIFS($D:$D,$A:$A,$A959,$B:$B,"&lt;&gt;Patrícia Karla de Sousa Araújo",$B:$B,"&lt;&gt;Lorena Dias de Araujo",$B:$B,"&lt;&gt;Lucas Luiz Romero")*(23/1083),IF(C959="JR",SUMIFS($D:$D,$A:$A,$A959,$B:$B,"&lt;&gt;Patrícia Karla de Sousa Araújo",$B:$B,"&lt;&gt;Lorena Dias de Araujo",$B:$B,"&lt;&gt;Lucas Luiz Romero")*(20/1083),IF(C959="Estágio",SUMIFS($D:$D,$A:$A,$A959,$B:$B,"&lt;&gt;Patrícia Karla de Sousa Araújo",$B:$B,"&lt;&gt;Lorena Dias de Araujo",$B:$B,"&lt;&gt;Lucas Luiz Romero")*(10/1083),0)))))),0)</f>
        <v>24</v>
      </c>
      <c r="K959" s="3">
        <f>I959-J959</f>
        <v>5</v>
      </c>
      <c r="L959" s="3" t="str">
        <f>IF(K959&lt;-5,"CRÍTICO",IF(K959&lt;0,"ATENÇÃO",IF(K959&lt;=5,"BOM","EXCELENTE")))</f>
        <v>BOM</v>
      </c>
      <c r="M959">
        <v>29</v>
      </c>
      <c r="N959">
        <v>97.45</v>
      </c>
      <c r="O959">
        <v>41.421143847487002</v>
      </c>
    </row>
    <row r="960" spans="1:15" hidden="1" x14ac:dyDescent="0.25">
      <c r="A960" s="11">
        <v>46030</v>
      </c>
      <c r="B960" t="s">
        <v>51</v>
      </c>
      <c r="C960" t="s">
        <v>48</v>
      </c>
      <c r="D960">
        <v>33</v>
      </c>
      <c r="E960">
        <v>28</v>
      </c>
      <c r="F960">
        <v>17.260000000000002</v>
      </c>
      <c r="G960">
        <v>0</v>
      </c>
      <c r="H960">
        <v>0</v>
      </c>
      <c r="I960" s="3">
        <v>0</v>
      </c>
      <c r="J960" s="3">
        <v>0</v>
      </c>
      <c r="K960" s="3">
        <v>0</v>
      </c>
      <c r="L960" s="3" t="str">
        <f>IF(K960&lt;-5,"CRÍTICO",IF(K960&lt;0,"ATENÇÃO",IF(K960&lt;=5,"BOM","EXCELENTE")))</f>
        <v>BOM</v>
      </c>
      <c r="M960">
        <v>23</v>
      </c>
      <c r="N960">
        <v>96.58</v>
      </c>
      <c r="O960">
        <v>30.396475770925111</v>
      </c>
    </row>
    <row r="961" spans="1:15" hidden="1" x14ac:dyDescent="0.25">
      <c r="A961" s="11">
        <v>46030</v>
      </c>
      <c r="B961" t="s">
        <v>61</v>
      </c>
      <c r="C961" t="s">
        <v>23</v>
      </c>
      <c r="D961">
        <v>24</v>
      </c>
      <c r="E961">
        <v>24</v>
      </c>
      <c r="F961">
        <v>22.02</v>
      </c>
      <c r="G961">
        <v>0</v>
      </c>
      <c r="H961">
        <v>0</v>
      </c>
      <c r="I961" s="3">
        <f>E961+G961+H961</f>
        <v>24</v>
      </c>
      <c r="J961" s="3">
        <f>ROUND(MIN(IF(C961="Técnico III",35,IF(C961="Técnico II",28,IF(C961="Técnico I",23,IF(C961="JR",20,IF(C961="Estágio",10,0))))),IF(C961="Técnico III",SUMIFS($D:$D,$A:$A,$A961,$B:$B,"&lt;&gt;Patrícia Karla de Sousa Araújo",$B:$B,"&lt;&gt;Lorena Dias de Araujo",$B:$B,"&lt;&gt;Lucas Luiz Romero")*(35/1083),IF(C961="Técnico II",SUMIFS($D:$D,$A:$A,$A961,$B:$B,"&lt;&gt;Patrícia Karla de Sousa Araújo",$B:$B,"&lt;&gt;Lorena Dias de Araujo",$B:$B,"&lt;&gt;Lucas Luiz Romero")*(28/1083),IF(C961="Técnico I",SUMIFS($D:$D,$A:$A,$A961,$B:$B,"&lt;&gt;Patrícia Karla de Sousa Araújo",$B:$B,"&lt;&gt;Lorena Dias de Araujo",$B:$B,"&lt;&gt;Lucas Luiz Romero")*(23/1083),IF(C961="JR",SUMIFS($D:$D,$A:$A,$A961,$B:$B,"&lt;&gt;Patrícia Karla de Sousa Araújo",$B:$B,"&lt;&gt;Lorena Dias de Araujo",$B:$B,"&lt;&gt;Lucas Luiz Romero")*(20/1083),IF(C961="Estágio",SUMIFS($D:$D,$A:$A,$A961,$B:$B,"&lt;&gt;Patrícia Karla de Sousa Araújo",$B:$B,"&lt;&gt;Lorena Dias de Araujo",$B:$B,"&lt;&gt;Lucas Luiz Romero")*(10/1083),0)))))),0)</f>
        <v>16</v>
      </c>
      <c r="K961" s="3">
        <f>I961-J961</f>
        <v>8</v>
      </c>
      <c r="L961" s="3" t="str">
        <f>IF(K961&lt;-5,"CRÍTICO",IF(K961&lt;0,"ATENÇÃO",IF(K961&lt;=5,"BOM","EXCELENTE")))</f>
        <v>EXCELENTE</v>
      </c>
      <c r="M961">
        <v>22</v>
      </c>
      <c r="N961">
        <v>100</v>
      </c>
      <c r="O961">
        <v>27.44282744282744</v>
      </c>
    </row>
    <row r="962" spans="1:15" hidden="1" x14ac:dyDescent="0.25">
      <c r="A962" s="11">
        <v>46030</v>
      </c>
      <c r="B962" t="s">
        <v>35</v>
      </c>
      <c r="C962" t="s">
        <v>32</v>
      </c>
      <c r="D962">
        <v>29</v>
      </c>
      <c r="E962">
        <v>28</v>
      </c>
      <c r="F962">
        <v>26.59</v>
      </c>
      <c r="G962">
        <v>0</v>
      </c>
      <c r="H962">
        <v>0</v>
      </c>
      <c r="I962" s="3">
        <v>0</v>
      </c>
      <c r="J962" s="3">
        <v>0</v>
      </c>
      <c r="K962" s="3">
        <v>0</v>
      </c>
      <c r="L962" s="3" t="str">
        <f>IF(K962&lt;-5,"CRÍTICO",IF(K962&lt;0,"ATENÇÃO",IF(K962&lt;=5,"BOM","EXCELENTE")))</f>
        <v>BOM</v>
      </c>
      <c r="M962">
        <v>28</v>
      </c>
      <c r="N962">
        <v>99.49</v>
      </c>
      <c r="O962">
        <v>40.200000000000003</v>
      </c>
    </row>
    <row r="963" spans="1:15" hidden="1" x14ac:dyDescent="0.25">
      <c r="A963" s="11">
        <v>46030</v>
      </c>
      <c r="B963" t="s">
        <v>18</v>
      </c>
      <c r="C963" t="s">
        <v>16</v>
      </c>
      <c r="D963">
        <v>0</v>
      </c>
      <c r="E963">
        <v>0</v>
      </c>
      <c r="F963">
        <v>0</v>
      </c>
      <c r="G963">
        <v>0</v>
      </c>
      <c r="H963">
        <v>0</v>
      </c>
      <c r="I963" s="3">
        <v>0</v>
      </c>
      <c r="J963" s="3">
        <v>0</v>
      </c>
      <c r="K963" s="3">
        <v>0</v>
      </c>
      <c r="L963" s="3" t="str">
        <f>IF(K963&lt;-5,"CRÍTICO",IF(K963&lt;0,"ATENÇÃO",IF(K963&lt;=5,"BOM","EXCELENTE")))</f>
        <v>BOM</v>
      </c>
      <c r="M963">
        <v>0</v>
      </c>
      <c r="N963">
        <v>100</v>
      </c>
      <c r="O963">
        <v>25</v>
      </c>
    </row>
    <row r="964" spans="1:15" hidden="1" x14ac:dyDescent="0.25">
      <c r="A964" s="11">
        <v>46030</v>
      </c>
      <c r="B964" t="s">
        <v>52</v>
      </c>
      <c r="C964" t="s">
        <v>48</v>
      </c>
      <c r="D964">
        <v>28</v>
      </c>
      <c r="E964">
        <v>26</v>
      </c>
      <c r="F964">
        <v>14.1</v>
      </c>
      <c r="G964">
        <v>0</v>
      </c>
      <c r="H964">
        <v>0</v>
      </c>
      <c r="I964" s="3">
        <f>E964+G964+H964</f>
        <v>26</v>
      </c>
      <c r="J964" s="3">
        <f>ROUND(MIN(IF(C964="Técnico III",35,IF(C964="Técnico II",28,IF(C964="Técnico I",23,IF(C964="JR",20,IF(C964="Estágio",10,0))))),IF(C964="Técnico III",SUMIFS($D:$D,$A:$A,$A964,$B:$B,"&lt;&gt;Patrícia Karla de Sousa Araújo",$B:$B,"&lt;&gt;Lorena Dias de Araujo",$B:$B,"&lt;&gt;Lucas Luiz Romero")*(35/1083),IF(C964="Técnico II",SUMIFS($D:$D,$A:$A,$A964,$B:$B,"&lt;&gt;Patrícia Karla de Sousa Araújo",$B:$B,"&lt;&gt;Lorena Dias de Araujo",$B:$B,"&lt;&gt;Lucas Luiz Romero")*(28/1083),IF(C964="Técnico I",SUMIFS($D:$D,$A:$A,$A964,$B:$B,"&lt;&gt;Patrícia Karla de Sousa Araújo",$B:$B,"&lt;&gt;Lorena Dias de Araujo",$B:$B,"&lt;&gt;Lucas Luiz Romero")*(23/1083),IF(C964="JR",SUMIFS($D:$D,$A:$A,$A964,$B:$B,"&lt;&gt;Patrícia Karla de Sousa Araújo",$B:$B,"&lt;&gt;Lorena Dias de Araujo",$B:$B,"&lt;&gt;Lucas Luiz Romero")*(20/1083),IF(C964="Estágio",SUMIFS($D:$D,$A:$A,$A964,$B:$B,"&lt;&gt;Patrícia Karla de Sousa Araújo",$B:$B,"&lt;&gt;Lorena Dias de Araujo",$B:$B,"&lt;&gt;Lucas Luiz Romero")*(10/1083),0)))))),0)</f>
        <v>19</v>
      </c>
      <c r="K964" s="3">
        <f>I964-J964</f>
        <v>7</v>
      </c>
      <c r="L964" s="3" t="str">
        <f>IF(K964&lt;-5,"CRÍTICO",IF(K964&lt;0,"ATENÇÃO",IF(K964&lt;=5,"BOM","EXCELENTE")))</f>
        <v>EXCELENTE</v>
      </c>
      <c r="M964">
        <v>26</v>
      </c>
      <c r="N964">
        <v>100</v>
      </c>
      <c r="O964">
        <v>34.15094339622641</v>
      </c>
    </row>
    <row r="965" spans="1:15" hidden="1" x14ac:dyDescent="0.25">
      <c r="A965" s="11">
        <v>46030</v>
      </c>
      <c r="B965" t="s">
        <v>36</v>
      </c>
      <c r="C965" t="s">
        <v>32</v>
      </c>
      <c r="D965">
        <v>18</v>
      </c>
      <c r="E965">
        <v>15</v>
      </c>
      <c r="F965">
        <v>15</v>
      </c>
      <c r="G965">
        <v>0</v>
      </c>
      <c r="H965">
        <v>0</v>
      </c>
      <c r="I965" s="3">
        <f>E965+G965+H965</f>
        <v>15</v>
      </c>
      <c r="J965" s="3">
        <f>ROUND(MIN(IF(C965="Técnico III",35,IF(C965="Técnico II",28,IF(C965="Técnico I",23,IF(C965="JR",20,IF(C965="Estágio",10,0))))),IF(C965="Técnico III",SUMIFS($D:$D,$A:$A,$A965,$B:$B,"&lt;&gt;Patrícia Karla de Sousa Araújo",$B:$B,"&lt;&gt;Lorena Dias de Araujo",$B:$B,"&lt;&gt;Lucas Luiz Romero")*(35/1083),IF(C965="Técnico II",SUMIFS($D:$D,$A:$A,$A965,$B:$B,"&lt;&gt;Patrícia Karla de Sousa Araújo",$B:$B,"&lt;&gt;Lorena Dias de Araujo",$B:$B,"&lt;&gt;Lucas Luiz Romero")*(28/1083),IF(C965="Técnico I",SUMIFS($D:$D,$A:$A,$A965,$B:$B,"&lt;&gt;Patrícia Karla de Sousa Araújo",$B:$B,"&lt;&gt;Lorena Dias de Araujo",$B:$B,"&lt;&gt;Lucas Luiz Romero")*(23/1083),IF(C965="JR",SUMIFS($D:$D,$A:$A,$A965,$B:$B,"&lt;&gt;Patrícia Karla de Sousa Araújo",$B:$B,"&lt;&gt;Lorena Dias de Araujo",$B:$B,"&lt;&gt;Lucas Luiz Romero")*(20/1083),IF(C965="Estágio",SUMIFS($D:$D,$A:$A,$A965,$B:$B,"&lt;&gt;Patrícia Karla de Sousa Araújo",$B:$B,"&lt;&gt;Lorena Dias de Araujo",$B:$B,"&lt;&gt;Lucas Luiz Romero")*(10/1083),0)))))),0)</f>
        <v>24</v>
      </c>
      <c r="K965" s="3">
        <f>I965-J965</f>
        <v>-9</v>
      </c>
      <c r="L965" s="3" t="str">
        <f>IF(K965&lt;-5,"CRÍTICO",IF(K965&lt;0,"ATENÇÃO",IF(K965&lt;=5,"BOM","EXCELENTE")))</f>
        <v>CRÍTICO</v>
      </c>
      <c r="M965">
        <v>17</v>
      </c>
      <c r="N965">
        <v>100</v>
      </c>
      <c r="O965">
        <v>32.731376975169297</v>
      </c>
    </row>
    <row r="966" spans="1:15" hidden="1" x14ac:dyDescent="0.25">
      <c r="A966" s="11">
        <v>46030</v>
      </c>
      <c r="B966" t="s">
        <v>53</v>
      </c>
      <c r="C966" t="s">
        <v>48</v>
      </c>
      <c r="D966">
        <v>38</v>
      </c>
      <c r="E966">
        <v>33</v>
      </c>
      <c r="F966">
        <v>15.26</v>
      </c>
      <c r="G966">
        <v>0</v>
      </c>
      <c r="H966">
        <v>0</v>
      </c>
      <c r="I966" s="3">
        <f>E966+G966+H966</f>
        <v>33</v>
      </c>
      <c r="J966" s="3">
        <f>ROUND(MIN(IF(C966="Técnico III",35,IF(C966="Técnico II",28,IF(C966="Técnico I",23,IF(C966="JR",20,IF(C966="Estágio",10,0))))),IF(C966="Técnico III",SUMIFS($D:$D,$A:$A,$A966,$B:$B,"&lt;&gt;Patrícia Karla de Sousa Araújo",$B:$B,"&lt;&gt;Lorena Dias de Araujo",$B:$B,"&lt;&gt;Lucas Luiz Romero")*(35/1083),IF(C966="Técnico II",SUMIFS($D:$D,$A:$A,$A966,$B:$B,"&lt;&gt;Patrícia Karla de Sousa Araújo",$B:$B,"&lt;&gt;Lorena Dias de Araujo",$B:$B,"&lt;&gt;Lucas Luiz Romero")*(28/1083),IF(C966="Técnico I",SUMIFS($D:$D,$A:$A,$A966,$B:$B,"&lt;&gt;Patrícia Karla de Sousa Araújo",$B:$B,"&lt;&gt;Lorena Dias de Araujo",$B:$B,"&lt;&gt;Lucas Luiz Romero")*(23/1083),IF(C966="JR",SUMIFS($D:$D,$A:$A,$A966,$B:$B,"&lt;&gt;Patrícia Karla de Sousa Araújo",$B:$B,"&lt;&gt;Lorena Dias de Araujo",$B:$B,"&lt;&gt;Lucas Luiz Romero")*(20/1083),IF(C966="Estágio",SUMIFS($D:$D,$A:$A,$A966,$B:$B,"&lt;&gt;Patrícia Karla de Sousa Araújo",$B:$B,"&lt;&gt;Lorena Dias de Araujo",$B:$B,"&lt;&gt;Lucas Luiz Romero")*(10/1083),0)))))),0)</f>
        <v>19</v>
      </c>
      <c r="K966" s="3">
        <f>I966-J966</f>
        <v>14</v>
      </c>
      <c r="L966" s="3" t="str">
        <f>IF(K966&lt;-5,"CRÍTICO",IF(K966&lt;0,"ATENÇÃO",IF(K966&lt;=5,"BOM","EXCELENTE")))</f>
        <v>EXCELENTE</v>
      </c>
      <c r="M966">
        <v>32</v>
      </c>
      <c r="N966">
        <v>99.31</v>
      </c>
      <c r="O966">
        <v>30.96234309623431</v>
      </c>
    </row>
    <row r="967" spans="1:15" hidden="1" x14ac:dyDescent="0.25">
      <c r="A967" s="11">
        <v>46064</v>
      </c>
      <c r="B967" t="s">
        <v>22</v>
      </c>
      <c r="C967" t="s">
        <v>23</v>
      </c>
      <c r="D967">
        <v>2</v>
      </c>
      <c r="E967">
        <v>2</v>
      </c>
      <c r="F967">
        <v>37.04</v>
      </c>
      <c r="G967">
        <v>0</v>
      </c>
      <c r="H967">
        <v>0</v>
      </c>
      <c r="I967" s="3">
        <f>E967+G967+H967</f>
        <v>2</v>
      </c>
      <c r="J967" s="3">
        <f>ROUND(MIN(IF(C967="Técnico III",35,IF(C967="Técnico II",28,IF(C967="Técnico I",23,IF(C967="JR",20,IF(C967="Estágio",10,0))))),IF(C967="Técnico III",SUMIFS($D:$D,$A:$A,$A967,$B:$B,"&lt;&gt;Patrícia Karla de Sousa Araújo",$B:$B,"&lt;&gt;Lorena Dias de Araujo",$B:$B,"&lt;&gt;Lucas Luiz Romero")*(35/1083),IF(C967="Técnico II",SUMIFS($D:$D,$A:$A,$A967,$B:$B,"&lt;&gt;Patrícia Karla de Sousa Araújo",$B:$B,"&lt;&gt;Lorena Dias de Araujo",$B:$B,"&lt;&gt;Lucas Luiz Romero")*(28/1083),IF(C967="Técnico I",SUMIFS($D:$D,$A:$A,$A967,$B:$B,"&lt;&gt;Patrícia Karla de Sousa Araújo",$B:$B,"&lt;&gt;Lorena Dias de Araujo",$B:$B,"&lt;&gt;Lucas Luiz Romero")*(23/1083),IF(C967="JR",SUMIFS($D:$D,$A:$A,$A967,$B:$B,"&lt;&gt;Patrícia Karla de Sousa Araújo",$B:$B,"&lt;&gt;Lorena Dias de Araujo",$B:$B,"&lt;&gt;Lucas Luiz Romero")*(20/1083),IF(C967="Estágio",SUMIFS($D:$D,$A:$A,$A967,$B:$B,"&lt;&gt;Patrícia Karla de Sousa Araújo",$B:$B,"&lt;&gt;Lorena Dias de Araujo",$B:$B,"&lt;&gt;Lucas Luiz Romero")*(10/1083),0)))))),0)</f>
        <v>19</v>
      </c>
      <c r="K967" s="3">
        <f>I967-J967</f>
        <v>-17</v>
      </c>
      <c r="L967" s="3" t="str">
        <f>IF(K967&lt;-5,"CRÍTICO",IF(K967&lt;0,"ATENÇÃO",IF(K967&lt;=5,"BOM","EXCELENTE")))</f>
        <v>CRÍTICO</v>
      </c>
      <c r="M967">
        <v>28</v>
      </c>
      <c r="N967">
        <v>96.67</v>
      </c>
      <c r="O967">
        <v>31.451612903225811</v>
      </c>
    </row>
    <row r="968" spans="1:15" hidden="1" x14ac:dyDescent="0.25">
      <c r="A968" s="11">
        <v>46030</v>
      </c>
      <c r="B968" t="s">
        <v>54</v>
      </c>
      <c r="C968" t="s">
        <v>48</v>
      </c>
      <c r="D968">
        <v>37</v>
      </c>
      <c r="E968">
        <v>36</v>
      </c>
      <c r="F968">
        <v>15.06</v>
      </c>
      <c r="G968">
        <v>0</v>
      </c>
      <c r="H968">
        <v>0</v>
      </c>
      <c r="I968" s="3">
        <f>E968+G968+H968</f>
        <v>36</v>
      </c>
      <c r="J968" s="3">
        <f>ROUND(MIN(IF(C968="Técnico III",35,IF(C968="Técnico II",28,IF(C968="Técnico I",23,IF(C968="JR",20,IF(C968="Estágio",10,0))))),IF(C968="Técnico III",SUMIFS($D:$D,$A:$A,$A968,$B:$B,"&lt;&gt;Patrícia Karla de Sousa Araújo",$B:$B,"&lt;&gt;Lorena Dias de Araujo",$B:$B,"&lt;&gt;Lucas Luiz Romero")*(35/1083),IF(C968="Técnico II",SUMIFS($D:$D,$A:$A,$A968,$B:$B,"&lt;&gt;Patrícia Karla de Sousa Araújo",$B:$B,"&lt;&gt;Lorena Dias de Araujo",$B:$B,"&lt;&gt;Lucas Luiz Romero")*(28/1083),IF(C968="Técnico I",SUMIFS($D:$D,$A:$A,$A968,$B:$B,"&lt;&gt;Patrícia Karla de Sousa Araújo",$B:$B,"&lt;&gt;Lorena Dias de Araujo",$B:$B,"&lt;&gt;Lucas Luiz Romero")*(23/1083),IF(C968="JR",SUMIFS($D:$D,$A:$A,$A968,$B:$B,"&lt;&gt;Patrícia Karla de Sousa Araújo",$B:$B,"&lt;&gt;Lorena Dias de Araujo",$B:$B,"&lt;&gt;Lucas Luiz Romero")*(20/1083),IF(C968="Estágio",SUMIFS($D:$D,$A:$A,$A968,$B:$B,"&lt;&gt;Patrícia Karla de Sousa Araújo",$B:$B,"&lt;&gt;Lorena Dias de Araujo",$B:$B,"&lt;&gt;Lucas Luiz Romero")*(10/1083),0)))))),0)</f>
        <v>19</v>
      </c>
      <c r="K968" s="3">
        <f>I968-J968</f>
        <v>17</v>
      </c>
      <c r="L968" s="3" t="str">
        <f>IF(K968&lt;-5,"CRÍTICO",IF(K968&lt;0,"ATENÇÃO",IF(K968&lt;=5,"BOM","EXCELENTE")))</f>
        <v>EXCELENTE</v>
      </c>
      <c r="M968">
        <v>28</v>
      </c>
      <c r="N968">
        <v>100</v>
      </c>
      <c r="O968">
        <v>27.676767676767678</v>
      </c>
    </row>
    <row r="969" spans="1:15" hidden="1" x14ac:dyDescent="0.25">
      <c r="A969" s="11">
        <v>46030</v>
      </c>
      <c r="B969" t="s">
        <v>37</v>
      </c>
      <c r="C969" t="s">
        <v>32</v>
      </c>
      <c r="D969">
        <v>51</v>
      </c>
      <c r="E969">
        <v>44</v>
      </c>
      <c r="F969">
        <v>11.53</v>
      </c>
      <c r="G969">
        <v>0</v>
      </c>
      <c r="H969">
        <v>0</v>
      </c>
      <c r="I969" s="3">
        <f>E969+G969+H969</f>
        <v>44</v>
      </c>
      <c r="J969" s="3">
        <f>ROUND(MIN(IF(C969="Técnico III",35,IF(C969="Técnico II",28,IF(C969="Técnico I",23,IF(C969="JR",20,IF(C969="Estágio",10,0))))),IF(C969="Técnico III",SUMIFS($D:$D,$A:$A,$A969,$B:$B,"&lt;&gt;Patrícia Karla de Sousa Araújo",$B:$B,"&lt;&gt;Lorena Dias de Araujo",$B:$B,"&lt;&gt;Lucas Luiz Romero")*(35/1083),IF(C969="Técnico II",SUMIFS($D:$D,$A:$A,$A969,$B:$B,"&lt;&gt;Patrícia Karla de Sousa Araújo",$B:$B,"&lt;&gt;Lorena Dias de Araujo",$B:$B,"&lt;&gt;Lucas Luiz Romero")*(28/1083),IF(C969="Técnico I",SUMIFS($D:$D,$A:$A,$A969,$B:$B,"&lt;&gt;Patrícia Karla de Sousa Araújo",$B:$B,"&lt;&gt;Lorena Dias de Araujo",$B:$B,"&lt;&gt;Lucas Luiz Romero")*(23/1083),IF(C969="JR",SUMIFS($D:$D,$A:$A,$A969,$B:$B,"&lt;&gt;Patrícia Karla de Sousa Araújo",$B:$B,"&lt;&gt;Lorena Dias de Araujo",$B:$B,"&lt;&gt;Lucas Luiz Romero")*(20/1083),IF(C969="Estágio",SUMIFS($D:$D,$A:$A,$A969,$B:$B,"&lt;&gt;Patrícia Karla de Sousa Araújo",$B:$B,"&lt;&gt;Lorena Dias de Araujo",$B:$B,"&lt;&gt;Lucas Luiz Romero")*(10/1083),0)))))),0)</f>
        <v>24</v>
      </c>
      <c r="K969" s="3">
        <f>I969-J969</f>
        <v>20</v>
      </c>
      <c r="L969" s="3" t="str">
        <f>IF(K969&lt;-5,"CRÍTICO",IF(K969&lt;0,"ATENÇÃO",IF(K969&lt;=5,"BOM","EXCELENTE")))</f>
        <v>EXCELENTE</v>
      </c>
      <c r="M969">
        <v>42</v>
      </c>
      <c r="N969">
        <v>100</v>
      </c>
      <c r="O969">
        <v>31.17723156532988</v>
      </c>
    </row>
    <row r="970" spans="1:15" hidden="1" x14ac:dyDescent="0.25">
      <c r="A970" s="11">
        <v>46030</v>
      </c>
      <c r="B970" t="s">
        <v>38</v>
      </c>
      <c r="C970" t="s">
        <v>32</v>
      </c>
      <c r="D970">
        <v>22</v>
      </c>
      <c r="E970">
        <v>21</v>
      </c>
      <c r="F970">
        <v>15.46</v>
      </c>
      <c r="G970">
        <v>0</v>
      </c>
      <c r="H970">
        <v>0</v>
      </c>
      <c r="I970" s="3">
        <f>E970+G970+H970</f>
        <v>21</v>
      </c>
      <c r="J970" s="3">
        <f>ROUND(MIN(IF(C970="Técnico III",35,IF(C970="Técnico II",28,IF(C970="Técnico I",23,IF(C970="JR",20,IF(C970="Estágio",10,0))))),IF(C970="Técnico III",SUMIFS($D:$D,$A:$A,$A970,$B:$B,"&lt;&gt;Patrícia Karla de Sousa Araújo",$B:$B,"&lt;&gt;Lorena Dias de Araujo",$B:$B,"&lt;&gt;Lucas Luiz Romero")*(35/1083),IF(C970="Técnico II",SUMIFS($D:$D,$A:$A,$A970,$B:$B,"&lt;&gt;Patrícia Karla de Sousa Araújo",$B:$B,"&lt;&gt;Lorena Dias de Araujo",$B:$B,"&lt;&gt;Lucas Luiz Romero")*(28/1083),IF(C970="Técnico I",SUMIFS($D:$D,$A:$A,$A970,$B:$B,"&lt;&gt;Patrícia Karla de Sousa Araújo",$B:$B,"&lt;&gt;Lorena Dias de Araujo",$B:$B,"&lt;&gt;Lucas Luiz Romero")*(23/1083),IF(C970="JR",SUMIFS($D:$D,$A:$A,$A970,$B:$B,"&lt;&gt;Patrícia Karla de Sousa Araújo",$B:$B,"&lt;&gt;Lorena Dias de Araujo",$B:$B,"&lt;&gt;Lucas Luiz Romero")*(20/1083),IF(C970="Estágio",SUMIFS($D:$D,$A:$A,$A970,$B:$B,"&lt;&gt;Patrícia Karla de Sousa Araújo",$B:$B,"&lt;&gt;Lorena Dias de Araujo",$B:$B,"&lt;&gt;Lucas Luiz Romero")*(10/1083),0)))))),0)</f>
        <v>24</v>
      </c>
      <c r="K970" s="3">
        <f>I970-J970</f>
        <v>-3</v>
      </c>
      <c r="L970" s="3" t="str">
        <f>IF(K970&lt;-5,"CRÍTICO",IF(K970&lt;0,"ATENÇÃO",IF(K970&lt;=5,"BOM","EXCELENTE")))</f>
        <v>ATENÇÃO</v>
      </c>
      <c r="M970">
        <v>16</v>
      </c>
      <c r="N970">
        <v>100</v>
      </c>
      <c r="O970">
        <v>27.609427609427609</v>
      </c>
    </row>
    <row r="971" spans="1:15" hidden="1" x14ac:dyDescent="0.25">
      <c r="A971" s="11">
        <v>46030</v>
      </c>
      <c r="B971" t="s">
        <v>55</v>
      </c>
      <c r="C971" t="s">
        <v>48</v>
      </c>
      <c r="D971">
        <v>24</v>
      </c>
      <c r="E971">
        <v>22</v>
      </c>
      <c r="F971">
        <v>23.45</v>
      </c>
      <c r="G971">
        <v>0</v>
      </c>
      <c r="H971">
        <v>0</v>
      </c>
      <c r="I971" s="3">
        <f>E971+G971+H971</f>
        <v>22</v>
      </c>
      <c r="J971" s="3">
        <f>ROUND(MIN(IF(C971="Técnico III",35,IF(C971="Técnico II",28,IF(C971="Técnico I",23,IF(C971="JR",20,IF(C971="Estágio",10,0))))),IF(C971="Técnico III",SUMIFS($D:$D,$A:$A,$A971,$B:$B,"&lt;&gt;Patrícia Karla de Sousa Araújo",$B:$B,"&lt;&gt;Lorena Dias de Araujo",$B:$B,"&lt;&gt;Lucas Luiz Romero")*(35/1083),IF(C971="Técnico II",SUMIFS($D:$D,$A:$A,$A971,$B:$B,"&lt;&gt;Patrícia Karla de Sousa Araújo",$B:$B,"&lt;&gt;Lorena Dias de Araujo",$B:$B,"&lt;&gt;Lucas Luiz Romero")*(28/1083),IF(C971="Técnico I",SUMIFS($D:$D,$A:$A,$A971,$B:$B,"&lt;&gt;Patrícia Karla de Sousa Araújo",$B:$B,"&lt;&gt;Lorena Dias de Araujo",$B:$B,"&lt;&gt;Lucas Luiz Romero")*(23/1083),IF(C971="JR",SUMIFS($D:$D,$A:$A,$A971,$B:$B,"&lt;&gt;Patrícia Karla de Sousa Araújo",$B:$B,"&lt;&gt;Lorena Dias de Araujo",$B:$B,"&lt;&gt;Lucas Luiz Romero")*(20/1083),IF(C971="Estágio",SUMIFS($D:$D,$A:$A,$A971,$B:$B,"&lt;&gt;Patrícia Karla de Sousa Araújo",$B:$B,"&lt;&gt;Lorena Dias de Araujo",$B:$B,"&lt;&gt;Lucas Luiz Romero")*(10/1083),0)))))),0)</f>
        <v>19</v>
      </c>
      <c r="K971" s="3">
        <f>I971-J971</f>
        <v>3</v>
      </c>
      <c r="L971" s="3" t="str">
        <f>IF(K971&lt;-5,"CRÍTICO",IF(K971&lt;0,"ATENÇÃO",IF(K971&lt;=5,"BOM","EXCELENTE")))</f>
        <v>BOM</v>
      </c>
      <c r="M971">
        <v>22</v>
      </c>
      <c r="N971">
        <v>96.4</v>
      </c>
      <c r="O971">
        <v>28.764044943820231</v>
      </c>
    </row>
    <row r="972" spans="1:15" hidden="1" x14ac:dyDescent="0.25">
      <c r="A972" s="11">
        <v>46030</v>
      </c>
      <c r="B972" t="s">
        <v>39</v>
      </c>
      <c r="C972" t="s">
        <v>32</v>
      </c>
      <c r="D972">
        <v>0</v>
      </c>
      <c r="E972">
        <v>0</v>
      </c>
      <c r="F972">
        <v>0</v>
      </c>
      <c r="G972">
        <v>0</v>
      </c>
      <c r="H972">
        <v>0</v>
      </c>
      <c r="I972" s="3">
        <v>0</v>
      </c>
      <c r="J972" s="3">
        <v>0</v>
      </c>
      <c r="K972" s="3">
        <v>0</v>
      </c>
      <c r="L972" s="3" t="str">
        <f>IF(K972&lt;-5,"CRÍTICO",IF(K972&lt;0,"ATENÇÃO",IF(K972&lt;=5,"BOM","EXCELENTE")))</f>
        <v>BOM</v>
      </c>
      <c r="M972">
        <v>25</v>
      </c>
      <c r="N972">
        <v>100</v>
      </c>
      <c r="O972">
        <v>33.980582524271853</v>
      </c>
    </row>
    <row r="973" spans="1:15" hidden="1" x14ac:dyDescent="0.25">
      <c r="A973" s="11">
        <v>46030</v>
      </c>
      <c r="B973" t="s">
        <v>25</v>
      </c>
      <c r="C973" t="s">
        <v>26</v>
      </c>
      <c r="D973">
        <v>8</v>
      </c>
      <c r="E973">
        <v>8</v>
      </c>
      <c r="F973">
        <v>16.420000000000002</v>
      </c>
      <c r="G973">
        <v>0</v>
      </c>
      <c r="H973">
        <v>0</v>
      </c>
      <c r="I973" s="3">
        <f>E973+G973+H973</f>
        <v>8</v>
      </c>
      <c r="J973" s="3">
        <f>ROUND(MIN(IF(C973="Técnico III",35,IF(C973="Técnico II",28,IF(C973="Técnico I",23,IF(C973="JR",20,IF(C973="Estágio",10,0))))),IF(C973="Técnico III",SUMIFS($D:$D,$A:$A,$A973,$B:$B,"&lt;&gt;Patrícia Karla de Sousa Araújo",$B:$B,"&lt;&gt;Lorena Dias de Araujo",$B:$B,"&lt;&gt;Lucas Luiz Romero")*(35/1083),IF(C973="Técnico II",SUMIFS($D:$D,$A:$A,$A973,$B:$B,"&lt;&gt;Patrícia Karla de Sousa Araújo",$B:$B,"&lt;&gt;Lorena Dias de Araujo",$B:$B,"&lt;&gt;Lucas Luiz Romero")*(28/1083),IF(C973="Técnico I",SUMIFS($D:$D,$A:$A,$A973,$B:$B,"&lt;&gt;Patrícia Karla de Sousa Araújo",$B:$B,"&lt;&gt;Lorena Dias de Araujo",$B:$B,"&lt;&gt;Lucas Luiz Romero")*(23/1083),IF(C973="JR",SUMIFS($D:$D,$A:$A,$A973,$B:$B,"&lt;&gt;Patrícia Karla de Sousa Araújo",$B:$B,"&lt;&gt;Lorena Dias de Araujo",$B:$B,"&lt;&gt;Lucas Luiz Romero")*(20/1083),IF(C973="Estágio",SUMIFS($D:$D,$A:$A,$A973,$B:$B,"&lt;&gt;Patrícia Karla de Sousa Araújo",$B:$B,"&lt;&gt;Lorena Dias de Araujo",$B:$B,"&lt;&gt;Lucas Luiz Romero")*(10/1083),0)))))),0)</f>
        <v>14</v>
      </c>
      <c r="K973" s="3">
        <f>I973-J973</f>
        <v>-6</v>
      </c>
      <c r="L973" s="3" t="str">
        <f>IF(K973&lt;-5,"CRÍTICO",IF(K973&lt;0,"ATENÇÃO",IF(K973&lt;=5,"BOM","EXCELENTE")))</f>
        <v>CRÍTICO</v>
      </c>
      <c r="M973">
        <v>8</v>
      </c>
      <c r="N973">
        <v>97.56</v>
      </c>
      <c r="O973">
        <v>32.515337423312893</v>
      </c>
    </row>
    <row r="974" spans="1:15" hidden="1" x14ac:dyDescent="0.25">
      <c r="A974" s="11">
        <v>46030</v>
      </c>
      <c r="B974" t="s">
        <v>40</v>
      </c>
      <c r="C974" t="s">
        <v>32</v>
      </c>
      <c r="D974">
        <v>24</v>
      </c>
      <c r="E974">
        <v>22</v>
      </c>
      <c r="F974">
        <v>17.37</v>
      </c>
      <c r="G974">
        <v>0</v>
      </c>
      <c r="H974">
        <v>0</v>
      </c>
      <c r="I974" s="3">
        <f>E974+G974+H974</f>
        <v>22</v>
      </c>
      <c r="J974" s="3">
        <f>ROUND(MIN(IF(C974="Técnico III",35,IF(C974="Técnico II",28,IF(C974="Técnico I",23,IF(C974="JR",20,IF(C974="Estágio",10,0))))),IF(C974="Técnico III",SUMIFS($D:$D,$A:$A,$A974,$B:$B,"&lt;&gt;Patrícia Karla de Sousa Araújo",$B:$B,"&lt;&gt;Lorena Dias de Araujo",$B:$B,"&lt;&gt;Lucas Luiz Romero")*(35/1083),IF(C974="Técnico II",SUMIFS($D:$D,$A:$A,$A974,$B:$B,"&lt;&gt;Patrícia Karla de Sousa Araújo",$B:$B,"&lt;&gt;Lorena Dias de Araujo",$B:$B,"&lt;&gt;Lucas Luiz Romero")*(28/1083),IF(C974="Técnico I",SUMIFS($D:$D,$A:$A,$A974,$B:$B,"&lt;&gt;Patrícia Karla de Sousa Araújo",$B:$B,"&lt;&gt;Lorena Dias de Araujo",$B:$B,"&lt;&gt;Lucas Luiz Romero")*(23/1083),IF(C974="JR",SUMIFS($D:$D,$A:$A,$A974,$B:$B,"&lt;&gt;Patrícia Karla de Sousa Araújo",$B:$B,"&lt;&gt;Lorena Dias de Araujo",$B:$B,"&lt;&gt;Lucas Luiz Romero")*(20/1083),IF(C974="Estágio",SUMIFS($D:$D,$A:$A,$A974,$B:$B,"&lt;&gt;Patrícia Karla de Sousa Araújo",$B:$B,"&lt;&gt;Lorena Dias de Araujo",$B:$B,"&lt;&gt;Lucas Luiz Romero")*(10/1083),0)))))),0)</f>
        <v>24</v>
      </c>
      <c r="K974" s="3">
        <f>I974-J974</f>
        <v>-2</v>
      </c>
      <c r="L974" s="3" t="str">
        <f>IF(K974&lt;-5,"CRÍTICO",IF(K974&lt;0,"ATENÇÃO",IF(K974&lt;=5,"BOM","EXCELENTE")))</f>
        <v>ATENÇÃO</v>
      </c>
      <c r="M974">
        <v>21</v>
      </c>
      <c r="N974">
        <v>97.11</v>
      </c>
      <c r="O974">
        <v>37.408312958435211</v>
      </c>
    </row>
    <row r="975" spans="1:15" hidden="1" x14ac:dyDescent="0.25">
      <c r="A975" s="11">
        <v>46030</v>
      </c>
      <c r="B975" t="s">
        <v>27</v>
      </c>
      <c r="C975" t="s">
        <v>26</v>
      </c>
      <c r="D975">
        <v>0</v>
      </c>
      <c r="E975">
        <v>0</v>
      </c>
      <c r="F975">
        <v>0</v>
      </c>
      <c r="G975">
        <v>0</v>
      </c>
      <c r="H975">
        <v>0</v>
      </c>
      <c r="I975" s="3">
        <v>0</v>
      </c>
      <c r="J975" s="3">
        <v>0</v>
      </c>
      <c r="K975" s="3">
        <v>0</v>
      </c>
      <c r="L975" s="3" t="str">
        <f>IF(K975&lt;-5,"CRÍTICO",IF(K975&lt;0,"ATENÇÃO",IF(K975&lt;=5,"BOM","EXCELENTE")))</f>
        <v>BOM</v>
      </c>
      <c r="M975">
        <v>0</v>
      </c>
      <c r="N975">
        <v>0</v>
      </c>
      <c r="O975">
        <v>0</v>
      </c>
    </row>
    <row r="976" spans="1:15" hidden="1" x14ac:dyDescent="0.25">
      <c r="A976" s="11">
        <v>46030</v>
      </c>
      <c r="B976" t="s">
        <v>41</v>
      </c>
      <c r="C976" t="s">
        <v>32</v>
      </c>
      <c r="D976">
        <v>34</v>
      </c>
      <c r="E976">
        <v>29</v>
      </c>
      <c r="F976">
        <v>14.16</v>
      </c>
      <c r="G976">
        <v>0</v>
      </c>
      <c r="H976">
        <v>0</v>
      </c>
      <c r="I976" s="3">
        <f>E976+G976+H976</f>
        <v>29</v>
      </c>
      <c r="J976" s="3">
        <f>ROUND(MIN(IF(C976="Técnico III",35,IF(C976="Técnico II",28,IF(C976="Técnico I",23,IF(C976="JR",20,IF(C976="Estágio",10,0))))),IF(C976="Técnico III",SUMIFS($D:$D,$A:$A,$A976,$B:$B,"&lt;&gt;Patrícia Karla de Sousa Araújo",$B:$B,"&lt;&gt;Lorena Dias de Araujo",$B:$B,"&lt;&gt;Lucas Luiz Romero")*(35/1083),IF(C976="Técnico II",SUMIFS($D:$D,$A:$A,$A976,$B:$B,"&lt;&gt;Patrícia Karla de Sousa Araújo",$B:$B,"&lt;&gt;Lorena Dias de Araujo",$B:$B,"&lt;&gt;Lucas Luiz Romero")*(28/1083),IF(C976="Técnico I",SUMIFS($D:$D,$A:$A,$A976,$B:$B,"&lt;&gt;Patrícia Karla de Sousa Araújo",$B:$B,"&lt;&gt;Lorena Dias de Araujo",$B:$B,"&lt;&gt;Lucas Luiz Romero")*(23/1083),IF(C976="JR",SUMIFS($D:$D,$A:$A,$A976,$B:$B,"&lt;&gt;Patrícia Karla de Sousa Araújo",$B:$B,"&lt;&gt;Lorena Dias de Araujo",$B:$B,"&lt;&gt;Lucas Luiz Romero")*(20/1083),IF(C976="Estágio",SUMIFS($D:$D,$A:$A,$A976,$B:$B,"&lt;&gt;Patrícia Karla de Sousa Araújo",$B:$B,"&lt;&gt;Lorena Dias de Araujo",$B:$B,"&lt;&gt;Lucas Luiz Romero")*(10/1083),0)))))),0)</f>
        <v>24</v>
      </c>
      <c r="K976" s="3">
        <f>I976-J976</f>
        <v>5</v>
      </c>
      <c r="L976" s="3" t="str">
        <f>IF(K976&lt;-5,"CRÍTICO",IF(K976&lt;0,"ATENÇÃO",IF(K976&lt;=5,"BOM","EXCELENTE")))</f>
        <v>BOM</v>
      </c>
      <c r="M976">
        <v>31</v>
      </c>
      <c r="N976">
        <v>100</v>
      </c>
      <c r="O976">
        <v>30.470347648261761</v>
      </c>
    </row>
    <row r="977" spans="1:15" hidden="1" x14ac:dyDescent="0.25">
      <c r="A977" s="11">
        <v>46030</v>
      </c>
      <c r="B977" t="s">
        <v>56</v>
      </c>
      <c r="C977" t="s">
        <v>48</v>
      </c>
      <c r="D977">
        <v>32</v>
      </c>
      <c r="E977">
        <v>31</v>
      </c>
      <c r="F977">
        <v>19.149999999999999</v>
      </c>
      <c r="G977">
        <v>0</v>
      </c>
      <c r="H977">
        <v>0</v>
      </c>
      <c r="I977" s="3">
        <f>E977+G977+H977</f>
        <v>31</v>
      </c>
      <c r="J977" s="3">
        <f>ROUND(MIN(IF(C977="Técnico III",35,IF(C977="Técnico II",28,IF(C977="Técnico I",23,IF(C977="JR",20,IF(C977="Estágio",10,0))))),IF(C977="Técnico III",SUMIFS($D:$D,$A:$A,$A977,$B:$B,"&lt;&gt;Patrícia Karla de Sousa Araújo",$B:$B,"&lt;&gt;Lorena Dias de Araujo",$B:$B,"&lt;&gt;Lucas Luiz Romero")*(35/1083),IF(C977="Técnico II",SUMIFS($D:$D,$A:$A,$A977,$B:$B,"&lt;&gt;Patrícia Karla de Sousa Araújo",$B:$B,"&lt;&gt;Lorena Dias de Araujo",$B:$B,"&lt;&gt;Lucas Luiz Romero")*(28/1083),IF(C977="Técnico I",SUMIFS($D:$D,$A:$A,$A977,$B:$B,"&lt;&gt;Patrícia Karla de Sousa Araújo",$B:$B,"&lt;&gt;Lorena Dias de Araujo",$B:$B,"&lt;&gt;Lucas Luiz Romero")*(23/1083),IF(C977="JR",SUMIFS($D:$D,$A:$A,$A977,$B:$B,"&lt;&gt;Patrícia Karla de Sousa Araújo",$B:$B,"&lt;&gt;Lorena Dias de Araujo",$B:$B,"&lt;&gt;Lucas Luiz Romero")*(20/1083),IF(C977="Estágio",SUMIFS($D:$D,$A:$A,$A977,$B:$B,"&lt;&gt;Patrícia Karla de Sousa Araújo",$B:$B,"&lt;&gt;Lorena Dias de Araujo",$B:$B,"&lt;&gt;Lucas Luiz Romero")*(10/1083),0)))))),0)</f>
        <v>19</v>
      </c>
      <c r="K977" s="3">
        <f>I977-J977</f>
        <v>12</v>
      </c>
      <c r="L977" s="3" t="str">
        <f>IF(K977&lt;-5,"CRÍTICO",IF(K977&lt;0,"ATENÇÃO",IF(K977&lt;=5,"BOM","EXCELENTE")))</f>
        <v>EXCELENTE</v>
      </c>
      <c r="M977">
        <v>18</v>
      </c>
      <c r="N977">
        <v>100</v>
      </c>
      <c r="O977">
        <v>32.371134020618562</v>
      </c>
    </row>
    <row r="978" spans="1:15" hidden="1" x14ac:dyDescent="0.25">
      <c r="A978" s="11">
        <v>46030</v>
      </c>
      <c r="B978" t="s">
        <v>57</v>
      </c>
      <c r="C978" t="s">
        <v>48</v>
      </c>
      <c r="D978">
        <v>28</v>
      </c>
      <c r="E978">
        <v>27</v>
      </c>
      <c r="F978">
        <v>20.25</v>
      </c>
      <c r="G978">
        <v>0</v>
      </c>
      <c r="H978">
        <v>0</v>
      </c>
      <c r="I978" s="3">
        <v>0</v>
      </c>
      <c r="J978" s="3">
        <v>0</v>
      </c>
      <c r="K978" s="3">
        <v>0</v>
      </c>
      <c r="L978" s="3" t="str">
        <f>IF(K978&lt;-5,"CRÍTICO",IF(K978&lt;0,"ATENÇÃO",IF(K978&lt;=5,"BOM","EXCELENTE")))</f>
        <v>BOM</v>
      </c>
      <c r="M978">
        <v>20</v>
      </c>
      <c r="N978">
        <v>98.32</v>
      </c>
      <c r="O978">
        <v>32.318501170960189</v>
      </c>
    </row>
    <row r="979" spans="1:15" hidden="1" x14ac:dyDescent="0.25">
      <c r="A979" s="11">
        <v>46030</v>
      </c>
      <c r="B979" t="s">
        <v>42</v>
      </c>
      <c r="C979" t="s">
        <v>32</v>
      </c>
      <c r="D979">
        <v>46</v>
      </c>
      <c r="E979">
        <v>31</v>
      </c>
      <c r="F979">
        <v>8.48</v>
      </c>
      <c r="G979">
        <v>0</v>
      </c>
      <c r="H979">
        <v>0</v>
      </c>
      <c r="I979" s="3">
        <f>E979+G979+H979</f>
        <v>31</v>
      </c>
      <c r="J979" s="3">
        <f>ROUND(MIN(IF(C979="Técnico III",35,IF(C979="Técnico II",28,IF(C979="Técnico I",23,IF(C979="JR",20,IF(C979="Estágio",10,0))))),IF(C979="Técnico III",SUMIFS($D:$D,$A:$A,$A979,$B:$B,"&lt;&gt;Patrícia Karla de Sousa Araújo",$B:$B,"&lt;&gt;Lorena Dias de Araujo",$B:$B,"&lt;&gt;Lucas Luiz Romero")*(35/1083),IF(C979="Técnico II",SUMIFS($D:$D,$A:$A,$A979,$B:$B,"&lt;&gt;Patrícia Karla de Sousa Araújo",$B:$B,"&lt;&gt;Lorena Dias de Araujo",$B:$B,"&lt;&gt;Lucas Luiz Romero")*(28/1083),IF(C979="Técnico I",SUMIFS($D:$D,$A:$A,$A979,$B:$B,"&lt;&gt;Patrícia Karla de Sousa Araújo",$B:$B,"&lt;&gt;Lorena Dias de Araujo",$B:$B,"&lt;&gt;Lucas Luiz Romero")*(23/1083),IF(C979="JR",SUMIFS($D:$D,$A:$A,$A979,$B:$B,"&lt;&gt;Patrícia Karla de Sousa Araújo",$B:$B,"&lt;&gt;Lorena Dias de Araujo",$B:$B,"&lt;&gt;Lucas Luiz Romero")*(20/1083),IF(C979="Estágio",SUMIFS($D:$D,$A:$A,$A979,$B:$B,"&lt;&gt;Patrícia Karla de Sousa Araújo",$B:$B,"&lt;&gt;Lorena Dias de Araujo",$B:$B,"&lt;&gt;Lucas Luiz Romero")*(10/1083),0)))))),0)</f>
        <v>24</v>
      </c>
      <c r="K979" s="3">
        <f>I979-J979</f>
        <v>7</v>
      </c>
      <c r="L979" s="3" t="str">
        <f>IF(K979&lt;-5,"CRÍTICO",IF(K979&lt;0,"ATENÇÃO",IF(K979&lt;=5,"BOM","EXCELENTE")))</f>
        <v>EXCELENTE</v>
      </c>
      <c r="M979">
        <v>29</v>
      </c>
      <c r="N979">
        <v>96.43</v>
      </c>
      <c r="O979">
        <v>27.015250544662312</v>
      </c>
    </row>
    <row r="980" spans="1:15" hidden="1" x14ac:dyDescent="0.25">
      <c r="A980" s="11">
        <v>46030</v>
      </c>
      <c r="B980" t="s">
        <v>62</v>
      </c>
      <c r="C980" t="s">
        <v>23</v>
      </c>
      <c r="D980">
        <v>15</v>
      </c>
      <c r="E980">
        <v>14</v>
      </c>
      <c r="F980">
        <v>34</v>
      </c>
      <c r="G980">
        <v>0</v>
      </c>
      <c r="H980">
        <v>0</v>
      </c>
      <c r="I980" s="3">
        <f>E980+G980+H980</f>
        <v>14</v>
      </c>
      <c r="J980" s="3">
        <f>ROUND(MIN(IF(C980="Técnico III",35,IF(C980="Técnico II",28,IF(C980="Técnico I",23,IF(C980="JR",20,IF(C980="Estágio",10,0))))),IF(C980="Técnico III",SUMIFS($D:$D,$A:$A,$A980,$B:$B,"&lt;&gt;Patrícia Karla de Sousa Araújo",$B:$B,"&lt;&gt;Lorena Dias de Araujo",$B:$B,"&lt;&gt;Lucas Luiz Romero")*(35/1083),IF(C980="Técnico II",SUMIFS($D:$D,$A:$A,$A980,$B:$B,"&lt;&gt;Patrícia Karla de Sousa Araújo",$B:$B,"&lt;&gt;Lorena Dias de Araujo",$B:$B,"&lt;&gt;Lucas Luiz Romero")*(28/1083),IF(C980="Técnico I",SUMIFS($D:$D,$A:$A,$A980,$B:$B,"&lt;&gt;Patrícia Karla de Sousa Araújo",$B:$B,"&lt;&gt;Lorena Dias de Araujo",$B:$B,"&lt;&gt;Lucas Luiz Romero")*(23/1083),IF(C980="JR",SUMIFS($D:$D,$A:$A,$A980,$B:$B,"&lt;&gt;Patrícia Karla de Sousa Araújo",$B:$B,"&lt;&gt;Lorena Dias de Araujo",$B:$B,"&lt;&gt;Lucas Luiz Romero")*(20/1083),IF(C980="Estágio",SUMIFS($D:$D,$A:$A,$A980,$B:$B,"&lt;&gt;Patrícia Karla de Sousa Araújo",$B:$B,"&lt;&gt;Lorena Dias de Araujo",$B:$B,"&lt;&gt;Lucas Luiz Romero")*(10/1083),0)))))),0)</f>
        <v>16</v>
      </c>
      <c r="K980" s="3">
        <f>I980-J980</f>
        <v>-2</v>
      </c>
      <c r="L980" s="3" t="str">
        <f>IF(K980&lt;-5,"CRÍTICO",IF(K980&lt;0,"ATENÇÃO",IF(K980&lt;=5,"BOM","EXCELENTE")))</f>
        <v>ATENÇÃO</v>
      </c>
      <c r="M980">
        <v>16</v>
      </c>
      <c r="N980">
        <v>98.89</v>
      </c>
      <c r="O980">
        <v>28.021978021978018</v>
      </c>
    </row>
    <row r="981" spans="1:15" hidden="1" x14ac:dyDescent="0.25">
      <c r="A981" s="11">
        <v>46030</v>
      </c>
      <c r="B981" t="s">
        <v>19</v>
      </c>
      <c r="C981" t="s">
        <v>16</v>
      </c>
      <c r="D981">
        <v>12</v>
      </c>
      <c r="E981">
        <v>12</v>
      </c>
      <c r="F981">
        <v>51.49</v>
      </c>
      <c r="G981">
        <v>0</v>
      </c>
      <c r="H981">
        <v>0</v>
      </c>
      <c r="I981" s="3">
        <f>E981+G981+H981</f>
        <v>12</v>
      </c>
      <c r="J981" s="3">
        <f>ROUND(MIN(IF(C981="Técnico III",35,IF(C981="Técnico II",28,IF(C981="Técnico I",23,IF(C981="JR",20,IF(C981="Estágio",10,0))))),IF(C981="Técnico III",SUMIFS($D:$D,$A:$A,$A981,$B:$B,"&lt;&gt;Patrícia Karla de Sousa Araújo",$B:$B,"&lt;&gt;Lorena Dias de Araujo",$B:$B,"&lt;&gt;Lucas Luiz Romero")*(35/1083),IF(C981="Técnico II",SUMIFS($D:$D,$A:$A,$A981,$B:$B,"&lt;&gt;Patrícia Karla de Sousa Araújo",$B:$B,"&lt;&gt;Lorena Dias de Araujo",$B:$B,"&lt;&gt;Lucas Luiz Romero")*(28/1083),IF(C981="Técnico I",SUMIFS($D:$D,$A:$A,$A981,$B:$B,"&lt;&gt;Patrícia Karla de Sousa Araújo",$B:$B,"&lt;&gt;Lorena Dias de Araujo",$B:$B,"&lt;&gt;Lucas Luiz Romero")*(23/1083),IF(C981="JR",SUMIFS($D:$D,$A:$A,$A981,$B:$B,"&lt;&gt;Patrícia Karla de Sousa Araújo",$B:$B,"&lt;&gt;Lorena Dias de Araujo",$B:$B,"&lt;&gt;Lucas Luiz Romero")*(20/1083),IF(C981="Estágio",SUMIFS($D:$D,$A:$A,$A981,$B:$B,"&lt;&gt;Patrícia Karla de Sousa Araújo",$B:$B,"&lt;&gt;Lorena Dias de Araujo",$B:$B,"&lt;&gt;Lucas Luiz Romero")*(10/1083),0)))))),0)</f>
        <v>7</v>
      </c>
      <c r="K981" s="3">
        <f>I981-J981</f>
        <v>5</v>
      </c>
      <c r="L981" s="3" t="str">
        <f>IF(K981&lt;-5,"CRÍTICO",IF(K981&lt;0,"ATENÇÃO",IF(K981&lt;=5,"BOM","EXCELENTE")))</f>
        <v>BOM</v>
      </c>
      <c r="M981">
        <v>10</v>
      </c>
      <c r="N981">
        <v>100</v>
      </c>
      <c r="O981">
        <v>33.333333333333329</v>
      </c>
    </row>
    <row r="982" spans="1:15" hidden="1" x14ac:dyDescent="0.25">
      <c r="A982" s="11">
        <v>46030</v>
      </c>
      <c r="B982" t="s">
        <v>43</v>
      </c>
      <c r="C982" t="s">
        <v>32</v>
      </c>
      <c r="D982">
        <v>0</v>
      </c>
      <c r="E982">
        <v>0</v>
      </c>
      <c r="F982">
        <v>0</v>
      </c>
      <c r="G982">
        <v>0</v>
      </c>
      <c r="H982">
        <v>0</v>
      </c>
      <c r="I982" s="3">
        <v>0</v>
      </c>
      <c r="J982" s="3">
        <v>0</v>
      </c>
      <c r="K982" s="3">
        <v>0</v>
      </c>
      <c r="L982" s="3" t="str">
        <f>IF(K982&lt;-5,"CRÍTICO",IF(K982&lt;0,"ATENÇÃO",IF(K982&lt;=5,"BOM","EXCELENTE")))</f>
        <v>BOM</v>
      </c>
      <c r="M982">
        <v>0</v>
      </c>
      <c r="N982">
        <v>100</v>
      </c>
      <c r="O982">
        <v>27.43362831858407</v>
      </c>
    </row>
    <row r="983" spans="1:15" hidden="1" x14ac:dyDescent="0.25">
      <c r="A983" s="11">
        <v>46030</v>
      </c>
      <c r="B983" t="s">
        <v>44</v>
      </c>
      <c r="C983" t="s">
        <v>32</v>
      </c>
      <c r="D983">
        <v>35</v>
      </c>
      <c r="E983">
        <v>32</v>
      </c>
      <c r="F983">
        <v>16.46</v>
      </c>
      <c r="G983">
        <v>0</v>
      </c>
      <c r="H983">
        <v>0</v>
      </c>
      <c r="I983" s="3">
        <f>E983+G983+H983</f>
        <v>32</v>
      </c>
      <c r="J983" s="3">
        <f>ROUND(MIN(IF(C983="Técnico III",35,IF(C983="Técnico II",28,IF(C983="Técnico I",23,IF(C983="JR",20,IF(C983="Estágio",10,0))))),IF(C983="Técnico III",SUMIFS($D:$D,$A:$A,$A983,$B:$B,"&lt;&gt;Patrícia Karla de Sousa Araújo",$B:$B,"&lt;&gt;Lorena Dias de Araujo",$B:$B,"&lt;&gt;Lucas Luiz Romero")*(35/1083),IF(C983="Técnico II",SUMIFS($D:$D,$A:$A,$A983,$B:$B,"&lt;&gt;Patrícia Karla de Sousa Araújo",$B:$B,"&lt;&gt;Lorena Dias de Araujo",$B:$B,"&lt;&gt;Lucas Luiz Romero")*(28/1083),IF(C983="Técnico I",SUMIFS($D:$D,$A:$A,$A983,$B:$B,"&lt;&gt;Patrícia Karla de Sousa Araújo",$B:$B,"&lt;&gt;Lorena Dias de Araujo",$B:$B,"&lt;&gt;Lucas Luiz Romero")*(23/1083),IF(C983="JR",SUMIFS($D:$D,$A:$A,$A983,$B:$B,"&lt;&gt;Patrícia Karla de Sousa Araújo",$B:$B,"&lt;&gt;Lorena Dias de Araujo",$B:$B,"&lt;&gt;Lucas Luiz Romero")*(20/1083),IF(C983="Estágio",SUMIFS($D:$D,$A:$A,$A983,$B:$B,"&lt;&gt;Patrícia Karla de Sousa Araújo",$B:$B,"&lt;&gt;Lorena Dias de Araujo",$B:$B,"&lt;&gt;Lucas Luiz Romero")*(10/1083),0)))))),0)</f>
        <v>24</v>
      </c>
      <c r="K983" s="3">
        <f>I983-J983</f>
        <v>8</v>
      </c>
      <c r="L983" s="3" t="str">
        <f>IF(K983&lt;-5,"CRÍTICO",IF(K983&lt;0,"ATENÇÃO",IF(K983&lt;=5,"BOM","EXCELENTE")))</f>
        <v>EXCELENTE</v>
      </c>
      <c r="M983">
        <v>24</v>
      </c>
      <c r="N983">
        <v>98.65</v>
      </c>
      <c r="O983">
        <v>30.978260869565219</v>
      </c>
    </row>
    <row r="984" spans="1:15" hidden="1" x14ac:dyDescent="0.25">
      <c r="A984" s="11">
        <v>46030</v>
      </c>
      <c r="B984" t="s">
        <v>20</v>
      </c>
      <c r="C984" t="s">
        <v>16</v>
      </c>
      <c r="D984">
        <v>0</v>
      </c>
      <c r="E984">
        <v>0</v>
      </c>
      <c r="F984">
        <v>0</v>
      </c>
      <c r="G984">
        <v>0</v>
      </c>
      <c r="H984">
        <v>0</v>
      </c>
      <c r="I984" s="3">
        <v>0</v>
      </c>
      <c r="J984" s="3">
        <v>0</v>
      </c>
      <c r="K984" s="3">
        <v>0</v>
      </c>
      <c r="L984" s="3" t="str">
        <f>IF(K984&lt;-5,"CRÍTICO",IF(K984&lt;0,"ATENÇÃO",IF(K984&lt;=5,"BOM","EXCELENTE")))</f>
        <v>BOM</v>
      </c>
      <c r="M984">
        <v>0</v>
      </c>
      <c r="N984">
        <v>100</v>
      </c>
      <c r="O984">
        <v>12</v>
      </c>
    </row>
    <row r="985" spans="1:15" hidden="1" x14ac:dyDescent="0.25">
      <c r="A985" s="11">
        <v>46030</v>
      </c>
      <c r="B985" t="s">
        <v>28</v>
      </c>
      <c r="C985" t="s">
        <v>26</v>
      </c>
      <c r="D985">
        <v>0</v>
      </c>
      <c r="E985">
        <v>0</v>
      </c>
      <c r="F985">
        <v>0</v>
      </c>
      <c r="G985">
        <v>0</v>
      </c>
      <c r="H985">
        <v>0</v>
      </c>
      <c r="I985" s="3">
        <v>0</v>
      </c>
      <c r="J985" s="3">
        <v>0</v>
      </c>
      <c r="K985" s="3">
        <v>0</v>
      </c>
      <c r="L985" s="3" t="str">
        <f>IF(K985&lt;-5,"CRÍTICO",IF(K985&lt;0,"ATENÇÃO",IF(K985&lt;=5,"BOM","EXCELENTE")))</f>
        <v>BOM</v>
      </c>
      <c r="M985">
        <v>0</v>
      </c>
      <c r="N985">
        <v>0</v>
      </c>
      <c r="O985">
        <v>0</v>
      </c>
    </row>
    <row r="986" spans="1:15" hidden="1" x14ac:dyDescent="0.25">
      <c r="A986" s="11">
        <v>46030</v>
      </c>
      <c r="B986" t="s">
        <v>58</v>
      </c>
      <c r="C986" t="s">
        <v>48</v>
      </c>
      <c r="D986">
        <v>0</v>
      </c>
      <c r="E986">
        <v>0</v>
      </c>
      <c r="F986">
        <v>0</v>
      </c>
      <c r="G986">
        <v>0</v>
      </c>
      <c r="H986">
        <v>0</v>
      </c>
      <c r="I986" s="3">
        <v>0</v>
      </c>
      <c r="J986" s="3">
        <v>0</v>
      </c>
      <c r="K986" s="3">
        <v>0</v>
      </c>
      <c r="L986" s="3" t="str">
        <f>IF(K986&lt;-5,"CRÍTICO",IF(K986&lt;0,"ATENÇÃO",IF(K986&lt;=5,"BOM","EXCELENTE")))</f>
        <v>BOM</v>
      </c>
      <c r="M986">
        <v>0</v>
      </c>
      <c r="N986">
        <v>97.56</v>
      </c>
      <c r="O986">
        <v>31.067961165048541</v>
      </c>
    </row>
    <row r="987" spans="1:15" hidden="1" x14ac:dyDescent="0.25">
      <c r="A987" s="11">
        <v>46030</v>
      </c>
      <c r="B987" t="s">
        <v>29</v>
      </c>
      <c r="C987" t="s">
        <v>26</v>
      </c>
      <c r="D987">
        <v>0</v>
      </c>
      <c r="E987">
        <v>0</v>
      </c>
      <c r="F987">
        <v>0</v>
      </c>
      <c r="G987">
        <v>0</v>
      </c>
      <c r="H987">
        <v>0</v>
      </c>
      <c r="I987" s="3">
        <v>0</v>
      </c>
      <c r="J987" s="3">
        <v>0</v>
      </c>
      <c r="K987" s="3">
        <v>0</v>
      </c>
      <c r="L987" s="3" t="str">
        <f>IF(K987&lt;-5,"CRÍTICO",IF(K987&lt;0,"ATENÇÃO",IF(K987&lt;=5,"BOM","EXCELENTE")))</f>
        <v>BOM</v>
      </c>
      <c r="M987">
        <v>0</v>
      </c>
      <c r="N987">
        <v>0</v>
      </c>
      <c r="O987">
        <v>0</v>
      </c>
    </row>
    <row r="988" spans="1:15" hidden="1" x14ac:dyDescent="0.25">
      <c r="A988" s="11">
        <v>46030</v>
      </c>
      <c r="B988" t="s">
        <v>30</v>
      </c>
      <c r="C988" t="s">
        <v>26</v>
      </c>
      <c r="D988">
        <v>0</v>
      </c>
      <c r="E988">
        <v>0</v>
      </c>
      <c r="F988">
        <v>0</v>
      </c>
      <c r="G988">
        <v>0</v>
      </c>
      <c r="H988">
        <v>0</v>
      </c>
      <c r="I988" s="3">
        <v>0</v>
      </c>
      <c r="J988" s="3">
        <v>0</v>
      </c>
      <c r="K988" s="3">
        <v>0</v>
      </c>
      <c r="L988" s="3" t="str">
        <f>IF(K988&lt;-5,"CRÍTICO",IF(K988&lt;0,"ATENÇÃO",IF(K988&lt;=5,"BOM","EXCELENTE")))</f>
        <v>BOM</v>
      </c>
      <c r="M988">
        <v>0</v>
      </c>
      <c r="N988">
        <v>0</v>
      </c>
      <c r="O988">
        <v>0</v>
      </c>
    </row>
    <row r="989" spans="1:15" hidden="1" x14ac:dyDescent="0.25">
      <c r="A989" s="11">
        <v>46030</v>
      </c>
      <c r="B989" t="s">
        <v>21</v>
      </c>
      <c r="C989" t="s">
        <v>16</v>
      </c>
      <c r="D989">
        <v>0</v>
      </c>
      <c r="E989">
        <v>0</v>
      </c>
      <c r="F989">
        <v>0</v>
      </c>
      <c r="G989">
        <v>0</v>
      </c>
      <c r="H989">
        <v>0</v>
      </c>
      <c r="I989" s="3">
        <v>0</v>
      </c>
      <c r="J989" s="3">
        <v>0</v>
      </c>
      <c r="K989" s="3">
        <v>0</v>
      </c>
      <c r="L989" s="3" t="str">
        <f>IF(K989&lt;-5,"CRÍTICO",IF(K989&lt;0,"ATENÇÃO",IF(K989&lt;=5,"BOM","EXCELENTE")))</f>
        <v>BOM</v>
      </c>
      <c r="M989">
        <v>0</v>
      </c>
      <c r="N989">
        <v>0</v>
      </c>
      <c r="O989">
        <v>0</v>
      </c>
    </row>
    <row r="990" spans="1:15" hidden="1" x14ac:dyDescent="0.25">
      <c r="A990" s="11">
        <v>46030</v>
      </c>
      <c r="B990" t="s">
        <v>63</v>
      </c>
      <c r="C990" t="s">
        <v>23</v>
      </c>
      <c r="D990">
        <v>0</v>
      </c>
      <c r="E990">
        <v>0</v>
      </c>
      <c r="F990">
        <v>0</v>
      </c>
      <c r="G990">
        <v>0</v>
      </c>
      <c r="H990">
        <v>0</v>
      </c>
      <c r="I990" s="3">
        <v>0</v>
      </c>
      <c r="J990" s="3">
        <v>0</v>
      </c>
      <c r="K990" s="3">
        <v>0</v>
      </c>
      <c r="L990" s="3" t="str">
        <f>IF(K990&lt;-5,"CRÍTICO",IF(K990&lt;0,"ATENÇÃO",IF(K990&lt;=5,"BOM","EXCELENTE")))</f>
        <v>BOM</v>
      </c>
      <c r="M990">
        <v>0</v>
      </c>
      <c r="N990">
        <v>100</v>
      </c>
      <c r="O990">
        <v>53.846153846153847</v>
      </c>
    </row>
    <row r="991" spans="1:15" hidden="1" x14ac:dyDescent="0.25">
      <c r="A991" s="11">
        <v>46030</v>
      </c>
      <c r="B991" t="s">
        <v>45</v>
      </c>
      <c r="C991" t="s">
        <v>32</v>
      </c>
      <c r="D991">
        <v>0</v>
      </c>
      <c r="E991">
        <v>0</v>
      </c>
      <c r="F991">
        <v>0</v>
      </c>
      <c r="G991">
        <v>0</v>
      </c>
      <c r="H991">
        <v>0</v>
      </c>
      <c r="I991" s="3">
        <v>0</v>
      </c>
      <c r="J991" s="3">
        <v>0</v>
      </c>
      <c r="K991" s="3">
        <v>0</v>
      </c>
      <c r="L991" s="3" t="str">
        <f>IF(K991&lt;-5,"CRÍTICO",IF(K991&lt;0,"ATENÇÃO",IF(K991&lt;=5,"BOM","EXCELENTE")))</f>
        <v>BOM</v>
      </c>
      <c r="M991">
        <v>0</v>
      </c>
      <c r="N991">
        <v>100</v>
      </c>
      <c r="O991">
        <v>44.05594405594406</v>
      </c>
    </row>
    <row r="992" spans="1:15" hidden="1" x14ac:dyDescent="0.25">
      <c r="A992" s="11">
        <v>46030</v>
      </c>
      <c r="B992" t="s">
        <v>64</v>
      </c>
      <c r="C992" t="s">
        <v>23</v>
      </c>
      <c r="D992">
        <v>10</v>
      </c>
      <c r="E992">
        <v>10</v>
      </c>
      <c r="F992">
        <v>42.21</v>
      </c>
      <c r="G992">
        <v>0</v>
      </c>
      <c r="H992">
        <v>0</v>
      </c>
      <c r="I992" s="3">
        <f>E992+G992+H992</f>
        <v>10</v>
      </c>
      <c r="J992" s="3">
        <f>ROUND(MIN(IF(C992="Técnico III",35,IF(C992="Técnico II",28,IF(C992="Técnico I",23,IF(C992="JR",20,IF(C992="Estágio",10,0))))),IF(C992="Técnico III",SUMIFS($D:$D,$A:$A,$A992,$B:$B,"&lt;&gt;Patrícia Karla de Sousa Araújo",$B:$B,"&lt;&gt;Lorena Dias de Araujo",$B:$B,"&lt;&gt;Lucas Luiz Romero")*(35/1083),IF(C992="Técnico II",SUMIFS($D:$D,$A:$A,$A992,$B:$B,"&lt;&gt;Patrícia Karla de Sousa Araújo",$B:$B,"&lt;&gt;Lorena Dias de Araujo",$B:$B,"&lt;&gt;Lucas Luiz Romero")*(28/1083),IF(C992="Técnico I",SUMIFS($D:$D,$A:$A,$A992,$B:$B,"&lt;&gt;Patrícia Karla de Sousa Araújo",$B:$B,"&lt;&gt;Lorena Dias de Araujo",$B:$B,"&lt;&gt;Lucas Luiz Romero")*(23/1083),IF(C992="JR",SUMIFS($D:$D,$A:$A,$A992,$B:$B,"&lt;&gt;Patrícia Karla de Sousa Araújo",$B:$B,"&lt;&gt;Lorena Dias de Araujo",$B:$B,"&lt;&gt;Lucas Luiz Romero")*(20/1083),IF(C992="Estágio",SUMIFS($D:$D,$A:$A,$A992,$B:$B,"&lt;&gt;Patrícia Karla de Sousa Araújo",$B:$B,"&lt;&gt;Lorena Dias de Araujo",$B:$B,"&lt;&gt;Lucas Luiz Romero")*(10/1083),0)))))),0)</f>
        <v>16</v>
      </c>
      <c r="K992" s="3">
        <f>I992-J992</f>
        <v>-6</v>
      </c>
      <c r="L992" s="3" t="str">
        <f>IF(K992&lt;-5,"CRÍTICO",IF(K992&lt;0,"ATENÇÃO",IF(K992&lt;=5,"BOM","EXCELENTE")))</f>
        <v>CRÍTICO</v>
      </c>
      <c r="M992">
        <v>8</v>
      </c>
      <c r="N992">
        <v>100</v>
      </c>
      <c r="O992">
        <v>31.872509960159359</v>
      </c>
    </row>
    <row r="993" spans="1:15" hidden="1" x14ac:dyDescent="0.25">
      <c r="A993" s="11">
        <v>46030</v>
      </c>
      <c r="B993" t="s">
        <v>46</v>
      </c>
      <c r="C993" t="s">
        <v>32</v>
      </c>
      <c r="D993">
        <v>27</v>
      </c>
      <c r="E993">
        <v>26</v>
      </c>
      <c r="F993">
        <v>18.43</v>
      </c>
      <c r="G993">
        <v>0</v>
      </c>
      <c r="H993">
        <v>0</v>
      </c>
      <c r="I993" s="3">
        <f>E993+G993+H993</f>
        <v>26</v>
      </c>
      <c r="J993" s="3">
        <f>ROUND(MIN(IF(C993="Técnico III",35,IF(C993="Técnico II",28,IF(C993="Técnico I",23,IF(C993="JR",20,IF(C993="Estágio",10,0))))),IF(C993="Técnico III",SUMIFS($D:$D,$A:$A,$A993,$B:$B,"&lt;&gt;Patrícia Karla de Sousa Araújo",$B:$B,"&lt;&gt;Lorena Dias de Araujo",$B:$B,"&lt;&gt;Lucas Luiz Romero")*(35/1083),IF(C993="Técnico II",SUMIFS($D:$D,$A:$A,$A993,$B:$B,"&lt;&gt;Patrícia Karla de Sousa Araújo",$B:$B,"&lt;&gt;Lorena Dias de Araujo",$B:$B,"&lt;&gt;Lucas Luiz Romero")*(28/1083),IF(C993="Técnico I",SUMIFS($D:$D,$A:$A,$A993,$B:$B,"&lt;&gt;Patrícia Karla de Sousa Araújo",$B:$B,"&lt;&gt;Lorena Dias de Araujo",$B:$B,"&lt;&gt;Lucas Luiz Romero")*(23/1083),IF(C993="JR",SUMIFS($D:$D,$A:$A,$A993,$B:$B,"&lt;&gt;Patrícia Karla de Sousa Araújo",$B:$B,"&lt;&gt;Lorena Dias de Araujo",$B:$B,"&lt;&gt;Lucas Luiz Romero")*(20/1083),IF(C993="Estágio",SUMIFS($D:$D,$A:$A,$A993,$B:$B,"&lt;&gt;Patrícia Karla de Sousa Araújo",$B:$B,"&lt;&gt;Lorena Dias de Araujo",$B:$B,"&lt;&gt;Lucas Luiz Romero")*(10/1083),0)))))),0)</f>
        <v>24</v>
      </c>
      <c r="K993" s="3">
        <f>I993-J993</f>
        <v>2</v>
      </c>
      <c r="L993" s="3" t="str">
        <f>IF(K993&lt;-5,"CRÍTICO",IF(K993&lt;0,"ATENÇÃO",IF(K993&lt;=5,"BOM","EXCELENTE")))</f>
        <v>BOM</v>
      </c>
      <c r="M993">
        <v>24</v>
      </c>
      <c r="N993">
        <v>98.41</v>
      </c>
      <c r="O993">
        <v>29.22465208747515</v>
      </c>
    </row>
    <row r="994" spans="1:15" hidden="1" x14ac:dyDescent="0.25">
      <c r="A994" s="11">
        <v>46031</v>
      </c>
      <c r="B994" t="s">
        <v>47</v>
      </c>
      <c r="C994" t="s">
        <v>48</v>
      </c>
      <c r="D994">
        <v>22</v>
      </c>
      <c r="E994">
        <v>19</v>
      </c>
      <c r="F994">
        <v>22.01</v>
      </c>
      <c r="G994">
        <v>0</v>
      </c>
      <c r="H994">
        <v>0</v>
      </c>
      <c r="I994" s="3">
        <f>E994+G994+H994</f>
        <v>19</v>
      </c>
      <c r="J994" s="3">
        <f>ROUND(MIN(IF(C994="Técnico III",35,IF(C994="Técnico II",28,IF(C994="Técnico I",23,IF(C994="JR",20,IF(C994="Estágio",10,0))))),IF(C994="Técnico III",SUMIFS($D:$D,$A:$A,$A994,$B:$B,"&lt;&gt;Patrícia Karla de Sousa Araújo",$B:$B,"&lt;&gt;Lorena Dias de Araujo",$B:$B,"&lt;&gt;Lucas Luiz Romero")*(35/1083),IF(C994="Técnico II",SUMIFS($D:$D,$A:$A,$A994,$B:$B,"&lt;&gt;Patrícia Karla de Sousa Araújo",$B:$B,"&lt;&gt;Lorena Dias de Araujo",$B:$B,"&lt;&gt;Lucas Luiz Romero")*(28/1083),IF(C994="Técnico I",SUMIFS($D:$D,$A:$A,$A994,$B:$B,"&lt;&gt;Patrícia Karla de Sousa Araújo",$B:$B,"&lt;&gt;Lorena Dias de Araujo",$B:$B,"&lt;&gt;Lucas Luiz Romero")*(23/1083),IF(C994="JR",SUMIFS($D:$D,$A:$A,$A994,$B:$B,"&lt;&gt;Patrícia Karla de Sousa Araújo",$B:$B,"&lt;&gt;Lorena Dias de Araujo",$B:$B,"&lt;&gt;Lucas Luiz Romero")*(20/1083),IF(C994="Estágio",SUMIFS($D:$D,$A:$A,$A994,$B:$B,"&lt;&gt;Patrícia Karla de Sousa Araújo",$B:$B,"&lt;&gt;Lorena Dias de Araujo",$B:$B,"&lt;&gt;Lucas Luiz Romero")*(10/1083),0)))))),0)</f>
        <v>16</v>
      </c>
      <c r="K994" s="3">
        <f>I994-J994</f>
        <v>3</v>
      </c>
      <c r="L994" s="3" t="str">
        <f>IF(K994&lt;-5,"CRÍTICO",IF(K994&lt;0,"ATENÇÃO",IF(K994&lt;=5,"BOM","EXCELENTE")))</f>
        <v>BOM</v>
      </c>
      <c r="M994">
        <v>10</v>
      </c>
      <c r="N994">
        <v>96.81</v>
      </c>
      <c r="O994">
        <v>27.980535279805348</v>
      </c>
    </row>
    <row r="995" spans="1:15" hidden="1" x14ac:dyDescent="0.25">
      <c r="A995" s="11">
        <v>46031</v>
      </c>
      <c r="B995" t="s">
        <v>31</v>
      </c>
      <c r="C995" t="s">
        <v>32</v>
      </c>
      <c r="D995">
        <v>0</v>
      </c>
      <c r="E995">
        <v>0</v>
      </c>
      <c r="F995">
        <v>0</v>
      </c>
      <c r="G995">
        <v>0</v>
      </c>
      <c r="H995">
        <v>0</v>
      </c>
      <c r="I995" s="3">
        <v>0</v>
      </c>
      <c r="J995" s="3">
        <v>0</v>
      </c>
      <c r="K995" s="3">
        <v>0</v>
      </c>
      <c r="L995" s="3" t="str">
        <f>IF(K995&lt;-5,"CRÍTICO",IF(K995&lt;0,"ATENÇÃO",IF(K995&lt;=5,"BOM","EXCELENTE")))</f>
        <v>BOM</v>
      </c>
      <c r="M995">
        <v>28</v>
      </c>
      <c r="N995">
        <v>98.73</v>
      </c>
      <c r="O995">
        <v>35.756385068762278</v>
      </c>
    </row>
    <row r="996" spans="1:15" hidden="1" x14ac:dyDescent="0.25">
      <c r="A996" s="11">
        <v>46031</v>
      </c>
      <c r="B996" t="s">
        <v>59</v>
      </c>
      <c r="C996" t="s">
        <v>23</v>
      </c>
      <c r="D996">
        <v>27</v>
      </c>
      <c r="E996">
        <v>23</v>
      </c>
      <c r="F996">
        <v>15.41</v>
      </c>
      <c r="G996">
        <v>0</v>
      </c>
      <c r="H996">
        <v>0</v>
      </c>
      <c r="I996" s="3">
        <f>E996+G996+H996</f>
        <v>23</v>
      </c>
      <c r="J996" s="3">
        <f>ROUND(MIN(IF(C996="Técnico III",35,IF(C996="Técnico II",28,IF(C996="Técnico I",23,IF(C996="JR",20,IF(C996="Estágio",10,0))))),IF(C996="Técnico III",SUMIFS($D:$D,$A:$A,$A996,$B:$B,"&lt;&gt;Patrícia Karla de Sousa Araújo",$B:$B,"&lt;&gt;Lorena Dias de Araujo",$B:$B,"&lt;&gt;Lucas Luiz Romero")*(35/1083),IF(C996="Técnico II",SUMIFS($D:$D,$A:$A,$A996,$B:$B,"&lt;&gt;Patrícia Karla de Sousa Araújo",$B:$B,"&lt;&gt;Lorena Dias de Araujo",$B:$B,"&lt;&gt;Lucas Luiz Romero")*(28/1083),IF(C996="Técnico I",SUMIFS($D:$D,$A:$A,$A996,$B:$B,"&lt;&gt;Patrícia Karla de Sousa Araújo",$B:$B,"&lt;&gt;Lorena Dias de Araujo",$B:$B,"&lt;&gt;Lucas Luiz Romero")*(23/1083),IF(C996="JR",SUMIFS($D:$D,$A:$A,$A996,$B:$B,"&lt;&gt;Patrícia Karla de Sousa Araújo",$B:$B,"&lt;&gt;Lorena Dias de Araujo",$B:$B,"&lt;&gt;Lucas Luiz Romero")*(20/1083),IF(C996="Estágio",SUMIFS($D:$D,$A:$A,$A996,$B:$B,"&lt;&gt;Patrícia Karla de Sousa Araújo",$B:$B,"&lt;&gt;Lorena Dias de Araujo",$B:$B,"&lt;&gt;Lucas Luiz Romero")*(10/1083),0)))))),0)</f>
        <v>13</v>
      </c>
      <c r="K996" s="3">
        <f>I996-J996</f>
        <v>10</v>
      </c>
      <c r="L996" s="3" t="str">
        <f>IF(K996&lt;-5,"CRÍTICO",IF(K996&lt;0,"ATENÇÃO",IF(K996&lt;=5,"BOM","EXCELENTE")))</f>
        <v>EXCELENTE</v>
      </c>
      <c r="M996">
        <v>25</v>
      </c>
      <c r="N996">
        <v>98.32</v>
      </c>
      <c r="O996">
        <v>26.763485477178421</v>
      </c>
    </row>
    <row r="997" spans="1:15" hidden="1" x14ac:dyDescent="0.25">
      <c r="A997" s="11">
        <v>46031</v>
      </c>
      <c r="B997" t="s">
        <v>33</v>
      </c>
      <c r="C997" t="s">
        <v>32</v>
      </c>
      <c r="D997">
        <v>27</v>
      </c>
      <c r="E997">
        <v>24</v>
      </c>
      <c r="F997">
        <v>15.19</v>
      </c>
      <c r="G997">
        <v>0</v>
      </c>
      <c r="H997">
        <v>0</v>
      </c>
      <c r="I997" s="3">
        <f>E997+G997+H997</f>
        <v>24</v>
      </c>
      <c r="J997" s="3">
        <f>ROUND(MIN(IF(C997="Técnico III",35,IF(C997="Técnico II",28,IF(C997="Técnico I",23,IF(C997="JR",20,IF(C997="Estágio",10,0))))),IF(C997="Técnico III",SUMIFS($D:$D,$A:$A,$A997,$B:$B,"&lt;&gt;Patrícia Karla de Sousa Araújo",$B:$B,"&lt;&gt;Lorena Dias de Araujo",$B:$B,"&lt;&gt;Lucas Luiz Romero")*(35/1083),IF(C997="Técnico II",SUMIFS($D:$D,$A:$A,$A997,$B:$B,"&lt;&gt;Patrícia Karla de Sousa Araújo",$B:$B,"&lt;&gt;Lorena Dias de Araujo",$B:$B,"&lt;&gt;Lucas Luiz Romero")*(28/1083),IF(C997="Técnico I",SUMIFS($D:$D,$A:$A,$A997,$B:$B,"&lt;&gt;Patrícia Karla de Sousa Araújo",$B:$B,"&lt;&gt;Lorena Dias de Araujo",$B:$B,"&lt;&gt;Lucas Luiz Romero")*(23/1083),IF(C997="JR",SUMIFS($D:$D,$A:$A,$A997,$B:$B,"&lt;&gt;Patrícia Karla de Sousa Araújo",$B:$B,"&lt;&gt;Lorena Dias de Araujo",$B:$B,"&lt;&gt;Lucas Luiz Romero")*(20/1083),IF(C997="Estágio",SUMIFS($D:$D,$A:$A,$A997,$B:$B,"&lt;&gt;Patrícia Karla de Sousa Araújo",$B:$B,"&lt;&gt;Lorena Dias de Araujo",$B:$B,"&lt;&gt;Lucas Luiz Romero")*(10/1083),0)))))),0)</f>
        <v>20</v>
      </c>
      <c r="K997" s="3">
        <f>I997-J997</f>
        <v>4</v>
      </c>
      <c r="L997" s="3" t="str">
        <f>IF(K997&lt;-5,"CRÍTICO",IF(K997&lt;0,"ATENÇÃO",IF(K997&lt;=5,"BOM","EXCELENTE")))</f>
        <v>BOM</v>
      </c>
      <c r="M997">
        <v>22</v>
      </c>
      <c r="N997">
        <v>99.19</v>
      </c>
      <c r="O997">
        <v>27.637130801687761</v>
      </c>
    </row>
    <row r="998" spans="1:15" hidden="1" x14ac:dyDescent="0.25">
      <c r="A998" s="11">
        <v>46031</v>
      </c>
      <c r="B998" t="s">
        <v>15</v>
      </c>
      <c r="C998" t="s">
        <v>16</v>
      </c>
      <c r="D998">
        <v>12</v>
      </c>
      <c r="E998">
        <v>11</v>
      </c>
      <c r="F998">
        <v>30.49</v>
      </c>
      <c r="G998">
        <v>0</v>
      </c>
      <c r="H998">
        <v>0</v>
      </c>
      <c r="I998" s="3">
        <f>E998+G998+H998</f>
        <v>11</v>
      </c>
      <c r="J998" s="3">
        <f>ROUND(MIN(IF(C998="Técnico III",35,IF(C998="Técnico II",28,IF(C998="Técnico I",23,IF(C998="JR",20,IF(C998="Estágio",10,0))))),IF(C998="Técnico III",SUMIFS($D:$D,$A:$A,$A998,$B:$B,"&lt;&gt;Patrícia Karla de Sousa Araújo",$B:$B,"&lt;&gt;Lorena Dias de Araujo",$B:$B,"&lt;&gt;Lucas Luiz Romero")*(35/1083),IF(C998="Técnico II",SUMIFS($D:$D,$A:$A,$A998,$B:$B,"&lt;&gt;Patrícia Karla de Sousa Araújo",$B:$B,"&lt;&gt;Lorena Dias de Araujo",$B:$B,"&lt;&gt;Lucas Luiz Romero")*(28/1083),IF(C998="Técnico I",SUMIFS($D:$D,$A:$A,$A998,$B:$B,"&lt;&gt;Patrícia Karla de Sousa Araújo",$B:$B,"&lt;&gt;Lorena Dias de Araujo",$B:$B,"&lt;&gt;Lucas Luiz Romero")*(23/1083),IF(C998="JR",SUMIFS($D:$D,$A:$A,$A998,$B:$B,"&lt;&gt;Patrícia Karla de Sousa Araújo",$B:$B,"&lt;&gt;Lorena Dias de Araujo",$B:$B,"&lt;&gt;Lucas Luiz Romero")*(20/1083),IF(C998="Estágio",SUMIFS($D:$D,$A:$A,$A998,$B:$B,"&lt;&gt;Patrícia Karla de Sousa Araújo",$B:$B,"&lt;&gt;Lorena Dias de Araujo",$B:$B,"&lt;&gt;Lucas Luiz Romero")*(10/1083),0)))))),0)</f>
        <v>6</v>
      </c>
      <c r="K998" s="3">
        <f>I998-J998</f>
        <v>5</v>
      </c>
      <c r="L998" s="3" t="str">
        <f>IF(K998&lt;-5,"CRÍTICO",IF(K998&lt;0,"ATENÇÃO",IF(K998&lt;=5,"BOM","EXCELENTE")))</f>
        <v>BOM</v>
      </c>
      <c r="M998">
        <v>9</v>
      </c>
      <c r="N998">
        <v>100</v>
      </c>
      <c r="O998">
        <v>39.568345323741013</v>
      </c>
    </row>
    <row r="999" spans="1:15" hidden="1" x14ac:dyDescent="0.25">
      <c r="A999" s="11">
        <v>46031</v>
      </c>
      <c r="B999" t="s">
        <v>49</v>
      </c>
      <c r="C999" t="s">
        <v>48</v>
      </c>
      <c r="D999">
        <v>17</v>
      </c>
      <c r="E999">
        <v>16</v>
      </c>
      <c r="F999">
        <v>18.34</v>
      </c>
      <c r="G999">
        <v>0</v>
      </c>
      <c r="H999">
        <v>0</v>
      </c>
      <c r="I999" s="3">
        <f>E999+G999+H999</f>
        <v>16</v>
      </c>
      <c r="J999" s="3">
        <f>ROUND(MIN(IF(C999="Técnico III",35,IF(C999="Técnico II",28,IF(C999="Técnico I",23,IF(C999="JR",20,IF(C999="Estágio",10,0))))),IF(C999="Técnico III",SUMIFS($D:$D,$A:$A,$A999,$B:$B,"&lt;&gt;Patrícia Karla de Sousa Araújo",$B:$B,"&lt;&gt;Lorena Dias de Araujo",$B:$B,"&lt;&gt;Lucas Luiz Romero")*(35/1083),IF(C999="Técnico II",SUMIFS($D:$D,$A:$A,$A999,$B:$B,"&lt;&gt;Patrícia Karla de Sousa Araújo",$B:$B,"&lt;&gt;Lorena Dias de Araujo",$B:$B,"&lt;&gt;Lucas Luiz Romero")*(28/1083),IF(C999="Técnico I",SUMIFS($D:$D,$A:$A,$A999,$B:$B,"&lt;&gt;Patrícia Karla de Sousa Araújo",$B:$B,"&lt;&gt;Lorena Dias de Araujo",$B:$B,"&lt;&gt;Lucas Luiz Romero")*(23/1083),IF(C999="JR",SUMIFS($D:$D,$A:$A,$A999,$B:$B,"&lt;&gt;Patrícia Karla de Sousa Araújo",$B:$B,"&lt;&gt;Lorena Dias de Araujo",$B:$B,"&lt;&gt;Lucas Luiz Romero")*(20/1083),IF(C999="Estágio",SUMIFS($D:$D,$A:$A,$A999,$B:$B,"&lt;&gt;Patrícia Karla de Sousa Araújo",$B:$B,"&lt;&gt;Lorena Dias de Araujo",$B:$B,"&lt;&gt;Lucas Luiz Romero")*(10/1083),0)))))),0)</f>
        <v>16</v>
      </c>
      <c r="K999" s="3">
        <f>I999-J999</f>
        <v>0</v>
      </c>
      <c r="L999" s="3" t="str">
        <f>IF(K999&lt;-5,"CRÍTICO",IF(K999&lt;0,"ATENÇÃO",IF(K999&lt;=5,"BOM","EXCELENTE")))</f>
        <v>BOM</v>
      </c>
      <c r="M999">
        <v>16</v>
      </c>
      <c r="N999">
        <v>98.54</v>
      </c>
      <c r="O999">
        <v>28.544776119402989</v>
      </c>
    </row>
    <row r="1000" spans="1:15" hidden="1" x14ac:dyDescent="0.25">
      <c r="A1000" s="11">
        <v>46031</v>
      </c>
      <c r="B1000" t="s">
        <v>50</v>
      </c>
      <c r="C1000" t="s">
        <v>48</v>
      </c>
      <c r="D1000">
        <v>18</v>
      </c>
      <c r="E1000">
        <v>16</v>
      </c>
      <c r="F1000">
        <v>30.06</v>
      </c>
      <c r="G1000">
        <v>0</v>
      </c>
      <c r="H1000">
        <v>0</v>
      </c>
      <c r="I1000" s="3">
        <f>E1000+G1000+H1000</f>
        <v>16</v>
      </c>
      <c r="J1000" s="3">
        <f>ROUND(MIN(IF(C1000="Técnico III",35,IF(C1000="Técnico II",28,IF(C1000="Técnico I",23,IF(C1000="JR",20,IF(C1000="Estágio",10,0))))),IF(C1000="Técnico III",SUMIFS($D:$D,$A:$A,$A1000,$B:$B,"&lt;&gt;Patrícia Karla de Sousa Araújo",$B:$B,"&lt;&gt;Lorena Dias de Araujo",$B:$B,"&lt;&gt;Lucas Luiz Romero")*(35/1083),IF(C1000="Técnico II",SUMIFS($D:$D,$A:$A,$A1000,$B:$B,"&lt;&gt;Patrícia Karla de Sousa Araújo",$B:$B,"&lt;&gt;Lorena Dias de Araujo",$B:$B,"&lt;&gt;Lucas Luiz Romero")*(28/1083),IF(C1000="Técnico I",SUMIFS($D:$D,$A:$A,$A1000,$B:$B,"&lt;&gt;Patrícia Karla de Sousa Araújo",$B:$B,"&lt;&gt;Lorena Dias de Araujo",$B:$B,"&lt;&gt;Lucas Luiz Romero")*(23/1083),IF(C1000="JR",SUMIFS($D:$D,$A:$A,$A1000,$B:$B,"&lt;&gt;Patrícia Karla de Sousa Araújo",$B:$B,"&lt;&gt;Lorena Dias de Araujo",$B:$B,"&lt;&gt;Lucas Luiz Romero")*(20/1083),IF(C1000="Estágio",SUMIFS($D:$D,$A:$A,$A1000,$B:$B,"&lt;&gt;Patrícia Karla de Sousa Araújo",$B:$B,"&lt;&gt;Lorena Dias de Araujo",$B:$B,"&lt;&gt;Lucas Luiz Romero")*(10/1083),0)))))),0)</f>
        <v>16</v>
      </c>
      <c r="K1000" s="3">
        <f>I1000-J1000</f>
        <v>0</v>
      </c>
      <c r="L1000" s="3" t="str">
        <f>IF(K1000&lt;-5,"CRÍTICO",IF(K1000&lt;0,"ATENÇÃO",IF(K1000&lt;=5,"BOM","EXCELENTE")))</f>
        <v>BOM</v>
      </c>
      <c r="M1000">
        <v>16</v>
      </c>
      <c r="N1000">
        <v>100</v>
      </c>
      <c r="O1000">
        <v>34.366925064599492</v>
      </c>
    </row>
    <row r="1001" spans="1:15" hidden="1" x14ac:dyDescent="0.25">
      <c r="A1001" s="11">
        <v>46031</v>
      </c>
      <c r="B1001" t="s">
        <v>17</v>
      </c>
      <c r="C1001" t="s">
        <v>16</v>
      </c>
      <c r="D1001">
        <v>0</v>
      </c>
      <c r="E1001">
        <v>0</v>
      </c>
      <c r="F1001">
        <v>0</v>
      </c>
      <c r="G1001">
        <v>0</v>
      </c>
      <c r="H1001">
        <v>0</v>
      </c>
      <c r="I1001" s="3">
        <v>0</v>
      </c>
      <c r="J1001" s="3">
        <v>0</v>
      </c>
      <c r="K1001" s="3">
        <v>0</v>
      </c>
      <c r="L1001" s="3" t="str">
        <f>IF(K1001&lt;-5,"CRÍTICO",IF(K1001&lt;0,"ATENÇÃO",IF(K1001&lt;=5,"BOM","EXCELENTE")))</f>
        <v>BOM</v>
      </c>
      <c r="M1001">
        <v>0</v>
      </c>
      <c r="N1001">
        <v>0</v>
      </c>
      <c r="O1001">
        <v>0</v>
      </c>
    </row>
    <row r="1002" spans="1:15" hidden="1" x14ac:dyDescent="0.25">
      <c r="A1002" s="11">
        <v>46031</v>
      </c>
      <c r="B1002" t="s">
        <v>60</v>
      </c>
      <c r="C1002" t="s">
        <v>23</v>
      </c>
      <c r="D1002">
        <v>15</v>
      </c>
      <c r="E1002">
        <v>15</v>
      </c>
      <c r="F1002">
        <v>37.020000000000003</v>
      </c>
      <c r="G1002">
        <v>0</v>
      </c>
      <c r="H1002">
        <v>0</v>
      </c>
      <c r="I1002" s="3">
        <f>E1002+G1002+H1002</f>
        <v>15</v>
      </c>
      <c r="J1002" s="3">
        <f>ROUND(MIN(IF(C1002="Técnico III",35,IF(C1002="Técnico II",28,IF(C1002="Técnico I",23,IF(C1002="JR",20,IF(C1002="Estágio",10,0))))),IF(C1002="Técnico III",SUMIFS($D:$D,$A:$A,$A1002,$B:$B,"&lt;&gt;Patrícia Karla de Sousa Araújo",$B:$B,"&lt;&gt;Lorena Dias de Araujo",$B:$B,"&lt;&gt;Lucas Luiz Romero")*(35/1083),IF(C1002="Técnico II",SUMIFS($D:$D,$A:$A,$A1002,$B:$B,"&lt;&gt;Patrícia Karla de Sousa Araújo",$B:$B,"&lt;&gt;Lorena Dias de Araujo",$B:$B,"&lt;&gt;Lucas Luiz Romero")*(28/1083),IF(C1002="Técnico I",SUMIFS($D:$D,$A:$A,$A1002,$B:$B,"&lt;&gt;Patrícia Karla de Sousa Araújo",$B:$B,"&lt;&gt;Lorena Dias de Araujo",$B:$B,"&lt;&gt;Lucas Luiz Romero")*(23/1083),IF(C1002="JR",SUMIFS($D:$D,$A:$A,$A1002,$B:$B,"&lt;&gt;Patrícia Karla de Sousa Araújo",$B:$B,"&lt;&gt;Lorena Dias de Araujo",$B:$B,"&lt;&gt;Lucas Luiz Romero")*(20/1083),IF(C1002="Estágio",SUMIFS($D:$D,$A:$A,$A1002,$B:$B,"&lt;&gt;Patrícia Karla de Sousa Araújo",$B:$B,"&lt;&gt;Lorena Dias de Araujo",$B:$B,"&lt;&gt;Lucas Luiz Romero")*(10/1083),0)))))),0)</f>
        <v>13</v>
      </c>
      <c r="K1002" s="3">
        <f>I1002-J1002</f>
        <v>2</v>
      </c>
      <c r="L1002" s="3" t="str">
        <f>IF(K1002&lt;-5,"CRÍTICO",IF(K1002&lt;0,"ATENÇÃO",IF(K1002&lt;=5,"BOM","EXCELENTE")))</f>
        <v>BOM</v>
      </c>
      <c r="M1002">
        <v>14</v>
      </c>
      <c r="N1002">
        <v>100</v>
      </c>
      <c r="O1002">
        <v>29.518072289156631</v>
      </c>
    </row>
    <row r="1003" spans="1:15" hidden="1" x14ac:dyDescent="0.25">
      <c r="A1003" s="11">
        <v>46031</v>
      </c>
      <c r="B1003" t="s">
        <v>34</v>
      </c>
      <c r="C1003" t="s">
        <v>32</v>
      </c>
      <c r="D1003">
        <v>31</v>
      </c>
      <c r="E1003">
        <v>27</v>
      </c>
      <c r="F1003">
        <v>11.49</v>
      </c>
      <c r="G1003">
        <v>0</v>
      </c>
      <c r="H1003">
        <v>0</v>
      </c>
      <c r="I1003" s="3">
        <f>E1003+G1003+H1003</f>
        <v>27</v>
      </c>
      <c r="J1003" s="3">
        <f>ROUND(MIN(IF(C1003="Técnico III",35,IF(C1003="Técnico II",28,IF(C1003="Técnico I",23,IF(C1003="JR",20,IF(C1003="Estágio",10,0))))),IF(C1003="Técnico III",SUMIFS($D:$D,$A:$A,$A1003,$B:$B,"&lt;&gt;Patrícia Karla de Sousa Araújo",$B:$B,"&lt;&gt;Lorena Dias de Araujo",$B:$B,"&lt;&gt;Lucas Luiz Romero")*(35/1083),IF(C1003="Técnico II",SUMIFS($D:$D,$A:$A,$A1003,$B:$B,"&lt;&gt;Patrícia Karla de Sousa Araújo",$B:$B,"&lt;&gt;Lorena Dias de Araujo",$B:$B,"&lt;&gt;Lucas Luiz Romero")*(28/1083),IF(C1003="Técnico I",SUMIFS($D:$D,$A:$A,$A1003,$B:$B,"&lt;&gt;Patrícia Karla de Sousa Araújo",$B:$B,"&lt;&gt;Lorena Dias de Araujo",$B:$B,"&lt;&gt;Lucas Luiz Romero")*(23/1083),IF(C1003="JR",SUMIFS($D:$D,$A:$A,$A1003,$B:$B,"&lt;&gt;Patrícia Karla de Sousa Araújo",$B:$B,"&lt;&gt;Lorena Dias de Araujo",$B:$B,"&lt;&gt;Lucas Luiz Romero")*(20/1083),IF(C1003="Estágio",SUMIFS($D:$D,$A:$A,$A1003,$B:$B,"&lt;&gt;Patrícia Karla de Sousa Araújo",$B:$B,"&lt;&gt;Lorena Dias de Araujo",$B:$B,"&lt;&gt;Lucas Luiz Romero")*(10/1083),0)))))),0)</f>
        <v>20</v>
      </c>
      <c r="K1003" s="3">
        <f>I1003-J1003</f>
        <v>7</v>
      </c>
      <c r="L1003" s="3" t="str">
        <f>IF(K1003&lt;-5,"CRÍTICO",IF(K1003&lt;0,"ATENÇÃO",IF(K1003&lt;=5,"BOM","EXCELENTE")))</f>
        <v>EXCELENTE</v>
      </c>
      <c r="M1003">
        <v>27</v>
      </c>
      <c r="N1003">
        <v>97.45</v>
      </c>
      <c r="O1003">
        <v>41.421143847487002</v>
      </c>
    </row>
    <row r="1004" spans="1:15" hidden="1" x14ac:dyDescent="0.25">
      <c r="A1004" s="11">
        <v>46031</v>
      </c>
      <c r="B1004" t="s">
        <v>51</v>
      </c>
      <c r="C1004" t="s">
        <v>48</v>
      </c>
      <c r="D1004">
        <v>26</v>
      </c>
      <c r="E1004">
        <v>18</v>
      </c>
      <c r="F1004">
        <v>15.06</v>
      </c>
      <c r="G1004">
        <v>0</v>
      </c>
      <c r="H1004">
        <v>0</v>
      </c>
      <c r="I1004" s="3">
        <v>0</v>
      </c>
      <c r="J1004" s="3">
        <v>0</v>
      </c>
      <c r="K1004" s="3">
        <v>0</v>
      </c>
      <c r="L1004" s="3" t="str">
        <f>IF(K1004&lt;-5,"CRÍTICO",IF(K1004&lt;0,"ATENÇÃO",IF(K1004&lt;=5,"BOM","EXCELENTE")))</f>
        <v>BOM</v>
      </c>
      <c r="M1004">
        <v>15</v>
      </c>
      <c r="N1004">
        <v>96.58</v>
      </c>
      <c r="O1004">
        <v>30.396475770925111</v>
      </c>
    </row>
    <row r="1005" spans="1:15" hidden="1" x14ac:dyDescent="0.25">
      <c r="A1005" s="11">
        <v>46031</v>
      </c>
      <c r="B1005" t="s">
        <v>61</v>
      </c>
      <c r="C1005" t="s">
        <v>23</v>
      </c>
      <c r="D1005">
        <v>20</v>
      </c>
      <c r="E1005">
        <v>20</v>
      </c>
      <c r="F1005">
        <v>25.59</v>
      </c>
      <c r="G1005">
        <v>0</v>
      </c>
      <c r="H1005">
        <v>0</v>
      </c>
      <c r="I1005" s="3">
        <f>E1005+G1005+H1005</f>
        <v>20</v>
      </c>
      <c r="J1005" s="3">
        <f>ROUND(MIN(IF(C1005="Técnico III",35,IF(C1005="Técnico II",28,IF(C1005="Técnico I",23,IF(C1005="JR",20,IF(C1005="Estágio",10,0))))),IF(C1005="Técnico III",SUMIFS($D:$D,$A:$A,$A1005,$B:$B,"&lt;&gt;Patrícia Karla de Sousa Araújo",$B:$B,"&lt;&gt;Lorena Dias de Araujo",$B:$B,"&lt;&gt;Lucas Luiz Romero")*(35/1083),IF(C1005="Técnico II",SUMIFS($D:$D,$A:$A,$A1005,$B:$B,"&lt;&gt;Patrícia Karla de Sousa Araújo",$B:$B,"&lt;&gt;Lorena Dias de Araujo",$B:$B,"&lt;&gt;Lucas Luiz Romero")*(28/1083),IF(C1005="Técnico I",SUMIFS($D:$D,$A:$A,$A1005,$B:$B,"&lt;&gt;Patrícia Karla de Sousa Araújo",$B:$B,"&lt;&gt;Lorena Dias de Araujo",$B:$B,"&lt;&gt;Lucas Luiz Romero")*(23/1083),IF(C1005="JR",SUMIFS($D:$D,$A:$A,$A1005,$B:$B,"&lt;&gt;Patrícia Karla de Sousa Araújo",$B:$B,"&lt;&gt;Lorena Dias de Araujo",$B:$B,"&lt;&gt;Lucas Luiz Romero")*(20/1083),IF(C1005="Estágio",SUMIFS($D:$D,$A:$A,$A1005,$B:$B,"&lt;&gt;Patrícia Karla de Sousa Araújo",$B:$B,"&lt;&gt;Lorena Dias de Araujo",$B:$B,"&lt;&gt;Lucas Luiz Romero")*(10/1083),0)))))),0)</f>
        <v>13</v>
      </c>
      <c r="K1005" s="3">
        <f>I1005-J1005</f>
        <v>7</v>
      </c>
      <c r="L1005" s="3" t="str">
        <f>IF(K1005&lt;-5,"CRÍTICO",IF(K1005&lt;0,"ATENÇÃO",IF(K1005&lt;=5,"BOM","EXCELENTE")))</f>
        <v>EXCELENTE</v>
      </c>
      <c r="M1005">
        <v>22</v>
      </c>
      <c r="N1005">
        <v>100</v>
      </c>
      <c r="O1005">
        <v>27.44282744282744</v>
      </c>
    </row>
    <row r="1006" spans="1:15" hidden="1" x14ac:dyDescent="0.25">
      <c r="A1006" s="11">
        <v>46031</v>
      </c>
      <c r="B1006" t="s">
        <v>35</v>
      </c>
      <c r="C1006" t="s">
        <v>32</v>
      </c>
      <c r="D1006">
        <v>19</v>
      </c>
      <c r="E1006">
        <v>18</v>
      </c>
      <c r="F1006">
        <v>25.36</v>
      </c>
      <c r="G1006">
        <v>0</v>
      </c>
      <c r="H1006">
        <v>0</v>
      </c>
      <c r="I1006" s="3">
        <v>0</v>
      </c>
      <c r="J1006" s="3">
        <v>0</v>
      </c>
      <c r="K1006" s="3">
        <v>0</v>
      </c>
      <c r="L1006" s="3" t="str">
        <f>IF(K1006&lt;-5,"CRÍTICO",IF(K1006&lt;0,"ATENÇÃO",IF(K1006&lt;=5,"BOM","EXCELENTE")))</f>
        <v>BOM</v>
      </c>
      <c r="M1006">
        <v>18</v>
      </c>
      <c r="N1006">
        <v>99.49</v>
      </c>
      <c r="O1006">
        <v>40.200000000000003</v>
      </c>
    </row>
    <row r="1007" spans="1:15" hidden="1" x14ac:dyDescent="0.25">
      <c r="A1007" s="11">
        <v>46031</v>
      </c>
      <c r="B1007" t="s">
        <v>18</v>
      </c>
      <c r="C1007" t="s">
        <v>16</v>
      </c>
      <c r="D1007">
        <v>0</v>
      </c>
      <c r="E1007">
        <v>0</v>
      </c>
      <c r="F1007">
        <v>0</v>
      </c>
      <c r="G1007">
        <v>0</v>
      </c>
      <c r="H1007">
        <v>0</v>
      </c>
      <c r="I1007" s="3">
        <v>0</v>
      </c>
      <c r="J1007" s="3">
        <v>0</v>
      </c>
      <c r="K1007" s="3">
        <v>0</v>
      </c>
      <c r="L1007" s="3" t="str">
        <f>IF(K1007&lt;-5,"CRÍTICO",IF(K1007&lt;0,"ATENÇÃO",IF(K1007&lt;=5,"BOM","EXCELENTE")))</f>
        <v>BOM</v>
      </c>
      <c r="M1007">
        <v>0</v>
      </c>
      <c r="N1007">
        <v>100</v>
      </c>
      <c r="O1007">
        <v>25</v>
      </c>
    </row>
    <row r="1008" spans="1:15" hidden="1" x14ac:dyDescent="0.25">
      <c r="A1008" s="11">
        <v>46031</v>
      </c>
      <c r="B1008" t="s">
        <v>52</v>
      </c>
      <c r="C1008" t="s">
        <v>48</v>
      </c>
      <c r="D1008">
        <v>27</v>
      </c>
      <c r="E1008">
        <v>24</v>
      </c>
      <c r="F1008">
        <v>22.01</v>
      </c>
      <c r="G1008">
        <v>0</v>
      </c>
      <c r="H1008">
        <v>0</v>
      </c>
      <c r="I1008" s="3">
        <f>E1008+G1008+H1008</f>
        <v>24</v>
      </c>
      <c r="J1008" s="3">
        <f>ROUND(MIN(IF(C1008="Técnico III",35,IF(C1008="Técnico II",28,IF(C1008="Técnico I",23,IF(C1008="JR",20,IF(C1008="Estágio",10,0))))),IF(C1008="Técnico III",SUMIFS($D:$D,$A:$A,$A1008,$B:$B,"&lt;&gt;Patrícia Karla de Sousa Araújo",$B:$B,"&lt;&gt;Lorena Dias de Araujo",$B:$B,"&lt;&gt;Lucas Luiz Romero")*(35/1083),IF(C1008="Técnico II",SUMIFS($D:$D,$A:$A,$A1008,$B:$B,"&lt;&gt;Patrícia Karla de Sousa Araújo",$B:$B,"&lt;&gt;Lorena Dias de Araujo",$B:$B,"&lt;&gt;Lucas Luiz Romero")*(28/1083),IF(C1008="Técnico I",SUMIFS($D:$D,$A:$A,$A1008,$B:$B,"&lt;&gt;Patrícia Karla de Sousa Araújo",$B:$B,"&lt;&gt;Lorena Dias de Araujo",$B:$B,"&lt;&gt;Lucas Luiz Romero")*(23/1083),IF(C1008="JR",SUMIFS($D:$D,$A:$A,$A1008,$B:$B,"&lt;&gt;Patrícia Karla de Sousa Araújo",$B:$B,"&lt;&gt;Lorena Dias de Araujo",$B:$B,"&lt;&gt;Lucas Luiz Romero")*(20/1083),IF(C1008="Estágio",SUMIFS($D:$D,$A:$A,$A1008,$B:$B,"&lt;&gt;Patrícia Karla de Sousa Araújo",$B:$B,"&lt;&gt;Lorena Dias de Araujo",$B:$B,"&lt;&gt;Lucas Luiz Romero")*(10/1083),0)))))),0)</f>
        <v>16</v>
      </c>
      <c r="K1008" s="3">
        <f>I1008-J1008</f>
        <v>8</v>
      </c>
      <c r="L1008" s="3" t="str">
        <f>IF(K1008&lt;-5,"CRÍTICO",IF(K1008&lt;0,"ATENÇÃO",IF(K1008&lt;=5,"BOM","EXCELENTE")))</f>
        <v>EXCELENTE</v>
      </c>
      <c r="M1008">
        <v>17</v>
      </c>
      <c r="N1008">
        <v>100</v>
      </c>
      <c r="O1008">
        <v>34.15094339622641</v>
      </c>
    </row>
    <row r="1009" spans="1:15" hidden="1" x14ac:dyDescent="0.25">
      <c r="A1009" s="11">
        <v>46031</v>
      </c>
      <c r="B1009" t="s">
        <v>36</v>
      </c>
      <c r="C1009" t="s">
        <v>32</v>
      </c>
      <c r="D1009">
        <v>21</v>
      </c>
      <c r="E1009">
        <v>19</v>
      </c>
      <c r="F1009">
        <v>16.53</v>
      </c>
      <c r="G1009">
        <v>0</v>
      </c>
      <c r="H1009">
        <v>0</v>
      </c>
      <c r="I1009" s="3">
        <f>E1009+G1009+H1009</f>
        <v>19</v>
      </c>
      <c r="J1009" s="3">
        <f>ROUND(MIN(IF(C1009="Técnico III",35,IF(C1009="Técnico II",28,IF(C1009="Técnico I",23,IF(C1009="JR",20,IF(C1009="Estágio",10,0))))),IF(C1009="Técnico III",SUMIFS($D:$D,$A:$A,$A1009,$B:$B,"&lt;&gt;Patrícia Karla de Sousa Araújo",$B:$B,"&lt;&gt;Lorena Dias de Araujo",$B:$B,"&lt;&gt;Lucas Luiz Romero")*(35/1083),IF(C1009="Técnico II",SUMIFS($D:$D,$A:$A,$A1009,$B:$B,"&lt;&gt;Patrícia Karla de Sousa Araújo",$B:$B,"&lt;&gt;Lorena Dias de Araujo",$B:$B,"&lt;&gt;Lucas Luiz Romero")*(28/1083),IF(C1009="Técnico I",SUMIFS($D:$D,$A:$A,$A1009,$B:$B,"&lt;&gt;Patrícia Karla de Sousa Araújo",$B:$B,"&lt;&gt;Lorena Dias de Araujo",$B:$B,"&lt;&gt;Lucas Luiz Romero")*(23/1083),IF(C1009="JR",SUMIFS($D:$D,$A:$A,$A1009,$B:$B,"&lt;&gt;Patrícia Karla de Sousa Araújo",$B:$B,"&lt;&gt;Lorena Dias de Araujo",$B:$B,"&lt;&gt;Lucas Luiz Romero")*(20/1083),IF(C1009="Estágio",SUMIFS($D:$D,$A:$A,$A1009,$B:$B,"&lt;&gt;Patrícia Karla de Sousa Araújo",$B:$B,"&lt;&gt;Lorena Dias de Araujo",$B:$B,"&lt;&gt;Lucas Luiz Romero")*(10/1083),0)))))),0)</f>
        <v>20</v>
      </c>
      <c r="K1009" s="3">
        <f>I1009-J1009</f>
        <v>-1</v>
      </c>
      <c r="L1009" s="3" t="str">
        <f>IF(K1009&lt;-5,"CRÍTICO",IF(K1009&lt;0,"ATENÇÃO",IF(K1009&lt;=5,"BOM","EXCELENTE")))</f>
        <v>ATENÇÃO</v>
      </c>
      <c r="M1009">
        <v>18</v>
      </c>
      <c r="N1009">
        <v>100</v>
      </c>
      <c r="O1009">
        <v>32.731376975169297</v>
      </c>
    </row>
    <row r="1010" spans="1:15" hidden="1" x14ac:dyDescent="0.25">
      <c r="A1010" s="11">
        <v>46031</v>
      </c>
      <c r="B1010" t="s">
        <v>53</v>
      </c>
      <c r="C1010" t="s">
        <v>48</v>
      </c>
      <c r="D1010">
        <v>30</v>
      </c>
      <c r="E1010">
        <v>25</v>
      </c>
      <c r="F1010">
        <v>15.23</v>
      </c>
      <c r="G1010">
        <v>0</v>
      </c>
      <c r="H1010">
        <v>0</v>
      </c>
      <c r="I1010" s="3">
        <f>E1010+G1010+H1010</f>
        <v>25</v>
      </c>
      <c r="J1010" s="3">
        <f>ROUND(MIN(IF(C1010="Técnico III",35,IF(C1010="Técnico II",28,IF(C1010="Técnico I",23,IF(C1010="JR",20,IF(C1010="Estágio",10,0))))),IF(C1010="Técnico III",SUMIFS($D:$D,$A:$A,$A1010,$B:$B,"&lt;&gt;Patrícia Karla de Sousa Araújo",$B:$B,"&lt;&gt;Lorena Dias de Araujo",$B:$B,"&lt;&gt;Lucas Luiz Romero")*(35/1083),IF(C1010="Técnico II",SUMIFS($D:$D,$A:$A,$A1010,$B:$B,"&lt;&gt;Patrícia Karla de Sousa Araújo",$B:$B,"&lt;&gt;Lorena Dias de Araujo",$B:$B,"&lt;&gt;Lucas Luiz Romero")*(28/1083),IF(C1010="Técnico I",SUMIFS($D:$D,$A:$A,$A1010,$B:$B,"&lt;&gt;Patrícia Karla de Sousa Araújo",$B:$B,"&lt;&gt;Lorena Dias de Araujo",$B:$B,"&lt;&gt;Lucas Luiz Romero")*(23/1083),IF(C1010="JR",SUMIFS($D:$D,$A:$A,$A1010,$B:$B,"&lt;&gt;Patrícia Karla de Sousa Araújo",$B:$B,"&lt;&gt;Lorena Dias de Araujo",$B:$B,"&lt;&gt;Lucas Luiz Romero")*(20/1083),IF(C1010="Estágio",SUMIFS($D:$D,$A:$A,$A1010,$B:$B,"&lt;&gt;Patrícia Karla de Sousa Araújo",$B:$B,"&lt;&gt;Lorena Dias de Araujo",$B:$B,"&lt;&gt;Lucas Luiz Romero")*(10/1083),0)))))),0)</f>
        <v>16</v>
      </c>
      <c r="K1010" s="3">
        <f>I1010-J1010</f>
        <v>9</v>
      </c>
      <c r="L1010" s="3" t="str">
        <f>IF(K1010&lt;-5,"CRÍTICO",IF(K1010&lt;0,"ATENÇÃO",IF(K1010&lt;=5,"BOM","EXCELENTE")))</f>
        <v>EXCELENTE</v>
      </c>
      <c r="M1010">
        <v>24</v>
      </c>
      <c r="N1010">
        <v>99.31</v>
      </c>
      <c r="O1010">
        <v>30.96234309623431</v>
      </c>
    </row>
    <row r="1011" spans="1:15" hidden="1" x14ac:dyDescent="0.25">
      <c r="A1011" s="11">
        <v>46065</v>
      </c>
      <c r="B1011" t="s">
        <v>22</v>
      </c>
      <c r="C1011" t="s">
        <v>23</v>
      </c>
      <c r="D1011">
        <v>5</v>
      </c>
      <c r="E1011">
        <v>5</v>
      </c>
      <c r="F1011">
        <v>30.56</v>
      </c>
      <c r="G1011">
        <v>0</v>
      </c>
      <c r="H1011">
        <v>0</v>
      </c>
      <c r="I1011" s="3">
        <f>E1011+G1011+H1011</f>
        <v>5</v>
      </c>
      <c r="J1011" s="3">
        <f>ROUND(MIN(IF(C1011="Técnico III",35,IF(C1011="Técnico II",28,IF(C1011="Técnico I",23,IF(C1011="JR",20,IF(C1011="Estágio",10,0))))),IF(C1011="Técnico III",SUMIFS($D:$D,$A:$A,$A1011,$B:$B,"&lt;&gt;Patrícia Karla de Sousa Araújo",$B:$B,"&lt;&gt;Lorena Dias de Araujo",$B:$B,"&lt;&gt;Lucas Luiz Romero")*(35/1083),IF(C1011="Técnico II",SUMIFS($D:$D,$A:$A,$A1011,$B:$B,"&lt;&gt;Patrícia Karla de Sousa Araújo",$B:$B,"&lt;&gt;Lorena Dias de Araujo",$B:$B,"&lt;&gt;Lucas Luiz Romero")*(28/1083),IF(C1011="Técnico I",SUMIFS($D:$D,$A:$A,$A1011,$B:$B,"&lt;&gt;Patrícia Karla de Sousa Araújo",$B:$B,"&lt;&gt;Lorena Dias de Araujo",$B:$B,"&lt;&gt;Lucas Luiz Romero")*(23/1083),IF(C1011="JR",SUMIFS($D:$D,$A:$A,$A1011,$B:$B,"&lt;&gt;Patrícia Karla de Sousa Araújo",$B:$B,"&lt;&gt;Lorena Dias de Araujo",$B:$B,"&lt;&gt;Lucas Luiz Romero")*(20/1083),IF(C1011="Estágio",SUMIFS($D:$D,$A:$A,$A1011,$B:$B,"&lt;&gt;Patrícia Karla de Sousa Araújo",$B:$B,"&lt;&gt;Lorena Dias de Araujo",$B:$B,"&lt;&gt;Lucas Luiz Romero")*(10/1083),0)))))),0)</f>
        <v>17</v>
      </c>
      <c r="K1011" s="3">
        <f>I1011-J1011</f>
        <v>-12</v>
      </c>
      <c r="L1011" s="3" t="str">
        <f>IF(K1011&lt;-5,"CRÍTICO",IF(K1011&lt;0,"ATENÇÃO",IF(K1011&lt;=5,"BOM","EXCELENTE")))</f>
        <v>CRÍTICO</v>
      </c>
      <c r="M1011">
        <v>22</v>
      </c>
      <c r="N1011">
        <v>96.67</v>
      </c>
      <c r="O1011">
        <v>31.451612903225811</v>
      </c>
    </row>
    <row r="1012" spans="1:15" hidden="1" x14ac:dyDescent="0.25">
      <c r="A1012" s="11">
        <v>46031</v>
      </c>
      <c r="B1012" t="s">
        <v>54</v>
      </c>
      <c r="C1012" t="s">
        <v>48</v>
      </c>
      <c r="D1012">
        <v>29</v>
      </c>
      <c r="E1012">
        <v>26</v>
      </c>
      <c r="F1012">
        <v>15.04</v>
      </c>
      <c r="G1012">
        <v>0</v>
      </c>
      <c r="H1012">
        <v>0</v>
      </c>
      <c r="I1012" s="3">
        <f>E1012+G1012+H1012</f>
        <v>26</v>
      </c>
      <c r="J1012" s="3">
        <f>ROUND(MIN(IF(C1012="Técnico III",35,IF(C1012="Técnico II",28,IF(C1012="Técnico I",23,IF(C1012="JR",20,IF(C1012="Estágio",10,0))))),IF(C1012="Técnico III",SUMIFS($D:$D,$A:$A,$A1012,$B:$B,"&lt;&gt;Patrícia Karla de Sousa Araújo",$B:$B,"&lt;&gt;Lorena Dias de Araujo",$B:$B,"&lt;&gt;Lucas Luiz Romero")*(35/1083),IF(C1012="Técnico II",SUMIFS($D:$D,$A:$A,$A1012,$B:$B,"&lt;&gt;Patrícia Karla de Sousa Araújo",$B:$B,"&lt;&gt;Lorena Dias de Araujo",$B:$B,"&lt;&gt;Lucas Luiz Romero")*(28/1083),IF(C1012="Técnico I",SUMIFS($D:$D,$A:$A,$A1012,$B:$B,"&lt;&gt;Patrícia Karla de Sousa Araújo",$B:$B,"&lt;&gt;Lorena Dias de Araujo",$B:$B,"&lt;&gt;Lucas Luiz Romero")*(23/1083),IF(C1012="JR",SUMIFS($D:$D,$A:$A,$A1012,$B:$B,"&lt;&gt;Patrícia Karla de Sousa Araújo",$B:$B,"&lt;&gt;Lorena Dias de Araujo",$B:$B,"&lt;&gt;Lucas Luiz Romero")*(20/1083),IF(C1012="Estágio",SUMIFS($D:$D,$A:$A,$A1012,$B:$B,"&lt;&gt;Patrícia Karla de Sousa Araújo",$B:$B,"&lt;&gt;Lorena Dias de Araujo",$B:$B,"&lt;&gt;Lucas Luiz Romero")*(10/1083),0)))))),0)</f>
        <v>16</v>
      </c>
      <c r="K1012" s="3">
        <f>I1012-J1012</f>
        <v>10</v>
      </c>
      <c r="L1012" s="3" t="str">
        <f>IF(K1012&lt;-5,"CRÍTICO",IF(K1012&lt;0,"ATENÇÃO",IF(K1012&lt;=5,"BOM","EXCELENTE")))</f>
        <v>EXCELENTE</v>
      </c>
      <c r="M1012">
        <v>23</v>
      </c>
      <c r="N1012">
        <v>100</v>
      </c>
      <c r="O1012">
        <v>27.676767676767678</v>
      </c>
    </row>
    <row r="1013" spans="1:15" hidden="1" x14ac:dyDescent="0.25">
      <c r="A1013" s="11">
        <v>46031</v>
      </c>
      <c r="B1013" t="s">
        <v>37</v>
      </c>
      <c r="C1013" t="s">
        <v>32</v>
      </c>
      <c r="D1013">
        <v>29</v>
      </c>
      <c r="E1013">
        <v>27</v>
      </c>
      <c r="F1013">
        <v>17.239999999999998</v>
      </c>
      <c r="G1013">
        <v>0</v>
      </c>
      <c r="H1013">
        <v>0</v>
      </c>
      <c r="I1013" s="3">
        <f>E1013+G1013+H1013</f>
        <v>27</v>
      </c>
      <c r="J1013" s="3">
        <f>ROUND(MIN(IF(C1013="Técnico III",35,IF(C1013="Técnico II",28,IF(C1013="Técnico I",23,IF(C1013="JR",20,IF(C1013="Estágio",10,0))))),IF(C1013="Técnico III",SUMIFS($D:$D,$A:$A,$A1013,$B:$B,"&lt;&gt;Patrícia Karla de Sousa Araújo",$B:$B,"&lt;&gt;Lorena Dias de Araujo",$B:$B,"&lt;&gt;Lucas Luiz Romero")*(35/1083),IF(C1013="Técnico II",SUMIFS($D:$D,$A:$A,$A1013,$B:$B,"&lt;&gt;Patrícia Karla de Sousa Araújo",$B:$B,"&lt;&gt;Lorena Dias de Araujo",$B:$B,"&lt;&gt;Lucas Luiz Romero")*(28/1083),IF(C1013="Técnico I",SUMIFS($D:$D,$A:$A,$A1013,$B:$B,"&lt;&gt;Patrícia Karla de Sousa Araújo",$B:$B,"&lt;&gt;Lorena Dias de Araujo",$B:$B,"&lt;&gt;Lucas Luiz Romero")*(23/1083),IF(C1013="JR",SUMIFS($D:$D,$A:$A,$A1013,$B:$B,"&lt;&gt;Patrícia Karla de Sousa Araújo",$B:$B,"&lt;&gt;Lorena Dias de Araujo",$B:$B,"&lt;&gt;Lucas Luiz Romero")*(20/1083),IF(C1013="Estágio",SUMIFS($D:$D,$A:$A,$A1013,$B:$B,"&lt;&gt;Patrícia Karla de Sousa Araújo",$B:$B,"&lt;&gt;Lorena Dias de Araujo",$B:$B,"&lt;&gt;Lucas Luiz Romero")*(10/1083),0)))))),0)</f>
        <v>20</v>
      </c>
      <c r="K1013" s="3">
        <f>I1013-J1013</f>
        <v>7</v>
      </c>
      <c r="L1013" s="3" t="str">
        <f>IF(K1013&lt;-5,"CRÍTICO",IF(K1013&lt;0,"ATENÇÃO",IF(K1013&lt;=5,"BOM","EXCELENTE")))</f>
        <v>EXCELENTE</v>
      </c>
      <c r="M1013">
        <v>28</v>
      </c>
      <c r="N1013">
        <v>100</v>
      </c>
      <c r="O1013">
        <v>31.17723156532988</v>
      </c>
    </row>
    <row r="1014" spans="1:15" hidden="1" x14ac:dyDescent="0.25">
      <c r="A1014" s="11">
        <v>46031</v>
      </c>
      <c r="B1014" t="s">
        <v>38</v>
      </c>
      <c r="C1014" t="s">
        <v>32</v>
      </c>
      <c r="D1014">
        <v>22</v>
      </c>
      <c r="E1014">
        <v>21</v>
      </c>
      <c r="F1014">
        <v>12.38</v>
      </c>
      <c r="G1014">
        <v>0</v>
      </c>
      <c r="H1014">
        <v>0</v>
      </c>
      <c r="I1014" s="3">
        <f>E1014+G1014+H1014</f>
        <v>21</v>
      </c>
      <c r="J1014" s="3">
        <f>ROUND(MIN(IF(C1014="Técnico III",35,IF(C1014="Técnico II",28,IF(C1014="Técnico I",23,IF(C1014="JR",20,IF(C1014="Estágio",10,0))))),IF(C1014="Técnico III",SUMIFS($D:$D,$A:$A,$A1014,$B:$B,"&lt;&gt;Patrícia Karla de Sousa Araújo",$B:$B,"&lt;&gt;Lorena Dias de Araujo",$B:$B,"&lt;&gt;Lucas Luiz Romero")*(35/1083),IF(C1014="Técnico II",SUMIFS($D:$D,$A:$A,$A1014,$B:$B,"&lt;&gt;Patrícia Karla de Sousa Araújo",$B:$B,"&lt;&gt;Lorena Dias de Araujo",$B:$B,"&lt;&gt;Lucas Luiz Romero")*(28/1083),IF(C1014="Técnico I",SUMIFS($D:$D,$A:$A,$A1014,$B:$B,"&lt;&gt;Patrícia Karla de Sousa Araújo",$B:$B,"&lt;&gt;Lorena Dias de Araujo",$B:$B,"&lt;&gt;Lucas Luiz Romero")*(23/1083),IF(C1014="JR",SUMIFS($D:$D,$A:$A,$A1014,$B:$B,"&lt;&gt;Patrícia Karla de Sousa Araújo",$B:$B,"&lt;&gt;Lorena Dias de Araujo",$B:$B,"&lt;&gt;Lucas Luiz Romero")*(20/1083),IF(C1014="Estágio",SUMIFS($D:$D,$A:$A,$A1014,$B:$B,"&lt;&gt;Patrícia Karla de Sousa Araújo",$B:$B,"&lt;&gt;Lorena Dias de Araujo",$B:$B,"&lt;&gt;Lucas Luiz Romero")*(10/1083),0)))))),0)</f>
        <v>20</v>
      </c>
      <c r="K1014" s="3">
        <f>I1014-J1014</f>
        <v>1</v>
      </c>
      <c r="L1014" s="3" t="str">
        <f>IF(K1014&lt;-5,"CRÍTICO",IF(K1014&lt;0,"ATENÇÃO",IF(K1014&lt;=5,"BOM","EXCELENTE")))</f>
        <v>BOM</v>
      </c>
      <c r="M1014">
        <v>21</v>
      </c>
      <c r="N1014">
        <v>100</v>
      </c>
      <c r="O1014">
        <v>27.609427609427609</v>
      </c>
    </row>
    <row r="1015" spans="1:15" hidden="1" x14ac:dyDescent="0.25">
      <c r="A1015" s="11">
        <v>46031</v>
      </c>
      <c r="B1015" t="s">
        <v>55</v>
      </c>
      <c r="C1015" t="s">
        <v>48</v>
      </c>
      <c r="D1015">
        <v>25</v>
      </c>
      <c r="E1015">
        <v>19</v>
      </c>
      <c r="F1015">
        <v>17.03</v>
      </c>
      <c r="G1015">
        <v>0</v>
      </c>
      <c r="H1015">
        <v>0</v>
      </c>
      <c r="I1015" s="3">
        <f>E1015+G1015+H1015</f>
        <v>19</v>
      </c>
      <c r="J1015" s="3">
        <f>ROUND(MIN(IF(C1015="Técnico III",35,IF(C1015="Técnico II",28,IF(C1015="Técnico I",23,IF(C1015="JR",20,IF(C1015="Estágio",10,0))))),IF(C1015="Técnico III",SUMIFS($D:$D,$A:$A,$A1015,$B:$B,"&lt;&gt;Patrícia Karla de Sousa Araújo",$B:$B,"&lt;&gt;Lorena Dias de Araujo",$B:$B,"&lt;&gt;Lucas Luiz Romero")*(35/1083),IF(C1015="Técnico II",SUMIFS($D:$D,$A:$A,$A1015,$B:$B,"&lt;&gt;Patrícia Karla de Sousa Araújo",$B:$B,"&lt;&gt;Lorena Dias de Araujo",$B:$B,"&lt;&gt;Lucas Luiz Romero")*(28/1083),IF(C1015="Técnico I",SUMIFS($D:$D,$A:$A,$A1015,$B:$B,"&lt;&gt;Patrícia Karla de Sousa Araújo",$B:$B,"&lt;&gt;Lorena Dias de Araujo",$B:$B,"&lt;&gt;Lucas Luiz Romero")*(23/1083),IF(C1015="JR",SUMIFS($D:$D,$A:$A,$A1015,$B:$B,"&lt;&gt;Patrícia Karla de Sousa Araújo",$B:$B,"&lt;&gt;Lorena Dias de Araujo",$B:$B,"&lt;&gt;Lucas Luiz Romero")*(20/1083),IF(C1015="Estágio",SUMIFS($D:$D,$A:$A,$A1015,$B:$B,"&lt;&gt;Patrícia Karla de Sousa Araújo",$B:$B,"&lt;&gt;Lorena Dias de Araujo",$B:$B,"&lt;&gt;Lucas Luiz Romero")*(10/1083),0)))))),0)</f>
        <v>16</v>
      </c>
      <c r="K1015" s="3">
        <f>I1015-J1015</f>
        <v>3</v>
      </c>
      <c r="L1015" s="3" t="str">
        <f>IF(K1015&lt;-5,"CRÍTICO",IF(K1015&lt;0,"ATENÇÃO",IF(K1015&lt;=5,"BOM","EXCELENTE")))</f>
        <v>BOM</v>
      </c>
      <c r="M1015">
        <v>19</v>
      </c>
      <c r="N1015">
        <v>96.4</v>
      </c>
      <c r="O1015">
        <v>28.764044943820231</v>
      </c>
    </row>
    <row r="1016" spans="1:15" hidden="1" x14ac:dyDescent="0.25">
      <c r="A1016" s="11">
        <v>46031</v>
      </c>
      <c r="B1016" t="s">
        <v>39</v>
      </c>
      <c r="C1016" t="s">
        <v>32</v>
      </c>
      <c r="D1016">
        <v>0</v>
      </c>
      <c r="E1016">
        <v>0</v>
      </c>
      <c r="F1016">
        <v>0</v>
      </c>
      <c r="G1016">
        <v>0</v>
      </c>
      <c r="H1016">
        <v>0</v>
      </c>
      <c r="I1016" s="3">
        <v>0</v>
      </c>
      <c r="J1016" s="3">
        <v>0</v>
      </c>
      <c r="K1016" s="3">
        <v>0</v>
      </c>
      <c r="L1016" s="3" t="str">
        <f>IF(K1016&lt;-5,"CRÍTICO",IF(K1016&lt;0,"ATENÇÃO",IF(K1016&lt;=5,"BOM","EXCELENTE")))</f>
        <v>BOM</v>
      </c>
      <c r="M1016">
        <v>15</v>
      </c>
      <c r="N1016">
        <v>100</v>
      </c>
      <c r="O1016">
        <v>33.980582524271853</v>
      </c>
    </row>
    <row r="1017" spans="1:15" hidden="1" x14ac:dyDescent="0.25">
      <c r="A1017" s="11">
        <v>46031</v>
      </c>
      <c r="B1017" t="s">
        <v>25</v>
      </c>
      <c r="C1017" t="s">
        <v>26</v>
      </c>
      <c r="D1017">
        <v>8</v>
      </c>
      <c r="E1017">
        <v>8</v>
      </c>
      <c r="F1017">
        <v>26.49</v>
      </c>
      <c r="G1017">
        <v>0</v>
      </c>
      <c r="H1017">
        <v>0</v>
      </c>
      <c r="I1017" s="3">
        <f>E1017+G1017+H1017</f>
        <v>8</v>
      </c>
      <c r="J1017" s="3">
        <f>ROUND(MIN(IF(C1017="Técnico III",35,IF(C1017="Técnico II",28,IF(C1017="Técnico I",23,IF(C1017="JR",20,IF(C1017="Estágio",10,0))))),IF(C1017="Técnico III",SUMIFS($D:$D,$A:$A,$A1017,$B:$B,"&lt;&gt;Patrícia Karla de Sousa Araújo",$B:$B,"&lt;&gt;Lorena Dias de Araujo",$B:$B,"&lt;&gt;Lucas Luiz Romero")*(35/1083),IF(C1017="Técnico II",SUMIFS($D:$D,$A:$A,$A1017,$B:$B,"&lt;&gt;Patrícia Karla de Sousa Araújo",$B:$B,"&lt;&gt;Lorena Dias de Araujo",$B:$B,"&lt;&gt;Lucas Luiz Romero")*(28/1083),IF(C1017="Técnico I",SUMIFS($D:$D,$A:$A,$A1017,$B:$B,"&lt;&gt;Patrícia Karla de Sousa Araújo",$B:$B,"&lt;&gt;Lorena Dias de Araujo",$B:$B,"&lt;&gt;Lucas Luiz Romero")*(23/1083),IF(C1017="JR",SUMIFS($D:$D,$A:$A,$A1017,$B:$B,"&lt;&gt;Patrícia Karla de Sousa Araújo",$B:$B,"&lt;&gt;Lorena Dias de Araujo",$B:$B,"&lt;&gt;Lucas Luiz Romero")*(20/1083),IF(C1017="Estágio",SUMIFS($D:$D,$A:$A,$A1017,$B:$B,"&lt;&gt;Patrícia Karla de Sousa Araújo",$B:$B,"&lt;&gt;Lorena Dias de Araujo",$B:$B,"&lt;&gt;Lucas Luiz Romero")*(10/1083),0)))))),0)</f>
        <v>12</v>
      </c>
      <c r="K1017" s="3">
        <f>I1017-J1017</f>
        <v>-4</v>
      </c>
      <c r="L1017" s="3" t="str">
        <f>IF(K1017&lt;-5,"CRÍTICO",IF(K1017&lt;0,"ATENÇÃO",IF(K1017&lt;=5,"BOM","EXCELENTE")))</f>
        <v>ATENÇÃO</v>
      </c>
      <c r="M1017">
        <v>8</v>
      </c>
      <c r="N1017">
        <v>97.56</v>
      </c>
      <c r="O1017">
        <v>32.515337423312893</v>
      </c>
    </row>
    <row r="1018" spans="1:15" hidden="1" x14ac:dyDescent="0.25">
      <c r="A1018" s="11">
        <v>46031</v>
      </c>
      <c r="B1018" t="s">
        <v>40</v>
      </c>
      <c r="C1018" t="s">
        <v>32</v>
      </c>
      <c r="D1018">
        <v>21</v>
      </c>
      <c r="E1018">
        <v>19</v>
      </c>
      <c r="F1018">
        <v>15.59</v>
      </c>
      <c r="G1018">
        <v>0</v>
      </c>
      <c r="H1018">
        <v>0</v>
      </c>
      <c r="I1018" s="3">
        <f>E1018+G1018+H1018</f>
        <v>19</v>
      </c>
      <c r="J1018" s="3">
        <f>ROUND(MIN(IF(C1018="Técnico III",35,IF(C1018="Técnico II",28,IF(C1018="Técnico I",23,IF(C1018="JR",20,IF(C1018="Estágio",10,0))))),IF(C1018="Técnico III",SUMIFS($D:$D,$A:$A,$A1018,$B:$B,"&lt;&gt;Patrícia Karla de Sousa Araújo",$B:$B,"&lt;&gt;Lorena Dias de Araujo",$B:$B,"&lt;&gt;Lucas Luiz Romero")*(35/1083),IF(C1018="Técnico II",SUMIFS($D:$D,$A:$A,$A1018,$B:$B,"&lt;&gt;Patrícia Karla de Sousa Araújo",$B:$B,"&lt;&gt;Lorena Dias de Araujo",$B:$B,"&lt;&gt;Lucas Luiz Romero")*(28/1083),IF(C1018="Técnico I",SUMIFS($D:$D,$A:$A,$A1018,$B:$B,"&lt;&gt;Patrícia Karla de Sousa Araújo",$B:$B,"&lt;&gt;Lorena Dias de Araujo",$B:$B,"&lt;&gt;Lucas Luiz Romero")*(23/1083),IF(C1018="JR",SUMIFS($D:$D,$A:$A,$A1018,$B:$B,"&lt;&gt;Patrícia Karla de Sousa Araújo",$B:$B,"&lt;&gt;Lorena Dias de Araujo",$B:$B,"&lt;&gt;Lucas Luiz Romero")*(20/1083),IF(C1018="Estágio",SUMIFS($D:$D,$A:$A,$A1018,$B:$B,"&lt;&gt;Patrícia Karla de Sousa Araújo",$B:$B,"&lt;&gt;Lorena Dias de Araujo",$B:$B,"&lt;&gt;Lucas Luiz Romero")*(10/1083),0)))))),0)</f>
        <v>20</v>
      </c>
      <c r="K1018" s="3">
        <f>I1018-J1018</f>
        <v>-1</v>
      </c>
      <c r="L1018" s="3" t="str">
        <f>IF(K1018&lt;-5,"CRÍTICO",IF(K1018&lt;0,"ATENÇÃO",IF(K1018&lt;=5,"BOM","EXCELENTE")))</f>
        <v>ATENÇÃO</v>
      </c>
      <c r="M1018">
        <v>18</v>
      </c>
      <c r="N1018">
        <v>97.11</v>
      </c>
      <c r="O1018">
        <v>37.408312958435211</v>
      </c>
    </row>
    <row r="1019" spans="1:15" hidden="1" x14ac:dyDescent="0.25">
      <c r="A1019" s="11">
        <v>46031</v>
      </c>
      <c r="B1019" t="s">
        <v>27</v>
      </c>
      <c r="C1019" t="s">
        <v>26</v>
      </c>
      <c r="D1019">
        <v>0</v>
      </c>
      <c r="E1019">
        <v>0</v>
      </c>
      <c r="F1019">
        <v>0</v>
      </c>
      <c r="G1019">
        <v>0</v>
      </c>
      <c r="H1019">
        <v>0</v>
      </c>
      <c r="I1019" s="3">
        <v>0</v>
      </c>
      <c r="J1019" s="3">
        <v>0</v>
      </c>
      <c r="K1019" s="3">
        <v>0</v>
      </c>
      <c r="L1019" s="3" t="str">
        <f>IF(K1019&lt;-5,"CRÍTICO",IF(K1019&lt;0,"ATENÇÃO",IF(K1019&lt;=5,"BOM","EXCELENTE")))</f>
        <v>BOM</v>
      </c>
      <c r="M1019">
        <v>0</v>
      </c>
      <c r="N1019">
        <v>0</v>
      </c>
      <c r="O1019">
        <v>0</v>
      </c>
    </row>
    <row r="1020" spans="1:15" hidden="1" x14ac:dyDescent="0.25">
      <c r="A1020" s="11">
        <v>46031</v>
      </c>
      <c r="B1020" t="s">
        <v>41</v>
      </c>
      <c r="C1020" t="s">
        <v>32</v>
      </c>
      <c r="D1020">
        <v>28</v>
      </c>
      <c r="E1020">
        <v>24</v>
      </c>
      <c r="F1020">
        <v>15.43</v>
      </c>
      <c r="G1020">
        <v>0</v>
      </c>
      <c r="H1020">
        <v>0</v>
      </c>
      <c r="I1020" s="3">
        <f>E1020+G1020+H1020</f>
        <v>24</v>
      </c>
      <c r="J1020" s="3">
        <f>ROUND(MIN(IF(C1020="Técnico III",35,IF(C1020="Técnico II",28,IF(C1020="Técnico I",23,IF(C1020="JR",20,IF(C1020="Estágio",10,0))))),IF(C1020="Técnico III",SUMIFS($D:$D,$A:$A,$A1020,$B:$B,"&lt;&gt;Patrícia Karla de Sousa Araújo",$B:$B,"&lt;&gt;Lorena Dias de Araujo",$B:$B,"&lt;&gt;Lucas Luiz Romero")*(35/1083),IF(C1020="Técnico II",SUMIFS($D:$D,$A:$A,$A1020,$B:$B,"&lt;&gt;Patrícia Karla de Sousa Araújo",$B:$B,"&lt;&gt;Lorena Dias de Araujo",$B:$B,"&lt;&gt;Lucas Luiz Romero")*(28/1083),IF(C1020="Técnico I",SUMIFS($D:$D,$A:$A,$A1020,$B:$B,"&lt;&gt;Patrícia Karla de Sousa Araújo",$B:$B,"&lt;&gt;Lorena Dias de Araujo",$B:$B,"&lt;&gt;Lucas Luiz Romero")*(23/1083),IF(C1020="JR",SUMIFS($D:$D,$A:$A,$A1020,$B:$B,"&lt;&gt;Patrícia Karla de Sousa Araújo",$B:$B,"&lt;&gt;Lorena Dias de Araujo",$B:$B,"&lt;&gt;Lucas Luiz Romero")*(20/1083),IF(C1020="Estágio",SUMIFS($D:$D,$A:$A,$A1020,$B:$B,"&lt;&gt;Patrícia Karla de Sousa Araújo",$B:$B,"&lt;&gt;Lorena Dias de Araujo",$B:$B,"&lt;&gt;Lucas Luiz Romero")*(10/1083),0)))))),0)</f>
        <v>20</v>
      </c>
      <c r="K1020" s="3">
        <f>I1020-J1020</f>
        <v>4</v>
      </c>
      <c r="L1020" s="3" t="str">
        <f>IF(K1020&lt;-5,"CRÍTICO",IF(K1020&lt;0,"ATENÇÃO",IF(K1020&lt;=5,"BOM","EXCELENTE")))</f>
        <v>BOM</v>
      </c>
      <c r="M1020">
        <v>26</v>
      </c>
      <c r="N1020">
        <v>100</v>
      </c>
      <c r="O1020">
        <v>30.470347648261761</v>
      </c>
    </row>
    <row r="1021" spans="1:15" hidden="1" x14ac:dyDescent="0.25">
      <c r="A1021" s="11">
        <v>46031</v>
      </c>
      <c r="B1021" t="s">
        <v>56</v>
      </c>
      <c r="C1021" t="s">
        <v>48</v>
      </c>
      <c r="D1021">
        <v>30</v>
      </c>
      <c r="E1021">
        <v>28</v>
      </c>
      <c r="F1021">
        <v>18.45</v>
      </c>
      <c r="G1021">
        <v>0</v>
      </c>
      <c r="H1021">
        <v>0</v>
      </c>
      <c r="I1021" s="3">
        <f>E1021+G1021+H1021</f>
        <v>28</v>
      </c>
      <c r="J1021" s="3">
        <f>ROUND(MIN(IF(C1021="Técnico III",35,IF(C1021="Técnico II",28,IF(C1021="Técnico I",23,IF(C1021="JR",20,IF(C1021="Estágio",10,0))))),IF(C1021="Técnico III",SUMIFS($D:$D,$A:$A,$A1021,$B:$B,"&lt;&gt;Patrícia Karla de Sousa Araújo",$B:$B,"&lt;&gt;Lorena Dias de Araujo",$B:$B,"&lt;&gt;Lucas Luiz Romero")*(35/1083),IF(C1021="Técnico II",SUMIFS($D:$D,$A:$A,$A1021,$B:$B,"&lt;&gt;Patrícia Karla de Sousa Araújo",$B:$B,"&lt;&gt;Lorena Dias de Araujo",$B:$B,"&lt;&gt;Lucas Luiz Romero")*(28/1083),IF(C1021="Técnico I",SUMIFS($D:$D,$A:$A,$A1021,$B:$B,"&lt;&gt;Patrícia Karla de Sousa Araújo",$B:$B,"&lt;&gt;Lorena Dias de Araujo",$B:$B,"&lt;&gt;Lucas Luiz Romero")*(23/1083),IF(C1021="JR",SUMIFS($D:$D,$A:$A,$A1021,$B:$B,"&lt;&gt;Patrícia Karla de Sousa Araújo",$B:$B,"&lt;&gt;Lorena Dias de Araujo",$B:$B,"&lt;&gt;Lucas Luiz Romero")*(20/1083),IF(C1021="Estágio",SUMIFS($D:$D,$A:$A,$A1021,$B:$B,"&lt;&gt;Patrícia Karla de Sousa Araújo",$B:$B,"&lt;&gt;Lorena Dias de Araujo",$B:$B,"&lt;&gt;Lucas Luiz Romero")*(10/1083),0)))))),0)</f>
        <v>16</v>
      </c>
      <c r="K1021" s="3">
        <f>I1021-J1021</f>
        <v>12</v>
      </c>
      <c r="L1021" s="3" t="str">
        <f>IF(K1021&lt;-5,"CRÍTICO",IF(K1021&lt;0,"ATENÇÃO",IF(K1021&lt;=5,"BOM","EXCELENTE")))</f>
        <v>EXCELENTE</v>
      </c>
      <c r="M1021">
        <v>24</v>
      </c>
      <c r="N1021">
        <v>100</v>
      </c>
      <c r="O1021">
        <v>32.371134020618562</v>
      </c>
    </row>
    <row r="1022" spans="1:15" hidden="1" x14ac:dyDescent="0.25">
      <c r="A1022" s="11">
        <v>46031</v>
      </c>
      <c r="B1022" t="s">
        <v>57</v>
      </c>
      <c r="C1022" t="s">
        <v>48</v>
      </c>
      <c r="D1022">
        <v>21</v>
      </c>
      <c r="E1022">
        <v>17</v>
      </c>
      <c r="F1022">
        <v>17.12</v>
      </c>
      <c r="G1022">
        <v>0</v>
      </c>
      <c r="H1022">
        <v>0</v>
      </c>
      <c r="I1022" s="3">
        <v>0</v>
      </c>
      <c r="J1022" s="3">
        <v>0</v>
      </c>
      <c r="K1022" s="3">
        <v>0</v>
      </c>
      <c r="L1022" s="3" t="str">
        <f>IF(K1022&lt;-5,"CRÍTICO",IF(K1022&lt;0,"ATENÇÃO",IF(K1022&lt;=5,"BOM","EXCELENTE")))</f>
        <v>BOM</v>
      </c>
      <c r="M1022">
        <v>16</v>
      </c>
      <c r="N1022">
        <v>98.32</v>
      </c>
      <c r="O1022">
        <v>32.318501170960189</v>
      </c>
    </row>
    <row r="1023" spans="1:15" hidden="1" x14ac:dyDescent="0.25">
      <c r="A1023" s="11">
        <v>46031</v>
      </c>
      <c r="B1023" t="s">
        <v>42</v>
      </c>
      <c r="C1023" t="s">
        <v>32</v>
      </c>
      <c r="D1023">
        <v>44</v>
      </c>
      <c r="E1023">
        <v>34</v>
      </c>
      <c r="F1023">
        <v>12.04</v>
      </c>
      <c r="G1023">
        <v>0</v>
      </c>
      <c r="H1023">
        <v>0</v>
      </c>
      <c r="I1023" s="3">
        <f>E1023+G1023+H1023</f>
        <v>34</v>
      </c>
      <c r="J1023" s="3">
        <f>ROUND(MIN(IF(C1023="Técnico III",35,IF(C1023="Técnico II",28,IF(C1023="Técnico I",23,IF(C1023="JR",20,IF(C1023="Estágio",10,0))))),IF(C1023="Técnico III",SUMIFS($D:$D,$A:$A,$A1023,$B:$B,"&lt;&gt;Patrícia Karla de Sousa Araújo",$B:$B,"&lt;&gt;Lorena Dias de Araujo",$B:$B,"&lt;&gt;Lucas Luiz Romero")*(35/1083),IF(C1023="Técnico II",SUMIFS($D:$D,$A:$A,$A1023,$B:$B,"&lt;&gt;Patrícia Karla de Sousa Araújo",$B:$B,"&lt;&gt;Lorena Dias de Araujo",$B:$B,"&lt;&gt;Lucas Luiz Romero")*(28/1083),IF(C1023="Técnico I",SUMIFS($D:$D,$A:$A,$A1023,$B:$B,"&lt;&gt;Patrícia Karla de Sousa Araújo",$B:$B,"&lt;&gt;Lorena Dias de Araujo",$B:$B,"&lt;&gt;Lucas Luiz Romero")*(23/1083),IF(C1023="JR",SUMIFS($D:$D,$A:$A,$A1023,$B:$B,"&lt;&gt;Patrícia Karla de Sousa Araújo",$B:$B,"&lt;&gt;Lorena Dias de Araujo",$B:$B,"&lt;&gt;Lucas Luiz Romero")*(20/1083),IF(C1023="Estágio",SUMIFS($D:$D,$A:$A,$A1023,$B:$B,"&lt;&gt;Patrícia Karla de Sousa Araújo",$B:$B,"&lt;&gt;Lorena Dias de Araujo",$B:$B,"&lt;&gt;Lucas Luiz Romero")*(10/1083),0)))))),0)</f>
        <v>20</v>
      </c>
      <c r="K1023" s="3">
        <f>I1023-J1023</f>
        <v>14</v>
      </c>
      <c r="L1023" s="3" t="str">
        <f>IF(K1023&lt;-5,"CRÍTICO",IF(K1023&lt;0,"ATENÇÃO",IF(K1023&lt;=5,"BOM","EXCELENTE")))</f>
        <v>EXCELENTE</v>
      </c>
      <c r="M1023">
        <v>29</v>
      </c>
      <c r="N1023">
        <v>96.43</v>
      </c>
      <c r="O1023">
        <v>27.015250544662312</v>
      </c>
    </row>
    <row r="1024" spans="1:15" hidden="1" x14ac:dyDescent="0.25">
      <c r="A1024" s="11">
        <v>46031</v>
      </c>
      <c r="B1024" t="s">
        <v>62</v>
      </c>
      <c r="C1024" t="s">
        <v>23</v>
      </c>
      <c r="D1024">
        <v>14</v>
      </c>
      <c r="E1024">
        <v>14</v>
      </c>
      <c r="F1024">
        <v>30.13</v>
      </c>
      <c r="G1024">
        <v>0</v>
      </c>
      <c r="H1024">
        <v>0</v>
      </c>
      <c r="I1024" s="3">
        <f>E1024+G1024+H1024</f>
        <v>14</v>
      </c>
      <c r="J1024" s="3">
        <f>ROUND(MIN(IF(C1024="Técnico III",35,IF(C1024="Técnico II",28,IF(C1024="Técnico I",23,IF(C1024="JR",20,IF(C1024="Estágio",10,0))))),IF(C1024="Técnico III",SUMIFS($D:$D,$A:$A,$A1024,$B:$B,"&lt;&gt;Patrícia Karla de Sousa Araújo",$B:$B,"&lt;&gt;Lorena Dias de Araujo",$B:$B,"&lt;&gt;Lucas Luiz Romero")*(35/1083),IF(C1024="Técnico II",SUMIFS($D:$D,$A:$A,$A1024,$B:$B,"&lt;&gt;Patrícia Karla de Sousa Araújo",$B:$B,"&lt;&gt;Lorena Dias de Araujo",$B:$B,"&lt;&gt;Lucas Luiz Romero")*(28/1083),IF(C1024="Técnico I",SUMIFS($D:$D,$A:$A,$A1024,$B:$B,"&lt;&gt;Patrícia Karla de Sousa Araújo",$B:$B,"&lt;&gt;Lorena Dias de Araujo",$B:$B,"&lt;&gt;Lucas Luiz Romero")*(23/1083),IF(C1024="JR",SUMIFS($D:$D,$A:$A,$A1024,$B:$B,"&lt;&gt;Patrícia Karla de Sousa Araújo",$B:$B,"&lt;&gt;Lorena Dias de Araujo",$B:$B,"&lt;&gt;Lucas Luiz Romero")*(20/1083),IF(C1024="Estágio",SUMIFS($D:$D,$A:$A,$A1024,$B:$B,"&lt;&gt;Patrícia Karla de Sousa Araújo",$B:$B,"&lt;&gt;Lorena Dias de Araujo",$B:$B,"&lt;&gt;Lucas Luiz Romero")*(10/1083),0)))))),0)</f>
        <v>13</v>
      </c>
      <c r="K1024" s="3">
        <f>I1024-J1024</f>
        <v>1</v>
      </c>
      <c r="L1024" s="3" t="str">
        <f>IF(K1024&lt;-5,"CRÍTICO",IF(K1024&lt;0,"ATENÇÃO",IF(K1024&lt;=5,"BOM","EXCELENTE")))</f>
        <v>BOM</v>
      </c>
      <c r="M1024">
        <v>12</v>
      </c>
      <c r="N1024">
        <v>98.89</v>
      </c>
      <c r="O1024">
        <v>28.021978021978018</v>
      </c>
    </row>
    <row r="1025" spans="1:15" hidden="1" x14ac:dyDescent="0.25">
      <c r="A1025" s="11">
        <v>46031</v>
      </c>
      <c r="B1025" t="s">
        <v>19</v>
      </c>
      <c r="C1025" t="s">
        <v>16</v>
      </c>
      <c r="D1025">
        <v>12</v>
      </c>
      <c r="E1025">
        <v>10</v>
      </c>
      <c r="F1025">
        <v>21.46</v>
      </c>
      <c r="G1025">
        <v>0</v>
      </c>
      <c r="H1025">
        <v>0</v>
      </c>
      <c r="I1025" s="3">
        <f>E1025+G1025+H1025</f>
        <v>10</v>
      </c>
      <c r="J1025" s="3">
        <f>ROUND(MIN(IF(C1025="Técnico III",35,IF(C1025="Técnico II",28,IF(C1025="Técnico I",23,IF(C1025="JR",20,IF(C1025="Estágio",10,0))))),IF(C1025="Técnico III",SUMIFS($D:$D,$A:$A,$A1025,$B:$B,"&lt;&gt;Patrícia Karla de Sousa Araújo",$B:$B,"&lt;&gt;Lorena Dias de Araujo",$B:$B,"&lt;&gt;Lucas Luiz Romero")*(35/1083),IF(C1025="Técnico II",SUMIFS($D:$D,$A:$A,$A1025,$B:$B,"&lt;&gt;Patrícia Karla de Sousa Araújo",$B:$B,"&lt;&gt;Lorena Dias de Araujo",$B:$B,"&lt;&gt;Lucas Luiz Romero")*(28/1083),IF(C1025="Técnico I",SUMIFS($D:$D,$A:$A,$A1025,$B:$B,"&lt;&gt;Patrícia Karla de Sousa Araújo",$B:$B,"&lt;&gt;Lorena Dias de Araujo",$B:$B,"&lt;&gt;Lucas Luiz Romero")*(23/1083),IF(C1025="JR",SUMIFS($D:$D,$A:$A,$A1025,$B:$B,"&lt;&gt;Patrícia Karla de Sousa Araújo",$B:$B,"&lt;&gt;Lorena Dias de Araujo",$B:$B,"&lt;&gt;Lucas Luiz Romero")*(20/1083),IF(C1025="Estágio",SUMIFS($D:$D,$A:$A,$A1025,$B:$B,"&lt;&gt;Patrícia Karla de Sousa Araújo",$B:$B,"&lt;&gt;Lorena Dias de Araujo",$B:$B,"&lt;&gt;Lucas Luiz Romero")*(10/1083),0)))))),0)</f>
        <v>6</v>
      </c>
      <c r="K1025" s="3">
        <f>I1025-J1025</f>
        <v>4</v>
      </c>
      <c r="L1025" s="3" t="str">
        <f>IF(K1025&lt;-5,"CRÍTICO",IF(K1025&lt;0,"ATENÇÃO",IF(K1025&lt;=5,"BOM","EXCELENTE")))</f>
        <v>BOM</v>
      </c>
      <c r="M1025">
        <v>8</v>
      </c>
      <c r="N1025">
        <v>100</v>
      </c>
      <c r="O1025">
        <v>33.333333333333329</v>
      </c>
    </row>
    <row r="1026" spans="1:15" hidden="1" x14ac:dyDescent="0.25">
      <c r="A1026" s="11">
        <v>46031</v>
      </c>
      <c r="B1026" t="s">
        <v>43</v>
      </c>
      <c r="C1026" t="s">
        <v>32</v>
      </c>
      <c r="D1026">
        <v>0</v>
      </c>
      <c r="E1026">
        <v>0</v>
      </c>
      <c r="F1026">
        <v>0</v>
      </c>
      <c r="G1026">
        <v>0</v>
      </c>
      <c r="H1026">
        <v>0</v>
      </c>
      <c r="I1026" s="3">
        <v>0</v>
      </c>
      <c r="J1026" s="3">
        <v>0</v>
      </c>
      <c r="K1026" s="3">
        <v>0</v>
      </c>
      <c r="L1026" s="3" t="str">
        <f>IF(K1026&lt;-5,"CRÍTICO",IF(K1026&lt;0,"ATENÇÃO",IF(K1026&lt;=5,"BOM","EXCELENTE")))</f>
        <v>BOM</v>
      </c>
      <c r="M1026">
        <v>0</v>
      </c>
      <c r="N1026">
        <v>100</v>
      </c>
      <c r="O1026">
        <v>27.43362831858407</v>
      </c>
    </row>
    <row r="1027" spans="1:15" hidden="1" x14ac:dyDescent="0.25">
      <c r="A1027" s="11">
        <v>46031</v>
      </c>
      <c r="B1027" t="s">
        <v>44</v>
      </c>
      <c r="C1027" t="s">
        <v>32</v>
      </c>
      <c r="D1027">
        <v>37</v>
      </c>
      <c r="E1027">
        <v>29</v>
      </c>
      <c r="F1027">
        <v>8.36</v>
      </c>
      <c r="G1027">
        <v>0</v>
      </c>
      <c r="H1027">
        <v>0</v>
      </c>
      <c r="I1027" s="3">
        <f>E1027+G1027+H1027</f>
        <v>29</v>
      </c>
      <c r="J1027" s="3">
        <f>ROUND(MIN(IF(C1027="Técnico III",35,IF(C1027="Técnico II",28,IF(C1027="Técnico I",23,IF(C1027="JR",20,IF(C1027="Estágio",10,0))))),IF(C1027="Técnico III",SUMIFS($D:$D,$A:$A,$A1027,$B:$B,"&lt;&gt;Patrícia Karla de Sousa Araújo",$B:$B,"&lt;&gt;Lorena Dias de Araujo",$B:$B,"&lt;&gt;Lucas Luiz Romero")*(35/1083),IF(C1027="Técnico II",SUMIFS($D:$D,$A:$A,$A1027,$B:$B,"&lt;&gt;Patrícia Karla de Sousa Araújo",$B:$B,"&lt;&gt;Lorena Dias de Araujo",$B:$B,"&lt;&gt;Lucas Luiz Romero")*(28/1083),IF(C1027="Técnico I",SUMIFS($D:$D,$A:$A,$A1027,$B:$B,"&lt;&gt;Patrícia Karla de Sousa Araújo",$B:$B,"&lt;&gt;Lorena Dias de Araujo",$B:$B,"&lt;&gt;Lucas Luiz Romero")*(23/1083),IF(C1027="JR",SUMIFS($D:$D,$A:$A,$A1027,$B:$B,"&lt;&gt;Patrícia Karla de Sousa Araújo",$B:$B,"&lt;&gt;Lorena Dias de Araujo",$B:$B,"&lt;&gt;Lucas Luiz Romero")*(20/1083),IF(C1027="Estágio",SUMIFS($D:$D,$A:$A,$A1027,$B:$B,"&lt;&gt;Patrícia Karla de Sousa Araújo",$B:$B,"&lt;&gt;Lorena Dias de Araujo",$B:$B,"&lt;&gt;Lucas Luiz Romero")*(10/1083),0)))))),0)</f>
        <v>20</v>
      </c>
      <c r="K1027" s="3">
        <f>I1027-J1027</f>
        <v>9</v>
      </c>
      <c r="L1027" s="3" t="str">
        <f>IF(K1027&lt;-5,"CRÍTICO",IF(K1027&lt;0,"ATENÇÃO",IF(K1027&lt;=5,"BOM","EXCELENTE")))</f>
        <v>EXCELENTE</v>
      </c>
      <c r="M1027">
        <v>24</v>
      </c>
      <c r="N1027">
        <v>98.65</v>
      </c>
      <c r="O1027">
        <v>30.978260869565219</v>
      </c>
    </row>
    <row r="1028" spans="1:15" hidden="1" x14ac:dyDescent="0.25">
      <c r="A1028" s="11">
        <v>46031</v>
      </c>
      <c r="B1028" t="s">
        <v>20</v>
      </c>
      <c r="C1028" t="s">
        <v>16</v>
      </c>
      <c r="D1028">
        <v>0</v>
      </c>
      <c r="E1028">
        <v>0</v>
      </c>
      <c r="F1028">
        <v>0</v>
      </c>
      <c r="G1028">
        <v>0</v>
      </c>
      <c r="H1028">
        <v>0</v>
      </c>
      <c r="I1028" s="3">
        <v>0</v>
      </c>
      <c r="J1028" s="3">
        <v>0</v>
      </c>
      <c r="K1028" s="3">
        <v>0</v>
      </c>
      <c r="L1028" s="3" t="str">
        <f>IF(K1028&lt;-5,"CRÍTICO",IF(K1028&lt;0,"ATENÇÃO",IF(K1028&lt;=5,"BOM","EXCELENTE")))</f>
        <v>BOM</v>
      </c>
      <c r="M1028">
        <v>0</v>
      </c>
      <c r="N1028">
        <v>100</v>
      </c>
      <c r="O1028">
        <v>12</v>
      </c>
    </row>
    <row r="1029" spans="1:15" hidden="1" x14ac:dyDescent="0.25">
      <c r="A1029" s="11">
        <v>46031</v>
      </c>
      <c r="B1029" t="s">
        <v>28</v>
      </c>
      <c r="C1029" t="s">
        <v>26</v>
      </c>
      <c r="D1029">
        <v>0</v>
      </c>
      <c r="E1029">
        <v>0</v>
      </c>
      <c r="F1029">
        <v>0</v>
      </c>
      <c r="G1029">
        <v>0</v>
      </c>
      <c r="H1029">
        <v>0</v>
      </c>
      <c r="I1029" s="3">
        <v>0</v>
      </c>
      <c r="J1029" s="3">
        <v>0</v>
      </c>
      <c r="K1029" s="3">
        <v>0</v>
      </c>
      <c r="L1029" s="3" t="str">
        <f>IF(K1029&lt;-5,"CRÍTICO",IF(K1029&lt;0,"ATENÇÃO",IF(K1029&lt;=5,"BOM","EXCELENTE")))</f>
        <v>BOM</v>
      </c>
      <c r="M1029">
        <v>0</v>
      </c>
      <c r="N1029">
        <v>0</v>
      </c>
      <c r="O1029">
        <v>0</v>
      </c>
    </row>
    <row r="1030" spans="1:15" hidden="1" x14ac:dyDescent="0.25">
      <c r="A1030" s="11">
        <v>46031</v>
      </c>
      <c r="B1030" t="s">
        <v>58</v>
      </c>
      <c r="C1030" t="s">
        <v>48</v>
      </c>
      <c r="D1030">
        <v>24</v>
      </c>
      <c r="E1030">
        <v>20</v>
      </c>
      <c r="F1030">
        <v>12.24</v>
      </c>
      <c r="G1030">
        <v>0</v>
      </c>
      <c r="H1030">
        <v>0</v>
      </c>
      <c r="I1030" s="3">
        <f>E1030+G1030+H1030</f>
        <v>20</v>
      </c>
      <c r="J1030" s="3">
        <f>ROUND(MIN(IF(C1030="Técnico III",35,IF(C1030="Técnico II",28,IF(C1030="Técnico I",23,IF(C1030="JR",20,IF(C1030="Estágio",10,0))))),IF(C1030="Técnico III",SUMIFS($D:$D,$A:$A,$A1030,$B:$B,"&lt;&gt;Patrícia Karla de Sousa Araújo",$B:$B,"&lt;&gt;Lorena Dias de Araujo",$B:$B,"&lt;&gt;Lucas Luiz Romero")*(35/1083),IF(C1030="Técnico II",SUMIFS($D:$D,$A:$A,$A1030,$B:$B,"&lt;&gt;Patrícia Karla de Sousa Araújo",$B:$B,"&lt;&gt;Lorena Dias de Araujo",$B:$B,"&lt;&gt;Lucas Luiz Romero")*(28/1083),IF(C1030="Técnico I",SUMIFS($D:$D,$A:$A,$A1030,$B:$B,"&lt;&gt;Patrícia Karla de Sousa Araújo",$B:$B,"&lt;&gt;Lorena Dias de Araujo",$B:$B,"&lt;&gt;Lucas Luiz Romero")*(23/1083),IF(C1030="JR",SUMIFS($D:$D,$A:$A,$A1030,$B:$B,"&lt;&gt;Patrícia Karla de Sousa Araújo",$B:$B,"&lt;&gt;Lorena Dias de Araujo",$B:$B,"&lt;&gt;Lucas Luiz Romero")*(20/1083),IF(C1030="Estágio",SUMIFS($D:$D,$A:$A,$A1030,$B:$B,"&lt;&gt;Patrícia Karla de Sousa Araújo",$B:$B,"&lt;&gt;Lorena Dias de Araujo",$B:$B,"&lt;&gt;Lucas Luiz Romero")*(10/1083),0)))))),0)</f>
        <v>16</v>
      </c>
      <c r="K1030" s="3">
        <f>I1030-J1030</f>
        <v>4</v>
      </c>
      <c r="L1030" s="3" t="str">
        <f>IF(K1030&lt;-5,"CRÍTICO",IF(K1030&lt;0,"ATENÇÃO",IF(K1030&lt;=5,"BOM","EXCELENTE")))</f>
        <v>BOM</v>
      </c>
      <c r="M1030">
        <v>15</v>
      </c>
      <c r="N1030">
        <v>97.56</v>
      </c>
      <c r="O1030">
        <v>31.067961165048541</v>
      </c>
    </row>
    <row r="1031" spans="1:15" hidden="1" x14ac:dyDescent="0.25">
      <c r="A1031" s="11">
        <v>46031</v>
      </c>
      <c r="B1031" t="s">
        <v>29</v>
      </c>
      <c r="C1031" t="s">
        <v>26</v>
      </c>
      <c r="D1031">
        <v>0</v>
      </c>
      <c r="E1031">
        <v>0</v>
      </c>
      <c r="F1031">
        <v>0</v>
      </c>
      <c r="G1031">
        <v>0</v>
      </c>
      <c r="H1031">
        <v>0</v>
      </c>
      <c r="I1031" s="3">
        <v>0</v>
      </c>
      <c r="J1031" s="3">
        <v>0</v>
      </c>
      <c r="K1031" s="3">
        <v>0</v>
      </c>
      <c r="L1031" s="3" t="str">
        <f>IF(K1031&lt;-5,"CRÍTICO",IF(K1031&lt;0,"ATENÇÃO",IF(K1031&lt;=5,"BOM","EXCELENTE")))</f>
        <v>BOM</v>
      </c>
      <c r="M1031">
        <v>0</v>
      </c>
      <c r="N1031">
        <v>0</v>
      </c>
      <c r="O1031">
        <v>0</v>
      </c>
    </row>
    <row r="1032" spans="1:15" hidden="1" x14ac:dyDescent="0.25">
      <c r="A1032" s="11">
        <v>46031</v>
      </c>
      <c r="B1032" t="s">
        <v>30</v>
      </c>
      <c r="C1032" t="s">
        <v>26</v>
      </c>
      <c r="D1032">
        <v>0</v>
      </c>
      <c r="E1032">
        <v>0</v>
      </c>
      <c r="F1032">
        <v>0</v>
      </c>
      <c r="G1032">
        <v>0</v>
      </c>
      <c r="H1032">
        <v>0</v>
      </c>
      <c r="I1032" s="3">
        <v>0</v>
      </c>
      <c r="J1032" s="3">
        <v>0</v>
      </c>
      <c r="K1032" s="3">
        <v>0</v>
      </c>
      <c r="L1032" s="3" t="str">
        <f>IF(K1032&lt;-5,"CRÍTICO",IF(K1032&lt;0,"ATENÇÃO",IF(K1032&lt;=5,"BOM","EXCELENTE")))</f>
        <v>BOM</v>
      </c>
      <c r="M1032">
        <v>0</v>
      </c>
      <c r="N1032">
        <v>0</v>
      </c>
      <c r="O1032">
        <v>0</v>
      </c>
    </row>
    <row r="1033" spans="1:15" hidden="1" x14ac:dyDescent="0.25">
      <c r="A1033" s="11">
        <v>46031</v>
      </c>
      <c r="B1033" t="s">
        <v>21</v>
      </c>
      <c r="C1033" t="s">
        <v>16</v>
      </c>
      <c r="D1033">
        <v>0</v>
      </c>
      <c r="E1033">
        <v>0</v>
      </c>
      <c r="F1033">
        <v>0</v>
      </c>
      <c r="G1033">
        <v>0</v>
      </c>
      <c r="H1033">
        <v>0</v>
      </c>
      <c r="I1033" s="3">
        <v>0</v>
      </c>
      <c r="J1033" s="3">
        <v>0</v>
      </c>
      <c r="K1033" s="3">
        <v>0</v>
      </c>
      <c r="L1033" s="3" t="str">
        <f>IF(K1033&lt;-5,"CRÍTICO",IF(K1033&lt;0,"ATENÇÃO",IF(K1033&lt;=5,"BOM","EXCELENTE")))</f>
        <v>BOM</v>
      </c>
      <c r="M1033">
        <v>0</v>
      </c>
      <c r="N1033">
        <v>0</v>
      </c>
      <c r="O1033">
        <v>0</v>
      </c>
    </row>
    <row r="1034" spans="1:15" hidden="1" x14ac:dyDescent="0.25">
      <c r="A1034" s="11">
        <v>46031</v>
      </c>
      <c r="B1034" t="s">
        <v>63</v>
      </c>
      <c r="C1034" t="s">
        <v>23</v>
      </c>
      <c r="D1034">
        <v>0</v>
      </c>
      <c r="E1034">
        <v>0</v>
      </c>
      <c r="F1034">
        <v>0</v>
      </c>
      <c r="G1034">
        <v>0</v>
      </c>
      <c r="H1034">
        <v>0</v>
      </c>
      <c r="I1034" s="3">
        <v>0</v>
      </c>
      <c r="J1034" s="3">
        <v>0</v>
      </c>
      <c r="K1034" s="3">
        <v>0</v>
      </c>
      <c r="L1034" s="3" t="str">
        <f>IF(K1034&lt;-5,"CRÍTICO",IF(K1034&lt;0,"ATENÇÃO",IF(K1034&lt;=5,"BOM","EXCELENTE")))</f>
        <v>BOM</v>
      </c>
      <c r="M1034">
        <v>0</v>
      </c>
      <c r="N1034">
        <v>100</v>
      </c>
      <c r="O1034">
        <v>53.846153846153847</v>
      </c>
    </row>
    <row r="1035" spans="1:15" hidden="1" x14ac:dyDescent="0.25">
      <c r="A1035" s="11">
        <v>46031</v>
      </c>
      <c r="B1035" t="s">
        <v>45</v>
      </c>
      <c r="C1035" t="s">
        <v>32</v>
      </c>
      <c r="D1035">
        <v>0</v>
      </c>
      <c r="E1035">
        <v>0</v>
      </c>
      <c r="F1035">
        <v>0</v>
      </c>
      <c r="G1035">
        <v>0</v>
      </c>
      <c r="H1035">
        <v>0</v>
      </c>
      <c r="I1035" s="3">
        <v>0</v>
      </c>
      <c r="J1035" s="3">
        <v>0</v>
      </c>
      <c r="K1035" s="3">
        <v>0</v>
      </c>
      <c r="L1035" s="3" t="str">
        <f>IF(K1035&lt;-5,"CRÍTICO",IF(K1035&lt;0,"ATENÇÃO",IF(K1035&lt;=5,"BOM","EXCELENTE")))</f>
        <v>BOM</v>
      </c>
      <c r="M1035">
        <v>0</v>
      </c>
      <c r="N1035">
        <v>100</v>
      </c>
      <c r="O1035">
        <v>44.05594405594406</v>
      </c>
    </row>
    <row r="1036" spans="1:15" hidden="1" x14ac:dyDescent="0.25">
      <c r="A1036" s="11">
        <v>46031</v>
      </c>
      <c r="B1036" t="s">
        <v>64</v>
      </c>
      <c r="C1036" t="s">
        <v>23</v>
      </c>
      <c r="D1036">
        <v>17</v>
      </c>
      <c r="E1036">
        <v>16</v>
      </c>
      <c r="F1036">
        <v>24.06</v>
      </c>
      <c r="G1036">
        <v>0</v>
      </c>
      <c r="H1036">
        <v>0</v>
      </c>
      <c r="I1036" s="3">
        <f>E1036+G1036+H1036</f>
        <v>16</v>
      </c>
      <c r="J1036" s="3">
        <f>ROUND(MIN(IF(C1036="Técnico III",35,IF(C1036="Técnico II",28,IF(C1036="Técnico I",23,IF(C1036="JR",20,IF(C1036="Estágio",10,0))))),IF(C1036="Técnico III",SUMIFS($D:$D,$A:$A,$A1036,$B:$B,"&lt;&gt;Patrícia Karla de Sousa Araújo",$B:$B,"&lt;&gt;Lorena Dias de Araujo",$B:$B,"&lt;&gt;Lucas Luiz Romero")*(35/1083),IF(C1036="Técnico II",SUMIFS($D:$D,$A:$A,$A1036,$B:$B,"&lt;&gt;Patrícia Karla de Sousa Araújo",$B:$B,"&lt;&gt;Lorena Dias de Araujo",$B:$B,"&lt;&gt;Lucas Luiz Romero")*(28/1083),IF(C1036="Técnico I",SUMIFS($D:$D,$A:$A,$A1036,$B:$B,"&lt;&gt;Patrícia Karla de Sousa Araújo",$B:$B,"&lt;&gt;Lorena Dias de Araujo",$B:$B,"&lt;&gt;Lucas Luiz Romero")*(23/1083),IF(C1036="JR",SUMIFS($D:$D,$A:$A,$A1036,$B:$B,"&lt;&gt;Patrícia Karla de Sousa Araújo",$B:$B,"&lt;&gt;Lorena Dias de Araujo",$B:$B,"&lt;&gt;Lucas Luiz Romero")*(20/1083),IF(C1036="Estágio",SUMIFS($D:$D,$A:$A,$A1036,$B:$B,"&lt;&gt;Patrícia Karla de Sousa Araújo",$B:$B,"&lt;&gt;Lorena Dias de Araujo",$B:$B,"&lt;&gt;Lucas Luiz Romero")*(10/1083),0)))))),0)</f>
        <v>13</v>
      </c>
      <c r="K1036" s="3">
        <f>I1036-J1036</f>
        <v>3</v>
      </c>
      <c r="L1036" s="3" t="str">
        <f>IF(K1036&lt;-5,"CRÍTICO",IF(K1036&lt;0,"ATENÇÃO",IF(K1036&lt;=5,"BOM","EXCELENTE")))</f>
        <v>BOM</v>
      </c>
      <c r="M1036">
        <v>16</v>
      </c>
      <c r="N1036">
        <v>100</v>
      </c>
      <c r="O1036">
        <v>31.872509960159359</v>
      </c>
    </row>
    <row r="1037" spans="1:15" hidden="1" x14ac:dyDescent="0.25">
      <c r="A1037" s="11">
        <v>46031</v>
      </c>
      <c r="B1037" t="s">
        <v>46</v>
      </c>
      <c r="C1037" t="s">
        <v>32</v>
      </c>
      <c r="D1037">
        <v>27</v>
      </c>
      <c r="E1037">
        <v>27</v>
      </c>
      <c r="F1037">
        <v>16.420000000000002</v>
      </c>
      <c r="G1037">
        <v>0</v>
      </c>
      <c r="H1037">
        <v>0</v>
      </c>
      <c r="I1037" s="3">
        <f>E1037+G1037+H1037</f>
        <v>27</v>
      </c>
      <c r="J1037" s="3">
        <f>ROUND(MIN(IF(C1037="Técnico III",35,IF(C1037="Técnico II",28,IF(C1037="Técnico I",23,IF(C1037="JR",20,IF(C1037="Estágio",10,0))))),IF(C1037="Técnico III",SUMIFS($D:$D,$A:$A,$A1037,$B:$B,"&lt;&gt;Patrícia Karla de Sousa Araújo",$B:$B,"&lt;&gt;Lorena Dias de Araujo",$B:$B,"&lt;&gt;Lucas Luiz Romero")*(35/1083),IF(C1037="Técnico II",SUMIFS($D:$D,$A:$A,$A1037,$B:$B,"&lt;&gt;Patrícia Karla de Sousa Araújo",$B:$B,"&lt;&gt;Lorena Dias de Araujo",$B:$B,"&lt;&gt;Lucas Luiz Romero")*(28/1083),IF(C1037="Técnico I",SUMIFS($D:$D,$A:$A,$A1037,$B:$B,"&lt;&gt;Patrícia Karla de Sousa Araújo",$B:$B,"&lt;&gt;Lorena Dias de Araujo",$B:$B,"&lt;&gt;Lucas Luiz Romero")*(23/1083),IF(C1037="JR",SUMIFS($D:$D,$A:$A,$A1037,$B:$B,"&lt;&gt;Patrícia Karla de Sousa Araújo",$B:$B,"&lt;&gt;Lorena Dias de Araujo",$B:$B,"&lt;&gt;Lucas Luiz Romero")*(20/1083),IF(C1037="Estágio",SUMIFS($D:$D,$A:$A,$A1037,$B:$B,"&lt;&gt;Patrícia Karla de Sousa Araújo",$B:$B,"&lt;&gt;Lorena Dias de Araujo",$B:$B,"&lt;&gt;Lucas Luiz Romero")*(10/1083),0)))))),0)</f>
        <v>20</v>
      </c>
      <c r="K1037" s="3">
        <f>I1037-J1037</f>
        <v>7</v>
      </c>
      <c r="L1037" s="3" t="str">
        <f>IF(K1037&lt;-5,"CRÍTICO",IF(K1037&lt;0,"ATENÇÃO",IF(K1037&lt;=5,"BOM","EXCELENTE")))</f>
        <v>EXCELENTE</v>
      </c>
      <c r="M1037">
        <v>24</v>
      </c>
      <c r="N1037">
        <v>98.41</v>
      </c>
      <c r="O1037">
        <v>29.22465208747515</v>
      </c>
    </row>
    <row r="1038" spans="1:15" hidden="1" x14ac:dyDescent="0.25">
      <c r="A1038" s="11">
        <v>46034</v>
      </c>
      <c r="B1038" t="s">
        <v>47</v>
      </c>
      <c r="C1038" t="s">
        <v>48</v>
      </c>
      <c r="D1038">
        <v>23</v>
      </c>
      <c r="E1038">
        <v>19</v>
      </c>
      <c r="F1038">
        <v>19.11</v>
      </c>
      <c r="G1038">
        <v>0</v>
      </c>
      <c r="H1038">
        <v>0</v>
      </c>
      <c r="I1038" s="3">
        <f>E1038+G1038+H1038</f>
        <v>19</v>
      </c>
      <c r="J1038" s="3">
        <f>ROUND(MIN(IF(C1038="Técnico III",35,IF(C1038="Técnico II",28,IF(C1038="Técnico I",23,IF(C1038="JR",20,IF(C1038="Estágio",10,0))))),IF(C1038="Técnico III",SUMIFS($D:$D,$A:$A,$A1038,$B:$B,"&lt;&gt;Patrícia Karla de Sousa Araújo",$B:$B,"&lt;&gt;Lorena Dias de Araujo",$B:$B,"&lt;&gt;Lucas Luiz Romero")*(35/1083),IF(C1038="Técnico II",SUMIFS($D:$D,$A:$A,$A1038,$B:$B,"&lt;&gt;Patrícia Karla de Sousa Araújo",$B:$B,"&lt;&gt;Lorena Dias de Araujo",$B:$B,"&lt;&gt;Lucas Luiz Romero")*(28/1083),IF(C1038="Técnico I",SUMIFS($D:$D,$A:$A,$A1038,$B:$B,"&lt;&gt;Patrícia Karla de Sousa Araújo",$B:$B,"&lt;&gt;Lorena Dias de Araujo",$B:$B,"&lt;&gt;Lucas Luiz Romero")*(23/1083),IF(C1038="JR",SUMIFS($D:$D,$A:$A,$A1038,$B:$B,"&lt;&gt;Patrícia Karla de Sousa Araújo",$B:$B,"&lt;&gt;Lorena Dias de Araujo",$B:$B,"&lt;&gt;Lucas Luiz Romero")*(20/1083),IF(C1038="Estágio",SUMIFS($D:$D,$A:$A,$A1038,$B:$B,"&lt;&gt;Patrícia Karla de Sousa Araújo",$B:$B,"&lt;&gt;Lorena Dias de Araujo",$B:$B,"&lt;&gt;Lucas Luiz Romero")*(10/1083),0)))))),0)</f>
        <v>16</v>
      </c>
      <c r="K1038" s="3">
        <f>I1038-J1038</f>
        <v>3</v>
      </c>
      <c r="L1038" s="3" t="str">
        <f>IF(K1038&lt;-5,"CRÍTICO",IF(K1038&lt;0,"ATENÇÃO",IF(K1038&lt;=5,"BOM","EXCELENTE")))</f>
        <v>BOM</v>
      </c>
      <c r="M1038">
        <v>16</v>
      </c>
      <c r="N1038">
        <v>96.81</v>
      </c>
      <c r="O1038">
        <v>27.980535279805348</v>
      </c>
    </row>
    <row r="1039" spans="1:15" hidden="1" x14ac:dyDescent="0.25">
      <c r="A1039" s="11">
        <v>46034</v>
      </c>
      <c r="B1039" t="s">
        <v>31</v>
      </c>
      <c r="C1039" t="s">
        <v>32</v>
      </c>
      <c r="D1039">
        <v>0</v>
      </c>
      <c r="E1039">
        <v>0</v>
      </c>
      <c r="F1039">
        <v>0</v>
      </c>
      <c r="G1039">
        <v>0</v>
      </c>
      <c r="H1039">
        <v>0</v>
      </c>
      <c r="I1039" s="3">
        <v>0</v>
      </c>
      <c r="J1039" s="3">
        <v>0</v>
      </c>
      <c r="K1039" s="3">
        <v>0</v>
      </c>
      <c r="L1039" s="3" t="str">
        <f>IF(K1039&lt;-5,"CRÍTICO",IF(K1039&lt;0,"ATENÇÃO",IF(K1039&lt;=5,"BOM","EXCELENTE")))</f>
        <v>BOM</v>
      </c>
      <c r="M1039">
        <v>23</v>
      </c>
      <c r="N1039">
        <v>98.73</v>
      </c>
      <c r="O1039">
        <v>35.756385068762278</v>
      </c>
    </row>
    <row r="1040" spans="1:15" hidden="1" x14ac:dyDescent="0.25">
      <c r="A1040" s="11">
        <v>46034</v>
      </c>
      <c r="B1040" t="s">
        <v>59</v>
      </c>
      <c r="C1040" t="s">
        <v>23</v>
      </c>
      <c r="D1040">
        <v>29</v>
      </c>
      <c r="E1040">
        <v>28</v>
      </c>
      <c r="F1040">
        <v>22.38</v>
      </c>
      <c r="G1040">
        <v>0</v>
      </c>
      <c r="H1040">
        <v>0</v>
      </c>
      <c r="I1040" s="3">
        <f>E1040+G1040+H1040</f>
        <v>28</v>
      </c>
      <c r="J1040" s="3">
        <f>ROUND(MIN(IF(C1040="Técnico III",35,IF(C1040="Técnico II",28,IF(C1040="Técnico I",23,IF(C1040="JR",20,IF(C1040="Estágio",10,0))))),IF(C1040="Técnico III",SUMIFS($D:$D,$A:$A,$A1040,$B:$B,"&lt;&gt;Patrícia Karla de Sousa Araújo",$B:$B,"&lt;&gt;Lorena Dias de Araujo",$B:$B,"&lt;&gt;Lucas Luiz Romero")*(35/1083),IF(C1040="Técnico II",SUMIFS($D:$D,$A:$A,$A1040,$B:$B,"&lt;&gt;Patrícia Karla de Sousa Araújo",$B:$B,"&lt;&gt;Lorena Dias de Araujo",$B:$B,"&lt;&gt;Lucas Luiz Romero")*(28/1083),IF(C1040="Técnico I",SUMIFS($D:$D,$A:$A,$A1040,$B:$B,"&lt;&gt;Patrícia Karla de Sousa Araújo",$B:$B,"&lt;&gt;Lorena Dias de Araujo",$B:$B,"&lt;&gt;Lucas Luiz Romero")*(23/1083),IF(C1040="JR",SUMIFS($D:$D,$A:$A,$A1040,$B:$B,"&lt;&gt;Patrícia Karla de Sousa Araújo",$B:$B,"&lt;&gt;Lorena Dias de Araujo",$B:$B,"&lt;&gt;Lucas Luiz Romero")*(20/1083),IF(C1040="Estágio",SUMIFS($D:$D,$A:$A,$A1040,$B:$B,"&lt;&gt;Patrícia Karla de Sousa Araújo",$B:$B,"&lt;&gt;Lorena Dias de Araujo",$B:$B,"&lt;&gt;Lucas Luiz Romero")*(10/1083),0)))))),0)</f>
        <v>13</v>
      </c>
      <c r="K1040" s="3">
        <f>I1040-J1040</f>
        <v>15</v>
      </c>
      <c r="L1040" s="3" t="str">
        <f>IF(K1040&lt;-5,"CRÍTICO",IF(K1040&lt;0,"ATENÇÃO",IF(K1040&lt;=5,"BOM","EXCELENTE")))</f>
        <v>EXCELENTE</v>
      </c>
      <c r="M1040">
        <v>20</v>
      </c>
      <c r="N1040">
        <v>98.32</v>
      </c>
      <c r="O1040">
        <v>26.763485477178421</v>
      </c>
    </row>
    <row r="1041" spans="1:15" hidden="1" x14ac:dyDescent="0.25">
      <c r="A1041" s="11">
        <v>46034</v>
      </c>
      <c r="B1041" t="s">
        <v>33</v>
      </c>
      <c r="C1041" t="s">
        <v>32</v>
      </c>
      <c r="D1041">
        <v>33</v>
      </c>
      <c r="E1041">
        <v>30</v>
      </c>
      <c r="F1041">
        <v>16.41</v>
      </c>
      <c r="G1041">
        <v>0</v>
      </c>
      <c r="H1041">
        <v>0</v>
      </c>
      <c r="I1041" s="3">
        <f>E1041+G1041+H1041</f>
        <v>30</v>
      </c>
      <c r="J1041" s="3">
        <f>ROUND(MIN(IF(C1041="Técnico III",35,IF(C1041="Técnico II",28,IF(C1041="Técnico I",23,IF(C1041="JR",20,IF(C1041="Estágio",10,0))))),IF(C1041="Técnico III",SUMIFS($D:$D,$A:$A,$A1041,$B:$B,"&lt;&gt;Patrícia Karla de Sousa Araújo",$B:$B,"&lt;&gt;Lorena Dias de Araujo",$B:$B,"&lt;&gt;Lucas Luiz Romero")*(35/1083),IF(C1041="Técnico II",SUMIFS($D:$D,$A:$A,$A1041,$B:$B,"&lt;&gt;Patrícia Karla de Sousa Araújo",$B:$B,"&lt;&gt;Lorena Dias de Araujo",$B:$B,"&lt;&gt;Lucas Luiz Romero")*(28/1083),IF(C1041="Técnico I",SUMIFS($D:$D,$A:$A,$A1041,$B:$B,"&lt;&gt;Patrícia Karla de Sousa Araújo",$B:$B,"&lt;&gt;Lorena Dias de Araujo",$B:$B,"&lt;&gt;Lucas Luiz Romero")*(23/1083),IF(C1041="JR",SUMIFS($D:$D,$A:$A,$A1041,$B:$B,"&lt;&gt;Patrícia Karla de Sousa Araújo",$B:$B,"&lt;&gt;Lorena Dias de Araujo",$B:$B,"&lt;&gt;Lucas Luiz Romero")*(20/1083),IF(C1041="Estágio",SUMIFS($D:$D,$A:$A,$A1041,$B:$B,"&lt;&gt;Patrícia Karla de Sousa Araújo",$B:$B,"&lt;&gt;Lorena Dias de Araujo",$B:$B,"&lt;&gt;Lucas Luiz Romero")*(10/1083),0)))))),0)</f>
        <v>20</v>
      </c>
      <c r="K1041" s="3">
        <f>I1041-J1041</f>
        <v>10</v>
      </c>
      <c r="L1041" s="3" t="str">
        <f>IF(K1041&lt;-5,"CRÍTICO",IF(K1041&lt;0,"ATENÇÃO",IF(K1041&lt;=5,"BOM","EXCELENTE")))</f>
        <v>EXCELENTE</v>
      </c>
      <c r="M1041">
        <v>24</v>
      </c>
      <c r="N1041">
        <v>99.19</v>
      </c>
      <c r="O1041">
        <v>27.637130801687761</v>
      </c>
    </row>
    <row r="1042" spans="1:15" hidden="1" x14ac:dyDescent="0.25">
      <c r="A1042" s="11">
        <v>46034</v>
      </c>
      <c r="B1042" t="s">
        <v>15</v>
      </c>
      <c r="C1042" t="s">
        <v>16</v>
      </c>
      <c r="D1042">
        <v>7</v>
      </c>
      <c r="E1042">
        <v>7</v>
      </c>
      <c r="F1042">
        <v>41.4</v>
      </c>
      <c r="G1042">
        <v>0</v>
      </c>
      <c r="H1042">
        <v>0</v>
      </c>
      <c r="I1042" s="3">
        <f>E1042+G1042+H1042</f>
        <v>7</v>
      </c>
      <c r="J1042" s="3">
        <f>ROUND(MIN(IF(C1042="Técnico III",35,IF(C1042="Técnico II",28,IF(C1042="Técnico I",23,IF(C1042="JR",20,IF(C1042="Estágio",10,0))))),IF(C1042="Técnico III",SUMIFS($D:$D,$A:$A,$A1042,$B:$B,"&lt;&gt;Patrícia Karla de Sousa Araújo",$B:$B,"&lt;&gt;Lorena Dias de Araujo",$B:$B,"&lt;&gt;Lucas Luiz Romero")*(35/1083),IF(C1042="Técnico II",SUMIFS($D:$D,$A:$A,$A1042,$B:$B,"&lt;&gt;Patrícia Karla de Sousa Araújo",$B:$B,"&lt;&gt;Lorena Dias de Araujo",$B:$B,"&lt;&gt;Lucas Luiz Romero")*(28/1083),IF(C1042="Técnico I",SUMIFS($D:$D,$A:$A,$A1042,$B:$B,"&lt;&gt;Patrícia Karla de Sousa Araújo",$B:$B,"&lt;&gt;Lorena Dias de Araujo",$B:$B,"&lt;&gt;Lucas Luiz Romero")*(23/1083),IF(C1042="JR",SUMIFS($D:$D,$A:$A,$A1042,$B:$B,"&lt;&gt;Patrícia Karla de Sousa Araújo",$B:$B,"&lt;&gt;Lorena Dias de Araujo",$B:$B,"&lt;&gt;Lucas Luiz Romero")*(20/1083),IF(C1042="Estágio",SUMIFS($D:$D,$A:$A,$A1042,$B:$B,"&lt;&gt;Patrícia Karla de Sousa Araújo",$B:$B,"&lt;&gt;Lorena Dias de Araujo",$B:$B,"&lt;&gt;Lucas Luiz Romero")*(10/1083),0)))))),0)</f>
        <v>6</v>
      </c>
      <c r="K1042" s="3">
        <f>I1042-J1042</f>
        <v>1</v>
      </c>
      <c r="L1042" s="3" t="str">
        <f>IF(K1042&lt;-5,"CRÍTICO",IF(K1042&lt;0,"ATENÇÃO",IF(K1042&lt;=5,"BOM","EXCELENTE")))</f>
        <v>BOM</v>
      </c>
      <c r="M1042">
        <v>5</v>
      </c>
      <c r="N1042">
        <v>100</v>
      </c>
      <c r="O1042">
        <v>39.568345323741013</v>
      </c>
    </row>
    <row r="1043" spans="1:15" hidden="1" x14ac:dyDescent="0.25">
      <c r="A1043" s="11">
        <v>46034</v>
      </c>
      <c r="B1043" t="s">
        <v>49</v>
      </c>
      <c r="C1043" t="s">
        <v>48</v>
      </c>
      <c r="D1043">
        <v>38</v>
      </c>
      <c r="E1043">
        <v>30</v>
      </c>
      <c r="F1043">
        <v>15.37</v>
      </c>
      <c r="G1043">
        <v>0</v>
      </c>
      <c r="H1043">
        <v>0</v>
      </c>
      <c r="I1043" s="3">
        <f>E1043+G1043+H1043</f>
        <v>30</v>
      </c>
      <c r="J1043" s="3">
        <f>ROUND(MIN(IF(C1043="Técnico III",35,IF(C1043="Técnico II",28,IF(C1043="Técnico I",23,IF(C1043="JR",20,IF(C1043="Estágio",10,0))))),IF(C1043="Técnico III",SUMIFS($D:$D,$A:$A,$A1043,$B:$B,"&lt;&gt;Patrícia Karla de Sousa Araújo",$B:$B,"&lt;&gt;Lorena Dias de Araujo",$B:$B,"&lt;&gt;Lucas Luiz Romero")*(35/1083),IF(C1043="Técnico II",SUMIFS($D:$D,$A:$A,$A1043,$B:$B,"&lt;&gt;Patrícia Karla de Sousa Araújo",$B:$B,"&lt;&gt;Lorena Dias de Araujo",$B:$B,"&lt;&gt;Lucas Luiz Romero")*(28/1083),IF(C1043="Técnico I",SUMIFS($D:$D,$A:$A,$A1043,$B:$B,"&lt;&gt;Patrícia Karla de Sousa Araújo",$B:$B,"&lt;&gt;Lorena Dias de Araujo",$B:$B,"&lt;&gt;Lucas Luiz Romero")*(23/1083),IF(C1043="JR",SUMIFS($D:$D,$A:$A,$A1043,$B:$B,"&lt;&gt;Patrícia Karla de Sousa Araújo",$B:$B,"&lt;&gt;Lorena Dias de Araujo",$B:$B,"&lt;&gt;Lucas Luiz Romero")*(20/1083),IF(C1043="Estágio",SUMIFS($D:$D,$A:$A,$A1043,$B:$B,"&lt;&gt;Patrícia Karla de Sousa Araújo",$B:$B,"&lt;&gt;Lorena Dias de Araujo",$B:$B,"&lt;&gt;Lucas Luiz Romero")*(10/1083),0)))))),0)</f>
        <v>16</v>
      </c>
      <c r="K1043" s="3">
        <f>I1043-J1043</f>
        <v>14</v>
      </c>
      <c r="L1043" s="3" t="str">
        <f>IF(K1043&lt;-5,"CRÍTICO",IF(K1043&lt;0,"ATENÇÃO",IF(K1043&lt;=5,"BOM","EXCELENTE")))</f>
        <v>EXCELENTE</v>
      </c>
      <c r="M1043">
        <v>32</v>
      </c>
      <c r="N1043">
        <v>98.54</v>
      </c>
      <c r="O1043">
        <v>28.544776119402989</v>
      </c>
    </row>
    <row r="1044" spans="1:15" hidden="1" x14ac:dyDescent="0.25">
      <c r="A1044" s="11">
        <v>46034</v>
      </c>
      <c r="B1044" t="s">
        <v>50</v>
      </c>
      <c r="C1044" t="s">
        <v>48</v>
      </c>
      <c r="D1044">
        <v>11</v>
      </c>
      <c r="E1044">
        <v>11</v>
      </c>
      <c r="F1044">
        <v>58.32</v>
      </c>
      <c r="G1044">
        <v>0</v>
      </c>
      <c r="H1044">
        <v>0</v>
      </c>
      <c r="I1044" s="3">
        <f>E1044+G1044+H1044</f>
        <v>11</v>
      </c>
      <c r="J1044" s="3">
        <f>ROUND(MIN(IF(C1044="Técnico III",35,IF(C1044="Técnico II",28,IF(C1044="Técnico I",23,IF(C1044="JR",20,IF(C1044="Estágio",10,0))))),IF(C1044="Técnico III",SUMIFS($D:$D,$A:$A,$A1044,$B:$B,"&lt;&gt;Patrícia Karla de Sousa Araújo",$B:$B,"&lt;&gt;Lorena Dias de Araujo",$B:$B,"&lt;&gt;Lucas Luiz Romero")*(35/1083),IF(C1044="Técnico II",SUMIFS($D:$D,$A:$A,$A1044,$B:$B,"&lt;&gt;Patrícia Karla de Sousa Araújo",$B:$B,"&lt;&gt;Lorena Dias de Araujo",$B:$B,"&lt;&gt;Lucas Luiz Romero")*(28/1083),IF(C1044="Técnico I",SUMIFS($D:$D,$A:$A,$A1044,$B:$B,"&lt;&gt;Patrícia Karla de Sousa Araújo",$B:$B,"&lt;&gt;Lorena Dias de Araujo",$B:$B,"&lt;&gt;Lucas Luiz Romero")*(23/1083),IF(C1044="JR",SUMIFS($D:$D,$A:$A,$A1044,$B:$B,"&lt;&gt;Patrícia Karla de Sousa Araújo",$B:$B,"&lt;&gt;Lorena Dias de Araujo",$B:$B,"&lt;&gt;Lucas Luiz Romero")*(20/1083),IF(C1044="Estágio",SUMIFS($D:$D,$A:$A,$A1044,$B:$B,"&lt;&gt;Patrícia Karla de Sousa Araújo",$B:$B,"&lt;&gt;Lorena Dias de Araujo",$B:$B,"&lt;&gt;Lucas Luiz Romero")*(10/1083),0)))))),0)</f>
        <v>16</v>
      </c>
      <c r="K1044" s="3">
        <f>I1044-J1044</f>
        <v>-5</v>
      </c>
      <c r="L1044" s="3" t="str">
        <f>IF(K1044&lt;-5,"CRÍTICO",IF(K1044&lt;0,"ATENÇÃO",IF(K1044&lt;=5,"BOM","EXCELENTE")))</f>
        <v>ATENÇÃO</v>
      </c>
      <c r="M1044">
        <v>12</v>
      </c>
      <c r="N1044">
        <v>100</v>
      </c>
      <c r="O1044">
        <v>34.366925064599492</v>
      </c>
    </row>
    <row r="1045" spans="1:15" hidden="1" x14ac:dyDescent="0.25">
      <c r="A1045" s="11">
        <v>46034</v>
      </c>
      <c r="B1045" t="s">
        <v>17</v>
      </c>
      <c r="C1045" t="s">
        <v>16</v>
      </c>
      <c r="D1045">
        <v>0</v>
      </c>
      <c r="E1045">
        <v>0</v>
      </c>
      <c r="F1045">
        <v>0</v>
      </c>
      <c r="G1045">
        <v>0</v>
      </c>
      <c r="H1045">
        <v>0</v>
      </c>
      <c r="I1045" s="3">
        <v>0</v>
      </c>
      <c r="J1045" s="3">
        <v>0</v>
      </c>
      <c r="K1045" s="3">
        <v>0</v>
      </c>
      <c r="L1045" s="3" t="str">
        <f>IF(K1045&lt;-5,"CRÍTICO",IF(K1045&lt;0,"ATENÇÃO",IF(K1045&lt;=5,"BOM","EXCELENTE")))</f>
        <v>BOM</v>
      </c>
      <c r="M1045">
        <v>0</v>
      </c>
      <c r="N1045">
        <v>0</v>
      </c>
      <c r="O1045">
        <v>0</v>
      </c>
    </row>
    <row r="1046" spans="1:15" hidden="1" x14ac:dyDescent="0.25">
      <c r="A1046" s="11">
        <v>46034</v>
      </c>
      <c r="B1046" t="s">
        <v>60</v>
      </c>
      <c r="C1046" t="s">
        <v>23</v>
      </c>
      <c r="D1046">
        <v>21</v>
      </c>
      <c r="E1046">
        <v>19</v>
      </c>
      <c r="F1046">
        <v>30.21</v>
      </c>
      <c r="G1046">
        <v>0</v>
      </c>
      <c r="H1046">
        <v>0</v>
      </c>
      <c r="I1046" s="3">
        <f>E1046+G1046+H1046</f>
        <v>19</v>
      </c>
      <c r="J1046" s="3">
        <f>ROUND(MIN(IF(C1046="Técnico III",35,IF(C1046="Técnico II",28,IF(C1046="Técnico I",23,IF(C1046="JR",20,IF(C1046="Estágio",10,0))))),IF(C1046="Técnico III",SUMIFS($D:$D,$A:$A,$A1046,$B:$B,"&lt;&gt;Patrícia Karla de Sousa Araújo",$B:$B,"&lt;&gt;Lorena Dias de Araujo",$B:$B,"&lt;&gt;Lucas Luiz Romero")*(35/1083),IF(C1046="Técnico II",SUMIFS($D:$D,$A:$A,$A1046,$B:$B,"&lt;&gt;Patrícia Karla de Sousa Araújo",$B:$B,"&lt;&gt;Lorena Dias de Araujo",$B:$B,"&lt;&gt;Lucas Luiz Romero")*(28/1083),IF(C1046="Técnico I",SUMIFS($D:$D,$A:$A,$A1046,$B:$B,"&lt;&gt;Patrícia Karla de Sousa Araújo",$B:$B,"&lt;&gt;Lorena Dias de Araujo",$B:$B,"&lt;&gt;Lucas Luiz Romero")*(23/1083),IF(C1046="JR",SUMIFS($D:$D,$A:$A,$A1046,$B:$B,"&lt;&gt;Patrícia Karla de Sousa Araújo",$B:$B,"&lt;&gt;Lorena Dias de Araujo",$B:$B,"&lt;&gt;Lucas Luiz Romero")*(20/1083),IF(C1046="Estágio",SUMIFS($D:$D,$A:$A,$A1046,$B:$B,"&lt;&gt;Patrícia Karla de Sousa Araújo",$B:$B,"&lt;&gt;Lorena Dias de Araujo",$B:$B,"&lt;&gt;Lucas Luiz Romero")*(10/1083),0)))))),0)</f>
        <v>13</v>
      </c>
      <c r="K1046" s="3">
        <f>I1046-J1046</f>
        <v>6</v>
      </c>
      <c r="L1046" s="3" t="str">
        <f>IF(K1046&lt;-5,"CRÍTICO",IF(K1046&lt;0,"ATENÇÃO",IF(K1046&lt;=5,"BOM","EXCELENTE")))</f>
        <v>EXCELENTE</v>
      </c>
      <c r="M1046">
        <v>15</v>
      </c>
      <c r="N1046">
        <v>100</v>
      </c>
      <c r="O1046">
        <v>29.518072289156631</v>
      </c>
    </row>
    <row r="1047" spans="1:15" hidden="1" x14ac:dyDescent="0.25">
      <c r="A1047" s="11">
        <v>46034</v>
      </c>
      <c r="B1047" t="s">
        <v>34</v>
      </c>
      <c r="C1047" t="s">
        <v>32</v>
      </c>
      <c r="D1047">
        <v>35</v>
      </c>
      <c r="E1047">
        <v>28</v>
      </c>
      <c r="F1047">
        <v>10.58</v>
      </c>
      <c r="G1047">
        <v>0</v>
      </c>
      <c r="H1047">
        <v>0</v>
      </c>
      <c r="I1047" s="3">
        <f>E1047+G1047+H1047</f>
        <v>28</v>
      </c>
      <c r="J1047" s="3">
        <f>ROUND(MIN(IF(C1047="Técnico III",35,IF(C1047="Técnico II",28,IF(C1047="Técnico I",23,IF(C1047="JR",20,IF(C1047="Estágio",10,0))))),IF(C1047="Técnico III",SUMIFS($D:$D,$A:$A,$A1047,$B:$B,"&lt;&gt;Patrícia Karla de Sousa Araújo",$B:$B,"&lt;&gt;Lorena Dias de Araujo",$B:$B,"&lt;&gt;Lucas Luiz Romero")*(35/1083),IF(C1047="Técnico II",SUMIFS($D:$D,$A:$A,$A1047,$B:$B,"&lt;&gt;Patrícia Karla de Sousa Araújo",$B:$B,"&lt;&gt;Lorena Dias de Araujo",$B:$B,"&lt;&gt;Lucas Luiz Romero")*(28/1083),IF(C1047="Técnico I",SUMIFS($D:$D,$A:$A,$A1047,$B:$B,"&lt;&gt;Patrícia Karla de Sousa Araújo",$B:$B,"&lt;&gt;Lorena Dias de Araujo",$B:$B,"&lt;&gt;Lucas Luiz Romero")*(23/1083),IF(C1047="JR",SUMIFS($D:$D,$A:$A,$A1047,$B:$B,"&lt;&gt;Patrícia Karla de Sousa Araújo",$B:$B,"&lt;&gt;Lorena Dias de Araujo",$B:$B,"&lt;&gt;Lucas Luiz Romero")*(20/1083),IF(C1047="Estágio",SUMIFS($D:$D,$A:$A,$A1047,$B:$B,"&lt;&gt;Patrícia Karla de Sousa Araújo",$B:$B,"&lt;&gt;Lorena Dias de Araujo",$B:$B,"&lt;&gt;Lucas Luiz Romero")*(10/1083),0)))))),0)</f>
        <v>20</v>
      </c>
      <c r="K1047" s="3">
        <f>I1047-J1047</f>
        <v>8</v>
      </c>
      <c r="L1047" s="3" t="str">
        <f>IF(K1047&lt;-5,"CRÍTICO",IF(K1047&lt;0,"ATENÇÃO",IF(K1047&lt;=5,"BOM","EXCELENTE")))</f>
        <v>EXCELENTE</v>
      </c>
      <c r="M1047">
        <v>27</v>
      </c>
      <c r="N1047">
        <v>97.45</v>
      </c>
      <c r="O1047">
        <v>41.421143847487002</v>
      </c>
    </row>
    <row r="1048" spans="1:15" hidden="1" x14ac:dyDescent="0.25">
      <c r="A1048" s="11">
        <v>46034</v>
      </c>
      <c r="B1048" t="s">
        <v>51</v>
      </c>
      <c r="C1048" t="s">
        <v>48</v>
      </c>
      <c r="D1048">
        <v>31</v>
      </c>
      <c r="E1048">
        <v>20</v>
      </c>
      <c r="F1048">
        <v>15.46</v>
      </c>
      <c r="G1048">
        <v>0</v>
      </c>
      <c r="H1048">
        <v>0</v>
      </c>
      <c r="I1048" s="3">
        <v>0</v>
      </c>
      <c r="J1048" s="3">
        <v>0</v>
      </c>
      <c r="K1048" s="3">
        <v>0</v>
      </c>
      <c r="L1048" s="3" t="str">
        <f>IF(K1048&lt;-5,"CRÍTICO",IF(K1048&lt;0,"ATENÇÃO",IF(K1048&lt;=5,"BOM","EXCELENTE")))</f>
        <v>BOM</v>
      </c>
      <c r="M1048">
        <v>21</v>
      </c>
      <c r="N1048">
        <v>96.58</v>
      </c>
      <c r="O1048">
        <v>30.396475770925111</v>
      </c>
    </row>
    <row r="1049" spans="1:15" hidden="1" x14ac:dyDescent="0.25">
      <c r="A1049" s="11">
        <v>46034</v>
      </c>
      <c r="B1049" t="s">
        <v>61</v>
      </c>
      <c r="C1049" t="s">
        <v>23</v>
      </c>
      <c r="D1049">
        <v>32</v>
      </c>
      <c r="E1049">
        <v>32</v>
      </c>
      <c r="F1049">
        <v>16.510000000000002</v>
      </c>
      <c r="G1049">
        <v>0</v>
      </c>
      <c r="H1049">
        <v>0</v>
      </c>
      <c r="I1049" s="3">
        <f>E1049+G1049+H1049</f>
        <v>32</v>
      </c>
      <c r="J1049" s="3">
        <f>ROUND(MIN(IF(C1049="Técnico III",35,IF(C1049="Técnico II",28,IF(C1049="Técnico I",23,IF(C1049="JR",20,IF(C1049="Estágio",10,0))))),IF(C1049="Técnico III",SUMIFS($D:$D,$A:$A,$A1049,$B:$B,"&lt;&gt;Patrícia Karla de Sousa Araújo",$B:$B,"&lt;&gt;Lorena Dias de Araujo",$B:$B,"&lt;&gt;Lucas Luiz Romero")*(35/1083),IF(C1049="Técnico II",SUMIFS($D:$D,$A:$A,$A1049,$B:$B,"&lt;&gt;Patrícia Karla de Sousa Araújo",$B:$B,"&lt;&gt;Lorena Dias de Araujo",$B:$B,"&lt;&gt;Lucas Luiz Romero")*(28/1083),IF(C1049="Técnico I",SUMIFS($D:$D,$A:$A,$A1049,$B:$B,"&lt;&gt;Patrícia Karla de Sousa Araújo",$B:$B,"&lt;&gt;Lorena Dias de Araujo",$B:$B,"&lt;&gt;Lucas Luiz Romero")*(23/1083),IF(C1049="JR",SUMIFS($D:$D,$A:$A,$A1049,$B:$B,"&lt;&gt;Patrícia Karla de Sousa Araújo",$B:$B,"&lt;&gt;Lorena Dias de Araujo",$B:$B,"&lt;&gt;Lucas Luiz Romero")*(20/1083),IF(C1049="Estágio",SUMIFS($D:$D,$A:$A,$A1049,$B:$B,"&lt;&gt;Patrícia Karla de Sousa Araújo",$B:$B,"&lt;&gt;Lorena Dias de Araujo",$B:$B,"&lt;&gt;Lucas Luiz Romero")*(10/1083),0)))))),0)</f>
        <v>13</v>
      </c>
      <c r="K1049" s="3">
        <f>I1049-J1049</f>
        <v>19</v>
      </c>
      <c r="L1049" s="3" t="str">
        <f>IF(K1049&lt;-5,"CRÍTICO",IF(K1049&lt;0,"ATENÇÃO",IF(K1049&lt;=5,"BOM","EXCELENTE")))</f>
        <v>EXCELENTE</v>
      </c>
      <c r="M1049">
        <v>38</v>
      </c>
      <c r="N1049">
        <v>100</v>
      </c>
      <c r="O1049">
        <v>27.44282744282744</v>
      </c>
    </row>
    <row r="1050" spans="1:15" hidden="1" x14ac:dyDescent="0.25">
      <c r="A1050" s="11">
        <v>46034</v>
      </c>
      <c r="B1050" t="s">
        <v>35</v>
      </c>
      <c r="C1050" t="s">
        <v>32</v>
      </c>
      <c r="D1050">
        <v>19</v>
      </c>
      <c r="E1050">
        <v>17</v>
      </c>
      <c r="F1050">
        <v>30.09</v>
      </c>
      <c r="G1050">
        <v>0</v>
      </c>
      <c r="H1050">
        <v>0</v>
      </c>
      <c r="I1050" s="3">
        <v>0</v>
      </c>
      <c r="J1050" s="3">
        <v>0</v>
      </c>
      <c r="K1050" s="3">
        <v>0</v>
      </c>
      <c r="L1050" s="3" t="str">
        <f>IF(K1050&lt;-5,"CRÍTICO",IF(K1050&lt;0,"ATENÇÃO",IF(K1050&lt;=5,"BOM","EXCELENTE")))</f>
        <v>BOM</v>
      </c>
      <c r="M1050">
        <v>18</v>
      </c>
      <c r="N1050">
        <v>99.49</v>
      </c>
      <c r="O1050">
        <v>40.200000000000003</v>
      </c>
    </row>
    <row r="1051" spans="1:15" hidden="1" x14ac:dyDescent="0.25">
      <c r="A1051" s="11">
        <v>46034</v>
      </c>
      <c r="B1051" t="s">
        <v>18</v>
      </c>
      <c r="C1051" t="s">
        <v>16</v>
      </c>
      <c r="D1051">
        <v>0</v>
      </c>
      <c r="E1051">
        <v>0</v>
      </c>
      <c r="F1051">
        <v>0</v>
      </c>
      <c r="G1051">
        <v>0</v>
      </c>
      <c r="H1051">
        <v>0</v>
      </c>
      <c r="I1051" s="3">
        <v>0</v>
      </c>
      <c r="J1051" s="3">
        <v>0</v>
      </c>
      <c r="K1051" s="3">
        <v>0</v>
      </c>
      <c r="L1051" s="3" t="str">
        <f>IF(K1051&lt;-5,"CRÍTICO",IF(K1051&lt;0,"ATENÇÃO",IF(K1051&lt;=5,"BOM","EXCELENTE")))</f>
        <v>BOM</v>
      </c>
      <c r="M1051">
        <v>0</v>
      </c>
      <c r="N1051">
        <v>100</v>
      </c>
      <c r="O1051">
        <v>25</v>
      </c>
    </row>
    <row r="1052" spans="1:15" hidden="1" x14ac:dyDescent="0.25">
      <c r="A1052" s="11">
        <v>46034</v>
      </c>
      <c r="B1052" t="s">
        <v>52</v>
      </c>
      <c r="C1052" t="s">
        <v>48</v>
      </c>
      <c r="D1052">
        <v>28</v>
      </c>
      <c r="E1052">
        <v>28</v>
      </c>
      <c r="F1052">
        <v>17.05</v>
      </c>
      <c r="G1052">
        <v>0</v>
      </c>
      <c r="H1052">
        <v>0</v>
      </c>
      <c r="I1052" s="3">
        <f>E1052+G1052+H1052</f>
        <v>28</v>
      </c>
      <c r="J1052" s="3">
        <f>ROUND(MIN(IF(C1052="Técnico III",35,IF(C1052="Técnico II",28,IF(C1052="Técnico I",23,IF(C1052="JR",20,IF(C1052="Estágio",10,0))))),IF(C1052="Técnico III",SUMIFS($D:$D,$A:$A,$A1052,$B:$B,"&lt;&gt;Patrícia Karla de Sousa Araújo",$B:$B,"&lt;&gt;Lorena Dias de Araujo",$B:$B,"&lt;&gt;Lucas Luiz Romero")*(35/1083),IF(C1052="Técnico II",SUMIFS($D:$D,$A:$A,$A1052,$B:$B,"&lt;&gt;Patrícia Karla de Sousa Araújo",$B:$B,"&lt;&gt;Lorena Dias de Araujo",$B:$B,"&lt;&gt;Lucas Luiz Romero")*(28/1083),IF(C1052="Técnico I",SUMIFS($D:$D,$A:$A,$A1052,$B:$B,"&lt;&gt;Patrícia Karla de Sousa Araújo",$B:$B,"&lt;&gt;Lorena Dias de Araujo",$B:$B,"&lt;&gt;Lucas Luiz Romero")*(23/1083),IF(C1052="JR",SUMIFS($D:$D,$A:$A,$A1052,$B:$B,"&lt;&gt;Patrícia Karla de Sousa Araújo",$B:$B,"&lt;&gt;Lorena Dias de Araujo",$B:$B,"&lt;&gt;Lucas Luiz Romero")*(20/1083),IF(C1052="Estágio",SUMIFS($D:$D,$A:$A,$A1052,$B:$B,"&lt;&gt;Patrícia Karla de Sousa Araújo",$B:$B,"&lt;&gt;Lorena Dias de Araujo",$B:$B,"&lt;&gt;Lucas Luiz Romero")*(10/1083),0)))))),0)</f>
        <v>16</v>
      </c>
      <c r="K1052" s="3">
        <f>I1052-J1052</f>
        <v>12</v>
      </c>
      <c r="L1052" s="3" t="str">
        <f>IF(K1052&lt;-5,"CRÍTICO",IF(K1052&lt;0,"ATENÇÃO",IF(K1052&lt;=5,"BOM","EXCELENTE")))</f>
        <v>EXCELENTE</v>
      </c>
      <c r="M1052">
        <v>25</v>
      </c>
      <c r="N1052">
        <v>100</v>
      </c>
      <c r="O1052">
        <v>34.15094339622641</v>
      </c>
    </row>
    <row r="1053" spans="1:15" hidden="1" x14ac:dyDescent="0.25">
      <c r="A1053" s="11">
        <v>46034</v>
      </c>
      <c r="B1053" t="s">
        <v>36</v>
      </c>
      <c r="C1053" t="s">
        <v>32</v>
      </c>
      <c r="D1053">
        <v>19</v>
      </c>
      <c r="E1053">
        <v>16</v>
      </c>
      <c r="F1053">
        <v>15.49</v>
      </c>
      <c r="G1053">
        <v>0</v>
      </c>
      <c r="H1053">
        <v>0</v>
      </c>
      <c r="I1053" s="3">
        <f>E1053+G1053+H1053</f>
        <v>16</v>
      </c>
      <c r="J1053" s="3">
        <f>ROUND(MIN(IF(C1053="Técnico III",35,IF(C1053="Técnico II",28,IF(C1053="Técnico I",23,IF(C1053="JR",20,IF(C1053="Estágio",10,0))))),IF(C1053="Técnico III",SUMIFS($D:$D,$A:$A,$A1053,$B:$B,"&lt;&gt;Patrícia Karla de Sousa Araújo",$B:$B,"&lt;&gt;Lorena Dias de Araujo",$B:$B,"&lt;&gt;Lucas Luiz Romero")*(35/1083),IF(C1053="Técnico II",SUMIFS($D:$D,$A:$A,$A1053,$B:$B,"&lt;&gt;Patrícia Karla de Sousa Araújo",$B:$B,"&lt;&gt;Lorena Dias de Araujo",$B:$B,"&lt;&gt;Lucas Luiz Romero")*(28/1083),IF(C1053="Técnico I",SUMIFS($D:$D,$A:$A,$A1053,$B:$B,"&lt;&gt;Patrícia Karla de Sousa Araújo",$B:$B,"&lt;&gt;Lorena Dias de Araujo",$B:$B,"&lt;&gt;Lucas Luiz Romero")*(23/1083),IF(C1053="JR",SUMIFS($D:$D,$A:$A,$A1053,$B:$B,"&lt;&gt;Patrícia Karla de Sousa Araújo",$B:$B,"&lt;&gt;Lorena Dias de Araujo",$B:$B,"&lt;&gt;Lucas Luiz Romero")*(20/1083),IF(C1053="Estágio",SUMIFS($D:$D,$A:$A,$A1053,$B:$B,"&lt;&gt;Patrícia Karla de Sousa Araújo",$B:$B,"&lt;&gt;Lorena Dias de Araujo",$B:$B,"&lt;&gt;Lucas Luiz Romero")*(10/1083),0)))))),0)</f>
        <v>20</v>
      </c>
      <c r="K1053" s="3">
        <f>I1053-J1053</f>
        <v>-4</v>
      </c>
      <c r="L1053" s="3" t="str">
        <f>IF(K1053&lt;-5,"CRÍTICO",IF(K1053&lt;0,"ATENÇÃO",IF(K1053&lt;=5,"BOM","EXCELENTE")))</f>
        <v>ATENÇÃO</v>
      </c>
      <c r="M1053">
        <v>17</v>
      </c>
      <c r="N1053">
        <v>100</v>
      </c>
      <c r="O1053">
        <v>32.731376975169297</v>
      </c>
    </row>
    <row r="1054" spans="1:15" hidden="1" x14ac:dyDescent="0.25">
      <c r="A1054" s="11">
        <v>46034</v>
      </c>
      <c r="B1054" t="s">
        <v>53</v>
      </c>
      <c r="C1054" t="s">
        <v>48</v>
      </c>
      <c r="D1054">
        <v>21</v>
      </c>
      <c r="E1054">
        <v>21</v>
      </c>
      <c r="F1054">
        <v>33.549999999999997</v>
      </c>
      <c r="G1054">
        <v>0</v>
      </c>
      <c r="H1054">
        <v>0</v>
      </c>
      <c r="I1054" s="3">
        <f>E1054+G1054+H1054</f>
        <v>21</v>
      </c>
      <c r="J1054" s="3">
        <f>ROUND(MIN(IF(C1054="Técnico III",35,IF(C1054="Técnico II",28,IF(C1054="Técnico I",23,IF(C1054="JR",20,IF(C1054="Estágio",10,0))))),IF(C1054="Técnico III",SUMIFS($D:$D,$A:$A,$A1054,$B:$B,"&lt;&gt;Patrícia Karla de Sousa Araújo",$B:$B,"&lt;&gt;Lorena Dias de Araujo",$B:$B,"&lt;&gt;Lucas Luiz Romero")*(35/1083),IF(C1054="Técnico II",SUMIFS($D:$D,$A:$A,$A1054,$B:$B,"&lt;&gt;Patrícia Karla de Sousa Araújo",$B:$B,"&lt;&gt;Lorena Dias de Araujo",$B:$B,"&lt;&gt;Lucas Luiz Romero")*(28/1083),IF(C1054="Técnico I",SUMIFS($D:$D,$A:$A,$A1054,$B:$B,"&lt;&gt;Patrícia Karla de Sousa Araújo",$B:$B,"&lt;&gt;Lorena Dias de Araujo",$B:$B,"&lt;&gt;Lucas Luiz Romero")*(23/1083),IF(C1054="JR",SUMIFS($D:$D,$A:$A,$A1054,$B:$B,"&lt;&gt;Patrícia Karla de Sousa Araújo",$B:$B,"&lt;&gt;Lorena Dias de Araujo",$B:$B,"&lt;&gt;Lucas Luiz Romero")*(20/1083),IF(C1054="Estágio",SUMIFS($D:$D,$A:$A,$A1054,$B:$B,"&lt;&gt;Patrícia Karla de Sousa Araújo",$B:$B,"&lt;&gt;Lorena Dias de Araujo",$B:$B,"&lt;&gt;Lucas Luiz Romero")*(10/1083),0)))))),0)</f>
        <v>16</v>
      </c>
      <c r="K1054" s="3">
        <f>I1054-J1054</f>
        <v>5</v>
      </c>
      <c r="L1054" s="3" t="str">
        <f>IF(K1054&lt;-5,"CRÍTICO",IF(K1054&lt;0,"ATENÇÃO",IF(K1054&lt;=5,"BOM","EXCELENTE")))</f>
        <v>BOM</v>
      </c>
      <c r="M1054">
        <v>16</v>
      </c>
      <c r="N1054">
        <v>99.31</v>
      </c>
      <c r="O1054">
        <v>30.96234309623431</v>
      </c>
    </row>
    <row r="1055" spans="1:15" hidden="1" x14ac:dyDescent="0.25">
      <c r="A1055" s="11">
        <v>46066</v>
      </c>
      <c r="B1055" t="s">
        <v>22</v>
      </c>
      <c r="C1055" t="s">
        <v>23</v>
      </c>
      <c r="D1055">
        <v>1</v>
      </c>
      <c r="E1055">
        <v>1</v>
      </c>
      <c r="F1055">
        <v>40.4</v>
      </c>
      <c r="G1055">
        <v>0</v>
      </c>
      <c r="H1055">
        <v>0</v>
      </c>
      <c r="I1055" s="3">
        <f>E1055+G1055+H1055</f>
        <v>1</v>
      </c>
      <c r="J1055" s="3">
        <f>ROUND(MIN(IF(C1055="Técnico III",35,IF(C1055="Técnico II",28,IF(C1055="Técnico I",23,IF(C1055="JR",20,IF(C1055="Estágio",10,0))))),IF(C1055="Técnico III",SUMIFS($D:$D,$A:$A,$A1055,$B:$B,"&lt;&gt;Patrícia Karla de Sousa Araújo",$B:$B,"&lt;&gt;Lorena Dias de Araujo",$B:$B,"&lt;&gt;Lucas Luiz Romero")*(35/1083),IF(C1055="Técnico II",SUMIFS($D:$D,$A:$A,$A1055,$B:$B,"&lt;&gt;Patrícia Karla de Sousa Araújo",$B:$B,"&lt;&gt;Lorena Dias de Araujo",$B:$B,"&lt;&gt;Lucas Luiz Romero")*(28/1083),IF(C1055="Técnico I",SUMIFS($D:$D,$A:$A,$A1055,$B:$B,"&lt;&gt;Patrícia Karla de Sousa Araújo",$B:$B,"&lt;&gt;Lorena Dias de Araujo",$B:$B,"&lt;&gt;Lucas Luiz Romero")*(23/1083),IF(C1055="JR",SUMIFS($D:$D,$A:$A,$A1055,$B:$B,"&lt;&gt;Patrícia Karla de Sousa Araújo",$B:$B,"&lt;&gt;Lorena Dias de Araujo",$B:$B,"&lt;&gt;Lucas Luiz Romero")*(20/1083),IF(C1055="Estágio",SUMIFS($D:$D,$A:$A,$A1055,$B:$B,"&lt;&gt;Patrícia Karla de Sousa Araújo",$B:$B,"&lt;&gt;Lorena Dias de Araujo",$B:$B,"&lt;&gt;Lucas Luiz Romero")*(10/1083),0)))))),0)</f>
        <v>18</v>
      </c>
      <c r="K1055" s="3">
        <f>I1055-J1055</f>
        <v>-17</v>
      </c>
      <c r="L1055" s="3" t="str">
        <f>IF(K1055&lt;-5,"CRÍTICO",IF(K1055&lt;0,"ATENÇÃO",IF(K1055&lt;=5,"BOM","EXCELENTE")))</f>
        <v>CRÍTICO</v>
      </c>
      <c r="M1055">
        <v>14</v>
      </c>
      <c r="N1055">
        <v>96.67</v>
      </c>
      <c r="O1055">
        <v>31.451612903225811</v>
      </c>
    </row>
    <row r="1056" spans="1:15" hidden="1" x14ac:dyDescent="0.25">
      <c r="A1056" s="11">
        <v>46034</v>
      </c>
      <c r="B1056" t="s">
        <v>54</v>
      </c>
      <c r="C1056" t="s">
        <v>48</v>
      </c>
      <c r="D1056">
        <v>26</v>
      </c>
      <c r="E1056">
        <v>25</v>
      </c>
      <c r="F1056">
        <v>17.170000000000002</v>
      </c>
      <c r="G1056">
        <v>0</v>
      </c>
      <c r="H1056">
        <v>0</v>
      </c>
      <c r="I1056" s="3">
        <f>E1056+G1056+H1056</f>
        <v>25</v>
      </c>
      <c r="J1056" s="3">
        <f>ROUND(MIN(IF(C1056="Técnico III",35,IF(C1056="Técnico II",28,IF(C1056="Técnico I",23,IF(C1056="JR",20,IF(C1056="Estágio",10,0))))),IF(C1056="Técnico III",SUMIFS($D:$D,$A:$A,$A1056,$B:$B,"&lt;&gt;Patrícia Karla de Sousa Araújo",$B:$B,"&lt;&gt;Lorena Dias de Araujo",$B:$B,"&lt;&gt;Lucas Luiz Romero")*(35/1083),IF(C1056="Técnico II",SUMIFS($D:$D,$A:$A,$A1056,$B:$B,"&lt;&gt;Patrícia Karla de Sousa Araújo",$B:$B,"&lt;&gt;Lorena Dias de Araujo",$B:$B,"&lt;&gt;Lucas Luiz Romero")*(28/1083),IF(C1056="Técnico I",SUMIFS($D:$D,$A:$A,$A1056,$B:$B,"&lt;&gt;Patrícia Karla de Sousa Araújo",$B:$B,"&lt;&gt;Lorena Dias de Araujo",$B:$B,"&lt;&gt;Lucas Luiz Romero")*(23/1083),IF(C1056="JR",SUMIFS($D:$D,$A:$A,$A1056,$B:$B,"&lt;&gt;Patrícia Karla de Sousa Araújo",$B:$B,"&lt;&gt;Lorena Dias de Araujo",$B:$B,"&lt;&gt;Lucas Luiz Romero")*(20/1083),IF(C1056="Estágio",SUMIFS($D:$D,$A:$A,$A1056,$B:$B,"&lt;&gt;Patrícia Karla de Sousa Araújo",$B:$B,"&lt;&gt;Lorena Dias de Araujo",$B:$B,"&lt;&gt;Lucas Luiz Romero")*(10/1083),0)))))),0)</f>
        <v>16</v>
      </c>
      <c r="K1056" s="3">
        <f>I1056-J1056</f>
        <v>9</v>
      </c>
      <c r="L1056" s="3" t="str">
        <f>IF(K1056&lt;-5,"CRÍTICO",IF(K1056&lt;0,"ATENÇÃO",IF(K1056&lt;=5,"BOM","EXCELENTE")))</f>
        <v>EXCELENTE</v>
      </c>
      <c r="M1056">
        <v>19</v>
      </c>
      <c r="N1056">
        <v>100</v>
      </c>
      <c r="O1056">
        <v>27.676767676767678</v>
      </c>
    </row>
    <row r="1057" spans="1:15" hidden="1" x14ac:dyDescent="0.25">
      <c r="A1057" s="11">
        <v>46034</v>
      </c>
      <c r="B1057" t="s">
        <v>37</v>
      </c>
      <c r="C1057" t="s">
        <v>32</v>
      </c>
      <c r="D1057">
        <v>37</v>
      </c>
      <c r="E1057">
        <v>34</v>
      </c>
      <c r="F1057">
        <v>17.27</v>
      </c>
      <c r="G1057">
        <v>0</v>
      </c>
      <c r="H1057">
        <v>0</v>
      </c>
      <c r="I1057" s="3">
        <f>E1057+G1057+H1057</f>
        <v>34</v>
      </c>
      <c r="J1057" s="3">
        <f>ROUND(MIN(IF(C1057="Técnico III",35,IF(C1057="Técnico II",28,IF(C1057="Técnico I",23,IF(C1057="JR",20,IF(C1057="Estágio",10,0))))),IF(C1057="Técnico III",SUMIFS($D:$D,$A:$A,$A1057,$B:$B,"&lt;&gt;Patrícia Karla de Sousa Araújo",$B:$B,"&lt;&gt;Lorena Dias de Araujo",$B:$B,"&lt;&gt;Lucas Luiz Romero")*(35/1083),IF(C1057="Técnico II",SUMIFS($D:$D,$A:$A,$A1057,$B:$B,"&lt;&gt;Patrícia Karla de Sousa Araújo",$B:$B,"&lt;&gt;Lorena Dias de Araujo",$B:$B,"&lt;&gt;Lucas Luiz Romero")*(28/1083),IF(C1057="Técnico I",SUMIFS($D:$D,$A:$A,$A1057,$B:$B,"&lt;&gt;Patrícia Karla de Sousa Araújo",$B:$B,"&lt;&gt;Lorena Dias de Araujo",$B:$B,"&lt;&gt;Lucas Luiz Romero")*(23/1083),IF(C1057="JR",SUMIFS($D:$D,$A:$A,$A1057,$B:$B,"&lt;&gt;Patrícia Karla de Sousa Araújo",$B:$B,"&lt;&gt;Lorena Dias de Araujo",$B:$B,"&lt;&gt;Lucas Luiz Romero")*(20/1083),IF(C1057="Estágio",SUMIFS($D:$D,$A:$A,$A1057,$B:$B,"&lt;&gt;Patrícia Karla de Sousa Araújo",$B:$B,"&lt;&gt;Lorena Dias de Araujo",$B:$B,"&lt;&gt;Lucas Luiz Romero")*(10/1083),0)))))),0)</f>
        <v>20</v>
      </c>
      <c r="K1057" s="3">
        <f>I1057-J1057</f>
        <v>14</v>
      </c>
      <c r="L1057" s="3" t="str">
        <f>IF(K1057&lt;-5,"CRÍTICO",IF(K1057&lt;0,"ATENÇÃO",IF(K1057&lt;=5,"BOM","EXCELENTE")))</f>
        <v>EXCELENTE</v>
      </c>
      <c r="M1057">
        <v>33</v>
      </c>
      <c r="N1057">
        <v>100</v>
      </c>
      <c r="O1057">
        <v>31.17723156532988</v>
      </c>
    </row>
    <row r="1058" spans="1:15" hidden="1" x14ac:dyDescent="0.25">
      <c r="A1058" s="11">
        <v>46034</v>
      </c>
      <c r="B1058" t="s">
        <v>38</v>
      </c>
      <c r="C1058" t="s">
        <v>32</v>
      </c>
      <c r="D1058">
        <v>1</v>
      </c>
      <c r="E1058">
        <v>1</v>
      </c>
      <c r="F1058">
        <v>31.49</v>
      </c>
      <c r="G1058">
        <v>0</v>
      </c>
      <c r="H1058">
        <v>0</v>
      </c>
      <c r="I1058" s="3">
        <f>E1058+G1058+H1058</f>
        <v>1</v>
      </c>
      <c r="J1058" s="3">
        <f>ROUND(MIN(IF(C1058="Técnico III",35,IF(C1058="Técnico II",28,IF(C1058="Técnico I",23,IF(C1058="JR",20,IF(C1058="Estágio",10,0))))),IF(C1058="Técnico III",SUMIFS($D:$D,$A:$A,$A1058,$B:$B,"&lt;&gt;Patrícia Karla de Sousa Araújo",$B:$B,"&lt;&gt;Lorena Dias de Araujo",$B:$B,"&lt;&gt;Lucas Luiz Romero")*(35/1083),IF(C1058="Técnico II",SUMIFS($D:$D,$A:$A,$A1058,$B:$B,"&lt;&gt;Patrícia Karla de Sousa Araújo",$B:$B,"&lt;&gt;Lorena Dias de Araujo",$B:$B,"&lt;&gt;Lucas Luiz Romero")*(28/1083),IF(C1058="Técnico I",SUMIFS($D:$D,$A:$A,$A1058,$B:$B,"&lt;&gt;Patrícia Karla de Sousa Araújo",$B:$B,"&lt;&gt;Lorena Dias de Araujo",$B:$B,"&lt;&gt;Lucas Luiz Romero")*(23/1083),IF(C1058="JR",SUMIFS($D:$D,$A:$A,$A1058,$B:$B,"&lt;&gt;Patrícia Karla de Sousa Araújo",$B:$B,"&lt;&gt;Lorena Dias de Araujo",$B:$B,"&lt;&gt;Lucas Luiz Romero")*(20/1083),IF(C1058="Estágio",SUMIFS($D:$D,$A:$A,$A1058,$B:$B,"&lt;&gt;Patrícia Karla de Sousa Araújo",$B:$B,"&lt;&gt;Lorena Dias de Araujo",$B:$B,"&lt;&gt;Lucas Luiz Romero")*(10/1083),0)))))),0)</f>
        <v>20</v>
      </c>
      <c r="K1058" s="3">
        <f>I1058-J1058</f>
        <v>-19</v>
      </c>
      <c r="L1058" s="3" t="str">
        <f>IF(K1058&lt;-5,"CRÍTICO",IF(K1058&lt;0,"ATENÇÃO",IF(K1058&lt;=5,"BOM","EXCELENTE")))</f>
        <v>CRÍTICO</v>
      </c>
      <c r="M1058">
        <v>1</v>
      </c>
      <c r="N1058">
        <v>100</v>
      </c>
      <c r="O1058">
        <v>27.609427609427609</v>
      </c>
    </row>
    <row r="1059" spans="1:15" hidden="1" x14ac:dyDescent="0.25">
      <c r="A1059" s="11">
        <v>46034</v>
      </c>
      <c r="B1059" t="s">
        <v>55</v>
      </c>
      <c r="C1059" t="s">
        <v>48</v>
      </c>
      <c r="D1059">
        <v>34</v>
      </c>
      <c r="E1059">
        <v>24</v>
      </c>
      <c r="F1059">
        <v>16.5</v>
      </c>
      <c r="G1059">
        <v>0</v>
      </c>
      <c r="H1059">
        <v>0</v>
      </c>
      <c r="I1059" s="3">
        <f>E1059+G1059+H1059</f>
        <v>24</v>
      </c>
      <c r="J1059" s="3">
        <f>ROUND(MIN(IF(C1059="Técnico III",35,IF(C1059="Técnico II",28,IF(C1059="Técnico I",23,IF(C1059="JR",20,IF(C1059="Estágio",10,0))))),IF(C1059="Técnico III",SUMIFS($D:$D,$A:$A,$A1059,$B:$B,"&lt;&gt;Patrícia Karla de Sousa Araújo",$B:$B,"&lt;&gt;Lorena Dias de Araujo",$B:$B,"&lt;&gt;Lucas Luiz Romero")*(35/1083),IF(C1059="Técnico II",SUMIFS($D:$D,$A:$A,$A1059,$B:$B,"&lt;&gt;Patrícia Karla de Sousa Araújo",$B:$B,"&lt;&gt;Lorena Dias de Araujo",$B:$B,"&lt;&gt;Lucas Luiz Romero")*(28/1083),IF(C1059="Técnico I",SUMIFS($D:$D,$A:$A,$A1059,$B:$B,"&lt;&gt;Patrícia Karla de Sousa Araújo",$B:$B,"&lt;&gt;Lorena Dias de Araujo",$B:$B,"&lt;&gt;Lucas Luiz Romero")*(23/1083),IF(C1059="JR",SUMIFS($D:$D,$A:$A,$A1059,$B:$B,"&lt;&gt;Patrícia Karla de Sousa Araújo",$B:$B,"&lt;&gt;Lorena Dias de Araujo",$B:$B,"&lt;&gt;Lucas Luiz Romero")*(20/1083),IF(C1059="Estágio",SUMIFS($D:$D,$A:$A,$A1059,$B:$B,"&lt;&gt;Patrícia Karla de Sousa Araújo",$B:$B,"&lt;&gt;Lorena Dias de Araujo",$B:$B,"&lt;&gt;Lucas Luiz Romero")*(10/1083),0)))))),0)</f>
        <v>16</v>
      </c>
      <c r="K1059" s="3">
        <f>I1059-J1059</f>
        <v>8</v>
      </c>
      <c r="L1059" s="3" t="str">
        <f>IF(K1059&lt;-5,"CRÍTICO",IF(K1059&lt;0,"ATENÇÃO",IF(K1059&lt;=5,"BOM","EXCELENTE")))</f>
        <v>EXCELENTE</v>
      </c>
      <c r="M1059">
        <v>21</v>
      </c>
      <c r="N1059">
        <v>96.4</v>
      </c>
      <c r="O1059">
        <v>28.764044943820231</v>
      </c>
    </row>
    <row r="1060" spans="1:15" hidden="1" x14ac:dyDescent="0.25">
      <c r="A1060" s="11">
        <v>46034</v>
      </c>
      <c r="B1060" t="s">
        <v>39</v>
      </c>
      <c r="C1060" t="s">
        <v>32</v>
      </c>
      <c r="D1060">
        <v>0</v>
      </c>
      <c r="E1060">
        <v>0</v>
      </c>
      <c r="F1060">
        <v>0</v>
      </c>
      <c r="G1060">
        <v>0</v>
      </c>
      <c r="H1060">
        <v>0</v>
      </c>
      <c r="I1060" s="3">
        <v>0</v>
      </c>
      <c r="J1060" s="3">
        <v>0</v>
      </c>
      <c r="K1060" s="3">
        <v>0</v>
      </c>
      <c r="L1060" s="3" t="str">
        <f>IF(K1060&lt;-5,"CRÍTICO",IF(K1060&lt;0,"ATENÇÃO",IF(K1060&lt;=5,"BOM","EXCELENTE")))</f>
        <v>BOM</v>
      </c>
      <c r="M1060">
        <v>14</v>
      </c>
      <c r="N1060">
        <v>100</v>
      </c>
      <c r="O1060">
        <v>33.980582524271853</v>
      </c>
    </row>
    <row r="1061" spans="1:15" hidden="1" x14ac:dyDescent="0.25">
      <c r="A1061" s="11">
        <v>46034</v>
      </c>
      <c r="B1061" t="s">
        <v>25</v>
      </c>
      <c r="C1061" t="s">
        <v>26</v>
      </c>
      <c r="D1061">
        <v>11</v>
      </c>
      <c r="E1061">
        <v>11</v>
      </c>
      <c r="F1061">
        <v>17.100000000000001</v>
      </c>
      <c r="G1061">
        <v>0</v>
      </c>
      <c r="H1061">
        <v>0</v>
      </c>
      <c r="I1061" s="3">
        <f>E1061+G1061+H1061</f>
        <v>11</v>
      </c>
      <c r="J1061" s="3">
        <f>ROUND(MIN(IF(C1061="Técnico III",35,IF(C1061="Técnico II",28,IF(C1061="Técnico I",23,IF(C1061="JR",20,IF(C1061="Estágio",10,0))))),IF(C1061="Técnico III",SUMIFS($D:$D,$A:$A,$A1061,$B:$B,"&lt;&gt;Patrícia Karla de Sousa Araújo",$B:$B,"&lt;&gt;Lorena Dias de Araujo",$B:$B,"&lt;&gt;Lucas Luiz Romero")*(35/1083),IF(C1061="Técnico II",SUMIFS($D:$D,$A:$A,$A1061,$B:$B,"&lt;&gt;Patrícia Karla de Sousa Araújo",$B:$B,"&lt;&gt;Lorena Dias de Araujo",$B:$B,"&lt;&gt;Lucas Luiz Romero")*(28/1083),IF(C1061="Técnico I",SUMIFS($D:$D,$A:$A,$A1061,$B:$B,"&lt;&gt;Patrícia Karla de Sousa Araújo",$B:$B,"&lt;&gt;Lorena Dias de Araujo",$B:$B,"&lt;&gt;Lucas Luiz Romero")*(23/1083),IF(C1061="JR",SUMIFS($D:$D,$A:$A,$A1061,$B:$B,"&lt;&gt;Patrícia Karla de Sousa Araújo",$B:$B,"&lt;&gt;Lorena Dias de Araujo",$B:$B,"&lt;&gt;Lucas Luiz Romero")*(20/1083),IF(C1061="Estágio",SUMIFS($D:$D,$A:$A,$A1061,$B:$B,"&lt;&gt;Patrícia Karla de Sousa Araújo",$B:$B,"&lt;&gt;Lorena Dias de Araujo",$B:$B,"&lt;&gt;Lucas Luiz Romero")*(10/1083),0)))))),0)</f>
        <v>12</v>
      </c>
      <c r="K1061" s="3">
        <f>I1061-J1061</f>
        <v>-1</v>
      </c>
      <c r="L1061" s="3" t="str">
        <f>IF(K1061&lt;-5,"CRÍTICO",IF(K1061&lt;0,"ATENÇÃO",IF(K1061&lt;=5,"BOM","EXCELENTE")))</f>
        <v>ATENÇÃO</v>
      </c>
      <c r="M1061">
        <v>11</v>
      </c>
      <c r="N1061">
        <v>97.56</v>
      </c>
      <c r="O1061">
        <v>32.515337423312893</v>
      </c>
    </row>
    <row r="1062" spans="1:15" hidden="1" x14ac:dyDescent="0.25">
      <c r="A1062" s="11">
        <v>46034</v>
      </c>
      <c r="B1062" t="s">
        <v>40</v>
      </c>
      <c r="C1062" t="s">
        <v>32</v>
      </c>
      <c r="D1062">
        <v>1</v>
      </c>
      <c r="E1062">
        <v>1</v>
      </c>
      <c r="F1062">
        <v>15.48</v>
      </c>
      <c r="G1062">
        <v>0</v>
      </c>
      <c r="H1062">
        <v>0</v>
      </c>
      <c r="I1062" s="3">
        <f>E1062+G1062+H1062</f>
        <v>1</v>
      </c>
      <c r="J1062" s="3">
        <f>ROUND(MIN(IF(C1062="Técnico III",35,IF(C1062="Técnico II",28,IF(C1062="Técnico I",23,IF(C1062="JR",20,IF(C1062="Estágio",10,0))))),IF(C1062="Técnico III",SUMIFS($D:$D,$A:$A,$A1062,$B:$B,"&lt;&gt;Patrícia Karla de Sousa Araújo",$B:$B,"&lt;&gt;Lorena Dias de Araujo",$B:$B,"&lt;&gt;Lucas Luiz Romero")*(35/1083),IF(C1062="Técnico II",SUMIFS($D:$D,$A:$A,$A1062,$B:$B,"&lt;&gt;Patrícia Karla de Sousa Araújo",$B:$B,"&lt;&gt;Lorena Dias de Araujo",$B:$B,"&lt;&gt;Lucas Luiz Romero")*(28/1083),IF(C1062="Técnico I",SUMIFS($D:$D,$A:$A,$A1062,$B:$B,"&lt;&gt;Patrícia Karla de Sousa Araújo",$B:$B,"&lt;&gt;Lorena Dias de Araujo",$B:$B,"&lt;&gt;Lucas Luiz Romero")*(23/1083),IF(C1062="JR",SUMIFS($D:$D,$A:$A,$A1062,$B:$B,"&lt;&gt;Patrícia Karla de Sousa Araújo",$B:$B,"&lt;&gt;Lorena Dias de Araujo",$B:$B,"&lt;&gt;Lucas Luiz Romero")*(20/1083),IF(C1062="Estágio",SUMIFS($D:$D,$A:$A,$A1062,$B:$B,"&lt;&gt;Patrícia Karla de Sousa Araújo",$B:$B,"&lt;&gt;Lorena Dias de Araujo",$B:$B,"&lt;&gt;Lucas Luiz Romero")*(10/1083),0)))))),0)</f>
        <v>20</v>
      </c>
      <c r="K1062" s="3">
        <f>I1062-J1062</f>
        <v>-19</v>
      </c>
      <c r="L1062" s="3" t="str">
        <f>IF(K1062&lt;-5,"CRÍTICO",IF(K1062&lt;0,"ATENÇÃO",IF(K1062&lt;=5,"BOM","EXCELENTE")))</f>
        <v>CRÍTICO</v>
      </c>
      <c r="M1062">
        <v>29</v>
      </c>
      <c r="N1062">
        <v>97.11</v>
      </c>
      <c r="O1062">
        <v>37.408312958435211</v>
      </c>
    </row>
    <row r="1063" spans="1:15" hidden="1" x14ac:dyDescent="0.25">
      <c r="A1063" s="11">
        <v>46034</v>
      </c>
      <c r="B1063" t="s">
        <v>27</v>
      </c>
      <c r="C1063" t="s">
        <v>26</v>
      </c>
      <c r="D1063">
        <v>0</v>
      </c>
      <c r="E1063">
        <v>0</v>
      </c>
      <c r="F1063">
        <v>0</v>
      </c>
      <c r="G1063">
        <v>0</v>
      </c>
      <c r="H1063">
        <v>0</v>
      </c>
      <c r="I1063" s="3">
        <v>0</v>
      </c>
      <c r="J1063" s="3">
        <v>0</v>
      </c>
      <c r="K1063" s="3">
        <v>0</v>
      </c>
      <c r="L1063" s="3" t="str">
        <f>IF(K1063&lt;-5,"CRÍTICO",IF(K1063&lt;0,"ATENÇÃO",IF(K1063&lt;=5,"BOM","EXCELENTE")))</f>
        <v>BOM</v>
      </c>
      <c r="M1063">
        <v>0</v>
      </c>
      <c r="N1063">
        <v>0</v>
      </c>
      <c r="O1063">
        <v>0</v>
      </c>
    </row>
    <row r="1064" spans="1:15" hidden="1" x14ac:dyDescent="0.25">
      <c r="A1064" s="11">
        <v>46034</v>
      </c>
      <c r="B1064" t="s">
        <v>41</v>
      </c>
      <c r="C1064" t="s">
        <v>32</v>
      </c>
      <c r="D1064">
        <v>29</v>
      </c>
      <c r="E1064">
        <v>26</v>
      </c>
      <c r="F1064">
        <v>13.35</v>
      </c>
      <c r="G1064">
        <v>0</v>
      </c>
      <c r="H1064">
        <v>0</v>
      </c>
      <c r="I1064" s="3">
        <f>E1064+G1064+H1064</f>
        <v>26</v>
      </c>
      <c r="J1064" s="3">
        <f>ROUND(MIN(IF(C1064="Técnico III",35,IF(C1064="Técnico II",28,IF(C1064="Técnico I",23,IF(C1064="JR",20,IF(C1064="Estágio",10,0))))),IF(C1064="Técnico III",SUMIFS($D:$D,$A:$A,$A1064,$B:$B,"&lt;&gt;Patrícia Karla de Sousa Araújo",$B:$B,"&lt;&gt;Lorena Dias de Araujo",$B:$B,"&lt;&gt;Lucas Luiz Romero")*(35/1083),IF(C1064="Técnico II",SUMIFS($D:$D,$A:$A,$A1064,$B:$B,"&lt;&gt;Patrícia Karla de Sousa Araújo",$B:$B,"&lt;&gt;Lorena Dias de Araujo",$B:$B,"&lt;&gt;Lucas Luiz Romero")*(28/1083),IF(C1064="Técnico I",SUMIFS($D:$D,$A:$A,$A1064,$B:$B,"&lt;&gt;Patrícia Karla de Sousa Araújo",$B:$B,"&lt;&gt;Lorena Dias de Araujo",$B:$B,"&lt;&gt;Lucas Luiz Romero")*(23/1083),IF(C1064="JR",SUMIFS($D:$D,$A:$A,$A1064,$B:$B,"&lt;&gt;Patrícia Karla de Sousa Araújo",$B:$B,"&lt;&gt;Lorena Dias de Araujo",$B:$B,"&lt;&gt;Lucas Luiz Romero")*(20/1083),IF(C1064="Estágio",SUMIFS($D:$D,$A:$A,$A1064,$B:$B,"&lt;&gt;Patrícia Karla de Sousa Araújo",$B:$B,"&lt;&gt;Lorena Dias de Araujo",$B:$B,"&lt;&gt;Lucas Luiz Romero")*(10/1083),0)))))),0)</f>
        <v>20</v>
      </c>
      <c r="K1064" s="3">
        <f>I1064-J1064</f>
        <v>6</v>
      </c>
      <c r="L1064" s="3" t="str">
        <f>IF(K1064&lt;-5,"CRÍTICO",IF(K1064&lt;0,"ATENÇÃO",IF(K1064&lt;=5,"BOM","EXCELENTE")))</f>
        <v>EXCELENTE</v>
      </c>
      <c r="M1064">
        <v>28</v>
      </c>
      <c r="N1064">
        <v>100</v>
      </c>
      <c r="O1064">
        <v>30.470347648261761</v>
      </c>
    </row>
    <row r="1065" spans="1:15" hidden="1" x14ac:dyDescent="0.25">
      <c r="A1065" s="11">
        <v>46034</v>
      </c>
      <c r="B1065" t="s">
        <v>56</v>
      </c>
      <c r="C1065" t="s">
        <v>48</v>
      </c>
      <c r="D1065">
        <v>26</v>
      </c>
      <c r="E1065">
        <v>25</v>
      </c>
      <c r="F1065">
        <v>20.58</v>
      </c>
      <c r="G1065">
        <v>0</v>
      </c>
      <c r="H1065">
        <v>0</v>
      </c>
      <c r="I1065" s="3">
        <f>E1065+G1065+H1065</f>
        <v>25</v>
      </c>
      <c r="J1065" s="3">
        <f>ROUND(MIN(IF(C1065="Técnico III",35,IF(C1065="Técnico II",28,IF(C1065="Técnico I",23,IF(C1065="JR",20,IF(C1065="Estágio",10,0))))),IF(C1065="Técnico III",SUMIFS($D:$D,$A:$A,$A1065,$B:$B,"&lt;&gt;Patrícia Karla de Sousa Araújo",$B:$B,"&lt;&gt;Lorena Dias de Araujo",$B:$B,"&lt;&gt;Lucas Luiz Romero")*(35/1083),IF(C1065="Técnico II",SUMIFS($D:$D,$A:$A,$A1065,$B:$B,"&lt;&gt;Patrícia Karla de Sousa Araújo",$B:$B,"&lt;&gt;Lorena Dias de Araujo",$B:$B,"&lt;&gt;Lucas Luiz Romero")*(28/1083),IF(C1065="Técnico I",SUMIFS($D:$D,$A:$A,$A1065,$B:$B,"&lt;&gt;Patrícia Karla de Sousa Araújo",$B:$B,"&lt;&gt;Lorena Dias de Araujo",$B:$B,"&lt;&gt;Lucas Luiz Romero")*(23/1083),IF(C1065="JR",SUMIFS($D:$D,$A:$A,$A1065,$B:$B,"&lt;&gt;Patrícia Karla de Sousa Araújo",$B:$B,"&lt;&gt;Lorena Dias de Araujo",$B:$B,"&lt;&gt;Lucas Luiz Romero")*(20/1083),IF(C1065="Estágio",SUMIFS($D:$D,$A:$A,$A1065,$B:$B,"&lt;&gt;Patrícia Karla de Sousa Araújo",$B:$B,"&lt;&gt;Lorena Dias de Araujo",$B:$B,"&lt;&gt;Lucas Luiz Romero")*(10/1083),0)))))),0)</f>
        <v>16</v>
      </c>
      <c r="K1065" s="3">
        <f>I1065-J1065</f>
        <v>9</v>
      </c>
      <c r="L1065" s="3" t="str">
        <f>IF(K1065&lt;-5,"CRÍTICO",IF(K1065&lt;0,"ATENÇÃO",IF(K1065&lt;=5,"BOM","EXCELENTE")))</f>
        <v>EXCELENTE</v>
      </c>
      <c r="M1065">
        <v>22</v>
      </c>
      <c r="N1065">
        <v>100</v>
      </c>
      <c r="O1065">
        <v>32.371134020618562</v>
      </c>
    </row>
    <row r="1066" spans="1:15" hidden="1" x14ac:dyDescent="0.25">
      <c r="A1066" s="11">
        <v>46034</v>
      </c>
      <c r="B1066" t="s">
        <v>57</v>
      </c>
      <c r="C1066" t="s">
        <v>48</v>
      </c>
      <c r="D1066">
        <v>14</v>
      </c>
      <c r="E1066">
        <v>14</v>
      </c>
      <c r="F1066">
        <v>25.14</v>
      </c>
      <c r="G1066">
        <v>0</v>
      </c>
      <c r="H1066">
        <v>0</v>
      </c>
      <c r="I1066" s="3">
        <v>0</v>
      </c>
      <c r="J1066" s="3">
        <v>0</v>
      </c>
      <c r="K1066" s="3">
        <v>0</v>
      </c>
      <c r="L1066" s="3" t="str">
        <f>IF(K1066&lt;-5,"CRÍTICO",IF(K1066&lt;0,"ATENÇÃO",IF(K1066&lt;=5,"BOM","EXCELENTE")))</f>
        <v>BOM</v>
      </c>
      <c r="M1066">
        <v>14</v>
      </c>
      <c r="N1066">
        <v>98.32</v>
      </c>
      <c r="O1066">
        <v>32.318501170960189</v>
      </c>
    </row>
    <row r="1067" spans="1:15" hidden="1" x14ac:dyDescent="0.25">
      <c r="A1067" s="11">
        <v>46034</v>
      </c>
      <c r="B1067" t="s">
        <v>42</v>
      </c>
      <c r="C1067" t="s">
        <v>32</v>
      </c>
      <c r="D1067">
        <v>37</v>
      </c>
      <c r="E1067">
        <v>27</v>
      </c>
      <c r="F1067">
        <v>10.15</v>
      </c>
      <c r="G1067">
        <v>0</v>
      </c>
      <c r="H1067">
        <v>0</v>
      </c>
      <c r="I1067" s="3">
        <f>E1067+G1067+H1067</f>
        <v>27</v>
      </c>
      <c r="J1067" s="3">
        <f>ROUND(MIN(IF(C1067="Técnico III",35,IF(C1067="Técnico II",28,IF(C1067="Técnico I",23,IF(C1067="JR",20,IF(C1067="Estágio",10,0))))),IF(C1067="Técnico III",SUMIFS($D:$D,$A:$A,$A1067,$B:$B,"&lt;&gt;Patrícia Karla de Sousa Araújo",$B:$B,"&lt;&gt;Lorena Dias de Araujo",$B:$B,"&lt;&gt;Lucas Luiz Romero")*(35/1083),IF(C1067="Técnico II",SUMIFS($D:$D,$A:$A,$A1067,$B:$B,"&lt;&gt;Patrícia Karla de Sousa Araújo",$B:$B,"&lt;&gt;Lorena Dias de Araujo",$B:$B,"&lt;&gt;Lucas Luiz Romero")*(28/1083),IF(C1067="Técnico I",SUMIFS($D:$D,$A:$A,$A1067,$B:$B,"&lt;&gt;Patrícia Karla de Sousa Araújo",$B:$B,"&lt;&gt;Lorena Dias de Araujo",$B:$B,"&lt;&gt;Lucas Luiz Romero")*(23/1083),IF(C1067="JR",SUMIFS($D:$D,$A:$A,$A1067,$B:$B,"&lt;&gt;Patrícia Karla de Sousa Araújo",$B:$B,"&lt;&gt;Lorena Dias de Araujo",$B:$B,"&lt;&gt;Lucas Luiz Romero")*(20/1083),IF(C1067="Estágio",SUMIFS($D:$D,$A:$A,$A1067,$B:$B,"&lt;&gt;Patrícia Karla de Sousa Araújo",$B:$B,"&lt;&gt;Lorena Dias de Araujo",$B:$B,"&lt;&gt;Lucas Luiz Romero")*(10/1083),0)))))),0)</f>
        <v>20</v>
      </c>
      <c r="K1067" s="3">
        <f>I1067-J1067</f>
        <v>7</v>
      </c>
      <c r="L1067" s="3" t="str">
        <f>IF(K1067&lt;-5,"CRÍTICO",IF(K1067&lt;0,"ATENÇÃO",IF(K1067&lt;=5,"BOM","EXCELENTE")))</f>
        <v>EXCELENTE</v>
      </c>
      <c r="M1067">
        <v>25</v>
      </c>
      <c r="N1067">
        <v>96.43</v>
      </c>
      <c r="O1067">
        <v>27.015250544662312</v>
      </c>
    </row>
    <row r="1068" spans="1:15" hidden="1" x14ac:dyDescent="0.25">
      <c r="A1068" s="11">
        <v>46034</v>
      </c>
      <c r="B1068" t="s">
        <v>62</v>
      </c>
      <c r="C1068" t="s">
        <v>23</v>
      </c>
      <c r="D1068">
        <v>20</v>
      </c>
      <c r="E1068">
        <v>19</v>
      </c>
      <c r="F1068">
        <v>18.59</v>
      </c>
      <c r="G1068">
        <v>0</v>
      </c>
      <c r="H1068">
        <v>0</v>
      </c>
      <c r="I1068" s="3">
        <f>E1068+G1068+H1068</f>
        <v>19</v>
      </c>
      <c r="J1068" s="3">
        <f>ROUND(MIN(IF(C1068="Técnico III",35,IF(C1068="Técnico II",28,IF(C1068="Técnico I",23,IF(C1068="JR",20,IF(C1068="Estágio",10,0))))),IF(C1068="Técnico III",SUMIFS($D:$D,$A:$A,$A1068,$B:$B,"&lt;&gt;Patrícia Karla de Sousa Araújo",$B:$B,"&lt;&gt;Lorena Dias de Araujo",$B:$B,"&lt;&gt;Lucas Luiz Romero")*(35/1083),IF(C1068="Técnico II",SUMIFS($D:$D,$A:$A,$A1068,$B:$B,"&lt;&gt;Patrícia Karla de Sousa Araújo",$B:$B,"&lt;&gt;Lorena Dias de Araujo",$B:$B,"&lt;&gt;Lucas Luiz Romero")*(28/1083),IF(C1068="Técnico I",SUMIFS($D:$D,$A:$A,$A1068,$B:$B,"&lt;&gt;Patrícia Karla de Sousa Araújo",$B:$B,"&lt;&gt;Lorena Dias de Araujo",$B:$B,"&lt;&gt;Lucas Luiz Romero")*(23/1083),IF(C1068="JR",SUMIFS($D:$D,$A:$A,$A1068,$B:$B,"&lt;&gt;Patrícia Karla de Sousa Araújo",$B:$B,"&lt;&gt;Lorena Dias de Araujo",$B:$B,"&lt;&gt;Lucas Luiz Romero")*(20/1083),IF(C1068="Estágio",SUMIFS($D:$D,$A:$A,$A1068,$B:$B,"&lt;&gt;Patrícia Karla de Sousa Araújo",$B:$B,"&lt;&gt;Lorena Dias de Araujo",$B:$B,"&lt;&gt;Lucas Luiz Romero")*(10/1083),0)))))),0)</f>
        <v>13</v>
      </c>
      <c r="K1068" s="3">
        <f>I1068-J1068</f>
        <v>6</v>
      </c>
      <c r="L1068" s="3" t="str">
        <f>IF(K1068&lt;-5,"CRÍTICO",IF(K1068&lt;0,"ATENÇÃO",IF(K1068&lt;=5,"BOM","EXCELENTE")))</f>
        <v>EXCELENTE</v>
      </c>
      <c r="M1068">
        <v>18</v>
      </c>
      <c r="N1068">
        <v>98.89</v>
      </c>
      <c r="O1068">
        <v>28.021978021978018</v>
      </c>
    </row>
    <row r="1069" spans="1:15" hidden="1" x14ac:dyDescent="0.25">
      <c r="A1069" s="11">
        <v>46034</v>
      </c>
      <c r="B1069" t="s">
        <v>19</v>
      </c>
      <c r="C1069" t="s">
        <v>16</v>
      </c>
      <c r="D1069">
        <v>4</v>
      </c>
      <c r="E1069">
        <v>4</v>
      </c>
      <c r="F1069">
        <v>96.56</v>
      </c>
      <c r="G1069">
        <v>0</v>
      </c>
      <c r="H1069">
        <v>0</v>
      </c>
      <c r="I1069" s="3">
        <f>E1069+G1069+H1069</f>
        <v>4</v>
      </c>
      <c r="J1069" s="3">
        <f>ROUND(MIN(IF(C1069="Técnico III",35,IF(C1069="Técnico II",28,IF(C1069="Técnico I",23,IF(C1069="JR",20,IF(C1069="Estágio",10,0))))),IF(C1069="Técnico III",SUMIFS($D:$D,$A:$A,$A1069,$B:$B,"&lt;&gt;Patrícia Karla de Sousa Araújo",$B:$B,"&lt;&gt;Lorena Dias de Araujo",$B:$B,"&lt;&gt;Lucas Luiz Romero")*(35/1083),IF(C1069="Técnico II",SUMIFS($D:$D,$A:$A,$A1069,$B:$B,"&lt;&gt;Patrícia Karla de Sousa Araújo",$B:$B,"&lt;&gt;Lorena Dias de Araujo",$B:$B,"&lt;&gt;Lucas Luiz Romero")*(28/1083),IF(C1069="Técnico I",SUMIFS($D:$D,$A:$A,$A1069,$B:$B,"&lt;&gt;Patrícia Karla de Sousa Araújo",$B:$B,"&lt;&gt;Lorena Dias de Araujo",$B:$B,"&lt;&gt;Lucas Luiz Romero")*(23/1083),IF(C1069="JR",SUMIFS($D:$D,$A:$A,$A1069,$B:$B,"&lt;&gt;Patrícia Karla de Sousa Araújo",$B:$B,"&lt;&gt;Lorena Dias de Araujo",$B:$B,"&lt;&gt;Lucas Luiz Romero")*(20/1083),IF(C1069="Estágio",SUMIFS($D:$D,$A:$A,$A1069,$B:$B,"&lt;&gt;Patrícia Karla de Sousa Araújo",$B:$B,"&lt;&gt;Lorena Dias de Araujo",$B:$B,"&lt;&gt;Lucas Luiz Romero")*(10/1083),0)))))),0)</f>
        <v>6</v>
      </c>
      <c r="K1069" s="3">
        <f>I1069-J1069</f>
        <v>-2</v>
      </c>
      <c r="L1069" s="3" t="str">
        <f>IF(K1069&lt;-5,"CRÍTICO",IF(K1069&lt;0,"ATENÇÃO",IF(K1069&lt;=5,"BOM","EXCELENTE")))</f>
        <v>ATENÇÃO</v>
      </c>
      <c r="M1069">
        <v>4</v>
      </c>
      <c r="N1069">
        <v>100</v>
      </c>
      <c r="O1069">
        <v>33.333333333333329</v>
      </c>
    </row>
    <row r="1070" spans="1:15" hidden="1" x14ac:dyDescent="0.25">
      <c r="A1070" s="11">
        <v>46034</v>
      </c>
      <c r="B1070" t="s">
        <v>43</v>
      </c>
      <c r="C1070" t="s">
        <v>32</v>
      </c>
      <c r="D1070">
        <v>0</v>
      </c>
      <c r="E1070">
        <v>0</v>
      </c>
      <c r="F1070">
        <v>0</v>
      </c>
      <c r="G1070">
        <v>0</v>
      </c>
      <c r="H1070">
        <v>0</v>
      </c>
      <c r="I1070" s="3">
        <v>0</v>
      </c>
      <c r="J1070" s="3">
        <v>0</v>
      </c>
      <c r="K1070" s="3">
        <v>0</v>
      </c>
      <c r="L1070" s="3" t="str">
        <f>IF(K1070&lt;-5,"CRÍTICO",IF(K1070&lt;0,"ATENÇÃO",IF(K1070&lt;=5,"BOM","EXCELENTE")))</f>
        <v>BOM</v>
      </c>
      <c r="M1070">
        <v>0</v>
      </c>
      <c r="N1070">
        <v>100</v>
      </c>
      <c r="O1070">
        <v>27.43362831858407</v>
      </c>
    </row>
    <row r="1071" spans="1:15" hidden="1" x14ac:dyDescent="0.25">
      <c r="A1071" s="11">
        <v>46034</v>
      </c>
      <c r="B1071" t="s">
        <v>44</v>
      </c>
      <c r="C1071" t="s">
        <v>32</v>
      </c>
      <c r="D1071">
        <v>35</v>
      </c>
      <c r="E1071">
        <v>30</v>
      </c>
      <c r="F1071">
        <v>15.19</v>
      </c>
      <c r="G1071">
        <v>0</v>
      </c>
      <c r="H1071">
        <v>0</v>
      </c>
      <c r="I1071" s="3">
        <f>E1071+G1071+H1071</f>
        <v>30</v>
      </c>
      <c r="J1071" s="3">
        <f>ROUND(MIN(IF(C1071="Técnico III",35,IF(C1071="Técnico II",28,IF(C1071="Técnico I",23,IF(C1071="JR",20,IF(C1071="Estágio",10,0))))),IF(C1071="Técnico III",SUMIFS($D:$D,$A:$A,$A1071,$B:$B,"&lt;&gt;Patrícia Karla de Sousa Araújo",$B:$B,"&lt;&gt;Lorena Dias de Araujo",$B:$B,"&lt;&gt;Lucas Luiz Romero")*(35/1083),IF(C1071="Técnico II",SUMIFS($D:$D,$A:$A,$A1071,$B:$B,"&lt;&gt;Patrícia Karla de Sousa Araújo",$B:$B,"&lt;&gt;Lorena Dias de Araujo",$B:$B,"&lt;&gt;Lucas Luiz Romero")*(28/1083),IF(C1071="Técnico I",SUMIFS($D:$D,$A:$A,$A1071,$B:$B,"&lt;&gt;Patrícia Karla de Sousa Araújo",$B:$B,"&lt;&gt;Lorena Dias de Araujo",$B:$B,"&lt;&gt;Lucas Luiz Romero")*(23/1083),IF(C1071="JR",SUMIFS($D:$D,$A:$A,$A1071,$B:$B,"&lt;&gt;Patrícia Karla de Sousa Araújo",$B:$B,"&lt;&gt;Lorena Dias de Araujo",$B:$B,"&lt;&gt;Lucas Luiz Romero")*(20/1083),IF(C1071="Estágio",SUMIFS($D:$D,$A:$A,$A1071,$B:$B,"&lt;&gt;Patrícia Karla de Sousa Araújo",$B:$B,"&lt;&gt;Lorena Dias de Araujo",$B:$B,"&lt;&gt;Lucas Luiz Romero")*(10/1083),0)))))),0)</f>
        <v>20</v>
      </c>
      <c r="K1071" s="3">
        <f>I1071-J1071</f>
        <v>10</v>
      </c>
      <c r="L1071" s="3" t="str">
        <f>IF(K1071&lt;-5,"CRÍTICO",IF(K1071&lt;0,"ATENÇÃO",IF(K1071&lt;=5,"BOM","EXCELENTE")))</f>
        <v>EXCELENTE</v>
      </c>
      <c r="M1071">
        <v>30</v>
      </c>
      <c r="N1071">
        <v>98.65</v>
      </c>
      <c r="O1071">
        <v>30.978260869565219</v>
      </c>
    </row>
    <row r="1072" spans="1:15" hidden="1" x14ac:dyDescent="0.25">
      <c r="A1072" s="11">
        <v>46034</v>
      </c>
      <c r="B1072" t="s">
        <v>20</v>
      </c>
      <c r="C1072" t="s">
        <v>16</v>
      </c>
      <c r="D1072">
        <v>0</v>
      </c>
      <c r="E1072">
        <v>0</v>
      </c>
      <c r="F1072">
        <v>0</v>
      </c>
      <c r="G1072">
        <v>0</v>
      </c>
      <c r="H1072">
        <v>0</v>
      </c>
      <c r="I1072" s="3">
        <v>0</v>
      </c>
      <c r="J1072" s="3">
        <v>0</v>
      </c>
      <c r="K1072" s="3">
        <v>0</v>
      </c>
      <c r="L1072" s="3" t="str">
        <f>IF(K1072&lt;-5,"CRÍTICO",IF(K1072&lt;0,"ATENÇÃO",IF(K1072&lt;=5,"BOM","EXCELENTE")))</f>
        <v>BOM</v>
      </c>
      <c r="M1072">
        <v>0</v>
      </c>
      <c r="N1072">
        <v>100</v>
      </c>
      <c r="O1072">
        <v>12</v>
      </c>
    </row>
    <row r="1073" spans="1:15" hidden="1" x14ac:dyDescent="0.25">
      <c r="A1073" s="11">
        <v>46034</v>
      </c>
      <c r="B1073" t="s">
        <v>28</v>
      </c>
      <c r="C1073" t="s">
        <v>26</v>
      </c>
      <c r="D1073">
        <v>0</v>
      </c>
      <c r="E1073">
        <v>0</v>
      </c>
      <c r="F1073">
        <v>0</v>
      </c>
      <c r="G1073">
        <v>0</v>
      </c>
      <c r="H1073">
        <v>0</v>
      </c>
      <c r="I1073" s="3">
        <v>0</v>
      </c>
      <c r="J1073" s="3">
        <v>0</v>
      </c>
      <c r="K1073" s="3">
        <v>0</v>
      </c>
      <c r="L1073" s="3" t="str">
        <f>IF(K1073&lt;-5,"CRÍTICO",IF(K1073&lt;0,"ATENÇÃO",IF(K1073&lt;=5,"BOM","EXCELENTE")))</f>
        <v>BOM</v>
      </c>
      <c r="M1073">
        <v>0</v>
      </c>
      <c r="N1073">
        <v>0</v>
      </c>
      <c r="O1073">
        <v>0</v>
      </c>
    </row>
    <row r="1074" spans="1:15" hidden="1" x14ac:dyDescent="0.25">
      <c r="A1074" s="11">
        <v>46034</v>
      </c>
      <c r="B1074" t="s">
        <v>58</v>
      </c>
      <c r="C1074" t="s">
        <v>48</v>
      </c>
      <c r="D1074">
        <v>0</v>
      </c>
      <c r="E1074">
        <v>0</v>
      </c>
      <c r="F1074">
        <v>0</v>
      </c>
      <c r="G1074">
        <v>0</v>
      </c>
      <c r="H1074">
        <v>0</v>
      </c>
      <c r="I1074" s="3">
        <v>0</v>
      </c>
      <c r="J1074" s="3">
        <v>0</v>
      </c>
      <c r="K1074" s="3">
        <v>0</v>
      </c>
      <c r="L1074" s="3" t="str">
        <f>IF(K1074&lt;-5,"CRÍTICO",IF(K1074&lt;0,"ATENÇÃO",IF(K1074&lt;=5,"BOM","EXCELENTE")))</f>
        <v>BOM</v>
      </c>
      <c r="M1074">
        <v>0</v>
      </c>
      <c r="N1074">
        <v>97.56</v>
      </c>
      <c r="O1074">
        <v>31.067961165048541</v>
      </c>
    </row>
    <row r="1075" spans="1:15" hidden="1" x14ac:dyDescent="0.25">
      <c r="A1075" s="11">
        <v>46034</v>
      </c>
      <c r="B1075" t="s">
        <v>29</v>
      </c>
      <c r="C1075" t="s">
        <v>26</v>
      </c>
      <c r="D1075">
        <v>0</v>
      </c>
      <c r="E1075">
        <v>0</v>
      </c>
      <c r="F1075">
        <v>0</v>
      </c>
      <c r="G1075">
        <v>0</v>
      </c>
      <c r="H1075">
        <v>0</v>
      </c>
      <c r="I1075" s="3">
        <v>0</v>
      </c>
      <c r="J1075" s="3">
        <v>0</v>
      </c>
      <c r="K1075" s="3">
        <v>0</v>
      </c>
      <c r="L1075" s="3" t="str">
        <f>IF(K1075&lt;-5,"CRÍTICO",IF(K1075&lt;0,"ATENÇÃO",IF(K1075&lt;=5,"BOM","EXCELENTE")))</f>
        <v>BOM</v>
      </c>
      <c r="M1075">
        <v>0</v>
      </c>
      <c r="N1075">
        <v>0</v>
      </c>
      <c r="O1075">
        <v>0</v>
      </c>
    </row>
    <row r="1076" spans="1:15" hidden="1" x14ac:dyDescent="0.25">
      <c r="A1076" s="11">
        <v>46034</v>
      </c>
      <c r="B1076" t="s">
        <v>30</v>
      </c>
      <c r="C1076" t="s">
        <v>26</v>
      </c>
      <c r="D1076">
        <v>0</v>
      </c>
      <c r="E1076">
        <v>0</v>
      </c>
      <c r="F1076">
        <v>0</v>
      </c>
      <c r="G1076">
        <v>0</v>
      </c>
      <c r="H1076">
        <v>0</v>
      </c>
      <c r="I1076" s="3">
        <v>0</v>
      </c>
      <c r="J1076" s="3">
        <v>0</v>
      </c>
      <c r="K1076" s="3">
        <v>0</v>
      </c>
      <c r="L1076" s="3" t="str">
        <f>IF(K1076&lt;-5,"CRÍTICO",IF(K1076&lt;0,"ATENÇÃO",IF(K1076&lt;=5,"BOM","EXCELENTE")))</f>
        <v>BOM</v>
      </c>
      <c r="M1076">
        <v>0</v>
      </c>
      <c r="N1076">
        <v>0</v>
      </c>
      <c r="O1076">
        <v>0</v>
      </c>
    </row>
    <row r="1077" spans="1:15" hidden="1" x14ac:dyDescent="0.25">
      <c r="A1077" s="11">
        <v>46034</v>
      </c>
      <c r="B1077" t="s">
        <v>21</v>
      </c>
      <c r="C1077" t="s">
        <v>16</v>
      </c>
      <c r="D1077">
        <v>0</v>
      </c>
      <c r="E1077">
        <v>0</v>
      </c>
      <c r="F1077">
        <v>0</v>
      </c>
      <c r="G1077">
        <v>0</v>
      </c>
      <c r="H1077">
        <v>0</v>
      </c>
      <c r="I1077" s="3">
        <v>0</v>
      </c>
      <c r="J1077" s="3">
        <v>0</v>
      </c>
      <c r="K1077" s="3">
        <v>0</v>
      </c>
      <c r="L1077" s="3" t="str">
        <f>IF(K1077&lt;-5,"CRÍTICO",IF(K1077&lt;0,"ATENÇÃO",IF(K1077&lt;=5,"BOM","EXCELENTE")))</f>
        <v>BOM</v>
      </c>
      <c r="M1077">
        <v>0</v>
      </c>
      <c r="N1077">
        <v>0</v>
      </c>
      <c r="O1077">
        <v>0</v>
      </c>
    </row>
    <row r="1078" spans="1:15" hidden="1" x14ac:dyDescent="0.25">
      <c r="A1078" s="11">
        <v>46034</v>
      </c>
      <c r="B1078" t="s">
        <v>63</v>
      </c>
      <c r="C1078" t="s">
        <v>23</v>
      </c>
      <c r="D1078">
        <v>0</v>
      </c>
      <c r="E1078">
        <v>0</v>
      </c>
      <c r="F1078">
        <v>0</v>
      </c>
      <c r="G1078">
        <v>0</v>
      </c>
      <c r="H1078">
        <v>0</v>
      </c>
      <c r="I1078" s="3">
        <v>0</v>
      </c>
      <c r="J1078" s="3">
        <v>0</v>
      </c>
      <c r="K1078" s="3">
        <v>0</v>
      </c>
      <c r="L1078" s="3" t="str">
        <f>IF(K1078&lt;-5,"CRÍTICO",IF(K1078&lt;0,"ATENÇÃO",IF(K1078&lt;=5,"BOM","EXCELENTE")))</f>
        <v>BOM</v>
      </c>
      <c r="M1078">
        <v>0</v>
      </c>
      <c r="N1078">
        <v>100</v>
      </c>
      <c r="O1078">
        <v>53.846153846153847</v>
      </c>
    </row>
    <row r="1079" spans="1:15" hidden="1" x14ac:dyDescent="0.25">
      <c r="A1079" s="11">
        <v>46034</v>
      </c>
      <c r="B1079" t="s">
        <v>45</v>
      </c>
      <c r="C1079" t="s">
        <v>32</v>
      </c>
      <c r="D1079">
        <v>0</v>
      </c>
      <c r="E1079">
        <v>0</v>
      </c>
      <c r="F1079">
        <v>0</v>
      </c>
      <c r="G1079">
        <v>0</v>
      </c>
      <c r="H1079">
        <v>0</v>
      </c>
      <c r="I1079" s="3">
        <v>0</v>
      </c>
      <c r="J1079" s="3">
        <v>0</v>
      </c>
      <c r="K1079" s="3">
        <v>0</v>
      </c>
      <c r="L1079" s="3" t="str">
        <f>IF(K1079&lt;-5,"CRÍTICO",IF(K1079&lt;0,"ATENÇÃO",IF(K1079&lt;=5,"BOM","EXCELENTE")))</f>
        <v>BOM</v>
      </c>
      <c r="M1079">
        <v>0</v>
      </c>
      <c r="N1079">
        <v>100</v>
      </c>
      <c r="O1079">
        <v>44.05594405594406</v>
      </c>
    </row>
    <row r="1080" spans="1:15" hidden="1" x14ac:dyDescent="0.25">
      <c r="A1080" s="11">
        <v>46034</v>
      </c>
      <c r="B1080" t="s">
        <v>64</v>
      </c>
      <c r="C1080" t="s">
        <v>23</v>
      </c>
      <c r="D1080">
        <v>17</v>
      </c>
      <c r="E1080">
        <v>16</v>
      </c>
      <c r="F1080">
        <v>27.23</v>
      </c>
      <c r="G1080">
        <v>0</v>
      </c>
      <c r="H1080">
        <v>0</v>
      </c>
      <c r="I1080" s="3">
        <f>E1080+G1080+H1080</f>
        <v>16</v>
      </c>
      <c r="J1080" s="3">
        <f>ROUND(MIN(IF(C1080="Técnico III",35,IF(C1080="Técnico II",28,IF(C1080="Técnico I",23,IF(C1080="JR",20,IF(C1080="Estágio",10,0))))),IF(C1080="Técnico III",SUMIFS($D:$D,$A:$A,$A1080,$B:$B,"&lt;&gt;Patrícia Karla de Sousa Araújo",$B:$B,"&lt;&gt;Lorena Dias de Araujo",$B:$B,"&lt;&gt;Lucas Luiz Romero")*(35/1083),IF(C1080="Técnico II",SUMIFS($D:$D,$A:$A,$A1080,$B:$B,"&lt;&gt;Patrícia Karla de Sousa Araújo",$B:$B,"&lt;&gt;Lorena Dias de Araujo",$B:$B,"&lt;&gt;Lucas Luiz Romero")*(28/1083),IF(C1080="Técnico I",SUMIFS($D:$D,$A:$A,$A1080,$B:$B,"&lt;&gt;Patrícia Karla de Sousa Araújo",$B:$B,"&lt;&gt;Lorena Dias de Araujo",$B:$B,"&lt;&gt;Lucas Luiz Romero")*(23/1083),IF(C1080="JR",SUMIFS($D:$D,$A:$A,$A1080,$B:$B,"&lt;&gt;Patrícia Karla de Sousa Araújo",$B:$B,"&lt;&gt;Lorena Dias de Araujo",$B:$B,"&lt;&gt;Lucas Luiz Romero")*(20/1083),IF(C1080="Estágio",SUMIFS($D:$D,$A:$A,$A1080,$B:$B,"&lt;&gt;Patrícia Karla de Sousa Araújo",$B:$B,"&lt;&gt;Lorena Dias de Araujo",$B:$B,"&lt;&gt;Lucas Luiz Romero")*(10/1083),0)))))),0)</f>
        <v>13</v>
      </c>
      <c r="K1080" s="3">
        <f>I1080-J1080</f>
        <v>3</v>
      </c>
      <c r="L1080" s="3" t="str">
        <f>IF(K1080&lt;-5,"CRÍTICO",IF(K1080&lt;0,"ATENÇÃO",IF(K1080&lt;=5,"BOM","EXCELENTE")))</f>
        <v>BOM</v>
      </c>
      <c r="M1080">
        <v>13</v>
      </c>
      <c r="N1080">
        <v>100</v>
      </c>
      <c r="O1080">
        <v>31.872509960159359</v>
      </c>
    </row>
    <row r="1081" spans="1:15" hidden="1" x14ac:dyDescent="0.25">
      <c r="A1081" s="11">
        <v>46034</v>
      </c>
      <c r="B1081" t="s">
        <v>46</v>
      </c>
      <c r="C1081" t="s">
        <v>32</v>
      </c>
      <c r="D1081">
        <v>20</v>
      </c>
      <c r="E1081">
        <v>20</v>
      </c>
      <c r="F1081">
        <v>23.24</v>
      </c>
      <c r="G1081">
        <v>0</v>
      </c>
      <c r="H1081">
        <v>0</v>
      </c>
      <c r="I1081" s="3">
        <f>E1081+G1081+H1081</f>
        <v>20</v>
      </c>
      <c r="J1081" s="3">
        <f>ROUND(MIN(IF(C1081="Técnico III",35,IF(C1081="Técnico II",28,IF(C1081="Técnico I",23,IF(C1081="JR",20,IF(C1081="Estágio",10,0))))),IF(C1081="Técnico III",SUMIFS($D:$D,$A:$A,$A1081,$B:$B,"&lt;&gt;Patrícia Karla de Sousa Araújo",$B:$B,"&lt;&gt;Lorena Dias de Araujo",$B:$B,"&lt;&gt;Lucas Luiz Romero")*(35/1083),IF(C1081="Técnico II",SUMIFS($D:$D,$A:$A,$A1081,$B:$B,"&lt;&gt;Patrícia Karla de Sousa Araújo",$B:$B,"&lt;&gt;Lorena Dias de Araujo",$B:$B,"&lt;&gt;Lucas Luiz Romero")*(28/1083),IF(C1081="Técnico I",SUMIFS($D:$D,$A:$A,$A1081,$B:$B,"&lt;&gt;Patrícia Karla de Sousa Araújo",$B:$B,"&lt;&gt;Lorena Dias de Araujo",$B:$B,"&lt;&gt;Lucas Luiz Romero")*(23/1083),IF(C1081="JR",SUMIFS($D:$D,$A:$A,$A1081,$B:$B,"&lt;&gt;Patrícia Karla de Sousa Araújo",$B:$B,"&lt;&gt;Lorena Dias de Araujo",$B:$B,"&lt;&gt;Lucas Luiz Romero")*(20/1083),IF(C1081="Estágio",SUMIFS($D:$D,$A:$A,$A1081,$B:$B,"&lt;&gt;Patrícia Karla de Sousa Araújo",$B:$B,"&lt;&gt;Lorena Dias de Araujo",$B:$B,"&lt;&gt;Lucas Luiz Romero")*(10/1083),0)))))),0)</f>
        <v>20</v>
      </c>
      <c r="K1081" s="3">
        <f>I1081-J1081</f>
        <v>0</v>
      </c>
      <c r="L1081" s="3" t="str">
        <f>IF(K1081&lt;-5,"CRÍTICO",IF(K1081&lt;0,"ATENÇÃO",IF(K1081&lt;=5,"BOM","EXCELENTE")))</f>
        <v>BOM</v>
      </c>
      <c r="M1081">
        <v>20</v>
      </c>
      <c r="N1081">
        <v>98.41</v>
      </c>
      <c r="O1081">
        <v>29.22465208747515</v>
      </c>
    </row>
    <row r="1082" spans="1:15" hidden="1" x14ac:dyDescent="0.25">
      <c r="A1082" s="11">
        <v>46035</v>
      </c>
      <c r="B1082" t="s">
        <v>47</v>
      </c>
      <c r="C1082" t="s">
        <v>48</v>
      </c>
      <c r="D1082">
        <v>29</v>
      </c>
      <c r="E1082">
        <v>26</v>
      </c>
      <c r="F1082">
        <v>23.34</v>
      </c>
      <c r="G1082">
        <v>0</v>
      </c>
      <c r="H1082">
        <v>0</v>
      </c>
      <c r="I1082" s="3">
        <f>E1082+G1082+H1082</f>
        <v>26</v>
      </c>
      <c r="J1082" s="3">
        <f>ROUND(MIN(IF(C1082="Técnico III",35,IF(C1082="Técnico II",28,IF(C1082="Técnico I",23,IF(C1082="JR",20,IF(C1082="Estágio",10,0))))),IF(C1082="Técnico III",SUMIFS($D:$D,$A:$A,$A1082,$B:$B,"&lt;&gt;Patrícia Karla de Sousa Araújo",$B:$B,"&lt;&gt;Lorena Dias de Araujo",$B:$B,"&lt;&gt;Lucas Luiz Romero")*(35/1083),IF(C1082="Técnico II",SUMIFS($D:$D,$A:$A,$A1082,$B:$B,"&lt;&gt;Patrícia Karla de Sousa Araújo",$B:$B,"&lt;&gt;Lorena Dias de Araujo",$B:$B,"&lt;&gt;Lucas Luiz Romero")*(28/1083),IF(C1082="Técnico I",SUMIFS($D:$D,$A:$A,$A1082,$B:$B,"&lt;&gt;Patrícia Karla de Sousa Araújo",$B:$B,"&lt;&gt;Lorena Dias de Araujo",$B:$B,"&lt;&gt;Lucas Luiz Romero")*(23/1083),IF(C1082="JR",SUMIFS($D:$D,$A:$A,$A1082,$B:$B,"&lt;&gt;Patrícia Karla de Sousa Araújo",$B:$B,"&lt;&gt;Lorena Dias de Araujo",$B:$B,"&lt;&gt;Lucas Luiz Romero")*(20/1083),IF(C1082="Estágio",SUMIFS($D:$D,$A:$A,$A1082,$B:$B,"&lt;&gt;Patrícia Karla de Sousa Araújo",$B:$B,"&lt;&gt;Lorena Dias de Araujo",$B:$B,"&lt;&gt;Lucas Luiz Romero")*(10/1083),0)))))),0)</f>
        <v>18</v>
      </c>
      <c r="K1082" s="3">
        <f>I1082-J1082</f>
        <v>8</v>
      </c>
      <c r="L1082" s="3" t="str">
        <f>IF(K1082&lt;-5,"CRÍTICO",IF(K1082&lt;0,"ATENÇÃO",IF(K1082&lt;=5,"BOM","EXCELENTE")))</f>
        <v>EXCELENTE</v>
      </c>
      <c r="M1082">
        <v>20</v>
      </c>
      <c r="N1082">
        <v>96.81</v>
      </c>
      <c r="O1082">
        <v>27.980535279805348</v>
      </c>
    </row>
    <row r="1083" spans="1:15" hidden="1" x14ac:dyDescent="0.25">
      <c r="A1083" s="11">
        <v>46035</v>
      </c>
      <c r="B1083" t="s">
        <v>31</v>
      </c>
      <c r="C1083" t="s">
        <v>32</v>
      </c>
      <c r="D1083">
        <v>0</v>
      </c>
      <c r="E1083">
        <v>0</v>
      </c>
      <c r="F1083">
        <v>0</v>
      </c>
      <c r="G1083">
        <v>0</v>
      </c>
      <c r="H1083">
        <v>0</v>
      </c>
      <c r="I1083" s="3">
        <v>0</v>
      </c>
      <c r="J1083" s="3">
        <v>0</v>
      </c>
      <c r="K1083" s="3">
        <v>0</v>
      </c>
      <c r="L1083" s="3" t="str">
        <f>IF(K1083&lt;-5,"CRÍTICO",IF(K1083&lt;0,"ATENÇÃO",IF(K1083&lt;=5,"BOM","EXCELENTE")))</f>
        <v>BOM</v>
      </c>
      <c r="M1083">
        <v>15</v>
      </c>
      <c r="N1083">
        <v>98.73</v>
      </c>
      <c r="O1083">
        <v>35.756385068762278</v>
      </c>
    </row>
    <row r="1084" spans="1:15" hidden="1" x14ac:dyDescent="0.25">
      <c r="A1084" s="11">
        <v>46035</v>
      </c>
      <c r="B1084" t="s">
        <v>59</v>
      </c>
      <c r="C1084" t="s">
        <v>23</v>
      </c>
      <c r="D1084">
        <v>26</v>
      </c>
      <c r="E1084">
        <v>21</v>
      </c>
      <c r="F1084">
        <v>19.16</v>
      </c>
      <c r="G1084">
        <v>0</v>
      </c>
      <c r="H1084">
        <v>0</v>
      </c>
      <c r="I1084" s="3">
        <f>E1084+G1084+H1084</f>
        <v>21</v>
      </c>
      <c r="J1084" s="3">
        <f>ROUND(MIN(IF(C1084="Técnico III",35,IF(C1084="Técnico II",28,IF(C1084="Técnico I",23,IF(C1084="JR",20,IF(C1084="Estágio",10,0))))),IF(C1084="Técnico III",SUMIFS($D:$D,$A:$A,$A1084,$B:$B,"&lt;&gt;Patrícia Karla de Sousa Araújo",$B:$B,"&lt;&gt;Lorena Dias de Araujo",$B:$B,"&lt;&gt;Lucas Luiz Romero")*(35/1083),IF(C1084="Técnico II",SUMIFS($D:$D,$A:$A,$A1084,$B:$B,"&lt;&gt;Patrícia Karla de Sousa Araújo",$B:$B,"&lt;&gt;Lorena Dias de Araujo",$B:$B,"&lt;&gt;Lucas Luiz Romero")*(28/1083),IF(C1084="Técnico I",SUMIFS($D:$D,$A:$A,$A1084,$B:$B,"&lt;&gt;Patrícia Karla de Sousa Araújo",$B:$B,"&lt;&gt;Lorena Dias de Araujo",$B:$B,"&lt;&gt;Lucas Luiz Romero")*(23/1083),IF(C1084="JR",SUMIFS($D:$D,$A:$A,$A1084,$B:$B,"&lt;&gt;Patrícia Karla de Sousa Araújo",$B:$B,"&lt;&gt;Lorena Dias de Araujo",$B:$B,"&lt;&gt;Lucas Luiz Romero")*(20/1083),IF(C1084="Estágio",SUMIFS($D:$D,$A:$A,$A1084,$B:$B,"&lt;&gt;Patrícia Karla de Sousa Araújo",$B:$B,"&lt;&gt;Lorena Dias de Araujo",$B:$B,"&lt;&gt;Lucas Luiz Romero")*(10/1083),0)))))),0)</f>
        <v>14</v>
      </c>
      <c r="K1084" s="3">
        <f>I1084-J1084</f>
        <v>7</v>
      </c>
      <c r="L1084" s="3" t="str">
        <f>IF(K1084&lt;-5,"CRÍTICO",IF(K1084&lt;0,"ATENÇÃO",IF(K1084&lt;=5,"BOM","EXCELENTE")))</f>
        <v>EXCELENTE</v>
      </c>
      <c r="M1084">
        <v>22</v>
      </c>
      <c r="N1084">
        <v>98.32</v>
      </c>
      <c r="O1084">
        <v>26.763485477178421</v>
      </c>
    </row>
    <row r="1085" spans="1:15" hidden="1" x14ac:dyDescent="0.25">
      <c r="A1085" s="11">
        <v>46035</v>
      </c>
      <c r="B1085" t="s">
        <v>33</v>
      </c>
      <c r="C1085" t="s">
        <v>32</v>
      </c>
      <c r="D1085">
        <v>22</v>
      </c>
      <c r="E1085">
        <v>19</v>
      </c>
      <c r="F1085">
        <v>22.28</v>
      </c>
      <c r="G1085">
        <v>0</v>
      </c>
      <c r="H1085">
        <v>0</v>
      </c>
      <c r="I1085" s="3">
        <f>E1085+G1085+H1085</f>
        <v>19</v>
      </c>
      <c r="J1085" s="3">
        <f>ROUND(MIN(IF(C1085="Técnico III",35,IF(C1085="Técnico II",28,IF(C1085="Técnico I",23,IF(C1085="JR",20,IF(C1085="Estágio",10,0))))),IF(C1085="Técnico III",SUMIFS($D:$D,$A:$A,$A1085,$B:$B,"&lt;&gt;Patrícia Karla de Sousa Araújo",$B:$B,"&lt;&gt;Lorena Dias de Araujo",$B:$B,"&lt;&gt;Lucas Luiz Romero")*(35/1083),IF(C1085="Técnico II",SUMIFS($D:$D,$A:$A,$A1085,$B:$B,"&lt;&gt;Patrícia Karla de Sousa Araújo",$B:$B,"&lt;&gt;Lorena Dias de Araujo",$B:$B,"&lt;&gt;Lucas Luiz Romero")*(28/1083),IF(C1085="Técnico I",SUMIFS($D:$D,$A:$A,$A1085,$B:$B,"&lt;&gt;Patrícia Karla de Sousa Araújo",$B:$B,"&lt;&gt;Lorena Dias de Araujo",$B:$B,"&lt;&gt;Lucas Luiz Romero")*(23/1083),IF(C1085="JR",SUMIFS($D:$D,$A:$A,$A1085,$B:$B,"&lt;&gt;Patrícia Karla de Sousa Araújo",$B:$B,"&lt;&gt;Lorena Dias de Araujo",$B:$B,"&lt;&gt;Lucas Luiz Romero")*(20/1083),IF(C1085="Estágio",SUMIFS($D:$D,$A:$A,$A1085,$B:$B,"&lt;&gt;Patrícia Karla de Sousa Araújo",$B:$B,"&lt;&gt;Lorena Dias de Araujo",$B:$B,"&lt;&gt;Lucas Luiz Romero")*(10/1083),0)))))),0)</f>
        <v>22</v>
      </c>
      <c r="K1085" s="3">
        <f>I1085-J1085</f>
        <v>-3</v>
      </c>
      <c r="L1085" s="3" t="str">
        <f>IF(K1085&lt;-5,"CRÍTICO",IF(K1085&lt;0,"ATENÇÃO",IF(K1085&lt;=5,"BOM","EXCELENTE")))</f>
        <v>ATENÇÃO</v>
      </c>
      <c r="M1085">
        <v>16</v>
      </c>
      <c r="N1085">
        <v>99.19</v>
      </c>
      <c r="O1085">
        <v>27.637130801687761</v>
      </c>
    </row>
    <row r="1086" spans="1:15" hidden="1" x14ac:dyDescent="0.25">
      <c r="A1086" s="11">
        <v>46035</v>
      </c>
      <c r="B1086" t="s">
        <v>15</v>
      </c>
      <c r="C1086" t="s">
        <v>16</v>
      </c>
      <c r="D1086">
        <v>0</v>
      </c>
      <c r="E1086">
        <v>0</v>
      </c>
      <c r="F1086">
        <v>0</v>
      </c>
      <c r="G1086">
        <v>0</v>
      </c>
      <c r="H1086">
        <v>0</v>
      </c>
      <c r="I1086" s="3">
        <v>0</v>
      </c>
      <c r="J1086" s="3">
        <v>0</v>
      </c>
      <c r="K1086" s="3">
        <v>0</v>
      </c>
      <c r="L1086" s="3" t="str">
        <f>IF(K1086&lt;-5,"CRÍTICO",IF(K1086&lt;0,"ATENÇÃO",IF(K1086&lt;=5,"BOM","EXCELENTE")))</f>
        <v>BOM</v>
      </c>
      <c r="M1086">
        <v>0</v>
      </c>
      <c r="N1086">
        <v>100</v>
      </c>
      <c r="O1086">
        <v>39.568345323741013</v>
      </c>
    </row>
    <row r="1087" spans="1:15" hidden="1" x14ac:dyDescent="0.25">
      <c r="A1087" s="11">
        <v>46035</v>
      </c>
      <c r="B1087" t="s">
        <v>49</v>
      </c>
      <c r="C1087" t="s">
        <v>48</v>
      </c>
      <c r="D1087">
        <v>30</v>
      </c>
      <c r="E1087">
        <v>26</v>
      </c>
      <c r="F1087">
        <v>17.39</v>
      </c>
      <c r="G1087">
        <v>0</v>
      </c>
      <c r="H1087">
        <v>0</v>
      </c>
      <c r="I1087" s="3">
        <f>E1087+G1087+H1087</f>
        <v>26</v>
      </c>
      <c r="J1087" s="3">
        <f>ROUND(MIN(IF(C1087="Técnico III",35,IF(C1087="Técnico II",28,IF(C1087="Técnico I",23,IF(C1087="JR",20,IF(C1087="Estágio",10,0))))),IF(C1087="Técnico III",SUMIFS($D:$D,$A:$A,$A1087,$B:$B,"&lt;&gt;Patrícia Karla de Sousa Araújo",$B:$B,"&lt;&gt;Lorena Dias de Araujo",$B:$B,"&lt;&gt;Lucas Luiz Romero")*(35/1083),IF(C1087="Técnico II",SUMIFS($D:$D,$A:$A,$A1087,$B:$B,"&lt;&gt;Patrícia Karla de Sousa Araújo",$B:$B,"&lt;&gt;Lorena Dias de Araujo",$B:$B,"&lt;&gt;Lucas Luiz Romero")*(28/1083),IF(C1087="Técnico I",SUMIFS($D:$D,$A:$A,$A1087,$B:$B,"&lt;&gt;Patrícia Karla de Sousa Araújo",$B:$B,"&lt;&gt;Lorena Dias de Araujo",$B:$B,"&lt;&gt;Lucas Luiz Romero")*(23/1083),IF(C1087="JR",SUMIFS($D:$D,$A:$A,$A1087,$B:$B,"&lt;&gt;Patrícia Karla de Sousa Araújo",$B:$B,"&lt;&gt;Lorena Dias de Araujo",$B:$B,"&lt;&gt;Lucas Luiz Romero")*(20/1083),IF(C1087="Estágio",SUMIFS($D:$D,$A:$A,$A1087,$B:$B,"&lt;&gt;Patrícia Karla de Sousa Araújo",$B:$B,"&lt;&gt;Lorena Dias de Araujo",$B:$B,"&lt;&gt;Lucas Luiz Romero")*(10/1083),0)))))),0)</f>
        <v>18</v>
      </c>
      <c r="K1087" s="3">
        <f>I1087-J1087</f>
        <v>8</v>
      </c>
      <c r="L1087" s="3" t="str">
        <f>IF(K1087&lt;-5,"CRÍTICO",IF(K1087&lt;0,"ATENÇÃO",IF(K1087&lt;=5,"BOM","EXCELENTE")))</f>
        <v>EXCELENTE</v>
      </c>
      <c r="M1087">
        <v>25</v>
      </c>
      <c r="N1087">
        <v>98.54</v>
      </c>
      <c r="O1087">
        <v>28.544776119402989</v>
      </c>
    </row>
    <row r="1088" spans="1:15" hidden="1" x14ac:dyDescent="0.25">
      <c r="A1088" s="11">
        <v>46035</v>
      </c>
      <c r="B1088" t="s">
        <v>50</v>
      </c>
      <c r="C1088" t="s">
        <v>48</v>
      </c>
      <c r="D1088">
        <v>25</v>
      </c>
      <c r="E1088">
        <v>24</v>
      </c>
      <c r="F1088">
        <v>25.12</v>
      </c>
      <c r="G1088">
        <v>0</v>
      </c>
      <c r="H1088">
        <v>0</v>
      </c>
      <c r="I1088" s="3">
        <f>E1088+G1088+H1088</f>
        <v>24</v>
      </c>
      <c r="J1088" s="3">
        <f>ROUND(MIN(IF(C1088="Técnico III",35,IF(C1088="Técnico II",28,IF(C1088="Técnico I",23,IF(C1088="JR",20,IF(C1088="Estágio",10,0))))),IF(C1088="Técnico III",SUMIFS($D:$D,$A:$A,$A1088,$B:$B,"&lt;&gt;Patrícia Karla de Sousa Araújo",$B:$B,"&lt;&gt;Lorena Dias de Araujo",$B:$B,"&lt;&gt;Lucas Luiz Romero")*(35/1083),IF(C1088="Técnico II",SUMIFS($D:$D,$A:$A,$A1088,$B:$B,"&lt;&gt;Patrícia Karla de Sousa Araújo",$B:$B,"&lt;&gt;Lorena Dias de Araujo",$B:$B,"&lt;&gt;Lucas Luiz Romero")*(28/1083),IF(C1088="Técnico I",SUMIFS($D:$D,$A:$A,$A1088,$B:$B,"&lt;&gt;Patrícia Karla de Sousa Araújo",$B:$B,"&lt;&gt;Lorena Dias de Araujo",$B:$B,"&lt;&gt;Lucas Luiz Romero")*(23/1083),IF(C1088="JR",SUMIFS($D:$D,$A:$A,$A1088,$B:$B,"&lt;&gt;Patrícia Karla de Sousa Araújo",$B:$B,"&lt;&gt;Lorena Dias de Araujo",$B:$B,"&lt;&gt;Lucas Luiz Romero")*(20/1083),IF(C1088="Estágio",SUMIFS($D:$D,$A:$A,$A1088,$B:$B,"&lt;&gt;Patrícia Karla de Sousa Araújo",$B:$B,"&lt;&gt;Lorena Dias de Araujo",$B:$B,"&lt;&gt;Lucas Luiz Romero")*(10/1083),0)))))),0)</f>
        <v>18</v>
      </c>
      <c r="K1088" s="3">
        <f>I1088-J1088</f>
        <v>6</v>
      </c>
      <c r="L1088" s="3" t="str">
        <f>IF(K1088&lt;-5,"CRÍTICO",IF(K1088&lt;0,"ATENÇÃO",IF(K1088&lt;=5,"BOM","EXCELENTE")))</f>
        <v>EXCELENTE</v>
      </c>
      <c r="M1088">
        <v>23</v>
      </c>
      <c r="N1088">
        <v>100</v>
      </c>
      <c r="O1088">
        <v>34.366925064599492</v>
      </c>
    </row>
    <row r="1089" spans="1:15" hidden="1" x14ac:dyDescent="0.25">
      <c r="A1089" s="11">
        <v>46035</v>
      </c>
      <c r="B1089" t="s">
        <v>17</v>
      </c>
      <c r="C1089" t="s">
        <v>16</v>
      </c>
      <c r="D1089">
        <v>0</v>
      </c>
      <c r="E1089">
        <v>0</v>
      </c>
      <c r="F1089">
        <v>0</v>
      </c>
      <c r="G1089">
        <v>0</v>
      </c>
      <c r="H1089">
        <v>0</v>
      </c>
      <c r="I1089" s="3">
        <v>0</v>
      </c>
      <c r="J1089" s="3">
        <v>0</v>
      </c>
      <c r="K1089" s="3">
        <v>0</v>
      </c>
      <c r="L1089" s="3" t="str">
        <f>IF(K1089&lt;-5,"CRÍTICO",IF(K1089&lt;0,"ATENÇÃO",IF(K1089&lt;=5,"BOM","EXCELENTE")))</f>
        <v>BOM</v>
      </c>
      <c r="M1089">
        <v>0</v>
      </c>
      <c r="N1089">
        <v>0</v>
      </c>
      <c r="O1089">
        <v>0</v>
      </c>
    </row>
    <row r="1090" spans="1:15" hidden="1" x14ac:dyDescent="0.25">
      <c r="A1090" s="11">
        <v>46035</v>
      </c>
      <c r="B1090" t="s">
        <v>60</v>
      </c>
      <c r="C1090" t="s">
        <v>23</v>
      </c>
      <c r="D1090">
        <v>17</v>
      </c>
      <c r="E1090">
        <v>17</v>
      </c>
      <c r="F1090">
        <v>27.32</v>
      </c>
      <c r="G1090">
        <v>0</v>
      </c>
      <c r="H1090">
        <v>0</v>
      </c>
      <c r="I1090" s="3">
        <f>E1090+G1090+H1090</f>
        <v>17</v>
      </c>
      <c r="J1090" s="3">
        <f>ROUND(MIN(IF(C1090="Técnico III",35,IF(C1090="Técnico II",28,IF(C1090="Técnico I",23,IF(C1090="JR",20,IF(C1090="Estágio",10,0))))),IF(C1090="Técnico III",SUMIFS($D:$D,$A:$A,$A1090,$B:$B,"&lt;&gt;Patrícia Karla de Sousa Araújo",$B:$B,"&lt;&gt;Lorena Dias de Araujo",$B:$B,"&lt;&gt;Lucas Luiz Romero")*(35/1083),IF(C1090="Técnico II",SUMIFS($D:$D,$A:$A,$A1090,$B:$B,"&lt;&gt;Patrícia Karla de Sousa Araújo",$B:$B,"&lt;&gt;Lorena Dias de Araujo",$B:$B,"&lt;&gt;Lucas Luiz Romero")*(28/1083),IF(C1090="Técnico I",SUMIFS($D:$D,$A:$A,$A1090,$B:$B,"&lt;&gt;Patrícia Karla de Sousa Araújo",$B:$B,"&lt;&gt;Lorena Dias de Araujo",$B:$B,"&lt;&gt;Lucas Luiz Romero")*(23/1083),IF(C1090="JR",SUMIFS($D:$D,$A:$A,$A1090,$B:$B,"&lt;&gt;Patrícia Karla de Sousa Araújo",$B:$B,"&lt;&gt;Lorena Dias de Araujo",$B:$B,"&lt;&gt;Lucas Luiz Romero")*(20/1083),IF(C1090="Estágio",SUMIFS($D:$D,$A:$A,$A1090,$B:$B,"&lt;&gt;Patrícia Karla de Sousa Araújo",$B:$B,"&lt;&gt;Lorena Dias de Araujo",$B:$B,"&lt;&gt;Lucas Luiz Romero")*(10/1083),0)))))),0)</f>
        <v>14</v>
      </c>
      <c r="K1090" s="3">
        <f>I1090-J1090</f>
        <v>3</v>
      </c>
      <c r="L1090" s="3" t="str">
        <f>IF(K1090&lt;-5,"CRÍTICO",IF(K1090&lt;0,"ATENÇÃO",IF(K1090&lt;=5,"BOM","EXCELENTE")))</f>
        <v>BOM</v>
      </c>
      <c r="M1090">
        <v>13</v>
      </c>
      <c r="N1090">
        <v>100</v>
      </c>
      <c r="O1090">
        <v>29.518072289156631</v>
      </c>
    </row>
    <row r="1091" spans="1:15" hidden="1" x14ac:dyDescent="0.25">
      <c r="A1091" s="11">
        <v>46035</v>
      </c>
      <c r="B1091" t="s">
        <v>34</v>
      </c>
      <c r="C1091" t="s">
        <v>32</v>
      </c>
      <c r="D1091">
        <v>36</v>
      </c>
      <c r="E1091">
        <v>35</v>
      </c>
      <c r="F1091">
        <v>15.3</v>
      </c>
      <c r="G1091">
        <v>0</v>
      </c>
      <c r="H1091">
        <v>0</v>
      </c>
      <c r="I1091" s="3">
        <f>E1091+G1091+H1091</f>
        <v>35</v>
      </c>
      <c r="J1091" s="3">
        <f>ROUND(MIN(IF(C1091="Técnico III",35,IF(C1091="Técnico II",28,IF(C1091="Técnico I",23,IF(C1091="JR",20,IF(C1091="Estágio",10,0))))),IF(C1091="Técnico III",SUMIFS($D:$D,$A:$A,$A1091,$B:$B,"&lt;&gt;Patrícia Karla de Sousa Araújo",$B:$B,"&lt;&gt;Lorena Dias de Araujo",$B:$B,"&lt;&gt;Lucas Luiz Romero")*(35/1083),IF(C1091="Técnico II",SUMIFS($D:$D,$A:$A,$A1091,$B:$B,"&lt;&gt;Patrícia Karla de Sousa Araújo",$B:$B,"&lt;&gt;Lorena Dias de Araujo",$B:$B,"&lt;&gt;Lucas Luiz Romero")*(28/1083),IF(C1091="Técnico I",SUMIFS($D:$D,$A:$A,$A1091,$B:$B,"&lt;&gt;Patrícia Karla de Sousa Araújo",$B:$B,"&lt;&gt;Lorena Dias de Araujo",$B:$B,"&lt;&gt;Lucas Luiz Romero")*(23/1083),IF(C1091="JR",SUMIFS($D:$D,$A:$A,$A1091,$B:$B,"&lt;&gt;Patrícia Karla de Sousa Araújo",$B:$B,"&lt;&gt;Lorena Dias de Araujo",$B:$B,"&lt;&gt;Lucas Luiz Romero")*(20/1083),IF(C1091="Estágio",SUMIFS($D:$D,$A:$A,$A1091,$B:$B,"&lt;&gt;Patrícia Karla de Sousa Araújo",$B:$B,"&lt;&gt;Lorena Dias de Araujo",$B:$B,"&lt;&gt;Lucas Luiz Romero")*(10/1083),0)))))),0)</f>
        <v>22</v>
      </c>
      <c r="K1091" s="3">
        <f>I1091-J1091</f>
        <v>13</v>
      </c>
      <c r="L1091" s="3" t="str">
        <f>IF(K1091&lt;-5,"CRÍTICO",IF(K1091&lt;0,"ATENÇÃO",IF(K1091&lt;=5,"BOM","EXCELENTE")))</f>
        <v>EXCELENTE</v>
      </c>
      <c r="M1091">
        <v>28</v>
      </c>
      <c r="N1091">
        <v>97.45</v>
      </c>
      <c r="O1091">
        <v>41.421143847487002</v>
      </c>
    </row>
    <row r="1092" spans="1:15" hidden="1" x14ac:dyDescent="0.25">
      <c r="A1092" s="11">
        <v>46035</v>
      </c>
      <c r="B1092" t="s">
        <v>51</v>
      </c>
      <c r="C1092" t="s">
        <v>48</v>
      </c>
      <c r="D1092">
        <v>30</v>
      </c>
      <c r="E1092">
        <v>24</v>
      </c>
      <c r="F1092">
        <v>17.149999999999999</v>
      </c>
      <c r="G1092">
        <v>0</v>
      </c>
      <c r="H1092">
        <v>0</v>
      </c>
      <c r="I1092" s="3">
        <v>0</v>
      </c>
      <c r="J1092" s="3">
        <v>0</v>
      </c>
      <c r="K1092" s="3">
        <v>0</v>
      </c>
      <c r="L1092" s="3" t="str">
        <f>IF(K1092&lt;-5,"CRÍTICO",IF(K1092&lt;0,"ATENÇÃO",IF(K1092&lt;=5,"BOM","EXCELENTE")))</f>
        <v>BOM</v>
      </c>
      <c r="M1092">
        <v>17</v>
      </c>
      <c r="N1092">
        <v>96.58</v>
      </c>
      <c r="O1092">
        <v>30.396475770925111</v>
      </c>
    </row>
    <row r="1093" spans="1:15" hidden="1" x14ac:dyDescent="0.25">
      <c r="A1093" s="11">
        <v>46035</v>
      </c>
      <c r="B1093" t="s">
        <v>61</v>
      </c>
      <c r="C1093" t="s">
        <v>23</v>
      </c>
      <c r="D1093">
        <v>25</v>
      </c>
      <c r="E1093">
        <v>25</v>
      </c>
      <c r="F1093">
        <v>21.5</v>
      </c>
      <c r="G1093">
        <v>0</v>
      </c>
      <c r="H1093">
        <v>0</v>
      </c>
      <c r="I1093" s="3">
        <f>E1093+G1093+H1093</f>
        <v>25</v>
      </c>
      <c r="J1093" s="3">
        <f>ROUND(MIN(IF(C1093="Técnico III",35,IF(C1093="Técnico II",28,IF(C1093="Técnico I",23,IF(C1093="JR",20,IF(C1093="Estágio",10,0))))),IF(C1093="Técnico III",SUMIFS($D:$D,$A:$A,$A1093,$B:$B,"&lt;&gt;Patrícia Karla de Sousa Araújo",$B:$B,"&lt;&gt;Lorena Dias de Araujo",$B:$B,"&lt;&gt;Lucas Luiz Romero")*(35/1083),IF(C1093="Técnico II",SUMIFS($D:$D,$A:$A,$A1093,$B:$B,"&lt;&gt;Patrícia Karla de Sousa Araújo",$B:$B,"&lt;&gt;Lorena Dias de Araujo",$B:$B,"&lt;&gt;Lucas Luiz Romero")*(28/1083),IF(C1093="Técnico I",SUMIFS($D:$D,$A:$A,$A1093,$B:$B,"&lt;&gt;Patrícia Karla de Sousa Araújo",$B:$B,"&lt;&gt;Lorena Dias de Araujo",$B:$B,"&lt;&gt;Lucas Luiz Romero")*(23/1083),IF(C1093="JR",SUMIFS($D:$D,$A:$A,$A1093,$B:$B,"&lt;&gt;Patrícia Karla de Sousa Araújo",$B:$B,"&lt;&gt;Lorena Dias de Araujo",$B:$B,"&lt;&gt;Lucas Luiz Romero")*(20/1083),IF(C1093="Estágio",SUMIFS($D:$D,$A:$A,$A1093,$B:$B,"&lt;&gt;Patrícia Karla de Sousa Araújo",$B:$B,"&lt;&gt;Lorena Dias de Araujo",$B:$B,"&lt;&gt;Lucas Luiz Romero")*(10/1083),0)))))),0)</f>
        <v>14</v>
      </c>
      <c r="K1093" s="3">
        <f>I1093-J1093</f>
        <v>11</v>
      </c>
      <c r="L1093" s="3" t="str">
        <f>IF(K1093&lt;-5,"CRÍTICO",IF(K1093&lt;0,"ATENÇÃO",IF(K1093&lt;=5,"BOM","EXCELENTE")))</f>
        <v>EXCELENTE</v>
      </c>
      <c r="M1093">
        <v>26</v>
      </c>
      <c r="N1093">
        <v>100</v>
      </c>
      <c r="O1093">
        <v>27.44282744282744</v>
      </c>
    </row>
    <row r="1094" spans="1:15" hidden="1" x14ac:dyDescent="0.25">
      <c r="A1094" s="11">
        <v>46035</v>
      </c>
      <c r="B1094" t="s">
        <v>35</v>
      </c>
      <c r="C1094" t="s">
        <v>32</v>
      </c>
      <c r="D1094">
        <v>29</v>
      </c>
      <c r="E1094">
        <v>29</v>
      </c>
      <c r="F1094">
        <v>23.57</v>
      </c>
      <c r="G1094">
        <v>0</v>
      </c>
      <c r="H1094">
        <v>0</v>
      </c>
      <c r="I1094" s="3">
        <v>0</v>
      </c>
      <c r="J1094" s="3">
        <v>0</v>
      </c>
      <c r="K1094" s="3">
        <v>0</v>
      </c>
      <c r="L1094" s="3" t="str">
        <f>IF(K1094&lt;-5,"CRÍTICO",IF(K1094&lt;0,"ATENÇÃO",IF(K1094&lt;=5,"BOM","EXCELENTE")))</f>
        <v>BOM</v>
      </c>
      <c r="M1094">
        <v>29</v>
      </c>
      <c r="N1094">
        <v>99.49</v>
      </c>
      <c r="O1094">
        <v>40.200000000000003</v>
      </c>
    </row>
    <row r="1095" spans="1:15" hidden="1" x14ac:dyDescent="0.25">
      <c r="A1095" s="11">
        <v>46035</v>
      </c>
      <c r="B1095" t="s">
        <v>18</v>
      </c>
      <c r="C1095" t="s">
        <v>16</v>
      </c>
      <c r="D1095">
        <v>0</v>
      </c>
      <c r="E1095">
        <v>0</v>
      </c>
      <c r="F1095">
        <v>0</v>
      </c>
      <c r="G1095">
        <v>0</v>
      </c>
      <c r="H1095">
        <v>0</v>
      </c>
      <c r="I1095" s="3">
        <v>0</v>
      </c>
      <c r="J1095" s="3">
        <v>0</v>
      </c>
      <c r="K1095" s="3">
        <v>0</v>
      </c>
      <c r="L1095" s="3" t="str">
        <f>IF(K1095&lt;-5,"CRÍTICO",IF(K1095&lt;0,"ATENÇÃO",IF(K1095&lt;=5,"BOM","EXCELENTE")))</f>
        <v>BOM</v>
      </c>
      <c r="M1095">
        <v>0</v>
      </c>
      <c r="N1095">
        <v>100</v>
      </c>
      <c r="O1095">
        <v>25</v>
      </c>
    </row>
    <row r="1096" spans="1:15" hidden="1" x14ac:dyDescent="0.25">
      <c r="A1096" s="11">
        <v>46035</v>
      </c>
      <c r="B1096" t="s">
        <v>52</v>
      </c>
      <c r="C1096" t="s">
        <v>48</v>
      </c>
      <c r="D1096">
        <v>39</v>
      </c>
      <c r="E1096">
        <v>35</v>
      </c>
      <c r="F1096">
        <v>17.18</v>
      </c>
      <c r="G1096">
        <v>0</v>
      </c>
      <c r="H1096">
        <v>0</v>
      </c>
      <c r="I1096" s="3">
        <f>E1096+G1096+H1096</f>
        <v>35</v>
      </c>
      <c r="J1096" s="3">
        <f>ROUND(MIN(IF(C1096="Técnico III",35,IF(C1096="Técnico II",28,IF(C1096="Técnico I",23,IF(C1096="JR",20,IF(C1096="Estágio",10,0))))),IF(C1096="Técnico III",SUMIFS($D:$D,$A:$A,$A1096,$B:$B,"&lt;&gt;Patrícia Karla de Sousa Araújo",$B:$B,"&lt;&gt;Lorena Dias de Araujo",$B:$B,"&lt;&gt;Lucas Luiz Romero")*(35/1083),IF(C1096="Técnico II",SUMIFS($D:$D,$A:$A,$A1096,$B:$B,"&lt;&gt;Patrícia Karla de Sousa Araújo",$B:$B,"&lt;&gt;Lorena Dias de Araujo",$B:$B,"&lt;&gt;Lucas Luiz Romero")*(28/1083),IF(C1096="Técnico I",SUMIFS($D:$D,$A:$A,$A1096,$B:$B,"&lt;&gt;Patrícia Karla de Sousa Araújo",$B:$B,"&lt;&gt;Lorena Dias de Araujo",$B:$B,"&lt;&gt;Lucas Luiz Romero")*(23/1083),IF(C1096="JR",SUMIFS($D:$D,$A:$A,$A1096,$B:$B,"&lt;&gt;Patrícia Karla de Sousa Araújo",$B:$B,"&lt;&gt;Lorena Dias de Araujo",$B:$B,"&lt;&gt;Lucas Luiz Romero")*(20/1083),IF(C1096="Estágio",SUMIFS($D:$D,$A:$A,$A1096,$B:$B,"&lt;&gt;Patrícia Karla de Sousa Araújo",$B:$B,"&lt;&gt;Lorena Dias de Araujo",$B:$B,"&lt;&gt;Lucas Luiz Romero")*(10/1083),0)))))),0)</f>
        <v>18</v>
      </c>
      <c r="K1096" s="3">
        <f>I1096-J1096</f>
        <v>17</v>
      </c>
      <c r="L1096" s="3" t="str">
        <f>IF(K1096&lt;-5,"CRÍTICO",IF(K1096&lt;0,"ATENÇÃO",IF(K1096&lt;=5,"BOM","EXCELENTE")))</f>
        <v>EXCELENTE</v>
      </c>
      <c r="M1096">
        <v>32</v>
      </c>
      <c r="N1096">
        <v>100</v>
      </c>
      <c r="O1096">
        <v>34.15094339622641</v>
      </c>
    </row>
    <row r="1097" spans="1:15" hidden="1" x14ac:dyDescent="0.25">
      <c r="A1097" s="11">
        <v>46035</v>
      </c>
      <c r="B1097" t="s">
        <v>36</v>
      </c>
      <c r="C1097" t="s">
        <v>32</v>
      </c>
      <c r="D1097">
        <v>22</v>
      </c>
      <c r="E1097">
        <v>21</v>
      </c>
      <c r="F1097">
        <v>18.399999999999999</v>
      </c>
      <c r="G1097">
        <v>0</v>
      </c>
      <c r="H1097">
        <v>0</v>
      </c>
      <c r="I1097" s="3">
        <f>E1097+G1097+H1097</f>
        <v>21</v>
      </c>
      <c r="J1097" s="3">
        <f>ROUND(MIN(IF(C1097="Técnico III",35,IF(C1097="Técnico II",28,IF(C1097="Técnico I",23,IF(C1097="JR",20,IF(C1097="Estágio",10,0))))),IF(C1097="Técnico III",SUMIFS($D:$D,$A:$A,$A1097,$B:$B,"&lt;&gt;Patrícia Karla de Sousa Araújo",$B:$B,"&lt;&gt;Lorena Dias de Araujo",$B:$B,"&lt;&gt;Lucas Luiz Romero")*(35/1083),IF(C1097="Técnico II",SUMIFS($D:$D,$A:$A,$A1097,$B:$B,"&lt;&gt;Patrícia Karla de Sousa Araújo",$B:$B,"&lt;&gt;Lorena Dias de Araujo",$B:$B,"&lt;&gt;Lucas Luiz Romero")*(28/1083),IF(C1097="Técnico I",SUMIFS($D:$D,$A:$A,$A1097,$B:$B,"&lt;&gt;Patrícia Karla de Sousa Araújo",$B:$B,"&lt;&gt;Lorena Dias de Araujo",$B:$B,"&lt;&gt;Lucas Luiz Romero")*(23/1083),IF(C1097="JR",SUMIFS($D:$D,$A:$A,$A1097,$B:$B,"&lt;&gt;Patrícia Karla de Sousa Araújo",$B:$B,"&lt;&gt;Lorena Dias de Araujo",$B:$B,"&lt;&gt;Lucas Luiz Romero")*(20/1083),IF(C1097="Estágio",SUMIFS($D:$D,$A:$A,$A1097,$B:$B,"&lt;&gt;Patrícia Karla de Sousa Araújo",$B:$B,"&lt;&gt;Lorena Dias de Araujo",$B:$B,"&lt;&gt;Lucas Luiz Romero")*(10/1083),0)))))),0)</f>
        <v>22</v>
      </c>
      <c r="K1097" s="3">
        <f>I1097-J1097</f>
        <v>-1</v>
      </c>
      <c r="L1097" s="3" t="str">
        <f>IF(K1097&lt;-5,"CRÍTICO",IF(K1097&lt;0,"ATENÇÃO",IF(K1097&lt;=5,"BOM","EXCELENTE")))</f>
        <v>ATENÇÃO</v>
      </c>
      <c r="M1097">
        <v>19</v>
      </c>
      <c r="N1097">
        <v>100</v>
      </c>
      <c r="O1097">
        <v>32.731376975169297</v>
      </c>
    </row>
    <row r="1098" spans="1:15" hidden="1" x14ac:dyDescent="0.25">
      <c r="A1098" s="11">
        <v>46035</v>
      </c>
      <c r="B1098" t="s">
        <v>53</v>
      </c>
      <c r="C1098" t="s">
        <v>48</v>
      </c>
      <c r="D1098">
        <v>31</v>
      </c>
      <c r="E1098">
        <v>30</v>
      </c>
      <c r="F1098">
        <v>22.04</v>
      </c>
      <c r="G1098">
        <v>0</v>
      </c>
      <c r="H1098">
        <v>0</v>
      </c>
      <c r="I1098" s="3">
        <f>E1098+G1098+H1098</f>
        <v>30</v>
      </c>
      <c r="J1098" s="3">
        <f>ROUND(MIN(IF(C1098="Técnico III",35,IF(C1098="Técnico II",28,IF(C1098="Técnico I",23,IF(C1098="JR",20,IF(C1098="Estágio",10,0))))),IF(C1098="Técnico III",SUMIFS($D:$D,$A:$A,$A1098,$B:$B,"&lt;&gt;Patrícia Karla de Sousa Araújo",$B:$B,"&lt;&gt;Lorena Dias de Araujo",$B:$B,"&lt;&gt;Lucas Luiz Romero")*(35/1083),IF(C1098="Técnico II",SUMIFS($D:$D,$A:$A,$A1098,$B:$B,"&lt;&gt;Patrícia Karla de Sousa Araújo",$B:$B,"&lt;&gt;Lorena Dias de Araujo",$B:$B,"&lt;&gt;Lucas Luiz Romero")*(28/1083),IF(C1098="Técnico I",SUMIFS($D:$D,$A:$A,$A1098,$B:$B,"&lt;&gt;Patrícia Karla de Sousa Araújo",$B:$B,"&lt;&gt;Lorena Dias de Araujo",$B:$B,"&lt;&gt;Lucas Luiz Romero")*(23/1083),IF(C1098="JR",SUMIFS($D:$D,$A:$A,$A1098,$B:$B,"&lt;&gt;Patrícia Karla de Sousa Araújo",$B:$B,"&lt;&gt;Lorena Dias de Araujo",$B:$B,"&lt;&gt;Lucas Luiz Romero")*(20/1083),IF(C1098="Estágio",SUMIFS($D:$D,$A:$A,$A1098,$B:$B,"&lt;&gt;Patrícia Karla de Sousa Araújo",$B:$B,"&lt;&gt;Lorena Dias de Araujo",$B:$B,"&lt;&gt;Lucas Luiz Romero")*(10/1083),0)))))),0)</f>
        <v>18</v>
      </c>
      <c r="K1098" s="3">
        <f>I1098-J1098</f>
        <v>12</v>
      </c>
      <c r="L1098" s="3" t="str">
        <f>IF(K1098&lt;-5,"CRÍTICO",IF(K1098&lt;0,"ATENÇÃO",IF(K1098&lt;=5,"BOM","EXCELENTE")))</f>
        <v>EXCELENTE</v>
      </c>
      <c r="M1098">
        <v>25</v>
      </c>
      <c r="N1098">
        <v>99.31</v>
      </c>
      <c r="O1098">
        <v>30.96234309623431</v>
      </c>
    </row>
    <row r="1099" spans="1:15" hidden="1" x14ac:dyDescent="0.25">
      <c r="A1099" s="11">
        <v>46069</v>
      </c>
      <c r="B1099" t="s">
        <v>22</v>
      </c>
      <c r="C1099" t="s">
        <v>23</v>
      </c>
      <c r="D1099">
        <v>6</v>
      </c>
      <c r="E1099">
        <v>5</v>
      </c>
      <c r="F1099">
        <v>27.03</v>
      </c>
      <c r="G1099">
        <v>0</v>
      </c>
      <c r="H1099">
        <v>0</v>
      </c>
      <c r="I1099" s="3">
        <f>E1099+G1099+H1099</f>
        <v>5</v>
      </c>
      <c r="J1099" s="3">
        <f>ROUND(MIN(IF(C1099="Técnico III",35,IF(C1099="Técnico II",28,IF(C1099="Técnico I",23,IF(C1099="JR",20,IF(C1099="Estágio",10,0))))),IF(C1099="Técnico III",SUMIFS($D:$D,$A:$A,$A1099,$B:$B,"&lt;&gt;Patrícia Karla de Sousa Araújo",$B:$B,"&lt;&gt;Lorena Dias de Araujo",$B:$B,"&lt;&gt;Lucas Luiz Romero")*(35/1083),IF(C1099="Técnico II",SUMIFS($D:$D,$A:$A,$A1099,$B:$B,"&lt;&gt;Patrícia Karla de Sousa Araújo",$B:$B,"&lt;&gt;Lorena Dias de Araujo",$B:$B,"&lt;&gt;Lucas Luiz Romero")*(28/1083),IF(C1099="Técnico I",SUMIFS($D:$D,$A:$A,$A1099,$B:$B,"&lt;&gt;Patrícia Karla de Sousa Araújo",$B:$B,"&lt;&gt;Lorena Dias de Araujo",$B:$B,"&lt;&gt;Lucas Luiz Romero")*(23/1083),IF(C1099="JR",SUMIFS($D:$D,$A:$A,$A1099,$B:$B,"&lt;&gt;Patrícia Karla de Sousa Araújo",$B:$B,"&lt;&gt;Lorena Dias de Araujo",$B:$B,"&lt;&gt;Lucas Luiz Romero")*(20/1083),IF(C1099="Estágio",SUMIFS($D:$D,$A:$A,$A1099,$B:$B,"&lt;&gt;Patrícia Karla de Sousa Araújo",$B:$B,"&lt;&gt;Lorena Dias de Araujo",$B:$B,"&lt;&gt;Lucas Luiz Romero")*(10/1083),0)))))),0)</f>
        <v>5</v>
      </c>
      <c r="K1099" s="3">
        <f>I1099-J1099</f>
        <v>0</v>
      </c>
      <c r="L1099" s="3" t="str">
        <f>IF(K1099&lt;-5,"CRÍTICO",IF(K1099&lt;0,"ATENÇÃO",IF(K1099&lt;=5,"BOM","EXCELENTE")))</f>
        <v>BOM</v>
      </c>
      <c r="M1099">
        <v>5</v>
      </c>
      <c r="N1099">
        <v>96.67</v>
      </c>
      <c r="O1099">
        <v>31.451612903225811</v>
      </c>
    </row>
    <row r="1100" spans="1:15" hidden="1" x14ac:dyDescent="0.25">
      <c r="A1100" s="11">
        <v>46035</v>
      </c>
      <c r="B1100" t="s">
        <v>54</v>
      </c>
      <c r="C1100" t="s">
        <v>48</v>
      </c>
      <c r="D1100">
        <v>32</v>
      </c>
      <c r="E1100">
        <v>32</v>
      </c>
      <c r="F1100">
        <v>20.41</v>
      </c>
      <c r="G1100">
        <v>0</v>
      </c>
      <c r="H1100">
        <v>0</v>
      </c>
      <c r="I1100" s="3">
        <f>E1100+G1100+H1100</f>
        <v>32</v>
      </c>
      <c r="J1100" s="3">
        <f>ROUND(MIN(IF(C1100="Técnico III",35,IF(C1100="Técnico II",28,IF(C1100="Técnico I",23,IF(C1100="JR",20,IF(C1100="Estágio",10,0))))),IF(C1100="Técnico III",SUMIFS($D:$D,$A:$A,$A1100,$B:$B,"&lt;&gt;Patrícia Karla de Sousa Araújo",$B:$B,"&lt;&gt;Lorena Dias de Araujo",$B:$B,"&lt;&gt;Lucas Luiz Romero")*(35/1083),IF(C1100="Técnico II",SUMIFS($D:$D,$A:$A,$A1100,$B:$B,"&lt;&gt;Patrícia Karla de Sousa Araújo",$B:$B,"&lt;&gt;Lorena Dias de Araujo",$B:$B,"&lt;&gt;Lucas Luiz Romero")*(28/1083),IF(C1100="Técnico I",SUMIFS($D:$D,$A:$A,$A1100,$B:$B,"&lt;&gt;Patrícia Karla de Sousa Araújo",$B:$B,"&lt;&gt;Lorena Dias de Araujo",$B:$B,"&lt;&gt;Lucas Luiz Romero")*(23/1083),IF(C1100="JR",SUMIFS($D:$D,$A:$A,$A1100,$B:$B,"&lt;&gt;Patrícia Karla de Sousa Araújo",$B:$B,"&lt;&gt;Lorena Dias de Araujo",$B:$B,"&lt;&gt;Lucas Luiz Romero")*(20/1083),IF(C1100="Estágio",SUMIFS($D:$D,$A:$A,$A1100,$B:$B,"&lt;&gt;Patrícia Karla de Sousa Araújo",$B:$B,"&lt;&gt;Lorena Dias de Araujo",$B:$B,"&lt;&gt;Lucas Luiz Romero")*(10/1083),0)))))),0)</f>
        <v>18</v>
      </c>
      <c r="K1100" s="3">
        <f>I1100-J1100</f>
        <v>14</v>
      </c>
      <c r="L1100" s="3" t="str">
        <f>IF(K1100&lt;-5,"CRÍTICO",IF(K1100&lt;0,"ATENÇÃO",IF(K1100&lt;=5,"BOM","EXCELENTE")))</f>
        <v>EXCELENTE</v>
      </c>
      <c r="M1100">
        <v>29</v>
      </c>
      <c r="N1100">
        <v>100</v>
      </c>
      <c r="O1100">
        <v>27.676767676767678</v>
      </c>
    </row>
    <row r="1101" spans="1:15" hidden="1" x14ac:dyDescent="0.25">
      <c r="A1101" s="11">
        <v>46035</v>
      </c>
      <c r="B1101" t="s">
        <v>37</v>
      </c>
      <c r="C1101" t="s">
        <v>32</v>
      </c>
      <c r="D1101">
        <v>47</v>
      </c>
      <c r="E1101">
        <v>44</v>
      </c>
      <c r="F1101">
        <v>15.07</v>
      </c>
      <c r="G1101">
        <v>0</v>
      </c>
      <c r="H1101">
        <v>0</v>
      </c>
      <c r="I1101" s="3">
        <f>E1101+G1101+H1101</f>
        <v>44</v>
      </c>
      <c r="J1101" s="3">
        <f>ROUND(MIN(IF(C1101="Técnico III",35,IF(C1101="Técnico II",28,IF(C1101="Técnico I",23,IF(C1101="JR",20,IF(C1101="Estágio",10,0))))),IF(C1101="Técnico III",SUMIFS($D:$D,$A:$A,$A1101,$B:$B,"&lt;&gt;Patrícia Karla de Sousa Araújo",$B:$B,"&lt;&gt;Lorena Dias de Araujo",$B:$B,"&lt;&gt;Lucas Luiz Romero")*(35/1083),IF(C1101="Técnico II",SUMIFS($D:$D,$A:$A,$A1101,$B:$B,"&lt;&gt;Patrícia Karla de Sousa Araújo",$B:$B,"&lt;&gt;Lorena Dias de Araujo",$B:$B,"&lt;&gt;Lucas Luiz Romero")*(28/1083),IF(C1101="Técnico I",SUMIFS($D:$D,$A:$A,$A1101,$B:$B,"&lt;&gt;Patrícia Karla de Sousa Araújo",$B:$B,"&lt;&gt;Lorena Dias de Araujo",$B:$B,"&lt;&gt;Lucas Luiz Romero")*(23/1083),IF(C1101="JR",SUMIFS($D:$D,$A:$A,$A1101,$B:$B,"&lt;&gt;Patrícia Karla de Sousa Araújo",$B:$B,"&lt;&gt;Lorena Dias de Araujo",$B:$B,"&lt;&gt;Lucas Luiz Romero")*(20/1083),IF(C1101="Estágio",SUMIFS($D:$D,$A:$A,$A1101,$B:$B,"&lt;&gt;Patrícia Karla de Sousa Araújo",$B:$B,"&lt;&gt;Lorena Dias de Araujo",$B:$B,"&lt;&gt;Lucas Luiz Romero")*(10/1083),0)))))),0)</f>
        <v>22</v>
      </c>
      <c r="K1101" s="3">
        <f>I1101-J1101</f>
        <v>22</v>
      </c>
      <c r="L1101" s="3" t="str">
        <f>IF(K1101&lt;-5,"CRÍTICO",IF(K1101&lt;0,"ATENÇÃO",IF(K1101&lt;=5,"BOM","EXCELENTE")))</f>
        <v>EXCELENTE</v>
      </c>
      <c r="M1101">
        <v>43</v>
      </c>
      <c r="N1101">
        <v>100</v>
      </c>
      <c r="O1101">
        <v>31.17723156532988</v>
      </c>
    </row>
    <row r="1102" spans="1:15" hidden="1" x14ac:dyDescent="0.25">
      <c r="A1102" s="11">
        <v>46035</v>
      </c>
      <c r="B1102" t="s">
        <v>38</v>
      </c>
      <c r="C1102" t="s">
        <v>32</v>
      </c>
      <c r="D1102">
        <v>21</v>
      </c>
      <c r="E1102">
        <v>20</v>
      </c>
      <c r="F1102">
        <v>13.52</v>
      </c>
      <c r="G1102">
        <v>0</v>
      </c>
      <c r="H1102">
        <v>0</v>
      </c>
      <c r="I1102" s="3">
        <f>E1102+G1102+H1102</f>
        <v>20</v>
      </c>
      <c r="J1102" s="3">
        <f>ROUND(MIN(IF(C1102="Técnico III",35,IF(C1102="Técnico II",28,IF(C1102="Técnico I",23,IF(C1102="JR",20,IF(C1102="Estágio",10,0))))),IF(C1102="Técnico III",SUMIFS($D:$D,$A:$A,$A1102,$B:$B,"&lt;&gt;Patrícia Karla de Sousa Araújo",$B:$B,"&lt;&gt;Lorena Dias de Araujo",$B:$B,"&lt;&gt;Lucas Luiz Romero")*(35/1083),IF(C1102="Técnico II",SUMIFS($D:$D,$A:$A,$A1102,$B:$B,"&lt;&gt;Patrícia Karla de Sousa Araújo",$B:$B,"&lt;&gt;Lorena Dias de Araujo",$B:$B,"&lt;&gt;Lucas Luiz Romero")*(28/1083),IF(C1102="Técnico I",SUMIFS($D:$D,$A:$A,$A1102,$B:$B,"&lt;&gt;Patrícia Karla de Sousa Araújo",$B:$B,"&lt;&gt;Lorena Dias de Araujo",$B:$B,"&lt;&gt;Lucas Luiz Romero")*(23/1083),IF(C1102="JR",SUMIFS($D:$D,$A:$A,$A1102,$B:$B,"&lt;&gt;Patrícia Karla de Sousa Araújo",$B:$B,"&lt;&gt;Lorena Dias de Araujo",$B:$B,"&lt;&gt;Lucas Luiz Romero")*(20/1083),IF(C1102="Estágio",SUMIFS($D:$D,$A:$A,$A1102,$B:$B,"&lt;&gt;Patrícia Karla de Sousa Araújo",$B:$B,"&lt;&gt;Lorena Dias de Araujo",$B:$B,"&lt;&gt;Lucas Luiz Romero")*(10/1083),0)))))),0)</f>
        <v>22</v>
      </c>
      <c r="K1102" s="3">
        <f>I1102-J1102</f>
        <v>-2</v>
      </c>
      <c r="L1102" s="3" t="str">
        <f>IF(K1102&lt;-5,"CRÍTICO",IF(K1102&lt;0,"ATENÇÃO",IF(K1102&lt;=5,"BOM","EXCELENTE")))</f>
        <v>ATENÇÃO</v>
      </c>
      <c r="M1102">
        <v>18</v>
      </c>
      <c r="N1102">
        <v>100</v>
      </c>
      <c r="O1102">
        <v>27.609427609427609</v>
      </c>
    </row>
    <row r="1103" spans="1:15" hidden="1" x14ac:dyDescent="0.25">
      <c r="A1103" s="11">
        <v>46035</v>
      </c>
      <c r="B1103" t="s">
        <v>55</v>
      </c>
      <c r="C1103" t="s">
        <v>48</v>
      </c>
      <c r="D1103">
        <v>28</v>
      </c>
      <c r="E1103">
        <v>21</v>
      </c>
      <c r="F1103">
        <v>10.59</v>
      </c>
      <c r="G1103">
        <v>0</v>
      </c>
      <c r="H1103">
        <v>0</v>
      </c>
      <c r="I1103" s="3">
        <f>E1103+G1103+H1103</f>
        <v>21</v>
      </c>
      <c r="J1103" s="3">
        <f>ROUND(MIN(IF(C1103="Técnico III",35,IF(C1103="Técnico II",28,IF(C1103="Técnico I",23,IF(C1103="JR",20,IF(C1103="Estágio",10,0))))),IF(C1103="Técnico III",SUMIFS($D:$D,$A:$A,$A1103,$B:$B,"&lt;&gt;Patrícia Karla de Sousa Araújo",$B:$B,"&lt;&gt;Lorena Dias de Araujo",$B:$B,"&lt;&gt;Lucas Luiz Romero")*(35/1083),IF(C1103="Técnico II",SUMIFS($D:$D,$A:$A,$A1103,$B:$B,"&lt;&gt;Patrícia Karla de Sousa Araújo",$B:$B,"&lt;&gt;Lorena Dias de Araujo",$B:$B,"&lt;&gt;Lucas Luiz Romero")*(28/1083),IF(C1103="Técnico I",SUMIFS($D:$D,$A:$A,$A1103,$B:$B,"&lt;&gt;Patrícia Karla de Sousa Araújo",$B:$B,"&lt;&gt;Lorena Dias de Araujo",$B:$B,"&lt;&gt;Lucas Luiz Romero")*(23/1083),IF(C1103="JR",SUMIFS($D:$D,$A:$A,$A1103,$B:$B,"&lt;&gt;Patrícia Karla de Sousa Araújo",$B:$B,"&lt;&gt;Lorena Dias de Araujo",$B:$B,"&lt;&gt;Lucas Luiz Romero")*(20/1083),IF(C1103="Estágio",SUMIFS($D:$D,$A:$A,$A1103,$B:$B,"&lt;&gt;Patrícia Karla de Sousa Araújo",$B:$B,"&lt;&gt;Lorena Dias de Araujo",$B:$B,"&lt;&gt;Lucas Luiz Romero")*(10/1083),0)))))),0)</f>
        <v>18</v>
      </c>
      <c r="K1103" s="3">
        <f>I1103-J1103</f>
        <v>3</v>
      </c>
      <c r="L1103" s="3" t="str">
        <f>IF(K1103&lt;-5,"CRÍTICO",IF(K1103&lt;0,"ATENÇÃO",IF(K1103&lt;=5,"BOM","EXCELENTE")))</f>
        <v>BOM</v>
      </c>
      <c r="M1103">
        <v>21</v>
      </c>
      <c r="N1103">
        <v>96.4</v>
      </c>
      <c r="O1103">
        <v>28.764044943820231</v>
      </c>
    </row>
    <row r="1104" spans="1:15" hidden="1" x14ac:dyDescent="0.25">
      <c r="A1104" s="11">
        <v>46035</v>
      </c>
      <c r="B1104" t="s">
        <v>39</v>
      </c>
      <c r="C1104" t="s">
        <v>32</v>
      </c>
      <c r="D1104">
        <v>0</v>
      </c>
      <c r="E1104">
        <v>0</v>
      </c>
      <c r="F1104">
        <v>0</v>
      </c>
      <c r="G1104">
        <v>0</v>
      </c>
      <c r="H1104">
        <v>0</v>
      </c>
      <c r="I1104" s="3">
        <v>0</v>
      </c>
      <c r="J1104" s="3">
        <v>0</v>
      </c>
      <c r="K1104" s="3">
        <v>0</v>
      </c>
      <c r="L1104" s="3" t="str">
        <f>IF(K1104&lt;-5,"CRÍTICO",IF(K1104&lt;0,"ATENÇÃO",IF(K1104&lt;=5,"BOM","EXCELENTE")))</f>
        <v>BOM</v>
      </c>
      <c r="M1104">
        <v>13</v>
      </c>
      <c r="N1104">
        <v>100</v>
      </c>
      <c r="O1104">
        <v>33.980582524271853</v>
      </c>
    </row>
    <row r="1105" spans="1:15" hidden="1" x14ac:dyDescent="0.25">
      <c r="A1105" s="11">
        <v>46035</v>
      </c>
      <c r="B1105" t="s">
        <v>25</v>
      </c>
      <c r="C1105" t="s">
        <v>26</v>
      </c>
      <c r="D1105">
        <v>5</v>
      </c>
      <c r="E1105">
        <v>5</v>
      </c>
      <c r="F1105">
        <v>55.15</v>
      </c>
      <c r="G1105">
        <v>0</v>
      </c>
      <c r="H1105">
        <v>0</v>
      </c>
      <c r="I1105" s="3">
        <f>E1105+G1105+H1105</f>
        <v>5</v>
      </c>
      <c r="J1105" s="3">
        <f>ROUND(MIN(IF(C1105="Técnico III",35,IF(C1105="Técnico II",28,IF(C1105="Técnico I",23,IF(C1105="JR",20,IF(C1105="Estágio",10,0))))),IF(C1105="Técnico III",SUMIFS($D:$D,$A:$A,$A1105,$B:$B,"&lt;&gt;Patrícia Karla de Sousa Araújo",$B:$B,"&lt;&gt;Lorena Dias de Araujo",$B:$B,"&lt;&gt;Lucas Luiz Romero")*(35/1083),IF(C1105="Técnico II",SUMIFS($D:$D,$A:$A,$A1105,$B:$B,"&lt;&gt;Patrícia Karla de Sousa Araújo",$B:$B,"&lt;&gt;Lorena Dias de Araujo",$B:$B,"&lt;&gt;Lucas Luiz Romero")*(28/1083),IF(C1105="Técnico I",SUMIFS($D:$D,$A:$A,$A1105,$B:$B,"&lt;&gt;Patrícia Karla de Sousa Araújo",$B:$B,"&lt;&gt;Lorena Dias de Araujo",$B:$B,"&lt;&gt;Lucas Luiz Romero")*(23/1083),IF(C1105="JR",SUMIFS($D:$D,$A:$A,$A1105,$B:$B,"&lt;&gt;Patrícia Karla de Sousa Araújo",$B:$B,"&lt;&gt;Lorena Dias de Araujo",$B:$B,"&lt;&gt;Lucas Luiz Romero")*(20/1083),IF(C1105="Estágio",SUMIFS($D:$D,$A:$A,$A1105,$B:$B,"&lt;&gt;Patrícia Karla de Sousa Araújo",$B:$B,"&lt;&gt;Lorena Dias de Araujo",$B:$B,"&lt;&gt;Lucas Luiz Romero")*(10/1083),0)))))),0)</f>
        <v>13</v>
      </c>
      <c r="K1105" s="3">
        <f>I1105-J1105</f>
        <v>-8</v>
      </c>
      <c r="L1105" s="3" t="str">
        <f>IF(K1105&lt;-5,"CRÍTICO",IF(K1105&lt;0,"ATENÇÃO",IF(K1105&lt;=5,"BOM","EXCELENTE")))</f>
        <v>CRÍTICO</v>
      </c>
      <c r="M1105">
        <v>5</v>
      </c>
      <c r="N1105">
        <v>97.56</v>
      </c>
      <c r="O1105">
        <v>32.515337423312893</v>
      </c>
    </row>
    <row r="1106" spans="1:15" hidden="1" x14ac:dyDescent="0.25">
      <c r="A1106" s="11">
        <v>46035</v>
      </c>
      <c r="B1106" t="s">
        <v>40</v>
      </c>
      <c r="C1106" t="s">
        <v>32</v>
      </c>
      <c r="D1106">
        <v>23</v>
      </c>
      <c r="E1106">
        <v>23</v>
      </c>
      <c r="F1106">
        <v>22.39</v>
      </c>
      <c r="G1106">
        <v>0</v>
      </c>
      <c r="H1106">
        <v>0</v>
      </c>
      <c r="I1106" s="3">
        <f>E1106+G1106+H1106</f>
        <v>23</v>
      </c>
      <c r="J1106" s="3">
        <f>ROUND(MIN(IF(C1106="Técnico III",35,IF(C1106="Técnico II",28,IF(C1106="Técnico I",23,IF(C1106="JR",20,IF(C1106="Estágio",10,0))))),IF(C1106="Técnico III",SUMIFS($D:$D,$A:$A,$A1106,$B:$B,"&lt;&gt;Patrícia Karla de Sousa Araújo",$B:$B,"&lt;&gt;Lorena Dias de Araujo",$B:$B,"&lt;&gt;Lucas Luiz Romero")*(35/1083),IF(C1106="Técnico II",SUMIFS($D:$D,$A:$A,$A1106,$B:$B,"&lt;&gt;Patrícia Karla de Sousa Araújo",$B:$B,"&lt;&gt;Lorena Dias de Araujo",$B:$B,"&lt;&gt;Lucas Luiz Romero")*(28/1083),IF(C1106="Técnico I",SUMIFS($D:$D,$A:$A,$A1106,$B:$B,"&lt;&gt;Patrícia Karla de Sousa Araújo",$B:$B,"&lt;&gt;Lorena Dias de Araujo",$B:$B,"&lt;&gt;Lucas Luiz Romero")*(23/1083),IF(C1106="JR",SUMIFS($D:$D,$A:$A,$A1106,$B:$B,"&lt;&gt;Patrícia Karla de Sousa Araújo",$B:$B,"&lt;&gt;Lorena Dias de Araujo",$B:$B,"&lt;&gt;Lucas Luiz Romero")*(20/1083),IF(C1106="Estágio",SUMIFS($D:$D,$A:$A,$A1106,$B:$B,"&lt;&gt;Patrícia Karla de Sousa Araújo",$B:$B,"&lt;&gt;Lorena Dias de Araujo",$B:$B,"&lt;&gt;Lucas Luiz Romero")*(10/1083),0)))))),0)</f>
        <v>22</v>
      </c>
      <c r="K1106" s="3">
        <f>I1106-J1106</f>
        <v>1</v>
      </c>
      <c r="L1106" s="3" t="str">
        <f>IF(K1106&lt;-5,"CRÍTICO",IF(K1106&lt;0,"ATENÇÃO",IF(K1106&lt;=5,"BOM","EXCELENTE")))</f>
        <v>BOM</v>
      </c>
      <c r="M1106">
        <v>18</v>
      </c>
      <c r="N1106">
        <v>97.11</v>
      </c>
      <c r="O1106">
        <v>37.408312958435211</v>
      </c>
    </row>
    <row r="1107" spans="1:15" hidden="1" x14ac:dyDescent="0.25">
      <c r="A1107" s="11">
        <v>46035</v>
      </c>
      <c r="B1107" t="s">
        <v>27</v>
      </c>
      <c r="C1107" t="s">
        <v>26</v>
      </c>
      <c r="D1107">
        <v>0</v>
      </c>
      <c r="E1107">
        <v>0</v>
      </c>
      <c r="F1107">
        <v>0</v>
      </c>
      <c r="G1107">
        <v>0</v>
      </c>
      <c r="H1107">
        <v>0</v>
      </c>
      <c r="I1107" s="3">
        <v>0</v>
      </c>
      <c r="J1107" s="3">
        <v>0</v>
      </c>
      <c r="K1107" s="3">
        <v>0</v>
      </c>
      <c r="L1107" s="3" t="str">
        <f>IF(K1107&lt;-5,"CRÍTICO",IF(K1107&lt;0,"ATENÇÃO",IF(K1107&lt;=5,"BOM","EXCELENTE")))</f>
        <v>BOM</v>
      </c>
      <c r="M1107">
        <v>0</v>
      </c>
      <c r="N1107">
        <v>0</v>
      </c>
      <c r="O1107">
        <v>0</v>
      </c>
    </row>
    <row r="1108" spans="1:15" hidden="1" x14ac:dyDescent="0.25">
      <c r="A1108" s="11">
        <v>46035</v>
      </c>
      <c r="B1108" t="s">
        <v>41</v>
      </c>
      <c r="C1108" t="s">
        <v>32</v>
      </c>
      <c r="D1108">
        <v>26</v>
      </c>
      <c r="E1108">
        <v>25</v>
      </c>
      <c r="F1108">
        <v>20.39</v>
      </c>
      <c r="G1108">
        <v>0</v>
      </c>
      <c r="H1108">
        <v>0</v>
      </c>
      <c r="I1108" s="3">
        <f>E1108+G1108+H1108</f>
        <v>25</v>
      </c>
      <c r="J1108" s="3">
        <f>ROUND(MIN(IF(C1108="Técnico III",35,IF(C1108="Técnico II",28,IF(C1108="Técnico I",23,IF(C1108="JR",20,IF(C1108="Estágio",10,0))))),IF(C1108="Técnico III",SUMIFS($D:$D,$A:$A,$A1108,$B:$B,"&lt;&gt;Patrícia Karla de Sousa Araújo",$B:$B,"&lt;&gt;Lorena Dias de Araujo",$B:$B,"&lt;&gt;Lucas Luiz Romero")*(35/1083),IF(C1108="Técnico II",SUMIFS($D:$D,$A:$A,$A1108,$B:$B,"&lt;&gt;Patrícia Karla de Sousa Araújo",$B:$B,"&lt;&gt;Lorena Dias de Araujo",$B:$B,"&lt;&gt;Lucas Luiz Romero")*(28/1083),IF(C1108="Técnico I",SUMIFS($D:$D,$A:$A,$A1108,$B:$B,"&lt;&gt;Patrícia Karla de Sousa Araújo",$B:$B,"&lt;&gt;Lorena Dias de Araujo",$B:$B,"&lt;&gt;Lucas Luiz Romero")*(23/1083),IF(C1108="JR",SUMIFS($D:$D,$A:$A,$A1108,$B:$B,"&lt;&gt;Patrícia Karla de Sousa Araújo",$B:$B,"&lt;&gt;Lorena Dias de Araujo",$B:$B,"&lt;&gt;Lucas Luiz Romero")*(20/1083),IF(C1108="Estágio",SUMIFS($D:$D,$A:$A,$A1108,$B:$B,"&lt;&gt;Patrícia Karla de Sousa Araújo",$B:$B,"&lt;&gt;Lorena Dias de Araujo",$B:$B,"&lt;&gt;Lucas Luiz Romero")*(10/1083),0)))))),0)</f>
        <v>22</v>
      </c>
      <c r="K1108" s="3">
        <f>I1108-J1108</f>
        <v>3</v>
      </c>
      <c r="L1108" s="3" t="str">
        <f>IF(K1108&lt;-5,"CRÍTICO",IF(K1108&lt;0,"ATENÇÃO",IF(K1108&lt;=5,"BOM","EXCELENTE")))</f>
        <v>BOM</v>
      </c>
      <c r="M1108">
        <v>20</v>
      </c>
      <c r="N1108">
        <v>100</v>
      </c>
      <c r="O1108">
        <v>30.470347648261761</v>
      </c>
    </row>
    <row r="1109" spans="1:15" hidden="1" x14ac:dyDescent="0.25">
      <c r="A1109" s="11">
        <v>46035</v>
      </c>
      <c r="B1109" t="s">
        <v>56</v>
      </c>
      <c r="C1109" t="s">
        <v>48</v>
      </c>
      <c r="D1109">
        <v>15</v>
      </c>
      <c r="E1109">
        <v>15</v>
      </c>
      <c r="F1109">
        <v>18.41</v>
      </c>
      <c r="G1109">
        <v>0</v>
      </c>
      <c r="H1109">
        <v>0</v>
      </c>
      <c r="I1109" s="3">
        <f>E1109+G1109+H1109</f>
        <v>15</v>
      </c>
      <c r="J1109" s="3">
        <f>ROUND(MIN(IF(C1109="Técnico III",35,IF(C1109="Técnico II",28,IF(C1109="Técnico I",23,IF(C1109="JR",20,IF(C1109="Estágio",10,0))))),IF(C1109="Técnico III",SUMIFS($D:$D,$A:$A,$A1109,$B:$B,"&lt;&gt;Patrícia Karla de Sousa Araújo",$B:$B,"&lt;&gt;Lorena Dias de Araujo",$B:$B,"&lt;&gt;Lucas Luiz Romero")*(35/1083),IF(C1109="Técnico II",SUMIFS($D:$D,$A:$A,$A1109,$B:$B,"&lt;&gt;Patrícia Karla de Sousa Araújo",$B:$B,"&lt;&gt;Lorena Dias de Araujo",$B:$B,"&lt;&gt;Lucas Luiz Romero")*(28/1083),IF(C1109="Técnico I",SUMIFS($D:$D,$A:$A,$A1109,$B:$B,"&lt;&gt;Patrícia Karla de Sousa Araújo",$B:$B,"&lt;&gt;Lorena Dias de Araujo",$B:$B,"&lt;&gt;Lucas Luiz Romero")*(23/1083),IF(C1109="JR",SUMIFS($D:$D,$A:$A,$A1109,$B:$B,"&lt;&gt;Patrícia Karla de Sousa Araújo",$B:$B,"&lt;&gt;Lorena Dias de Araujo",$B:$B,"&lt;&gt;Lucas Luiz Romero")*(20/1083),IF(C1109="Estágio",SUMIFS($D:$D,$A:$A,$A1109,$B:$B,"&lt;&gt;Patrícia Karla de Sousa Araújo",$B:$B,"&lt;&gt;Lorena Dias de Araujo",$B:$B,"&lt;&gt;Lucas Luiz Romero")*(10/1083),0)))))),0)</f>
        <v>18</v>
      </c>
      <c r="K1109" s="3">
        <f>I1109-J1109</f>
        <v>-3</v>
      </c>
      <c r="L1109" s="3" t="str">
        <f>IF(K1109&lt;-5,"CRÍTICO",IF(K1109&lt;0,"ATENÇÃO",IF(K1109&lt;=5,"BOM","EXCELENTE")))</f>
        <v>ATENÇÃO</v>
      </c>
      <c r="M1109">
        <v>10</v>
      </c>
      <c r="N1109">
        <v>100</v>
      </c>
      <c r="O1109">
        <v>32.371134020618562</v>
      </c>
    </row>
    <row r="1110" spans="1:15" hidden="1" x14ac:dyDescent="0.25">
      <c r="A1110" s="11">
        <v>46035</v>
      </c>
      <c r="B1110" t="s">
        <v>57</v>
      </c>
      <c r="C1110" t="s">
        <v>48</v>
      </c>
      <c r="D1110">
        <v>23</v>
      </c>
      <c r="E1110">
        <v>20</v>
      </c>
      <c r="F1110">
        <v>20.239999999999998</v>
      </c>
      <c r="G1110">
        <v>0</v>
      </c>
      <c r="H1110">
        <v>0</v>
      </c>
      <c r="I1110" s="3">
        <v>0</v>
      </c>
      <c r="J1110" s="3">
        <v>0</v>
      </c>
      <c r="K1110" s="3">
        <v>0</v>
      </c>
      <c r="L1110" s="3" t="str">
        <f>IF(K1110&lt;-5,"CRÍTICO",IF(K1110&lt;0,"ATENÇÃO",IF(K1110&lt;=5,"BOM","EXCELENTE")))</f>
        <v>BOM</v>
      </c>
      <c r="M1110">
        <v>18</v>
      </c>
      <c r="N1110">
        <v>98.32</v>
      </c>
      <c r="O1110">
        <v>32.318501170960189</v>
      </c>
    </row>
    <row r="1111" spans="1:15" hidden="1" x14ac:dyDescent="0.25">
      <c r="A1111" s="11">
        <v>46035</v>
      </c>
      <c r="B1111" t="s">
        <v>42</v>
      </c>
      <c r="C1111" t="s">
        <v>32</v>
      </c>
      <c r="D1111">
        <v>35</v>
      </c>
      <c r="E1111">
        <v>29</v>
      </c>
      <c r="F1111">
        <v>16.43</v>
      </c>
      <c r="G1111">
        <v>0</v>
      </c>
      <c r="H1111">
        <v>0</v>
      </c>
      <c r="I1111" s="3">
        <f>E1111+G1111+H1111</f>
        <v>29</v>
      </c>
      <c r="J1111" s="3">
        <f>ROUND(MIN(IF(C1111="Técnico III",35,IF(C1111="Técnico II",28,IF(C1111="Técnico I",23,IF(C1111="JR",20,IF(C1111="Estágio",10,0))))),IF(C1111="Técnico III",SUMIFS($D:$D,$A:$A,$A1111,$B:$B,"&lt;&gt;Patrícia Karla de Sousa Araújo",$B:$B,"&lt;&gt;Lorena Dias de Araujo",$B:$B,"&lt;&gt;Lucas Luiz Romero")*(35/1083),IF(C1111="Técnico II",SUMIFS($D:$D,$A:$A,$A1111,$B:$B,"&lt;&gt;Patrícia Karla de Sousa Araújo",$B:$B,"&lt;&gt;Lorena Dias de Araujo",$B:$B,"&lt;&gt;Lucas Luiz Romero")*(28/1083),IF(C1111="Técnico I",SUMIFS($D:$D,$A:$A,$A1111,$B:$B,"&lt;&gt;Patrícia Karla de Sousa Araújo",$B:$B,"&lt;&gt;Lorena Dias de Araujo",$B:$B,"&lt;&gt;Lucas Luiz Romero")*(23/1083),IF(C1111="JR",SUMIFS($D:$D,$A:$A,$A1111,$B:$B,"&lt;&gt;Patrícia Karla de Sousa Araújo",$B:$B,"&lt;&gt;Lorena Dias de Araujo",$B:$B,"&lt;&gt;Lucas Luiz Romero")*(20/1083),IF(C1111="Estágio",SUMIFS($D:$D,$A:$A,$A1111,$B:$B,"&lt;&gt;Patrícia Karla de Sousa Araújo",$B:$B,"&lt;&gt;Lorena Dias de Araujo",$B:$B,"&lt;&gt;Lucas Luiz Romero")*(10/1083),0)))))),0)</f>
        <v>22</v>
      </c>
      <c r="K1111" s="3">
        <f>I1111-J1111</f>
        <v>7</v>
      </c>
      <c r="L1111" s="3" t="str">
        <f>IF(K1111&lt;-5,"CRÍTICO",IF(K1111&lt;0,"ATENÇÃO",IF(K1111&lt;=5,"BOM","EXCELENTE")))</f>
        <v>EXCELENTE</v>
      </c>
      <c r="M1111">
        <v>18</v>
      </c>
      <c r="N1111">
        <v>96.43</v>
      </c>
      <c r="O1111">
        <v>27.015250544662312</v>
      </c>
    </row>
    <row r="1112" spans="1:15" hidden="1" x14ac:dyDescent="0.25">
      <c r="A1112" s="11">
        <v>46035</v>
      </c>
      <c r="B1112" t="s">
        <v>62</v>
      </c>
      <c r="C1112" t="s">
        <v>23</v>
      </c>
      <c r="D1112">
        <v>14</v>
      </c>
      <c r="E1112">
        <v>13</v>
      </c>
      <c r="F1112">
        <v>33.42</v>
      </c>
      <c r="G1112">
        <v>0</v>
      </c>
      <c r="H1112">
        <v>0</v>
      </c>
      <c r="I1112" s="3">
        <f>E1112+G1112+H1112</f>
        <v>13</v>
      </c>
      <c r="J1112" s="3">
        <f>ROUND(MIN(IF(C1112="Técnico III",35,IF(C1112="Técnico II",28,IF(C1112="Técnico I",23,IF(C1112="JR",20,IF(C1112="Estágio",10,0))))),IF(C1112="Técnico III",SUMIFS($D:$D,$A:$A,$A1112,$B:$B,"&lt;&gt;Patrícia Karla de Sousa Araújo",$B:$B,"&lt;&gt;Lorena Dias de Araujo",$B:$B,"&lt;&gt;Lucas Luiz Romero")*(35/1083),IF(C1112="Técnico II",SUMIFS($D:$D,$A:$A,$A1112,$B:$B,"&lt;&gt;Patrícia Karla de Sousa Araújo",$B:$B,"&lt;&gt;Lorena Dias de Araujo",$B:$B,"&lt;&gt;Lucas Luiz Romero")*(28/1083),IF(C1112="Técnico I",SUMIFS($D:$D,$A:$A,$A1112,$B:$B,"&lt;&gt;Patrícia Karla de Sousa Araújo",$B:$B,"&lt;&gt;Lorena Dias de Araujo",$B:$B,"&lt;&gt;Lucas Luiz Romero")*(23/1083),IF(C1112="JR",SUMIFS($D:$D,$A:$A,$A1112,$B:$B,"&lt;&gt;Patrícia Karla de Sousa Araújo",$B:$B,"&lt;&gt;Lorena Dias de Araujo",$B:$B,"&lt;&gt;Lucas Luiz Romero")*(20/1083),IF(C1112="Estágio",SUMIFS($D:$D,$A:$A,$A1112,$B:$B,"&lt;&gt;Patrícia Karla de Sousa Araújo",$B:$B,"&lt;&gt;Lorena Dias de Araujo",$B:$B,"&lt;&gt;Lucas Luiz Romero")*(10/1083),0)))))),0)</f>
        <v>14</v>
      </c>
      <c r="K1112" s="3">
        <f>I1112-J1112</f>
        <v>-1</v>
      </c>
      <c r="L1112" s="3" t="str">
        <f>IF(K1112&lt;-5,"CRÍTICO",IF(K1112&lt;0,"ATENÇÃO",IF(K1112&lt;=5,"BOM","EXCELENTE")))</f>
        <v>ATENÇÃO</v>
      </c>
      <c r="M1112">
        <v>12</v>
      </c>
      <c r="N1112">
        <v>98.89</v>
      </c>
      <c r="O1112">
        <v>28.021978021978018</v>
      </c>
    </row>
    <row r="1113" spans="1:15" hidden="1" x14ac:dyDescent="0.25">
      <c r="A1113" s="11">
        <v>46035</v>
      </c>
      <c r="B1113" t="s">
        <v>19</v>
      </c>
      <c r="C1113" t="s">
        <v>16</v>
      </c>
      <c r="D1113">
        <v>7</v>
      </c>
      <c r="E1113">
        <v>6</v>
      </c>
      <c r="F1113">
        <v>42.32</v>
      </c>
      <c r="G1113">
        <v>0</v>
      </c>
      <c r="H1113">
        <v>0</v>
      </c>
      <c r="I1113" s="3">
        <f>E1113+G1113+H1113</f>
        <v>6</v>
      </c>
      <c r="J1113" s="3">
        <f>ROUND(MIN(IF(C1113="Técnico III",35,IF(C1113="Técnico II",28,IF(C1113="Técnico I",23,IF(C1113="JR",20,IF(C1113="Estágio",10,0))))),IF(C1113="Técnico III",SUMIFS($D:$D,$A:$A,$A1113,$B:$B,"&lt;&gt;Patrícia Karla de Sousa Araújo",$B:$B,"&lt;&gt;Lorena Dias de Araujo",$B:$B,"&lt;&gt;Lucas Luiz Romero")*(35/1083),IF(C1113="Técnico II",SUMIFS($D:$D,$A:$A,$A1113,$B:$B,"&lt;&gt;Patrícia Karla de Sousa Araújo",$B:$B,"&lt;&gt;Lorena Dias de Araujo",$B:$B,"&lt;&gt;Lucas Luiz Romero")*(28/1083),IF(C1113="Técnico I",SUMIFS($D:$D,$A:$A,$A1113,$B:$B,"&lt;&gt;Patrícia Karla de Sousa Araújo",$B:$B,"&lt;&gt;Lorena Dias de Araujo",$B:$B,"&lt;&gt;Lucas Luiz Romero")*(23/1083),IF(C1113="JR",SUMIFS($D:$D,$A:$A,$A1113,$B:$B,"&lt;&gt;Patrícia Karla de Sousa Araújo",$B:$B,"&lt;&gt;Lorena Dias de Araujo",$B:$B,"&lt;&gt;Lucas Luiz Romero")*(20/1083),IF(C1113="Estágio",SUMIFS($D:$D,$A:$A,$A1113,$B:$B,"&lt;&gt;Patrícia Karla de Sousa Araújo",$B:$B,"&lt;&gt;Lorena Dias de Araujo",$B:$B,"&lt;&gt;Lucas Luiz Romero")*(10/1083),0)))))),0)</f>
        <v>6</v>
      </c>
      <c r="K1113" s="3">
        <f>I1113-J1113</f>
        <v>0</v>
      </c>
      <c r="L1113" s="3" t="str">
        <f>IF(K1113&lt;-5,"CRÍTICO",IF(K1113&lt;0,"ATENÇÃO",IF(K1113&lt;=5,"BOM","EXCELENTE")))</f>
        <v>BOM</v>
      </c>
      <c r="M1113">
        <v>3</v>
      </c>
      <c r="N1113">
        <v>100</v>
      </c>
      <c r="O1113">
        <v>33.333333333333329</v>
      </c>
    </row>
    <row r="1114" spans="1:15" hidden="1" x14ac:dyDescent="0.25">
      <c r="A1114" s="11">
        <v>46035</v>
      </c>
      <c r="B1114" t="s">
        <v>43</v>
      </c>
      <c r="C1114" t="s">
        <v>32</v>
      </c>
      <c r="D1114">
        <v>0</v>
      </c>
      <c r="E1114">
        <v>0</v>
      </c>
      <c r="F1114">
        <v>0</v>
      </c>
      <c r="G1114">
        <v>0</v>
      </c>
      <c r="H1114">
        <v>0</v>
      </c>
      <c r="I1114" s="3">
        <v>0</v>
      </c>
      <c r="J1114" s="3">
        <v>0</v>
      </c>
      <c r="K1114" s="3">
        <v>0</v>
      </c>
      <c r="L1114" s="3" t="str">
        <f>IF(K1114&lt;-5,"CRÍTICO",IF(K1114&lt;0,"ATENÇÃO",IF(K1114&lt;=5,"BOM","EXCELENTE")))</f>
        <v>BOM</v>
      </c>
      <c r="M1114">
        <v>0</v>
      </c>
      <c r="N1114">
        <v>100</v>
      </c>
      <c r="O1114">
        <v>27.43362831858407</v>
      </c>
    </row>
    <row r="1115" spans="1:15" hidden="1" x14ac:dyDescent="0.25">
      <c r="A1115" s="11">
        <v>46035</v>
      </c>
      <c r="B1115" t="s">
        <v>44</v>
      </c>
      <c r="C1115" t="s">
        <v>32</v>
      </c>
      <c r="D1115">
        <v>35</v>
      </c>
      <c r="E1115">
        <v>32</v>
      </c>
      <c r="F1115">
        <v>10.59</v>
      </c>
      <c r="G1115">
        <v>0</v>
      </c>
      <c r="H1115">
        <v>0</v>
      </c>
      <c r="I1115" s="3">
        <f>E1115+G1115+H1115</f>
        <v>32</v>
      </c>
      <c r="J1115" s="3">
        <f>ROUND(MIN(IF(C1115="Técnico III",35,IF(C1115="Técnico II",28,IF(C1115="Técnico I",23,IF(C1115="JR",20,IF(C1115="Estágio",10,0))))),IF(C1115="Técnico III",SUMIFS($D:$D,$A:$A,$A1115,$B:$B,"&lt;&gt;Patrícia Karla de Sousa Araújo",$B:$B,"&lt;&gt;Lorena Dias de Araujo",$B:$B,"&lt;&gt;Lucas Luiz Romero")*(35/1083),IF(C1115="Técnico II",SUMIFS($D:$D,$A:$A,$A1115,$B:$B,"&lt;&gt;Patrícia Karla de Sousa Araújo",$B:$B,"&lt;&gt;Lorena Dias de Araujo",$B:$B,"&lt;&gt;Lucas Luiz Romero")*(28/1083),IF(C1115="Técnico I",SUMIFS($D:$D,$A:$A,$A1115,$B:$B,"&lt;&gt;Patrícia Karla de Sousa Araújo",$B:$B,"&lt;&gt;Lorena Dias de Araujo",$B:$B,"&lt;&gt;Lucas Luiz Romero")*(23/1083),IF(C1115="JR",SUMIFS($D:$D,$A:$A,$A1115,$B:$B,"&lt;&gt;Patrícia Karla de Sousa Araújo",$B:$B,"&lt;&gt;Lorena Dias de Araujo",$B:$B,"&lt;&gt;Lucas Luiz Romero")*(20/1083),IF(C1115="Estágio",SUMIFS($D:$D,$A:$A,$A1115,$B:$B,"&lt;&gt;Patrícia Karla de Sousa Araújo",$B:$B,"&lt;&gt;Lorena Dias de Araujo",$B:$B,"&lt;&gt;Lucas Luiz Romero")*(10/1083),0)))))),0)</f>
        <v>22</v>
      </c>
      <c r="K1115" s="3">
        <f>I1115-J1115</f>
        <v>10</v>
      </c>
      <c r="L1115" s="3" t="str">
        <f>IF(K1115&lt;-5,"CRÍTICO",IF(K1115&lt;0,"ATENÇÃO",IF(K1115&lt;=5,"BOM","EXCELENTE")))</f>
        <v>EXCELENTE</v>
      </c>
      <c r="M1115">
        <v>29</v>
      </c>
      <c r="N1115">
        <v>98.65</v>
      </c>
      <c r="O1115">
        <v>30.978260869565219</v>
      </c>
    </row>
    <row r="1116" spans="1:15" hidden="1" x14ac:dyDescent="0.25">
      <c r="A1116" s="11">
        <v>46035</v>
      </c>
      <c r="B1116" t="s">
        <v>20</v>
      </c>
      <c r="C1116" t="s">
        <v>16</v>
      </c>
      <c r="D1116">
        <v>0</v>
      </c>
      <c r="E1116">
        <v>0</v>
      </c>
      <c r="F1116">
        <v>0</v>
      </c>
      <c r="G1116">
        <v>0</v>
      </c>
      <c r="H1116">
        <v>0</v>
      </c>
      <c r="I1116" s="3">
        <v>0</v>
      </c>
      <c r="J1116" s="3">
        <v>0</v>
      </c>
      <c r="K1116" s="3">
        <v>0</v>
      </c>
      <c r="L1116" s="3" t="str">
        <f>IF(K1116&lt;-5,"CRÍTICO",IF(K1116&lt;0,"ATENÇÃO",IF(K1116&lt;=5,"BOM","EXCELENTE")))</f>
        <v>BOM</v>
      </c>
      <c r="M1116">
        <v>0</v>
      </c>
      <c r="N1116">
        <v>100</v>
      </c>
      <c r="O1116">
        <v>12</v>
      </c>
    </row>
    <row r="1117" spans="1:15" hidden="1" x14ac:dyDescent="0.25">
      <c r="A1117" s="11">
        <v>46035</v>
      </c>
      <c r="B1117" t="s">
        <v>28</v>
      </c>
      <c r="C1117" t="s">
        <v>26</v>
      </c>
      <c r="D1117">
        <v>0</v>
      </c>
      <c r="E1117">
        <v>0</v>
      </c>
      <c r="F1117">
        <v>0</v>
      </c>
      <c r="G1117">
        <v>0</v>
      </c>
      <c r="H1117">
        <v>0</v>
      </c>
      <c r="I1117" s="3">
        <v>0</v>
      </c>
      <c r="J1117" s="3">
        <v>0</v>
      </c>
      <c r="K1117" s="3">
        <v>0</v>
      </c>
      <c r="L1117" s="3" t="str">
        <f>IF(K1117&lt;-5,"CRÍTICO",IF(K1117&lt;0,"ATENÇÃO",IF(K1117&lt;=5,"BOM","EXCELENTE")))</f>
        <v>BOM</v>
      </c>
      <c r="M1117">
        <v>0</v>
      </c>
      <c r="N1117">
        <v>0</v>
      </c>
      <c r="O1117">
        <v>0</v>
      </c>
    </row>
    <row r="1118" spans="1:15" hidden="1" x14ac:dyDescent="0.25">
      <c r="A1118" s="11">
        <v>46035</v>
      </c>
      <c r="B1118" t="s">
        <v>58</v>
      </c>
      <c r="C1118" t="s">
        <v>48</v>
      </c>
      <c r="D1118">
        <v>0</v>
      </c>
      <c r="E1118">
        <v>0</v>
      </c>
      <c r="F1118">
        <v>0</v>
      </c>
      <c r="G1118">
        <v>0</v>
      </c>
      <c r="H1118">
        <v>0</v>
      </c>
      <c r="I1118" s="3">
        <v>0</v>
      </c>
      <c r="J1118" s="3">
        <v>0</v>
      </c>
      <c r="K1118" s="3">
        <v>0</v>
      </c>
      <c r="L1118" s="3" t="str">
        <f>IF(K1118&lt;-5,"CRÍTICO",IF(K1118&lt;0,"ATENÇÃO",IF(K1118&lt;=5,"BOM","EXCELENTE")))</f>
        <v>BOM</v>
      </c>
      <c r="M1118">
        <v>0</v>
      </c>
      <c r="N1118">
        <v>97.56</v>
      </c>
      <c r="O1118">
        <v>31.067961165048541</v>
      </c>
    </row>
    <row r="1119" spans="1:15" hidden="1" x14ac:dyDescent="0.25">
      <c r="A1119" s="11">
        <v>46035</v>
      </c>
      <c r="B1119" t="s">
        <v>29</v>
      </c>
      <c r="C1119" t="s">
        <v>26</v>
      </c>
      <c r="D1119">
        <v>0</v>
      </c>
      <c r="E1119">
        <v>0</v>
      </c>
      <c r="F1119">
        <v>0</v>
      </c>
      <c r="G1119">
        <v>0</v>
      </c>
      <c r="H1119">
        <v>0</v>
      </c>
      <c r="I1119" s="3">
        <v>0</v>
      </c>
      <c r="J1119" s="3">
        <v>0</v>
      </c>
      <c r="K1119" s="3">
        <v>0</v>
      </c>
      <c r="L1119" s="3" t="str">
        <f>IF(K1119&lt;-5,"CRÍTICO",IF(K1119&lt;0,"ATENÇÃO",IF(K1119&lt;=5,"BOM","EXCELENTE")))</f>
        <v>BOM</v>
      </c>
      <c r="M1119">
        <v>0</v>
      </c>
      <c r="N1119">
        <v>0</v>
      </c>
      <c r="O1119">
        <v>0</v>
      </c>
    </row>
    <row r="1120" spans="1:15" hidden="1" x14ac:dyDescent="0.25">
      <c r="A1120" s="11">
        <v>46035</v>
      </c>
      <c r="B1120" t="s">
        <v>30</v>
      </c>
      <c r="C1120" t="s">
        <v>26</v>
      </c>
      <c r="D1120">
        <v>0</v>
      </c>
      <c r="E1120">
        <v>0</v>
      </c>
      <c r="F1120">
        <v>0</v>
      </c>
      <c r="G1120">
        <v>0</v>
      </c>
      <c r="H1120">
        <v>0</v>
      </c>
      <c r="I1120" s="3">
        <v>0</v>
      </c>
      <c r="J1120" s="3">
        <v>0</v>
      </c>
      <c r="K1120" s="3">
        <v>0</v>
      </c>
      <c r="L1120" s="3" t="str">
        <f>IF(K1120&lt;-5,"CRÍTICO",IF(K1120&lt;0,"ATENÇÃO",IF(K1120&lt;=5,"BOM","EXCELENTE")))</f>
        <v>BOM</v>
      </c>
      <c r="M1120">
        <v>0</v>
      </c>
      <c r="N1120">
        <v>0</v>
      </c>
      <c r="O1120">
        <v>0</v>
      </c>
    </row>
    <row r="1121" spans="1:15" hidden="1" x14ac:dyDescent="0.25">
      <c r="A1121" s="11">
        <v>46035</v>
      </c>
      <c r="B1121" t="s">
        <v>21</v>
      </c>
      <c r="C1121" t="s">
        <v>16</v>
      </c>
      <c r="D1121">
        <v>0</v>
      </c>
      <c r="E1121">
        <v>0</v>
      </c>
      <c r="F1121">
        <v>0</v>
      </c>
      <c r="G1121">
        <v>0</v>
      </c>
      <c r="H1121">
        <v>0</v>
      </c>
      <c r="I1121" s="3">
        <v>0</v>
      </c>
      <c r="J1121" s="3">
        <v>0</v>
      </c>
      <c r="K1121" s="3">
        <v>0</v>
      </c>
      <c r="L1121" s="3" t="str">
        <f>IF(K1121&lt;-5,"CRÍTICO",IF(K1121&lt;0,"ATENÇÃO",IF(K1121&lt;=5,"BOM","EXCELENTE")))</f>
        <v>BOM</v>
      </c>
      <c r="M1121">
        <v>0</v>
      </c>
      <c r="N1121">
        <v>0</v>
      </c>
      <c r="O1121">
        <v>0</v>
      </c>
    </row>
    <row r="1122" spans="1:15" hidden="1" x14ac:dyDescent="0.25">
      <c r="A1122" s="11">
        <v>46035</v>
      </c>
      <c r="B1122" t="s">
        <v>63</v>
      </c>
      <c r="C1122" t="s">
        <v>23</v>
      </c>
      <c r="D1122">
        <v>0</v>
      </c>
      <c r="E1122">
        <v>0</v>
      </c>
      <c r="F1122">
        <v>0</v>
      </c>
      <c r="G1122">
        <v>0</v>
      </c>
      <c r="H1122">
        <v>0</v>
      </c>
      <c r="I1122" s="3">
        <v>0</v>
      </c>
      <c r="J1122" s="3">
        <v>0</v>
      </c>
      <c r="K1122" s="3">
        <v>0</v>
      </c>
      <c r="L1122" s="3" t="str">
        <f>IF(K1122&lt;-5,"CRÍTICO",IF(K1122&lt;0,"ATENÇÃO",IF(K1122&lt;=5,"BOM","EXCELENTE")))</f>
        <v>BOM</v>
      </c>
      <c r="M1122">
        <v>0</v>
      </c>
      <c r="N1122">
        <v>100</v>
      </c>
      <c r="O1122">
        <v>53.846153846153847</v>
      </c>
    </row>
    <row r="1123" spans="1:15" hidden="1" x14ac:dyDescent="0.25">
      <c r="A1123" s="11">
        <v>46035</v>
      </c>
      <c r="B1123" t="s">
        <v>45</v>
      </c>
      <c r="C1123" t="s">
        <v>32</v>
      </c>
      <c r="D1123">
        <v>0</v>
      </c>
      <c r="E1123">
        <v>0</v>
      </c>
      <c r="F1123">
        <v>0</v>
      </c>
      <c r="G1123">
        <v>0</v>
      </c>
      <c r="H1123">
        <v>0</v>
      </c>
      <c r="I1123" s="3">
        <v>0</v>
      </c>
      <c r="J1123" s="3">
        <v>0</v>
      </c>
      <c r="K1123" s="3">
        <v>0</v>
      </c>
      <c r="L1123" s="3" t="str">
        <f>IF(K1123&lt;-5,"CRÍTICO",IF(K1123&lt;0,"ATENÇÃO",IF(K1123&lt;=5,"BOM","EXCELENTE")))</f>
        <v>BOM</v>
      </c>
      <c r="M1123">
        <v>0</v>
      </c>
      <c r="N1123">
        <v>100</v>
      </c>
      <c r="O1123">
        <v>44.05594405594406</v>
      </c>
    </row>
    <row r="1124" spans="1:15" hidden="1" x14ac:dyDescent="0.25">
      <c r="A1124" s="11">
        <v>46035</v>
      </c>
      <c r="B1124" t="s">
        <v>64</v>
      </c>
      <c r="C1124" t="s">
        <v>23</v>
      </c>
      <c r="D1124">
        <v>9</v>
      </c>
      <c r="E1124">
        <v>9</v>
      </c>
      <c r="F1124">
        <v>69.099999999999994</v>
      </c>
      <c r="G1124">
        <v>0</v>
      </c>
      <c r="H1124">
        <v>0</v>
      </c>
      <c r="I1124" s="3">
        <f>E1124+G1124+H1124</f>
        <v>9</v>
      </c>
      <c r="J1124" s="3">
        <f>ROUND(MIN(IF(C1124="Técnico III",35,IF(C1124="Técnico II",28,IF(C1124="Técnico I",23,IF(C1124="JR",20,IF(C1124="Estágio",10,0))))),IF(C1124="Técnico III",SUMIFS($D:$D,$A:$A,$A1124,$B:$B,"&lt;&gt;Patrícia Karla de Sousa Araújo",$B:$B,"&lt;&gt;Lorena Dias de Araujo",$B:$B,"&lt;&gt;Lucas Luiz Romero")*(35/1083),IF(C1124="Técnico II",SUMIFS($D:$D,$A:$A,$A1124,$B:$B,"&lt;&gt;Patrícia Karla de Sousa Araújo",$B:$B,"&lt;&gt;Lorena Dias de Araujo",$B:$B,"&lt;&gt;Lucas Luiz Romero")*(28/1083),IF(C1124="Técnico I",SUMIFS($D:$D,$A:$A,$A1124,$B:$B,"&lt;&gt;Patrícia Karla de Sousa Araújo",$B:$B,"&lt;&gt;Lorena Dias de Araujo",$B:$B,"&lt;&gt;Lucas Luiz Romero")*(23/1083),IF(C1124="JR",SUMIFS($D:$D,$A:$A,$A1124,$B:$B,"&lt;&gt;Patrícia Karla de Sousa Araújo",$B:$B,"&lt;&gt;Lorena Dias de Araujo",$B:$B,"&lt;&gt;Lucas Luiz Romero")*(20/1083),IF(C1124="Estágio",SUMIFS($D:$D,$A:$A,$A1124,$B:$B,"&lt;&gt;Patrícia Karla de Sousa Araújo",$B:$B,"&lt;&gt;Lorena Dias de Araujo",$B:$B,"&lt;&gt;Lucas Luiz Romero")*(10/1083),0)))))),0)</f>
        <v>14</v>
      </c>
      <c r="K1124" s="3">
        <f>I1124-J1124</f>
        <v>-5</v>
      </c>
      <c r="L1124" s="3" t="str">
        <f>IF(K1124&lt;-5,"CRÍTICO",IF(K1124&lt;0,"ATENÇÃO",IF(K1124&lt;=5,"BOM","EXCELENTE")))</f>
        <v>ATENÇÃO</v>
      </c>
      <c r="M1124">
        <v>8</v>
      </c>
      <c r="N1124">
        <v>100</v>
      </c>
      <c r="O1124">
        <v>31.872509960159359</v>
      </c>
    </row>
    <row r="1125" spans="1:15" hidden="1" x14ac:dyDescent="0.25">
      <c r="A1125" s="11">
        <v>46035</v>
      </c>
      <c r="B1125" t="s">
        <v>46</v>
      </c>
      <c r="C1125" t="s">
        <v>32</v>
      </c>
      <c r="D1125">
        <v>28</v>
      </c>
      <c r="E1125">
        <v>25</v>
      </c>
      <c r="F1125">
        <v>14.14</v>
      </c>
      <c r="G1125">
        <v>0</v>
      </c>
      <c r="H1125">
        <v>0</v>
      </c>
      <c r="I1125" s="3">
        <f>E1125+G1125+H1125</f>
        <v>25</v>
      </c>
      <c r="J1125" s="3">
        <f>ROUND(MIN(IF(C1125="Técnico III",35,IF(C1125="Técnico II",28,IF(C1125="Técnico I",23,IF(C1125="JR",20,IF(C1125="Estágio",10,0))))),IF(C1125="Técnico III",SUMIFS($D:$D,$A:$A,$A1125,$B:$B,"&lt;&gt;Patrícia Karla de Sousa Araújo",$B:$B,"&lt;&gt;Lorena Dias de Araujo",$B:$B,"&lt;&gt;Lucas Luiz Romero")*(35/1083),IF(C1125="Técnico II",SUMIFS($D:$D,$A:$A,$A1125,$B:$B,"&lt;&gt;Patrícia Karla de Sousa Araújo",$B:$B,"&lt;&gt;Lorena Dias de Araujo",$B:$B,"&lt;&gt;Lucas Luiz Romero")*(28/1083),IF(C1125="Técnico I",SUMIFS($D:$D,$A:$A,$A1125,$B:$B,"&lt;&gt;Patrícia Karla de Sousa Araújo",$B:$B,"&lt;&gt;Lorena Dias de Araujo",$B:$B,"&lt;&gt;Lucas Luiz Romero")*(23/1083),IF(C1125="JR",SUMIFS($D:$D,$A:$A,$A1125,$B:$B,"&lt;&gt;Patrícia Karla de Sousa Araújo",$B:$B,"&lt;&gt;Lorena Dias de Araujo",$B:$B,"&lt;&gt;Lucas Luiz Romero")*(20/1083),IF(C1125="Estágio",SUMIFS($D:$D,$A:$A,$A1125,$B:$B,"&lt;&gt;Patrícia Karla de Sousa Araújo",$B:$B,"&lt;&gt;Lorena Dias de Araujo",$B:$B,"&lt;&gt;Lucas Luiz Romero")*(10/1083),0)))))),0)</f>
        <v>22</v>
      </c>
      <c r="K1125" s="3">
        <f>I1125-J1125</f>
        <v>3</v>
      </c>
      <c r="L1125" s="3" t="str">
        <f>IF(K1125&lt;-5,"CRÍTICO",IF(K1125&lt;0,"ATENÇÃO",IF(K1125&lt;=5,"BOM","EXCELENTE")))</f>
        <v>BOM</v>
      </c>
      <c r="M1125">
        <v>19</v>
      </c>
      <c r="N1125">
        <v>98.41</v>
      </c>
      <c r="O1125">
        <v>29.22465208747515</v>
      </c>
    </row>
    <row r="1126" spans="1:15" hidden="1" x14ac:dyDescent="0.25">
      <c r="A1126" s="11">
        <v>46036</v>
      </c>
      <c r="B1126" t="s">
        <v>47</v>
      </c>
      <c r="C1126" t="s">
        <v>48</v>
      </c>
      <c r="D1126">
        <v>18</v>
      </c>
      <c r="E1126">
        <v>15</v>
      </c>
      <c r="F1126">
        <v>27.01</v>
      </c>
      <c r="G1126">
        <v>0</v>
      </c>
      <c r="H1126">
        <v>0</v>
      </c>
      <c r="I1126" s="3">
        <f>E1126+G1126+H1126</f>
        <v>15</v>
      </c>
      <c r="J1126" s="3">
        <f>ROUND(MIN(IF(C1126="Técnico III",35,IF(C1126="Técnico II",28,IF(C1126="Técnico I",23,IF(C1126="JR",20,IF(C1126="Estágio",10,0))))),IF(C1126="Técnico III",SUMIFS($D:$D,$A:$A,$A1126,$B:$B,"&lt;&gt;Patrícia Karla de Sousa Araújo",$B:$B,"&lt;&gt;Lorena Dias de Araujo",$B:$B,"&lt;&gt;Lucas Luiz Romero")*(35/1083),IF(C1126="Técnico II",SUMIFS($D:$D,$A:$A,$A1126,$B:$B,"&lt;&gt;Patrícia Karla de Sousa Araújo",$B:$B,"&lt;&gt;Lorena Dias de Araujo",$B:$B,"&lt;&gt;Lucas Luiz Romero")*(28/1083),IF(C1126="Técnico I",SUMIFS($D:$D,$A:$A,$A1126,$B:$B,"&lt;&gt;Patrícia Karla de Sousa Araújo",$B:$B,"&lt;&gt;Lorena Dias de Araujo",$B:$B,"&lt;&gt;Lucas Luiz Romero")*(23/1083),IF(C1126="JR",SUMIFS($D:$D,$A:$A,$A1126,$B:$B,"&lt;&gt;Patrícia Karla de Sousa Araújo",$B:$B,"&lt;&gt;Lorena Dias de Araujo",$B:$B,"&lt;&gt;Lucas Luiz Romero")*(20/1083),IF(C1126="Estágio",SUMIFS($D:$D,$A:$A,$A1126,$B:$B,"&lt;&gt;Patrícia Karla de Sousa Araújo",$B:$B,"&lt;&gt;Lorena Dias de Araujo",$B:$B,"&lt;&gt;Lucas Luiz Romero")*(10/1083),0)))))),0)</f>
        <v>16</v>
      </c>
      <c r="K1126" s="3">
        <f>I1126-J1126</f>
        <v>-1</v>
      </c>
      <c r="L1126" s="3" t="str">
        <f>IF(K1126&lt;-5,"CRÍTICO",IF(K1126&lt;0,"ATENÇÃO",IF(K1126&lt;=5,"BOM","EXCELENTE")))</f>
        <v>ATENÇÃO</v>
      </c>
      <c r="M1126">
        <v>17</v>
      </c>
      <c r="N1126">
        <v>96.81</v>
      </c>
      <c r="O1126">
        <v>27.980535279805348</v>
      </c>
    </row>
    <row r="1127" spans="1:15" hidden="1" x14ac:dyDescent="0.25">
      <c r="A1127" s="11">
        <v>46036</v>
      </c>
      <c r="B1127" t="s">
        <v>31</v>
      </c>
      <c r="C1127" t="s">
        <v>32</v>
      </c>
      <c r="D1127">
        <v>0</v>
      </c>
      <c r="E1127">
        <v>0</v>
      </c>
      <c r="F1127">
        <v>0</v>
      </c>
      <c r="G1127">
        <v>0</v>
      </c>
      <c r="H1127">
        <v>0</v>
      </c>
      <c r="I1127" s="3">
        <v>0</v>
      </c>
      <c r="J1127" s="3">
        <v>0</v>
      </c>
      <c r="K1127" s="3">
        <v>0</v>
      </c>
      <c r="L1127" s="3" t="str">
        <f>IF(K1127&lt;-5,"CRÍTICO",IF(K1127&lt;0,"ATENÇÃO",IF(K1127&lt;=5,"BOM","EXCELENTE")))</f>
        <v>BOM</v>
      </c>
      <c r="M1127">
        <v>20</v>
      </c>
      <c r="N1127">
        <v>98.73</v>
      </c>
      <c r="O1127">
        <v>35.756385068762278</v>
      </c>
    </row>
    <row r="1128" spans="1:15" hidden="1" x14ac:dyDescent="0.25">
      <c r="A1128" s="11">
        <v>46036</v>
      </c>
      <c r="B1128" t="s">
        <v>59</v>
      </c>
      <c r="C1128" t="s">
        <v>23</v>
      </c>
      <c r="D1128">
        <v>21</v>
      </c>
      <c r="E1128">
        <v>20</v>
      </c>
      <c r="F1128">
        <v>30.51</v>
      </c>
      <c r="G1128">
        <v>0</v>
      </c>
      <c r="H1128">
        <v>0</v>
      </c>
      <c r="I1128" s="3">
        <f>E1128+G1128+H1128</f>
        <v>20</v>
      </c>
      <c r="J1128" s="3">
        <f>ROUND(MIN(IF(C1128="Técnico III",35,IF(C1128="Técnico II",28,IF(C1128="Técnico I",23,IF(C1128="JR",20,IF(C1128="Estágio",10,0))))),IF(C1128="Técnico III",SUMIFS($D:$D,$A:$A,$A1128,$B:$B,"&lt;&gt;Patrícia Karla de Sousa Araújo",$B:$B,"&lt;&gt;Lorena Dias de Araujo",$B:$B,"&lt;&gt;Lucas Luiz Romero")*(35/1083),IF(C1128="Técnico II",SUMIFS($D:$D,$A:$A,$A1128,$B:$B,"&lt;&gt;Patrícia Karla de Sousa Araújo",$B:$B,"&lt;&gt;Lorena Dias de Araujo",$B:$B,"&lt;&gt;Lucas Luiz Romero")*(28/1083),IF(C1128="Técnico I",SUMIFS($D:$D,$A:$A,$A1128,$B:$B,"&lt;&gt;Patrícia Karla de Sousa Araújo",$B:$B,"&lt;&gt;Lorena Dias de Araujo",$B:$B,"&lt;&gt;Lucas Luiz Romero")*(23/1083),IF(C1128="JR",SUMIFS($D:$D,$A:$A,$A1128,$B:$B,"&lt;&gt;Patrícia Karla de Sousa Araújo",$B:$B,"&lt;&gt;Lorena Dias de Araujo",$B:$B,"&lt;&gt;Lucas Luiz Romero")*(20/1083),IF(C1128="Estágio",SUMIFS($D:$D,$A:$A,$A1128,$B:$B,"&lt;&gt;Patrícia Karla de Sousa Araújo",$B:$B,"&lt;&gt;Lorena Dias de Araujo",$B:$B,"&lt;&gt;Lucas Luiz Romero")*(10/1083),0)))))),0)</f>
        <v>13</v>
      </c>
      <c r="K1128" s="3">
        <f>I1128-J1128</f>
        <v>7</v>
      </c>
      <c r="L1128" s="3" t="str">
        <f>IF(K1128&lt;-5,"CRÍTICO",IF(K1128&lt;0,"ATENÇÃO",IF(K1128&lt;=5,"BOM","EXCELENTE")))</f>
        <v>EXCELENTE</v>
      </c>
      <c r="M1128">
        <v>19</v>
      </c>
      <c r="N1128">
        <v>98.32</v>
      </c>
      <c r="O1128">
        <v>26.763485477178421</v>
      </c>
    </row>
    <row r="1129" spans="1:15" hidden="1" x14ac:dyDescent="0.25">
      <c r="A1129" s="11">
        <v>46036</v>
      </c>
      <c r="B1129" t="s">
        <v>33</v>
      </c>
      <c r="C1129" t="s">
        <v>32</v>
      </c>
      <c r="D1129">
        <v>6</v>
      </c>
      <c r="E1129">
        <v>6</v>
      </c>
      <c r="F1129">
        <v>23.54</v>
      </c>
      <c r="G1129">
        <v>0</v>
      </c>
      <c r="H1129">
        <v>0</v>
      </c>
      <c r="I1129" s="3">
        <f>E1129+G1129+H1129</f>
        <v>6</v>
      </c>
      <c r="J1129" s="3">
        <f>ROUND(MIN(IF(C1129="Técnico III",35,IF(C1129="Técnico II",28,IF(C1129="Técnico I",23,IF(C1129="JR",20,IF(C1129="Estágio",10,0))))),IF(C1129="Técnico III",SUMIFS($D:$D,$A:$A,$A1129,$B:$B,"&lt;&gt;Patrícia Karla de Sousa Araújo",$B:$B,"&lt;&gt;Lorena Dias de Araujo",$B:$B,"&lt;&gt;Lucas Luiz Romero")*(35/1083),IF(C1129="Técnico II",SUMIFS($D:$D,$A:$A,$A1129,$B:$B,"&lt;&gt;Patrícia Karla de Sousa Araújo",$B:$B,"&lt;&gt;Lorena Dias de Araujo",$B:$B,"&lt;&gt;Lucas Luiz Romero")*(28/1083),IF(C1129="Técnico I",SUMIFS($D:$D,$A:$A,$A1129,$B:$B,"&lt;&gt;Patrícia Karla de Sousa Araújo",$B:$B,"&lt;&gt;Lorena Dias de Araujo",$B:$B,"&lt;&gt;Lucas Luiz Romero")*(23/1083),IF(C1129="JR",SUMIFS($D:$D,$A:$A,$A1129,$B:$B,"&lt;&gt;Patrícia Karla de Sousa Araújo",$B:$B,"&lt;&gt;Lorena Dias de Araujo",$B:$B,"&lt;&gt;Lucas Luiz Romero")*(20/1083),IF(C1129="Estágio",SUMIFS($D:$D,$A:$A,$A1129,$B:$B,"&lt;&gt;Patrícia Karla de Sousa Araújo",$B:$B,"&lt;&gt;Lorena Dias de Araujo",$B:$B,"&lt;&gt;Lucas Luiz Romero")*(10/1083),0)))))),0)</f>
        <v>20</v>
      </c>
      <c r="K1129" s="3">
        <f>I1129-J1129</f>
        <v>-14</v>
      </c>
      <c r="L1129" s="3" t="str">
        <f>IF(K1129&lt;-5,"CRÍTICO",IF(K1129&lt;0,"ATENÇÃO",IF(K1129&lt;=5,"BOM","EXCELENTE")))</f>
        <v>CRÍTICO</v>
      </c>
      <c r="M1129">
        <v>4</v>
      </c>
      <c r="N1129">
        <v>99.19</v>
      </c>
      <c r="O1129">
        <v>27.637130801687761</v>
      </c>
    </row>
    <row r="1130" spans="1:15" hidden="1" x14ac:dyDescent="0.25">
      <c r="A1130" s="11">
        <v>46036</v>
      </c>
      <c r="B1130" t="s">
        <v>15</v>
      </c>
      <c r="C1130" t="s">
        <v>16</v>
      </c>
      <c r="D1130">
        <v>9</v>
      </c>
      <c r="E1130">
        <v>9</v>
      </c>
      <c r="F1130">
        <v>49.18</v>
      </c>
      <c r="G1130">
        <v>0</v>
      </c>
      <c r="H1130">
        <v>0</v>
      </c>
      <c r="I1130" s="3">
        <f>E1130+G1130+H1130</f>
        <v>9</v>
      </c>
      <c r="J1130" s="3">
        <f>ROUND(MIN(IF(C1130="Técnico III",35,IF(C1130="Técnico II",28,IF(C1130="Técnico I",23,IF(C1130="JR",20,IF(C1130="Estágio",10,0))))),IF(C1130="Técnico III",SUMIFS($D:$D,$A:$A,$A1130,$B:$B,"&lt;&gt;Patrícia Karla de Sousa Araújo",$B:$B,"&lt;&gt;Lorena Dias de Araujo",$B:$B,"&lt;&gt;Lucas Luiz Romero")*(35/1083),IF(C1130="Técnico II",SUMIFS($D:$D,$A:$A,$A1130,$B:$B,"&lt;&gt;Patrícia Karla de Sousa Araújo",$B:$B,"&lt;&gt;Lorena Dias de Araujo",$B:$B,"&lt;&gt;Lucas Luiz Romero")*(28/1083),IF(C1130="Técnico I",SUMIFS($D:$D,$A:$A,$A1130,$B:$B,"&lt;&gt;Patrícia Karla de Sousa Araújo",$B:$B,"&lt;&gt;Lorena Dias de Araujo",$B:$B,"&lt;&gt;Lucas Luiz Romero")*(23/1083),IF(C1130="JR",SUMIFS($D:$D,$A:$A,$A1130,$B:$B,"&lt;&gt;Patrícia Karla de Sousa Araújo",$B:$B,"&lt;&gt;Lorena Dias de Araujo",$B:$B,"&lt;&gt;Lucas Luiz Romero")*(20/1083),IF(C1130="Estágio",SUMIFS($D:$D,$A:$A,$A1130,$B:$B,"&lt;&gt;Patrícia Karla de Sousa Araújo",$B:$B,"&lt;&gt;Lorena Dias de Araujo",$B:$B,"&lt;&gt;Lucas Luiz Romero")*(10/1083),0)))))),0)</f>
        <v>6</v>
      </c>
      <c r="K1130" s="3">
        <f>I1130-J1130</f>
        <v>3</v>
      </c>
      <c r="L1130" s="3" t="str">
        <f>IF(K1130&lt;-5,"CRÍTICO",IF(K1130&lt;0,"ATENÇÃO",IF(K1130&lt;=5,"BOM","EXCELENTE")))</f>
        <v>BOM</v>
      </c>
      <c r="M1130">
        <v>7</v>
      </c>
      <c r="N1130">
        <v>100</v>
      </c>
      <c r="O1130">
        <v>39.568345323741013</v>
      </c>
    </row>
    <row r="1131" spans="1:15" hidden="1" x14ac:dyDescent="0.25">
      <c r="A1131" s="11">
        <v>46036</v>
      </c>
      <c r="B1131" t="s">
        <v>49</v>
      </c>
      <c r="C1131" t="s">
        <v>48</v>
      </c>
      <c r="D1131">
        <v>30</v>
      </c>
      <c r="E1131">
        <v>27</v>
      </c>
      <c r="F1131">
        <v>20.059999999999999</v>
      </c>
      <c r="G1131">
        <v>0</v>
      </c>
      <c r="H1131">
        <v>0</v>
      </c>
      <c r="I1131" s="3">
        <f>E1131+G1131+H1131</f>
        <v>27</v>
      </c>
      <c r="J1131" s="3">
        <f>ROUND(MIN(IF(C1131="Técnico III",35,IF(C1131="Técnico II",28,IF(C1131="Técnico I",23,IF(C1131="JR",20,IF(C1131="Estágio",10,0))))),IF(C1131="Técnico III",SUMIFS($D:$D,$A:$A,$A1131,$B:$B,"&lt;&gt;Patrícia Karla de Sousa Araújo",$B:$B,"&lt;&gt;Lorena Dias de Araujo",$B:$B,"&lt;&gt;Lucas Luiz Romero")*(35/1083),IF(C1131="Técnico II",SUMIFS($D:$D,$A:$A,$A1131,$B:$B,"&lt;&gt;Patrícia Karla de Sousa Araújo",$B:$B,"&lt;&gt;Lorena Dias de Araujo",$B:$B,"&lt;&gt;Lucas Luiz Romero")*(28/1083),IF(C1131="Técnico I",SUMIFS($D:$D,$A:$A,$A1131,$B:$B,"&lt;&gt;Patrícia Karla de Sousa Araújo",$B:$B,"&lt;&gt;Lorena Dias de Araujo",$B:$B,"&lt;&gt;Lucas Luiz Romero")*(23/1083),IF(C1131="JR",SUMIFS($D:$D,$A:$A,$A1131,$B:$B,"&lt;&gt;Patrícia Karla de Sousa Araújo",$B:$B,"&lt;&gt;Lorena Dias de Araujo",$B:$B,"&lt;&gt;Lucas Luiz Romero")*(20/1083),IF(C1131="Estágio",SUMIFS($D:$D,$A:$A,$A1131,$B:$B,"&lt;&gt;Patrícia Karla de Sousa Araújo",$B:$B,"&lt;&gt;Lorena Dias de Araujo",$B:$B,"&lt;&gt;Lucas Luiz Romero")*(10/1083),0)))))),0)</f>
        <v>16</v>
      </c>
      <c r="K1131" s="3">
        <f>I1131-J1131</f>
        <v>11</v>
      </c>
      <c r="L1131" s="3" t="str">
        <f>IF(K1131&lt;-5,"CRÍTICO",IF(K1131&lt;0,"ATENÇÃO",IF(K1131&lt;=5,"BOM","EXCELENTE")))</f>
        <v>EXCELENTE</v>
      </c>
      <c r="M1131">
        <v>26</v>
      </c>
      <c r="N1131">
        <v>98.54</v>
      </c>
      <c r="O1131">
        <v>28.544776119402989</v>
      </c>
    </row>
    <row r="1132" spans="1:15" hidden="1" x14ac:dyDescent="0.25">
      <c r="A1132" s="11">
        <v>46036</v>
      </c>
      <c r="B1132" t="s">
        <v>50</v>
      </c>
      <c r="C1132" t="s">
        <v>48</v>
      </c>
      <c r="D1132">
        <v>25</v>
      </c>
      <c r="E1132">
        <v>23</v>
      </c>
      <c r="F1132">
        <v>22.36</v>
      </c>
      <c r="G1132">
        <v>0</v>
      </c>
      <c r="H1132">
        <v>0</v>
      </c>
      <c r="I1132" s="3">
        <f>E1132+G1132+H1132</f>
        <v>23</v>
      </c>
      <c r="J1132" s="3">
        <f>ROUND(MIN(IF(C1132="Técnico III",35,IF(C1132="Técnico II",28,IF(C1132="Técnico I",23,IF(C1132="JR",20,IF(C1132="Estágio",10,0))))),IF(C1132="Técnico III",SUMIFS($D:$D,$A:$A,$A1132,$B:$B,"&lt;&gt;Patrícia Karla de Sousa Araújo",$B:$B,"&lt;&gt;Lorena Dias de Araujo",$B:$B,"&lt;&gt;Lucas Luiz Romero")*(35/1083),IF(C1132="Técnico II",SUMIFS($D:$D,$A:$A,$A1132,$B:$B,"&lt;&gt;Patrícia Karla de Sousa Araújo",$B:$B,"&lt;&gt;Lorena Dias de Araujo",$B:$B,"&lt;&gt;Lucas Luiz Romero")*(28/1083),IF(C1132="Técnico I",SUMIFS($D:$D,$A:$A,$A1132,$B:$B,"&lt;&gt;Patrícia Karla de Sousa Araújo",$B:$B,"&lt;&gt;Lorena Dias de Araujo",$B:$B,"&lt;&gt;Lucas Luiz Romero")*(23/1083),IF(C1132="JR",SUMIFS($D:$D,$A:$A,$A1132,$B:$B,"&lt;&gt;Patrícia Karla de Sousa Araújo",$B:$B,"&lt;&gt;Lorena Dias de Araujo",$B:$B,"&lt;&gt;Lucas Luiz Romero")*(20/1083),IF(C1132="Estágio",SUMIFS($D:$D,$A:$A,$A1132,$B:$B,"&lt;&gt;Patrícia Karla de Sousa Araújo",$B:$B,"&lt;&gt;Lorena Dias de Araujo",$B:$B,"&lt;&gt;Lucas Luiz Romero")*(10/1083),0)))))),0)</f>
        <v>16</v>
      </c>
      <c r="K1132" s="3">
        <f>I1132-J1132</f>
        <v>7</v>
      </c>
      <c r="L1132" s="3" t="str">
        <f>IF(K1132&lt;-5,"CRÍTICO",IF(K1132&lt;0,"ATENÇÃO",IF(K1132&lt;=5,"BOM","EXCELENTE")))</f>
        <v>EXCELENTE</v>
      </c>
      <c r="M1132">
        <v>24</v>
      </c>
      <c r="N1132">
        <v>100</v>
      </c>
      <c r="O1132">
        <v>34.366925064599492</v>
      </c>
    </row>
    <row r="1133" spans="1:15" hidden="1" x14ac:dyDescent="0.25">
      <c r="A1133" s="11">
        <v>46036</v>
      </c>
      <c r="B1133" t="s">
        <v>17</v>
      </c>
      <c r="C1133" t="s">
        <v>16</v>
      </c>
      <c r="D1133">
        <v>0</v>
      </c>
      <c r="E1133">
        <v>0</v>
      </c>
      <c r="F1133">
        <v>0</v>
      </c>
      <c r="G1133">
        <v>0</v>
      </c>
      <c r="H1133">
        <v>0</v>
      </c>
      <c r="I1133" s="3">
        <v>0</v>
      </c>
      <c r="J1133" s="3">
        <v>0</v>
      </c>
      <c r="K1133" s="3">
        <v>0</v>
      </c>
      <c r="L1133" s="3" t="str">
        <f>IF(K1133&lt;-5,"CRÍTICO",IF(K1133&lt;0,"ATENÇÃO",IF(K1133&lt;=5,"BOM","EXCELENTE")))</f>
        <v>BOM</v>
      </c>
      <c r="M1133">
        <v>0</v>
      </c>
      <c r="N1133">
        <v>0</v>
      </c>
      <c r="O1133">
        <v>0</v>
      </c>
    </row>
    <row r="1134" spans="1:15" hidden="1" x14ac:dyDescent="0.25">
      <c r="A1134" s="11">
        <v>46036</v>
      </c>
      <c r="B1134" t="s">
        <v>60</v>
      </c>
      <c r="C1134" t="s">
        <v>23</v>
      </c>
      <c r="D1134">
        <v>16</v>
      </c>
      <c r="E1134">
        <v>16</v>
      </c>
      <c r="F1134">
        <v>29.13</v>
      </c>
      <c r="G1134">
        <v>0</v>
      </c>
      <c r="H1134">
        <v>0</v>
      </c>
      <c r="I1134" s="3">
        <f>E1134+G1134+H1134</f>
        <v>16</v>
      </c>
      <c r="J1134" s="3">
        <f>ROUND(MIN(IF(C1134="Técnico III",35,IF(C1134="Técnico II",28,IF(C1134="Técnico I",23,IF(C1134="JR",20,IF(C1134="Estágio",10,0))))),IF(C1134="Técnico III",SUMIFS($D:$D,$A:$A,$A1134,$B:$B,"&lt;&gt;Patrícia Karla de Sousa Araújo",$B:$B,"&lt;&gt;Lorena Dias de Araujo",$B:$B,"&lt;&gt;Lucas Luiz Romero")*(35/1083),IF(C1134="Técnico II",SUMIFS($D:$D,$A:$A,$A1134,$B:$B,"&lt;&gt;Patrícia Karla de Sousa Araújo",$B:$B,"&lt;&gt;Lorena Dias de Araujo",$B:$B,"&lt;&gt;Lucas Luiz Romero")*(28/1083),IF(C1134="Técnico I",SUMIFS($D:$D,$A:$A,$A1134,$B:$B,"&lt;&gt;Patrícia Karla de Sousa Araújo",$B:$B,"&lt;&gt;Lorena Dias de Araujo",$B:$B,"&lt;&gt;Lucas Luiz Romero")*(23/1083),IF(C1134="JR",SUMIFS($D:$D,$A:$A,$A1134,$B:$B,"&lt;&gt;Patrícia Karla de Sousa Araújo",$B:$B,"&lt;&gt;Lorena Dias de Araujo",$B:$B,"&lt;&gt;Lucas Luiz Romero")*(20/1083),IF(C1134="Estágio",SUMIFS($D:$D,$A:$A,$A1134,$B:$B,"&lt;&gt;Patrícia Karla de Sousa Araújo",$B:$B,"&lt;&gt;Lorena Dias de Araujo",$B:$B,"&lt;&gt;Lucas Luiz Romero")*(10/1083),0)))))),0)</f>
        <v>13</v>
      </c>
      <c r="K1134" s="3">
        <f>I1134-J1134</f>
        <v>3</v>
      </c>
      <c r="L1134" s="3" t="str">
        <f>IF(K1134&lt;-5,"CRÍTICO",IF(K1134&lt;0,"ATENÇÃO",IF(K1134&lt;=5,"BOM","EXCELENTE")))</f>
        <v>BOM</v>
      </c>
      <c r="M1134">
        <v>14</v>
      </c>
      <c r="N1134">
        <v>100</v>
      </c>
      <c r="O1134">
        <v>29.518072289156631</v>
      </c>
    </row>
    <row r="1135" spans="1:15" hidden="1" x14ac:dyDescent="0.25">
      <c r="A1135" s="11">
        <v>46036</v>
      </c>
      <c r="B1135" t="s">
        <v>34</v>
      </c>
      <c r="C1135" t="s">
        <v>32</v>
      </c>
      <c r="D1135">
        <v>35</v>
      </c>
      <c r="E1135">
        <v>32</v>
      </c>
      <c r="F1135">
        <v>15.37</v>
      </c>
      <c r="G1135">
        <v>0</v>
      </c>
      <c r="H1135">
        <v>0</v>
      </c>
      <c r="I1135" s="3">
        <f>E1135+G1135+H1135</f>
        <v>32</v>
      </c>
      <c r="J1135" s="3">
        <f>ROUND(MIN(IF(C1135="Técnico III",35,IF(C1135="Técnico II",28,IF(C1135="Técnico I",23,IF(C1135="JR",20,IF(C1135="Estágio",10,0))))),IF(C1135="Técnico III",SUMIFS($D:$D,$A:$A,$A1135,$B:$B,"&lt;&gt;Patrícia Karla de Sousa Araújo",$B:$B,"&lt;&gt;Lorena Dias de Araujo",$B:$B,"&lt;&gt;Lucas Luiz Romero")*(35/1083),IF(C1135="Técnico II",SUMIFS($D:$D,$A:$A,$A1135,$B:$B,"&lt;&gt;Patrícia Karla de Sousa Araújo",$B:$B,"&lt;&gt;Lorena Dias de Araujo",$B:$B,"&lt;&gt;Lucas Luiz Romero")*(28/1083),IF(C1135="Técnico I",SUMIFS($D:$D,$A:$A,$A1135,$B:$B,"&lt;&gt;Patrícia Karla de Sousa Araújo",$B:$B,"&lt;&gt;Lorena Dias de Araujo",$B:$B,"&lt;&gt;Lucas Luiz Romero")*(23/1083),IF(C1135="JR",SUMIFS($D:$D,$A:$A,$A1135,$B:$B,"&lt;&gt;Patrícia Karla de Sousa Araújo",$B:$B,"&lt;&gt;Lorena Dias de Araujo",$B:$B,"&lt;&gt;Lucas Luiz Romero")*(20/1083),IF(C1135="Estágio",SUMIFS($D:$D,$A:$A,$A1135,$B:$B,"&lt;&gt;Patrícia Karla de Sousa Araújo",$B:$B,"&lt;&gt;Lorena Dias de Araujo",$B:$B,"&lt;&gt;Lucas Luiz Romero")*(10/1083),0)))))),0)</f>
        <v>20</v>
      </c>
      <c r="K1135" s="3">
        <f>I1135-J1135</f>
        <v>12</v>
      </c>
      <c r="L1135" s="3" t="str">
        <f>IF(K1135&lt;-5,"CRÍTICO",IF(K1135&lt;0,"ATENÇÃO",IF(K1135&lt;=5,"BOM","EXCELENTE")))</f>
        <v>EXCELENTE</v>
      </c>
      <c r="M1135">
        <v>28</v>
      </c>
      <c r="N1135">
        <v>97.45</v>
      </c>
      <c r="O1135">
        <v>41.421143847487002</v>
      </c>
    </row>
    <row r="1136" spans="1:15" hidden="1" x14ac:dyDescent="0.25">
      <c r="A1136" s="11">
        <v>46036</v>
      </c>
      <c r="B1136" t="s">
        <v>51</v>
      </c>
      <c r="C1136" t="s">
        <v>48</v>
      </c>
      <c r="D1136">
        <v>20</v>
      </c>
      <c r="E1136">
        <v>13</v>
      </c>
      <c r="F1136">
        <v>27.1</v>
      </c>
      <c r="G1136">
        <v>0</v>
      </c>
      <c r="H1136">
        <v>0</v>
      </c>
      <c r="I1136" s="3">
        <v>0</v>
      </c>
      <c r="J1136" s="3">
        <v>0</v>
      </c>
      <c r="K1136" s="3">
        <v>0</v>
      </c>
      <c r="L1136" s="3" t="str">
        <f>IF(K1136&lt;-5,"CRÍTICO",IF(K1136&lt;0,"ATENÇÃO",IF(K1136&lt;=5,"BOM","EXCELENTE")))</f>
        <v>BOM</v>
      </c>
      <c r="M1136">
        <v>12</v>
      </c>
      <c r="N1136">
        <v>96.58</v>
      </c>
      <c r="O1136">
        <v>30.396475770925111</v>
      </c>
    </row>
    <row r="1137" spans="1:15" hidden="1" x14ac:dyDescent="0.25">
      <c r="A1137" s="11">
        <v>46036</v>
      </c>
      <c r="B1137" t="s">
        <v>61</v>
      </c>
      <c r="C1137" t="s">
        <v>23</v>
      </c>
      <c r="D1137">
        <v>22</v>
      </c>
      <c r="E1137">
        <v>22</v>
      </c>
      <c r="F1137">
        <v>18.22</v>
      </c>
      <c r="G1137">
        <v>0</v>
      </c>
      <c r="H1137">
        <v>0</v>
      </c>
      <c r="I1137" s="3">
        <f>E1137+G1137+H1137</f>
        <v>22</v>
      </c>
      <c r="J1137" s="3">
        <f>ROUND(MIN(IF(C1137="Técnico III",35,IF(C1137="Técnico II",28,IF(C1137="Técnico I",23,IF(C1137="JR",20,IF(C1137="Estágio",10,0))))),IF(C1137="Técnico III",SUMIFS($D:$D,$A:$A,$A1137,$B:$B,"&lt;&gt;Patrícia Karla de Sousa Araújo",$B:$B,"&lt;&gt;Lorena Dias de Araujo",$B:$B,"&lt;&gt;Lucas Luiz Romero")*(35/1083),IF(C1137="Técnico II",SUMIFS($D:$D,$A:$A,$A1137,$B:$B,"&lt;&gt;Patrícia Karla de Sousa Araújo",$B:$B,"&lt;&gt;Lorena Dias de Araujo",$B:$B,"&lt;&gt;Lucas Luiz Romero")*(28/1083),IF(C1137="Técnico I",SUMIFS($D:$D,$A:$A,$A1137,$B:$B,"&lt;&gt;Patrícia Karla de Sousa Araújo",$B:$B,"&lt;&gt;Lorena Dias de Araujo",$B:$B,"&lt;&gt;Lucas Luiz Romero")*(23/1083),IF(C1137="JR",SUMIFS($D:$D,$A:$A,$A1137,$B:$B,"&lt;&gt;Patrícia Karla de Sousa Araújo",$B:$B,"&lt;&gt;Lorena Dias de Araujo",$B:$B,"&lt;&gt;Lucas Luiz Romero")*(20/1083),IF(C1137="Estágio",SUMIFS($D:$D,$A:$A,$A1137,$B:$B,"&lt;&gt;Patrícia Karla de Sousa Araújo",$B:$B,"&lt;&gt;Lorena Dias de Araujo",$B:$B,"&lt;&gt;Lucas Luiz Romero")*(10/1083),0)))))),0)</f>
        <v>13</v>
      </c>
      <c r="K1137" s="3">
        <f>I1137-J1137</f>
        <v>9</v>
      </c>
      <c r="L1137" s="3" t="str">
        <f>IF(K1137&lt;-5,"CRÍTICO",IF(K1137&lt;0,"ATENÇÃO",IF(K1137&lt;=5,"BOM","EXCELENTE")))</f>
        <v>EXCELENTE</v>
      </c>
      <c r="M1137">
        <v>28</v>
      </c>
      <c r="N1137">
        <v>100</v>
      </c>
      <c r="O1137">
        <v>27.44282744282744</v>
      </c>
    </row>
    <row r="1138" spans="1:15" hidden="1" x14ac:dyDescent="0.25">
      <c r="A1138" s="11">
        <v>46036</v>
      </c>
      <c r="B1138" t="s">
        <v>35</v>
      </c>
      <c r="C1138" t="s">
        <v>32</v>
      </c>
      <c r="D1138">
        <v>28</v>
      </c>
      <c r="E1138">
        <v>28</v>
      </c>
      <c r="F1138">
        <v>22.34</v>
      </c>
      <c r="G1138">
        <v>0</v>
      </c>
      <c r="H1138">
        <v>0</v>
      </c>
      <c r="I1138" s="3">
        <v>0</v>
      </c>
      <c r="J1138" s="3">
        <v>0</v>
      </c>
      <c r="K1138" s="3">
        <v>0</v>
      </c>
      <c r="L1138" s="3" t="str">
        <f>IF(K1138&lt;-5,"CRÍTICO",IF(K1138&lt;0,"ATENÇÃO",IF(K1138&lt;=5,"BOM","EXCELENTE")))</f>
        <v>BOM</v>
      </c>
      <c r="M1138">
        <v>27</v>
      </c>
      <c r="N1138">
        <v>99.49</v>
      </c>
      <c r="O1138">
        <v>40.200000000000003</v>
      </c>
    </row>
    <row r="1139" spans="1:15" hidden="1" x14ac:dyDescent="0.25">
      <c r="A1139" s="11">
        <v>46036</v>
      </c>
      <c r="B1139" t="s">
        <v>18</v>
      </c>
      <c r="C1139" t="s">
        <v>16</v>
      </c>
      <c r="D1139">
        <v>0</v>
      </c>
      <c r="E1139">
        <v>0</v>
      </c>
      <c r="F1139">
        <v>0</v>
      </c>
      <c r="G1139">
        <v>0</v>
      </c>
      <c r="H1139">
        <v>0</v>
      </c>
      <c r="I1139" s="3">
        <v>0</v>
      </c>
      <c r="J1139" s="3">
        <v>0</v>
      </c>
      <c r="K1139" s="3">
        <v>0</v>
      </c>
      <c r="L1139" s="3" t="str">
        <f>IF(K1139&lt;-5,"CRÍTICO",IF(K1139&lt;0,"ATENÇÃO",IF(K1139&lt;=5,"BOM","EXCELENTE")))</f>
        <v>BOM</v>
      </c>
      <c r="M1139">
        <v>0</v>
      </c>
      <c r="N1139">
        <v>100</v>
      </c>
      <c r="O1139">
        <v>25</v>
      </c>
    </row>
    <row r="1140" spans="1:15" hidden="1" x14ac:dyDescent="0.25">
      <c r="A1140" s="11">
        <v>46036</v>
      </c>
      <c r="B1140" t="s">
        <v>52</v>
      </c>
      <c r="C1140" t="s">
        <v>48</v>
      </c>
      <c r="D1140">
        <v>24</v>
      </c>
      <c r="E1140">
        <v>21</v>
      </c>
      <c r="F1140">
        <v>20.02</v>
      </c>
      <c r="G1140">
        <v>0</v>
      </c>
      <c r="H1140">
        <v>0</v>
      </c>
      <c r="I1140" s="3">
        <f>E1140+G1140+H1140</f>
        <v>21</v>
      </c>
      <c r="J1140" s="3">
        <f>ROUND(MIN(IF(C1140="Técnico III",35,IF(C1140="Técnico II",28,IF(C1140="Técnico I",23,IF(C1140="JR",20,IF(C1140="Estágio",10,0))))),IF(C1140="Técnico III",SUMIFS($D:$D,$A:$A,$A1140,$B:$B,"&lt;&gt;Patrícia Karla de Sousa Araújo",$B:$B,"&lt;&gt;Lorena Dias de Araujo",$B:$B,"&lt;&gt;Lucas Luiz Romero")*(35/1083),IF(C1140="Técnico II",SUMIFS($D:$D,$A:$A,$A1140,$B:$B,"&lt;&gt;Patrícia Karla de Sousa Araújo",$B:$B,"&lt;&gt;Lorena Dias de Araujo",$B:$B,"&lt;&gt;Lucas Luiz Romero")*(28/1083),IF(C1140="Técnico I",SUMIFS($D:$D,$A:$A,$A1140,$B:$B,"&lt;&gt;Patrícia Karla de Sousa Araújo",$B:$B,"&lt;&gt;Lorena Dias de Araujo",$B:$B,"&lt;&gt;Lucas Luiz Romero")*(23/1083),IF(C1140="JR",SUMIFS($D:$D,$A:$A,$A1140,$B:$B,"&lt;&gt;Patrícia Karla de Sousa Araújo",$B:$B,"&lt;&gt;Lorena Dias de Araujo",$B:$B,"&lt;&gt;Lucas Luiz Romero")*(20/1083),IF(C1140="Estágio",SUMIFS($D:$D,$A:$A,$A1140,$B:$B,"&lt;&gt;Patrícia Karla de Sousa Araújo",$B:$B,"&lt;&gt;Lorena Dias de Araujo",$B:$B,"&lt;&gt;Lucas Luiz Romero")*(10/1083),0)))))),0)</f>
        <v>16</v>
      </c>
      <c r="K1140" s="3">
        <f>I1140-J1140</f>
        <v>5</v>
      </c>
      <c r="L1140" s="3" t="str">
        <f>IF(K1140&lt;-5,"CRÍTICO",IF(K1140&lt;0,"ATENÇÃO",IF(K1140&lt;=5,"BOM","EXCELENTE")))</f>
        <v>BOM</v>
      </c>
      <c r="M1140">
        <v>22</v>
      </c>
      <c r="N1140">
        <v>100</v>
      </c>
      <c r="O1140">
        <v>34.15094339622641</v>
      </c>
    </row>
    <row r="1141" spans="1:15" hidden="1" x14ac:dyDescent="0.25">
      <c r="A1141" s="11">
        <v>46036</v>
      </c>
      <c r="B1141" t="s">
        <v>36</v>
      </c>
      <c r="C1141" t="s">
        <v>32</v>
      </c>
      <c r="D1141">
        <v>15</v>
      </c>
      <c r="E1141">
        <v>13</v>
      </c>
      <c r="F1141">
        <v>18.46</v>
      </c>
      <c r="G1141">
        <v>0</v>
      </c>
      <c r="H1141">
        <v>0</v>
      </c>
      <c r="I1141" s="3">
        <f>E1141+G1141+H1141</f>
        <v>13</v>
      </c>
      <c r="J1141" s="3">
        <f>ROUND(MIN(IF(C1141="Técnico III",35,IF(C1141="Técnico II",28,IF(C1141="Técnico I",23,IF(C1141="JR",20,IF(C1141="Estágio",10,0))))),IF(C1141="Técnico III",SUMIFS($D:$D,$A:$A,$A1141,$B:$B,"&lt;&gt;Patrícia Karla de Sousa Araújo",$B:$B,"&lt;&gt;Lorena Dias de Araujo",$B:$B,"&lt;&gt;Lucas Luiz Romero")*(35/1083),IF(C1141="Técnico II",SUMIFS($D:$D,$A:$A,$A1141,$B:$B,"&lt;&gt;Patrícia Karla de Sousa Araújo",$B:$B,"&lt;&gt;Lorena Dias de Araujo",$B:$B,"&lt;&gt;Lucas Luiz Romero")*(28/1083),IF(C1141="Técnico I",SUMIFS($D:$D,$A:$A,$A1141,$B:$B,"&lt;&gt;Patrícia Karla de Sousa Araújo",$B:$B,"&lt;&gt;Lorena Dias de Araujo",$B:$B,"&lt;&gt;Lucas Luiz Romero")*(23/1083),IF(C1141="JR",SUMIFS($D:$D,$A:$A,$A1141,$B:$B,"&lt;&gt;Patrícia Karla de Sousa Araújo",$B:$B,"&lt;&gt;Lorena Dias de Araujo",$B:$B,"&lt;&gt;Lucas Luiz Romero")*(20/1083),IF(C1141="Estágio",SUMIFS($D:$D,$A:$A,$A1141,$B:$B,"&lt;&gt;Patrícia Karla de Sousa Araújo",$B:$B,"&lt;&gt;Lorena Dias de Araujo",$B:$B,"&lt;&gt;Lucas Luiz Romero")*(10/1083),0)))))),0)</f>
        <v>20</v>
      </c>
      <c r="K1141" s="3">
        <f>I1141-J1141</f>
        <v>-7</v>
      </c>
      <c r="L1141" s="3" t="str">
        <f>IF(K1141&lt;-5,"CRÍTICO",IF(K1141&lt;0,"ATENÇÃO",IF(K1141&lt;=5,"BOM","EXCELENTE")))</f>
        <v>CRÍTICO</v>
      </c>
      <c r="M1141">
        <v>10</v>
      </c>
      <c r="N1141">
        <v>100</v>
      </c>
      <c r="O1141">
        <v>32.731376975169297</v>
      </c>
    </row>
    <row r="1142" spans="1:15" hidden="1" x14ac:dyDescent="0.25">
      <c r="A1142" s="11">
        <v>46036</v>
      </c>
      <c r="B1142" t="s">
        <v>53</v>
      </c>
      <c r="C1142" t="s">
        <v>48</v>
      </c>
      <c r="D1142">
        <v>18</v>
      </c>
      <c r="E1142">
        <v>18</v>
      </c>
      <c r="F1142">
        <v>25.05</v>
      </c>
      <c r="G1142">
        <v>0</v>
      </c>
      <c r="H1142">
        <v>0</v>
      </c>
      <c r="I1142" s="3">
        <f>E1142+G1142+H1142</f>
        <v>18</v>
      </c>
      <c r="J1142" s="3">
        <f>ROUND(MIN(IF(C1142="Técnico III",35,IF(C1142="Técnico II",28,IF(C1142="Técnico I",23,IF(C1142="JR",20,IF(C1142="Estágio",10,0))))),IF(C1142="Técnico III",SUMIFS($D:$D,$A:$A,$A1142,$B:$B,"&lt;&gt;Patrícia Karla de Sousa Araújo",$B:$B,"&lt;&gt;Lorena Dias de Araujo",$B:$B,"&lt;&gt;Lucas Luiz Romero")*(35/1083),IF(C1142="Técnico II",SUMIFS($D:$D,$A:$A,$A1142,$B:$B,"&lt;&gt;Patrícia Karla de Sousa Araújo",$B:$B,"&lt;&gt;Lorena Dias de Araujo",$B:$B,"&lt;&gt;Lucas Luiz Romero")*(28/1083),IF(C1142="Técnico I",SUMIFS($D:$D,$A:$A,$A1142,$B:$B,"&lt;&gt;Patrícia Karla de Sousa Araújo",$B:$B,"&lt;&gt;Lorena Dias de Araujo",$B:$B,"&lt;&gt;Lucas Luiz Romero")*(23/1083),IF(C1142="JR",SUMIFS($D:$D,$A:$A,$A1142,$B:$B,"&lt;&gt;Patrícia Karla de Sousa Araújo",$B:$B,"&lt;&gt;Lorena Dias de Araujo",$B:$B,"&lt;&gt;Lucas Luiz Romero")*(20/1083),IF(C1142="Estágio",SUMIFS($D:$D,$A:$A,$A1142,$B:$B,"&lt;&gt;Patrícia Karla de Sousa Araújo",$B:$B,"&lt;&gt;Lorena Dias de Araujo",$B:$B,"&lt;&gt;Lucas Luiz Romero")*(10/1083),0)))))),0)</f>
        <v>16</v>
      </c>
      <c r="K1142" s="3">
        <f>I1142-J1142</f>
        <v>2</v>
      </c>
      <c r="L1142" s="3" t="str">
        <f>IF(K1142&lt;-5,"CRÍTICO",IF(K1142&lt;0,"ATENÇÃO",IF(K1142&lt;=5,"BOM","EXCELENTE")))</f>
        <v>BOM</v>
      </c>
      <c r="M1142">
        <v>16</v>
      </c>
      <c r="N1142">
        <v>99.31</v>
      </c>
      <c r="O1142">
        <v>30.96234309623431</v>
      </c>
    </row>
    <row r="1143" spans="1:15" hidden="1" x14ac:dyDescent="0.25">
      <c r="A1143" s="11">
        <v>46070</v>
      </c>
      <c r="B1143" t="s">
        <v>22</v>
      </c>
      <c r="C1143" t="s">
        <v>23</v>
      </c>
      <c r="D1143">
        <v>0</v>
      </c>
      <c r="E1143">
        <v>0</v>
      </c>
      <c r="F1143">
        <v>0</v>
      </c>
      <c r="G1143">
        <v>0</v>
      </c>
      <c r="H1143">
        <v>0</v>
      </c>
      <c r="I1143" s="3">
        <v>0</v>
      </c>
      <c r="J1143" s="3">
        <v>0</v>
      </c>
      <c r="K1143" s="3">
        <v>0</v>
      </c>
      <c r="L1143" s="3" t="str">
        <f>IF(K1143&lt;-5,"CRÍTICO",IF(K1143&lt;0,"ATENÇÃO",IF(K1143&lt;=5,"BOM","EXCELENTE")))</f>
        <v>BOM</v>
      </c>
      <c r="M1143">
        <v>0</v>
      </c>
      <c r="N1143">
        <v>96.67</v>
      </c>
      <c r="O1143">
        <v>31.451612903225811</v>
      </c>
    </row>
    <row r="1144" spans="1:15" hidden="1" x14ac:dyDescent="0.25">
      <c r="A1144" s="11">
        <v>46036</v>
      </c>
      <c r="B1144" t="s">
        <v>54</v>
      </c>
      <c r="C1144" t="s">
        <v>48</v>
      </c>
      <c r="D1144">
        <v>31</v>
      </c>
      <c r="E1144">
        <v>29</v>
      </c>
      <c r="F1144">
        <v>20.329999999999998</v>
      </c>
      <c r="G1144">
        <v>0</v>
      </c>
      <c r="H1144">
        <v>0</v>
      </c>
      <c r="I1144" s="3">
        <f>E1144+G1144+H1144</f>
        <v>29</v>
      </c>
      <c r="J1144" s="3">
        <f>ROUND(MIN(IF(C1144="Técnico III",35,IF(C1144="Técnico II",28,IF(C1144="Técnico I",23,IF(C1144="JR",20,IF(C1144="Estágio",10,0))))),IF(C1144="Técnico III",SUMIFS($D:$D,$A:$A,$A1144,$B:$B,"&lt;&gt;Patrícia Karla de Sousa Araújo",$B:$B,"&lt;&gt;Lorena Dias de Araujo",$B:$B,"&lt;&gt;Lucas Luiz Romero")*(35/1083),IF(C1144="Técnico II",SUMIFS($D:$D,$A:$A,$A1144,$B:$B,"&lt;&gt;Patrícia Karla de Sousa Araújo",$B:$B,"&lt;&gt;Lorena Dias de Araujo",$B:$B,"&lt;&gt;Lucas Luiz Romero")*(28/1083),IF(C1144="Técnico I",SUMIFS($D:$D,$A:$A,$A1144,$B:$B,"&lt;&gt;Patrícia Karla de Sousa Araújo",$B:$B,"&lt;&gt;Lorena Dias de Araujo",$B:$B,"&lt;&gt;Lucas Luiz Romero")*(23/1083),IF(C1144="JR",SUMIFS($D:$D,$A:$A,$A1144,$B:$B,"&lt;&gt;Patrícia Karla de Sousa Araújo",$B:$B,"&lt;&gt;Lorena Dias de Araujo",$B:$B,"&lt;&gt;Lucas Luiz Romero")*(20/1083),IF(C1144="Estágio",SUMIFS($D:$D,$A:$A,$A1144,$B:$B,"&lt;&gt;Patrícia Karla de Sousa Araújo",$B:$B,"&lt;&gt;Lorena Dias de Araujo",$B:$B,"&lt;&gt;Lucas Luiz Romero")*(10/1083),0)))))),0)</f>
        <v>16</v>
      </c>
      <c r="K1144" s="3">
        <f>I1144-J1144</f>
        <v>13</v>
      </c>
      <c r="L1144" s="3" t="str">
        <f>IF(K1144&lt;-5,"CRÍTICO",IF(K1144&lt;0,"ATENÇÃO",IF(K1144&lt;=5,"BOM","EXCELENTE")))</f>
        <v>EXCELENTE</v>
      </c>
      <c r="M1144">
        <v>22</v>
      </c>
      <c r="N1144">
        <v>100</v>
      </c>
      <c r="O1144">
        <v>27.676767676767678</v>
      </c>
    </row>
    <row r="1145" spans="1:15" hidden="1" x14ac:dyDescent="0.25">
      <c r="A1145" s="11">
        <v>46036</v>
      </c>
      <c r="B1145" t="s">
        <v>37</v>
      </c>
      <c r="C1145" t="s">
        <v>32</v>
      </c>
      <c r="D1145">
        <v>37</v>
      </c>
      <c r="E1145">
        <v>33</v>
      </c>
      <c r="F1145">
        <v>18.260000000000002</v>
      </c>
      <c r="G1145">
        <v>0</v>
      </c>
      <c r="H1145">
        <v>0</v>
      </c>
      <c r="I1145" s="3">
        <f>E1145+G1145+H1145</f>
        <v>33</v>
      </c>
      <c r="J1145" s="3">
        <f>ROUND(MIN(IF(C1145="Técnico III",35,IF(C1145="Técnico II",28,IF(C1145="Técnico I",23,IF(C1145="JR",20,IF(C1145="Estágio",10,0))))),IF(C1145="Técnico III",SUMIFS($D:$D,$A:$A,$A1145,$B:$B,"&lt;&gt;Patrícia Karla de Sousa Araújo",$B:$B,"&lt;&gt;Lorena Dias de Araujo",$B:$B,"&lt;&gt;Lucas Luiz Romero")*(35/1083),IF(C1145="Técnico II",SUMIFS($D:$D,$A:$A,$A1145,$B:$B,"&lt;&gt;Patrícia Karla de Sousa Araújo",$B:$B,"&lt;&gt;Lorena Dias de Araujo",$B:$B,"&lt;&gt;Lucas Luiz Romero")*(28/1083),IF(C1145="Técnico I",SUMIFS($D:$D,$A:$A,$A1145,$B:$B,"&lt;&gt;Patrícia Karla de Sousa Araújo",$B:$B,"&lt;&gt;Lorena Dias de Araujo",$B:$B,"&lt;&gt;Lucas Luiz Romero")*(23/1083),IF(C1145="JR",SUMIFS($D:$D,$A:$A,$A1145,$B:$B,"&lt;&gt;Patrícia Karla de Sousa Araújo",$B:$B,"&lt;&gt;Lorena Dias de Araujo",$B:$B,"&lt;&gt;Lucas Luiz Romero")*(20/1083),IF(C1145="Estágio",SUMIFS($D:$D,$A:$A,$A1145,$B:$B,"&lt;&gt;Patrícia Karla de Sousa Araújo",$B:$B,"&lt;&gt;Lorena Dias de Araujo",$B:$B,"&lt;&gt;Lucas Luiz Romero")*(10/1083),0)))))),0)</f>
        <v>20</v>
      </c>
      <c r="K1145" s="3">
        <f>I1145-J1145</f>
        <v>13</v>
      </c>
      <c r="L1145" s="3" t="str">
        <f>IF(K1145&lt;-5,"CRÍTICO",IF(K1145&lt;0,"ATENÇÃO",IF(K1145&lt;=5,"BOM","EXCELENTE")))</f>
        <v>EXCELENTE</v>
      </c>
      <c r="M1145">
        <v>32</v>
      </c>
      <c r="N1145">
        <v>100</v>
      </c>
      <c r="O1145">
        <v>31.17723156532988</v>
      </c>
    </row>
    <row r="1146" spans="1:15" hidden="1" x14ac:dyDescent="0.25">
      <c r="A1146" s="11">
        <v>46036</v>
      </c>
      <c r="B1146" t="s">
        <v>38</v>
      </c>
      <c r="C1146" t="s">
        <v>32</v>
      </c>
      <c r="D1146">
        <v>21</v>
      </c>
      <c r="E1146">
        <v>17</v>
      </c>
      <c r="F1146">
        <v>8.35</v>
      </c>
      <c r="G1146">
        <v>0</v>
      </c>
      <c r="H1146">
        <v>0</v>
      </c>
      <c r="I1146" s="3">
        <f>E1146+G1146+H1146</f>
        <v>17</v>
      </c>
      <c r="J1146" s="3">
        <f>ROUND(MIN(IF(C1146="Técnico III",35,IF(C1146="Técnico II",28,IF(C1146="Técnico I",23,IF(C1146="JR",20,IF(C1146="Estágio",10,0))))),IF(C1146="Técnico III",SUMIFS($D:$D,$A:$A,$A1146,$B:$B,"&lt;&gt;Patrícia Karla de Sousa Araújo",$B:$B,"&lt;&gt;Lorena Dias de Araujo",$B:$B,"&lt;&gt;Lucas Luiz Romero")*(35/1083),IF(C1146="Técnico II",SUMIFS($D:$D,$A:$A,$A1146,$B:$B,"&lt;&gt;Patrícia Karla de Sousa Araújo",$B:$B,"&lt;&gt;Lorena Dias de Araujo",$B:$B,"&lt;&gt;Lucas Luiz Romero")*(28/1083),IF(C1146="Técnico I",SUMIFS($D:$D,$A:$A,$A1146,$B:$B,"&lt;&gt;Patrícia Karla de Sousa Araújo",$B:$B,"&lt;&gt;Lorena Dias de Araujo",$B:$B,"&lt;&gt;Lucas Luiz Romero")*(23/1083),IF(C1146="JR",SUMIFS($D:$D,$A:$A,$A1146,$B:$B,"&lt;&gt;Patrícia Karla de Sousa Araújo",$B:$B,"&lt;&gt;Lorena Dias de Araujo",$B:$B,"&lt;&gt;Lucas Luiz Romero")*(20/1083),IF(C1146="Estágio",SUMIFS($D:$D,$A:$A,$A1146,$B:$B,"&lt;&gt;Patrícia Karla de Sousa Araújo",$B:$B,"&lt;&gt;Lorena Dias de Araujo",$B:$B,"&lt;&gt;Lucas Luiz Romero")*(10/1083),0)))))),0)</f>
        <v>20</v>
      </c>
      <c r="K1146" s="3">
        <f>I1146-J1146</f>
        <v>-3</v>
      </c>
      <c r="L1146" s="3" t="str">
        <f>IF(K1146&lt;-5,"CRÍTICO",IF(K1146&lt;0,"ATENÇÃO",IF(K1146&lt;=5,"BOM","EXCELENTE")))</f>
        <v>ATENÇÃO</v>
      </c>
      <c r="M1146">
        <v>16</v>
      </c>
      <c r="N1146">
        <v>100</v>
      </c>
      <c r="O1146">
        <v>27.609427609427609</v>
      </c>
    </row>
    <row r="1147" spans="1:15" hidden="1" x14ac:dyDescent="0.25">
      <c r="A1147" s="11">
        <v>46036</v>
      </c>
      <c r="B1147" t="s">
        <v>55</v>
      </c>
      <c r="C1147" t="s">
        <v>48</v>
      </c>
      <c r="D1147">
        <v>30</v>
      </c>
      <c r="E1147">
        <v>24</v>
      </c>
      <c r="F1147">
        <v>13.22</v>
      </c>
      <c r="G1147">
        <v>0</v>
      </c>
      <c r="H1147">
        <v>0</v>
      </c>
      <c r="I1147" s="3">
        <f>E1147+G1147+H1147</f>
        <v>24</v>
      </c>
      <c r="J1147" s="3">
        <f>ROUND(MIN(IF(C1147="Técnico III",35,IF(C1147="Técnico II",28,IF(C1147="Técnico I",23,IF(C1147="JR",20,IF(C1147="Estágio",10,0))))),IF(C1147="Técnico III",SUMIFS($D:$D,$A:$A,$A1147,$B:$B,"&lt;&gt;Patrícia Karla de Sousa Araújo",$B:$B,"&lt;&gt;Lorena Dias de Araujo",$B:$B,"&lt;&gt;Lucas Luiz Romero")*(35/1083),IF(C1147="Técnico II",SUMIFS($D:$D,$A:$A,$A1147,$B:$B,"&lt;&gt;Patrícia Karla de Sousa Araújo",$B:$B,"&lt;&gt;Lorena Dias de Araujo",$B:$B,"&lt;&gt;Lucas Luiz Romero")*(28/1083),IF(C1147="Técnico I",SUMIFS($D:$D,$A:$A,$A1147,$B:$B,"&lt;&gt;Patrícia Karla de Sousa Araújo",$B:$B,"&lt;&gt;Lorena Dias de Araujo",$B:$B,"&lt;&gt;Lucas Luiz Romero")*(23/1083),IF(C1147="JR",SUMIFS($D:$D,$A:$A,$A1147,$B:$B,"&lt;&gt;Patrícia Karla de Sousa Araújo",$B:$B,"&lt;&gt;Lorena Dias de Araujo",$B:$B,"&lt;&gt;Lucas Luiz Romero")*(20/1083),IF(C1147="Estágio",SUMIFS($D:$D,$A:$A,$A1147,$B:$B,"&lt;&gt;Patrícia Karla de Sousa Araújo",$B:$B,"&lt;&gt;Lorena Dias de Araujo",$B:$B,"&lt;&gt;Lucas Luiz Romero")*(10/1083),0)))))),0)</f>
        <v>16</v>
      </c>
      <c r="K1147" s="3">
        <f>I1147-J1147</f>
        <v>8</v>
      </c>
      <c r="L1147" s="3" t="str">
        <f>IF(K1147&lt;-5,"CRÍTICO",IF(K1147&lt;0,"ATENÇÃO",IF(K1147&lt;=5,"BOM","EXCELENTE")))</f>
        <v>EXCELENTE</v>
      </c>
      <c r="M1147">
        <v>23</v>
      </c>
      <c r="N1147">
        <v>96.4</v>
      </c>
      <c r="O1147">
        <v>28.764044943820231</v>
      </c>
    </row>
    <row r="1148" spans="1:15" hidden="1" x14ac:dyDescent="0.25">
      <c r="A1148" s="11">
        <v>46036</v>
      </c>
      <c r="B1148" t="s">
        <v>39</v>
      </c>
      <c r="C1148" t="s">
        <v>32</v>
      </c>
      <c r="D1148">
        <v>0</v>
      </c>
      <c r="E1148">
        <v>0</v>
      </c>
      <c r="F1148">
        <v>0</v>
      </c>
      <c r="G1148">
        <v>0</v>
      </c>
      <c r="H1148">
        <v>0</v>
      </c>
      <c r="I1148" s="3">
        <v>0</v>
      </c>
      <c r="J1148" s="3">
        <v>0</v>
      </c>
      <c r="K1148" s="3">
        <v>0</v>
      </c>
      <c r="L1148" s="3" t="str">
        <f>IF(K1148&lt;-5,"CRÍTICO",IF(K1148&lt;0,"ATENÇÃO",IF(K1148&lt;=5,"BOM","EXCELENTE")))</f>
        <v>BOM</v>
      </c>
      <c r="M1148">
        <v>20</v>
      </c>
      <c r="N1148">
        <v>100</v>
      </c>
      <c r="O1148">
        <v>33.980582524271853</v>
      </c>
    </row>
    <row r="1149" spans="1:15" hidden="1" x14ac:dyDescent="0.25">
      <c r="A1149" s="11">
        <v>46036</v>
      </c>
      <c r="B1149" t="s">
        <v>25</v>
      </c>
      <c r="C1149" t="s">
        <v>26</v>
      </c>
      <c r="D1149">
        <v>4</v>
      </c>
      <c r="E1149">
        <v>4</v>
      </c>
      <c r="F1149">
        <v>87.34</v>
      </c>
      <c r="G1149">
        <v>0</v>
      </c>
      <c r="H1149">
        <v>0</v>
      </c>
      <c r="I1149" s="3">
        <f>E1149+G1149+H1149</f>
        <v>4</v>
      </c>
      <c r="J1149" s="3">
        <f>ROUND(MIN(IF(C1149="Técnico III",35,IF(C1149="Técnico II",28,IF(C1149="Técnico I",23,IF(C1149="JR",20,IF(C1149="Estágio",10,0))))),IF(C1149="Técnico III",SUMIFS($D:$D,$A:$A,$A1149,$B:$B,"&lt;&gt;Patrícia Karla de Sousa Araújo",$B:$B,"&lt;&gt;Lorena Dias de Araujo",$B:$B,"&lt;&gt;Lucas Luiz Romero")*(35/1083),IF(C1149="Técnico II",SUMIFS($D:$D,$A:$A,$A1149,$B:$B,"&lt;&gt;Patrícia Karla de Sousa Araújo",$B:$B,"&lt;&gt;Lorena Dias de Araujo",$B:$B,"&lt;&gt;Lucas Luiz Romero")*(28/1083),IF(C1149="Técnico I",SUMIFS($D:$D,$A:$A,$A1149,$B:$B,"&lt;&gt;Patrícia Karla de Sousa Araújo",$B:$B,"&lt;&gt;Lorena Dias de Araujo",$B:$B,"&lt;&gt;Lucas Luiz Romero")*(23/1083),IF(C1149="JR",SUMIFS($D:$D,$A:$A,$A1149,$B:$B,"&lt;&gt;Patrícia Karla de Sousa Araújo",$B:$B,"&lt;&gt;Lorena Dias de Araujo",$B:$B,"&lt;&gt;Lucas Luiz Romero")*(20/1083),IF(C1149="Estágio",SUMIFS($D:$D,$A:$A,$A1149,$B:$B,"&lt;&gt;Patrícia Karla de Sousa Araújo",$B:$B,"&lt;&gt;Lorena Dias de Araujo",$B:$B,"&lt;&gt;Lucas Luiz Romero")*(10/1083),0)))))),0)</f>
        <v>12</v>
      </c>
      <c r="K1149" s="3">
        <f>I1149-J1149</f>
        <v>-8</v>
      </c>
      <c r="L1149" s="3" t="str">
        <f>IF(K1149&lt;-5,"CRÍTICO",IF(K1149&lt;0,"ATENÇÃO",IF(K1149&lt;=5,"BOM","EXCELENTE")))</f>
        <v>CRÍTICO</v>
      </c>
      <c r="M1149">
        <v>3</v>
      </c>
      <c r="N1149">
        <v>97.56</v>
      </c>
      <c r="O1149">
        <v>32.515337423312893</v>
      </c>
    </row>
    <row r="1150" spans="1:15" hidden="1" x14ac:dyDescent="0.25">
      <c r="A1150" s="11">
        <v>46036</v>
      </c>
      <c r="B1150" t="s">
        <v>40</v>
      </c>
      <c r="C1150" t="s">
        <v>32</v>
      </c>
      <c r="D1150">
        <v>18</v>
      </c>
      <c r="E1150">
        <v>17</v>
      </c>
      <c r="F1150">
        <v>27.03</v>
      </c>
      <c r="G1150">
        <v>0</v>
      </c>
      <c r="H1150">
        <v>0</v>
      </c>
      <c r="I1150" s="3">
        <f>E1150+G1150+H1150</f>
        <v>17</v>
      </c>
      <c r="J1150" s="3">
        <f>ROUND(MIN(IF(C1150="Técnico III",35,IF(C1150="Técnico II",28,IF(C1150="Técnico I",23,IF(C1150="JR",20,IF(C1150="Estágio",10,0))))),IF(C1150="Técnico III",SUMIFS($D:$D,$A:$A,$A1150,$B:$B,"&lt;&gt;Patrícia Karla de Sousa Araújo",$B:$B,"&lt;&gt;Lorena Dias de Araujo",$B:$B,"&lt;&gt;Lucas Luiz Romero")*(35/1083),IF(C1150="Técnico II",SUMIFS($D:$D,$A:$A,$A1150,$B:$B,"&lt;&gt;Patrícia Karla de Sousa Araújo",$B:$B,"&lt;&gt;Lorena Dias de Araujo",$B:$B,"&lt;&gt;Lucas Luiz Romero")*(28/1083),IF(C1150="Técnico I",SUMIFS($D:$D,$A:$A,$A1150,$B:$B,"&lt;&gt;Patrícia Karla de Sousa Araújo",$B:$B,"&lt;&gt;Lorena Dias de Araujo",$B:$B,"&lt;&gt;Lucas Luiz Romero")*(23/1083),IF(C1150="JR",SUMIFS($D:$D,$A:$A,$A1150,$B:$B,"&lt;&gt;Patrícia Karla de Sousa Araújo",$B:$B,"&lt;&gt;Lorena Dias de Araujo",$B:$B,"&lt;&gt;Lucas Luiz Romero")*(20/1083),IF(C1150="Estágio",SUMIFS($D:$D,$A:$A,$A1150,$B:$B,"&lt;&gt;Patrícia Karla de Sousa Araújo",$B:$B,"&lt;&gt;Lorena Dias de Araujo",$B:$B,"&lt;&gt;Lucas Luiz Romero")*(10/1083),0)))))),0)</f>
        <v>20</v>
      </c>
      <c r="K1150" s="3">
        <f>I1150-J1150</f>
        <v>-3</v>
      </c>
      <c r="L1150" s="3" t="str">
        <f>IF(K1150&lt;-5,"CRÍTICO",IF(K1150&lt;0,"ATENÇÃO",IF(K1150&lt;=5,"BOM","EXCELENTE")))</f>
        <v>ATENÇÃO</v>
      </c>
      <c r="M1150">
        <v>24</v>
      </c>
      <c r="N1150">
        <v>97.11</v>
      </c>
      <c r="O1150">
        <v>37.408312958435211</v>
      </c>
    </row>
    <row r="1151" spans="1:15" hidden="1" x14ac:dyDescent="0.25">
      <c r="A1151" s="11">
        <v>46036</v>
      </c>
      <c r="B1151" t="s">
        <v>27</v>
      </c>
      <c r="C1151" t="s">
        <v>26</v>
      </c>
      <c r="D1151">
        <v>0</v>
      </c>
      <c r="E1151">
        <v>0</v>
      </c>
      <c r="F1151">
        <v>0</v>
      </c>
      <c r="G1151">
        <v>0</v>
      </c>
      <c r="H1151">
        <v>0</v>
      </c>
      <c r="I1151" s="3">
        <v>0</v>
      </c>
      <c r="J1151" s="3">
        <v>0</v>
      </c>
      <c r="K1151" s="3">
        <v>0</v>
      </c>
      <c r="L1151" s="3" t="str">
        <f>IF(K1151&lt;-5,"CRÍTICO",IF(K1151&lt;0,"ATENÇÃO",IF(K1151&lt;=5,"BOM","EXCELENTE")))</f>
        <v>BOM</v>
      </c>
      <c r="M1151">
        <v>0</v>
      </c>
      <c r="N1151">
        <v>0</v>
      </c>
      <c r="O1151">
        <v>0</v>
      </c>
    </row>
    <row r="1152" spans="1:15" hidden="1" x14ac:dyDescent="0.25">
      <c r="A1152" s="11">
        <v>46036</v>
      </c>
      <c r="B1152" t="s">
        <v>41</v>
      </c>
      <c r="C1152" t="s">
        <v>32</v>
      </c>
      <c r="D1152">
        <v>35</v>
      </c>
      <c r="E1152">
        <v>30</v>
      </c>
      <c r="F1152">
        <v>15.4</v>
      </c>
      <c r="G1152">
        <v>0</v>
      </c>
      <c r="H1152">
        <v>0</v>
      </c>
      <c r="I1152" s="3">
        <f>E1152+G1152+H1152</f>
        <v>30</v>
      </c>
      <c r="J1152" s="3">
        <f>ROUND(MIN(IF(C1152="Técnico III",35,IF(C1152="Técnico II",28,IF(C1152="Técnico I",23,IF(C1152="JR",20,IF(C1152="Estágio",10,0))))),IF(C1152="Técnico III",SUMIFS($D:$D,$A:$A,$A1152,$B:$B,"&lt;&gt;Patrícia Karla de Sousa Araújo",$B:$B,"&lt;&gt;Lorena Dias de Araujo",$B:$B,"&lt;&gt;Lucas Luiz Romero")*(35/1083),IF(C1152="Técnico II",SUMIFS($D:$D,$A:$A,$A1152,$B:$B,"&lt;&gt;Patrícia Karla de Sousa Araújo",$B:$B,"&lt;&gt;Lorena Dias de Araujo",$B:$B,"&lt;&gt;Lucas Luiz Romero")*(28/1083),IF(C1152="Técnico I",SUMIFS($D:$D,$A:$A,$A1152,$B:$B,"&lt;&gt;Patrícia Karla de Sousa Araújo",$B:$B,"&lt;&gt;Lorena Dias de Araujo",$B:$B,"&lt;&gt;Lucas Luiz Romero")*(23/1083),IF(C1152="JR",SUMIFS($D:$D,$A:$A,$A1152,$B:$B,"&lt;&gt;Patrícia Karla de Sousa Araújo",$B:$B,"&lt;&gt;Lorena Dias de Araujo",$B:$B,"&lt;&gt;Lucas Luiz Romero")*(20/1083),IF(C1152="Estágio",SUMIFS($D:$D,$A:$A,$A1152,$B:$B,"&lt;&gt;Patrícia Karla de Sousa Araújo",$B:$B,"&lt;&gt;Lorena Dias de Araujo",$B:$B,"&lt;&gt;Lucas Luiz Romero")*(10/1083),0)))))),0)</f>
        <v>20</v>
      </c>
      <c r="K1152" s="3">
        <f>I1152-J1152</f>
        <v>10</v>
      </c>
      <c r="L1152" s="3" t="str">
        <f>IF(K1152&lt;-5,"CRÍTICO",IF(K1152&lt;0,"ATENÇÃO",IF(K1152&lt;=5,"BOM","EXCELENTE")))</f>
        <v>EXCELENTE</v>
      </c>
      <c r="M1152">
        <v>28</v>
      </c>
      <c r="N1152">
        <v>100</v>
      </c>
      <c r="O1152">
        <v>30.470347648261761</v>
      </c>
    </row>
    <row r="1153" spans="1:15" hidden="1" x14ac:dyDescent="0.25">
      <c r="A1153" s="11">
        <v>46036</v>
      </c>
      <c r="B1153" t="s">
        <v>56</v>
      </c>
      <c r="C1153" t="s">
        <v>48</v>
      </c>
      <c r="D1153">
        <v>41</v>
      </c>
      <c r="E1153">
        <v>35</v>
      </c>
      <c r="F1153">
        <v>12.39</v>
      </c>
      <c r="G1153">
        <v>0</v>
      </c>
      <c r="H1153">
        <v>0</v>
      </c>
      <c r="I1153" s="3">
        <f>E1153+G1153+H1153</f>
        <v>35</v>
      </c>
      <c r="J1153" s="3">
        <f>ROUND(MIN(IF(C1153="Técnico III",35,IF(C1153="Técnico II",28,IF(C1153="Técnico I",23,IF(C1153="JR",20,IF(C1153="Estágio",10,0))))),IF(C1153="Técnico III",SUMIFS($D:$D,$A:$A,$A1153,$B:$B,"&lt;&gt;Patrícia Karla de Sousa Araújo",$B:$B,"&lt;&gt;Lorena Dias de Araujo",$B:$B,"&lt;&gt;Lucas Luiz Romero")*(35/1083),IF(C1153="Técnico II",SUMIFS($D:$D,$A:$A,$A1153,$B:$B,"&lt;&gt;Patrícia Karla de Sousa Araújo",$B:$B,"&lt;&gt;Lorena Dias de Araujo",$B:$B,"&lt;&gt;Lucas Luiz Romero")*(28/1083),IF(C1153="Técnico I",SUMIFS($D:$D,$A:$A,$A1153,$B:$B,"&lt;&gt;Patrícia Karla de Sousa Araújo",$B:$B,"&lt;&gt;Lorena Dias de Araujo",$B:$B,"&lt;&gt;Lucas Luiz Romero")*(23/1083),IF(C1153="JR",SUMIFS($D:$D,$A:$A,$A1153,$B:$B,"&lt;&gt;Patrícia Karla de Sousa Araújo",$B:$B,"&lt;&gt;Lorena Dias de Araujo",$B:$B,"&lt;&gt;Lucas Luiz Romero")*(20/1083),IF(C1153="Estágio",SUMIFS($D:$D,$A:$A,$A1153,$B:$B,"&lt;&gt;Patrícia Karla de Sousa Araújo",$B:$B,"&lt;&gt;Lorena Dias de Araujo",$B:$B,"&lt;&gt;Lucas Luiz Romero")*(10/1083),0)))))),0)</f>
        <v>16</v>
      </c>
      <c r="K1153" s="3">
        <f>I1153-J1153</f>
        <v>19</v>
      </c>
      <c r="L1153" s="3" t="str">
        <f>IF(K1153&lt;-5,"CRÍTICO",IF(K1153&lt;0,"ATENÇÃO",IF(K1153&lt;=5,"BOM","EXCELENTE")))</f>
        <v>EXCELENTE</v>
      </c>
      <c r="M1153">
        <v>35</v>
      </c>
      <c r="N1153">
        <v>100</v>
      </c>
      <c r="O1153">
        <v>32.371134020618562</v>
      </c>
    </row>
    <row r="1154" spans="1:15" hidden="1" x14ac:dyDescent="0.25">
      <c r="A1154" s="11">
        <v>46036</v>
      </c>
      <c r="B1154" t="s">
        <v>57</v>
      </c>
      <c r="C1154" t="s">
        <v>48</v>
      </c>
      <c r="D1154">
        <v>36</v>
      </c>
      <c r="E1154">
        <v>33</v>
      </c>
      <c r="F1154">
        <v>13.28</v>
      </c>
      <c r="G1154">
        <v>0</v>
      </c>
      <c r="H1154">
        <v>0</v>
      </c>
      <c r="I1154" s="3">
        <v>0</v>
      </c>
      <c r="J1154" s="3">
        <v>0</v>
      </c>
      <c r="K1154" s="3">
        <v>0</v>
      </c>
      <c r="L1154" s="3" t="str">
        <f>IF(K1154&lt;-5,"CRÍTICO",IF(K1154&lt;0,"ATENÇÃO",IF(K1154&lt;=5,"BOM","EXCELENTE")))</f>
        <v>BOM</v>
      </c>
      <c r="M1154">
        <v>31</v>
      </c>
      <c r="N1154">
        <v>98.32</v>
      </c>
      <c r="O1154">
        <v>32.318501170960189</v>
      </c>
    </row>
    <row r="1155" spans="1:15" hidden="1" x14ac:dyDescent="0.25">
      <c r="A1155" s="11">
        <v>46036</v>
      </c>
      <c r="B1155" t="s">
        <v>42</v>
      </c>
      <c r="C1155" t="s">
        <v>32</v>
      </c>
      <c r="D1155">
        <v>51</v>
      </c>
      <c r="E1155">
        <v>42</v>
      </c>
      <c r="F1155">
        <v>8.33</v>
      </c>
      <c r="G1155">
        <v>0</v>
      </c>
      <c r="H1155">
        <v>0</v>
      </c>
      <c r="I1155" s="3">
        <f>E1155+G1155+H1155</f>
        <v>42</v>
      </c>
      <c r="J1155" s="3">
        <f>ROUND(MIN(IF(C1155="Técnico III",35,IF(C1155="Técnico II",28,IF(C1155="Técnico I",23,IF(C1155="JR",20,IF(C1155="Estágio",10,0))))),IF(C1155="Técnico III",SUMIFS($D:$D,$A:$A,$A1155,$B:$B,"&lt;&gt;Patrícia Karla de Sousa Araújo",$B:$B,"&lt;&gt;Lorena Dias de Araujo",$B:$B,"&lt;&gt;Lucas Luiz Romero")*(35/1083),IF(C1155="Técnico II",SUMIFS($D:$D,$A:$A,$A1155,$B:$B,"&lt;&gt;Patrícia Karla de Sousa Araújo",$B:$B,"&lt;&gt;Lorena Dias de Araujo",$B:$B,"&lt;&gt;Lucas Luiz Romero")*(28/1083),IF(C1155="Técnico I",SUMIFS($D:$D,$A:$A,$A1155,$B:$B,"&lt;&gt;Patrícia Karla de Sousa Araújo",$B:$B,"&lt;&gt;Lorena Dias de Araujo",$B:$B,"&lt;&gt;Lucas Luiz Romero")*(23/1083),IF(C1155="JR",SUMIFS($D:$D,$A:$A,$A1155,$B:$B,"&lt;&gt;Patrícia Karla de Sousa Araújo",$B:$B,"&lt;&gt;Lorena Dias de Araujo",$B:$B,"&lt;&gt;Lucas Luiz Romero")*(20/1083),IF(C1155="Estágio",SUMIFS($D:$D,$A:$A,$A1155,$B:$B,"&lt;&gt;Patrícia Karla de Sousa Araújo",$B:$B,"&lt;&gt;Lorena Dias de Araujo",$B:$B,"&lt;&gt;Lucas Luiz Romero")*(10/1083),0)))))),0)</f>
        <v>20</v>
      </c>
      <c r="K1155" s="3">
        <f>I1155-J1155</f>
        <v>22</v>
      </c>
      <c r="L1155" s="3" t="str">
        <f>IF(K1155&lt;-5,"CRÍTICO",IF(K1155&lt;0,"ATENÇÃO",IF(K1155&lt;=5,"BOM","EXCELENTE")))</f>
        <v>EXCELENTE</v>
      </c>
      <c r="M1155">
        <v>37</v>
      </c>
      <c r="N1155">
        <v>96.43</v>
      </c>
      <c r="O1155">
        <v>27.015250544662312</v>
      </c>
    </row>
    <row r="1156" spans="1:15" hidden="1" x14ac:dyDescent="0.25">
      <c r="A1156" s="11">
        <v>46036</v>
      </c>
      <c r="B1156" t="s">
        <v>62</v>
      </c>
      <c r="C1156" t="s">
        <v>23</v>
      </c>
      <c r="D1156">
        <v>17</v>
      </c>
      <c r="E1156">
        <v>16</v>
      </c>
      <c r="F1156">
        <v>23.32</v>
      </c>
      <c r="G1156">
        <v>0</v>
      </c>
      <c r="H1156">
        <v>0</v>
      </c>
      <c r="I1156" s="3">
        <f>E1156+G1156+H1156</f>
        <v>16</v>
      </c>
      <c r="J1156" s="3">
        <f>ROUND(MIN(IF(C1156="Técnico III",35,IF(C1156="Técnico II",28,IF(C1156="Técnico I",23,IF(C1156="JR",20,IF(C1156="Estágio",10,0))))),IF(C1156="Técnico III",SUMIFS($D:$D,$A:$A,$A1156,$B:$B,"&lt;&gt;Patrícia Karla de Sousa Araújo",$B:$B,"&lt;&gt;Lorena Dias de Araujo",$B:$B,"&lt;&gt;Lucas Luiz Romero")*(35/1083),IF(C1156="Técnico II",SUMIFS($D:$D,$A:$A,$A1156,$B:$B,"&lt;&gt;Patrícia Karla de Sousa Araújo",$B:$B,"&lt;&gt;Lorena Dias de Araujo",$B:$B,"&lt;&gt;Lucas Luiz Romero")*(28/1083),IF(C1156="Técnico I",SUMIFS($D:$D,$A:$A,$A1156,$B:$B,"&lt;&gt;Patrícia Karla de Sousa Araújo",$B:$B,"&lt;&gt;Lorena Dias de Araujo",$B:$B,"&lt;&gt;Lucas Luiz Romero")*(23/1083),IF(C1156="JR",SUMIFS($D:$D,$A:$A,$A1156,$B:$B,"&lt;&gt;Patrícia Karla de Sousa Araújo",$B:$B,"&lt;&gt;Lorena Dias de Araujo",$B:$B,"&lt;&gt;Lucas Luiz Romero")*(20/1083),IF(C1156="Estágio",SUMIFS($D:$D,$A:$A,$A1156,$B:$B,"&lt;&gt;Patrícia Karla de Sousa Araújo",$B:$B,"&lt;&gt;Lorena Dias de Araujo",$B:$B,"&lt;&gt;Lucas Luiz Romero")*(10/1083),0)))))),0)</f>
        <v>13</v>
      </c>
      <c r="K1156" s="3">
        <f>I1156-J1156</f>
        <v>3</v>
      </c>
      <c r="L1156" s="3" t="str">
        <f>IF(K1156&lt;-5,"CRÍTICO",IF(K1156&lt;0,"ATENÇÃO",IF(K1156&lt;=5,"BOM","EXCELENTE")))</f>
        <v>BOM</v>
      </c>
      <c r="M1156">
        <v>14</v>
      </c>
      <c r="N1156">
        <v>98.89</v>
      </c>
      <c r="O1156">
        <v>28.021978021978018</v>
      </c>
    </row>
    <row r="1157" spans="1:15" hidden="1" x14ac:dyDescent="0.25">
      <c r="A1157" s="11">
        <v>46036</v>
      </c>
      <c r="B1157" t="s">
        <v>19</v>
      </c>
      <c r="C1157" t="s">
        <v>16</v>
      </c>
      <c r="D1157">
        <v>2</v>
      </c>
      <c r="E1157">
        <v>2</v>
      </c>
      <c r="F1157">
        <v>249.04</v>
      </c>
      <c r="G1157">
        <v>0</v>
      </c>
      <c r="H1157">
        <v>0</v>
      </c>
      <c r="I1157" s="3">
        <f>E1157+G1157+H1157</f>
        <v>2</v>
      </c>
      <c r="J1157" s="3">
        <f>ROUND(MIN(IF(C1157="Técnico III",35,IF(C1157="Técnico II",28,IF(C1157="Técnico I",23,IF(C1157="JR",20,IF(C1157="Estágio",10,0))))),IF(C1157="Técnico III",SUMIFS($D:$D,$A:$A,$A1157,$B:$B,"&lt;&gt;Patrícia Karla de Sousa Araújo",$B:$B,"&lt;&gt;Lorena Dias de Araujo",$B:$B,"&lt;&gt;Lucas Luiz Romero")*(35/1083),IF(C1157="Técnico II",SUMIFS($D:$D,$A:$A,$A1157,$B:$B,"&lt;&gt;Patrícia Karla de Sousa Araújo",$B:$B,"&lt;&gt;Lorena Dias de Araujo",$B:$B,"&lt;&gt;Lucas Luiz Romero")*(28/1083),IF(C1157="Técnico I",SUMIFS($D:$D,$A:$A,$A1157,$B:$B,"&lt;&gt;Patrícia Karla de Sousa Araújo",$B:$B,"&lt;&gt;Lorena Dias de Araujo",$B:$B,"&lt;&gt;Lucas Luiz Romero")*(23/1083),IF(C1157="JR",SUMIFS($D:$D,$A:$A,$A1157,$B:$B,"&lt;&gt;Patrícia Karla de Sousa Araújo",$B:$B,"&lt;&gt;Lorena Dias de Araujo",$B:$B,"&lt;&gt;Lucas Luiz Romero")*(20/1083),IF(C1157="Estágio",SUMIFS($D:$D,$A:$A,$A1157,$B:$B,"&lt;&gt;Patrícia Karla de Sousa Araújo",$B:$B,"&lt;&gt;Lorena Dias de Araujo",$B:$B,"&lt;&gt;Lucas Luiz Romero")*(10/1083),0)))))),0)</f>
        <v>6</v>
      </c>
      <c r="K1157" s="3">
        <f>I1157-J1157</f>
        <v>-4</v>
      </c>
      <c r="L1157" s="3" t="str">
        <f>IF(K1157&lt;-5,"CRÍTICO",IF(K1157&lt;0,"ATENÇÃO",IF(K1157&lt;=5,"BOM","EXCELENTE")))</f>
        <v>ATENÇÃO</v>
      </c>
      <c r="M1157">
        <v>1</v>
      </c>
      <c r="N1157">
        <v>100</v>
      </c>
      <c r="O1157">
        <v>33.333333333333329</v>
      </c>
    </row>
    <row r="1158" spans="1:15" hidden="1" x14ac:dyDescent="0.25">
      <c r="A1158" s="11">
        <v>46036</v>
      </c>
      <c r="B1158" t="s">
        <v>43</v>
      </c>
      <c r="C1158" t="s">
        <v>32</v>
      </c>
      <c r="D1158">
        <v>0</v>
      </c>
      <c r="E1158">
        <v>0</v>
      </c>
      <c r="F1158">
        <v>0</v>
      </c>
      <c r="G1158">
        <v>0</v>
      </c>
      <c r="H1158">
        <v>0</v>
      </c>
      <c r="I1158" s="3">
        <v>0</v>
      </c>
      <c r="J1158" s="3">
        <v>0</v>
      </c>
      <c r="K1158" s="3">
        <v>0</v>
      </c>
      <c r="L1158" s="3" t="str">
        <f>IF(K1158&lt;-5,"CRÍTICO",IF(K1158&lt;0,"ATENÇÃO",IF(K1158&lt;=5,"BOM","EXCELENTE")))</f>
        <v>BOM</v>
      </c>
      <c r="M1158">
        <v>0</v>
      </c>
      <c r="N1158">
        <v>100</v>
      </c>
      <c r="O1158">
        <v>27.43362831858407</v>
      </c>
    </row>
    <row r="1159" spans="1:15" hidden="1" x14ac:dyDescent="0.25">
      <c r="A1159" s="11">
        <v>46036</v>
      </c>
      <c r="B1159" t="s">
        <v>44</v>
      </c>
      <c r="C1159" t="s">
        <v>32</v>
      </c>
      <c r="D1159">
        <v>37</v>
      </c>
      <c r="E1159">
        <v>31</v>
      </c>
      <c r="F1159">
        <v>14.18</v>
      </c>
      <c r="G1159">
        <v>0</v>
      </c>
      <c r="H1159">
        <v>0</v>
      </c>
      <c r="I1159" s="3">
        <f>E1159+G1159+H1159</f>
        <v>31</v>
      </c>
      <c r="J1159" s="3">
        <f>ROUND(MIN(IF(C1159="Técnico III",35,IF(C1159="Técnico II",28,IF(C1159="Técnico I",23,IF(C1159="JR",20,IF(C1159="Estágio",10,0))))),IF(C1159="Técnico III",SUMIFS($D:$D,$A:$A,$A1159,$B:$B,"&lt;&gt;Patrícia Karla de Sousa Araújo",$B:$B,"&lt;&gt;Lorena Dias de Araujo",$B:$B,"&lt;&gt;Lucas Luiz Romero")*(35/1083),IF(C1159="Técnico II",SUMIFS($D:$D,$A:$A,$A1159,$B:$B,"&lt;&gt;Patrícia Karla de Sousa Araújo",$B:$B,"&lt;&gt;Lorena Dias de Araujo",$B:$B,"&lt;&gt;Lucas Luiz Romero")*(28/1083),IF(C1159="Técnico I",SUMIFS($D:$D,$A:$A,$A1159,$B:$B,"&lt;&gt;Patrícia Karla de Sousa Araújo",$B:$B,"&lt;&gt;Lorena Dias de Araujo",$B:$B,"&lt;&gt;Lucas Luiz Romero")*(23/1083),IF(C1159="JR",SUMIFS($D:$D,$A:$A,$A1159,$B:$B,"&lt;&gt;Patrícia Karla de Sousa Araújo",$B:$B,"&lt;&gt;Lorena Dias de Araujo",$B:$B,"&lt;&gt;Lucas Luiz Romero")*(20/1083),IF(C1159="Estágio",SUMIFS($D:$D,$A:$A,$A1159,$B:$B,"&lt;&gt;Patrícia Karla de Sousa Araújo",$B:$B,"&lt;&gt;Lorena Dias de Araujo",$B:$B,"&lt;&gt;Lucas Luiz Romero")*(10/1083),0)))))),0)</f>
        <v>20</v>
      </c>
      <c r="K1159" s="3">
        <f>I1159-J1159</f>
        <v>11</v>
      </c>
      <c r="L1159" s="3" t="str">
        <f>IF(K1159&lt;-5,"CRÍTICO",IF(K1159&lt;0,"ATENÇÃO",IF(K1159&lt;=5,"BOM","EXCELENTE")))</f>
        <v>EXCELENTE</v>
      </c>
      <c r="M1159">
        <v>28</v>
      </c>
      <c r="N1159">
        <v>98.65</v>
      </c>
      <c r="O1159">
        <v>30.978260869565219</v>
      </c>
    </row>
    <row r="1160" spans="1:15" hidden="1" x14ac:dyDescent="0.25">
      <c r="A1160" s="11">
        <v>46036</v>
      </c>
      <c r="B1160" t="s">
        <v>20</v>
      </c>
      <c r="C1160" t="s">
        <v>16</v>
      </c>
      <c r="D1160">
        <v>0</v>
      </c>
      <c r="E1160">
        <v>0</v>
      </c>
      <c r="F1160">
        <v>0</v>
      </c>
      <c r="G1160">
        <v>0</v>
      </c>
      <c r="H1160">
        <v>0</v>
      </c>
      <c r="I1160" s="3">
        <v>0</v>
      </c>
      <c r="J1160" s="3">
        <v>0</v>
      </c>
      <c r="K1160" s="3">
        <v>0</v>
      </c>
      <c r="L1160" s="3" t="str">
        <f>IF(K1160&lt;-5,"CRÍTICO",IF(K1160&lt;0,"ATENÇÃO",IF(K1160&lt;=5,"BOM","EXCELENTE")))</f>
        <v>BOM</v>
      </c>
      <c r="M1160">
        <v>0</v>
      </c>
      <c r="N1160">
        <v>100</v>
      </c>
      <c r="O1160">
        <v>12</v>
      </c>
    </row>
    <row r="1161" spans="1:15" hidden="1" x14ac:dyDescent="0.25">
      <c r="A1161" s="11">
        <v>46036</v>
      </c>
      <c r="B1161" t="s">
        <v>28</v>
      </c>
      <c r="C1161" t="s">
        <v>26</v>
      </c>
      <c r="D1161">
        <v>0</v>
      </c>
      <c r="E1161">
        <v>0</v>
      </c>
      <c r="F1161">
        <v>0</v>
      </c>
      <c r="G1161">
        <v>0</v>
      </c>
      <c r="H1161">
        <v>0</v>
      </c>
      <c r="I1161" s="3">
        <v>0</v>
      </c>
      <c r="J1161" s="3">
        <v>0</v>
      </c>
      <c r="K1161" s="3">
        <v>0</v>
      </c>
      <c r="L1161" s="3" t="str">
        <f>IF(K1161&lt;-5,"CRÍTICO",IF(K1161&lt;0,"ATENÇÃO",IF(K1161&lt;=5,"BOM","EXCELENTE")))</f>
        <v>BOM</v>
      </c>
      <c r="M1161">
        <v>0</v>
      </c>
      <c r="N1161">
        <v>0</v>
      </c>
      <c r="O1161">
        <v>0</v>
      </c>
    </row>
    <row r="1162" spans="1:15" hidden="1" x14ac:dyDescent="0.25">
      <c r="A1162" s="11">
        <v>46036</v>
      </c>
      <c r="B1162" t="s">
        <v>58</v>
      </c>
      <c r="C1162" t="s">
        <v>48</v>
      </c>
      <c r="D1162">
        <v>26</v>
      </c>
      <c r="E1162">
        <v>25</v>
      </c>
      <c r="F1162">
        <v>20.51</v>
      </c>
      <c r="G1162">
        <v>0</v>
      </c>
      <c r="H1162">
        <v>0</v>
      </c>
      <c r="I1162" s="3">
        <f>E1162+G1162+H1162</f>
        <v>25</v>
      </c>
      <c r="J1162" s="3">
        <f>ROUND(MIN(IF(C1162="Técnico III",35,IF(C1162="Técnico II",28,IF(C1162="Técnico I",23,IF(C1162="JR",20,IF(C1162="Estágio",10,0))))),IF(C1162="Técnico III",SUMIFS($D:$D,$A:$A,$A1162,$B:$B,"&lt;&gt;Patrícia Karla de Sousa Araújo",$B:$B,"&lt;&gt;Lorena Dias de Araujo",$B:$B,"&lt;&gt;Lucas Luiz Romero")*(35/1083),IF(C1162="Técnico II",SUMIFS($D:$D,$A:$A,$A1162,$B:$B,"&lt;&gt;Patrícia Karla de Sousa Araújo",$B:$B,"&lt;&gt;Lorena Dias de Araujo",$B:$B,"&lt;&gt;Lucas Luiz Romero")*(28/1083),IF(C1162="Técnico I",SUMIFS($D:$D,$A:$A,$A1162,$B:$B,"&lt;&gt;Patrícia Karla de Sousa Araújo",$B:$B,"&lt;&gt;Lorena Dias de Araujo",$B:$B,"&lt;&gt;Lucas Luiz Romero")*(23/1083),IF(C1162="JR",SUMIFS($D:$D,$A:$A,$A1162,$B:$B,"&lt;&gt;Patrícia Karla de Sousa Araújo",$B:$B,"&lt;&gt;Lorena Dias de Araujo",$B:$B,"&lt;&gt;Lucas Luiz Romero")*(20/1083),IF(C1162="Estágio",SUMIFS($D:$D,$A:$A,$A1162,$B:$B,"&lt;&gt;Patrícia Karla de Sousa Araújo",$B:$B,"&lt;&gt;Lorena Dias de Araujo",$B:$B,"&lt;&gt;Lucas Luiz Romero")*(10/1083),0)))))),0)</f>
        <v>16</v>
      </c>
      <c r="K1162" s="3">
        <f>I1162-J1162</f>
        <v>9</v>
      </c>
      <c r="L1162" s="3" t="str">
        <f>IF(K1162&lt;-5,"CRÍTICO",IF(K1162&lt;0,"ATENÇÃO",IF(K1162&lt;=5,"BOM","EXCELENTE")))</f>
        <v>EXCELENTE</v>
      </c>
      <c r="M1162">
        <v>21</v>
      </c>
      <c r="N1162">
        <v>97.56</v>
      </c>
      <c r="O1162">
        <v>31.067961165048541</v>
      </c>
    </row>
    <row r="1163" spans="1:15" hidden="1" x14ac:dyDescent="0.25">
      <c r="A1163" s="11">
        <v>46036</v>
      </c>
      <c r="B1163" t="s">
        <v>29</v>
      </c>
      <c r="C1163" t="s">
        <v>26</v>
      </c>
      <c r="D1163">
        <v>0</v>
      </c>
      <c r="E1163">
        <v>0</v>
      </c>
      <c r="F1163">
        <v>0</v>
      </c>
      <c r="G1163">
        <v>0</v>
      </c>
      <c r="H1163">
        <v>0</v>
      </c>
      <c r="I1163" s="3">
        <v>0</v>
      </c>
      <c r="J1163" s="3">
        <v>0</v>
      </c>
      <c r="K1163" s="3">
        <v>0</v>
      </c>
      <c r="L1163" s="3" t="str">
        <f>IF(K1163&lt;-5,"CRÍTICO",IF(K1163&lt;0,"ATENÇÃO",IF(K1163&lt;=5,"BOM","EXCELENTE")))</f>
        <v>BOM</v>
      </c>
      <c r="M1163">
        <v>0</v>
      </c>
      <c r="N1163">
        <v>0</v>
      </c>
      <c r="O1163">
        <v>0</v>
      </c>
    </row>
    <row r="1164" spans="1:15" hidden="1" x14ac:dyDescent="0.25">
      <c r="A1164" s="11">
        <v>46036</v>
      </c>
      <c r="B1164" t="s">
        <v>30</v>
      </c>
      <c r="C1164" t="s">
        <v>26</v>
      </c>
      <c r="D1164">
        <v>0</v>
      </c>
      <c r="E1164">
        <v>0</v>
      </c>
      <c r="F1164">
        <v>0</v>
      </c>
      <c r="G1164">
        <v>0</v>
      </c>
      <c r="H1164">
        <v>0</v>
      </c>
      <c r="I1164" s="3">
        <v>0</v>
      </c>
      <c r="J1164" s="3">
        <v>0</v>
      </c>
      <c r="K1164" s="3">
        <v>0</v>
      </c>
      <c r="L1164" s="3" t="str">
        <f>IF(K1164&lt;-5,"CRÍTICO",IF(K1164&lt;0,"ATENÇÃO",IF(K1164&lt;=5,"BOM","EXCELENTE")))</f>
        <v>BOM</v>
      </c>
      <c r="M1164">
        <v>0</v>
      </c>
      <c r="N1164">
        <v>0</v>
      </c>
      <c r="O1164">
        <v>0</v>
      </c>
    </row>
    <row r="1165" spans="1:15" hidden="1" x14ac:dyDescent="0.25">
      <c r="A1165" s="11">
        <v>46036</v>
      </c>
      <c r="B1165" t="s">
        <v>21</v>
      </c>
      <c r="C1165" t="s">
        <v>16</v>
      </c>
      <c r="D1165">
        <v>0</v>
      </c>
      <c r="E1165">
        <v>0</v>
      </c>
      <c r="F1165">
        <v>0</v>
      </c>
      <c r="G1165">
        <v>0</v>
      </c>
      <c r="H1165">
        <v>0</v>
      </c>
      <c r="I1165" s="3">
        <v>0</v>
      </c>
      <c r="J1165" s="3">
        <v>0</v>
      </c>
      <c r="K1165" s="3">
        <v>0</v>
      </c>
      <c r="L1165" s="3" t="str">
        <f>IF(K1165&lt;-5,"CRÍTICO",IF(K1165&lt;0,"ATENÇÃO",IF(K1165&lt;=5,"BOM","EXCELENTE")))</f>
        <v>BOM</v>
      </c>
      <c r="M1165">
        <v>0</v>
      </c>
      <c r="N1165">
        <v>0</v>
      </c>
      <c r="O1165">
        <v>0</v>
      </c>
    </row>
    <row r="1166" spans="1:15" hidden="1" x14ac:dyDescent="0.25">
      <c r="A1166" s="11">
        <v>46036</v>
      </c>
      <c r="B1166" t="s">
        <v>63</v>
      </c>
      <c r="C1166" t="s">
        <v>23</v>
      </c>
      <c r="D1166">
        <v>0</v>
      </c>
      <c r="E1166">
        <v>0</v>
      </c>
      <c r="F1166">
        <v>0</v>
      </c>
      <c r="G1166">
        <v>0</v>
      </c>
      <c r="H1166">
        <v>0</v>
      </c>
      <c r="I1166" s="3">
        <v>0</v>
      </c>
      <c r="J1166" s="3">
        <v>0</v>
      </c>
      <c r="K1166" s="3">
        <v>0</v>
      </c>
      <c r="L1166" s="3" t="str">
        <f>IF(K1166&lt;-5,"CRÍTICO",IF(K1166&lt;0,"ATENÇÃO",IF(K1166&lt;=5,"BOM","EXCELENTE")))</f>
        <v>BOM</v>
      </c>
      <c r="M1166">
        <v>0</v>
      </c>
      <c r="N1166">
        <v>100</v>
      </c>
      <c r="O1166">
        <v>53.846153846153847</v>
      </c>
    </row>
    <row r="1167" spans="1:15" hidden="1" x14ac:dyDescent="0.25">
      <c r="A1167" s="11">
        <v>46036</v>
      </c>
      <c r="B1167" t="s">
        <v>45</v>
      </c>
      <c r="C1167" t="s">
        <v>32</v>
      </c>
      <c r="D1167">
        <v>0</v>
      </c>
      <c r="E1167">
        <v>0</v>
      </c>
      <c r="F1167">
        <v>0</v>
      </c>
      <c r="G1167">
        <v>0</v>
      </c>
      <c r="H1167">
        <v>0</v>
      </c>
      <c r="I1167" s="3">
        <v>0</v>
      </c>
      <c r="J1167" s="3">
        <v>0</v>
      </c>
      <c r="K1167" s="3">
        <v>0</v>
      </c>
      <c r="L1167" s="3" t="str">
        <f>IF(K1167&lt;-5,"CRÍTICO",IF(K1167&lt;0,"ATENÇÃO",IF(K1167&lt;=5,"BOM","EXCELENTE")))</f>
        <v>BOM</v>
      </c>
      <c r="M1167">
        <v>0</v>
      </c>
      <c r="N1167">
        <v>100</v>
      </c>
      <c r="O1167">
        <v>44.05594405594406</v>
      </c>
    </row>
    <row r="1168" spans="1:15" hidden="1" x14ac:dyDescent="0.25">
      <c r="A1168" s="11">
        <v>46036</v>
      </c>
      <c r="B1168" t="s">
        <v>64</v>
      </c>
      <c r="C1168" t="s">
        <v>23</v>
      </c>
      <c r="D1168">
        <v>17</v>
      </c>
      <c r="E1168">
        <v>17</v>
      </c>
      <c r="F1168">
        <v>25.5</v>
      </c>
      <c r="G1168">
        <v>0</v>
      </c>
      <c r="H1168">
        <v>0</v>
      </c>
      <c r="I1168" s="3">
        <f>E1168+G1168+H1168</f>
        <v>17</v>
      </c>
      <c r="J1168" s="3">
        <f>ROUND(MIN(IF(C1168="Técnico III",35,IF(C1168="Técnico II",28,IF(C1168="Técnico I",23,IF(C1168="JR",20,IF(C1168="Estágio",10,0))))),IF(C1168="Técnico III",SUMIFS($D:$D,$A:$A,$A1168,$B:$B,"&lt;&gt;Patrícia Karla de Sousa Araújo",$B:$B,"&lt;&gt;Lorena Dias de Araujo",$B:$B,"&lt;&gt;Lucas Luiz Romero")*(35/1083),IF(C1168="Técnico II",SUMIFS($D:$D,$A:$A,$A1168,$B:$B,"&lt;&gt;Patrícia Karla de Sousa Araújo",$B:$B,"&lt;&gt;Lorena Dias de Araujo",$B:$B,"&lt;&gt;Lucas Luiz Romero")*(28/1083),IF(C1168="Técnico I",SUMIFS($D:$D,$A:$A,$A1168,$B:$B,"&lt;&gt;Patrícia Karla de Sousa Araújo",$B:$B,"&lt;&gt;Lorena Dias de Araujo",$B:$B,"&lt;&gt;Lucas Luiz Romero")*(23/1083),IF(C1168="JR",SUMIFS($D:$D,$A:$A,$A1168,$B:$B,"&lt;&gt;Patrícia Karla de Sousa Araújo",$B:$B,"&lt;&gt;Lorena Dias de Araujo",$B:$B,"&lt;&gt;Lucas Luiz Romero")*(20/1083),IF(C1168="Estágio",SUMIFS($D:$D,$A:$A,$A1168,$B:$B,"&lt;&gt;Patrícia Karla de Sousa Araújo",$B:$B,"&lt;&gt;Lorena Dias de Araujo",$B:$B,"&lt;&gt;Lucas Luiz Romero")*(10/1083),0)))))),0)</f>
        <v>13</v>
      </c>
      <c r="K1168" s="3">
        <f>I1168-J1168</f>
        <v>4</v>
      </c>
      <c r="L1168" s="3" t="str">
        <f>IF(K1168&lt;-5,"CRÍTICO",IF(K1168&lt;0,"ATENÇÃO",IF(K1168&lt;=5,"BOM","EXCELENTE")))</f>
        <v>BOM</v>
      </c>
      <c r="M1168">
        <v>15</v>
      </c>
      <c r="N1168">
        <v>100</v>
      </c>
      <c r="O1168">
        <v>31.872509960159359</v>
      </c>
    </row>
    <row r="1169" spans="1:15" hidden="1" x14ac:dyDescent="0.25">
      <c r="A1169" s="11">
        <v>46036</v>
      </c>
      <c r="B1169" t="s">
        <v>46</v>
      </c>
      <c r="C1169" t="s">
        <v>32</v>
      </c>
      <c r="D1169">
        <v>31</v>
      </c>
      <c r="E1169">
        <v>31</v>
      </c>
      <c r="F1169">
        <v>18.52</v>
      </c>
      <c r="G1169">
        <v>0</v>
      </c>
      <c r="H1169">
        <v>0</v>
      </c>
      <c r="I1169" s="3">
        <f>E1169+G1169+H1169</f>
        <v>31</v>
      </c>
      <c r="J1169" s="3">
        <f>ROUND(MIN(IF(C1169="Técnico III",35,IF(C1169="Técnico II",28,IF(C1169="Técnico I",23,IF(C1169="JR",20,IF(C1169="Estágio",10,0))))),IF(C1169="Técnico III",SUMIFS($D:$D,$A:$A,$A1169,$B:$B,"&lt;&gt;Patrícia Karla de Sousa Araújo",$B:$B,"&lt;&gt;Lorena Dias de Araujo",$B:$B,"&lt;&gt;Lucas Luiz Romero")*(35/1083),IF(C1169="Técnico II",SUMIFS($D:$D,$A:$A,$A1169,$B:$B,"&lt;&gt;Patrícia Karla de Sousa Araújo",$B:$B,"&lt;&gt;Lorena Dias de Araujo",$B:$B,"&lt;&gt;Lucas Luiz Romero")*(28/1083),IF(C1169="Técnico I",SUMIFS($D:$D,$A:$A,$A1169,$B:$B,"&lt;&gt;Patrícia Karla de Sousa Araújo",$B:$B,"&lt;&gt;Lorena Dias de Araujo",$B:$B,"&lt;&gt;Lucas Luiz Romero")*(23/1083),IF(C1169="JR",SUMIFS($D:$D,$A:$A,$A1169,$B:$B,"&lt;&gt;Patrícia Karla de Sousa Araújo",$B:$B,"&lt;&gt;Lorena Dias de Araujo",$B:$B,"&lt;&gt;Lucas Luiz Romero")*(20/1083),IF(C1169="Estágio",SUMIFS($D:$D,$A:$A,$A1169,$B:$B,"&lt;&gt;Patrícia Karla de Sousa Araújo",$B:$B,"&lt;&gt;Lorena Dias de Araujo",$B:$B,"&lt;&gt;Lucas Luiz Romero")*(10/1083),0)))))),0)</f>
        <v>20</v>
      </c>
      <c r="K1169" s="3">
        <f>I1169-J1169</f>
        <v>11</v>
      </c>
      <c r="L1169" s="3" t="str">
        <f>IF(K1169&lt;-5,"CRÍTICO",IF(K1169&lt;0,"ATENÇÃO",IF(K1169&lt;=5,"BOM","EXCELENTE")))</f>
        <v>EXCELENTE</v>
      </c>
      <c r="M1169">
        <v>26</v>
      </c>
      <c r="N1169">
        <v>98.41</v>
      </c>
      <c r="O1169">
        <v>29.22465208747515</v>
      </c>
    </row>
    <row r="1170" spans="1:15" hidden="1" x14ac:dyDescent="0.25">
      <c r="A1170" s="11">
        <v>46037</v>
      </c>
      <c r="B1170" t="s">
        <v>47</v>
      </c>
      <c r="C1170" t="s">
        <v>48</v>
      </c>
      <c r="D1170">
        <v>26</v>
      </c>
      <c r="E1170">
        <v>26</v>
      </c>
      <c r="F1170">
        <v>23.28</v>
      </c>
      <c r="G1170">
        <v>0</v>
      </c>
      <c r="H1170">
        <v>0</v>
      </c>
      <c r="I1170" s="3">
        <f>E1170+G1170+H1170</f>
        <v>26</v>
      </c>
      <c r="J1170" s="3">
        <f>ROUND(MIN(IF(C1170="Técnico III",35,IF(C1170="Técnico II",28,IF(C1170="Técnico I",23,IF(C1170="JR",20,IF(C1170="Estágio",10,0))))),IF(C1170="Técnico III",SUMIFS($D:$D,$A:$A,$A1170,$B:$B,"&lt;&gt;Patrícia Karla de Sousa Araújo",$B:$B,"&lt;&gt;Lorena Dias de Araujo",$B:$B,"&lt;&gt;Lucas Luiz Romero")*(35/1083),IF(C1170="Técnico II",SUMIFS($D:$D,$A:$A,$A1170,$B:$B,"&lt;&gt;Patrícia Karla de Sousa Araújo",$B:$B,"&lt;&gt;Lorena Dias de Araujo",$B:$B,"&lt;&gt;Lucas Luiz Romero")*(28/1083),IF(C1170="Técnico I",SUMIFS($D:$D,$A:$A,$A1170,$B:$B,"&lt;&gt;Patrícia Karla de Sousa Araújo",$B:$B,"&lt;&gt;Lorena Dias de Araujo",$B:$B,"&lt;&gt;Lucas Luiz Romero")*(23/1083),IF(C1170="JR",SUMIFS($D:$D,$A:$A,$A1170,$B:$B,"&lt;&gt;Patrícia Karla de Sousa Araújo",$B:$B,"&lt;&gt;Lorena Dias de Araujo",$B:$B,"&lt;&gt;Lucas Luiz Romero")*(20/1083),IF(C1170="Estágio",SUMIFS($D:$D,$A:$A,$A1170,$B:$B,"&lt;&gt;Patrícia Karla de Sousa Araújo",$B:$B,"&lt;&gt;Lorena Dias de Araujo",$B:$B,"&lt;&gt;Lucas Luiz Romero")*(10/1083),0)))))),0)</f>
        <v>18</v>
      </c>
      <c r="K1170" s="3">
        <f>I1170-J1170</f>
        <v>8</v>
      </c>
      <c r="L1170" s="3" t="str">
        <f>IF(K1170&lt;-5,"CRÍTICO",IF(K1170&lt;0,"ATENÇÃO",IF(K1170&lt;=5,"BOM","EXCELENTE")))</f>
        <v>EXCELENTE</v>
      </c>
      <c r="M1170">
        <v>22</v>
      </c>
      <c r="N1170">
        <v>96.81</v>
      </c>
      <c r="O1170">
        <v>27.980535279805348</v>
      </c>
    </row>
    <row r="1171" spans="1:15" hidden="1" x14ac:dyDescent="0.25">
      <c r="A1171" s="11">
        <v>46037</v>
      </c>
      <c r="B1171" t="s">
        <v>31</v>
      </c>
      <c r="C1171" t="s">
        <v>32</v>
      </c>
      <c r="D1171">
        <v>0</v>
      </c>
      <c r="E1171">
        <v>0</v>
      </c>
      <c r="F1171">
        <v>0</v>
      </c>
      <c r="G1171">
        <v>0</v>
      </c>
      <c r="H1171">
        <v>0</v>
      </c>
      <c r="I1171" s="3">
        <v>0</v>
      </c>
      <c r="J1171" s="3">
        <v>0</v>
      </c>
      <c r="K1171" s="3">
        <v>0</v>
      </c>
      <c r="L1171" s="3" t="str">
        <f>IF(K1171&lt;-5,"CRÍTICO",IF(K1171&lt;0,"ATENÇÃO",IF(K1171&lt;=5,"BOM","EXCELENTE")))</f>
        <v>BOM</v>
      </c>
      <c r="M1171">
        <v>21</v>
      </c>
      <c r="N1171">
        <v>98.73</v>
      </c>
      <c r="O1171">
        <v>35.756385068762278</v>
      </c>
    </row>
    <row r="1172" spans="1:15" hidden="1" x14ac:dyDescent="0.25">
      <c r="A1172" s="11">
        <v>46037</v>
      </c>
      <c r="B1172" t="s">
        <v>59</v>
      </c>
      <c r="C1172" t="s">
        <v>23</v>
      </c>
      <c r="D1172">
        <v>34</v>
      </c>
      <c r="E1172">
        <v>30</v>
      </c>
      <c r="F1172">
        <v>18.510000000000002</v>
      </c>
      <c r="G1172">
        <v>0</v>
      </c>
      <c r="H1172">
        <v>0</v>
      </c>
      <c r="I1172" s="3">
        <f>E1172+G1172+H1172</f>
        <v>30</v>
      </c>
      <c r="J1172" s="3">
        <f>ROUND(MIN(IF(C1172="Técnico III",35,IF(C1172="Técnico II",28,IF(C1172="Técnico I",23,IF(C1172="JR",20,IF(C1172="Estágio",10,0))))),IF(C1172="Técnico III",SUMIFS($D:$D,$A:$A,$A1172,$B:$B,"&lt;&gt;Patrícia Karla de Sousa Araújo",$B:$B,"&lt;&gt;Lorena Dias de Araujo",$B:$B,"&lt;&gt;Lucas Luiz Romero")*(35/1083),IF(C1172="Técnico II",SUMIFS($D:$D,$A:$A,$A1172,$B:$B,"&lt;&gt;Patrícia Karla de Sousa Araújo",$B:$B,"&lt;&gt;Lorena Dias de Araujo",$B:$B,"&lt;&gt;Lucas Luiz Romero")*(28/1083),IF(C1172="Técnico I",SUMIFS($D:$D,$A:$A,$A1172,$B:$B,"&lt;&gt;Patrícia Karla de Sousa Araújo",$B:$B,"&lt;&gt;Lorena Dias de Araujo",$B:$B,"&lt;&gt;Lucas Luiz Romero")*(23/1083),IF(C1172="JR",SUMIFS($D:$D,$A:$A,$A1172,$B:$B,"&lt;&gt;Patrícia Karla de Sousa Araújo",$B:$B,"&lt;&gt;Lorena Dias de Araujo",$B:$B,"&lt;&gt;Lucas Luiz Romero")*(20/1083),IF(C1172="Estágio",SUMIFS($D:$D,$A:$A,$A1172,$B:$B,"&lt;&gt;Patrícia Karla de Sousa Araújo",$B:$B,"&lt;&gt;Lorena Dias de Araujo",$B:$B,"&lt;&gt;Lucas Luiz Romero")*(10/1083),0)))))),0)</f>
        <v>15</v>
      </c>
      <c r="K1172" s="3">
        <f>I1172-J1172</f>
        <v>15</v>
      </c>
      <c r="L1172" s="3" t="str">
        <f>IF(K1172&lt;-5,"CRÍTICO",IF(K1172&lt;0,"ATENÇÃO",IF(K1172&lt;=5,"BOM","EXCELENTE")))</f>
        <v>EXCELENTE</v>
      </c>
      <c r="M1172">
        <v>29</v>
      </c>
      <c r="N1172">
        <v>98.32</v>
      </c>
      <c r="O1172">
        <v>26.763485477178421</v>
      </c>
    </row>
    <row r="1173" spans="1:15" hidden="1" x14ac:dyDescent="0.25">
      <c r="A1173" s="11">
        <v>46037</v>
      </c>
      <c r="B1173" t="s">
        <v>33</v>
      </c>
      <c r="C1173" t="s">
        <v>32</v>
      </c>
      <c r="D1173">
        <v>13</v>
      </c>
      <c r="E1173">
        <v>13</v>
      </c>
      <c r="F1173">
        <v>20.14</v>
      </c>
      <c r="G1173">
        <v>0</v>
      </c>
      <c r="H1173">
        <v>0</v>
      </c>
      <c r="I1173" s="3">
        <f>E1173+G1173+H1173</f>
        <v>13</v>
      </c>
      <c r="J1173" s="3">
        <f>ROUND(MIN(IF(C1173="Técnico III",35,IF(C1173="Técnico II",28,IF(C1173="Técnico I",23,IF(C1173="JR",20,IF(C1173="Estágio",10,0))))),IF(C1173="Técnico III",SUMIFS($D:$D,$A:$A,$A1173,$B:$B,"&lt;&gt;Patrícia Karla de Sousa Araújo",$B:$B,"&lt;&gt;Lorena Dias de Araujo",$B:$B,"&lt;&gt;Lucas Luiz Romero")*(35/1083),IF(C1173="Técnico II",SUMIFS($D:$D,$A:$A,$A1173,$B:$B,"&lt;&gt;Patrícia Karla de Sousa Araújo",$B:$B,"&lt;&gt;Lorena Dias de Araujo",$B:$B,"&lt;&gt;Lucas Luiz Romero")*(28/1083),IF(C1173="Técnico I",SUMIFS($D:$D,$A:$A,$A1173,$B:$B,"&lt;&gt;Patrícia Karla de Sousa Araújo",$B:$B,"&lt;&gt;Lorena Dias de Araujo",$B:$B,"&lt;&gt;Lucas Luiz Romero")*(23/1083),IF(C1173="JR",SUMIFS($D:$D,$A:$A,$A1173,$B:$B,"&lt;&gt;Patrícia Karla de Sousa Araújo",$B:$B,"&lt;&gt;Lorena Dias de Araujo",$B:$B,"&lt;&gt;Lucas Luiz Romero")*(20/1083),IF(C1173="Estágio",SUMIFS($D:$D,$A:$A,$A1173,$B:$B,"&lt;&gt;Patrícia Karla de Sousa Araújo",$B:$B,"&lt;&gt;Lorena Dias de Araujo",$B:$B,"&lt;&gt;Lucas Luiz Romero")*(10/1083),0)))))),0)</f>
        <v>22</v>
      </c>
      <c r="K1173" s="3">
        <f>I1173-J1173</f>
        <v>-9</v>
      </c>
      <c r="L1173" s="3" t="str">
        <f>IF(K1173&lt;-5,"CRÍTICO",IF(K1173&lt;0,"ATENÇÃO",IF(K1173&lt;=5,"BOM","EXCELENTE")))</f>
        <v>CRÍTICO</v>
      </c>
      <c r="M1173">
        <v>13</v>
      </c>
      <c r="N1173">
        <v>99.19</v>
      </c>
      <c r="O1173">
        <v>27.637130801687761</v>
      </c>
    </row>
    <row r="1174" spans="1:15" hidden="1" x14ac:dyDescent="0.25">
      <c r="A1174" s="11">
        <v>46037</v>
      </c>
      <c r="B1174" t="s">
        <v>15</v>
      </c>
      <c r="C1174" t="s">
        <v>16</v>
      </c>
      <c r="D1174">
        <v>8</v>
      </c>
      <c r="E1174">
        <v>8</v>
      </c>
      <c r="F1174">
        <v>27.33</v>
      </c>
      <c r="G1174">
        <v>0</v>
      </c>
      <c r="H1174">
        <v>0</v>
      </c>
      <c r="I1174" s="3">
        <f>E1174+G1174+H1174</f>
        <v>8</v>
      </c>
      <c r="J1174" s="3">
        <f>ROUND(MIN(IF(C1174="Técnico III",35,IF(C1174="Técnico II",28,IF(C1174="Técnico I",23,IF(C1174="JR",20,IF(C1174="Estágio",10,0))))),IF(C1174="Técnico III",SUMIFS($D:$D,$A:$A,$A1174,$B:$B,"&lt;&gt;Patrícia Karla de Sousa Araújo",$B:$B,"&lt;&gt;Lorena Dias de Araujo",$B:$B,"&lt;&gt;Lucas Luiz Romero")*(35/1083),IF(C1174="Técnico II",SUMIFS($D:$D,$A:$A,$A1174,$B:$B,"&lt;&gt;Patrícia Karla de Sousa Araújo",$B:$B,"&lt;&gt;Lorena Dias de Araujo",$B:$B,"&lt;&gt;Lucas Luiz Romero")*(28/1083),IF(C1174="Técnico I",SUMIFS($D:$D,$A:$A,$A1174,$B:$B,"&lt;&gt;Patrícia Karla de Sousa Araújo",$B:$B,"&lt;&gt;Lorena Dias de Araujo",$B:$B,"&lt;&gt;Lucas Luiz Romero")*(23/1083),IF(C1174="JR",SUMIFS($D:$D,$A:$A,$A1174,$B:$B,"&lt;&gt;Patrícia Karla de Sousa Araújo",$B:$B,"&lt;&gt;Lorena Dias de Araujo",$B:$B,"&lt;&gt;Lucas Luiz Romero")*(20/1083),IF(C1174="Estágio",SUMIFS($D:$D,$A:$A,$A1174,$B:$B,"&lt;&gt;Patrícia Karla de Sousa Araújo",$B:$B,"&lt;&gt;Lorena Dias de Araujo",$B:$B,"&lt;&gt;Lucas Luiz Romero")*(10/1083),0)))))),0)</f>
        <v>6</v>
      </c>
      <c r="K1174" s="3">
        <f>I1174-J1174</f>
        <v>2</v>
      </c>
      <c r="L1174" s="3" t="str">
        <f>IF(K1174&lt;-5,"CRÍTICO",IF(K1174&lt;0,"ATENÇÃO",IF(K1174&lt;=5,"BOM","EXCELENTE")))</f>
        <v>BOM</v>
      </c>
      <c r="M1174">
        <v>7</v>
      </c>
      <c r="N1174">
        <v>100</v>
      </c>
      <c r="O1174">
        <v>39.568345323741013</v>
      </c>
    </row>
    <row r="1175" spans="1:15" hidden="1" x14ac:dyDescent="0.25">
      <c r="A1175" s="11">
        <v>46037</v>
      </c>
      <c r="B1175" t="s">
        <v>49</v>
      </c>
      <c r="C1175" t="s">
        <v>48</v>
      </c>
      <c r="D1175">
        <v>24</v>
      </c>
      <c r="E1175">
        <v>21</v>
      </c>
      <c r="F1175">
        <v>27.13</v>
      </c>
      <c r="G1175">
        <v>0</v>
      </c>
      <c r="H1175">
        <v>0</v>
      </c>
      <c r="I1175" s="3">
        <f>E1175+G1175+H1175</f>
        <v>21</v>
      </c>
      <c r="J1175" s="3">
        <f>ROUND(MIN(IF(C1175="Técnico III",35,IF(C1175="Técnico II",28,IF(C1175="Técnico I",23,IF(C1175="JR",20,IF(C1175="Estágio",10,0))))),IF(C1175="Técnico III",SUMIFS($D:$D,$A:$A,$A1175,$B:$B,"&lt;&gt;Patrícia Karla de Sousa Araújo",$B:$B,"&lt;&gt;Lorena Dias de Araujo",$B:$B,"&lt;&gt;Lucas Luiz Romero")*(35/1083),IF(C1175="Técnico II",SUMIFS($D:$D,$A:$A,$A1175,$B:$B,"&lt;&gt;Patrícia Karla de Sousa Araújo",$B:$B,"&lt;&gt;Lorena Dias de Araujo",$B:$B,"&lt;&gt;Lucas Luiz Romero")*(28/1083),IF(C1175="Técnico I",SUMIFS($D:$D,$A:$A,$A1175,$B:$B,"&lt;&gt;Patrícia Karla de Sousa Araújo",$B:$B,"&lt;&gt;Lorena Dias de Araujo",$B:$B,"&lt;&gt;Lucas Luiz Romero")*(23/1083),IF(C1175="JR",SUMIFS($D:$D,$A:$A,$A1175,$B:$B,"&lt;&gt;Patrícia Karla de Sousa Araújo",$B:$B,"&lt;&gt;Lorena Dias de Araujo",$B:$B,"&lt;&gt;Lucas Luiz Romero")*(20/1083),IF(C1175="Estágio",SUMIFS($D:$D,$A:$A,$A1175,$B:$B,"&lt;&gt;Patrícia Karla de Sousa Araújo",$B:$B,"&lt;&gt;Lorena Dias de Araujo",$B:$B,"&lt;&gt;Lucas Luiz Romero")*(10/1083),0)))))),0)</f>
        <v>18</v>
      </c>
      <c r="K1175" s="3">
        <f>I1175-J1175</f>
        <v>3</v>
      </c>
      <c r="L1175" s="3" t="str">
        <f>IF(K1175&lt;-5,"CRÍTICO",IF(K1175&lt;0,"ATENÇÃO",IF(K1175&lt;=5,"BOM","EXCELENTE")))</f>
        <v>BOM</v>
      </c>
      <c r="M1175">
        <v>22</v>
      </c>
      <c r="N1175">
        <v>98.54</v>
      </c>
      <c r="O1175">
        <v>28.544776119402989</v>
      </c>
    </row>
    <row r="1176" spans="1:15" hidden="1" x14ac:dyDescent="0.25">
      <c r="A1176" s="11">
        <v>46037</v>
      </c>
      <c r="B1176" t="s">
        <v>50</v>
      </c>
      <c r="C1176" t="s">
        <v>48</v>
      </c>
      <c r="D1176">
        <v>21</v>
      </c>
      <c r="E1176">
        <v>21</v>
      </c>
      <c r="F1176">
        <v>34.01</v>
      </c>
      <c r="G1176">
        <v>0</v>
      </c>
      <c r="H1176">
        <v>0</v>
      </c>
      <c r="I1176" s="3">
        <f>E1176+G1176+H1176</f>
        <v>21</v>
      </c>
      <c r="J1176" s="3">
        <f>ROUND(MIN(IF(C1176="Técnico III",35,IF(C1176="Técnico II",28,IF(C1176="Técnico I",23,IF(C1176="JR",20,IF(C1176="Estágio",10,0))))),IF(C1176="Técnico III",SUMIFS($D:$D,$A:$A,$A1176,$B:$B,"&lt;&gt;Patrícia Karla de Sousa Araújo",$B:$B,"&lt;&gt;Lorena Dias de Araujo",$B:$B,"&lt;&gt;Lucas Luiz Romero")*(35/1083),IF(C1176="Técnico II",SUMIFS($D:$D,$A:$A,$A1176,$B:$B,"&lt;&gt;Patrícia Karla de Sousa Araújo",$B:$B,"&lt;&gt;Lorena Dias de Araujo",$B:$B,"&lt;&gt;Lucas Luiz Romero")*(28/1083),IF(C1176="Técnico I",SUMIFS($D:$D,$A:$A,$A1176,$B:$B,"&lt;&gt;Patrícia Karla de Sousa Araújo",$B:$B,"&lt;&gt;Lorena Dias de Araujo",$B:$B,"&lt;&gt;Lucas Luiz Romero")*(23/1083),IF(C1176="JR",SUMIFS($D:$D,$A:$A,$A1176,$B:$B,"&lt;&gt;Patrícia Karla de Sousa Araújo",$B:$B,"&lt;&gt;Lorena Dias de Araujo",$B:$B,"&lt;&gt;Lucas Luiz Romero")*(20/1083),IF(C1176="Estágio",SUMIFS($D:$D,$A:$A,$A1176,$B:$B,"&lt;&gt;Patrícia Karla de Sousa Araújo",$B:$B,"&lt;&gt;Lorena Dias de Araujo",$B:$B,"&lt;&gt;Lucas Luiz Romero")*(10/1083),0)))))),0)</f>
        <v>18</v>
      </c>
      <c r="K1176" s="3">
        <f>I1176-J1176</f>
        <v>3</v>
      </c>
      <c r="L1176" s="3" t="str">
        <f>IF(K1176&lt;-5,"CRÍTICO",IF(K1176&lt;0,"ATENÇÃO",IF(K1176&lt;=5,"BOM","EXCELENTE")))</f>
        <v>BOM</v>
      </c>
      <c r="M1176">
        <v>19</v>
      </c>
      <c r="N1176">
        <v>100</v>
      </c>
      <c r="O1176">
        <v>34.366925064599492</v>
      </c>
    </row>
    <row r="1177" spans="1:15" hidden="1" x14ac:dyDescent="0.25">
      <c r="A1177" s="11">
        <v>46037</v>
      </c>
      <c r="B1177" t="s">
        <v>17</v>
      </c>
      <c r="C1177" t="s">
        <v>16</v>
      </c>
      <c r="D1177">
        <v>0</v>
      </c>
      <c r="E1177">
        <v>0</v>
      </c>
      <c r="F1177">
        <v>0</v>
      </c>
      <c r="G1177">
        <v>0</v>
      </c>
      <c r="H1177">
        <v>0</v>
      </c>
      <c r="I1177" s="3">
        <v>0</v>
      </c>
      <c r="J1177" s="3">
        <v>0</v>
      </c>
      <c r="K1177" s="3">
        <v>0</v>
      </c>
      <c r="L1177" s="3" t="str">
        <f>IF(K1177&lt;-5,"CRÍTICO",IF(K1177&lt;0,"ATENÇÃO",IF(K1177&lt;=5,"BOM","EXCELENTE")))</f>
        <v>BOM</v>
      </c>
      <c r="M1177">
        <v>0</v>
      </c>
      <c r="N1177">
        <v>0</v>
      </c>
      <c r="O1177">
        <v>0</v>
      </c>
    </row>
    <row r="1178" spans="1:15" hidden="1" x14ac:dyDescent="0.25">
      <c r="A1178" s="11">
        <v>46037</v>
      </c>
      <c r="B1178" t="s">
        <v>60</v>
      </c>
      <c r="C1178" t="s">
        <v>23</v>
      </c>
      <c r="D1178">
        <v>9</v>
      </c>
      <c r="E1178">
        <v>9</v>
      </c>
      <c r="F1178">
        <v>69.19</v>
      </c>
      <c r="G1178">
        <v>0</v>
      </c>
      <c r="H1178">
        <v>0</v>
      </c>
      <c r="I1178" s="3">
        <f>E1178+G1178+H1178</f>
        <v>9</v>
      </c>
      <c r="J1178" s="3">
        <f>ROUND(MIN(IF(C1178="Técnico III",35,IF(C1178="Técnico II",28,IF(C1178="Técnico I",23,IF(C1178="JR",20,IF(C1178="Estágio",10,0))))),IF(C1178="Técnico III",SUMIFS($D:$D,$A:$A,$A1178,$B:$B,"&lt;&gt;Patrícia Karla de Sousa Araújo",$B:$B,"&lt;&gt;Lorena Dias de Araujo",$B:$B,"&lt;&gt;Lucas Luiz Romero")*(35/1083),IF(C1178="Técnico II",SUMIFS($D:$D,$A:$A,$A1178,$B:$B,"&lt;&gt;Patrícia Karla de Sousa Araújo",$B:$B,"&lt;&gt;Lorena Dias de Araujo",$B:$B,"&lt;&gt;Lucas Luiz Romero")*(28/1083),IF(C1178="Técnico I",SUMIFS($D:$D,$A:$A,$A1178,$B:$B,"&lt;&gt;Patrícia Karla de Sousa Araújo",$B:$B,"&lt;&gt;Lorena Dias de Araujo",$B:$B,"&lt;&gt;Lucas Luiz Romero")*(23/1083),IF(C1178="JR",SUMIFS($D:$D,$A:$A,$A1178,$B:$B,"&lt;&gt;Patrícia Karla de Sousa Araújo",$B:$B,"&lt;&gt;Lorena Dias de Araujo",$B:$B,"&lt;&gt;Lucas Luiz Romero")*(20/1083),IF(C1178="Estágio",SUMIFS($D:$D,$A:$A,$A1178,$B:$B,"&lt;&gt;Patrícia Karla de Sousa Araújo",$B:$B,"&lt;&gt;Lorena Dias de Araujo",$B:$B,"&lt;&gt;Lucas Luiz Romero")*(10/1083),0)))))),0)</f>
        <v>15</v>
      </c>
      <c r="K1178" s="3">
        <f>I1178-J1178</f>
        <v>-6</v>
      </c>
      <c r="L1178" s="3" t="str">
        <f>IF(K1178&lt;-5,"CRÍTICO",IF(K1178&lt;0,"ATENÇÃO",IF(K1178&lt;=5,"BOM","EXCELENTE")))</f>
        <v>CRÍTICO</v>
      </c>
      <c r="M1178">
        <v>8</v>
      </c>
      <c r="N1178">
        <v>100</v>
      </c>
      <c r="O1178">
        <v>29.518072289156631</v>
      </c>
    </row>
    <row r="1179" spans="1:15" hidden="1" x14ac:dyDescent="0.25">
      <c r="A1179" s="11">
        <v>46037</v>
      </c>
      <c r="B1179" t="s">
        <v>34</v>
      </c>
      <c r="C1179" t="s">
        <v>32</v>
      </c>
      <c r="D1179">
        <v>46</v>
      </c>
      <c r="E1179">
        <v>43</v>
      </c>
      <c r="F1179">
        <v>10.02</v>
      </c>
      <c r="G1179">
        <v>0</v>
      </c>
      <c r="H1179">
        <v>0</v>
      </c>
      <c r="I1179" s="3">
        <f>E1179+G1179+H1179</f>
        <v>43</v>
      </c>
      <c r="J1179" s="3">
        <f>ROUND(MIN(IF(C1179="Técnico III",35,IF(C1179="Técnico II",28,IF(C1179="Técnico I",23,IF(C1179="JR",20,IF(C1179="Estágio",10,0))))),IF(C1179="Técnico III",SUMIFS($D:$D,$A:$A,$A1179,$B:$B,"&lt;&gt;Patrícia Karla de Sousa Araújo",$B:$B,"&lt;&gt;Lorena Dias de Araujo",$B:$B,"&lt;&gt;Lucas Luiz Romero")*(35/1083),IF(C1179="Técnico II",SUMIFS($D:$D,$A:$A,$A1179,$B:$B,"&lt;&gt;Patrícia Karla de Sousa Araújo",$B:$B,"&lt;&gt;Lorena Dias de Araujo",$B:$B,"&lt;&gt;Lucas Luiz Romero")*(28/1083),IF(C1179="Técnico I",SUMIFS($D:$D,$A:$A,$A1179,$B:$B,"&lt;&gt;Patrícia Karla de Sousa Araújo",$B:$B,"&lt;&gt;Lorena Dias de Araujo",$B:$B,"&lt;&gt;Lucas Luiz Romero")*(23/1083),IF(C1179="JR",SUMIFS($D:$D,$A:$A,$A1179,$B:$B,"&lt;&gt;Patrícia Karla de Sousa Araújo",$B:$B,"&lt;&gt;Lorena Dias de Araujo",$B:$B,"&lt;&gt;Lucas Luiz Romero")*(20/1083),IF(C1179="Estágio",SUMIFS($D:$D,$A:$A,$A1179,$B:$B,"&lt;&gt;Patrícia Karla de Sousa Araújo",$B:$B,"&lt;&gt;Lorena Dias de Araujo",$B:$B,"&lt;&gt;Lucas Luiz Romero")*(10/1083),0)))))),0)</f>
        <v>22</v>
      </c>
      <c r="K1179" s="3">
        <f>I1179-J1179</f>
        <v>21</v>
      </c>
      <c r="L1179" s="3" t="str">
        <f>IF(K1179&lt;-5,"CRÍTICO",IF(K1179&lt;0,"ATENÇÃO",IF(K1179&lt;=5,"BOM","EXCELENTE")))</f>
        <v>EXCELENTE</v>
      </c>
      <c r="M1179">
        <v>39</v>
      </c>
      <c r="N1179">
        <v>97.45</v>
      </c>
      <c r="O1179">
        <v>41.421143847487002</v>
      </c>
    </row>
    <row r="1180" spans="1:15" hidden="1" x14ac:dyDescent="0.25">
      <c r="A1180" s="11">
        <v>46037</v>
      </c>
      <c r="B1180" t="s">
        <v>51</v>
      </c>
      <c r="C1180" t="s">
        <v>48</v>
      </c>
      <c r="D1180">
        <v>35</v>
      </c>
      <c r="E1180">
        <v>27</v>
      </c>
      <c r="F1180">
        <v>17.010000000000002</v>
      </c>
      <c r="G1180">
        <v>0</v>
      </c>
      <c r="H1180">
        <v>0</v>
      </c>
      <c r="I1180" s="3">
        <v>0</v>
      </c>
      <c r="J1180" s="3">
        <v>0</v>
      </c>
      <c r="K1180" s="3">
        <v>0</v>
      </c>
      <c r="L1180" s="3" t="str">
        <f>IF(K1180&lt;-5,"CRÍTICO",IF(K1180&lt;0,"ATENÇÃO",IF(K1180&lt;=5,"BOM","EXCELENTE")))</f>
        <v>BOM</v>
      </c>
      <c r="M1180">
        <v>29</v>
      </c>
      <c r="N1180">
        <v>96.58</v>
      </c>
      <c r="O1180">
        <v>30.396475770925111</v>
      </c>
    </row>
    <row r="1181" spans="1:15" hidden="1" x14ac:dyDescent="0.25">
      <c r="A1181" s="11">
        <v>46037</v>
      </c>
      <c r="B1181" t="s">
        <v>61</v>
      </c>
      <c r="C1181" t="s">
        <v>23</v>
      </c>
      <c r="D1181">
        <v>18</v>
      </c>
      <c r="E1181">
        <v>16</v>
      </c>
      <c r="F1181">
        <v>33.21</v>
      </c>
      <c r="G1181">
        <v>0</v>
      </c>
      <c r="H1181">
        <v>0</v>
      </c>
      <c r="I1181" s="3">
        <f>E1181+G1181+H1181</f>
        <v>16</v>
      </c>
      <c r="J1181" s="3">
        <f>ROUND(MIN(IF(C1181="Técnico III",35,IF(C1181="Técnico II",28,IF(C1181="Técnico I",23,IF(C1181="JR",20,IF(C1181="Estágio",10,0))))),IF(C1181="Técnico III",SUMIFS($D:$D,$A:$A,$A1181,$B:$B,"&lt;&gt;Patrícia Karla de Sousa Araújo",$B:$B,"&lt;&gt;Lorena Dias de Araujo",$B:$B,"&lt;&gt;Lucas Luiz Romero")*(35/1083),IF(C1181="Técnico II",SUMIFS($D:$D,$A:$A,$A1181,$B:$B,"&lt;&gt;Patrícia Karla de Sousa Araújo",$B:$B,"&lt;&gt;Lorena Dias de Araujo",$B:$B,"&lt;&gt;Lucas Luiz Romero")*(28/1083),IF(C1181="Técnico I",SUMIFS($D:$D,$A:$A,$A1181,$B:$B,"&lt;&gt;Patrícia Karla de Sousa Araújo",$B:$B,"&lt;&gt;Lorena Dias de Araujo",$B:$B,"&lt;&gt;Lucas Luiz Romero")*(23/1083),IF(C1181="JR",SUMIFS($D:$D,$A:$A,$A1181,$B:$B,"&lt;&gt;Patrícia Karla de Sousa Araújo",$B:$B,"&lt;&gt;Lorena Dias de Araujo",$B:$B,"&lt;&gt;Lucas Luiz Romero")*(20/1083),IF(C1181="Estágio",SUMIFS($D:$D,$A:$A,$A1181,$B:$B,"&lt;&gt;Patrícia Karla de Sousa Araújo",$B:$B,"&lt;&gt;Lorena Dias de Araujo",$B:$B,"&lt;&gt;Lucas Luiz Romero")*(10/1083),0)))))),0)</f>
        <v>15</v>
      </c>
      <c r="K1181" s="3">
        <f>I1181-J1181</f>
        <v>1</v>
      </c>
      <c r="L1181" s="3" t="str">
        <f>IF(K1181&lt;-5,"CRÍTICO",IF(K1181&lt;0,"ATENÇÃO",IF(K1181&lt;=5,"BOM","EXCELENTE")))</f>
        <v>BOM</v>
      </c>
      <c r="M1181">
        <v>20</v>
      </c>
      <c r="N1181">
        <v>100</v>
      </c>
      <c r="O1181">
        <v>27.44282744282744</v>
      </c>
    </row>
    <row r="1182" spans="1:15" hidden="1" x14ac:dyDescent="0.25">
      <c r="A1182" s="11">
        <v>46037</v>
      </c>
      <c r="B1182" t="s">
        <v>35</v>
      </c>
      <c r="C1182" t="s">
        <v>32</v>
      </c>
      <c r="D1182">
        <v>20</v>
      </c>
      <c r="E1182">
        <v>20</v>
      </c>
      <c r="F1182">
        <v>25.03</v>
      </c>
      <c r="G1182">
        <v>0</v>
      </c>
      <c r="H1182">
        <v>0</v>
      </c>
      <c r="I1182" s="3">
        <v>0</v>
      </c>
      <c r="J1182" s="3">
        <v>0</v>
      </c>
      <c r="K1182" s="3">
        <v>0</v>
      </c>
      <c r="L1182" s="3" t="str">
        <f>IF(K1182&lt;-5,"CRÍTICO",IF(K1182&lt;0,"ATENÇÃO",IF(K1182&lt;=5,"BOM","EXCELENTE")))</f>
        <v>BOM</v>
      </c>
      <c r="M1182">
        <v>20</v>
      </c>
      <c r="N1182">
        <v>99.49</v>
      </c>
      <c r="O1182">
        <v>40.200000000000003</v>
      </c>
    </row>
    <row r="1183" spans="1:15" hidden="1" x14ac:dyDescent="0.25">
      <c r="A1183" s="11">
        <v>46037</v>
      </c>
      <c r="B1183" t="s">
        <v>18</v>
      </c>
      <c r="C1183" t="s">
        <v>16</v>
      </c>
      <c r="D1183">
        <v>0</v>
      </c>
      <c r="E1183">
        <v>0</v>
      </c>
      <c r="F1183">
        <v>0</v>
      </c>
      <c r="G1183">
        <v>0</v>
      </c>
      <c r="H1183">
        <v>0</v>
      </c>
      <c r="I1183" s="3">
        <v>0</v>
      </c>
      <c r="J1183" s="3">
        <v>0</v>
      </c>
      <c r="K1183" s="3">
        <v>0</v>
      </c>
      <c r="L1183" s="3" t="str">
        <f>IF(K1183&lt;-5,"CRÍTICO",IF(K1183&lt;0,"ATENÇÃO",IF(K1183&lt;=5,"BOM","EXCELENTE")))</f>
        <v>BOM</v>
      </c>
      <c r="M1183">
        <v>0</v>
      </c>
      <c r="N1183">
        <v>100</v>
      </c>
      <c r="O1183">
        <v>25</v>
      </c>
    </row>
    <row r="1184" spans="1:15" hidden="1" x14ac:dyDescent="0.25">
      <c r="A1184" s="11">
        <v>46037</v>
      </c>
      <c r="B1184" t="s">
        <v>52</v>
      </c>
      <c r="C1184" t="s">
        <v>48</v>
      </c>
      <c r="D1184">
        <v>27</v>
      </c>
      <c r="E1184">
        <v>25</v>
      </c>
      <c r="F1184">
        <v>22.21</v>
      </c>
      <c r="G1184">
        <v>0</v>
      </c>
      <c r="H1184">
        <v>0</v>
      </c>
      <c r="I1184" s="3">
        <f>E1184+G1184+H1184</f>
        <v>25</v>
      </c>
      <c r="J1184" s="3">
        <f>ROUND(MIN(IF(C1184="Técnico III",35,IF(C1184="Técnico II",28,IF(C1184="Técnico I",23,IF(C1184="JR",20,IF(C1184="Estágio",10,0))))),IF(C1184="Técnico III",SUMIFS($D:$D,$A:$A,$A1184,$B:$B,"&lt;&gt;Patrícia Karla de Sousa Araújo",$B:$B,"&lt;&gt;Lorena Dias de Araujo",$B:$B,"&lt;&gt;Lucas Luiz Romero")*(35/1083),IF(C1184="Técnico II",SUMIFS($D:$D,$A:$A,$A1184,$B:$B,"&lt;&gt;Patrícia Karla de Sousa Araújo",$B:$B,"&lt;&gt;Lorena Dias de Araujo",$B:$B,"&lt;&gt;Lucas Luiz Romero")*(28/1083),IF(C1184="Técnico I",SUMIFS($D:$D,$A:$A,$A1184,$B:$B,"&lt;&gt;Patrícia Karla de Sousa Araújo",$B:$B,"&lt;&gt;Lorena Dias de Araujo",$B:$B,"&lt;&gt;Lucas Luiz Romero")*(23/1083),IF(C1184="JR",SUMIFS($D:$D,$A:$A,$A1184,$B:$B,"&lt;&gt;Patrícia Karla de Sousa Araújo",$B:$B,"&lt;&gt;Lorena Dias de Araujo",$B:$B,"&lt;&gt;Lucas Luiz Romero")*(20/1083),IF(C1184="Estágio",SUMIFS($D:$D,$A:$A,$A1184,$B:$B,"&lt;&gt;Patrícia Karla de Sousa Araújo",$B:$B,"&lt;&gt;Lorena Dias de Araujo",$B:$B,"&lt;&gt;Lucas Luiz Romero")*(10/1083),0)))))),0)</f>
        <v>18</v>
      </c>
      <c r="K1184" s="3">
        <f>I1184-J1184</f>
        <v>7</v>
      </c>
      <c r="L1184" s="3" t="str">
        <f>IF(K1184&lt;-5,"CRÍTICO",IF(K1184&lt;0,"ATENÇÃO",IF(K1184&lt;=5,"BOM","EXCELENTE")))</f>
        <v>EXCELENTE</v>
      </c>
      <c r="M1184">
        <v>22</v>
      </c>
      <c r="N1184">
        <v>100</v>
      </c>
      <c r="O1184">
        <v>34.15094339622641</v>
      </c>
    </row>
    <row r="1185" spans="1:15" hidden="1" x14ac:dyDescent="0.25">
      <c r="A1185" s="11">
        <v>46037</v>
      </c>
      <c r="B1185" t="s">
        <v>36</v>
      </c>
      <c r="C1185" t="s">
        <v>32</v>
      </c>
      <c r="D1185">
        <v>33</v>
      </c>
      <c r="E1185">
        <v>32</v>
      </c>
      <c r="F1185">
        <v>20.059999999999999</v>
      </c>
      <c r="G1185">
        <v>0</v>
      </c>
      <c r="H1185">
        <v>0</v>
      </c>
      <c r="I1185" s="3">
        <f>E1185+G1185+H1185</f>
        <v>32</v>
      </c>
      <c r="J1185" s="3">
        <f>ROUND(MIN(IF(C1185="Técnico III",35,IF(C1185="Técnico II",28,IF(C1185="Técnico I",23,IF(C1185="JR",20,IF(C1185="Estágio",10,0))))),IF(C1185="Técnico III",SUMIFS($D:$D,$A:$A,$A1185,$B:$B,"&lt;&gt;Patrícia Karla de Sousa Araújo",$B:$B,"&lt;&gt;Lorena Dias de Araujo",$B:$B,"&lt;&gt;Lucas Luiz Romero")*(35/1083),IF(C1185="Técnico II",SUMIFS($D:$D,$A:$A,$A1185,$B:$B,"&lt;&gt;Patrícia Karla de Sousa Araújo",$B:$B,"&lt;&gt;Lorena Dias de Araujo",$B:$B,"&lt;&gt;Lucas Luiz Romero")*(28/1083),IF(C1185="Técnico I",SUMIFS($D:$D,$A:$A,$A1185,$B:$B,"&lt;&gt;Patrícia Karla de Sousa Araújo",$B:$B,"&lt;&gt;Lorena Dias de Araujo",$B:$B,"&lt;&gt;Lucas Luiz Romero")*(23/1083),IF(C1185="JR",SUMIFS($D:$D,$A:$A,$A1185,$B:$B,"&lt;&gt;Patrícia Karla de Sousa Araújo",$B:$B,"&lt;&gt;Lorena Dias de Araujo",$B:$B,"&lt;&gt;Lucas Luiz Romero")*(20/1083),IF(C1185="Estágio",SUMIFS($D:$D,$A:$A,$A1185,$B:$B,"&lt;&gt;Patrícia Karla de Sousa Araújo",$B:$B,"&lt;&gt;Lorena Dias de Araujo",$B:$B,"&lt;&gt;Lucas Luiz Romero")*(10/1083),0)))))),0)</f>
        <v>22</v>
      </c>
      <c r="K1185" s="3">
        <f>I1185-J1185</f>
        <v>10</v>
      </c>
      <c r="L1185" s="3" t="str">
        <f>IF(K1185&lt;-5,"CRÍTICO",IF(K1185&lt;0,"ATENÇÃO",IF(K1185&lt;=5,"BOM","EXCELENTE")))</f>
        <v>EXCELENTE</v>
      </c>
      <c r="M1185">
        <v>28</v>
      </c>
      <c r="N1185">
        <v>100</v>
      </c>
      <c r="O1185">
        <v>32.731376975169297</v>
      </c>
    </row>
    <row r="1186" spans="1:15" hidden="1" x14ac:dyDescent="0.25">
      <c r="A1186" s="11">
        <v>46037</v>
      </c>
      <c r="B1186" t="s">
        <v>53</v>
      </c>
      <c r="C1186" t="s">
        <v>48</v>
      </c>
      <c r="D1186">
        <v>0</v>
      </c>
      <c r="E1186">
        <v>0</v>
      </c>
      <c r="F1186">
        <v>0</v>
      </c>
      <c r="G1186">
        <v>0</v>
      </c>
      <c r="H1186">
        <v>0</v>
      </c>
      <c r="I1186" s="3">
        <v>0</v>
      </c>
      <c r="J1186" s="3">
        <v>0</v>
      </c>
      <c r="K1186" s="3">
        <v>0</v>
      </c>
      <c r="L1186" s="3" t="str">
        <f>IF(K1186&lt;-5,"CRÍTICO",IF(K1186&lt;0,"ATENÇÃO",IF(K1186&lt;=5,"BOM","EXCELENTE")))</f>
        <v>BOM</v>
      </c>
      <c r="M1186">
        <v>1</v>
      </c>
      <c r="N1186">
        <v>99.31</v>
      </c>
      <c r="O1186">
        <v>30.96234309623431</v>
      </c>
    </row>
    <row r="1187" spans="1:15" hidden="1" x14ac:dyDescent="0.25">
      <c r="A1187" s="11">
        <v>46071</v>
      </c>
      <c r="B1187" t="s">
        <v>22</v>
      </c>
      <c r="C1187" t="s">
        <v>23</v>
      </c>
      <c r="D1187">
        <v>18</v>
      </c>
      <c r="E1187">
        <v>18</v>
      </c>
      <c r="F1187">
        <v>24.18</v>
      </c>
      <c r="G1187">
        <v>0</v>
      </c>
      <c r="H1187">
        <v>0</v>
      </c>
      <c r="I1187" s="3">
        <f>E1187+G1187+H1187</f>
        <v>18</v>
      </c>
      <c r="J1187" s="3">
        <f>ROUND(MIN(IF(C1187="Técnico III",35,IF(C1187="Técnico II",28,IF(C1187="Técnico I",23,IF(C1187="JR",20,IF(C1187="Estágio",10,0))))),IF(C1187="Técnico III",SUMIFS($D:$D,$A:$A,$A1187,$B:$B,"&lt;&gt;Patrícia Karla de Sousa Araújo",$B:$B,"&lt;&gt;Lorena Dias de Araujo",$B:$B,"&lt;&gt;Lucas Luiz Romero")*(35/1083),IF(C1187="Técnico II",SUMIFS($D:$D,$A:$A,$A1187,$B:$B,"&lt;&gt;Patrícia Karla de Sousa Araújo",$B:$B,"&lt;&gt;Lorena Dias de Araujo",$B:$B,"&lt;&gt;Lucas Luiz Romero")*(28/1083),IF(C1187="Técnico I",SUMIFS($D:$D,$A:$A,$A1187,$B:$B,"&lt;&gt;Patrícia Karla de Sousa Araújo",$B:$B,"&lt;&gt;Lorena Dias de Araujo",$B:$B,"&lt;&gt;Lucas Luiz Romero")*(23/1083),IF(C1187="JR",SUMIFS($D:$D,$A:$A,$A1187,$B:$B,"&lt;&gt;Patrícia Karla de Sousa Araújo",$B:$B,"&lt;&gt;Lorena Dias de Araujo",$B:$B,"&lt;&gt;Lucas Luiz Romero")*(20/1083),IF(C1187="Estágio",SUMIFS($D:$D,$A:$A,$A1187,$B:$B,"&lt;&gt;Patrícia Karla de Sousa Araújo",$B:$B,"&lt;&gt;Lorena Dias de Araujo",$B:$B,"&lt;&gt;Lucas Luiz Romero")*(10/1083),0)))))),0)</f>
        <v>16</v>
      </c>
      <c r="K1187" s="3">
        <f>I1187-J1187</f>
        <v>2</v>
      </c>
      <c r="L1187" s="3" t="str">
        <f>IF(K1187&lt;-5,"CRÍTICO",IF(K1187&lt;0,"ATENÇÃO",IF(K1187&lt;=5,"BOM","EXCELENTE")))</f>
        <v>BOM</v>
      </c>
      <c r="M1187">
        <v>18</v>
      </c>
      <c r="N1187">
        <v>96.67</v>
      </c>
      <c r="O1187">
        <v>31.451612903225811</v>
      </c>
    </row>
    <row r="1188" spans="1:15" hidden="1" x14ac:dyDescent="0.25">
      <c r="A1188" s="11">
        <v>46037</v>
      </c>
      <c r="B1188" t="s">
        <v>54</v>
      </c>
      <c r="C1188" t="s">
        <v>48</v>
      </c>
      <c r="D1188">
        <v>31</v>
      </c>
      <c r="E1188">
        <v>30</v>
      </c>
      <c r="F1188">
        <v>19.09</v>
      </c>
      <c r="G1188">
        <v>0</v>
      </c>
      <c r="H1188">
        <v>0</v>
      </c>
      <c r="I1188" s="3">
        <f>E1188+G1188+H1188</f>
        <v>30</v>
      </c>
      <c r="J1188" s="3">
        <f>ROUND(MIN(IF(C1188="Técnico III",35,IF(C1188="Técnico II",28,IF(C1188="Técnico I",23,IF(C1188="JR",20,IF(C1188="Estágio",10,0))))),IF(C1188="Técnico III",SUMIFS($D:$D,$A:$A,$A1188,$B:$B,"&lt;&gt;Patrícia Karla de Sousa Araújo",$B:$B,"&lt;&gt;Lorena Dias de Araujo",$B:$B,"&lt;&gt;Lucas Luiz Romero")*(35/1083),IF(C1188="Técnico II",SUMIFS($D:$D,$A:$A,$A1188,$B:$B,"&lt;&gt;Patrícia Karla de Sousa Araújo",$B:$B,"&lt;&gt;Lorena Dias de Araujo",$B:$B,"&lt;&gt;Lucas Luiz Romero")*(28/1083),IF(C1188="Técnico I",SUMIFS($D:$D,$A:$A,$A1188,$B:$B,"&lt;&gt;Patrícia Karla de Sousa Araújo",$B:$B,"&lt;&gt;Lorena Dias de Araujo",$B:$B,"&lt;&gt;Lucas Luiz Romero")*(23/1083),IF(C1188="JR",SUMIFS($D:$D,$A:$A,$A1188,$B:$B,"&lt;&gt;Patrícia Karla de Sousa Araújo",$B:$B,"&lt;&gt;Lorena Dias de Araujo",$B:$B,"&lt;&gt;Lucas Luiz Romero")*(20/1083),IF(C1188="Estágio",SUMIFS($D:$D,$A:$A,$A1188,$B:$B,"&lt;&gt;Patrícia Karla de Sousa Araújo",$B:$B,"&lt;&gt;Lorena Dias de Araujo",$B:$B,"&lt;&gt;Lucas Luiz Romero")*(10/1083),0)))))),0)</f>
        <v>18</v>
      </c>
      <c r="K1188" s="3">
        <f>I1188-J1188</f>
        <v>12</v>
      </c>
      <c r="L1188" s="3" t="str">
        <f>IF(K1188&lt;-5,"CRÍTICO",IF(K1188&lt;0,"ATENÇÃO",IF(K1188&lt;=5,"BOM","EXCELENTE")))</f>
        <v>EXCELENTE</v>
      </c>
      <c r="M1188">
        <v>29</v>
      </c>
      <c r="N1188">
        <v>100</v>
      </c>
      <c r="O1188">
        <v>27.676767676767678</v>
      </c>
    </row>
    <row r="1189" spans="1:15" hidden="1" x14ac:dyDescent="0.25">
      <c r="A1189" s="11">
        <v>46037</v>
      </c>
      <c r="B1189" t="s">
        <v>37</v>
      </c>
      <c r="C1189" t="s">
        <v>32</v>
      </c>
      <c r="D1189">
        <v>53</v>
      </c>
      <c r="E1189">
        <v>50</v>
      </c>
      <c r="F1189">
        <v>12.03</v>
      </c>
      <c r="G1189">
        <v>0</v>
      </c>
      <c r="H1189">
        <v>0</v>
      </c>
      <c r="I1189" s="3">
        <f>E1189+G1189+H1189</f>
        <v>50</v>
      </c>
      <c r="J1189" s="3">
        <f>ROUND(MIN(IF(C1189="Técnico III",35,IF(C1189="Técnico II",28,IF(C1189="Técnico I",23,IF(C1189="JR",20,IF(C1189="Estágio",10,0))))),IF(C1189="Técnico III",SUMIFS($D:$D,$A:$A,$A1189,$B:$B,"&lt;&gt;Patrícia Karla de Sousa Araújo",$B:$B,"&lt;&gt;Lorena Dias de Araujo",$B:$B,"&lt;&gt;Lucas Luiz Romero")*(35/1083),IF(C1189="Técnico II",SUMIFS($D:$D,$A:$A,$A1189,$B:$B,"&lt;&gt;Patrícia Karla de Sousa Araújo",$B:$B,"&lt;&gt;Lorena Dias de Araujo",$B:$B,"&lt;&gt;Lucas Luiz Romero")*(28/1083),IF(C1189="Técnico I",SUMIFS($D:$D,$A:$A,$A1189,$B:$B,"&lt;&gt;Patrícia Karla de Sousa Araújo",$B:$B,"&lt;&gt;Lorena Dias de Araujo",$B:$B,"&lt;&gt;Lucas Luiz Romero")*(23/1083),IF(C1189="JR",SUMIFS($D:$D,$A:$A,$A1189,$B:$B,"&lt;&gt;Patrícia Karla de Sousa Araújo",$B:$B,"&lt;&gt;Lorena Dias de Araujo",$B:$B,"&lt;&gt;Lucas Luiz Romero")*(20/1083),IF(C1189="Estágio",SUMIFS($D:$D,$A:$A,$A1189,$B:$B,"&lt;&gt;Patrícia Karla de Sousa Araújo",$B:$B,"&lt;&gt;Lorena Dias de Araujo",$B:$B,"&lt;&gt;Lucas Luiz Romero")*(10/1083),0)))))),0)</f>
        <v>22</v>
      </c>
      <c r="K1189" s="3">
        <f>I1189-J1189</f>
        <v>28</v>
      </c>
      <c r="L1189" s="3" t="str">
        <f>IF(K1189&lt;-5,"CRÍTICO",IF(K1189&lt;0,"ATENÇÃO",IF(K1189&lt;=5,"BOM","EXCELENTE")))</f>
        <v>EXCELENTE</v>
      </c>
      <c r="M1189">
        <v>48</v>
      </c>
      <c r="N1189">
        <v>100</v>
      </c>
      <c r="O1189">
        <v>31.17723156532988</v>
      </c>
    </row>
    <row r="1190" spans="1:15" hidden="1" x14ac:dyDescent="0.25">
      <c r="A1190" s="11">
        <v>46037</v>
      </c>
      <c r="B1190" t="s">
        <v>38</v>
      </c>
      <c r="C1190" t="s">
        <v>32</v>
      </c>
      <c r="D1190">
        <v>0</v>
      </c>
      <c r="E1190">
        <v>0</v>
      </c>
      <c r="F1190">
        <v>0</v>
      </c>
      <c r="G1190">
        <v>0</v>
      </c>
      <c r="H1190">
        <v>0</v>
      </c>
      <c r="I1190" s="3">
        <v>0</v>
      </c>
      <c r="J1190" s="3">
        <v>0</v>
      </c>
      <c r="K1190" s="3">
        <v>0</v>
      </c>
      <c r="L1190" s="3" t="str">
        <f>IF(K1190&lt;-5,"CRÍTICO",IF(K1190&lt;0,"ATENÇÃO",IF(K1190&lt;=5,"BOM","EXCELENTE")))</f>
        <v>BOM</v>
      </c>
      <c r="M1190">
        <v>0</v>
      </c>
      <c r="N1190">
        <v>100</v>
      </c>
      <c r="O1190">
        <v>27.609427609427609</v>
      </c>
    </row>
    <row r="1191" spans="1:15" hidden="1" x14ac:dyDescent="0.25">
      <c r="A1191" s="11">
        <v>46037</v>
      </c>
      <c r="B1191" t="s">
        <v>55</v>
      </c>
      <c r="C1191" t="s">
        <v>48</v>
      </c>
      <c r="D1191">
        <v>31</v>
      </c>
      <c r="E1191">
        <v>24</v>
      </c>
      <c r="F1191">
        <v>22.26</v>
      </c>
      <c r="G1191">
        <v>0</v>
      </c>
      <c r="H1191">
        <v>0</v>
      </c>
      <c r="I1191" s="3">
        <f>E1191+G1191+H1191</f>
        <v>24</v>
      </c>
      <c r="J1191" s="3">
        <f>ROUND(MIN(IF(C1191="Técnico III",35,IF(C1191="Técnico II",28,IF(C1191="Técnico I",23,IF(C1191="JR",20,IF(C1191="Estágio",10,0))))),IF(C1191="Técnico III",SUMIFS($D:$D,$A:$A,$A1191,$B:$B,"&lt;&gt;Patrícia Karla de Sousa Araújo",$B:$B,"&lt;&gt;Lorena Dias de Araujo",$B:$B,"&lt;&gt;Lucas Luiz Romero")*(35/1083),IF(C1191="Técnico II",SUMIFS($D:$D,$A:$A,$A1191,$B:$B,"&lt;&gt;Patrícia Karla de Sousa Araújo",$B:$B,"&lt;&gt;Lorena Dias de Araujo",$B:$B,"&lt;&gt;Lucas Luiz Romero")*(28/1083),IF(C1191="Técnico I",SUMIFS($D:$D,$A:$A,$A1191,$B:$B,"&lt;&gt;Patrícia Karla de Sousa Araújo",$B:$B,"&lt;&gt;Lorena Dias de Araujo",$B:$B,"&lt;&gt;Lucas Luiz Romero")*(23/1083),IF(C1191="JR",SUMIFS($D:$D,$A:$A,$A1191,$B:$B,"&lt;&gt;Patrícia Karla de Sousa Araújo",$B:$B,"&lt;&gt;Lorena Dias de Araujo",$B:$B,"&lt;&gt;Lucas Luiz Romero")*(20/1083),IF(C1191="Estágio",SUMIFS($D:$D,$A:$A,$A1191,$B:$B,"&lt;&gt;Patrícia Karla de Sousa Araújo",$B:$B,"&lt;&gt;Lorena Dias de Araujo",$B:$B,"&lt;&gt;Lucas Luiz Romero")*(10/1083),0)))))),0)</f>
        <v>18</v>
      </c>
      <c r="K1191" s="3">
        <f>I1191-J1191</f>
        <v>6</v>
      </c>
      <c r="L1191" s="3" t="str">
        <f>IF(K1191&lt;-5,"CRÍTICO",IF(K1191&lt;0,"ATENÇÃO",IF(K1191&lt;=5,"BOM","EXCELENTE")))</f>
        <v>EXCELENTE</v>
      </c>
      <c r="M1191">
        <v>22</v>
      </c>
      <c r="N1191">
        <v>96.4</v>
      </c>
      <c r="O1191">
        <v>28.764044943820231</v>
      </c>
    </row>
    <row r="1192" spans="1:15" hidden="1" x14ac:dyDescent="0.25">
      <c r="A1192" s="11">
        <v>46037</v>
      </c>
      <c r="B1192" t="s">
        <v>39</v>
      </c>
      <c r="C1192" t="s">
        <v>32</v>
      </c>
      <c r="D1192">
        <v>0</v>
      </c>
      <c r="E1192">
        <v>0</v>
      </c>
      <c r="F1192">
        <v>0</v>
      </c>
      <c r="G1192">
        <v>0</v>
      </c>
      <c r="H1192">
        <v>0</v>
      </c>
      <c r="I1192" s="3">
        <v>0</v>
      </c>
      <c r="J1192" s="3">
        <v>0</v>
      </c>
      <c r="K1192" s="3">
        <v>0</v>
      </c>
      <c r="L1192" s="3" t="str">
        <f>IF(K1192&lt;-5,"CRÍTICO",IF(K1192&lt;0,"ATENÇÃO",IF(K1192&lt;=5,"BOM","EXCELENTE")))</f>
        <v>BOM</v>
      </c>
      <c r="M1192">
        <v>19</v>
      </c>
      <c r="N1192">
        <v>100</v>
      </c>
      <c r="O1192">
        <v>33.980582524271853</v>
      </c>
    </row>
    <row r="1193" spans="1:15" hidden="1" x14ac:dyDescent="0.25">
      <c r="A1193" s="11">
        <v>46037</v>
      </c>
      <c r="B1193" t="s">
        <v>25</v>
      </c>
      <c r="C1193" t="s">
        <v>26</v>
      </c>
      <c r="D1193">
        <v>10</v>
      </c>
      <c r="E1193">
        <v>7</v>
      </c>
      <c r="F1193">
        <v>19</v>
      </c>
      <c r="G1193">
        <v>0</v>
      </c>
      <c r="H1193">
        <v>0</v>
      </c>
      <c r="I1193" s="3">
        <f>E1193+G1193+H1193</f>
        <v>7</v>
      </c>
      <c r="J1193" s="3">
        <f>ROUND(MIN(IF(C1193="Técnico III",35,IF(C1193="Técnico II",28,IF(C1193="Técnico I",23,IF(C1193="JR",20,IF(C1193="Estágio",10,0))))),IF(C1193="Técnico III",SUMIFS($D:$D,$A:$A,$A1193,$B:$B,"&lt;&gt;Patrícia Karla de Sousa Araújo",$B:$B,"&lt;&gt;Lorena Dias de Araujo",$B:$B,"&lt;&gt;Lucas Luiz Romero")*(35/1083),IF(C1193="Técnico II",SUMIFS($D:$D,$A:$A,$A1193,$B:$B,"&lt;&gt;Patrícia Karla de Sousa Araújo",$B:$B,"&lt;&gt;Lorena Dias de Araujo",$B:$B,"&lt;&gt;Lucas Luiz Romero")*(28/1083),IF(C1193="Técnico I",SUMIFS($D:$D,$A:$A,$A1193,$B:$B,"&lt;&gt;Patrícia Karla de Sousa Araújo",$B:$B,"&lt;&gt;Lorena Dias de Araujo",$B:$B,"&lt;&gt;Lucas Luiz Romero")*(23/1083),IF(C1193="JR",SUMIFS($D:$D,$A:$A,$A1193,$B:$B,"&lt;&gt;Patrícia Karla de Sousa Araújo",$B:$B,"&lt;&gt;Lorena Dias de Araujo",$B:$B,"&lt;&gt;Lucas Luiz Romero")*(20/1083),IF(C1193="Estágio",SUMIFS($D:$D,$A:$A,$A1193,$B:$B,"&lt;&gt;Patrícia Karla de Sousa Araújo",$B:$B,"&lt;&gt;Lorena Dias de Araujo",$B:$B,"&lt;&gt;Lucas Luiz Romero")*(10/1083),0)))))),0)</f>
        <v>13</v>
      </c>
      <c r="K1193" s="3">
        <f>I1193-J1193</f>
        <v>-6</v>
      </c>
      <c r="L1193" s="3" t="str">
        <f>IF(K1193&lt;-5,"CRÍTICO",IF(K1193&lt;0,"ATENÇÃO",IF(K1193&lt;=5,"BOM","EXCELENTE")))</f>
        <v>CRÍTICO</v>
      </c>
      <c r="M1193">
        <v>7</v>
      </c>
      <c r="N1193">
        <v>97.56</v>
      </c>
      <c r="O1193">
        <v>32.515337423312893</v>
      </c>
    </row>
    <row r="1194" spans="1:15" hidden="1" x14ac:dyDescent="0.25">
      <c r="A1194" s="11">
        <v>46037</v>
      </c>
      <c r="B1194" t="s">
        <v>40</v>
      </c>
      <c r="C1194" t="s">
        <v>32</v>
      </c>
      <c r="D1194">
        <v>22</v>
      </c>
      <c r="E1194">
        <v>21</v>
      </c>
      <c r="F1194">
        <v>28.57</v>
      </c>
      <c r="G1194">
        <v>0</v>
      </c>
      <c r="H1194">
        <v>0</v>
      </c>
      <c r="I1194" s="3">
        <f>E1194+G1194+H1194</f>
        <v>21</v>
      </c>
      <c r="J1194" s="3">
        <f>ROUND(MIN(IF(C1194="Técnico III",35,IF(C1194="Técnico II",28,IF(C1194="Técnico I",23,IF(C1194="JR",20,IF(C1194="Estágio",10,0))))),IF(C1194="Técnico III",SUMIFS($D:$D,$A:$A,$A1194,$B:$B,"&lt;&gt;Patrícia Karla de Sousa Araújo",$B:$B,"&lt;&gt;Lorena Dias de Araujo",$B:$B,"&lt;&gt;Lucas Luiz Romero")*(35/1083),IF(C1194="Técnico II",SUMIFS($D:$D,$A:$A,$A1194,$B:$B,"&lt;&gt;Patrícia Karla de Sousa Araújo",$B:$B,"&lt;&gt;Lorena Dias de Araujo",$B:$B,"&lt;&gt;Lucas Luiz Romero")*(28/1083),IF(C1194="Técnico I",SUMIFS($D:$D,$A:$A,$A1194,$B:$B,"&lt;&gt;Patrícia Karla de Sousa Araújo",$B:$B,"&lt;&gt;Lorena Dias de Araujo",$B:$B,"&lt;&gt;Lucas Luiz Romero")*(23/1083),IF(C1194="JR",SUMIFS($D:$D,$A:$A,$A1194,$B:$B,"&lt;&gt;Patrícia Karla de Sousa Araújo",$B:$B,"&lt;&gt;Lorena Dias de Araujo",$B:$B,"&lt;&gt;Lucas Luiz Romero")*(20/1083),IF(C1194="Estágio",SUMIFS($D:$D,$A:$A,$A1194,$B:$B,"&lt;&gt;Patrícia Karla de Sousa Araújo",$B:$B,"&lt;&gt;Lorena Dias de Araujo",$B:$B,"&lt;&gt;Lucas Luiz Romero")*(10/1083),0)))))),0)</f>
        <v>22</v>
      </c>
      <c r="K1194" s="3">
        <f>I1194-J1194</f>
        <v>-1</v>
      </c>
      <c r="L1194" s="3" t="str">
        <f>IF(K1194&lt;-5,"CRÍTICO",IF(K1194&lt;0,"ATENÇÃO",IF(K1194&lt;=5,"BOM","EXCELENTE")))</f>
        <v>ATENÇÃO</v>
      </c>
      <c r="M1194">
        <v>21</v>
      </c>
      <c r="N1194">
        <v>97.11</v>
      </c>
      <c r="O1194">
        <v>37.408312958435211</v>
      </c>
    </row>
    <row r="1195" spans="1:15" hidden="1" x14ac:dyDescent="0.25">
      <c r="A1195" s="11">
        <v>46037</v>
      </c>
      <c r="B1195" t="s">
        <v>27</v>
      </c>
      <c r="C1195" t="s">
        <v>26</v>
      </c>
      <c r="D1195">
        <v>0</v>
      </c>
      <c r="E1195">
        <v>0</v>
      </c>
      <c r="F1195">
        <v>0</v>
      </c>
      <c r="G1195">
        <v>0</v>
      </c>
      <c r="H1195">
        <v>0</v>
      </c>
      <c r="I1195" s="3">
        <v>0</v>
      </c>
      <c r="J1195" s="3">
        <v>0</v>
      </c>
      <c r="K1195" s="3">
        <v>0</v>
      </c>
      <c r="L1195" s="3" t="str">
        <f>IF(K1195&lt;-5,"CRÍTICO",IF(K1195&lt;0,"ATENÇÃO",IF(K1195&lt;=5,"BOM","EXCELENTE")))</f>
        <v>BOM</v>
      </c>
      <c r="M1195">
        <v>0</v>
      </c>
      <c r="N1195">
        <v>0</v>
      </c>
      <c r="O1195">
        <v>0</v>
      </c>
    </row>
    <row r="1196" spans="1:15" hidden="1" x14ac:dyDescent="0.25">
      <c r="A1196" s="11">
        <v>46037</v>
      </c>
      <c r="B1196" t="s">
        <v>41</v>
      </c>
      <c r="C1196" t="s">
        <v>32</v>
      </c>
      <c r="D1196">
        <v>39</v>
      </c>
      <c r="E1196">
        <v>32</v>
      </c>
      <c r="F1196">
        <v>20.5</v>
      </c>
      <c r="G1196">
        <v>0</v>
      </c>
      <c r="H1196">
        <v>0</v>
      </c>
      <c r="I1196" s="3">
        <f>E1196+G1196+H1196</f>
        <v>32</v>
      </c>
      <c r="J1196" s="3">
        <f>ROUND(MIN(IF(C1196="Técnico III",35,IF(C1196="Técnico II",28,IF(C1196="Técnico I",23,IF(C1196="JR",20,IF(C1196="Estágio",10,0))))),IF(C1196="Técnico III",SUMIFS($D:$D,$A:$A,$A1196,$B:$B,"&lt;&gt;Patrícia Karla de Sousa Araújo",$B:$B,"&lt;&gt;Lorena Dias de Araujo",$B:$B,"&lt;&gt;Lucas Luiz Romero")*(35/1083),IF(C1196="Técnico II",SUMIFS($D:$D,$A:$A,$A1196,$B:$B,"&lt;&gt;Patrícia Karla de Sousa Araújo",$B:$B,"&lt;&gt;Lorena Dias de Araujo",$B:$B,"&lt;&gt;Lucas Luiz Romero")*(28/1083),IF(C1196="Técnico I",SUMIFS($D:$D,$A:$A,$A1196,$B:$B,"&lt;&gt;Patrícia Karla de Sousa Araújo",$B:$B,"&lt;&gt;Lorena Dias de Araujo",$B:$B,"&lt;&gt;Lucas Luiz Romero")*(23/1083),IF(C1196="JR",SUMIFS($D:$D,$A:$A,$A1196,$B:$B,"&lt;&gt;Patrícia Karla de Sousa Araújo",$B:$B,"&lt;&gt;Lorena Dias de Araujo",$B:$B,"&lt;&gt;Lucas Luiz Romero")*(20/1083),IF(C1196="Estágio",SUMIFS($D:$D,$A:$A,$A1196,$B:$B,"&lt;&gt;Patrícia Karla de Sousa Araújo",$B:$B,"&lt;&gt;Lorena Dias de Araujo",$B:$B,"&lt;&gt;Lucas Luiz Romero")*(10/1083),0)))))),0)</f>
        <v>22</v>
      </c>
      <c r="K1196" s="3">
        <f>I1196-J1196</f>
        <v>10</v>
      </c>
      <c r="L1196" s="3" t="str">
        <f>IF(K1196&lt;-5,"CRÍTICO",IF(K1196&lt;0,"ATENÇÃO",IF(K1196&lt;=5,"BOM","EXCELENTE")))</f>
        <v>EXCELENTE</v>
      </c>
      <c r="M1196">
        <v>27</v>
      </c>
      <c r="N1196">
        <v>100</v>
      </c>
      <c r="O1196">
        <v>30.470347648261761</v>
      </c>
    </row>
    <row r="1197" spans="1:15" hidden="1" x14ac:dyDescent="0.25">
      <c r="A1197" s="11">
        <v>46037</v>
      </c>
      <c r="B1197" t="s">
        <v>56</v>
      </c>
      <c r="C1197" t="s">
        <v>48</v>
      </c>
      <c r="D1197">
        <v>32</v>
      </c>
      <c r="E1197">
        <v>31</v>
      </c>
      <c r="F1197">
        <v>23.47</v>
      </c>
      <c r="G1197">
        <v>0</v>
      </c>
      <c r="H1197">
        <v>0</v>
      </c>
      <c r="I1197" s="3">
        <f>E1197+G1197+H1197</f>
        <v>31</v>
      </c>
      <c r="J1197" s="3">
        <f>ROUND(MIN(IF(C1197="Técnico III",35,IF(C1197="Técnico II",28,IF(C1197="Técnico I",23,IF(C1197="JR",20,IF(C1197="Estágio",10,0))))),IF(C1197="Técnico III",SUMIFS($D:$D,$A:$A,$A1197,$B:$B,"&lt;&gt;Patrícia Karla de Sousa Araújo",$B:$B,"&lt;&gt;Lorena Dias de Araujo",$B:$B,"&lt;&gt;Lucas Luiz Romero")*(35/1083),IF(C1197="Técnico II",SUMIFS($D:$D,$A:$A,$A1197,$B:$B,"&lt;&gt;Patrícia Karla de Sousa Araújo",$B:$B,"&lt;&gt;Lorena Dias de Araujo",$B:$B,"&lt;&gt;Lucas Luiz Romero")*(28/1083),IF(C1197="Técnico I",SUMIFS($D:$D,$A:$A,$A1197,$B:$B,"&lt;&gt;Patrícia Karla de Sousa Araújo",$B:$B,"&lt;&gt;Lorena Dias de Araujo",$B:$B,"&lt;&gt;Lucas Luiz Romero")*(23/1083),IF(C1197="JR",SUMIFS($D:$D,$A:$A,$A1197,$B:$B,"&lt;&gt;Patrícia Karla de Sousa Araújo",$B:$B,"&lt;&gt;Lorena Dias de Araujo",$B:$B,"&lt;&gt;Lucas Luiz Romero")*(20/1083),IF(C1197="Estágio",SUMIFS($D:$D,$A:$A,$A1197,$B:$B,"&lt;&gt;Patrícia Karla de Sousa Araújo",$B:$B,"&lt;&gt;Lorena Dias de Araujo",$B:$B,"&lt;&gt;Lucas Luiz Romero")*(10/1083),0)))))),0)</f>
        <v>18</v>
      </c>
      <c r="K1197" s="3">
        <f>I1197-J1197</f>
        <v>13</v>
      </c>
      <c r="L1197" s="3" t="str">
        <f>IF(K1197&lt;-5,"CRÍTICO",IF(K1197&lt;0,"ATENÇÃO",IF(K1197&lt;=5,"BOM","EXCELENTE")))</f>
        <v>EXCELENTE</v>
      </c>
      <c r="M1197">
        <v>29</v>
      </c>
      <c r="N1197">
        <v>100</v>
      </c>
      <c r="O1197">
        <v>32.371134020618562</v>
      </c>
    </row>
    <row r="1198" spans="1:15" hidden="1" x14ac:dyDescent="0.25">
      <c r="A1198" s="11">
        <v>46037</v>
      </c>
      <c r="B1198" t="s">
        <v>57</v>
      </c>
      <c r="C1198" t="s">
        <v>48</v>
      </c>
      <c r="D1198">
        <v>28</v>
      </c>
      <c r="E1198">
        <v>26</v>
      </c>
      <c r="F1198">
        <v>19.04</v>
      </c>
      <c r="G1198">
        <v>0</v>
      </c>
      <c r="H1198">
        <v>0</v>
      </c>
      <c r="I1198" s="3">
        <v>0</v>
      </c>
      <c r="J1198" s="3">
        <v>0</v>
      </c>
      <c r="K1198" s="3">
        <v>0</v>
      </c>
      <c r="L1198" s="3" t="str">
        <f>IF(K1198&lt;-5,"CRÍTICO",IF(K1198&lt;0,"ATENÇÃO",IF(K1198&lt;=5,"BOM","EXCELENTE")))</f>
        <v>BOM</v>
      </c>
      <c r="M1198">
        <v>25</v>
      </c>
      <c r="N1198">
        <v>98.32</v>
      </c>
      <c r="O1198">
        <v>32.318501170960189</v>
      </c>
    </row>
    <row r="1199" spans="1:15" hidden="1" x14ac:dyDescent="0.25">
      <c r="A1199" s="11">
        <v>46037</v>
      </c>
      <c r="B1199" t="s">
        <v>42</v>
      </c>
      <c r="C1199" t="s">
        <v>32</v>
      </c>
      <c r="D1199">
        <v>71</v>
      </c>
      <c r="E1199">
        <v>51</v>
      </c>
      <c r="F1199">
        <v>10.42</v>
      </c>
      <c r="G1199">
        <v>0</v>
      </c>
      <c r="H1199">
        <v>0</v>
      </c>
      <c r="I1199" s="3">
        <f>E1199+G1199+H1199</f>
        <v>51</v>
      </c>
      <c r="J1199" s="3">
        <f>ROUND(MIN(IF(C1199="Técnico III",35,IF(C1199="Técnico II",28,IF(C1199="Técnico I",23,IF(C1199="JR",20,IF(C1199="Estágio",10,0))))),IF(C1199="Técnico III",SUMIFS($D:$D,$A:$A,$A1199,$B:$B,"&lt;&gt;Patrícia Karla de Sousa Araújo",$B:$B,"&lt;&gt;Lorena Dias de Araujo",$B:$B,"&lt;&gt;Lucas Luiz Romero")*(35/1083),IF(C1199="Técnico II",SUMIFS($D:$D,$A:$A,$A1199,$B:$B,"&lt;&gt;Patrícia Karla de Sousa Araújo",$B:$B,"&lt;&gt;Lorena Dias de Araujo",$B:$B,"&lt;&gt;Lucas Luiz Romero")*(28/1083),IF(C1199="Técnico I",SUMIFS($D:$D,$A:$A,$A1199,$B:$B,"&lt;&gt;Patrícia Karla de Sousa Araújo",$B:$B,"&lt;&gt;Lorena Dias de Araujo",$B:$B,"&lt;&gt;Lucas Luiz Romero")*(23/1083),IF(C1199="JR",SUMIFS($D:$D,$A:$A,$A1199,$B:$B,"&lt;&gt;Patrícia Karla de Sousa Araújo",$B:$B,"&lt;&gt;Lorena Dias de Araujo",$B:$B,"&lt;&gt;Lucas Luiz Romero")*(20/1083),IF(C1199="Estágio",SUMIFS($D:$D,$A:$A,$A1199,$B:$B,"&lt;&gt;Patrícia Karla de Sousa Araújo",$B:$B,"&lt;&gt;Lorena Dias de Araujo",$B:$B,"&lt;&gt;Lucas Luiz Romero")*(10/1083),0)))))),0)</f>
        <v>22</v>
      </c>
      <c r="K1199" s="3">
        <f>I1199-J1199</f>
        <v>29</v>
      </c>
      <c r="L1199" s="3" t="str">
        <f>IF(K1199&lt;-5,"CRÍTICO",IF(K1199&lt;0,"ATENÇÃO",IF(K1199&lt;=5,"BOM","EXCELENTE")))</f>
        <v>EXCELENTE</v>
      </c>
      <c r="M1199">
        <v>38</v>
      </c>
      <c r="N1199">
        <v>96.43</v>
      </c>
      <c r="O1199">
        <v>27.015250544662312</v>
      </c>
    </row>
    <row r="1200" spans="1:15" hidden="1" x14ac:dyDescent="0.25">
      <c r="A1200" s="11">
        <v>46037</v>
      </c>
      <c r="B1200" t="s">
        <v>62</v>
      </c>
      <c r="C1200" t="s">
        <v>23</v>
      </c>
      <c r="D1200">
        <v>19</v>
      </c>
      <c r="E1200">
        <v>17</v>
      </c>
      <c r="F1200">
        <v>21.58</v>
      </c>
      <c r="G1200">
        <v>0</v>
      </c>
      <c r="H1200">
        <v>0</v>
      </c>
      <c r="I1200" s="3">
        <f>E1200+G1200+H1200</f>
        <v>17</v>
      </c>
      <c r="J1200" s="3">
        <f>ROUND(MIN(IF(C1200="Técnico III",35,IF(C1200="Técnico II",28,IF(C1200="Técnico I",23,IF(C1200="JR",20,IF(C1200="Estágio",10,0))))),IF(C1200="Técnico III",SUMIFS($D:$D,$A:$A,$A1200,$B:$B,"&lt;&gt;Patrícia Karla de Sousa Araújo",$B:$B,"&lt;&gt;Lorena Dias de Araujo",$B:$B,"&lt;&gt;Lucas Luiz Romero")*(35/1083),IF(C1200="Técnico II",SUMIFS($D:$D,$A:$A,$A1200,$B:$B,"&lt;&gt;Patrícia Karla de Sousa Araújo",$B:$B,"&lt;&gt;Lorena Dias de Araujo",$B:$B,"&lt;&gt;Lucas Luiz Romero")*(28/1083),IF(C1200="Técnico I",SUMIFS($D:$D,$A:$A,$A1200,$B:$B,"&lt;&gt;Patrícia Karla de Sousa Araújo",$B:$B,"&lt;&gt;Lorena Dias de Araujo",$B:$B,"&lt;&gt;Lucas Luiz Romero")*(23/1083),IF(C1200="JR",SUMIFS($D:$D,$A:$A,$A1200,$B:$B,"&lt;&gt;Patrícia Karla de Sousa Araújo",$B:$B,"&lt;&gt;Lorena Dias de Araujo",$B:$B,"&lt;&gt;Lucas Luiz Romero")*(20/1083),IF(C1200="Estágio",SUMIFS($D:$D,$A:$A,$A1200,$B:$B,"&lt;&gt;Patrícia Karla de Sousa Araújo",$B:$B,"&lt;&gt;Lorena Dias de Araujo",$B:$B,"&lt;&gt;Lucas Luiz Romero")*(10/1083),0)))))),0)</f>
        <v>15</v>
      </c>
      <c r="K1200" s="3">
        <f>I1200-J1200</f>
        <v>2</v>
      </c>
      <c r="L1200" s="3" t="str">
        <f>IF(K1200&lt;-5,"CRÍTICO",IF(K1200&lt;0,"ATENÇÃO",IF(K1200&lt;=5,"BOM","EXCELENTE")))</f>
        <v>BOM</v>
      </c>
      <c r="M1200">
        <v>15</v>
      </c>
      <c r="N1200">
        <v>98.89</v>
      </c>
      <c r="O1200">
        <v>28.021978021978018</v>
      </c>
    </row>
    <row r="1201" spans="1:15" hidden="1" x14ac:dyDescent="0.25">
      <c r="A1201" s="11">
        <v>46037</v>
      </c>
      <c r="B1201" t="s">
        <v>19</v>
      </c>
      <c r="C1201" t="s">
        <v>16</v>
      </c>
      <c r="D1201">
        <v>0</v>
      </c>
      <c r="E1201">
        <v>0</v>
      </c>
      <c r="F1201">
        <v>0</v>
      </c>
      <c r="G1201">
        <v>0</v>
      </c>
      <c r="H1201">
        <v>0</v>
      </c>
      <c r="I1201" s="3">
        <v>0</v>
      </c>
      <c r="J1201" s="3">
        <v>0</v>
      </c>
      <c r="K1201" s="3">
        <v>0</v>
      </c>
      <c r="L1201" s="3" t="str">
        <f>IF(K1201&lt;-5,"CRÍTICO",IF(K1201&lt;0,"ATENÇÃO",IF(K1201&lt;=5,"BOM","EXCELENTE")))</f>
        <v>BOM</v>
      </c>
      <c r="M1201">
        <v>0</v>
      </c>
      <c r="N1201">
        <v>100</v>
      </c>
      <c r="O1201">
        <v>33.333333333333329</v>
      </c>
    </row>
    <row r="1202" spans="1:15" hidden="1" x14ac:dyDescent="0.25">
      <c r="A1202" s="11">
        <v>46037</v>
      </c>
      <c r="B1202" t="s">
        <v>43</v>
      </c>
      <c r="C1202" t="s">
        <v>32</v>
      </c>
      <c r="D1202">
        <v>0</v>
      </c>
      <c r="E1202">
        <v>0</v>
      </c>
      <c r="F1202">
        <v>0</v>
      </c>
      <c r="G1202">
        <v>0</v>
      </c>
      <c r="H1202">
        <v>0</v>
      </c>
      <c r="I1202" s="3">
        <v>0</v>
      </c>
      <c r="J1202" s="3">
        <v>0</v>
      </c>
      <c r="K1202" s="3">
        <v>0</v>
      </c>
      <c r="L1202" s="3" t="str">
        <f>IF(K1202&lt;-5,"CRÍTICO",IF(K1202&lt;0,"ATENÇÃO",IF(K1202&lt;=5,"BOM","EXCELENTE")))</f>
        <v>BOM</v>
      </c>
      <c r="M1202">
        <v>0</v>
      </c>
      <c r="N1202">
        <v>100</v>
      </c>
      <c r="O1202">
        <v>27.43362831858407</v>
      </c>
    </row>
    <row r="1203" spans="1:15" hidden="1" x14ac:dyDescent="0.25">
      <c r="A1203" s="11">
        <v>46037</v>
      </c>
      <c r="B1203" t="s">
        <v>44</v>
      </c>
      <c r="C1203" t="s">
        <v>32</v>
      </c>
      <c r="D1203">
        <v>53</v>
      </c>
      <c r="E1203">
        <v>48</v>
      </c>
      <c r="F1203">
        <v>9.18</v>
      </c>
      <c r="G1203">
        <v>0</v>
      </c>
      <c r="H1203">
        <v>0</v>
      </c>
      <c r="I1203" s="3">
        <f>E1203+G1203+H1203</f>
        <v>48</v>
      </c>
      <c r="J1203" s="3">
        <f>ROUND(MIN(IF(C1203="Técnico III",35,IF(C1203="Técnico II",28,IF(C1203="Técnico I",23,IF(C1203="JR",20,IF(C1203="Estágio",10,0))))),IF(C1203="Técnico III",SUMIFS($D:$D,$A:$A,$A1203,$B:$B,"&lt;&gt;Patrícia Karla de Sousa Araújo",$B:$B,"&lt;&gt;Lorena Dias de Araujo",$B:$B,"&lt;&gt;Lucas Luiz Romero")*(35/1083),IF(C1203="Técnico II",SUMIFS($D:$D,$A:$A,$A1203,$B:$B,"&lt;&gt;Patrícia Karla de Sousa Araújo",$B:$B,"&lt;&gt;Lorena Dias de Araujo",$B:$B,"&lt;&gt;Lucas Luiz Romero")*(28/1083),IF(C1203="Técnico I",SUMIFS($D:$D,$A:$A,$A1203,$B:$B,"&lt;&gt;Patrícia Karla de Sousa Araújo",$B:$B,"&lt;&gt;Lorena Dias de Araujo",$B:$B,"&lt;&gt;Lucas Luiz Romero")*(23/1083),IF(C1203="JR",SUMIFS($D:$D,$A:$A,$A1203,$B:$B,"&lt;&gt;Patrícia Karla de Sousa Araújo",$B:$B,"&lt;&gt;Lorena Dias de Araujo",$B:$B,"&lt;&gt;Lucas Luiz Romero")*(20/1083),IF(C1203="Estágio",SUMIFS($D:$D,$A:$A,$A1203,$B:$B,"&lt;&gt;Patrícia Karla de Sousa Araújo",$B:$B,"&lt;&gt;Lorena Dias de Araujo",$B:$B,"&lt;&gt;Lucas Luiz Romero")*(10/1083),0)))))),0)</f>
        <v>22</v>
      </c>
      <c r="K1203" s="3">
        <f>I1203-J1203</f>
        <v>26</v>
      </c>
      <c r="L1203" s="3" t="str">
        <f>IF(K1203&lt;-5,"CRÍTICO",IF(K1203&lt;0,"ATENÇÃO",IF(K1203&lt;=5,"BOM","EXCELENTE")))</f>
        <v>EXCELENTE</v>
      </c>
      <c r="M1203">
        <v>40</v>
      </c>
      <c r="N1203">
        <v>98.65</v>
      </c>
      <c r="O1203">
        <v>30.978260869565219</v>
      </c>
    </row>
    <row r="1204" spans="1:15" hidden="1" x14ac:dyDescent="0.25">
      <c r="A1204" s="11">
        <v>46037</v>
      </c>
      <c r="B1204" t="s">
        <v>20</v>
      </c>
      <c r="C1204" t="s">
        <v>16</v>
      </c>
      <c r="D1204">
        <v>1</v>
      </c>
      <c r="E1204">
        <v>1</v>
      </c>
      <c r="F1204">
        <v>12.38</v>
      </c>
      <c r="G1204">
        <v>0</v>
      </c>
      <c r="H1204">
        <v>0</v>
      </c>
      <c r="I1204" s="3">
        <f>E1204+G1204+H1204</f>
        <v>1</v>
      </c>
      <c r="J1204" s="3">
        <f>ROUND(MIN(IF(C1204="Técnico III",35,IF(C1204="Técnico II",28,IF(C1204="Técnico I",23,IF(C1204="JR",20,IF(C1204="Estágio",10,0))))),IF(C1204="Técnico III",SUMIFS($D:$D,$A:$A,$A1204,$B:$B,"&lt;&gt;Patrícia Karla de Sousa Araújo",$B:$B,"&lt;&gt;Lorena Dias de Araujo",$B:$B,"&lt;&gt;Lucas Luiz Romero")*(35/1083),IF(C1204="Técnico II",SUMIFS($D:$D,$A:$A,$A1204,$B:$B,"&lt;&gt;Patrícia Karla de Sousa Araújo",$B:$B,"&lt;&gt;Lorena Dias de Araujo",$B:$B,"&lt;&gt;Lucas Luiz Romero")*(28/1083),IF(C1204="Técnico I",SUMIFS($D:$D,$A:$A,$A1204,$B:$B,"&lt;&gt;Patrícia Karla de Sousa Araújo",$B:$B,"&lt;&gt;Lorena Dias de Araujo",$B:$B,"&lt;&gt;Lucas Luiz Romero")*(23/1083),IF(C1204="JR",SUMIFS($D:$D,$A:$A,$A1204,$B:$B,"&lt;&gt;Patrícia Karla de Sousa Araújo",$B:$B,"&lt;&gt;Lorena Dias de Araujo",$B:$B,"&lt;&gt;Lucas Luiz Romero")*(20/1083),IF(C1204="Estágio",SUMIFS($D:$D,$A:$A,$A1204,$B:$B,"&lt;&gt;Patrícia Karla de Sousa Araújo",$B:$B,"&lt;&gt;Lorena Dias de Araujo",$B:$B,"&lt;&gt;Lucas Luiz Romero")*(10/1083),0)))))),0)</f>
        <v>6</v>
      </c>
      <c r="K1204" s="3">
        <f>I1204-J1204</f>
        <v>-5</v>
      </c>
      <c r="L1204" s="3" t="str">
        <f>IF(K1204&lt;-5,"CRÍTICO",IF(K1204&lt;0,"ATENÇÃO",IF(K1204&lt;=5,"BOM","EXCELENTE")))</f>
        <v>ATENÇÃO</v>
      </c>
      <c r="M1204">
        <v>0</v>
      </c>
      <c r="N1204">
        <v>100</v>
      </c>
      <c r="O1204">
        <v>12</v>
      </c>
    </row>
    <row r="1205" spans="1:15" hidden="1" x14ac:dyDescent="0.25">
      <c r="A1205" s="11">
        <v>46037</v>
      </c>
      <c r="B1205" t="s">
        <v>28</v>
      </c>
      <c r="C1205" t="s">
        <v>26</v>
      </c>
      <c r="D1205">
        <v>0</v>
      </c>
      <c r="E1205">
        <v>0</v>
      </c>
      <c r="F1205">
        <v>0</v>
      </c>
      <c r="G1205">
        <v>0</v>
      </c>
      <c r="H1205">
        <v>0</v>
      </c>
      <c r="I1205" s="3">
        <v>0</v>
      </c>
      <c r="J1205" s="3">
        <v>0</v>
      </c>
      <c r="K1205" s="3">
        <v>0</v>
      </c>
      <c r="L1205" s="3" t="str">
        <f>IF(K1205&lt;-5,"CRÍTICO",IF(K1205&lt;0,"ATENÇÃO",IF(K1205&lt;=5,"BOM","EXCELENTE")))</f>
        <v>BOM</v>
      </c>
      <c r="M1205">
        <v>0</v>
      </c>
      <c r="N1205">
        <v>0</v>
      </c>
      <c r="O1205">
        <v>0</v>
      </c>
    </row>
    <row r="1206" spans="1:15" hidden="1" x14ac:dyDescent="0.25">
      <c r="A1206" s="11">
        <v>46037</v>
      </c>
      <c r="B1206" t="s">
        <v>58</v>
      </c>
      <c r="C1206" t="s">
        <v>48</v>
      </c>
      <c r="D1206">
        <v>0</v>
      </c>
      <c r="E1206">
        <v>0</v>
      </c>
      <c r="F1206">
        <v>0</v>
      </c>
      <c r="G1206">
        <v>0</v>
      </c>
      <c r="H1206">
        <v>0</v>
      </c>
      <c r="I1206" s="3">
        <v>0</v>
      </c>
      <c r="J1206" s="3">
        <v>0</v>
      </c>
      <c r="K1206" s="3">
        <v>0</v>
      </c>
      <c r="L1206" s="3" t="str">
        <f>IF(K1206&lt;-5,"CRÍTICO",IF(K1206&lt;0,"ATENÇÃO",IF(K1206&lt;=5,"BOM","EXCELENTE")))</f>
        <v>BOM</v>
      </c>
      <c r="M1206">
        <v>0</v>
      </c>
      <c r="N1206">
        <v>97.56</v>
      </c>
      <c r="O1206">
        <v>31.067961165048541</v>
      </c>
    </row>
    <row r="1207" spans="1:15" hidden="1" x14ac:dyDescent="0.25">
      <c r="A1207" s="11">
        <v>46037</v>
      </c>
      <c r="B1207" t="s">
        <v>29</v>
      </c>
      <c r="C1207" t="s">
        <v>26</v>
      </c>
      <c r="D1207">
        <v>0</v>
      </c>
      <c r="E1207">
        <v>0</v>
      </c>
      <c r="F1207">
        <v>0</v>
      </c>
      <c r="G1207">
        <v>0</v>
      </c>
      <c r="H1207">
        <v>0</v>
      </c>
      <c r="I1207" s="3">
        <v>0</v>
      </c>
      <c r="J1207" s="3">
        <v>0</v>
      </c>
      <c r="K1207" s="3">
        <v>0</v>
      </c>
      <c r="L1207" s="3" t="str">
        <f>IF(K1207&lt;-5,"CRÍTICO",IF(K1207&lt;0,"ATENÇÃO",IF(K1207&lt;=5,"BOM","EXCELENTE")))</f>
        <v>BOM</v>
      </c>
      <c r="M1207">
        <v>0</v>
      </c>
      <c r="N1207">
        <v>0</v>
      </c>
      <c r="O1207">
        <v>0</v>
      </c>
    </row>
    <row r="1208" spans="1:15" hidden="1" x14ac:dyDescent="0.25">
      <c r="A1208" s="11">
        <v>46037</v>
      </c>
      <c r="B1208" t="s">
        <v>30</v>
      </c>
      <c r="C1208" t="s">
        <v>26</v>
      </c>
      <c r="D1208">
        <v>0</v>
      </c>
      <c r="E1208">
        <v>0</v>
      </c>
      <c r="F1208">
        <v>0</v>
      </c>
      <c r="G1208">
        <v>0</v>
      </c>
      <c r="H1208">
        <v>0</v>
      </c>
      <c r="I1208" s="3">
        <v>0</v>
      </c>
      <c r="J1208" s="3">
        <v>0</v>
      </c>
      <c r="K1208" s="3">
        <v>0</v>
      </c>
      <c r="L1208" s="3" t="str">
        <f>IF(K1208&lt;-5,"CRÍTICO",IF(K1208&lt;0,"ATENÇÃO",IF(K1208&lt;=5,"BOM","EXCELENTE")))</f>
        <v>BOM</v>
      </c>
      <c r="M1208">
        <v>0</v>
      </c>
      <c r="N1208">
        <v>0</v>
      </c>
      <c r="O1208">
        <v>0</v>
      </c>
    </row>
    <row r="1209" spans="1:15" hidden="1" x14ac:dyDescent="0.25">
      <c r="A1209" s="11">
        <v>46037</v>
      </c>
      <c r="B1209" t="s">
        <v>21</v>
      </c>
      <c r="C1209" t="s">
        <v>16</v>
      </c>
      <c r="D1209">
        <v>0</v>
      </c>
      <c r="E1209">
        <v>0</v>
      </c>
      <c r="F1209">
        <v>0</v>
      </c>
      <c r="G1209">
        <v>0</v>
      </c>
      <c r="H1209">
        <v>0</v>
      </c>
      <c r="I1209" s="3">
        <v>0</v>
      </c>
      <c r="J1209" s="3">
        <v>0</v>
      </c>
      <c r="K1209" s="3">
        <v>0</v>
      </c>
      <c r="L1209" s="3" t="str">
        <f>IF(K1209&lt;-5,"CRÍTICO",IF(K1209&lt;0,"ATENÇÃO",IF(K1209&lt;=5,"BOM","EXCELENTE")))</f>
        <v>BOM</v>
      </c>
      <c r="M1209">
        <v>0</v>
      </c>
      <c r="N1209">
        <v>0</v>
      </c>
      <c r="O1209">
        <v>0</v>
      </c>
    </row>
    <row r="1210" spans="1:15" hidden="1" x14ac:dyDescent="0.25">
      <c r="A1210" s="11">
        <v>46037</v>
      </c>
      <c r="B1210" t="s">
        <v>63</v>
      </c>
      <c r="C1210" t="s">
        <v>23</v>
      </c>
      <c r="D1210">
        <v>0</v>
      </c>
      <c r="E1210">
        <v>0</v>
      </c>
      <c r="F1210">
        <v>0</v>
      </c>
      <c r="G1210">
        <v>0</v>
      </c>
      <c r="H1210">
        <v>0</v>
      </c>
      <c r="I1210" s="3">
        <v>0</v>
      </c>
      <c r="J1210" s="3">
        <v>0</v>
      </c>
      <c r="K1210" s="3">
        <v>0</v>
      </c>
      <c r="L1210" s="3" t="str">
        <f>IF(K1210&lt;-5,"CRÍTICO",IF(K1210&lt;0,"ATENÇÃO",IF(K1210&lt;=5,"BOM","EXCELENTE")))</f>
        <v>BOM</v>
      </c>
      <c r="M1210">
        <v>0</v>
      </c>
      <c r="N1210">
        <v>100</v>
      </c>
      <c r="O1210">
        <v>53.846153846153847</v>
      </c>
    </row>
    <row r="1211" spans="1:15" hidden="1" x14ac:dyDescent="0.25">
      <c r="A1211" s="11">
        <v>46037</v>
      </c>
      <c r="B1211" t="s">
        <v>45</v>
      </c>
      <c r="C1211" t="s">
        <v>32</v>
      </c>
      <c r="D1211">
        <v>0</v>
      </c>
      <c r="E1211">
        <v>0</v>
      </c>
      <c r="F1211">
        <v>0</v>
      </c>
      <c r="G1211">
        <v>0</v>
      </c>
      <c r="H1211">
        <v>0</v>
      </c>
      <c r="I1211" s="3">
        <v>0</v>
      </c>
      <c r="J1211" s="3">
        <v>0</v>
      </c>
      <c r="K1211" s="3">
        <v>0</v>
      </c>
      <c r="L1211" s="3" t="str">
        <f>IF(K1211&lt;-5,"CRÍTICO",IF(K1211&lt;0,"ATENÇÃO",IF(K1211&lt;=5,"BOM","EXCELENTE")))</f>
        <v>BOM</v>
      </c>
      <c r="M1211">
        <v>0</v>
      </c>
      <c r="N1211">
        <v>100</v>
      </c>
      <c r="O1211">
        <v>44.05594405594406</v>
      </c>
    </row>
    <row r="1212" spans="1:15" hidden="1" x14ac:dyDescent="0.25">
      <c r="A1212" s="11">
        <v>46037</v>
      </c>
      <c r="B1212" t="s">
        <v>64</v>
      </c>
      <c r="C1212" t="s">
        <v>23</v>
      </c>
      <c r="D1212">
        <v>15</v>
      </c>
      <c r="E1212">
        <v>14</v>
      </c>
      <c r="F1212">
        <v>28.44</v>
      </c>
      <c r="G1212">
        <v>0</v>
      </c>
      <c r="H1212">
        <v>0</v>
      </c>
      <c r="I1212" s="3">
        <f>E1212+G1212+H1212</f>
        <v>14</v>
      </c>
      <c r="J1212" s="3">
        <f>ROUND(MIN(IF(C1212="Técnico III",35,IF(C1212="Técnico II",28,IF(C1212="Técnico I",23,IF(C1212="JR",20,IF(C1212="Estágio",10,0))))),IF(C1212="Técnico III",SUMIFS($D:$D,$A:$A,$A1212,$B:$B,"&lt;&gt;Patrícia Karla de Sousa Araújo",$B:$B,"&lt;&gt;Lorena Dias de Araujo",$B:$B,"&lt;&gt;Lucas Luiz Romero")*(35/1083),IF(C1212="Técnico II",SUMIFS($D:$D,$A:$A,$A1212,$B:$B,"&lt;&gt;Patrícia Karla de Sousa Araújo",$B:$B,"&lt;&gt;Lorena Dias de Araujo",$B:$B,"&lt;&gt;Lucas Luiz Romero")*(28/1083),IF(C1212="Técnico I",SUMIFS($D:$D,$A:$A,$A1212,$B:$B,"&lt;&gt;Patrícia Karla de Sousa Araújo",$B:$B,"&lt;&gt;Lorena Dias de Araujo",$B:$B,"&lt;&gt;Lucas Luiz Romero")*(23/1083),IF(C1212="JR",SUMIFS($D:$D,$A:$A,$A1212,$B:$B,"&lt;&gt;Patrícia Karla de Sousa Araújo",$B:$B,"&lt;&gt;Lorena Dias de Araujo",$B:$B,"&lt;&gt;Lucas Luiz Romero")*(20/1083),IF(C1212="Estágio",SUMIFS($D:$D,$A:$A,$A1212,$B:$B,"&lt;&gt;Patrícia Karla de Sousa Araújo",$B:$B,"&lt;&gt;Lorena Dias de Araujo",$B:$B,"&lt;&gt;Lucas Luiz Romero")*(10/1083),0)))))),0)</f>
        <v>15</v>
      </c>
      <c r="K1212" s="3">
        <f>I1212-J1212</f>
        <v>-1</v>
      </c>
      <c r="L1212" s="3" t="str">
        <f>IF(K1212&lt;-5,"CRÍTICO",IF(K1212&lt;0,"ATENÇÃO",IF(K1212&lt;=5,"BOM","EXCELENTE")))</f>
        <v>ATENÇÃO</v>
      </c>
      <c r="M1212">
        <v>15</v>
      </c>
      <c r="N1212">
        <v>100</v>
      </c>
      <c r="O1212">
        <v>31.872509960159359</v>
      </c>
    </row>
    <row r="1213" spans="1:15" hidden="1" x14ac:dyDescent="0.25">
      <c r="A1213" s="11">
        <v>46037</v>
      </c>
      <c r="B1213" t="s">
        <v>46</v>
      </c>
      <c r="C1213" t="s">
        <v>32</v>
      </c>
      <c r="D1213">
        <v>37</v>
      </c>
      <c r="E1213">
        <v>35</v>
      </c>
      <c r="F1213">
        <v>14.08</v>
      </c>
      <c r="G1213">
        <v>0</v>
      </c>
      <c r="H1213">
        <v>0</v>
      </c>
      <c r="I1213" s="3">
        <f>E1213+G1213+H1213</f>
        <v>35</v>
      </c>
      <c r="J1213" s="3">
        <f>ROUND(MIN(IF(C1213="Técnico III",35,IF(C1213="Técnico II",28,IF(C1213="Técnico I",23,IF(C1213="JR",20,IF(C1213="Estágio",10,0))))),IF(C1213="Técnico III",SUMIFS($D:$D,$A:$A,$A1213,$B:$B,"&lt;&gt;Patrícia Karla de Sousa Araújo",$B:$B,"&lt;&gt;Lorena Dias de Araujo",$B:$B,"&lt;&gt;Lucas Luiz Romero")*(35/1083),IF(C1213="Técnico II",SUMIFS($D:$D,$A:$A,$A1213,$B:$B,"&lt;&gt;Patrícia Karla de Sousa Araújo",$B:$B,"&lt;&gt;Lorena Dias de Araujo",$B:$B,"&lt;&gt;Lucas Luiz Romero")*(28/1083),IF(C1213="Técnico I",SUMIFS($D:$D,$A:$A,$A1213,$B:$B,"&lt;&gt;Patrícia Karla de Sousa Araújo",$B:$B,"&lt;&gt;Lorena Dias de Araujo",$B:$B,"&lt;&gt;Lucas Luiz Romero")*(23/1083),IF(C1213="JR",SUMIFS($D:$D,$A:$A,$A1213,$B:$B,"&lt;&gt;Patrícia Karla de Sousa Araújo",$B:$B,"&lt;&gt;Lorena Dias de Araujo",$B:$B,"&lt;&gt;Lucas Luiz Romero")*(20/1083),IF(C1213="Estágio",SUMIFS($D:$D,$A:$A,$A1213,$B:$B,"&lt;&gt;Patrícia Karla de Sousa Araújo",$B:$B,"&lt;&gt;Lorena Dias de Araujo",$B:$B,"&lt;&gt;Lucas Luiz Romero")*(10/1083),0)))))),0)</f>
        <v>22</v>
      </c>
      <c r="K1213" s="3">
        <f>I1213-J1213</f>
        <v>13</v>
      </c>
      <c r="L1213" s="3" t="str">
        <f>IF(K1213&lt;-5,"CRÍTICO",IF(K1213&lt;0,"ATENÇÃO",IF(K1213&lt;=5,"BOM","EXCELENTE")))</f>
        <v>EXCELENTE</v>
      </c>
      <c r="M1213">
        <v>31</v>
      </c>
      <c r="N1213">
        <v>98.41</v>
      </c>
      <c r="O1213">
        <v>29.22465208747515</v>
      </c>
    </row>
    <row r="1214" spans="1:15" hidden="1" x14ac:dyDescent="0.25">
      <c r="A1214" s="11">
        <v>46038</v>
      </c>
      <c r="B1214" t="s">
        <v>47</v>
      </c>
      <c r="C1214" t="s">
        <v>48</v>
      </c>
      <c r="D1214">
        <v>26</v>
      </c>
      <c r="E1214">
        <v>26</v>
      </c>
      <c r="F1214">
        <v>15.33</v>
      </c>
      <c r="G1214">
        <v>0</v>
      </c>
      <c r="H1214">
        <v>0</v>
      </c>
      <c r="I1214" s="3">
        <f>E1214+G1214+H1214</f>
        <v>26</v>
      </c>
      <c r="J1214" s="3">
        <f>ROUND(MIN(IF(C1214="Técnico III",35,IF(C1214="Técnico II",28,IF(C1214="Técnico I",23,IF(C1214="JR",20,IF(C1214="Estágio",10,0))))),IF(C1214="Técnico III",SUMIFS($D:$D,$A:$A,$A1214,$B:$B,"&lt;&gt;Patrícia Karla de Sousa Araújo",$B:$B,"&lt;&gt;Lorena Dias de Araujo",$B:$B,"&lt;&gt;Lucas Luiz Romero")*(35/1083),IF(C1214="Técnico II",SUMIFS($D:$D,$A:$A,$A1214,$B:$B,"&lt;&gt;Patrícia Karla de Sousa Araújo",$B:$B,"&lt;&gt;Lorena Dias de Araujo",$B:$B,"&lt;&gt;Lucas Luiz Romero")*(28/1083),IF(C1214="Técnico I",SUMIFS($D:$D,$A:$A,$A1214,$B:$B,"&lt;&gt;Patrícia Karla de Sousa Araújo",$B:$B,"&lt;&gt;Lorena Dias de Araujo",$B:$B,"&lt;&gt;Lucas Luiz Romero")*(23/1083),IF(C1214="JR",SUMIFS($D:$D,$A:$A,$A1214,$B:$B,"&lt;&gt;Patrícia Karla de Sousa Araújo",$B:$B,"&lt;&gt;Lorena Dias de Araujo",$B:$B,"&lt;&gt;Lucas Luiz Romero")*(20/1083),IF(C1214="Estágio",SUMIFS($D:$D,$A:$A,$A1214,$B:$B,"&lt;&gt;Patrícia Karla de Sousa Araújo",$B:$B,"&lt;&gt;Lorena Dias de Araujo",$B:$B,"&lt;&gt;Lucas Luiz Romero")*(10/1083),0)))))),0)</f>
        <v>17</v>
      </c>
      <c r="K1214" s="3">
        <f>I1214-J1214</f>
        <v>9</v>
      </c>
      <c r="L1214" s="3" t="str">
        <f>IF(K1214&lt;-5,"CRÍTICO",IF(K1214&lt;0,"ATENÇÃO",IF(K1214&lt;=5,"BOM","EXCELENTE")))</f>
        <v>EXCELENTE</v>
      </c>
      <c r="M1214">
        <v>22</v>
      </c>
      <c r="N1214">
        <v>96.81</v>
      </c>
      <c r="O1214">
        <v>27.980535279805348</v>
      </c>
    </row>
    <row r="1215" spans="1:15" hidden="1" x14ac:dyDescent="0.25">
      <c r="A1215" s="11">
        <v>46038</v>
      </c>
      <c r="B1215" t="s">
        <v>31</v>
      </c>
      <c r="C1215" t="s">
        <v>32</v>
      </c>
      <c r="D1215">
        <v>0</v>
      </c>
      <c r="E1215">
        <v>0</v>
      </c>
      <c r="F1215">
        <v>0</v>
      </c>
      <c r="G1215">
        <v>0</v>
      </c>
      <c r="H1215">
        <v>0</v>
      </c>
      <c r="I1215" s="3">
        <v>0</v>
      </c>
      <c r="J1215" s="3">
        <v>0</v>
      </c>
      <c r="K1215" s="3">
        <v>0</v>
      </c>
      <c r="L1215" s="3" t="str">
        <f>IF(K1215&lt;-5,"CRÍTICO",IF(K1215&lt;0,"ATENÇÃO",IF(K1215&lt;=5,"BOM","EXCELENTE")))</f>
        <v>BOM</v>
      </c>
      <c r="M1215">
        <v>17</v>
      </c>
      <c r="N1215">
        <v>98.73</v>
      </c>
      <c r="O1215">
        <v>35.756385068762278</v>
      </c>
    </row>
    <row r="1216" spans="1:15" hidden="1" x14ac:dyDescent="0.25">
      <c r="A1216" s="11">
        <v>46038</v>
      </c>
      <c r="B1216" t="s">
        <v>59</v>
      </c>
      <c r="C1216" t="s">
        <v>23</v>
      </c>
      <c r="D1216">
        <v>26</v>
      </c>
      <c r="E1216">
        <v>25</v>
      </c>
      <c r="F1216">
        <v>20.239999999999998</v>
      </c>
      <c r="G1216">
        <v>0</v>
      </c>
      <c r="H1216">
        <v>0</v>
      </c>
      <c r="I1216" s="3">
        <f>E1216+G1216+H1216</f>
        <v>25</v>
      </c>
      <c r="J1216" s="3">
        <f>ROUND(MIN(IF(C1216="Técnico III",35,IF(C1216="Técnico II",28,IF(C1216="Técnico I",23,IF(C1216="JR",20,IF(C1216="Estágio",10,0))))),IF(C1216="Técnico III",SUMIFS($D:$D,$A:$A,$A1216,$B:$B,"&lt;&gt;Patrícia Karla de Sousa Araújo",$B:$B,"&lt;&gt;Lorena Dias de Araujo",$B:$B,"&lt;&gt;Lucas Luiz Romero")*(35/1083),IF(C1216="Técnico II",SUMIFS($D:$D,$A:$A,$A1216,$B:$B,"&lt;&gt;Patrícia Karla de Sousa Araújo",$B:$B,"&lt;&gt;Lorena Dias de Araujo",$B:$B,"&lt;&gt;Lucas Luiz Romero")*(28/1083),IF(C1216="Técnico I",SUMIFS($D:$D,$A:$A,$A1216,$B:$B,"&lt;&gt;Patrícia Karla de Sousa Araújo",$B:$B,"&lt;&gt;Lorena Dias de Araujo",$B:$B,"&lt;&gt;Lucas Luiz Romero")*(23/1083),IF(C1216="JR",SUMIFS($D:$D,$A:$A,$A1216,$B:$B,"&lt;&gt;Patrícia Karla de Sousa Araújo",$B:$B,"&lt;&gt;Lorena Dias de Araujo",$B:$B,"&lt;&gt;Lucas Luiz Romero")*(20/1083),IF(C1216="Estágio",SUMIFS($D:$D,$A:$A,$A1216,$B:$B,"&lt;&gt;Patrícia Karla de Sousa Araújo",$B:$B,"&lt;&gt;Lorena Dias de Araujo",$B:$B,"&lt;&gt;Lucas Luiz Romero")*(10/1083),0)))))),0)</f>
        <v>14</v>
      </c>
      <c r="K1216" s="3">
        <f>I1216-J1216</f>
        <v>11</v>
      </c>
      <c r="L1216" s="3" t="str">
        <f>IF(K1216&lt;-5,"CRÍTICO",IF(K1216&lt;0,"ATENÇÃO",IF(K1216&lt;=5,"BOM","EXCELENTE")))</f>
        <v>EXCELENTE</v>
      </c>
      <c r="M1216">
        <v>22</v>
      </c>
      <c r="N1216">
        <v>98.32</v>
      </c>
      <c r="O1216">
        <v>26.763485477178421</v>
      </c>
    </row>
    <row r="1217" spans="1:15" hidden="1" x14ac:dyDescent="0.25">
      <c r="A1217" s="11">
        <v>46038</v>
      </c>
      <c r="B1217" t="s">
        <v>33</v>
      </c>
      <c r="C1217" t="s">
        <v>32</v>
      </c>
      <c r="D1217">
        <v>35</v>
      </c>
      <c r="E1217">
        <v>32</v>
      </c>
      <c r="F1217">
        <v>11.43</v>
      </c>
      <c r="G1217">
        <v>0</v>
      </c>
      <c r="H1217">
        <v>0</v>
      </c>
      <c r="I1217" s="3">
        <f>E1217+G1217+H1217</f>
        <v>32</v>
      </c>
      <c r="J1217" s="3">
        <f>ROUND(MIN(IF(C1217="Técnico III",35,IF(C1217="Técnico II",28,IF(C1217="Técnico I",23,IF(C1217="JR",20,IF(C1217="Estágio",10,0))))),IF(C1217="Técnico III",SUMIFS($D:$D,$A:$A,$A1217,$B:$B,"&lt;&gt;Patrícia Karla de Sousa Araújo",$B:$B,"&lt;&gt;Lorena Dias de Araujo",$B:$B,"&lt;&gt;Lucas Luiz Romero")*(35/1083),IF(C1217="Técnico II",SUMIFS($D:$D,$A:$A,$A1217,$B:$B,"&lt;&gt;Patrícia Karla de Sousa Araújo",$B:$B,"&lt;&gt;Lorena Dias de Araujo",$B:$B,"&lt;&gt;Lucas Luiz Romero")*(28/1083),IF(C1217="Técnico I",SUMIFS($D:$D,$A:$A,$A1217,$B:$B,"&lt;&gt;Patrícia Karla de Sousa Araújo",$B:$B,"&lt;&gt;Lorena Dias de Araujo",$B:$B,"&lt;&gt;Lucas Luiz Romero")*(23/1083),IF(C1217="JR",SUMIFS($D:$D,$A:$A,$A1217,$B:$B,"&lt;&gt;Patrícia Karla de Sousa Araújo",$B:$B,"&lt;&gt;Lorena Dias de Araujo",$B:$B,"&lt;&gt;Lucas Luiz Romero")*(20/1083),IF(C1217="Estágio",SUMIFS($D:$D,$A:$A,$A1217,$B:$B,"&lt;&gt;Patrícia Karla de Sousa Araújo",$B:$B,"&lt;&gt;Lorena Dias de Araujo",$B:$B,"&lt;&gt;Lucas Luiz Romero")*(10/1083),0)))))),0)</f>
        <v>22</v>
      </c>
      <c r="K1217" s="3">
        <f>I1217-J1217</f>
        <v>10</v>
      </c>
      <c r="L1217" s="3" t="str">
        <f>IF(K1217&lt;-5,"CRÍTICO",IF(K1217&lt;0,"ATENÇÃO",IF(K1217&lt;=5,"BOM","EXCELENTE")))</f>
        <v>EXCELENTE</v>
      </c>
      <c r="M1217">
        <v>28</v>
      </c>
      <c r="N1217">
        <v>99.19</v>
      </c>
      <c r="O1217">
        <v>27.637130801687761</v>
      </c>
    </row>
    <row r="1218" spans="1:15" hidden="1" x14ac:dyDescent="0.25">
      <c r="A1218" s="11">
        <v>46038</v>
      </c>
      <c r="B1218" t="s">
        <v>15</v>
      </c>
      <c r="C1218" t="s">
        <v>16</v>
      </c>
      <c r="D1218">
        <v>1</v>
      </c>
      <c r="E1218">
        <v>1</v>
      </c>
      <c r="F1218">
        <v>432.1</v>
      </c>
      <c r="G1218">
        <v>0</v>
      </c>
      <c r="H1218">
        <v>0</v>
      </c>
      <c r="I1218" s="3">
        <f>E1218+G1218+H1218</f>
        <v>1</v>
      </c>
      <c r="J1218" s="3">
        <f>ROUND(MIN(IF(C1218="Técnico III",35,IF(C1218="Técnico II",28,IF(C1218="Técnico I",23,IF(C1218="JR",20,IF(C1218="Estágio",10,0))))),IF(C1218="Técnico III",SUMIFS($D:$D,$A:$A,$A1218,$B:$B,"&lt;&gt;Patrícia Karla de Sousa Araújo",$B:$B,"&lt;&gt;Lorena Dias de Araujo",$B:$B,"&lt;&gt;Lucas Luiz Romero")*(35/1083),IF(C1218="Técnico II",SUMIFS($D:$D,$A:$A,$A1218,$B:$B,"&lt;&gt;Patrícia Karla de Sousa Araújo",$B:$B,"&lt;&gt;Lorena Dias de Araujo",$B:$B,"&lt;&gt;Lucas Luiz Romero")*(28/1083),IF(C1218="Técnico I",SUMIFS($D:$D,$A:$A,$A1218,$B:$B,"&lt;&gt;Patrícia Karla de Sousa Araújo",$B:$B,"&lt;&gt;Lorena Dias de Araujo",$B:$B,"&lt;&gt;Lucas Luiz Romero")*(23/1083),IF(C1218="JR",SUMIFS($D:$D,$A:$A,$A1218,$B:$B,"&lt;&gt;Patrícia Karla de Sousa Araújo",$B:$B,"&lt;&gt;Lorena Dias de Araujo",$B:$B,"&lt;&gt;Lucas Luiz Romero")*(20/1083),IF(C1218="Estágio",SUMIFS($D:$D,$A:$A,$A1218,$B:$B,"&lt;&gt;Patrícia Karla de Sousa Araújo",$B:$B,"&lt;&gt;Lorena Dias de Araujo",$B:$B,"&lt;&gt;Lucas Luiz Romero")*(10/1083),0)))))),0)</f>
        <v>6</v>
      </c>
      <c r="K1218" s="3">
        <f>I1218-J1218</f>
        <v>-5</v>
      </c>
      <c r="L1218" s="3" t="str">
        <f>IF(K1218&lt;-5,"CRÍTICO",IF(K1218&lt;0,"ATENÇÃO",IF(K1218&lt;=5,"BOM","EXCELENTE")))</f>
        <v>ATENÇÃO</v>
      </c>
      <c r="M1218">
        <v>1</v>
      </c>
      <c r="N1218">
        <v>100</v>
      </c>
      <c r="O1218">
        <v>39.568345323741013</v>
      </c>
    </row>
    <row r="1219" spans="1:15" hidden="1" x14ac:dyDescent="0.25">
      <c r="A1219" s="11">
        <v>46038</v>
      </c>
      <c r="B1219" t="s">
        <v>49</v>
      </c>
      <c r="C1219" t="s">
        <v>48</v>
      </c>
      <c r="D1219">
        <v>30</v>
      </c>
      <c r="E1219">
        <v>27</v>
      </c>
      <c r="F1219">
        <v>17.059999999999999</v>
      </c>
      <c r="G1219">
        <v>0</v>
      </c>
      <c r="H1219">
        <v>0</v>
      </c>
      <c r="I1219" s="3">
        <f>E1219+G1219+H1219</f>
        <v>27</v>
      </c>
      <c r="J1219" s="3">
        <f>ROUND(MIN(IF(C1219="Técnico III",35,IF(C1219="Técnico II",28,IF(C1219="Técnico I",23,IF(C1219="JR",20,IF(C1219="Estágio",10,0))))),IF(C1219="Técnico III",SUMIFS($D:$D,$A:$A,$A1219,$B:$B,"&lt;&gt;Patrícia Karla de Sousa Araújo",$B:$B,"&lt;&gt;Lorena Dias de Araujo",$B:$B,"&lt;&gt;Lucas Luiz Romero")*(35/1083),IF(C1219="Técnico II",SUMIFS($D:$D,$A:$A,$A1219,$B:$B,"&lt;&gt;Patrícia Karla de Sousa Araújo",$B:$B,"&lt;&gt;Lorena Dias de Araujo",$B:$B,"&lt;&gt;Lucas Luiz Romero")*(28/1083),IF(C1219="Técnico I",SUMIFS($D:$D,$A:$A,$A1219,$B:$B,"&lt;&gt;Patrícia Karla de Sousa Araújo",$B:$B,"&lt;&gt;Lorena Dias de Araujo",$B:$B,"&lt;&gt;Lucas Luiz Romero")*(23/1083),IF(C1219="JR",SUMIFS($D:$D,$A:$A,$A1219,$B:$B,"&lt;&gt;Patrícia Karla de Sousa Araújo",$B:$B,"&lt;&gt;Lorena Dias de Araujo",$B:$B,"&lt;&gt;Lucas Luiz Romero")*(20/1083),IF(C1219="Estágio",SUMIFS($D:$D,$A:$A,$A1219,$B:$B,"&lt;&gt;Patrícia Karla de Sousa Araújo",$B:$B,"&lt;&gt;Lorena Dias de Araujo",$B:$B,"&lt;&gt;Lucas Luiz Romero")*(10/1083),0)))))),0)</f>
        <v>17</v>
      </c>
      <c r="K1219" s="3">
        <f>I1219-J1219</f>
        <v>10</v>
      </c>
      <c r="L1219" s="3" t="str">
        <f>IF(K1219&lt;-5,"CRÍTICO",IF(K1219&lt;0,"ATENÇÃO",IF(K1219&lt;=5,"BOM","EXCELENTE")))</f>
        <v>EXCELENTE</v>
      </c>
      <c r="M1219">
        <v>24</v>
      </c>
      <c r="N1219">
        <v>98.54</v>
      </c>
      <c r="O1219">
        <v>28.544776119402989</v>
      </c>
    </row>
    <row r="1220" spans="1:15" hidden="1" x14ac:dyDescent="0.25">
      <c r="A1220" s="11">
        <v>46038</v>
      </c>
      <c r="B1220" t="s">
        <v>50</v>
      </c>
      <c r="C1220" t="s">
        <v>48</v>
      </c>
      <c r="D1220">
        <v>13</v>
      </c>
      <c r="E1220">
        <v>13</v>
      </c>
      <c r="F1220">
        <v>47.07</v>
      </c>
      <c r="G1220">
        <v>0</v>
      </c>
      <c r="H1220">
        <v>0</v>
      </c>
      <c r="I1220" s="3">
        <f>E1220+G1220+H1220</f>
        <v>13</v>
      </c>
      <c r="J1220" s="3">
        <f>ROUND(MIN(IF(C1220="Técnico III",35,IF(C1220="Técnico II",28,IF(C1220="Técnico I",23,IF(C1220="JR",20,IF(C1220="Estágio",10,0))))),IF(C1220="Técnico III",SUMIFS($D:$D,$A:$A,$A1220,$B:$B,"&lt;&gt;Patrícia Karla de Sousa Araújo",$B:$B,"&lt;&gt;Lorena Dias de Araujo",$B:$B,"&lt;&gt;Lucas Luiz Romero")*(35/1083),IF(C1220="Técnico II",SUMIFS($D:$D,$A:$A,$A1220,$B:$B,"&lt;&gt;Patrícia Karla de Sousa Araújo",$B:$B,"&lt;&gt;Lorena Dias de Araujo",$B:$B,"&lt;&gt;Lucas Luiz Romero")*(28/1083),IF(C1220="Técnico I",SUMIFS($D:$D,$A:$A,$A1220,$B:$B,"&lt;&gt;Patrícia Karla de Sousa Araújo",$B:$B,"&lt;&gt;Lorena Dias de Araujo",$B:$B,"&lt;&gt;Lucas Luiz Romero")*(23/1083),IF(C1220="JR",SUMIFS($D:$D,$A:$A,$A1220,$B:$B,"&lt;&gt;Patrícia Karla de Sousa Araújo",$B:$B,"&lt;&gt;Lorena Dias de Araujo",$B:$B,"&lt;&gt;Lucas Luiz Romero")*(20/1083),IF(C1220="Estágio",SUMIFS($D:$D,$A:$A,$A1220,$B:$B,"&lt;&gt;Patrícia Karla de Sousa Araújo",$B:$B,"&lt;&gt;Lorena Dias de Araujo",$B:$B,"&lt;&gt;Lucas Luiz Romero")*(10/1083),0)))))),0)</f>
        <v>17</v>
      </c>
      <c r="K1220" s="3">
        <f>I1220-J1220</f>
        <v>-4</v>
      </c>
      <c r="L1220" s="3" t="str">
        <f>IF(K1220&lt;-5,"CRÍTICO",IF(K1220&lt;0,"ATENÇÃO",IF(K1220&lt;=5,"BOM","EXCELENTE")))</f>
        <v>ATENÇÃO</v>
      </c>
      <c r="M1220">
        <v>13</v>
      </c>
      <c r="N1220">
        <v>100</v>
      </c>
      <c r="O1220">
        <v>34.366925064599492</v>
      </c>
    </row>
    <row r="1221" spans="1:15" hidden="1" x14ac:dyDescent="0.25">
      <c r="A1221" s="11">
        <v>46038</v>
      </c>
      <c r="B1221" t="s">
        <v>17</v>
      </c>
      <c r="C1221" t="s">
        <v>16</v>
      </c>
      <c r="D1221">
        <v>0</v>
      </c>
      <c r="E1221">
        <v>0</v>
      </c>
      <c r="F1221">
        <v>0</v>
      </c>
      <c r="G1221">
        <v>0</v>
      </c>
      <c r="H1221">
        <v>0</v>
      </c>
      <c r="I1221" s="3">
        <v>0</v>
      </c>
      <c r="J1221" s="3">
        <v>0</v>
      </c>
      <c r="K1221" s="3">
        <v>0</v>
      </c>
      <c r="L1221" s="3" t="str">
        <f>IF(K1221&lt;-5,"CRÍTICO",IF(K1221&lt;0,"ATENÇÃO",IF(K1221&lt;=5,"BOM","EXCELENTE")))</f>
        <v>BOM</v>
      </c>
      <c r="M1221">
        <v>0</v>
      </c>
      <c r="N1221">
        <v>0</v>
      </c>
      <c r="O1221">
        <v>0</v>
      </c>
    </row>
    <row r="1222" spans="1:15" hidden="1" x14ac:dyDescent="0.25">
      <c r="A1222" s="11">
        <v>46038</v>
      </c>
      <c r="B1222" t="s">
        <v>60</v>
      </c>
      <c r="C1222" t="s">
        <v>23</v>
      </c>
      <c r="D1222">
        <v>14</v>
      </c>
      <c r="E1222">
        <v>11</v>
      </c>
      <c r="F1222">
        <v>35.35</v>
      </c>
      <c r="G1222">
        <v>0</v>
      </c>
      <c r="H1222">
        <v>0</v>
      </c>
      <c r="I1222" s="3">
        <f>E1222+G1222+H1222</f>
        <v>11</v>
      </c>
      <c r="J1222" s="3">
        <f>ROUND(MIN(IF(C1222="Técnico III",35,IF(C1222="Técnico II",28,IF(C1222="Técnico I",23,IF(C1222="JR",20,IF(C1222="Estágio",10,0))))),IF(C1222="Técnico III",SUMIFS($D:$D,$A:$A,$A1222,$B:$B,"&lt;&gt;Patrícia Karla de Sousa Araújo",$B:$B,"&lt;&gt;Lorena Dias de Araujo",$B:$B,"&lt;&gt;Lucas Luiz Romero")*(35/1083),IF(C1222="Técnico II",SUMIFS($D:$D,$A:$A,$A1222,$B:$B,"&lt;&gt;Patrícia Karla de Sousa Araújo",$B:$B,"&lt;&gt;Lorena Dias de Araujo",$B:$B,"&lt;&gt;Lucas Luiz Romero")*(28/1083),IF(C1222="Técnico I",SUMIFS($D:$D,$A:$A,$A1222,$B:$B,"&lt;&gt;Patrícia Karla de Sousa Araújo",$B:$B,"&lt;&gt;Lorena Dias de Araujo",$B:$B,"&lt;&gt;Lucas Luiz Romero")*(23/1083),IF(C1222="JR",SUMIFS($D:$D,$A:$A,$A1222,$B:$B,"&lt;&gt;Patrícia Karla de Sousa Araújo",$B:$B,"&lt;&gt;Lorena Dias de Araujo",$B:$B,"&lt;&gt;Lucas Luiz Romero")*(20/1083),IF(C1222="Estágio",SUMIFS($D:$D,$A:$A,$A1222,$B:$B,"&lt;&gt;Patrícia Karla de Sousa Araújo",$B:$B,"&lt;&gt;Lorena Dias de Araujo",$B:$B,"&lt;&gt;Lucas Luiz Romero")*(10/1083),0)))))),0)</f>
        <v>14</v>
      </c>
      <c r="K1222" s="3">
        <f>I1222-J1222</f>
        <v>-3</v>
      </c>
      <c r="L1222" s="3" t="str">
        <f>IF(K1222&lt;-5,"CRÍTICO",IF(K1222&lt;0,"ATENÇÃO",IF(K1222&lt;=5,"BOM","EXCELENTE")))</f>
        <v>ATENÇÃO</v>
      </c>
      <c r="M1222">
        <v>13</v>
      </c>
      <c r="N1222">
        <v>100</v>
      </c>
      <c r="O1222">
        <v>29.518072289156631</v>
      </c>
    </row>
    <row r="1223" spans="1:15" hidden="1" x14ac:dyDescent="0.25">
      <c r="A1223" s="11">
        <v>46038</v>
      </c>
      <c r="B1223" t="s">
        <v>34</v>
      </c>
      <c r="C1223" t="s">
        <v>32</v>
      </c>
      <c r="D1223">
        <v>29</v>
      </c>
      <c r="E1223">
        <v>26</v>
      </c>
      <c r="F1223">
        <v>13.22</v>
      </c>
      <c r="G1223">
        <v>0</v>
      </c>
      <c r="H1223">
        <v>0</v>
      </c>
      <c r="I1223" s="3">
        <f>E1223+G1223+H1223</f>
        <v>26</v>
      </c>
      <c r="J1223" s="3">
        <f>ROUND(MIN(IF(C1223="Técnico III",35,IF(C1223="Técnico II",28,IF(C1223="Técnico I",23,IF(C1223="JR",20,IF(C1223="Estágio",10,0))))),IF(C1223="Técnico III",SUMIFS($D:$D,$A:$A,$A1223,$B:$B,"&lt;&gt;Patrícia Karla de Sousa Araújo",$B:$B,"&lt;&gt;Lorena Dias de Araujo",$B:$B,"&lt;&gt;Lucas Luiz Romero")*(35/1083),IF(C1223="Técnico II",SUMIFS($D:$D,$A:$A,$A1223,$B:$B,"&lt;&gt;Patrícia Karla de Sousa Araújo",$B:$B,"&lt;&gt;Lorena Dias de Araujo",$B:$B,"&lt;&gt;Lucas Luiz Romero")*(28/1083),IF(C1223="Técnico I",SUMIFS($D:$D,$A:$A,$A1223,$B:$B,"&lt;&gt;Patrícia Karla de Sousa Araújo",$B:$B,"&lt;&gt;Lorena Dias de Araujo",$B:$B,"&lt;&gt;Lucas Luiz Romero")*(23/1083),IF(C1223="JR",SUMIFS($D:$D,$A:$A,$A1223,$B:$B,"&lt;&gt;Patrícia Karla de Sousa Araújo",$B:$B,"&lt;&gt;Lorena Dias de Araujo",$B:$B,"&lt;&gt;Lucas Luiz Romero")*(20/1083),IF(C1223="Estágio",SUMIFS($D:$D,$A:$A,$A1223,$B:$B,"&lt;&gt;Patrícia Karla de Sousa Araújo",$B:$B,"&lt;&gt;Lorena Dias de Araujo",$B:$B,"&lt;&gt;Lucas Luiz Romero")*(10/1083),0)))))),0)</f>
        <v>22</v>
      </c>
      <c r="K1223" s="3">
        <f>I1223-J1223</f>
        <v>4</v>
      </c>
      <c r="L1223" s="3" t="str">
        <f>IF(K1223&lt;-5,"CRÍTICO",IF(K1223&lt;0,"ATENÇÃO",IF(K1223&lt;=5,"BOM","EXCELENTE")))</f>
        <v>BOM</v>
      </c>
      <c r="M1223">
        <v>25</v>
      </c>
      <c r="N1223">
        <v>97.45</v>
      </c>
      <c r="O1223">
        <v>41.421143847487002</v>
      </c>
    </row>
    <row r="1224" spans="1:15" hidden="1" x14ac:dyDescent="0.25">
      <c r="A1224" s="11">
        <v>46038</v>
      </c>
      <c r="B1224" t="s">
        <v>51</v>
      </c>
      <c r="C1224" t="s">
        <v>48</v>
      </c>
      <c r="D1224">
        <v>36</v>
      </c>
      <c r="E1224">
        <v>22</v>
      </c>
      <c r="F1224">
        <v>9.0399999999999991</v>
      </c>
      <c r="G1224">
        <v>0</v>
      </c>
      <c r="H1224">
        <v>0</v>
      </c>
      <c r="I1224" s="3">
        <v>0</v>
      </c>
      <c r="J1224" s="3">
        <v>0</v>
      </c>
      <c r="K1224" s="3">
        <v>0</v>
      </c>
      <c r="L1224" s="3" t="str">
        <f>IF(K1224&lt;-5,"CRÍTICO",IF(K1224&lt;0,"ATENÇÃO",IF(K1224&lt;=5,"BOM","EXCELENTE")))</f>
        <v>BOM</v>
      </c>
      <c r="M1224">
        <v>23</v>
      </c>
      <c r="N1224">
        <v>96.58</v>
      </c>
      <c r="O1224">
        <v>30.396475770925111</v>
      </c>
    </row>
    <row r="1225" spans="1:15" hidden="1" x14ac:dyDescent="0.25">
      <c r="A1225" s="11">
        <v>46038</v>
      </c>
      <c r="B1225" t="s">
        <v>61</v>
      </c>
      <c r="C1225" t="s">
        <v>23</v>
      </c>
      <c r="D1225">
        <v>9</v>
      </c>
      <c r="E1225">
        <v>9</v>
      </c>
      <c r="F1225">
        <v>38.24</v>
      </c>
      <c r="G1225">
        <v>0</v>
      </c>
      <c r="H1225">
        <v>0</v>
      </c>
      <c r="I1225" s="3">
        <f>E1225+G1225+H1225</f>
        <v>9</v>
      </c>
      <c r="J1225" s="3">
        <f>ROUND(MIN(IF(C1225="Técnico III",35,IF(C1225="Técnico II",28,IF(C1225="Técnico I",23,IF(C1225="JR",20,IF(C1225="Estágio",10,0))))),IF(C1225="Técnico III",SUMIFS($D:$D,$A:$A,$A1225,$B:$B,"&lt;&gt;Patrícia Karla de Sousa Araújo",$B:$B,"&lt;&gt;Lorena Dias de Araujo",$B:$B,"&lt;&gt;Lucas Luiz Romero")*(35/1083),IF(C1225="Técnico II",SUMIFS($D:$D,$A:$A,$A1225,$B:$B,"&lt;&gt;Patrícia Karla de Sousa Araújo",$B:$B,"&lt;&gt;Lorena Dias de Araujo",$B:$B,"&lt;&gt;Lucas Luiz Romero")*(28/1083),IF(C1225="Técnico I",SUMIFS($D:$D,$A:$A,$A1225,$B:$B,"&lt;&gt;Patrícia Karla de Sousa Araújo",$B:$B,"&lt;&gt;Lorena Dias de Araujo",$B:$B,"&lt;&gt;Lucas Luiz Romero")*(23/1083),IF(C1225="JR",SUMIFS($D:$D,$A:$A,$A1225,$B:$B,"&lt;&gt;Patrícia Karla de Sousa Araújo",$B:$B,"&lt;&gt;Lorena Dias de Araujo",$B:$B,"&lt;&gt;Lucas Luiz Romero")*(20/1083),IF(C1225="Estágio",SUMIFS($D:$D,$A:$A,$A1225,$B:$B,"&lt;&gt;Patrícia Karla de Sousa Araújo",$B:$B,"&lt;&gt;Lorena Dias de Araujo",$B:$B,"&lt;&gt;Lucas Luiz Romero")*(10/1083),0)))))),0)</f>
        <v>14</v>
      </c>
      <c r="K1225" s="3">
        <f>I1225-J1225</f>
        <v>-5</v>
      </c>
      <c r="L1225" s="3" t="str">
        <f>IF(K1225&lt;-5,"CRÍTICO",IF(K1225&lt;0,"ATENÇÃO",IF(K1225&lt;=5,"BOM","EXCELENTE")))</f>
        <v>ATENÇÃO</v>
      </c>
      <c r="M1225">
        <v>14</v>
      </c>
      <c r="N1225">
        <v>100</v>
      </c>
      <c r="O1225">
        <v>27.44282744282744</v>
      </c>
    </row>
    <row r="1226" spans="1:15" hidden="1" x14ac:dyDescent="0.25">
      <c r="A1226" s="11">
        <v>46038</v>
      </c>
      <c r="B1226" t="s">
        <v>35</v>
      </c>
      <c r="C1226" t="s">
        <v>32</v>
      </c>
      <c r="D1226">
        <v>20</v>
      </c>
      <c r="E1226">
        <v>19</v>
      </c>
      <c r="F1226">
        <v>26.42</v>
      </c>
      <c r="G1226">
        <v>0</v>
      </c>
      <c r="H1226">
        <v>0</v>
      </c>
      <c r="I1226" s="3">
        <v>0</v>
      </c>
      <c r="J1226" s="3">
        <v>0</v>
      </c>
      <c r="K1226" s="3">
        <v>0</v>
      </c>
      <c r="L1226" s="3" t="str">
        <f>IF(K1226&lt;-5,"CRÍTICO",IF(K1226&lt;0,"ATENÇÃO",IF(K1226&lt;=5,"BOM","EXCELENTE")))</f>
        <v>BOM</v>
      </c>
      <c r="M1226">
        <v>19</v>
      </c>
      <c r="N1226">
        <v>99.49</v>
      </c>
      <c r="O1226">
        <v>40.200000000000003</v>
      </c>
    </row>
    <row r="1227" spans="1:15" hidden="1" x14ac:dyDescent="0.25">
      <c r="A1227" s="11">
        <v>46038</v>
      </c>
      <c r="B1227" t="s">
        <v>18</v>
      </c>
      <c r="C1227" t="s">
        <v>16</v>
      </c>
      <c r="D1227">
        <v>0</v>
      </c>
      <c r="E1227">
        <v>0</v>
      </c>
      <c r="F1227">
        <v>0</v>
      </c>
      <c r="G1227">
        <v>0</v>
      </c>
      <c r="H1227">
        <v>0</v>
      </c>
      <c r="I1227" s="3">
        <v>0</v>
      </c>
      <c r="J1227" s="3">
        <v>0</v>
      </c>
      <c r="K1227" s="3">
        <v>0</v>
      </c>
      <c r="L1227" s="3" t="str">
        <f>IF(K1227&lt;-5,"CRÍTICO",IF(K1227&lt;0,"ATENÇÃO",IF(K1227&lt;=5,"BOM","EXCELENTE")))</f>
        <v>BOM</v>
      </c>
      <c r="M1227">
        <v>0</v>
      </c>
      <c r="N1227">
        <v>100</v>
      </c>
      <c r="O1227">
        <v>25</v>
      </c>
    </row>
    <row r="1228" spans="1:15" hidden="1" x14ac:dyDescent="0.25">
      <c r="A1228" s="11">
        <v>46038</v>
      </c>
      <c r="B1228" t="s">
        <v>52</v>
      </c>
      <c r="C1228" t="s">
        <v>48</v>
      </c>
      <c r="D1228">
        <v>26</v>
      </c>
      <c r="E1228">
        <v>25</v>
      </c>
      <c r="F1228">
        <v>18.39</v>
      </c>
      <c r="G1228">
        <v>0</v>
      </c>
      <c r="H1228">
        <v>0</v>
      </c>
      <c r="I1228" s="3">
        <f>E1228+G1228+H1228</f>
        <v>25</v>
      </c>
      <c r="J1228" s="3">
        <f>ROUND(MIN(IF(C1228="Técnico III",35,IF(C1228="Técnico II",28,IF(C1228="Técnico I",23,IF(C1228="JR",20,IF(C1228="Estágio",10,0))))),IF(C1228="Técnico III",SUMIFS($D:$D,$A:$A,$A1228,$B:$B,"&lt;&gt;Patrícia Karla de Sousa Araújo",$B:$B,"&lt;&gt;Lorena Dias de Araujo",$B:$B,"&lt;&gt;Lucas Luiz Romero")*(35/1083),IF(C1228="Técnico II",SUMIFS($D:$D,$A:$A,$A1228,$B:$B,"&lt;&gt;Patrícia Karla de Sousa Araújo",$B:$B,"&lt;&gt;Lorena Dias de Araujo",$B:$B,"&lt;&gt;Lucas Luiz Romero")*(28/1083),IF(C1228="Técnico I",SUMIFS($D:$D,$A:$A,$A1228,$B:$B,"&lt;&gt;Patrícia Karla de Sousa Araújo",$B:$B,"&lt;&gt;Lorena Dias de Araujo",$B:$B,"&lt;&gt;Lucas Luiz Romero")*(23/1083),IF(C1228="JR",SUMIFS($D:$D,$A:$A,$A1228,$B:$B,"&lt;&gt;Patrícia Karla de Sousa Araújo",$B:$B,"&lt;&gt;Lorena Dias de Araujo",$B:$B,"&lt;&gt;Lucas Luiz Romero")*(20/1083),IF(C1228="Estágio",SUMIFS($D:$D,$A:$A,$A1228,$B:$B,"&lt;&gt;Patrícia Karla de Sousa Araújo",$B:$B,"&lt;&gt;Lorena Dias de Araujo",$B:$B,"&lt;&gt;Lucas Luiz Romero")*(10/1083),0)))))),0)</f>
        <v>17</v>
      </c>
      <c r="K1228" s="3">
        <f>I1228-J1228</f>
        <v>8</v>
      </c>
      <c r="L1228" s="3" t="str">
        <f>IF(K1228&lt;-5,"CRÍTICO",IF(K1228&lt;0,"ATENÇÃO",IF(K1228&lt;=5,"BOM","EXCELENTE")))</f>
        <v>EXCELENTE</v>
      </c>
      <c r="M1228">
        <v>25</v>
      </c>
      <c r="N1228">
        <v>100</v>
      </c>
      <c r="O1228">
        <v>34.15094339622641</v>
      </c>
    </row>
    <row r="1229" spans="1:15" hidden="1" x14ac:dyDescent="0.25">
      <c r="A1229" s="11">
        <v>46038</v>
      </c>
      <c r="B1229" t="s">
        <v>36</v>
      </c>
      <c r="C1229" t="s">
        <v>32</v>
      </c>
      <c r="D1229">
        <v>20</v>
      </c>
      <c r="E1229">
        <v>18</v>
      </c>
      <c r="F1229">
        <v>15.56</v>
      </c>
      <c r="G1229">
        <v>0</v>
      </c>
      <c r="H1229">
        <v>0</v>
      </c>
      <c r="I1229" s="3">
        <f>E1229+G1229+H1229</f>
        <v>18</v>
      </c>
      <c r="J1229" s="3">
        <f>ROUND(MIN(IF(C1229="Técnico III",35,IF(C1229="Técnico II",28,IF(C1229="Técnico I",23,IF(C1229="JR",20,IF(C1229="Estágio",10,0))))),IF(C1229="Técnico III",SUMIFS($D:$D,$A:$A,$A1229,$B:$B,"&lt;&gt;Patrícia Karla de Sousa Araújo",$B:$B,"&lt;&gt;Lorena Dias de Araujo",$B:$B,"&lt;&gt;Lucas Luiz Romero")*(35/1083),IF(C1229="Técnico II",SUMIFS($D:$D,$A:$A,$A1229,$B:$B,"&lt;&gt;Patrícia Karla de Sousa Araújo",$B:$B,"&lt;&gt;Lorena Dias de Araujo",$B:$B,"&lt;&gt;Lucas Luiz Romero")*(28/1083),IF(C1229="Técnico I",SUMIFS($D:$D,$A:$A,$A1229,$B:$B,"&lt;&gt;Patrícia Karla de Sousa Araújo",$B:$B,"&lt;&gt;Lorena Dias de Araujo",$B:$B,"&lt;&gt;Lucas Luiz Romero")*(23/1083),IF(C1229="JR",SUMIFS($D:$D,$A:$A,$A1229,$B:$B,"&lt;&gt;Patrícia Karla de Sousa Araújo",$B:$B,"&lt;&gt;Lorena Dias de Araujo",$B:$B,"&lt;&gt;Lucas Luiz Romero")*(20/1083),IF(C1229="Estágio",SUMIFS($D:$D,$A:$A,$A1229,$B:$B,"&lt;&gt;Patrícia Karla de Sousa Araújo",$B:$B,"&lt;&gt;Lorena Dias de Araujo",$B:$B,"&lt;&gt;Lucas Luiz Romero")*(10/1083),0)))))),0)</f>
        <v>22</v>
      </c>
      <c r="K1229" s="3">
        <f>I1229-J1229</f>
        <v>-4</v>
      </c>
      <c r="L1229" s="3" t="str">
        <f>IF(K1229&lt;-5,"CRÍTICO",IF(K1229&lt;0,"ATENÇÃO",IF(K1229&lt;=5,"BOM","EXCELENTE")))</f>
        <v>ATENÇÃO</v>
      </c>
      <c r="M1229">
        <v>17</v>
      </c>
      <c r="N1229">
        <v>100</v>
      </c>
      <c r="O1229">
        <v>32.731376975169297</v>
      </c>
    </row>
    <row r="1230" spans="1:15" hidden="1" x14ac:dyDescent="0.25">
      <c r="A1230" s="11">
        <v>46038</v>
      </c>
      <c r="B1230" t="s">
        <v>53</v>
      </c>
      <c r="C1230" t="s">
        <v>48</v>
      </c>
      <c r="D1230">
        <v>30</v>
      </c>
      <c r="E1230">
        <v>26</v>
      </c>
      <c r="F1230">
        <v>13.38</v>
      </c>
      <c r="G1230">
        <v>0</v>
      </c>
      <c r="H1230">
        <v>0</v>
      </c>
      <c r="I1230" s="3">
        <f>E1230+G1230+H1230</f>
        <v>26</v>
      </c>
      <c r="J1230" s="3">
        <f>ROUND(MIN(IF(C1230="Técnico III",35,IF(C1230="Técnico II",28,IF(C1230="Técnico I",23,IF(C1230="JR",20,IF(C1230="Estágio",10,0))))),IF(C1230="Técnico III",SUMIFS($D:$D,$A:$A,$A1230,$B:$B,"&lt;&gt;Patrícia Karla de Sousa Araújo",$B:$B,"&lt;&gt;Lorena Dias de Araujo",$B:$B,"&lt;&gt;Lucas Luiz Romero")*(35/1083),IF(C1230="Técnico II",SUMIFS($D:$D,$A:$A,$A1230,$B:$B,"&lt;&gt;Patrícia Karla de Sousa Araújo",$B:$B,"&lt;&gt;Lorena Dias de Araujo",$B:$B,"&lt;&gt;Lucas Luiz Romero")*(28/1083),IF(C1230="Técnico I",SUMIFS($D:$D,$A:$A,$A1230,$B:$B,"&lt;&gt;Patrícia Karla de Sousa Araújo",$B:$B,"&lt;&gt;Lorena Dias de Araujo",$B:$B,"&lt;&gt;Lucas Luiz Romero")*(23/1083),IF(C1230="JR",SUMIFS($D:$D,$A:$A,$A1230,$B:$B,"&lt;&gt;Patrícia Karla de Sousa Araújo",$B:$B,"&lt;&gt;Lorena Dias de Araujo",$B:$B,"&lt;&gt;Lucas Luiz Romero")*(20/1083),IF(C1230="Estágio",SUMIFS($D:$D,$A:$A,$A1230,$B:$B,"&lt;&gt;Patrícia Karla de Sousa Araújo",$B:$B,"&lt;&gt;Lorena Dias de Araujo",$B:$B,"&lt;&gt;Lucas Luiz Romero")*(10/1083),0)))))),0)</f>
        <v>17</v>
      </c>
      <c r="K1230" s="3">
        <f>I1230-J1230</f>
        <v>9</v>
      </c>
      <c r="L1230" s="3" t="str">
        <f>IF(K1230&lt;-5,"CRÍTICO",IF(K1230&lt;0,"ATENÇÃO",IF(K1230&lt;=5,"BOM","EXCELENTE")))</f>
        <v>EXCELENTE</v>
      </c>
      <c r="M1230">
        <v>23</v>
      </c>
      <c r="N1230">
        <v>99.31</v>
      </c>
      <c r="O1230">
        <v>30.96234309623431</v>
      </c>
    </row>
    <row r="1231" spans="1:15" hidden="1" x14ac:dyDescent="0.25">
      <c r="A1231" s="11">
        <v>46072</v>
      </c>
      <c r="B1231" t="s">
        <v>22</v>
      </c>
      <c r="C1231" t="s">
        <v>23</v>
      </c>
      <c r="D1231">
        <v>21</v>
      </c>
      <c r="E1231">
        <v>20</v>
      </c>
      <c r="F1231">
        <v>28.42</v>
      </c>
      <c r="G1231">
        <v>0</v>
      </c>
      <c r="H1231">
        <v>0</v>
      </c>
      <c r="I1231" s="3">
        <f>E1231+G1231+H1231</f>
        <v>20</v>
      </c>
      <c r="J1231" s="3">
        <f>ROUND(MIN(IF(C1231="Técnico III",35,IF(C1231="Técnico II",28,IF(C1231="Técnico I",23,IF(C1231="JR",20,IF(C1231="Estágio",10,0))))),IF(C1231="Técnico III",SUMIFS($D:$D,$A:$A,$A1231,$B:$B,"&lt;&gt;Patrícia Karla de Sousa Araújo",$B:$B,"&lt;&gt;Lorena Dias de Araujo",$B:$B,"&lt;&gt;Lucas Luiz Romero")*(35/1083),IF(C1231="Técnico II",SUMIFS($D:$D,$A:$A,$A1231,$B:$B,"&lt;&gt;Patrícia Karla de Sousa Araújo",$B:$B,"&lt;&gt;Lorena Dias de Araujo",$B:$B,"&lt;&gt;Lucas Luiz Romero")*(28/1083),IF(C1231="Técnico I",SUMIFS($D:$D,$A:$A,$A1231,$B:$B,"&lt;&gt;Patrícia Karla de Sousa Araújo",$B:$B,"&lt;&gt;Lorena Dias de Araujo",$B:$B,"&lt;&gt;Lucas Luiz Romero")*(23/1083),IF(C1231="JR",SUMIFS($D:$D,$A:$A,$A1231,$B:$B,"&lt;&gt;Patrícia Karla de Sousa Araújo",$B:$B,"&lt;&gt;Lorena Dias de Araujo",$B:$B,"&lt;&gt;Lucas Luiz Romero")*(20/1083),IF(C1231="Estágio",SUMIFS($D:$D,$A:$A,$A1231,$B:$B,"&lt;&gt;Patrícia Karla de Sousa Araújo",$B:$B,"&lt;&gt;Lorena Dias de Araujo",$B:$B,"&lt;&gt;Lucas Luiz Romero")*(10/1083),0)))))),0)</f>
        <v>15</v>
      </c>
      <c r="K1231" s="3">
        <f>I1231-J1231</f>
        <v>5</v>
      </c>
      <c r="L1231" s="3" t="str">
        <f>IF(K1231&lt;-5,"CRÍTICO",IF(K1231&lt;0,"ATENÇÃO",IF(K1231&lt;=5,"BOM","EXCELENTE")))</f>
        <v>BOM</v>
      </c>
      <c r="M1231">
        <v>19</v>
      </c>
      <c r="N1231">
        <v>96.67</v>
      </c>
      <c r="O1231">
        <v>31.451612903225811</v>
      </c>
    </row>
    <row r="1232" spans="1:15" hidden="1" x14ac:dyDescent="0.25">
      <c r="A1232" s="11">
        <v>46038</v>
      </c>
      <c r="B1232" t="s">
        <v>54</v>
      </c>
      <c r="C1232" t="s">
        <v>48</v>
      </c>
      <c r="D1232">
        <v>21</v>
      </c>
      <c r="E1232">
        <v>21</v>
      </c>
      <c r="F1232">
        <v>24.02</v>
      </c>
      <c r="G1232">
        <v>0</v>
      </c>
      <c r="H1232">
        <v>0</v>
      </c>
      <c r="I1232" s="3">
        <f>E1232+G1232+H1232</f>
        <v>21</v>
      </c>
      <c r="J1232" s="3">
        <f>ROUND(MIN(IF(C1232="Técnico III",35,IF(C1232="Técnico II",28,IF(C1232="Técnico I",23,IF(C1232="JR",20,IF(C1232="Estágio",10,0))))),IF(C1232="Técnico III",SUMIFS($D:$D,$A:$A,$A1232,$B:$B,"&lt;&gt;Patrícia Karla de Sousa Araújo",$B:$B,"&lt;&gt;Lorena Dias de Araujo",$B:$B,"&lt;&gt;Lucas Luiz Romero")*(35/1083),IF(C1232="Técnico II",SUMIFS($D:$D,$A:$A,$A1232,$B:$B,"&lt;&gt;Patrícia Karla de Sousa Araújo",$B:$B,"&lt;&gt;Lorena Dias de Araujo",$B:$B,"&lt;&gt;Lucas Luiz Romero")*(28/1083),IF(C1232="Técnico I",SUMIFS($D:$D,$A:$A,$A1232,$B:$B,"&lt;&gt;Patrícia Karla de Sousa Araújo",$B:$B,"&lt;&gt;Lorena Dias de Araujo",$B:$B,"&lt;&gt;Lucas Luiz Romero")*(23/1083),IF(C1232="JR",SUMIFS($D:$D,$A:$A,$A1232,$B:$B,"&lt;&gt;Patrícia Karla de Sousa Araújo",$B:$B,"&lt;&gt;Lorena Dias de Araujo",$B:$B,"&lt;&gt;Lucas Luiz Romero")*(20/1083),IF(C1232="Estágio",SUMIFS($D:$D,$A:$A,$A1232,$B:$B,"&lt;&gt;Patrícia Karla de Sousa Araújo",$B:$B,"&lt;&gt;Lorena Dias de Araujo",$B:$B,"&lt;&gt;Lucas Luiz Romero")*(10/1083),0)))))),0)</f>
        <v>17</v>
      </c>
      <c r="K1232" s="3">
        <f>I1232-J1232</f>
        <v>4</v>
      </c>
      <c r="L1232" s="3" t="str">
        <f>IF(K1232&lt;-5,"CRÍTICO",IF(K1232&lt;0,"ATENÇÃO",IF(K1232&lt;=5,"BOM","EXCELENTE")))</f>
        <v>BOM</v>
      </c>
      <c r="M1232">
        <v>19</v>
      </c>
      <c r="N1232">
        <v>100</v>
      </c>
      <c r="O1232">
        <v>27.676767676767678</v>
      </c>
    </row>
    <row r="1233" spans="1:15" hidden="1" x14ac:dyDescent="0.25">
      <c r="A1233" s="11">
        <v>46038</v>
      </c>
      <c r="B1233" t="s">
        <v>37</v>
      </c>
      <c r="C1233" t="s">
        <v>32</v>
      </c>
      <c r="D1233">
        <v>38</v>
      </c>
      <c r="E1233">
        <v>32</v>
      </c>
      <c r="F1233">
        <v>10.25</v>
      </c>
      <c r="G1233">
        <v>0</v>
      </c>
      <c r="H1233">
        <v>0</v>
      </c>
      <c r="I1233" s="3">
        <f>E1233+G1233+H1233</f>
        <v>32</v>
      </c>
      <c r="J1233" s="3">
        <f>ROUND(MIN(IF(C1233="Técnico III",35,IF(C1233="Técnico II",28,IF(C1233="Técnico I",23,IF(C1233="JR",20,IF(C1233="Estágio",10,0))))),IF(C1233="Técnico III",SUMIFS($D:$D,$A:$A,$A1233,$B:$B,"&lt;&gt;Patrícia Karla de Sousa Araújo",$B:$B,"&lt;&gt;Lorena Dias de Araujo",$B:$B,"&lt;&gt;Lucas Luiz Romero")*(35/1083),IF(C1233="Técnico II",SUMIFS($D:$D,$A:$A,$A1233,$B:$B,"&lt;&gt;Patrícia Karla de Sousa Araújo",$B:$B,"&lt;&gt;Lorena Dias de Araujo",$B:$B,"&lt;&gt;Lucas Luiz Romero")*(28/1083),IF(C1233="Técnico I",SUMIFS($D:$D,$A:$A,$A1233,$B:$B,"&lt;&gt;Patrícia Karla de Sousa Araújo",$B:$B,"&lt;&gt;Lorena Dias de Araujo",$B:$B,"&lt;&gt;Lucas Luiz Romero")*(23/1083),IF(C1233="JR",SUMIFS($D:$D,$A:$A,$A1233,$B:$B,"&lt;&gt;Patrícia Karla de Sousa Araújo",$B:$B,"&lt;&gt;Lorena Dias de Araujo",$B:$B,"&lt;&gt;Lucas Luiz Romero")*(20/1083),IF(C1233="Estágio",SUMIFS($D:$D,$A:$A,$A1233,$B:$B,"&lt;&gt;Patrícia Karla de Sousa Araújo",$B:$B,"&lt;&gt;Lorena Dias de Araujo",$B:$B,"&lt;&gt;Lucas Luiz Romero")*(10/1083),0)))))),0)</f>
        <v>22</v>
      </c>
      <c r="K1233" s="3">
        <f>I1233-J1233</f>
        <v>10</v>
      </c>
      <c r="L1233" s="3" t="str">
        <f>IF(K1233&lt;-5,"CRÍTICO",IF(K1233&lt;0,"ATENÇÃO",IF(K1233&lt;=5,"BOM","EXCELENTE")))</f>
        <v>EXCELENTE</v>
      </c>
      <c r="M1233">
        <v>32</v>
      </c>
      <c r="N1233">
        <v>100</v>
      </c>
      <c r="O1233">
        <v>31.17723156532988</v>
      </c>
    </row>
    <row r="1234" spans="1:15" hidden="1" x14ac:dyDescent="0.25">
      <c r="A1234" s="11">
        <v>46038</v>
      </c>
      <c r="B1234" t="s">
        <v>38</v>
      </c>
      <c r="C1234" t="s">
        <v>32</v>
      </c>
      <c r="D1234">
        <v>21</v>
      </c>
      <c r="E1234">
        <v>19</v>
      </c>
      <c r="F1234">
        <v>11.5</v>
      </c>
      <c r="G1234">
        <v>0</v>
      </c>
      <c r="H1234">
        <v>0</v>
      </c>
      <c r="I1234" s="3">
        <f>E1234+G1234+H1234</f>
        <v>19</v>
      </c>
      <c r="J1234" s="3">
        <f>ROUND(MIN(IF(C1234="Técnico III",35,IF(C1234="Técnico II",28,IF(C1234="Técnico I",23,IF(C1234="JR",20,IF(C1234="Estágio",10,0))))),IF(C1234="Técnico III",SUMIFS($D:$D,$A:$A,$A1234,$B:$B,"&lt;&gt;Patrícia Karla de Sousa Araújo",$B:$B,"&lt;&gt;Lorena Dias de Araujo",$B:$B,"&lt;&gt;Lucas Luiz Romero")*(35/1083),IF(C1234="Técnico II",SUMIFS($D:$D,$A:$A,$A1234,$B:$B,"&lt;&gt;Patrícia Karla de Sousa Araújo",$B:$B,"&lt;&gt;Lorena Dias de Araujo",$B:$B,"&lt;&gt;Lucas Luiz Romero")*(28/1083),IF(C1234="Técnico I",SUMIFS($D:$D,$A:$A,$A1234,$B:$B,"&lt;&gt;Patrícia Karla de Sousa Araújo",$B:$B,"&lt;&gt;Lorena Dias de Araujo",$B:$B,"&lt;&gt;Lucas Luiz Romero")*(23/1083),IF(C1234="JR",SUMIFS($D:$D,$A:$A,$A1234,$B:$B,"&lt;&gt;Patrícia Karla de Sousa Araújo",$B:$B,"&lt;&gt;Lorena Dias de Araujo",$B:$B,"&lt;&gt;Lucas Luiz Romero")*(20/1083),IF(C1234="Estágio",SUMIFS($D:$D,$A:$A,$A1234,$B:$B,"&lt;&gt;Patrícia Karla de Sousa Araújo",$B:$B,"&lt;&gt;Lorena Dias de Araujo",$B:$B,"&lt;&gt;Lucas Luiz Romero")*(10/1083),0)))))),0)</f>
        <v>22</v>
      </c>
      <c r="K1234" s="3">
        <f>I1234-J1234</f>
        <v>-3</v>
      </c>
      <c r="L1234" s="3" t="str">
        <f>IF(K1234&lt;-5,"CRÍTICO",IF(K1234&lt;0,"ATENÇÃO",IF(K1234&lt;=5,"BOM","EXCELENTE")))</f>
        <v>ATENÇÃO</v>
      </c>
      <c r="M1234">
        <v>17</v>
      </c>
      <c r="N1234">
        <v>100</v>
      </c>
      <c r="O1234">
        <v>27.609427609427609</v>
      </c>
    </row>
    <row r="1235" spans="1:15" hidden="1" x14ac:dyDescent="0.25">
      <c r="A1235" s="11">
        <v>46038</v>
      </c>
      <c r="B1235" t="s">
        <v>55</v>
      </c>
      <c r="C1235" t="s">
        <v>48</v>
      </c>
      <c r="D1235">
        <v>25</v>
      </c>
      <c r="E1235">
        <v>20</v>
      </c>
      <c r="F1235">
        <v>16.440000000000001</v>
      </c>
      <c r="G1235">
        <v>0</v>
      </c>
      <c r="H1235">
        <v>0</v>
      </c>
      <c r="I1235" s="3">
        <f>E1235+G1235+H1235</f>
        <v>20</v>
      </c>
      <c r="J1235" s="3">
        <f>ROUND(MIN(IF(C1235="Técnico III",35,IF(C1235="Técnico II",28,IF(C1235="Técnico I",23,IF(C1235="JR",20,IF(C1235="Estágio",10,0))))),IF(C1235="Técnico III",SUMIFS($D:$D,$A:$A,$A1235,$B:$B,"&lt;&gt;Patrícia Karla de Sousa Araújo",$B:$B,"&lt;&gt;Lorena Dias de Araujo",$B:$B,"&lt;&gt;Lucas Luiz Romero")*(35/1083),IF(C1235="Técnico II",SUMIFS($D:$D,$A:$A,$A1235,$B:$B,"&lt;&gt;Patrícia Karla de Sousa Araújo",$B:$B,"&lt;&gt;Lorena Dias de Araujo",$B:$B,"&lt;&gt;Lucas Luiz Romero")*(28/1083),IF(C1235="Técnico I",SUMIFS($D:$D,$A:$A,$A1235,$B:$B,"&lt;&gt;Patrícia Karla de Sousa Araújo",$B:$B,"&lt;&gt;Lorena Dias de Araujo",$B:$B,"&lt;&gt;Lucas Luiz Romero")*(23/1083),IF(C1235="JR",SUMIFS($D:$D,$A:$A,$A1235,$B:$B,"&lt;&gt;Patrícia Karla de Sousa Araújo",$B:$B,"&lt;&gt;Lorena Dias de Araujo",$B:$B,"&lt;&gt;Lucas Luiz Romero")*(20/1083),IF(C1235="Estágio",SUMIFS($D:$D,$A:$A,$A1235,$B:$B,"&lt;&gt;Patrícia Karla de Sousa Araújo",$B:$B,"&lt;&gt;Lorena Dias de Araujo",$B:$B,"&lt;&gt;Lucas Luiz Romero")*(10/1083),0)))))),0)</f>
        <v>17</v>
      </c>
      <c r="K1235" s="3">
        <f>I1235-J1235</f>
        <v>3</v>
      </c>
      <c r="L1235" s="3" t="str">
        <f>IF(K1235&lt;-5,"CRÍTICO",IF(K1235&lt;0,"ATENÇÃO",IF(K1235&lt;=5,"BOM","EXCELENTE")))</f>
        <v>BOM</v>
      </c>
      <c r="M1235">
        <v>19</v>
      </c>
      <c r="N1235">
        <v>96.4</v>
      </c>
      <c r="O1235">
        <v>28.764044943820231</v>
      </c>
    </row>
    <row r="1236" spans="1:15" hidden="1" x14ac:dyDescent="0.25">
      <c r="A1236" s="11">
        <v>46038</v>
      </c>
      <c r="B1236" t="s">
        <v>39</v>
      </c>
      <c r="C1236" t="s">
        <v>32</v>
      </c>
      <c r="D1236">
        <v>0</v>
      </c>
      <c r="E1236">
        <v>0</v>
      </c>
      <c r="F1236">
        <v>0</v>
      </c>
      <c r="G1236">
        <v>0</v>
      </c>
      <c r="H1236">
        <v>0</v>
      </c>
      <c r="I1236" s="3">
        <v>0</v>
      </c>
      <c r="J1236" s="3">
        <v>0</v>
      </c>
      <c r="K1236" s="3">
        <v>0</v>
      </c>
      <c r="L1236" s="3" t="str">
        <f>IF(K1236&lt;-5,"CRÍTICO",IF(K1236&lt;0,"ATENÇÃO",IF(K1236&lt;=5,"BOM","EXCELENTE")))</f>
        <v>BOM</v>
      </c>
      <c r="M1236">
        <v>19</v>
      </c>
      <c r="N1236">
        <v>100</v>
      </c>
      <c r="O1236">
        <v>33.980582524271853</v>
      </c>
    </row>
    <row r="1237" spans="1:15" hidden="1" x14ac:dyDescent="0.25">
      <c r="A1237" s="11">
        <v>46038</v>
      </c>
      <c r="B1237" t="s">
        <v>25</v>
      </c>
      <c r="C1237" t="s">
        <v>26</v>
      </c>
      <c r="D1237">
        <v>16</v>
      </c>
      <c r="E1237">
        <v>15</v>
      </c>
      <c r="F1237">
        <v>35.159999999999997</v>
      </c>
      <c r="G1237">
        <v>0</v>
      </c>
      <c r="H1237">
        <v>0</v>
      </c>
      <c r="I1237" s="3">
        <f>E1237+G1237+H1237</f>
        <v>15</v>
      </c>
      <c r="J1237" s="3">
        <f>ROUND(MIN(IF(C1237="Técnico III",35,IF(C1237="Técnico II",28,IF(C1237="Técnico I",23,IF(C1237="JR",20,IF(C1237="Estágio",10,0))))),IF(C1237="Técnico III",SUMIFS($D:$D,$A:$A,$A1237,$B:$B,"&lt;&gt;Patrícia Karla de Sousa Araújo",$B:$B,"&lt;&gt;Lorena Dias de Araujo",$B:$B,"&lt;&gt;Lucas Luiz Romero")*(35/1083),IF(C1237="Técnico II",SUMIFS($D:$D,$A:$A,$A1237,$B:$B,"&lt;&gt;Patrícia Karla de Sousa Araújo",$B:$B,"&lt;&gt;Lorena Dias de Araujo",$B:$B,"&lt;&gt;Lucas Luiz Romero")*(28/1083),IF(C1237="Técnico I",SUMIFS($D:$D,$A:$A,$A1237,$B:$B,"&lt;&gt;Patrícia Karla de Sousa Araújo",$B:$B,"&lt;&gt;Lorena Dias de Araujo",$B:$B,"&lt;&gt;Lucas Luiz Romero")*(23/1083),IF(C1237="JR",SUMIFS($D:$D,$A:$A,$A1237,$B:$B,"&lt;&gt;Patrícia Karla de Sousa Araújo",$B:$B,"&lt;&gt;Lorena Dias de Araujo",$B:$B,"&lt;&gt;Lucas Luiz Romero")*(20/1083),IF(C1237="Estágio",SUMIFS($D:$D,$A:$A,$A1237,$B:$B,"&lt;&gt;Patrícia Karla de Sousa Araújo",$B:$B,"&lt;&gt;Lorena Dias de Araujo",$B:$B,"&lt;&gt;Lucas Luiz Romero")*(10/1083),0)))))),0)</f>
        <v>12</v>
      </c>
      <c r="K1237" s="3">
        <f>I1237-J1237</f>
        <v>3</v>
      </c>
      <c r="L1237" s="3" t="str">
        <f>IF(K1237&lt;-5,"CRÍTICO",IF(K1237&lt;0,"ATENÇÃO",IF(K1237&lt;=5,"BOM","EXCELENTE")))</f>
        <v>BOM</v>
      </c>
      <c r="M1237">
        <v>15</v>
      </c>
      <c r="N1237">
        <v>97.56</v>
      </c>
      <c r="O1237">
        <v>32.515337423312893</v>
      </c>
    </row>
    <row r="1238" spans="1:15" hidden="1" x14ac:dyDescent="0.25">
      <c r="A1238" s="11">
        <v>46038</v>
      </c>
      <c r="B1238" t="s">
        <v>40</v>
      </c>
      <c r="C1238" t="s">
        <v>32</v>
      </c>
      <c r="D1238">
        <v>23</v>
      </c>
      <c r="E1238">
        <v>22</v>
      </c>
      <c r="F1238">
        <v>28.22</v>
      </c>
      <c r="G1238">
        <v>0</v>
      </c>
      <c r="H1238">
        <v>0</v>
      </c>
      <c r="I1238" s="3">
        <f>E1238+G1238+H1238</f>
        <v>22</v>
      </c>
      <c r="J1238" s="3">
        <f>ROUND(MIN(IF(C1238="Técnico III",35,IF(C1238="Técnico II",28,IF(C1238="Técnico I",23,IF(C1238="JR",20,IF(C1238="Estágio",10,0))))),IF(C1238="Técnico III",SUMIFS($D:$D,$A:$A,$A1238,$B:$B,"&lt;&gt;Patrícia Karla de Sousa Araújo",$B:$B,"&lt;&gt;Lorena Dias de Araujo",$B:$B,"&lt;&gt;Lucas Luiz Romero")*(35/1083),IF(C1238="Técnico II",SUMIFS($D:$D,$A:$A,$A1238,$B:$B,"&lt;&gt;Patrícia Karla de Sousa Araújo",$B:$B,"&lt;&gt;Lorena Dias de Araujo",$B:$B,"&lt;&gt;Lucas Luiz Romero")*(28/1083),IF(C1238="Técnico I",SUMIFS($D:$D,$A:$A,$A1238,$B:$B,"&lt;&gt;Patrícia Karla de Sousa Araújo",$B:$B,"&lt;&gt;Lorena Dias de Araujo",$B:$B,"&lt;&gt;Lucas Luiz Romero")*(23/1083),IF(C1238="JR",SUMIFS($D:$D,$A:$A,$A1238,$B:$B,"&lt;&gt;Patrícia Karla de Sousa Araújo",$B:$B,"&lt;&gt;Lorena Dias de Araujo",$B:$B,"&lt;&gt;Lucas Luiz Romero")*(20/1083),IF(C1238="Estágio",SUMIFS($D:$D,$A:$A,$A1238,$B:$B,"&lt;&gt;Patrícia Karla de Sousa Araújo",$B:$B,"&lt;&gt;Lorena Dias de Araujo",$B:$B,"&lt;&gt;Lucas Luiz Romero")*(10/1083),0)))))),0)</f>
        <v>22</v>
      </c>
      <c r="K1238" s="3">
        <f>I1238-J1238</f>
        <v>0</v>
      </c>
      <c r="L1238" s="3" t="str">
        <f>IF(K1238&lt;-5,"CRÍTICO",IF(K1238&lt;0,"ATENÇÃO",IF(K1238&lt;=5,"BOM","EXCELENTE")))</f>
        <v>BOM</v>
      </c>
      <c r="M1238">
        <v>21</v>
      </c>
      <c r="N1238">
        <v>97.11</v>
      </c>
      <c r="O1238">
        <v>37.408312958435211</v>
      </c>
    </row>
    <row r="1239" spans="1:15" hidden="1" x14ac:dyDescent="0.25">
      <c r="A1239" s="11">
        <v>46038</v>
      </c>
      <c r="B1239" t="s">
        <v>27</v>
      </c>
      <c r="C1239" t="s">
        <v>26</v>
      </c>
      <c r="D1239">
        <v>0</v>
      </c>
      <c r="E1239">
        <v>0</v>
      </c>
      <c r="F1239">
        <v>0</v>
      </c>
      <c r="G1239">
        <v>0</v>
      </c>
      <c r="H1239">
        <v>0</v>
      </c>
      <c r="I1239" s="3">
        <v>0</v>
      </c>
      <c r="J1239" s="3">
        <v>0</v>
      </c>
      <c r="K1239" s="3">
        <v>0</v>
      </c>
      <c r="L1239" s="3" t="str">
        <f>IF(K1239&lt;-5,"CRÍTICO",IF(K1239&lt;0,"ATENÇÃO",IF(K1239&lt;=5,"BOM","EXCELENTE")))</f>
        <v>BOM</v>
      </c>
      <c r="M1239">
        <v>0</v>
      </c>
      <c r="N1239">
        <v>0</v>
      </c>
      <c r="O1239">
        <v>0</v>
      </c>
    </row>
    <row r="1240" spans="1:15" hidden="1" x14ac:dyDescent="0.25">
      <c r="A1240" s="11">
        <v>46038</v>
      </c>
      <c r="B1240" t="s">
        <v>41</v>
      </c>
      <c r="C1240" t="s">
        <v>32</v>
      </c>
      <c r="D1240">
        <v>30</v>
      </c>
      <c r="E1240">
        <v>27</v>
      </c>
      <c r="F1240">
        <v>13.24</v>
      </c>
      <c r="G1240">
        <v>0</v>
      </c>
      <c r="H1240">
        <v>0</v>
      </c>
      <c r="I1240" s="3">
        <f>E1240+G1240+H1240</f>
        <v>27</v>
      </c>
      <c r="J1240" s="3">
        <f>ROUND(MIN(IF(C1240="Técnico III",35,IF(C1240="Técnico II",28,IF(C1240="Técnico I",23,IF(C1240="JR",20,IF(C1240="Estágio",10,0))))),IF(C1240="Técnico III",SUMIFS($D:$D,$A:$A,$A1240,$B:$B,"&lt;&gt;Patrícia Karla de Sousa Araújo",$B:$B,"&lt;&gt;Lorena Dias de Araujo",$B:$B,"&lt;&gt;Lucas Luiz Romero")*(35/1083),IF(C1240="Técnico II",SUMIFS($D:$D,$A:$A,$A1240,$B:$B,"&lt;&gt;Patrícia Karla de Sousa Araújo",$B:$B,"&lt;&gt;Lorena Dias de Araujo",$B:$B,"&lt;&gt;Lucas Luiz Romero")*(28/1083),IF(C1240="Técnico I",SUMIFS($D:$D,$A:$A,$A1240,$B:$B,"&lt;&gt;Patrícia Karla de Sousa Araújo",$B:$B,"&lt;&gt;Lorena Dias de Araujo",$B:$B,"&lt;&gt;Lucas Luiz Romero")*(23/1083),IF(C1240="JR",SUMIFS($D:$D,$A:$A,$A1240,$B:$B,"&lt;&gt;Patrícia Karla de Sousa Araújo",$B:$B,"&lt;&gt;Lorena Dias de Araujo",$B:$B,"&lt;&gt;Lucas Luiz Romero")*(20/1083),IF(C1240="Estágio",SUMIFS($D:$D,$A:$A,$A1240,$B:$B,"&lt;&gt;Patrícia Karla de Sousa Araújo",$B:$B,"&lt;&gt;Lorena Dias de Araujo",$B:$B,"&lt;&gt;Lucas Luiz Romero")*(10/1083),0)))))),0)</f>
        <v>22</v>
      </c>
      <c r="K1240" s="3">
        <f>I1240-J1240</f>
        <v>5</v>
      </c>
      <c r="L1240" s="3" t="str">
        <f>IF(K1240&lt;-5,"CRÍTICO",IF(K1240&lt;0,"ATENÇÃO",IF(K1240&lt;=5,"BOM","EXCELENTE")))</f>
        <v>BOM</v>
      </c>
      <c r="M1240">
        <v>23</v>
      </c>
      <c r="N1240">
        <v>100</v>
      </c>
      <c r="O1240">
        <v>30.470347648261761</v>
      </c>
    </row>
    <row r="1241" spans="1:15" hidden="1" x14ac:dyDescent="0.25">
      <c r="A1241" s="11">
        <v>46038</v>
      </c>
      <c r="B1241" t="s">
        <v>56</v>
      </c>
      <c r="C1241" t="s">
        <v>48</v>
      </c>
      <c r="D1241">
        <v>30</v>
      </c>
      <c r="E1241">
        <v>28</v>
      </c>
      <c r="F1241">
        <v>16.510000000000002</v>
      </c>
      <c r="G1241">
        <v>0</v>
      </c>
      <c r="H1241">
        <v>0</v>
      </c>
      <c r="I1241" s="3">
        <f>E1241+G1241+H1241</f>
        <v>28</v>
      </c>
      <c r="J1241" s="3">
        <f>ROUND(MIN(IF(C1241="Técnico III",35,IF(C1241="Técnico II",28,IF(C1241="Técnico I",23,IF(C1241="JR",20,IF(C1241="Estágio",10,0))))),IF(C1241="Técnico III",SUMIFS($D:$D,$A:$A,$A1241,$B:$B,"&lt;&gt;Patrícia Karla de Sousa Araújo",$B:$B,"&lt;&gt;Lorena Dias de Araujo",$B:$B,"&lt;&gt;Lucas Luiz Romero")*(35/1083),IF(C1241="Técnico II",SUMIFS($D:$D,$A:$A,$A1241,$B:$B,"&lt;&gt;Patrícia Karla de Sousa Araújo",$B:$B,"&lt;&gt;Lorena Dias de Araujo",$B:$B,"&lt;&gt;Lucas Luiz Romero")*(28/1083),IF(C1241="Técnico I",SUMIFS($D:$D,$A:$A,$A1241,$B:$B,"&lt;&gt;Patrícia Karla de Sousa Araújo",$B:$B,"&lt;&gt;Lorena Dias de Araujo",$B:$B,"&lt;&gt;Lucas Luiz Romero")*(23/1083),IF(C1241="JR",SUMIFS($D:$D,$A:$A,$A1241,$B:$B,"&lt;&gt;Patrícia Karla de Sousa Araújo",$B:$B,"&lt;&gt;Lorena Dias de Araujo",$B:$B,"&lt;&gt;Lucas Luiz Romero")*(20/1083),IF(C1241="Estágio",SUMIFS($D:$D,$A:$A,$A1241,$B:$B,"&lt;&gt;Patrícia Karla de Sousa Araújo",$B:$B,"&lt;&gt;Lorena Dias de Araujo",$B:$B,"&lt;&gt;Lucas Luiz Romero")*(10/1083),0)))))),0)</f>
        <v>17</v>
      </c>
      <c r="K1241" s="3">
        <f>I1241-J1241</f>
        <v>11</v>
      </c>
      <c r="L1241" s="3" t="str">
        <f>IF(K1241&lt;-5,"CRÍTICO",IF(K1241&lt;0,"ATENÇÃO",IF(K1241&lt;=5,"BOM","EXCELENTE")))</f>
        <v>EXCELENTE</v>
      </c>
      <c r="M1241">
        <v>23</v>
      </c>
      <c r="N1241">
        <v>100</v>
      </c>
      <c r="O1241">
        <v>32.371134020618562</v>
      </c>
    </row>
    <row r="1242" spans="1:15" hidden="1" x14ac:dyDescent="0.25">
      <c r="A1242" s="11">
        <v>46038</v>
      </c>
      <c r="B1242" t="s">
        <v>57</v>
      </c>
      <c r="C1242" t="s">
        <v>48</v>
      </c>
      <c r="D1242">
        <v>22</v>
      </c>
      <c r="E1242">
        <v>21</v>
      </c>
      <c r="F1242">
        <v>18.579999999999998</v>
      </c>
      <c r="G1242">
        <v>0</v>
      </c>
      <c r="H1242">
        <v>0</v>
      </c>
      <c r="I1242" s="3">
        <v>0</v>
      </c>
      <c r="J1242" s="3">
        <v>0</v>
      </c>
      <c r="K1242" s="3">
        <v>0</v>
      </c>
      <c r="L1242" s="3" t="str">
        <f>IF(K1242&lt;-5,"CRÍTICO",IF(K1242&lt;0,"ATENÇÃO",IF(K1242&lt;=5,"BOM","EXCELENTE")))</f>
        <v>BOM</v>
      </c>
      <c r="M1242">
        <v>20</v>
      </c>
      <c r="N1242">
        <v>98.32</v>
      </c>
      <c r="O1242">
        <v>32.318501170960189</v>
      </c>
    </row>
    <row r="1243" spans="1:15" hidden="1" x14ac:dyDescent="0.25">
      <c r="A1243" s="11">
        <v>46038</v>
      </c>
      <c r="B1243" t="s">
        <v>42</v>
      </c>
      <c r="C1243" t="s">
        <v>32</v>
      </c>
      <c r="D1243">
        <v>44</v>
      </c>
      <c r="E1243">
        <v>29</v>
      </c>
      <c r="F1243">
        <v>7.23</v>
      </c>
      <c r="G1243">
        <v>0</v>
      </c>
      <c r="H1243">
        <v>0</v>
      </c>
      <c r="I1243" s="3">
        <f>E1243+G1243+H1243</f>
        <v>29</v>
      </c>
      <c r="J1243" s="3">
        <f>ROUND(MIN(IF(C1243="Técnico III",35,IF(C1243="Técnico II",28,IF(C1243="Técnico I",23,IF(C1243="JR",20,IF(C1243="Estágio",10,0))))),IF(C1243="Técnico III",SUMIFS($D:$D,$A:$A,$A1243,$B:$B,"&lt;&gt;Patrícia Karla de Sousa Araújo",$B:$B,"&lt;&gt;Lorena Dias de Araujo",$B:$B,"&lt;&gt;Lucas Luiz Romero")*(35/1083),IF(C1243="Técnico II",SUMIFS($D:$D,$A:$A,$A1243,$B:$B,"&lt;&gt;Patrícia Karla de Sousa Araújo",$B:$B,"&lt;&gt;Lorena Dias de Araujo",$B:$B,"&lt;&gt;Lucas Luiz Romero")*(28/1083),IF(C1243="Técnico I",SUMIFS($D:$D,$A:$A,$A1243,$B:$B,"&lt;&gt;Patrícia Karla de Sousa Araújo",$B:$B,"&lt;&gt;Lorena Dias de Araujo",$B:$B,"&lt;&gt;Lucas Luiz Romero")*(23/1083),IF(C1243="JR",SUMIFS($D:$D,$A:$A,$A1243,$B:$B,"&lt;&gt;Patrícia Karla de Sousa Araújo",$B:$B,"&lt;&gt;Lorena Dias de Araujo",$B:$B,"&lt;&gt;Lucas Luiz Romero")*(20/1083),IF(C1243="Estágio",SUMIFS($D:$D,$A:$A,$A1243,$B:$B,"&lt;&gt;Patrícia Karla de Sousa Araújo",$B:$B,"&lt;&gt;Lorena Dias de Araujo",$B:$B,"&lt;&gt;Lucas Luiz Romero")*(10/1083),0)))))),0)</f>
        <v>22</v>
      </c>
      <c r="K1243" s="3">
        <f>I1243-J1243</f>
        <v>7</v>
      </c>
      <c r="L1243" s="3" t="str">
        <f>IF(K1243&lt;-5,"CRÍTICO",IF(K1243&lt;0,"ATENÇÃO",IF(K1243&lt;=5,"BOM","EXCELENTE")))</f>
        <v>EXCELENTE</v>
      </c>
      <c r="M1243">
        <v>26</v>
      </c>
      <c r="N1243">
        <v>96.43</v>
      </c>
      <c r="O1243">
        <v>27.015250544662312</v>
      </c>
    </row>
    <row r="1244" spans="1:15" hidden="1" x14ac:dyDescent="0.25">
      <c r="A1244" s="11">
        <v>46038</v>
      </c>
      <c r="B1244" t="s">
        <v>62</v>
      </c>
      <c r="C1244" t="s">
        <v>23</v>
      </c>
      <c r="D1244">
        <v>23</v>
      </c>
      <c r="E1244">
        <v>19</v>
      </c>
      <c r="F1244">
        <v>13.39</v>
      </c>
      <c r="G1244">
        <v>0</v>
      </c>
      <c r="H1244">
        <v>0</v>
      </c>
      <c r="I1244" s="3">
        <f>E1244+G1244+H1244</f>
        <v>19</v>
      </c>
      <c r="J1244" s="3">
        <f>ROUND(MIN(IF(C1244="Técnico III",35,IF(C1244="Técnico II",28,IF(C1244="Técnico I",23,IF(C1244="JR",20,IF(C1244="Estágio",10,0))))),IF(C1244="Técnico III",SUMIFS($D:$D,$A:$A,$A1244,$B:$B,"&lt;&gt;Patrícia Karla de Sousa Araújo",$B:$B,"&lt;&gt;Lorena Dias de Araujo",$B:$B,"&lt;&gt;Lucas Luiz Romero")*(35/1083),IF(C1244="Técnico II",SUMIFS($D:$D,$A:$A,$A1244,$B:$B,"&lt;&gt;Patrícia Karla de Sousa Araújo",$B:$B,"&lt;&gt;Lorena Dias de Araujo",$B:$B,"&lt;&gt;Lucas Luiz Romero")*(28/1083),IF(C1244="Técnico I",SUMIFS($D:$D,$A:$A,$A1244,$B:$B,"&lt;&gt;Patrícia Karla de Sousa Araújo",$B:$B,"&lt;&gt;Lorena Dias de Araujo",$B:$B,"&lt;&gt;Lucas Luiz Romero")*(23/1083),IF(C1244="JR",SUMIFS($D:$D,$A:$A,$A1244,$B:$B,"&lt;&gt;Patrícia Karla de Sousa Araújo",$B:$B,"&lt;&gt;Lorena Dias de Araujo",$B:$B,"&lt;&gt;Lucas Luiz Romero")*(20/1083),IF(C1244="Estágio",SUMIFS($D:$D,$A:$A,$A1244,$B:$B,"&lt;&gt;Patrícia Karla de Sousa Araújo",$B:$B,"&lt;&gt;Lorena Dias de Araujo",$B:$B,"&lt;&gt;Lucas Luiz Romero")*(10/1083),0)))))),0)</f>
        <v>14</v>
      </c>
      <c r="K1244" s="3">
        <f>I1244-J1244</f>
        <v>5</v>
      </c>
      <c r="L1244" s="3" t="str">
        <f>IF(K1244&lt;-5,"CRÍTICO",IF(K1244&lt;0,"ATENÇÃO",IF(K1244&lt;=5,"BOM","EXCELENTE")))</f>
        <v>BOM</v>
      </c>
      <c r="M1244">
        <v>20</v>
      </c>
      <c r="N1244">
        <v>98.89</v>
      </c>
      <c r="O1244">
        <v>28.021978021978018</v>
      </c>
    </row>
    <row r="1245" spans="1:15" hidden="1" x14ac:dyDescent="0.25">
      <c r="A1245" s="11">
        <v>46038</v>
      </c>
      <c r="B1245" t="s">
        <v>19</v>
      </c>
      <c r="C1245" t="s">
        <v>16</v>
      </c>
      <c r="D1245">
        <v>4</v>
      </c>
      <c r="E1245">
        <v>4</v>
      </c>
      <c r="F1245">
        <v>52.18</v>
      </c>
      <c r="G1245">
        <v>0</v>
      </c>
      <c r="H1245">
        <v>0</v>
      </c>
      <c r="I1245" s="3">
        <f>E1245+G1245+H1245</f>
        <v>4</v>
      </c>
      <c r="J1245" s="3">
        <f>ROUND(MIN(IF(C1245="Técnico III",35,IF(C1245="Técnico II",28,IF(C1245="Técnico I",23,IF(C1245="JR",20,IF(C1245="Estágio",10,0))))),IF(C1245="Técnico III",SUMIFS($D:$D,$A:$A,$A1245,$B:$B,"&lt;&gt;Patrícia Karla de Sousa Araújo",$B:$B,"&lt;&gt;Lorena Dias de Araujo",$B:$B,"&lt;&gt;Lucas Luiz Romero")*(35/1083),IF(C1245="Técnico II",SUMIFS($D:$D,$A:$A,$A1245,$B:$B,"&lt;&gt;Patrícia Karla de Sousa Araújo",$B:$B,"&lt;&gt;Lorena Dias de Araujo",$B:$B,"&lt;&gt;Lucas Luiz Romero")*(28/1083),IF(C1245="Técnico I",SUMIFS($D:$D,$A:$A,$A1245,$B:$B,"&lt;&gt;Patrícia Karla de Sousa Araújo",$B:$B,"&lt;&gt;Lorena Dias de Araujo",$B:$B,"&lt;&gt;Lucas Luiz Romero")*(23/1083),IF(C1245="JR",SUMIFS($D:$D,$A:$A,$A1245,$B:$B,"&lt;&gt;Patrícia Karla de Sousa Araújo",$B:$B,"&lt;&gt;Lorena Dias de Araujo",$B:$B,"&lt;&gt;Lucas Luiz Romero")*(20/1083),IF(C1245="Estágio",SUMIFS($D:$D,$A:$A,$A1245,$B:$B,"&lt;&gt;Patrícia Karla de Sousa Araújo",$B:$B,"&lt;&gt;Lorena Dias de Araujo",$B:$B,"&lt;&gt;Lucas Luiz Romero")*(10/1083),0)))))),0)</f>
        <v>6</v>
      </c>
      <c r="K1245" s="3">
        <f>I1245-J1245</f>
        <v>-2</v>
      </c>
      <c r="L1245" s="3" t="str">
        <f>IF(K1245&lt;-5,"CRÍTICO",IF(K1245&lt;0,"ATENÇÃO",IF(K1245&lt;=5,"BOM","EXCELENTE")))</f>
        <v>ATENÇÃO</v>
      </c>
      <c r="M1245">
        <v>2</v>
      </c>
      <c r="N1245">
        <v>100</v>
      </c>
      <c r="O1245">
        <v>33.333333333333329</v>
      </c>
    </row>
    <row r="1246" spans="1:15" hidden="1" x14ac:dyDescent="0.25">
      <c r="A1246" s="11">
        <v>46038</v>
      </c>
      <c r="B1246" t="s">
        <v>43</v>
      </c>
      <c r="C1246" t="s">
        <v>32</v>
      </c>
      <c r="D1246">
        <v>0</v>
      </c>
      <c r="E1246">
        <v>0</v>
      </c>
      <c r="F1246">
        <v>0</v>
      </c>
      <c r="G1246">
        <v>0</v>
      </c>
      <c r="H1246">
        <v>0</v>
      </c>
      <c r="I1246" s="3">
        <v>0</v>
      </c>
      <c r="J1246" s="3">
        <v>0</v>
      </c>
      <c r="K1246" s="3">
        <v>0</v>
      </c>
      <c r="L1246" s="3" t="str">
        <f>IF(K1246&lt;-5,"CRÍTICO",IF(K1246&lt;0,"ATENÇÃO",IF(K1246&lt;=5,"BOM","EXCELENTE")))</f>
        <v>BOM</v>
      </c>
      <c r="M1246">
        <v>0</v>
      </c>
      <c r="N1246">
        <v>100</v>
      </c>
      <c r="O1246">
        <v>27.43362831858407</v>
      </c>
    </row>
    <row r="1247" spans="1:15" hidden="1" x14ac:dyDescent="0.25">
      <c r="A1247" s="11">
        <v>46038</v>
      </c>
      <c r="B1247" t="s">
        <v>44</v>
      </c>
      <c r="C1247" t="s">
        <v>32</v>
      </c>
      <c r="D1247">
        <v>33</v>
      </c>
      <c r="E1247">
        <v>25</v>
      </c>
      <c r="F1247">
        <v>12.14</v>
      </c>
      <c r="G1247">
        <v>0</v>
      </c>
      <c r="H1247">
        <v>0</v>
      </c>
      <c r="I1247" s="3">
        <f>E1247+G1247+H1247</f>
        <v>25</v>
      </c>
      <c r="J1247" s="3">
        <f>ROUND(MIN(IF(C1247="Técnico III",35,IF(C1247="Técnico II",28,IF(C1247="Técnico I",23,IF(C1247="JR",20,IF(C1247="Estágio",10,0))))),IF(C1247="Técnico III",SUMIFS($D:$D,$A:$A,$A1247,$B:$B,"&lt;&gt;Patrícia Karla de Sousa Araújo",$B:$B,"&lt;&gt;Lorena Dias de Araujo",$B:$B,"&lt;&gt;Lucas Luiz Romero")*(35/1083),IF(C1247="Técnico II",SUMIFS($D:$D,$A:$A,$A1247,$B:$B,"&lt;&gt;Patrícia Karla de Sousa Araújo",$B:$B,"&lt;&gt;Lorena Dias de Araujo",$B:$B,"&lt;&gt;Lucas Luiz Romero")*(28/1083),IF(C1247="Técnico I",SUMIFS($D:$D,$A:$A,$A1247,$B:$B,"&lt;&gt;Patrícia Karla de Sousa Araújo",$B:$B,"&lt;&gt;Lorena Dias de Araujo",$B:$B,"&lt;&gt;Lucas Luiz Romero")*(23/1083),IF(C1247="JR",SUMIFS($D:$D,$A:$A,$A1247,$B:$B,"&lt;&gt;Patrícia Karla de Sousa Araújo",$B:$B,"&lt;&gt;Lorena Dias de Araujo",$B:$B,"&lt;&gt;Lucas Luiz Romero")*(20/1083),IF(C1247="Estágio",SUMIFS($D:$D,$A:$A,$A1247,$B:$B,"&lt;&gt;Patrícia Karla de Sousa Araújo",$B:$B,"&lt;&gt;Lorena Dias de Araujo",$B:$B,"&lt;&gt;Lucas Luiz Romero")*(10/1083),0)))))),0)</f>
        <v>22</v>
      </c>
      <c r="K1247" s="3">
        <f>I1247-J1247</f>
        <v>3</v>
      </c>
      <c r="L1247" s="3" t="str">
        <f>IF(K1247&lt;-5,"CRÍTICO",IF(K1247&lt;0,"ATENÇÃO",IF(K1247&lt;=5,"BOM","EXCELENTE")))</f>
        <v>BOM</v>
      </c>
      <c r="M1247">
        <v>24</v>
      </c>
      <c r="N1247">
        <v>98.65</v>
      </c>
      <c r="O1247">
        <v>30.978260869565219</v>
      </c>
    </row>
    <row r="1248" spans="1:15" hidden="1" x14ac:dyDescent="0.25">
      <c r="A1248" s="11">
        <v>46038</v>
      </c>
      <c r="B1248" t="s">
        <v>20</v>
      </c>
      <c r="C1248" t="s">
        <v>16</v>
      </c>
      <c r="D1248">
        <v>1</v>
      </c>
      <c r="E1248">
        <v>1</v>
      </c>
      <c r="F1248">
        <v>28.33</v>
      </c>
      <c r="G1248">
        <v>0</v>
      </c>
      <c r="H1248">
        <v>0</v>
      </c>
      <c r="I1248" s="3">
        <f>E1248+G1248+H1248</f>
        <v>1</v>
      </c>
      <c r="J1248" s="3">
        <f>ROUND(MIN(IF(C1248="Técnico III",35,IF(C1248="Técnico II",28,IF(C1248="Técnico I",23,IF(C1248="JR",20,IF(C1248="Estágio",10,0))))),IF(C1248="Técnico III",SUMIFS($D:$D,$A:$A,$A1248,$B:$B,"&lt;&gt;Patrícia Karla de Sousa Araújo",$B:$B,"&lt;&gt;Lorena Dias de Araujo",$B:$B,"&lt;&gt;Lucas Luiz Romero")*(35/1083),IF(C1248="Técnico II",SUMIFS($D:$D,$A:$A,$A1248,$B:$B,"&lt;&gt;Patrícia Karla de Sousa Araújo",$B:$B,"&lt;&gt;Lorena Dias de Araujo",$B:$B,"&lt;&gt;Lucas Luiz Romero")*(28/1083),IF(C1248="Técnico I",SUMIFS($D:$D,$A:$A,$A1248,$B:$B,"&lt;&gt;Patrícia Karla de Sousa Araújo",$B:$B,"&lt;&gt;Lorena Dias de Araujo",$B:$B,"&lt;&gt;Lucas Luiz Romero")*(23/1083),IF(C1248="JR",SUMIFS($D:$D,$A:$A,$A1248,$B:$B,"&lt;&gt;Patrícia Karla de Sousa Araújo",$B:$B,"&lt;&gt;Lorena Dias de Araujo",$B:$B,"&lt;&gt;Lucas Luiz Romero")*(20/1083),IF(C1248="Estágio",SUMIFS($D:$D,$A:$A,$A1248,$B:$B,"&lt;&gt;Patrícia Karla de Sousa Araújo",$B:$B,"&lt;&gt;Lorena Dias de Araujo",$B:$B,"&lt;&gt;Lucas Luiz Romero")*(10/1083),0)))))),0)</f>
        <v>6</v>
      </c>
      <c r="K1248" s="3">
        <f>I1248-J1248</f>
        <v>-5</v>
      </c>
      <c r="L1248" s="3" t="str">
        <f>IF(K1248&lt;-5,"CRÍTICO",IF(K1248&lt;0,"ATENÇÃO",IF(K1248&lt;=5,"BOM","EXCELENTE")))</f>
        <v>ATENÇÃO</v>
      </c>
      <c r="M1248">
        <v>1</v>
      </c>
      <c r="N1248">
        <v>100</v>
      </c>
      <c r="O1248">
        <v>12</v>
      </c>
    </row>
    <row r="1249" spans="1:15" hidden="1" x14ac:dyDescent="0.25">
      <c r="A1249" s="11">
        <v>46038</v>
      </c>
      <c r="B1249" t="s">
        <v>28</v>
      </c>
      <c r="C1249" t="s">
        <v>26</v>
      </c>
      <c r="D1249">
        <v>0</v>
      </c>
      <c r="E1249">
        <v>0</v>
      </c>
      <c r="F1249">
        <v>0</v>
      </c>
      <c r="G1249">
        <v>0</v>
      </c>
      <c r="H1249">
        <v>0</v>
      </c>
      <c r="I1249" s="3">
        <v>0</v>
      </c>
      <c r="J1249" s="3">
        <v>0</v>
      </c>
      <c r="K1249" s="3">
        <v>0</v>
      </c>
      <c r="L1249" s="3" t="str">
        <f>IF(K1249&lt;-5,"CRÍTICO",IF(K1249&lt;0,"ATENÇÃO",IF(K1249&lt;=5,"BOM","EXCELENTE")))</f>
        <v>BOM</v>
      </c>
      <c r="M1249">
        <v>0</v>
      </c>
      <c r="N1249">
        <v>0</v>
      </c>
      <c r="O1249">
        <v>0</v>
      </c>
    </row>
    <row r="1250" spans="1:15" hidden="1" x14ac:dyDescent="0.25">
      <c r="A1250" s="11">
        <v>46038</v>
      </c>
      <c r="B1250" t="s">
        <v>58</v>
      </c>
      <c r="C1250" t="s">
        <v>48</v>
      </c>
      <c r="D1250">
        <v>0</v>
      </c>
      <c r="E1250">
        <v>0</v>
      </c>
      <c r="F1250">
        <v>0</v>
      </c>
      <c r="G1250">
        <v>0</v>
      </c>
      <c r="H1250">
        <v>0</v>
      </c>
      <c r="I1250" s="3">
        <v>0</v>
      </c>
      <c r="J1250" s="3">
        <v>0</v>
      </c>
      <c r="K1250" s="3">
        <v>0</v>
      </c>
      <c r="L1250" s="3" t="str">
        <f>IF(K1250&lt;-5,"CRÍTICO",IF(K1250&lt;0,"ATENÇÃO",IF(K1250&lt;=5,"BOM","EXCELENTE")))</f>
        <v>BOM</v>
      </c>
      <c r="M1250">
        <v>0</v>
      </c>
      <c r="N1250">
        <v>97.56</v>
      </c>
      <c r="O1250">
        <v>31.067961165048541</v>
      </c>
    </row>
    <row r="1251" spans="1:15" hidden="1" x14ac:dyDescent="0.25">
      <c r="A1251" s="11">
        <v>46038</v>
      </c>
      <c r="B1251" t="s">
        <v>29</v>
      </c>
      <c r="C1251" t="s">
        <v>26</v>
      </c>
      <c r="D1251">
        <v>0</v>
      </c>
      <c r="E1251">
        <v>0</v>
      </c>
      <c r="F1251">
        <v>0</v>
      </c>
      <c r="G1251">
        <v>0</v>
      </c>
      <c r="H1251">
        <v>0</v>
      </c>
      <c r="I1251" s="3">
        <v>0</v>
      </c>
      <c r="J1251" s="3">
        <v>0</v>
      </c>
      <c r="K1251" s="3">
        <v>0</v>
      </c>
      <c r="L1251" s="3" t="str">
        <f>IF(K1251&lt;-5,"CRÍTICO",IF(K1251&lt;0,"ATENÇÃO",IF(K1251&lt;=5,"BOM","EXCELENTE")))</f>
        <v>BOM</v>
      </c>
      <c r="M1251">
        <v>0</v>
      </c>
      <c r="N1251">
        <v>0</v>
      </c>
      <c r="O1251">
        <v>0</v>
      </c>
    </row>
    <row r="1252" spans="1:15" hidden="1" x14ac:dyDescent="0.25">
      <c r="A1252" s="11">
        <v>46038</v>
      </c>
      <c r="B1252" t="s">
        <v>30</v>
      </c>
      <c r="C1252" t="s">
        <v>26</v>
      </c>
      <c r="D1252">
        <v>0</v>
      </c>
      <c r="E1252">
        <v>0</v>
      </c>
      <c r="F1252">
        <v>0</v>
      </c>
      <c r="G1252">
        <v>0</v>
      </c>
      <c r="H1252">
        <v>0</v>
      </c>
      <c r="I1252" s="3">
        <v>0</v>
      </c>
      <c r="J1252" s="3">
        <v>0</v>
      </c>
      <c r="K1252" s="3">
        <v>0</v>
      </c>
      <c r="L1252" s="3" t="str">
        <f>IF(K1252&lt;-5,"CRÍTICO",IF(K1252&lt;0,"ATENÇÃO",IF(K1252&lt;=5,"BOM","EXCELENTE")))</f>
        <v>BOM</v>
      </c>
      <c r="M1252">
        <v>0</v>
      </c>
      <c r="N1252">
        <v>0</v>
      </c>
      <c r="O1252">
        <v>0</v>
      </c>
    </row>
    <row r="1253" spans="1:15" hidden="1" x14ac:dyDescent="0.25">
      <c r="A1253" s="11">
        <v>46038</v>
      </c>
      <c r="B1253" t="s">
        <v>21</v>
      </c>
      <c r="C1253" t="s">
        <v>16</v>
      </c>
      <c r="D1253">
        <v>0</v>
      </c>
      <c r="E1253">
        <v>0</v>
      </c>
      <c r="F1253">
        <v>0</v>
      </c>
      <c r="G1253">
        <v>0</v>
      </c>
      <c r="H1253">
        <v>0</v>
      </c>
      <c r="I1253" s="3">
        <v>0</v>
      </c>
      <c r="J1253" s="3">
        <v>0</v>
      </c>
      <c r="K1253" s="3">
        <v>0</v>
      </c>
      <c r="L1253" s="3" t="str">
        <f>IF(K1253&lt;-5,"CRÍTICO",IF(K1253&lt;0,"ATENÇÃO",IF(K1253&lt;=5,"BOM","EXCELENTE")))</f>
        <v>BOM</v>
      </c>
      <c r="M1253">
        <v>0</v>
      </c>
      <c r="N1253">
        <v>0</v>
      </c>
      <c r="O1253">
        <v>0</v>
      </c>
    </row>
    <row r="1254" spans="1:15" hidden="1" x14ac:dyDescent="0.25">
      <c r="A1254" s="11">
        <v>46038</v>
      </c>
      <c r="B1254" t="s">
        <v>63</v>
      </c>
      <c r="C1254" t="s">
        <v>23</v>
      </c>
      <c r="D1254">
        <v>0</v>
      </c>
      <c r="E1254">
        <v>0</v>
      </c>
      <c r="F1254">
        <v>0</v>
      </c>
      <c r="G1254">
        <v>0</v>
      </c>
      <c r="H1254">
        <v>0</v>
      </c>
      <c r="I1254" s="3">
        <v>0</v>
      </c>
      <c r="J1254" s="3">
        <v>0</v>
      </c>
      <c r="K1254" s="3">
        <v>0</v>
      </c>
      <c r="L1254" s="3" t="str">
        <f>IF(K1254&lt;-5,"CRÍTICO",IF(K1254&lt;0,"ATENÇÃO",IF(K1254&lt;=5,"BOM","EXCELENTE")))</f>
        <v>BOM</v>
      </c>
      <c r="M1254">
        <v>0</v>
      </c>
      <c r="N1254">
        <v>100</v>
      </c>
      <c r="O1254">
        <v>53.846153846153847</v>
      </c>
    </row>
    <row r="1255" spans="1:15" hidden="1" x14ac:dyDescent="0.25">
      <c r="A1255" s="11">
        <v>46038</v>
      </c>
      <c r="B1255" t="s">
        <v>45</v>
      </c>
      <c r="C1255" t="s">
        <v>32</v>
      </c>
      <c r="D1255">
        <v>31</v>
      </c>
      <c r="E1255">
        <v>27</v>
      </c>
      <c r="F1255">
        <v>17.2</v>
      </c>
      <c r="G1255">
        <v>0</v>
      </c>
      <c r="H1255">
        <v>0</v>
      </c>
      <c r="I1255" s="3">
        <f>E1255+G1255+H1255</f>
        <v>27</v>
      </c>
      <c r="J1255" s="3">
        <f>ROUND(MIN(IF(C1255="Técnico III",35,IF(C1255="Técnico II",28,IF(C1255="Técnico I",23,IF(C1255="JR",20,IF(C1255="Estágio",10,0))))),IF(C1255="Técnico III",SUMIFS($D:$D,$A:$A,$A1255,$B:$B,"&lt;&gt;Patrícia Karla de Sousa Araújo",$B:$B,"&lt;&gt;Lorena Dias de Araujo",$B:$B,"&lt;&gt;Lucas Luiz Romero")*(35/1083),IF(C1255="Técnico II",SUMIFS($D:$D,$A:$A,$A1255,$B:$B,"&lt;&gt;Patrícia Karla de Sousa Araújo",$B:$B,"&lt;&gt;Lorena Dias de Araujo",$B:$B,"&lt;&gt;Lucas Luiz Romero")*(28/1083),IF(C1255="Técnico I",SUMIFS($D:$D,$A:$A,$A1255,$B:$B,"&lt;&gt;Patrícia Karla de Sousa Araújo",$B:$B,"&lt;&gt;Lorena Dias de Araujo",$B:$B,"&lt;&gt;Lucas Luiz Romero")*(23/1083),IF(C1255="JR",SUMIFS($D:$D,$A:$A,$A1255,$B:$B,"&lt;&gt;Patrícia Karla de Sousa Araújo",$B:$B,"&lt;&gt;Lorena Dias de Araujo",$B:$B,"&lt;&gt;Lucas Luiz Romero")*(20/1083),IF(C1255="Estágio",SUMIFS($D:$D,$A:$A,$A1255,$B:$B,"&lt;&gt;Patrícia Karla de Sousa Araújo",$B:$B,"&lt;&gt;Lorena Dias de Araujo",$B:$B,"&lt;&gt;Lucas Luiz Romero")*(10/1083),0)))))),0)</f>
        <v>22</v>
      </c>
      <c r="K1255" s="3">
        <f>I1255-J1255</f>
        <v>5</v>
      </c>
      <c r="L1255" s="3" t="str">
        <f>IF(K1255&lt;-5,"CRÍTICO",IF(K1255&lt;0,"ATENÇÃO",IF(K1255&lt;=5,"BOM","EXCELENTE")))</f>
        <v>BOM</v>
      </c>
      <c r="M1255">
        <v>27</v>
      </c>
      <c r="N1255">
        <v>100</v>
      </c>
      <c r="O1255">
        <v>44.05594405594406</v>
      </c>
    </row>
    <row r="1256" spans="1:15" hidden="1" x14ac:dyDescent="0.25">
      <c r="A1256" s="11">
        <v>46038</v>
      </c>
      <c r="B1256" t="s">
        <v>64</v>
      </c>
      <c r="C1256" t="s">
        <v>23</v>
      </c>
      <c r="D1256">
        <v>17</v>
      </c>
      <c r="E1256">
        <v>15</v>
      </c>
      <c r="F1256">
        <v>27.12</v>
      </c>
      <c r="G1256">
        <v>0</v>
      </c>
      <c r="H1256">
        <v>0</v>
      </c>
      <c r="I1256" s="3">
        <f>E1256+G1256+H1256</f>
        <v>15</v>
      </c>
      <c r="J1256" s="3">
        <f>ROUND(MIN(IF(C1256="Técnico III",35,IF(C1256="Técnico II",28,IF(C1256="Técnico I",23,IF(C1256="JR",20,IF(C1256="Estágio",10,0))))),IF(C1256="Técnico III",SUMIFS($D:$D,$A:$A,$A1256,$B:$B,"&lt;&gt;Patrícia Karla de Sousa Araújo",$B:$B,"&lt;&gt;Lorena Dias de Araujo",$B:$B,"&lt;&gt;Lucas Luiz Romero")*(35/1083),IF(C1256="Técnico II",SUMIFS($D:$D,$A:$A,$A1256,$B:$B,"&lt;&gt;Patrícia Karla de Sousa Araújo",$B:$B,"&lt;&gt;Lorena Dias de Araujo",$B:$B,"&lt;&gt;Lucas Luiz Romero")*(28/1083),IF(C1256="Técnico I",SUMIFS($D:$D,$A:$A,$A1256,$B:$B,"&lt;&gt;Patrícia Karla de Sousa Araújo",$B:$B,"&lt;&gt;Lorena Dias de Araujo",$B:$B,"&lt;&gt;Lucas Luiz Romero")*(23/1083),IF(C1256="JR",SUMIFS($D:$D,$A:$A,$A1256,$B:$B,"&lt;&gt;Patrícia Karla de Sousa Araújo",$B:$B,"&lt;&gt;Lorena Dias de Araujo",$B:$B,"&lt;&gt;Lucas Luiz Romero")*(20/1083),IF(C1256="Estágio",SUMIFS($D:$D,$A:$A,$A1256,$B:$B,"&lt;&gt;Patrícia Karla de Sousa Araújo",$B:$B,"&lt;&gt;Lorena Dias de Araujo",$B:$B,"&lt;&gt;Lucas Luiz Romero")*(10/1083),0)))))),0)</f>
        <v>14</v>
      </c>
      <c r="K1256" s="3">
        <f>I1256-J1256</f>
        <v>1</v>
      </c>
      <c r="L1256" s="3" t="str">
        <f>IF(K1256&lt;-5,"CRÍTICO",IF(K1256&lt;0,"ATENÇÃO",IF(K1256&lt;=5,"BOM","EXCELENTE")))</f>
        <v>BOM</v>
      </c>
      <c r="M1256">
        <v>11</v>
      </c>
      <c r="N1256">
        <v>100</v>
      </c>
      <c r="O1256">
        <v>31.872509960159359</v>
      </c>
    </row>
    <row r="1257" spans="1:15" hidden="1" x14ac:dyDescent="0.25">
      <c r="A1257" s="11">
        <v>46038</v>
      </c>
      <c r="B1257" t="s">
        <v>46</v>
      </c>
      <c r="C1257" t="s">
        <v>32</v>
      </c>
      <c r="D1257">
        <v>23</v>
      </c>
      <c r="E1257">
        <v>22</v>
      </c>
      <c r="F1257">
        <v>17.329999999999998</v>
      </c>
      <c r="G1257">
        <v>0</v>
      </c>
      <c r="H1257">
        <v>0</v>
      </c>
      <c r="I1257" s="3">
        <f>E1257+G1257+H1257</f>
        <v>22</v>
      </c>
      <c r="J1257" s="3">
        <f>ROUND(MIN(IF(C1257="Técnico III",35,IF(C1257="Técnico II",28,IF(C1257="Técnico I",23,IF(C1257="JR",20,IF(C1257="Estágio",10,0))))),IF(C1257="Técnico III",SUMIFS($D:$D,$A:$A,$A1257,$B:$B,"&lt;&gt;Patrícia Karla de Sousa Araújo",$B:$B,"&lt;&gt;Lorena Dias de Araujo",$B:$B,"&lt;&gt;Lucas Luiz Romero")*(35/1083),IF(C1257="Técnico II",SUMIFS($D:$D,$A:$A,$A1257,$B:$B,"&lt;&gt;Patrícia Karla de Sousa Araújo",$B:$B,"&lt;&gt;Lorena Dias de Araujo",$B:$B,"&lt;&gt;Lucas Luiz Romero")*(28/1083),IF(C1257="Técnico I",SUMIFS($D:$D,$A:$A,$A1257,$B:$B,"&lt;&gt;Patrícia Karla de Sousa Araújo",$B:$B,"&lt;&gt;Lorena Dias de Araujo",$B:$B,"&lt;&gt;Lucas Luiz Romero")*(23/1083),IF(C1257="JR",SUMIFS($D:$D,$A:$A,$A1257,$B:$B,"&lt;&gt;Patrícia Karla de Sousa Araújo",$B:$B,"&lt;&gt;Lorena Dias de Araujo",$B:$B,"&lt;&gt;Lucas Luiz Romero")*(20/1083),IF(C1257="Estágio",SUMIFS($D:$D,$A:$A,$A1257,$B:$B,"&lt;&gt;Patrícia Karla de Sousa Araújo",$B:$B,"&lt;&gt;Lorena Dias de Araujo",$B:$B,"&lt;&gt;Lucas Luiz Romero")*(10/1083),0)))))),0)</f>
        <v>22</v>
      </c>
      <c r="K1257" s="3">
        <f>I1257-J1257</f>
        <v>0</v>
      </c>
      <c r="L1257" s="3" t="str">
        <f>IF(K1257&lt;-5,"CRÍTICO",IF(K1257&lt;0,"ATENÇÃO",IF(K1257&lt;=5,"BOM","EXCELENTE")))</f>
        <v>BOM</v>
      </c>
      <c r="M1257">
        <v>21</v>
      </c>
      <c r="N1257">
        <v>98.41</v>
      </c>
      <c r="O1257">
        <v>29.22465208747515</v>
      </c>
    </row>
    <row r="1258" spans="1:15" hidden="1" x14ac:dyDescent="0.25">
      <c r="A1258" s="11">
        <v>46041</v>
      </c>
      <c r="B1258" t="s">
        <v>47</v>
      </c>
      <c r="C1258" t="s">
        <v>48</v>
      </c>
      <c r="D1258">
        <v>30</v>
      </c>
      <c r="E1258">
        <v>23</v>
      </c>
      <c r="F1258">
        <v>12.16</v>
      </c>
      <c r="G1258">
        <v>0</v>
      </c>
      <c r="H1258">
        <v>0</v>
      </c>
      <c r="I1258" s="3">
        <f>E1258+G1258+H1258</f>
        <v>23</v>
      </c>
      <c r="J1258" s="3">
        <f>ROUND(MIN(IF(C1258="Técnico III",35,IF(C1258="Técnico II",28,IF(C1258="Técnico I",23,IF(C1258="JR",20,IF(C1258="Estágio",10,0))))),IF(C1258="Técnico III",SUMIFS($D:$D,$A:$A,$A1258,$B:$B,"&lt;&gt;Patrícia Karla de Sousa Araújo",$B:$B,"&lt;&gt;Lorena Dias de Araujo",$B:$B,"&lt;&gt;Lucas Luiz Romero")*(35/1083),IF(C1258="Técnico II",SUMIFS($D:$D,$A:$A,$A1258,$B:$B,"&lt;&gt;Patrícia Karla de Sousa Araújo",$B:$B,"&lt;&gt;Lorena Dias de Araujo",$B:$B,"&lt;&gt;Lucas Luiz Romero")*(28/1083),IF(C1258="Técnico I",SUMIFS($D:$D,$A:$A,$A1258,$B:$B,"&lt;&gt;Patrícia Karla de Sousa Araújo",$B:$B,"&lt;&gt;Lorena Dias de Araujo",$B:$B,"&lt;&gt;Lucas Luiz Romero")*(23/1083),IF(C1258="JR",SUMIFS($D:$D,$A:$A,$A1258,$B:$B,"&lt;&gt;Patrícia Karla de Sousa Araújo",$B:$B,"&lt;&gt;Lorena Dias de Araujo",$B:$B,"&lt;&gt;Lucas Luiz Romero")*(20/1083),IF(C1258="Estágio",SUMIFS($D:$D,$A:$A,$A1258,$B:$B,"&lt;&gt;Patrícia Karla de Sousa Araújo",$B:$B,"&lt;&gt;Lorena Dias de Araujo",$B:$B,"&lt;&gt;Lucas Luiz Romero")*(10/1083),0)))))),0)</f>
        <v>17</v>
      </c>
      <c r="K1258" s="3">
        <f>I1258-J1258</f>
        <v>6</v>
      </c>
      <c r="L1258" s="3" t="str">
        <f>IF(K1258&lt;-5,"CRÍTICO",IF(K1258&lt;0,"ATENÇÃO",IF(K1258&lt;=5,"BOM","EXCELENTE")))</f>
        <v>EXCELENTE</v>
      </c>
      <c r="M1258">
        <v>17</v>
      </c>
      <c r="N1258">
        <v>96.81</v>
      </c>
      <c r="O1258">
        <v>27.980535279805348</v>
      </c>
    </row>
    <row r="1259" spans="1:15" hidden="1" x14ac:dyDescent="0.25">
      <c r="A1259" s="11">
        <v>46041</v>
      </c>
      <c r="B1259" t="s">
        <v>31</v>
      </c>
      <c r="C1259" t="s">
        <v>32</v>
      </c>
      <c r="D1259">
        <v>0</v>
      </c>
      <c r="E1259">
        <v>0</v>
      </c>
      <c r="F1259">
        <v>0</v>
      </c>
      <c r="G1259">
        <v>0</v>
      </c>
      <c r="H1259">
        <v>0</v>
      </c>
      <c r="I1259" s="3">
        <v>0</v>
      </c>
      <c r="J1259" s="3">
        <v>0</v>
      </c>
      <c r="K1259" s="3">
        <v>0</v>
      </c>
      <c r="L1259" s="3" t="str">
        <f>IF(K1259&lt;-5,"CRÍTICO",IF(K1259&lt;0,"ATENÇÃO",IF(K1259&lt;=5,"BOM","EXCELENTE")))</f>
        <v>BOM</v>
      </c>
      <c r="M1259">
        <v>22</v>
      </c>
      <c r="N1259">
        <v>98.73</v>
      </c>
      <c r="O1259">
        <v>35.756385068762278</v>
      </c>
    </row>
    <row r="1260" spans="1:15" hidden="1" x14ac:dyDescent="0.25">
      <c r="A1260" s="11">
        <v>46041</v>
      </c>
      <c r="B1260" t="s">
        <v>59</v>
      </c>
      <c r="C1260" t="s">
        <v>23</v>
      </c>
      <c r="D1260">
        <v>17</v>
      </c>
      <c r="E1260">
        <v>15</v>
      </c>
      <c r="F1260">
        <v>27.27</v>
      </c>
      <c r="G1260">
        <v>0</v>
      </c>
      <c r="H1260">
        <v>0</v>
      </c>
      <c r="I1260" s="3">
        <f>E1260+G1260+H1260</f>
        <v>15</v>
      </c>
      <c r="J1260" s="3">
        <f>ROUND(MIN(IF(C1260="Técnico III",35,IF(C1260="Técnico II",28,IF(C1260="Técnico I",23,IF(C1260="JR",20,IF(C1260="Estágio",10,0))))),IF(C1260="Técnico III",SUMIFS($D:$D,$A:$A,$A1260,$B:$B,"&lt;&gt;Patrícia Karla de Sousa Araújo",$B:$B,"&lt;&gt;Lorena Dias de Araujo",$B:$B,"&lt;&gt;Lucas Luiz Romero")*(35/1083),IF(C1260="Técnico II",SUMIFS($D:$D,$A:$A,$A1260,$B:$B,"&lt;&gt;Patrícia Karla de Sousa Araújo",$B:$B,"&lt;&gt;Lorena Dias de Araujo",$B:$B,"&lt;&gt;Lucas Luiz Romero")*(28/1083),IF(C1260="Técnico I",SUMIFS($D:$D,$A:$A,$A1260,$B:$B,"&lt;&gt;Patrícia Karla de Sousa Araújo",$B:$B,"&lt;&gt;Lorena Dias de Araujo",$B:$B,"&lt;&gt;Lucas Luiz Romero")*(23/1083),IF(C1260="JR",SUMIFS($D:$D,$A:$A,$A1260,$B:$B,"&lt;&gt;Patrícia Karla de Sousa Araújo",$B:$B,"&lt;&gt;Lorena Dias de Araujo",$B:$B,"&lt;&gt;Lucas Luiz Romero")*(20/1083),IF(C1260="Estágio",SUMIFS($D:$D,$A:$A,$A1260,$B:$B,"&lt;&gt;Patrícia Karla de Sousa Araújo",$B:$B,"&lt;&gt;Lorena Dias de Araujo",$B:$B,"&lt;&gt;Lucas Luiz Romero")*(10/1083),0)))))),0)</f>
        <v>14</v>
      </c>
      <c r="K1260" s="3">
        <f>I1260-J1260</f>
        <v>1</v>
      </c>
      <c r="L1260" s="3" t="str">
        <f>IF(K1260&lt;-5,"CRÍTICO",IF(K1260&lt;0,"ATENÇÃO",IF(K1260&lt;=5,"BOM","EXCELENTE")))</f>
        <v>BOM</v>
      </c>
      <c r="M1260">
        <v>15</v>
      </c>
      <c r="N1260">
        <v>98.32</v>
      </c>
      <c r="O1260">
        <v>26.763485477178421</v>
      </c>
    </row>
    <row r="1261" spans="1:15" hidden="1" x14ac:dyDescent="0.25">
      <c r="A1261" s="11">
        <v>46041</v>
      </c>
      <c r="B1261" t="s">
        <v>33</v>
      </c>
      <c r="C1261" t="s">
        <v>32</v>
      </c>
      <c r="D1261">
        <v>36</v>
      </c>
      <c r="E1261">
        <v>31</v>
      </c>
      <c r="F1261">
        <v>11.43</v>
      </c>
      <c r="G1261">
        <v>0</v>
      </c>
      <c r="H1261">
        <v>0</v>
      </c>
      <c r="I1261" s="3">
        <f>E1261+G1261+H1261</f>
        <v>31</v>
      </c>
      <c r="J1261" s="3">
        <f>ROUND(MIN(IF(C1261="Técnico III",35,IF(C1261="Técnico II",28,IF(C1261="Técnico I",23,IF(C1261="JR",20,IF(C1261="Estágio",10,0))))),IF(C1261="Técnico III",SUMIFS($D:$D,$A:$A,$A1261,$B:$B,"&lt;&gt;Patrícia Karla de Sousa Araújo",$B:$B,"&lt;&gt;Lorena Dias de Araujo",$B:$B,"&lt;&gt;Lucas Luiz Romero")*(35/1083),IF(C1261="Técnico II",SUMIFS($D:$D,$A:$A,$A1261,$B:$B,"&lt;&gt;Patrícia Karla de Sousa Araújo",$B:$B,"&lt;&gt;Lorena Dias de Araujo",$B:$B,"&lt;&gt;Lucas Luiz Romero")*(28/1083),IF(C1261="Técnico I",SUMIFS($D:$D,$A:$A,$A1261,$B:$B,"&lt;&gt;Patrícia Karla de Sousa Araújo",$B:$B,"&lt;&gt;Lorena Dias de Araujo",$B:$B,"&lt;&gt;Lucas Luiz Romero")*(23/1083),IF(C1261="JR",SUMIFS($D:$D,$A:$A,$A1261,$B:$B,"&lt;&gt;Patrícia Karla de Sousa Araújo",$B:$B,"&lt;&gt;Lorena Dias de Araujo",$B:$B,"&lt;&gt;Lucas Luiz Romero")*(20/1083),IF(C1261="Estágio",SUMIFS($D:$D,$A:$A,$A1261,$B:$B,"&lt;&gt;Patrícia Karla de Sousa Araújo",$B:$B,"&lt;&gt;Lorena Dias de Araujo",$B:$B,"&lt;&gt;Lucas Luiz Romero")*(10/1083),0)))))),0)</f>
        <v>21</v>
      </c>
      <c r="K1261" s="3">
        <f>I1261-J1261</f>
        <v>10</v>
      </c>
      <c r="L1261" s="3" t="str">
        <f>IF(K1261&lt;-5,"CRÍTICO",IF(K1261&lt;0,"ATENÇÃO",IF(K1261&lt;=5,"BOM","EXCELENTE")))</f>
        <v>EXCELENTE</v>
      </c>
      <c r="M1261">
        <v>29</v>
      </c>
      <c r="N1261">
        <v>99.19</v>
      </c>
      <c r="O1261">
        <v>27.637130801687761</v>
      </c>
    </row>
    <row r="1262" spans="1:15" hidden="1" x14ac:dyDescent="0.25">
      <c r="A1262" s="11">
        <v>46041</v>
      </c>
      <c r="B1262" t="s">
        <v>15</v>
      </c>
      <c r="C1262" t="s">
        <v>16</v>
      </c>
      <c r="D1262">
        <v>7</v>
      </c>
      <c r="E1262">
        <v>7</v>
      </c>
      <c r="F1262">
        <v>46.46</v>
      </c>
      <c r="G1262">
        <v>0</v>
      </c>
      <c r="H1262">
        <v>0</v>
      </c>
      <c r="I1262" s="3">
        <f>E1262+G1262+H1262</f>
        <v>7</v>
      </c>
      <c r="J1262" s="3">
        <f>ROUND(MIN(IF(C1262="Técnico III",35,IF(C1262="Técnico II",28,IF(C1262="Técnico I",23,IF(C1262="JR",20,IF(C1262="Estágio",10,0))))),IF(C1262="Técnico III",SUMIFS($D:$D,$A:$A,$A1262,$B:$B,"&lt;&gt;Patrícia Karla de Sousa Araújo",$B:$B,"&lt;&gt;Lorena Dias de Araujo",$B:$B,"&lt;&gt;Lucas Luiz Romero")*(35/1083),IF(C1262="Técnico II",SUMIFS($D:$D,$A:$A,$A1262,$B:$B,"&lt;&gt;Patrícia Karla de Sousa Araújo",$B:$B,"&lt;&gt;Lorena Dias de Araujo",$B:$B,"&lt;&gt;Lucas Luiz Romero")*(28/1083),IF(C1262="Técnico I",SUMIFS($D:$D,$A:$A,$A1262,$B:$B,"&lt;&gt;Patrícia Karla de Sousa Araújo",$B:$B,"&lt;&gt;Lorena Dias de Araujo",$B:$B,"&lt;&gt;Lucas Luiz Romero")*(23/1083),IF(C1262="JR",SUMIFS($D:$D,$A:$A,$A1262,$B:$B,"&lt;&gt;Patrícia Karla de Sousa Araújo",$B:$B,"&lt;&gt;Lorena Dias de Araujo",$B:$B,"&lt;&gt;Lucas Luiz Romero")*(20/1083),IF(C1262="Estágio",SUMIFS($D:$D,$A:$A,$A1262,$B:$B,"&lt;&gt;Patrícia Karla de Sousa Araújo",$B:$B,"&lt;&gt;Lorena Dias de Araujo",$B:$B,"&lt;&gt;Lucas Luiz Romero")*(10/1083),0)))))),0)</f>
        <v>6</v>
      </c>
      <c r="K1262" s="3">
        <f>I1262-J1262</f>
        <v>1</v>
      </c>
      <c r="L1262" s="3" t="str">
        <f>IF(K1262&lt;-5,"CRÍTICO",IF(K1262&lt;0,"ATENÇÃO",IF(K1262&lt;=5,"BOM","EXCELENTE")))</f>
        <v>BOM</v>
      </c>
      <c r="M1262">
        <v>5</v>
      </c>
      <c r="N1262">
        <v>100</v>
      </c>
      <c r="O1262">
        <v>39.568345323741013</v>
      </c>
    </row>
    <row r="1263" spans="1:15" hidden="1" x14ac:dyDescent="0.25">
      <c r="A1263" s="11">
        <v>46041</v>
      </c>
      <c r="B1263" t="s">
        <v>49</v>
      </c>
      <c r="C1263" t="s">
        <v>48</v>
      </c>
      <c r="D1263">
        <v>25</v>
      </c>
      <c r="E1263">
        <v>24</v>
      </c>
      <c r="F1263">
        <v>18.239999999999998</v>
      </c>
      <c r="G1263">
        <v>0</v>
      </c>
      <c r="H1263">
        <v>0</v>
      </c>
      <c r="I1263" s="3">
        <f>E1263+G1263+H1263</f>
        <v>24</v>
      </c>
      <c r="J1263" s="3">
        <f>ROUND(MIN(IF(C1263="Técnico III",35,IF(C1263="Técnico II",28,IF(C1263="Técnico I",23,IF(C1263="JR",20,IF(C1263="Estágio",10,0))))),IF(C1263="Técnico III",SUMIFS($D:$D,$A:$A,$A1263,$B:$B,"&lt;&gt;Patrícia Karla de Sousa Araújo",$B:$B,"&lt;&gt;Lorena Dias de Araujo",$B:$B,"&lt;&gt;Lucas Luiz Romero")*(35/1083),IF(C1263="Técnico II",SUMIFS($D:$D,$A:$A,$A1263,$B:$B,"&lt;&gt;Patrícia Karla de Sousa Araújo",$B:$B,"&lt;&gt;Lorena Dias de Araujo",$B:$B,"&lt;&gt;Lucas Luiz Romero")*(28/1083),IF(C1263="Técnico I",SUMIFS($D:$D,$A:$A,$A1263,$B:$B,"&lt;&gt;Patrícia Karla de Sousa Araújo",$B:$B,"&lt;&gt;Lorena Dias de Araujo",$B:$B,"&lt;&gt;Lucas Luiz Romero")*(23/1083),IF(C1263="JR",SUMIFS($D:$D,$A:$A,$A1263,$B:$B,"&lt;&gt;Patrícia Karla de Sousa Araújo",$B:$B,"&lt;&gt;Lorena Dias de Araujo",$B:$B,"&lt;&gt;Lucas Luiz Romero")*(20/1083),IF(C1263="Estágio",SUMIFS($D:$D,$A:$A,$A1263,$B:$B,"&lt;&gt;Patrícia Karla de Sousa Araújo",$B:$B,"&lt;&gt;Lorena Dias de Araujo",$B:$B,"&lt;&gt;Lucas Luiz Romero")*(10/1083),0)))))),0)</f>
        <v>17</v>
      </c>
      <c r="K1263" s="3">
        <f>I1263-J1263</f>
        <v>7</v>
      </c>
      <c r="L1263" s="3" t="str">
        <f>IF(K1263&lt;-5,"CRÍTICO",IF(K1263&lt;0,"ATENÇÃO",IF(K1263&lt;=5,"BOM","EXCELENTE")))</f>
        <v>EXCELENTE</v>
      </c>
      <c r="M1263">
        <v>22</v>
      </c>
      <c r="N1263">
        <v>98.54</v>
      </c>
      <c r="O1263">
        <v>28.544776119402989</v>
      </c>
    </row>
    <row r="1264" spans="1:15" hidden="1" x14ac:dyDescent="0.25">
      <c r="A1264" s="11">
        <v>46041</v>
      </c>
      <c r="B1264" t="s">
        <v>50</v>
      </c>
      <c r="C1264" t="s">
        <v>48</v>
      </c>
      <c r="D1264">
        <v>21</v>
      </c>
      <c r="E1264">
        <v>19</v>
      </c>
      <c r="F1264">
        <v>27.19</v>
      </c>
      <c r="G1264">
        <v>0</v>
      </c>
      <c r="H1264">
        <v>0</v>
      </c>
      <c r="I1264" s="3">
        <f>E1264+G1264+H1264</f>
        <v>19</v>
      </c>
      <c r="J1264" s="3">
        <f>ROUND(MIN(IF(C1264="Técnico III",35,IF(C1264="Técnico II",28,IF(C1264="Técnico I",23,IF(C1264="JR",20,IF(C1264="Estágio",10,0))))),IF(C1264="Técnico III",SUMIFS($D:$D,$A:$A,$A1264,$B:$B,"&lt;&gt;Patrícia Karla de Sousa Araújo",$B:$B,"&lt;&gt;Lorena Dias de Araujo",$B:$B,"&lt;&gt;Lucas Luiz Romero")*(35/1083),IF(C1264="Técnico II",SUMIFS($D:$D,$A:$A,$A1264,$B:$B,"&lt;&gt;Patrícia Karla de Sousa Araújo",$B:$B,"&lt;&gt;Lorena Dias de Araujo",$B:$B,"&lt;&gt;Lucas Luiz Romero")*(28/1083),IF(C1264="Técnico I",SUMIFS($D:$D,$A:$A,$A1264,$B:$B,"&lt;&gt;Patrícia Karla de Sousa Araújo",$B:$B,"&lt;&gt;Lorena Dias de Araujo",$B:$B,"&lt;&gt;Lucas Luiz Romero")*(23/1083),IF(C1264="JR",SUMIFS($D:$D,$A:$A,$A1264,$B:$B,"&lt;&gt;Patrícia Karla de Sousa Araújo",$B:$B,"&lt;&gt;Lorena Dias de Araujo",$B:$B,"&lt;&gt;Lucas Luiz Romero")*(20/1083),IF(C1264="Estágio",SUMIFS($D:$D,$A:$A,$A1264,$B:$B,"&lt;&gt;Patrícia Karla de Sousa Araújo",$B:$B,"&lt;&gt;Lorena Dias de Araujo",$B:$B,"&lt;&gt;Lucas Luiz Romero")*(10/1083),0)))))),0)</f>
        <v>17</v>
      </c>
      <c r="K1264" s="3">
        <f>I1264-J1264</f>
        <v>2</v>
      </c>
      <c r="L1264" s="3" t="str">
        <f>IF(K1264&lt;-5,"CRÍTICO",IF(K1264&lt;0,"ATENÇÃO",IF(K1264&lt;=5,"BOM","EXCELENTE")))</f>
        <v>BOM</v>
      </c>
      <c r="M1264">
        <v>19</v>
      </c>
      <c r="N1264">
        <v>100</v>
      </c>
      <c r="O1264">
        <v>34.366925064599492</v>
      </c>
    </row>
    <row r="1265" spans="1:15" hidden="1" x14ac:dyDescent="0.25">
      <c r="A1265" s="11">
        <v>46041</v>
      </c>
      <c r="B1265" t="s">
        <v>17</v>
      </c>
      <c r="C1265" t="s">
        <v>16</v>
      </c>
      <c r="D1265">
        <v>0</v>
      </c>
      <c r="E1265">
        <v>0</v>
      </c>
      <c r="F1265">
        <v>0</v>
      </c>
      <c r="G1265">
        <v>0</v>
      </c>
      <c r="H1265">
        <v>0</v>
      </c>
      <c r="I1265" s="3">
        <v>0</v>
      </c>
      <c r="J1265" s="3">
        <v>0</v>
      </c>
      <c r="K1265" s="3">
        <v>0</v>
      </c>
      <c r="L1265" s="3" t="str">
        <f>IF(K1265&lt;-5,"CRÍTICO",IF(K1265&lt;0,"ATENÇÃO",IF(K1265&lt;=5,"BOM","EXCELENTE")))</f>
        <v>BOM</v>
      </c>
      <c r="M1265">
        <v>0</v>
      </c>
      <c r="N1265">
        <v>0</v>
      </c>
      <c r="O1265">
        <v>0</v>
      </c>
    </row>
    <row r="1266" spans="1:15" hidden="1" x14ac:dyDescent="0.25">
      <c r="A1266" s="11">
        <v>46041</v>
      </c>
      <c r="B1266" t="s">
        <v>60</v>
      </c>
      <c r="C1266" t="s">
        <v>23</v>
      </c>
      <c r="D1266">
        <v>13</v>
      </c>
      <c r="E1266">
        <v>12</v>
      </c>
      <c r="F1266">
        <v>25.23</v>
      </c>
      <c r="G1266">
        <v>0</v>
      </c>
      <c r="H1266">
        <v>0</v>
      </c>
      <c r="I1266" s="3">
        <f>E1266+G1266+H1266</f>
        <v>12</v>
      </c>
      <c r="J1266" s="3">
        <f>ROUND(MIN(IF(C1266="Técnico III",35,IF(C1266="Técnico II",28,IF(C1266="Técnico I",23,IF(C1266="JR",20,IF(C1266="Estágio",10,0))))),IF(C1266="Técnico III",SUMIFS($D:$D,$A:$A,$A1266,$B:$B,"&lt;&gt;Patrícia Karla de Sousa Araújo",$B:$B,"&lt;&gt;Lorena Dias de Araujo",$B:$B,"&lt;&gt;Lucas Luiz Romero")*(35/1083),IF(C1266="Técnico II",SUMIFS($D:$D,$A:$A,$A1266,$B:$B,"&lt;&gt;Patrícia Karla de Sousa Araújo",$B:$B,"&lt;&gt;Lorena Dias de Araujo",$B:$B,"&lt;&gt;Lucas Luiz Romero")*(28/1083),IF(C1266="Técnico I",SUMIFS($D:$D,$A:$A,$A1266,$B:$B,"&lt;&gt;Patrícia Karla de Sousa Araújo",$B:$B,"&lt;&gt;Lorena Dias de Araujo",$B:$B,"&lt;&gt;Lucas Luiz Romero")*(23/1083),IF(C1266="JR",SUMIFS($D:$D,$A:$A,$A1266,$B:$B,"&lt;&gt;Patrícia Karla de Sousa Araújo",$B:$B,"&lt;&gt;Lorena Dias de Araujo",$B:$B,"&lt;&gt;Lucas Luiz Romero")*(20/1083),IF(C1266="Estágio",SUMIFS($D:$D,$A:$A,$A1266,$B:$B,"&lt;&gt;Patrícia Karla de Sousa Araújo",$B:$B,"&lt;&gt;Lorena Dias de Araujo",$B:$B,"&lt;&gt;Lucas Luiz Romero")*(10/1083),0)))))),0)</f>
        <v>14</v>
      </c>
      <c r="K1266" s="3">
        <f>I1266-J1266</f>
        <v>-2</v>
      </c>
      <c r="L1266" s="3" t="str">
        <f>IF(K1266&lt;-5,"CRÍTICO",IF(K1266&lt;0,"ATENÇÃO",IF(K1266&lt;=5,"BOM","EXCELENTE")))</f>
        <v>ATENÇÃO</v>
      </c>
      <c r="M1266">
        <v>12</v>
      </c>
      <c r="N1266">
        <v>100</v>
      </c>
      <c r="O1266">
        <v>29.518072289156631</v>
      </c>
    </row>
    <row r="1267" spans="1:15" hidden="1" x14ac:dyDescent="0.25">
      <c r="A1267" s="11">
        <v>46041</v>
      </c>
      <c r="B1267" t="s">
        <v>34</v>
      </c>
      <c r="C1267" t="s">
        <v>32</v>
      </c>
      <c r="D1267">
        <v>14</v>
      </c>
      <c r="E1267">
        <v>11</v>
      </c>
      <c r="F1267">
        <v>12.37</v>
      </c>
      <c r="G1267">
        <v>0</v>
      </c>
      <c r="H1267">
        <v>0</v>
      </c>
      <c r="I1267" s="3">
        <f>E1267+G1267+H1267</f>
        <v>11</v>
      </c>
      <c r="J1267" s="3">
        <f>ROUND(MIN(IF(C1267="Técnico III",35,IF(C1267="Técnico II",28,IF(C1267="Técnico I",23,IF(C1267="JR",20,IF(C1267="Estágio",10,0))))),IF(C1267="Técnico III",SUMIFS($D:$D,$A:$A,$A1267,$B:$B,"&lt;&gt;Patrícia Karla de Sousa Araújo",$B:$B,"&lt;&gt;Lorena Dias de Araujo",$B:$B,"&lt;&gt;Lucas Luiz Romero")*(35/1083),IF(C1267="Técnico II",SUMIFS($D:$D,$A:$A,$A1267,$B:$B,"&lt;&gt;Patrícia Karla de Sousa Araújo",$B:$B,"&lt;&gt;Lorena Dias de Araujo",$B:$B,"&lt;&gt;Lucas Luiz Romero")*(28/1083),IF(C1267="Técnico I",SUMIFS($D:$D,$A:$A,$A1267,$B:$B,"&lt;&gt;Patrícia Karla de Sousa Araújo",$B:$B,"&lt;&gt;Lorena Dias de Araujo",$B:$B,"&lt;&gt;Lucas Luiz Romero")*(23/1083),IF(C1267="JR",SUMIFS($D:$D,$A:$A,$A1267,$B:$B,"&lt;&gt;Patrícia Karla de Sousa Araújo",$B:$B,"&lt;&gt;Lorena Dias de Araujo",$B:$B,"&lt;&gt;Lucas Luiz Romero")*(20/1083),IF(C1267="Estágio",SUMIFS($D:$D,$A:$A,$A1267,$B:$B,"&lt;&gt;Patrícia Karla de Sousa Araújo",$B:$B,"&lt;&gt;Lorena Dias de Araujo",$B:$B,"&lt;&gt;Lucas Luiz Romero")*(10/1083),0)))))),0)</f>
        <v>21</v>
      </c>
      <c r="K1267" s="3">
        <f>I1267-J1267</f>
        <v>-10</v>
      </c>
      <c r="L1267" s="3" t="str">
        <f>IF(K1267&lt;-5,"CRÍTICO",IF(K1267&lt;0,"ATENÇÃO",IF(K1267&lt;=5,"BOM","EXCELENTE")))</f>
        <v>CRÍTICO</v>
      </c>
      <c r="M1267">
        <v>9</v>
      </c>
      <c r="N1267">
        <v>97.45</v>
      </c>
      <c r="O1267">
        <v>41.421143847487002</v>
      </c>
    </row>
    <row r="1268" spans="1:15" hidden="1" x14ac:dyDescent="0.25">
      <c r="A1268" s="11">
        <v>46041</v>
      </c>
      <c r="B1268" t="s">
        <v>51</v>
      </c>
      <c r="C1268" t="s">
        <v>48</v>
      </c>
      <c r="D1268">
        <v>37</v>
      </c>
      <c r="E1268">
        <v>26</v>
      </c>
      <c r="F1268">
        <v>7.1</v>
      </c>
      <c r="G1268">
        <v>0</v>
      </c>
      <c r="H1268">
        <v>0</v>
      </c>
      <c r="I1268" s="3">
        <v>0</v>
      </c>
      <c r="J1268" s="3">
        <v>0</v>
      </c>
      <c r="K1268" s="3">
        <v>0</v>
      </c>
      <c r="L1268" s="3" t="str">
        <f>IF(K1268&lt;-5,"CRÍTICO",IF(K1268&lt;0,"ATENÇÃO",IF(K1268&lt;=5,"BOM","EXCELENTE")))</f>
        <v>BOM</v>
      </c>
      <c r="M1268">
        <v>23</v>
      </c>
      <c r="N1268">
        <v>96.58</v>
      </c>
      <c r="O1268">
        <v>30.396475770925111</v>
      </c>
    </row>
    <row r="1269" spans="1:15" hidden="1" x14ac:dyDescent="0.25">
      <c r="A1269" s="11">
        <v>46041</v>
      </c>
      <c r="B1269" t="s">
        <v>61</v>
      </c>
      <c r="C1269" t="s">
        <v>23</v>
      </c>
      <c r="D1269">
        <v>20</v>
      </c>
      <c r="E1269">
        <v>20</v>
      </c>
      <c r="F1269">
        <v>18.239999999999998</v>
      </c>
      <c r="G1269">
        <v>0</v>
      </c>
      <c r="H1269">
        <v>0</v>
      </c>
      <c r="I1269" s="3">
        <f>E1269+G1269+H1269</f>
        <v>20</v>
      </c>
      <c r="J1269" s="3">
        <f>ROUND(MIN(IF(C1269="Técnico III",35,IF(C1269="Técnico II",28,IF(C1269="Técnico I",23,IF(C1269="JR",20,IF(C1269="Estágio",10,0))))),IF(C1269="Técnico III",SUMIFS($D:$D,$A:$A,$A1269,$B:$B,"&lt;&gt;Patrícia Karla de Sousa Araújo",$B:$B,"&lt;&gt;Lorena Dias de Araujo",$B:$B,"&lt;&gt;Lucas Luiz Romero")*(35/1083),IF(C1269="Técnico II",SUMIFS($D:$D,$A:$A,$A1269,$B:$B,"&lt;&gt;Patrícia Karla de Sousa Araújo",$B:$B,"&lt;&gt;Lorena Dias de Araujo",$B:$B,"&lt;&gt;Lucas Luiz Romero")*(28/1083),IF(C1269="Técnico I",SUMIFS($D:$D,$A:$A,$A1269,$B:$B,"&lt;&gt;Patrícia Karla de Sousa Araújo",$B:$B,"&lt;&gt;Lorena Dias de Araujo",$B:$B,"&lt;&gt;Lucas Luiz Romero")*(23/1083),IF(C1269="JR",SUMIFS($D:$D,$A:$A,$A1269,$B:$B,"&lt;&gt;Patrícia Karla de Sousa Araújo",$B:$B,"&lt;&gt;Lorena Dias de Araujo",$B:$B,"&lt;&gt;Lucas Luiz Romero")*(20/1083),IF(C1269="Estágio",SUMIFS($D:$D,$A:$A,$A1269,$B:$B,"&lt;&gt;Patrícia Karla de Sousa Araújo",$B:$B,"&lt;&gt;Lorena Dias de Araujo",$B:$B,"&lt;&gt;Lucas Luiz Romero")*(10/1083),0)))))),0)</f>
        <v>14</v>
      </c>
      <c r="K1269" s="3">
        <f>I1269-J1269</f>
        <v>6</v>
      </c>
      <c r="L1269" s="3" t="str">
        <f>IF(K1269&lt;-5,"CRÍTICO",IF(K1269&lt;0,"ATENÇÃO",IF(K1269&lt;=5,"BOM","EXCELENTE")))</f>
        <v>EXCELENTE</v>
      </c>
      <c r="M1269">
        <v>23</v>
      </c>
      <c r="N1269">
        <v>100</v>
      </c>
      <c r="O1269">
        <v>27.44282744282744</v>
      </c>
    </row>
    <row r="1270" spans="1:15" hidden="1" x14ac:dyDescent="0.25">
      <c r="A1270" s="11">
        <v>46041</v>
      </c>
      <c r="B1270" t="s">
        <v>35</v>
      </c>
      <c r="C1270" t="s">
        <v>32</v>
      </c>
      <c r="D1270">
        <v>26</v>
      </c>
      <c r="E1270">
        <v>25</v>
      </c>
      <c r="F1270">
        <v>18.260000000000002</v>
      </c>
      <c r="G1270">
        <v>0</v>
      </c>
      <c r="H1270">
        <v>0</v>
      </c>
      <c r="I1270" s="3">
        <v>0</v>
      </c>
      <c r="J1270" s="3">
        <v>0</v>
      </c>
      <c r="K1270" s="3">
        <v>0</v>
      </c>
      <c r="L1270" s="3" t="str">
        <f>IF(K1270&lt;-5,"CRÍTICO",IF(K1270&lt;0,"ATENÇÃO",IF(K1270&lt;=5,"BOM","EXCELENTE")))</f>
        <v>BOM</v>
      </c>
      <c r="M1270">
        <v>25</v>
      </c>
      <c r="N1270">
        <v>99.49</v>
      </c>
      <c r="O1270">
        <v>40.200000000000003</v>
      </c>
    </row>
    <row r="1271" spans="1:15" hidden="1" x14ac:dyDescent="0.25">
      <c r="A1271" s="11">
        <v>46041</v>
      </c>
      <c r="B1271" t="s">
        <v>18</v>
      </c>
      <c r="C1271" t="s">
        <v>16</v>
      </c>
      <c r="D1271">
        <v>0</v>
      </c>
      <c r="E1271">
        <v>0</v>
      </c>
      <c r="F1271">
        <v>0</v>
      </c>
      <c r="G1271">
        <v>0</v>
      </c>
      <c r="H1271">
        <v>0</v>
      </c>
      <c r="I1271" s="3">
        <v>0</v>
      </c>
      <c r="J1271" s="3">
        <v>0</v>
      </c>
      <c r="K1271" s="3">
        <v>0</v>
      </c>
      <c r="L1271" s="3" t="str">
        <f>IF(K1271&lt;-5,"CRÍTICO",IF(K1271&lt;0,"ATENÇÃO",IF(K1271&lt;=5,"BOM","EXCELENTE")))</f>
        <v>BOM</v>
      </c>
      <c r="M1271">
        <v>0</v>
      </c>
      <c r="N1271">
        <v>100</v>
      </c>
      <c r="O1271">
        <v>25</v>
      </c>
    </row>
    <row r="1272" spans="1:15" hidden="1" x14ac:dyDescent="0.25">
      <c r="A1272" s="11">
        <v>46041</v>
      </c>
      <c r="B1272" t="s">
        <v>52</v>
      </c>
      <c r="C1272" t="s">
        <v>48</v>
      </c>
      <c r="D1272">
        <v>28</v>
      </c>
      <c r="E1272">
        <v>26</v>
      </c>
      <c r="F1272">
        <v>19.18</v>
      </c>
      <c r="G1272">
        <v>0</v>
      </c>
      <c r="H1272">
        <v>0</v>
      </c>
      <c r="I1272" s="3">
        <f>E1272+G1272+H1272</f>
        <v>26</v>
      </c>
      <c r="J1272" s="3">
        <f>ROUND(MIN(IF(C1272="Técnico III",35,IF(C1272="Técnico II",28,IF(C1272="Técnico I",23,IF(C1272="JR",20,IF(C1272="Estágio",10,0))))),IF(C1272="Técnico III",SUMIFS($D:$D,$A:$A,$A1272,$B:$B,"&lt;&gt;Patrícia Karla de Sousa Araújo",$B:$B,"&lt;&gt;Lorena Dias de Araujo",$B:$B,"&lt;&gt;Lucas Luiz Romero")*(35/1083),IF(C1272="Técnico II",SUMIFS($D:$D,$A:$A,$A1272,$B:$B,"&lt;&gt;Patrícia Karla de Sousa Araújo",$B:$B,"&lt;&gt;Lorena Dias de Araujo",$B:$B,"&lt;&gt;Lucas Luiz Romero")*(28/1083),IF(C1272="Técnico I",SUMIFS($D:$D,$A:$A,$A1272,$B:$B,"&lt;&gt;Patrícia Karla de Sousa Araújo",$B:$B,"&lt;&gt;Lorena Dias de Araujo",$B:$B,"&lt;&gt;Lucas Luiz Romero")*(23/1083),IF(C1272="JR",SUMIFS($D:$D,$A:$A,$A1272,$B:$B,"&lt;&gt;Patrícia Karla de Sousa Araújo",$B:$B,"&lt;&gt;Lorena Dias de Araujo",$B:$B,"&lt;&gt;Lucas Luiz Romero")*(20/1083),IF(C1272="Estágio",SUMIFS($D:$D,$A:$A,$A1272,$B:$B,"&lt;&gt;Patrícia Karla de Sousa Araújo",$B:$B,"&lt;&gt;Lorena Dias de Araujo",$B:$B,"&lt;&gt;Lucas Luiz Romero")*(10/1083),0)))))),0)</f>
        <v>17</v>
      </c>
      <c r="K1272" s="3">
        <f>I1272-J1272</f>
        <v>9</v>
      </c>
      <c r="L1272" s="3" t="str">
        <f>IF(K1272&lt;-5,"CRÍTICO",IF(K1272&lt;0,"ATENÇÃO",IF(K1272&lt;=5,"BOM","EXCELENTE")))</f>
        <v>EXCELENTE</v>
      </c>
      <c r="M1272">
        <v>22</v>
      </c>
      <c r="N1272">
        <v>100</v>
      </c>
      <c r="O1272">
        <v>34.15094339622641</v>
      </c>
    </row>
    <row r="1273" spans="1:15" hidden="1" x14ac:dyDescent="0.25">
      <c r="A1273" s="11">
        <v>46041</v>
      </c>
      <c r="B1273" t="s">
        <v>36</v>
      </c>
      <c r="C1273" t="s">
        <v>32</v>
      </c>
      <c r="D1273">
        <v>20</v>
      </c>
      <c r="E1273">
        <v>18</v>
      </c>
      <c r="F1273">
        <v>20.23</v>
      </c>
      <c r="G1273">
        <v>0</v>
      </c>
      <c r="H1273">
        <v>0</v>
      </c>
      <c r="I1273" s="3">
        <f>E1273+G1273+H1273</f>
        <v>18</v>
      </c>
      <c r="J1273" s="3">
        <f>ROUND(MIN(IF(C1273="Técnico III",35,IF(C1273="Técnico II",28,IF(C1273="Técnico I",23,IF(C1273="JR",20,IF(C1273="Estágio",10,0))))),IF(C1273="Técnico III",SUMIFS($D:$D,$A:$A,$A1273,$B:$B,"&lt;&gt;Patrícia Karla de Sousa Araújo",$B:$B,"&lt;&gt;Lorena Dias de Araujo",$B:$B,"&lt;&gt;Lucas Luiz Romero")*(35/1083),IF(C1273="Técnico II",SUMIFS($D:$D,$A:$A,$A1273,$B:$B,"&lt;&gt;Patrícia Karla de Sousa Araújo",$B:$B,"&lt;&gt;Lorena Dias de Araujo",$B:$B,"&lt;&gt;Lucas Luiz Romero")*(28/1083),IF(C1273="Técnico I",SUMIFS($D:$D,$A:$A,$A1273,$B:$B,"&lt;&gt;Patrícia Karla de Sousa Araújo",$B:$B,"&lt;&gt;Lorena Dias de Araujo",$B:$B,"&lt;&gt;Lucas Luiz Romero")*(23/1083),IF(C1273="JR",SUMIFS($D:$D,$A:$A,$A1273,$B:$B,"&lt;&gt;Patrícia Karla de Sousa Araújo",$B:$B,"&lt;&gt;Lorena Dias de Araujo",$B:$B,"&lt;&gt;Lucas Luiz Romero")*(20/1083),IF(C1273="Estágio",SUMIFS($D:$D,$A:$A,$A1273,$B:$B,"&lt;&gt;Patrícia Karla de Sousa Araújo",$B:$B,"&lt;&gt;Lorena Dias de Araujo",$B:$B,"&lt;&gt;Lucas Luiz Romero")*(10/1083),0)))))),0)</f>
        <v>21</v>
      </c>
      <c r="K1273" s="3">
        <f>I1273-J1273</f>
        <v>-3</v>
      </c>
      <c r="L1273" s="3" t="str">
        <f>IF(K1273&lt;-5,"CRÍTICO",IF(K1273&lt;0,"ATENÇÃO",IF(K1273&lt;=5,"BOM","EXCELENTE")))</f>
        <v>ATENÇÃO</v>
      </c>
      <c r="M1273">
        <v>18</v>
      </c>
      <c r="N1273">
        <v>100</v>
      </c>
      <c r="O1273">
        <v>32.731376975169297</v>
      </c>
    </row>
    <row r="1274" spans="1:15" hidden="1" x14ac:dyDescent="0.25">
      <c r="A1274" s="11">
        <v>46041</v>
      </c>
      <c r="B1274" t="s">
        <v>53</v>
      </c>
      <c r="C1274" t="s">
        <v>48</v>
      </c>
      <c r="D1274">
        <v>20</v>
      </c>
      <c r="E1274">
        <v>18</v>
      </c>
      <c r="F1274">
        <v>30</v>
      </c>
      <c r="G1274">
        <v>0</v>
      </c>
      <c r="H1274">
        <v>0</v>
      </c>
      <c r="I1274" s="3">
        <f>E1274+G1274+H1274</f>
        <v>18</v>
      </c>
      <c r="J1274" s="3">
        <f>ROUND(MIN(IF(C1274="Técnico III",35,IF(C1274="Técnico II",28,IF(C1274="Técnico I",23,IF(C1274="JR",20,IF(C1274="Estágio",10,0))))),IF(C1274="Técnico III",SUMIFS($D:$D,$A:$A,$A1274,$B:$B,"&lt;&gt;Patrícia Karla de Sousa Araújo",$B:$B,"&lt;&gt;Lorena Dias de Araujo",$B:$B,"&lt;&gt;Lucas Luiz Romero")*(35/1083),IF(C1274="Técnico II",SUMIFS($D:$D,$A:$A,$A1274,$B:$B,"&lt;&gt;Patrícia Karla de Sousa Araújo",$B:$B,"&lt;&gt;Lorena Dias de Araujo",$B:$B,"&lt;&gt;Lucas Luiz Romero")*(28/1083),IF(C1274="Técnico I",SUMIFS($D:$D,$A:$A,$A1274,$B:$B,"&lt;&gt;Patrícia Karla de Sousa Araújo",$B:$B,"&lt;&gt;Lorena Dias de Araujo",$B:$B,"&lt;&gt;Lucas Luiz Romero")*(23/1083),IF(C1274="JR",SUMIFS($D:$D,$A:$A,$A1274,$B:$B,"&lt;&gt;Patrícia Karla de Sousa Araújo",$B:$B,"&lt;&gt;Lorena Dias de Araujo",$B:$B,"&lt;&gt;Lucas Luiz Romero")*(20/1083),IF(C1274="Estágio",SUMIFS($D:$D,$A:$A,$A1274,$B:$B,"&lt;&gt;Patrícia Karla de Sousa Araújo",$B:$B,"&lt;&gt;Lorena Dias de Araujo",$B:$B,"&lt;&gt;Lucas Luiz Romero")*(10/1083),0)))))),0)</f>
        <v>17</v>
      </c>
      <c r="K1274" s="3">
        <f>I1274-J1274</f>
        <v>1</v>
      </c>
      <c r="L1274" s="3" t="str">
        <f>IF(K1274&lt;-5,"CRÍTICO",IF(K1274&lt;0,"ATENÇÃO",IF(K1274&lt;=5,"BOM","EXCELENTE")))</f>
        <v>BOM</v>
      </c>
      <c r="M1274">
        <v>15</v>
      </c>
      <c r="N1274">
        <v>99.31</v>
      </c>
      <c r="O1274">
        <v>30.96234309623431</v>
      </c>
    </row>
    <row r="1275" spans="1:15" hidden="1" x14ac:dyDescent="0.25">
      <c r="A1275" s="11">
        <v>46073</v>
      </c>
      <c r="B1275" t="s">
        <v>22</v>
      </c>
      <c r="C1275" t="s">
        <v>23</v>
      </c>
      <c r="D1275">
        <v>18</v>
      </c>
      <c r="E1275">
        <v>16</v>
      </c>
      <c r="F1275">
        <v>24.08</v>
      </c>
      <c r="G1275">
        <v>0</v>
      </c>
      <c r="H1275">
        <v>0</v>
      </c>
      <c r="I1275" s="3">
        <f>E1275+G1275+H1275</f>
        <v>16</v>
      </c>
      <c r="J1275" s="3">
        <f>ROUND(MIN(IF(C1275="Técnico III",35,IF(C1275="Técnico II",28,IF(C1275="Técnico I",23,IF(C1275="JR",20,IF(C1275="Estágio",10,0))))),IF(C1275="Técnico III",SUMIFS($D:$D,$A:$A,$A1275,$B:$B,"&lt;&gt;Patrícia Karla de Sousa Araújo",$B:$B,"&lt;&gt;Lorena Dias de Araujo",$B:$B,"&lt;&gt;Lucas Luiz Romero")*(35/1083),IF(C1275="Técnico II",SUMIFS($D:$D,$A:$A,$A1275,$B:$B,"&lt;&gt;Patrícia Karla de Sousa Araújo",$B:$B,"&lt;&gt;Lorena Dias de Araujo",$B:$B,"&lt;&gt;Lucas Luiz Romero")*(28/1083),IF(C1275="Técnico I",SUMIFS($D:$D,$A:$A,$A1275,$B:$B,"&lt;&gt;Patrícia Karla de Sousa Araújo",$B:$B,"&lt;&gt;Lorena Dias de Araujo",$B:$B,"&lt;&gt;Lucas Luiz Romero")*(23/1083),IF(C1275="JR",SUMIFS($D:$D,$A:$A,$A1275,$B:$B,"&lt;&gt;Patrícia Karla de Sousa Araújo",$B:$B,"&lt;&gt;Lorena Dias de Araujo",$B:$B,"&lt;&gt;Lucas Luiz Romero")*(20/1083),IF(C1275="Estágio",SUMIFS($D:$D,$A:$A,$A1275,$B:$B,"&lt;&gt;Patrícia Karla de Sousa Araújo",$B:$B,"&lt;&gt;Lorena Dias de Araujo",$B:$B,"&lt;&gt;Lucas Luiz Romero")*(10/1083),0)))))),0)</f>
        <v>15</v>
      </c>
      <c r="K1275" s="3">
        <f>I1275-J1275</f>
        <v>1</v>
      </c>
      <c r="L1275" s="3" t="str">
        <f>IF(K1275&lt;-5,"CRÍTICO",IF(K1275&lt;0,"ATENÇÃO",IF(K1275&lt;=5,"BOM","EXCELENTE")))</f>
        <v>BOM</v>
      </c>
      <c r="M1275">
        <v>16</v>
      </c>
      <c r="N1275">
        <v>96.67</v>
      </c>
      <c r="O1275">
        <v>31.451612903225811</v>
      </c>
    </row>
    <row r="1276" spans="1:15" hidden="1" x14ac:dyDescent="0.25">
      <c r="A1276" s="11">
        <v>46041</v>
      </c>
      <c r="B1276" t="s">
        <v>54</v>
      </c>
      <c r="C1276" t="s">
        <v>48</v>
      </c>
      <c r="D1276">
        <v>20</v>
      </c>
      <c r="E1276">
        <v>20</v>
      </c>
      <c r="F1276">
        <v>29.11</v>
      </c>
      <c r="G1276">
        <v>0</v>
      </c>
      <c r="H1276">
        <v>0</v>
      </c>
      <c r="I1276" s="3">
        <f>E1276+G1276+H1276</f>
        <v>20</v>
      </c>
      <c r="J1276" s="3">
        <f>ROUND(MIN(IF(C1276="Técnico III",35,IF(C1276="Técnico II",28,IF(C1276="Técnico I",23,IF(C1276="JR",20,IF(C1276="Estágio",10,0))))),IF(C1276="Técnico III",SUMIFS($D:$D,$A:$A,$A1276,$B:$B,"&lt;&gt;Patrícia Karla de Sousa Araújo",$B:$B,"&lt;&gt;Lorena Dias de Araujo",$B:$B,"&lt;&gt;Lucas Luiz Romero")*(35/1083),IF(C1276="Técnico II",SUMIFS($D:$D,$A:$A,$A1276,$B:$B,"&lt;&gt;Patrícia Karla de Sousa Araújo",$B:$B,"&lt;&gt;Lorena Dias de Araujo",$B:$B,"&lt;&gt;Lucas Luiz Romero")*(28/1083),IF(C1276="Técnico I",SUMIFS($D:$D,$A:$A,$A1276,$B:$B,"&lt;&gt;Patrícia Karla de Sousa Araújo",$B:$B,"&lt;&gt;Lorena Dias de Araujo",$B:$B,"&lt;&gt;Lucas Luiz Romero")*(23/1083),IF(C1276="JR",SUMIFS($D:$D,$A:$A,$A1276,$B:$B,"&lt;&gt;Patrícia Karla de Sousa Araújo",$B:$B,"&lt;&gt;Lorena Dias de Araujo",$B:$B,"&lt;&gt;Lucas Luiz Romero")*(20/1083),IF(C1276="Estágio",SUMIFS($D:$D,$A:$A,$A1276,$B:$B,"&lt;&gt;Patrícia Karla de Sousa Araújo",$B:$B,"&lt;&gt;Lorena Dias de Araujo",$B:$B,"&lt;&gt;Lucas Luiz Romero")*(10/1083),0)))))),0)</f>
        <v>17</v>
      </c>
      <c r="K1276" s="3">
        <f>I1276-J1276</f>
        <v>3</v>
      </c>
      <c r="L1276" s="3" t="str">
        <f>IF(K1276&lt;-5,"CRÍTICO",IF(K1276&lt;0,"ATENÇÃO",IF(K1276&lt;=5,"BOM","EXCELENTE")))</f>
        <v>BOM</v>
      </c>
      <c r="M1276">
        <v>18</v>
      </c>
      <c r="N1276">
        <v>100</v>
      </c>
      <c r="O1276">
        <v>27.676767676767678</v>
      </c>
    </row>
    <row r="1277" spans="1:15" hidden="1" x14ac:dyDescent="0.25">
      <c r="A1277" s="11">
        <v>46041</v>
      </c>
      <c r="B1277" t="s">
        <v>37</v>
      </c>
      <c r="C1277" t="s">
        <v>32</v>
      </c>
      <c r="D1277">
        <v>32</v>
      </c>
      <c r="E1277">
        <v>26</v>
      </c>
      <c r="F1277">
        <v>12.26</v>
      </c>
      <c r="G1277">
        <v>0</v>
      </c>
      <c r="H1277">
        <v>0</v>
      </c>
      <c r="I1277" s="3">
        <f>E1277+G1277+H1277</f>
        <v>26</v>
      </c>
      <c r="J1277" s="3">
        <f>ROUND(MIN(IF(C1277="Técnico III",35,IF(C1277="Técnico II",28,IF(C1277="Técnico I",23,IF(C1277="JR",20,IF(C1277="Estágio",10,0))))),IF(C1277="Técnico III",SUMIFS($D:$D,$A:$A,$A1277,$B:$B,"&lt;&gt;Patrícia Karla de Sousa Araújo",$B:$B,"&lt;&gt;Lorena Dias de Araujo",$B:$B,"&lt;&gt;Lucas Luiz Romero")*(35/1083),IF(C1277="Técnico II",SUMIFS($D:$D,$A:$A,$A1277,$B:$B,"&lt;&gt;Patrícia Karla de Sousa Araújo",$B:$B,"&lt;&gt;Lorena Dias de Araujo",$B:$B,"&lt;&gt;Lucas Luiz Romero")*(28/1083),IF(C1277="Técnico I",SUMIFS($D:$D,$A:$A,$A1277,$B:$B,"&lt;&gt;Patrícia Karla de Sousa Araújo",$B:$B,"&lt;&gt;Lorena Dias de Araujo",$B:$B,"&lt;&gt;Lucas Luiz Romero")*(23/1083),IF(C1277="JR",SUMIFS($D:$D,$A:$A,$A1277,$B:$B,"&lt;&gt;Patrícia Karla de Sousa Araújo",$B:$B,"&lt;&gt;Lorena Dias de Araujo",$B:$B,"&lt;&gt;Lucas Luiz Romero")*(20/1083),IF(C1277="Estágio",SUMIFS($D:$D,$A:$A,$A1277,$B:$B,"&lt;&gt;Patrícia Karla de Sousa Araújo",$B:$B,"&lt;&gt;Lorena Dias de Araujo",$B:$B,"&lt;&gt;Lucas Luiz Romero")*(10/1083),0)))))),0)</f>
        <v>21</v>
      </c>
      <c r="K1277" s="3">
        <f>I1277-J1277</f>
        <v>5</v>
      </c>
      <c r="L1277" s="3" t="str">
        <f>IF(K1277&lt;-5,"CRÍTICO",IF(K1277&lt;0,"ATENÇÃO",IF(K1277&lt;=5,"BOM","EXCELENTE")))</f>
        <v>BOM</v>
      </c>
      <c r="M1277">
        <v>30</v>
      </c>
      <c r="N1277">
        <v>100</v>
      </c>
      <c r="O1277">
        <v>31.17723156532988</v>
      </c>
    </row>
    <row r="1278" spans="1:15" hidden="1" x14ac:dyDescent="0.25">
      <c r="A1278" s="11">
        <v>46041</v>
      </c>
      <c r="B1278" t="s">
        <v>38</v>
      </c>
      <c r="C1278" t="s">
        <v>32</v>
      </c>
      <c r="D1278">
        <v>19</v>
      </c>
      <c r="E1278">
        <v>17</v>
      </c>
      <c r="F1278">
        <v>8.36</v>
      </c>
      <c r="G1278">
        <v>0</v>
      </c>
      <c r="H1278">
        <v>0</v>
      </c>
      <c r="I1278" s="3">
        <f>E1278+G1278+H1278</f>
        <v>17</v>
      </c>
      <c r="J1278" s="3">
        <f>ROUND(MIN(IF(C1278="Técnico III",35,IF(C1278="Técnico II",28,IF(C1278="Técnico I",23,IF(C1278="JR",20,IF(C1278="Estágio",10,0))))),IF(C1278="Técnico III",SUMIFS($D:$D,$A:$A,$A1278,$B:$B,"&lt;&gt;Patrícia Karla de Sousa Araújo",$B:$B,"&lt;&gt;Lorena Dias de Araujo",$B:$B,"&lt;&gt;Lucas Luiz Romero")*(35/1083),IF(C1278="Técnico II",SUMIFS($D:$D,$A:$A,$A1278,$B:$B,"&lt;&gt;Patrícia Karla de Sousa Araújo",$B:$B,"&lt;&gt;Lorena Dias de Araujo",$B:$B,"&lt;&gt;Lucas Luiz Romero")*(28/1083),IF(C1278="Técnico I",SUMIFS($D:$D,$A:$A,$A1278,$B:$B,"&lt;&gt;Patrícia Karla de Sousa Araújo",$B:$B,"&lt;&gt;Lorena Dias de Araujo",$B:$B,"&lt;&gt;Lucas Luiz Romero")*(23/1083),IF(C1278="JR",SUMIFS($D:$D,$A:$A,$A1278,$B:$B,"&lt;&gt;Patrícia Karla de Sousa Araújo",$B:$B,"&lt;&gt;Lorena Dias de Araujo",$B:$B,"&lt;&gt;Lucas Luiz Romero")*(20/1083),IF(C1278="Estágio",SUMIFS($D:$D,$A:$A,$A1278,$B:$B,"&lt;&gt;Patrícia Karla de Sousa Araújo",$B:$B,"&lt;&gt;Lorena Dias de Araujo",$B:$B,"&lt;&gt;Lucas Luiz Romero")*(10/1083),0)))))),0)</f>
        <v>21</v>
      </c>
      <c r="K1278" s="3">
        <f>I1278-J1278</f>
        <v>-4</v>
      </c>
      <c r="L1278" s="3" t="str">
        <f>IF(K1278&lt;-5,"CRÍTICO",IF(K1278&lt;0,"ATENÇÃO",IF(K1278&lt;=5,"BOM","EXCELENTE")))</f>
        <v>ATENÇÃO</v>
      </c>
      <c r="M1278">
        <v>16</v>
      </c>
      <c r="N1278">
        <v>100</v>
      </c>
      <c r="O1278">
        <v>27.609427609427609</v>
      </c>
    </row>
    <row r="1279" spans="1:15" hidden="1" x14ac:dyDescent="0.25">
      <c r="A1279" s="11">
        <v>46041</v>
      </c>
      <c r="B1279" t="s">
        <v>55</v>
      </c>
      <c r="C1279" t="s">
        <v>48</v>
      </c>
      <c r="D1279">
        <v>29</v>
      </c>
      <c r="E1279">
        <v>23</v>
      </c>
      <c r="F1279">
        <v>16.440000000000001</v>
      </c>
      <c r="G1279">
        <v>0</v>
      </c>
      <c r="H1279">
        <v>0</v>
      </c>
      <c r="I1279" s="3">
        <f>E1279+G1279+H1279</f>
        <v>23</v>
      </c>
      <c r="J1279" s="3">
        <f>ROUND(MIN(IF(C1279="Técnico III",35,IF(C1279="Técnico II",28,IF(C1279="Técnico I",23,IF(C1279="JR",20,IF(C1279="Estágio",10,0))))),IF(C1279="Técnico III",SUMIFS($D:$D,$A:$A,$A1279,$B:$B,"&lt;&gt;Patrícia Karla de Sousa Araújo",$B:$B,"&lt;&gt;Lorena Dias de Araujo",$B:$B,"&lt;&gt;Lucas Luiz Romero")*(35/1083),IF(C1279="Técnico II",SUMIFS($D:$D,$A:$A,$A1279,$B:$B,"&lt;&gt;Patrícia Karla de Sousa Araújo",$B:$B,"&lt;&gt;Lorena Dias de Araujo",$B:$B,"&lt;&gt;Lucas Luiz Romero")*(28/1083),IF(C1279="Técnico I",SUMIFS($D:$D,$A:$A,$A1279,$B:$B,"&lt;&gt;Patrícia Karla de Sousa Araújo",$B:$B,"&lt;&gt;Lorena Dias de Araujo",$B:$B,"&lt;&gt;Lucas Luiz Romero")*(23/1083),IF(C1279="JR",SUMIFS($D:$D,$A:$A,$A1279,$B:$B,"&lt;&gt;Patrícia Karla de Sousa Araújo",$B:$B,"&lt;&gt;Lorena Dias de Araujo",$B:$B,"&lt;&gt;Lucas Luiz Romero")*(20/1083),IF(C1279="Estágio",SUMIFS($D:$D,$A:$A,$A1279,$B:$B,"&lt;&gt;Patrícia Karla de Sousa Araújo",$B:$B,"&lt;&gt;Lorena Dias de Araujo",$B:$B,"&lt;&gt;Lucas Luiz Romero")*(10/1083),0)))))),0)</f>
        <v>17</v>
      </c>
      <c r="K1279" s="3">
        <f>I1279-J1279</f>
        <v>6</v>
      </c>
      <c r="L1279" s="3" t="str">
        <f>IF(K1279&lt;-5,"CRÍTICO",IF(K1279&lt;0,"ATENÇÃO",IF(K1279&lt;=5,"BOM","EXCELENTE")))</f>
        <v>EXCELENTE</v>
      </c>
      <c r="M1279">
        <v>18</v>
      </c>
      <c r="N1279">
        <v>96.4</v>
      </c>
      <c r="O1279">
        <v>28.764044943820231</v>
      </c>
    </row>
    <row r="1280" spans="1:15" hidden="1" x14ac:dyDescent="0.25">
      <c r="A1280" s="11">
        <v>46041</v>
      </c>
      <c r="B1280" t="s">
        <v>39</v>
      </c>
      <c r="C1280" t="s">
        <v>32</v>
      </c>
      <c r="D1280">
        <v>0</v>
      </c>
      <c r="E1280">
        <v>0</v>
      </c>
      <c r="F1280">
        <v>0</v>
      </c>
      <c r="G1280">
        <v>0</v>
      </c>
      <c r="H1280">
        <v>0</v>
      </c>
      <c r="I1280" s="3">
        <v>0</v>
      </c>
      <c r="J1280" s="3">
        <v>0</v>
      </c>
      <c r="K1280" s="3">
        <v>0</v>
      </c>
      <c r="L1280" s="3" t="str">
        <f>IF(K1280&lt;-5,"CRÍTICO",IF(K1280&lt;0,"ATENÇÃO",IF(K1280&lt;=5,"BOM","EXCELENTE")))</f>
        <v>BOM</v>
      </c>
      <c r="M1280">
        <v>7</v>
      </c>
      <c r="N1280">
        <v>100</v>
      </c>
      <c r="O1280">
        <v>33.980582524271853</v>
      </c>
    </row>
    <row r="1281" spans="1:15" hidden="1" x14ac:dyDescent="0.25">
      <c r="A1281" s="11">
        <v>46041</v>
      </c>
      <c r="B1281" t="s">
        <v>25</v>
      </c>
      <c r="C1281" t="s">
        <v>26</v>
      </c>
      <c r="D1281">
        <v>16</v>
      </c>
      <c r="E1281">
        <v>15</v>
      </c>
      <c r="F1281">
        <v>35.01</v>
      </c>
      <c r="G1281">
        <v>0</v>
      </c>
      <c r="H1281">
        <v>0</v>
      </c>
      <c r="I1281" s="3">
        <f>E1281+G1281+H1281</f>
        <v>15</v>
      </c>
      <c r="J1281" s="3">
        <f>ROUND(MIN(IF(C1281="Técnico III",35,IF(C1281="Técnico II",28,IF(C1281="Técnico I",23,IF(C1281="JR",20,IF(C1281="Estágio",10,0))))),IF(C1281="Técnico III",SUMIFS($D:$D,$A:$A,$A1281,$B:$B,"&lt;&gt;Patrícia Karla de Sousa Araújo",$B:$B,"&lt;&gt;Lorena Dias de Araujo",$B:$B,"&lt;&gt;Lucas Luiz Romero")*(35/1083),IF(C1281="Técnico II",SUMIFS($D:$D,$A:$A,$A1281,$B:$B,"&lt;&gt;Patrícia Karla de Sousa Araújo",$B:$B,"&lt;&gt;Lorena Dias de Araujo",$B:$B,"&lt;&gt;Lucas Luiz Romero")*(28/1083),IF(C1281="Técnico I",SUMIFS($D:$D,$A:$A,$A1281,$B:$B,"&lt;&gt;Patrícia Karla de Sousa Araújo",$B:$B,"&lt;&gt;Lorena Dias de Araujo",$B:$B,"&lt;&gt;Lucas Luiz Romero")*(23/1083),IF(C1281="JR",SUMIFS($D:$D,$A:$A,$A1281,$B:$B,"&lt;&gt;Patrícia Karla de Sousa Araújo",$B:$B,"&lt;&gt;Lorena Dias de Araujo",$B:$B,"&lt;&gt;Lucas Luiz Romero")*(20/1083),IF(C1281="Estágio",SUMIFS($D:$D,$A:$A,$A1281,$B:$B,"&lt;&gt;Patrícia Karla de Sousa Araújo",$B:$B,"&lt;&gt;Lorena Dias de Araujo",$B:$B,"&lt;&gt;Lucas Luiz Romero")*(10/1083),0)))))),0)</f>
        <v>12</v>
      </c>
      <c r="K1281" s="3">
        <f>I1281-J1281</f>
        <v>3</v>
      </c>
      <c r="L1281" s="3" t="str">
        <f>IF(K1281&lt;-5,"CRÍTICO",IF(K1281&lt;0,"ATENÇÃO",IF(K1281&lt;=5,"BOM","EXCELENTE")))</f>
        <v>BOM</v>
      </c>
      <c r="M1281">
        <v>12</v>
      </c>
      <c r="N1281">
        <v>97.56</v>
      </c>
      <c r="O1281">
        <v>32.515337423312893</v>
      </c>
    </row>
    <row r="1282" spans="1:15" hidden="1" x14ac:dyDescent="0.25">
      <c r="A1282" s="11">
        <v>46041</v>
      </c>
      <c r="B1282" t="s">
        <v>40</v>
      </c>
      <c r="C1282" t="s">
        <v>32</v>
      </c>
      <c r="D1282">
        <v>18</v>
      </c>
      <c r="E1282">
        <v>15</v>
      </c>
      <c r="F1282">
        <v>20.38</v>
      </c>
      <c r="G1282">
        <v>0</v>
      </c>
      <c r="H1282">
        <v>0</v>
      </c>
      <c r="I1282" s="3">
        <f>E1282+G1282+H1282</f>
        <v>15</v>
      </c>
      <c r="J1282" s="3">
        <f>ROUND(MIN(IF(C1282="Técnico III",35,IF(C1282="Técnico II",28,IF(C1282="Técnico I",23,IF(C1282="JR",20,IF(C1282="Estágio",10,0))))),IF(C1282="Técnico III",SUMIFS($D:$D,$A:$A,$A1282,$B:$B,"&lt;&gt;Patrícia Karla de Sousa Araújo",$B:$B,"&lt;&gt;Lorena Dias de Araujo",$B:$B,"&lt;&gt;Lucas Luiz Romero")*(35/1083),IF(C1282="Técnico II",SUMIFS($D:$D,$A:$A,$A1282,$B:$B,"&lt;&gt;Patrícia Karla de Sousa Araújo",$B:$B,"&lt;&gt;Lorena Dias de Araujo",$B:$B,"&lt;&gt;Lucas Luiz Romero")*(28/1083),IF(C1282="Técnico I",SUMIFS($D:$D,$A:$A,$A1282,$B:$B,"&lt;&gt;Patrícia Karla de Sousa Araújo",$B:$B,"&lt;&gt;Lorena Dias de Araujo",$B:$B,"&lt;&gt;Lucas Luiz Romero")*(23/1083),IF(C1282="JR",SUMIFS($D:$D,$A:$A,$A1282,$B:$B,"&lt;&gt;Patrícia Karla de Sousa Araújo",$B:$B,"&lt;&gt;Lorena Dias de Araujo",$B:$B,"&lt;&gt;Lucas Luiz Romero")*(20/1083),IF(C1282="Estágio",SUMIFS($D:$D,$A:$A,$A1282,$B:$B,"&lt;&gt;Patrícia Karla de Sousa Araújo",$B:$B,"&lt;&gt;Lorena Dias de Araujo",$B:$B,"&lt;&gt;Lucas Luiz Romero")*(10/1083),0)))))),0)</f>
        <v>21</v>
      </c>
      <c r="K1282" s="3">
        <f>I1282-J1282</f>
        <v>-6</v>
      </c>
      <c r="L1282" s="3" t="str">
        <f>IF(K1282&lt;-5,"CRÍTICO",IF(K1282&lt;0,"ATENÇÃO",IF(K1282&lt;=5,"BOM","EXCELENTE")))</f>
        <v>CRÍTICO</v>
      </c>
      <c r="M1282">
        <v>18</v>
      </c>
      <c r="N1282">
        <v>97.11</v>
      </c>
      <c r="O1282">
        <v>37.408312958435211</v>
      </c>
    </row>
    <row r="1283" spans="1:15" hidden="1" x14ac:dyDescent="0.25">
      <c r="A1283" s="11">
        <v>46041</v>
      </c>
      <c r="B1283" t="s">
        <v>27</v>
      </c>
      <c r="C1283" t="s">
        <v>26</v>
      </c>
      <c r="D1283">
        <v>0</v>
      </c>
      <c r="E1283">
        <v>0</v>
      </c>
      <c r="F1283">
        <v>0</v>
      </c>
      <c r="G1283">
        <v>0</v>
      </c>
      <c r="H1283">
        <v>0</v>
      </c>
      <c r="I1283" s="3">
        <v>0</v>
      </c>
      <c r="J1283" s="3">
        <v>0</v>
      </c>
      <c r="K1283" s="3">
        <v>0</v>
      </c>
      <c r="L1283" s="3" t="str">
        <f>IF(K1283&lt;-5,"CRÍTICO",IF(K1283&lt;0,"ATENÇÃO",IF(K1283&lt;=5,"BOM","EXCELENTE")))</f>
        <v>BOM</v>
      </c>
      <c r="M1283">
        <v>0</v>
      </c>
      <c r="N1283">
        <v>0</v>
      </c>
      <c r="O1283">
        <v>0</v>
      </c>
    </row>
    <row r="1284" spans="1:15" hidden="1" x14ac:dyDescent="0.25">
      <c r="A1284" s="11">
        <v>46041</v>
      </c>
      <c r="B1284" t="s">
        <v>41</v>
      </c>
      <c r="C1284" t="s">
        <v>32</v>
      </c>
      <c r="D1284">
        <v>27</v>
      </c>
      <c r="E1284">
        <v>23</v>
      </c>
      <c r="F1284">
        <v>15.25</v>
      </c>
      <c r="G1284">
        <v>0</v>
      </c>
      <c r="H1284">
        <v>0</v>
      </c>
      <c r="I1284" s="3">
        <f>E1284+G1284+H1284</f>
        <v>23</v>
      </c>
      <c r="J1284" s="3">
        <f>ROUND(MIN(IF(C1284="Técnico III",35,IF(C1284="Técnico II",28,IF(C1284="Técnico I",23,IF(C1284="JR",20,IF(C1284="Estágio",10,0))))),IF(C1284="Técnico III",SUMIFS($D:$D,$A:$A,$A1284,$B:$B,"&lt;&gt;Patrícia Karla de Sousa Araújo",$B:$B,"&lt;&gt;Lorena Dias de Araujo",$B:$B,"&lt;&gt;Lucas Luiz Romero")*(35/1083),IF(C1284="Técnico II",SUMIFS($D:$D,$A:$A,$A1284,$B:$B,"&lt;&gt;Patrícia Karla de Sousa Araújo",$B:$B,"&lt;&gt;Lorena Dias de Araujo",$B:$B,"&lt;&gt;Lucas Luiz Romero")*(28/1083),IF(C1284="Técnico I",SUMIFS($D:$D,$A:$A,$A1284,$B:$B,"&lt;&gt;Patrícia Karla de Sousa Araújo",$B:$B,"&lt;&gt;Lorena Dias de Araujo",$B:$B,"&lt;&gt;Lucas Luiz Romero")*(23/1083),IF(C1284="JR",SUMIFS($D:$D,$A:$A,$A1284,$B:$B,"&lt;&gt;Patrícia Karla de Sousa Araújo",$B:$B,"&lt;&gt;Lorena Dias de Araujo",$B:$B,"&lt;&gt;Lucas Luiz Romero")*(20/1083),IF(C1284="Estágio",SUMIFS($D:$D,$A:$A,$A1284,$B:$B,"&lt;&gt;Patrícia Karla de Sousa Araújo",$B:$B,"&lt;&gt;Lorena Dias de Araujo",$B:$B,"&lt;&gt;Lucas Luiz Romero")*(10/1083),0)))))),0)</f>
        <v>21</v>
      </c>
      <c r="K1284" s="3">
        <f>I1284-J1284</f>
        <v>2</v>
      </c>
      <c r="L1284" s="3" t="str">
        <f>IF(K1284&lt;-5,"CRÍTICO",IF(K1284&lt;0,"ATENÇÃO",IF(K1284&lt;=5,"BOM","EXCELENTE")))</f>
        <v>BOM</v>
      </c>
      <c r="M1284">
        <v>22</v>
      </c>
      <c r="N1284">
        <v>100</v>
      </c>
      <c r="O1284">
        <v>30.470347648261761</v>
      </c>
    </row>
    <row r="1285" spans="1:15" hidden="1" x14ac:dyDescent="0.25">
      <c r="A1285" s="11">
        <v>46041</v>
      </c>
      <c r="B1285" t="s">
        <v>56</v>
      </c>
      <c r="C1285" t="s">
        <v>48</v>
      </c>
      <c r="D1285">
        <v>27</v>
      </c>
      <c r="E1285">
        <v>24</v>
      </c>
      <c r="F1285">
        <v>17.32</v>
      </c>
      <c r="G1285">
        <v>0</v>
      </c>
      <c r="H1285">
        <v>0</v>
      </c>
      <c r="I1285" s="3">
        <f>E1285+G1285+H1285</f>
        <v>24</v>
      </c>
      <c r="J1285" s="3">
        <f>ROUND(MIN(IF(C1285="Técnico III",35,IF(C1285="Técnico II",28,IF(C1285="Técnico I",23,IF(C1285="JR",20,IF(C1285="Estágio",10,0))))),IF(C1285="Técnico III",SUMIFS($D:$D,$A:$A,$A1285,$B:$B,"&lt;&gt;Patrícia Karla de Sousa Araújo",$B:$B,"&lt;&gt;Lorena Dias de Araujo",$B:$B,"&lt;&gt;Lucas Luiz Romero")*(35/1083),IF(C1285="Técnico II",SUMIFS($D:$D,$A:$A,$A1285,$B:$B,"&lt;&gt;Patrícia Karla de Sousa Araújo",$B:$B,"&lt;&gt;Lorena Dias de Araujo",$B:$B,"&lt;&gt;Lucas Luiz Romero")*(28/1083),IF(C1285="Técnico I",SUMIFS($D:$D,$A:$A,$A1285,$B:$B,"&lt;&gt;Patrícia Karla de Sousa Araújo",$B:$B,"&lt;&gt;Lorena Dias de Araujo",$B:$B,"&lt;&gt;Lucas Luiz Romero")*(23/1083),IF(C1285="JR",SUMIFS($D:$D,$A:$A,$A1285,$B:$B,"&lt;&gt;Patrícia Karla de Sousa Araújo",$B:$B,"&lt;&gt;Lorena Dias de Araujo",$B:$B,"&lt;&gt;Lucas Luiz Romero")*(20/1083),IF(C1285="Estágio",SUMIFS($D:$D,$A:$A,$A1285,$B:$B,"&lt;&gt;Patrícia Karla de Sousa Araújo",$B:$B,"&lt;&gt;Lorena Dias de Araujo",$B:$B,"&lt;&gt;Lucas Luiz Romero")*(10/1083),0)))))),0)</f>
        <v>17</v>
      </c>
      <c r="K1285" s="3">
        <f>I1285-J1285</f>
        <v>7</v>
      </c>
      <c r="L1285" s="3" t="str">
        <f>IF(K1285&lt;-5,"CRÍTICO",IF(K1285&lt;0,"ATENÇÃO",IF(K1285&lt;=5,"BOM","EXCELENTE")))</f>
        <v>EXCELENTE</v>
      </c>
      <c r="M1285">
        <v>23</v>
      </c>
      <c r="N1285">
        <v>100</v>
      </c>
      <c r="O1285">
        <v>32.371134020618562</v>
      </c>
    </row>
    <row r="1286" spans="1:15" hidden="1" x14ac:dyDescent="0.25">
      <c r="A1286" s="11">
        <v>46041</v>
      </c>
      <c r="B1286" t="s">
        <v>57</v>
      </c>
      <c r="C1286" t="s">
        <v>48</v>
      </c>
      <c r="D1286">
        <v>15</v>
      </c>
      <c r="E1286">
        <v>13</v>
      </c>
      <c r="F1286">
        <v>12.11</v>
      </c>
      <c r="G1286">
        <v>0</v>
      </c>
      <c r="H1286">
        <v>0</v>
      </c>
      <c r="I1286" s="3">
        <v>0</v>
      </c>
      <c r="J1286" s="3">
        <v>0</v>
      </c>
      <c r="K1286" s="3">
        <v>0</v>
      </c>
      <c r="L1286" s="3" t="str">
        <f>IF(K1286&lt;-5,"CRÍTICO",IF(K1286&lt;0,"ATENÇÃO",IF(K1286&lt;=5,"BOM","EXCELENTE")))</f>
        <v>BOM</v>
      </c>
      <c r="M1286">
        <v>11</v>
      </c>
      <c r="N1286">
        <v>98.32</v>
      </c>
      <c r="O1286">
        <v>32.318501170960189</v>
      </c>
    </row>
    <row r="1287" spans="1:15" hidden="1" x14ac:dyDescent="0.25">
      <c r="A1287" s="11">
        <v>46041</v>
      </c>
      <c r="B1287" t="s">
        <v>42</v>
      </c>
      <c r="C1287" t="s">
        <v>32</v>
      </c>
      <c r="D1287">
        <v>37</v>
      </c>
      <c r="E1287">
        <v>27</v>
      </c>
      <c r="F1287">
        <v>9</v>
      </c>
      <c r="G1287">
        <v>0</v>
      </c>
      <c r="H1287">
        <v>0</v>
      </c>
      <c r="I1287" s="3">
        <f>E1287+G1287+H1287</f>
        <v>27</v>
      </c>
      <c r="J1287" s="3">
        <f>ROUND(MIN(IF(C1287="Técnico III",35,IF(C1287="Técnico II",28,IF(C1287="Técnico I",23,IF(C1287="JR",20,IF(C1287="Estágio",10,0))))),IF(C1287="Técnico III",SUMIFS($D:$D,$A:$A,$A1287,$B:$B,"&lt;&gt;Patrícia Karla de Sousa Araújo",$B:$B,"&lt;&gt;Lorena Dias de Araujo",$B:$B,"&lt;&gt;Lucas Luiz Romero")*(35/1083),IF(C1287="Técnico II",SUMIFS($D:$D,$A:$A,$A1287,$B:$B,"&lt;&gt;Patrícia Karla de Sousa Araújo",$B:$B,"&lt;&gt;Lorena Dias de Araujo",$B:$B,"&lt;&gt;Lucas Luiz Romero")*(28/1083),IF(C1287="Técnico I",SUMIFS($D:$D,$A:$A,$A1287,$B:$B,"&lt;&gt;Patrícia Karla de Sousa Araújo",$B:$B,"&lt;&gt;Lorena Dias de Araujo",$B:$B,"&lt;&gt;Lucas Luiz Romero")*(23/1083),IF(C1287="JR",SUMIFS($D:$D,$A:$A,$A1287,$B:$B,"&lt;&gt;Patrícia Karla de Sousa Araújo",$B:$B,"&lt;&gt;Lorena Dias de Araujo",$B:$B,"&lt;&gt;Lucas Luiz Romero")*(20/1083),IF(C1287="Estágio",SUMIFS($D:$D,$A:$A,$A1287,$B:$B,"&lt;&gt;Patrícia Karla de Sousa Araújo",$B:$B,"&lt;&gt;Lorena Dias de Araujo",$B:$B,"&lt;&gt;Lucas Luiz Romero")*(10/1083),0)))))),0)</f>
        <v>21</v>
      </c>
      <c r="K1287" s="3">
        <f>I1287-J1287</f>
        <v>6</v>
      </c>
      <c r="L1287" s="3" t="str">
        <f>IF(K1287&lt;-5,"CRÍTICO",IF(K1287&lt;0,"ATENÇÃO",IF(K1287&lt;=5,"BOM","EXCELENTE")))</f>
        <v>EXCELENTE</v>
      </c>
      <c r="M1287">
        <v>17</v>
      </c>
      <c r="N1287">
        <v>96.43</v>
      </c>
      <c r="O1287">
        <v>27.015250544662312</v>
      </c>
    </row>
    <row r="1288" spans="1:15" hidden="1" x14ac:dyDescent="0.25">
      <c r="A1288" s="11">
        <v>46041</v>
      </c>
      <c r="B1288" t="s">
        <v>62</v>
      </c>
      <c r="C1288" t="s">
        <v>23</v>
      </c>
      <c r="D1288">
        <v>20</v>
      </c>
      <c r="E1288">
        <v>19</v>
      </c>
      <c r="F1288">
        <v>16.54</v>
      </c>
      <c r="G1288">
        <v>0</v>
      </c>
      <c r="H1288">
        <v>0</v>
      </c>
      <c r="I1288" s="3">
        <f>E1288+G1288+H1288</f>
        <v>19</v>
      </c>
      <c r="J1288" s="3">
        <f>ROUND(MIN(IF(C1288="Técnico III",35,IF(C1288="Técnico II",28,IF(C1288="Técnico I",23,IF(C1288="JR",20,IF(C1288="Estágio",10,0))))),IF(C1288="Técnico III",SUMIFS($D:$D,$A:$A,$A1288,$B:$B,"&lt;&gt;Patrícia Karla de Sousa Araújo",$B:$B,"&lt;&gt;Lorena Dias de Araujo",$B:$B,"&lt;&gt;Lucas Luiz Romero")*(35/1083),IF(C1288="Técnico II",SUMIFS($D:$D,$A:$A,$A1288,$B:$B,"&lt;&gt;Patrícia Karla de Sousa Araújo",$B:$B,"&lt;&gt;Lorena Dias de Araujo",$B:$B,"&lt;&gt;Lucas Luiz Romero")*(28/1083),IF(C1288="Técnico I",SUMIFS($D:$D,$A:$A,$A1288,$B:$B,"&lt;&gt;Patrícia Karla de Sousa Araújo",$B:$B,"&lt;&gt;Lorena Dias de Araujo",$B:$B,"&lt;&gt;Lucas Luiz Romero")*(23/1083),IF(C1288="JR",SUMIFS($D:$D,$A:$A,$A1288,$B:$B,"&lt;&gt;Patrícia Karla de Sousa Araújo",$B:$B,"&lt;&gt;Lorena Dias de Araujo",$B:$B,"&lt;&gt;Lucas Luiz Romero")*(20/1083),IF(C1288="Estágio",SUMIFS($D:$D,$A:$A,$A1288,$B:$B,"&lt;&gt;Patrícia Karla de Sousa Araújo",$B:$B,"&lt;&gt;Lorena Dias de Araujo",$B:$B,"&lt;&gt;Lucas Luiz Romero")*(10/1083),0)))))),0)</f>
        <v>14</v>
      </c>
      <c r="K1288" s="3">
        <f>I1288-J1288</f>
        <v>5</v>
      </c>
      <c r="L1288" s="3" t="str">
        <f>IF(K1288&lt;-5,"CRÍTICO",IF(K1288&lt;0,"ATENÇÃO",IF(K1288&lt;=5,"BOM","EXCELENTE")))</f>
        <v>BOM</v>
      </c>
      <c r="M1288">
        <v>15</v>
      </c>
      <c r="N1288">
        <v>98.89</v>
      </c>
      <c r="O1288">
        <v>28.021978021978018</v>
      </c>
    </row>
    <row r="1289" spans="1:15" hidden="1" x14ac:dyDescent="0.25">
      <c r="A1289" s="11">
        <v>46041</v>
      </c>
      <c r="B1289" t="s">
        <v>19</v>
      </c>
      <c r="C1289" t="s">
        <v>16</v>
      </c>
      <c r="D1289">
        <v>14</v>
      </c>
      <c r="E1289">
        <v>13</v>
      </c>
      <c r="F1289">
        <v>25.05</v>
      </c>
      <c r="G1289">
        <v>0</v>
      </c>
      <c r="H1289">
        <v>0</v>
      </c>
      <c r="I1289" s="3">
        <f>E1289+G1289+H1289</f>
        <v>13</v>
      </c>
      <c r="J1289" s="3">
        <f>ROUND(MIN(IF(C1289="Técnico III",35,IF(C1289="Técnico II",28,IF(C1289="Técnico I",23,IF(C1289="JR",20,IF(C1289="Estágio",10,0))))),IF(C1289="Técnico III",SUMIFS($D:$D,$A:$A,$A1289,$B:$B,"&lt;&gt;Patrícia Karla de Sousa Araújo",$B:$B,"&lt;&gt;Lorena Dias de Araujo",$B:$B,"&lt;&gt;Lucas Luiz Romero")*(35/1083),IF(C1289="Técnico II",SUMIFS($D:$D,$A:$A,$A1289,$B:$B,"&lt;&gt;Patrícia Karla de Sousa Araújo",$B:$B,"&lt;&gt;Lorena Dias de Araujo",$B:$B,"&lt;&gt;Lucas Luiz Romero")*(28/1083),IF(C1289="Técnico I",SUMIFS($D:$D,$A:$A,$A1289,$B:$B,"&lt;&gt;Patrícia Karla de Sousa Araújo",$B:$B,"&lt;&gt;Lorena Dias de Araujo",$B:$B,"&lt;&gt;Lucas Luiz Romero")*(23/1083),IF(C1289="JR",SUMIFS($D:$D,$A:$A,$A1289,$B:$B,"&lt;&gt;Patrícia Karla de Sousa Araújo",$B:$B,"&lt;&gt;Lorena Dias de Araujo",$B:$B,"&lt;&gt;Lucas Luiz Romero")*(20/1083),IF(C1289="Estágio",SUMIFS($D:$D,$A:$A,$A1289,$B:$B,"&lt;&gt;Patrícia Karla de Sousa Araújo",$B:$B,"&lt;&gt;Lorena Dias de Araujo",$B:$B,"&lt;&gt;Lucas Luiz Romero")*(10/1083),0)))))),0)</f>
        <v>6</v>
      </c>
      <c r="K1289" s="3">
        <f>I1289-J1289</f>
        <v>7</v>
      </c>
      <c r="L1289" s="3" t="str">
        <f>IF(K1289&lt;-5,"CRÍTICO",IF(K1289&lt;0,"ATENÇÃO",IF(K1289&lt;=5,"BOM","EXCELENTE")))</f>
        <v>EXCELENTE</v>
      </c>
      <c r="M1289">
        <v>9</v>
      </c>
      <c r="N1289">
        <v>100</v>
      </c>
      <c r="O1289">
        <v>33.333333333333329</v>
      </c>
    </row>
    <row r="1290" spans="1:15" hidden="1" x14ac:dyDescent="0.25">
      <c r="A1290" s="11">
        <v>46041</v>
      </c>
      <c r="B1290" t="s">
        <v>43</v>
      </c>
      <c r="C1290" t="s">
        <v>32</v>
      </c>
      <c r="D1290">
        <v>27</v>
      </c>
      <c r="E1290">
        <v>26</v>
      </c>
      <c r="F1290">
        <v>17</v>
      </c>
      <c r="G1290">
        <v>0</v>
      </c>
      <c r="H1290">
        <v>0</v>
      </c>
      <c r="I1290" s="3">
        <f>E1290+G1290+H1290</f>
        <v>26</v>
      </c>
      <c r="J1290" s="3">
        <f>ROUND(MIN(IF(C1290="Técnico III",35,IF(C1290="Técnico II",28,IF(C1290="Técnico I",23,IF(C1290="JR",20,IF(C1290="Estágio",10,0))))),IF(C1290="Técnico III",SUMIFS($D:$D,$A:$A,$A1290,$B:$B,"&lt;&gt;Patrícia Karla de Sousa Araújo",$B:$B,"&lt;&gt;Lorena Dias de Araujo",$B:$B,"&lt;&gt;Lucas Luiz Romero")*(35/1083),IF(C1290="Técnico II",SUMIFS($D:$D,$A:$A,$A1290,$B:$B,"&lt;&gt;Patrícia Karla de Sousa Araújo",$B:$B,"&lt;&gt;Lorena Dias de Araujo",$B:$B,"&lt;&gt;Lucas Luiz Romero")*(28/1083),IF(C1290="Técnico I",SUMIFS($D:$D,$A:$A,$A1290,$B:$B,"&lt;&gt;Patrícia Karla de Sousa Araújo",$B:$B,"&lt;&gt;Lorena Dias de Araujo",$B:$B,"&lt;&gt;Lucas Luiz Romero")*(23/1083),IF(C1290="JR",SUMIFS($D:$D,$A:$A,$A1290,$B:$B,"&lt;&gt;Patrícia Karla de Sousa Araújo",$B:$B,"&lt;&gt;Lorena Dias de Araujo",$B:$B,"&lt;&gt;Lucas Luiz Romero")*(20/1083),IF(C1290="Estágio",SUMIFS($D:$D,$A:$A,$A1290,$B:$B,"&lt;&gt;Patrícia Karla de Sousa Araújo",$B:$B,"&lt;&gt;Lorena Dias de Araujo",$B:$B,"&lt;&gt;Lucas Luiz Romero")*(10/1083),0)))))),0)</f>
        <v>21</v>
      </c>
      <c r="K1290" s="3">
        <f>I1290-J1290</f>
        <v>5</v>
      </c>
      <c r="L1290" s="3" t="str">
        <f>IF(K1290&lt;-5,"CRÍTICO",IF(K1290&lt;0,"ATENÇÃO",IF(K1290&lt;=5,"BOM","EXCELENTE")))</f>
        <v>BOM</v>
      </c>
      <c r="M1290">
        <v>25</v>
      </c>
      <c r="N1290">
        <v>100</v>
      </c>
      <c r="O1290">
        <v>27.43362831858407</v>
      </c>
    </row>
    <row r="1291" spans="1:15" hidden="1" x14ac:dyDescent="0.25">
      <c r="A1291" s="11">
        <v>46041</v>
      </c>
      <c r="B1291" t="s">
        <v>44</v>
      </c>
      <c r="C1291" t="s">
        <v>32</v>
      </c>
      <c r="D1291">
        <v>30</v>
      </c>
      <c r="E1291">
        <v>25</v>
      </c>
      <c r="F1291">
        <v>12.32</v>
      </c>
      <c r="G1291">
        <v>0</v>
      </c>
      <c r="H1291">
        <v>0</v>
      </c>
      <c r="I1291" s="3">
        <f>E1291+G1291+H1291</f>
        <v>25</v>
      </c>
      <c r="J1291" s="3">
        <f>ROUND(MIN(IF(C1291="Técnico III",35,IF(C1291="Técnico II",28,IF(C1291="Técnico I",23,IF(C1291="JR",20,IF(C1291="Estágio",10,0))))),IF(C1291="Técnico III",SUMIFS($D:$D,$A:$A,$A1291,$B:$B,"&lt;&gt;Patrícia Karla de Sousa Araújo",$B:$B,"&lt;&gt;Lorena Dias de Araujo",$B:$B,"&lt;&gt;Lucas Luiz Romero")*(35/1083),IF(C1291="Técnico II",SUMIFS($D:$D,$A:$A,$A1291,$B:$B,"&lt;&gt;Patrícia Karla de Sousa Araújo",$B:$B,"&lt;&gt;Lorena Dias de Araujo",$B:$B,"&lt;&gt;Lucas Luiz Romero")*(28/1083),IF(C1291="Técnico I",SUMIFS($D:$D,$A:$A,$A1291,$B:$B,"&lt;&gt;Patrícia Karla de Sousa Araújo",$B:$B,"&lt;&gt;Lorena Dias de Araujo",$B:$B,"&lt;&gt;Lucas Luiz Romero")*(23/1083),IF(C1291="JR",SUMIFS($D:$D,$A:$A,$A1291,$B:$B,"&lt;&gt;Patrícia Karla de Sousa Araújo",$B:$B,"&lt;&gt;Lorena Dias de Araujo",$B:$B,"&lt;&gt;Lucas Luiz Romero")*(20/1083),IF(C1291="Estágio",SUMIFS($D:$D,$A:$A,$A1291,$B:$B,"&lt;&gt;Patrícia Karla de Sousa Araújo",$B:$B,"&lt;&gt;Lorena Dias de Araujo",$B:$B,"&lt;&gt;Lucas Luiz Romero")*(10/1083),0)))))),0)</f>
        <v>21</v>
      </c>
      <c r="K1291" s="3">
        <f>I1291-J1291</f>
        <v>4</v>
      </c>
      <c r="L1291" s="3" t="str">
        <f>IF(K1291&lt;-5,"CRÍTICO",IF(K1291&lt;0,"ATENÇÃO",IF(K1291&lt;=5,"BOM","EXCELENTE")))</f>
        <v>BOM</v>
      </c>
      <c r="M1291">
        <v>24</v>
      </c>
      <c r="N1291">
        <v>98.65</v>
      </c>
      <c r="O1291">
        <v>30.978260869565219</v>
      </c>
    </row>
    <row r="1292" spans="1:15" hidden="1" x14ac:dyDescent="0.25">
      <c r="A1292" s="11">
        <v>46041</v>
      </c>
      <c r="B1292" t="s">
        <v>20</v>
      </c>
      <c r="C1292" t="s">
        <v>16</v>
      </c>
      <c r="D1292">
        <v>1</v>
      </c>
      <c r="E1292">
        <v>1</v>
      </c>
      <c r="F1292">
        <v>7.39</v>
      </c>
      <c r="G1292">
        <v>0</v>
      </c>
      <c r="H1292">
        <v>0</v>
      </c>
      <c r="I1292" s="3">
        <f>E1292+G1292+H1292</f>
        <v>1</v>
      </c>
      <c r="J1292" s="3">
        <f>ROUND(MIN(IF(C1292="Técnico III",35,IF(C1292="Técnico II",28,IF(C1292="Técnico I",23,IF(C1292="JR",20,IF(C1292="Estágio",10,0))))),IF(C1292="Técnico III",SUMIFS($D:$D,$A:$A,$A1292,$B:$B,"&lt;&gt;Patrícia Karla de Sousa Araújo",$B:$B,"&lt;&gt;Lorena Dias de Araujo",$B:$B,"&lt;&gt;Lucas Luiz Romero")*(35/1083),IF(C1292="Técnico II",SUMIFS($D:$D,$A:$A,$A1292,$B:$B,"&lt;&gt;Patrícia Karla de Sousa Araújo",$B:$B,"&lt;&gt;Lorena Dias de Araujo",$B:$B,"&lt;&gt;Lucas Luiz Romero")*(28/1083),IF(C1292="Técnico I",SUMIFS($D:$D,$A:$A,$A1292,$B:$B,"&lt;&gt;Patrícia Karla de Sousa Araújo",$B:$B,"&lt;&gt;Lorena Dias de Araujo",$B:$B,"&lt;&gt;Lucas Luiz Romero")*(23/1083),IF(C1292="JR",SUMIFS($D:$D,$A:$A,$A1292,$B:$B,"&lt;&gt;Patrícia Karla de Sousa Araújo",$B:$B,"&lt;&gt;Lorena Dias de Araujo",$B:$B,"&lt;&gt;Lucas Luiz Romero")*(20/1083),IF(C1292="Estágio",SUMIFS($D:$D,$A:$A,$A1292,$B:$B,"&lt;&gt;Patrícia Karla de Sousa Araújo",$B:$B,"&lt;&gt;Lorena Dias de Araujo",$B:$B,"&lt;&gt;Lucas Luiz Romero")*(10/1083),0)))))),0)</f>
        <v>6</v>
      </c>
      <c r="K1292" s="3">
        <f>I1292-J1292</f>
        <v>-5</v>
      </c>
      <c r="L1292" s="3" t="str">
        <f>IF(K1292&lt;-5,"CRÍTICO",IF(K1292&lt;0,"ATENÇÃO",IF(K1292&lt;=5,"BOM","EXCELENTE")))</f>
        <v>ATENÇÃO</v>
      </c>
      <c r="M1292">
        <v>1</v>
      </c>
      <c r="N1292">
        <v>100</v>
      </c>
      <c r="O1292">
        <v>12</v>
      </c>
    </row>
    <row r="1293" spans="1:15" hidden="1" x14ac:dyDescent="0.25">
      <c r="A1293" s="11">
        <v>46041</v>
      </c>
      <c r="B1293" t="s">
        <v>28</v>
      </c>
      <c r="C1293" t="s">
        <v>26</v>
      </c>
      <c r="D1293">
        <v>0</v>
      </c>
      <c r="E1293">
        <v>0</v>
      </c>
      <c r="F1293">
        <v>0</v>
      </c>
      <c r="G1293">
        <v>0</v>
      </c>
      <c r="H1293">
        <v>0</v>
      </c>
      <c r="I1293" s="3">
        <v>0</v>
      </c>
      <c r="J1293" s="3">
        <v>0</v>
      </c>
      <c r="K1293" s="3">
        <v>0</v>
      </c>
      <c r="L1293" s="3" t="str">
        <f>IF(K1293&lt;-5,"CRÍTICO",IF(K1293&lt;0,"ATENÇÃO",IF(K1293&lt;=5,"BOM","EXCELENTE")))</f>
        <v>BOM</v>
      </c>
      <c r="M1293">
        <v>0</v>
      </c>
      <c r="N1293">
        <v>0</v>
      </c>
      <c r="O1293">
        <v>0</v>
      </c>
    </row>
    <row r="1294" spans="1:15" hidden="1" x14ac:dyDescent="0.25">
      <c r="A1294" s="11">
        <v>46041</v>
      </c>
      <c r="B1294" t="s">
        <v>58</v>
      </c>
      <c r="C1294" t="s">
        <v>48</v>
      </c>
      <c r="D1294">
        <v>27</v>
      </c>
      <c r="E1294">
        <v>25</v>
      </c>
      <c r="F1294">
        <v>14.14</v>
      </c>
      <c r="G1294">
        <v>0</v>
      </c>
      <c r="H1294">
        <v>0</v>
      </c>
      <c r="I1294" s="3">
        <f>E1294+G1294+H1294</f>
        <v>25</v>
      </c>
      <c r="J1294" s="3">
        <f>ROUND(MIN(IF(C1294="Técnico III",35,IF(C1294="Técnico II",28,IF(C1294="Técnico I",23,IF(C1294="JR",20,IF(C1294="Estágio",10,0))))),IF(C1294="Técnico III",SUMIFS($D:$D,$A:$A,$A1294,$B:$B,"&lt;&gt;Patrícia Karla de Sousa Araújo",$B:$B,"&lt;&gt;Lorena Dias de Araujo",$B:$B,"&lt;&gt;Lucas Luiz Romero")*(35/1083),IF(C1294="Técnico II",SUMIFS($D:$D,$A:$A,$A1294,$B:$B,"&lt;&gt;Patrícia Karla de Sousa Araújo",$B:$B,"&lt;&gt;Lorena Dias de Araujo",$B:$B,"&lt;&gt;Lucas Luiz Romero")*(28/1083),IF(C1294="Técnico I",SUMIFS($D:$D,$A:$A,$A1294,$B:$B,"&lt;&gt;Patrícia Karla de Sousa Araújo",$B:$B,"&lt;&gt;Lorena Dias de Araujo",$B:$B,"&lt;&gt;Lucas Luiz Romero")*(23/1083),IF(C1294="JR",SUMIFS($D:$D,$A:$A,$A1294,$B:$B,"&lt;&gt;Patrícia Karla de Sousa Araújo",$B:$B,"&lt;&gt;Lorena Dias de Araujo",$B:$B,"&lt;&gt;Lucas Luiz Romero")*(20/1083),IF(C1294="Estágio",SUMIFS($D:$D,$A:$A,$A1294,$B:$B,"&lt;&gt;Patrícia Karla de Sousa Araújo",$B:$B,"&lt;&gt;Lorena Dias de Araujo",$B:$B,"&lt;&gt;Lucas Luiz Romero")*(10/1083),0)))))),0)</f>
        <v>17</v>
      </c>
      <c r="K1294" s="3">
        <f>I1294-J1294</f>
        <v>8</v>
      </c>
      <c r="L1294" s="3" t="str">
        <f>IF(K1294&lt;-5,"CRÍTICO",IF(K1294&lt;0,"ATENÇÃO",IF(K1294&lt;=5,"BOM","EXCELENTE")))</f>
        <v>EXCELENTE</v>
      </c>
      <c r="M1294">
        <v>19</v>
      </c>
      <c r="N1294">
        <v>97.56</v>
      </c>
      <c r="O1294">
        <v>31.067961165048541</v>
      </c>
    </row>
    <row r="1295" spans="1:15" hidden="1" x14ac:dyDescent="0.25">
      <c r="A1295" s="11">
        <v>46041</v>
      </c>
      <c r="B1295" t="s">
        <v>29</v>
      </c>
      <c r="C1295" t="s">
        <v>26</v>
      </c>
      <c r="D1295">
        <v>0</v>
      </c>
      <c r="E1295">
        <v>0</v>
      </c>
      <c r="F1295">
        <v>0</v>
      </c>
      <c r="G1295">
        <v>0</v>
      </c>
      <c r="H1295">
        <v>0</v>
      </c>
      <c r="I1295" s="3">
        <v>0</v>
      </c>
      <c r="J1295" s="3">
        <v>0</v>
      </c>
      <c r="K1295" s="3">
        <v>0</v>
      </c>
      <c r="L1295" s="3" t="str">
        <f>IF(K1295&lt;-5,"CRÍTICO",IF(K1295&lt;0,"ATENÇÃO",IF(K1295&lt;=5,"BOM","EXCELENTE")))</f>
        <v>BOM</v>
      </c>
      <c r="M1295">
        <v>0</v>
      </c>
      <c r="N1295">
        <v>0</v>
      </c>
      <c r="O1295">
        <v>0</v>
      </c>
    </row>
    <row r="1296" spans="1:15" hidden="1" x14ac:dyDescent="0.25">
      <c r="A1296" s="11">
        <v>46041</v>
      </c>
      <c r="B1296" t="s">
        <v>30</v>
      </c>
      <c r="C1296" t="s">
        <v>26</v>
      </c>
      <c r="D1296">
        <v>0</v>
      </c>
      <c r="E1296">
        <v>0</v>
      </c>
      <c r="F1296">
        <v>0</v>
      </c>
      <c r="G1296">
        <v>0</v>
      </c>
      <c r="H1296">
        <v>0</v>
      </c>
      <c r="I1296" s="3">
        <v>0</v>
      </c>
      <c r="J1296" s="3">
        <v>0</v>
      </c>
      <c r="K1296" s="3">
        <v>0</v>
      </c>
      <c r="L1296" s="3" t="str">
        <f>IF(K1296&lt;-5,"CRÍTICO",IF(K1296&lt;0,"ATENÇÃO",IF(K1296&lt;=5,"BOM","EXCELENTE")))</f>
        <v>BOM</v>
      </c>
      <c r="M1296">
        <v>0</v>
      </c>
      <c r="N1296">
        <v>0</v>
      </c>
      <c r="O1296">
        <v>0</v>
      </c>
    </row>
    <row r="1297" spans="1:15" hidden="1" x14ac:dyDescent="0.25">
      <c r="A1297" s="11">
        <v>46041</v>
      </c>
      <c r="B1297" t="s">
        <v>21</v>
      </c>
      <c r="C1297" t="s">
        <v>16</v>
      </c>
      <c r="D1297">
        <v>0</v>
      </c>
      <c r="E1297">
        <v>0</v>
      </c>
      <c r="F1297">
        <v>0</v>
      </c>
      <c r="G1297">
        <v>0</v>
      </c>
      <c r="H1297">
        <v>0</v>
      </c>
      <c r="I1297" s="3">
        <v>0</v>
      </c>
      <c r="J1297" s="3">
        <v>0</v>
      </c>
      <c r="K1297" s="3">
        <v>0</v>
      </c>
      <c r="L1297" s="3" t="str">
        <f>IF(K1297&lt;-5,"CRÍTICO",IF(K1297&lt;0,"ATENÇÃO",IF(K1297&lt;=5,"BOM","EXCELENTE")))</f>
        <v>BOM</v>
      </c>
      <c r="M1297">
        <v>0</v>
      </c>
      <c r="N1297">
        <v>0</v>
      </c>
      <c r="O1297">
        <v>0</v>
      </c>
    </row>
    <row r="1298" spans="1:15" hidden="1" x14ac:dyDescent="0.25">
      <c r="A1298" s="11">
        <v>46041</v>
      </c>
      <c r="B1298" t="s">
        <v>63</v>
      </c>
      <c r="C1298" t="s">
        <v>23</v>
      </c>
      <c r="D1298">
        <v>0</v>
      </c>
      <c r="E1298">
        <v>0</v>
      </c>
      <c r="F1298">
        <v>0</v>
      </c>
      <c r="G1298">
        <v>0</v>
      </c>
      <c r="H1298">
        <v>0</v>
      </c>
      <c r="I1298" s="3">
        <v>0</v>
      </c>
      <c r="J1298" s="3">
        <v>0</v>
      </c>
      <c r="K1298" s="3">
        <v>0</v>
      </c>
      <c r="L1298" s="3" t="str">
        <f>IF(K1298&lt;-5,"CRÍTICO",IF(K1298&lt;0,"ATENÇÃO",IF(K1298&lt;=5,"BOM","EXCELENTE")))</f>
        <v>BOM</v>
      </c>
      <c r="M1298">
        <v>0</v>
      </c>
      <c r="N1298">
        <v>100</v>
      </c>
      <c r="O1298">
        <v>53.846153846153847</v>
      </c>
    </row>
    <row r="1299" spans="1:15" hidden="1" x14ac:dyDescent="0.25">
      <c r="A1299" s="11">
        <v>46041</v>
      </c>
      <c r="B1299" t="s">
        <v>45</v>
      </c>
      <c r="C1299" t="s">
        <v>32</v>
      </c>
      <c r="D1299">
        <v>0</v>
      </c>
      <c r="E1299">
        <v>0</v>
      </c>
      <c r="F1299">
        <v>0</v>
      </c>
      <c r="G1299">
        <v>0</v>
      </c>
      <c r="H1299">
        <v>0</v>
      </c>
      <c r="I1299" s="3">
        <v>0</v>
      </c>
      <c r="J1299" s="3">
        <v>0</v>
      </c>
      <c r="K1299" s="3">
        <v>0</v>
      </c>
      <c r="L1299" s="3" t="str">
        <f>IF(K1299&lt;-5,"CRÍTICO",IF(K1299&lt;0,"ATENÇÃO",IF(K1299&lt;=5,"BOM","EXCELENTE")))</f>
        <v>BOM</v>
      </c>
      <c r="M1299">
        <v>0</v>
      </c>
      <c r="N1299">
        <v>100</v>
      </c>
      <c r="O1299">
        <v>44.05594405594406</v>
      </c>
    </row>
    <row r="1300" spans="1:15" hidden="1" x14ac:dyDescent="0.25">
      <c r="A1300" s="11">
        <v>46041</v>
      </c>
      <c r="B1300" t="s">
        <v>64</v>
      </c>
      <c r="C1300" t="s">
        <v>23</v>
      </c>
      <c r="D1300">
        <v>10</v>
      </c>
      <c r="E1300">
        <v>9</v>
      </c>
      <c r="F1300">
        <v>52.36</v>
      </c>
      <c r="G1300">
        <v>0</v>
      </c>
      <c r="H1300">
        <v>0</v>
      </c>
      <c r="I1300" s="3">
        <f>E1300+G1300+H1300</f>
        <v>9</v>
      </c>
      <c r="J1300" s="3">
        <f>ROUND(MIN(IF(C1300="Técnico III",35,IF(C1300="Técnico II",28,IF(C1300="Técnico I",23,IF(C1300="JR",20,IF(C1300="Estágio",10,0))))),IF(C1300="Técnico III",SUMIFS($D:$D,$A:$A,$A1300,$B:$B,"&lt;&gt;Patrícia Karla de Sousa Araújo",$B:$B,"&lt;&gt;Lorena Dias de Araujo",$B:$B,"&lt;&gt;Lucas Luiz Romero")*(35/1083),IF(C1300="Técnico II",SUMIFS($D:$D,$A:$A,$A1300,$B:$B,"&lt;&gt;Patrícia Karla de Sousa Araújo",$B:$B,"&lt;&gt;Lorena Dias de Araujo",$B:$B,"&lt;&gt;Lucas Luiz Romero")*(28/1083),IF(C1300="Técnico I",SUMIFS($D:$D,$A:$A,$A1300,$B:$B,"&lt;&gt;Patrícia Karla de Sousa Araújo",$B:$B,"&lt;&gt;Lorena Dias de Araujo",$B:$B,"&lt;&gt;Lucas Luiz Romero")*(23/1083),IF(C1300="JR",SUMIFS($D:$D,$A:$A,$A1300,$B:$B,"&lt;&gt;Patrícia Karla de Sousa Araújo",$B:$B,"&lt;&gt;Lorena Dias de Araujo",$B:$B,"&lt;&gt;Lucas Luiz Romero")*(20/1083),IF(C1300="Estágio",SUMIFS($D:$D,$A:$A,$A1300,$B:$B,"&lt;&gt;Patrícia Karla de Sousa Araújo",$B:$B,"&lt;&gt;Lorena Dias de Araujo",$B:$B,"&lt;&gt;Lucas Luiz Romero")*(10/1083),0)))))),0)</f>
        <v>14</v>
      </c>
      <c r="K1300" s="3">
        <f>I1300-J1300</f>
        <v>-5</v>
      </c>
      <c r="L1300" s="3" t="str">
        <f>IF(K1300&lt;-5,"CRÍTICO",IF(K1300&lt;0,"ATENÇÃO",IF(K1300&lt;=5,"BOM","EXCELENTE")))</f>
        <v>ATENÇÃO</v>
      </c>
      <c r="M1300">
        <v>8</v>
      </c>
      <c r="N1300">
        <v>100</v>
      </c>
      <c r="O1300">
        <v>31.872509960159359</v>
      </c>
    </row>
    <row r="1301" spans="1:15" hidden="1" x14ac:dyDescent="0.25">
      <c r="A1301" s="11">
        <v>46041</v>
      </c>
      <c r="B1301" t="s">
        <v>46</v>
      </c>
      <c r="C1301" t="s">
        <v>32</v>
      </c>
      <c r="D1301">
        <v>23</v>
      </c>
      <c r="E1301">
        <v>21</v>
      </c>
      <c r="F1301">
        <v>15</v>
      </c>
      <c r="G1301">
        <v>0</v>
      </c>
      <c r="H1301">
        <v>0</v>
      </c>
      <c r="I1301" s="3">
        <f>E1301+G1301+H1301</f>
        <v>21</v>
      </c>
      <c r="J1301" s="3">
        <f>ROUND(MIN(IF(C1301="Técnico III",35,IF(C1301="Técnico II",28,IF(C1301="Técnico I",23,IF(C1301="JR",20,IF(C1301="Estágio",10,0))))),IF(C1301="Técnico III",SUMIFS($D:$D,$A:$A,$A1301,$B:$B,"&lt;&gt;Patrícia Karla de Sousa Araújo",$B:$B,"&lt;&gt;Lorena Dias de Araujo",$B:$B,"&lt;&gt;Lucas Luiz Romero")*(35/1083),IF(C1301="Técnico II",SUMIFS($D:$D,$A:$A,$A1301,$B:$B,"&lt;&gt;Patrícia Karla de Sousa Araújo",$B:$B,"&lt;&gt;Lorena Dias de Araujo",$B:$B,"&lt;&gt;Lucas Luiz Romero")*(28/1083),IF(C1301="Técnico I",SUMIFS($D:$D,$A:$A,$A1301,$B:$B,"&lt;&gt;Patrícia Karla de Sousa Araújo",$B:$B,"&lt;&gt;Lorena Dias de Araujo",$B:$B,"&lt;&gt;Lucas Luiz Romero")*(23/1083),IF(C1301="JR",SUMIFS($D:$D,$A:$A,$A1301,$B:$B,"&lt;&gt;Patrícia Karla de Sousa Araújo",$B:$B,"&lt;&gt;Lorena Dias de Araujo",$B:$B,"&lt;&gt;Lucas Luiz Romero")*(20/1083),IF(C1301="Estágio",SUMIFS($D:$D,$A:$A,$A1301,$B:$B,"&lt;&gt;Patrícia Karla de Sousa Araújo",$B:$B,"&lt;&gt;Lorena Dias de Araujo",$B:$B,"&lt;&gt;Lucas Luiz Romero")*(10/1083),0)))))),0)</f>
        <v>21</v>
      </c>
      <c r="K1301" s="3">
        <f>I1301-J1301</f>
        <v>0</v>
      </c>
      <c r="L1301" s="3" t="str">
        <f>IF(K1301&lt;-5,"CRÍTICO",IF(K1301&lt;0,"ATENÇÃO",IF(K1301&lt;=5,"BOM","EXCELENTE")))</f>
        <v>BOM</v>
      </c>
      <c r="M1301">
        <v>20</v>
      </c>
      <c r="N1301">
        <v>98.41</v>
      </c>
      <c r="O1301">
        <v>29.22465208747515</v>
      </c>
    </row>
    <row r="1302" spans="1:15" hidden="1" x14ac:dyDescent="0.25">
      <c r="A1302" s="11">
        <v>46042</v>
      </c>
      <c r="B1302" t="s">
        <v>47</v>
      </c>
      <c r="C1302" t="s">
        <v>48</v>
      </c>
      <c r="D1302">
        <v>28</v>
      </c>
      <c r="E1302">
        <v>23</v>
      </c>
      <c r="F1302">
        <v>10.55</v>
      </c>
      <c r="G1302">
        <v>0</v>
      </c>
      <c r="H1302">
        <v>0</v>
      </c>
      <c r="I1302" s="3">
        <f>E1302+G1302+H1302</f>
        <v>23</v>
      </c>
      <c r="J1302" s="3">
        <f>ROUND(MIN(IF(C1302="Técnico III",35,IF(C1302="Técnico II",28,IF(C1302="Técnico I",23,IF(C1302="JR",20,IF(C1302="Estágio",10,0))))),IF(C1302="Técnico III",SUMIFS($D:$D,$A:$A,$A1302,$B:$B,"&lt;&gt;Patrícia Karla de Sousa Araújo",$B:$B,"&lt;&gt;Lorena Dias de Araujo",$B:$B,"&lt;&gt;Lucas Luiz Romero")*(35/1083),IF(C1302="Técnico II",SUMIFS($D:$D,$A:$A,$A1302,$B:$B,"&lt;&gt;Patrícia Karla de Sousa Araújo",$B:$B,"&lt;&gt;Lorena Dias de Araujo",$B:$B,"&lt;&gt;Lucas Luiz Romero")*(28/1083),IF(C1302="Técnico I",SUMIFS($D:$D,$A:$A,$A1302,$B:$B,"&lt;&gt;Patrícia Karla de Sousa Araújo",$B:$B,"&lt;&gt;Lorena Dias de Araujo",$B:$B,"&lt;&gt;Lucas Luiz Romero")*(23/1083),IF(C1302="JR",SUMIFS($D:$D,$A:$A,$A1302,$B:$B,"&lt;&gt;Patrícia Karla de Sousa Araújo",$B:$B,"&lt;&gt;Lorena Dias de Araujo",$B:$B,"&lt;&gt;Lucas Luiz Romero")*(20/1083),IF(C1302="Estágio",SUMIFS($D:$D,$A:$A,$A1302,$B:$B,"&lt;&gt;Patrícia Karla de Sousa Araújo",$B:$B,"&lt;&gt;Lorena Dias de Araujo",$B:$B,"&lt;&gt;Lucas Luiz Romero")*(10/1083),0)))))),0)</f>
        <v>15</v>
      </c>
      <c r="K1302" s="3">
        <f>I1302-J1302</f>
        <v>8</v>
      </c>
      <c r="L1302" s="3" t="str">
        <f>IF(K1302&lt;-5,"CRÍTICO",IF(K1302&lt;0,"ATENÇÃO",IF(K1302&lt;=5,"BOM","EXCELENTE")))</f>
        <v>EXCELENTE</v>
      </c>
      <c r="M1302">
        <v>17</v>
      </c>
      <c r="N1302">
        <v>96.81</v>
      </c>
      <c r="O1302">
        <v>27.980535279805348</v>
      </c>
    </row>
    <row r="1303" spans="1:15" hidden="1" x14ac:dyDescent="0.25">
      <c r="A1303" s="11">
        <v>46042</v>
      </c>
      <c r="B1303" t="s">
        <v>31</v>
      </c>
      <c r="C1303" t="s">
        <v>32</v>
      </c>
      <c r="D1303">
        <v>0</v>
      </c>
      <c r="E1303">
        <v>0</v>
      </c>
      <c r="F1303">
        <v>0</v>
      </c>
      <c r="G1303">
        <v>0</v>
      </c>
      <c r="H1303">
        <v>0</v>
      </c>
      <c r="I1303" s="3">
        <v>0</v>
      </c>
      <c r="J1303" s="3">
        <v>0</v>
      </c>
      <c r="K1303" s="3">
        <v>0</v>
      </c>
      <c r="L1303" s="3" t="str">
        <f>IF(K1303&lt;-5,"CRÍTICO",IF(K1303&lt;0,"ATENÇÃO",IF(K1303&lt;=5,"BOM","EXCELENTE")))</f>
        <v>BOM</v>
      </c>
      <c r="M1303">
        <v>19</v>
      </c>
      <c r="N1303">
        <v>98.73</v>
      </c>
      <c r="O1303">
        <v>35.756385068762278</v>
      </c>
    </row>
    <row r="1304" spans="1:15" hidden="1" x14ac:dyDescent="0.25">
      <c r="A1304" s="11">
        <v>46042</v>
      </c>
      <c r="B1304" t="s">
        <v>59</v>
      </c>
      <c r="C1304" t="s">
        <v>23</v>
      </c>
      <c r="D1304">
        <v>25</v>
      </c>
      <c r="E1304">
        <v>21</v>
      </c>
      <c r="F1304">
        <v>15.4</v>
      </c>
      <c r="G1304">
        <v>0</v>
      </c>
      <c r="H1304">
        <v>0</v>
      </c>
      <c r="I1304" s="3">
        <f>E1304+G1304+H1304</f>
        <v>21</v>
      </c>
      <c r="J1304" s="3">
        <f>ROUND(MIN(IF(C1304="Técnico III",35,IF(C1304="Técnico II",28,IF(C1304="Técnico I",23,IF(C1304="JR",20,IF(C1304="Estágio",10,0))))),IF(C1304="Técnico III",SUMIFS($D:$D,$A:$A,$A1304,$B:$B,"&lt;&gt;Patrícia Karla de Sousa Araújo",$B:$B,"&lt;&gt;Lorena Dias de Araujo",$B:$B,"&lt;&gt;Lucas Luiz Romero")*(35/1083),IF(C1304="Técnico II",SUMIFS($D:$D,$A:$A,$A1304,$B:$B,"&lt;&gt;Patrícia Karla de Sousa Araújo",$B:$B,"&lt;&gt;Lorena Dias de Araujo",$B:$B,"&lt;&gt;Lucas Luiz Romero")*(28/1083),IF(C1304="Técnico I",SUMIFS($D:$D,$A:$A,$A1304,$B:$B,"&lt;&gt;Patrícia Karla de Sousa Araújo",$B:$B,"&lt;&gt;Lorena Dias de Araujo",$B:$B,"&lt;&gt;Lucas Luiz Romero")*(23/1083),IF(C1304="JR",SUMIFS($D:$D,$A:$A,$A1304,$B:$B,"&lt;&gt;Patrícia Karla de Sousa Araújo",$B:$B,"&lt;&gt;Lorena Dias de Araujo",$B:$B,"&lt;&gt;Lucas Luiz Romero")*(20/1083),IF(C1304="Estágio",SUMIFS($D:$D,$A:$A,$A1304,$B:$B,"&lt;&gt;Patrícia Karla de Sousa Araújo",$B:$B,"&lt;&gt;Lorena Dias de Araujo",$B:$B,"&lt;&gt;Lucas Luiz Romero")*(10/1083),0)))))),0)</f>
        <v>13</v>
      </c>
      <c r="K1304" s="3">
        <f>I1304-J1304</f>
        <v>8</v>
      </c>
      <c r="L1304" s="3" t="str">
        <f>IF(K1304&lt;-5,"CRÍTICO",IF(K1304&lt;0,"ATENÇÃO",IF(K1304&lt;=5,"BOM","EXCELENTE")))</f>
        <v>EXCELENTE</v>
      </c>
      <c r="M1304">
        <v>21</v>
      </c>
      <c r="N1304">
        <v>98.32</v>
      </c>
      <c r="O1304">
        <v>26.763485477178421</v>
      </c>
    </row>
    <row r="1305" spans="1:15" hidden="1" x14ac:dyDescent="0.25">
      <c r="A1305" s="11">
        <v>46042</v>
      </c>
      <c r="B1305" t="s">
        <v>33</v>
      </c>
      <c r="C1305" t="s">
        <v>32</v>
      </c>
      <c r="D1305">
        <v>19</v>
      </c>
      <c r="E1305">
        <v>18</v>
      </c>
      <c r="F1305">
        <v>25.55</v>
      </c>
      <c r="G1305">
        <v>0</v>
      </c>
      <c r="H1305">
        <v>0</v>
      </c>
      <c r="I1305" s="3">
        <f>E1305+G1305+H1305</f>
        <v>18</v>
      </c>
      <c r="J1305" s="3">
        <f>ROUND(MIN(IF(C1305="Técnico III",35,IF(C1305="Técnico II",28,IF(C1305="Técnico I",23,IF(C1305="JR",20,IF(C1305="Estágio",10,0))))),IF(C1305="Técnico III",SUMIFS($D:$D,$A:$A,$A1305,$B:$B,"&lt;&gt;Patrícia Karla de Sousa Araújo",$B:$B,"&lt;&gt;Lorena Dias de Araujo",$B:$B,"&lt;&gt;Lucas Luiz Romero")*(35/1083),IF(C1305="Técnico II",SUMIFS($D:$D,$A:$A,$A1305,$B:$B,"&lt;&gt;Patrícia Karla de Sousa Araújo",$B:$B,"&lt;&gt;Lorena Dias de Araujo",$B:$B,"&lt;&gt;Lucas Luiz Romero")*(28/1083),IF(C1305="Técnico I",SUMIFS($D:$D,$A:$A,$A1305,$B:$B,"&lt;&gt;Patrícia Karla de Sousa Araújo",$B:$B,"&lt;&gt;Lorena Dias de Araujo",$B:$B,"&lt;&gt;Lucas Luiz Romero")*(23/1083),IF(C1305="JR",SUMIFS($D:$D,$A:$A,$A1305,$B:$B,"&lt;&gt;Patrícia Karla de Sousa Araújo",$B:$B,"&lt;&gt;Lorena Dias de Araujo",$B:$B,"&lt;&gt;Lucas Luiz Romero")*(20/1083),IF(C1305="Estágio",SUMIFS($D:$D,$A:$A,$A1305,$B:$B,"&lt;&gt;Patrícia Karla de Sousa Araújo",$B:$B,"&lt;&gt;Lorena Dias de Araujo",$B:$B,"&lt;&gt;Lucas Luiz Romero")*(10/1083),0)))))),0)</f>
        <v>19</v>
      </c>
      <c r="K1305" s="3">
        <f>I1305-J1305</f>
        <v>-1</v>
      </c>
      <c r="L1305" s="3" t="str">
        <f>IF(K1305&lt;-5,"CRÍTICO",IF(K1305&lt;0,"ATENÇÃO",IF(K1305&lt;=5,"BOM","EXCELENTE")))</f>
        <v>ATENÇÃO</v>
      </c>
      <c r="M1305">
        <v>15</v>
      </c>
      <c r="N1305">
        <v>99.19</v>
      </c>
      <c r="O1305">
        <v>27.637130801687761</v>
      </c>
    </row>
    <row r="1306" spans="1:15" hidden="1" x14ac:dyDescent="0.25">
      <c r="A1306" s="11">
        <v>46042</v>
      </c>
      <c r="B1306" t="s">
        <v>15</v>
      </c>
      <c r="C1306" t="s">
        <v>16</v>
      </c>
      <c r="D1306">
        <v>8</v>
      </c>
      <c r="E1306">
        <v>8</v>
      </c>
      <c r="F1306">
        <v>27.13</v>
      </c>
      <c r="G1306">
        <v>0</v>
      </c>
      <c r="H1306">
        <v>0</v>
      </c>
      <c r="I1306" s="3">
        <f>E1306+G1306+H1306</f>
        <v>8</v>
      </c>
      <c r="J1306" s="3">
        <f>ROUND(MIN(IF(C1306="Técnico III",35,IF(C1306="Técnico II",28,IF(C1306="Técnico I",23,IF(C1306="JR",20,IF(C1306="Estágio",10,0))))),IF(C1306="Técnico III",SUMIFS($D:$D,$A:$A,$A1306,$B:$B,"&lt;&gt;Patrícia Karla de Sousa Araújo",$B:$B,"&lt;&gt;Lorena Dias de Araujo",$B:$B,"&lt;&gt;Lucas Luiz Romero")*(35/1083),IF(C1306="Técnico II",SUMIFS($D:$D,$A:$A,$A1306,$B:$B,"&lt;&gt;Patrícia Karla de Sousa Araújo",$B:$B,"&lt;&gt;Lorena Dias de Araujo",$B:$B,"&lt;&gt;Lucas Luiz Romero")*(28/1083),IF(C1306="Técnico I",SUMIFS($D:$D,$A:$A,$A1306,$B:$B,"&lt;&gt;Patrícia Karla de Sousa Araújo",$B:$B,"&lt;&gt;Lorena Dias de Araujo",$B:$B,"&lt;&gt;Lucas Luiz Romero")*(23/1083),IF(C1306="JR",SUMIFS($D:$D,$A:$A,$A1306,$B:$B,"&lt;&gt;Patrícia Karla de Sousa Araújo",$B:$B,"&lt;&gt;Lorena Dias de Araujo",$B:$B,"&lt;&gt;Lucas Luiz Romero")*(20/1083),IF(C1306="Estágio",SUMIFS($D:$D,$A:$A,$A1306,$B:$B,"&lt;&gt;Patrícia Karla de Sousa Araújo",$B:$B,"&lt;&gt;Lorena Dias de Araujo",$B:$B,"&lt;&gt;Lucas Luiz Romero")*(10/1083),0)))))),0)</f>
        <v>6</v>
      </c>
      <c r="K1306" s="3">
        <f>I1306-J1306</f>
        <v>2</v>
      </c>
      <c r="L1306" s="3" t="str">
        <f>IF(K1306&lt;-5,"CRÍTICO",IF(K1306&lt;0,"ATENÇÃO",IF(K1306&lt;=5,"BOM","EXCELENTE")))</f>
        <v>BOM</v>
      </c>
      <c r="M1306">
        <v>8</v>
      </c>
      <c r="N1306">
        <v>100</v>
      </c>
      <c r="O1306">
        <v>39.568345323741013</v>
      </c>
    </row>
    <row r="1307" spans="1:15" hidden="1" x14ac:dyDescent="0.25">
      <c r="A1307" s="11">
        <v>46042</v>
      </c>
      <c r="B1307" t="s">
        <v>49</v>
      </c>
      <c r="C1307" t="s">
        <v>48</v>
      </c>
      <c r="D1307">
        <v>19</v>
      </c>
      <c r="E1307">
        <v>18</v>
      </c>
      <c r="F1307">
        <v>14.02</v>
      </c>
      <c r="G1307">
        <v>0</v>
      </c>
      <c r="H1307">
        <v>0</v>
      </c>
      <c r="I1307" s="3">
        <f>E1307+G1307+H1307</f>
        <v>18</v>
      </c>
      <c r="J1307" s="3">
        <f>ROUND(MIN(IF(C1307="Técnico III",35,IF(C1307="Técnico II",28,IF(C1307="Técnico I",23,IF(C1307="JR",20,IF(C1307="Estágio",10,0))))),IF(C1307="Técnico III",SUMIFS($D:$D,$A:$A,$A1307,$B:$B,"&lt;&gt;Patrícia Karla de Sousa Araújo",$B:$B,"&lt;&gt;Lorena Dias de Araujo",$B:$B,"&lt;&gt;Lucas Luiz Romero")*(35/1083),IF(C1307="Técnico II",SUMIFS($D:$D,$A:$A,$A1307,$B:$B,"&lt;&gt;Patrícia Karla de Sousa Araújo",$B:$B,"&lt;&gt;Lorena Dias de Araujo",$B:$B,"&lt;&gt;Lucas Luiz Romero")*(28/1083),IF(C1307="Técnico I",SUMIFS($D:$D,$A:$A,$A1307,$B:$B,"&lt;&gt;Patrícia Karla de Sousa Araújo",$B:$B,"&lt;&gt;Lorena Dias de Araujo",$B:$B,"&lt;&gt;Lucas Luiz Romero")*(23/1083),IF(C1307="JR",SUMIFS($D:$D,$A:$A,$A1307,$B:$B,"&lt;&gt;Patrícia Karla de Sousa Araújo",$B:$B,"&lt;&gt;Lorena Dias de Araujo",$B:$B,"&lt;&gt;Lucas Luiz Romero")*(20/1083),IF(C1307="Estágio",SUMIFS($D:$D,$A:$A,$A1307,$B:$B,"&lt;&gt;Patrícia Karla de Sousa Araújo",$B:$B,"&lt;&gt;Lorena Dias de Araujo",$B:$B,"&lt;&gt;Lucas Luiz Romero")*(10/1083),0)))))),0)</f>
        <v>15</v>
      </c>
      <c r="K1307" s="3">
        <f>I1307-J1307</f>
        <v>3</v>
      </c>
      <c r="L1307" s="3" t="str">
        <f>IF(K1307&lt;-5,"CRÍTICO",IF(K1307&lt;0,"ATENÇÃO",IF(K1307&lt;=5,"BOM","EXCELENTE")))</f>
        <v>BOM</v>
      </c>
      <c r="M1307">
        <v>20</v>
      </c>
      <c r="N1307">
        <v>98.54</v>
      </c>
      <c r="O1307">
        <v>28.544776119402989</v>
      </c>
    </row>
    <row r="1308" spans="1:15" hidden="1" x14ac:dyDescent="0.25">
      <c r="A1308" s="11">
        <v>46042</v>
      </c>
      <c r="B1308" t="s">
        <v>50</v>
      </c>
      <c r="C1308" t="s">
        <v>48</v>
      </c>
      <c r="D1308">
        <v>19</v>
      </c>
      <c r="E1308">
        <v>17</v>
      </c>
      <c r="F1308">
        <v>21.53</v>
      </c>
      <c r="G1308">
        <v>0</v>
      </c>
      <c r="H1308">
        <v>0</v>
      </c>
      <c r="I1308" s="3">
        <f>E1308+G1308+H1308</f>
        <v>17</v>
      </c>
      <c r="J1308" s="3">
        <f>ROUND(MIN(IF(C1308="Técnico III",35,IF(C1308="Técnico II",28,IF(C1308="Técnico I",23,IF(C1308="JR",20,IF(C1308="Estágio",10,0))))),IF(C1308="Técnico III",SUMIFS($D:$D,$A:$A,$A1308,$B:$B,"&lt;&gt;Patrícia Karla de Sousa Araújo",$B:$B,"&lt;&gt;Lorena Dias de Araujo",$B:$B,"&lt;&gt;Lucas Luiz Romero")*(35/1083),IF(C1308="Técnico II",SUMIFS($D:$D,$A:$A,$A1308,$B:$B,"&lt;&gt;Patrícia Karla de Sousa Araújo",$B:$B,"&lt;&gt;Lorena Dias de Araujo",$B:$B,"&lt;&gt;Lucas Luiz Romero")*(28/1083),IF(C1308="Técnico I",SUMIFS($D:$D,$A:$A,$A1308,$B:$B,"&lt;&gt;Patrícia Karla de Sousa Araújo",$B:$B,"&lt;&gt;Lorena Dias de Araujo",$B:$B,"&lt;&gt;Lucas Luiz Romero")*(23/1083),IF(C1308="JR",SUMIFS($D:$D,$A:$A,$A1308,$B:$B,"&lt;&gt;Patrícia Karla de Sousa Araújo",$B:$B,"&lt;&gt;Lorena Dias de Araujo",$B:$B,"&lt;&gt;Lucas Luiz Romero")*(20/1083),IF(C1308="Estágio",SUMIFS($D:$D,$A:$A,$A1308,$B:$B,"&lt;&gt;Patrícia Karla de Sousa Araújo",$B:$B,"&lt;&gt;Lorena Dias de Araujo",$B:$B,"&lt;&gt;Lucas Luiz Romero")*(10/1083),0)))))),0)</f>
        <v>15</v>
      </c>
      <c r="K1308" s="3">
        <f>I1308-J1308</f>
        <v>2</v>
      </c>
      <c r="L1308" s="3" t="str">
        <f>IF(K1308&lt;-5,"CRÍTICO",IF(K1308&lt;0,"ATENÇÃO",IF(K1308&lt;=5,"BOM","EXCELENTE")))</f>
        <v>BOM</v>
      </c>
      <c r="M1308">
        <v>19</v>
      </c>
      <c r="N1308">
        <v>100</v>
      </c>
      <c r="O1308">
        <v>34.366925064599492</v>
      </c>
    </row>
    <row r="1309" spans="1:15" hidden="1" x14ac:dyDescent="0.25">
      <c r="A1309" s="11">
        <v>46042</v>
      </c>
      <c r="B1309" t="s">
        <v>17</v>
      </c>
      <c r="C1309" t="s">
        <v>16</v>
      </c>
      <c r="D1309">
        <v>0</v>
      </c>
      <c r="E1309">
        <v>0</v>
      </c>
      <c r="F1309">
        <v>0</v>
      </c>
      <c r="G1309">
        <v>0</v>
      </c>
      <c r="H1309">
        <v>0</v>
      </c>
      <c r="I1309" s="3">
        <v>0</v>
      </c>
      <c r="J1309" s="3">
        <v>0</v>
      </c>
      <c r="K1309" s="3">
        <v>0</v>
      </c>
      <c r="L1309" s="3" t="str">
        <f>IF(K1309&lt;-5,"CRÍTICO",IF(K1309&lt;0,"ATENÇÃO",IF(K1309&lt;=5,"BOM","EXCELENTE")))</f>
        <v>BOM</v>
      </c>
      <c r="M1309">
        <v>0</v>
      </c>
      <c r="N1309">
        <v>0</v>
      </c>
      <c r="O1309">
        <v>0</v>
      </c>
    </row>
    <row r="1310" spans="1:15" hidden="1" x14ac:dyDescent="0.25">
      <c r="A1310" s="11">
        <v>46042</v>
      </c>
      <c r="B1310" t="s">
        <v>60</v>
      </c>
      <c r="C1310" t="s">
        <v>23</v>
      </c>
      <c r="D1310">
        <v>16</v>
      </c>
      <c r="E1310">
        <v>16</v>
      </c>
      <c r="F1310">
        <v>32.04</v>
      </c>
      <c r="G1310">
        <v>0</v>
      </c>
      <c r="H1310">
        <v>0</v>
      </c>
      <c r="I1310" s="3">
        <f>E1310+G1310+H1310</f>
        <v>16</v>
      </c>
      <c r="J1310" s="3">
        <f>ROUND(MIN(IF(C1310="Técnico III",35,IF(C1310="Técnico II",28,IF(C1310="Técnico I",23,IF(C1310="JR",20,IF(C1310="Estágio",10,0))))),IF(C1310="Técnico III",SUMIFS($D:$D,$A:$A,$A1310,$B:$B,"&lt;&gt;Patrícia Karla de Sousa Araújo",$B:$B,"&lt;&gt;Lorena Dias de Araujo",$B:$B,"&lt;&gt;Lucas Luiz Romero")*(35/1083),IF(C1310="Técnico II",SUMIFS($D:$D,$A:$A,$A1310,$B:$B,"&lt;&gt;Patrícia Karla de Sousa Araújo",$B:$B,"&lt;&gt;Lorena Dias de Araujo",$B:$B,"&lt;&gt;Lucas Luiz Romero")*(28/1083),IF(C1310="Técnico I",SUMIFS($D:$D,$A:$A,$A1310,$B:$B,"&lt;&gt;Patrícia Karla de Sousa Araújo",$B:$B,"&lt;&gt;Lorena Dias de Araujo",$B:$B,"&lt;&gt;Lucas Luiz Romero")*(23/1083),IF(C1310="JR",SUMIFS($D:$D,$A:$A,$A1310,$B:$B,"&lt;&gt;Patrícia Karla de Sousa Araújo",$B:$B,"&lt;&gt;Lorena Dias de Araujo",$B:$B,"&lt;&gt;Lucas Luiz Romero")*(20/1083),IF(C1310="Estágio",SUMIFS($D:$D,$A:$A,$A1310,$B:$B,"&lt;&gt;Patrícia Karla de Sousa Araújo",$B:$B,"&lt;&gt;Lorena Dias de Araujo",$B:$B,"&lt;&gt;Lucas Luiz Romero")*(10/1083),0)))))),0)</f>
        <v>13</v>
      </c>
      <c r="K1310" s="3">
        <f>I1310-J1310</f>
        <v>3</v>
      </c>
      <c r="L1310" s="3" t="str">
        <f>IF(K1310&lt;-5,"CRÍTICO",IF(K1310&lt;0,"ATENÇÃO",IF(K1310&lt;=5,"BOM","EXCELENTE")))</f>
        <v>BOM</v>
      </c>
      <c r="M1310">
        <v>13</v>
      </c>
      <c r="N1310">
        <v>100</v>
      </c>
      <c r="O1310">
        <v>29.518072289156631</v>
      </c>
    </row>
    <row r="1311" spans="1:15" hidden="1" x14ac:dyDescent="0.25">
      <c r="A1311" s="11">
        <v>46042</v>
      </c>
      <c r="B1311" t="s">
        <v>34</v>
      </c>
      <c r="C1311" t="s">
        <v>32</v>
      </c>
      <c r="D1311">
        <v>25</v>
      </c>
      <c r="E1311">
        <v>24</v>
      </c>
      <c r="F1311">
        <v>14.12</v>
      </c>
      <c r="G1311">
        <v>0</v>
      </c>
      <c r="H1311">
        <v>0</v>
      </c>
      <c r="I1311" s="3">
        <f>E1311+G1311+H1311</f>
        <v>24</v>
      </c>
      <c r="J1311" s="3">
        <f>ROUND(MIN(IF(C1311="Técnico III",35,IF(C1311="Técnico II",28,IF(C1311="Técnico I",23,IF(C1311="JR",20,IF(C1311="Estágio",10,0))))),IF(C1311="Técnico III",SUMIFS($D:$D,$A:$A,$A1311,$B:$B,"&lt;&gt;Patrícia Karla de Sousa Araújo",$B:$B,"&lt;&gt;Lorena Dias de Araujo",$B:$B,"&lt;&gt;Lucas Luiz Romero")*(35/1083),IF(C1311="Técnico II",SUMIFS($D:$D,$A:$A,$A1311,$B:$B,"&lt;&gt;Patrícia Karla de Sousa Araújo",$B:$B,"&lt;&gt;Lorena Dias de Araujo",$B:$B,"&lt;&gt;Lucas Luiz Romero")*(28/1083),IF(C1311="Técnico I",SUMIFS($D:$D,$A:$A,$A1311,$B:$B,"&lt;&gt;Patrícia Karla de Sousa Araújo",$B:$B,"&lt;&gt;Lorena Dias de Araujo",$B:$B,"&lt;&gt;Lucas Luiz Romero")*(23/1083),IF(C1311="JR",SUMIFS($D:$D,$A:$A,$A1311,$B:$B,"&lt;&gt;Patrícia Karla de Sousa Araújo",$B:$B,"&lt;&gt;Lorena Dias de Araujo",$B:$B,"&lt;&gt;Lucas Luiz Romero")*(20/1083),IF(C1311="Estágio",SUMIFS($D:$D,$A:$A,$A1311,$B:$B,"&lt;&gt;Patrícia Karla de Sousa Araújo",$B:$B,"&lt;&gt;Lorena Dias de Araujo",$B:$B,"&lt;&gt;Lucas Luiz Romero")*(10/1083),0)))))),0)</f>
        <v>19</v>
      </c>
      <c r="K1311" s="3">
        <f>I1311-J1311</f>
        <v>5</v>
      </c>
      <c r="L1311" s="3" t="str">
        <f>IF(K1311&lt;-5,"CRÍTICO",IF(K1311&lt;0,"ATENÇÃO",IF(K1311&lt;=5,"BOM","EXCELENTE")))</f>
        <v>BOM</v>
      </c>
      <c r="M1311">
        <v>22</v>
      </c>
      <c r="N1311">
        <v>97.45</v>
      </c>
      <c r="O1311">
        <v>41.421143847487002</v>
      </c>
    </row>
    <row r="1312" spans="1:15" hidden="1" x14ac:dyDescent="0.25">
      <c r="A1312" s="11">
        <v>46042</v>
      </c>
      <c r="B1312" t="s">
        <v>51</v>
      </c>
      <c r="C1312" t="s">
        <v>48</v>
      </c>
      <c r="D1312">
        <v>29</v>
      </c>
      <c r="E1312">
        <v>20</v>
      </c>
      <c r="F1312">
        <v>8.26</v>
      </c>
      <c r="G1312">
        <v>0</v>
      </c>
      <c r="H1312">
        <v>0</v>
      </c>
      <c r="I1312" s="3">
        <v>0</v>
      </c>
      <c r="J1312" s="3">
        <v>0</v>
      </c>
      <c r="K1312" s="3">
        <v>0</v>
      </c>
      <c r="L1312" s="3" t="str">
        <f>IF(K1312&lt;-5,"CRÍTICO",IF(K1312&lt;0,"ATENÇÃO",IF(K1312&lt;=5,"BOM","EXCELENTE")))</f>
        <v>BOM</v>
      </c>
      <c r="M1312">
        <v>21</v>
      </c>
      <c r="N1312">
        <v>96.58</v>
      </c>
      <c r="O1312">
        <v>30.396475770925111</v>
      </c>
    </row>
    <row r="1313" spans="1:15" hidden="1" x14ac:dyDescent="0.25">
      <c r="A1313" s="11">
        <v>46042</v>
      </c>
      <c r="B1313" t="s">
        <v>61</v>
      </c>
      <c r="C1313" t="s">
        <v>23</v>
      </c>
      <c r="D1313">
        <v>20</v>
      </c>
      <c r="E1313">
        <v>17</v>
      </c>
      <c r="F1313">
        <v>22.01</v>
      </c>
      <c r="G1313">
        <v>0</v>
      </c>
      <c r="H1313">
        <v>0</v>
      </c>
      <c r="I1313" s="3">
        <f>E1313+G1313+H1313</f>
        <v>17</v>
      </c>
      <c r="J1313" s="3">
        <f>ROUND(MIN(IF(C1313="Técnico III",35,IF(C1313="Técnico II",28,IF(C1313="Técnico I",23,IF(C1313="JR",20,IF(C1313="Estágio",10,0))))),IF(C1313="Técnico III",SUMIFS($D:$D,$A:$A,$A1313,$B:$B,"&lt;&gt;Patrícia Karla de Sousa Araújo",$B:$B,"&lt;&gt;Lorena Dias de Araujo",$B:$B,"&lt;&gt;Lucas Luiz Romero")*(35/1083),IF(C1313="Técnico II",SUMIFS($D:$D,$A:$A,$A1313,$B:$B,"&lt;&gt;Patrícia Karla de Sousa Araújo",$B:$B,"&lt;&gt;Lorena Dias de Araujo",$B:$B,"&lt;&gt;Lucas Luiz Romero")*(28/1083),IF(C1313="Técnico I",SUMIFS($D:$D,$A:$A,$A1313,$B:$B,"&lt;&gt;Patrícia Karla de Sousa Araújo",$B:$B,"&lt;&gt;Lorena Dias de Araujo",$B:$B,"&lt;&gt;Lucas Luiz Romero")*(23/1083),IF(C1313="JR",SUMIFS($D:$D,$A:$A,$A1313,$B:$B,"&lt;&gt;Patrícia Karla de Sousa Araújo",$B:$B,"&lt;&gt;Lorena Dias de Araujo",$B:$B,"&lt;&gt;Lucas Luiz Romero")*(20/1083),IF(C1313="Estágio",SUMIFS($D:$D,$A:$A,$A1313,$B:$B,"&lt;&gt;Patrícia Karla de Sousa Araújo",$B:$B,"&lt;&gt;Lorena Dias de Araujo",$B:$B,"&lt;&gt;Lucas Luiz Romero")*(10/1083),0)))))),0)</f>
        <v>13</v>
      </c>
      <c r="K1313" s="3">
        <f>I1313-J1313</f>
        <v>4</v>
      </c>
      <c r="L1313" s="3" t="str">
        <f>IF(K1313&lt;-5,"CRÍTICO",IF(K1313&lt;0,"ATENÇÃO",IF(K1313&lt;=5,"BOM","EXCELENTE")))</f>
        <v>BOM</v>
      </c>
      <c r="M1313">
        <v>18</v>
      </c>
      <c r="N1313">
        <v>100</v>
      </c>
      <c r="O1313">
        <v>27.44282744282744</v>
      </c>
    </row>
    <row r="1314" spans="1:15" hidden="1" x14ac:dyDescent="0.25">
      <c r="A1314" s="11">
        <v>46042</v>
      </c>
      <c r="B1314" t="s">
        <v>35</v>
      </c>
      <c r="C1314" t="s">
        <v>32</v>
      </c>
      <c r="D1314">
        <v>17</v>
      </c>
      <c r="E1314">
        <v>17</v>
      </c>
      <c r="F1314">
        <v>30.1</v>
      </c>
      <c r="G1314">
        <v>0</v>
      </c>
      <c r="H1314">
        <v>0</v>
      </c>
      <c r="I1314" s="3">
        <v>0</v>
      </c>
      <c r="J1314" s="3">
        <v>0</v>
      </c>
      <c r="K1314" s="3">
        <v>0</v>
      </c>
      <c r="L1314" s="3" t="str">
        <f>IF(K1314&lt;-5,"CRÍTICO",IF(K1314&lt;0,"ATENÇÃO",IF(K1314&lt;=5,"BOM","EXCELENTE")))</f>
        <v>BOM</v>
      </c>
      <c r="M1314">
        <v>19</v>
      </c>
      <c r="N1314">
        <v>99.49</v>
      </c>
      <c r="O1314">
        <v>40.200000000000003</v>
      </c>
    </row>
    <row r="1315" spans="1:15" hidden="1" x14ac:dyDescent="0.25">
      <c r="A1315" s="11">
        <v>46042</v>
      </c>
      <c r="B1315" t="s">
        <v>18</v>
      </c>
      <c r="C1315" t="s">
        <v>16</v>
      </c>
      <c r="D1315">
        <v>0</v>
      </c>
      <c r="E1315">
        <v>0</v>
      </c>
      <c r="F1315">
        <v>0</v>
      </c>
      <c r="G1315">
        <v>0</v>
      </c>
      <c r="H1315">
        <v>0</v>
      </c>
      <c r="I1315" s="3">
        <v>0</v>
      </c>
      <c r="J1315" s="3">
        <v>0</v>
      </c>
      <c r="K1315" s="3">
        <v>0</v>
      </c>
      <c r="L1315" s="3" t="str">
        <f>IF(K1315&lt;-5,"CRÍTICO",IF(K1315&lt;0,"ATENÇÃO",IF(K1315&lt;=5,"BOM","EXCELENTE")))</f>
        <v>BOM</v>
      </c>
      <c r="M1315">
        <v>0</v>
      </c>
      <c r="N1315">
        <v>100</v>
      </c>
      <c r="O1315">
        <v>25</v>
      </c>
    </row>
    <row r="1316" spans="1:15" hidden="1" x14ac:dyDescent="0.25">
      <c r="A1316" s="11">
        <v>46042</v>
      </c>
      <c r="B1316" t="s">
        <v>52</v>
      </c>
      <c r="C1316" t="s">
        <v>48</v>
      </c>
      <c r="D1316">
        <v>22</v>
      </c>
      <c r="E1316">
        <v>20</v>
      </c>
      <c r="F1316">
        <v>20.53</v>
      </c>
      <c r="G1316">
        <v>0</v>
      </c>
      <c r="H1316">
        <v>0</v>
      </c>
      <c r="I1316" s="3">
        <f>E1316+G1316+H1316</f>
        <v>20</v>
      </c>
      <c r="J1316" s="3">
        <f>ROUND(MIN(IF(C1316="Técnico III",35,IF(C1316="Técnico II",28,IF(C1316="Técnico I",23,IF(C1316="JR",20,IF(C1316="Estágio",10,0))))),IF(C1316="Técnico III",SUMIFS($D:$D,$A:$A,$A1316,$B:$B,"&lt;&gt;Patrícia Karla de Sousa Araújo",$B:$B,"&lt;&gt;Lorena Dias de Araujo",$B:$B,"&lt;&gt;Lucas Luiz Romero")*(35/1083),IF(C1316="Técnico II",SUMIFS($D:$D,$A:$A,$A1316,$B:$B,"&lt;&gt;Patrícia Karla de Sousa Araújo",$B:$B,"&lt;&gt;Lorena Dias de Araujo",$B:$B,"&lt;&gt;Lucas Luiz Romero")*(28/1083),IF(C1316="Técnico I",SUMIFS($D:$D,$A:$A,$A1316,$B:$B,"&lt;&gt;Patrícia Karla de Sousa Araújo",$B:$B,"&lt;&gt;Lorena Dias de Araujo",$B:$B,"&lt;&gt;Lucas Luiz Romero")*(23/1083),IF(C1316="JR",SUMIFS($D:$D,$A:$A,$A1316,$B:$B,"&lt;&gt;Patrícia Karla de Sousa Araújo",$B:$B,"&lt;&gt;Lorena Dias de Araujo",$B:$B,"&lt;&gt;Lucas Luiz Romero")*(20/1083),IF(C1316="Estágio",SUMIFS($D:$D,$A:$A,$A1316,$B:$B,"&lt;&gt;Patrícia Karla de Sousa Araújo",$B:$B,"&lt;&gt;Lorena Dias de Araujo",$B:$B,"&lt;&gt;Lucas Luiz Romero")*(10/1083),0)))))),0)</f>
        <v>15</v>
      </c>
      <c r="K1316" s="3">
        <f>I1316-J1316</f>
        <v>5</v>
      </c>
      <c r="L1316" s="3" t="str">
        <f>IF(K1316&lt;-5,"CRÍTICO",IF(K1316&lt;0,"ATENÇÃO",IF(K1316&lt;=5,"BOM","EXCELENTE")))</f>
        <v>BOM</v>
      </c>
      <c r="M1316">
        <v>21</v>
      </c>
      <c r="N1316">
        <v>100</v>
      </c>
      <c r="O1316">
        <v>34.15094339622641</v>
      </c>
    </row>
    <row r="1317" spans="1:15" hidden="1" x14ac:dyDescent="0.25">
      <c r="A1317" s="11">
        <v>46042</v>
      </c>
      <c r="B1317" t="s">
        <v>36</v>
      </c>
      <c r="C1317" t="s">
        <v>32</v>
      </c>
      <c r="D1317">
        <v>16</v>
      </c>
      <c r="E1317">
        <v>12</v>
      </c>
      <c r="F1317">
        <v>12.35</v>
      </c>
      <c r="G1317">
        <v>0</v>
      </c>
      <c r="H1317">
        <v>0</v>
      </c>
      <c r="I1317" s="3">
        <f>E1317+G1317+H1317</f>
        <v>12</v>
      </c>
      <c r="J1317" s="3">
        <f>ROUND(MIN(IF(C1317="Técnico III",35,IF(C1317="Técnico II",28,IF(C1317="Técnico I",23,IF(C1317="JR",20,IF(C1317="Estágio",10,0))))),IF(C1317="Técnico III",SUMIFS($D:$D,$A:$A,$A1317,$B:$B,"&lt;&gt;Patrícia Karla de Sousa Araújo",$B:$B,"&lt;&gt;Lorena Dias de Araujo",$B:$B,"&lt;&gt;Lucas Luiz Romero")*(35/1083),IF(C1317="Técnico II",SUMIFS($D:$D,$A:$A,$A1317,$B:$B,"&lt;&gt;Patrícia Karla de Sousa Araújo",$B:$B,"&lt;&gt;Lorena Dias de Araujo",$B:$B,"&lt;&gt;Lucas Luiz Romero")*(28/1083),IF(C1317="Técnico I",SUMIFS($D:$D,$A:$A,$A1317,$B:$B,"&lt;&gt;Patrícia Karla de Sousa Araújo",$B:$B,"&lt;&gt;Lorena Dias de Araujo",$B:$B,"&lt;&gt;Lucas Luiz Romero")*(23/1083),IF(C1317="JR",SUMIFS($D:$D,$A:$A,$A1317,$B:$B,"&lt;&gt;Patrícia Karla de Sousa Araújo",$B:$B,"&lt;&gt;Lorena Dias de Araujo",$B:$B,"&lt;&gt;Lucas Luiz Romero")*(20/1083),IF(C1317="Estágio",SUMIFS($D:$D,$A:$A,$A1317,$B:$B,"&lt;&gt;Patrícia Karla de Sousa Araújo",$B:$B,"&lt;&gt;Lorena Dias de Araujo",$B:$B,"&lt;&gt;Lucas Luiz Romero")*(10/1083),0)))))),0)</f>
        <v>19</v>
      </c>
      <c r="K1317" s="3">
        <f>I1317-J1317</f>
        <v>-7</v>
      </c>
      <c r="L1317" s="3" t="str">
        <f>IF(K1317&lt;-5,"CRÍTICO",IF(K1317&lt;0,"ATENÇÃO",IF(K1317&lt;=5,"BOM","EXCELENTE")))</f>
        <v>CRÍTICO</v>
      </c>
      <c r="M1317">
        <v>16</v>
      </c>
      <c r="N1317">
        <v>100</v>
      </c>
      <c r="O1317">
        <v>32.731376975169297</v>
      </c>
    </row>
    <row r="1318" spans="1:15" hidden="1" x14ac:dyDescent="0.25">
      <c r="A1318" s="11">
        <v>46042</v>
      </c>
      <c r="B1318" t="s">
        <v>53</v>
      </c>
      <c r="C1318" t="s">
        <v>48</v>
      </c>
      <c r="D1318">
        <v>21</v>
      </c>
      <c r="E1318">
        <v>21</v>
      </c>
      <c r="F1318">
        <v>20.39</v>
      </c>
      <c r="G1318">
        <v>0</v>
      </c>
      <c r="H1318">
        <v>0</v>
      </c>
      <c r="I1318" s="3">
        <f>E1318+G1318+H1318</f>
        <v>21</v>
      </c>
      <c r="J1318" s="3">
        <f>ROUND(MIN(IF(C1318="Técnico III",35,IF(C1318="Técnico II",28,IF(C1318="Técnico I",23,IF(C1318="JR",20,IF(C1318="Estágio",10,0))))),IF(C1318="Técnico III",SUMIFS($D:$D,$A:$A,$A1318,$B:$B,"&lt;&gt;Patrícia Karla de Sousa Araújo",$B:$B,"&lt;&gt;Lorena Dias de Araujo",$B:$B,"&lt;&gt;Lucas Luiz Romero")*(35/1083),IF(C1318="Técnico II",SUMIFS($D:$D,$A:$A,$A1318,$B:$B,"&lt;&gt;Patrícia Karla de Sousa Araújo",$B:$B,"&lt;&gt;Lorena Dias de Araujo",$B:$B,"&lt;&gt;Lucas Luiz Romero")*(28/1083),IF(C1318="Técnico I",SUMIFS($D:$D,$A:$A,$A1318,$B:$B,"&lt;&gt;Patrícia Karla de Sousa Araújo",$B:$B,"&lt;&gt;Lorena Dias de Araujo",$B:$B,"&lt;&gt;Lucas Luiz Romero")*(23/1083),IF(C1318="JR",SUMIFS($D:$D,$A:$A,$A1318,$B:$B,"&lt;&gt;Patrícia Karla de Sousa Araújo",$B:$B,"&lt;&gt;Lorena Dias de Araujo",$B:$B,"&lt;&gt;Lucas Luiz Romero")*(20/1083),IF(C1318="Estágio",SUMIFS($D:$D,$A:$A,$A1318,$B:$B,"&lt;&gt;Patrícia Karla de Sousa Araújo",$B:$B,"&lt;&gt;Lorena Dias de Araujo",$B:$B,"&lt;&gt;Lucas Luiz Romero")*(10/1083),0)))))),0)</f>
        <v>15</v>
      </c>
      <c r="K1318" s="3">
        <f>I1318-J1318</f>
        <v>6</v>
      </c>
      <c r="L1318" s="3" t="str">
        <f>IF(K1318&lt;-5,"CRÍTICO",IF(K1318&lt;0,"ATENÇÃO",IF(K1318&lt;=5,"BOM","EXCELENTE")))</f>
        <v>EXCELENTE</v>
      </c>
      <c r="M1318">
        <v>19</v>
      </c>
      <c r="N1318">
        <v>99.31</v>
      </c>
      <c r="O1318">
        <v>30.96234309623431</v>
      </c>
    </row>
    <row r="1319" spans="1:15" hidden="1" x14ac:dyDescent="0.25">
      <c r="A1319" s="11">
        <v>46076</v>
      </c>
      <c r="B1319" t="s">
        <v>22</v>
      </c>
      <c r="C1319" t="s">
        <v>23</v>
      </c>
      <c r="D1319">
        <v>18</v>
      </c>
      <c r="E1319">
        <v>16</v>
      </c>
      <c r="F1319">
        <v>30.38</v>
      </c>
      <c r="G1319">
        <v>0</v>
      </c>
      <c r="H1319">
        <v>0</v>
      </c>
      <c r="I1319" s="3">
        <f>E1319+G1319+H1319</f>
        <v>16</v>
      </c>
      <c r="J1319" s="3">
        <f>ROUND(MIN(IF(C1319="Técnico III",35,IF(C1319="Técnico II",28,IF(C1319="Técnico I",23,IF(C1319="JR",20,IF(C1319="Estágio",10,0))))),IF(C1319="Técnico III",SUMIFS($D:$D,$A:$A,$A1319,$B:$B,"&lt;&gt;Patrícia Karla de Sousa Araújo",$B:$B,"&lt;&gt;Lorena Dias de Araujo",$B:$B,"&lt;&gt;Lucas Luiz Romero")*(35/1083),IF(C1319="Técnico II",SUMIFS($D:$D,$A:$A,$A1319,$B:$B,"&lt;&gt;Patrícia Karla de Sousa Araújo",$B:$B,"&lt;&gt;Lorena Dias de Araujo",$B:$B,"&lt;&gt;Lucas Luiz Romero")*(28/1083),IF(C1319="Técnico I",SUMIFS($D:$D,$A:$A,$A1319,$B:$B,"&lt;&gt;Patrícia Karla de Sousa Araújo",$B:$B,"&lt;&gt;Lorena Dias de Araujo",$B:$B,"&lt;&gt;Lucas Luiz Romero")*(23/1083),IF(C1319="JR",SUMIFS($D:$D,$A:$A,$A1319,$B:$B,"&lt;&gt;Patrícia Karla de Sousa Araújo",$B:$B,"&lt;&gt;Lorena Dias de Araujo",$B:$B,"&lt;&gt;Lucas Luiz Romero")*(20/1083),IF(C1319="Estágio",SUMIFS($D:$D,$A:$A,$A1319,$B:$B,"&lt;&gt;Patrícia Karla de Sousa Araújo",$B:$B,"&lt;&gt;Lorena Dias de Araujo",$B:$B,"&lt;&gt;Lucas Luiz Romero")*(10/1083),0)))))),0)</f>
        <v>15</v>
      </c>
      <c r="K1319" s="3">
        <f>I1319-J1319</f>
        <v>1</v>
      </c>
      <c r="L1319" s="3" t="str">
        <f>IF(K1319&lt;-5,"CRÍTICO",IF(K1319&lt;0,"ATENÇÃO",IF(K1319&lt;=5,"BOM","EXCELENTE")))</f>
        <v>BOM</v>
      </c>
      <c r="M1319">
        <v>16</v>
      </c>
      <c r="N1319">
        <v>96.67</v>
      </c>
      <c r="O1319">
        <v>31.451612903225811</v>
      </c>
    </row>
    <row r="1320" spans="1:15" hidden="1" x14ac:dyDescent="0.25">
      <c r="A1320" s="11">
        <v>46042</v>
      </c>
      <c r="B1320" t="s">
        <v>54</v>
      </c>
      <c r="C1320" t="s">
        <v>48</v>
      </c>
      <c r="D1320">
        <v>18</v>
      </c>
      <c r="E1320">
        <v>18</v>
      </c>
      <c r="F1320">
        <v>28.43</v>
      </c>
      <c r="G1320">
        <v>0</v>
      </c>
      <c r="H1320">
        <v>0</v>
      </c>
      <c r="I1320" s="3">
        <f>E1320+G1320+H1320</f>
        <v>18</v>
      </c>
      <c r="J1320" s="3">
        <f>ROUND(MIN(IF(C1320="Técnico III",35,IF(C1320="Técnico II",28,IF(C1320="Técnico I",23,IF(C1320="JR",20,IF(C1320="Estágio",10,0))))),IF(C1320="Técnico III",SUMIFS($D:$D,$A:$A,$A1320,$B:$B,"&lt;&gt;Patrícia Karla de Sousa Araújo",$B:$B,"&lt;&gt;Lorena Dias de Araujo",$B:$B,"&lt;&gt;Lucas Luiz Romero")*(35/1083),IF(C1320="Técnico II",SUMIFS($D:$D,$A:$A,$A1320,$B:$B,"&lt;&gt;Patrícia Karla de Sousa Araújo",$B:$B,"&lt;&gt;Lorena Dias de Araujo",$B:$B,"&lt;&gt;Lucas Luiz Romero")*(28/1083),IF(C1320="Técnico I",SUMIFS($D:$D,$A:$A,$A1320,$B:$B,"&lt;&gt;Patrícia Karla de Sousa Araújo",$B:$B,"&lt;&gt;Lorena Dias de Araujo",$B:$B,"&lt;&gt;Lucas Luiz Romero")*(23/1083),IF(C1320="JR",SUMIFS($D:$D,$A:$A,$A1320,$B:$B,"&lt;&gt;Patrícia Karla de Sousa Araújo",$B:$B,"&lt;&gt;Lorena Dias de Araujo",$B:$B,"&lt;&gt;Lucas Luiz Romero")*(20/1083),IF(C1320="Estágio",SUMIFS($D:$D,$A:$A,$A1320,$B:$B,"&lt;&gt;Patrícia Karla de Sousa Araújo",$B:$B,"&lt;&gt;Lorena Dias de Araujo",$B:$B,"&lt;&gt;Lucas Luiz Romero")*(10/1083),0)))))),0)</f>
        <v>15</v>
      </c>
      <c r="K1320" s="3">
        <f>I1320-J1320</f>
        <v>3</v>
      </c>
      <c r="L1320" s="3" t="str">
        <f>IF(K1320&lt;-5,"CRÍTICO",IF(K1320&lt;0,"ATENÇÃO",IF(K1320&lt;=5,"BOM","EXCELENTE")))</f>
        <v>BOM</v>
      </c>
      <c r="M1320">
        <v>18</v>
      </c>
      <c r="N1320">
        <v>100</v>
      </c>
      <c r="O1320">
        <v>27.676767676767678</v>
      </c>
    </row>
    <row r="1321" spans="1:15" hidden="1" x14ac:dyDescent="0.25">
      <c r="A1321" s="11">
        <v>46042</v>
      </c>
      <c r="B1321" t="s">
        <v>37</v>
      </c>
      <c r="C1321" t="s">
        <v>32</v>
      </c>
      <c r="D1321">
        <v>32</v>
      </c>
      <c r="E1321">
        <v>29</v>
      </c>
      <c r="F1321">
        <v>12.31</v>
      </c>
      <c r="G1321">
        <v>0</v>
      </c>
      <c r="H1321">
        <v>0</v>
      </c>
      <c r="I1321" s="3">
        <f>E1321+G1321+H1321</f>
        <v>29</v>
      </c>
      <c r="J1321" s="3">
        <f>ROUND(MIN(IF(C1321="Técnico III",35,IF(C1321="Técnico II",28,IF(C1321="Técnico I",23,IF(C1321="JR",20,IF(C1321="Estágio",10,0))))),IF(C1321="Técnico III",SUMIFS($D:$D,$A:$A,$A1321,$B:$B,"&lt;&gt;Patrícia Karla de Sousa Araújo",$B:$B,"&lt;&gt;Lorena Dias de Araujo",$B:$B,"&lt;&gt;Lucas Luiz Romero")*(35/1083),IF(C1321="Técnico II",SUMIFS($D:$D,$A:$A,$A1321,$B:$B,"&lt;&gt;Patrícia Karla de Sousa Araújo",$B:$B,"&lt;&gt;Lorena Dias de Araujo",$B:$B,"&lt;&gt;Lucas Luiz Romero")*(28/1083),IF(C1321="Técnico I",SUMIFS($D:$D,$A:$A,$A1321,$B:$B,"&lt;&gt;Patrícia Karla de Sousa Araújo",$B:$B,"&lt;&gt;Lorena Dias de Araujo",$B:$B,"&lt;&gt;Lucas Luiz Romero")*(23/1083),IF(C1321="JR",SUMIFS($D:$D,$A:$A,$A1321,$B:$B,"&lt;&gt;Patrícia Karla de Sousa Araújo",$B:$B,"&lt;&gt;Lorena Dias de Araujo",$B:$B,"&lt;&gt;Lucas Luiz Romero")*(20/1083),IF(C1321="Estágio",SUMIFS($D:$D,$A:$A,$A1321,$B:$B,"&lt;&gt;Patrícia Karla de Sousa Araújo",$B:$B,"&lt;&gt;Lorena Dias de Araujo",$B:$B,"&lt;&gt;Lucas Luiz Romero")*(10/1083),0)))))),0)</f>
        <v>19</v>
      </c>
      <c r="K1321" s="3">
        <f>I1321-J1321</f>
        <v>10</v>
      </c>
      <c r="L1321" s="3" t="str">
        <f>IF(K1321&lt;-5,"CRÍTICO",IF(K1321&lt;0,"ATENÇÃO",IF(K1321&lt;=5,"BOM","EXCELENTE")))</f>
        <v>EXCELENTE</v>
      </c>
      <c r="M1321">
        <v>29</v>
      </c>
      <c r="N1321">
        <v>100</v>
      </c>
      <c r="O1321">
        <v>31.17723156532988</v>
      </c>
    </row>
    <row r="1322" spans="1:15" hidden="1" x14ac:dyDescent="0.25">
      <c r="A1322" s="11">
        <v>46042</v>
      </c>
      <c r="B1322" t="s">
        <v>38</v>
      </c>
      <c r="C1322" t="s">
        <v>32</v>
      </c>
      <c r="D1322">
        <v>11</v>
      </c>
      <c r="E1322">
        <v>11</v>
      </c>
      <c r="F1322">
        <v>22.13</v>
      </c>
      <c r="G1322">
        <v>0</v>
      </c>
      <c r="H1322">
        <v>0</v>
      </c>
      <c r="I1322" s="3">
        <f>E1322+G1322+H1322</f>
        <v>11</v>
      </c>
      <c r="J1322" s="3">
        <f>ROUND(MIN(IF(C1322="Técnico III",35,IF(C1322="Técnico II",28,IF(C1322="Técnico I",23,IF(C1322="JR",20,IF(C1322="Estágio",10,0))))),IF(C1322="Técnico III",SUMIFS($D:$D,$A:$A,$A1322,$B:$B,"&lt;&gt;Patrícia Karla de Sousa Araújo",$B:$B,"&lt;&gt;Lorena Dias de Araujo",$B:$B,"&lt;&gt;Lucas Luiz Romero")*(35/1083),IF(C1322="Técnico II",SUMIFS($D:$D,$A:$A,$A1322,$B:$B,"&lt;&gt;Patrícia Karla de Sousa Araújo",$B:$B,"&lt;&gt;Lorena Dias de Araujo",$B:$B,"&lt;&gt;Lucas Luiz Romero")*(28/1083),IF(C1322="Técnico I",SUMIFS($D:$D,$A:$A,$A1322,$B:$B,"&lt;&gt;Patrícia Karla de Sousa Araújo",$B:$B,"&lt;&gt;Lorena Dias de Araujo",$B:$B,"&lt;&gt;Lucas Luiz Romero")*(23/1083),IF(C1322="JR",SUMIFS($D:$D,$A:$A,$A1322,$B:$B,"&lt;&gt;Patrícia Karla de Sousa Araújo",$B:$B,"&lt;&gt;Lorena Dias de Araujo",$B:$B,"&lt;&gt;Lucas Luiz Romero")*(20/1083),IF(C1322="Estágio",SUMIFS($D:$D,$A:$A,$A1322,$B:$B,"&lt;&gt;Patrícia Karla de Sousa Araújo",$B:$B,"&lt;&gt;Lorena Dias de Araujo",$B:$B,"&lt;&gt;Lucas Luiz Romero")*(10/1083),0)))))),0)</f>
        <v>19</v>
      </c>
      <c r="K1322" s="3">
        <f>I1322-J1322</f>
        <v>-8</v>
      </c>
      <c r="L1322" s="3" t="str">
        <f>IF(K1322&lt;-5,"CRÍTICO",IF(K1322&lt;0,"ATENÇÃO",IF(K1322&lt;=5,"BOM","EXCELENTE")))</f>
        <v>CRÍTICO</v>
      </c>
      <c r="M1322">
        <v>8</v>
      </c>
      <c r="N1322">
        <v>100</v>
      </c>
      <c r="O1322">
        <v>27.609427609427609</v>
      </c>
    </row>
    <row r="1323" spans="1:15" hidden="1" x14ac:dyDescent="0.25">
      <c r="A1323" s="11">
        <v>46042</v>
      </c>
      <c r="B1323" t="s">
        <v>55</v>
      </c>
      <c r="C1323" t="s">
        <v>48</v>
      </c>
      <c r="D1323">
        <v>28</v>
      </c>
      <c r="E1323">
        <v>22</v>
      </c>
      <c r="F1323">
        <v>10.45</v>
      </c>
      <c r="G1323">
        <v>0</v>
      </c>
      <c r="H1323">
        <v>0</v>
      </c>
      <c r="I1323" s="3">
        <f>E1323+G1323+H1323</f>
        <v>22</v>
      </c>
      <c r="J1323" s="3">
        <f>ROUND(MIN(IF(C1323="Técnico III",35,IF(C1323="Técnico II",28,IF(C1323="Técnico I",23,IF(C1323="JR",20,IF(C1323="Estágio",10,0))))),IF(C1323="Técnico III",SUMIFS($D:$D,$A:$A,$A1323,$B:$B,"&lt;&gt;Patrícia Karla de Sousa Araújo",$B:$B,"&lt;&gt;Lorena Dias de Araujo",$B:$B,"&lt;&gt;Lucas Luiz Romero")*(35/1083),IF(C1323="Técnico II",SUMIFS($D:$D,$A:$A,$A1323,$B:$B,"&lt;&gt;Patrícia Karla de Sousa Araújo",$B:$B,"&lt;&gt;Lorena Dias de Araujo",$B:$B,"&lt;&gt;Lucas Luiz Romero")*(28/1083),IF(C1323="Técnico I",SUMIFS($D:$D,$A:$A,$A1323,$B:$B,"&lt;&gt;Patrícia Karla de Sousa Araújo",$B:$B,"&lt;&gt;Lorena Dias de Araujo",$B:$B,"&lt;&gt;Lucas Luiz Romero")*(23/1083),IF(C1323="JR",SUMIFS($D:$D,$A:$A,$A1323,$B:$B,"&lt;&gt;Patrícia Karla de Sousa Araújo",$B:$B,"&lt;&gt;Lorena Dias de Araujo",$B:$B,"&lt;&gt;Lucas Luiz Romero")*(20/1083),IF(C1323="Estágio",SUMIFS($D:$D,$A:$A,$A1323,$B:$B,"&lt;&gt;Patrícia Karla de Sousa Araújo",$B:$B,"&lt;&gt;Lorena Dias de Araujo",$B:$B,"&lt;&gt;Lucas Luiz Romero")*(10/1083),0)))))),0)</f>
        <v>15</v>
      </c>
      <c r="K1323" s="3">
        <f>I1323-J1323</f>
        <v>7</v>
      </c>
      <c r="L1323" s="3" t="str">
        <f>IF(K1323&lt;-5,"CRÍTICO",IF(K1323&lt;0,"ATENÇÃO",IF(K1323&lt;=5,"BOM","EXCELENTE")))</f>
        <v>EXCELENTE</v>
      </c>
      <c r="M1323">
        <v>20</v>
      </c>
      <c r="N1323">
        <v>96.4</v>
      </c>
      <c r="O1323">
        <v>28.764044943820231</v>
      </c>
    </row>
    <row r="1324" spans="1:15" hidden="1" x14ac:dyDescent="0.25">
      <c r="A1324" s="11">
        <v>46042</v>
      </c>
      <c r="B1324" t="s">
        <v>39</v>
      </c>
      <c r="C1324" t="s">
        <v>32</v>
      </c>
      <c r="D1324">
        <v>0</v>
      </c>
      <c r="E1324">
        <v>0</v>
      </c>
      <c r="F1324">
        <v>0</v>
      </c>
      <c r="G1324">
        <v>0</v>
      </c>
      <c r="H1324">
        <v>0</v>
      </c>
      <c r="I1324" s="3">
        <v>0</v>
      </c>
      <c r="J1324" s="3">
        <v>0</v>
      </c>
      <c r="K1324" s="3">
        <v>0</v>
      </c>
      <c r="L1324" s="3" t="str">
        <f>IF(K1324&lt;-5,"CRÍTICO",IF(K1324&lt;0,"ATENÇÃO",IF(K1324&lt;=5,"BOM","EXCELENTE")))</f>
        <v>BOM</v>
      </c>
      <c r="M1324">
        <v>0</v>
      </c>
      <c r="N1324">
        <v>100</v>
      </c>
      <c r="O1324">
        <v>33.980582524271853</v>
      </c>
    </row>
    <row r="1325" spans="1:15" hidden="1" x14ac:dyDescent="0.25">
      <c r="A1325" s="11">
        <v>46042</v>
      </c>
      <c r="B1325" t="s">
        <v>25</v>
      </c>
      <c r="C1325" t="s">
        <v>26</v>
      </c>
      <c r="D1325">
        <v>11</v>
      </c>
      <c r="E1325">
        <v>10</v>
      </c>
      <c r="F1325">
        <v>32.28</v>
      </c>
      <c r="G1325">
        <v>0</v>
      </c>
      <c r="H1325">
        <v>0</v>
      </c>
      <c r="I1325" s="3">
        <f>E1325+G1325+H1325</f>
        <v>10</v>
      </c>
      <c r="J1325" s="3">
        <f>ROUND(MIN(IF(C1325="Técnico III",35,IF(C1325="Técnico II",28,IF(C1325="Técnico I",23,IF(C1325="JR",20,IF(C1325="Estágio",10,0))))),IF(C1325="Técnico III",SUMIFS($D:$D,$A:$A,$A1325,$B:$B,"&lt;&gt;Patrícia Karla de Sousa Araújo",$B:$B,"&lt;&gt;Lorena Dias de Araujo",$B:$B,"&lt;&gt;Lucas Luiz Romero")*(35/1083),IF(C1325="Técnico II",SUMIFS($D:$D,$A:$A,$A1325,$B:$B,"&lt;&gt;Patrícia Karla de Sousa Araújo",$B:$B,"&lt;&gt;Lorena Dias de Araujo",$B:$B,"&lt;&gt;Lucas Luiz Romero")*(28/1083),IF(C1325="Técnico I",SUMIFS($D:$D,$A:$A,$A1325,$B:$B,"&lt;&gt;Patrícia Karla de Sousa Araújo",$B:$B,"&lt;&gt;Lorena Dias de Araujo",$B:$B,"&lt;&gt;Lucas Luiz Romero")*(23/1083),IF(C1325="JR",SUMIFS($D:$D,$A:$A,$A1325,$B:$B,"&lt;&gt;Patrícia Karla de Sousa Araújo",$B:$B,"&lt;&gt;Lorena Dias de Araujo",$B:$B,"&lt;&gt;Lucas Luiz Romero")*(20/1083),IF(C1325="Estágio",SUMIFS($D:$D,$A:$A,$A1325,$B:$B,"&lt;&gt;Patrícia Karla de Sousa Araújo",$B:$B,"&lt;&gt;Lorena Dias de Araujo",$B:$B,"&lt;&gt;Lucas Luiz Romero")*(10/1083),0)))))),0)</f>
        <v>11</v>
      </c>
      <c r="K1325" s="3">
        <f>I1325-J1325</f>
        <v>-1</v>
      </c>
      <c r="L1325" s="3" t="str">
        <f>IF(K1325&lt;-5,"CRÍTICO",IF(K1325&lt;0,"ATENÇÃO",IF(K1325&lt;=5,"BOM","EXCELENTE")))</f>
        <v>ATENÇÃO</v>
      </c>
      <c r="M1325">
        <v>8</v>
      </c>
      <c r="N1325">
        <v>97.56</v>
      </c>
      <c r="O1325">
        <v>32.515337423312893</v>
      </c>
    </row>
    <row r="1326" spans="1:15" hidden="1" x14ac:dyDescent="0.25">
      <c r="A1326" s="11">
        <v>46042</v>
      </c>
      <c r="B1326" t="s">
        <v>40</v>
      </c>
      <c r="C1326" t="s">
        <v>32</v>
      </c>
      <c r="D1326">
        <v>15</v>
      </c>
      <c r="E1326">
        <v>15</v>
      </c>
      <c r="F1326">
        <v>25.47</v>
      </c>
      <c r="G1326">
        <v>0</v>
      </c>
      <c r="H1326">
        <v>0</v>
      </c>
      <c r="I1326" s="3">
        <f>E1326+G1326+H1326</f>
        <v>15</v>
      </c>
      <c r="J1326" s="3">
        <f>ROUND(MIN(IF(C1326="Técnico III",35,IF(C1326="Técnico II",28,IF(C1326="Técnico I",23,IF(C1326="JR",20,IF(C1326="Estágio",10,0))))),IF(C1326="Técnico III",SUMIFS($D:$D,$A:$A,$A1326,$B:$B,"&lt;&gt;Patrícia Karla de Sousa Araújo",$B:$B,"&lt;&gt;Lorena Dias de Araujo",$B:$B,"&lt;&gt;Lucas Luiz Romero")*(35/1083),IF(C1326="Técnico II",SUMIFS($D:$D,$A:$A,$A1326,$B:$B,"&lt;&gt;Patrícia Karla de Sousa Araújo",$B:$B,"&lt;&gt;Lorena Dias de Araujo",$B:$B,"&lt;&gt;Lucas Luiz Romero")*(28/1083),IF(C1326="Técnico I",SUMIFS($D:$D,$A:$A,$A1326,$B:$B,"&lt;&gt;Patrícia Karla de Sousa Araújo",$B:$B,"&lt;&gt;Lorena Dias de Araujo",$B:$B,"&lt;&gt;Lucas Luiz Romero")*(23/1083),IF(C1326="JR",SUMIFS($D:$D,$A:$A,$A1326,$B:$B,"&lt;&gt;Patrícia Karla de Sousa Araújo",$B:$B,"&lt;&gt;Lorena Dias de Araujo",$B:$B,"&lt;&gt;Lucas Luiz Romero")*(20/1083),IF(C1326="Estágio",SUMIFS($D:$D,$A:$A,$A1326,$B:$B,"&lt;&gt;Patrícia Karla de Sousa Araújo",$B:$B,"&lt;&gt;Lorena Dias de Araujo",$B:$B,"&lt;&gt;Lucas Luiz Romero")*(10/1083),0)))))),0)</f>
        <v>19</v>
      </c>
      <c r="K1326" s="3">
        <f>I1326-J1326</f>
        <v>-4</v>
      </c>
      <c r="L1326" s="3" t="str">
        <f>IF(K1326&lt;-5,"CRÍTICO",IF(K1326&lt;0,"ATENÇÃO",IF(K1326&lt;=5,"BOM","EXCELENTE")))</f>
        <v>ATENÇÃO</v>
      </c>
      <c r="M1326">
        <v>12</v>
      </c>
      <c r="N1326">
        <v>97.11</v>
      </c>
      <c r="O1326">
        <v>37.408312958435211</v>
      </c>
    </row>
    <row r="1327" spans="1:15" hidden="1" x14ac:dyDescent="0.25">
      <c r="A1327" s="11">
        <v>46042</v>
      </c>
      <c r="B1327" t="s">
        <v>27</v>
      </c>
      <c r="C1327" t="s">
        <v>26</v>
      </c>
      <c r="D1327">
        <v>0</v>
      </c>
      <c r="E1327">
        <v>0</v>
      </c>
      <c r="F1327">
        <v>0</v>
      </c>
      <c r="G1327">
        <v>0</v>
      </c>
      <c r="H1327">
        <v>0</v>
      </c>
      <c r="I1327" s="3">
        <v>0</v>
      </c>
      <c r="J1327" s="3">
        <v>0</v>
      </c>
      <c r="K1327" s="3">
        <v>0</v>
      </c>
      <c r="L1327" s="3" t="str">
        <f>IF(K1327&lt;-5,"CRÍTICO",IF(K1327&lt;0,"ATENÇÃO",IF(K1327&lt;=5,"BOM","EXCELENTE")))</f>
        <v>BOM</v>
      </c>
      <c r="M1327">
        <v>0</v>
      </c>
      <c r="N1327">
        <v>0</v>
      </c>
      <c r="O1327">
        <v>0</v>
      </c>
    </row>
    <row r="1328" spans="1:15" hidden="1" x14ac:dyDescent="0.25">
      <c r="A1328" s="11">
        <v>46042</v>
      </c>
      <c r="B1328" t="s">
        <v>41</v>
      </c>
      <c r="C1328" t="s">
        <v>32</v>
      </c>
      <c r="D1328">
        <v>25</v>
      </c>
      <c r="E1328">
        <v>23</v>
      </c>
      <c r="F1328">
        <v>12.31</v>
      </c>
      <c r="G1328">
        <v>0</v>
      </c>
      <c r="H1328">
        <v>0</v>
      </c>
      <c r="I1328" s="3">
        <f>E1328+G1328+H1328</f>
        <v>23</v>
      </c>
      <c r="J1328" s="3">
        <f>ROUND(MIN(IF(C1328="Técnico III",35,IF(C1328="Técnico II",28,IF(C1328="Técnico I",23,IF(C1328="JR",20,IF(C1328="Estágio",10,0))))),IF(C1328="Técnico III",SUMIFS($D:$D,$A:$A,$A1328,$B:$B,"&lt;&gt;Patrícia Karla de Sousa Araújo",$B:$B,"&lt;&gt;Lorena Dias de Araujo",$B:$B,"&lt;&gt;Lucas Luiz Romero")*(35/1083),IF(C1328="Técnico II",SUMIFS($D:$D,$A:$A,$A1328,$B:$B,"&lt;&gt;Patrícia Karla de Sousa Araújo",$B:$B,"&lt;&gt;Lorena Dias de Araujo",$B:$B,"&lt;&gt;Lucas Luiz Romero")*(28/1083),IF(C1328="Técnico I",SUMIFS($D:$D,$A:$A,$A1328,$B:$B,"&lt;&gt;Patrícia Karla de Sousa Araújo",$B:$B,"&lt;&gt;Lorena Dias de Araujo",$B:$B,"&lt;&gt;Lucas Luiz Romero")*(23/1083),IF(C1328="JR",SUMIFS($D:$D,$A:$A,$A1328,$B:$B,"&lt;&gt;Patrícia Karla de Sousa Araújo",$B:$B,"&lt;&gt;Lorena Dias de Araujo",$B:$B,"&lt;&gt;Lucas Luiz Romero")*(20/1083),IF(C1328="Estágio",SUMIFS($D:$D,$A:$A,$A1328,$B:$B,"&lt;&gt;Patrícia Karla de Sousa Araújo",$B:$B,"&lt;&gt;Lorena Dias de Araujo",$B:$B,"&lt;&gt;Lucas Luiz Romero")*(10/1083),0)))))),0)</f>
        <v>19</v>
      </c>
      <c r="K1328" s="3">
        <f>I1328-J1328</f>
        <v>4</v>
      </c>
      <c r="L1328" s="3" t="str">
        <f>IF(K1328&lt;-5,"CRÍTICO",IF(K1328&lt;0,"ATENÇÃO",IF(K1328&lt;=5,"BOM","EXCELENTE")))</f>
        <v>BOM</v>
      </c>
      <c r="M1328">
        <v>19</v>
      </c>
      <c r="N1328">
        <v>100</v>
      </c>
      <c r="O1328">
        <v>30.470347648261761</v>
      </c>
    </row>
    <row r="1329" spans="1:15" hidden="1" x14ac:dyDescent="0.25">
      <c r="A1329" s="11">
        <v>46042</v>
      </c>
      <c r="B1329" t="s">
        <v>56</v>
      </c>
      <c r="C1329" t="s">
        <v>48</v>
      </c>
      <c r="D1329">
        <v>17</v>
      </c>
      <c r="E1329">
        <v>17</v>
      </c>
      <c r="F1329">
        <v>27.18</v>
      </c>
      <c r="G1329">
        <v>0</v>
      </c>
      <c r="H1329">
        <v>0</v>
      </c>
      <c r="I1329" s="3">
        <f>E1329+G1329+H1329</f>
        <v>17</v>
      </c>
      <c r="J1329" s="3">
        <f>ROUND(MIN(IF(C1329="Técnico III",35,IF(C1329="Técnico II",28,IF(C1329="Técnico I",23,IF(C1329="JR",20,IF(C1329="Estágio",10,0))))),IF(C1329="Técnico III",SUMIFS($D:$D,$A:$A,$A1329,$B:$B,"&lt;&gt;Patrícia Karla de Sousa Araújo",$B:$B,"&lt;&gt;Lorena Dias de Araujo",$B:$B,"&lt;&gt;Lucas Luiz Romero")*(35/1083),IF(C1329="Técnico II",SUMIFS($D:$D,$A:$A,$A1329,$B:$B,"&lt;&gt;Patrícia Karla de Sousa Araújo",$B:$B,"&lt;&gt;Lorena Dias de Araujo",$B:$B,"&lt;&gt;Lucas Luiz Romero")*(28/1083),IF(C1329="Técnico I",SUMIFS($D:$D,$A:$A,$A1329,$B:$B,"&lt;&gt;Patrícia Karla de Sousa Araújo",$B:$B,"&lt;&gt;Lorena Dias de Araujo",$B:$B,"&lt;&gt;Lucas Luiz Romero")*(23/1083),IF(C1329="JR",SUMIFS($D:$D,$A:$A,$A1329,$B:$B,"&lt;&gt;Patrícia Karla de Sousa Araújo",$B:$B,"&lt;&gt;Lorena Dias de Araujo",$B:$B,"&lt;&gt;Lucas Luiz Romero")*(20/1083),IF(C1329="Estágio",SUMIFS($D:$D,$A:$A,$A1329,$B:$B,"&lt;&gt;Patrícia Karla de Sousa Araújo",$B:$B,"&lt;&gt;Lorena Dias de Araujo",$B:$B,"&lt;&gt;Lucas Luiz Romero")*(10/1083),0)))))),0)</f>
        <v>15</v>
      </c>
      <c r="K1329" s="3">
        <f>I1329-J1329</f>
        <v>2</v>
      </c>
      <c r="L1329" s="3" t="str">
        <f>IF(K1329&lt;-5,"CRÍTICO",IF(K1329&lt;0,"ATENÇÃO",IF(K1329&lt;=5,"BOM","EXCELENTE")))</f>
        <v>BOM</v>
      </c>
      <c r="M1329">
        <v>15</v>
      </c>
      <c r="N1329">
        <v>100</v>
      </c>
      <c r="O1329">
        <v>32.371134020618562</v>
      </c>
    </row>
    <row r="1330" spans="1:15" hidden="1" x14ac:dyDescent="0.25">
      <c r="A1330" s="11">
        <v>46042</v>
      </c>
      <c r="B1330" t="s">
        <v>57</v>
      </c>
      <c r="C1330" t="s">
        <v>48</v>
      </c>
      <c r="D1330">
        <v>25</v>
      </c>
      <c r="E1330">
        <v>24</v>
      </c>
      <c r="F1330">
        <v>19.16</v>
      </c>
      <c r="G1330">
        <v>0</v>
      </c>
      <c r="H1330">
        <v>0</v>
      </c>
      <c r="I1330" s="3">
        <v>0</v>
      </c>
      <c r="J1330" s="3">
        <v>0</v>
      </c>
      <c r="K1330" s="3">
        <v>0</v>
      </c>
      <c r="L1330" s="3" t="str">
        <f>IF(K1330&lt;-5,"CRÍTICO",IF(K1330&lt;0,"ATENÇÃO",IF(K1330&lt;=5,"BOM","EXCELENTE")))</f>
        <v>BOM</v>
      </c>
      <c r="M1330">
        <v>17</v>
      </c>
      <c r="N1330">
        <v>98.32</v>
      </c>
      <c r="O1330">
        <v>32.318501170960189</v>
      </c>
    </row>
    <row r="1331" spans="1:15" hidden="1" x14ac:dyDescent="0.25">
      <c r="A1331" s="11">
        <v>46042</v>
      </c>
      <c r="B1331" t="s">
        <v>42</v>
      </c>
      <c r="C1331" t="s">
        <v>32</v>
      </c>
      <c r="D1331">
        <v>16</v>
      </c>
      <c r="E1331">
        <v>10</v>
      </c>
      <c r="F1331">
        <v>5.29</v>
      </c>
      <c r="G1331">
        <v>0</v>
      </c>
      <c r="H1331">
        <v>0</v>
      </c>
      <c r="I1331" s="3">
        <f>E1331+G1331+H1331</f>
        <v>10</v>
      </c>
      <c r="J1331" s="3">
        <f>ROUND(MIN(IF(C1331="Técnico III",35,IF(C1331="Técnico II",28,IF(C1331="Técnico I",23,IF(C1331="JR",20,IF(C1331="Estágio",10,0))))),IF(C1331="Técnico III",SUMIFS($D:$D,$A:$A,$A1331,$B:$B,"&lt;&gt;Patrícia Karla de Sousa Araújo",$B:$B,"&lt;&gt;Lorena Dias de Araujo",$B:$B,"&lt;&gt;Lucas Luiz Romero")*(35/1083),IF(C1331="Técnico II",SUMIFS($D:$D,$A:$A,$A1331,$B:$B,"&lt;&gt;Patrícia Karla de Sousa Araújo",$B:$B,"&lt;&gt;Lorena Dias de Araujo",$B:$B,"&lt;&gt;Lucas Luiz Romero")*(28/1083),IF(C1331="Técnico I",SUMIFS($D:$D,$A:$A,$A1331,$B:$B,"&lt;&gt;Patrícia Karla de Sousa Araújo",$B:$B,"&lt;&gt;Lorena Dias de Araujo",$B:$B,"&lt;&gt;Lucas Luiz Romero")*(23/1083),IF(C1331="JR",SUMIFS($D:$D,$A:$A,$A1331,$B:$B,"&lt;&gt;Patrícia Karla de Sousa Araújo",$B:$B,"&lt;&gt;Lorena Dias de Araujo",$B:$B,"&lt;&gt;Lucas Luiz Romero")*(20/1083),IF(C1331="Estágio",SUMIFS($D:$D,$A:$A,$A1331,$B:$B,"&lt;&gt;Patrícia Karla de Sousa Araújo",$B:$B,"&lt;&gt;Lorena Dias de Araujo",$B:$B,"&lt;&gt;Lucas Luiz Romero")*(10/1083),0)))))),0)</f>
        <v>19</v>
      </c>
      <c r="K1331" s="3">
        <f>I1331-J1331</f>
        <v>-9</v>
      </c>
      <c r="L1331" s="3" t="str">
        <f>IF(K1331&lt;-5,"CRÍTICO",IF(K1331&lt;0,"ATENÇÃO",IF(K1331&lt;=5,"BOM","EXCELENTE")))</f>
        <v>CRÍTICO</v>
      </c>
      <c r="M1331">
        <v>7</v>
      </c>
      <c r="N1331">
        <v>96.43</v>
      </c>
      <c r="O1331">
        <v>27.015250544662312</v>
      </c>
    </row>
    <row r="1332" spans="1:15" hidden="1" x14ac:dyDescent="0.25">
      <c r="A1332" s="11">
        <v>46042</v>
      </c>
      <c r="B1332" t="s">
        <v>62</v>
      </c>
      <c r="C1332" t="s">
        <v>23</v>
      </c>
      <c r="D1332">
        <v>17</v>
      </c>
      <c r="E1332">
        <v>17</v>
      </c>
      <c r="F1332">
        <v>28.35</v>
      </c>
      <c r="G1332">
        <v>0</v>
      </c>
      <c r="H1332">
        <v>0</v>
      </c>
      <c r="I1332" s="3">
        <f>E1332+G1332+H1332</f>
        <v>17</v>
      </c>
      <c r="J1332" s="3">
        <f>ROUND(MIN(IF(C1332="Técnico III",35,IF(C1332="Técnico II",28,IF(C1332="Técnico I",23,IF(C1332="JR",20,IF(C1332="Estágio",10,0))))),IF(C1332="Técnico III",SUMIFS($D:$D,$A:$A,$A1332,$B:$B,"&lt;&gt;Patrícia Karla de Sousa Araújo",$B:$B,"&lt;&gt;Lorena Dias de Araujo",$B:$B,"&lt;&gt;Lucas Luiz Romero")*(35/1083),IF(C1332="Técnico II",SUMIFS($D:$D,$A:$A,$A1332,$B:$B,"&lt;&gt;Patrícia Karla de Sousa Araújo",$B:$B,"&lt;&gt;Lorena Dias de Araujo",$B:$B,"&lt;&gt;Lucas Luiz Romero")*(28/1083),IF(C1332="Técnico I",SUMIFS($D:$D,$A:$A,$A1332,$B:$B,"&lt;&gt;Patrícia Karla de Sousa Araújo",$B:$B,"&lt;&gt;Lorena Dias de Araujo",$B:$B,"&lt;&gt;Lucas Luiz Romero")*(23/1083),IF(C1332="JR",SUMIFS($D:$D,$A:$A,$A1332,$B:$B,"&lt;&gt;Patrícia Karla de Sousa Araújo",$B:$B,"&lt;&gt;Lorena Dias de Araujo",$B:$B,"&lt;&gt;Lucas Luiz Romero")*(20/1083),IF(C1332="Estágio",SUMIFS($D:$D,$A:$A,$A1332,$B:$B,"&lt;&gt;Patrícia Karla de Sousa Araújo",$B:$B,"&lt;&gt;Lorena Dias de Araujo",$B:$B,"&lt;&gt;Lucas Luiz Romero")*(10/1083),0)))))),0)</f>
        <v>13</v>
      </c>
      <c r="K1332" s="3">
        <f>I1332-J1332</f>
        <v>4</v>
      </c>
      <c r="L1332" s="3" t="str">
        <f>IF(K1332&lt;-5,"CRÍTICO",IF(K1332&lt;0,"ATENÇÃO",IF(K1332&lt;=5,"BOM","EXCELENTE")))</f>
        <v>BOM</v>
      </c>
      <c r="M1332">
        <v>15</v>
      </c>
      <c r="N1332">
        <v>98.89</v>
      </c>
      <c r="O1332">
        <v>28.021978021978018</v>
      </c>
    </row>
    <row r="1333" spans="1:15" hidden="1" x14ac:dyDescent="0.25">
      <c r="A1333" s="11">
        <v>46042</v>
      </c>
      <c r="B1333" t="s">
        <v>19</v>
      </c>
      <c r="C1333" t="s">
        <v>16</v>
      </c>
      <c r="D1333">
        <v>4</v>
      </c>
      <c r="E1333">
        <v>4</v>
      </c>
      <c r="F1333">
        <v>190.33</v>
      </c>
      <c r="G1333">
        <v>0</v>
      </c>
      <c r="H1333">
        <v>0</v>
      </c>
      <c r="I1333" s="3">
        <f>E1333+G1333+H1333</f>
        <v>4</v>
      </c>
      <c r="J1333" s="3">
        <f>ROUND(MIN(IF(C1333="Técnico III",35,IF(C1333="Técnico II",28,IF(C1333="Técnico I",23,IF(C1333="JR",20,IF(C1333="Estágio",10,0))))),IF(C1333="Técnico III",SUMIFS($D:$D,$A:$A,$A1333,$B:$B,"&lt;&gt;Patrícia Karla de Sousa Araújo",$B:$B,"&lt;&gt;Lorena Dias de Araujo",$B:$B,"&lt;&gt;Lucas Luiz Romero")*(35/1083),IF(C1333="Técnico II",SUMIFS($D:$D,$A:$A,$A1333,$B:$B,"&lt;&gt;Patrícia Karla de Sousa Araújo",$B:$B,"&lt;&gt;Lorena Dias de Araujo",$B:$B,"&lt;&gt;Lucas Luiz Romero")*(28/1083),IF(C1333="Técnico I",SUMIFS($D:$D,$A:$A,$A1333,$B:$B,"&lt;&gt;Patrícia Karla de Sousa Araújo",$B:$B,"&lt;&gt;Lorena Dias de Araujo",$B:$B,"&lt;&gt;Lucas Luiz Romero")*(23/1083),IF(C1333="JR",SUMIFS($D:$D,$A:$A,$A1333,$B:$B,"&lt;&gt;Patrícia Karla de Sousa Araújo",$B:$B,"&lt;&gt;Lorena Dias de Araujo",$B:$B,"&lt;&gt;Lucas Luiz Romero")*(20/1083),IF(C1333="Estágio",SUMIFS($D:$D,$A:$A,$A1333,$B:$B,"&lt;&gt;Patrícia Karla de Sousa Araújo",$B:$B,"&lt;&gt;Lorena Dias de Araujo",$B:$B,"&lt;&gt;Lucas Luiz Romero")*(10/1083),0)))))),0)</f>
        <v>6</v>
      </c>
      <c r="K1333" s="3">
        <f>I1333-J1333</f>
        <v>-2</v>
      </c>
      <c r="L1333" s="3" t="str">
        <f>IF(K1333&lt;-5,"CRÍTICO",IF(K1333&lt;0,"ATENÇÃO",IF(K1333&lt;=5,"BOM","EXCELENTE")))</f>
        <v>ATENÇÃO</v>
      </c>
      <c r="M1333">
        <v>3</v>
      </c>
      <c r="N1333">
        <v>100</v>
      </c>
      <c r="O1333">
        <v>33.333333333333329</v>
      </c>
    </row>
    <row r="1334" spans="1:15" hidden="1" x14ac:dyDescent="0.25">
      <c r="A1334" s="11">
        <v>46042</v>
      </c>
      <c r="B1334" t="s">
        <v>43</v>
      </c>
      <c r="C1334" t="s">
        <v>32</v>
      </c>
      <c r="D1334">
        <v>25</v>
      </c>
      <c r="E1334">
        <v>24</v>
      </c>
      <c r="F1334">
        <v>15.43</v>
      </c>
      <c r="G1334">
        <v>0</v>
      </c>
      <c r="H1334">
        <v>0</v>
      </c>
      <c r="I1334" s="3">
        <f>E1334+G1334+H1334</f>
        <v>24</v>
      </c>
      <c r="J1334" s="3">
        <f>ROUND(MIN(IF(C1334="Técnico III",35,IF(C1334="Técnico II",28,IF(C1334="Técnico I",23,IF(C1334="JR",20,IF(C1334="Estágio",10,0))))),IF(C1334="Técnico III",SUMIFS($D:$D,$A:$A,$A1334,$B:$B,"&lt;&gt;Patrícia Karla de Sousa Araújo",$B:$B,"&lt;&gt;Lorena Dias de Araujo",$B:$B,"&lt;&gt;Lucas Luiz Romero")*(35/1083),IF(C1334="Técnico II",SUMIFS($D:$D,$A:$A,$A1334,$B:$B,"&lt;&gt;Patrícia Karla de Sousa Araújo",$B:$B,"&lt;&gt;Lorena Dias de Araujo",$B:$B,"&lt;&gt;Lucas Luiz Romero")*(28/1083),IF(C1334="Técnico I",SUMIFS($D:$D,$A:$A,$A1334,$B:$B,"&lt;&gt;Patrícia Karla de Sousa Araújo",$B:$B,"&lt;&gt;Lorena Dias de Araujo",$B:$B,"&lt;&gt;Lucas Luiz Romero")*(23/1083),IF(C1334="JR",SUMIFS($D:$D,$A:$A,$A1334,$B:$B,"&lt;&gt;Patrícia Karla de Sousa Araújo",$B:$B,"&lt;&gt;Lorena Dias de Araujo",$B:$B,"&lt;&gt;Lucas Luiz Romero")*(20/1083),IF(C1334="Estágio",SUMIFS($D:$D,$A:$A,$A1334,$B:$B,"&lt;&gt;Patrícia Karla de Sousa Araújo",$B:$B,"&lt;&gt;Lorena Dias de Araujo",$B:$B,"&lt;&gt;Lucas Luiz Romero")*(10/1083),0)))))),0)</f>
        <v>19</v>
      </c>
      <c r="K1334" s="3">
        <f>I1334-J1334</f>
        <v>5</v>
      </c>
      <c r="L1334" s="3" t="str">
        <f>IF(K1334&lt;-5,"CRÍTICO",IF(K1334&lt;0,"ATENÇÃO",IF(K1334&lt;=5,"BOM","EXCELENTE")))</f>
        <v>BOM</v>
      </c>
      <c r="M1334">
        <v>22</v>
      </c>
      <c r="N1334">
        <v>100</v>
      </c>
      <c r="O1334">
        <v>27.43362831858407</v>
      </c>
    </row>
    <row r="1335" spans="1:15" hidden="1" x14ac:dyDescent="0.25">
      <c r="A1335" s="11">
        <v>46042</v>
      </c>
      <c r="B1335" t="s">
        <v>44</v>
      </c>
      <c r="C1335" t="s">
        <v>32</v>
      </c>
      <c r="D1335">
        <v>32</v>
      </c>
      <c r="E1335">
        <v>24</v>
      </c>
      <c r="F1335">
        <v>10.57</v>
      </c>
      <c r="G1335">
        <v>0</v>
      </c>
      <c r="H1335">
        <v>0</v>
      </c>
      <c r="I1335" s="3">
        <f>E1335+G1335+H1335</f>
        <v>24</v>
      </c>
      <c r="J1335" s="3">
        <f>ROUND(MIN(IF(C1335="Técnico III",35,IF(C1335="Técnico II",28,IF(C1335="Técnico I",23,IF(C1335="JR",20,IF(C1335="Estágio",10,0))))),IF(C1335="Técnico III",SUMIFS($D:$D,$A:$A,$A1335,$B:$B,"&lt;&gt;Patrícia Karla de Sousa Araújo",$B:$B,"&lt;&gt;Lorena Dias de Araujo",$B:$B,"&lt;&gt;Lucas Luiz Romero")*(35/1083),IF(C1335="Técnico II",SUMIFS($D:$D,$A:$A,$A1335,$B:$B,"&lt;&gt;Patrícia Karla de Sousa Araújo",$B:$B,"&lt;&gt;Lorena Dias de Araujo",$B:$B,"&lt;&gt;Lucas Luiz Romero")*(28/1083),IF(C1335="Técnico I",SUMIFS($D:$D,$A:$A,$A1335,$B:$B,"&lt;&gt;Patrícia Karla de Sousa Araújo",$B:$B,"&lt;&gt;Lorena Dias de Araujo",$B:$B,"&lt;&gt;Lucas Luiz Romero")*(23/1083),IF(C1335="JR",SUMIFS($D:$D,$A:$A,$A1335,$B:$B,"&lt;&gt;Patrícia Karla de Sousa Araújo",$B:$B,"&lt;&gt;Lorena Dias de Araujo",$B:$B,"&lt;&gt;Lucas Luiz Romero")*(20/1083),IF(C1335="Estágio",SUMIFS($D:$D,$A:$A,$A1335,$B:$B,"&lt;&gt;Patrícia Karla de Sousa Araújo",$B:$B,"&lt;&gt;Lorena Dias de Araujo",$B:$B,"&lt;&gt;Lucas Luiz Romero")*(10/1083),0)))))),0)</f>
        <v>19</v>
      </c>
      <c r="K1335" s="3">
        <f>I1335-J1335</f>
        <v>5</v>
      </c>
      <c r="L1335" s="3" t="str">
        <f>IF(K1335&lt;-5,"CRÍTICO",IF(K1335&lt;0,"ATENÇÃO",IF(K1335&lt;=5,"BOM","EXCELENTE")))</f>
        <v>BOM</v>
      </c>
      <c r="M1335">
        <v>24</v>
      </c>
      <c r="N1335">
        <v>98.65</v>
      </c>
      <c r="O1335">
        <v>30.978260869565219</v>
      </c>
    </row>
    <row r="1336" spans="1:15" hidden="1" x14ac:dyDescent="0.25">
      <c r="A1336" s="11">
        <v>46042</v>
      </c>
      <c r="B1336" t="s">
        <v>20</v>
      </c>
      <c r="C1336" t="s">
        <v>16</v>
      </c>
      <c r="D1336">
        <v>0</v>
      </c>
      <c r="E1336">
        <v>0</v>
      </c>
      <c r="F1336">
        <v>0</v>
      </c>
      <c r="G1336">
        <v>0</v>
      </c>
      <c r="H1336">
        <v>0</v>
      </c>
      <c r="I1336" s="3">
        <v>0</v>
      </c>
      <c r="J1336" s="3">
        <v>0</v>
      </c>
      <c r="K1336" s="3">
        <v>0</v>
      </c>
      <c r="L1336" s="3" t="str">
        <f>IF(K1336&lt;-5,"CRÍTICO",IF(K1336&lt;0,"ATENÇÃO",IF(K1336&lt;=5,"BOM","EXCELENTE")))</f>
        <v>BOM</v>
      </c>
      <c r="M1336">
        <v>0</v>
      </c>
      <c r="N1336">
        <v>100</v>
      </c>
      <c r="O1336">
        <v>12</v>
      </c>
    </row>
    <row r="1337" spans="1:15" hidden="1" x14ac:dyDescent="0.25">
      <c r="A1337" s="11">
        <v>46042</v>
      </c>
      <c r="B1337" t="s">
        <v>28</v>
      </c>
      <c r="C1337" t="s">
        <v>26</v>
      </c>
      <c r="D1337">
        <v>0</v>
      </c>
      <c r="E1337">
        <v>0</v>
      </c>
      <c r="F1337">
        <v>0</v>
      </c>
      <c r="G1337">
        <v>0</v>
      </c>
      <c r="H1337">
        <v>0</v>
      </c>
      <c r="I1337" s="3">
        <v>0</v>
      </c>
      <c r="J1337" s="3">
        <v>0</v>
      </c>
      <c r="K1337" s="3">
        <v>0</v>
      </c>
      <c r="L1337" s="3" t="str">
        <f>IF(K1337&lt;-5,"CRÍTICO",IF(K1337&lt;0,"ATENÇÃO",IF(K1337&lt;=5,"BOM","EXCELENTE")))</f>
        <v>BOM</v>
      </c>
      <c r="M1337">
        <v>0</v>
      </c>
      <c r="N1337">
        <v>0</v>
      </c>
      <c r="O1337">
        <v>0</v>
      </c>
    </row>
    <row r="1338" spans="1:15" hidden="1" x14ac:dyDescent="0.25">
      <c r="A1338" s="11">
        <v>46042</v>
      </c>
      <c r="B1338" t="s">
        <v>58</v>
      </c>
      <c r="C1338" t="s">
        <v>48</v>
      </c>
      <c r="D1338">
        <v>18</v>
      </c>
      <c r="E1338">
        <v>16</v>
      </c>
      <c r="F1338">
        <v>26.44</v>
      </c>
      <c r="G1338">
        <v>0</v>
      </c>
      <c r="H1338">
        <v>0</v>
      </c>
      <c r="I1338" s="3">
        <f>E1338+G1338+H1338</f>
        <v>16</v>
      </c>
      <c r="J1338" s="3">
        <f>ROUND(MIN(IF(C1338="Técnico III",35,IF(C1338="Técnico II",28,IF(C1338="Técnico I",23,IF(C1338="JR",20,IF(C1338="Estágio",10,0))))),IF(C1338="Técnico III",SUMIFS($D:$D,$A:$A,$A1338,$B:$B,"&lt;&gt;Patrícia Karla de Sousa Araújo",$B:$B,"&lt;&gt;Lorena Dias de Araujo",$B:$B,"&lt;&gt;Lucas Luiz Romero")*(35/1083),IF(C1338="Técnico II",SUMIFS($D:$D,$A:$A,$A1338,$B:$B,"&lt;&gt;Patrícia Karla de Sousa Araújo",$B:$B,"&lt;&gt;Lorena Dias de Araujo",$B:$B,"&lt;&gt;Lucas Luiz Romero")*(28/1083),IF(C1338="Técnico I",SUMIFS($D:$D,$A:$A,$A1338,$B:$B,"&lt;&gt;Patrícia Karla de Sousa Araújo",$B:$B,"&lt;&gt;Lorena Dias de Araujo",$B:$B,"&lt;&gt;Lucas Luiz Romero")*(23/1083),IF(C1338="JR",SUMIFS($D:$D,$A:$A,$A1338,$B:$B,"&lt;&gt;Patrícia Karla de Sousa Araújo",$B:$B,"&lt;&gt;Lorena Dias de Araujo",$B:$B,"&lt;&gt;Lucas Luiz Romero")*(20/1083),IF(C1338="Estágio",SUMIFS($D:$D,$A:$A,$A1338,$B:$B,"&lt;&gt;Patrícia Karla de Sousa Araújo",$B:$B,"&lt;&gt;Lorena Dias de Araujo",$B:$B,"&lt;&gt;Lucas Luiz Romero")*(10/1083),0)))))),0)</f>
        <v>15</v>
      </c>
      <c r="K1338" s="3">
        <f>I1338-J1338</f>
        <v>1</v>
      </c>
      <c r="L1338" s="3" t="str">
        <f>IF(K1338&lt;-5,"CRÍTICO",IF(K1338&lt;0,"ATENÇÃO",IF(K1338&lt;=5,"BOM","EXCELENTE")))</f>
        <v>BOM</v>
      </c>
      <c r="M1338">
        <v>14</v>
      </c>
      <c r="N1338">
        <v>97.56</v>
      </c>
      <c r="O1338">
        <v>31.067961165048541</v>
      </c>
    </row>
    <row r="1339" spans="1:15" hidden="1" x14ac:dyDescent="0.25">
      <c r="A1339" s="11">
        <v>46042</v>
      </c>
      <c r="B1339" t="s">
        <v>29</v>
      </c>
      <c r="C1339" t="s">
        <v>26</v>
      </c>
      <c r="D1339">
        <v>0</v>
      </c>
      <c r="E1339">
        <v>0</v>
      </c>
      <c r="F1339">
        <v>0</v>
      </c>
      <c r="G1339">
        <v>0</v>
      </c>
      <c r="H1339">
        <v>0</v>
      </c>
      <c r="I1339" s="3">
        <v>0</v>
      </c>
      <c r="J1339" s="3">
        <v>0</v>
      </c>
      <c r="K1339" s="3">
        <v>0</v>
      </c>
      <c r="L1339" s="3" t="str">
        <f>IF(K1339&lt;-5,"CRÍTICO",IF(K1339&lt;0,"ATENÇÃO",IF(K1339&lt;=5,"BOM","EXCELENTE")))</f>
        <v>BOM</v>
      </c>
      <c r="M1339">
        <v>0</v>
      </c>
      <c r="N1339">
        <v>0</v>
      </c>
      <c r="O1339">
        <v>0</v>
      </c>
    </row>
    <row r="1340" spans="1:15" hidden="1" x14ac:dyDescent="0.25">
      <c r="A1340" s="11">
        <v>46042</v>
      </c>
      <c r="B1340" t="s">
        <v>30</v>
      </c>
      <c r="C1340" t="s">
        <v>26</v>
      </c>
      <c r="D1340">
        <v>0</v>
      </c>
      <c r="E1340">
        <v>0</v>
      </c>
      <c r="F1340">
        <v>0</v>
      </c>
      <c r="G1340">
        <v>0</v>
      </c>
      <c r="H1340">
        <v>0</v>
      </c>
      <c r="I1340" s="3">
        <v>0</v>
      </c>
      <c r="J1340" s="3">
        <v>0</v>
      </c>
      <c r="K1340" s="3">
        <v>0</v>
      </c>
      <c r="L1340" s="3" t="str">
        <f>IF(K1340&lt;-5,"CRÍTICO",IF(K1340&lt;0,"ATENÇÃO",IF(K1340&lt;=5,"BOM","EXCELENTE")))</f>
        <v>BOM</v>
      </c>
      <c r="M1340">
        <v>0</v>
      </c>
      <c r="N1340">
        <v>0</v>
      </c>
      <c r="O1340">
        <v>0</v>
      </c>
    </row>
    <row r="1341" spans="1:15" hidden="1" x14ac:dyDescent="0.25">
      <c r="A1341" s="11">
        <v>46042</v>
      </c>
      <c r="B1341" t="s">
        <v>21</v>
      </c>
      <c r="C1341" t="s">
        <v>16</v>
      </c>
      <c r="D1341">
        <v>0</v>
      </c>
      <c r="E1341">
        <v>0</v>
      </c>
      <c r="F1341">
        <v>0</v>
      </c>
      <c r="G1341">
        <v>0</v>
      </c>
      <c r="H1341">
        <v>0</v>
      </c>
      <c r="I1341" s="3">
        <v>0</v>
      </c>
      <c r="J1341" s="3">
        <v>0</v>
      </c>
      <c r="K1341" s="3">
        <v>0</v>
      </c>
      <c r="L1341" s="3" t="str">
        <f>IF(K1341&lt;-5,"CRÍTICO",IF(K1341&lt;0,"ATENÇÃO",IF(K1341&lt;=5,"BOM","EXCELENTE")))</f>
        <v>BOM</v>
      </c>
      <c r="M1341">
        <v>0</v>
      </c>
      <c r="N1341">
        <v>0</v>
      </c>
      <c r="O1341">
        <v>0</v>
      </c>
    </row>
    <row r="1342" spans="1:15" hidden="1" x14ac:dyDescent="0.25">
      <c r="A1342" s="11">
        <v>46042</v>
      </c>
      <c r="B1342" t="s">
        <v>63</v>
      </c>
      <c r="C1342" t="s">
        <v>23</v>
      </c>
      <c r="D1342">
        <v>0</v>
      </c>
      <c r="E1342">
        <v>0</v>
      </c>
      <c r="F1342">
        <v>0</v>
      </c>
      <c r="G1342">
        <v>0</v>
      </c>
      <c r="H1342">
        <v>0</v>
      </c>
      <c r="I1342" s="3">
        <v>0</v>
      </c>
      <c r="J1342" s="3">
        <v>0</v>
      </c>
      <c r="K1342" s="3">
        <v>0</v>
      </c>
      <c r="L1342" s="3" t="str">
        <f>IF(K1342&lt;-5,"CRÍTICO",IF(K1342&lt;0,"ATENÇÃO",IF(K1342&lt;=5,"BOM","EXCELENTE")))</f>
        <v>BOM</v>
      </c>
      <c r="M1342">
        <v>0</v>
      </c>
      <c r="N1342">
        <v>100</v>
      </c>
      <c r="O1342">
        <v>53.846153846153847</v>
      </c>
    </row>
    <row r="1343" spans="1:15" hidden="1" x14ac:dyDescent="0.25">
      <c r="A1343" s="11">
        <v>46042</v>
      </c>
      <c r="B1343" t="s">
        <v>45</v>
      </c>
      <c r="C1343" t="s">
        <v>32</v>
      </c>
      <c r="D1343">
        <v>28</v>
      </c>
      <c r="E1343">
        <v>25</v>
      </c>
      <c r="F1343">
        <v>12.1</v>
      </c>
      <c r="G1343">
        <v>0</v>
      </c>
      <c r="H1343">
        <v>0</v>
      </c>
      <c r="I1343" s="3">
        <f>E1343+G1343+H1343</f>
        <v>25</v>
      </c>
      <c r="J1343" s="3">
        <f>ROUND(MIN(IF(C1343="Técnico III",35,IF(C1343="Técnico II",28,IF(C1343="Técnico I",23,IF(C1343="JR",20,IF(C1343="Estágio",10,0))))),IF(C1343="Técnico III",SUMIFS($D:$D,$A:$A,$A1343,$B:$B,"&lt;&gt;Patrícia Karla de Sousa Araújo",$B:$B,"&lt;&gt;Lorena Dias de Araujo",$B:$B,"&lt;&gt;Lucas Luiz Romero")*(35/1083),IF(C1343="Técnico II",SUMIFS($D:$D,$A:$A,$A1343,$B:$B,"&lt;&gt;Patrícia Karla de Sousa Araújo",$B:$B,"&lt;&gt;Lorena Dias de Araujo",$B:$B,"&lt;&gt;Lucas Luiz Romero")*(28/1083),IF(C1343="Técnico I",SUMIFS($D:$D,$A:$A,$A1343,$B:$B,"&lt;&gt;Patrícia Karla de Sousa Araújo",$B:$B,"&lt;&gt;Lorena Dias de Araujo",$B:$B,"&lt;&gt;Lucas Luiz Romero")*(23/1083),IF(C1343="JR",SUMIFS($D:$D,$A:$A,$A1343,$B:$B,"&lt;&gt;Patrícia Karla de Sousa Araújo",$B:$B,"&lt;&gt;Lorena Dias de Araujo",$B:$B,"&lt;&gt;Lucas Luiz Romero")*(20/1083),IF(C1343="Estágio",SUMIFS($D:$D,$A:$A,$A1343,$B:$B,"&lt;&gt;Patrícia Karla de Sousa Araújo",$B:$B,"&lt;&gt;Lorena Dias de Araujo",$B:$B,"&lt;&gt;Lucas Luiz Romero")*(10/1083),0)))))),0)</f>
        <v>19</v>
      </c>
      <c r="K1343" s="3">
        <f>I1343-J1343</f>
        <v>6</v>
      </c>
      <c r="L1343" s="3" t="str">
        <f>IF(K1343&lt;-5,"CRÍTICO",IF(K1343&lt;0,"ATENÇÃO",IF(K1343&lt;=5,"BOM","EXCELENTE")))</f>
        <v>EXCELENTE</v>
      </c>
      <c r="M1343">
        <v>27</v>
      </c>
      <c r="N1343">
        <v>100</v>
      </c>
      <c r="O1343">
        <v>44.05594405594406</v>
      </c>
    </row>
    <row r="1344" spans="1:15" hidden="1" x14ac:dyDescent="0.25">
      <c r="A1344" s="11">
        <v>46042</v>
      </c>
      <c r="B1344" t="s">
        <v>64</v>
      </c>
      <c r="C1344" t="s">
        <v>23</v>
      </c>
      <c r="D1344">
        <v>11</v>
      </c>
      <c r="E1344">
        <v>11</v>
      </c>
      <c r="F1344">
        <v>35.130000000000003</v>
      </c>
      <c r="G1344">
        <v>0</v>
      </c>
      <c r="H1344">
        <v>0</v>
      </c>
      <c r="I1344" s="3">
        <f>E1344+G1344+H1344</f>
        <v>11</v>
      </c>
      <c r="J1344" s="3">
        <f>ROUND(MIN(IF(C1344="Técnico III",35,IF(C1344="Técnico II",28,IF(C1344="Técnico I",23,IF(C1344="JR",20,IF(C1344="Estágio",10,0))))),IF(C1344="Técnico III",SUMIFS($D:$D,$A:$A,$A1344,$B:$B,"&lt;&gt;Patrícia Karla de Sousa Araújo",$B:$B,"&lt;&gt;Lorena Dias de Araujo",$B:$B,"&lt;&gt;Lucas Luiz Romero")*(35/1083),IF(C1344="Técnico II",SUMIFS($D:$D,$A:$A,$A1344,$B:$B,"&lt;&gt;Patrícia Karla de Sousa Araújo",$B:$B,"&lt;&gt;Lorena Dias de Araujo",$B:$B,"&lt;&gt;Lucas Luiz Romero")*(28/1083),IF(C1344="Técnico I",SUMIFS($D:$D,$A:$A,$A1344,$B:$B,"&lt;&gt;Patrícia Karla de Sousa Araújo",$B:$B,"&lt;&gt;Lorena Dias de Araujo",$B:$B,"&lt;&gt;Lucas Luiz Romero")*(23/1083),IF(C1344="JR",SUMIFS($D:$D,$A:$A,$A1344,$B:$B,"&lt;&gt;Patrícia Karla de Sousa Araújo",$B:$B,"&lt;&gt;Lorena Dias de Araujo",$B:$B,"&lt;&gt;Lucas Luiz Romero")*(20/1083),IF(C1344="Estágio",SUMIFS($D:$D,$A:$A,$A1344,$B:$B,"&lt;&gt;Patrícia Karla de Sousa Araújo",$B:$B,"&lt;&gt;Lorena Dias de Araujo",$B:$B,"&lt;&gt;Lucas Luiz Romero")*(10/1083),0)))))),0)</f>
        <v>13</v>
      </c>
      <c r="K1344" s="3">
        <f>I1344-J1344</f>
        <v>-2</v>
      </c>
      <c r="L1344" s="3" t="str">
        <f>IF(K1344&lt;-5,"CRÍTICO",IF(K1344&lt;0,"ATENÇÃO",IF(K1344&lt;=5,"BOM","EXCELENTE")))</f>
        <v>ATENÇÃO</v>
      </c>
      <c r="M1344">
        <v>11</v>
      </c>
      <c r="N1344">
        <v>100</v>
      </c>
      <c r="O1344">
        <v>31.872509960159359</v>
      </c>
    </row>
    <row r="1345" spans="1:15" hidden="1" x14ac:dyDescent="0.25">
      <c r="A1345" s="11">
        <v>46042</v>
      </c>
      <c r="B1345" t="s">
        <v>46</v>
      </c>
      <c r="C1345" t="s">
        <v>32</v>
      </c>
      <c r="D1345">
        <v>29</v>
      </c>
      <c r="E1345">
        <v>26</v>
      </c>
      <c r="F1345">
        <v>14.06</v>
      </c>
      <c r="G1345">
        <v>0</v>
      </c>
      <c r="H1345">
        <v>0</v>
      </c>
      <c r="I1345" s="3">
        <f>E1345+G1345+H1345</f>
        <v>26</v>
      </c>
      <c r="J1345" s="3">
        <f>ROUND(MIN(IF(C1345="Técnico III",35,IF(C1345="Técnico II",28,IF(C1345="Técnico I",23,IF(C1345="JR",20,IF(C1345="Estágio",10,0))))),IF(C1345="Técnico III",SUMIFS($D:$D,$A:$A,$A1345,$B:$B,"&lt;&gt;Patrícia Karla de Sousa Araújo",$B:$B,"&lt;&gt;Lorena Dias de Araujo",$B:$B,"&lt;&gt;Lucas Luiz Romero")*(35/1083),IF(C1345="Técnico II",SUMIFS($D:$D,$A:$A,$A1345,$B:$B,"&lt;&gt;Patrícia Karla de Sousa Araújo",$B:$B,"&lt;&gt;Lorena Dias de Araujo",$B:$B,"&lt;&gt;Lucas Luiz Romero")*(28/1083),IF(C1345="Técnico I",SUMIFS($D:$D,$A:$A,$A1345,$B:$B,"&lt;&gt;Patrícia Karla de Sousa Araújo",$B:$B,"&lt;&gt;Lorena Dias de Araujo",$B:$B,"&lt;&gt;Lucas Luiz Romero")*(23/1083),IF(C1345="JR",SUMIFS($D:$D,$A:$A,$A1345,$B:$B,"&lt;&gt;Patrícia Karla de Sousa Araújo",$B:$B,"&lt;&gt;Lorena Dias de Araujo",$B:$B,"&lt;&gt;Lucas Luiz Romero")*(20/1083),IF(C1345="Estágio",SUMIFS($D:$D,$A:$A,$A1345,$B:$B,"&lt;&gt;Patrícia Karla de Sousa Araújo",$B:$B,"&lt;&gt;Lorena Dias de Araujo",$B:$B,"&lt;&gt;Lucas Luiz Romero")*(10/1083),0)))))),0)</f>
        <v>19</v>
      </c>
      <c r="K1345" s="3">
        <f>I1345-J1345</f>
        <v>7</v>
      </c>
      <c r="L1345" s="3" t="str">
        <f>IF(K1345&lt;-5,"CRÍTICO",IF(K1345&lt;0,"ATENÇÃO",IF(K1345&lt;=5,"BOM","EXCELENTE")))</f>
        <v>EXCELENTE</v>
      </c>
      <c r="M1345">
        <v>23</v>
      </c>
      <c r="N1345">
        <v>98.41</v>
      </c>
      <c r="O1345">
        <v>29.22465208747515</v>
      </c>
    </row>
    <row r="1346" spans="1:15" hidden="1" x14ac:dyDescent="0.25">
      <c r="A1346" s="11">
        <v>46043</v>
      </c>
      <c r="B1346" t="s">
        <v>47</v>
      </c>
      <c r="C1346" t="s">
        <v>48</v>
      </c>
      <c r="D1346">
        <v>27</v>
      </c>
      <c r="E1346">
        <v>23</v>
      </c>
      <c r="F1346">
        <v>10.01</v>
      </c>
      <c r="G1346">
        <v>0</v>
      </c>
      <c r="H1346">
        <v>0</v>
      </c>
      <c r="I1346" s="3">
        <f>E1346+G1346+H1346</f>
        <v>23</v>
      </c>
      <c r="J1346" s="3">
        <f>ROUND(MIN(IF(C1346="Técnico III",35,IF(C1346="Técnico II",28,IF(C1346="Técnico I",23,IF(C1346="JR",20,IF(C1346="Estágio",10,0))))),IF(C1346="Técnico III",SUMIFS($D:$D,$A:$A,$A1346,$B:$B,"&lt;&gt;Patrícia Karla de Sousa Araújo",$B:$B,"&lt;&gt;Lorena Dias de Araujo",$B:$B,"&lt;&gt;Lucas Luiz Romero")*(35/1083),IF(C1346="Técnico II",SUMIFS($D:$D,$A:$A,$A1346,$B:$B,"&lt;&gt;Patrícia Karla de Sousa Araújo",$B:$B,"&lt;&gt;Lorena Dias de Araujo",$B:$B,"&lt;&gt;Lucas Luiz Romero")*(28/1083),IF(C1346="Técnico I",SUMIFS($D:$D,$A:$A,$A1346,$B:$B,"&lt;&gt;Patrícia Karla de Sousa Araújo",$B:$B,"&lt;&gt;Lorena Dias de Araujo",$B:$B,"&lt;&gt;Lucas Luiz Romero")*(23/1083),IF(C1346="JR",SUMIFS($D:$D,$A:$A,$A1346,$B:$B,"&lt;&gt;Patrícia Karla de Sousa Araújo",$B:$B,"&lt;&gt;Lorena Dias de Araujo",$B:$B,"&lt;&gt;Lucas Luiz Romero")*(20/1083),IF(C1346="Estágio",SUMIFS($D:$D,$A:$A,$A1346,$B:$B,"&lt;&gt;Patrícia Karla de Sousa Araújo",$B:$B,"&lt;&gt;Lorena Dias de Araujo",$B:$B,"&lt;&gt;Lucas Luiz Romero")*(10/1083),0)))))),0)</f>
        <v>16</v>
      </c>
      <c r="K1346" s="3">
        <f>I1346-J1346</f>
        <v>7</v>
      </c>
      <c r="L1346" s="3" t="str">
        <f>IF(K1346&lt;-5,"CRÍTICO",IF(K1346&lt;0,"ATENÇÃO",IF(K1346&lt;=5,"BOM","EXCELENTE")))</f>
        <v>EXCELENTE</v>
      </c>
      <c r="M1346">
        <v>19</v>
      </c>
      <c r="N1346">
        <v>96.81</v>
      </c>
      <c r="O1346">
        <v>27.980535279805348</v>
      </c>
    </row>
    <row r="1347" spans="1:15" hidden="1" x14ac:dyDescent="0.25">
      <c r="A1347" s="11">
        <v>46043</v>
      </c>
      <c r="B1347" t="s">
        <v>31</v>
      </c>
      <c r="C1347" t="s">
        <v>32</v>
      </c>
      <c r="D1347">
        <v>0</v>
      </c>
      <c r="E1347">
        <v>0</v>
      </c>
      <c r="F1347">
        <v>0</v>
      </c>
      <c r="G1347">
        <v>0</v>
      </c>
      <c r="H1347">
        <v>0</v>
      </c>
      <c r="I1347" s="3">
        <v>0</v>
      </c>
      <c r="J1347" s="3">
        <v>0</v>
      </c>
      <c r="K1347" s="3">
        <v>0</v>
      </c>
      <c r="L1347" s="3" t="str">
        <f>IF(K1347&lt;-5,"CRÍTICO",IF(K1347&lt;0,"ATENÇÃO",IF(K1347&lt;=5,"BOM","EXCELENTE")))</f>
        <v>BOM</v>
      </c>
      <c r="M1347">
        <v>28</v>
      </c>
      <c r="N1347">
        <v>98.73</v>
      </c>
      <c r="O1347">
        <v>35.756385068762278</v>
      </c>
    </row>
    <row r="1348" spans="1:15" hidden="1" x14ac:dyDescent="0.25">
      <c r="A1348" s="11">
        <v>46043</v>
      </c>
      <c r="B1348" t="s">
        <v>59</v>
      </c>
      <c r="C1348" t="s">
        <v>23</v>
      </c>
      <c r="D1348">
        <v>21</v>
      </c>
      <c r="E1348">
        <v>21</v>
      </c>
      <c r="F1348">
        <v>15.18</v>
      </c>
      <c r="G1348">
        <v>0</v>
      </c>
      <c r="H1348">
        <v>0</v>
      </c>
      <c r="I1348" s="3">
        <f>E1348+G1348+H1348</f>
        <v>21</v>
      </c>
      <c r="J1348" s="3">
        <f>ROUND(MIN(IF(C1348="Técnico III",35,IF(C1348="Técnico II",28,IF(C1348="Técnico I",23,IF(C1348="JR",20,IF(C1348="Estágio",10,0))))),IF(C1348="Técnico III",SUMIFS($D:$D,$A:$A,$A1348,$B:$B,"&lt;&gt;Patrícia Karla de Sousa Araújo",$B:$B,"&lt;&gt;Lorena Dias de Araujo",$B:$B,"&lt;&gt;Lucas Luiz Romero")*(35/1083),IF(C1348="Técnico II",SUMIFS($D:$D,$A:$A,$A1348,$B:$B,"&lt;&gt;Patrícia Karla de Sousa Araújo",$B:$B,"&lt;&gt;Lorena Dias de Araujo",$B:$B,"&lt;&gt;Lucas Luiz Romero")*(28/1083),IF(C1348="Técnico I",SUMIFS($D:$D,$A:$A,$A1348,$B:$B,"&lt;&gt;Patrícia Karla de Sousa Araújo",$B:$B,"&lt;&gt;Lorena Dias de Araujo",$B:$B,"&lt;&gt;Lucas Luiz Romero")*(23/1083),IF(C1348="JR",SUMIFS($D:$D,$A:$A,$A1348,$B:$B,"&lt;&gt;Patrícia Karla de Sousa Araújo",$B:$B,"&lt;&gt;Lorena Dias de Araujo",$B:$B,"&lt;&gt;Lucas Luiz Romero")*(20/1083),IF(C1348="Estágio",SUMIFS($D:$D,$A:$A,$A1348,$B:$B,"&lt;&gt;Patrícia Karla de Sousa Araújo",$B:$B,"&lt;&gt;Lorena Dias de Araujo",$B:$B,"&lt;&gt;Lucas Luiz Romero")*(10/1083),0)))))),0)</f>
        <v>13</v>
      </c>
      <c r="K1348" s="3">
        <f>I1348-J1348</f>
        <v>8</v>
      </c>
      <c r="L1348" s="3" t="str">
        <f>IF(K1348&lt;-5,"CRÍTICO",IF(K1348&lt;0,"ATENÇÃO",IF(K1348&lt;=5,"BOM","EXCELENTE")))</f>
        <v>EXCELENTE</v>
      </c>
      <c r="M1348">
        <v>18</v>
      </c>
      <c r="N1348">
        <v>98.32</v>
      </c>
      <c r="O1348">
        <v>26.763485477178421</v>
      </c>
    </row>
    <row r="1349" spans="1:15" hidden="1" x14ac:dyDescent="0.25">
      <c r="A1349" s="11">
        <v>46043</v>
      </c>
      <c r="B1349" t="s">
        <v>33</v>
      </c>
      <c r="C1349" t="s">
        <v>32</v>
      </c>
      <c r="D1349">
        <v>25</v>
      </c>
      <c r="E1349">
        <v>20</v>
      </c>
      <c r="F1349">
        <v>15.25</v>
      </c>
      <c r="G1349">
        <v>0</v>
      </c>
      <c r="H1349">
        <v>0</v>
      </c>
      <c r="I1349" s="3">
        <f>E1349+G1349+H1349</f>
        <v>20</v>
      </c>
      <c r="J1349" s="3">
        <f>ROUND(MIN(IF(C1349="Técnico III",35,IF(C1349="Técnico II",28,IF(C1349="Técnico I",23,IF(C1349="JR",20,IF(C1349="Estágio",10,0))))),IF(C1349="Técnico III",SUMIFS($D:$D,$A:$A,$A1349,$B:$B,"&lt;&gt;Patrícia Karla de Sousa Araújo",$B:$B,"&lt;&gt;Lorena Dias de Araujo",$B:$B,"&lt;&gt;Lucas Luiz Romero")*(35/1083),IF(C1349="Técnico II",SUMIFS($D:$D,$A:$A,$A1349,$B:$B,"&lt;&gt;Patrícia Karla de Sousa Araújo",$B:$B,"&lt;&gt;Lorena Dias de Araujo",$B:$B,"&lt;&gt;Lucas Luiz Romero")*(28/1083),IF(C1349="Técnico I",SUMIFS($D:$D,$A:$A,$A1349,$B:$B,"&lt;&gt;Patrícia Karla de Sousa Araújo",$B:$B,"&lt;&gt;Lorena Dias de Araujo",$B:$B,"&lt;&gt;Lucas Luiz Romero")*(23/1083),IF(C1349="JR",SUMIFS($D:$D,$A:$A,$A1349,$B:$B,"&lt;&gt;Patrícia Karla de Sousa Araújo",$B:$B,"&lt;&gt;Lorena Dias de Araujo",$B:$B,"&lt;&gt;Lucas Luiz Romero")*(20/1083),IF(C1349="Estágio",SUMIFS($D:$D,$A:$A,$A1349,$B:$B,"&lt;&gt;Patrícia Karla de Sousa Araújo",$B:$B,"&lt;&gt;Lorena Dias de Araujo",$B:$B,"&lt;&gt;Lucas Luiz Romero")*(10/1083),0)))))),0)</f>
        <v>20</v>
      </c>
      <c r="K1349" s="3">
        <f>I1349-J1349</f>
        <v>0</v>
      </c>
      <c r="L1349" s="3" t="str">
        <f>IF(K1349&lt;-5,"CRÍTICO",IF(K1349&lt;0,"ATENÇÃO",IF(K1349&lt;=5,"BOM","EXCELENTE")))</f>
        <v>BOM</v>
      </c>
      <c r="M1349">
        <v>20</v>
      </c>
      <c r="N1349">
        <v>99.19</v>
      </c>
      <c r="O1349">
        <v>27.637130801687761</v>
      </c>
    </row>
    <row r="1350" spans="1:15" hidden="1" x14ac:dyDescent="0.25">
      <c r="A1350" s="11">
        <v>46043</v>
      </c>
      <c r="B1350" t="s">
        <v>15</v>
      </c>
      <c r="C1350" t="s">
        <v>16</v>
      </c>
      <c r="D1350">
        <v>9</v>
      </c>
      <c r="E1350">
        <v>9</v>
      </c>
      <c r="F1350">
        <v>18.399999999999999</v>
      </c>
      <c r="G1350">
        <v>0</v>
      </c>
      <c r="H1350">
        <v>0</v>
      </c>
      <c r="I1350" s="3">
        <f>E1350+G1350+H1350</f>
        <v>9</v>
      </c>
      <c r="J1350" s="3">
        <f>ROUND(MIN(IF(C1350="Técnico III",35,IF(C1350="Técnico II",28,IF(C1350="Técnico I",23,IF(C1350="JR",20,IF(C1350="Estágio",10,0))))),IF(C1350="Técnico III",SUMIFS($D:$D,$A:$A,$A1350,$B:$B,"&lt;&gt;Patrícia Karla de Sousa Araújo",$B:$B,"&lt;&gt;Lorena Dias de Araujo",$B:$B,"&lt;&gt;Lucas Luiz Romero")*(35/1083),IF(C1350="Técnico II",SUMIFS($D:$D,$A:$A,$A1350,$B:$B,"&lt;&gt;Patrícia Karla de Sousa Araújo",$B:$B,"&lt;&gt;Lorena Dias de Araujo",$B:$B,"&lt;&gt;Lucas Luiz Romero")*(28/1083),IF(C1350="Técnico I",SUMIFS($D:$D,$A:$A,$A1350,$B:$B,"&lt;&gt;Patrícia Karla de Sousa Araújo",$B:$B,"&lt;&gt;Lorena Dias de Araujo",$B:$B,"&lt;&gt;Lucas Luiz Romero")*(23/1083),IF(C1350="JR",SUMIFS($D:$D,$A:$A,$A1350,$B:$B,"&lt;&gt;Patrícia Karla de Sousa Araújo",$B:$B,"&lt;&gt;Lorena Dias de Araujo",$B:$B,"&lt;&gt;Lucas Luiz Romero")*(20/1083),IF(C1350="Estágio",SUMIFS($D:$D,$A:$A,$A1350,$B:$B,"&lt;&gt;Patrícia Karla de Sousa Araújo",$B:$B,"&lt;&gt;Lorena Dias de Araujo",$B:$B,"&lt;&gt;Lucas Luiz Romero")*(10/1083),0)))))),0)</f>
        <v>6</v>
      </c>
      <c r="K1350" s="3">
        <f>I1350-J1350</f>
        <v>3</v>
      </c>
      <c r="L1350" s="3" t="str">
        <f>IF(K1350&lt;-5,"CRÍTICO",IF(K1350&lt;0,"ATENÇÃO",IF(K1350&lt;=5,"BOM","EXCELENTE")))</f>
        <v>BOM</v>
      </c>
      <c r="M1350">
        <v>6</v>
      </c>
      <c r="N1350">
        <v>100</v>
      </c>
      <c r="O1350">
        <v>39.568345323741013</v>
      </c>
    </row>
    <row r="1351" spans="1:15" hidden="1" x14ac:dyDescent="0.25">
      <c r="A1351" s="11">
        <v>46043</v>
      </c>
      <c r="B1351" t="s">
        <v>49</v>
      </c>
      <c r="C1351" t="s">
        <v>48</v>
      </c>
      <c r="D1351">
        <v>29</v>
      </c>
      <c r="E1351">
        <v>25</v>
      </c>
      <c r="F1351">
        <v>12.02</v>
      </c>
      <c r="G1351">
        <v>0</v>
      </c>
      <c r="H1351">
        <v>0</v>
      </c>
      <c r="I1351" s="3">
        <f>E1351+G1351+H1351</f>
        <v>25</v>
      </c>
      <c r="J1351" s="3">
        <f>ROUND(MIN(IF(C1351="Técnico III",35,IF(C1351="Técnico II",28,IF(C1351="Técnico I",23,IF(C1351="JR",20,IF(C1351="Estágio",10,0))))),IF(C1351="Técnico III",SUMIFS($D:$D,$A:$A,$A1351,$B:$B,"&lt;&gt;Patrícia Karla de Sousa Araújo",$B:$B,"&lt;&gt;Lorena Dias de Araujo",$B:$B,"&lt;&gt;Lucas Luiz Romero")*(35/1083),IF(C1351="Técnico II",SUMIFS($D:$D,$A:$A,$A1351,$B:$B,"&lt;&gt;Patrícia Karla de Sousa Araújo",$B:$B,"&lt;&gt;Lorena Dias de Araujo",$B:$B,"&lt;&gt;Lucas Luiz Romero")*(28/1083),IF(C1351="Técnico I",SUMIFS($D:$D,$A:$A,$A1351,$B:$B,"&lt;&gt;Patrícia Karla de Sousa Araújo",$B:$B,"&lt;&gt;Lorena Dias de Araujo",$B:$B,"&lt;&gt;Lucas Luiz Romero")*(23/1083),IF(C1351="JR",SUMIFS($D:$D,$A:$A,$A1351,$B:$B,"&lt;&gt;Patrícia Karla de Sousa Araújo",$B:$B,"&lt;&gt;Lorena Dias de Araujo",$B:$B,"&lt;&gt;Lucas Luiz Romero")*(20/1083),IF(C1351="Estágio",SUMIFS($D:$D,$A:$A,$A1351,$B:$B,"&lt;&gt;Patrícia Karla de Sousa Araújo",$B:$B,"&lt;&gt;Lorena Dias de Araujo",$B:$B,"&lt;&gt;Lucas Luiz Romero")*(10/1083),0)))))),0)</f>
        <v>16</v>
      </c>
      <c r="K1351" s="3">
        <f>I1351-J1351</f>
        <v>9</v>
      </c>
      <c r="L1351" s="3" t="str">
        <f>IF(K1351&lt;-5,"CRÍTICO",IF(K1351&lt;0,"ATENÇÃO",IF(K1351&lt;=5,"BOM","EXCELENTE")))</f>
        <v>EXCELENTE</v>
      </c>
      <c r="M1351">
        <v>25</v>
      </c>
      <c r="N1351">
        <v>98.54</v>
      </c>
      <c r="O1351">
        <v>28.544776119402989</v>
      </c>
    </row>
    <row r="1352" spans="1:15" hidden="1" x14ac:dyDescent="0.25">
      <c r="A1352" s="11">
        <v>46043</v>
      </c>
      <c r="B1352" t="s">
        <v>50</v>
      </c>
      <c r="C1352" t="s">
        <v>48</v>
      </c>
      <c r="D1352">
        <v>13</v>
      </c>
      <c r="E1352">
        <v>12</v>
      </c>
      <c r="F1352">
        <v>37.270000000000003</v>
      </c>
      <c r="G1352">
        <v>0</v>
      </c>
      <c r="H1352">
        <v>0</v>
      </c>
      <c r="I1352" s="3">
        <f>E1352+G1352+H1352</f>
        <v>12</v>
      </c>
      <c r="J1352" s="3">
        <f>ROUND(MIN(IF(C1352="Técnico III",35,IF(C1352="Técnico II",28,IF(C1352="Técnico I",23,IF(C1352="JR",20,IF(C1352="Estágio",10,0))))),IF(C1352="Técnico III",SUMIFS($D:$D,$A:$A,$A1352,$B:$B,"&lt;&gt;Patrícia Karla de Sousa Araújo",$B:$B,"&lt;&gt;Lorena Dias de Araujo",$B:$B,"&lt;&gt;Lucas Luiz Romero")*(35/1083),IF(C1352="Técnico II",SUMIFS($D:$D,$A:$A,$A1352,$B:$B,"&lt;&gt;Patrícia Karla de Sousa Araújo",$B:$B,"&lt;&gt;Lorena Dias de Araujo",$B:$B,"&lt;&gt;Lucas Luiz Romero")*(28/1083),IF(C1352="Técnico I",SUMIFS($D:$D,$A:$A,$A1352,$B:$B,"&lt;&gt;Patrícia Karla de Sousa Araújo",$B:$B,"&lt;&gt;Lorena Dias de Araujo",$B:$B,"&lt;&gt;Lucas Luiz Romero")*(23/1083),IF(C1352="JR",SUMIFS($D:$D,$A:$A,$A1352,$B:$B,"&lt;&gt;Patrícia Karla de Sousa Araújo",$B:$B,"&lt;&gt;Lorena Dias de Araujo",$B:$B,"&lt;&gt;Lucas Luiz Romero")*(20/1083),IF(C1352="Estágio",SUMIFS($D:$D,$A:$A,$A1352,$B:$B,"&lt;&gt;Patrícia Karla de Sousa Araújo",$B:$B,"&lt;&gt;Lorena Dias de Araujo",$B:$B,"&lt;&gt;Lucas Luiz Romero")*(10/1083),0)))))),0)</f>
        <v>16</v>
      </c>
      <c r="K1352" s="3">
        <f>I1352-J1352</f>
        <v>-4</v>
      </c>
      <c r="L1352" s="3" t="str">
        <f>IF(K1352&lt;-5,"CRÍTICO",IF(K1352&lt;0,"ATENÇÃO",IF(K1352&lt;=5,"BOM","EXCELENTE")))</f>
        <v>ATENÇÃO</v>
      </c>
      <c r="M1352">
        <v>12</v>
      </c>
      <c r="N1352">
        <v>100</v>
      </c>
      <c r="O1352">
        <v>34.366925064599492</v>
      </c>
    </row>
    <row r="1353" spans="1:15" hidden="1" x14ac:dyDescent="0.25">
      <c r="A1353" s="11">
        <v>46043</v>
      </c>
      <c r="B1353" t="s">
        <v>17</v>
      </c>
      <c r="C1353" t="s">
        <v>16</v>
      </c>
      <c r="D1353">
        <v>0</v>
      </c>
      <c r="E1353">
        <v>0</v>
      </c>
      <c r="F1353">
        <v>0</v>
      </c>
      <c r="G1353">
        <v>0</v>
      </c>
      <c r="H1353">
        <v>0</v>
      </c>
      <c r="I1353" s="3">
        <v>0</v>
      </c>
      <c r="J1353" s="3">
        <v>0</v>
      </c>
      <c r="K1353" s="3">
        <v>0</v>
      </c>
      <c r="L1353" s="3" t="str">
        <f>IF(K1353&lt;-5,"CRÍTICO",IF(K1353&lt;0,"ATENÇÃO",IF(K1353&lt;=5,"BOM","EXCELENTE")))</f>
        <v>BOM</v>
      </c>
      <c r="M1353">
        <v>0</v>
      </c>
      <c r="N1353">
        <v>0</v>
      </c>
      <c r="O1353">
        <v>0</v>
      </c>
    </row>
    <row r="1354" spans="1:15" hidden="1" x14ac:dyDescent="0.25">
      <c r="A1354" s="11">
        <v>46043</v>
      </c>
      <c r="B1354" t="s">
        <v>60</v>
      </c>
      <c r="C1354" t="s">
        <v>23</v>
      </c>
      <c r="D1354">
        <v>26</v>
      </c>
      <c r="E1354">
        <v>25</v>
      </c>
      <c r="F1354">
        <v>15.04</v>
      </c>
      <c r="G1354">
        <v>0</v>
      </c>
      <c r="H1354">
        <v>0</v>
      </c>
      <c r="I1354" s="3">
        <f>E1354+G1354+H1354</f>
        <v>25</v>
      </c>
      <c r="J1354" s="3">
        <f>ROUND(MIN(IF(C1354="Técnico III",35,IF(C1354="Técnico II",28,IF(C1354="Técnico I",23,IF(C1354="JR",20,IF(C1354="Estágio",10,0))))),IF(C1354="Técnico III",SUMIFS($D:$D,$A:$A,$A1354,$B:$B,"&lt;&gt;Patrícia Karla de Sousa Araújo",$B:$B,"&lt;&gt;Lorena Dias de Araujo",$B:$B,"&lt;&gt;Lucas Luiz Romero")*(35/1083),IF(C1354="Técnico II",SUMIFS($D:$D,$A:$A,$A1354,$B:$B,"&lt;&gt;Patrícia Karla de Sousa Araújo",$B:$B,"&lt;&gt;Lorena Dias de Araujo",$B:$B,"&lt;&gt;Lucas Luiz Romero")*(28/1083),IF(C1354="Técnico I",SUMIFS($D:$D,$A:$A,$A1354,$B:$B,"&lt;&gt;Patrícia Karla de Sousa Araújo",$B:$B,"&lt;&gt;Lorena Dias de Araujo",$B:$B,"&lt;&gt;Lucas Luiz Romero")*(23/1083),IF(C1354="JR",SUMIFS($D:$D,$A:$A,$A1354,$B:$B,"&lt;&gt;Patrícia Karla de Sousa Araújo",$B:$B,"&lt;&gt;Lorena Dias de Araujo",$B:$B,"&lt;&gt;Lucas Luiz Romero")*(20/1083),IF(C1354="Estágio",SUMIFS($D:$D,$A:$A,$A1354,$B:$B,"&lt;&gt;Patrícia Karla de Sousa Araújo",$B:$B,"&lt;&gt;Lorena Dias de Araujo",$B:$B,"&lt;&gt;Lucas Luiz Romero")*(10/1083),0)))))),0)</f>
        <v>13</v>
      </c>
      <c r="K1354" s="3">
        <f>I1354-J1354</f>
        <v>12</v>
      </c>
      <c r="L1354" s="3" t="str">
        <f>IF(K1354&lt;-5,"CRÍTICO",IF(K1354&lt;0,"ATENÇÃO",IF(K1354&lt;=5,"BOM","EXCELENTE")))</f>
        <v>EXCELENTE</v>
      </c>
      <c r="M1354">
        <v>22</v>
      </c>
      <c r="N1354">
        <v>100</v>
      </c>
      <c r="O1354">
        <v>29.518072289156631</v>
      </c>
    </row>
    <row r="1355" spans="1:15" hidden="1" x14ac:dyDescent="0.25">
      <c r="A1355" s="11">
        <v>46043</v>
      </c>
      <c r="B1355" t="s">
        <v>34</v>
      </c>
      <c r="C1355" t="s">
        <v>32</v>
      </c>
      <c r="D1355">
        <v>28</v>
      </c>
      <c r="E1355">
        <v>27</v>
      </c>
      <c r="F1355">
        <v>15.15</v>
      </c>
      <c r="G1355">
        <v>0</v>
      </c>
      <c r="H1355">
        <v>0</v>
      </c>
      <c r="I1355" s="3">
        <f>E1355+G1355+H1355</f>
        <v>27</v>
      </c>
      <c r="J1355" s="3">
        <f>ROUND(MIN(IF(C1355="Técnico III",35,IF(C1355="Técnico II",28,IF(C1355="Técnico I",23,IF(C1355="JR",20,IF(C1355="Estágio",10,0))))),IF(C1355="Técnico III",SUMIFS($D:$D,$A:$A,$A1355,$B:$B,"&lt;&gt;Patrícia Karla de Sousa Araújo",$B:$B,"&lt;&gt;Lorena Dias de Araujo",$B:$B,"&lt;&gt;Lucas Luiz Romero")*(35/1083),IF(C1355="Técnico II",SUMIFS($D:$D,$A:$A,$A1355,$B:$B,"&lt;&gt;Patrícia Karla de Sousa Araújo",$B:$B,"&lt;&gt;Lorena Dias de Araujo",$B:$B,"&lt;&gt;Lucas Luiz Romero")*(28/1083),IF(C1355="Técnico I",SUMIFS($D:$D,$A:$A,$A1355,$B:$B,"&lt;&gt;Patrícia Karla de Sousa Araújo",$B:$B,"&lt;&gt;Lorena Dias de Araujo",$B:$B,"&lt;&gt;Lucas Luiz Romero")*(23/1083),IF(C1355="JR",SUMIFS($D:$D,$A:$A,$A1355,$B:$B,"&lt;&gt;Patrícia Karla de Sousa Araújo",$B:$B,"&lt;&gt;Lorena Dias de Araujo",$B:$B,"&lt;&gt;Lucas Luiz Romero")*(20/1083),IF(C1355="Estágio",SUMIFS($D:$D,$A:$A,$A1355,$B:$B,"&lt;&gt;Patrícia Karla de Sousa Araújo",$B:$B,"&lt;&gt;Lorena Dias de Araujo",$B:$B,"&lt;&gt;Lucas Luiz Romero")*(10/1083),0)))))),0)</f>
        <v>20</v>
      </c>
      <c r="K1355" s="3">
        <f>I1355-J1355</f>
        <v>7</v>
      </c>
      <c r="L1355" s="3" t="str">
        <f>IF(K1355&lt;-5,"CRÍTICO",IF(K1355&lt;0,"ATENÇÃO",IF(K1355&lt;=5,"BOM","EXCELENTE")))</f>
        <v>EXCELENTE</v>
      </c>
      <c r="M1355">
        <v>24</v>
      </c>
      <c r="N1355">
        <v>97.45</v>
      </c>
      <c r="O1355">
        <v>41.421143847487002</v>
      </c>
    </row>
    <row r="1356" spans="1:15" hidden="1" x14ac:dyDescent="0.25">
      <c r="A1356" s="11">
        <v>46043</v>
      </c>
      <c r="B1356" t="s">
        <v>51</v>
      </c>
      <c r="C1356" t="s">
        <v>48</v>
      </c>
      <c r="D1356">
        <v>25</v>
      </c>
      <c r="E1356">
        <v>19</v>
      </c>
      <c r="F1356">
        <v>10.4</v>
      </c>
      <c r="G1356">
        <v>0</v>
      </c>
      <c r="H1356">
        <v>0</v>
      </c>
      <c r="I1356" s="3">
        <v>0</v>
      </c>
      <c r="J1356" s="3">
        <v>0</v>
      </c>
      <c r="K1356" s="3">
        <v>0</v>
      </c>
      <c r="L1356" s="3" t="str">
        <f>IF(K1356&lt;-5,"CRÍTICO",IF(K1356&lt;0,"ATENÇÃO",IF(K1356&lt;=5,"BOM","EXCELENTE")))</f>
        <v>BOM</v>
      </c>
      <c r="M1356">
        <v>19</v>
      </c>
      <c r="N1356">
        <v>96.58</v>
      </c>
      <c r="O1356">
        <v>30.396475770925111</v>
      </c>
    </row>
    <row r="1357" spans="1:15" hidden="1" x14ac:dyDescent="0.25">
      <c r="A1357" s="11">
        <v>46043</v>
      </c>
      <c r="B1357" t="s">
        <v>61</v>
      </c>
      <c r="C1357" t="s">
        <v>23</v>
      </c>
      <c r="D1357">
        <v>20</v>
      </c>
      <c r="E1357">
        <v>20</v>
      </c>
      <c r="F1357">
        <v>20.05</v>
      </c>
      <c r="G1357">
        <v>0</v>
      </c>
      <c r="H1357">
        <v>0</v>
      </c>
      <c r="I1357" s="3">
        <f>E1357+G1357+H1357</f>
        <v>20</v>
      </c>
      <c r="J1357" s="3">
        <f>ROUND(MIN(IF(C1357="Técnico III",35,IF(C1357="Técnico II",28,IF(C1357="Técnico I",23,IF(C1357="JR",20,IF(C1357="Estágio",10,0))))),IF(C1357="Técnico III",SUMIFS($D:$D,$A:$A,$A1357,$B:$B,"&lt;&gt;Patrícia Karla de Sousa Araújo",$B:$B,"&lt;&gt;Lorena Dias de Araujo",$B:$B,"&lt;&gt;Lucas Luiz Romero")*(35/1083),IF(C1357="Técnico II",SUMIFS($D:$D,$A:$A,$A1357,$B:$B,"&lt;&gt;Patrícia Karla de Sousa Araújo",$B:$B,"&lt;&gt;Lorena Dias de Araujo",$B:$B,"&lt;&gt;Lucas Luiz Romero")*(28/1083),IF(C1357="Técnico I",SUMIFS($D:$D,$A:$A,$A1357,$B:$B,"&lt;&gt;Patrícia Karla de Sousa Araújo",$B:$B,"&lt;&gt;Lorena Dias de Araujo",$B:$B,"&lt;&gt;Lucas Luiz Romero")*(23/1083),IF(C1357="JR",SUMIFS($D:$D,$A:$A,$A1357,$B:$B,"&lt;&gt;Patrícia Karla de Sousa Araújo",$B:$B,"&lt;&gt;Lorena Dias de Araujo",$B:$B,"&lt;&gt;Lucas Luiz Romero")*(20/1083),IF(C1357="Estágio",SUMIFS($D:$D,$A:$A,$A1357,$B:$B,"&lt;&gt;Patrícia Karla de Sousa Araújo",$B:$B,"&lt;&gt;Lorena Dias de Araujo",$B:$B,"&lt;&gt;Lucas Luiz Romero")*(10/1083),0)))))),0)</f>
        <v>13</v>
      </c>
      <c r="K1357" s="3">
        <f>I1357-J1357</f>
        <v>7</v>
      </c>
      <c r="L1357" s="3" t="str">
        <f>IF(K1357&lt;-5,"CRÍTICO",IF(K1357&lt;0,"ATENÇÃO",IF(K1357&lt;=5,"BOM","EXCELENTE")))</f>
        <v>EXCELENTE</v>
      </c>
      <c r="M1357">
        <v>27</v>
      </c>
      <c r="N1357">
        <v>100</v>
      </c>
      <c r="O1357">
        <v>27.44282744282744</v>
      </c>
    </row>
    <row r="1358" spans="1:15" hidden="1" x14ac:dyDescent="0.25">
      <c r="A1358" s="11">
        <v>46043</v>
      </c>
      <c r="B1358" t="s">
        <v>35</v>
      </c>
      <c r="C1358" t="s">
        <v>32</v>
      </c>
      <c r="D1358">
        <v>19</v>
      </c>
      <c r="E1358">
        <v>17</v>
      </c>
      <c r="F1358">
        <v>25.25</v>
      </c>
      <c r="G1358">
        <v>0</v>
      </c>
      <c r="H1358">
        <v>0</v>
      </c>
      <c r="I1358" s="3">
        <v>0</v>
      </c>
      <c r="J1358" s="3">
        <v>0</v>
      </c>
      <c r="K1358" s="3">
        <v>0</v>
      </c>
      <c r="L1358" s="3" t="str">
        <f>IF(K1358&lt;-5,"CRÍTICO",IF(K1358&lt;0,"ATENÇÃO",IF(K1358&lt;=5,"BOM","EXCELENTE")))</f>
        <v>BOM</v>
      </c>
      <c r="M1358">
        <v>19</v>
      </c>
      <c r="N1358">
        <v>99.49</v>
      </c>
      <c r="O1358">
        <v>40.200000000000003</v>
      </c>
    </row>
    <row r="1359" spans="1:15" hidden="1" x14ac:dyDescent="0.25">
      <c r="A1359" s="11">
        <v>46043</v>
      </c>
      <c r="B1359" t="s">
        <v>18</v>
      </c>
      <c r="C1359" t="s">
        <v>16</v>
      </c>
      <c r="D1359">
        <v>0</v>
      </c>
      <c r="E1359">
        <v>0</v>
      </c>
      <c r="F1359">
        <v>0</v>
      </c>
      <c r="G1359">
        <v>0</v>
      </c>
      <c r="H1359">
        <v>0</v>
      </c>
      <c r="I1359" s="3">
        <v>0</v>
      </c>
      <c r="J1359" s="3">
        <v>0</v>
      </c>
      <c r="K1359" s="3">
        <v>0</v>
      </c>
      <c r="L1359" s="3" t="str">
        <f>IF(K1359&lt;-5,"CRÍTICO",IF(K1359&lt;0,"ATENÇÃO",IF(K1359&lt;=5,"BOM","EXCELENTE")))</f>
        <v>BOM</v>
      </c>
      <c r="M1359">
        <v>0</v>
      </c>
      <c r="N1359">
        <v>100</v>
      </c>
      <c r="O1359">
        <v>25</v>
      </c>
    </row>
    <row r="1360" spans="1:15" hidden="1" x14ac:dyDescent="0.25">
      <c r="A1360" s="11">
        <v>46043</v>
      </c>
      <c r="B1360" t="s">
        <v>52</v>
      </c>
      <c r="C1360" t="s">
        <v>48</v>
      </c>
      <c r="D1360">
        <v>30</v>
      </c>
      <c r="E1360">
        <v>30</v>
      </c>
      <c r="F1360">
        <v>12.2</v>
      </c>
      <c r="G1360">
        <v>0</v>
      </c>
      <c r="H1360">
        <v>0</v>
      </c>
      <c r="I1360" s="3">
        <f>E1360+G1360+H1360</f>
        <v>30</v>
      </c>
      <c r="J1360" s="3">
        <f>ROUND(MIN(IF(C1360="Técnico III",35,IF(C1360="Técnico II",28,IF(C1360="Técnico I",23,IF(C1360="JR",20,IF(C1360="Estágio",10,0))))),IF(C1360="Técnico III",SUMIFS($D:$D,$A:$A,$A1360,$B:$B,"&lt;&gt;Patrícia Karla de Sousa Araújo",$B:$B,"&lt;&gt;Lorena Dias de Araujo",$B:$B,"&lt;&gt;Lucas Luiz Romero")*(35/1083),IF(C1360="Técnico II",SUMIFS($D:$D,$A:$A,$A1360,$B:$B,"&lt;&gt;Patrícia Karla de Sousa Araújo",$B:$B,"&lt;&gt;Lorena Dias de Araujo",$B:$B,"&lt;&gt;Lucas Luiz Romero")*(28/1083),IF(C1360="Técnico I",SUMIFS($D:$D,$A:$A,$A1360,$B:$B,"&lt;&gt;Patrícia Karla de Sousa Araújo",$B:$B,"&lt;&gt;Lorena Dias de Araujo",$B:$B,"&lt;&gt;Lucas Luiz Romero")*(23/1083),IF(C1360="JR",SUMIFS($D:$D,$A:$A,$A1360,$B:$B,"&lt;&gt;Patrícia Karla de Sousa Araújo",$B:$B,"&lt;&gt;Lorena Dias de Araujo",$B:$B,"&lt;&gt;Lucas Luiz Romero")*(20/1083),IF(C1360="Estágio",SUMIFS($D:$D,$A:$A,$A1360,$B:$B,"&lt;&gt;Patrícia Karla de Sousa Araújo",$B:$B,"&lt;&gt;Lorena Dias de Araujo",$B:$B,"&lt;&gt;Lucas Luiz Romero")*(10/1083),0)))))),0)</f>
        <v>16</v>
      </c>
      <c r="K1360" s="3">
        <f>I1360-J1360</f>
        <v>14</v>
      </c>
      <c r="L1360" s="3" t="str">
        <f>IF(K1360&lt;-5,"CRÍTICO",IF(K1360&lt;0,"ATENÇÃO",IF(K1360&lt;=5,"BOM","EXCELENTE")))</f>
        <v>EXCELENTE</v>
      </c>
      <c r="M1360">
        <v>25</v>
      </c>
      <c r="N1360">
        <v>100</v>
      </c>
      <c r="O1360">
        <v>34.15094339622641</v>
      </c>
    </row>
    <row r="1361" spans="1:15" hidden="1" x14ac:dyDescent="0.25">
      <c r="A1361" s="11">
        <v>46043</v>
      </c>
      <c r="B1361" t="s">
        <v>36</v>
      </c>
      <c r="C1361" t="s">
        <v>32</v>
      </c>
      <c r="D1361">
        <v>23</v>
      </c>
      <c r="E1361">
        <v>22</v>
      </c>
      <c r="F1361">
        <v>17.27</v>
      </c>
      <c r="G1361">
        <v>0</v>
      </c>
      <c r="H1361">
        <v>0</v>
      </c>
      <c r="I1361" s="3">
        <f>E1361+G1361+H1361</f>
        <v>22</v>
      </c>
      <c r="J1361" s="3">
        <f>ROUND(MIN(IF(C1361="Técnico III",35,IF(C1361="Técnico II",28,IF(C1361="Técnico I",23,IF(C1361="JR",20,IF(C1361="Estágio",10,0))))),IF(C1361="Técnico III",SUMIFS($D:$D,$A:$A,$A1361,$B:$B,"&lt;&gt;Patrícia Karla de Sousa Araújo",$B:$B,"&lt;&gt;Lorena Dias de Araujo",$B:$B,"&lt;&gt;Lucas Luiz Romero")*(35/1083),IF(C1361="Técnico II",SUMIFS($D:$D,$A:$A,$A1361,$B:$B,"&lt;&gt;Patrícia Karla de Sousa Araújo",$B:$B,"&lt;&gt;Lorena Dias de Araujo",$B:$B,"&lt;&gt;Lucas Luiz Romero")*(28/1083),IF(C1361="Técnico I",SUMIFS($D:$D,$A:$A,$A1361,$B:$B,"&lt;&gt;Patrícia Karla de Sousa Araújo",$B:$B,"&lt;&gt;Lorena Dias de Araujo",$B:$B,"&lt;&gt;Lucas Luiz Romero")*(23/1083),IF(C1361="JR",SUMIFS($D:$D,$A:$A,$A1361,$B:$B,"&lt;&gt;Patrícia Karla de Sousa Araújo",$B:$B,"&lt;&gt;Lorena Dias de Araujo",$B:$B,"&lt;&gt;Lucas Luiz Romero")*(20/1083),IF(C1361="Estágio",SUMIFS($D:$D,$A:$A,$A1361,$B:$B,"&lt;&gt;Patrícia Karla de Sousa Araújo",$B:$B,"&lt;&gt;Lorena Dias de Araujo",$B:$B,"&lt;&gt;Lucas Luiz Romero")*(10/1083),0)))))),0)</f>
        <v>20</v>
      </c>
      <c r="K1361" s="3">
        <f>I1361-J1361</f>
        <v>2</v>
      </c>
      <c r="L1361" s="3" t="str">
        <f>IF(K1361&lt;-5,"CRÍTICO",IF(K1361&lt;0,"ATENÇÃO",IF(K1361&lt;=5,"BOM","EXCELENTE")))</f>
        <v>BOM</v>
      </c>
      <c r="M1361">
        <v>21</v>
      </c>
      <c r="N1361">
        <v>100</v>
      </c>
      <c r="O1361">
        <v>32.731376975169297</v>
      </c>
    </row>
    <row r="1362" spans="1:15" hidden="1" x14ac:dyDescent="0.25">
      <c r="A1362" s="11">
        <v>46043</v>
      </c>
      <c r="B1362" t="s">
        <v>53</v>
      </c>
      <c r="C1362" t="s">
        <v>48</v>
      </c>
      <c r="D1362">
        <v>10</v>
      </c>
      <c r="E1362">
        <v>8</v>
      </c>
      <c r="F1362">
        <v>27.24</v>
      </c>
      <c r="G1362">
        <v>0</v>
      </c>
      <c r="H1362">
        <v>0</v>
      </c>
      <c r="I1362" s="3">
        <f>E1362+G1362+H1362</f>
        <v>8</v>
      </c>
      <c r="J1362" s="3">
        <f>ROUND(MIN(IF(C1362="Técnico III",35,IF(C1362="Técnico II",28,IF(C1362="Técnico I",23,IF(C1362="JR",20,IF(C1362="Estágio",10,0))))),IF(C1362="Técnico III",SUMIFS($D:$D,$A:$A,$A1362,$B:$B,"&lt;&gt;Patrícia Karla de Sousa Araújo",$B:$B,"&lt;&gt;Lorena Dias de Araujo",$B:$B,"&lt;&gt;Lucas Luiz Romero")*(35/1083),IF(C1362="Técnico II",SUMIFS($D:$D,$A:$A,$A1362,$B:$B,"&lt;&gt;Patrícia Karla de Sousa Araújo",$B:$B,"&lt;&gt;Lorena Dias de Araujo",$B:$B,"&lt;&gt;Lucas Luiz Romero")*(28/1083),IF(C1362="Técnico I",SUMIFS($D:$D,$A:$A,$A1362,$B:$B,"&lt;&gt;Patrícia Karla de Sousa Araújo",$B:$B,"&lt;&gt;Lorena Dias de Araujo",$B:$B,"&lt;&gt;Lucas Luiz Romero")*(23/1083),IF(C1362="JR",SUMIFS($D:$D,$A:$A,$A1362,$B:$B,"&lt;&gt;Patrícia Karla de Sousa Araújo",$B:$B,"&lt;&gt;Lorena Dias de Araujo",$B:$B,"&lt;&gt;Lucas Luiz Romero")*(20/1083),IF(C1362="Estágio",SUMIFS($D:$D,$A:$A,$A1362,$B:$B,"&lt;&gt;Patrícia Karla de Sousa Araújo",$B:$B,"&lt;&gt;Lorena Dias de Araujo",$B:$B,"&lt;&gt;Lucas Luiz Romero")*(10/1083),0)))))),0)</f>
        <v>16</v>
      </c>
      <c r="K1362" s="3">
        <f>I1362-J1362</f>
        <v>-8</v>
      </c>
      <c r="L1362" s="3" t="str">
        <f>IF(K1362&lt;-5,"CRÍTICO",IF(K1362&lt;0,"ATENÇÃO",IF(K1362&lt;=5,"BOM","EXCELENTE")))</f>
        <v>CRÍTICO</v>
      </c>
      <c r="M1362">
        <v>8</v>
      </c>
      <c r="N1362">
        <v>99.31</v>
      </c>
      <c r="O1362">
        <v>30.96234309623431</v>
      </c>
    </row>
    <row r="1363" spans="1:15" hidden="1" x14ac:dyDescent="0.25">
      <c r="A1363" s="11">
        <v>46077</v>
      </c>
      <c r="B1363" t="s">
        <v>22</v>
      </c>
      <c r="C1363" t="s">
        <v>23</v>
      </c>
      <c r="D1363">
        <v>25</v>
      </c>
      <c r="E1363">
        <v>25</v>
      </c>
      <c r="F1363">
        <v>22.17</v>
      </c>
      <c r="G1363">
        <v>0</v>
      </c>
      <c r="H1363">
        <v>0</v>
      </c>
      <c r="I1363" s="3">
        <f>E1363+G1363+H1363</f>
        <v>25</v>
      </c>
      <c r="J1363" s="3">
        <f>ROUND(MIN(IF(C1363="Técnico III",35,IF(C1363="Técnico II",28,IF(C1363="Técnico I",23,IF(C1363="JR",20,IF(C1363="Estágio",10,0))))),IF(C1363="Técnico III",SUMIFS($D:$D,$A:$A,$A1363,$B:$B,"&lt;&gt;Patrícia Karla de Sousa Araújo",$B:$B,"&lt;&gt;Lorena Dias de Araujo",$B:$B,"&lt;&gt;Lucas Luiz Romero")*(35/1083),IF(C1363="Técnico II",SUMIFS($D:$D,$A:$A,$A1363,$B:$B,"&lt;&gt;Patrícia Karla de Sousa Araújo",$B:$B,"&lt;&gt;Lorena Dias de Araujo",$B:$B,"&lt;&gt;Lucas Luiz Romero")*(28/1083),IF(C1363="Técnico I",SUMIFS($D:$D,$A:$A,$A1363,$B:$B,"&lt;&gt;Patrícia Karla de Sousa Araújo",$B:$B,"&lt;&gt;Lorena Dias de Araujo",$B:$B,"&lt;&gt;Lucas Luiz Romero")*(23/1083),IF(C1363="JR",SUMIFS($D:$D,$A:$A,$A1363,$B:$B,"&lt;&gt;Patrícia Karla de Sousa Araújo",$B:$B,"&lt;&gt;Lorena Dias de Araujo",$B:$B,"&lt;&gt;Lucas Luiz Romero")*(20/1083),IF(C1363="Estágio",SUMIFS($D:$D,$A:$A,$A1363,$B:$B,"&lt;&gt;Patrícia Karla de Sousa Araújo",$B:$B,"&lt;&gt;Lorena Dias de Araujo",$B:$B,"&lt;&gt;Lucas Luiz Romero")*(10/1083),0)))))),0)</f>
        <v>13</v>
      </c>
      <c r="K1363" s="3">
        <f>I1363-J1363</f>
        <v>12</v>
      </c>
      <c r="L1363" s="3" t="str">
        <f>IF(K1363&lt;-5,"CRÍTICO",IF(K1363&lt;0,"ATENÇÃO",IF(K1363&lt;=5,"BOM","EXCELENTE")))</f>
        <v>EXCELENTE</v>
      </c>
      <c r="M1363">
        <v>24</v>
      </c>
      <c r="N1363">
        <v>96.67</v>
      </c>
      <c r="O1363">
        <v>31.451612903225811</v>
      </c>
    </row>
    <row r="1364" spans="1:15" hidden="1" x14ac:dyDescent="0.25">
      <c r="A1364" s="11">
        <v>46043</v>
      </c>
      <c r="B1364" t="s">
        <v>54</v>
      </c>
      <c r="C1364" t="s">
        <v>48</v>
      </c>
      <c r="D1364">
        <v>24</v>
      </c>
      <c r="E1364">
        <v>22</v>
      </c>
      <c r="F1364">
        <v>18.46</v>
      </c>
      <c r="G1364">
        <v>0</v>
      </c>
      <c r="H1364">
        <v>0</v>
      </c>
      <c r="I1364" s="3">
        <f>E1364+G1364+H1364</f>
        <v>22</v>
      </c>
      <c r="J1364" s="3">
        <f>ROUND(MIN(IF(C1364="Técnico III",35,IF(C1364="Técnico II",28,IF(C1364="Técnico I",23,IF(C1364="JR",20,IF(C1364="Estágio",10,0))))),IF(C1364="Técnico III",SUMIFS($D:$D,$A:$A,$A1364,$B:$B,"&lt;&gt;Patrícia Karla de Sousa Araújo",$B:$B,"&lt;&gt;Lorena Dias de Araujo",$B:$B,"&lt;&gt;Lucas Luiz Romero")*(35/1083),IF(C1364="Técnico II",SUMIFS($D:$D,$A:$A,$A1364,$B:$B,"&lt;&gt;Patrícia Karla de Sousa Araújo",$B:$B,"&lt;&gt;Lorena Dias de Araujo",$B:$B,"&lt;&gt;Lucas Luiz Romero")*(28/1083),IF(C1364="Técnico I",SUMIFS($D:$D,$A:$A,$A1364,$B:$B,"&lt;&gt;Patrícia Karla de Sousa Araújo",$B:$B,"&lt;&gt;Lorena Dias de Araujo",$B:$B,"&lt;&gt;Lucas Luiz Romero")*(23/1083),IF(C1364="JR",SUMIFS($D:$D,$A:$A,$A1364,$B:$B,"&lt;&gt;Patrícia Karla de Sousa Araújo",$B:$B,"&lt;&gt;Lorena Dias de Araujo",$B:$B,"&lt;&gt;Lucas Luiz Romero")*(20/1083),IF(C1364="Estágio",SUMIFS($D:$D,$A:$A,$A1364,$B:$B,"&lt;&gt;Patrícia Karla de Sousa Araújo",$B:$B,"&lt;&gt;Lorena Dias de Araujo",$B:$B,"&lt;&gt;Lucas Luiz Romero")*(10/1083),0)))))),0)</f>
        <v>16</v>
      </c>
      <c r="K1364" s="3">
        <f>I1364-J1364</f>
        <v>6</v>
      </c>
      <c r="L1364" s="3" t="str">
        <f>IF(K1364&lt;-5,"CRÍTICO",IF(K1364&lt;0,"ATENÇÃO",IF(K1364&lt;=5,"BOM","EXCELENTE")))</f>
        <v>EXCELENTE</v>
      </c>
      <c r="M1364">
        <v>21</v>
      </c>
      <c r="N1364">
        <v>100</v>
      </c>
      <c r="O1364">
        <v>27.676767676767678</v>
      </c>
    </row>
    <row r="1365" spans="1:15" hidden="1" x14ac:dyDescent="0.25">
      <c r="A1365" s="11">
        <v>46043</v>
      </c>
      <c r="B1365" t="s">
        <v>37</v>
      </c>
      <c r="C1365" t="s">
        <v>32</v>
      </c>
      <c r="D1365">
        <v>30</v>
      </c>
      <c r="E1365">
        <v>29</v>
      </c>
      <c r="F1365">
        <v>11.51</v>
      </c>
      <c r="G1365">
        <v>0</v>
      </c>
      <c r="H1365">
        <v>0</v>
      </c>
      <c r="I1365" s="3">
        <f>E1365+G1365+H1365</f>
        <v>29</v>
      </c>
      <c r="J1365" s="3">
        <f>ROUND(MIN(IF(C1365="Técnico III",35,IF(C1365="Técnico II",28,IF(C1365="Técnico I",23,IF(C1365="JR",20,IF(C1365="Estágio",10,0))))),IF(C1365="Técnico III",SUMIFS($D:$D,$A:$A,$A1365,$B:$B,"&lt;&gt;Patrícia Karla de Sousa Araújo",$B:$B,"&lt;&gt;Lorena Dias de Araujo",$B:$B,"&lt;&gt;Lucas Luiz Romero")*(35/1083),IF(C1365="Técnico II",SUMIFS($D:$D,$A:$A,$A1365,$B:$B,"&lt;&gt;Patrícia Karla de Sousa Araújo",$B:$B,"&lt;&gt;Lorena Dias de Araujo",$B:$B,"&lt;&gt;Lucas Luiz Romero")*(28/1083),IF(C1365="Técnico I",SUMIFS($D:$D,$A:$A,$A1365,$B:$B,"&lt;&gt;Patrícia Karla de Sousa Araújo",$B:$B,"&lt;&gt;Lorena Dias de Araujo",$B:$B,"&lt;&gt;Lucas Luiz Romero")*(23/1083),IF(C1365="JR",SUMIFS($D:$D,$A:$A,$A1365,$B:$B,"&lt;&gt;Patrícia Karla de Sousa Araújo",$B:$B,"&lt;&gt;Lorena Dias de Araujo",$B:$B,"&lt;&gt;Lucas Luiz Romero")*(20/1083),IF(C1365="Estágio",SUMIFS($D:$D,$A:$A,$A1365,$B:$B,"&lt;&gt;Patrícia Karla de Sousa Araújo",$B:$B,"&lt;&gt;Lorena Dias de Araujo",$B:$B,"&lt;&gt;Lucas Luiz Romero")*(10/1083),0)))))),0)</f>
        <v>20</v>
      </c>
      <c r="K1365" s="3">
        <f>I1365-J1365</f>
        <v>9</v>
      </c>
      <c r="L1365" s="3" t="str">
        <f>IF(K1365&lt;-5,"CRÍTICO",IF(K1365&lt;0,"ATENÇÃO",IF(K1365&lt;=5,"BOM","EXCELENTE")))</f>
        <v>EXCELENTE</v>
      </c>
      <c r="M1365">
        <v>26</v>
      </c>
      <c r="N1365">
        <v>100</v>
      </c>
      <c r="O1365">
        <v>31.17723156532988</v>
      </c>
    </row>
    <row r="1366" spans="1:15" hidden="1" x14ac:dyDescent="0.25">
      <c r="A1366" s="11">
        <v>46043</v>
      </c>
      <c r="B1366" t="s">
        <v>38</v>
      </c>
      <c r="C1366" t="s">
        <v>32</v>
      </c>
      <c r="D1366">
        <v>13</v>
      </c>
      <c r="E1366">
        <v>12</v>
      </c>
      <c r="F1366">
        <v>10.57</v>
      </c>
      <c r="G1366">
        <v>0</v>
      </c>
      <c r="H1366">
        <v>0</v>
      </c>
      <c r="I1366" s="3">
        <f>E1366+G1366+H1366</f>
        <v>12</v>
      </c>
      <c r="J1366" s="3">
        <f>ROUND(MIN(IF(C1366="Técnico III",35,IF(C1366="Técnico II",28,IF(C1366="Técnico I",23,IF(C1366="JR",20,IF(C1366="Estágio",10,0))))),IF(C1366="Técnico III",SUMIFS($D:$D,$A:$A,$A1366,$B:$B,"&lt;&gt;Patrícia Karla de Sousa Araújo",$B:$B,"&lt;&gt;Lorena Dias de Araujo",$B:$B,"&lt;&gt;Lucas Luiz Romero")*(35/1083),IF(C1366="Técnico II",SUMIFS($D:$D,$A:$A,$A1366,$B:$B,"&lt;&gt;Patrícia Karla de Sousa Araújo",$B:$B,"&lt;&gt;Lorena Dias de Araujo",$B:$B,"&lt;&gt;Lucas Luiz Romero")*(28/1083),IF(C1366="Técnico I",SUMIFS($D:$D,$A:$A,$A1366,$B:$B,"&lt;&gt;Patrícia Karla de Sousa Araújo",$B:$B,"&lt;&gt;Lorena Dias de Araujo",$B:$B,"&lt;&gt;Lucas Luiz Romero")*(23/1083),IF(C1366="JR",SUMIFS($D:$D,$A:$A,$A1366,$B:$B,"&lt;&gt;Patrícia Karla de Sousa Araújo",$B:$B,"&lt;&gt;Lorena Dias de Araujo",$B:$B,"&lt;&gt;Lucas Luiz Romero")*(20/1083),IF(C1366="Estágio",SUMIFS($D:$D,$A:$A,$A1366,$B:$B,"&lt;&gt;Patrícia Karla de Sousa Araújo",$B:$B,"&lt;&gt;Lorena Dias de Araujo",$B:$B,"&lt;&gt;Lucas Luiz Romero")*(10/1083),0)))))),0)</f>
        <v>20</v>
      </c>
      <c r="K1366" s="3">
        <f>I1366-J1366</f>
        <v>-8</v>
      </c>
      <c r="L1366" s="3" t="str">
        <f>IF(K1366&lt;-5,"CRÍTICO",IF(K1366&lt;0,"ATENÇÃO",IF(K1366&lt;=5,"BOM","EXCELENTE")))</f>
        <v>CRÍTICO</v>
      </c>
      <c r="M1366">
        <v>11</v>
      </c>
      <c r="N1366">
        <v>100</v>
      </c>
      <c r="O1366">
        <v>27.609427609427609</v>
      </c>
    </row>
    <row r="1367" spans="1:15" hidden="1" x14ac:dyDescent="0.25">
      <c r="A1367" s="11">
        <v>46043</v>
      </c>
      <c r="B1367" t="s">
        <v>55</v>
      </c>
      <c r="C1367" t="s">
        <v>48</v>
      </c>
      <c r="D1367">
        <v>0</v>
      </c>
      <c r="E1367">
        <v>0</v>
      </c>
      <c r="F1367">
        <v>0</v>
      </c>
      <c r="G1367">
        <v>0</v>
      </c>
      <c r="H1367">
        <v>0</v>
      </c>
      <c r="I1367" s="3">
        <v>0</v>
      </c>
      <c r="J1367" s="3">
        <v>0</v>
      </c>
      <c r="K1367" s="3">
        <v>0</v>
      </c>
      <c r="L1367" s="3" t="str">
        <f>IF(K1367&lt;-5,"CRÍTICO",IF(K1367&lt;0,"ATENÇÃO",IF(K1367&lt;=5,"BOM","EXCELENTE")))</f>
        <v>BOM</v>
      </c>
      <c r="M1367">
        <v>0</v>
      </c>
      <c r="N1367">
        <v>96.4</v>
      </c>
      <c r="O1367">
        <v>28.764044943820231</v>
      </c>
    </row>
    <row r="1368" spans="1:15" hidden="1" x14ac:dyDescent="0.25">
      <c r="A1368" s="11">
        <v>46043</v>
      </c>
      <c r="B1368" t="s">
        <v>39</v>
      </c>
      <c r="C1368" t="s">
        <v>32</v>
      </c>
      <c r="D1368">
        <v>0</v>
      </c>
      <c r="E1368">
        <v>0</v>
      </c>
      <c r="F1368">
        <v>0</v>
      </c>
      <c r="G1368">
        <v>0</v>
      </c>
      <c r="H1368">
        <v>0</v>
      </c>
      <c r="I1368" s="3">
        <v>0</v>
      </c>
      <c r="J1368" s="3">
        <v>0</v>
      </c>
      <c r="K1368" s="3">
        <v>0</v>
      </c>
      <c r="L1368" s="3" t="str">
        <f>IF(K1368&lt;-5,"CRÍTICO",IF(K1368&lt;0,"ATENÇÃO",IF(K1368&lt;=5,"BOM","EXCELENTE")))</f>
        <v>BOM</v>
      </c>
      <c r="M1368">
        <v>0</v>
      </c>
      <c r="N1368">
        <v>100</v>
      </c>
      <c r="O1368">
        <v>33.980582524271853</v>
      </c>
    </row>
    <row r="1369" spans="1:15" hidden="1" x14ac:dyDescent="0.25">
      <c r="A1369" s="11">
        <v>46043</v>
      </c>
      <c r="B1369" t="s">
        <v>25</v>
      </c>
      <c r="C1369" t="s">
        <v>26</v>
      </c>
      <c r="D1369">
        <v>6</v>
      </c>
      <c r="E1369">
        <v>6</v>
      </c>
      <c r="F1369">
        <v>39.06</v>
      </c>
      <c r="G1369">
        <v>0</v>
      </c>
      <c r="H1369">
        <v>0</v>
      </c>
      <c r="I1369" s="3">
        <f>E1369+G1369+H1369</f>
        <v>6</v>
      </c>
      <c r="J1369" s="3">
        <f>ROUND(MIN(IF(C1369="Técnico III",35,IF(C1369="Técnico II",28,IF(C1369="Técnico I",23,IF(C1369="JR",20,IF(C1369="Estágio",10,0))))),IF(C1369="Técnico III",SUMIFS($D:$D,$A:$A,$A1369,$B:$B,"&lt;&gt;Patrícia Karla de Sousa Araújo",$B:$B,"&lt;&gt;Lorena Dias de Araujo",$B:$B,"&lt;&gt;Lucas Luiz Romero")*(35/1083),IF(C1369="Técnico II",SUMIFS($D:$D,$A:$A,$A1369,$B:$B,"&lt;&gt;Patrícia Karla de Sousa Araújo",$B:$B,"&lt;&gt;Lorena Dias de Araujo",$B:$B,"&lt;&gt;Lucas Luiz Romero")*(28/1083),IF(C1369="Técnico I",SUMIFS($D:$D,$A:$A,$A1369,$B:$B,"&lt;&gt;Patrícia Karla de Sousa Araújo",$B:$B,"&lt;&gt;Lorena Dias de Araujo",$B:$B,"&lt;&gt;Lucas Luiz Romero")*(23/1083),IF(C1369="JR",SUMIFS($D:$D,$A:$A,$A1369,$B:$B,"&lt;&gt;Patrícia Karla de Sousa Araújo",$B:$B,"&lt;&gt;Lorena Dias de Araujo",$B:$B,"&lt;&gt;Lucas Luiz Romero")*(20/1083),IF(C1369="Estágio",SUMIFS($D:$D,$A:$A,$A1369,$B:$B,"&lt;&gt;Patrícia Karla de Sousa Araújo",$B:$B,"&lt;&gt;Lorena Dias de Araujo",$B:$B,"&lt;&gt;Lucas Luiz Romero")*(10/1083),0)))))),0)</f>
        <v>11</v>
      </c>
      <c r="K1369" s="3">
        <f>I1369-J1369</f>
        <v>-5</v>
      </c>
      <c r="L1369" s="3" t="str">
        <f>IF(K1369&lt;-5,"CRÍTICO",IF(K1369&lt;0,"ATENÇÃO",IF(K1369&lt;=5,"BOM","EXCELENTE")))</f>
        <v>ATENÇÃO</v>
      </c>
      <c r="M1369">
        <v>9</v>
      </c>
      <c r="N1369">
        <v>97.56</v>
      </c>
      <c r="O1369">
        <v>32.515337423312893</v>
      </c>
    </row>
    <row r="1370" spans="1:15" hidden="1" x14ac:dyDescent="0.25">
      <c r="A1370" s="11">
        <v>46043</v>
      </c>
      <c r="B1370" t="s">
        <v>40</v>
      </c>
      <c r="C1370" t="s">
        <v>32</v>
      </c>
      <c r="D1370">
        <v>25</v>
      </c>
      <c r="E1370">
        <v>24</v>
      </c>
      <c r="F1370">
        <v>15.49</v>
      </c>
      <c r="G1370">
        <v>0</v>
      </c>
      <c r="H1370">
        <v>0</v>
      </c>
      <c r="I1370" s="3">
        <f>E1370+G1370+H1370</f>
        <v>24</v>
      </c>
      <c r="J1370" s="3">
        <f>ROUND(MIN(IF(C1370="Técnico III",35,IF(C1370="Técnico II",28,IF(C1370="Técnico I",23,IF(C1370="JR",20,IF(C1370="Estágio",10,0))))),IF(C1370="Técnico III",SUMIFS($D:$D,$A:$A,$A1370,$B:$B,"&lt;&gt;Patrícia Karla de Sousa Araújo",$B:$B,"&lt;&gt;Lorena Dias de Araujo",$B:$B,"&lt;&gt;Lucas Luiz Romero")*(35/1083),IF(C1370="Técnico II",SUMIFS($D:$D,$A:$A,$A1370,$B:$B,"&lt;&gt;Patrícia Karla de Sousa Araújo",$B:$B,"&lt;&gt;Lorena Dias de Araujo",$B:$B,"&lt;&gt;Lucas Luiz Romero")*(28/1083),IF(C1370="Técnico I",SUMIFS($D:$D,$A:$A,$A1370,$B:$B,"&lt;&gt;Patrícia Karla de Sousa Araújo",$B:$B,"&lt;&gt;Lorena Dias de Araujo",$B:$B,"&lt;&gt;Lucas Luiz Romero")*(23/1083),IF(C1370="JR",SUMIFS($D:$D,$A:$A,$A1370,$B:$B,"&lt;&gt;Patrícia Karla de Sousa Araújo",$B:$B,"&lt;&gt;Lorena Dias de Araujo",$B:$B,"&lt;&gt;Lucas Luiz Romero")*(20/1083),IF(C1370="Estágio",SUMIFS($D:$D,$A:$A,$A1370,$B:$B,"&lt;&gt;Patrícia Karla de Sousa Araújo",$B:$B,"&lt;&gt;Lorena Dias de Araujo",$B:$B,"&lt;&gt;Lucas Luiz Romero")*(10/1083),0)))))),0)</f>
        <v>20</v>
      </c>
      <c r="K1370" s="3">
        <f>I1370-J1370</f>
        <v>4</v>
      </c>
      <c r="L1370" s="3" t="str">
        <f>IF(K1370&lt;-5,"CRÍTICO",IF(K1370&lt;0,"ATENÇÃO",IF(K1370&lt;=5,"BOM","EXCELENTE")))</f>
        <v>BOM</v>
      </c>
      <c r="M1370">
        <v>21</v>
      </c>
      <c r="N1370">
        <v>97.11</v>
      </c>
      <c r="O1370">
        <v>37.408312958435211</v>
      </c>
    </row>
    <row r="1371" spans="1:15" hidden="1" x14ac:dyDescent="0.25">
      <c r="A1371" s="11">
        <v>46043</v>
      </c>
      <c r="B1371" t="s">
        <v>27</v>
      </c>
      <c r="C1371" t="s">
        <v>26</v>
      </c>
      <c r="D1371">
        <v>0</v>
      </c>
      <c r="E1371">
        <v>0</v>
      </c>
      <c r="F1371">
        <v>0</v>
      </c>
      <c r="G1371">
        <v>0</v>
      </c>
      <c r="H1371">
        <v>0</v>
      </c>
      <c r="I1371" s="3">
        <v>0</v>
      </c>
      <c r="J1371" s="3">
        <v>0</v>
      </c>
      <c r="K1371" s="3">
        <v>0</v>
      </c>
      <c r="L1371" s="3" t="str">
        <f>IF(K1371&lt;-5,"CRÍTICO",IF(K1371&lt;0,"ATENÇÃO",IF(K1371&lt;=5,"BOM","EXCELENTE")))</f>
        <v>BOM</v>
      </c>
      <c r="M1371">
        <v>0</v>
      </c>
      <c r="N1371">
        <v>0</v>
      </c>
      <c r="O1371">
        <v>0</v>
      </c>
    </row>
    <row r="1372" spans="1:15" hidden="1" x14ac:dyDescent="0.25">
      <c r="A1372" s="11">
        <v>46043</v>
      </c>
      <c r="B1372" t="s">
        <v>41</v>
      </c>
      <c r="C1372" t="s">
        <v>32</v>
      </c>
      <c r="D1372">
        <v>24</v>
      </c>
      <c r="E1372">
        <v>19</v>
      </c>
      <c r="F1372">
        <v>15.4</v>
      </c>
      <c r="G1372">
        <v>0</v>
      </c>
      <c r="H1372">
        <v>0</v>
      </c>
      <c r="I1372" s="3">
        <f>E1372+G1372+H1372</f>
        <v>19</v>
      </c>
      <c r="J1372" s="3">
        <f>ROUND(MIN(IF(C1372="Técnico III",35,IF(C1372="Técnico II",28,IF(C1372="Técnico I",23,IF(C1372="JR",20,IF(C1372="Estágio",10,0))))),IF(C1372="Técnico III",SUMIFS($D:$D,$A:$A,$A1372,$B:$B,"&lt;&gt;Patrícia Karla de Sousa Araújo",$B:$B,"&lt;&gt;Lorena Dias de Araujo",$B:$B,"&lt;&gt;Lucas Luiz Romero")*(35/1083),IF(C1372="Técnico II",SUMIFS($D:$D,$A:$A,$A1372,$B:$B,"&lt;&gt;Patrícia Karla de Sousa Araújo",$B:$B,"&lt;&gt;Lorena Dias de Araujo",$B:$B,"&lt;&gt;Lucas Luiz Romero")*(28/1083),IF(C1372="Técnico I",SUMIFS($D:$D,$A:$A,$A1372,$B:$B,"&lt;&gt;Patrícia Karla de Sousa Araújo",$B:$B,"&lt;&gt;Lorena Dias de Araujo",$B:$B,"&lt;&gt;Lucas Luiz Romero")*(23/1083),IF(C1372="JR",SUMIFS($D:$D,$A:$A,$A1372,$B:$B,"&lt;&gt;Patrícia Karla de Sousa Araújo",$B:$B,"&lt;&gt;Lorena Dias de Araujo",$B:$B,"&lt;&gt;Lucas Luiz Romero")*(20/1083),IF(C1372="Estágio",SUMIFS($D:$D,$A:$A,$A1372,$B:$B,"&lt;&gt;Patrícia Karla de Sousa Araújo",$B:$B,"&lt;&gt;Lorena Dias de Araujo",$B:$B,"&lt;&gt;Lucas Luiz Romero")*(10/1083),0)))))),0)</f>
        <v>20</v>
      </c>
      <c r="K1372" s="3">
        <f>I1372-J1372</f>
        <v>-1</v>
      </c>
      <c r="L1372" s="3" t="str">
        <f>IF(K1372&lt;-5,"CRÍTICO",IF(K1372&lt;0,"ATENÇÃO",IF(K1372&lt;=5,"BOM","EXCELENTE")))</f>
        <v>ATENÇÃO</v>
      </c>
      <c r="M1372">
        <v>21</v>
      </c>
      <c r="N1372">
        <v>100</v>
      </c>
      <c r="O1372">
        <v>30.470347648261761</v>
      </c>
    </row>
    <row r="1373" spans="1:15" hidden="1" x14ac:dyDescent="0.25">
      <c r="A1373" s="11">
        <v>46043</v>
      </c>
      <c r="B1373" t="s">
        <v>56</v>
      </c>
      <c r="C1373" t="s">
        <v>48</v>
      </c>
      <c r="D1373">
        <v>28</v>
      </c>
      <c r="E1373">
        <v>27</v>
      </c>
      <c r="F1373">
        <v>14.17</v>
      </c>
      <c r="G1373">
        <v>0</v>
      </c>
      <c r="H1373">
        <v>0</v>
      </c>
      <c r="I1373" s="3">
        <f>E1373+G1373+H1373</f>
        <v>27</v>
      </c>
      <c r="J1373" s="3">
        <f>ROUND(MIN(IF(C1373="Técnico III",35,IF(C1373="Técnico II",28,IF(C1373="Técnico I",23,IF(C1373="JR",20,IF(C1373="Estágio",10,0))))),IF(C1373="Técnico III",SUMIFS($D:$D,$A:$A,$A1373,$B:$B,"&lt;&gt;Patrícia Karla de Sousa Araújo",$B:$B,"&lt;&gt;Lorena Dias de Araujo",$B:$B,"&lt;&gt;Lucas Luiz Romero")*(35/1083),IF(C1373="Técnico II",SUMIFS($D:$D,$A:$A,$A1373,$B:$B,"&lt;&gt;Patrícia Karla de Sousa Araújo",$B:$B,"&lt;&gt;Lorena Dias de Araujo",$B:$B,"&lt;&gt;Lucas Luiz Romero")*(28/1083),IF(C1373="Técnico I",SUMIFS($D:$D,$A:$A,$A1373,$B:$B,"&lt;&gt;Patrícia Karla de Sousa Araújo",$B:$B,"&lt;&gt;Lorena Dias de Araujo",$B:$B,"&lt;&gt;Lucas Luiz Romero")*(23/1083),IF(C1373="JR",SUMIFS($D:$D,$A:$A,$A1373,$B:$B,"&lt;&gt;Patrícia Karla de Sousa Araújo",$B:$B,"&lt;&gt;Lorena Dias de Araujo",$B:$B,"&lt;&gt;Lucas Luiz Romero")*(20/1083),IF(C1373="Estágio",SUMIFS($D:$D,$A:$A,$A1373,$B:$B,"&lt;&gt;Patrícia Karla de Sousa Araújo",$B:$B,"&lt;&gt;Lorena Dias de Araujo",$B:$B,"&lt;&gt;Lucas Luiz Romero")*(10/1083),0)))))),0)</f>
        <v>16</v>
      </c>
      <c r="K1373" s="3">
        <f>I1373-J1373</f>
        <v>11</v>
      </c>
      <c r="L1373" s="3" t="str">
        <f>IF(K1373&lt;-5,"CRÍTICO",IF(K1373&lt;0,"ATENÇÃO",IF(K1373&lt;=5,"BOM","EXCELENTE")))</f>
        <v>EXCELENTE</v>
      </c>
      <c r="M1373">
        <v>24</v>
      </c>
      <c r="N1373">
        <v>100</v>
      </c>
      <c r="O1373">
        <v>32.371134020618562</v>
      </c>
    </row>
    <row r="1374" spans="1:15" hidden="1" x14ac:dyDescent="0.25">
      <c r="A1374" s="11">
        <v>46043</v>
      </c>
      <c r="B1374" t="s">
        <v>57</v>
      </c>
      <c r="C1374" t="s">
        <v>48</v>
      </c>
      <c r="D1374">
        <v>26</v>
      </c>
      <c r="E1374">
        <v>23</v>
      </c>
      <c r="F1374">
        <v>13.38</v>
      </c>
      <c r="G1374">
        <v>0</v>
      </c>
      <c r="H1374">
        <v>0</v>
      </c>
      <c r="I1374" s="3">
        <v>0</v>
      </c>
      <c r="J1374" s="3">
        <v>0</v>
      </c>
      <c r="K1374" s="3">
        <v>0</v>
      </c>
      <c r="L1374" s="3" t="str">
        <f>IF(K1374&lt;-5,"CRÍTICO",IF(K1374&lt;0,"ATENÇÃO",IF(K1374&lt;=5,"BOM","EXCELENTE")))</f>
        <v>BOM</v>
      </c>
      <c r="M1374">
        <v>19</v>
      </c>
      <c r="N1374">
        <v>98.32</v>
      </c>
      <c r="O1374">
        <v>32.318501170960189</v>
      </c>
    </row>
    <row r="1375" spans="1:15" hidden="1" x14ac:dyDescent="0.25">
      <c r="A1375" s="11">
        <v>46043</v>
      </c>
      <c r="B1375" t="s">
        <v>42</v>
      </c>
      <c r="C1375" t="s">
        <v>32</v>
      </c>
      <c r="D1375">
        <v>35</v>
      </c>
      <c r="E1375">
        <v>19</v>
      </c>
      <c r="F1375">
        <v>8.25</v>
      </c>
      <c r="G1375">
        <v>0</v>
      </c>
      <c r="H1375">
        <v>0</v>
      </c>
      <c r="I1375" s="3">
        <f>E1375+G1375+H1375</f>
        <v>19</v>
      </c>
      <c r="J1375" s="3">
        <f>ROUND(MIN(IF(C1375="Técnico III",35,IF(C1375="Técnico II",28,IF(C1375="Técnico I",23,IF(C1375="JR",20,IF(C1375="Estágio",10,0))))),IF(C1375="Técnico III",SUMIFS($D:$D,$A:$A,$A1375,$B:$B,"&lt;&gt;Patrícia Karla de Sousa Araújo",$B:$B,"&lt;&gt;Lorena Dias de Araujo",$B:$B,"&lt;&gt;Lucas Luiz Romero")*(35/1083),IF(C1375="Técnico II",SUMIFS($D:$D,$A:$A,$A1375,$B:$B,"&lt;&gt;Patrícia Karla de Sousa Araújo",$B:$B,"&lt;&gt;Lorena Dias de Araujo",$B:$B,"&lt;&gt;Lucas Luiz Romero")*(28/1083),IF(C1375="Técnico I",SUMIFS($D:$D,$A:$A,$A1375,$B:$B,"&lt;&gt;Patrícia Karla de Sousa Araújo",$B:$B,"&lt;&gt;Lorena Dias de Araujo",$B:$B,"&lt;&gt;Lucas Luiz Romero")*(23/1083),IF(C1375="JR",SUMIFS($D:$D,$A:$A,$A1375,$B:$B,"&lt;&gt;Patrícia Karla de Sousa Araújo",$B:$B,"&lt;&gt;Lorena Dias de Araujo",$B:$B,"&lt;&gt;Lucas Luiz Romero")*(20/1083),IF(C1375="Estágio",SUMIFS($D:$D,$A:$A,$A1375,$B:$B,"&lt;&gt;Patrícia Karla de Sousa Araújo",$B:$B,"&lt;&gt;Lorena Dias de Araujo",$B:$B,"&lt;&gt;Lucas Luiz Romero")*(10/1083),0)))))),0)</f>
        <v>20</v>
      </c>
      <c r="K1375" s="3">
        <f>I1375-J1375</f>
        <v>-1</v>
      </c>
      <c r="L1375" s="3" t="str">
        <f>IF(K1375&lt;-5,"CRÍTICO",IF(K1375&lt;0,"ATENÇÃO",IF(K1375&lt;=5,"BOM","EXCELENTE")))</f>
        <v>ATENÇÃO</v>
      </c>
      <c r="M1375">
        <v>13</v>
      </c>
      <c r="N1375">
        <v>96.43</v>
      </c>
      <c r="O1375">
        <v>27.015250544662312</v>
      </c>
    </row>
    <row r="1376" spans="1:15" hidden="1" x14ac:dyDescent="0.25">
      <c r="A1376" s="11">
        <v>46043</v>
      </c>
      <c r="B1376" t="s">
        <v>62</v>
      </c>
      <c r="C1376" t="s">
        <v>23</v>
      </c>
      <c r="D1376">
        <v>17</v>
      </c>
      <c r="E1376">
        <v>17</v>
      </c>
      <c r="F1376">
        <v>22.17</v>
      </c>
      <c r="G1376">
        <v>0</v>
      </c>
      <c r="H1376">
        <v>0</v>
      </c>
      <c r="I1376" s="3">
        <f>E1376+G1376+H1376</f>
        <v>17</v>
      </c>
      <c r="J1376" s="3">
        <f>ROUND(MIN(IF(C1376="Técnico III",35,IF(C1376="Técnico II",28,IF(C1376="Técnico I",23,IF(C1376="JR",20,IF(C1376="Estágio",10,0))))),IF(C1376="Técnico III",SUMIFS($D:$D,$A:$A,$A1376,$B:$B,"&lt;&gt;Patrícia Karla de Sousa Araújo",$B:$B,"&lt;&gt;Lorena Dias de Araujo",$B:$B,"&lt;&gt;Lucas Luiz Romero")*(35/1083),IF(C1376="Técnico II",SUMIFS($D:$D,$A:$A,$A1376,$B:$B,"&lt;&gt;Patrícia Karla de Sousa Araújo",$B:$B,"&lt;&gt;Lorena Dias de Araujo",$B:$B,"&lt;&gt;Lucas Luiz Romero")*(28/1083),IF(C1376="Técnico I",SUMIFS($D:$D,$A:$A,$A1376,$B:$B,"&lt;&gt;Patrícia Karla de Sousa Araújo",$B:$B,"&lt;&gt;Lorena Dias de Araujo",$B:$B,"&lt;&gt;Lucas Luiz Romero")*(23/1083),IF(C1376="JR",SUMIFS($D:$D,$A:$A,$A1376,$B:$B,"&lt;&gt;Patrícia Karla de Sousa Araújo",$B:$B,"&lt;&gt;Lorena Dias de Araujo",$B:$B,"&lt;&gt;Lucas Luiz Romero")*(20/1083),IF(C1376="Estágio",SUMIFS($D:$D,$A:$A,$A1376,$B:$B,"&lt;&gt;Patrícia Karla de Sousa Araújo",$B:$B,"&lt;&gt;Lorena Dias de Araujo",$B:$B,"&lt;&gt;Lucas Luiz Romero")*(10/1083),0)))))),0)</f>
        <v>13</v>
      </c>
      <c r="K1376" s="3">
        <f>I1376-J1376</f>
        <v>4</v>
      </c>
      <c r="L1376" s="3" t="str">
        <f>IF(K1376&lt;-5,"CRÍTICO",IF(K1376&lt;0,"ATENÇÃO",IF(K1376&lt;=5,"BOM","EXCELENTE")))</f>
        <v>BOM</v>
      </c>
      <c r="M1376">
        <v>20</v>
      </c>
      <c r="N1376">
        <v>98.89</v>
      </c>
      <c r="O1376">
        <v>28.021978021978018</v>
      </c>
    </row>
    <row r="1377" spans="1:15" hidden="1" x14ac:dyDescent="0.25">
      <c r="A1377" s="11">
        <v>46043</v>
      </c>
      <c r="B1377" t="s">
        <v>19</v>
      </c>
      <c r="C1377" t="s">
        <v>16</v>
      </c>
      <c r="D1377">
        <v>8</v>
      </c>
      <c r="E1377">
        <v>8</v>
      </c>
      <c r="F1377">
        <v>30.44</v>
      </c>
      <c r="G1377">
        <v>0</v>
      </c>
      <c r="H1377">
        <v>0</v>
      </c>
      <c r="I1377" s="3">
        <f>E1377+G1377+H1377</f>
        <v>8</v>
      </c>
      <c r="J1377" s="3">
        <f>ROUND(MIN(IF(C1377="Técnico III",35,IF(C1377="Técnico II",28,IF(C1377="Técnico I",23,IF(C1377="JR",20,IF(C1377="Estágio",10,0))))),IF(C1377="Técnico III",SUMIFS($D:$D,$A:$A,$A1377,$B:$B,"&lt;&gt;Patrícia Karla de Sousa Araújo",$B:$B,"&lt;&gt;Lorena Dias de Araujo",$B:$B,"&lt;&gt;Lucas Luiz Romero")*(35/1083),IF(C1377="Técnico II",SUMIFS($D:$D,$A:$A,$A1377,$B:$B,"&lt;&gt;Patrícia Karla de Sousa Araújo",$B:$B,"&lt;&gt;Lorena Dias de Araujo",$B:$B,"&lt;&gt;Lucas Luiz Romero")*(28/1083),IF(C1377="Técnico I",SUMIFS($D:$D,$A:$A,$A1377,$B:$B,"&lt;&gt;Patrícia Karla de Sousa Araújo",$B:$B,"&lt;&gt;Lorena Dias de Araujo",$B:$B,"&lt;&gt;Lucas Luiz Romero")*(23/1083),IF(C1377="JR",SUMIFS($D:$D,$A:$A,$A1377,$B:$B,"&lt;&gt;Patrícia Karla de Sousa Araújo",$B:$B,"&lt;&gt;Lorena Dias de Araujo",$B:$B,"&lt;&gt;Lucas Luiz Romero")*(20/1083),IF(C1377="Estágio",SUMIFS($D:$D,$A:$A,$A1377,$B:$B,"&lt;&gt;Patrícia Karla de Sousa Araújo",$B:$B,"&lt;&gt;Lorena Dias de Araujo",$B:$B,"&lt;&gt;Lucas Luiz Romero")*(10/1083),0)))))),0)</f>
        <v>6</v>
      </c>
      <c r="K1377" s="3">
        <f>I1377-J1377</f>
        <v>2</v>
      </c>
      <c r="L1377" s="3" t="str">
        <f>IF(K1377&lt;-5,"CRÍTICO",IF(K1377&lt;0,"ATENÇÃO",IF(K1377&lt;=5,"BOM","EXCELENTE")))</f>
        <v>BOM</v>
      </c>
      <c r="M1377">
        <v>4</v>
      </c>
      <c r="N1377">
        <v>100</v>
      </c>
      <c r="O1377">
        <v>33.333333333333329</v>
      </c>
    </row>
    <row r="1378" spans="1:15" hidden="1" x14ac:dyDescent="0.25">
      <c r="A1378" s="11">
        <v>46043</v>
      </c>
      <c r="B1378" t="s">
        <v>43</v>
      </c>
      <c r="C1378" t="s">
        <v>32</v>
      </c>
      <c r="D1378">
        <v>28</v>
      </c>
      <c r="E1378">
        <v>27</v>
      </c>
      <c r="F1378">
        <v>11.44</v>
      </c>
      <c r="G1378">
        <v>0</v>
      </c>
      <c r="H1378">
        <v>0</v>
      </c>
      <c r="I1378" s="3">
        <f>E1378+G1378+H1378</f>
        <v>27</v>
      </c>
      <c r="J1378" s="3">
        <f>ROUND(MIN(IF(C1378="Técnico III",35,IF(C1378="Técnico II",28,IF(C1378="Técnico I",23,IF(C1378="JR",20,IF(C1378="Estágio",10,0))))),IF(C1378="Técnico III",SUMIFS($D:$D,$A:$A,$A1378,$B:$B,"&lt;&gt;Patrícia Karla de Sousa Araújo",$B:$B,"&lt;&gt;Lorena Dias de Araujo",$B:$B,"&lt;&gt;Lucas Luiz Romero")*(35/1083),IF(C1378="Técnico II",SUMIFS($D:$D,$A:$A,$A1378,$B:$B,"&lt;&gt;Patrícia Karla de Sousa Araújo",$B:$B,"&lt;&gt;Lorena Dias de Araujo",$B:$B,"&lt;&gt;Lucas Luiz Romero")*(28/1083),IF(C1378="Técnico I",SUMIFS($D:$D,$A:$A,$A1378,$B:$B,"&lt;&gt;Patrícia Karla de Sousa Araújo",$B:$B,"&lt;&gt;Lorena Dias de Araujo",$B:$B,"&lt;&gt;Lucas Luiz Romero")*(23/1083),IF(C1378="JR",SUMIFS($D:$D,$A:$A,$A1378,$B:$B,"&lt;&gt;Patrícia Karla de Sousa Araújo",$B:$B,"&lt;&gt;Lorena Dias de Araujo",$B:$B,"&lt;&gt;Lucas Luiz Romero")*(20/1083),IF(C1378="Estágio",SUMIFS($D:$D,$A:$A,$A1378,$B:$B,"&lt;&gt;Patrícia Karla de Sousa Araújo",$B:$B,"&lt;&gt;Lorena Dias de Araujo",$B:$B,"&lt;&gt;Lucas Luiz Romero")*(10/1083),0)))))),0)</f>
        <v>20</v>
      </c>
      <c r="K1378" s="3">
        <f>I1378-J1378</f>
        <v>7</v>
      </c>
      <c r="L1378" s="3" t="str">
        <f>IF(K1378&lt;-5,"CRÍTICO",IF(K1378&lt;0,"ATENÇÃO",IF(K1378&lt;=5,"BOM","EXCELENTE")))</f>
        <v>EXCELENTE</v>
      </c>
      <c r="M1378">
        <v>25</v>
      </c>
      <c r="N1378">
        <v>100</v>
      </c>
      <c r="O1378">
        <v>27.43362831858407</v>
      </c>
    </row>
    <row r="1379" spans="1:15" hidden="1" x14ac:dyDescent="0.25">
      <c r="A1379" s="11">
        <v>46043</v>
      </c>
      <c r="B1379" t="s">
        <v>44</v>
      </c>
      <c r="C1379" t="s">
        <v>32</v>
      </c>
      <c r="D1379">
        <v>32</v>
      </c>
      <c r="E1379">
        <v>27</v>
      </c>
      <c r="F1379">
        <v>9.14</v>
      </c>
      <c r="G1379">
        <v>0</v>
      </c>
      <c r="H1379">
        <v>0</v>
      </c>
      <c r="I1379" s="3">
        <f>E1379+G1379+H1379</f>
        <v>27</v>
      </c>
      <c r="J1379" s="3">
        <f>ROUND(MIN(IF(C1379="Técnico III",35,IF(C1379="Técnico II",28,IF(C1379="Técnico I",23,IF(C1379="JR",20,IF(C1379="Estágio",10,0))))),IF(C1379="Técnico III",SUMIFS($D:$D,$A:$A,$A1379,$B:$B,"&lt;&gt;Patrícia Karla de Sousa Araújo",$B:$B,"&lt;&gt;Lorena Dias de Araujo",$B:$B,"&lt;&gt;Lucas Luiz Romero")*(35/1083),IF(C1379="Técnico II",SUMIFS($D:$D,$A:$A,$A1379,$B:$B,"&lt;&gt;Patrícia Karla de Sousa Araújo",$B:$B,"&lt;&gt;Lorena Dias de Araujo",$B:$B,"&lt;&gt;Lucas Luiz Romero")*(28/1083),IF(C1379="Técnico I",SUMIFS($D:$D,$A:$A,$A1379,$B:$B,"&lt;&gt;Patrícia Karla de Sousa Araújo",$B:$B,"&lt;&gt;Lorena Dias de Araujo",$B:$B,"&lt;&gt;Lucas Luiz Romero")*(23/1083),IF(C1379="JR",SUMIFS($D:$D,$A:$A,$A1379,$B:$B,"&lt;&gt;Patrícia Karla de Sousa Araújo",$B:$B,"&lt;&gt;Lorena Dias de Araujo",$B:$B,"&lt;&gt;Lucas Luiz Romero")*(20/1083),IF(C1379="Estágio",SUMIFS($D:$D,$A:$A,$A1379,$B:$B,"&lt;&gt;Patrícia Karla de Sousa Araújo",$B:$B,"&lt;&gt;Lorena Dias de Araujo",$B:$B,"&lt;&gt;Lucas Luiz Romero")*(10/1083),0)))))),0)</f>
        <v>20</v>
      </c>
      <c r="K1379" s="3">
        <f>I1379-J1379</f>
        <v>7</v>
      </c>
      <c r="L1379" s="3" t="str">
        <f>IF(K1379&lt;-5,"CRÍTICO",IF(K1379&lt;0,"ATENÇÃO",IF(K1379&lt;=5,"BOM","EXCELENTE")))</f>
        <v>EXCELENTE</v>
      </c>
      <c r="M1379">
        <v>25</v>
      </c>
      <c r="N1379">
        <v>98.65</v>
      </c>
      <c r="O1379">
        <v>30.978260869565219</v>
      </c>
    </row>
    <row r="1380" spans="1:15" hidden="1" x14ac:dyDescent="0.25">
      <c r="A1380" s="11">
        <v>46043</v>
      </c>
      <c r="B1380" t="s">
        <v>20</v>
      </c>
      <c r="C1380" t="s">
        <v>16</v>
      </c>
      <c r="D1380">
        <v>6</v>
      </c>
      <c r="E1380">
        <v>5</v>
      </c>
      <c r="F1380">
        <v>27.01</v>
      </c>
      <c r="G1380">
        <v>0</v>
      </c>
      <c r="H1380">
        <v>0</v>
      </c>
      <c r="I1380" s="3">
        <f>E1380+G1380+H1380</f>
        <v>5</v>
      </c>
      <c r="J1380" s="3">
        <f>ROUND(MIN(IF(C1380="Técnico III",35,IF(C1380="Técnico II",28,IF(C1380="Técnico I",23,IF(C1380="JR",20,IF(C1380="Estágio",10,0))))),IF(C1380="Técnico III",SUMIFS($D:$D,$A:$A,$A1380,$B:$B,"&lt;&gt;Patrícia Karla de Sousa Araújo",$B:$B,"&lt;&gt;Lorena Dias de Araujo",$B:$B,"&lt;&gt;Lucas Luiz Romero")*(35/1083),IF(C1380="Técnico II",SUMIFS($D:$D,$A:$A,$A1380,$B:$B,"&lt;&gt;Patrícia Karla de Sousa Araújo",$B:$B,"&lt;&gt;Lorena Dias de Araujo",$B:$B,"&lt;&gt;Lucas Luiz Romero")*(28/1083),IF(C1380="Técnico I",SUMIFS($D:$D,$A:$A,$A1380,$B:$B,"&lt;&gt;Patrícia Karla de Sousa Araújo",$B:$B,"&lt;&gt;Lorena Dias de Araujo",$B:$B,"&lt;&gt;Lucas Luiz Romero")*(23/1083),IF(C1380="JR",SUMIFS($D:$D,$A:$A,$A1380,$B:$B,"&lt;&gt;Patrícia Karla de Sousa Araújo",$B:$B,"&lt;&gt;Lorena Dias de Araujo",$B:$B,"&lt;&gt;Lucas Luiz Romero")*(20/1083),IF(C1380="Estágio",SUMIFS($D:$D,$A:$A,$A1380,$B:$B,"&lt;&gt;Patrícia Karla de Sousa Araújo",$B:$B,"&lt;&gt;Lorena Dias de Araujo",$B:$B,"&lt;&gt;Lucas Luiz Romero")*(10/1083),0)))))),0)</f>
        <v>6</v>
      </c>
      <c r="K1380" s="3">
        <f>I1380-J1380</f>
        <v>-1</v>
      </c>
      <c r="L1380" s="3" t="str">
        <f>IF(K1380&lt;-5,"CRÍTICO",IF(K1380&lt;0,"ATENÇÃO",IF(K1380&lt;=5,"BOM","EXCELENTE")))</f>
        <v>ATENÇÃO</v>
      </c>
      <c r="M1380">
        <v>2</v>
      </c>
      <c r="N1380">
        <v>100</v>
      </c>
      <c r="O1380">
        <v>12</v>
      </c>
    </row>
    <row r="1381" spans="1:15" hidden="1" x14ac:dyDescent="0.25">
      <c r="A1381" s="11">
        <v>46043</v>
      </c>
      <c r="B1381" t="s">
        <v>28</v>
      </c>
      <c r="C1381" t="s">
        <v>26</v>
      </c>
      <c r="D1381">
        <v>0</v>
      </c>
      <c r="E1381">
        <v>0</v>
      </c>
      <c r="F1381">
        <v>0</v>
      </c>
      <c r="G1381">
        <v>0</v>
      </c>
      <c r="H1381">
        <v>0</v>
      </c>
      <c r="I1381" s="3">
        <v>0</v>
      </c>
      <c r="J1381" s="3">
        <v>0</v>
      </c>
      <c r="K1381" s="3">
        <v>0</v>
      </c>
      <c r="L1381" s="3" t="str">
        <f>IF(K1381&lt;-5,"CRÍTICO",IF(K1381&lt;0,"ATENÇÃO",IF(K1381&lt;=5,"BOM","EXCELENTE")))</f>
        <v>BOM</v>
      </c>
      <c r="M1381">
        <v>0</v>
      </c>
      <c r="N1381">
        <v>0</v>
      </c>
      <c r="O1381">
        <v>0</v>
      </c>
    </row>
    <row r="1382" spans="1:15" hidden="1" x14ac:dyDescent="0.25">
      <c r="A1382" s="11">
        <v>46043</v>
      </c>
      <c r="B1382" t="s">
        <v>58</v>
      </c>
      <c r="C1382" t="s">
        <v>48</v>
      </c>
      <c r="D1382">
        <v>18</v>
      </c>
      <c r="E1382">
        <v>18</v>
      </c>
      <c r="F1382">
        <v>23.34</v>
      </c>
      <c r="G1382">
        <v>0</v>
      </c>
      <c r="H1382">
        <v>0</v>
      </c>
      <c r="I1382" s="3">
        <f>E1382+G1382+H1382</f>
        <v>18</v>
      </c>
      <c r="J1382" s="3">
        <f>ROUND(MIN(IF(C1382="Técnico III",35,IF(C1382="Técnico II",28,IF(C1382="Técnico I",23,IF(C1382="JR",20,IF(C1382="Estágio",10,0))))),IF(C1382="Técnico III",SUMIFS($D:$D,$A:$A,$A1382,$B:$B,"&lt;&gt;Patrícia Karla de Sousa Araújo",$B:$B,"&lt;&gt;Lorena Dias de Araujo",$B:$B,"&lt;&gt;Lucas Luiz Romero")*(35/1083),IF(C1382="Técnico II",SUMIFS($D:$D,$A:$A,$A1382,$B:$B,"&lt;&gt;Patrícia Karla de Sousa Araújo",$B:$B,"&lt;&gt;Lorena Dias de Araujo",$B:$B,"&lt;&gt;Lucas Luiz Romero")*(28/1083),IF(C1382="Técnico I",SUMIFS($D:$D,$A:$A,$A1382,$B:$B,"&lt;&gt;Patrícia Karla de Sousa Araújo",$B:$B,"&lt;&gt;Lorena Dias de Araujo",$B:$B,"&lt;&gt;Lucas Luiz Romero")*(23/1083),IF(C1382="JR",SUMIFS($D:$D,$A:$A,$A1382,$B:$B,"&lt;&gt;Patrícia Karla de Sousa Araújo",$B:$B,"&lt;&gt;Lorena Dias de Araujo",$B:$B,"&lt;&gt;Lucas Luiz Romero")*(20/1083),IF(C1382="Estágio",SUMIFS($D:$D,$A:$A,$A1382,$B:$B,"&lt;&gt;Patrícia Karla de Sousa Araújo",$B:$B,"&lt;&gt;Lorena Dias de Araujo",$B:$B,"&lt;&gt;Lucas Luiz Romero")*(10/1083),0)))))),0)</f>
        <v>16</v>
      </c>
      <c r="K1382" s="3">
        <f>I1382-J1382</f>
        <v>2</v>
      </c>
      <c r="L1382" s="3" t="str">
        <f>IF(K1382&lt;-5,"CRÍTICO",IF(K1382&lt;0,"ATENÇÃO",IF(K1382&lt;=5,"BOM","EXCELENTE")))</f>
        <v>BOM</v>
      </c>
      <c r="M1382">
        <v>16</v>
      </c>
      <c r="N1382">
        <v>97.56</v>
      </c>
      <c r="O1382">
        <v>31.067961165048541</v>
      </c>
    </row>
    <row r="1383" spans="1:15" hidden="1" x14ac:dyDescent="0.25">
      <c r="A1383" s="11">
        <v>46043</v>
      </c>
      <c r="B1383" t="s">
        <v>29</v>
      </c>
      <c r="C1383" t="s">
        <v>26</v>
      </c>
      <c r="D1383">
        <v>0</v>
      </c>
      <c r="E1383">
        <v>0</v>
      </c>
      <c r="F1383">
        <v>0</v>
      </c>
      <c r="G1383">
        <v>0</v>
      </c>
      <c r="H1383">
        <v>0</v>
      </c>
      <c r="I1383" s="3">
        <v>0</v>
      </c>
      <c r="J1383" s="3">
        <v>0</v>
      </c>
      <c r="K1383" s="3">
        <v>0</v>
      </c>
      <c r="L1383" s="3" t="str">
        <f>IF(K1383&lt;-5,"CRÍTICO",IF(K1383&lt;0,"ATENÇÃO",IF(K1383&lt;=5,"BOM","EXCELENTE")))</f>
        <v>BOM</v>
      </c>
      <c r="M1383">
        <v>0</v>
      </c>
      <c r="N1383">
        <v>0</v>
      </c>
      <c r="O1383">
        <v>0</v>
      </c>
    </row>
    <row r="1384" spans="1:15" hidden="1" x14ac:dyDescent="0.25">
      <c r="A1384" s="11">
        <v>46043</v>
      </c>
      <c r="B1384" t="s">
        <v>30</v>
      </c>
      <c r="C1384" t="s">
        <v>26</v>
      </c>
      <c r="D1384">
        <v>0</v>
      </c>
      <c r="E1384">
        <v>0</v>
      </c>
      <c r="F1384">
        <v>0</v>
      </c>
      <c r="G1384">
        <v>0</v>
      </c>
      <c r="H1384">
        <v>0</v>
      </c>
      <c r="I1384" s="3">
        <v>0</v>
      </c>
      <c r="J1384" s="3">
        <v>0</v>
      </c>
      <c r="K1384" s="3">
        <v>0</v>
      </c>
      <c r="L1384" s="3" t="str">
        <f>IF(K1384&lt;-5,"CRÍTICO",IF(K1384&lt;0,"ATENÇÃO",IF(K1384&lt;=5,"BOM","EXCELENTE")))</f>
        <v>BOM</v>
      </c>
      <c r="M1384">
        <v>0</v>
      </c>
      <c r="N1384">
        <v>0</v>
      </c>
      <c r="O1384">
        <v>0</v>
      </c>
    </row>
    <row r="1385" spans="1:15" hidden="1" x14ac:dyDescent="0.25">
      <c r="A1385" s="11">
        <v>46043</v>
      </c>
      <c r="B1385" t="s">
        <v>21</v>
      </c>
      <c r="C1385" t="s">
        <v>16</v>
      </c>
      <c r="D1385">
        <v>0</v>
      </c>
      <c r="E1385">
        <v>0</v>
      </c>
      <c r="F1385">
        <v>0</v>
      </c>
      <c r="G1385">
        <v>0</v>
      </c>
      <c r="H1385">
        <v>0</v>
      </c>
      <c r="I1385" s="3">
        <v>0</v>
      </c>
      <c r="J1385" s="3">
        <v>0</v>
      </c>
      <c r="K1385" s="3">
        <v>0</v>
      </c>
      <c r="L1385" s="3" t="str">
        <f>IF(K1385&lt;-5,"CRÍTICO",IF(K1385&lt;0,"ATENÇÃO",IF(K1385&lt;=5,"BOM","EXCELENTE")))</f>
        <v>BOM</v>
      </c>
      <c r="M1385">
        <v>0</v>
      </c>
      <c r="N1385">
        <v>0</v>
      </c>
      <c r="O1385">
        <v>0</v>
      </c>
    </row>
    <row r="1386" spans="1:15" hidden="1" x14ac:dyDescent="0.25">
      <c r="A1386" s="11">
        <v>46043</v>
      </c>
      <c r="B1386" t="s">
        <v>63</v>
      </c>
      <c r="C1386" t="s">
        <v>23</v>
      </c>
      <c r="D1386">
        <v>0</v>
      </c>
      <c r="E1386">
        <v>0</v>
      </c>
      <c r="F1386">
        <v>0</v>
      </c>
      <c r="G1386">
        <v>0</v>
      </c>
      <c r="H1386">
        <v>0</v>
      </c>
      <c r="I1386" s="3">
        <v>0</v>
      </c>
      <c r="J1386" s="3">
        <v>0</v>
      </c>
      <c r="K1386" s="3">
        <v>0</v>
      </c>
      <c r="L1386" s="3" t="str">
        <f>IF(K1386&lt;-5,"CRÍTICO",IF(K1386&lt;0,"ATENÇÃO",IF(K1386&lt;=5,"BOM","EXCELENTE")))</f>
        <v>BOM</v>
      </c>
      <c r="M1386">
        <v>0</v>
      </c>
      <c r="N1386">
        <v>100</v>
      </c>
      <c r="O1386">
        <v>53.846153846153847</v>
      </c>
    </row>
    <row r="1387" spans="1:15" hidden="1" x14ac:dyDescent="0.25">
      <c r="A1387" s="11">
        <v>46043</v>
      </c>
      <c r="B1387" t="s">
        <v>45</v>
      </c>
      <c r="C1387" t="s">
        <v>32</v>
      </c>
      <c r="D1387">
        <v>24</v>
      </c>
      <c r="E1387">
        <v>20</v>
      </c>
      <c r="F1387">
        <v>14.06</v>
      </c>
      <c r="G1387">
        <v>0</v>
      </c>
      <c r="H1387">
        <v>0</v>
      </c>
      <c r="I1387" s="3">
        <f>E1387+G1387+H1387</f>
        <v>20</v>
      </c>
      <c r="J1387" s="3">
        <f>ROUND(MIN(IF(C1387="Técnico III",35,IF(C1387="Técnico II",28,IF(C1387="Técnico I",23,IF(C1387="JR",20,IF(C1387="Estágio",10,0))))),IF(C1387="Técnico III",SUMIFS($D:$D,$A:$A,$A1387,$B:$B,"&lt;&gt;Patrícia Karla de Sousa Araújo",$B:$B,"&lt;&gt;Lorena Dias de Araujo",$B:$B,"&lt;&gt;Lucas Luiz Romero")*(35/1083),IF(C1387="Técnico II",SUMIFS($D:$D,$A:$A,$A1387,$B:$B,"&lt;&gt;Patrícia Karla de Sousa Araújo",$B:$B,"&lt;&gt;Lorena Dias de Araujo",$B:$B,"&lt;&gt;Lucas Luiz Romero")*(28/1083),IF(C1387="Técnico I",SUMIFS($D:$D,$A:$A,$A1387,$B:$B,"&lt;&gt;Patrícia Karla de Sousa Araújo",$B:$B,"&lt;&gt;Lorena Dias de Araujo",$B:$B,"&lt;&gt;Lucas Luiz Romero")*(23/1083),IF(C1387="JR",SUMIFS($D:$D,$A:$A,$A1387,$B:$B,"&lt;&gt;Patrícia Karla de Sousa Araújo",$B:$B,"&lt;&gt;Lorena Dias de Araujo",$B:$B,"&lt;&gt;Lucas Luiz Romero")*(20/1083),IF(C1387="Estágio",SUMIFS($D:$D,$A:$A,$A1387,$B:$B,"&lt;&gt;Patrícia Karla de Sousa Araújo",$B:$B,"&lt;&gt;Lorena Dias de Araujo",$B:$B,"&lt;&gt;Lucas Luiz Romero")*(10/1083),0)))))),0)</f>
        <v>20</v>
      </c>
      <c r="K1387" s="3">
        <f>I1387-J1387</f>
        <v>0</v>
      </c>
      <c r="L1387" s="3" t="str">
        <f>IF(K1387&lt;-5,"CRÍTICO",IF(K1387&lt;0,"ATENÇÃO",IF(K1387&lt;=5,"BOM","EXCELENTE")))</f>
        <v>BOM</v>
      </c>
      <c r="M1387">
        <v>19</v>
      </c>
      <c r="N1387">
        <v>100</v>
      </c>
      <c r="O1387">
        <v>44.05594405594406</v>
      </c>
    </row>
    <row r="1388" spans="1:15" hidden="1" x14ac:dyDescent="0.25">
      <c r="A1388" s="11">
        <v>46043</v>
      </c>
      <c r="B1388" t="s">
        <v>64</v>
      </c>
      <c r="C1388" t="s">
        <v>23</v>
      </c>
      <c r="D1388">
        <v>14</v>
      </c>
      <c r="E1388">
        <v>14</v>
      </c>
      <c r="F1388">
        <v>31.53</v>
      </c>
      <c r="G1388">
        <v>0</v>
      </c>
      <c r="H1388">
        <v>0</v>
      </c>
      <c r="I1388" s="3">
        <f>E1388+G1388+H1388</f>
        <v>14</v>
      </c>
      <c r="J1388" s="3">
        <f>ROUND(MIN(IF(C1388="Técnico III",35,IF(C1388="Técnico II",28,IF(C1388="Técnico I",23,IF(C1388="JR",20,IF(C1388="Estágio",10,0))))),IF(C1388="Técnico III",SUMIFS($D:$D,$A:$A,$A1388,$B:$B,"&lt;&gt;Patrícia Karla de Sousa Araújo",$B:$B,"&lt;&gt;Lorena Dias de Araujo",$B:$B,"&lt;&gt;Lucas Luiz Romero")*(35/1083),IF(C1388="Técnico II",SUMIFS($D:$D,$A:$A,$A1388,$B:$B,"&lt;&gt;Patrícia Karla de Sousa Araújo",$B:$B,"&lt;&gt;Lorena Dias de Araujo",$B:$B,"&lt;&gt;Lucas Luiz Romero")*(28/1083),IF(C1388="Técnico I",SUMIFS($D:$D,$A:$A,$A1388,$B:$B,"&lt;&gt;Patrícia Karla de Sousa Araújo",$B:$B,"&lt;&gt;Lorena Dias de Araujo",$B:$B,"&lt;&gt;Lucas Luiz Romero")*(23/1083),IF(C1388="JR",SUMIFS($D:$D,$A:$A,$A1388,$B:$B,"&lt;&gt;Patrícia Karla de Sousa Araújo",$B:$B,"&lt;&gt;Lorena Dias de Araujo",$B:$B,"&lt;&gt;Lucas Luiz Romero")*(20/1083),IF(C1388="Estágio",SUMIFS($D:$D,$A:$A,$A1388,$B:$B,"&lt;&gt;Patrícia Karla de Sousa Araújo",$B:$B,"&lt;&gt;Lorena Dias de Araujo",$B:$B,"&lt;&gt;Lucas Luiz Romero")*(10/1083),0)))))),0)</f>
        <v>13</v>
      </c>
      <c r="K1388" s="3">
        <f>I1388-J1388</f>
        <v>1</v>
      </c>
      <c r="L1388" s="3" t="str">
        <f>IF(K1388&lt;-5,"CRÍTICO",IF(K1388&lt;0,"ATENÇÃO",IF(K1388&lt;=5,"BOM","EXCELENTE")))</f>
        <v>BOM</v>
      </c>
      <c r="M1388">
        <v>15</v>
      </c>
      <c r="N1388">
        <v>100</v>
      </c>
      <c r="O1388">
        <v>31.872509960159359</v>
      </c>
    </row>
    <row r="1389" spans="1:15" hidden="1" x14ac:dyDescent="0.25">
      <c r="A1389" s="11">
        <v>46043</v>
      </c>
      <c r="B1389" t="s">
        <v>46</v>
      </c>
      <c r="C1389" t="s">
        <v>32</v>
      </c>
      <c r="D1389">
        <v>19</v>
      </c>
      <c r="E1389">
        <v>18</v>
      </c>
      <c r="F1389">
        <v>18.45</v>
      </c>
      <c r="G1389">
        <v>0</v>
      </c>
      <c r="H1389">
        <v>0</v>
      </c>
      <c r="I1389" s="3">
        <f>E1389+G1389+H1389</f>
        <v>18</v>
      </c>
      <c r="J1389" s="3">
        <f>ROUND(MIN(IF(C1389="Técnico III",35,IF(C1389="Técnico II",28,IF(C1389="Técnico I",23,IF(C1389="JR",20,IF(C1389="Estágio",10,0))))),IF(C1389="Técnico III",SUMIFS($D:$D,$A:$A,$A1389,$B:$B,"&lt;&gt;Patrícia Karla de Sousa Araújo",$B:$B,"&lt;&gt;Lorena Dias de Araujo",$B:$B,"&lt;&gt;Lucas Luiz Romero")*(35/1083),IF(C1389="Técnico II",SUMIFS($D:$D,$A:$A,$A1389,$B:$B,"&lt;&gt;Patrícia Karla de Sousa Araújo",$B:$B,"&lt;&gt;Lorena Dias de Araujo",$B:$B,"&lt;&gt;Lucas Luiz Romero")*(28/1083),IF(C1389="Técnico I",SUMIFS($D:$D,$A:$A,$A1389,$B:$B,"&lt;&gt;Patrícia Karla de Sousa Araújo",$B:$B,"&lt;&gt;Lorena Dias de Araujo",$B:$B,"&lt;&gt;Lucas Luiz Romero")*(23/1083),IF(C1389="JR",SUMIFS($D:$D,$A:$A,$A1389,$B:$B,"&lt;&gt;Patrícia Karla de Sousa Araújo",$B:$B,"&lt;&gt;Lorena Dias de Araujo",$B:$B,"&lt;&gt;Lucas Luiz Romero")*(20/1083),IF(C1389="Estágio",SUMIFS($D:$D,$A:$A,$A1389,$B:$B,"&lt;&gt;Patrícia Karla de Sousa Araújo",$B:$B,"&lt;&gt;Lorena Dias de Araujo",$B:$B,"&lt;&gt;Lucas Luiz Romero")*(10/1083),0)))))),0)</f>
        <v>20</v>
      </c>
      <c r="K1389" s="3">
        <f>I1389-J1389</f>
        <v>-2</v>
      </c>
      <c r="L1389" s="3" t="str">
        <f>IF(K1389&lt;-5,"CRÍTICO",IF(K1389&lt;0,"ATENÇÃO",IF(K1389&lt;=5,"BOM","EXCELENTE")))</f>
        <v>ATENÇÃO</v>
      </c>
      <c r="M1389">
        <v>17</v>
      </c>
      <c r="N1389">
        <v>98.41</v>
      </c>
      <c r="O1389">
        <v>29.22465208747515</v>
      </c>
    </row>
    <row r="1390" spans="1:15" hidden="1" x14ac:dyDescent="0.25">
      <c r="A1390" s="11">
        <v>46044</v>
      </c>
      <c r="B1390" t="s">
        <v>47</v>
      </c>
      <c r="C1390" t="s">
        <v>48</v>
      </c>
      <c r="D1390">
        <v>33</v>
      </c>
      <c r="E1390">
        <v>23</v>
      </c>
      <c r="F1390">
        <v>8.2100000000000009</v>
      </c>
      <c r="G1390">
        <v>0</v>
      </c>
      <c r="H1390">
        <v>0</v>
      </c>
      <c r="I1390" s="3">
        <f>E1390+G1390+H1390</f>
        <v>23</v>
      </c>
      <c r="J1390" s="3">
        <f>ROUND(MIN(IF(C1390="Técnico III",35,IF(C1390="Técnico II",28,IF(C1390="Técnico I",23,IF(C1390="JR",20,IF(C1390="Estágio",10,0))))),IF(C1390="Técnico III",SUMIFS($D:$D,$A:$A,$A1390,$B:$B,"&lt;&gt;Patrícia Karla de Sousa Araújo",$B:$B,"&lt;&gt;Lorena Dias de Araujo",$B:$B,"&lt;&gt;Lucas Luiz Romero")*(35/1083),IF(C1390="Técnico II",SUMIFS($D:$D,$A:$A,$A1390,$B:$B,"&lt;&gt;Patrícia Karla de Sousa Araújo",$B:$B,"&lt;&gt;Lorena Dias de Araujo",$B:$B,"&lt;&gt;Lucas Luiz Romero")*(28/1083),IF(C1390="Técnico I",SUMIFS($D:$D,$A:$A,$A1390,$B:$B,"&lt;&gt;Patrícia Karla de Sousa Araújo",$B:$B,"&lt;&gt;Lorena Dias de Araujo",$B:$B,"&lt;&gt;Lucas Luiz Romero")*(23/1083),IF(C1390="JR",SUMIFS($D:$D,$A:$A,$A1390,$B:$B,"&lt;&gt;Patrícia Karla de Sousa Araújo",$B:$B,"&lt;&gt;Lorena Dias de Araujo",$B:$B,"&lt;&gt;Lucas Luiz Romero")*(20/1083),IF(C1390="Estágio",SUMIFS($D:$D,$A:$A,$A1390,$B:$B,"&lt;&gt;Patrícia Karla de Sousa Araújo",$B:$B,"&lt;&gt;Lorena Dias de Araujo",$B:$B,"&lt;&gt;Lucas Luiz Romero")*(10/1083),0)))))),0)</f>
        <v>17</v>
      </c>
      <c r="K1390" s="3">
        <f>I1390-J1390</f>
        <v>6</v>
      </c>
      <c r="L1390" s="3" t="str">
        <f>IF(K1390&lt;-5,"CRÍTICO",IF(K1390&lt;0,"ATENÇÃO",IF(K1390&lt;=5,"BOM","EXCELENTE")))</f>
        <v>EXCELENTE</v>
      </c>
      <c r="M1390">
        <v>15</v>
      </c>
      <c r="N1390">
        <v>96.81</v>
      </c>
      <c r="O1390">
        <v>27.980535279805348</v>
      </c>
    </row>
    <row r="1391" spans="1:15" hidden="1" x14ac:dyDescent="0.25">
      <c r="A1391" s="11">
        <v>46044</v>
      </c>
      <c r="B1391" t="s">
        <v>31</v>
      </c>
      <c r="C1391" t="s">
        <v>32</v>
      </c>
      <c r="D1391">
        <v>0</v>
      </c>
      <c r="E1391">
        <v>0</v>
      </c>
      <c r="F1391">
        <v>0</v>
      </c>
      <c r="G1391">
        <v>0</v>
      </c>
      <c r="H1391">
        <v>0</v>
      </c>
      <c r="I1391" s="3">
        <v>0</v>
      </c>
      <c r="J1391" s="3">
        <v>0</v>
      </c>
      <c r="K1391" s="3">
        <v>0</v>
      </c>
      <c r="L1391" s="3" t="str">
        <f>IF(K1391&lt;-5,"CRÍTICO",IF(K1391&lt;0,"ATENÇÃO",IF(K1391&lt;=5,"BOM","EXCELENTE")))</f>
        <v>BOM</v>
      </c>
      <c r="M1391">
        <v>27</v>
      </c>
      <c r="N1391">
        <v>98.73</v>
      </c>
      <c r="O1391">
        <v>35.756385068762278</v>
      </c>
    </row>
    <row r="1392" spans="1:15" hidden="1" x14ac:dyDescent="0.25">
      <c r="A1392" s="11">
        <v>46044</v>
      </c>
      <c r="B1392" t="s">
        <v>59</v>
      </c>
      <c r="C1392" t="s">
        <v>23</v>
      </c>
      <c r="D1392">
        <v>22</v>
      </c>
      <c r="E1392">
        <v>18</v>
      </c>
      <c r="F1392">
        <v>24.07</v>
      </c>
      <c r="G1392">
        <v>0</v>
      </c>
      <c r="H1392">
        <v>0</v>
      </c>
      <c r="I1392" s="3">
        <f>E1392+G1392+H1392</f>
        <v>18</v>
      </c>
      <c r="J1392" s="3">
        <f>ROUND(MIN(IF(C1392="Técnico III",35,IF(C1392="Técnico II",28,IF(C1392="Técnico I",23,IF(C1392="JR",20,IF(C1392="Estágio",10,0))))),IF(C1392="Técnico III",SUMIFS($D:$D,$A:$A,$A1392,$B:$B,"&lt;&gt;Patrícia Karla de Sousa Araújo",$B:$B,"&lt;&gt;Lorena Dias de Araujo",$B:$B,"&lt;&gt;Lucas Luiz Romero")*(35/1083),IF(C1392="Técnico II",SUMIFS($D:$D,$A:$A,$A1392,$B:$B,"&lt;&gt;Patrícia Karla de Sousa Araújo",$B:$B,"&lt;&gt;Lorena Dias de Araujo",$B:$B,"&lt;&gt;Lucas Luiz Romero")*(28/1083),IF(C1392="Técnico I",SUMIFS($D:$D,$A:$A,$A1392,$B:$B,"&lt;&gt;Patrícia Karla de Sousa Araújo",$B:$B,"&lt;&gt;Lorena Dias de Araujo",$B:$B,"&lt;&gt;Lucas Luiz Romero")*(23/1083),IF(C1392="JR",SUMIFS($D:$D,$A:$A,$A1392,$B:$B,"&lt;&gt;Patrícia Karla de Sousa Araújo",$B:$B,"&lt;&gt;Lorena Dias de Araujo",$B:$B,"&lt;&gt;Lucas Luiz Romero")*(20/1083),IF(C1392="Estágio",SUMIFS($D:$D,$A:$A,$A1392,$B:$B,"&lt;&gt;Patrícia Karla de Sousa Araújo",$B:$B,"&lt;&gt;Lorena Dias de Araujo",$B:$B,"&lt;&gt;Lucas Luiz Romero")*(10/1083),0)))))),0)</f>
        <v>14</v>
      </c>
      <c r="K1392" s="3">
        <f>I1392-J1392</f>
        <v>4</v>
      </c>
      <c r="L1392" s="3" t="str">
        <f>IF(K1392&lt;-5,"CRÍTICO",IF(K1392&lt;0,"ATENÇÃO",IF(K1392&lt;=5,"BOM","EXCELENTE")))</f>
        <v>BOM</v>
      </c>
      <c r="M1392">
        <v>20</v>
      </c>
      <c r="N1392">
        <v>98.32</v>
      </c>
      <c r="O1392">
        <v>26.763485477178421</v>
      </c>
    </row>
    <row r="1393" spans="1:15" hidden="1" x14ac:dyDescent="0.25">
      <c r="A1393" s="11">
        <v>46044</v>
      </c>
      <c r="B1393" t="s">
        <v>33</v>
      </c>
      <c r="C1393" t="s">
        <v>32</v>
      </c>
      <c r="D1393">
        <v>35</v>
      </c>
      <c r="E1393">
        <v>29</v>
      </c>
      <c r="F1393">
        <v>12.22</v>
      </c>
      <c r="G1393">
        <v>0</v>
      </c>
      <c r="H1393">
        <v>0</v>
      </c>
      <c r="I1393" s="3">
        <f>E1393+G1393+H1393</f>
        <v>29</v>
      </c>
      <c r="J1393" s="3">
        <f>ROUND(MIN(IF(C1393="Técnico III",35,IF(C1393="Técnico II",28,IF(C1393="Técnico I",23,IF(C1393="JR",20,IF(C1393="Estágio",10,0))))),IF(C1393="Técnico III",SUMIFS($D:$D,$A:$A,$A1393,$B:$B,"&lt;&gt;Patrícia Karla de Sousa Araújo",$B:$B,"&lt;&gt;Lorena Dias de Araujo",$B:$B,"&lt;&gt;Lucas Luiz Romero")*(35/1083),IF(C1393="Técnico II",SUMIFS($D:$D,$A:$A,$A1393,$B:$B,"&lt;&gt;Patrícia Karla de Sousa Araújo",$B:$B,"&lt;&gt;Lorena Dias de Araujo",$B:$B,"&lt;&gt;Lucas Luiz Romero")*(28/1083),IF(C1393="Técnico I",SUMIFS($D:$D,$A:$A,$A1393,$B:$B,"&lt;&gt;Patrícia Karla de Sousa Araújo",$B:$B,"&lt;&gt;Lorena Dias de Araujo",$B:$B,"&lt;&gt;Lucas Luiz Romero")*(23/1083),IF(C1393="JR",SUMIFS($D:$D,$A:$A,$A1393,$B:$B,"&lt;&gt;Patrícia Karla de Sousa Araújo",$B:$B,"&lt;&gt;Lorena Dias de Araujo",$B:$B,"&lt;&gt;Lucas Luiz Romero")*(20/1083),IF(C1393="Estágio",SUMIFS($D:$D,$A:$A,$A1393,$B:$B,"&lt;&gt;Patrícia Karla de Sousa Araújo",$B:$B,"&lt;&gt;Lorena Dias de Araujo",$B:$B,"&lt;&gt;Lucas Luiz Romero")*(10/1083),0)))))),0)</f>
        <v>22</v>
      </c>
      <c r="K1393" s="3">
        <f>I1393-J1393</f>
        <v>7</v>
      </c>
      <c r="L1393" s="3" t="str">
        <f>IF(K1393&lt;-5,"CRÍTICO",IF(K1393&lt;0,"ATENÇÃO",IF(K1393&lt;=5,"BOM","EXCELENTE")))</f>
        <v>EXCELENTE</v>
      </c>
      <c r="M1393">
        <v>29</v>
      </c>
      <c r="N1393">
        <v>99.19</v>
      </c>
      <c r="O1393">
        <v>27.637130801687761</v>
      </c>
    </row>
    <row r="1394" spans="1:15" hidden="1" x14ac:dyDescent="0.25">
      <c r="A1394" s="11">
        <v>46044</v>
      </c>
      <c r="B1394" t="s">
        <v>15</v>
      </c>
      <c r="C1394" t="s">
        <v>16</v>
      </c>
      <c r="D1394">
        <v>9</v>
      </c>
      <c r="E1394">
        <v>9</v>
      </c>
      <c r="F1394">
        <v>26.48</v>
      </c>
      <c r="G1394">
        <v>0</v>
      </c>
      <c r="H1394">
        <v>0</v>
      </c>
      <c r="I1394" s="3">
        <f>E1394+G1394+H1394</f>
        <v>9</v>
      </c>
      <c r="J1394" s="3">
        <f>ROUND(MIN(IF(C1394="Técnico III",35,IF(C1394="Técnico II",28,IF(C1394="Técnico I",23,IF(C1394="JR",20,IF(C1394="Estágio",10,0))))),IF(C1394="Técnico III",SUMIFS($D:$D,$A:$A,$A1394,$B:$B,"&lt;&gt;Patrícia Karla de Sousa Araújo",$B:$B,"&lt;&gt;Lorena Dias de Araujo",$B:$B,"&lt;&gt;Lucas Luiz Romero")*(35/1083),IF(C1394="Técnico II",SUMIFS($D:$D,$A:$A,$A1394,$B:$B,"&lt;&gt;Patrícia Karla de Sousa Araújo",$B:$B,"&lt;&gt;Lorena Dias de Araujo",$B:$B,"&lt;&gt;Lucas Luiz Romero")*(28/1083),IF(C1394="Técnico I",SUMIFS($D:$D,$A:$A,$A1394,$B:$B,"&lt;&gt;Patrícia Karla de Sousa Araújo",$B:$B,"&lt;&gt;Lorena Dias de Araujo",$B:$B,"&lt;&gt;Lucas Luiz Romero")*(23/1083),IF(C1394="JR",SUMIFS($D:$D,$A:$A,$A1394,$B:$B,"&lt;&gt;Patrícia Karla de Sousa Araújo",$B:$B,"&lt;&gt;Lorena Dias de Araujo",$B:$B,"&lt;&gt;Lucas Luiz Romero")*(20/1083),IF(C1394="Estágio",SUMIFS($D:$D,$A:$A,$A1394,$B:$B,"&lt;&gt;Patrícia Karla de Sousa Araújo",$B:$B,"&lt;&gt;Lorena Dias de Araujo",$B:$B,"&lt;&gt;Lucas Luiz Romero")*(10/1083),0)))))),0)</f>
        <v>6</v>
      </c>
      <c r="K1394" s="3">
        <f>I1394-J1394</f>
        <v>3</v>
      </c>
      <c r="L1394" s="3" t="str">
        <f>IF(K1394&lt;-5,"CRÍTICO",IF(K1394&lt;0,"ATENÇÃO",IF(K1394&lt;=5,"BOM","EXCELENTE")))</f>
        <v>BOM</v>
      </c>
      <c r="M1394">
        <v>9</v>
      </c>
      <c r="N1394">
        <v>100</v>
      </c>
      <c r="O1394">
        <v>39.568345323741013</v>
      </c>
    </row>
    <row r="1395" spans="1:15" hidden="1" x14ac:dyDescent="0.25">
      <c r="A1395" s="11">
        <v>46044</v>
      </c>
      <c r="B1395" t="s">
        <v>49</v>
      </c>
      <c r="C1395" t="s">
        <v>48</v>
      </c>
      <c r="D1395">
        <v>32</v>
      </c>
      <c r="E1395">
        <v>26</v>
      </c>
      <c r="F1395">
        <v>11.5</v>
      </c>
      <c r="G1395">
        <v>0</v>
      </c>
      <c r="H1395">
        <v>0</v>
      </c>
      <c r="I1395" s="3">
        <f>E1395+G1395+H1395</f>
        <v>26</v>
      </c>
      <c r="J1395" s="3">
        <f>ROUND(MIN(IF(C1395="Técnico III",35,IF(C1395="Técnico II",28,IF(C1395="Técnico I",23,IF(C1395="JR",20,IF(C1395="Estágio",10,0))))),IF(C1395="Técnico III",SUMIFS($D:$D,$A:$A,$A1395,$B:$B,"&lt;&gt;Patrícia Karla de Sousa Araújo",$B:$B,"&lt;&gt;Lorena Dias de Araujo",$B:$B,"&lt;&gt;Lucas Luiz Romero")*(35/1083),IF(C1395="Técnico II",SUMIFS($D:$D,$A:$A,$A1395,$B:$B,"&lt;&gt;Patrícia Karla de Sousa Araújo",$B:$B,"&lt;&gt;Lorena Dias de Araujo",$B:$B,"&lt;&gt;Lucas Luiz Romero")*(28/1083),IF(C1395="Técnico I",SUMIFS($D:$D,$A:$A,$A1395,$B:$B,"&lt;&gt;Patrícia Karla de Sousa Araújo",$B:$B,"&lt;&gt;Lorena Dias de Araujo",$B:$B,"&lt;&gt;Lucas Luiz Romero")*(23/1083),IF(C1395="JR",SUMIFS($D:$D,$A:$A,$A1395,$B:$B,"&lt;&gt;Patrícia Karla de Sousa Araújo",$B:$B,"&lt;&gt;Lorena Dias de Araujo",$B:$B,"&lt;&gt;Lucas Luiz Romero")*(20/1083),IF(C1395="Estágio",SUMIFS($D:$D,$A:$A,$A1395,$B:$B,"&lt;&gt;Patrícia Karla de Sousa Araújo",$B:$B,"&lt;&gt;Lorena Dias de Araujo",$B:$B,"&lt;&gt;Lucas Luiz Romero")*(10/1083),0)))))),0)</f>
        <v>17</v>
      </c>
      <c r="K1395" s="3">
        <f>I1395-J1395</f>
        <v>9</v>
      </c>
      <c r="L1395" s="3" t="str">
        <f>IF(K1395&lt;-5,"CRÍTICO",IF(K1395&lt;0,"ATENÇÃO",IF(K1395&lt;=5,"BOM","EXCELENTE")))</f>
        <v>EXCELENTE</v>
      </c>
      <c r="M1395">
        <v>25</v>
      </c>
      <c r="N1395">
        <v>98.54</v>
      </c>
      <c r="O1395">
        <v>28.544776119402989</v>
      </c>
    </row>
    <row r="1396" spans="1:15" hidden="1" x14ac:dyDescent="0.25">
      <c r="A1396" s="11">
        <v>46044</v>
      </c>
      <c r="B1396" t="s">
        <v>50</v>
      </c>
      <c r="C1396" t="s">
        <v>48</v>
      </c>
      <c r="D1396">
        <v>15</v>
      </c>
      <c r="E1396">
        <v>15</v>
      </c>
      <c r="F1396">
        <v>25.08</v>
      </c>
      <c r="G1396">
        <v>0</v>
      </c>
      <c r="H1396">
        <v>0</v>
      </c>
      <c r="I1396" s="3">
        <f>E1396+G1396+H1396</f>
        <v>15</v>
      </c>
      <c r="J1396" s="3">
        <f>ROUND(MIN(IF(C1396="Técnico III",35,IF(C1396="Técnico II",28,IF(C1396="Técnico I",23,IF(C1396="JR",20,IF(C1396="Estágio",10,0))))),IF(C1396="Técnico III",SUMIFS($D:$D,$A:$A,$A1396,$B:$B,"&lt;&gt;Patrícia Karla de Sousa Araújo",$B:$B,"&lt;&gt;Lorena Dias de Araujo",$B:$B,"&lt;&gt;Lucas Luiz Romero")*(35/1083),IF(C1396="Técnico II",SUMIFS($D:$D,$A:$A,$A1396,$B:$B,"&lt;&gt;Patrícia Karla de Sousa Araújo",$B:$B,"&lt;&gt;Lorena Dias de Araujo",$B:$B,"&lt;&gt;Lucas Luiz Romero")*(28/1083),IF(C1396="Técnico I",SUMIFS($D:$D,$A:$A,$A1396,$B:$B,"&lt;&gt;Patrícia Karla de Sousa Araújo",$B:$B,"&lt;&gt;Lorena Dias de Araujo",$B:$B,"&lt;&gt;Lucas Luiz Romero")*(23/1083),IF(C1396="JR",SUMIFS($D:$D,$A:$A,$A1396,$B:$B,"&lt;&gt;Patrícia Karla de Sousa Araújo",$B:$B,"&lt;&gt;Lorena Dias de Araujo",$B:$B,"&lt;&gt;Lucas Luiz Romero")*(20/1083),IF(C1396="Estágio",SUMIFS($D:$D,$A:$A,$A1396,$B:$B,"&lt;&gt;Patrícia Karla de Sousa Araújo",$B:$B,"&lt;&gt;Lorena Dias de Araujo",$B:$B,"&lt;&gt;Lucas Luiz Romero")*(10/1083),0)))))),0)</f>
        <v>17</v>
      </c>
      <c r="K1396" s="3">
        <f>I1396-J1396</f>
        <v>-2</v>
      </c>
      <c r="L1396" s="3" t="str">
        <f>IF(K1396&lt;-5,"CRÍTICO",IF(K1396&lt;0,"ATENÇÃO",IF(K1396&lt;=5,"BOM","EXCELENTE")))</f>
        <v>ATENÇÃO</v>
      </c>
      <c r="M1396">
        <v>14</v>
      </c>
      <c r="N1396">
        <v>100</v>
      </c>
      <c r="O1396">
        <v>34.366925064599492</v>
      </c>
    </row>
    <row r="1397" spans="1:15" hidden="1" x14ac:dyDescent="0.25">
      <c r="A1397" s="11">
        <v>46044</v>
      </c>
      <c r="B1397" t="s">
        <v>17</v>
      </c>
      <c r="C1397" t="s">
        <v>16</v>
      </c>
      <c r="D1397">
        <v>0</v>
      </c>
      <c r="E1397">
        <v>0</v>
      </c>
      <c r="F1397">
        <v>0</v>
      </c>
      <c r="G1397">
        <v>0</v>
      </c>
      <c r="H1397">
        <v>0</v>
      </c>
      <c r="I1397" s="3">
        <v>0</v>
      </c>
      <c r="J1397" s="3">
        <v>0</v>
      </c>
      <c r="K1397" s="3">
        <v>0</v>
      </c>
      <c r="L1397" s="3" t="str">
        <f>IF(K1397&lt;-5,"CRÍTICO",IF(K1397&lt;0,"ATENÇÃO",IF(K1397&lt;=5,"BOM","EXCELENTE")))</f>
        <v>BOM</v>
      </c>
      <c r="M1397">
        <v>0</v>
      </c>
      <c r="N1397">
        <v>0</v>
      </c>
      <c r="O1397">
        <v>0</v>
      </c>
    </row>
    <row r="1398" spans="1:15" hidden="1" x14ac:dyDescent="0.25">
      <c r="A1398" s="11">
        <v>46044</v>
      </c>
      <c r="B1398" t="s">
        <v>60</v>
      </c>
      <c r="C1398" t="s">
        <v>23</v>
      </c>
      <c r="D1398">
        <v>23</v>
      </c>
      <c r="E1398">
        <v>22</v>
      </c>
      <c r="F1398">
        <v>20.43</v>
      </c>
      <c r="G1398">
        <v>0</v>
      </c>
      <c r="H1398">
        <v>0</v>
      </c>
      <c r="I1398" s="3">
        <f>E1398+G1398+H1398</f>
        <v>22</v>
      </c>
      <c r="J1398" s="3">
        <f>ROUND(MIN(IF(C1398="Técnico III",35,IF(C1398="Técnico II",28,IF(C1398="Técnico I",23,IF(C1398="JR",20,IF(C1398="Estágio",10,0))))),IF(C1398="Técnico III",SUMIFS($D:$D,$A:$A,$A1398,$B:$B,"&lt;&gt;Patrícia Karla de Sousa Araújo",$B:$B,"&lt;&gt;Lorena Dias de Araujo",$B:$B,"&lt;&gt;Lucas Luiz Romero")*(35/1083),IF(C1398="Técnico II",SUMIFS($D:$D,$A:$A,$A1398,$B:$B,"&lt;&gt;Patrícia Karla de Sousa Araújo",$B:$B,"&lt;&gt;Lorena Dias de Araujo",$B:$B,"&lt;&gt;Lucas Luiz Romero")*(28/1083),IF(C1398="Técnico I",SUMIFS($D:$D,$A:$A,$A1398,$B:$B,"&lt;&gt;Patrícia Karla de Sousa Araújo",$B:$B,"&lt;&gt;Lorena Dias de Araujo",$B:$B,"&lt;&gt;Lucas Luiz Romero")*(23/1083),IF(C1398="JR",SUMIFS($D:$D,$A:$A,$A1398,$B:$B,"&lt;&gt;Patrícia Karla de Sousa Araújo",$B:$B,"&lt;&gt;Lorena Dias de Araujo",$B:$B,"&lt;&gt;Lucas Luiz Romero")*(20/1083),IF(C1398="Estágio",SUMIFS($D:$D,$A:$A,$A1398,$B:$B,"&lt;&gt;Patrícia Karla de Sousa Araújo",$B:$B,"&lt;&gt;Lorena Dias de Araujo",$B:$B,"&lt;&gt;Lucas Luiz Romero")*(10/1083),0)))))),0)</f>
        <v>14</v>
      </c>
      <c r="K1398" s="3">
        <f>I1398-J1398</f>
        <v>8</v>
      </c>
      <c r="L1398" s="3" t="str">
        <f>IF(K1398&lt;-5,"CRÍTICO",IF(K1398&lt;0,"ATENÇÃO",IF(K1398&lt;=5,"BOM","EXCELENTE")))</f>
        <v>EXCELENTE</v>
      </c>
      <c r="M1398">
        <v>21</v>
      </c>
      <c r="N1398">
        <v>100</v>
      </c>
      <c r="O1398">
        <v>29.518072289156631</v>
      </c>
    </row>
    <row r="1399" spans="1:15" hidden="1" x14ac:dyDescent="0.25">
      <c r="A1399" s="11">
        <v>46044</v>
      </c>
      <c r="B1399" t="s">
        <v>34</v>
      </c>
      <c r="C1399" t="s">
        <v>32</v>
      </c>
      <c r="D1399">
        <v>34</v>
      </c>
      <c r="E1399">
        <v>29</v>
      </c>
      <c r="F1399">
        <v>10.210000000000001</v>
      </c>
      <c r="G1399">
        <v>0</v>
      </c>
      <c r="H1399">
        <v>0</v>
      </c>
      <c r="I1399" s="3">
        <f>E1399+G1399+H1399</f>
        <v>29</v>
      </c>
      <c r="J1399" s="3">
        <f>ROUND(MIN(IF(C1399="Técnico III",35,IF(C1399="Técnico II",28,IF(C1399="Técnico I",23,IF(C1399="JR",20,IF(C1399="Estágio",10,0))))),IF(C1399="Técnico III",SUMIFS($D:$D,$A:$A,$A1399,$B:$B,"&lt;&gt;Patrícia Karla de Sousa Araújo",$B:$B,"&lt;&gt;Lorena Dias de Araujo",$B:$B,"&lt;&gt;Lucas Luiz Romero")*(35/1083),IF(C1399="Técnico II",SUMIFS($D:$D,$A:$A,$A1399,$B:$B,"&lt;&gt;Patrícia Karla de Sousa Araújo",$B:$B,"&lt;&gt;Lorena Dias de Araujo",$B:$B,"&lt;&gt;Lucas Luiz Romero")*(28/1083),IF(C1399="Técnico I",SUMIFS($D:$D,$A:$A,$A1399,$B:$B,"&lt;&gt;Patrícia Karla de Sousa Araújo",$B:$B,"&lt;&gt;Lorena Dias de Araujo",$B:$B,"&lt;&gt;Lucas Luiz Romero")*(23/1083),IF(C1399="JR",SUMIFS($D:$D,$A:$A,$A1399,$B:$B,"&lt;&gt;Patrícia Karla de Sousa Araújo",$B:$B,"&lt;&gt;Lorena Dias de Araujo",$B:$B,"&lt;&gt;Lucas Luiz Romero")*(20/1083),IF(C1399="Estágio",SUMIFS($D:$D,$A:$A,$A1399,$B:$B,"&lt;&gt;Patrícia Karla de Sousa Araújo",$B:$B,"&lt;&gt;Lorena Dias de Araujo",$B:$B,"&lt;&gt;Lucas Luiz Romero")*(10/1083),0)))))),0)</f>
        <v>22</v>
      </c>
      <c r="K1399" s="3">
        <f>I1399-J1399</f>
        <v>7</v>
      </c>
      <c r="L1399" s="3" t="str">
        <f>IF(K1399&lt;-5,"CRÍTICO",IF(K1399&lt;0,"ATENÇÃO",IF(K1399&lt;=5,"BOM","EXCELENTE")))</f>
        <v>EXCELENTE</v>
      </c>
      <c r="M1399">
        <v>24</v>
      </c>
      <c r="N1399">
        <v>97.45</v>
      </c>
      <c r="O1399">
        <v>41.421143847487002</v>
      </c>
    </row>
    <row r="1400" spans="1:15" hidden="1" x14ac:dyDescent="0.25">
      <c r="A1400" s="11">
        <v>46044</v>
      </c>
      <c r="B1400" t="s">
        <v>51</v>
      </c>
      <c r="C1400" t="s">
        <v>48</v>
      </c>
      <c r="D1400">
        <v>29</v>
      </c>
      <c r="E1400">
        <v>24</v>
      </c>
      <c r="F1400">
        <v>12.11</v>
      </c>
      <c r="G1400">
        <v>0</v>
      </c>
      <c r="H1400">
        <v>0</v>
      </c>
      <c r="I1400" s="3">
        <v>0</v>
      </c>
      <c r="J1400" s="3">
        <v>0</v>
      </c>
      <c r="K1400" s="3">
        <v>0</v>
      </c>
      <c r="L1400" s="3" t="str">
        <f>IF(K1400&lt;-5,"CRÍTICO",IF(K1400&lt;0,"ATENÇÃO",IF(K1400&lt;=5,"BOM","EXCELENTE")))</f>
        <v>BOM</v>
      </c>
      <c r="M1400">
        <v>22</v>
      </c>
      <c r="N1400">
        <v>96.58</v>
      </c>
      <c r="O1400">
        <v>30.396475770925111</v>
      </c>
    </row>
    <row r="1401" spans="1:15" hidden="1" x14ac:dyDescent="0.25">
      <c r="A1401" s="11">
        <v>46044</v>
      </c>
      <c r="B1401" t="s">
        <v>61</v>
      </c>
      <c r="C1401" t="s">
        <v>23</v>
      </c>
      <c r="D1401">
        <v>5</v>
      </c>
      <c r="E1401">
        <v>5</v>
      </c>
      <c r="F1401">
        <v>32.39</v>
      </c>
      <c r="G1401">
        <v>0</v>
      </c>
      <c r="H1401">
        <v>0</v>
      </c>
      <c r="I1401" s="3">
        <f>E1401+G1401+H1401</f>
        <v>5</v>
      </c>
      <c r="J1401" s="3">
        <f>ROUND(MIN(IF(C1401="Técnico III",35,IF(C1401="Técnico II",28,IF(C1401="Técnico I",23,IF(C1401="JR",20,IF(C1401="Estágio",10,0))))),IF(C1401="Técnico III",SUMIFS($D:$D,$A:$A,$A1401,$B:$B,"&lt;&gt;Patrícia Karla de Sousa Araújo",$B:$B,"&lt;&gt;Lorena Dias de Araujo",$B:$B,"&lt;&gt;Lucas Luiz Romero")*(35/1083),IF(C1401="Técnico II",SUMIFS($D:$D,$A:$A,$A1401,$B:$B,"&lt;&gt;Patrícia Karla de Sousa Araújo",$B:$B,"&lt;&gt;Lorena Dias de Araujo",$B:$B,"&lt;&gt;Lucas Luiz Romero")*(28/1083),IF(C1401="Técnico I",SUMIFS($D:$D,$A:$A,$A1401,$B:$B,"&lt;&gt;Patrícia Karla de Sousa Araújo",$B:$B,"&lt;&gt;Lorena Dias de Araujo",$B:$B,"&lt;&gt;Lucas Luiz Romero")*(23/1083),IF(C1401="JR",SUMIFS($D:$D,$A:$A,$A1401,$B:$B,"&lt;&gt;Patrícia Karla de Sousa Araújo",$B:$B,"&lt;&gt;Lorena Dias de Araujo",$B:$B,"&lt;&gt;Lucas Luiz Romero")*(20/1083),IF(C1401="Estágio",SUMIFS($D:$D,$A:$A,$A1401,$B:$B,"&lt;&gt;Patrícia Karla de Sousa Araújo",$B:$B,"&lt;&gt;Lorena Dias de Araujo",$B:$B,"&lt;&gt;Lucas Luiz Romero")*(10/1083),0)))))),0)</f>
        <v>14</v>
      </c>
      <c r="K1401" s="3">
        <f>I1401-J1401</f>
        <v>-9</v>
      </c>
      <c r="L1401" s="3" t="str">
        <f>IF(K1401&lt;-5,"CRÍTICO",IF(K1401&lt;0,"ATENÇÃO",IF(K1401&lt;=5,"BOM","EXCELENTE")))</f>
        <v>CRÍTICO</v>
      </c>
      <c r="M1401">
        <v>7</v>
      </c>
      <c r="N1401">
        <v>100</v>
      </c>
      <c r="O1401">
        <v>27.44282744282744</v>
      </c>
    </row>
    <row r="1402" spans="1:15" hidden="1" x14ac:dyDescent="0.25">
      <c r="A1402" s="11">
        <v>46044</v>
      </c>
      <c r="B1402" t="s">
        <v>35</v>
      </c>
      <c r="C1402" t="s">
        <v>32</v>
      </c>
      <c r="D1402">
        <v>23</v>
      </c>
      <c r="E1402">
        <v>23</v>
      </c>
      <c r="F1402">
        <v>22.17</v>
      </c>
      <c r="G1402">
        <v>0</v>
      </c>
      <c r="H1402">
        <v>0</v>
      </c>
      <c r="I1402" s="3">
        <v>0</v>
      </c>
      <c r="J1402" s="3">
        <v>0</v>
      </c>
      <c r="K1402" s="3">
        <v>0</v>
      </c>
      <c r="L1402" s="3" t="str">
        <f>IF(K1402&lt;-5,"CRÍTICO",IF(K1402&lt;0,"ATENÇÃO",IF(K1402&lt;=5,"BOM","EXCELENTE")))</f>
        <v>BOM</v>
      </c>
      <c r="M1402">
        <v>23</v>
      </c>
      <c r="N1402">
        <v>99.49</v>
      </c>
      <c r="O1402">
        <v>40.200000000000003</v>
      </c>
    </row>
    <row r="1403" spans="1:15" hidden="1" x14ac:dyDescent="0.25">
      <c r="A1403" s="11">
        <v>46044</v>
      </c>
      <c r="B1403" t="s">
        <v>18</v>
      </c>
      <c r="C1403" t="s">
        <v>16</v>
      </c>
      <c r="D1403">
        <v>0</v>
      </c>
      <c r="E1403">
        <v>0</v>
      </c>
      <c r="F1403">
        <v>0</v>
      </c>
      <c r="G1403">
        <v>0</v>
      </c>
      <c r="H1403">
        <v>0</v>
      </c>
      <c r="I1403" s="3">
        <v>0</v>
      </c>
      <c r="J1403" s="3">
        <v>0</v>
      </c>
      <c r="K1403" s="3">
        <v>0</v>
      </c>
      <c r="L1403" s="3" t="str">
        <f>IF(K1403&lt;-5,"CRÍTICO",IF(K1403&lt;0,"ATENÇÃO",IF(K1403&lt;=5,"BOM","EXCELENTE")))</f>
        <v>BOM</v>
      </c>
      <c r="M1403">
        <v>0</v>
      </c>
      <c r="N1403">
        <v>100</v>
      </c>
      <c r="O1403">
        <v>25</v>
      </c>
    </row>
    <row r="1404" spans="1:15" hidden="1" x14ac:dyDescent="0.25">
      <c r="A1404" s="11">
        <v>46044</v>
      </c>
      <c r="B1404" t="s">
        <v>52</v>
      </c>
      <c r="C1404" t="s">
        <v>48</v>
      </c>
      <c r="D1404">
        <v>29</v>
      </c>
      <c r="E1404">
        <v>26</v>
      </c>
      <c r="F1404">
        <v>14.08</v>
      </c>
      <c r="G1404">
        <v>0</v>
      </c>
      <c r="H1404">
        <v>0</v>
      </c>
      <c r="I1404" s="3">
        <f>E1404+G1404+H1404</f>
        <v>26</v>
      </c>
      <c r="J1404" s="3">
        <f>ROUND(MIN(IF(C1404="Técnico III",35,IF(C1404="Técnico II",28,IF(C1404="Técnico I",23,IF(C1404="JR",20,IF(C1404="Estágio",10,0))))),IF(C1404="Técnico III",SUMIFS($D:$D,$A:$A,$A1404,$B:$B,"&lt;&gt;Patrícia Karla de Sousa Araújo",$B:$B,"&lt;&gt;Lorena Dias de Araujo",$B:$B,"&lt;&gt;Lucas Luiz Romero")*(35/1083),IF(C1404="Técnico II",SUMIFS($D:$D,$A:$A,$A1404,$B:$B,"&lt;&gt;Patrícia Karla de Sousa Araújo",$B:$B,"&lt;&gt;Lorena Dias de Araujo",$B:$B,"&lt;&gt;Lucas Luiz Romero")*(28/1083),IF(C1404="Técnico I",SUMIFS($D:$D,$A:$A,$A1404,$B:$B,"&lt;&gt;Patrícia Karla de Sousa Araújo",$B:$B,"&lt;&gt;Lorena Dias de Araujo",$B:$B,"&lt;&gt;Lucas Luiz Romero")*(23/1083),IF(C1404="JR",SUMIFS($D:$D,$A:$A,$A1404,$B:$B,"&lt;&gt;Patrícia Karla de Sousa Araújo",$B:$B,"&lt;&gt;Lorena Dias de Araujo",$B:$B,"&lt;&gt;Lucas Luiz Romero")*(20/1083),IF(C1404="Estágio",SUMIFS($D:$D,$A:$A,$A1404,$B:$B,"&lt;&gt;Patrícia Karla de Sousa Araújo",$B:$B,"&lt;&gt;Lorena Dias de Araujo",$B:$B,"&lt;&gt;Lucas Luiz Romero")*(10/1083),0)))))),0)</f>
        <v>17</v>
      </c>
      <c r="K1404" s="3">
        <f>I1404-J1404</f>
        <v>9</v>
      </c>
      <c r="L1404" s="3" t="str">
        <f>IF(K1404&lt;-5,"CRÍTICO",IF(K1404&lt;0,"ATENÇÃO",IF(K1404&lt;=5,"BOM","EXCELENTE")))</f>
        <v>EXCELENTE</v>
      </c>
      <c r="M1404">
        <v>24</v>
      </c>
      <c r="N1404">
        <v>100</v>
      </c>
      <c r="O1404">
        <v>34.15094339622641</v>
      </c>
    </row>
    <row r="1405" spans="1:15" hidden="1" x14ac:dyDescent="0.25">
      <c r="A1405" s="11">
        <v>46044</v>
      </c>
      <c r="B1405" t="s">
        <v>36</v>
      </c>
      <c r="C1405" t="s">
        <v>32</v>
      </c>
      <c r="D1405">
        <v>19</v>
      </c>
      <c r="E1405">
        <v>17</v>
      </c>
      <c r="F1405">
        <v>13.4</v>
      </c>
      <c r="G1405">
        <v>0</v>
      </c>
      <c r="H1405">
        <v>0</v>
      </c>
      <c r="I1405" s="3">
        <f>E1405+G1405+H1405</f>
        <v>17</v>
      </c>
      <c r="J1405" s="3">
        <f>ROUND(MIN(IF(C1405="Técnico III",35,IF(C1405="Técnico II",28,IF(C1405="Técnico I",23,IF(C1405="JR",20,IF(C1405="Estágio",10,0))))),IF(C1405="Técnico III",SUMIFS($D:$D,$A:$A,$A1405,$B:$B,"&lt;&gt;Patrícia Karla de Sousa Araújo",$B:$B,"&lt;&gt;Lorena Dias de Araujo",$B:$B,"&lt;&gt;Lucas Luiz Romero")*(35/1083),IF(C1405="Técnico II",SUMIFS($D:$D,$A:$A,$A1405,$B:$B,"&lt;&gt;Patrícia Karla de Sousa Araújo",$B:$B,"&lt;&gt;Lorena Dias de Araujo",$B:$B,"&lt;&gt;Lucas Luiz Romero")*(28/1083),IF(C1405="Técnico I",SUMIFS($D:$D,$A:$A,$A1405,$B:$B,"&lt;&gt;Patrícia Karla de Sousa Araújo",$B:$B,"&lt;&gt;Lorena Dias de Araujo",$B:$B,"&lt;&gt;Lucas Luiz Romero")*(23/1083),IF(C1405="JR",SUMIFS($D:$D,$A:$A,$A1405,$B:$B,"&lt;&gt;Patrícia Karla de Sousa Araújo",$B:$B,"&lt;&gt;Lorena Dias de Araujo",$B:$B,"&lt;&gt;Lucas Luiz Romero")*(20/1083),IF(C1405="Estágio",SUMIFS($D:$D,$A:$A,$A1405,$B:$B,"&lt;&gt;Patrícia Karla de Sousa Araújo",$B:$B,"&lt;&gt;Lorena Dias de Araujo",$B:$B,"&lt;&gt;Lucas Luiz Romero")*(10/1083),0)))))),0)</f>
        <v>22</v>
      </c>
      <c r="K1405" s="3">
        <f>I1405-J1405</f>
        <v>-5</v>
      </c>
      <c r="L1405" s="3" t="str">
        <f>IF(K1405&lt;-5,"CRÍTICO",IF(K1405&lt;0,"ATENÇÃO",IF(K1405&lt;=5,"BOM","EXCELENTE")))</f>
        <v>ATENÇÃO</v>
      </c>
      <c r="M1405">
        <v>17</v>
      </c>
      <c r="N1405">
        <v>100</v>
      </c>
      <c r="O1405">
        <v>32.731376975169297</v>
      </c>
    </row>
    <row r="1406" spans="1:15" hidden="1" x14ac:dyDescent="0.25">
      <c r="A1406" s="11">
        <v>46044</v>
      </c>
      <c r="B1406" t="s">
        <v>53</v>
      </c>
      <c r="C1406" t="s">
        <v>48</v>
      </c>
      <c r="D1406">
        <v>22</v>
      </c>
      <c r="E1406">
        <v>20</v>
      </c>
      <c r="F1406">
        <v>18.25</v>
      </c>
      <c r="G1406">
        <v>0</v>
      </c>
      <c r="H1406">
        <v>0</v>
      </c>
      <c r="I1406" s="3">
        <f>E1406+G1406+H1406</f>
        <v>20</v>
      </c>
      <c r="J1406" s="3">
        <f>ROUND(MIN(IF(C1406="Técnico III",35,IF(C1406="Técnico II",28,IF(C1406="Técnico I",23,IF(C1406="JR",20,IF(C1406="Estágio",10,0))))),IF(C1406="Técnico III",SUMIFS($D:$D,$A:$A,$A1406,$B:$B,"&lt;&gt;Patrícia Karla de Sousa Araújo",$B:$B,"&lt;&gt;Lorena Dias de Araujo",$B:$B,"&lt;&gt;Lucas Luiz Romero")*(35/1083),IF(C1406="Técnico II",SUMIFS($D:$D,$A:$A,$A1406,$B:$B,"&lt;&gt;Patrícia Karla de Sousa Araújo",$B:$B,"&lt;&gt;Lorena Dias de Araujo",$B:$B,"&lt;&gt;Lucas Luiz Romero")*(28/1083),IF(C1406="Técnico I",SUMIFS($D:$D,$A:$A,$A1406,$B:$B,"&lt;&gt;Patrícia Karla de Sousa Araújo",$B:$B,"&lt;&gt;Lorena Dias de Araujo",$B:$B,"&lt;&gt;Lucas Luiz Romero")*(23/1083),IF(C1406="JR",SUMIFS($D:$D,$A:$A,$A1406,$B:$B,"&lt;&gt;Patrícia Karla de Sousa Araújo",$B:$B,"&lt;&gt;Lorena Dias de Araujo",$B:$B,"&lt;&gt;Lucas Luiz Romero")*(20/1083),IF(C1406="Estágio",SUMIFS($D:$D,$A:$A,$A1406,$B:$B,"&lt;&gt;Patrícia Karla de Sousa Araújo",$B:$B,"&lt;&gt;Lorena Dias de Araujo",$B:$B,"&lt;&gt;Lucas Luiz Romero")*(10/1083),0)))))),0)</f>
        <v>17</v>
      </c>
      <c r="K1406" s="3">
        <f>I1406-J1406</f>
        <v>3</v>
      </c>
      <c r="L1406" s="3" t="str">
        <f>IF(K1406&lt;-5,"CRÍTICO",IF(K1406&lt;0,"ATENÇÃO",IF(K1406&lt;=5,"BOM","EXCELENTE")))</f>
        <v>BOM</v>
      </c>
      <c r="M1406">
        <v>19</v>
      </c>
      <c r="N1406">
        <v>99.31</v>
      </c>
      <c r="O1406">
        <v>30.96234309623431</v>
      </c>
    </row>
    <row r="1407" spans="1:15" hidden="1" x14ac:dyDescent="0.25">
      <c r="A1407" s="11">
        <v>46078</v>
      </c>
      <c r="B1407" t="s">
        <v>22</v>
      </c>
      <c r="C1407" t="s">
        <v>23</v>
      </c>
      <c r="D1407">
        <v>17</v>
      </c>
      <c r="E1407">
        <v>15</v>
      </c>
      <c r="F1407">
        <v>22.11</v>
      </c>
      <c r="G1407">
        <v>0</v>
      </c>
      <c r="H1407">
        <v>0</v>
      </c>
      <c r="I1407" s="3">
        <f>E1407+G1407+H1407</f>
        <v>15</v>
      </c>
      <c r="J1407" s="3">
        <f>ROUND(MIN(IF(C1407="Técnico III",35,IF(C1407="Técnico II",28,IF(C1407="Técnico I",23,IF(C1407="JR",20,IF(C1407="Estágio",10,0))))),IF(C1407="Técnico III",SUMIFS($D:$D,$A:$A,$A1407,$B:$B,"&lt;&gt;Patrícia Karla de Sousa Araújo",$B:$B,"&lt;&gt;Lorena Dias de Araujo",$B:$B,"&lt;&gt;Lucas Luiz Romero")*(35/1083),IF(C1407="Técnico II",SUMIFS($D:$D,$A:$A,$A1407,$B:$B,"&lt;&gt;Patrícia Karla de Sousa Araújo",$B:$B,"&lt;&gt;Lorena Dias de Araujo",$B:$B,"&lt;&gt;Lucas Luiz Romero")*(28/1083),IF(C1407="Técnico I",SUMIFS($D:$D,$A:$A,$A1407,$B:$B,"&lt;&gt;Patrícia Karla de Sousa Araújo",$B:$B,"&lt;&gt;Lorena Dias de Araujo",$B:$B,"&lt;&gt;Lucas Luiz Romero")*(23/1083),IF(C1407="JR",SUMIFS($D:$D,$A:$A,$A1407,$B:$B,"&lt;&gt;Patrícia Karla de Sousa Araújo",$B:$B,"&lt;&gt;Lorena Dias de Araujo",$B:$B,"&lt;&gt;Lucas Luiz Romero")*(20/1083),IF(C1407="Estágio",SUMIFS($D:$D,$A:$A,$A1407,$B:$B,"&lt;&gt;Patrícia Karla de Sousa Araújo",$B:$B,"&lt;&gt;Lorena Dias de Araujo",$B:$B,"&lt;&gt;Lucas Luiz Romero")*(10/1083),0)))))),0)</f>
        <v>13</v>
      </c>
      <c r="K1407" s="3">
        <f>I1407-J1407</f>
        <v>2</v>
      </c>
      <c r="L1407" s="3" t="str">
        <f>IF(K1407&lt;-5,"CRÍTICO",IF(K1407&lt;0,"ATENÇÃO",IF(K1407&lt;=5,"BOM","EXCELENTE")))</f>
        <v>BOM</v>
      </c>
      <c r="M1407">
        <v>14</v>
      </c>
      <c r="N1407">
        <v>96.67</v>
      </c>
      <c r="O1407">
        <v>31.451612903225811</v>
      </c>
    </row>
    <row r="1408" spans="1:15" hidden="1" x14ac:dyDescent="0.25">
      <c r="A1408" s="11">
        <v>46044</v>
      </c>
      <c r="B1408" t="s">
        <v>54</v>
      </c>
      <c r="C1408" t="s">
        <v>48</v>
      </c>
      <c r="D1408">
        <v>22</v>
      </c>
      <c r="E1408">
        <v>20</v>
      </c>
      <c r="F1408">
        <v>19.13</v>
      </c>
      <c r="G1408">
        <v>0</v>
      </c>
      <c r="H1408">
        <v>0</v>
      </c>
      <c r="I1408" s="3">
        <f>E1408+G1408+H1408</f>
        <v>20</v>
      </c>
      <c r="J1408" s="3">
        <f>ROUND(MIN(IF(C1408="Técnico III",35,IF(C1408="Técnico II",28,IF(C1408="Técnico I",23,IF(C1408="JR",20,IF(C1408="Estágio",10,0))))),IF(C1408="Técnico III",SUMIFS($D:$D,$A:$A,$A1408,$B:$B,"&lt;&gt;Patrícia Karla de Sousa Araújo",$B:$B,"&lt;&gt;Lorena Dias de Araujo",$B:$B,"&lt;&gt;Lucas Luiz Romero")*(35/1083),IF(C1408="Técnico II",SUMIFS($D:$D,$A:$A,$A1408,$B:$B,"&lt;&gt;Patrícia Karla de Sousa Araújo",$B:$B,"&lt;&gt;Lorena Dias de Araujo",$B:$B,"&lt;&gt;Lucas Luiz Romero")*(28/1083),IF(C1408="Técnico I",SUMIFS($D:$D,$A:$A,$A1408,$B:$B,"&lt;&gt;Patrícia Karla de Sousa Araújo",$B:$B,"&lt;&gt;Lorena Dias de Araujo",$B:$B,"&lt;&gt;Lucas Luiz Romero")*(23/1083),IF(C1408="JR",SUMIFS($D:$D,$A:$A,$A1408,$B:$B,"&lt;&gt;Patrícia Karla de Sousa Araújo",$B:$B,"&lt;&gt;Lorena Dias de Araujo",$B:$B,"&lt;&gt;Lucas Luiz Romero")*(20/1083),IF(C1408="Estágio",SUMIFS($D:$D,$A:$A,$A1408,$B:$B,"&lt;&gt;Patrícia Karla de Sousa Araújo",$B:$B,"&lt;&gt;Lorena Dias de Araujo",$B:$B,"&lt;&gt;Lucas Luiz Romero")*(10/1083),0)))))),0)</f>
        <v>17</v>
      </c>
      <c r="K1408" s="3">
        <f>I1408-J1408</f>
        <v>3</v>
      </c>
      <c r="L1408" s="3" t="str">
        <f>IF(K1408&lt;-5,"CRÍTICO",IF(K1408&lt;0,"ATENÇÃO",IF(K1408&lt;=5,"BOM","EXCELENTE")))</f>
        <v>BOM</v>
      </c>
      <c r="M1408">
        <v>17</v>
      </c>
      <c r="N1408">
        <v>100</v>
      </c>
      <c r="O1408">
        <v>27.676767676767678</v>
      </c>
    </row>
    <row r="1409" spans="1:15" hidden="1" x14ac:dyDescent="0.25">
      <c r="A1409" s="11">
        <v>46044</v>
      </c>
      <c r="B1409" t="s">
        <v>37</v>
      </c>
      <c r="C1409" t="s">
        <v>32</v>
      </c>
      <c r="D1409">
        <v>27</v>
      </c>
      <c r="E1409">
        <v>25</v>
      </c>
      <c r="F1409">
        <v>14.02</v>
      </c>
      <c r="G1409">
        <v>0</v>
      </c>
      <c r="H1409">
        <v>0</v>
      </c>
      <c r="I1409" s="3">
        <f>E1409+G1409+H1409</f>
        <v>25</v>
      </c>
      <c r="J1409" s="3">
        <f>ROUND(MIN(IF(C1409="Técnico III",35,IF(C1409="Técnico II",28,IF(C1409="Técnico I",23,IF(C1409="JR",20,IF(C1409="Estágio",10,0))))),IF(C1409="Técnico III",SUMIFS($D:$D,$A:$A,$A1409,$B:$B,"&lt;&gt;Patrícia Karla de Sousa Araújo",$B:$B,"&lt;&gt;Lorena Dias de Araujo",$B:$B,"&lt;&gt;Lucas Luiz Romero")*(35/1083),IF(C1409="Técnico II",SUMIFS($D:$D,$A:$A,$A1409,$B:$B,"&lt;&gt;Patrícia Karla de Sousa Araújo",$B:$B,"&lt;&gt;Lorena Dias de Araujo",$B:$B,"&lt;&gt;Lucas Luiz Romero")*(28/1083),IF(C1409="Técnico I",SUMIFS($D:$D,$A:$A,$A1409,$B:$B,"&lt;&gt;Patrícia Karla de Sousa Araújo",$B:$B,"&lt;&gt;Lorena Dias de Araujo",$B:$B,"&lt;&gt;Lucas Luiz Romero")*(23/1083),IF(C1409="JR",SUMIFS($D:$D,$A:$A,$A1409,$B:$B,"&lt;&gt;Patrícia Karla de Sousa Araújo",$B:$B,"&lt;&gt;Lorena Dias de Araujo",$B:$B,"&lt;&gt;Lucas Luiz Romero")*(20/1083),IF(C1409="Estágio",SUMIFS($D:$D,$A:$A,$A1409,$B:$B,"&lt;&gt;Patrícia Karla de Sousa Araújo",$B:$B,"&lt;&gt;Lorena Dias de Araujo",$B:$B,"&lt;&gt;Lucas Luiz Romero")*(10/1083),0)))))),0)</f>
        <v>22</v>
      </c>
      <c r="K1409" s="3">
        <f>I1409-J1409</f>
        <v>3</v>
      </c>
      <c r="L1409" s="3" t="str">
        <f>IF(K1409&lt;-5,"CRÍTICO",IF(K1409&lt;0,"ATENÇÃO",IF(K1409&lt;=5,"BOM","EXCELENTE")))</f>
        <v>BOM</v>
      </c>
      <c r="M1409">
        <v>23</v>
      </c>
      <c r="N1409">
        <v>100</v>
      </c>
      <c r="O1409">
        <v>31.17723156532988</v>
      </c>
    </row>
    <row r="1410" spans="1:15" hidden="1" x14ac:dyDescent="0.25">
      <c r="A1410" s="11">
        <v>46044</v>
      </c>
      <c r="B1410" t="s">
        <v>38</v>
      </c>
      <c r="C1410" t="s">
        <v>32</v>
      </c>
      <c r="D1410">
        <v>10</v>
      </c>
      <c r="E1410">
        <v>8</v>
      </c>
      <c r="F1410">
        <v>13.39</v>
      </c>
      <c r="G1410">
        <v>0</v>
      </c>
      <c r="H1410">
        <v>0</v>
      </c>
      <c r="I1410" s="3">
        <f>E1410+G1410+H1410</f>
        <v>8</v>
      </c>
      <c r="J1410" s="3">
        <f>ROUND(MIN(IF(C1410="Técnico III",35,IF(C1410="Técnico II",28,IF(C1410="Técnico I",23,IF(C1410="JR",20,IF(C1410="Estágio",10,0))))),IF(C1410="Técnico III",SUMIFS($D:$D,$A:$A,$A1410,$B:$B,"&lt;&gt;Patrícia Karla de Sousa Araújo",$B:$B,"&lt;&gt;Lorena Dias de Araujo",$B:$B,"&lt;&gt;Lucas Luiz Romero")*(35/1083),IF(C1410="Técnico II",SUMIFS($D:$D,$A:$A,$A1410,$B:$B,"&lt;&gt;Patrícia Karla de Sousa Araújo",$B:$B,"&lt;&gt;Lorena Dias de Araujo",$B:$B,"&lt;&gt;Lucas Luiz Romero")*(28/1083),IF(C1410="Técnico I",SUMIFS($D:$D,$A:$A,$A1410,$B:$B,"&lt;&gt;Patrícia Karla de Sousa Araújo",$B:$B,"&lt;&gt;Lorena Dias de Araujo",$B:$B,"&lt;&gt;Lucas Luiz Romero")*(23/1083),IF(C1410="JR",SUMIFS($D:$D,$A:$A,$A1410,$B:$B,"&lt;&gt;Patrícia Karla de Sousa Araújo",$B:$B,"&lt;&gt;Lorena Dias de Araujo",$B:$B,"&lt;&gt;Lucas Luiz Romero")*(20/1083),IF(C1410="Estágio",SUMIFS($D:$D,$A:$A,$A1410,$B:$B,"&lt;&gt;Patrícia Karla de Sousa Araújo",$B:$B,"&lt;&gt;Lorena Dias de Araujo",$B:$B,"&lt;&gt;Lucas Luiz Romero")*(10/1083),0)))))),0)</f>
        <v>22</v>
      </c>
      <c r="K1410" s="3">
        <f>I1410-J1410</f>
        <v>-14</v>
      </c>
      <c r="L1410" s="3" t="str">
        <f>IF(K1410&lt;-5,"CRÍTICO",IF(K1410&lt;0,"ATENÇÃO",IF(K1410&lt;=5,"BOM","EXCELENTE")))</f>
        <v>CRÍTICO</v>
      </c>
      <c r="M1410">
        <v>5</v>
      </c>
      <c r="N1410">
        <v>100</v>
      </c>
      <c r="O1410">
        <v>27.609427609427609</v>
      </c>
    </row>
    <row r="1411" spans="1:15" hidden="1" x14ac:dyDescent="0.25">
      <c r="A1411" s="11">
        <v>46044</v>
      </c>
      <c r="B1411" t="s">
        <v>55</v>
      </c>
      <c r="C1411" t="s">
        <v>48</v>
      </c>
      <c r="D1411">
        <v>27</v>
      </c>
      <c r="E1411">
        <v>20</v>
      </c>
      <c r="F1411">
        <v>16.45</v>
      </c>
      <c r="G1411">
        <v>0</v>
      </c>
      <c r="H1411">
        <v>0</v>
      </c>
      <c r="I1411" s="3">
        <f>E1411+G1411+H1411</f>
        <v>20</v>
      </c>
      <c r="J1411" s="3">
        <f>ROUND(MIN(IF(C1411="Técnico III",35,IF(C1411="Técnico II",28,IF(C1411="Técnico I",23,IF(C1411="JR",20,IF(C1411="Estágio",10,0))))),IF(C1411="Técnico III",SUMIFS($D:$D,$A:$A,$A1411,$B:$B,"&lt;&gt;Patrícia Karla de Sousa Araújo",$B:$B,"&lt;&gt;Lorena Dias de Araujo",$B:$B,"&lt;&gt;Lucas Luiz Romero")*(35/1083),IF(C1411="Técnico II",SUMIFS($D:$D,$A:$A,$A1411,$B:$B,"&lt;&gt;Patrícia Karla de Sousa Araújo",$B:$B,"&lt;&gt;Lorena Dias de Araujo",$B:$B,"&lt;&gt;Lucas Luiz Romero")*(28/1083),IF(C1411="Técnico I",SUMIFS($D:$D,$A:$A,$A1411,$B:$B,"&lt;&gt;Patrícia Karla de Sousa Araújo",$B:$B,"&lt;&gt;Lorena Dias de Araujo",$B:$B,"&lt;&gt;Lucas Luiz Romero")*(23/1083),IF(C1411="JR",SUMIFS($D:$D,$A:$A,$A1411,$B:$B,"&lt;&gt;Patrícia Karla de Sousa Araújo",$B:$B,"&lt;&gt;Lorena Dias de Araujo",$B:$B,"&lt;&gt;Lucas Luiz Romero")*(20/1083),IF(C1411="Estágio",SUMIFS($D:$D,$A:$A,$A1411,$B:$B,"&lt;&gt;Patrícia Karla de Sousa Araújo",$B:$B,"&lt;&gt;Lorena Dias de Araujo",$B:$B,"&lt;&gt;Lucas Luiz Romero")*(10/1083),0)))))),0)</f>
        <v>17</v>
      </c>
      <c r="K1411" s="3">
        <f>I1411-J1411</f>
        <v>3</v>
      </c>
      <c r="L1411" s="3" t="str">
        <f>IF(K1411&lt;-5,"CRÍTICO",IF(K1411&lt;0,"ATENÇÃO",IF(K1411&lt;=5,"BOM","EXCELENTE")))</f>
        <v>BOM</v>
      </c>
      <c r="M1411">
        <v>19</v>
      </c>
      <c r="N1411">
        <v>96.4</v>
      </c>
      <c r="O1411">
        <v>28.764044943820231</v>
      </c>
    </row>
    <row r="1412" spans="1:15" hidden="1" x14ac:dyDescent="0.25">
      <c r="A1412" s="11">
        <v>46044</v>
      </c>
      <c r="B1412" t="s">
        <v>39</v>
      </c>
      <c r="C1412" t="s">
        <v>32</v>
      </c>
      <c r="D1412">
        <v>0</v>
      </c>
      <c r="E1412">
        <v>0</v>
      </c>
      <c r="F1412">
        <v>0</v>
      </c>
      <c r="G1412">
        <v>0</v>
      </c>
      <c r="H1412">
        <v>0</v>
      </c>
      <c r="I1412" s="3">
        <v>0</v>
      </c>
      <c r="J1412" s="3">
        <v>0</v>
      </c>
      <c r="K1412" s="3">
        <v>0</v>
      </c>
      <c r="L1412" s="3" t="str">
        <f>IF(K1412&lt;-5,"CRÍTICO",IF(K1412&lt;0,"ATENÇÃO",IF(K1412&lt;=5,"BOM","EXCELENTE")))</f>
        <v>BOM</v>
      </c>
      <c r="M1412">
        <v>0</v>
      </c>
      <c r="N1412">
        <v>100</v>
      </c>
      <c r="O1412">
        <v>33.980582524271853</v>
      </c>
    </row>
    <row r="1413" spans="1:15" hidden="1" x14ac:dyDescent="0.25">
      <c r="A1413" s="11">
        <v>46044</v>
      </c>
      <c r="B1413" t="s">
        <v>25</v>
      </c>
      <c r="C1413" t="s">
        <v>26</v>
      </c>
      <c r="D1413">
        <v>5</v>
      </c>
      <c r="E1413">
        <v>4</v>
      </c>
      <c r="F1413">
        <v>46.55</v>
      </c>
      <c r="G1413">
        <v>0</v>
      </c>
      <c r="H1413">
        <v>0</v>
      </c>
      <c r="I1413" s="3">
        <f>E1413+G1413+H1413</f>
        <v>4</v>
      </c>
      <c r="J1413" s="3">
        <f>ROUND(MIN(IF(C1413="Técnico III",35,IF(C1413="Técnico II",28,IF(C1413="Técnico I",23,IF(C1413="JR",20,IF(C1413="Estágio",10,0))))),IF(C1413="Técnico III",SUMIFS($D:$D,$A:$A,$A1413,$B:$B,"&lt;&gt;Patrícia Karla de Sousa Araújo",$B:$B,"&lt;&gt;Lorena Dias de Araujo",$B:$B,"&lt;&gt;Lucas Luiz Romero")*(35/1083),IF(C1413="Técnico II",SUMIFS($D:$D,$A:$A,$A1413,$B:$B,"&lt;&gt;Patrícia Karla de Sousa Araújo",$B:$B,"&lt;&gt;Lorena Dias de Araujo",$B:$B,"&lt;&gt;Lucas Luiz Romero")*(28/1083),IF(C1413="Técnico I",SUMIFS($D:$D,$A:$A,$A1413,$B:$B,"&lt;&gt;Patrícia Karla de Sousa Araújo",$B:$B,"&lt;&gt;Lorena Dias de Araujo",$B:$B,"&lt;&gt;Lucas Luiz Romero")*(23/1083),IF(C1413="JR",SUMIFS($D:$D,$A:$A,$A1413,$B:$B,"&lt;&gt;Patrícia Karla de Sousa Araújo",$B:$B,"&lt;&gt;Lorena Dias de Araujo",$B:$B,"&lt;&gt;Lucas Luiz Romero")*(20/1083),IF(C1413="Estágio",SUMIFS($D:$D,$A:$A,$A1413,$B:$B,"&lt;&gt;Patrícia Karla de Sousa Araújo",$B:$B,"&lt;&gt;Lorena Dias de Araujo",$B:$B,"&lt;&gt;Lucas Luiz Romero")*(10/1083),0)))))),0)</f>
        <v>12</v>
      </c>
      <c r="K1413" s="3">
        <f>I1413-J1413</f>
        <v>-8</v>
      </c>
      <c r="L1413" s="3" t="str">
        <f>IF(K1413&lt;-5,"CRÍTICO",IF(K1413&lt;0,"ATENÇÃO",IF(K1413&lt;=5,"BOM","EXCELENTE")))</f>
        <v>CRÍTICO</v>
      </c>
      <c r="M1413">
        <v>4</v>
      </c>
      <c r="N1413">
        <v>97.56</v>
      </c>
      <c r="O1413">
        <v>32.515337423312893</v>
      </c>
    </row>
    <row r="1414" spans="1:15" hidden="1" x14ac:dyDescent="0.25">
      <c r="A1414" s="11">
        <v>46044</v>
      </c>
      <c r="B1414" t="s">
        <v>40</v>
      </c>
      <c r="C1414" t="s">
        <v>32</v>
      </c>
      <c r="D1414">
        <v>19</v>
      </c>
      <c r="E1414">
        <v>18</v>
      </c>
      <c r="F1414">
        <v>22.19</v>
      </c>
      <c r="G1414">
        <v>0</v>
      </c>
      <c r="H1414">
        <v>0</v>
      </c>
      <c r="I1414" s="3">
        <f>E1414+G1414+H1414</f>
        <v>18</v>
      </c>
      <c r="J1414" s="3">
        <f>ROUND(MIN(IF(C1414="Técnico III",35,IF(C1414="Técnico II",28,IF(C1414="Técnico I",23,IF(C1414="JR",20,IF(C1414="Estágio",10,0))))),IF(C1414="Técnico III",SUMIFS($D:$D,$A:$A,$A1414,$B:$B,"&lt;&gt;Patrícia Karla de Sousa Araújo",$B:$B,"&lt;&gt;Lorena Dias de Araujo",$B:$B,"&lt;&gt;Lucas Luiz Romero")*(35/1083),IF(C1414="Técnico II",SUMIFS($D:$D,$A:$A,$A1414,$B:$B,"&lt;&gt;Patrícia Karla de Sousa Araújo",$B:$B,"&lt;&gt;Lorena Dias de Araujo",$B:$B,"&lt;&gt;Lucas Luiz Romero")*(28/1083),IF(C1414="Técnico I",SUMIFS($D:$D,$A:$A,$A1414,$B:$B,"&lt;&gt;Patrícia Karla de Sousa Araújo",$B:$B,"&lt;&gt;Lorena Dias de Araujo",$B:$B,"&lt;&gt;Lucas Luiz Romero")*(23/1083),IF(C1414="JR",SUMIFS($D:$D,$A:$A,$A1414,$B:$B,"&lt;&gt;Patrícia Karla de Sousa Araújo",$B:$B,"&lt;&gt;Lorena Dias de Araujo",$B:$B,"&lt;&gt;Lucas Luiz Romero")*(20/1083),IF(C1414="Estágio",SUMIFS($D:$D,$A:$A,$A1414,$B:$B,"&lt;&gt;Patrícia Karla de Sousa Araújo",$B:$B,"&lt;&gt;Lorena Dias de Araujo",$B:$B,"&lt;&gt;Lucas Luiz Romero")*(10/1083),0)))))),0)</f>
        <v>22</v>
      </c>
      <c r="K1414" s="3">
        <f>I1414-J1414</f>
        <v>-4</v>
      </c>
      <c r="L1414" s="3" t="str">
        <f>IF(K1414&lt;-5,"CRÍTICO",IF(K1414&lt;0,"ATENÇÃO",IF(K1414&lt;=5,"BOM","EXCELENTE")))</f>
        <v>ATENÇÃO</v>
      </c>
      <c r="M1414">
        <v>18</v>
      </c>
      <c r="N1414">
        <v>97.11</v>
      </c>
      <c r="O1414">
        <v>37.408312958435211</v>
      </c>
    </row>
    <row r="1415" spans="1:15" hidden="1" x14ac:dyDescent="0.25">
      <c r="A1415" s="11">
        <v>46044</v>
      </c>
      <c r="B1415" t="s">
        <v>27</v>
      </c>
      <c r="C1415" t="s">
        <v>26</v>
      </c>
      <c r="D1415">
        <v>0</v>
      </c>
      <c r="E1415">
        <v>0</v>
      </c>
      <c r="F1415">
        <v>0</v>
      </c>
      <c r="G1415">
        <v>0</v>
      </c>
      <c r="H1415">
        <v>0</v>
      </c>
      <c r="I1415" s="3">
        <v>0</v>
      </c>
      <c r="J1415" s="3">
        <v>0</v>
      </c>
      <c r="K1415" s="3">
        <v>0</v>
      </c>
      <c r="L1415" s="3" t="str">
        <f>IF(K1415&lt;-5,"CRÍTICO",IF(K1415&lt;0,"ATENÇÃO",IF(K1415&lt;=5,"BOM","EXCELENTE")))</f>
        <v>BOM</v>
      </c>
      <c r="M1415">
        <v>0</v>
      </c>
      <c r="N1415">
        <v>0</v>
      </c>
      <c r="O1415">
        <v>0</v>
      </c>
    </row>
    <row r="1416" spans="1:15" hidden="1" x14ac:dyDescent="0.25">
      <c r="A1416" s="11">
        <v>46044</v>
      </c>
      <c r="B1416" t="s">
        <v>41</v>
      </c>
      <c r="C1416" t="s">
        <v>32</v>
      </c>
      <c r="D1416">
        <v>25</v>
      </c>
      <c r="E1416">
        <v>21</v>
      </c>
      <c r="F1416">
        <v>19.100000000000001</v>
      </c>
      <c r="G1416">
        <v>0</v>
      </c>
      <c r="H1416">
        <v>0</v>
      </c>
      <c r="I1416" s="3">
        <f>E1416+G1416+H1416</f>
        <v>21</v>
      </c>
      <c r="J1416" s="3">
        <f>ROUND(MIN(IF(C1416="Técnico III",35,IF(C1416="Técnico II",28,IF(C1416="Técnico I",23,IF(C1416="JR",20,IF(C1416="Estágio",10,0))))),IF(C1416="Técnico III",SUMIFS($D:$D,$A:$A,$A1416,$B:$B,"&lt;&gt;Patrícia Karla de Sousa Araújo",$B:$B,"&lt;&gt;Lorena Dias de Araujo",$B:$B,"&lt;&gt;Lucas Luiz Romero")*(35/1083),IF(C1416="Técnico II",SUMIFS($D:$D,$A:$A,$A1416,$B:$B,"&lt;&gt;Patrícia Karla de Sousa Araújo",$B:$B,"&lt;&gt;Lorena Dias de Araujo",$B:$B,"&lt;&gt;Lucas Luiz Romero")*(28/1083),IF(C1416="Técnico I",SUMIFS($D:$D,$A:$A,$A1416,$B:$B,"&lt;&gt;Patrícia Karla de Sousa Araújo",$B:$B,"&lt;&gt;Lorena Dias de Araujo",$B:$B,"&lt;&gt;Lucas Luiz Romero")*(23/1083),IF(C1416="JR",SUMIFS($D:$D,$A:$A,$A1416,$B:$B,"&lt;&gt;Patrícia Karla de Sousa Araújo",$B:$B,"&lt;&gt;Lorena Dias de Araujo",$B:$B,"&lt;&gt;Lucas Luiz Romero")*(20/1083),IF(C1416="Estágio",SUMIFS($D:$D,$A:$A,$A1416,$B:$B,"&lt;&gt;Patrícia Karla de Sousa Araújo",$B:$B,"&lt;&gt;Lorena Dias de Araujo",$B:$B,"&lt;&gt;Lucas Luiz Romero")*(10/1083),0)))))),0)</f>
        <v>22</v>
      </c>
      <c r="K1416" s="3">
        <f>I1416-J1416</f>
        <v>-1</v>
      </c>
      <c r="L1416" s="3" t="str">
        <f>IF(K1416&lt;-5,"CRÍTICO",IF(K1416&lt;0,"ATENÇÃO",IF(K1416&lt;=5,"BOM","EXCELENTE")))</f>
        <v>ATENÇÃO</v>
      </c>
      <c r="M1416">
        <v>21</v>
      </c>
      <c r="N1416">
        <v>100</v>
      </c>
      <c r="O1416">
        <v>30.470347648261761</v>
      </c>
    </row>
    <row r="1417" spans="1:15" hidden="1" x14ac:dyDescent="0.25">
      <c r="A1417" s="11">
        <v>46044</v>
      </c>
      <c r="B1417" t="s">
        <v>56</v>
      </c>
      <c r="C1417" t="s">
        <v>48</v>
      </c>
      <c r="D1417">
        <v>25</v>
      </c>
      <c r="E1417">
        <v>23</v>
      </c>
      <c r="F1417">
        <v>18.32</v>
      </c>
      <c r="G1417">
        <v>0</v>
      </c>
      <c r="H1417">
        <v>0</v>
      </c>
      <c r="I1417" s="3">
        <f>E1417+G1417+H1417</f>
        <v>23</v>
      </c>
      <c r="J1417" s="3">
        <f>ROUND(MIN(IF(C1417="Técnico III",35,IF(C1417="Técnico II",28,IF(C1417="Técnico I",23,IF(C1417="JR",20,IF(C1417="Estágio",10,0))))),IF(C1417="Técnico III",SUMIFS($D:$D,$A:$A,$A1417,$B:$B,"&lt;&gt;Patrícia Karla de Sousa Araújo",$B:$B,"&lt;&gt;Lorena Dias de Araujo",$B:$B,"&lt;&gt;Lucas Luiz Romero")*(35/1083),IF(C1417="Técnico II",SUMIFS($D:$D,$A:$A,$A1417,$B:$B,"&lt;&gt;Patrícia Karla de Sousa Araújo",$B:$B,"&lt;&gt;Lorena Dias de Araujo",$B:$B,"&lt;&gt;Lucas Luiz Romero")*(28/1083),IF(C1417="Técnico I",SUMIFS($D:$D,$A:$A,$A1417,$B:$B,"&lt;&gt;Patrícia Karla de Sousa Araújo",$B:$B,"&lt;&gt;Lorena Dias de Araujo",$B:$B,"&lt;&gt;Lucas Luiz Romero")*(23/1083),IF(C1417="JR",SUMIFS($D:$D,$A:$A,$A1417,$B:$B,"&lt;&gt;Patrícia Karla de Sousa Araújo",$B:$B,"&lt;&gt;Lorena Dias de Araujo",$B:$B,"&lt;&gt;Lucas Luiz Romero")*(20/1083),IF(C1417="Estágio",SUMIFS($D:$D,$A:$A,$A1417,$B:$B,"&lt;&gt;Patrícia Karla de Sousa Araújo",$B:$B,"&lt;&gt;Lorena Dias de Araujo",$B:$B,"&lt;&gt;Lucas Luiz Romero")*(10/1083),0)))))),0)</f>
        <v>17</v>
      </c>
      <c r="K1417" s="3">
        <f>I1417-J1417</f>
        <v>6</v>
      </c>
      <c r="L1417" s="3" t="str">
        <f>IF(K1417&lt;-5,"CRÍTICO",IF(K1417&lt;0,"ATENÇÃO",IF(K1417&lt;=5,"BOM","EXCELENTE")))</f>
        <v>EXCELENTE</v>
      </c>
      <c r="M1417">
        <v>17</v>
      </c>
      <c r="N1417">
        <v>100</v>
      </c>
      <c r="O1417">
        <v>32.371134020618562</v>
      </c>
    </row>
    <row r="1418" spans="1:15" hidden="1" x14ac:dyDescent="0.25">
      <c r="A1418" s="11">
        <v>46044</v>
      </c>
      <c r="B1418" t="s">
        <v>57</v>
      </c>
      <c r="C1418" t="s">
        <v>48</v>
      </c>
      <c r="D1418">
        <v>28</v>
      </c>
      <c r="E1418">
        <v>27</v>
      </c>
      <c r="F1418">
        <v>17.059999999999999</v>
      </c>
      <c r="G1418">
        <v>0</v>
      </c>
      <c r="H1418">
        <v>0</v>
      </c>
      <c r="I1418" s="3">
        <v>0</v>
      </c>
      <c r="J1418" s="3">
        <v>0</v>
      </c>
      <c r="K1418" s="3">
        <v>0</v>
      </c>
      <c r="L1418" s="3" t="str">
        <f>IF(K1418&lt;-5,"CRÍTICO",IF(K1418&lt;0,"ATENÇÃO",IF(K1418&lt;=5,"BOM","EXCELENTE")))</f>
        <v>BOM</v>
      </c>
      <c r="M1418">
        <v>21</v>
      </c>
      <c r="N1418">
        <v>98.32</v>
      </c>
      <c r="O1418">
        <v>32.318501170960189</v>
      </c>
    </row>
    <row r="1419" spans="1:15" hidden="1" x14ac:dyDescent="0.25">
      <c r="A1419" s="11">
        <v>46044</v>
      </c>
      <c r="B1419" t="s">
        <v>42</v>
      </c>
      <c r="C1419" t="s">
        <v>32</v>
      </c>
      <c r="D1419">
        <v>47</v>
      </c>
      <c r="E1419">
        <v>29</v>
      </c>
      <c r="F1419">
        <v>5.45</v>
      </c>
      <c r="G1419">
        <v>0</v>
      </c>
      <c r="H1419">
        <v>0</v>
      </c>
      <c r="I1419" s="3">
        <f>E1419+G1419+H1419</f>
        <v>29</v>
      </c>
      <c r="J1419" s="3">
        <f>ROUND(MIN(IF(C1419="Técnico III",35,IF(C1419="Técnico II",28,IF(C1419="Técnico I",23,IF(C1419="JR",20,IF(C1419="Estágio",10,0))))),IF(C1419="Técnico III",SUMIFS($D:$D,$A:$A,$A1419,$B:$B,"&lt;&gt;Patrícia Karla de Sousa Araújo",$B:$B,"&lt;&gt;Lorena Dias de Araujo",$B:$B,"&lt;&gt;Lucas Luiz Romero")*(35/1083),IF(C1419="Técnico II",SUMIFS($D:$D,$A:$A,$A1419,$B:$B,"&lt;&gt;Patrícia Karla de Sousa Araújo",$B:$B,"&lt;&gt;Lorena Dias de Araujo",$B:$B,"&lt;&gt;Lucas Luiz Romero")*(28/1083),IF(C1419="Técnico I",SUMIFS($D:$D,$A:$A,$A1419,$B:$B,"&lt;&gt;Patrícia Karla de Sousa Araújo",$B:$B,"&lt;&gt;Lorena Dias de Araujo",$B:$B,"&lt;&gt;Lucas Luiz Romero")*(23/1083),IF(C1419="JR",SUMIFS($D:$D,$A:$A,$A1419,$B:$B,"&lt;&gt;Patrícia Karla de Sousa Araújo",$B:$B,"&lt;&gt;Lorena Dias de Araujo",$B:$B,"&lt;&gt;Lucas Luiz Romero")*(20/1083),IF(C1419="Estágio",SUMIFS($D:$D,$A:$A,$A1419,$B:$B,"&lt;&gt;Patrícia Karla de Sousa Araújo",$B:$B,"&lt;&gt;Lorena Dias de Araujo",$B:$B,"&lt;&gt;Lucas Luiz Romero")*(10/1083),0)))))),0)</f>
        <v>22</v>
      </c>
      <c r="K1419" s="3">
        <f>I1419-J1419</f>
        <v>7</v>
      </c>
      <c r="L1419" s="3" t="str">
        <f>IF(K1419&lt;-5,"CRÍTICO",IF(K1419&lt;0,"ATENÇÃO",IF(K1419&lt;=5,"BOM","EXCELENTE")))</f>
        <v>EXCELENTE</v>
      </c>
      <c r="M1419">
        <v>22</v>
      </c>
      <c r="N1419">
        <v>96.43</v>
      </c>
      <c r="O1419">
        <v>27.015250544662312</v>
      </c>
    </row>
    <row r="1420" spans="1:15" hidden="1" x14ac:dyDescent="0.25">
      <c r="A1420" s="11">
        <v>46044</v>
      </c>
      <c r="B1420" t="s">
        <v>62</v>
      </c>
      <c r="C1420" t="s">
        <v>23</v>
      </c>
      <c r="D1420">
        <v>25</v>
      </c>
      <c r="E1420">
        <v>23</v>
      </c>
      <c r="F1420">
        <v>15.11</v>
      </c>
      <c r="G1420">
        <v>0</v>
      </c>
      <c r="H1420">
        <v>0</v>
      </c>
      <c r="I1420" s="3">
        <f>E1420+G1420+H1420</f>
        <v>23</v>
      </c>
      <c r="J1420" s="3">
        <f>ROUND(MIN(IF(C1420="Técnico III",35,IF(C1420="Técnico II",28,IF(C1420="Técnico I",23,IF(C1420="JR",20,IF(C1420="Estágio",10,0))))),IF(C1420="Técnico III",SUMIFS($D:$D,$A:$A,$A1420,$B:$B,"&lt;&gt;Patrícia Karla de Sousa Araújo",$B:$B,"&lt;&gt;Lorena Dias de Araujo",$B:$B,"&lt;&gt;Lucas Luiz Romero")*(35/1083),IF(C1420="Técnico II",SUMIFS($D:$D,$A:$A,$A1420,$B:$B,"&lt;&gt;Patrícia Karla de Sousa Araújo",$B:$B,"&lt;&gt;Lorena Dias de Araujo",$B:$B,"&lt;&gt;Lucas Luiz Romero")*(28/1083),IF(C1420="Técnico I",SUMIFS($D:$D,$A:$A,$A1420,$B:$B,"&lt;&gt;Patrícia Karla de Sousa Araújo",$B:$B,"&lt;&gt;Lorena Dias de Araujo",$B:$B,"&lt;&gt;Lucas Luiz Romero")*(23/1083),IF(C1420="JR",SUMIFS($D:$D,$A:$A,$A1420,$B:$B,"&lt;&gt;Patrícia Karla de Sousa Araújo",$B:$B,"&lt;&gt;Lorena Dias de Araujo",$B:$B,"&lt;&gt;Lucas Luiz Romero")*(20/1083),IF(C1420="Estágio",SUMIFS($D:$D,$A:$A,$A1420,$B:$B,"&lt;&gt;Patrícia Karla de Sousa Araújo",$B:$B,"&lt;&gt;Lorena Dias de Araujo",$B:$B,"&lt;&gt;Lucas Luiz Romero")*(10/1083),0)))))),0)</f>
        <v>14</v>
      </c>
      <c r="K1420" s="3">
        <f>I1420-J1420</f>
        <v>9</v>
      </c>
      <c r="L1420" s="3" t="str">
        <f>IF(K1420&lt;-5,"CRÍTICO",IF(K1420&lt;0,"ATENÇÃO",IF(K1420&lt;=5,"BOM","EXCELENTE")))</f>
        <v>EXCELENTE</v>
      </c>
      <c r="M1420">
        <v>23</v>
      </c>
      <c r="N1420">
        <v>98.89</v>
      </c>
      <c r="O1420">
        <v>28.021978021978018</v>
      </c>
    </row>
    <row r="1421" spans="1:15" hidden="1" x14ac:dyDescent="0.25">
      <c r="A1421" s="11">
        <v>46044</v>
      </c>
      <c r="B1421" t="s">
        <v>19</v>
      </c>
      <c r="C1421" t="s">
        <v>16</v>
      </c>
      <c r="D1421">
        <v>8</v>
      </c>
      <c r="E1421">
        <v>8</v>
      </c>
      <c r="F1421">
        <v>42.33</v>
      </c>
      <c r="G1421">
        <v>0</v>
      </c>
      <c r="H1421">
        <v>0</v>
      </c>
      <c r="I1421" s="3">
        <f>E1421+G1421+H1421</f>
        <v>8</v>
      </c>
      <c r="J1421" s="3">
        <f>ROUND(MIN(IF(C1421="Técnico III",35,IF(C1421="Técnico II",28,IF(C1421="Técnico I",23,IF(C1421="JR",20,IF(C1421="Estágio",10,0))))),IF(C1421="Técnico III",SUMIFS($D:$D,$A:$A,$A1421,$B:$B,"&lt;&gt;Patrícia Karla de Sousa Araújo",$B:$B,"&lt;&gt;Lorena Dias de Araujo",$B:$B,"&lt;&gt;Lucas Luiz Romero")*(35/1083),IF(C1421="Técnico II",SUMIFS($D:$D,$A:$A,$A1421,$B:$B,"&lt;&gt;Patrícia Karla de Sousa Araújo",$B:$B,"&lt;&gt;Lorena Dias de Araujo",$B:$B,"&lt;&gt;Lucas Luiz Romero")*(28/1083),IF(C1421="Técnico I",SUMIFS($D:$D,$A:$A,$A1421,$B:$B,"&lt;&gt;Patrícia Karla de Sousa Araújo",$B:$B,"&lt;&gt;Lorena Dias de Araujo",$B:$B,"&lt;&gt;Lucas Luiz Romero")*(23/1083),IF(C1421="JR",SUMIFS($D:$D,$A:$A,$A1421,$B:$B,"&lt;&gt;Patrícia Karla de Sousa Araújo",$B:$B,"&lt;&gt;Lorena Dias de Araujo",$B:$B,"&lt;&gt;Lucas Luiz Romero")*(20/1083),IF(C1421="Estágio",SUMIFS($D:$D,$A:$A,$A1421,$B:$B,"&lt;&gt;Patrícia Karla de Sousa Araújo",$B:$B,"&lt;&gt;Lorena Dias de Araujo",$B:$B,"&lt;&gt;Lucas Luiz Romero")*(10/1083),0)))))),0)</f>
        <v>6</v>
      </c>
      <c r="K1421" s="3">
        <f>I1421-J1421</f>
        <v>2</v>
      </c>
      <c r="L1421" s="3" t="str">
        <f>IF(K1421&lt;-5,"CRÍTICO",IF(K1421&lt;0,"ATENÇÃO",IF(K1421&lt;=5,"BOM","EXCELENTE")))</f>
        <v>BOM</v>
      </c>
      <c r="M1421">
        <v>6</v>
      </c>
      <c r="N1421">
        <v>100</v>
      </c>
      <c r="O1421">
        <v>33.333333333333329</v>
      </c>
    </row>
    <row r="1422" spans="1:15" hidden="1" x14ac:dyDescent="0.25">
      <c r="A1422" s="11">
        <v>46044</v>
      </c>
      <c r="B1422" t="s">
        <v>43</v>
      </c>
      <c r="C1422" t="s">
        <v>32</v>
      </c>
      <c r="D1422">
        <v>24</v>
      </c>
      <c r="E1422">
        <v>22</v>
      </c>
      <c r="F1422">
        <v>13.4</v>
      </c>
      <c r="G1422">
        <v>0</v>
      </c>
      <c r="H1422">
        <v>0</v>
      </c>
      <c r="I1422" s="3">
        <f>E1422+G1422+H1422</f>
        <v>22</v>
      </c>
      <c r="J1422" s="3">
        <f>ROUND(MIN(IF(C1422="Técnico III",35,IF(C1422="Técnico II",28,IF(C1422="Técnico I",23,IF(C1422="JR",20,IF(C1422="Estágio",10,0))))),IF(C1422="Técnico III",SUMIFS($D:$D,$A:$A,$A1422,$B:$B,"&lt;&gt;Patrícia Karla de Sousa Araújo",$B:$B,"&lt;&gt;Lorena Dias de Araujo",$B:$B,"&lt;&gt;Lucas Luiz Romero")*(35/1083),IF(C1422="Técnico II",SUMIFS($D:$D,$A:$A,$A1422,$B:$B,"&lt;&gt;Patrícia Karla de Sousa Araújo",$B:$B,"&lt;&gt;Lorena Dias de Araujo",$B:$B,"&lt;&gt;Lucas Luiz Romero")*(28/1083),IF(C1422="Técnico I",SUMIFS($D:$D,$A:$A,$A1422,$B:$B,"&lt;&gt;Patrícia Karla de Sousa Araújo",$B:$B,"&lt;&gt;Lorena Dias de Araujo",$B:$B,"&lt;&gt;Lucas Luiz Romero")*(23/1083),IF(C1422="JR",SUMIFS($D:$D,$A:$A,$A1422,$B:$B,"&lt;&gt;Patrícia Karla de Sousa Araújo",$B:$B,"&lt;&gt;Lorena Dias de Araujo",$B:$B,"&lt;&gt;Lucas Luiz Romero")*(20/1083),IF(C1422="Estágio",SUMIFS($D:$D,$A:$A,$A1422,$B:$B,"&lt;&gt;Patrícia Karla de Sousa Araújo",$B:$B,"&lt;&gt;Lorena Dias de Araujo",$B:$B,"&lt;&gt;Lucas Luiz Romero")*(10/1083),0)))))),0)</f>
        <v>22</v>
      </c>
      <c r="K1422" s="3">
        <f>I1422-J1422</f>
        <v>0</v>
      </c>
      <c r="L1422" s="3" t="str">
        <f>IF(K1422&lt;-5,"CRÍTICO",IF(K1422&lt;0,"ATENÇÃO",IF(K1422&lt;=5,"BOM","EXCELENTE")))</f>
        <v>BOM</v>
      </c>
      <c r="M1422">
        <v>19</v>
      </c>
      <c r="N1422">
        <v>100</v>
      </c>
      <c r="O1422">
        <v>27.43362831858407</v>
      </c>
    </row>
    <row r="1423" spans="1:15" hidden="1" x14ac:dyDescent="0.25">
      <c r="A1423" s="11">
        <v>46044</v>
      </c>
      <c r="B1423" t="s">
        <v>44</v>
      </c>
      <c r="C1423" t="s">
        <v>32</v>
      </c>
      <c r="D1423">
        <v>27</v>
      </c>
      <c r="E1423">
        <v>23</v>
      </c>
      <c r="F1423">
        <v>17.309999999999999</v>
      </c>
      <c r="G1423">
        <v>0</v>
      </c>
      <c r="H1423">
        <v>0</v>
      </c>
      <c r="I1423" s="3">
        <f>E1423+G1423+H1423</f>
        <v>23</v>
      </c>
      <c r="J1423" s="3">
        <f>ROUND(MIN(IF(C1423="Técnico III",35,IF(C1423="Técnico II",28,IF(C1423="Técnico I",23,IF(C1423="JR",20,IF(C1423="Estágio",10,0))))),IF(C1423="Técnico III",SUMIFS($D:$D,$A:$A,$A1423,$B:$B,"&lt;&gt;Patrícia Karla de Sousa Araújo",$B:$B,"&lt;&gt;Lorena Dias de Araujo",$B:$B,"&lt;&gt;Lucas Luiz Romero")*(35/1083),IF(C1423="Técnico II",SUMIFS($D:$D,$A:$A,$A1423,$B:$B,"&lt;&gt;Patrícia Karla de Sousa Araújo",$B:$B,"&lt;&gt;Lorena Dias de Araujo",$B:$B,"&lt;&gt;Lucas Luiz Romero")*(28/1083),IF(C1423="Técnico I",SUMIFS($D:$D,$A:$A,$A1423,$B:$B,"&lt;&gt;Patrícia Karla de Sousa Araújo",$B:$B,"&lt;&gt;Lorena Dias de Araujo",$B:$B,"&lt;&gt;Lucas Luiz Romero")*(23/1083),IF(C1423="JR",SUMIFS($D:$D,$A:$A,$A1423,$B:$B,"&lt;&gt;Patrícia Karla de Sousa Araújo",$B:$B,"&lt;&gt;Lorena Dias de Araujo",$B:$B,"&lt;&gt;Lucas Luiz Romero")*(20/1083),IF(C1423="Estágio",SUMIFS($D:$D,$A:$A,$A1423,$B:$B,"&lt;&gt;Patrícia Karla de Sousa Araújo",$B:$B,"&lt;&gt;Lorena Dias de Araujo",$B:$B,"&lt;&gt;Lucas Luiz Romero")*(10/1083),0)))))),0)</f>
        <v>22</v>
      </c>
      <c r="K1423" s="3">
        <f>I1423-J1423</f>
        <v>1</v>
      </c>
      <c r="L1423" s="3" t="str">
        <f>IF(K1423&lt;-5,"CRÍTICO",IF(K1423&lt;0,"ATENÇÃO",IF(K1423&lt;=5,"BOM","EXCELENTE")))</f>
        <v>BOM</v>
      </c>
      <c r="M1423">
        <v>17</v>
      </c>
      <c r="N1423">
        <v>98.65</v>
      </c>
      <c r="O1423">
        <v>30.978260869565219</v>
      </c>
    </row>
    <row r="1424" spans="1:15" hidden="1" x14ac:dyDescent="0.25">
      <c r="A1424" s="11">
        <v>46044</v>
      </c>
      <c r="B1424" t="s">
        <v>20</v>
      </c>
      <c r="C1424" t="s">
        <v>16</v>
      </c>
      <c r="D1424">
        <v>9</v>
      </c>
      <c r="E1424">
        <v>9</v>
      </c>
      <c r="F1424">
        <v>22.37</v>
      </c>
      <c r="G1424">
        <v>0</v>
      </c>
      <c r="H1424">
        <v>0</v>
      </c>
      <c r="I1424" s="3">
        <f>E1424+G1424+H1424</f>
        <v>9</v>
      </c>
      <c r="J1424" s="3">
        <f>ROUND(MIN(IF(C1424="Técnico III",35,IF(C1424="Técnico II",28,IF(C1424="Técnico I",23,IF(C1424="JR",20,IF(C1424="Estágio",10,0))))),IF(C1424="Técnico III",SUMIFS($D:$D,$A:$A,$A1424,$B:$B,"&lt;&gt;Patrícia Karla de Sousa Araújo",$B:$B,"&lt;&gt;Lorena Dias de Araujo",$B:$B,"&lt;&gt;Lucas Luiz Romero")*(35/1083),IF(C1424="Técnico II",SUMIFS($D:$D,$A:$A,$A1424,$B:$B,"&lt;&gt;Patrícia Karla de Sousa Araújo",$B:$B,"&lt;&gt;Lorena Dias de Araujo",$B:$B,"&lt;&gt;Lucas Luiz Romero")*(28/1083),IF(C1424="Técnico I",SUMIFS($D:$D,$A:$A,$A1424,$B:$B,"&lt;&gt;Patrícia Karla de Sousa Araújo",$B:$B,"&lt;&gt;Lorena Dias de Araujo",$B:$B,"&lt;&gt;Lucas Luiz Romero")*(23/1083),IF(C1424="JR",SUMIFS($D:$D,$A:$A,$A1424,$B:$B,"&lt;&gt;Patrícia Karla de Sousa Araújo",$B:$B,"&lt;&gt;Lorena Dias de Araujo",$B:$B,"&lt;&gt;Lucas Luiz Romero")*(20/1083),IF(C1424="Estágio",SUMIFS($D:$D,$A:$A,$A1424,$B:$B,"&lt;&gt;Patrícia Karla de Sousa Araújo",$B:$B,"&lt;&gt;Lorena Dias de Araujo",$B:$B,"&lt;&gt;Lucas Luiz Romero")*(10/1083),0)))))),0)</f>
        <v>6</v>
      </c>
      <c r="K1424" s="3">
        <f>I1424-J1424</f>
        <v>3</v>
      </c>
      <c r="L1424" s="3" t="str">
        <f>IF(K1424&lt;-5,"CRÍTICO",IF(K1424&lt;0,"ATENÇÃO",IF(K1424&lt;=5,"BOM","EXCELENTE")))</f>
        <v>BOM</v>
      </c>
      <c r="M1424">
        <v>2</v>
      </c>
      <c r="N1424">
        <v>100</v>
      </c>
      <c r="O1424">
        <v>12</v>
      </c>
    </row>
    <row r="1425" spans="1:15" hidden="1" x14ac:dyDescent="0.25">
      <c r="A1425" s="11">
        <v>46044</v>
      </c>
      <c r="B1425" t="s">
        <v>28</v>
      </c>
      <c r="C1425" t="s">
        <v>26</v>
      </c>
      <c r="D1425">
        <v>0</v>
      </c>
      <c r="E1425">
        <v>0</v>
      </c>
      <c r="F1425">
        <v>0</v>
      </c>
      <c r="G1425">
        <v>0</v>
      </c>
      <c r="H1425">
        <v>0</v>
      </c>
      <c r="I1425" s="3">
        <v>0</v>
      </c>
      <c r="J1425" s="3">
        <v>0</v>
      </c>
      <c r="K1425" s="3">
        <v>0</v>
      </c>
      <c r="L1425" s="3" t="str">
        <f>IF(K1425&lt;-5,"CRÍTICO",IF(K1425&lt;0,"ATENÇÃO",IF(K1425&lt;=5,"BOM","EXCELENTE")))</f>
        <v>BOM</v>
      </c>
      <c r="M1425">
        <v>0</v>
      </c>
      <c r="N1425">
        <v>0</v>
      </c>
      <c r="O1425">
        <v>0</v>
      </c>
    </row>
    <row r="1426" spans="1:15" hidden="1" x14ac:dyDescent="0.25">
      <c r="A1426" s="11">
        <v>46044</v>
      </c>
      <c r="B1426" t="s">
        <v>58</v>
      </c>
      <c r="C1426" t="s">
        <v>48</v>
      </c>
      <c r="D1426">
        <v>20</v>
      </c>
      <c r="E1426">
        <v>18</v>
      </c>
      <c r="F1426">
        <v>22.17</v>
      </c>
      <c r="G1426">
        <v>0</v>
      </c>
      <c r="H1426">
        <v>0</v>
      </c>
      <c r="I1426" s="3">
        <f>E1426+G1426+H1426</f>
        <v>18</v>
      </c>
      <c r="J1426" s="3">
        <f>ROUND(MIN(IF(C1426="Técnico III",35,IF(C1426="Técnico II",28,IF(C1426="Técnico I",23,IF(C1426="JR",20,IF(C1426="Estágio",10,0))))),IF(C1426="Técnico III",SUMIFS($D:$D,$A:$A,$A1426,$B:$B,"&lt;&gt;Patrícia Karla de Sousa Araújo",$B:$B,"&lt;&gt;Lorena Dias de Araujo",$B:$B,"&lt;&gt;Lucas Luiz Romero")*(35/1083),IF(C1426="Técnico II",SUMIFS($D:$D,$A:$A,$A1426,$B:$B,"&lt;&gt;Patrícia Karla de Sousa Araújo",$B:$B,"&lt;&gt;Lorena Dias de Araujo",$B:$B,"&lt;&gt;Lucas Luiz Romero")*(28/1083),IF(C1426="Técnico I",SUMIFS($D:$D,$A:$A,$A1426,$B:$B,"&lt;&gt;Patrícia Karla de Sousa Araújo",$B:$B,"&lt;&gt;Lorena Dias de Araujo",$B:$B,"&lt;&gt;Lucas Luiz Romero")*(23/1083),IF(C1426="JR",SUMIFS($D:$D,$A:$A,$A1426,$B:$B,"&lt;&gt;Patrícia Karla de Sousa Araújo",$B:$B,"&lt;&gt;Lorena Dias de Araujo",$B:$B,"&lt;&gt;Lucas Luiz Romero")*(20/1083),IF(C1426="Estágio",SUMIFS($D:$D,$A:$A,$A1426,$B:$B,"&lt;&gt;Patrícia Karla de Sousa Araújo",$B:$B,"&lt;&gt;Lorena Dias de Araujo",$B:$B,"&lt;&gt;Lucas Luiz Romero")*(10/1083),0)))))),0)</f>
        <v>17</v>
      </c>
      <c r="K1426" s="3">
        <f>I1426-J1426</f>
        <v>1</v>
      </c>
      <c r="L1426" s="3" t="str">
        <f>IF(K1426&lt;-5,"CRÍTICO",IF(K1426&lt;0,"ATENÇÃO",IF(K1426&lt;=5,"BOM","EXCELENTE")))</f>
        <v>BOM</v>
      </c>
      <c r="M1426">
        <v>20</v>
      </c>
      <c r="N1426">
        <v>97.56</v>
      </c>
      <c r="O1426">
        <v>31.067961165048541</v>
      </c>
    </row>
    <row r="1427" spans="1:15" hidden="1" x14ac:dyDescent="0.25">
      <c r="A1427" s="11">
        <v>46044</v>
      </c>
      <c r="B1427" t="s">
        <v>29</v>
      </c>
      <c r="C1427" t="s">
        <v>26</v>
      </c>
      <c r="D1427">
        <v>0</v>
      </c>
      <c r="E1427">
        <v>0</v>
      </c>
      <c r="F1427">
        <v>0</v>
      </c>
      <c r="G1427">
        <v>0</v>
      </c>
      <c r="H1427">
        <v>0</v>
      </c>
      <c r="I1427" s="3">
        <v>0</v>
      </c>
      <c r="J1427" s="3">
        <v>0</v>
      </c>
      <c r="K1427" s="3">
        <v>0</v>
      </c>
      <c r="L1427" s="3" t="str">
        <f>IF(K1427&lt;-5,"CRÍTICO",IF(K1427&lt;0,"ATENÇÃO",IF(K1427&lt;=5,"BOM","EXCELENTE")))</f>
        <v>BOM</v>
      </c>
      <c r="M1427">
        <v>0</v>
      </c>
      <c r="N1427">
        <v>0</v>
      </c>
      <c r="O1427">
        <v>0</v>
      </c>
    </row>
    <row r="1428" spans="1:15" hidden="1" x14ac:dyDescent="0.25">
      <c r="A1428" s="11">
        <v>46044</v>
      </c>
      <c r="B1428" t="s">
        <v>30</v>
      </c>
      <c r="C1428" t="s">
        <v>26</v>
      </c>
      <c r="D1428">
        <v>0</v>
      </c>
      <c r="E1428">
        <v>0</v>
      </c>
      <c r="F1428">
        <v>0</v>
      </c>
      <c r="G1428">
        <v>0</v>
      </c>
      <c r="H1428">
        <v>0</v>
      </c>
      <c r="I1428" s="3">
        <v>0</v>
      </c>
      <c r="J1428" s="3">
        <v>0</v>
      </c>
      <c r="K1428" s="3">
        <v>0</v>
      </c>
      <c r="L1428" s="3" t="str">
        <f>IF(K1428&lt;-5,"CRÍTICO",IF(K1428&lt;0,"ATENÇÃO",IF(K1428&lt;=5,"BOM","EXCELENTE")))</f>
        <v>BOM</v>
      </c>
      <c r="M1428">
        <v>0</v>
      </c>
      <c r="N1428">
        <v>0</v>
      </c>
      <c r="O1428">
        <v>0</v>
      </c>
    </row>
    <row r="1429" spans="1:15" hidden="1" x14ac:dyDescent="0.25">
      <c r="A1429" s="11">
        <v>46044</v>
      </c>
      <c r="B1429" t="s">
        <v>21</v>
      </c>
      <c r="C1429" t="s">
        <v>16</v>
      </c>
      <c r="D1429">
        <v>0</v>
      </c>
      <c r="E1429">
        <v>0</v>
      </c>
      <c r="F1429">
        <v>0</v>
      </c>
      <c r="G1429">
        <v>0</v>
      </c>
      <c r="H1429">
        <v>0</v>
      </c>
      <c r="I1429" s="3">
        <v>0</v>
      </c>
      <c r="J1429" s="3">
        <v>0</v>
      </c>
      <c r="K1429" s="3">
        <v>0</v>
      </c>
      <c r="L1429" s="3" t="str">
        <f>IF(K1429&lt;-5,"CRÍTICO",IF(K1429&lt;0,"ATENÇÃO",IF(K1429&lt;=5,"BOM","EXCELENTE")))</f>
        <v>BOM</v>
      </c>
      <c r="M1429">
        <v>0</v>
      </c>
      <c r="N1429">
        <v>0</v>
      </c>
      <c r="O1429">
        <v>0</v>
      </c>
    </row>
    <row r="1430" spans="1:15" hidden="1" x14ac:dyDescent="0.25">
      <c r="A1430" s="11">
        <v>46044</v>
      </c>
      <c r="B1430" t="s">
        <v>63</v>
      </c>
      <c r="C1430" t="s">
        <v>23</v>
      </c>
      <c r="D1430">
        <v>0</v>
      </c>
      <c r="E1430">
        <v>0</v>
      </c>
      <c r="F1430">
        <v>0</v>
      </c>
      <c r="G1430">
        <v>0</v>
      </c>
      <c r="H1430">
        <v>0</v>
      </c>
      <c r="I1430" s="3">
        <v>0</v>
      </c>
      <c r="J1430" s="3">
        <v>0</v>
      </c>
      <c r="K1430" s="3">
        <v>0</v>
      </c>
      <c r="L1430" s="3" t="str">
        <f>IF(K1430&lt;-5,"CRÍTICO",IF(K1430&lt;0,"ATENÇÃO",IF(K1430&lt;=5,"BOM","EXCELENTE")))</f>
        <v>BOM</v>
      </c>
      <c r="M1430">
        <v>0</v>
      </c>
      <c r="N1430">
        <v>100</v>
      </c>
      <c r="O1430">
        <v>53.846153846153847</v>
      </c>
    </row>
    <row r="1431" spans="1:15" hidden="1" x14ac:dyDescent="0.25">
      <c r="A1431" s="11">
        <v>46044</v>
      </c>
      <c r="B1431" t="s">
        <v>45</v>
      </c>
      <c r="C1431" t="s">
        <v>32</v>
      </c>
      <c r="D1431">
        <v>25</v>
      </c>
      <c r="E1431">
        <v>24</v>
      </c>
      <c r="F1431">
        <v>18.309999999999999</v>
      </c>
      <c r="G1431">
        <v>0</v>
      </c>
      <c r="H1431">
        <v>0</v>
      </c>
      <c r="I1431" s="3">
        <f>E1431+G1431+H1431</f>
        <v>24</v>
      </c>
      <c r="J1431" s="3">
        <f>ROUND(MIN(IF(C1431="Técnico III",35,IF(C1431="Técnico II",28,IF(C1431="Técnico I",23,IF(C1431="JR",20,IF(C1431="Estágio",10,0))))),IF(C1431="Técnico III",SUMIFS($D:$D,$A:$A,$A1431,$B:$B,"&lt;&gt;Patrícia Karla de Sousa Araújo",$B:$B,"&lt;&gt;Lorena Dias de Araujo",$B:$B,"&lt;&gt;Lucas Luiz Romero")*(35/1083),IF(C1431="Técnico II",SUMIFS($D:$D,$A:$A,$A1431,$B:$B,"&lt;&gt;Patrícia Karla de Sousa Araújo",$B:$B,"&lt;&gt;Lorena Dias de Araujo",$B:$B,"&lt;&gt;Lucas Luiz Romero")*(28/1083),IF(C1431="Técnico I",SUMIFS($D:$D,$A:$A,$A1431,$B:$B,"&lt;&gt;Patrícia Karla de Sousa Araújo",$B:$B,"&lt;&gt;Lorena Dias de Araujo",$B:$B,"&lt;&gt;Lucas Luiz Romero")*(23/1083),IF(C1431="JR",SUMIFS($D:$D,$A:$A,$A1431,$B:$B,"&lt;&gt;Patrícia Karla de Sousa Araújo",$B:$B,"&lt;&gt;Lorena Dias de Araujo",$B:$B,"&lt;&gt;Lucas Luiz Romero")*(20/1083),IF(C1431="Estágio",SUMIFS($D:$D,$A:$A,$A1431,$B:$B,"&lt;&gt;Patrícia Karla de Sousa Araújo",$B:$B,"&lt;&gt;Lorena Dias de Araujo",$B:$B,"&lt;&gt;Lucas Luiz Romero")*(10/1083),0)))))),0)</f>
        <v>22</v>
      </c>
      <c r="K1431" s="3">
        <f>I1431-J1431</f>
        <v>2</v>
      </c>
      <c r="L1431" s="3" t="str">
        <f>IF(K1431&lt;-5,"CRÍTICO",IF(K1431&lt;0,"ATENÇÃO",IF(K1431&lt;=5,"BOM","EXCELENTE")))</f>
        <v>BOM</v>
      </c>
      <c r="M1431">
        <v>24</v>
      </c>
      <c r="N1431">
        <v>100</v>
      </c>
      <c r="O1431">
        <v>44.05594405594406</v>
      </c>
    </row>
    <row r="1432" spans="1:15" hidden="1" x14ac:dyDescent="0.25">
      <c r="A1432" s="11">
        <v>46044</v>
      </c>
      <c r="B1432" t="s">
        <v>64</v>
      </c>
      <c r="C1432" t="s">
        <v>23</v>
      </c>
      <c r="D1432">
        <v>13</v>
      </c>
      <c r="E1432">
        <v>13</v>
      </c>
      <c r="F1432">
        <v>35.58</v>
      </c>
      <c r="G1432">
        <v>0</v>
      </c>
      <c r="H1432">
        <v>0</v>
      </c>
      <c r="I1432" s="3">
        <f>E1432+G1432+H1432</f>
        <v>13</v>
      </c>
      <c r="J1432" s="3">
        <f>ROUND(MIN(IF(C1432="Técnico III",35,IF(C1432="Técnico II",28,IF(C1432="Técnico I",23,IF(C1432="JR",20,IF(C1432="Estágio",10,0))))),IF(C1432="Técnico III",SUMIFS($D:$D,$A:$A,$A1432,$B:$B,"&lt;&gt;Patrícia Karla de Sousa Araújo",$B:$B,"&lt;&gt;Lorena Dias de Araujo",$B:$B,"&lt;&gt;Lucas Luiz Romero")*(35/1083),IF(C1432="Técnico II",SUMIFS($D:$D,$A:$A,$A1432,$B:$B,"&lt;&gt;Patrícia Karla de Sousa Araújo",$B:$B,"&lt;&gt;Lorena Dias de Araujo",$B:$B,"&lt;&gt;Lucas Luiz Romero")*(28/1083),IF(C1432="Técnico I",SUMIFS($D:$D,$A:$A,$A1432,$B:$B,"&lt;&gt;Patrícia Karla de Sousa Araújo",$B:$B,"&lt;&gt;Lorena Dias de Araujo",$B:$B,"&lt;&gt;Lucas Luiz Romero")*(23/1083),IF(C1432="JR",SUMIFS($D:$D,$A:$A,$A1432,$B:$B,"&lt;&gt;Patrícia Karla de Sousa Araújo",$B:$B,"&lt;&gt;Lorena Dias de Araujo",$B:$B,"&lt;&gt;Lucas Luiz Romero")*(20/1083),IF(C1432="Estágio",SUMIFS($D:$D,$A:$A,$A1432,$B:$B,"&lt;&gt;Patrícia Karla de Sousa Araújo",$B:$B,"&lt;&gt;Lorena Dias de Araujo",$B:$B,"&lt;&gt;Lucas Luiz Romero")*(10/1083),0)))))),0)</f>
        <v>14</v>
      </c>
      <c r="K1432" s="3">
        <f>I1432-J1432</f>
        <v>-1</v>
      </c>
      <c r="L1432" s="3" t="str">
        <f>IF(K1432&lt;-5,"CRÍTICO",IF(K1432&lt;0,"ATENÇÃO",IF(K1432&lt;=5,"BOM","EXCELENTE")))</f>
        <v>ATENÇÃO</v>
      </c>
      <c r="M1432">
        <v>10</v>
      </c>
      <c r="N1432">
        <v>100</v>
      </c>
      <c r="O1432">
        <v>31.872509960159359</v>
      </c>
    </row>
    <row r="1433" spans="1:15" hidden="1" x14ac:dyDescent="0.25">
      <c r="A1433" s="11">
        <v>46044</v>
      </c>
      <c r="B1433" t="s">
        <v>46</v>
      </c>
      <c r="C1433" t="s">
        <v>32</v>
      </c>
      <c r="D1433">
        <v>29</v>
      </c>
      <c r="E1433">
        <v>27</v>
      </c>
      <c r="F1433">
        <v>13.32</v>
      </c>
      <c r="G1433">
        <v>0</v>
      </c>
      <c r="H1433">
        <v>0</v>
      </c>
      <c r="I1433" s="3">
        <f>E1433+G1433+H1433</f>
        <v>27</v>
      </c>
      <c r="J1433" s="3">
        <f>ROUND(MIN(IF(C1433="Técnico III",35,IF(C1433="Técnico II",28,IF(C1433="Técnico I",23,IF(C1433="JR",20,IF(C1433="Estágio",10,0))))),IF(C1433="Técnico III",SUMIFS($D:$D,$A:$A,$A1433,$B:$B,"&lt;&gt;Patrícia Karla de Sousa Araújo",$B:$B,"&lt;&gt;Lorena Dias de Araujo",$B:$B,"&lt;&gt;Lucas Luiz Romero")*(35/1083),IF(C1433="Técnico II",SUMIFS($D:$D,$A:$A,$A1433,$B:$B,"&lt;&gt;Patrícia Karla de Sousa Araújo",$B:$B,"&lt;&gt;Lorena Dias de Araujo",$B:$B,"&lt;&gt;Lucas Luiz Romero")*(28/1083),IF(C1433="Técnico I",SUMIFS($D:$D,$A:$A,$A1433,$B:$B,"&lt;&gt;Patrícia Karla de Sousa Araújo",$B:$B,"&lt;&gt;Lorena Dias de Araujo",$B:$B,"&lt;&gt;Lucas Luiz Romero")*(23/1083),IF(C1433="JR",SUMIFS($D:$D,$A:$A,$A1433,$B:$B,"&lt;&gt;Patrícia Karla de Sousa Araújo",$B:$B,"&lt;&gt;Lorena Dias de Araujo",$B:$B,"&lt;&gt;Lucas Luiz Romero")*(20/1083),IF(C1433="Estágio",SUMIFS($D:$D,$A:$A,$A1433,$B:$B,"&lt;&gt;Patrícia Karla de Sousa Araújo",$B:$B,"&lt;&gt;Lorena Dias de Araujo",$B:$B,"&lt;&gt;Lucas Luiz Romero")*(10/1083),0)))))),0)</f>
        <v>22</v>
      </c>
      <c r="K1433" s="3">
        <f>I1433-J1433</f>
        <v>5</v>
      </c>
      <c r="L1433" s="3" t="str">
        <f>IF(K1433&lt;-5,"CRÍTICO",IF(K1433&lt;0,"ATENÇÃO",IF(K1433&lt;=5,"BOM","EXCELENTE")))</f>
        <v>BOM</v>
      </c>
      <c r="M1433">
        <v>22</v>
      </c>
      <c r="N1433">
        <v>98.41</v>
      </c>
      <c r="O1433">
        <v>29.22465208747515</v>
      </c>
    </row>
    <row r="1434" spans="1:15" hidden="1" x14ac:dyDescent="0.25">
      <c r="A1434" s="11">
        <v>46045</v>
      </c>
      <c r="B1434" t="s">
        <v>47</v>
      </c>
      <c r="C1434" t="s">
        <v>48</v>
      </c>
      <c r="D1434">
        <v>25</v>
      </c>
      <c r="E1434">
        <v>22</v>
      </c>
      <c r="F1434">
        <v>13.3</v>
      </c>
      <c r="G1434">
        <v>0</v>
      </c>
      <c r="H1434">
        <v>0</v>
      </c>
      <c r="I1434" s="3">
        <f>E1434+G1434+H1434</f>
        <v>22</v>
      </c>
      <c r="J1434" s="3">
        <f>ROUND(MIN(IF(C1434="Técnico III",35,IF(C1434="Técnico II",28,IF(C1434="Técnico I",23,IF(C1434="JR",20,IF(C1434="Estágio",10,0))))),IF(C1434="Técnico III",SUMIFS($D:$D,$A:$A,$A1434,$B:$B,"&lt;&gt;Patrícia Karla de Sousa Araújo",$B:$B,"&lt;&gt;Lorena Dias de Araujo",$B:$B,"&lt;&gt;Lucas Luiz Romero")*(35/1083),IF(C1434="Técnico II",SUMIFS($D:$D,$A:$A,$A1434,$B:$B,"&lt;&gt;Patrícia Karla de Sousa Araújo",$B:$B,"&lt;&gt;Lorena Dias de Araujo",$B:$B,"&lt;&gt;Lucas Luiz Romero")*(28/1083),IF(C1434="Técnico I",SUMIFS($D:$D,$A:$A,$A1434,$B:$B,"&lt;&gt;Patrícia Karla de Sousa Araújo",$B:$B,"&lt;&gt;Lorena Dias de Araujo",$B:$B,"&lt;&gt;Lucas Luiz Romero")*(23/1083),IF(C1434="JR",SUMIFS($D:$D,$A:$A,$A1434,$B:$B,"&lt;&gt;Patrícia Karla de Sousa Araújo",$B:$B,"&lt;&gt;Lorena Dias de Araujo",$B:$B,"&lt;&gt;Lucas Luiz Romero")*(20/1083),IF(C1434="Estágio",SUMIFS($D:$D,$A:$A,$A1434,$B:$B,"&lt;&gt;Patrícia Karla de Sousa Araújo",$B:$B,"&lt;&gt;Lorena Dias de Araujo",$B:$B,"&lt;&gt;Lucas Luiz Romero")*(10/1083),0)))))),0)</f>
        <v>17</v>
      </c>
      <c r="K1434" s="3">
        <f>I1434-J1434</f>
        <v>5</v>
      </c>
      <c r="L1434" s="3" t="str">
        <f>IF(K1434&lt;-5,"CRÍTICO",IF(K1434&lt;0,"ATENÇÃO",IF(K1434&lt;=5,"BOM","EXCELENTE")))</f>
        <v>BOM</v>
      </c>
      <c r="M1434">
        <v>17</v>
      </c>
      <c r="N1434">
        <v>96.81</v>
      </c>
      <c r="O1434">
        <v>27.980535279805348</v>
      </c>
    </row>
    <row r="1435" spans="1:15" hidden="1" x14ac:dyDescent="0.25">
      <c r="A1435" s="11">
        <v>46045</v>
      </c>
      <c r="B1435" t="s">
        <v>31</v>
      </c>
      <c r="C1435" t="s">
        <v>32</v>
      </c>
      <c r="D1435">
        <v>0</v>
      </c>
      <c r="E1435">
        <v>0</v>
      </c>
      <c r="F1435">
        <v>0</v>
      </c>
      <c r="G1435">
        <v>0</v>
      </c>
      <c r="H1435">
        <v>0</v>
      </c>
      <c r="I1435" s="3">
        <v>0</v>
      </c>
      <c r="J1435" s="3">
        <v>0</v>
      </c>
      <c r="K1435" s="3">
        <v>0</v>
      </c>
      <c r="L1435" s="3" t="str">
        <f>IF(K1435&lt;-5,"CRÍTICO",IF(K1435&lt;0,"ATENÇÃO",IF(K1435&lt;=5,"BOM","EXCELENTE")))</f>
        <v>BOM</v>
      </c>
      <c r="M1435">
        <v>22</v>
      </c>
      <c r="N1435">
        <v>98.73</v>
      </c>
      <c r="O1435">
        <v>35.756385068762278</v>
      </c>
    </row>
    <row r="1436" spans="1:15" hidden="1" x14ac:dyDescent="0.25">
      <c r="A1436" s="11">
        <v>46045</v>
      </c>
      <c r="B1436" t="s">
        <v>59</v>
      </c>
      <c r="C1436" t="s">
        <v>23</v>
      </c>
      <c r="D1436">
        <v>30</v>
      </c>
      <c r="E1436">
        <v>29</v>
      </c>
      <c r="F1436">
        <v>19.04</v>
      </c>
      <c r="G1436">
        <v>0</v>
      </c>
      <c r="H1436">
        <v>0</v>
      </c>
      <c r="I1436" s="3">
        <f>E1436+G1436+H1436</f>
        <v>29</v>
      </c>
      <c r="J1436" s="3">
        <f>ROUND(MIN(IF(C1436="Técnico III",35,IF(C1436="Técnico II",28,IF(C1436="Técnico I",23,IF(C1436="JR",20,IF(C1436="Estágio",10,0))))),IF(C1436="Técnico III",SUMIFS($D:$D,$A:$A,$A1436,$B:$B,"&lt;&gt;Patrícia Karla de Sousa Araújo",$B:$B,"&lt;&gt;Lorena Dias de Araujo",$B:$B,"&lt;&gt;Lucas Luiz Romero")*(35/1083),IF(C1436="Técnico II",SUMIFS($D:$D,$A:$A,$A1436,$B:$B,"&lt;&gt;Patrícia Karla de Sousa Araújo",$B:$B,"&lt;&gt;Lorena Dias de Araujo",$B:$B,"&lt;&gt;Lucas Luiz Romero")*(28/1083),IF(C1436="Técnico I",SUMIFS($D:$D,$A:$A,$A1436,$B:$B,"&lt;&gt;Patrícia Karla de Sousa Araújo",$B:$B,"&lt;&gt;Lorena Dias de Araujo",$B:$B,"&lt;&gt;Lucas Luiz Romero")*(23/1083),IF(C1436="JR",SUMIFS($D:$D,$A:$A,$A1436,$B:$B,"&lt;&gt;Patrícia Karla de Sousa Araújo",$B:$B,"&lt;&gt;Lorena Dias de Araujo",$B:$B,"&lt;&gt;Lucas Luiz Romero")*(20/1083),IF(C1436="Estágio",SUMIFS($D:$D,$A:$A,$A1436,$B:$B,"&lt;&gt;Patrícia Karla de Sousa Araújo",$B:$B,"&lt;&gt;Lorena Dias de Araujo",$B:$B,"&lt;&gt;Lucas Luiz Romero")*(10/1083),0)))))),0)</f>
        <v>14</v>
      </c>
      <c r="K1436" s="3">
        <f>I1436-J1436</f>
        <v>15</v>
      </c>
      <c r="L1436" s="3" t="str">
        <f>IF(K1436&lt;-5,"CRÍTICO",IF(K1436&lt;0,"ATENÇÃO",IF(K1436&lt;=5,"BOM","EXCELENTE")))</f>
        <v>EXCELENTE</v>
      </c>
      <c r="M1436">
        <v>25</v>
      </c>
      <c r="N1436">
        <v>98.32</v>
      </c>
      <c r="O1436">
        <v>26.763485477178421</v>
      </c>
    </row>
    <row r="1437" spans="1:15" hidden="1" x14ac:dyDescent="0.25">
      <c r="A1437" s="11">
        <v>46045</v>
      </c>
      <c r="B1437" t="s">
        <v>33</v>
      </c>
      <c r="C1437" t="s">
        <v>32</v>
      </c>
      <c r="D1437">
        <v>24</v>
      </c>
      <c r="E1437">
        <v>22</v>
      </c>
      <c r="F1437">
        <v>20.23</v>
      </c>
      <c r="G1437">
        <v>0</v>
      </c>
      <c r="H1437">
        <v>0</v>
      </c>
      <c r="I1437" s="3">
        <f>E1437+G1437+H1437</f>
        <v>22</v>
      </c>
      <c r="J1437" s="3">
        <f>ROUND(MIN(IF(C1437="Técnico III",35,IF(C1437="Técnico II",28,IF(C1437="Técnico I",23,IF(C1437="JR",20,IF(C1437="Estágio",10,0))))),IF(C1437="Técnico III",SUMIFS($D:$D,$A:$A,$A1437,$B:$B,"&lt;&gt;Patrícia Karla de Sousa Araújo",$B:$B,"&lt;&gt;Lorena Dias de Araujo",$B:$B,"&lt;&gt;Lucas Luiz Romero")*(35/1083),IF(C1437="Técnico II",SUMIFS($D:$D,$A:$A,$A1437,$B:$B,"&lt;&gt;Patrícia Karla de Sousa Araújo",$B:$B,"&lt;&gt;Lorena Dias de Araujo",$B:$B,"&lt;&gt;Lucas Luiz Romero")*(28/1083),IF(C1437="Técnico I",SUMIFS($D:$D,$A:$A,$A1437,$B:$B,"&lt;&gt;Patrícia Karla de Sousa Araújo",$B:$B,"&lt;&gt;Lorena Dias de Araujo",$B:$B,"&lt;&gt;Lucas Luiz Romero")*(23/1083),IF(C1437="JR",SUMIFS($D:$D,$A:$A,$A1437,$B:$B,"&lt;&gt;Patrícia Karla de Sousa Araújo",$B:$B,"&lt;&gt;Lorena Dias de Araujo",$B:$B,"&lt;&gt;Lucas Luiz Romero")*(20/1083),IF(C1437="Estágio",SUMIFS($D:$D,$A:$A,$A1437,$B:$B,"&lt;&gt;Patrícia Karla de Sousa Araújo",$B:$B,"&lt;&gt;Lorena Dias de Araujo",$B:$B,"&lt;&gt;Lucas Luiz Romero")*(10/1083),0)))))),0)</f>
        <v>21</v>
      </c>
      <c r="K1437" s="3">
        <f>I1437-J1437</f>
        <v>1</v>
      </c>
      <c r="L1437" s="3" t="str">
        <f>IF(K1437&lt;-5,"CRÍTICO",IF(K1437&lt;0,"ATENÇÃO",IF(K1437&lt;=5,"BOM","EXCELENTE")))</f>
        <v>BOM</v>
      </c>
      <c r="M1437">
        <v>21</v>
      </c>
      <c r="N1437">
        <v>99.19</v>
      </c>
      <c r="O1437">
        <v>27.637130801687761</v>
      </c>
    </row>
    <row r="1438" spans="1:15" hidden="1" x14ac:dyDescent="0.25">
      <c r="A1438" s="11">
        <v>46045</v>
      </c>
      <c r="B1438" t="s">
        <v>15</v>
      </c>
      <c r="C1438" t="s">
        <v>16</v>
      </c>
      <c r="D1438">
        <v>8</v>
      </c>
      <c r="E1438">
        <v>8</v>
      </c>
      <c r="F1438">
        <v>33.450000000000003</v>
      </c>
      <c r="G1438">
        <v>0</v>
      </c>
      <c r="H1438">
        <v>0</v>
      </c>
      <c r="I1438" s="3">
        <f>E1438+G1438+H1438</f>
        <v>8</v>
      </c>
      <c r="J1438" s="3">
        <f>ROUND(MIN(IF(C1438="Técnico III",35,IF(C1438="Técnico II",28,IF(C1438="Técnico I",23,IF(C1438="JR",20,IF(C1438="Estágio",10,0))))),IF(C1438="Técnico III",SUMIFS($D:$D,$A:$A,$A1438,$B:$B,"&lt;&gt;Patrícia Karla de Sousa Araújo",$B:$B,"&lt;&gt;Lorena Dias de Araujo",$B:$B,"&lt;&gt;Lucas Luiz Romero")*(35/1083),IF(C1438="Técnico II",SUMIFS($D:$D,$A:$A,$A1438,$B:$B,"&lt;&gt;Patrícia Karla de Sousa Araújo",$B:$B,"&lt;&gt;Lorena Dias de Araujo",$B:$B,"&lt;&gt;Lucas Luiz Romero")*(28/1083),IF(C1438="Técnico I",SUMIFS($D:$D,$A:$A,$A1438,$B:$B,"&lt;&gt;Patrícia Karla de Sousa Araújo",$B:$B,"&lt;&gt;Lorena Dias de Araujo",$B:$B,"&lt;&gt;Lucas Luiz Romero")*(23/1083),IF(C1438="JR",SUMIFS($D:$D,$A:$A,$A1438,$B:$B,"&lt;&gt;Patrícia Karla de Sousa Araújo",$B:$B,"&lt;&gt;Lorena Dias de Araujo",$B:$B,"&lt;&gt;Lucas Luiz Romero")*(20/1083),IF(C1438="Estágio",SUMIFS($D:$D,$A:$A,$A1438,$B:$B,"&lt;&gt;Patrícia Karla de Sousa Araújo",$B:$B,"&lt;&gt;Lorena Dias de Araujo",$B:$B,"&lt;&gt;Lucas Luiz Romero")*(10/1083),0)))))),0)</f>
        <v>6</v>
      </c>
      <c r="K1438" s="3">
        <f>I1438-J1438</f>
        <v>2</v>
      </c>
      <c r="L1438" s="3" t="str">
        <f>IF(K1438&lt;-5,"CRÍTICO",IF(K1438&lt;0,"ATENÇÃO",IF(K1438&lt;=5,"BOM","EXCELENTE")))</f>
        <v>BOM</v>
      </c>
      <c r="M1438">
        <v>7</v>
      </c>
      <c r="N1438">
        <v>100</v>
      </c>
      <c r="O1438">
        <v>39.568345323741013</v>
      </c>
    </row>
    <row r="1439" spans="1:15" hidden="1" x14ac:dyDescent="0.25">
      <c r="A1439" s="11">
        <v>46045</v>
      </c>
      <c r="B1439" t="s">
        <v>49</v>
      </c>
      <c r="C1439" t="s">
        <v>48</v>
      </c>
      <c r="D1439">
        <v>24</v>
      </c>
      <c r="E1439">
        <v>21</v>
      </c>
      <c r="F1439">
        <v>18.23</v>
      </c>
      <c r="G1439">
        <v>0</v>
      </c>
      <c r="H1439">
        <v>0</v>
      </c>
      <c r="I1439" s="3">
        <f>E1439+G1439+H1439</f>
        <v>21</v>
      </c>
      <c r="J1439" s="3">
        <f>ROUND(MIN(IF(C1439="Técnico III",35,IF(C1439="Técnico II",28,IF(C1439="Técnico I",23,IF(C1439="JR",20,IF(C1439="Estágio",10,0))))),IF(C1439="Técnico III",SUMIFS($D:$D,$A:$A,$A1439,$B:$B,"&lt;&gt;Patrícia Karla de Sousa Araújo",$B:$B,"&lt;&gt;Lorena Dias de Araujo",$B:$B,"&lt;&gt;Lucas Luiz Romero")*(35/1083),IF(C1439="Técnico II",SUMIFS($D:$D,$A:$A,$A1439,$B:$B,"&lt;&gt;Patrícia Karla de Sousa Araújo",$B:$B,"&lt;&gt;Lorena Dias de Araujo",$B:$B,"&lt;&gt;Lucas Luiz Romero")*(28/1083),IF(C1439="Técnico I",SUMIFS($D:$D,$A:$A,$A1439,$B:$B,"&lt;&gt;Patrícia Karla de Sousa Araújo",$B:$B,"&lt;&gt;Lorena Dias de Araujo",$B:$B,"&lt;&gt;Lucas Luiz Romero")*(23/1083),IF(C1439="JR",SUMIFS($D:$D,$A:$A,$A1439,$B:$B,"&lt;&gt;Patrícia Karla de Sousa Araújo",$B:$B,"&lt;&gt;Lorena Dias de Araujo",$B:$B,"&lt;&gt;Lucas Luiz Romero")*(20/1083),IF(C1439="Estágio",SUMIFS($D:$D,$A:$A,$A1439,$B:$B,"&lt;&gt;Patrícia Karla de Sousa Araújo",$B:$B,"&lt;&gt;Lorena Dias de Araujo",$B:$B,"&lt;&gt;Lucas Luiz Romero")*(10/1083),0)))))),0)</f>
        <v>17</v>
      </c>
      <c r="K1439" s="3">
        <f>I1439-J1439</f>
        <v>4</v>
      </c>
      <c r="L1439" s="3" t="str">
        <f>IF(K1439&lt;-5,"CRÍTICO",IF(K1439&lt;0,"ATENÇÃO",IF(K1439&lt;=5,"BOM","EXCELENTE")))</f>
        <v>BOM</v>
      </c>
      <c r="M1439">
        <v>21</v>
      </c>
      <c r="N1439">
        <v>98.54</v>
      </c>
      <c r="O1439">
        <v>28.544776119402989</v>
      </c>
    </row>
    <row r="1440" spans="1:15" hidden="1" x14ac:dyDescent="0.25">
      <c r="A1440" s="11">
        <v>46045</v>
      </c>
      <c r="B1440" t="s">
        <v>50</v>
      </c>
      <c r="C1440" t="s">
        <v>48</v>
      </c>
      <c r="D1440">
        <v>24</v>
      </c>
      <c r="E1440">
        <v>23</v>
      </c>
      <c r="F1440">
        <v>20.34</v>
      </c>
      <c r="G1440">
        <v>0</v>
      </c>
      <c r="H1440">
        <v>0</v>
      </c>
      <c r="I1440" s="3">
        <f>E1440+G1440+H1440</f>
        <v>23</v>
      </c>
      <c r="J1440" s="3">
        <f>ROUND(MIN(IF(C1440="Técnico III",35,IF(C1440="Técnico II",28,IF(C1440="Técnico I",23,IF(C1440="JR",20,IF(C1440="Estágio",10,0))))),IF(C1440="Técnico III",SUMIFS($D:$D,$A:$A,$A1440,$B:$B,"&lt;&gt;Patrícia Karla de Sousa Araújo",$B:$B,"&lt;&gt;Lorena Dias de Araujo",$B:$B,"&lt;&gt;Lucas Luiz Romero")*(35/1083),IF(C1440="Técnico II",SUMIFS($D:$D,$A:$A,$A1440,$B:$B,"&lt;&gt;Patrícia Karla de Sousa Araújo",$B:$B,"&lt;&gt;Lorena Dias de Araujo",$B:$B,"&lt;&gt;Lucas Luiz Romero")*(28/1083),IF(C1440="Técnico I",SUMIFS($D:$D,$A:$A,$A1440,$B:$B,"&lt;&gt;Patrícia Karla de Sousa Araújo",$B:$B,"&lt;&gt;Lorena Dias de Araujo",$B:$B,"&lt;&gt;Lucas Luiz Romero")*(23/1083),IF(C1440="JR",SUMIFS($D:$D,$A:$A,$A1440,$B:$B,"&lt;&gt;Patrícia Karla de Sousa Araújo",$B:$B,"&lt;&gt;Lorena Dias de Araujo",$B:$B,"&lt;&gt;Lucas Luiz Romero")*(20/1083),IF(C1440="Estágio",SUMIFS($D:$D,$A:$A,$A1440,$B:$B,"&lt;&gt;Patrícia Karla de Sousa Araújo",$B:$B,"&lt;&gt;Lorena Dias de Araujo",$B:$B,"&lt;&gt;Lucas Luiz Romero")*(10/1083),0)))))),0)</f>
        <v>17</v>
      </c>
      <c r="K1440" s="3">
        <f>I1440-J1440</f>
        <v>6</v>
      </c>
      <c r="L1440" s="3" t="str">
        <f>IF(K1440&lt;-5,"CRÍTICO",IF(K1440&lt;0,"ATENÇÃO",IF(K1440&lt;=5,"BOM","EXCELENTE")))</f>
        <v>EXCELENTE</v>
      </c>
      <c r="M1440">
        <v>21</v>
      </c>
      <c r="N1440">
        <v>100</v>
      </c>
      <c r="O1440">
        <v>34.366925064599492</v>
      </c>
    </row>
    <row r="1441" spans="1:15" hidden="1" x14ac:dyDescent="0.25">
      <c r="A1441" s="11">
        <v>46045</v>
      </c>
      <c r="B1441" t="s">
        <v>17</v>
      </c>
      <c r="C1441" t="s">
        <v>16</v>
      </c>
      <c r="D1441">
        <v>0</v>
      </c>
      <c r="E1441">
        <v>0</v>
      </c>
      <c r="F1441">
        <v>0</v>
      </c>
      <c r="G1441">
        <v>0</v>
      </c>
      <c r="H1441">
        <v>0</v>
      </c>
      <c r="I1441" s="3">
        <v>0</v>
      </c>
      <c r="J1441" s="3">
        <v>0</v>
      </c>
      <c r="K1441" s="3">
        <v>0</v>
      </c>
      <c r="L1441" s="3" t="str">
        <f>IF(K1441&lt;-5,"CRÍTICO",IF(K1441&lt;0,"ATENÇÃO",IF(K1441&lt;=5,"BOM","EXCELENTE")))</f>
        <v>BOM</v>
      </c>
      <c r="M1441">
        <v>0</v>
      </c>
      <c r="N1441">
        <v>0</v>
      </c>
      <c r="O1441">
        <v>0</v>
      </c>
    </row>
    <row r="1442" spans="1:15" hidden="1" x14ac:dyDescent="0.25">
      <c r="A1442" s="11">
        <v>46045</v>
      </c>
      <c r="B1442" t="s">
        <v>60</v>
      </c>
      <c r="C1442" t="s">
        <v>23</v>
      </c>
      <c r="D1442">
        <v>16</v>
      </c>
      <c r="E1442">
        <v>15</v>
      </c>
      <c r="F1442">
        <v>19</v>
      </c>
      <c r="G1442">
        <v>0</v>
      </c>
      <c r="H1442">
        <v>0</v>
      </c>
      <c r="I1442" s="3">
        <f>E1442+G1442+H1442</f>
        <v>15</v>
      </c>
      <c r="J1442" s="3">
        <f>ROUND(MIN(IF(C1442="Técnico III",35,IF(C1442="Técnico II",28,IF(C1442="Técnico I",23,IF(C1442="JR",20,IF(C1442="Estágio",10,0))))),IF(C1442="Técnico III",SUMIFS($D:$D,$A:$A,$A1442,$B:$B,"&lt;&gt;Patrícia Karla de Sousa Araújo",$B:$B,"&lt;&gt;Lorena Dias de Araujo",$B:$B,"&lt;&gt;Lucas Luiz Romero")*(35/1083),IF(C1442="Técnico II",SUMIFS($D:$D,$A:$A,$A1442,$B:$B,"&lt;&gt;Patrícia Karla de Sousa Araújo",$B:$B,"&lt;&gt;Lorena Dias de Araujo",$B:$B,"&lt;&gt;Lucas Luiz Romero")*(28/1083),IF(C1442="Técnico I",SUMIFS($D:$D,$A:$A,$A1442,$B:$B,"&lt;&gt;Patrícia Karla de Sousa Araújo",$B:$B,"&lt;&gt;Lorena Dias de Araujo",$B:$B,"&lt;&gt;Lucas Luiz Romero")*(23/1083),IF(C1442="JR",SUMIFS($D:$D,$A:$A,$A1442,$B:$B,"&lt;&gt;Patrícia Karla de Sousa Araújo",$B:$B,"&lt;&gt;Lorena Dias de Araujo",$B:$B,"&lt;&gt;Lucas Luiz Romero")*(20/1083),IF(C1442="Estágio",SUMIFS($D:$D,$A:$A,$A1442,$B:$B,"&lt;&gt;Patrícia Karla de Sousa Araújo",$B:$B,"&lt;&gt;Lorena Dias de Araujo",$B:$B,"&lt;&gt;Lucas Luiz Romero")*(10/1083),0)))))),0)</f>
        <v>14</v>
      </c>
      <c r="K1442" s="3">
        <f>I1442-J1442</f>
        <v>1</v>
      </c>
      <c r="L1442" s="3" t="str">
        <f>IF(K1442&lt;-5,"CRÍTICO",IF(K1442&lt;0,"ATENÇÃO",IF(K1442&lt;=5,"BOM","EXCELENTE")))</f>
        <v>BOM</v>
      </c>
      <c r="M1442">
        <v>15</v>
      </c>
      <c r="N1442">
        <v>100</v>
      </c>
      <c r="O1442">
        <v>29.518072289156631</v>
      </c>
    </row>
    <row r="1443" spans="1:15" hidden="1" x14ac:dyDescent="0.25">
      <c r="A1443" s="11">
        <v>46045</v>
      </c>
      <c r="B1443" t="s">
        <v>34</v>
      </c>
      <c r="C1443" t="s">
        <v>32</v>
      </c>
      <c r="D1443">
        <v>28</v>
      </c>
      <c r="E1443">
        <v>27</v>
      </c>
      <c r="F1443">
        <v>15.1</v>
      </c>
      <c r="G1443">
        <v>0</v>
      </c>
      <c r="H1443">
        <v>0</v>
      </c>
      <c r="I1443" s="3">
        <f>E1443+G1443+H1443</f>
        <v>27</v>
      </c>
      <c r="J1443" s="3">
        <f>ROUND(MIN(IF(C1443="Técnico III",35,IF(C1443="Técnico II",28,IF(C1443="Técnico I",23,IF(C1443="JR",20,IF(C1443="Estágio",10,0))))),IF(C1443="Técnico III",SUMIFS($D:$D,$A:$A,$A1443,$B:$B,"&lt;&gt;Patrícia Karla de Sousa Araújo",$B:$B,"&lt;&gt;Lorena Dias de Araujo",$B:$B,"&lt;&gt;Lucas Luiz Romero")*(35/1083),IF(C1443="Técnico II",SUMIFS($D:$D,$A:$A,$A1443,$B:$B,"&lt;&gt;Patrícia Karla de Sousa Araújo",$B:$B,"&lt;&gt;Lorena Dias de Araujo",$B:$B,"&lt;&gt;Lucas Luiz Romero")*(28/1083),IF(C1443="Técnico I",SUMIFS($D:$D,$A:$A,$A1443,$B:$B,"&lt;&gt;Patrícia Karla de Sousa Araújo",$B:$B,"&lt;&gt;Lorena Dias de Araujo",$B:$B,"&lt;&gt;Lucas Luiz Romero")*(23/1083),IF(C1443="JR",SUMIFS($D:$D,$A:$A,$A1443,$B:$B,"&lt;&gt;Patrícia Karla de Sousa Araújo",$B:$B,"&lt;&gt;Lorena Dias de Araujo",$B:$B,"&lt;&gt;Lucas Luiz Romero")*(20/1083),IF(C1443="Estágio",SUMIFS($D:$D,$A:$A,$A1443,$B:$B,"&lt;&gt;Patrícia Karla de Sousa Araújo",$B:$B,"&lt;&gt;Lorena Dias de Araujo",$B:$B,"&lt;&gt;Lucas Luiz Romero")*(10/1083),0)))))),0)</f>
        <v>21</v>
      </c>
      <c r="K1443" s="3">
        <f>I1443-J1443</f>
        <v>6</v>
      </c>
      <c r="L1443" s="3" t="str">
        <f>IF(K1443&lt;-5,"CRÍTICO",IF(K1443&lt;0,"ATENÇÃO",IF(K1443&lt;=5,"BOM","EXCELENTE")))</f>
        <v>EXCELENTE</v>
      </c>
      <c r="M1443">
        <v>20</v>
      </c>
      <c r="N1443">
        <v>97.45</v>
      </c>
      <c r="O1443">
        <v>41.421143847487002</v>
      </c>
    </row>
    <row r="1444" spans="1:15" hidden="1" x14ac:dyDescent="0.25">
      <c r="A1444" s="11">
        <v>46045</v>
      </c>
      <c r="B1444" t="s">
        <v>51</v>
      </c>
      <c r="C1444" t="s">
        <v>48</v>
      </c>
      <c r="D1444">
        <v>31</v>
      </c>
      <c r="E1444">
        <v>20</v>
      </c>
      <c r="F1444">
        <v>11.42</v>
      </c>
      <c r="G1444">
        <v>0</v>
      </c>
      <c r="H1444">
        <v>0</v>
      </c>
      <c r="I1444" s="3">
        <v>0</v>
      </c>
      <c r="J1444" s="3">
        <v>0</v>
      </c>
      <c r="K1444" s="3">
        <v>0</v>
      </c>
      <c r="L1444" s="3" t="str">
        <f>IF(K1444&lt;-5,"CRÍTICO",IF(K1444&lt;0,"ATENÇÃO",IF(K1444&lt;=5,"BOM","EXCELENTE")))</f>
        <v>BOM</v>
      </c>
      <c r="M1444">
        <v>16</v>
      </c>
      <c r="N1444">
        <v>96.58</v>
      </c>
      <c r="O1444">
        <v>30.396475770925111</v>
      </c>
    </row>
    <row r="1445" spans="1:15" hidden="1" x14ac:dyDescent="0.25">
      <c r="A1445" s="11">
        <v>46045</v>
      </c>
      <c r="B1445" t="s">
        <v>61</v>
      </c>
      <c r="C1445" t="s">
        <v>23</v>
      </c>
      <c r="D1445">
        <v>29</v>
      </c>
      <c r="E1445">
        <v>27</v>
      </c>
      <c r="F1445">
        <v>14.13</v>
      </c>
      <c r="G1445">
        <v>0</v>
      </c>
      <c r="H1445">
        <v>0</v>
      </c>
      <c r="I1445" s="3">
        <f>E1445+G1445+H1445</f>
        <v>27</v>
      </c>
      <c r="J1445" s="3">
        <f>ROUND(MIN(IF(C1445="Técnico III",35,IF(C1445="Técnico II",28,IF(C1445="Técnico I",23,IF(C1445="JR",20,IF(C1445="Estágio",10,0))))),IF(C1445="Técnico III",SUMIFS($D:$D,$A:$A,$A1445,$B:$B,"&lt;&gt;Patrícia Karla de Sousa Araújo",$B:$B,"&lt;&gt;Lorena Dias de Araujo",$B:$B,"&lt;&gt;Lucas Luiz Romero")*(35/1083),IF(C1445="Técnico II",SUMIFS($D:$D,$A:$A,$A1445,$B:$B,"&lt;&gt;Patrícia Karla de Sousa Araújo",$B:$B,"&lt;&gt;Lorena Dias de Araujo",$B:$B,"&lt;&gt;Lucas Luiz Romero")*(28/1083),IF(C1445="Técnico I",SUMIFS($D:$D,$A:$A,$A1445,$B:$B,"&lt;&gt;Patrícia Karla de Sousa Araújo",$B:$B,"&lt;&gt;Lorena Dias de Araujo",$B:$B,"&lt;&gt;Lucas Luiz Romero")*(23/1083),IF(C1445="JR",SUMIFS($D:$D,$A:$A,$A1445,$B:$B,"&lt;&gt;Patrícia Karla de Sousa Araújo",$B:$B,"&lt;&gt;Lorena Dias de Araujo",$B:$B,"&lt;&gt;Lucas Luiz Romero")*(20/1083),IF(C1445="Estágio",SUMIFS($D:$D,$A:$A,$A1445,$B:$B,"&lt;&gt;Patrícia Karla de Sousa Araújo",$B:$B,"&lt;&gt;Lorena Dias de Araujo",$B:$B,"&lt;&gt;Lucas Luiz Romero")*(10/1083),0)))))),0)</f>
        <v>14</v>
      </c>
      <c r="K1445" s="3">
        <f>I1445-J1445</f>
        <v>13</v>
      </c>
      <c r="L1445" s="3" t="str">
        <f>IF(K1445&lt;-5,"CRÍTICO",IF(K1445&lt;0,"ATENÇÃO",IF(K1445&lt;=5,"BOM","EXCELENTE")))</f>
        <v>EXCELENTE</v>
      </c>
      <c r="M1445">
        <v>31</v>
      </c>
      <c r="N1445">
        <v>100</v>
      </c>
      <c r="O1445">
        <v>27.44282744282744</v>
      </c>
    </row>
    <row r="1446" spans="1:15" hidden="1" x14ac:dyDescent="0.25">
      <c r="A1446" s="11">
        <v>46045</v>
      </c>
      <c r="B1446" t="s">
        <v>35</v>
      </c>
      <c r="C1446" t="s">
        <v>32</v>
      </c>
      <c r="D1446">
        <v>25</v>
      </c>
      <c r="E1446">
        <v>24</v>
      </c>
      <c r="F1446">
        <v>23.24</v>
      </c>
      <c r="G1446">
        <v>0</v>
      </c>
      <c r="H1446">
        <v>0</v>
      </c>
      <c r="I1446" s="3">
        <v>0</v>
      </c>
      <c r="J1446" s="3">
        <v>0</v>
      </c>
      <c r="K1446" s="3">
        <v>0</v>
      </c>
      <c r="L1446" s="3" t="str">
        <f>IF(K1446&lt;-5,"CRÍTICO",IF(K1446&lt;0,"ATENÇÃO",IF(K1446&lt;=5,"BOM","EXCELENTE")))</f>
        <v>BOM</v>
      </c>
      <c r="M1446">
        <v>24</v>
      </c>
      <c r="N1446">
        <v>99.49</v>
      </c>
      <c r="O1446">
        <v>40.200000000000003</v>
      </c>
    </row>
    <row r="1447" spans="1:15" hidden="1" x14ac:dyDescent="0.25">
      <c r="A1447" s="11">
        <v>46045</v>
      </c>
      <c r="B1447" t="s">
        <v>18</v>
      </c>
      <c r="C1447" t="s">
        <v>16</v>
      </c>
      <c r="D1447">
        <v>0</v>
      </c>
      <c r="E1447">
        <v>0</v>
      </c>
      <c r="F1447">
        <v>0</v>
      </c>
      <c r="G1447">
        <v>0</v>
      </c>
      <c r="H1447">
        <v>0</v>
      </c>
      <c r="I1447" s="3">
        <v>0</v>
      </c>
      <c r="J1447" s="3">
        <v>0</v>
      </c>
      <c r="K1447" s="3">
        <v>0</v>
      </c>
      <c r="L1447" s="3" t="str">
        <f>IF(K1447&lt;-5,"CRÍTICO",IF(K1447&lt;0,"ATENÇÃO",IF(K1447&lt;=5,"BOM","EXCELENTE")))</f>
        <v>BOM</v>
      </c>
      <c r="M1447">
        <v>0</v>
      </c>
      <c r="N1447">
        <v>100</v>
      </c>
      <c r="O1447">
        <v>25</v>
      </c>
    </row>
    <row r="1448" spans="1:15" hidden="1" x14ac:dyDescent="0.25">
      <c r="A1448" s="11">
        <v>46045</v>
      </c>
      <c r="B1448" t="s">
        <v>52</v>
      </c>
      <c r="C1448" t="s">
        <v>48</v>
      </c>
      <c r="D1448">
        <v>21</v>
      </c>
      <c r="E1448">
        <v>20</v>
      </c>
      <c r="F1448">
        <v>23.41</v>
      </c>
      <c r="G1448">
        <v>0</v>
      </c>
      <c r="H1448">
        <v>0</v>
      </c>
      <c r="I1448" s="3">
        <f>E1448+G1448+H1448</f>
        <v>20</v>
      </c>
      <c r="J1448" s="3">
        <f>ROUND(MIN(IF(C1448="Técnico III",35,IF(C1448="Técnico II",28,IF(C1448="Técnico I",23,IF(C1448="JR",20,IF(C1448="Estágio",10,0))))),IF(C1448="Técnico III",SUMIFS($D:$D,$A:$A,$A1448,$B:$B,"&lt;&gt;Patrícia Karla de Sousa Araújo",$B:$B,"&lt;&gt;Lorena Dias de Araujo",$B:$B,"&lt;&gt;Lucas Luiz Romero")*(35/1083),IF(C1448="Técnico II",SUMIFS($D:$D,$A:$A,$A1448,$B:$B,"&lt;&gt;Patrícia Karla de Sousa Araújo",$B:$B,"&lt;&gt;Lorena Dias de Araujo",$B:$B,"&lt;&gt;Lucas Luiz Romero")*(28/1083),IF(C1448="Técnico I",SUMIFS($D:$D,$A:$A,$A1448,$B:$B,"&lt;&gt;Patrícia Karla de Sousa Araújo",$B:$B,"&lt;&gt;Lorena Dias de Araujo",$B:$B,"&lt;&gt;Lucas Luiz Romero")*(23/1083),IF(C1448="JR",SUMIFS($D:$D,$A:$A,$A1448,$B:$B,"&lt;&gt;Patrícia Karla de Sousa Araújo",$B:$B,"&lt;&gt;Lorena Dias de Araujo",$B:$B,"&lt;&gt;Lucas Luiz Romero")*(20/1083),IF(C1448="Estágio",SUMIFS($D:$D,$A:$A,$A1448,$B:$B,"&lt;&gt;Patrícia Karla de Sousa Araújo",$B:$B,"&lt;&gt;Lorena Dias de Araujo",$B:$B,"&lt;&gt;Lucas Luiz Romero")*(10/1083),0)))))),0)</f>
        <v>17</v>
      </c>
      <c r="K1448" s="3">
        <f>I1448-J1448</f>
        <v>3</v>
      </c>
      <c r="L1448" s="3" t="str">
        <f>IF(K1448&lt;-5,"CRÍTICO",IF(K1448&lt;0,"ATENÇÃO",IF(K1448&lt;=5,"BOM","EXCELENTE")))</f>
        <v>BOM</v>
      </c>
      <c r="M1448">
        <v>20</v>
      </c>
      <c r="N1448">
        <v>100</v>
      </c>
      <c r="O1448">
        <v>34.15094339622641</v>
      </c>
    </row>
    <row r="1449" spans="1:15" hidden="1" x14ac:dyDescent="0.25">
      <c r="A1449" s="11">
        <v>46045</v>
      </c>
      <c r="B1449" t="s">
        <v>36</v>
      </c>
      <c r="C1449" t="s">
        <v>32</v>
      </c>
      <c r="D1449">
        <v>15</v>
      </c>
      <c r="E1449">
        <v>13</v>
      </c>
      <c r="F1449">
        <v>21.45</v>
      </c>
      <c r="G1449">
        <v>0</v>
      </c>
      <c r="H1449">
        <v>0</v>
      </c>
      <c r="I1449" s="3">
        <f>E1449+G1449+H1449</f>
        <v>13</v>
      </c>
      <c r="J1449" s="3">
        <f>ROUND(MIN(IF(C1449="Técnico III",35,IF(C1449="Técnico II",28,IF(C1449="Técnico I",23,IF(C1449="JR",20,IF(C1449="Estágio",10,0))))),IF(C1449="Técnico III",SUMIFS($D:$D,$A:$A,$A1449,$B:$B,"&lt;&gt;Patrícia Karla de Sousa Araújo",$B:$B,"&lt;&gt;Lorena Dias de Araujo",$B:$B,"&lt;&gt;Lucas Luiz Romero")*(35/1083),IF(C1449="Técnico II",SUMIFS($D:$D,$A:$A,$A1449,$B:$B,"&lt;&gt;Patrícia Karla de Sousa Araújo",$B:$B,"&lt;&gt;Lorena Dias de Araujo",$B:$B,"&lt;&gt;Lucas Luiz Romero")*(28/1083),IF(C1449="Técnico I",SUMIFS($D:$D,$A:$A,$A1449,$B:$B,"&lt;&gt;Patrícia Karla de Sousa Araújo",$B:$B,"&lt;&gt;Lorena Dias de Araujo",$B:$B,"&lt;&gt;Lucas Luiz Romero")*(23/1083),IF(C1449="JR",SUMIFS($D:$D,$A:$A,$A1449,$B:$B,"&lt;&gt;Patrícia Karla de Sousa Araújo",$B:$B,"&lt;&gt;Lorena Dias de Araujo",$B:$B,"&lt;&gt;Lucas Luiz Romero")*(20/1083),IF(C1449="Estágio",SUMIFS($D:$D,$A:$A,$A1449,$B:$B,"&lt;&gt;Patrícia Karla de Sousa Araújo",$B:$B,"&lt;&gt;Lorena Dias de Araujo",$B:$B,"&lt;&gt;Lucas Luiz Romero")*(10/1083),0)))))),0)</f>
        <v>21</v>
      </c>
      <c r="K1449" s="3">
        <f>I1449-J1449</f>
        <v>-8</v>
      </c>
      <c r="L1449" s="3" t="str">
        <f>IF(K1449&lt;-5,"CRÍTICO",IF(K1449&lt;0,"ATENÇÃO",IF(K1449&lt;=5,"BOM","EXCELENTE")))</f>
        <v>CRÍTICO</v>
      </c>
      <c r="M1449">
        <v>15</v>
      </c>
      <c r="N1449">
        <v>100</v>
      </c>
      <c r="O1449">
        <v>32.731376975169297</v>
      </c>
    </row>
    <row r="1450" spans="1:15" hidden="1" x14ac:dyDescent="0.25">
      <c r="A1450" s="11">
        <v>46045</v>
      </c>
      <c r="B1450" t="s">
        <v>53</v>
      </c>
      <c r="C1450" t="s">
        <v>48</v>
      </c>
      <c r="D1450">
        <v>20</v>
      </c>
      <c r="E1450">
        <v>17</v>
      </c>
      <c r="F1450">
        <v>23.49</v>
      </c>
      <c r="G1450">
        <v>0</v>
      </c>
      <c r="H1450">
        <v>0</v>
      </c>
      <c r="I1450" s="3">
        <f>E1450+G1450+H1450</f>
        <v>17</v>
      </c>
      <c r="J1450" s="3">
        <f>ROUND(MIN(IF(C1450="Técnico III",35,IF(C1450="Técnico II",28,IF(C1450="Técnico I",23,IF(C1450="JR",20,IF(C1450="Estágio",10,0))))),IF(C1450="Técnico III",SUMIFS($D:$D,$A:$A,$A1450,$B:$B,"&lt;&gt;Patrícia Karla de Sousa Araújo",$B:$B,"&lt;&gt;Lorena Dias de Araujo",$B:$B,"&lt;&gt;Lucas Luiz Romero")*(35/1083),IF(C1450="Técnico II",SUMIFS($D:$D,$A:$A,$A1450,$B:$B,"&lt;&gt;Patrícia Karla de Sousa Araújo",$B:$B,"&lt;&gt;Lorena Dias de Araujo",$B:$B,"&lt;&gt;Lucas Luiz Romero")*(28/1083),IF(C1450="Técnico I",SUMIFS($D:$D,$A:$A,$A1450,$B:$B,"&lt;&gt;Patrícia Karla de Sousa Araújo",$B:$B,"&lt;&gt;Lorena Dias de Araujo",$B:$B,"&lt;&gt;Lucas Luiz Romero")*(23/1083),IF(C1450="JR",SUMIFS($D:$D,$A:$A,$A1450,$B:$B,"&lt;&gt;Patrícia Karla de Sousa Araújo",$B:$B,"&lt;&gt;Lorena Dias de Araujo",$B:$B,"&lt;&gt;Lucas Luiz Romero")*(20/1083),IF(C1450="Estágio",SUMIFS($D:$D,$A:$A,$A1450,$B:$B,"&lt;&gt;Patrícia Karla de Sousa Araújo",$B:$B,"&lt;&gt;Lorena Dias de Araujo",$B:$B,"&lt;&gt;Lucas Luiz Romero")*(10/1083),0)))))),0)</f>
        <v>17</v>
      </c>
      <c r="K1450" s="3">
        <f>I1450-J1450</f>
        <v>0</v>
      </c>
      <c r="L1450" s="3" t="str">
        <f>IF(K1450&lt;-5,"CRÍTICO",IF(K1450&lt;0,"ATENÇÃO",IF(K1450&lt;=5,"BOM","EXCELENTE")))</f>
        <v>BOM</v>
      </c>
      <c r="M1450">
        <v>18</v>
      </c>
      <c r="N1450">
        <v>99.31</v>
      </c>
      <c r="O1450">
        <v>30.96234309623431</v>
      </c>
    </row>
    <row r="1451" spans="1:15" hidden="1" x14ac:dyDescent="0.25">
      <c r="A1451" s="11">
        <v>46079</v>
      </c>
      <c r="B1451" t="s">
        <v>22</v>
      </c>
      <c r="C1451" t="s">
        <v>23</v>
      </c>
      <c r="D1451">
        <v>13</v>
      </c>
      <c r="E1451">
        <v>13</v>
      </c>
      <c r="F1451">
        <v>28.57</v>
      </c>
      <c r="G1451">
        <v>0</v>
      </c>
      <c r="H1451">
        <v>0</v>
      </c>
      <c r="I1451" s="3">
        <f>E1451+G1451+H1451</f>
        <v>13</v>
      </c>
      <c r="J1451" s="3">
        <f>ROUND(MIN(IF(C1451="Técnico III",35,IF(C1451="Técnico II",28,IF(C1451="Técnico I",23,IF(C1451="JR",20,IF(C1451="Estágio",10,0))))),IF(C1451="Técnico III",SUMIFS($D:$D,$A:$A,$A1451,$B:$B,"&lt;&gt;Patrícia Karla de Sousa Araújo",$B:$B,"&lt;&gt;Lorena Dias de Araujo",$B:$B,"&lt;&gt;Lucas Luiz Romero")*(35/1083),IF(C1451="Técnico II",SUMIFS($D:$D,$A:$A,$A1451,$B:$B,"&lt;&gt;Patrícia Karla de Sousa Araújo",$B:$B,"&lt;&gt;Lorena Dias de Araujo",$B:$B,"&lt;&gt;Lucas Luiz Romero")*(28/1083),IF(C1451="Técnico I",SUMIFS($D:$D,$A:$A,$A1451,$B:$B,"&lt;&gt;Patrícia Karla de Sousa Araújo",$B:$B,"&lt;&gt;Lorena Dias de Araujo",$B:$B,"&lt;&gt;Lucas Luiz Romero")*(23/1083),IF(C1451="JR",SUMIFS($D:$D,$A:$A,$A1451,$B:$B,"&lt;&gt;Patrícia Karla de Sousa Araújo",$B:$B,"&lt;&gt;Lorena Dias de Araujo",$B:$B,"&lt;&gt;Lucas Luiz Romero")*(20/1083),IF(C1451="Estágio",SUMIFS($D:$D,$A:$A,$A1451,$B:$B,"&lt;&gt;Patrícia Karla de Sousa Araújo",$B:$B,"&lt;&gt;Lorena Dias de Araujo",$B:$B,"&lt;&gt;Lucas Luiz Romero")*(10/1083),0)))))),0)</f>
        <v>13</v>
      </c>
      <c r="K1451" s="3">
        <f>I1451-J1451</f>
        <v>0</v>
      </c>
      <c r="L1451" s="3" t="str">
        <f>IF(K1451&lt;-5,"CRÍTICO",IF(K1451&lt;0,"ATENÇÃO",IF(K1451&lt;=5,"BOM","EXCELENTE")))</f>
        <v>BOM</v>
      </c>
      <c r="M1451">
        <v>13</v>
      </c>
      <c r="N1451">
        <v>96.67</v>
      </c>
      <c r="O1451">
        <v>31.451612903225811</v>
      </c>
    </row>
    <row r="1452" spans="1:15" hidden="1" x14ac:dyDescent="0.25">
      <c r="A1452" s="11">
        <v>46045</v>
      </c>
      <c r="B1452" t="s">
        <v>54</v>
      </c>
      <c r="C1452" t="s">
        <v>48</v>
      </c>
      <c r="D1452">
        <v>24</v>
      </c>
      <c r="E1452">
        <v>23</v>
      </c>
      <c r="F1452">
        <v>23.28</v>
      </c>
      <c r="G1452">
        <v>0</v>
      </c>
      <c r="H1452">
        <v>0</v>
      </c>
      <c r="I1452" s="3">
        <f>E1452+G1452+H1452</f>
        <v>23</v>
      </c>
      <c r="J1452" s="3">
        <f>ROUND(MIN(IF(C1452="Técnico III",35,IF(C1452="Técnico II",28,IF(C1452="Técnico I",23,IF(C1452="JR",20,IF(C1452="Estágio",10,0))))),IF(C1452="Técnico III",SUMIFS($D:$D,$A:$A,$A1452,$B:$B,"&lt;&gt;Patrícia Karla de Sousa Araújo",$B:$B,"&lt;&gt;Lorena Dias de Araujo",$B:$B,"&lt;&gt;Lucas Luiz Romero")*(35/1083),IF(C1452="Técnico II",SUMIFS($D:$D,$A:$A,$A1452,$B:$B,"&lt;&gt;Patrícia Karla de Sousa Araújo",$B:$B,"&lt;&gt;Lorena Dias de Araujo",$B:$B,"&lt;&gt;Lucas Luiz Romero")*(28/1083),IF(C1452="Técnico I",SUMIFS($D:$D,$A:$A,$A1452,$B:$B,"&lt;&gt;Patrícia Karla de Sousa Araújo",$B:$B,"&lt;&gt;Lorena Dias de Araujo",$B:$B,"&lt;&gt;Lucas Luiz Romero")*(23/1083),IF(C1452="JR",SUMIFS($D:$D,$A:$A,$A1452,$B:$B,"&lt;&gt;Patrícia Karla de Sousa Araújo",$B:$B,"&lt;&gt;Lorena Dias de Araujo",$B:$B,"&lt;&gt;Lucas Luiz Romero")*(20/1083),IF(C1452="Estágio",SUMIFS($D:$D,$A:$A,$A1452,$B:$B,"&lt;&gt;Patrícia Karla de Sousa Araújo",$B:$B,"&lt;&gt;Lorena Dias de Araujo",$B:$B,"&lt;&gt;Lucas Luiz Romero")*(10/1083),0)))))),0)</f>
        <v>17</v>
      </c>
      <c r="K1452" s="3">
        <f>I1452-J1452</f>
        <v>6</v>
      </c>
      <c r="L1452" s="3" t="str">
        <f>IF(K1452&lt;-5,"CRÍTICO",IF(K1452&lt;0,"ATENÇÃO",IF(K1452&lt;=5,"BOM","EXCELENTE")))</f>
        <v>EXCELENTE</v>
      </c>
      <c r="M1452">
        <v>22</v>
      </c>
      <c r="N1452">
        <v>100</v>
      </c>
      <c r="O1452">
        <v>27.676767676767678</v>
      </c>
    </row>
    <row r="1453" spans="1:15" hidden="1" x14ac:dyDescent="0.25">
      <c r="A1453" s="11">
        <v>46045</v>
      </c>
      <c r="B1453" t="s">
        <v>37</v>
      </c>
      <c r="C1453" t="s">
        <v>32</v>
      </c>
      <c r="D1453">
        <v>36</v>
      </c>
      <c r="E1453">
        <v>34</v>
      </c>
      <c r="F1453">
        <v>18.5</v>
      </c>
      <c r="G1453">
        <v>0</v>
      </c>
      <c r="H1453">
        <v>0</v>
      </c>
      <c r="I1453" s="3">
        <f>E1453+G1453+H1453</f>
        <v>34</v>
      </c>
      <c r="J1453" s="3">
        <f>ROUND(MIN(IF(C1453="Técnico III",35,IF(C1453="Técnico II",28,IF(C1453="Técnico I",23,IF(C1453="JR",20,IF(C1453="Estágio",10,0))))),IF(C1453="Técnico III",SUMIFS($D:$D,$A:$A,$A1453,$B:$B,"&lt;&gt;Patrícia Karla de Sousa Araújo",$B:$B,"&lt;&gt;Lorena Dias de Araujo",$B:$B,"&lt;&gt;Lucas Luiz Romero")*(35/1083),IF(C1453="Técnico II",SUMIFS($D:$D,$A:$A,$A1453,$B:$B,"&lt;&gt;Patrícia Karla de Sousa Araújo",$B:$B,"&lt;&gt;Lorena Dias de Araujo",$B:$B,"&lt;&gt;Lucas Luiz Romero")*(28/1083),IF(C1453="Técnico I",SUMIFS($D:$D,$A:$A,$A1453,$B:$B,"&lt;&gt;Patrícia Karla de Sousa Araújo",$B:$B,"&lt;&gt;Lorena Dias de Araujo",$B:$B,"&lt;&gt;Lucas Luiz Romero")*(23/1083),IF(C1453="JR",SUMIFS($D:$D,$A:$A,$A1453,$B:$B,"&lt;&gt;Patrícia Karla de Sousa Araújo",$B:$B,"&lt;&gt;Lorena Dias de Araujo",$B:$B,"&lt;&gt;Lucas Luiz Romero")*(20/1083),IF(C1453="Estágio",SUMIFS($D:$D,$A:$A,$A1453,$B:$B,"&lt;&gt;Patrícia Karla de Sousa Araújo",$B:$B,"&lt;&gt;Lorena Dias de Araujo",$B:$B,"&lt;&gt;Lucas Luiz Romero")*(10/1083),0)))))),0)</f>
        <v>21</v>
      </c>
      <c r="K1453" s="3">
        <f>I1453-J1453</f>
        <v>13</v>
      </c>
      <c r="L1453" s="3" t="str">
        <f>IF(K1453&lt;-5,"CRÍTICO",IF(K1453&lt;0,"ATENÇÃO",IF(K1453&lt;=5,"BOM","EXCELENTE")))</f>
        <v>EXCELENTE</v>
      </c>
      <c r="M1453">
        <v>29</v>
      </c>
      <c r="N1453">
        <v>100</v>
      </c>
      <c r="O1453">
        <v>31.17723156532988</v>
      </c>
    </row>
    <row r="1454" spans="1:15" hidden="1" x14ac:dyDescent="0.25">
      <c r="A1454" s="11">
        <v>46045</v>
      </c>
      <c r="B1454" t="s">
        <v>38</v>
      </c>
      <c r="C1454" t="s">
        <v>32</v>
      </c>
      <c r="D1454">
        <v>9</v>
      </c>
      <c r="E1454">
        <v>6</v>
      </c>
      <c r="F1454">
        <v>10.51</v>
      </c>
      <c r="G1454">
        <v>0</v>
      </c>
      <c r="H1454">
        <v>0</v>
      </c>
      <c r="I1454" s="3">
        <f>E1454+G1454+H1454</f>
        <v>6</v>
      </c>
      <c r="J1454" s="3">
        <f>ROUND(MIN(IF(C1454="Técnico III",35,IF(C1454="Técnico II",28,IF(C1454="Técnico I",23,IF(C1454="JR",20,IF(C1454="Estágio",10,0))))),IF(C1454="Técnico III",SUMIFS($D:$D,$A:$A,$A1454,$B:$B,"&lt;&gt;Patrícia Karla de Sousa Araújo",$B:$B,"&lt;&gt;Lorena Dias de Araujo",$B:$B,"&lt;&gt;Lucas Luiz Romero")*(35/1083),IF(C1454="Técnico II",SUMIFS($D:$D,$A:$A,$A1454,$B:$B,"&lt;&gt;Patrícia Karla de Sousa Araújo",$B:$B,"&lt;&gt;Lorena Dias de Araujo",$B:$B,"&lt;&gt;Lucas Luiz Romero")*(28/1083),IF(C1454="Técnico I",SUMIFS($D:$D,$A:$A,$A1454,$B:$B,"&lt;&gt;Patrícia Karla de Sousa Araújo",$B:$B,"&lt;&gt;Lorena Dias de Araujo",$B:$B,"&lt;&gt;Lucas Luiz Romero")*(23/1083),IF(C1454="JR",SUMIFS($D:$D,$A:$A,$A1454,$B:$B,"&lt;&gt;Patrícia Karla de Sousa Araújo",$B:$B,"&lt;&gt;Lorena Dias de Araujo",$B:$B,"&lt;&gt;Lucas Luiz Romero")*(20/1083),IF(C1454="Estágio",SUMIFS($D:$D,$A:$A,$A1454,$B:$B,"&lt;&gt;Patrícia Karla de Sousa Araújo",$B:$B,"&lt;&gt;Lorena Dias de Araujo",$B:$B,"&lt;&gt;Lucas Luiz Romero")*(10/1083),0)))))),0)</f>
        <v>21</v>
      </c>
      <c r="K1454" s="3">
        <f>I1454-J1454</f>
        <v>-15</v>
      </c>
      <c r="L1454" s="3" t="str">
        <f>IF(K1454&lt;-5,"CRÍTICO",IF(K1454&lt;0,"ATENÇÃO",IF(K1454&lt;=5,"BOM","EXCELENTE")))</f>
        <v>CRÍTICO</v>
      </c>
      <c r="M1454">
        <v>8</v>
      </c>
      <c r="N1454">
        <v>100</v>
      </c>
      <c r="O1454">
        <v>27.609427609427609</v>
      </c>
    </row>
    <row r="1455" spans="1:15" hidden="1" x14ac:dyDescent="0.25">
      <c r="A1455" s="11">
        <v>46045</v>
      </c>
      <c r="B1455" t="s">
        <v>55</v>
      </c>
      <c r="C1455" t="s">
        <v>48</v>
      </c>
      <c r="D1455">
        <v>23</v>
      </c>
      <c r="E1455">
        <v>17</v>
      </c>
      <c r="F1455">
        <v>15.43</v>
      </c>
      <c r="G1455">
        <v>0</v>
      </c>
      <c r="H1455">
        <v>0</v>
      </c>
      <c r="I1455" s="3">
        <f>E1455+G1455+H1455</f>
        <v>17</v>
      </c>
      <c r="J1455" s="3">
        <f>ROUND(MIN(IF(C1455="Técnico III",35,IF(C1455="Técnico II",28,IF(C1455="Técnico I",23,IF(C1455="JR",20,IF(C1455="Estágio",10,0))))),IF(C1455="Técnico III",SUMIFS($D:$D,$A:$A,$A1455,$B:$B,"&lt;&gt;Patrícia Karla de Sousa Araújo",$B:$B,"&lt;&gt;Lorena Dias de Araujo",$B:$B,"&lt;&gt;Lucas Luiz Romero")*(35/1083),IF(C1455="Técnico II",SUMIFS($D:$D,$A:$A,$A1455,$B:$B,"&lt;&gt;Patrícia Karla de Sousa Araújo",$B:$B,"&lt;&gt;Lorena Dias de Araujo",$B:$B,"&lt;&gt;Lucas Luiz Romero")*(28/1083),IF(C1455="Técnico I",SUMIFS($D:$D,$A:$A,$A1455,$B:$B,"&lt;&gt;Patrícia Karla de Sousa Araújo",$B:$B,"&lt;&gt;Lorena Dias de Araujo",$B:$B,"&lt;&gt;Lucas Luiz Romero")*(23/1083),IF(C1455="JR",SUMIFS($D:$D,$A:$A,$A1455,$B:$B,"&lt;&gt;Patrícia Karla de Sousa Araújo",$B:$B,"&lt;&gt;Lorena Dias de Araujo",$B:$B,"&lt;&gt;Lucas Luiz Romero")*(20/1083),IF(C1455="Estágio",SUMIFS($D:$D,$A:$A,$A1455,$B:$B,"&lt;&gt;Patrícia Karla de Sousa Araújo",$B:$B,"&lt;&gt;Lorena Dias de Araujo",$B:$B,"&lt;&gt;Lucas Luiz Romero")*(10/1083),0)))))),0)</f>
        <v>17</v>
      </c>
      <c r="K1455" s="3">
        <f>I1455-J1455</f>
        <v>0</v>
      </c>
      <c r="L1455" s="3" t="str">
        <f>IF(K1455&lt;-5,"CRÍTICO",IF(K1455&lt;0,"ATENÇÃO",IF(K1455&lt;=5,"BOM","EXCELENTE")))</f>
        <v>BOM</v>
      </c>
      <c r="M1455">
        <v>18</v>
      </c>
      <c r="N1455">
        <v>96.4</v>
      </c>
      <c r="O1455">
        <v>28.764044943820231</v>
      </c>
    </row>
    <row r="1456" spans="1:15" hidden="1" x14ac:dyDescent="0.25">
      <c r="A1456" s="11">
        <v>46045</v>
      </c>
      <c r="B1456" t="s">
        <v>39</v>
      </c>
      <c r="C1456" t="s">
        <v>32</v>
      </c>
      <c r="D1456">
        <v>0</v>
      </c>
      <c r="E1456">
        <v>0</v>
      </c>
      <c r="F1456">
        <v>0</v>
      </c>
      <c r="G1456">
        <v>0</v>
      </c>
      <c r="H1456">
        <v>0</v>
      </c>
      <c r="I1456" s="3">
        <v>0</v>
      </c>
      <c r="J1456" s="3">
        <v>0</v>
      </c>
      <c r="K1456" s="3">
        <v>0</v>
      </c>
      <c r="L1456" s="3" t="str">
        <f>IF(K1456&lt;-5,"CRÍTICO",IF(K1456&lt;0,"ATENÇÃO",IF(K1456&lt;=5,"BOM","EXCELENTE")))</f>
        <v>BOM</v>
      </c>
      <c r="M1456">
        <v>0</v>
      </c>
      <c r="N1456">
        <v>100</v>
      </c>
      <c r="O1456">
        <v>33.980582524271853</v>
      </c>
    </row>
    <row r="1457" spans="1:15" hidden="1" x14ac:dyDescent="0.25">
      <c r="A1457" s="11">
        <v>46045</v>
      </c>
      <c r="B1457" t="s">
        <v>25</v>
      </c>
      <c r="C1457" t="s">
        <v>26</v>
      </c>
      <c r="D1457">
        <v>5</v>
      </c>
      <c r="E1457">
        <v>5</v>
      </c>
      <c r="F1457">
        <v>45.31</v>
      </c>
      <c r="G1457">
        <v>0</v>
      </c>
      <c r="H1457">
        <v>0</v>
      </c>
      <c r="I1457" s="3">
        <f>E1457+G1457+H1457</f>
        <v>5</v>
      </c>
      <c r="J1457" s="3">
        <f>ROUND(MIN(IF(C1457="Técnico III",35,IF(C1457="Técnico II",28,IF(C1457="Técnico I",23,IF(C1457="JR",20,IF(C1457="Estágio",10,0))))),IF(C1457="Técnico III",SUMIFS($D:$D,$A:$A,$A1457,$B:$B,"&lt;&gt;Patrícia Karla de Sousa Araújo",$B:$B,"&lt;&gt;Lorena Dias de Araujo",$B:$B,"&lt;&gt;Lucas Luiz Romero")*(35/1083),IF(C1457="Técnico II",SUMIFS($D:$D,$A:$A,$A1457,$B:$B,"&lt;&gt;Patrícia Karla de Sousa Araújo",$B:$B,"&lt;&gt;Lorena Dias de Araujo",$B:$B,"&lt;&gt;Lucas Luiz Romero")*(28/1083),IF(C1457="Técnico I",SUMIFS($D:$D,$A:$A,$A1457,$B:$B,"&lt;&gt;Patrícia Karla de Sousa Araújo",$B:$B,"&lt;&gt;Lorena Dias de Araujo",$B:$B,"&lt;&gt;Lucas Luiz Romero")*(23/1083),IF(C1457="JR",SUMIFS($D:$D,$A:$A,$A1457,$B:$B,"&lt;&gt;Patrícia Karla de Sousa Araújo",$B:$B,"&lt;&gt;Lorena Dias de Araujo",$B:$B,"&lt;&gt;Lucas Luiz Romero")*(20/1083),IF(C1457="Estágio",SUMIFS($D:$D,$A:$A,$A1457,$B:$B,"&lt;&gt;Patrícia Karla de Sousa Araújo",$B:$B,"&lt;&gt;Lorena Dias de Araujo",$B:$B,"&lt;&gt;Lucas Luiz Romero")*(10/1083),0)))))),0)</f>
        <v>12</v>
      </c>
      <c r="K1457" s="3">
        <f>I1457-J1457</f>
        <v>-7</v>
      </c>
      <c r="L1457" s="3" t="str">
        <f>IF(K1457&lt;-5,"CRÍTICO",IF(K1457&lt;0,"ATENÇÃO",IF(K1457&lt;=5,"BOM","EXCELENTE")))</f>
        <v>CRÍTICO</v>
      </c>
      <c r="M1457">
        <v>5</v>
      </c>
      <c r="N1457">
        <v>97.56</v>
      </c>
      <c r="O1457">
        <v>32.515337423312893</v>
      </c>
    </row>
    <row r="1458" spans="1:15" hidden="1" x14ac:dyDescent="0.25">
      <c r="A1458" s="11">
        <v>46045</v>
      </c>
      <c r="B1458" t="s">
        <v>40</v>
      </c>
      <c r="C1458" t="s">
        <v>32</v>
      </c>
      <c r="D1458">
        <v>24</v>
      </c>
      <c r="E1458">
        <v>22</v>
      </c>
      <c r="F1458">
        <v>19.05</v>
      </c>
      <c r="G1458">
        <v>0</v>
      </c>
      <c r="H1458">
        <v>0</v>
      </c>
      <c r="I1458" s="3">
        <f>E1458+G1458+H1458</f>
        <v>22</v>
      </c>
      <c r="J1458" s="3">
        <f>ROUND(MIN(IF(C1458="Técnico III",35,IF(C1458="Técnico II",28,IF(C1458="Técnico I",23,IF(C1458="JR",20,IF(C1458="Estágio",10,0))))),IF(C1458="Técnico III",SUMIFS($D:$D,$A:$A,$A1458,$B:$B,"&lt;&gt;Patrícia Karla de Sousa Araújo",$B:$B,"&lt;&gt;Lorena Dias de Araujo",$B:$B,"&lt;&gt;Lucas Luiz Romero")*(35/1083),IF(C1458="Técnico II",SUMIFS($D:$D,$A:$A,$A1458,$B:$B,"&lt;&gt;Patrícia Karla de Sousa Araújo",$B:$B,"&lt;&gt;Lorena Dias de Araujo",$B:$B,"&lt;&gt;Lucas Luiz Romero")*(28/1083),IF(C1458="Técnico I",SUMIFS($D:$D,$A:$A,$A1458,$B:$B,"&lt;&gt;Patrícia Karla de Sousa Araújo",$B:$B,"&lt;&gt;Lorena Dias de Araujo",$B:$B,"&lt;&gt;Lucas Luiz Romero")*(23/1083),IF(C1458="JR",SUMIFS($D:$D,$A:$A,$A1458,$B:$B,"&lt;&gt;Patrícia Karla de Sousa Araújo",$B:$B,"&lt;&gt;Lorena Dias de Araujo",$B:$B,"&lt;&gt;Lucas Luiz Romero")*(20/1083),IF(C1458="Estágio",SUMIFS($D:$D,$A:$A,$A1458,$B:$B,"&lt;&gt;Patrícia Karla de Sousa Araújo",$B:$B,"&lt;&gt;Lorena Dias de Araujo",$B:$B,"&lt;&gt;Lucas Luiz Romero")*(10/1083),0)))))),0)</f>
        <v>21</v>
      </c>
      <c r="K1458" s="3">
        <f>I1458-J1458</f>
        <v>1</v>
      </c>
      <c r="L1458" s="3" t="str">
        <f>IF(K1458&lt;-5,"CRÍTICO",IF(K1458&lt;0,"ATENÇÃO",IF(K1458&lt;=5,"BOM","EXCELENTE")))</f>
        <v>BOM</v>
      </c>
      <c r="M1458">
        <v>23</v>
      </c>
      <c r="N1458">
        <v>97.11</v>
      </c>
      <c r="O1458">
        <v>37.408312958435211</v>
      </c>
    </row>
    <row r="1459" spans="1:15" hidden="1" x14ac:dyDescent="0.25">
      <c r="A1459" s="11">
        <v>46045</v>
      </c>
      <c r="B1459" t="s">
        <v>27</v>
      </c>
      <c r="C1459" t="s">
        <v>26</v>
      </c>
      <c r="D1459">
        <v>0</v>
      </c>
      <c r="E1459">
        <v>0</v>
      </c>
      <c r="F1459">
        <v>0</v>
      </c>
      <c r="G1459">
        <v>0</v>
      </c>
      <c r="H1459">
        <v>0</v>
      </c>
      <c r="I1459" s="3">
        <v>0</v>
      </c>
      <c r="J1459" s="3">
        <v>0</v>
      </c>
      <c r="K1459" s="3">
        <v>0</v>
      </c>
      <c r="L1459" s="3" t="str">
        <f>IF(K1459&lt;-5,"CRÍTICO",IF(K1459&lt;0,"ATENÇÃO",IF(K1459&lt;=5,"BOM","EXCELENTE")))</f>
        <v>BOM</v>
      </c>
      <c r="M1459">
        <v>0</v>
      </c>
      <c r="N1459">
        <v>0</v>
      </c>
      <c r="O1459">
        <v>0</v>
      </c>
    </row>
    <row r="1460" spans="1:15" hidden="1" x14ac:dyDescent="0.25">
      <c r="A1460" s="11">
        <v>46045</v>
      </c>
      <c r="B1460" t="s">
        <v>41</v>
      </c>
      <c r="C1460" t="s">
        <v>32</v>
      </c>
      <c r="D1460">
        <v>12</v>
      </c>
      <c r="E1460">
        <v>11</v>
      </c>
      <c r="F1460">
        <v>32.119999999999997</v>
      </c>
      <c r="G1460">
        <v>0</v>
      </c>
      <c r="H1460">
        <v>0</v>
      </c>
      <c r="I1460" s="3">
        <f>E1460+G1460+H1460</f>
        <v>11</v>
      </c>
      <c r="J1460" s="3">
        <f>ROUND(MIN(IF(C1460="Técnico III",35,IF(C1460="Técnico II",28,IF(C1460="Técnico I",23,IF(C1460="JR",20,IF(C1460="Estágio",10,0))))),IF(C1460="Técnico III",SUMIFS($D:$D,$A:$A,$A1460,$B:$B,"&lt;&gt;Patrícia Karla de Sousa Araújo",$B:$B,"&lt;&gt;Lorena Dias de Araujo",$B:$B,"&lt;&gt;Lucas Luiz Romero")*(35/1083),IF(C1460="Técnico II",SUMIFS($D:$D,$A:$A,$A1460,$B:$B,"&lt;&gt;Patrícia Karla de Sousa Araújo",$B:$B,"&lt;&gt;Lorena Dias de Araujo",$B:$B,"&lt;&gt;Lucas Luiz Romero")*(28/1083),IF(C1460="Técnico I",SUMIFS($D:$D,$A:$A,$A1460,$B:$B,"&lt;&gt;Patrícia Karla de Sousa Araújo",$B:$B,"&lt;&gt;Lorena Dias de Araujo",$B:$B,"&lt;&gt;Lucas Luiz Romero")*(23/1083),IF(C1460="JR",SUMIFS($D:$D,$A:$A,$A1460,$B:$B,"&lt;&gt;Patrícia Karla de Sousa Araújo",$B:$B,"&lt;&gt;Lorena Dias de Araujo",$B:$B,"&lt;&gt;Lucas Luiz Romero")*(20/1083),IF(C1460="Estágio",SUMIFS($D:$D,$A:$A,$A1460,$B:$B,"&lt;&gt;Patrícia Karla de Sousa Araújo",$B:$B,"&lt;&gt;Lorena Dias de Araujo",$B:$B,"&lt;&gt;Lucas Luiz Romero")*(10/1083),0)))))),0)</f>
        <v>21</v>
      </c>
      <c r="K1460" s="3">
        <f>I1460-J1460</f>
        <v>-10</v>
      </c>
      <c r="L1460" s="3" t="str">
        <f>IF(K1460&lt;-5,"CRÍTICO",IF(K1460&lt;0,"ATENÇÃO",IF(K1460&lt;=5,"BOM","EXCELENTE")))</f>
        <v>CRÍTICO</v>
      </c>
      <c r="M1460">
        <v>9</v>
      </c>
      <c r="N1460">
        <v>100</v>
      </c>
      <c r="O1460">
        <v>30.470347648261761</v>
      </c>
    </row>
    <row r="1461" spans="1:15" hidden="1" x14ac:dyDescent="0.25">
      <c r="A1461" s="11">
        <v>46045</v>
      </c>
      <c r="B1461" t="s">
        <v>56</v>
      </c>
      <c r="C1461" t="s">
        <v>48</v>
      </c>
      <c r="D1461">
        <v>27</v>
      </c>
      <c r="E1461">
        <v>23</v>
      </c>
      <c r="F1461">
        <v>17.29</v>
      </c>
      <c r="G1461">
        <v>0</v>
      </c>
      <c r="H1461">
        <v>0</v>
      </c>
      <c r="I1461" s="3">
        <f>E1461+G1461+H1461</f>
        <v>23</v>
      </c>
      <c r="J1461" s="3">
        <f>ROUND(MIN(IF(C1461="Técnico III",35,IF(C1461="Técnico II",28,IF(C1461="Técnico I",23,IF(C1461="JR",20,IF(C1461="Estágio",10,0))))),IF(C1461="Técnico III",SUMIFS($D:$D,$A:$A,$A1461,$B:$B,"&lt;&gt;Patrícia Karla de Sousa Araújo",$B:$B,"&lt;&gt;Lorena Dias de Araujo",$B:$B,"&lt;&gt;Lucas Luiz Romero")*(35/1083),IF(C1461="Técnico II",SUMIFS($D:$D,$A:$A,$A1461,$B:$B,"&lt;&gt;Patrícia Karla de Sousa Araújo",$B:$B,"&lt;&gt;Lorena Dias de Araujo",$B:$B,"&lt;&gt;Lucas Luiz Romero")*(28/1083),IF(C1461="Técnico I",SUMIFS($D:$D,$A:$A,$A1461,$B:$B,"&lt;&gt;Patrícia Karla de Sousa Araújo",$B:$B,"&lt;&gt;Lorena Dias de Araujo",$B:$B,"&lt;&gt;Lucas Luiz Romero")*(23/1083),IF(C1461="JR",SUMIFS($D:$D,$A:$A,$A1461,$B:$B,"&lt;&gt;Patrícia Karla de Sousa Araújo",$B:$B,"&lt;&gt;Lorena Dias de Araujo",$B:$B,"&lt;&gt;Lucas Luiz Romero")*(20/1083),IF(C1461="Estágio",SUMIFS($D:$D,$A:$A,$A1461,$B:$B,"&lt;&gt;Patrícia Karla de Sousa Araújo",$B:$B,"&lt;&gt;Lorena Dias de Araujo",$B:$B,"&lt;&gt;Lucas Luiz Romero")*(10/1083),0)))))),0)</f>
        <v>17</v>
      </c>
      <c r="K1461" s="3">
        <f>I1461-J1461</f>
        <v>6</v>
      </c>
      <c r="L1461" s="3" t="str">
        <f>IF(K1461&lt;-5,"CRÍTICO",IF(K1461&lt;0,"ATENÇÃO",IF(K1461&lt;=5,"BOM","EXCELENTE")))</f>
        <v>EXCELENTE</v>
      </c>
      <c r="M1461">
        <v>21</v>
      </c>
      <c r="N1461">
        <v>100</v>
      </c>
      <c r="O1461">
        <v>32.371134020618562</v>
      </c>
    </row>
    <row r="1462" spans="1:15" hidden="1" x14ac:dyDescent="0.25">
      <c r="A1462" s="11">
        <v>46045</v>
      </c>
      <c r="B1462" t="s">
        <v>57</v>
      </c>
      <c r="C1462" t="s">
        <v>48</v>
      </c>
      <c r="D1462">
        <v>11</v>
      </c>
      <c r="E1462">
        <v>11</v>
      </c>
      <c r="F1462">
        <v>18.28</v>
      </c>
      <c r="G1462">
        <v>0</v>
      </c>
      <c r="H1462">
        <v>0</v>
      </c>
      <c r="I1462" s="3">
        <v>0</v>
      </c>
      <c r="J1462" s="3">
        <v>0</v>
      </c>
      <c r="K1462" s="3">
        <v>0</v>
      </c>
      <c r="L1462" s="3" t="str">
        <f>IF(K1462&lt;-5,"CRÍTICO",IF(K1462&lt;0,"ATENÇÃO",IF(K1462&lt;=5,"BOM","EXCELENTE")))</f>
        <v>BOM</v>
      </c>
      <c r="M1462">
        <v>10</v>
      </c>
      <c r="N1462">
        <v>98.32</v>
      </c>
      <c r="O1462">
        <v>32.318501170960189</v>
      </c>
    </row>
    <row r="1463" spans="1:15" hidden="1" x14ac:dyDescent="0.25">
      <c r="A1463" s="11">
        <v>46045</v>
      </c>
      <c r="B1463" t="s">
        <v>42</v>
      </c>
      <c r="C1463" t="s">
        <v>32</v>
      </c>
      <c r="D1463">
        <v>23</v>
      </c>
      <c r="E1463">
        <v>17</v>
      </c>
      <c r="F1463">
        <v>11.47</v>
      </c>
      <c r="G1463">
        <v>0</v>
      </c>
      <c r="H1463">
        <v>0</v>
      </c>
      <c r="I1463" s="3">
        <f>E1463+G1463+H1463</f>
        <v>17</v>
      </c>
      <c r="J1463" s="3">
        <f>ROUND(MIN(IF(C1463="Técnico III",35,IF(C1463="Técnico II",28,IF(C1463="Técnico I",23,IF(C1463="JR",20,IF(C1463="Estágio",10,0))))),IF(C1463="Técnico III",SUMIFS($D:$D,$A:$A,$A1463,$B:$B,"&lt;&gt;Patrícia Karla de Sousa Araújo",$B:$B,"&lt;&gt;Lorena Dias de Araujo",$B:$B,"&lt;&gt;Lucas Luiz Romero")*(35/1083),IF(C1463="Técnico II",SUMIFS($D:$D,$A:$A,$A1463,$B:$B,"&lt;&gt;Patrícia Karla de Sousa Araújo",$B:$B,"&lt;&gt;Lorena Dias de Araujo",$B:$B,"&lt;&gt;Lucas Luiz Romero")*(28/1083),IF(C1463="Técnico I",SUMIFS($D:$D,$A:$A,$A1463,$B:$B,"&lt;&gt;Patrícia Karla de Sousa Araújo",$B:$B,"&lt;&gt;Lorena Dias de Araujo",$B:$B,"&lt;&gt;Lucas Luiz Romero")*(23/1083),IF(C1463="JR",SUMIFS($D:$D,$A:$A,$A1463,$B:$B,"&lt;&gt;Patrícia Karla de Sousa Araújo",$B:$B,"&lt;&gt;Lorena Dias de Araujo",$B:$B,"&lt;&gt;Lucas Luiz Romero")*(20/1083),IF(C1463="Estágio",SUMIFS($D:$D,$A:$A,$A1463,$B:$B,"&lt;&gt;Patrícia Karla de Sousa Araújo",$B:$B,"&lt;&gt;Lorena Dias de Araujo",$B:$B,"&lt;&gt;Lucas Luiz Romero")*(10/1083),0)))))),0)</f>
        <v>21</v>
      </c>
      <c r="K1463" s="3">
        <f>I1463-J1463</f>
        <v>-4</v>
      </c>
      <c r="L1463" s="3" t="str">
        <f>IF(K1463&lt;-5,"CRÍTICO",IF(K1463&lt;0,"ATENÇÃO",IF(K1463&lt;=5,"BOM","EXCELENTE")))</f>
        <v>ATENÇÃO</v>
      </c>
      <c r="M1463">
        <v>11</v>
      </c>
      <c r="N1463">
        <v>96.43</v>
      </c>
      <c r="O1463">
        <v>27.015250544662312</v>
      </c>
    </row>
    <row r="1464" spans="1:15" hidden="1" x14ac:dyDescent="0.25">
      <c r="A1464" s="11">
        <v>46045</v>
      </c>
      <c r="B1464" t="s">
        <v>62</v>
      </c>
      <c r="C1464" t="s">
        <v>23</v>
      </c>
      <c r="D1464">
        <v>18</v>
      </c>
      <c r="E1464">
        <v>18</v>
      </c>
      <c r="F1464">
        <v>28.28</v>
      </c>
      <c r="G1464">
        <v>0</v>
      </c>
      <c r="H1464">
        <v>0</v>
      </c>
      <c r="I1464" s="3">
        <f>E1464+G1464+H1464</f>
        <v>18</v>
      </c>
      <c r="J1464" s="3">
        <f>ROUND(MIN(IF(C1464="Técnico III",35,IF(C1464="Técnico II",28,IF(C1464="Técnico I",23,IF(C1464="JR",20,IF(C1464="Estágio",10,0))))),IF(C1464="Técnico III",SUMIFS($D:$D,$A:$A,$A1464,$B:$B,"&lt;&gt;Patrícia Karla de Sousa Araújo",$B:$B,"&lt;&gt;Lorena Dias de Araujo",$B:$B,"&lt;&gt;Lucas Luiz Romero")*(35/1083),IF(C1464="Técnico II",SUMIFS($D:$D,$A:$A,$A1464,$B:$B,"&lt;&gt;Patrícia Karla de Sousa Araújo",$B:$B,"&lt;&gt;Lorena Dias de Araujo",$B:$B,"&lt;&gt;Lucas Luiz Romero")*(28/1083),IF(C1464="Técnico I",SUMIFS($D:$D,$A:$A,$A1464,$B:$B,"&lt;&gt;Patrícia Karla de Sousa Araújo",$B:$B,"&lt;&gt;Lorena Dias de Araujo",$B:$B,"&lt;&gt;Lucas Luiz Romero")*(23/1083),IF(C1464="JR",SUMIFS($D:$D,$A:$A,$A1464,$B:$B,"&lt;&gt;Patrícia Karla de Sousa Araújo",$B:$B,"&lt;&gt;Lorena Dias de Araujo",$B:$B,"&lt;&gt;Lucas Luiz Romero")*(20/1083),IF(C1464="Estágio",SUMIFS($D:$D,$A:$A,$A1464,$B:$B,"&lt;&gt;Patrícia Karla de Sousa Araújo",$B:$B,"&lt;&gt;Lorena Dias de Araujo",$B:$B,"&lt;&gt;Lucas Luiz Romero")*(10/1083),0)))))),0)</f>
        <v>14</v>
      </c>
      <c r="K1464" s="3">
        <f>I1464-J1464</f>
        <v>4</v>
      </c>
      <c r="L1464" s="3" t="str">
        <f>IF(K1464&lt;-5,"CRÍTICO",IF(K1464&lt;0,"ATENÇÃO",IF(K1464&lt;=5,"BOM","EXCELENTE")))</f>
        <v>BOM</v>
      </c>
      <c r="M1464">
        <v>14</v>
      </c>
      <c r="N1464">
        <v>98.89</v>
      </c>
      <c r="O1464">
        <v>28.021978021978018</v>
      </c>
    </row>
    <row r="1465" spans="1:15" hidden="1" x14ac:dyDescent="0.25">
      <c r="A1465" s="11">
        <v>46045</v>
      </c>
      <c r="B1465" t="s">
        <v>19</v>
      </c>
      <c r="C1465" t="s">
        <v>16</v>
      </c>
      <c r="D1465">
        <v>9</v>
      </c>
      <c r="E1465">
        <v>9</v>
      </c>
      <c r="F1465">
        <v>25.29</v>
      </c>
      <c r="G1465">
        <v>0</v>
      </c>
      <c r="H1465">
        <v>0</v>
      </c>
      <c r="I1465" s="3">
        <f>E1465+G1465+H1465</f>
        <v>9</v>
      </c>
      <c r="J1465" s="3">
        <f>ROUND(MIN(IF(C1465="Técnico III",35,IF(C1465="Técnico II",28,IF(C1465="Técnico I",23,IF(C1465="JR",20,IF(C1465="Estágio",10,0))))),IF(C1465="Técnico III",SUMIFS($D:$D,$A:$A,$A1465,$B:$B,"&lt;&gt;Patrícia Karla de Sousa Araújo",$B:$B,"&lt;&gt;Lorena Dias de Araujo",$B:$B,"&lt;&gt;Lucas Luiz Romero")*(35/1083),IF(C1465="Técnico II",SUMIFS($D:$D,$A:$A,$A1465,$B:$B,"&lt;&gt;Patrícia Karla de Sousa Araújo",$B:$B,"&lt;&gt;Lorena Dias de Araujo",$B:$B,"&lt;&gt;Lucas Luiz Romero")*(28/1083),IF(C1465="Técnico I",SUMIFS($D:$D,$A:$A,$A1465,$B:$B,"&lt;&gt;Patrícia Karla de Sousa Araújo",$B:$B,"&lt;&gt;Lorena Dias de Araujo",$B:$B,"&lt;&gt;Lucas Luiz Romero")*(23/1083),IF(C1465="JR",SUMIFS($D:$D,$A:$A,$A1465,$B:$B,"&lt;&gt;Patrícia Karla de Sousa Araújo",$B:$B,"&lt;&gt;Lorena Dias de Araujo",$B:$B,"&lt;&gt;Lucas Luiz Romero")*(20/1083),IF(C1465="Estágio",SUMIFS($D:$D,$A:$A,$A1465,$B:$B,"&lt;&gt;Patrícia Karla de Sousa Araújo",$B:$B,"&lt;&gt;Lorena Dias de Araujo",$B:$B,"&lt;&gt;Lucas Luiz Romero")*(10/1083),0)))))),0)</f>
        <v>6</v>
      </c>
      <c r="K1465" s="3">
        <f>I1465-J1465</f>
        <v>3</v>
      </c>
      <c r="L1465" s="3" t="str">
        <f>IF(K1465&lt;-5,"CRÍTICO",IF(K1465&lt;0,"ATENÇÃO",IF(K1465&lt;=5,"BOM","EXCELENTE")))</f>
        <v>BOM</v>
      </c>
      <c r="M1465">
        <v>6</v>
      </c>
      <c r="N1465">
        <v>100</v>
      </c>
      <c r="O1465">
        <v>33.333333333333329</v>
      </c>
    </row>
    <row r="1466" spans="1:15" hidden="1" x14ac:dyDescent="0.25">
      <c r="A1466" s="11">
        <v>46045</v>
      </c>
      <c r="B1466" t="s">
        <v>43</v>
      </c>
      <c r="C1466" t="s">
        <v>32</v>
      </c>
      <c r="D1466">
        <v>26</v>
      </c>
      <c r="E1466">
        <v>26</v>
      </c>
      <c r="F1466">
        <v>15.42</v>
      </c>
      <c r="G1466">
        <v>0</v>
      </c>
      <c r="H1466">
        <v>0</v>
      </c>
      <c r="I1466" s="3">
        <f>E1466+G1466+H1466</f>
        <v>26</v>
      </c>
      <c r="J1466" s="3">
        <f>ROUND(MIN(IF(C1466="Técnico III",35,IF(C1466="Técnico II",28,IF(C1466="Técnico I",23,IF(C1466="JR",20,IF(C1466="Estágio",10,0))))),IF(C1466="Técnico III",SUMIFS($D:$D,$A:$A,$A1466,$B:$B,"&lt;&gt;Patrícia Karla de Sousa Araújo",$B:$B,"&lt;&gt;Lorena Dias de Araujo",$B:$B,"&lt;&gt;Lucas Luiz Romero")*(35/1083),IF(C1466="Técnico II",SUMIFS($D:$D,$A:$A,$A1466,$B:$B,"&lt;&gt;Patrícia Karla de Sousa Araújo",$B:$B,"&lt;&gt;Lorena Dias de Araujo",$B:$B,"&lt;&gt;Lucas Luiz Romero")*(28/1083),IF(C1466="Técnico I",SUMIFS($D:$D,$A:$A,$A1466,$B:$B,"&lt;&gt;Patrícia Karla de Sousa Araújo",$B:$B,"&lt;&gt;Lorena Dias de Araujo",$B:$B,"&lt;&gt;Lucas Luiz Romero")*(23/1083),IF(C1466="JR",SUMIFS($D:$D,$A:$A,$A1466,$B:$B,"&lt;&gt;Patrícia Karla de Sousa Araújo",$B:$B,"&lt;&gt;Lorena Dias de Araujo",$B:$B,"&lt;&gt;Lucas Luiz Romero")*(20/1083),IF(C1466="Estágio",SUMIFS($D:$D,$A:$A,$A1466,$B:$B,"&lt;&gt;Patrícia Karla de Sousa Araújo",$B:$B,"&lt;&gt;Lorena Dias de Araujo",$B:$B,"&lt;&gt;Lucas Luiz Romero")*(10/1083),0)))))),0)</f>
        <v>21</v>
      </c>
      <c r="K1466" s="3">
        <f>I1466-J1466</f>
        <v>5</v>
      </c>
      <c r="L1466" s="3" t="str">
        <f>IF(K1466&lt;-5,"CRÍTICO",IF(K1466&lt;0,"ATENÇÃO",IF(K1466&lt;=5,"BOM","EXCELENTE")))</f>
        <v>BOM</v>
      </c>
      <c r="M1466">
        <v>23</v>
      </c>
      <c r="N1466">
        <v>100</v>
      </c>
      <c r="O1466">
        <v>27.43362831858407</v>
      </c>
    </row>
    <row r="1467" spans="1:15" hidden="1" x14ac:dyDescent="0.25">
      <c r="A1467" s="11">
        <v>46045</v>
      </c>
      <c r="B1467" t="s">
        <v>44</v>
      </c>
      <c r="C1467" t="s">
        <v>32</v>
      </c>
      <c r="D1467">
        <v>25</v>
      </c>
      <c r="E1467">
        <v>24</v>
      </c>
      <c r="F1467">
        <v>15.24</v>
      </c>
      <c r="G1467">
        <v>0</v>
      </c>
      <c r="H1467">
        <v>0</v>
      </c>
      <c r="I1467" s="3">
        <f>E1467+G1467+H1467</f>
        <v>24</v>
      </c>
      <c r="J1467" s="3">
        <f>ROUND(MIN(IF(C1467="Técnico III",35,IF(C1467="Técnico II",28,IF(C1467="Técnico I",23,IF(C1467="JR",20,IF(C1467="Estágio",10,0))))),IF(C1467="Técnico III",SUMIFS($D:$D,$A:$A,$A1467,$B:$B,"&lt;&gt;Patrícia Karla de Sousa Araújo",$B:$B,"&lt;&gt;Lorena Dias de Araujo",$B:$B,"&lt;&gt;Lucas Luiz Romero")*(35/1083),IF(C1467="Técnico II",SUMIFS($D:$D,$A:$A,$A1467,$B:$B,"&lt;&gt;Patrícia Karla de Sousa Araújo",$B:$B,"&lt;&gt;Lorena Dias de Araujo",$B:$B,"&lt;&gt;Lucas Luiz Romero")*(28/1083),IF(C1467="Técnico I",SUMIFS($D:$D,$A:$A,$A1467,$B:$B,"&lt;&gt;Patrícia Karla de Sousa Araújo",$B:$B,"&lt;&gt;Lorena Dias de Araujo",$B:$B,"&lt;&gt;Lucas Luiz Romero")*(23/1083),IF(C1467="JR",SUMIFS($D:$D,$A:$A,$A1467,$B:$B,"&lt;&gt;Patrícia Karla de Sousa Araújo",$B:$B,"&lt;&gt;Lorena Dias de Araujo",$B:$B,"&lt;&gt;Lucas Luiz Romero")*(20/1083),IF(C1467="Estágio",SUMIFS($D:$D,$A:$A,$A1467,$B:$B,"&lt;&gt;Patrícia Karla de Sousa Araújo",$B:$B,"&lt;&gt;Lorena Dias de Araujo",$B:$B,"&lt;&gt;Lucas Luiz Romero")*(10/1083),0)))))),0)</f>
        <v>21</v>
      </c>
      <c r="K1467" s="3">
        <f>I1467-J1467</f>
        <v>3</v>
      </c>
      <c r="L1467" s="3" t="str">
        <f>IF(K1467&lt;-5,"CRÍTICO",IF(K1467&lt;0,"ATENÇÃO",IF(K1467&lt;=5,"BOM","EXCELENTE")))</f>
        <v>BOM</v>
      </c>
      <c r="M1467">
        <v>20</v>
      </c>
      <c r="N1467">
        <v>98.65</v>
      </c>
      <c r="O1467">
        <v>30.978260869565219</v>
      </c>
    </row>
    <row r="1468" spans="1:15" hidden="1" x14ac:dyDescent="0.25">
      <c r="A1468" s="11">
        <v>46045</v>
      </c>
      <c r="B1468" t="s">
        <v>20</v>
      </c>
      <c r="C1468" t="s">
        <v>16</v>
      </c>
      <c r="D1468">
        <v>8</v>
      </c>
      <c r="E1468">
        <v>8</v>
      </c>
      <c r="F1468">
        <v>32.1</v>
      </c>
      <c r="G1468">
        <v>0</v>
      </c>
      <c r="H1468">
        <v>0</v>
      </c>
      <c r="I1468" s="3">
        <f>E1468+G1468+H1468</f>
        <v>8</v>
      </c>
      <c r="J1468" s="3">
        <f>ROUND(MIN(IF(C1468="Técnico III",35,IF(C1468="Técnico II",28,IF(C1468="Técnico I",23,IF(C1468="JR",20,IF(C1468="Estágio",10,0))))),IF(C1468="Técnico III",SUMIFS($D:$D,$A:$A,$A1468,$B:$B,"&lt;&gt;Patrícia Karla de Sousa Araújo",$B:$B,"&lt;&gt;Lorena Dias de Araujo",$B:$B,"&lt;&gt;Lucas Luiz Romero")*(35/1083),IF(C1468="Técnico II",SUMIFS($D:$D,$A:$A,$A1468,$B:$B,"&lt;&gt;Patrícia Karla de Sousa Araújo",$B:$B,"&lt;&gt;Lorena Dias de Araujo",$B:$B,"&lt;&gt;Lucas Luiz Romero")*(28/1083),IF(C1468="Técnico I",SUMIFS($D:$D,$A:$A,$A1468,$B:$B,"&lt;&gt;Patrícia Karla de Sousa Araújo",$B:$B,"&lt;&gt;Lorena Dias de Araujo",$B:$B,"&lt;&gt;Lucas Luiz Romero")*(23/1083),IF(C1468="JR",SUMIFS($D:$D,$A:$A,$A1468,$B:$B,"&lt;&gt;Patrícia Karla de Sousa Araújo",$B:$B,"&lt;&gt;Lorena Dias de Araujo",$B:$B,"&lt;&gt;Lucas Luiz Romero")*(20/1083),IF(C1468="Estágio",SUMIFS($D:$D,$A:$A,$A1468,$B:$B,"&lt;&gt;Patrícia Karla de Sousa Araújo",$B:$B,"&lt;&gt;Lorena Dias de Araujo",$B:$B,"&lt;&gt;Lucas Luiz Romero")*(10/1083),0)))))),0)</f>
        <v>6</v>
      </c>
      <c r="K1468" s="3">
        <f>I1468-J1468</f>
        <v>2</v>
      </c>
      <c r="L1468" s="3" t="str">
        <f>IF(K1468&lt;-5,"CRÍTICO",IF(K1468&lt;0,"ATENÇÃO",IF(K1468&lt;=5,"BOM","EXCELENTE")))</f>
        <v>BOM</v>
      </c>
      <c r="M1468">
        <v>4</v>
      </c>
      <c r="N1468">
        <v>100</v>
      </c>
      <c r="O1468">
        <v>12</v>
      </c>
    </row>
    <row r="1469" spans="1:15" hidden="1" x14ac:dyDescent="0.25">
      <c r="A1469" s="11">
        <v>46045</v>
      </c>
      <c r="B1469" t="s">
        <v>28</v>
      </c>
      <c r="C1469" t="s">
        <v>26</v>
      </c>
      <c r="D1469">
        <v>0</v>
      </c>
      <c r="E1469">
        <v>0</v>
      </c>
      <c r="F1469">
        <v>0</v>
      </c>
      <c r="G1469">
        <v>0</v>
      </c>
      <c r="H1469">
        <v>0</v>
      </c>
      <c r="I1469" s="3">
        <v>0</v>
      </c>
      <c r="J1469" s="3">
        <v>0</v>
      </c>
      <c r="K1469" s="3">
        <v>0</v>
      </c>
      <c r="L1469" s="3" t="str">
        <f>IF(K1469&lt;-5,"CRÍTICO",IF(K1469&lt;0,"ATENÇÃO",IF(K1469&lt;=5,"BOM","EXCELENTE")))</f>
        <v>BOM</v>
      </c>
      <c r="M1469">
        <v>0</v>
      </c>
      <c r="N1469">
        <v>0</v>
      </c>
      <c r="O1469">
        <v>0</v>
      </c>
    </row>
    <row r="1470" spans="1:15" hidden="1" x14ac:dyDescent="0.25">
      <c r="A1470" s="11">
        <v>46045</v>
      </c>
      <c r="B1470" t="s">
        <v>58</v>
      </c>
      <c r="C1470" t="s">
        <v>48</v>
      </c>
      <c r="D1470">
        <v>21</v>
      </c>
      <c r="E1470">
        <v>21</v>
      </c>
      <c r="F1470">
        <v>18.260000000000002</v>
      </c>
      <c r="G1470">
        <v>0</v>
      </c>
      <c r="H1470">
        <v>0</v>
      </c>
      <c r="I1470" s="3">
        <f>E1470+G1470+H1470</f>
        <v>21</v>
      </c>
      <c r="J1470" s="3">
        <f>ROUND(MIN(IF(C1470="Técnico III",35,IF(C1470="Técnico II",28,IF(C1470="Técnico I",23,IF(C1470="JR",20,IF(C1470="Estágio",10,0))))),IF(C1470="Técnico III",SUMIFS($D:$D,$A:$A,$A1470,$B:$B,"&lt;&gt;Patrícia Karla de Sousa Araújo",$B:$B,"&lt;&gt;Lorena Dias de Araujo",$B:$B,"&lt;&gt;Lucas Luiz Romero")*(35/1083),IF(C1470="Técnico II",SUMIFS($D:$D,$A:$A,$A1470,$B:$B,"&lt;&gt;Patrícia Karla de Sousa Araújo",$B:$B,"&lt;&gt;Lorena Dias de Araujo",$B:$B,"&lt;&gt;Lucas Luiz Romero")*(28/1083),IF(C1470="Técnico I",SUMIFS($D:$D,$A:$A,$A1470,$B:$B,"&lt;&gt;Patrícia Karla de Sousa Araújo",$B:$B,"&lt;&gt;Lorena Dias de Araujo",$B:$B,"&lt;&gt;Lucas Luiz Romero")*(23/1083),IF(C1470="JR",SUMIFS($D:$D,$A:$A,$A1470,$B:$B,"&lt;&gt;Patrícia Karla de Sousa Araújo",$B:$B,"&lt;&gt;Lorena Dias de Araujo",$B:$B,"&lt;&gt;Lucas Luiz Romero")*(20/1083),IF(C1470="Estágio",SUMIFS($D:$D,$A:$A,$A1470,$B:$B,"&lt;&gt;Patrícia Karla de Sousa Araújo",$B:$B,"&lt;&gt;Lorena Dias de Araujo",$B:$B,"&lt;&gt;Lucas Luiz Romero")*(10/1083),0)))))),0)</f>
        <v>17</v>
      </c>
      <c r="K1470" s="3">
        <f>I1470-J1470</f>
        <v>4</v>
      </c>
      <c r="L1470" s="3" t="str">
        <f>IF(K1470&lt;-5,"CRÍTICO",IF(K1470&lt;0,"ATENÇÃO",IF(K1470&lt;=5,"BOM","EXCELENTE")))</f>
        <v>BOM</v>
      </c>
      <c r="M1470">
        <v>16</v>
      </c>
      <c r="N1470">
        <v>97.56</v>
      </c>
      <c r="O1470">
        <v>31.067961165048541</v>
      </c>
    </row>
    <row r="1471" spans="1:15" hidden="1" x14ac:dyDescent="0.25">
      <c r="A1471" s="11">
        <v>46045</v>
      </c>
      <c r="B1471" t="s">
        <v>29</v>
      </c>
      <c r="C1471" t="s">
        <v>26</v>
      </c>
      <c r="D1471">
        <v>0</v>
      </c>
      <c r="E1471">
        <v>0</v>
      </c>
      <c r="F1471">
        <v>0</v>
      </c>
      <c r="G1471">
        <v>0</v>
      </c>
      <c r="H1471">
        <v>0</v>
      </c>
      <c r="I1471" s="3">
        <v>0</v>
      </c>
      <c r="J1471" s="3">
        <v>0</v>
      </c>
      <c r="K1471" s="3">
        <v>0</v>
      </c>
      <c r="L1471" s="3" t="str">
        <f>IF(K1471&lt;-5,"CRÍTICO",IF(K1471&lt;0,"ATENÇÃO",IF(K1471&lt;=5,"BOM","EXCELENTE")))</f>
        <v>BOM</v>
      </c>
      <c r="M1471">
        <v>0</v>
      </c>
      <c r="N1471">
        <v>0</v>
      </c>
      <c r="O1471">
        <v>0</v>
      </c>
    </row>
    <row r="1472" spans="1:15" hidden="1" x14ac:dyDescent="0.25">
      <c r="A1472" s="11">
        <v>46045</v>
      </c>
      <c r="B1472" t="s">
        <v>30</v>
      </c>
      <c r="C1472" t="s">
        <v>26</v>
      </c>
      <c r="D1472">
        <v>0</v>
      </c>
      <c r="E1472">
        <v>0</v>
      </c>
      <c r="F1472">
        <v>0</v>
      </c>
      <c r="G1472">
        <v>0</v>
      </c>
      <c r="H1472">
        <v>0</v>
      </c>
      <c r="I1472" s="3">
        <v>0</v>
      </c>
      <c r="J1472" s="3">
        <v>0</v>
      </c>
      <c r="K1472" s="3">
        <v>0</v>
      </c>
      <c r="L1472" s="3" t="str">
        <f>IF(K1472&lt;-5,"CRÍTICO",IF(K1472&lt;0,"ATENÇÃO",IF(K1472&lt;=5,"BOM","EXCELENTE")))</f>
        <v>BOM</v>
      </c>
      <c r="M1472">
        <v>0</v>
      </c>
      <c r="N1472">
        <v>0</v>
      </c>
      <c r="O1472">
        <v>0</v>
      </c>
    </row>
    <row r="1473" spans="1:15" hidden="1" x14ac:dyDescent="0.25">
      <c r="A1473" s="11">
        <v>46045</v>
      </c>
      <c r="B1473" t="s">
        <v>21</v>
      </c>
      <c r="C1473" t="s">
        <v>16</v>
      </c>
      <c r="D1473">
        <v>0</v>
      </c>
      <c r="E1473">
        <v>0</v>
      </c>
      <c r="F1473">
        <v>0</v>
      </c>
      <c r="G1473">
        <v>0</v>
      </c>
      <c r="H1473">
        <v>0</v>
      </c>
      <c r="I1473" s="3">
        <v>0</v>
      </c>
      <c r="J1473" s="3">
        <v>0</v>
      </c>
      <c r="K1473" s="3">
        <v>0</v>
      </c>
      <c r="L1473" s="3" t="str">
        <f>IF(K1473&lt;-5,"CRÍTICO",IF(K1473&lt;0,"ATENÇÃO",IF(K1473&lt;=5,"BOM","EXCELENTE")))</f>
        <v>BOM</v>
      </c>
      <c r="M1473">
        <v>0</v>
      </c>
      <c r="N1473">
        <v>0</v>
      </c>
      <c r="O1473">
        <v>0</v>
      </c>
    </row>
    <row r="1474" spans="1:15" hidden="1" x14ac:dyDescent="0.25">
      <c r="A1474" s="11">
        <v>46045</v>
      </c>
      <c r="B1474" t="s">
        <v>63</v>
      </c>
      <c r="C1474" t="s">
        <v>23</v>
      </c>
      <c r="D1474">
        <v>0</v>
      </c>
      <c r="E1474">
        <v>0</v>
      </c>
      <c r="F1474">
        <v>0</v>
      </c>
      <c r="G1474">
        <v>0</v>
      </c>
      <c r="H1474">
        <v>0</v>
      </c>
      <c r="I1474" s="3">
        <v>0</v>
      </c>
      <c r="J1474" s="3">
        <v>0</v>
      </c>
      <c r="K1474" s="3">
        <v>0</v>
      </c>
      <c r="L1474" s="3" t="str">
        <f>IF(K1474&lt;-5,"CRÍTICO",IF(K1474&lt;0,"ATENÇÃO",IF(K1474&lt;=5,"BOM","EXCELENTE")))</f>
        <v>BOM</v>
      </c>
      <c r="M1474">
        <v>0</v>
      </c>
      <c r="N1474">
        <v>100</v>
      </c>
      <c r="O1474">
        <v>53.846153846153847</v>
      </c>
    </row>
    <row r="1475" spans="1:15" hidden="1" x14ac:dyDescent="0.25">
      <c r="A1475" s="11">
        <v>46045</v>
      </c>
      <c r="B1475" t="s">
        <v>45</v>
      </c>
      <c r="C1475" t="s">
        <v>32</v>
      </c>
      <c r="D1475">
        <v>30</v>
      </c>
      <c r="E1475">
        <v>28</v>
      </c>
      <c r="F1475">
        <v>12.09</v>
      </c>
      <c r="G1475">
        <v>0</v>
      </c>
      <c r="H1475">
        <v>0</v>
      </c>
      <c r="I1475" s="3">
        <f>E1475+G1475+H1475</f>
        <v>28</v>
      </c>
      <c r="J1475" s="3">
        <f>ROUND(MIN(IF(C1475="Técnico III",35,IF(C1475="Técnico II",28,IF(C1475="Técnico I",23,IF(C1475="JR",20,IF(C1475="Estágio",10,0))))),IF(C1475="Técnico III",SUMIFS($D:$D,$A:$A,$A1475,$B:$B,"&lt;&gt;Patrícia Karla de Sousa Araújo",$B:$B,"&lt;&gt;Lorena Dias de Araujo",$B:$B,"&lt;&gt;Lucas Luiz Romero")*(35/1083),IF(C1475="Técnico II",SUMIFS($D:$D,$A:$A,$A1475,$B:$B,"&lt;&gt;Patrícia Karla de Sousa Araújo",$B:$B,"&lt;&gt;Lorena Dias de Araujo",$B:$B,"&lt;&gt;Lucas Luiz Romero")*(28/1083),IF(C1475="Técnico I",SUMIFS($D:$D,$A:$A,$A1475,$B:$B,"&lt;&gt;Patrícia Karla de Sousa Araújo",$B:$B,"&lt;&gt;Lorena Dias de Araujo",$B:$B,"&lt;&gt;Lucas Luiz Romero")*(23/1083),IF(C1475="JR",SUMIFS($D:$D,$A:$A,$A1475,$B:$B,"&lt;&gt;Patrícia Karla de Sousa Araújo",$B:$B,"&lt;&gt;Lorena Dias de Araujo",$B:$B,"&lt;&gt;Lucas Luiz Romero")*(20/1083),IF(C1475="Estágio",SUMIFS($D:$D,$A:$A,$A1475,$B:$B,"&lt;&gt;Patrícia Karla de Sousa Araújo",$B:$B,"&lt;&gt;Lorena Dias de Araujo",$B:$B,"&lt;&gt;Lucas Luiz Romero")*(10/1083),0)))))),0)</f>
        <v>21</v>
      </c>
      <c r="K1475" s="3">
        <f>I1475-J1475</f>
        <v>7</v>
      </c>
      <c r="L1475" s="3" t="str">
        <f>IF(K1475&lt;-5,"CRÍTICO",IF(K1475&lt;0,"ATENÇÃO",IF(K1475&lt;=5,"BOM","EXCELENTE")))</f>
        <v>EXCELENTE</v>
      </c>
      <c r="M1475">
        <v>26</v>
      </c>
      <c r="N1475">
        <v>100</v>
      </c>
      <c r="O1475">
        <v>44.05594405594406</v>
      </c>
    </row>
    <row r="1476" spans="1:15" hidden="1" x14ac:dyDescent="0.25">
      <c r="A1476" s="11">
        <v>46045</v>
      </c>
      <c r="B1476" t="s">
        <v>64</v>
      </c>
      <c r="C1476" t="s">
        <v>23</v>
      </c>
      <c r="D1476">
        <v>15</v>
      </c>
      <c r="E1476">
        <v>15</v>
      </c>
      <c r="F1476">
        <v>33.520000000000003</v>
      </c>
      <c r="G1476">
        <v>0</v>
      </c>
      <c r="H1476">
        <v>0</v>
      </c>
      <c r="I1476" s="3">
        <f>E1476+G1476+H1476</f>
        <v>15</v>
      </c>
      <c r="J1476" s="3">
        <f>ROUND(MIN(IF(C1476="Técnico III",35,IF(C1476="Técnico II",28,IF(C1476="Técnico I",23,IF(C1476="JR",20,IF(C1476="Estágio",10,0))))),IF(C1476="Técnico III",SUMIFS($D:$D,$A:$A,$A1476,$B:$B,"&lt;&gt;Patrícia Karla de Sousa Araújo",$B:$B,"&lt;&gt;Lorena Dias de Araujo",$B:$B,"&lt;&gt;Lucas Luiz Romero")*(35/1083),IF(C1476="Técnico II",SUMIFS($D:$D,$A:$A,$A1476,$B:$B,"&lt;&gt;Patrícia Karla de Sousa Araújo",$B:$B,"&lt;&gt;Lorena Dias de Araujo",$B:$B,"&lt;&gt;Lucas Luiz Romero")*(28/1083),IF(C1476="Técnico I",SUMIFS($D:$D,$A:$A,$A1476,$B:$B,"&lt;&gt;Patrícia Karla de Sousa Araújo",$B:$B,"&lt;&gt;Lorena Dias de Araujo",$B:$B,"&lt;&gt;Lucas Luiz Romero")*(23/1083),IF(C1476="JR",SUMIFS($D:$D,$A:$A,$A1476,$B:$B,"&lt;&gt;Patrícia Karla de Sousa Araújo",$B:$B,"&lt;&gt;Lorena Dias de Araujo",$B:$B,"&lt;&gt;Lucas Luiz Romero")*(20/1083),IF(C1476="Estágio",SUMIFS($D:$D,$A:$A,$A1476,$B:$B,"&lt;&gt;Patrícia Karla de Sousa Araújo",$B:$B,"&lt;&gt;Lorena Dias de Araujo",$B:$B,"&lt;&gt;Lucas Luiz Romero")*(10/1083),0)))))),0)</f>
        <v>14</v>
      </c>
      <c r="K1476" s="3">
        <f>I1476-J1476</f>
        <v>1</v>
      </c>
      <c r="L1476" s="3" t="str">
        <f>IF(K1476&lt;-5,"CRÍTICO",IF(K1476&lt;0,"ATENÇÃO",IF(K1476&lt;=5,"BOM","EXCELENTE")))</f>
        <v>BOM</v>
      </c>
      <c r="M1476">
        <v>14</v>
      </c>
      <c r="N1476">
        <v>100</v>
      </c>
      <c r="O1476">
        <v>31.872509960159359</v>
      </c>
    </row>
    <row r="1477" spans="1:15" hidden="1" x14ac:dyDescent="0.25">
      <c r="A1477" s="11">
        <v>46045</v>
      </c>
      <c r="B1477" t="s">
        <v>46</v>
      </c>
      <c r="C1477" t="s">
        <v>32</v>
      </c>
      <c r="D1477">
        <v>25</v>
      </c>
      <c r="E1477">
        <v>25</v>
      </c>
      <c r="F1477">
        <v>12.34</v>
      </c>
      <c r="G1477">
        <v>0</v>
      </c>
      <c r="H1477">
        <v>0</v>
      </c>
      <c r="I1477" s="3">
        <f>E1477+G1477+H1477</f>
        <v>25</v>
      </c>
      <c r="J1477" s="3">
        <f>ROUND(MIN(IF(C1477="Técnico III",35,IF(C1477="Técnico II",28,IF(C1477="Técnico I",23,IF(C1477="JR",20,IF(C1477="Estágio",10,0))))),IF(C1477="Técnico III",SUMIFS($D:$D,$A:$A,$A1477,$B:$B,"&lt;&gt;Patrícia Karla de Sousa Araújo",$B:$B,"&lt;&gt;Lorena Dias de Araujo",$B:$B,"&lt;&gt;Lucas Luiz Romero")*(35/1083),IF(C1477="Técnico II",SUMIFS($D:$D,$A:$A,$A1477,$B:$B,"&lt;&gt;Patrícia Karla de Sousa Araújo",$B:$B,"&lt;&gt;Lorena Dias de Araujo",$B:$B,"&lt;&gt;Lucas Luiz Romero")*(28/1083),IF(C1477="Técnico I",SUMIFS($D:$D,$A:$A,$A1477,$B:$B,"&lt;&gt;Patrícia Karla de Sousa Araújo",$B:$B,"&lt;&gt;Lorena Dias de Araujo",$B:$B,"&lt;&gt;Lucas Luiz Romero")*(23/1083),IF(C1477="JR",SUMIFS($D:$D,$A:$A,$A1477,$B:$B,"&lt;&gt;Patrícia Karla de Sousa Araújo",$B:$B,"&lt;&gt;Lorena Dias de Araujo",$B:$B,"&lt;&gt;Lucas Luiz Romero")*(20/1083),IF(C1477="Estágio",SUMIFS($D:$D,$A:$A,$A1477,$B:$B,"&lt;&gt;Patrícia Karla de Sousa Araújo",$B:$B,"&lt;&gt;Lorena Dias de Araujo",$B:$B,"&lt;&gt;Lucas Luiz Romero")*(10/1083),0)))))),0)</f>
        <v>21</v>
      </c>
      <c r="K1477" s="3">
        <f>I1477-J1477</f>
        <v>4</v>
      </c>
      <c r="L1477" s="3" t="str">
        <f>IF(K1477&lt;-5,"CRÍTICO",IF(K1477&lt;0,"ATENÇÃO",IF(K1477&lt;=5,"BOM","EXCELENTE")))</f>
        <v>BOM</v>
      </c>
      <c r="M1477">
        <v>23</v>
      </c>
      <c r="N1477">
        <v>98.41</v>
      </c>
      <c r="O1477">
        <v>29.22465208747515</v>
      </c>
    </row>
    <row r="1478" spans="1:15" hidden="1" x14ac:dyDescent="0.25">
      <c r="A1478" s="11">
        <v>46048</v>
      </c>
      <c r="B1478" t="s">
        <v>47</v>
      </c>
      <c r="C1478" t="s">
        <v>48</v>
      </c>
      <c r="D1478">
        <v>26</v>
      </c>
      <c r="E1478">
        <v>25</v>
      </c>
      <c r="F1478">
        <v>17.2</v>
      </c>
      <c r="G1478">
        <v>0</v>
      </c>
      <c r="H1478">
        <v>0</v>
      </c>
      <c r="I1478" s="3">
        <f>E1478+G1478+H1478</f>
        <v>25</v>
      </c>
      <c r="J1478" s="3">
        <f>ROUND(MIN(IF(C1478="Técnico III",35,IF(C1478="Técnico II",28,IF(C1478="Técnico I",23,IF(C1478="JR",20,IF(C1478="Estágio",10,0))))),IF(C1478="Técnico III",SUMIFS($D:$D,$A:$A,$A1478,$B:$B,"&lt;&gt;Patrícia Karla de Sousa Araújo",$B:$B,"&lt;&gt;Lorena Dias de Araujo",$B:$B,"&lt;&gt;Lucas Luiz Romero")*(35/1083),IF(C1478="Técnico II",SUMIFS($D:$D,$A:$A,$A1478,$B:$B,"&lt;&gt;Patrícia Karla de Sousa Araújo",$B:$B,"&lt;&gt;Lorena Dias de Araujo",$B:$B,"&lt;&gt;Lucas Luiz Romero")*(28/1083),IF(C1478="Técnico I",SUMIFS($D:$D,$A:$A,$A1478,$B:$B,"&lt;&gt;Patrícia Karla de Sousa Araújo",$B:$B,"&lt;&gt;Lorena Dias de Araujo",$B:$B,"&lt;&gt;Lucas Luiz Romero")*(23/1083),IF(C1478="JR",SUMIFS($D:$D,$A:$A,$A1478,$B:$B,"&lt;&gt;Patrícia Karla de Sousa Araújo",$B:$B,"&lt;&gt;Lorena Dias de Araujo",$B:$B,"&lt;&gt;Lucas Luiz Romero")*(20/1083),IF(C1478="Estágio",SUMIFS($D:$D,$A:$A,$A1478,$B:$B,"&lt;&gt;Patrícia Karla de Sousa Araújo",$B:$B,"&lt;&gt;Lorena Dias de Araujo",$B:$B,"&lt;&gt;Lucas Luiz Romero")*(10/1083),0)))))),0)</f>
        <v>19</v>
      </c>
      <c r="K1478" s="3">
        <f>I1478-J1478</f>
        <v>6</v>
      </c>
      <c r="L1478" s="3" t="str">
        <f>IF(K1478&lt;-5,"CRÍTICO",IF(K1478&lt;0,"ATENÇÃO",IF(K1478&lt;=5,"BOM","EXCELENTE")))</f>
        <v>EXCELENTE</v>
      </c>
      <c r="M1478">
        <v>19</v>
      </c>
      <c r="N1478">
        <v>96.81</v>
      </c>
      <c r="O1478">
        <v>27.980535279805348</v>
      </c>
    </row>
    <row r="1479" spans="1:15" hidden="1" x14ac:dyDescent="0.25">
      <c r="A1479" s="11">
        <v>46048</v>
      </c>
      <c r="B1479" t="s">
        <v>31</v>
      </c>
      <c r="C1479" t="s">
        <v>32</v>
      </c>
      <c r="D1479">
        <v>0</v>
      </c>
      <c r="E1479">
        <v>0</v>
      </c>
      <c r="F1479">
        <v>0</v>
      </c>
      <c r="G1479">
        <v>0</v>
      </c>
      <c r="H1479">
        <v>0</v>
      </c>
      <c r="I1479" s="3">
        <v>0</v>
      </c>
      <c r="J1479" s="3">
        <v>0</v>
      </c>
      <c r="K1479" s="3">
        <v>0</v>
      </c>
      <c r="L1479" s="3" t="str">
        <f>IF(K1479&lt;-5,"CRÍTICO",IF(K1479&lt;0,"ATENÇÃO",IF(K1479&lt;=5,"BOM","EXCELENTE")))</f>
        <v>BOM</v>
      </c>
      <c r="M1479">
        <v>21</v>
      </c>
      <c r="N1479">
        <v>98.73</v>
      </c>
      <c r="O1479">
        <v>35.756385068762278</v>
      </c>
    </row>
    <row r="1480" spans="1:15" hidden="1" x14ac:dyDescent="0.25">
      <c r="A1480" s="11">
        <v>46048</v>
      </c>
      <c r="B1480" t="s">
        <v>59</v>
      </c>
      <c r="C1480" t="s">
        <v>23</v>
      </c>
      <c r="D1480">
        <v>29</v>
      </c>
      <c r="E1480">
        <v>26</v>
      </c>
      <c r="F1480">
        <v>20.56</v>
      </c>
      <c r="G1480">
        <v>0</v>
      </c>
      <c r="H1480">
        <v>0</v>
      </c>
      <c r="I1480" s="3">
        <f>E1480+G1480+H1480</f>
        <v>26</v>
      </c>
      <c r="J1480" s="3">
        <f>ROUND(MIN(IF(C1480="Técnico III",35,IF(C1480="Técnico II",28,IF(C1480="Técnico I",23,IF(C1480="JR",20,IF(C1480="Estágio",10,0))))),IF(C1480="Técnico III",SUMIFS($D:$D,$A:$A,$A1480,$B:$B,"&lt;&gt;Patrícia Karla de Sousa Araújo",$B:$B,"&lt;&gt;Lorena Dias de Araujo",$B:$B,"&lt;&gt;Lucas Luiz Romero")*(35/1083),IF(C1480="Técnico II",SUMIFS($D:$D,$A:$A,$A1480,$B:$B,"&lt;&gt;Patrícia Karla de Sousa Araújo",$B:$B,"&lt;&gt;Lorena Dias de Araujo",$B:$B,"&lt;&gt;Lucas Luiz Romero")*(28/1083),IF(C1480="Técnico I",SUMIFS($D:$D,$A:$A,$A1480,$B:$B,"&lt;&gt;Patrícia Karla de Sousa Araújo",$B:$B,"&lt;&gt;Lorena Dias de Araujo",$B:$B,"&lt;&gt;Lucas Luiz Romero")*(23/1083),IF(C1480="JR",SUMIFS($D:$D,$A:$A,$A1480,$B:$B,"&lt;&gt;Patrícia Karla de Sousa Araújo",$B:$B,"&lt;&gt;Lorena Dias de Araujo",$B:$B,"&lt;&gt;Lucas Luiz Romero")*(20/1083),IF(C1480="Estágio",SUMIFS($D:$D,$A:$A,$A1480,$B:$B,"&lt;&gt;Patrícia Karla de Sousa Araújo",$B:$B,"&lt;&gt;Lorena Dias de Araujo",$B:$B,"&lt;&gt;Lucas Luiz Romero")*(10/1083),0)))))),0)</f>
        <v>15</v>
      </c>
      <c r="K1480" s="3">
        <f>I1480-J1480</f>
        <v>11</v>
      </c>
      <c r="L1480" s="3" t="str">
        <f>IF(K1480&lt;-5,"CRÍTICO",IF(K1480&lt;0,"ATENÇÃO",IF(K1480&lt;=5,"BOM","EXCELENTE")))</f>
        <v>EXCELENTE</v>
      </c>
      <c r="M1480">
        <v>27</v>
      </c>
      <c r="N1480">
        <v>98.32</v>
      </c>
      <c r="O1480">
        <v>26.763485477178421</v>
      </c>
    </row>
    <row r="1481" spans="1:15" hidden="1" x14ac:dyDescent="0.25">
      <c r="A1481" s="11">
        <v>46048</v>
      </c>
      <c r="B1481" t="s">
        <v>33</v>
      </c>
      <c r="C1481" t="s">
        <v>32</v>
      </c>
      <c r="D1481">
        <v>28</v>
      </c>
      <c r="E1481">
        <v>24</v>
      </c>
      <c r="F1481">
        <v>25.26</v>
      </c>
      <c r="G1481">
        <v>0</v>
      </c>
      <c r="H1481">
        <v>0</v>
      </c>
      <c r="I1481" s="3">
        <f>E1481+G1481+H1481</f>
        <v>24</v>
      </c>
      <c r="J1481" s="3">
        <f>ROUND(MIN(IF(C1481="Técnico III",35,IF(C1481="Técnico II",28,IF(C1481="Técnico I",23,IF(C1481="JR",20,IF(C1481="Estágio",10,0))))),IF(C1481="Técnico III",SUMIFS($D:$D,$A:$A,$A1481,$B:$B,"&lt;&gt;Patrícia Karla de Sousa Araújo",$B:$B,"&lt;&gt;Lorena Dias de Araujo",$B:$B,"&lt;&gt;Lucas Luiz Romero")*(35/1083),IF(C1481="Técnico II",SUMIFS($D:$D,$A:$A,$A1481,$B:$B,"&lt;&gt;Patrícia Karla de Sousa Araújo",$B:$B,"&lt;&gt;Lorena Dias de Araujo",$B:$B,"&lt;&gt;Lucas Luiz Romero")*(28/1083),IF(C1481="Técnico I",SUMIFS($D:$D,$A:$A,$A1481,$B:$B,"&lt;&gt;Patrícia Karla de Sousa Araújo",$B:$B,"&lt;&gt;Lorena Dias de Araujo",$B:$B,"&lt;&gt;Lucas Luiz Romero")*(23/1083),IF(C1481="JR",SUMIFS($D:$D,$A:$A,$A1481,$B:$B,"&lt;&gt;Patrícia Karla de Sousa Araújo",$B:$B,"&lt;&gt;Lorena Dias de Araujo",$B:$B,"&lt;&gt;Lucas Luiz Romero")*(20/1083),IF(C1481="Estágio",SUMIFS($D:$D,$A:$A,$A1481,$B:$B,"&lt;&gt;Patrícia Karla de Sousa Araújo",$B:$B,"&lt;&gt;Lorena Dias de Araujo",$B:$B,"&lt;&gt;Lucas Luiz Romero")*(10/1083),0)))))),0)</f>
        <v>23</v>
      </c>
      <c r="K1481" s="3">
        <f>I1481-J1481</f>
        <v>1</v>
      </c>
      <c r="L1481" s="3" t="str">
        <f>IF(K1481&lt;-5,"CRÍTICO",IF(K1481&lt;0,"ATENÇÃO",IF(K1481&lt;=5,"BOM","EXCELENTE")))</f>
        <v>BOM</v>
      </c>
      <c r="M1481">
        <v>16</v>
      </c>
      <c r="N1481">
        <v>99.19</v>
      </c>
      <c r="O1481">
        <v>27.637130801687761</v>
      </c>
    </row>
    <row r="1482" spans="1:15" hidden="1" x14ac:dyDescent="0.25">
      <c r="A1482" s="11">
        <v>46048</v>
      </c>
      <c r="B1482" t="s">
        <v>15</v>
      </c>
      <c r="C1482" t="s">
        <v>16</v>
      </c>
      <c r="D1482">
        <v>9</v>
      </c>
      <c r="E1482">
        <v>9</v>
      </c>
      <c r="F1482">
        <v>37.020000000000003</v>
      </c>
      <c r="G1482">
        <v>0</v>
      </c>
      <c r="H1482">
        <v>0</v>
      </c>
      <c r="I1482" s="3">
        <f>E1482+G1482+H1482</f>
        <v>9</v>
      </c>
      <c r="J1482" s="3">
        <f>ROUND(MIN(IF(C1482="Técnico III",35,IF(C1482="Técnico II",28,IF(C1482="Técnico I",23,IF(C1482="JR",20,IF(C1482="Estágio",10,0))))),IF(C1482="Técnico III",SUMIFS($D:$D,$A:$A,$A1482,$B:$B,"&lt;&gt;Patrícia Karla de Sousa Araújo",$B:$B,"&lt;&gt;Lorena Dias de Araujo",$B:$B,"&lt;&gt;Lucas Luiz Romero")*(35/1083),IF(C1482="Técnico II",SUMIFS($D:$D,$A:$A,$A1482,$B:$B,"&lt;&gt;Patrícia Karla de Sousa Araújo",$B:$B,"&lt;&gt;Lorena Dias de Araujo",$B:$B,"&lt;&gt;Lucas Luiz Romero")*(28/1083),IF(C1482="Técnico I",SUMIFS($D:$D,$A:$A,$A1482,$B:$B,"&lt;&gt;Patrícia Karla de Sousa Araújo",$B:$B,"&lt;&gt;Lorena Dias de Araujo",$B:$B,"&lt;&gt;Lucas Luiz Romero")*(23/1083),IF(C1482="JR",SUMIFS($D:$D,$A:$A,$A1482,$B:$B,"&lt;&gt;Patrícia Karla de Sousa Araújo",$B:$B,"&lt;&gt;Lorena Dias de Araujo",$B:$B,"&lt;&gt;Lucas Luiz Romero")*(20/1083),IF(C1482="Estágio",SUMIFS($D:$D,$A:$A,$A1482,$B:$B,"&lt;&gt;Patrícia Karla de Sousa Araújo",$B:$B,"&lt;&gt;Lorena Dias de Araujo",$B:$B,"&lt;&gt;Lucas Luiz Romero")*(10/1083),0)))))),0)</f>
        <v>7</v>
      </c>
      <c r="K1482" s="3">
        <f>I1482-J1482</f>
        <v>2</v>
      </c>
      <c r="L1482" s="3" t="str">
        <f>IF(K1482&lt;-5,"CRÍTICO",IF(K1482&lt;0,"ATENÇÃO",IF(K1482&lt;=5,"BOM","EXCELENTE")))</f>
        <v>BOM</v>
      </c>
      <c r="M1482">
        <v>7</v>
      </c>
      <c r="N1482">
        <v>100</v>
      </c>
      <c r="O1482">
        <v>39.568345323741013</v>
      </c>
    </row>
    <row r="1483" spans="1:15" hidden="1" x14ac:dyDescent="0.25">
      <c r="A1483" s="11">
        <v>46048</v>
      </c>
      <c r="B1483" t="s">
        <v>49</v>
      </c>
      <c r="C1483" t="s">
        <v>48</v>
      </c>
      <c r="D1483">
        <v>34</v>
      </c>
      <c r="E1483">
        <v>30</v>
      </c>
      <c r="F1483">
        <v>14.12</v>
      </c>
      <c r="G1483">
        <v>0</v>
      </c>
      <c r="H1483">
        <v>0</v>
      </c>
      <c r="I1483" s="3">
        <f>E1483+G1483+H1483</f>
        <v>30</v>
      </c>
      <c r="J1483" s="3">
        <f>ROUND(MIN(IF(C1483="Técnico III",35,IF(C1483="Técnico II",28,IF(C1483="Técnico I",23,IF(C1483="JR",20,IF(C1483="Estágio",10,0))))),IF(C1483="Técnico III",SUMIFS($D:$D,$A:$A,$A1483,$B:$B,"&lt;&gt;Patrícia Karla de Sousa Araújo",$B:$B,"&lt;&gt;Lorena Dias de Araujo",$B:$B,"&lt;&gt;Lucas Luiz Romero")*(35/1083),IF(C1483="Técnico II",SUMIFS($D:$D,$A:$A,$A1483,$B:$B,"&lt;&gt;Patrícia Karla de Sousa Araújo",$B:$B,"&lt;&gt;Lorena Dias de Araujo",$B:$B,"&lt;&gt;Lucas Luiz Romero")*(28/1083),IF(C1483="Técnico I",SUMIFS($D:$D,$A:$A,$A1483,$B:$B,"&lt;&gt;Patrícia Karla de Sousa Araújo",$B:$B,"&lt;&gt;Lorena Dias de Araujo",$B:$B,"&lt;&gt;Lucas Luiz Romero")*(23/1083),IF(C1483="JR",SUMIFS($D:$D,$A:$A,$A1483,$B:$B,"&lt;&gt;Patrícia Karla de Sousa Araújo",$B:$B,"&lt;&gt;Lorena Dias de Araujo",$B:$B,"&lt;&gt;Lucas Luiz Romero")*(20/1083),IF(C1483="Estágio",SUMIFS($D:$D,$A:$A,$A1483,$B:$B,"&lt;&gt;Patrícia Karla de Sousa Araújo",$B:$B,"&lt;&gt;Lorena Dias de Araujo",$B:$B,"&lt;&gt;Lucas Luiz Romero")*(10/1083),0)))))),0)</f>
        <v>19</v>
      </c>
      <c r="K1483" s="3">
        <f>I1483-J1483</f>
        <v>11</v>
      </c>
      <c r="L1483" s="3" t="str">
        <f>IF(K1483&lt;-5,"CRÍTICO",IF(K1483&lt;0,"ATENÇÃO",IF(K1483&lt;=5,"BOM","EXCELENTE")))</f>
        <v>EXCELENTE</v>
      </c>
      <c r="M1483">
        <v>30</v>
      </c>
      <c r="N1483">
        <v>98.54</v>
      </c>
      <c r="O1483">
        <v>28.544776119402989</v>
      </c>
    </row>
    <row r="1484" spans="1:15" hidden="1" x14ac:dyDescent="0.25">
      <c r="A1484" s="11">
        <v>46048</v>
      </c>
      <c r="B1484" t="s">
        <v>50</v>
      </c>
      <c r="C1484" t="s">
        <v>48</v>
      </c>
      <c r="D1484">
        <v>23</v>
      </c>
      <c r="E1484">
        <v>23</v>
      </c>
      <c r="F1484">
        <v>28.35</v>
      </c>
      <c r="G1484">
        <v>0</v>
      </c>
      <c r="H1484">
        <v>0</v>
      </c>
      <c r="I1484" s="3">
        <f>E1484+G1484+H1484</f>
        <v>23</v>
      </c>
      <c r="J1484" s="3">
        <f>ROUND(MIN(IF(C1484="Técnico III",35,IF(C1484="Técnico II",28,IF(C1484="Técnico I",23,IF(C1484="JR",20,IF(C1484="Estágio",10,0))))),IF(C1484="Técnico III",SUMIFS($D:$D,$A:$A,$A1484,$B:$B,"&lt;&gt;Patrícia Karla de Sousa Araújo",$B:$B,"&lt;&gt;Lorena Dias de Araujo",$B:$B,"&lt;&gt;Lucas Luiz Romero")*(35/1083),IF(C1484="Técnico II",SUMIFS($D:$D,$A:$A,$A1484,$B:$B,"&lt;&gt;Patrícia Karla de Sousa Araújo",$B:$B,"&lt;&gt;Lorena Dias de Araujo",$B:$B,"&lt;&gt;Lucas Luiz Romero")*(28/1083),IF(C1484="Técnico I",SUMIFS($D:$D,$A:$A,$A1484,$B:$B,"&lt;&gt;Patrícia Karla de Sousa Araújo",$B:$B,"&lt;&gt;Lorena Dias de Araujo",$B:$B,"&lt;&gt;Lucas Luiz Romero")*(23/1083),IF(C1484="JR",SUMIFS($D:$D,$A:$A,$A1484,$B:$B,"&lt;&gt;Patrícia Karla de Sousa Araújo",$B:$B,"&lt;&gt;Lorena Dias de Araujo",$B:$B,"&lt;&gt;Lucas Luiz Romero")*(20/1083),IF(C1484="Estágio",SUMIFS($D:$D,$A:$A,$A1484,$B:$B,"&lt;&gt;Patrícia Karla de Sousa Araújo",$B:$B,"&lt;&gt;Lorena Dias de Araujo",$B:$B,"&lt;&gt;Lucas Luiz Romero")*(10/1083),0)))))),0)</f>
        <v>19</v>
      </c>
      <c r="K1484" s="3">
        <f>I1484-J1484</f>
        <v>4</v>
      </c>
      <c r="L1484" s="3" t="str">
        <f>IF(K1484&lt;-5,"CRÍTICO",IF(K1484&lt;0,"ATENÇÃO",IF(K1484&lt;=5,"BOM","EXCELENTE")))</f>
        <v>BOM</v>
      </c>
      <c r="M1484">
        <v>21</v>
      </c>
      <c r="N1484">
        <v>100</v>
      </c>
      <c r="O1484">
        <v>34.366925064599492</v>
      </c>
    </row>
    <row r="1485" spans="1:15" hidden="1" x14ac:dyDescent="0.25">
      <c r="A1485" s="11">
        <v>46048</v>
      </c>
      <c r="B1485" t="s">
        <v>17</v>
      </c>
      <c r="C1485" t="s">
        <v>16</v>
      </c>
      <c r="D1485">
        <v>0</v>
      </c>
      <c r="E1485">
        <v>0</v>
      </c>
      <c r="F1485">
        <v>0</v>
      </c>
      <c r="G1485">
        <v>0</v>
      </c>
      <c r="H1485">
        <v>0</v>
      </c>
      <c r="I1485" s="3">
        <v>0</v>
      </c>
      <c r="J1485" s="3">
        <v>0</v>
      </c>
      <c r="K1485" s="3">
        <v>0</v>
      </c>
      <c r="L1485" s="3" t="str">
        <f>IF(K1485&lt;-5,"CRÍTICO",IF(K1485&lt;0,"ATENÇÃO",IF(K1485&lt;=5,"BOM","EXCELENTE")))</f>
        <v>BOM</v>
      </c>
      <c r="M1485">
        <v>0</v>
      </c>
      <c r="N1485">
        <v>0</v>
      </c>
      <c r="O1485">
        <v>0</v>
      </c>
    </row>
    <row r="1486" spans="1:15" hidden="1" x14ac:dyDescent="0.25">
      <c r="A1486" s="11">
        <v>46048</v>
      </c>
      <c r="B1486" t="s">
        <v>60</v>
      </c>
      <c r="C1486" t="s">
        <v>23</v>
      </c>
      <c r="D1486">
        <v>21</v>
      </c>
      <c r="E1486">
        <v>20</v>
      </c>
      <c r="F1486">
        <v>25.2</v>
      </c>
      <c r="G1486">
        <v>0</v>
      </c>
      <c r="H1486">
        <v>0</v>
      </c>
      <c r="I1486" s="3">
        <f>E1486+G1486+H1486</f>
        <v>20</v>
      </c>
      <c r="J1486" s="3">
        <f>ROUND(MIN(IF(C1486="Técnico III",35,IF(C1486="Técnico II",28,IF(C1486="Técnico I",23,IF(C1486="JR",20,IF(C1486="Estágio",10,0))))),IF(C1486="Técnico III",SUMIFS($D:$D,$A:$A,$A1486,$B:$B,"&lt;&gt;Patrícia Karla de Sousa Araújo",$B:$B,"&lt;&gt;Lorena Dias de Araujo",$B:$B,"&lt;&gt;Lucas Luiz Romero")*(35/1083),IF(C1486="Técnico II",SUMIFS($D:$D,$A:$A,$A1486,$B:$B,"&lt;&gt;Patrícia Karla de Sousa Araújo",$B:$B,"&lt;&gt;Lorena Dias de Araujo",$B:$B,"&lt;&gt;Lucas Luiz Romero")*(28/1083),IF(C1486="Técnico I",SUMIFS($D:$D,$A:$A,$A1486,$B:$B,"&lt;&gt;Patrícia Karla de Sousa Araújo",$B:$B,"&lt;&gt;Lorena Dias de Araujo",$B:$B,"&lt;&gt;Lucas Luiz Romero")*(23/1083),IF(C1486="JR",SUMIFS($D:$D,$A:$A,$A1486,$B:$B,"&lt;&gt;Patrícia Karla de Sousa Araújo",$B:$B,"&lt;&gt;Lorena Dias de Araujo",$B:$B,"&lt;&gt;Lucas Luiz Romero")*(20/1083),IF(C1486="Estágio",SUMIFS($D:$D,$A:$A,$A1486,$B:$B,"&lt;&gt;Patrícia Karla de Sousa Araújo",$B:$B,"&lt;&gt;Lorena Dias de Araujo",$B:$B,"&lt;&gt;Lucas Luiz Romero")*(10/1083),0)))))),0)</f>
        <v>15</v>
      </c>
      <c r="K1486" s="3">
        <f>I1486-J1486</f>
        <v>5</v>
      </c>
      <c r="L1486" s="3" t="str">
        <f>IF(K1486&lt;-5,"CRÍTICO",IF(K1486&lt;0,"ATENÇÃO",IF(K1486&lt;=5,"BOM","EXCELENTE")))</f>
        <v>BOM</v>
      </c>
      <c r="M1486">
        <v>19</v>
      </c>
      <c r="N1486">
        <v>100</v>
      </c>
      <c r="O1486">
        <v>29.518072289156631</v>
      </c>
    </row>
    <row r="1487" spans="1:15" hidden="1" x14ac:dyDescent="0.25">
      <c r="A1487" s="11">
        <v>46048</v>
      </c>
      <c r="B1487" t="s">
        <v>34</v>
      </c>
      <c r="C1487" t="s">
        <v>32</v>
      </c>
      <c r="D1487">
        <v>34</v>
      </c>
      <c r="E1487">
        <v>28</v>
      </c>
      <c r="F1487">
        <v>13.45</v>
      </c>
      <c r="G1487">
        <v>0</v>
      </c>
      <c r="H1487">
        <v>0</v>
      </c>
      <c r="I1487" s="3">
        <f>E1487+G1487+H1487</f>
        <v>28</v>
      </c>
      <c r="J1487" s="3">
        <f>ROUND(MIN(IF(C1487="Técnico III",35,IF(C1487="Técnico II",28,IF(C1487="Técnico I",23,IF(C1487="JR",20,IF(C1487="Estágio",10,0))))),IF(C1487="Técnico III",SUMIFS($D:$D,$A:$A,$A1487,$B:$B,"&lt;&gt;Patrícia Karla de Sousa Araújo",$B:$B,"&lt;&gt;Lorena Dias de Araujo",$B:$B,"&lt;&gt;Lucas Luiz Romero")*(35/1083),IF(C1487="Técnico II",SUMIFS($D:$D,$A:$A,$A1487,$B:$B,"&lt;&gt;Patrícia Karla de Sousa Araújo",$B:$B,"&lt;&gt;Lorena Dias de Araujo",$B:$B,"&lt;&gt;Lucas Luiz Romero")*(28/1083),IF(C1487="Técnico I",SUMIFS($D:$D,$A:$A,$A1487,$B:$B,"&lt;&gt;Patrícia Karla de Sousa Araújo",$B:$B,"&lt;&gt;Lorena Dias de Araujo",$B:$B,"&lt;&gt;Lucas Luiz Romero")*(23/1083),IF(C1487="JR",SUMIFS($D:$D,$A:$A,$A1487,$B:$B,"&lt;&gt;Patrícia Karla de Sousa Araújo",$B:$B,"&lt;&gt;Lorena Dias de Araujo",$B:$B,"&lt;&gt;Lucas Luiz Romero")*(20/1083),IF(C1487="Estágio",SUMIFS($D:$D,$A:$A,$A1487,$B:$B,"&lt;&gt;Patrícia Karla de Sousa Araújo",$B:$B,"&lt;&gt;Lorena Dias de Araujo",$B:$B,"&lt;&gt;Lucas Luiz Romero")*(10/1083),0)))))),0)</f>
        <v>23</v>
      </c>
      <c r="K1487" s="3">
        <f>I1487-J1487</f>
        <v>5</v>
      </c>
      <c r="L1487" s="3" t="str">
        <f>IF(K1487&lt;-5,"CRÍTICO",IF(K1487&lt;0,"ATENÇÃO",IF(K1487&lt;=5,"BOM","EXCELENTE")))</f>
        <v>BOM</v>
      </c>
      <c r="M1487">
        <v>30</v>
      </c>
      <c r="N1487">
        <v>97.45</v>
      </c>
      <c r="O1487">
        <v>41.421143847487002</v>
      </c>
    </row>
    <row r="1488" spans="1:15" hidden="1" x14ac:dyDescent="0.25">
      <c r="A1488" s="11">
        <v>46048</v>
      </c>
      <c r="B1488" t="s">
        <v>51</v>
      </c>
      <c r="C1488" t="s">
        <v>48</v>
      </c>
      <c r="D1488">
        <v>30</v>
      </c>
      <c r="E1488">
        <v>21</v>
      </c>
      <c r="F1488">
        <v>20.239999999999998</v>
      </c>
      <c r="G1488">
        <v>0</v>
      </c>
      <c r="H1488">
        <v>0</v>
      </c>
      <c r="I1488" s="3">
        <v>0</v>
      </c>
      <c r="J1488" s="3">
        <v>0</v>
      </c>
      <c r="K1488" s="3">
        <v>0</v>
      </c>
      <c r="L1488" s="3" t="str">
        <f>IF(K1488&lt;-5,"CRÍTICO",IF(K1488&lt;0,"ATENÇÃO",IF(K1488&lt;=5,"BOM","EXCELENTE")))</f>
        <v>BOM</v>
      </c>
      <c r="M1488">
        <v>21</v>
      </c>
      <c r="N1488">
        <v>96.58</v>
      </c>
      <c r="O1488">
        <v>30.396475770925111</v>
      </c>
    </row>
    <row r="1489" spans="1:15" hidden="1" x14ac:dyDescent="0.25">
      <c r="A1489" s="11">
        <v>46048</v>
      </c>
      <c r="B1489" t="s">
        <v>61</v>
      </c>
      <c r="C1489" t="s">
        <v>23</v>
      </c>
      <c r="D1489">
        <v>11</v>
      </c>
      <c r="E1489">
        <v>11</v>
      </c>
      <c r="F1489">
        <v>60.52</v>
      </c>
      <c r="G1489">
        <v>0</v>
      </c>
      <c r="H1489">
        <v>0</v>
      </c>
      <c r="I1489" s="3">
        <f>E1489+G1489+H1489</f>
        <v>11</v>
      </c>
      <c r="J1489" s="3">
        <f>ROUND(MIN(IF(C1489="Técnico III",35,IF(C1489="Técnico II",28,IF(C1489="Técnico I",23,IF(C1489="JR",20,IF(C1489="Estágio",10,0))))),IF(C1489="Técnico III",SUMIFS($D:$D,$A:$A,$A1489,$B:$B,"&lt;&gt;Patrícia Karla de Sousa Araújo",$B:$B,"&lt;&gt;Lorena Dias de Araujo",$B:$B,"&lt;&gt;Lucas Luiz Romero")*(35/1083),IF(C1489="Técnico II",SUMIFS($D:$D,$A:$A,$A1489,$B:$B,"&lt;&gt;Patrícia Karla de Sousa Araújo",$B:$B,"&lt;&gt;Lorena Dias de Araujo",$B:$B,"&lt;&gt;Lucas Luiz Romero")*(28/1083),IF(C1489="Técnico I",SUMIFS($D:$D,$A:$A,$A1489,$B:$B,"&lt;&gt;Patrícia Karla de Sousa Araújo",$B:$B,"&lt;&gt;Lorena Dias de Araujo",$B:$B,"&lt;&gt;Lucas Luiz Romero")*(23/1083),IF(C1489="JR",SUMIFS($D:$D,$A:$A,$A1489,$B:$B,"&lt;&gt;Patrícia Karla de Sousa Araújo",$B:$B,"&lt;&gt;Lorena Dias de Araujo",$B:$B,"&lt;&gt;Lucas Luiz Romero")*(20/1083),IF(C1489="Estágio",SUMIFS($D:$D,$A:$A,$A1489,$B:$B,"&lt;&gt;Patrícia Karla de Sousa Araújo",$B:$B,"&lt;&gt;Lorena Dias de Araujo",$B:$B,"&lt;&gt;Lucas Luiz Romero")*(10/1083),0)))))),0)</f>
        <v>15</v>
      </c>
      <c r="K1489" s="3">
        <f>I1489-J1489</f>
        <v>-4</v>
      </c>
      <c r="L1489" s="3" t="str">
        <f>IF(K1489&lt;-5,"CRÍTICO",IF(K1489&lt;0,"ATENÇÃO",IF(K1489&lt;=5,"BOM","EXCELENTE")))</f>
        <v>ATENÇÃO</v>
      </c>
      <c r="M1489">
        <v>11</v>
      </c>
      <c r="N1489">
        <v>100</v>
      </c>
      <c r="O1489">
        <v>27.44282744282744</v>
      </c>
    </row>
    <row r="1490" spans="1:15" hidden="1" x14ac:dyDescent="0.25">
      <c r="A1490" s="11">
        <v>46048</v>
      </c>
      <c r="B1490" t="s">
        <v>35</v>
      </c>
      <c r="C1490" t="s">
        <v>32</v>
      </c>
      <c r="D1490">
        <v>11</v>
      </c>
      <c r="E1490">
        <v>10</v>
      </c>
      <c r="F1490">
        <v>18.54</v>
      </c>
      <c r="G1490">
        <v>0</v>
      </c>
      <c r="H1490">
        <v>0</v>
      </c>
      <c r="I1490" s="3">
        <v>0</v>
      </c>
      <c r="J1490" s="3">
        <v>0</v>
      </c>
      <c r="K1490" s="3">
        <v>0</v>
      </c>
      <c r="L1490" s="3" t="str">
        <f>IF(K1490&lt;-5,"CRÍTICO",IF(K1490&lt;0,"ATENÇÃO",IF(K1490&lt;=5,"BOM","EXCELENTE")))</f>
        <v>BOM</v>
      </c>
      <c r="M1490">
        <v>8</v>
      </c>
      <c r="N1490">
        <v>99.49</v>
      </c>
      <c r="O1490">
        <v>40.200000000000003</v>
      </c>
    </row>
    <row r="1491" spans="1:15" hidden="1" x14ac:dyDescent="0.25">
      <c r="A1491" s="11">
        <v>46048</v>
      </c>
      <c r="B1491" t="s">
        <v>18</v>
      </c>
      <c r="C1491" t="s">
        <v>16</v>
      </c>
      <c r="D1491">
        <v>0</v>
      </c>
      <c r="E1491">
        <v>0</v>
      </c>
      <c r="F1491">
        <v>0</v>
      </c>
      <c r="G1491">
        <v>0</v>
      </c>
      <c r="H1491">
        <v>0</v>
      </c>
      <c r="I1491" s="3">
        <v>0</v>
      </c>
      <c r="J1491" s="3">
        <v>0</v>
      </c>
      <c r="K1491" s="3">
        <v>0</v>
      </c>
      <c r="L1491" s="3" t="str">
        <f>IF(K1491&lt;-5,"CRÍTICO",IF(K1491&lt;0,"ATENÇÃO",IF(K1491&lt;=5,"BOM","EXCELENTE")))</f>
        <v>BOM</v>
      </c>
      <c r="M1491">
        <v>0</v>
      </c>
      <c r="N1491">
        <v>100</v>
      </c>
      <c r="O1491">
        <v>25</v>
      </c>
    </row>
    <row r="1492" spans="1:15" hidden="1" x14ac:dyDescent="0.25">
      <c r="A1492" s="11">
        <v>46048</v>
      </c>
      <c r="B1492" t="s">
        <v>52</v>
      </c>
      <c r="C1492" t="s">
        <v>48</v>
      </c>
      <c r="D1492">
        <v>32</v>
      </c>
      <c r="E1492">
        <v>31</v>
      </c>
      <c r="F1492">
        <v>18.47</v>
      </c>
      <c r="G1492">
        <v>0</v>
      </c>
      <c r="H1492">
        <v>0</v>
      </c>
      <c r="I1492" s="3">
        <f>E1492+G1492+H1492</f>
        <v>31</v>
      </c>
      <c r="J1492" s="3">
        <f>ROUND(MIN(IF(C1492="Técnico III",35,IF(C1492="Técnico II",28,IF(C1492="Técnico I",23,IF(C1492="JR",20,IF(C1492="Estágio",10,0))))),IF(C1492="Técnico III",SUMIFS($D:$D,$A:$A,$A1492,$B:$B,"&lt;&gt;Patrícia Karla de Sousa Araújo",$B:$B,"&lt;&gt;Lorena Dias de Araujo",$B:$B,"&lt;&gt;Lucas Luiz Romero")*(35/1083),IF(C1492="Técnico II",SUMIFS($D:$D,$A:$A,$A1492,$B:$B,"&lt;&gt;Patrícia Karla de Sousa Araújo",$B:$B,"&lt;&gt;Lorena Dias de Araujo",$B:$B,"&lt;&gt;Lucas Luiz Romero")*(28/1083),IF(C1492="Técnico I",SUMIFS($D:$D,$A:$A,$A1492,$B:$B,"&lt;&gt;Patrícia Karla de Sousa Araújo",$B:$B,"&lt;&gt;Lorena Dias de Araujo",$B:$B,"&lt;&gt;Lucas Luiz Romero")*(23/1083),IF(C1492="JR",SUMIFS($D:$D,$A:$A,$A1492,$B:$B,"&lt;&gt;Patrícia Karla de Sousa Araújo",$B:$B,"&lt;&gt;Lorena Dias de Araujo",$B:$B,"&lt;&gt;Lucas Luiz Romero")*(20/1083),IF(C1492="Estágio",SUMIFS($D:$D,$A:$A,$A1492,$B:$B,"&lt;&gt;Patrícia Karla de Sousa Araújo",$B:$B,"&lt;&gt;Lorena Dias de Araujo",$B:$B,"&lt;&gt;Lucas Luiz Romero")*(10/1083),0)))))),0)</f>
        <v>19</v>
      </c>
      <c r="K1492" s="3">
        <f>I1492-J1492</f>
        <v>12</v>
      </c>
      <c r="L1492" s="3" t="str">
        <f>IF(K1492&lt;-5,"CRÍTICO",IF(K1492&lt;0,"ATENÇÃO",IF(K1492&lt;=5,"BOM","EXCELENTE")))</f>
        <v>EXCELENTE</v>
      </c>
      <c r="M1492">
        <v>28</v>
      </c>
      <c r="N1492">
        <v>100</v>
      </c>
      <c r="O1492">
        <v>34.15094339622641</v>
      </c>
    </row>
    <row r="1493" spans="1:15" hidden="1" x14ac:dyDescent="0.25">
      <c r="A1493" s="11">
        <v>46048</v>
      </c>
      <c r="B1493" t="s">
        <v>36</v>
      </c>
      <c r="C1493" t="s">
        <v>32</v>
      </c>
      <c r="D1493">
        <v>28</v>
      </c>
      <c r="E1493">
        <v>25</v>
      </c>
      <c r="F1493">
        <v>15.56</v>
      </c>
      <c r="G1493">
        <v>0</v>
      </c>
      <c r="H1493">
        <v>0</v>
      </c>
      <c r="I1493" s="3">
        <f>E1493+G1493+H1493</f>
        <v>25</v>
      </c>
      <c r="J1493" s="3">
        <f>ROUND(MIN(IF(C1493="Técnico III",35,IF(C1493="Técnico II",28,IF(C1493="Técnico I",23,IF(C1493="JR",20,IF(C1493="Estágio",10,0))))),IF(C1493="Técnico III",SUMIFS($D:$D,$A:$A,$A1493,$B:$B,"&lt;&gt;Patrícia Karla de Sousa Araújo",$B:$B,"&lt;&gt;Lorena Dias de Araujo",$B:$B,"&lt;&gt;Lucas Luiz Romero")*(35/1083),IF(C1493="Técnico II",SUMIFS($D:$D,$A:$A,$A1493,$B:$B,"&lt;&gt;Patrícia Karla de Sousa Araújo",$B:$B,"&lt;&gt;Lorena Dias de Araujo",$B:$B,"&lt;&gt;Lucas Luiz Romero")*(28/1083),IF(C1493="Técnico I",SUMIFS($D:$D,$A:$A,$A1493,$B:$B,"&lt;&gt;Patrícia Karla de Sousa Araújo",$B:$B,"&lt;&gt;Lorena Dias de Araujo",$B:$B,"&lt;&gt;Lucas Luiz Romero")*(23/1083),IF(C1493="JR",SUMIFS($D:$D,$A:$A,$A1493,$B:$B,"&lt;&gt;Patrícia Karla de Sousa Araújo",$B:$B,"&lt;&gt;Lorena Dias de Araujo",$B:$B,"&lt;&gt;Lucas Luiz Romero")*(20/1083),IF(C1493="Estágio",SUMIFS($D:$D,$A:$A,$A1493,$B:$B,"&lt;&gt;Patrícia Karla de Sousa Araújo",$B:$B,"&lt;&gt;Lorena Dias de Araujo",$B:$B,"&lt;&gt;Lucas Luiz Romero")*(10/1083),0)))))),0)</f>
        <v>23</v>
      </c>
      <c r="K1493" s="3">
        <f>I1493-J1493</f>
        <v>2</v>
      </c>
      <c r="L1493" s="3" t="str">
        <f>IF(K1493&lt;-5,"CRÍTICO",IF(K1493&lt;0,"ATENÇÃO",IF(K1493&lt;=5,"BOM","EXCELENTE")))</f>
        <v>BOM</v>
      </c>
      <c r="M1493">
        <v>26</v>
      </c>
      <c r="N1493">
        <v>100</v>
      </c>
      <c r="O1493">
        <v>32.731376975169297</v>
      </c>
    </row>
    <row r="1494" spans="1:15" hidden="1" x14ac:dyDescent="0.25">
      <c r="A1494" s="11">
        <v>46048</v>
      </c>
      <c r="B1494" t="s">
        <v>53</v>
      </c>
      <c r="C1494" t="s">
        <v>48</v>
      </c>
      <c r="D1494">
        <v>25</v>
      </c>
      <c r="E1494">
        <v>24</v>
      </c>
      <c r="F1494">
        <v>27.03</v>
      </c>
      <c r="G1494">
        <v>0</v>
      </c>
      <c r="H1494">
        <v>0</v>
      </c>
      <c r="I1494" s="3">
        <f>E1494+G1494+H1494</f>
        <v>24</v>
      </c>
      <c r="J1494" s="3">
        <f>ROUND(MIN(IF(C1494="Técnico III",35,IF(C1494="Técnico II",28,IF(C1494="Técnico I",23,IF(C1494="JR",20,IF(C1494="Estágio",10,0))))),IF(C1494="Técnico III",SUMIFS($D:$D,$A:$A,$A1494,$B:$B,"&lt;&gt;Patrícia Karla de Sousa Araújo",$B:$B,"&lt;&gt;Lorena Dias de Araujo",$B:$B,"&lt;&gt;Lucas Luiz Romero")*(35/1083),IF(C1494="Técnico II",SUMIFS($D:$D,$A:$A,$A1494,$B:$B,"&lt;&gt;Patrícia Karla de Sousa Araújo",$B:$B,"&lt;&gt;Lorena Dias de Araujo",$B:$B,"&lt;&gt;Lucas Luiz Romero")*(28/1083),IF(C1494="Técnico I",SUMIFS($D:$D,$A:$A,$A1494,$B:$B,"&lt;&gt;Patrícia Karla de Sousa Araújo",$B:$B,"&lt;&gt;Lorena Dias de Araujo",$B:$B,"&lt;&gt;Lucas Luiz Romero")*(23/1083),IF(C1494="JR",SUMIFS($D:$D,$A:$A,$A1494,$B:$B,"&lt;&gt;Patrícia Karla de Sousa Araújo",$B:$B,"&lt;&gt;Lorena Dias de Araujo",$B:$B,"&lt;&gt;Lucas Luiz Romero")*(20/1083),IF(C1494="Estágio",SUMIFS($D:$D,$A:$A,$A1494,$B:$B,"&lt;&gt;Patrícia Karla de Sousa Araújo",$B:$B,"&lt;&gt;Lorena Dias de Araujo",$B:$B,"&lt;&gt;Lucas Luiz Romero")*(10/1083),0)))))),0)</f>
        <v>19</v>
      </c>
      <c r="K1494" s="3">
        <f>I1494-J1494</f>
        <v>5</v>
      </c>
      <c r="L1494" s="3" t="str">
        <f>IF(K1494&lt;-5,"CRÍTICO",IF(K1494&lt;0,"ATENÇÃO",IF(K1494&lt;=5,"BOM","EXCELENTE")))</f>
        <v>BOM</v>
      </c>
      <c r="M1494">
        <v>21</v>
      </c>
      <c r="N1494">
        <v>99.31</v>
      </c>
      <c r="O1494">
        <v>30.96234309623431</v>
      </c>
    </row>
    <row r="1495" spans="1:15" hidden="1" x14ac:dyDescent="0.25">
      <c r="A1495" s="11">
        <v>46080</v>
      </c>
      <c r="B1495" t="s">
        <v>22</v>
      </c>
      <c r="C1495" t="s">
        <v>23</v>
      </c>
      <c r="D1495">
        <v>13</v>
      </c>
      <c r="E1495">
        <v>13</v>
      </c>
      <c r="F1495">
        <v>24.18</v>
      </c>
      <c r="G1495">
        <v>0</v>
      </c>
      <c r="H1495">
        <v>0</v>
      </c>
      <c r="I1495" s="3">
        <f>E1495+G1495+H1495</f>
        <v>13</v>
      </c>
      <c r="J1495" s="3">
        <f>ROUND(MIN(IF(C1495="Técnico III",35,IF(C1495="Técnico II",28,IF(C1495="Técnico I",23,IF(C1495="JR",20,IF(C1495="Estágio",10,0))))),IF(C1495="Técnico III",SUMIFS($D:$D,$A:$A,$A1495,$B:$B,"&lt;&gt;Patrícia Karla de Sousa Araújo",$B:$B,"&lt;&gt;Lorena Dias de Araujo",$B:$B,"&lt;&gt;Lucas Luiz Romero")*(35/1083),IF(C1495="Técnico II",SUMIFS($D:$D,$A:$A,$A1495,$B:$B,"&lt;&gt;Patrícia Karla de Sousa Araújo",$B:$B,"&lt;&gt;Lorena Dias de Araujo",$B:$B,"&lt;&gt;Lucas Luiz Romero")*(28/1083),IF(C1495="Técnico I",SUMIFS($D:$D,$A:$A,$A1495,$B:$B,"&lt;&gt;Patrícia Karla de Sousa Araújo",$B:$B,"&lt;&gt;Lorena Dias de Araujo",$B:$B,"&lt;&gt;Lucas Luiz Romero")*(23/1083),IF(C1495="JR",SUMIFS($D:$D,$A:$A,$A1495,$B:$B,"&lt;&gt;Patrícia Karla de Sousa Araújo",$B:$B,"&lt;&gt;Lorena Dias de Araujo",$B:$B,"&lt;&gt;Lucas Luiz Romero")*(20/1083),IF(C1495="Estágio",SUMIFS($D:$D,$A:$A,$A1495,$B:$B,"&lt;&gt;Patrícia Karla de Sousa Araújo",$B:$B,"&lt;&gt;Lorena Dias de Araujo",$B:$B,"&lt;&gt;Lucas Luiz Romero")*(10/1083),0)))))),0)</f>
        <v>13</v>
      </c>
      <c r="K1495" s="3">
        <f>I1495-J1495</f>
        <v>0</v>
      </c>
      <c r="L1495" s="3" t="str">
        <f>IF(K1495&lt;-5,"CRÍTICO",IF(K1495&lt;0,"ATENÇÃO",IF(K1495&lt;=5,"BOM","EXCELENTE")))</f>
        <v>BOM</v>
      </c>
      <c r="M1495">
        <v>12</v>
      </c>
      <c r="N1495">
        <v>96.67</v>
      </c>
      <c r="O1495">
        <v>31.451612903225811</v>
      </c>
    </row>
    <row r="1496" spans="1:15" hidden="1" x14ac:dyDescent="0.25">
      <c r="A1496" s="11">
        <v>46048</v>
      </c>
      <c r="B1496" t="s">
        <v>54</v>
      </c>
      <c r="C1496" t="s">
        <v>48</v>
      </c>
      <c r="D1496">
        <v>32</v>
      </c>
      <c r="E1496">
        <v>26</v>
      </c>
      <c r="F1496">
        <v>17.29</v>
      </c>
      <c r="G1496">
        <v>0</v>
      </c>
      <c r="H1496">
        <v>0</v>
      </c>
      <c r="I1496" s="3">
        <f>E1496+G1496+H1496</f>
        <v>26</v>
      </c>
      <c r="J1496" s="3">
        <f>ROUND(MIN(IF(C1496="Técnico III",35,IF(C1496="Técnico II",28,IF(C1496="Técnico I",23,IF(C1496="JR",20,IF(C1496="Estágio",10,0))))),IF(C1496="Técnico III",SUMIFS($D:$D,$A:$A,$A1496,$B:$B,"&lt;&gt;Patrícia Karla de Sousa Araújo",$B:$B,"&lt;&gt;Lorena Dias de Araujo",$B:$B,"&lt;&gt;Lucas Luiz Romero")*(35/1083),IF(C1496="Técnico II",SUMIFS($D:$D,$A:$A,$A1496,$B:$B,"&lt;&gt;Patrícia Karla de Sousa Araújo",$B:$B,"&lt;&gt;Lorena Dias de Araujo",$B:$B,"&lt;&gt;Lucas Luiz Romero")*(28/1083),IF(C1496="Técnico I",SUMIFS($D:$D,$A:$A,$A1496,$B:$B,"&lt;&gt;Patrícia Karla de Sousa Araújo",$B:$B,"&lt;&gt;Lorena Dias de Araujo",$B:$B,"&lt;&gt;Lucas Luiz Romero")*(23/1083),IF(C1496="JR",SUMIFS($D:$D,$A:$A,$A1496,$B:$B,"&lt;&gt;Patrícia Karla de Sousa Araújo",$B:$B,"&lt;&gt;Lorena Dias de Araujo",$B:$B,"&lt;&gt;Lucas Luiz Romero")*(20/1083),IF(C1496="Estágio",SUMIFS($D:$D,$A:$A,$A1496,$B:$B,"&lt;&gt;Patrícia Karla de Sousa Araújo",$B:$B,"&lt;&gt;Lorena Dias de Araujo",$B:$B,"&lt;&gt;Lucas Luiz Romero")*(10/1083),0)))))),0)</f>
        <v>19</v>
      </c>
      <c r="K1496" s="3">
        <f>I1496-J1496</f>
        <v>7</v>
      </c>
      <c r="L1496" s="3" t="str">
        <f>IF(K1496&lt;-5,"CRÍTICO",IF(K1496&lt;0,"ATENÇÃO",IF(K1496&lt;=5,"BOM","EXCELENTE")))</f>
        <v>EXCELENTE</v>
      </c>
      <c r="M1496">
        <v>24</v>
      </c>
      <c r="N1496">
        <v>100</v>
      </c>
      <c r="O1496">
        <v>27.676767676767678</v>
      </c>
    </row>
    <row r="1497" spans="1:15" hidden="1" x14ac:dyDescent="0.25">
      <c r="A1497" s="11">
        <v>46048</v>
      </c>
      <c r="B1497" t="s">
        <v>37</v>
      </c>
      <c r="C1497" t="s">
        <v>32</v>
      </c>
      <c r="D1497">
        <v>42</v>
      </c>
      <c r="E1497">
        <v>38</v>
      </c>
      <c r="F1497">
        <v>13.39</v>
      </c>
      <c r="G1497">
        <v>0</v>
      </c>
      <c r="H1497">
        <v>0</v>
      </c>
      <c r="I1497" s="3">
        <f>E1497+G1497+H1497</f>
        <v>38</v>
      </c>
      <c r="J1497" s="3">
        <f>ROUND(MIN(IF(C1497="Técnico III",35,IF(C1497="Técnico II",28,IF(C1497="Técnico I",23,IF(C1497="JR",20,IF(C1497="Estágio",10,0))))),IF(C1497="Técnico III",SUMIFS($D:$D,$A:$A,$A1497,$B:$B,"&lt;&gt;Patrícia Karla de Sousa Araújo",$B:$B,"&lt;&gt;Lorena Dias de Araujo",$B:$B,"&lt;&gt;Lucas Luiz Romero")*(35/1083),IF(C1497="Técnico II",SUMIFS($D:$D,$A:$A,$A1497,$B:$B,"&lt;&gt;Patrícia Karla de Sousa Araújo",$B:$B,"&lt;&gt;Lorena Dias de Araujo",$B:$B,"&lt;&gt;Lucas Luiz Romero")*(28/1083),IF(C1497="Técnico I",SUMIFS($D:$D,$A:$A,$A1497,$B:$B,"&lt;&gt;Patrícia Karla de Sousa Araújo",$B:$B,"&lt;&gt;Lorena Dias de Araujo",$B:$B,"&lt;&gt;Lucas Luiz Romero")*(23/1083),IF(C1497="JR",SUMIFS($D:$D,$A:$A,$A1497,$B:$B,"&lt;&gt;Patrícia Karla de Sousa Araújo",$B:$B,"&lt;&gt;Lorena Dias de Araujo",$B:$B,"&lt;&gt;Lucas Luiz Romero")*(20/1083),IF(C1497="Estágio",SUMIFS($D:$D,$A:$A,$A1497,$B:$B,"&lt;&gt;Patrícia Karla de Sousa Araújo",$B:$B,"&lt;&gt;Lorena Dias de Araujo",$B:$B,"&lt;&gt;Lucas Luiz Romero")*(10/1083),0)))))),0)</f>
        <v>23</v>
      </c>
      <c r="K1497" s="3">
        <f>I1497-J1497</f>
        <v>15</v>
      </c>
      <c r="L1497" s="3" t="str">
        <f>IF(K1497&lt;-5,"CRÍTICO",IF(K1497&lt;0,"ATENÇÃO",IF(K1497&lt;=5,"BOM","EXCELENTE")))</f>
        <v>EXCELENTE</v>
      </c>
      <c r="M1497">
        <v>34</v>
      </c>
      <c r="N1497">
        <v>100</v>
      </c>
      <c r="O1497">
        <v>31.17723156532988</v>
      </c>
    </row>
    <row r="1498" spans="1:15" hidden="1" x14ac:dyDescent="0.25">
      <c r="A1498" s="11">
        <v>46048</v>
      </c>
      <c r="B1498" t="s">
        <v>38</v>
      </c>
      <c r="C1498" t="s">
        <v>32</v>
      </c>
      <c r="D1498">
        <v>24</v>
      </c>
      <c r="E1498">
        <v>21</v>
      </c>
      <c r="F1498">
        <v>11.44</v>
      </c>
      <c r="G1498">
        <v>0</v>
      </c>
      <c r="H1498">
        <v>0</v>
      </c>
      <c r="I1498" s="3">
        <f>E1498+G1498+H1498</f>
        <v>21</v>
      </c>
      <c r="J1498" s="3">
        <f>ROUND(MIN(IF(C1498="Técnico III",35,IF(C1498="Técnico II",28,IF(C1498="Técnico I",23,IF(C1498="JR",20,IF(C1498="Estágio",10,0))))),IF(C1498="Técnico III",SUMIFS($D:$D,$A:$A,$A1498,$B:$B,"&lt;&gt;Patrícia Karla de Sousa Araújo",$B:$B,"&lt;&gt;Lorena Dias de Araujo",$B:$B,"&lt;&gt;Lucas Luiz Romero")*(35/1083),IF(C1498="Técnico II",SUMIFS($D:$D,$A:$A,$A1498,$B:$B,"&lt;&gt;Patrícia Karla de Sousa Araújo",$B:$B,"&lt;&gt;Lorena Dias de Araujo",$B:$B,"&lt;&gt;Lucas Luiz Romero")*(28/1083),IF(C1498="Técnico I",SUMIFS($D:$D,$A:$A,$A1498,$B:$B,"&lt;&gt;Patrícia Karla de Sousa Araújo",$B:$B,"&lt;&gt;Lorena Dias de Araujo",$B:$B,"&lt;&gt;Lucas Luiz Romero")*(23/1083),IF(C1498="JR",SUMIFS($D:$D,$A:$A,$A1498,$B:$B,"&lt;&gt;Patrícia Karla de Sousa Araújo",$B:$B,"&lt;&gt;Lorena Dias de Araujo",$B:$B,"&lt;&gt;Lucas Luiz Romero")*(20/1083),IF(C1498="Estágio",SUMIFS($D:$D,$A:$A,$A1498,$B:$B,"&lt;&gt;Patrícia Karla de Sousa Araújo",$B:$B,"&lt;&gt;Lorena Dias de Araujo",$B:$B,"&lt;&gt;Lucas Luiz Romero")*(10/1083),0)))))),0)</f>
        <v>23</v>
      </c>
      <c r="K1498" s="3">
        <f>I1498-J1498</f>
        <v>-2</v>
      </c>
      <c r="L1498" s="3" t="str">
        <f>IF(K1498&lt;-5,"CRÍTICO",IF(K1498&lt;0,"ATENÇÃO",IF(K1498&lt;=5,"BOM","EXCELENTE")))</f>
        <v>ATENÇÃO</v>
      </c>
      <c r="M1498">
        <v>18</v>
      </c>
      <c r="N1498">
        <v>100</v>
      </c>
      <c r="O1498">
        <v>27.609427609427609</v>
      </c>
    </row>
    <row r="1499" spans="1:15" hidden="1" x14ac:dyDescent="0.25">
      <c r="A1499" s="11">
        <v>46048</v>
      </c>
      <c r="B1499" t="s">
        <v>55</v>
      </c>
      <c r="C1499" t="s">
        <v>48</v>
      </c>
      <c r="D1499">
        <v>33</v>
      </c>
      <c r="E1499">
        <v>28</v>
      </c>
      <c r="F1499">
        <v>15.02</v>
      </c>
      <c r="G1499">
        <v>0</v>
      </c>
      <c r="H1499">
        <v>0</v>
      </c>
      <c r="I1499" s="3">
        <f>E1499+G1499+H1499</f>
        <v>28</v>
      </c>
      <c r="J1499" s="3">
        <f>ROUND(MIN(IF(C1499="Técnico III",35,IF(C1499="Técnico II",28,IF(C1499="Técnico I",23,IF(C1499="JR",20,IF(C1499="Estágio",10,0))))),IF(C1499="Técnico III",SUMIFS($D:$D,$A:$A,$A1499,$B:$B,"&lt;&gt;Patrícia Karla de Sousa Araújo",$B:$B,"&lt;&gt;Lorena Dias de Araujo",$B:$B,"&lt;&gt;Lucas Luiz Romero")*(35/1083),IF(C1499="Técnico II",SUMIFS($D:$D,$A:$A,$A1499,$B:$B,"&lt;&gt;Patrícia Karla de Sousa Araújo",$B:$B,"&lt;&gt;Lorena Dias de Araujo",$B:$B,"&lt;&gt;Lucas Luiz Romero")*(28/1083),IF(C1499="Técnico I",SUMIFS($D:$D,$A:$A,$A1499,$B:$B,"&lt;&gt;Patrícia Karla de Sousa Araújo",$B:$B,"&lt;&gt;Lorena Dias de Araujo",$B:$B,"&lt;&gt;Lucas Luiz Romero")*(23/1083),IF(C1499="JR",SUMIFS($D:$D,$A:$A,$A1499,$B:$B,"&lt;&gt;Patrícia Karla de Sousa Araújo",$B:$B,"&lt;&gt;Lorena Dias de Araujo",$B:$B,"&lt;&gt;Lucas Luiz Romero")*(20/1083),IF(C1499="Estágio",SUMIFS($D:$D,$A:$A,$A1499,$B:$B,"&lt;&gt;Patrícia Karla de Sousa Araújo",$B:$B,"&lt;&gt;Lorena Dias de Araujo",$B:$B,"&lt;&gt;Lucas Luiz Romero")*(10/1083),0)))))),0)</f>
        <v>19</v>
      </c>
      <c r="K1499" s="3">
        <f>I1499-J1499</f>
        <v>9</v>
      </c>
      <c r="L1499" s="3" t="str">
        <f>IF(K1499&lt;-5,"CRÍTICO",IF(K1499&lt;0,"ATENÇÃO",IF(K1499&lt;=5,"BOM","EXCELENTE")))</f>
        <v>EXCELENTE</v>
      </c>
      <c r="M1499">
        <v>26</v>
      </c>
      <c r="N1499">
        <v>96.4</v>
      </c>
      <c r="O1499">
        <v>28.764044943820231</v>
      </c>
    </row>
    <row r="1500" spans="1:15" hidden="1" x14ac:dyDescent="0.25">
      <c r="A1500" s="11">
        <v>46048</v>
      </c>
      <c r="B1500" t="s">
        <v>39</v>
      </c>
      <c r="C1500" t="s">
        <v>32</v>
      </c>
      <c r="D1500">
        <v>0</v>
      </c>
      <c r="E1500">
        <v>0</v>
      </c>
      <c r="F1500">
        <v>0</v>
      </c>
      <c r="G1500">
        <v>0</v>
      </c>
      <c r="H1500">
        <v>0</v>
      </c>
      <c r="I1500" s="3">
        <v>0</v>
      </c>
      <c r="J1500" s="3">
        <v>0</v>
      </c>
      <c r="K1500" s="3">
        <v>0</v>
      </c>
      <c r="L1500" s="3" t="str">
        <f>IF(K1500&lt;-5,"CRÍTICO",IF(K1500&lt;0,"ATENÇÃO",IF(K1500&lt;=5,"BOM","EXCELENTE")))</f>
        <v>BOM</v>
      </c>
      <c r="M1500">
        <v>0</v>
      </c>
      <c r="N1500">
        <v>100</v>
      </c>
      <c r="O1500">
        <v>33.980582524271853</v>
      </c>
    </row>
    <row r="1501" spans="1:15" hidden="1" x14ac:dyDescent="0.25">
      <c r="A1501" s="11">
        <v>46048</v>
      </c>
      <c r="B1501" t="s">
        <v>25</v>
      </c>
      <c r="C1501" t="s">
        <v>26</v>
      </c>
      <c r="D1501">
        <v>8</v>
      </c>
      <c r="E1501">
        <v>8</v>
      </c>
      <c r="F1501">
        <v>29.18</v>
      </c>
      <c r="G1501">
        <v>0</v>
      </c>
      <c r="H1501">
        <v>0</v>
      </c>
      <c r="I1501" s="3">
        <f>E1501+G1501+H1501</f>
        <v>8</v>
      </c>
      <c r="J1501" s="3">
        <f>ROUND(MIN(IF(C1501="Técnico III",35,IF(C1501="Técnico II",28,IF(C1501="Técnico I",23,IF(C1501="JR",20,IF(C1501="Estágio",10,0))))),IF(C1501="Técnico III",SUMIFS($D:$D,$A:$A,$A1501,$B:$B,"&lt;&gt;Patrícia Karla de Sousa Araújo",$B:$B,"&lt;&gt;Lorena Dias de Araujo",$B:$B,"&lt;&gt;Lucas Luiz Romero")*(35/1083),IF(C1501="Técnico II",SUMIFS($D:$D,$A:$A,$A1501,$B:$B,"&lt;&gt;Patrícia Karla de Sousa Araújo",$B:$B,"&lt;&gt;Lorena Dias de Araujo",$B:$B,"&lt;&gt;Lucas Luiz Romero")*(28/1083),IF(C1501="Técnico I",SUMIFS($D:$D,$A:$A,$A1501,$B:$B,"&lt;&gt;Patrícia Karla de Sousa Araújo",$B:$B,"&lt;&gt;Lorena Dias de Araujo",$B:$B,"&lt;&gt;Lucas Luiz Romero")*(23/1083),IF(C1501="JR",SUMIFS($D:$D,$A:$A,$A1501,$B:$B,"&lt;&gt;Patrícia Karla de Sousa Araújo",$B:$B,"&lt;&gt;Lorena Dias de Araujo",$B:$B,"&lt;&gt;Lucas Luiz Romero")*(20/1083),IF(C1501="Estágio",SUMIFS($D:$D,$A:$A,$A1501,$B:$B,"&lt;&gt;Patrícia Karla de Sousa Araújo",$B:$B,"&lt;&gt;Lorena Dias de Araujo",$B:$B,"&lt;&gt;Lucas Luiz Romero")*(10/1083),0)))))),0)</f>
        <v>13</v>
      </c>
      <c r="K1501" s="3">
        <f>I1501-J1501</f>
        <v>-5</v>
      </c>
      <c r="L1501" s="3" t="str">
        <f>IF(K1501&lt;-5,"CRÍTICO",IF(K1501&lt;0,"ATENÇÃO",IF(K1501&lt;=5,"BOM","EXCELENTE")))</f>
        <v>ATENÇÃO</v>
      </c>
      <c r="M1501">
        <v>8</v>
      </c>
      <c r="N1501">
        <v>97.56</v>
      </c>
      <c r="O1501">
        <v>32.515337423312893</v>
      </c>
    </row>
    <row r="1502" spans="1:15" hidden="1" x14ac:dyDescent="0.25">
      <c r="A1502" s="11">
        <v>46048</v>
      </c>
      <c r="B1502" t="s">
        <v>40</v>
      </c>
      <c r="C1502" t="s">
        <v>32</v>
      </c>
      <c r="D1502">
        <v>17</v>
      </c>
      <c r="E1502">
        <v>16</v>
      </c>
      <c r="F1502">
        <v>27.34</v>
      </c>
      <c r="G1502">
        <v>0</v>
      </c>
      <c r="H1502">
        <v>0</v>
      </c>
      <c r="I1502" s="3">
        <f>E1502+G1502+H1502</f>
        <v>16</v>
      </c>
      <c r="J1502" s="3">
        <f>ROUND(MIN(IF(C1502="Técnico III",35,IF(C1502="Técnico II",28,IF(C1502="Técnico I",23,IF(C1502="JR",20,IF(C1502="Estágio",10,0))))),IF(C1502="Técnico III",SUMIFS($D:$D,$A:$A,$A1502,$B:$B,"&lt;&gt;Patrícia Karla de Sousa Araújo",$B:$B,"&lt;&gt;Lorena Dias de Araujo",$B:$B,"&lt;&gt;Lucas Luiz Romero")*(35/1083),IF(C1502="Técnico II",SUMIFS($D:$D,$A:$A,$A1502,$B:$B,"&lt;&gt;Patrícia Karla de Sousa Araújo",$B:$B,"&lt;&gt;Lorena Dias de Araujo",$B:$B,"&lt;&gt;Lucas Luiz Romero")*(28/1083),IF(C1502="Técnico I",SUMIFS($D:$D,$A:$A,$A1502,$B:$B,"&lt;&gt;Patrícia Karla de Sousa Araújo",$B:$B,"&lt;&gt;Lorena Dias de Araujo",$B:$B,"&lt;&gt;Lucas Luiz Romero")*(23/1083),IF(C1502="JR",SUMIFS($D:$D,$A:$A,$A1502,$B:$B,"&lt;&gt;Patrícia Karla de Sousa Araújo",$B:$B,"&lt;&gt;Lorena Dias de Araujo",$B:$B,"&lt;&gt;Lucas Luiz Romero")*(20/1083),IF(C1502="Estágio",SUMIFS($D:$D,$A:$A,$A1502,$B:$B,"&lt;&gt;Patrícia Karla de Sousa Araújo",$B:$B,"&lt;&gt;Lorena Dias de Araujo",$B:$B,"&lt;&gt;Lucas Luiz Romero")*(10/1083),0)))))),0)</f>
        <v>23</v>
      </c>
      <c r="K1502" s="3">
        <f>I1502-J1502</f>
        <v>-7</v>
      </c>
      <c r="L1502" s="3" t="str">
        <f>IF(K1502&lt;-5,"CRÍTICO",IF(K1502&lt;0,"ATENÇÃO",IF(K1502&lt;=5,"BOM","EXCELENTE")))</f>
        <v>CRÍTICO</v>
      </c>
      <c r="M1502">
        <v>17</v>
      </c>
      <c r="N1502">
        <v>97.11</v>
      </c>
      <c r="O1502">
        <v>37.408312958435211</v>
      </c>
    </row>
    <row r="1503" spans="1:15" hidden="1" x14ac:dyDescent="0.25">
      <c r="A1503" s="11">
        <v>46048</v>
      </c>
      <c r="B1503" t="s">
        <v>27</v>
      </c>
      <c r="C1503" t="s">
        <v>26</v>
      </c>
      <c r="D1503">
        <v>0</v>
      </c>
      <c r="E1503">
        <v>0</v>
      </c>
      <c r="F1503">
        <v>0</v>
      </c>
      <c r="G1503">
        <v>0</v>
      </c>
      <c r="H1503">
        <v>0</v>
      </c>
      <c r="I1503" s="3">
        <v>0</v>
      </c>
      <c r="J1503" s="3">
        <v>0</v>
      </c>
      <c r="K1503" s="3">
        <v>0</v>
      </c>
      <c r="L1503" s="3" t="str">
        <f>IF(K1503&lt;-5,"CRÍTICO",IF(K1503&lt;0,"ATENÇÃO",IF(K1503&lt;=5,"BOM","EXCELENTE")))</f>
        <v>BOM</v>
      </c>
      <c r="M1503">
        <v>0</v>
      </c>
      <c r="N1503">
        <v>0</v>
      </c>
      <c r="O1503">
        <v>0</v>
      </c>
    </row>
    <row r="1504" spans="1:15" hidden="1" x14ac:dyDescent="0.25">
      <c r="A1504" s="11">
        <v>46048</v>
      </c>
      <c r="B1504" t="s">
        <v>41</v>
      </c>
      <c r="C1504" t="s">
        <v>32</v>
      </c>
      <c r="D1504">
        <v>26</v>
      </c>
      <c r="E1504">
        <v>24</v>
      </c>
      <c r="F1504">
        <v>17.010000000000002</v>
      </c>
      <c r="G1504">
        <v>0</v>
      </c>
      <c r="H1504">
        <v>0</v>
      </c>
      <c r="I1504" s="3">
        <f>E1504+G1504+H1504</f>
        <v>24</v>
      </c>
      <c r="J1504" s="3">
        <f>ROUND(MIN(IF(C1504="Técnico III",35,IF(C1504="Técnico II",28,IF(C1504="Técnico I",23,IF(C1504="JR",20,IF(C1504="Estágio",10,0))))),IF(C1504="Técnico III",SUMIFS($D:$D,$A:$A,$A1504,$B:$B,"&lt;&gt;Patrícia Karla de Sousa Araújo",$B:$B,"&lt;&gt;Lorena Dias de Araujo",$B:$B,"&lt;&gt;Lucas Luiz Romero")*(35/1083),IF(C1504="Técnico II",SUMIFS($D:$D,$A:$A,$A1504,$B:$B,"&lt;&gt;Patrícia Karla de Sousa Araújo",$B:$B,"&lt;&gt;Lorena Dias de Araujo",$B:$B,"&lt;&gt;Lucas Luiz Romero")*(28/1083),IF(C1504="Técnico I",SUMIFS($D:$D,$A:$A,$A1504,$B:$B,"&lt;&gt;Patrícia Karla de Sousa Araújo",$B:$B,"&lt;&gt;Lorena Dias de Araujo",$B:$B,"&lt;&gt;Lucas Luiz Romero")*(23/1083),IF(C1504="JR",SUMIFS($D:$D,$A:$A,$A1504,$B:$B,"&lt;&gt;Patrícia Karla de Sousa Araújo",$B:$B,"&lt;&gt;Lorena Dias de Araujo",$B:$B,"&lt;&gt;Lucas Luiz Romero")*(20/1083),IF(C1504="Estágio",SUMIFS($D:$D,$A:$A,$A1504,$B:$B,"&lt;&gt;Patrícia Karla de Sousa Araújo",$B:$B,"&lt;&gt;Lorena Dias de Araujo",$B:$B,"&lt;&gt;Lucas Luiz Romero")*(10/1083),0)))))),0)</f>
        <v>23</v>
      </c>
      <c r="K1504" s="3">
        <f>I1504-J1504</f>
        <v>1</v>
      </c>
      <c r="L1504" s="3" t="str">
        <f>IF(K1504&lt;-5,"CRÍTICO",IF(K1504&lt;0,"ATENÇÃO",IF(K1504&lt;=5,"BOM","EXCELENTE")))</f>
        <v>BOM</v>
      </c>
      <c r="M1504">
        <v>24</v>
      </c>
      <c r="N1504">
        <v>100</v>
      </c>
      <c r="O1504">
        <v>30.470347648261761</v>
      </c>
    </row>
    <row r="1505" spans="1:15" hidden="1" x14ac:dyDescent="0.25">
      <c r="A1505" s="11">
        <v>46048</v>
      </c>
      <c r="B1505" t="s">
        <v>56</v>
      </c>
      <c r="C1505" t="s">
        <v>48</v>
      </c>
      <c r="D1505">
        <v>32</v>
      </c>
      <c r="E1505">
        <v>30</v>
      </c>
      <c r="F1505">
        <v>20.12</v>
      </c>
      <c r="G1505">
        <v>0</v>
      </c>
      <c r="H1505">
        <v>0</v>
      </c>
      <c r="I1505" s="3">
        <f>E1505+G1505+H1505</f>
        <v>30</v>
      </c>
      <c r="J1505" s="3">
        <f>ROUND(MIN(IF(C1505="Técnico III",35,IF(C1505="Técnico II",28,IF(C1505="Técnico I",23,IF(C1505="JR",20,IF(C1505="Estágio",10,0))))),IF(C1505="Técnico III",SUMIFS($D:$D,$A:$A,$A1505,$B:$B,"&lt;&gt;Patrícia Karla de Sousa Araújo",$B:$B,"&lt;&gt;Lorena Dias de Araujo",$B:$B,"&lt;&gt;Lucas Luiz Romero")*(35/1083),IF(C1505="Técnico II",SUMIFS($D:$D,$A:$A,$A1505,$B:$B,"&lt;&gt;Patrícia Karla de Sousa Araújo",$B:$B,"&lt;&gt;Lorena Dias de Araujo",$B:$B,"&lt;&gt;Lucas Luiz Romero")*(28/1083),IF(C1505="Técnico I",SUMIFS($D:$D,$A:$A,$A1505,$B:$B,"&lt;&gt;Patrícia Karla de Sousa Araújo",$B:$B,"&lt;&gt;Lorena Dias de Araujo",$B:$B,"&lt;&gt;Lucas Luiz Romero")*(23/1083),IF(C1505="JR",SUMIFS($D:$D,$A:$A,$A1505,$B:$B,"&lt;&gt;Patrícia Karla de Sousa Araújo",$B:$B,"&lt;&gt;Lorena Dias de Araujo",$B:$B,"&lt;&gt;Lucas Luiz Romero")*(20/1083),IF(C1505="Estágio",SUMIFS($D:$D,$A:$A,$A1505,$B:$B,"&lt;&gt;Patrícia Karla de Sousa Araújo",$B:$B,"&lt;&gt;Lorena Dias de Araujo",$B:$B,"&lt;&gt;Lucas Luiz Romero")*(10/1083),0)))))),0)</f>
        <v>19</v>
      </c>
      <c r="K1505" s="3">
        <f>I1505-J1505</f>
        <v>11</v>
      </c>
      <c r="L1505" s="3" t="str">
        <f>IF(K1505&lt;-5,"CRÍTICO",IF(K1505&lt;0,"ATENÇÃO",IF(K1505&lt;=5,"BOM","EXCELENTE")))</f>
        <v>EXCELENTE</v>
      </c>
      <c r="M1505">
        <v>21</v>
      </c>
      <c r="N1505">
        <v>100</v>
      </c>
      <c r="O1505">
        <v>32.371134020618562</v>
      </c>
    </row>
    <row r="1506" spans="1:15" hidden="1" x14ac:dyDescent="0.25">
      <c r="A1506" s="11">
        <v>46048</v>
      </c>
      <c r="B1506" t="s">
        <v>57</v>
      </c>
      <c r="C1506" t="s">
        <v>48</v>
      </c>
      <c r="D1506">
        <v>34</v>
      </c>
      <c r="E1506">
        <v>33</v>
      </c>
      <c r="F1506">
        <v>17.23</v>
      </c>
      <c r="G1506">
        <v>0</v>
      </c>
      <c r="H1506">
        <v>0</v>
      </c>
      <c r="I1506" s="3">
        <v>0</v>
      </c>
      <c r="J1506" s="3">
        <v>0</v>
      </c>
      <c r="K1506" s="3">
        <v>0</v>
      </c>
      <c r="L1506" s="3" t="str">
        <f>IF(K1506&lt;-5,"CRÍTICO",IF(K1506&lt;0,"ATENÇÃO",IF(K1506&lt;=5,"BOM","EXCELENTE")))</f>
        <v>BOM</v>
      </c>
      <c r="M1506">
        <v>29</v>
      </c>
      <c r="N1506">
        <v>98.32</v>
      </c>
      <c r="O1506">
        <v>32.318501170960189</v>
      </c>
    </row>
    <row r="1507" spans="1:15" hidden="1" x14ac:dyDescent="0.25">
      <c r="A1507" s="11">
        <v>46048</v>
      </c>
      <c r="B1507" t="s">
        <v>42</v>
      </c>
      <c r="C1507" t="s">
        <v>32</v>
      </c>
      <c r="D1507">
        <v>46</v>
      </c>
      <c r="E1507">
        <v>31</v>
      </c>
      <c r="F1507">
        <v>13.3</v>
      </c>
      <c r="G1507">
        <v>0</v>
      </c>
      <c r="H1507">
        <v>0</v>
      </c>
      <c r="I1507" s="3">
        <f>E1507+G1507+H1507</f>
        <v>31</v>
      </c>
      <c r="J1507" s="3">
        <f>ROUND(MIN(IF(C1507="Técnico III",35,IF(C1507="Técnico II",28,IF(C1507="Técnico I",23,IF(C1507="JR",20,IF(C1507="Estágio",10,0))))),IF(C1507="Técnico III",SUMIFS($D:$D,$A:$A,$A1507,$B:$B,"&lt;&gt;Patrícia Karla de Sousa Araújo",$B:$B,"&lt;&gt;Lorena Dias de Araujo",$B:$B,"&lt;&gt;Lucas Luiz Romero")*(35/1083),IF(C1507="Técnico II",SUMIFS($D:$D,$A:$A,$A1507,$B:$B,"&lt;&gt;Patrícia Karla de Sousa Araújo",$B:$B,"&lt;&gt;Lorena Dias de Araujo",$B:$B,"&lt;&gt;Lucas Luiz Romero")*(28/1083),IF(C1507="Técnico I",SUMIFS($D:$D,$A:$A,$A1507,$B:$B,"&lt;&gt;Patrícia Karla de Sousa Araújo",$B:$B,"&lt;&gt;Lorena Dias de Araujo",$B:$B,"&lt;&gt;Lucas Luiz Romero")*(23/1083),IF(C1507="JR",SUMIFS($D:$D,$A:$A,$A1507,$B:$B,"&lt;&gt;Patrícia Karla de Sousa Araújo",$B:$B,"&lt;&gt;Lorena Dias de Araujo",$B:$B,"&lt;&gt;Lucas Luiz Romero")*(20/1083),IF(C1507="Estágio",SUMIFS($D:$D,$A:$A,$A1507,$B:$B,"&lt;&gt;Patrícia Karla de Sousa Araújo",$B:$B,"&lt;&gt;Lorena Dias de Araujo",$B:$B,"&lt;&gt;Lucas Luiz Romero")*(10/1083),0)))))),0)</f>
        <v>23</v>
      </c>
      <c r="K1507" s="3">
        <f>I1507-J1507</f>
        <v>8</v>
      </c>
      <c r="L1507" s="3" t="str">
        <f>IF(K1507&lt;-5,"CRÍTICO",IF(K1507&lt;0,"ATENÇÃO",IF(K1507&lt;=5,"BOM","EXCELENTE")))</f>
        <v>EXCELENTE</v>
      </c>
      <c r="M1507">
        <v>28</v>
      </c>
      <c r="N1507">
        <v>96.43</v>
      </c>
      <c r="O1507">
        <v>27.015250544662312</v>
      </c>
    </row>
    <row r="1508" spans="1:15" hidden="1" x14ac:dyDescent="0.25">
      <c r="A1508" s="11">
        <v>46048</v>
      </c>
      <c r="B1508" t="s">
        <v>62</v>
      </c>
      <c r="C1508" t="s">
        <v>23</v>
      </c>
      <c r="D1508">
        <v>25</v>
      </c>
      <c r="E1508">
        <v>23</v>
      </c>
      <c r="F1508">
        <v>13.45</v>
      </c>
      <c r="G1508">
        <v>0</v>
      </c>
      <c r="H1508">
        <v>0</v>
      </c>
      <c r="I1508" s="3">
        <f>E1508+G1508+H1508</f>
        <v>23</v>
      </c>
      <c r="J1508" s="3">
        <f>ROUND(MIN(IF(C1508="Técnico III",35,IF(C1508="Técnico II",28,IF(C1508="Técnico I",23,IF(C1508="JR",20,IF(C1508="Estágio",10,0))))),IF(C1508="Técnico III",SUMIFS($D:$D,$A:$A,$A1508,$B:$B,"&lt;&gt;Patrícia Karla de Sousa Araújo",$B:$B,"&lt;&gt;Lorena Dias de Araujo",$B:$B,"&lt;&gt;Lucas Luiz Romero")*(35/1083),IF(C1508="Técnico II",SUMIFS($D:$D,$A:$A,$A1508,$B:$B,"&lt;&gt;Patrícia Karla de Sousa Araújo",$B:$B,"&lt;&gt;Lorena Dias de Araujo",$B:$B,"&lt;&gt;Lucas Luiz Romero")*(28/1083),IF(C1508="Técnico I",SUMIFS($D:$D,$A:$A,$A1508,$B:$B,"&lt;&gt;Patrícia Karla de Sousa Araújo",$B:$B,"&lt;&gt;Lorena Dias de Araujo",$B:$B,"&lt;&gt;Lucas Luiz Romero")*(23/1083),IF(C1508="JR",SUMIFS($D:$D,$A:$A,$A1508,$B:$B,"&lt;&gt;Patrícia Karla de Sousa Araújo",$B:$B,"&lt;&gt;Lorena Dias de Araujo",$B:$B,"&lt;&gt;Lucas Luiz Romero")*(20/1083),IF(C1508="Estágio",SUMIFS($D:$D,$A:$A,$A1508,$B:$B,"&lt;&gt;Patrícia Karla de Sousa Araújo",$B:$B,"&lt;&gt;Lorena Dias de Araujo",$B:$B,"&lt;&gt;Lucas Luiz Romero")*(10/1083),0)))))),0)</f>
        <v>15</v>
      </c>
      <c r="K1508" s="3">
        <f>I1508-J1508</f>
        <v>8</v>
      </c>
      <c r="L1508" s="3" t="str">
        <f>IF(K1508&lt;-5,"CRÍTICO",IF(K1508&lt;0,"ATENÇÃO",IF(K1508&lt;=5,"BOM","EXCELENTE")))</f>
        <v>EXCELENTE</v>
      </c>
      <c r="M1508">
        <v>22</v>
      </c>
      <c r="N1508">
        <v>98.89</v>
      </c>
      <c r="O1508">
        <v>28.021978021978018</v>
      </c>
    </row>
    <row r="1509" spans="1:15" hidden="1" x14ac:dyDescent="0.25">
      <c r="A1509" s="11">
        <v>46048</v>
      </c>
      <c r="B1509" t="s">
        <v>19</v>
      </c>
      <c r="C1509" t="s">
        <v>16</v>
      </c>
      <c r="D1509">
        <v>0</v>
      </c>
      <c r="E1509">
        <v>0</v>
      </c>
      <c r="F1509">
        <v>0</v>
      </c>
      <c r="G1509">
        <v>0</v>
      </c>
      <c r="H1509">
        <v>0</v>
      </c>
      <c r="I1509" s="3">
        <v>0</v>
      </c>
      <c r="J1509" s="3">
        <v>0</v>
      </c>
      <c r="K1509" s="3">
        <v>0</v>
      </c>
      <c r="L1509" s="3" t="str">
        <f>IF(K1509&lt;-5,"CRÍTICO",IF(K1509&lt;0,"ATENÇÃO",IF(K1509&lt;=5,"BOM","EXCELENTE")))</f>
        <v>BOM</v>
      </c>
      <c r="M1509">
        <v>0</v>
      </c>
      <c r="N1509">
        <v>100</v>
      </c>
      <c r="O1509">
        <v>33.333333333333329</v>
      </c>
    </row>
    <row r="1510" spans="1:15" hidden="1" x14ac:dyDescent="0.25">
      <c r="A1510" s="11">
        <v>46048</v>
      </c>
      <c r="B1510" t="s">
        <v>43</v>
      </c>
      <c r="C1510" t="s">
        <v>32</v>
      </c>
      <c r="D1510">
        <v>0</v>
      </c>
      <c r="E1510">
        <v>0</v>
      </c>
      <c r="F1510">
        <v>0</v>
      </c>
      <c r="G1510">
        <v>0</v>
      </c>
      <c r="H1510">
        <v>0</v>
      </c>
      <c r="I1510" s="3">
        <v>0</v>
      </c>
      <c r="J1510" s="3">
        <v>0</v>
      </c>
      <c r="K1510" s="3">
        <v>0</v>
      </c>
      <c r="L1510" s="3" t="str">
        <f>IF(K1510&lt;-5,"CRÍTICO",IF(K1510&lt;0,"ATENÇÃO",IF(K1510&lt;=5,"BOM","EXCELENTE")))</f>
        <v>BOM</v>
      </c>
      <c r="M1510">
        <v>0</v>
      </c>
      <c r="N1510">
        <v>100</v>
      </c>
      <c r="O1510">
        <v>27.43362831858407</v>
      </c>
    </row>
    <row r="1511" spans="1:15" hidden="1" x14ac:dyDescent="0.25">
      <c r="A1511" s="11">
        <v>46048</v>
      </c>
      <c r="B1511" t="s">
        <v>44</v>
      </c>
      <c r="C1511" t="s">
        <v>32</v>
      </c>
      <c r="D1511">
        <v>46</v>
      </c>
      <c r="E1511">
        <v>33</v>
      </c>
      <c r="F1511">
        <v>9.14</v>
      </c>
      <c r="G1511">
        <v>0</v>
      </c>
      <c r="H1511">
        <v>0</v>
      </c>
      <c r="I1511" s="3">
        <f>E1511+G1511+H1511</f>
        <v>33</v>
      </c>
      <c r="J1511" s="3">
        <f>ROUND(MIN(IF(C1511="Técnico III",35,IF(C1511="Técnico II",28,IF(C1511="Técnico I",23,IF(C1511="JR",20,IF(C1511="Estágio",10,0))))),IF(C1511="Técnico III",SUMIFS($D:$D,$A:$A,$A1511,$B:$B,"&lt;&gt;Patrícia Karla de Sousa Araújo",$B:$B,"&lt;&gt;Lorena Dias de Araujo",$B:$B,"&lt;&gt;Lucas Luiz Romero")*(35/1083),IF(C1511="Técnico II",SUMIFS($D:$D,$A:$A,$A1511,$B:$B,"&lt;&gt;Patrícia Karla de Sousa Araújo",$B:$B,"&lt;&gt;Lorena Dias de Araujo",$B:$B,"&lt;&gt;Lucas Luiz Romero")*(28/1083),IF(C1511="Técnico I",SUMIFS($D:$D,$A:$A,$A1511,$B:$B,"&lt;&gt;Patrícia Karla de Sousa Araújo",$B:$B,"&lt;&gt;Lorena Dias de Araujo",$B:$B,"&lt;&gt;Lucas Luiz Romero")*(23/1083),IF(C1511="JR",SUMIFS($D:$D,$A:$A,$A1511,$B:$B,"&lt;&gt;Patrícia Karla de Sousa Araújo",$B:$B,"&lt;&gt;Lorena Dias de Araujo",$B:$B,"&lt;&gt;Lucas Luiz Romero")*(20/1083),IF(C1511="Estágio",SUMIFS($D:$D,$A:$A,$A1511,$B:$B,"&lt;&gt;Patrícia Karla de Sousa Araújo",$B:$B,"&lt;&gt;Lorena Dias de Araujo",$B:$B,"&lt;&gt;Lucas Luiz Romero")*(10/1083),0)))))),0)</f>
        <v>23</v>
      </c>
      <c r="K1511" s="3">
        <f>I1511-J1511</f>
        <v>10</v>
      </c>
      <c r="L1511" s="3" t="str">
        <f>IF(K1511&lt;-5,"CRÍTICO",IF(K1511&lt;0,"ATENÇÃO",IF(K1511&lt;=5,"BOM","EXCELENTE")))</f>
        <v>EXCELENTE</v>
      </c>
      <c r="M1511">
        <v>31</v>
      </c>
      <c r="N1511">
        <v>98.65</v>
      </c>
      <c r="O1511">
        <v>30.978260869565219</v>
      </c>
    </row>
    <row r="1512" spans="1:15" hidden="1" x14ac:dyDescent="0.25">
      <c r="A1512" s="11">
        <v>46048</v>
      </c>
      <c r="B1512" t="s">
        <v>20</v>
      </c>
      <c r="C1512" t="s">
        <v>16</v>
      </c>
      <c r="D1512">
        <v>3</v>
      </c>
      <c r="E1512">
        <v>3</v>
      </c>
      <c r="F1512">
        <v>79.17</v>
      </c>
      <c r="G1512">
        <v>0</v>
      </c>
      <c r="H1512">
        <v>0</v>
      </c>
      <c r="I1512" s="3">
        <f>E1512+G1512+H1512</f>
        <v>3</v>
      </c>
      <c r="J1512" s="3">
        <f>ROUND(MIN(IF(C1512="Técnico III",35,IF(C1512="Técnico II",28,IF(C1512="Técnico I",23,IF(C1512="JR",20,IF(C1512="Estágio",10,0))))),IF(C1512="Técnico III",SUMIFS($D:$D,$A:$A,$A1512,$B:$B,"&lt;&gt;Patrícia Karla de Sousa Araújo",$B:$B,"&lt;&gt;Lorena Dias de Araujo",$B:$B,"&lt;&gt;Lucas Luiz Romero")*(35/1083),IF(C1512="Técnico II",SUMIFS($D:$D,$A:$A,$A1512,$B:$B,"&lt;&gt;Patrícia Karla de Sousa Araújo",$B:$B,"&lt;&gt;Lorena Dias de Araujo",$B:$B,"&lt;&gt;Lucas Luiz Romero")*(28/1083),IF(C1512="Técnico I",SUMIFS($D:$D,$A:$A,$A1512,$B:$B,"&lt;&gt;Patrícia Karla de Sousa Araújo",$B:$B,"&lt;&gt;Lorena Dias de Araujo",$B:$B,"&lt;&gt;Lucas Luiz Romero")*(23/1083),IF(C1512="JR",SUMIFS($D:$D,$A:$A,$A1512,$B:$B,"&lt;&gt;Patrícia Karla de Sousa Araújo",$B:$B,"&lt;&gt;Lorena Dias de Araujo",$B:$B,"&lt;&gt;Lucas Luiz Romero")*(20/1083),IF(C1512="Estágio",SUMIFS($D:$D,$A:$A,$A1512,$B:$B,"&lt;&gt;Patrícia Karla de Sousa Araújo",$B:$B,"&lt;&gt;Lorena Dias de Araujo",$B:$B,"&lt;&gt;Lucas Luiz Romero")*(10/1083),0)))))),0)</f>
        <v>7</v>
      </c>
      <c r="K1512" s="3">
        <f>I1512-J1512</f>
        <v>-4</v>
      </c>
      <c r="L1512" s="3" t="str">
        <f>IF(K1512&lt;-5,"CRÍTICO",IF(K1512&lt;0,"ATENÇÃO",IF(K1512&lt;=5,"BOM","EXCELENTE")))</f>
        <v>ATENÇÃO</v>
      </c>
      <c r="M1512">
        <v>0</v>
      </c>
      <c r="N1512">
        <v>100</v>
      </c>
      <c r="O1512">
        <v>12</v>
      </c>
    </row>
    <row r="1513" spans="1:15" hidden="1" x14ac:dyDescent="0.25">
      <c r="A1513" s="11">
        <v>46048</v>
      </c>
      <c r="B1513" t="s">
        <v>28</v>
      </c>
      <c r="C1513" t="s">
        <v>26</v>
      </c>
      <c r="D1513">
        <v>0</v>
      </c>
      <c r="E1513">
        <v>0</v>
      </c>
      <c r="F1513">
        <v>0</v>
      </c>
      <c r="G1513">
        <v>0</v>
      </c>
      <c r="H1513">
        <v>0</v>
      </c>
      <c r="I1513" s="3">
        <v>0</v>
      </c>
      <c r="J1513" s="3">
        <v>0</v>
      </c>
      <c r="K1513" s="3">
        <v>0</v>
      </c>
      <c r="L1513" s="3" t="str">
        <f>IF(K1513&lt;-5,"CRÍTICO",IF(K1513&lt;0,"ATENÇÃO",IF(K1513&lt;=5,"BOM","EXCELENTE")))</f>
        <v>BOM</v>
      </c>
      <c r="M1513">
        <v>0</v>
      </c>
      <c r="N1513">
        <v>0</v>
      </c>
      <c r="O1513">
        <v>0</v>
      </c>
    </row>
    <row r="1514" spans="1:15" hidden="1" x14ac:dyDescent="0.25">
      <c r="A1514" s="11">
        <v>46048</v>
      </c>
      <c r="B1514" t="s">
        <v>58</v>
      </c>
      <c r="C1514" t="s">
        <v>48</v>
      </c>
      <c r="D1514">
        <v>20</v>
      </c>
      <c r="E1514">
        <v>19</v>
      </c>
      <c r="F1514">
        <v>15.51</v>
      </c>
      <c r="G1514">
        <v>0</v>
      </c>
      <c r="H1514">
        <v>0</v>
      </c>
      <c r="I1514" s="3">
        <f>E1514+G1514+H1514</f>
        <v>19</v>
      </c>
      <c r="J1514" s="3">
        <f>ROUND(MIN(IF(C1514="Técnico III",35,IF(C1514="Técnico II",28,IF(C1514="Técnico I",23,IF(C1514="JR",20,IF(C1514="Estágio",10,0))))),IF(C1514="Técnico III",SUMIFS($D:$D,$A:$A,$A1514,$B:$B,"&lt;&gt;Patrícia Karla de Sousa Araújo",$B:$B,"&lt;&gt;Lorena Dias de Araujo",$B:$B,"&lt;&gt;Lucas Luiz Romero")*(35/1083),IF(C1514="Técnico II",SUMIFS($D:$D,$A:$A,$A1514,$B:$B,"&lt;&gt;Patrícia Karla de Sousa Araújo",$B:$B,"&lt;&gt;Lorena Dias de Araujo",$B:$B,"&lt;&gt;Lucas Luiz Romero")*(28/1083),IF(C1514="Técnico I",SUMIFS($D:$D,$A:$A,$A1514,$B:$B,"&lt;&gt;Patrícia Karla de Sousa Araújo",$B:$B,"&lt;&gt;Lorena Dias de Araujo",$B:$B,"&lt;&gt;Lucas Luiz Romero")*(23/1083),IF(C1514="JR",SUMIFS($D:$D,$A:$A,$A1514,$B:$B,"&lt;&gt;Patrícia Karla de Sousa Araújo",$B:$B,"&lt;&gt;Lorena Dias de Araujo",$B:$B,"&lt;&gt;Lucas Luiz Romero")*(20/1083),IF(C1514="Estágio",SUMIFS($D:$D,$A:$A,$A1514,$B:$B,"&lt;&gt;Patrícia Karla de Sousa Araújo",$B:$B,"&lt;&gt;Lorena Dias de Araujo",$B:$B,"&lt;&gt;Lucas Luiz Romero")*(10/1083),0)))))),0)</f>
        <v>19</v>
      </c>
      <c r="K1514" s="3">
        <f>I1514-J1514</f>
        <v>0</v>
      </c>
      <c r="L1514" s="3" t="str">
        <f>IF(K1514&lt;-5,"CRÍTICO",IF(K1514&lt;0,"ATENÇÃO",IF(K1514&lt;=5,"BOM","EXCELENTE")))</f>
        <v>BOM</v>
      </c>
      <c r="M1514">
        <v>17</v>
      </c>
      <c r="N1514">
        <v>97.56</v>
      </c>
      <c r="O1514">
        <v>31.067961165048541</v>
      </c>
    </row>
    <row r="1515" spans="1:15" hidden="1" x14ac:dyDescent="0.25">
      <c r="A1515" s="11">
        <v>46048</v>
      </c>
      <c r="B1515" t="s">
        <v>29</v>
      </c>
      <c r="C1515" t="s">
        <v>26</v>
      </c>
      <c r="D1515">
        <v>0</v>
      </c>
      <c r="E1515">
        <v>0</v>
      </c>
      <c r="F1515">
        <v>0</v>
      </c>
      <c r="G1515">
        <v>0</v>
      </c>
      <c r="H1515">
        <v>0</v>
      </c>
      <c r="I1515" s="3">
        <v>0</v>
      </c>
      <c r="J1515" s="3">
        <v>0</v>
      </c>
      <c r="K1515" s="3">
        <v>0</v>
      </c>
      <c r="L1515" s="3" t="str">
        <f>IF(K1515&lt;-5,"CRÍTICO",IF(K1515&lt;0,"ATENÇÃO",IF(K1515&lt;=5,"BOM","EXCELENTE")))</f>
        <v>BOM</v>
      </c>
      <c r="M1515">
        <v>0</v>
      </c>
      <c r="N1515">
        <v>0</v>
      </c>
      <c r="O1515">
        <v>0</v>
      </c>
    </row>
    <row r="1516" spans="1:15" hidden="1" x14ac:dyDescent="0.25">
      <c r="A1516" s="11">
        <v>46048</v>
      </c>
      <c r="B1516" t="s">
        <v>30</v>
      </c>
      <c r="C1516" t="s">
        <v>26</v>
      </c>
      <c r="D1516">
        <v>0</v>
      </c>
      <c r="E1516">
        <v>0</v>
      </c>
      <c r="F1516">
        <v>0</v>
      </c>
      <c r="G1516">
        <v>0</v>
      </c>
      <c r="H1516">
        <v>0</v>
      </c>
      <c r="I1516" s="3">
        <v>0</v>
      </c>
      <c r="J1516" s="3">
        <v>0</v>
      </c>
      <c r="K1516" s="3">
        <v>0</v>
      </c>
      <c r="L1516" s="3" t="str">
        <f>IF(K1516&lt;-5,"CRÍTICO",IF(K1516&lt;0,"ATENÇÃO",IF(K1516&lt;=5,"BOM","EXCELENTE")))</f>
        <v>BOM</v>
      </c>
      <c r="M1516">
        <v>0</v>
      </c>
      <c r="N1516">
        <v>0</v>
      </c>
      <c r="O1516">
        <v>0</v>
      </c>
    </row>
    <row r="1517" spans="1:15" hidden="1" x14ac:dyDescent="0.25">
      <c r="A1517" s="11">
        <v>46048</v>
      </c>
      <c r="B1517" t="s">
        <v>21</v>
      </c>
      <c r="C1517" t="s">
        <v>16</v>
      </c>
      <c r="D1517">
        <v>0</v>
      </c>
      <c r="E1517">
        <v>0</v>
      </c>
      <c r="F1517">
        <v>0</v>
      </c>
      <c r="G1517">
        <v>0</v>
      </c>
      <c r="H1517">
        <v>0</v>
      </c>
      <c r="I1517" s="3">
        <v>0</v>
      </c>
      <c r="J1517" s="3">
        <v>0</v>
      </c>
      <c r="K1517" s="3">
        <v>0</v>
      </c>
      <c r="L1517" s="3" t="str">
        <f>IF(K1517&lt;-5,"CRÍTICO",IF(K1517&lt;0,"ATENÇÃO",IF(K1517&lt;=5,"BOM","EXCELENTE")))</f>
        <v>BOM</v>
      </c>
      <c r="M1517">
        <v>0</v>
      </c>
      <c r="N1517">
        <v>0</v>
      </c>
      <c r="O1517">
        <v>0</v>
      </c>
    </row>
    <row r="1518" spans="1:15" hidden="1" x14ac:dyDescent="0.25">
      <c r="A1518" s="11">
        <v>46048</v>
      </c>
      <c r="B1518" t="s">
        <v>63</v>
      </c>
      <c r="C1518" t="s">
        <v>23</v>
      </c>
      <c r="D1518">
        <v>0</v>
      </c>
      <c r="E1518">
        <v>0</v>
      </c>
      <c r="F1518">
        <v>0</v>
      </c>
      <c r="G1518">
        <v>0</v>
      </c>
      <c r="H1518">
        <v>0</v>
      </c>
      <c r="I1518" s="3">
        <v>0</v>
      </c>
      <c r="J1518" s="3">
        <v>0</v>
      </c>
      <c r="K1518" s="3">
        <v>0</v>
      </c>
      <c r="L1518" s="3" t="str">
        <f>IF(K1518&lt;-5,"CRÍTICO",IF(K1518&lt;0,"ATENÇÃO",IF(K1518&lt;=5,"BOM","EXCELENTE")))</f>
        <v>BOM</v>
      </c>
      <c r="M1518">
        <v>0</v>
      </c>
      <c r="N1518">
        <v>100</v>
      </c>
      <c r="O1518">
        <v>53.846153846153847</v>
      </c>
    </row>
    <row r="1519" spans="1:15" hidden="1" x14ac:dyDescent="0.25">
      <c r="A1519" s="11">
        <v>46048</v>
      </c>
      <c r="B1519" t="s">
        <v>45</v>
      </c>
      <c r="C1519" t="s">
        <v>32</v>
      </c>
      <c r="D1519">
        <v>35</v>
      </c>
      <c r="E1519">
        <v>33</v>
      </c>
      <c r="F1519">
        <v>12.1</v>
      </c>
      <c r="G1519">
        <v>0</v>
      </c>
      <c r="H1519">
        <v>0</v>
      </c>
      <c r="I1519" s="3">
        <f>E1519+G1519+H1519</f>
        <v>33</v>
      </c>
      <c r="J1519" s="3">
        <f>ROUND(MIN(IF(C1519="Técnico III",35,IF(C1519="Técnico II",28,IF(C1519="Técnico I",23,IF(C1519="JR",20,IF(C1519="Estágio",10,0))))),IF(C1519="Técnico III",SUMIFS($D:$D,$A:$A,$A1519,$B:$B,"&lt;&gt;Patrícia Karla de Sousa Araújo",$B:$B,"&lt;&gt;Lorena Dias de Araujo",$B:$B,"&lt;&gt;Lucas Luiz Romero")*(35/1083),IF(C1519="Técnico II",SUMIFS($D:$D,$A:$A,$A1519,$B:$B,"&lt;&gt;Patrícia Karla de Sousa Araújo",$B:$B,"&lt;&gt;Lorena Dias de Araujo",$B:$B,"&lt;&gt;Lucas Luiz Romero")*(28/1083),IF(C1519="Técnico I",SUMIFS($D:$D,$A:$A,$A1519,$B:$B,"&lt;&gt;Patrícia Karla de Sousa Araújo",$B:$B,"&lt;&gt;Lorena Dias de Araujo",$B:$B,"&lt;&gt;Lucas Luiz Romero")*(23/1083),IF(C1519="JR",SUMIFS($D:$D,$A:$A,$A1519,$B:$B,"&lt;&gt;Patrícia Karla de Sousa Araújo",$B:$B,"&lt;&gt;Lorena Dias de Araujo",$B:$B,"&lt;&gt;Lucas Luiz Romero")*(20/1083),IF(C1519="Estágio",SUMIFS($D:$D,$A:$A,$A1519,$B:$B,"&lt;&gt;Patrícia Karla de Sousa Araújo",$B:$B,"&lt;&gt;Lorena Dias de Araujo",$B:$B,"&lt;&gt;Lucas Luiz Romero")*(10/1083),0)))))),0)</f>
        <v>23</v>
      </c>
      <c r="K1519" s="3">
        <f>I1519-J1519</f>
        <v>10</v>
      </c>
      <c r="L1519" s="3" t="str">
        <f>IF(K1519&lt;-5,"CRÍTICO",IF(K1519&lt;0,"ATENÇÃO",IF(K1519&lt;=5,"BOM","EXCELENTE")))</f>
        <v>EXCELENTE</v>
      </c>
      <c r="M1519">
        <v>33</v>
      </c>
      <c r="N1519">
        <v>100</v>
      </c>
      <c r="O1519">
        <v>44.05594405594406</v>
      </c>
    </row>
    <row r="1520" spans="1:15" hidden="1" x14ac:dyDescent="0.25">
      <c r="A1520" s="11">
        <v>46048</v>
      </c>
      <c r="B1520" t="s">
        <v>64</v>
      </c>
      <c r="C1520" t="s">
        <v>23</v>
      </c>
      <c r="D1520">
        <v>13</v>
      </c>
      <c r="E1520">
        <v>13</v>
      </c>
      <c r="F1520">
        <v>23.44</v>
      </c>
      <c r="G1520">
        <v>0</v>
      </c>
      <c r="H1520">
        <v>0</v>
      </c>
      <c r="I1520" s="3">
        <f>E1520+G1520+H1520</f>
        <v>13</v>
      </c>
      <c r="J1520" s="3">
        <f>ROUND(MIN(IF(C1520="Técnico III",35,IF(C1520="Técnico II",28,IF(C1520="Técnico I",23,IF(C1520="JR",20,IF(C1520="Estágio",10,0))))),IF(C1520="Técnico III",SUMIFS($D:$D,$A:$A,$A1520,$B:$B,"&lt;&gt;Patrícia Karla de Sousa Araújo",$B:$B,"&lt;&gt;Lorena Dias de Araujo",$B:$B,"&lt;&gt;Lucas Luiz Romero")*(35/1083),IF(C1520="Técnico II",SUMIFS($D:$D,$A:$A,$A1520,$B:$B,"&lt;&gt;Patrícia Karla de Sousa Araújo",$B:$B,"&lt;&gt;Lorena Dias de Araujo",$B:$B,"&lt;&gt;Lucas Luiz Romero")*(28/1083),IF(C1520="Técnico I",SUMIFS($D:$D,$A:$A,$A1520,$B:$B,"&lt;&gt;Patrícia Karla de Sousa Araújo",$B:$B,"&lt;&gt;Lorena Dias de Araujo",$B:$B,"&lt;&gt;Lucas Luiz Romero")*(23/1083),IF(C1520="JR",SUMIFS($D:$D,$A:$A,$A1520,$B:$B,"&lt;&gt;Patrícia Karla de Sousa Araújo",$B:$B,"&lt;&gt;Lorena Dias de Araujo",$B:$B,"&lt;&gt;Lucas Luiz Romero")*(20/1083),IF(C1520="Estágio",SUMIFS($D:$D,$A:$A,$A1520,$B:$B,"&lt;&gt;Patrícia Karla de Sousa Araújo",$B:$B,"&lt;&gt;Lorena Dias de Araujo",$B:$B,"&lt;&gt;Lucas Luiz Romero")*(10/1083),0)))))),0)</f>
        <v>15</v>
      </c>
      <c r="K1520" s="3">
        <f>I1520-J1520</f>
        <v>-2</v>
      </c>
      <c r="L1520" s="3" t="str">
        <f>IF(K1520&lt;-5,"CRÍTICO",IF(K1520&lt;0,"ATENÇÃO",IF(K1520&lt;=5,"BOM","EXCELENTE")))</f>
        <v>ATENÇÃO</v>
      </c>
      <c r="M1520">
        <v>13</v>
      </c>
      <c r="N1520">
        <v>100</v>
      </c>
      <c r="O1520">
        <v>31.872509960159359</v>
      </c>
    </row>
    <row r="1521" spans="1:15" hidden="1" x14ac:dyDescent="0.25">
      <c r="A1521" s="11">
        <v>46048</v>
      </c>
      <c r="B1521" t="s">
        <v>46</v>
      </c>
      <c r="C1521" t="s">
        <v>32</v>
      </c>
      <c r="D1521">
        <v>26</v>
      </c>
      <c r="E1521">
        <v>26</v>
      </c>
      <c r="F1521">
        <v>17.21</v>
      </c>
      <c r="G1521">
        <v>0</v>
      </c>
      <c r="H1521">
        <v>0</v>
      </c>
      <c r="I1521" s="3">
        <f>E1521+G1521+H1521</f>
        <v>26</v>
      </c>
      <c r="J1521" s="3">
        <f>ROUND(MIN(IF(C1521="Técnico III",35,IF(C1521="Técnico II",28,IF(C1521="Técnico I",23,IF(C1521="JR",20,IF(C1521="Estágio",10,0))))),IF(C1521="Técnico III",SUMIFS($D:$D,$A:$A,$A1521,$B:$B,"&lt;&gt;Patrícia Karla de Sousa Araújo",$B:$B,"&lt;&gt;Lorena Dias de Araujo",$B:$B,"&lt;&gt;Lucas Luiz Romero")*(35/1083),IF(C1521="Técnico II",SUMIFS($D:$D,$A:$A,$A1521,$B:$B,"&lt;&gt;Patrícia Karla de Sousa Araújo",$B:$B,"&lt;&gt;Lorena Dias de Araujo",$B:$B,"&lt;&gt;Lucas Luiz Romero")*(28/1083),IF(C1521="Técnico I",SUMIFS($D:$D,$A:$A,$A1521,$B:$B,"&lt;&gt;Patrícia Karla de Sousa Araújo",$B:$B,"&lt;&gt;Lorena Dias de Araujo",$B:$B,"&lt;&gt;Lucas Luiz Romero")*(23/1083),IF(C1521="JR",SUMIFS($D:$D,$A:$A,$A1521,$B:$B,"&lt;&gt;Patrícia Karla de Sousa Araújo",$B:$B,"&lt;&gt;Lorena Dias de Araujo",$B:$B,"&lt;&gt;Lucas Luiz Romero")*(20/1083),IF(C1521="Estágio",SUMIFS($D:$D,$A:$A,$A1521,$B:$B,"&lt;&gt;Patrícia Karla de Sousa Araújo",$B:$B,"&lt;&gt;Lorena Dias de Araujo",$B:$B,"&lt;&gt;Lucas Luiz Romero")*(10/1083),0)))))),0)</f>
        <v>23</v>
      </c>
      <c r="K1521" s="3">
        <f>I1521-J1521</f>
        <v>3</v>
      </c>
      <c r="L1521" s="3" t="str">
        <f>IF(K1521&lt;-5,"CRÍTICO",IF(K1521&lt;0,"ATENÇÃO",IF(K1521&lt;=5,"BOM","EXCELENTE")))</f>
        <v>BOM</v>
      </c>
      <c r="M1521">
        <v>24</v>
      </c>
      <c r="N1521">
        <v>98.41</v>
      </c>
      <c r="O1521">
        <v>29.22465208747515</v>
      </c>
    </row>
    <row r="1522" spans="1:15" hidden="1" x14ac:dyDescent="0.25">
      <c r="A1522" s="11">
        <v>46049</v>
      </c>
      <c r="B1522" t="s">
        <v>47</v>
      </c>
      <c r="C1522" t="s">
        <v>48</v>
      </c>
      <c r="D1522">
        <v>30</v>
      </c>
      <c r="E1522">
        <v>28</v>
      </c>
      <c r="F1522">
        <v>22.28</v>
      </c>
      <c r="G1522">
        <v>0</v>
      </c>
      <c r="H1522">
        <v>0</v>
      </c>
      <c r="I1522" s="3">
        <f>E1522+G1522+H1522</f>
        <v>28</v>
      </c>
      <c r="J1522" s="3">
        <f>ROUND(MIN(IF(C1522="Técnico III",35,IF(C1522="Técnico II",28,IF(C1522="Técnico I",23,IF(C1522="JR",20,IF(C1522="Estágio",10,0))))),IF(C1522="Técnico III",SUMIFS($D:$D,$A:$A,$A1522,$B:$B,"&lt;&gt;Patrícia Karla de Sousa Araújo",$B:$B,"&lt;&gt;Lorena Dias de Araujo",$B:$B,"&lt;&gt;Lucas Luiz Romero")*(35/1083),IF(C1522="Técnico II",SUMIFS($D:$D,$A:$A,$A1522,$B:$B,"&lt;&gt;Patrícia Karla de Sousa Araújo",$B:$B,"&lt;&gt;Lorena Dias de Araujo",$B:$B,"&lt;&gt;Lucas Luiz Romero")*(28/1083),IF(C1522="Técnico I",SUMIFS($D:$D,$A:$A,$A1522,$B:$B,"&lt;&gt;Patrícia Karla de Sousa Araújo",$B:$B,"&lt;&gt;Lorena Dias de Araujo",$B:$B,"&lt;&gt;Lucas Luiz Romero")*(23/1083),IF(C1522="JR",SUMIFS($D:$D,$A:$A,$A1522,$B:$B,"&lt;&gt;Patrícia Karla de Sousa Araújo",$B:$B,"&lt;&gt;Lorena Dias de Araujo",$B:$B,"&lt;&gt;Lucas Luiz Romero")*(20/1083),IF(C1522="Estágio",SUMIFS($D:$D,$A:$A,$A1522,$B:$B,"&lt;&gt;Patrícia Karla de Sousa Araújo",$B:$B,"&lt;&gt;Lorena Dias de Araujo",$B:$B,"&lt;&gt;Lucas Luiz Romero")*(10/1083),0)))))),0)</f>
        <v>20</v>
      </c>
      <c r="K1522" s="3">
        <f>I1522-J1522</f>
        <v>8</v>
      </c>
      <c r="L1522" s="3" t="str">
        <f>IF(K1522&lt;-5,"CRÍTICO",IF(K1522&lt;0,"ATENÇÃO",IF(K1522&lt;=5,"BOM","EXCELENTE")))</f>
        <v>EXCELENTE</v>
      </c>
      <c r="M1522">
        <v>21</v>
      </c>
      <c r="N1522">
        <v>96.81</v>
      </c>
      <c r="O1522">
        <v>27.980535279805348</v>
      </c>
    </row>
    <row r="1523" spans="1:15" hidden="1" x14ac:dyDescent="0.25">
      <c r="A1523" s="11">
        <v>46049</v>
      </c>
      <c r="B1523" t="s">
        <v>31</v>
      </c>
      <c r="C1523" t="s">
        <v>32</v>
      </c>
      <c r="D1523">
        <v>0</v>
      </c>
      <c r="E1523">
        <v>0</v>
      </c>
      <c r="F1523">
        <v>0</v>
      </c>
      <c r="G1523">
        <v>0</v>
      </c>
      <c r="H1523">
        <v>0</v>
      </c>
      <c r="I1523" s="3">
        <v>0</v>
      </c>
      <c r="J1523" s="3">
        <v>0</v>
      </c>
      <c r="K1523" s="3">
        <v>0</v>
      </c>
      <c r="L1523" s="3" t="str">
        <f>IF(K1523&lt;-5,"CRÍTICO",IF(K1523&lt;0,"ATENÇÃO",IF(K1523&lt;=5,"BOM","EXCELENTE")))</f>
        <v>BOM</v>
      </c>
      <c r="M1523">
        <v>29</v>
      </c>
      <c r="N1523">
        <v>98.73</v>
      </c>
      <c r="O1523">
        <v>35.756385068762278</v>
      </c>
    </row>
    <row r="1524" spans="1:15" hidden="1" x14ac:dyDescent="0.25">
      <c r="A1524" s="11">
        <v>46049</v>
      </c>
      <c r="B1524" t="s">
        <v>59</v>
      </c>
      <c r="C1524" t="s">
        <v>23</v>
      </c>
      <c r="D1524">
        <v>26</v>
      </c>
      <c r="E1524">
        <v>26</v>
      </c>
      <c r="F1524">
        <v>27.04</v>
      </c>
      <c r="G1524">
        <v>0</v>
      </c>
      <c r="H1524">
        <v>0</v>
      </c>
      <c r="I1524" s="3">
        <f>E1524+G1524+H1524</f>
        <v>26</v>
      </c>
      <c r="J1524" s="3">
        <f>ROUND(MIN(IF(C1524="Técnico III",35,IF(C1524="Técnico II",28,IF(C1524="Técnico I",23,IF(C1524="JR",20,IF(C1524="Estágio",10,0))))),IF(C1524="Técnico III",SUMIFS($D:$D,$A:$A,$A1524,$B:$B,"&lt;&gt;Patrícia Karla de Sousa Araújo",$B:$B,"&lt;&gt;Lorena Dias de Araujo",$B:$B,"&lt;&gt;Lucas Luiz Romero")*(35/1083),IF(C1524="Técnico II",SUMIFS($D:$D,$A:$A,$A1524,$B:$B,"&lt;&gt;Patrícia Karla de Sousa Araújo",$B:$B,"&lt;&gt;Lorena Dias de Araujo",$B:$B,"&lt;&gt;Lucas Luiz Romero")*(28/1083),IF(C1524="Técnico I",SUMIFS($D:$D,$A:$A,$A1524,$B:$B,"&lt;&gt;Patrícia Karla de Sousa Araújo",$B:$B,"&lt;&gt;Lorena Dias de Araujo",$B:$B,"&lt;&gt;Lucas Luiz Romero")*(23/1083),IF(C1524="JR",SUMIFS($D:$D,$A:$A,$A1524,$B:$B,"&lt;&gt;Patrícia Karla de Sousa Araújo",$B:$B,"&lt;&gt;Lorena Dias de Araujo",$B:$B,"&lt;&gt;Lucas Luiz Romero")*(20/1083),IF(C1524="Estágio",SUMIFS($D:$D,$A:$A,$A1524,$B:$B,"&lt;&gt;Patrícia Karla de Sousa Araújo",$B:$B,"&lt;&gt;Lorena Dias de Araujo",$B:$B,"&lt;&gt;Lucas Luiz Romero")*(10/1083),0)))))),0)</f>
        <v>17</v>
      </c>
      <c r="K1524" s="3">
        <f>I1524-J1524</f>
        <v>9</v>
      </c>
      <c r="L1524" s="3" t="str">
        <f>IF(K1524&lt;-5,"CRÍTICO",IF(K1524&lt;0,"ATENÇÃO",IF(K1524&lt;=5,"BOM","EXCELENTE")))</f>
        <v>EXCELENTE</v>
      </c>
      <c r="M1524">
        <v>24</v>
      </c>
      <c r="N1524">
        <v>98.32</v>
      </c>
      <c r="O1524">
        <v>26.763485477178421</v>
      </c>
    </row>
    <row r="1525" spans="1:15" hidden="1" x14ac:dyDescent="0.25">
      <c r="A1525" s="11">
        <v>46049</v>
      </c>
      <c r="B1525" t="s">
        <v>33</v>
      </c>
      <c r="C1525" t="s">
        <v>32</v>
      </c>
      <c r="D1525">
        <v>41</v>
      </c>
      <c r="E1525">
        <v>37</v>
      </c>
      <c r="F1525">
        <v>15.36</v>
      </c>
      <c r="G1525">
        <v>0</v>
      </c>
      <c r="H1525">
        <v>0</v>
      </c>
      <c r="I1525" s="3">
        <f>E1525+G1525+H1525</f>
        <v>37</v>
      </c>
      <c r="J1525" s="3">
        <f>ROUND(MIN(IF(C1525="Técnico III",35,IF(C1525="Técnico II",28,IF(C1525="Técnico I",23,IF(C1525="JR",20,IF(C1525="Estágio",10,0))))),IF(C1525="Técnico III",SUMIFS($D:$D,$A:$A,$A1525,$B:$B,"&lt;&gt;Patrícia Karla de Sousa Araújo",$B:$B,"&lt;&gt;Lorena Dias de Araujo",$B:$B,"&lt;&gt;Lucas Luiz Romero")*(35/1083),IF(C1525="Técnico II",SUMIFS($D:$D,$A:$A,$A1525,$B:$B,"&lt;&gt;Patrícia Karla de Sousa Araújo",$B:$B,"&lt;&gt;Lorena Dias de Araujo",$B:$B,"&lt;&gt;Lucas Luiz Romero")*(28/1083),IF(C1525="Técnico I",SUMIFS($D:$D,$A:$A,$A1525,$B:$B,"&lt;&gt;Patrícia Karla de Sousa Araújo",$B:$B,"&lt;&gt;Lorena Dias de Araujo",$B:$B,"&lt;&gt;Lucas Luiz Romero")*(23/1083),IF(C1525="JR",SUMIFS($D:$D,$A:$A,$A1525,$B:$B,"&lt;&gt;Patrícia Karla de Sousa Araújo",$B:$B,"&lt;&gt;Lorena Dias de Araujo",$B:$B,"&lt;&gt;Lucas Luiz Romero")*(20/1083),IF(C1525="Estágio",SUMIFS($D:$D,$A:$A,$A1525,$B:$B,"&lt;&gt;Patrícia Karla de Sousa Araújo",$B:$B,"&lt;&gt;Lorena Dias de Araujo",$B:$B,"&lt;&gt;Lucas Luiz Romero")*(10/1083),0)))))),0)</f>
        <v>25</v>
      </c>
      <c r="K1525" s="3">
        <f>I1525-J1525</f>
        <v>12</v>
      </c>
      <c r="L1525" s="3" t="str">
        <f>IF(K1525&lt;-5,"CRÍTICO",IF(K1525&lt;0,"ATENÇÃO",IF(K1525&lt;=5,"BOM","EXCELENTE")))</f>
        <v>EXCELENTE</v>
      </c>
      <c r="M1525">
        <v>31</v>
      </c>
      <c r="N1525">
        <v>99.19</v>
      </c>
      <c r="O1525">
        <v>27.637130801687761</v>
      </c>
    </row>
    <row r="1526" spans="1:15" hidden="1" x14ac:dyDescent="0.25">
      <c r="A1526" s="11">
        <v>46049</v>
      </c>
      <c r="B1526" t="s">
        <v>15</v>
      </c>
      <c r="C1526" t="s">
        <v>16</v>
      </c>
      <c r="D1526">
        <v>13</v>
      </c>
      <c r="E1526">
        <v>12</v>
      </c>
      <c r="F1526">
        <v>17.16</v>
      </c>
      <c r="G1526">
        <v>0</v>
      </c>
      <c r="H1526">
        <v>0</v>
      </c>
      <c r="I1526" s="3">
        <f>E1526+G1526+H1526</f>
        <v>12</v>
      </c>
      <c r="J1526" s="3">
        <f>ROUND(MIN(IF(C1526="Técnico III",35,IF(C1526="Técnico II",28,IF(C1526="Técnico I",23,IF(C1526="JR",20,IF(C1526="Estágio",10,0))))),IF(C1526="Técnico III",SUMIFS($D:$D,$A:$A,$A1526,$B:$B,"&lt;&gt;Patrícia Karla de Sousa Araújo",$B:$B,"&lt;&gt;Lorena Dias de Araujo",$B:$B,"&lt;&gt;Lucas Luiz Romero")*(35/1083),IF(C1526="Técnico II",SUMIFS($D:$D,$A:$A,$A1526,$B:$B,"&lt;&gt;Patrícia Karla de Sousa Araújo",$B:$B,"&lt;&gt;Lorena Dias de Araujo",$B:$B,"&lt;&gt;Lucas Luiz Romero")*(28/1083),IF(C1526="Técnico I",SUMIFS($D:$D,$A:$A,$A1526,$B:$B,"&lt;&gt;Patrícia Karla de Sousa Araújo",$B:$B,"&lt;&gt;Lorena Dias de Araujo",$B:$B,"&lt;&gt;Lucas Luiz Romero")*(23/1083),IF(C1526="JR",SUMIFS($D:$D,$A:$A,$A1526,$B:$B,"&lt;&gt;Patrícia Karla de Sousa Araújo",$B:$B,"&lt;&gt;Lorena Dias de Araujo",$B:$B,"&lt;&gt;Lucas Luiz Romero")*(20/1083),IF(C1526="Estágio",SUMIFS($D:$D,$A:$A,$A1526,$B:$B,"&lt;&gt;Patrícia Karla de Sousa Araújo",$B:$B,"&lt;&gt;Lorena Dias de Araujo",$B:$B,"&lt;&gt;Lucas Luiz Romero")*(10/1083),0)))))),0)</f>
        <v>7</v>
      </c>
      <c r="K1526" s="3">
        <f>I1526-J1526</f>
        <v>5</v>
      </c>
      <c r="L1526" s="3" t="str">
        <f>IF(K1526&lt;-5,"CRÍTICO",IF(K1526&lt;0,"ATENÇÃO",IF(K1526&lt;=5,"BOM","EXCELENTE")))</f>
        <v>BOM</v>
      </c>
      <c r="M1526">
        <v>10</v>
      </c>
      <c r="N1526">
        <v>100</v>
      </c>
      <c r="O1526">
        <v>39.568345323741013</v>
      </c>
    </row>
    <row r="1527" spans="1:15" hidden="1" x14ac:dyDescent="0.25">
      <c r="A1527" s="11">
        <v>46049</v>
      </c>
      <c r="B1527" t="s">
        <v>49</v>
      </c>
      <c r="C1527" t="s">
        <v>48</v>
      </c>
      <c r="D1527">
        <v>35</v>
      </c>
      <c r="E1527">
        <v>30</v>
      </c>
      <c r="F1527">
        <v>12.37</v>
      </c>
      <c r="G1527">
        <v>0</v>
      </c>
      <c r="H1527">
        <v>0</v>
      </c>
      <c r="I1527" s="3">
        <f>E1527+G1527+H1527</f>
        <v>30</v>
      </c>
      <c r="J1527" s="3">
        <f>ROUND(MIN(IF(C1527="Técnico III",35,IF(C1527="Técnico II",28,IF(C1527="Técnico I",23,IF(C1527="JR",20,IF(C1527="Estágio",10,0))))),IF(C1527="Técnico III",SUMIFS($D:$D,$A:$A,$A1527,$B:$B,"&lt;&gt;Patrícia Karla de Sousa Araújo",$B:$B,"&lt;&gt;Lorena Dias de Araujo",$B:$B,"&lt;&gt;Lucas Luiz Romero")*(35/1083),IF(C1527="Técnico II",SUMIFS($D:$D,$A:$A,$A1527,$B:$B,"&lt;&gt;Patrícia Karla de Sousa Araújo",$B:$B,"&lt;&gt;Lorena Dias de Araujo",$B:$B,"&lt;&gt;Lucas Luiz Romero")*(28/1083),IF(C1527="Técnico I",SUMIFS($D:$D,$A:$A,$A1527,$B:$B,"&lt;&gt;Patrícia Karla de Sousa Araújo",$B:$B,"&lt;&gt;Lorena Dias de Araujo",$B:$B,"&lt;&gt;Lucas Luiz Romero")*(23/1083),IF(C1527="JR",SUMIFS($D:$D,$A:$A,$A1527,$B:$B,"&lt;&gt;Patrícia Karla de Sousa Araújo",$B:$B,"&lt;&gt;Lorena Dias de Araujo",$B:$B,"&lt;&gt;Lucas Luiz Romero")*(20/1083),IF(C1527="Estágio",SUMIFS($D:$D,$A:$A,$A1527,$B:$B,"&lt;&gt;Patrícia Karla de Sousa Araújo",$B:$B,"&lt;&gt;Lorena Dias de Araujo",$B:$B,"&lt;&gt;Lucas Luiz Romero")*(10/1083),0)))))),0)</f>
        <v>20</v>
      </c>
      <c r="K1527" s="3">
        <f>I1527-J1527</f>
        <v>10</v>
      </c>
      <c r="L1527" s="3" t="str">
        <f>IF(K1527&lt;-5,"CRÍTICO",IF(K1527&lt;0,"ATENÇÃO",IF(K1527&lt;=5,"BOM","EXCELENTE")))</f>
        <v>EXCELENTE</v>
      </c>
      <c r="M1527">
        <v>26</v>
      </c>
      <c r="N1527">
        <v>98.54</v>
      </c>
      <c r="O1527">
        <v>28.544776119402989</v>
      </c>
    </row>
    <row r="1528" spans="1:15" hidden="1" x14ac:dyDescent="0.25">
      <c r="A1528" s="11">
        <v>46049</v>
      </c>
      <c r="B1528" t="s">
        <v>50</v>
      </c>
      <c r="C1528" t="s">
        <v>48</v>
      </c>
      <c r="D1528">
        <v>24</v>
      </c>
      <c r="E1528">
        <v>24</v>
      </c>
      <c r="F1528">
        <v>32.26</v>
      </c>
      <c r="G1528">
        <v>0</v>
      </c>
      <c r="H1528">
        <v>0</v>
      </c>
      <c r="I1528" s="3">
        <f>E1528+G1528+H1528</f>
        <v>24</v>
      </c>
      <c r="J1528" s="3">
        <f>ROUND(MIN(IF(C1528="Técnico III",35,IF(C1528="Técnico II",28,IF(C1528="Técnico I",23,IF(C1528="JR",20,IF(C1528="Estágio",10,0))))),IF(C1528="Técnico III",SUMIFS($D:$D,$A:$A,$A1528,$B:$B,"&lt;&gt;Patrícia Karla de Sousa Araújo",$B:$B,"&lt;&gt;Lorena Dias de Araujo",$B:$B,"&lt;&gt;Lucas Luiz Romero")*(35/1083),IF(C1528="Técnico II",SUMIFS($D:$D,$A:$A,$A1528,$B:$B,"&lt;&gt;Patrícia Karla de Sousa Araújo",$B:$B,"&lt;&gt;Lorena Dias de Araujo",$B:$B,"&lt;&gt;Lucas Luiz Romero")*(28/1083),IF(C1528="Técnico I",SUMIFS($D:$D,$A:$A,$A1528,$B:$B,"&lt;&gt;Patrícia Karla de Sousa Araújo",$B:$B,"&lt;&gt;Lorena Dias de Araujo",$B:$B,"&lt;&gt;Lucas Luiz Romero")*(23/1083),IF(C1528="JR",SUMIFS($D:$D,$A:$A,$A1528,$B:$B,"&lt;&gt;Patrícia Karla de Sousa Araújo",$B:$B,"&lt;&gt;Lorena Dias de Araujo",$B:$B,"&lt;&gt;Lucas Luiz Romero")*(20/1083),IF(C1528="Estágio",SUMIFS($D:$D,$A:$A,$A1528,$B:$B,"&lt;&gt;Patrícia Karla de Sousa Araújo",$B:$B,"&lt;&gt;Lorena Dias de Araujo",$B:$B,"&lt;&gt;Lucas Luiz Romero")*(10/1083),0)))))),0)</f>
        <v>20</v>
      </c>
      <c r="K1528" s="3">
        <f>I1528-J1528</f>
        <v>4</v>
      </c>
      <c r="L1528" s="3" t="str">
        <f>IF(K1528&lt;-5,"CRÍTICO",IF(K1528&lt;0,"ATENÇÃO",IF(K1528&lt;=5,"BOM","EXCELENTE")))</f>
        <v>BOM</v>
      </c>
      <c r="M1528">
        <v>22</v>
      </c>
      <c r="N1528">
        <v>100</v>
      </c>
      <c r="O1528">
        <v>34.366925064599492</v>
      </c>
    </row>
    <row r="1529" spans="1:15" hidden="1" x14ac:dyDescent="0.25">
      <c r="A1529" s="11">
        <v>46049</v>
      </c>
      <c r="B1529" t="s">
        <v>17</v>
      </c>
      <c r="C1529" t="s">
        <v>16</v>
      </c>
      <c r="D1529">
        <v>0</v>
      </c>
      <c r="E1529">
        <v>0</v>
      </c>
      <c r="F1529">
        <v>0</v>
      </c>
      <c r="G1529">
        <v>0</v>
      </c>
      <c r="H1529">
        <v>0</v>
      </c>
      <c r="I1529" s="3">
        <v>0</v>
      </c>
      <c r="J1529" s="3">
        <v>0</v>
      </c>
      <c r="K1529" s="3">
        <v>0</v>
      </c>
      <c r="L1529" s="3" t="str">
        <f>IF(K1529&lt;-5,"CRÍTICO",IF(K1529&lt;0,"ATENÇÃO",IF(K1529&lt;=5,"BOM","EXCELENTE")))</f>
        <v>BOM</v>
      </c>
      <c r="M1529">
        <v>0</v>
      </c>
      <c r="N1529">
        <v>0</v>
      </c>
      <c r="O1529">
        <v>0</v>
      </c>
    </row>
    <row r="1530" spans="1:15" hidden="1" x14ac:dyDescent="0.25">
      <c r="A1530" s="11">
        <v>46049</v>
      </c>
      <c r="B1530" t="s">
        <v>60</v>
      </c>
      <c r="C1530" t="s">
        <v>23</v>
      </c>
      <c r="D1530">
        <v>28</v>
      </c>
      <c r="E1530">
        <v>26</v>
      </c>
      <c r="F1530">
        <v>17.39</v>
      </c>
      <c r="G1530">
        <v>0</v>
      </c>
      <c r="H1530">
        <v>0</v>
      </c>
      <c r="I1530" s="3">
        <f>E1530+G1530+H1530</f>
        <v>26</v>
      </c>
      <c r="J1530" s="3">
        <f>ROUND(MIN(IF(C1530="Técnico III",35,IF(C1530="Técnico II",28,IF(C1530="Técnico I",23,IF(C1530="JR",20,IF(C1530="Estágio",10,0))))),IF(C1530="Técnico III",SUMIFS($D:$D,$A:$A,$A1530,$B:$B,"&lt;&gt;Patrícia Karla de Sousa Araújo",$B:$B,"&lt;&gt;Lorena Dias de Araujo",$B:$B,"&lt;&gt;Lucas Luiz Romero")*(35/1083),IF(C1530="Técnico II",SUMIFS($D:$D,$A:$A,$A1530,$B:$B,"&lt;&gt;Patrícia Karla de Sousa Araújo",$B:$B,"&lt;&gt;Lorena Dias de Araujo",$B:$B,"&lt;&gt;Lucas Luiz Romero")*(28/1083),IF(C1530="Técnico I",SUMIFS($D:$D,$A:$A,$A1530,$B:$B,"&lt;&gt;Patrícia Karla de Sousa Araújo",$B:$B,"&lt;&gt;Lorena Dias de Araujo",$B:$B,"&lt;&gt;Lucas Luiz Romero")*(23/1083),IF(C1530="JR",SUMIFS($D:$D,$A:$A,$A1530,$B:$B,"&lt;&gt;Patrícia Karla de Sousa Araújo",$B:$B,"&lt;&gt;Lorena Dias de Araujo",$B:$B,"&lt;&gt;Lucas Luiz Romero")*(20/1083),IF(C1530="Estágio",SUMIFS($D:$D,$A:$A,$A1530,$B:$B,"&lt;&gt;Patrícia Karla de Sousa Araújo",$B:$B,"&lt;&gt;Lorena Dias de Araujo",$B:$B,"&lt;&gt;Lucas Luiz Romero")*(10/1083),0)))))),0)</f>
        <v>17</v>
      </c>
      <c r="K1530" s="3">
        <f>I1530-J1530</f>
        <v>9</v>
      </c>
      <c r="L1530" s="3" t="str">
        <f>IF(K1530&lt;-5,"CRÍTICO",IF(K1530&lt;0,"ATENÇÃO",IF(K1530&lt;=5,"BOM","EXCELENTE")))</f>
        <v>EXCELENTE</v>
      </c>
      <c r="M1530">
        <v>22</v>
      </c>
      <c r="N1530">
        <v>100</v>
      </c>
      <c r="O1530">
        <v>29.518072289156631</v>
      </c>
    </row>
    <row r="1531" spans="1:15" hidden="1" x14ac:dyDescent="0.25">
      <c r="A1531" s="11">
        <v>46049</v>
      </c>
      <c r="B1531" t="s">
        <v>34</v>
      </c>
      <c r="C1531" t="s">
        <v>32</v>
      </c>
      <c r="D1531">
        <v>29</v>
      </c>
      <c r="E1531">
        <v>28</v>
      </c>
      <c r="F1531">
        <v>18.440000000000001</v>
      </c>
      <c r="G1531">
        <v>0</v>
      </c>
      <c r="H1531">
        <v>0</v>
      </c>
      <c r="I1531" s="3">
        <f>E1531+G1531+H1531</f>
        <v>28</v>
      </c>
      <c r="J1531" s="3">
        <f>ROUND(MIN(IF(C1531="Técnico III",35,IF(C1531="Técnico II",28,IF(C1531="Técnico I",23,IF(C1531="JR",20,IF(C1531="Estágio",10,0))))),IF(C1531="Técnico III",SUMIFS($D:$D,$A:$A,$A1531,$B:$B,"&lt;&gt;Patrícia Karla de Sousa Araújo",$B:$B,"&lt;&gt;Lorena Dias de Araujo",$B:$B,"&lt;&gt;Lucas Luiz Romero")*(35/1083),IF(C1531="Técnico II",SUMIFS($D:$D,$A:$A,$A1531,$B:$B,"&lt;&gt;Patrícia Karla de Sousa Araújo",$B:$B,"&lt;&gt;Lorena Dias de Araujo",$B:$B,"&lt;&gt;Lucas Luiz Romero")*(28/1083),IF(C1531="Técnico I",SUMIFS($D:$D,$A:$A,$A1531,$B:$B,"&lt;&gt;Patrícia Karla de Sousa Araújo",$B:$B,"&lt;&gt;Lorena Dias de Araujo",$B:$B,"&lt;&gt;Lucas Luiz Romero")*(23/1083),IF(C1531="JR",SUMIFS($D:$D,$A:$A,$A1531,$B:$B,"&lt;&gt;Patrícia Karla de Sousa Araújo",$B:$B,"&lt;&gt;Lorena Dias de Araujo",$B:$B,"&lt;&gt;Lucas Luiz Romero")*(20/1083),IF(C1531="Estágio",SUMIFS($D:$D,$A:$A,$A1531,$B:$B,"&lt;&gt;Patrícia Karla de Sousa Araújo",$B:$B,"&lt;&gt;Lorena Dias de Araujo",$B:$B,"&lt;&gt;Lucas Luiz Romero")*(10/1083),0)))))),0)</f>
        <v>25</v>
      </c>
      <c r="K1531" s="3">
        <f>I1531-J1531</f>
        <v>3</v>
      </c>
      <c r="L1531" s="3" t="str">
        <f>IF(K1531&lt;-5,"CRÍTICO",IF(K1531&lt;0,"ATENÇÃO",IF(K1531&lt;=5,"BOM","EXCELENTE")))</f>
        <v>BOM</v>
      </c>
      <c r="M1531">
        <v>25</v>
      </c>
      <c r="N1531">
        <v>97.45</v>
      </c>
      <c r="O1531">
        <v>41.421143847487002</v>
      </c>
    </row>
    <row r="1532" spans="1:15" hidden="1" x14ac:dyDescent="0.25">
      <c r="A1532" s="11">
        <v>46049</v>
      </c>
      <c r="B1532" t="s">
        <v>51</v>
      </c>
      <c r="C1532" t="s">
        <v>48</v>
      </c>
      <c r="D1532">
        <v>35</v>
      </c>
      <c r="E1532">
        <v>25</v>
      </c>
      <c r="F1532">
        <v>13.29</v>
      </c>
      <c r="G1532">
        <v>0</v>
      </c>
      <c r="H1532">
        <v>0</v>
      </c>
      <c r="I1532" s="3">
        <v>0</v>
      </c>
      <c r="J1532" s="3">
        <v>0</v>
      </c>
      <c r="K1532" s="3">
        <v>0</v>
      </c>
      <c r="L1532" s="3" t="str">
        <f>IF(K1532&lt;-5,"CRÍTICO",IF(K1532&lt;0,"ATENÇÃO",IF(K1532&lt;=5,"BOM","EXCELENTE")))</f>
        <v>BOM</v>
      </c>
      <c r="M1532">
        <v>19</v>
      </c>
      <c r="N1532">
        <v>96.58</v>
      </c>
      <c r="O1532">
        <v>30.396475770925111</v>
      </c>
    </row>
    <row r="1533" spans="1:15" hidden="1" x14ac:dyDescent="0.25">
      <c r="A1533" s="11">
        <v>46049</v>
      </c>
      <c r="B1533" t="s">
        <v>61</v>
      </c>
      <c r="C1533" t="s">
        <v>23</v>
      </c>
      <c r="D1533">
        <v>22</v>
      </c>
      <c r="E1533">
        <v>22</v>
      </c>
      <c r="F1533">
        <v>22.29</v>
      </c>
      <c r="G1533">
        <v>0</v>
      </c>
      <c r="H1533">
        <v>0</v>
      </c>
      <c r="I1533" s="3">
        <f>E1533+G1533+H1533</f>
        <v>22</v>
      </c>
      <c r="J1533" s="3">
        <f>ROUND(MIN(IF(C1533="Técnico III",35,IF(C1533="Técnico II",28,IF(C1533="Técnico I",23,IF(C1533="JR",20,IF(C1533="Estágio",10,0))))),IF(C1533="Técnico III",SUMIFS($D:$D,$A:$A,$A1533,$B:$B,"&lt;&gt;Patrícia Karla de Sousa Araújo",$B:$B,"&lt;&gt;Lorena Dias de Araujo",$B:$B,"&lt;&gt;Lucas Luiz Romero")*(35/1083),IF(C1533="Técnico II",SUMIFS($D:$D,$A:$A,$A1533,$B:$B,"&lt;&gt;Patrícia Karla de Sousa Araújo",$B:$B,"&lt;&gt;Lorena Dias de Araujo",$B:$B,"&lt;&gt;Lucas Luiz Romero")*(28/1083),IF(C1533="Técnico I",SUMIFS($D:$D,$A:$A,$A1533,$B:$B,"&lt;&gt;Patrícia Karla de Sousa Araújo",$B:$B,"&lt;&gt;Lorena Dias de Araujo",$B:$B,"&lt;&gt;Lucas Luiz Romero")*(23/1083),IF(C1533="JR",SUMIFS($D:$D,$A:$A,$A1533,$B:$B,"&lt;&gt;Patrícia Karla de Sousa Araújo",$B:$B,"&lt;&gt;Lorena Dias de Araujo",$B:$B,"&lt;&gt;Lucas Luiz Romero")*(20/1083),IF(C1533="Estágio",SUMIFS($D:$D,$A:$A,$A1533,$B:$B,"&lt;&gt;Patrícia Karla de Sousa Araújo",$B:$B,"&lt;&gt;Lorena Dias de Araujo",$B:$B,"&lt;&gt;Lucas Luiz Romero")*(10/1083),0)))))),0)</f>
        <v>17</v>
      </c>
      <c r="K1533" s="3">
        <f>I1533-J1533</f>
        <v>5</v>
      </c>
      <c r="L1533" s="3" t="str">
        <f>IF(K1533&lt;-5,"CRÍTICO",IF(K1533&lt;0,"ATENÇÃO",IF(K1533&lt;=5,"BOM","EXCELENTE")))</f>
        <v>BOM</v>
      </c>
      <c r="M1533">
        <v>27</v>
      </c>
      <c r="N1533">
        <v>100</v>
      </c>
      <c r="O1533">
        <v>27.44282744282744</v>
      </c>
    </row>
    <row r="1534" spans="1:15" hidden="1" x14ac:dyDescent="0.25">
      <c r="A1534" s="11">
        <v>46049</v>
      </c>
      <c r="B1534" t="s">
        <v>35</v>
      </c>
      <c r="C1534" t="s">
        <v>32</v>
      </c>
      <c r="D1534">
        <v>29</v>
      </c>
      <c r="E1534">
        <v>28</v>
      </c>
      <c r="F1534">
        <v>26.43</v>
      </c>
      <c r="G1534">
        <v>0</v>
      </c>
      <c r="H1534">
        <v>0</v>
      </c>
      <c r="I1534" s="3">
        <v>0</v>
      </c>
      <c r="J1534" s="3">
        <v>0</v>
      </c>
      <c r="K1534" s="3">
        <v>0</v>
      </c>
      <c r="L1534" s="3" t="str">
        <f>IF(K1534&lt;-5,"CRÍTICO",IF(K1534&lt;0,"ATENÇÃO",IF(K1534&lt;=5,"BOM","EXCELENTE")))</f>
        <v>BOM</v>
      </c>
      <c r="M1534">
        <v>26</v>
      </c>
      <c r="N1534">
        <v>99.49</v>
      </c>
      <c r="O1534">
        <v>40.200000000000003</v>
      </c>
    </row>
    <row r="1535" spans="1:15" hidden="1" x14ac:dyDescent="0.25">
      <c r="A1535" s="11">
        <v>46049</v>
      </c>
      <c r="B1535" t="s">
        <v>18</v>
      </c>
      <c r="C1535" t="s">
        <v>16</v>
      </c>
      <c r="D1535">
        <v>0</v>
      </c>
      <c r="E1535">
        <v>0</v>
      </c>
      <c r="F1535">
        <v>0</v>
      </c>
      <c r="G1535">
        <v>0</v>
      </c>
      <c r="H1535">
        <v>0</v>
      </c>
      <c r="I1535" s="3">
        <v>0</v>
      </c>
      <c r="J1535" s="3">
        <v>0</v>
      </c>
      <c r="K1535" s="3">
        <v>0</v>
      </c>
      <c r="L1535" s="3" t="str">
        <f>IF(K1535&lt;-5,"CRÍTICO",IF(K1535&lt;0,"ATENÇÃO",IF(K1535&lt;=5,"BOM","EXCELENTE")))</f>
        <v>BOM</v>
      </c>
      <c r="M1535">
        <v>0</v>
      </c>
      <c r="N1535">
        <v>100</v>
      </c>
      <c r="O1535">
        <v>25</v>
      </c>
    </row>
    <row r="1536" spans="1:15" hidden="1" x14ac:dyDescent="0.25">
      <c r="A1536" s="11">
        <v>46049</v>
      </c>
      <c r="B1536" t="s">
        <v>52</v>
      </c>
      <c r="C1536" t="s">
        <v>48</v>
      </c>
      <c r="D1536">
        <v>38</v>
      </c>
      <c r="E1536">
        <v>34</v>
      </c>
      <c r="F1536">
        <v>15.32</v>
      </c>
      <c r="G1536">
        <v>0</v>
      </c>
      <c r="H1536">
        <v>0</v>
      </c>
      <c r="I1536" s="3">
        <f>E1536+G1536+H1536</f>
        <v>34</v>
      </c>
      <c r="J1536" s="3">
        <f>ROUND(MIN(IF(C1536="Técnico III",35,IF(C1536="Técnico II",28,IF(C1536="Técnico I",23,IF(C1536="JR",20,IF(C1536="Estágio",10,0))))),IF(C1536="Técnico III",SUMIFS($D:$D,$A:$A,$A1536,$B:$B,"&lt;&gt;Patrícia Karla de Sousa Araújo",$B:$B,"&lt;&gt;Lorena Dias de Araujo",$B:$B,"&lt;&gt;Lucas Luiz Romero")*(35/1083),IF(C1536="Técnico II",SUMIFS($D:$D,$A:$A,$A1536,$B:$B,"&lt;&gt;Patrícia Karla de Sousa Araújo",$B:$B,"&lt;&gt;Lorena Dias de Araujo",$B:$B,"&lt;&gt;Lucas Luiz Romero")*(28/1083),IF(C1536="Técnico I",SUMIFS($D:$D,$A:$A,$A1536,$B:$B,"&lt;&gt;Patrícia Karla de Sousa Araújo",$B:$B,"&lt;&gt;Lorena Dias de Araujo",$B:$B,"&lt;&gt;Lucas Luiz Romero")*(23/1083),IF(C1536="JR",SUMIFS($D:$D,$A:$A,$A1536,$B:$B,"&lt;&gt;Patrícia Karla de Sousa Araújo",$B:$B,"&lt;&gt;Lorena Dias de Araujo",$B:$B,"&lt;&gt;Lucas Luiz Romero")*(20/1083),IF(C1536="Estágio",SUMIFS($D:$D,$A:$A,$A1536,$B:$B,"&lt;&gt;Patrícia Karla de Sousa Araújo",$B:$B,"&lt;&gt;Lorena Dias de Araujo",$B:$B,"&lt;&gt;Lucas Luiz Romero")*(10/1083),0)))))),0)</f>
        <v>20</v>
      </c>
      <c r="K1536" s="3">
        <f>I1536-J1536</f>
        <v>14</v>
      </c>
      <c r="L1536" s="3" t="str">
        <f>IF(K1536&lt;-5,"CRÍTICO",IF(K1536&lt;0,"ATENÇÃO",IF(K1536&lt;=5,"BOM","EXCELENTE")))</f>
        <v>EXCELENTE</v>
      </c>
      <c r="M1536">
        <v>30</v>
      </c>
      <c r="N1536">
        <v>100</v>
      </c>
      <c r="O1536">
        <v>34.15094339622641</v>
      </c>
    </row>
    <row r="1537" spans="1:15" hidden="1" x14ac:dyDescent="0.25">
      <c r="A1537" s="11">
        <v>46049</v>
      </c>
      <c r="B1537" t="s">
        <v>36</v>
      </c>
      <c r="C1537" t="s">
        <v>32</v>
      </c>
      <c r="D1537">
        <v>25</v>
      </c>
      <c r="E1537">
        <v>23</v>
      </c>
      <c r="F1537">
        <v>15.08</v>
      </c>
      <c r="G1537">
        <v>0</v>
      </c>
      <c r="H1537">
        <v>0</v>
      </c>
      <c r="I1537" s="3">
        <f>E1537+G1537+H1537</f>
        <v>23</v>
      </c>
      <c r="J1537" s="3">
        <f>ROUND(MIN(IF(C1537="Técnico III",35,IF(C1537="Técnico II",28,IF(C1537="Técnico I",23,IF(C1537="JR",20,IF(C1537="Estágio",10,0))))),IF(C1537="Técnico III",SUMIFS($D:$D,$A:$A,$A1537,$B:$B,"&lt;&gt;Patrícia Karla de Sousa Araújo",$B:$B,"&lt;&gt;Lorena Dias de Araujo",$B:$B,"&lt;&gt;Lucas Luiz Romero")*(35/1083),IF(C1537="Técnico II",SUMIFS($D:$D,$A:$A,$A1537,$B:$B,"&lt;&gt;Patrícia Karla de Sousa Araújo",$B:$B,"&lt;&gt;Lorena Dias de Araujo",$B:$B,"&lt;&gt;Lucas Luiz Romero")*(28/1083),IF(C1537="Técnico I",SUMIFS($D:$D,$A:$A,$A1537,$B:$B,"&lt;&gt;Patrícia Karla de Sousa Araújo",$B:$B,"&lt;&gt;Lorena Dias de Araujo",$B:$B,"&lt;&gt;Lucas Luiz Romero")*(23/1083),IF(C1537="JR",SUMIFS($D:$D,$A:$A,$A1537,$B:$B,"&lt;&gt;Patrícia Karla de Sousa Araújo",$B:$B,"&lt;&gt;Lorena Dias de Araujo",$B:$B,"&lt;&gt;Lucas Luiz Romero")*(20/1083),IF(C1537="Estágio",SUMIFS($D:$D,$A:$A,$A1537,$B:$B,"&lt;&gt;Patrícia Karla de Sousa Araújo",$B:$B,"&lt;&gt;Lorena Dias de Araujo",$B:$B,"&lt;&gt;Lucas Luiz Romero")*(10/1083),0)))))),0)</f>
        <v>25</v>
      </c>
      <c r="K1537" s="3">
        <f>I1537-J1537</f>
        <v>-2</v>
      </c>
      <c r="L1537" s="3" t="str">
        <f>IF(K1537&lt;-5,"CRÍTICO",IF(K1537&lt;0,"ATENÇÃO",IF(K1537&lt;=5,"BOM","EXCELENTE")))</f>
        <v>ATENÇÃO</v>
      </c>
      <c r="M1537">
        <v>25</v>
      </c>
      <c r="N1537">
        <v>100</v>
      </c>
      <c r="O1537">
        <v>32.731376975169297</v>
      </c>
    </row>
    <row r="1538" spans="1:15" hidden="1" x14ac:dyDescent="0.25">
      <c r="A1538" s="11">
        <v>46049</v>
      </c>
      <c r="B1538" t="s">
        <v>53</v>
      </c>
      <c r="C1538" t="s">
        <v>48</v>
      </c>
      <c r="D1538">
        <v>34</v>
      </c>
      <c r="E1538">
        <v>33</v>
      </c>
      <c r="F1538">
        <v>21.52</v>
      </c>
      <c r="G1538">
        <v>0</v>
      </c>
      <c r="H1538">
        <v>0</v>
      </c>
      <c r="I1538" s="3">
        <f>E1538+G1538+H1538</f>
        <v>33</v>
      </c>
      <c r="J1538" s="3">
        <f>ROUND(MIN(IF(C1538="Técnico III",35,IF(C1538="Técnico II",28,IF(C1538="Técnico I",23,IF(C1538="JR",20,IF(C1538="Estágio",10,0))))),IF(C1538="Técnico III",SUMIFS($D:$D,$A:$A,$A1538,$B:$B,"&lt;&gt;Patrícia Karla de Sousa Araújo",$B:$B,"&lt;&gt;Lorena Dias de Araujo",$B:$B,"&lt;&gt;Lucas Luiz Romero")*(35/1083),IF(C1538="Técnico II",SUMIFS($D:$D,$A:$A,$A1538,$B:$B,"&lt;&gt;Patrícia Karla de Sousa Araújo",$B:$B,"&lt;&gt;Lorena Dias de Araujo",$B:$B,"&lt;&gt;Lucas Luiz Romero")*(28/1083),IF(C1538="Técnico I",SUMIFS($D:$D,$A:$A,$A1538,$B:$B,"&lt;&gt;Patrícia Karla de Sousa Araújo",$B:$B,"&lt;&gt;Lorena Dias de Araujo",$B:$B,"&lt;&gt;Lucas Luiz Romero")*(23/1083),IF(C1538="JR",SUMIFS($D:$D,$A:$A,$A1538,$B:$B,"&lt;&gt;Patrícia Karla de Sousa Araújo",$B:$B,"&lt;&gt;Lorena Dias de Araujo",$B:$B,"&lt;&gt;Lucas Luiz Romero")*(20/1083),IF(C1538="Estágio",SUMIFS($D:$D,$A:$A,$A1538,$B:$B,"&lt;&gt;Patrícia Karla de Sousa Araújo",$B:$B,"&lt;&gt;Lorena Dias de Araujo",$B:$B,"&lt;&gt;Lucas Luiz Romero")*(10/1083),0)))))),0)</f>
        <v>20</v>
      </c>
      <c r="K1538" s="3">
        <f>I1538-J1538</f>
        <v>13</v>
      </c>
      <c r="L1538" s="3" t="str">
        <f>IF(K1538&lt;-5,"CRÍTICO",IF(K1538&lt;0,"ATENÇÃO",IF(K1538&lt;=5,"BOM","EXCELENTE")))</f>
        <v>EXCELENTE</v>
      </c>
      <c r="M1538">
        <v>25</v>
      </c>
      <c r="N1538">
        <v>99.31</v>
      </c>
      <c r="O1538">
        <v>30.96234309623431</v>
      </c>
    </row>
    <row r="1539" spans="1:15" hidden="1" x14ac:dyDescent="0.25">
      <c r="A1539" s="11">
        <v>46083</v>
      </c>
      <c r="B1539" t="s">
        <v>22</v>
      </c>
      <c r="C1539" t="s">
        <v>23</v>
      </c>
      <c r="D1539">
        <v>22</v>
      </c>
      <c r="E1539">
        <v>21</v>
      </c>
      <c r="F1539">
        <v>20.11</v>
      </c>
      <c r="G1539">
        <v>0</v>
      </c>
      <c r="H1539">
        <v>0</v>
      </c>
      <c r="I1539" s="3">
        <f>E1539+G1539+H1539</f>
        <v>21</v>
      </c>
      <c r="J1539" s="3">
        <f>ROUND(MIN(IF(C1539="Técnico III",35,IF(C1539="Técnico II",28,IF(C1539="Técnico I",23,IF(C1539="JR",20,IF(C1539="Estágio",10,0))))),IF(C1539="Técnico III",SUMIFS($D:$D,$A:$A,$A1539,$B:$B,"&lt;&gt;Patrícia Karla de Sousa Araújo",$B:$B,"&lt;&gt;Lorena Dias de Araujo",$B:$B,"&lt;&gt;Lucas Luiz Romero")*(35/1083),IF(C1539="Técnico II",SUMIFS($D:$D,$A:$A,$A1539,$B:$B,"&lt;&gt;Patrícia Karla de Sousa Araújo",$B:$B,"&lt;&gt;Lorena Dias de Araujo",$B:$B,"&lt;&gt;Lucas Luiz Romero")*(28/1083),IF(C1539="Técnico I",SUMIFS($D:$D,$A:$A,$A1539,$B:$B,"&lt;&gt;Patrícia Karla de Sousa Araújo",$B:$B,"&lt;&gt;Lorena Dias de Araujo",$B:$B,"&lt;&gt;Lucas Luiz Romero")*(23/1083),IF(C1539="JR",SUMIFS($D:$D,$A:$A,$A1539,$B:$B,"&lt;&gt;Patrícia Karla de Sousa Araújo",$B:$B,"&lt;&gt;Lorena Dias de Araujo",$B:$B,"&lt;&gt;Lucas Luiz Romero")*(20/1083),IF(C1539="Estágio",SUMIFS($D:$D,$A:$A,$A1539,$B:$B,"&lt;&gt;Patrícia Karla de Sousa Araújo",$B:$B,"&lt;&gt;Lorena Dias de Araujo",$B:$B,"&lt;&gt;Lucas Luiz Romero")*(10/1083),0)))))),0)</f>
        <v>18</v>
      </c>
      <c r="K1539" s="3">
        <f>I1539-J1539</f>
        <v>3</v>
      </c>
      <c r="L1539" s="3" t="str">
        <f>IF(K1539&lt;-5,"CRÍTICO",IF(K1539&lt;0,"ATENÇÃO",IF(K1539&lt;=5,"BOM","EXCELENTE")))</f>
        <v>BOM</v>
      </c>
      <c r="M1539">
        <v>20</v>
      </c>
      <c r="N1539">
        <v>99.05</v>
      </c>
      <c r="O1539">
        <v>26.621923937360179</v>
      </c>
    </row>
    <row r="1540" spans="1:15" hidden="1" x14ac:dyDescent="0.25">
      <c r="A1540" s="11">
        <v>46049</v>
      </c>
      <c r="B1540" t="s">
        <v>54</v>
      </c>
      <c r="C1540" t="s">
        <v>48</v>
      </c>
      <c r="D1540">
        <v>36</v>
      </c>
      <c r="E1540">
        <v>32</v>
      </c>
      <c r="F1540">
        <v>17.36</v>
      </c>
      <c r="G1540">
        <v>0</v>
      </c>
      <c r="H1540">
        <v>0</v>
      </c>
      <c r="I1540" s="3">
        <f>E1540+G1540+H1540</f>
        <v>32</v>
      </c>
      <c r="J1540" s="3">
        <f>ROUND(MIN(IF(C1540="Técnico III",35,IF(C1540="Técnico II",28,IF(C1540="Técnico I",23,IF(C1540="JR",20,IF(C1540="Estágio",10,0))))),IF(C1540="Técnico III",SUMIFS($D:$D,$A:$A,$A1540,$B:$B,"&lt;&gt;Patrícia Karla de Sousa Araújo",$B:$B,"&lt;&gt;Lorena Dias de Araujo",$B:$B,"&lt;&gt;Lucas Luiz Romero")*(35/1083),IF(C1540="Técnico II",SUMIFS($D:$D,$A:$A,$A1540,$B:$B,"&lt;&gt;Patrícia Karla de Sousa Araújo",$B:$B,"&lt;&gt;Lorena Dias de Araujo",$B:$B,"&lt;&gt;Lucas Luiz Romero")*(28/1083),IF(C1540="Técnico I",SUMIFS($D:$D,$A:$A,$A1540,$B:$B,"&lt;&gt;Patrícia Karla de Sousa Araújo",$B:$B,"&lt;&gt;Lorena Dias de Araujo",$B:$B,"&lt;&gt;Lucas Luiz Romero")*(23/1083),IF(C1540="JR",SUMIFS($D:$D,$A:$A,$A1540,$B:$B,"&lt;&gt;Patrícia Karla de Sousa Araújo",$B:$B,"&lt;&gt;Lorena Dias de Araujo",$B:$B,"&lt;&gt;Lucas Luiz Romero")*(20/1083),IF(C1540="Estágio",SUMIFS($D:$D,$A:$A,$A1540,$B:$B,"&lt;&gt;Patrícia Karla de Sousa Araújo",$B:$B,"&lt;&gt;Lorena Dias de Araujo",$B:$B,"&lt;&gt;Lucas Luiz Romero")*(10/1083),0)))))),0)</f>
        <v>20</v>
      </c>
      <c r="K1540" s="3">
        <f>I1540-J1540</f>
        <v>12</v>
      </c>
      <c r="L1540" s="3" t="str">
        <f>IF(K1540&lt;-5,"CRÍTICO",IF(K1540&lt;0,"ATENÇÃO",IF(K1540&lt;=5,"BOM","EXCELENTE")))</f>
        <v>EXCELENTE</v>
      </c>
      <c r="M1540">
        <v>28</v>
      </c>
      <c r="N1540">
        <v>100</v>
      </c>
      <c r="O1540">
        <v>27.676767676767678</v>
      </c>
    </row>
    <row r="1541" spans="1:15" hidden="1" x14ac:dyDescent="0.25">
      <c r="A1541" s="11">
        <v>46049</v>
      </c>
      <c r="B1541" t="s">
        <v>37</v>
      </c>
      <c r="C1541" t="s">
        <v>32</v>
      </c>
      <c r="D1541">
        <v>38</v>
      </c>
      <c r="E1541">
        <v>36</v>
      </c>
      <c r="F1541">
        <v>18.37</v>
      </c>
      <c r="G1541">
        <v>0</v>
      </c>
      <c r="H1541">
        <v>0</v>
      </c>
      <c r="I1541" s="3">
        <f>E1541+G1541+H1541</f>
        <v>36</v>
      </c>
      <c r="J1541" s="3">
        <f>ROUND(MIN(IF(C1541="Técnico III",35,IF(C1541="Técnico II",28,IF(C1541="Técnico I",23,IF(C1541="JR",20,IF(C1541="Estágio",10,0))))),IF(C1541="Técnico III",SUMIFS($D:$D,$A:$A,$A1541,$B:$B,"&lt;&gt;Patrícia Karla de Sousa Araújo",$B:$B,"&lt;&gt;Lorena Dias de Araujo",$B:$B,"&lt;&gt;Lucas Luiz Romero")*(35/1083),IF(C1541="Técnico II",SUMIFS($D:$D,$A:$A,$A1541,$B:$B,"&lt;&gt;Patrícia Karla de Sousa Araújo",$B:$B,"&lt;&gt;Lorena Dias de Araujo",$B:$B,"&lt;&gt;Lucas Luiz Romero")*(28/1083),IF(C1541="Técnico I",SUMIFS($D:$D,$A:$A,$A1541,$B:$B,"&lt;&gt;Patrícia Karla de Sousa Araújo",$B:$B,"&lt;&gt;Lorena Dias de Araujo",$B:$B,"&lt;&gt;Lucas Luiz Romero")*(23/1083),IF(C1541="JR",SUMIFS($D:$D,$A:$A,$A1541,$B:$B,"&lt;&gt;Patrícia Karla de Sousa Araújo",$B:$B,"&lt;&gt;Lorena Dias de Araujo",$B:$B,"&lt;&gt;Lucas Luiz Romero")*(20/1083),IF(C1541="Estágio",SUMIFS($D:$D,$A:$A,$A1541,$B:$B,"&lt;&gt;Patrícia Karla de Sousa Araújo",$B:$B,"&lt;&gt;Lorena Dias de Araujo",$B:$B,"&lt;&gt;Lucas Luiz Romero")*(10/1083),0)))))),0)</f>
        <v>25</v>
      </c>
      <c r="K1541" s="3">
        <f>I1541-J1541</f>
        <v>11</v>
      </c>
      <c r="L1541" s="3" t="str">
        <f>IF(K1541&lt;-5,"CRÍTICO",IF(K1541&lt;0,"ATENÇÃO",IF(K1541&lt;=5,"BOM","EXCELENTE")))</f>
        <v>EXCELENTE</v>
      </c>
      <c r="M1541">
        <v>30</v>
      </c>
      <c r="N1541">
        <v>100</v>
      </c>
      <c r="O1541">
        <v>31.17723156532988</v>
      </c>
    </row>
    <row r="1542" spans="1:15" hidden="1" x14ac:dyDescent="0.25">
      <c r="A1542" s="11">
        <v>46049</v>
      </c>
      <c r="B1542" t="s">
        <v>38</v>
      </c>
      <c r="C1542" t="s">
        <v>32</v>
      </c>
      <c r="D1542">
        <v>17</v>
      </c>
      <c r="E1542">
        <v>15</v>
      </c>
      <c r="F1542">
        <v>10.24</v>
      </c>
      <c r="G1542">
        <v>0</v>
      </c>
      <c r="H1542">
        <v>0</v>
      </c>
      <c r="I1542" s="3">
        <f>E1542+G1542+H1542</f>
        <v>15</v>
      </c>
      <c r="J1542" s="3">
        <f>ROUND(MIN(IF(C1542="Técnico III",35,IF(C1542="Técnico II",28,IF(C1542="Técnico I",23,IF(C1542="JR",20,IF(C1542="Estágio",10,0))))),IF(C1542="Técnico III",SUMIFS($D:$D,$A:$A,$A1542,$B:$B,"&lt;&gt;Patrícia Karla de Sousa Araújo",$B:$B,"&lt;&gt;Lorena Dias de Araujo",$B:$B,"&lt;&gt;Lucas Luiz Romero")*(35/1083),IF(C1542="Técnico II",SUMIFS($D:$D,$A:$A,$A1542,$B:$B,"&lt;&gt;Patrícia Karla de Sousa Araújo",$B:$B,"&lt;&gt;Lorena Dias de Araujo",$B:$B,"&lt;&gt;Lucas Luiz Romero")*(28/1083),IF(C1542="Técnico I",SUMIFS($D:$D,$A:$A,$A1542,$B:$B,"&lt;&gt;Patrícia Karla de Sousa Araújo",$B:$B,"&lt;&gt;Lorena Dias de Araujo",$B:$B,"&lt;&gt;Lucas Luiz Romero")*(23/1083),IF(C1542="JR",SUMIFS($D:$D,$A:$A,$A1542,$B:$B,"&lt;&gt;Patrícia Karla de Sousa Araújo",$B:$B,"&lt;&gt;Lorena Dias de Araujo",$B:$B,"&lt;&gt;Lucas Luiz Romero")*(20/1083),IF(C1542="Estágio",SUMIFS($D:$D,$A:$A,$A1542,$B:$B,"&lt;&gt;Patrícia Karla de Sousa Araújo",$B:$B,"&lt;&gt;Lorena Dias de Araujo",$B:$B,"&lt;&gt;Lucas Luiz Romero")*(10/1083),0)))))),0)</f>
        <v>25</v>
      </c>
      <c r="K1542" s="3">
        <f>I1542-J1542</f>
        <v>-10</v>
      </c>
      <c r="L1542" s="3" t="str">
        <f>IF(K1542&lt;-5,"CRÍTICO",IF(K1542&lt;0,"ATENÇÃO",IF(K1542&lt;=5,"BOM","EXCELENTE")))</f>
        <v>CRÍTICO</v>
      </c>
      <c r="M1542">
        <v>14</v>
      </c>
      <c r="N1542">
        <v>100</v>
      </c>
      <c r="O1542">
        <v>27.609427609427609</v>
      </c>
    </row>
    <row r="1543" spans="1:15" hidden="1" x14ac:dyDescent="0.25">
      <c r="A1543" s="11">
        <v>46049</v>
      </c>
      <c r="B1543" t="s">
        <v>55</v>
      </c>
      <c r="C1543" t="s">
        <v>48</v>
      </c>
      <c r="D1543">
        <v>32</v>
      </c>
      <c r="E1543">
        <v>23</v>
      </c>
      <c r="F1543">
        <v>15.2</v>
      </c>
      <c r="G1543">
        <v>0</v>
      </c>
      <c r="H1543">
        <v>0</v>
      </c>
      <c r="I1543" s="3">
        <f>E1543+G1543+H1543</f>
        <v>23</v>
      </c>
      <c r="J1543" s="3">
        <f>ROUND(MIN(IF(C1543="Técnico III",35,IF(C1543="Técnico II",28,IF(C1543="Técnico I",23,IF(C1543="JR",20,IF(C1543="Estágio",10,0))))),IF(C1543="Técnico III",SUMIFS($D:$D,$A:$A,$A1543,$B:$B,"&lt;&gt;Patrícia Karla de Sousa Araújo",$B:$B,"&lt;&gt;Lorena Dias de Araujo",$B:$B,"&lt;&gt;Lucas Luiz Romero")*(35/1083),IF(C1543="Técnico II",SUMIFS($D:$D,$A:$A,$A1543,$B:$B,"&lt;&gt;Patrícia Karla de Sousa Araújo",$B:$B,"&lt;&gt;Lorena Dias de Araujo",$B:$B,"&lt;&gt;Lucas Luiz Romero")*(28/1083),IF(C1543="Técnico I",SUMIFS($D:$D,$A:$A,$A1543,$B:$B,"&lt;&gt;Patrícia Karla de Sousa Araújo",$B:$B,"&lt;&gt;Lorena Dias de Araujo",$B:$B,"&lt;&gt;Lucas Luiz Romero")*(23/1083),IF(C1543="JR",SUMIFS($D:$D,$A:$A,$A1543,$B:$B,"&lt;&gt;Patrícia Karla de Sousa Araújo",$B:$B,"&lt;&gt;Lorena Dias de Araujo",$B:$B,"&lt;&gt;Lucas Luiz Romero")*(20/1083),IF(C1543="Estágio",SUMIFS($D:$D,$A:$A,$A1543,$B:$B,"&lt;&gt;Patrícia Karla de Sousa Araújo",$B:$B,"&lt;&gt;Lorena Dias de Araujo",$B:$B,"&lt;&gt;Lucas Luiz Romero")*(10/1083),0)))))),0)</f>
        <v>20</v>
      </c>
      <c r="K1543" s="3">
        <f>I1543-J1543</f>
        <v>3</v>
      </c>
      <c r="L1543" s="3" t="str">
        <f>IF(K1543&lt;-5,"CRÍTICO",IF(K1543&lt;0,"ATENÇÃO",IF(K1543&lt;=5,"BOM","EXCELENTE")))</f>
        <v>BOM</v>
      </c>
      <c r="M1543">
        <v>23</v>
      </c>
      <c r="N1543">
        <v>96.4</v>
      </c>
      <c r="O1543">
        <v>28.764044943820231</v>
      </c>
    </row>
    <row r="1544" spans="1:15" hidden="1" x14ac:dyDescent="0.25">
      <c r="A1544" s="11">
        <v>46049</v>
      </c>
      <c r="B1544" t="s">
        <v>39</v>
      </c>
      <c r="C1544" t="s">
        <v>32</v>
      </c>
      <c r="D1544">
        <v>0</v>
      </c>
      <c r="E1544">
        <v>0</v>
      </c>
      <c r="F1544">
        <v>0</v>
      </c>
      <c r="G1544">
        <v>0</v>
      </c>
      <c r="H1544">
        <v>0</v>
      </c>
      <c r="I1544" s="3">
        <v>0</v>
      </c>
      <c r="J1544" s="3">
        <v>0</v>
      </c>
      <c r="K1544" s="3">
        <v>0</v>
      </c>
      <c r="L1544" s="3" t="str">
        <f>IF(K1544&lt;-5,"CRÍTICO",IF(K1544&lt;0,"ATENÇÃO",IF(K1544&lt;=5,"BOM","EXCELENTE")))</f>
        <v>BOM</v>
      </c>
      <c r="M1544">
        <v>0</v>
      </c>
      <c r="N1544">
        <v>100</v>
      </c>
      <c r="O1544">
        <v>33.980582524271853</v>
      </c>
    </row>
    <row r="1545" spans="1:15" hidden="1" x14ac:dyDescent="0.25">
      <c r="A1545" s="11">
        <v>46049</v>
      </c>
      <c r="B1545" t="s">
        <v>25</v>
      </c>
      <c r="C1545" t="s">
        <v>26</v>
      </c>
      <c r="D1545">
        <v>8</v>
      </c>
      <c r="E1545">
        <v>8</v>
      </c>
      <c r="F1545">
        <v>32.200000000000003</v>
      </c>
      <c r="G1545">
        <v>0</v>
      </c>
      <c r="H1545">
        <v>0</v>
      </c>
      <c r="I1545" s="3">
        <f>E1545+G1545+H1545</f>
        <v>8</v>
      </c>
      <c r="J1545" s="3">
        <f>ROUND(MIN(IF(C1545="Técnico III",35,IF(C1545="Técnico II",28,IF(C1545="Técnico I",23,IF(C1545="JR",20,IF(C1545="Estágio",10,0))))),IF(C1545="Técnico III",SUMIFS($D:$D,$A:$A,$A1545,$B:$B,"&lt;&gt;Patrícia Karla de Sousa Araújo",$B:$B,"&lt;&gt;Lorena Dias de Araujo",$B:$B,"&lt;&gt;Lucas Luiz Romero")*(35/1083),IF(C1545="Técnico II",SUMIFS($D:$D,$A:$A,$A1545,$B:$B,"&lt;&gt;Patrícia Karla de Sousa Araújo",$B:$B,"&lt;&gt;Lorena Dias de Araujo",$B:$B,"&lt;&gt;Lucas Luiz Romero")*(28/1083),IF(C1545="Técnico I",SUMIFS($D:$D,$A:$A,$A1545,$B:$B,"&lt;&gt;Patrícia Karla de Sousa Araújo",$B:$B,"&lt;&gt;Lorena Dias de Araujo",$B:$B,"&lt;&gt;Lucas Luiz Romero")*(23/1083),IF(C1545="JR",SUMIFS($D:$D,$A:$A,$A1545,$B:$B,"&lt;&gt;Patrícia Karla de Sousa Araújo",$B:$B,"&lt;&gt;Lorena Dias de Araujo",$B:$B,"&lt;&gt;Lucas Luiz Romero")*(20/1083),IF(C1545="Estágio",SUMIFS($D:$D,$A:$A,$A1545,$B:$B,"&lt;&gt;Patrícia Karla de Sousa Araújo",$B:$B,"&lt;&gt;Lorena Dias de Araujo",$B:$B,"&lt;&gt;Lucas Luiz Romero")*(10/1083),0)))))),0)</f>
        <v>14</v>
      </c>
      <c r="K1545" s="3">
        <f>I1545-J1545</f>
        <v>-6</v>
      </c>
      <c r="L1545" s="3" t="str">
        <f>IF(K1545&lt;-5,"CRÍTICO",IF(K1545&lt;0,"ATENÇÃO",IF(K1545&lt;=5,"BOM","EXCELENTE")))</f>
        <v>CRÍTICO</v>
      </c>
      <c r="M1545">
        <v>5</v>
      </c>
      <c r="N1545">
        <v>97.56</v>
      </c>
      <c r="O1545">
        <v>32.515337423312893</v>
      </c>
    </row>
    <row r="1546" spans="1:15" hidden="1" x14ac:dyDescent="0.25">
      <c r="A1546" s="11">
        <v>46049</v>
      </c>
      <c r="B1546" t="s">
        <v>40</v>
      </c>
      <c r="C1546" t="s">
        <v>32</v>
      </c>
      <c r="D1546">
        <v>14</v>
      </c>
      <c r="E1546">
        <v>14</v>
      </c>
      <c r="F1546">
        <v>20.52</v>
      </c>
      <c r="G1546">
        <v>0</v>
      </c>
      <c r="H1546">
        <v>0</v>
      </c>
      <c r="I1546" s="3">
        <f>E1546+G1546+H1546</f>
        <v>14</v>
      </c>
      <c r="J1546" s="3">
        <f>ROUND(MIN(IF(C1546="Técnico III",35,IF(C1546="Técnico II",28,IF(C1546="Técnico I",23,IF(C1546="JR",20,IF(C1546="Estágio",10,0))))),IF(C1546="Técnico III",SUMIFS($D:$D,$A:$A,$A1546,$B:$B,"&lt;&gt;Patrícia Karla de Sousa Araújo",$B:$B,"&lt;&gt;Lorena Dias de Araujo",$B:$B,"&lt;&gt;Lucas Luiz Romero")*(35/1083),IF(C1546="Técnico II",SUMIFS($D:$D,$A:$A,$A1546,$B:$B,"&lt;&gt;Patrícia Karla de Sousa Araújo",$B:$B,"&lt;&gt;Lorena Dias de Araujo",$B:$B,"&lt;&gt;Lucas Luiz Romero")*(28/1083),IF(C1546="Técnico I",SUMIFS($D:$D,$A:$A,$A1546,$B:$B,"&lt;&gt;Patrícia Karla de Sousa Araújo",$B:$B,"&lt;&gt;Lorena Dias de Araujo",$B:$B,"&lt;&gt;Lucas Luiz Romero")*(23/1083),IF(C1546="JR",SUMIFS($D:$D,$A:$A,$A1546,$B:$B,"&lt;&gt;Patrícia Karla de Sousa Araújo",$B:$B,"&lt;&gt;Lorena Dias de Araujo",$B:$B,"&lt;&gt;Lucas Luiz Romero")*(20/1083),IF(C1546="Estágio",SUMIFS($D:$D,$A:$A,$A1546,$B:$B,"&lt;&gt;Patrícia Karla de Sousa Araújo",$B:$B,"&lt;&gt;Lorena Dias de Araujo",$B:$B,"&lt;&gt;Lucas Luiz Romero")*(10/1083),0)))))),0)</f>
        <v>25</v>
      </c>
      <c r="K1546" s="3">
        <f>I1546-J1546</f>
        <v>-11</v>
      </c>
      <c r="L1546" s="3" t="str">
        <f>IF(K1546&lt;-5,"CRÍTICO",IF(K1546&lt;0,"ATENÇÃO",IF(K1546&lt;=5,"BOM","EXCELENTE")))</f>
        <v>CRÍTICO</v>
      </c>
      <c r="M1546">
        <v>14</v>
      </c>
      <c r="N1546">
        <v>97.11</v>
      </c>
      <c r="O1546">
        <v>37.408312958435211</v>
      </c>
    </row>
    <row r="1547" spans="1:15" hidden="1" x14ac:dyDescent="0.25">
      <c r="A1547" s="11">
        <v>46049</v>
      </c>
      <c r="B1547" t="s">
        <v>27</v>
      </c>
      <c r="C1547" t="s">
        <v>26</v>
      </c>
      <c r="D1547">
        <v>0</v>
      </c>
      <c r="E1547">
        <v>0</v>
      </c>
      <c r="F1547">
        <v>0</v>
      </c>
      <c r="G1547">
        <v>0</v>
      </c>
      <c r="H1547">
        <v>0</v>
      </c>
      <c r="I1547" s="3">
        <v>0</v>
      </c>
      <c r="J1547" s="3">
        <v>0</v>
      </c>
      <c r="K1547" s="3">
        <v>0</v>
      </c>
      <c r="L1547" s="3" t="str">
        <f>IF(K1547&lt;-5,"CRÍTICO",IF(K1547&lt;0,"ATENÇÃO",IF(K1547&lt;=5,"BOM","EXCELENTE")))</f>
        <v>BOM</v>
      </c>
      <c r="M1547">
        <v>0</v>
      </c>
      <c r="N1547">
        <v>0</v>
      </c>
      <c r="O1547">
        <v>0</v>
      </c>
    </row>
    <row r="1548" spans="1:15" hidden="1" x14ac:dyDescent="0.25">
      <c r="A1548" s="11">
        <v>46049</v>
      </c>
      <c r="B1548" t="s">
        <v>41</v>
      </c>
      <c r="C1548" t="s">
        <v>32</v>
      </c>
      <c r="D1548">
        <v>25</v>
      </c>
      <c r="E1548">
        <v>25</v>
      </c>
      <c r="F1548">
        <v>18.420000000000002</v>
      </c>
      <c r="G1548">
        <v>0</v>
      </c>
      <c r="H1548">
        <v>0</v>
      </c>
      <c r="I1548" s="3">
        <f>E1548+G1548+H1548</f>
        <v>25</v>
      </c>
      <c r="J1548" s="3">
        <f>ROUND(MIN(IF(C1548="Técnico III",35,IF(C1548="Técnico II",28,IF(C1548="Técnico I",23,IF(C1548="JR",20,IF(C1548="Estágio",10,0))))),IF(C1548="Técnico III",SUMIFS($D:$D,$A:$A,$A1548,$B:$B,"&lt;&gt;Patrícia Karla de Sousa Araújo",$B:$B,"&lt;&gt;Lorena Dias de Araujo",$B:$B,"&lt;&gt;Lucas Luiz Romero")*(35/1083),IF(C1548="Técnico II",SUMIFS($D:$D,$A:$A,$A1548,$B:$B,"&lt;&gt;Patrícia Karla de Sousa Araújo",$B:$B,"&lt;&gt;Lorena Dias de Araujo",$B:$B,"&lt;&gt;Lucas Luiz Romero")*(28/1083),IF(C1548="Técnico I",SUMIFS($D:$D,$A:$A,$A1548,$B:$B,"&lt;&gt;Patrícia Karla de Sousa Araújo",$B:$B,"&lt;&gt;Lorena Dias de Araujo",$B:$B,"&lt;&gt;Lucas Luiz Romero")*(23/1083),IF(C1548="JR",SUMIFS($D:$D,$A:$A,$A1548,$B:$B,"&lt;&gt;Patrícia Karla de Sousa Araújo",$B:$B,"&lt;&gt;Lorena Dias de Araujo",$B:$B,"&lt;&gt;Lucas Luiz Romero")*(20/1083),IF(C1548="Estágio",SUMIFS($D:$D,$A:$A,$A1548,$B:$B,"&lt;&gt;Patrícia Karla de Sousa Araújo",$B:$B,"&lt;&gt;Lorena Dias de Araujo",$B:$B,"&lt;&gt;Lucas Luiz Romero")*(10/1083),0)))))),0)</f>
        <v>25</v>
      </c>
      <c r="K1548" s="3">
        <f>I1548-J1548</f>
        <v>0</v>
      </c>
      <c r="L1548" s="3" t="str">
        <f>IF(K1548&lt;-5,"CRÍTICO",IF(K1548&lt;0,"ATENÇÃO",IF(K1548&lt;=5,"BOM","EXCELENTE")))</f>
        <v>BOM</v>
      </c>
      <c r="M1548">
        <v>18</v>
      </c>
      <c r="N1548">
        <v>100</v>
      </c>
      <c r="O1548">
        <v>30.470347648261761</v>
      </c>
    </row>
    <row r="1549" spans="1:15" hidden="1" x14ac:dyDescent="0.25">
      <c r="A1549" s="11">
        <v>46049</v>
      </c>
      <c r="B1549" t="s">
        <v>56</v>
      </c>
      <c r="C1549" t="s">
        <v>48</v>
      </c>
      <c r="D1549">
        <v>39</v>
      </c>
      <c r="E1549">
        <v>37</v>
      </c>
      <c r="F1549">
        <v>18.309999999999999</v>
      </c>
      <c r="G1549">
        <v>0</v>
      </c>
      <c r="H1549">
        <v>0</v>
      </c>
      <c r="I1549" s="3">
        <f>E1549+G1549+H1549</f>
        <v>37</v>
      </c>
      <c r="J1549" s="3">
        <f>ROUND(MIN(IF(C1549="Técnico III",35,IF(C1549="Técnico II",28,IF(C1549="Técnico I",23,IF(C1549="JR",20,IF(C1549="Estágio",10,0))))),IF(C1549="Técnico III",SUMIFS($D:$D,$A:$A,$A1549,$B:$B,"&lt;&gt;Patrícia Karla de Sousa Araújo",$B:$B,"&lt;&gt;Lorena Dias de Araujo",$B:$B,"&lt;&gt;Lucas Luiz Romero")*(35/1083),IF(C1549="Técnico II",SUMIFS($D:$D,$A:$A,$A1549,$B:$B,"&lt;&gt;Patrícia Karla de Sousa Araújo",$B:$B,"&lt;&gt;Lorena Dias de Araujo",$B:$B,"&lt;&gt;Lucas Luiz Romero")*(28/1083),IF(C1549="Técnico I",SUMIFS($D:$D,$A:$A,$A1549,$B:$B,"&lt;&gt;Patrícia Karla de Sousa Araújo",$B:$B,"&lt;&gt;Lorena Dias de Araujo",$B:$B,"&lt;&gt;Lucas Luiz Romero")*(23/1083),IF(C1549="JR",SUMIFS($D:$D,$A:$A,$A1549,$B:$B,"&lt;&gt;Patrícia Karla de Sousa Araújo",$B:$B,"&lt;&gt;Lorena Dias de Araujo",$B:$B,"&lt;&gt;Lucas Luiz Romero")*(20/1083),IF(C1549="Estágio",SUMIFS($D:$D,$A:$A,$A1549,$B:$B,"&lt;&gt;Patrícia Karla de Sousa Araújo",$B:$B,"&lt;&gt;Lorena Dias de Araujo",$B:$B,"&lt;&gt;Lucas Luiz Romero")*(10/1083),0)))))),0)</f>
        <v>20</v>
      </c>
      <c r="K1549" s="3">
        <f>I1549-J1549</f>
        <v>17</v>
      </c>
      <c r="L1549" s="3" t="str">
        <f>IF(K1549&lt;-5,"CRÍTICO",IF(K1549&lt;0,"ATENÇÃO",IF(K1549&lt;=5,"BOM","EXCELENTE")))</f>
        <v>EXCELENTE</v>
      </c>
      <c r="M1549">
        <v>24</v>
      </c>
      <c r="N1549">
        <v>100</v>
      </c>
      <c r="O1549">
        <v>32.371134020618562</v>
      </c>
    </row>
    <row r="1550" spans="1:15" hidden="1" x14ac:dyDescent="0.25">
      <c r="A1550" s="11">
        <v>46049</v>
      </c>
      <c r="B1550" t="s">
        <v>57</v>
      </c>
      <c r="C1550" t="s">
        <v>48</v>
      </c>
      <c r="D1550">
        <v>25</v>
      </c>
      <c r="E1550">
        <v>23</v>
      </c>
      <c r="F1550">
        <v>20.28</v>
      </c>
      <c r="G1550">
        <v>0</v>
      </c>
      <c r="H1550">
        <v>0</v>
      </c>
      <c r="I1550" s="3">
        <v>0</v>
      </c>
      <c r="J1550" s="3">
        <v>0</v>
      </c>
      <c r="K1550" s="3">
        <v>0</v>
      </c>
      <c r="L1550" s="3" t="str">
        <f>IF(K1550&lt;-5,"CRÍTICO",IF(K1550&lt;0,"ATENÇÃO",IF(K1550&lt;=5,"BOM","EXCELENTE")))</f>
        <v>BOM</v>
      </c>
      <c r="M1550">
        <v>19</v>
      </c>
      <c r="N1550">
        <v>98.32</v>
      </c>
      <c r="O1550">
        <v>32.318501170960189</v>
      </c>
    </row>
    <row r="1551" spans="1:15" hidden="1" x14ac:dyDescent="0.25">
      <c r="A1551" s="11">
        <v>46049</v>
      </c>
      <c r="B1551" t="s">
        <v>42</v>
      </c>
      <c r="C1551" t="s">
        <v>32</v>
      </c>
      <c r="D1551">
        <v>169</v>
      </c>
      <c r="E1551">
        <v>32</v>
      </c>
      <c r="F1551">
        <v>2</v>
      </c>
      <c r="G1551">
        <v>0</v>
      </c>
      <c r="H1551">
        <v>0</v>
      </c>
      <c r="I1551" s="3">
        <f>E1551+G1551+H1551</f>
        <v>32</v>
      </c>
      <c r="J1551" s="3">
        <f>ROUND(MIN(IF(C1551="Técnico III",35,IF(C1551="Técnico II",28,IF(C1551="Técnico I",23,IF(C1551="JR",20,IF(C1551="Estágio",10,0))))),IF(C1551="Técnico III",SUMIFS($D:$D,$A:$A,$A1551,$B:$B,"&lt;&gt;Patrícia Karla de Sousa Araújo",$B:$B,"&lt;&gt;Lorena Dias de Araujo",$B:$B,"&lt;&gt;Lucas Luiz Romero")*(35/1083),IF(C1551="Técnico II",SUMIFS($D:$D,$A:$A,$A1551,$B:$B,"&lt;&gt;Patrícia Karla de Sousa Araújo",$B:$B,"&lt;&gt;Lorena Dias de Araujo",$B:$B,"&lt;&gt;Lucas Luiz Romero")*(28/1083),IF(C1551="Técnico I",SUMIFS($D:$D,$A:$A,$A1551,$B:$B,"&lt;&gt;Patrícia Karla de Sousa Araújo",$B:$B,"&lt;&gt;Lorena Dias de Araujo",$B:$B,"&lt;&gt;Lucas Luiz Romero")*(23/1083),IF(C1551="JR",SUMIFS($D:$D,$A:$A,$A1551,$B:$B,"&lt;&gt;Patrícia Karla de Sousa Araújo",$B:$B,"&lt;&gt;Lorena Dias de Araujo",$B:$B,"&lt;&gt;Lucas Luiz Romero")*(20/1083),IF(C1551="Estágio",SUMIFS($D:$D,$A:$A,$A1551,$B:$B,"&lt;&gt;Patrícia Karla de Sousa Araújo",$B:$B,"&lt;&gt;Lorena Dias de Araujo",$B:$B,"&lt;&gt;Lucas Luiz Romero")*(10/1083),0)))))),0)</f>
        <v>25</v>
      </c>
      <c r="K1551" s="3">
        <f>I1551-J1551</f>
        <v>7</v>
      </c>
      <c r="L1551" s="3" t="str">
        <f>IF(K1551&lt;-5,"CRÍTICO",IF(K1551&lt;0,"ATENÇÃO",IF(K1551&lt;=5,"BOM","EXCELENTE")))</f>
        <v>EXCELENTE</v>
      </c>
      <c r="M1551">
        <v>13</v>
      </c>
      <c r="N1551">
        <v>96.43</v>
      </c>
      <c r="O1551">
        <v>27.015250544662312</v>
      </c>
    </row>
    <row r="1552" spans="1:15" hidden="1" x14ac:dyDescent="0.25">
      <c r="A1552" s="11">
        <v>46049</v>
      </c>
      <c r="B1552" t="s">
        <v>62</v>
      </c>
      <c r="C1552" t="s">
        <v>23</v>
      </c>
      <c r="D1552">
        <v>15</v>
      </c>
      <c r="E1552">
        <v>15</v>
      </c>
      <c r="F1552">
        <v>32.159999999999997</v>
      </c>
      <c r="G1552">
        <v>0</v>
      </c>
      <c r="H1552">
        <v>0</v>
      </c>
      <c r="I1552" s="3">
        <f>E1552+G1552+H1552</f>
        <v>15</v>
      </c>
      <c r="J1552" s="3">
        <f>ROUND(MIN(IF(C1552="Técnico III",35,IF(C1552="Técnico II",28,IF(C1552="Técnico I",23,IF(C1552="JR",20,IF(C1552="Estágio",10,0))))),IF(C1552="Técnico III",SUMIFS($D:$D,$A:$A,$A1552,$B:$B,"&lt;&gt;Patrícia Karla de Sousa Araújo",$B:$B,"&lt;&gt;Lorena Dias de Araujo",$B:$B,"&lt;&gt;Lucas Luiz Romero")*(35/1083),IF(C1552="Técnico II",SUMIFS($D:$D,$A:$A,$A1552,$B:$B,"&lt;&gt;Patrícia Karla de Sousa Araújo",$B:$B,"&lt;&gt;Lorena Dias de Araujo",$B:$B,"&lt;&gt;Lucas Luiz Romero")*(28/1083),IF(C1552="Técnico I",SUMIFS($D:$D,$A:$A,$A1552,$B:$B,"&lt;&gt;Patrícia Karla de Sousa Araújo",$B:$B,"&lt;&gt;Lorena Dias de Araujo",$B:$B,"&lt;&gt;Lucas Luiz Romero")*(23/1083),IF(C1552="JR",SUMIFS($D:$D,$A:$A,$A1552,$B:$B,"&lt;&gt;Patrícia Karla de Sousa Araújo",$B:$B,"&lt;&gt;Lorena Dias de Araujo",$B:$B,"&lt;&gt;Lucas Luiz Romero")*(20/1083),IF(C1552="Estágio",SUMIFS($D:$D,$A:$A,$A1552,$B:$B,"&lt;&gt;Patrícia Karla de Sousa Araújo",$B:$B,"&lt;&gt;Lorena Dias de Araujo",$B:$B,"&lt;&gt;Lucas Luiz Romero")*(10/1083),0)))))),0)</f>
        <v>17</v>
      </c>
      <c r="K1552" s="3">
        <f>I1552-J1552</f>
        <v>-2</v>
      </c>
      <c r="L1552" s="3" t="str">
        <f>IF(K1552&lt;-5,"CRÍTICO",IF(K1552&lt;0,"ATENÇÃO",IF(K1552&lt;=5,"BOM","EXCELENTE")))</f>
        <v>ATENÇÃO</v>
      </c>
      <c r="M1552">
        <v>13</v>
      </c>
      <c r="N1552">
        <v>98.89</v>
      </c>
      <c r="O1552">
        <v>28.021978021978018</v>
      </c>
    </row>
    <row r="1553" spans="1:15" hidden="1" x14ac:dyDescent="0.25">
      <c r="A1553" s="11">
        <v>46049</v>
      </c>
      <c r="B1553" t="s">
        <v>19</v>
      </c>
      <c r="C1553" t="s">
        <v>16</v>
      </c>
      <c r="D1553">
        <v>7</v>
      </c>
      <c r="E1553">
        <v>5</v>
      </c>
      <c r="F1553">
        <v>40.53</v>
      </c>
      <c r="G1553">
        <v>0</v>
      </c>
      <c r="H1553">
        <v>0</v>
      </c>
      <c r="I1553" s="3">
        <f>E1553+G1553+H1553</f>
        <v>5</v>
      </c>
      <c r="J1553" s="3">
        <f>ROUND(MIN(IF(C1553="Técnico III",35,IF(C1553="Técnico II",28,IF(C1553="Técnico I",23,IF(C1553="JR",20,IF(C1553="Estágio",10,0))))),IF(C1553="Técnico III",SUMIFS($D:$D,$A:$A,$A1553,$B:$B,"&lt;&gt;Patrícia Karla de Sousa Araújo",$B:$B,"&lt;&gt;Lorena Dias de Araujo",$B:$B,"&lt;&gt;Lucas Luiz Romero")*(35/1083),IF(C1553="Técnico II",SUMIFS($D:$D,$A:$A,$A1553,$B:$B,"&lt;&gt;Patrícia Karla de Sousa Araújo",$B:$B,"&lt;&gt;Lorena Dias de Araujo",$B:$B,"&lt;&gt;Lucas Luiz Romero")*(28/1083),IF(C1553="Técnico I",SUMIFS($D:$D,$A:$A,$A1553,$B:$B,"&lt;&gt;Patrícia Karla de Sousa Araújo",$B:$B,"&lt;&gt;Lorena Dias de Araujo",$B:$B,"&lt;&gt;Lucas Luiz Romero")*(23/1083),IF(C1553="JR",SUMIFS($D:$D,$A:$A,$A1553,$B:$B,"&lt;&gt;Patrícia Karla de Sousa Araújo",$B:$B,"&lt;&gt;Lorena Dias de Araujo",$B:$B,"&lt;&gt;Lucas Luiz Romero")*(20/1083),IF(C1553="Estágio",SUMIFS($D:$D,$A:$A,$A1553,$B:$B,"&lt;&gt;Patrícia Karla de Sousa Araújo",$B:$B,"&lt;&gt;Lorena Dias de Araujo",$B:$B,"&lt;&gt;Lucas Luiz Romero")*(10/1083),0)))))),0)</f>
        <v>7</v>
      </c>
      <c r="K1553" s="3">
        <f>I1553-J1553</f>
        <v>-2</v>
      </c>
      <c r="L1553" s="3" t="str">
        <f>IF(K1553&lt;-5,"CRÍTICO",IF(K1553&lt;0,"ATENÇÃO",IF(K1553&lt;=5,"BOM","EXCELENTE")))</f>
        <v>ATENÇÃO</v>
      </c>
      <c r="M1553">
        <v>4</v>
      </c>
      <c r="N1553">
        <v>100</v>
      </c>
      <c r="O1553">
        <v>33.333333333333329</v>
      </c>
    </row>
    <row r="1554" spans="1:15" hidden="1" x14ac:dyDescent="0.25">
      <c r="A1554" s="11">
        <v>46049</v>
      </c>
      <c r="B1554" t="s">
        <v>43</v>
      </c>
      <c r="C1554" t="s">
        <v>32</v>
      </c>
      <c r="D1554">
        <v>0</v>
      </c>
      <c r="E1554">
        <v>0</v>
      </c>
      <c r="F1554">
        <v>0</v>
      </c>
      <c r="G1554">
        <v>0</v>
      </c>
      <c r="H1554">
        <v>0</v>
      </c>
      <c r="I1554" s="3">
        <v>0</v>
      </c>
      <c r="J1554" s="3">
        <v>0</v>
      </c>
      <c r="K1554" s="3">
        <v>0</v>
      </c>
      <c r="L1554" s="3" t="str">
        <f>IF(K1554&lt;-5,"CRÍTICO",IF(K1554&lt;0,"ATENÇÃO",IF(K1554&lt;=5,"BOM","EXCELENTE")))</f>
        <v>BOM</v>
      </c>
      <c r="M1554">
        <v>0</v>
      </c>
      <c r="N1554">
        <v>100</v>
      </c>
      <c r="O1554">
        <v>27.43362831858407</v>
      </c>
    </row>
    <row r="1555" spans="1:15" hidden="1" x14ac:dyDescent="0.25">
      <c r="A1555" s="11">
        <v>46049</v>
      </c>
      <c r="B1555" t="s">
        <v>44</v>
      </c>
      <c r="C1555" t="s">
        <v>32</v>
      </c>
      <c r="D1555">
        <v>24</v>
      </c>
      <c r="E1555">
        <v>22</v>
      </c>
      <c r="F1555">
        <v>18.239999999999998</v>
      </c>
      <c r="G1555">
        <v>0</v>
      </c>
      <c r="H1555">
        <v>0</v>
      </c>
      <c r="I1555" s="3">
        <f>E1555+G1555+H1555</f>
        <v>22</v>
      </c>
      <c r="J1555" s="3">
        <f>ROUND(MIN(IF(C1555="Técnico III",35,IF(C1555="Técnico II",28,IF(C1555="Técnico I",23,IF(C1555="JR",20,IF(C1555="Estágio",10,0))))),IF(C1555="Técnico III",SUMIFS($D:$D,$A:$A,$A1555,$B:$B,"&lt;&gt;Patrícia Karla de Sousa Araújo",$B:$B,"&lt;&gt;Lorena Dias de Araujo",$B:$B,"&lt;&gt;Lucas Luiz Romero")*(35/1083),IF(C1555="Técnico II",SUMIFS($D:$D,$A:$A,$A1555,$B:$B,"&lt;&gt;Patrícia Karla de Sousa Araújo",$B:$B,"&lt;&gt;Lorena Dias de Araujo",$B:$B,"&lt;&gt;Lucas Luiz Romero")*(28/1083),IF(C1555="Técnico I",SUMIFS($D:$D,$A:$A,$A1555,$B:$B,"&lt;&gt;Patrícia Karla de Sousa Araújo",$B:$B,"&lt;&gt;Lorena Dias de Araujo",$B:$B,"&lt;&gt;Lucas Luiz Romero")*(23/1083),IF(C1555="JR",SUMIFS($D:$D,$A:$A,$A1555,$B:$B,"&lt;&gt;Patrícia Karla de Sousa Araújo",$B:$B,"&lt;&gt;Lorena Dias de Araujo",$B:$B,"&lt;&gt;Lucas Luiz Romero")*(20/1083),IF(C1555="Estágio",SUMIFS($D:$D,$A:$A,$A1555,$B:$B,"&lt;&gt;Patrícia Karla de Sousa Araújo",$B:$B,"&lt;&gt;Lorena Dias de Araujo",$B:$B,"&lt;&gt;Lucas Luiz Romero")*(10/1083),0)))))),0)</f>
        <v>25</v>
      </c>
      <c r="K1555" s="3">
        <f>I1555-J1555</f>
        <v>-3</v>
      </c>
      <c r="L1555" s="3" t="str">
        <f>IF(K1555&lt;-5,"CRÍTICO",IF(K1555&lt;0,"ATENÇÃO",IF(K1555&lt;=5,"BOM","EXCELENTE")))</f>
        <v>ATENÇÃO</v>
      </c>
      <c r="M1555">
        <v>18</v>
      </c>
      <c r="N1555">
        <v>98.65</v>
      </c>
      <c r="O1555">
        <v>30.978260869565219</v>
      </c>
    </row>
    <row r="1556" spans="1:15" hidden="1" x14ac:dyDescent="0.25">
      <c r="A1556" s="11">
        <v>46049</v>
      </c>
      <c r="B1556" t="s">
        <v>20</v>
      </c>
      <c r="C1556" t="s">
        <v>16</v>
      </c>
      <c r="D1556">
        <v>6</v>
      </c>
      <c r="E1556">
        <v>6</v>
      </c>
      <c r="F1556">
        <v>45.33</v>
      </c>
      <c r="G1556">
        <v>0</v>
      </c>
      <c r="H1556">
        <v>0</v>
      </c>
      <c r="I1556" s="3">
        <f>E1556+G1556+H1556</f>
        <v>6</v>
      </c>
      <c r="J1556" s="3">
        <f>ROUND(MIN(IF(C1556="Técnico III",35,IF(C1556="Técnico II",28,IF(C1556="Técnico I",23,IF(C1556="JR",20,IF(C1556="Estágio",10,0))))),IF(C1556="Técnico III",SUMIFS($D:$D,$A:$A,$A1556,$B:$B,"&lt;&gt;Patrícia Karla de Sousa Araújo",$B:$B,"&lt;&gt;Lorena Dias de Araujo",$B:$B,"&lt;&gt;Lucas Luiz Romero")*(35/1083),IF(C1556="Técnico II",SUMIFS($D:$D,$A:$A,$A1556,$B:$B,"&lt;&gt;Patrícia Karla de Sousa Araújo",$B:$B,"&lt;&gt;Lorena Dias de Araujo",$B:$B,"&lt;&gt;Lucas Luiz Romero")*(28/1083),IF(C1556="Técnico I",SUMIFS($D:$D,$A:$A,$A1556,$B:$B,"&lt;&gt;Patrícia Karla de Sousa Araújo",$B:$B,"&lt;&gt;Lorena Dias de Araujo",$B:$B,"&lt;&gt;Lucas Luiz Romero")*(23/1083),IF(C1556="JR",SUMIFS($D:$D,$A:$A,$A1556,$B:$B,"&lt;&gt;Patrícia Karla de Sousa Araújo",$B:$B,"&lt;&gt;Lorena Dias de Araujo",$B:$B,"&lt;&gt;Lucas Luiz Romero")*(20/1083),IF(C1556="Estágio",SUMIFS($D:$D,$A:$A,$A1556,$B:$B,"&lt;&gt;Patrícia Karla de Sousa Araújo",$B:$B,"&lt;&gt;Lorena Dias de Araujo",$B:$B,"&lt;&gt;Lucas Luiz Romero")*(10/1083),0)))))),0)</f>
        <v>7</v>
      </c>
      <c r="K1556" s="3">
        <f>I1556-J1556</f>
        <v>-1</v>
      </c>
      <c r="L1556" s="3" t="str">
        <f>IF(K1556&lt;-5,"CRÍTICO",IF(K1556&lt;0,"ATENÇÃO",IF(K1556&lt;=5,"BOM","EXCELENTE")))</f>
        <v>ATENÇÃO</v>
      </c>
      <c r="M1556">
        <v>5</v>
      </c>
      <c r="N1556">
        <v>100</v>
      </c>
      <c r="O1556">
        <v>12</v>
      </c>
    </row>
    <row r="1557" spans="1:15" hidden="1" x14ac:dyDescent="0.25">
      <c r="A1557" s="11">
        <v>46049</v>
      </c>
      <c r="B1557" t="s">
        <v>28</v>
      </c>
      <c r="C1557" t="s">
        <v>26</v>
      </c>
      <c r="D1557">
        <v>0</v>
      </c>
      <c r="E1557">
        <v>0</v>
      </c>
      <c r="F1557">
        <v>0</v>
      </c>
      <c r="G1557">
        <v>0</v>
      </c>
      <c r="H1557">
        <v>0</v>
      </c>
      <c r="I1557" s="3">
        <v>0</v>
      </c>
      <c r="J1557" s="3">
        <v>0</v>
      </c>
      <c r="K1557" s="3">
        <v>0</v>
      </c>
      <c r="L1557" s="3" t="str">
        <f>IF(K1557&lt;-5,"CRÍTICO",IF(K1557&lt;0,"ATENÇÃO",IF(K1557&lt;=5,"BOM","EXCELENTE")))</f>
        <v>BOM</v>
      </c>
      <c r="M1557">
        <v>0</v>
      </c>
      <c r="N1557">
        <v>0</v>
      </c>
      <c r="O1557">
        <v>0</v>
      </c>
    </row>
    <row r="1558" spans="1:15" hidden="1" x14ac:dyDescent="0.25">
      <c r="A1558" s="11">
        <v>46049</v>
      </c>
      <c r="B1558" t="s">
        <v>58</v>
      </c>
      <c r="C1558" t="s">
        <v>48</v>
      </c>
      <c r="D1558">
        <v>11</v>
      </c>
      <c r="E1558">
        <v>11</v>
      </c>
      <c r="F1558">
        <v>24.09</v>
      </c>
      <c r="G1558">
        <v>0</v>
      </c>
      <c r="H1558">
        <v>0</v>
      </c>
      <c r="I1558" s="3">
        <f>E1558+G1558+H1558</f>
        <v>11</v>
      </c>
      <c r="J1558" s="3">
        <f>ROUND(MIN(IF(C1558="Técnico III",35,IF(C1558="Técnico II",28,IF(C1558="Técnico I",23,IF(C1558="JR",20,IF(C1558="Estágio",10,0))))),IF(C1558="Técnico III",SUMIFS($D:$D,$A:$A,$A1558,$B:$B,"&lt;&gt;Patrícia Karla de Sousa Araújo",$B:$B,"&lt;&gt;Lorena Dias de Araujo",$B:$B,"&lt;&gt;Lucas Luiz Romero")*(35/1083),IF(C1558="Técnico II",SUMIFS($D:$D,$A:$A,$A1558,$B:$B,"&lt;&gt;Patrícia Karla de Sousa Araújo",$B:$B,"&lt;&gt;Lorena Dias de Araujo",$B:$B,"&lt;&gt;Lucas Luiz Romero")*(28/1083),IF(C1558="Técnico I",SUMIFS($D:$D,$A:$A,$A1558,$B:$B,"&lt;&gt;Patrícia Karla de Sousa Araújo",$B:$B,"&lt;&gt;Lorena Dias de Araujo",$B:$B,"&lt;&gt;Lucas Luiz Romero")*(23/1083),IF(C1558="JR",SUMIFS($D:$D,$A:$A,$A1558,$B:$B,"&lt;&gt;Patrícia Karla de Sousa Araújo",$B:$B,"&lt;&gt;Lorena Dias de Araujo",$B:$B,"&lt;&gt;Lucas Luiz Romero")*(20/1083),IF(C1558="Estágio",SUMIFS($D:$D,$A:$A,$A1558,$B:$B,"&lt;&gt;Patrícia Karla de Sousa Araújo",$B:$B,"&lt;&gt;Lorena Dias de Araujo",$B:$B,"&lt;&gt;Lucas Luiz Romero")*(10/1083),0)))))),0)</f>
        <v>20</v>
      </c>
      <c r="K1558" s="3">
        <f>I1558-J1558</f>
        <v>-9</v>
      </c>
      <c r="L1558" s="3" t="str">
        <f>IF(K1558&lt;-5,"CRÍTICO",IF(K1558&lt;0,"ATENÇÃO",IF(K1558&lt;=5,"BOM","EXCELENTE")))</f>
        <v>CRÍTICO</v>
      </c>
      <c r="M1558">
        <v>8</v>
      </c>
      <c r="N1558">
        <v>97.56</v>
      </c>
      <c r="O1558">
        <v>31.067961165048541</v>
      </c>
    </row>
    <row r="1559" spans="1:15" hidden="1" x14ac:dyDescent="0.25">
      <c r="A1559" s="11">
        <v>46049</v>
      </c>
      <c r="B1559" t="s">
        <v>29</v>
      </c>
      <c r="C1559" t="s">
        <v>26</v>
      </c>
      <c r="D1559">
        <v>0</v>
      </c>
      <c r="E1559">
        <v>0</v>
      </c>
      <c r="F1559">
        <v>0</v>
      </c>
      <c r="G1559">
        <v>0</v>
      </c>
      <c r="H1559">
        <v>0</v>
      </c>
      <c r="I1559" s="3">
        <v>0</v>
      </c>
      <c r="J1559" s="3">
        <v>0</v>
      </c>
      <c r="K1559" s="3">
        <v>0</v>
      </c>
      <c r="L1559" s="3" t="str">
        <f>IF(K1559&lt;-5,"CRÍTICO",IF(K1559&lt;0,"ATENÇÃO",IF(K1559&lt;=5,"BOM","EXCELENTE")))</f>
        <v>BOM</v>
      </c>
      <c r="M1559">
        <v>0</v>
      </c>
      <c r="N1559">
        <v>0</v>
      </c>
      <c r="O1559">
        <v>0</v>
      </c>
    </row>
    <row r="1560" spans="1:15" hidden="1" x14ac:dyDescent="0.25">
      <c r="A1560" s="11">
        <v>46049</v>
      </c>
      <c r="B1560" t="s">
        <v>30</v>
      </c>
      <c r="C1560" t="s">
        <v>26</v>
      </c>
      <c r="D1560">
        <v>0</v>
      </c>
      <c r="E1560">
        <v>0</v>
      </c>
      <c r="F1560">
        <v>0</v>
      </c>
      <c r="G1560">
        <v>0</v>
      </c>
      <c r="H1560">
        <v>0</v>
      </c>
      <c r="I1560" s="3">
        <v>0</v>
      </c>
      <c r="J1560" s="3">
        <v>0</v>
      </c>
      <c r="K1560" s="3">
        <v>0</v>
      </c>
      <c r="L1560" s="3" t="str">
        <f>IF(K1560&lt;-5,"CRÍTICO",IF(K1560&lt;0,"ATENÇÃO",IF(K1560&lt;=5,"BOM","EXCELENTE")))</f>
        <v>BOM</v>
      </c>
      <c r="M1560">
        <v>0</v>
      </c>
      <c r="N1560">
        <v>0</v>
      </c>
      <c r="O1560">
        <v>0</v>
      </c>
    </row>
    <row r="1561" spans="1:15" hidden="1" x14ac:dyDescent="0.25">
      <c r="A1561" s="11">
        <v>46049</v>
      </c>
      <c r="B1561" t="s">
        <v>21</v>
      </c>
      <c r="C1561" t="s">
        <v>16</v>
      </c>
      <c r="D1561">
        <v>0</v>
      </c>
      <c r="E1561">
        <v>0</v>
      </c>
      <c r="F1561">
        <v>0</v>
      </c>
      <c r="G1561">
        <v>0</v>
      </c>
      <c r="H1561">
        <v>0</v>
      </c>
      <c r="I1561" s="3">
        <v>0</v>
      </c>
      <c r="J1561" s="3">
        <v>0</v>
      </c>
      <c r="K1561" s="3">
        <v>0</v>
      </c>
      <c r="L1561" s="3" t="str">
        <f>IF(K1561&lt;-5,"CRÍTICO",IF(K1561&lt;0,"ATENÇÃO",IF(K1561&lt;=5,"BOM","EXCELENTE")))</f>
        <v>BOM</v>
      </c>
      <c r="M1561">
        <v>0</v>
      </c>
      <c r="N1561">
        <v>0</v>
      </c>
      <c r="O1561">
        <v>0</v>
      </c>
    </row>
    <row r="1562" spans="1:15" hidden="1" x14ac:dyDescent="0.25">
      <c r="A1562" s="11">
        <v>46049</v>
      </c>
      <c r="B1562" t="s">
        <v>63</v>
      </c>
      <c r="C1562" t="s">
        <v>23</v>
      </c>
      <c r="D1562">
        <v>0</v>
      </c>
      <c r="E1562">
        <v>0</v>
      </c>
      <c r="F1562">
        <v>0</v>
      </c>
      <c r="G1562">
        <v>0</v>
      </c>
      <c r="H1562">
        <v>0</v>
      </c>
      <c r="I1562" s="3">
        <v>0</v>
      </c>
      <c r="J1562" s="3">
        <v>0</v>
      </c>
      <c r="K1562" s="3">
        <v>0</v>
      </c>
      <c r="L1562" s="3" t="str">
        <f>IF(K1562&lt;-5,"CRÍTICO",IF(K1562&lt;0,"ATENÇÃO",IF(K1562&lt;=5,"BOM","EXCELENTE")))</f>
        <v>BOM</v>
      </c>
      <c r="M1562">
        <v>0</v>
      </c>
      <c r="N1562">
        <v>100</v>
      </c>
      <c r="O1562">
        <v>53.846153846153847</v>
      </c>
    </row>
    <row r="1563" spans="1:15" hidden="1" x14ac:dyDescent="0.25">
      <c r="A1563" s="11">
        <v>46049</v>
      </c>
      <c r="B1563" t="s">
        <v>45</v>
      </c>
      <c r="C1563" t="s">
        <v>32</v>
      </c>
      <c r="D1563">
        <v>39</v>
      </c>
      <c r="E1563">
        <v>34</v>
      </c>
      <c r="F1563">
        <v>13.44</v>
      </c>
      <c r="G1563">
        <v>0</v>
      </c>
      <c r="H1563">
        <v>0</v>
      </c>
      <c r="I1563" s="3">
        <f>E1563+G1563+H1563</f>
        <v>34</v>
      </c>
      <c r="J1563" s="3">
        <f>ROUND(MIN(IF(C1563="Técnico III",35,IF(C1563="Técnico II",28,IF(C1563="Técnico I",23,IF(C1563="JR",20,IF(C1563="Estágio",10,0))))),IF(C1563="Técnico III",SUMIFS($D:$D,$A:$A,$A1563,$B:$B,"&lt;&gt;Patrícia Karla de Sousa Araújo",$B:$B,"&lt;&gt;Lorena Dias de Araujo",$B:$B,"&lt;&gt;Lucas Luiz Romero")*(35/1083),IF(C1563="Técnico II",SUMIFS($D:$D,$A:$A,$A1563,$B:$B,"&lt;&gt;Patrícia Karla de Sousa Araújo",$B:$B,"&lt;&gt;Lorena Dias de Araujo",$B:$B,"&lt;&gt;Lucas Luiz Romero")*(28/1083),IF(C1563="Técnico I",SUMIFS($D:$D,$A:$A,$A1563,$B:$B,"&lt;&gt;Patrícia Karla de Sousa Araújo",$B:$B,"&lt;&gt;Lorena Dias de Araujo",$B:$B,"&lt;&gt;Lucas Luiz Romero")*(23/1083),IF(C1563="JR",SUMIFS($D:$D,$A:$A,$A1563,$B:$B,"&lt;&gt;Patrícia Karla de Sousa Araújo",$B:$B,"&lt;&gt;Lorena Dias de Araujo",$B:$B,"&lt;&gt;Lucas Luiz Romero")*(20/1083),IF(C1563="Estágio",SUMIFS($D:$D,$A:$A,$A1563,$B:$B,"&lt;&gt;Patrícia Karla de Sousa Araújo",$B:$B,"&lt;&gt;Lorena Dias de Araujo",$B:$B,"&lt;&gt;Lucas Luiz Romero")*(10/1083),0)))))),0)</f>
        <v>25</v>
      </c>
      <c r="K1563" s="3">
        <f>I1563-J1563</f>
        <v>9</v>
      </c>
      <c r="L1563" s="3" t="str">
        <f>IF(K1563&lt;-5,"CRÍTICO",IF(K1563&lt;0,"ATENÇÃO",IF(K1563&lt;=5,"BOM","EXCELENTE")))</f>
        <v>EXCELENTE</v>
      </c>
      <c r="M1563">
        <v>28</v>
      </c>
      <c r="N1563">
        <v>100</v>
      </c>
      <c r="O1563">
        <v>44.05594405594406</v>
      </c>
    </row>
    <row r="1564" spans="1:15" hidden="1" x14ac:dyDescent="0.25">
      <c r="A1564" s="11">
        <v>46049</v>
      </c>
      <c r="B1564" t="s">
        <v>64</v>
      </c>
      <c r="C1564" t="s">
        <v>23</v>
      </c>
      <c r="D1564">
        <v>21</v>
      </c>
      <c r="E1564">
        <v>20</v>
      </c>
      <c r="F1564">
        <v>21.58</v>
      </c>
      <c r="G1564">
        <v>0</v>
      </c>
      <c r="H1564">
        <v>0</v>
      </c>
      <c r="I1564" s="3">
        <f>E1564+G1564+H1564</f>
        <v>20</v>
      </c>
      <c r="J1564" s="3">
        <f>ROUND(MIN(IF(C1564="Técnico III",35,IF(C1564="Técnico II",28,IF(C1564="Técnico I",23,IF(C1564="JR",20,IF(C1564="Estágio",10,0))))),IF(C1564="Técnico III",SUMIFS($D:$D,$A:$A,$A1564,$B:$B,"&lt;&gt;Patrícia Karla de Sousa Araújo",$B:$B,"&lt;&gt;Lorena Dias de Araujo",$B:$B,"&lt;&gt;Lucas Luiz Romero")*(35/1083),IF(C1564="Técnico II",SUMIFS($D:$D,$A:$A,$A1564,$B:$B,"&lt;&gt;Patrícia Karla de Sousa Araújo",$B:$B,"&lt;&gt;Lorena Dias de Araujo",$B:$B,"&lt;&gt;Lucas Luiz Romero")*(28/1083),IF(C1564="Técnico I",SUMIFS($D:$D,$A:$A,$A1564,$B:$B,"&lt;&gt;Patrícia Karla de Sousa Araújo",$B:$B,"&lt;&gt;Lorena Dias de Araujo",$B:$B,"&lt;&gt;Lucas Luiz Romero")*(23/1083),IF(C1564="JR",SUMIFS($D:$D,$A:$A,$A1564,$B:$B,"&lt;&gt;Patrícia Karla de Sousa Araújo",$B:$B,"&lt;&gt;Lorena Dias de Araujo",$B:$B,"&lt;&gt;Lucas Luiz Romero")*(20/1083),IF(C1564="Estágio",SUMIFS($D:$D,$A:$A,$A1564,$B:$B,"&lt;&gt;Patrícia Karla de Sousa Araújo",$B:$B,"&lt;&gt;Lorena Dias de Araujo",$B:$B,"&lt;&gt;Lucas Luiz Romero")*(10/1083),0)))))),0)</f>
        <v>17</v>
      </c>
      <c r="K1564" s="3">
        <f>I1564-J1564</f>
        <v>3</v>
      </c>
      <c r="L1564" s="3" t="str">
        <f>IF(K1564&lt;-5,"CRÍTICO",IF(K1564&lt;0,"ATENÇÃO",IF(K1564&lt;=5,"BOM","EXCELENTE")))</f>
        <v>BOM</v>
      </c>
      <c r="M1564">
        <v>17</v>
      </c>
      <c r="N1564">
        <v>100</v>
      </c>
      <c r="O1564">
        <v>31.872509960159359</v>
      </c>
    </row>
    <row r="1565" spans="1:15" hidden="1" x14ac:dyDescent="0.25">
      <c r="A1565" s="11">
        <v>46049</v>
      </c>
      <c r="B1565" t="s">
        <v>46</v>
      </c>
      <c r="C1565" t="s">
        <v>32</v>
      </c>
      <c r="D1565">
        <v>32</v>
      </c>
      <c r="E1565">
        <v>31</v>
      </c>
      <c r="F1565">
        <v>16.489999999999998</v>
      </c>
      <c r="G1565">
        <v>0</v>
      </c>
      <c r="H1565">
        <v>0</v>
      </c>
      <c r="I1565" s="3">
        <f>E1565+G1565+H1565</f>
        <v>31</v>
      </c>
      <c r="J1565" s="3">
        <f>ROUND(MIN(IF(C1565="Técnico III",35,IF(C1565="Técnico II",28,IF(C1565="Técnico I",23,IF(C1565="JR",20,IF(C1565="Estágio",10,0))))),IF(C1565="Técnico III",SUMIFS($D:$D,$A:$A,$A1565,$B:$B,"&lt;&gt;Patrícia Karla de Sousa Araújo",$B:$B,"&lt;&gt;Lorena Dias de Araujo",$B:$B,"&lt;&gt;Lucas Luiz Romero")*(35/1083),IF(C1565="Técnico II",SUMIFS($D:$D,$A:$A,$A1565,$B:$B,"&lt;&gt;Patrícia Karla de Sousa Araújo",$B:$B,"&lt;&gt;Lorena Dias de Araujo",$B:$B,"&lt;&gt;Lucas Luiz Romero")*(28/1083),IF(C1565="Técnico I",SUMIFS($D:$D,$A:$A,$A1565,$B:$B,"&lt;&gt;Patrícia Karla de Sousa Araújo",$B:$B,"&lt;&gt;Lorena Dias de Araujo",$B:$B,"&lt;&gt;Lucas Luiz Romero")*(23/1083),IF(C1565="JR",SUMIFS($D:$D,$A:$A,$A1565,$B:$B,"&lt;&gt;Patrícia Karla de Sousa Araújo",$B:$B,"&lt;&gt;Lorena Dias de Araujo",$B:$B,"&lt;&gt;Lucas Luiz Romero")*(20/1083),IF(C1565="Estágio",SUMIFS($D:$D,$A:$A,$A1565,$B:$B,"&lt;&gt;Patrícia Karla de Sousa Araújo",$B:$B,"&lt;&gt;Lorena Dias de Araujo",$B:$B,"&lt;&gt;Lucas Luiz Romero")*(10/1083),0)))))),0)</f>
        <v>25</v>
      </c>
      <c r="K1565" s="3">
        <f>I1565-J1565</f>
        <v>6</v>
      </c>
      <c r="L1565" s="3" t="str">
        <f>IF(K1565&lt;-5,"CRÍTICO",IF(K1565&lt;0,"ATENÇÃO",IF(K1565&lt;=5,"BOM","EXCELENTE")))</f>
        <v>EXCELENTE</v>
      </c>
      <c r="M1565">
        <v>29</v>
      </c>
      <c r="N1565">
        <v>98.41</v>
      </c>
      <c r="O1565">
        <v>29.22465208747515</v>
      </c>
    </row>
    <row r="1566" spans="1:15" hidden="1" x14ac:dyDescent="0.25">
      <c r="A1566" s="11">
        <v>46050</v>
      </c>
      <c r="B1566" t="s">
        <v>47</v>
      </c>
      <c r="C1566" t="s">
        <v>48</v>
      </c>
      <c r="D1566">
        <v>45</v>
      </c>
      <c r="E1566">
        <v>40</v>
      </c>
      <c r="F1566">
        <v>12.1</v>
      </c>
      <c r="G1566">
        <v>0</v>
      </c>
      <c r="H1566">
        <v>0</v>
      </c>
      <c r="I1566" s="3">
        <f>E1566+G1566+H1566</f>
        <v>40</v>
      </c>
      <c r="J1566" s="3">
        <f>ROUND(MIN(IF(C1566="Técnico III",35,IF(C1566="Técnico II",28,IF(C1566="Técnico I",23,IF(C1566="JR",20,IF(C1566="Estágio",10,0))))),IF(C1566="Técnico III",SUMIFS($D:$D,$A:$A,$A1566,$B:$B,"&lt;&gt;Patrícia Karla de Sousa Araújo",$B:$B,"&lt;&gt;Lorena Dias de Araujo",$B:$B,"&lt;&gt;Lucas Luiz Romero")*(35/1083),IF(C1566="Técnico II",SUMIFS($D:$D,$A:$A,$A1566,$B:$B,"&lt;&gt;Patrícia Karla de Sousa Araújo",$B:$B,"&lt;&gt;Lorena Dias de Araujo",$B:$B,"&lt;&gt;Lucas Luiz Romero")*(28/1083),IF(C1566="Técnico I",SUMIFS($D:$D,$A:$A,$A1566,$B:$B,"&lt;&gt;Patrícia Karla de Sousa Araújo",$B:$B,"&lt;&gt;Lorena Dias de Araujo",$B:$B,"&lt;&gt;Lucas Luiz Romero")*(23/1083),IF(C1566="JR",SUMIFS($D:$D,$A:$A,$A1566,$B:$B,"&lt;&gt;Patrícia Karla de Sousa Araújo",$B:$B,"&lt;&gt;Lorena Dias de Araujo",$B:$B,"&lt;&gt;Lucas Luiz Romero")*(20/1083),IF(C1566="Estágio",SUMIFS($D:$D,$A:$A,$A1566,$B:$B,"&lt;&gt;Patrícia Karla de Sousa Araújo",$B:$B,"&lt;&gt;Lorena Dias de Araujo",$B:$B,"&lt;&gt;Lucas Luiz Romero")*(10/1083),0)))))),0)</f>
        <v>23</v>
      </c>
      <c r="K1566" s="3">
        <f>I1566-J1566</f>
        <v>17</v>
      </c>
      <c r="L1566" s="3" t="str">
        <f>IF(K1566&lt;-5,"CRÍTICO",IF(K1566&lt;0,"ATENÇÃO",IF(K1566&lt;=5,"BOM","EXCELENTE")))</f>
        <v>EXCELENTE</v>
      </c>
      <c r="M1566">
        <v>39</v>
      </c>
      <c r="N1566">
        <v>96.81</v>
      </c>
      <c r="O1566">
        <v>27.980535279805348</v>
      </c>
    </row>
    <row r="1567" spans="1:15" hidden="1" x14ac:dyDescent="0.25">
      <c r="A1567" s="11">
        <v>46050</v>
      </c>
      <c r="B1567" t="s">
        <v>31</v>
      </c>
      <c r="C1567" t="s">
        <v>32</v>
      </c>
      <c r="D1567">
        <v>0</v>
      </c>
      <c r="E1567">
        <v>0</v>
      </c>
      <c r="F1567">
        <v>0</v>
      </c>
      <c r="G1567">
        <v>0</v>
      </c>
      <c r="H1567">
        <v>0</v>
      </c>
      <c r="I1567" s="3">
        <v>0</v>
      </c>
      <c r="J1567" s="3">
        <v>0</v>
      </c>
      <c r="K1567" s="3">
        <v>0</v>
      </c>
      <c r="L1567" s="3" t="str">
        <f>IF(K1567&lt;-5,"CRÍTICO",IF(K1567&lt;0,"ATENÇÃO",IF(K1567&lt;=5,"BOM","EXCELENTE")))</f>
        <v>BOM</v>
      </c>
      <c r="M1567">
        <v>36</v>
      </c>
      <c r="N1567">
        <v>98.73</v>
      </c>
      <c r="O1567">
        <v>35.756385068762278</v>
      </c>
    </row>
    <row r="1568" spans="1:15" hidden="1" x14ac:dyDescent="0.25">
      <c r="A1568" s="11">
        <v>46050</v>
      </c>
      <c r="B1568" t="s">
        <v>59</v>
      </c>
      <c r="C1568" t="s">
        <v>23</v>
      </c>
      <c r="D1568">
        <v>28</v>
      </c>
      <c r="E1568">
        <v>28</v>
      </c>
      <c r="F1568">
        <v>22.02</v>
      </c>
      <c r="G1568">
        <v>0</v>
      </c>
      <c r="H1568">
        <v>0</v>
      </c>
      <c r="I1568" s="3">
        <f>E1568+G1568+H1568</f>
        <v>28</v>
      </c>
      <c r="J1568" s="3">
        <f>ROUND(MIN(IF(C1568="Técnico III",35,IF(C1568="Técnico II",28,IF(C1568="Técnico I",23,IF(C1568="JR",20,IF(C1568="Estágio",10,0))))),IF(C1568="Técnico III",SUMIFS($D:$D,$A:$A,$A1568,$B:$B,"&lt;&gt;Patrícia Karla de Sousa Araújo",$B:$B,"&lt;&gt;Lorena Dias de Araujo",$B:$B,"&lt;&gt;Lucas Luiz Romero")*(35/1083),IF(C1568="Técnico II",SUMIFS($D:$D,$A:$A,$A1568,$B:$B,"&lt;&gt;Patrícia Karla de Sousa Araújo",$B:$B,"&lt;&gt;Lorena Dias de Araujo",$B:$B,"&lt;&gt;Lucas Luiz Romero")*(28/1083),IF(C1568="Técnico I",SUMIFS($D:$D,$A:$A,$A1568,$B:$B,"&lt;&gt;Patrícia Karla de Sousa Araújo",$B:$B,"&lt;&gt;Lorena Dias de Araujo",$B:$B,"&lt;&gt;Lucas Luiz Romero")*(23/1083),IF(C1568="JR",SUMIFS($D:$D,$A:$A,$A1568,$B:$B,"&lt;&gt;Patrícia Karla de Sousa Araújo",$B:$B,"&lt;&gt;Lorena Dias de Araujo",$B:$B,"&lt;&gt;Lucas Luiz Romero")*(20/1083),IF(C1568="Estágio",SUMIFS($D:$D,$A:$A,$A1568,$B:$B,"&lt;&gt;Patrícia Karla de Sousa Araújo",$B:$B,"&lt;&gt;Lorena Dias de Araujo",$B:$B,"&lt;&gt;Lucas Luiz Romero")*(10/1083),0)))))),0)</f>
        <v>19</v>
      </c>
      <c r="K1568" s="3">
        <f>I1568-J1568</f>
        <v>9</v>
      </c>
      <c r="L1568" s="3" t="str">
        <f>IF(K1568&lt;-5,"CRÍTICO",IF(K1568&lt;0,"ATENÇÃO",IF(K1568&lt;=5,"BOM","EXCELENTE")))</f>
        <v>EXCELENTE</v>
      </c>
      <c r="M1568">
        <v>24</v>
      </c>
      <c r="N1568">
        <v>98.32</v>
      </c>
      <c r="O1568">
        <v>26.763485477178421</v>
      </c>
    </row>
    <row r="1569" spans="1:15" hidden="1" x14ac:dyDescent="0.25">
      <c r="A1569" s="11">
        <v>46050</v>
      </c>
      <c r="B1569" t="s">
        <v>33</v>
      </c>
      <c r="C1569" t="s">
        <v>32</v>
      </c>
      <c r="D1569">
        <v>26</v>
      </c>
      <c r="E1569">
        <v>23</v>
      </c>
      <c r="F1569">
        <v>25.17</v>
      </c>
      <c r="G1569">
        <v>0</v>
      </c>
      <c r="H1569">
        <v>0</v>
      </c>
      <c r="I1569" s="3">
        <f>E1569+G1569+H1569</f>
        <v>23</v>
      </c>
      <c r="J1569" s="3">
        <f>ROUND(MIN(IF(C1569="Técnico III",35,IF(C1569="Técnico II",28,IF(C1569="Técnico I",23,IF(C1569="JR",20,IF(C1569="Estágio",10,0))))),IF(C1569="Técnico III",SUMIFS($D:$D,$A:$A,$A1569,$B:$B,"&lt;&gt;Patrícia Karla de Sousa Araújo",$B:$B,"&lt;&gt;Lorena Dias de Araujo",$B:$B,"&lt;&gt;Lucas Luiz Romero")*(35/1083),IF(C1569="Técnico II",SUMIFS($D:$D,$A:$A,$A1569,$B:$B,"&lt;&gt;Patrícia Karla de Sousa Araújo",$B:$B,"&lt;&gt;Lorena Dias de Araujo",$B:$B,"&lt;&gt;Lucas Luiz Romero")*(28/1083),IF(C1569="Técnico I",SUMIFS($D:$D,$A:$A,$A1569,$B:$B,"&lt;&gt;Patrícia Karla de Sousa Araújo",$B:$B,"&lt;&gt;Lorena Dias de Araujo",$B:$B,"&lt;&gt;Lucas Luiz Romero")*(23/1083),IF(C1569="JR",SUMIFS($D:$D,$A:$A,$A1569,$B:$B,"&lt;&gt;Patrícia Karla de Sousa Araújo",$B:$B,"&lt;&gt;Lorena Dias de Araujo",$B:$B,"&lt;&gt;Lucas Luiz Romero")*(20/1083),IF(C1569="Estágio",SUMIFS($D:$D,$A:$A,$A1569,$B:$B,"&lt;&gt;Patrícia Karla de Sousa Araújo",$B:$B,"&lt;&gt;Lorena Dias de Araujo",$B:$B,"&lt;&gt;Lucas Luiz Romero")*(10/1083),0)))))),0)</f>
        <v>29</v>
      </c>
      <c r="K1569" s="3">
        <f>I1569-J1569</f>
        <v>-6</v>
      </c>
      <c r="L1569" s="3" t="str">
        <f>IF(K1569&lt;-5,"CRÍTICO",IF(K1569&lt;0,"ATENÇÃO",IF(K1569&lt;=5,"BOM","EXCELENTE")))</f>
        <v>CRÍTICO</v>
      </c>
      <c r="M1569">
        <v>20</v>
      </c>
      <c r="N1569">
        <v>99.19</v>
      </c>
      <c r="O1569">
        <v>27.637130801687761</v>
      </c>
    </row>
    <row r="1570" spans="1:15" hidden="1" x14ac:dyDescent="0.25">
      <c r="A1570" s="11">
        <v>46050</v>
      </c>
      <c r="B1570" t="s">
        <v>15</v>
      </c>
      <c r="C1570" t="s">
        <v>16</v>
      </c>
      <c r="D1570">
        <v>13</v>
      </c>
      <c r="E1570">
        <v>13</v>
      </c>
      <c r="F1570">
        <v>20.5</v>
      </c>
      <c r="G1570">
        <v>0</v>
      </c>
      <c r="H1570">
        <v>0</v>
      </c>
      <c r="I1570" s="3">
        <f>E1570+G1570+H1570</f>
        <v>13</v>
      </c>
      <c r="J1570" s="3">
        <f>ROUND(MIN(IF(C1570="Técnico III",35,IF(C1570="Técnico II",28,IF(C1570="Técnico I",23,IF(C1570="JR",20,IF(C1570="Estágio",10,0))))),IF(C1570="Técnico III",SUMIFS($D:$D,$A:$A,$A1570,$B:$B,"&lt;&gt;Patrícia Karla de Sousa Araújo",$B:$B,"&lt;&gt;Lorena Dias de Araujo",$B:$B,"&lt;&gt;Lucas Luiz Romero")*(35/1083),IF(C1570="Técnico II",SUMIFS($D:$D,$A:$A,$A1570,$B:$B,"&lt;&gt;Patrícia Karla de Sousa Araújo",$B:$B,"&lt;&gt;Lorena Dias de Araujo",$B:$B,"&lt;&gt;Lucas Luiz Romero")*(28/1083),IF(C1570="Técnico I",SUMIFS($D:$D,$A:$A,$A1570,$B:$B,"&lt;&gt;Patrícia Karla de Sousa Araújo",$B:$B,"&lt;&gt;Lorena Dias de Araujo",$B:$B,"&lt;&gt;Lucas Luiz Romero")*(23/1083),IF(C1570="JR",SUMIFS($D:$D,$A:$A,$A1570,$B:$B,"&lt;&gt;Patrícia Karla de Sousa Araújo",$B:$B,"&lt;&gt;Lorena Dias de Araujo",$B:$B,"&lt;&gt;Lucas Luiz Romero")*(20/1083),IF(C1570="Estágio",SUMIFS($D:$D,$A:$A,$A1570,$B:$B,"&lt;&gt;Patrícia Karla de Sousa Araújo",$B:$B,"&lt;&gt;Lorena Dias de Araujo",$B:$B,"&lt;&gt;Lucas Luiz Romero")*(10/1083),0)))))),0)</f>
        <v>8</v>
      </c>
      <c r="K1570" s="3">
        <f>I1570-J1570</f>
        <v>5</v>
      </c>
      <c r="L1570" s="3" t="str">
        <f>IF(K1570&lt;-5,"CRÍTICO",IF(K1570&lt;0,"ATENÇÃO",IF(K1570&lt;=5,"BOM","EXCELENTE")))</f>
        <v>BOM</v>
      </c>
      <c r="M1570">
        <v>13</v>
      </c>
      <c r="N1570">
        <v>100</v>
      </c>
      <c r="O1570">
        <v>39.568345323741013</v>
      </c>
    </row>
    <row r="1571" spans="1:15" hidden="1" x14ac:dyDescent="0.25">
      <c r="A1571" s="11">
        <v>46050</v>
      </c>
      <c r="B1571" t="s">
        <v>49</v>
      </c>
      <c r="C1571" t="s">
        <v>48</v>
      </c>
      <c r="D1571">
        <v>46</v>
      </c>
      <c r="E1571">
        <v>35</v>
      </c>
      <c r="F1571">
        <v>13.3</v>
      </c>
      <c r="G1571">
        <v>0</v>
      </c>
      <c r="H1571">
        <v>0</v>
      </c>
      <c r="I1571" s="3">
        <f>E1571+G1571+H1571</f>
        <v>35</v>
      </c>
      <c r="J1571" s="3">
        <f>ROUND(MIN(IF(C1571="Técnico III",35,IF(C1571="Técnico II",28,IF(C1571="Técnico I",23,IF(C1571="JR",20,IF(C1571="Estágio",10,0))))),IF(C1571="Técnico III",SUMIFS($D:$D,$A:$A,$A1571,$B:$B,"&lt;&gt;Patrícia Karla de Sousa Araújo",$B:$B,"&lt;&gt;Lorena Dias de Araujo",$B:$B,"&lt;&gt;Lucas Luiz Romero")*(35/1083),IF(C1571="Técnico II",SUMIFS($D:$D,$A:$A,$A1571,$B:$B,"&lt;&gt;Patrícia Karla de Sousa Araújo",$B:$B,"&lt;&gt;Lorena Dias de Araujo",$B:$B,"&lt;&gt;Lucas Luiz Romero")*(28/1083),IF(C1571="Técnico I",SUMIFS($D:$D,$A:$A,$A1571,$B:$B,"&lt;&gt;Patrícia Karla de Sousa Araújo",$B:$B,"&lt;&gt;Lorena Dias de Araujo",$B:$B,"&lt;&gt;Lucas Luiz Romero")*(23/1083),IF(C1571="JR",SUMIFS($D:$D,$A:$A,$A1571,$B:$B,"&lt;&gt;Patrícia Karla de Sousa Araújo",$B:$B,"&lt;&gt;Lorena Dias de Araujo",$B:$B,"&lt;&gt;Lucas Luiz Romero")*(20/1083),IF(C1571="Estágio",SUMIFS($D:$D,$A:$A,$A1571,$B:$B,"&lt;&gt;Patrícia Karla de Sousa Araújo",$B:$B,"&lt;&gt;Lorena Dias de Araujo",$B:$B,"&lt;&gt;Lucas Luiz Romero")*(10/1083),0)))))),0)</f>
        <v>23</v>
      </c>
      <c r="K1571" s="3">
        <f>I1571-J1571</f>
        <v>12</v>
      </c>
      <c r="L1571" s="3" t="str">
        <f>IF(K1571&lt;-5,"CRÍTICO",IF(K1571&lt;0,"ATENÇÃO",IF(K1571&lt;=5,"BOM","EXCELENTE")))</f>
        <v>EXCELENTE</v>
      </c>
      <c r="M1571">
        <v>38</v>
      </c>
      <c r="N1571">
        <v>98.54</v>
      </c>
      <c r="O1571">
        <v>28.544776119402989</v>
      </c>
    </row>
    <row r="1572" spans="1:15" hidden="1" x14ac:dyDescent="0.25">
      <c r="A1572" s="11">
        <v>46050</v>
      </c>
      <c r="B1572" t="s">
        <v>50</v>
      </c>
      <c r="C1572" t="s">
        <v>48</v>
      </c>
      <c r="D1572">
        <v>24</v>
      </c>
      <c r="E1572">
        <v>24</v>
      </c>
      <c r="F1572">
        <v>25.34</v>
      </c>
      <c r="G1572">
        <v>0</v>
      </c>
      <c r="H1572">
        <v>0</v>
      </c>
      <c r="I1572" s="3">
        <f>E1572+G1572+H1572</f>
        <v>24</v>
      </c>
      <c r="J1572" s="3">
        <f>ROUND(MIN(IF(C1572="Técnico III",35,IF(C1572="Técnico II",28,IF(C1572="Técnico I",23,IF(C1572="JR",20,IF(C1572="Estágio",10,0))))),IF(C1572="Técnico III",SUMIFS($D:$D,$A:$A,$A1572,$B:$B,"&lt;&gt;Patrícia Karla de Sousa Araújo",$B:$B,"&lt;&gt;Lorena Dias de Araujo",$B:$B,"&lt;&gt;Lucas Luiz Romero")*(35/1083),IF(C1572="Técnico II",SUMIFS($D:$D,$A:$A,$A1572,$B:$B,"&lt;&gt;Patrícia Karla de Sousa Araújo",$B:$B,"&lt;&gt;Lorena Dias de Araujo",$B:$B,"&lt;&gt;Lucas Luiz Romero")*(28/1083),IF(C1572="Técnico I",SUMIFS($D:$D,$A:$A,$A1572,$B:$B,"&lt;&gt;Patrícia Karla de Sousa Araújo",$B:$B,"&lt;&gt;Lorena Dias de Araujo",$B:$B,"&lt;&gt;Lucas Luiz Romero")*(23/1083),IF(C1572="JR",SUMIFS($D:$D,$A:$A,$A1572,$B:$B,"&lt;&gt;Patrícia Karla de Sousa Araújo",$B:$B,"&lt;&gt;Lorena Dias de Araujo",$B:$B,"&lt;&gt;Lucas Luiz Romero")*(20/1083),IF(C1572="Estágio",SUMIFS($D:$D,$A:$A,$A1572,$B:$B,"&lt;&gt;Patrícia Karla de Sousa Araújo",$B:$B,"&lt;&gt;Lorena Dias de Araujo",$B:$B,"&lt;&gt;Lucas Luiz Romero")*(10/1083),0)))))),0)</f>
        <v>23</v>
      </c>
      <c r="K1572" s="3">
        <f>I1572-J1572</f>
        <v>1</v>
      </c>
      <c r="L1572" s="3" t="str">
        <f>IF(K1572&lt;-5,"CRÍTICO",IF(K1572&lt;0,"ATENÇÃO",IF(K1572&lt;=5,"BOM","EXCELENTE")))</f>
        <v>BOM</v>
      </c>
      <c r="M1572">
        <v>20</v>
      </c>
      <c r="N1572">
        <v>100</v>
      </c>
      <c r="O1572">
        <v>34.366925064599492</v>
      </c>
    </row>
    <row r="1573" spans="1:15" hidden="1" x14ac:dyDescent="0.25">
      <c r="A1573" s="11">
        <v>46050</v>
      </c>
      <c r="B1573" t="s">
        <v>17</v>
      </c>
      <c r="C1573" t="s">
        <v>16</v>
      </c>
      <c r="D1573">
        <v>0</v>
      </c>
      <c r="E1573">
        <v>0</v>
      </c>
      <c r="F1573">
        <v>0</v>
      </c>
      <c r="G1573">
        <v>0</v>
      </c>
      <c r="H1573">
        <v>0</v>
      </c>
      <c r="I1573" s="3">
        <v>0</v>
      </c>
      <c r="J1573" s="3">
        <v>0</v>
      </c>
      <c r="K1573" s="3">
        <v>0</v>
      </c>
      <c r="L1573" s="3" t="str">
        <f>IF(K1573&lt;-5,"CRÍTICO",IF(K1573&lt;0,"ATENÇÃO",IF(K1573&lt;=5,"BOM","EXCELENTE")))</f>
        <v>BOM</v>
      </c>
      <c r="M1573">
        <v>0</v>
      </c>
      <c r="N1573">
        <v>0</v>
      </c>
      <c r="O1573">
        <v>0</v>
      </c>
    </row>
    <row r="1574" spans="1:15" hidden="1" x14ac:dyDescent="0.25">
      <c r="A1574" s="11">
        <v>46050</v>
      </c>
      <c r="B1574" t="s">
        <v>60</v>
      </c>
      <c r="C1574" t="s">
        <v>23</v>
      </c>
      <c r="D1574">
        <v>28</v>
      </c>
      <c r="E1574">
        <v>25</v>
      </c>
      <c r="F1574">
        <v>18.559999999999999</v>
      </c>
      <c r="G1574">
        <v>0</v>
      </c>
      <c r="H1574">
        <v>0</v>
      </c>
      <c r="I1574" s="3">
        <f>E1574+G1574+H1574</f>
        <v>25</v>
      </c>
      <c r="J1574" s="3">
        <f>ROUND(MIN(IF(C1574="Técnico III",35,IF(C1574="Técnico II",28,IF(C1574="Técnico I",23,IF(C1574="JR",20,IF(C1574="Estágio",10,0))))),IF(C1574="Técnico III",SUMIFS($D:$D,$A:$A,$A1574,$B:$B,"&lt;&gt;Patrícia Karla de Sousa Araújo",$B:$B,"&lt;&gt;Lorena Dias de Araujo",$B:$B,"&lt;&gt;Lucas Luiz Romero")*(35/1083),IF(C1574="Técnico II",SUMIFS($D:$D,$A:$A,$A1574,$B:$B,"&lt;&gt;Patrícia Karla de Sousa Araújo",$B:$B,"&lt;&gt;Lorena Dias de Araujo",$B:$B,"&lt;&gt;Lucas Luiz Romero")*(28/1083),IF(C1574="Técnico I",SUMIFS($D:$D,$A:$A,$A1574,$B:$B,"&lt;&gt;Patrícia Karla de Sousa Araújo",$B:$B,"&lt;&gt;Lorena Dias de Araujo",$B:$B,"&lt;&gt;Lucas Luiz Romero")*(23/1083),IF(C1574="JR",SUMIFS($D:$D,$A:$A,$A1574,$B:$B,"&lt;&gt;Patrícia Karla de Sousa Araújo",$B:$B,"&lt;&gt;Lorena Dias de Araujo",$B:$B,"&lt;&gt;Lucas Luiz Romero")*(20/1083),IF(C1574="Estágio",SUMIFS($D:$D,$A:$A,$A1574,$B:$B,"&lt;&gt;Patrícia Karla de Sousa Araújo",$B:$B,"&lt;&gt;Lorena Dias de Araujo",$B:$B,"&lt;&gt;Lucas Luiz Romero")*(10/1083),0)))))),0)</f>
        <v>19</v>
      </c>
      <c r="K1574" s="3">
        <f>I1574-J1574</f>
        <v>6</v>
      </c>
      <c r="L1574" s="3" t="str">
        <f>IF(K1574&lt;-5,"CRÍTICO",IF(K1574&lt;0,"ATENÇÃO",IF(K1574&lt;=5,"BOM","EXCELENTE")))</f>
        <v>EXCELENTE</v>
      </c>
      <c r="M1574">
        <v>26</v>
      </c>
      <c r="N1574">
        <v>100</v>
      </c>
      <c r="O1574">
        <v>29.518072289156631</v>
      </c>
    </row>
    <row r="1575" spans="1:15" hidden="1" x14ac:dyDescent="0.25">
      <c r="A1575" s="11">
        <v>46050</v>
      </c>
      <c r="B1575" t="s">
        <v>34</v>
      </c>
      <c r="C1575" t="s">
        <v>32</v>
      </c>
      <c r="D1575">
        <v>43</v>
      </c>
      <c r="E1575">
        <v>37</v>
      </c>
      <c r="F1575">
        <v>12.12</v>
      </c>
      <c r="G1575">
        <v>0</v>
      </c>
      <c r="H1575">
        <v>0</v>
      </c>
      <c r="I1575" s="3">
        <f>E1575+G1575+H1575</f>
        <v>37</v>
      </c>
      <c r="J1575" s="3">
        <f>ROUND(MIN(IF(C1575="Técnico III",35,IF(C1575="Técnico II",28,IF(C1575="Técnico I",23,IF(C1575="JR",20,IF(C1575="Estágio",10,0))))),IF(C1575="Técnico III",SUMIFS($D:$D,$A:$A,$A1575,$B:$B,"&lt;&gt;Patrícia Karla de Sousa Araújo",$B:$B,"&lt;&gt;Lorena Dias de Araujo",$B:$B,"&lt;&gt;Lucas Luiz Romero")*(35/1083),IF(C1575="Técnico II",SUMIFS($D:$D,$A:$A,$A1575,$B:$B,"&lt;&gt;Patrícia Karla de Sousa Araújo",$B:$B,"&lt;&gt;Lorena Dias de Araujo",$B:$B,"&lt;&gt;Lucas Luiz Romero")*(28/1083),IF(C1575="Técnico I",SUMIFS($D:$D,$A:$A,$A1575,$B:$B,"&lt;&gt;Patrícia Karla de Sousa Araújo",$B:$B,"&lt;&gt;Lorena Dias de Araujo",$B:$B,"&lt;&gt;Lucas Luiz Romero")*(23/1083),IF(C1575="JR",SUMIFS($D:$D,$A:$A,$A1575,$B:$B,"&lt;&gt;Patrícia Karla de Sousa Araújo",$B:$B,"&lt;&gt;Lorena Dias de Araujo",$B:$B,"&lt;&gt;Lucas Luiz Romero")*(20/1083),IF(C1575="Estágio",SUMIFS($D:$D,$A:$A,$A1575,$B:$B,"&lt;&gt;Patrícia Karla de Sousa Araújo",$B:$B,"&lt;&gt;Lorena Dias de Araujo",$B:$B,"&lt;&gt;Lucas Luiz Romero")*(10/1083),0)))))),0)</f>
        <v>29</v>
      </c>
      <c r="K1575" s="3">
        <f>I1575-J1575</f>
        <v>8</v>
      </c>
      <c r="L1575" s="3" t="str">
        <f>IF(K1575&lt;-5,"CRÍTICO",IF(K1575&lt;0,"ATENÇÃO",IF(K1575&lt;=5,"BOM","EXCELENTE")))</f>
        <v>EXCELENTE</v>
      </c>
      <c r="M1575">
        <v>36</v>
      </c>
      <c r="N1575">
        <v>97.45</v>
      </c>
      <c r="O1575">
        <v>41.421143847487002</v>
      </c>
    </row>
    <row r="1576" spans="1:15" hidden="1" x14ac:dyDescent="0.25">
      <c r="A1576" s="11">
        <v>46050</v>
      </c>
      <c r="B1576" t="s">
        <v>51</v>
      </c>
      <c r="C1576" t="s">
        <v>48</v>
      </c>
      <c r="D1576">
        <v>41</v>
      </c>
      <c r="E1576">
        <v>32</v>
      </c>
      <c r="F1576">
        <v>13.51</v>
      </c>
      <c r="G1576">
        <v>0</v>
      </c>
      <c r="H1576">
        <v>0</v>
      </c>
      <c r="I1576" s="3">
        <v>0</v>
      </c>
      <c r="J1576" s="3">
        <v>0</v>
      </c>
      <c r="K1576" s="3">
        <v>0</v>
      </c>
      <c r="L1576" s="3" t="str">
        <f>IF(K1576&lt;-5,"CRÍTICO",IF(K1576&lt;0,"ATENÇÃO",IF(K1576&lt;=5,"BOM","EXCELENTE")))</f>
        <v>BOM</v>
      </c>
      <c r="M1576">
        <v>30</v>
      </c>
      <c r="N1576">
        <v>96.58</v>
      </c>
      <c r="O1576">
        <v>30.396475770925111</v>
      </c>
    </row>
    <row r="1577" spans="1:15" hidden="1" x14ac:dyDescent="0.25">
      <c r="A1577" s="11">
        <v>46050</v>
      </c>
      <c r="B1577" t="s">
        <v>61</v>
      </c>
      <c r="C1577" t="s">
        <v>23</v>
      </c>
      <c r="D1577">
        <v>26</v>
      </c>
      <c r="E1577">
        <v>23</v>
      </c>
      <c r="F1577">
        <v>24.19</v>
      </c>
      <c r="G1577">
        <v>0</v>
      </c>
      <c r="H1577">
        <v>0</v>
      </c>
      <c r="I1577" s="3">
        <f>E1577+G1577+H1577</f>
        <v>23</v>
      </c>
      <c r="J1577" s="3">
        <f>ROUND(MIN(IF(C1577="Técnico III",35,IF(C1577="Técnico II",28,IF(C1577="Técnico I",23,IF(C1577="JR",20,IF(C1577="Estágio",10,0))))),IF(C1577="Técnico III",SUMIFS($D:$D,$A:$A,$A1577,$B:$B,"&lt;&gt;Patrícia Karla de Sousa Araújo",$B:$B,"&lt;&gt;Lorena Dias de Araujo",$B:$B,"&lt;&gt;Lucas Luiz Romero")*(35/1083),IF(C1577="Técnico II",SUMIFS($D:$D,$A:$A,$A1577,$B:$B,"&lt;&gt;Patrícia Karla de Sousa Araújo",$B:$B,"&lt;&gt;Lorena Dias de Araujo",$B:$B,"&lt;&gt;Lucas Luiz Romero")*(28/1083),IF(C1577="Técnico I",SUMIFS($D:$D,$A:$A,$A1577,$B:$B,"&lt;&gt;Patrícia Karla de Sousa Araújo",$B:$B,"&lt;&gt;Lorena Dias de Araujo",$B:$B,"&lt;&gt;Lucas Luiz Romero")*(23/1083),IF(C1577="JR",SUMIFS($D:$D,$A:$A,$A1577,$B:$B,"&lt;&gt;Patrícia Karla de Sousa Araújo",$B:$B,"&lt;&gt;Lorena Dias de Araujo",$B:$B,"&lt;&gt;Lucas Luiz Romero")*(20/1083),IF(C1577="Estágio",SUMIFS($D:$D,$A:$A,$A1577,$B:$B,"&lt;&gt;Patrícia Karla de Sousa Araújo",$B:$B,"&lt;&gt;Lorena Dias de Araujo",$B:$B,"&lt;&gt;Lucas Luiz Romero")*(10/1083),0)))))),0)</f>
        <v>19</v>
      </c>
      <c r="K1577" s="3">
        <f>I1577-J1577</f>
        <v>4</v>
      </c>
      <c r="L1577" s="3" t="str">
        <f>IF(K1577&lt;-5,"CRÍTICO",IF(K1577&lt;0,"ATENÇÃO",IF(K1577&lt;=5,"BOM","EXCELENTE")))</f>
        <v>BOM</v>
      </c>
      <c r="M1577">
        <v>28</v>
      </c>
      <c r="N1577">
        <v>100</v>
      </c>
      <c r="O1577">
        <v>27.44282744282744</v>
      </c>
    </row>
    <row r="1578" spans="1:15" hidden="1" x14ac:dyDescent="0.25">
      <c r="A1578" s="11">
        <v>46050</v>
      </c>
      <c r="B1578" t="s">
        <v>35</v>
      </c>
      <c r="C1578" t="s">
        <v>32</v>
      </c>
      <c r="D1578">
        <v>32</v>
      </c>
      <c r="E1578">
        <v>32</v>
      </c>
      <c r="F1578">
        <v>22.01</v>
      </c>
      <c r="G1578">
        <v>0</v>
      </c>
      <c r="H1578">
        <v>0</v>
      </c>
      <c r="I1578" s="3">
        <v>0</v>
      </c>
      <c r="J1578" s="3">
        <v>0</v>
      </c>
      <c r="K1578" s="3">
        <v>0</v>
      </c>
      <c r="L1578" s="3" t="str">
        <f>IF(K1578&lt;-5,"CRÍTICO",IF(K1578&lt;0,"ATENÇÃO",IF(K1578&lt;=5,"BOM","EXCELENTE")))</f>
        <v>BOM</v>
      </c>
      <c r="M1578">
        <v>31</v>
      </c>
      <c r="N1578">
        <v>99.49</v>
      </c>
      <c r="O1578">
        <v>40.200000000000003</v>
      </c>
    </row>
    <row r="1579" spans="1:15" hidden="1" x14ac:dyDescent="0.25">
      <c r="A1579" s="11">
        <v>46050</v>
      </c>
      <c r="B1579" t="s">
        <v>18</v>
      </c>
      <c r="C1579" t="s">
        <v>16</v>
      </c>
      <c r="D1579">
        <v>2</v>
      </c>
      <c r="E1579">
        <v>2</v>
      </c>
      <c r="F1579">
        <v>55.02</v>
      </c>
      <c r="G1579">
        <v>0</v>
      </c>
      <c r="H1579">
        <v>0</v>
      </c>
      <c r="I1579" s="3">
        <f>E1579+G1579+H1579</f>
        <v>2</v>
      </c>
      <c r="J1579" s="3">
        <f>ROUND(MIN(IF(C1579="Técnico III",35,IF(C1579="Técnico II",28,IF(C1579="Técnico I",23,IF(C1579="JR",20,IF(C1579="Estágio",10,0))))),IF(C1579="Técnico III",SUMIFS($D:$D,$A:$A,$A1579,$B:$B,"&lt;&gt;Patrícia Karla de Sousa Araújo",$B:$B,"&lt;&gt;Lorena Dias de Araujo",$B:$B,"&lt;&gt;Lucas Luiz Romero")*(35/1083),IF(C1579="Técnico II",SUMIFS($D:$D,$A:$A,$A1579,$B:$B,"&lt;&gt;Patrícia Karla de Sousa Araújo",$B:$B,"&lt;&gt;Lorena Dias de Araujo",$B:$B,"&lt;&gt;Lucas Luiz Romero")*(28/1083),IF(C1579="Técnico I",SUMIFS($D:$D,$A:$A,$A1579,$B:$B,"&lt;&gt;Patrícia Karla de Sousa Araújo",$B:$B,"&lt;&gt;Lorena Dias de Araujo",$B:$B,"&lt;&gt;Lucas Luiz Romero")*(23/1083),IF(C1579="JR",SUMIFS($D:$D,$A:$A,$A1579,$B:$B,"&lt;&gt;Patrícia Karla de Sousa Araújo",$B:$B,"&lt;&gt;Lorena Dias de Araujo",$B:$B,"&lt;&gt;Lucas Luiz Romero")*(20/1083),IF(C1579="Estágio",SUMIFS($D:$D,$A:$A,$A1579,$B:$B,"&lt;&gt;Patrícia Karla de Sousa Araújo",$B:$B,"&lt;&gt;Lorena Dias de Araujo",$B:$B,"&lt;&gt;Lucas Luiz Romero")*(10/1083),0)))))),0)</f>
        <v>8</v>
      </c>
      <c r="K1579" s="3">
        <f>I1579-J1579</f>
        <v>-6</v>
      </c>
      <c r="L1579" s="3" t="str">
        <f>IF(K1579&lt;-5,"CRÍTICO",IF(K1579&lt;0,"ATENÇÃO",IF(K1579&lt;=5,"BOM","EXCELENTE")))</f>
        <v>CRÍTICO</v>
      </c>
      <c r="M1579">
        <v>0</v>
      </c>
      <c r="N1579">
        <v>100</v>
      </c>
      <c r="O1579">
        <v>25</v>
      </c>
    </row>
    <row r="1580" spans="1:15" hidden="1" x14ac:dyDescent="0.25">
      <c r="A1580" s="11">
        <v>46050</v>
      </c>
      <c r="B1580" t="s">
        <v>52</v>
      </c>
      <c r="C1580" t="s">
        <v>48</v>
      </c>
      <c r="D1580">
        <v>33</v>
      </c>
      <c r="E1580">
        <v>31</v>
      </c>
      <c r="F1580">
        <v>20.149999999999999</v>
      </c>
      <c r="G1580">
        <v>0</v>
      </c>
      <c r="H1580">
        <v>0</v>
      </c>
      <c r="I1580" s="3">
        <f>E1580+G1580+H1580</f>
        <v>31</v>
      </c>
      <c r="J1580" s="3">
        <f>ROUND(MIN(IF(C1580="Técnico III",35,IF(C1580="Técnico II",28,IF(C1580="Técnico I",23,IF(C1580="JR",20,IF(C1580="Estágio",10,0))))),IF(C1580="Técnico III",SUMIFS($D:$D,$A:$A,$A1580,$B:$B,"&lt;&gt;Patrícia Karla de Sousa Araújo",$B:$B,"&lt;&gt;Lorena Dias de Araujo",$B:$B,"&lt;&gt;Lucas Luiz Romero")*(35/1083),IF(C1580="Técnico II",SUMIFS($D:$D,$A:$A,$A1580,$B:$B,"&lt;&gt;Patrícia Karla de Sousa Araújo",$B:$B,"&lt;&gt;Lorena Dias de Araujo",$B:$B,"&lt;&gt;Lucas Luiz Romero")*(28/1083),IF(C1580="Técnico I",SUMIFS($D:$D,$A:$A,$A1580,$B:$B,"&lt;&gt;Patrícia Karla de Sousa Araújo",$B:$B,"&lt;&gt;Lorena Dias de Araujo",$B:$B,"&lt;&gt;Lucas Luiz Romero")*(23/1083),IF(C1580="JR",SUMIFS($D:$D,$A:$A,$A1580,$B:$B,"&lt;&gt;Patrícia Karla de Sousa Araújo",$B:$B,"&lt;&gt;Lorena Dias de Araujo",$B:$B,"&lt;&gt;Lucas Luiz Romero")*(20/1083),IF(C1580="Estágio",SUMIFS($D:$D,$A:$A,$A1580,$B:$B,"&lt;&gt;Patrícia Karla de Sousa Araújo",$B:$B,"&lt;&gt;Lorena Dias de Araujo",$B:$B,"&lt;&gt;Lucas Luiz Romero")*(10/1083),0)))))),0)</f>
        <v>23</v>
      </c>
      <c r="K1580" s="3">
        <f>I1580-J1580</f>
        <v>8</v>
      </c>
      <c r="L1580" s="3" t="str">
        <f>IF(K1580&lt;-5,"CRÍTICO",IF(K1580&lt;0,"ATENÇÃO",IF(K1580&lt;=5,"BOM","EXCELENTE")))</f>
        <v>EXCELENTE</v>
      </c>
      <c r="M1580">
        <v>31</v>
      </c>
      <c r="N1580">
        <v>100</v>
      </c>
      <c r="O1580">
        <v>34.15094339622641</v>
      </c>
    </row>
    <row r="1581" spans="1:15" hidden="1" x14ac:dyDescent="0.25">
      <c r="A1581" s="11">
        <v>46050</v>
      </c>
      <c r="B1581" t="s">
        <v>36</v>
      </c>
      <c r="C1581" t="s">
        <v>32</v>
      </c>
      <c r="D1581">
        <v>33</v>
      </c>
      <c r="E1581">
        <v>30</v>
      </c>
      <c r="F1581">
        <v>15.08</v>
      </c>
      <c r="G1581">
        <v>0</v>
      </c>
      <c r="H1581">
        <v>0</v>
      </c>
      <c r="I1581" s="3">
        <f>E1581+G1581+H1581</f>
        <v>30</v>
      </c>
      <c r="J1581" s="3">
        <f>ROUND(MIN(IF(C1581="Técnico III",35,IF(C1581="Técnico II",28,IF(C1581="Técnico I",23,IF(C1581="JR",20,IF(C1581="Estágio",10,0))))),IF(C1581="Técnico III",SUMIFS($D:$D,$A:$A,$A1581,$B:$B,"&lt;&gt;Patrícia Karla de Sousa Araújo",$B:$B,"&lt;&gt;Lorena Dias de Araujo",$B:$B,"&lt;&gt;Lucas Luiz Romero")*(35/1083),IF(C1581="Técnico II",SUMIFS($D:$D,$A:$A,$A1581,$B:$B,"&lt;&gt;Patrícia Karla de Sousa Araújo",$B:$B,"&lt;&gt;Lorena Dias de Araujo",$B:$B,"&lt;&gt;Lucas Luiz Romero")*(28/1083),IF(C1581="Técnico I",SUMIFS($D:$D,$A:$A,$A1581,$B:$B,"&lt;&gt;Patrícia Karla de Sousa Araújo",$B:$B,"&lt;&gt;Lorena Dias de Araujo",$B:$B,"&lt;&gt;Lucas Luiz Romero")*(23/1083),IF(C1581="JR",SUMIFS($D:$D,$A:$A,$A1581,$B:$B,"&lt;&gt;Patrícia Karla de Sousa Araújo",$B:$B,"&lt;&gt;Lorena Dias de Araujo",$B:$B,"&lt;&gt;Lucas Luiz Romero")*(20/1083),IF(C1581="Estágio",SUMIFS($D:$D,$A:$A,$A1581,$B:$B,"&lt;&gt;Patrícia Karla de Sousa Araújo",$B:$B,"&lt;&gt;Lorena Dias de Araujo",$B:$B,"&lt;&gt;Lucas Luiz Romero")*(10/1083),0)))))),0)</f>
        <v>29</v>
      </c>
      <c r="K1581" s="3">
        <f>I1581-J1581</f>
        <v>1</v>
      </c>
      <c r="L1581" s="3" t="str">
        <f>IF(K1581&lt;-5,"CRÍTICO",IF(K1581&lt;0,"ATENÇÃO",IF(K1581&lt;=5,"BOM","EXCELENTE")))</f>
        <v>BOM</v>
      </c>
      <c r="M1581">
        <v>32</v>
      </c>
      <c r="N1581">
        <v>100</v>
      </c>
      <c r="O1581">
        <v>32.731376975169297</v>
      </c>
    </row>
    <row r="1582" spans="1:15" hidden="1" x14ac:dyDescent="0.25">
      <c r="A1582" s="11">
        <v>46050</v>
      </c>
      <c r="B1582" t="s">
        <v>53</v>
      </c>
      <c r="C1582" t="s">
        <v>48</v>
      </c>
      <c r="D1582">
        <v>32</v>
      </c>
      <c r="E1582">
        <v>30</v>
      </c>
      <c r="F1582">
        <v>20.37</v>
      </c>
      <c r="G1582">
        <v>0</v>
      </c>
      <c r="H1582">
        <v>0</v>
      </c>
      <c r="I1582" s="3">
        <f>E1582+G1582+H1582</f>
        <v>30</v>
      </c>
      <c r="J1582" s="3">
        <f>ROUND(MIN(IF(C1582="Técnico III",35,IF(C1582="Técnico II",28,IF(C1582="Técnico I",23,IF(C1582="JR",20,IF(C1582="Estágio",10,0))))),IF(C1582="Técnico III",SUMIFS($D:$D,$A:$A,$A1582,$B:$B,"&lt;&gt;Patrícia Karla de Sousa Araújo",$B:$B,"&lt;&gt;Lorena Dias de Araujo",$B:$B,"&lt;&gt;Lucas Luiz Romero")*(35/1083),IF(C1582="Técnico II",SUMIFS($D:$D,$A:$A,$A1582,$B:$B,"&lt;&gt;Patrícia Karla de Sousa Araújo",$B:$B,"&lt;&gt;Lorena Dias de Araujo",$B:$B,"&lt;&gt;Lucas Luiz Romero")*(28/1083),IF(C1582="Técnico I",SUMIFS($D:$D,$A:$A,$A1582,$B:$B,"&lt;&gt;Patrícia Karla de Sousa Araújo",$B:$B,"&lt;&gt;Lorena Dias de Araujo",$B:$B,"&lt;&gt;Lucas Luiz Romero")*(23/1083),IF(C1582="JR",SUMIFS($D:$D,$A:$A,$A1582,$B:$B,"&lt;&gt;Patrícia Karla de Sousa Araújo",$B:$B,"&lt;&gt;Lorena Dias de Araujo",$B:$B,"&lt;&gt;Lucas Luiz Romero")*(20/1083),IF(C1582="Estágio",SUMIFS($D:$D,$A:$A,$A1582,$B:$B,"&lt;&gt;Patrícia Karla de Sousa Araújo",$B:$B,"&lt;&gt;Lorena Dias de Araujo",$B:$B,"&lt;&gt;Lucas Luiz Romero")*(10/1083),0)))))),0)</f>
        <v>23</v>
      </c>
      <c r="K1582" s="3">
        <f>I1582-J1582</f>
        <v>7</v>
      </c>
      <c r="L1582" s="3" t="str">
        <f>IF(K1582&lt;-5,"CRÍTICO",IF(K1582&lt;0,"ATENÇÃO",IF(K1582&lt;=5,"BOM","EXCELENTE")))</f>
        <v>EXCELENTE</v>
      </c>
      <c r="M1582">
        <v>28</v>
      </c>
      <c r="N1582">
        <v>99.31</v>
      </c>
      <c r="O1582">
        <v>30.96234309623431</v>
      </c>
    </row>
    <row r="1583" spans="1:15" hidden="1" x14ac:dyDescent="0.25">
      <c r="A1583" s="11">
        <v>46084</v>
      </c>
      <c r="B1583" t="s">
        <v>22</v>
      </c>
      <c r="C1583" t="s">
        <v>23</v>
      </c>
      <c r="D1583">
        <v>21</v>
      </c>
      <c r="E1583">
        <v>21</v>
      </c>
      <c r="F1583">
        <v>27.26</v>
      </c>
      <c r="G1583">
        <v>0</v>
      </c>
      <c r="H1583">
        <v>0</v>
      </c>
      <c r="I1583" s="3">
        <f>E1583+G1583+H1583</f>
        <v>21</v>
      </c>
      <c r="J1583" s="3">
        <f>ROUND(MIN(IF(C1583="Técnico III",35,IF(C1583="Técnico II",28,IF(C1583="Técnico I",23,IF(C1583="JR",20,IF(C1583="Estágio",10,0))))),IF(C1583="Técnico III",SUMIFS($D:$D,$A:$A,$A1583,$B:$B,"&lt;&gt;Patrícia Karla de Sousa Araújo",$B:$B,"&lt;&gt;Lorena Dias de Araujo",$B:$B,"&lt;&gt;Lucas Luiz Romero")*(35/1083),IF(C1583="Técnico II",SUMIFS($D:$D,$A:$A,$A1583,$B:$B,"&lt;&gt;Patrícia Karla de Sousa Araújo",$B:$B,"&lt;&gt;Lorena Dias de Araujo",$B:$B,"&lt;&gt;Lucas Luiz Romero")*(28/1083),IF(C1583="Técnico I",SUMIFS($D:$D,$A:$A,$A1583,$B:$B,"&lt;&gt;Patrícia Karla de Sousa Araújo",$B:$B,"&lt;&gt;Lorena Dias de Araujo",$B:$B,"&lt;&gt;Lucas Luiz Romero")*(23/1083),IF(C1583="JR",SUMIFS($D:$D,$A:$A,$A1583,$B:$B,"&lt;&gt;Patrícia Karla de Sousa Araújo",$B:$B,"&lt;&gt;Lorena Dias de Araujo",$B:$B,"&lt;&gt;Lucas Luiz Romero")*(20/1083),IF(C1583="Estágio",SUMIFS($D:$D,$A:$A,$A1583,$B:$B,"&lt;&gt;Patrícia Karla de Sousa Araújo",$B:$B,"&lt;&gt;Lorena Dias de Araujo",$B:$B,"&lt;&gt;Lucas Luiz Romero")*(10/1083),0)))))),0)</f>
        <v>18</v>
      </c>
      <c r="K1583" s="3">
        <f>I1583-J1583</f>
        <v>3</v>
      </c>
      <c r="L1583" s="3" t="str">
        <f>IF(K1583&lt;-5,"CRÍTICO",IF(K1583&lt;0,"ATENÇÃO",IF(K1583&lt;=5,"BOM","EXCELENTE")))</f>
        <v>BOM</v>
      </c>
      <c r="M1583">
        <v>21</v>
      </c>
      <c r="N1583">
        <v>99.05</v>
      </c>
      <c r="O1583">
        <v>26.621923937360179</v>
      </c>
    </row>
    <row r="1584" spans="1:15" hidden="1" x14ac:dyDescent="0.25">
      <c r="A1584" s="11">
        <v>46050</v>
      </c>
      <c r="B1584" t="s">
        <v>54</v>
      </c>
      <c r="C1584" t="s">
        <v>48</v>
      </c>
      <c r="D1584">
        <v>36</v>
      </c>
      <c r="E1584">
        <v>34</v>
      </c>
      <c r="F1584">
        <v>18.46</v>
      </c>
      <c r="G1584">
        <v>0</v>
      </c>
      <c r="H1584">
        <v>0</v>
      </c>
      <c r="I1584" s="3">
        <f>E1584+G1584+H1584</f>
        <v>34</v>
      </c>
      <c r="J1584" s="3">
        <f>ROUND(MIN(IF(C1584="Técnico III",35,IF(C1584="Técnico II",28,IF(C1584="Técnico I",23,IF(C1584="JR",20,IF(C1584="Estágio",10,0))))),IF(C1584="Técnico III",SUMIFS($D:$D,$A:$A,$A1584,$B:$B,"&lt;&gt;Patrícia Karla de Sousa Araújo",$B:$B,"&lt;&gt;Lorena Dias de Araujo",$B:$B,"&lt;&gt;Lucas Luiz Romero")*(35/1083),IF(C1584="Técnico II",SUMIFS($D:$D,$A:$A,$A1584,$B:$B,"&lt;&gt;Patrícia Karla de Sousa Araújo",$B:$B,"&lt;&gt;Lorena Dias de Araujo",$B:$B,"&lt;&gt;Lucas Luiz Romero")*(28/1083),IF(C1584="Técnico I",SUMIFS($D:$D,$A:$A,$A1584,$B:$B,"&lt;&gt;Patrícia Karla de Sousa Araújo",$B:$B,"&lt;&gt;Lorena Dias de Araujo",$B:$B,"&lt;&gt;Lucas Luiz Romero")*(23/1083),IF(C1584="JR",SUMIFS($D:$D,$A:$A,$A1584,$B:$B,"&lt;&gt;Patrícia Karla de Sousa Araújo",$B:$B,"&lt;&gt;Lorena Dias de Araujo",$B:$B,"&lt;&gt;Lucas Luiz Romero")*(20/1083),IF(C1584="Estágio",SUMIFS($D:$D,$A:$A,$A1584,$B:$B,"&lt;&gt;Patrícia Karla de Sousa Araújo",$B:$B,"&lt;&gt;Lorena Dias de Araujo",$B:$B,"&lt;&gt;Lucas Luiz Romero")*(10/1083),0)))))),0)</f>
        <v>23</v>
      </c>
      <c r="K1584" s="3">
        <f>I1584-J1584</f>
        <v>11</v>
      </c>
      <c r="L1584" s="3" t="str">
        <f>IF(K1584&lt;-5,"CRÍTICO",IF(K1584&lt;0,"ATENÇÃO",IF(K1584&lt;=5,"BOM","EXCELENTE")))</f>
        <v>EXCELENTE</v>
      </c>
      <c r="M1584">
        <v>30</v>
      </c>
      <c r="N1584">
        <v>100</v>
      </c>
      <c r="O1584">
        <v>27.676767676767678</v>
      </c>
    </row>
    <row r="1585" spans="1:15" hidden="1" x14ac:dyDescent="0.25">
      <c r="A1585" s="11">
        <v>46050</v>
      </c>
      <c r="B1585" t="s">
        <v>37</v>
      </c>
      <c r="C1585" t="s">
        <v>32</v>
      </c>
      <c r="D1585">
        <v>55</v>
      </c>
      <c r="E1585">
        <v>50</v>
      </c>
      <c r="F1585">
        <v>11.53</v>
      </c>
      <c r="G1585">
        <v>0</v>
      </c>
      <c r="H1585">
        <v>0</v>
      </c>
      <c r="I1585" s="3">
        <f>E1585+G1585+H1585</f>
        <v>50</v>
      </c>
      <c r="J1585" s="3">
        <f>ROUND(MIN(IF(C1585="Técnico III",35,IF(C1585="Técnico II",28,IF(C1585="Técnico I",23,IF(C1585="JR",20,IF(C1585="Estágio",10,0))))),IF(C1585="Técnico III",SUMIFS($D:$D,$A:$A,$A1585,$B:$B,"&lt;&gt;Patrícia Karla de Sousa Araújo",$B:$B,"&lt;&gt;Lorena Dias de Araujo",$B:$B,"&lt;&gt;Lucas Luiz Romero")*(35/1083),IF(C1585="Técnico II",SUMIFS($D:$D,$A:$A,$A1585,$B:$B,"&lt;&gt;Patrícia Karla de Sousa Araújo",$B:$B,"&lt;&gt;Lorena Dias de Araujo",$B:$B,"&lt;&gt;Lucas Luiz Romero")*(28/1083),IF(C1585="Técnico I",SUMIFS($D:$D,$A:$A,$A1585,$B:$B,"&lt;&gt;Patrícia Karla de Sousa Araújo",$B:$B,"&lt;&gt;Lorena Dias de Araujo",$B:$B,"&lt;&gt;Lucas Luiz Romero")*(23/1083),IF(C1585="JR",SUMIFS($D:$D,$A:$A,$A1585,$B:$B,"&lt;&gt;Patrícia Karla de Sousa Araújo",$B:$B,"&lt;&gt;Lorena Dias de Araujo",$B:$B,"&lt;&gt;Lucas Luiz Romero")*(20/1083),IF(C1585="Estágio",SUMIFS($D:$D,$A:$A,$A1585,$B:$B,"&lt;&gt;Patrícia Karla de Sousa Araújo",$B:$B,"&lt;&gt;Lorena Dias de Araujo",$B:$B,"&lt;&gt;Lucas Luiz Romero")*(10/1083),0)))))),0)</f>
        <v>29</v>
      </c>
      <c r="K1585" s="3">
        <f>I1585-J1585</f>
        <v>21</v>
      </c>
      <c r="L1585" s="3" t="str">
        <f>IF(K1585&lt;-5,"CRÍTICO",IF(K1585&lt;0,"ATENÇÃO",IF(K1585&lt;=5,"BOM","EXCELENTE")))</f>
        <v>EXCELENTE</v>
      </c>
      <c r="M1585">
        <v>47</v>
      </c>
      <c r="N1585">
        <v>100</v>
      </c>
      <c r="O1585">
        <v>31.17723156532988</v>
      </c>
    </row>
    <row r="1586" spans="1:15" hidden="1" x14ac:dyDescent="0.25">
      <c r="A1586" s="11">
        <v>46050</v>
      </c>
      <c r="B1586" t="s">
        <v>38</v>
      </c>
      <c r="C1586" t="s">
        <v>32</v>
      </c>
      <c r="D1586">
        <v>18</v>
      </c>
      <c r="E1586">
        <v>15</v>
      </c>
      <c r="F1586">
        <v>12.07</v>
      </c>
      <c r="G1586">
        <v>0</v>
      </c>
      <c r="H1586">
        <v>0</v>
      </c>
      <c r="I1586" s="3">
        <f>E1586+G1586+H1586</f>
        <v>15</v>
      </c>
      <c r="J1586" s="3">
        <f>ROUND(MIN(IF(C1586="Técnico III",35,IF(C1586="Técnico II",28,IF(C1586="Técnico I",23,IF(C1586="JR",20,IF(C1586="Estágio",10,0))))),IF(C1586="Técnico III",SUMIFS($D:$D,$A:$A,$A1586,$B:$B,"&lt;&gt;Patrícia Karla de Sousa Araújo",$B:$B,"&lt;&gt;Lorena Dias de Araujo",$B:$B,"&lt;&gt;Lucas Luiz Romero")*(35/1083),IF(C1586="Técnico II",SUMIFS($D:$D,$A:$A,$A1586,$B:$B,"&lt;&gt;Patrícia Karla de Sousa Araújo",$B:$B,"&lt;&gt;Lorena Dias de Araujo",$B:$B,"&lt;&gt;Lucas Luiz Romero")*(28/1083),IF(C1586="Técnico I",SUMIFS($D:$D,$A:$A,$A1586,$B:$B,"&lt;&gt;Patrícia Karla de Sousa Araújo",$B:$B,"&lt;&gt;Lorena Dias de Araujo",$B:$B,"&lt;&gt;Lucas Luiz Romero")*(23/1083),IF(C1586="JR",SUMIFS($D:$D,$A:$A,$A1586,$B:$B,"&lt;&gt;Patrícia Karla de Sousa Araújo",$B:$B,"&lt;&gt;Lorena Dias de Araujo",$B:$B,"&lt;&gt;Lucas Luiz Romero")*(20/1083),IF(C1586="Estágio",SUMIFS($D:$D,$A:$A,$A1586,$B:$B,"&lt;&gt;Patrícia Karla de Sousa Araújo",$B:$B,"&lt;&gt;Lorena Dias de Araujo",$B:$B,"&lt;&gt;Lucas Luiz Romero")*(10/1083),0)))))),0)</f>
        <v>29</v>
      </c>
      <c r="K1586" s="3">
        <f>I1586-J1586</f>
        <v>-14</v>
      </c>
      <c r="L1586" s="3" t="str">
        <f>IF(K1586&lt;-5,"CRÍTICO",IF(K1586&lt;0,"ATENÇÃO",IF(K1586&lt;=5,"BOM","EXCELENTE")))</f>
        <v>CRÍTICO</v>
      </c>
      <c r="M1586">
        <v>16</v>
      </c>
      <c r="N1586">
        <v>100</v>
      </c>
      <c r="O1586">
        <v>27.609427609427609</v>
      </c>
    </row>
    <row r="1587" spans="1:15" hidden="1" x14ac:dyDescent="0.25">
      <c r="A1587" s="11">
        <v>46050</v>
      </c>
      <c r="B1587" t="s">
        <v>55</v>
      </c>
      <c r="C1587" t="s">
        <v>48</v>
      </c>
      <c r="D1587">
        <v>47</v>
      </c>
      <c r="E1587">
        <v>38</v>
      </c>
      <c r="F1587">
        <v>12.23</v>
      </c>
      <c r="G1587">
        <v>0</v>
      </c>
      <c r="H1587">
        <v>0</v>
      </c>
      <c r="I1587" s="3">
        <f>E1587+G1587+H1587</f>
        <v>38</v>
      </c>
      <c r="J1587" s="3">
        <f>ROUND(MIN(IF(C1587="Técnico III",35,IF(C1587="Técnico II",28,IF(C1587="Técnico I",23,IF(C1587="JR",20,IF(C1587="Estágio",10,0))))),IF(C1587="Técnico III",SUMIFS($D:$D,$A:$A,$A1587,$B:$B,"&lt;&gt;Patrícia Karla de Sousa Araújo",$B:$B,"&lt;&gt;Lorena Dias de Araujo",$B:$B,"&lt;&gt;Lucas Luiz Romero")*(35/1083),IF(C1587="Técnico II",SUMIFS($D:$D,$A:$A,$A1587,$B:$B,"&lt;&gt;Patrícia Karla de Sousa Araújo",$B:$B,"&lt;&gt;Lorena Dias de Araujo",$B:$B,"&lt;&gt;Lucas Luiz Romero")*(28/1083),IF(C1587="Técnico I",SUMIFS($D:$D,$A:$A,$A1587,$B:$B,"&lt;&gt;Patrícia Karla de Sousa Araújo",$B:$B,"&lt;&gt;Lorena Dias de Araujo",$B:$B,"&lt;&gt;Lucas Luiz Romero")*(23/1083),IF(C1587="JR",SUMIFS($D:$D,$A:$A,$A1587,$B:$B,"&lt;&gt;Patrícia Karla de Sousa Araújo",$B:$B,"&lt;&gt;Lorena Dias de Araujo",$B:$B,"&lt;&gt;Lucas Luiz Romero")*(20/1083),IF(C1587="Estágio",SUMIFS($D:$D,$A:$A,$A1587,$B:$B,"&lt;&gt;Patrícia Karla de Sousa Araújo",$B:$B,"&lt;&gt;Lorena Dias de Araujo",$B:$B,"&lt;&gt;Lucas Luiz Romero")*(10/1083),0)))))),0)</f>
        <v>23</v>
      </c>
      <c r="K1587" s="3">
        <f>I1587-J1587</f>
        <v>15</v>
      </c>
      <c r="L1587" s="3" t="str">
        <f>IF(K1587&lt;-5,"CRÍTICO",IF(K1587&lt;0,"ATENÇÃO",IF(K1587&lt;=5,"BOM","EXCELENTE")))</f>
        <v>EXCELENTE</v>
      </c>
      <c r="M1587">
        <v>37</v>
      </c>
      <c r="N1587">
        <v>96.4</v>
      </c>
      <c r="O1587">
        <v>28.764044943820231</v>
      </c>
    </row>
    <row r="1588" spans="1:15" hidden="1" x14ac:dyDescent="0.25">
      <c r="A1588" s="11">
        <v>46050</v>
      </c>
      <c r="B1588" t="s">
        <v>39</v>
      </c>
      <c r="C1588" t="s">
        <v>32</v>
      </c>
      <c r="D1588">
        <v>0</v>
      </c>
      <c r="E1588">
        <v>0</v>
      </c>
      <c r="F1588">
        <v>0</v>
      </c>
      <c r="G1588">
        <v>0</v>
      </c>
      <c r="H1588">
        <v>0</v>
      </c>
      <c r="I1588" s="3">
        <v>0</v>
      </c>
      <c r="J1588" s="3">
        <v>0</v>
      </c>
      <c r="K1588" s="3">
        <v>0</v>
      </c>
      <c r="L1588" s="3" t="str">
        <f>IF(K1588&lt;-5,"CRÍTICO",IF(K1588&lt;0,"ATENÇÃO",IF(K1588&lt;=5,"BOM","EXCELENTE")))</f>
        <v>BOM</v>
      </c>
      <c r="M1588">
        <v>0</v>
      </c>
      <c r="N1588">
        <v>100</v>
      </c>
      <c r="O1588">
        <v>33.980582524271853</v>
      </c>
    </row>
    <row r="1589" spans="1:15" hidden="1" x14ac:dyDescent="0.25">
      <c r="A1589" s="11">
        <v>46050</v>
      </c>
      <c r="B1589" t="s">
        <v>25</v>
      </c>
      <c r="C1589" t="s">
        <v>26</v>
      </c>
      <c r="D1589">
        <v>9</v>
      </c>
      <c r="E1589">
        <v>9</v>
      </c>
      <c r="F1589">
        <v>23.36</v>
      </c>
      <c r="G1589">
        <v>0</v>
      </c>
      <c r="H1589">
        <v>0</v>
      </c>
      <c r="I1589" s="3">
        <f>E1589+G1589+H1589</f>
        <v>9</v>
      </c>
      <c r="J1589" s="3">
        <f>ROUND(MIN(IF(C1589="Técnico III",35,IF(C1589="Técnico II",28,IF(C1589="Técnico I",23,IF(C1589="JR",20,IF(C1589="Estágio",10,0))))),IF(C1589="Técnico III",SUMIFS($D:$D,$A:$A,$A1589,$B:$B,"&lt;&gt;Patrícia Karla de Sousa Araújo",$B:$B,"&lt;&gt;Lorena Dias de Araujo",$B:$B,"&lt;&gt;Lucas Luiz Romero")*(35/1083),IF(C1589="Técnico II",SUMIFS($D:$D,$A:$A,$A1589,$B:$B,"&lt;&gt;Patrícia Karla de Sousa Araújo",$B:$B,"&lt;&gt;Lorena Dias de Araujo",$B:$B,"&lt;&gt;Lucas Luiz Romero")*(28/1083),IF(C1589="Técnico I",SUMIFS($D:$D,$A:$A,$A1589,$B:$B,"&lt;&gt;Patrícia Karla de Sousa Araújo",$B:$B,"&lt;&gt;Lorena Dias de Araujo",$B:$B,"&lt;&gt;Lucas Luiz Romero")*(23/1083),IF(C1589="JR",SUMIFS($D:$D,$A:$A,$A1589,$B:$B,"&lt;&gt;Patrícia Karla de Sousa Araújo",$B:$B,"&lt;&gt;Lorena Dias de Araujo",$B:$B,"&lt;&gt;Lucas Luiz Romero")*(20/1083),IF(C1589="Estágio",SUMIFS($D:$D,$A:$A,$A1589,$B:$B,"&lt;&gt;Patrícia Karla de Sousa Araújo",$B:$B,"&lt;&gt;Lorena Dias de Araujo",$B:$B,"&lt;&gt;Lucas Luiz Romero")*(10/1083),0)))))),0)</f>
        <v>16</v>
      </c>
      <c r="K1589" s="3">
        <f>I1589-J1589</f>
        <v>-7</v>
      </c>
      <c r="L1589" s="3" t="str">
        <f>IF(K1589&lt;-5,"CRÍTICO",IF(K1589&lt;0,"ATENÇÃO",IF(K1589&lt;=5,"BOM","EXCELENTE")))</f>
        <v>CRÍTICO</v>
      </c>
      <c r="M1589">
        <v>10</v>
      </c>
      <c r="N1589">
        <v>97.56</v>
      </c>
      <c r="O1589">
        <v>32.515337423312893</v>
      </c>
    </row>
    <row r="1590" spans="1:15" hidden="1" x14ac:dyDescent="0.25">
      <c r="A1590" s="11">
        <v>46050</v>
      </c>
      <c r="B1590" t="s">
        <v>40</v>
      </c>
      <c r="C1590" t="s">
        <v>32</v>
      </c>
      <c r="D1590">
        <v>18</v>
      </c>
      <c r="E1590">
        <v>18</v>
      </c>
      <c r="F1590">
        <v>19.170000000000002</v>
      </c>
      <c r="G1590">
        <v>0</v>
      </c>
      <c r="H1590">
        <v>0</v>
      </c>
      <c r="I1590" s="3">
        <f>E1590+G1590+H1590</f>
        <v>18</v>
      </c>
      <c r="J1590" s="3">
        <f>ROUND(MIN(IF(C1590="Técnico III",35,IF(C1590="Técnico II",28,IF(C1590="Técnico I",23,IF(C1590="JR",20,IF(C1590="Estágio",10,0))))),IF(C1590="Técnico III",SUMIFS($D:$D,$A:$A,$A1590,$B:$B,"&lt;&gt;Patrícia Karla de Sousa Araújo",$B:$B,"&lt;&gt;Lorena Dias de Araujo",$B:$B,"&lt;&gt;Lucas Luiz Romero")*(35/1083),IF(C1590="Técnico II",SUMIFS($D:$D,$A:$A,$A1590,$B:$B,"&lt;&gt;Patrícia Karla de Sousa Araújo",$B:$B,"&lt;&gt;Lorena Dias de Araujo",$B:$B,"&lt;&gt;Lucas Luiz Romero")*(28/1083),IF(C1590="Técnico I",SUMIFS($D:$D,$A:$A,$A1590,$B:$B,"&lt;&gt;Patrícia Karla de Sousa Araújo",$B:$B,"&lt;&gt;Lorena Dias de Araujo",$B:$B,"&lt;&gt;Lucas Luiz Romero")*(23/1083),IF(C1590="JR",SUMIFS($D:$D,$A:$A,$A1590,$B:$B,"&lt;&gt;Patrícia Karla de Sousa Araújo",$B:$B,"&lt;&gt;Lorena Dias de Araujo",$B:$B,"&lt;&gt;Lucas Luiz Romero")*(20/1083),IF(C1590="Estágio",SUMIFS($D:$D,$A:$A,$A1590,$B:$B,"&lt;&gt;Patrícia Karla de Sousa Araújo",$B:$B,"&lt;&gt;Lorena Dias de Araujo",$B:$B,"&lt;&gt;Lucas Luiz Romero")*(10/1083),0)))))),0)</f>
        <v>29</v>
      </c>
      <c r="K1590" s="3">
        <f>I1590-J1590</f>
        <v>-11</v>
      </c>
      <c r="L1590" s="3" t="str">
        <f>IF(K1590&lt;-5,"CRÍTICO",IF(K1590&lt;0,"ATENÇÃO",IF(K1590&lt;=5,"BOM","EXCELENTE")))</f>
        <v>CRÍTICO</v>
      </c>
      <c r="M1590">
        <v>18</v>
      </c>
      <c r="N1590">
        <v>97.11</v>
      </c>
      <c r="O1590">
        <v>37.408312958435211</v>
      </c>
    </row>
    <row r="1591" spans="1:15" hidden="1" x14ac:dyDescent="0.25">
      <c r="A1591" s="11">
        <v>46050</v>
      </c>
      <c r="B1591" t="s">
        <v>27</v>
      </c>
      <c r="C1591" t="s">
        <v>26</v>
      </c>
      <c r="D1591">
        <v>0</v>
      </c>
      <c r="E1591">
        <v>0</v>
      </c>
      <c r="F1591">
        <v>0</v>
      </c>
      <c r="G1591">
        <v>0</v>
      </c>
      <c r="H1591">
        <v>0</v>
      </c>
      <c r="I1591" s="3">
        <v>0</v>
      </c>
      <c r="J1591" s="3">
        <v>0</v>
      </c>
      <c r="K1591" s="3">
        <v>0</v>
      </c>
      <c r="L1591" s="3" t="str">
        <f>IF(K1591&lt;-5,"CRÍTICO",IF(K1591&lt;0,"ATENÇÃO",IF(K1591&lt;=5,"BOM","EXCELENTE")))</f>
        <v>BOM</v>
      </c>
      <c r="M1591">
        <v>0</v>
      </c>
      <c r="N1591">
        <v>0</v>
      </c>
      <c r="O1591">
        <v>0</v>
      </c>
    </row>
    <row r="1592" spans="1:15" hidden="1" x14ac:dyDescent="0.25">
      <c r="A1592" s="11">
        <v>46050</v>
      </c>
      <c r="B1592" t="s">
        <v>41</v>
      </c>
      <c r="C1592" t="s">
        <v>32</v>
      </c>
      <c r="D1592">
        <v>29</v>
      </c>
      <c r="E1592">
        <v>26</v>
      </c>
      <c r="F1592">
        <v>17.18</v>
      </c>
      <c r="G1592">
        <v>0</v>
      </c>
      <c r="H1592">
        <v>0</v>
      </c>
      <c r="I1592" s="3">
        <f>E1592+G1592+H1592</f>
        <v>26</v>
      </c>
      <c r="J1592" s="3">
        <f>ROUND(MIN(IF(C1592="Técnico III",35,IF(C1592="Técnico II",28,IF(C1592="Técnico I",23,IF(C1592="JR",20,IF(C1592="Estágio",10,0))))),IF(C1592="Técnico III",SUMIFS($D:$D,$A:$A,$A1592,$B:$B,"&lt;&gt;Patrícia Karla de Sousa Araújo",$B:$B,"&lt;&gt;Lorena Dias de Araujo",$B:$B,"&lt;&gt;Lucas Luiz Romero")*(35/1083),IF(C1592="Técnico II",SUMIFS($D:$D,$A:$A,$A1592,$B:$B,"&lt;&gt;Patrícia Karla de Sousa Araújo",$B:$B,"&lt;&gt;Lorena Dias de Araujo",$B:$B,"&lt;&gt;Lucas Luiz Romero")*(28/1083),IF(C1592="Técnico I",SUMIFS($D:$D,$A:$A,$A1592,$B:$B,"&lt;&gt;Patrícia Karla de Sousa Araújo",$B:$B,"&lt;&gt;Lorena Dias de Araujo",$B:$B,"&lt;&gt;Lucas Luiz Romero")*(23/1083),IF(C1592="JR",SUMIFS($D:$D,$A:$A,$A1592,$B:$B,"&lt;&gt;Patrícia Karla de Sousa Araújo",$B:$B,"&lt;&gt;Lorena Dias de Araujo",$B:$B,"&lt;&gt;Lucas Luiz Romero")*(20/1083),IF(C1592="Estágio",SUMIFS($D:$D,$A:$A,$A1592,$B:$B,"&lt;&gt;Patrícia Karla de Sousa Araújo",$B:$B,"&lt;&gt;Lorena Dias de Araujo",$B:$B,"&lt;&gt;Lucas Luiz Romero")*(10/1083),0)))))),0)</f>
        <v>29</v>
      </c>
      <c r="K1592" s="3">
        <f>I1592-J1592</f>
        <v>-3</v>
      </c>
      <c r="L1592" s="3" t="str">
        <f>IF(K1592&lt;-5,"CRÍTICO",IF(K1592&lt;0,"ATENÇÃO",IF(K1592&lt;=5,"BOM","EXCELENTE")))</f>
        <v>ATENÇÃO</v>
      </c>
      <c r="M1592">
        <v>28</v>
      </c>
      <c r="N1592">
        <v>100</v>
      </c>
      <c r="O1592">
        <v>30.470347648261761</v>
      </c>
    </row>
    <row r="1593" spans="1:15" hidden="1" x14ac:dyDescent="0.25">
      <c r="A1593" s="11">
        <v>46050</v>
      </c>
      <c r="B1593" t="s">
        <v>56</v>
      </c>
      <c r="C1593" t="s">
        <v>48</v>
      </c>
      <c r="D1593">
        <v>35</v>
      </c>
      <c r="E1593">
        <v>30</v>
      </c>
      <c r="F1593">
        <v>16.510000000000002</v>
      </c>
      <c r="G1593">
        <v>0</v>
      </c>
      <c r="H1593">
        <v>0</v>
      </c>
      <c r="I1593" s="3">
        <f>E1593+G1593+H1593</f>
        <v>30</v>
      </c>
      <c r="J1593" s="3">
        <f>ROUND(MIN(IF(C1593="Técnico III",35,IF(C1593="Técnico II",28,IF(C1593="Técnico I",23,IF(C1593="JR",20,IF(C1593="Estágio",10,0))))),IF(C1593="Técnico III",SUMIFS($D:$D,$A:$A,$A1593,$B:$B,"&lt;&gt;Patrícia Karla de Sousa Araújo",$B:$B,"&lt;&gt;Lorena Dias de Araujo",$B:$B,"&lt;&gt;Lucas Luiz Romero")*(35/1083),IF(C1593="Técnico II",SUMIFS($D:$D,$A:$A,$A1593,$B:$B,"&lt;&gt;Patrícia Karla de Sousa Araújo",$B:$B,"&lt;&gt;Lorena Dias de Araujo",$B:$B,"&lt;&gt;Lucas Luiz Romero")*(28/1083),IF(C1593="Técnico I",SUMIFS($D:$D,$A:$A,$A1593,$B:$B,"&lt;&gt;Patrícia Karla de Sousa Araújo",$B:$B,"&lt;&gt;Lorena Dias de Araujo",$B:$B,"&lt;&gt;Lucas Luiz Romero")*(23/1083),IF(C1593="JR",SUMIFS($D:$D,$A:$A,$A1593,$B:$B,"&lt;&gt;Patrícia Karla de Sousa Araújo",$B:$B,"&lt;&gt;Lorena Dias de Araujo",$B:$B,"&lt;&gt;Lucas Luiz Romero")*(20/1083),IF(C1593="Estágio",SUMIFS($D:$D,$A:$A,$A1593,$B:$B,"&lt;&gt;Patrícia Karla de Sousa Araújo",$B:$B,"&lt;&gt;Lorena Dias de Araujo",$B:$B,"&lt;&gt;Lucas Luiz Romero")*(10/1083),0)))))),0)</f>
        <v>23</v>
      </c>
      <c r="K1593" s="3">
        <f>I1593-J1593</f>
        <v>7</v>
      </c>
      <c r="L1593" s="3" t="str">
        <f>IF(K1593&lt;-5,"CRÍTICO",IF(K1593&lt;0,"ATENÇÃO",IF(K1593&lt;=5,"BOM","EXCELENTE")))</f>
        <v>EXCELENTE</v>
      </c>
      <c r="M1593">
        <v>25</v>
      </c>
      <c r="N1593">
        <v>100</v>
      </c>
      <c r="O1593">
        <v>32.371134020618562</v>
      </c>
    </row>
    <row r="1594" spans="1:15" hidden="1" x14ac:dyDescent="0.25">
      <c r="A1594" s="11">
        <v>46050</v>
      </c>
      <c r="B1594" t="s">
        <v>57</v>
      </c>
      <c r="C1594" t="s">
        <v>48</v>
      </c>
      <c r="D1594">
        <v>42</v>
      </c>
      <c r="E1594">
        <v>40</v>
      </c>
      <c r="F1594">
        <v>13.55</v>
      </c>
      <c r="G1594">
        <v>0</v>
      </c>
      <c r="H1594">
        <v>0</v>
      </c>
      <c r="I1594" s="3">
        <v>0</v>
      </c>
      <c r="J1594" s="3">
        <v>0</v>
      </c>
      <c r="K1594" s="3">
        <v>0</v>
      </c>
      <c r="L1594" s="3" t="str">
        <f>IF(K1594&lt;-5,"CRÍTICO",IF(K1594&lt;0,"ATENÇÃO",IF(K1594&lt;=5,"BOM","EXCELENTE")))</f>
        <v>BOM</v>
      </c>
      <c r="M1594">
        <v>35</v>
      </c>
      <c r="N1594">
        <v>98.32</v>
      </c>
      <c r="O1594">
        <v>32.318501170960189</v>
      </c>
    </row>
    <row r="1595" spans="1:15" hidden="1" x14ac:dyDescent="0.25">
      <c r="A1595" s="11">
        <v>46050</v>
      </c>
      <c r="B1595" t="s">
        <v>42</v>
      </c>
      <c r="C1595" t="s">
        <v>32</v>
      </c>
      <c r="D1595">
        <v>137</v>
      </c>
      <c r="E1595">
        <v>28</v>
      </c>
      <c r="F1595">
        <v>2.36</v>
      </c>
      <c r="G1595">
        <v>0</v>
      </c>
      <c r="H1595">
        <v>0</v>
      </c>
      <c r="I1595" s="3">
        <f>E1595+G1595+H1595</f>
        <v>28</v>
      </c>
      <c r="J1595" s="3">
        <f>ROUND(MIN(IF(C1595="Técnico III",35,IF(C1595="Técnico II",28,IF(C1595="Técnico I",23,IF(C1595="JR",20,IF(C1595="Estágio",10,0))))),IF(C1595="Técnico III",SUMIFS($D:$D,$A:$A,$A1595,$B:$B,"&lt;&gt;Patrícia Karla de Sousa Araújo",$B:$B,"&lt;&gt;Lorena Dias de Araujo",$B:$B,"&lt;&gt;Lucas Luiz Romero")*(35/1083),IF(C1595="Técnico II",SUMIFS($D:$D,$A:$A,$A1595,$B:$B,"&lt;&gt;Patrícia Karla de Sousa Araújo",$B:$B,"&lt;&gt;Lorena Dias de Araujo",$B:$B,"&lt;&gt;Lucas Luiz Romero")*(28/1083),IF(C1595="Técnico I",SUMIFS($D:$D,$A:$A,$A1595,$B:$B,"&lt;&gt;Patrícia Karla de Sousa Araújo",$B:$B,"&lt;&gt;Lorena Dias de Araujo",$B:$B,"&lt;&gt;Lucas Luiz Romero")*(23/1083),IF(C1595="JR",SUMIFS($D:$D,$A:$A,$A1595,$B:$B,"&lt;&gt;Patrícia Karla de Sousa Araújo",$B:$B,"&lt;&gt;Lorena Dias de Araujo",$B:$B,"&lt;&gt;Lucas Luiz Romero")*(20/1083),IF(C1595="Estágio",SUMIFS($D:$D,$A:$A,$A1595,$B:$B,"&lt;&gt;Patrícia Karla de Sousa Araújo",$B:$B,"&lt;&gt;Lorena Dias de Araujo",$B:$B,"&lt;&gt;Lucas Luiz Romero")*(10/1083),0)))))),0)</f>
        <v>29</v>
      </c>
      <c r="K1595" s="3">
        <f>I1595-J1595</f>
        <v>-1</v>
      </c>
      <c r="L1595" s="3" t="str">
        <f>IF(K1595&lt;-5,"CRÍTICO",IF(K1595&lt;0,"ATENÇÃO",IF(K1595&lt;=5,"BOM","EXCELENTE")))</f>
        <v>ATENÇÃO</v>
      </c>
      <c r="M1595">
        <v>13</v>
      </c>
      <c r="N1595">
        <v>96.43</v>
      </c>
      <c r="O1595">
        <v>27.015250544662312</v>
      </c>
    </row>
    <row r="1596" spans="1:15" hidden="1" x14ac:dyDescent="0.25">
      <c r="A1596" s="11">
        <v>46050</v>
      </c>
      <c r="B1596" t="s">
        <v>62</v>
      </c>
      <c r="C1596" t="s">
        <v>23</v>
      </c>
      <c r="D1596">
        <v>19</v>
      </c>
      <c r="E1596">
        <v>19</v>
      </c>
      <c r="F1596">
        <v>22.33</v>
      </c>
      <c r="G1596">
        <v>0</v>
      </c>
      <c r="H1596">
        <v>0</v>
      </c>
      <c r="I1596" s="3">
        <f>E1596+G1596+H1596</f>
        <v>19</v>
      </c>
      <c r="J1596" s="3">
        <f>ROUND(MIN(IF(C1596="Técnico III",35,IF(C1596="Técnico II",28,IF(C1596="Técnico I",23,IF(C1596="JR",20,IF(C1596="Estágio",10,0))))),IF(C1596="Técnico III",SUMIFS($D:$D,$A:$A,$A1596,$B:$B,"&lt;&gt;Patrícia Karla de Sousa Araújo",$B:$B,"&lt;&gt;Lorena Dias de Araujo",$B:$B,"&lt;&gt;Lucas Luiz Romero")*(35/1083),IF(C1596="Técnico II",SUMIFS($D:$D,$A:$A,$A1596,$B:$B,"&lt;&gt;Patrícia Karla de Sousa Araújo",$B:$B,"&lt;&gt;Lorena Dias de Araujo",$B:$B,"&lt;&gt;Lucas Luiz Romero")*(28/1083),IF(C1596="Técnico I",SUMIFS($D:$D,$A:$A,$A1596,$B:$B,"&lt;&gt;Patrícia Karla de Sousa Araújo",$B:$B,"&lt;&gt;Lorena Dias de Araujo",$B:$B,"&lt;&gt;Lucas Luiz Romero")*(23/1083),IF(C1596="JR",SUMIFS($D:$D,$A:$A,$A1596,$B:$B,"&lt;&gt;Patrícia Karla de Sousa Araújo",$B:$B,"&lt;&gt;Lorena Dias de Araujo",$B:$B,"&lt;&gt;Lucas Luiz Romero")*(20/1083),IF(C1596="Estágio",SUMIFS($D:$D,$A:$A,$A1596,$B:$B,"&lt;&gt;Patrícia Karla de Sousa Araújo",$B:$B,"&lt;&gt;Lorena Dias de Araujo",$B:$B,"&lt;&gt;Lucas Luiz Romero")*(10/1083),0)))))),0)</f>
        <v>19</v>
      </c>
      <c r="K1596" s="3">
        <f>I1596-J1596</f>
        <v>0</v>
      </c>
      <c r="L1596" s="3" t="str">
        <f>IF(K1596&lt;-5,"CRÍTICO",IF(K1596&lt;0,"ATENÇÃO",IF(K1596&lt;=5,"BOM","EXCELENTE")))</f>
        <v>BOM</v>
      </c>
      <c r="M1596">
        <v>16</v>
      </c>
      <c r="N1596">
        <v>98.89</v>
      </c>
      <c r="O1596">
        <v>28.021978021978018</v>
      </c>
    </row>
    <row r="1597" spans="1:15" hidden="1" x14ac:dyDescent="0.25">
      <c r="A1597" s="11">
        <v>46050</v>
      </c>
      <c r="B1597" t="s">
        <v>19</v>
      </c>
      <c r="C1597" t="s">
        <v>16</v>
      </c>
      <c r="D1597">
        <v>0</v>
      </c>
      <c r="E1597">
        <v>0</v>
      </c>
      <c r="F1597">
        <v>0</v>
      </c>
      <c r="G1597">
        <v>0</v>
      </c>
      <c r="H1597">
        <v>0</v>
      </c>
      <c r="I1597" s="3">
        <v>0</v>
      </c>
      <c r="J1597" s="3">
        <v>0</v>
      </c>
      <c r="K1597" s="3">
        <v>0</v>
      </c>
      <c r="L1597" s="3" t="str">
        <f>IF(K1597&lt;-5,"CRÍTICO",IF(K1597&lt;0,"ATENÇÃO",IF(K1597&lt;=5,"BOM","EXCELENTE")))</f>
        <v>BOM</v>
      </c>
      <c r="M1597">
        <v>0</v>
      </c>
      <c r="N1597">
        <v>100</v>
      </c>
      <c r="O1597">
        <v>33.333333333333329</v>
      </c>
    </row>
    <row r="1598" spans="1:15" hidden="1" x14ac:dyDescent="0.25">
      <c r="A1598" s="11">
        <v>46050</v>
      </c>
      <c r="B1598" t="s">
        <v>43</v>
      </c>
      <c r="C1598" t="s">
        <v>32</v>
      </c>
      <c r="D1598">
        <v>0</v>
      </c>
      <c r="E1598">
        <v>0</v>
      </c>
      <c r="F1598">
        <v>0</v>
      </c>
      <c r="G1598">
        <v>0</v>
      </c>
      <c r="H1598">
        <v>0</v>
      </c>
      <c r="I1598" s="3">
        <v>0</v>
      </c>
      <c r="J1598" s="3">
        <v>0</v>
      </c>
      <c r="K1598" s="3">
        <v>0</v>
      </c>
      <c r="L1598" s="3" t="str">
        <f>IF(K1598&lt;-5,"CRÍTICO",IF(K1598&lt;0,"ATENÇÃO",IF(K1598&lt;=5,"BOM","EXCELENTE")))</f>
        <v>BOM</v>
      </c>
      <c r="M1598">
        <v>0</v>
      </c>
      <c r="N1598">
        <v>100</v>
      </c>
      <c r="O1598">
        <v>27.43362831858407</v>
      </c>
    </row>
    <row r="1599" spans="1:15" hidden="1" x14ac:dyDescent="0.25">
      <c r="A1599" s="11">
        <v>46050</v>
      </c>
      <c r="B1599" t="s">
        <v>44</v>
      </c>
      <c r="C1599" t="s">
        <v>32</v>
      </c>
      <c r="D1599">
        <v>49</v>
      </c>
      <c r="E1599">
        <v>42</v>
      </c>
      <c r="F1599">
        <v>10.25</v>
      </c>
      <c r="G1599">
        <v>0</v>
      </c>
      <c r="H1599">
        <v>0</v>
      </c>
      <c r="I1599" s="3">
        <f>E1599+G1599+H1599</f>
        <v>42</v>
      </c>
      <c r="J1599" s="3">
        <f>ROUND(MIN(IF(C1599="Técnico III",35,IF(C1599="Técnico II",28,IF(C1599="Técnico I",23,IF(C1599="JR",20,IF(C1599="Estágio",10,0))))),IF(C1599="Técnico III",SUMIFS($D:$D,$A:$A,$A1599,$B:$B,"&lt;&gt;Patrícia Karla de Sousa Araújo",$B:$B,"&lt;&gt;Lorena Dias de Araujo",$B:$B,"&lt;&gt;Lucas Luiz Romero")*(35/1083),IF(C1599="Técnico II",SUMIFS($D:$D,$A:$A,$A1599,$B:$B,"&lt;&gt;Patrícia Karla de Sousa Araújo",$B:$B,"&lt;&gt;Lorena Dias de Araujo",$B:$B,"&lt;&gt;Lucas Luiz Romero")*(28/1083),IF(C1599="Técnico I",SUMIFS($D:$D,$A:$A,$A1599,$B:$B,"&lt;&gt;Patrícia Karla de Sousa Araújo",$B:$B,"&lt;&gt;Lorena Dias de Araujo",$B:$B,"&lt;&gt;Lucas Luiz Romero")*(23/1083),IF(C1599="JR",SUMIFS($D:$D,$A:$A,$A1599,$B:$B,"&lt;&gt;Patrícia Karla de Sousa Araújo",$B:$B,"&lt;&gt;Lorena Dias de Araujo",$B:$B,"&lt;&gt;Lucas Luiz Romero")*(20/1083),IF(C1599="Estágio",SUMIFS($D:$D,$A:$A,$A1599,$B:$B,"&lt;&gt;Patrícia Karla de Sousa Araújo",$B:$B,"&lt;&gt;Lorena Dias de Araujo",$B:$B,"&lt;&gt;Lucas Luiz Romero")*(10/1083),0)))))),0)</f>
        <v>29</v>
      </c>
      <c r="K1599" s="3">
        <f>I1599-J1599</f>
        <v>13</v>
      </c>
      <c r="L1599" s="3" t="str">
        <f>IF(K1599&lt;-5,"CRÍTICO",IF(K1599&lt;0,"ATENÇÃO",IF(K1599&lt;=5,"BOM","EXCELENTE")))</f>
        <v>EXCELENTE</v>
      </c>
      <c r="M1599">
        <v>31</v>
      </c>
      <c r="N1599">
        <v>98.65</v>
      </c>
      <c r="O1599">
        <v>30.978260869565219</v>
      </c>
    </row>
    <row r="1600" spans="1:15" hidden="1" x14ac:dyDescent="0.25">
      <c r="A1600" s="11">
        <v>46050</v>
      </c>
      <c r="B1600" t="s">
        <v>20</v>
      </c>
      <c r="C1600" t="s">
        <v>16</v>
      </c>
      <c r="D1600">
        <v>8</v>
      </c>
      <c r="E1600">
        <v>7</v>
      </c>
      <c r="F1600">
        <v>37.04</v>
      </c>
      <c r="G1600">
        <v>0</v>
      </c>
      <c r="H1600">
        <v>0</v>
      </c>
      <c r="I1600" s="3">
        <f>E1600+G1600+H1600</f>
        <v>7</v>
      </c>
      <c r="J1600" s="3">
        <f>ROUND(MIN(IF(C1600="Técnico III",35,IF(C1600="Técnico II",28,IF(C1600="Técnico I",23,IF(C1600="JR",20,IF(C1600="Estágio",10,0))))),IF(C1600="Técnico III",SUMIFS($D:$D,$A:$A,$A1600,$B:$B,"&lt;&gt;Patrícia Karla de Sousa Araújo",$B:$B,"&lt;&gt;Lorena Dias de Araujo",$B:$B,"&lt;&gt;Lucas Luiz Romero")*(35/1083),IF(C1600="Técnico II",SUMIFS($D:$D,$A:$A,$A1600,$B:$B,"&lt;&gt;Patrícia Karla de Sousa Araújo",$B:$B,"&lt;&gt;Lorena Dias de Araujo",$B:$B,"&lt;&gt;Lucas Luiz Romero")*(28/1083),IF(C1600="Técnico I",SUMIFS($D:$D,$A:$A,$A1600,$B:$B,"&lt;&gt;Patrícia Karla de Sousa Araújo",$B:$B,"&lt;&gt;Lorena Dias de Araujo",$B:$B,"&lt;&gt;Lucas Luiz Romero")*(23/1083),IF(C1600="JR",SUMIFS($D:$D,$A:$A,$A1600,$B:$B,"&lt;&gt;Patrícia Karla de Sousa Araújo",$B:$B,"&lt;&gt;Lorena Dias de Araujo",$B:$B,"&lt;&gt;Lucas Luiz Romero")*(20/1083),IF(C1600="Estágio",SUMIFS($D:$D,$A:$A,$A1600,$B:$B,"&lt;&gt;Patrícia Karla de Sousa Araújo",$B:$B,"&lt;&gt;Lorena Dias de Araujo",$B:$B,"&lt;&gt;Lucas Luiz Romero")*(10/1083),0)))))),0)</f>
        <v>8</v>
      </c>
      <c r="K1600" s="3">
        <f>I1600-J1600</f>
        <v>-1</v>
      </c>
      <c r="L1600" s="3" t="str">
        <f>IF(K1600&lt;-5,"CRÍTICO",IF(K1600&lt;0,"ATENÇÃO",IF(K1600&lt;=5,"BOM","EXCELENTE")))</f>
        <v>ATENÇÃO</v>
      </c>
      <c r="M1600">
        <v>3</v>
      </c>
      <c r="N1600">
        <v>100</v>
      </c>
      <c r="O1600">
        <v>12</v>
      </c>
    </row>
    <row r="1601" spans="1:15" hidden="1" x14ac:dyDescent="0.25">
      <c r="A1601" s="11">
        <v>46050</v>
      </c>
      <c r="B1601" t="s">
        <v>28</v>
      </c>
      <c r="C1601" t="s">
        <v>26</v>
      </c>
      <c r="D1601">
        <v>0</v>
      </c>
      <c r="E1601">
        <v>0</v>
      </c>
      <c r="F1601">
        <v>0</v>
      </c>
      <c r="G1601">
        <v>0</v>
      </c>
      <c r="H1601">
        <v>0</v>
      </c>
      <c r="I1601" s="3">
        <v>0</v>
      </c>
      <c r="J1601" s="3">
        <v>0</v>
      </c>
      <c r="K1601" s="3">
        <v>0</v>
      </c>
      <c r="L1601" s="3" t="str">
        <f>IF(K1601&lt;-5,"CRÍTICO",IF(K1601&lt;0,"ATENÇÃO",IF(K1601&lt;=5,"BOM","EXCELENTE")))</f>
        <v>BOM</v>
      </c>
      <c r="M1601">
        <v>0</v>
      </c>
      <c r="N1601">
        <v>0</v>
      </c>
      <c r="O1601">
        <v>0</v>
      </c>
    </row>
    <row r="1602" spans="1:15" hidden="1" x14ac:dyDescent="0.25">
      <c r="A1602" s="11">
        <v>46050</v>
      </c>
      <c r="B1602" t="s">
        <v>58</v>
      </c>
      <c r="C1602" t="s">
        <v>48</v>
      </c>
      <c r="D1602">
        <v>30</v>
      </c>
      <c r="E1602">
        <v>30</v>
      </c>
      <c r="F1602">
        <v>18.43</v>
      </c>
      <c r="G1602">
        <v>0</v>
      </c>
      <c r="H1602">
        <v>0</v>
      </c>
      <c r="I1602" s="3">
        <f>E1602+G1602+H1602</f>
        <v>30</v>
      </c>
      <c r="J1602" s="3">
        <f>ROUND(MIN(IF(C1602="Técnico III",35,IF(C1602="Técnico II",28,IF(C1602="Técnico I",23,IF(C1602="JR",20,IF(C1602="Estágio",10,0))))),IF(C1602="Técnico III",SUMIFS($D:$D,$A:$A,$A1602,$B:$B,"&lt;&gt;Patrícia Karla de Sousa Araújo",$B:$B,"&lt;&gt;Lorena Dias de Araujo",$B:$B,"&lt;&gt;Lucas Luiz Romero")*(35/1083),IF(C1602="Técnico II",SUMIFS($D:$D,$A:$A,$A1602,$B:$B,"&lt;&gt;Patrícia Karla de Sousa Araújo",$B:$B,"&lt;&gt;Lorena Dias de Araujo",$B:$B,"&lt;&gt;Lucas Luiz Romero")*(28/1083),IF(C1602="Técnico I",SUMIFS($D:$D,$A:$A,$A1602,$B:$B,"&lt;&gt;Patrícia Karla de Sousa Araújo",$B:$B,"&lt;&gt;Lorena Dias de Araujo",$B:$B,"&lt;&gt;Lucas Luiz Romero")*(23/1083),IF(C1602="JR",SUMIFS($D:$D,$A:$A,$A1602,$B:$B,"&lt;&gt;Patrícia Karla de Sousa Araújo",$B:$B,"&lt;&gt;Lorena Dias de Araujo",$B:$B,"&lt;&gt;Lucas Luiz Romero")*(20/1083),IF(C1602="Estágio",SUMIFS($D:$D,$A:$A,$A1602,$B:$B,"&lt;&gt;Patrícia Karla de Sousa Araújo",$B:$B,"&lt;&gt;Lorena Dias de Araujo",$B:$B,"&lt;&gt;Lucas Luiz Romero")*(10/1083),0)))))),0)</f>
        <v>23</v>
      </c>
      <c r="K1602" s="3">
        <f>I1602-J1602</f>
        <v>7</v>
      </c>
      <c r="L1602" s="3" t="str">
        <f>IF(K1602&lt;-5,"CRÍTICO",IF(K1602&lt;0,"ATENÇÃO",IF(K1602&lt;=5,"BOM","EXCELENTE")))</f>
        <v>EXCELENTE</v>
      </c>
      <c r="M1602">
        <v>25</v>
      </c>
      <c r="N1602">
        <v>97.56</v>
      </c>
      <c r="O1602">
        <v>31.067961165048541</v>
      </c>
    </row>
    <row r="1603" spans="1:15" hidden="1" x14ac:dyDescent="0.25">
      <c r="A1603" s="11">
        <v>46050</v>
      </c>
      <c r="B1603" t="s">
        <v>29</v>
      </c>
      <c r="C1603" t="s">
        <v>26</v>
      </c>
      <c r="D1603">
        <v>0</v>
      </c>
      <c r="E1603">
        <v>0</v>
      </c>
      <c r="F1603">
        <v>0</v>
      </c>
      <c r="G1603">
        <v>0</v>
      </c>
      <c r="H1603">
        <v>0</v>
      </c>
      <c r="I1603" s="3">
        <v>0</v>
      </c>
      <c r="J1603" s="3">
        <v>0</v>
      </c>
      <c r="K1603" s="3">
        <v>0</v>
      </c>
      <c r="L1603" s="3" t="str">
        <f>IF(K1603&lt;-5,"CRÍTICO",IF(K1603&lt;0,"ATENÇÃO",IF(K1603&lt;=5,"BOM","EXCELENTE")))</f>
        <v>BOM</v>
      </c>
      <c r="M1603">
        <v>0</v>
      </c>
      <c r="N1603">
        <v>0</v>
      </c>
      <c r="O1603">
        <v>0</v>
      </c>
    </row>
    <row r="1604" spans="1:15" hidden="1" x14ac:dyDescent="0.25">
      <c r="A1604" s="11">
        <v>46050</v>
      </c>
      <c r="B1604" t="s">
        <v>30</v>
      </c>
      <c r="C1604" t="s">
        <v>26</v>
      </c>
      <c r="D1604">
        <v>0</v>
      </c>
      <c r="E1604">
        <v>0</v>
      </c>
      <c r="F1604">
        <v>0</v>
      </c>
      <c r="G1604">
        <v>0</v>
      </c>
      <c r="H1604">
        <v>0</v>
      </c>
      <c r="I1604" s="3">
        <v>0</v>
      </c>
      <c r="J1604" s="3">
        <v>0</v>
      </c>
      <c r="K1604" s="3">
        <v>0</v>
      </c>
      <c r="L1604" s="3" t="str">
        <f>IF(K1604&lt;-5,"CRÍTICO",IF(K1604&lt;0,"ATENÇÃO",IF(K1604&lt;=5,"BOM","EXCELENTE")))</f>
        <v>BOM</v>
      </c>
      <c r="M1604">
        <v>0</v>
      </c>
      <c r="N1604">
        <v>0</v>
      </c>
      <c r="O1604">
        <v>0</v>
      </c>
    </row>
    <row r="1605" spans="1:15" hidden="1" x14ac:dyDescent="0.25">
      <c r="A1605" s="11">
        <v>46050</v>
      </c>
      <c r="B1605" t="s">
        <v>21</v>
      </c>
      <c r="C1605" t="s">
        <v>16</v>
      </c>
      <c r="D1605">
        <v>0</v>
      </c>
      <c r="E1605">
        <v>0</v>
      </c>
      <c r="F1605">
        <v>0</v>
      </c>
      <c r="G1605">
        <v>0</v>
      </c>
      <c r="H1605">
        <v>0</v>
      </c>
      <c r="I1605" s="3">
        <v>0</v>
      </c>
      <c r="J1605" s="3">
        <v>0</v>
      </c>
      <c r="K1605" s="3">
        <v>0</v>
      </c>
      <c r="L1605" s="3" t="str">
        <f>IF(K1605&lt;-5,"CRÍTICO",IF(K1605&lt;0,"ATENÇÃO",IF(K1605&lt;=5,"BOM","EXCELENTE")))</f>
        <v>BOM</v>
      </c>
      <c r="M1605">
        <v>0</v>
      </c>
      <c r="N1605">
        <v>0</v>
      </c>
      <c r="O1605">
        <v>0</v>
      </c>
    </row>
    <row r="1606" spans="1:15" hidden="1" x14ac:dyDescent="0.25">
      <c r="A1606" s="11">
        <v>46050</v>
      </c>
      <c r="B1606" t="s">
        <v>63</v>
      </c>
      <c r="C1606" t="s">
        <v>23</v>
      </c>
      <c r="D1606">
        <v>2</v>
      </c>
      <c r="E1606">
        <v>2</v>
      </c>
      <c r="F1606">
        <v>13.56</v>
      </c>
      <c r="G1606">
        <v>0</v>
      </c>
      <c r="H1606">
        <v>0</v>
      </c>
      <c r="I1606" s="3">
        <f>E1606+G1606+H1606</f>
        <v>2</v>
      </c>
      <c r="J1606" s="3">
        <f>ROUND(MIN(IF(C1606="Técnico III",35,IF(C1606="Técnico II",28,IF(C1606="Técnico I",23,IF(C1606="JR",20,IF(C1606="Estágio",10,0))))),IF(C1606="Técnico III",SUMIFS($D:$D,$A:$A,$A1606,$B:$B,"&lt;&gt;Patrícia Karla de Sousa Araújo",$B:$B,"&lt;&gt;Lorena Dias de Araujo",$B:$B,"&lt;&gt;Lucas Luiz Romero")*(35/1083),IF(C1606="Técnico II",SUMIFS($D:$D,$A:$A,$A1606,$B:$B,"&lt;&gt;Patrícia Karla de Sousa Araújo",$B:$B,"&lt;&gt;Lorena Dias de Araujo",$B:$B,"&lt;&gt;Lucas Luiz Romero")*(28/1083),IF(C1606="Técnico I",SUMIFS($D:$D,$A:$A,$A1606,$B:$B,"&lt;&gt;Patrícia Karla de Sousa Araújo",$B:$B,"&lt;&gt;Lorena Dias de Araujo",$B:$B,"&lt;&gt;Lucas Luiz Romero")*(23/1083),IF(C1606="JR",SUMIFS($D:$D,$A:$A,$A1606,$B:$B,"&lt;&gt;Patrícia Karla de Sousa Araújo",$B:$B,"&lt;&gt;Lorena Dias de Araujo",$B:$B,"&lt;&gt;Lucas Luiz Romero")*(20/1083),IF(C1606="Estágio",SUMIFS($D:$D,$A:$A,$A1606,$B:$B,"&lt;&gt;Patrícia Karla de Sousa Araújo",$B:$B,"&lt;&gt;Lorena Dias de Araujo",$B:$B,"&lt;&gt;Lucas Luiz Romero")*(10/1083),0)))))),0)</f>
        <v>19</v>
      </c>
      <c r="K1606" s="3">
        <f>I1606-J1606</f>
        <v>-17</v>
      </c>
      <c r="L1606" s="3" t="str">
        <f>IF(K1606&lt;-5,"CRÍTICO",IF(K1606&lt;0,"ATENÇÃO",IF(K1606&lt;=5,"BOM","EXCELENTE")))</f>
        <v>CRÍTICO</v>
      </c>
      <c r="M1606">
        <v>2</v>
      </c>
      <c r="N1606">
        <v>100</v>
      </c>
      <c r="O1606">
        <v>53.846153846153847</v>
      </c>
    </row>
    <row r="1607" spans="1:15" hidden="1" x14ac:dyDescent="0.25">
      <c r="A1607" s="11">
        <v>46050</v>
      </c>
      <c r="B1607" t="s">
        <v>45</v>
      </c>
      <c r="C1607" t="s">
        <v>32</v>
      </c>
      <c r="D1607">
        <v>39</v>
      </c>
      <c r="E1607">
        <v>36</v>
      </c>
      <c r="F1607">
        <v>14.18</v>
      </c>
      <c r="G1607">
        <v>0</v>
      </c>
      <c r="H1607">
        <v>0</v>
      </c>
      <c r="I1607" s="3">
        <f>E1607+G1607+H1607</f>
        <v>36</v>
      </c>
      <c r="J1607" s="3">
        <f>ROUND(MIN(IF(C1607="Técnico III",35,IF(C1607="Técnico II",28,IF(C1607="Técnico I",23,IF(C1607="JR",20,IF(C1607="Estágio",10,0))))),IF(C1607="Técnico III",SUMIFS($D:$D,$A:$A,$A1607,$B:$B,"&lt;&gt;Patrícia Karla de Sousa Araújo",$B:$B,"&lt;&gt;Lorena Dias de Araujo",$B:$B,"&lt;&gt;Lucas Luiz Romero")*(35/1083),IF(C1607="Técnico II",SUMIFS($D:$D,$A:$A,$A1607,$B:$B,"&lt;&gt;Patrícia Karla de Sousa Araújo",$B:$B,"&lt;&gt;Lorena Dias de Araujo",$B:$B,"&lt;&gt;Lucas Luiz Romero")*(28/1083),IF(C1607="Técnico I",SUMIFS($D:$D,$A:$A,$A1607,$B:$B,"&lt;&gt;Patrícia Karla de Sousa Araújo",$B:$B,"&lt;&gt;Lorena Dias de Araujo",$B:$B,"&lt;&gt;Lucas Luiz Romero")*(23/1083),IF(C1607="JR",SUMIFS($D:$D,$A:$A,$A1607,$B:$B,"&lt;&gt;Patrícia Karla de Sousa Araújo",$B:$B,"&lt;&gt;Lorena Dias de Araujo",$B:$B,"&lt;&gt;Lucas Luiz Romero")*(20/1083),IF(C1607="Estágio",SUMIFS($D:$D,$A:$A,$A1607,$B:$B,"&lt;&gt;Patrícia Karla de Sousa Araújo",$B:$B,"&lt;&gt;Lorena Dias de Araujo",$B:$B,"&lt;&gt;Lucas Luiz Romero")*(10/1083),0)))))),0)</f>
        <v>29</v>
      </c>
      <c r="K1607" s="3">
        <f>I1607-J1607</f>
        <v>7</v>
      </c>
      <c r="L1607" s="3" t="str">
        <f>IF(K1607&lt;-5,"CRÍTICO",IF(K1607&lt;0,"ATENÇÃO",IF(K1607&lt;=5,"BOM","EXCELENTE")))</f>
        <v>EXCELENTE</v>
      </c>
      <c r="M1607">
        <v>40</v>
      </c>
      <c r="N1607">
        <v>100</v>
      </c>
      <c r="O1607">
        <v>44.05594405594406</v>
      </c>
    </row>
    <row r="1608" spans="1:15" hidden="1" x14ac:dyDescent="0.25">
      <c r="A1608" s="11">
        <v>46050</v>
      </c>
      <c r="B1608" t="s">
        <v>64</v>
      </c>
      <c r="C1608" t="s">
        <v>23</v>
      </c>
      <c r="D1608">
        <v>13</v>
      </c>
      <c r="E1608">
        <v>13</v>
      </c>
      <c r="F1608">
        <v>40.5</v>
      </c>
      <c r="G1608">
        <v>0</v>
      </c>
      <c r="H1608">
        <v>0</v>
      </c>
      <c r="I1608" s="3">
        <f>E1608+G1608+H1608</f>
        <v>13</v>
      </c>
      <c r="J1608" s="3">
        <f>ROUND(MIN(IF(C1608="Técnico III",35,IF(C1608="Técnico II",28,IF(C1608="Técnico I",23,IF(C1608="JR",20,IF(C1608="Estágio",10,0))))),IF(C1608="Técnico III",SUMIFS($D:$D,$A:$A,$A1608,$B:$B,"&lt;&gt;Patrícia Karla de Sousa Araújo",$B:$B,"&lt;&gt;Lorena Dias de Araujo",$B:$B,"&lt;&gt;Lucas Luiz Romero")*(35/1083),IF(C1608="Técnico II",SUMIFS($D:$D,$A:$A,$A1608,$B:$B,"&lt;&gt;Patrícia Karla de Sousa Araújo",$B:$B,"&lt;&gt;Lorena Dias de Araujo",$B:$B,"&lt;&gt;Lucas Luiz Romero")*(28/1083),IF(C1608="Técnico I",SUMIFS($D:$D,$A:$A,$A1608,$B:$B,"&lt;&gt;Patrícia Karla de Sousa Araújo",$B:$B,"&lt;&gt;Lorena Dias de Araujo",$B:$B,"&lt;&gt;Lucas Luiz Romero")*(23/1083),IF(C1608="JR",SUMIFS($D:$D,$A:$A,$A1608,$B:$B,"&lt;&gt;Patrícia Karla de Sousa Araújo",$B:$B,"&lt;&gt;Lorena Dias de Araujo",$B:$B,"&lt;&gt;Lucas Luiz Romero")*(20/1083),IF(C1608="Estágio",SUMIFS($D:$D,$A:$A,$A1608,$B:$B,"&lt;&gt;Patrícia Karla de Sousa Araújo",$B:$B,"&lt;&gt;Lorena Dias de Araujo",$B:$B,"&lt;&gt;Lucas Luiz Romero")*(10/1083),0)))))),0)</f>
        <v>19</v>
      </c>
      <c r="K1608" s="3">
        <f>I1608-J1608</f>
        <v>-6</v>
      </c>
      <c r="L1608" s="3" t="str">
        <f>IF(K1608&lt;-5,"CRÍTICO",IF(K1608&lt;0,"ATENÇÃO",IF(K1608&lt;=5,"BOM","EXCELENTE")))</f>
        <v>CRÍTICO</v>
      </c>
      <c r="M1608">
        <v>7</v>
      </c>
      <c r="N1608">
        <v>100</v>
      </c>
      <c r="O1608">
        <v>31.872509960159359</v>
      </c>
    </row>
    <row r="1609" spans="1:15" hidden="1" x14ac:dyDescent="0.25">
      <c r="A1609" s="11">
        <v>46050</v>
      </c>
      <c r="B1609" t="s">
        <v>46</v>
      </c>
      <c r="C1609" t="s">
        <v>32</v>
      </c>
      <c r="D1609">
        <v>30</v>
      </c>
      <c r="E1609">
        <v>30</v>
      </c>
      <c r="F1609">
        <v>17.190000000000001</v>
      </c>
      <c r="G1609">
        <v>0</v>
      </c>
      <c r="H1609">
        <v>0</v>
      </c>
      <c r="I1609" s="3">
        <f>E1609+G1609+H1609</f>
        <v>30</v>
      </c>
      <c r="J1609" s="3">
        <f>ROUND(MIN(IF(C1609="Técnico III",35,IF(C1609="Técnico II",28,IF(C1609="Técnico I",23,IF(C1609="JR",20,IF(C1609="Estágio",10,0))))),IF(C1609="Técnico III",SUMIFS($D:$D,$A:$A,$A1609,$B:$B,"&lt;&gt;Patrícia Karla de Sousa Araújo",$B:$B,"&lt;&gt;Lorena Dias de Araujo",$B:$B,"&lt;&gt;Lucas Luiz Romero")*(35/1083),IF(C1609="Técnico II",SUMIFS($D:$D,$A:$A,$A1609,$B:$B,"&lt;&gt;Patrícia Karla de Sousa Araújo",$B:$B,"&lt;&gt;Lorena Dias de Araujo",$B:$B,"&lt;&gt;Lucas Luiz Romero")*(28/1083),IF(C1609="Técnico I",SUMIFS($D:$D,$A:$A,$A1609,$B:$B,"&lt;&gt;Patrícia Karla de Sousa Araújo",$B:$B,"&lt;&gt;Lorena Dias de Araujo",$B:$B,"&lt;&gt;Lucas Luiz Romero")*(23/1083),IF(C1609="JR",SUMIFS($D:$D,$A:$A,$A1609,$B:$B,"&lt;&gt;Patrícia Karla de Sousa Araújo",$B:$B,"&lt;&gt;Lorena Dias de Araujo",$B:$B,"&lt;&gt;Lucas Luiz Romero")*(20/1083),IF(C1609="Estágio",SUMIFS($D:$D,$A:$A,$A1609,$B:$B,"&lt;&gt;Patrícia Karla de Sousa Araújo",$B:$B,"&lt;&gt;Lorena Dias de Araujo",$B:$B,"&lt;&gt;Lucas Luiz Romero")*(10/1083),0)))))),0)</f>
        <v>29</v>
      </c>
      <c r="K1609" s="3">
        <f>I1609-J1609</f>
        <v>1</v>
      </c>
      <c r="L1609" s="3" t="str">
        <f>IF(K1609&lt;-5,"CRÍTICO",IF(K1609&lt;0,"ATENÇÃO",IF(K1609&lt;=5,"BOM","EXCELENTE")))</f>
        <v>BOM</v>
      </c>
      <c r="M1609">
        <v>27</v>
      </c>
      <c r="N1609">
        <v>98.41</v>
      </c>
      <c r="O1609">
        <v>29.22465208747515</v>
      </c>
    </row>
    <row r="1610" spans="1:15" hidden="1" x14ac:dyDescent="0.25">
      <c r="A1610" s="11">
        <v>46051</v>
      </c>
      <c r="B1610" t="s">
        <v>47</v>
      </c>
      <c r="C1610" t="s">
        <v>48</v>
      </c>
      <c r="D1610">
        <v>26</v>
      </c>
      <c r="E1610">
        <v>22</v>
      </c>
      <c r="F1610">
        <v>15.41</v>
      </c>
      <c r="G1610">
        <v>0</v>
      </c>
      <c r="H1610">
        <v>0</v>
      </c>
      <c r="I1610" s="3">
        <f>E1610+G1610+H1610</f>
        <v>22</v>
      </c>
      <c r="J1610" s="3">
        <f>ROUND(MIN(IF(C1610="Técnico III",35,IF(C1610="Técnico II",28,IF(C1610="Técnico I",23,IF(C1610="JR",20,IF(C1610="Estágio",10,0))))),IF(C1610="Técnico III",SUMIFS($D:$D,$A:$A,$A1610,$B:$B,"&lt;&gt;Patrícia Karla de Sousa Araújo",$B:$B,"&lt;&gt;Lorena Dias de Araujo",$B:$B,"&lt;&gt;Lucas Luiz Romero")*(35/1083),IF(C1610="Técnico II",SUMIFS($D:$D,$A:$A,$A1610,$B:$B,"&lt;&gt;Patrícia Karla de Sousa Araújo",$B:$B,"&lt;&gt;Lorena Dias de Araujo",$B:$B,"&lt;&gt;Lucas Luiz Romero")*(28/1083),IF(C1610="Técnico I",SUMIFS($D:$D,$A:$A,$A1610,$B:$B,"&lt;&gt;Patrícia Karla de Sousa Araújo",$B:$B,"&lt;&gt;Lorena Dias de Araujo",$B:$B,"&lt;&gt;Lucas Luiz Romero")*(23/1083),IF(C1610="JR",SUMIFS($D:$D,$A:$A,$A1610,$B:$B,"&lt;&gt;Patrícia Karla de Sousa Araújo",$B:$B,"&lt;&gt;Lorena Dias de Araujo",$B:$B,"&lt;&gt;Lucas Luiz Romero")*(20/1083),IF(C1610="Estágio",SUMIFS($D:$D,$A:$A,$A1610,$B:$B,"&lt;&gt;Patrícia Karla de Sousa Araújo",$B:$B,"&lt;&gt;Lorena Dias de Araujo",$B:$B,"&lt;&gt;Lucas Luiz Romero")*(10/1083),0)))))),0)</f>
        <v>22</v>
      </c>
      <c r="K1610" s="3">
        <f>I1610-J1610</f>
        <v>0</v>
      </c>
      <c r="L1610" s="3" t="str">
        <f>IF(K1610&lt;-5,"CRÍTICO",IF(K1610&lt;0,"ATENÇÃO",IF(K1610&lt;=5,"BOM","EXCELENTE")))</f>
        <v>BOM</v>
      </c>
      <c r="M1610">
        <v>21</v>
      </c>
      <c r="N1610">
        <v>96.81</v>
      </c>
      <c r="O1610">
        <v>27.980535279805348</v>
      </c>
    </row>
    <row r="1611" spans="1:15" hidden="1" x14ac:dyDescent="0.25">
      <c r="A1611" s="11">
        <v>46051</v>
      </c>
      <c r="B1611" t="s">
        <v>31</v>
      </c>
      <c r="C1611" t="s">
        <v>32</v>
      </c>
      <c r="D1611">
        <v>0</v>
      </c>
      <c r="E1611">
        <v>0</v>
      </c>
      <c r="F1611">
        <v>0</v>
      </c>
      <c r="G1611">
        <v>0</v>
      </c>
      <c r="H1611">
        <v>0</v>
      </c>
      <c r="I1611" s="3">
        <v>0</v>
      </c>
      <c r="J1611" s="3">
        <v>0</v>
      </c>
      <c r="K1611" s="3">
        <v>0</v>
      </c>
      <c r="L1611" s="3" t="str">
        <f>IF(K1611&lt;-5,"CRÍTICO",IF(K1611&lt;0,"ATENÇÃO",IF(K1611&lt;=5,"BOM","EXCELENTE")))</f>
        <v>BOM</v>
      </c>
      <c r="M1611">
        <v>28</v>
      </c>
      <c r="N1611">
        <v>98.73</v>
      </c>
      <c r="O1611">
        <v>35.756385068762278</v>
      </c>
    </row>
    <row r="1612" spans="1:15" hidden="1" x14ac:dyDescent="0.25">
      <c r="A1612" s="11">
        <v>46051</v>
      </c>
      <c r="B1612" t="s">
        <v>59</v>
      </c>
      <c r="C1612" t="s">
        <v>23</v>
      </c>
      <c r="D1612">
        <v>33</v>
      </c>
      <c r="E1612">
        <v>28</v>
      </c>
      <c r="F1612">
        <v>15.09</v>
      </c>
      <c r="G1612">
        <v>0</v>
      </c>
      <c r="H1612">
        <v>0</v>
      </c>
      <c r="I1612" s="3">
        <f>E1612+G1612+H1612</f>
        <v>28</v>
      </c>
      <c r="J1612" s="3">
        <f>ROUND(MIN(IF(C1612="Técnico III",35,IF(C1612="Técnico II",28,IF(C1612="Técnico I",23,IF(C1612="JR",20,IF(C1612="Estágio",10,0))))),IF(C1612="Técnico III",SUMIFS($D:$D,$A:$A,$A1612,$B:$B,"&lt;&gt;Patrícia Karla de Sousa Araújo",$B:$B,"&lt;&gt;Lorena Dias de Araujo",$B:$B,"&lt;&gt;Lucas Luiz Romero")*(35/1083),IF(C1612="Técnico II",SUMIFS($D:$D,$A:$A,$A1612,$B:$B,"&lt;&gt;Patrícia Karla de Sousa Araújo",$B:$B,"&lt;&gt;Lorena Dias de Araujo",$B:$B,"&lt;&gt;Lucas Luiz Romero")*(28/1083),IF(C1612="Técnico I",SUMIFS($D:$D,$A:$A,$A1612,$B:$B,"&lt;&gt;Patrícia Karla de Sousa Araújo",$B:$B,"&lt;&gt;Lorena Dias de Araujo",$B:$B,"&lt;&gt;Lucas Luiz Romero")*(23/1083),IF(C1612="JR",SUMIFS($D:$D,$A:$A,$A1612,$B:$B,"&lt;&gt;Patrícia Karla de Sousa Araújo",$B:$B,"&lt;&gt;Lorena Dias de Araujo",$B:$B,"&lt;&gt;Lucas Luiz Romero")*(20/1083),IF(C1612="Estágio",SUMIFS($D:$D,$A:$A,$A1612,$B:$B,"&lt;&gt;Patrícia Karla de Sousa Araújo",$B:$B,"&lt;&gt;Lorena Dias de Araujo",$B:$B,"&lt;&gt;Lucas Luiz Romero")*(10/1083),0)))))),0)</f>
        <v>18</v>
      </c>
      <c r="K1612" s="3">
        <f>I1612-J1612</f>
        <v>10</v>
      </c>
      <c r="L1612" s="3" t="str">
        <f>IF(K1612&lt;-5,"CRÍTICO",IF(K1612&lt;0,"ATENÇÃO",IF(K1612&lt;=5,"BOM","EXCELENTE")))</f>
        <v>EXCELENTE</v>
      </c>
      <c r="M1612">
        <v>29</v>
      </c>
      <c r="N1612">
        <v>98.32</v>
      </c>
      <c r="O1612">
        <v>26.763485477178421</v>
      </c>
    </row>
    <row r="1613" spans="1:15" hidden="1" x14ac:dyDescent="0.25">
      <c r="A1613" s="11">
        <v>46051</v>
      </c>
      <c r="B1613" t="s">
        <v>33</v>
      </c>
      <c r="C1613" t="s">
        <v>32</v>
      </c>
      <c r="D1613">
        <v>32</v>
      </c>
      <c r="E1613">
        <v>27</v>
      </c>
      <c r="F1613">
        <v>17.059999999999999</v>
      </c>
      <c r="G1613">
        <v>0</v>
      </c>
      <c r="H1613">
        <v>0</v>
      </c>
      <c r="I1613" s="3">
        <f>E1613+G1613+H1613</f>
        <v>27</v>
      </c>
      <c r="J1613" s="3">
        <f>ROUND(MIN(IF(C1613="Técnico III",35,IF(C1613="Técnico II",28,IF(C1613="Técnico I",23,IF(C1613="JR",20,IF(C1613="Estágio",10,0))))),IF(C1613="Técnico III",SUMIFS($D:$D,$A:$A,$A1613,$B:$B,"&lt;&gt;Patrícia Karla de Sousa Araújo",$B:$B,"&lt;&gt;Lorena Dias de Araujo",$B:$B,"&lt;&gt;Lucas Luiz Romero")*(35/1083),IF(C1613="Técnico II",SUMIFS($D:$D,$A:$A,$A1613,$B:$B,"&lt;&gt;Patrícia Karla de Sousa Araújo",$B:$B,"&lt;&gt;Lorena Dias de Araujo",$B:$B,"&lt;&gt;Lucas Luiz Romero")*(28/1083),IF(C1613="Técnico I",SUMIFS($D:$D,$A:$A,$A1613,$B:$B,"&lt;&gt;Patrícia Karla de Sousa Araújo",$B:$B,"&lt;&gt;Lorena Dias de Araujo",$B:$B,"&lt;&gt;Lucas Luiz Romero")*(23/1083),IF(C1613="JR",SUMIFS($D:$D,$A:$A,$A1613,$B:$B,"&lt;&gt;Patrícia Karla de Sousa Araújo",$B:$B,"&lt;&gt;Lorena Dias de Araujo",$B:$B,"&lt;&gt;Lucas Luiz Romero")*(20/1083),IF(C1613="Estágio",SUMIFS($D:$D,$A:$A,$A1613,$B:$B,"&lt;&gt;Patrícia Karla de Sousa Araújo",$B:$B,"&lt;&gt;Lorena Dias de Araujo",$B:$B,"&lt;&gt;Lucas Luiz Romero")*(10/1083),0)))))),0)</f>
        <v>28</v>
      </c>
      <c r="K1613" s="3">
        <f>I1613-J1613</f>
        <v>-1</v>
      </c>
      <c r="L1613" s="3" t="str">
        <f>IF(K1613&lt;-5,"CRÍTICO",IF(K1613&lt;0,"ATENÇÃO",IF(K1613&lt;=5,"BOM","EXCELENTE")))</f>
        <v>ATENÇÃO</v>
      </c>
      <c r="M1613">
        <v>21</v>
      </c>
      <c r="N1613">
        <v>99.19</v>
      </c>
      <c r="O1613">
        <v>27.637130801687761</v>
      </c>
    </row>
    <row r="1614" spans="1:15" hidden="1" x14ac:dyDescent="0.25">
      <c r="A1614" s="11">
        <v>46051</v>
      </c>
      <c r="B1614" t="s">
        <v>15</v>
      </c>
      <c r="C1614" t="s">
        <v>16</v>
      </c>
      <c r="D1614">
        <v>11</v>
      </c>
      <c r="E1614">
        <v>10</v>
      </c>
      <c r="F1614">
        <v>29.13</v>
      </c>
      <c r="G1614">
        <v>0</v>
      </c>
      <c r="H1614">
        <v>0</v>
      </c>
      <c r="I1614" s="3">
        <f>E1614+G1614+H1614</f>
        <v>10</v>
      </c>
      <c r="J1614" s="3">
        <f>ROUND(MIN(IF(C1614="Técnico III",35,IF(C1614="Técnico II",28,IF(C1614="Técnico I",23,IF(C1614="JR",20,IF(C1614="Estágio",10,0))))),IF(C1614="Técnico III",SUMIFS($D:$D,$A:$A,$A1614,$B:$B,"&lt;&gt;Patrícia Karla de Sousa Araújo",$B:$B,"&lt;&gt;Lorena Dias de Araujo",$B:$B,"&lt;&gt;Lucas Luiz Romero")*(35/1083),IF(C1614="Técnico II",SUMIFS($D:$D,$A:$A,$A1614,$B:$B,"&lt;&gt;Patrícia Karla de Sousa Araújo",$B:$B,"&lt;&gt;Lorena Dias de Araujo",$B:$B,"&lt;&gt;Lucas Luiz Romero")*(28/1083),IF(C1614="Técnico I",SUMIFS($D:$D,$A:$A,$A1614,$B:$B,"&lt;&gt;Patrícia Karla de Sousa Araújo",$B:$B,"&lt;&gt;Lorena Dias de Araujo",$B:$B,"&lt;&gt;Lucas Luiz Romero")*(23/1083),IF(C1614="JR",SUMIFS($D:$D,$A:$A,$A1614,$B:$B,"&lt;&gt;Patrícia Karla de Sousa Araújo",$B:$B,"&lt;&gt;Lorena Dias de Araujo",$B:$B,"&lt;&gt;Lucas Luiz Romero")*(20/1083),IF(C1614="Estágio",SUMIFS($D:$D,$A:$A,$A1614,$B:$B,"&lt;&gt;Patrícia Karla de Sousa Araújo",$B:$B,"&lt;&gt;Lorena Dias de Araujo",$B:$B,"&lt;&gt;Lucas Luiz Romero")*(10/1083),0)))))),0)</f>
        <v>8</v>
      </c>
      <c r="K1614" s="3">
        <f>I1614-J1614</f>
        <v>2</v>
      </c>
      <c r="L1614" s="3" t="str">
        <f>IF(K1614&lt;-5,"CRÍTICO",IF(K1614&lt;0,"ATENÇÃO",IF(K1614&lt;=5,"BOM","EXCELENTE")))</f>
        <v>BOM</v>
      </c>
      <c r="M1614">
        <v>8</v>
      </c>
      <c r="N1614">
        <v>100</v>
      </c>
      <c r="O1614">
        <v>39.568345323741013</v>
      </c>
    </row>
    <row r="1615" spans="1:15" hidden="1" x14ac:dyDescent="0.25">
      <c r="A1615" s="11">
        <v>46051</v>
      </c>
      <c r="B1615" t="s">
        <v>49</v>
      </c>
      <c r="C1615" t="s">
        <v>48</v>
      </c>
      <c r="D1615">
        <v>33</v>
      </c>
      <c r="E1615">
        <v>28</v>
      </c>
      <c r="F1615">
        <v>13.55</v>
      </c>
      <c r="G1615">
        <v>0</v>
      </c>
      <c r="H1615">
        <v>0</v>
      </c>
      <c r="I1615" s="3">
        <f>E1615+G1615+H1615</f>
        <v>28</v>
      </c>
      <c r="J1615" s="3">
        <f>ROUND(MIN(IF(C1615="Técnico III",35,IF(C1615="Técnico II",28,IF(C1615="Técnico I",23,IF(C1615="JR",20,IF(C1615="Estágio",10,0))))),IF(C1615="Técnico III",SUMIFS($D:$D,$A:$A,$A1615,$B:$B,"&lt;&gt;Patrícia Karla de Sousa Araújo",$B:$B,"&lt;&gt;Lorena Dias de Araujo",$B:$B,"&lt;&gt;Lucas Luiz Romero")*(35/1083),IF(C1615="Técnico II",SUMIFS($D:$D,$A:$A,$A1615,$B:$B,"&lt;&gt;Patrícia Karla de Sousa Araújo",$B:$B,"&lt;&gt;Lorena Dias de Araujo",$B:$B,"&lt;&gt;Lucas Luiz Romero")*(28/1083),IF(C1615="Técnico I",SUMIFS($D:$D,$A:$A,$A1615,$B:$B,"&lt;&gt;Patrícia Karla de Sousa Araújo",$B:$B,"&lt;&gt;Lorena Dias de Araujo",$B:$B,"&lt;&gt;Lucas Luiz Romero")*(23/1083),IF(C1615="JR",SUMIFS($D:$D,$A:$A,$A1615,$B:$B,"&lt;&gt;Patrícia Karla de Sousa Araújo",$B:$B,"&lt;&gt;Lorena Dias de Araujo",$B:$B,"&lt;&gt;Lucas Luiz Romero")*(20/1083),IF(C1615="Estágio",SUMIFS($D:$D,$A:$A,$A1615,$B:$B,"&lt;&gt;Patrícia Karla de Sousa Araújo",$B:$B,"&lt;&gt;Lorena Dias de Araujo",$B:$B,"&lt;&gt;Lucas Luiz Romero")*(10/1083),0)))))),0)</f>
        <v>22</v>
      </c>
      <c r="K1615" s="3">
        <f>I1615-J1615</f>
        <v>6</v>
      </c>
      <c r="L1615" s="3" t="str">
        <f>IF(K1615&lt;-5,"CRÍTICO",IF(K1615&lt;0,"ATENÇÃO",IF(K1615&lt;=5,"BOM","EXCELENTE")))</f>
        <v>EXCELENTE</v>
      </c>
      <c r="M1615">
        <v>30</v>
      </c>
      <c r="N1615">
        <v>98.54</v>
      </c>
      <c r="O1615">
        <v>28.544776119402989</v>
      </c>
    </row>
    <row r="1616" spans="1:15" hidden="1" x14ac:dyDescent="0.25">
      <c r="A1616" s="11">
        <v>46051</v>
      </c>
      <c r="B1616" t="s">
        <v>50</v>
      </c>
      <c r="C1616" t="s">
        <v>48</v>
      </c>
      <c r="D1616">
        <v>32</v>
      </c>
      <c r="E1616">
        <v>29</v>
      </c>
      <c r="F1616">
        <v>18.489999999999998</v>
      </c>
      <c r="G1616">
        <v>0</v>
      </c>
      <c r="H1616">
        <v>0</v>
      </c>
      <c r="I1616" s="3">
        <f>E1616+G1616+H1616</f>
        <v>29</v>
      </c>
      <c r="J1616" s="3">
        <f>ROUND(MIN(IF(C1616="Técnico III",35,IF(C1616="Técnico II",28,IF(C1616="Técnico I",23,IF(C1616="JR",20,IF(C1616="Estágio",10,0))))),IF(C1616="Técnico III",SUMIFS($D:$D,$A:$A,$A1616,$B:$B,"&lt;&gt;Patrícia Karla de Sousa Araújo",$B:$B,"&lt;&gt;Lorena Dias de Araujo",$B:$B,"&lt;&gt;Lucas Luiz Romero")*(35/1083),IF(C1616="Técnico II",SUMIFS($D:$D,$A:$A,$A1616,$B:$B,"&lt;&gt;Patrícia Karla de Sousa Araújo",$B:$B,"&lt;&gt;Lorena Dias de Araujo",$B:$B,"&lt;&gt;Lucas Luiz Romero")*(28/1083),IF(C1616="Técnico I",SUMIFS($D:$D,$A:$A,$A1616,$B:$B,"&lt;&gt;Patrícia Karla de Sousa Araújo",$B:$B,"&lt;&gt;Lorena Dias de Araujo",$B:$B,"&lt;&gt;Lucas Luiz Romero")*(23/1083),IF(C1616="JR",SUMIFS($D:$D,$A:$A,$A1616,$B:$B,"&lt;&gt;Patrícia Karla de Sousa Araújo",$B:$B,"&lt;&gt;Lorena Dias de Araujo",$B:$B,"&lt;&gt;Lucas Luiz Romero")*(20/1083),IF(C1616="Estágio",SUMIFS($D:$D,$A:$A,$A1616,$B:$B,"&lt;&gt;Patrícia Karla de Sousa Araújo",$B:$B,"&lt;&gt;Lorena Dias de Araujo",$B:$B,"&lt;&gt;Lucas Luiz Romero")*(10/1083),0)))))),0)</f>
        <v>22</v>
      </c>
      <c r="K1616" s="3">
        <f>I1616-J1616</f>
        <v>7</v>
      </c>
      <c r="L1616" s="3" t="str">
        <f>IF(K1616&lt;-5,"CRÍTICO",IF(K1616&lt;0,"ATENÇÃO",IF(K1616&lt;=5,"BOM","EXCELENTE")))</f>
        <v>EXCELENTE</v>
      </c>
      <c r="M1616">
        <v>27</v>
      </c>
      <c r="N1616">
        <v>100</v>
      </c>
      <c r="O1616">
        <v>34.366925064599492</v>
      </c>
    </row>
    <row r="1617" spans="1:15" hidden="1" x14ac:dyDescent="0.25">
      <c r="A1617" s="11">
        <v>46051</v>
      </c>
      <c r="B1617" t="s">
        <v>17</v>
      </c>
      <c r="C1617" t="s">
        <v>16</v>
      </c>
      <c r="D1617">
        <v>0</v>
      </c>
      <c r="E1617">
        <v>0</v>
      </c>
      <c r="F1617">
        <v>0</v>
      </c>
      <c r="G1617">
        <v>0</v>
      </c>
      <c r="H1617">
        <v>0</v>
      </c>
      <c r="I1617" s="3">
        <v>0</v>
      </c>
      <c r="J1617" s="3">
        <v>0</v>
      </c>
      <c r="K1617" s="3">
        <v>0</v>
      </c>
      <c r="L1617" s="3" t="str">
        <f>IF(K1617&lt;-5,"CRÍTICO",IF(K1617&lt;0,"ATENÇÃO",IF(K1617&lt;=5,"BOM","EXCELENTE")))</f>
        <v>BOM</v>
      </c>
      <c r="M1617">
        <v>0</v>
      </c>
      <c r="N1617">
        <v>0</v>
      </c>
      <c r="O1617">
        <v>0</v>
      </c>
    </row>
    <row r="1618" spans="1:15" hidden="1" x14ac:dyDescent="0.25">
      <c r="A1618" s="11">
        <v>46051</v>
      </c>
      <c r="B1618" t="s">
        <v>60</v>
      </c>
      <c r="C1618" t="s">
        <v>23</v>
      </c>
      <c r="D1618">
        <v>15</v>
      </c>
      <c r="E1618">
        <v>14</v>
      </c>
      <c r="F1618">
        <v>40.43</v>
      </c>
      <c r="G1618">
        <v>0</v>
      </c>
      <c r="H1618">
        <v>0</v>
      </c>
      <c r="I1618" s="3">
        <f>E1618+G1618+H1618</f>
        <v>14</v>
      </c>
      <c r="J1618" s="3">
        <f>ROUND(MIN(IF(C1618="Técnico III",35,IF(C1618="Técnico II",28,IF(C1618="Técnico I",23,IF(C1618="JR",20,IF(C1618="Estágio",10,0))))),IF(C1618="Técnico III",SUMIFS($D:$D,$A:$A,$A1618,$B:$B,"&lt;&gt;Patrícia Karla de Sousa Araújo",$B:$B,"&lt;&gt;Lorena Dias de Araujo",$B:$B,"&lt;&gt;Lucas Luiz Romero")*(35/1083),IF(C1618="Técnico II",SUMIFS($D:$D,$A:$A,$A1618,$B:$B,"&lt;&gt;Patrícia Karla de Sousa Araújo",$B:$B,"&lt;&gt;Lorena Dias de Araujo",$B:$B,"&lt;&gt;Lucas Luiz Romero")*(28/1083),IF(C1618="Técnico I",SUMIFS($D:$D,$A:$A,$A1618,$B:$B,"&lt;&gt;Patrícia Karla de Sousa Araújo",$B:$B,"&lt;&gt;Lorena Dias de Araujo",$B:$B,"&lt;&gt;Lucas Luiz Romero")*(23/1083),IF(C1618="JR",SUMIFS($D:$D,$A:$A,$A1618,$B:$B,"&lt;&gt;Patrícia Karla de Sousa Araújo",$B:$B,"&lt;&gt;Lorena Dias de Araujo",$B:$B,"&lt;&gt;Lucas Luiz Romero")*(20/1083),IF(C1618="Estágio",SUMIFS($D:$D,$A:$A,$A1618,$B:$B,"&lt;&gt;Patrícia Karla de Sousa Araújo",$B:$B,"&lt;&gt;Lorena Dias de Araujo",$B:$B,"&lt;&gt;Lucas Luiz Romero")*(10/1083),0)))))),0)</f>
        <v>18</v>
      </c>
      <c r="K1618" s="3">
        <f>I1618-J1618</f>
        <v>-4</v>
      </c>
      <c r="L1618" s="3" t="str">
        <f>IF(K1618&lt;-5,"CRÍTICO",IF(K1618&lt;0,"ATENÇÃO",IF(K1618&lt;=5,"BOM","EXCELENTE")))</f>
        <v>ATENÇÃO</v>
      </c>
      <c r="M1618">
        <v>12</v>
      </c>
      <c r="N1618">
        <v>100</v>
      </c>
      <c r="O1618">
        <v>29.518072289156631</v>
      </c>
    </row>
    <row r="1619" spans="1:15" hidden="1" x14ac:dyDescent="0.25">
      <c r="A1619" s="11">
        <v>46051</v>
      </c>
      <c r="B1619" t="s">
        <v>34</v>
      </c>
      <c r="C1619" t="s">
        <v>32</v>
      </c>
      <c r="D1619">
        <v>38</v>
      </c>
      <c r="E1619">
        <v>31</v>
      </c>
      <c r="F1619">
        <v>12.01</v>
      </c>
      <c r="G1619">
        <v>0</v>
      </c>
      <c r="H1619">
        <v>0</v>
      </c>
      <c r="I1619" s="3">
        <f>E1619+G1619+H1619</f>
        <v>31</v>
      </c>
      <c r="J1619" s="3">
        <f>ROUND(MIN(IF(C1619="Técnico III",35,IF(C1619="Técnico II",28,IF(C1619="Técnico I",23,IF(C1619="JR",20,IF(C1619="Estágio",10,0))))),IF(C1619="Técnico III",SUMIFS($D:$D,$A:$A,$A1619,$B:$B,"&lt;&gt;Patrícia Karla de Sousa Araújo",$B:$B,"&lt;&gt;Lorena Dias de Araujo",$B:$B,"&lt;&gt;Lucas Luiz Romero")*(35/1083),IF(C1619="Técnico II",SUMIFS($D:$D,$A:$A,$A1619,$B:$B,"&lt;&gt;Patrícia Karla de Sousa Araújo",$B:$B,"&lt;&gt;Lorena Dias de Araujo",$B:$B,"&lt;&gt;Lucas Luiz Romero")*(28/1083),IF(C1619="Técnico I",SUMIFS($D:$D,$A:$A,$A1619,$B:$B,"&lt;&gt;Patrícia Karla de Sousa Araújo",$B:$B,"&lt;&gt;Lorena Dias de Araujo",$B:$B,"&lt;&gt;Lucas Luiz Romero")*(23/1083),IF(C1619="JR",SUMIFS($D:$D,$A:$A,$A1619,$B:$B,"&lt;&gt;Patrícia Karla de Sousa Araújo",$B:$B,"&lt;&gt;Lorena Dias de Araujo",$B:$B,"&lt;&gt;Lucas Luiz Romero")*(20/1083),IF(C1619="Estágio",SUMIFS($D:$D,$A:$A,$A1619,$B:$B,"&lt;&gt;Patrícia Karla de Sousa Araújo",$B:$B,"&lt;&gt;Lorena Dias de Araujo",$B:$B,"&lt;&gt;Lucas Luiz Romero")*(10/1083),0)))))),0)</f>
        <v>28</v>
      </c>
      <c r="K1619" s="3">
        <f>I1619-J1619</f>
        <v>3</v>
      </c>
      <c r="L1619" s="3" t="str">
        <f>IF(K1619&lt;-5,"CRÍTICO",IF(K1619&lt;0,"ATENÇÃO",IF(K1619&lt;=5,"BOM","EXCELENTE")))</f>
        <v>BOM</v>
      </c>
      <c r="M1619">
        <v>25</v>
      </c>
      <c r="N1619">
        <v>97.45</v>
      </c>
      <c r="O1619">
        <v>41.421143847487002</v>
      </c>
    </row>
    <row r="1620" spans="1:15" hidden="1" x14ac:dyDescent="0.25">
      <c r="A1620" s="11">
        <v>46051</v>
      </c>
      <c r="B1620" t="s">
        <v>51</v>
      </c>
      <c r="C1620" t="s">
        <v>48</v>
      </c>
      <c r="D1620">
        <v>40</v>
      </c>
      <c r="E1620">
        <v>33</v>
      </c>
      <c r="F1620">
        <v>13.31</v>
      </c>
      <c r="G1620">
        <v>0</v>
      </c>
      <c r="H1620">
        <v>0</v>
      </c>
      <c r="I1620" s="3">
        <v>0</v>
      </c>
      <c r="J1620" s="3">
        <v>0</v>
      </c>
      <c r="K1620" s="3">
        <v>0</v>
      </c>
      <c r="L1620" s="3" t="str">
        <f>IF(K1620&lt;-5,"CRÍTICO",IF(K1620&lt;0,"ATENÇÃO",IF(K1620&lt;=5,"BOM","EXCELENTE")))</f>
        <v>BOM</v>
      </c>
      <c r="M1620">
        <v>28</v>
      </c>
      <c r="N1620">
        <v>96.58</v>
      </c>
      <c r="O1620">
        <v>30.396475770925111</v>
      </c>
    </row>
    <row r="1621" spans="1:15" hidden="1" x14ac:dyDescent="0.25">
      <c r="A1621" s="11">
        <v>46051</v>
      </c>
      <c r="B1621" t="s">
        <v>61</v>
      </c>
      <c r="C1621" t="s">
        <v>23</v>
      </c>
      <c r="D1621">
        <v>22</v>
      </c>
      <c r="E1621">
        <v>21</v>
      </c>
      <c r="F1621">
        <v>20.190000000000001</v>
      </c>
      <c r="G1621">
        <v>0</v>
      </c>
      <c r="H1621">
        <v>0</v>
      </c>
      <c r="I1621" s="3">
        <f>E1621+G1621+H1621</f>
        <v>21</v>
      </c>
      <c r="J1621" s="3">
        <f>ROUND(MIN(IF(C1621="Técnico III",35,IF(C1621="Técnico II",28,IF(C1621="Técnico I",23,IF(C1621="JR",20,IF(C1621="Estágio",10,0))))),IF(C1621="Técnico III",SUMIFS($D:$D,$A:$A,$A1621,$B:$B,"&lt;&gt;Patrícia Karla de Sousa Araújo",$B:$B,"&lt;&gt;Lorena Dias de Araujo",$B:$B,"&lt;&gt;Lucas Luiz Romero")*(35/1083),IF(C1621="Técnico II",SUMIFS($D:$D,$A:$A,$A1621,$B:$B,"&lt;&gt;Patrícia Karla de Sousa Araújo",$B:$B,"&lt;&gt;Lorena Dias de Araujo",$B:$B,"&lt;&gt;Lucas Luiz Romero")*(28/1083),IF(C1621="Técnico I",SUMIFS($D:$D,$A:$A,$A1621,$B:$B,"&lt;&gt;Patrícia Karla de Sousa Araújo",$B:$B,"&lt;&gt;Lorena Dias de Araujo",$B:$B,"&lt;&gt;Lucas Luiz Romero")*(23/1083),IF(C1621="JR",SUMIFS($D:$D,$A:$A,$A1621,$B:$B,"&lt;&gt;Patrícia Karla de Sousa Araújo",$B:$B,"&lt;&gt;Lorena Dias de Araujo",$B:$B,"&lt;&gt;Lucas Luiz Romero")*(20/1083),IF(C1621="Estágio",SUMIFS($D:$D,$A:$A,$A1621,$B:$B,"&lt;&gt;Patrícia Karla de Sousa Araújo",$B:$B,"&lt;&gt;Lorena Dias de Araujo",$B:$B,"&lt;&gt;Lucas Luiz Romero")*(10/1083),0)))))),0)</f>
        <v>18</v>
      </c>
      <c r="K1621" s="3">
        <f>I1621-J1621</f>
        <v>3</v>
      </c>
      <c r="L1621" s="3" t="str">
        <f>IF(K1621&lt;-5,"CRÍTICO",IF(K1621&lt;0,"ATENÇÃO",IF(K1621&lt;=5,"BOM","EXCELENTE")))</f>
        <v>BOM</v>
      </c>
      <c r="M1621">
        <v>22</v>
      </c>
      <c r="N1621">
        <v>100</v>
      </c>
      <c r="O1621">
        <v>27.44282744282744</v>
      </c>
    </row>
    <row r="1622" spans="1:15" hidden="1" x14ac:dyDescent="0.25">
      <c r="A1622" s="11">
        <v>46051</v>
      </c>
      <c r="B1622" t="s">
        <v>35</v>
      </c>
      <c r="C1622" t="s">
        <v>32</v>
      </c>
      <c r="D1622">
        <v>33</v>
      </c>
      <c r="E1622">
        <v>31</v>
      </c>
      <c r="F1622">
        <v>20.03</v>
      </c>
      <c r="G1622">
        <v>0</v>
      </c>
      <c r="H1622">
        <v>0</v>
      </c>
      <c r="I1622" s="3">
        <v>0</v>
      </c>
      <c r="J1622" s="3">
        <v>0</v>
      </c>
      <c r="K1622" s="3">
        <v>0</v>
      </c>
      <c r="L1622" s="3" t="str">
        <f>IF(K1622&lt;-5,"CRÍTICO",IF(K1622&lt;0,"ATENÇÃO",IF(K1622&lt;=5,"BOM","EXCELENTE")))</f>
        <v>BOM</v>
      </c>
      <c r="M1622">
        <v>31</v>
      </c>
      <c r="N1622">
        <v>99.49</v>
      </c>
      <c r="O1622">
        <v>40.200000000000003</v>
      </c>
    </row>
    <row r="1623" spans="1:15" hidden="1" x14ac:dyDescent="0.25">
      <c r="A1623" s="11">
        <v>46051</v>
      </c>
      <c r="B1623" t="s">
        <v>18</v>
      </c>
      <c r="C1623" t="s">
        <v>16</v>
      </c>
      <c r="D1623">
        <v>5</v>
      </c>
      <c r="E1623">
        <v>4</v>
      </c>
      <c r="F1623">
        <v>32.18</v>
      </c>
      <c r="G1623">
        <v>0</v>
      </c>
      <c r="H1623">
        <v>0</v>
      </c>
      <c r="I1623" s="3">
        <f>E1623+G1623+H1623</f>
        <v>4</v>
      </c>
      <c r="J1623" s="3">
        <f>ROUND(MIN(IF(C1623="Técnico III",35,IF(C1623="Técnico II",28,IF(C1623="Técnico I",23,IF(C1623="JR",20,IF(C1623="Estágio",10,0))))),IF(C1623="Técnico III",SUMIFS($D:$D,$A:$A,$A1623,$B:$B,"&lt;&gt;Patrícia Karla de Sousa Araújo",$B:$B,"&lt;&gt;Lorena Dias de Araujo",$B:$B,"&lt;&gt;Lucas Luiz Romero")*(35/1083),IF(C1623="Técnico II",SUMIFS($D:$D,$A:$A,$A1623,$B:$B,"&lt;&gt;Patrícia Karla de Sousa Araújo",$B:$B,"&lt;&gt;Lorena Dias de Araujo",$B:$B,"&lt;&gt;Lucas Luiz Romero")*(28/1083),IF(C1623="Técnico I",SUMIFS($D:$D,$A:$A,$A1623,$B:$B,"&lt;&gt;Patrícia Karla de Sousa Araújo",$B:$B,"&lt;&gt;Lorena Dias de Araujo",$B:$B,"&lt;&gt;Lucas Luiz Romero")*(23/1083),IF(C1623="JR",SUMIFS($D:$D,$A:$A,$A1623,$B:$B,"&lt;&gt;Patrícia Karla de Sousa Araújo",$B:$B,"&lt;&gt;Lorena Dias de Araujo",$B:$B,"&lt;&gt;Lucas Luiz Romero")*(20/1083),IF(C1623="Estágio",SUMIFS($D:$D,$A:$A,$A1623,$B:$B,"&lt;&gt;Patrícia Karla de Sousa Araújo",$B:$B,"&lt;&gt;Lorena Dias de Araujo",$B:$B,"&lt;&gt;Lucas Luiz Romero")*(10/1083),0)))))),0)</f>
        <v>8</v>
      </c>
      <c r="K1623" s="3">
        <f>I1623-J1623</f>
        <v>-4</v>
      </c>
      <c r="L1623" s="3" t="str">
        <f>IF(K1623&lt;-5,"CRÍTICO",IF(K1623&lt;0,"ATENÇÃO",IF(K1623&lt;=5,"BOM","EXCELENTE")))</f>
        <v>ATENÇÃO</v>
      </c>
      <c r="M1623">
        <v>2</v>
      </c>
      <c r="N1623">
        <v>100</v>
      </c>
      <c r="O1623">
        <v>25</v>
      </c>
    </row>
    <row r="1624" spans="1:15" hidden="1" x14ac:dyDescent="0.25">
      <c r="A1624" s="11">
        <v>46051</v>
      </c>
      <c r="B1624" t="s">
        <v>52</v>
      </c>
      <c r="C1624" t="s">
        <v>48</v>
      </c>
      <c r="D1624">
        <v>26</v>
      </c>
      <c r="E1624">
        <v>23</v>
      </c>
      <c r="F1624">
        <v>18.350000000000001</v>
      </c>
      <c r="G1624">
        <v>0</v>
      </c>
      <c r="H1624">
        <v>0</v>
      </c>
      <c r="I1624" s="3">
        <f>E1624+G1624+H1624</f>
        <v>23</v>
      </c>
      <c r="J1624" s="3">
        <f>ROUND(MIN(IF(C1624="Técnico III",35,IF(C1624="Técnico II",28,IF(C1624="Técnico I",23,IF(C1624="JR",20,IF(C1624="Estágio",10,0))))),IF(C1624="Técnico III",SUMIFS($D:$D,$A:$A,$A1624,$B:$B,"&lt;&gt;Patrícia Karla de Sousa Araújo",$B:$B,"&lt;&gt;Lorena Dias de Araujo",$B:$B,"&lt;&gt;Lucas Luiz Romero")*(35/1083),IF(C1624="Técnico II",SUMIFS($D:$D,$A:$A,$A1624,$B:$B,"&lt;&gt;Patrícia Karla de Sousa Araújo",$B:$B,"&lt;&gt;Lorena Dias de Araujo",$B:$B,"&lt;&gt;Lucas Luiz Romero")*(28/1083),IF(C1624="Técnico I",SUMIFS($D:$D,$A:$A,$A1624,$B:$B,"&lt;&gt;Patrícia Karla de Sousa Araújo",$B:$B,"&lt;&gt;Lorena Dias de Araujo",$B:$B,"&lt;&gt;Lucas Luiz Romero")*(23/1083),IF(C1624="JR",SUMIFS($D:$D,$A:$A,$A1624,$B:$B,"&lt;&gt;Patrícia Karla de Sousa Araújo",$B:$B,"&lt;&gt;Lorena Dias de Araujo",$B:$B,"&lt;&gt;Lucas Luiz Romero")*(20/1083),IF(C1624="Estágio",SUMIFS($D:$D,$A:$A,$A1624,$B:$B,"&lt;&gt;Patrícia Karla de Sousa Araújo",$B:$B,"&lt;&gt;Lorena Dias de Araujo",$B:$B,"&lt;&gt;Lucas Luiz Romero")*(10/1083),0)))))),0)</f>
        <v>22</v>
      </c>
      <c r="K1624" s="3">
        <f>I1624-J1624</f>
        <v>1</v>
      </c>
      <c r="L1624" s="3" t="str">
        <f>IF(K1624&lt;-5,"CRÍTICO",IF(K1624&lt;0,"ATENÇÃO",IF(K1624&lt;=5,"BOM","EXCELENTE")))</f>
        <v>BOM</v>
      </c>
      <c r="M1624">
        <v>18</v>
      </c>
      <c r="N1624">
        <v>100</v>
      </c>
      <c r="O1624">
        <v>34.15094339622641</v>
      </c>
    </row>
    <row r="1625" spans="1:15" hidden="1" x14ac:dyDescent="0.25">
      <c r="A1625" s="11">
        <v>46051</v>
      </c>
      <c r="B1625" t="s">
        <v>36</v>
      </c>
      <c r="C1625" t="s">
        <v>32</v>
      </c>
      <c r="D1625">
        <v>30</v>
      </c>
      <c r="E1625">
        <v>28</v>
      </c>
      <c r="F1625">
        <v>15.56</v>
      </c>
      <c r="G1625">
        <v>0</v>
      </c>
      <c r="H1625">
        <v>0</v>
      </c>
      <c r="I1625" s="3">
        <f>E1625+G1625+H1625</f>
        <v>28</v>
      </c>
      <c r="J1625" s="3">
        <f>ROUND(MIN(IF(C1625="Técnico III",35,IF(C1625="Técnico II",28,IF(C1625="Técnico I",23,IF(C1625="JR",20,IF(C1625="Estágio",10,0))))),IF(C1625="Técnico III",SUMIFS($D:$D,$A:$A,$A1625,$B:$B,"&lt;&gt;Patrícia Karla de Sousa Araújo",$B:$B,"&lt;&gt;Lorena Dias de Araujo",$B:$B,"&lt;&gt;Lucas Luiz Romero")*(35/1083),IF(C1625="Técnico II",SUMIFS($D:$D,$A:$A,$A1625,$B:$B,"&lt;&gt;Patrícia Karla de Sousa Araújo",$B:$B,"&lt;&gt;Lorena Dias de Araujo",$B:$B,"&lt;&gt;Lucas Luiz Romero")*(28/1083),IF(C1625="Técnico I",SUMIFS($D:$D,$A:$A,$A1625,$B:$B,"&lt;&gt;Patrícia Karla de Sousa Araújo",$B:$B,"&lt;&gt;Lorena Dias de Araujo",$B:$B,"&lt;&gt;Lucas Luiz Romero")*(23/1083),IF(C1625="JR",SUMIFS($D:$D,$A:$A,$A1625,$B:$B,"&lt;&gt;Patrícia Karla de Sousa Araújo",$B:$B,"&lt;&gt;Lorena Dias de Araujo",$B:$B,"&lt;&gt;Lucas Luiz Romero")*(20/1083),IF(C1625="Estágio",SUMIFS($D:$D,$A:$A,$A1625,$B:$B,"&lt;&gt;Patrícia Karla de Sousa Araújo",$B:$B,"&lt;&gt;Lorena Dias de Araujo",$B:$B,"&lt;&gt;Lucas Luiz Romero")*(10/1083),0)))))),0)</f>
        <v>28</v>
      </c>
      <c r="K1625" s="3">
        <f>I1625-J1625</f>
        <v>0</v>
      </c>
      <c r="L1625" s="3" t="str">
        <f>IF(K1625&lt;-5,"CRÍTICO",IF(K1625&lt;0,"ATENÇÃO",IF(K1625&lt;=5,"BOM","EXCELENTE")))</f>
        <v>BOM</v>
      </c>
      <c r="M1625">
        <v>27</v>
      </c>
      <c r="N1625">
        <v>100</v>
      </c>
      <c r="O1625">
        <v>32.731376975169297</v>
      </c>
    </row>
    <row r="1626" spans="1:15" hidden="1" x14ac:dyDescent="0.25">
      <c r="A1626" s="11">
        <v>46051</v>
      </c>
      <c r="B1626" t="s">
        <v>53</v>
      </c>
      <c r="C1626" t="s">
        <v>48</v>
      </c>
      <c r="D1626">
        <v>50</v>
      </c>
      <c r="E1626">
        <v>43</v>
      </c>
      <c r="F1626">
        <v>14.14</v>
      </c>
      <c r="G1626">
        <v>0</v>
      </c>
      <c r="H1626">
        <v>0</v>
      </c>
      <c r="I1626" s="3">
        <f>E1626+G1626+H1626</f>
        <v>43</v>
      </c>
      <c r="J1626" s="3">
        <f>ROUND(MIN(IF(C1626="Técnico III",35,IF(C1626="Técnico II",28,IF(C1626="Técnico I",23,IF(C1626="JR",20,IF(C1626="Estágio",10,0))))),IF(C1626="Técnico III",SUMIFS($D:$D,$A:$A,$A1626,$B:$B,"&lt;&gt;Patrícia Karla de Sousa Araújo",$B:$B,"&lt;&gt;Lorena Dias de Araujo",$B:$B,"&lt;&gt;Lucas Luiz Romero")*(35/1083),IF(C1626="Técnico II",SUMIFS($D:$D,$A:$A,$A1626,$B:$B,"&lt;&gt;Patrícia Karla de Sousa Araújo",$B:$B,"&lt;&gt;Lorena Dias de Araujo",$B:$B,"&lt;&gt;Lucas Luiz Romero")*(28/1083),IF(C1626="Técnico I",SUMIFS($D:$D,$A:$A,$A1626,$B:$B,"&lt;&gt;Patrícia Karla de Sousa Araújo",$B:$B,"&lt;&gt;Lorena Dias de Araujo",$B:$B,"&lt;&gt;Lucas Luiz Romero")*(23/1083),IF(C1626="JR",SUMIFS($D:$D,$A:$A,$A1626,$B:$B,"&lt;&gt;Patrícia Karla de Sousa Araújo",$B:$B,"&lt;&gt;Lorena Dias de Araujo",$B:$B,"&lt;&gt;Lucas Luiz Romero")*(20/1083),IF(C1626="Estágio",SUMIFS($D:$D,$A:$A,$A1626,$B:$B,"&lt;&gt;Patrícia Karla de Sousa Araújo",$B:$B,"&lt;&gt;Lorena Dias de Araujo",$B:$B,"&lt;&gt;Lucas Luiz Romero")*(10/1083),0)))))),0)</f>
        <v>22</v>
      </c>
      <c r="K1626" s="3">
        <f>I1626-J1626</f>
        <v>21</v>
      </c>
      <c r="L1626" s="3" t="str">
        <f>IF(K1626&lt;-5,"CRÍTICO",IF(K1626&lt;0,"ATENÇÃO",IF(K1626&lt;=5,"BOM","EXCELENTE")))</f>
        <v>EXCELENTE</v>
      </c>
      <c r="M1626">
        <v>37</v>
      </c>
      <c r="N1626">
        <v>99.31</v>
      </c>
      <c r="O1626">
        <v>30.96234309623431</v>
      </c>
    </row>
    <row r="1627" spans="1:15" hidden="1" x14ac:dyDescent="0.25">
      <c r="A1627" s="11">
        <v>46085</v>
      </c>
      <c r="B1627" t="s">
        <v>22</v>
      </c>
      <c r="C1627" t="s">
        <v>23</v>
      </c>
      <c r="D1627">
        <v>21</v>
      </c>
      <c r="E1627">
        <v>21</v>
      </c>
      <c r="F1627">
        <v>25.35</v>
      </c>
      <c r="G1627">
        <v>0</v>
      </c>
      <c r="H1627">
        <v>0</v>
      </c>
      <c r="I1627" s="3">
        <f>E1627+G1627+H1627</f>
        <v>21</v>
      </c>
      <c r="J1627" s="3">
        <f>ROUND(MIN(IF(C1627="Técnico III",35,IF(C1627="Técnico II",28,IF(C1627="Técnico I",23,IF(C1627="JR",20,IF(C1627="Estágio",10,0))))),IF(C1627="Técnico III",SUMIFS($D:$D,$A:$A,$A1627,$B:$B,"&lt;&gt;Patrícia Karla de Sousa Araújo",$B:$B,"&lt;&gt;Lorena Dias de Araujo",$B:$B,"&lt;&gt;Lucas Luiz Romero")*(35/1083),IF(C1627="Técnico II",SUMIFS($D:$D,$A:$A,$A1627,$B:$B,"&lt;&gt;Patrícia Karla de Sousa Araújo",$B:$B,"&lt;&gt;Lorena Dias de Araujo",$B:$B,"&lt;&gt;Lucas Luiz Romero")*(28/1083),IF(C1627="Técnico I",SUMIFS($D:$D,$A:$A,$A1627,$B:$B,"&lt;&gt;Patrícia Karla de Sousa Araújo",$B:$B,"&lt;&gt;Lorena Dias de Araujo",$B:$B,"&lt;&gt;Lucas Luiz Romero")*(23/1083),IF(C1627="JR",SUMIFS($D:$D,$A:$A,$A1627,$B:$B,"&lt;&gt;Patrícia Karla de Sousa Araújo",$B:$B,"&lt;&gt;Lorena Dias de Araujo",$B:$B,"&lt;&gt;Lucas Luiz Romero")*(20/1083),IF(C1627="Estágio",SUMIFS($D:$D,$A:$A,$A1627,$B:$B,"&lt;&gt;Patrícia Karla de Sousa Araújo",$B:$B,"&lt;&gt;Lorena Dias de Araujo",$B:$B,"&lt;&gt;Lucas Luiz Romero")*(10/1083),0)))))),0)</f>
        <v>17</v>
      </c>
      <c r="K1627" s="3">
        <f>I1627-J1627</f>
        <v>4</v>
      </c>
      <c r="L1627" s="3" t="str">
        <f>IF(K1627&lt;-5,"CRÍTICO",IF(K1627&lt;0,"ATENÇÃO",IF(K1627&lt;=5,"BOM","EXCELENTE")))</f>
        <v>BOM</v>
      </c>
      <c r="M1627">
        <v>21</v>
      </c>
      <c r="N1627">
        <v>99.05</v>
      </c>
      <c r="O1627">
        <v>26.621923937360179</v>
      </c>
    </row>
    <row r="1628" spans="1:15" hidden="1" x14ac:dyDescent="0.25">
      <c r="A1628" s="11">
        <v>46051</v>
      </c>
      <c r="B1628" t="s">
        <v>54</v>
      </c>
      <c r="C1628" t="s">
        <v>48</v>
      </c>
      <c r="D1628">
        <v>35</v>
      </c>
      <c r="E1628">
        <v>31</v>
      </c>
      <c r="F1628">
        <v>18.21</v>
      </c>
      <c r="G1628">
        <v>0</v>
      </c>
      <c r="H1628">
        <v>0</v>
      </c>
      <c r="I1628" s="3">
        <f>E1628+G1628+H1628</f>
        <v>31</v>
      </c>
      <c r="J1628" s="3">
        <f>ROUND(MIN(IF(C1628="Técnico III",35,IF(C1628="Técnico II",28,IF(C1628="Técnico I",23,IF(C1628="JR",20,IF(C1628="Estágio",10,0))))),IF(C1628="Técnico III",SUMIFS($D:$D,$A:$A,$A1628,$B:$B,"&lt;&gt;Patrícia Karla de Sousa Araújo",$B:$B,"&lt;&gt;Lorena Dias de Araujo",$B:$B,"&lt;&gt;Lucas Luiz Romero")*(35/1083),IF(C1628="Técnico II",SUMIFS($D:$D,$A:$A,$A1628,$B:$B,"&lt;&gt;Patrícia Karla de Sousa Araújo",$B:$B,"&lt;&gt;Lorena Dias de Araujo",$B:$B,"&lt;&gt;Lucas Luiz Romero")*(28/1083),IF(C1628="Técnico I",SUMIFS($D:$D,$A:$A,$A1628,$B:$B,"&lt;&gt;Patrícia Karla de Sousa Araújo",$B:$B,"&lt;&gt;Lorena Dias de Araujo",$B:$B,"&lt;&gt;Lucas Luiz Romero")*(23/1083),IF(C1628="JR",SUMIFS($D:$D,$A:$A,$A1628,$B:$B,"&lt;&gt;Patrícia Karla de Sousa Araújo",$B:$B,"&lt;&gt;Lorena Dias de Araujo",$B:$B,"&lt;&gt;Lucas Luiz Romero")*(20/1083),IF(C1628="Estágio",SUMIFS($D:$D,$A:$A,$A1628,$B:$B,"&lt;&gt;Patrícia Karla de Sousa Araújo",$B:$B,"&lt;&gt;Lorena Dias de Araujo",$B:$B,"&lt;&gt;Lucas Luiz Romero")*(10/1083),0)))))),0)</f>
        <v>22</v>
      </c>
      <c r="K1628" s="3">
        <f>I1628-J1628</f>
        <v>9</v>
      </c>
      <c r="L1628" s="3" t="str">
        <f>IF(K1628&lt;-5,"CRÍTICO",IF(K1628&lt;0,"ATENÇÃO",IF(K1628&lt;=5,"BOM","EXCELENTE")))</f>
        <v>EXCELENTE</v>
      </c>
      <c r="M1628">
        <v>30</v>
      </c>
      <c r="N1628">
        <v>100</v>
      </c>
      <c r="O1628">
        <v>27.676767676767678</v>
      </c>
    </row>
    <row r="1629" spans="1:15" hidden="1" x14ac:dyDescent="0.25">
      <c r="A1629" s="11">
        <v>46051</v>
      </c>
      <c r="B1629" t="s">
        <v>37</v>
      </c>
      <c r="C1629" t="s">
        <v>32</v>
      </c>
      <c r="D1629">
        <v>47</v>
      </c>
      <c r="E1629">
        <v>37</v>
      </c>
      <c r="F1629">
        <v>11.52</v>
      </c>
      <c r="G1629">
        <v>0</v>
      </c>
      <c r="H1629">
        <v>0</v>
      </c>
      <c r="I1629" s="3">
        <f>E1629+G1629+H1629</f>
        <v>37</v>
      </c>
      <c r="J1629" s="3">
        <f>ROUND(MIN(IF(C1629="Técnico III",35,IF(C1629="Técnico II",28,IF(C1629="Técnico I",23,IF(C1629="JR",20,IF(C1629="Estágio",10,0))))),IF(C1629="Técnico III",SUMIFS($D:$D,$A:$A,$A1629,$B:$B,"&lt;&gt;Patrícia Karla de Sousa Araújo",$B:$B,"&lt;&gt;Lorena Dias de Araujo",$B:$B,"&lt;&gt;Lucas Luiz Romero")*(35/1083),IF(C1629="Técnico II",SUMIFS($D:$D,$A:$A,$A1629,$B:$B,"&lt;&gt;Patrícia Karla de Sousa Araújo",$B:$B,"&lt;&gt;Lorena Dias de Araujo",$B:$B,"&lt;&gt;Lucas Luiz Romero")*(28/1083),IF(C1629="Técnico I",SUMIFS($D:$D,$A:$A,$A1629,$B:$B,"&lt;&gt;Patrícia Karla de Sousa Araújo",$B:$B,"&lt;&gt;Lorena Dias de Araujo",$B:$B,"&lt;&gt;Lucas Luiz Romero")*(23/1083),IF(C1629="JR",SUMIFS($D:$D,$A:$A,$A1629,$B:$B,"&lt;&gt;Patrícia Karla de Sousa Araújo",$B:$B,"&lt;&gt;Lorena Dias de Araujo",$B:$B,"&lt;&gt;Lucas Luiz Romero")*(20/1083),IF(C1629="Estágio",SUMIFS($D:$D,$A:$A,$A1629,$B:$B,"&lt;&gt;Patrícia Karla de Sousa Araújo",$B:$B,"&lt;&gt;Lorena Dias de Araujo",$B:$B,"&lt;&gt;Lucas Luiz Romero")*(10/1083),0)))))),0)</f>
        <v>28</v>
      </c>
      <c r="K1629" s="3">
        <f>I1629-J1629</f>
        <v>9</v>
      </c>
      <c r="L1629" s="3" t="str">
        <f>IF(K1629&lt;-5,"CRÍTICO",IF(K1629&lt;0,"ATENÇÃO",IF(K1629&lt;=5,"BOM","EXCELENTE")))</f>
        <v>EXCELENTE</v>
      </c>
      <c r="M1629">
        <v>38</v>
      </c>
      <c r="N1629">
        <v>100</v>
      </c>
      <c r="O1629">
        <v>31.17723156532988</v>
      </c>
    </row>
    <row r="1630" spans="1:15" hidden="1" x14ac:dyDescent="0.25">
      <c r="A1630" s="11">
        <v>46051</v>
      </c>
      <c r="B1630" t="s">
        <v>38</v>
      </c>
      <c r="C1630" t="s">
        <v>32</v>
      </c>
      <c r="D1630">
        <v>44</v>
      </c>
      <c r="E1630">
        <v>18</v>
      </c>
      <c r="F1630">
        <v>4.09</v>
      </c>
      <c r="G1630">
        <v>0</v>
      </c>
      <c r="H1630">
        <v>0</v>
      </c>
      <c r="I1630" s="3">
        <f>E1630+G1630+H1630</f>
        <v>18</v>
      </c>
      <c r="J1630" s="3">
        <f>ROUND(MIN(IF(C1630="Técnico III",35,IF(C1630="Técnico II",28,IF(C1630="Técnico I",23,IF(C1630="JR",20,IF(C1630="Estágio",10,0))))),IF(C1630="Técnico III",SUMIFS($D:$D,$A:$A,$A1630,$B:$B,"&lt;&gt;Patrícia Karla de Sousa Araújo",$B:$B,"&lt;&gt;Lorena Dias de Araujo",$B:$B,"&lt;&gt;Lucas Luiz Romero")*(35/1083),IF(C1630="Técnico II",SUMIFS($D:$D,$A:$A,$A1630,$B:$B,"&lt;&gt;Patrícia Karla de Sousa Araújo",$B:$B,"&lt;&gt;Lorena Dias de Araujo",$B:$B,"&lt;&gt;Lucas Luiz Romero")*(28/1083),IF(C1630="Técnico I",SUMIFS($D:$D,$A:$A,$A1630,$B:$B,"&lt;&gt;Patrícia Karla de Sousa Araújo",$B:$B,"&lt;&gt;Lorena Dias de Araujo",$B:$B,"&lt;&gt;Lucas Luiz Romero")*(23/1083),IF(C1630="JR",SUMIFS($D:$D,$A:$A,$A1630,$B:$B,"&lt;&gt;Patrícia Karla de Sousa Araújo",$B:$B,"&lt;&gt;Lorena Dias de Araujo",$B:$B,"&lt;&gt;Lucas Luiz Romero")*(20/1083),IF(C1630="Estágio",SUMIFS($D:$D,$A:$A,$A1630,$B:$B,"&lt;&gt;Patrícia Karla de Sousa Araújo",$B:$B,"&lt;&gt;Lorena Dias de Araujo",$B:$B,"&lt;&gt;Lucas Luiz Romero")*(10/1083),0)))))),0)</f>
        <v>28</v>
      </c>
      <c r="K1630" s="3">
        <f>I1630-J1630</f>
        <v>-10</v>
      </c>
      <c r="L1630" s="3" t="str">
        <f>IF(K1630&lt;-5,"CRÍTICO",IF(K1630&lt;0,"ATENÇÃO",IF(K1630&lt;=5,"BOM","EXCELENTE")))</f>
        <v>CRÍTICO</v>
      </c>
      <c r="M1630">
        <v>14</v>
      </c>
      <c r="N1630">
        <v>100</v>
      </c>
      <c r="O1630">
        <v>27.609427609427609</v>
      </c>
    </row>
    <row r="1631" spans="1:15" hidden="1" x14ac:dyDescent="0.25">
      <c r="A1631" s="11">
        <v>46051</v>
      </c>
      <c r="B1631" t="s">
        <v>55</v>
      </c>
      <c r="C1631" t="s">
        <v>48</v>
      </c>
      <c r="D1631">
        <v>39</v>
      </c>
      <c r="E1631">
        <v>21</v>
      </c>
      <c r="F1631">
        <v>13.43</v>
      </c>
      <c r="G1631">
        <v>0</v>
      </c>
      <c r="H1631">
        <v>0</v>
      </c>
      <c r="I1631" s="3">
        <f>E1631+G1631+H1631</f>
        <v>21</v>
      </c>
      <c r="J1631" s="3">
        <f>ROUND(MIN(IF(C1631="Técnico III",35,IF(C1631="Técnico II",28,IF(C1631="Técnico I",23,IF(C1631="JR",20,IF(C1631="Estágio",10,0))))),IF(C1631="Técnico III",SUMIFS($D:$D,$A:$A,$A1631,$B:$B,"&lt;&gt;Patrícia Karla de Sousa Araújo",$B:$B,"&lt;&gt;Lorena Dias de Araujo",$B:$B,"&lt;&gt;Lucas Luiz Romero")*(35/1083),IF(C1631="Técnico II",SUMIFS($D:$D,$A:$A,$A1631,$B:$B,"&lt;&gt;Patrícia Karla de Sousa Araújo",$B:$B,"&lt;&gt;Lorena Dias de Araujo",$B:$B,"&lt;&gt;Lucas Luiz Romero")*(28/1083),IF(C1631="Técnico I",SUMIFS($D:$D,$A:$A,$A1631,$B:$B,"&lt;&gt;Patrícia Karla de Sousa Araújo",$B:$B,"&lt;&gt;Lorena Dias de Araujo",$B:$B,"&lt;&gt;Lucas Luiz Romero")*(23/1083),IF(C1631="JR",SUMIFS($D:$D,$A:$A,$A1631,$B:$B,"&lt;&gt;Patrícia Karla de Sousa Araújo",$B:$B,"&lt;&gt;Lorena Dias de Araujo",$B:$B,"&lt;&gt;Lucas Luiz Romero")*(20/1083),IF(C1631="Estágio",SUMIFS($D:$D,$A:$A,$A1631,$B:$B,"&lt;&gt;Patrícia Karla de Sousa Araújo",$B:$B,"&lt;&gt;Lorena Dias de Araujo",$B:$B,"&lt;&gt;Lucas Luiz Romero")*(10/1083),0)))))),0)</f>
        <v>22</v>
      </c>
      <c r="K1631" s="3">
        <f>I1631-J1631</f>
        <v>-1</v>
      </c>
      <c r="L1631" s="3" t="str">
        <f>IF(K1631&lt;-5,"CRÍTICO",IF(K1631&lt;0,"ATENÇÃO",IF(K1631&lt;=5,"BOM","EXCELENTE")))</f>
        <v>ATENÇÃO</v>
      </c>
      <c r="M1631">
        <v>23</v>
      </c>
      <c r="N1631">
        <v>96.4</v>
      </c>
      <c r="O1631">
        <v>28.764044943820231</v>
      </c>
    </row>
    <row r="1632" spans="1:15" hidden="1" x14ac:dyDescent="0.25">
      <c r="A1632" s="11">
        <v>46051</v>
      </c>
      <c r="B1632" t="s">
        <v>39</v>
      </c>
      <c r="C1632" t="s">
        <v>32</v>
      </c>
      <c r="D1632">
        <v>0</v>
      </c>
      <c r="E1632">
        <v>0</v>
      </c>
      <c r="F1632">
        <v>0</v>
      </c>
      <c r="G1632">
        <v>0</v>
      </c>
      <c r="H1632">
        <v>0</v>
      </c>
      <c r="I1632" s="3">
        <v>0</v>
      </c>
      <c r="J1632" s="3">
        <v>0</v>
      </c>
      <c r="K1632" s="3">
        <v>0</v>
      </c>
      <c r="L1632" s="3" t="str">
        <f>IF(K1632&lt;-5,"CRÍTICO",IF(K1632&lt;0,"ATENÇÃO",IF(K1632&lt;=5,"BOM","EXCELENTE")))</f>
        <v>BOM</v>
      </c>
      <c r="M1632">
        <v>0</v>
      </c>
      <c r="N1632">
        <v>100</v>
      </c>
      <c r="O1632">
        <v>33.980582524271853</v>
      </c>
    </row>
    <row r="1633" spans="1:15" hidden="1" x14ac:dyDescent="0.25">
      <c r="A1633" s="11">
        <v>46051</v>
      </c>
      <c r="B1633" t="s">
        <v>25</v>
      </c>
      <c r="C1633" t="s">
        <v>26</v>
      </c>
      <c r="D1633">
        <v>10</v>
      </c>
      <c r="E1633">
        <v>8</v>
      </c>
      <c r="F1633">
        <v>24.14</v>
      </c>
      <c r="G1633">
        <v>0</v>
      </c>
      <c r="H1633">
        <v>0</v>
      </c>
      <c r="I1633" s="3">
        <f>E1633+G1633+H1633</f>
        <v>8</v>
      </c>
      <c r="J1633" s="3">
        <f>ROUND(MIN(IF(C1633="Técnico III",35,IF(C1633="Técnico II",28,IF(C1633="Técnico I",23,IF(C1633="JR",20,IF(C1633="Estágio",10,0))))),IF(C1633="Técnico III",SUMIFS($D:$D,$A:$A,$A1633,$B:$B,"&lt;&gt;Patrícia Karla de Sousa Araújo",$B:$B,"&lt;&gt;Lorena Dias de Araujo",$B:$B,"&lt;&gt;Lucas Luiz Romero")*(35/1083),IF(C1633="Técnico II",SUMIFS($D:$D,$A:$A,$A1633,$B:$B,"&lt;&gt;Patrícia Karla de Sousa Araújo",$B:$B,"&lt;&gt;Lorena Dias de Araujo",$B:$B,"&lt;&gt;Lucas Luiz Romero")*(28/1083),IF(C1633="Técnico I",SUMIFS($D:$D,$A:$A,$A1633,$B:$B,"&lt;&gt;Patrícia Karla de Sousa Araújo",$B:$B,"&lt;&gt;Lorena Dias de Araujo",$B:$B,"&lt;&gt;Lucas Luiz Romero")*(23/1083),IF(C1633="JR",SUMIFS($D:$D,$A:$A,$A1633,$B:$B,"&lt;&gt;Patrícia Karla de Sousa Araújo",$B:$B,"&lt;&gt;Lorena Dias de Araujo",$B:$B,"&lt;&gt;Lucas Luiz Romero")*(20/1083),IF(C1633="Estágio",SUMIFS($D:$D,$A:$A,$A1633,$B:$B,"&lt;&gt;Patrícia Karla de Sousa Araújo",$B:$B,"&lt;&gt;Lorena Dias de Araujo",$B:$B,"&lt;&gt;Lucas Luiz Romero")*(10/1083),0)))))),0)</f>
        <v>16</v>
      </c>
      <c r="K1633" s="3">
        <f>I1633-J1633</f>
        <v>-8</v>
      </c>
      <c r="L1633" s="3" t="str">
        <f>IF(K1633&lt;-5,"CRÍTICO",IF(K1633&lt;0,"ATENÇÃO",IF(K1633&lt;=5,"BOM","EXCELENTE")))</f>
        <v>CRÍTICO</v>
      </c>
      <c r="M1633">
        <v>7</v>
      </c>
      <c r="N1633">
        <v>97.56</v>
      </c>
      <c r="O1633">
        <v>32.515337423312893</v>
      </c>
    </row>
    <row r="1634" spans="1:15" hidden="1" x14ac:dyDescent="0.25">
      <c r="A1634" s="11">
        <v>46051</v>
      </c>
      <c r="B1634" t="s">
        <v>40</v>
      </c>
      <c r="C1634" t="s">
        <v>32</v>
      </c>
      <c r="D1634">
        <v>14</v>
      </c>
      <c r="E1634">
        <v>14</v>
      </c>
      <c r="F1634">
        <v>30.26</v>
      </c>
      <c r="G1634">
        <v>0</v>
      </c>
      <c r="H1634">
        <v>0</v>
      </c>
      <c r="I1634" s="3">
        <f>E1634+G1634+H1634</f>
        <v>14</v>
      </c>
      <c r="J1634" s="3">
        <f>ROUND(MIN(IF(C1634="Técnico III",35,IF(C1634="Técnico II",28,IF(C1634="Técnico I",23,IF(C1634="JR",20,IF(C1634="Estágio",10,0))))),IF(C1634="Técnico III",SUMIFS($D:$D,$A:$A,$A1634,$B:$B,"&lt;&gt;Patrícia Karla de Sousa Araújo",$B:$B,"&lt;&gt;Lorena Dias de Araujo",$B:$B,"&lt;&gt;Lucas Luiz Romero")*(35/1083),IF(C1634="Técnico II",SUMIFS($D:$D,$A:$A,$A1634,$B:$B,"&lt;&gt;Patrícia Karla de Sousa Araújo",$B:$B,"&lt;&gt;Lorena Dias de Araujo",$B:$B,"&lt;&gt;Lucas Luiz Romero")*(28/1083),IF(C1634="Técnico I",SUMIFS($D:$D,$A:$A,$A1634,$B:$B,"&lt;&gt;Patrícia Karla de Sousa Araújo",$B:$B,"&lt;&gt;Lorena Dias de Araujo",$B:$B,"&lt;&gt;Lucas Luiz Romero")*(23/1083),IF(C1634="JR",SUMIFS($D:$D,$A:$A,$A1634,$B:$B,"&lt;&gt;Patrícia Karla de Sousa Araújo",$B:$B,"&lt;&gt;Lorena Dias de Araujo",$B:$B,"&lt;&gt;Lucas Luiz Romero")*(20/1083),IF(C1634="Estágio",SUMIFS($D:$D,$A:$A,$A1634,$B:$B,"&lt;&gt;Patrícia Karla de Sousa Araújo",$B:$B,"&lt;&gt;Lorena Dias de Araujo",$B:$B,"&lt;&gt;Lucas Luiz Romero")*(10/1083),0)))))),0)</f>
        <v>28</v>
      </c>
      <c r="K1634" s="3">
        <f>I1634-J1634</f>
        <v>-14</v>
      </c>
      <c r="L1634" s="3" t="str">
        <f>IF(K1634&lt;-5,"CRÍTICO",IF(K1634&lt;0,"ATENÇÃO",IF(K1634&lt;=5,"BOM","EXCELENTE")))</f>
        <v>CRÍTICO</v>
      </c>
      <c r="M1634">
        <v>14</v>
      </c>
      <c r="N1634">
        <v>97.11</v>
      </c>
      <c r="O1634">
        <v>37.408312958435211</v>
      </c>
    </row>
    <row r="1635" spans="1:15" hidden="1" x14ac:dyDescent="0.25">
      <c r="A1635" s="11">
        <v>46051</v>
      </c>
      <c r="B1635" t="s">
        <v>27</v>
      </c>
      <c r="C1635" t="s">
        <v>26</v>
      </c>
      <c r="D1635">
        <v>0</v>
      </c>
      <c r="E1635">
        <v>0</v>
      </c>
      <c r="F1635">
        <v>0</v>
      </c>
      <c r="G1635">
        <v>0</v>
      </c>
      <c r="H1635">
        <v>0</v>
      </c>
      <c r="I1635" s="3">
        <v>0</v>
      </c>
      <c r="J1635" s="3">
        <v>0</v>
      </c>
      <c r="K1635" s="3">
        <v>0</v>
      </c>
      <c r="L1635" s="3" t="str">
        <f>IF(K1635&lt;-5,"CRÍTICO",IF(K1635&lt;0,"ATENÇÃO",IF(K1635&lt;=5,"BOM","EXCELENTE")))</f>
        <v>BOM</v>
      </c>
      <c r="M1635">
        <v>0</v>
      </c>
      <c r="N1635">
        <v>0</v>
      </c>
      <c r="O1635">
        <v>0</v>
      </c>
    </row>
    <row r="1636" spans="1:15" hidden="1" x14ac:dyDescent="0.25">
      <c r="A1636" s="11">
        <v>46051</v>
      </c>
      <c r="B1636" t="s">
        <v>41</v>
      </c>
      <c r="C1636" t="s">
        <v>32</v>
      </c>
      <c r="D1636">
        <v>32</v>
      </c>
      <c r="E1636">
        <v>29</v>
      </c>
      <c r="F1636">
        <v>15</v>
      </c>
      <c r="G1636">
        <v>0</v>
      </c>
      <c r="H1636">
        <v>0</v>
      </c>
      <c r="I1636" s="3">
        <f>E1636+G1636+H1636</f>
        <v>29</v>
      </c>
      <c r="J1636" s="3">
        <f>ROUND(MIN(IF(C1636="Técnico III",35,IF(C1636="Técnico II",28,IF(C1636="Técnico I",23,IF(C1636="JR",20,IF(C1636="Estágio",10,0))))),IF(C1636="Técnico III",SUMIFS($D:$D,$A:$A,$A1636,$B:$B,"&lt;&gt;Patrícia Karla de Sousa Araújo",$B:$B,"&lt;&gt;Lorena Dias de Araujo",$B:$B,"&lt;&gt;Lucas Luiz Romero")*(35/1083),IF(C1636="Técnico II",SUMIFS($D:$D,$A:$A,$A1636,$B:$B,"&lt;&gt;Patrícia Karla de Sousa Araújo",$B:$B,"&lt;&gt;Lorena Dias de Araujo",$B:$B,"&lt;&gt;Lucas Luiz Romero")*(28/1083),IF(C1636="Técnico I",SUMIFS($D:$D,$A:$A,$A1636,$B:$B,"&lt;&gt;Patrícia Karla de Sousa Araújo",$B:$B,"&lt;&gt;Lorena Dias de Araujo",$B:$B,"&lt;&gt;Lucas Luiz Romero")*(23/1083),IF(C1636="JR",SUMIFS($D:$D,$A:$A,$A1636,$B:$B,"&lt;&gt;Patrícia Karla de Sousa Araújo",$B:$B,"&lt;&gt;Lorena Dias de Araujo",$B:$B,"&lt;&gt;Lucas Luiz Romero")*(20/1083),IF(C1636="Estágio",SUMIFS($D:$D,$A:$A,$A1636,$B:$B,"&lt;&gt;Patrícia Karla de Sousa Araújo",$B:$B,"&lt;&gt;Lorena Dias de Araujo",$B:$B,"&lt;&gt;Lucas Luiz Romero")*(10/1083),0)))))),0)</f>
        <v>28</v>
      </c>
      <c r="K1636" s="3">
        <f>I1636-J1636</f>
        <v>1</v>
      </c>
      <c r="L1636" s="3" t="str">
        <f>IF(K1636&lt;-5,"CRÍTICO",IF(K1636&lt;0,"ATENÇÃO",IF(K1636&lt;=5,"BOM","EXCELENTE")))</f>
        <v>BOM</v>
      </c>
      <c r="M1636">
        <v>25</v>
      </c>
      <c r="N1636">
        <v>100</v>
      </c>
      <c r="O1636">
        <v>30.470347648261761</v>
      </c>
    </row>
    <row r="1637" spans="1:15" hidden="1" x14ac:dyDescent="0.25">
      <c r="A1637" s="11">
        <v>46051</v>
      </c>
      <c r="B1637" t="s">
        <v>56</v>
      </c>
      <c r="C1637" t="s">
        <v>48</v>
      </c>
      <c r="D1637">
        <v>28</v>
      </c>
      <c r="E1637">
        <v>23</v>
      </c>
      <c r="F1637">
        <v>23.54</v>
      </c>
      <c r="G1637">
        <v>0</v>
      </c>
      <c r="H1637">
        <v>0</v>
      </c>
      <c r="I1637" s="3">
        <f>E1637+G1637+H1637</f>
        <v>23</v>
      </c>
      <c r="J1637" s="3">
        <f>ROUND(MIN(IF(C1637="Técnico III",35,IF(C1637="Técnico II",28,IF(C1637="Técnico I",23,IF(C1637="JR",20,IF(C1637="Estágio",10,0))))),IF(C1637="Técnico III",SUMIFS($D:$D,$A:$A,$A1637,$B:$B,"&lt;&gt;Patrícia Karla de Sousa Araújo",$B:$B,"&lt;&gt;Lorena Dias de Araujo",$B:$B,"&lt;&gt;Lucas Luiz Romero")*(35/1083),IF(C1637="Técnico II",SUMIFS($D:$D,$A:$A,$A1637,$B:$B,"&lt;&gt;Patrícia Karla de Sousa Araújo",$B:$B,"&lt;&gt;Lorena Dias de Araujo",$B:$B,"&lt;&gt;Lucas Luiz Romero")*(28/1083),IF(C1637="Técnico I",SUMIFS($D:$D,$A:$A,$A1637,$B:$B,"&lt;&gt;Patrícia Karla de Sousa Araújo",$B:$B,"&lt;&gt;Lorena Dias de Araujo",$B:$B,"&lt;&gt;Lucas Luiz Romero")*(23/1083),IF(C1637="JR",SUMIFS($D:$D,$A:$A,$A1637,$B:$B,"&lt;&gt;Patrícia Karla de Sousa Araújo",$B:$B,"&lt;&gt;Lorena Dias de Araujo",$B:$B,"&lt;&gt;Lucas Luiz Romero")*(20/1083),IF(C1637="Estágio",SUMIFS($D:$D,$A:$A,$A1637,$B:$B,"&lt;&gt;Patrícia Karla de Sousa Araújo",$B:$B,"&lt;&gt;Lorena Dias de Araujo",$B:$B,"&lt;&gt;Lucas Luiz Romero")*(10/1083),0)))))),0)</f>
        <v>22</v>
      </c>
      <c r="K1637" s="3">
        <f>I1637-J1637</f>
        <v>1</v>
      </c>
      <c r="L1637" s="3" t="str">
        <f>IF(K1637&lt;-5,"CRÍTICO",IF(K1637&lt;0,"ATENÇÃO",IF(K1637&lt;=5,"BOM","EXCELENTE")))</f>
        <v>BOM</v>
      </c>
      <c r="M1637">
        <v>31</v>
      </c>
      <c r="N1637">
        <v>100</v>
      </c>
      <c r="O1637">
        <v>32.371134020618562</v>
      </c>
    </row>
    <row r="1638" spans="1:15" hidden="1" x14ac:dyDescent="0.25">
      <c r="A1638" s="11">
        <v>46051</v>
      </c>
      <c r="B1638" t="s">
        <v>57</v>
      </c>
      <c r="C1638" t="s">
        <v>48</v>
      </c>
      <c r="D1638">
        <v>26</v>
      </c>
      <c r="E1638">
        <v>23</v>
      </c>
      <c r="F1638">
        <v>15.59</v>
      </c>
      <c r="G1638">
        <v>0</v>
      </c>
      <c r="H1638">
        <v>0</v>
      </c>
      <c r="I1638" s="3">
        <v>0</v>
      </c>
      <c r="J1638" s="3">
        <v>0</v>
      </c>
      <c r="K1638" s="3">
        <v>0</v>
      </c>
      <c r="L1638" s="3" t="str">
        <f>IF(K1638&lt;-5,"CRÍTICO",IF(K1638&lt;0,"ATENÇÃO",IF(K1638&lt;=5,"BOM","EXCELENTE")))</f>
        <v>BOM</v>
      </c>
      <c r="M1638">
        <v>15</v>
      </c>
      <c r="N1638">
        <v>98.32</v>
      </c>
      <c r="O1638">
        <v>32.318501170960189</v>
      </c>
    </row>
    <row r="1639" spans="1:15" hidden="1" x14ac:dyDescent="0.25">
      <c r="A1639" s="11">
        <v>46051</v>
      </c>
      <c r="B1639" t="s">
        <v>42</v>
      </c>
      <c r="C1639" t="s">
        <v>32</v>
      </c>
      <c r="D1639">
        <v>96</v>
      </c>
      <c r="E1639">
        <v>35</v>
      </c>
      <c r="F1639">
        <v>5.04</v>
      </c>
      <c r="G1639">
        <v>0</v>
      </c>
      <c r="H1639">
        <v>0</v>
      </c>
      <c r="I1639" s="3">
        <f>E1639+G1639+H1639</f>
        <v>35</v>
      </c>
      <c r="J1639" s="3">
        <f>ROUND(MIN(IF(C1639="Técnico III",35,IF(C1639="Técnico II",28,IF(C1639="Técnico I",23,IF(C1639="JR",20,IF(C1639="Estágio",10,0))))),IF(C1639="Técnico III",SUMIFS($D:$D,$A:$A,$A1639,$B:$B,"&lt;&gt;Patrícia Karla de Sousa Araújo",$B:$B,"&lt;&gt;Lorena Dias de Araujo",$B:$B,"&lt;&gt;Lucas Luiz Romero")*(35/1083),IF(C1639="Técnico II",SUMIFS($D:$D,$A:$A,$A1639,$B:$B,"&lt;&gt;Patrícia Karla de Sousa Araújo",$B:$B,"&lt;&gt;Lorena Dias de Araujo",$B:$B,"&lt;&gt;Lucas Luiz Romero")*(28/1083),IF(C1639="Técnico I",SUMIFS($D:$D,$A:$A,$A1639,$B:$B,"&lt;&gt;Patrícia Karla de Sousa Araújo",$B:$B,"&lt;&gt;Lorena Dias de Araujo",$B:$B,"&lt;&gt;Lucas Luiz Romero")*(23/1083),IF(C1639="JR",SUMIFS($D:$D,$A:$A,$A1639,$B:$B,"&lt;&gt;Patrícia Karla de Sousa Araújo",$B:$B,"&lt;&gt;Lorena Dias de Araujo",$B:$B,"&lt;&gt;Lucas Luiz Romero")*(20/1083),IF(C1639="Estágio",SUMIFS($D:$D,$A:$A,$A1639,$B:$B,"&lt;&gt;Patrícia Karla de Sousa Araújo",$B:$B,"&lt;&gt;Lorena Dias de Araujo",$B:$B,"&lt;&gt;Lucas Luiz Romero")*(10/1083),0)))))),0)</f>
        <v>28</v>
      </c>
      <c r="K1639" s="3">
        <f>I1639-J1639</f>
        <v>7</v>
      </c>
      <c r="L1639" s="3" t="str">
        <f>IF(K1639&lt;-5,"CRÍTICO",IF(K1639&lt;0,"ATENÇÃO",IF(K1639&lt;=5,"BOM","EXCELENTE")))</f>
        <v>EXCELENTE</v>
      </c>
      <c r="M1639">
        <v>15</v>
      </c>
      <c r="N1639">
        <v>96.43</v>
      </c>
      <c r="O1639">
        <v>27.015250544662312</v>
      </c>
    </row>
    <row r="1640" spans="1:15" hidden="1" x14ac:dyDescent="0.25">
      <c r="A1640" s="11">
        <v>46051</v>
      </c>
      <c r="B1640" t="s">
        <v>62</v>
      </c>
      <c r="C1640" t="s">
        <v>23</v>
      </c>
      <c r="D1640">
        <v>20</v>
      </c>
      <c r="E1640">
        <v>17</v>
      </c>
      <c r="F1640">
        <v>22.09</v>
      </c>
      <c r="G1640">
        <v>0</v>
      </c>
      <c r="H1640">
        <v>0</v>
      </c>
      <c r="I1640" s="3">
        <f>E1640+G1640+H1640</f>
        <v>17</v>
      </c>
      <c r="J1640" s="3">
        <f>ROUND(MIN(IF(C1640="Técnico III",35,IF(C1640="Técnico II",28,IF(C1640="Técnico I",23,IF(C1640="JR",20,IF(C1640="Estágio",10,0))))),IF(C1640="Técnico III",SUMIFS($D:$D,$A:$A,$A1640,$B:$B,"&lt;&gt;Patrícia Karla de Sousa Araújo",$B:$B,"&lt;&gt;Lorena Dias de Araujo",$B:$B,"&lt;&gt;Lucas Luiz Romero")*(35/1083),IF(C1640="Técnico II",SUMIFS($D:$D,$A:$A,$A1640,$B:$B,"&lt;&gt;Patrícia Karla de Sousa Araújo",$B:$B,"&lt;&gt;Lorena Dias de Araujo",$B:$B,"&lt;&gt;Lucas Luiz Romero")*(28/1083),IF(C1640="Técnico I",SUMIFS($D:$D,$A:$A,$A1640,$B:$B,"&lt;&gt;Patrícia Karla de Sousa Araújo",$B:$B,"&lt;&gt;Lorena Dias de Araujo",$B:$B,"&lt;&gt;Lucas Luiz Romero")*(23/1083),IF(C1640="JR",SUMIFS($D:$D,$A:$A,$A1640,$B:$B,"&lt;&gt;Patrícia Karla de Sousa Araújo",$B:$B,"&lt;&gt;Lorena Dias de Araujo",$B:$B,"&lt;&gt;Lucas Luiz Romero")*(20/1083),IF(C1640="Estágio",SUMIFS($D:$D,$A:$A,$A1640,$B:$B,"&lt;&gt;Patrícia Karla de Sousa Araújo",$B:$B,"&lt;&gt;Lorena Dias de Araujo",$B:$B,"&lt;&gt;Lucas Luiz Romero")*(10/1083),0)))))),0)</f>
        <v>18</v>
      </c>
      <c r="K1640" s="3">
        <f>I1640-J1640</f>
        <v>-1</v>
      </c>
      <c r="L1640" s="3" t="str">
        <f>IF(K1640&lt;-5,"CRÍTICO",IF(K1640&lt;0,"ATENÇÃO",IF(K1640&lt;=5,"BOM","EXCELENTE")))</f>
        <v>ATENÇÃO</v>
      </c>
      <c r="M1640">
        <v>17</v>
      </c>
      <c r="N1640">
        <v>98.89</v>
      </c>
      <c r="O1640">
        <v>28.021978021978018</v>
      </c>
    </row>
    <row r="1641" spans="1:15" hidden="1" x14ac:dyDescent="0.25">
      <c r="A1641" s="11">
        <v>46051</v>
      </c>
      <c r="B1641" t="s">
        <v>19</v>
      </c>
      <c r="C1641" t="s">
        <v>16</v>
      </c>
      <c r="D1641">
        <v>8</v>
      </c>
      <c r="E1641">
        <v>8</v>
      </c>
      <c r="F1641">
        <v>25.39</v>
      </c>
      <c r="G1641">
        <v>0</v>
      </c>
      <c r="H1641">
        <v>0</v>
      </c>
      <c r="I1641" s="3">
        <f>E1641+G1641+H1641</f>
        <v>8</v>
      </c>
      <c r="J1641" s="3">
        <f>ROUND(MIN(IF(C1641="Técnico III",35,IF(C1641="Técnico II",28,IF(C1641="Técnico I",23,IF(C1641="JR",20,IF(C1641="Estágio",10,0))))),IF(C1641="Técnico III",SUMIFS($D:$D,$A:$A,$A1641,$B:$B,"&lt;&gt;Patrícia Karla de Sousa Araújo",$B:$B,"&lt;&gt;Lorena Dias de Araujo",$B:$B,"&lt;&gt;Lucas Luiz Romero")*(35/1083),IF(C1641="Técnico II",SUMIFS($D:$D,$A:$A,$A1641,$B:$B,"&lt;&gt;Patrícia Karla de Sousa Araújo",$B:$B,"&lt;&gt;Lorena Dias de Araujo",$B:$B,"&lt;&gt;Lucas Luiz Romero")*(28/1083),IF(C1641="Técnico I",SUMIFS($D:$D,$A:$A,$A1641,$B:$B,"&lt;&gt;Patrícia Karla de Sousa Araújo",$B:$B,"&lt;&gt;Lorena Dias de Araujo",$B:$B,"&lt;&gt;Lucas Luiz Romero")*(23/1083),IF(C1641="JR",SUMIFS($D:$D,$A:$A,$A1641,$B:$B,"&lt;&gt;Patrícia Karla de Sousa Araújo",$B:$B,"&lt;&gt;Lorena Dias de Araujo",$B:$B,"&lt;&gt;Lucas Luiz Romero")*(20/1083),IF(C1641="Estágio",SUMIFS($D:$D,$A:$A,$A1641,$B:$B,"&lt;&gt;Patrícia Karla de Sousa Araújo",$B:$B,"&lt;&gt;Lorena Dias de Araujo",$B:$B,"&lt;&gt;Lucas Luiz Romero")*(10/1083),0)))))),0)</f>
        <v>8</v>
      </c>
      <c r="K1641" s="3">
        <f>I1641-J1641</f>
        <v>0</v>
      </c>
      <c r="L1641" s="3" t="str">
        <f>IF(K1641&lt;-5,"CRÍTICO",IF(K1641&lt;0,"ATENÇÃO",IF(K1641&lt;=5,"BOM","EXCELENTE")))</f>
        <v>BOM</v>
      </c>
      <c r="M1641">
        <v>7</v>
      </c>
      <c r="N1641">
        <v>100</v>
      </c>
      <c r="O1641">
        <v>33.333333333333329</v>
      </c>
    </row>
    <row r="1642" spans="1:15" hidden="1" x14ac:dyDescent="0.25">
      <c r="A1642" s="11">
        <v>46051</v>
      </c>
      <c r="B1642" t="s">
        <v>43</v>
      </c>
      <c r="C1642" t="s">
        <v>32</v>
      </c>
      <c r="D1642">
        <v>0</v>
      </c>
      <c r="E1642">
        <v>0</v>
      </c>
      <c r="F1642">
        <v>0</v>
      </c>
      <c r="G1642">
        <v>0</v>
      </c>
      <c r="H1642">
        <v>0</v>
      </c>
      <c r="I1642" s="3">
        <v>0</v>
      </c>
      <c r="J1642" s="3">
        <v>0</v>
      </c>
      <c r="K1642" s="3">
        <v>0</v>
      </c>
      <c r="L1642" s="3" t="str">
        <f>IF(K1642&lt;-5,"CRÍTICO",IF(K1642&lt;0,"ATENÇÃO",IF(K1642&lt;=5,"BOM","EXCELENTE")))</f>
        <v>BOM</v>
      </c>
      <c r="M1642">
        <v>0</v>
      </c>
      <c r="N1642">
        <v>100</v>
      </c>
      <c r="O1642">
        <v>27.43362831858407</v>
      </c>
    </row>
    <row r="1643" spans="1:15" hidden="1" x14ac:dyDescent="0.25">
      <c r="A1643" s="11">
        <v>46051</v>
      </c>
      <c r="B1643" t="s">
        <v>44</v>
      </c>
      <c r="C1643" t="s">
        <v>32</v>
      </c>
      <c r="D1643">
        <v>50</v>
      </c>
      <c r="E1643">
        <v>31</v>
      </c>
      <c r="F1643">
        <v>7.17</v>
      </c>
      <c r="G1643">
        <v>0</v>
      </c>
      <c r="H1643">
        <v>0</v>
      </c>
      <c r="I1643" s="3">
        <f>E1643+G1643+H1643</f>
        <v>31</v>
      </c>
      <c r="J1643" s="3">
        <f>ROUND(MIN(IF(C1643="Técnico III",35,IF(C1643="Técnico II",28,IF(C1643="Técnico I",23,IF(C1643="JR",20,IF(C1643="Estágio",10,0))))),IF(C1643="Técnico III",SUMIFS($D:$D,$A:$A,$A1643,$B:$B,"&lt;&gt;Patrícia Karla de Sousa Araújo",$B:$B,"&lt;&gt;Lorena Dias de Araujo",$B:$B,"&lt;&gt;Lucas Luiz Romero")*(35/1083),IF(C1643="Técnico II",SUMIFS($D:$D,$A:$A,$A1643,$B:$B,"&lt;&gt;Patrícia Karla de Sousa Araújo",$B:$B,"&lt;&gt;Lorena Dias de Araujo",$B:$B,"&lt;&gt;Lucas Luiz Romero")*(28/1083),IF(C1643="Técnico I",SUMIFS($D:$D,$A:$A,$A1643,$B:$B,"&lt;&gt;Patrícia Karla de Sousa Araújo",$B:$B,"&lt;&gt;Lorena Dias de Araujo",$B:$B,"&lt;&gt;Lucas Luiz Romero")*(23/1083),IF(C1643="JR",SUMIFS($D:$D,$A:$A,$A1643,$B:$B,"&lt;&gt;Patrícia Karla de Sousa Araújo",$B:$B,"&lt;&gt;Lorena Dias de Araujo",$B:$B,"&lt;&gt;Lucas Luiz Romero")*(20/1083),IF(C1643="Estágio",SUMIFS($D:$D,$A:$A,$A1643,$B:$B,"&lt;&gt;Patrícia Karla de Sousa Araújo",$B:$B,"&lt;&gt;Lorena Dias de Araujo",$B:$B,"&lt;&gt;Lucas Luiz Romero")*(10/1083),0)))))),0)</f>
        <v>28</v>
      </c>
      <c r="K1643" s="3">
        <f>I1643-J1643</f>
        <v>3</v>
      </c>
      <c r="L1643" s="3" t="str">
        <f>IF(K1643&lt;-5,"CRÍTICO",IF(K1643&lt;0,"ATENÇÃO",IF(K1643&lt;=5,"BOM","EXCELENTE")))</f>
        <v>BOM</v>
      </c>
      <c r="M1643">
        <v>28</v>
      </c>
      <c r="N1643">
        <v>98.65</v>
      </c>
      <c r="O1643">
        <v>30.978260869565219</v>
      </c>
    </row>
    <row r="1644" spans="1:15" hidden="1" x14ac:dyDescent="0.25">
      <c r="A1644" s="11">
        <v>46051</v>
      </c>
      <c r="B1644" t="s">
        <v>20</v>
      </c>
      <c r="C1644" t="s">
        <v>16</v>
      </c>
      <c r="D1644">
        <v>9</v>
      </c>
      <c r="E1644">
        <v>9</v>
      </c>
      <c r="F1644">
        <v>32.01</v>
      </c>
      <c r="G1644">
        <v>0</v>
      </c>
      <c r="H1644">
        <v>0</v>
      </c>
      <c r="I1644" s="3">
        <f>E1644+G1644+H1644</f>
        <v>9</v>
      </c>
      <c r="J1644" s="3">
        <f>ROUND(MIN(IF(C1644="Técnico III",35,IF(C1644="Técnico II",28,IF(C1644="Técnico I",23,IF(C1644="JR",20,IF(C1644="Estágio",10,0))))),IF(C1644="Técnico III",SUMIFS($D:$D,$A:$A,$A1644,$B:$B,"&lt;&gt;Patrícia Karla de Sousa Araújo",$B:$B,"&lt;&gt;Lorena Dias de Araujo",$B:$B,"&lt;&gt;Lucas Luiz Romero")*(35/1083),IF(C1644="Técnico II",SUMIFS($D:$D,$A:$A,$A1644,$B:$B,"&lt;&gt;Patrícia Karla de Sousa Araújo",$B:$B,"&lt;&gt;Lorena Dias de Araujo",$B:$B,"&lt;&gt;Lucas Luiz Romero")*(28/1083),IF(C1644="Técnico I",SUMIFS($D:$D,$A:$A,$A1644,$B:$B,"&lt;&gt;Patrícia Karla de Sousa Araújo",$B:$B,"&lt;&gt;Lorena Dias de Araujo",$B:$B,"&lt;&gt;Lucas Luiz Romero")*(23/1083),IF(C1644="JR",SUMIFS($D:$D,$A:$A,$A1644,$B:$B,"&lt;&gt;Patrícia Karla de Sousa Araújo",$B:$B,"&lt;&gt;Lorena Dias de Araujo",$B:$B,"&lt;&gt;Lucas Luiz Romero")*(20/1083),IF(C1644="Estágio",SUMIFS($D:$D,$A:$A,$A1644,$B:$B,"&lt;&gt;Patrícia Karla de Sousa Araújo",$B:$B,"&lt;&gt;Lorena Dias de Araujo",$B:$B,"&lt;&gt;Lucas Luiz Romero")*(10/1083),0)))))),0)</f>
        <v>8</v>
      </c>
      <c r="K1644" s="3">
        <f>I1644-J1644</f>
        <v>1</v>
      </c>
      <c r="L1644" s="3" t="str">
        <f>IF(K1644&lt;-5,"CRÍTICO",IF(K1644&lt;0,"ATENÇÃO",IF(K1644&lt;=5,"BOM","EXCELENTE")))</f>
        <v>BOM</v>
      </c>
      <c r="M1644">
        <v>5</v>
      </c>
      <c r="N1644">
        <v>100</v>
      </c>
      <c r="O1644">
        <v>12</v>
      </c>
    </row>
    <row r="1645" spans="1:15" hidden="1" x14ac:dyDescent="0.25">
      <c r="A1645" s="11">
        <v>46051</v>
      </c>
      <c r="B1645" t="s">
        <v>28</v>
      </c>
      <c r="C1645" t="s">
        <v>26</v>
      </c>
      <c r="D1645">
        <v>0</v>
      </c>
      <c r="E1645">
        <v>0</v>
      </c>
      <c r="F1645">
        <v>0</v>
      </c>
      <c r="G1645">
        <v>0</v>
      </c>
      <c r="H1645">
        <v>0</v>
      </c>
      <c r="I1645" s="3">
        <v>0</v>
      </c>
      <c r="J1645" s="3">
        <v>0</v>
      </c>
      <c r="K1645" s="3">
        <v>0</v>
      </c>
      <c r="L1645" s="3" t="str">
        <f>IF(K1645&lt;-5,"CRÍTICO",IF(K1645&lt;0,"ATENÇÃO",IF(K1645&lt;=5,"BOM","EXCELENTE")))</f>
        <v>BOM</v>
      </c>
      <c r="M1645">
        <v>0</v>
      </c>
      <c r="N1645">
        <v>0</v>
      </c>
      <c r="O1645">
        <v>0</v>
      </c>
    </row>
    <row r="1646" spans="1:15" hidden="1" x14ac:dyDescent="0.25">
      <c r="A1646" s="11">
        <v>46051</v>
      </c>
      <c r="B1646" t="s">
        <v>58</v>
      </c>
      <c r="C1646" t="s">
        <v>48</v>
      </c>
      <c r="D1646">
        <v>21</v>
      </c>
      <c r="E1646">
        <v>16</v>
      </c>
      <c r="F1646">
        <v>20.58</v>
      </c>
      <c r="G1646">
        <v>0</v>
      </c>
      <c r="H1646">
        <v>0</v>
      </c>
      <c r="I1646" s="3">
        <f>E1646+G1646+H1646</f>
        <v>16</v>
      </c>
      <c r="J1646" s="3">
        <f>ROUND(MIN(IF(C1646="Técnico III",35,IF(C1646="Técnico II",28,IF(C1646="Técnico I",23,IF(C1646="JR",20,IF(C1646="Estágio",10,0))))),IF(C1646="Técnico III",SUMIFS($D:$D,$A:$A,$A1646,$B:$B,"&lt;&gt;Patrícia Karla de Sousa Araújo",$B:$B,"&lt;&gt;Lorena Dias de Araujo",$B:$B,"&lt;&gt;Lucas Luiz Romero")*(35/1083),IF(C1646="Técnico II",SUMIFS($D:$D,$A:$A,$A1646,$B:$B,"&lt;&gt;Patrícia Karla de Sousa Araújo",$B:$B,"&lt;&gt;Lorena Dias de Araujo",$B:$B,"&lt;&gt;Lucas Luiz Romero")*(28/1083),IF(C1646="Técnico I",SUMIFS($D:$D,$A:$A,$A1646,$B:$B,"&lt;&gt;Patrícia Karla de Sousa Araújo",$B:$B,"&lt;&gt;Lorena Dias de Araujo",$B:$B,"&lt;&gt;Lucas Luiz Romero")*(23/1083),IF(C1646="JR",SUMIFS($D:$D,$A:$A,$A1646,$B:$B,"&lt;&gt;Patrícia Karla de Sousa Araújo",$B:$B,"&lt;&gt;Lorena Dias de Araujo",$B:$B,"&lt;&gt;Lucas Luiz Romero")*(20/1083),IF(C1646="Estágio",SUMIFS($D:$D,$A:$A,$A1646,$B:$B,"&lt;&gt;Patrícia Karla de Sousa Araújo",$B:$B,"&lt;&gt;Lorena Dias de Araujo",$B:$B,"&lt;&gt;Lucas Luiz Romero")*(10/1083),0)))))),0)</f>
        <v>22</v>
      </c>
      <c r="K1646" s="3">
        <f>I1646-J1646</f>
        <v>-6</v>
      </c>
      <c r="L1646" s="3" t="str">
        <f>IF(K1646&lt;-5,"CRÍTICO",IF(K1646&lt;0,"ATENÇÃO",IF(K1646&lt;=5,"BOM","EXCELENTE")))</f>
        <v>CRÍTICO</v>
      </c>
      <c r="M1646">
        <v>11</v>
      </c>
      <c r="N1646">
        <v>97.56</v>
      </c>
      <c r="O1646">
        <v>31.067961165048541</v>
      </c>
    </row>
    <row r="1647" spans="1:15" hidden="1" x14ac:dyDescent="0.25">
      <c r="A1647" s="11">
        <v>46051</v>
      </c>
      <c r="B1647" t="s">
        <v>29</v>
      </c>
      <c r="C1647" t="s">
        <v>26</v>
      </c>
      <c r="D1647">
        <v>0</v>
      </c>
      <c r="E1647">
        <v>0</v>
      </c>
      <c r="F1647">
        <v>0</v>
      </c>
      <c r="G1647">
        <v>0</v>
      </c>
      <c r="H1647">
        <v>0</v>
      </c>
      <c r="I1647" s="3">
        <v>0</v>
      </c>
      <c r="J1647" s="3">
        <v>0</v>
      </c>
      <c r="K1647" s="3">
        <v>0</v>
      </c>
      <c r="L1647" s="3" t="str">
        <f>IF(K1647&lt;-5,"CRÍTICO",IF(K1647&lt;0,"ATENÇÃO",IF(K1647&lt;=5,"BOM","EXCELENTE")))</f>
        <v>BOM</v>
      </c>
      <c r="M1647">
        <v>0</v>
      </c>
      <c r="N1647">
        <v>0</v>
      </c>
      <c r="O1647">
        <v>0</v>
      </c>
    </row>
    <row r="1648" spans="1:15" hidden="1" x14ac:dyDescent="0.25">
      <c r="A1648" s="11">
        <v>46051</v>
      </c>
      <c r="B1648" t="s">
        <v>30</v>
      </c>
      <c r="C1648" t="s">
        <v>26</v>
      </c>
      <c r="D1648">
        <v>0</v>
      </c>
      <c r="E1648">
        <v>0</v>
      </c>
      <c r="F1648">
        <v>0</v>
      </c>
      <c r="G1648">
        <v>0</v>
      </c>
      <c r="H1648">
        <v>0</v>
      </c>
      <c r="I1648" s="3">
        <v>0</v>
      </c>
      <c r="J1648" s="3">
        <v>0</v>
      </c>
      <c r="K1648" s="3">
        <v>0</v>
      </c>
      <c r="L1648" s="3" t="str">
        <f>IF(K1648&lt;-5,"CRÍTICO",IF(K1648&lt;0,"ATENÇÃO",IF(K1648&lt;=5,"BOM","EXCELENTE")))</f>
        <v>BOM</v>
      </c>
      <c r="M1648">
        <v>0</v>
      </c>
      <c r="N1648">
        <v>0</v>
      </c>
      <c r="O1648">
        <v>0</v>
      </c>
    </row>
    <row r="1649" spans="1:15" hidden="1" x14ac:dyDescent="0.25">
      <c r="A1649" s="11">
        <v>46051</v>
      </c>
      <c r="B1649" t="s">
        <v>21</v>
      </c>
      <c r="C1649" t="s">
        <v>16</v>
      </c>
      <c r="D1649">
        <v>0</v>
      </c>
      <c r="E1649">
        <v>0</v>
      </c>
      <c r="F1649">
        <v>0</v>
      </c>
      <c r="G1649">
        <v>0</v>
      </c>
      <c r="H1649">
        <v>0</v>
      </c>
      <c r="I1649" s="3">
        <v>0</v>
      </c>
      <c r="J1649" s="3">
        <v>0</v>
      </c>
      <c r="K1649" s="3">
        <v>0</v>
      </c>
      <c r="L1649" s="3" t="str">
        <f>IF(K1649&lt;-5,"CRÍTICO",IF(K1649&lt;0,"ATENÇÃO",IF(K1649&lt;=5,"BOM","EXCELENTE")))</f>
        <v>BOM</v>
      </c>
      <c r="M1649">
        <v>0</v>
      </c>
      <c r="N1649">
        <v>0</v>
      </c>
      <c r="O1649">
        <v>0</v>
      </c>
    </row>
    <row r="1650" spans="1:15" hidden="1" x14ac:dyDescent="0.25">
      <c r="A1650" s="11">
        <v>46051</v>
      </c>
      <c r="B1650" t="s">
        <v>63</v>
      </c>
      <c r="C1650" t="s">
        <v>23</v>
      </c>
      <c r="D1650">
        <v>8</v>
      </c>
      <c r="E1650">
        <v>5</v>
      </c>
      <c r="F1650">
        <v>43.53</v>
      </c>
      <c r="G1650">
        <v>0</v>
      </c>
      <c r="H1650">
        <v>0</v>
      </c>
      <c r="I1650" s="3">
        <f>E1650+G1650+H1650</f>
        <v>5</v>
      </c>
      <c r="J1650" s="3">
        <f>ROUND(MIN(IF(C1650="Técnico III",35,IF(C1650="Técnico II",28,IF(C1650="Técnico I",23,IF(C1650="JR",20,IF(C1650="Estágio",10,0))))),IF(C1650="Técnico III",SUMIFS($D:$D,$A:$A,$A1650,$B:$B,"&lt;&gt;Patrícia Karla de Sousa Araújo",$B:$B,"&lt;&gt;Lorena Dias de Araujo",$B:$B,"&lt;&gt;Lucas Luiz Romero")*(35/1083),IF(C1650="Técnico II",SUMIFS($D:$D,$A:$A,$A1650,$B:$B,"&lt;&gt;Patrícia Karla de Sousa Araújo",$B:$B,"&lt;&gt;Lorena Dias de Araujo",$B:$B,"&lt;&gt;Lucas Luiz Romero")*(28/1083),IF(C1650="Técnico I",SUMIFS($D:$D,$A:$A,$A1650,$B:$B,"&lt;&gt;Patrícia Karla de Sousa Araújo",$B:$B,"&lt;&gt;Lorena Dias de Araujo",$B:$B,"&lt;&gt;Lucas Luiz Romero")*(23/1083),IF(C1650="JR",SUMIFS($D:$D,$A:$A,$A1650,$B:$B,"&lt;&gt;Patrícia Karla de Sousa Araújo",$B:$B,"&lt;&gt;Lorena Dias de Araujo",$B:$B,"&lt;&gt;Lucas Luiz Romero")*(20/1083),IF(C1650="Estágio",SUMIFS($D:$D,$A:$A,$A1650,$B:$B,"&lt;&gt;Patrícia Karla de Sousa Araújo",$B:$B,"&lt;&gt;Lorena Dias de Araujo",$B:$B,"&lt;&gt;Lucas Luiz Romero")*(10/1083),0)))))),0)</f>
        <v>18</v>
      </c>
      <c r="K1650" s="3">
        <f>I1650-J1650</f>
        <v>-13</v>
      </c>
      <c r="L1650" s="3" t="str">
        <f>IF(K1650&lt;-5,"CRÍTICO",IF(K1650&lt;0,"ATENÇÃO",IF(K1650&lt;=5,"BOM","EXCELENTE")))</f>
        <v>CRÍTICO</v>
      </c>
      <c r="M1650">
        <v>6</v>
      </c>
      <c r="N1650">
        <v>100</v>
      </c>
      <c r="O1650">
        <v>53.846153846153847</v>
      </c>
    </row>
    <row r="1651" spans="1:15" hidden="1" x14ac:dyDescent="0.25">
      <c r="A1651" s="11">
        <v>46051</v>
      </c>
      <c r="B1651" t="s">
        <v>45</v>
      </c>
      <c r="C1651" t="s">
        <v>32</v>
      </c>
      <c r="D1651">
        <v>50</v>
      </c>
      <c r="E1651">
        <v>45</v>
      </c>
      <c r="F1651">
        <v>10.49</v>
      </c>
      <c r="G1651">
        <v>0</v>
      </c>
      <c r="H1651">
        <v>0</v>
      </c>
      <c r="I1651" s="3">
        <f>E1651+G1651+H1651</f>
        <v>45</v>
      </c>
      <c r="J1651" s="3">
        <f>ROUND(MIN(IF(C1651="Técnico III",35,IF(C1651="Técnico II",28,IF(C1651="Técnico I",23,IF(C1651="JR",20,IF(C1651="Estágio",10,0))))),IF(C1651="Técnico III",SUMIFS($D:$D,$A:$A,$A1651,$B:$B,"&lt;&gt;Patrícia Karla de Sousa Araújo",$B:$B,"&lt;&gt;Lorena Dias de Araujo",$B:$B,"&lt;&gt;Lucas Luiz Romero")*(35/1083),IF(C1651="Técnico II",SUMIFS($D:$D,$A:$A,$A1651,$B:$B,"&lt;&gt;Patrícia Karla de Sousa Araújo",$B:$B,"&lt;&gt;Lorena Dias de Araujo",$B:$B,"&lt;&gt;Lucas Luiz Romero")*(28/1083),IF(C1651="Técnico I",SUMIFS($D:$D,$A:$A,$A1651,$B:$B,"&lt;&gt;Patrícia Karla de Sousa Araújo",$B:$B,"&lt;&gt;Lorena Dias de Araujo",$B:$B,"&lt;&gt;Lucas Luiz Romero")*(23/1083),IF(C1651="JR",SUMIFS($D:$D,$A:$A,$A1651,$B:$B,"&lt;&gt;Patrícia Karla de Sousa Araújo",$B:$B,"&lt;&gt;Lorena Dias de Araujo",$B:$B,"&lt;&gt;Lucas Luiz Romero")*(20/1083),IF(C1651="Estágio",SUMIFS($D:$D,$A:$A,$A1651,$B:$B,"&lt;&gt;Patrícia Karla de Sousa Araújo",$B:$B,"&lt;&gt;Lorena Dias de Araujo",$B:$B,"&lt;&gt;Lucas Luiz Romero")*(10/1083),0)))))),0)</f>
        <v>28</v>
      </c>
      <c r="K1651" s="3">
        <f>I1651-J1651</f>
        <v>17</v>
      </c>
      <c r="L1651" s="3" t="str">
        <f>IF(K1651&lt;-5,"CRÍTICO",IF(K1651&lt;0,"ATENÇÃO",IF(K1651&lt;=5,"BOM","EXCELENTE")))</f>
        <v>EXCELENTE</v>
      </c>
      <c r="M1651">
        <v>34</v>
      </c>
      <c r="N1651">
        <v>100</v>
      </c>
      <c r="O1651">
        <v>44.05594405594406</v>
      </c>
    </row>
    <row r="1652" spans="1:15" hidden="1" x14ac:dyDescent="0.25">
      <c r="A1652" s="11">
        <v>46051</v>
      </c>
      <c r="B1652" t="s">
        <v>64</v>
      </c>
      <c r="C1652" t="s">
        <v>23</v>
      </c>
      <c r="D1652">
        <v>13</v>
      </c>
      <c r="E1652">
        <v>10</v>
      </c>
      <c r="F1652">
        <v>55</v>
      </c>
      <c r="G1652">
        <v>0</v>
      </c>
      <c r="H1652">
        <v>0</v>
      </c>
      <c r="I1652" s="3">
        <f>E1652+G1652+H1652</f>
        <v>10</v>
      </c>
      <c r="J1652" s="3">
        <f>ROUND(MIN(IF(C1652="Técnico III",35,IF(C1652="Técnico II",28,IF(C1652="Técnico I",23,IF(C1652="JR",20,IF(C1652="Estágio",10,0))))),IF(C1652="Técnico III",SUMIFS($D:$D,$A:$A,$A1652,$B:$B,"&lt;&gt;Patrícia Karla de Sousa Araújo",$B:$B,"&lt;&gt;Lorena Dias de Araujo",$B:$B,"&lt;&gt;Lucas Luiz Romero")*(35/1083),IF(C1652="Técnico II",SUMIFS($D:$D,$A:$A,$A1652,$B:$B,"&lt;&gt;Patrícia Karla de Sousa Araújo",$B:$B,"&lt;&gt;Lorena Dias de Araujo",$B:$B,"&lt;&gt;Lucas Luiz Romero")*(28/1083),IF(C1652="Técnico I",SUMIFS($D:$D,$A:$A,$A1652,$B:$B,"&lt;&gt;Patrícia Karla de Sousa Araújo",$B:$B,"&lt;&gt;Lorena Dias de Araujo",$B:$B,"&lt;&gt;Lucas Luiz Romero")*(23/1083),IF(C1652="JR",SUMIFS($D:$D,$A:$A,$A1652,$B:$B,"&lt;&gt;Patrícia Karla de Sousa Araújo",$B:$B,"&lt;&gt;Lorena Dias de Araujo",$B:$B,"&lt;&gt;Lucas Luiz Romero")*(20/1083),IF(C1652="Estágio",SUMIFS($D:$D,$A:$A,$A1652,$B:$B,"&lt;&gt;Patrícia Karla de Sousa Araújo",$B:$B,"&lt;&gt;Lorena Dias de Araujo",$B:$B,"&lt;&gt;Lucas Luiz Romero")*(10/1083),0)))))),0)</f>
        <v>18</v>
      </c>
      <c r="K1652" s="3">
        <f>I1652-J1652</f>
        <v>-8</v>
      </c>
      <c r="L1652" s="3" t="str">
        <f>IF(K1652&lt;-5,"CRÍTICO",IF(K1652&lt;0,"ATENÇÃO",IF(K1652&lt;=5,"BOM","EXCELENTE")))</f>
        <v>CRÍTICO</v>
      </c>
      <c r="M1652">
        <v>10</v>
      </c>
      <c r="N1652">
        <v>100</v>
      </c>
      <c r="O1652">
        <v>31.872509960159359</v>
      </c>
    </row>
    <row r="1653" spans="1:15" hidden="1" x14ac:dyDescent="0.25">
      <c r="A1653" s="11">
        <v>46051</v>
      </c>
      <c r="B1653" t="s">
        <v>46</v>
      </c>
      <c r="C1653" t="s">
        <v>32</v>
      </c>
      <c r="D1653">
        <v>33</v>
      </c>
      <c r="E1653">
        <v>32</v>
      </c>
      <c r="F1653">
        <v>15.01</v>
      </c>
      <c r="G1653">
        <v>0</v>
      </c>
      <c r="H1653">
        <v>0</v>
      </c>
      <c r="I1653" s="3">
        <f>E1653+G1653+H1653</f>
        <v>32</v>
      </c>
      <c r="J1653" s="3">
        <f>ROUND(MIN(IF(C1653="Técnico III",35,IF(C1653="Técnico II",28,IF(C1653="Técnico I",23,IF(C1653="JR",20,IF(C1653="Estágio",10,0))))),IF(C1653="Técnico III",SUMIFS($D:$D,$A:$A,$A1653,$B:$B,"&lt;&gt;Patrícia Karla de Sousa Araújo",$B:$B,"&lt;&gt;Lorena Dias de Araujo",$B:$B,"&lt;&gt;Lucas Luiz Romero")*(35/1083),IF(C1653="Técnico II",SUMIFS($D:$D,$A:$A,$A1653,$B:$B,"&lt;&gt;Patrícia Karla de Sousa Araújo",$B:$B,"&lt;&gt;Lorena Dias de Araujo",$B:$B,"&lt;&gt;Lucas Luiz Romero")*(28/1083),IF(C1653="Técnico I",SUMIFS($D:$D,$A:$A,$A1653,$B:$B,"&lt;&gt;Patrícia Karla de Sousa Araújo",$B:$B,"&lt;&gt;Lorena Dias de Araujo",$B:$B,"&lt;&gt;Lucas Luiz Romero")*(23/1083),IF(C1653="JR",SUMIFS($D:$D,$A:$A,$A1653,$B:$B,"&lt;&gt;Patrícia Karla de Sousa Araújo",$B:$B,"&lt;&gt;Lorena Dias de Araujo",$B:$B,"&lt;&gt;Lucas Luiz Romero")*(20/1083),IF(C1653="Estágio",SUMIFS($D:$D,$A:$A,$A1653,$B:$B,"&lt;&gt;Patrícia Karla de Sousa Araújo",$B:$B,"&lt;&gt;Lorena Dias de Araujo",$B:$B,"&lt;&gt;Lucas Luiz Romero")*(10/1083),0)))))),0)</f>
        <v>28</v>
      </c>
      <c r="K1653" s="3">
        <f>I1653-J1653</f>
        <v>4</v>
      </c>
      <c r="L1653" s="3" t="str">
        <f>IF(K1653&lt;-5,"CRÍTICO",IF(K1653&lt;0,"ATENÇÃO",IF(K1653&lt;=5,"BOM","EXCELENTE")))</f>
        <v>BOM</v>
      </c>
      <c r="M1653">
        <v>29</v>
      </c>
      <c r="N1653">
        <v>98.41</v>
      </c>
      <c r="O1653">
        <v>29.22465208747515</v>
      </c>
    </row>
    <row r="1654" spans="1:15" hidden="1" x14ac:dyDescent="0.25">
      <c r="A1654" s="11">
        <v>46052</v>
      </c>
      <c r="B1654" t="s">
        <v>47</v>
      </c>
      <c r="C1654" t="s">
        <v>48</v>
      </c>
      <c r="D1654">
        <v>39</v>
      </c>
      <c r="E1654">
        <v>32</v>
      </c>
      <c r="F1654">
        <v>14</v>
      </c>
      <c r="G1654">
        <v>0</v>
      </c>
      <c r="H1654">
        <v>0</v>
      </c>
      <c r="I1654" s="3">
        <f>E1654+G1654+H1654</f>
        <v>32</v>
      </c>
      <c r="J1654" s="3">
        <f>ROUND(MIN(IF(C1654="Técnico III",35,IF(C1654="Técnico II",28,IF(C1654="Técnico I",23,IF(C1654="JR",20,IF(C1654="Estágio",10,0))))),IF(C1654="Técnico III",SUMIFS($D:$D,$A:$A,$A1654,$B:$B,"&lt;&gt;Patrícia Karla de Sousa Araújo",$B:$B,"&lt;&gt;Lorena Dias de Araujo",$B:$B,"&lt;&gt;Lucas Luiz Romero")*(35/1083),IF(C1654="Técnico II",SUMIFS($D:$D,$A:$A,$A1654,$B:$B,"&lt;&gt;Patrícia Karla de Sousa Araújo",$B:$B,"&lt;&gt;Lorena Dias de Araujo",$B:$B,"&lt;&gt;Lucas Luiz Romero")*(28/1083),IF(C1654="Técnico I",SUMIFS($D:$D,$A:$A,$A1654,$B:$B,"&lt;&gt;Patrícia Karla de Sousa Araújo",$B:$B,"&lt;&gt;Lorena Dias de Araujo",$B:$B,"&lt;&gt;Lucas Luiz Romero")*(23/1083),IF(C1654="JR",SUMIFS($D:$D,$A:$A,$A1654,$B:$B,"&lt;&gt;Patrícia Karla de Sousa Araújo",$B:$B,"&lt;&gt;Lorena Dias de Araujo",$B:$B,"&lt;&gt;Lucas Luiz Romero")*(20/1083),IF(C1654="Estágio",SUMIFS($D:$D,$A:$A,$A1654,$B:$B,"&lt;&gt;Patrícia Karla de Sousa Araújo",$B:$B,"&lt;&gt;Lorena Dias de Araujo",$B:$B,"&lt;&gt;Lucas Luiz Romero")*(10/1083),0)))))),0)</f>
        <v>22</v>
      </c>
      <c r="K1654" s="3">
        <f>I1654-J1654</f>
        <v>10</v>
      </c>
      <c r="L1654" s="3" t="str">
        <f>IF(K1654&lt;-5,"CRÍTICO",IF(K1654&lt;0,"ATENÇÃO",IF(K1654&lt;=5,"BOM","EXCELENTE")))</f>
        <v>EXCELENTE</v>
      </c>
      <c r="M1654">
        <v>23</v>
      </c>
      <c r="N1654">
        <v>96.81</v>
      </c>
      <c r="O1654">
        <v>27.980535279805348</v>
      </c>
    </row>
    <row r="1655" spans="1:15" hidden="1" x14ac:dyDescent="0.25">
      <c r="A1655" s="11">
        <v>46052</v>
      </c>
      <c r="B1655" t="s">
        <v>31</v>
      </c>
      <c r="C1655" t="s">
        <v>32</v>
      </c>
      <c r="D1655">
        <v>0</v>
      </c>
      <c r="E1655">
        <v>0</v>
      </c>
      <c r="F1655">
        <v>0</v>
      </c>
      <c r="G1655">
        <v>0</v>
      </c>
      <c r="H1655">
        <v>0</v>
      </c>
      <c r="I1655" s="3">
        <v>0</v>
      </c>
      <c r="J1655" s="3">
        <v>0</v>
      </c>
      <c r="K1655" s="3">
        <v>0</v>
      </c>
      <c r="L1655" s="3" t="str">
        <f>IF(K1655&lt;-5,"CRÍTICO",IF(K1655&lt;0,"ATENÇÃO",IF(K1655&lt;=5,"BOM","EXCELENTE")))</f>
        <v>BOM</v>
      </c>
      <c r="M1655">
        <v>29</v>
      </c>
      <c r="N1655">
        <v>98.73</v>
      </c>
      <c r="O1655">
        <v>35.756385068762278</v>
      </c>
    </row>
    <row r="1656" spans="1:15" hidden="1" x14ac:dyDescent="0.25">
      <c r="A1656" s="11">
        <v>46052</v>
      </c>
      <c r="B1656" t="s">
        <v>59</v>
      </c>
      <c r="C1656" t="s">
        <v>23</v>
      </c>
      <c r="D1656">
        <v>26</v>
      </c>
      <c r="E1656">
        <v>25</v>
      </c>
      <c r="F1656">
        <v>25.45</v>
      </c>
      <c r="G1656">
        <v>0</v>
      </c>
      <c r="H1656">
        <v>0</v>
      </c>
      <c r="I1656" s="3">
        <f>E1656+G1656+H1656</f>
        <v>25</v>
      </c>
      <c r="J1656" s="3">
        <f>ROUND(MIN(IF(C1656="Técnico III",35,IF(C1656="Técnico II",28,IF(C1656="Técnico I",23,IF(C1656="JR",20,IF(C1656="Estágio",10,0))))),IF(C1656="Técnico III",SUMIFS($D:$D,$A:$A,$A1656,$B:$B,"&lt;&gt;Patrícia Karla de Sousa Araújo",$B:$B,"&lt;&gt;Lorena Dias de Araujo",$B:$B,"&lt;&gt;Lucas Luiz Romero")*(35/1083),IF(C1656="Técnico II",SUMIFS($D:$D,$A:$A,$A1656,$B:$B,"&lt;&gt;Patrícia Karla de Sousa Araújo",$B:$B,"&lt;&gt;Lorena Dias de Araujo",$B:$B,"&lt;&gt;Lucas Luiz Romero")*(28/1083),IF(C1656="Técnico I",SUMIFS($D:$D,$A:$A,$A1656,$B:$B,"&lt;&gt;Patrícia Karla de Sousa Araújo",$B:$B,"&lt;&gt;Lorena Dias de Araujo",$B:$B,"&lt;&gt;Lucas Luiz Romero")*(23/1083),IF(C1656="JR",SUMIFS($D:$D,$A:$A,$A1656,$B:$B,"&lt;&gt;Patrícia Karla de Sousa Araújo",$B:$B,"&lt;&gt;Lorena Dias de Araujo",$B:$B,"&lt;&gt;Lucas Luiz Romero")*(20/1083),IF(C1656="Estágio",SUMIFS($D:$D,$A:$A,$A1656,$B:$B,"&lt;&gt;Patrícia Karla de Sousa Araújo",$B:$B,"&lt;&gt;Lorena Dias de Araujo",$B:$B,"&lt;&gt;Lucas Luiz Romero")*(10/1083),0)))))),0)</f>
        <v>18</v>
      </c>
      <c r="K1656" s="3">
        <f>I1656-J1656</f>
        <v>7</v>
      </c>
      <c r="L1656" s="3" t="str">
        <f>IF(K1656&lt;-5,"CRÍTICO",IF(K1656&lt;0,"ATENÇÃO",IF(K1656&lt;=5,"BOM","EXCELENTE")))</f>
        <v>EXCELENTE</v>
      </c>
      <c r="M1656">
        <v>21</v>
      </c>
      <c r="N1656">
        <v>98.32</v>
      </c>
      <c r="O1656">
        <v>26.763485477178421</v>
      </c>
    </row>
    <row r="1657" spans="1:15" hidden="1" x14ac:dyDescent="0.25">
      <c r="A1657" s="11">
        <v>46052</v>
      </c>
      <c r="B1657" t="s">
        <v>33</v>
      </c>
      <c r="C1657" t="s">
        <v>32</v>
      </c>
      <c r="D1657">
        <v>27</v>
      </c>
      <c r="E1657">
        <v>25</v>
      </c>
      <c r="F1657">
        <v>20.38</v>
      </c>
      <c r="G1657">
        <v>0</v>
      </c>
      <c r="H1657">
        <v>0</v>
      </c>
      <c r="I1657" s="3">
        <f>E1657+G1657+H1657</f>
        <v>25</v>
      </c>
      <c r="J1657" s="3">
        <f>ROUND(MIN(IF(C1657="Técnico III",35,IF(C1657="Técnico II",28,IF(C1657="Técnico I",23,IF(C1657="JR",20,IF(C1657="Estágio",10,0))))),IF(C1657="Técnico III",SUMIFS($D:$D,$A:$A,$A1657,$B:$B,"&lt;&gt;Patrícia Karla de Sousa Araújo",$B:$B,"&lt;&gt;Lorena Dias de Araujo",$B:$B,"&lt;&gt;Lucas Luiz Romero")*(35/1083),IF(C1657="Técnico II",SUMIFS($D:$D,$A:$A,$A1657,$B:$B,"&lt;&gt;Patrícia Karla de Sousa Araújo",$B:$B,"&lt;&gt;Lorena Dias de Araujo",$B:$B,"&lt;&gt;Lucas Luiz Romero")*(28/1083),IF(C1657="Técnico I",SUMIFS($D:$D,$A:$A,$A1657,$B:$B,"&lt;&gt;Patrícia Karla de Sousa Araújo",$B:$B,"&lt;&gt;Lorena Dias de Araujo",$B:$B,"&lt;&gt;Lucas Luiz Romero")*(23/1083),IF(C1657="JR",SUMIFS($D:$D,$A:$A,$A1657,$B:$B,"&lt;&gt;Patrícia Karla de Sousa Araújo",$B:$B,"&lt;&gt;Lorena Dias de Araujo",$B:$B,"&lt;&gt;Lucas Luiz Romero")*(20/1083),IF(C1657="Estágio",SUMIFS($D:$D,$A:$A,$A1657,$B:$B,"&lt;&gt;Patrícia Karla de Sousa Araújo",$B:$B,"&lt;&gt;Lorena Dias de Araujo",$B:$B,"&lt;&gt;Lucas Luiz Romero")*(10/1083),0)))))),0)</f>
        <v>28</v>
      </c>
      <c r="K1657" s="3">
        <f>I1657-J1657</f>
        <v>-3</v>
      </c>
      <c r="L1657" s="3" t="str">
        <f>IF(K1657&lt;-5,"CRÍTICO",IF(K1657&lt;0,"ATENÇÃO",IF(K1657&lt;=5,"BOM","EXCELENTE")))</f>
        <v>ATENÇÃO</v>
      </c>
      <c r="M1657">
        <v>23</v>
      </c>
      <c r="N1657">
        <v>99.19</v>
      </c>
      <c r="O1657">
        <v>27.637130801687761</v>
      </c>
    </row>
    <row r="1658" spans="1:15" hidden="1" x14ac:dyDescent="0.25">
      <c r="A1658" s="11">
        <v>46052</v>
      </c>
      <c r="B1658" t="s">
        <v>15</v>
      </c>
      <c r="C1658" t="s">
        <v>16</v>
      </c>
      <c r="D1658">
        <v>0</v>
      </c>
      <c r="E1658">
        <v>0</v>
      </c>
      <c r="F1658">
        <v>0</v>
      </c>
      <c r="G1658">
        <v>0</v>
      </c>
      <c r="H1658">
        <v>0</v>
      </c>
      <c r="I1658" s="3">
        <v>0</v>
      </c>
      <c r="J1658" s="3">
        <v>0</v>
      </c>
      <c r="K1658" s="3">
        <v>0</v>
      </c>
      <c r="L1658" s="3" t="str">
        <f>IF(K1658&lt;-5,"CRÍTICO",IF(K1658&lt;0,"ATENÇÃO",IF(K1658&lt;=5,"BOM","EXCELENTE")))</f>
        <v>BOM</v>
      </c>
      <c r="M1658">
        <v>0</v>
      </c>
      <c r="N1658">
        <v>100</v>
      </c>
      <c r="O1658">
        <v>39.568345323741013</v>
      </c>
    </row>
    <row r="1659" spans="1:15" hidden="1" x14ac:dyDescent="0.25">
      <c r="A1659" s="11">
        <v>46052</v>
      </c>
      <c r="B1659" t="s">
        <v>49</v>
      </c>
      <c r="C1659" t="s">
        <v>48</v>
      </c>
      <c r="D1659">
        <v>21</v>
      </c>
      <c r="E1659">
        <v>18</v>
      </c>
      <c r="F1659">
        <v>18.55</v>
      </c>
      <c r="G1659">
        <v>0</v>
      </c>
      <c r="H1659">
        <v>0</v>
      </c>
      <c r="I1659" s="3">
        <f>E1659+G1659+H1659</f>
        <v>18</v>
      </c>
      <c r="J1659" s="3">
        <f>ROUND(MIN(IF(C1659="Técnico III",35,IF(C1659="Técnico II",28,IF(C1659="Técnico I",23,IF(C1659="JR",20,IF(C1659="Estágio",10,0))))),IF(C1659="Técnico III",SUMIFS($D:$D,$A:$A,$A1659,$B:$B,"&lt;&gt;Patrícia Karla de Sousa Araújo",$B:$B,"&lt;&gt;Lorena Dias de Araujo",$B:$B,"&lt;&gt;Lucas Luiz Romero")*(35/1083),IF(C1659="Técnico II",SUMIFS($D:$D,$A:$A,$A1659,$B:$B,"&lt;&gt;Patrícia Karla de Sousa Araújo",$B:$B,"&lt;&gt;Lorena Dias de Araujo",$B:$B,"&lt;&gt;Lucas Luiz Romero")*(28/1083),IF(C1659="Técnico I",SUMIFS($D:$D,$A:$A,$A1659,$B:$B,"&lt;&gt;Patrícia Karla de Sousa Araújo",$B:$B,"&lt;&gt;Lorena Dias de Araujo",$B:$B,"&lt;&gt;Lucas Luiz Romero")*(23/1083),IF(C1659="JR",SUMIFS($D:$D,$A:$A,$A1659,$B:$B,"&lt;&gt;Patrícia Karla de Sousa Araújo",$B:$B,"&lt;&gt;Lorena Dias de Araujo",$B:$B,"&lt;&gt;Lucas Luiz Romero")*(20/1083),IF(C1659="Estágio",SUMIFS($D:$D,$A:$A,$A1659,$B:$B,"&lt;&gt;Patrícia Karla de Sousa Araújo",$B:$B,"&lt;&gt;Lorena Dias de Araujo",$B:$B,"&lt;&gt;Lucas Luiz Romero")*(10/1083),0)))))),0)</f>
        <v>22</v>
      </c>
      <c r="K1659" s="3">
        <f>I1659-J1659</f>
        <v>-4</v>
      </c>
      <c r="L1659" s="3" t="str">
        <f>IF(K1659&lt;-5,"CRÍTICO",IF(K1659&lt;0,"ATENÇÃO",IF(K1659&lt;=5,"BOM","EXCELENTE")))</f>
        <v>ATENÇÃO</v>
      </c>
      <c r="M1659">
        <v>22</v>
      </c>
      <c r="N1659">
        <v>98.54</v>
      </c>
      <c r="O1659">
        <v>28.544776119402989</v>
      </c>
    </row>
    <row r="1660" spans="1:15" hidden="1" x14ac:dyDescent="0.25">
      <c r="A1660" s="11">
        <v>46052</v>
      </c>
      <c r="B1660" t="s">
        <v>50</v>
      </c>
      <c r="C1660" t="s">
        <v>48</v>
      </c>
      <c r="D1660">
        <v>15</v>
      </c>
      <c r="E1660">
        <v>14</v>
      </c>
      <c r="F1660">
        <v>34.130000000000003</v>
      </c>
      <c r="G1660">
        <v>0</v>
      </c>
      <c r="H1660">
        <v>0</v>
      </c>
      <c r="I1660" s="3">
        <f>E1660+G1660+H1660</f>
        <v>14</v>
      </c>
      <c r="J1660" s="3">
        <f>ROUND(MIN(IF(C1660="Técnico III",35,IF(C1660="Técnico II",28,IF(C1660="Técnico I",23,IF(C1660="JR",20,IF(C1660="Estágio",10,0))))),IF(C1660="Técnico III",SUMIFS($D:$D,$A:$A,$A1660,$B:$B,"&lt;&gt;Patrícia Karla de Sousa Araújo",$B:$B,"&lt;&gt;Lorena Dias de Araujo",$B:$B,"&lt;&gt;Lucas Luiz Romero")*(35/1083),IF(C1660="Técnico II",SUMIFS($D:$D,$A:$A,$A1660,$B:$B,"&lt;&gt;Patrícia Karla de Sousa Araújo",$B:$B,"&lt;&gt;Lorena Dias de Araujo",$B:$B,"&lt;&gt;Lucas Luiz Romero")*(28/1083),IF(C1660="Técnico I",SUMIFS($D:$D,$A:$A,$A1660,$B:$B,"&lt;&gt;Patrícia Karla de Sousa Araújo",$B:$B,"&lt;&gt;Lorena Dias de Araujo",$B:$B,"&lt;&gt;Lucas Luiz Romero")*(23/1083),IF(C1660="JR",SUMIFS($D:$D,$A:$A,$A1660,$B:$B,"&lt;&gt;Patrícia Karla de Sousa Araújo",$B:$B,"&lt;&gt;Lorena Dias de Araujo",$B:$B,"&lt;&gt;Lucas Luiz Romero")*(20/1083),IF(C1660="Estágio",SUMIFS($D:$D,$A:$A,$A1660,$B:$B,"&lt;&gt;Patrícia Karla de Sousa Araújo",$B:$B,"&lt;&gt;Lorena Dias de Araujo",$B:$B,"&lt;&gt;Lucas Luiz Romero")*(10/1083),0)))))),0)</f>
        <v>22</v>
      </c>
      <c r="K1660" s="3">
        <f>I1660-J1660</f>
        <v>-8</v>
      </c>
      <c r="L1660" s="3" t="str">
        <f>IF(K1660&lt;-5,"CRÍTICO",IF(K1660&lt;0,"ATENÇÃO",IF(K1660&lt;=5,"BOM","EXCELENTE")))</f>
        <v>CRÍTICO</v>
      </c>
      <c r="M1660">
        <v>16</v>
      </c>
      <c r="N1660">
        <v>100</v>
      </c>
      <c r="O1660">
        <v>34.366925064599492</v>
      </c>
    </row>
    <row r="1661" spans="1:15" hidden="1" x14ac:dyDescent="0.25">
      <c r="A1661" s="11">
        <v>46052</v>
      </c>
      <c r="B1661" t="s">
        <v>17</v>
      </c>
      <c r="C1661" t="s">
        <v>16</v>
      </c>
      <c r="D1661">
        <v>0</v>
      </c>
      <c r="E1661">
        <v>0</v>
      </c>
      <c r="F1661">
        <v>0</v>
      </c>
      <c r="G1661">
        <v>0</v>
      </c>
      <c r="H1661">
        <v>0</v>
      </c>
      <c r="I1661" s="3">
        <v>0</v>
      </c>
      <c r="J1661" s="3">
        <v>0</v>
      </c>
      <c r="K1661" s="3">
        <v>0</v>
      </c>
      <c r="L1661" s="3" t="str">
        <f>IF(K1661&lt;-5,"CRÍTICO",IF(K1661&lt;0,"ATENÇÃO",IF(K1661&lt;=5,"BOM","EXCELENTE")))</f>
        <v>BOM</v>
      </c>
      <c r="M1661">
        <v>0</v>
      </c>
      <c r="N1661">
        <v>0</v>
      </c>
      <c r="O1661">
        <v>0</v>
      </c>
    </row>
    <row r="1662" spans="1:15" hidden="1" x14ac:dyDescent="0.25">
      <c r="A1662" s="11">
        <v>46052</v>
      </c>
      <c r="B1662" t="s">
        <v>60</v>
      </c>
      <c r="C1662" t="s">
        <v>23</v>
      </c>
      <c r="D1662">
        <v>25</v>
      </c>
      <c r="E1662">
        <v>23</v>
      </c>
      <c r="F1662">
        <v>24.1</v>
      </c>
      <c r="G1662">
        <v>0</v>
      </c>
      <c r="H1662">
        <v>0</v>
      </c>
      <c r="I1662" s="3">
        <f>E1662+G1662+H1662</f>
        <v>23</v>
      </c>
      <c r="J1662" s="3">
        <f>ROUND(MIN(IF(C1662="Técnico III",35,IF(C1662="Técnico II",28,IF(C1662="Técnico I",23,IF(C1662="JR",20,IF(C1662="Estágio",10,0))))),IF(C1662="Técnico III",SUMIFS($D:$D,$A:$A,$A1662,$B:$B,"&lt;&gt;Patrícia Karla de Sousa Araújo",$B:$B,"&lt;&gt;Lorena Dias de Araujo",$B:$B,"&lt;&gt;Lucas Luiz Romero")*(35/1083),IF(C1662="Técnico II",SUMIFS($D:$D,$A:$A,$A1662,$B:$B,"&lt;&gt;Patrícia Karla de Sousa Araújo",$B:$B,"&lt;&gt;Lorena Dias de Araujo",$B:$B,"&lt;&gt;Lucas Luiz Romero")*(28/1083),IF(C1662="Técnico I",SUMIFS($D:$D,$A:$A,$A1662,$B:$B,"&lt;&gt;Patrícia Karla de Sousa Araújo",$B:$B,"&lt;&gt;Lorena Dias de Araujo",$B:$B,"&lt;&gt;Lucas Luiz Romero")*(23/1083),IF(C1662="JR",SUMIFS($D:$D,$A:$A,$A1662,$B:$B,"&lt;&gt;Patrícia Karla de Sousa Araújo",$B:$B,"&lt;&gt;Lorena Dias de Araujo",$B:$B,"&lt;&gt;Lucas Luiz Romero")*(20/1083),IF(C1662="Estágio",SUMIFS($D:$D,$A:$A,$A1662,$B:$B,"&lt;&gt;Patrícia Karla de Sousa Araújo",$B:$B,"&lt;&gt;Lorena Dias de Araujo",$B:$B,"&lt;&gt;Lucas Luiz Romero")*(10/1083),0)))))),0)</f>
        <v>18</v>
      </c>
      <c r="K1662" s="3">
        <f>I1662-J1662</f>
        <v>5</v>
      </c>
      <c r="L1662" s="3" t="str">
        <f>IF(K1662&lt;-5,"CRÍTICO",IF(K1662&lt;0,"ATENÇÃO",IF(K1662&lt;=5,"BOM","EXCELENTE")))</f>
        <v>BOM</v>
      </c>
      <c r="M1662">
        <v>21</v>
      </c>
      <c r="N1662">
        <v>100</v>
      </c>
      <c r="O1662">
        <v>29.518072289156631</v>
      </c>
    </row>
    <row r="1663" spans="1:15" hidden="1" x14ac:dyDescent="0.25">
      <c r="A1663" s="11">
        <v>46052</v>
      </c>
      <c r="B1663" t="s">
        <v>34</v>
      </c>
      <c r="C1663" t="s">
        <v>32</v>
      </c>
      <c r="D1663">
        <v>51</v>
      </c>
      <c r="E1663">
        <v>44</v>
      </c>
      <c r="F1663">
        <v>10.35</v>
      </c>
      <c r="G1663">
        <v>0</v>
      </c>
      <c r="H1663">
        <v>0</v>
      </c>
      <c r="I1663" s="3">
        <f>E1663+G1663+H1663</f>
        <v>44</v>
      </c>
      <c r="J1663" s="3">
        <f>ROUND(MIN(IF(C1663="Técnico III",35,IF(C1663="Técnico II",28,IF(C1663="Técnico I",23,IF(C1663="JR",20,IF(C1663="Estágio",10,0))))),IF(C1663="Técnico III",SUMIFS($D:$D,$A:$A,$A1663,$B:$B,"&lt;&gt;Patrícia Karla de Sousa Araújo",$B:$B,"&lt;&gt;Lorena Dias de Araujo",$B:$B,"&lt;&gt;Lucas Luiz Romero")*(35/1083),IF(C1663="Técnico II",SUMIFS($D:$D,$A:$A,$A1663,$B:$B,"&lt;&gt;Patrícia Karla de Sousa Araújo",$B:$B,"&lt;&gt;Lorena Dias de Araujo",$B:$B,"&lt;&gt;Lucas Luiz Romero")*(28/1083),IF(C1663="Técnico I",SUMIFS($D:$D,$A:$A,$A1663,$B:$B,"&lt;&gt;Patrícia Karla de Sousa Araújo",$B:$B,"&lt;&gt;Lorena Dias de Araujo",$B:$B,"&lt;&gt;Lucas Luiz Romero")*(23/1083),IF(C1663="JR",SUMIFS($D:$D,$A:$A,$A1663,$B:$B,"&lt;&gt;Patrícia Karla de Sousa Araújo",$B:$B,"&lt;&gt;Lorena Dias de Araujo",$B:$B,"&lt;&gt;Lucas Luiz Romero")*(20/1083),IF(C1663="Estágio",SUMIFS($D:$D,$A:$A,$A1663,$B:$B,"&lt;&gt;Patrícia Karla de Sousa Araújo",$B:$B,"&lt;&gt;Lorena Dias de Araujo",$B:$B,"&lt;&gt;Lucas Luiz Romero")*(10/1083),0)))))),0)</f>
        <v>28</v>
      </c>
      <c r="K1663" s="3">
        <f>I1663-J1663</f>
        <v>16</v>
      </c>
      <c r="L1663" s="3" t="str">
        <f>IF(K1663&lt;-5,"CRÍTICO",IF(K1663&lt;0,"ATENÇÃO",IF(K1663&lt;=5,"BOM","EXCELENTE")))</f>
        <v>EXCELENTE</v>
      </c>
      <c r="M1663">
        <v>45</v>
      </c>
      <c r="N1663">
        <v>97.45</v>
      </c>
      <c r="O1663">
        <v>41.421143847487002</v>
      </c>
    </row>
    <row r="1664" spans="1:15" hidden="1" x14ac:dyDescent="0.25">
      <c r="A1664" s="11">
        <v>46052</v>
      </c>
      <c r="B1664" t="s">
        <v>51</v>
      </c>
      <c r="C1664" t="s">
        <v>48</v>
      </c>
      <c r="D1664">
        <v>30</v>
      </c>
      <c r="E1664">
        <v>28</v>
      </c>
      <c r="F1664">
        <v>15.34</v>
      </c>
      <c r="G1664">
        <v>0</v>
      </c>
      <c r="H1664">
        <v>0</v>
      </c>
      <c r="I1664" s="3">
        <v>0</v>
      </c>
      <c r="J1664" s="3">
        <v>0</v>
      </c>
      <c r="K1664" s="3">
        <v>0</v>
      </c>
      <c r="L1664" s="3" t="str">
        <f>IF(K1664&lt;-5,"CRÍTICO",IF(K1664&lt;0,"ATENÇÃO",IF(K1664&lt;=5,"BOM","EXCELENTE")))</f>
        <v>BOM</v>
      </c>
      <c r="M1664">
        <v>24</v>
      </c>
      <c r="N1664">
        <v>96.58</v>
      </c>
      <c r="O1664">
        <v>30.396475770925111</v>
      </c>
    </row>
    <row r="1665" spans="1:15" hidden="1" x14ac:dyDescent="0.25">
      <c r="A1665" s="11">
        <v>46052</v>
      </c>
      <c r="B1665" t="s">
        <v>61</v>
      </c>
      <c r="C1665" t="s">
        <v>23</v>
      </c>
      <c r="D1665">
        <v>26</v>
      </c>
      <c r="E1665">
        <v>26</v>
      </c>
      <c r="F1665">
        <v>18.47</v>
      </c>
      <c r="G1665">
        <v>0</v>
      </c>
      <c r="H1665">
        <v>0</v>
      </c>
      <c r="I1665" s="3">
        <f>E1665+G1665+H1665</f>
        <v>26</v>
      </c>
      <c r="J1665" s="3">
        <f>ROUND(MIN(IF(C1665="Técnico III",35,IF(C1665="Técnico II",28,IF(C1665="Técnico I",23,IF(C1665="JR",20,IF(C1665="Estágio",10,0))))),IF(C1665="Técnico III",SUMIFS($D:$D,$A:$A,$A1665,$B:$B,"&lt;&gt;Patrícia Karla de Sousa Araújo",$B:$B,"&lt;&gt;Lorena Dias de Araujo",$B:$B,"&lt;&gt;Lucas Luiz Romero")*(35/1083),IF(C1665="Técnico II",SUMIFS($D:$D,$A:$A,$A1665,$B:$B,"&lt;&gt;Patrícia Karla de Sousa Araújo",$B:$B,"&lt;&gt;Lorena Dias de Araujo",$B:$B,"&lt;&gt;Lucas Luiz Romero")*(28/1083),IF(C1665="Técnico I",SUMIFS($D:$D,$A:$A,$A1665,$B:$B,"&lt;&gt;Patrícia Karla de Sousa Araújo",$B:$B,"&lt;&gt;Lorena Dias de Araujo",$B:$B,"&lt;&gt;Lucas Luiz Romero")*(23/1083),IF(C1665="JR",SUMIFS($D:$D,$A:$A,$A1665,$B:$B,"&lt;&gt;Patrícia Karla de Sousa Araújo",$B:$B,"&lt;&gt;Lorena Dias de Araujo",$B:$B,"&lt;&gt;Lucas Luiz Romero")*(20/1083),IF(C1665="Estágio",SUMIFS($D:$D,$A:$A,$A1665,$B:$B,"&lt;&gt;Patrícia Karla de Sousa Araújo",$B:$B,"&lt;&gt;Lorena Dias de Araujo",$B:$B,"&lt;&gt;Lucas Luiz Romero")*(10/1083),0)))))),0)</f>
        <v>18</v>
      </c>
      <c r="K1665" s="3">
        <f>I1665-J1665</f>
        <v>8</v>
      </c>
      <c r="L1665" s="3" t="str">
        <f>IF(K1665&lt;-5,"CRÍTICO",IF(K1665&lt;0,"ATENÇÃO",IF(K1665&lt;=5,"BOM","EXCELENTE")))</f>
        <v>EXCELENTE</v>
      </c>
      <c r="M1665">
        <v>29</v>
      </c>
      <c r="N1665">
        <v>100</v>
      </c>
      <c r="O1665">
        <v>27.44282744282744</v>
      </c>
    </row>
    <row r="1666" spans="1:15" hidden="1" x14ac:dyDescent="0.25">
      <c r="A1666" s="11">
        <v>46052</v>
      </c>
      <c r="B1666" t="s">
        <v>35</v>
      </c>
      <c r="C1666" t="s">
        <v>32</v>
      </c>
      <c r="D1666">
        <v>38</v>
      </c>
      <c r="E1666">
        <v>38</v>
      </c>
      <c r="F1666">
        <v>18.43</v>
      </c>
      <c r="G1666">
        <v>0</v>
      </c>
      <c r="H1666">
        <v>0</v>
      </c>
      <c r="I1666" s="3">
        <v>0</v>
      </c>
      <c r="J1666" s="3">
        <v>0</v>
      </c>
      <c r="K1666" s="3">
        <v>0</v>
      </c>
      <c r="L1666" s="3" t="str">
        <f>IF(K1666&lt;-5,"CRÍTICO",IF(K1666&lt;0,"ATENÇÃO",IF(K1666&lt;=5,"BOM","EXCELENTE")))</f>
        <v>BOM</v>
      </c>
      <c r="M1666">
        <v>38</v>
      </c>
      <c r="N1666">
        <v>99.49</v>
      </c>
      <c r="O1666">
        <v>40.200000000000003</v>
      </c>
    </row>
    <row r="1667" spans="1:15" hidden="1" x14ac:dyDescent="0.25">
      <c r="A1667" s="11">
        <v>46052</v>
      </c>
      <c r="B1667" t="s">
        <v>18</v>
      </c>
      <c r="C1667" t="s">
        <v>16</v>
      </c>
      <c r="D1667">
        <v>3</v>
      </c>
      <c r="E1667">
        <v>3</v>
      </c>
      <c r="F1667">
        <v>65.23</v>
      </c>
      <c r="G1667">
        <v>0</v>
      </c>
      <c r="H1667">
        <v>0</v>
      </c>
      <c r="I1667" s="3">
        <f>E1667+G1667+H1667</f>
        <v>3</v>
      </c>
      <c r="J1667" s="3">
        <f>ROUND(MIN(IF(C1667="Técnico III",35,IF(C1667="Técnico II",28,IF(C1667="Técnico I",23,IF(C1667="JR",20,IF(C1667="Estágio",10,0))))),IF(C1667="Técnico III",SUMIFS($D:$D,$A:$A,$A1667,$B:$B,"&lt;&gt;Patrícia Karla de Sousa Araújo",$B:$B,"&lt;&gt;Lorena Dias de Araujo",$B:$B,"&lt;&gt;Lucas Luiz Romero")*(35/1083),IF(C1667="Técnico II",SUMIFS($D:$D,$A:$A,$A1667,$B:$B,"&lt;&gt;Patrícia Karla de Sousa Araújo",$B:$B,"&lt;&gt;Lorena Dias de Araujo",$B:$B,"&lt;&gt;Lucas Luiz Romero")*(28/1083),IF(C1667="Técnico I",SUMIFS($D:$D,$A:$A,$A1667,$B:$B,"&lt;&gt;Patrícia Karla de Sousa Araújo",$B:$B,"&lt;&gt;Lorena Dias de Araujo",$B:$B,"&lt;&gt;Lucas Luiz Romero")*(23/1083),IF(C1667="JR",SUMIFS($D:$D,$A:$A,$A1667,$B:$B,"&lt;&gt;Patrícia Karla de Sousa Araújo",$B:$B,"&lt;&gt;Lorena Dias de Araujo",$B:$B,"&lt;&gt;Lucas Luiz Romero")*(20/1083),IF(C1667="Estágio",SUMIFS($D:$D,$A:$A,$A1667,$B:$B,"&lt;&gt;Patrícia Karla de Sousa Araújo",$B:$B,"&lt;&gt;Lorena Dias de Araujo",$B:$B,"&lt;&gt;Lucas Luiz Romero")*(10/1083),0)))))),0)</f>
        <v>8</v>
      </c>
      <c r="K1667" s="3">
        <f>I1667-J1667</f>
        <v>-5</v>
      </c>
      <c r="L1667" s="3" t="str">
        <f>IF(K1667&lt;-5,"CRÍTICO",IF(K1667&lt;0,"ATENÇÃO",IF(K1667&lt;=5,"BOM","EXCELENTE")))</f>
        <v>ATENÇÃO</v>
      </c>
      <c r="M1667">
        <v>2</v>
      </c>
      <c r="N1667">
        <v>100</v>
      </c>
      <c r="O1667">
        <v>25</v>
      </c>
    </row>
    <row r="1668" spans="1:15" hidden="1" x14ac:dyDescent="0.25">
      <c r="A1668" s="11">
        <v>46052</v>
      </c>
      <c r="B1668" t="s">
        <v>52</v>
      </c>
      <c r="C1668" t="s">
        <v>48</v>
      </c>
      <c r="D1668">
        <v>35</v>
      </c>
      <c r="E1668">
        <v>32</v>
      </c>
      <c r="F1668">
        <v>14.19</v>
      </c>
      <c r="G1668">
        <v>0</v>
      </c>
      <c r="H1668">
        <v>0</v>
      </c>
      <c r="I1668" s="3">
        <f>E1668+G1668+H1668</f>
        <v>32</v>
      </c>
      <c r="J1668" s="3">
        <f>ROUND(MIN(IF(C1668="Técnico III",35,IF(C1668="Técnico II",28,IF(C1668="Técnico I",23,IF(C1668="JR",20,IF(C1668="Estágio",10,0))))),IF(C1668="Técnico III",SUMIFS($D:$D,$A:$A,$A1668,$B:$B,"&lt;&gt;Patrícia Karla de Sousa Araújo",$B:$B,"&lt;&gt;Lorena Dias de Araujo",$B:$B,"&lt;&gt;Lucas Luiz Romero")*(35/1083),IF(C1668="Técnico II",SUMIFS($D:$D,$A:$A,$A1668,$B:$B,"&lt;&gt;Patrícia Karla de Sousa Araújo",$B:$B,"&lt;&gt;Lorena Dias de Araujo",$B:$B,"&lt;&gt;Lucas Luiz Romero")*(28/1083),IF(C1668="Técnico I",SUMIFS($D:$D,$A:$A,$A1668,$B:$B,"&lt;&gt;Patrícia Karla de Sousa Araújo",$B:$B,"&lt;&gt;Lorena Dias de Araujo",$B:$B,"&lt;&gt;Lucas Luiz Romero")*(23/1083),IF(C1668="JR",SUMIFS($D:$D,$A:$A,$A1668,$B:$B,"&lt;&gt;Patrícia Karla de Sousa Araújo",$B:$B,"&lt;&gt;Lorena Dias de Araujo",$B:$B,"&lt;&gt;Lucas Luiz Romero")*(20/1083),IF(C1668="Estágio",SUMIFS($D:$D,$A:$A,$A1668,$B:$B,"&lt;&gt;Patrícia Karla de Sousa Araújo",$B:$B,"&lt;&gt;Lorena Dias de Araujo",$B:$B,"&lt;&gt;Lucas Luiz Romero")*(10/1083),0)))))),0)</f>
        <v>22</v>
      </c>
      <c r="K1668" s="3">
        <f>I1668-J1668</f>
        <v>10</v>
      </c>
      <c r="L1668" s="3" t="str">
        <f>IF(K1668&lt;-5,"CRÍTICO",IF(K1668&lt;0,"ATENÇÃO",IF(K1668&lt;=5,"BOM","EXCELENTE")))</f>
        <v>EXCELENTE</v>
      </c>
      <c r="M1668">
        <v>31</v>
      </c>
      <c r="N1668">
        <v>100</v>
      </c>
      <c r="O1668">
        <v>34.15094339622641</v>
      </c>
    </row>
    <row r="1669" spans="1:15" hidden="1" x14ac:dyDescent="0.25">
      <c r="A1669" s="11">
        <v>46052</v>
      </c>
      <c r="B1669" t="s">
        <v>36</v>
      </c>
      <c r="C1669" t="s">
        <v>32</v>
      </c>
      <c r="D1669">
        <v>30</v>
      </c>
      <c r="E1669">
        <v>27</v>
      </c>
      <c r="F1669">
        <v>15.39</v>
      </c>
      <c r="G1669">
        <v>0</v>
      </c>
      <c r="H1669">
        <v>0</v>
      </c>
      <c r="I1669" s="3">
        <f>E1669+G1669+H1669</f>
        <v>27</v>
      </c>
      <c r="J1669" s="3">
        <f>ROUND(MIN(IF(C1669="Técnico III",35,IF(C1669="Técnico II",28,IF(C1669="Técnico I",23,IF(C1669="JR",20,IF(C1669="Estágio",10,0))))),IF(C1669="Técnico III",SUMIFS($D:$D,$A:$A,$A1669,$B:$B,"&lt;&gt;Patrícia Karla de Sousa Araújo",$B:$B,"&lt;&gt;Lorena Dias de Araujo",$B:$B,"&lt;&gt;Lucas Luiz Romero")*(35/1083),IF(C1669="Técnico II",SUMIFS($D:$D,$A:$A,$A1669,$B:$B,"&lt;&gt;Patrícia Karla de Sousa Araújo",$B:$B,"&lt;&gt;Lorena Dias de Araujo",$B:$B,"&lt;&gt;Lucas Luiz Romero")*(28/1083),IF(C1669="Técnico I",SUMIFS($D:$D,$A:$A,$A1669,$B:$B,"&lt;&gt;Patrícia Karla de Sousa Araújo",$B:$B,"&lt;&gt;Lorena Dias de Araujo",$B:$B,"&lt;&gt;Lucas Luiz Romero")*(23/1083),IF(C1669="JR",SUMIFS($D:$D,$A:$A,$A1669,$B:$B,"&lt;&gt;Patrícia Karla de Sousa Araújo",$B:$B,"&lt;&gt;Lorena Dias de Araujo",$B:$B,"&lt;&gt;Lucas Luiz Romero")*(20/1083),IF(C1669="Estágio",SUMIFS($D:$D,$A:$A,$A1669,$B:$B,"&lt;&gt;Patrícia Karla de Sousa Araújo",$B:$B,"&lt;&gt;Lorena Dias de Araujo",$B:$B,"&lt;&gt;Lucas Luiz Romero")*(10/1083),0)))))),0)</f>
        <v>28</v>
      </c>
      <c r="K1669" s="3">
        <f>I1669-J1669</f>
        <v>-1</v>
      </c>
      <c r="L1669" s="3" t="str">
        <f>IF(K1669&lt;-5,"CRÍTICO",IF(K1669&lt;0,"ATENÇÃO",IF(K1669&lt;=5,"BOM","EXCELENTE")))</f>
        <v>ATENÇÃO</v>
      </c>
      <c r="M1669">
        <v>28</v>
      </c>
      <c r="N1669">
        <v>100</v>
      </c>
      <c r="O1669">
        <v>32.731376975169297</v>
      </c>
    </row>
    <row r="1670" spans="1:15" hidden="1" x14ac:dyDescent="0.25">
      <c r="A1670" s="11">
        <v>46052</v>
      </c>
      <c r="B1670" t="s">
        <v>53</v>
      </c>
      <c r="C1670" t="s">
        <v>48</v>
      </c>
      <c r="D1670">
        <v>44</v>
      </c>
      <c r="E1670">
        <v>39</v>
      </c>
      <c r="F1670">
        <v>17.059999999999999</v>
      </c>
      <c r="G1670">
        <v>0</v>
      </c>
      <c r="H1670">
        <v>0</v>
      </c>
      <c r="I1670" s="3">
        <f>E1670+G1670+H1670</f>
        <v>39</v>
      </c>
      <c r="J1670" s="3">
        <f>ROUND(MIN(IF(C1670="Técnico III",35,IF(C1670="Técnico II",28,IF(C1670="Técnico I",23,IF(C1670="JR",20,IF(C1670="Estágio",10,0))))),IF(C1670="Técnico III",SUMIFS($D:$D,$A:$A,$A1670,$B:$B,"&lt;&gt;Patrícia Karla de Sousa Araújo",$B:$B,"&lt;&gt;Lorena Dias de Araujo",$B:$B,"&lt;&gt;Lucas Luiz Romero")*(35/1083),IF(C1670="Técnico II",SUMIFS($D:$D,$A:$A,$A1670,$B:$B,"&lt;&gt;Patrícia Karla de Sousa Araújo",$B:$B,"&lt;&gt;Lorena Dias de Araujo",$B:$B,"&lt;&gt;Lucas Luiz Romero")*(28/1083),IF(C1670="Técnico I",SUMIFS($D:$D,$A:$A,$A1670,$B:$B,"&lt;&gt;Patrícia Karla de Sousa Araújo",$B:$B,"&lt;&gt;Lorena Dias de Araujo",$B:$B,"&lt;&gt;Lucas Luiz Romero")*(23/1083),IF(C1670="JR",SUMIFS($D:$D,$A:$A,$A1670,$B:$B,"&lt;&gt;Patrícia Karla de Sousa Araújo",$B:$B,"&lt;&gt;Lorena Dias de Araujo",$B:$B,"&lt;&gt;Lucas Luiz Romero")*(20/1083),IF(C1670="Estágio",SUMIFS($D:$D,$A:$A,$A1670,$B:$B,"&lt;&gt;Patrícia Karla de Sousa Araújo",$B:$B,"&lt;&gt;Lorena Dias de Araujo",$B:$B,"&lt;&gt;Lucas Luiz Romero")*(10/1083),0)))))),0)</f>
        <v>22</v>
      </c>
      <c r="K1670" s="3">
        <f>I1670-J1670</f>
        <v>17</v>
      </c>
      <c r="L1670" s="3" t="str">
        <f>IF(K1670&lt;-5,"CRÍTICO",IF(K1670&lt;0,"ATENÇÃO",IF(K1670&lt;=5,"BOM","EXCELENTE")))</f>
        <v>EXCELENTE</v>
      </c>
      <c r="M1670">
        <v>38</v>
      </c>
      <c r="N1670">
        <v>99.31</v>
      </c>
      <c r="O1670">
        <v>30.96234309623431</v>
      </c>
    </row>
    <row r="1671" spans="1:15" hidden="1" x14ac:dyDescent="0.25">
      <c r="A1671" s="11">
        <v>46086</v>
      </c>
      <c r="B1671" t="s">
        <v>22</v>
      </c>
      <c r="C1671" t="s">
        <v>23</v>
      </c>
      <c r="D1671">
        <v>18</v>
      </c>
      <c r="E1671">
        <v>16</v>
      </c>
      <c r="F1671">
        <v>23.34</v>
      </c>
      <c r="G1671">
        <v>0</v>
      </c>
      <c r="H1671">
        <v>0</v>
      </c>
      <c r="I1671" s="3">
        <f>E1671+G1671+H1671</f>
        <v>16</v>
      </c>
      <c r="J1671" s="3">
        <f>ROUND(MIN(IF(C1671="Técnico III",35,IF(C1671="Técnico II",28,IF(C1671="Técnico I",23,IF(C1671="JR",20,IF(C1671="Estágio",10,0))))),IF(C1671="Técnico III",SUMIFS($D:$D,$A:$A,$A1671,$B:$B,"&lt;&gt;Patrícia Karla de Sousa Araújo",$B:$B,"&lt;&gt;Lorena Dias de Araujo",$B:$B,"&lt;&gt;Lucas Luiz Romero")*(35/1083),IF(C1671="Técnico II",SUMIFS($D:$D,$A:$A,$A1671,$B:$B,"&lt;&gt;Patrícia Karla de Sousa Araújo",$B:$B,"&lt;&gt;Lorena Dias de Araujo",$B:$B,"&lt;&gt;Lucas Luiz Romero")*(28/1083),IF(C1671="Técnico I",SUMIFS($D:$D,$A:$A,$A1671,$B:$B,"&lt;&gt;Patrícia Karla de Sousa Araújo",$B:$B,"&lt;&gt;Lorena Dias de Araujo",$B:$B,"&lt;&gt;Lucas Luiz Romero")*(23/1083),IF(C1671="JR",SUMIFS($D:$D,$A:$A,$A1671,$B:$B,"&lt;&gt;Patrícia Karla de Sousa Araújo",$B:$B,"&lt;&gt;Lorena Dias de Araujo",$B:$B,"&lt;&gt;Lucas Luiz Romero")*(20/1083),IF(C1671="Estágio",SUMIFS($D:$D,$A:$A,$A1671,$B:$B,"&lt;&gt;Patrícia Karla de Sousa Araújo",$B:$B,"&lt;&gt;Lorena Dias de Araujo",$B:$B,"&lt;&gt;Lucas Luiz Romero")*(10/1083),0)))))),0)</f>
        <v>19</v>
      </c>
      <c r="K1671" s="3">
        <f>I1671-J1671</f>
        <v>-3</v>
      </c>
      <c r="L1671" s="3" t="str">
        <f>IF(K1671&lt;-5,"CRÍTICO",IF(K1671&lt;0,"ATENÇÃO",IF(K1671&lt;=5,"BOM","EXCELENTE")))</f>
        <v>ATENÇÃO</v>
      </c>
      <c r="M1671">
        <v>27</v>
      </c>
      <c r="N1671">
        <v>99.05</v>
      </c>
      <c r="O1671">
        <v>26.621923937360179</v>
      </c>
    </row>
    <row r="1672" spans="1:15" hidden="1" x14ac:dyDescent="0.25">
      <c r="A1672" s="11">
        <v>46052</v>
      </c>
      <c r="B1672" t="s">
        <v>54</v>
      </c>
      <c r="C1672" t="s">
        <v>48</v>
      </c>
      <c r="D1672">
        <v>36</v>
      </c>
      <c r="E1672">
        <v>35</v>
      </c>
      <c r="F1672">
        <v>19.03</v>
      </c>
      <c r="G1672">
        <v>0</v>
      </c>
      <c r="H1672">
        <v>0</v>
      </c>
      <c r="I1672" s="3">
        <f>E1672+G1672+H1672</f>
        <v>35</v>
      </c>
      <c r="J1672" s="3">
        <f>ROUND(MIN(IF(C1672="Técnico III",35,IF(C1672="Técnico II",28,IF(C1672="Técnico I",23,IF(C1672="JR",20,IF(C1672="Estágio",10,0))))),IF(C1672="Técnico III",SUMIFS($D:$D,$A:$A,$A1672,$B:$B,"&lt;&gt;Patrícia Karla de Sousa Araújo",$B:$B,"&lt;&gt;Lorena Dias de Araujo",$B:$B,"&lt;&gt;Lucas Luiz Romero")*(35/1083),IF(C1672="Técnico II",SUMIFS($D:$D,$A:$A,$A1672,$B:$B,"&lt;&gt;Patrícia Karla de Sousa Araújo",$B:$B,"&lt;&gt;Lorena Dias de Araujo",$B:$B,"&lt;&gt;Lucas Luiz Romero")*(28/1083),IF(C1672="Técnico I",SUMIFS($D:$D,$A:$A,$A1672,$B:$B,"&lt;&gt;Patrícia Karla de Sousa Araújo",$B:$B,"&lt;&gt;Lorena Dias de Araujo",$B:$B,"&lt;&gt;Lucas Luiz Romero")*(23/1083),IF(C1672="JR",SUMIFS($D:$D,$A:$A,$A1672,$B:$B,"&lt;&gt;Patrícia Karla de Sousa Araújo",$B:$B,"&lt;&gt;Lorena Dias de Araujo",$B:$B,"&lt;&gt;Lucas Luiz Romero")*(20/1083),IF(C1672="Estágio",SUMIFS($D:$D,$A:$A,$A1672,$B:$B,"&lt;&gt;Patrícia Karla de Sousa Araújo",$B:$B,"&lt;&gt;Lorena Dias de Araujo",$B:$B,"&lt;&gt;Lucas Luiz Romero")*(10/1083),0)))))),0)</f>
        <v>22</v>
      </c>
      <c r="K1672" s="3">
        <f>I1672-J1672</f>
        <v>13</v>
      </c>
      <c r="L1672" s="3" t="str">
        <f>IF(K1672&lt;-5,"CRÍTICO",IF(K1672&lt;0,"ATENÇÃO",IF(K1672&lt;=5,"BOM","EXCELENTE")))</f>
        <v>EXCELENTE</v>
      </c>
      <c r="M1672">
        <v>31</v>
      </c>
      <c r="N1672">
        <v>100</v>
      </c>
      <c r="O1672">
        <v>27.676767676767678</v>
      </c>
    </row>
    <row r="1673" spans="1:15" hidden="1" x14ac:dyDescent="0.25">
      <c r="A1673" s="11">
        <v>46052</v>
      </c>
      <c r="B1673" t="s">
        <v>37</v>
      </c>
      <c r="C1673" t="s">
        <v>32</v>
      </c>
      <c r="D1673">
        <v>65</v>
      </c>
      <c r="E1673">
        <v>59</v>
      </c>
      <c r="F1673">
        <v>10.26</v>
      </c>
      <c r="G1673">
        <v>0</v>
      </c>
      <c r="H1673">
        <v>0</v>
      </c>
      <c r="I1673" s="3">
        <f>E1673+G1673+H1673</f>
        <v>59</v>
      </c>
      <c r="J1673" s="3">
        <f>ROUND(MIN(IF(C1673="Técnico III",35,IF(C1673="Técnico II",28,IF(C1673="Técnico I",23,IF(C1673="JR",20,IF(C1673="Estágio",10,0))))),IF(C1673="Técnico III",SUMIFS($D:$D,$A:$A,$A1673,$B:$B,"&lt;&gt;Patrícia Karla de Sousa Araújo",$B:$B,"&lt;&gt;Lorena Dias de Araujo",$B:$B,"&lt;&gt;Lucas Luiz Romero")*(35/1083),IF(C1673="Técnico II",SUMIFS($D:$D,$A:$A,$A1673,$B:$B,"&lt;&gt;Patrícia Karla de Sousa Araújo",$B:$B,"&lt;&gt;Lorena Dias de Araujo",$B:$B,"&lt;&gt;Lucas Luiz Romero")*(28/1083),IF(C1673="Técnico I",SUMIFS($D:$D,$A:$A,$A1673,$B:$B,"&lt;&gt;Patrícia Karla de Sousa Araújo",$B:$B,"&lt;&gt;Lorena Dias de Araujo",$B:$B,"&lt;&gt;Lucas Luiz Romero")*(23/1083),IF(C1673="JR",SUMIFS($D:$D,$A:$A,$A1673,$B:$B,"&lt;&gt;Patrícia Karla de Sousa Araújo",$B:$B,"&lt;&gt;Lorena Dias de Araujo",$B:$B,"&lt;&gt;Lucas Luiz Romero")*(20/1083),IF(C1673="Estágio",SUMIFS($D:$D,$A:$A,$A1673,$B:$B,"&lt;&gt;Patrícia Karla de Sousa Araújo",$B:$B,"&lt;&gt;Lorena Dias de Araujo",$B:$B,"&lt;&gt;Lucas Luiz Romero")*(10/1083),0)))))),0)</f>
        <v>28</v>
      </c>
      <c r="K1673" s="3">
        <f>I1673-J1673</f>
        <v>31</v>
      </c>
      <c r="L1673" s="3" t="str">
        <f>IF(K1673&lt;-5,"CRÍTICO",IF(K1673&lt;0,"ATENÇÃO",IF(K1673&lt;=5,"BOM","EXCELENTE")))</f>
        <v>EXCELENTE</v>
      </c>
      <c r="M1673">
        <v>58</v>
      </c>
      <c r="N1673">
        <v>100</v>
      </c>
      <c r="O1673">
        <v>31.17723156532988</v>
      </c>
    </row>
    <row r="1674" spans="1:15" hidden="1" x14ac:dyDescent="0.25">
      <c r="A1674" s="11">
        <v>46052</v>
      </c>
      <c r="B1674" t="s">
        <v>38</v>
      </c>
      <c r="C1674" t="s">
        <v>32</v>
      </c>
      <c r="D1674">
        <v>22</v>
      </c>
      <c r="E1674">
        <v>17</v>
      </c>
      <c r="F1674">
        <v>12.06</v>
      </c>
      <c r="G1674">
        <v>0</v>
      </c>
      <c r="H1674">
        <v>0</v>
      </c>
      <c r="I1674" s="3">
        <f>E1674+G1674+H1674</f>
        <v>17</v>
      </c>
      <c r="J1674" s="3">
        <f>ROUND(MIN(IF(C1674="Técnico III",35,IF(C1674="Técnico II",28,IF(C1674="Técnico I",23,IF(C1674="JR",20,IF(C1674="Estágio",10,0))))),IF(C1674="Técnico III",SUMIFS($D:$D,$A:$A,$A1674,$B:$B,"&lt;&gt;Patrícia Karla de Sousa Araújo",$B:$B,"&lt;&gt;Lorena Dias de Araujo",$B:$B,"&lt;&gt;Lucas Luiz Romero")*(35/1083),IF(C1674="Técnico II",SUMIFS($D:$D,$A:$A,$A1674,$B:$B,"&lt;&gt;Patrícia Karla de Sousa Araújo",$B:$B,"&lt;&gt;Lorena Dias de Araujo",$B:$B,"&lt;&gt;Lucas Luiz Romero")*(28/1083),IF(C1674="Técnico I",SUMIFS($D:$D,$A:$A,$A1674,$B:$B,"&lt;&gt;Patrícia Karla de Sousa Araújo",$B:$B,"&lt;&gt;Lorena Dias de Araujo",$B:$B,"&lt;&gt;Lucas Luiz Romero")*(23/1083),IF(C1674="JR",SUMIFS($D:$D,$A:$A,$A1674,$B:$B,"&lt;&gt;Patrícia Karla de Sousa Araújo",$B:$B,"&lt;&gt;Lorena Dias de Araujo",$B:$B,"&lt;&gt;Lucas Luiz Romero")*(20/1083),IF(C1674="Estágio",SUMIFS($D:$D,$A:$A,$A1674,$B:$B,"&lt;&gt;Patrícia Karla de Sousa Araújo",$B:$B,"&lt;&gt;Lorena Dias de Araujo",$B:$B,"&lt;&gt;Lucas Luiz Romero")*(10/1083),0)))))),0)</f>
        <v>28</v>
      </c>
      <c r="K1674" s="3">
        <f>I1674-J1674</f>
        <v>-11</v>
      </c>
      <c r="L1674" s="3" t="str">
        <f>IF(K1674&lt;-5,"CRÍTICO",IF(K1674&lt;0,"ATENÇÃO",IF(K1674&lt;=5,"BOM","EXCELENTE")))</f>
        <v>CRÍTICO</v>
      </c>
      <c r="M1674">
        <v>15</v>
      </c>
      <c r="N1674">
        <v>100</v>
      </c>
      <c r="O1674">
        <v>27.609427609427609</v>
      </c>
    </row>
    <row r="1675" spans="1:15" hidden="1" x14ac:dyDescent="0.25">
      <c r="A1675" s="11">
        <v>46052</v>
      </c>
      <c r="B1675" t="s">
        <v>55</v>
      </c>
      <c r="C1675" t="s">
        <v>48</v>
      </c>
      <c r="D1675">
        <v>23</v>
      </c>
      <c r="E1675">
        <v>14</v>
      </c>
      <c r="F1675">
        <v>20.239999999999998</v>
      </c>
      <c r="G1675">
        <v>0</v>
      </c>
      <c r="H1675">
        <v>0</v>
      </c>
      <c r="I1675" s="3">
        <f>E1675+G1675+H1675</f>
        <v>14</v>
      </c>
      <c r="J1675" s="3">
        <f>ROUND(MIN(IF(C1675="Técnico III",35,IF(C1675="Técnico II",28,IF(C1675="Técnico I",23,IF(C1675="JR",20,IF(C1675="Estágio",10,0))))),IF(C1675="Técnico III",SUMIFS($D:$D,$A:$A,$A1675,$B:$B,"&lt;&gt;Patrícia Karla de Sousa Araújo",$B:$B,"&lt;&gt;Lorena Dias de Araujo",$B:$B,"&lt;&gt;Lucas Luiz Romero")*(35/1083),IF(C1675="Técnico II",SUMIFS($D:$D,$A:$A,$A1675,$B:$B,"&lt;&gt;Patrícia Karla de Sousa Araújo",$B:$B,"&lt;&gt;Lorena Dias de Araujo",$B:$B,"&lt;&gt;Lucas Luiz Romero")*(28/1083),IF(C1675="Técnico I",SUMIFS($D:$D,$A:$A,$A1675,$B:$B,"&lt;&gt;Patrícia Karla de Sousa Araújo",$B:$B,"&lt;&gt;Lorena Dias de Araujo",$B:$B,"&lt;&gt;Lucas Luiz Romero")*(23/1083),IF(C1675="JR",SUMIFS($D:$D,$A:$A,$A1675,$B:$B,"&lt;&gt;Patrícia Karla de Sousa Araújo",$B:$B,"&lt;&gt;Lorena Dias de Araujo",$B:$B,"&lt;&gt;Lucas Luiz Romero")*(20/1083),IF(C1675="Estágio",SUMIFS($D:$D,$A:$A,$A1675,$B:$B,"&lt;&gt;Patrícia Karla de Sousa Araújo",$B:$B,"&lt;&gt;Lorena Dias de Araujo",$B:$B,"&lt;&gt;Lucas Luiz Romero")*(10/1083),0)))))),0)</f>
        <v>22</v>
      </c>
      <c r="K1675" s="3">
        <f>I1675-J1675</f>
        <v>-8</v>
      </c>
      <c r="L1675" s="3" t="str">
        <f>IF(K1675&lt;-5,"CRÍTICO",IF(K1675&lt;0,"ATENÇÃO",IF(K1675&lt;=5,"BOM","EXCELENTE")))</f>
        <v>CRÍTICO</v>
      </c>
      <c r="M1675">
        <v>14</v>
      </c>
      <c r="N1675">
        <v>96.4</v>
      </c>
      <c r="O1675">
        <v>28.764044943820231</v>
      </c>
    </row>
    <row r="1676" spans="1:15" hidden="1" x14ac:dyDescent="0.25">
      <c r="A1676" s="11">
        <v>46052</v>
      </c>
      <c r="B1676" t="s">
        <v>39</v>
      </c>
      <c r="C1676" t="s">
        <v>32</v>
      </c>
      <c r="D1676">
        <v>0</v>
      </c>
      <c r="E1676">
        <v>0</v>
      </c>
      <c r="F1676">
        <v>0</v>
      </c>
      <c r="G1676">
        <v>0</v>
      </c>
      <c r="H1676">
        <v>0</v>
      </c>
      <c r="I1676" s="3">
        <v>0</v>
      </c>
      <c r="J1676" s="3">
        <v>0</v>
      </c>
      <c r="K1676" s="3">
        <v>0</v>
      </c>
      <c r="L1676" s="3" t="str">
        <f>IF(K1676&lt;-5,"CRÍTICO",IF(K1676&lt;0,"ATENÇÃO",IF(K1676&lt;=5,"BOM","EXCELENTE")))</f>
        <v>BOM</v>
      </c>
      <c r="M1676">
        <v>0</v>
      </c>
      <c r="N1676">
        <v>100</v>
      </c>
      <c r="O1676">
        <v>33.980582524271853</v>
      </c>
    </row>
    <row r="1677" spans="1:15" hidden="1" x14ac:dyDescent="0.25">
      <c r="A1677" s="11">
        <v>46052</v>
      </c>
      <c r="B1677" t="s">
        <v>25</v>
      </c>
      <c r="C1677" t="s">
        <v>26</v>
      </c>
      <c r="D1677">
        <v>19</v>
      </c>
      <c r="E1677">
        <v>19</v>
      </c>
      <c r="F1677">
        <v>28.27</v>
      </c>
      <c r="G1677">
        <v>0</v>
      </c>
      <c r="H1677">
        <v>0</v>
      </c>
      <c r="I1677" s="3">
        <f>E1677+G1677+H1677</f>
        <v>19</v>
      </c>
      <c r="J1677" s="3">
        <f>ROUND(MIN(IF(C1677="Técnico III",35,IF(C1677="Técnico II",28,IF(C1677="Técnico I",23,IF(C1677="JR",20,IF(C1677="Estágio",10,0))))),IF(C1677="Técnico III",SUMIFS($D:$D,$A:$A,$A1677,$B:$B,"&lt;&gt;Patrícia Karla de Sousa Araújo",$B:$B,"&lt;&gt;Lorena Dias de Araujo",$B:$B,"&lt;&gt;Lucas Luiz Romero")*(35/1083),IF(C1677="Técnico II",SUMIFS($D:$D,$A:$A,$A1677,$B:$B,"&lt;&gt;Patrícia Karla de Sousa Araújo",$B:$B,"&lt;&gt;Lorena Dias de Araujo",$B:$B,"&lt;&gt;Lucas Luiz Romero")*(28/1083),IF(C1677="Técnico I",SUMIFS($D:$D,$A:$A,$A1677,$B:$B,"&lt;&gt;Patrícia Karla de Sousa Araújo",$B:$B,"&lt;&gt;Lorena Dias de Araujo",$B:$B,"&lt;&gt;Lucas Luiz Romero")*(23/1083),IF(C1677="JR",SUMIFS($D:$D,$A:$A,$A1677,$B:$B,"&lt;&gt;Patrícia Karla de Sousa Araújo",$B:$B,"&lt;&gt;Lorena Dias de Araujo",$B:$B,"&lt;&gt;Lucas Luiz Romero")*(20/1083),IF(C1677="Estágio",SUMIFS($D:$D,$A:$A,$A1677,$B:$B,"&lt;&gt;Patrícia Karla de Sousa Araújo",$B:$B,"&lt;&gt;Lorena Dias de Araujo",$B:$B,"&lt;&gt;Lucas Luiz Romero")*(10/1083),0)))))),0)</f>
        <v>16</v>
      </c>
      <c r="K1677" s="3">
        <f>I1677-J1677</f>
        <v>3</v>
      </c>
      <c r="L1677" s="3" t="str">
        <f>IF(K1677&lt;-5,"CRÍTICO",IF(K1677&lt;0,"ATENÇÃO",IF(K1677&lt;=5,"BOM","EXCELENTE")))</f>
        <v>BOM</v>
      </c>
      <c r="M1677">
        <v>16</v>
      </c>
      <c r="N1677">
        <v>97.56</v>
      </c>
      <c r="O1677">
        <v>32.515337423312893</v>
      </c>
    </row>
    <row r="1678" spans="1:15" hidden="1" x14ac:dyDescent="0.25">
      <c r="A1678" s="11">
        <v>46052</v>
      </c>
      <c r="B1678" t="s">
        <v>40</v>
      </c>
      <c r="C1678" t="s">
        <v>32</v>
      </c>
      <c r="D1678">
        <v>18</v>
      </c>
      <c r="E1678">
        <v>17</v>
      </c>
      <c r="F1678">
        <v>24.15</v>
      </c>
      <c r="G1678">
        <v>0</v>
      </c>
      <c r="H1678">
        <v>0</v>
      </c>
      <c r="I1678" s="3">
        <f>E1678+G1678+H1678</f>
        <v>17</v>
      </c>
      <c r="J1678" s="3">
        <f>ROUND(MIN(IF(C1678="Técnico III",35,IF(C1678="Técnico II",28,IF(C1678="Técnico I",23,IF(C1678="JR",20,IF(C1678="Estágio",10,0))))),IF(C1678="Técnico III",SUMIFS($D:$D,$A:$A,$A1678,$B:$B,"&lt;&gt;Patrícia Karla de Sousa Araújo",$B:$B,"&lt;&gt;Lorena Dias de Araujo",$B:$B,"&lt;&gt;Lucas Luiz Romero")*(35/1083),IF(C1678="Técnico II",SUMIFS($D:$D,$A:$A,$A1678,$B:$B,"&lt;&gt;Patrícia Karla de Sousa Araújo",$B:$B,"&lt;&gt;Lorena Dias de Araujo",$B:$B,"&lt;&gt;Lucas Luiz Romero")*(28/1083),IF(C1678="Técnico I",SUMIFS($D:$D,$A:$A,$A1678,$B:$B,"&lt;&gt;Patrícia Karla de Sousa Araújo",$B:$B,"&lt;&gt;Lorena Dias de Araujo",$B:$B,"&lt;&gt;Lucas Luiz Romero")*(23/1083),IF(C1678="JR",SUMIFS($D:$D,$A:$A,$A1678,$B:$B,"&lt;&gt;Patrícia Karla de Sousa Araújo",$B:$B,"&lt;&gt;Lorena Dias de Araujo",$B:$B,"&lt;&gt;Lucas Luiz Romero")*(20/1083),IF(C1678="Estágio",SUMIFS($D:$D,$A:$A,$A1678,$B:$B,"&lt;&gt;Patrícia Karla de Sousa Araújo",$B:$B,"&lt;&gt;Lorena Dias de Araujo",$B:$B,"&lt;&gt;Lucas Luiz Romero")*(10/1083),0)))))),0)</f>
        <v>28</v>
      </c>
      <c r="K1678" s="3">
        <f>I1678-J1678</f>
        <v>-11</v>
      </c>
      <c r="L1678" s="3" t="str">
        <f>IF(K1678&lt;-5,"CRÍTICO",IF(K1678&lt;0,"ATENÇÃO",IF(K1678&lt;=5,"BOM","EXCELENTE")))</f>
        <v>CRÍTICO</v>
      </c>
      <c r="M1678">
        <v>16</v>
      </c>
      <c r="N1678">
        <v>97.11</v>
      </c>
      <c r="O1678">
        <v>37.408312958435211</v>
      </c>
    </row>
    <row r="1679" spans="1:15" hidden="1" x14ac:dyDescent="0.25">
      <c r="A1679" s="11">
        <v>46052</v>
      </c>
      <c r="B1679" t="s">
        <v>27</v>
      </c>
      <c r="C1679" t="s">
        <v>26</v>
      </c>
      <c r="D1679">
        <v>0</v>
      </c>
      <c r="E1679">
        <v>0</v>
      </c>
      <c r="F1679">
        <v>0</v>
      </c>
      <c r="G1679">
        <v>0</v>
      </c>
      <c r="H1679">
        <v>0</v>
      </c>
      <c r="I1679" s="3">
        <v>0</v>
      </c>
      <c r="J1679" s="3">
        <v>0</v>
      </c>
      <c r="K1679" s="3">
        <v>0</v>
      </c>
      <c r="L1679" s="3" t="str">
        <f>IF(K1679&lt;-5,"CRÍTICO",IF(K1679&lt;0,"ATENÇÃO",IF(K1679&lt;=5,"BOM","EXCELENTE")))</f>
        <v>BOM</v>
      </c>
      <c r="M1679">
        <v>0</v>
      </c>
      <c r="N1679">
        <v>0</v>
      </c>
      <c r="O1679">
        <v>0</v>
      </c>
    </row>
    <row r="1680" spans="1:15" hidden="1" x14ac:dyDescent="0.25">
      <c r="A1680" s="11">
        <v>46052</v>
      </c>
      <c r="B1680" t="s">
        <v>41</v>
      </c>
      <c r="C1680" t="s">
        <v>32</v>
      </c>
      <c r="D1680">
        <v>26</v>
      </c>
      <c r="E1680">
        <v>26</v>
      </c>
      <c r="F1680">
        <v>17.37</v>
      </c>
      <c r="G1680">
        <v>0</v>
      </c>
      <c r="H1680">
        <v>0</v>
      </c>
      <c r="I1680" s="3">
        <f>E1680+G1680+H1680</f>
        <v>26</v>
      </c>
      <c r="J1680" s="3">
        <f>ROUND(MIN(IF(C1680="Técnico III",35,IF(C1680="Técnico II",28,IF(C1680="Técnico I",23,IF(C1680="JR",20,IF(C1680="Estágio",10,0))))),IF(C1680="Técnico III",SUMIFS($D:$D,$A:$A,$A1680,$B:$B,"&lt;&gt;Patrícia Karla de Sousa Araújo",$B:$B,"&lt;&gt;Lorena Dias de Araujo",$B:$B,"&lt;&gt;Lucas Luiz Romero")*(35/1083),IF(C1680="Técnico II",SUMIFS($D:$D,$A:$A,$A1680,$B:$B,"&lt;&gt;Patrícia Karla de Sousa Araújo",$B:$B,"&lt;&gt;Lorena Dias de Araujo",$B:$B,"&lt;&gt;Lucas Luiz Romero")*(28/1083),IF(C1680="Técnico I",SUMIFS($D:$D,$A:$A,$A1680,$B:$B,"&lt;&gt;Patrícia Karla de Sousa Araújo",$B:$B,"&lt;&gt;Lorena Dias de Araujo",$B:$B,"&lt;&gt;Lucas Luiz Romero")*(23/1083),IF(C1680="JR",SUMIFS($D:$D,$A:$A,$A1680,$B:$B,"&lt;&gt;Patrícia Karla de Sousa Araújo",$B:$B,"&lt;&gt;Lorena Dias de Araujo",$B:$B,"&lt;&gt;Lucas Luiz Romero")*(20/1083),IF(C1680="Estágio",SUMIFS($D:$D,$A:$A,$A1680,$B:$B,"&lt;&gt;Patrícia Karla de Sousa Araújo",$B:$B,"&lt;&gt;Lorena Dias de Araujo",$B:$B,"&lt;&gt;Lucas Luiz Romero")*(10/1083),0)))))),0)</f>
        <v>28</v>
      </c>
      <c r="K1680" s="3">
        <f>I1680-J1680</f>
        <v>-2</v>
      </c>
      <c r="L1680" s="3" t="str">
        <f>IF(K1680&lt;-5,"CRÍTICO",IF(K1680&lt;0,"ATENÇÃO",IF(K1680&lt;=5,"BOM","EXCELENTE")))</f>
        <v>ATENÇÃO</v>
      </c>
      <c r="M1680">
        <v>28</v>
      </c>
      <c r="N1680">
        <v>100</v>
      </c>
      <c r="O1680">
        <v>30.470347648261761</v>
      </c>
    </row>
    <row r="1681" spans="1:15" hidden="1" x14ac:dyDescent="0.25">
      <c r="A1681" s="11">
        <v>46052</v>
      </c>
      <c r="B1681" t="s">
        <v>56</v>
      </c>
      <c r="C1681" t="s">
        <v>48</v>
      </c>
      <c r="D1681">
        <v>45</v>
      </c>
      <c r="E1681">
        <v>41</v>
      </c>
      <c r="F1681">
        <v>15.44</v>
      </c>
      <c r="G1681">
        <v>0</v>
      </c>
      <c r="H1681">
        <v>0</v>
      </c>
      <c r="I1681" s="3">
        <f>E1681+G1681+H1681</f>
        <v>41</v>
      </c>
      <c r="J1681" s="3">
        <f>ROUND(MIN(IF(C1681="Técnico III",35,IF(C1681="Técnico II",28,IF(C1681="Técnico I",23,IF(C1681="JR",20,IF(C1681="Estágio",10,0))))),IF(C1681="Técnico III",SUMIFS($D:$D,$A:$A,$A1681,$B:$B,"&lt;&gt;Patrícia Karla de Sousa Araújo",$B:$B,"&lt;&gt;Lorena Dias de Araujo",$B:$B,"&lt;&gt;Lucas Luiz Romero")*(35/1083),IF(C1681="Técnico II",SUMIFS($D:$D,$A:$A,$A1681,$B:$B,"&lt;&gt;Patrícia Karla de Sousa Araújo",$B:$B,"&lt;&gt;Lorena Dias de Araujo",$B:$B,"&lt;&gt;Lucas Luiz Romero")*(28/1083),IF(C1681="Técnico I",SUMIFS($D:$D,$A:$A,$A1681,$B:$B,"&lt;&gt;Patrícia Karla de Sousa Araújo",$B:$B,"&lt;&gt;Lorena Dias de Araujo",$B:$B,"&lt;&gt;Lucas Luiz Romero")*(23/1083),IF(C1681="JR",SUMIFS($D:$D,$A:$A,$A1681,$B:$B,"&lt;&gt;Patrícia Karla de Sousa Araújo",$B:$B,"&lt;&gt;Lorena Dias de Araujo",$B:$B,"&lt;&gt;Lucas Luiz Romero")*(20/1083),IF(C1681="Estágio",SUMIFS($D:$D,$A:$A,$A1681,$B:$B,"&lt;&gt;Patrícia Karla de Sousa Araújo",$B:$B,"&lt;&gt;Lorena Dias de Araujo",$B:$B,"&lt;&gt;Lucas Luiz Romero")*(10/1083),0)))))),0)</f>
        <v>22</v>
      </c>
      <c r="K1681" s="3">
        <f>I1681-J1681</f>
        <v>19</v>
      </c>
      <c r="L1681" s="3" t="str">
        <f>IF(K1681&lt;-5,"CRÍTICO",IF(K1681&lt;0,"ATENÇÃO",IF(K1681&lt;=5,"BOM","EXCELENTE")))</f>
        <v>EXCELENTE</v>
      </c>
      <c r="M1681">
        <v>30</v>
      </c>
      <c r="N1681">
        <v>100</v>
      </c>
      <c r="O1681">
        <v>32.371134020618562</v>
      </c>
    </row>
    <row r="1682" spans="1:15" hidden="1" x14ac:dyDescent="0.25">
      <c r="A1682" s="11">
        <v>46052</v>
      </c>
      <c r="B1682" t="s">
        <v>57</v>
      </c>
      <c r="C1682" t="s">
        <v>48</v>
      </c>
      <c r="D1682">
        <v>37</v>
      </c>
      <c r="E1682">
        <v>36</v>
      </c>
      <c r="F1682">
        <v>15.48</v>
      </c>
      <c r="G1682">
        <v>0</v>
      </c>
      <c r="H1682">
        <v>0</v>
      </c>
      <c r="I1682" s="3">
        <v>0</v>
      </c>
      <c r="J1682" s="3">
        <v>0</v>
      </c>
      <c r="K1682" s="3">
        <v>0</v>
      </c>
      <c r="L1682" s="3" t="str">
        <f>IF(K1682&lt;-5,"CRÍTICO",IF(K1682&lt;0,"ATENÇÃO",IF(K1682&lt;=5,"BOM","EXCELENTE")))</f>
        <v>BOM</v>
      </c>
      <c r="M1682">
        <v>29</v>
      </c>
      <c r="N1682">
        <v>98.32</v>
      </c>
      <c r="O1682">
        <v>32.318501170960189</v>
      </c>
    </row>
    <row r="1683" spans="1:15" hidden="1" x14ac:dyDescent="0.25">
      <c r="A1683" s="11">
        <v>46052</v>
      </c>
      <c r="B1683" t="s">
        <v>42</v>
      </c>
      <c r="C1683" t="s">
        <v>32</v>
      </c>
      <c r="D1683">
        <v>112</v>
      </c>
      <c r="E1683">
        <v>24</v>
      </c>
      <c r="F1683">
        <v>3.32</v>
      </c>
      <c r="G1683">
        <v>0</v>
      </c>
      <c r="H1683">
        <v>0</v>
      </c>
      <c r="I1683" s="3">
        <f>E1683+G1683+H1683</f>
        <v>24</v>
      </c>
      <c r="J1683" s="3">
        <f>ROUND(MIN(IF(C1683="Técnico III",35,IF(C1683="Técnico II",28,IF(C1683="Técnico I",23,IF(C1683="JR",20,IF(C1683="Estágio",10,0))))),IF(C1683="Técnico III",SUMIFS($D:$D,$A:$A,$A1683,$B:$B,"&lt;&gt;Patrícia Karla de Sousa Araújo",$B:$B,"&lt;&gt;Lorena Dias de Araujo",$B:$B,"&lt;&gt;Lucas Luiz Romero")*(35/1083),IF(C1683="Técnico II",SUMIFS($D:$D,$A:$A,$A1683,$B:$B,"&lt;&gt;Patrícia Karla de Sousa Araújo",$B:$B,"&lt;&gt;Lorena Dias de Araujo",$B:$B,"&lt;&gt;Lucas Luiz Romero")*(28/1083),IF(C1683="Técnico I",SUMIFS($D:$D,$A:$A,$A1683,$B:$B,"&lt;&gt;Patrícia Karla de Sousa Araújo",$B:$B,"&lt;&gt;Lorena Dias de Araujo",$B:$B,"&lt;&gt;Lucas Luiz Romero")*(23/1083),IF(C1683="JR",SUMIFS($D:$D,$A:$A,$A1683,$B:$B,"&lt;&gt;Patrícia Karla de Sousa Araújo",$B:$B,"&lt;&gt;Lorena Dias de Araujo",$B:$B,"&lt;&gt;Lucas Luiz Romero")*(20/1083),IF(C1683="Estágio",SUMIFS($D:$D,$A:$A,$A1683,$B:$B,"&lt;&gt;Patrícia Karla de Sousa Araújo",$B:$B,"&lt;&gt;Lorena Dias de Araujo",$B:$B,"&lt;&gt;Lucas Luiz Romero")*(10/1083),0)))))),0)</f>
        <v>28</v>
      </c>
      <c r="K1683" s="3">
        <f>I1683-J1683</f>
        <v>-4</v>
      </c>
      <c r="L1683" s="3" t="str">
        <f>IF(K1683&lt;-5,"CRÍTICO",IF(K1683&lt;0,"ATENÇÃO",IF(K1683&lt;=5,"BOM","EXCELENTE")))</f>
        <v>ATENÇÃO</v>
      </c>
      <c r="M1683">
        <v>9</v>
      </c>
      <c r="N1683">
        <v>96.43</v>
      </c>
      <c r="O1683">
        <v>27.015250544662312</v>
      </c>
    </row>
    <row r="1684" spans="1:15" hidden="1" x14ac:dyDescent="0.25">
      <c r="A1684" s="11">
        <v>46052</v>
      </c>
      <c r="B1684" t="s">
        <v>62</v>
      </c>
      <c r="C1684" t="s">
        <v>23</v>
      </c>
      <c r="D1684">
        <v>20</v>
      </c>
      <c r="E1684">
        <v>20</v>
      </c>
      <c r="F1684">
        <v>26.48</v>
      </c>
      <c r="G1684">
        <v>0</v>
      </c>
      <c r="H1684">
        <v>0</v>
      </c>
      <c r="I1684" s="3">
        <f>E1684+G1684+H1684</f>
        <v>20</v>
      </c>
      <c r="J1684" s="3">
        <f>ROUND(MIN(IF(C1684="Técnico III",35,IF(C1684="Técnico II",28,IF(C1684="Técnico I",23,IF(C1684="JR",20,IF(C1684="Estágio",10,0))))),IF(C1684="Técnico III",SUMIFS($D:$D,$A:$A,$A1684,$B:$B,"&lt;&gt;Patrícia Karla de Sousa Araújo",$B:$B,"&lt;&gt;Lorena Dias de Araujo",$B:$B,"&lt;&gt;Lucas Luiz Romero")*(35/1083),IF(C1684="Técnico II",SUMIFS($D:$D,$A:$A,$A1684,$B:$B,"&lt;&gt;Patrícia Karla de Sousa Araújo",$B:$B,"&lt;&gt;Lorena Dias de Araujo",$B:$B,"&lt;&gt;Lucas Luiz Romero")*(28/1083),IF(C1684="Técnico I",SUMIFS($D:$D,$A:$A,$A1684,$B:$B,"&lt;&gt;Patrícia Karla de Sousa Araújo",$B:$B,"&lt;&gt;Lorena Dias de Araujo",$B:$B,"&lt;&gt;Lucas Luiz Romero")*(23/1083),IF(C1684="JR",SUMIFS($D:$D,$A:$A,$A1684,$B:$B,"&lt;&gt;Patrícia Karla de Sousa Araújo",$B:$B,"&lt;&gt;Lorena Dias de Araujo",$B:$B,"&lt;&gt;Lucas Luiz Romero")*(20/1083),IF(C1684="Estágio",SUMIFS($D:$D,$A:$A,$A1684,$B:$B,"&lt;&gt;Patrícia Karla de Sousa Araújo",$B:$B,"&lt;&gt;Lorena Dias de Araujo",$B:$B,"&lt;&gt;Lucas Luiz Romero")*(10/1083),0)))))),0)</f>
        <v>18</v>
      </c>
      <c r="K1684" s="3">
        <f>I1684-J1684</f>
        <v>2</v>
      </c>
      <c r="L1684" s="3" t="str">
        <f>IF(K1684&lt;-5,"CRÍTICO",IF(K1684&lt;0,"ATENÇÃO",IF(K1684&lt;=5,"BOM","EXCELENTE")))</f>
        <v>BOM</v>
      </c>
      <c r="M1684">
        <v>17</v>
      </c>
      <c r="N1684">
        <v>98.89</v>
      </c>
      <c r="O1684">
        <v>28.021978021978018</v>
      </c>
    </row>
    <row r="1685" spans="1:15" hidden="1" x14ac:dyDescent="0.25">
      <c r="A1685" s="11">
        <v>46052</v>
      </c>
      <c r="B1685" t="s">
        <v>19</v>
      </c>
      <c r="C1685" t="s">
        <v>16</v>
      </c>
      <c r="D1685">
        <v>9</v>
      </c>
      <c r="E1685">
        <v>8</v>
      </c>
      <c r="F1685">
        <v>43.5</v>
      </c>
      <c r="G1685">
        <v>0</v>
      </c>
      <c r="H1685">
        <v>0</v>
      </c>
      <c r="I1685" s="3">
        <f>E1685+G1685+H1685</f>
        <v>8</v>
      </c>
      <c r="J1685" s="3">
        <f>ROUND(MIN(IF(C1685="Técnico III",35,IF(C1685="Técnico II",28,IF(C1685="Técnico I",23,IF(C1685="JR",20,IF(C1685="Estágio",10,0))))),IF(C1685="Técnico III",SUMIFS($D:$D,$A:$A,$A1685,$B:$B,"&lt;&gt;Patrícia Karla de Sousa Araújo",$B:$B,"&lt;&gt;Lorena Dias de Araujo",$B:$B,"&lt;&gt;Lucas Luiz Romero")*(35/1083),IF(C1685="Técnico II",SUMIFS($D:$D,$A:$A,$A1685,$B:$B,"&lt;&gt;Patrícia Karla de Sousa Araújo",$B:$B,"&lt;&gt;Lorena Dias de Araujo",$B:$B,"&lt;&gt;Lucas Luiz Romero")*(28/1083),IF(C1685="Técnico I",SUMIFS($D:$D,$A:$A,$A1685,$B:$B,"&lt;&gt;Patrícia Karla de Sousa Araújo",$B:$B,"&lt;&gt;Lorena Dias de Araujo",$B:$B,"&lt;&gt;Lucas Luiz Romero")*(23/1083),IF(C1685="JR",SUMIFS($D:$D,$A:$A,$A1685,$B:$B,"&lt;&gt;Patrícia Karla de Sousa Araújo",$B:$B,"&lt;&gt;Lorena Dias de Araujo",$B:$B,"&lt;&gt;Lucas Luiz Romero")*(20/1083),IF(C1685="Estágio",SUMIFS($D:$D,$A:$A,$A1685,$B:$B,"&lt;&gt;Patrícia Karla de Sousa Araújo",$B:$B,"&lt;&gt;Lorena Dias de Araujo",$B:$B,"&lt;&gt;Lucas Luiz Romero")*(10/1083),0)))))),0)</f>
        <v>8</v>
      </c>
      <c r="K1685" s="3">
        <f>I1685-J1685</f>
        <v>0</v>
      </c>
      <c r="L1685" s="3" t="str">
        <f>IF(K1685&lt;-5,"CRÍTICO",IF(K1685&lt;0,"ATENÇÃO",IF(K1685&lt;=5,"BOM","EXCELENTE")))</f>
        <v>BOM</v>
      </c>
      <c r="M1685">
        <v>7</v>
      </c>
      <c r="N1685">
        <v>100</v>
      </c>
      <c r="O1685">
        <v>33.333333333333329</v>
      </c>
    </row>
    <row r="1686" spans="1:15" hidden="1" x14ac:dyDescent="0.25">
      <c r="A1686" s="11">
        <v>46052</v>
      </c>
      <c r="B1686" t="s">
        <v>43</v>
      </c>
      <c r="C1686" t="s">
        <v>32</v>
      </c>
      <c r="D1686">
        <v>0</v>
      </c>
      <c r="E1686">
        <v>0</v>
      </c>
      <c r="F1686">
        <v>0</v>
      </c>
      <c r="G1686">
        <v>0</v>
      </c>
      <c r="H1686">
        <v>0</v>
      </c>
      <c r="I1686" s="3">
        <v>0</v>
      </c>
      <c r="J1686" s="3">
        <v>0</v>
      </c>
      <c r="K1686" s="3">
        <v>0</v>
      </c>
      <c r="L1686" s="3" t="str">
        <f>IF(K1686&lt;-5,"CRÍTICO",IF(K1686&lt;0,"ATENÇÃO",IF(K1686&lt;=5,"BOM","EXCELENTE")))</f>
        <v>BOM</v>
      </c>
      <c r="M1686">
        <v>0</v>
      </c>
      <c r="N1686">
        <v>100</v>
      </c>
      <c r="O1686">
        <v>27.43362831858407</v>
      </c>
    </row>
    <row r="1687" spans="1:15" hidden="1" x14ac:dyDescent="0.25">
      <c r="A1687" s="11">
        <v>46052</v>
      </c>
      <c r="B1687" t="s">
        <v>44</v>
      </c>
      <c r="C1687" t="s">
        <v>32</v>
      </c>
      <c r="D1687">
        <v>39</v>
      </c>
      <c r="E1687">
        <v>34</v>
      </c>
      <c r="F1687">
        <v>11.56</v>
      </c>
      <c r="G1687">
        <v>0</v>
      </c>
      <c r="H1687">
        <v>0</v>
      </c>
      <c r="I1687" s="3">
        <f>E1687+G1687+H1687</f>
        <v>34</v>
      </c>
      <c r="J1687" s="3">
        <f>ROUND(MIN(IF(C1687="Técnico III",35,IF(C1687="Técnico II",28,IF(C1687="Técnico I",23,IF(C1687="JR",20,IF(C1687="Estágio",10,0))))),IF(C1687="Técnico III",SUMIFS($D:$D,$A:$A,$A1687,$B:$B,"&lt;&gt;Patrícia Karla de Sousa Araújo",$B:$B,"&lt;&gt;Lorena Dias de Araujo",$B:$B,"&lt;&gt;Lucas Luiz Romero")*(35/1083),IF(C1687="Técnico II",SUMIFS($D:$D,$A:$A,$A1687,$B:$B,"&lt;&gt;Patrícia Karla de Sousa Araújo",$B:$B,"&lt;&gt;Lorena Dias de Araujo",$B:$B,"&lt;&gt;Lucas Luiz Romero")*(28/1083),IF(C1687="Técnico I",SUMIFS($D:$D,$A:$A,$A1687,$B:$B,"&lt;&gt;Patrícia Karla de Sousa Araújo",$B:$B,"&lt;&gt;Lorena Dias de Araujo",$B:$B,"&lt;&gt;Lucas Luiz Romero")*(23/1083),IF(C1687="JR",SUMIFS($D:$D,$A:$A,$A1687,$B:$B,"&lt;&gt;Patrícia Karla de Sousa Araújo",$B:$B,"&lt;&gt;Lorena Dias de Araujo",$B:$B,"&lt;&gt;Lucas Luiz Romero")*(20/1083),IF(C1687="Estágio",SUMIFS($D:$D,$A:$A,$A1687,$B:$B,"&lt;&gt;Patrícia Karla de Sousa Araújo",$B:$B,"&lt;&gt;Lorena Dias de Araujo",$B:$B,"&lt;&gt;Lucas Luiz Romero")*(10/1083),0)))))),0)</f>
        <v>28</v>
      </c>
      <c r="K1687" s="3">
        <f>I1687-J1687</f>
        <v>6</v>
      </c>
      <c r="L1687" s="3" t="str">
        <f>IF(K1687&lt;-5,"CRÍTICO",IF(K1687&lt;0,"ATENÇÃO",IF(K1687&lt;=5,"BOM","EXCELENTE")))</f>
        <v>EXCELENTE</v>
      </c>
      <c r="M1687">
        <v>31</v>
      </c>
      <c r="N1687">
        <v>98.65</v>
      </c>
      <c r="O1687">
        <v>30.978260869565219</v>
      </c>
    </row>
    <row r="1688" spans="1:15" hidden="1" x14ac:dyDescent="0.25">
      <c r="A1688" s="11">
        <v>46052</v>
      </c>
      <c r="B1688" t="s">
        <v>20</v>
      </c>
      <c r="C1688" t="s">
        <v>16</v>
      </c>
      <c r="D1688">
        <v>3</v>
      </c>
      <c r="E1688">
        <v>3</v>
      </c>
      <c r="F1688">
        <v>176.58</v>
      </c>
      <c r="G1688">
        <v>0</v>
      </c>
      <c r="H1688">
        <v>0</v>
      </c>
      <c r="I1688" s="3">
        <f>E1688+G1688+H1688</f>
        <v>3</v>
      </c>
      <c r="J1688" s="3">
        <f>ROUND(MIN(IF(C1688="Técnico III",35,IF(C1688="Técnico II",28,IF(C1688="Técnico I",23,IF(C1688="JR",20,IF(C1688="Estágio",10,0))))),IF(C1688="Técnico III",SUMIFS($D:$D,$A:$A,$A1688,$B:$B,"&lt;&gt;Patrícia Karla de Sousa Araújo",$B:$B,"&lt;&gt;Lorena Dias de Araujo",$B:$B,"&lt;&gt;Lucas Luiz Romero")*(35/1083),IF(C1688="Técnico II",SUMIFS($D:$D,$A:$A,$A1688,$B:$B,"&lt;&gt;Patrícia Karla de Sousa Araújo",$B:$B,"&lt;&gt;Lorena Dias de Araujo",$B:$B,"&lt;&gt;Lucas Luiz Romero")*(28/1083),IF(C1688="Técnico I",SUMIFS($D:$D,$A:$A,$A1688,$B:$B,"&lt;&gt;Patrícia Karla de Sousa Araújo",$B:$B,"&lt;&gt;Lorena Dias de Araujo",$B:$B,"&lt;&gt;Lucas Luiz Romero")*(23/1083),IF(C1688="JR",SUMIFS($D:$D,$A:$A,$A1688,$B:$B,"&lt;&gt;Patrícia Karla de Sousa Araújo",$B:$B,"&lt;&gt;Lorena Dias de Araujo",$B:$B,"&lt;&gt;Lucas Luiz Romero")*(20/1083),IF(C1688="Estágio",SUMIFS($D:$D,$A:$A,$A1688,$B:$B,"&lt;&gt;Patrícia Karla de Sousa Araújo",$B:$B,"&lt;&gt;Lorena Dias de Araujo",$B:$B,"&lt;&gt;Lucas Luiz Romero")*(10/1083),0)))))),0)</f>
        <v>8</v>
      </c>
      <c r="K1688" s="3">
        <f>I1688-J1688</f>
        <v>-5</v>
      </c>
      <c r="L1688" s="3" t="str">
        <f>IF(K1688&lt;-5,"CRÍTICO",IF(K1688&lt;0,"ATENÇÃO",IF(K1688&lt;=5,"BOM","EXCELENTE")))</f>
        <v>ATENÇÃO</v>
      </c>
      <c r="M1688">
        <v>2</v>
      </c>
      <c r="N1688">
        <v>100</v>
      </c>
      <c r="O1688">
        <v>12</v>
      </c>
    </row>
    <row r="1689" spans="1:15" hidden="1" x14ac:dyDescent="0.25">
      <c r="A1689" s="11">
        <v>46052</v>
      </c>
      <c r="B1689" t="s">
        <v>28</v>
      </c>
      <c r="C1689" t="s">
        <v>26</v>
      </c>
      <c r="D1689">
        <v>0</v>
      </c>
      <c r="E1689">
        <v>0</v>
      </c>
      <c r="F1689">
        <v>0</v>
      </c>
      <c r="G1689">
        <v>0</v>
      </c>
      <c r="H1689">
        <v>0</v>
      </c>
      <c r="I1689" s="3">
        <v>0</v>
      </c>
      <c r="J1689" s="3">
        <v>0</v>
      </c>
      <c r="K1689" s="3">
        <v>0</v>
      </c>
      <c r="L1689" s="3" t="str">
        <f>IF(K1689&lt;-5,"CRÍTICO",IF(K1689&lt;0,"ATENÇÃO",IF(K1689&lt;=5,"BOM","EXCELENTE")))</f>
        <v>BOM</v>
      </c>
      <c r="M1689">
        <v>0</v>
      </c>
      <c r="N1689">
        <v>0</v>
      </c>
      <c r="O1689">
        <v>0</v>
      </c>
    </row>
    <row r="1690" spans="1:15" hidden="1" x14ac:dyDescent="0.25">
      <c r="A1690" s="11">
        <v>46052</v>
      </c>
      <c r="B1690" t="s">
        <v>58</v>
      </c>
      <c r="C1690" t="s">
        <v>48</v>
      </c>
      <c r="D1690">
        <v>27</v>
      </c>
      <c r="E1690">
        <v>25</v>
      </c>
      <c r="F1690">
        <v>20.23</v>
      </c>
      <c r="G1690">
        <v>0</v>
      </c>
      <c r="H1690">
        <v>0</v>
      </c>
      <c r="I1690" s="3">
        <f>E1690+G1690+H1690</f>
        <v>25</v>
      </c>
      <c r="J1690" s="3">
        <f>ROUND(MIN(IF(C1690="Técnico III",35,IF(C1690="Técnico II",28,IF(C1690="Técnico I",23,IF(C1690="JR",20,IF(C1690="Estágio",10,0))))),IF(C1690="Técnico III",SUMIFS($D:$D,$A:$A,$A1690,$B:$B,"&lt;&gt;Patrícia Karla de Sousa Araújo",$B:$B,"&lt;&gt;Lorena Dias de Araujo",$B:$B,"&lt;&gt;Lucas Luiz Romero")*(35/1083),IF(C1690="Técnico II",SUMIFS($D:$D,$A:$A,$A1690,$B:$B,"&lt;&gt;Patrícia Karla de Sousa Araújo",$B:$B,"&lt;&gt;Lorena Dias de Araujo",$B:$B,"&lt;&gt;Lucas Luiz Romero")*(28/1083),IF(C1690="Técnico I",SUMIFS($D:$D,$A:$A,$A1690,$B:$B,"&lt;&gt;Patrícia Karla de Sousa Araújo",$B:$B,"&lt;&gt;Lorena Dias de Araujo",$B:$B,"&lt;&gt;Lucas Luiz Romero")*(23/1083),IF(C1690="JR",SUMIFS($D:$D,$A:$A,$A1690,$B:$B,"&lt;&gt;Patrícia Karla de Sousa Araújo",$B:$B,"&lt;&gt;Lorena Dias de Araujo",$B:$B,"&lt;&gt;Lucas Luiz Romero")*(20/1083),IF(C1690="Estágio",SUMIFS($D:$D,$A:$A,$A1690,$B:$B,"&lt;&gt;Patrícia Karla de Sousa Araújo",$B:$B,"&lt;&gt;Lorena Dias de Araujo",$B:$B,"&lt;&gt;Lucas Luiz Romero")*(10/1083),0)))))),0)</f>
        <v>22</v>
      </c>
      <c r="K1690" s="3">
        <f>I1690-J1690</f>
        <v>3</v>
      </c>
      <c r="L1690" s="3" t="str">
        <f>IF(K1690&lt;-5,"CRÍTICO",IF(K1690&lt;0,"ATENÇÃO",IF(K1690&lt;=5,"BOM","EXCELENTE")))</f>
        <v>BOM</v>
      </c>
      <c r="M1690">
        <v>25</v>
      </c>
      <c r="N1690">
        <v>97.56</v>
      </c>
      <c r="O1690">
        <v>31.067961165048541</v>
      </c>
    </row>
    <row r="1691" spans="1:15" hidden="1" x14ac:dyDescent="0.25">
      <c r="A1691" s="11">
        <v>46052</v>
      </c>
      <c r="B1691" t="s">
        <v>29</v>
      </c>
      <c r="C1691" t="s">
        <v>26</v>
      </c>
      <c r="D1691">
        <v>0</v>
      </c>
      <c r="E1691">
        <v>0</v>
      </c>
      <c r="F1691">
        <v>0</v>
      </c>
      <c r="G1691">
        <v>0</v>
      </c>
      <c r="H1691">
        <v>0</v>
      </c>
      <c r="I1691" s="3">
        <v>0</v>
      </c>
      <c r="J1691" s="3">
        <v>0</v>
      </c>
      <c r="K1691" s="3">
        <v>0</v>
      </c>
      <c r="L1691" s="3" t="str">
        <f>IF(K1691&lt;-5,"CRÍTICO",IF(K1691&lt;0,"ATENÇÃO",IF(K1691&lt;=5,"BOM","EXCELENTE")))</f>
        <v>BOM</v>
      </c>
      <c r="M1691">
        <v>0</v>
      </c>
      <c r="N1691">
        <v>0</v>
      </c>
      <c r="O1691">
        <v>0</v>
      </c>
    </row>
    <row r="1692" spans="1:15" hidden="1" x14ac:dyDescent="0.25">
      <c r="A1692" s="11">
        <v>46052</v>
      </c>
      <c r="B1692" t="s">
        <v>30</v>
      </c>
      <c r="C1692" t="s">
        <v>26</v>
      </c>
      <c r="D1692">
        <v>0</v>
      </c>
      <c r="E1692">
        <v>0</v>
      </c>
      <c r="F1692">
        <v>0</v>
      </c>
      <c r="G1692">
        <v>0</v>
      </c>
      <c r="H1692">
        <v>0</v>
      </c>
      <c r="I1692" s="3">
        <v>0</v>
      </c>
      <c r="J1692" s="3">
        <v>0</v>
      </c>
      <c r="K1692" s="3">
        <v>0</v>
      </c>
      <c r="L1692" s="3" t="str">
        <f>IF(K1692&lt;-5,"CRÍTICO",IF(K1692&lt;0,"ATENÇÃO",IF(K1692&lt;=5,"BOM","EXCELENTE")))</f>
        <v>BOM</v>
      </c>
      <c r="M1692">
        <v>0</v>
      </c>
      <c r="N1692">
        <v>0</v>
      </c>
      <c r="O1692">
        <v>0</v>
      </c>
    </row>
    <row r="1693" spans="1:15" hidden="1" x14ac:dyDescent="0.25">
      <c r="A1693" s="11">
        <v>46052</v>
      </c>
      <c r="B1693" t="s">
        <v>21</v>
      </c>
      <c r="C1693" t="s">
        <v>16</v>
      </c>
      <c r="D1693">
        <v>0</v>
      </c>
      <c r="E1693">
        <v>0</v>
      </c>
      <c r="F1693">
        <v>0</v>
      </c>
      <c r="G1693">
        <v>0</v>
      </c>
      <c r="H1693">
        <v>0</v>
      </c>
      <c r="I1693" s="3">
        <v>0</v>
      </c>
      <c r="J1693" s="3">
        <v>0</v>
      </c>
      <c r="K1693" s="3">
        <v>0</v>
      </c>
      <c r="L1693" s="3" t="str">
        <f>IF(K1693&lt;-5,"CRÍTICO",IF(K1693&lt;0,"ATENÇÃO",IF(K1693&lt;=5,"BOM","EXCELENTE")))</f>
        <v>BOM</v>
      </c>
      <c r="M1693">
        <v>0</v>
      </c>
      <c r="N1693">
        <v>0</v>
      </c>
      <c r="O1693">
        <v>0</v>
      </c>
    </row>
    <row r="1694" spans="1:15" hidden="1" x14ac:dyDescent="0.25">
      <c r="A1694" s="11">
        <v>46052</v>
      </c>
      <c r="B1694" t="s">
        <v>63</v>
      </c>
      <c r="C1694" t="s">
        <v>23</v>
      </c>
      <c r="D1694">
        <v>8</v>
      </c>
      <c r="E1694">
        <v>8</v>
      </c>
      <c r="F1694">
        <v>59.11</v>
      </c>
      <c r="G1694">
        <v>0</v>
      </c>
      <c r="H1694">
        <v>0</v>
      </c>
      <c r="I1694" s="3">
        <f>E1694+G1694+H1694</f>
        <v>8</v>
      </c>
      <c r="J1694" s="3">
        <f>ROUND(MIN(IF(C1694="Técnico III",35,IF(C1694="Técnico II",28,IF(C1694="Técnico I",23,IF(C1694="JR",20,IF(C1694="Estágio",10,0))))),IF(C1694="Técnico III",SUMIFS($D:$D,$A:$A,$A1694,$B:$B,"&lt;&gt;Patrícia Karla de Sousa Araújo",$B:$B,"&lt;&gt;Lorena Dias de Araujo",$B:$B,"&lt;&gt;Lucas Luiz Romero")*(35/1083),IF(C1694="Técnico II",SUMIFS($D:$D,$A:$A,$A1694,$B:$B,"&lt;&gt;Patrícia Karla de Sousa Araújo",$B:$B,"&lt;&gt;Lorena Dias de Araujo",$B:$B,"&lt;&gt;Lucas Luiz Romero")*(28/1083),IF(C1694="Técnico I",SUMIFS($D:$D,$A:$A,$A1694,$B:$B,"&lt;&gt;Patrícia Karla de Sousa Araújo",$B:$B,"&lt;&gt;Lorena Dias de Araujo",$B:$B,"&lt;&gt;Lucas Luiz Romero")*(23/1083),IF(C1694="JR",SUMIFS($D:$D,$A:$A,$A1694,$B:$B,"&lt;&gt;Patrícia Karla de Sousa Araújo",$B:$B,"&lt;&gt;Lorena Dias de Araujo",$B:$B,"&lt;&gt;Lucas Luiz Romero")*(20/1083),IF(C1694="Estágio",SUMIFS($D:$D,$A:$A,$A1694,$B:$B,"&lt;&gt;Patrícia Karla de Sousa Araújo",$B:$B,"&lt;&gt;Lorena Dias de Araujo",$B:$B,"&lt;&gt;Lucas Luiz Romero")*(10/1083),0)))))),0)</f>
        <v>18</v>
      </c>
      <c r="K1694" s="3">
        <f>I1694-J1694</f>
        <v>-10</v>
      </c>
      <c r="L1694" s="3" t="str">
        <f>IF(K1694&lt;-5,"CRÍTICO",IF(K1694&lt;0,"ATENÇÃO",IF(K1694&lt;=5,"BOM","EXCELENTE")))</f>
        <v>CRÍTICO</v>
      </c>
      <c r="M1694">
        <v>5</v>
      </c>
      <c r="N1694">
        <v>100</v>
      </c>
      <c r="O1694">
        <v>53.846153846153847</v>
      </c>
    </row>
    <row r="1695" spans="1:15" hidden="1" x14ac:dyDescent="0.25">
      <c r="A1695" s="11">
        <v>46052</v>
      </c>
      <c r="B1695" t="s">
        <v>45</v>
      </c>
      <c r="C1695" t="s">
        <v>32</v>
      </c>
      <c r="D1695">
        <v>28</v>
      </c>
      <c r="E1695">
        <v>28</v>
      </c>
      <c r="F1695">
        <v>15.44</v>
      </c>
      <c r="G1695">
        <v>0</v>
      </c>
      <c r="H1695">
        <v>0</v>
      </c>
      <c r="I1695" s="3">
        <f>E1695+G1695+H1695</f>
        <v>28</v>
      </c>
      <c r="J1695" s="3">
        <f>ROUND(MIN(IF(C1695="Técnico III",35,IF(C1695="Técnico II",28,IF(C1695="Técnico I",23,IF(C1695="JR",20,IF(C1695="Estágio",10,0))))),IF(C1695="Técnico III",SUMIFS($D:$D,$A:$A,$A1695,$B:$B,"&lt;&gt;Patrícia Karla de Sousa Araújo",$B:$B,"&lt;&gt;Lorena Dias de Araujo",$B:$B,"&lt;&gt;Lucas Luiz Romero")*(35/1083),IF(C1695="Técnico II",SUMIFS($D:$D,$A:$A,$A1695,$B:$B,"&lt;&gt;Patrícia Karla de Sousa Araújo",$B:$B,"&lt;&gt;Lorena Dias de Araujo",$B:$B,"&lt;&gt;Lucas Luiz Romero")*(28/1083),IF(C1695="Técnico I",SUMIFS($D:$D,$A:$A,$A1695,$B:$B,"&lt;&gt;Patrícia Karla de Sousa Araújo",$B:$B,"&lt;&gt;Lorena Dias de Araujo",$B:$B,"&lt;&gt;Lucas Luiz Romero")*(23/1083),IF(C1695="JR",SUMIFS($D:$D,$A:$A,$A1695,$B:$B,"&lt;&gt;Patrícia Karla de Sousa Araújo",$B:$B,"&lt;&gt;Lorena Dias de Araujo",$B:$B,"&lt;&gt;Lucas Luiz Romero")*(20/1083),IF(C1695="Estágio",SUMIFS($D:$D,$A:$A,$A1695,$B:$B,"&lt;&gt;Patrícia Karla de Sousa Araújo",$B:$B,"&lt;&gt;Lorena Dias de Araujo",$B:$B,"&lt;&gt;Lucas Luiz Romero")*(10/1083),0)))))),0)</f>
        <v>28</v>
      </c>
      <c r="K1695" s="3">
        <f>I1695-J1695</f>
        <v>0</v>
      </c>
      <c r="L1695" s="3" t="str">
        <f>IF(K1695&lt;-5,"CRÍTICO",IF(K1695&lt;0,"ATENÇÃO",IF(K1695&lt;=5,"BOM","EXCELENTE")))</f>
        <v>BOM</v>
      </c>
      <c r="M1695">
        <v>29</v>
      </c>
      <c r="N1695">
        <v>100</v>
      </c>
      <c r="O1695">
        <v>44.05594405594406</v>
      </c>
    </row>
    <row r="1696" spans="1:15" hidden="1" x14ac:dyDescent="0.25">
      <c r="A1696" s="11">
        <v>46052</v>
      </c>
      <c r="B1696" t="s">
        <v>64</v>
      </c>
      <c r="C1696" t="s">
        <v>23</v>
      </c>
      <c r="D1696">
        <v>14</v>
      </c>
      <c r="E1696">
        <v>14</v>
      </c>
      <c r="F1696">
        <v>29.08</v>
      </c>
      <c r="G1696">
        <v>0</v>
      </c>
      <c r="H1696">
        <v>0</v>
      </c>
      <c r="I1696" s="3">
        <f>E1696+G1696+H1696</f>
        <v>14</v>
      </c>
      <c r="J1696" s="3">
        <f>ROUND(MIN(IF(C1696="Técnico III",35,IF(C1696="Técnico II",28,IF(C1696="Técnico I",23,IF(C1696="JR",20,IF(C1696="Estágio",10,0))))),IF(C1696="Técnico III",SUMIFS($D:$D,$A:$A,$A1696,$B:$B,"&lt;&gt;Patrícia Karla de Sousa Araújo",$B:$B,"&lt;&gt;Lorena Dias de Araujo",$B:$B,"&lt;&gt;Lucas Luiz Romero")*(35/1083),IF(C1696="Técnico II",SUMIFS($D:$D,$A:$A,$A1696,$B:$B,"&lt;&gt;Patrícia Karla de Sousa Araújo",$B:$B,"&lt;&gt;Lorena Dias de Araujo",$B:$B,"&lt;&gt;Lucas Luiz Romero")*(28/1083),IF(C1696="Técnico I",SUMIFS($D:$D,$A:$A,$A1696,$B:$B,"&lt;&gt;Patrícia Karla de Sousa Araújo",$B:$B,"&lt;&gt;Lorena Dias de Araujo",$B:$B,"&lt;&gt;Lucas Luiz Romero")*(23/1083),IF(C1696="JR",SUMIFS($D:$D,$A:$A,$A1696,$B:$B,"&lt;&gt;Patrícia Karla de Sousa Araújo",$B:$B,"&lt;&gt;Lorena Dias de Araujo",$B:$B,"&lt;&gt;Lucas Luiz Romero")*(20/1083),IF(C1696="Estágio",SUMIFS($D:$D,$A:$A,$A1696,$B:$B,"&lt;&gt;Patrícia Karla de Sousa Araújo",$B:$B,"&lt;&gt;Lorena Dias de Araujo",$B:$B,"&lt;&gt;Lucas Luiz Romero")*(10/1083),0)))))),0)</f>
        <v>18</v>
      </c>
      <c r="K1696" s="3">
        <f>I1696-J1696</f>
        <v>-4</v>
      </c>
      <c r="L1696" s="3" t="str">
        <f>IF(K1696&lt;-5,"CRÍTICO",IF(K1696&lt;0,"ATENÇÃO",IF(K1696&lt;=5,"BOM","EXCELENTE")))</f>
        <v>ATENÇÃO</v>
      </c>
      <c r="M1696">
        <v>15</v>
      </c>
      <c r="N1696">
        <v>100</v>
      </c>
      <c r="O1696">
        <v>31.872509960159359</v>
      </c>
    </row>
    <row r="1697" spans="1:15" hidden="1" x14ac:dyDescent="0.25">
      <c r="A1697" s="11">
        <v>46052</v>
      </c>
      <c r="B1697" t="s">
        <v>46</v>
      </c>
      <c r="C1697" t="s">
        <v>32</v>
      </c>
      <c r="D1697">
        <v>37</v>
      </c>
      <c r="E1697">
        <v>36</v>
      </c>
      <c r="F1697">
        <v>12.14</v>
      </c>
      <c r="G1697">
        <v>0</v>
      </c>
      <c r="H1697">
        <v>0</v>
      </c>
      <c r="I1697" s="3">
        <f>E1697+G1697+H1697</f>
        <v>36</v>
      </c>
      <c r="J1697" s="3">
        <f>ROUND(MIN(IF(C1697="Técnico III",35,IF(C1697="Técnico II",28,IF(C1697="Técnico I",23,IF(C1697="JR",20,IF(C1697="Estágio",10,0))))),IF(C1697="Técnico III",SUMIFS($D:$D,$A:$A,$A1697,$B:$B,"&lt;&gt;Patrícia Karla de Sousa Araújo",$B:$B,"&lt;&gt;Lorena Dias de Araujo",$B:$B,"&lt;&gt;Lucas Luiz Romero")*(35/1083),IF(C1697="Técnico II",SUMIFS($D:$D,$A:$A,$A1697,$B:$B,"&lt;&gt;Patrícia Karla de Sousa Araújo",$B:$B,"&lt;&gt;Lorena Dias de Araujo",$B:$B,"&lt;&gt;Lucas Luiz Romero")*(28/1083),IF(C1697="Técnico I",SUMIFS($D:$D,$A:$A,$A1697,$B:$B,"&lt;&gt;Patrícia Karla de Sousa Araújo",$B:$B,"&lt;&gt;Lorena Dias de Araujo",$B:$B,"&lt;&gt;Lucas Luiz Romero")*(23/1083),IF(C1697="JR",SUMIFS($D:$D,$A:$A,$A1697,$B:$B,"&lt;&gt;Patrícia Karla de Sousa Araújo",$B:$B,"&lt;&gt;Lorena Dias de Araujo",$B:$B,"&lt;&gt;Lucas Luiz Romero")*(20/1083),IF(C1697="Estágio",SUMIFS($D:$D,$A:$A,$A1697,$B:$B,"&lt;&gt;Patrícia Karla de Sousa Araújo",$B:$B,"&lt;&gt;Lorena Dias de Araujo",$B:$B,"&lt;&gt;Lucas Luiz Romero")*(10/1083),0)))))),0)</f>
        <v>28</v>
      </c>
      <c r="K1697" s="3">
        <f>I1697-J1697</f>
        <v>8</v>
      </c>
      <c r="L1697" s="3" t="str">
        <f>IF(K1697&lt;-5,"CRÍTICO",IF(K1697&lt;0,"ATENÇÃO",IF(K1697&lt;=5,"BOM","EXCELENTE")))</f>
        <v>EXCELENTE</v>
      </c>
      <c r="M1697">
        <v>29</v>
      </c>
      <c r="N1697">
        <v>98.41</v>
      </c>
      <c r="O1697">
        <v>29.22465208747515</v>
      </c>
    </row>
    <row r="1698" spans="1:15" hidden="1" x14ac:dyDescent="0.25">
      <c r="A1698" s="11">
        <v>46055</v>
      </c>
      <c r="B1698" t="s">
        <v>47</v>
      </c>
      <c r="C1698" t="s">
        <v>48</v>
      </c>
      <c r="D1698">
        <v>50</v>
      </c>
      <c r="E1698">
        <v>43</v>
      </c>
      <c r="F1698">
        <v>12.21</v>
      </c>
      <c r="G1698">
        <v>0</v>
      </c>
      <c r="H1698">
        <v>0</v>
      </c>
      <c r="I1698" s="3">
        <f>E1698+G1698+H1698</f>
        <v>43</v>
      </c>
      <c r="J1698" s="3">
        <f>ROUND(MIN(IF(C1698="Técnico III",35,IF(C1698="Técnico II",28,IF(C1698="Técnico I",23,IF(C1698="JR",20,IF(C1698="Estágio",10,0))))),IF(C1698="Técnico III",SUMIFS($D:$D,$A:$A,$A1698,$B:$B,"&lt;&gt;Patrícia Karla de Sousa Araújo",$B:$B,"&lt;&gt;Lorena Dias de Araujo",$B:$B,"&lt;&gt;Lucas Luiz Romero")*(35/1083),IF(C1698="Técnico II",SUMIFS($D:$D,$A:$A,$A1698,$B:$B,"&lt;&gt;Patrícia Karla de Sousa Araújo",$B:$B,"&lt;&gt;Lorena Dias de Araujo",$B:$B,"&lt;&gt;Lucas Luiz Romero")*(28/1083),IF(C1698="Técnico I",SUMIFS($D:$D,$A:$A,$A1698,$B:$B,"&lt;&gt;Patrícia Karla de Sousa Araújo",$B:$B,"&lt;&gt;Lorena Dias de Araujo",$B:$B,"&lt;&gt;Lucas Luiz Romero")*(23/1083),IF(C1698="JR",SUMIFS($D:$D,$A:$A,$A1698,$B:$B,"&lt;&gt;Patrícia Karla de Sousa Araújo",$B:$B,"&lt;&gt;Lorena Dias de Araujo",$B:$B,"&lt;&gt;Lucas Luiz Romero")*(20/1083),IF(C1698="Estágio",SUMIFS($D:$D,$A:$A,$A1698,$B:$B,"&lt;&gt;Patrícia Karla de Sousa Araújo",$B:$B,"&lt;&gt;Lorena Dias de Araujo",$B:$B,"&lt;&gt;Lucas Luiz Romero")*(10/1083),0)))))),0)</f>
        <v>23</v>
      </c>
      <c r="K1698" s="3">
        <f>I1698-J1698</f>
        <v>20</v>
      </c>
      <c r="L1698" s="3" t="str">
        <f>IF(K1698&lt;-5,"CRÍTICO",IF(K1698&lt;0,"ATENÇÃO",IF(K1698&lt;=5,"BOM","EXCELENTE")))</f>
        <v>EXCELENTE</v>
      </c>
      <c r="M1698">
        <v>40</v>
      </c>
      <c r="N1698">
        <v>98.32</v>
      </c>
      <c r="O1698">
        <v>30.303030303030301</v>
      </c>
    </row>
    <row r="1699" spans="1:15" hidden="1" x14ac:dyDescent="0.25">
      <c r="A1699" s="11">
        <v>46055</v>
      </c>
      <c r="B1699" t="s">
        <v>31</v>
      </c>
      <c r="C1699" t="s">
        <v>32</v>
      </c>
      <c r="D1699">
        <v>0</v>
      </c>
      <c r="E1699">
        <v>0</v>
      </c>
      <c r="F1699">
        <v>0</v>
      </c>
      <c r="G1699">
        <v>0</v>
      </c>
      <c r="H1699">
        <v>0</v>
      </c>
      <c r="I1699" s="3">
        <v>0</v>
      </c>
      <c r="J1699" s="3">
        <v>0</v>
      </c>
      <c r="K1699" s="3">
        <v>0</v>
      </c>
      <c r="L1699" s="3" t="str">
        <f>IF(K1699&lt;-5,"CRÍTICO",IF(K1699&lt;0,"ATENÇÃO",IF(K1699&lt;=5,"BOM","EXCELENTE")))</f>
        <v>BOM</v>
      </c>
      <c r="M1699">
        <v>30</v>
      </c>
      <c r="N1699">
        <v>98.68</v>
      </c>
      <c r="O1699">
        <v>26.219512195121951</v>
      </c>
    </row>
    <row r="1700" spans="1:15" hidden="1" x14ac:dyDescent="0.25">
      <c r="A1700" s="11">
        <v>46055</v>
      </c>
      <c r="B1700" t="s">
        <v>59</v>
      </c>
      <c r="C1700" t="s">
        <v>23</v>
      </c>
      <c r="D1700">
        <v>29</v>
      </c>
      <c r="E1700">
        <v>27</v>
      </c>
      <c r="F1700">
        <v>24.08</v>
      </c>
      <c r="G1700">
        <v>0</v>
      </c>
      <c r="H1700">
        <v>0</v>
      </c>
      <c r="I1700" s="3">
        <f>E1700+G1700+H1700</f>
        <v>27</v>
      </c>
      <c r="J1700" s="3">
        <f>ROUND(MIN(IF(C1700="Técnico III",35,IF(C1700="Técnico II",28,IF(C1700="Técnico I",23,IF(C1700="JR",20,IF(C1700="Estágio",10,0))))),IF(C1700="Técnico III",SUMIFS($D:$D,$A:$A,$A1700,$B:$B,"&lt;&gt;Patrícia Karla de Sousa Araújo",$B:$B,"&lt;&gt;Lorena Dias de Araujo",$B:$B,"&lt;&gt;Lucas Luiz Romero")*(35/1083),IF(C1700="Técnico II",SUMIFS($D:$D,$A:$A,$A1700,$B:$B,"&lt;&gt;Patrícia Karla de Sousa Araújo",$B:$B,"&lt;&gt;Lorena Dias de Araujo",$B:$B,"&lt;&gt;Lucas Luiz Romero")*(28/1083),IF(C1700="Técnico I",SUMIFS($D:$D,$A:$A,$A1700,$B:$B,"&lt;&gt;Patrícia Karla de Sousa Araújo",$B:$B,"&lt;&gt;Lorena Dias de Araujo",$B:$B,"&lt;&gt;Lucas Luiz Romero")*(23/1083),IF(C1700="JR",SUMIFS($D:$D,$A:$A,$A1700,$B:$B,"&lt;&gt;Patrícia Karla de Sousa Araújo",$B:$B,"&lt;&gt;Lorena Dias de Araujo",$B:$B,"&lt;&gt;Lucas Luiz Romero")*(20/1083),IF(C1700="Estágio",SUMIFS($D:$D,$A:$A,$A1700,$B:$B,"&lt;&gt;Patrícia Karla de Sousa Araújo",$B:$B,"&lt;&gt;Lorena Dias de Araujo",$B:$B,"&lt;&gt;Lucas Luiz Romero")*(10/1083),0)))))),0)</f>
        <v>19</v>
      </c>
      <c r="K1700" s="3">
        <f>I1700-J1700</f>
        <v>8</v>
      </c>
      <c r="L1700" s="3" t="str">
        <f>IF(K1700&lt;-5,"CRÍTICO",IF(K1700&lt;0,"ATENÇÃO",IF(K1700&lt;=5,"BOM","EXCELENTE")))</f>
        <v>EXCELENTE</v>
      </c>
      <c r="M1700">
        <v>28</v>
      </c>
      <c r="N1700">
        <v>100</v>
      </c>
      <c r="O1700">
        <v>31.74224343675418</v>
      </c>
    </row>
    <row r="1701" spans="1:15" hidden="1" x14ac:dyDescent="0.25">
      <c r="A1701" s="11">
        <v>46055</v>
      </c>
      <c r="B1701" t="s">
        <v>33</v>
      </c>
      <c r="C1701" t="s">
        <v>32</v>
      </c>
      <c r="D1701">
        <v>25</v>
      </c>
      <c r="E1701">
        <v>24</v>
      </c>
      <c r="F1701">
        <v>20.55</v>
      </c>
      <c r="G1701">
        <v>0</v>
      </c>
      <c r="H1701">
        <v>0</v>
      </c>
      <c r="I1701" s="3">
        <f>E1701+G1701+H1701</f>
        <v>24</v>
      </c>
      <c r="J1701" s="3">
        <f>ROUND(MIN(IF(C1701="Técnico III",35,IF(C1701="Técnico II",28,IF(C1701="Técnico I",23,IF(C1701="JR",20,IF(C1701="Estágio",10,0))))),IF(C1701="Técnico III",SUMIFS($D:$D,$A:$A,$A1701,$B:$B,"&lt;&gt;Patrícia Karla de Sousa Araújo",$B:$B,"&lt;&gt;Lorena Dias de Araujo",$B:$B,"&lt;&gt;Lucas Luiz Romero")*(35/1083),IF(C1701="Técnico II",SUMIFS($D:$D,$A:$A,$A1701,$B:$B,"&lt;&gt;Patrícia Karla de Sousa Araújo",$B:$B,"&lt;&gt;Lorena Dias de Araujo",$B:$B,"&lt;&gt;Lucas Luiz Romero")*(28/1083),IF(C1701="Técnico I",SUMIFS($D:$D,$A:$A,$A1701,$B:$B,"&lt;&gt;Patrícia Karla de Sousa Araújo",$B:$B,"&lt;&gt;Lorena Dias de Araujo",$B:$B,"&lt;&gt;Lucas Luiz Romero")*(23/1083),IF(C1701="JR",SUMIFS($D:$D,$A:$A,$A1701,$B:$B,"&lt;&gt;Patrícia Karla de Sousa Araújo",$B:$B,"&lt;&gt;Lorena Dias de Araujo",$B:$B,"&lt;&gt;Lucas Luiz Romero")*(20/1083),IF(C1701="Estágio",SUMIFS($D:$D,$A:$A,$A1701,$B:$B,"&lt;&gt;Patrícia Karla de Sousa Araújo",$B:$B,"&lt;&gt;Lorena Dias de Araujo",$B:$B,"&lt;&gt;Lucas Luiz Romero")*(10/1083),0)))))),0)</f>
        <v>29</v>
      </c>
      <c r="K1701" s="3">
        <f>I1701-J1701</f>
        <v>-5</v>
      </c>
      <c r="L1701" s="3" t="str">
        <f>IF(K1701&lt;-5,"CRÍTICO",IF(K1701&lt;0,"ATENÇÃO",IF(K1701&lt;=5,"BOM","EXCELENTE")))</f>
        <v>ATENÇÃO</v>
      </c>
      <c r="M1701">
        <v>23</v>
      </c>
      <c r="N1701">
        <v>98.25</v>
      </c>
      <c r="O1701">
        <v>25.83518930957684</v>
      </c>
    </row>
    <row r="1702" spans="1:15" hidden="1" x14ac:dyDescent="0.25">
      <c r="A1702" s="11">
        <v>46055</v>
      </c>
      <c r="B1702" t="s">
        <v>15</v>
      </c>
      <c r="C1702" t="s">
        <v>16</v>
      </c>
      <c r="D1702">
        <v>0</v>
      </c>
      <c r="E1702">
        <v>0</v>
      </c>
      <c r="F1702">
        <v>0</v>
      </c>
      <c r="G1702">
        <v>0</v>
      </c>
      <c r="H1702">
        <v>0</v>
      </c>
      <c r="I1702" s="3">
        <v>0</v>
      </c>
      <c r="J1702" s="3">
        <v>0</v>
      </c>
      <c r="K1702" s="3">
        <v>0</v>
      </c>
      <c r="L1702" s="3" t="str">
        <f>IF(K1702&lt;-5,"CRÍTICO",IF(K1702&lt;0,"ATENÇÃO",IF(K1702&lt;=5,"BOM","EXCELENTE")))</f>
        <v>BOM</v>
      </c>
      <c r="M1702">
        <v>0</v>
      </c>
      <c r="N1702">
        <v>97.5</v>
      </c>
      <c r="O1702">
        <v>30.075187969924809</v>
      </c>
    </row>
    <row r="1703" spans="1:15" hidden="1" x14ac:dyDescent="0.25">
      <c r="A1703" s="11">
        <v>46055</v>
      </c>
      <c r="B1703" t="s">
        <v>49</v>
      </c>
      <c r="C1703" t="s">
        <v>48</v>
      </c>
      <c r="D1703">
        <v>32</v>
      </c>
      <c r="E1703">
        <v>30</v>
      </c>
      <c r="F1703">
        <v>12.35</v>
      </c>
      <c r="G1703">
        <v>0</v>
      </c>
      <c r="H1703">
        <v>0</v>
      </c>
      <c r="I1703" s="3">
        <f>E1703+G1703+H1703</f>
        <v>30</v>
      </c>
      <c r="J1703" s="3">
        <f>ROUND(MIN(IF(C1703="Técnico III",35,IF(C1703="Técnico II",28,IF(C1703="Técnico I",23,IF(C1703="JR",20,IF(C1703="Estágio",10,0))))),IF(C1703="Técnico III",SUMIFS($D:$D,$A:$A,$A1703,$B:$B,"&lt;&gt;Patrícia Karla de Sousa Araújo",$B:$B,"&lt;&gt;Lorena Dias de Araujo",$B:$B,"&lt;&gt;Lucas Luiz Romero")*(35/1083),IF(C1703="Técnico II",SUMIFS($D:$D,$A:$A,$A1703,$B:$B,"&lt;&gt;Patrícia Karla de Sousa Araújo",$B:$B,"&lt;&gt;Lorena Dias de Araujo",$B:$B,"&lt;&gt;Lucas Luiz Romero")*(28/1083),IF(C1703="Técnico I",SUMIFS($D:$D,$A:$A,$A1703,$B:$B,"&lt;&gt;Patrícia Karla de Sousa Araújo",$B:$B,"&lt;&gt;Lorena Dias de Araujo",$B:$B,"&lt;&gt;Lucas Luiz Romero")*(23/1083),IF(C1703="JR",SUMIFS($D:$D,$A:$A,$A1703,$B:$B,"&lt;&gt;Patrícia Karla de Sousa Araújo",$B:$B,"&lt;&gt;Lorena Dias de Araujo",$B:$B,"&lt;&gt;Lucas Luiz Romero")*(20/1083),IF(C1703="Estágio",SUMIFS($D:$D,$A:$A,$A1703,$B:$B,"&lt;&gt;Patrícia Karla de Sousa Araújo",$B:$B,"&lt;&gt;Lorena Dias de Araujo",$B:$B,"&lt;&gt;Lucas Luiz Romero")*(10/1083),0)))))),0)</f>
        <v>23</v>
      </c>
      <c r="K1703" s="3">
        <f>I1703-J1703</f>
        <v>7</v>
      </c>
      <c r="L1703" s="3" t="str">
        <f>IF(K1703&lt;-5,"CRÍTICO",IF(K1703&lt;0,"ATENÇÃO",IF(K1703&lt;=5,"BOM","EXCELENTE")))</f>
        <v>EXCELENTE</v>
      </c>
      <c r="M1703">
        <v>30</v>
      </c>
      <c r="N1703">
        <v>100</v>
      </c>
      <c r="O1703">
        <v>29.71311475409836</v>
      </c>
    </row>
    <row r="1704" spans="1:15" hidden="1" x14ac:dyDescent="0.25">
      <c r="A1704" s="11">
        <v>46055</v>
      </c>
      <c r="B1704" t="s">
        <v>50</v>
      </c>
      <c r="C1704" t="s">
        <v>48</v>
      </c>
      <c r="D1704">
        <v>21</v>
      </c>
      <c r="E1704">
        <v>19</v>
      </c>
      <c r="F1704">
        <v>31.46</v>
      </c>
      <c r="G1704">
        <v>0</v>
      </c>
      <c r="H1704">
        <v>0</v>
      </c>
      <c r="I1704" s="3">
        <f>E1704+G1704+H1704</f>
        <v>19</v>
      </c>
      <c r="J1704" s="3">
        <f>ROUND(MIN(IF(C1704="Técnico III",35,IF(C1704="Técnico II",28,IF(C1704="Técnico I",23,IF(C1704="JR",20,IF(C1704="Estágio",10,0))))),IF(C1704="Técnico III",SUMIFS($D:$D,$A:$A,$A1704,$B:$B,"&lt;&gt;Patrícia Karla de Sousa Araújo",$B:$B,"&lt;&gt;Lorena Dias de Araujo",$B:$B,"&lt;&gt;Lucas Luiz Romero")*(35/1083),IF(C1704="Técnico II",SUMIFS($D:$D,$A:$A,$A1704,$B:$B,"&lt;&gt;Patrícia Karla de Sousa Araújo",$B:$B,"&lt;&gt;Lorena Dias de Araujo",$B:$B,"&lt;&gt;Lucas Luiz Romero")*(28/1083),IF(C1704="Técnico I",SUMIFS($D:$D,$A:$A,$A1704,$B:$B,"&lt;&gt;Patrícia Karla de Sousa Araújo",$B:$B,"&lt;&gt;Lorena Dias de Araujo",$B:$B,"&lt;&gt;Lucas Luiz Romero")*(23/1083),IF(C1704="JR",SUMIFS($D:$D,$A:$A,$A1704,$B:$B,"&lt;&gt;Patrícia Karla de Sousa Araújo",$B:$B,"&lt;&gt;Lorena Dias de Araujo",$B:$B,"&lt;&gt;Lucas Luiz Romero")*(20/1083),IF(C1704="Estágio",SUMIFS($D:$D,$A:$A,$A1704,$B:$B,"&lt;&gt;Patrícia Karla de Sousa Araújo",$B:$B,"&lt;&gt;Lorena Dias de Araujo",$B:$B,"&lt;&gt;Lucas Luiz Romero")*(10/1083),0)))))),0)</f>
        <v>23</v>
      </c>
      <c r="K1704" s="3">
        <f>I1704-J1704</f>
        <v>-4</v>
      </c>
      <c r="L1704" s="3" t="str">
        <f>IF(K1704&lt;-5,"CRÍTICO",IF(K1704&lt;0,"ATENÇÃO",IF(K1704&lt;=5,"BOM","EXCELENTE")))</f>
        <v>ATENÇÃO</v>
      </c>
      <c r="M1704">
        <v>18</v>
      </c>
      <c r="N1704">
        <v>99.22</v>
      </c>
      <c r="O1704">
        <v>35.256410256410263</v>
      </c>
    </row>
    <row r="1705" spans="1:15" hidden="1" x14ac:dyDescent="0.25">
      <c r="A1705" s="11">
        <v>46055</v>
      </c>
      <c r="B1705" t="s">
        <v>17</v>
      </c>
      <c r="C1705" t="s">
        <v>16</v>
      </c>
      <c r="D1705">
        <v>0</v>
      </c>
      <c r="E1705">
        <v>0</v>
      </c>
      <c r="F1705">
        <v>0</v>
      </c>
      <c r="G1705">
        <v>0</v>
      </c>
      <c r="H1705">
        <v>0</v>
      </c>
      <c r="I1705" s="3">
        <v>0</v>
      </c>
      <c r="J1705" s="3">
        <v>0</v>
      </c>
      <c r="K1705" s="3">
        <v>0</v>
      </c>
      <c r="L1705" s="3" t="str">
        <f>IF(K1705&lt;-5,"CRÍTICO",IF(K1705&lt;0,"ATENÇÃO",IF(K1705&lt;=5,"BOM","EXCELENTE")))</f>
        <v>BOM</v>
      </c>
      <c r="M1705">
        <v>0</v>
      </c>
      <c r="N1705">
        <v>0</v>
      </c>
      <c r="O1705">
        <v>0</v>
      </c>
    </row>
    <row r="1706" spans="1:15" hidden="1" x14ac:dyDescent="0.25">
      <c r="A1706" s="11">
        <v>46055</v>
      </c>
      <c r="B1706" t="s">
        <v>60</v>
      </c>
      <c r="C1706" t="s">
        <v>23</v>
      </c>
      <c r="D1706">
        <v>1</v>
      </c>
      <c r="E1706">
        <v>1</v>
      </c>
      <c r="F1706">
        <v>22.31</v>
      </c>
      <c r="G1706">
        <v>0</v>
      </c>
      <c r="H1706">
        <v>0</v>
      </c>
      <c r="I1706" s="3">
        <f>E1706+G1706+H1706</f>
        <v>1</v>
      </c>
      <c r="J1706" s="3">
        <f>ROUND(MIN(IF(C1706="Técnico III",35,IF(C1706="Técnico II",28,IF(C1706="Técnico I",23,IF(C1706="JR",20,IF(C1706="Estágio",10,0))))),IF(C1706="Técnico III",SUMIFS($D:$D,$A:$A,$A1706,$B:$B,"&lt;&gt;Patrícia Karla de Sousa Araújo",$B:$B,"&lt;&gt;Lorena Dias de Araujo",$B:$B,"&lt;&gt;Lucas Luiz Romero")*(35/1083),IF(C1706="Técnico II",SUMIFS($D:$D,$A:$A,$A1706,$B:$B,"&lt;&gt;Patrícia Karla de Sousa Araújo",$B:$B,"&lt;&gt;Lorena Dias de Araujo",$B:$B,"&lt;&gt;Lucas Luiz Romero")*(28/1083),IF(C1706="Técnico I",SUMIFS($D:$D,$A:$A,$A1706,$B:$B,"&lt;&gt;Patrícia Karla de Sousa Araújo",$B:$B,"&lt;&gt;Lorena Dias de Araujo",$B:$B,"&lt;&gt;Lucas Luiz Romero")*(23/1083),IF(C1706="JR",SUMIFS($D:$D,$A:$A,$A1706,$B:$B,"&lt;&gt;Patrícia Karla de Sousa Araújo",$B:$B,"&lt;&gt;Lorena Dias de Araujo",$B:$B,"&lt;&gt;Lucas Luiz Romero")*(20/1083),IF(C1706="Estágio",SUMIFS($D:$D,$A:$A,$A1706,$B:$B,"&lt;&gt;Patrícia Karla de Sousa Araújo",$B:$B,"&lt;&gt;Lorena Dias de Araujo",$B:$B,"&lt;&gt;Lucas Luiz Romero")*(10/1083),0)))))),0)</f>
        <v>19</v>
      </c>
      <c r="K1706" s="3">
        <f>I1706-J1706</f>
        <v>-18</v>
      </c>
      <c r="L1706" s="3" t="str">
        <f>IF(K1706&lt;-5,"CRÍTICO",IF(K1706&lt;0,"ATENÇÃO",IF(K1706&lt;=5,"BOM","EXCELENTE")))</f>
        <v>CRÍTICO</v>
      </c>
      <c r="M1706">
        <v>23</v>
      </c>
      <c r="N1706">
        <v>98.75</v>
      </c>
      <c r="O1706">
        <v>24.32432432432433</v>
      </c>
    </row>
    <row r="1707" spans="1:15" hidden="1" x14ac:dyDescent="0.25">
      <c r="A1707" s="11">
        <v>46055</v>
      </c>
      <c r="B1707" t="s">
        <v>34</v>
      </c>
      <c r="C1707" t="s">
        <v>32</v>
      </c>
      <c r="D1707">
        <v>46</v>
      </c>
      <c r="E1707">
        <v>42</v>
      </c>
      <c r="F1707">
        <v>10.55</v>
      </c>
      <c r="G1707">
        <v>0</v>
      </c>
      <c r="H1707">
        <v>0</v>
      </c>
      <c r="I1707" s="3">
        <f>E1707+G1707+H1707</f>
        <v>42</v>
      </c>
      <c r="J1707" s="3">
        <f>ROUND(MIN(IF(C1707="Técnico III",35,IF(C1707="Técnico II",28,IF(C1707="Técnico I",23,IF(C1707="JR",20,IF(C1707="Estágio",10,0))))),IF(C1707="Técnico III",SUMIFS($D:$D,$A:$A,$A1707,$B:$B,"&lt;&gt;Patrícia Karla de Sousa Araújo",$B:$B,"&lt;&gt;Lorena Dias de Araujo",$B:$B,"&lt;&gt;Lucas Luiz Romero")*(35/1083),IF(C1707="Técnico II",SUMIFS($D:$D,$A:$A,$A1707,$B:$B,"&lt;&gt;Patrícia Karla de Sousa Araújo",$B:$B,"&lt;&gt;Lorena Dias de Araujo",$B:$B,"&lt;&gt;Lucas Luiz Romero")*(28/1083),IF(C1707="Técnico I",SUMIFS($D:$D,$A:$A,$A1707,$B:$B,"&lt;&gt;Patrícia Karla de Sousa Araújo",$B:$B,"&lt;&gt;Lorena Dias de Araujo",$B:$B,"&lt;&gt;Lucas Luiz Romero")*(23/1083),IF(C1707="JR",SUMIFS($D:$D,$A:$A,$A1707,$B:$B,"&lt;&gt;Patrícia Karla de Sousa Araújo",$B:$B,"&lt;&gt;Lorena Dias de Araujo",$B:$B,"&lt;&gt;Lucas Luiz Romero")*(20/1083),IF(C1707="Estágio",SUMIFS($D:$D,$A:$A,$A1707,$B:$B,"&lt;&gt;Patrícia Karla de Sousa Araújo",$B:$B,"&lt;&gt;Lorena Dias de Araujo",$B:$B,"&lt;&gt;Lucas Luiz Romero")*(10/1083),0)))))),0)</f>
        <v>29</v>
      </c>
      <c r="K1707" s="3">
        <f>I1707-J1707</f>
        <v>13</v>
      </c>
      <c r="L1707" s="3" t="str">
        <f>IF(K1707&lt;-5,"CRÍTICO",IF(K1707&lt;0,"ATENÇÃO",IF(K1707&lt;=5,"BOM","EXCELENTE")))</f>
        <v>EXCELENTE</v>
      </c>
      <c r="M1707">
        <v>35</v>
      </c>
      <c r="N1707">
        <v>93.48</v>
      </c>
      <c r="O1707">
        <v>31.52804642166344</v>
      </c>
    </row>
    <row r="1708" spans="1:15" hidden="1" x14ac:dyDescent="0.25">
      <c r="A1708" s="11">
        <v>46055</v>
      </c>
      <c r="B1708" t="s">
        <v>51</v>
      </c>
      <c r="C1708" t="s">
        <v>48</v>
      </c>
      <c r="D1708">
        <v>40</v>
      </c>
      <c r="E1708">
        <v>34</v>
      </c>
      <c r="F1708">
        <v>15.02</v>
      </c>
      <c r="G1708">
        <v>0</v>
      </c>
      <c r="H1708">
        <v>0</v>
      </c>
      <c r="I1708" s="3">
        <v>0</v>
      </c>
      <c r="J1708" s="3">
        <v>0</v>
      </c>
      <c r="K1708" s="3">
        <v>0</v>
      </c>
      <c r="L1708" s="3" t="str">
        <f>IF(K1708&lt;-5,"CRÍTICO",IF(K1708&lt;0,"ATENÇÃO",IF(K1708&lt;=5,"BOM","EXCELENTE")))</f>
        <v>BOM</v>
      </c>
      <c r="M1708">
        <v>32</v>
      </c>
      <c r="N1708">
        <v>99.16</v>
      </c>
      <c r="O1708">
        <v>26.13908872901678</v>
      </c>
    </row>
    <row r="1709" spans="1:15" hidden="1" x14ac:dyDescent="0.25">
      <c r="A1709" s="11">
        <v>46055</v>
      </c>
      <c r="B1709" t="s">
        <v>61</v>
      </c>
      <c r="C1709" t="s">
        <v>23</v>
      </c>
      <c r="D1709">
        <v>9</v>
      </c>
      <c r="E1709">
        <v>9</v>
      </c>
      <c r="F1709">
        <v>30.3</v>
      </c>
      <c r="G1709">
        <v>0</v>
      </c>
      <c r="H1709">
        <v>0</v>
      </c>
      <c r="I1709" s="3">
        <f>E1709+G1709+H1709</f>
        <v>9</v>
      </c>
      <c r="J1709" s="3">
        <f>ROUND(MIN(IF(C1709="Técnico III",35,IF(C1709="Técnico II",28,IF(C1709="Técnico I",23,IF(C1709="JR",20,IF(C1709="Estágio",10,0))))),IF(C1709="Técnico III",SUMIFS($D:$D,$A:$A,$A1709,$B:$B,"&lt;&gt;Patrícia Karla de Sousa Araújo",$B:$B,"&lt;&gt;Lorena Dias de Araujo",$B:$B,"&lt;&gt;Lucas Luiz Romero")*(35/1083),IF(C1709="Técnico II",SUMIFS($D:$D,$A:$A,$A1709,$B:$B,"&lt;&gt;Patrícia Karla de Sousa Araújo",$B:$B,"&lt;&gt;Lorena Dias de Araujo",$B:$B,"&lt;&gt;Lucas Luiz Romero")*(28/1083),IF(C1709="Técnico I",SUMIFS($D:$D,$A:$A,$A1709,$B:$B,"&lt;&gt;Patrícia Karla de Sousa Araújo",$B:$B,"&lt;&gt;Lorena Dias de Araujo",$B:$B,"&lt;&gt;Lucas Luiz Romero")*(23/1083),IF(C1709="JR",SUMIFS($D:$D,$A:$A,$A1709,$B:$B,"&lt;&gt;Patrícia Karla de Sousa Araújo",$B:$B,"&lt;&gt;Lorena Dias de Araujo",$B:$B,"&lt;&gt;Lucas Luiz Romero")*(20/1083),IF(C1709="Estágio",SUMIFS($D:$D,$A:$A,$A1709,$B:$B,"&lt;&gt;Patrícia Karla de Sousa Araújo",$B:$B,"&lt;&gt;Lorena Dias de Araujo",$B:$B,"&lt;&gt;Lucas Luiz Romero")*(10/1083),0)))))),0)</f>
        <v>19</v>
      </c>
      <c r="K1709" s="3">
        <f>I1709-J1709</f>
        <v>-10</v>
      </c>
      <c r="L1709" s="3" t="str">
        <f>IF(K1709&lt;-5,"CRÍTICO",IF(K1709&lt;0,"ATENÇÃO",IF(K1709&lt;=5,"BOM","EXCELENTE")))</f>
        <v>CRÍTICO</v>
      </c>
      <c r="M1709">
        <v>22</v>
      </c>
      <c r="N1709">
        <v>100</v>
      </c>
      <c r="O1709">
        <v>31.089743589743591</v>
      </c>
    </row>
    <row r="1710" spans="1:15" hidden="1" x14ac:dyDescent="0.25">
      <c r="A1710" s="11">
        <v>46055</v>
      </c>
      <c r="B1710" t="s">
        <v>35</v>
      </c>
      <c r="C1710" t="s">
        <v>32</v>
      </c>
      <c r="D1710">
        <v>37</v>
      </c>
      <c r="E1710">
        <v>37</v>
      </c>
      <c r="F1710">
        <v>18.57</v>
      </c>
      <c r="G1710">
        <v>0</v>
      </c>
      <c r="H1710">
        <v>0</v>
      </c>
      <c r="I1710" s="3">
        <v>0</v>
      </c>
      <c r="J1710" s="3">
        <v>0</v>
      </c>
      <c r="K1710" s="3">
        <v>0</v>
      </c>
      <c r="L1710" s="3" t="str">
        <f>IF(K1710&lt;-5,"CRÍTICO",IF(K1710&lt;0,"ATENÇÃO",IF(K1710&lt;=5,"BOM","EXCELENTE")))</f>
        <v>BOM</v>
      </c>
      <c r="M1710">
        <v>37</v>
      </c>
      <c r="N1710">
        <v>98.11</v>
      </c>
      <c r="O1710">
        <v>33.033707865168537</v>
      </c>
    </row>
    <row r="1711" spans="1:15" hidden="1" x14ac:dyDescent="0.25">
      <c r="A1711" s="11">
        <v>46055</v>
      </c>
      <c r="B1711" t="s">
        <v>18</v>
      </c>
      <c r="C1711" t="s">
        <v>16</v>
      </c>
      <c r="D1711">
        <v>0</v>
      </c>
      <c r="E1711">
        <v>0</v>
      </c>
      <c r="F1711">
        <v>0</v>
      </c>
      <c r="G1711">
        <v>0</v>
      </c>
      <c r="H1711">
        <v>0</v>
      </c>
      <c r="I1711" s="3">
        <v>0</v>
      </c>
      <c r="J1711" s="3">
        <v>0</v>
      </c>
      <c r="K1711" s="3">
        <v>0</v>
      </c>
      <c r="L1711" s="3" t="str">
        <f>IF(K1711&lt;-5,"CRÍTICO",IF(K1711&lt;0,"ATENÇÃO",IF(K1711&lt;=5,"BOM","EXCELENTE")))</f>
        <v>BOM</v>
      </c>
      <c r="M1711">
        <v>0</v>
      </c>
      <c r="N1711">
        <v>78.95</v>
      </c>
      <c r="O1711">
        <v>38.983050847457633</v>
      </c>
    </row>
    <row r="1712" spans="1:15" hidden="1" x14ac:dyDescent="0.25">
      <c r="A1712" s="11">
        <v>46055</v>
      </c>
      <c r="B1712" t="s">
        <v>52</v>
      </c>
      <c r="C1712" t="s">
        <v>48</v>
      </c>
      <c r="D1712">
        <v>32</v>
      </c>
      <c r="E1712">
        <v>27</v>
      </c>
      <c r="F1712">
        <v>18.420000000000002</v>
      </c>
      <c r="G1712">
        <v>0</v>
      </c>
      <c r="H1712">
        <v>0</v>
      </c>
      <c r="I1712" s="3">
        <f>E1712+G1712+H1712</f>
        <v>27</v>
      </c>
      <c r="J1712" s="3">
        <f>ROUND(MIN(IF(C1712="Técnico III",35,IF(C1712="Técnico II",28,IF(C1712="Técnico I",23,IF(C1712="JR",20,IF(C1712="Estágio",10,0))))),IF(C1712="Técnico III",SUMIFS($D:$D,$A:$A,$A1712,$B:$B,"&lt;&gt;Patrícia Karla de Sousa Araújo",$B:$B,"&lt;&gt;Lorena Dias de Araujo",$B:$B,"&lt;&gt;Lucas Luiz Romero")*(35/1083),IF(C1712="Técnico II",SUMIFS($D:$D,$A:$A,$A1712,$B:$B,"&lt;&gt;Patrícia Karla de Sousa Araújo",$B:$B,"&lt;&gt;Lorena Dias de Araujo",$B:$B,"&lt;&gt;Lucas Luiz Romero")*(28/1083),IF(C1712="Técnico I",SUMIFS($D:$D,$A:$A,$A1712,$B:$B,"&lt;&gt;Patrícia Karla de Sousa Araújo",$B:$B,"&lt;&gt;Lorena Dias de Araujo",$B:$B,"&lt;&gt;Lucas Luiz Romero")*(23/1083),IF(C1712="JR",SUMIFS($D:$D,$A:$A,$A1712,$B:$B,"&lt;&gt;Patrícia Karla de Sousa Araújo",$B:$B,"&lt;&gt;Lorena Dias de Araujo",$B:$B,"&lt;&gt;Lucas Luiz Romero")*(20/1083),IF(C1712="Estágio",SUMIFS($D:$D,$A:$A,$A1712,$B:$B,"&lt;&gt;Patrícia Karla de Sousa Araújo",$B:$B,"&lt;&gt;Lorena Dias de Araujo",$B:$B,"&lt;&gt;Lucas Luiz Romero")*(10/1083),0)))))),0)</f>
        <v>23</v>
      </c>
      <c r="K1712" s="3">
        <f>I1712-J1712</f>
        <v>4</v>
      </c>
      <c r="L1712" s="3" t="str">
        <f>IF(K1712&lt;-5,"CRÍTICO",IF(K1712&lt;0,"ATENÇÃO",IF(K1712&lt;=5,"BOM","EXCELENTE")))</f>
        <v>BOM</v>
      </c>
      <c r="M1712">
        <v>22</v>
      </c>
      <c r="N1712">
        <v>98.45</v>
      </c>
      <c r="O1712">
        <v>29.281767955801101</v>
      </c>
    </row>
    <row r="1713" spans="1:15" hidden="1" x14ac:dyDescent="0.25">
      <c r="A1713" s="11">
        <v>46055</v>
      </c>
      <c r="B1713" t="s">
        <v>36</v>
      </c>
      <c r="C1713" t="s">
        <v>32</v>
      </c>
      <c r="D1713">
        <v>24</v>
      </c>
      <c r="E1713">
        <v>22</v>
      </c>
      <c r="F1713">
        <v>26.54</v>
      </c>
      <c r="G1713">
        <v>0</v>
      </c>
      <c r="H1713">
        <v>0</v>
      </c>
      <c r="I1713" s="3">
        <f>E1713+G1713+H1713</f>
        <v>22</v>
      </c>
      <c r="J1713" s="3">
        <f>ROUND(MIN(IF(C1713="Técnico III",35,IF(C1713="Técnico II",28,IF(C1713="Técnico I",23,IF(C1713="JR",20,IF(C1713="Estágio",10,0))))),IF(C1713="Técnico III",SUMIFS($D:$D,$A:$A,$A1713,$B:$B,"&lt;&gt;Patrícia Karla de Sousa Araújo",$B:$B,"&lt;&gt;Lorena Dias de Araujo",$B:$B,"&lt;&gt;Lucas Luiz Romero")*(35/1083),IF(C1713="Técnico II",SUMIFS($D:$D,$A:$A,$A1713,$B:$B,"&lt;&gt;Patrícia Karla de Sousa Araújo",$B:$B,"&lt;&gt;Lorena Dias de Araujo",$B:$B,"&lt;&gt;Lucas Luiz Romero")*(28/1083),IF(C1713="Técnico I",SUMIFS($D:$D,$A:$A,$A1713,$B:$B,"&lt;&gt;Patrícia Karla de Sousa Araújo",$B:$B,"&lt;&gt;Lorena Dias de Araujo",$B:$B,"&lt;&gt;Lucas Luiz Romero")*(23/1083),IF(C1713="JR",SUMIFS($D:$D,$A:$A,$A1713,$B:$B,"&lt;&gt;Patrícia Karla de Sousa Araújo",$B:$B,"&lt;&gt;Lorena Dias de Araujo",$B:$B,"&lt;&gt;Lucas Luiz Romero")*(20/1083),IF(C1713="Estágio",SUMIFS($D:$D,$A:$A,$A1713,$B:$B,"&lt;&gt;Patrícia Karla de Sousa Araújo",$B:$B,"&lt;&gt;Lorena Dias de Araujo",$B:$B,"&lt;&gt;Lucas Luiz Romero")*(10/1083),0)))))),0)</f>
        <v>29</v>
      </c>
      <c r="K1713" s="3">
        <f>I1713-J1713</f>
        <v>-7</v>
      </c>
      <c r="L1713" s="3" t="str">
        <f>IF(K1713&lt;-5,"CRÍTICO",IF(K1713&lt;0,"ATENÇÃO",IF(K1713&lt;=5,"BOM","EXCELENTE")))</f>
        <v>CRÍTICO</v>
      </c>
      <c r="M1713">
        <v>21</v>
      </c>
      <c r="N1713">
        <v>97.84</v>
      </c>
      <c r="O1713">
        <v>26.282051282051281</v>
      </c>
    </row>
    <row r="1714" spans="1:15" hidden="1" x14ac:dyDescent="0.25">
      <c r="A1714" s="11">
        <v>46055</v>
      </c>
      <c r="B1714" t="s">
        <v>53</v>
      </c>
      <c r="C1714" t="s">
        <v>48</v>
      </c>
      <c r="D1714">
        <v>30</v>
      </c>
      <c r="E1714">
        <v>29</v>
      </c>
      <c r="F1714">
        <v>22.16</v>
      </c>
      <c r="G1714">
        <v>0</v>
      </c>
      <c r="H1714">
        <v>0</v>
      </c>
      <c r="I1714" s="3">
        <f>E1714+G1714+H1714</f>
        <v>29</v>
      </c>
      <c r="J1714" s="3">
        <f>ROUND(MIN(IF(C1714="Técnico III",35,IF(C1714="Técnico II",28,IF(C1714="Técnico I",23,IF(C1714="JR",20,IF(C1714="Estágio",10,0))))),IF(C1714="Técnico III",SUMIFS($D:$D,$A:$A,$A1714,$B:$B,"&lt;&gt;Patrícia Karla de Sousa Araújo",$B:$B,"&lt;&gt;Lorena Dias de Araujo",$B:$B,"&lt;&gt;Lucas Luiz Romero")*(35/1083),IF(C1714="Técnico II",SUMIFS($D:$D,$A:$A,$A1714,$B:$B,"&lt;&gt;Patrícia Karla de Sousa Araújo",$B:$B,"&lt;&gt;Lorena Dias de Araujo",$B:$B,"&lt;&gt;Lucas Luiz Romero")*(28/1083),IF(C1714="Técnico I",SUMIFS($D:$D,$A:$A,$A1714,$B:$B,"&lt;&gt;Patrícia Karla de Sousa Araújo",$B:$B,"&lt;&gt;Lorena Dias de Araujo",$B:$B,"&lt;&gt;Lucas Luiz Romero")*(23/1083),IF(C1714="JR",SUMIFS($D:$D,$A:$A,$A1714,$B:$B,"&lt;&gt;Patrícia Karla de Sousa Araújo",$B:$B,"&lt;&gt;Lorena Dias de Araujo",$B:$B,"&lt;&gt;Lucas Luiz Romero")*(20/1083),IF(C1714="Estágio",SUMIFS($D:$D,$A:$A,$A1714,$B:$B,"&lt;&gt;Patrícia Karla de Sousa Araújo",$B:$B,"&lt;&gt;Lorena Dias de Araujo",$B:$B,"&lt;&gt;Lucas Luiz Romero")*(10/1083),0)))))),0)</f>
        <v>23</v>
      </c>
      <c r="K1714" s="3">
        <f>I1714-J1714</f>
        <v>6</v>
      </c>
      <c r="L1714" s="3" t="str">
        <f>IF(K1714&lt;-5,"CRÍTICO",IF(K1714&lt;0,"ATENÇÃO",IF(K1714&lt;=5,"BOM","EXCELENTE")))</f>
        <v>EXCELENTE</v>
      </c>
      <c r="M1714">
        <v>28</v>
      </c>
      <c r="N1714">
        <v>98.5</v>
      </c>
      <c r="O1714">
        <v>23.97769516728625</v>
      </c>
    </row>
    <row r="1715" spans="1:15" hidden="1" x14ac:dyDescent="0.25">
      <c r="A1715" s="11">
        <v>46087</v>
      </c>
      <c r="B1715" t="s">
        <v>22</v>
      </c>
      <c r="C1715" t="s">
        <v>23</v>
      </c>
      <c r="D1715">
        <v>0</v>
      </c>
      <c r="E1715">
        <v>0</v>
      </c>
      <c r="F1715">
        <v>0</v>
      </c>
      <c r="G1715">
        <v>0</v>
      </c>
      <c r="H1715">
        <v>0</v>
      </c>
      <c r="I1715" s="3">
        <v>0</v>
      </c>
      <c r="J1715" s="3">
        <v>0</v>
      </c>
      <c r="K1715" s="3">
        <v>0</v>
      </c>
      <c r="L1715" s="3" t="str">
        <f>IF(K1715&lt;-5,"CRÍTICO",IF(K1715&lt;0,"ATENÇÃO",IF(K1715&lt;=5,"BOM","EXCELENTE")))</f>
        <v>BOM</v>
      </c>
      <c r="M1715">
        <v>37</v>
      </c>
      <c r="N1715">
        <v>99.05</v>
      </c>
      <c r="O1715">
        <v>26.621923937360179</v>
      </c>
    </row>
    <row r="1716" spans="1:15" hidden="1" x14ac:dyDescent="0.25">
      <c r="A1716" s="11">
        <v>46055</v>
      </c>
      <c r="B1716" t="s">
        <v>54</v>
      </c>
      <c r="C1716" t="s">
        <v>48</v>
      </c>
      <c r="D1716">
        <v>38</v>
      </c>
      <c r="E1716">
        <v>35</v>
      </c>
      <c r="F1716">
        <v>20.239999999999998</v>
      </c>
      <c r="G1716">
        <v>0</v>
      </c>
      <c r="H1716">
        <v>0</v>
      </c>
      <c r="I1716" s="3">
        <f>E1716+G1716+H1716</f>
        <v>35</v>
      </c>
      <c r="J1716" s="3">
        <f>ROUND(MIN(IF(C1716="Técnico III",35,IF(C1716="Técnico II",28,IF(C1716="Técnico I",23,IF(C1716="JR",20,IF(C1716="Estágio",10,0))))),IF(C1716="Técnico III",SUMIFS($D:$D,$A:$A,$A1716,$B:$B,"&lt;&gt;Patrícia Karla de Sousa Araújo",$B:$B,"&lt;&gt;Lorena Dias de Araujo",$B:$B,"&lt;&gt;Lucas Luiz Romero")*(35/1083),IF(C1716="Técnico II",SUMIFS($D:$D,$A:$A,$A1716,$B:$B,"&lt;&gt;Patrícia Karla de Sousa Araújo",$B:$B,"&lt;&gt;Lorena Dias de Araujo",$B:$B,"&lt;&gt;Lucas Luiz Romero")*(28/1083),IF(C1716="Técnico I",SUMIFS($D:$D,$A:$A,$A1716,$B:$B,"&lt;&gt;Patrícia Karla de Sousa Araújo",$B:$B,"&lt;&gt;Lorena Dias de Araujo",$B:$B,"&lt;&gt;Lucas Luiz Romero")*(23/1083),IF(C1716="JR",SUMIFS($D:$D,$A:$A,$A1716,$B:$B,"&lt;&gt;Patrícia Karla de Sousa Araújo",$B:$B,"&lt;&gt;Lorena Dias de Araujo",$B:$B,"&lt;&gt;Lucas Luiz Romero")*(20/1083),IF(C1716="Estágio",SUMIFS($D:$D,$A:$A,$A1716,$B:$B,"&lt;&gt;Patrícia Karla de Sousa Araújo",$B:$B,"&lt;&gt;Lorena Dias de Araujo",$B:$B,"&lt;&gt;Lucas Luiz Romero")*(10/1083),0)))))),0)</f>
        <v>23</v>
      </c>
      <c r="K1716" s="3">
        <f>I1716-J1716</f>
        <v>12</v>
      </c>
      <c r="L1716" s="3" t="str">
        <f>IF(K1716&lt;-5,"CRÍTICO",IF(K1716&lt;0,"ATENÇÃO",IF(K1716&lt;=5,"BOM","EXCELENTE")))</f>
        <v>EXCELENTE</v>
      </c>
      <c r="M1716">
        <v>31</v>
      </c>
      <c r="N1716">
        <v>98.53</v>
      </c>
      <c r="O1716">
        <v>31.578947368421051</v>
      </c>
    </row>
    <row r="1717" spans="1:15" hidden="1" x14ac:dyDescent="0.25">
      <c r="A1717" s="11">
        <v>46055</v>
      </c>
      <c r="B1717" t="s">
        <v>37</v>
      </c>
      <c r="C1717" t="s">
        <v>32</v>
      </c>
      <c r="D1717">
        <v>56</v>
      </c>
      <c r="E1717">
        <v>51</v>
      </c>
      <c r="F1717">
        <v>12.01</v>
      </c>
      <c r="G1717">
        <v>0</v>
      </c>
      <c r="H1717">
        <v>0</v>
      </c>
      <c r="I1717" s="3">
        <f>E1717+G1717+H1717</f>
        <v>51</v>
      </c>
      <c r="J1717" s="3">
        <f>ROUND(MIN(IF(C1717="Técnico III",35,IF(C1717="Técnico II",28,IF(C1717="Técnico I",23,IF(C1717="JR",20,IF(C1717="Estágio",10,0))))),IF(C1717="Técnico III",SUMIFS($D:$D,$A:$A,$A1717,$B:$B,"&lt;&gt;Patrícia Karla de Sousa Araújo",$B:$B,"&lt;&gt;Lorena Dias de Araujo",$B:$B,"&lt;&gt;Lucas Luiz Romero")*(35/1083),IF(C1717="Técnico II",SUMIFS($D:$D,$A:$A,$A1717,$B:$B,"&lt;&gt;Patrícia Karla de Sousa Araújo",$B:$B,"&lt;&gt;Lorena Dias de Araujo",$B:$B,"&lt;&gt;Lucas Luiz Romero")*(28/1083),IF(C1717="Técnico I",SUMIFS($D:$D,$A:$A,$A1717,$B:$B,"&lt;&gt;Patrícia Karla de Sousa Araújo",$B:$B,"&lt;&gt;Lorena Dias de Araujo",$B:$B,"&lt;&gt;Lucas Luiz Romero")*(23/1083),IF(C1717="JR",SUMIFS($D:$D,$A:$A,$A1717,$B:$B,"&lt;&gt;Patrícia Karla de Sousa Araújo",$B:$B,"&lt;&gt;Lorena Dias de Araujo",$B:$B,"&lt;&gt;Lucas Luiz Romero")*(20/1083),IF(C1717="Estágio",SUMIFS($D:$D,$A:$A,$A1717,$B:$B,"&lt;&gt;Patrícia Karla de Sousa Araújo",$B:$B,"&lt;&gt;Lorena Dias de Araujo",$B:$B,"&lt;&gt;Lucas Luiz Romero")*(10/1083),0)))))),0)</f>
        <v>29</v>
      </c>
      <c r="K1717" s="3">
        <f>I1717-J1717</f>
        <v>22</v>
      </c>
      <c r="L1717" s="3" t="str">
        <f>IF(K1717&lt;-5,"CRÍTICO",IF(K1717&lt;0,"ATENÇÃO",IF(K1717&lt;=5,"BOM","EXCELENTE")))</f>
        <v>EXCELENTE</v>
      </c>
      <c r="M1717">
        <v>54</v>
      </c>
      <c r="N1717">
        <v>100</v>
      </c>
      <c r="O1717">
        <v>25.72214580467676</v>
      </c>
    </row>
    <row r="1718" spans="1:15" hidden="1" x14ac:dyDescent="0.25">
      <c r="A1718" s="11">
        <v>46055</v>
      </c>
      <c r="B1718" t="s">
        <v>38</v>
      </c>
      <c r="C1718" t="s">
        <v>32</v>
      </c>
      <c r="D1718">
        <v>16</v>
      </c>
      <c r="E1718">
        <v>16</v>
      </c>
      <c r="F1718">
        <v>19.09</v>
      </c>
      <c r="G1718">
        <v>0</v>
      </c>
      <c r="H1718">
        <v>0</v>
      </c>
      <c r="I1718" s="3">
        <f>E1718+G1718+H1718</f>
        <v>16</v>
      </c>
      <c r="J1718" s="3">
        <f>ROUND(MIN(IF(C1718="Técnico III",35,IF(C1718="Técnico II",28,IF(C1718="Técnico I",23,IF(C1718="JR",20,IF(C1718="Estágio",10,0))))),IF(C1718="Técnico III",SUMIFS($D:$D,$A:$A,$A1718,$B:$B,"&lt;&gt;Patrícia Karla de Sousa Araújo",$B:$B,"&lt;&gt;Lorena Dias de Araujo",$B:$B,"&lt;&gt;Lucas Luiz Romero")*(35/1083),IF(C1718="Técnico II",SUMIFS($D:$D,$A:$A,$A1718,$B:$B,"&lt;&gt;Patrícia Karla de Sousa Araújo",$B:$B,"&lt;&gt;Lorena Dias de Araujo",$B:$B,"&lt;&gt;Lucas Luiz Romero")*(28/1083),IF(C1718="Técnico I",SUMIFS($D:$D,$A:$A,$A1718,$B:$B,"&lt;&gt;Patrícia Karla de Sousa Araújo",$B:$B,"&lt;&gt;Lorena Dias de Araujo",$B:$B,"&lt;&gt;Lucas Luiz Romero")*(23/1083),IF(C1718="JR",SUMIFS($D:$D,$A:$A,$A1718,$B:$B,"&lt;&gt;Patrícia Karla de Sousa Araújo",$B:$B,"&lt;&gt;Lorena Dias de Araujo",$B:$B,"&lt;&gt;Lucas Luiz Romero")*(20/1083),IF(C1718="Estágio",SUMIFS($D:$D,$A:$A,$A1718,$B:$B,"&lt;&gt;Patrícia Karla de Sousa Araújo",$B:$B,"&lt;&gt;Lorena Dias de Araujo",$B:$B,"&lt;&gt;Lucas Luiz Romero")*(10/1083),0)))))),0)</f>
        <v>29</v>
      </c>
      <c r="K1718" s="3">
        <f>I1718-J1718</f>
        <v>-13</v>
      </c>
      <c r="L1718" s="3" t="str">
        <f>IF(K1718&lt;-5,"CRÍTICO",IF(K1718&lt;0,"ATENÇÃO",IF(K1718&lt;=5,"BOM","EXCELENTE")))</f>
        <v>CRÍTICO</v>
      </c>
      <c r="M1718">
        <v>18</v>
      </c>
      <c r="N1718">
        <v>94.64</v>
      </c>
      <c r="O1718">
        <v>27.52941176470588</v>
      </c>
    </row>
    <row r="1719" spans="1:15" hidden="1" x14ac:dyDescent="0.25">
      <c r="A1719" s="11">
        <v>46055</v>
      </c>
      <c r="B1719" t="s">
        <v>55</v>
      </c>
      <c r="C1719" t="s">
        <v>48</v>
      </c>
      <c r="D1719">
        <v>41</v>
      </c>
      <c r="E1719">
        <v>36</v>
      </c>
      <c r="F1719">
        <v>10.32</v>
      </c>
      <c r="G1719">
        <v>0</v>
      </c>
      <c r="H1719">
        <v>0</v>
      </c>
      <c r="I1719" s="3">
        <f>E1719+G1719+H1719</f>
        <v>36</v>
      </c>
      <c r="J1719" s="3">
        <f>ROUND(MIN(IF(C1719="Técnico III",35,IF(C1719="Técnico II",28,IF(C1719="Técnico I",23,IF(C1719="JR",20,IF(C1719="Estágio",10,0))))),IF(C1719="Técnico III",SUMIFS($D:$D,$A:$A,$A1719,$B:$B,"&lt;&gt;Patrícia Karla de Sousa Araújo",$B:$B,"&lt;&gt;Lorena Dias de Araujo",$B:$B,"&lt;&gt;Lucas Luiz Romero")*(35/1083),IF(C1719="Técnico II",SUMIFS($D:$D,$A:$A,$A1719,$B:$B,"&lt;&gt;Patrícia Karla de Sousa Araújo",$B:$B,"&lt;&gt;Lorena Dias de Araujo",$B:$B,"&lt;&gt;Lucas Luiz Romero")*(28/1083),IF(C1719="Técnico I",SUMIFS($D:$D,$A:$A,$A1719,$B:$B,"&lt;&gt;Patrícia Karla de Sousa Araújo",$B:$B,"&lt;&gt;Lorena Dias de Araujo",$B:$B,"&lt;&gt;Lucas Luiz Romero")*(23/1083),IF(C1719="JR",SUMIFS($D:$D,$A:$A,$A1719,$B:$B,"&lt;&gt;Patrícia Karla de Sousa Araújo",$B:$B,"&lt;&gt;Lorena Dias de Araujo",$B:$B,"&lt;&gt;Lucas Luiz Romero")*(20/1083),IF(C1719="Estágio",SUMIFS($D:$D,$A:$A,$A1719,$B:$B,"&lt;&gt;Patrícia Karla de Sousa Araújo",$B:$B,"&lt;&gt;Lorena Dias de Araujo",$B:$B,"&lt;&gt;Lucas Luiz Romero")*(10/1083),0)))))),0)</f>
        <v>23</v>
      </c>
      <c r="K1719" s="3">
        <f>I1719-J1719</f>
        <v>13</v>
      </c>
      <c r="L1719" s="3" t="str">
        <f>IF(K1719&lt;-5,"CRÍTICO",IF(K1719&lt;0,"ATENÇÃO",IF(K1719&lt;=5,"BOM","EXCELENTE")))</f>
        <v>EXCELENTE</v>
      </c>
      <c r="M1719">
        <v>34</v>
      </c>
      <c r="N1719">
        <v>99.07</v>
      </c>
      <c r="O1719">
        <v>26.376811594202898</v>
      </c>
    </row>
    <row r="1720" spans="1:15" hidden="1" x14ac:dyDescent="0.25">
      <c r="A1720" s="11">
        <v>46055</v>
      </c>
      <c r="B1720" t="s">
        <v>39</v>
      </c>
      <c r="C1720" t="s">
        <v>32</v>
      </c>
      <c r="D1720">
        <v>0</v>
      </c>
      <c r="E1720">
        <v>0</v>
      </c>
      <c r="F1720">
        <v>0</v>
      </c>
      <c r="G1720">
        <v>0</v>
      </c>
      <c r="H1720">
        <v>0</v>
      </c>
      <c r="I1720" s="3">
        <v>0</v>
      </c>
      <c r="J1720" s="3">
        <v>0</v>
      </c>
      <c r="K1720" s="3">
        <v>0</v>
      </c>
      <c r="L1720" s="3" t="str">
        <f>IF(K1720&lt;-5,"CRÍTICO",IF(K1720&lt;0,"ATENÇÃO",IF(K1720&lt;=5,"BOM","EXCELENTE")))</f>
        <v>BOM</v>
      </c>
      <c r="M1720">
        <v>0</v>
      </c>
      <c r="N1720">
        <v>100</v>
      </c>
      <c r="O1720">
        <v>0</v>
      </c>
    </row>
    <row r="1721" spans="1:15" hidden="1" x14ac:dyDescent="0.25">
      <c r="A1721" s="11">
        <v>46055</v>
      </c>
      <c r="B1721" t="s">
        <v>25</v>
      </c>
      <c r="C1721" t="s">
        <v>26</v>
      </c>
      <c r="D1721">
        <v>17</v>
      </c>
      <c r="E1721">
        <v>15</v>
      </c>
      <c r="F1721">
        <v>30.34</v>
      </c>
      <c r="G1721">
        <v>0</v>
      </c>
      <c r="H1721">
        <v>0</v>
      </c>
      <c r="I1721" s="3">
        <f>E1721+G1721+H1721</f>
        <v>15</v>
      </c>
      <c r="J1721" s="3">
        <f>ROUND(MIN(IF(C1721="Técnico III",35,IF(C1721="Técnico II",28,IF(C1721="Técnico I",23,IF(C1721="JR",20,IF(C1721="Estágio",10,0))))),IF(C1721="Técnico III",SUMIFS($D:$D,$A:$A,$A1721,$B:$B,"&lt;&gt;Patrícia Karla de Sousa Araújo",$B:$B,"&lt;&gt;Lorena Dias de Araujo",$B:$B,"&lt;&gt;Lucas Luiz Romero")*(35/1083),IF(C1721="Técnico II",SUMIFS($D:$D,$A:$A,$A1721,$B:$B,"&lt;&gt;Patrícia Karla de Sousa Araújo",$B:$B,"&lt;&gt;Lorena Dias de Araujo",$B:$B,"&lt;&gt;Lucas Luiz Romero")*(28/1083),IF(C1721="Técnico I",SUMIFS($D:$D,$A:$A,$A1721,$B:$B,"&lt;&gt;Patrícia Karla de Sousa Araújo",$B:$B,"&lt;&gt;Lorena Dias de Araujo",$B:$B,"&lt;&gt;Lucas Luiz Romero")*(23/1083),IF(C1721="JR",SUMIFS($D:$D,$A:$A,$A1721,$B:$B,"&lt;&gt;Patrícia Karla de Sousa Araújo",$B:$B,"&lt;&gt;Lorena Dias de Araujo",$B:$B,"&lt;&gt;Lucas Luiz Romero")*(20/1083),IF(C1721="Estágio",SUMIFS($D:$D,$A:$A,$A1721,$B:$B,"&lt;&gt;Patrícia Karla de Sousa Araújo",$B:$B,"&lt;&gt;Lorena Dias de Araujo",$B:$B,"&lt;&gt;Lucas Luiz Romero")*(10/1083),0)))))),0)</f>
        <v>16</v>
      </c>
      <c r="K1721" s="3">
        <f>I1721-J1721</f>
        <v>-1</v>
      </c>
      <c r="L1721" s="3" t="str">
        <f>IF(K1721&lt;-5,"CRÍTICO",IF(K1721&lt;0,"ATENÇÃO",IF(K1721&lt;=5,"BOM","EXCELENTE")))</f>
        <v>ATENÇÃO</v>
      </c>
      <c r="M1721">
        <v>13</v>
      </c>
      <c r="N1721">
        <v>98.48</v>
      </c>
      <c r="O1721">
        <v>27.853881278538811</v>
      </c>
    </row>
    <row r="1722" spans="1:15" hidden="1" x14ac:dyDescent="0.25">
      <c r="A1722" s="11">
        <v>46055</v>
      </c>
      <c r="B1722" t="s">
        <v>40</v>
      </c>
      <c r="C1722" t="s">
        <v>32</v>
      </c>
      <c r="D1722">
        <v>30</v>
      </c>
      <c r="E1722">
        <v>30</v>
      </c>
      <c r="F1722">
        <v>24.18</v>
      </c>
      <c r="G1722">
        <v>0</v>
      </c>
      <c r="H1722">
        <v>0</v>
      </c>
      <c r="I1722" s="3">
        <f>E1722+G1722+H1722</f>
        <v>30</v>
      </c>
      <c r="J1722" s="3">
        <f>ROUND(MIN(IF(C1722="Técnico III",35,IF(C1722="Técnico II",28,IF(C1722="Técnico I",23,IF(C1722="JR",20,IF(C1722="Estágio",10,0))))),IF(C1722="Técnico III",SUMIFS($D:$D,$A:$A,$A1722,$B:$B,"&lt;&gt;Patrícia Karla de Sousa Araújo",$B:$B,"&lt;&gt;Lorena Dias de Araujo",$B:$B,"&lt;&gt;Lucas Luiz Romero")*(35/1083),IF(C1722="Técnico II",SUMIFS($D:$D,$A:$A,$A1722,$B:$B,"&lt;&gt;Patrícia Karla de Sousa Araújo",$B:$B,"&lt;&gt;Lorena Dias de Araujo",$B:$B,"&lt;&gt;Lucas Luiz Romero")*(28/1083),IF(C1722="Técnico I",SUMIFS($D:$D,$A:$A,$A1722,$B:$B,"&lt;&gt;Patrícia Karla de Sousa Araújo",$B:$B,"&lt;&gt;Lorena Dias de Araujo",$B:$B,"&lt;&gt;Lucas Luiz Romero")*(23/1083),IF(C1722="JR",SUMIFS($D:$D,$A:$A,$A1722,$B:$B,"&lt;&gt;Patrícia Karla de Sousa Araújo",$B:$B,"&lt;&gt;Lorena Dias de Araujo",$B:$B,"&lt;&gt;Lucas Luiz Romero")*(20/1083),IF(C1722="Estágio",SUMIFS($D:$D,$A:$A,$A1722,$B:$B,"&lt;&gt;Patrícia Karla de Sousa Araújo",$B:$B,"&lt;&gt;Lorena Dias de Araujo",$B:$B,"&lt;&gt;Lucas Luiz Romero")*(10/1083),0)))))),0)</f>
        <v>29</v>
      </c>
      <c r="K1722" s="3">
        <f>I1722-J1722</f>
        <v>1</v>
      </c>
      <c r="L1722" s="3" t="str">
        <f>IF(K1722&lt;-5,"CRÍTICO",IF(K1722&lt;0,"ATENÇÃO",IF(K1722&lt;=5,"BOM","EXCELENTE")))</f>
        <v>BOM</v>
      </c>
      <c r="M1722">
        <v>26</v>
      </c>
      <c r="N1722">
        <v>95.15</v>
      </c>
      <c r="O1722">
        <v>34.131736526946113</v>
      </c>
    </row>
    <row r="1723" spans="1:15" hidden="1" x14ac:dyDescent="0.25">
      <c r="A1723" s="11">
        <v>46055</v>
      </c>
      <c r="B1723" t="s">
        <v>27</v>
      </c>
      <c r="C1723" t="s">
        <v>26</v>
      </c>
      <c r="D1723">
        <v>0</v>
      </c>
      <c r="E1723">
        <v>0</v>
      </c>
      <c r="F1723">
        <v>0</v>
      </c>
      <c r="G1723">
        <v>0</v>
      </c>
      <c r="H1723">
        <v>0</v>
      </c>
      <c r="I1723" s="3">
        <v>0</v>
      </c>
      <c r="J1723" s="3">
        <v>0</v>
      </c>
      <c r="K1723" s="3">
        <v>0</v>
      </c>
      <c r="L1723" s="3" t="str">
        <f>IF(K1723&lt;-5,"CRÍTICO",IF(K1723&lt;0,"ATENÇÃO",IF(K1723&lt;=5,"BOM","EXCELENTE")))</f>
        <v>BOM</v>
      </c>
      <c r="M1723">
        <v>0</v>
      </c>
      <c r="N1723">
        <v>0</v>
      </c>
      <c r="O1723">
        <v>0</v>
      </c>
    </row>
    <row r="1724" spans="1:15" hidden="1" x14ac:dyDescent="0.25">
      <c r="A1724" s="11">
        <v>46055</v>
      </c>
      <c r="B1724" t="s">
        <v>41</v>
      </c>
      <c r="C1724" t="s">
        <v>32</v>
      </c>
      <c r="D1724">
        <v>33</v>
      </c>
      <c r="E1724">
        <v>32</v>
      </c>
      <c r="F1724">
        <v>17.149999999999999</v>
      </c>
      <c r="G1724">
        <v>0</v>
      </c>
      <c r="H1724">
        <v>0</v>
      </c>
      <c r="I1724" s="3">
        <f>E1724+G1724+H1724</f>
        <v>32</v>
      </c>
      <c r="J1724" s="3">
        <f>ROUND(MIN(IF(C1724="Técnico III",35,IF(C1724="Técnico II",28,IF(C1724="Técnico I",23,IF(C1724="JR",20,IF(C1724="Estágio",10,0))))),IF(C1724="Técnico III",SUMIFS($D:$D,$A:$A,$A1724,$B:$B,"&lt;&gt;Patrícia Karla de Sousa Araújo",$B:$B,"&lt;&gt;Lorena Dias de Araujo",$B:$B,"&lt;&gt;Lucas Luiz Romero")*(35/1083),IF(C1724="Técnico II",SUMIFS($D:$D,$A:$A,$A1724,$B:$B,"&lt;&gt;Patrícia Karla de Sousa Araújo",$B:$B,"&lt;&gt;Lorena Dias de Araujo",$B:$B,"&lt;&gt;Lucas Luiz Romero")*(28/1083),IF(C1724="Técnico I",SUMIFS($D:$D,$A:$A,$A1724,$B:$B,"&lt;&gt;Patrícia Karla de Sousa Araújo",$B:$B,"&lt;&gt;Lorena Dias de Araujo",$B:$B,"&lt;&gt;Lucas Luiz Romero")*(23/1083),IF(C1724="JR",SUMIFS($D:$D,$A:$A,$A1724,$B:$B,"&lt;&gt;Patrícia Karla de Sousa Araújo",$B:$B,"&lt;&gt;Lorena Dias de Araujo",$B:$B,"&lt;&gt;Lucas Luiz Romero")*(20/1083),IF(C1724="Estágio",SUMIFS($D:$D,$A:$A,$A1724,$B:$B,"&lt;&gt;Patrícia Karla de Sousa Araújo",$B:$B,"&lt;&gt;Lorena Dias de Araujo",$B:$B,"&lt;&gt;Lucas Luiz Romero")*(10/1083),0)))))),0)</f>
        <v>29</v>
      </c>
      <c r="K1724" s="3">
        <f>I1724-J1724</f>
        <v>3</v>
      </c>
      <c r="L1724" s="3" t="str">
        <f>IF(K1724&lt;-5,"CRÍTICO",IF(K1724&lt;0,"ATENÇÃO",IF(K1724&lt;=5,"BOM","EXCELENTE")))</f>
        <v>BOM</v>
      </c>
      <c r="M1724">
        <v>28</v>
      </c>
      <c r="N1724">
        <v>99.26</v>
      </c>
      <c r="O1724">
        <v>30.84832904884319</v>
      </c>
    </row>
    <row r="1725" spans="1:15" hidden="1" x14ac:dyDescent="0.25">
      <c r="A1725" s="11">
        <v>46055</v>
      </c>
      <c r="B1725" t="s">
        <v>56</v>
      </c>
      <c r="C1725" t="s">
        <v>48</v>
      </c>
      <c r="D1725">
        <v>31</v>
      </c>
      <c r="E1725">
        <v>27</v>
      </c>
      <c r="F1725">
        <v>18.2</v>
      </c>
      <c r="G1725">
        <v>0</v>
      </c>
      <c r="H1725">
        <v>0</v>
      </c>
      <c r="I1725" s="3">
        <f>E1725+G1725+H1725</f>
        <v>27</v>
      </c>
      <c r="J1725" s="3">
        <f>ROUND(MIN(IF(C1725="Técnico III",35,IF(C1725="Técnico II",28,IF(C1725="Técnico I",23,IF(C1725="JR",20,IF(C1725="Estágio",10,0))))),IF(C1725="Técnico III",SUMIFS($D:$D,$A:$A,$A1725,$B:$B,"&lt;&gt;Patrícia Karla de Sousa Araújo",$B:$B,"&lt;&gt;Lorena Dias de Araujo",$B:$B,"&lt;&gt;Lucas Luiz Romero")*(35/1083),IF(C1725="Técnico II",SUMIFS($D:$D,$A:$A,$A1725,$B:$B,"&lt;&gt;Patrícia Karla de Sousa Araújo",$B:$B,"&lt;&gt;Lorena Dias de Araujo",$B:$B,"&lt;&gt;Lucas Luiz Romero")*(28/1083),IF(C1725="Técnico I",SUMIFS($D:$D,$A:$A,$A1725,$B:$B,"&lt;&gt;Patrícia Karla de Sousa Araújo",$B:$B,"&lt;&gt;Lorena Dias de Araujo",$B:$B,"&lt;&gt;Lucas Luiz Romero")*(23/1083),IF(C1725="JR",SUMIFS($D:$D,$A:$A,$A1725,$B:$B,"&lt;&gt;Patrícia Karla de Sousa Araújo",$B:$B,"&lt;&gt;Lorena Dias de Araujo",$B:$B,"&lt;&gt;Lucas Luiz Romero")*(20/1083),IF(C1725="Estágio",SUMIFS($D:$D,$A:$A,$A1725,$B:$B,"&lt;&gt;Patrícia Karla de Sousa Araújo",$B:$B,"&lt;&gt;Lorena Dias de Araujo",$B:$B,"&lt;&gt;Lucas Luiz Romero")*(10/1083),0)))))),0)</f>
        <v>23</v>
      </c>
      <c r="K1725" s="3">
        <f>I1725-J1725</f>
        <v>4</v>
      </c>
      <c r="L1725" s="3" t="str">
        <f>IF(K1725&lt;-5,"CRÍTICO",IF(K1725&lt;0,"ATENÇÃO",IF(K1725&lt;=5,"BOM","EXCELENTE")))</f>
        <v>BOM</v>
      </c>
      <c r="M1725">
        <v>27</v>
      </c>
      <c r="N1725">
        <v>97.48</v>
      </c>
      <c r="O1725">
        <v>27.764705882352938</v>
      </c>
    </row>
    <row r="1726" spans="1:15" hidden="1" x14ac:dyDescent="0.25">
      <c r="A1726" s="11">
        <v>46055</v>
      </c>
      <c r="B1726" t="s">
        <v>57</v>
      </c>
      <c r="C1726" t="s">
        <v>48</v>
      </c>
      <c r="D1726">
        <v>33</v>
      </c>
      <c r="E1726">
        <v>32</v>
      </c>
      <c r="F1726">
        <v>17.010000000000002</v>
      </c>
      <c r="G1726">
        <v>0</v>
      </c>
      <c r="H1726">
        <v>0</v>
      </c>
      <c r="I1726" s="3">
        <v>0</v>
      </c>
      <c r="J1726" s="3">
        <v>0</v>
      </c>
      <c r="K1726" s="3">
        <v>0</v>
      </c>
      <c r="L1726" s="3" t="str">
        <f>IF(K1726&lt;-5,"CRÍTICO",IF(K1726&lt;0,"ATENÇÃO",IF(K1726&lt;=5,"BOM","EXCELENTE")))</f>
        <v>BOM</v>
      </c>
      <c r="M1726">
        <v>32</v>
      </c>
      <c r="N1726">
        <v>99.34</v>
      </c>
      <c r="O1726">
        <v>30.04291845493562</v>
      </c>
    </row>
    <row r="1727" spans="1:15" hidden="1" x14ac:dyDescent="0.25">
      <c r="A1727" s="11">
        <v>46055</v>
      </c>
      <c r="B1727" t="s">
        <v>42</v>
      </c>
      <c r="C1727" t="s">
        <v>32</v>
      </c>
      <c r="D1727">
        <v>0</v>
      </c>
      <c r="E1727">
        <v>0</v>
      </c>
      <c r="F1727">
        <v>0</v>
      </c>
      <c r="G1727">
        <v>0</v>
      </c>
      <c r="H1727">
        <v>0</v>
      </c>
      <c r="I1727" s="3">
        <v>0</v>
      </c>
      <c r="J1727" s="3">
        <v>0</v>
      </c>
      <c r="K1727" s="3">
        <v>0</v>
      </c>
      <c r="L1727" s="3" t="str">
        <f>IF(K1727&lt;-5,"CRÍTICO",IF(K1727&lt;0,"ATENÇÃO",IF(K1727&lt;=5,"BOM","EXCELENTE")))</f>
        <v>BOM</v>
      </c>
      <c r="M1727">
        <v>0</v>
      </c>
      <c r="N1727">
        <v>96.3</v>
      </c>
      <c r="O1727">
        <v>24.29378531073446</v>
      </c>
    </row>
    <row r="1728" spans="1:15" hidden="1" x14ac:dyDescent="0.25">
      <c r="A1728" s="11">
        <v>46055</v>
      </c>
      <c r="B1728" t="s">
        <v>62</v>
      </c>
      <c r="C1728" t="s">
        <v>23</v>
      </c>
      <c r="D1728">
        <v>23</v>
      </c>
      <c r="E1728">
        <v>23</v>
      </c>
      <c r="F1728">
        <v>20.09</v>
      </c>
      <c r="G1728">
        <v>0</v>
      </c>
      <c r="H1728">
        <v>0</v>
      </c>
      <c r="I1728" s="3">
        <f>E1728+G1728+H1728</f>
        <v>23</v>
      </c>
      <c r="J1728" s="3">
        <f>ROUND(MIN(IF(C1728="Técnico III",35,IF(C1728="Técnico II",28,IF(C1728="Técnico I",23,IF(C1728="JR",20,IF(C1728="Estágio",10,0))))),IF(C1728="Técnico III",SUMIFS($D:$D,$A:$A,$A1728,$B:$B,"&lt;&gt;Patrícia Karla de Sousa Araújo",$B:$B,"&lt;&gt;Lorena Dias de Araujo",$B:$B,"&lt;&gt;Lucas Luiz Romero")*(35/1083),IF(C1728="Técnico II",SUMIFS($D:$D,$A:$A,$A1728,$B:$B,"&lt;&gt;Patrícia Karla de Sousa Araújo",$B:$B,"&lt;&gt;Lorena Dias de Araujo",$B:$B,"&lt;&gt;Lucas Luiz Romero")*(28/1083),IF(C1728="Técnico I",SUMIFS($D:$D,$A:$A,$A1728,$B:$B,"&lt;&gt;Patrícia Karla de Sousa Araújo",$B:$B,"&lt;&gt;Lorena Dias de Araujo",$B:$B,"&lt;&gt;Lucas Luiz Romero")*(23/1083),IF(C1728="JR",SUMIFS($D:$D,$A:$A,$A1728,$B:$B,"&lt;&gt;Patrícia Karla de Sousa Araújo",$B:$B,"&lt;&gt;Lorena Dias de Araujo",$B:$B,"&lt;&gt;Lucas Luiz Romero")*(20/1083),IF(C1728="Estágio",SUMIFS($D:$D,$A:$A,$A1728,$B:$B,"&lt;&gt;Patrícia Karla de Sousa Araújo",$B:$B,"&lt;&gt;Lorena Dias de Araujo",$B:$B,"&lt;&gt;Lucas Luiz Romero")*(10/1083),0)))))),0)</f>
        <v>19</v>
      </c>
      <c r="K1728" s="3">
        <f>I1728-J1728</f>
        <v>4</v>
      </c>
      <c r="L1728" s="3" t="str">
        <f>IF(K1728&lt;-5,"CRÍTICO",IF(K1728&lt;0,"ATENÇÃO",IF(K1728&lt;=5,"BOM","EXCELENTE")))</f>
        <v>BOM</v>
      </c>
      <c r="M1728">
        <v>22</v>
      </c>
      <c r="N1728">
        <v>100</v>
      </c>
      <c r="O1728">
        <v>26.543209876543209</v>
      </c>
    </row>
    <row r="1729" spans="1:15" hidden="1" x14ac:dyDescent="0.25">
      <c r="A1729" s="11">
        <v>46055</v>
      </c>
      <c r="B1729" t="s">
        <v>19</v>
      </c>
      <c r="C1729" t="s">
        <v>16</v>
      </c>
      <c r="D1729">
        <v>9</v>
      </c>
      <c r="E1729">
        <v>8</v>
      </c>
      <c r="F1729">
        <v>39.090000000000003</v>
      </c>
      <c r="G1729">
        <v>0</v>
      </c>
      <c r="H1729">
        <v>0</v>
      </c>
      <c r="I1729" s="3">
        <f>E1729+G1729+H1729</f>
        <v>8</v>
      </c>
      <c r="J1729" s="3">
        <f>ROUND(MIN(IF(C1729="Técnico III",35,IF(C1729="Técnico II",28,IF(C1729="Técnico I",23,IF(C1729="JR",20,IF(C1729="Estágio",10,0))))),IF(C1729="Técnico III",SUMIFS($D:$D,$A:$A,$A1729,$B:$B,"&lt;&gt;Patrícia Karla de Sousa Araújo",$B:$B,"&lt;&gt;Lorena Dias de Araujo",$B:$B,"&lt;&gt;Lucas Luiz Romero")*(35/1083),IF(C1729="Técnico II",SUMIFS($D:$D,$A:$A,$A1729,$B:$B,"&lt;&gt;Patrícia Karla de Sousa Araújo",$B:$B,"&lt;&gt;Lorena Dias de Araujo",$B:$B,"&lt;&gt;Lucas Luiz Romero")*(28/1083),IF(C1729="Técnico I",SUMIFS($D:$D,$A:$A,$A1729,$B:$B,"&lt;&gt;Patrícia Karla de Sousa Araújo",$B:$B,"&lt;&gt;Lorena Dias de Araujo",$B:$B,"&lt;&gt;Lucas Luiz Romero")*(23/1083),IF(C1729="JR",SUMIFS($D:$D,$A:$A,$A1729,$B:$B,"&lt;&gt;Patrícia Karla de Sousa Araújo",$B:$B,"&lt;&gt;Lorena Dias de Araujo",$B:$B,"&lt;&gt;Lucas Luiz Romero")*(20/1083),IF(C1729="Estágio",SUMIFS($D:$D,$A:$A,$A1729,$B:$B,"&lt;&gt;Patrícia Karla de Sousa Araújo",$B:$B,"&lt;&gt;Lorena Dias de Araujo",$B:$B,"&lt;&gt;Lucas Luiz Romero")*(10/1083),0)))))),0)</f>
        <v>8</v>
      </c>
      <c r="K1729" s="3">
        <f>I1729-J1729</f>
        <v>0</v>
      </c>
      <c r="L1729" s="3" t="str">
        <f>IF(K1729&lt;-5,"CRÍTICO",IF(K1729&lt;0,"ATENÇÃO",IF(K1729&lt;=5,"BOM","EXCELENTE")))</f>
        <v>BOM</v>
      </c>
      <c r="M1729">
        <v>7</v>
      </c>
      <c r="N1729">
        <v>100</v>
      </c>
      <c r="O1729">
        <v>35.483870967741943</v>
      </c>
    </row>
    <row r="1730" spans="1:15" hidden="1" x14ac:dyDescent="0.25">
      <c r="A1730" s="11">
        <v>46055</v>
      </c>
      <c r="B1730" t="s">
        <v>43</v>
      </c>
      <c r="C1730" t="s">
        <v>32</v>
      </c>
      <c r="D1730">
        <v>35</v>
      </c>
      <c r="E1730">
        <v>35</v>
      </c>
      <c r="F1730">
        <v>12.06</v>
      </c>
      <c r="G1730">
        <v>0</v>
      </c>
      <c r="H1730">
        <v>0</v>
      </c>
      <c r="I1730" s="3">
        <f>E1730+G1730+H1730</f>
        <v>35</v>
      </c>
      <c r="J1730" s="3">
        <f>ROUND(MIN(IF(C1730="Técnico III",35,IF(C1730="Técnico II",28,IF(C1730="Técnico I",23,IF(C1730="JR",20,IF(C1730="Estágio",10,0))))),IF(C1730="Técnico III",SUMIFS($D:$D,$A:$A,$A1730,$B:$B,"&lt;&gt;Patrícia Karla de Sousa Araújo",$B:$B,"&lt;&gt;Lorena Dias de Araujo",$B:$B,"&lt;&gt;Lucas Luiz Romero")*(35/1083),IF(C1730="Técnico II",SUMIFS($D:$D,$A:$A,$A1730,$B:$B,"&lt;&gt;Patrícia Karla de Sousa Araújo",$B:$B,"&lt;&gt;Lorena Dias de Araujo",$B:$B,"&lt;&gt;Lucas Luiz Romero")*(28/1083),IF(C1730="Técnico I",SUMIFS($D:$D,$A:$A,$A1730,$B:$B,"&lt;&gt;Patrícia Karla de Sousa Araújo",$B:$B,"&lt;&gt;Lorena Dias de Araujo",$B:$B,"&lt;&gt;Lucas Luiz Romero")*(23/1083),IF(C1730="JR",SUMIFS($D:$D,$A:$A,$A1730,$B:$B,"&lt;&gt;Patrícia Karla de Sousa Araújo",$B:$B,"&lt;&gt;Lorena Dias de Araujo",$B:$B,"&lt;&gt;Lucas Luiz Romero")*(20/1083),IF(C1730="Estágio",SUMIFS($D:$D,$A:$A,$A1730,$B:$B,"&lt;&gt;Patrícia Karla de Sousa Araújo",$B:$B,"&lt;&gt;Lorena Dias de Araujo",$B:$B,"&lt;&gt;Lucas Luiz Romero")*(10/1083),0)))))),0)</f>
        <v>29</v>
      </c>
      <c r="K1730" s="3">
        <f>I1730-J1730</f>
        <v>6</v>
      </c>
      <c r="L1730" s="3" t="str">
        <f>IF(K1730&lt;-5,"CRÍTICO",IF(K1730&lt;0,"ATENÇÃO",IF(K1730&lt;=5,"BOM","EXCELENTE")))</f>
        <v>EXCELENTE</v>
      </c>
      <c r="M1730">
        <v>33</v>
      </c>
      <c r="N1730">
        <v>99.27</v>
      </c>
      <c r="O1730">
        <v>31.163708086785011</v>
      </c>
    </row>
    <row r="1731" spans="1:15" hidden="1" x14ac:dyDescent="0.25">
      <c r="A1731" s="11">
        <v>46055</v>
      </c>
      <c r="B1731" t="s">
        <v>44</v>
      </c>
      <c r="C1731" t="s">
        <v>32</v>
      </c>
      <c r="D1731">
        <v>46</v>
      </c>
      <c r="E1731">
        <v>37</v>
      </c>
      <c r="F1731">
        <v>13.29</v>
      </c>
      <c r="G1731">
        <v>0</v>
      </c>
      <c r="H1731">
        <v>0</v>
      </c>
      <c r="I1731" s="3">
        <f>E1731+G1731+H1731</f>
        <v>37</v>
      </c>
      <c r="J1731" s="3">
        <f>ROUND(MIN(IF(C1731="Técnico III",35,IF(C1731="Técnico II",28,IF(C1731="Técnico I",23,IF(C1731="JR",20,IF(C1731="Estágio",10,0))))),IF(C1731="Técnico III",SUMIFS($D:$D,$A:$A,$A1731,$B:$B,"&lt;&gt;Patrícia Karla de Sousa Araújo",$B:$B,"&lt;&gt;Lorena Dias de Araujo",$B:$B,"&lt;&gt;Lucas Luiz Romero")*(35/1083),IF(C1731="Técnico II",SUMIFS($D:$D,$A:$A,$A1731,$B:$B,"&lt;&gt;Patrícia Karla de Sousa Araújo",$B:$B,"&lt;&gt;Lorena Dias de Araujo",$B:$B,"&lt;&gt;Lucas Luiz Romero")*(28/1083),IF(C1731="Técnico I",SUMIFS($D:$D,$A:$A,$A1731,$B:$B,"&lt;&gt;Patrícia Karla de Sousa Araújo",$B:$B,"&lt;&gt;Lorena Dias de Araujo",$B:$B,"&lt;&gt;Lucas Luiz Romero")*(23/1083),IF(C1731="JR",SUMIFS($D:$D,$A:$A,$A1731,$B:$B,"&lt;&gt;Patrícia Karla de Sousa Araújo",$B:$B,"&lt;&gt;Lorena Dias de Araujo",$B:$B,"&lt;&gt;Lucas Luiz Romero")*(20/1083),IF(C1731="Estágio",SUMIFS($D:$D,$A:$A,$A1731,$B:$B,"&lt;&gt;Patrícia Karla de Sousa Araújo",$B:$B,"&lt;&gt;Lorena Dias de Araujo",$B:$B,"&lt;&gt;Lucas Luiz Romero")*(10/1083),0)))))),0)</f>
        <v>29</v>
      </c>
      <c r="K1731" s="3">
        <f>I1731-J1731</f>
        <v>8</v>
      </c>
      <c r="L1731" s="3" t="str">
        <f>IF(K1731&lt;-5,"CRÍTICO",IF(K1731&lt;0,"ATENÇÃO",IF(K1731&lt;=5,"BOM","EXCELENTE")))</f>
        <v>EXCELENTE</v>
      </c>
      <c r="M1731">
        <v>38</v>
      </c>
      <c r="N1731">
        <v>94.16</v>
      </c>
      <c r="O1731">
        <v>27.038626609442058</v>
      </c>
    </row>
    <row r="1732" spans="1:15" hidden="1" x14ac:dyDescent="0.25">
      <c r="A1732" s="11">
        <v>46055</v>
      </c>
      <c r="B1732" t="s">
        <v>20</v>
      </c>
      <c r="C1732" t="s">
        <v>16</v>
      </c>
      <c r="D1732">
        <v>9</v>
      </c>
      <c r="E1732">
        <v>9</v>
      </c>
      <c r="F1732">
        <v>49.04</v>
      </c>
      <c r="G1732">
        <v>0</v>
      </c>
      <c r="H1732">
        <v>0</v>
      </c>
      <c r="I1732" s="3">
        <f>E1732+G1732+H1732</f>
        <v>9</v>
      </c>
      <c r="J1732" s="3">
        <f>ROUND(MIN(IF(C1732="Técnico III",35,IF(C1732="Técnico II",28,IF(C1732="Técnico I",23,IF(C1732="JR",20,IF(C1732="Estágio",10,0))))),IF(C1732="Técnico III",SUMIFS($D:$D,$A:$A,$A1732,$B:$B,"&lt;&gt;Patrícia Karla de Sousa Araújo",$B:$B,"&lt;&gt;Lorena Dias de Araujo",$B:$B,"&lt;&gt;Lucas Luiz Romero")*(35/1083),IF(C1732="Técnico II",SUMIFS($D:$D,$A:$A,$A1732,$B:$B,"&lt;&gt;Patrícia Karla de Sousa Araújo",$B:$B,"&lt;&gt;Lorena Dias de Araujo",$B:$B,"&lt;&gt;Lucas Luiz Romero")*(28/1083),IF(C1732="Técnico I",SUMIFS($D:$D,$A:$A,$A1732,$B:$B,"&lt;&gt;Patrícia Karla de Sousa Araújo",$B:$B,"&lt;&gt;Lorena Dias de Araujo",$B:$B,"&lt;&gt;Lucas Luiz Romero")*(23/1083),IF(C1732="JR",SUMIFS($D:$D,$A:$A,$A1732,$B:$B,"&lt;&gt;Patrícia Karla de Sousa Araújo",$B:$B,"&lt;&gt;Lorena Dias de Araujo",$B:$B,"&lt;&gt;Lucas Luiz Romero")*(20/1083),IF(C1732="Estágio",SUMIFS($D:$D,$A:$A,$A1732,$B:$B,"&lt;&gt;Patrícia Karla de Sousa Araújo",$B:$B,"&lt;&gt;Lorena Dias de Araujo",$B:$B,"&lt;&gt;Lucas Luiz Romero")*(10/1083),0)))))),0)</f>
        <v>8</v>
      </c>
      <c r="K1732" s="3">
        <f>I1732-J1732</f>
        <v>1</v>
      </c>
      <c r="L1732" s="3" t="str">
        <f>IF(K1732&lt;-5,"CRÍTICO",IF(K1732&lt;0,"ATENÇÃO",IF(K1732&lt;=5,"BOM","EXCELENTE")))</f>
        <v>BOM</v>
      </c>
      <c r="M1732">
        <v>1</v>
      </c>
      <c r="N1732">
        <v>93.75</v>
      </c>
      <c r="O1732">
        <v>19.31818181818182</v>
      </c>
    </row>
    <row r="1733" spans="1:15" hidden="1" x14ac:dyDescent="0.25">
      <c r="A1733" s="11">
        <v>46055</v>
      </c>
      <c r="B1733" t="s">
        <v>28</v>
      </c>
      <c r="C1733" t="s">
        <v>26</v>
      </c>
      <c r="D1733">
        <v>0</v>
      </c>
      <c r="E1733">
        <v>0</v>
      </c>
      <c r="F1733">
        <v>0</v>
      </c>
      <c r="G1733">
        <v>0</v>
      </c>
      <c r="H1733">
        <v>0</v>
      </c>
      <c r="I1733" s="3">
        <v>0</v>
      </c>
      <c r="J1733" s="3">
        <v>0</v>
      </c>
      <c r="K1733" s="3">
        <v>0</v>
      </c>
      <c r="L1733" s="3" t="str">
        <f>IF(K1733&lt;-5,"CRÍTICO",IF(K1733&lt;0,"ATENÇÃO",IF(K1733&lt;=5,"BOM","EXCELENTE")))</f>
        <v>BOM</v>
      </c>
      <c r="M1733">
        <v>0</v>
      </c>
      <c r="N1733">
        <v>0</v>
      </c>
      <c r="O1733">
        <v>0</v>
      </c>
    </row>
    <row r="1734" spans="1:15" hidden="1" x14ac:dyDescent="0.25">
      <c r="A1734" s="11">
        <v>46055</v>
      </c>
      <c r="B1734" t="s">
        <v>58</v>
      </c>
      <c r="C1734" t="s">
        <v>48</v>
      </c>
      <c r="D1734">
        <v>33</v>
      </c>
      <c r="E1734">
        <v>31</v>
      </c>
      <c r="F1734">
        <v>22.32</v>
      </c>
      <c r="G1734">
        <v>0</v>
      </c>
      <c r="H1734">
        <v>0</v>
      </c>
      <c r="I1734" s="3">
        <f>E1734+G1734+H1734</f>
        <v>31</v>
      </c>
      <c r="J1734" s="3">
        <f>ROUND(MIN(IF(C1734="Técnico III",35,IF(C1734="Técnico II",28,IF(C1734="Técnico I",23,IF(C1734="JR",20,IF(C1734="Estágio",10,0))))),IF(C1734="Técnico III",SUMIFS($D:$D,$A:$A,$A1734,$B:$B,"&lt;&gt;Patrícia Karla de Sousa Araújo",$B:$B,"&lt;&gt;Lorena Dias de Araujo",$B:$B,"&lt;&gt;Lucas Luiz Romero")*(35/1083),IF(C1734="Técnico II",SUMIFS($D:$D,$A:$A,$A1734,$B:$B,"&lt;&gt;Patrícia Karla de Sousa Araújo",$B:$B,"&lt;&gt;Lorena Dias de Araujo",$B:$B,"&lt;&gt;Lucas Luiz Romero")*(28/1083),IF(C1734="Técnico I",SUMIFS($D:$D,$A:$A,$A1734,$B:$B,"&lt;&gt;Patrícia Karla de Sousa Araújo",$B:$B,"&lt;&gt;Lorena Dias de Araujo",$B:$B,"&lt;&gt;Lucas Luiz Romero")*(23/1083),IF(C1734="JR",SUMIFS($D:$D,$A:$A,$A1734,$B:$B,"&lt;&gt;Patrícia Karla de Sousa Araújo",$B:$B,"&lt;&gt;Lorena Dias de Araujo",$B:$B,"&lt;&gt;Lucas Luiz Romero")*(20/1083),IF(C1734="Estágio",SUMIFS($D:$D,$A:$A,$A1734,$B:$B,"&lt;&gt;Patrícia Karla de Sousa Araújo",$B:$B,"&lt;&gt;Lorena Dias de Araujo",$B:$B,"&lt;&gt;Lucas Luiz Romero")*(10/1083),0)))))),0)</f>
        <v>23</v>
      </c>
      <c r="K1734" s="3">
        <f>I1734-J1734</f>
        <v>8</v>
      </c>
      <c r="L1734" s="3" t="str">
        <f>IF(K1734&lt;-5,"CRÍTICO",IF(K1734&lt;0,"ATENÇÃO",IF(K1734&lt;=5,"BOM","EXCELENTE")))</f>
        <v>EXCELENTE</v>
      </c>
      <c r="M1734">
        <v>23</v>
      </c>
      <c r="N1734">
        <v>97.92</v>
      </c>
      <c r="O1734">
        <v>32.87671232876712</v>
      </c>
    </row>
    <row r="1735" spans="1:15" hidden="1" x14ac:dyDescent="0.25">
      <c r="A1735" s="11">
        <v>46055</v>
      </c>
      <c r="B1735" t="s">
        <v>29</v>
      </c>
      <c r="C1735" t="s">
        <v>26</v>
      </c>
      <c r="D1735">
        <v>0</v>
      </c>
      <c r="E1735">
        <v>0</v>
      </c>
      <c r="F1735">
        <v>0</v>
      </c>
      <c r="G1735">
        <v>0</v>
      </c>
      <c r="H1735">
        <v>0</v>
      </c>
      <c r="I1735" s="3">
        <v>0</v>
      </c>
      <c r="J1735" s="3">
        <v>0</v>
      </c>
      <c r="K1735" s="3">
        <v>0</v>
      </c>
      <c r="L1735" s="3" t="str">
        <f>IF(K1735&lt;-5,"CRÍTICO",IF(K1735&lt;0,"ATENÇÃO",IF(K1735&lt;=5,"BOM","EXCELENTE")))</f>
        <v>BOM</v>
      </c>
      <c r="M1735">
        <v>0</v>
      </c>
      <c r="N1735">
        <v>0</v>
      </c>
      <c r="O1735">
        <v>0</v>
      </c>
    </row>
    <row r="1736" spans="1:15" hidden="1" x14ac:dyDescent="0.25">
      <c r="A1736" s="11">
        <v>46055</v>
      </c>
      <c r="B1736" t="s">
        <v>30</v>
      </c>
      <c r="C1736" t="s">
        <v>26</v>
      </c>
      <c r="D1736">
        <v>0</v>
      </c>
      <c r="E1736">
        <v>0</v>
      </c>
      <c r="F1736">
        <v>0</v>
      </c>
      <c r="G1736">
        <v>0</v>
      </c>
      <c r="H1736">
        <v>0</v>
      </c>
      <c r="I1736" s="3">
        <v>0</v>
      </c>
      <c r="J1736" s="3">
        <v>0</v>
      </c>
      <c r="K1736" s="3">
        <v>0</v>
      </c>
      <c r="L1736" s="3" t="str">
        <f>IF(K1736&lt;-5,"CRÍTICO",IF(K1736&lt;0,"ATENÇÃO",IF(K1736&lt;=5,"BOM","EXCELENTE")))</f>
        <v>BOM</v>
      </c>
      <c r="M1736">
        <v>0</v>
      </c>
      <c r="N1736">
        <v>0</v>
      </c>
      <c r="O1736">
        <v>0</v>
      </c>
    </row>
    <row r="1737" spans="1:15" hidden="1" x14ac:dyDescent="0.25">
      <c r="A1737" s="11">
        <v>46055</v>
      </c>
      <c r="B1737" t="s">
        <v>21</v>
      </c>
      <c r="C1737" t="s">
        <v>16</v>
      </c>
      <c r="D1737">
        <v>0</v>
      </c>
      <c r="E1737">
        <v>0</v>
      </c>
      <c r="F1737">
        <v>0</v>
      </c>
      <c r="G1737">
        <v>0</v>
      </c>
      <c r="H1737">
        <v>0</v>
      </c>
      <c r="I1737" s="3">
        <v>0</v>
      </c>
      <c r="J1737" s="3">
        <v>0</v>
      </c>
      <c r="K1737" s="3">
        <v>0</v>
      </c>
      <c r="L1737" s="3" t="str">
        <f>IF(K1737&lt;-5,"CRÍTICO",IF(K1737&lt;0,"ATENÇÃO",IF(K1737&lt;=5,"BOM","EXCELENTE")))</f>
        <v>BOM</v>
      </c>
      <c r="M1737">
        <v>0</v>
      </c>
      <c r="N1737">
        <v>0</v>
      </c>
      <c r="O1737">
        <v>0</v>
      </c>
    </row>
    <row r="1738" spans="1:15" hidden="1" x14ac:dyDescent="0.25">
      <c r="A1738" s="11">
        <v>46055</v>
      </c>
      <c r="B1738" t="s">
        <v>63</v>
      </c>
      <c r="C1738" t="s">
        <v>23</v>
      </c>
      <c r="D1738">
        <v>14</v>
      </c>
      <c r="E1738">
        <v>11</v>
      </c>
      <c r="F1738">
        <v>35.409999999999997</v>
      </c>
      <c r="G1738">
        <v>0</v>
      </c>
      <c r="H1738">
        <v>0</v>
      </c>
      <c r="I1738" s="3">
        <f>E1738+G1738+H1738</f>
        <v>11</v>
      </c>
      <c r="J1738" s="3">
        <f>ROUND(MIN(IF(C1738="Técnico III",35,IF(C1738="Técnico II",28,IF(C1738="Técnico I",23,IF(C1738="JR",20,IF(C1738="Estágio",10,0))))),IF(C1738="Técnico III",SUMIFS($D:$D,$A:$A,$A1738,$B:$B,"&lt;&gt;Patrícia Karla de Sousa Araújo",$B:$B,"&lt;&gt;Lorena Dias de Araujo",$B:$B,"&lt;&gt;Lucas Luiz Romero")*(35/1083),IF(C1738="Técnico II",SUMIFS($D:$D,$A:$A,$A1738,$B:$B,"&lt;&gt;Patrícia Karla de Sousa Araújo",$B:$B,"&lt;&gt;Lorena Dias de Araujo",$B:$B,"&lt;&gt;Lucas Luiz Romero")*(28/1083),IF(C1738="Técnico I",SUMIFS($D:$D,$A:$A,$A1738,$B:$B,"&lt;&gt;Patrícia Karla de Sousa Araújo",$B:$B,"&lt;&gt;Lorena Dias de Araujo",$B:$B,"&lt;&gt;Lucas Luiz Romero")*(23/1083),IF(C1738="JR",SUMIFS($D:$D,$A:$A,$A1738,$B:$B,"&lt;&gt;Patrícia Karla de Sousa Araújo",$B:$B,"&lt;&gt;Lorena Dias de Araujo",$B:$B,"&lt;&gt;Lucas Luiz Romero")*(20/1083),IF(C1738="Estágio",SUMIFS($D:$D,$A:$A,$A1738,$B:$B,"&lt;&gt;Patrícia Karla de Sousa Araújo",$B:$B,"&lt;&gt;Lorena Dias de Araujo",$B:$B,"&lt;&gt;Lucas Luiz Romero")*(10/1083),0)))))),0)</f>
        <v>19</v>
      </c>
      <c r="K1738" s="3">
        <f>I1738-J1738</f>
        <v>-8</v>
      </c>
      <c r="L1738" s="3" t="str">
        <f>IF(K1738&lt;-5,"CRÍTICO",IF(K1738&lt;0,"ATENÇÃO",IF(K1738&lt;=5,"BOM","EXCELENTE")))</f>
        <v>CRÍTICO</v>
      </c>
      <c r="M1738">
        <v>11</v>
      </c>
      <c r="N1738">
        <v>98.51</v>
      </c>
      <c r="O1738">
        <v>29.710144927536231</v>
      </c>
    </row>
    <row r="1739" spans="1:15" hidden="1" x14ac:dyDescent="0.25">
      <c r="A1739" s="11">
        <v>46055</v>
      </c>
      <c r="B1739" t="s">
        <v>45</v>
      </c>
      <c r="C1739" t="s">
        <v>32</v>
      </c>
      <c r="D1739">
        <v>44</v>
      </c>
      <c r="E1739">
        <v>40</v>
      </c>
      <c r="F1739">
        <v>15.51</v>
      </c>
      <c r="G1739">
        <v>0</v>
      </c>
      <c r="H1739">
        <v>0</v>
      </c>
      <c r="I1739" s="3">
        <f>E1739+G1739+H1739</f>
        <v>40</v>
      </c>
      <c r="J1739" s="3">
        <f>ROUND(MIN(IF(C1739="Técnico III",35,IF(C1739="Técnico II",28,IF(C1739="Técnico I",23,IF(C1739="JR",20,IF(C1739="Estágio",10,0))))),IF(C1739="Técnico III",SUMIFS($D:$D,$A:$A,$A1739,$B:$B,"&lt;&gt;Patrícia Karla de Sousa Araújo",$B:$B,"&lt;&gt;Lorena Dias de Araujo",$B:$B,"&lt;&gt;Lucas Luiz Romero")*(35/1083),IF(C1739="Técnico II",SUMIFS($D:$D,$A:$A,$A1739,$B:$B,"&lt;&gt;Patrícia Karla de Sousa Araújo",$B:$B,"&lt;&gt;Lorena Dias de Araujo",$B:$B,"&lt;&gt;Lucas Luiz Romero")*(28/1083),IF(C1739="Técnico I",SUMIFS($D:$D,$A:$A,$A1739,$B:$B,"&lt;&gt;Patrícia Karla de Sousa Araújo",$B:$B,"&lt;&gt;Lorena Dias de Araujo",$B:$B,"&lt;&gt;Lucas Luiz Romero")*(23/1083),IF(C1739="JR",SUMIFS($D:$D,$A:$A,$A1739,$B:$B,"&lt;&gt;Patrícia Karla de Sousa Araújo",$B:$B,"&lt;&gt;Lorena Dias de Araujo",$B:$B,"&lt;&gt;Lucas Luiz Romero")*(20/1083),IF(C1739="Estágio",SUMIFS($D:$D,$A:$A,$A1739,$B:$B,"&lt;&gt;Patrícia Karla de Sousa Araújo",$B:$B,"&lt;&gt;Lorena Dias de Araujo",$B:$B,"&lt;&gt;Lucas Luiz Romero")*(10/1083),0)))))),0)</f>
        <v>29</v>
      </c>
      <c r="K1739" s="3">
        <f>I1739-J1739</f>
        <v>11</v>
      </c>
      <c r="L1739" s="3" t="str">
        <f>IF(K1739&lt;-5,"CRÍTICO",IF(K1739&lt;0,"ATENÇÃO",IF(K1739&lt;=5,"BOM","EXCELENTE")))</f>
        <v>EXCELENTE</v>
      </c>
      <c r="M1739">
        <v>40</v>
      </c>
      <c r="N1739">
        <v>98.81</v>
      </c>
      <c r="O1739">
        <v>30.712979890310791</v>
      </c>
    </row>
    <row r="1740" spans="1:15" hidden="1" x14ac:dyDescent="0.25">
      <c r="A1740" s="11">
        <v>46055</v>
      </c>
      <c r="B1740" t="s">
        <v>64</v>
      </c>
      <c r="C1740" t="s">
        <v>23</v>
      </c>
      <c r="D1740">
        <v>16</v>
      </c>
      <c r="E1740">
        <v>16</v>
      </c>
      <c r="F1740">
        <v>30.19</v>
      </c>
      <c r="G1740">
        <v>0</v>
      </c>
      <c r="H1740">
        <v>0</v>
      </c>
      <c r="I1740" s="3">
        <f>E1740+G1740+H1740</f>
        <v>16</v>
      </c>
      <c r="J1740" s="3">
        <f>ROUND(MIN(IF(C1740="Técnico III",35,IF(C1740="Técnico II",28,IF(C1740="Técnico I",23,IF(C1740="JR",20,IF(C1740="Estágio",10,0))))),IF(C1740="Técnico III",SUMIFS($D:$D,$A:$A,$A1740,$B:$B,"&lt;&gt;Patrícia Karla de Sousa Araújo",$B:$B,"&lt;&gt;Lorena Dias de Araujo",$B:$B,"&lt;&gt;Lucas Luiz Romero")*(35/1083),IF(C1740="Técnico II",SUMIFS($D:$D,$A:$A,$A1740,$B:$B,"&lt;&gt;Patrícia Karla de Sousa Araújo",$B:$B,"&lt;&gt;Lorena Dias de Araujo",$B:$B,"&lt;&gt;Lucas Luiz Romero")*(28/1083),IF(C1740="Técnico I",SUMIFS($D:$D,$A:$A,$A1740,$B:$B,"&lt;&gt;Patrícia Karla de Sousa Araújo",$B:$B,"&lt;&gt;Lorena Dias de Araujo",$B:$B,"&lt;&gt;Lucas Luiz Romero")*(23/1083),IF(C1740="JR",SUMIFS($D:$D,$A:$A,$A1740,$B:$B,"&lt;&gt;Patrícia Karla de Sousa Araújo",$B:$B,"&lt;&gt;Lorena Dias de Araujo",$B:$B,"&lt;&gt;Lucas Luiz Romero")*(20/1083),IF(C1740="Estágio",SUMIFS($D:$D,$A:$A,$A1740,$B:$B,"&lt;&gt;Patrícia Karla de Sousa Araújo",$B:$B,"&lt;&gt;Lorena Dias de Araujo",$B:$B,"&lt;&gt;Lucas Luiz Romero")*(10/1083),0)))))),0)</f>
        <v>19</v>
      </c>
      <c r="K1740" s="3">
        <f>I1740-J1740</f>
        <v>-3</v>
      </c>
      <c r="L1740" s="3" t="str">
        <f>IF(K1740&lt;-5,"CRÍTICO",IF(K1740&lt;0,"ATENÇÃO",IF(K1740&lt;=5,"BOM","EXCELENTE")))</f>
        <v>ATENÇÃO</v>
      </c>
      <c r="M1740">
        <v>16</v>
      </c>
      <c r="N1740">
        <v>98.48</v>
      </c>
      <c r="O1740">
        <v>29.35323383084577</v>
      </c>
    </row>
    <row r="1741" spans="1:15" hidden="1" x14ac:dyDescent="0.25">
      <c r="A1741" s="11">
        <v>46055</v>
      </c>
      <c r="B1741" t="s">
        <v>46</v>
      </c>
      <c r="C1741" t="s">
        <v>32</v>
      </c>
      <c r="D1741">
        <v>35</v>
      </c>
      <c r="E1741">
        <v>32</v>
      </c>
      <c r="F1741">
        <v>19.059999999999999</v>
      </c>
      <c r="G1741">
        <v>0</v>
      </c>
      <c r="H1741">
        <v>0</v>
      </c>
      <c r="I1741" s="3">
        <f>E1741+G1741+H1741</f>
        <v>32</v>
      </c>
      <c r="J1741" s="3">
        <f>ROUND(MIN(IF(C1741="Técnico III",35,IF(C1741="Técnico II",28,IF(C1741="Técnico I",23,IF(C1741="JR",20,IF(C1741="Estágio",10,0))))),IF(C1741="Técnico III",SUMIFS($D:$D,$A:$A,$A1741,$B:$B,"&lt;&gt;Patrícia Karla de Sousa Araújo",$B:$B,"&lt;&gt;Lorena Dias de Araujo",$B:$B,"&lt;&gt;Lucas Luiz Romero")*(35/1083),IF(C1741="Técnico II",SUMIFS($D:$D,$A:$A,$A1741,$B:$B,"&lt;&gt;Patrícia Karla de Sousa Araújo",$B:$B,"&lt;&gt;Lorena Dias de Araujo",$B:$B,"&lt;&gt;Lucas Luiz Romero")*(28/1083),IF(C1741="Técnico I",SUMIFS($D:$D,$A:$A,$A1741,$B:$B,"&lt;&gt;Patrícia Karla de Sousa Araújo",$B:$B,"&lt;&gt;Lorena Dias de Araujo",$B:$B,"&lt;&gt;Lucas Luiz Romero")*(23/1083),IF(C1741="JR",SUMIFS($D:$D,$A:$A,$A1741,$B:$B,"&lt;&gt;Patrícia Karla de Sousa Araújo",$B:$B,"&lt;&gt;Lorena Dias de Araujo",$B:$B,"&lt;&gt;Lucas Luiz Romero")*(20/1083),IF(C1741="Estágio",SUMIFS($D:$D,$A:$A,$A1741,$B:$B,"&lt;&gt;Patrícia Karla de Sousa Araújo",$B:$B,"&lt;&gt;Lorena Dias de Araujo",$B:$B,"&lt;&gt;Lucas Luiz Romero")*(10/1083),0)))))),0)</f>
        <v>29</v>
      </c>
      <c r="K1741" s="3">
        <f>I1741-J1741</f>
        <v>3</v>
      </c>
      <c r="L1741" s="3" t="str">
        <f>IF(K1741&lt;-5,"CRÍTICO",IF(K1741&lt;0,"ATENÇÃO",IF(K1741&lt;=5,"BOM","EXCELENTE")))</f>
        <v>BOM</v>
      </c>
      <c r="M1741">
        <v>29</v>
      </c>
      <c r="N1741">
        <v>98.56</v>
      </c>
      <c r="O1741">
        <v>29.373650107991359</v>
      </c>
    </row>
    <row r="1742" spans="1:15" hidden="1" x14ac:dyDescent="0.25">
      <c r="A1742" s="11">
        <v>46056</v>
      </c>
      <c r="B1742" t="s">
        <v>47</v>
      </c>
      <c r="C1742" t="s">
        <v>48</v>
      </c>
      <c r="D1742">
        <v>37</v>
      </c>
      <c r="E1742">
        <v>35</v>
      </c>
      <c r="F1742">
        <v>15.35</v>
      </c>
      <c r="G1742">
        <v>0</v>
      </c>
      <c r="H1742">
        <v>0</v>
      </c>
      <c r="I1742" s="3">
        <f>E1742+G1742+H1742</f>
        <v>35</v>
      </c>
      <c r="J1742" s="3">
        <f>ROUND(MIN(IF(C1742="Técnico III",35,IF(C1742="Técnico II",28,IF(C1742="Técnico I",23,IF(C1742="JR",20,IF(C1742="Estágio",10,0))))),IF(C1742="Técnico III",SUMIFS($D:$D,$A:$A,$A1742,$B:$B,"&lt;&gt;Patrícia Karla de Sousa Araújo",$B:$B,"&lt;&gt;Lorena Dias de Araujo",$B:$B,"&lt;&gt;Lucas Luiz Romero")*(35/1083),IF(C1742="Técnico II",SUMIFS($D:$D,$A:$A,$A1742,$B:$B,"&lt;&gt;Patrícia Karla de Sousa Araújo",$B:$B,"&lt;&gt;Lorena Dias de Araujo",$B:$B,"&lt;&gt;Lucas Luiz Romero")*(28/1083),IF(C1742="Técnico I",SUMIFS($D:$D,$A:$A,$A1742,$B:$B,"&lt;&gt;Patrícia Karla de Sousa Araújo",$B:$B,"&lt;&gt;Lorena Dias de Araujo",$B:$B,"&lt;&gt;Lucas Luiz Romero")*(23/1083),IF(C1742="JR",SUMIFS($D:$D,$A:$A,$A1742,$B:$B,"&lt;&gt;Patrícia Karla de Sousa Araújo",$B:$B,"&lt;&gt;Lorena Dias de Araujo",$B:$B,"&lt;&gt;Lucas Luiz Romero")*(20/1083),IF(C1742="Estágio",SUMIFS($D:$D,$A:$A,$A1742,$B:$B,"&lt;&gt;Patrícia Karla de Sousa Araújo",$B:$B,"&lt;&gt;Lorena Dias de Araujo",$B:$B,"&lt;&gt;Lucas Luiz Romero")*(10/1083),0)))))),0)</f>
        <v>25</v>
      </c>
      <c r="K1742" s="3">
        <f>I1742-J1742</f>
        <v>10</v>
      </c>
      <c r="L1742" s="3" t="str">
        <f>IF(K1742&lt;-5,"CRÍTICO",IF(K1742&lt;0,"ATENÇÃO",IF(K1742&lt;=5,"BOM","EXCELENTE")))</f>
        <v>EXCELENTE</v>
      </c>
      <c r="M1742">
        <v>34</v>
      </c>
      <c r="N1742">
        <v>98.32</v>
      </c>
      <c r="O1742">
        <v>30.303030303030301</v>
      </c>
    </row>
    <row r="1743" spans="1:15" hidden="1" x14ac:dyDescent="0.25">
      <c r="A1743" s="11">
        <v>46056</v>
      </c>
      <c r="B1743" t="s">
        <v>31</v>
      </c>
      <c r="C1743" t="s">
        <v>32</v>
      </c>
      <c r="D1743">
        <v>0</v>
      </c>
      <c r="E1743">
        <v>0</v>
      </c>
      <c r="F1743">
        <v>0</v>
      </c>
      <c r="G1743">
        <v>0</v>
      </c>
      <c r="H1743">
        <v>0</v>
      </c>
      <c r="I1743" s="3">
        <v>0</v>
      </c>
      <c r="J1743" s="3">
        <v>0</v>
      </c>
      <c r="K1743" s="3">
        <v>0</v>
      </c>
      <c r="L1743" s="3" t="str">
        <f>IF(K1743&lt;-5,"CRÍTICO",IF(K1743&lt;0,"ATENÇÃO",IF(K1743&lt;=5,"BOM","EXCELENTE")))</f>
        <v>BOM</v>
      </c>
      <c r="M1743">
        <v>29</v>
      </c>
      <c r="N1743">
        <v>98.68</v>
      </c>
      <c r="O1743">
        <v>26.219512195121951</v>
      </c>
    </row>
    <row r="1744" spans="1:15" hidden="1" x14ac:dyDescent="0.25">
      <c r="A1744" s="11">
        <v>46056</v>
      </c>
      <c r="B1744" t="s">
        <v>59</v>
      </c>
      <c r="C1744" t="s">
        <v>23</v>
      </c>
      <c r="D1744">
        <v>27</v>
      </c>
      <c r="E1744">
        <v>27</v>
      </c>
      <c r="F1744">
        <v>23.49</v>
      </c>
      <c r="G1744">
        <v>0</v>
      </c>
      <c r="H1744">
        <v>0</v>
      </c>
      <c r="I1744" s="3">
        <f>E1744+G1744+H1744</f>
        <v>27</v>
      </c>
      <c r="J1744" s="3">
        <f>ROUND(MIN(IF(C1744="Técnico III",35,IF(C1744="Técnico II",28,IF(C1744="Técnico I",23,IF(C1744="JR",20,IF(C1744="Estágio",10,0))))),IF(C1744="Técnico III",SUMIFS($D:$D,$A:$A,$A1744,$B:$B,"&lt;&gt;Patrícia Karla de Sousa Araújo",$B:$B,"&lt;&gt;Lorena Dias de Araujo",$B:$B,"&lt;&gt;Lucas Luiz Romero")*(35/1083),IF(C1744="Técnico II",SUMIFS($D:$D,$A:$A,$A1744,$B:$B,"&lt;&gt;Patrícia Karla de Sousa Araújo",$B:$B,"&lt;&gt;Lorena Dias de Araujo",$B:$B,"&lt;&gt;Lucas Luiz Romero")*(28/1083),IF(C1744="Técnico I",SUMIFS($D:$D,$A:$A,$A1744,$B:$B,"&lt;&gt;Patrícia Karla de Sousa Araújo",$B:$B,"&lt;&gt;Lorena Dias de Araujo",$B:$B,"&lt;&gt;Lucas Luiz Romero")*(23/1083),IF(C1744="JR",SUMIFS($D:$D,$A:$A,$A1744,$B:$B,"&lt;&gt;Patrícia Karla de Sousa Araújo",$B:$B,"&lt;&gt;Lorena Dias de Araujo",$B:$B,"&lt;&gt;Lucas Luiz Romero")*(20/1083),IF(C1744="Estágio",SUMIFS($D:$D,$A:$A,$A1744,$B:$B,"&lt;&gt;Patrícia Karla de Sousa Araújo",$B:$B,"&lt;&gt;Lorena Dias de Araujo",$B:$B,"&lt;&gt;Lucas Luiz Romero")*(10/1083),0)))))),0)</f>
        <v>21</v>
      </c>
      <c r="K1744" s="3">
        <f>I1744-J1744</f>
        <v>6</v>
      </c>
      <c r="L1744" s="3" t="str">
        <f>IF(K1744&lt;-5,"CRÍTICO",IF(K1744&lt;0,"ATENÇÃO",IF(K1744&lt;=5,"BOM","EXCELENTE")))</f>
        <v>EXCELENTE</v>
      </c>
      <c r="M1744">
        <v>27</v>
      </c>
      <c r="N1744">
        <v>100</v>
      </c>
      <c r="O1744">
        <v>31.74224343675418</v>
      </c>
    </row>
    <row r="1745" spans="1:15" hidden="1" x14ac:dyDescent="0.25">
      <c r="A1745" s="11">
        <v>46056</v>
      </c>
      <c r="B1745" t="s">
        <v>33</v>
      </c>
      <c r="C1745" t="s">
        <v>32</v>
      </c>
      <c r="D1745">
        <v>41</v>
      </c>
      <c r="E1745">
        <v>39</v>
      </c>
      <c r="F1745">
        <v>20.440000000000001</v>
      </c>
      <c r="G1745">
        <v>0</v>
      </c>
      <c r="H1745">
        <v>0</v>
      </c>
      <c r="I1745" s="3">
        <f>E1745+G1745+H1745</f>
        <v>39</v>
      </c>
      <c r="J1745" s="3">
        <f>ROUND(MIN(IF(C1745="Técnico III",35,IF(C1745="Técnico II",28,IF(C1745="Técnico I",23,IF(C1745="JR",20,IF(C1745="Estágio",10,0))))),IF(C1745="Técnico III",SUMIFS($D:$D,$A:$A,$A1745,$B:$B,"&lt;&gt;Patrícia Karla de Sousa Araújo",$B:$B,"&lt;&gt;Lorena Dias de Araujo",$B:$B,"&lt;&gt;Lucas Luiz Romero")*(35/1083),IF(C1745="Técnico II",SUMIFS($D:$D,$A:$A,$A1745,$B:$B,"&lt;&gt;Patrícia Karla de Sousa Araújo",$B:$B,"&lt;&gt;Lorena Dias de Araujo",$B:$B,"&lt;&gt;Lucas Luiz Romero")*(28/1083),IF(C1745="Técnico I",SUMIFS($D:$D,$A:$A,$A1745,$B:$B,"&lt;&gt;Patrícia Karla de Sousa Araújo",$B:$B,"&lt;&gt;Lorena Dias de Araujo",$B:$B,"&lt;&gt;Lucas Luiz Romero")*(23/1083),IF(C1745="JR",SUMIFS($D:$D,$A:$A,$A1745,$B:$B,"&lt;&gt;Patrícia Karla de Sousa Araújo",$B:$B,"&lt;&gt;Lorena Dias de Araujo",$B:$B,"&lt;&gt;Lucas Luiz Romero")*(20/1083),IF(C1745="Estágio",SUMIFS($D:$D,$A:$A,$A1745,$B:$B,"&lt;&gt;Patrícia Karla de Sousa Araújo",$B:$B,"&lt;&gt;Lorena Dias de Araujo",$B:$B,"&lt;&gt;Lucas Luiz Romero")*(10/1083),0)))))),0)</f>
        <v>32</v>
      </c>
      <c r="K1745" s="3">
        <f>I1745-J1745</f>
        <v>7</v>
      </c>
      <c r="L1745" s="3" t="str">
        <f>IF(K1745&lt;-5,"CRÍTICO",IF(K1745&lt;0,"ATENÇÃO",IF(K1745&lt;=5,"BOM","EXCELENTE")))</f>
        <v>EXCELENTE</v>
      </c>
      <c r="M1745">
        <v>37</v>
      </c>
      <c r="N1745">
        <v>98.25</v>
      </c>
      <c r="O1745">
        <v>25.83518930957684</v>
      </c>
    </row>
    <row r="1746" spans="1:15" hidden="1" x14ac:dyDescent="0.25">
      <c r="A1746" s="11">
        <v>46056</v>
      </c>
      <c r="B1746" t="s">
        <v>15</v>
      </c>
      <c r="C1746" t="s">
        <v>16</v>
      </c>
      <c r="D1746">
        <v>6</v>
      </c>
      <c r="E1746">
        <v>6</v>
      </c>
      <c r="F1746">
        <v>28.25</v>
      </c>
      <c r="G1746">
        <v>0</v>
      </c>
      <c r="H1746">
        <v>0</v>
      </c>
      <c r="I1746" s="3">
        <f>E1746+G1746+H1746</f>
        <v>6</v>
      </c>
      <c r="J1746" s="3">
        <f>ROUND(MIN(IF(C1746="Técnico III",35,IF(C1746="Técnico II",28,IF(C1746="Técnico I",23,IF(C1746="JR",20,IF(C1746="Estágio",10,0))))),IF(C1746="Técnico III",SUMIFS($D:$D,$A:$A,$A1746,$B:$B,"&lt;&gt;Patrícia Karla de Sousa Araújo",$B:$B,"&lt;&gt;Lorena Dias de Araujo",$B:$B,"&lt;&gt;Lucas Luiz Romero")*(35/1083),IF(C1746="Técnico II",SUMIFS($D:$D,$A:$A,$A1746,$B:$B,"&lt;&gt;Patrícia Karla de Sousa Araújo",$B:$B,"&lt;&gt;Lorena Dias de Araujo",$B:$B,"&lt;&gt;Lucas Luiz Romero")*(28/1083),IF(C1746="Técnico I",SUMIFS($D:$D,$A:$A,$A1746,$B:$B,"&lt;&gt;Patrícia Karla de Sousa Araújo",$B:$B,"&lt;&gt;Lorena Dias de Araujo",$B:$B,"&lt;&gt;Lucas Luiz Romero")*(23/1083),IF(C1746="JR",SUMIFS($D:$D,$A:$A,$A1746,$B:$B,"&lt;&gt;Patrícia Karla de Sousa Araújo",$B:$B,"&lt;&gt;Lorena Dias de Araujo",$B:$B,"&lt;&gt;Lucas Luiz Romero")*(20/1083),IF(C1746="Estágio",SUMIFS($D:$D,$A:$A,$A1746,$B:$B,"&lt;&gt;Patrícia Karla de Sousa Araújo",$B:$B,"&lt;&gt;Lorena Dias de Araujo",$B:$B,"&lt;&gt;Lucas Luiz Romero")*(10/1083),0)))))),0)</f>
        <v>9</v>
      </c>
      <c r="K1746" s="3">
        <f>I1746-J1746</f>
        <v>-3</v>
      </c>
      <c r="L1746" s="3" t="str">
        <f>IF(K1746&lt;-5,"CRÍTICO",IF(K1746&lt;0,"ATENÇÃO",IF(K1746&lt;=5,"BOM","EXCELENTE")))</f>
        <v>ATENÇÃO</v>
      </c>
      <c r="M1746">
        <v>6</v>
      </c>
      <c r="N1746">
        <v>97.5</v>
      </c>
      <c r="O1746">
        <v>30.075187969924809</v>
      </c>
    </row>
    <row r="1747" spans="1:15" hidden="1" x14ac:dyDescent="0.25">
      <c r="A1747" s="11">
        <v>46056</v>
      </c>
      <c r="B1747" t="s">
        <v>49</v>
      </c>
      <c r="C1747" t="s">
        <v>48</v>
      </c>
      <c r="D1747">
        <v>42</v>
      </c>
      <c r="E1747">
        <v>38</v>
      </c>
      <c r="F1747">
        <v>10.44</v>
      </c>
      <c r="G1747">
        <v>0</v>
      </c>
      <c r="H1747">
        <v>0</v>
      </c>
      <c r="I1747" s="3">
        <f>E1747+G1747+H1747</f>
        <v>38</v>
      </c>
      <c r="J1747" s="3">
        <f>ROUND(MIN(IF(C1747="Técnico III",35,IF(C1747="Técnico II",28,IF(C1747="Técnico I",23,IF(C1747="JR",20,IF(C1747="Estágio",10,0))))),IF(C1747="Técnico III",SUMIFS($D:$D,$A:$A,$A1747,$B:$B,"&lt;&gt;Patrícia Karla de Sousa Araújo",$B:$B,"&lt;&gt;Lorena Dias de Araujo",$B:$B,"&lt;&gt;Lucas Luiz Romero")*(35/1083),IF(C1747="Técnico II",SUMIFS($D:$D,$A:$A,$A1747,$B:$B,"&lt;&gt;Patrícia Karla de Sousa Araújo",$B:$B,"&lt;&gt;Lorena Dias de Araujo",$B:$B,"&lt;&gt;Lucas Luiz Romero")*(28/1083),IF(C1747="Técnico I",SUMIFS($D:$D,$A:$A,$A1747,$B:$B,"&lt;&gt;Patrícia Karla de Sousa Araújo",$B:$B,"&lt;&gt;Lorena Dias de Araujo",$B:$B,"&lt;&gt;Lucas Luiz Romero")*(23/1083),IF(C1747="JR",SUMIFS($D:$D,$A:$A,$A1747,$B:$B,"&lt;&gt;Patrícia Karla de Sousa Araújo",$B:$B,"&lt;&gt;Lorena Dias de Araujo",$B:$B,"&lt;&gt;Lucas Luiz Romero")*(20/1083),IF(C1747="Estágio",SUMIFS($D:$D,$A:$A,$A1747,$B:$B,"&lt;&gt;Patrícia Karla de Sousa Araújo",$B:$B,"&lt;&gt;Lorena Dias de Araujo",$B:$B,"&lt;&gt;Lucas Luiz Romero")*(10/1083),0)))))),0)</f>
        <v>25</v>
      </c>
      <c r="K1747" s="3">
        <f>I1747-J1747</f>
        <v>13</v>
      </c>
      <c r="L1747" s="3" t="str">
        <f>IF(K1747&lt;-5,"CRÍTICO",IF(K1747&lt;0,"ATENÇÃO",IF(K1747&lt;=5,"BOM","EXCELENTE")))</f>
        <v>EXCELENTE</v>
      </c>
      <c r="M1747">
        <v>36</v>
      </c>
      <c r="N1747">
        <v>100</v>
      </c>
      <c r="O1747">
        <v>29.71311475409836</v>
      </c>
    </row>
    <row r="1748" spans="1:15" hidden="1" x14ac:dyDescent="0.25">
      <c r="A1748" s="11">
        <v>46056</v>
      </c>
      <c r="B1748" t="s">
        <v>50</v>
      </c>
      <c r="C1748" t="s">
        <v>48</v>
      </c>
      <c r="D1748">
        <v>27</v>
      </c>
      <c r="E1748">
        <v>25</v>
      </c>
      <c r="F1748">
        <v>25.32</v>
      </c>
      <c r="G1748">
        <v>0</v>
      </c>
      <c r="H1748">
        <v>0</v>
      </c>
      <c r="I1748" s="3">
        <f>E1748+G1748+H1748</f>
        <v>25</v>
      </c>
      <c r="J1748" s="3">
        <f>ROUND(MIN(IF(C1748="Técnico III",35,IF(C1748="Técnico II",28,IF(C1748="Técnico I",23,IF(C1748="JR",20,IF(C1748="Estágio",10,0))))),IF(C1748="Técnico III",SUMIFS($D:$D,$A:$A,$A1748,$B:$B,"&lt;&gt;Patrícia Karla de Sousa Araújo",$B:$B,"&lt;&gt;Lorena Dias de Araujo",$B:$B,"&lt;&gt;Lucas Luiz Romero")*(35/1083),IF(C1748="Técnico II",SUMIFS($D:$D,$A:$A,$A1748,$B:$B,"&lt;&gt;Patrícia Karla de Sousa Araújo",$B:$B,"&lt;&gt;Lorena Dias de Araujo",$B:$B,"&lt;&gt;Lucas Luiz Romero")*(28/1083),IF(C1748="Técnico I",SUMIFS($D:$D,$A:$A,$A1748,$B:$B,"&lt;&gt;Patrícia Karla de Sousa Araújo",$B:$B,"&lt;&gt;Lorena Dias de Araujo",$B:$B,"&lt;&gt;Lucas Luiz Romero")*(23/1083),IF(C1748="JR",SUMIFS($D:$D,$A:$A,$A1748,$B:$B,"&lt;&gt;Patrícia Karla de Sousa Araújo",$B:$B,"&lt;&gt;Lorena Dias de Araujo",$B:$B,"&lt;&gt;Lucas Luiz Romero")*(20/1083),IF(C1748="Estágio",SUMIFS($D:$D,$A:$A,$A1748,$B:$B,"&lt;&gt;Patrícia Karla de Sousa Araújo",$B:$B,"&lt;&gt;Lorena Dias de Araujo",$B:$B,"&lt;&gt;Lucas Luiz Romero")*(10/1083),0)))))),0)</f>
        <v>25</v>
      </c>
      <c r="K1748" s="3">
        <f>I1748-J1748</f>
        <v>0</v>
      </c>
      <c r="L1748" s="3" t="str">
        <f>IF(K1748&lt;-5,"CRÍTICO",IF(K1748&lt;0,"ATENÇÃO",IF(K1748&lt;=5,"BOM","EXCELENTE")))</f>
        <v>BOM</v>
      </c>
      <c r="M1748">
        <v>23</v>
      </c>
      <c r="N1748">
        <v>99.22</v>
      </c>
      <c r="O1748">
        <v>35.256410256410263</v>
      </c>
    </row>
    <row r="1749" spans="1:15" hidden="1" x14ac:dyDescent="0.25">
      <c r="A1749" s="11">
        <v>46056</v>
      </c>
      <c r="B1749" t="s">
        <v>17</v>
      </c>
      <c r="C1749" t="s">
        <v>16</v>
      </c>
      <c r="D1749">
        <v>0</v>
      </c>
      <c r="E1749">
        <v>0</v>
      </c>
      <c r="F1749">
        <v>0</v>
      </c>
      <c r="G1749">
        <v>0</v>
      </c>
      <c r="H1749">
        <v>0</v>
      </c>
      <c r="I1749" s="3">
        <v>0</v>
      </c>
      <c r="J1749" s="3">
        <v>0</v>
      </c>
      <c r="K1749" s="3">
        <v>0</v>
      </c>
      <c r="L1749" s="3" t="str">
        <f>IF(K1749&lt;-5,"CRÍTICO",IF(K1749&lt;0,"ATENÇÃO",IF(K1749&lt;=5,"BOM","EXCELENTE")))</f>
        <v>BOM</v>
      </c>
      <c r="M1749">
        <v>0</v>
      </c>
      <c r="N1749">
        <v>0</v>
      </c>
      <c r="O1749">
        <v>0</v>
      </c>
    </row>
    <row r="1750" spans="1:15" hidden="1" x14ac:dyDescent="0.25">
      <c r="A1750" s="11">
        <v>46056</v>
      </c>
      <c r="B1750" t="s">
        <v>60</v>
      </c>
      <c r="C1750" t="s">
        <v>23</v>
      </c>
      <c r="D1750">
        <v>21</v>
      </c>
      <c r="E1750">
        <v>21</v>
      </c>
      <c r="F1750">
        <v>25.43</v>
      </c>
      <c r="G1750">
        <v>0</v>
      </c>
      <c r="H1750">
        <v>0</v>
      </c>
      <c r="I1750" s="3">
        <f>E1750+G1750+H1750</f>
        <v>21</v>
      </c>
      <c r="J1750" s="3">
        <f>ROUND(MIN(IF(C1750="Técnico III",35,IF(C1750="Técnico II",28,IF(C1750="Técnico I",23,IF(C1750="JR",20,IF(C1750="Estágio",10,0))))),IF(C1750="Técnico III",SUMIFS($D:$D,$A:$A,$A1750,$B:$B,"&lt;&gt;Patrícia Karla de Sousa Araújo",$B:$B,"&lt;&gt;Lorena Dias de Araujo",$B:$B,"&lt;&gt;Lucas Luiz Romero")*(35/1083),IF(C1750="Técnico II",SUMIFS($D:$D,$A:$A,$A1750,$B:$B,"&lt;&gt;Patrícia Karla de Sousa Araújo",$B:$B,"&lt;&gt;Lorena Dias de Araujo",$B:$B,"&lt;&gt;Lucas Luiz Romero")*(28/1083),IF(C1750="Técnico I",SUMIFS($D:$D,$A:$A,$A1750,$B:$B,"&lt;&gt;Patrícia Karla de Sousa Araújo",$B:$B,"&lt;&gt;Lorena Dias de Araujo",$B:$B,"&lt;&gt;Lucas Luiz Romero")*(23/1083),IF(C1750="JR",SUMIFS($D:$D,$A:$A,$A1750,$B:$B,"&lt;&gt;Patrícia Karla de Sousa Araújo",$B:$B,"&lt;&gt;Lorena Dias de Araujo",$B:$B,"&lt;&gt;Lucas Luiz Romero")*(20/1083),IF(C1750="Estágio",SUMIFS($D:$D,$A:$A,$A1750,$B:$B,"&lt;&gt;Patrícia Karla de Sousa Araújo",$B:$B,"&lt;&gt;Lorena Dias de Araujo",$B:$B,"&lt;&gt;Lucas Luiz Romero")*(10/1083),0)))))),0)</f>
        <v>21</v>
      </c>
      <c r="K1750" s="3">
        <f>I1750-J1750</f>
        <v>0</v>
      </c>
      <c r="L1750" s="3" t="str">
        <f>IF(K1750&lt;-5,"CRÍTICO",IF(K1750&lt;0,"ATENÇÃO",IF(K1750&lt;=5,"BOM","EXCELENTE")))</f>
        <v>BOM</v>
      </c>
      <c r="M1750">
        <v>21</v>
      </c>
      <c r="N1750">
        <v>98.75</v>
      </c>
      <c r="O1750">
        <v>24.32432432432433</v>
      </c>
    </row>
    <row r="1751" spans="1:15" hidden="1" x14ac:dyDescent="0.25">
      <c r="A1751" s="11">
        <v>46056</v>
      </c>
      <c r="B1751" t="s">
        <v>34</v>
      </c>
      <c r="C1751" t="s">
        <v>32</v>
      </c>
      <c r="D1751">
        <v>36</v>
      </c>
      <c r="E1751">
        <v>33</v>
      </c>
      <c r="F1751">
        <v>13.36</v>
      </c>
      <c r="G1751">
        <v>0</v>
      </c>
      <c r="H1751">
        <v>0</v>
      </c>
      <c r="I1751" s="3">
        <f>E1751+G1751+H1751</f>
        <v>33</v>
      </c>
      <c r="J1751" s="3">
        <f>ROUND(MIN(IF(C1751="Técnico III",35,IF(C1751="Técnico II",28,IF(C1751="Técnico I",23,IF(C1751="JR",20,IF(C1751="Estágio",10,0))))),IF(C1751="Técnico III",SUMIFS($D:$D,$A:$A,$A1751,$B:$B,"&lt;&gt;Patrícia Karla de Sousa Araújo",$B:$B,"&lt;&gt;Lorena Dias de Araujo",$B:$B,"&lt;&gt;Lucas Luiz Romero")*(35/1083),IF(C1751="Técnico II",SUMIFS($D:$D,$A:$A,$A1751,$B:$B,"&lt;&gt;Patrícia Karla de Sousa Araújo",$B:$B,"&lt;&gt;Lorena Dias de Araujo",$B:$B,"&lt;&gt;Lucas Luiz Romero")*(28/1083),IF(C1751="Técnico I",SUMIFS($D:$D,$A:$A,$A1751,$B:$B,"&lt;&gt;Patrícia Karla de Sousa Araújo",$B:$B,"&lt;&gt;Lorena Dias de Araujo",$B:$B,"&lt;&gt;Lucas Luiz Romero")*(23/1083),IF(C1751="JR",SUMIFS($D:$D,$A:$A,$A1751,$B:$B,"&lt;&gt;Patrícia Karla de Sousa Araújo",$B:$B,"&lt;&gt;Lorena Dias de Araujo",$B:$B,"&lt;&gt;Lucas Luiz Romero")*(20/1083),IF(C1751="Estágio",SUMIFS($D:$D,$A:$A,$A1751,$B:$B,"&lt;&gt;Patrícia Karla de Sousa Araújo",$B:$B,"&lt;&gt;Lorena Dias de Araujo",$B:$B,"&lt;&gt;Lucas Luiz Romero")*(10/1083),0)))))),0)</f>
        <v>32</v>
      </c>
      <c r="K1751" s="3">
        <f>I1751-J1751</f>
        <v>1</v>
      </c>
      <c r="L1751" s="3" t="str">
        <f>IF(K1751&lt;-5,"CRÍTICO",IF(K1751&lt;0,"ATENÇÃO",IF(K1751&lt;=5,"BOM","EXCELENTE")))</f>
        <v>BOM</v>
      </c>
      <c r="M1751">
        <v>29</v>
      </c>
      <c r="N1751">
        <v>93.48</v>
      </c>
      <c r="O1751">
        <v>31.52804642166344</v>
      </c>
    </row>
    <row r="1752" spans="1:15" hidden="1" x14ac:dyDescent="0.25">
      <c r="A1752" s="11">
        <v>46056</v>
      </c>
      <c r="B1752" t="s">
        <v>51</v>
      </c>
      <c r="C1752" t="s">
        <v>48</v>
      </c>
      <c r="D1752">
        <v>38</v>
      </c>
      <c r="E1752">
        <v>34</v>
      </c>
      <c r="F1752">
        <v>18.52</v>
      </c>
      <c r="G1752">
        <v>0</v>
      </c>
      <c r="H1752">
        <v>0</v>
      </c>
      <c r="I1752" s="3">
        <v>0</v>
      </c>
      <c r="J1752" s="3">
        <v>0</v>
      </c>
      <c r="K1752" s="3">
        <v>0</v>
      </c>
      <c r="L1752" s="3" t="str">
        <f>IF(K1752&lt;-5,"CRÍTICO",IF(K1752&lt;0,"ATENÇÃO",IF(K1752&lt;=5,"BOM","EXCELENTE")))</f>
        <v>BOM</v>
      </c>
      <c r="M1752">
        <v>30</v>
      </c>
      <c r="N1752">
        <v>99.16</v>
      </c>
      <c r="O1752">
        <v>26.13908872901678</v>
      </c>
    </row>
    <row r="1753" spans="1:15" hidden="1" x14ac:dyDescent="0.25">
      <c r="A1753" s="11">
        <v>46056</v>
      </c>
      <c r="B1753" t="s">
        <v>61</v>
      </c>
      <c r="C1753" t="s">
        <v>23</v>
      </c>
      <c r="D1753">
        <v>30</v>
      </c>
      <c r="E1753">
        <v>30</v>
      </c>
      <c r="F1753">
        <v>20.3</v>
      </c>
      <c r="G1753">
        <v>0</v>
      </c>
      <c r="H1753">
        <v>0</v>
      </c>
      <c r="I1753" s="3">
        <f>E1753+G1753+H1753</f>
        <v>30</v>
      </c>
      <c r="J1753" s="3">
        <f>ROUND(MIN(IF(C1753="Técnico III",35,IF(C1753="Técnico II",28,IF(C1753="Técnico I",23,IF(C1753="JR",20,IF(C1753="Estágio",10,0))))),IF(C1753="Técnico III",SUMIFS($D:$D,$A:$A,$A1753,$B:$B,"&lt;&gt;Patrícia Karla de Sousa Araújo",$B:$B,"&lt;&gt;Lorena Dias de Araujo",$B:$B,"&lt;&gt;Lucas Luiz Romero")*(35/1083),IF(C1753="Técnico II",SUMIFS($D:$D,$A:$A,$A1753,$B:$B,"&lt;&gt;Patrícia Karla de Sousa Araújo",$B:$B,"&lt;&gt;Lorena Dias de Araujo",$B:$B,"&lt;&gt;Lucas Luiz Romero")*(28/1083),IF(C1753="Técnico I",SUMIFS($D:$D,$A:$A,$A1753,$B:$B,"&lt;&gt;Patrícia Karla de Sousa Araújo",$B:$B,"&lt;&gt;Lorena Dias de Araujo",$B:$B,"&lt;&gt;Lucas Luiz Romero")*(23/1083),IF(C1753="JR",SUMIFS($D:$D,$A:$A,$A1753,$B:$B,"&lt;&gt;Patrícia Karla de Sousa Araújo",$B:$B,"&lt;&gt;Lorena Dias de Araujo",$B:$B,"&lt;&gt;Lucas Luiz Romero")*(20/1083),IF(C1753="Estágio",SUMIFS($D:$D,$A:$A,$A1753,$B:$B,"&lt;&gt;Patrícia Karla de Sousa Araújo",$B:$B,"&lt;&gt;Lorena Dias de Araujo",$B:$B,"&lt;&gt;Lucas Luiz Romero")*(10/1083),0)))))),0)</f>
        <v>21</v>
      </c>
      <c r="K1753" s="3">
        <f>I1753-J1753</f>
        <v>9</v>
      </c>
      <c r="L1753" s="3" t="str">
        <f>IF(K1753&lt;-5,"CRÍTICO",IF(K1753&lt;0,"ATENÇÃO",IF(K1753&lt;=5,"BOM","EXCELENTE")))</f>
        <v>EXCELENTE</v>
      </c>
      <c r="M1753">
        <v>32</v>
      </c>
      <c r="N1753">
        <v>100</v>
      </c>
      <c r="O1753">
        <v>31.089743589743591</v>
      </c>
    </row>
    <row r="1754" spans="1:15" hidden="1" x14ac:dyDescent="0.25">
      <c r="A1754" s="11">
        <v>46056</v>
      </c>
      <c r="B1754" t="s">
        <v>35</v>
      </c>
      <c r="C1754" t="s">
        <v>32</v>
      </c>
      <c r="D1754">
        <v>27</v>
      </c>
      <c r="E1754">
        <v>27</v>
      </c>
      <c r="F1754">
        <v>30.21</v>
      </c>
      <c r="G1754">
        <v>0</v>
      </c>
      <c r="H1754">
        <v>0</v>
      </c>
      <c r="I1754" s="3">
        <v>0</v>
      </c>
      <c r="J1754" s="3">
        <v>0</v>
      </c>
      <c r="K1754" s="3">
        <v>0</v>
      </c>
      <c r="L1754" s="3" t="str">
        <f>IF(K1754&lt;-5,"CRÍTICO",IF(K1754&lt;0,"ATENÇÃO",IF(K1754&lt;=5,"BOM","EXCELENTE")))</f>
        <v>BOM</v>
      </c>
      <c r="M1754">
        <v>30</v>
      </c>
      <c r="N1754">
        <v>98.11</v>
      </c>
      <c r="O1754">
        <v>33.033707865168537</v>
      </c>
    </row>
    <row r="1755" spans="1:15" hidden="1" x14ac:dyDescent="0.25">
      <c r="A1755" s="11">
        <v>46056</v>
      </c>
      <c r="B1755" t="s">
        <v>18</v>
      </c>
      <c r="C1755" t="s">
        <v>16</v>
      </c>
      <c r="D1755">
        <v>5</v>
      </c>
      <c r="E1755">
        <v>5</v>
      </c>
      <c r="F1755">
        <v>32.15</v>
      </c>
      <c r="G1755">
        <v>0</v>
      </c>
      <c r="H1755">
        <v>0</v>
      </c>
      <c r="I1755" s="3">
        <f>E1755+G1755+H1755</f>
        <v>5</v>
      </c>
      <c r="J1755" s="3">
        <f>ROUND(MIN(IF(C1755="Técnico III",35,IF(C1755="Técnico II",28,IF(C1755="Técnico I",23,IF(C1755="JR",20,IF(C1755="Estágio",10,0))))),IF(C1755="Técnico III",SUMIFS($D:$D,$A:$A,$A1755,$B:$B,"&lt;&gt;Patrícia Karla de Sousa Araújo",$B:$B,"&lt;&gt;Lorena Dias de Araujo",$B:$B,"&lt;&gt;Lucas Luiz Romero")*(35/1083),IF(C1755="Técnico II",SUMIFS($D:$D,$A:$A,$A1755,$B:$B,"&lt;&gt;Patrícia Karla de Sousa Araújo",$B:$B,"&lt;&gt;Lorena Dias de Araujo",$B:$B,"&lt;&gt;Lucas Luiz Romero")*(28/1083),IF(C1755="Técnico I",SUMIFS($D:$D,$A:$A,$A1755,$B:$B,"&lt;&gt;Patrícia Karla de Sousa Araújo",$B:$B,"&lt;&gt;Lorena Dias de Araujo",$B:$B,"&lt;&gt;Lucas Luiz Romero")*(23/1083),IF(C1755="JR",SUMIFS($D:$D,$A:$A,$A1755,$B:$B,"&lt;&gt;Patrícia Karla de Sousa Araújo",$B:$B,"&lt;&gt;Lorena Dias de Araujo",$B:$B,"&lt;&gt;Lucas Luiz Romero")*(20/1083),IF(C1755="Estágio",SUMIFS($D:$D,$A:$A,$A1755,$B:$B,"&lt;&gt;Patrícia Karla de Sousa Araújo",$B:$B,"&lt;&gt;Lorena Dias de Araujo",$B:$B,"&lt;&gt;Lucas Luiz Romero")*(10/1083),0)))))),0)</f>
        <v>9</v>
      </c>
      <c r="K1755" s="3">
        <f>I1755-J1755</f>
        <v>-4</v>
      </c>
      <c r="L1755" s="3" t="str">
        <f>IF(K1755&lt;-5,"CRÍTICO",IF(K1755&lt;0,"ATENÇÃO",IF(K1755&lt;=5,"BOM","EXCELENTE")))</f>
        <v>ATENÇÃO</v>
      </c>
      <c r="M1755">
        <v>6</v>
      </c>
      <c r="N1755">
        <v>78.95</v>
      </c>
      <c r="O1755">
        <v>38.983050847457633</v>
      </c>
    </row>
    <row r="1756" spans="1:15" hidden="1" x14ac:dyDescent="0.25">
      <c r="A1756" s="11">
        <v>46056</v>
      </c>
      <c r="B1756" t="s">
        <v>52</v>
      </c>
      <c r="C1756" t="s">
        <v>48</v>
      </c>
      <c r="D1756">
        <v>37</v>
      </c>
      <c r="E1756">
        <v>32</v>
      </c>
      <c r="F1756">
        <v>14.02</v>
      </c>
      <c r="G1756">
        <v>0</v>
      </c>
      <c r="H1756">
        <v>0</v>
      </c>
      <c r="I1756" s="3">
        <f>E1756+G1756+H1756</f>
        <v>32</v>
      </c>
      <c r="J1756" s="3">
        <f>ROUND(MIN(IF(C1756="Técnico III",35,IF(C1756="Técnico II",28,IF(C1756="Técnico I",23,IF(C1756="JR",20,IF(C1756="Estágio",10,0))))),IF(C1756="Técnico III",SUMIFS($D:$D,$A:$A,$A1756,$B:$B,"&lt;&gt;Patrícia Karla de Sousa Araújo",$B:$B,"&lt;&gt;Lorena Dias de Araujo",$B:$B,"&lt;&gt;Lucas Luiz Romero")*(35/1083),IF(C1756="Técnico II",SUMIFS($D:$D,$A:$A,$A1756,$B:$B,"&lt;&gt;Patrícia Karla de Sousa Araújo",$B:$B,"&lt;&gt;Lorena Dias de Araujo",$B:$B,"&lt;&gt;Lucas Luiz Romero")*(28/1083),IF(C1756="Técnico I",SUMIFS($D:$D,$A:$A,$A1756,$B:$B,"&lt;&gt;Patrícia Karla de Sousa Araújo",$B:$B,"&lt;&gt;Lorena Dias de Araujo",$B:$B,"&lt;&gt;Lucas Luiz Romero")*(23/1083),IF(C1756="JR",SUMIFS($D:$D,$A:$A,$A1756,$B:$B,"&lt;&gt;Patrícia Karla de Sousa Araújo",$B:$B,"&lt;&gt;Lorena Dias de Araujo",$B:$B,"&lt;&gt;Lucas Luiz Romero")*(20/1083),IF(C1756="Estágio",SUMIFS($D:$D,$A:$A,$A1756,$B:$B,"&lt;&gt;Patrícia Karla de Sousa Araújo",$B:$B,"&lt;&gt;Lorena Dias de Araujo",$B:$B,"&lt;&gt;Lucas Luiz Romero")*(10/1083),0)))))),0)</f>
        <v>25</v>
      </c>
      <c r="K1756" s="3">
        <f>I1756-J1756</f>
        <v>7</v>
      </c>
      <c r="L1756" s="3" t="str">
        <f>IF(K1756&lt;-5,"CRÍTICO",IF(K1756&lt;0,"ATENÇÃO",IF(K1756&lt;=5,"BOM","EXCELENTE")))</f>
        <v>EXCELENTE</v>
      </c>
      <c r="M1756">
        <v>31</v>
      </c>
      <c r="N1756">
        <v>98.45</v>
      </c>
      <c r="O1756">
        <v>29.281767955801101</v>
      </c>
    </row>
    <row r="1757" spans="1:15" hidden="1" x14ac:dyDescent="0.25">
      <c r="A1757" s="11">
        <v>46056</v>
      </c>
      <c r="B1757" t="s">
        <v>36</v>
      </c>
      <c r="C1757" t="s">
        <v>32</v>
      </c>
      <c r="D1757">
        <v>32</v>
      </c>
      <c r="E1757">
        <v>29</v>
      </c>
      <c r="F1757">
        <v>13.3</v>
      </c>
      <c r="G1757">
        <v>0</v>
      </c>
      <c r="H1757">
        <v>0</v>
      </c>
      <c r="I1757" s="3">
        <f>E1757+G1757+H1757</f>
        <v>29</v>
      </c>
      <c r="J1757" s="3">
        <f>ROUND(MIN(IF(C1757="Técnico III",35,IF(C1757="Técnico II",28,IF(C1757="Técnico I",23,IF(C1757="JR",20,IF(C1757="Estágio",10,0))))),IF(C1757="Técnico III",SUMIFS($D:$D,$A:$A,$A1757,$B:$B,"&lt;&gt;Patrícia Karla de Sousa Araújo",$B:$B,"&lt;&gt;Lorena Dias de Araujo",$B:$B,"&lt;&gt;Lucas Luiz Romero")*(35/1083),IF(C1757="Técnico II",SUMIFS($D:$D,$A:$A,$A1757,$B:$B,"&lt;&gt;Patrícia Karla de Sousa Araújo",$B:$B,"&lt;&gt;Lorena Dias de Araujo",$B:$B,"&lt;&gt;Lucas Luiz Romero")*(28/1083),IF(C1757="Técnico I",SUMIFS($D:$D,$A:$A,$A1757,$B:$B,"&lt;&gt;Patrícia Karla de Sousa Araújo",$B:$B,"&lt;&gt;Lorena Dias de Araujo",$B:$B,"&lt;&gt;Lucas Luiz Romero")*(23/1083),IF(C1757="JR",SUMIFS($D:$D,$A:$A,$A1757,$B:$B,"&lt;&gt;Patrícia Karla de Sousa Araújo",$B:$B,"&lt;&gt;Lorena Dias de Araujo",$B:$B,"&lt;&gt;Lucas Luiz Romero")*(20/1083),IF(C1757="Estágio",SUMIFS($D:$D,$A:$A,$A1757,$B:$B,"&lt;&gt;Patrícia Karla de Sousa Araújo",$B:$B,"&lt;&gt;Lorena Dias de Araujo",$B:$B,"&lt;&gt;Lucas Luiz Romero")*(10/1083),0)))))),0)</f>
        <v>32</v>
      </c>
      <c r="K1757" s="3">
        <f>I1757-J1757</f>
        <v>-3</v>
      </c>
      <c r="L1757" s="3" t="str">
        <f>IF(K1757&lt;-5,"CRÍTICO",IF(K1757&lt;0,"ATENÇÃO",IF(K1757&lt;=5,"BOM","EXCELENTE")))</f>
        <v>ATENÇÃO</v>
      </c>
      <c r="M1757">
        <v>30</v>
      </c>
      <c r="N1757">
        <v>97.84</v>
      </c>
      <c r="O1757">
        <v>26.282051282051281</v>
      </c>
    </row>
    <row r="1758" spans="1:15" hidden="1" x14ac:dyDescent="0.25">
      <c r="A1758" s="11">
        <v>46056</v>
      </c>
      <c r="B1758" t="s">
        <v>53</v>
      </c>
      <c r="C1758" t="s">
        <v>48</v>
      </c>
      <c r="D1758">
        <v>55</v>
      </c>
      <c r="E1758">
        <v>52</v>
      </c>
      <c r="F1758">
        <v>12.32</v>
      </c>
      <c r="G1758">
        <v>0</v>
      </c>
      <c r="H1758">
        <v>0</v>
      </c>
      <c r="I1758" s="3">
        <f>E1758+G1758+H1758</f>
        <v>52</v>
      </c>
      <c r="J1758" s="3">
        <f>ROUND(MIN(IF(C1758="Técnico III",35,IF(C1758="Técnico II",28,IF(C1758="Técnico I",23,IF(C1758="JR",20,IF(C1758="Estágio",10,0))))),IF(C1758="Técnico III",SUMIFS($D:$D,$A:$A,$A1758,$B:$B,"&lt;&gt;Patrícia Karla de Sousa Araújo",$B:$B,"&lt;&gt;Lorena Dias de Araujo",$B:$B,"&lt;&gt;Lucas Luiz Romero")*(35/1083),IF(C1758="Técnico II",SUMIFS($D:$D,$A:$A,$A1758,$B:$B,"&lt;&gt;Patrícia Karla de Sousa Araújo",$B:$B,"&lt;&gt;Lorena Dias de Araujo",$B:$B,"&lt;&gt;Lucas Luiz Romero")*(28/1083),IF(C1758="Técnico I",SUMIFS($D:$D,$A:$A,$A1758,$B:$B,"&lt;&gt;Patrícia Karla de Sousa Araújo",$B:$B,"&lt;&gt;Lorena Dias de Araujo",$B:$B,"&lt;&gt;Lucas Luiz Romero")*(23/1083),IF(C1758="JR",SUMIFS($D:$D,$A:$A,$A1758,$B:$B,"&lt;&gt;Patrícia Karla de Sousa Araújo",$B:$B,"&lt;&gt;Lorena Dias de Araujo",$B:$B,"&lt;&gt;Lucas Luiz Romero")*(20/1083),IF(C1758="Estágio",SUMIFS($D:$D,$A:$A,$A1758,$B:$B,"&lt;&gt;Patrícia Karla de Sousa Araújo",$B:$B,"&lt;&gt;Lorena Dias de Araujo",$B:$B,"&lt;&gt;Lucas Luiz Romero")*(10/1083),0)))))),0)</f>
        <v>25</v>
      </c>
      <c r="K1758" s="3">
        <f>I1758-J1758</f>
        <v>27</v>
      </c>
      <c r="L1758" s="3" t="str">
        <f>IF(K1758&lt;-5,"CRÍTICO",IF(K1758&lt;0,"ATENÇÃO",IF(K1758&lt;=5,"BOM","EXCELENTE")))</f>
        <v>EXCELENTE</v>
      </c>
      <c r="M1758">
        <v>49</v>
      </c>
      <c r="N1758">
        <v>98.5</v>
      </c>
      <c r="O1758">
        <v>23.97769516728625</v>
      </c>
    </row>
    <row r="1759" spans="1:15" hidden="1" x14ac:dyDescent="0.25">
      <c r="A1759" s="11">
        <v>46090</v>
      </c>
      <c r="B1759" t="s">
        <v>22</v>
      </c>
      <c r="C1759" t="s">
        <v>23</v>
      </c>
      <c r="D1759">
        <v>31</v>
      </c>
      <c r="E1759">
        <v>29</v>
      </c>
      <c r="F1759">
        <v>18.329999999999998</v>
      </c>
      <c r="G1759">
        <v>0</v>
      </c>
      <c r="H1759">
        <v>0</v>
      </c>
      <c r="I1759" s="3">
        <f>E1759+G1759+H1759</f>
        <v>29</v>
      </c>
      <c r="J1759" s="3">
        <f>ROUND(MIN(IF(C1759="Técnico III",35,IF(C1759="Técnico II",28,IF(C1759="Técnico I",23,IF(C1759="JR",20,IF(C1759="Estágio",10,0))))),IF(C1759="Técnico III",SUMIFS($D:$D,$A:$A,$A1759,$B:$B,"&lt;&gt;Patrícia Karla de Sousa Araújo",$B:$B,"&lt;&gt;Lorena Dias de Araujo",$B:$B,"&lt;&gt;Lucas Luiz Romero")*(35/1083),IF(C1759="Técnico II",SUMIFS($D:$D,$A:$A,$A1759,$B:$B,"&lt;&gt;Patrícia Karla de Sousa Araújo",$B:$B,"&lt;&gt;Lorena Dias de Araujo",$B:$B,"&lt;&gt;Lucas Luiz Romero")*(28/1083),IF(C1759="Técnico I",SUMIFS($D:$D,$A:$A,$A1759,$B:$B,"&lt;&gt;Patrícia Karla de Sousa Araújo",$B:$B,"&lt;&gt;Lorena Dias de Araujo",$B:$B,"&lt;&gt;Lucas Luiz Romero")*(23/1083),IF(C1759="JR",SUMIFS($D:$D,$A:$A,$A1759,$B:$B,"&lt;&gt;Patrícia Karla de Sousa Araújo",$B:$B,"&lt;&gt;Lorena Dias de Araujo",$B:$B,"&lt;&gt;Lucas Luiz Romero")*(20/1083),IF(C1759="Estágio",SUMIFS($D:$D,$A:$A,$A1759,$B:$B,"&lt;&gt;Patrícia Karla de Sousa Araújo",$B:$B,"&lt;&gt;Lorena Dias de Araujo",$B:$B,"&lt;&gt;Lucas Luiz Romero")*(10/1083),0)))))),0)</f>
        <v>14</v>
      </c>
      <c r="K1759" s="3">
        <f>I1759-J1759</f>
        <v>15</v>
      </c>
      <c r="L1759" s="3" t="str">
        <f>IF(K1759&lt;-5,"CRÍTICO",IF(K1759&lt;0,"ATENÇÃO",IF(K1759&lt;=5,"BOM","EXCELENTE")))</f>
        <v>EXCELENTE</v>
      </c>
      <c r="M1759">
        <v>28</v>
      </c>
      <c r="N1759">
        <v>99.05</v>
      </c>
      <c r="O1759">
        <v>26.621923937360179</v>
      </c>
    </row>
    <row r="1760" spans="1:15" hidden="1" x14ac:dyDescent="0.25">
      <c r="A1760" s="11">
        <v>46056</v>
      </c>
      <c r="B1760" t="s">
        <v>54</v>
      </c>
      <c r="C1760" t="s">
        <v>48</v>
      </c>
      <c r="D1760">
        <v>31</v>
      </c>
      <c r="E1760">
        <v>30</v>
      </c>
      <c r="F1760">
        <v>22.33</v>
      </c>
      <c r="G1760">
        <v>0</v>
      </c>
      <c r="H1760">
        <v>0</v>
      </c>
      <c r="I1760" s="3">
        <f>E1760+G1760+H1760</f>
        <v>30</v>
      </c>
      <c r="J1760" s="3">
        <f>ROUND(MIN(IF(C1760="Técnico III",35,IF(C1760="Técnico II",28,IF(C1760="Técnico I",23,IF(C1760="JR",20,IF(C1760="Estágio",10,0))))),IF(C1760="Técnico III",SUMIFS($D:$D,$A:$A,$A1760,$B:$B,"&lt;&gt;Patrícia Karla de Sousa Araújo",$B:$B,"&lt;&gt;Lorena Dias de Araujo",$B:$B,"&lt;&gt;Lucas Luiz Romero")*(35/1083),IF(C1760="Técnico II",SUMIFS($D:$D,$A:$A,$A1760,$B:$B,"&lt;&gt;Patrícia Karla de Sousa Araújo",$B:$B,"&lt;&gt;Lorena Dias de Araujo",$B:$B,"&lt;&gt;Lucas Luiz Romero")*(28/1083),IF(C1760="Técnico I",SUMIFS($D:$D,$A:$A,$A1760,$B:$B,"&lt;&gt;Patrícia Karla de Sousa Araújo",$B:$B,"&lt;&gt;Lorena Dias de Araujo",$B:$B,"&lt;&gt;Lucas Luiz Romero")*(23/1083),IF(C1760="JR",SUMIFS($D:$D,$A:$A,$A1760,$B:$B,"&lt;&gt;Patrícia Karla de Sousa Araújo",$B:$B,"&lt;&gt;Lorena Dias de Araujo",$B:$B,"&lt;&gt;Lucas Luiz Romero")*(20/1083),IF(C1760="Estágio",SUMIFS($D:$D,$A:$A,$A1760,$B:$B,"&lt;&gt;Patrícia Karla de Sousa Araújo",$B:$B,"&lt;&gt;Lorena Dias de Araujo",$B:$B,"&lt;&gt;Lucas Luiz Romero")*(10/1083),0)))))),0)</f>
        <v>25</v>
      </c>
      <c r="K1760" s="3">
        <f>I1760-J1760</f>
        <v>5</v>
      </c>
      <c r="L1760" s="3" t="str">
        <f>IF(K1760&lt;-5,"CRÍTICO",IF(K1760&lt;0,"ATENÇÃO",IF(K1760&lt;=5,"BOM","EXCELENTE")))</f>
        <v>BOM</v>
      </c>
      <c r="M1760">
        <v>28</v>
      </c>
      <c r="N1760">
        <v>98.53</v>
      </c>
      <c r="O1760">
        <v>31.578947368421051</v>
      </c>
    </row>
    <row r="1761" spans="1:15" hidden="1" x14ac:dyDescent="0.25">
      <c r="A1761" s="11">
        <v>46056</v>
      </c>
      <c r="B1761" t="s">
        <v>37</v>
      </c>
      <c r="C1761" t="s">
        <v>32</v>
      </c>
      <c r="D1761">
        <v>49</v>
      </c>
      <c r="E1761">
        <v>45</v>
      </c>
      <c r="F1761">
        <v>15.21</v>
      </c>
      <c r="G1761">
        <v>0</v>
      </c>
      <c r="H1761">
        <v>0</v>
      </c>
      <c r="I1761" s="3">
        <f>E1761+G1761+H1761</f>
        <v>45</v>
      </c>
      <c r="J1761" s="3">
        <f>ROUND(MIN(IF(C1761="Técnico III",35,IF(C1761="Técnico II",28,IF(C1761="Técnico I",23,IF(C1761="JR",20,IF(C1761="Estágio",10,0))))),IF(C1761="Técnico III",SUMIFS($D:$D,$A:$A,$A1761,$B:$B,"&lt;&gt;Patrícia Karla de Sousa Araújo",$B:$B,"&lt;&gt;Lorena Dias de Araujo",$B:$B,"&lt;&gt;Lucas Luiz Romero")*(35/1083),IF(C1761="Técnico II",SUMIFS($D:$D,$A:$A,$A1761,$B:$B,"&lt;&gt;Patrícia Karla de Sousa Araújo",$B:$B,"&lt;&gt;Lorena Dias de Araujo",$B:$B,"&lt;&gt;Lucas Luiz Romero")*(28/1083),IF(C1761="Técnico I",SUMIFS($D:$D,$A:$A,$A1761,$B:$B,"&lt;&gt;Patrícia Karla de Sousa Araújo",$B:$B,"&lt;&gt;Lorena Dias de Araujo",$B:$B,"&lt;&gt;Lucas Luiz Romero")*(23/1083),IF(C1761="JR",SUMIFS($D:$D,$A:$A,$A1761,$B:$B,"&lt;&gt;Patrícia Karla de Sousa Araújo",$B:$B,"&lt;&gt;Lorena Dias de Araujo",$B:$B,"&lt;&gt;Lucas Luiz Romero")*(20/1083),IF(C1761="Estágio",SUMIFS($D:$D,$A:$A,$A1761,$B:$B,"&lt;&gt;Patrícia Karla de Sousa Araújo",$B:$B,"&lt;&gt;Lorena Dias de Araujo",$B:$B,"&lt;&gt;Lucas Luiz Romero")*(10/1083),0)))))),0)</f>
        <v>32</v>
      </c>
      <c r="K1761" s="3">
        <f>I1761-J1761</f>
        <v>13</v>
      </c>
      <c r="L1761" s="3" t="str">
        <f>IF(K1761&lt;-5,"CRÍTICO",IF(K1761&lt;0,"ATENÇÃO",IF(K1761&lt;=5,"BOM","EXCELENTE")))</f>
        <v>EXCELENTE</v>
      </c>
      <c r="M1761">
        <v>44</v>
      </c>
      <c r="N1761">
        <v>100</v>
      </c>
      <c r="O1761">
        <v>25.72214580467676</v>
      </c>
    </row>
    <row r="1762" spans="1:15" hidden="1" x14ac:dyDescent="0.25">
      <c r="A1762" s="11">
        <v>46056</v>
      </c>
      <c r="B1762" t="s">
        <v>38</v>
      </c>
      <c r="C1762" t="s">
        <v>32</v>
      </c>
      <c r="D1762">
        <v>49</v>
      </c>
      <c r="E1762">
        <v>43</v>
      </c>
      <c r="F1762">
        <v>10.43</v>
      </c>
      <c r="G1762">
        <v>0</v>
      </c>
      <c r="H1762">
        <v>0</v>
      </c>
      <c r="I1762" s="3">
        <f>E1762+G1762+H1762</f>
        <v>43</v>
      </c>
      <c r="J1762" s="3">
        <f>ROUND(MIN(IF(C1762="Técnico III",35,IF(C1762="Técnico II",28,IF(C1762="Técnico I",23,IF(C1762="JR",20,IF(C1762="Estágio",10,0))))),IF(C1762="Técnico III",SUMIFS($D:$D,$A:$A,$A1762,$B:$B,"&lt;&gt;Patrícia Karla de Sousa Araújo",$B:$B,"&lt;&gt;Lorena Dias de Araujo",$B:$B,"&lt;&gt;Lucas Luiz Romero")*(35/1083),IF(C1762="Técnico II",SUMIFS($D:$D,$A:$A,$A1762,$B:$B,"&lt;&gt;Patrícia Karla de Sousa Araújo",$B:$B,"&lt;&gt;Lorena Dias de Araujo",$B:$B,"&lt;&gt;Lucas Luiz Romero")*(28/1083),IF(C1762="Técnico I",SUMIFS($D:$D,$A:$A,$A1762,$B:$B,"&lt;&gt;Patrícia Karla de Sousa Araújo",$B:$B,"&lt;&gt;Lorena Dias de Araujo",$B:$B,"&lt;&gt;Lucas Luiz Romero")*(23/1083),IF(C1762="JR",SUMIFS($D:$D,$A:$A,$A1762,$B:$B,"&lt;&gt;Patrícia Karla de Sousa Araújo",$B:$B,"&lt;&gt;Lorena Dias de Araujo",$B:$B,"&lt;&gt;Lucas Luiz Romero")*(20/1083),IF(C1762="Estágio",SUMIFS($D:$D,$A:$A,$A1762,$B:$B,"&lt;&gt;Patrícia Karla de Sousa Araújo",$B:$B,"&lt;&gt;Lorena Dias de Araujo",$B:$B,"&lt;&gt;Lucas Luiz Romero")*(10/1083),0)))))),0)</f>
        <v>32</v>
      </c>
      <c r="K1762" s="3">
        <f>I1762-J1762</f>
        <v>11</v>
      </c>
      <c r="L1762" s="3" t="str">
        <f>IF(K1762&lt;-5,"CRÍTICO",IF(K1762&lt;0,"ATENÇÃO",IF(K1762&lt;=5,"BOM","EXCELENTE")))</f>
        <v>EXCELENTE</v>
      </c>
      <c r="M1762">
        <v>43</v>
      </c>
      <c r="N1762">
        <v>94.64</v>
      </c>
      <c r="O1762">
        <v>27.52941176470588</v>
      </c>
    </row>
    <row r="1763" spans="1:15" hidden="1" x14ac:dyDescent="0.25">
      <c r="A1763" s="11">
        <v>46056</v>
      </c>
      <c r="B1763" t="s">
        <v>55</v>
      </c>
      <c r="C1763" t="s">
        <v>48</v>
      </c>
      <c r="D1763">
        <v>34</v>
      </c>
      <c r="E1763">
        <v>30</v>
      </c>
      <c r="F1763">
        <v>14.19</v>
      </c>
      <c r="G1763">
        <v>0</v>
      </c>
      <c r="H1763">
        <v>0</v>
      </c>
      <c r="I1763" s="3">
        <f>E1763+G1763+H1763</f>
        <v>30</v>
      </c>
      <c r="J1763" s="3">
        <f>ROUND(MIN(IF(C1763="Técnico III",35,IF(C1763="Técnico II",28,IF(C1763="Técnico I",23,IF(C1763="JR",20,IF(C1763="Estágio",10,0))))),IF(C1763="Técnico III",SUMIFS($D:$D,$A:$A,$A1763,$B:$B,"&lt;&gt;Patrícia Karla de Sousa Araújo",$B:$B,"&lt;&gt;Lorena Dias de Araujo",$B:$B,"&lt;&gt;Lucas Luiz Romero")*(35/1083),IF(C1763="Técnico II",SUMIFS($D:$D,$A:$A,$A1763,$B:$B,"&lt;&gt;Patrícia Karla de Sousa Araújo",$B:$B,"&lt;&gt;Lorena Dias de Araujo",$B:$B,"&lt;&gt;Lucas Luiz Romero")*(28/1083),IF(C1763="Técnico I",SUMIFS($D:$D,$A:$A,$A1763,$B:$B,"&lt;&gt;Patrícia Karla de Sousa Araújo",$B:$B,"&lt;&gt;Lorena Dias de Araujo",$B:$B,"&lt;&gt;Lucas Luiz Romero")*(23/1083),IF(C1763="JR",SUMIFS($D:$D,$A:$A,$A1763,$B:$B,"&lt;&gt;Patrícia Karla de Sousa Araújo",$B:$B,"&lt;&gt;Lorena Dias de Araujo",$B:$B,"&lt;&gt;Lucas Luiz Romero")*(20/1083),IF(C1763="Estágio",SUMIFS($D:$D,$A:$A,$A1763,$B:$B,"&lt;&gt;Patrícia Karla de Sousa Araújo",$B:$B,"&lt;&gt;Lorena Dias de Araujo",$B:$B,"&lt;&gt;Lucas Luiz Romero")*(10/1083),0)))))),0)</f>
        <v>25</v>
      </c>
      <c r="K1763" s="3">
        <f>I1763-J1763</f>
        <v>5</v>
      </c>
      <c r="L1763" s="3" t="str">
        <f>IF(K1763&lt;-5,"CRÍTICO",IF(K1763&lt;0,"ATENÇÃO",IF(K1763&lt;=5,"BOM","EXCELENTE")))</f>
        <v>BOM</v>
      </c>
      <c r="M1763">
        <v>29</v>
      </c>
      <c r="N1763">
        <v>99.07</v>
      </c>
      <c r="O1763">
        <v>26.376811594202898</v>
      </c>
    </row>
    <row r="1764" spans="1:15" hidden="1" x14ac:dyDescent="0.25">
      <c r="A1764" s="11">
        <v>46056</v>
      </c>
      <c r="B1764" t="s">
        <v>39</v>
      </c>
      <c r="C1764" t="s">
        <v>32</v>
      </c>
      <c r="D1764">
        <v>0</v>
      </c>
      <c r="E1764">
        <v>0</v>
      </c>
      <c r="F1764">
        <v>0</v>
      </c>
      <c r="G1764">
        <v>0</v>
      </c>
      <c r="H1764">
        <v>0</v>
      </c>
      <c r="I1764" s="3">
        <v>0</v>
      </c>
      <c r="J1764" s="3">
        <v>0</v>
      </c>
      <c r="K1764" s="3">
        <v>0</v>
      </c>
      <c r="L1764" s="3" t="str">
        <f>IF(K1764&lt;-5,"CRÍTICO",IF(K1764&lt;0,"ATENÇÃO",IF(K1764&lt;=5,"BOM","EXCELENTE")))</f>
        <v>BOM</v>
      </c>
      <c r="M1764">
        <v>0</v>
      </c>
      <c r="N1764">
        <v>100</v>
      </c>
      <c r="O1764">
        <v>0</v>
      </c>
    </row>
    <row r="1765" spans="1:15" hidden="1" x14ac:dyDescent="0.25">
      <c r="A1765" s="11">
        <v>46056</v>
      </c>
      <c r="B1765" t="s">
        <v>25</v>
      </c>
      <c r="C1765" t="s">
        <v>26</v>
      </c>
      <c r="D1765">
        <v>14</v>
      </c>
      <c r="E1765">
        <v>13</v>
      </c>
      <c r="F1765">
        <v>20.53</v>
      </c>
      <c r="G1765">
        <v>0</v>
      </c>
      <c r="H1765">
        <v>0</v>
      </c>
      <c r="I1765" s="3">
        <f>E1765+G1765+H1765</f>
        <v>13</v>
      </c>
      <c r="J1765" s="3">
        <f>ROUND(MIN(IF(C1765="Técnico III",35,IF(C1765="Técnico II",28,IF(C1765="Técnico I",23,IF(C1765="JR",20,IF(C1765="Estágio",10,0))))),IF(C1765="Técnico III",SUMIFS($D:$D,$A:$A,$A1765,$B:$B,"&lt;&gt;Patrícia Karla de Sousa Araújo",$B:$B,"&lt;&gt;Lorena Dias de Araujo",$B:$B,"&lt;&gt;Lucas Luiz Romero")*(35/1083),IF(C1765="Técnico II",SUMIFS($D:$D,$A:$A,$A1765,$B:$B,"&lt;&gt;Patrícia Karla de Sousa Araújo",$B:$B,"&lt;&gt;Lorena Dias de Araujo",$B:$B,"&lt;&gt;Lucas Luiz Romero")*(28/1083),IF(C1765="Técnico I",SUMIFS($D:$D,$A:$A,$A1765,$B:$B,"&lt;&gt;Patrícia Karla de Sousa Araújo",$B:$B,"&lt;&gt;Lorena Dias de Araujo",$B:$B,"&lt;&gt;Lucas Luiz Romero")*(23/1083),IF(C1765="JR",SUMIFS($D:$D,$A:$A,$A1765,$B:$B,"&lt;&gt;Patrícia Karla de Sousa Araújo",$B:$B,"&lt;&gt;Lorena Dias de Araujo",$B:$B,"&lt;&gt;Lucas Luiz Romero")*(20/1083),IF(C1765="Estágio",SUMIFS($D:$D,$A:$A,$A1765,$B:$B,"&lt;&gt;Patrícia Karla de Sousa Araújo",$B:$B,"&lt;&gt;Lorena Dias de Araujo",$B:$B,"&lt;&gt;Lucas Luiz Romero")*(10/1083),0)))))),0)</f>
        <v>18</v>
      </c>
      <c r="K1765" s="3">
        <f>I1765-J1765</f>
        <v>-5</v>
      </c>
      <c r="L1765" s="3" t="str">
        <f>IF(K1765&lt;-5,"CRÍTICO",IF(K1765&lt;0,"ATENÇÃO",IF(K1765&lt;=5,"BOM","EXCELENTE")))</f>
        <v>ATENÇÃO</v>
      </c>
      <c r="M1765">
        <v>16</v>
      </c>
      <c r="N1765">
        <v>98.48</v>
      </c>
      <c r="O1765">
        <v>27.853881278538811</v>
      </c>
    </row>
    <row r="1766" spans="1:15" hidden="1" x14ac:dyDescent="0.25">
      <c r="A1766" s="11">
        <v>46056</v>
      </c>
      <c r="B1766" t="s">
        <v>40</v>
      </c>
      <c r="C1766" t="s">
        <v>32</v>
      </c>
      <c r="D1766">
        <v>13</v>
      </c>
      <c r="E1766">
        <v>12</v>
      </c>
      <c r="F1766">
        <v>48.45</v>
      </c>
      <c r="G1766">
        <v>0</v>
      </c>
      <c r="H1766">
        <v>0</v>
      </c>
      <c r="I1766" s="3">
        <f>E1766+G1766+H1766</f>
        <v>12</v>
      </c>
      <c r="J1766" s="3">
        <f>ROUND(MIN(IF(C1766="Técnico III",35,IF(C1766="Técnico II",28,IF(C1766="Técnico I",23,IF(C1766="JR",20,IF(C1766="Estágio",10,0))))),IF(C1766="Técnico III",SUMIFS($D:$D,$A:$A,$A1766,$B:$B,"&lt;&gt;Patrícia Karla de Sousa Araújo",$B:$B,"&lt;&gt;Lorena Dias de Araujo",$B:$B,"&lt;&gt;Lucas Luiz Romero")*(35/1083),IF(C1766="Técnico II",SUMIFS($D:$D,$A:$A,$A1766,$B:$B,"&lt;&gt;Patrícia Karla de Sousa Araújo",$B:$B,"&lt;&gt;Lorena Dias de Araujo",$B:$B,"&lt;&gt;Lucas Luiz Romero")*(28/1083),IF(C1766="Técnico I",SUMIFS($D:$D,$A:$A,$A1766,$B:$B,"&lt;&gt;Patrícia Karla de Sousa Araújo",$B:$B,"&lt;&gt;Lorena Dias de Araujo",$B:$B,"&lt;&gt;Lucas Luiz Romero")*(23/1083),IF(C1766="JR",SUMIFS($D:$D,$A:$A,$A1766,$B:$B,"&lt;&gt;Patrícia Karla de Sousa Araújo",$B:$B,"&lt;&gt;Lorena Dias de Araujo",$B:$B,"&lt;&gt;Lucas Luiz Romero")*(20/1083),IF(C1766="Estágio",SUMIFS($D:$D,$A:$A,$A1766,$B:$B,"&lt;&gt;Patrícia Karla de Sousa Araújo",$B:$B,"&lt;&gt;Lorena Dias de Araujo",$B:$B,"&lt;&gt;Lucas Luiz Romero")*(10/1083),0)))))),0)</f>
        <v>32</v>
      </c>
      <c r="K1766" s="3">
        <f>I1766-J1766</f>
        <v>-20</v>
      </c>
      <c r="L1766" s="3" t="str">
        <f>IF(K1766&lt;-5,"CRÍTICO",IF(K1766&lt;0,"ATENÇÃO",IF(K1766&lt;=5,"BOM","EXCELENTE")))</f>
        <v>CRÍTICO</v>
      </c>
      <c r="M1766">
        <v>11</v>
      </c>
      <c r="N1766">
        <v>95.15</v>
      </c>
      <c r="O1766">
        <v>34.131736526946113</v>
      </c>
    </row>
    <row r="1767" spans="1:15" hidden="1" x14ac:dyDescent="0.25">
      <c r="A1767" s="11">
        <v>46056</v>
      </c>
      <c r="B1767" t="s">
        <v>27</v>
      </c>
      <c r="C1767" t="s">
        <v>26</v>
      </c>
      <c r="D1767">
        <v>0</v>
      </c>
      <c r="E1767">
        <v>0</v>
      </c>
      <c r="F1767">
        <v>0</v>
      </c>
      <c r="G1767">
        <v>0</v>
      </c>
      <c r="H1767">
        <v>0</v>
      </c>
      <c r="I1767" s="3">
        <v>0</v>
      </c>
      <c r="J1767" s="3">
        <v>0</v>
      </c>
      <c r="K1767" s="3">
        <v>0</v>
      </c>
      <c r="L1767" s="3" t="str">
        <f>IF(K1767&lt;-5,"CRÍTICO",IF(K1767&lt;0,"ATENÇÃO",IF(K1767&lt;=5,"BOM","EXCELENTE")))</f>
        <v>BOM</v>
      </c>
      <c r="M1767">
        <v>0</v>
      </c>
      <c r="N1767">
        <v>0</v>
      </c>
      <c r="O1767">
        <v>0</v>
      </c>
    </row>
    <row r="1768" spans="1:15" hidden="1" x14ac:dyDescent="0.25">
      <c r="A1768" s="11">
        <v>46056</v>
      </c>
      <c r="B1768" t="s">
        <v>41</v>
      </c>
      <c r="C1768" t="s">
        <v>32</v>
      </c>
      <c r="D1768">
        <v>26</v>
      </c>
      <c r="E1768">
        <v>25</v>
      </c>
      <c r="F1768">
        <v>22.08</v>
      </c>
      <c r="G1768">
        <v>0</v>
      </c>
      <c r="H1768">
        <v>0</v>
      </c>
      <c r="I1768" s="3">
        <f>E1768+G1768+H1768</f>
        <v>25</v>
      </c>
      <c r="J1768" s="3">
        <f>ROUND(MIN(IF(C1768="Técnico III",35,IF(C1768="Técnico II",28,IF(C1768="Técnico I",23,IF(C1768="JR",20,IF(C1768="Estágio",10,0))))),IF(C1768="Técnico III",SUMIFS($D:$D,$A:$A,$A1768,$B:$B,"&lt;&gt;Patrícia Karla de Sousa Araújo",$B:$B,"&lt;&gt;Lorena Dias de Araujo",$B:$B,"&lt;&gt;Lucas Luiz Romero")*(35/1083),IF(C1768="Técnico II",SUMIFS($D:$D,$A:$A,$A1768,$B:$B,"&lt;&gt;Patrícia Karla de Sousa Araújo",$B:$B,"&lt;&gt;Lorena Dias de Araujo",$B:$B,"&lt;&gt;Lucas Luiz Romero")*(28/1083),IF(C1768="Técnico I",SUMIFS($D:$D,$A:$A,$A1768,$B:$B,"&lt;&gt;Patrícia Karla de Sousa Araújo",$B:$B,"&lt;&gt;Lorena Dias de Araujo",$B:$B,"&lt;&gt;Lucas Luiz Romero")*(23/1083),IF(C1768="JR",SUMIFS($D:$D,$A:$A,$A1768,$B:$B,"&lt;&gt;Patrícia Karla de Sousa Araújo",$B:$B,"&lt;&gt;Lorena Dias de Araujo",$B:$B,"&lt;&gt;Lucas Luiz Romero")*(20/1083),IF(C1768="Estágio",SUMIFS($D:$D,$A:$A,$A1768,$B:$B,"&lt;&gt;Patrícia Karla de Sousa Araújo",$B:$B,"&lt;&gt;Lorena Dias de Araujo",$B:$B,"&lt;&gt;Lucas Luiz Romero")*(10/1083),0)))))),0)</f>
        <v>32</v>
      </c>
      <c r="K1768" s="3">
        <f>I1768-J1768</f>
        <v>-7</v>
      </c>
      <c r="L1768" s="3" t="str">
        <f>IF(K1768&lt;-5,"CRÍTICO",IF(K1768&lt;0,"ATENÇÃO",IF(K1768&lt;=5,"BOM","EXCELENTE")))</f>
        <v>CRÍTICO</v>
      </c>
      <c r="M1768">
        <v>24</v>
      </c>
      <c r="N1768">
        <v>99.26</v>
      </c>
      <c r="O1768">
        <v>30.84832904884319</v>
      </c>
    </row>
    <row r="1769" spans="1:15" hidden="1" x14ac:dyDescent="0.25">
      <c r="A1769" s="11">
        <v>46056</v>
      </c>
      <c r="B1769" t="s">
        <v>56</v>
      </c>
      <c r="C1769" t="s">
        <v>48</v>
      </c>
      <c r="D1769">
        <v>43</v>
      </c>
      <c r="E1769">
        <v>37</v>
      </c>
      <c r="F1769">
        <v>17.190000000000001</v>
      </c>
      <c r="G1769">
        <v>0</v>
      </c>
      <c r="H1769">
        <v>0</v>
      </c>
      <c r="I1769" s="3">
        <f>E1769+G1769+H1769</f>
        <v>37</v>
      </c>
      <c r="J1769" s="3">
        <f>ROUND(MIN(IF(C1769="Técnico III",35,IF(C1769="Técnico II",28,IF(C1769="Técnico I",23,IF(C1769="JR",20,IF(C1769="Estágio",10,0))))),IF(C1769="Técnico III",SUMIFS($D:$D,$A:$A,$A1769,$B:$B,"&lt;&gt;Patrícia Karla de Sousa Araújo",$B:$B,"&lt;&gt;Lorena Dias de Araujo",$B:$B,"&lt;&gt;Lucas Luiz Romero")*(35/1083),IF(C1769="Técnico II",SUMIFS($D:$D,$A:$A,$A1769,$B:$B,"&lt;&gt;Patrícia Karla de Sousa Araújo",$B:$B,"&lt;&gt;Lorena Dias de Araujo",$B:$B,"&lt;&gt;Lucas Luiz Romero")*(28/1083),IF(C1769="Técnico I",SUMIFS($D:$D,$A:$A,$A1769,$B:$B,"&lt;&gt;Patrícia Karla de Sousa Araújo",$B:$B,"&lt;&gt;Lorena Dias de Araujo",$B:$B,"&lt;&gt;Lucas Luiz Romero")*(23/1083),IF(C1769="JR",SUMIFS($D:$D,$A:$A,$A1769,$B:$B,"&lt;&gt;Patrícia Karla de Sousa Araújo",$B:$B,"&lt;&gt;Lorena Dias de Araujo",$B:$B,"&lt;&gt;Lucas Luiz Romero")*(20/1083),IF(C1769="Estágio",SUMIFS($D:$D,$A:$A,$A1769,$B:$B,"&lt;&gt;Patrícia Karla de Sousa Araújo",$B:$B,"&lt;&gt;Lorena Dias de Araujo",$B:$B,"&lt;&gt;Lucas Luiz Romero")*(10/1083),0)))))),0)</f>
        <v>25</v>
      </c>
      <c r="K1769" s="3">
        <f>I1769-J1769</f>
        <v>12</v>
      </c>
      <c r="L1769" s="3" t="str">
        <f>IF(K1769&lt;-5,"CRÍTICO",IF(K1769&lt;0,"ATENÇÃO",IF(K1769&lt;=5,"BOM","EXCELENTE")))</f>
        <v>EXCELENTE</v>
      </c>
      <c r="M1769">
        <v>26</v>
      </c>
      <c r="N1769">
        <v>97.48</v>
      </c>
      <c r="O1769">
        <v>27.764705882352938</v>
      </c>
    </row>
    <row r="1770" spans="1:15" hidden="1" x14ac:dyDescent="0.25">
      <c r="A1770" s="11">
        <v>46056</v>
      </c>
      <c r="B1770" t="s">
        <v>57</v>
      </c>
      <c r="C1770" t="s">
        <v>48</v>
      </c>
      <c r="D1770">
        <v>33</v>
      </c>
      <c r="E1770">
        <v>32</v>
      </c>
      <c r="F1770">
        <v>19.14</v>
      </c>
      <c r="G1770">
        <v>0</v>
      </c>
      <c r="H1770">
        <v>0</v>
      </c>
      <c r="I1770" s="3">
        <v>0</v>
      </c>
      <c r="J1770" s="3">
        <v>0</v>
      </c>
      <c r="K1770" s="3">
        <v>0</v>
      </c>
      <c r="L1770" s="3" t="str">
        <f>IF(K1770&lt;-5,"CRÍTICO",IF(K1770&lt;0,"ATENÇÃO",IF(K1770&lt;=5,"BOM","EXCELENTE")))</f>
        <v>BOM</v>
      </c>
      <c r="M1770">
        <v>33</v>
      </c>
      <c r="N1770">
        <v>99.34</v>
      </c>
      <c r="O1770">
        <v>30.04291845493562</v>
      </c>
    </row>
    <row r="1771" spans="1:15" hidden="1" x14ac:dyDescent="0.25">
      <c r="A1771" s="11">
        <v>46056</v>
      </c>
      <c r="B1771" t="s">
        <v>42</v>
      </c>
      <c r="C1771" t="s">
        <v>32</v>
      </c>
      <c r="D1771">
        <v>12</v>
      </c>
      <c r="E1771">
        <v>8</v>
      </c>
      <c r="F1771">
        <v>12.11</v>
      </c>
      <c r="G1771">
        <v>0</v>
      </c>
      <c r="H1771">
        <v>0</v>
      </c>
      <c r="I1771" s="3">
        <f>E1771+G1771+H1771</f>
        <v>8</v>
      </c>
      <c r="J1771" s="3">
        <f>ROUND(MIN(IF(C1771="Técnico III",35,IF(C1771="Técnico II",28,IF(C1771="Técnico I",23,IF(C1771="JR",20,IF(C1771="Estágio",10,0))))),IF(C1771="Técnico III",SUMIFS($D:$D,$A:$A,$A1771,$B:$B,"&lt;&gt;Patrícia Karla de Sousa Araújo",$B:$B,"&lt;&gt;Lorena Dias de Araujo",$B:$B,"&lt;&gt;Lucas Luiz Romero")*(35/1083),IF(C1771="Técnico II",SUMIFS($D:$D,$A:$A,$A1771,$B:$B,"&lt;&gt;Patrícia Karla de Sousa Araújo",$B:$B,"&lt;&gt;Lorena Dias de Araujo",$B:$B,"&lt;&gt;Lucas Luiz Romero")*(28/1083),IF(C1771="Técnico I",SUMIFS($D:$D,$A:$A,$A1771,$B:$B,"&lt;&gt;Patrícia Karla de Sousa Araújo",$B:$B,"&lt;&gt;Lorena Dias de Araujo",$B:$B,"&lt;&gt;Lucas Luiz Romero")*(23/1083),IF(C1771="JR",SUMIFS($D:$D,$A:$A,$A1771,$B:$B,"&lt;&gt;Patrícia Karla de Sousa Araújo",$B:$B,"&lt;&gt;Lorena Dias de Araujo",$B:$B,"&lt;&gt;Lucas Luiz Romero")*(20/1083),IF(C1771="Estágio",SUMIFS($D:$D,$A:$A,$A1771,$B:$B,"&lt;&gt;Patrícia Karla de Sousa Araújo",$B:$B,"&lt;&gt;Lorena Dias de Araujo",$B:$B,"&lt;&gt;Lucas Luiz Romero")*(10/1083),0)))))),0)</f>
        <v>32</v>
      </c>
      <c r="K1771" s="3">
        <f>I1771-J1771</f>
        <v>-24</v>
      </c>
      <c r="L1771" s="3" t="str">
        <f>IF(K1771&lt;-5,"CRÍTICO",IF(K1771&lt;0,"ATENÇÃO",IF(K1771&lt;=5,"BOM","EXCELENTE")))</f>
        <v>CRÍTICO</v>
      </c>
      <c r="M1771">
        <v>8</v>
      </c>
      <c r="N1771">
        <v>96.3</v>
      </c>
      <c r="O1771">
        <v>24.29378531073446</v>
      </c>
    </row>
    <row r="1772" spans="1:15" hidden="1" x14ac:dyDescent="0.25">
      <c r="A1772" s="11">
        <v>46056</v>
      </c>
      <c r="B1772" t="s">
        <v>62</v>
      </c>
      <c r="C1772" t="s">
        <v>23</v>
      </c>
      <c r="D1772">
        <v>25</v>
      </c>
      <c r="E1772">
        <v>24</v>
      </c>
      <c r="F1772">
        <v>27.39</v>
      </c>
      <c r="G1772">
        <v>0</v>
      </c>
      <c r="H1772">
        <v>0</v>
      </c>
      <c r="I1772" s="3">
        <f>E1772+G1772+H1772</f>
        <v>24</v>
      </c>
      <c r="J1772" s="3">
        <f>ROUND(MIN(IF(C1772="Técnico III",35,IF(C1772="Técnico II",28,IF(C1772="Técnico I",23,IF(C1772="JR",20,IF(C1772="Estágio",10,0))))),IF(C1772="Técnico III",SUMIFS($D:$D,$A:$A,$A1772,$B:$B,"&lt;&gt;Patrícia Karla de Sousa Araújo",$B:$B,"&lt;&gt;Lorena Dias de Araujo",$B:$B,"&lt;&gt;Lucas Luiz Romero")*(35/1083),IF(C1772="Técnico II",SUMIFS($D:$D,$A:$A,$A1772,$B:$B,"&lt;&gt;Patrícia Karla de Sousa Araújo",$B:$B,"&lt;&gt;Lorena Dias de Araujo",$B:$B,"&lt;&gt;Lucas Luiz Romero")*(28/1083),IF(C1772="Técnico I",SUMIFS($D:$D,$A:$A,$A1772,$B:$B,"&lt;&gt;Patrícia Karla de Sousa Araújo",$B:$B,"&lt;&gt;Lorena Dias de Araujo",$B:$B,"&lt;&gt;Lucas Luiz Romero")*(23/1083),IF(C1772="JR",SUMIFS($D:$D,$A:$A,$A1772,$B:$B,"&lt;&gt;Patrícia Karla de Sousa Araújo",$B:$B,"&lt;&gt;Lorena Dias de Araujo",$B:$B,"&lt;&gt;Lucas Luiz Romero")*(20/1083),IF(C1772="Estágio",SUMIFS($D:$D,$A:$A,$A1772,$B:$B,"&lt;&gt;Patrícia Karla de Sousa Araújo",$B:$B,"&lt;&gt;Lorena Dias de Araujo",$B:$B,"&lt;&gt;Lucas Luiz Romero")*(10/1083),0)))))),0)</f>
        <v>21</v>
      </c>
      <c r="K1772" s="3">
        <f>I1772-J1772</f>
        <v>3</v>
      </c>
      <c r="L1772" s="3" t="str">
        <f>IF(K1772&lt;-5,"CRÍTICO",IF(K1772&lt;0,"ATENÇÃO",IF(K1772&lt;=5,"BOM","EXCELENTE")))</f>
        <v>BOM</v>
      </c>
      <c r="M1772">
        <v>24</v>
      </c>
      <c r="N1772">
        <v>100</v>
      </c>
      <c r="O1772">
        <v>26.543209876543209</v>
      </c>
    </row>
    <row r="1773" spans="1:15" hidden="1" x14ac:dyDescent="0.25">
      <c r="A1773" s="11">
        <v>46056</v>
      </c>
      <c r="B1773" t="s">
        <v>19</v>
      </c>
      <c r="C1773" t="s">
        <v>16</v>
      </c>
      <c r="D1773">
        <v>5</v>
      </c>
      <c r="E1773">
        <v>4</v>
      </c>
      <c r="F1773">
        <v>65.099999999999994</v>
      </c>
      <c r="G1773">
        <v>0</v>
      </c>
      <c r="H1773">
        <v>0</v>
      </c>
      <c r="I1773" s="3">
        <f>E1773+G1773+H1773</f>
        <v>4</v>
      </c>
      <c r="J1773" s="3">
        <f>ROUND(MIN(IF(C1773="Técnico III",35,IF(C1773="Técnico II",28,IF(C1773="Técnico I",23,IF(C1773="JR",20,IF(C1773="Estágio",10,0))))),IF(C1773="Técnico III",SUMIFS($D:$D,$A:$A,$A1773,$B:$B,"&lt;&gt;Patrícia Karla de Sousa Araújo",$B:$B,"&lt;&gt;Lorena Dias de Araujo",$B:$B,"&lt;&gt;Lucas Luiz Romero")*(35/1083),IF(C1773="Técnico II",SUMIFS($D:$D,$A:$A,$A1773,$B:$B,"&lt;&gt;Patrícia Karla de Sousa Araújo",$B:$B,"&lt;&gt;Lorena Dias de Araujo",$B:$B,"&lt;&gt;Lucas Luiz Romero")*(28/1083),IF(C1773="Técnico I",SUMIFS($D:$D,$A:$A,$A1773,$B:$B,"&lt;&gt;Patrícia Karla de Sousa Araújo",$B:$B,"&lt;&gt;Lorena Dias de Araujo",$B:$B,"&lt;&gt;Lucas Luiz Romero")*(23/1083),IF(C1773="JR",SUMIFS($D:$D,$A:$A,$A1773,$B:$B,"&lt;&gt;Patrícia Karla de Sousa Araújo",$B:$B,"&lt;&gt;Lorena Dias de Araujo",$B:$B,"&lt;&gt;Lucas Luiz Romero")*(20/1083),IF(C1773="Estágio",SUMIFS($D:$D,$A:$A,$A1773,$B:$B,"&lt;&gt;Patrícia Karla de Sousa Araújo",$B:$B,"&lt;&gt;Lorena Dias de Araujo",$B:$B,"&lt;&gt;Lucas Luiz Romero")*(10/1083),0)))))),0)</f>
        <v>9</v>
      </c>
      <c r="K1773" s="3">
        <f>I1773-J1773</f>
        <v>-5</v>
      </c>
      <c r="L1773" s="3" t="str">
        <f>IF(K1773&lt;-5,"CRÍTICO",IF(K1773&lt;0,"ATENÇÃO",IF(K1773&lt;=5,"BOM","EXCELENTE")))</f>
        <v>ATENÇÃO</v>
      </c>
      <c r="M1773">
        <v>5</v>
      </c>
      <c r="N1773">
        <v>100</v>
      </c>
      <c r="O1773">
        <v>35.483870967741943</v>
      </c>
    </row>
    <row r="1774" spans="1:15" hidden="1" x14ac:dyDescent="0.25">
      <c r="A1774" s="11">
        <v>46056</v>
      </c>
      <c r="B1774" t="s">
        <v>43</v>
      </c>
      <c r="C1774" t="s">
        <v>32</v>
      </c>
      <c r="D1774">
        <v>30</v>
      </c>
      <c r="E1774">
        <v>27</v>
      </c>
      <c r="F1774">
        <v>20.57</v>
      </c>
      <c r="G1774">
        <v>0</v>
      </c>
      <c r="H1774">
        <v>0</v>
      </c>
      <c r="I1774" s="3">
        <f>E1774+G1774+H1774</f>
        <v>27</v>
      </c>
      <c r="J1774" s="3">
        <f>ROUND(MIN(IF(C1774="Técnico III",35,IF(C1774="Técnico II",28,IF(C1774="Técnico I",23,IF(C1774="JR",20,IF(C1774="Estágio",10,0))))),IF(C1774="Técnico III",SUMIFS($D:$D,$A:$A,$A1774,$B:$B,"&lt;&gt;Patrícia Karla de Sousa Araújo",$B:$B,"&lt;&gt;Lorena Dias de Araujo",$B:$B,"&lt;&gt;Lucas Luiz Romero")*(35/1083),IF(C1774="Técnico II",SUMIFS($D:$D,$A:$A,$A1774,$B:$B,"&lt;&gt;Patrícia Karla de Sousa Araújo",$B:$B,"&lt;&gt;Lorena Dias de Araujo",$B:$B,"&lt;&gt;Lucas Luiz Romero")*(28/1083),IF(C1774="Técnico I",SUMIFS($D:$D,$A:$A,$A1774,$B:$B,"&lt;&gt;Patrícia Karla de Sousa Araújo",$B:$B,"&lt;&gt;Lorena Dias de Araujo",$B:$B,"&lt;&gt;Lucas Luiz Romero")*(23/1083),IF(C1774="JR",SUMIFS($D:$D,$A:$A,$A1774,$B:$B,"&lt;&gt;Patrícia Karla de Sousa Araújo",$B:$B,"&lt;&gt;Lorena Dias de Araujo",$B:$B,"&lt;&gt;Lucas Luiz Romero")*(20/1083),IF(C1774="Estágio",SUMIFS($D:$D,$A:$A,$A1774,$B:$B,"&lt;&gt;Patrícia Karla de Sousa Araújo",$B:$B,"&lt;&gt;Lorena Dias de Araujo",$B:$B,"&lt;&gt;Lucas Luiz Romero")*(10/1083),0)))))),0)</f>
        <v>32</v>
      </c>
      <c r="K1774" s="3">
        <f>I1774-J1774</f>
        <v>-5</v>
      </c>
      <c r="L1774" s="3" t="str">
        <f>IF(K1774&lt;-5,"CRÍTICO",IF(K1774&lt;0,"ATENÇÃO",IF(K1774&lt;=5,"BOM","EXCELENTE")))</f>
        <v>ATENÇÃO</v>
      </c>
      <c r="M1774">
        <v>24</v>
      </c>
      <c r="N1774">
        <v>99.27</v>
      </c>
      <c r="O1774">
        <v>31.163708086785011</v>
      </c>
    </row>
    <row r="1775" spans="1:15" hidden="1" x14ac:dyDescent="0.25">
      <c r="A1775" s="11">
        <v>46056</v>
      </c>
      <c r="B1775" t="s">
        <v>44</v>
      </c>
      <c r="C1775" t="s">
        <v>32</v>
      </c>
      <c r="D1775">
        <v>46</v>
      </c>
      <c r="E1775">
        <v>44</v>
      </c>
      <c r="F1775">
        <v>16.489999999999998</v>
      </c>
      <c r="G1775">
        <v>0</v>
      </c>
      <c r="H1775">
        <v>0</v>
      </c>
      <c r="I1775" s="3">
        <f>E1775+G1775+H1775</f>
        <v>44</v>
      </c>
      <c r="J1775" s="3">
        <f>ROUND(MIN(IF(C1775="Técnico III",35,IF(C1775="Técnico II",28,IF(C1775="Técnico I",23,IF(C1775="JR",20,IF(C1775="Estágio",10,0))))),IF(C1775="Técnico III",SUMIFS($D:$D,$A:$A,$A1775,$B:$B,"&lt;&gt;Patrícia Karla de Sousa Araújo",$B:$B,"&lt;&gt;Lorena Dias de Araujo",$B:$B,"&lt;&gt;Lucas Luiz Romero")*(35/1083),IF(C1775="Técnico II",SUMIFS($D:$D,$A:$A,$A1775,$B:$B,"&lt;&gt;Patrícia Karla de Sousa Araújo",$B:$B,"&lt;&gt;Lorena Dias de Araujo",$B:$B,"&lt;&gt;Lucas Luiz Romero")*(28/1083),IF(C1775="Técnico I",SUMIFS($D:$D,$A:$A,$A1775,$B:$B,"&lt;&gt;Patrícia Karla de Sousa Araújo",$B:$B,"&lt;&gt;Lorena Dias de Araujo",$B:$B,"&lt;&gt;Lucas Luiz Romero")*(23/1083),IF(C1775="JR",SUMIFS($D:$D,$A:$A,$A1775,$B:$B,"&lt;&gt;Patrícia Karla de Sousa Araújo",$B:$B,"&lt;&gt;Lorena Dias de Araujo",$B:$B,"&lt;&gt;Lucas Luiz Romero")*(20/1083),IF(C1775="Estágio",SUMIFS($D:$D,$A:$A,$A1775,$B:$B,"&lt;&gt;Patrícia Karla de Sousa Araújo",$B:$B,"&lt;&gt;Lorena Dias de Araujo",$B:$B,"&lt;&gt;Lucas Luiz Romero")*(10/1083),0)))))),0)</f>
        <v>32</v>
      </c>
      <c r="K1775" s="3">
        <f>I1775-J1775</f>
        <v>12</v>
      </c>
      <c r="L1775" s="3" t="str">
        <f>IF(K1775&lt;-5,"CRÍTICO",IF(K1775&lt;0,"ATENÇÃO",IF(K1775&lt;=5,"BOM","EXCELENTE")))</f>
        <v>EXCELENTE</v>
      </c>
      <c r="M1775">
        <v>38</v>
      </c>
      <c r="N1775">
        <v>94.16</v>
      </c>
      <c r="O1775">
        <v>27.038626609442058</v>
      </c>
    </row>
    <row r="1776" spans="1:15" hidden="1" x14ac:dyDescent="0.25">
      <c r="A1776" s="11">
        <v>46056</v>
      </c>
      <c r="B1776" t="s">
        <v>20</v>
      </c>
      <c r="C1776" t="s">
        <v>16</v>
      </c>
      <c r="D1776">
        <v>12</v>
      </c>
      <c r="E1776">
        <v>11</v>
      </c>
      <c r="F1776">
        <v>56.49</v>
      </c>
      <c r="G1776">
        <v>0</v>
      </c>
      <c r="H1776">
        <v>0</v>
      </c>
      <c r="I1776" s="3">
        <f>E1776+G1776+H1776</f>
        <v>11</v>
      </c>
      <c r="J1776" s="3">
        <f>ROUND(MIN(IF(C1776="Técnico III",35,IF(C1776="Técnico II",28,IF(C1776="Técnico I",23,IF(C1776="JR",20,IF(C1776="Estágio",10,0))))),IF(C1776="Técnico III",SUMIFS($D:$D,$A:$A,$A1776,$B:$B,"&lt;&gt;Patrícia Karla de Sousa Araújo",$B:$B,"&lt;&gt;Lorena Dias de Araujo",$B:$B,"&lt;&gt;Lucas Luiz Romero")*(35/1083),IF(C1776="Técnico II",SUMIFS($D:$D,$A:$A,$A1776,$B:$B,"&lt;&gt;Patrícia Karla de Sousa Araújo",$B:$B,"&lt;&gt;Lorena Dias de Araujo",$B:$B,"&lt;&gt;Lucas Luiz Romero")*(28/1083),IF(C1776="Técnico I",SUMIFS($D:$D,$A:$A,$A1776,$B:$B,"&lt;&gt;Patrícia Karla de Sousa Araújo",$B:$B,"&lt;&gt;Lorena Dias de Araujo",$B:$B,"&lt;&gt;Lucas Luiz Romero")*(23/1083),IF(C1776="JR",SUMIFS($D:$D,$A:$A,$A1776,$B:$B,"&lt;&gt;Patrícia Karla de Sousa Araújo",$B:$B,"&lt;&gt;Lorena Dias de Araujo",$B:$B,"&lt;&gt;Lucas Luiz Romero")*(20/1083),IF(C1776="Estágio",SUMIFS($D:$D,$A:$A,$A1776,$B:$B,"&lt;&gt;Patrícia Karla de Sousa Araújo",$B:$B,"&lt;&gt;Lorena Dias de Araujo",$B:$B,"&lt;&gt;Lucas Luiz Romero")*(10/1083),0)))))),0)</f>
        <v>9</v>
      </c>
      <c r="K1776" s="3">
        <f>I1776-J1776</f>
        <v>2</v>
      </c>
      <c r="L1776" s="3" t="str">
        <f>IF(K1776&lt;-5,"CRÍTICO",IF(K1776&lt;0,"ATENÇÃO",IF(K1776&lt;=5,"BOM","EXCELENTE")))</f>
        <v>BOM</v>
      </c>
      <c r="M1776">
        <v>5</v>
      </c>
      <c r="N1776">
        <v>93.75</v>
      </c>
      <c r="O1776">
        <v>19.31818181818182</v>
      </c>
    </row>
    <row r="1777" spans="1:15" hidden="1" x14ac:dyDescent="0.25">
      <c r="A1777" s="11">
        <v>46056</v>
      </c>
      <c r="B1777" t="s">
        <v>28</v>
      </c>
      <c r="C1777" t="s">
        <v>26</v>
      </c>
      <c r="D1777">
        <v>0</v>
      </c>
      <c r="E1777">
        <v>0</v>
      </c>
      <c r="F1777">
        <v>0</v>
      </c>
      <c r="G1777">
        <v>0</v>
      </c>
      <c r="H1777">
        <v>0</v>
      </c>
      <c r="I1777" s="3">
        <v>0</v>
      </c>
      <c r="J1777" s="3">
        <v>0</v>
      </c>
      <c r="K1777" s="3">
        <v>0</v>
      </c>
      <c r="L1777" s="3" t="str">
        <f>IF(K1777&lt;-5,"CRÍTICO",IF(K1777&lt;0,"ATENÇÃO",IF(K1777&lt;=5,"BOM","EXCELENTE")))</f>
        <v>BOM</v>
      </c>
      <c r="M1777">
        <v>0</v>
      </c>
      <c r="N1777">
        <v>0</v>
      </c>
      <c r="O1777">
        <v>0</v>
      </c>
    </row>
    <row r="1778" spans="1:15" hidden="1" x14ac:dyDescent="0.25">
      <c r="A1778" s="11">
        <v>46056</v>
      </c>
      <c r="B1778" t="s">
        <v>58</v>
      </c>
      <c r="C1778" t="s">
        <v>48</v>
      </c>
      <c r="D1778">
        <v>32</v>
      </c>
      <c r="E1778">
        <v>32</v>
      </c>
      <c r="F1778">
        <v>20.25</v>
      </c>
      <c r="G1778">
        <v>0</v>
      </c>
      <c r="H1778">
        <v>0</v>
      </c>
      <c r="I1778" s="3">
        <f>E1778+G1778+H1778</f>
        <v>32</v>
      </c>
      <c r="J1778" s="3">
        <f>ROUND(MIN(IF(C1778="Técnico III",35,IF(C1778="Técnico II",28,IF(C1778="Técnico I",23,IF(C1778="JR",20,IF(C1778="Estágio",10,0))))),IF(C1778="Técnico III",SUMIFS($D:$D,$A:$A,$A1778,$B:$B,"&lt;&gt;Patrícia Karla de Sousa Araújo",$B:$B,"&lt;&gt;Lorena Dias de Araujo",$B:$B,"&lt;&gt;Lucas Luiz Romero")*(35/1083),IF(C1778="Técnico II",SUMIFS($D:$D,$A:$A,$A1778,$B:$B,"&lt;&gt;Patrícia Karla de Sousa Araújo",$B:$B,"&lt;&gt;Lorena Dias de Araujo",$B:$B,"&lt;&gt;Lucas Luiz Romero")*(28/1083),IF(C1778="Técnico I",SUMIFS($D:$D,$A:$A,$A1778,$B:$B,"&lt;&gt;Patrícia Karla de Sousa Araújo",$B:$B,"&lt;&gt;Lorena Dias de Araujo",$B:$B,"&lt;&gt;Lucas Luiz Romero")*(23/1083),IF(C1778="JR",SUMIFS($D:$D,$A:$A,$A1778,$B:$B,"&lt;&gt;Patrícia Karla de Sousa Araújo",$B:$B,"&lt;&gt;Lorena Dias de Araujo",$B:$B,"&lt;&gt;Lucas Luiz Romero")*(20/1083),IF(C1778="Estágio",SUMIFS($D:$D,$A:$A,$A1778,$B:$B,"&lt;&gt;Patrícia Karla de Sousa Araújo",$B:$B,"&lt;&gt;Lorena Dias de Araujo",$B:$B,"&lt;&gt;Lucas Luiz Romero")*(10/1083),0)))))),0)</f>
        <v>25</v>
      </c>
      <c r="K1778" s="3">
        <f>I1778-J1778</f>
        <v>7</v>
      </c>
      <c r="L1778" s="3" t="str">
        <f>IF(K1778&lt;-5,"CRÍTICO",IF(K1778&lt;0,"ATENÇÃO",IF(K1778&lt;=5,"BOM","EXCELENTE")))</f>
        <v>EXCELENTE</v>
      </c>
      <c r="M1778">
        <v>26</v>
      </c>
      <c r="N1778">
        <v>97.92</v>
      </c>
      <c r="O1778">
        <v>32.87671232876712</v>
      </c>
    </row>
    <row r="1779" spans="1:15" hidden="1" x14ac:dyDescent="0.25">
      <c r="A1779" s="11">
        <v>46056</v>
      </c>
      <c r="B1779" t="s">
        <v>29</v>
      </c>
      <c r="C1779" t="s">
        <v>26</v>
      </c>
      <c r="D1779">
        <v>0</v>
      </c>
      <c r="E1779">
        <v>0</v>
      </c>
      <c r="F1779">
        <v>0</v>
      </c>
      <c r="G1779">
        <v>0</v>
      </c>
      <c r="H1779">
        <v>0</v>
      </c>
      <c r="I1779" s="3">
        <v>0</v>
      </c>
      <c r="J1779" s="3">
        <v>0</v>
      </c>
      <c r="K1779" s="3">
        <v>0</v>
      </c>
      <c r="L1779" s="3" t="str">
        <f>IF(K1779&lt;-5,"CRÍTICO",IF(K1779&lt;0,"ATENÇÃO",IF(K1779&lt;=5,"BOM","EXCELENTE")))</f>
        <v>BOM</v>
      </c>
      <c r="M1779">
        <v>0</v>
      </c>
      <c r="N1779">
        <v>0</v>
      </c>
      <c r="O1779">
        <v>0</v>
      </c>
    </row>
    <row r="1780" spans="1:15" hidden="1" x14ac:dyDescent="0.25">
      <c r="A1780" s="11">
        <v>46056</v>
      </c>
      <c r="B1780" t="s">
        <v>30</v>
      </c>
      <c r="C1780" t="s">
        <v>26</v>
      </c>
      <c r="D1780">
        <v>0</v>
      </c>
      <c r="E1780">
        <v>0</v>
      </c>
      <c r="F1780">
        <v>0</v>
      </c>
      <c r="G1780">
        <v>0</v>
      </c>
      <c r="H1780">
        <v>0</v>
      </c>
      <c r="I1780" s="3">
        <v>0</v>
      </c>
      <c r="J1780" s="3">
        <v>0</v>
      </c>
      <c r="K1780" s="3">
        <v>0</v>
      </c>
      <c r="L1780" s="3" t="str">
        <f>IF(K1780&lt;-5,"CRÍTICO",IF(K1780&lt;0,"ATENÇÃO",IF(K1780&lt;=5,"BOM","EXCELENTE")))</f>
        <v>BOM</v>
      </c>
      <c r="M1780">
        <v>0</v>
      </c>
      <c r="N1780">
        <v>0</v>
      </c>
      <c r="O1780">
        <v>0</v>
      </c>
    </row>
    <row r="1781" spans="1:15" hidden="1" x14ac:dyDescent="0.25">
      <c r="A1781" s="11">
        <v>46056</v>
      </c>
      <c r="B1781" t="s">
        <v>21</v>
      </c>
      <c r="C1781" t="s">
        <v>16</v>
      </c>
      <c r="D1781">
        <v>0</v>
      </c>
      <c r="E1781">
        <v>0</v>
      </c>
      <c r="F1781">
        <v>0</v>
      </c>
      <c r="G1781">
        <v>0</v>
      </c>
      <c r="H1781">
        <v>0</v>
      </c>
      <c r="I1781" s="3">
        <v>0</v>
      </c>
      <c r="J1781" s="3">
        <v>0</v>
      </c>
      <c r="K1781" s="3">
        <v>0</v>
      </c>
      <c r="L1781" s="3" t="str">
        <f>IF(K1781&lt;-5,"CRÍTICO",IF(K1781&lt;0,"ATENÇÃO",IF(K1781&lt;=5,"BOM","EXCELENTE")))</f>
        <v>BOM</v>
      </c>
      <c r="M1781">
        <v>0</v>
      </c>
      <c r="N1781">
        <v>0</v>
      </c>
      <c r="O1781">
        <v>0</v>
      </c>
    </row>
    <row r="1782" spans="1:15" hidden="1" x14ac:dyDescent="0.25">
      <c r="A1782" s="11">
        <v>46056</v>
      </c>
      <c r="B1782" t="s">
        <v>63</v>
      </c>
      <c r="C1782" t="s">
        <v>23</v>
      </c>
      <c r="D1782">
        <v>20</v>
      </c>
      <c r="E1782">
        <v>17</v>
      </c>
      <c r="F1782">
        <v>30</v>
      </c>
      <c r="G1782">
        <v>0</v>
      </c>
      <c r="H1782">
        <v>0</v>
      </c>
      <c r="I1782" s="3">
        <f>E1782+G1782+H1782</f>
        <v>17</v>
      </c>
      <c r="J1782" s="3">
        <f>ROUND(MIN(IF(C1782="Técnico III",35,IF(C1782="Técnico II",28,IF(C1782="Técnico I",23,IF(C1782="JR",20,IF(C1782="Estágio",10,0))))),IF(C1782="Técnico III",SUMIFS($D:$D,$A:$A,$A1782,$B:$B,"&lt;&gt;Patrícia Karla de Sousa Araújo",$B:$B,"&lt;&gt;Lorena Dias de Araujo",$B:$B,"&lt;&gt;Lucas Luiz Romero")*(35/1083),IF(C1782="Técnico II",SUMIFS($D:$D,$A:$A,$A1782,$B:$B,"&lt;&gt;Patrícia Karla de Sousa Araújo",$B:$B,"&lt;&gt;Lorena Dias de Araujo",$B:$B,"&lt;&gt;Lucas Luiz Romero")*(28/1083),IF(C1782="Técnico I",SUMIFS($D:$D,$A:$A,$A1782,$B:$B,"&lt;&gt;Patrícia Karla de Sousa Araújo",$B:$B,"&lt;&gt;Lorena Dias de Araujo",$B:$B,"&lt;&gt;Lucas Luiz Romero")*(23/1083),IF(C1782="JR",SUMIFS($D:$D,$A:$A,$A1782,$B:$B,"&lt;&gt;Patrícia Karla de Sousa Araújo",$B:$B,"&lt;&gt;Lorena Dias de Araujo",$B:$B,"&lt;&gt;Lucas Luiz Romero")*(20/1083),IF(C1782="Estágio",SUMIFS($D:$D,$A:$A,$A1782,$B:$B,"&lt;&gt;Patrícia Karla de Sousa Araújo",$B:$B,"&lt;&gt;Lorena Dias de Araujo",$B:$B,"&lt;&gt;Lucas Luiz Romero")*(10/1083),0)))))),0)</f>
        <v>21</v>
      </c>
      <c r="K1782" s="3">
        <f>I1782-J1782</f>
        <v>-4</v>
      </c>
      <c r="L1782" s="3" t="str">
        <f>IF(K1782&lt;-5,"CRÍTICO",IF(K1782&lt;0,"ATENÇÃO",IF(K1782&lt;=5,"BOM","EXCELENTE")))</f>
        <v>ATENÇÃO</v>
      </c>
      <c r="M1782">
        <v>17</v>
      </c>
      <c r="N1782">
        <v>98.51</v>
      </c>
      <c r="O1782">
        <v>29.710144927536231</v>
      </c>
    </row>
    <row r="1783" spans="1:15" hidden="1" x14ac:dyDescent="0.25">
      <c r="A1783" s="11">
        <v>46056</v>
      </c>
      <c r="B1783" t="s">
        <v>45</v>
      </c>
      <c r="C1783" t="s">
        <v>32</v>
      </c>
      <c r="D1783">
        <v>36</v>
      </c>
      <c r="E1783">
        <v>33</v>
      </c>
      <c r="F1783">
        <v>12.38</v>
      </c>
      <c r="G1783">
        <v>0</v>
      </c>
      <c r="H1783">
        <v>0</v>
      </c>
      <c r="I1783" s="3">
        <f>E1783+G1783+H1783</f>
        <v>33</v>
      </c>
      <c r="J1783" s="3">
        <f>ROUND(MIN(IF(C1783="Técnico III",35,IF(C1783="Técnico II",28,IF(C1783="Técnico I",23,IF(C1783="JR",20,IF(C1783="Estágio",10,0))))),IF(C1783="Técnico III",SUMIFS($D:$D,$A:$A,$A1783,$B:$B,"&lt;&gt;Patrícia Karla de Sousa Araújo",$B:$B,"&lt;&gt;Lorena Dias de Araujo",$B:$B,"&lt;&gt;Lucas Luiz Romero")*(35/1083),IF(C1783="Técnico II",SUMIFS($D:$D,$A:$A,$A1783,$B:$B,"&lt;&gt;Patrícia Karla de Sousa Araújo",$B:$B,"&lt;&gt;Lorena Dias de Araujo",$B:$B,"&lt;&gt;Lucas Luiz Romero")*(28/1083),IF(C1783="Técnico I",SUMIFS($D:$D,$A:$A,$A1783,$B:$B,"&lt;&gt;Patrícia Karla de Sousa Araújo",$B:$B,"&lt;&gt;Lorena Dias de Araujo",$B:$B,"&lt;&gt;Lucas Luiz Romero")*(23/1083),IF(C1783="JR",SUMIFS($D:$D,$A:$A,$A1783,$B:$B,"&lt;&gt;Patrícia Karla de Sousa Araújo",$B:$B,"&lt;&gt;Lorena Dias de Araujo",$B:$B,"&lt;&gt;Lucas Luiz Romero")*(20/1083),IF(C1783="Estágio",SUMIFS($D:$D,$A:$A,$A1783,$B:$B,"&lt;&gt;Patrícia Karla de Sousa Araújo",$B:$B,"&lt;&gt;Lorena Dias de Araujo",$B:$B,"&lt;&gt;Lucas Luiz Romero")*(10/1083),0)))))),0)</f>
        <v>32</v>
      </c>
      <c r="K1783" s="3">
        <f>I1783-J1783</f>
        <v>1</v>
      </c>
      <c r="L1783" s="3" t="str">
        <f>IF(K1783&lt;-5,"CRÍTICO",IF(K1783&lt;0,"ATENÇÃO",IF(K1783&lt;=5,"BOM","EXCELENTE")))</f>
        <v>BOM</v>
      </c>
      <c r="M1783">
        <v>32</v>
      </c>
      <c r="N1783">
        <v>98.81</v>
      </c>
      <c r="O1783">
        <v>30.712979890310791</v>
      </c>
    </row>
    <row r="1784" spans="1:15" hidden="1" x14ac:dyDescent="0.25">
      <c r="A1784" s="11">
        <v>46056</v>
      </c>
      <c r="B1784" t="s">
        <v>64</v>
      </c>
      <c r="C1784" t="s">
        <v>23</v>
      </c>
      <c r="D1784">
        <v>13</v>
      </c>
      <c r="E1784">
        <v>12</v>
      </c>
      <c r="F1784">
        <v>45.3</v>
      </c>
      <c r="G1784">
        <v>0</v>
      </c>
      <c r="H1784">
        <v>0</v>
      </c>
      <c r="I1784" s="3">
        <f>E1784+G1784+H1784</f>
        <v>12</v>
      </c>
      <c r="J1784" s="3">
        <f>ROUND(MIN(IF(C1784="Técnico III",35,IF(C1784="Técnico II",28,IF(C1784="Técnico I",23,IF(C1784="JR",20,IF(C1784="Estágio",10,0))))),IF(C1784="Técnico III",SUMIFS($D:$D,$A:$A,$A1784,$B:$B,"&lt;&gt;Patrícia Karla de Sousa Araújo",$B:$B,"&lt;&gt;Lorena Dias de Araujo",$B:$B,"&lt;&gt;Lucas Luiz Romero")*(35/1083),IF(C1784="Técnico II",SUMIFS($D:$D,$A:$A,$A1784,$B:$B,"&lt;&gt;Patrícia Karla de Sousa Araújo",$B:$B,"&lt;&gt;Lorena Dias de Araujo",$B:$B,"&lt;&gt;Lucas Luiz Romero")*(28/1083),IF(C1784="Técnico I",SUMIFS($D:$D,$A:$A,$A1784,$B:$B,"&lt;&gt;Patrícia Karla de Sousa Araújo",$B:$B,"&lt;&gt;Lorena Dias de Araujo",$B:$B,"&lt;&gt;Lucas Luiz Romero")*(23/1083),IF(C1784="JR",SUMIFS($D:$D,$A:$A,$A1784,$B:$B,"&lt;&gt;Patrícia Karla de Sousa Araújo",$B:$B,"&lt;&gt;Lorena Dias de Araujo",$B:$B,"&lt;&gt;Lucas Luiz Romero")*(20/1083),IF(C1784="Estágio",SUMIFS($D:$D,$A:$A,$A1784,$B:$B,"&lt;&gt;Patrícia Karla de Sousa Araújo",$B:$B,"&lt;&gt;Lorena Dias de Araujo",$B:$B,"&lt;&gt;Lucas Luiz Romero")*(10/1083),0)))))),0)</f>
        <v>21</v>
      </c>
      <c r="K1784" s="3">
        <f>I1784-J1784</f>
        <v>-9</v>
      </c>
      <c r="L1784" s="3" t="str">
        <f>IF(K1784&lt;-5,"CRÍTICO",IF(K1784&lt;0,"ATENÇÃO",IF(K1784&lt;=5,"BOM","EXCELENTE")))</f>
        <v>CRÍTICO</v>
      </c>
      <c r="M1784">
        <v>12</v>
      </c>
      <c r="N1784">
        <v>98.48</v>
      </c>
      <c r="O1784">
        <v>29.35323383084577</v>
      </c>
    </row>
    <row r="1785" spans="1:15" hidden="1" x14ac:dyDescent="0.25">
      <c r="A1785" s="11">
        <v>46056</v>
      </c>
      <c r="B1785" t="s">
        <v>46</v>
      </c>
      <c r="C1785" t="s">
        <v>32</v>
      </c>
      <c r="D1785">
        <v>37</v>
      </c>
      <c r="E1785">
        <v>34</v>
      </c>
      <c r="F1785">
        <v>15.41</v>
      </c>
      <c r="G1785">
        <v>0</v>
      </c>
      <c r="H1785">
        <v>0</v>
      </c>
      <c r="I1785" s="3">
        <f>E1785+G1785+H1785</f>
        <v>34</v>
      </c>
      <c r="J1785" s="3">
        <f>ROUND(MIN(IF(C1785="Técnico III",35,IF(C1785="Técnico II",28,IF(C1785="Técnico I",23,IF(C1785="JR",20,IF(C1785="Estágio",10,0))))),IF(C1785="Técnico III",SUMIFS($D:$D,$A:$A,$A1785,$B:$B,"&lt;&gt;Patrícia Karla de Sousa Araújo",$B:$B,"&lt;&gt;Lorena Dias de Araujo",$B:$B,"&lt;&gt;Lucas Luiz Romero")*(35/1083),IF(C1785="Técnico II",SUMIFS($D:$D,$A:$A,$A1785,$B:$B,"&lt;&gt;Patrícia Karla de Sousa Araújo",$B:$B,"&lt;&gt;Lorena Dias de Araujo",$B:$B,"&lt;&gt;Lucas Luiz Romero")*(28/1083),IF(C1785="Técnico I",SUMIFS($D:$D,$A:$A,$A1785,$B:$B,"&lt;&gt;Patrícia Karla de Sousa Araújo",$B:$B,"&lt;&gt;Lorena Dias de Araujo",$B:$B,"&lt;&gt;Lucas Luiz Romero")*(23/1083),IF(C1785="JR",SUMIFS($D:$D,$A:$A,$A1785,$B:$B,"&lt;&gt;Patrícia Karla de Sousa Araújo",$B:$B,"&lt;&gt;Lorena Dias de Araujo",$B:$B,"&lt;&gt;Lucas Luiz Romero")*(20/1083),IF(C1785="Estágio",SUMIFS($D:$D,$A:$A,$A1785,$B:$B,"&lt;&gt;Patrícia Karla de Sousa Araújo",$B:$B,"&lt;&gt;Lorena Dias de Araujo",$B:$B,"&lt;&gt;Lucas Luiz Romero")*(10/1083),0)))))),0)</f>
        <v>32</v>
      </c>
      <c r="K1785" s="3">
        <f>I1785-J1785</f>
        <v>2</v>
      </c>
      <c r="L1785" s="3" t="str">
        <f>IF(K1785&lt;-5,"CRÍTICO",IF(K1785&lt;0,"ATENÇÃO",IF(K1785&lt;=5,"BOM","EXCELENTE")))</f>
        <v>BOM</v>
      </c>
      <c r="M1785">
        <v>32</v>
      </c>
      <c r="N1785">
        <v>98.56</v>
      </c>
      <c r="O1785">
        <v>29.373650107991359</v>
      </c>
    </row>
    <row r="1786" spans="1:15" hidden="1" x14ac:dyDescent="0.25">
      <c r="A1786" s="11">
        <v>46057</v>
      </c>
      <c r="B1786" t="s">
        <v>47</v>
      </c>
      <c r="C1786" t="s">
        <v>48</v>
      </c>
      <c r="D1786">
        <v>26</v>
      </c>
      <c r="E1786">
        <v>26</v>
      </c>
      <c r="F1786">
        <v>21.59</v>
      </c>
      <c r="G1786">
        <v>0</v>
      </c>
      <c r="H1786">
        <v>0</v>
      </c>
      <c r="I1786" s="3">
        <f>E1786+G1786+H1786</f>
        <v>26</v>
      </c>
      <c r="J1786" s="3">
        <f>ROUND(MIN(IF(C1786="Técnico III",35,IF(C1786="Técnico II",28,IF(C1786="Técnico I",23,IF(C1786="JR",20,IF(C1786="Estágio",10,0))))),IF(C1786="Técnico III",SUMIFS($D:$D,$A:$A,$A1786,$B:$B,"&lt;&gt;Patrícia Karla de Sousa Araújo",$B:$B,"&lt;&gt;Lorena Dias de Araujo",$B:$B,"&lt;&gt;Lucas Luiz Romero")*(35/1083),IF(C1786="Técnico II",SUMIFS($D:$D,$A:$A,$A1786,$B:$B,"&lt;&gt;Patrícia Karla de Sousa Araújo",$B:$B,"&lt;&gt;Lorena Dias de Araujo",$B:$B,"&lt;&gt;Lucas Luiz Romero")*(28/1083),IF(C1786="Técnico I",SUMIFS($D:$D,$A:$A,$A1786,$B:$B,"&lt;&gt;Patrícia Karla de Sousa Araújo",$B:$B,"&lt;&gt;Lorena Dias de Araujo",$B:$B,"&lt;&gt;Lucas Luiz Romero")*(23/1083),IF(C1786="JR",SUMIFS($D:$D,$A:$A,$A1786,$B:$B,"&lt;&gt;Patrícia Karla de Sousa Araújo",$B:$B,"&lt;&gt;Lorena Dias de Araujo",$B:$B,"&lt;&gt;Lucas Luiz Romero")*(20/1083),IF(C1786="Estágio",SUMIFS($D:$D,$A:$A,$A1786,$B:$B,"&lt;&gt;Patrícia Karla de Sousa Araújo",$B:$B,"&lt;&gt;Lorena Dias de Araujo",$B:$B,"&lt;&gt;Lucas Luiz Romero")*(10/1083),0)))))),0)</f>
        <v>26</v>
      </c>
      <c r="K1786" s="3">
        <f>I1786-J1786</f>
        <v>0</v>
      </c>
      <c r="L1786" s="3" t="str">
        <f>IF(K1786&lt;-5,"CRÍTICO",IF(K1786&lt;0,"ATENÇÃO",IF(K1786&lt;=5,"BOM","EXCELENTE")))</f>
        <v>BOM</v>
      </c>
      <c r="M1786">
        <v>24</v>
      </c>
      <c r="N1786">
        <v>98.32</v>
      </c>
      <c r="O1786">
        <v>30.303030303030301</v>
      </c>
    </row>
    <row r="1787" spans="1:15" hidden="1" x14ac:dyDescent="0.25">
      <c r="A1787" s="11">
        <v>46057</v>
      </c>
      <c r="B1787" t="s">
        <v>31</v>
      </c>
      <c r="C1787" t="s">
        <v>32</v>
      </c>
      <c r="D1787">
        <v>0</v>
      </c>
      <c r="E1787">
        <v>0</v>
      </c>
      <c r="F1787">
        <v>0</v>
      </c>
      <c r="G1787">
        <v>0</v>
      </c>
      <c r="H1787">
        <v>0</v>
      </c>
      <c r="I1787" s="3">
        <v>0</v>
      </c>
      <c r="J1787" s="3">
        <v>0</v>
      </c>
      <c r="K1787" s="3">
        <v>0</v>
      </c>
      <c r="L1787" s="3" t="str">
        <f>IF(K1787&lt;-5,"CRÍTICO",IF(K1787&lt;0,"ATENÇÃO",IF(K1787&lt;=5,"BOM","EXCELENTE")))</f>
        <v>BOM</v>
      </c>
      <c r="M1787">
        <v>28</v>
      </c>
      <c r="N1787">
        <v>98.68</v>
      </c>
      <c r="O1787">
        <v>26.219512195121951</v>
      </c>
    </row>
    <row r="1788" spans="1:15" hidden="1" x14ac:dyDescent="0.25">
      <c r="A1788" s="11">
        <v>46057</v>
      </c>
      <c r="B1788" t="s">
        <v>59</v>
      </c>
      <c r="C1788" t="s">
        <v>23</v>
      </c>
      <c r="D1788">
        <v>25</v>
      </c>
      <c r="E1788">
        <v>24</v>
      </c>
      <c r="F1788">
        <v>29.02</v>
      </c>
      <c r="G1788">
        <v>0</v>
      </c>
      <c r="H1788">
        <v>0</v>
      </c>
      <c r="I1788" s="3">
        <f>E1788+G1788+H1788</f>
        <v>24</v>
      </c>
      <c r="J1788" s="3">
        <f>ROUND(MIN(IF(C1788="Técnico III",35,IF(C1788="Técnico II",28,IF(C1788="Técnico I",23,IF(C1788="JR",20,IF(C1788="Estágio",10,0))))),IF(C1788="Técnico III",SUMIFS($D:$D,$A:$A,$A1788,$B:$B,"&lt;&gt;Patrícia Karla de Sousa Araújo",$B:$B,"&lt;&gt;Lorena Dias de Araujo",$B:$B,"&lt;&gt;Lucas Luiz Romero")*(35/1083),IF(C1788="Técnico II",SUMIFS($D:$D,$A:$A,$A1788,$B:$B,"&lt;&gt;Patrícia Karla de Sousa Araújo",$B:$B,"&lt;&gt;Lorena Dias de Araujo",$B:$B,"&lt;&gt;Lucas Luiz Romero")*(28/1083),IF(C1788="Técnico I",SUMIFS($D:$D,$A:$A,$A1788,$B:$B,"&lt;&gt;Patrícia Karla de Sousa Araújo",$B:$B,"&lt;&gt;Lorena Dias de Araujo",$B:$B,"&lt;&gt;Lucas Luiz Romero")*(23/1083),IF(C1788="JR",SUMIFS($D:$D,$A:$A,$A1788,$B:$B,"&lt;&gt;Patrícia Karla de Sousa Araújo",$B:$B,"&lt;&gt;Lorena Dias de Araujo",$B:$B,"&lt;&gt;Lucas Luiz Romero")*(20/1083),IF(C1788="Estágio",SUMIFS($D:$D,$A:$A,$A1788,$B:$B,"&lt;&gt;Patrícia Karla de Sousa Araújo",$B:$B,"&lt;&gt;Lorena Dias de Araujo",$B:$B,"&lt;&gt;Lucas Luiz Romero")*(10/1083),0)))))),0)</f>
        <v>21</v>
      </c>
      <c r="K1788" s="3">
        <f>I1788-J1788</f>
        <v>3</v>
      </c>
      <c r="L1788" s="3" t="str">
        <f>IF(K1788&lt;-5,"CRÍTICO",IF(K1788&lt;0,"ATENÇÃO",IF(K1788&lt;=5,"BOM","EXCELENTE")))</f>
        <v>BOM</v>
      </c>
      <c r="M1788">
        <v>25</v>
      </c>
      <c r="N1788">
        <v>100</v>
      </c>
      <c r="O1788">
        <v>31.74224343675418</v>
      </c>
    </row>
    <row r="1789" spans="1:15" hidden="1" x14ac:dyDescent="0.25">
      <c r="A1789" s="11">
        <v>46057</v>
      </c>
      <c r="B1789" t="s">
        <v>33</v>
      </c>
      <c r="C1789" t="s">
        <v>32</v>
      </c>
      <c r="D1789">
        <v>39</v>
      </c>
      <c r="E1789">
        <v>38</v>
      </c>
      <c r="F1789">
        <v>18.2</v>
      </c>
      <c r="G1789">
        <v>0</v>
      </c>
      <c r="H1789">
        <v>0</v>
      </c>
      <c r="I1789" s="3">
        <f>E1789+G1789+H1789</f>
        <v>38</v>
      </c>
      <c r="J1789" s="3">
        <f>ROUND(MIN(IF(C1789="Técnico III",35,IF(C1789="Técnico II",28,IF(C1789="Técnico I",23,IF(C1789="JR",20,IF(C1789="Estágio",10,0))))),IF(C1789="Técnico III",SUMIFS($D:$D,$A:$A,$A1789,$B:$B,"&lt;&gt;Patrícia Karla de Sousa Araújo",$B:$B,"&lt;&gt;Lorena Dias de Araujo",$B:$B,"&lt;&gt;Lucas Luiz Romero")*(35/1083),IF(C1789="Técnico II",SUMIFS($D:$D,$A:$A,$A1789,$B:$B,"&lt;&gt;Patrícia Karla de Sousa Araújo",$B:$B,"&lt;&gt;Lorena Dias de Araujo",$B:$B,"&lt;&gt;Lucas Luiz Romero")*(28/1083),IF(C1789="Técnico I",SUMIFS($D:$D,$A:$A,$A1789,$B:$B,"&lt;&gt;Patrícia Karla de Sousa Araújo",$B:$B,"&lt;&gt;Lorena Dias de Araujo",$B:$B,"&lt;&gt;Lucas Luiz Romero")*(23/1083),IF(C1789="JR",SUMIFS($D:$D,$A:$A,$A1789,$B:$B,"&lt;&gt;Patrícia Karla de Sousa Araújo",$B:$B,"&lt;&gt;Lorena Dias de Araujo",$B:$B,"&lt;&gt;Lucas Luiz Romero")*(20/1083),IF(C1789="Estágio",SUMIFS($D:$D,$A:$A,$A1789,$B:$B,"&lt;&gt;Patrícia Karla de Sousa Araújo",$B:$B,"&lt;&gt;Lorena Dias de Araujo",$B:$B,"&lt;&gt;Lucas Luiz Romero")*(10/1083),0)))))),0)</f>
        <v>32</v>
      </c>
      <c r="K1789" s="3">
        <f>I1789-J1789</f>
        <v>6</v>
      </c>
      <c r="L1789" s="3" t="str">
        <f>IF(K1789&lt;-5,"CRÍTICO",IF(K1789&lt;0,"ATENÇÃO",IF(K1789&lt;=5,"BOM","EXCELENTE")))</f>
        <v>EXCELENTE</v>
      </c>
      <c r="M1789">
        <v>32</v>
      </c>
      <c r="N1789">
        <v>98.25</v>
      </c>
      <c r="O1789">
        <v>25.83518930957684</v>
      </c>
    </row>
    <row r="1790" spans="1:15" hidden="1" x14ac:dyDescent="0.25">
      <c r="A1790" s="11">
        <v>46057</v>
      </c>
      <c r="B1790" t="s">
        <v>15</v>
      </c>
      <c r="C1790" t="s">
        <v>16</v>
      </c>
      <c r="D1790">
        <v>8</v>
      </c>
      <c r="E1790">
        <v>8</v>
      </c>
      <c r="F1790">
        <v>40.17</v>
      </c>
      <c r="G1790">
        <v>0</v>
      </c>
      <c r="H1790">
        <v>0</v>
      </c>
      <c r="I1790" s="3">
        <f>E1790+G1790+H1790</f>
        <v>8</v>
      </c>
      <c r="J1790" s="3">
        <f>ROUND(MIN(IF(C1790="Técnico III",35,IF(C1790="Técnico II",28,IF(C1790="Técnico I",23,IF(C1790="JR",20,IF(C1790="Estágio",10,0))))),IF(C1790="Técnico III",SUMIFS($D:$D,$A:$A,$A1790,$B:$B,"&lt;&gt;Patrícia Karla de Sousa Araújo",$B:$B,"&lt;&gt;Lorena Dias de Araujo",$B:$B,"&lt;&gt;Lucas Luiz Romero")*(35/1083),IF(C1790="Técnico II",SUMIFS($D:$D,$A:$A,$A1790,$B:$B,"&lt;&gt;Patrícia Karla de Sousa Araújo",$B:$B,"&lt;&gt;Lorena Dias de Araujo",$B:$B,"&lt;&gt;Lucas Luiz Romero")*(28/1083),IF(C1790="Técnico I",SUMIFS($D:$D,$A:$A,$A1790,$B:$B,"&lt;&gt;Patrícia Karla de Sousa Araújo",$B:$B,"&lt;&gt;Lorena Dias de Araujo",$B:$B,"&lt;&gt;Lucas Luiz Romero")*(23/1083),IF(C1790="JR",SUMIFS($D:$D,$A:$A,$A1790,$B:$B,"&lt;&gt;Patrícia Karla de Sousa Araújo",$B:$B,"&lt;&gt;Lorena Dias de Araujo",$B:$B,"&lt;&gt;Lucas Luiz Romero")*(20/1083),IF(C1790="Estágio",SUMIFS($D:$D,$A:$A,$A1790,$B:$B,"&lt;&gt;Patrícia Karla de Sousa Araújo",$B:$B,"&lt;&gt;Lorena Dias de Araujo",$B:$B,"&lt;&gt;Lucas Luiz Romero")*(10/1083),0)))))),0)</f>
        <v>9</v>
      </c>
      <c r="K1790" s="3">
        <f>I1790-J1790</f>
        <v>-1</v>
      </c>
      <c r="L1790" s="3" t="str">
        <f>IF(K1790&lt;-5,"CRÍTICO",IF(K1790&lt;0,"ATENÇÃO",IF(K1790&lt;=5,"BOM","EXCELENTE")))</f>
        <v>ATENÇÃO</v>
      </c>
      <c r="M1790">
        <v>8</v>
      </c>
      <c r="N1790">
        <v>97.5</v>
      </c>
      <c r="O1790">
        <v>30.075187969924809</v>
      </c>
    </row>
    <row r="1791" spans="1:15" hidden="1" x14ac:dyDescent="0.25">
      <c r="A1791" s="11">
        <v>46057</v>
      </c>
      <c r="B1791" t="s">
        <v>49</v>
      </c>
      <c r="C1791" t="s">
        <v>48</v>
      </c>
      <c r="D1791">
        <v>37</v>
      </c>
      <c r="E1791">
        <v>34</v>
      </c>
      <c r="F1791">
        <v>17.100000000000001</v>
      </c>
      <c r="G1791">
        <v>0</v>
      </c>
      <c r="H1791">
        <v>0</v>
      </c>
      <c r="I1791" s="3">
        <f>E1791+G1791+H1791</f>
        <v>34</v>
      </c>
      <c r="J1791" s="3">
        <f>ROUND(MIN(IF(C1791="Técnico III",35,IF(C1791="Técnico II",28,IF(C1791="Técnico I",23,IF(C1791="JR",20,IF(C1791="Estágio",10,0))))),IF(C1791="Técnico III",SUMIFS($D:$D,$A:$A,$A1791,$B:$B,"&lt;&gt;Patrícia Karla de Sousa Araújo",$B:$B,"&lt;&gt;Lorena Dias de Araujo",$B:$B,"&lt;&gt;Lucas Luiz Romero")*(35/1083),IF(C1791="Técnico II",SUMIFS($D:$D,$A:$A,$A1791,$B:$B,"&lt;&gt;Patrícia Karla de Sousa Araújo",$B:$B,"&lt;&gt;Lorena Dias de Araujo",$B:$B,"&lt;&gt;Lucas Luiz Romero")*(28/1083),IF(C1791="Técnico I",SUMIFS($D:$D,$A:$A,$A1791,$B:$B,"&lt;&gt;Patrícia Karla de Sousa Araújo",$B:$B,"&lt;&gt;Lorena Dias de Araujo",$B:$B,"&lt;&gt;Lucas Luiz Romero")*(23/1083),IF(C1791="JR",SUMIFS($D:$D,$A:$A,$A1791,$B:$B,"&lt;&gt;Patrícia Karla de Sousa Araújo",$B:$B,"&lt;&gt;Lorena Dias de Araujo",$B:$B,"&lt;&gt;Lucas Luiz Romero")*(20/1083),IF(C1791="Estágio",SUMIFS($D:$D,$A:$A,$A1791,$B:$B,"&lt;&gt;Patrícia Karla de Sousa Araújo",$B:$B,"&lt;&gt;Lorena Dias de Araujo",$B:$B,"&lt;&gt;Lucas Luiz Romero")*(10/1083),0)))))),0)</f>
        <v>26</v>
      </c>
      <c r="K1791" s="3">
        <f>I1791-J1791</f>
        <v>8</v>
      </c>
      <c r="L1791" s="3" t="str">
        <f>IF(K1791&lt;-5,"CRÍTICO",IF(K1791&lt;0,"ATENÇÃO",IF(K1791&lt;=5,"BOM","EXCELENTE")))</f>
        <v>EXCELENTE</v>
      </c>
      <c r="M1791">
        <v>32</v>
      </c>
      <c r="N1791">
        <v>100</v>
      </c>
      <c r="O1791">
        <v>29.71311475409836</v>
      </c>
    </row>
    <row r="1792" spans="1:15" hidden="1" x14ac:dyDescent="0.25">
      <c r="A1792" s="11">
        <v>46057</v>
      </c>
      <c r="B1792" t="s">
        <v>50</v>
      </c>
      <c r="C1792" t="s">
        <v>48</v>
      </c>
      <c r="D1792">
        <v>32</v>
      </c>
      <c r="E1792">
        <v>31</v>
      </c>
      <c r="F1792">
        <v>22.11</v>
      </c>
      <c r="G1792">
        <v>0</v>
      </c>
      <c r="H1792">
        <v>0</v>
      </c>
      <c r="I1792" s="3">
        <f>E1792+G1792+H1792</f>
        <v>31</v>
      </c>
      <c r="J1792" s="3">
        <f>ROUND(MIN(IF(C1792="Técnico III",35,IF(C1792="Técnico II",28,IF(C1792="Técnico I",23,IF(C1792="JR",20,IF(C1792="Estágio",10,0))))),IF(C1792="Técnico III",SUMIFS($D:$D,$A:$A,$A1792,$B:$B,"&lt;&gt;Patrícia Karla de Sousa Araújo",$B:$B,"&lt;&gt;Lorena Dias de Araujo",$B:$B,"&lt;&gt;Lucas Luiz Romero")*(35/1083),IF(C1792="Técnico II",SUMIFS($D:$D,$A:$A,$A1792,$B:$B,"&lt;&gt;Patrícia Karla de Sousa Araújo",$B:$B,"&lt;&gt;Lorena Dias de Araujo",$B:$B,"&lt;&gt;Lucas Luiz Romero")*(28/1083),IF(C1792="Técnico I",SUMIFS($D:$D,$A:$A,$A1792,$B:$B,"&lt;&gt;Patrícia Karla de Sousa Araújo",$B:$B,"&lt;&gt;Lorena Dias de Araujo",$B:$B,"&lt;&gt;Lucas Luiz Romero")*(23/1083),IF(C1792="JR",SUMIFS($D:$D,$A:$A,$A1792,$B:$B,"&lt;&gt;Patrícia Karla de Sousa Araújo",$B:$B,"&lt;&gt;Lorena Dias de Araujo",$B:$B,"&lt;&gt;Lucas Luiz Romero")*(20/1083),IF(C1792="Estágio",SUMIFS($D:$D,$A:$A,$A1792,$B:$B,"&lt;&gt;Patrícia Karla de Sousa Araújo",$B:$B,"&lt;&gt;Lorena Dias de Araujo",$B:$B,"&lt;&gt;Lucas Luiz Romero")*(10/1083),0)))))),0)</f>
        <v>26</v>
      </c>
      <c r="K1792" s="3">
        <f>I1792-J1792</f>
        <v>5</v>
      </c>
      <c r="L1792" s="3" t="str">
        <f>IF(K1792&lt;-5,"CRÍTICO",IF(K1792&lt;0,"ATENÇÃO",IF(K1792&lt;=5,"BOM","EXCELENTE")))</f>
        <v>BOM</v>
      </c>
      <c r="M1792">
        <v>31</v>
      </c>
      <c r="N1792">
        <v>99.22</v>
      </c>
      <c r="O1792">
        <v>35.256410256410263</v>
      </c>
    </row>
    <row r="1793" spans="1:15" hidden="1" x14ac:dyDescent="0.25">
      <c r="A1793" s="11">
        <v>46057</v>
      </c>
      <c r="B1793" t="s">
        <v>17</v>
      </c>
      <c r="C1793" t="s">
        <v>16</v>
      </c>
      <c r="D1793">
        <v>0</v>
      </c>
      <c r="E1793">
        <v>0</v>
      </c>
      <c r="F1793">
        <v>0</v>
      </c>
      <c r="G1793">
        <v>0</v>
      </c>
      <c r="H1793">
        <v>0</v>
      </c>
      <c r="I1793" s="3">
        <v>0</v>
      </c>
      <c r="J1793" s="3">
        <v>0</v>
      </c>
      <c r="K1793" s="3">
        <v>0</v>
      </c>
      <c r="L1793" s="3" t="str">
        <f>IF(K1793&lt;-5,"CRÍTICO",IF(K1793&lt;0,"ATENÇÃO",IF(K1793&lt;=5,"BOM","EXCELENTE")))</f>
        <v>BOM</v>
      </c>
      <c r="M1793">
        <v>0</v>
      </c>
      <c r="N1793">
        <v>0</v>
      </c>
      <c r="O1793">
        <v>0</v>
      </c>
    </row>
    <row r="1794" spans="1:15" hidden="1" x14ac:dyDescent="0.25">
      <c r="A1794" s="11">
        <v>46057</v>
      </c>
      <c r="B1794" t="s">
        <v>60</v>
      </c>
      <c r="C1794" t="s">
        <v>23</v>
      </c>
      <c r="D1794">
        <v>16</v>
      </c>
      <c r="E1794">
        <v>16</v>
      </c>
      <c r="F1794">
        <v>28.51</v>
      </c>
      <c r="G1794">
        <v>0</v>
      </c>
      <c r="H1794">
        <v>0</v>
      </c>
      <c r="I1794" s="3">
        <f>E1794+G1794+H1794</f>
        <v>16</v>
      </c>
      <c r="J1794" s="3">
        <f>ROUND(MIN(IF(C1794="Técnico III",35,IF(C1794="Técnico II",28,IF(C1794="Técnico I",23,IF(C1794="JR",20,IF(C1794="Estágio",10,0))))),IF(C1794="Técnico III",SUMIFS($D:$D,$A:$A,$A1794,$B:$B,"&lt;&gt;Patrícia Karla de Sousa Araújo",$B:$B,"&lt;&gt;Lorena Dias de Araujo",$B:$B,"&lt;&gt;Lucas Luiz Romero")*(35/1083),IF(C1794="Técnico II",SUMIFS($D:$D,$A:$A,$A1794,$B:$B,"&lt;&gt;Patrícia Karla de Sousa Araújo",$B:$B,"&lt;&gt;Lorena Dias de Araujo",$B:$B,"&lt;&gt;Lucas Luiz Romero")*(28/1083),IF(C1794="Técnico I",SUMIFS($D:$D,$A:$A,$A1794,$B:$B,"&lt;&gt;Patrícia Karla de Sousa Araújo",$B:$B,"&lt;&gt;Lorena Dias de Araujo",$B:$B,"&lt;&gt;Lucas Luiz Romero")*(23/1083),IF(C1794="JR",SUMIFS($D:$D,$A:$A,$A1794,$B:$B,"&lt;&gt;Patrícia Karla de Sousa Araújo",$B:$B,"&lt;&gt;Lorena Dias de Araujo",$B:$B,"&lt;&gt;Lucas Luiz Romero")*(20/1083),IF(C1794="Estágio",SUMIFS($D:$D,$A:$A,$A1794,$B:$B,"&lt;&gt;Patrícia Karla de Sousa Araújo",$B:$B,"&lt;&gt;Lorena Dias de Araujo",$B:$B,"&lt;&gt;Lucas Luiz Romero")*(10/1083),0)))))),0)</f>
        <v>21</v>
      </c>
      <c r="K1794" s="3">
        <f>I1794-J1794</f>
        <v>-5</v>
      </c>
      <c r="L1794" s="3" t="str">
        <f>IF(K1794&lt;-5,"CRÍTICO",IF(K1794&lt;0,"ATENÇÃO",IF(K1794&lt;=5,"BOM","EXCELENTE")))</f>
        <v>ATENÇÃO</v>
      </c>
      <c r="M1794">
        <v>16</v>
      </c>
      <c r="N1794">
        <v>98.75</v>
      </c>
      <c r="O1794">
        <v>24.32432432432433</v>
      </c>
    </row>
    <row r="1795" spans="1:15" hidden="1" x14ac:dyDescent="0.25">
      <c r="A1795" s="11">
        <v>46057</v>
      </c>
      <c r="B1795" t="s">
        <v>34</v>
      </c>
      <c r="C1795" t="s">
        <v>32</v>
      </c>
      <c r="D1795">
        <v>53</v>
      </c>
      <c r="E1795">
        <v>48</v>
      </c>
      <c r="F1795">
        <v>11.55</v>
      </c>
      <c r="G1795">
        <v>0</v>
      </c>
      <c r="H1795">
        <v>0</v>
      </c>
      <c r="I1795" s="3">
        <f>E1795+G1795+H1795</f>
        <v>48</v>
      </c>
      <c r="J1795" s="3">
        <f>ROUND(MIN(IF(C1795="Técnico III",35,IF(C1795="Técnico II",28,IF(C1795="Técnico I",23,IF(C1795="JR",20,IF(C1795="Estágio",10,0))))),IF(C1795="Técnico III",SUMIFS($D:$D,$A:$A,$A1795,$B:$B,"&lt;&gt;Patrícia Karla de Sousa Araújo",$B:$B,"&lt;&gt;Lorena Dias de Araujo",$B:$B,"&lt;&gt;Lucas Luiz Romero")*(35/1083),IF(C1795="Técnico II",SUMIFS($D:$D,$A:$A,$A1795,$B:$B,"&lt;&gt;Patrícia Karla de Sousa Araújo",$B:$B,"&lt;&gt;Lorena Dias de Araujo",$B:$B,"&lt;&gt;Lucas Luiz Romero")*(28/1083),IF(C1795="Técnico I",SUMIFS($D:$D,$A:$A,$A1795,$B:$B,"&lt;&gt;Patrícia Karla de Sousa Araújo",$B:$B,"&lt;&gt;Lorena Dias de Araujo",$B:$B,"&lt;&gt;Lucas Luiz Romero")*(23/1083),IF(C1795="JR",SUMIFS($D:$D,$A:$A,$A1795,$B:$B,"&lt;&gt;Patrícia Karla de Sousa Araújo",$B:$B,"&lt;&gt;Lorena Dias de Araujo",$B:$B,"&lt;&gt;Lucas Luiz Romero")*(20/1083),IF(C1795="Estágio",SUMIFS($D:$D,$A:$A,$A1795,$B:$B,"&lt;&gt;Patrícia Karla de Sousa Araújo",$B:$B,"&lt;&gt;Lorena Dias de Araujo",$B:$B,"&lt;&gt;Lucas Luiz Romero")*(10/1083),0)))))),0)</f>
        <v>32</v>
      </c>
      <c r="K1795" s="3">
        <f>I1795-J1795</f>
        <v>16</v>
      </c>
      <c r="L1795" s="3" t="str">
        <f>IF(K1795&lt;-5,"CRÍTICO",IF(K1795&lt;0,"ATENÇÃO",IF(K1795&lt;=5,"BOM","EXCELENTE")))</f>
        <v>EXCELENTE</v>
      </c>
      <c r="M1795">
        <v>43</v>
      </c>
      <c r="N1795">
        <v>93.48</v>
      </c>
      <c r="O1795">
        <v>31.52804642166344</v>
      </c>
    </row>
    <row r="1796" spans="1:15" hidden="1" x14ac:dyDescent="0.25">
      <c r="A1796" s="11">
        <v>46057</v>
      </c>
      <c r="B1796" t="s">
        <v>51</v>
      </c>
      <c r="C1796" t="s">
        <v>48</v>
      </c>
      <c r="D1796">
        <v>46</v>
      </c>
      <c r="E1796">
        <v>41</v>
      </c>
      <c r="F1796">
        <v>15.37</v>
      </c>
      <c r="G1796">
        <v>0</v>
      </c>
      <c r="H1796">
        <v>0</v>
      </c>
      <c r="I1796" s="3">
        <v>0</v>
      </c>
      <c r="J1796" s="3">
        <v>0</v>
      </c>
      <c r="K1796" s="3">
        <v>0</v>
      </c>
      <c r="L1796" s="3" t="str">
        <f>IF(K1796&lt;-5,"CRÍTICO",IF(K1796&lt;0,"ATENÇÃO",IF(K1796&lt;=5,"BOM","EXCELENTE")))</f>
        <v>BOM</v>
      </c>
      <c r="M1796">
        <v>38</v>
      </c>
      <c r="N1796">
        <v>99.16</v>
      </c>
      <c r="O1796">
        <v>26.13908872901678</v>
      </c>
    </row>
    <row r="1797" spans="1:15" hidden="1" x14ac:dyDescent="0.25">
      <c r="A1797" s="11">
        <v>46057</v>
      </c>
      <c r="B1797" t="s">
        <v>61</v>
      </c>
      <c r="C1797" t="s">
        <v>23</v>
      </c>
      <c r="D1797">
        <v>12</v>
      </c>
      <c r="E1797">
        <v>12</v>
      </c>
      <c r="F1797">
        <v>32.35</v>
      </c>
      <c r="G1797">
        <v>0</v>
      </c>
      <c r="H1797">
        <v>0</v>
      </c>
      <c r="I1797" s="3">
        <f>E1797+G1797+H1797</f>
        <v>12</v>
      </c>
      <c r="J1797" s="3">
        <f>ROUND(MIN(IF(C1797="Técnico III",35,IF(C1797="Técnico II",28,IF(C1797="Técnico I",23,IF(C1797="JR",20,IF(C1797="Estágio",10,0))))),IF(C1797="Técnico III",SUMIFS($D:$D,$A:$A,$A1797,$B:$B,"&lt;&gt;Patrícia Karla de Sousa Araújo",$B:$B,"&lt;&gt;Lorena Dias de Araujo",$B:$B,"&lt;&gt;Lucas Luiz Romero")*(35/1083),IF(C1797="Técnico II",SUMIFS($D:$D,$A:$A,$A1797,$B:$B,"&lt;&gt;Patrícia Karla de Sousa Araújo",$B:$B,"&lt;&gt;Lorena Dias de Araujo",$B:$B,"&lt;&gt;Lucas Luiz Romero")*(28/1083),IF(C1797="Técnico I",SUMIFS($D:$D,$A:$A,$A1797,$B:$B,"&lt;&gt;Patrícia Karla de Sousa Araújo",$B:$B,"&lt;&gt;Lorena Dias de Araujo",$B:$B,"&lt;&gt;Lucas Luiz Romero")*(23/1083),IF(C1797="JR",SUMIFS($D:$D,$A:$A,$A1797,$B:$B,"&lt;&gt;Patrícia Karla de Sousa Araújo",$B:$B,"&lt;&gt;Lorena Dias de Araujo",$B:$B,"&lt;&gt;Lucas Luiz Romero")*(20/1083),IF(C1797="Estágio",SUMIFS($D:$D,$A:$A,$A1797,$B:$B,"&lt;&gt;Patrícia Karla de Sousa Araújo",$B:$B,"&lt;&gt;Lorena Dias de Araujo",$B:$B,"&lt;&gt;Lucas Luiz Romero")*(10/1083),0)))))),0)</f>
        <v>21</v>
      </c>
      <c r="K1797" s="3">
        <f>I1797-J1797</f>
        <v>-9</v>
      </c>
      <c r="L1797" s="3" t="str">
        <f>IF(K1797&lt;-5,"CRÍTICO",IF(K1797&lt;0,"ATENÇÃO",IF(K1797&lt;=5,"BOM","EXCELENTE")))</f>
        <v>CRÍTICO</v>
      </c>
      <c r="M1797">
        <v>18</v>
      </c>
      <c r="N1797">
        <v>100</v>
      </c>
      <c r="O1797">
        <v>31.089743589743591</v>
      </c>
    </row>
    <row r="1798" spans="1:15" hidden="1" x14ac:dyDescent="0.25">
      <c r="A1798" s="11">
        <v>46057</v>
      </c>
      <c r="B1798" t="s">
        <v>35</v>
      </c>
      <c r="C1798" t="s">
        <v>32</v>
      </c>
      <c r="D1798">
        <v>34</v>
      </c>
      <c r="E1798">
        <v>33</v>
      </c>
      <c r="F1798">
        <v>20.39</v>
      </c>
      <c r="G1798">
        <v>0</v>
      </c>
      <c r="H1798">
        <v>0</v>
      </c>
      <c r="I1798" s="3">
        <v>0</v>
      </c>
      <c r="J1798" s="3">
        <v>0</v>
      </c>
      <c r="K1798" s="3">
        <v>0</v>
      </c>
      <c r="L1798" s="3" t="str">
        <f>IF(K1798&lt;-5,"CRÍTICO",IF(K1798&lt;0,"ATENÇÃO",IF(K1798&lt;=5,"BOM","EXCELENTE")))</f>
        <v>BOM</v>
      </c>
      <c r="M1798">
        <v>33</v>
      </c>
      <c r="N1798">
        <v>98.11</v>
      </c>
      <c r="O1798">
        <v>33.033707865168537</v>
      </c>
    </row>
    <row r="1799" spans="1:15" hidden="1" x14ac:dyDescent="0.25">
      <c r="A1799" s="11">
        <v>46057</v>
      </c>
      <c r="B1799" t="s">
        <v>18</v>
      </c>
      <c r="C1799" t="s">
        <v>16</v>
      </c>
      <c r="D1799">
        <v>5</v>
      </c>
      <c r="E1799">
        <v>5</v>
      </c>
      <c r="F1799">
        <v>60.41</v>
      </c>
      <c r="G1799">
        <v>0</v>
      </c>
      <c r="H1799">
        <v>0</v>
      </c>
      <c r="I1799" s="3">
        <f>E1799+G1799+H1799</f>
        <v>5</v>
      </c>
      <c r="J1799" s="3">
        <f>ROUND(MIN(IF(C1799="Técnico III",35,IF(C1799="Técnico II",28,IF(C1799="Técnico I",23,IF(C1799="JR",20,IF(C1799="Estágio",10,0))))),IF(C1799="Técnico III",SUMIFS($D:$D,$A:$A,$A1799,$B:$B,"&lt;&gt;Patrícia Karla de Sousa Araújo",$B:$B,"&lt;&gt;Lorena Dias de Araujo",$B:$B,"&lt;&gt;Lucas Luiz Romero")*(35/1083),IF(C1799="Técnico II",SUMIFS($D:$D,$A:$A,$A1799,$B:$B,"&lt;&gt;Patrícia Karla de Sousa Araújo",$B:$B,"&lt;&gt;Lorena Dias de Araujo",$B:$B,"&lt;&gt;Lucas Luiz Romero")*(28/1083),IF(C1799="Técnico I",SUMIFS($D:$D,$A:$A,$A1799,$B:$B,"&lt;&gt;Patrícia Karla de Sousa Araújo",$B:$B,"&lt;&gt;Lorena Dias de Araujo",$B:$B,"&lt;&gt;Lucas Luiz Romero")*(23/1083),IF(C1799="JR",SUMIFS($D:$D,$A:$A,$A1799,$B:$B,"&lt;&gt;Patrícia Karla de Sousa Araújo",$B:$B,"&lt;&gt;Lorena Dias de Araujo",$B:$B,"&lt;&gt;Lucas Luiz Romero")*(20/1083),IF(C1799="Estágio",SUMIFS($D:$D,$A:$A,$A1799,$B:$B,"&lt;&gt;Patrícia Karla de Sousa Araújo",$B:$B,"&lt;&gt;Lorena Dias de Araujo",$B:$B,"&lt;&gt;Lucas Luiz Romero")*(10/1083),0)))))),0)</f>
        <v>9</v>
      </c>
      <c r="K1799" s="3">
        <f>I1799-J1799</f>
        <v>-4</v>
      </c>
      <c r="L1799" s="3" t="str">
        <f>IF(K1799&lt;-5,"CRÍTICO",IF(K1799&lt;0,"ATENÇÃO",IF(K1799&lt;=5,"BOM","EXCELENTE")))</f>
        <v>ATENÇÃO</v>
      </c>
      <c r="M1799">
        <v>3</v>
      </c>
      <c r="N1799">
        <v>78.95</v>
      </c>
      <c r="O1799">
        <v>38.983050847457633</v>
      </c>
    </row>
    <row r="1800" spans="1:15" hidden="1" x14ac:dyDescent="0.25">
      <c r="A1800" s="11">
        <v>46057</v>
      </c>
      <c r="B1800" t="s">
        <v>52</v>
      </c>
      <c r="C1800" t="s">
        <v>48</v>
      </c>
      <c r="D1800">
        <v>24</v>
      </c>
      <c r="E1800">
        <v>23</v>
      </c>
      <c r="F1800">
        <v>15.27</v>
      </c>
      <c r="G1800">
        <v>0</v>
      </c>
      <c r="H1800">
        <v>0</v>
      </c>
      <c r="I1800" s="3">
        <f>E1800+G1800+H1800</f>
        <v>23</v>
      </c>
      <c r="J1800" s="3">
        <f>ROUND(MIN(IF(C1800="Técnico III",35,IF(C1800="Técnico II",28,IF(C1800="Técnico I",23,IF(C1800="JR",20,IF(C1800="Estágio",10,0))))),IF(C1800="Técnico III",SUMIFS($D:$D,$A:$A,$A1800,$B:$B,"&lt;&gt;Patrícia Karla de Sousa Araújo",$B:$B,"&lt;&gt;Lorena Dias de Araujo",$B:$B,"&lt;&gt;Lucas Luiz Romero")*(35/1083),IF(C1800="Técnico II",SUMIFS($D:$D,$A:$A,$A1800,$B:$B,"&lt;&gt;Patrícia Karla de Sousa Araújo",$B:$B,"&lt;&gt;Lorena Dias de Araujo",$B:$B,"&lt;&gt;Lucas Luiz Romero")*(28/1083),IF(C1800="Técnico I",SUMIFS($D:$D,$A:$A,$A1800,$B:$B,"&lt;&gt;Patrícia Karla de Sousa Araújo",$B:$B,"&lt;&gt;Lorena Dias de Araujo",$B:$B,"&lt;&gt;Lucas Luiz Romero")*(23/1083),IF(C1800="JR",SUMIFS($D:$D,$A:$A,$A1800,$B:$B,"&lt;&gt;Patrícia Karla de Sousa Araújo",$B:$B,"&lt;&gt;Lorena Dias de Araujo",$B:$B,"&lt;&gt;Lucas Luiz Romero")*(20/1083),IF(C1800="Estágio",SUMIFS($D:$D,$A:$A,$A1800,$B:$B,"&lt;&gt;Patrícia Karla de Sousa Araújo",$B:$B,"&lt;&gt;Lorena Dias de Araujo",$B:$B,"&lt;&gt;Lucas Luiz Romero")*(10/1083),0)))))),0)</f>
        <v>26</v>
      </c>
      <c r="K1800" s="3">
        <f>I1800-J1800</f>
        <v>-3</v>
      </c>
      <c r="L1800" s="3" t="str">
        <f>IF(K1800&lt;-5,"CRÍTICO",IF(K1800&lt;0,"ATENÇÃO",IF(K1800&lt;=5,"BOM","EXCELENTE")))</f>
        <v>ATENÇÃO</v>
      </c>
      <c r="M1800">
        <v>20</v>
      </c>
      <c r="N1800">
        <v>98.45</v>
      </c>
      <c r="O1800">
        <v>29.281767955801101</v>
      </c>
    </row>
    <row r="1801" spans="1:15" hidden="1" x14ac:dyDescent="0.25">
      <c r="A1801" s="11">
        <v>46057</v>
      </c>
      <c r="B1801" t="s">
        <v>36</v>
      </c>
      <c r="C1801" t="s">
        <v>32</v>
      </c>
      <c r="D1801">
        <v>27</v>
      </c>
      <c r="E1801">
        <v>27</v>
      </c>
      <c r="F1801">
        <v>19.13</v>
      </c>
      <c r="G1801">
        <v>0</v>
      </c>
      <c r="H1801">
        <v>0</v>
      </c>
      <c r="I1801" s="3">
        <f>E1801+G1801+H1801</f>
        <v>27</v>
      </c>
      <c r="J1801" s="3">
        <f>ROUND(MIN(IF(C1801="Técnico III",35,IF(C1801="Técnico II",28,IF(C1801="Técnico I",23,IF(C1801="JR",20,IF(C1801="Estágio",10,0))))),IF(C1801="Técnico III",SUMIFS($D:$D,$A:$A,$A1801,$B:$B,"&lt;&gt;Patrícia Karla de Sousa Araújo",$B:$B,"&lt;&gt;Lorena Dias de Araujo",$B:$B,"&lt;&gt;Lucas Luiz Romero")*(35/1083),IF(C1801="Técnico II",SUMIFS($D:$D,$A:$A,$A1801,$B:$B,"&lt;&gt;Patrícia Karla de Sousa Araújo",$B:$B,"&lt;&gt;Lorena Dias de Araujo",$B:$B,"&lt;&gt;Lucas Luiz Romero")*(28/1083),IF(C1801="Técnico I",SUMIFS($D:$D,$A:$A,$A1801,$B:$B,"&lt;&gt;Patrícia Karla de Sousa Araújo",$B:$B,"&lt;&gt;Lorena Dias de Araujo",$B:$B,"&lt;&gt;Lucas Luiz Romero")*(23/1083),IF(C1801="JR",SUMIFS($D:$D,$A:$A,$A1801,$B:$B,"&lt;&gt;Patrícia Karla de Sousa Araújo",$B:$B,"&lt;&gt;Lorena Dias de Araujo",$B:$B,"&lt;&gt;Lucas Luiz Romero")*(20/1083),IF(C1801="Estágio",SUMIFS($D:$D,$A:$A,$A1801,$B:$B,"&lt;&gt;Patrícia Karla de Sousa Araújo",$B:$B,"&lt;&gt;Lorena Dias de Araujo",$B:$B,"&lt;&gt;Lucas Luiz Romero")*(10/1083),0)))))),0)</f>
        <v>32</v>
      </c>
      <c r="K1801" s="3">
        <f>I1801-J1801</f>
        <v>-5</v>
      </c>
      <c r="L1801" s="3" t="str">
        <f>IF(K1801&lt;-5,"CRÍTICO",IF(K1801&lt;0,"ATENÇÃO",IF(K1801&lt;=5,"BOM","EXCELENTE")))</f>
        <v>ATENÇÃO</v>
      </c>
      <c r="M1801">
        <v>27</v>
      </c>
      <c r="N1801">
        <v>97.84</v>
      </c>
      <c r="O1801">
        <v>26.282051282051281</v>
      </c>
    </row>
    <row r="1802" spans="1:15" hidden="1" x14ac:dyDescent="0.25">
      <c r="A1802" s="11">
        <v>46057</v>
      </c>
      <c r="B1802" t="s">
        <v>53</v>
      </c>
      <c r="C1802" t="s">
        <v>48</v>
      </c>
      <c r="D1802">
        <v>51</v>
      </c>
      <c r="E1802">
        <v>48</v>
      </c>
      <c r="F1802">
        <v>15.21</v>
      </c>
      <c r="G1802">
        <v>0</v>
      </c>
      <c r="H1802">
        <v>0</v>
      </c>
      <c r="I1802" s="3">
        <f>E1802+G1802+H1802</f>
        <v>48</v>
      </c>
      <c r="J1802" s="3">
        <f>ROUND(MIN(IF(C1802="Técnico III",35,IF(C1802="Técnico II",28,IF(C1802="Técnico I",23,IF(C1802="JR",20,IF(C1802="Estágio",10,0))))),IF(C1802="Técnico III",SUMIFS($D:$D,$A:$A,$A1802,$B:$B,"&lt;&gt;Patrícia Karla de Sousa Araújo",$B:$B,"&lt;&gt;Lorena Dias de Araujo",$B:$B,"&lt;&gt;Lucas Luiz Romero")*(35/1083),IF(C1802="Técnico II",SUMIFS($D:$D,$A:$A,$A1802,$B:$B,"&lt;&gt;Patrícia Karla de Sousa Araújo",$B:$B,"&lt;&gt;Lorena Dias de Araujo",$B:$B,"&lt;&gt;Lucas Luiz Romero")*(28/1083),IF(C1802="Técnico I",SUMIFS($D:$D,$A:$A,$A1802,$B:$B,"&lt;&gt;Patrícia Karla de Sousa Araújo",$B:$B,"&lt;&gt;Lorena Dias de Araujo",$B:$B,"&lt;&gt;Lucas Luiz Romero")*(23/1083),IF(C1802="JR",SUMIFS($D:$D,$A:$A,$A1802,$B:$B,"&lt;&gt;Patrícia Karla de Sousa Araújo",$B:$B,"&lt;&gt;Lorena Dias de Araujo",$B:$B,"&lt;&gt;Lucas Luiz Romero")*(20/1083),IF(C1802="Estágio",SUMIFS($D:$D,$A:$A,$A1802,$B:$B,"&lt;&gt;Patrícia Karla de Sousa Araújo",$B:$B,"&lt;&gt;Lorena Dias de Araujo",$B:$B,"&lt;&gt;Lucas Luiz Romero")*(10/1083),0)))))),0)</f>
        <v>26</v>
      </c>
      <c r="K1802" s="3">
        <f>I1802-J1802</f>
        <v>22</v>
      </c>
      <c r="L1802" s="3" t="str">
        <f>IF(K1802&lt;-5,"CRÍTICO",IF(K1802&lt;0,"ATENÇÃO",IF(K1802&lt;=5,"BOM","EXCELENTE")))</f>
        <v>EXCELENTE</v>
      </c>
      <c r="M1802">
        <v>47</v>
      </c>
      <c r="N1802">
        <v>98.5</v>
      </c>
      <c r="O1802">
        <v>23.97769516728625</v>
      </c>
    </row>
    <row r="1803" spans="1:15" hidden="1" x14ac:dyDescent="0.25">
      <c r="A1803" s="11">
        <v>46091</v>
      </c>
      <c r="B1803" t="s">
        <v>22</v>
      </c>
      <c r="C1803" t="s">
        <v>23</v>
      </c>
      <c r="D1803">
        <v>13</v>
      </c>
      <c r="E1803">
        <v>11</v>
      </c>
      <c r="F1803">
        <v>17.059999999999999</v>
      </c>
      <c r="G1803">
        <v>0</v>
      </c>
      <c r="H1803">
        <v>0</v>
      </c>
      <c r="I1803" s="3">
        <f>E1803+G1803+H1803</f>
        <v>11</v>
      </c>
      <c r="J1803" s="3">
        <f>ROUND(MIN(IF(C1803="Técnico III",35,IF(C1803="Técnico II",28,IF(C1803="Técnico I",23,IF(C1803="JR",20,IF(C1803="Estágio",10,0))))),IF(C1803="Técnico III",SUMIFS($D:$D,$A:$A,$A1803,$B:$B,"&lt;&gt;Patrícia Karla de Sousa Araújo",$B:$B,"&lt;&gt;Lorena Dias de Araujo",$B:$B,"&lt;&gt;Lucas Luiz Romero")*(35/1083),IF(C1803="Técnico II",SUMIFS($D:$D,$A:$A,$A1803,$B:$B,"&lt;&gt;Patrícia Karla de Sousa Araújo",$B:$B,"&lt;&gt;Lorena Dias de Araujo",$B:$B,"&lt;&gt;Lucas Luiz Romero")*(28/1083),IF(C1803="Técnico I",SUMIFS($D:$D,$A:$A,$A1803,$B:$B,"&lt;&gt;Patrícia Karla de Sousa Araújo",$B:$B,"&lt;&gt;Lorena Dias de Araujo",$B:$B,"&lt;&gt;Lucas Luiz Romero")*(23/1083),IF(C1803="JR",SUMIFS($D:$D,$A:$A,$A1803,$B:$B,"&lt;&gt;Patrícia Karla de Sousa Araújo",$B:$B,"&lt;&gt;Lorena Dias de Araujo",$B:$B,"&lt;&gt;Lucas Luiz Romero")*(20/1083),IF(C1803="Estágio",SUMIFS($D:$D,$A:$A,$A1803,$B:$B,"&lt;&gt;Patrícia Karla de Sousa Araújo",$B:$B,"&lt;&gt;Lorena Dias de Araujo",$B:$B,"&lt;&gt;Lucas Luiz Romero")*(10/1083),0)))))),0)</f>
        <v>14</v>
      </c>
      <c r="K1803" s="3">
        <f>I1803-J1803</f>
        <v>-3</v>
      </c>
      <c r="L1803" s="3" t="str">
        <f>IF(K1803&lt;-5,"CRÍTICO",IF(K1803&lt;0,"ATENÇÃO",IF(K1803&lt;=5,"BOM","EXCELENTE")))</f>
        <v>ATENÇÃO</v>
      </c>
      <c r="M1803">
        <v>15</v>
      </c>
      <c r="N1803">
        <v>99.05</v>
      </c>
      <c r="O1803">
        <v>26.621923937360179</v>
      </c>
    </row>
    <row r="1804" spans="1:15" hidden="1" x14ac:dyDescent="0.25">
      <c r="A1804" s="11">
        <v>46057</v>
      </c>
      <c r="B1804" t="s">
        <v>54</v>
      </c>
      <c r="C1804" t="s">
        <v>48</v>
      </c>
      <c r="D1804">
        <v>33</v>
      </c>
      <c r="E1804">
        <v>32</v>
      </c>
      <c r="F1804">
        <v>21.57</v>
      </c>
      <c r="G1804">
        <v>0</v>
      </c>
      <c r="H1804">
        <v>0</v>
      </c>
      <c r="I1804" s="3">
        <f>E1804+G1804+H1804</f>
        <v>32</v>
      </c>
      <c r="J1804" s="3">
        <f>ROUND(MIN(IF(C1804="Técnico III",35,IF(C1804="Técnico II",28,IF(C1804="Técnico I",23,IF(C1804="JR",20,IF(C1804="Estágio",10,0))))),IF(C1804="Técnico III",SUMIFS($D:$D,$A:$A,$A1804,$B:$B,"&lt;&gt;Patrícia Karla de Sousa Araújo",$B:$B,"&lt;&gt;Lorena Dias de Araujo",$B:$B,"&lt;&gt;Lucas Luiz Romero")*(35/1083),IF(C1804="Técnico II",SUMIFS($D:$D,$A:$A,$A1804,$B:$B,"&lt;&gt;Patrícia Karla de Sousa Araújo",$B:$B,"&lt;&gt;Lorena Dias de Araujo",$B:$B,"&lt;&gt;Lucas Luiz Romero")*(28/1083),IF(C1804="Técnico I",SUMIFS($D:$D,$A:$A,$A1804,$B:$B,"&lt;&gt;Patrícia Karla de Sousa Araújo",$B:$B,"&lt;&gt;Lorena Dias de Araujo",$B:$B,"&lt;&gt;Lucas Luiz Romero")*(23/1083),IF(C1804="JR",SUMIFS($D:$D,$A:$A,$A1804,$B:$B,"&lt;&gt;Patrícia Karla de Sousa Araújo",$B:$B,"&lt;&gt;Lorena Dias de Araujo",$B:$B,"&lt;&gt;Lucas Luiz Romero")*(20/1083),IF(C1804="Estágio",SUMIFS($D:$D,$A:$A,$A1804,$B:$B,"&lt;&gt;Patrícia Karla de Sousa Araújo",$B:$B,"&lt;&gt;Lorena Dias de Araujo",$B:$B,"&lt;&gt;Lucas Luiz Romero")*(10/1083),0)))))),0)</f>
        <v>26</v>
      </c>
      <c r="K1804" s="3">
        <f>I1804-J1804</f>
        <v>6</v>
      </c>
      <c r="L1804" s="3" t="str">
        <f>IF(K1804&lt;-5,"CRÍTICO",IF(K1804&lt;0,"ATENÇÃO",IF(K1804&lt;=5,"BOM","EXCELENTE")))</f>
        <v>EXCELENTE</v>
      </c>
      <c r="M1804">
        <v>30</v>
      </c>
      <c r="N1804">
        <v>98.53</v>
      </c>
      <c r="O1804">
        <v>31.578947368421051</v>
      </c>
    </row>
    <row r="1805" spans="1:15" hidden="1" x14ac:dyDescent="0.25">
      <c r="A1805" s="11">
        <v>46057</v>
      </c>
      <c r="B1805" t="s">
        <v>37</v>
      </c>
      <c r="C1805" t="s">
        <v>32</v>
      </c>
      <c r="D1805">
        <v>57</v>
      </c>
      <c r="E1805">
        <v>53</v>
      </c>
      <c r="F1805">
        <v>11.55</v>
      </c>
      <c r="G1805">
        <v>0</v>
      </c>
      <c r="H1805">
        <v>0</v>
      </c>
      <c r="I1805" s="3">
        <f>E1805+G1805+H1805</f>
        <v>53</v>
      </c>
      <c r="J1805" s="3">
        <f>ROUND(MIN(IF(C1805="Técnico III",35,IF(C1805="Técnico II",28,IF(C1805="Técnico I",23,IF(C1805="JR",20,IF(C1805="Estágio",10,0))))),IF(C1805="Técnico III",SUMIFS($D:$D,$A:$A,$A1805,$B:$B,"&lt;&gt;Patrícia Karla de Sousa Araújo",$B:$B,"&lt;&gt;Lorena Dias de Araujo",$B:$B,"&lt;&gt;Lucas Luiz Romero")*(35/1083),IF(C1805="Técnico II",SUMIFS($D:$D,$A:$A,$A1805,$B:$B,"&lt;&gt;Patrícia Karla de Sousa Araújo",$B:$B,"&lt;&gt;Lorena Dias de Araujo",$B:$B,"&lt;&gt;Lucas Luiz Romero")*(28/1083),IF(C1805="Técnico I",SUMIFS($D:$D,$A:$A,$A1805,$B:$B,"&lt;&gt;Patrícia Karla de Sousa Araújo",$B:$B,"&lt;&gt;Lorena Dias de Araujo",$B:$B,"&lt;&gt;Lucas Luiz Romero")*(23/1083),IF(C1805="JR",SUMIFS($D:$D,$A:$A,$A1805,$B:$B,"&lt;&gt;Patrícia Karla de Sousa Araújo",$B:$B,"&lt;&gt;Lorena Dias de Araujo",$B:$B,"&lt;&gt;Lucas Luiz Romero")*(20/1083),IF(C1805="Estágio",SUMIFS($D:$D,$A:$A,$A1805,$B:$B,"&lt;&gt;Patrícia Karla de Sousa Araújo",$B:$B,"&lt;&gt;Lorena Dias de Araujo",$B:$B,"&lt;&gt;Lucas Luiz Romero")*(10/1083),0)))))),0)</f>
        <v>32</v>
      </c>
      <c r="K1805" s="3">
        <f>I1805-J1805</f>
        <v>21</v>
      </c>
      <c r="L1805" s="3" t="str">
        <f>IF(K1805&lt;-5,"CRÍTICO",IF(K1805&lt;0,"ATENÇÃO",IF(K1805&lt;=5,"BOM","EXCELENTE")))</f>
        <v>EXCELENTE</v>
      </c>
      <c r="M1805">
        <v>55</v>
      </c>
      <c r="N1805">
        <v>100</v>
      </c>
      <c r="O1805">
        <v>25.72214580467676</v>
      </c>
    </row>
    <row r="1806" spans="1:15" hidden="1" x14ac:dyDescent="0.25">
      <c r="A1806" s="11">
        <v>46057</v>
      </c>
      <c r="B1806" t="s">
        <v>38</v>
      </c>
      <c r="C1806" t="s">
        <v>32</v>
      </c>
      <c r="D1806">
        <v>50</v>
      </c>
      <c r="E1806">
        <v>46</v>
      </c>
      <c r="F1806">
        <v>10.35</v>
      </c>
      <c r="G1806">
        <v>0</v>
      </c>
      <c r="H1806">
        <v>0</v>
      </c>
      <c r="I1806" s="3">
        <f>E1806+G1806+H1806</f>
        <v>46</v>
      </c>
      <c r="J1806" s="3">
        <f>ROUND(MIN(IF(C1806="Técnico III",35,IF(C1806="Técnico II",28,IF(C1806="Técnico I",23,IF(C1806="JR",20,IF(C1806="Estágio",10,0))))),IF(C1806="Técnico III",SUMIFS($D:$D,$A:$A,$A1806,$B:$B,"&lt;&gt;Patrícia Karla de Sousa Araújo",$B:$B,"&lt;&gt;Lorena Dias de Araujo",$B:$B,"&lt;&gt;Lucas Luiz Romero")*(35/1083),IF(C1806="Técnico II",SUMIFS($D:$D,$A:$A,$A1806,$B:$B,"&lt;&gt;Patrícia Karla de Sousa Araújo",$B:$B,"&lt;&gt;Lorena Dias de Araujo",$B:$B,"&lt;&gt;Lucas Luiz Romero")*(28/1083),IF(C1806="Técnico I",SUMIFS($D:$D,$A:$A,$A1806,$B:$B,"&lt;&gt;Patrícia Karla de Sousa Araújo",$B:$B,"&lt;&gt;Lorena Dias de Araujo",$B:$B,"&lt;&gt;Lucas Luiz Romero")*(23/1083),IF(C1806="JR",SUMIFS($D:$D,$A:$A,$A1806,$B:$B,"&lt;&gt;Patrícia Karla de Sousa Araújo",$B:$B,"&lt;&gt;Lorena Dias de Araujo",$B:$B,"&lt;&gt;Lucas Luiz Romero")*(20/1083),IF(C1806="Estágio",SUMIFS($D:$D,$A:$A,$A1806,$B:$B,"&lt;&gt;Patrícia Karla de Sousa Araújo",$B:$B,"&lt;&gt;Lorena Dias de Araujo",$B:$B,"&lt;&gt;Lucas Luiz Romero")*(10/1083),0)))))),0)</f>
        <v>32</v>
      </c>
      <c r="K1806" s="3">
        <f>I1806-J1806</f>
        <v>14</v>
      </c>
      <c r="L1806" s="3" t="str">
        <f>IF(K1806&lt;-5,"CRÍTICO",IF(K1806&lt;0,"ATENÇÃO",IF(K1806&lt;=5,"BOM","EXCELENTE")))</f>
        <v>EXCELENTE</v>
      </c>
      <c r="M1806">
        <v>41</v>
      </c>
      <c r="N1806">
        <v>94.64</v>
      </c>
      <c r="O1806">
        <v>27.52941176470588</v>
      </c>
    </row>
    <row r="1807" spans="1:15" hidden="1" x14ac:dyDescent="0.25">
      <c r="A1807" s="11">
        <v>46057</v>
      </c>
      <c r="B1807" t="s">
        <v>55</v>
      </c>
      <c r="C1807" t="s">
        <v>48</v>
      </c>
      <c r="D1807">
        <v>41</v>
      </c>
      <c r="E1807">
        <v>33</v>
      </c>
      <c r="F1807">
        <v>13.59</v>
      </c>
      <c r="G1807">
        <v>0</v>
      </c>
      <c r="H1807">
        <v>0</v>
      </c>
      <c r="I1807" s="3">
        <f>E1807+G1807+H1807</f>
        <v>33</v>
      </c>
      <c r="J1807" s="3">
        <f>ROUND(MIN(IF(C1807="Técnico III",35,IF(C1807="Técnico II",28,IF(C1807="Técnico I",23,IF(C1807="JR",20,IF(C1807="Estágio",10,0))))),IF(C1807="Técnico III",SUMIFS($D:$D,$A:$A,$A1807,$B:$B,"&lt;&gt;Patrícia Karla de Sousa Araújo",$B:$B,"&lt;&gt;Lorena Dias de Araujo",$B:$B,"&lt;&gt;Lucas Luiz Romero")*(35/1083),IF(C1807="Técnico II",SUMIFS($D:$D,$A:$A,$A1807,$B:$B,"&lt;&gt;Patrícia Karla de Sousa Araújo",$B:$B,"&lt;&gt;Lorena Dias de Araujo",$B:$B,"&lt;&gt;Lucas Luiz Romero")*(28/1083),IF(C1807="Técnico I",SUMIFS($D:$D,$A:$A,$A1807,$B:$B,"&lt;&gt;Patrícia Karla de Sousa Araújo",$B:$B,"&lt;&gt;Lorena Dias de Araujo",$B:$B,"&lt;&gt;Lucas Luiz Romero")*(23/1083),IF(C1807="JR",SUMIFS($D:$D,$A:$A,$A1807,$B:$B,"&lt;&gt;Patrícia Karla de Sousa Araújo",$B:$B,"&lt;&gt;Lorena Dias de Araujo",$B:$B,"&lt;&gt;Lucas Luiz Romero")*(20/1083),IF(C1807="Estágio",SUMIFS($D:$D,$A:$A,$A1807,$B:$B,"&lt;&gt;Patrícia Karla de Sousa Araújo",$B:$B,"&lt;&gt;Lorena Dias de Araujo",$B:$B,"&lt;&gt;Lucas Luiz Romero")*(10/1083),0)))))),0)</f>
        <v>26</v>
      </c>
      <c r="K1807" s="3">
        <f>I1807-J1807</f>
        <v>7</v>
      </c>
      <c r="L1807" s="3" t="str">
        <f>IF(K1807&lt;-5,"CRÍTICO",IF(K1807&lt;0,"ATENÇÃO",IF(K1807&lt;=5,"BOM","EXCELENTE")))</f>
        <v>EXCELENTE</v>
      </c>
      <c r="M1807">
        <v>31</v>
      </c>
      <c r="N1807">
        <v>99.07</v>
      </c>
      <c r="O1807">
        <v>26.376811594202898</v>
      </c>
    </row>
    <row r="1808" spans="1:15" hidden="1" x14ac:dyDescent="0.25">
      <c r="A1808" s="11">
        <v>46057</v>
      </c>
      <c r="B1808" t="s">
        <v>39</v>
      </c>
      <c r="C1808" t="s">
        <v>32</v>
      </c>
      <c r="D1808">
        <v>0</v>
      </c>
      <c r="E1808">
        <v>0</v>
      </c>
      <c r="F1808">
        <v>0</v>
      </c>
      <c r="G1808">
        <v>0</v>
      </c>
      <c r="H1808">
        <v>0</v>
      </c>
      <c r="I1808" s="3">
        <v>0</v>
      </c>
      <c r="J1808" s="3">
        <v>0</v>
      </c>
      <c r="K1808" s="3">
        <v>0</v>
      </c>
      <c r="L1808" s="3" t="str">
        <f>IF(K1808&lt;-5,"CRÍTICO",IF(K1808&lt;0,"ATENÇÃO",IF(K1808&lt;=5,"BOM","EXCELENTE")))</f>
        <v>BOM</v>
      </c>
      <c r="M1808">
        <v>0</v>
      </c>
      <c r="N1808">
        <v>100</v>
      </c>
      <c r="O1808">
        <v>0</v>
      </c>
    </row>
    <row r="1809" spans="1:15" hidden="1" x14ac:dyDescent="0.25">
      <c r="A1809" s="11">
        <v>46057</v>
      </c>
      <c r="B1809" t="s">
        <v>25</v>
      </c>
      <c r="C1809" t="s">
        <v>26</v>
      </c>
      <c r="D1809">
        <v>17</v>
      </c>
      <c r="E1809">
        <v>17</v>
      </c>
      <c r="F1809">
        <v>30.12</v>
      </c>
      <c r="G1809">
        <v>0</v>
      </c>
      <c r="H1809">
        <v>0</v>
      </c>
      <c r="I1809" s="3">
        <f>E1809+G1809+H1809</f>
        <v>17</v>
      </c>
      <c r="J1809" s="3">
        <f>ROUND(MIN(IF(C1809="Técnico III",35,IF(C1809="Técnico II",28,IF(C1809="Técnico I",23,IF(C1809="JR",20,IF(C1809="Estágio",10,0))))),IF(C1809="Técnico III",SUMIFS($D:$D,$A:$A,$A1809,$B:$B,"&lt;&gt;Patrícia Karla de Sousa Araújo",$B:$B,"&lt;&gt;Lorena Dias de Araujo",$B:$B,"&lt;&gt;Lucas Luiz Romero")*(35/1083),IF(C1809="Técnico II",SUMIFS($D:$D,$A:$A,$A1809,$B:$B,"&lt;&gt;Patrícia Karla de Sousa Araújo",$B:$B,"&lt;&gt;Lorena Dias de Araujo",$B:$B,"&lt;&gt;Lucas Luiz Romero")*(28/1083),IF(C1809="Técnico I",SUMIFS($D:$D,$A:$A,$A1809,$B:$B,"&lt;&gt;Patrícia Karla de Sousa Araújo",$B:$B,"&lt;&gt;Lorena Dias de Araujo",$B:$B,"&lt;&gt;Lucas Luiz Romero")*(23/1083),IF(C1809="JR",SUMIFS($D:$D,$A:$A,$A1809,$B:$B,"&lt;&gt;Patrícia Karla de Sousa Araújo",$B:$B,"&lt;&gt;Lorena Dias de Araujo",$B:$B,"&lt;&gt;Lucas Luiz Romero")*(20/1083),IF(C1809="Estágio",SUMIFS($D:$D,$A:$A,$A1809,$B:$B,"&lt;&gt;Patrícia Karla de Sousa Araújo",$B:$B,"&lt;&gt;Lorena Dias de Araujo",$B:$B,"&lt;&gt;Lucas Luiz Romero")*(10/1083),0)))))),0)</f>
        <v>18</v>
      </c>
      <c r="K1809" s="3">
        <f>I1809-J1809</f>
        <v>-1</v>
      </c>
      <c r="L1809" s="3" t="str">
        <f>IF(K1809&lt;-5,"CRÍTICO",IF(K1809&lt;0,"ATENÇÃO",IF(K1809&lt;=5,"BOM","EXCELENTE")))</f>
        <v>ATENÇÃO</v>
      </c>
      <c r="M1809">
        <v>15</v>
      </c>
      <c r="N1809">
        <v>98.48</v>
      </c>
      <c r="O1809">
        <v>27.853881278538811</v>
      </c>
    </row>
    <row r="1810" spans="1:15" hidden="1" x14ac:dyDescent="0.25">
      <c r="A1810" s="11">
        <v>46057</v>
      </c>
      <c r="B1810" t="s">
        <v>40</v>
      </c>
      <c r="C1810" t="s">
        <v>32</v>
      </c>
      <c r="D1810">
        <v>33</v>
      </c>
      <c r="E1810">
        <v>31</v>
      </c>
      <c r="F1810">
        <v>18.399999999999999</v>
      </c>
      <c r="G1810">
        <v>0</v>
      </c>
      <c r="H1810">
        <v>0</v>
      </c>
      <c r="I1810" s="3">
        <f>E1810+G1810+H1810</f>
        <v>31</v>
      </c>
      <c r="J1810" s="3">
        <f>ROUND(MIN(IF(C1810="Técnico III",35,IF(C1810="Técnico II",28,IF(C1810="Técnico I",23,IF(C1810="JR",20,IF(C1810="Estágio",10,0))))),IF(C1810="Técnico III",SUMIFS($D:$D,$A:$A,$A1810,$B:$B,"&lt;&gt;Patrícia Karla de Sousa Araújo",$B:$B,"&lt;&gt;Lorena Dias de Araujo",$B:$B,"&lt;&gt;Lucas Luiz Romero")*(35/1083),IF(C1810="Técnico II",SUMIFS($D:$D,$A:$A,$A1810,$B:$B,"&lt;&gt;Patrícia Karla de Sousa Araújo",$B:$B,"&lt;&gt;Lorena Dias de Araujo",$B:$B,"&lt;&gt;Lucas Luiz Romero")*(28/1083),IF(C1810="Técnico I",SUMIFS($D:$D,$A:$A,$A1810,$B:$B,"&lt;&gt;Patrícia Karla de Sousa Araújo",$B:$B,"&lt;&gt;Lorena Dias de Araujo",$B:$B,"&lt;&gt;Lucas Luiz Romero")*(23/1083),IF(C1810="JR",SUMIFS($D:$D,$A:$A,$A1810,$B:$B,"&lt;&gt;Patrícia Karla de Sousa Araújo",$B:$B,"&lt;&gt;Lorena Dias de Araujo",$B:$B,"&lt;&gt;Lucas Luiz Romero")*(20/1083),IF(C1810="Estágio",SUMIFS($D:$D,$A:$A,$A1810,$B:$B,"&lt;&gt;Patrícia Karla de Sousa Araújo",$B:$B,"&lt;&gt;Lorena Dias de Araujo",$B:$B,"&lt;&gt;Lucas Luiz Romero")*(10/1083),0)))))),0)</f>
        <v>32</v>
      </c>
      <c r="K1810" s="3">
        <f>I1810-J1810</f>
        <v>-1</v>
      </c>
      <c r="L1810" s="3" t="str">
        <f>IF(K1810&lt;-5,"CRÍTICO",IF(K1810&lt;0,"ATENÇÃO",IF(K1810&lt;=5,"BOM","EXCELENTE")))</f>
        <v>ATENÇÃO</v>
      </c>
      <c r="M1810">
        <v>30</v>
      </c>
      <c r="N1810">
        <v>95.15</v>
      </c>
      <c r="O1810">
        <v>34.131736526946113</v>
      </c>
    </row>
    <row r="1811" spans="1:15" hidden="1" x14ac:dyDescent="0.25">
      <c r="A1811" s="11">
        <v>46057</v>
      </c>
      <c r="B1811" t="s">
        <v>27</v>
      </c>
      <c r="C1811" t="s">
        <v>26</v>
      </c>
      <c r="D1811">
        <v>0</v>
      </c>
      <c r="E1811">
        <v>0</v>
      </c>
      <c r="F1811">
        <v>0</v>
      </c>
      <c r="G1811">
        <v>0</v>
      </c>
      <c r="H1811">
        <v>0</v>
      </c>
      <c r="I1811" s="3">
        <v>0</v>
      </c>
      <c r="J1811" s="3">
        <v>0</v>
      </c>
      <c r="K1811" s="3">
        <v>0</v>
      </c>
      <c r="L1811" s="3" t="str">
        <f>IF(K1811&lt;-5,"CRÍTICO",IF(K1811&lt;0,"ATENÇÃO",IF(K1811&lt;=5,"BOM","EXCELENTE")))</f>
        <v>BOM</v>
      </c>
      <c r="M1811">
        <v>0</v>
      </c>
      <c r="N1811">
        <v>0</v>
      </c>
      <c r="O1811">
        <v>0</v>
      </c>
    </row>
    <row r="1812" spans="1:15" hidden="1" x14ac:dyDescent="0.25">
      <c r="A1812" s="11">
        <v>46057</v>
      </c>
      <c r="B1812" t="s">
        <v>41</v>
      </c>
      <c r="C1812" t="s">
        <v>32</v>
      </c>
      <c r="D1812">
        <v>29</v>
      </c>
      <c r="E1812">
        <v>26</v>
      </c>
      <c r="F1812">
        <v>23.36</v>
      </c>
      <c r="G1812">
        <v>0</v>
      </c>
      <c r="H1812">
        <v>0</v>
      </c>
      <c r="I1812" s="3">
        <f>E1812+G1812+H1812</f>
        <v>26</v>
      </c>
      <c r="J1812" s="3">
        <f>ROUND(MIN(IF(C1812="Técnico III",35,IF(C1812="Técnico II",28,IF(C1812="Técnico I",23,IF(C1812="JR",20,IF(C1812="Estágio",10,0))))),IF(C1812="Técnico III",SUMIFS($D:$D,$A:$A,$A1812,$B:$B,"&lt;&gt;Patrícia Karla de Sousa Araújo",$B:$B,"&lt;&gt;Lorena Dias de Araujo",$B:$B,"&lt;&gt;Lucas Luiz Romero")*(35/1083),IF(C1812="Técnico II",SUMIFS($D:$D,$A:$A,$A1812,$B:$B,"&lt;&gt;Patrícia Karla de Sousa Araújo",$B:$B,"&lt;&gt;Lorena Dias de Araujo",$B:$B,"&lt;&gt;Lucas Luiz Romero")*(28/1083),IF(C1812="Técnico I",SUMIFS($D:$D,$A:$A,$A1812,$B:$B,"&lt;&gt;Patrícia Karla de Sousa Araújo",$B:$B,"&lt;&gt;Lorena Dias de Araujo",$B:$B,"&lt;&gt;Lucas Luiz Romero")*(23/1083),IF(C1812="JR",SUMIFS($D:$D,$A:$A,$A1812,$B:$B,"&lt;&gt;Patrícia Karla de Sousa Araújo",$B:$B,"&lt;&gt;Lorena Dias de Araujo",$B:$B,"&lt;&gt;Lucas Luiz Romero")*(20/1083),IF(C1812="Estágio",SUMIFS($D:$D,$A:$A,$A1812,$B:$B,"&lt;&gt;Patrícia Karla de Sousa Araújo",$B:$B,"&lt;&gt;Lorena Dias de Araujo",$B:$B,"&lt;&gt;Lucas Luiz Romero")*(10/1083),0)))))),0)</f>
        <v>32</v>
      </c>
      <c r="K1812" s="3">
        <f>I1812-J1812</f>
        <v>-6</v>
      </c>
      <c r="L1812" s="3" t="str">
        <f>IF(K1812&lt;-5,"CRÍTICO",IF(K1812&lt;0,"ATENÇÃO",IF(K1812&lt;=5,"BOM","EXCELENTE")))</f>
        <v>CRÍTICO</v>
      </c>
      <c r="M1812">
        <v>25</v>
      </c>
      <c r="N1812">
        <v>99.26</v>
      </c>
      <c r="O1812">
        <v>30.84832904884319</v>
      </c>
    </row>
    <row r="1813" spans="1:15" hidden="1" x14ac:dyDescent="0.25">
      <c r="A1813" s="11">
        <v>46057</v>
      </c>
      <c r="B1813" t="s">
        <v>56</v>
      </c>
      <c r="C1813" t="s">
        <v>48</v>
      </c>
      <c r="D1813">
        <v>33</v>
      </c>
      <c r="E1813">
        <v>26</v>
      </c>
      <c r="F1813">
        <v>17.239999999999998</v>
      </c>
      <c r="G1813">
        <v>0</v>
      </c>
      <c r="H1813">
        <v>0</v>
      </c>
      <c r="I1813" s="3">
        <f>E1813+G1813+H1813</f>
        <v>26</v>
      </c>
      <c r="J1813" s="3">
        <f>ROUND(MIN(IF(C1813="Técnico III",35,IF(C1813="Técnico II",28,IF(C1813="Técnico I",23,IF(C1813="JR",20,IF(C1813="Estágio",10,0))))),IF(C1813="Técnico III",SUMIFS($D:$D,$A:$A,$A1813,$B:$B,"&lt;&gt;Patrícia Karla de Sousa Araújo",$B:$B,"&lt;&gt;Lorena Dias de Araujo",$B:$B,"&lt;&gt;Lucas Luiz Romero")*(35/1083),IF(C1813="Técnico II",SUMIFS($D:$D,$A:$A,$A1813,$B:$B,"&lt;&gt;Patrícia Karla de Sousa Araújo",$B:$B,"&lt;&gt;Lorena Dias de Araujo",$B:$B,"&lt;&gt;Lucas Luiz Romero")*(28/1083),IF(C1813="Técnico I",SUMIFS($D:$D,$A:$A,$A1813,$B:$B,"&lt;&gt;Patrícia Karla de Sousa Araújo",$B:$B,"&lt;&gt;Lorena Dias de Araujo",$B:$B,"&lt;&gt;Lucas Luiz Romero")*(23/1083),IF(C1813="JR",SUMIFS($D:$D,$A:$A,$A1813,$B:$B,"&lt;&gt;Patrícia Karla de Sousa Araújo",$B:$B,"&lt;&gt;Lorena Dias de Araujo",$B:$B,"&lt;&gt;Lucas Luiz Romero")*(20/1083),IF(C1813="Estágio",SUMIFS($D:$D,$A:$A,$A1813,$B:$B,"&lt;&gt;Patrícia Karla de Sousa Araújo",$B:$B,"&lt;&gt;Lorena Dias de Araujo",$B:$B,"&lt;&gt;Lucas Luiz Romero")*(10/1083),0)))))),0)</f>
        <v>26</v>
      </c>
      <c r="K1813" s="3">
        <f>I1813-J1813</f>
        <v>0</v>
      </c>
      <c r="L1813" s="3" t="str">
        <f>IF(K1813&lt;-5,"CRÍTICO",IF(K1813&lt;0,"ATENÇÃO",IF(K1813&lt;=5,"BOM","EXCELENTE")))</f>
        <v>BOM</v>
      </c>
      <c r="M1813">
        <v>27</v>
      </c>
      <c r="N1813">
        <v>97.48</v>
      </c>
      <c r="O1813">
        <v>27.764705882352938</v>
      </c>
    </row>
    <row r="1814" spans="1:15" hidden="1" x14ac:dyDescent="0.25">
      <c r="A1814" s="11">
        <v>46057</v>
      </c>
      <c r="B1814" t="s">
        <v>57</v>
      </c>
      <c r="C1814" t="s">
        <v>48</v>
      </c>
      <c r="D1814">
        <v>44</v>
      </c>
      <c r="E1814">
        <v>42</v>
      </c>
      <c r="F1814">
        <v>16.54</v>
      </c>
      <c r="G1814">
        <v>0</v>
      </c>
      <c r="H1814">
        <v>0</v>
      </c>
      <c r="I1814" s="3">
        <v>0</v>
      </c>
      <c r="J1814" s="3">
        <v>0</v>
      </c>
      <c r="K1814" s="3">
        <v>0</v>
      </c>
      <c r="L1814" s="3" t="str">
        <f>IF(K1814&lt;-5,"CRÍTICO",IF(K1814&lt;0,"ATENÇÃO",IF(K1814&lt;=5,"BOM","EXCELENTE")))</f>
        <v>BOM</v>
      </c>
      <c r="M1814">
        <v>38</v>
      </c>
      <c r="N1814">
        <v>99.34</v>
      </c>
      <c r="O1814">
        <v>30.04291845493562</v>
      </c>
    </row>
    <row r="1815" spans="1:15" hidden="1" x14ac:dyDescent="0.25">
      <c r="A1815" s="11">
        <v>46057</v>
      </c>
      <c r="B1815" t="s">
        <v>42</v>
      </c>
      <c r="C1815" t="s">
        <v>32</v>
      </c>
      <c r="D1815">
        <v>40</v>
      </c>
      <c r="E1815">
        <v>34</v>
      </c>
      <c r="F1815">
        <v>14.04</v>
      </c>
      <c r="G1815">
        <v>0</v>
      </c>
      <c r="H1815">
        <v>0</v>
      </c>
      <c r="I1815" s="3">
        <f>E1815+G1815+H1815</f>
        <v>34</v>
      </c>
      <c r="J1815" s="3">
        <f>ROUND(MIN(IF(C1815="Técnico III",35,IF(C1815="Técnico II",28,IF(C1815="Técnico I",23,IF(C1815="JR",20,IF(C1815="Estágio",10,0))))),IF(C1815="Técnico III",SUMIFS($D:$D,$A:$A,$A1815,$B:$B,"&lt;&gt;Patrícia Karla de Sousa Araújo",$B:$B,"&lt;&gt;Lorena Dias de Araujo",$B:$B,"&lt;&gt;Lucas Luiz Romero")*(35/1083),IF(C1815="Técnico II",SUMIFS($D:$D,$A:$A,$A1815,$B:$B,"&lt;&gt;Patrícia Karla de Sousa Araújo",$B:$B,"&lt;&gt;Lorena Dias de Araujo",$B:$B,"&lt;&gt;Lucas Luiz Romero")*(28/1083),IF(C1815="Técnico I",SUMIFS($D:$D,$A:$A,$A1815,$B:$B,"&lt;&gt;Patrícia Karla de Sousa Araújo",$B:$B,"&lt;&gt;Lorena Dias de Araujo",$B:$B,"&lt;&gt;Lucas Luiz Romero")*(23/1083),IF(C1815="JR",SUMIFS($D:$D,$A:$A,$A1815,$B:$B,"&lt;&gt;Patrícia Karla de Sousa Araújo",$B:$B,"&lt;&gt;Lorena Dias de Araujo",$B:$B,"&lt;&gt;Lucas Luiz Romero")*(20/1083),IF(C1815="Estágio",SUMIFS($D:$D,$A:$A,$A1815,$B:$B,"&lt;&gt;Patrícia Karla de Sousa Araújo",$B:$B,"&lt;&gt;Lorena Dias de Araujo",$B:$B,"&lt;&gt;Lucas Luiz Romero")*(10/1083),0)))))),0)</f>
        <v>32</v>
      </c>
      <c r="K1815" s="3">
        <f>I1815-J1815</f>
        <v>2</v>
      </c>
      <c r="L1815" s="3" t="str">
        <f>IF(K1815&lt;-5,"CRÍTICO",IF(K1815&lt;0,"ATENÇÃO",IF(K1815&lt;=5,"BOM","EXCELENTE")))</f>
        <v>BOM</v>
      </c>
      <c r="M1815">
        <v>26</v>
      </c>
      <c r="N1815">
        <v>96.3</v>
      </c>
      <c r="O1815">
        <v>24.29378531073446</v>
      </c>
    </row>
    <row r="1816" spans="1:15" hidden="1" x14ac:dyDescent="0.25">
      <c r="A1816" s="11">
        <v>46057</v>
      </c>
      <c r="B1816" t="s">
        <v>62</v>
      </c>
      <c r="C1816" t="s">
        <v>23</v>
      </c>
      <c r="D1816">
        <v>24</v>
      </c>
      <c r="E1816">
        <v>23</v>
      </c>
      <c r="F1816">
        <v>26.48</v>
      </c>
      <c r="G1816">
        <v>0</v>
      </c>
      <c r="H1816">
        <v>0</v>
      </c>
      <c r="I1816" s="3">
        <f>E1816+G1816+H1816</f>
        <v>23</v>
      </c>
      <c r="J1816" s="3">
        <f>ROUND(MIN(IF(C1816="Técnico III",35,IF(C1816="Técnico II",28,IF(C1816="Técnico I",23,IF(C1816="JR",20,IF(C1816="Estágio",10,0))))),IF(C1816="Técnico III",SUMIFS($D:$D,$A:$A,$A1816,$B:$B,"&lt;&gt;Patrícia Karla de Sousa Araújo",$B:$B,"&lt;&gt;Lorena Dias de Araujo",$B:$B,"&lt;&gt;Lucas Luiz Romero")*(35/1083),IF(C1816="Técnico II",SUMIFS($D:$D,$A:$A,$A1816,$B:$B,"&lt;&gt;Patrícia Karla de Sousa Araújo",$B:$B,"&lt;&gt;Lorena Dias de Araujo",$B:$B,"&lt;&gt;Lucas Luiz Romero")*(28/1083),IF(C1816="Técnico I",SUMIFS($D:$D,$A:$A,$A1816,$B:$B,"&lt;&gt;Patrícia Karla de Sousa Araújo",$B:$B,"&lt;&gt;Lorena Dias de Araujo",$B:$B,"&lt;&gt;Lucas Luiz Romero")*(23/1083),IF(C1816="JR",SUMIFS($D:$D,$A:$A,$A1816,$B:$B,"&lt;&gt;Patrícia Karla de Sousa Araújo",$B:$B,"&lt;&gt;Lorena Dias de Araujo",$B:$B,"&lt;&gt;Lucas Luiz Romero")*(20/1083),IF(C1816="Estágio",SUMIFS($D:$D,$A:$A,$A1816,$B:$B,"&lt;&gt;Patrícia Karla de Sousa Araújo",$B:$B,"&lt;&gt;Lorena Dias de Araujo",$B:$B,"&lt;&gt;Lucas Luiz Romero")*(10/1083),0)))))),0)</f>
        <v>21</v>
      </c>
      <c r="K1816" s="3">
        <f>I1816-J1816</f>
        <v>2</v>
      </c>
      <c r="L1816" s="3" t="str">
        <f>IF(K1816&lt;-5,"CRÍTICO",IF(K1816&lt;0,"ATENÇÃO",IF(K1816&lt;=5,"BOM","EXCELENTE")))</f>
        <v>BOM</v>
      </c>
      <c r="M1816">
        <v>21</v>
      </c>
      <c r="N1816">
        <v>100</v>
      </c>
      <c r="O1816">
        <v>26.543209876543209</v>
      </c>
    </row>
    <row r="1817" spans="1:15" hidden="1" x14ac:dyDescent="0.25">
      <c r="A1817" s="11">
        <v>46057</v>
      </c>
      <c r="B1817" t="s">
        <v>19</v>
      </c>
      <c r="C1817" t="s">
        <v>16</v>
      </c>
      <c r="D1817">
        <v>8</v>
      </c>
      <c r="E1817">
        <v>8</v>
      </c>
      <c r="F1817">
        <v>45.17</v>
      </c>
      <c r="G1817">
        <v>0</v>
      </c>
      <c r="H1817">
        <v>0</v>
      </c>
      <c r="I1817" s="3">
        <f>E1817+G1817+H1817</f>
        <v>8</v>
      </c>
      <c r="J1817" s="3">
        <f>ROUND(MIN(IF(C1817="Técnico III",35,IF(C1817="Técnico II",28,IF(C1817="Técnico I",23,IF(C1817="JR",20,IF(C1817="Estágio",10,0))))),IF(C1817="Técnico III",SUMIFS($D:$D,$A:$A,$A1817,$B:$B,"&lt;&gt;Patrícia Karla de Sousa Araújo",$B:$B,"&lt;&gt;Lorena Dias de Araujo",$B:$B,"&lt;&gt;Lucas Luiz Romero")*(35/1083),IF(C1817="Técnico II",SUMIFS($D:$D,$A:$A,$A1817,$B:$B,"&lt;&gt;Patrícia Karla de Sousa Araújo",$B:$B,"&lt;&gt;Lorena Dias de Araujo",$B:$B,"&lt;&gt;Lucas Luiz Romero")*(28/1083),IF(C1817="Técnico I",SUMIFS($D:$D,$A:$A,$A1817,$B:$B,"&lt;&gt;Patrícia Karla de Sousa Araújo",$B:$B,"&lt;&gt;Lorena Dias de Araujo",$B:$B,"&lt;&gt;Lucas Luiz Romero")*(23/1083),IF(C1817="JR",SUMIFS($D:$D,$A:$A,$A1817,$B:$B,"&lt;&gt;Patrícia Karla de Sousa Araújo",$B:$B,"&lt;&gt;Lorena Dias de Araujo",$B:$B,"&lt;&gt;Lucas Luiz Romero")*(20/1083),IF(C1817="Estágio",SUMIFS($D:$D,$A:$A,$A1817,$B:$B,"&lt;&gt;Patrícia Karla de Sousa Araújo",$B:$B,"&lt;&gt;Lorena Dias de Araujo",$B:$B,"&lt;&gt;Lucas Luiz Romero")*(10/1083),0)))))),0)</f>
        <v>9</v>
      </c>
      <c r="K1817" s="3">
        <f>I1817-J1817</f>
        <v>-1</v>
      </c>
      <c r="L1817" s="3" t="str">
        <f>IF(K1817&lt;-5,"CRÍTICO",IF(K1817&lt;0,"ATENÇÃO",IF(K1817&lt;=5,"BOM","EXCELENTE")))</f>
        <v>ATENÇÃO</v>
      </c>
      <c r="M1817">
        <v>6</v>
      </c>
      <c r="N1817">
        <v>100</v>
      </c>
      <c r="O1817">
        <v>35.483870967741943</v>
      </c>
    </row>
    <row r="1818" spans="1:15" hidden="1" x14ac:dyDescent="0.25">
      <c r="A1818" s="11">
        <v>46057</v>
      </c>
      <c r="B1818" t="s">
        <v>43</v>
      </c>
      <c r="C1818" t="s">
        <v>32</v>
      </c>
      <c r="D1818">
        <v>39</v>
      </c>
      <c r="E1818">
        <v>38</v>
      </c>
      <c r="F1818">
        <v>17.36</v>
      </c>
      <c r="G1818">
        <v>0</v>
      </c>
      <c r="H1818">
        <v>0</v>
      </c>
      <c r="I1818" s="3">
        <f>E1818+G1818+H1818</f>
        <v>38</v>
      </c>
      <c r="J1818" s="3">
        <f>ROUND(MIN(IF(C1818="Técnico III",35,IF(C1818="Técnico II",28,IF(C1818="Técnico I",23,IF(C1818="JR",20,IF(C1818="Estágio",10,0))))),IF(C1818="Técnico III",SUMIFS($D:$D,$A:$A,$A1818,$B:$B,"&lt;&gt;Patrícia Karla de Sousa Araújo",$B:$B,"&lt;&gt;Lorena Dias de Araujo",$B:$B,"&lt;&gt;Lucas Luiz Romero")*(35/1083),IF(C1818="Técnico II",SUMIFS($D:$D,$A:$A,$A1818,$B:$B,"&lt;&gt;Patrícia Karla de Sousa Araújo",$B:$B,"&lt;&gt;Lorena Dias de Araujo",$B:$B,"&lt;&gt;Lucas Luiz Romero")*(28/1083),IF(C1818="Técnico I",SUMIFS($D:$D,$A:$A,$A1818,$B:$B,"&lt;&gt;Patrícia Karla de Sousa Araújo",$B:$B,"&lt;&gt;Lorena Dias de Araujo",$B:$B,"&lt;&gt;Lucas Luiz Romero")*(23/1083),IF(C1818="JR",SUMIFS($D:$D,$A:$A,$A1818,$B:$B,"&lt;&gt;Patrícia Karla de Sousa Araújo",$B:$B,"&lt;&gt;Lorena Dias de Araujo",$B:$B,"&lt;&gt;Lucas Luiz Romero")*(20/1083),IF(C1818="Estágio",SUMIFS($D:$D,$A:$A,$A1818,$B:$B,"&lt;&gt;Patrícia Karla de Sousa Araújo",$B:$B,"&lt;&gt;Lorena Dias de Araujo",$B:$B,"&lt;&gt;Lucas Luiz Romero")*(10/1083),0)))))),0)</f>
        <v>32</v>
      </c>
      <c r="K1818" s="3">
        <f>I1818-J1818</f>
        <v>6</v>
      </c>
      <c r="L1818" s="3" t="str">
        <f>IF(K1818&lt;-5,"CRÍTICO",IF(K1818&lt;0,"ATENÇÃO",IF(K1818&lt;=5,"BOM","EXCELENTE")))</f>
        <v>EXCELENTE</v>
      </c>
      <c r="M1818">
        <v>36</v>
      </c>
      <c r="N1818">
        <v>99.27</v>
      </c>
      <c r="O1818">
        <v>31.163708086785011</v>
      </c>
    </row>
    <row r="1819" spans="1:15" hidden="1" x14ac:dyDescent="0.25">
      <c r="A1819" s="11">
        <v>46057</v>
      </c>
      <c r="B1819" t="s">
        <v>44</v>
      </c>
      <c r="C1819" t="s">
        <v>32</v>
      </c>
      <c r="D1819">
        <v>33</v>
      </c>
      <c r="E1819">
        <v>31</v>
      </c>
      <c r="F1819">
        <v>17.07</v>
      </c>
      <c r="G1819">
        <v>0</v>
      </c>
      <c r="H1819">
        <v>0</v>
      </c>
      <c r="I1819" s="3">
        <f>E1819+G1819+H1819</f>
        <v>31</v>
      </c>
      <c r="J1819" s="3">
        <f>ROUND(MIN(IF(C1819="Técnico III",35,IF(C1819="Técnico II",28,IF(C1819="Técnico I",23,IF(C1819="JR",20,IF(C1819="Estágio",10,0))))),IF(C1819="Técnico III",SUMIFS($D:$D,$A:$A,$A1819,$B:$B,"&lt;&gt;Patrícia Karla de Sousa Araújo",$B:$B,"&lt;&gt;Lorena Dias de Araujo",$B:$B,"&lt;&gt;Lucas Luiz Romero")*(35/1083),IF(C1819="Técnico II",SUMIFS($D:$D,$A:$A,$A1819,$B:$B,"&lt;&gt;Patrícia Karla de Sousa Araújo",$B:$B,"&lt;&gt;Lorena Dias de Araujo",$B:$B,"&lt;&gt;Lucas Luiz Romero")*(28/1083),IF(C1819="Técnico I",SUMIFS($D:$D,$A:$A,$A1819,$B:$B,"&lt;&gt;Patrícia Karla de Sousa Araújo",$B:$B,"&lt;&gt;Lorena Dias de Araujo",$B:$B,"&lt;&gt;Lucas Luiz Romero")*(23/1083),IF(C1819="JR",SUMIFS($D:$D,$A:$A,$A1819,$B:$B,"&lt;&gt;Patrícia Karla de Sousa Araújo",$B:$B,"&lt;&gt;Lorena Dias de Araujo",$B:$B,"&lt;&gt;Lucas Luiz Romero")*(20/1083),IF(C1819="Estágio",SUMIFS($D:$D,$A:$A,$A1819,$B:$B,"&lt;&gt;Patrícia Karla de Sousa Araújo",$B:$B,"&lt;&gt;Lorena Dias de Araujo",$B:$B,"&lt;&gt;Lucas Luiz Romero")*(10/1083),0)))))),0)</f>
        <v>32</v>
      </c>
      <c r="K1819" s="3">
        <f>I1819-J1819</f>
        <v>-1</v>
      </c>
      <c r="L1819" s="3" t="str">
        <f>IF(K1819&lt;-5,"CRÍTICO",IF(K1819&lt;0,"ATENÇÃO",IF(K1819&lt;=5,"BOM","EXCELENTE")))</f>
        <v>ATENÇÃO</v>
      </c>
      <c r="M1819">
        <v>32</v>
      </c>
      <c r="N1819">
        <v>94.16</v>
      </c>
      <c r="O1819">
        <v>27.038626609442058</v>
      </c>
    </row>
    <row r="1820" spans="1:15" hidden="1" x14ac:dyDescent="0.25">
      <c r="A1820" s="11">
        <v>46057</v>
      </c>
      <c r="B1820" t="s">
        <v>20</v>
      </c>
      <c r="C1820" t="s">
        <v>16</v>
      </c>
      <c r="D1820">
        <v>15</v>
      </c>
      <c r="E1820">
        <v>15</v>
      </c>
      <c r="F1820">
        <v>40.08</v>
      </c>
      <c r="G1820">
        <v>0</v>
      </c>
      <c r="H1820">
        <v>0</v>
      </c>
      <c r="I1820" s="3">
        <f>E1820+G1820+H1820</f>
        <v>15</v>
      </c>
      <c r="J1820" s="3">
        <f>ROUND(MIN(IF(C1820="Técnico III",35,IF(C1820="Técnico II",28,IF(C1820="Técnico I",23,IF(C1820="JR",20,IF(C1820="Estágio",10,0))))),IF(C1820="Técnico III",SUMIFS($D:$D,$A:$A,$A1820,$B:$B,"&lt;&gt;Patrícia Karla de Sousa Araújo",$B:$B,"&lt;&gt;Lorena Dias de Araujo",$B:$B,"&lt;&gt;Lucas Luiz Romero")*(35/1083),IF(C1820="Técnico II",SUMIFS($D:$D,$A:$A,$A1820,$B:$B,"&lt;&gt;Patrícia Karla de Sousa Araújo",$B:$B,"&lt;&gt;Lorena Dias de Araujo",$B:$B,"&lt;&gt;Lucas Luiz Romero")*(28/1083),IF(C1820="Técnico I",SUMIFS($D:$D,$A:$A,$A1820,$B:$B,"&lt;&gt;Patrícia Karla de Sousa Araújo",$B:$B,"&lt;&gt;Lorena Dias de Araujo",$B:$B,"&lt;&gt;Lucas Luiz Romero")*(23/1083),IF(C1820="JR",SUMIFS($D:$D,$A:$A,$A1820,$B:$B,"&lt;&gt;Patrícia Karla de Sousa Araújo",$B:$B,"&lt;&gt;Lorena Dias de Araujo",$B:$B,"&lt;&gt;Lucas Luiz Romero")*(20/1083),IF(C1820="Estágio",SUMIFS($D:$D,$A:$A,$A1820,$B:$B,"&lt;&gt;Patrícia Karla de Sousa Araújo",$B:$B,"&lt;&gt;Lorena Dias de Araujo",$B:$B,"&lt;&gt;Lucas Luiz Romero")*(10/1083),0)))))),0)</f>
        <v>9</v>
      </c>
      <c r="K1820" s="3">
        <f>I1820-J1820</f>
        <v>6</v>
      </c>
      <c r="L1820" s="3" t="str">
        <f>IF(K1820&lt;-5,"CRÍTICO",IF(K1820&lt;0,"ATENÇÃO",IF(K1820&lt;=5,"BOM","EXCELENTE")))</f>
        <v>EXCELENTE</v>
      </c>
      <c r="M1820">
        <v>6</v>
      </c>
      <c r="N1820">
        <v>93.75</v>
      </c>
      <c r="O1820">
        <v>19.31818181818182</v>
      </c>
    </row>
    <row r="1821" spans="1:15" hidden="1" x14ac:dyDescent="0.25">
      <c r="A1821" s="11">
        <v>46057</v>
      </c>
      <c r="B1821" t="s">
        <v>28</v>
      </c>
      <c r="C1821" t="s">
        <v>26</v>
      </c>
      <c r="D1821">
        <v>0</v>
      </c>
      <c r="E1821">
        <v>0</v>
      </c>
      <c r="F1821">
        <v>0</v>
      </c>
      <c r="G1821">
        <v>0</v>
      </c>
      <c r="H1821">
        <v>0</v>
      </c>
      <c r="I1821" s="3">
        <v>0</v>
      </c>
      <c r="J1821" s="3">
        <v>0</v>
      </c>
      <c r="K1821" s="3">
        <v>0</v>
      </c>
      <c r="L1821" s="3" t="str">
        <f>IF(K1821&lt;-5,"CRÍTICO",IF(K1821&lt;0,"ATENÇÃO",IF(K1821&lt;=5,"BOM","EXCELENTE")))</f>
        <v>BOM</v>
      </c>
      <c r="M1821">
        <v>0</v>
      </c>
      <c r="N1821">
        <v>0</v>
      </c>
      <c r="O1821">
        <v>0</v>
      </c>
    </row>
    <row r="1822" spans="1:15" hidden="1" x14ac:dyDescent="0.25">
      <c r="A1822" s="11">
        <v>46057</v>
      </c>
      <c r="B1822" t="s">
        <v>58</v>
      </c>
      <c r="C1822" t="s">
        <v>48</v>
      </c>
      <c r="D1822">
        <v>0</v>
      </c>
      <c r="E1822">
        <v>0</v>
      </c>
      <c r="F1822">
        <v>0</v>
      </c>
      <c r="G1822">
        <v>0</v>
      </c>
      <c r="H1822">
        <v>0</v>
      </c>
      <c r="I1822" s="3">
        <v>0</v>
      </c>
      <c r="J1822" s="3">
        <v>0</v>
      </c>
      <c r="K1822" s="3">
        <v>0</v>
      </c>
      <c r="L1822" s="3" t="str">
        <f>IF(K1822&lt;-5,"CRÍTICO",IF(K1822&lt;0,"ATENÇÃO",IF(K1822&lt;=5,"BOM","EXCELENTE")))</f>
        <v>BOM</v>
      </c>
      <c r="M1822">
        <v>0</v>
      </c>
      <c r="N1822">
        <v>97.92</v>
      </c>
      <c r="O1822">
        <v>32.87671232876712</v>
      </c>
    </row>
    <row r="1823" spans="1:15" hidden="1" x14ac:dyDescent="0.25">
      <c r="A1823" s="11">
        <v>46057</v>
      </c>
      <c r="B1823" t="s">
        <v>29</v>
      </c>
      <c r="C1823" t="s">
        <v>26</v>
      </c>
      <c r="D1823">
        <v>0</v>
      </c>
      <c r="E1823">
        <v>0</v>
      </c>
      <c r="F1823">
        <v>0</v>
      </c>
      <c r="G1823">
        <v>0</v>
      </c>
      <c r="H1823">
        <v>0</v>
      </c>
      <c r="I1823" s="3">
        <v>0</v>
      </c>
      <c r="J1823" s="3">
        <v>0</v>
      </c>
      <c r="K1823" s="3">
        <v>0</v>
      </c>
      <c r="L1823" s="3" t="str">
        <f>IF(K1823&lt;-5,"CRÍTICO",IF(K1823&lt;0,"ATENÇÃO",IF(K1823&lt;=5,"BOM","EXCELENTE")))</f>
        <v>BOM</v>
      </c>
      <c r="M1823">
        <v>0</v>
      </c>
      <c r="N1823">
        <v>0</v>
      </c>
      <c r="O1823">
        <v>0</v>
      </c>
    </row>
    <row r="1824" spans="1:15" hidden="1" x14ac:dyDescent="0.25">
      <c r="A1824" s="11">
        <v>46057</v>
      </c>
      <c r="B1824" t="s">
        <v>30</v>
      </c>
      <c r="C1824" t="s">
        <v>26</v>
      </c>
      <c r="D1824">
        <v>0</v>
      </c>
      <c r="E1824">
        <v>0</v>
      </c>
      <c r="F1824">
        <v>0</v>
      </c>
      <c r="G1824">
        <v>0</v>
      </c>
      <c r="H1824">
        <v>0</v>
      </c>
      <c r="I1824" s="3">
        <v>0</v>
      </c>
      <c r="J1824" s="3">
        <v>0</v>
      </c>
      <c r="K1824" s="3">
        <v>0</v>
      </c>
      <c r="L1824" s="3" t="str">
        <f>IF(K1824&lt;-5,"CRÍTICO",IF(K1824&lt;0,"ATENÇÃO",IF(K1824&lt;=5,"BOM","EXCELENTE")))</f>
        <v>BOM</v>
      </c>
      <c r="M1824">
        <v>0</v>
      </c>
      <c r="N1824">
        <v>0</v>
      </c>
      <c r="O1824">
        <v>0</v>
      </c>
    </row>
    <row r="1825" spans="1:15" hidden="1" x14ac:dyDescent="0.25">
      <c r="A1825" s="11">
        <v>46057</v>
      </c>
      <c r="B1825" t="s">
        <v>21</v>
      </c>
      <c r="C1825" t="s">
        <v>16</v>
      </c>
      <c r="D1825">
        <v>0</v>
      </c>
      <c r="E1825">
        <v>0</v>
      </c>
      <c r="F1825">
        <v>0</v>
      </c>
      <c r="G1825">
        <v>0</v>
      </c>
      <c r="H1825">
        <v>0</v>
      </c>
      <c r="I1825" s="3">
        <v>0</v>
      </c>
      <c r="J1825" s="3">
        <v>0</v>
      </c>
      <c r="K1825" s="3">
        <v>0</v>
      </c>
      <c r="L1825" s="3" t="str">
        <f>IF(K1825&lt;-5,"CRÍTICO",IF(K1825&lt;0,"ATENÇÃO",IF(K1825&lt;=5,"BOM","EXCELENTE")))</f>
        <v>BOM</v>
      </c>
      <c r="M1825">
        <v>0</v>
      </c>
      <c r="N1825">
        <v>0</v>
      </c>
      <c r="O1825">
        <v>0</v>
      </c>
    </row>
    <row r="1826" spans="1:15" hidden="1" x14ac:dyDescent="0.25">
      <c r="A1826" s="11">
        <v>46057</v>
      </c>
      <c r="B1826" t="s">
        <v>63</v>
      </c>
      <c r="C1826" t="s">
        <v>23</v>
      </c>
      <c r="D1826">
        <v>17</v>
      </c>
      <c r="E1826">
        <v>16</v>
      </c>
      <c r="F1826">
        <v>40.1</v>
      </c>
      <c r="G1826">
        <v>0</v>
      </c>
      <c r="H1826">
        <v>0</v>
      </c>
      <c r="I1826" s="3">
        <f>E1826+G1826+H1826</f>
        <v>16</v>
      </c>
      <c r="J1826" s="3">
        <f>ROUND(MIN(IF(C1826="Técnico III",35,IF(C1826="Técnico II",28,IF(C1826="Técnico I",23,IF(C1826="JR",20,IF(C1826="Estágio",10,0))))),IF(C1826="Técnico III",SUMIFS($D:$D,$A:$A,$A1826,$B:$B,"&lt;&gt;Patrícia Karla de Sousa Araújo",$B:$B,"&lt;&gt;Lorena Dias de Araujo",$B:$B,"&lt;&gt;Lucas Luiz Romero")*(35/1083),IF(C1826="Técnico II",SUMIFS($D:$D,$A:$A,$A1826,$B:$B,"&lt;&gt;Patrícia Karla de Sousa Araújo",$B:$B,"&lt;&gt;Lorena Dias de Araujo",$B:$B,"&lt;&gt;Lucas Luiz Romero")*(28/1083),IF(C1826="Técnico I",SUMIFS($D:$D,$A:$A,$A1826,$B:$B,"&lt;&gt;Patrícia Karla de Sousa Araújo",$B:$B,"&lt;&gt;Lorena Dias de Araujo",$B:$B,"&lt;&gt;Lucas Luiz Romero")*(23/1083),IF(C1826="JR",SUMIFS($D:$D,$A:$A,$A1826,$B:$B,"&lt;&gt;Patrícia Karla de Sousa Araújo",$B:$B,"&lt;&gt;Lorena Dias de Araujo",$B:$B,"&lt;&gt;Lucas Luiz Romero")*(20/1083),IF(C1826="Estágio",SUMIFS($D:$D,$A:$A,$A1826,$B:$B,"&lt;&gt;Patrícia Karla de Sousa Araújo",$B:$B,"&lt;&gt;Lorena Dias de Araujo",$B:$B,"&lt;&gt;Lucas Luiz Romero")*(10/1083),0)))))),0)</f>
        <v>21</v>
      </c>
      <c r="K1826" s="3">
        <f>I1826-J1826</f>
        <v>-5</v>
      </c>
      <c r="L1826" s="3" t="str">
        <f>IF(K1826&lt;-5,"CRÍTICO",IF(K1826&lt;0,"ATENÇÃO",IF(K1826&lt;=5,"BOM","EXCELENTE")))</f>
        <v>ATENÇÃO</v>
      </c>
      <c r="M1826">
        <v>16</v>
      </c>
      <c r="N1826">
        <v>98.51</v>
      </c>
      <c r="O1826">
        <v>29.710144927536231</v>
      </c>
    </row>
    <row r="1827" spans="1:15" hidden="1" x14ac:dyDescent="0.25">
      <c r="A1827" s="11">
        <v>46057</v>
      </c>
      <c r="B1827" t="s">
        <v>45</v>
      </c>
      <c r="C1827" t="s">
        <v>32</v>
      </c>
      <c r="D1827">
        <v>47</v>
      </c>
      <c r="E1827">
        <v>43</v>
      </c>
      <c r="F1827">
        <v>15.02</v>
      </c>
      <c r="G1827">
        <v>0</v>
      </c>
      <c r="H1827">
        <v>0</v>
      </c>
      <c r="I1827" s="3">
        <f>E1827+G1827+H1827</f>
        <v>43</v>
      </c>
      <c r="J1827" s="3">
        <f>ROUND(MIN(IF(C1827="Técnico III",35,IF(C1827="Técnico II",28,IF(C1827="Técnico I",23,IF(C1827="JR",20,IF(C1827="Estágio",10,0))))),IF(C1827="Técnico III",SUMIFS($D:$D,$A:$A,$A1827,$B:$B,"&lt;&gt;Patrícia Karla de Sousa Araújo",$B:$B,"&lt;&gt;Lorena Dias de Araujo",$B:$B,"&lt;&gt;Lucas Luiz Romero")*(35/1083),IF(C1827="Técnico II",SUMIFS($D:$D,$A:$A,$A1827,$B:$B,"&lt;&gt;Patrícia Karla de Sousa Araújo",$B:$B,"&lt;&gt;Lorena Dias de Araujo",$B:$B,"&lt;&gt;Lucas Luiz Romero")*(28/1083),IF(C1827="Técnico I",SUMIFS($D:$D,$A:$A,$A1827,$B:$B,"&lt;&gt;Patrícia Karla de Sousa Araújo",$B:$B,"&lt;&gt;Lorena Dias de Araujo",$B:$B,"&lt;&gt;Lucas Luiz Romero")*(23/1083),IF(C1827="JR",SUMIFS($D:$D,$A:$A,$A1827,$B:$B,"&lt;&gt;Patrícia Karla de Sousa Araújo",$B:$B,"&lt;&gt;Lorena Dias de Araujo",$B:$B,"&lt;&gt;Lucas Luiz Romero")*(20/1083),IF(C1827="Estágio",SUMIFS($D:$D,$A:$A,$A1827,$B:$B,"&lt;&gt;Patrícia Karla de Sousa Araújo",$B:$B,"&lt;&gt;Lorena Dias de Araujo",$B:$B,"&lt;&gt;Lucas Luiz Romero")*(10/1083),0)))))),0)</f>
        <v>32</v>
      </c>
      <c r="K1827" s="3">
        <f>I1827-J1827</f>
        <v>11</v>
      </c>
      <c r="L1827" s="3" t="str">
        <f>IF(K1827&lt;-5,"CRÍTICO",IF(K1827&lt;0,"ATENÇÃO",IF(K1827&lt;=5,"BOM","EXCELENTE")))</f>
        <v>EXCELENTE</v>
      </c>
      <c r="M1827">
        <v>30</v>
      </c>
      <c r="N1827">
        <v>98.81</v>
      </c>
      <c r="O1827">
        <v>30.712979890310791</v>
      </c>
    </row>
    <row r="1828" spans="1:15" hidden="1" x14ac:dyDescent="0.25">
      <c r="A1828" s="11">
        <v>46057</v>
      </c>
      <c r="B1828" t="s">
        <v>64</v>
      </c>
      <c r="C1828" t="s">
        <v>23</v>
      </c>
      <c r="D1828">
        <v>17</v>
      </c>
      <c r="E1828">
        <v>17</v>
      </c>
      <c r="F1828">
        <v>31.47</v>
      </c>
      <c r="G1828">
        <v>0</v>
      </c>
      <c r="H1828">
        <v>0</v>
      </c>
      <c r="I1828" s="3">
        <f>E1828+G1828+H1828</f>
        <v>17</v>
      </c>
      <c r="J1828" s="3">
        <f>ROUND(MIN(IF(C1828="Técnico III",35,IF(C1828="Técnico II",28,IF(C1828="Técnico I",23,IF(C1828="JR",20,IF(C1828="Estágio",10,0))))),IF(C1828="Técnico III",SUMIFS($D:$D,$A:$A,$A1828,$B:$B,"&lt;&gt;Patrícia Karla de Sousa Araújo",$B:$B,"&lt;&gt;Lorena Dias de Araujo",$B:$B,"&lt;&gt;Lucas Luiz Romero")*(35/1083),IF(C1828="Técnico II",SUMIFS($D:$D,$A:$A,$A1828,$B:$B,"&lt;&gt;Patrícia Karla de Sousa Araújo",$B:$B,"&lt;&gt;Lorena Dias de Araujo",$B:$B,"&lt;&gt;Lucas Luiz Romero")*(28/1083),IF(C1828="Técnico I",SUMIFS($D:$D,$A:$A,$A1828,$B:$B,"&lt;&gt;Patrícia Karla de Sousa Araújo",$B:$B,"&lt;&gt;Lorena Dias de Araujo",$B:$B,"&lt;&gt;Lucas Luiz Romero")*(23/1083),IF(C1828="JR",SUMIFS($D:$D,$A:$A,$A1828,$B:$B,"&lt;&gt;Patrícia Karla de Sousa Araújo",$B:$B,"&lt;&gt;Lorena Dias de Araujo",$B:$B,"&lt;&gt;Lucas Luiz Romero")*(20/1083),IF(C1828="Estágio",SUMIFS($D:$D,$A:$A,$A1828,$B:$B,"&lt;&gt;Patrícia Karla de Sousa Araújo",$B:$B,"&lt;&gt;Lorena Dias de Araujo",$B:$B,"&lt;&gt;Lucas Luiz Romero")*(10/1083),0)))))),0)</f>
        <v>21</v>
      </c>
      <c r="K1828" s="3">
        <f>I1828-J1828</f>
        <v>-4</v>
      </c>
      <c r="L1828" s="3" t="str">
        <f>IF(K1828&lt;-5,"CRÍTICO",IF(K1828&lt;0,"ATENÇÃO",IF(K1828&lt;=5,"BOM","EXCELENTE")))</f>
        <v>ATENÇÃO</v>
      </c>
      <c r="M1828">
        <v>16</v>
      </c>
      <c r="N1828">
        <v>98.48</v>
      </c>
      <c r="O1828">
        <v>29.35323383084577</v>
      </c>
    </row>
    <row r="1829" spans="1:15" hidden="1" x14ac:dyDescent="0.25">
      <c r="A1829" s="11">
        <v>46057</v>
      </c>
      <c r="B1829" t="s">
        <v>46</v>
      </c>
      <c r="C1829" t="s">
        <v>32</v>
      </c>
      <c r="D1829">
        <v>39</v>
      </c>
      <c r="E1829">
        <v>37</v>
      </c>
      <c r="F1829">
        <v>14.12</v>
      </c>
      <c r="G1829">
        <v>0</v>
      </c>
      <c r="H1829">
        <v>0</v>
      </c>
      <c r="I1829" s="3">
        <f>E1829+G1829+H1829</f>
        <v>37</v>
      </c>
      <c r="J1829" s="3">
        <f>ROUND(MIN(IF(C1829="Técnico III",35,IF(C1829="Técnico II",28,IF(C1829="Técnico I",23,IF(C1829="JR",20,IF(C1829="Estágio",10,0))))),IF(C1829="Técnico III",SUMIFS($D:$D,$A:$A,$A1829,$B:$B,"&lt;&gt;Patrícia Karla de Sousa Araújo",$B:$B,"&lt;&gt;Lorena Dias de Araujo",$B:$B,"&lt;&gt;Lucas Luiz Romero")*(35/1083),IF(C1829="Técnico II",SUMIFS($D:$D,$A:$A,$A1829,$B:$B,"&lt;&gt;Patrícia Karla de Sousa Araújo",$B:$B,"&lt;&gt;Lorena Dias de Araujo",$B:$B,"&lt;&gt;Lucas Luiz Romero")*(28/1083),IF(C1829="Técnico I",SUMIFS($D:$D,$A:$A,$A1829,$B:$B,"&lt;&gt;Patrícia Karla de Sousa Araújo",$B:$B,"&lt;&gt;Lorena Dias de Araujo",$B:$B,"&lt;&gt;Lucas Luiz Romero")*(23/1083),IF(C1829="JR",SUMIFS($D:$D,$A:$A,$A1829,$B:$B,"&lt;&gt;Patrícia Karla de Sousa Araújo",$B:$B,"&lt;&gt;Lorena Dias de Araujo",$B:$B,"&lt;&gt;Lucas Luiz Romero")*(20/1083),IF(C1829="Estágio",SUMIFS($D:$D,$A:$A,$A1829,$B:$B,"&lt;&gt;Patrícia Karla de Sousa Araújo",$B:$B,"&lt;&gt;Lorena Dias de Araujo",$B:$B,"&lt;&gt;Lucas Luiz Romero")*(10/1083),0)))))),0)</f>
        <v>32</v>
      </c>
      <c r="K1829" s="3">
        <f>I1829-J1829</f>
        <v>5</v>
      </c>
      <c r="L1829" s="3" t="str">
        <f>IF(K1829&lt;-5,"CRÍTICO",IF(K1829&lt;0,"ATENÇÃO",IF(K1829&lt;=5,"BOM","EXCELENTE")))</f>
        <v>BOM</v>
      </c>
      <c r="M1829">
        <v>36</v>
      </c>
      <c r="N1829">
        <v>98.56</v>
      </c>
      <c r="O1829">
        <v>29.373650107991359</v>
      </c>
    </row>
    <row r="1830" spans="1:15" hidden="1" x14ac:dyDescent="0.25">
      <c r="A1830" s="11">
        <v>46058</v>
      </c>
      <c r="B1830" t="s">
        <v>47</v>
      </c>
      <c r="C1830" t="s">
        <v>48</v>
      </c>
      <c r="D1830">
        <v>36</v>
      </c>
      <c r="E1830">
        <v>34</v>
      </c>
      <c r="F1830">
        <v>15.2</v>
      </c>
      <c r="G1830">
        <v>0</v>
      </c>
      <c r="H1830">
        <v>0</v>
      </c>
      <c r="I1830" s="3">
        <f>E1830+G1830+H1830</f>
        <v>34</v>
      </c>
      <c r="J1830" s="3">
        <f>ROUND(MIN(IF(C1830="Técnico III",35,IF(C1830="Técnico II",28,IF(C1830="Técnico I",23,IF(C1830="JR",20,IF(C1830="Estágio",10,0))))),IF(C1830="Técnico III",SUMIFS($D:$D,$A:$A,$A1830,$B:$B,"&lt;&gt;Patrícia Karla de Sousa Araújo",$B:$B,"&lt;&gt;Lorena Dias de Araujo",$B:$B,"&lt;&gt;Lucas Luiz Romero")*(35/1083),IF(C1830="Técnico II",SUMIFS($D:$D,$A:$A,$A1830,$B:$B,"&lt;&gt;Patrícia Karla de Sousa Araújo",$B:$B,"&lt;&gt;Lorena Dias de Araujo",$B:$B,"&lt;&gt;Lucas Luiz Romero")*(28/1083),IF(C1830="Técnico I",SUMIFS($D:$D,$A:$A,$A1830,$B:$B,"&lt;&gt;Patrícia Karla de Sousa Araújo",$B:$B,"&lt;&gt;Lorena Dias de Araujo",$B:$B,"&lt;&gt;Lucas Luiz Romero")*(23/1083),IF(C1830="JR",SUMIFS($D:$D,$A:$A,$A1830,$B:$B,"&lt;&gt;Patrícia Karla de Sousa Araújo",$B:$B,"&lt;&gt;Lorena Dias de Araujo",$B:$B,"&lt;&gt;Lucas Luiz Romero")*(20/1083),IF(C1830="Estágio",SUMIFS($D:$D,$A:$A,$A1830,$B:$B,"&lt;&gt;Patrícia Karla de Sousa Araújo",$B:$B,"&lt;&gt;Lorena Dias de Araujo",$B:$B,"&lt;&gt;Lucas Luiz Romero")*(10/1083),0)))))),0)</f>
        <v>28</v>
      </c>
      <c r="K1830" s="3">
        <f>I1830-J1830</f>
        <v>6</v>
      </c>
      <c r="L1830" s="3" t="str">
        <f>IF(K1830&lt;-5,"CRÍTICO",IF(K1830&lt;0,"ATENÇÃO",IF(K1830&lt;=5,"BOM","EXCELENTE")))</f>
        <v>EXCELENTE</v>
      </c>
      <c r="M1830">
        <v>33</v>
      </c>
      <c r="N1830">
        <v>98.32</v>
      </c>
      <c r="O1830">
        <v>30.303030303030301</v>
      </c>
    </row>
    <row r="1831" spans="1:15" hidden="1" x14ac:dyDescent="0.25">
      <c r="A1831" s="11">
        <v>46058</v>
      </c>
      <c r="B1831" t="s">
        <v>31</v>
      </c>
      <c r="C1831" t="s">
        <v>32</v>
      </c>
      <c r="D1831">
        <v>0</v>
      </c>
      <c r="E1831">
        <v>0</v>
      </c>
      <c r="F1831">
        <v>0</v>
      </c>
      <c r="G1831">
        <v>0</v>
      </c>
      <c r="H1831">
        <v>0</v>
      </c>
      <c r="I1831" s="3">
        <v>0</v>
      </c>
      <c r="J1831" s="3">
        <v>0</v>
      </c>
      <c r="K1831" s="3">
        <v>0</v>
      </c>
      <c r="L1831" s="3" t="str">
        <f>IF(K1831&lt;-5,"CRÍTICO",IF(K1831&lt;0,"ATENÇÃO",IF(K1831&lt;=5,"BOM","EXCELENTE")))</f>
        <v>BOM</v>
      </c>
      <c r="M1831">
        <v>40</v>
      </c>
      <c r="N1831">
        <v>98.68</v>
      </c>
      <c r="O1831">
        <v>26.219512195121951</v>
      </c>
    </row>
    <row r="1832" spans="1:15" hidden="1" x14ac:dyDescent="0.25">
      <c r="A1832" s="11">
        <v>46058</v>
      </c>
      <c r="B1832" t="s">
        <v>59</v>
      </c>
      <c r="C1832" t="s">
        <v>23</v>
      </c>
      <c r="D1832">
        <v>42</v>
      </c>
      <c r="E1832">
        <v>40</v>
      </c>
      <c r="F1832">
        <v>17.07</v>
      </c>
      <c r="G1832">
        <v>0</v>
      </c>
      <c r="H1832">
        <v>0</v>
      </c>
      <c r="I1832" s="3">
        <f>E1832+G1832+H1832</f>
        <v>40</v>
      </c>
      <c r="J1832" s="3">
        <f>ROUND(MIN(IF(C1832="Técnico III",35,IF(C1832="Técnico II",28,IF(C1832="Técnico I",23,IF(C1832="JR",20,IF(C1832="Estágio",10,0))))),IF(C1832="Técnico III",SUMIFS($D:$D,$A:$A,$A1832,$B:$B,"&lt;&gt;Patrícia Karla de Sousa Araújo",$B:$B,"&lt;&gt;Lorena Dias de Araujo",$B:$B,"&lt;&gt;Lucas Luiz Romero")*(35/1083),IF(C1832="Técnico II",SUMIFS($D:$D,$A:$A,$A1832,$B:$B,"&lt;&gt;Patrícia Karla de Sousa Araújo",$B:$B,"&lt;&gt;Lorena Dias de Araujo",$B:$B,"&lt;&gt;Lucas Luiz Romero")*(28/1083),IF(C1832="Técnico I",SUMIFS($D:$D,$A:$A,$A1832,$B:$B,"&lt;&gt;Patrícia Karla de Sousa Araújo",$B:$B,"&lt;&gt;Lorena Dias de Araujo",$B:$B,"&lt;&gt;Lucas Luiz Romero")*(23/1083),IF(C1832="JR",SUMIFS($D:$D,$A:$A,$A1832,$B:$B,"&lt;&gt;Patrícia Karla de Sousa Araújo",$B:$B,"&lt;&gt;Lorena Dias de Araujo",$B:$B,"&lt;&gt;Lucas Luiz Romero")*(20/1083),IF(C1832="Estágio",SUMIFS($D:$D,$A:$A,$A1832,$B:$B,"&lt;&gt;Patrícia Karla de Sousa Araújo",$B:$B,"&lt;&gt;Lorena Dias de Araujo",$B:$B,"&lt;&gt;Lucas Luiz Romero")*(10/1083),0)))))),0)</f>
        <v>23</v>
      </c>
      <c r="K1832" s="3">
        <f>I1832-J1832</f>
        <v>17</v>
      </c>
      <c r="L1832" s="3" t="str">
        <f>IF(K1832&lt;-5,"CRÍTICO",IF(K1832&lt;0,"ATENÇÃO",IF(K1832&lt;=5,"BOM","EXCELENTE")))</f>
        <v>EXCELENTE</v>
      </c>
      <c r="M1832">
        <v>38</v>
      </c>
      <c r="N1832">
        <v>100</v>
      </c>
      <c r="O1832">
        <v>31.74224343675418</v>
      </c>
    </row>
    <row r="1833" spans="1:15" hidden="1" x14ac:dyDescent="0.25">
      <c r="A1833" s="11">
        <v>46058</v>
      </c>
      <c r="B1833" t="s">
        <v>33</v>
      </c>
      <c r="C1833" t="s">
        <v>32</v>
      </c>
      <c r="D1833">
        <v>42</v>
      </c>
      <c r="E1833">
        <v>40</v>
      </c>
      <c r="F1833">
        <v>17.059999999999999</v>
      </c>
      <c r="G1833">
        <v>0</v>
      </c>
      <c r="H1833">
        <v>0</v>
      </c>
      <c r="I1833" s="3">
        <f>E1833+G1833+H1833</f>
        <v>40</v>
      </c>
      <c r="J1833" s="3">
        <f>ROUND(MIN(IF(C1833="Técnico III",35,IF(C1833="Técnico II",28,IF(C1833="Técnico I",23,IF(C1833="JR",20,IF(C1833="Estágio",10,0))))),IF(C1833="Técnico III",SUMIFS($D:$D,$A:$A,$A1833,$B:$B,"&lt;&gt;Patrícia Karla de Sousa Araújo",$B:$B,"&lt;&gt;Lorena Dias de Araujo",$B:$B,"&lt;&gt;Lucas Luiz Romero")*(35/1083),IF(C1833="Técnico II",SUMIFS($D:$D,$A:$A,$A1833,$B:$B,"&lt;&gt;Patrícia Karla de Sousa Araújo",$B:$B,"&lt;&gt;Lorena Dias de Araujo",$B:$B,"&lt;&gt;Lucas Luiz Romero")*(28/1083),IF(C1833="Técnico I",SUMIFS($D:$D,$A:$A,$A1833,$B:$B,"&lt;&gt;Patrícia Karla de Sousa Araújo",$B:$B,"&lt;&gt;Lorena Dias de Araujo",$B:$B,"&lt;&gt;Lucas Luiz Romero")*(23/1083),IF(C1833="JR",SUMIFS($D:$D,$A:$A,$A1833,$B:$B,"&lt;&gt;Patrícia Karla de Sousa Araújo",$B:$B,"&lt;&gt;Lorena Dias de Araujo",$B:$B,"&lt;&gt;Lucas Luiz Romero")*(20/1083),IF(C1833="Estágio",SUMIFS($D:$D,$A:$A,$A1833,$B:$B,"&lt;&gt;Patrícia Karla de Sousa Araújo",$B:$B,"&lt;&gt;Lorena Dias de Araujo",$B:$B,"&lt;&gt;Lucas Luiz Romero")*(10/1083),0)))))),0)</f>
        <v>35</v>
      </c>
      <c r="K1833" s="3">
        <f>I1833-J1833</f>
        <v>5</v>
      </c>
      <c r="L1833" s="3" t="str">
        <f>IF(K1833&lt;-5,"CRÍTICO",IF(K1833&lt;0,"ATENÇÃO",IF(K1833&lt;=5,"BOM","EXCELENTE")))</f>
        <v>BOM</v>
      </c>
      <c r="M1833">
        <v>39</v>
      </c>
      <c r="N1833">
        <v>98.25</v>
      </c>
      <c r="O1833">
        <v>25.83518930957684</v>
      </c>
    </row>
    <row r="1834" spans="1:15" hidden="1" x14ac:dyDescent="0.25">
      <c r="A1834" s="11">
        <v>46058</v>
      </c>
      <c r="B1834" t="s">
        <v>15</v>
      </c>
      <c r="C1834" t="s">
        <v>16</v>
      </c>
      <c r="D1834">
        <v>0</v>
      </c>
      <c r="E1834">
        <v>0</v>
      </c>
      <c r="F1834">
        <v>0</v>
      </c>
      <c r="G1834">
        <v>0</v>
      </c>
      <c r="H1834">
        <v>0</v>
      </c>
      <c r="I1834" s="3">
        <v>0</v>
      </c>
      <c r="J1834" s="3">
        <v>0</v>
      </c>
      <c r="K1834" s="3">
        <v>0</v>
      </c>
      <c r="L1834" s="3" t="str">
        <f>IF(K1834&lt;-5,"CRÍTICO",IF(K1834&lt;0,"ATENÇÃO",IF(K1834&lt;=5,"BOM","EXCELENTE")))</f>
        <v>BOM</v>
      </c>
      <c r="M1834">
        <v>0</v>
      </c>
      <c r="N1834">
        <v>97.5</v>
      </c>
      <c r="O1834">
        <v>30.075187969924809</v>
      </c>
    </row>
    <row r="1835" spans="1:15" hidden="1" x14ac:dyDescent="0.25">
      <c r="A1835" s="11">
        <v>46058</v>
      </c>
      <c r="B1835" t="s">
        <v>49</v>
      </c>
      <c r="C1835" t="s">
        <v>48</v>
      </c>
      <c r="D1835">
        <v>31</v>
      </c>
      <c r="E1835">
        <v>30</v>
      </c>
      <c r="F1835">
        <v>19.079999999999998</v>
      </c>
      <c r="G1835">
        <v>0</v>
      </c>
      <c r="H1835">
        <v>0</v>
      </c>
      <c r="I1835" s="3">
        <f>E1835+G1835+H1835</f>
        <v>30</v>
      </c>
      <c r="J1835" s="3">
        <f>ROUND(MIN(IF(C1835="Técnico III",35,IF(C1835="Técnico II",28,IF(C1835="Técnico I",23,IF(C1835="JR",20,IF(C1835="Estágio",10,0))))),IF(C1835="Técnico III",SUMIFS($D:$D,$A:$A,$A1835,$B:$B,"&lt;&gt;Patrícia Karla de Sousa Araújo",$B:$B,"&lt;&gt;Lorena Dias de Araujo",$B:$B,"&lt;&gt;Lucas Luiz Romero")*(35/1083),IF(C1835="Técnico II",SUMIFS($D:$D,$A:$A,$A1835,$B:$B,"&lt;&gt;Patrícia Karla de Sousa Araújo",$B:$B,"&lt;&gt;Lorena Dias de Araujo",$B:$B,"&lt;&gt;Lucas Luiz Romero")*(28/1083),IF(C1835="Técnico I",SUMIFS($D:$D,$A:$A,$A1835,$B:$B,"&lt;&gt;Patrícia Karla de Sousa Araújo",$B:$B,"&lt;&gt;Lorena Dias de Araujo",$B:$B,"&lt;&gt;Lucas Luiz Romero")*(23/1083),IF(C1835="JR",SUMIFS($D:$D,$A:$A,$A1835,$B:$B,"&lt;&gt;Patrícia Karla de Sousa Araújo",$B:$B,"&lt;&gt;Lorena Dias de Araujo",$B:$B,"&lt;&gt;Lucas Luiz Romero")*(20/1083),IF(C1835="Estágio",SUMIFS($D:$D,$A:$A,$A1835,$B:$B,"&lt;&gt;Patrícia Karla de Sousa Araújo",$B:$B,"&lt;&gt;Lorena Dias de Araujo",$B:$B,"&lt;&gt;Lucas Luiz Romero")*(10/1083),0)))))),0)</f>
        <v>28</v>
      </c>
      <c r="K1835" s="3">
        <f>I1835-J1835</f>
        <v>2</v>
      </c>
      <c r="L1835" s="3" t="str">
        <f>IF(K1835&lt;-5,"CRÍTICO",IF(K1835&lt;0,"ATENÇÃO",IF(K1835&lt;=5,"BOM","EXCELENTE")))</f>
        <v>BOM</v>
      </c>
      <c r="M1835">
        <v>30</v>
      </c>
      <c r="N1835">
        <v>100</v>
      </c>
      <c r="O1835">
        <v>29.71311475409836</v>
      </c>
    </row>
    <row r="1836" spans="1:15" hidden="1" x14ac:dyDescent="0.25">
      <c r="A1836" s="11">
        <v>46058</v>
      </c>
      <c r="B1836" t="s">
        <v>50</v>
      </c>
      <c r="C1836" t="s">
        <v>48</v>
      </c>
      <c r="D1836">
        <v>18</v>
      </c>
      <c r="E1836">
        <v>16</v>
      </c>
      <c r="F1836">
        <v>43.34</v>
      </c>
      <c r="G1836">
        <v>0</v>
      </c>
      <c r="H1836">
        <v>0</v>
      </c>
      <c r="I1836" s="3">
        <f>E1836+G1836+H1836</f>
        <v>16</v>
      </c>
      <c r="J1836" s="3">
        <f>ROUND(MIN(IF(C1836="Técnico III",35,IF(C1836="Técnico II",28,IF(C1836="Técnico I",23,IF(C1836="JR",20,IF(C1836="Estágio",10,0))))),IF(C1836="Técnico III",SUMIFS($D:$D,$A:$A,$A1836,$B:$B,"&lt;&gt;Patrícia Karla de Sousa Araújo",$B:$B,"&lt;&gt;Lorena Dias de Araujo",$B:$B,"&lt;&gt;Lucas Luiz Romero")*(35/1083),IF(C1836="Técnico II",SUMIFS($D:$D,$A:$A,$A1836,$B:$B,"&lt;&gt;Patrícia Karla de Sousa Araújo",$B:$B,"&lt;&gt;Lorena Dias de Araujo",$B:$B,"&lt;&gt;Lucas Luiz Romero")*(28/1083),IF(C1836="Técnico I",SUMIFS($D:$D,$A:$A,$A1836,$B:$B,"&lt;&gt;Patrícia Karla de Sousa Araújo",$B:$B,"&lt;&gt;Lorena Dias de Araujo",$B:$B,"&lt;&gt;Lucas Luiz Romero")*(23/1083),IF(C1836="JR",SUMIFS($D:$D,$A:$A,$A1836,$B:$B,"&lt;&gt;Patrícia Karla de Sousa Araújo",$B:$B,"&lt;&gt;Lorena Dias de Araujo",$B:$B,"&lt;&gt;Lucas Luiz Romero")*(20/1083),IF(C1836="Estágio",SUMIFS($D:$D,$A:$A,$A1836,$B:$B,"&lt;&gt;Patrícia Karla de Sousa Araújo",$B:$B,"&lt;&gt;Lorena Dias de Araujo",$B:$B,"&lt;&gt;Lucas Luiz Romero")*(10/1083),0)))))),0)</f>
        <v>28</v>
      </c>
      <c r="K1836" s="3">
        <f>I1836-J1836</f>
        <v>-12</v>
      </c>
      <c r="L1836" s="3" t="str">
        <f>IF(K1836&lt;-5,"CRÍTICO",IF(K1836&lt;0,"ATENÇÃO",IF(K1836&lt;=5,"BOM","EXCELENTE")))</f>
        <v>CRÍTICO</v>
      </c>
      <c r="M1836">
        <v>17</v>
      </c>
      <c r="N1836">
        <v>99.22</v>
      </c>
      <c r="O1836">
        <v>35.256410256410263</v>
      </c>
    </row>
    <row r="1837" spans="1:15" hidden="1" x14ac:dyDescent="0.25">
      <c r="A1837" s="11">
        <v>46058</v>
      </c>
      <c r="B1837" t="s">
        <v>17</v>
      </c>
      <c r="C1837" t="s">
        <v>16</v>
      </c>
      <c r="D1837">
        <v>0</v>
      </c>
      <c r="E1837">
        <v>0</v>
      </c>
      <c r="F1837">
        <v>0</v>
      </c>
      <c r="G1837">
        <v>0</v>
      </c>
      <c r="H1837">
        <v>0</v>
      </c>
      <c r="I1837" s="3">
        <v>0</v>
      </c>
      <c r="J1837" s="3">
        <v>0</v>
      </c>
      <c r="K1837" s="3">
        <v>0</v>
      </c>
      <c r="L1837" s="3" t="str">
        <f>IF(K1837&lt;-5,"CRÍTICO",IF(K1837&lt;0,"ATENÇÃO",IF(K1837&lt;=5,"BOM","EXCELENTE")))</f>
        <v>BOM</v>
      </c>
      <c r="M1837">
        <v>0</v>
      </c>
      <c r="N1837">
        <v>0</v>
      </c>
      <c r="O1837">
        <v>0</v>
      </c>
    </row>
    <row r="1838" spans="1:15" hidden="1" x14ac:dyDescent="0.25">
      <c r="A1838" s="11">
        <v>46058</v>
      </c>
      <c r="B1838" t="s">
        <v>60</v>
      </c>
      <c r="C1838" t="s">
        <v>23</v>
      </c>
      <c r="D1838">
        <v>50</v>
      </c>
      <c r="E1838">
        <v>14</v>
      </c>
      <c r="F1838">
        <v>5.35</v>
      </c>
      <c r="G1838">
        <v>0</v>
      </c>
      <c r="H1838">
        <v>0</v>
      </c>
      <c r="I1838" s="3">
        <f>E1838+G1838+H1838</f>
        <v>14</v>
      </c>
      <c r="J1838" s="3">
        <f>ROUND(MIN(IF(C1838="Técnico III",35,IF(C1838="Técnico II",28,IF(C1838="Técnico I",23,IF(C1838="JR",20,IF(C1838="Estágio",10,0))))),IF(C1838="Técnico III",SUMIFS($D:$D,$A:$A,$A1838,$B:$B,"&lt;&gt;Patrícia Karla de Sousa Araújo",$B:$B,"&lt;&gt;Lorena Dias de Araujo",$B:$B,"&lt;&gt;Lucas Luiz Romero")*(35/1083),IF(C1838="Técnico II",SUMIFS($D:$D,$A:$A,$A1838,$B:$B,"&lt;&gt;Patrícia Karla de Sousa Araújo",$B:$B,"&lt;&gt;Lorena Dias de Araujo",$B:$B,"&lt;&gt;Lucas Luiz Romero")*(28/1083),IF(C1838="Técnico I",SUMIFS($D:$D,$A:$A,$A1838,$B:$B,"&lt;&gt;Patrícia Karla de Sousa Araújo",$B:$B,"&lt;&gt;Lorena Dias de Araujo",$B:$B,"&lt;&gt;Lucas Luiz Romero")*(23/1083),IF(C1838="JR",SUMIFS($D:$D,$A:$A,$A1838,$B:$B,"&lt;&gt;Patrícia Karla de Sousa Araújo",$B:$B,"&lt;&gt;Lorena Dias de Araujo",$B:$B,"&lt;&gt;Lucas Luiz Romero")*(20/1083),IF(C1838="Estágio",SUMIFS($D:$D,$A:$A,$A1838,$B:$B,"&lt;&gt;Patrícia Karla de Sousa Araújo",$B:$B,"&lt;&gt;Lorena Dias de Araujo",$B:$B,"&lt;&gt;Lucas Luiz Romero")*(10/1083),0)))))),0)</f>
        <v>23</v>
      </c>
      <c r="K1838" s="3">
        <f>I1838-J1838</f>
        <v>-9</v>
      </c>
      <c r="L1838" s="3" t="str">
        <f>IF(K1838&lt;-5,"CRÍTICO",IF(K1838&lt;0,"ATENÇÃO",IF(K1838&lt;=5,"BOM","EXCELENTE")))</f>
        <v>CRÍTICO</v>
      </c>
      <c r="M1838">
        <v>22</v>
      </c>
      <c r="N1838">
        <v>98.75</v>
      </c>
      <c r="O1838">
        <v>24.32432432432433</v>
      </c>
    </row>
    <row r="1839" spans="1:15" hidden="1" x14ac:dyDescent="0.25">
      <c r="A1839" s="11">
        <v>46058</v>
      </c>
      <c r="B1839" t="s">
        <v>34</v>
      </c>
      <c r="C1839" t="s">
        <v>32</v>
      </c>
      <c r="D1839">
        <v>28</v>
      </c>
      <c r="E1839">
        <v>28</v>
      </c>
      <c r="F1839">
        <v>15.18</v>
      </c>
      <c r="G1839">
        <v>0</v>
      </c>
      <c r="H1839">
        <v>0</v>
      </c>
      <c r="I1839" s="3">
        <f>E1839+G1839+H1839</f>
        <v>28</v>
      </c>
      <c r="J1839" s="3">
        <f>ROUND(MIN(IF(C1839="Técnico III",35,IF(C1839="Técnico II",28,IF(C1839="Técnico I",23,IF(C1839="JR",20,IF(C1839="Estágio",10,0))))),IF(C1839="Técnico III",SUMIFS($D:$D,$A:$A,$A1839,$B:$B,"&lt;&gt;Patrícia Karla de Sousa Araújo",$B:$B,"&lt;&gt;Lorena Dias de Araujo",$B:$B,"&lt;&gt;Lucas Luiz Romero")*(35/1083),IF(C1839="Técnico II",SUMIFS($D:$D,$A:$A,$A1839,$B:$B,"&lt;&gt;Patrícia Karla de Sousa Araújo",$B:$B,"&lt;&gt;Lorena Dias de Araujo",$B:$B,"&lt;&gt;Lucas Luiz Romero")*(28/1083),IF(C1839="Técnico I",SUMIFS($D:$D,$A:$A,$A1839,$B:$B,"&lt;&gt;Patrícia Karla de Sousa Araújo",$B:$B,"&lt;&gt;Lorena Dias de Araujo",$B:$B,"&lt;&gt;Lucas Luiz Romero")*(23/1083),IF(C1839="JR",SUMIFS($D:$D,$A:$A,$A1839,$B:$B,"&lt;&gt;Patrícia Karla de Sousa Araújo",$B:$B,"&lt;&gt;Lorena Dias de Araujo",$B:$B,"&lt;&gt;Lucas Luiz Romero")*(20/1083),IF(C1839="Estágio",SUMIFS($D:$D,$A:$A,$A1839,$B:$B,"&lt;&gt;Patrícia Karla de Sousa Araújo",$B:$B,"&lt;&gt;Lorena Dias de Araujo",$B:$B,"&lt;&gt;Lucas Luiz Romero")*(10/1083),0)))))),0)</f>
        <v>35</v>
      </c>
      <c r="K1839" s="3">
        <f>I1839-J1839</f>
        <v>-7</v>
      </c>
      <c r="L1839" s="3" t="str">
        <f>IF(K1839&lt;-5,"CRÍTICO",IF(K1839&lt;0,"ATENÇÃO",IF(K1839&lt;=5,"BOM","EXCELENTE")))</f>
        <v>CRÍTICO</v>
      </c>
      <c r="M1839">
        <v>25</v>
      </c>
      <c r="N1839">
        <v>93.48</v>
      </c>
      <c r="O1839">
        <v>31.52804642166344</v>
      </c>
    </row>
    <row r="1840" spans="1:15" hidden="1" x14ac:dyDescent="0.25">
      <c r="A1840" s="11">
        <v>46058</v>
      </c>
      <c r="B1840" t="s">
        <v>51</v>
      </c>
      <c r="C1840" t="s">
        <v>48</v>
      </c>
      <c r="D1840">
        <v>40</v>
      </c>
      <c r="E1840">
        <v>33</v>
      </c>
      <c r="F1840">
        <v>15.5</v>
      </c>
      <c r="G1840">
        <v>0</v>
      </c>
      <c r="H1840">
        <v>0</v>
      </c>
      <c r="I1840" s="3">
        <v>0</v>
      </c>
      <c r="J1840" s="3">
        <v>0</v>
      </c>
      <c r="K1840" s="3">
        <v>0</v>
      </c>
      <c r="L1840" s="3" t="str">
        <f>IF(K1840&lt;-5,"CRÍTICO",IF(K1840&lt;0,"ATENÇÃO",IF(K1840&lt;=5,"BOM","EXCELENTE")))</f>
        <v>BOM</v>
      </c>
      <c r="M1840">
        <v>37</v>
      </c>
      <c r="N1840">
        <v>99.16</v>
      </c>
      <c r="O1840">
        <v>26.13908872901678</v>
      </c>
    </row>
    <row r="1841" spans="1:15" hidden="1" x14ac:dyDescent="0.25">
      <c r="A1841" s="11">
        <v>46058</v>
      </c>
      <c r="B1841" t="s">
        <v>61</v>
      </c>
      <c r="C1841" t="s">
        <v>23</v>
      </c>
      <c r="D1841">
        <v>20</v>
      </c>
      <c r="E1841">
        <v>20</v>
      </c>
      <c r="F1841">
        <v>33.520000000000003</v>
      </c>
      <c r="G1841">
        <v>0</v>
      </c>
      <c r="H1841">
        <v>0</v>
      </c>
      <c r="I1841" s="3">
        <f>E1841+G1841+H1841</f>
        <v>20</v>
      </c>
      <c r="J1841" s="3">
        <f>ROUND(MIN(IF(C1841="Técnico III",35,IF(C1841="Técnico II",28,IF(C1841="Técnico I",23,IF(C1841="JR",20,IF(C1841="Estágio",10,0))))),IF(C1841="Técnico III",SUMIFS($D:$D,$A:$A,$A1841,$B:$B,"&lt;&gt;Patrícia Karla de Sousa Araújo",$B:$B,"&lt;&gt;Lorena Dias de Araujo",$B:$B,"&lt;&gt;Lucas Luiz Romero")*(35/1083),IF(C1841="Técnico II",SUMIFS($D:$D,$A:$A,$A1841,$B:$B,"&lt;&gt;Patrícia Karla de Sousa Araújo",$B:$B,"&lt;&gt;Lorena Dias de Araujo",$B:$B,"&lt;&gt;Lucas Luiz Romero")*(28/1083),IF(C1841="Técnico I",SUMIFS($D:$D,$A:$A,$A1841,$B:$B,"&lt;&gt;Patrícia Karla de Sousa Araújo",$B:$B,"&lt;&gt;Lorena Dias de Araujo",$B:$B,"&lt;&gt;Lucas Luiz Romero")*(23/1083),IF(C1841="JR",SUMIFS($D:$D,$A:$A,$A1841,$B:$B,"&lt;&gt;Patrícia Karla de Sousa Araújo",$B:$B,"&lt;&gt;Lorena Dias de Araujo",$B:$B,"&lt;&gt;Lucas Luiz Romero")*(20/1083),IF(C1841="Estágio",SUMIFS($D:$D,$A:$A,$A1841,$B:$B,"&lt;&gt;Patrícia Karla de Sousa Araújo",$B:$B,"&lt;&gt;Lorena Dias de Araujo",$B:$B,"&lt;&gt;Lucas Luiz Romero")*(10/1083),0)))))),0)</f>
        <v>23</v>
      </c>
      <c r="K1841" s="3">
        <f>I1841-J1841</f>
        <v>-3</v>
      </c>
      <c r="L1841" s="3" t="str">
        <f>IF(K1841&lt;-5,"CRÍTICO",IF(K1841&lt;0,"ATENÇÃO",IF(K1841&lt;=5,"BOM","EXCELENTE")))</f>
        <v>ATENÇÃO</v>
      </c>
      <c r="M1841">
        <v>29</v>
      </c>
      <c r="N1841">
        <v>100</v>
      </c>
      <c r="O1841">
        <v>31.089743589743591</v>
      </c>
    </row>
    <row r="1842" spans="1:15" hidden="1" x14ac:dyDescent="0.25">
      <c r="A1842" s="11">
        <v>46058</v>
      </c>
      <c r="B1842" t="s">
        <v>35</v>
      </c>
      <c r="C1842" t="s">
        <v>32</v>
      </c>
      <c r="D1842">
        <v>37</v>
      </c>
      <c r="E1842">
        <v>36</v>
      </c>
      <c r="F1842">
        <v>20.3</v>
      </c>
      <c r="G1842">
        <v>0</v>
      </c>
      <c r="H1842">
        <v>0</v>
      </c>
      <c r="I1842" s="3">
        <v>0</v>
      </c>
      <c r="J1842" s="3">
        <v>0</v>
      </c>
      <c r="K1842" s="3">
        <v>0</v>
      </c>
      <c r="L1842" s="3" t="str">
        <f>IF(K1842&lt;-5,"CRÍTICO",IF(K1842&lt;0,"ATENÇÃO",IF(K1842&lt;=5,"BOM","EXCELENTE")))</f>
        <v>BOM</v>
      </c>
      <c r="M1842">
        <v>35</v>
      </c>
      <c r="N1842">
        <v>98.11</v>
      </c>
      <c r="O1842">
        <v>33.033707865168537</v>
      </c>
    </row>
    <row r="1843" spans="1:15" hidden="1" x14ac:dyDescent="0.25">
      <c r="A1843" s="11">
        <v>46058</v>
      </c>
      <c r="B1843" t="s">
        <v>18</v>
      </c>
      <c r="C1843" t="s">
        <v>16</v>
      </c>
      <c r="D1843">
        <v>39</v>
      </c>
      <c r="E1843">
        <v>28</v>
      </c>
      <c r="F1843">
        <v>5.44</v>
      </c>
      <c r="G1843">
        <v>0</v>
      </c>
      <c r="H1843">
        <v>0</v>
      </c>
      <c r="I1843" s="3">
        <f>E1843+G1843+H1843</f>
        <v>28</v>
      </c>
      <c r="J1843" s="3">
        <f>ROUND(MIN(IF(C1843="Técnico III",35,IF(C1843="Técnico II",28,IF(C1843="Técnico I",23,IF(C1843="JR",20,IF(C1843="Estágio",10,0))))),IF(C1843="Técnico III",SUMIFS($D:$D,$A:$A,$A1843,$B:$B,"&lt;&gt;Patrícia Karla de Sousa Araújo",$B:$B,"&lt;&gt;Lorena Dias de Araujo",$B:$B,"&lt;&gt;Lucas Luiz Romero")*(35/1083),IF(C1843="Técnico II",SUMIFS($D:$D,$A:$A,$A1843,$B:$B,"&lt;&gt;Patrícia Karla de Sousa Araújo",$B:$B,"&lt;&gt;Lorena Dias de Araujo",$B:$B,"&lt;&gt;Lucas Luiz Romero")*(28/1083),IF(C1843="Técnico I",SUMIFS($D:$D,$A:$A,$A1843,$B:$B,"&lt;&gt;Patrícia Karla de Sousa Araújo",$B:$B,"&lt;&gt;Lorena Dias de Araujo",$B:$B,"&lt;&gt;Lucas Luiz Romero")*(23/1083),IF(C1843="JR",SUMIFS($D:$D,$A:$A,$A1843,$B:$B,"&lt;&gt;Patrícia Karla de Sousa Araújo",$B:$B,"&lt;&gt;Lorena Dias de Araujo",$B:$B,"&lt;&gt;Lucas Luiz Romero")*(20/1083),IF(C1843="Estágio",SUMIFS($D:$D,$A:$A,$A1843,$B:$B,"&lt;&gt;Patrícia Karla de Sousa Araújo",$B:$B,"&lt;&gt;Lorena Dias de Araujo",$B:$B,"&lt;&gt;Lucas Luiz Romero")*(10/1083),0)))))),0)</f>
        <v>10</v>
      </c>
      <c r="K1843" s="3">
        <f>I1843-J1843</f>
        <v>18</v>
      </c>
      <c r="L1843" s="3" t="str">
        <f>IF(K1843&lt;-5,"CRÍTICO",IF(K1843&lt;0,"ATENÇÃO",IF(K1843&lt;=5,"BOM","EXCELENTE")))</f>
        <v>EXCELENTE</v>
      </c>
      <c r="M1843">
        <v>2</v>
      </c>
      <c r="N1843">
        <v>78.95</v>
      </c>
      <c r="O1843">
        <v>38.983050847457633</v>
      </c>
    </row>
    <row r="1844" spans="1:15" hidden="1" x14ac:dyDescent="0.25">
      <c r="A1844" s="11">
        <v>46058</v>
      </c>
      <c r="B1844" t="s">
        <v>52</v>
      </c>
      <c r="C1844" t="s">
        <v>48</v>
      </c>
      <c r="D1844">
        <v>38</v>
      </c>
      <c r="E1844">
        <v>35</v>
      </c>
      <c r="F1844">
        <v>13.48</v>
      </c>
      <c r="G1844">
        <v>0</v>
      </c>
      <c r="H1844">
        <v>0</v>
      </c>
      <c r="I1844" s="3">
        <f>E1844+G1844+H1844</f>
        <v>35</v>
      </c>
      <c r="J1844" s="3">
        <f>ROUND(MIN(IF(C1844="Técnico III",35,IF(C1844="Técnico II",28,IF(C1844="Técnico I",23,IF(C1844="JR",20,IF(C1844="Estágio",10,0))))),IF(C1844="Técnico III",SUMIFS($D:$D,$A:$A,$A1844,$B:$B,"&lt;&gt;Patrícia Karla de Sousa Araújo",$B:$B,"&lt;&gt;Lorena Dias de Araujo",$B:$B,"&lt;&gt;Lucas Luiz Romero")*(35/1083),IF(C1844="Técnico II",SUMIFS($D:$D,$A:$A,$A1844,$B:$B,"&lt;&gt;Patrícia Karla de Sousa Araújo",$B:$B,"&lt;&gt;Lorena Dias de Araujo",$B:$B,"&lt;&gt;Lucas Luiz Romero")*(28/1083),IF(C1844="Técnico I",SUMIFS($D:$D,$A:$A,$A1844,$B:$B,"&lt;&gt;Patrícia Karla de Sousa Araújo",$B:$B,"&lt;&gt;Lorena Dias de Araujo",$B:$B,"&lt;&gt;Lucas Luiz Romero")*(23/1083),IF(C1844="JR",SUMIFS($D:$D,$A:$A,$A1844,$B:$B,"&lt;&gt;Patrícia Karla de Sousa Araújo",$B:$B,"&lt;&gt;Lorena Dias de Araujo",$B:$B,"&lt;&gt;Lucas Luiz Romero")*(20/1083),IF(C1844="Estágio",SUMIFS($D:$D,$A:$A,$A1844,$B:$B,"&lt;&gt;Patrícia Karla de Sousa Araújo",$B:$B,"&lt;&gt;Lorena Dias de Araujo",$B:$B,"&lt;&gt;Lucas Luiz Romero")*(10/1083),0)))))),0)</f>
        <v>28</v>
      </c>
      <c r="K1844" s="3">
        <f>I1844-J1844</f>
        <v>7</v>
      </c>
      <c r="L1844" s="3" t="str">
        <f>IF(K1844&lt;-5,"CRÍTICO",IF(K1844&lt;0,"ATENÇÃO",IF(K1844&lt;=5,"BOM","EXCELENTE")))</f>
        <v>EXCELENTE</v>
      </c>
      <c r="M1844">
        <v>30</v>
      </c>
      <c r="N1844">
        <v>98.45</v>
      </c>
      <c r="O1844">
        <v>29.281767955801101</v>
      </c>
    </row>
    <row r="1845" spans="1:15" hidden="1" x14ac:dyDescent="0.25">
      <c r="A1845" s="11">
        <v>46058</v>
      </c>
      <c r="B1845" t="s">
        <v>36</v>
      </c>
      <c r="C1845" t="s">
        <v>32</v>
      </c>
      <c r="D1845">
        <v>35</v>
      </c>
      <c r="E1845">
        <v>35</v>
      </c>
      <c r="F1845">
        <v>16.559999999999999</v>
      </c>
      <c r="G1845">
        <v>0</v>
      </c>
      <c r="H1845">
        <v>0</v>
      </c>
      <c r="I1845" s="3">
        <f>E1845+G1845+H1845</f>
        <v>35</v>
      </c>
      <c r="J1845" s="3">
        <f>ROUND(MIN(IF(C1845="Técnico III",35,IF(C1845="Técnico II",28,IF(C1845="Técnico I",23,IF(C1845="JR",20,IF(C1845="Estágio",10,0))))),IF(C1845="Técnico III",SUMIFS($D:$D,$A:$A,$A1845,$B:$B,"&lt;&gt;Patrícia Karla de Sousa Araújo",$B:$B,"&lt;&gt;Lorena Dias de Araujo",$B:$B,"&lt;&gt;Lucas Luiz Romero")*(35/1083),IF(C1845="Técnico II",SUMIFS($D:$D,$A:$A,$A1845,$B:$B,"&lt;&gt;Patrícia Karla de Sousa Araújo",$B:$B,"&lt;&gt;Lorena Dias de Araujo",$B:$B,"&lt;&gt;Lucas Luiz Romero")*(28/1083),IF(C1845="Técnico I",SUMIFS($D:$D,$A:$A,$A1845,$B:$B,"&lt;&gt;Patrícia Karla de Sousa Araújo",$B:$B,"&lt;&gt;Lorena Dias de Araujo",$B:$B,"&lt;&gt;Lucas Luiz Romero")*(23/1083),IF(C1845="JR",SUMIFS($D:$D,$A:$A,$A1845,$B:$B,"&lt;&gt;Patrícia Karla de Sousa Araújo",$B:$B,"&lt;&gt;Lorena Dias de Araujo",$B:$B,"&lt;&gt;Lucas Luiz Romero")*(20/1083),IF(C1845="Estágio",SUMIFS($D:$D,$A:$A,$A1845,$B:$B,"&lt;&gt;Patrícia Karla de Sousa Araújo",$B:$B,"&lt;&gt;Lorena Dias de Araujo",$B:$B,"&lt;&gt;Lucas Luiz Romero")*(10/1083),0)))))),0)</f>
        <v>35</v>
      </c>
      <c r="K1845" s="3">
        <f>I1845-J1845</f>
        <v>0</v>
      </c>
      <c r="L1845" s="3" t="str">
        <f>IF(K1845&lt;-5,"CRÍTICO",IF(K1845&lt;0,"ATENÇÃO",IF(K1845&lt;=5,"BOM","EXCELENTE")))</f>
        <v>BOM</v>
      </c>
      <c r="M1845">
        <v>35</v>
      </c>
      <c r="N1845">
        <v>97.84</v>
      </c>
      <c r="O1845">
        <v>26.282051282051281</v>
      </c>
    </row>
    <row r="1846" spans="1:15" hidden="1" x14ac:dyDescent="0.25">
      <c r="A1846" s="11">
        <v>46058</v>
      </c>
      <c r="B1846" t="s">
        <v>53</v>
      </c>
      <c r="C1846" t="s">
        <v>48</v>
      </c>
      <c r="D1846">
        <v>48</v>
      </c>
      <c r="E1846">
        <v>44</v>
      </c>
      <c r="F1846">
        <v>15.05</v>
      </c>
      <c r="G1846">
        <v>0</v>
      </c>
      <c r="H1846">
        <v>0</v>
      </c>
      <c r="I1846" s="3">
        <f>E1846+G1846+H1846</f>
        <v>44</v>
      </c>
      <c r="J1846" s="3">
        <f>ROUND(MIN(IF(C1846="Técnico III",35,IF(C1846="Técnico II",28,IF(C1846="Técnico I",23,IF(C1846="JR",20,IF(C1846="Estágio",10,0))))),IF(C1846="Técnico III",SUMIFS($D:$D,$A:$A,$A1846,$B:$B,"&lt;&gt;Patrícia Karla de Sousa Araújo",$B:$B,"&lt;&gt;Lorena Dias de Araujo",$B:$B,"&lt;&gt;Lucas Luiz Romero")*(35/1083),IF(C1846="Técnico II",SUMIFS($D:$D,$A:$A,$A1846,$B:$B,"&lt;&gt;Patrícia Karla de Sousa Araújo",$B:$B,"&lt;&gt;Lorena Dias de Araujo",$B:$B,"&lt;&gt;Lucas Luiz Romero")*(28/1083),IF(C1846="Técnico I",SUMIFS($D:$D,$A:$A,$A1846,$B:$B,"&lt;&gt;Patrícia Karla de Sousa Araújo",$B:$B,"&lt;&gt;Lorena Dias de Araujo",$B:$B,"&lt;&gt;Lucas Luiz Romero")*(23/1083),IF(C1846="JR",SUMIFS($D:$D,$A:$A,$A1846,$B:$B,"&lt;&gt;Patrícia Karla de Sousa Araújo",$B:$B,"&lt;&gt;Lorena Dias de Araujo",$B:$B,"&lt;&gt;Lucas Luiz Romero")*(20/1083),IF(C1846="Estágio",SUMIFS($D:$D,$A:$A,$A1846,$B:$B,"&lt;&gt;Patrícia Karla de Sousa Araújo",$B:$B,"&lt;&gt;Lorena Dias de Araujo",$B:$B,"&lt;&gt;Lucas Luiz Romero")*(10/1083),0)))))),0)</f>
        <v>28</v>
      </c>
      <c r="K1846" s="3">
        <f>I1846-J1846</f>
        <v>16</v>
      </c>
      <c r="L1846" s="3" t="str">
        <f>IF(K1846&lt;-5,"CRÍTICO",IF(K1846&lt;0,"ATENÇÃO",IF(K1846&lt;=5,"BOM","EXCELENTE")))</f>
        <v>EXCELENTE</v>
      </c>
      <c r="M1846">
        <v>42</v>
      </c>
      <c r="N1846">
        <v>98.5</v>
      </c>
      <c r="O1846">
        <v>23.97769516728625</v>
      </c>
    </row>
    <row r="1847" spans="1:15" hidden="1" x14ac:dyDescent="0.25">
      <c r="A1847" s="11">
        <v>46092</v>
      </c>
      <c r="B1847" t="s">
        <v>22</v>
      </c>
      <c r="C1847" t="s">
        <v>23</v>
      </c>
      <c r="D1847">
        <v>3</v>
      </c>
      <c r="E1847">
        <v>3</v>
      </c>
      <c r="F1847">
        <v>24.03</v>
      </c>
      <c r="G1847">
        <v>0</v>
      </c>
      <c r="H1847">
        <v>0</v>
      </c>
      <c r="I1847" s="3">
        <f>E1847+G1847+H1847</f>
        <v>3</v>
      </c>
      <c r="J1847" s="3">
        <f>ROUND(MIN(IF(C1847="Técnico III",35,IF(C1847="Técnico II",28,IF(C1847="Técnico I",23,IF(C1847="JR",20,IF(C1847="Estágio",10,0))))),IF(C1847="Técnico III",SUMIFS($D:$D,$A:$A,$A1847,$B:$B,"&lt;&gt;Patrícia Karla de Sousa Araújo",$B:$B,"&lt;&gt;Lorena Dias de Araujo",$B:$B,"&lt;&gt;Lucas Luiz Romero")*(35/1083),IF(C1847="Técnico II",SUMIFS($D:$D,$A:$A,$A1847,$B:$B,"&lt;&gt;Patrícia Karla de Sousa Araújo",$B:$B,"&lt;&gt;Lorena Dias de Araujo",$B:$B,"&lt;&gt;Lucas Luiz Romero")*(28/1083),IF(C1847="Técnico I",SUMIFS($D:$D,$A:$A,$A1847,$B:$B,"&lt;&gt;Patrícia Karla de Sousa Araújo",$B:$B,"&lt;&gt;Lorena Dias de Araujo",$B:$B,"&lt;&gt;Lucas Luiz Romero")*(23/1083),IF(C1847="JR",SUMIFS($D:$D,$A:$A,$A1847,$B:$B,"&lt;&gt;Patrícia Karla de Sousa Araújo",$B:$B,"&lt;&gt;Lorena Dias de Araujo",$B:$B,"&lt;&gt;Lucas Luiz Romero")*(20/1083),IF(C1847="Estágio",SUMIFS($D:$D,$A:$A,$A1847,$B:$B,"&lt;&gt;Patrícia Karla de Sousa Araújo",$B:$B,"&lt;&gt;Lorena Dias de Araujo",$B:$B,"&lt;&gt;Lucas Luiz Romero")*(10/1083),0)))))),0)</f>
        <v>16</v>
      </c>
      <c r="K1847" s="3">
        <f>I1847-J1847</f>
        <v>-13</v>
      </c>
      <c r="L1847" s="3" t="str">
        <f>IF(K1847&lt;-5,"CRÍTICO",IF(K1847&lt;0,"ATENÇÃO",IF(K1847&lt;=5,"BOM","EXCELENTE")))</f>
        <v>CRÍTICO</v>
      </c>
      <c r="M1847">
        <v>10</v>
      </c>
      <c r="N1847">
        <v>99.05</v>
      </c>
      <c r="O1847">
        <v>26.621923937360179</v>
      </c>
    </row>
    <row r="1848" spans="1:15" hidden="1" x14ac:dyDescent="0.25">
      <c r="A1848" s="11">
        <v>46058</v>
      </c>
      <c r="B1848" t="s">
        <v>54</v>
      </c>
      <c r="C1848" t="s">
        <v>48</v>
      </c>
      <c r="D1848">
        <v>37</v>
      </c>
      <c r="E1848">
        <v>37</v>
      </c>
      <c r="F1848">
        <v>21.44</v>
      </c>
      <c r="G1848">
        <v>0</v>
      </c>
      <c r="H1848">
        <v>0</v>
      </c>
      <c r="I1848" s="3">
        <f>E1848+G1848+H1848</f>
        <v>37</v>
      </c>
      <c r="J1848" s="3">
        <f>ROUND(MIN(IF(C1848="Técnico III",35,IF(C1848="Técnico II",28,IF(C1848="Técnico I",23,IF(C1848="JR",20,IF(C1848="Estágio",10,0))))),IF(C1848="Técnico III",SUMIFS($D:$D,$A:$A,$A1848,$B:$B,"&lt;&gt;Patrícia Karla de Sousa Araújo",$B:$B,"&lt;&gt;Lorena Dias de Araujo",$B:$B,"&lt;&gt;Lucas Luiz Romero")*(35/1083),IF(C1848="Técnico II",SUMIFS($D:$D,$A:$A,$A1848,$B:$B,"&lt;&gt;Patrícia Karla de Sousa Araújo",$B:$B,"&lt;&gt;Lorena Dias de Araujo",$B:$B,"&lt;&gt;Lucas Luiz Romero")*(28/1083),IF(C1848="Técnico I",SUMIFS($D:$D,$A:$A,$A1848,$B:$B,"&lt;&gt;Patrícia Karla de Sousa Araújo",$B:$B,"&lt;&gt;Lorena Dias de Araujo",$B:$B,"&lt;&gt;Lucas Luiz Romero")*(23/1083),IF(C1848="JR",SUMIFS($D:$D,$A:$A,$A1848,$B:$B,"&lt;&gt;Patrícia Karla de Sousa Araújo",$B:$B,"&lt;&gt;Lorena Dias de Araujo",$B:$B,"&lt;&gt;Lucas Luiz Romero")*(20/1083),IF(C1848="Estágio",SUMIFS($D:$D,$A:$A,$A1848,$B:$B,"&lt;&gt;Patrícia Karla de Sousa Araújo",$B:$B,"&lt;&gt;Lorena Dias de Araujo",$B:$B,"&lt;&gt;Lucas Luiz Romero")*(10/1083),0)))))),0)</f>
        <v>28</v>
      </c>
      <c r="K1848" s="3">
        <f>I1848-J1848</f>
        <v>9</v>
      </c>
      <c r="L1848" s="3" t="str">
        <f>IF(K1848&lt;-5,"CRÍTICO",IF(K1848&lt;0,"ATENÇÃO",IF(K1848&lt;=5,"BOM","EXCELENTE")))</f>
        <v>EXCELENTE</v>
      </c>
      <c r="M1848">
        <v>34</v>
      </c>
      <c r="N1848">
        <v>98.53</v>
      </c>
      <c r="O1848">
        <v>31.578947368421051</v>
      </c>
    </row>
    <row r="1849" spans="1:15" hidden="1" x14ac:dyDescent="0.25">
      <c r="A1849" s="11">
        <v>46058</v>
      </c>
      <c r="B1849" t="s">
        <v>37</v>
      </c>
      <c r="C1849" t="s">
        <v>32</v>
      </c>
      <c r="D1849">
        <v>47</v>
      </c>
      <c r="E1849">
        <v>43</v>
      </c>
      <c r="F1849">
        <v>13.22</v>
      </c>
      <c r="G1849">
        <v>0</v>
      </c>
      <c r="H1849">
        <v>0</v>
      </c>
      <c r="I1849" s="3">
        <f>E1849+G1849+H1849</f>
        <v>43</v>
      </c>
      <c r="J1849" s="3">
        <f>ROUND(MIN(IF(C1849="Técnico III",35,IF(C1849="Técnico II",28,IF(C1849="Técnico I",23,IF(C1849="JR",20,IF(C1849="Estágio",10,0))))),IF(C1849="Técnico III",SUMIFS($D:$D,$A:$A,$A1849,$B:$B,"&lt;&gt;Patrícia Karla de Sousa Araújo",$B:$B,"&lt;&gt;Lorena Dias de Araujo",$B:$B,"&lt;&gt;Lucas Luiz Romero")*(35/1083),IF(C1849="Técnico II",SUMIFS($D:$D,$A:$A,$A1849,$B:$B,"&lt;&gt;Patrícia Karla de Sousa Araújo",$B:$B,"&lt;&gt;Lorena Dias de Araujo",$B:$B,"&lt;&gt;Lucas Luiz Romero")*(28/1083),IF(C1849="Técnico I",SUMIFS($D:$D,$A:$A,$A1849,$B:$B,"&lt;&gt;Patrícia Karla de Sousa Araújo",$B:$B,"&lt;&gt;Lorena Dias de Araujo",$B:$B,"&lt;&gt;Lucas Luiz Romero")*(23/1083),IF(C1849="JR",SUMIFS($D:$D,$A:$A,$A1849,$B:$B,"&lt;&gt;Patrícia Karla de Sousa Araújo",$B:$B,"&lt;&gt;Lorena Dias de Araujo",$B:$B,"&lt;&gt;Lucas Luiz Romero")*(20/1083),IF(C1849="Estágio",SUMIFS($D:$D,$A:$A,$A1849,$B:$B,"&lt;&gt;Patrícia Karla de Sousa Araújo",$B:$B,"&lt;&gt;Lorena Dias de Araujo",$B:$B,"&lt;&gt;Lucas Luiz Romero")*(10/1083),0)))))),0)</f>
        <v>35</v>
      </c>
      <c r="K1849" s="3">
        <f>I1849-J1849</f>
        <v>8</v>
      </c>
      <c r="L1849" s="3" t="str">
        <f>IF(K1849&lt;-5,"CRÍTICO",IF(K1849&lt;0,"ATENÇÃO",IF(K1849&lt;=5,"BOM","EXCELENTE")))</f>
        <v>EXCELENTE</v>
      </c>
      <c r="M1849">
        <v>46</v>
      </c>
      <c r="N1849">
        <v>100</v>
      </c>
      <c r="O1849">
        <v>25.72214580467676</v>
      </c>
    </row>
    <row r="1850" spans="1:15" hidden="1" x14ac:dyDescent="0.25">
      <c r="A1850" s="11">
        <v>46058</v>
      </c>
      <c r="B1850" t="s">
        <v>38</v>
      </c>
      <c r="C1850" t="s">
        <v>32</v>
      </c>
      <c r="D1850">
        <v>53</v>
      </c>
      <c r="E1850">
        <v>44</v>
      </c>
      <c r="F1850">
        <v>10.47</v>
      </c>
      <c r="G1850">
        <v>0</v>
      </c>
      <c r="H1850">
        <v>0</v>
      </c>
      <c r="I1850" s="3">
        <f>E1850+G1850+H1850</f>
        <v>44</v>
      </c>
      <c r="J1850" s="3">
        <f>ROUND(MIN(IF(C1850="Técnico III",35,IF(C1850="Técnico II",28,IF(C1850="Técnico I",23,IF(C1850="JR",20,IF(C1850="Estágio",10,0))))),IF(C1850="Técnico III",SUMIFS($D:$D,$A:$A,$A1850,$B:$B,"&lt;&gt;Patrícia Karla de Sousa Araújo",$B:$B,"&lt;&gt;Lorena Dias de Araujo",$B:$B,"&lt;&gt;Lucas Luiz Romero")*(35/1083),IF(C1850="Técnico II",SUMIFS($D:$D,$A:$A,$A1850,$B:$B,"&lt;&gt;Patrícia Karla de Sousa Araújo",$B:$B,"&lt;&gt;Lorena Dias de Araujo",$B:$B,"&lt;&gt;Lucas Luiz Romero")*(28/1083),IF(C1850="Técnico I",SUMIFS($D:$D,$A:$A,$A1850,$B:$B,"&lt;&gt;Patrícia Karla de Sousa Araújo",$B:$B,"&lt;&gt;Lorena Dias de Araujo",$B:$B,"&lt;&gt;Lucas Luiz Romero")*(23/1083),IF(C1850="JR",SUMIFS($D:$D,$A:$A,$A1850,$B:$B,"&lt;&gt;Patrícia Karla de Sousa Araújo",$B:$B,"&lt;&gt;Lorena Dias de Araujo",$B:$B,"&lt;&gt;Lucas Luiz Romero")*(20/1083),IF(C1850="Estágio",SUMIFS($D:$D,$A:$A,$A1850,$B:$B,"&lt;&gt;Patrícia Karla de Sousa Araújo",$B:$B,"&lt;&gt;Lorena Dias de Araujo",$B:$B,"&lt;&gt;Lucas Luiz Romero")*(10/1083),0)))))),0)</f>
        <v>35</v>
      </c>
      <c r="K1850" s="3">
        <f>I1850-J1850</f>
        <v>9</v>
      </c>
      <c r="L1850" s="3" t="str">
        <f>IF(K1850&lt;-5,"CRÍTICO",IF(K1850&lt;0,"ATENÇÃO",IF(K1850&lt;=5,"BOM","EXCELENTE")))</f>
        <v>EXCELENTE</v>
      </c>
      <c r="M1850">
        <v>41</v>
      </c>
      <c r="N1850">
        <v>94.64</v>
      </c>
      <c r="O1850">
        <v>27.52941176470588</v>
      </c>
    </row>
    <row r="1851" spans="1:15" hidden="1" x14ac:dyDescent="0.25">
      <c r="A1851" s="11">
        <v>46058</v>
      </c>
      <c r="B1851" t="s">
        <v>55</v>
      </c>
      <c r="C1851" t="s">
        <v>48</v>
      </c>
      <c r="D1851">
        <v>50</v>
      </c>
      <c r="E1851">
        <v>38</v>
      </c>
      <c r="F1851">
        <v>13.39</v>
      </c>
      <c r="G1851">
        <v>0</v>
      </c>
      <c r="H1851">
        <v>0</v>
      </c>
      <c r="I1851" s="3">
        <f>E1851+G1851+H1851</f>
        <v>38</v>
      </c>
      <c r="J1851" s="3">
        <f>ROUND(MIN(IF(C1851="Técnico III",35,IF(C1851="Técnico II",28,IF(C1851="Técnico I",23,IF(C1851="JR",20,IF(C1851="Estágio",10,0))))),IF(C1851="Técnico III",SUMIFS($D:$D,$A:$A,$A1851,$B:$B,"&lt;&gt;Patrícia Karla de Sousa Araújo",$B:$B,"&lt;&gt;Lorena Dias de Araujo",$B:$B,"&lt;&gt;Lucas Luiz Romero")*(35/1083),IF(C1851="Técnico II",SUMIFS($D:$D,$A:$A,$A1851,$B:$B,"&lt;&gt;Patrícia Karla de Sousa Araújo",$B:$B,"&lt;&gt;Lorena Dias de Araujo",$B:$B,"&lt;&gt;Lucas Luiz Romero")*(28/1083),IF(C1851="Técnico I",SUMIFS($D:$D,$A:$A,$A1851,$B:$B,"&lt;&gt;Patrícia Karla de Sousa Araújo",$B:$B,"&lt;&gt;Lorena Dias de Araujo",$B:$B,"&lt;&gt;Lucas Luiz Romero")*(23/1083),IF(C1851="JR",SUMIFS($D:$D,$A:$A,$A1851,$B:$B,"&lt;&gt;Patrícia Karla de Sousa Araújo",$B:$B,"&lt;&gt;Lorena Dias de Araujo",$B:$B,"&lt;&gt;Lucas Luiz Romero")*(20/1083),IF(C1851="Estágio",SUMIFS($D:$D,$A:$A,$A1851,$B:$B,"&lt;&gt;Patrícia Karla de Sousa Araújo",$B:$B,"&lt;&gt;Lorena Dias de Araujo",$B:$B,"&lt;&gt;Lucas Luiz Romero")*(10/1083),0)))))),0)</f>
        <v>28</v>
      </c>
      <c r="K1851" s="3">
        <f>I1851-J1851</f>
        <v>10</v>
      </c>
      <c r="L1851" s="3" t="str">
        <f>IF(K1851&lt;-5,"CRÍTICO",IF(K1851&lt;0,"ATENÇÃO",IF(K1851&lt;=5,"BOM","EXCELENTE")))</f>
        <v>EXCELENTE</v>
      </c>
      <c r="M1851">
        <v>32</v>
      </c>
      <c r="N1851">
        <v>99.07</v>
      </c>
      <c r="O1851">
        <v>26.376811594202898</v>
      </c>
    </row>
    <row r="1852" spans="1:15" hidden="1" x14ac:dyDescent="0.25">
      <c r="A1852" s="11">
        <v>46058</v>
      </c>
      <c r="B1852" t="s">
        <v>39</v>
      </c>
      <c r="C1852" t="s">
        <v>32</v>
      </c>
      <c r="D1852">
        <v>0</v>
      </c>
      <c r="E1852">
        <v>0</v>
      </c>
      <c r="F1852">
        <v>0</v>
      </c>
      <c r="G1852">
        <v>0</v>
      </c>
      <c r="H1852">
        <v>0</v>
      </c>
      <c r="I1852" s="3">
        <v>0</v>
      </c>
      <c r="J1852" s="3">
        <v>0</v>
      </c>
      <c r="K1852" s="3">
        <v>0</v>
      </c>
      <c r="L1852" s="3" t="str">
        <f>IF(K1852&lt;-5,"CRÍTICO",IF(K1852&lt;0,"ATENÇÃO",IF(K1852&lt;=5,"BOM","EXCELENTE")))</f>
        <v>BOM</v>
      </c>
      <c r="M1852">
        <v>0</v>
      </c>
      <c r="N1852">
        <v>100</v>
      </c>
      <c r="O1852">
        <v>0</v>
      </c>
    </row>
    <row r="1853" spans="1:15" hidden="1" x14ac:dyDescent="0.25">
      <c r="A1853" s="11">
        <v>46058</v>
      </c>
      <c r="B1853" t="s">
        <v>25</v>
      </c>
      <c r="C1853" t="s">
        <v>26</v>
      </c>
      <c r="D1853">
        <v>20</v>
      </c>
      <c r="E1853">
        <v>19</v>
      </c>
      <c r="F1853">
        <v>25.5</v>
      </c>
      <c r="G1853">
        <v>0</v>
      </c>
      <c r="H1853">
        <v>0</v>
      </c>
      <c r="I1853" s="3">
        <f>E1853+G1853+H1853</f>
        <v>19</v>
      </c>
      <c r="J1853" s="3">
        <f>ROUND(MIN(IF(C1853="Técnico III",35,IF(C1853="Técnico II",28,IF(C1853="Técnico I",23,IF(C1853="JR",20,IF(C1853="Estágio",10,0))))),IF(C1853="Técnico III",SUMIFS($D:$D,$A:$A,$A1853,$B:$B,"&lt;&gt;Patrícia Karla de Sousa Araújo",$B:$B,"&lt;&gt;Lorena Dias de Araujo",$B:$B,"&lt;&gt;Lucas Luiz Romero")*(35/1083),IF(C1853="Técnico II",SUMIFS($D:$D,$A:$A,$A1853,$B:$B,"&lt;&gt;Patrícia Karla de Sousa Araújo",$B:$B,"&lt;&gt;Lorena Dias de Araujo",$B:$B,"&lt;&gt;Lucas Luiz Romero")*(28/1083),IF(C1853="Técnico I",SUMIFS($D:$D,$A:$A,$A1853,$B:$B,"&lt;&gt;Patrícia Karla de Sousa Araújo",$B:$B,"&lt;&gt;Lorena Dias de Araujo",$B:$B,"&lt;&gt;Lucas Luiz Romero")*(23/1083),IF(C1853="JR",SUMIFS($D:$D,$A:$A,$A1853,$B:$B,"&lt;&gt;Patrícia Karla de Sousa Araújo",$B:$B,"&lt;&gt;Lorena Dias de Araujo",$B:$B,"&lt;&gt;Lucas Luiz Romero")*(20/1083),IF(C1853="Estágio",SUMIFS($D:$D,$A:$A,$A1853,$B:$B,"&lt;&gt;Patrícia Karla de Sousa Araújo",$B:$B,"&lt;&gt;Lorena Dias de Araujo",$B:$B,"&lt;&gt;Lucas Luiz Romero")*(10/1083),0)))))),0)</f>
        <v>20</v>
      </c>
      <c r="K1853" s="3">
        <f>I1853-J1853</f>
        <v>-1</v>
      </c>
      <c r="L1853" s="3" t="str">
        <f>IF(K1853&lt;-5,"CRÍTICO",IF(K1853&lt;0,"ATENÇÃO",IF(K1853&lt;=5,"BOM","EXCELENTE")))</f>
        <v>ATENÇÃO</v>
      </c>
      <c r="M1853">
        <v>19</v>
      </c>
      <c r="N1853">
        <v>98.48</v>
      </c>
      <c r="O1853">
        <v>27.853881278538811</v>
      </c>
    </row>
    <row r="1854" spans="1:15" hidden="1" x14ac:dyDescent="0.25">
      <c r="A1854" s="11">
        <v>46058</v>
      </c>
      <c r="B1854" t="s">
        <v>40</v>
      </c>
      <c r="C1854" t="s">
        <v>32</v>
      </c>
      <c r="D1854">
        <v>17</v>
      </c>
      <c r="E1854">
        <v>7</v>
      </c>
      <c r="F1854">
        <v>7.21</v>
      </c>
      <c r="G1854">
        <v>0</v>
      </c>
      <c r="H1854">
        <v>0</v>
      </c>
      <c r="I1854" s="3">
        <f>E1854+G1854+H1854</f>
        <v>7</v>
      </c>
      <c r="J1854" s="3">
        <f>ROUND(MIN(IF(C1854="Técnico III",35,IF(C1854="Técnico II",28,IF(C1854="Técnico I",23,IF(C1854="JR",20,IF(C1854="Estágio",10,0))))),IF(C1854="Técnico III",SUMIFS($D:$D,$A:$A,$A1854,$B:$B,"&lt;&gt;Patrícia Karla de Sousa Araújo",$B:$B,"&lt;&gt;Lorena Dias de Araujo",$B:$B,"&lt;&gt;Lucas Luiz Romero")*(35/1083),IF(C1854="Técnico II",SUMIFS($D:$D,$A:$A,$A1854,$B:$B,"&lt;&gt;Patrícia Karla de Sousa Araújo",$B:$B,"&lt;&gt;Lorena Dias de Araujo",$B:$B,"&lt;&gt;Lucas Luiz Romero")*(28/1083),IF(C1854="Técnico I",SUMIFS($D:$D,$A:$A,$A1854,$B:$B,"&lt;&gt;Patrícia Karla de Sousa Araújo",$B:$B,"&lt;&gt;Lorena Dias de Araujo",$B:$B,"&lt;&gt;Lucas Luiz Romero")*(23/1083),IF(C1854="JR",SUMIFS($D:$D,$A:$A,$A1854,$B:$B,"&lt;&gt;Patrícia Karla de Sousa Araújo",$B:$B,"&lt;&gt;Lorena Dias de Araujo",$B:$B,"&lt;&gt;Lucas Luiz Romero")*(20/1083),IF(C1854="Estágio",SUMIFS($D:$D,$A:$A,$A1854,$B:$B,"&lt;&gt;Patrícia Karla de Sousa Araújo",$B:$B,"&lt;&gt;Lorena Dias de Araujo",$B:$B,"&lt;&gt;Lucas Luiz Romero")*(10/1083),0)))))),0)</f>
        <v>35</v>
      </c>
      <c r="K1854" s="3">
        <f>I1854-J1854</f>
        <v>-28</v>
      </c>
      <c r="L1854" s="3" t="str">
        <f>IF(K1854&lt;-5,"CRÍTICO",IF(K1854&lt;0,"ATENÇÃO",IF(K1854&lt;=5,"BOM","EXCELENTE")))</f>
        <v>CRÍTICO</v>
      </c>
      <c r="M1854">
        <v>29</v>
      </c>
      <c r="N1854">
        <v>95.15</v>
      </c>
      <c r="O1854">
        <v>34.131736526946113</v>
      </c>
    </row>
    <row r="1855" spans="1:15" hidden="1" x14ac:dyDescent="0.25">
      <c r="A1855" s="11">
        <v>46058</v>
      </c>
      <c r="B1855" t="s">
        <v>27</v>
      </c>
      <c r="C1855" t="s">
        <v>26</v>
      </c>
      <c r="D1855">
        <v>0</v>
      </c>
      <c r="E1855">
        <v>0</v>
      </c>
      <c r="F1855">
        <v>0</v>
      </c>
      <c r="G1855">
        <v>0</v>
      </c>
      <c r="H1855">
        <v>0</v>
      </c>
      <c r="I1855" s="3">
        <v>0</v>
      </c>
      <c r="J1855" s="3">
        <v>0</v>
      </c>
      <c r="K1855" s="3">
        <v>0</v>
      </c>
      <c r="L1855" s="3" t="str">
        <f>IF(K1855&lt;-5,"CRÍTICO",IF(K1855&lt;0,"ATENÇÃO",IF(K1855&lt;=5,"BOM","EXCELENTE")))</f>
        <v>BOM</v>
      </c>
      <c r="M1855">
        <v>0</v>
      </c>
      <c r="N1855">
        <v>0</v>
      </c>
      <c r="O1855">
        <v>0</v>
      </c>
    </row>
    <row r="1856" spans="1:15" hidden="1" x14ac:dyDescent="0.25">
      <c r="A1856" s="11">
        <v>46058</v>
      </c>
      <c r="B1856" t="s">
        <v>41</v>
      </c>
      <c r="C1856" t="s">
        <v>32</v>
      </c>
      <c r="D1856">
        <v>22</v>
      </c>
      <c r="E1856">
        <v>22</v>
      </c>
      <c r="F1856">
        <v>24.13</v>
      </c>
      <c r="G1856">
        <v>0</v>
      </c>
      <c r="H1856">
        <v>0</v>
      </c>
      <c r="I1856" s="3">
        <f>E1856+G1856+H1856</f>
        <v>22</v>
      </c>
      <c r="J1856" s="3">
        <f>ROUND(MIN(IF(C1856="Técnico III",35,IF(C1856="Técnico II",28,IF(C1856="Técnico I",23,IF(C1856="JR",20,IF(C1856="Estágio",10,0))))),IF(C1856="Técnico III",SUMIFS($D:$D,$A:$A,$A1856,$B:$B,"&lt;&gt;Patrícia Karla de Sousa Araújo",$B:$B,"&lt;&gt;Lorena Dias de Araujo",$B:$B,"&lt;&gt;Lucas Luiz Romero")*(35/1083),IF(C1856="Técnico II",SUMIFS($D:$D,$A:$A,$A1856,$B:$B,"&lt;&gt;Patrícia Karla de Sousa Araújo",$B:$B,"&lt;&gt;Lorena Dias de Araujo",$B:$B,"&lt;&gt;Lucas Luiz Romero")*(28/1083),IF(C1856="Técnico I",SUMIFS($D:$D,$A:$A,$A1856,$B:$B,"&lt;&gt;Patrícia Karla de Sousa Araújo",$B:$B,"&lt;&gt;Lorena Dias de Araujo",$B:$B,"&lt;&gt;Lucas Luiz Romero")*(23/1083),IF(C1856="JR",SUMIFS($D:$D,$A:$A,$A1856,$B:$B,"&lt;&gt;Patrícia Karla de Sousa Araújo",$B:$B,"&lt;&gt;Lorena Dias de Araujo",$B:$B,"&lt;&gt;Lucas Luiz Romero")*(20/1083),IF(C1856="Estágio",SUMIFS($D:$D,$A:$A,$A1856,$B:$B,"&lt;&gt;Patrícia Karla de Sousa Araújo",$B:$B,"&lt;&gt;Lorena Dias de Araujo",$B:$B,"&lt;&gt;Lucas Luiz Romero")*(10/1083),0)))))),0)</f>
        <v>35</v>
      </c>
      <c r="K1856" s="3">
        <f>I1856-J1856</f>
        <v>-13</v>
      </c>
      <c r="L1856" s="3" t="str">
        <f>IF(K1856&lt;-5,"CRÍTICO",IF(K1856&lt;0,"ATENÇÃO",IF(K1856&lt;=5,"BOM","EXCELENTE")))</f>
        <v>CRÍTICO</v>
      </c>
      <c r="M1856">
        <v>24</v>
      </c>
      <c r="N1856">
        <v>99.26</v>
      </c>
      <c r="O1856">
        <v>30.84832904884319</v>
      </c>
    </row>
    <row r="1857" spans="1:15" hidden="1" x14ac:dyDescent="0.25">
      <c r="A1857" s="11">
        <v>46058</v>
      </c>
      <c r="B1857" t="s">
        <v>56</v>
      </c>
      <c r="C1857" t="s">
        <v>48</v>
      </c>
      <c r="D1857">
        <v>34</v>
      </c>
      <c r="E1857">
        <v>34</v>
      </c>
      <c r="F1857">
        <v>20.18</v>
      </c>
      <c r="G1857">
        <v>0</v>
      </c>
      <c r="H1857">
        <v>0</v>
      </c>
      <c r="I1857" s="3">
        <f>E1857+G1857+H1857</f>
        <v>34</v>
      </c>
      <c r="J1857" s="3">
        <f>ROUND(MIN(IF(C1857="Técnico III",35,IF(C1857="Técnico II",28,IF(C1857="Técnico I",23,IF(C1857="JR",20,IF(C1857="Estágio",10,0))))),IF(C1857="Técnico III",SUMIFS($D:$D,$A:$A,$A1857,$B:$B,"&lt;&gt;Patrícia Karla de Sousa Araújo",$B:$B,"&lt;&gt;Lorena Dias de Araujo",$B:$B,"&lt;&gt;Lucas Luiz Romero")*(35/1083),IF(C1857="Técnico II",SUMIFS($D:$D,$A:$A,$A1857,$B:$B,"&lt;&gt;Patrícia Karla de Sousa Araújo",$B:$B,"&lt;&gt;Lorena Dias de Araujo",$B:$B,"&lt;&gt;Lucas Luiz Romero")*(28/1083),IF(C1857="Técnico I",SUMIFS($D:$D,$A:$A,$A1857,$B:$B,"&lt;&gt;Patrícia Karla de Sousa Araújo",$B:$B,"&lt;&gt;Lorena Dias de Araujo",$B:$B,"&lt;&gt;Lucas Luiz Romero")*(23/1083),IF(C1857="JR",SUMIFS($D:$D,$A:$A,$A1857,$B:$B,"&lt;&gt;Patrícia Karla de Sousa Araújo",$B:$B,"&lt;&gt;Lorena Dias de Araujo",$B:$B,"&lt;&gt;Lucas Luiz Romero")*(20/1083),IF(C1857="Estágio",SUMIFS($D:$D,$A:$A,$A1857,$B:$B,"&lt;&gt;Patrícia Karla de Sousa Araújo",$B:$B,"&lt;&gt;Lorena Dias de Araujo",$B:$B,"&lt;&gt;Lucas Luiz Romero")*(10/1083),0)))))),0)</f>
        <v>28</v>
      </c>
      <c r="K1857" s="3">
        <f>I1857-J1857</f>
        <v>6</v>
      </c>
      <c r="L1857" s="3" t="str">
        <f>IF(K1857&lt;-5,"CRÍTICO",IF(K1857&lt;0,"ATENÇÃO",IF(K1857&lt;=5,"BOM","EXCELENTE")))</f>
        <v>EXCELENTE</v>
      </c>
      <c r="M1857">
        <v>28</v>
      </c>
      <c r="N1857">
        <v>97.48</v>
      </c>
      <c r="O1857">
        <v>27.764705882352938</v>
      </c>
    </row>
    <row r="1858" spans="1:15" hidden="1" x14ac:dyDescent="0.25">
      <c r="A1858" s="11">
        <v>46058</v>
      </c>
      <c r="B1858" t="s">
        <v>57</v>
      </c>
      <c r="C1858" t="s">
        <v>48</v>
      </c>
      <c r="D1858">
        <v>36</v>
      </c>
      <c r="E1858">
        <v>36</v>
      </c>
      <c r="F1858">
        <v>19.18</v>
      </c>
      <c r="G1858">
        <v>0</v>
      </c>
      <c r="H1858">
        <v>0</v>
      </c>
      <c r="I1858" s="3">
        <v>0</v>
      </c>
      <c r="J1858" s="3">
        <v>0</v>
      </c>
      <c r="K1858" s="3">
        <v>0</v>
      </c>
      <c r="L1858" s="3" t="str">
        <f>IF(K1858&lt;-5,"CRÍTICO",IF(K1858&lt;0,"ATENÇÃO",IF(K1858&lt;=5,"BOM","EXCELENTE")))</f>
        <v>BOM</v>
      </c>
      <c r="M1858">
        <v>36</v>
      </c>
      <c r="N1858">
        <v>99.34</v>
      </c>
      <c r="O1858">
        <v>30.04291845493562</v>
      </c>
    </row>
    <row r="1859" spans="1:15" hidden="1" x14ac:dyDescent="0.25">
      <c r="A1859" s="11">
        <v>46058</v>
      </c>
      <c r="B1859" t="s">
        <v>42</v>
      </c>
      <c r="C1859" t="s">
        <v>32</v>
      </c>
      <c r="D1859">
        <v>55</v>
      </c>
      <c r="E1859">
        <v>36</v>
      </c>
      <c r="F1859">
        <v>10.44</v>
      </c>
      <c r="G1859">
        <v>0</v>
      </c>
      <c r="H1859">
        <v>0</v>
      </c>
      <c r="I1859" s="3">
        <f>E1859+G1859+H1859</f>
        <v>36</v>
      </c>
      <c r="J1859" s="3">
        <f>ROUND(MIN(IF(C1859="Técnico III",35,IF(C1859="Técnico II",28,IF(C1859="Técnico I",23,IF(C1859="JR",20,IF(C1859="Estágio",10,0))))),IF(C1859="Técnico III",SUMIFS($D:$D,$A:$A,$A1859,$B:$B,"&lt;&gt;Patrícia Karla de Sousa Araújo",$B:$B,"&lt;&gt;Lorena Dias de Araujo",$B:$B,"&lt;&gt;Lucas Luiz Romero")*(35/1083),IF(C1859="Técnico II",SUMIFS($D:$D,$A:$A,$A1859,$B:$B,"&lt;&gt;Patrícia Karla de Sousa Araújo",$B:$B,"&lt;&gt;Lorena Dias de Araujo",$B:$B,"&lt;&gt;Lucas Luiz Romero")*(28/1083),IF(C1859="Técnico I",SUMIFS($D:$D,$A:$A,$A1859,$B:$B,"&lt;&gt;Patrícia Karla de Sousa Araújo",$B:$B,"&lt;&gt;Lorena Dias de Araujo",$B:$B,"&lt;&gt;Lucas Luiz Romero")*(23/1083),IF(C1859="JR",SUMIFS($D:$D,$A:$A,$A1859,$B:$B,"&lt;&gt;Patrícia Karla de Sousa Araújo",$B:$B,"&lt;&gt;Lorena Dias de Araujo",$B:$B,"&lt;&gt;Lucas Luiz Romero")*(20/1083),IF(C1859="Estágio",SUMIFS($D:$D,$A:$A,$A1859,$B:$B,"&lt;&gt;Patrícia Karla de Sousa Araújo",$B:$B,"&lt;&gt;Lorena Dias de Araujo",$B:$B,"&lt;&gt;Lucas Luiz Romero")*(10/1083),0)))))),0)</f>
        <v>35</v>
      </c>
      <c r="K1859" s="3">
        <f>I1859-J1859</f>
        <v>1</v>
      </c>
      <c r="L1859" s="3" t="str">
        <f>IF(K1859&lt;-5,"CRÍTICO",IF(K1859&lt;0,"ATENÇÃO",IF(K1859&lt;=5,"BOM","EXCELENTE")))</f>
        <v>BOM</v>
      </c>
      <c r="M1859">
        <v>27</v>
      </c>
      <c r="N1859">
        <v>96.3</v>
      </c>
      <c r="O1859">
        <v>24.29378531073446</v>
      </c>
    </row>
    <row r="1860" spans="1:15" hidden="1" x14ac:dyDescent="0.25">
      <c r="A1860" s="11">
        <v>46058</v>
      </c>
      <c r="B1860" t="s">
        <v>62</v>
      </c>
      <c r="C1860" t="s">
        <v>23</v>
      </c>
      <c r="D1860">
        <v>24</v>
      </c>
      <c r="E1860">
        <v>24</v>
      </c>
      <c r="F1860">
        <v>23.33</v>
      </c>
      <c r="G1860">
        <v>0</v>
      </c>
      <c r="H1860">
        <v>0</v>
      </c>
      <c r="I1860" s="3">
        <f>E1860+G1860+H1860</f>
        <v>24</v>
      </c>
      <c r="J1860" s="3">
        <f>ROUND(MIN(IF(C1860="Técnico III",35,IF(C1860="Técnico II",28,IF(C1860="Técnico I",23,IF(C1860="JR",20,IF(C1860="Estágio",10,0))))),IF(C1860="Técnico III",SUMIFS($D:$D,$A:$A,$A1860,$B:$B,"&lt;&gt;Patrícia Karla de Sousa Araújo",$B:$B,"&lt;&gt;Lorena Dias de Araujo",$B:$B,"&lt;&gt;Lucas Luiz Romero")*(35/1083),IF(C1860="Técnico II",SUMIFS($D:$D,$A:$A,$A1860,$B:$B,"&lt;&gt;Patrícia Karla de Sousa Araújo",$B:$B,"&lt;&gt;Lorena Dias de Araujo",$B:$B,"&lt;&gt;Lucas Luiz Romero")*(28/1083),IF(C1860="Técnico I",SUMIFS($D:$D,$A:$A,$A1860,$B:$B,"&lt;&gt;Patrícia Karla de Sousa Araújo",$B:$B,"&lt;&gt;Lorena Dias de Araujo",$B:$B,"&lt;&gt;Lucas Luiz Romero")*(23/1083),IF(C1860="JR",SUMIFS($D:$D,$A:$A,$A1860,$B:$B,"&lt;&gt;Patrícia Karla de Sousa Araújo",$B:$B,"&lt;&gt;Lorena Dias de Araujo",$B:$B,"&lt;&gt;Lucas Luiz Romero")*(20/1083),IF(C1860="Estágio",SUMIFS($D:$D,$A:$A,$A1860,$B:$B,"&lt;&gt;Patrícia Karla de Sousa Araújo",$B:$B,"&lt;&gt;Lorena Dias de Araujo",$B:$B,"&lt;&gt;Lucas Luiz Romero")*(10/1083),0)))))),0)</f>
        <v>23</v>
      </c>
      <c r="K1860" s="3">
        <f>I1860-J1860</f>
        <v>1</v>
      </c>
      <c r="L1860" s="3" t="str">
        <f>IF(K1860&lt;-5,"CRÍTICO",IF(K1860&lt;0,"ATENÇÃO",IF(K1860&lt;=5,"BOM","EXCELENTE")))</f>
        <v>BOM</v>
      </c>
      <c r="M1860">
        <v>21</v>
      </c>
      <c r="N1860">
        <v>100</v>
      </c>
      <c r="O1860">
        <v>26.543209876543209</v>
      </c>
    </row>
    <row r="1861" spans="1:15" hidden="1" x14ac:dyDescent="0.25">
      <c r="A1861" s="11">
        <v>46058</v>
      </c>
      <c r="B1861" t="s">
        <v>19</v>
      </c>
      <c r="C1861" t="s">
        <v>16</v>
      </c>
      <c r="D1861">
        <v>80</v>
      </c>
      <c r="E1861">
        <v>39</v>
      </c>
      <c r="F1861">
        <v>5.47</v>
      </c>
      <c r="G1861">
        <v>0</v>
      </c>
      <c r="H1861">
        <v>0</v>
      </c>
      <c r="I1861" s="3">
        <f>E1861+G1861+H1861</f>
        <v>39</v>
      </c>
      <c r="J1861" s="3">
        <f>ROUND(MIN(IF(C1861="Técnico III",35,IF(C1861="Técnico II",28,IF(C1861="Técnico I",23,IF(C1861="JR",20,IF(C1861="Estágio",10,0))))),IF(C1861="Técnico III",SUMIFS($D:$D,$A:$A,$A1861,$B:$B,"&lt;&gt;Patrícia Karla de Sousa Araújo",$B:$B,"&lt;&gt;Lorena Dias de Araujo",$B:$B,"&lt;&gt;Lucas Luiz Romero")*(35/1083),IF(C1861="Técnico II",SUMIFS($D:$D,$A:$A,$A1861,$B:$B,"&lt;&gt;Patrícia Karla de Sousa Araújo",$B:$B,"&lt;&gt;Lorena Dias de Araujo",$B:$B,"&lt;&gt;Lucas Luiz Romero")*(28/1083),IF(C1861="Técnico I",SUMIFS($D:$D,$A:$A,$A1861,$B:$B,"&lt;&gt;Patrícia Karla de Sousa Araújo",$B:$B,"&lt;&gt;Lorena Dias de Araujo",$B:$B,"&lt;&gt;Lucas Luiz Romero")*(23/1083),IF(C1861="JR",SUMIFS($D:$D,$A:$A,$A1861,$B:$B,"&lt;&gt;Patrícia Karla de Sousa Araújo",$B:$B,"&lt;&gt;Lorena Dias de Araujo",$B:$B,"&lt;&gt;Lucas Luiz Romero")*(20/1083),IF(C1861="Estágio",SUMIFS($D:$D,$A:$A,$A1861,$B:$B,"&lt;&gt;Patrícia Karla de Sousa Araújo",$B:$B,"&lt;&gt;Lorena Dias de Araujo",$B:$B,"&lt;&gt;Lucas Luiz Romero")*(10/1083),0)))))),0)</f>
        <v>10</v>
      </c>
      <c r="K1861" s="3">
        <f>I1861-J1861</f>
        <v>29</v>
      </c>
      <c r="L1861" s="3" t="str">
        <f>IF(K1861&lt;-5,"CRÍTICO",IF(K1861&lt;0,"ATENÇÃO",IF(K1861&lt;=5,"BOM","EXCELENTE")))</f>
        <v>EXCELENTE</v>
      </c>
      <c r="M1861">
        <v>0</v>
      </c>
      <c r="N1861">
        <v>100</v>
      </c>
      <c r="O1861">
        <v>35.483870967741943</v>
      </c>
    </row>
    <row r="1862" spans="1:15" hidden="1" x14ac:dyDescent="0.25">
      <c r="A1862" s="11">
        <v>46058</v>
      </c>
      <c r="B1862" t="s">
        <v>43</v>
      </c>
      <c r="C1862" t="s">
        <v>32</v>
      </c>
      <c r="D1862">
        <v>40</v>
      </c>
      <c r="E1862">
        <v>40</v>
      </c>
      <c r="F1862">
        <v>14.18</v>
      </c>
      <c r="G1862">
        <v>0</v>
      </c>
      <c r="H1862">
        <v>0</v>
      </c>
      <c r="I1862" s="3">
        <f>E1862+G1862+H1862</f>
        <v>40</v>
      </c>
      <c r="J1862" s="3">
        <f>ROUND(MIN(IF(C1862="Técnico III",35,IF(C1862="Técnico II",28,IF(C1862="Técnico I",23,IF(C1862="JR",20,IF(C1862="Estágio",10,0))))),IF(C1862="Técnico III",SUMIFS($D:$D,$A:$A,$A1862,$B:$B,"&lt;&gt;Patrícia Karla de Sousa Araújo",$B:$B,"&lt;&gt;Lorena Dias de Araujo",$B:$B,"&lt;&gt;Lucas Luiz Romero")*(35/1083),IF(C1862="Técnico II",SUMIFS($D:$D,$A:$A,$A1862,$B:$B,"&lt;&gt;Patrícia Karla de Sousa Araújo",$B:$B,"&lt;&gt;Lorena Dias de Araujo",$B:$B,"&lt;&gt;Lucas Luiz Romero")*(28/1083),IF(C1862="Técnico I",SUMIFS($D:$D,$A:$A,$A1862,$B:$B,"&lt;&gt;Patrícia Karla de Sousa Araújo",$B:$B,"&lt;&gt;Lorena Dias de Araujo",$B:$B,"&lt;&gt;Lucas Luiz Romero")*(23/1083),IF(C1862="JR",SUMIFS($D:$D,$A:$A,$A1862,$B:$B,"&lt;&gt;Patrícia Karla de Sousa Araújo",$B:$B,"&lt;&gt;Lorena Dias de Araujo",$B:$B,"&lt;&gt;Lucas Luiz Romero")*(20/1083),IF(C1862="Estágio",SUMIFS($D:$D,$A:$A,$A1862,$B:$B,"&lt;&gt;Patrícia Karla de Sousa Araújo",$B:$B,"&lt;&gt;Lorena Dias de Araujo",$B:$B,"&lt;&gt;Lucas Luiz Romero")*(10/1083),0)))))),0)</f>
        <v>35</v>
      </c>
      <c r="K1862" s="3">
        <f>I1862-J1862</f>
        <v>5</v>
      </c>
      <c r="L1862" s="3" t="str">
        <f>IF(K1862&lt;-5,"CRÍTICO",IF(K1862&lt;0,"ATENÇÃO",IF(K1862&lt;=5,"BOM","EXCELENTE")))</f>
        <v>BOM</v>
      </c>
      <c r="M1862">
        <v>40</v>
      </c>
      <c r="N1862">
        <v>99.27</v>
      </c>
      <c r="O1862">
        <v>31.163708086785011</v>
      </c>
    </row>
    <row r="1863" spans="1:15" hidden="1" x14ac:dyDescent="0.25">
      <c r="A1863" s="11">
        <v>46058</v>
      </c>
      <c r="B1863" t="s">
        <v>44</v>
      </c>
      <c r="C1863" t="s">
        <v>32</v>
      </c>
      <c r="D1863">
        <v>33</v>
      </c>
      <c r="E1863">
        <v>32</v>
      </c>
      <c r="F1863">
        <v>15.14</v>
      </c>
      <c r="G1863">
        <v>0</v>
      </c>
      <c r="H1863">
        <v>0</v>
      </c>
      <c r="I1863" s="3">
        <f>E1863+G1863+H1863</f>
        <v>32</v>
      </c>
      <c r="J1863" s="3">
        <f>ROUND(MIN(IF(C1863="Técnico III",35,IF(C1863="Técnico II",28,IF(C1863="Técnico I",23,IF(C1863="JR",20,IF(C1863="Estágio",10,0))))),IF(C1863="Técnico III",SUMIFS($D:$D,$A:$A,$A1863,$B:$B,"&lt;&gt;Patrícia Karla de Sousa Araújo",$B:$B,"&lt;&gt;Lorena Dias de Araujo",$B:$B,"&lt;&gt;Lucas Luiz Romero")*(35/1083),IF(C1863="Técnico II",SUMIFS($D:$D,$A:$A,$A1863,$B:$B,"&lt;&gt;Patrícia Karla de Sousa Araújo",$B:$B,"&lt;&gt;Lorena Dias de Araujo",$B:$B,"&lt;&gt;Lucas Luiz Romero")*(28/1083),IF(C1863="Técnico I",SUMIFS($D:$D,$A:$A,$A1863,$B:$B,"&lt;&gt;Patrícia Karla de Sousa Araújo",$B:$B,"&lt;&gt;Lorena Dias de Araujo",$B:$B,"&lt;&gt;Lucas Luiz Romero")*(23/1083),IF(C1863="JR",SUMIFS($D:$D,$A:$A,$A1863,$B:$B,"&lt;&gt;Patrícia Karla de Sousa Araújo",$B:$B,"&lt;&gt;Lorena Dias de Araujo",$B:$B,"&lt;&gt;Lucas Luiz Romero")*(20/1083),IF(C1863="Estágio",SUMIFS($D:$D,$A:$A,$A1863,$B:$B,"&lt;&gt;Patrícia Karla de Sousa Araújo",$B:$B,"&lt;&gt;Lorena Dias de Araujo",$B:$B,"&lt;&gt;Lucas Luiz Romero")*(10/1083),0)))))),0)</f>
        <v>35</v>
      </c>
      <c r="K1863" s="3">
        <f>I1863-J1863</f>
        <v>-3</v>
      </c>
      <c r="L1863" s="3" t="str">
        <f>IF(K1863&lt;-5,"CRÍTICO",IF(K1863&lt;0,"ATENÇÃO",IF(K1863&lt;=5,"BOM","EXCELENTE")))</f>
        <v>ATENÇÃO</v>
      </c>
      <c r="M1863">
        <v>33</v>
      </c>
      <c r="N1863">
        <v>94.16</v>
      </c>
      <c r="O1863">
        <v>27.038626609442058</v>
      </c>
    </row>
    <row r="1864" spans="1:15" hidden="1" x14ac:dyDescent="0.25">
      <c r="A1864" s="11">
        <v>46058</v>
      </c>
      <c r="B1864" t="s">
        <v>20</v>
      </c>
      <c r="C1864" t="s">
        <v>16</v>
      </c>
      <c r="D1864">
        <v>17</v>
      </c>
      <c r="E1864">
        <v>16</v>
      </c>
      <c r="F1864">
        <v>35.51</v>
      </c>
      <c r="G1864">
        <v>0</v>
      </c>
      <c r="H1864">
        <v>0</v>
      </c>
      <c r="I1864" s="3">
        <f>E1864+G1864+H1864</f>
        <v>16</v>
      </c>
      <c r="J1864" s="3">
        <f>ROUND(MIN(IF(C1864="Técnico III",35,IF(C1864="Técnico II",28,IF(C1864="Técnico I",23,IF(C1864="JR",20,IF(C1864="Estágio",10,0))))),IF(C1864="Técnico III",SUMIFS($D:$D,$A:$A,$A1864,$B:$B,"&lt;&gt;Patrícia Karla de Sousa Araújo",$B:$B,"&lt;&gt;Lorena Dias de Araujo",$B:$B,"&lt;&gt;Lucas Luiz Romero")*(35/1083),IF(C1864="Técnico II",SUMIFS($D:$D,$A:$A,$A1864,$B:$B,"&lt;&gt;Patrícia Karla de Sousa Araújo",$B:$B,"&lt;&gt;Lorena Dias de Araujo",$B:$B,"&lt;&gt;Lucas Luiz Romero")*(28/1083),IF(C1864="Técnico I",SUMIFS($D:$D,$A:$A,$A1864,$B:$B,"&lt;&gt;Patrícia Karla de Sousa Araújo",$B:$B,"&lt;&gt;Lorena Dias de Araujo",$B:$B,"&lt;&gt;Lucas Luiz Romero")*(23/1083),IF(C1864="JR",SUMIFS($D:$D,$A:$A,$A1864,$B:$B,"&lt;&gt;Patrícia Karla de Sousa Araújo",$B:$B,"&lt;&gt;Lorena Dias de Araujo",$B:$B,"&lt;&gt;Lucas Luiz Romero")*(20/1083),IF(C1864="Estágio",SUMIFS($D:$D,$A:$A,$A1864,$B:$B,"&lt;&gt;Patrícia Karla de Sousa Araújo",$B:$B,"&lt;&gt;Lorena Dias de Araujo",$B:$B,"&lt;&gt;Lucas Luiz Romero")*(10/1083),0)))))),0)</f>
        <v>10</v>
      </c>
      <c r="K1864" s="3">
        <f>I1864-J1864</f>
        <v>6</v>
      </c>
      <c r="L1864" s="3" t="str">
        <f>IF(K1864&lt;-5,"CRÍTICO",IF(K1864&lt;0,"ATENÇÃO",IF(K1864&lt;=5,"BOM","EXCELENTE")))</f>
        <v>EXCELENTE</v>
      </c>
      <c r="M1864">
        <v>13</v>
      </c>
      <c r="N1864">
        <v>93.75</v>
      </c>
      <c r="O1864">
        <v>19.31818181818182</v>
      </c>
    </row>
    <row r="1865" spans="1:15" hidden="1" x14ac:dyDescent="0.25">
      <c r="A1865" s="11">
        <v>46058</v>
      </c>
      <c r="B1865" t="s">
        <v>28</v>
      </c>
      <c r="C1865" t="s">
        <v>26</v>
      </c>
      <c r="D1865">
        <v>0</v>
      </c>
      <c r="E1865">
        <v>0</v>
      </c>
      <c r="F1865">
        <v>0</v>
      </c>
      <c r="G1865">
        <v>0</v>
      </c>
      <c r="H1865">
        <v>0</v>
      </c>
      <c r="I1865" s="3">
        <v>0</v>
      </c>
      <c r="J1865" s="3">
        <v>0</v>
      </c>
      <c r="K1865" s="3">
        <v>0</v>
      </c>
      <c r="L1865" s="3" t="str">
        <f>IF(K1865&lt;-5,"CRÍTICO",IF(K1865&lt;0,"ATENÇÃO",IF(K1865&lt;=5,"BOM","EXCELENTE")))</f>
        <v>BOM</v>
      </c>
      <c r="M1865">
        <v>0</v>
      </c>
      <c r="N1865">
        <v>0</v>
      </c>
      <c r="O1865">
        <v>0</v>
      </c>
    </row>
    <row r="1866" spans="1:15" hidden="1" x14ac:dyDescent="0.25">
      <c r="A1866" s="11">
        <v>46058</v>
      </c>
      <c r="B1866" t="s">
        <v>58</v>
      </c>
      <c r="C1866" t="s">
        <v>48</v>
      </c>
      <c r="D1866">
        <v>29</v>
      </c>
      <c r="E1866">
        <v>27</v>
      </c>
      <c r="F1866">
        <v>20.54</v>
      </c>
      <c r="G1866">
        <v>0</v>
      </c>
      <c r="H1866">
        <v>0</v>
      </c>
      <c r="I1866" s="3">
        <f>E1866+G1866+H1866</f>
        <v>27</v>
      </c>
      <c r="J1866" s="3">
        <f>ROUND(MIN(IF(C1866="Técnico III",35,IF(C1866="Técnico II",28,IF(C1866="Técnico I",23,IF(C1866="JR",20,IF(C1866="Estágio",10,0))))),IF(C1866="Técnico III",SUMIFS($D:$D,$A:$A,$A1866,$B:$B,"&lt;&gt;Patrícia Karla de Sousa Araújo",$B:$B,"&lt;&gt;Lorena Dias de Araujo",$B:$B,"&lt;&gt;Lucas Luiz Romero")*(35/1083),IF(C1866="Técnico II",SUMIFS($D:$D,$A:$A,$A1866,$B:$B,"&lt;&gt;Patrícia Karla de Sousa Araújo",$B:$B,"&lt;&gt;Lorena Dias de Araujo",$B:$B,"&lt;&gt;Lucas Luiz Romero")*(28/1083),IF(C1866="Técnico I",SUMIFS($D:$D,$A:$A,$A1866,$B:$B,"&lt;&gt;Patrícia Karla de Sousa Araújo",$B:$B,"&lt;&gt;Lorena Dias de Araujo",$B:$B,"&lt;&gt;Lucas Luiz Romero")*(23/1083),IF(C1866="JR",SUMIFS($D:$D,$A:$A,$A1866,$B:$B,"&lt;&gt;Patrícia Karla de Sousa Araújo",$B:$B,"&lt;&gt;Lorena Dias de Araujo",$B:$B,"&lt;&gt;Lucas Luiz Romero")*(20/1083),IF(C1866="Estágio",SUMIFS($D:$D,$A:$A,$A1866,$B:$B,"&lt;&gt;Patrícia Karla de Sousa Araújo",$B:$B,"&lt;&gt;Lorena Dias de Araujo",$B:$B,"&lt;&gt;Lucas Luiz Romero")*(10/1083),0)))))),0)</f>
        <v>28</v>
      </c>
      <c r="K1866" s="3">
        <f>I1866-J1866</f>
        <v>-1</v>
      </c>
      <c r="L1866" s="3" t="str">
        <f>IF(K1866&lt;-5,"CRÍTICO",IF(K1866&lt;0,"ATENÇÃO",IF(K1866&lt;=5,"BOM","EXCELENTE")))</f>
        <v>ATENÇÃO</v>
      </c>
      <c r="M1866">
        <v>24</v>
      </c>
      <c r="N1866">
        <v>97.92</v>
      </c>
      <c r="O1866">
        <v>32.87671232876712</v>
      </c>
    </row>
    <row r="1867" spans="1:15" hidden="1" x14ac:dyDescent="0.25">
      <c r="A1867" s="11">
        <v>46058</v>
      </c>
      <c r="B1867" t="s">
        <v>29</v>
      </c>
      <c r="C1867" t="s">
        <v>26</v>
      </c>
      <c r="D1867">
        <v>0</v>
      </c>
      <c r="E1867">
        <v>0</v>
      </c>
      <c r="F1867">
        <v>0</v>
      </c>
      <c r="G1867">
        <v>0</v>
      </c>
      <c r="H1867">
        <v>0</v>
      </c>
      <c r="I1867" s="3">
        <v>0</v>
      </c>
      <c r="J1867" s="3">
        <v>0</v>
      </c>
      <c r="K1867" s="3">
        <v>0</v>
      </c>
      <c r="L1867" s="3" t="str">
        <f>IF(K1867&lt;-5,"CRÍTICO",IF(K1867&lt;0,"ATENÇÃO",IF(K1867&lt;=5,"BOM","EXCELENTE")))</f>
        <v>BOM</v>
      </c>
      <c r="M1867">
        <v>0</v>
      </c>
      <c r="N1867">
        <v>0</v>
      </c>
      <c r="O1867">
        <v>0</v>
      </c>
    </row>
    <row r="1868" spans="1:15" hidden="1" x14ac:dyDescent="0.25">
      <c r="A1868" s="11">
        <v>46058</v>
      </c>
      <c r="B1868" t="s">
        <v>30</v>
      </c>
      <c r="C1868" t="s">
        <v>26</v>
      </c>
      <c r="D1868">
        <v>0</v>
      </c>
      <c r="E1868">
        <v>0</v>
      </c>
      <c r="F1868">
        <v>0</v>
      </c>
      <c r="G1868">
        <v>0</v>
      </c>
      <c r="H1868">
        <v>0</v>
      </c>
      <c r="I1868" s="3">
        <v>0</v>
      </c>
      <c r="J1868" s="3">
        <v>0</v>
      </c>
      <c r="K1868" s="3">
        <v>0</v>
      </c>
      <c r="L1868" s="3" t="str">
        <f>IF(K1868&lt;-5,"CRÍTICO",IF(K1868&lt;0,"ATENÇÃO",IF(K1868&lt;=5,"BOM","EXCELENTE")))</f>
        <v>BOM</v>
      </c>
      <c r="M1868">
        <v>0</v>
      </c>
      <c r="N1868">
        <v>0</v>
      </c>
      <c r="O1868">
        <v>0</v>
      </c>
    </row>
    <row r="1869" spans="1:15" hidden="1" x14ac:dyDescent="0.25">
      <c r="A1869" s="11">
        <v>46058</v>
      </c>
      <c r="B1869" t="s">
        <v>21</v>
      </c>
      <c r="C1869" t="s">
        <v>16</v>
      </c>
      <c r="D1869">
        <v>0</v>
      </c>
      <c r="E1869">
        <v>0</v>
      </c>
      <c r="F1869">
        <v>0</v>
      </c>
      <c r="G1869">
        <v>0</v>
      </c>
      <c r="H1869">
        <v>0</v>
      </c>
      <c r="I1869" s="3">
        <v>0</v>
      </c>
      <c r="J1869" s="3">
        <v>0</v>
      </c>
      <c r="K1869" s="3">
        <v>0</v>
      </c>
      <c r="L1869" s="3" t="str">
        <f>IF(K1869&lt;-5,"CRÍTICO",IF(K1869&lt;0,"ATENÇÃO",IF(K1869&lt;=5,"BOM","EXCELENTE")))</f>
        <v>BOM</v>
      </c>
      <c r="M1869">
        <v>0</v>
      </c>
      <c r="N1869">
        <v>0</v>
      </c>
      <c r="O1869">
        <v>0</v>
      </c>
    </row>
    <row r="1870" spans="1:15" hidden="1" x14ac:dyDescent="0.25">
      <c r="A1870" s="11">
        <v>46058</v>
      </c>
      <c r="B1870" t="s">
        <v>63</v>
      </c>
      <c r="C1870" t="s">
        <v>23</v>
      </c>
      <c r="D1870">
        <v>24</v>
      </c>
      <c r="E1870">
        <v>23</v>
      </c>
      <c r="F1870">
        <v>25.01</v>
      </c>
      <c r="G1870">
        <v>0</v>
      </c>
      <c r="H1870">
        <v>0</v>
      </c>
      <c r="I1870" s="3">
        <f>E1870+G1870+H1870</f>
        <v>23</v>
      </c>
      <c r="J1870" s="3">
        <f>ROUND(MIN(IF(C1870="Técnico III",35,IF(C1870="Técnico II",28,IF(C1870="Técnico I",23,IF(C1870="JR",20,IF(C1870="Estágio",10,0))))),IF(C1870="Técnico III",SUMIFS($D:$D,$A:$A,$A1870,$B:$B,"&lt;&gt;Patrícia Karla de Sousa Araújo",$B:$B,"&lt;&gt;Lorena Dias de Araujo",$B:$B,"&lt;&gt;Lucas Luiz Romero")*(35/1083),IF(C1870="Técnico II",SUMIFS($D:$D,$A:$A,$A1870,$B:$B,"&lt;&gt;Patrícia Karla de Sousa Araújo",$B:$B,"&lt;&gt;Lorena Dias de Araujo",$B:$B,"&lt;&gt;Lucas Luiz Romero")*(28/1083),IF(C1870="Técnico I",SUMIFS($D:$D,$A:$A,$A1870,$B:$B,"&lt;&gt;Patrícia Karla de Sousa Araújo",$B:$B,"&lt;&gt;Lorena Dias de Araujo",$B:$B,"&lt;&gt;Lucas Luiz Romero")*(23/1083),IF(C1870="JR",SUMIFS($D:$D,$A:$A,$A1870,$B:$B,"&lt;&gt;Patrícia Karla de Sousa Araújo",$B:$B,"&lt;&gt;Lorena Dias de Araujo",$B:$B,"&lt;&gt;Lucas Luiz Romero")*(20/1083),IF(C1870="Estágio",SUMIFS($D:$D,$A:$A,$A1870,$B:$B,"&lt;&gt;Patrícia Karla de Sousa Araújo",$B:$B,"&lt;&gt;Lorena Dias de Araujo",$B:$B,"&lt;&gt;Lucas Luiz Romero")*(10/1083),0)))))),0)</f>
        <v>23</v>
      </c>
      <c r="K1870" s="3">
        <f>I1870-J1870</f>
        <v>0</v>
      </c>
      <c r="L1870" s="3" t="str">
        <f>IF(K1870&lt;-5,"CRÍTICO",IF(K1870&lt;0,"ATENÇÃO",IF(K1870&lt;=5,"BOM","EXCELENTE")))</f>
        <v>BOM</v>
      </c>
      <c r="M1870">
        <v>22</v>
      </c>
      <c r="N1870">
        <v>98.51</v>
      </c>
      <c r="O1870">
        <v>29.710144927536231</v>
      </c>
    </row>
    <row r="1871" spans="1:15" hidden="1" x14ac:dyDescent="0.25">
      <c r="A1871" s="11">
        <v>46058</v>
      </c>
      <c r="B1871" t="s">
        <v>45</v>
      </c>
      <c r="C1871" t="s">
        <v>32</v>
      </c>
      <c r="D1871">
        <v>30</v>
      </c>
      <c r="E1871">
        <v>27</v>
      </c>
      <c r="F1871">
        <v>15.32</v>
      </c>
      <c r="G1871">
        <v>0</v>
      </c>
      <c r="H1871">
        <v>0</v>
      </c>
      <c r="I1871" s="3">
        <f>E1871+G1871+H1871</f>
        <v>27</v>
      </c>
      <c r="J1871" s="3">
        <f>ROUND(MIN(IF(C1871="Técnico III",35,IF(C1871="Técnico II",28,IF(C1871="Técnico I",23,IF(C1871="JR",20,IF(C1871="Estágio",10,0))))),IF(C1871="Técnico III",SUMIFS($D:$D,$A:$A,$A1871,$B:$B,"&lt;&gt;Patrícia Karla de Sousa Araújo",$B:$B,"&lt;&gt;Lorena Dias de Araujo",$B:$B,"&lt;&gt;Lucas Luiz Romero")*(35/1083),IF(C1871="Técnico II",SUMIFS($D:$D,$A:$A,$A1871,$B:$B,"&lt;&gt;Patrícia Karla de Sousa Araújo",$B:$B,"&lt;&gt;Lorena Dias de Araujo",$B:$B,"&lt;&gt;Lucas Luiz Romero")*(28/1083),IF(C1871="Técnico I",SUMIFS($D:$D,$A:$A,$A1871,$B:$B,"&lt;&gt;Patrícia Karla de Sousa Araújo",$B:$B,"&lt;&gt;Lorena Dias de Araujo",$B:$B,"&lt;&gt;Lucas Luiz Romero")*(23/1083),IF(C1871="JR",SUMIFS($D:$D,$A:$A,$A1871,$B:$B,"&lt;&gt;Patrícia Karla de Sousa Araújo",$B:$B,"&lt;&gt;Lorena Dias de Araujo",$B:$B,"&lt;&gt;Lucas Luiz Romero")*(20/1083),IF(C1871="Estágio",SUMIFS($D:$D,$A:$A,$A1871,$B:$B,"&lt;&gt;Patrícia Karla de Sousa Araújo",$B:$B,"&lt;&gt;Lorena Dias de Araujo",$B:$B,"&lt;&gt;Lucas Luiz Romero")*(10/1083),0)))))),0)</f>
        <v>35</v>
      </c>
      <c r="K1871" s="3">
        <f>I1871-J1871</f>
        <v>-8</v>
      </c>
      <c r="L1871" s="3" t="str">
        <f>IF(K1871&lt;-5,"CRÍTICO",IF(K1871&lt;0,"ATENÇÃO",IF(K1871&lt;=5,"BOM","EXCELENTE")))</f>
        <v>CRÍTICO</v>
      </c>
      <c r="M1871">
        <v>28</v>
      </c>
      <c r="N1871">
        <v>98.81</v>
      </c>
      <c r="O1871">
        <v>30.712979890310791</v>
      </c>
    </row>
    <row r="1872" spans="1:15" hidden="1" x14ac:dyDescent="0.25">
      <c r="A1872" s="11">
        <v>46058</v>
      </c>
      <c r="B1872" t="s">
        <v>64</v>
      </c>
      <c r="C1872" t="s">
        <v>23</v>
      </c>
      <c r="D1872">
        <v>18</v>
      </c>
      <c r="E1872">
        <v>18</v>
      </c>
      <c r="F1872">
        <v>30.58</v>
      </c>
      <c r="G1872">
        <v>0</v>
      </c>
      <c r="H1872">
        <v>0</v>
      </c>
      <c r="I1872" s="3">
        <f>E1872+G1872+H1872</f>
        <v>18</v>
      </c>
      <c r="J1872" s="3">
        <f>ROUND(MIN(IF(C1872="Técnico III",35,IF(C1872="Técnico II",28,IF(C1872="Técnico I",23,IF(C1872="JR",20,IF(C1872="Estágio",10,0))))),IF(C1872="Técnico III",SUMIFS($D:$D,$A:$A,$A1872,$B:$B,"&lt;&gt;Patrícia Karla de Sousa Araújo",$B:$B,"&lt;&gt;Lorena Dias de Araujo",$B:$B,"&lt;&gt;Lucas Luiz Romero")*(35/1083),IF(C1872="Técnico II",SUMIFS($D:$D,$A:$A,$A1872,$B:$B,"&lt;&gt;Patrícia Karla de Sousa Araújo",$B:$B,"&lt;&gt;Lorena Dias de Araujo",$B:$B,"&lt;&gt;Lucas Luiz Romero")*(28/1083),IF(C1872="Técnico I",SUMIFS($D:$D,$A:$A,$A1872,$B:$B,"&lt;&gt;Patrícia Karla de Sousa Araújo",$B:$B,"&lt;&gt;Lorena Dias de Araujo",$B:$B,"&lt;&gt;Lucas Luiz Romero")*(23/1083),IF(C1872="JR",SUMIFS($D:$D,$A:$A,$A1872,$B:$B,"&lt;&gt;Patrícia Karla de Sousa Araújo",$B:$B,"&lt;&gt;Lorena Dias de Araujo",$B:$B,"&lt;&gt;Lucas Luiz Romero")*(20/1083),IF(C1872="Estágio",SUMIFS($D:$D,$A:$A,$A1872,$B:$B,"&lt;&gt;Patrícia Karla de Sousa Araújo",$B:$B,"&lt;&gt;Lorena Dias de Araujo",$B:$B,"&lt;&gt;Lucas Luiz Romero")*(10/1083),0)))))),0)</f>
        <v>23</v>
      </c>
      <c r="K1872" s="3">
        <f>I1872-J1872</f>
        <v>-5</v>
      </c>
      <c r="L1872" s="3" t="str">
        <f>IF(K1872&lt;-5,"CRÍTICO",IF(K1872&lt;0,"ATENÇÃO",IF(K1872&lt;=5,"BOM","EXCELENTE")))</f>
        <v>ATENÇÃO</v>
      </c>
      <c r="M1872">
        <v>18</v>
      </c>
      <c r="N1872">
        <v>98.48</v>
      </c>
      <c r="O1872">
        <v>29.35323383084577</v>
      </c>
    </row>
    <row r="1873" spans="1:15" hidden="1" x14ac:dyDescent="0.25">
      <c r="A1873" s="11">
        <v>46058</v>
      </c>
      <c r="B1873" t="s">
        <v>46</v>
      </c>
      <c r="C1873" t="s">
        <v>32</v>
      </c>
      <c r="D1873">
        <v>40</v>
      </c>
      <c r="E1873">
        <v>38</v>
      </c>
      <c r="F1873">
        <v>15.31</v>
      </c>
      <c r="G1873">
        <v>0</v>
      </c>
      <c r="H1873">
        <v>0</v>
      </c>
      <c r="I1873" s="3">
        <f>E1873+G1873+H1873</f>
        <v>38</v>
      </c>
      <c r="J1873" s="3">
        <f>ROUND(MIN(IF(C1873="Técnico III",35,IF(C1873="Técnico II",28,IF(C1873="Técnico I",23,IF(C1873="JR",20,IF(C1873="Estágio",10,0))))),IF(C1873="Técnico III",SUMIFS($D:$D,$A:$A,$A1873,$B:$B,"&lt;&gt;Patrícia Karla de Sousa Araújo",$B:$B,"&lt;&gt;Lorena Dias de Araujo",$B:$B,"&lt;&gt;Lucas Luiz Romero")*(35/1083),IF(C1873="Técnico II",SUMIFS($D:$D,$A:$A,$A1873,$B:$B,"&lt;&gt;Patrícia Karla de Sousa Araújo",$B:$B,"&lt;&gt;Lorena Dias de Araujo",$B:$B,"&lt;&gt;Lucas Luiz Romero")*(28/1083),IF(C1873="Técnico I",SUMIFS($D:$D,$A:$A,$A1873,$B:$B,"&lt;&gt;Patrícia Karla de Sousa Araújo",$B:$B,"&lt;&gt;Lorena Dias de Araujo",$B:$B,"&lt;&gt;Lucas Luiz Romero")*(23/1083),IF(C1873="JR",SUMIFS($D:$D,$A:$A,$A1873,$B:$B,"&lt;&gt;Patrícia Karla de Sousa Araújo",$B:$B,"&lt;&gt;Lorena Dias de Araujo",$B:$B,"&lt;&gt;Lucas Luiz Romero")*(20/1083),IF(C1873="Estágio",SUMIFS($D:$D,$A:$A,$A1873,$B:$B,"&lt;&gt;Patrícia Karla de Sousa Araújo",$B:$B,"&lt;&gt;Lorena Dias de Araujo",$B:$B,"&lt;&gt;Lucas Luiz Romero")*(10/1083),0)))))),0)</f>
        <v>35</v>
      </c>
      <c r="K1873" s="3">
        <f>I1873-J1873</f>
        <v>3</v>
      </c>
      <c r="L1873" s="3" t="str">
        <f>IF(K1873&lt;-5,"CRÍTICO",IF(K1873&lt;0,"ATENÇÃO",IF(K1873&lt;=5,"BOM","EXCELENTE")))</f>
        <v>BOM</v>
      </c>
      <c r="M1873">
        <v>34</v>
      </c>
      <c r="N1873">
        <v>98.56</v>
      </c>
      <c r="O1873">
        <v>29.373650107991359</v>
      </c>
    </row>
    <row r="1874" spans="1:15" hidden="1" x14ac:dyDescent="0.25">
      <c r="A1874" s="11">
        <v>46059</v>
      </c>
      <c r="B1874" t="s">
        <v>47</v>
      </c>
      <c r="C1874" t="s">
        <v>48</v>
      </c>
      <c r="D1874">
        <v>19</v>
      </c>
      <c r="E1874">
        <v>18</v>
      </c>
      <c r="F1874">
        <v>26.47</v>
      </c>
      <c r="G1874">
        <v>0</v>
      </c>
      <c r="H1874">
        <v>0</v>
      </c>
      <c r="I1874" s="3">
        <f>E1874+G1874+H1874</f>
        <v>18</v>
      </c>
      <c r="J1874" s="3">
        <f>ROUND(MIN(IF(C1874="Técnico III",35,IF(C1874="Técnico II",28,IF(C1874="Técnico I",23,IF(C1874="JR",20,IF(C1874="Estágio",10,0))))),IF(C1874="Técnico III",SUMIFS($D:$D,$A:$A,$A1874,$B:$B,"&lt;&gt;Patrícia Karla de Sousa Araújo",$B:$B,"&lt;&gt;Lorena Dias de Araujo",$B:$B,"&lt;&gt;Lucas Luiz Romero")*(35/1083),IF(C1874="Técnico II",SUMIFS($D:$D,$A:$A,$A1874,$B:$B,"&lt;&gt;Patrícia Karla de Sousa Araújo",$B:$B,"&lt;&gt;Lorena Dias de Araujo",$B:$B,"&lt;&gt;Lucas Luiz Romero")*(28/1083),IF(C1874="Técnico I",SUMIFS($D:$D,$A:$A,$A1874,$B:$B,"&lt;&gt;Patrícia Karla de Sousa Araújo",$B:$B,"&lt;&gt;Lorena Dias de Araujo",$B:$B,"&lt;&gt;Lucas Luiz Romero")*(23/1083),IF(C1874="JR",SUMIFS($D:$D,$A:$A,$A1874,$B:$B,"&lt;&gt;Patrícia Karla de Sousa Araújo",$B:$B,"&lt;&gt;Lorena Dias de Araujo",$B:$B,"&lt;&gt;Lucas Luiz Romero")*(20/1083),IF(C1874="Estágio",SUMIFS($D:$D,$A:$A,$A1874,$B:$B,"&lt;&gt;Patrícia Karla de Sousa Araújo",$B:$B,"&lt;&gt;Lorena Dias de Araujo",$B:$B,"&lt;&gt;Lucas Luiz Romero")*(10/1083),0)))))),0)</f>
        <v>27</v>
      </c>
      <c r="K1874" s="3">
        <f>I1874-J1874</f>
        <v>-9</v>
      </c>
      <c r="L1874" s="3" t="str">
        <f>IF(K1874&lt;-5,"CRÍTICO",IF(K1874&lt;0,"ATENÇÃO",IF(K1874&lt;=5,"BOM","EXCELENTE")))</f>
        <v>CRÍTICO</v>
      </c>
      <c r="M1874">
        <v>16</v>
      </c>
      <c r="N1874">
        <v>98.32</v>
      </c>
      <c r="O1874">
        <v>30.303030303030301</v>
      </c>
    </row>
    <row r="1875" spans="1:15" hidden="1" x14ac:dyDescent="0.25">
      <c r="A1875" s="11">
        <v>46059</v>
      </c>
      <c r="B1875" t="s">
        <v>31</v>
      </c>
      <c r="C1875" t="s">
        <v>32</v>
      </c>
      <c r="D1875">
        <v>0</v>
      </c>
      <c r="E1875">
        <v>0</v>
      </c>
      <c r="F1875">
        <v>0</v>
      </c>
      <c r="G1875">
        <v>0</v>
      </c>
      <c r="H1875">
        <v>0</v>
      </c>
      <c r="I1875" s="3">
        <v>0</v>
      </c>
      <c r="J1875" s="3">
        <v>0</v>
      </c>
      <c r="K1875" s="3">
        <v>0</v>
      </c>
      <c r="L1875" s="3" t="str">
        <f>IF(K1875&lt;-5,"CRÍTICO",IF(K1875&lt;0,"ATENÇÃO",IF(K1875&lt;=5,"BOM","EXCELENTE")))</f>
        <v>BOM</v>
      </c>
      <c r="M1875">
        <v>24</v>
      </c>
      <c r="N1875">
        <v>98.68</v>
      </c>
      <c r="O1875">
        <v>26.219512195121951</v>
      </c>
    </row>
    <row r="1876" spans="1:15" hidden="1" x14ac:dyDescent="0.25">
      <c r="A1876" s="11">
        <v>46059</v>
      </c>
      <c r="B1876" t="s">
        <v>59</v>
      </c>
      <c r="C1876" t="s">
        <v>23</v>
      </c>
      <c r="D1876">
        <v>30</v>
      </c>
      <c r="E1876">
        <v>26</v>
      </c>
      <c r="F1876">
        <v>23.48</v>
      </c>
      <c r="G1876">
        <v>0</v>
      </c>
      <c r="H1876">
        <v>0</v>
      </c>
      <c r="I1876" s="3">
        <f>E1876+G1876+H1876</f>
        <v>26</v>
      </c>
      <c r="J1876" s="3">
        <f>ROUND(MIN(IF(C1876="Técnico III",35,IF(C1876="Técnico II",28,IF(C1876="Técnico I",23,IF(C1876="JR",20,IF(C1876="Estágio",10,0))))),IF(C1876="Técnico III",SUMIFS($D:$D,$A:$A,$A1876,$B:$B,"&lt;&gt;Patrícia Karla de Sousa Araújo",$B:$B,"&lt;&gt;Lorena Dias de Araujo",$B:$B,"&lt;&gt;Lucas Luiz Romero")*(35/1083),IF(C1876="Técnico II",SUMIFS($D:$D,$A:$A,$A1876,$B:$B,"&lt;&gt;Patrícia Karla de Sousa Araújo",$B:$B,"&lt;&gt;Lorena Dias de Araujo",$B:$B,"&lt;&gt;Lucas Luiz Romero")*(28/1083),IF(C1876="Técnico I",SUMIFS($D:$D,$A:$A,$A1876,$B:$B,"&lt;&gt;Patrícia Karla de Sousa Araújo",$B:$B,"&lt;&gt;Lorena Dias de Araujo",$B:$B,"&lt;&gt;Lucas Luiz Romero")*(23/1083),IF(C1876="JR",SUMIFS($D:$D,$A:$A,$A1876,$B:$B,"&lt;&gt;Patrícia Karla de Sousa Araújo",$B:$B,"&lt;&gt;Lorena Dias de Araujo",$B:$B,"&lt;&gt;Lucas Luiz Romero")*(20/1083),IF(C1876="Estágio",SUMIFS($D:$D,$A:$A,$A1876,$B:$B,"&lt;&gt;Patrícia Karla de Sousa Araújo",$B:$B,"&lt;&gt;Lorena Dias de Araujo",$B:$B,"&lt;&gt;Lucas Luiz Romero")*(10/1083),0)))))),0)</f>
        <v>22</v>
      </c>
      <c r="K1876" s="3">
        <f>I1876-J1876</f>
        <v>4</v>
      </c>
      <c r="L1876" s="3" t="str">
        <f>IF(K1876&lt;-5,"CRÍTICO",IF(K1876&lt;0,"ATENÇÃO",IF(K1876&lt;=5,"BOM","EXCELENTE")))</f>
        <v>BOM</v>
      </c>
      <c r="M1876">
        <v>22</v>
      </c>
      <c r="N1876">
        <v>100</v>
      </c>
      <c r="O1876">
        <v>31.74224343675418</v>
      </c>
    </row>
    <row r="1877" spans="1:15" hidden="1" x14ac:dyDescent="0.25">
      <c r="A1877" s="11">
        <v>46059</v>
      </c>
      <c r="B1877" t="s">
        <v>33</v>
      </c>
      <c r="C1877" t="s">
        <v>32</v>
      </c>
      <c r="D1877">
        <v>32</v>
      </c>
      <c r="E1877">
        <v>30</v>
      </c>
      <c r="F1877">
        <v>18.239999999999998</v>
      </c>
      <c r="G1877">
        <v>0</v>
      </c>
      <c r="H1877">
        <v>0</v>
      </c>
      <c r="I1877" s="3">
        <f>E1877+G1877+H1877</f>
        <v>30</v>
      </c>
      <c r="J1877" s="3">
        <f>ROUND(MIN(IF(C1877="Técnico III",35,IF(C1877="Técnico II",28,IF(C1877="Técnico I",23,IF(C1877="JR",20,IF(C1877="Estágio",10,0))))),IF(C1877="Técnico III",SUMIFS($D:$D,$A:$A,$A1877,$B:$B,"&lt;&gt;Patrícia Karla de Sousa Araújo",$B:$B,"&lt;&gt;Lorena Dias de Araujo",$B:$B,"&lt;&gt;Lucas Luiz Romero")*(35/1083),IF(C1877="Técnico II",SUMIFS($D:$D,$A:$A,$A1877,$B:$B,"&lt;&gt;Patrícia Karla de Sousa Araújo",$B:$B,"&lt;&gt;Lorena Dias de Araujo",$B:$B,"&lt;&gt;Lucas Luiz Romero")*(28/1083),IF(C1877="Técnico I",SUMIFS($D:$D,$A:$A,$A1877,$B:$B,"&lt;&gt;Patrícia Karla de Sousa Araújo",$B:$B,"&lt;&gt;Lorena Dias de Araujo",$B:$B,"&lt;&gt;Lucas Luiz Romero")*(23/1083),IF(C1877="JR",SUMIFS($D:$D,$A:$A,$A1877,$B:$B,"&lt;&gt;Patrícia Karla de Sousa Araújo",$B:$B,"&lt;&gt;Lorena Dias de Araujo",$B:$B,"&lt;&gt;Lucas Luiz Romero")*(20/1083),IF(C1877="Estágio",SUMIFS($D:$D,$A:$A,$A1877,$B:$B,"&lt;&gt;Patrícia Karla de Sousa Araújo",$B:$B,"&lt;&gt;Lorena Dias de Araujo",$B:$B,"&lt;&gt;Lucas Luiz Romero")*(10/1083),0)))))),0)</f>
        <v>33</v>
      </c>
      <c r="K1877" s="3">
        <f>I1877-J1877</f>
        <v>-3</v>
      </c>
      <c r="L1877" s="3" t="str">
        <f>IF(K1877&lt;-5,"CRÍTICO",IF(K1877&lt;0,"ATENÇÃO",IF(K1877&lt;=5,"BOM","EXCELENTE")))</f>
        <v>ATENÇÃO</v>
      </c>
      <c r="M1877">
        <v>26</v>
      </c>
      <c r="N1877">
        <v>98.25</v>
      </c>
      <c r="O1877">
        <v>25.83518930957684</v>
      </c>
    </row>
    <row r="1878" spans="1:15" hidden="1" x14ac:dyDescent="0.25">
      <c r="A1878" s="11">
        <v>46059</v>
      </c>
      <c r="B1878" t="s">
        <v>15</v>
      </c>
      <c r="C1878" t="s">
        <v>16</v>
      </c>
      <c r="D1878">
        <v>11</v>
      </c>
      <c r="E1878">
        <v>11</v>
      </c>
      <c r="F1878">
        <v>30.04</v>
      </c>
      <c r="G1878">
        <v>0</v>
      </c>
      <c r="H1878">
        <v>0</v>
      </c>
      <c r="I1878" s="3">
        <f>E1878+G1878+H1878</f>
        <v>11</v>
      </c>
      <c r="J1878" s="3">
        <f>ROUND(MIN(IF(C1878="Técnico III",35,IF(C1878="Técnico II",28,IF(C1878="Técnico I",23,IF(C1878="JR",20,IF(C1878="Estágio",10,0))))),IF(C1878="Técnico III",SUMIFS($D:$D,$A:$A,$A1878,$B:$B,"&lt;&gt;Patrícia Karla de Sousa Araújo",$B:$B,"&lt;&gt;Lorena Dias de Araujo",$B:$B,"&lt;&gt;Lucas Luiz Romero")*(35/1083),IF(C1878="Técnico II",SUMIFS($D:$D,$A:$A,$A1878,$B:$B,"&lt;&gt;Patrícia Karla de Sousa Araújo",$B:$B,"&lt;&gt;Lorena Dias de Araujo",$B:$B,"&lt;&gt;Lucas Luiz Romero")*(28/1083),IF(C1878="Técnico I",SUMIFS($D:$D,$A:$A,$A1878,$B:$B,"&lt;&gt;Patrícia Karla de Sousa Araújo",$B:$B,"&lt;&gt;Lorena Dias de Araujo",$B:$B,"&lt;&gt;Lucas Luiz Romero")*(23/1083),IF(C1878="JR",SUMIFS($D:$D,$A:$A,$A1878,$B:$B,"&lt;&gt;Patrícia Karla de Sousa Araújo",$B:$B,"&lt;&gt;Lorena Dias de Araujo",$B:$B,"&lt;&gt;Lucas Luiz Romero")*(20/1083),IF(C1878="Estágio",SUMIFS($D:$D,$A:$A,$A1878,$B:$B,"&lt;&gt;Patrícia Karla de Sousa Araújo",$B:$B,"&lt;&gt;Lorena Dias de Araujo",$B:$B,"&lt;&gt;Lucas Luiz Romero")*(10/1083),0)))))),0)</f>
        <v>10</v>
      </c>
      <c r="K1878" s="3">
        <f>I1878-J1878</f>
        <v>1</v>
      </c>
      <c r="L1878" s="3" t="str">
        <f>IF(K1878&lt;-5,"CRÍTICO",IF(K1878&lt;0,"ATENÇÃO",IF(K1878&lt;=5,"BOM","EXCELENTE")))</f>
        <v>BOM</v>
      </c>
      <c r="M1878">
        <v>9</v>
      </c>
      <c r="N1878">
        <v>97.5</v>
      </c>
      <c r="O1878">
        <v>30.075187969924809</v>
      </c>
    </row>
    <row r="1879" spans="1:15" hidden="1" x14ac:dyDescent="0.25">
      <c r="A1879" s="11">
        <v>46059</v>
      </c>
      <c r="B1879" t="s">
        <v>49</v>
      </c>
      <c r="C1879" t="s">
        <v>48</v>
      </c>
      <c r="D1879">
        <v>42</v>
      </c>
      <c r="E1879">
        <v>35</v>
      </c>
      <c r="F1879">
        <v>15.05</v>
      </c>
      <c r="G1879">
        <v>0</v>
      </c>
      <c r="H1879">
        <v>0</v>
      </c>
      <c r="I1879" s="3">
        <f>E1879+G1879+H1879</f>
        <v>35</v>
      </c>
      <c r="J1879" s="3">
        <f>ROUND(MIN(IF(C1879="Técnico III",35,IF(C1879="Técnico II",28,IF(C1879="Técnico I",23,IF(C1879="JR",20,IF(C1879="Estágio",10,0))))),IF(C1879="Técnico III",SUMIFS($D:$D,$A:$A,$A1879,$B:$B,"&lt;&gt;Patrícia Karla de Sousa Araújo",$B:$B,"&lt;&gt;Lorena Dias de Araujo",$B:$B,"&lt;&gt;Lucas Luiz Romero")*(35/1083),IF(C1879="Técnico II",SUMIFS($D:$D,$A:$A,$A1879,$B:$B,"&lt;&gt;Patrícia Karla de Sousa Araújo",$B:$B,"&lt;&gt;Lorena Dias de Araujo",$B:$B,"&lt;&gt;Lucas Luiz Romero")*(28/1083),IF(C1879="Técnico I",SUMIFS($D:$D,$A:$A,$A1879,$B:$B,"&lt;&gt;Patrícia Karla de Sousa Araújo",$B:$B,"&lt;&gt;Lorena Dias de Araujo",$B:$B,"&lt;&gt;Lucas Luiz Romero")*(23/1083),IF(C1879="JR",SUMIFS($D:$D,$A:$A,$A1879,$B:$B,"&lt;&gt;Patrícia Karla de Sousa Araújo",$B:$B,"&lt;&gt;Lorena Dias de Araujo",$B:$B,"&lt;&gt;Lucas Luiz Romero")*(20/1083),IF(C1879="Estágio",SUMIFS($D:$D,$A:$A,$A1879,$B:$B,"&lt;&gt;Patrícia Karla de Sousa Araújo",$B:$B,"&lt;&gt;Lorena Dias de Araujo",$B:$B,"&lt;&gt;Lucas Luiz Romero")*(10/1083),0)))))),0)</f>
        <v>27</v>
      </c>
      <c r="K1879" s="3">
        <f>I1879-J1879</f>
        <v>8</v>
      </c>
      <c r="L1879" s="3" t="str">
        <f>IF(K1879&lt;-5,"CRÍTICO",IF(K1879&lt;0,"ATENÇÃO",IF(K1879&lt;=5,"BOM","EXCELENTE")))</f>
        <v>EXCELENTE</v>
      </c>
      <c r="M1879">
        <v>36</v>
      </c>
      <c r="N1879">
        <v>100</v>
      </c>
      <c r="O1879">
        <v>29.71311475409836</v>
      </c>
    </row>
    <row r="1880" spans="1:15" hidden="1" x14ac:dyDescent="0.25">
      <c r="A1880" s="11">
        <v>46059</v>
      </c>
      <c r="B1880" t="s">
        <v>50</v>
      </c>
      <c r="C1880" t="s">
        <v>48</v>
      </c>
      <c r="D1880">
        <v>23</v>
      </c>
      <c r="E1880">
        <v>22</v>
      </c>
      <c r="F1880">
        <v>24.01</v>
      </c>
      <c r="G1880">
        <v>0</v>
      </c>
      <c r="H1880">
        <v>0</v>
      </c>
      <c r="I1880" s="3">
        <f>E1880+G1880+H1880</f>
        <v>22</v>
      </c>
      <c r="J1880" s="3">
        <f>ROUND(MIN(IF(C1880="Técnico III",35,IF(C1880="Técnico II",28,IF(C1880="Técnico I",23,IF(C1880="JR",20,IF(C1880="Estágio",10,0))))),IF(C1880="Técnico III",SUMIFS($D:$D,$A:$A,$A1880,$B:$B,"&lt;&gt;Patrícia Karla de Sousa Araújo",$B:$B,"&lt;&gt;Lorena Dias de Araujo",$B:$B,"&lt;&gt;Lucas Luiz Romero")*(35/1083),IF(C1880="Técnico II",SUMIFS($D:$D,$A:$A,$A1880,$B:$B,"&lt;&gt;Patrícia Karla de Sousa Araújo",$B:$B,"&lt;&gt;Lorena Dias de Araujo",$B:$B,"&lt;&gt;Lucas Luiz Romero")*(28/1083),IF(C1880="Técnico I",SUMIFS($D:$D,$A:$A,$A1880,$B:$B,"&lt;&gt;Patrícia Karla de Sousa Araújo",$B:$B,"&lt;&gt;Lorena Dias de Araujo",$B:$B,"&lt;&gt;Lucas Luiz Romero")*(23/1083),IF(C1880="JR",SUMIFS($D:$D,$A:$A,$A1880,$B:$B,"&lt;&gt;Patrícia Karla de Sousa Araújo",$B:$B,"&lt;&gt;Lorena Dias de Araujo",$B:$B,"&lt;&gt;Lucas Luiz Romero")*(20/1083),IF(C1880="Estágio",SUMIFS($D:$D,$A:$A,$A1880,$B:$B,"&lt;&gt;Patrícia Karla de Sousa Araújo",$B:$B,"&lt;&gt;Lorena Dias de Araujo",$B:$B,"&lt;&gt;Lucas Luiz Romero")*(10/1083),0)))))),0)</f>
        <v>27</v>
      </c>
      <c r="K1880" s="3">
        <f>I1880-J1880</f>
        <v>-5</v>
      </c>
      <c r="L1880" s="3" t="str">
        <f>IF(K1880&lt;-5,"CRÍTICO",IF(K1880&lt;0,"ATENÇÃO",IF(K1880&lt;=5,"BOM","EXCELENTE")))</f>
        <v>ATENÇÃO</v>
      </c>
      <c r="M1880">
        <v>23</v>
      </c>
      <c r="N1880">
        <v>99.22</v>
      </c>
      <c r="O1880">
        <v>35.256410256410263</v>
      </c>
    </row>
    <row r="1881" spans="1:15" hidden="1" x14ac:dyDescent="0.25">
      <c r="A1881" s="11">
        <v>46059</v>
      </c>
      <c r="B1881" t="s">
        <v>17</v>
      </c>
      <c r="C1881" t="s">
        <v>16</v>
      </c>
      <c r="D1881">
        <v>0</v>
      </c>
      <c r="E1881">
        <v>0</v>
      </c>
      <c r="F1881">
        <v>0</v>
      </c>
      <c r="G1881">
        <v>0</v>
      </c>
      <c r="H1881">
        <v>0</v>
      </c>
      <c r="I1881" s="3">
        <v>0</v>
      </c>
      <c r="J1881" s="3">
        <v>0</v>
      </c>
      <c r="K1881" s="3">
        <v>0</v>
      </c>
      <c r="L1881" s="3" t="str">
        <f>IF(K1881&lt;-5,"CRÍTICO",IF(K1881&lt;0,"ATENÇÃO",IF(K1881&lt;=5,"BOM","EXCELENTE")))</f>
        <v>BOM</v>
      </c>
      <c r="M1881">
        <v>0</v>
      </c>
      <c r="N1881">
        <v>0</v>
      </c>
      <c r="O1881">
        <v>0</v>
      </c>
    </row>
    <row r="1882" spans="1:15" hidden="1" x14ac:dyDescent="0.25">
      <c r="A1882" s="11">
        <v>46059</v>
      </c>
      <c r="B1882" t="s">
        <v>60</v>
      </c>
      <c r="C1882" t="s">
        <v>23</v>
      </c>
      <c r="D1882">
        <v>40</v>
      </c>
      <c r="E1882">
        <v>5</v>
      </c>
      <c r="F1882">
        <v>3.32</v>
      </c>
      <c r="G1882">
        <v>0</v>
      </c>
      <c r="H1882">
        <v>0</v>
      </c>
      <c r="I1882" s="3">
        <f>E1882+G1882+H1882</f>
        <v>5</v>
      </c>
      <c r="J1882" s="3">
        <f>ROUND(MIN(IF(C1882="Técnico III",35,IF(C1882="Técnico II",28,IF(C1882="Técnico I",23,IF(C1882="JR",20,IF(C1882="Estágio",10,0))))),IF(C1882="Técnico III",SUMIFS($D:$D,$A:$A,$A1882,$B:$B,"&lt;&gt;Patrícia Karla de Sousa Araújo",$B:$B,"&lt;&gt;Lorena Dias de Araujo",$B:$B,"&lt;&gt;Lucas Luiz Romero")*(35/1083),IF(C1882="Técnico II",SUMIFS($D:$D,$A:$A,$A1882,$B:$B,"&lt;&gt;Patrícia Karla de Sousa Araújo",$B:$B,"&lt;&gt;Lorena Dias de Araujo",$B:$B,"&lt;&gt;Lucas Luiz Romero")*(28/1083),IF(C1882="Técnico I",SUMIFS($D:$D,$A:$A,$A1882,$B:$B,"&lt;&gt;Patrícia Karla de Sousa Araújo",$B:$B,"&lt;&gt;Lorena Dias de Araujo",$B:$B,"&lt;&gt;Lucas Luiz Romero")*(23/1083),IF(C1882="JR",SUMIFS($D:$D,$A:$A,$A1882,$B:$B,"&lt;&gt;Patrícia Karla de Sousa Araújo",$B:$B,"&lt;&gt;Lorena Dias de Araujo",$B:$B,"&lt;&gt;Lucas Luiz Romero")*(20/1083),IF(C1882="Estágio",SUMIFS($D:$D,$A:$A,$A1882,$B:$B,"&lt;&gt;Patrícia Karla de Sousa Araújo",$B:$B,"&lt;&gt;Lorena Dias de Araujo",$B:$B,"&lt;&gt;Lucas Luiz Romero")*(10/1083),0)))))),0)</f>
        <v>22</v>
      </c>
      <c r="K1882" s="3">
        <f>I1882-J1882</f>
        <v>-17</v>
      </c>
      <c r="L1882" s="3" t="str">
        <f>IF(K1882&lt;-5,"CRÍTICO",IF(K1882&lt;0,"ATENÇÃO",IF(K1882&lt;=5,"BOM","EXCELENTE")))</f>
        <v>CRÍTICO</v>
      </c>
      <c r="M1882">
        <v>20</v>
      </c>
      <c r="N1882">
        <v>98.75</v>
      </c>
      <c r="O1882">
        <v>24.32432432432433</v>
      </c>
    </row>
    <row r="1883" spans="1:15" hidden="1" x14ac:dyDescent="0.25">
      <c r="A1883" s="11">
        <v>46059</v>
      </c>
      <c r="B1883" t="s">
        <v>34</v>
      </c>
      <c r="C1883" t="s">
        <v>32</v>
      </c>
      <c r="D1883">
        <v>44</v>
      </c>
      <c r="E1883">
        <v>42</v>
      </c>
      <c r="F1883">
        <v>13.29</v>
      </c>
      <c r="G1883">
        <v>0</v>
      </c>
      <c r="H1883">
        <v>0</v>
      </c>
      <c r="I1883" s="3">
        <f>E1883+G1883+H1883</f>
        <v>42</v>
      </c>
      <c r="J1883" s="3">
        <f>ROUND(MIN(IF(C1883="Técnico III",35,IF(C1883="Técnico II",28,IF(C1883="Técnico I",23,IF(C1883="JR",20,IF(C1883="Estágio",10,0))))),IF(C1883="Técnico III",SUMIFS($D:$D,$A:$A,$A1883,$B:$B,"&lt;&gt;Patrícia Karla de Sousa Araújo",$B:$B,"&lt;&gt;Lorena Dias de Araujo",$B:$B,"&lt;&gt;Lucas Luiz Romero")*(35/1083),IF(C1883="Técnico II",SUMIFS($D:$D,$A:$A,$A1883,$B:$B,"&lt;&gt;Patrícia Karla de Sousa Araújo",$B:$B,"&lt;&gt;Lorena Dias de Araujo",$B:$B,"&lt;&gt;Lucas Luiz Romero")*(28/1083),IF(C1883="Técnico I",SUMIFS($D:$D,$A:$A,$A1883,$B:$B,"&lt;&gt;Patrícia Karla de Sousa Araújo",$B:$B,"&lt;&gt;Lorena Dias de Araujo",$B:$B,"&lt;&gt;Lucas Luiz Romero")*(23/1083),IF(C1883="JR",SUMIFS($D:$D,$A:$A,$A1883,$B:$B,"&lt;&gt;Patrícia Karla de Sousa Araújo",$B:$B,"&lt;&gt;Lorena Dias de Araujo",$B:$B,"&lt;&gt;Lucas Luiz Romero")*(20/1083),IF(C1883="Estágio",SUMIFS($D:$D,$A:$A,$A1883,$B:$B,"&lt;&gt;Patrícia Karla de Sousa Araújo",$B:$B,"&lt;&gt;Lorena Dias de Araujo",$B:$B,"&lt;&gt;Lucas Luiz Romero")*(10/1083),0)))))),0)</f>
        <v>33</v>
      </c>
      <c r="K1883" s="3">
        <f>I1883-J1883</f>
        <v>9</v>
      </c>
      <c r="L1883" s="3" t="str">
        <f>IF(K1883&lt;-5,"CRÍTICO",IF(K1883&lt;0,"ATENÇÃO",IF(K1883&lt;=5,"BOM","EXCELENTE")))</f>
        <v>EXCELENTE</v>
      </c>
      <c r="M1883">
        <v>41</v>
      </c>
      <c r="N1883">
        <v>93.48</v>
      </c>
      <c r="O1883">
        <v>31.52804642166344</v>
      </c>
    </row>
    <row r="1884" spans="1:15" hidden="1" x14ac:dyDescent="0.25">
      <c r="A1884" s="11">
        <v>46059</v>
      </c>
      <c r="B1884" t="s">
        <v>51</v>
      </c>
      <c r="C1884" t="s">
        <v>48</v>
      </c>
      <c r="D1884">
        <v>35</v>
      </c>
      <c r="E1884">
        <v>32</v>
      </c>
      <c r="F1884">
        <v>18.350000000000001</v>
      </c>
      <c r="G1884">
        <v>0</v>
      </c>
      <c r="H1884">
        <v>0</v>
      </c>
      <c r="I1884" s="3">
        <v>0</v>
      </c>
      <c r="J1884" s="3">
        <v>0</v>
      </c>
      <c r="K1884" s="3">
        <v>0</v>
      </c>
      <c r="L1884" s="3" t="str">
        <f>IF(K1884&lt;-5,"CRÍTICO",IF(K1884&lt;0,"ATENÇÃO",IF(K1884&lt;=5,"BOM","EXCELENTE")))</f>
        <v>BOM</v>
      </c>
      <c r="M1884">
        <v>28</v>
      </c>
      <c r="N1884">
        <v>99.16</v>
      </c>
      <c r="O1884">
        <v>26.13908872901678</v>
      </c>
    </row>
    <row r="1885" spans="1:15" hidden="1" x14ac:dyDescent="0.25">
      <c r="A1885" s="11">
        <v>46059</v>
      </c>
      <c r="B1885" t="s">
        <v>61</v>
      </c>
      <c r="C1885" t="s">
        <v>23</v>
      </c>
      <c r="D1885">
        <v>24</v>
      </c>
      <c r="E1885">
        <v>21</v>
      </c>
      <c r="F1885">
        <v>22</v>
      </c>
      <c r="G1885">
        <v>0</v>
      </c>
      <c r="H1885">
        <v>0</v>
      </c>
      <c r="I1885" s="3">
        <f>E1885+G1885+H1885</f>
        <v>21</v>
      </c>
      <c r="J1885" s="3">
        <f>ROUND(MIN(IF(C1885="Técnico III",35,IF(C1885="Técnico II",28,IF(C1885="Técnico I",23,IF(C1885="JR",20,IF(C1885="Estágio",10,0))))),IF(C1885="Técnico III",SUMIFS($D:$D,$A:$A,$A1885,$B:$B,"&lt;&gt;Patrícia Karla de Sousa Araújo",$B:$B,"&lt;&gt;Lorena Dias de Araujo",$B:$B,"&lt;&gt;Lucas Luiz Romero")*(35/1083),IF(C1885="Técnico II",SUMIFS($D:$D,$A:$A,$A1885,$B:$B,"&lt;&gt;Patrícia Karla de Sousa Araújo",$B:$B,"&lt;&gt;Lorena Dias de Araujo",$B:$B,"&lt;&gt;Lucas Luiz Romero")*(28/1083),IF(C1885="Técnico I",SUMIFS($D:$D,$A:$A,$A1885,$B:$B,"&lt;&gt;Patrícia Karla de Sousa Araújo",$B:$B,"&lt;&gt;Lorena Dias de Araujo",$B:$B,"&lt;&gt;Lucas Luiz Romero")*(23/1083),IF(C1885="JR",SUMIFS($D:$D,$A:$A,$A1885,$B:$B,"&lt;&gt;Patrícia Karla de Sousa Araújo",$B:$B,"&lt;&gt;Lorena Dias de Araujo",$B:$B,"&lt;&gt;Lucas Luiz Romero")*(20/1083),IF(C1885="Estágio",SUMIFS($D:$D,$A:$A,$A1885,$B:$B,"&lt;&gt;Patrícia Karla de Sousa Araújo",$B:$B,"&lt;&gt;Lorena Dias de Araujo",$B:$B,"&lt;&gt;Lucas Luiz Romero")*(10/1083),0)))))),0)</f>
        <v>22</v>
      </c>
      <c r="K1885" s="3">
        <f>I1885-J1885</f>
        <v>-1</v>
      </c>
      <c r="L1885" s="3" t="str">
        <f>IF(K1885&lt;-5,"CRÍTICO",IF(K1885&lt;0,"ATENÇÃO",IF(K1885&lt;=5,"BOM","EXCELENTE")))</f>
        <v>ATENÇÃO</v>
      </c>
      <c r="M1885">
        <v>27</v>
      </c>
      <c r="N1885">
        <v>100</v>
      </c>
      <c r="O1885">
        <v>31.089743589743591</v>
      </c>
    </row>
    <row r="1886" spans="1:15" hidden="1" x14ac:dyDescent="0.25">
      <c r="A1886" s="11">
        <v>46059</v>
      </c>
      <c r="B1886" t="s">
        <v>35</v>
      </c>
      <c r="C1886" t="s">
        <v>32</v>
      </c>
      <c r="D1886">
        <v>38</v>
      </c>
      <c r="E1886">
        <v>38</v>
      </c>
      <c r="F1886">
        <v>19.14</v>
      </c>
      <c r="G1886">
        <v>0</v>
      </c>
      <c r="H1886">
        <v>0</v>
      </c>
      <c r="I1886" s="3">
        <v>0</v>
      </c>
      <c r="J1886" s="3">
        <v>0</v>
      </c>
      <c r="K1886" s="3">
        <v>0</v>
      </c>
      <c r="L1886" s="3" t="str">
        <f>IF(K1886&lt;-5,"CRÍTICO",IF(K1886&lt;0,"ATENÇÃO",IF(K1886&lt;=5,"BOM","EXCELENTE")))</f>
        <v>BOM</v>
      </c>
      <c r="M1886">
        <v>38</v>
      </c>
      <c r="N1886">
        <v>98.11</v>
      </c>
      <c r="O1886">
        <v>33.033707865168537</v>
      </c>
    </row>
    <row r="1887" spans="1:15" hidden="1" x14ac:dyDescent="0.25">
      <c r="A1887" s="11">
        <v>46059</v>
      </c>
      <c r="B1887" t="s">
        <v>18</v>
      </c>
      <c r="C1887" t="s">
        <v>16</v>
      </c>
      <c r="D1887">
        <v>49</v>
      </c>
      <c r="E1887">
        <v>43</v>
      </c>
      <c r="F1887">
        <v>6.57</v>
      </c>
      <c r="G1887">
        <v>0</v>
      </c>
      <c r="H1887">
        <v>0</v>
      </c>
      <c r="I1887" s="3">
        <f>E1887+G1887+H1887</f>
        <v>43</v>
      </c>
      <c r="J1887" s="3">
        <f>ROUND(MIN(IF(C1887="Técnico III",35,IF(C1887="Técnico II",28,IF(C1887="Técnico I",23,IF(C1887="JR",20,IF(C1887="Estágio",10,0))))),IF(C1887="Técnico III",SUMIFS($D:$D,$A:$A,$A1887,$B:$B,"&lt;&gt;Patrícia Karla de Sousa Araújo",$B:$B,"&lt;&gt;Lorena Dias de Araujo",$B:$B,"&lt;&gt;Lucas Luiz Romero")*(35/1083),IF(C1887="Técnico II",SUMIFS($D:$D,$A:$A,$A1887,$B:$B,"&lt;&gt;Patrícia Karla de Sousa Araújo",$B:$B,"&lt;&gt;Lorena Dias de Araujo",$B:$B,"&lt;&gt;Lucas Luiz Romero")*(28/1083),IF(C1887="Técnico I",SUMIFS($D:$D,$A:$A,$A1887,$B:$B,"&lt;&gt;Patrícia Karla de Sousa Araújo",$B:$B,"&lt;&gt;Lorena Dias de Araujo",$B:$B,"&lt;&gt;Lucas Luiz Romero")*(23/1083),IF(C1887="JR",SUMIFS($D:$D,$A:$A,$A1887,$B:$B,"&lt;&gt;Patrícia Karla de Sousa Araújo",$B:$B,"&lt;&gt;Lorena Dias de Araujo",$B:$B,"&lt;&gt;Lucas Luiz Romero")*(20/1083),IF(C1887="Estágio",SUMIFS($D:$D,$A:$A,$A1887,$B:$B,"&lt;&gt;Patrícia Karla de Sousa Araújo",$B:$B,"&lt;&gt;Lorena Dias de Araujo",$B:$B,"&lt;&gt;Lucas Luiz Romero")*(10/1083),0)))))),0)</f>
        <v>10</v>
      </c>
      <c r="K1887" s="3">
        <f>I1887-J1887</f>
        <v>33</v>
      </c>
      <c r="L1887" s="3" t="str">
        <f>IF(K1887&lt;-5,"CRÍTICO",IF(K1887&lt;0,"ATENÇÃO",IF(K1887&lt;=5,"BOM","EXCELENTE")))</f>
        <v>EXCELENTE</v>
      </c>
      <c r="M1887">
        <v>3</v>
      </c>
      <c r="N1887">
        <v>78.95</v>
      </c>
      <c r="O1887">
        <v>38.983050847457633</v>
      </c>
    </row>
    <row r="1888" spans="1:15" hidden="1" x14ac:dyDescent="0.25">
      <c r="A1888" s="11">
        <v>46059</v>
      </c>
      <c r="B1888" t="s">
        <v>52</v>
      </c>
      <c r="C1888" t="s">
        <v>48</v>
      </c>
      <c r="D1888">
        <v>35</v>
      </c>
      <c r="E1888">
        <v>31</v>
      </c>
      <c r="F1888">
        <v>17.260000000000002</v>
      </c>
      <c r="G1888">
        <v>0</v>
      </c>
      <c r="H1888">
        <v>0</v>
      </c>
      <c r="I1888" s="3">
        <f>E1888+G1888+H1888</f>
        <v>31</v>
      </c>
      <c r="J1888" s="3">
        <f>ROUND(MIN(IF(C1888="Técnico III",35,IF(C1888="Técnico II",28,IF(C1888="Técnico I",23,IF(C1888="JR",20,IF(C1888="Estágio",10,0))))),IF(C1888="Técnico III",SUMIFS($D:$D,$A:$A,$A1888,$B:$B,"&lt;&gt;Patrícia Karla de Sousa Araújo",$B:$B,"&lt;&gt;Lorena Dias de Araujo",$B:$B,"&lt;&gt;Lucas Luiz Romero")*(35/1083),IF(C1888="Técnico II",SUMIFS($D:$D,$A:$A,$A1888,$B:$B,"&lt;&gt;Patrícia Karla de Sousa Araújo",$B:$B,"&lt;&gt;Lorena Dias de Araujo",$B:$B,"&lt;&gt;Lucas Luiz Romero")*(28/1083),IF(C1888="Técnico I",SUMIFS($D:$D,$A:$A,$A1888,$B:$B,"&lt;&gt;Patrícia Karla de Sousa Araújo",$B:$B,"&lt;&gt;Lorena Dias de Araujo",$B:$B,"&lt;&gt;Lucas Luiz Romero")*(23/1083),IF(C1888="JR",SUMIFS($D:$D,$A:$A,$A1888,$B:$B,"&lt;&gt;Patrícia Karla de Sousa Araújo",$B:$B,"&lt;&gt;Lorena Dias de Araujo",$B:$B,"&lt;&gt;Lucas Luiz Romero")*(20/1083),IF(C1888="Estágio",SUMIFS($D:$D,$A:$A,$A1888,$B:$B,"&lt;&gt;Patrícia Karla de Sousa Araújo",$B:$B,"&lt;&gt;Lorena Dias de Araujo",$B:$B,"&lt;&gt;Lucas Luiz Romero")*(10/1083),0)))))),0)</f>
        <v>27</v>
      </c>
      <c r="K1888" s="3">
        <f>I1888-J1888</f>
        <v>4</v>
      </c>
      <c r="L1888" s="3" t="str">
        <f>IF(K1888&lt;-5,"CRÍTICO",IF(K1888&lt;0,"ATENÇÃO",IF(K1888&lt;=5,"BOM","EXCELENTE")))</f>
        <v>BOM</v>
      </c>
      <c r="M1888">
        <v>29</v>
      </c>
      <c r="N1888">
        <v>98.45</v>
      </c>
      <c r="O1888">
        <v>29.281767955801101</v>
      </c>
    </row>
    <row r="1889" spans="1:15" hidden="1" x14ac:dyDescent="0.25">
      <c r="A1889" s="11">
        <v>46059</v>
      </c>
      <c r="B1889" t="s">
        <v>36</v>
      </c>
      <c r="C1889" t="s">
        <v>32</v>
      </c>
      <c r="D1889">
        <v>33</v>
      </c>
      <c r="E1889">
        <v>33</v>
      </c>
      <c r="F1889">
        <v>17.28</v>
      </c>
      <c r="G1889">
        <v>0</v>
      </c>
      <c r="H1889">
        <v>0</v>
      </c>
      <c r="I1889" s="3">
        <f>E1889+G1889+H1889</f>
        <v>33</v>
      </c>
      <c r="J1889" s="3">
        <f>ROUND(MIN(IF(C1889="Técnico III",35,IF(C1889="Técnico II",28,IF(C1889="Técnico I",23,IF(C1889="JR",20,IF(C1889="Estágio",10,0))))),IF(C1889="Técnico III",SUMIFS($D:$D,$A:$A,$A1889,$B:$B,"&lt;&gt;Patrícia Karla de Sousa Araújo",$B:$B,"&lt;&gt;Lorena Dias de Araujo",$B:$B,"&lt;&gt;Lucas Luiz Romero")*(35/1083),IF(C1889="Técnico II",SUMIFS($D:$D,$A:$A,$A1889,$B:$B,"&lt;&gt;Patrícia Karla de Sousa Araújo",$B:$B,"&lt;&gt;Lorena Dias de Araujo",$B:$B,"&lt;&gt;Lucas Luiz Romero")*(28/1083),IF(C1889="Técnico I",SUMIFS($D:$D,$A:$A,$A1889,$B:$B,"&lt;&gt;Patrícia Karla de Sousa Araújo",$B:$B,"&lt;&gt;Lorena Dias de Araujo",$B:$B,"&lt;&gt;Lucas Luiz Romero")*(23/1083),IF(C1889="JR",SUMIFS($D:$D,$A:$A,$A1889,$B:$B,"&lt;&gt;Patrícia Karla de Sousa Araújo",$B:$B,"&lt;&gt;Lorena Dias de Araujo",$B:$B,"&lt;&gt;Lucas Luiz Romero")*(20/1083),IF(C1889="Estágio",SUMIFS($D:$D,$A:$A,$A1889,$B:$B,"&lt;&gt;Patrícia Karla de Sousa Araújo",$B:$B,"&lt;&gt;Lorena Dias de Araujo",$B:$B,"&lt;&gt;Lucas Luiz Romero")*(10/1083),0)))))),0)</f>
        <v>33</v>
      </c>
      <c r="K1889" s="3">
        <f>I1889-J1889</f>
        <v>0</v>
      </c>
      <c r="L1889" s="3" t="str">
        <f>IF(K1889&lt;-5,"CRÍTICO",IF(K1889&lt;0,"ATENÇÃO",IF(K1889&lt;=5,"BOM","EXCELENTE")))</f>
        <v>BOM</v>
      </c>
      <c r="M1889">
        <v>33</v>
      </c>
      <c r="N1889">
        <v>97.84</v>
      </c>
      <c r="O1889">
        <v>26.282051282051281</v>
      </c>
    </row>
    <row r="1890" spans="1:15" hidden="1" x14ac:dyDescent="0.25">
      <c r="A1890" s="11">
        <v>46059</v>
      </c>
      <c r="B1890" t="s">
        <v>53</v>
      </c>
      <c r="C1890" t="s">
        <v>48</v>
      </c>
      <c r="D1890">
        <v>31</v>
      </c>
      <c r="E1890">
        <v>29</v>
      </c>
      <c r="F1890">
        <v>20.48</v>
      </c>
      <c r="G1890">
        <v>0</v>
      </c>
      <c r="H1890">
        <v>0</v>
      </c>
      <c r="I1890" s="3">
        <f>E1890+G1890+H1890</f>
        <v>29</v>
      </c>
      <c r="J1890" s="3">
        <f>ROUND(MIN(IF(C1890="Técnico III",35,IF(C1890="Técnico II",28,IF(C1890="Técnico I",23,IF(C1890="JR",20,IF(C1890="Estágio",10,0))))),IF(C1890="Técnico III",SUMIFS($D:$D,$A:$A,$A1890,$B:$B,"&lt;&gt;Patrícia Karla de Sousa Araújo",$B:$B,"&lt;&gt;Lorena Dias de Araujo",$B:$B,"&lt;&gt;Lucas Luiz Romero")*(35/1083),IF(C1890="Técnico II",SUMIFS($D:$D,$A:$A,$A1890,$B:$B,"&lt;&gt;Patrícia Karla de Sousa Araújo",$B:$B,"&lt;&gt;Lorena Dias de Araujo",$B:$B,"&lt;&gt;Lucas Luiz Romero")*(28/1083),IF(C1890="Técnico I",SUMIFS($D:$D,$A:$A,$A1890,$B:$B,"&lt;&gt;Patrícia Karla de Sousa Araújo",$B:$B,"&lt;&gt;Lorena Dias de Araujo",$B:$B,"&lt;&gt;Lucas Luiz Romero")*(23/1083),IF(C1890="JR",SUMIFS($D:$D,$A:$A,$A1890,$B:$B,"&lt;&gt;Patrícia Karla de Sousa Araújo",$B:$B,"&lt;&gt;Lorena Dias de Araujo",$B:$B,"&lt;&gt;Lucas Luiz Romero")*(20/1083),IF(C1890="Estágio",SUMIFS($D:$D,$A:$A,$A1890,$B:$B,"&lt;&gt;Patrícia Karla de Sousa Araújo",$B:$B,"&lt;&gt;Lorena Dias de Araujo",$B:$B,"&lt;&gt;Lucas Luiz Romero")*(10/1083),0)))))),0)</f>
        <v>27</v>
      </c>
      <c r="K1890" s="3">
        <f>I1890-J1890</f>
        <v>2</v>
      </c>
      <c r="L1890" s="3" t="str">
        <f>IF(K1890&lt;-5,"CRÍTICO",IF(K1890&lt;0,"ATENÇÃO",IF(K1890&lt;=5,"BOM","EXCELENTE")))</f>
        <v>BOM</v>
      </c>
      <c r="M1890">
        <v>26</v>
      </c>
      <c r="N1890">
        <v>98.5</v>
      </c>
      <c r="O1890">
        <v>23.97769516728625</v>
      </c>
    </row>
    <row r="1891" spans="1:15" hidden="1" x14ac:dyDescent="0.25">
      <c r="A1891" s="11">
        <v>46093</v>
      </c>
      <c r="B1891" t="s">
        <v>22</v>
      </c>
      <c r="C1891" t="s">
        <v>23</v>
      </c>
      <c r="D1891">
        <v>0</v>
      </c>
      <c r="E1891">
        <v>0</v>
      </c>
      <c r="F1891">
        <v>0</v>
      </c>
      <c r="G1891">
        <v>0</v>
      </c>
      <c r="H1891">
        <v>0</v>
      </c>
      <c r="I1891" s="3">
        <v>0</v>
      </c>
      <c r="J1891" s="3">
        <v>0</v>
      </c>
      <c r="K1891" s="3">
        <v>0</v>
      </c>
      <c r="L1891" s="3" t="str">
        <f>IF(K1891&lt;-5,"CRÍTICO",IF(K1891&lt;0,"ATENÇÃO",IF(K1891&lt;=5,"BOM","EXCELENTE")))</f>
        <v>BOM</v>
      </c>
      <c r="M1891">
        <v>14</v>
      </c>
      <c r="N1891">
        <v>99.05</v>
      </c>
      <c r="O1891">
        <v>26.621923937360179</v>
      </c>
    </row>
    <row r="1892" spans="1:15" hidden="1" x14ac:dyDescent="0.25">
      <c r="A1892" s="11">
        <v>46059</v>
      </c>
      <c r="B1892" t="s">
        <v>54</v>
      </c>
      <c r="C1892" t="s">
        <v>48</v>
      </c>
      <c r="D1892">
        <v>28</v>
      </c>
      <c r="E1892">
        <v>26</v>
      </c>
      <c r="F1892">
        <v>22.09</v>
      </c>
      <c r="G1892">
        <v>0</v>
      </c>
      <c r="H1892">
        <v>0</v>
      </c>
      <c r="I1892" s="3">
        <f>E1892+G1892+H1892</f>
        <v>26</v>
      </c>
      <c r="J1892" s="3">
        <f>ROUND(MIN(IF(C1892="Técnico III",35,IF(C1892="Técnico II",28,IF(C1892="Técnico I",23,IF(C1892="JR",20,IF(C1892="Estágio",10,0))))),IF(C1892="Técnico III",SUMIFS($D:$D,$A:$A,$A1892,$B:$B,"&lt;&gt;Patrícia Karla de Sousa Araújo",$B:$B,"&lt;&gt;Lorena Dias de Araujo",$B:$B,"&lt;&gt;Lucas Luiz Romero")*(35/1083),IF(C1892="Técnico II",SUMIFS($D:$D,$A:$A,$A1892,$B:$B,"&lt;&gt;Patrícia Karla de Sousa Araújo",$B:$B,"&lt;&gt;Lorena Dias de Araujo",$B:$B,"&lt;&gt;Lucas Luiz Romero")*(28/1083),IF(C1892="Técnico I",SUMIFS($D:$D,$A:$A,$A1892,$B:$B,"&lt;&gt;Patrícia Karla de Sousa Araújo",$B:$B,"&lt;&gt;Lorena Dias de Araujo",$B:$B,"&lt;&gt;Lucas Luiz Romero")*(23/1083),IF(C1892="JR",SUMIFS($D:$D,$A:$A,$A1892,$B:$B,"&lt;&gt;Patrícia Karla de Sousa Araújo",$B:$B,"&lt;&gt;Lorena Dias de Araujo",$B:$B,"&lt;&gt;Lucas Luiz Romero")*(20/1083),IF(C1892="Estágio",SUMIFS($D:$D,$A:$A,$A1892,$B:$B,"&lt;&gt;Patrícia Karla de Sousa Araújo",$B:$B,"&lt;&gt;Lorena Dias de Araujo",$B:$B,"&lt;&gt;Lucas Luiz Romero")*(10/1083),0)))))),0)</f>
        <v>27</v>
      </c>
      <c r="K1892" s="3">
        <f>I1892-J1892</f>
        <v>-1</v>
      </c>
      <c r="L1892" s="3" t="str">
        <f>IF(K1892&lt;-5,"CRÍTICO",IF(K1892&lt;0,"ATENÇÃO",IF(K1892&lt;=5,"BOM","EXCELENTE")))</f>
        <v>ATENÇÃO</v>
      </c>
      <c r="M1892">
        <v>25</v>
      </c>
      <c r="N1892">
        <v>98.53</v>
      </c>
      <c r="O1892">
        <v>31.578947368421051</v>
      </c>
    </row>
    <row r="1893" spans="1:15" hidden="1" x14ac:dyDescent="0.25">
      <c r="A1893" s="11">
        <v>46059</v>
      </c>
      <c r="B1893" t="s">
        <v>37</v>
      </c>
      <c r="C1893" t="s">
        <v>32</v>
      </c>
      <c r="D1893">
        <v>62</v>
      </c>
      <c r="E1893">
        <v>56</v>
      </c>
      <c r="F1893">
        <v>12.1</v>
      </c>
      <c r="G1893">
        <v>0</v>
      </c>
      <c r="H1893">
        <v>0</v>
      </c>
      <c r="I1893" s="3">
        <f>E1893+G1893+H1893</f>
        <v>56</v>
      </c>
      <c r="J1893" s="3">
        <f>ROUND(MIN(IF(C1893="Técnico III",35,IF(C1893="Técnico II",28,IF(C1893="Técnico I",23,IF(C1893="JR",20,IF(C1893="Estágio",10,0))))),IF(C1893="Técnico III",SUMIFS($D:$D,$A:$A,$A1893,$B:$B,"&lt;&gt;Patrícia Karla de Sousa Araújo",$B:$B,"&lt;&gt;Lorena Dias de Araujo",$B:$B,"&lt;&gt;Lucas Luiz Romero")*(35/1083),IF(C1893="Técnico II",SUMIFS($D:$D,$A:$A,$A1893,$B:$B,"&lt;&gt;Patrícia Karla de Sousa Araújo",$B:$B,"&lt;&gt;Lorena Dias de Araujo",$B:$B,"&lt;&gt;Lucas Luiz Romero")*(28/1083),IF(C1893="Técnico I",SUMIFS($D:$D,$A:$A,$A1893,$B:$B,"&lt;&gt;Patrícia Karla de Sousa Araújo",$B:$B,"&lt;&gt;Lorena Dias de Araujo",$B:$B,"&lt;&gt;Lucas Luiz Romero")*(23/1083),IF(C1893="JR",SUMIFS($D:$D,$A:$A,$A1893,$B:$B,"&lt;&gt;Patrícia Karla de Sousa Araújo",$B:$B,"&lt;&gt;Lorena Dias de Araujo",$B:$B,"&lt;&gt;Lucas Luiz Romero")*(20/1083),IF(C1893="Estágio",SUMIFS($D:$D,$A:$A,$A1893,$B:$B,"&lt;&gt;Patrícia Karla de Sousa Araújo",$B:$B,"&lt;&gt;Lorena Dias de Araujo",$B:$B,"&lt;&gt;Lucas Luiz Romero")*(10/1083),0)))))),0)</f>
        <v>33</v>
      </c>
      <c r="K1893" s="3">
        <f>I1893-J1893</f>
        <v>23</v>
      </c>
      <c r="L1893" s="3" t="str">
        <f>IF(K1893&lt;-5,"CRÍTICO",IF(K1893&lt;0,"ATENÇÃO",IF(K1893&lt;=5,"BOM","EXCELENTE")))</f>
        <v>EXCELENTE</v>
      </c>
      <c r="M1893">
        <v>54</v>
      </c>
      <c r="N1893">
        <v>100</v>
      </c>
      <c r="O1893">
        <v>25.72214580467676</v>
      </c>
    </row>
    <row r="1894" spans="1:15" hidden="1" x14ac:dyDescent="0.25">
      <c r="A1894" s="11">
        <v>46059</v>
      </c>
      <c r="B1894" t="s">
        <v>38</v>
      </c>
      <c r="C1894" t="s">
        <v>32</v>
      </c>
      <c r="D1894">
        <v>37</v>
      </c>
      <c r="E1894">
        <v>29</v>
      </c>
      <c r="F1894">
        <v>10.19</v>
      </c>
      <c r="G1894">
        <v>0</v>
      </c>
      <c r="H1894">
        <v>0</v>
      </c>
      <c r="I1894" s="3">
        <f>E1894+G1894+H1894</f>
        <v>29</v>
      </c>
      <c r="J1894" s="3">
        <f>ROUND(MIN(IF(C1894="Técnico III",35,IF(C1894="Técnico II",28,IF(C1894="Técnico I",23,IF(C1894="JR",20,IF(C1894="Estágio",10,0))))),IF(C1894="Técnico III",SUMIFS($D:$D,$A:$A,$A1894,$B:$B,"&lt;&gt;Patrícia Karla de Sousa Araújo",$B:$B,"&lt;&gt;Lorena Dias de Araujo",$B:$B,"&lt;&gt;Lucas Luiz Romero")*(35/1083),IF(C1894="Técnico II",SUMIFS($D:$D,$A:$A,$A1894,$B:$B,"&lt;&gt;Patrícia Karla de Sousa Araújo",$B:$B,"&lt;&gt;Lorena Dias de Araujo",$B:$B,"&lt;&gt;Lucas Luiz Romero")*(28/1083),IF(C1894="Técnico I",SUMIFS($D:$D,$A:$A,$A1894,$B:$B,"&lt;&gt;Patrícia Karla de Sousa Araújo",$B:$B,"&lt;&gt;Lorena Dias de Araujo",$B:$B,"&lt;&gt;Lucas Luiz Romero")*(23/1083),IF(C1894="JR",SUMIFS($D:$D,$A:$A,$A1894,$B:$B,"&lt;&gt;Patrícia Karla de Sousa Araújo",$B:$B,"&lt;&gt;Lorena Dias de Araujo",$B:$B,"&lt;&gt;Lucas Luiz Romero")*(20/1083),IF(C1894="Estágio",SUMIFS($D:$D,$A:$A,$A1894,$B:$B,"&lt;&gt;Patrícia Karla de Sousa Araújo",$B:$B,"&lt;&gt;Lorena Dias de Araujo",$B:$B,"&lt;&gt;Lucas Luiz Romero")*(10/1083),0)))))),0)</f>
        <v>33</v>
      </c>
      <c r="K1894" s="3">
        <f>I1894-J1894</f>
        <v>-4</v>
      </c>
      <c r="L1894" s="3" t="str">
        <f>IF(K1894&lt;-5,"CRÍTICO",IF(K1894&lt;0,"ATENÇÃO",IF(K1894&lt;=5,"BOM","EXCELENTE")))</f>
        <v>ATENÇÃO</v>
      </c>
      <c r="M1894">
        <v>27</v>
      </c>
      <c r="N1894">
        <v>94.64</v>
      </c>
      <c r="O1894">
        <v>27.52941176470588</v>
      </c>
    </row>
    <row r="1895" spans="1:15" hidden="1" x14ac:dyDescent="0.25">
      <c r="A1895" s="11">
        <v>46059</v>
      </c>
      <c r="B1895" t="s">
        <v>55</v>
      </c>
      <c r="C1895" t="s">
        <v>48</v>
      </c>
      <c r="D1895">
        <v>28</v>
      </c>
      <c r="E1895">
        <v>23</v>
      </c>
      <c r="F1895">
        <v>18.45</v>
      </c>
      <c r="G1895">
        <v>0</v>
      </c>
      <c r="H1895">
        <v>0</v>
      </c>
      <c r="I1895" s="3">
        <f>E1895+G1895+H1895</f>
        <v>23</v>
      </c>
      <c r="J1895" s="3">
        <f>ROUND(MIN(IF(C1895="Técnico III",35,IF(C1895="Técnico II",28,IF(C1895="Técnico I",23,IF(C1895="JR",20,IF(C1895="Estágio",10,0))))),IF(C1895="Técnico III",SUMIFS($D:$D,$A:$A,$A1895,$B:$B,"&lt;&gt;Patrícia Karla de Sousa Araújo",$B:$B,"&lt;&gt;Lorena Dias de Araujo",$B:$B,"&lt;&gt;Lucas Luiz Romero")*(35/1083),IF(C1895="Técnico II",SUMIFS($D:$D,$A:$A,$A1895,$B:$B,"&lt;&gt;Patrícia Karla de Sousa Araújo",$B:$B,"&lt;&gt;Lorena Dias de Araujo",$B:$B,"&lt;&gt;Lucas Luiz Romero")*(28/1083),IF(C1895="Técnico I",SUMIFS($D:$D,$A:$A,$A1895,$B:$B,"&lt;&gt;Patrícia Karla de Sousa Araújo",$B:$B,"&lt;&gt;Lorena Dias de Araujo",$B:$B,"&lt;&gt;Lucas Luiz Romero")*(23/1083),IF(C1895="JR",SUMIFS($D:$D,$A:$A,$A1895,$B:$B,"&lt;&gt;Patrícia Karla de Sousa Araújo",$B:$B,"&lt;&gt;Lorena Dias de Araujo",$B:$B,"&lt;&gt;Lucas Luiz Romero")*(20/1083),IF(C1895="Estágio",SUMIFS($D:$D,$A:$A,$A1895,$B:$B,"&lt;&gt;Patrícia Karla de Sousa Araújo",$B:$B,"&lt;&gt;Lorena Dias de Araujo",$B:$B,"&lt;&gt;Lucas Luiz Romero")*(10/1083),0)))))),0)</f>
        <v>27</v>
      </c>
      <c r="K1895" s="3">
        <f>I1895-J1895</f>
        <v>-4</v>
      </c>
      <c r="L1895" s="3" t="str">
        <f>IF(K1895&lt;-5,"CRÍTICO",IF(K1895&lt;0,"ATENÇÃO",IF(K1895&lt;=5,"BOM","EXCELENTE")))</f>
        <v>ATENÇÃO</v>
      </c>
      <c r="M1895">
        <v>21</v>
      </c>
      <c r="N1895">
        <v>99.07</v>
      </c>
      <c r="O1895">
        <v>26.376811594202898</v>
      </c>
    </row>
    <row r="1896" spans="1:15" hidden="1" x14ac:dyDescent="0.25">
      <c r="A1896" s="11">
        <v>46059</v>
      </c>
      <c r="B1896" t="s">
        <v>39</v>
      </c>
      <c r="C1896" t="s">
        <v>32</v>
      </c>
      <c r="D1896">
        <v>0</v>
      </c>
      <c r="E1896">
        <v>0</v>
      </c>
      <c r="F1896">
        <v>0</v>
      </c>
      <c r="G1896">
        <v>0</v>
      </c>
      <c r="H1896">
        <v>0</v>
      </c>
      <c r="I1896" s="3">
        <v>0</v>
      </c>
      <c r="J1896" s="3">
        <v>0</v>
      </c>
      <c r="K1896" s="3">
        <v>0</v>
      </c>
      <c r="L1896" s="3" t="str">
        <f>IF(K1896&lt;-5,"CRÍTICO",IF(K1896&lt;0,"ATENÇÃO",IF(K1896&lt;=5,"BOM","EXCELENTE")))</f>
        <v>BOM</v>
      </c>
      <c r="M1896">
        <v>0</v>
      </c>
      <c r="N1896">
        <v>100</v>
      </c>
      <c r="O1896">
        <v>0</v>
      </c>
    </row>
    <row r="1897" spans="1:15" hidden="1" x14ac:dyDescent="0.25">
      <c r="A1897" s="11">
        <v>46059</v>
      </c>
      <c r="B1897" t="s">
        <v>25</v>
      </c>
      <c r="C1897" t="s">
        <v>26</v>
      </c>
      <c r="D1897">
        <v>16</v>
      </c>
      <c r="E1897">
        <v>15</v>
      </c>
      <c r="F1897">
        <v>31.5</v>
      </c>
      <c r="G1897">
        <v>0</v>
      </c>
      <c r="H1897">
        <v>0</v>
      </c>
      <c r="I1897" s="3">
        <f>E1897+G1897+H1897</f>
        <v>15</v>
      </c>
      <c r="J1897" s="3">
        <f>ROUND(MIN(IF(C1897="Técnico III",35,IF(C1897="Técnico II",28,IF(C1897="Técnico I",23,IF(C1897="JR",20,IF(C1897="Estágio",10,0))))),IF(C1897="Técnico III",SUMIFS($D:$D,$A:$A,$A1897,$B:$B,"&lt;&gt;Patrícia Karla de Sousa Araújo",$B:$B,"&lt;&gt;Lorena Dias de Araujo",$B:$B,"&lt;&gt;Lucas Luiz Romero")*(35/1083),IF(C1897="Técnico II",SUMIFS($D:$D,$A:$A,$A1897,$B:$B,"&lt;&gt;Patrícia Karla de Sousa Araújo",$B:$B,"&lt;&gt;Lorena Dias de Araujo",$B:$B,"&lt;&gt;Lucas Luiz Romero")*(28/1083),IF(C1897="Técnico I",SUMIFS($D:$D,$A:$A,$A1897,$B:$B,"&lt;&gt;Patrícia Karla de Sousa Araújo",$B:$B,"&lt;&gt;Lorena Dias de Araujo",$B:$B,"&lt;&gt;Lucas Luiz Romero")*(23/1083),IF(C1897="JR",SUMIFS($D:$D,$A:$A,$A1897,$B:$B,"&lt;&gt;Patrícia Karla de Sousa Araújo",$B:$B,"&lt;&gt;Lorena Dias de Araujo",$B:$B,"&lt;&gt;Lucas Luiz Romero")*(20/1083),IF(C1897="Estágio",SUMIFS($D:$D,$A:$A,$A1897,$B:$B,"&lt;&gt;Patrícia Karla de Sousa Araújo",$B:$B,"&lt;&gt;Lorena Dias de Araujo",$B:$B,"&lt;&gt;Lucas Luiz Romero")*(10/1083),0)))))),0)</f>
        <v>19</v>
      </c>
      <c r="K1897" s="3">
        <f>I1897-J1897</f>
        <v>-4</v>
      </c>
      <c r="L1897" s="3" t="str">
        <f>IF(K1897&lt;-5,"CRÍTICO",IF(K1897&lt;0,"ATENÇÃO",IF(K1897&lt;=5,"BOM","EXCELENTE")))</f>
        <v>ATENÇÃO</v>
      </c>
      <c r="M1897">
        <v>15</v>
      </c>
      <c r="N1897">
        <v>98.48</v>
      </c>
      <c r="O1897">
        <v>27.853881278538811</v>
      </c>
    </row>
    <row r="1898" spans="1:15" hidden="1" x14ac:dyDescent="0.25">
      <c r="A1898" s="11">
        <v>46059</v>
      </c>
      <c r="B1898" t="s">
        <v>40</v>
      </c>
      <c r="C1898" t="s">
        <v>32</v>
      </c>
      <c r="D1898">
        <v>3</v>
      </c>
      <c r="E1898">
        <v>3</v>
      </c>
      <c r="F1898">
        <v>18.2</v>
      </c>
      <c r="G1898">
        <v>0</v>
      </c>
      <c r="H1898">
        <v>0</v>
      </c>
      <c r="I1898" s="3">
        <f>E1898+G1898+H1898</f>
        <v>3</v>
      </c>
      <c r="J1898" s="3">
        <f>ROUND(MIN(IF(C1898="Técnico III",35,IF(C1898="Técnico II",28,IF(C1898="Técnico I",23,IF(C1898="JR",20,IF(C1898="Estágio",10,0))))),IF(C1898="Técnico III",SUMIFS($D:$D,$A:$A,$A1898,$B:$B,"&lt;&gt;Patrícia Karla de Sousa Araújo",$B:$B,"&lt;&gt;Lorena Dias de Araujo",$B:$B,"&lt;&gt;Lucas Luiz Romero")*(35/1083),IF(C1898="Técnico II",SUMIFS($D:$D,$A:$A,$A1898,$B:$B,"&lt;&gt;Patrícia Karla de Sousa Araújo",$B:$B,"&lt;&gt;Lorena Dias de Araujo",$B:$B,"&lt;&gt;Lucas Luiz Romero")*(28/1083),IF(C1898="Técnico I",SUMIFS($D:$D,$A:$A,$A1898,$B:$B,"&lt;&gt;Patrícia Karla de Sousa Araújo",$B:$B,"&lt;&gt;Lorena Dias de Araujo",$B:$B,"&lt;&gt;Lucas Luiz Romero")*(23/1083),IF(C1898="JR",SUMIFS($D:$D,$A:$A,$A1898,$B:$B,"&lt;&gt;Patrícia Karla de Sousa Araújo",$B:$B,"&lt;&gt;Lorena Dias de Araujo",$B:$B,"&lt;&gt;Lucas Luiz Romero")*(20/1083),IF(C1898="Estágio",SUMIFS($D:$D,$A:$A,$A1898,$B:$B,"&lt;&gt;Patrícia Karla de Sousa Araújo",$B:$B,"&lt;&gt;Lorena Dias de Araujo",$B:$B,"&lt;&gt;Lucas Luiz Romero")*(10/1083),0)))))),0)</f>
        <v>33</v>
      </c>
      <c r="K1898" s="3">
        <f>I1898-J1898</f>
        <v>-30</v>
      </c>
      <c r="L1898" s="3" t="str">
        <f>IF(K1898&lt;-5,"CRÍTICO",IF(K1898&lt;0,"ATENÇÃO",IF(K1898&lt;=5,"BOM","EXCELENTE")))</f>
        <v>CRÍTICO</v>
      </c>
      <c r="M1898">
        <v>27</v>
      </c>
      <c r="N1898">
        <v>95.15</v>
      </c>
      <c r="O1898">
        <v>34.131736526946113</v>
      </c>
    </row>
    <row r="1899" spans="1:15" hidden="1" x14ac:dyDescent="0.25">
      <c r="A1899" s="11">
        <v>46059</v>
      </c>
      <c r="B1899" t="s">
        <v>27</v>
      </c>
      <c r="C1899" t="s">
        <v>26</v>
      </c>
      <c r="D1899">
        <v>0</v>
      </c>
      <c r="E1899">
        <v>0</v>
      </c>
      <c r="F1899">
        <v>0</v>
      </c>
      <c r="G1899">
        <v>0</v>
      </c>
      <c r="H1899">
        <v>0</v>
      </c>
      <c r="I1899" s="3">
        <v>0</v>
      </c>
      <c r="J1899" s="3">
        <v>0</v>
      </c>
      <c r="K1899" s="3">
        <v>0</v>
      </c>
      <c r="L1899" s="3" t="str">
        <f>IF(K1899&lt;-5,"CRÍTICO",IF(K1899&lt;0,"ATENÇÃO",IF(K1899&lt;=5,"BOM","EXCELENTE")))</f>
        <v>BOM</v>
      </c>
      <c r="M1899">
        <v>0</v>
      </c>
      <c r="N1899">
        <v>0</v>
      </c>
      <c r="O1899">
        <v>0</v>
      </c>
    </row>
    <row r="1900" spans="1:15" hidden="1" x14ac:dyDescent="0.25">
      <c r="A1900" s="11">
        <v>46059</v>
      </c>
      <c r="B1900" t="s">
        <v>41</v>
      </c>
      <c r="C1900" t="s">
        <v>32</v>
      </c>
      <c r="D1900">
        <v>26</v>
      </c>
      <c r="E1900">
        <v>24</v>
      </c>
      <c r="F1900">
        <v>24.01</v>
      </c>
      <c r="G1900">
        <v>0</v>
      </c>
      <c r="H1900">
        <v>0</v>
      </c>
      <c r="I1900" s="3">
        <f>E1900+G1900+H1900</f>
        <v>24</v>
      </c>
      <c r="J1900" s="3">
        <f>ROUND(MIN(IF(C1900="Técnico III",35,IF(C1900="Técnico II",28,IF(C1900="Técnico I",23,IF(C1900="JR",20,IF(C1900="Estágio",10,0))))),IF(C1900="Técnico III",SUMIFS($D:$D,$A:$A,$A1900,$B:$B,"&lt;&gt;Patrícia Karla de Sousa Araújo",$B:$B,"&lt;&gt;Lorena Dias de Araujo",$B:$B,"&lt;&gt;Lucas Luiz Romero")*(35/1083),IF(C1900="Técnico II",SUMIFS($D:$D,$A:$A,$A1900,$B:$B,"&lt;&gt;Patrícia Karla de Sousa Araújo",$B:$B,"&lt;&gt;Lorena Dias de Araujo",$B:$B,"&lt;&gt;Lucas Luiz Romero")*(28/1083),IF(C1900="Técnico I",SUMIFS($D:$D,$A:$A,$A1900,$B:$B,"&lt;&gt;Patrícia Karla de Sousa Araújo",$B:$B,"&lt;&gt;Lorena Dias de Araujo",$B:$B,"&lt;&gt;Lucas Luiz Romero")*(23/1083),IF(C1900="JR",SUMIFS($D:$D,$A:$A,$A1900,$B:$B,"&lt;&gt;Patrícia Karla de Sousa Araújo",$B:$B,"&lt;&gt;Lorena Dias de Araujo",$B:$B,"&lt;&gt;Lucas Luiz Romero")*(20/1083),IF(C1900="Estágio",SUMIFS($D:$D,$A:$A,$A1900,$B:$B,"&lt;&gt;Patrícia Karla de Sousa Araújo",$B:$B,"&lt;&gt;Lorena Dias de Araujo",$B:$B,"&lt;&gt;Lucas Luiz Romero")*(10/1083),0)))))),0)</f>
        <v>33</v>
      </c>
      <c r="K1900" s="3">
        <f>I1900-J1900</f>
        <v>-9</v>
      </c>
      <c r="L1900" s="3" t="str">
        <f>IF(K1900&lt;-5,"CRÍTICO",IF(K1900&lt;0,"ATENÇÃO",IF(K1900&lt;=5,"BOM","EXCELENTE")))</f>
        <v>CRÍTICO</v>
      </c>
      <c r="M1900">
        <v>22</v>
      </c>
      <c r="N1900">
        <v>99.26</v>
      </c>
      <c r="O1900">
        <v>30.84832904884319</v>
      </c>
    </row>
    <row r="1901" spans="1:15" hidden="1" x14ac:dyDescent="0.25">
      <c r="A1901" s="11">
        <v>46059</v>
      </c>
      <c r="B1901" t="s">
        <v>56</v>
      </c>
      <c r="C1901" t="s">
        <v>48</v>
      </c>
      <c r="D1901">
        <v>38</v>
      </c>
      <c r="E1901">
        <v>29</v>
      </c>
      <c r="F1901">
        <v>15.05</v>
      </c>
      <c r="G1901">
        <v>0</v>
      </c>
      <c r="H1901">
        <v>0</v>
      </c>
      <c r="I1901" s="3">
        <f>E1901+G1901+H1901</f>
        <v>29</v>
      </c>
      <c r="J1901" s="3">
        <f>ROUND(MIN(IF(C1901="Técnico III",35,IF(C1901="Técnico II",28,IF(C1901="Técnico I",23,IF(C1901="JR",20,IF(C1901="Estágio",10,0))))),IF(C1901="Técnico III",SUMIFS($D:$D,$A:$A,$A1901,$B:$B,"&lt;&gt;Patrícia Karla de Sousa Araújo",$B:$B,"&lt;&gt;Lorena Dias de Araujo",$B:$B,"&lt;&gt;Lucas Luiz Romero")*(35/1083),IF(C1901="Técnico II",SUMIFS($D:$D,$A:$A,$A1901,$B:$B,"&lt;&gt;Patrícia Karla de Sousa Araújo",$B:$B,"&lt;&gt;Lorena Dias de Araujo",$B:$B,"&lt;&gt;Lucas Luiz Romero")*(28/1083),IF(C1901="Técnico I",SUMIFS($D:$D,$A:$A,$A1901,$B:$B,"&lt;&gt;Patrícia Karla de Sousa Araújo",$B:$B,"&lt;&gt;Lorena Dias de Araujo",$B:$B,"&lt;&gt;Lucas Luiz Romero")*(23/1083),IF(C1901="JR",SUMIFS($D:$D,$A:$A,$A1901,$B:$B,"&lt;&gt;Patrícia Karla de Sousa Araújo",$B:$B,"&lt;&gt;Lorena Dias de Araujo",$B:$B,"&lt;&gt;Lucas Luiz Romero")*(20/1083),IF(C1901="Estágio",SUMIFS($D:$D,$A:$A,$A1901,$B:$B,"&lt;&gt;Patrícia Karla de Sousa Araújo",$B:$B,"&lt;&gt;Lorena Dias de Araujo",$B:$B,"&lt;&gt;Lucas Luiz Romero")*(10/1083),0)))))),0)</f>
        <v>27</v>
      </c>
      <c r="K1901" s="3">
        <f>I1901-J1901</f>
        <v>2</v>
      </c>
      <c r="L1901" s="3" t="str">
        <f>IF(K1901&lt;-5,"CRÍTICO",IF(K1901&lt;0,"ATENÇÃO",IF(K1901&lt;=5,"BOM","EXCELENTE")))</f>
        <v>BOM</v>
      </c>
      <c r="M1901">
        <v>20</v>
      </c>
      <c r="N1901">
        <v>97.48</v>
      </c>
      <c r="O1901">
        <v>27.764705882352938</v>
      </c>
    </row>
    <row r="1902" spans="1:15" hidden="1" x14ac:dyDescent="0.25">
      <c r="A1902" s="11">
        <v>46059</v>
      </c>
      <c r="B1902" t="s">
        <v>57</v>
      </c>
      <c r="C1902" t="s">
        <v>48</v>
      </c>
      <c r="D1902">
        <v>41</v>
      </c>
      <c r="E1902">
        <v>38</v>
      </c>
      <c r="F1902">
        <v>15.12</v>
      </c>
      <c r="G1902">
        <v>0</v>
      </c>
      <c r="H1902">
        <v>0</v>
      </c>
      <c r="I1902" s="3">
        <v>0</v>
      </c>
      <c r="J1902" s="3">
        <v>0</v>
      </c>
      <c r="K1902" s="3">
        <v>0</v>
      </c>
      <c r="L1902" s="3" t="str">
        <f>IF(K1902&lt;-5,"CRÍTICO",IF(K1902&lt;0,"ATENÇÃO",IF(K1902&lt;=5,"BOM","EXCELENTE")))</f>
        <v>BOM</v>
      </c>
      <c r="M1902">
        <v>33</v>
      </c>
      <c r="N1902">
        <v>99.34</v>
      </c>
      <c r="O1902">
        <v>30.04291845493562</v>
      </c>
    </row>
    <row r="1903" spans="1:15" hidden="1" x14ac:dyDescent="0.25">
      <c r="A1903" s="11">
        <v>46059</v>
      </c>
      <c r="B1903" t="s">
        <v>42</v>
      </c>
      <c r="C1903" t="s">
        <v>32</v>
      </c>
      <c r="D1903">
        <v>42</v>
      </c>
      <c r="E1903">
        <v>27</v>
      </c>
      <c r="F1903">
        <v>11.53</v>
      </c>
      <c r="G1903">
        <v>0</v>
      </c>
      <c r="H1903">
        <v>0</v>
      </c>
      <c r="I1903" s="3">
        <f>E1903+G1903+H1903</f>
        <v>27</v>
      </c>
      <c r="J1903" s="3">
        <f>ROUND(MIN(IF(C1903="Técnico III",35,IF(C1903="Técnico II",28,IF(C1903="Técnico I",23,IF(C1903="JR",20,IF(C1903="Estágio",10,0))))),IF(C1903="Técnico III",SUMIFS($D:$D,$A:$A,$A1903,$B:$B,"&lt;&gt;Patrícia Karla de Sousa Araújo",$B:$B,"&lt;&gt;Lorena Dias de Araujo",$B:$B,"&lt;&gt;Lucas Luiz Romero")*(35/1083),IF(C1903="Técnico II",SUMIFS($D:$D,$A:$A,$A1903,$B:$B,"&lt;&gt;Patrícia Karla de Sousa Araújo",$B:$B,"&lt;&gt;Lorena Dias de Araujo",$B:$B,"&lt;&gt;Lucas Luiz Romero")*(28/1083),IF(C1903="Técnico I",SUMIFS($D:$D,$A:$A,$A1903,$B:$B,"&lt;&gt;Patrícia Karla de Sousa Araújo",$B:$B,"&lt;&gt;Lorena Dias de Araujo",$B:$B,"&lt;&gt;Lucas Luiz Romero")*(23/1083),IF(C1903="JR",SUMIFS($D:$D,$A:$A,$A1903,$B:$B,"&lt;&gt;Patrícia Karla de Sousa Araújo",$B:$B,"&lt;&gt;Lorena Dias de Araujo",$B:$B,"&lt;&gt;Lucas Luiz Romero")*(20/1083),IF(C1903="Estágio",SUMIFS($D:$D,$A:$A,$A1903,$B:$B,"&lt;&gt;Patrícia Karla de Sousa Araújo",$B:$B,"&lt;&gt;Lorena Dias de Araujo",$B:$B,"&lt;&gt;Lucas Luiz Romero")*(10/1083),0)))))),0)</f>
        <v>33</v>
      </c>
      <c r="K1903" s="3">
        <f>I1903-J1903</f>
        <v>-6</v>
      </c>
      <c r="L1903" s="3" t="str">
        <f>IF(K1903&lt;-5,"CRÍTICO",IF(K1903&lt;0,"ATENÇÃO",IF(K1903&lt;=5,"BOM","EXCELENTE")))</f>
        <v>CRÍTICO</v>
      </c>
      <c r="M1903">
        <v>19</v>
      </c>
      <c r="N1903">
        <v>96.3</v>
      </c>
      <c r="O1903">
        <v>24.29378531073446</v>
      </c>
    </row>
    <row r="1904" spans="1:15" hidden="1" x14ac:dyDescent="0.25">
      <c r="A1904" s="11">
        <v>46059</v>
      </c>
      <c r="B1904" t="s">
        <v>62</v>
      </c>
      <c r="C1904" t="s">
        <v>23</v>
      </c>
      <c r="D1904">
        <v>34</v>
      </c>
      <c r="E1904">
        <v>32</v>
      </c>
      <c r="F1904">
        <v>18.45</v>
      </c>
      <c r="G1904">
        <v>0</v>
      </c>
      <c r="H1904">
        <v>0</v>
      </c>
      <c r="I1904" s="3">
        <f>E1904+G1904+H1904</f>
        <v>32</v>
      </c>
      <c r="J1904" s="3">
        <f>ROUND(MIN(IF(C1904="Técnico III",35,IF(C1904="Técnico II",28,IF(C1904="Técnico I",23,IF(C1904="JR",20,IF(C1904="Estágio",10,0))))),IF(C1904="Técnico III",SUMIFS($D:$D,$A:$A,$A1904,$B:$B,"&lt;&gt;Patrícia Karla de Sousa Araújo",$B:$B,"&lt;&gt;Lorena Dias de Araujo",$B:$B,"&lt;&gt;Lucas Luiz Romero")*(35/1083),IF(C1904="Técnico II",SUMIFS($D:$D,$A:$A,$A1904,$B:$B,"&lt;&gt;Patrícia Karla de Sousa Araújo",$B:$B,"&lt;&gt;Lorena Dias de Araujo",$B:$B,"&lt;&gt;Lucas Luiz Romero")*(28/1083),IF(C1904="Técnico I",SUMIFS($D:$D,$A:$A,$A1904,$B:$B,"&lt;&gt;Patrícia Karla de Sousa Araújo",$B:$B,"&lt;&gt;Lorena Dias de Araujo",$B:$B,"&lt;&gt;Lucas Luiz Romero")*(23/1083),IF(C1904="JR",SUMIFS($D:$D,$A:$A,$A1904,$B:$B,"&lt;&gt;Patrícia Karla de Sousa Araújo",$B:$B,"&lt;&gt;Lorena Dias de Araujo",$B:$B,"&lt;&gt;Lucas Luiz Romero")*(20/1083),IF(C1904="Estágio",SUMIFS($D:$D,$A:$A,$A1904,$B:$B,"&lt;&gt;Patrícia Karla de Sousa Araújo",$B:$B,"&lt;&gt;Lorena Dias de Araujo",$B:$B,"&lt;&gt;Lucas Luiz Romero")*(10/1083),0)))))),0)</f>
        <v>22</v>
      </c>
      <c r="K1904" s="3">
        <f>I1904-J1904</f>
        <v>10</v>
      </c>
      <c r="L1904" s="3" t="str">
        <f>IF(K1904&lt;-5,"CRÍTICO",IF(K1904&lt;0,"ATENÇÃO",IF(K1904&lt;=5,"BOM","EXCELENTE")))</f>
        <v>EXCELENTE</v>
      </c>
      <c r="M1904">
        <v>32</v>
      </c>
      <c r="N1904">
        <v>100</v>
      </c>
      <c r="O1904">
        <v>26.543209876543209</v>
      </c>
    </row>
    <row r="1905" spans="1:15" hidden="1" x14ac:dyDescent="0.25">
      <c r="A1905" s="11">
        <v>46059</v>
      </c>
      <c r="B1905" t="s">
        <v>19</v>
      </c>
      <c r="C1905" t="s">
        <v>16</v>
      </c>
      <c r="D1905">
        <v>74</v>
      </c>
      <c r="E1905">
        <v>33</v>
      </c>
      <c r="F1905">
        <v>3.27</v>
      </c>
      <c r="G1905">
        <v>0</v>
      </c>
      <c r="H1905">
        <v>0</v>
      </c>
      <c r="I1905" s="3">
        <f>E1905+G1905+H1905</f>
        <v>33</v>
      </c>
      <c r="J1905" s="3">
        <f>ROUND(MIN(IF(C1905="Técnico III",35,IF(C1905="Técnico II",28,IF(C1905="Técnico I",23,IF(C1905="JR",20,IF(C1905="Estágio",10,0))))),IF(C1905="Técnico III",SUMIFS($D:$D,$A:$A,$A1905,$B:$B,"&lt;&gt;Patrícia Karla de Sousa Araújo",$B:$B,"&lt;&gt;Lorena Dias de Araujo",$B:$B,"&lt;&gt;Lucas Luiz Romero")*(35/1083),IF(C1905="Técnico II",SUMIFS($D:$D,$A:$A,$A1905,$B:$B,"&lt;&gt;Patrícia Karla de Sousa Araújo",$B:$B,"&lt;&gt;Lorena Dias de Araujo",$B:$B,"&lt;&gt;Lucas Luiz Romero")*(28/1083),IF(C1905="Técnico I",SUMIFS($D:$D,$A:$A,$A1905,$B:$B,"&lt;&gt;Patrícia Karla de Sousa Araújo",$B:$B,"&lt;&gt;Lorena Dias de Araujo",$B:$B,"&lt;&gt;Lucas Luiz Romero")*(23/1083),IF(C1905="JR",SUMIFS($D:$D,$A:$A,$A1905,$B:$B,"&lt;&gt;Patrícia Karla de Sousa Araújo",$B:$B,"&lt;&gt;Lorena Dias de Araujo",$B:$B,"&lt;&gt;Lucas Luiz Romero")*(20/1083),IF(C1905="Estágio",SUMIFS($D:$D,$A:$A,$A1905,$B:$B,"&lt;&gt;Patrícia Karla de Sousa Araújo",$B:$B,"&lt;&gt;Lorena Dias de Araujo",$B:$B,"&lt;&gt;Lucas Luiz Romero")*(10/1083),0)))))),0)</f>
        <v>10</v>
      </c>
      <c r="K1905" s="3">
        <f>I1905-J1905</f>
        <v>23</v>
      </c>
      <c r="L1905" s="3" t="str">
        <f>IF(K1905&lt;-5,"CRÍTICO",IF(K1905&lt;0,"ATENÇÃO",IF(K1905&lt;=5,"BOM","EXCELENTE")))</f>
        <v>EXCELENTE</v>
      </c>
      <c r="M1905">
        <v>0</v>
      </c>
      <c r="N1905">
        <v>100</v>
      </c>
      <c r="O1905">
        <v>35.483870967741943</v>
      </c>
    </row>
    <row r="1906" spans="1:15" hidden="1" x14ac:dyDescent="0.25">
      <c r="A1906" s="11">
        <v>46059</v>
      </c>
      <c r="B1906" t="s">
        <v>43</v>
      </c>
      <c r="C1906" t="s">
        <v>32</v>
      </c>
      <c r="D1906">
        <v>42</v>
      </c>
      <c r="E1906">
        <v>40</v>
      </c>
      <c r="F1906">
        <v>13.59</v>
      </c>
      <c r="G1906">
        <v>0</v>
      </c>
      <c r="H1906">
        <v>0</v>
      </c>
      <c r="I1906" s="3">
        <f>E1906+G1906+H1906</f>
        <v>40</v>
      </c>
      <c r="J1906" s="3">
        <f>ROUND(MIN(IF(C1906="Técnico III",35,IF(C1906="Técnico II",28,IF(C1906="Técnico I",23,IF(C1906="JR",20,IF(C1906="Estágio",10,0))))),IF(C1906="Técnico III",SUMIFS($D:$D,$A:$A,$A1906,$B:$B,"&lt;&gt;Patrícia Karla de Sousa Araújo",$B:$B,"&lt;&gt;Lorena Dias de Araujo",$B:$B,"&lt;&gt;Lucas Luiz Romero")*(35/1083),IF(C1906="Técnico II",SUMIFS($D:$D,$A:$A,$A1906,$B:$B,"&lt;&gt;Patrícia Karla de Sousa Araújo",$B:$B,"&lt;&gt;Lorena Dias de Araujo",$B:$B,"&lt;&gt;Lucas Luiz Romero")*(28/1083),IF(C1906="Técnico I",SUMIFS($D:$D,$A:$A,$A1906,$B:$B,"&lt;&gt;Patrícia Karla de Sousa Araújo",$B:$B,"&lt;&gt;Lorena Dias de Araujo",$B:$B,"&lt;&gt;Lucas Luiz Romero")*(23/1083),IF(C1906="JR",SUMIFS($D:$D,$A:$A,$A1906,$B:$B,"&lt;&gt;Patrícia Karla de Sousa Araújo",$B:$B,"&lt;&gt;Lorena Dias de Araujo",$B:$B,"&lt;&gt;Lucas Luiz Romero")*(20/1083),IF(C1906="Estágio",SUMIFS($D:$D,$A:$A,$A1906,$B:$B,"&lt;&gt;Patrícia Karla de Sousa Araújo",$B:$B,"&lt;&gt;Lorena Dias de Araujo",$B:$B,"&lt;&gt;Lucas Luiz Romero")*(10/1083),0)))))),0)</f>
        <v>33</v>
      </c>
      <c r="K1906" s="3">
        <f>I1906-J1906</f>
        <v>7</v>
      </c>
      <c r="L1906" s="3" t="str">
        <f>IF(K1906&lt;-5,"CRÍTICO",IF(K1906&lt;0,"ATENÇÃO",IF(K1906&lt;=5,"BOM","EXCELENTE")))</f>
        <v>EXCELENTE</v>
      </c>
      <c r="M1906">
        <v>38</v>
      </c>
      <c r="N1906">
        <v>99.27</v>
      </c>
      <c r="O1906">
        <v>31.163708086785011</v>
      </c>
    </row>
    <row r="1907" spans="1:15" hidden="1" x14ac:dyDescent="0.25">
      <c r="A1907" s="11">
        <v>46059</v>
      </c>
      <c r="B1907" t="s">
        <v>44</v>
      </c>
      <c r="C1907" t="s">
        <v>32</v>
      </c>
      <c r="D1907">
        <v>27</v>
      </c>
      <c r="E1907">
        <v>25</v>
      </c>
      <c r="F1907">
        <v>20.440000000000001</v>
      </c>
      <c r="G1907">
        <v>0</v>
      </c>
      <c r="H1907">
        <v>0</v>
      </c>
      <c r="I1907" s="3">
        <f>E1907+G1907+H1907</f>
        <v>25</v>
      </c>
      <c r="J1907" s="3">
        <f>ROUND(MIN(IF(C1907="Técnico III",35,IF(C1907="Técnico II",28,IF(C1907="Técnico I",23,IF(C1907="JR",20,IF(C1907="Estágio",10,0))))),IF(C1907="Técnico III",SUMIFS($D:$D,$A:$A,$A1907,$B:$B,"&lt;&gt;Patrícia Karla de Sousa Araújo",$B:$B,"&lt;&gt;Lorena Dias de Araujo",$B:$B,"&lt;&gt;Lucas Luiz Romero")*(35/1083),IF(C1907="Técnico II",SUMIFS($D:$D,$A:$A,$A1907,$B:$B,"&lt;&gt;Patrícia Karla de Sousa Araújo",$B:$B,"&lt;&gt;Lorena Dias de Araujo",$B:$B,"&lt;&gt;Lucas Luiz Romero")*(28/1083),IF(C1907="Técnico I",SUMIFS($D:$D,$A:$A,$A1907,$B:$B,"&lt;&gt;Patrícia Karla de Sousa Araújo",$B:$B,"&lt;&gt;Lorena Dias de Araujo",$B:$B,"&lt;&gt;Lucas Luiz Romero")*(23/1083),IF(C1907="JR",SUMIFS($D:$D,$A:$A,$A1907,$B:$B,"&lt;&gt;Patrícia Karla de Sousa Araújo",$B:$B,"&lt;&gt;Lorena Dias de Araujo",$B:$B,"&lt;&gt;Lucas Luiz Romero")*(20/1083),IF(C1907="Estágio",SUMIFS($D:$D,$A:$A,$A1907,$B:$B,"&lt;&gt;Patrícia Karla de Sousa Araújo",$B:$B,"&lt;&gt;Lorena Dias de Araujo",$B:$B,"&lt;&gt;Lucas Luiz Romero")*(10/1083),0)))))),0)</f>
        <v>33</v>
      </c>
      <c r="K1907" s="3">
        <f>I1907-J1907</f>
        <v>-8</v>
      </c>
      <c r="L1907" s="3" t="str">
        <f>IF(K1907&lt;-5,"CRÍTICO",IF(K1907&lt;0,"ATENÇÃO",IF(K1907&lt;=5,"BOM","EXCELENTE")))</f>
        <v>CRÍTICO</v>
      </c>
      <c r="M1907">
        <v>22</v>
      </c>
      <c r="N1907">
        <v>94.16</v>
      </c>
      <c r="O1907">
        <v>27.038626609442058</v>
      </c>
    </row>
    <row r="1908" spans="1:15" hidden="1" x14ac:dyDescent="0.25">
      <c r="A1908" s="11">
        <v>46059</v>
      </c>
      <c r="B1908" t="s">
        <v>20</v>
      </c>
      <c r="C1908" t="s">
        <v>16</v>
      </c>
      <c r="D1908">
        <v>13</v>
      </c>
      <c r="E1908">
        <v>11</v>
      </c>
      <c r="F1908">
        <v>57.38</v>
      </c>
      <c r="G1908">
        <v>0</v>
      </c>
      <c r="H1908">
        <v>0</v>
      </c>
      <c r="I1908" s="3">
        <f>E1908+G1908+H1908</f>
        <v>11</v>
      </c>
      <c r="J1908" s="3">
        <f>ROUND(MIN(IF(C1908="Técnico III",35,IF(C1908="Técnico II",28,IF(C1908="Técnico I",23,IF(C1908="JR",20,IF(C1908="Estágio",10,0))))),IF(C1908="Técnico III",SUMIFS($D:$D,$A:$A,$A1908,$B:$B,"&lt;&gt;Patrícia Karla de Sousa Araújo",$B:$B,"&lt;&gt;Lorena Dias de Araujo",$B:$B,"&lt;&gt;Lucas Luiz Romero")*(35/1083),IF(C1908="Técnico II",SUMIFS($D:$D,$A:$A,$A1908,$B:$B,"&lt;&gt;Patrícia Karla de Sousa Araújo",$B:$B,"&lt;&gt;Lorena Dias de Araujo",$B:$B,"&lt;&gt;Lucas Luiz Romero")*(28/1083),IF(C1908="Técnico I",SUMIFS($D:$D,$A:$A,$A1908,$B:$B,"&lt;&gt;Patrícia Karla de Sousa Araújo",$B:$B,"&lt;&gt;Lorena Dias de Araujo",$B:$B,"&lt;&gt;Lucas Luiz Romero")*(23/1083),IF(C1908="JR",SUMIFS($D:$D,$A:$A,$A1908,$B:$B,"&lt;&gt;Patrícia Karla de Sousa Araújo",$B:$B,"&lt;&gt;Lorena Dias de Araujo",$B:$B,"&lt;&gt;Lucas Luiz Romero")*(20/1083),IF(C1908="Estágio",SUMIFS($D:$D,$A:$A,$A1908,$B:$B,"&lt;&gt;Patrícia Karla de Sousa Araújo",$B:$B,"&lt;&gt;Lorena Dias de Araujo",$B:$B,"&lt;&gt;Lucas Luiz Romero")*(10/1083),0)))))),0)</f>
        <v>10</v>
      </c>
      <c r="K1908" s="3">
        <f>I1908-J1908</f>
        <v>1</v>
      </c>
      <c r="L1908" s="3" t="str">
        <f>IF(K1908&lt;-5,"CRÍTICO",IF(K1908&lt;0,"ATENÇÃO",IF(K1908&lt;=5,"BOM","EXCELENTE")))</f>
        <v>BOM</v>
      </c>
      <c r="M1908">
        <v>5</v>
      </c>
      <c r="N1908">
        <v>93.75</v>
      </c>
      <c r="O1908">
        <v>19.31818181818182</v>
      </c>
    </row>
    <row r="1909" spans="1:15" hidden="1" x14ac:dyDescent="0.25">
      <c r="A1909" s="11">
        <v>46059</v>
      </c>
      <c r="B1909" t="s">
        <v>28</v>
      </c>
      <c r="C1909" t="s">
        <v>26</v>
      </c>
      <c r="D1909">
        <v>0</v>
      </c>
      <c r="E1909">
        <v>0</v>
      </c>
      <c r="F1909">
        <v>0</v>
      </c>
      <c r="G1909">
        <v>0</v>
      </c>
      <c r="H1909">
        <v>0</v>
      </c>
      <c r="I1909" s="3">
        <v>0</v>
      </c>
      <c r="J1909" s="3">
        <v>0</v>
      </c>
      <c r="K1909" s="3">
        <v>0</v>
      </c>
      <c r="L1909" s="3" t="str">
        <f>IF(K1909&lt;-5,"CRÍTICO",IF(K1909&lt;0,"ATENÇÃO",IF(K1909&lt;=5,"BOM","EXCELENTE")))</f>
        <v>BOM</v>
      </c>
      <c r="M1909">
        <v>0</v>
      </c>
      <c r="N1909">
        <v>0</v>
      </c>
      <c r="O1909">
        <v>0</v>
      </c>
    </row>
    <row r="1910" spans="1:15" hidden="1" x14ac:dyDescent="0.25">
      <c r="A1910" s="11">
        <v>46059</v>
      </c>
      <c r="B1910" t="s">
        <v>58</v>
      </c>
      <c r="C1910" t="s">
        <v>48</v>
      </c>
      <c r="D1910">
        <v>0</v>
      </c>
      <c r="E1910">
        <v>0</v>
      </c>
      <c r="F1910">
        <v>0</v>
      </c>
      <c r="G1910">
        <v>0</v>
      </c>
      <c r="H1910">
        <v>0</v>
      </c>
      <c r="I1910" s="3">
        <v>0</v>
      </c>
      <c r="J1910" s="3">
        <v>0</v>
      </c>
      <c r="K1910" s="3">
        <v>0</v>
      </c>
      <c r="L1910" s="3" t="str">
        <f>IF(K1910&lt;-5,"CRÍTICO",IF(K1910&lt;0,"ATENÇÃO",IF(K1910&lt;=5,"BOM","EXCELENTE")))</f>
        <v>BOM</v>
      </c>
      <c r="M1910">
        <v>0</v>
      </c>
      <c r="N1910">
        <v>97.92</v>
      </c>
      <c r="O1910">
        <v>32.87671232876712</v>
      </c>
    </row>
    <row r="1911" spans="1:15" hidden="1" x14ac:dyDescent="0.25">
      <c r="A1911" s="11">
        <v>46059</v>
      </c>
      <c r="B1911" t="s">
        <v>29</v>
      </c>
      <c r="C1911" t="s">
        <v>26</v>
      </c>
      <c r="D1911">
        <v>0</v>
      </c>
      <c r="E1911">
        <v>0</v>
      </c>
      <c r="F1911">
        <v>0</v>
      </c>
      <c r="G1911">
        <v>0</v>
      </c>
      <c r="H1911">
        <v>0</v>
      </c>
      <c r="I1911" s="3">
        <v>0</v>
      </c>
      <c r="J1911" s="3">
        <v>0</v>
      </c>
      <c r="K1911" s="3">
        <v>0</v>
      </c>
      <c r="L1911" s="3" t="str">
        <f>IF(K1911&lt;-5,"CRÍTICO",IF(K1911&lt;0,"ATENÇÃO",IF(K1911&lt;=5,"BOM","EXCELENTE")))</f>
        <v>BOM</v>
      </c>
      <c r="M1911">
        <v>0</v>
      </c>
      <c r="N1911">
        <v>0</v>
      </c>
      <c r="O1911">
        <v>0</v>
      </c>
    </row>
    <row r="1912" spans="1:15" hidden="1" x14ac:dyDescent="0.25">
      <c r="A1912" s="11">
        <v>46059</v>
      </c>
      <c r="B1912" t="s">
        <v>30</v>
      </c>
      <c r="C1912" t="s">
        <v>26</v>
      </c>
      <c r="D1912">
        <v>0</v>
      </c>
      <c r="E1912">
        <v>0</v>
      </c>
      <c r="F1912">
        <v>0</v>
      </c>
      <c r="G1912">
        <v>0</v>
      </c>
      <c r="H1912">
        <v>0</v>
      </c>
      <c r="I1912" s="3">
        <v>0</v>
      </c>
      <c r="J1912" s="3">
        <v>0</v>
      </c>
      <c r="K1912" s="3">
        <v>0</v>
      </c>
      <c r="L1912" s="3" t="str">
        <f>IF(K1912&lt;-5,"CRÍTICO",IF(K1912&lt;0,"ATENÇÃO",IF(K1912&lt;=5,"BOM","EXCELENTE")))</f>
        <v>BOM</v>
      </c>
      <c r="M1912">
        <v>0</v>
      </c>
      <c r="N1912">
        <v>0</v>
      </c>
      <c r="O1912">
        <v>0</v>
      </c>
    </row>
    <row r="1913" spans="1:15" hidden="1" x14ac:dyDescent="0.25">
      <c r="A1913" s="11">
        <v>46059</v>
      </c>
      <c r="B1913" t="s">
        <v>21</v>
      </c>
      <c r="C1913" t="s">
        <v>16</v>
      </c>
      <c r="D1913">
        <v>0</v>
      </c>
      <c r="E1913">
        <v>0</v>
      </c>
      <c r="F1913">
        <v>0</v>
      </c>
      <c r="G1913">
        <v>0</v>
      </c>
      <c r="H1913">
        <v>0</v>
      </c>
      <c r="I1913" s="3">
        <v>0</v>
      </c>
      <c r="J1913" s="3">
        <v>0</v>
      </c>
      <c r="K1913" s="3">
        <v>0</v>
      </c>
      <c r="L1913" s="3" t="str">
        <f>IF(K1913&lt;-5,"CRÍTICO",IF(K1913&lt;0,"ATENÇÃO",IF(K1913&lt;=5,"BOM","EXCELENTE")))</f>
        <v>BOM</v>
      </c>
      <c r="M1913">
        <v>0</v>
      </c>
      <c r="N1913">
        <v>0</v>
      </c>
      <c r="O1913">
        <v>0</v>
      </c>
    </row>
    <row r="1914" spans="1:15" hidden="1" x14ac:dyDescent="0.25">
      <c r="A1914" s="11">
        <v>46059</v>
      </c>
      <c r="B1914" t="s">
        <v>63</v>
      </c>
      <c r="C1914" t="s">
        <v>23</v>
      </c>
      <c r="D1914">
        <v>15</v>
      </c>
      <c r="E1914">
        <v>13</v>
      </c>
      <c r="F1914">
        <v>48.42</v>
      </c>
      <c r="G1914">
        <v>0</v>
      </c>
      <c r="H1914">
        <v>0</v>
      </c>
      <c r="I1914" s="3">
        <f>E1914+G1914+H1914</f>
        <v>13</v>
      </c>
      <c r="J1914" s="3">
        <f>ROUND(MIN(IF(C1914="Técnico III",35,IF(C1914="Técnico II",28,IF(C1914="Técnico I",23,IF(C1914="JR",20,IF(C1914="Estágio",10,0))))),IF(C1914="Técnico III",SUMIFS($D:$D,$A:$A,$A1914,$B:$B,"&lt;&gt;Patrícia Karla de Sousa Araújo",$B:$B,"&lt;&gt;Lorena Dias de Araujo",$B:$B,"&lt;&gt;Lucas Luiz Romero")*(35/1083),IF(C1914="Técnico II",SUMIFS($D:$D,$A:$A,$A1914,$B:$B,"&lt;&gt;Patrícia Karla de Sousa Araújo",$B:$B,"&lt;&gt;Lorena Dias de Araujo",$B:$B,"&lt;&gt;Lucas Luiz Romero")*(28/1083),IF(C1914="Técnico I",SUMIFS($D:$D,$A:$A,$A1914,$B:$B,"&lt;&gt;Patrícia Karla de Sousa Araújo",$B:$B,"&lt;&gt;Lorena Dias de Araujo",$B:$B,"&lt;&gt;Lucas Luiz Romero")*(23/1083),IF(C1914="JR",SUMIFS($D:$D,$A:$A,$A1914,$B:$B,"&lt;&gt;Patrícia Karla de Sousa Araújo",$B:$B,"&lt;&gt;Lorena Dias de Araujo",$B:$B,"&lt;&gt;Lucas Luiz Romero")*(20/1083),IF(C1914="Estágio",SUMIFS($D:$D,$A:$A,$A1914,$B:$B,"&lt;&gt;Patrícia Karla de Sousa Araújo",$B:$B,"&lt;&gt;Lorena Dias de Araujo",$B:$B,"&lt;&gt;Lucas Luiz Romero")*(10/1083),0)))))),0)</f>
        <v>22</v>
      </c>
      <c r="K1914" s="3">
        <f>I1914-J1914</f>
        <v>-9</v>
      </c>
      <c r="L1914" s="3" t="str">
        <f>IF(K1914&lt;-5,"CRÍTICO",IF(K1914&lt;0,"ATENÇÃO",IF(K1914&lt;=5,"BOM","EXCELENTE")))</f>
        <v>CRÍTICO</v>
      </c>
      <c r="M1914">
        <v>12</v>
      </c>
      <c r="N1914">
        <v>98.51</v>
      </c>
      <c r="O1914">
        <v>29.710144927536231</v>
      </c>
    </row>
    <row r="1915" spans="1:15" hidden="1" x14ac:dyDescent="0.25">
      <c r="A1915" s="11">
        <v>46059</v>
      </c>
      <c r="B1915" t="s">
        <v>45</v>
      </c>
      <c r="C1915" t="s">
        <v>32</v>
      </c>
      <c r="D1915">
        <v>32</v>
      </c>
      <c r="E1915">
        <v>27</v>
      </c>
      <c r="F1915">
        <v>13.39</v>
      </c>
      <c r="G1915">
        <v>0</v>
      </c>
      <c r="H1915">
        <v>0</v>
      </c>
      <c r="I1915" s="3">
        <f>E1915+G1915+H1915</f>
        <v>27</v>
      </c>
      <c r="J1915" s="3">
        <f>ROUND(MIN(IF(C1915="Técnico III",35,IF(C1915="Técnico II",28,IF(C1915="Técnico I",23,IF(C1915="JR",20,IF(C1915="Estágio",10,0))))),IF(C1915="Técnico III",SUMIFS($D:$D,$A:$A,$A1915,$B:$B,"&lt;&gt;Patrícia Karla de Sousa Araújo",$B:$B,"&lt;&gt;Lorena Dias de Araujo",$B:$B,"&lt;&gt;Lucas Luiz Romero")*(35/1083),IF(C1915="Técnico II",SUMIFS($D:$D,$A:$A,$A1915,$B:$B,"&lt;&gt;Patrícia Karla de Sousa Araújo",$B:$B,"&lt;&gt;Lorena Dias de Araujo",$B:$B,"&lt;&gt;Lucas Luiz Romero")*(28/1083),IF(C1915="Técnico I",SUMIFS($D:$D,$A:$A,$A1915,$B:$B,"&lt;&gt;Patrícia Karla de Sousa Araújo",$B:$B,"&lt;&gt;Lorena Dias de Araujo",$B:$B,"&lt;&gt;Lucas Luiz Romero")*(23/1083),IF(C1915="JR",SUMIFS($D:$D,$A:$A,$A1915,$B:$B,"&lt;&gt;Patrícia Karla de Sousa Araújo",$B:$B,"&lt;&gt;Lorena Dias de Araujo",$B:$B,"&lt;&gt;Lucas Luiz Romero")*(20/1083),IF(C1915="Estágio",SUMIFS($D:$D,$A:$A,$A1915,$B:$B,"&lt;&gt;Patrícia Karla de Sousa Araújo",$B:$B,"&lt;&gt;Lorena Dias de Araujo",$B:$B,"&lt;&gt;Lucas Luiz Romero")*(10/1083),0)))))),0)</f>
        <v>33</v>
      </c>
      <c r="K1915" s="3">
        <f>I1915-J1915</f>
        <v>-6</v>
      </c>
      <c r="L1915" s="3" t="str">
        <f>IF(K1915&lt;-5,"CRÍTICO",IF(K1915&lt;0,"ATENÇÃO",IF(K1915&lt;=5,"BOM","EXCELENTE")))</f>
        <v>CRÍTICO</v>
      </c>
      <c r="M1915">
        <v>21</v>
      </c>
      <c r="N1915">
        <v>98.81</v>
      </c>
      <c r="O1915">
        <v>30.712979890310791</v>
      </c>
    </row>
    <row r="1916" spans="1:15" hidden="1" x14ac:dyDescent="0.25">
      <c r="A1916" s="11">
        <v>46059</v>
      </c>
      <c r="B1916" t="s">
        <v>64</v>
      </c>
      <c r="C1916" t="s">
        <v>23</v>
      </c>
      <c r="D1916">
        <v>17</v>
      </c>
      <c r="E1916">
        <v>17</v>
      </c>
      <c r="F1916">
        <v>32.31</v>
      </c>
      <c r="G1916">
        <v>0</v>
      </c>
      <c r="H1916">
        <v>0</v>
      </c>
      <c r="I1916" s="3">
        <f>E1916+G1916+H1916</f>
        <v>17</v>
      </c>
      <c r="J1916" s="3">
        <f>ROUND(MIN(IF(C1916="Técnico III",35,IF(C1916="Técnico II",28,IF(C1916="Técnico I",23,IF(C1916="JR",20,IF(C1916="Estágio",10,0))))),IF(C1916="Técnico III",SUMIFS($D:$D,$A:$A,$A1916,$B:$B,"&lt;&gt;Patrícia Karla de Sousa Araújo",$B:$B,"&lt;&gt;Lorena Dias de Araujo",$B:$B,"&lt;&gt;Lucas Luiz Romero")*(35/1083),IF(C1916="Técnico II",SUMIFS($D:$D,$A:$A,$A1916,$B:$B,"&lt;&gt;Patrícia Karla de Sousa Araújo",$B:$B,"&lt;&gt;Lorena Dias de Araujo",$B:$B,"&lt;&gt;Lucas Luiz Romero")*(28/1083),IF(C1916="Técnico I",SUMIFS($D:$D,$A:$A,$A1916,$B:$B,"&lt;&gt;Patrícia Karla de Sousa Araújo",$B:$B,"&lt;&gt;Lorena Dias de Araujo",$B:$B,"&lt;&gt;Lucas Luiz Romero")*(23/1083),IF(C1916="JR",SUMIFS($D:$D,$A:$A,$A1916,$B:$B,"&lt;&gt;Patrícia Karla de Sousa Araújo",$B:$B,"&lt;&gt;Lorena Dias de Araujo",$B:$B,"&lt;&gt;Lucas Luiz Romero")*(20/1083),IF(C1916="Estágio",SUMIFS($D:$D,$A:$A,$A1916,$B:$B,"&lt;&gt;Patrícia Karla de Sousa Araújo",$B:$B,"&lt;&gt;Lorena Dias de Araujo",$B:$B,"&lt;&gt;Lucas Luiz Romero")*(10/1083),0)))))),0)</f>
        <v>22</v>
      </c>
      <c r="K1916" s="3">
        <f>I1916-J1916</f>
        <v>-5</v>
      </c>
      <c r="L1916" s="3" t="str">
        <f>IF(K1916&lt;-5,"CRÍTICO",IF(K1916&lt;0,"ATENÇÃO",IF(K1916&lt;=5,"BOM","EXCELENTE")))</f>
        <v>ATENÇÃO</v>
      </c>
      <c r="M1916">
        <v>15</v>
      </c>
      <c r="N1916">
        <v>98.48</v>
      </c>
      <c r="O1916">
        <v>29.35323383084577</v>
      </c>
    </row>
    <row r="1917" spans="1:15" hidden="1" x14ac:dyDescent="0.25">
      <c r="A1917" s="11">
        <v>46059</v>
      </c>
      <c r="B1917" t="s">
        <v>46</v>
      </c>
      <c r="C1917" t="s">
        <v>32</v>
      </c>
      <c r="D1917">
        <v>40</v>
      </c>
      <c r="E1917">
        <v>40</v>
      </c>
      <c r="F1917">
        <v>13.29</v>
      </c>
      <c r="G1917">
        <v>0</v>
      </c>
      <c r="H1917">
        <v>0</v>
      </c>
      <c r="I1917" s="3">
        <f>E1917+G1917+H1917</f>
        <v>40</v>
      </c>
      <c r="J1917" s="3">
        <f>ROUND(MIN(IF(C1917="Técnico III",35,IF(C1917="Técnico II",28,IF(C1917="Técnico I",23,IF(C1917="JR",20,IF(C1917="Estágio",10,0))))),IF(C1917="Técnico III",SUMIFS($D:$D,$A:$A,$A1917,$B:$B,"&lt;&gt;Patrícia Karla de Sousa Araújo",$B:$B,"&lt;&gt;Lorena Dias de Araujo",$B:$B,"&lt;&gt;Lucas Luiz Romero")*(35/1083),IF(C1917="Técnico II",SUMIFS($D:$D,$A:$A,$A1917,$B:$B,"&lt;&gt;Patrícia Karla de Sousa Araújo",$B:$B,"&lt;&gt;Lorena Dias de Araujo",$B:$B,"&lt;&gt;Lucas Luiz Romero")*(28/1083),IF(C1917="Técnico I",SUMIFS($D:$D,$A:$A,$A1917,$B:$B,"&lt;&gt;Patrícia Karla de Sousa Araújo",$B:$B,"&lt;&gt;Lorena Dias de Araujo",$B:$B,"&lt;&gt;Lucas Luiz Romero")*(23/1083),IF(C1917="JR",SUMIFS($D:$D,$A:$A,$A1917,$B:$B,"&lt;&gt;Patrícia Karla de Sousa Araújo",$B:$B,"&lt;&gt;Lorena Dias de Araujo",$B:$B,"&lt;&gt;Lucas Luiz Romero")*(20/1083),IF(C1917="Estágio",SUMIFS($D:$D,$A:$A,$A1917,$B:$B,"&lt;&gt;Patrícia Karla de Sousa Araújo",$B:$B,"&lt;&gt;Lorena Dias de Araujo",$B:$B,"&lt;&gt;Lucas Luiz Romero")*(10/1083),0)))))),0)</f>
        <v>33</v>
      </c>
      <c r="K1917" s="3">
        <f>I1917-J1917</f>
        <v>7</v>
      </c>
      <c r="L1917" s="3" t="str">
        <f>IF(K1917&lt;-5,"CRÍTICO",IF(K1917&lt;0,"ATENÇÃO",IF(K1917&lt;=5,"BOM","EXCELENTE")))</f>
        <v>EXCELENTE</v>
      </c>
      <c r="M1917">
        <v>37</v>
      </c>
      <c r="N1917">
        <v>98.56</v>
      </c>
      <c r="O1917">
        <v>29.373650107991359</v>
      </c>
    </row>
    <row r="1918" spans="1:15" hidden="1" x14ac:dyDescent="0.25">
      <c r="A1918" s="11">
        <v>46062</v>
      </c>
      <c r="B1918" t="s">
        <v>47</v>
      </c>
      <c r="C1918" t="s">
        <v>48</v>
      </c>
      <c r="D1918">
        <v>31</v>
      </c>
      <c r="E1918">
        <v>28</v>
      </c>
      <c r="F1918">
        <v>13.22</v>
      </c>
      <c r="G1918">
        <v>0</v>
      </c>
      <c r="H1918">
        <v>0</v>
      </c>
      <c r="I1918" s="3">
        <f>E1918+G1918+H1918</f>
        <v>28</v>
      </c>
      <c r="J1918" s="3">
        <f>ROUND(MIN(IF(C1918="Técnico III",35,IF(C1918="Técnico II",28,IF(C1918="Técnico I",23,IF(C1918="JR",20,IF(C1918="Estágio",10,0))))),IF(C1918="Técnico III",SUMIFS($D:$D,$A:$A,$A1918,$B:$B,"&lt;&gt;Patrícia Karla de Sousa Araújo",$B:$B,"&lt;&gt;Lorena Dias de Araujo",$B:$B,"&lt;&gt;Lucas Luiz Romero")*(35/1083),IF(C1918="Técnico II",SUMIFS($D:$D,$A:$A,$A1918,$B:$B,"&lt;&gt;Patrícia Karla de Sousa Araújo",$B:$B,"&lt;&gt;Lorena Dias de Araujo",$B:$B,"&lt;&gt;Lucas Luiz Romero")*(28/1083),IF(C1918="Técnico I",SUMIFS($D:$D,$A:$A,$A1918,$B:$B,"&lt;&gt;Patrícia Karla de Sousa Araújo",$B:$B,"&lt;&gt;Lorena Dias de Araujo",$B:$B,"&lt;&gt;Lucas Luiz Romero")*(23/1083),IF(C1918="JR",SUMIFS($D:$D,$A:$A,$A1918,$B:$B,"&lt;&gt;Patrícia Karla de Sousa Araújo",$B:$B,"&lt;&gt;Lorena Dias de Araujo",$B:$B,"&lt;&gt;Lucas Luiz Romero")*(20/1083),IF(C1918="Estágio",SUMIFS($D:$D,$A:$A,$A1918,$B:$B,"&lt;&gt;Patrícia Karla de Sousa Araújo",$B:$B,"&lt;&gt;Lorena Dias de Araujo",$B:$B,"&lt;&gt;Lucas Luiz Romero")*(10/1083),0)))))),0)</f>
        <v>22</v>
      </c>
      <c r="K1918" s="3">
        <f>I1918-J1918</f>
        <v>6</v>
      </c>
      <c r="L1918" s="3" t="str">
        <f>IF(K1918&lt;-5,"CRÍTICO",IF(K1918&lt;0,"ATENÇÃO",IF(K1918&lt;=5,"BOM","EXCELENTE")))</f>
        <v>EXCELENTE</v>
      </c>
      <c r="M1918">
        <v>26</v>
      </c>
      <c r="N1918">
        <v>98.32</v>
      </c>
      <c r="O1918">
        <v>30.303030303030301</v>
      </c>
    </row>
    <row r="1919" spans="1:15" hidden="1" x14ac:dyDescent="0.25">
      <c r="A1919" s="11">
        <v>46062</v>
      </c>
      <c r="B1919" t="s">
        <v>31</v>
      </c>
      <c r="C1919" t="s">
        <v>32</v>
      </c>
      <c r="D1919">
        <v>0</v>
      </c>
      <c r="E1919">
        <v>0</v>
      </c>
      <c r="F1919">
        <v>0</v>
      </c>
      <c r="G1919">
        <v>0</v>
      </c>
      <c r="H1919">
        <v>0</v>
      </c>
      <c r="I1919" s="3">
        <v>0</v>
      </c>
      <c r="J1919" s="3">
        <v>0</v>
      </c>
      <c r="K1919" s="3">
        <v>0</v>
      </c>
      <c r="L1919" s="3" t="str">
        <f>IF(K1919&lt;-5,"CRÍTICO",IF(K1919&lt;0,"ATENÇÃO",IF(K1919&lt;=5,"BOM","EXCELENTE")))</f>
        <v>BOM</v>
      </c>
      <c r="M1919">
        <v>29</v>
      </c>
      <c r="N1919">
        <v>98.68</v>
      </c>
      <c r="O1919">
        <v>26.219512195121951</v>
      </c>
    </row>
    <row r="1920" spans="1:15" hidden="1" x14ac:dyDescent="0.25">
      <c r="A1920" s="11">
        <v>46062</v>
      </c>
      <c r="B1920" t="s">
        <v>59</v>
      </c>
      <c r="C1920" t="s">
        <v>23</v>
      </c>
      <c r="D1920">
        <v>32</v>
      </c>
      <c r="E1920">
        <v>29</v>
      </c>
      <c r="F1920">
        <v>20.190000000000001</v>
      </c>
      <c r="G1920">
        <v>0</v>
      </c>
      <c r="H1920">
        <v>0</v>
      </c>
      <c r="I1920" s="3">
        <f>E1920+G1920+H1920</f>
        <v>29</v>
      </c>
      <c r="J1920" s="3">
        <f>ROUND(MIN(IF(C1920="Técnico III",35,IF(C1920="Técnico II",28,IF(C1920="Técnico I",23,IF(C1920="JR",20,IF(C1920="Estágio",10,0))))),IF(C1920="Técnico III",SUMIFS($D:$D,$A:$A,$A1920,$B:$B,"&lt;&gt;Patrícia Karla de Sousa Araújo",$B:$B,"&lt;&gt;Lorena Dias de Araujo",$B:$B,"&lt;&gt;Lucas Luiz Romero")*(35/1083),IF(C1920="Técnico II",SUMIFS($D:$D,$A:$A,$A1920,$B:$B,"&lt;&gt;Patrícia Karla de Sousa Araújo",$B:$B,"&lt;&gt;Lorena Dias de Araujo",$B:$B,"&lt;&gt;Lucas Luiz Romero")*(28/1083),IF(C1920="Técnico I",SUMIFS($D:$D,$A:$A,$A1920,$B:$B,"&lt;&gt;Patrícia Karla de Sousa Araújo",$B:$B,"&lt;&gt;Lorena Dias de Araujo",$B:$B,"&lt;&gt;Lucas Luiz Romero")*(23/1083),IF(C1920="JR",SUMIFS($D:$D,$A:$A,$A1920,$B:$B,"&lt;&gt;Patrícia Karla de Sousa Araújo",$B:$B,"&lt;&gt;Lorena Dias de Araujo",$B:$B,"&lt;&gt;Lucas Luiz Romero")*(20/1083),IF(C1920="Estágio",SUMIFS($D:$D,$A:$A,$A1920,$B:$B,"&lt;&gt;Patrícia Karla de Sousa Araújo",$B:$B,"&lt;&gt;Lorena Dias de Araujo",$B:$B,"&lt;&gt;Lucas Luiz Romero")*(10/1083),0)))))),0)</f>
        <v>18</v>
      </c>
      <c r="K1920" s="3">
        <f>I1920-J1920</f>
        <v>11</v>
      </c>
      <c r="L1920" s="3" t="str">
        <f>IF(K1920&lt;-5,"CRÍTICO",IF(K1920&lt;0,"ATENÇÃO",IF(K1920&lt;=5,"BOM","EXCELENTE")))</f>
        <v>EXCELENTE</v>
      </c>
      <c r="M1920">
        <v>30</v>
      </c>
      <c r="N1920">
        <v>100</v>
      </c>
      <c r="O1920">
        <v>31.74224343675418</v>
      </c>
    </row>
    <row r="1921" spans="1:15" hidden="1" x14ac:dyDescent="0.25">
      <c r="A1921" s="11">
        <v>46062</v>
      </c>
      <c r="B1921" t="s">
        <v>33</v>
      </c>
      <c r="C1921" t="s">
        <v>32</v>
      </c>
      <c r="D1921">
        <v>25</v>
      </c>
      <c r="E1921">
        <v>23</v>
      </c>
      <c r="F1921">
        <v>19.03</v>
      </c>
      <c r="G1921">
        <v>0</v>
      </c>
      <c r="H1921">
        <v>0</v>
      </c>
      <c r="I1921" s="3">
        <f>E1921+G1921+H1921</f>
        <v>23</v>
      </c>
      <c r="J1921" s="3">
        <f>ROUND(MIN(IF(C1921="Técnico III",35,IF(C1921="Técnico II",28,IF(C1921="Técnico I",23,IF(C1921="JR",20,IF(C1921="Estágio",10,0))))),IF(C1921="Técnico III",SUMIFS($D:$D,$A:$A,$A1921,$B:$B,"&lt;&gt;Patrícia Karla de Sousa Araújo",$B:$B,"&lt;&gt;Lorena Dias de Araujo",$B:$B,"&lt;&gt;Lucas Luiz Romero")*(35/1083),IF(C1921="Técnico II",SUMIFS($D:$D,$A:$A,$A1921,$B:$B,"&lt;&gt;Patrícia Karla de Sousa Araújo",$B:$B,"&lt;&gt;Lorena Dias de Araujo",$B:$B,"&lt;&gt;Lucas Luiz Romero")*(28/1083),IF(C1921="Técnico I",SUMIFS($D:$D,$A:$A,$A1921,$B:$B,"&lt;&gt;Patrícia Karla de Sousa Araújo",$B:$B,"&lt;&gt;Lorena Dias de Araujo",$B:$B,"&lt;&gt;Lucas Luiz Romero")*(23/1083),IF(C1921="JR",SUMIFS($D:$D,$A:$A,$A1921,$B:$B,"&lt;&gt;Patrícia Karla de Sousa Araújo",$B:$B,"&lt;&gt;Lorena Dias de Araujo",$B:$B,"&lt;&gt;Lucas Luiz Romero")*(20/1083),IF(C1921="Estágio",SUMIFS($D:$D,$A:$A,$A1921,$B:$B,"&lt;&gt;Patrícia Karla de Sousa Araújo",$B:$B,"&lt;&gt;Lorena Dias de Araujo",$B:$B,"&lt;&gt;Lucas Luiz Romero")*(10/1083),0)))))),0)</f>
        <v>27</v>
      </c>
      <c r="K1921" s="3">
        <f>I1921-J1921</f>
        <v>-4</v>
      </c>
      <c r="L1921" s="3" t="str">
        <f>IF(K1921&lt;-5,"CRÍTICO",IF(K1921&lt;0,"ATENÇÃO",IF(K1921&lt;=5,"BOM","EXCELENTE")))</f>
        <v>ATENÇÃO</v>
      </c>
      <c r="M1921">
        <v>24</v>
      </c>
      <c r="N1921">
        <v>98.25</v>
      </c>
      <c r="O1921">
        <v>25.83518930957684</v>
      </c>
    </row>
    <row r="1922" spans="1:15" hidden="1" x14ac:dyDescent="0.25">
      <c r="A1922" s="11">
        <v>46062</v>
      </c>
      <c r="B1922" t="s">
        <v>15</v>
      </c>
      <c r="C1922" t="s">
        <v>16</v>
      </c>
      <c r="D1922">
        <v>9</v>
      </c>
      <c r="E1922">
        <v>9</v>
      </c>
      <c r="F1922">
        <v>38.29</v>
      </c>
      <c r="G1922">
        <v>0</v>
      </c>
      <c r="H1922">
        <v>0</v>
      </c>
      <c r="I1922" s="3">
        <f>E1922+G1922+H1922</f>
        <v>9</v>
      </c>
      <c r="J1922" s="3">
        <f>ROUND(MIN(IF(C1922="Técnico III",35,IF(C1922="Técnico II",28,IF(C1922="Técnico I",23,IF(C1922="JR",20,IF(C1922="Estágio",10,0))))),IF(C1922="Técnico III",SUMIFS($D:$D,$A:$A,$A1922,$B:$B,"&lt;&gt;Patrícia Karla de Sousa Araújo",$B:$B,"&lt;&gt;Lorena Dias de Araujo",$B:$B,"&lt;&gt;Lucas Luiz Romero")*(35/1083),IF(C1922="Técnico II",SUMIFS($D:$D,$A:$A,$A1922,$B:$B,"&lt;&gt;Patrícia Karla de Sousa Araújo",$B:$B,"&lt;&gt;Lorena Dias de Araujo",$B:$B,"&lt;&gt;Lucas Luiz Romero")*(28/1083),IF(C1922="Técnico I",SUMIFS($D:$D,$A:$A,$A1922,$B:$B,"&lt;&gt;Patrícia Karla de Sousa Araújo",$B:$B,"&lt;&gt;Lorena Dias de Araujo",$B:$B,"&lt;&gt;Lucas Luiz Romero")*(23/1083),IF(C1922="JR",SUMIFS($D:$D,$A:$A,$A1922,$B:$B,"&lt;&gt;Patrícia Karla de Sousa Araújo",$B:$B,"&lt;&gt;Lorena Dias de Araujo",$B:$B,"&lt;&gt;Lucas Luiz Romero")*(20/1083),IF(C1922="Estágio",SUMIFS($D:$D,$A:$A,$A1922,$B:$B,"&lt;&gt;Patrícia Karla de Sousa Araújo",$B:$B,"&lt;&gt;Lorena Dias de Araujo",$B:$B,"&lt;&gt;Lucas Luiz Romero")*(10/1083),0)))))),0)</f>
        <v>8</v>
      </c>
      <c r="K1922" s="3">
        <f>I1922-J1922</f>
        <v>1</v>
      </c>
      <c r="L1922" s="3" t="str">
        <f>IF(K1922&lt;-5,"CRÍTICO",IF(K1922&lt;0,"ATENÇÃO",IF(K1922&lt;=5,"BOM","EXCELENTE")))</f>
        <v>BOM</v>
      </c>
      <c r="M1922">
        <v>5</v>
      </c>
      <c r="N1922">
        <v>97.5</v>
      </c>
      <c r="O1922">
        <v>30.075187969924809</v>
      </c>
    </row>
    <row r="1923" spans="1:15" hidden="1" x14ac:dyDescent="0.25">
      <c r="A1923" s="11">
        <v>46062</v>
      </c>
      <c r="B1923" t="s">
        <v>49</v>
      </c>
      <c r="C1923" t="s">
        <v>48</v>
      </c>
      <c r="D1923">
        <v>26</v>
      </c>
      <c r="E1923">
        <v>24</v>
      </c>
      <c r="F1923">
        <v>17.3</v>
      </c>
      <c r="G1923">
        <v>0</v>
      </c>
      <c r="H1923">
        <v>0</v>
      </c>
      <c r="I1923" s="3">
        <f>E1923+G1923+H1923</f>
        <v>24</v>
      </c>
      <c r="J1923" s="3">
        <f>ROUND(MIN(IF(C1923="Técnico III",35,IF(C1923="Técnico II",28,IF(C1923="Técnico I",23,IF(C1923="JR",20,IF(C1923="Estágio",10,0))))),IF(C1923="Técnico III",SUMIFS($D:$D,$A:$A,$A1923,$B:$B,"&lt;&gt;Patrícia Karla de Sousa Araújo",$B:$B,"&lt;&gt;Lorena Dias de Araujo",$B:$B,"&lt;&gt;Lucas Luiz Romero")*(35/1083),IF(C1923="Técnico II",SUMIFS($D:$D,$A:$A,$A1923,$B:$B,"&lt;&gt;Patrícia Karla de Sousa Araújo",$B:$B,"&lt;&gt;Lorena Dias de Araujo",$B:$B,"&lt;&gt;Lucas Luiz Romero")*(28/1083),IF(C1923="Técnico I",SUMIFS($D:$D,$A:$A,$A1923,$B:$B,"&lt;&gt;Patrícia Karla de Sousa Araújo",$B:$B,"&lt;&gt;Lorena Dias de Araujo",$B:$B,"&lt;&gt;Lucas Luiz Romero")*(23/1083),IF(C1923="JR",SUMIFS($D:$D,$A:$A,$A1923,$B:$B,"&lt;&gt;Patrícia Karla de Sousa Araújo",$B:$B,"&lt;&gt;Lorena Dias de Araujo",$B:$B,"&lt;&gt;Lucas Luiz Romero")*(20/1083),IF(C1923="Estágio",SUMIFS($D:$D,$A:$A,$A1923,$B:$B,"&lt;&gt;Patrícia Karla de Sousa Araújo",$B:$B,"&lt;&gt;Lorena Dias de Araujo",$B:$B,"&lt;&gt;Lucas Luiz Romero")*(10/1083),0)))))),0)</f>
        <v>22</v>
      </c>
      <c r="K1923" s="3">
        <f>I1923-J1923</f>
        <v>2</v>
      </c>
      <c r="L1923" s="3" t="str">
        <f>IF(K1923&lt;-5,"CRÍTICO",IF(K1923&lt;0,"ATENÇÃO",IF(K1923&lt;=5,"BOM","EXCELENTE")))</f>
        <v>BOM</v>
      </c>
      <c r="M1923">
        <v>26</v>
      </c>
      <c r="N1923">
        <v>100</v>
      </c>
      <c r="O1923">
        <v>29.71311475409836</v>
      </c>
    </row>
    <row r="1924" spans="1:15" hidden="1" x14ac:dyDescent="0.25">
      <c r="A1924" s="11">
        <v>46062</v>
      </c>
      <c r="B1924" t="s">
        <v>50</v>
      </c>
      <c r="C1924" t="s">
        <v>48</v>
      </c>
      <c r="D1924">
        <v>21</v>
      </c>
      <c r="E1924">
        <v>21</v>
      </c>
      <c r="F1924">
        <v>37.299999999999997</v>
      </c>
      <c r="G1924">
        <v>0</v>
      </c>
      <c r="H1924">
        <v>0</v>
      </c>
      <c r="I1924" s="3">
        <f>E1924+G1924+H1924</f>
        <v>21</v>
      </c>
      <c r="J1924" s="3">
        <f>ROUND(MIN(IF(C1924="Técnico III",35,IF(C1924="Técnico II",28,IF(C1924="Técnico I",23,IF(C1924="JR",20,IF(C1924="Estágio",10,0))))),IF(C1924="Técnico III",SUMIFS($D:$D,$A:$A,$A1924,$B:$B,"&lt;&gt;Patrícia Karla de Sousa Araújo",$B:$B,"&lt;&gt;Lorena Dias de Araujo",$B:$B,"&lt;&gt;Lucas Luiz Romero")*(35/1083),IF(C1924="Técnico II",SUMIFS($D:$D,$A:$A,$A1924,$B:$B,"&lt;&gt;Patrícia Karla de Sousa Araújo",$B:$B,"&lt;&gt;Lorena Dias de Araujo",$B:$B,"&lt;&gt;Lucas Luiz Romero")*(28/1083),IF(C1924="Técnico I",SUMIFS($D:$D,$A:$A,$A1924,$B:$B,"&lt;&gt;Patrícia Karla de Sousa Araújo",$B:$B,"&lt;&gt;Lorena Dias de Araujo",$B:$B,"&lt;&gt;Lucas Luiz Romero")*(23/1083),IF(C1924="JR",SUMIFS($D:$D,$A:$A,$A1924,$B:$B,"&lt;&gt;Patrícia Karla de Sousa Araújo",$B:$B,"&lt;&gt;Lorena Dias de Araujo",$B:$B,"&lt;&gt;Lucas Luiz Romero")*(20/1083),IF(C1924="Estágio",SUMIFS($D:$D,$A:$A,$A1924,$B:$B,"&lt;&gt;Patrícia Karla de Sousa Araújo",$B:$B,"&lt;&gt;Lorena Dias de Araujo",$B:$B,"&lt;&gt;Lucas Luiz Romero")*(10/1083),0)))))),0)</f>
        <v>22</v>
      </c>
      <c r="K1924" s="3">
        <f>I1924-J1924</f>
        <v>-1</v>
      </c>
      <c r="L1924" s="3" t="str">
        <f>IF(K1924&lt;-5,"CRÍTICO",IF(K1924&lt;0,"ATENÇÃO",IF(K1924&lt;=5,"BOM","EXCELENTE")))</f>
        <v>ATENÇÃO</v>
      </c>
      <c r="M1924">
        <v>22</v>
      </c>
      <c r="N1924">
        <v>99.22</v>
      </c>
      <c r="O1924">
        <v>35.256410256410263</v>
      </c>
    </row>
    <row r="1925" spans="1:15" hidden="1" x14ac:dyDescent="0.25">
      <c r="A1925" s="11">
        <v>46062</v>
      </c>
      <c r="B1925" t="s">
        <v>17</v>
      </c>
      <c r="C1925" t="s">
        <v>16</v>
      </c>
      <c r="D1925">
        <v>0</v>
      </c>
      <c r="E1925">
        <v>0</v>
      </c>
      <c r="F1925">
        <v>0</v>
      </c>
      <c r="G1925">
        <v>0</v>
      </c>
      <c r="H1925">
        <v>0</v>
      </c>
      <c r="I1925" s="3">
        <v>0</v>
      </c>
      <c r="J1925" s="3">
        <v>0</v>
      </c>
      <c r="K1925" s="3">
        <v>0</v>
      </c>
      <c r="L1925" s="3" t="str">
        <f>IF(K1925&lt;-5,"CRÍTICO",IF(K1925&lt;0,"ATENÇÃO",IF(K1925&lt;=5,"BOM","EXCELENTE")))</f>
        <v>BOM</v>
      </c>
      <c r="M1925">
        <v>0</v>
      </c>
      <c r="N1925">
        <v>0</v>
      </c>
      <c r="O1925">
        <v>0</v>
      </c>
    </row>
    <row r="1926" spans="1:15" hidden="1" x14ac:dyDescent="0.25">
      <c r="A1926" s="11">
        <v>46062</v>
      </c>
      <c r="B1926" t="s">
        <v>60</v>
      </c>
      <c r="C1926" t="s">
        <v>23</v>
      </c>
      <c r="D1926">
        <v>19</v>
      </c>
      <c r="E1926">
        <v>17</v>
      </c>
      <c r="F1926">
        <v>25.31</v>
      </c>
      <c r="G1926">
        <v>0</v>
      </c>
      <c r="H1926">
        <v>0</v>
      </c>
      <c r="I1926" s="3">
        <f>E1926+G1926+H1926</f>
        <v>17</v>
      </c>
      <c r="J1926" s="3">
        <f>ROUND(MIN(IF(C1926="Técnico III",35,IF(C1926="Técnico II",28,IF(C1926="Técnico I",23,IF(C1926="JR",20,IF(C1926="Estágio",10,0))))),IF(C1926="Técnico III",SUMIFS($D:$D,$A:$A,$A1926,$B:$B,"&lt;&gt;Patrícia Karla de Sousa Araújo",$B:$B,"&lt;&gt;Lorena Dias de Araujo",$B:$B,"&lt;&gt;Lucas Luiz Romero")*(35/1083),IF(C1926="Técnico II",SUMIFS($D:$D,$A:$A,$A1926,$B:$B,"&lt;&gt;Patrícia Karla de Sousa Araújo",$B:$B,"&lt;&gt;Lorena Dias de Araujo",$B:$B,"&lt;&gt;Lucas Luiz Romero")*(28/1083),IF(C1926="Técnico I",SUMIFS($D:$D,$A:$A,$A1926,$B:$B,"&lt;&gt;Patrícia Karla de Sousa Araújo",$B:$B,"&lt;&gt;Lorena Dias de Araujo",$B:$B,"&lt;&gt;Lucas Luiz Romero")*(23/1083),IF(C1926="JR",SUMIFS($D:$D,$A:$A,$A1926,$B:$B,"&lt;&gt;Patrícia Karla de Sousa Araújo",$B:$B,"&lt;&gt;Lorena Dias de Araujo",$B:$B,"&lt;&gt;Lucas Luiz Romero")*(20/1083),IF(C1926="Estágio",SUMIFS($D:$D,$A:$A,$A1926,$B:$B,"&lt;&gt;Patrícia Karla de Sousa Araújo",$B:$B,"&lt;&gt;Lorena Dias de Araujo",$B:$B,"&lt;&gt;Lucas Luiz Romero")*(10/1083),0)))))),0)</f>
        <v>18</v>
      </c>
      <c r="K1926" s="3">
        <f>I1926-J1926</f>
        <v>-1</v>
      </c>
      <c r="L1926" s="3" t="str">
        <f>IF(K1926&lt;-5,"CRÍTICO",IF(K1926&lt;0,"ATENÇÃO",IF(K1926&lt;=5,"BOM","EXCELENTE")))</f>
        <v>ATENÇÃO</v>
      </c>
      <c r="M1926">
        <v>19</v>
      </c>
      <c r="N1926">
        <v>98.75</v>
      </c>
      <c r="O1926">
        <v>24.32432432432433</v>
      </c>
    </row>
    <row r="1927" spans="1:15" hidden="1" x14ac:dyDescent="0.25">
      <c r="A1927" s="11">
        <v>46062</v>
      </c>
      <c r="B1927" t="s">
        <v>34</v>
      </c>
      <c r="C1927" t="s">
        <v>32</v>
      </c>
      <c r="D1927">
        <v>41</v>
      </c>
      <c r="E1927">
        <v>37</v>
      </c>
      <c r="F1927">
        <v>12.18</v>
      </c>
      <c r="G1927">
        <v>0</v>
      </c>
      <c r="H1927">
        <v>0</v>
      </c>
      <c r="I1927" s="3">
        <f>E1927+G1927+H1927</f>
        <v>37</v>
      </c>
      <c r="J1927" s="3">
        <f>ROUND(MIN(IF(C1927="Técnico III",35,IF(C1927="Técnico II",28,IF(C1927="Técnico I",23,IF(C1927="JR",20,IF(C1927="Estágio",10,0))))),IF(C1927="Técnico III",SUMIFS($D:$D,$A:$A,$A1927,$B:$B,"&lt;&gt;Patrícia Karla de Sousa Araújo",$B:$B,"&lt;&gt;Lorena Dias de Araujo",$B:$B,"&lt;&gt;Lucas Luiz Romero")*(35/1083),IF(C1927="Técnico II",SUMIFS($D:$D,$A:$A,$A1927,$B:$B,"&lt;&gt;Patrícia Karla de Sousa Araújo",$B:$B,"&lt;&gt;Lorena Dias de Araujo",$B:$B,"&lt;&gt;Lucas Luiz Romero")*(28/1083),IF(C1927="Técnico I",SUMIFS($D:$D,$A:$A,$A1927,$B:$B,"&lt;&gt;Patrícia Karla de Sousa Araújo",$B:$B,"&lt;&gt;Lorena Dias de Araujo",$B:$B,"&lt;&gt;Lucas Luiz Romero")*(23/1083),IF(C1927="JR",SUMIFS($D:$D,$A:$A,$A1927,$B:$B,"&lt;&gt;Patrícia Karla de Sousa Araújo",$B:$B,"&lt;&gt;Lorena Dias de Araujo",$B:$B,"&lt;&gt;Lucas Luiz Romero")*(20/1083),IF(C1927="Estágio",SUMIFS($D:$D,$A:$A,$A1927,$B:$B,"&lt;&gt;Patrícia Karla de Sousa Araújo",$B:$B,"&lt;&gt;Lorena Dias de Araujo",$B:$B,"&lt;&gt;Lucas Luiz Romero")*(10/1083),0)))))),0)</f>
        <v>27</v>
      </c>
      <c r="K1927" s="3">
        <f>I1927-J1927</f>
        <v>10</v>
      </c>
      <c r="L1927" s="3" t="str">
        <f>IF(K1927&lt;-5,"CRÍTICO",IF(K1927&lt;0,"ATENÇÃO",IF(K1927&lt;=5,"BOM","EXCELENTE")))</f>
        <v>EXCELENTE</v>
      </c>
      <c r="M1927">
        <v>35</v>
      </c>
      <c r="N1927">
        <v>93.48</v>
      </c>
      <c r="O1927">
        <v>31.52804642166344</v>
      </c>
    </row>
    <row r="1928" spans="1:15" hidden="1" x14ac:dyDescent="0.25">
      <c r="A1928" s="11">
        <v>46062</v>
      </c>
      <c r="B1928" t="s">
        <v>51</v>
      </c>
      <c r="C1928" t="s">
        <v>48</v>
      </c>
      <c r="D1928">
        <v>0</v>
      </c>
      <c r="E1928">
        <v>0</v>
      </c>
      <c r="F1928">
        <v>0</v>
      </c>
      <c r="G1928">
        <v>0</v>
      </c>
      <c r="H1928">
        <v>0</v>
      </c>
      <c r="I1928" s="3">
        <v>0</v>
      </c>
      <c r="J1928" s="3">
        <v>0</v>
      </c>
      <c r="K1928" s="3">
        <v>0</v>
      </c>
      <c r="L1928" s="3" t="str">
        <f>IF(K1928&lt;-5,"CRÍTICO",IF(K1928&lt;0,"ATENÇÃO",IF(K1928&lt;=5,"BOM","EXCELENTE")))</f>
        <v>BOM</v>
      </c>
      <c r="M1928">
        <v>1</v>
      </c>
      <c r="N1928">
        <v>99.16</v>
      </c>
      <c r="O1928">
        <v>26.13908872901678</v>
      </c>
    </row>
    <row r="1929" spans="1:15" hidden="1" x14ac:dyDescent="0.25">
      <c r="A1929" s="11">
        <v>46062</v>
      </c>
      <c r="B1929" t="s">
        <v>61</v>
      </c>
      <c r="C1929" t="s">
        <v>23</v>
      </c>
      <c r="D1929">
        <v>18</v>
      </c>
      <c r="E1929">
        <v>18</v>
      </c>
      <c r="F1929">
        <v>33.479999999999997</v>
      </c>
      <c r="G1929">
        <v>0</v>
      </c>
      <c r="H1929">
        <v>0</v>
      </c>
      <c r="I1929" s="3">
        <f>E1929+G1929+H1929</f>
        <v>18</v>
      </c>
      <c r="J1929" s="3">
        <f>ROUND(MIN(IF(C1929="Técnico III",35,IF(C1929="Técnico II",28,IF(C1929="Técnico I",23,IF(C1929="JR",20,IF(C1929="Estágio",10,0))))),IF(C1929="Técnico III",SUMIFS($D:$D,$A:$A,$A1929,$B:$B,"&lt;&gt;Patrícia Karla de Sousa Araújo",$B:$B,"&lt;&gt;Lorena Dias de Araujo",$B:$B,"&lt;&gt;Lucas Luiz Romero")*(35/1083),IF(C1929="Técnico II",SUMIFS($D:$D,$A:$A,$A1929,$B:$B,"&lt;&gt;Patrícia Karla de Sousa Araújo",$B:$B,"&lt;&gt;Lorena Dias de Araujo",$B:$B,"&lt;&gt;Lucas Luiz Romero")*(28/1083),IF(C1929="Técnico I",SUMIFS($D:$D,$A:$A,$A1929,$B:$B,"&lt;&gt;Patrícia Karla de Sousa Araújo",$B:$B,"&lt;&gt;Lorena Dias de Araujo",$B:$B,"&lt;&gt;Lucas Luiz Romero")*(23/1083),IF(C1929="JR",SUMIFS($D:$D,$A:$A,$A1929,$B:$B,"&lt;&gt;Patrícia Karla de Sousa Araújo",$B:$B,"&lt;&gt;Lorena Dias de Araujo",$B:$B,"&lt;&gt;Lucas Luiz Romero")*(20/1083),IF(C1929="Estágio",SUMIFS($D:$D,$A:$A,$A1929,$B:$B,"&lt;&gt;Patrícia Karla de Sousa Araújo",$B:$B,"&lt;&gt;Lorena Dias de Araujo",$B:$B,"&lt;&gt;Lucas Luiz Romero")*(10/1083),0)))))),0)</f>
        <v>18</v>
      </c>
      <c r="K1929" s="3">
        <f>I1929-J1929</f>
        <v>0</v>
      </c>
      <c r="L1929" s="3" t="str">
        <f>IF(K1929&lt;-5,"CRÍTICO",IF(K1929&lt;0,"ATENÇÃO",IF(K1929&lt;=5,"BOM","EXCELENTE")))</f>
        <v>BOM</v>
      </c>
      <c r="M1929">
        <v>25</v>
      </c>
      <c r="N1929">
        <v>100</v>
      </c>
      <c r="O1929">
        <v>31.089743589743591</v>
      </c>
    </row>
    <row r="1930" spans="1:15" hidden="1" x14ac:dyDescent="0.25">
      <c r="A1930" s="11">
        <v>46062</v>
      </c>
      <c r="B1930" t="s">
        <v>35</v>
      </c>
      <c r="C1930" t="s">
        <v>32</v>
      </c>
      <c r="D1930">
        <v>26</v>
      </c>
      <c r="E1930">
        <v>25</v>
      </c>
      <c r="F1930">
        <v>28.5</v>
      </c>
      <c r="G1930">
        <v>0</v>
      </c>
      <c r="H1930">
        <v>0</v>
      </c>
      <c r="I1930" s="3">
        <v>0</v>
      </c>
      <c r="J1930" s="3">
        <v>0</v>
      </c>
      <c r="K1930" s="3">
        <v>0</v>
      </c>
      <c r="L1930" s="3" t="str">
        <f>IF(K1930&lt;-5,"CRÍTICO",IF(K1930&lt;0,"ATENÇÃO",IF(K1930&lt;=5,"BOM","EXCELENTE")))</f>
        <v>BOM</v>
      </c>
      <c r="M1930">
        <v>24</v>
      </c>
      <c r="N1930">
        <v>98.11</v>
      </c>
      <c r="O1930">
        <v>33.033707865168537</v>
      </c>
    </row>
    <row r="1931" spans="1:15" hidden="1" x14ac:dyDescent="0.25">
      <c r="A1931" s="11">
        <v>46062</v>
      </c>
      <c r="B1931" t="s">
        <v>18</v>
      </c>
      <c r="C1931" t="s">
        <v>16</v>
      </c>
      <c r="D1931">
        <v>14</v>
      </c>
      <c r="E1931">
        <v>13</v>
      </c>
      <c r="F1931">
        <v>28.59</v>
      </c>
      <c r="G1931">
        <v>0</v>
      </c>
      <c r="H1931">
        <v>0</v>
      </c>
      <c r="I1931" s="3">
        <f>E1931+G1931+H1931</f>
        <v>13</v>
      </c>
      <c r="J1931" s="3">
        <f>ROUND(MIN(IF(C1931="Técnico III",35,IF(C1931="Técnico II",28,IF(C1931="Técnico I",23,IF(C1931="JR",20,IF(C1931="Estágio",10,0))))),IF(C1931="Técnico III",SUMIFS($D:$D,$A:$A,$A1931,$B:$B,"&lt;&gt;Patrícia Karla de Sousa Araújo",$B:$B,"&lt;&gt;Lorena Dias de Araujo",$B:$B,"&lt;&gt;Lucas Luiz Romero")*(35/1083),IF(C1931="Técnico II",SUMIFS($D:$D,$A:$A,$A1931,$B:$B,"&lt;&gt;Patrícia Karla de Sousa Araújo",$B:$B,"&lt;&gt;Lorena Dias de Araujo",$B:$B,"&lt;&gt;Lucas Luiz Romero")*(28/1083),IF(C1931="Técnico I",SUMIFS($D:$D,$A:$A,$A1931,$B:$B,"&lt;&gt;Patrícia Karla de Sousa Araújo",$B:$B,"&lt;&gt;Lorena Dias de Araujo",$B:$B,"&lt;&gt;Lucas Luiz Romero")*(23/1083),IF(C1931="JR",SUMIFS($D:$D,$A:$A,$A1931,$B:$B,"&lt;&gt;Patrícia Karla de Sousa Araújo",$B:$B,"&lt;&gt;Lorena Dias de Araujo",$B:$B,"&lt;&gt;Lucas Luiz Romero")*(20/1083),IF(C1931="Estágio",SUMIFS($D:$D,$A:$A,$A1931,$B:$B,"&lt;&gt;Patrícia Karla de Sousa Araújo",$B:$B,"&lt;&gt;Lorena Dias de Araujo",$B:$B,"&lt;&gt;Lucas Luiz Romero")*(10/1083),0)))))),0)</f>
        <v>8</v>
      </c>
      <c r="K1931" s="3">
        <f>I1931-J1931</f>
        <v>5</v>
      </c>
      <c r="L1931" s="3" t="str">
        <f>IF(K1931&lt;-5,"CRÍTICO",IF(K1931&lt;0,"ATENÇÃO",IF(K1931&lt;=5,"BOM","EXCELENTE")))</f>
        <v>BOM</v>
      </c>
      <c r="M1931">
        <v>3</v>
      </c>
      <c r="N1931">
        <v>78.95</v>
      </c>
      <c r="O1931">
        <v>38.983050847457633</v>
      </c>
    </row>
    <row r="1932" spans="1:15" hidden="1" x14ac:dyDescent="0.25">
      <c r="A1932" s="11">
        <v>46062</v>
      </c>
      <c r="B1932" t="s">
        <v>52</v>
      </c>
      <c r="C1932" t="s">
        <v>48</v>
      </c>
      <c r="D1932">
        <v>35</v>
      </c>
      <c r="E1932">
        <v>33</v>
      </c>
      <c r="F1932">
        <v>22.21</v>
      </c>
      <c r="G1932">
        <v>0</v>
      </c>
      <c r="H1932">
        <v>0</v>
      </c>
      <c r="I1932" s="3">
        <f>E1932+G1932+H1932</f>
        <v>33</v>
      </c>
      <c r="J1932" s="3">
        <f>ROUND(MIN(IF(C1932="Técnico III",35,IF(C1932="Técnico II",28,IF(C1932="Técnico I",23,IF(C1932="JR",20,IF(C1932="Estágio",10,0))))),IF(C1932="Técnico III",SUMIFS($D:$D,$A:$A,$A1932,$B:$B,"&lt;&gt;Patrícia Karla de Sousa Araújo",$B:$B,"&lt;&gt;Lorena Dias de Araujo",$B:$B,"&lt;&gt;Lucas Luiz Romero")*(35/1083),IF(C1932="Técnico II",SUMIFS($D:$D,$A:$A,$A1932,$B:$B,"&lt;&gt;Patrícia Karla de Sousa Araújo",$B:$B,"&lt;&gt;Lorena Dias de Araujo",$B:$B,"&lt;&gt;Lucas Luiz Romero")*(28/1083),IF(C1932="Técnico I",SUMIFS($D:$D,$A:$A,$A1932,$B:$B,"&lt;&gt;Patrícia Karla de Sousa Araújo",$B:$B,"&lt;&gt;Lorena Dias de Araujo",$B:$B,"&lt;&gt;Lucas Luiz Romero")*(23/1083),IF(C1932="JR",SUMIFS($D:$D,$A:$A,$A1932,$B:$B,"&lt;&gt;Patrícia Karla de Sousa Araújo",$B:$B,"&lt;&gt;Lorena Dias de Araujo",$B:$B,"&lt;&gt;Lucas Luiz Romero")*(20/1083),IF(C1932="Estágio",SUMIFS($D:$D,$A:$A,$A1932,$B:$B,"&lt;&gt;Patrícia Karla de Sousa Araújo",$B:$B,"&lt;&gt;Lorena Dias de Araujo",$B:$B,"&lt;&gt;Lucas Luiz Romero")*(10/1083),0)))))),0)</f>
        <v>22</v>
      </c>
      <c r="K1932" s="3">
        <f>I1932-J1932</f>
        <v>11</v>
      </c>
      <c r="L1932" s="3" t="str">
        <f>IF(K1932&lt;-5,"CRÍTICO",IF(K1932&lt;0,"ATENÇÃO",IF(K1932&lt;=5,"BOM","EXCELENTE")))</f>
        <v>EXCELENTE</v>
      </c>
      <c r="M1932">
        <v>29</v>
      </c>
      <c r="N1932">
        <v>98.45</v>
      </c>
      <c r="O1932">
        <v>29.281767955801101</v>
      </c>
    </row>
    <row r="1933" spans="1:15" hidden="1" x14ac:dyDescent="0.25">
      <c r="A1933" s="11">
        <v>46062</v>
      </c>
      <c r="B1933" t="s">
        <v>36</v>
      </c>
      <c r="C1933" t="s">
        <v>32</v>
      </c>
      <c r="D1933">
        <v>29</v>
      </c>
      <c r="E1933">
        <v>27</v>
      </c>
      <c r="F1933">
        <v>19.010000000000002</v>
      </c>
      <c r="G1933">
        <v>0</v>
      </c>
      <c r="H1933">
        <v>0</v>
      </c>
      <c r="I1933" s="3">
        <f>E1933+G1933+H1933</f>
        <v>27</v>
      </c>
      <c r="J1933" s="3">
        <f>ROUND(MIN(IF(C1933="Técnico III",35,IF(C1933="Técnico II",28,IF(C1933="Técnico I",23,IF(C1933="JR",20,IF(C1933="Estágio",10,0))))),IF(C1933="Técnico III",SUMIFS($D:$D,$A:$A,$A1933,$B:$B,"&lt;&gt;Patrícia Karla de Sousa Araújo",$B:$B,"&lt;&gt;Lorena Dias de Araujo",$B:$B,"&lt;&gt;Lucas Luiz Romero")*(35/1083),IF(C1933="Técnico II",SUMIFS($D:$D,$A:$A,$A1933,$B:$B,"&lt;&gt;Patrícia Karla de Sousa Araújo",$B:$B,"&lt;&gt;Lorena Dias de Araujo",$B:$B,"&lt;&gt;Lucas Luiz Romero")*(28/1083),IF(C1933="Técnico I",SUMIFS($D:$D,$A:$A,$A1933,$B:$B,"&lt;&gt;Patrícia Karla de Sousa Araújo",$B:$B,"&lt;&gt;Lorena Dias de Araujo",$B:$B,"&lt;&gt;Lucas Luiz Romero")*(23/1083),IF(C1933="JR",SUMIFS($D:$D,$A:$A,$A1933,$B:$B,"&lt;&gt;Patrícia Karla de Sousa Araújo",$B:$B,"&lt;&gt;Lorena Dias de Araujo",$B:$B,"&lt;&gt;Lucas Luiz Romero")*(20/1083),IF(C1933="Estágio",SUMIFS($D:$D,$A:$A,$A1933,$B:$B,"&lt;&gt;Patrícia Karla de Sousa Araújo",$B:$B,"&lt;&gt;Lorena Dias de Araujo",$B:$B,"&lt;&gt;Lucas Luiz Romero")*(10/1083),0)))))),0)</f>
        <v>27</v>
      </c>
      <c r="K1933" s="3">
        <f>I1933-J1933</f>
        <v>0</v>
      </c>
      <c r="L1933" s="3" t="str">
        <f>IF(K1933&lt;-5,"CRÍTICO",IF(K1933&lt;0,"ATENÇÃO",IF(K1933&lt;=5,"BOM","EXCELENTE")))</f>
        <v>BOM</v>
      </c>
      <c r="M1933">
        <v>28</v>
      </c>
      <c r="N1933">
        <v>97.84</v>
      </c>
      <c r="O1933">
        <v>26.282051282051281</v>
      </c>
    </row>
    <row r="1934" spans="1:15" hidden="1" x14ac:dyDescent="0.25">
      <c r="A1934" s="11">
        <v>46062</v>
      </c>
      <c r="B1934" t="s">
        <v>53</v>
      </c>
      <c r="C1934" t="s">
        <v>48</v>
      </c>
      <c r="D1934">
        <v>53</v>
      </c>
      <c r="E1934">
        <v>46</v>
      </c>
      <c r="F1934">
        <v>12.33</v>
      </c>
      <c r="G1934">
        <v>0</v>
      </c>
      <c r="H1934">
        <v>0</v>
      </c>
      <c r="I1934" s="3">
        <f>E1934+G1934+H1934</f>
        <v>46</v>
      </c>
      <c r="J1934" s="3">
        <f>ROUND(MIN(IF(C1934="Técnico III",35,IF(C1934="Técnico II",28,IF(C1934="Técnico I",23,IF(C1934="JR",20,IF(C1934="Estágio",10,0))))),IF(C1934="Técnico III",SUMIFS($D:$D,$A:$A,$A1934,$B:$B,"&lt;&gt;Patrícia Karla de Sousa Araújo",$B:$B,"&lt;&gt;Lorena Dias de Araujo",$B:$B,"&lt;&gt;Lucas Luiz Romero")*(35/1083),IF(C1934="Técnico II",SUMIFS($D:$D,$A:$A,$A1934,$B:$B,"&lt;&gt;Patrícia Karla de Sousa Araújo",$B:$B,"&lt;&gt;Lorena Dias de Araujo",$B:$B,"&lt;&gt;Lucas Luiz Romero")*(28/1083),IF(C1934="Técnico I",SUMIFS($D:$D,$A:$A,$A1934,$B:$B,"&lt;&gt;Patrícia Karla de Sousa Araújo",$B:$B,"&lt;&gt;Lorena Dias de Araujo",$B:$B,"&lt;&gt;Lucas Luiz Romero")*(23/1083),IF(C1934="JR",SUMIFS($D:$D,$A:$A,$A1934,$B:$B,"&lt;&gt;Patrícia Karla de Sousa Araújo",$B:$B,"&lt;&gt;Lorena Dias de Araujo",$B:$B,"&lt;&gt;Lucas Luiz Romero")*(20/1083),IF(C1934="Estágio",SUMIFS($D:$D,$A:$A,$A1934,$B:$B,"&lt;&gt;Patrícia Karla de Sousa Araújo",$B:$B,"&lt;&gt;Lorena Dias de Araujo",$B:$B,"&lt;&gt;Lucas Luiz Romero")*(10/1083),0)))))),0)</f>
        <v>22</v>
      </c>
      <c r="K1934" s="3">
        <f>I1934-J1934</f>
        <v>24</v>
      </c>
      <c r="L1934" s="3" t="str">
        <f>IF(K1934&lt;-5,"CRÍTICO",IF(K1934&lt;0,"ATENÇÃO",IF(K1934&lt;=5,"BOM","EXCELENTE")))</f>
        <v>EXCELENTE</v>
      </c>
      <c r="M1934">
        <v>40</v>
      </c>
      <c r="N1934">
        <v>98.5</v>
      </c>
      <c r="O1934">
        <v>23.97769516728625</v>
      </c>
    </row>
    <row r="1935" spans="1:15" hidden="1" x14ac:dyDescent="0.25">
      <c r="A1935" s="11">
        <v>46094</v>
      </c>
      <c r="B1935" t="s">
        <v>22</v>
      </c>
      <c r="C1935" t="s">
        <v>23</v>
      </c>
      <c r="D1935">
        <v>9</v>
      </c>
      <c r="E1935">
        <v>9</v>
      </c>
      <c r="F1935">
        <v>28.58</v>
      </c>
      <c r="G1935">
        <v>0</v>
      </c>
      <c r="H1935">
        <v>0</v>
      </c>
      <c r="I1935" s="3">
        <f>E1935+G1935+H1935</f>
        <v>9</v>
      </c>
      <c r="J1935" s="3">
        <f>ROUND(MIN(IF(C1935="Técnico III",35,IF(C1935="Técnico II",28,IF(C1935="Técnico I",23,IF(C1935="JR",20,IF(C1935="Estágio",10,0))))),IF(C1935="Técnico III",SUMIFS($D:$D,$A:$A,$A1935,$B:$B,"&lt;&gt;Patrícia Karla de Sousa Araújo",$B:$B,"&lt;&gt;Lorena Dias de Araujo",$B:$B,"&lt;&gt;Lucas Luiz Romero")*(35/1083),IF(C1935="Técnico II",SUMIFS($D:$D,$A:$A,$A1935,$B:$B,"&lt;&gt;Patrícia Karla de Sousa Araújo",$B:$B,"&lt;&gt;Lorena Dias de Araujo",$B:$B,"&lt;&gt;Lucas Luiz Romero")*(28/1083),IF(C1935="Técnico I",SUMIFS($D:$D,$A:$A,$A1935,$B:$B,"&lt;&gt;Patrícia Karla de Sousa Araújo",$B:$B,"&lt;&gt;Lorena Dias de Araujo",$B:$B,"&lt;&gt;Lucas Luiz Romero")*(23/1083),IF(C1935="JR",SUMIFS($D:$D,$A:$A,$A1935,$B:$B,"&lt;&gt;Patrícia Karla de Sousa Araújo",$B:$B,"&lt;&gt;Lorena Dias de Araujo",$B:$B,"&lt;&gt;Lucas Luiz Romero")*(20/1083),IF(C1935="Estágio",SUMIFS($D:$D,$A:$A,$A1935,$B:$B,"&lt;&gt;Patrícia Karla de Sousa Araújo",$B:$B,"&lt;&gt;Lorena Dias de Araujo",$B:$B,"&lt;&gt;Lucas Luiz Romero")*(10/1083),0)))))),0)</f>
        <v>13</v>
      </c>
      <c r="K1935" s="3">
        <f>I1935-J1935</f>
        <v>-4</v>
      </c>
      <c r="L1935" s="3" t="str">
        <f>IF(K1935&lt;-5,"CRÍTICO",IF(K1935&lt;0,"ATENÇÃO",IF(K1935&lt;=5,"BOM","EXCELENTE")))</f>
        <v>ATENÇÃO</v>
      </c>
      <c r="M1935">
        <v>11</v>
      </c>
      <c r="N1935">
        <v>99.05</v>
      </c>
      <c r="O1935">
        <v>26.621923937360179</v>
      </c>
    </row>
    <row r="1936" spans="1:15" hidden="1" x14ac:dyDescent="0.25">
      <c r="A1936" s="11">
        <v>46062</v>
      </c>
      <c r="B1936" t="s">
        <v>54</v>
      </c>
      <c r="C1936" t="s">
        <v>48</v>
      </c>
      <c r="D1936">
        <v>20</v>
      </c>
      <c r="E1936">
        <v>19</v>
      </c>
      <c r="F1936">
        <v>19.010000000000002</v>
      </c>
      <c r="G1936">
        <v>0</v>
      </c>
      <c r="H1936">
        <v>0</v>
      </c>
      <c r="I1936" s="3">
        <f>E1936+G1936+H1936</f>
        <v>19</v>
      </c>
      <c r="J1936" s="3">
        <f>ROUND(MIN(IF(C1936="Técnico III",35,IF(C1936="Técnico II",28,IF(C1936="Técnico I",23,IF(C1936="JR",20,IF(C1936="Estágio",10,0))))),IF(C1936="Técnico III",SUMIFS($D:$D,$A:$A,$A1936,$B:$B,"&lt;&gt;Patrícia Karla de Sousa Araújo",$B:$B,"&lt;&gt;Lorena Dias de Araujo",$B:$B,"&lt;&gt;Lucas Luiz Romero")*(35/1083),IF(C1936="Técnico II",SUMIFS($D:$D,$A:$A,$A1936,$B:$B,"&lt;&gt;Patrícia Karla de Sousa Araújo",$B:$B,"&lt;&gt;Lorena Dias de Araujo",$B:$B,"&lt;&gt;Lucas Luiz Romero")*(28/1083),IF(C1936="Técnico I",SUMIFS($D:$D,$A:$A,$A1936,$B:$B,"&lt;&gt;Patrícia Karla de Sousa Araújo",$B:$B,"&lt;&gt;Lorena Dias de Araujo",$B:$B,"&lt;&gt;Lucas Luiz Romero")*(23/1083),IF(C1936="JR",SUMIFS($D:$D,$A:$A,$A1936,$B:$B,"&lt;&gt;Patrícia Karla de Sousa Araújo",$B:$B,"&lt;&gt;Lorena Dias de Araujo",$B:$B,"&lt;&gt;Lucas Luiz Romero")*(20/1083),IF(C1936="Estágio",SUMIFS($D:$D,$A:$A,$A1936,$B:$B,"&lt;&gt;Patrícia Karla de Sousa Araújo",$B:$B,"&lt;&gt;Lorena Dias de Araujo",$B:$B,"&lt;&gt;Lucas Luiz Romero")*(10/1083),0)))))),0)</f>
        <v>22</v>
      </c>
      <c r="K1936" s="3">
        <f>I1936-J1936</f>
        <v>-3</v>
      </c>
      <c r="L1936" s="3" t="str">
        <f>IF(K1936&lt;-5,"CRÍTICO",IF(K1936&lt;0,"ATENÇÃO",IF(K1936&lt;=5,"BOM","EXCELENTE")))</f>
        <v>ATENÇÃO</v>
      </c>
      <c r="M1936">
        <v>15</v>
      </c>
      <c r="N1936">
        <v>98.53</v>
      </c>
      <c r="O1936">
        <v>31.578947368421051</v>
      </c>
    </row>
    <row r="1937" spans="1:15" hidden="1" x14ac:dyDescent="0.25">
      <c r="A1937" s="11">
        <v>46062</v>
      </c>
      <c r="B1937" t="s">
        <v>37</v>
      </c>
      <c r="C1937" t="s">
        <v>32</v>
      </c>
      <c r="D1937">
        <v>43</v>
      </c>
      <c r="E1937">
        <v>40</v>
      </c>
      <c r="F1937">
        <v>14.17</v>
      </c>
      <c r="G1937">
        <v>0</v>
      </c>
      <c r="H1937">
        <v>0</v>
      </c>
      <c r="I1937" s="3">
        <f>E1937+G1937+H1937</f>
        <v>40</v>
      </c>
      <c r="J1937" s="3">
        <f>ROUND(MIN(IF(C1937="Técnico III",35,IF(C1937="Técnico II",28,IF(C1937="Técnico I",23,IF(C1937="JR",20,IF(C1937="Estágio",10,0))))),IF(C1937="Técnico III",SUMIFS($D:$D,$A:$A,$A1937,$B:$B,"&lt;&gt;Patrícia Karla de Sousa Araújo",$B:$B,"&lt;&gt;Lorena Dias de Araujo",$B:$B,"&lt;&gt;Lucas Luiz Romero")*(35/1083),IF(C1937="Técnico II",SUMIFS($D:$D,$A:$A,$A1937,$B:$B,"&lt;&gt;Patrícia Karla de Sousa Araújo",$B:$B,"&lt;&gt;Lorena Dias de Araujo",$B:$B,"&lt;&gt;Lucas Luiz Romero")*(28/1083),IF(C1937="Técnico I",SUMIFS($D:$D,$A:$A,$A1937,$B:$B,"&lt;&gt;Patrícia Karla de Sousa Araújo",$B:$B,"&lt;&gt;Lorena Dias de Araujo",$B:$B,"&lt;&gt;Lucas Luiz Romero")*(23/1083),IF(C1937="JR",SUMIFS($D:$D,$A:$A,$A1937,$B:$B,"&lt;&gt;Patrícia Karla de Sousa Araújo",$B:$B,"&lt;&gt;Lorena Dias de Araujo",$B:$B,"&lt;&gt;Lucas Luiz Romero")*(20/1083),IF(C1937="Estágio",SUMIFS($D:$D,$A:$A,$A1937,$B:$B,"&lt;&gt;Patrícia Karla de Sousa Araújo",$B:$B,"&lt;&gt;Lorena Dias de Araujo",$B:$B,"&lt;&gt;Lucas Luiz Romero")*(10/1083),0)))))),0)</f>
        <v>27</v>
      </c>
      <c r="K1937" s="3">
        <f>I1937-J1937</f>
        <v>13</v>
      </c>
      <c r="L1937" s="3" t="str">
        <f>IF(K1937&lt;-5,"CRÍTICO",IF(K1937&lt;0,"ATENÇÃO",IF(K1937&lt;=5,"BOM","EXCELENTE")))</f>
        <v>EXCELENTE</v>
      </c>
      <c r="M1937">
        <v>39</v>
      </c>
      <c r="N1937">
        <v>100</v>
      </c>
      <c r="O1937">
        <v>25.72214580467676</v>
      </c>
    </row>
    <row r="1938" spans="1:15" hidden="1" x14ac:dyDescent="0.25">
      <c r="A1938" s="11">
        <v>46062</v>
      </c>
      <c r="B1938" t="s">
        <v>38</v>
      </c>
      <c r="C1938" t="s">
        <v>32</v>
      </c>
      <c r="D1938">
        <v>22</v>
      </c>
      <c r="E1938">
        <v>20</v>
      </c>
      <c r="F1938">
        <v>12.13</v>
      </c>
      <c r="G1938">
        <v>0</v>
      </c>
      <c r="H1938">
        <v>0</v>
      </c>
      <c r="I1938" s="3">
        <f>E1938+G1938+H1938</f>
        <v>20</v>
      </c>
      <c r="J1938" s="3">
        <f>ROUND(MIN(IF(C1938="Técnico III",35,IF(C1938="Técnico II",28,IF(C1938="Técnico I",23,IF(C1938="JR",20,IF(C1938="Estágio",10,0))))),IF(C1938="Técnico III",SUMIFS($D:$D,$A:$A,$A1938,$B:$B,"&lt;&gt;Patrícia Karla de Sousa Araújo",$B:$B,"&lt;&gt;Lorena Dias de Araujo",$B:$B,"&lt;&gt;Lucas Luiz Romero")*(35/1083),IF(C1938="Técnico II",SUMIFS($D:$D,$A:$A,$A1938,$B:$B,"&lt;&gt;Patrícia Karla de Sousa Araújo",$B:$B,"&lt;&gt;Lorena Dias de Araujo",$B:$B,"&lt;&gt;Lucas Luiz Romero")*(28/1083),IF(C1938="Técnico I",SUMIFS($D:$D,$A:$A,$A1938,$B:$B,"&lt;&gt;Patrícia Karla de Sousa Araújo",$B:$B,"&lt;&gt;Lorena Dias de Araujo",$B:$B,"&lt;&gt;Lucas Luiz Romero")*(23/1083),IF(C1938="JR",SUMIFS($D:$D,$A:$A,$A1938,$B:$B,"&lt;&gt;Patrícia Karla de Sousa Araújo",$B:$B,"&lt;&gt;Lorena Dias de Araujo",$B:$B,"&lt;&gt;Lucas Luiz Romero")*(20/1083),IF(C1938="Estágio",SUMIFS($D:$D,$A:$A,$A1938,$B:$B,"&lt;&gt;Patrícia Karla de Sousa Araújo",$B:$B,"&lt;&gt;Lorena Dias de Araujo",$B:$B,"&lt;&gt;Lucas Luiz Romero")*(10/1083),0)))))),0)</f>
        <v>27</v>
      </c>
      <c r="K1938" s="3">
        <f>I1938-J1938</f>
        <v>-7</v>
      </c>
      <c r="L1938" s="3" t="str">
        <f>IF(K1938&lt;-5,"CRÍTICO",IF(K1938&lt;0,"ATENÇÃO",IF(K1938&lt;=5,"BOM","EXCELENTE")))</f>
        <v>CRÍTICO</v>
      </c>
      <c r="M1938">
        <v>18</v>
      </c>
      <c r="N1938">
        <v>94.64</v>
      </c>
      <c r="O1938">
        <v>27.52941176470588</v>
      </c>
    </row>
    <row r="1939" spans="1:15" hidden="1" x14ac:dyDescent="0.25">
      <c r="A1939" s="11">
        <v>46062</v>
      </c>
      <c r="B1939" t="s">
        <v>55</v>
      </c>
      <c r="C1939" t="s">
        <v>48</v>
      </c>
      <c r="D1939">
        <v>33</v>
      </c>
      <c r="E1939">
        <v>22</v>
      </c>
      <c r="F1939">
        <v>20.440000000000001</v>
      </c>
      <c r="G1939">
        <v>0</v>
      </c>
      <c r="H1939">
        <v>0</v>
      </c>
      <c r="I1939" s="3">
        <f>E1939+G1939+H1939</f>
        <v>22</v>
      </c>
      <c r="J1939" s="3">
        <f>ROUND(MIN(IF(C1939="Técnico III",35,IF(C1939="Técnico II",28,IF(C1939="Técnico I",23,IF(C1939="JR",20,IF(C1939="Estágio",10,0))))),IF(C1939="Técnico III",SUMIFS($D:$D,$A:$A,$A1939,$B:$B,"&lt;&gt;Patrícia Karla de Sousa Araújo",$B:$B,"&lt;&gt;Lorena Dias de Araujo",$B:$B,"&lt;&gt;Lucas Luiz Romero")*(35/1083),IF(C1939="Técnico II",SUMIFS($D:$D,$A:$A,$A1939,$B:$B,"&lt;&gt;Patrícia Karla de Sousa Araújo",$B:$B,"&lt;&gt;Lorena Dias de Araujo",$B:$B,"&lt;&gt;Lucas Luiz Romero")*(28/1083),IF(C1939="Técnico I",SUMIFS($D:$D,$A:$A,$A1939,$B:$B,"&lt;&gt;Patrícia Karla de Sousa Araújo",$B:$B,"&lt;&gt;Lorena Dias de Araujo",$B:$B,"&lt;&gt;Lucas Luiz Romero")*(23/1083),IF(C1939="JR",SUMIFS($D:$D,$A:$A,$A1939,$B:$B,"&lt;&gt;Patrícia Karla de Sousa Araújo",$B:$B,"&lt;&gt;Lorena Dias de Araujo",$B:$B,"&lt;&gt;Lucas Luiz Romero")*(20/1083),IF(C1939="Estágio",SUMIFS($D:$D,$A:$A,$A1939,$B:$B,"&lt;&gt;Patrícia Karla de Sousa Araújo",$B:$B,"&lt;&gt;Lorena Dias de Araujo",$B:$B,"&lt;&gt;Lucas Luiz Romero")*(10/1083),0)))))),0)</f>
        <v>22</v>
      </c>
      <c r="K1939" s="3">
        <f>I1939-J1939</f>
        <v>0</v>
      </c>
      <c r="L1939" s="3" t="str">
        <f>IF(K1939&lt;-5,"CRÍTICO",IF(K1939&lt;0,"ATENÇÃO",IF(K1939&lt;=5,"BOM","EXCELENTE")))</f>
        <v>BOM</v>
      </c>
      <c r="M1939">
        <v>20</v>
      </c>
      <c r="N1939">
        <v>99.07</v>
      </c>
      <c r="O1939">
        <v>26.376811594202898</v>
      </c>
    </row>
    <row r="1940" spans="1:15" hidden="1" x14ac:dyDescent="0.25">
      <c r="A1940" s="11">
        <v>46062</v>
      </c>
      <c r="B1940" t="s">
        <v>39</v>
      </c>
      <c r="C1940" t="s">
        <v>32</v>
      </c>
      <c r="D1940">
        <v>0</v>
      </c>
      <c r="E1940">
        <v>0</v>
      </c>
      <c r="F1940">
        <v>0</v>
      </c>
      <c r="G1940">
        <v>0</v>
      </c>
      <c r="H1940">
        <v>0</v>
      </c>
      <c r="I1940" s="3">
        <v>0</v>
      </c>
      <c r="J1940" s="3">
        <v>0</v>
      </c>
      <c r="K1940" s="3">
        <v>0</v>
      </c>
      <c r="L1940" s="3" t="str">
        <f>IF(K1940&lt;-5,"CRÍTICO",IF(K1940&lt;0,"ATENÇÃO",IF(K1940&lt;=5,"BOM","EXCELENTE")))</f>
        <v>BOM</v>
      </c>
      <c r="M1940">
        <v>0</v>
      </c>
      <c r="N1940">
        <v>100</v>
      </c>
      <c r="O1940">
        <v>0</v>
      </c>
    </row>
    <row r="1941" spans="1:15" hidden="1" x14ac:dyDescent="0.25">
      <c r="A1941" s="11">
        <v>46062</v>
      </c>
      <c r="B1941" t="s">
        <v>25</v>
      </c>
      <c r="C1941" t="s">
        <v>26</v>
      </c>
      <c r="D1941">
        <v>7</v>
      </c>
      <c r="E1941">
        <v>6</v>
      </c>
      <c r="F1941">
        <v>26.45</v>
      </c>
      <c r="G1941">
        <v>0</v>
      </c>
      <c r="H1941">
        <v>0</v>
      </c>
      <c r="I1941" s="3">
        <f>E1941+G1941+H1941</f>
        <v>6</v>
      </c>
      <c r="J1941" s="3">
        <f>ROUND(MIN(IF(C1941="Técnico III",35,IF(C1941="Técnico II",28,IF(C1941="Técnico I",23,IF(C1941="JR",20,IF(C1941="Estágio",10,0))))),IF(C1941="Técnico III",SUMIFS($D:$D,$A:$A,$A1941,$B:$B,"&lt;&gt;Patrícia Karla de Sousa Araújo",$B:$B,"&lt;&gt;Lorena Dias de Araujo",$B:$B,"&lt;&gt;Lucas Luiz Romero")*(35/1083),IF(C1941="Técnico II",SUMIFS($D:$D,$A:$A,$A1941,$B:$B,"&lt;&gt;Patrícia Karla de Sousa Araújo",$B:$B,"&lt;&gt;Lorena Dias de Araujo",$B:$B,"&lt;&gt;Lucas Luiz Romero")*(28/1083),IF(C1941="Técnico I",SUMIFS($D:$D,$A:$A,$A1941,$B:$B,"&lt;&gt;Patrícia Karla de Sousa Araújo",$B:$B,"&lt;&gt;Lorena Dias de Araujo",$B:$B,"&lt;&gt;Lucas Luiz Romero")*(23/1083),IF(C1941="JR",SUMIFS($D:$D,$A:$A,$A1941,$B:$B,"&lt;&gt;Patrícia Karla de Sousa Araújo",$B:$B,"&lt;&gt;Lorena Dias de Araujo",$B:$B,"&lt;&gt;Lucas Luiz Romero")*(20/1083),IF(C1941="Estágio",SUMIFS($D:$D,$A:$A,$A1941,$B:$B,"&lt;&gt;Patrícia Karla de Sousa Araújo",$B:$B,"&lt;&gt;Lorena Dias de Araujo",$B:$B,"&lt;&gt;Lucas Luiz Romero")*(10/1083),0)))))),0)</f>
        <v>16</v>
      </c>
      <c r="K1941" s="3">
        <f>I1941-J1941</f>
        <v>-10</v>
      </c>
      <c r="L1941" s="3" t="str">
        <f>IF(K1941&lt;-5,"CRÍTICO",IF(K1941&lt;0,"ATENÇÃO",IF(K1941&lt;=5,"BOM","EXCELENTE")))</f>
        <v>CRÍTICO</v>
      </c>
      <c r="M1941">
        <v>7</v>
      </c>
      <c r="N1941">
        <v>98.48</v>
      </c>
      <c r="O1941">
        <v>27.853881278538811</v>
      </c>
    </row>
    <row r="1942" spans="1:15" hidden="1" x14ac:dyDescent="0.25">
      <c r="A1942" s="11">
        <v>46062</v>
      </c>
      <c r="B1942" t="s">
        <v>40</v>
      </c>
      <c r="C1942" t="s">
        <v>32</v>
      </c>
      <c r="D1942">
        <v>78</v>
      </c>
      <c r="E1942">
        <v>16</v>
      </c>
      <c r="F1942">
        <v>5.37</v>
      </c>
      <c r="G1942">
        <v>0</v>
      </c>
      <c r="H1942">
        <v>0</v>
      </c>
      <c r="I1942" s="3">
        <f>E1942+G1942+H1942</f>
        <v>16</v>
      </c>
      <c r="J1942" s="3">
        <f>ROUND(MIN(IF(C1942="Técnico III",35,IF(C1942="Técnico II",28,IF(C1942="Técnico I",23,IF(C1942="JR",20,IF(C1942="Estágio",10,0))))),IF(C1942="Técnico III",SUMIFS($D:$D,$A:$A,$A1942,$B:$B,"&lt;&gt;Patrícia Karla de Sousa Araújo",$B:$B,"&lt;&gt;Lorena Dias de Araujo",$B:$B,"&lt;&gt;Lucas Luiz Romero")*(35/1083),IF(C1942="Técnico II",SUMIFS($D:$D,$A:$A,$A1942,$B:$B,"&lt;&gt;Patrícia Karla de Sousa Araújo",$B:$B,"&lt;&gt;Lorena Dias de Araujo",$B:$B,"&lt;&gt;Lucas Luiz Romero")*(28/1083),IF(C1942="Técnico I",SUMIFS($D:$D,$A:$A,$A1942,$B:$B,"&lt;&gt;Patrícia Karla de Sousa Araújo",$B:$B,"&lt;&gt;Lorena Dias de Araujo",$B:$B,"&lt;&gt;Lucas Luiz Romero")*(23/1083),IF(C1942="JR",SUMIFS($D:$D,$A:$A,$A1942,$B:$B,"&lt;&gt;Patrícia Karla de Sousa Araújo",$B:$B,"&lt;&gt;Lorena Dias de Araujo",$B:$B,"&lt;&gt;Lucas Luiz Romero")*(20/1083),IF(C1942="Estágio",SUMIFS($D:$D,$A:$A,$A1942,$B:$B,"&lt;&gt;Patrícia Karla de Sousa Araújo",$B:$B,"&lt;&gt;Lorena Dias de Araujo",$B:$B,"&lt;&gt;Lucas Luiz Romero")*(10/1083),0)))))),0)</f>
        <v>27</v>
      </c>
      <c r="K1942" s="3">
        <f>I1942-J1942</f>
        <v>-11</v>
      </c>
      <c r="L1942" s="3" t="str">
        <f>IF(K1942&lt;-5,"CRÍTICO",IF(K1942&lt;0,"ATENÇÃO",IF(K1942&lt;=5,"BOM","EXCELENTE")))</f>
        <v>CRÍTICO</v>
      </c>
      <c r="M1942">
        <v>5</v>
      </c>
      <c r="N1942">
        <v>95.15</v>
      </c>
      <c r="O1942">
        <v>34.131736526946113</v>
      </c>
    </row>
    <row r="1943" spans="1:15" hidden="1" x14ac:dyDescent="0.25">
      <c r="A1943" s="11">
        <v>46062</v>
      </c>
      <c r="B1943" t="s">
        <v>27</v>
      </c>
      <c r="C1943" t="s">
        <v>26</v>
      </c>
      <c r="D1943">
        <v>0</v>
      </c>
      <c r="E1943">
        <v>0</v>
      </c>
      <c r="F1943">
        <v>0</v>
      </c>
      <c r="G1943">
        <v>0</v>
      </c>
      <c r="H1943">
        <v>0</v>
      </c>
      <c r="I1943" s="3">
        <v>0</v>
      </c>
      <c r="J1943" s="3">
        <v>0</v>
      </c>
      <c r="K1943" s="3">
        <v>0</v>
      </c>
      <c r="L1943" s="3" t="str">
        <f>IF(K1943&lt;-5,"CRÍTICO",IF(K1943&lt;0,"ATENÇÃO",IF(K1943&lt;=5,"BOM","EXCELENTE")))</f>
        <v>BOM</v>
      </c>
      <c r="M1943">
        <v>0</v>
      </c>
      <c r="N1943">
        <v>0</v>
      </c>
      <c r="O1943">
        <v>0</v>
      </c>
    </row>
    <row r="1944" spans="1:15" hidden="1" x14ac:dyDescent="0.25">
      <c r="A1944" s="11">
        <v>46062</v>
      </c>
      <c r="B1944" t="s">
        <v>41</v>
      </c>
      <c r="C1944" t="s">
        <v>32</v>
      </c>
      <c r="D1944">
        <v>17</v>
      </c>
      <c r="E1944">
        <v>16</v>
      </c>
      <c r="F1944">
        <v>35.020000000000003</v>
      </c>
      <c r="G1944">
        <v>0</v>
      </c>
      <c r="H1944">
        <v>0</v>
      </c>
      <c r="I1944" s="3">
        <f>E1944+G1944+H1944</f>
        <v>16</v>
      </c>
      <c r="J1944" s="3">
        <f>ROUND(MIN(IF(C1944="Técnico III",35,IF(C1944="Técnico II",28,IF(C1944="Técnico I",23,IF(C1944="JR",20,IF(C1944="Estágio",10,0))))),IF(C1944="Técnico III",SUMIFS($D:$D,$A:$A,$A1944,$B:$B,"&lt;&gt;Patrícia Karla de Sousa Araújo",$B:$B,"&lt;&gt;Lorena Dias de Araujo",$B:$B,"&lt;&gt;Lucas Luiz Romero")*(35/1083),IF(C1944="Técnico II",SUMIFS($D:$D,$A:$A,$A1944,$B:$B,"&lt;&gt;Patrícia Karla de Sousa Araújo",$B:$B,"&lt;&gt;Lorena Dias de Araujo",$B:$B,"&lt;&gt;Lucas Luiz Romero")*(28/1083),IF(C1944="Técnico I",SUMIFS($D:$D,$A:$A,$A1944,$B:$B,"&lt;&gt;Patrícia Karla de Sousa Araújo",$B:$B,"&lt;&gt;Lorena Dias de Araujo",$B:$B,"&lt;&gt;Lucas Luiz Romero")*(23/1083),IF(C1944="JR",SUMIFS($D:$D,$A:$A,$A1944,$B:$B,"&lt;&gt;Patrícia Karla de Sousa Araújo",$B:$B,"&lt;&gt;Lorena Dias de Araujo",$B:$B,"&lt;&gt;Lucas Luiz Romero")*(20/1083),IF(C1944="Estágio",SUMIFS($D:$D,$A:$A,$A1944,$B:$B,"&lt;&gt;Patrícia Karla de Sousa Araújo",$B:$B,"&lt;&gt;Lorena Dias de Araujo",$B:$B,"&lt;&gt;Lucas Luiz Romero")*(10/1083),0)))))),0)</f>
        <v>27</v>
      </c>
      <c r="K1944" s="3">
        <f>I1944-J1944</f>
        <v>-11</v>
      </c>
      <c r="L1944" s="3" t="str">
        <f>IF(K1944&lt;-5,"CRÍTICO",IF(K1944&lt;0,"ATENÇÃO",IF(K1944&lt;=5,"BOM","EXCELENTE")))</f>
        <v>CRÍTICO</v>
      </c>
      <c r="M1944">
        <v>14</v>
      </c>
      <c r="N1944">
        <v>99.26</v>
      </c>
      <c r="O1944">
        <v>30.84832904884319</v>
      </c>
    </row>
    <row r="1945" spans="1:15" hidden="1" x14ac:dyDescent="0.25">
      <c r="A1945" s="11">
        <v>46062</v>
      </c>
      <c r="B1945" t="s">
        <v>56</v>
      </c>
      <c r="C1945" t="s">
        <v>48</v>
      </c>
      <c r="D1945">
        <v>28</v>
      </c>
      <c r="E1945">
        <v>26</v>
      </c>
      <c r="F1945">
        <v>25.46</v>
      </c>
      <c r="G1945">
        <v>0</v>
      </c>
      <c r="H1945">
        <v>0</v>
      </c>
      <c r="I1945" s="3">
        <f>E1945+G1945+H1945</f>
        <v>26</v>
      </c>
      <c r="J1945" s="3">
        <f>ROUND(MIN(IF(C1945="Técnico III",35,IF(C1945="Técnico II",28,IF(C1945="Técnico I",23,IF(C1945="JR",20,IF(C1945="Estágio",10,0))))),IF(C1945="Técnico III",SUMIFS($D:$D,$A:$A,$A1945,$B:$B,"&lt;&gt;Patrícia Karla de Sousa Araújo",$B:$B,"&lt;&gt;Lorena Dias de Araujo",$B:$B,"&lt;&gt;Lucas Luiz Romero")*(35/1083),IF(C1945="Técnico II",SUMIFS($D:$D,$A:$A,$A1945,$B:$B,"&lt;&gt;Patrícia Karla de Sousa Araújo",$B:$B,"&lt;&gt;Lorena Dias de Araujo",$B:$B,"&lt;&gt;Lucas Luiz Romero")*(28/1083),IF(C1945="Técnico I",SUMIFS($D:$D,$A:$A,$A1945,$B:$B,"&lt;&gt;Patrícia Karla de Sousa Araújo",$B:$B,"&lt;&gt;Lorena Dias de Araujo",$B:$B,"&lt;&gt;Lucas Luiz Romero")*(23/1083),IF(C1945="JR",SUMIFS($D:$D,$A:$A,$A1945,$B:$B,"&lt;&gt;Patrícia Karla de Sousa Araújo",$B:$B,"&lt;&gt;Lorena Dias de Araujo",$B:$B,"&lt;&gt;Lucas Luiz Romero")*(20/1083),IF(C1945="Estágio",SUMIFS($D:$D,$A:$A,$A1945,$B:$B,"&lt;&gt;Patrícia Karla de Sousa Araújo",$B:$B,"&lt;&gt;Lorena Dias de Araujo",$B:$B,"&lt;&gt;Lucas Luiz Romero")*(10/1083),0)))))),0)</f>
        <v>22</v>
      </c>
      <c r="K1945" s="3">
        <f>I1945-J1945</f>
        <v>4</v>
      </c>
      <c r="L1945" s="3" t="str">
        <f>IF(K1945&lt;-5,"CRÍTICO",IF(K1945&lt;0,"ATENÇÃO",IF(K1945&lt;=5,"BOM","EXCELENTE")))</f>
        <v>BOM</v>
      </c>
      <c r="M1945">
        <v>9</v>
      </c>
      <c r="N1945">
        <v>97.48</v>
      </c>
      <c r="O1945">
        <v>27.764705882352938</v>
      </c>
    </row>
    <row r="1946" spans="1:15" hidden="1" x14ac:dyDescent="0.25">
      <c r="A1946" s="11">
        <v>46062</v>
      </c>
      <c r="B1946" t="s">
        <v>57</v>
      </c>
      <c r="C1946" t="s">
        <v>48</v>
      </c>
      <c r="D1946">
        <v>37</v>
      </c>
      <c r="E1946">
        <v>34</v>
      </c>
      <c r="F1946">
        <v>18.41</v>
      </c>
      <c r="G1946">
        <v>0</v>
      </c>
      <c r="H1946">
        <v>0</v>
      </c>
      <c r="I1946" s="3">
        <v>0</v>
      </c>
      <c r="J1946" s="3">
        <v>0</v>
      </c>
      <c r="K1946" s="3">
        <v>0</v>
      </c>
      <c r="L1946" s="3" t="str">
        <f>IF(K1946&lt;-5,"CRÍTICO",IF(K1946&lt;0,"ATENÇÃO",IF(K1946&lt;=5,"BOM","EXCELENTE")))</f>
        <v>BOM</v>
      </c>
      <c r="M1946">
        <v>29</v>
      </c>
      <c r="N1946">
        <v>99.34</v>
      </c>
      <c r="O1946">
        <v>30.04291845493562</v>
      </c>
    </row>
    <row r="1947" spans="1:15" hidden="1" x14ac:dyDescent="0.25">
      <c r="A1947" s="11">
        <v>46062</v>
      </c>
      <c r="B1947" t="s">
        <v>42</v>
      </c>
      <c r="C1947" t="s">
        <v>32</v>
      </c>
      <c r="D1947">
        <v>53</v>
      </c>
      <c r="E1947">
        <v>35</v>
      </c>
      <c r="F1947">
        <v>13.34</v>
      </c>
      <c r="G1947">
        <v>0</v>
      </c>
      <c r="H1947">
        <v>0</v>
      </c>
      <c r="I1947" s="3">
        <f>E1947+G1947+H1947</f>
        <v>35</v>
      </c>
      <c r="J1947" s="3">
        <f>ROUND(MIN(IF(C1947="Técnico III",35,IF(C1947="Técnico II",28,IF(C1947="Técnico I",23,IF(C1947="JR",20,IF(C1947="Estágio",10,0))))),IF(C1947="Técnico III",SUMIFS($D:$D,$A:$A,$A1947,$B:$B,"&lt;&gt;Patrícia Karla de Sousa Araújo",$B:$B,"&lt;&gt;Lorena Dias de Araujo",$B:$B,"&lt;&gt;Lucas Luiz Romero")*(35/1083),IF(C1947="Técnico II",SUMIFS($D:$D,$A:$A,$A1947,$B:$B,"&lt;&gt;Patrícia Karla de Sousa Araújo",$B:$B,"&lt;&gt;Lorena Dias de Araujo",$B:$B,"&lt;&gt;Lucas Luiz Romero")*(28/1083),IF(C1947="Técnico I",SUMIFS($D:$D,$A:$A,$A1947,$B:$B,"&lt;&gt;Patrícia Karla de Sousa Araújo",$B:$B,"&lt;&gt;Lorena Dias de Araujo",$B:$B,"&lt;&gt;Lucas Luiz Romero")*(23/1083),IF(C1947="JR",SUMIFS($D:$D,$A:$A,$A1947,$B:$B,"&lt;&gt;Patrícia Karla de Sousa Araújo",$B:$B,"&lt;&gt;Lorena Dias de Araujo",$B:$B,"&lt;&gt;Lucas Luiz Romero")*(20/1083),IF(C1947="Estágio",SUMIFS($D:$D,$A:$A,$A1947,$B:$B,"&lt;&gt;Patrícia Karla de Sousa Araújo",$B:$B,"&lt;&gt;Lorena Dias de Araujo",$B:$B,"&lt;&gt;Lucas Luiz Romero")*(10/1083),0)))))),0)</f>
        <v>27</v>
      </c>
      <c r="K1947" s="3">
        <f>I1947-J1947</f>
        <v>8</v>
      </c>
      <c r="L1947" s="3" t="str">
        <f>IF(K1947&lt;-5,"CRÍTICO",IF(K1947&lt;0,"ATENÇÃO",IF(K1947&lt;=5,"BOM","EXCELENTE")))</f>
        <v>EXCELENTE</v>
      </c>
      <c r="M1947">
        <v>18</v>
      </c>
      <c r="N1947">
        <v>96.3</v>
      </c>
      <c r="O1947">
        <v>24.29378531073446</v>
      </c>
    </row>
    <row r="1948" spans="1:15" hidden="1" x14ac:dyDescent="0.25">
      <c r="A1948" s="11">
        <v>46062</v>
      </c>
      <c r="B1948" t="s">
        <v>62</v>
      </c>
      <c r="C1948" t="s">
        <v>23</v>
      </c>
      <c r="D1948">
        <v>24</v>
      </c>
      <c r="E1948">
        <v>19</v>
      </c>
      <c r="F1948">
        <v>18.43</v>
      </c>
      <c r="G1948">
        <v>0</v>
      </c>
      <c r="H1948">
        <v>0</v>
      </c>
      <c r="I1948" s="3">
        <f>E1948+G1948+H1948</f>
        <v>19</v>
      </c>
      <c r="J1948" s="3">
        <f>ROUND(MIN(IF(C1948="Técnico III",35,IF(C1948="Técnico II",28,IF(C1948="Técnico I",23,IF(C1948="JR",20,IF(C1948="Estágio",10,0))))),IF(C1948="Técnico III",SUMIFS($D:$D,$A:$A,$A1948,$B:$B,"&lt;&gt;Patrícia Karla de Sousa Araújo",$B:$B,"&lt;&gt;Lorena Dias de Araujo",$B:$B,"&lt;&gt;Lucas Luiz Romero")*(35/1083),IF(C1948="Técnico II",SUMIFS($D:$D,$A:$A,$A1948,$B:$B,"&lt;&gt;Patrícia Karla de Sousa Araújo",$B:$B,"&lt;&gt;Lorena Dias de Araujo",$B:$B,"&lt;&gt;Lucas Luiz Romero")*(28/1083),IF(C1948="Técnico I",SUMIFS($D:$D,$A:$A,$A1948,$B:$B,"&lt;&gt;Patrícia Karla de Sousa Araújo",$B:$B,"&lt;&gt;Lorena Dias de Araujo",$B:$B,"&lt;&gt;Lucas Luiz Romero")*(23/1083),IF(C1948="JR",SUMIFS($D:$D,$A:$A,$A1948,$B:$B,"&lt;&gt;Patrícia Karla de Sousa Araújo",$B:$B,"&lt;&gt;Lorena Dias de Araujo",$B:$B,"&lt;&gt;Lucas Luiz Romero")*(20/1083),IF(C1948="Estágio",SUMIFS($D:$D,$A:$A,$A1948,$B:$B,"&lt;&gt;Patrícia Karla de Sousa Araújo",$B:$B,"&lt;&gt;Lorena Dias de Araujo",$B:$B,"&lt;&gt;Lucas Luiz Romero")*(10/1083),0)))))),0)</f>
        <v>18</v>
      </c>
      <c r="K1948" s="3">
        <f>I1948-J1948</f>
        <v>1</v>
      </c>
      <c r="L1948" s="3" t="str">
        <f>IF(K1948&lt;-5,"CRÍTICO",IF(K1948&lt;0,"ATENÇÃO",IF(K1948&lt;=5,"BOM","EXCELENTE")))</f>
        <v>BOM</v>
      </c>
      <c r="M1948">
        <v>20</v>
      </c>
      <c r="N1948">
        <v>100</v>
      </c>
      <c r="O1948">
        <v>26.543209876543209</v>
      </c>
    </row>
    <row r="1949" spans="1:15" hidden="1" x14ac:dyDescent="0.25">
      <c r="A1949" s="11">
        <v>46062</v>
      </c>
      <c r="B1949" t="s">
        <v>19</v>
      </c>
      <c r="C1949" t="s">
        <v>16</v>
      </c>
      <c r="D1949">
        <v>0</v>
      </c>
      <c r="E1949">
        <v>0</v>
      </c>
      <c r="F1949">
        <v>0</v>
      </c>
      <c r="G1949">
        <v>0</v>
      </c>
      <c r="H1949">
        <v>0</v>
      </c>
      <c r="I1949" s="3">
        <v>0</v>
      </c>
      <c r="J1949" s="3">
        <v>0</v>
      </c>
      <c r="K1949" s="3">
        <v>0</v>
      </c>
      <c r="L1949" s="3" t="str">
        <f>IF(K1949&lt;-5,"CRÍTICO",IF(K1949&lt;0,"ATENÇÃO",IF(K1949&lt;=5,"BOM","EXCELENTE")))</f>
        <v>BOM</v>
      </c>
      <c r="M1949">
        <v>0</v>
      </c>
      <c r="N1949">
        <v>100</v>
      </c>
      <c r="O1949">
        <v>35.483870967741943</v>
      </c>
    </row>
    <row r="1950" spans="1:15" hidden="1" x14ac:dyDescent="0.25">
      <c r="A1950" s="11">
        <v>46062</v>
      </c>
      <c r="B1950" t="s">
        <v>43</v>
      </c>
      <c r="C1950" t="s">
        <v>32</v>
      </c>
      <c r="D1950">
        <v>26</v>
      </c>
      <c r="E1950">
        <v>24</v>
      </c>
      <c r="F1950">
        <v>15.49</v>
      </c>
      <c r="G1950">
        <v>0</v>
      </c>
      <c r="H1950">
        <v>0</v>
      </c>
      <c r="I1950" s="3">
        <f>E1950+G1950+H1950</f>
        <v>24</v>
      </c>
      <c r="J1950" s="3">
        <f>ROUND(MIN(IF(C1950="Técnico III",35,IF(C1950="Técnico II",28,IF(C1950="Técnico I",23,IF(C1950="JR",20,IF(C1950="Estágio",10,0))))),IF(C1950="Técnico III",SUMIFS($D:$D,$A:$A,$A1950,$B:$B,"&lt;&gt;Patrícia Karla de Sousa Araújo",$B:$B,"&lt;&gt;Lorena Dias de Araujo",$B:$B,"&lt;&gt;Lucas Luiz Romero")*(35/1083),IF(C1950="Técnico II",SUMIFS($D:$D,$A:$A,$A1950,$B:$B,"&lt;&gt;Patrícia Karla de Sousa Araújo",$B:$B,"&lt;&gt;Lorena Dias de Araujo",$B:$B,"&lt;&gt;Lucas Luiz Romero")*(28/1083),IF(C1950="Técnico I",SUMIFS($D:$D,$A:$A,$A1950,$B:$B,"&lt;&gt;Patrícia Karla de Sousa Araújo",$B:$B,"&lt;&gt;Lorena Dias de Araujo",$B:$B,"&lt;&gt;Lucas Luiz Romero")*(23/1083),IF(C1950="JR",SUMIFS($D:$D,$A:$A,$A1950,$B:$B,"&lt;&gt;Patrícia Karla de Sousa Araújo",$B:$B,"&lt;&gt;Lorena Dias de Araujo",$B:$B,"&lt;&gt;Lucas Luiz Romero")*(20/1083),IF(C1950="Estágio",SUMIFS($D:$D,$A:$A,$A1950,$B:$B,"&lt;&gt;Patrícia Karla de Sousa Araújo",$B:$B,"&lt;&gt;Lorena Dias de Araujo",$B:$B,"&lt;&gt;Lucas Luiz Romero")*(10/1083),0)))))),0)</f>
        <v>27</v>
      </c>
      <c r="K1950" s="3">
        <f>I1950-J1950</f>
        <v>-3</v>
      </c>
      <c r="L1950" s="3" t="str">
        <f>IF(K1950&lt;-5,"CRÍTICO",IF(K1950&lt;0,"ATENÇÃO",IF(K1950&lt;=5,"BOM","EXCELENTE")))</f>
        <v>ATENÇÃO</v>
      </c>
      <c r="M1950">
        <v>26</v>
      </c>
      <c r="N1950">
        <v>99.27</v>
      </c>
      <c r="O1950">
        <v>31.163708086785011</v>
      </c>
    </row>
    <row r="1951" spans="1:15" hidden="1" x14ac:dyDescent="0.25">
      <c r="A1951" s="11">
        <v>46062</v>
      </c>
      <c r="B1951" t="s">
        <v>44</v>
      </c>
      <c r="C1951" t="s">
        <v>32</v>
      </c>
      <c r="D1951">
        <v>28</v>
      </c>
      <c r="E1951">
        <v>25</v>
      </c>
      <c r="F1951">
        <v>22.11</v>
      </c>
      <c r="G1951">
        <v>0</v>
      </c>
      <c r="H1951">
        <v>0</v>
      </c>
      <c r="I1951" s="3">
        <f>E1951+G1951+H1951</f>
        <v>25</v>
      </c>
      <c r="J1951" s="3">
        <f>ROUND(MIN(IF(C1951="Técnico III",35,IF(C1951="Técnico II",28,IF(C1951="Técnico I",23,IF(C1951="JR",20,IF(C1951="Estágio",10,0))))),IF(C1951="Técnico III",SUMIFS($D:$D,$A:$A,$A1951,$B:$B,"&lt;&gt;Patrícia Karla de Sousa Araújo",$B:$B,"&lt;&gt;Lorena Dias de Araujo",$B:$B,"&lt;&gt;Lucas Luiz Romero")*(35/1083),IF(C1951="Técnico II",SUMIFS($D:$D,$A:$A,$A1951,$B:$B,"&lt;&gt;Patrícia Karla de Sousa Araújo",$B:$B,"&lt;&gt;Lorena Dias de Araujo",$B:$B,"&lt;&gt;Lucas Luiz Romero")*(28/1083),IF(C1951="Técnico I",SUMIFS($D:$D,$A:$A,$A1951,$B:$B,"&lt;&gt;Patrícia Karla de Sousa Araújo",$B:$B,"&lt;&gt;Lorena Dias de Araujo",$B:$B,"&lt;&gt;Lucas Luiz Romero")*(23/1083),IF(C1951="JR",SUMIFS($D:$D,$A:$A,$A1951,$B:$B,"&lt;&gt;Patrícia Karla de Sousa Araújo",$B:$B,"&lt;&gt;Lorena Dias de Araujo",$B:$B,"&lt;&gt;Lucas Luiz Romero")*(20/1083),IF(C1951="Estágio",SUMIFS($D:$D,$A:$A,$A1951,$B:$B,"&lt;&gt;Patrícia Karla de Sousa Araújo",$B:$B,"&lt;&gt;Lorena Dias de Araujo",$B:$B,"&lt;&gt;Lucas Luiz Romero")*(10/1083),0)))))),0)</f>
        <v>27</v>
      </c>
      <c r="K1951" s="3">
        <f>I1951-J1951</f>
        <v>-2</v>
      </c>
      <c r="L1951" s="3" t="str">
        <f>IF(K1951&lt;-5,"CRÍTICO",IF(K1951&lt;0,"ATENÇÃO",IF(K1951&lt;=5,"BOM","EXCELENTE")))</f>
        <v>ATENÇÃO</v>
      </c>
      <c r="M1951">
        <v>20</v>
      </c>
      <c r="N1951">
        <v>94.16</v>
      </c>
      <c r="O1951">
        <v>27.038626609442058</v>
      </c>
    </row>
    <row r="1952" spans="1:15" hidden="1" x14ac:dyDescent="0.25">
      <c r="A1952" s="11">
        <v>46062</v>
      </c>
      <c r="B1952" t="s">
        <v>20</v>
      </c>
      <c r="C1952" t="s">
        <v>16</v>
      </c>
      <c r="D1952">
        <v>9</v>
      </c>
      <c r="E1952">
        <v>9</v>
      </c>
      <c r="F1952">
        <v>66.56</v>
      </c>
      <c r="G1952">
        <v>0</v>
      </c>
      <c r="H1952">
        <v>0</v>
      </c>
      <c r="I1952" s="3">
        <f>E1952+G1952+H1952</f>
        <v>9</v>
      </c>
      <c r="J1952" s="3">
        <f>ROUND(MIN(IF(C1952="Técnico III",35,IF(C1952="Técnico II",28,IF(C1952="Técnico I",23,IF(C1952="JR",20,IF(C1952="Estágio",10,0))))),IF(C1952="Técnico III",SUMIFS($D:$D,$A:$A,$A1952,$B:$B,"&lt;&gt;Patrícia Karla de Sousa Araújo",$B:$B,"&lt;&gt;Lorena Dias de Araujo",$B:$B,"&lt;&gt;Lucas Luiz Romero")*(35/1083),IF(C1952="Técnico II",SUMIFS($D:$D,$A:$A,$A1952,$B:$B,"&lt;&gt;Patrícia Karla de Sousa Araújo",$B:$B,"&lt;&gt;Lorena Dias de Araujo",$B:$B,"&lt;&gt;Lucas Luiz Romero")*(28/1083),IF(C1952="Técnico I",SUMIFS($D:$D,$A:$A,$A1952,$B:$B,"&lt;&gt;Patrícia Karla de Sousa Araújo",$B:$B,"&lt;&gt;Lorena Dias de Araujo",$B:$B,"&lt;&gt;Lucas Luiz Romero")*(23/1083),IF(C1952="JR",SUMIFS($D:$D,$A:$A,$A1952,$B:$B,"&lt;&gt;Patrícia Karla de Sousa Araújo",$B:$B,"&lt;&gt;Lorena Dias de Araujo",$B:$B,"&lt;&gt;Lucas Luiz Romero")*(20/1083),IF(C1952="Estágio",SUMIFS($D:$D,$A:$A,$A1952,$B:$B,"&lt;&gt;Patrícia Karla de Sousa Araújo",$B:$B,"&lt;&gt;Lorena Dias de Araujo",$B:$B,"&lt;&gt;Lucas Luiz Romero")*(10/1083),0)))))),0)</f>
        <v>8</v>
      </c>
      <c r="K1952" s="3">
        <f>I1952-J1952</f>
        <v>1</v>
      </c>
      <c r="L1952" s="3" t="str">
        <f>IF(K1952&lt;-5,"CRÍTICO",IF(K1952&lt;0,"ATENÇÃO",IF(K1952&lt;=5,"BOM","EXCELENTE")))</f>
        <v>BOM</v>
      </c>
      <c r="M1952">
        <v>6</v>
      </c>
      <c r="N1952">
        <v>93.75</v>
      </c>
      <c r="O1952">
        <v>19.31818181818182</v>
      </c>
    </row>
    <row r="1953" spans="1:15" hidden="1" x14ac:dyDescent="0.25">
      <c r="A1953" s="11">
        <v>46062</v>
      </c>
      <c r="B1953" t="s">
        <v>28</v>
      </c>
      <c r="C1953" t="s">
        <v>26</v>
      </c>
      <c r="D1953">
        <v>0</v>
      </c>
      <c r="E1953">
        <v>0</v>
      </c>
      <c r="F1953">
        <v>0</v>
      </c>
      <c r="G1953">
        <v>0</v>
      </c>
      <c r="H1953">
        <v>0</v>
      </c>
      <c r="I1953" s="3">
        <v>0</v>
      </c>
      <c r="J1953" s="3">
        <v>0</v>
      </c>
      <c r="K1953" s="3">
        <v>0</v>
      </c>
      <c r="L1953" s="3" t="str">
        <f>IF(K1953&lt;-5,"CRÍTICO",IF(K1953&lt;0,"ATENÇÃO",IF(K1953&lt;=5,"BOM","EXCELENTE")))</f>
        <v>BOM</v>
      </c>
      <c r="M1953">
        <v>0</v>
      </c>
      <c r="N1953">
        <v>0</v>
      </c>
      <c r="O1953">
        <v>0</v>
      </c>
    </row>
    <row r="1954" spans="1:15" hidden="1" x14ac:dyDescent="0.25">
      <c r="A1954" s="11">
        <v>46062</v>
      </c>
      <c r="B1954" t="s">
        <v>58</v>
      </c>
      <c r="C1954" t="s">
        <v>48</v>
      </c>
      <c r="D1954">
        <v>0</v>
      </c>
      <c r="E1954">
        <v>0</v>
      </c>
      <c r="F1954">
        <v>0</v>
      </c>
      <c r="G1954">
        <v>0</v>
      </c>
      <c r="H1954">
        <v>0</v>
      </c>
      <c r="I1954" s="3">
        <v>0</v>
      </c>
      <c r="J1954" s="3">
        <v>0</v>
      </c>
      <c r="K1954" s="3">
        <v>0</v>
      </c>
      <c r="L1954" s="3" t="str">
        <f>IF(K1954&lt;-5,"CRÍTICO",IF(K1954&lt;0,"ATENÇÃO",IF(K1954&lt;=5,"BOM","EXCELENTE")))</f>
        <v>BOM</v>
      </c>
      <c r="M1954">
        <v>0</v>
      </c>
      <c r="N1954">
        <v>97.92</v>
      </c>
      <c r="O1954">
        <v>32.87671232876712</v>
      </c>
    </row>
    <row r="1955" spans="1:15" hidden="1" x14ac:dyDescent="0.25">
      <c r="A1955" s="11">
        <v>46062</v>
      </c>
      <c r="B1955" t="s">
        <v>29</v>
      </c>
      <c r="C1955" t="s">
        <v>26</v>
      </c>
      <c r="D1955">
        <v>0</v>
      </c>
      <c r="E1955">
        <v>0</v>
      </c>
      <c r="F1955">
        <v>0</v>
      </c>
      <c r="G1955">
        <v>0</v>
      </c>
      <c r="H1955">
        <v>0</v>
      </c>
      <c r="I1955" s="3">
        <v>0</v>
      </c>
      <c r="J1955" s="3">
        <v>0</v>
      </c>
      <c r="K1955" s="3">
        <v>0</v>
      </c>
      <c r="L1955" s="3" t="str">
        <f>IF(K1955&lt;-5,"CRÍTICO",IF(K1955&lt;0,"ATENÇÃO",IF(K1955&lt;=5,"BOM","EXCELENTE")))</f>
        <v>BOM</v>
      </c>
      <c r="M1955">
        <v>0</v>
      </c>
      <c r="N1955">
        <v>0</v>
      </c>
      <c r="O1955">
        <v>0</v>
      </c>
    </row>
    <row r="1956" spans="1:15" hidden="1" x14ac:dyDescent="0.25">
      <c r="A1956" s="11">
        <v>46062</v>
      </c>
      <c r="B1956" t="s">
        <v>30</v>
      </c>
      <c r="C1956" t="s">
        <v>26</v>
      </c>
      <c r="D1956">
        <v>0</v>
      </c>
      <c r="E1956">
        <v>0</v>
      </c>
      <c r="F1956">
        <v>0</v>
      </c>
      <c r="G1956">
        <v>0</v>
      </c>
      <c r="H1956">
        <v>0</v>
      </c>
      <c r="I1956" s="3">
        <v>0</v>
      </c>
      <c r="J1956" s="3">
        <v>0</v>
      </c>
      <c r="K1956" s="3">
        <v>0</v>
      </c>
      <c r="L1956" s="3" t="str">
        <f>IF(K1956&lt;-5,"CRÍTICO",IF(K1956&lt;0,"ATENÇÃO",IF(K1956&lt;=5,"BOM","EXCELENTE")))</f>
        <v>BOM</v>
      </c>
      <c r="M1956">
        <v>0</v>
      </c>
      <c r="N1956">
        <v>0</v>
      </c>
      <c r="O1956">
        <v>0</v>
      </c>
    </row>
    <row r="1957" spans="1:15" hidden="1" x14ac:dyDescent="0.25">
      <c r="A1957" s="11">
        <v>46062</v>
      </c>
      <c r="B1957" t="s">
        <v>21</v>
      </c>
      <c r="C1957" t="s">
        <v>16</v>
      </c>
      <c r="D1957">
        <v>0</v>
      </c>
      <c r="E1957">
        <v>0</v>
      </c>
      <c r="F1957">
        <v>0</v>
      </c>
      <c r="G1957">
        <v>0</v>
      </c>
      <c r="H1957">
        <v>0</v>
      </c>
      <c r="I1957" s="3">
        <v>0</v>
      </c>
      <c r="J1957" s="3">
        <v>0</v>
      </c>
      <c r="K1957" s="3">
        <v>0</v>
      </c>
      <c r="L1957" s="3" t="str">
        <f>IF(K1957&lt;-5,"CRÍTICO",IF(K1957&lt;0,"ATENÇÃO",IF(K1957&lt;=5,"BOM","EXCELENTE")))</f>
        <v>BOM</v>
      </c>
      <c r="M1957">
        <v>0</v>
      </c>
      <c r="N1957">
        <v>0</v>
      </c>
      <c r="O1957">
        <v>0</v>
      </c>
    </row>
    <row r="1958" spans="1:15" hidden="1" x14ac:dyDescent="0.25">
      <c r="A1958" s="11">
        <v>46062</v>
      </c>
      <c r="B1958" t="s">
        <v>63</v>
      </c>
      <c r="C1958" t="s">
        <v>23</v>
      </c>
      <c r="D1958">
        <v>25</v>
      </c>
      <c r="E1958">
        <v>23</v>
      </c>
      <c r="F1958">
        <v>25.23</v>
      </c>
      <c r="G1958">
        <v>0</v>
      </c>
      <c r="H1958">
        <v>0</v>
      </c>
      <c r="I1958" s="3">
        <f>E1958+G1958+H1958</f>
        <v>23</v>
      </c>
      <c r="J1958" s="3">
        <f>ROUND(MIN(IF(C1958="Técnico III",35,IF(C1958="Técnico II",28,IF(C1958="Técnico I",23,IF(C1958="JR",20,IF(C1958="Estágio",10,0))))),IF(C1958="Técnico III",SUMIFS($D:$D,$A:$A,$A1958,$B:$B,"&lt;&gt;Patrícia Karla de Sousa Araújo",$B:$B,"&lt;&gt;Lorena Dias de Araujo",$B:$B,"&lt;&gt;Lucas Luiz Romero")*(35/1083),IF(C1958="Técnico II",SUMIFS($D:$D,$A:$A,$A1958,$B:$B,"&lt;&gt;Patrícia Karla de Sousa Araújo",$B:$B,"&lt;&gt;Lorena Dias de Araujo",$B:$B,"&lt;&gt;Lucas Luiz Romero")*(28/1083),IF(C1958="Técnico I",SUMIFS($D:$D,$A:$A,$A1958,$B:$B,"&lt;&gt;Patrícia Karla de Sousa Araújo",$B:$B,"&lt;&gt;Lorena Dias de Araujo",$B:$B,"&lt;&gt;Lucas Luiz Romero")*(23/1083),IF(C1958="JR",SUMIFS($D:$D,$A:$A,$A1958,$B:$B,"&lt;&gt;Patrícia Karla de Sousa Araújo",$B:$B,"&lt;&gt;Lorena Dias de Araujo",$B:$B,"&lt;&gt;Lucas Luiz Romero")*(20/1083),IF(C1958="Estágio",SUMIFS($D:$D,$A:$A,$A1958,$B:$B,"&lt;&gt;Patrícia Karla de Sousa Araújo",$B:$B,"&lt;&gt;Lorena Dias de Araujo",$B:$B,"&lt;&gt;Lucas Luiz Romero")*(10/1083),0)))))),0)</f>
        <v>18</v>
      </c>
      <c r="K1958" s="3">
        <f>I1958-J1958</f>
        <v>5</v>
      </c>
      <c r="L1958" s="3" t="str">
        <f>IF(K1958&lt;-5,"CRÍTICO",IF(K1958&lt;0,"ATENÇÃO",IF(K1958&lt;=5,"BOM","EXCELENTE")))</f>
        <v>BOM</v>
      </c>
      <c r="M1958">
        <v>19</v>
      </c>
      <c r="N1958">
        <v>98.51</v>
      </c>
      <c r="O1958">
        <v>29.710144927536231</v>
      </c>
    </row>
    <row r="1959" spans="1:15" hidden="1" x14ac:dyDescent="0.25">
      <c r="A1959" s="11">
        <v>46062</v>
      </c>
      <c r="B1959" t="s">
        <v>45</v>
      </c>
      <c r="C1959" t="s">
        <v>32</v>
      </c>
      <c r="D1959">
        <v>50</v>
      </c>
      <c r="E1959">
        <v>44</v>
      </c>
      <c r="F1959">
        <v>13.24</v>
      </c>
      <c r="G1959">
        <v>0</v>
      </c>
      <c r="H1959">
        <v>0</v>
      </c>
      <c r="I1959" s="3">
        <f>E1959+G1959+H1959</f>
        <v>44</v>
      </c>
      <c r="J1959" s="3">
        <f>ROUND(MIN(IF(C1959="Técnico III",35,IF(C1959="Técnico II",28,IF(C1959="Técnico I",23,IF(C1959="JR",20,IF(C1959="Estágio",10,0))))),IF(C1959="Técnico III",SUMIFS($D:$D,$A:$A,$A1959,$B:$B,"&lt;&gt;Patrícia Karla de Sousa Araújo",$B:$B,"&lt;&gt;Lorena Dias de Araujo",$B:$B,"&lt;&gt;Lucas Luiz Romero")*(35/1083),IF(C1959="Técnico II",SUMIFS($D:$D,$A:$A,$A1959,$B:$B,"&lt;&gt;Patrícia Karla de Sousa Araújo",$B:$B,"&lt;&gt;Lorena Dias de Araujo",$B:$B,"&lt;&gt;Lucas Luiz Romero")*(28/1083),IF(C1959="Técnico I",SUMIFS($D:$D,$A:$A,$A1959,$B:$B,"&lt;&gt;Patrícia Karla de Sousa Araújo",$B:$B,"&lt;&gt;Lorena Dias de Araujo",$B:$B,"&lt;&gt;Lucas Luiz Romero")*(23/1083),IF(C1959="JR",SUMIFS($D:$D,$A:$A,$A1959,$B:$B,"&lt;&gt;Patrícia Karla de Sousa Araújo",$B:$B,"&lt;&gt;Lorena Dias de Araujo",$B:$B,"&lt;&gt;Lucas Luiz Romero")*(20/1083),IF(C1959="Estágio",SUMIFS($D:$D,$A:$A,$A1959,$B:$B,"&lt;&gt;Patrícia Karla de Sousa Araújo",$B:$B,"&lt;&gt;Lorena Dias de Araujo",$B:$B,"&lt;&gt;Lucas Luiz Romero")*(10/1083),0)))))),0)</f>
        <v>27</v>
      </c>
      <c r="K1959" s="3">
        <f>I1959-J1959</f>
        <v>17</v>
      </c>
      <c r="L1959" s="3" t="str">
        <f>IF(K1959&lt;-5,"CRÍTICO",IF(K1959&lt;0,"ATENÇÃO",IF(K1959&lt;=5,"BOM","EXCELENTE")))</f>
        <v>EXCELENTE</v>
      </c>
      <c r="M1959">
        <v>39</v>
      </c>
      <c r="N1959">
        <v>98.81</v>
      </c>
      <c r="O1959">
        <v>30.712979890310791</v>
      </c>
    </row>
    <row r="1960" spans="1:15" hidden="1" x14ac:dyDescent="0.25">
      <c r="A1960" s="11">
        <v>46062</v>
      </c>
      <c r="B1960" t="s">
        <v>64</v>
      </c>
      <c r="C1960" t="s">
        <v>23</v>
      </c>
      <c r="D1960">
        <v>10</v>
      </c>
      <c r="E1960">
        <v>10</v>
      </c>
      <c r="F1960">
        <v>71.47</v>
      </c>
      <c r="G1960">
        <v>0</v>
      </c>
      <c r="H1960">
        <v>0</v>
      </c>
      <c r="I1960" s="3">
        <f>E1960+G1960+H1960</f>
        <v>10</v>
      </c>
      <c r="J1960" s="3">
        <f>ROUND(MIN(IF(C1960="Técnico III",35,IF(C1960="Técnico II",28,IF(C1960="Técnico I",23,IF(C1960="JR",20,IF(C1960="Estágio",10,0))))),IF(C1960="Técnico III",SUMIFS($D:$D,$A:$A,$A1960,$B:$B,"&lt;&gt;Patrícia Karla de Sousa Araújo",$B:$B,"&lt;&gt;Lorena Dias de Araujo",$B:$B,"&lt;&gt;Lucas Luiz Romero")*(35/1083),IF(C1960="Técnico II",SUMIFS($D:$D,$A:$A,$A1960,$B:$B,"&lt;&gt;Patrícia Karla de Sousa Araújo",$B:$B,"&lt;&gt;Lorena Dias de Araujo",$B:$B,"&lt;&gt;Lucas Luiz Romero")*(28/1083),IF(C1960="Técnico I",SUMIFS($D:$D,$A:$A,$A1960,$B:$B,"&lt;&gt;Patrícia Karla de Sousa Araújo",$B:$B,"&lt;&gt;Lorena Dias de Araujo",$B:$B,"&lt;&gt;Lucas Luiz Romero")*(23/1083),IF(C1960="JR",SUMIFS($D:$D,$A:$A,$A1960,$B:$B,"&lt;&gt;Patrícia Karla de Sousa Araújo",$B:$B,"&lt;&gt;Lorena Dias de Araujo",$B:$B,"&lt;&gt;Lucas Luiz Romero")*(20/1083),IF(C1960="Estágio",SUMIFS($D:$D,$A:$A,$A1960,$B:$B,"&lt;&gt;Patrícia Karla de Sousa Araújo",$B:$B,"&lt;&gt;Lorena Dias de Araujo",$B:$B,"&lt;&gt;Lucas Luiz Romero")*(10/1083),0)))))),0)</f>
        <v>18</v>
      </c>
      <c r="K1960" s="3">
        <f>I1960-J1960</f>
        <v>-8</v>
      </c>
      <c r="L1960" s="3" t="str">
        <f>IF(K1960&lt;-5,"CRÍTICO",IF(K1960&lt;0,"ATENÇÃO",IF(K1960&lt;=5,"BOM","EXCELENTE")))</f>
        <v>CRÍTICO</v>
      </c>
      <c r="M1960">
        <v>8</v>
      </c>
      <c r="N1960">
        <v>98.48</v>
      </c>
      <c r="O1960">
        <v>29.35323383084577</v>
      </c>
    </row>
    <row r="1961" spans="1:15" hidden="1" x14ac:dyDescent="0.25">
      <c r="A1961" s="11">
        <v>46062</v>
      </c>
      <c r="B1961" t="s">
        <v>46</v>
      </c>
      <c r="C1961" t="s">
        <v>32</v>
      </c>
      <c r="D1961">
        <v>29</v>
      </c>
      <c r="E1961">
        <v>28</v>
      </c>
      <c r="F1961">
        <v>20.18</v>
      </c>
      <c r="G1961">
        <v>0</v>
      </c>
      <c r="H1961">
        <v>0</v>
      </c>
      <c r="I1961" s="3">
        <f>E1961+G1961+H1961</f>
        <v>28</v>
      </c>
      <c r="J1961" s="3">
        <f>ROUND(MIN(IF(C1961="Técnico III",35,IF(C1961="Técnico II",28,IF(C1961="Técnico I",23,IF(C1961="JR",20,IF(C1961="Estágio",10,0))))),IF(C1961="Técnico III",SUMIFS($D:$D,$A:$A,$A1961,$B:$B,"&lt;&gt;Patrícia Karla de Sousa Araújo",$B:$B,"&lt;&gt;Lorena Dias de Araujo",$B:$B,"&lt;&gt;Lucas Luiz Romero")*(35/1083),IF(C1961="Técnico II",SUMIFS($D:$D,$A:$A,$A1961,$B:$B,"&lt;&gt;Patrícia Karla de Sousa Araújo",$B:$B,"&lt;&gt;Lorena Dias de Araujo",$B:$B,"&lt;&gt;Lucas Luiz Romero")*(28/1083),IF(C1961="Técnico I",SUMIFS($D:$D,$A:$A,$A1961,$B:$B,"&lt;&gt;Patrícia Karla de Sousa Araújo",$B:$B,"&lt;&gt;Lorena Dias de Araujo",$B:$B,"&lt;&gt;Lucas Luiz Romero")*(23/1083),IF(C1961="JR",SUMIFS($D:$D,$A:$A,$A1961,$B:$B,"&lt;&gt;Patrícia Karla de Sousa Araújo",$B:$B,"&lt;&gt;Lorena Dias de Araujo",$B:$B,"&lt;&gt;Lucas Luiz Romero")*(20/1083),IF(C1961="Estágio",SUMIFS($D:$D,$A:$A,$A1961,$B:$B,"&lt;&gt;Patrícia Karla de Sousa Araújo",$B:$B,"&lt;&gt;Lorena Dias de Araujo",$B:$B,"&lt;&gt;Lucas Luiz Romero")*(10/1083),0)))))),0)</f>
        <v>27</v>
      </c>
      <c r="K1961" s="3">
        <f>I1961-J1961</f>
        <v>1</v>
      </c>
      <c r="L1961" s="3" t="str">
        <f>IF(K1961&lt;-5,"CRÍTICO",IF(K1961&lt;0,"ATENÇÃO",IF(K1961&lt;=5,"BOM","EXCELENTE")))</f>
        <v>BOM</v>
      </c>
      <c r="M1961">
        <v>25</v>
      </c>
      <c r="N1961">
        <v>98.56</v>
      </c>
      <c r="O1961">
        <v>29.373650107991359</v>
      </c>
    </row>
    <row r="1962" spans="1:15" hidden="1" x14ac:dyDescent="0.25">
      <c r="A1962" s="11">
        <v>46063</v>
      </c>
      <c r="B1962" t="s">
        <v>47</v>
      </c>
      <c r="C1962" t="s">
        <v>48</v>
      </c>
      <c r="D1962">
        <v>29</v>
      </c>
      <c r="E1962">
        <v>27</v>
      </c>
      <c r="F1962">
        <v>18.36</v>
      </c>
      <c r="G1962">
        <v>0</v>
      </c>
      <c r="H1962">
        <v>0</v>
      </c>
      <c r="I1962" s="3">
        <f>E1962+G1962+H1962</f>
        <v>27</v>
      </c>
      <c r="J1962" s="3">
        <f>ROUND(MIN(IF(C1962="Técnico III",35,IF(C1962="Técnico II",28,IF(C1962="Técnico I",23,IF(C1962="JR",20,IF(C1962="Estágio",10,0))))),IF(C1962="Técnico III",SUMIFS($D:$D,$A:$A,$A1962,$B:$B,"&lt;&gt;Patrícia Karla de Sousa Araújo",$B:$B,"&lt;&gt;Lorena Dias de Araujo",$B:$B,"&lt;&gt;Lucas Luiz Romero")*(35/1083),IF(C1962="Técnico II",SUMIFS($D:$D,$A:$A,$A1962,$B:$B,"&lt;&gt;Patrícia Karla de Sousa Araújo",$B:$B,"&lt;&gt;Lorena Dias de Araujo",$B:$B,"&lt;&gt;Lucas Luiz Romero")*(28/1083),IF(C1962="Técnico I",SUMIFS($D:$D,$A:$A,$A1962,$B:$B,"&lt;&gt;Patrícia Karla de Sousa Araújo",$B:$B,"&lt;&gt;Lorena Dias de Araujo",$B:$B,"&lt;&gt;Lucas Luiz Romero")*(23/1083),IF(C1962="JR",SUMIFS($D:$D,$A:$A,$A1962,$B:$B,"&lt;&gt;Patrícia Karla de Sousa Araújo",$B:$B,"&lt;&gt;Lorena Dias de Araujo",$B:$B,"&lt;&gt;Lucas Luiz Romero")*(20/1083),IF(C1962="Estágio",SUMIFS($D:$D,$A:$A,$A1962,$B:$B,"&lt;&gt;Patrícia Karla de Sousa Araújo",$B:$B,"&lt;&gt;Lorena Dias de Araujo",$B:$B,"&lt;&gt;Lucas Luiz Romero")*(10/1083),0)))))),0)</f>
        <v>24</v>
      </c>
      <c r="K1962" s="3">
        <f>I1962-J1962</f>
        <v>3</v>
      </c>
      <c r="L1962" s="3" t="str">
        <f>IF(K1962&lt;-5,"CRÍTICO",IF(K1962&lt;0,"ATENÇÃO",IF(K1962&lt;=5,"BOM","EXCELENTE")))</f>
        <v>BOM</v>
      </c>
      <c r="M1962">
        <v>23</v>
      </c>
      <c r="N1962">
        <v>98.32</v>
      </c>
      <c r="O1962">
        <v>30.303030303030301</v>
      </c>
    </row>
    <row r="1963" spans="1:15" hidden="1" x14ac:dyDescent="0.25">
      <c r="A1963" s="11">
        <v>46063</v>
      </c>
      <c r="B1963" t="s">
        <v>31</v>
      </c>
      <c r="C1963" t="s">
        <v>32</v>
      </c>
      <c r="D1963">
        <v>0</v>
      </c>
      <c r="E1963">
        <v>0</v>
      </c>
      <c r="F1963">
        <v>0</v>
      </c>
      <c r="G1963">
        <v>0</v>
      </c>
      <c r="H1963">
        <v>0</v>
      </c>
      <c r="I1963" s="3">
        <v>0</v>
      </c>
      <c r="J1963" s="3">
        <v>0</v>
      </c>
      <c r="K1963" s="3">
        <v>0</v>
      </c>
      <c r="L1963" s="3" t="str">
        <f>IF(K1963&lt;-5,"CRÍTICO",IF(K1963&lt;0,"ATENÇÃO",IF(K1963&lt;=5,"BOM","EXCELENTE")))</f>
        <v>BOM</v>
      </c>
      <c r="M1963">
        <v>36</v>
      </c>
      <c r="N1963">
        <v>98.68</v>
      </c>
      <c r="O1963">
        <v>26.219512195121951</v>
      </c>
    </row>
    <row r="1964" spans="1:15" hidden="1" x14ac:dyDescent="0.25">
      <c r="A1964" s="11">
        <v>46063</v>
      </c>
      <c r="B1964" t="s">
        <v>59</v>
      </c>
      <c r="C1964" t="s">
        <v>23</v>
      </c>
      <c r="D1964">
        <v>24</v>
      </c>
      <c r="E1964">
        <v>23</v>
      </c>
      <c r="F1964">
        <v>26.59</v>
      </c>
      <c r="G1964">
        <v>0</v>
      </c>
      <c r="H1964">
        <v>0</v>
      </c>
      <c r="I1964" s="3">
        <f>E1964+G1964+H1964</f>
        <v>23</v>
      </c>
      <c r="J1964" s="3">
        <f>ROUND(MIN(IF(C1964="Técnico III",35,IF(C1964="Técnico II",28,IF(C1964="Técnico I",23,IF(C1964="JR",20,IF(C1964="Estágio",10,0))))),IF(C1964="Técnico III",SUMIFS($D:$D,$A:$A,$A1964,$B:$B,"&lt;&gt;Patrícia Karla de Sousa Araújo",$B:$B,"&lt;&gt;Lorena Dias de Araujo",$B:$B,"&lt;&gt;Lucas Luiz Romero")*(35/1083),IF(C1964="Técnico II",SUMIFS($D:$D,$A:$A,$A1964,$B:$B,"&lt;&gt;Patrícia Karla de Sousa Araújo",$B:$B,"&lt;&gt;Lorena Dias de Araujo",$B:$B,"&lt;&gt;Lucas Luiz Romero")*(28/1083),IF(C1964="Técnico I",SUMIFS($D:$D,$A:$A,$A1964,$B:$B,"&lt;&gt;Patrícia Karla de Sousa Araújo",$B:$B,"&lt;&gt;Lorena Dias de Araujo",$B:$B,"&lt;&gt;Lucas Luiz Romero")*(23/1083),IF(C1964="JR",SUMIFS($D:$D,$A:$A,$A1964,$B:$B,"&lt;&gt;Patrícia Karla de Sousa Araújo",$B:$B,"&lt;&gt;Lorena Dias de Araujo",$B:$B,"&lt;&gt;Lucas Luiz Romero")*(20/1083),IF(C1964="Estágio",SUMIFS($D:$D,$A:$A,$A1964,$B:$B,"&lt;&gt;Patrícia Karla de Sousa Araújo",$B:$B,"&lt;&gt;Lorena Dias de Araujo",$B:$B,"&lt;&gt;Lucas Luiz Romero")*(10/1083),0)))))),0)</f>
        <v>20</v>
      </c>
      <c r="K1964" s="3">
        <f>I1964-J1964</f>
        <v>3</v>
      </c>
      <c r="L1964" s="3" t="str">
        <f>IF(K1964&lt;-5,"CRÍTICO",IF(K1964&lt;0,"ATENÇÃO",IF(K1964&lt;=5,"BOM","EXCELENTE")))</f>
        <v>BOM</v>
      </c>
      <c r="M1964">
        <v>22</v>
      </c>
      <c r="N1964">
        <v>100</v>
      </c>
      <c r="O1964">
        <v>31.74224343675418</v>
      </c>
    </row>
    <row r="1965" spans="1:15" hidden="1" x14ac:dyDescent="0.25">
      <c r="A1965" s="11">
        <v>46063</v>
      </c>
      <c r="B1965" t="s">
        <v>33</v>
      </c>
      <c r="C1965" t="s">
        <v>32</v>
      </c>
      <c r="D1965">
        <v>42</v>
      </c>
      <c r="E1965">
        <v>37</v>
      </c>
      <c r="F1965">
        <v>17.05</v>
      </c>
      <c r="G1965">
        <v>0</v>
      </c>
      <c r="H1965">
        <v>0</v>
      </c>
      <c r="I1965" s="3">
        <f>E1965+G1965+H1965</f>
        <v>37</v>
      </c>
      <c r="J1965" s="3">
        <f>ROUND(MIN(IF(C1965="Técnico III",35,IF(C1965="Técnico II",28,IF(C1965="Técnico I",23,IF(C1965="JR",20,IF(C1965="Estágio",10,0))))),IF(C1965="Técnico III",SUMIFS($D:$D,$A:$A,$A1965,$B:$B,"&lt;&gt;Patrícia Karla de Sousa Araújo",$B:$B,"&lt;&gt;Lorena Dias de Araujo",$B:$B,"&lt;&gt;Lucas Luiz Romero")*(35/1083),IF(C1965="Técnico II",SUMIFS($D:$D,$A:$A,$A1965,$B:$B,"&lt;&gt;Patrícia Karla de Sousa Araújo",$B:$B,"&lt;&gt;Lorena Dias de Araujo",$B:$B,"&lt;&gt;Lucas Luiz Romero")*(28/1083),IF(C1965="Técnico I",SUMIFS($D:$D,$A:$A,$A1965,$B:$B,"&lt;&gt;Patrícia Karla de Sousa Araújo",$B:$B,"&lt;&gt;Lorena Dias de Araujo",$B:$B,"&lt;&gt;Lucas Luiz Romero")*(23/1083),IF(C1965="JR",SUMIFS($D:$D,$A:$A,$A1965,$B:$B,"&lt;&gt;Patrícia Karla de Sousa Araújo",$B:$B,"&lt;&gt;Lorena Dias de Araujo",$B:$B,"&lt;&gt;Lucas Luiz Romero")*(20/1083),IF(C1965="Estágio",SUMIFS($D:$D,$A:$A,$A1965,$B:$B,"&lt;&gt;Patrícia Karla de Sousa Araújo",$B:$B,"&lt;&gt;Lorena Dias de Araujo",$B:$B,"&lt;&gt;Lucas Luiz Romero")*(10/1083),0)))))),0)</f>
        <v>30</v>
      </c>
      <c r="K1965" s="3">
        <f>I1965-J1965</f>
        <v>7</v>
      </c>
      <c r="L1965" s="3" t="str">
        <f>IF(K1965&lt;-5,"CRÍTICO",IF(K1965&lt;0,"ATENÇÃO",IF(K1965&lt;=5,"BOM","EXCELENTE")))</f>
        <v>EXCELENTE</v>
      </c>
      <c r="M1965">
        <v>33</v>
      </c>
      <c r="N1965">
        <v>98.25</v>
      </c>
      <c r="O1965">
        <v>25.83518930957684</v>
      </c>
    </row>
    <row r="1966" spans="1:15" hidden="1" x14ac:dyDescent="0.25">
      <c r="A1966" s="11">
        <v>46063</v>
      </c>
      <c r="B1966" t="s">
        <v>15</v>
      </c>
      <c r="C1966" t="s">
        <v>16</v>
      </c>
      <c r="D1966">
        <v>11</v>
      </c>
      <c r="E1966">
        <v>9</v>
      </c>
      <c r="F1966">
        <v>28.47</v>
      </c>
      <c r="G1966">
        <v>0</v>
      </c>
      <c r="H1966">
        <v>0</v>
      </c>
      <c r="I1966" s="3">
        <f>E1966+G1966+H1966</f>
        <v>9</v>
      </c>
      <c r="J1966" s="3">
        <f>ROUND(MIN(IF(C1966="Técnico III",35,IF(C1966="Técnico II",28,IF(C1966="Técnico I",23,IF(C1966="JR",20,IF(C1966="Estágio",10,0))))),IF(C1966="Técnico III",SUMIFS($D:$D,$A:$A,$A1966,$B:$B,"&lt;&gt;Patrícia Karla de Sousa Araújo",$B:$B,"&lt;&gt;Lorena Dias de Araujo",$B:$B,"&lt;&gt;Lucas Luiz Romero")*(35/1083),IF(C1966="Técnico II",SUMIFS($D:$D,$A:$A,$A1966,$B:$B,"&lt;&gt;Patrícia Karla de Sousa Araújo",$B:$B,"&lt;&gt;Lorena Dias de Araujo",$B:$B,"&lt;&gt;Lucas Luiz Romero")*(28/1083),IF(C1966="Técnico I",SUMIFS($D:$D,$A:$A,$A1966,$B:$B,"&lt;&gt;Patrícia Karla de Sousa Araújo",$B:$B,"&lt;&gt;Lorena Dias de Araujo",$B:$B,"&lt;&gt;Lucas Luiz Romero")*(23/1083),IF(C1966="JR",SUMIFS($D:$D,$A:$A,$A1966,$B:$B,"&lt;&gt;Patrícia Karla de Sousa Araújo",$B:$B,"&lt;&gt;Lorena Dias de Araujo",$B:$B,"&lt;&gt;Lucas Luiz Romero")*(20/1083),IF(C1966="Estágio",SUMIFS($D:$D,$A:$A,$A1966,$B:$B,"&lt;&gt;Patrícia Karla de Sousa Araújo",$B:$B,"&lt;&gt;Lorena Dias de Araujo",$B:$B,"&lt;&gt;Lucas Luiz Romero")*(10/1083),0)))))),0)</f>
        <v>9</v>
      </c>
      <c r="K1966" s="3">
        <f>I1966-J1966</f>
        <v>0</v>
      </c>
      <c r="L1966" s="3" t="str">
        <f>IF(K1966&lt;-5,"CRÍTICO",IF(K1966&lt;0,"ATENÇÃO",IF(K1966&lt;=5,"BOM","EXCELENTE")))</f>
        <v>BOM</v>
      </c>
      <c r="M1966">
        <v>7</v>
      </c>
      <c r="N1966">
        <v>97.5</v>
      </c>
      <c r="O1966">
        <v>30.075187969924809</v>
      </c>
    </row>
    <row r="1967" spans="1:15" hidden="1" x14ac:dyDescent="0.25">
      <c r="A1967" s="11">
        <v>46063</v>
      </c>
      <c r="B1967" t="s">
        <v>49</v>
      </c>
      <c r="C1967" t="s">
        <v>48</v>
      </c>
      <c r="D1967">
        <v>35</v>
      </c>
      <c r="E1967">
        <v>32</v>
      </c>
      <c r="F1967">
        <v>18.36</v>
      </c>
      <c r="G1967">
        <v>0</v>
      </c>
      <c r="H1967">
        <v>0</v>
      </c>
      <c r="I1967" s="3">
        <f>E1967+G1967+H1967</f>
        <v>32</v>
      </c>
      <c r="J1967" s="3">
        <f>ROUND(MIN(IF(C1967="Técnico III",35,IF(C1967="Técnico II",28,IF(C1967="Técnico I",23,IF(C1967="JR",20,IF(C1967="Estágio",10,0))))),IF(C1967="Técnico III",SUMIFS($D:$D,$A:$A,$A1967,$B:$B,"&lt;&gt;Patrícia Karla de Sousa Araújo",$B:$B,"&lt;&gt;Lorena Dias de Araujo",$B:$B,"&lt;&gt;Lucas Luiz Romero")*(35/1083),IF(C1967="Técnico II",SUMIFS($D:$D,$A:$A,$A1967,$B:$B,"&lt;&gt;Patrícia Karla de Sousa Araújo",$B:$B,"&lt;&gt;Lorena Dias de Araujo",$B:$B,"&lt;&gt;Lucas Luiz Romero")*(28/1083),IF(C1967="Técnico I",SUMIFS($D:$D,$A:$A,$A1967,$B:$B,"&lt;&gt;Patrícia Karla de Sousa Araújo",$B:$B,"&lt;&gt;Lorena Dias de Araujo",$B:$B,"&lt;&gt;Lucas Luiz Romero")*(23/1083),IF(C1967="JR",SUMIFS($D:$D,$A:$A,$A1967,$B:$B,"&lt;&gt;Patrícia Karla de Sousa Araújo",$B:$B,"&lt;&gt;Lorena Dias de Araujo",$B:$B,"&lt;&gt;Lucas Luiz Romero")*(20/1083),IF(C1967="Estágio",SUMIFS($D:$D,$A:$A,$A1967,$B:$B,"&lt;&gt;Patrícia Karla de Sousa Araújo",$B:$B,"&lt;&gt;Lorena Dias de Araujo",$B:$B,"&lt;&gt;Lucas Luiz Romero")*(10/1083),0)))))),0)</f>
        <v>24</v>
      </c>
      <c r="K1967" s="3">
        <f>I1967-J1967</f>
        <v>8</v>
      </c>
      <c r="L1967" s="3" t="str">
        <f>IF(K1967&lt;-5,"CRÍTICO",IF(K1967&lt;0,"ATENÇÃO",IF(K1967&lt;=5,"BOM","EXCELENTE")))</f>
        <v>EXCELENTE</v>
      </c>
      <c r="M1967">
        <v>32</v>
      </c>
      <c r="N1967">
        <v>100</v>
      </c>
      <c r="O1967">
        <v>29.71311475409836</v>
      </c>
    </row>
    <row r="1968" spans="1:15" hidden="1" x14ac:dyDescent="0.25">
      <c r="A1968" s="11">
        <v>46063</v>
      </c>
      <c r="B1968" t="s">
        <v>50</v>
      </c>
      <c r="C1968" t="s">
        <v>48</v>
      </c>
      <c r="D1968">
        <v>27</v>
      </c>
      <c r="E1968">
        <v>26</v>
      </c>
      <c r="F1968">
        <v>28.42</v>
      </c>
      <c r="G1968">
        <v>0</v>
      </c>
      <c r="H1968">
        <v>0</v>
      </c>
      <c r="I1968" s="3">
        <f>E1968+G1968+H1968</f>
        <v>26</v>
      </c>
      <c r="J1968" s="3">
        <f>ROUND(MIN(IF(C1968="Técnico III",35,IF(C1968="Técnico II",28,IF(C1968="Técnico I",23,IF(C1968="JR",20,IF(C1968="Estágio",10,0))))),IF(C1968="Técnico III",SUMIFS($D:$D,$A:$A,$A1968,$B:$B,"&lt;&gt;Patrícia Karla de Sousa Araújo",$B:$B,"&lt;&gt;Lorena Dias de Araujo",$B:$B,"&lt;&gt;Lucas Luiz Romero")*(35/1083),IF(C1968="Técnico II",SUMIFS($D:$D,$A:$A,$A1968,$B:$B,"&lt;&gt;Patrícia Karla de Sousa Araújo",$B:$B,"&lt;&gt;Lorena Dias de Araujo",$B:$B,"&lt;&gt;Lucas Luiz Romero")*(28/1083),IF(C1968="Técnico I",SUMIFS($D:$D,$A:$A,$A1968,$B:$B,"&lt;&gt;Patrícia Karla de Sousa Araújo",$B:$B,"&lt;&gt;Lorena Dias de Araujo",$B:$B,"&lt;&gt;Lucas Luiz Romero")*(23/1083),IF(C1968="JR",SUMIFS($D:$D,$A:$A,$A1968,$B:$B,"&lt;&gt;Patrícia Karla de Sousa Araújo",$B:$B,"&lt;&gt;Lorena Dias de Araujo",$B:$B,"&lt;&gt;Lucas Luiz Romero")*(20/1083),IF(C1968="Estágio",SUMIFS($D:$D,$A:$A,$A1968,$B:$B,"&lt;&gt;Patrícia Karla de Sousa Araújo",$B:$B,"&lt;&gt;Lorena Dias de Araujo",$B:$B,"&lt;&gt;Lucas Luiz Romero")*(10/1083),0)))))),0)</f>
        <v>24</v>
      </c>
      <c r="K1968" s="3">
        <f>I1968-J1968</f>
        <v>2</v>
      </c>
      <c r="L1968" s="3" t="str">
        <f>IF(K1968&lt;-5,"CRÍTICO",IF(K1968&lt;0,"ATENÇÃO",IF(K1968&lt;=5,"BOM","EXCELENTE")))</f>
        <v>BOM</v>
      </c>
      <c r="M1968">
        <v>26</v>
      </c>
      <c r="N1968">
        <v>99.22</v>
      </c>
      <c r="O1968">
        <v>35.256410256410263</v>
      </c>
    </row>
    <row r="1969" spans="1:15" hidden="1" x14ac:dyDescent="0.25">
      <c r="A1969" s="11">
        <v>46063</v>
      </c>
      <c r="B1969" t="s">
        <v>17</v>
      </c>
      <c r="C1969" t="s">
        <v>16</v>
      </c>
      <c r="D1969">
        <v>0</v>
      </c>
      <c r="E1969">
        <v>0</v>
      </c>
      <c r="F1969">
        <v>0</v>
      </c>
      <c r="G1969">
        <v>0</v>
      </c>
      <c r="H1969">
        <v>0</v>
      </c>
      <c r="I1969" s="3">
        <v>0</v>
      </c>
      <c r="J1969" s="3">
        <v>0</v>
      </c>
      <c r="K1969" s="3">
        <v>0</v>
      </c>
      <c r="L1969" s="3" t="str">
        <f>IF(K1969&lt;-5,"CRÍTICO",IF(K1969&lt;0,"ATENÇÃO",IF(K1969&lt;=5,"BOM","EXCELENTE")))</f>
        <v>BOM</v>
      </c>
      <c r="M1969">
        <v>0</v>
      </c>
      <c r="N1969">
        <v>0</v>
      </c>
      <c r="O1969">
        <v>0</v>
      </c>
    </row>
    <row r="1970" spans="1:15" hidden="1" x14ac:dyDescent="0.25">
      <c r="A1970" s="11">
        <v>46063</v>
      </c>
      <c r="B1970" t="s">
        <v>60</v>
      </c>
      <c r="C1970" t="s">
        <v>23</v>
      </c>
      <c r="D1970">
        <v>106</v>
      </c>
      <c r="E1970">
        <v>12</v>
      </c>
      <c r="F1970">
        <v>3.23</v>
      </c>
      <c r="G1970">
        <v>0</v>
      </c>
      <c r="H1970">
        <v>0</v>
      </c>
      <c r="I1970" s="3">
        <f>E1970+G1970+H1970</f>
        <v>12</v>
      </c>
      <c r="J1970" s="3">
        <f>ROUND(MIN(IF(C1970="Técnico III",35,IF(C1970="Técnico II",28,IF(C1970="Técnico I",23,IF(C1970="JR",20,IF(C1970="Estágio",10,0))))),IF(C1970="Técnico III",SUMIFS($D:$D,$A:$A,$A1970,$B:$B,"&lt;&gt;Patrícia Karla de Sousa Araújo",$B:$B,"&lt;&gt;Lorena Dias de Araujo",$B:$B,"&lt;&gt;Lucas Luiz Romero")*(35/1083),IF(C1970="Técnico II",SUMIFS($D:$D,$A:$A,$A1970,$B:$B,"&lt;&gt;Patrícia Karla de Sousa Araújo",$B:$B,"&lt;&gt;Lorena Dias de Araujo",$B:$B,"&lt;&gt;Lucas Luiz Romero")*(28/1083),IF(C1970="Técnico I",SUMIFS($D:$D,$A:$A,$A1970,$B:$B,"&lt;&gt;Patrícia Karla de Sousa Araújo",$B:$B,"&lt;&gt;Lorena Dias de Araujo",$B:$B,"&lt;&gt;Lucas Luiz Romero")*(23/1083),IF(C1970="JR",SUMIFS($D:$D,$A:$A,$A1970,$B:$B,"&lt;&gt;Patrícia Karla de Sousa Araújo",$B:$B,"&lt;&gt;Lorena Dias de Araujo",$B:$B,"&lt;&gt;Lucas Luiz Romero")*(20/1083),IF(C1970="Estágio",SUMIFS($D:$D,$A:$A,$A1970,$B:$B,"&lt;&gt;Patrícia Karla de Sousa Araújo",$B:$B,"&lt;&gt;Lorena Dias de Araujo",$B:$B,"&lt;&gt;Lucas Luiz Romero")*(10/1083),0)))))),0)</f>
        <v>20</v>
      </c>
      <c r="K1970" s="3">
        <f>I1970-J1970</f>
        <v>-8</v>
      </c>
      <c r="L1970" s="3" t="str">
        <f>IF(K1970&lt;-5,"CRÍTICO",IF(K1970&lt;0,"ATENÇÃO",IF(K1970&lt;=5,"BOM","EXCELENTE")))</f>
        <v>CRÍTICO</v>
      </c>
      <c r="M1970">
        <v>14</v>
      </c>
      <c r="N1970">
        <v>98.75</v>
      </c>
      <c r="O1970">
        <v>24.32432432432433</v>
      </c>
    </row>
    <row r="1971" spans="1:15" hidden="1" x14ac:dyDescent="0.25">
      <c r="A1971" s="11">
        <v>46063</v>
      </c>
      <c r="B1971" t="s">
        <v>34</v>
      </c>
      <c r="C1971" t="s">
        <v>32</v>
      </c>
      <c r="D1971">
        <v>40</v>
      </c>
      <c r="E1971">
        <v>37</v>
      </c>
      <c r="F1971">
        <v>14.01</v>
      </c>
      <c r="G1971">
        <v>0</v>
      </c>
      <c r="H1971">
        <v>0</v>
      </c>
      <c r="I1971" s="3">
        <f>E1971+G1971+H1971</f>
        <v>37</v>
      </c>
      <c r="J1971" s="3">
        <f>ROUND(MIN(IF(C1971="Técnico III",35,IF(C1971="Técnico II",28,IF(C1971="Técnico I",23,IF(C1971="JR",20,IF(C1971="Estágio",10,0))))),IF(C1971="Técnico III",SUMIFS($D:$D,$A:$A,$A1971,$B:$B,"&lt;&gt;Patrícia Karla de Sousa Araújo",$B:$B,"&lt;&gt;Lorena Dias de Araujo",$B:$B,"&lt;&gt;Lucas Luiz Romero")*(35/1083),IF(C1971="Técnico II",SUMIFS($D:$D,$A:$A,$A1971,$B:$B,"&lt;&gt;Patrícia Karla de Sousa Araújo",$B:$B,"&lt;&gt;Lorena Dias de Araujo",$B:$B,"&lt;&gt;Lucas Luiz Romero")*(28/1083),IF(C1971="Técnico I",SUMIFS($D:$D,$A:$A,$A1971,$B:$B,"&lt;&gt;Patrícia Karla de Sousa Araújo",$B:$B,"&lt;&gt;Lorena Dias de Araujo",$B:$B,"&lt;&gt;Lucas Luiz Romero")*(23/1083),IF(C1971="JR",SUMIFS($D:$D,$A:$A,$A1971,$B:$B,"&lt;&gt;Patrícia Karla de Sousa Araújo",$B:$B,"&lt;&gt;Lorena Dias de Araujo",$B:$B,"&lt;&gt;Lucas Luiz Romero")*(20/1083),IF(C1971="Estágio",SUMIFS($D:$D,$A:$A,$A1971,$B:$B,"&lt;&gt;Patrícia Karla de Sousa Araújo",$B:$B,"&lt;&gt;Lorena Dias de Araujo",$B:$B,"&lt;&gt;Lucas Luiz Romero")*(10/1083),0)))))),0)</f>
        <v>30</v>
      </c>
      <c r="K1971" s="3">
        <f>I1971-J1971</f>
        <v>7</v>
      </c>
      <c r="L1971" s="3" t="str">
        <f>IF(K1971&lt;-5,"CRÍTICO",IF(K1971&lt;0,"ATENÇÃO",IF(K1971&lt;=5,"BOM","EXCELENTE")))</f>
        <v>EXCELENTE</v>
      </c>
      <c r="M1971">
        <v>33</v>
      </c>
      <c r="N1971">
        <v>93.48</v>
      </c>
      <c r="O1971">
        <v>31.52804642166344</v>
      </c>
    </row>
    <row r="1972" spans="1:15" hidden="1" x14ac:dyDescent="0.25">
      <c r="A1972" s="11">
        <v>46063</v>
      </c>
      <c r="B1972" t="s">
        <v>51</v>
      </c>
      <c r="C1972" t="s">
        <v>48</v>
      </c>
      <c r="D1972">
        <v>31</v>
      </c>
      <c r="E1972">
        <v>27</v>
      </c>
      <c r="F1972">
        <v>21.59</v>
      </c>
      <c r="G1972">
        <v>0</v>
      </c>
      <c r="H1972">
        <v>0</v>
      </c>
      <c r="I1972" s="3">
        <v>0</v>
      </c>
      <c r="J1972" s="3">
        <v>0</v>
      </c>
      <c r="K1972" s="3">
        <v>0</v>
      </c>
      <c r="L1972" s="3" t="str">
        <f>IF(K1972&lt;-5,"CRÍTICO",IF(K1972&lt;0,"ATENÇÃO",IF(K1972&lt;=5,"BOM","EXCELENTE")))</f>
        <v>BOM</v>
      </c>
      <c r="M1972">
        <v>24</v>
      </c>
      <c r="N1972">
        <v>99.16</v>
      </c>
      <c r="O1972">
        <v>26.13908872901678</v>
      </c>
    </row>
    <row r="1973" spans="1:15" hidden="1" x14ac:dyDescent="0.25">
      <c r="A1973" s="11">
        <v>46063</v>
      </c>
      <c r="B1973" t="s">
        <v>61</v>
      </c>
      <c r="C1973" t="s">
        <v>23</v>
      </c>
      <c r="D1973">
        <v>28</v>
      </c>
      <c r="E1973">
        <v>26</v>
      </c>
      <c r="F1973">
        <v>23.46</v>
      </c>
      <c r="G1973">
        <v>0</v>
      </c>
      <c r="H1973">
        <v>0</v>
      </c>
      <c r="I1973" s="3">
        <f>E1973+G1973+H1973</f>
        <v>26</v>
      </c>
      <c r="J1973" s="3">
        <f>ROUND(MIN(IF(C1973="Técnico III",35,IF(C1973="Técnico II",28,IF(C1973="Técnico I",23,IF(C1973="JR",20,IF(C1973="Estágio",10,0))))),IF(C1973="Técnico III",SUMIFS($D:$D,$A:$A,$A1973,$B:$B,"&lt;&gt;Patrícia Karla de Sousa Araújo",$B:$B,"&lt;&gt;Lorena Dias de Araujo",$B:$B,"&lt;&gt;Lucas Luiz Romero")*(35/1083),IF(C1973="Técnico II",SUMIFS($D:$D,$A:$A,$A1973,$B:$B,"&lt;&gt;Patrícia Karla de Sousa Araújo",$B:$B,"&lt;&gt;Lorena Dias de Araujo",$B:$B,"&lt;&gt;Lucas Luiz Romero")*(28/1083),IF(C1973="Técnico I",SUMIFS($D:$D,$A:$A,$A1973,$B:$B,"&lt;&gt;Patrícia Karla de Sousa Araújo",$B:$B,"&lt;&gt;Lorena Dias de Araujo",$B:$B,"&lt;&gt;Lucas Luiz Romero")*(23/1083),IF(C1973="JR",SUMIFS($D:$D,$A:$A,$A1973,$B:$B,"&lt;&gt;Patrícia Karla de Sousa Araújo",$B:$B,"&lt;&gt;Lorena Dias de Araujo",$B:$B,"&lt;&gt;Lucas Luiz Romero")*(20/1083),IF(C1973="Estágio",SUMIFS($D:$D,$A:$A,$A1973,$B:$B,"&lt;&gt;Patrícia Karla de Sousa Araújo",$B:$B,"&lt;&gt;Lorena Dias de Araujo",$B:$B,"&lt;&gt;Lucas Luiz Romero")*(10/1083),0)))))),0)</f>
        <v>20</v>
      </c>
      <c r="K1973" s="3">
        <f>I1973-J1973</f>
        <v>6</v>
      </c>
      <c r="L1973" s="3" t="str">
        <f>IF(K1973&lt;-5,"CRÍTICO",IF(K1973&lt;0,"ATENÇÃO",IF(K1973&lt;=5,"BOM","EXCELENTE")))</f>
        <v>EXCELENTE</v>
      </c>
      <c r="M1973">
        <v>28</v>
      </c>
      <c r="N1973">
        <v>100</v>
      </c>
      <c r="O1973">
        <v>31.089743589743591</v>
      </c>
    </row>
    <row r="1974" spans="1:15" hidden="1" x14ac:dyDescent="0.25">
      <c r="A1974" s="11">
        <v>46063</v>
      </c>
      <c r="B1974" t="s">
        <v>35</v>
      </c>
      <c r="C1974" t="s">
        <v>32</v>
      </c>
      <c r="D1974">
        <v>30</v>
      </c>
      <c r="E1974">
        <v>29</v>
      </c>
      <c r="F1974">
        <v>25.58</v>
      </c>
      <c r="G1974">
        <v>0</v>
      </c>
      <c r="H1974">
        <v>0</v>
      </c>
      <c r="I1974" s="3">
        <v>0</v>
      </c>
      <c r="J1974" s="3">
        <v>0</v>
      </c>
      <c r="K1974" s="3">
        <v>0</v>
      </c>
      <c r="L1974" s="3" t="str">
        <f>IF(K1974&lt;-5,"CRÍTICO",IF(K1974&lt;0,"ATENÇÃO",IF(K1974&lt;=5,"BOM","EXCELENTE")))</f>
        <v>BOM</v>
      </c>
      <c r="M1974">
        <v>30</v>
      </c>
      <c r="N1974">
        <v>98.11</v>
      </c>
      <c r="O1974">
        <v>33.033707865168537</v>
      </c>
    </row>
    <row r="1975" spans="1:15" hidden="1" x14ac:dyDescent="0.25">
      <c r="A1975" s="11">
        <v>46063</v>
      </c>
      <c r="B1975" t="s">
        <v>18</v>
      </c>
      <c r="C1975" t="s">
        <v>16</v>
      </c>
      <c r="D1975">
        <v>20</v>
      </c>
      <c r="E1975">
        <v>18</v>
      </c>
      <c r="F1975">
        <v>10.15</v>
      </c>
      <c r="G1975">
        <v>0</v>
      </c>
      <c r="H1975">
        <v>0</v>
      </c>
      <c r="I1975" s="3">
        <f>E1975+G1975+H1975</f>
        <v>18</v>
      </c>
      <c r="J1975" s="3">
        <f>ROUND(MIN(IF(C1975="Técnico III",35,IF(C1975="Técnico II",28,IF(C1975="Técnico I",23,IF(C1975="JR",20,IF(C1975="Estágio",10,0))))),IF(C1975="Técnico III",SUMIFS($D:$D,$A:$A,$A1975,$B:$B,"&lt;&gt;Patrícia Karla de Sousa Araújo",$B:$B,"&lt;&gt;Lorena Dias de Araujo",$B:$B,"&lt;&gt;Lucas Luiz Romero")*(35/1083),IF(C1975="Técnico II",SUMIFS($D:$D,$A:$A,$A1975,$B:$B,"&lt;&gt;Patrícia Karla de Sousa Araújo",$B:$B,"&lt;&gt;Lorena Dias de Araujo",$B:$B,"&lt;&gt;Lucas Luiz Romero")*(28/1083),IF(C1975="Técnico I",SUMIFS($D:$D,$A:$A,$A1975,$B:$B,"&lt;&gt;Patrícia Karla de Sousa Araújo",$B:$B,"&lt;&gt;Lorena Dias de Araujo",$B:$B,"&lt;&gt;Lucas Luiz Romero")*(23/1083),IF(C1975="JR",SUMIFS($D:$D,$A:$A,$A1975,$B:$B,"&lt;&gt;Patrícia Karla de Sousa Araújo",$B:$B,"&lt;&gt;Lorena Dias de Araujo",$B:$B,"&lt;&gt;Lucas Luiz Romero")*(20/1083),IF(C1975="Estágio",SUMIFS($D:$D,$A:$A,$A1975,$B:$B,"&lt;&gt;Patrícia Karla de Sousa Araújo",$B:$B,"&lt;&gt;Lorena Dias de Araujo",$B:$B,"&lt;&gt;Lucas Luiz Romero")*(10/1083),0)))))),0)</f>
        <v>9</v>
      </c>
      <c r="K1975" s="3">
        <f>I1975-J1975</f>
        <v>9</v>
      </c>
      <c r="L1975" s="3" t="str">
        <f>IF(K1975&lt;-5,"CRÍTICO",IF(K1975&lt;0,"ATENÇÃO",IF(K1975&lt;=5,"BOM","EXCELENTE")))</f>
        <v>EXCELENTE</v>
      </c>
      <c r="M1975">
        <v>1</v>
      </c>
      <c r="N1975">
        <v>78.95</v>
      </c>
      <c r="O1975">
        <v>38.983050847457633</v>
      </c>
    </row>
    <row r="1976" spans="1:15" hidden="1" x14ac:dyDescent="0.25">
      <c r="A1976" s="11">
        <v>46063</v>
      </c>
      <c r="B1976" t="s">
        <v>52</v>
      </c>
      <c r="C1976" t="s">
        <v>48</v>
      </c>
      <c r="D1976">
        <v>14</v>
      </c>
      <c r="E1976">
        <v>14</v>
      </c>
      <c r="F1976">
        <v>35.380000000000003</v>
      </c>
      <c r="G1976">
        <v>0</v>
      </c>
      <c r="H1976">
        <v>0</v>
      </c>
      <c r="I1976" s="3">
        <f>E1976+G1976+H1976</f>
        <v>14</v>
      </c>
      <c r="J1976" s="3">
        <f>ROUND(MIN(IF(C1976="Técnico III",35,IF(C1976="Técnico II",28,IF(C1976="Técnico I",23,IF(C1976="JR",20,IF(C1976="Estágio",10,0))))),IF(C1976="Técnico III",SUMIFS($D:$D,$A:$A,$A1976,$B:$B,"&lt;&gt;Patrícia Karla de Sousa Araújo",$B:$B,"&lt;&gt;Lorena Dias de Araujo",$B:$B,"&lt;&gt;Lucas Luiz Romero")*(35/1083),IF(C1976="Técnico II",SUMIFS($D:$D,$A:$A,$A1976,$B:$B,"&lt;&gt;Patrícia Karla de Sousa Araújo",$B:$B,"&lt;&gt;Lorena Dias de Araujo",$B:$B,"&lt;&gt;Lucas Luiz Romero")*(28/1083),IF(C1976="Técnico I",SUMIFS($D:$D,$A:$A,$A1976,$B:$B,"&lt;&gt;Patrícia Karla de Sousa Araújo",$B:$B,"&lt;&gt;Lorena Dias de Araujo",$B:$B,"&lt;&gt;Lucas Luiz Romero")*(23/1083),IF(C1976="JR",SUMIFS($D:$D,$A:$A,$A1976,$B:$B,"&lt;&gt;Patrícia Karla de Sousa Araújo",$B:$B,"&lt;&gt;Lorena Dias de Araujo",$B:$B,"&lt;&gt;Lucas Luiz Romero")*(20/1083),IF(C1976="Estágio",SUMIFS($D:$D,$A:$A,$A1976,$B:$B,"&lt;&gt;Patrícia Karla de Sousa Araújo",$B:$B,"&lt;&gt;Lorena Dias de Araujo",$B:$B,"&lt;&gt;Lucas Luiz Romero")*(10/1083),0)))))),0)</f>
        <v>24</v>
      </c>
      <c r="K1976" s="3">
        <f>I1976-J1976</f>
        <v>-10</v>
      </c>
      <c r="L1976" s="3" t="str">
        <f>IF(K1976&lt;-5,"CRÍTICO",IF(K1976&lt;0,"ATENÇÃO",IF(K1976&lt;=5,"BOM","EXCELENTE")))</f>
        <v>CRÍTICO</v>
      </c>
      <c r="M1976">
        <v>12</v>
      </c>
      <c r="N1976">
        <v>98.45</v>
      </c>
      <c r="O1976">
        <v>29.281767955801101</v>
      </c>
    </row>
    <row r="1977" spans="1:15" hidden="1" x14ac:dyDescent="0.25">
      <c r="A1977" s="11">
        <v>46063</v>
      </c>
      <c r="B1977" t="s">
        <v>36</v>
      </c>
      <c r="C1977" t="s">
        <v>32</v>
      </c>
      <c r="D1977">
        <v>30</v>
      </c>
      <c r="E1977">
        <v>30</v>
      </c>
      <c r="F1977">
        <v>18.440000000000001</v>
      </c>
      <c r="G1977">
        <v>0</v>
      </c>
      <c r="H1977">
        <v>0</v>
      </c>
      <c r="I1977" s="3">
        <f>E1977+G1977+H1977</f>
        <v>30</v>
      </c>
      <c r="J1977" s="3">
        <f>ROUND(MIN(IF(C1977="Técnico III",35,IF(C1977="Técnico II",28,IF(C1977="Técnico I",23,IF(C1977="JR",20,IF(C1977="Estágio",10,0))))),IF(C1977="Técnico III",SUMIFS($D:$D,$A:$A,$A1977,$B:$B,"&lt;&gt;Patrícia Karla de Sousa Araújo",$B:$B,"&lt;&gt;Lorena Dias de Araujo",$B:$B,"&lt;&gt;Lucas Luiz Romero")*(35/1083),IF(C1977="Técnico II",SUMIFS($D:$D,$A:$A,$A1977,$B:$B,"&lt;&gt;Patrícia Karla de Sousa Araújo",$B:$B,"&lt;&gt;Lorena Dias de Araujo",$B:$B,"&lt;&gt;Lucas Luiz Romero")*(28/1083),IF(C1977="Técnico I",SUMIFS($D:$D,$A:$A,$A1977,$B:$B,"&lt;&gt;Patrícia Karla de Sousa Araújo",$B:$B,"&lt;&gt;Lorena Dias de Araujo",$B:$B,"&lt;&gt;Lucas Luiz Romero")*(23/1083),IF(C1977="JR",SUMIFS($D:$D,$A:$A,$A1977,$B:$B,"&lt;&gt;Patrícia Karla de Sousa Araújo",$B:$B,"&lt;&gt;Lorena Dias de Araujo",$B:$B,"&lt;&gt;Lucas Luiz Romero")*(20/1083),IF(C1977="Estágio",SUMIFS($D:$D,$A:$A,$A1977,$B:$B,"&lt;&gt;Patrícia Karla de Sousa Araújo",$B:$B,"&lt;&gt;Lorena Dias de Araujo",$B:$B,"&lt;&gt;Lucas Luiz Romero")*(10/1083),0)))))),0)</f>
        <v>30</v>
      </c>
      <c r="K1977" s="3">
        <f>I1977-J1977</f>
        <v>0</v>
      </c>
      <c r="L1977" s="3" t="str">
        <f>IF(K1977&lt;-5,"CRÍTICO",IF(K1977&lt;0,"ATENÇÃO",IF(K1977&lt;=5,"BOM","EXCELENTE")))</f>
        <v>BOM</v>
      </c>
      <c r="M1977">
        <v>28</v>
      </c>
      <c r="N1977">
        <v>97.84</v>
      </c>
      <c r="O1977">
        <v>26.282051282051281</v>
      </c>
    </row>
    <row r="1978" spans="1:15" hidden="1" x14ac:dyDescent="0.25">
      <c r="A1978" s="11">
        <v>46063</v>
      </c>
      <c r="B1978" t="s">
        <v>53</v>
      </c>
      <c r="C1978" t="s">
        <v>48</v>
      </c>
      <c r="D1978">
        <v>34</v>
      </c>
      <c r="E1978">
        <v>30</v>
      </c>
      <c r="F1978">
        <v>16.53</v>
      </c>
      <c r="G1978">
        <v>0</v>
      </c>
      <c r="H1978">
        <v>0</v>
      </c>
      <c r="I1978" s="3">
        <f>E1978+G1978+H1978</f>
        <v>30</v>
      </c>
      <c r="J1978" s="3">
        <f>ROUND(MIN(IF(C1978="Técnico III",35,IF(C1978="Técnico II",28,IF(C1978="Técnico I",23,IF(C1978="JR",20,IF(C1978="Estágio",10,0))))),IF(C1978="Técnico III",SUMIFS($D:$D,$A:$A,$A1978,$B:$B,"&lt;&gt;Patrícia Karla de Sousa Araújo",$B:$B,"&lt;&gt;Lorena Dias de Araujo",$B:$B,"&lt;&gt;Lucas Luiz Romero")*(35/1083),IF(C1978="Técnico II",SUMIFS($D:$D,$A:$A,$A1978,$B:$B,"&lt;&gt;Patrícia Karla de Sousa Araújo",$B:$B,"&lt;&gt;Lorena Dias de Araujo",$B:$B,"&lt;&gt;Lucas Luiz Romero")*(28/1083),IF(C1978="Técnico I",SUMIFS($D:$D,$A:$A,$A1978,$B:$B,"&lt;&gt;Patrícia Karla de Sousa Araújo",$B:$B,"&lt;&gt;Lorena Dias de Araujo",$B:$B,"&lt;&gt;Lucas Luiz Romero")*(23/1083),IF(C1978="JR",SUMIFS($D:$D,$A:$A,$A1978,$B:$B,"&lt;&gt;Patrícia Karla de Sousa Araújo",$B:$B,"&lt;&gt;Lorena Dias de Araujo",$B:$B,"&lt;&gt;Lucas Luiz Romero")*(20/1083),IF(C1978="Estágio",SUMIFS($D:$D,$A:$A,$A1978,$B:$B,"&lt;&gt;Patrícia Karla de Sousa Araújo",$B:$B,"&lt;&gt;Lorena Dias de Araujo",$B:$B,"&lt;&gt;Lucas Luiz Romero")*(10/1083),0)))))),0)</f>
        <v>24</v>
      </c>
      <c r="K1978" s="3">
        <f>I1978-J1978</f>
        <v>6</v>
      </c>
      <c r="L1978" s="3" t="str">
        <f>IF(K1978&lt;-5,"CRÍTICO",IF(K1978&lt;0,"ATENÇÃO",IF(K1978&lt;=5,"BOM","EXCELENTE")))</f>
        <v>EXCELENTE</v>
      </c>
      <c r="M1978">
        <v>33</v>
      </c>
      <c r="N1978">
        <v>98.5</v>
      </c>
      <c r="O1978">
        <v>23.97769516728625</v>
      </c>
    </row>
    <row r="1979" spans="1:15" hidden="1" x14ac:dyDescent="0.25">
      <c r="A1979" s="11">
        <v>46097</v>
      </c>
      <c r="B1979" t="s">
        <v>22</v>
      </c>
      <c r="C1979" t="s">
        <v>23</v>
      </c>
      <c r="D1979">
        <v>23</v>
      </c>
      <c r="E1979">
        <v>22</v>
      </c>
      <c r="F1979">
        <v>23.26</v>
      </c>
      <c r="G1979">
        <v>0</v>
      </c>
      <c r="H1979">
        <v>0</v>
      </c>
      <c r="I1979" s="3">
        <f>E1979+G1979+H1979</f>
        <v>22</v>
      </c>
      <c r="J1979" s="3">
        <f>ROUND(MIN(IF(C1979="Técnico III",35,IF(C1979="Técnico II",28,IF(C1979="Técnico I",23,IF(C1979="JR",20,IF(C1979="Estágio",10,0))))),IF(C1979="Técnico III",SUMIFS($D:$D,$A:$A,$A1979,$B:$B,"&lt;&gt;Patrícia Karla de Sousa Araújo",$B:$B,"&lt;&gt;Lorena Dias de Araujo",$B:$B,"&lt;&gt;Lucas Luiz Romero")*(35/1083),IF(C1979="Técnico II",SUMIFS($D:$D,$A:$A,$A1979,$B:$B,"&lt;&gt;Patrícia Karla de Sousa Araújo",$B:$B,"&lt;&gt;Lorena Dias de Araujo",$B:$B,"&lt;&gt;Lucas Luiz Romero")*(28/1083),IF(C1979="Técnico I",SUMIFS($D:$D,$A:$A,$A1979,$B:$B,"&lt;&gt;Patrícia Karla de Sousa Araújo",$B:$B,"&lt;&gt;Lorena Dias de Araujo",$B:$B,"&lt;&gt;Lucas Luiz Romero")*(23/1083),IF(C1979="JR",SUMIFS($D:$D,$A:$A,$A1979,$B:$B,"&lt;&gt;Patrícia Karla de Sousa Araújo",$B:$B,"&lt;&gt;Lorena Dias de Araujo",$B:$B,"&lt;&gt;Lucas Luiz Romero")*(20/1083),IF(C1979="Estágio",SUMIFS($D:$D,$A:$A,$A1979,$B:$B,"&lt;&gt;Patrícia Karla de Sousa Araújo",$B:$B,"&lt;&gt;Lorena Dias de Araujo",$B:$B,"&lt;&gt;Lucas Luiz Romero")*(10/1083),0)))))),0)</f>
        <v>15</v>
      </c>
      <c r="K1979" s="3">
        <f>I1979-J1979</f>
        <v>7</v>
      </c>
      <c r="L1979" s="3" t="str">
        <f>IF(K1979&lt;-5,"CRÍTICO",IF(K1979&lt;0,"ATENÇÃO",IF(K1979&lt;=5,"BOM","EXCELENTE")))</f>
        <v>EXCELENTE</v>
      </c>
      <c r="M1979">
        <v>21</v>
      </c>
      <c r="N1979">
        <v>99.05</v>
      </c>
      <c r="O1979">
        <v>26.621923937360179</v>
      </c>
    </row>
    <row r="1980" spans="1:15" hidden="1" x14ac:dyDescent="0.25">
      <c r="A1980" s="11">
        <v>46063</v>
      </c>
      <c r="B1980" t="s">
        <v>54</v>
      </c>
      <c r="C1980" t="s">
        <v>48</v>
      </c>
      <c r="D1980">
        <v>29</v>
      </c>
      <c r="E1980">
        <v>29</v>
      </c>
      <c r="F1980">
        <v>25.09</v>
      </c>
      <c r="G1980">
        <v>0</v>
      </c>
      <c r="H1980">
        <v>0</v>
      </c>
      <c r="I1980" s="3">
        <f>E1980+G1980+H1980</f>
        <v>29</v>
      </c>
      <c r="J1980" s="3">
        <f>ROUND(MIN(IF(C1980="Técnico III",35,IF(C1980="Técnico II",28,IF(C1980="Técnico I",23,IF(C1980="JR",20,IF(C1980="Estágio",10,0))))),IF(C1980="Técnico III",SUMIFS($D:$D,$A:$A,$A1980,$B:$B,"&lt;&gt;Patrícia Karla de Sousa Araújo",$B:$B,"&lt;&gt;Lorena Dias de Araujo",$B:$B,"&lt;&gt;Lucas Luiz Romero")*(35/1083),IF(C1980="Técnico II",SUMIFS($D:$D,$A:$A,$A1980,$B:$B,"&lt;&gt;Patrícia Karla de Sousa Araújo",$B:$B,"&lt;&gt;Lorena Dias de Araujo",$B:$B,"&lt;&gt;Lucas Luiz Romero")*(28/1083),IF(C1980="Técnico I",SUMIFS($D:$D,$A:$A,$A1980,$B:$B,"&lt;&gt;Patrícia Karla de Sousa Araújo",$B:$B,"&lt;&gt;Lorena Dias de Araujo",$B:$B,"&lt;&gt;Lucas Luiz Romero")*(23/1083),IF(C1980="JR",SUMIFS($D:$D,$A:$A,$A1980,$B:$B,"&lt;&gt;Patrícia Karla de Sousa Araújo",$B:$B,"&lt;&gt;Lorena Dias de Araujo",$B:$B,"&lt;&gt;Lucas Luiz Romero")*(20/1083),IF(C1980="Estágio",SUMIFS($D:$D,$A:$A,$A1980,$B:$B,"&lt;&gt;Patrícia Karla de Sousa Araújo",$B:$B,"&lt;&gt;Lorena Dias de Araujo",$B:$B,"&lt;&gt;Lucas Luiz Romero")*(10/1083),0)))))),0)</f>
        <v>24</v>
      </c>
      <c r="K1980" s="3">
        <f>I1980-J1980</f>
        <v>5</v>
      </c>
      <c r="L1980" s="3" t="str">
        <f>IF(K1980&lt;-5,"CRÍTICO",IF(K1980&lt;0,"ATENÇÃO",IF(K1980&lt;=5,"BOM","EXCELENTE")))</f>
        <v>BOM</v>
      </c>
      <c r="M1980">
        <v>25</v>
      </c>
      <c r="N1980">
        <v>98.53</v>
      </c>
      <c r="O1980">
        <v>31.578947368421051</v>
      </c>
    </row>
    <row r="1981" spans="1:15" hidden="1" x14ac:dyDescent="0.25">
      <c r="A1981" s="11">
        <v>46063</v>
      </c>
      <c r="B1981" t="s">
        <v>37</v>
      </c>
      <c r="C1981" t="s">
        <v>32</v>
      </c>
      <c r="D1981">
        <v>48</v>
      </c>
      <c r="E1981">
        <v>46</v>
      </c>
      <c r="F1981">
        <v>15.35</v>
      </c>
      <c r="G1981">
        <v>0</v>
      </c>
      <c r="H1981">
        <v>0</v>
      </c>
      <c r="I1981" s="3">
        <f>E1981+G1981+H1981</f>
        <v>46</v>
      </c>
      <c r="J1981" s="3">
        <f>ROUND(MIN(IF(C1981="Técnico III",35,IF(C1981="Técnico II",28,IF(C1981="Técnico I",23,IF(C1981="JR",20,IF(C1981="Estágio",10,0))))),IF(C1981="Técnico III",SUMIFS($D:$D,$A:$A,$A1981,$B:$B,"&lt;&gt;Patrícia Karla de Sousa Araújo",$B:$B,"&lt;&gt;Lorena Dias de Araujo",$B:$B,"&lt;&gt;Lucas Luiz Romero")*(35/1083),IF(C1981="Técnico II",SUMIFS($D:$D,$A:$A,$A1981,$B:$B,"&lt;&gt;Patrícia Karla de Sousa Araújo",$B:$B,"&lt;&gt;Lorena Dias de Araujo",$B:$B,"&lt;&gt;Lucas Luiz Romero")*(28/1083),IF(C1981="Técnico I",SUMIFS($D:$D,$A:$A,$A1981,$B:$B,"&lt;&gt;Patrícia Karla de Sousa Araújo",$B:$B,"&lt;&gt;Lorena Dias de Araujo",$B:$B,"&lt;&gt;Lucas Luiz Romero")*(23/1083),IF(C1981="JR",SUMIFS($D:$D,$A:$A,$A1981,$B:$B,"&lt;&gt;Patrícia Karla de Sousa Araújo",$B:$B,"&lt;&gt;Lorena Dias de Araujo",$B:$B,"&lt;&gt;Lucas Luiz Romero")*(20/1083),IF(C1981="Estágio",SUMIFS($D:$D,$A:$A,$A1981,$B:$B,"&lt;&gt;Patrícia Karla de Sousa Araújo",$B:$B,"&lt;&gt;Lorena Dias de Araujo",$B:$B,"&lt;&gt;Lucas Luiz Romero")*(10/1083),0)))))),0)</f>
        <v>30</v>
      </c>
      <c r="K1981" s="3">
        <f>I1981-J1981</f>
        <v>16</v>
      </c>
      <c r="L1981" s="3" t="str">
        <f>IF(K1981&lt;-5,"CRÍTICO",IF(K1981&lt;0,"ATENÇÃO",IF(K1981&lt;=5,"BOM","EXCELENTE")))</f>
        <v>EXCELENTE</v>
      </c>
      <c r="M1981">
        <v>42</v>
      </c>
      <c r="N1981">
        <v>100</v>
      </c>
      <c r="O1981">
        <v>25.72214580467676</v>
      </c>
    </row>
    <row r="1982" spans="1:15" hidden="1" x14ac:dyDescent="0.25">
      <c r="A1982" s="11">
        <v>46063</v>
      </c>
      <c r="B1982" t="s">
        <v>38</v>
      </c>
      <c r="C1982" t="s">
        <v>32</v>
      </c>
      <c r="D1982">
        <v>39</v>
      </c>
      <c r="E1982">
        <v>34</v>
      </c>
      <c r="F1982">
        <v>8.4700000000000006</v>
      </c>
      <c r="G1982">
        <v>0</v>
      </c>
      <c r="H1982">
        <v>0</v>
      </c>
      <c r="I1982" s="3">
        <f>E1982+G1982+H1982</f>
        <v>34</v>
      </c>
      <c r="J1982" s="3">
        <f>ROUND(MIN(IF(C1982="Técnico III",35,IF(C1982="Técnico II",28,IF(C1982="Técnico I",23,IF(C1982="JR",20,IF(C1982="Estágio",10,0))))),IF(C1982="Técnico III",SUMIFS($D:$D,$A:$A,$A1982,$B:$B,"&lt;&gt;Patrícia Karla de Sousa Araújo",$B:$B,"&lt;&gt;Lorena Dias de Araujo",$B:$B,"&lt;&gt;Lucas Luiz Romero")*(35/1083),IF(C1982="Técnico II",SUMIFS($D:$D,$A:$A,$A1982,$B:$B,"&lt;&gt;Patrícia Karla de Sousa Araújo",$B:$B,"&lt;&gt;Lorena Dias de Araujo",$B:$B,"&lt;&gt;Lucas Luiz Romero")*(28/1083),IF(C1982="Técnico I",SUMIFS($D:$D,$A:$A,$A1982,$B:$B,"&lt;&gt;Patrícia Karla de Sousa Araújo",$B:$B,"&lt;&gt;Lorena Dias de Araujo",$B:$B,"&lt;&gt;Lucas Luiz Romero")*(23/1083),IF(C1982="JR",SUMIFS($D:$D,$A:$A,$A1982,$B:$B,"&lt;&gt;Patrícia Karla de Sousa Araújo",$B:$B,"&lt;&gt;Lorena Dias de Araujo",$B:$B,"&lt;&gt;Lucas Luiz Romero")*(20/1083),IF(C1982="Estágio",SUMIFS($D:$D,$A:$A,$A1982,$B:$B,"&lt;&gt;Patrícia Karla de Sousa Araújo",$B:$B,"&lt;&gt;Lorena Dias de Araujo",$B:$B,"&lt;&gt;Lucas Luiz Romero")*(10/1083),0)))))),0)</f>
        <v>30</v>
      </c>
      <c r="K1982" s="3">
        <f>I1982-J1982</f>
        <v>4</v>
      </c>
      <c r="L1982" s="3" t="str">
        <f>IF(K1982&lt;-5,"CRÍTICO",IF(K1982&lt;0,"ATENÇÃO",IF(K1982&lt;=5,"BOM","EXCELENTE")))</f>
        <v>BOM</v>
      </c>
      <c r="M1982">
        <v>32</v>
      </c>
      <c r="N1982">
        <v>94.64</v>
      </c>
      <c r="O1982">
        <v>27.52941176470588</v>
      </c>
    </row>
    <row r="1983" spans="1:15" hidden="1" x14ac:dyDescent="0.25">
      <c r="A1983" s="11">
        <v>46063</v>
      </c>
      <c r="B1983" t="s">
        <v>55</v>
      </c>
      <c r="C1983" t="s">
        <v>48</v>
      </c>
      <c r="D1983">
        <v>26</v>
      </c>
      <c r="E1983">
        <v>21</v>
      </c>
      <c r="F1983">
        <v>21.47</v>
      </c>
      <c r="G1983">
        <v>0</v>
      </c>
      <c r="H1983">
        <v>0</v>
      </c>
      <c r="I1983" s="3">
        <f>E1983+G1983+H1983</f>
        <v>21</v>
      </c>
      <c r="J1983" s="3">
        <f>ROUND(MIN(IF(C1983="Técnico III",35,IF(C1983="Técnico II",28,IF(C1983="Técnico I",23,IF(C1983="JR",20,IF(C1983="Estágio",10,0))))),IF(C1983="Técnico III",SUMIFS($D:$D,$A:$A,$A1983,$B:$B,"&lt;&gt;Patrícia Karla de Sousa Araújo",$B:$B,"&lt;&gt;Lorena Dias de Araujo",$B:$B,"&lt;&gt;Lucas Luiz Romero")*(35/1083),IF(C1983="Técnico II",SUMIFS($D:$D,$A:$A,$A1983,$B:$B,"&lt;&gt;Patrícia Karla de Sousa Araújo",$B:$B,"&lt;&gt;Lorena Dias de Araujo",$B:$B,"&lt;&gt;Lucas Luiz Romero")*(28/1083),IF(C1983="Técnico I",SUMIFS($D:$D,$A:$A,$A1983,$B:$B,"&lt;&gt;Patrícia Karla de Sousa Araújo",$B:$B,"&lt;&gt;Lorena Dias de Araujo",$B:$B,"&lt;&gt;Lucas Luiz Romero")*(23/1083),IF(C1983="JR",SUMIFS($D:$D,$A:$A,$A1983,$B:$B,"&lt;&gt;Patrícia Karla de Sousa Araújo",$B:$B,"&lt;&gt;Lorena Dias de Araujo",$B:$B,"&lt;&gt;Lucas Luiz Romero")*(20/1083),IF(C1983="Estágio",SUMIFS($D:$D,$A:$A,$A1983,$B:$B,"&lt;&gt;Patrícia Karla de Sousa Araújo",$B:$B,"&lt;&gt;Lorena Dias de Araujo",$B:$B,"&lt;&gt;Lucas Luiz Romero")*(10/1083),0)))))),0)</f>
        <v>24</v>
      </c>
      <c r="K1983" s="3">
        <f>I1983-J1983</f>
        <v>-3</v>
      </c>
      <c r="L1983" s="3" t="str">
        <f>IF(K1983&lt;-5,"CRÍTICO",IF(K1983&lt;0,"ATENÇÃO",IF(K1983&lt;=5,"BOM","EXCELENTE")))</f>
        <v>ATENÇÃO</v>
      </c>
      <c r="M1983">
        <v>16</v>
      </c>
      <c r="N1983">
        <v>99.07</v>
      </c>
      <c r="O1983">
        <v>26.376811594202898</v>
      </c>
    </row>
    <row r="1984" spans="1:15" hidden="1" x14ac:dyDescent="0.25">
      <c r="A1984" s="11">
        <v>46063</v>
      </c>
      <c r="B1984" t="s">
        <v>39</v>
      </c>
      <c r="C1984" t="s">
        <v>32</v>
      </c>
      <c r="D1984">
        <v>0</v>
      </c>
      <c r="E1984">
        <v>0</v>
      </c>
      <c r="F1984">
        <v>0</v>
      </c>
      <c r="G1984">
        <v>0</v>
      </c>
      <c r="H1984">
        <v>0</v>
      </c>
      <c r="I1984" s="3">
        <v>0</v>
      </c>
      <c r="J1984" s="3">
        <v>0</v>
      </c>
      <c r="K1984" s="3">
        <v>0</v>
      </c>
      <c r="L1984" s="3" t="str">
        <f>IF(K1984&lt;-5,"CRÍTICO",IF(K1984&lt;0,"ATENÇÃO",IF(K1984&lt;=5,"BOM","EXCELENTE")))</f>
        <v>BOM</v>
      </c>
      <c r="M1984">
        <v>0</v>
      </c>
      <c r="N1984">
        <v>100</v>
      </c>
      <c r="O1984">
        <v>0</v>
      </c>
    </row>
    <row r="1985" spans="1:15" hidden="1" x14ac:dyDescent="0.25">
      <c r="A1985" s="11">
        <v>46063</v>
      </c>
      <c r="B1985" t="s">
        <v>25</v>
      </c>
      <c r="C1985" t="s">
        <v>26</v>
      </c>
      <c r="D1985">
        <v>14</v>
      </c>
      <c r="E1985">
        <v>13</v>
      </c>
      <c r="F1985">
        <v>19.07</v>
      </c>
      <c r="G1985">
        <v>0</v>
      </c>
      <c r="H1985">
        <v>0</v>
      </c>
      <c r="I1985" s="3">
        <f>E1985+G1985+H1985</f>
        <v>13</v>
      </c>
      <c r="J1985" s="3">
        <f>ROUND(MIN(IF(C1985="Técnico III",35,IF(C1985="Técnico II",28,IF(C1985="Técnico I",23,IF(C1985="JR",20,IF(C1985="Estágio",10,0))))),IF(C1985="Técnico III",SUMIFS($D:$D,$A:$A,$A1985,$B:$B,"&lt;&gt;Patrícia Karla de Sousa Araújo",$B:$B,"&lt;&gt;Lorena Dias de Araujo",$B:$B,"&lt;&gt;Lucas Luiz Romero")*(35/1083),IF(C1985="Técnico II",SUMIFS($D:$D,$A:$A,$A1985,$B:$B,"&lt;&gt;Patrícia Karla de Sousa Araújo",$B:$B,"&lt;&gt;Lorena Dias de Araujo",$B:$B,"&lt;&gt;Lucas Luiz Romero")*(28/1083),IF(C1985="Técnico I",SUMIFS($D:$D,$A:$A,$A1985,$B:$B,"&lt;&gt;Patrícia Karla de Sousa Araújo",$B:$B,"&lt;&gt;Lorena Dias de Araujo",$B:$B,"&lt;&gt;Lucas Luiz Romero")*(23/1083),IF(C1985="JR",SUMIFS($D:$D,$A:$A,$A1985,$B:$B,"&lt;&gt;Patrícia Karla de Sousa Araújo",$B:$B,"&lt;&gt;Lorena Dias de Araujo",$B:$B,"&lt;&gt;Lucas Luiz Romero")*(20/1083),IF(C1985="Estágio",SUMIFS($D:$D,$A:$A,$A1985,$B:$B,"&lt;&gt;Patrícia Karla de Sousa Araújo",$B:$B,"&lt;&gt;Lorena Dias de Araujo",$B:$B,"&lt;&gt;Lucas Luiz Romero")*(10/1083),0)))))),0)</f>
        <v>17</v>
      </c>
      <c r="K1985" s="3">
        <f>I1985-J1985</f>
        <v>-4</v>
      </c>
      <c r="L1985" s="3" t="str">
        <f>IF(K1985&lt;-5,"CRÍTICO",IF(K1985&lt;0,"ATENÇÃO",IF(K1985&lt;=5,"BOM","EXCELENTE")))</f>
        <v>ATENÇÃO</v>
      </c>
      <c r="M1985">
        <v>14</v>
      </c>
      <c r="N1985">
        <v>98.48</v>
      </c>
      <c r="O1985">
        <v>27.853881278538811</v>
      </c>
    </row>
    <row r="1986" spans="1:15" hidden="1" x14ac:dyDescent="0.25">
      <c r="A1986" s="11">
        <v>46063</v>
      </c>
      <c r="B1986" t="s">
        <v>40</v>
      </c>
      <c r="C1986" t="s">
        <v>32</v>
      </c>
      <c r="D1986">
        <v>4</v>
      </c>
      <c r="E1986">
        <v>4</v>
      </c>
      <c r="F1986">
        <v>63.33</v>
      </c>
      <c r="G1986">
        <v>0</v>
      </c>
      <c r="H1986">
        <v>0</v>
      </c>
      <c r="I1986" s="3">
        <f>E1986+G1986+H1986</f>
        <v>4</v>
      </c>
      <c r="J1986" s="3">
        <f>ROUND(MIN(IF(C1986="Técnico III",35,IF(C1986="Técnico II",28,IF(C1986="Técnico I",23,IF(C1986="JR",20,IF(C1986="Estágio",10,0))))),IF(C1986="Técnico III",SUMIFS($D:$D,$A:$A,$A1986,$B:$B,"&lt;&gt;Patrícia Karla de Sousa Araújo",$B:$B,"&lt;&gt;Lorena Dias de Araujo",$B:$B,"&lt;&gt;Lucas Luiz Romero")*(35/1083),IF(C1986="Técnico II",SUMIFS($D:$D,$A:$A,$A1986,$B:$B,"&lt;&gt;Patrícia Karla de Sousa Araújo",$B:$B,"&lt;&gt;Lorena Dias de Araujo",$B:$B,"&lt;&gt;Lucas Luiz Romero")*(28/1083),IF(C1986="Técnico I",SUMIFS($D:$D,$A:$A,$A1986,$B:$B,"&lt;&gt;Patrícia Karla de Sousa Araújo",$B:$B,"&lt;&gt;Lorena Dias de Araujo",$B:$B,"&lt;&gt;Lucas Luiz Romero")*(23/1083),IF(C1986="JR",SUMIFS($D:$D,$A:$A,$A1986,$B:$B,"&lt;&gt;Patrícia Karla de Sousa Araújo",$B:$B,"&lt;&gt;Lorena Dias de Araujo",$B:$B,"&lt;&gt;Lucas Luiz Romero")*(20/1083),IF(C1986="Estágio",SUMIFS($D:$D,$A:$A,$A1986,$B:$B,"&lt;&gt;Patrícia Karla de Sousa Araújo",$B:$B,"&lt;&gt;Lorena Dias de Araujo",$B:$B,"&lt;&gt;Lucas Luiz Romero")*(10/1083),0)))))),0)</f>
        <v>30</v>
      </c>
      <c r="K1986" s="3">
        <f>I1986-J1986</f>
        <v>-26</v>
      </c>
      <c r="L1986" s="3" t="str">
        <f>IF(K1986&lt;-5,"CRÍTICO",IF(K1986&lt;0,"ATENÇÃO",IF(K1986&lt;=5,"BOM","EXCELENTE")))</f>
        <v>CRÍTICO</v>
      </c>
      <c r="M1986">
        <v>2</v>
      </c>
      <c r="N1986">
        <v>95.15</v>
      </c>
      <c r="O1986">
        <v>34.131736526946113</v>
      </c>
    </row>
    <row r="1987" spans="1:15" hidden="1" x14ac:dyDescent="0.25">
      <c r="A1987" s="11">
        <v>46063</v>
      </c>
      <c r="B1987" t="s">
        <v>27</v>
      </c>
      <c r="C1987" t="s">
        <v>26</v>
      </c>
      <c r="D1987">
        <v>0</v>
      </c>
      <c r="E1987">
        <v>0</v>
      </c>
      <c r="F1987">
        <v>0</v>
      </c>
      <c r="G1987">
        <v>0</v>
      </c>
      <c r="H1987">
        <v>0</v>
      </c>
      <c r="I1987" s="3">
        <v>0</v>
      </c>
      <c r="J1987" s="3">
        <v>0</v>
      </c>
      <c r="K1987" s="3">
        <v>0</v>
      </c>
      <c r="L1987" s="3" t="str">
        <f>IF(K1987&lt;-5,"CRÍTICO",IF(K1987&lt;0,"ATENÇÃO",IF(K1987&lt;=5,"BOM","EXCELENTE")))</f>
        <v>BOM</v>
      </c>
      <c r="M1987">
        <v>0</v>
      </c>
      <c r="N1987">
        <v>0</v>
      </c>
      <c r="O1987">
        <v>0</v>
      </c>
    </row>
    <row r="1988" spans="1:15" hidden="1" x14ac:dyDescent="0.25">
      <c r="A1988" s="11">
        <v>46063</v>
      </c>
      <c r="B1988" t="s">
        <v>41</v>
      </c>
      <c r="C1988" t="s">
        <v>32</v>
      </c>
      <c r="D1988">
        <v>27</v>
      </c>
      <c r="E1988">
        <v>25</v>
      </c>
      <c r="F1988">
        <v>22.36</v>
      </c>
      <c r="G1988">
        <v>0</v>
      </c>
      <c r="H1988">
        <v>0</v>
      </c>
      <c r="I1988" s="3">
        <f>E1988+G1988+H1988</f>
        <v>25</v>
      </c>
      <c r="J1988" s="3">
        <f>ROUND(MIN(IF(C1988="Técnico III",35,IF(C1988="Técnico II",28,IF(C1988="Técnico I",23,IF(C1988="JR",20,IF(C1988="Estágio",10,0))))),IF(C1988="Técnico III",SUMIFS($D:$D,$A:$A,$A1988,$B:$B,"&lt;&gt;Patrícia Karla de Sousa Araújo",$B:$B,"&lt;&gt;Lorena Dias de Araujo",$B:$B,"&lt;&gt;Lucas Luiz Romero")*(35/1083),IF(C1988="Técnico II",SUMIFS($D:$D,$A:$A,$A1988,$B:$B,"&lt;&gt;Patrícia Karla de Sousa Araújo",$B:$B,"&lt;&gt;Lorena Dias de Araujo",$B:$B,"&lt;&gt;Lucas Luiz Romero")*(28/1083),IF(C1988="Técnico I",SUMIFS($D:$D,$A:$A,$A1988,$B:$B,"&lt;&gt;Patrícia Karla de Sousa Araújo",$B:$B,"&lt;&gt;Lorena Dias de Araujo",$B:$B,"&lt;&gt;Lucas Luiz Romero")*(23/1083),IF(C1988="JR",SUMIFS($D:$D,$A:$A,$A1988,$B:$B,"&lt;&gt;Patrícia Karla de Sousa Araújo",$B:$B,"&lt;&gt;Lorena Dias de Araujo",$B:$B,"&lt;&gt;Lucas Luiz Romero")*(20/1083),IF(C1988="Estágio",SUMIFS($D:$D,$A:$A,$A1988,$B:$B,"&lt;&gt;Patrícia Karla de Sousa Araújo",$B:$B,"&lt;&gt;Lorena Dias de Araujo",$B:$B,"&lt;&gt;Lucas Luiz Romero")*(10/1083),0)))))),0)</f>
        <v>30</v>
      </c>
      <c r="K1988" s="3">
        <f>I1988-J1988</f>
        <v>-5</v>
      </c>
      <c r="L1988" s="3" t="str">
        <f>IF(K1988&lt;-5,"CRÍTICO",IF(K1988&lt;0,"ATENÇÃO",IF(K1988&lt;=5,"BOM","EXCELENTE")))</f>
        <v>ATENÇÃO</v>
      </c>
      <c r="M1988">
        <v>23</v>
      </c>
      <c r="N1988">
        <v>99.26</v>
      </c>
      <c r="O1988">
        <v>30.84832904884319</v>
      </c>
    </row>
    <row r="1989" spans="1:15" hidden="1" x14ac:dyDescent="0.25">
      <c r="A1989" s="11">
        <v>46063</v>
      </c>
      <c r="B1989" t="s">
        <v>56</v>
      </c>
      <c r="C1989" t="s">
        <v>48</v>
      </c>
      <c r="D1989">
        <v>35</v>
      </c>
      <c r="E1989">
        <v>30</v>
      </c>
      <c r="F1989">
        <v>21.5</v>
      </c>
      <c r="G1989">
        <v>0</v>
      </c>
      <c r="H1989">
        <v>0</v>
      </c>
      <c r="I1989" s="3">
        <f>E1989+G1989+H1989</f>
        <v>30</v>
      </c>
      <c r="J1989" s="3">
        <f>ROUND(MIN(IF(C1989="Técnico III",35,IF(C1989="Técnico II",28,IF(C1989="Técnico I",23,IF(C1989="JR",20,IF(C1989="Estágio",10,0))))),IF(C1989="Técnico III",SUMIFS($D:$D,$A:$A,$A1989,$B:$B,"&lt;&gt;Patrícia Karla de Sousa Araújo",$B:$B,"&lt;&gt;Lorena Dias de Araujo",$B:$B,"&lt;&gt;Lucas Luiz Romero")*(35/1083),IF(C1989="Técnico II",SUMIFS($D:$D,$A:$A,$A1989,$B:$B,"&lt;&gt;Patrícia Karla de Sousa Araújo",$B:$B,"&lt;&gt;Lorena Dias de Araujo",$B:$B,"&lt;&gt;Lucas Luiz Romero")*(28/1083),IF(C1989="Técnico I",SUMIFS($D:$D,$A:$A,$A1989,$B:$B,"&lt;&gt;Patrícia Karla de Sousa Araújo",$B:$B,"&lt;&gt;Lorena Dias de Araujo",$B:$B,"&lt;&gt;Lucas Luiz Romero")*(23/1083),IF(C1989="JR",SUMIFS($D:$D,$A:$A,$A1989,$B:$B,"&lt;&gt;Patrícia Karla de Sousa Araújo",$B:$B,"&lt;&gt;Lorena Dias de Araujo",$B:$B,"&lt;&gt;Lucas Luiz Romero")*(20/1083),IF(C1989="Estágio",SUMIFS($D:$D,$A:$A,$A1989,$B:$B,"&lt;&gt;Patrícia Karla de Sousa Araújo",$B:$B,"&lt;&gt;Lorena Dias de Araujo",$B:$B,"&lt;&gt;Lucas Luiz Romero")*(10/1083),0)))))),0)</f>
        <v>24</v>
      </c>
      <c r="K1989" s="3">
        <f>I1989-J1989</f>
        <v>6</v>
      </c>
      <c r="L1989" s="3" t="str">
        <f>IF(K1989&lt;-5,"CRÍTICO",IF(K1989&lt;0,"ATENÇÃO",IF(K1989&lt;=5,"BOM","EXCELENTE")))</f>
        <v>EXCELENTE</v>
      </c>
      <c r="M1989">
        <v>21</v>
      </c>
      <c r="N1989">
        <v>97.48</v>
      </c>
      <c r="O1989">
        <v>27.764705882352938</v>
      </c>
    </row>
    <row r="1990" spans="1:15" hidden="1" x14ac:dyDescent="0.25">
      <c r="A1990" s="11">
        <v>46063</v>
      </c>
      <c r="B1990" t="s">
        <v>57</v>
      </c>
      <c r="C1990" t="s">
        <v>48</v>
      </c>
      <c r="D1990">
        <v>38</v>
      </c>
      <c r="E1990">
        <v>37</v>
      </c>
      <c r="F1990">
        <v>16.55</v>
      </c>
      <c r="G1990">
        <v>0</v>
      </c>
      <c r="H1990">
        <v>0</v>
      </c>
      <c r="I1990" s="3">
        <v>0</v>
      </c>
      <c r="J1990" s="3">
        <v>0</v>
      </c>
      <c r="K1990" s="3">
        <v>0</v>
      </c>
      <c r="L1990" s="3" t="str">
        <f>IF(K1990&lt;-5,"CRÍTICO",IF(K1990&lt;0,"ATENÇÃO",IF(K1990&lt;=5,"BOM","EXCELENTE")))</f>
        <v>BOM</v>
      </c>
      <c r="M1990">
        <v>34</v>
      </c>
      <c r="N1990">
        <v>99.34</v>
      </c>
      <c r="O1990">
        <v>30.04291845493562</v>
      </c>
    </row>
    <row r="1991" spans="1:15" hidden="1" x14ac:dyDescent="0.25">
      <c r="A1991" s="11">
        <v>46063</v>
      </c>
      <c r="B1991" t="s">
        <v>42</v>
      </c>
      <c r="C1991" t="s">
        <v>32</v>
      </c>
      <c r="D1991">
        <v>0</v>
      </c>
      <c r="E1991">
        <v>0</v>
      </c>
      <c r="F1991">
        <v>0</v>
      </c>
      <c r="G1991">
        <v>0</v>
      </c>
      <c r="H1991">
        <v>0</v>
      </c>
      <c r="I1991" s="3">
        <v>0</v>
      </c>
      <c r="J1991" s="3">
        <v>0</v>
      </c>
      <c r="K1991" s="3">
        <v>0</v>
      </c>
      <c r="L1991" s="3" t="str">
        <f>IF(K1991&lt;-5,"CRÍTICO",IF(K1991&lt;0,"ATENÇÃO",IF(K1991&lt;=5,"BOM","EXCELENTE")))</f>
        <v>BOM</v>
      </c>
      <c r="M1991">
        <v>0</v>
      </c>
      <c r="N1991">
        <v>96.3</v>
      </c>
      <c r="O1991">
        <v>24.29378531073446</v>
      </c>
    </row>
    <row r="1992" spans="1:15" hidden="1" x14ac:dyDescent="0.25">
      <c r="A1992" s="11">
        <v>46063</v>
      </c>
      <c r="B1992" t="s">
        <v>62</v>
      </c>
      <c r="C1992" t="s">
        <v>23</v>
      </c>
      <c r="D1992">
        <v>25</v>
      </c>
      <c r="E1992">
        <v>22</v>
      </c>
      <c r="F1992">
        <v>24.18</v>
      </c>
      <c r="G1992">
        <v>0</v>
      </c>
      <c r="H1992">
        <v>0</v>
      </c>
      <c r="I1992" s="3">
        <f>E1992+G1992+H1992</f>
        <v>22</v>
      </c>
      <c r="J1992" s="3">
        <f>ROUND(MIN(IF(C1992="Técnico III",35,IF(C1992="Técnico II",28,IF(C1992="Técnico I",23,IF(C1992="JR",20,IF(C1992="Estágio",10,0))))),IF(C1992="Técnico III",SUMIFS($D:$D,$A:$A,$A1992,$B:$B,"&lt;&gt;Patrícia Karla de Sousa Araújo",$B:$B,"&lt;&gt;Lorena Dias de Araujo",$B:$B,"&lt;&gt;Lucas Luiz Romero")*(35/1083),IF(C1992="Técnico II",SUMIFS($D:$D,$A:$A,$A1992,$B:$B,"&lt;&gt;Patrícia Karla de Sousa Araújo",$B:$B,"&lt;&gt;Lorena Dias de Araujo",$B:$B,"&lt;&gt;Lucas Luiz Romero")*(28/1083),IF(C1992="Técnico I",SUMIFS($D:$D,$A:$A,$A1992,$B:$B,"&lt;&gt;Patrícia Karla de Sousa Araújo",$B:$B,"&lt;&gt;Lorena Dias de Araujo",$B:$B,"&lt;&gt;Lucas Luiz Romero")*(23/1083),IF(C1992="JR",SUMIFS($D:$D,$A:$A,$A1992,$B:$B,"&lt;&gt;Patrícia Karla de Sousa Araújo",$B:$B,"&lt;&gt;Lorena Dias de Araujo",$B:$B,"&lt;&gt;Lucas Luiz Romero")*(20/1083),IF(C1992="Estágio",SUMIFS($D:$D,$A:$A,$A1992,$B:$B,"&lt;&gt;Patrícia Karla de Sousa Araújo",$B:$B,"&lt;&gt;Lorena Dias de Araujo",$B:$B,"&lt;&gt;Lucas Luiz Romero")*(10/1083),0)))))),0)</f>
        <v>20</v>
      </c>
      <c r="K1992" s="3">
        <f>I1992-J1992</f>
        <v>2</v>
      </c>
      <c r="L1992" s="3" t="str">
        <f>IF(K1992&lt;-5,"CRÍTICO",IF(K1992&lt;0,"ATENÇÃO",IF(K1992&lt;=5,"BOM","EXCELENTE")))</f>
        <v>BOM</v>
      </c>
      <c r="M1992">
        <v>22</v>
      </c>
      <c r="N1992">
        <v>100</v>
      </c>
      <c r="O1992">
        <v>26.543209876543209</v>
      </c>
    </row>
    <row r="1993" spans="1:15" hidden="1" x14ac:dyDescent="0.25">
      <c r="A1993" s="11">
        <v>46063</v>
      </c>
      <c r="B1993" t="s">
        <v>19</v>
      </c>
      <c r="C1993" t="s">
        <v>16</v>
      </c>
      <c r="D1993">
        <v>0</v>
      </c>
      <c r="E1993">
        <v>0</v>
      </c>
      <c r="F1993">
        <v>0</v>
      </c>
      <c r="G1993">
        <v>0</v>
      </c>
      <c r="H1993">
        <v>0</v>
      </c>
      <c r="I1993" s="3">
        <v>0</v>
      </c>
      <c r="J1993" s="3">
        <v>0</v>
      </c>
      <c r="K1993" s="3">
        <v>0</v>
      </c>
      <c r="L1993" s="3" t="str">
        <f>IF(K1993&lt;-5,"CRÍTICO",IF(K1993&lt;0,"ATENÇÃO",IF(K1993&lt;=5,"BOM","EXCELENTE")))</f>
        <v>BOM</v>
      </c>
      <c r="M1993">
        <v>0</v>
      </c>
      <c r="N1993">
        <v>100</v>
      </c>
      <c r="O1993">
        <v>35.483870967741943</v>
      </c>
    </row>
    <row r="1994" spans="1:15" hidden="1" x14ac:dyDescent="0.25">
      <c r="A1994" s="11">
        <v>46063</v>
      </c>
      <c r="B1994" t="s">
        <v>43</v>
      </c>
      <c r="C1994" t="s">
        <v>32</v>
      </c>
      <c r="D1994">
        <v>26</v>
      </c>
      <c r="E1994">
        <v>23</v>
      </c>
      <c r="F1994">
        <v>18.47</v>
      </c>
      <c r="G1994">
        <v>0</v>
      </c>
      <c r="H1994">
        <v>0</v>
      </c>
      <c r="I1994" s="3">
        <f>E1994+G1994+H1994</f>
        <v>23</v>
      </c>
      <c r="J1994" s="3">
        <f>ROUND(MIN(IF(C1994="Técnico III",35,IF(C1994="Técnico II",28,IF(C1994="Técnico I",23,IF(C1994="JR",20,IF(C1994="Estágio",10,0))))),IF(C1994="Técnico III",SUMIFS($D:$D,$A:$A,$A1994,$B:$B,"&lt;&gt;Patrícia Karla de Sousa Araújo",$B:$B,"&lt;&gt;Lorena Dias de Araujo",$B:$B,"&lt;&gt;Lucas Luiz Romero")*(35/1083),IF(C1994="Técnico II",SUMIFS($D:$D,$A:$A,$A1994,$B:$B,"&lt;&gt;Patrícia Karla de Sousa Araújo",$B:$B,"&lt;&gt;Lorena Dias de Araujo",$B:$B,"&lt;&gt;Lucas Luiz Romero")*(28/1083),IF(C1994="Técnico I",SUMIFS($D:$D,$A:$A,$A1994,$B:$B,"&lt;&gt;Patrícia Karla de Sousa Araújo",$B:$B,"&lt;&gt;Lorena Dias de Araujo",$B:$B,"&lt;&gt;Lucas Luiz Romero")*(23/1083),IF(C1994="JR",SUMIFS($D:$D,$A:$A,$A1994,$B:$B,"&lt;&gt;Patrícia Karla de Sousa Araújo",$B:$B,"&lt;&gt;Lorena Dias de Araujo",$B:$B,"&lt;&gt;Lucas Luiz Romero")*(20/1083),IF(C1994="Estágio",SUMIFS($D:$D,$A:$A,$A1994,$B:$B,"&lt;&gt;Patrícia Karla de Sousa Araújo",$B:$B,"&lt;&gt;Lorena Dias de Araujo",$B:$B,"&lt;&gt;Lucas Luiz Romero")*(10/1083),0)))))),0)</f>
        <v>30</v>
      </c>
      <c r="K1994" s="3">
        <f>I1994-J1994</f>
        <v>-7</v>
      </c>
      <c r="L1994" s="3" t="str">
        <f>IF(K1994&lt;-5,"CRÍTICO",IF(K1994&lt;0,"ATENÇÃO",IF(K1994&lt;=5,"BOM","EXCELENTE")))</f>
        <v>CRÍTICO</v>
      </c>
      <c r="M1994">
        <v>34</v>
      </c>
      <c r="N1994">
        <v>99.27</v>
      </c>
      <c r="O1994">
        <v>31.163708086785011</v>
      </c>
    </row>
    <row r="1995" spans="1:15" hidden="1" x14ac:dyDescent="0.25">
      <c r="A1995" s="11">
        <v>46063</v>
      </c>
      <c r="B1995" t="s">
        <v>44</v>
      </c>
      <c r="C1995" t="s">
        <v>32</v>
      </c>
      <c r="D1995">
        <v>42</v>
      </c>
      <c r="E1995">
        <v>40</v>
      </c>
      <c r="F1995">
        <v>15</v>
      </c>
      <c r="G1995">
        <v>0</v>
      </c>
      <c r="H1995">
        <v>0</v>
      </c>
      <c r="I1995" s="3">
        <f>E1995+G1995+H1995</f>
        <v>40</v>
      </c>
      <c r="J1995" s="3">
        <f>ROUND(MIN(IF(C1995="Técnico III",35,IF(C1995="Técnico II",28,IF(C1995="Técnico I",23,IF(C1995="JR",20,IF(C1995="Estágio",10,0))))),IF(C1995="Técnico III",SUMIFS($D:$D,$A:$A,$A1995,$B:$B,"&lt;&gt;Patrícia Karla de Sousa Araújo",$B:$B,"&lt;&gt;Lorena Dias de Araujo",$B:$B,"&lt;&gt;Lucas Luiz Romero")*(35/1083),IF(C1995="Técnico II",SUMIFS($D:$D,$A:$A,$A1995,$B:$B,"&lt;&gt;Patrícia Karla de Sousa Araújo",$B:$B,"&lt;&gt;Lorena Dias de Araujo",$B:$B,"&lt;&gt;Lucas Luiz Romero")*(28/1083),IF(C1995="Técnico I",SUMIFS($D:$D,$A:$A,$A1995,$B:$B,"&lt;&gt;Patrícia Karla de Sousa Araújo",$B:$B,"&lt;&gt;Lorena Dias de Araujo",$B:$B,"&lt;&gt;Lucas Luiz Romero")*(23/1083),IF(C1995="JR",SUMIFS($D:$D,$A:$A,$A1995,$B:$B,"&lt;&gt;Patrícia Karla de Sousa Araújo",$B:$B,"&lt;&gt;Lorena Dias de Araujo",$B:$B,"&lt;&gt;Lucas Luiz Romero")*(20/1083),IF(C1995="Estágio",SUMIFS($D:$D,$A:$A,$A1995,$B:$B,"&lt;&gt;Patrícia Karla de Sousa Araújo",$B:$B,"&lt;&gt;Lorena Dias de Araujo",$B:$B,"&lt;&gt;Lucas Luiz Romero")*(10/1083),0)))))),0)</f>
        <v>30</v>
      </c>
      <c r="K1995" s="3">
        <f>I1995-J1995</f>
        <v>10</v>
      </c>
      <c r="L1995" s="3" t="str">
        <f>IF(K1995&lt;-5,"CRÍTICO",IF(K1995&lt;0,"ATENÇÃO",IF(K1995&lt;=5,"BOM","EXCELENTE")))</f>
        <v>EXCELENTE</v>
      </c>
      <c r="M1995">
        <v>33</v>
      </c>
      <c r="N1995">
        <v>94.16</v>
      </c>
      <c r="O1995">
        <v>27.038626609442058</v>
      </c>
    </row>
    <row r="1996" spans="1:15" hidden="1" x14ac:dyDescent="0.25">
      <c r="A1996" s="11">
        <v>46063</v>
      </c>
      <c r="B1996" t="s">
        <v>20</v>
      </c>
      <c r="C1996" t="s">
        <v>16</v>
      </c>
      <c r="D1996">
        <v>15</v>
      </c>
      <c r="E1996">
        <v>15</v>
      </c>
      <c r="F1996">
        <v>47.29</v>
      </c>
      <c r="G1996">
        <v>0</v>
      </c>
      <c r="H1996">
        <v>0</v>
      </c>
      <c r="I1996" s="3">
        <f>E1996+G1996+H1996</f>
        <v>15</v>
      </c>
      <c r="J1996" s="3">
        <f>ROUND(MIN(IF(C1996="Técnico III",35,IF(C1996="Técnico II",28,IF(C1996="Técnico I",23,IF(C1996="JR",20,IF(C1996="Estágio",10,0))))),IF(C1996="Técnico III",SUMIFS($D:$D,$A:$A,$A1996,$B:$B,"&lt;&gt;Patrícia Karla de Sousa Araújo",$B:$B,"&lt;&gt;Lorena Dias de Araujo",$B:$B,"&lt;&gt;Lucas Luiz Romero")*(35/1083),IF(C1996="Técnico II",SUMIFS($D:$D,$A:$A,$A1996,$B:$B,"&lt;&gt;Patrícia Karla de Sousa Araújo",$B:$B,"&lt;&gt;Lorena Dias de Araujo",$B:$B,"&lt;&gt;Lucas Luiz Romero")*(28/1083),IF(C1996="Técnico I",SUMIFS($D:$D,$A:$A,$A1996,$B:$B,"&lt;&gt;Patrícia Karla de Sousa Araújo",$B:$B,"&lt;&gt;Lorena Dias de Araujo",$B:$B,"&lt;&gt;Lucas Luiz Romero")*(23/1083),IF(C1996="JR",SUMIFS($D:$D,$A:$A,$A1996,$B:$B,"&lt;&gt;Patrícia Karla de Sousa Araújo",$B:$B,"&lt;&gt;Lorena Dias de Araujo",$B:$B,"&lt;&gt;Lucas Luiz Romero")*(20/1083),IF(C1996="Estágio",SUMIFS($D:$D,$A:$A,$A1996,$B:$B,"&lt;&gt;Patrícia Karla de Sousa Araújo",$B:$B,"&lt;&gt;Lorena Dias de Araujo",$B:$B,"&lt;&gt;Lucas Luiz Romero")*(10/1083),0)))))),0)</f>
        <v>9</v>
      </c>
      <c r="K1996" s="3">
        <f>I1996-J1996</f>
        <v>6</v>
      </c>
      <c r="L1996" s="3" t="str">
        <f>IF(K1996&lt;-5,"CRÍTICO",IF(K1996&lt;0,"ATENÇÃO",IF(K1996&lt;=5,"BOM","EXCELENTE")))</f>
        <v>EXCELENTE</v>
      </c>
      <c r="M1996">
        <v>5</v>
      </c>
      <c r="N1996">
        <v>93.75</v>
      </c>
      <c r="O1996">
        <v>19.31818181818182</v>
      </c>
    </row>
    <row r="1997" spans="1:15" hidden="1" x14ac:dyDescent="0.25">
      <c r="A1997" s="11">
        <v>46063</v>
      </c>
      <c r="B1997" t="s">
        <v>28</v>
      </c>
      <c r="C1997" t="s">
        <v>26</v>
      </c>
      <c r="D1997">
        <v>0</v>
      </c>
      <c r="E1997">
        <v>0</v>
      </c>
      <c r="F1997">
        <v>0</v>
      </c>
      <c r="G1997">
        <v>0</v>
      </c>
      <c r="H1997">
        <v>0</v>
      </c>
      <c r="I1997" s="3">
        <v>0</v>
      </c>
      <c r="J1997" s="3">
        <v>0</v>
      </c>
      <c r="K1997" s="3">
        <v>0</v>
      </c>
      <c r="L1997" s="3" t="str">
        <f>IF(K1997&lt;-5,"CRÍTICO",IF(K1997&lt;0,"ATENÇÃO",IF(K1997&lt;=5,"BOM","EXCELENTE")))</f>
        <v>BOM</v>
      </c>
      <c r="M1997">
        <v>0</v>
      </c>
      <c r="N1997">
        <v>0</v>
      </c>
      <c r="O1997">
        <v>0</v>
      </c>
    </row>
    <row r="1998" spans="1:15" hidden="1" x14ac:dyDescent="0.25">
      <c r="A1998" s="11">
        <v>46063</v>
      </c>
      <c r="B1998" t="s">
        <v>58</v>
      </c>
      <c r="C1998" t="s">
        <v>48</v>
      </c>
      <c r="D1998">
        <v>0</v>
      </c>
      <c r="E1998">
        <v>0</v>
      </c>
      <c r="F1998">
        <v>0</v>
      </c>
      <c r="G1998">
        <v>0</v>
      </c>
      <c r="H1998">
        <v>0</v>
      </c>
      <c r="I1998" s="3">
        <v>0</v>
      </c>
      <c r="J1998" s="3">
        <v>0</v>
      </c>
      <c r="K1998" s="3">
        <v>0</v>
      </c>
      <c r="L1998" s="3" t="str">
        <f>IF(K1998&lt;-5,"CRÍTICO",IF(K1998&lt;0,"ATENÇÃO",IF(K1998&lt;=5,"BOM","EXCELENTE")))</f>
        <v>BOM</v>
      </c>
      <c r="M1998">
        <v>0</v>
      </c>
      <c r="N1998">
        <v>97.92</v>
      </c>
      <c r="O1998">
        <v>32.87671232876712</v>
      </c>
    </row>
    <row r="1999" spans="1:15" hidden="1" x14ac:dyDescent="0.25">
      <c r="A1999" s="11">
        <v>46063</v>
      </c>
      <c r="B1999" t="s">
        <v>29</v>
      </c>
      <c r="C1999" t="s">
        <v>26</v>
      </c>
      <c r="D1999">
        <v>0</v>
      </c>
      <c r="E1999">
        <v>0</v>
      </c>
      <c r="F1999">
        <v>0</v>
      </c>
      <c r="G1999">
        <v>0</v>
      </c>
      <c r="H1999">
        <v>0</v>
      </c>
      <c r="I1999" s="3">
        <v>0</v>
      </c>
      <c r="J1999" s="3">
        <v>0</v>
      </c>
      <c r="K1999" s="3">
        <v>0</v>
      </c>
      <c r="L1999" s="3" t="str">
        <f>IF(K1999&lt;-5,"CRÍTICO",IF(K1999&lt;0,"ATENÇÃO",IF(K1999&lt;=5,"BOM","EXCELENTE")))</f>
        <v>BOM</v>
      </c>
      <c r="M1999">
        <v>0</v>
      </c>
      <c r="N1999">
        <v>0</v>
      </c>
      <c r="O1999">
        <v>0</v>
      </c>
    </row>
    <row r="2000" spans="1:15" hidden="1" x14ac:dyDescent="0.25">
      <c r="A2000" s="11">
        <v>46063</v>
      </c>
      <c r="B2000" t="s">
        <v>30</v>
      </c>
      <c r="C2000" t="s">
        <v>26</v>
      </c>
      <c r="D2000">
        <v>0</v>
      </c>
      <c r="E2000">
        <v>0</v>
      </c>
      <c r="F2000">
        <v>0</v>
      </c>
      <c r="G2000">
        <v>0</v>
      </c>
      <c r="H2000">
        <v>0</v>
      </c>
      <c r="I2000" s="3">
        <v>0</v>
      </c>
      <c r="J2000" s="3">
        <v>0</v>
      </c>
      <c r="K2000" s="3">
        <v>0</v>
      </c>
      <c r="L2000" s="3" t="str">
        <f>IF(K2000&lt;-5,"CRÍTICO",IF(K2000&lt;0,"ATENÇÃO",IF(K2000&lt;=5,"BOM","EXCELENTE")))</f>
        <v>BOM</v>
      </c>
      <c r="M2000">
        <v>0</v>
      </c>
      <c r="N2000">
        <v>0</v>
      </c>
      <c r="O2000">
        <v>0</v>
      </c>
    </row>
    <row r="2001" spans="1:15" hidden="1" x14ac:dyDescent="0.25">
      <c r="A2001" s="11">
        <v>46063</v>
      </c>
      <c r="B2001" t="s">
        <v>21</v>
      </c>
      <c r="C2001" t="s">
        <v>16</v>
      </c>
      <c r="D2001">
        <v>0</v>
      </c>
      <c r="E2001">
        <v>0</v>
      </c>
      <c r="F2001">
        <v>0</v>
      </c>
      <c r="G2001">
        <v>0</v>
      </c>
      <c r="H2001">
        <v>0</v>
      </c>
      <c r="I2001" s="3">
        <v>0</v>
      </c>
      <c r="J2001" s="3">
        <v>0</v>
      </c>
      <c r="K2001" s="3">
        <v>0</v>
      </c>
      <c r="L2001" s="3" t="str">
        <f>IF(K2001&lt;-5,"CRÍTICO",IF(K2001&lt;0,"ATENÇÃO",IF(K2001&lt;=5,"BOM","EXCELENTE")))</f>
        <v>BOM</v>
      </c>
      <c r="M2001">
        <v>0</v>
      </c>
      <c r="N2001">
        <v>0</v>
      </c>
      <c r="O2001">
        <v>0</v>
      </c>
    </row>
    <row r="2002" spans="1:15" hidden="1" x14ac:dyDescent="0.25">
      <c r="A2002" s="11">
        <v>46063</v>
      </c>
      <c r="B2002" t="s">
        <v>63</v>
      </c>
      <c r="C2002" t="s">
        <v>23</v>
      </c>
      <c r="D2002">
        <v>14</v>
      </c>
      <c r="E2002">
        <v>13</v>
      </c>
      <c r="F2002">
        <v>51.52</v>
      </c>
      <c r="G2002">
        <v>0</v>
      </c>
      <c r="H2002">
        <v>0</v>
      </c>
      <c r="I2002" s="3">
        <f>E2002+G2002+H2002</f>
        <v>13</v>
      </c>
      <c r="J2002" s="3">
        <f>ROUND(MIN(IF(C2002="Técnico III",35,IF(C2002="Técnico II",28,IF(C2002="Técnico I",23,IF(C2002="JR",20,IF(C2002="Estágio",10,0))))),IF(C2002="Técnico III",SUMIFS($D:$D,$A:$A,$A2002,$B:$B,"&lt;&gt;Patrícia Karla de Sousa Araújo",$B:$B,"&lt;&gt;Lorena Dias de Araujo",$B:$B,"&lt;&gt;Lucas Luiz Romero")*(35/1083),IF(C2002="Técnico II",SUMIFS($D:$D,$A:$A,$A2002,$B:$B,"&lt;&gt;Patrícia Karla de Sousa Araújo",$B:$B,"&lt;&gt;Lorena Dias de Araujo",$B:$B,"&lt;&gt;Lucas Luiz Romero")*(28/1083),IF(C2002="Técnico I",SUMIFS($D:$D,$A:$A,$A2002,$B:$B,"&lt;&gt;Patrícia Karla de Sousa Araújo",$B:$B,"&lt;&gt;Lorena Dias de Araujo",$B:$B,"&lt;&gt;Lucas Luiz Romero")*(23/1083),IF(C2002="JR",SUMIFS($D:$D,$A:$A,$A2002,$B:$B,"&lt;&gt;Patrícia Karla de Sousa Araújo",$B:$B,"&lt;&gt;Lorena Dias de Araujo",$B:$B,"&lt;&gt;Lucas Luiz Romero")*(20/1083),IF(C2002="Estágio",SUMIFS($D:$D,$A:$A,$A2002,$B:$B,"&lt;&gt;Patrícia Karla de Sousa Araújo",$B:$B,"&lt;&gt;Lorena Dias de Araujo",$B:$B,"&lt;&gt;Lucas Luiz Romero")*(10/1083),0)))))),0)</f>
        <v>20</v>
      </c>
      <c r="K2002" s="3">
        <f>I2002-J2002</f>
        <v>-7</v>
      </c>
      <c r="L2002" s="3" t="str">
        <f>IF(K2002&lt;-5,"CRÍTICO",IF(K2002&lt;0,"ATENÇÃO",IF(K2002&lt;=5,"BOM","EXCELENTE")))</f>
        <v>CRÍTICO</v>
      </c>
      <c r="M2002">
        <v>11</v>
      </c>
      <c r="N2002">
        <v>98.51</v>
      </c>
      <c r="O2002">
        <v>29.710144927536231</v>
      </c>
    </row>
    <row r="2003" spans="1:15" hidden="1" x14ac:dyDescent="0.25">
      <c r="A2003" s="11">
        <v>46063</v>
      </c>
      <c r="B2003" t="s">
        <v>45</v>
      </c>
      <c r="C2003" t="s">
        <v>32</v>
      </c>
      <c r="D2003">
        <v>42</v>
      </c>
      <c r="E2003">
        <v>38</v>
      </c>
      <c r="F2003">
        <v>14.07</v>
      </c>
      <c r="G2003">
        <v>0</v>
      </c>
      <c r="H2003">
        <v>0</v>
      </c>
      <c r="I2003" s="3">
        <f>E2003+G2003+H2003</f>
        <v>38</v>
      </c>
      <c r="J2003" s="3">
        <f>ROUND(MIN(IF(C2003="Técnico III",35,IF(C2003="Técnico II",28,IF(C2003="Técnico I",23,IF(C2003="JR",20,IF(C2003="Estágio",10,0))))),IF(C2003="Técnico III",SUMIFS($D:$D,$A:$A,$A2003,$B:$B,"&lt;&gt;Patrícia Karla de Sousa Araújo",$B:$B,"&lt;&gt;Lorena Dias de Araujo",$B:$B,"&lt;&gt;Lucas Luiz Romero")*(35/1083),IF(C2003="Técnico II",SUMIFS($D:$D,$A:$A,$A2003,$B:$B,"&lt;&gt;Patrícia Karla de Sousa Araújo",$B:$B,"&lt;&gt;Lorena Dias de Araujo",$B:$B,"&lt;&gt;Lucas Luiz Romero")*(28/1083),IF(C2003="Técnico I",SUMIFS($D:$D,$A:$A,$A2003,$B:$B,"&lt;&gt;Patrícia Karla de Sousa Araújo",$B:$B,"&lt;&gt;Lorena Dias de Araujo",$B:$B,"&lt;&gt;Lucas Luiz Romero")*(23/1083),IF(C2003="JR",SUMIFS($D:$D,$A:$A,$A2003,$B:$B,"&lt;&gt;Patrícia Karla de Sousa Araújo",$B:$B,"&lt;&gt;Lorena Dias de Araujo",$B:$B,"&lt;&gt;Lucas Luiz Romero")*(20/1083),IF(C2003="Estágio",SUMIFS($D:$D,$A:$A,$A2003,$B:$B,"&lt;&gt;Patrícia Karla de Sousa Araújo",$B:$B,"&lt;&gt;Lorena Dias de Araujo",$B:$B,"&lt;&gt;Lucas Luiz Romero")*(10/1083),0)))))),0)</f>
        <v>30</v>
      </c>
      <c r="K2003" s="3">
        <f>I2003-J2003</f>
        <v>8</v>
      </c>
      <c r="L2003" s="3" t="str">
        <f>IF(K2003&lt;-5,"CRÍTICO",IF(K2003&lt;0,"ATENÇÃO",IF(K2003&lt;=5,"BOM","EXCELENTE")))</f>
        <v>EXCELENTE</v>
      </c>
      <c r="M2003">
        <v>31</v>
      </c>
      <c r="N2003">
        <v>98.81</v>
      </c>
      <c r="O2003">
        <v>30.712979890310791</v>
      </c>
    </row>
    <row r="2004" spans="1:15" hidden="1" x14ac:dyDescent="0.25">
      <c r="A2004" s="11">
        <v>46063</v>
      </c>
      <c r="B2004" t="s">
        <v>64</v>
      </c>
      <c r="C2004" t="s">
        <v>23</v>
      </c>
      <c r="D2004">
        <v>13</v>
      </c>
      <c r="E2004">
        <v>13</v>
      </c>
      <c r="F2004">
        <v>47.03</v>
      </c>
      <c r="G2004">
        <v>0</v>
      </c>
      <c r="H2004">
        <v>0</v>
      </c>
      <c r="I2004" s="3">
        <f>E2004+G2004+H2004</f>
        <v>13</v>
      </c>
      <c r="J2004" s="3">
        <f>ROUND(MIN(IF(C2004="Técnico III",35,IF(C2004="Técnico II",28,IF(C2004="Técnico I",23,IF(C2004="JR",20,IF(C2004="Estágio",10,0))))),IF(C2004="Técnico III",SUMIFS($D:$D,$A:$A,$A2004,$B:$B,"&lt;&gt;Patrícia Karla de Sousa Araújo",$B:$B,"&lt;&gt;Lorena Dias de Araujo",$B:$B,"&lt;&gt;Lucas Luiz Romero")*(35/1083),IF(C2004="Técnico II",SUMIFS($D:$D,$A:$A,$A2004,$B:$B,"&lt;&gt;Patrícia Karla de Sousa Araújo",$B:$B,"&lt;&gt;Lorena Dias de Araujo",$B:$B,"&lt;&gt;Lucas Luiz Romero")*(28/1083),IF(C2004="Técnico I",SUMIFS($D:$D,$A:$A,$A2004,$B:$B,"&lt;&gt;Patrícia Karla de Sousa Araújo",$B:$B,"&lt;&gt;Lorena Dias de Araujo",$B:$B,"&lt;&gt;Lucas Luiz Romero")*(23/1083),IF(C2004="JR",SUMIFS($D:$D,$A:$A,$A2004,$B:$B,"&lt;&gt;Patrícia Karla de Sousa Araújo",$B:$B,"&lt;&gt;Lorena Dias de Araujo",$B:$B,"&lt;&gt;Lucas Luiz Romero")*(20/1083),IF(C2004="Estágio",SUMIFS($D:$D,$A:$A,$A2004,$B:$B,"&lt;&gt;Patrícia Karla de Sousa Araújo",$B:$B,"&lt;&gt;Lorena Dias de Araujo",$B:$B,"&lt;&gt;Lucas Luiz Romero")*(10/1083),0)))))),0)</f>
        <v>20</v>
      </c>
      <c r="K2004" s="3">
        <f>I2004-J2004</f>
        <v>-7</v>
      </c>
      <c r="L2004" s="3" t="str">
        <f>IF(K2004&lt;-5,"CRÍTICO",IF(K2004&lt;0,"ATENÇÃO",IF(K2004&lt;=5,"BOM","EXCELENTE")))</f>
        <v>CRÍTICO</v>
      </c>
      <c r="M2004">
        <v>12</v>
      </c>
      <c r="N2004">
        <v>98.48</v>
      </c>
      <c r="O2004">
        <v>29.35323383084577</v>
      </c>
    </row>
    <row r="2005" spans="1:15" hidden="1" x14ac:dyDescent="0.25">
      <c r="A2005" s="11">
        <v>46063</v>
      </c>
      <c r="B2005" t="s">
        <v>46</v>
      </c>
      <c r="C2005" t="s">
        <v>32</v>
      </c>
      <c r="D2005">
        <v>27</v>
      </c>
      <c r="E2005">
        <v>27</v>
      </c>
      <c r="F2005">
        <v>15.3</v>
      </c>
      <c r="G2005">
        <v>0</v>
      </c>
      <c r="H2005">
        <v>0</v>
      </c>
      <c r="I2005" s="3">
        <f>E2005+G2005+H2005</f>
        <v>27</v>
      </c>
      <c r="J2005" s="3">
        <f>ROUND(MIN(IF(C2005="Técnico III",35,IF(C2005="Técnico II",28,IF(C2005="Técnico I",23,IF(C2005="JR",20,IF(C2005="Estágio",10,0))))),IF(C2005="Técnico III",SUMIFS($D:$D,$A:$A,$A2005,$B:$B,"&lt;&gt;Patrícia Karla de Sousa Araújo",$B:$B,"&lt;&gt;Lorena Dias de Araujo",$B:$B,"&lt;&gt;Lucas Luiz Romero")*(35/1083),IF(C2005="Técnico II",SUMIFS($D:$D,$A:$A,$A2005,$B:$B,"&lt;&gt;Patrícia Karla de Sousa Araújo",$B:$B,"&lt;&gt;Lorena Dias de Araujo",$B:$B,"&lt;&gt;Lucas Luiz Romero")*(28/1083),IF(C2005="Técnico I",SUMIFS($D:$D,$A:$A,$A2005,$B:$B,"&lt;&gt;Patrícia Karla de Sousa Araújo",$B:$B,"&lt;&gt;Lorena Dias de Araujo",$B:$B,"&lt;&gt;Lucas Luiz Romero")*(23/1083),IF(C2005="JR",SUMIFS($D:$D,$A:$A,$A2005,$B:$B,"&lt;&gt;Patrícia Karla de Sousa Araújo",$B:$B,"&lt;&gt;Lorena Dias de Araujo",$B:$B,"&lt;&gt;Lucas Luiz Romero")*(20/1083),IF(C2005="Estágio",SUMIFS($D:$D,$A:$A,$A2005,$B:$B,"&lt;&gt;Patrícia Karla de Sousa Araújo",$B:$B,"&lt;&gt;Lorena Dias de Araujo",$B:$B,"&lt;&gt;Lucas Luiz Romero")*(10/1083),0)))))),0)</f>
        <v>30</v>
      </c>
      <c r="K2005" s="3">
        <f>I2005-J2005</f>
        <v>-3</v>
      </c>
      <c r="L2005" s="3" t="str">
        <f>IF(K2005&lt;-5,"CRÍTICO",IF(K2005&lt;0,"ATENÇÃO",IF(K2005&lt;=5,"BOM","EXCELENTE")))</f>
        <v>ATENÇÃO</v>
      </c>
      <c r="M2005">
        <v>25</v>
      </c>
      <c r="N2005">
        <v>98.56</v>
      </c>
      <c r="O2005">
        <v>29.373650107991359</v>
      </c>
    </row>
    <row r="2006" spans="1:15" hidden="1" x14ac:dyDescent="0.25">
      <c r="A2006" s="11">
        <v>46064</v>
      </c>
      <c r="B2006" t="s">
        <v>47</v>
      </c>
      <c r="C2006" t="s">
        <v>48</v>
      </c>
      <c r="D2006">
        <v>33</v>
      </c>
      <c r="E2006">
        <v>33</v>
      </c>
      <c r="F2006">
        <v>16.48</v>
      </c>
      <c r="G2006">
        <v>0</v>
      </c>
      <c r="H2006">
        <v>0</v>
      </c>
      <c r="I2006" s="3">
        <f>E2006+G2006+H2006</f>
        <v>33</v>
      </c>
      <c r="J2006" s="3">
        <f>ROUND(MIN(IF(C2006="Técnico III",35,IF(C2006="Técnico II",28,IF(C2006="Técnico I",23,IF(C2006="JR",20,IF(C2006="Estágio",10,0))))),IF(C2006="Técnico III",SUMIFS($D:$D,$A:$A,$A2006,$B:$B,"&lt;&gt;Patrícia Karla de Sousa Araújo",$B:$B,"&lt;&gt;Lorena Dias de Araujo",$B:$B,"&lt;&gt;Lucas Luiz Romero")*(35/1083),IF(C2006="Técnico II",SUMIFS($D:$D,$A:$A,$A2006,$B:$B,"&lt;&gt;Patrícia Karla de Sousa Araújo",$B:$B,"&lt;&gt;Lorena Dias de Araujo",$B:$B,"&lt;&gt;Lucas Luiz Romero")*(28/1083),IF(C2006="Técnico I",SUMIFS($D:$D,$A:$A,$A2006,$B:$B,"&lt;&gt;Patrícia Karla de Sousa Araújo",$B:$B,"&lt;&gt;Lorena Dias de Araujo",$B:$B,"&lt;&gt;Lucas Luiz Romero")*(23/1083),IF(C2006="JR",SUMIFS($D:$D,$A:$A,$A2006,$B:$B,"&lt;&gt;Patrícia Karla de Sousa Araújo",$B:$B,"&lt;&gt;Lorena Dias de Araujo",$B:$B,"&lt;&gt;Lucas Luiz Romero")*(20/1083),IF(C2006="Estágio",SUMIFS($D:$D,$A:$A,$A2006,$B:$B,"&lt;&gt;Patrícia Karla de Sousa Araújo",$B:$B,"&lt;&gt;Lorena Dias de Araujo",$B:$B,"&lt;&gt;Lucas Luiz Romero")*(10/1083),0)))))),0)</f>
        <v>23</v>
      </c>
      <c r="K2006" s="3">
        <f>I2006-J2006</f>
        <v>10</v>
      </c>
      <c r="L2006" s="3" t="str">
        <f>IF(K2006&lt;-5,"CRÍTICO",IF(K2006&lt;0,"ATENÇÃO",IF(K2006&lt;=5,"BOM","EXCELENTE")))</f>
        <v>EXCELENTE</v>
      </c>
      <c r="M2006">
        <v>31</v>
      </c>
      <c r="N2006">
        <v>98.32</v>
      </c>
      <c r="O2006">
        <v>30.303030303030301</v>
      </c>
    </row>
    <row r="2007" spans="1:15" hidden="1" x14ac:dyDescent="0.25">
      <c r="A2007" s="11">
        <v>46064</v>
      </c>
      <c r="B2007" t="s">
        <v>31</v>
      </c>
      <c r="C2007" t="s">
        <v>32</v>
      </c>
      <c r="D2007">
        <v>0</v>
      </c>
      <c r="E2007">
        <v>0</v>
      </c>
      <c r="F2007">
        <v>0</v>
      </c>
      <c r="G2007">
        <v>0</v>
      </c>
      <c r="H2007">
        <v>0</v>
      </c>
      <c r="I2007" s="3">
        <v>0</v>
      </c>
      <c r="J2007" s="3">
        <v>0</v>
      </c>
      <c r="K2007" s="3">
        <v>0</v>
      </c>
      <c r="L2007" s="3" t="str">
        <f>IF(K2007&lt;-5,"CRÍTICO",IF(K2007&lt;0,"ATENÇÃO",IF(K2007&lt;=5,"BOM","EXCELENTE")))</f>
        <v>BOM</v>
      </c>
      <c r="M2007">
        <v>25</v>
      </c>
      <c r="N2007">
        <v>98.68</v>
      </c>
      <c r="O2007">
        <v>26.219512195121951</v>
      </c>
    </row>
    <row r="2008" spans="1:15" hidden="1" x14ac:dyDescent="0.25">
      <c r="A2008" s="11">
        <v>46064</v>
      </c>
      <c r="B2008" t="s">
        <v>59</v>
      </c>
      <c r="C2008" t="s">
        <v>23</v>
      </c>
      <c r="D2008">
        <v>28</v>
      </c>
      <c r="E2008">
        <v>26</v>
      </c>
      <c r="F2008">
        <v>24.11</v>
      </c>
      <c r="G2008">
        <v>0</v>
      </c>
      <c r="H2008">
        <v>0</v>
      </c>
      <c r="I2008" s="3">
        <f>E2008+G2008+H2008</f>
        <v>26</v>
      </c>
      <c r="J2008" s="3">
        <f>ROUND(MIN(IF(C2008="Técnico III",35,IF(C2008="Técnico II",28,IF(C2008="Técnico I",23,IF(C2008="JR",20,IF(C2008="Estágio",10,0))))),IF(C2008="Técnico III",SUMIFS($D:$D,$A:$A,$A2008,$B:$B,"&lt;&gt;Patrícia Karla de Sousa Araújo",$B:$B,"&lt;&gt;Lorena Dias de Araujo",$B:$B,"&lt;&gt;Lucas Luiz Romero")*(35/1083),IF(C2008="Técnico II",SUMIFS($D:$D,$A:$A,$A2008,$B:$B,"&lt;&gt;Patrícia Karla de Sousa Araújo",$B:$B,"&lt;&gt;Lorena Dias de Araujo",$B:$B,"&lt;&gt;Lucas Luiz Romero")*(28/1083),IF(C2008="Técnico I",SUMIFS($D:$D,$A:$A,$A2008,$B:$B,"&lt;&gt;Patrícia Karla de Sousa Araújo",$B:$B,"&lt;&gt;Lorena Dias de Araujo",$B:$B,"&lt;&gt;Lucas Luiz Romero")*(23/1083),IF(C2008="JR",SUMIFS($D:$D,$A:$A,$A2008,$B:$B,"&lt;&gt;Patrícia Karla de Sousa Araújo",$B:$B,"&lt;&gt;Lorena Dias de Araujo",$B:$B,"&lt;&gt;Lucas Luiz Romero")*(20/1083),IF(C2008="Estágio",SUMIFS($D:$D,$A:$A,$A2008,$B:$B,"&lt;&gt;Patrícia Karla de Sousa Araújo",$B:$B,"&lt;&gt;Lorena Dias de Araujo",$B:$B,"&lt;&gt;Lucas Luiz Romero")*(10/1083),0)))))),0)</f>
        <v>19</v>
      </c>
      <c r="K2008" s="3">
        <f>I2008-J2008</f>
        <v>7</v>
      </c>
      <c r="L2008" s="3" t="str">
        <f>IF(K2008&lt;-5,"CRÍTICO",IF(K2008&lt;0,"ATENÇÃO",IF(K2008&lt;=5,"BOM","EXCELENTE")))</f>
        <v>EXCELENTE</v>
      </c>
      <c r="M2008">
        <v>23</v>
      </c>
      <c r="N2008">
        <v>100</v>
      </c>
      <c r="O2008">
        <v>31.74224343675418</v>
      </c>
    </row>
    <row r="2009" spans="1:15" hidden="1" x14ac:dyDescent="0.25">
      <c r="A2009" s="11">
        <v>46064</v>
      </c>
      <c r="B2009" t="s">
        <v>33</v>
      </c>
      <c r="C2009" t="s">
        <v>32</v>
      </c>
      <c r="D2009">
        <v>24</v>
      </c>
      <c r="E2009">
        <v>24</v>
      </c>
      <c r="F2009">
        <v>20.32</v>
      </c>
      <c r="G2009">
        <v>0</v>
      </c>
      <c r="H2009">
        <v>0</v>
      </c>
      <c r="I2009" s="3">
        <f>E2009+G2009+H2009</f>
        <v>24</v>
      </c>
      <c r="J2009" s="3">
        <f>ROUND(MIN(IF(C2009="Técnico III",35,IF(C2009="Técnico II",28,IF(C2009="Técnico I",23,IF(C2009="JR",20,IF(C2009="Estágio",10,0))))),IF(C2009="Técnico III",SUMIFS($D:$D,$A:$A,$A2009,$B:$B,"&lt;&gt;Patrícia Karla de Sousa Araújo",$B:$B,"&lt;&gt;Lorena Dias de Araujo",$B:$B,"&lt;&gt;Lucas Luiz Romero")*(35/1083),IF(C2009="Técnico II",SUMIFS($D:$D,$A:$A,$A2009,$B:$B,"&lt;&gt;Patrícia Karla de Sousa Araújo",$B:$B,"&lt;&gt;Lorena Dias de Araujo",$B:$B,"&lt;&gt;Lucas Luiz Romero")*(28/1083),IF(C2009="Técnico I",SUMIFS($D:$D,$A:$A,$A2009,$B:$B,"&lt;&gt;Patrícia Karla de Sousa Araújo",$B:$B,"&lt;&gt;Lorena Dias de Araujo",$B:$B,"&lt;&gt;Lucas Luiz Romero")*(23/1083),IF(C2009="JR",SUMIFS($D:$D,$A:$A,$A2009,$B:$B,"&lt;&gt;Patrícia Karla de Sousa Araújo",$B:$B,"&lt;&gt;Lorena Dias de Araujo",$B:$B,"&lt;&gt;Lucas Luiz Romero")*(20/1083),IF(C2009="Estágio",SUMIFS($D:$D,$A:$A,$A2009,$B:$B,"&lt;&gt;Patrícia Karla de Sousa Araújo",$B:$B,"&lt;&gt;Lorena Dias de Araujo",$B:$B,"&lt;&gt;Lucas Luiz Romero")*(10/1083),0)))))),0)</f>
        <v>28</v>
      </c>
      <c r="K2009" s="3">
        <f>I2009-J2009</f>
        <v>-4</v>
      </c>
      <c r="L2009" s="3" t="str">
        <f>IF(K2009&lt;-5,"CRÍTICO",IF(K2009&lt;0,"ATENÇÃO",IF(K2009&lt;=5,"BOM","EXCELENTE")))</f>
        <v>ATENÇÃO</v>
      </c>
      <c r="M2009">
        <v>23</v>
      </c>
      <c r="N2009">
        <v>98.25</v>
      </c>
      <c r="O2009">
        <v>25.83518930957684</v>
      </c>
    </row>
    <row r="2010" spans="1:15" hidden="1" x14ac:dyDescent="0.25">
      <c r="A2010" s="11">
        <v>46064</v>
      </c>
      <c r="B2010" t="s">
        <v>15</v>
      </c>
      <c r="C2010" t="s">
        <v>16</v>
      </c>
      <c r="D2010">
        <v>9</v>
      </c>
      <c r="E2010">
        <v>8</v>
      </c>
      <c r="F2010">
        <v>25.31</v>
      </c>
      <c r="G2010">
        <v>0</v>
      </c>
      <c r="H2010">
        <v>0</v>
      </c>
      <c r="I2010" s="3">
        <f>E2010+G2010+H2010</f>
        <v>8</v>
      </c>
      <c r="J2010" s="3">
        <f>ROUND(MIN(IF(C2010="Técnico III",35,IF(C2010="Técnico II",28,IF(C2010="Técnico I",23,IF(C2010="JR",20,IF(C2010="Estágio",10,0))))),IF(C2010="Técnico III",SUMIFS($D:$D,$A:$A,$A2010,$B:$B,"&lt;&gt;Patrícia Karla de Sousa Araújo",$B:$B,"&lt;&gt;Lorena Dias de Araujo",$B:$B,"&lt;&gt;Lucas Luiz Romero")*(35/1083),IF(C2010="Técnico II",SUMIFS($D:$D,$A:$A,$A2010,$B:$B,"&lt;&gt;Patrícia Karla de Sousa Araújo",$B:$B,"&lt;&gt;Lorena Dias de Araujo",$B:$B,"&lt;&gt;Lucas Luiz Romero")*(28/1083),IF(C2010="Técnico I",SUMIFS($D:$D,$A:$A,$A2010,$B:$B,"&lt;&gt;Patrícia Karla de Sousa Araújo",$B:$B,"&lt;&gt;Lorena Dias de Araujo",$B:$B,"&lt;&gt;Lucas Luiz Romero")*(23/1083),IF(C2010="JR",SUMIFS($D:$D,$A:$A,$A2010,$B:$B,"&lt;&gt;Patrícia Karla de Sousa Araújo",$B:$B,"&lt;&gt;Lorena Dias de Araujo",$B:$B,"&lt;&gt;Lucas Luiz Romero")*(20/1083),IF(C2010="Estágio",SUMIFS($D:$D,$A:$A,$A2010,$B:$B,"&lt;&gt;Patrícia Karla de Sousa Araújo",$B:$B,"&lt;&gt;Lorena Dias de Araujo",$B:$B,"&lt;&gt;Lucas Luiz Romero")*(10/1083),0)))))),0)</f>
        <v>8</v>
      </c>
      <c r="K2010" s="3">
        <f>I2010-J2010</f>
        <v>0</v>
      </c>
      <c r="L2010" s="3" t="str">
        <f>IF(K2010&lt;-5,"CRÍTICO",IF(K2010&lt;0,"ATENÇÃO",IF(K2010&lt;=5,"BOM","EXCELENTE")))</f>
        <v>BOM</v>
      </c>
      <c r="M2010">
        <v>7</v>
      </c>
      <c r="N2010">
        <v>97.5</v>
      </c>
      <c r="O2010">
        <v>30.075187969924809</v>
      </c>
    </row>
    <row r="2011" spans="1:15" hidden="1" x14ac:dyDescent="0.25">
      <c r="A2011" s="11">
        <v>46064</v>
      </c>
      <c r="B2011" t="s">
        <v>49</v>
      </c>
      <c r="C2011" t="s">
        <v>48</v>
      </c>
      <c r="D2011">
        <v>23</v>
      </c>
      <c r="E2011">
        <v>22</v>
      </c>
      <c r="F2011">
        <v>28.45</v>
      </c>
      <c r="G2011">
        <v>0</v>
      </c>
      <c r="H2011">
        <v>0</v>
      </c>
      <c r="I2011" s="3">
        <f>E2011+G2011+H2011</f>
        <v>22</v>
      </c>
      <c r="J2011" s="3">
        <f>ROUND(MIN(IF(C2011="Técnico III",35,IF(C2011="Técnico II",28,IF(C2011="Técnico I",23,IF(C2011="JR",20,IF(C2011="Estágio",10,0))))),IF(C2011="Técnico III",SUMIFS($D:$D,$A:$A,$A2011,$B:$B,"&lt;&gt;Patrícia Karla de Sousa Araújo",$B:$B,"&lt;&gt;Lorena Dias de Araujo",$B:$B,"&lt;&gt;Lucas Luiz Romero")*(35/1083),IF(C2011="Técnico II",SUMIFS($D:$D,$A:$A,$A2011,$B:$B,"&lt;&gt;Patrícia Karla de Sousa Araújo",$B:$B,"&lt;&gt;Lorena Dias de Araujo",$B:$B,"&lt;&gt;Lucas Luiz Romero")*(28/1083),IF(C2011="Técnico I",SUMIFS($D:$D,$A:$A,$A2011,$B:$B,"&lt;&gt;Patrícia Karla de Sousa Araújo",$B:$B,"&lt;&gt;Lorena Dias de Araujo",$B:$B,"&lt;&gt;Lucas Luiz Romero")*(23/1083),IF(C2011="JR",SUMIFS($D:$D,$A:$A,$A2011,$B:$B,"&lt;&gt;Patrícia Karla de Sousa Araújo",$B:$B,"&lt;&gt;Lorena Dias de Araujo",$B:$B,"&lt;&gt;Lucas Luiz Romero")*(20/1083),IF(C2011="Estágio",SUMIFS($D:$D,$A:$A,$A2011,$B:$B,"&lt;&gt;Patrícia Karla de Sousa Araújo",$B:$B,"&lt;&gt;Lorena Dias de Araujo",$B:$B,"&lt;&gt;Lucas Luiz Romero")*(10/1083),0)))))),0)</f>
        <v>23</v>
      </c>
      <c r="K2011" s="3">
        <f>I2011-J2011</f>
        <v>-1</v>
      </c>
      <c r="L2011" s="3" t="str">
        <f>IF(K2011&lt;-5,"CRÍTICO",IF(K2011&lt;0,"ATENÇÃO",IF(K2011&lt;=5,"BOM","EXCELENTE")))</f>
        <v>ATENÇÃO</v>
      </c>
      <c r="M2011">
        <v>18</v>
      </c>
      <c r="N2011">
        <v>100</v>
      </c>
      <c r="O2011">
        <v>29.71311475409836</v>
      </c>
    </row>
    <row r="2012" spans="1:15" hidden="1" x14ac:dyDescent="0.25">
      <c r="A2012" s="11">
        <v>46064</v>
      </c>
      <c r="B2012" t="s">
        <v>50</v>
      </c>
      <c r="C2012" t="s">
        <v>48</v>
      </c>
      <c r="D2012">
        <v>20</v>
      </c>
      <c r="E2012">
        <v>19</v>
      </c>
      <c r="F2012">
        <v>24.11</v>
      </c>
      <c r="G2012">
        <v>0</v>
      </c>
      <c r="H2012">
        <v>0</v>
      </c>
      <c r="I2012" s="3">
        <f>E2012+G2012+H2012</f>
        <v>19</v>
      </c>
      <c r="J2012" s="3">
        <f>ROUND(MIN(IF(C2012="Técnico III",35,IF(C2012="Técnico II",28,IF(C2012="Técnico I",23,IF(C2012="JR",20,IF(C2012="Estágio",10,0))))),IF(C2012="Técnico III",SUMIFS($D:$D,$A:$A,$A2012,$B:$B,"&lt;&gt;Patrícia Karla de Sousa Araújo",$B:$B,"&lt;&gt;Lorena Dias de Araujo",$B:$B,"&lt;&gt;Lucas Luiz Romero")*(35/1083),IF(C2012="Técnico II",SUMIFS($D:$D,$A:$A,$A2012,$B:$B,"&lt;&gt;Patrícia Karla de Sousa Araújo",$B:$B,"&lt;&gt;Lorena Dias de Araujo",$B:$B,"&lt;&gt;Lucas Luiz Romero")*(28/1083),IF(C2012="Técnico I",SUMIFS($D:$D,$A:$A,$A2012,$B:$B,"&lt;&gt;Patrícia Karla de Sousa Araújo",$B:$B,"&lt;&gt;Lorena Dias de Araujo",$B:$B,"&lt;&gt;Lucas Luiz Romero")*(23/1083),IF(C2012="JR",SUMIFS($D:$D,$A:$A,$A2012,$B:$B,"&lt;&gt;Patrícia Karla de Sousa Araújo",$B:$B,"&lt;&gt;Lorena Dias de Araujo",$B:$B,"&lt;&gt;Lucas Luiz Romero")*(20/1083),IF(C2012="Estágio",SUMIFS($D:$D,$A:$A,$A2012,$B:$B,"&lt;&gt;Patrícia Karla de Sousa Araújo",$B:$B,"&lt;&gt;Lorena Dias de Araujo",$B:$B,"&lt;&gt;Lucas Luiz Romero")*(10/1083),0)))))),0)</f>
        <v>23</v>
      </c>
      <c r="K2012" s="3">
        <f>I2012-J2012</f>
        <v>-4</v>
      </c>
      <c r="L2012" s="3" t="str">
        <f>IF(K2012&lt;-5,"CRÍTICO",IF(K2012&lt;0,"ATENÇÃO",IF(K2012&lt;=5,"BOM","EXCELENTE")))</f>
        <v>ATENÇÃO</v>
      </c>
      <c r="M2012">
        <v>22</v>
      </c>
      <c r="N2012">
        <v>99.22</v>
      </c>
      <c r="O2012">
        <v>35.256410256410263</v>
      </c>
    </row>
    <row r="2013" spans="1:15" hidden="1" x14ac:dyDescent="0.25">
      <c r="A2013" s="11">
        <v>46064</v>
      </c>
      <c r="B2013" t="s">
        <v>17</v>
      </c>
      <c r="C2013" t="s">
        <v>16</v>
      </c>
      <c r="D2013">
        <v>0</v>
      </c>
      <c r="E2013">
        <v>0</v>
      </c>
      <c r="F2013">
        <v>0</v>
      </c>
      <c r="G2013">
        <v>0</v>
      </c>
      <c r="H2013">
        <v>0</v>
      </c>
      <c r="I2013" s="3">
        <v>0</v>
      </c>
      <c r="J2013" s="3">
        <v>0</v>
      </c>
      <c r="K2013" s="3">
        <v>0</v>
      </c>
      <c r="L2013" s="3" t="str">
        <f>IF(K2013&lt;-5,"CRÍTICO",IF(K2013&lt;0,"ATENÇÃO",IF(K2013&lt;=5,"BOM","EXCELENTE")))</f>
        <v>BOM</v>
      </c>
      <c r="M2013">
        <v>0</v>
      </c>
      <c r="N2013">
        <v>0</v>
      </c>
      <c r="O2013">
        <v>0</v>
      </c>
    </row>
    <row r="2014" spans="1:15" hidden="1" x14ac:dyDescent="0.25">
      <c r="A2014" s="11">
        <v>46064</v>
      </c>
      <c r="B2014" t="s">
        <v>60</v>
      </c>
      <c r="C2014" t="s">
        <v>23</v>
      </c>
      <c r="D2014">
        <v>38</v>
      </c>
      <c r="E2014">
        <v>4</v>
      </c>
      <c r="F2014">
        <v>7.03</v>
      </c>
      <c r="G2014">
        <v>0</v>
      </c>
      <c r="H2014">
        <v>0</v>
      </c>
      <c r="I2014" s="3">
        <f>E2014+G2014+H2014</f>
        <v>4</v>
      </c>
      <c r="J2014" s="3">
        <f>ROUND(MIN(IF(C2014="Técnico III",35,IF(C2014="Técnico II",28,IF(C2014="Técnico I",23,IF(C2014="JR",20,IF(C2014="Estágio",10,0))))),IF(C2014="Técnico III",SUMIFS($D:$D,$A:$A,$A2014,$B:$B,"&lt;&gt;Patrícia Karla de Sousa Araújo",$B:$B,"&lt;&gt;Lorena Dias de Araujo",$B:$B,"&lt;&gt;Lucas Luiz Romero")*(35/1083),IF(C2014="Técnico II",SUMIFS($D:$D,$A:$A,$A2014,$B:$B,"&lt;&gt;Patrícia Karla de Sousa Araújo",$B:$B,"&lt;&gt;Lorena Dias de Araujo",$B:$B,"&lt;&gt;Lucas Luiz Romero")*(28/1083),IF(C2014="Técnico I",SUMIFS($D:$D,$A:$A,$A2014,$B:$B,"&lt;&gt;Patrícia Karla de Sousa Araújo",$B:$B,"&lt;&gt;Lorena Dias de Araujo",$B:$B,"&lt;&gt;Lucas Luiz Romero")*(23/1083),IF(C2014="JR",SUMIFS($D:$D,$A:$A,$A2014,$B:$B,"&lt;&gt;Patrícia Karla de Sousa Araújo",$B:$B,"&lt;&gt;Lorena Dias de Araujo",$B:$B,"&lt;&gt;Lucas Luiz Romero")*(20/1083),IF(C2014="Estágio",SUMIFS($D:$D,$A:$A,$A2014,$B:$B,"&lt;&gt;Patrícia Karla de Sousa Araújo",$B:$B,"&lt;&gt;Lorena Dias de Araujo",$B:$B,"&lt;&gt;Lucas Luiz Romero")*(10/1083),0)))))),0)</f>
        <v>19</v>
      </c>
      <c r="K2014" s="3">
        <f>I2014-J2014</f>
        <v>-15</v>
      </c>
      <c r="L2014" s="3" t="str">
        <f>IF(K2014&lt;-5,"CRÍTICO",IF(K2014&lt;0,"ATENÇÃO",IF(K2014&lt;=5,"BOM","EXCELENTE")))</f>
        <v>CRÍTICO</v>
      </c>
      <c r="M2014">
        <v>15</v>
      </c>
      <c r="N2014">
        <v>98.75</v>
      </c>
      <c r="O2014">
        <v>24.32432432432433</v>
      </c>
    </row>
    <row r="2015" spans="1:15" hidden="1" x14ac:dyDescent="0.25">
      <c r="A2015" s="11">
        <v>46064</v>
      </c>
      <c r="B2015" t="s">
        <v>34</v>
      </c>
      <c r="C2015" t="s">
        <v>32</v>
      </c>
      <c r="D2015">
        <v>36</v>
      </c>
      <c r="E2015">
        <v>35</v>
      </c>
      <c r="F2015">
        <v>17.02</v>
      </c>
      <c r="G2015">
        <v>0</v>
      </c>
      <c r="H2015">
        <v>0</v>
      </c>
      <c r="I2015" s="3">
        <f>E2015+G2015+H2015</f>
        <v>35</v>
      </c>
      <c r="J2015" s="3">
        <f>ROUND(MIN(IF(C2015="Técnico III",35,IF(C2015="Técnico II",28,IF(C2015="Técnico I",23,IF(C2015="JR",20,IF(C2015="Estágio",10,0))))),IF(C2015="Técnico III",SUMIFS($D:$D,$A:$A,$A2015,$B:$B,"&lt;&gt;Patrícia Karla de Sousa Araújo",$B:$B,"&lt;&gt;Lorena Dias de Araujo",$B:$B,"&lt;&gt;Lucas Luiz Romero")*(35/1083),IF(C2015="Técnico II",SUMIFS($D:$D,$A:$A,$A2015,$B:$B,"&lt;&gt;Patrícia Karla de Sousa Araújo",$B:$B,"&lt;&gt;Lorena Dias de Araujo",$B:$B,"&lt;&gt;Lucas Luiz Romero")*(28/1083),IF(C2015="Técnico I",SUMIFS($D:$D,$A:$A,$A2015,$B:$B,"&lt;&gt;Patrícia Karla de Sousa Araújo",$B:$B,"&lt;&gt;Lorena Dias de Araujo",$B:$B,"&lt;&gt;Lucas Luiz Romero")*(23/1083),IF(C2015="JR",SUMIFS($D:$D,$A:$A,$A2015,$B:$B,"&lt;&gt;Patrícia Karla de Sousa Araújo",$B:$B,"&lt;&gt;Lorena Dias de Araujo",$B:$B,"&lt;&gt;Lucas Luiz Romero")*(20/1083),IF(C2015="Estágio",SUMIFS($D:$D,$A:$A,$A2015,$B:$B,"&lt;&gt;Patrícia Karla de Sousa Araújo",$B:$B,"&lt;&gt;Lorena Dias de Araujo",$B:$B,"&lt;&gt;Lucas Luiz Romero")*(10/1083),0)))))),0)</f>
        <v>28</v>
      </c>
      <c r="K2015" s="3">
        <f>I2015-J2015</f>
        <v>7</v>
      </c>
      <c r="L2015" s="3" t="str">
        <f>IF(K2015&lt;-5,"CRÍTICO",IF(K2015&lt;0,"ATENÇÃO",IF(K2015&lt;=5,"BOM","EXCELENTE")))</f>
        <v>EXCELENTE</v>
      </c>
      <c r="M2015">
        <v>32</v>
      </c>
      <c r="N2015">
        <v>93.48</v>
      </c>
      <c r="O2015">
        <v>31.52804642166344</v>
      </c>
    </row>
    <row r="2016" spans="1:15" hidden="1" x14ac:dyDescent="0.25">
      <c r="A2016" s="11">
        <v>46064</v>
      </c>
      <c r="B2016" t="s">
        <v>51</v>
      </c>
      <c r="C2016" t="s">
        <v>48</v>
      </c>
      <c r="D2016">
        <v>21</v>
      </c>
      <c r="E2016">
        <v>19</v>
      </c>
      <c r="F2016">
        <v>25.11</v>
      </c>
      <c r="G2016">
        <v>0</v>
      </c>
      <c r="H2016">
        <v>0</v>
      </c>
      <c r="I2016" s="3">
        <v>0</v>
      </c>
      <c r="J2016" s="3">
        <v>0</v>
      </c>
      <c r="K2016" s="3">
        <v>0</v>
      </c>
      <c r="L2016" s="3" t="str">
        <f>IF(K2016&lt;-5,"CRÍTICO",IF(K2016&lt;0,"ATENÇÃO",IF(K2016&lt;=5,"BOM","EXCELENTE")))</f>
        <v>BOM</v>
      </c>
      <c r="M2016">
        <v>18</v>
      </c>
      <c r="N2016">
        <v>99.16</v>
      </c>
      <c r="O2016">
        <v>26.13908872901678</v>
      </c>
    </row>
    <row r="2017" spans="1:15" hidden="1" x14ac:dyDescent="0.25">
      <c r="A2017" s="11">
        <v>46064</v>
      </c>
      <c r="B2017" t="s">
        <v>61</v>
      </c>
      <c r="C2017" t="s">
        <v>23</v>
      </c>
      <c r="D2017">
        <v>17</v>
      </c>
      <c r="E2017">
        <v>16</v>
      </c>
      <c r="F2017">
        <v>34.119999999999997</v>
      </c>
      <c r="G2017">
        <v>0</v>
      </c>
      <c r="H2017">
        <v>0</v>
      </c>
      <c r="I2017" s="3">
        <f>E2017+G2017+H2017</f>
        <v>16</v>
      </c>
      <c r="J2017" s="3">
        <f>ROUND(MIN(IF(C2017="Técnico III",35,IF(C2017="Técnico II",28,IF(C2017="Técnico I",23,IF(C2017="JR",20,IF(C2017="Estágio",10,0))))),IF(C2017="Técnico III",SUMIFS($D:$D,$A:$A,$A2017,$B:$B,"&lt;&gt;Patrícia Karla de Sousa Araújo",$B:$B,"&lt;&gt;Lorena Dias de Araujo",$B:$B,"&lt;&gt;Lucas Luiz Romero")*(35/1083),IF(C2017="Técnico II",SUMIFS($D:$D,$A:$A,$A2017,$B:$B,"&lt;&gt;Patrícia Karla de Sousa Araújo",$B:$B,"&lt;&gt;Lorena Dias de Araujo",$B:$B,"&lt;&gt;Lucas Luiz Romero")*(28/1083),IF(C2017="Técnico I",SUMIFS($D:$D,$A:$A,$A2017,$B:$B,"&lt;&gt;Patrícia Karla de Sousa Araújo",$B:$B,"&lt;&gt;Lorena Dias de Araujo",$B:$B,"&lt;&gt;Lucas Luiz Romero")*(23/1083),IF(C2017="JR",SUMIFS($D:$D,$A:$A,$A2017,$B:$B,"&lt;&gt;Patrícia Karla de Sousa Araújo",$B:$B,"&lt;&gt;Lorena Dias de Araujo",$B:$B,"&lt;&gt;Lucas Luiz Romero")*(20/1083),IF(C2017="Estágio",SUMIFS($D:$D,$A:$A,$A2017,$B:$B,"&lt;&gt;Patrícia Karla de Sousa Araújo",$B:$B,"&lt;&gt;Lorena Dias de Araujo",$B:$B,"&lt;&gt;Lucas Luiz Romero")*(10/1083),0)))))),0)</f>
        <v>19</v>
      </c>
      <c r="K2017" s="3">
        <f>I2017-J2017</f>
        <v>-3</v>
      </c>
      <c r="L2017" s="3" t="str">
        <f>IF(K2017&lt;-5,"CRÍTICO",IF(K2017&lt;0,"ATENÇÃO",IF(K2017&lt;=5,"BOM","EXCELENTE")))</f>
        <v>ATENÇÃO</v>
      </c>
      <c r="M2017">
        <v>14</v>
      </c>
      <c r="N2017">
        <v>100</v>
      </c>
      <c r="O2017">
        <v>31.089743589743591</v>
      </c>
    </row>
    <row r="2018" spans="1:15" hidden="1" x14ac:dyDescent="0.25">
      <c r="A2018" s="11">
        <v>46064</v>
      </c>
      <c r="B2018" t="s">
        <v>35</v>
      </c>
      <c r="C2018" t="s">
        <v>32</v>
      </c>
      <c r="D2018">
        <v>30</v>
      </c>
      <c r="E2018">
        <v>29</v>
      </c>
      <c r="F2018">
        <v>23.51</v>
      </c>
      <c r="G2018">
        <v>0</v>
      </c>
      <c r="H2018">
        <v>0</v>
      </c>
      <c r="I2018" s="3">
        <v>0</v>
      </c>
      <c r="J2018" s="3">
        <v>0</v>
      </c>
      <c r="K2018" s="3">
        <v>0</v>
      </c>
      <c r="L2018" s="3" t="str">
        <f>IF(K2018&lt;-5,"CRÍTICO",IF(K2018&lt;0,"ATENÇÃO",IF(K2018&lt;=5,"BOM","EXCELENTE")))</f>
        <v>BOM</v>
      </c>
      <c r="M2018">
        <v>30</v>
      </c>
      <c r="N2018">
        <v>98.11</v>
      </c>
      <c r="O2018">
        <v>33.033707865168537</v>
      </c>
    </row>
    <row r="2019" spans="1:15" hidden="1" x14ac:dyDescent="0.25">
      <c r="A2019" s="11">
        <v>46064</v>
      </c>
      <c r="B2019" t="s">
        <v>18</v>
      </c>
      <c r="C2019" t="s">
        <v>16</v>
      </c>
      <c r="D2019">
        <v>57</v>
      </c>
      <c r="E2019">
        <v>42</v>
      </c>
      <c r="F2019">
        <v>5.59</v>
      </c>
      <c r="G2019">
        <v>0</v>
      </c>
      <c r="H2019">
        <v>0</v>
      </c>
      <c r="I2019" s="3">
        <f>E2019+G2019+H2019</f>
        <v>42</v>
      </c>
      <c r="J2019" s="3">
        <f>ROUND(MIN(IF(C2019="Técnico III",35,IF(C2019="Técnico II",28,IF(C2019="Técnico I",23,IF(C2019="JR",20,IF(C2019="Estágio",10,0))))),IF(C2019="Técnico III",SUMIFS($D:$D,$A:$A,$A2019,$B:$B,"&lt;&gt;Patrícia Karla de Sousa Araújo",$B:$B,"&lt;&gt;Lorena Dias de Araujo",$B:$B,"&lt;&gt;Lucas Luiz Romero")*(35/1083),IF(C2019="Técnico II",SUMIFS($D:$D,$A:$A,$A2019,$B:$B,"&lt;&gt;Patrícia Karla de Sousa Araújo",$B:$B,"&lt;&gt;Lorena Dias de Araujo",$B:$B,"&lt;&gt;Lucas Luiz Romero")*(28/1083),IF(C2019="Técnico I",SUMIFS($D:$D,$A:$A,$A2019,$B:$B,"&lt;&gt;Patrícia Karla de Sousa Araújo",$B:$B,"&lt;&gt;Lorena Dias de Araujo",$B:$B,"&lt;&gt;Lucas Luiz Romero")*(23/1083),IF(C2019="JR",SUMIFS($D:$D,$A:$A,$A2019,$B:$B,"&lt;&gt;Patrícia Karla de Sousa Araújo",$B:$B,"&lt;&gt;Lorena Dias de Araujo",$B:$B,"&lt;&gt;Lucas Luiz Romero")*(20/1083),IF(C2019="Estágio",SUMIFS($D:$D,$A:$A,$A2019,$B:$B,"&lt;&gt;Patrícia Karla de Sousa Araújo",$B:$B,"&lt;&gt;Lorena Dias de Araujo",$B:$B,"&lt;&gt;Lucas Luiz Romero")*(10/1083),0)))))),0)</f>
        <v>8</v>
      </c>
      <c r="K2019" s="3">
        <f>I2019-J2019</f>
        <v>34</v>
      </c>
      <c r="L2019" s="3" t="str">
        <f>IF(K2019&lt;-5,"CRÍTICO",IF(K2019&lt;0,"ATENÇÃO",IF(K2019&lt;=5,"BOM","EXCELENTE")))</f>
        <v>EXCELENTE</v>
      </c>
      <c r="M2019">
        <v>2</v>
      </c>
      <c r="N2019">
        <v>78.95</v>
      </c>
      <c r="O2019">
        <v>38.983050847457633</v>
      </c>
    </row>
    <row r="2020" spans="1:15" hidden="1" x14ac:dyDescent="0.25">
      <c r="A2020" s="11">
        <v>46064</v>
      </c>
      <c r="B2020" t="s">
        <v>52</v>
      </c>
      <c r="C2020" t="s">
        <v>48</v>
      </c>
      <c r="D2020">
        <v>24</v>
      </c>
      <c r="E2020">
        <v>23</v>
      </c>
      <c r="F2020">
        <v>24.16</v>
      </c>
      <c r="G2020">
        <v>0</v>
      </c>
      <c r="H2020">
        <v>0</v>
      </c>
      <c r="I2020" s="3">
        <f>E2020+G2020+H2020</f>
        <v>23</v>
      </c>
      <c r="J2020" s="3">
        <f>ROUND(MIN(IF(C2020="Técnico III",35,IF(C2020="Técnico II",28,IF(C2020="Técnico I",23,IF(C2020="JR",20,IF(C2020="Estágio",10,0))))),IF(C2020="Técnico III",SUMIFS($D:$D,$A:$A,$A2020,$B:$B,"&lt;&gt;Patrícia Karla de Sousa Araújo",$B:$B,"&lt;&gt;Lorena Dias de Araujo",$B:$B,"&lt;&gt;Lucas Luiz Romero")*(35/1083),IF(C2020="Técnico II",SUMIFS($D:$D,$A:$A,$A2020,$B:$B,"&lt;&gt;Patrícia Karla de Sousa Araújo",$B:$B,"&lt;&gt;Lorena Dias de Araujo",$B:$B,"&lt;&gt;Lucas Luiz Romero")*(28/1083),IF(C2020="Técnico I",SUMIFS($D:$D,$A:$A,$A2020,$B:$B,"&lt;&gt;Patrícia Karla de Sousa Araújo",$B:$B,"&lt;&gt;Lorena Dias de Araujo",$B:$B,"&lt;&gt;Lucas Luiz Romero")*(23/1083),IF(C2020="JR",SUMIFS($D:$D,$A:$A,$A2020,$B:$B,"&lt;&gt;Patrícia Karla de Sousa Araújo",$B:$B,"&lt;&gt;Lorena Dias de Araujo",$B:$B,"&lt;&gt;Lucas Luiz Romero")*(20/1083),IF(C2020="Estágio",SUMIFS($D:$D,$A:$A,$A2020,$B:$B,"&lt;&gt;Patrícia Karla de Sousa Araújo",$B:$B,"&lt;&gt;Lorena Dias de Araujo",$B:$B,"&lt;&gt;Lucas Luiz Romero")*(10/1083),0)))))),0)</f>
        <v>23</v>
      </c>
      <c r="K2020" s="3">
        <f>I2020-J2020</f>
        <v>0</v>
      </c>
      <c r="L2020" s="3" t="str">
        <f>IF(K2020&lt;-5,"CRÍTICO",IF(K2020&lt;0,"ATENÇÃO",IF(K2020&lt;=5,"BOM","EXCELENTE")))</f>
        <v>BOM</v>
      </c>
      <c r="M2020">
        <v>21</v>
      </c>
      <c r="N2020">
        <v>98.45</v>
      </c>
      <c r="O2020">
        <v>29.281767955801101</v>
      </c>
    </row>
    <row r="2021" spans="1:15" hidden="1" x14ac:dyDescent="0.25">
      <c r="A2021" s="11">
        <v>46064</v>
      </c>
      <c r="B2021" t="s">
        <v>36</v>
      </c>
      <c r="C2021" t="s">
        <v>32</v>
      </c>
      <c r="D2021">
        <v>29</v>
      </c>
      <c r="E2021">
        <v>28</v>
      </c>
      <c r="F2021">
        <v>20.03</v>
      </c>
      <c r="G2021">
        <v>0</v>
      </c>
      <c r="H2021">
        <v>0</v>
      </c>
      <c r="I2021" s="3">
        <f>E2021+G2021+H2021</f>
        <v>28</v>
      </c>
      <c r="J2021" s="3">
        <f>ROUND(MIN(IF(C2021="Técnico III",35,IF(C2021="Técnico II",28,IF(C2021="Técnico I",23,IF(C2021="JR",20,IF(C2021="Estágio",10,0))))),IF(C2021="Técnico III",SUMIFS($D:$D,$A:$A,$A2021,$B:$B,"&lt;&gt;Patrícia Karla de Sousa Araújo",$B:$B,"&lt;&gt;Lorena Dias de Araujo",$B:$B,"&lt;&gt;Lucas Luiz Romero")*(35/1083),IF(C2021="Técnico II",SUMIFS($D:$D,$A:$A,$A2021,$B:$B,"&lt;&gt;Patrícia Karla de Sousa Araújo",$B:$B,"&lt;&gt;Lorena Dias de Araujo",$B:$B,"&lt;&gt;Lucas Luiz Romero")*(28/1083),IF(C2021="Técnico I",SUMIFS($D:$D,$A:$A,$A2021,$B:$B,"&lt;&gt;Patrícia Karla de Sousa Araújo",$B:$B,"&lt;&gt;Lorena Dias de Araujo",$B:$B,"&lt;&gt;Lucas Luiz Romero")*(23/1083),IF(C2021="JR",SUMIFS($D:$D,$A:$A,$A2021,$B:$B,"&lt;&gt;Patrícia Karla de Sousa Araújo",$B:$B,"&lt;&gt;Lorena Dias de Araujo",$B:$B,"&lt;&gt;Lucas Luiz Romero")*(20/1083),IF(C2021="Estágio",SUMIFS($D:$D,$A:$A,$A2021,$B:$B,"&lt;&gt;Patrícia Karla de Sousa Araújo",$B:$B,"&lt;&gt;Lorena Dias de Araujo",$B:$B,"&lt;&gt;Lucas Luiz Romero")*(10/1083),0)))))),0)</f>
        <v>28</v>
      </c>
      <c r="K2021" s="3">
        <f>I2021-J2021</f>
        <v>0</v>
      </c>
      <c r="L2021" s="3" t="str">
        <f>IF(K2021&lt;-5,"CRÍTICO",IF(K2021&lt;0,"ATENÇÃO",IF(K2021&lt;=5,"BOM","EXCELENTE")))</f>
        <v>BOM</v>
      </c>
      <c r="M2021">
        <v>28</v>
      </c>
      <c r="N2021">
        <v>97.84</v>
      </c>
      <c r="O2021">
        <v>26.282051282051281</v>
      </c>
    </row>
    <row r="2022" spans="1:15" hidden="1" x14ac:dyDescent="0.25">
      <c r="A2022" s="11">
        <v>46064</v>
      </c>
      <c r="B2022" t="s">
        <v>53</v>
      </c>
      <c r="C2022" t="s">
        <v>48</v>
      </c>
      <c r="D2022">
        <v>26</v>
      </c>
      <c r="E2022">
        <v>21</v>
      </c>
      <c r="F2022">
        <v>25.1</v>
      </c>
      <c r="G2022">
        <v>0</v>
      </c>
      <c r="H2022">
        <v>0</v>
      </c>
      <c r="I2022" s="3">
        <f>E2022+G2022+H2022</f>
        <v>21</v>
      </c>
      <c r="J2022" s="3">
        <f>ROUND(MIN(IF(C2022="Técnico III",35,IF(C2022="Técnico II",28,IF(C2022="Técnico I",23,IF(C2022="JR",20,IF(C2022="Estágio",10,0))))),IF(C2022="Técnico III",SUMIFS($D:$D,$A:$A,$A2022,$B:$B,"&lt;&gt;Patrícia Karla de Sousa Araújo",$B:$B,"&lt;&gt;Lorena Dias de Araujo",$B:$B,"&lt;&gt;Lucas Luiz Romero")*(35/1083),IF(C2022="Técnico II",SUMIFS($D:$D,$A:$A,$A2022,$B:$B,"&lt;&gt;Patrícia Karla de Sousa Araújo",$B:$B,"&lt;&gt;Lorena Dias de Araujo",$B:$B,"&lt;&gt;Lucas Luiz Romero")*(28/1083),IF(C2022="Técnico I",SUMIFS($D:$D,$A:$A,$A2022,$B:$B,"&lt;&gt;Patrícia Karla de Sousa Araújo",$B:$B,"&lt;&gt;Lorena Dias de Araujo",$B:$B,"&lt;&gt;Lucas Luiz Romero")*(23/1083),IF(C2022="JR",SUMIFS($D:$D,$A:$A,$A2022,$B:$B,"&lt;&gt;Patrícia Karla de Sousa Araújo",$B:$B,"&lt;&gt;Lorena Dias de Araujo",$B:$B,"&lt;&gt;Lucas Luiz Romero")*(20/1083),IF(C2022="Estágio",SUMIFS($D:$D,$A:$A,$A2022,$B:$B,"&lt;&gt;Patrícia Karla de Sousa Araújo",$B:$B,"&lt;&gt;Lorena Dias de Araujo",$B:$B,"&lt;&gt;Lucas Luiz Romero")*(10/1083),0)))))),0)</f>
        <v>23</v>
      </c>
      <c r="K2022" s="3">
        <f>I2022-J2022</f>
        <v>-2</v>
      </c>
      <c r="L2022" s="3" t="str">
        <f>IF(K2022&lt;-5,"CRÍTICO",IF(K2022&lt;0,"ATENÇÃO",IF(K2022&lt;=5,"BOM","EXCELENTE")))</f>
        <v>ATENÇÃO</v>
      </c>
      <c r="M2022">
        <v>24</v>
      </c>
      <c r="N2022">
        <v>98.5</v>
      </c>
      <c r="O2022">
        <v>23.97769516728625</v>
      </c>
    </row>
    <row r="2023" spans="1:15" hidden="1" x14ac:dyDescent="0.25">
      <c r="A2023" s="11">
        <v>46098</v>
      </c>
      <c r="B2023" t="s">
        <v>22</v>
      </c>
      <c r="C2023" t="s">
        <v>23</v>
      </c>
      <c r="D2023">
        <v>14</v>
      </c>
      <c r="E2023">
        <v>13</v>
      </c>
      <c r="F2023">
        <v>26.55</v>
      </c>
      <c r="G2023">
        <v>0</v>
      </c>
      <c r="H2023">
        <v>0</v>
      </c>
      <c r="I2023" s="3">
        <f>E2023+G2023+H2023</f>
        <v>13</v>
      </c>
      <c r="J2023" s="3">
        <f>ROUND(MIN(IF(C2023="Técnico III",35,IF(C2023="Técnico II",28,IF(C2023="Técnico I",23,IF(C2023="JR",20,IF(C2023="Estágio",10,0))))),IF(C2023="Técnico III",SUMIFS($D:$D,$A:$A,$A2023,$B:$B,"&lt;&gt;Patrícia Karla de Sousa Araújo",$B:$B,"&lt;&gt;Lorena Dias de Araujo",$B:$B,"&lt;&gt;Lucas Luiz Romero")*(35/1083),IF(C2023="Técnico II",SUMIFS($D:$D,$A:$A,$A2023,$B:$B,"&lt;&gt;Patrícia Karla de Sousa Araújo",$B:$B,"&lt;&gt;Lorena Dias de Araujo",$B:$B,"&lt;&gt;Lucas Luiz Romero")*(28/1083),IF(C2023="Técnico I",SUMIFS($D:$D,$A:$A,$A2023,$B:$B,"&lt;&gt;Patrícia Karla de Sousa Araújo",$B:$B,"&lt;&gt;Lorena Dias de Araujo",$B:$B,"&lt;&gt;Lucas Luiz Romero")*(23/1083),IF(C2023="JR",SUMIFS($D:$D,$A:$A,$A2023,$B:$B,"&lt;&gt;Patrícia Karla de Sousa Araújo",$B:$B,"&lt;&gt;Lorena Dias de Araujo",$B:$B,"&lt;&gt;Lucas Luiz Romero")*(20/1083),IF(C2023="Estágio",SUMIFS($D:$D,$A:$A,$A2023,$B:$B,"&lt;&gt;Patrícia Karla de Sousa Araújo",$B:$B,"&lt;&gt;Lorena Dias de Araujo",$B:$B,"&lt;&gt;Lucas Luiz Romero")*(10/1083),0)))))),0)</f>
        <v>15</v>
      </c>
      <c r="K2023" s="3">
        <f>I2023-J2023</f>
        <v>-2</v>
      </c>
      <c r="L2023" s="3" t="str">
        <f>IF(K2023&lt;-5,"CRÍTICO",IF(K2023&lt;0,"ATENÇÃO",IF(K2023&lt;=5,"BOM","EXCELENTE")))</f>
        <v>ATENÇÃO</v>
      </c>
      <c r="M2023">
        <v>13</v>
      </c>
      <c r="N2023">
        <v>99.05</v>
      </c>
      <c r="O2023">
        <v>26.621923937360179</v>
      </c>
    </row>
    <row r="2024" spans="1:15" hidden="1" x14ac:dyDescent="0.25">
      <c r="A2024" s="11">
        <v>46064</v>
      </c>
      <c r="B2024" t="s">
        <v>54</v>
      </c>
      <c r="C2024" t="s">
        <v>48</v>
      </c>
      <c r="D2024">
        <v>28</v>
      </c>
      <c r="E2024">
        <v>26</v>
      </c>
      <c r="F2024">
        <v>25.04</v>
      </c>
      <c r="G2024">
        <v>0</v>
      </c>
      <c r="H2024">
        <v>0</v>
      </c>
      <c r="I2024" s="3">
        <f>E2024+G2024+H2024</f>
        <v>26</v>
      </c>
      <c r="J2024" s="3">
        <f>ROUND(MIN(IF(C2024="Técnico III",35,IF(C2024="Técnico II",28,IF(C2024="Técnico I",23,IF(C2024="JR",20,IF(C2024="Estágio",10,0))))),IF(C2024="Técnico III",SUMIFS($D:$D,$A:$A,$A2024,$B:$B,"&lt;&gt;Patrícia Karla de Sousa Araújo",$B:$B,"&lt;&gt;Lorena Dias de Araujo",$B:$B,"&lt;&gt;Lucas Luiz Romero")*(35/1083),IF(C2024="Técnico II",SUMIFS($D:$D,$A:$A,$A2024,$B:$B,"&lt;&gt;Patrícia Karla de Sousa Araújo",$B:$B,"&lt;&gt;Lorena Dias de Araujo",$B:$B,"&lt;&gt;Lucas Luiz Romero")*(28/1083),IF(C2024="Técnico I",SUMIFS($D:$D,$A:$A,$A2024,$B:$B,"&lt;&gt;Patrícia Karla de Sousa Araújo",$B:$B,"&lt;&gt;Lorena Dias de Araujo",$B:$B,"&lt;&gt;Lucas Luiz Romero")*(23/1083),IF(C2024="JR",SUMIFS($D:$D,$A:$A,$A2024,$B:$B,"&lt;&gt;Patrícia Karla de Sousa Araújo",$B:$B,"&lt;&gt;Lorena Dias de Araujo",$B:$B,"&lt;&gt;Lucas Luiz Romero")*(20/1083),IF(C2024="Estágio",SUMIFS($D:$D,$A:$A,$A2024,$B:$B,"&lt;&gt;Patrícia Karla de Sousa Araújo",$B:$B,"&lt;&gt;Lorena Dias de Araujo",$B:$B,"&lt;&gt;Lucas Luiz Romero")*(10/1083),0)))))),0)</f>
        <v>23</v>
      </c>
      <c r="K2024" s="3">
        <f>I2024-J2024</f>
        <v>3</v>
      </c>
      <c r="L2024" s="3" t="str">
        <f>IF(K2024&lt;-5,"CRÍTICO",IF(K2024&lt;0,"ATENÇÃO",IF(K2024&lt;=5,"BOM","EXCELENTE")))</f>
        <v>BOM</v>
      </c>
      <c r="M2024">
        <v>26</v>
      </c>
      <c r="N2024">
        <v>98.53</v>
      </c>
      <c r="O2024">
        <v>31.578947368421051</v>
      </c>
    </row>
    <row r="2025" spans="1:15" hidden="1" x14ac:dyDescent="0.25">
      <c r="A2025" s="11">
        <v>46064</v>
      </c>
      <c r="B2025" t="s">
        <v>37</v>
      </c>
      <c r="C2025" t="s">
        <v>32</v>
      </c>
      <c r="D2025">
        <v>55</v>
      </c>
      <c r="E2025">
        <v>49</v>
      </c>
      <c r="F2025">
        <v>13.21</v>
      </c>
      <c r="G2025">
        <v>0</v>
      </c>
      <c r="H2025">
        <v>0</v>
      </c>
      <c r="I2025" s="3">
        <f>E2025+G2025+H2025</f>
        <v>49</v>
      </c>
      <c r="J2025" s="3">
        <f>ROUND(MIN(IF(C2025="Técnico III",35,IF(C2025="Técnico II",28,IF(C2025="Técnico I",23,IF(C2025="JR",20,IF(C2025="Estágio",10,0))))),IF(C2025="Técnico III",SUMIFS($D:$D,$A:$A,$A2025,$B:$B,"&lt;&gt;Patrícia Karla de Sousa Araújo",$B:$B,"&lt;&gt;Lorena Dias de Araujo",$B:$B,"&lt;&gt;Lucas Luiz Romero")*(35/1083),IF(C2025="Técnico II",SUMIFS($D:$D,$A:$A,$A2025,$B:$B,"&lt;&gt;Patrícia Karla de Sousa Araújo",$B:$B,"&lt;&gt;Lorena Dias de Araujo",$B:$B,"&lt;&gt;Lucas Luiz Romero")*(28/1083),IF(C2025="Técnico I",SUMIFS($D:$D,$A:$A,$A2025,$B:$B,"&lt;&gt;Patrícia Karla de Sousa Araújo",$B:$B,"&lt;&gt;Lorena Dias de Araujo",$B:$B,"&lt;&gt;Lucas Luiz Romero")*(23/1083),IF(C2025="JR",SUMIFS($D:$D,$A:$A,$A2025,$B:$B,"&lt;&gt;Patrícia Karla de Sousa Araújo",$B:$B,"&lt;&gt;Lorena Dias de Araujo",$B:$B,"&lt;&gt;Lucas Luiz Romero")*(20/1083),IF(C2025="Estágio",SUMIFS($D:$D,$A:$A,$A2025,$B:$B,"&lt;&gt;Patrícia Karla de Sousa Araújo",$B:$B,"&lt;&gt;Lorena Dias de Araujo",$B:$B,"&lt;&gt;Lucas Luiz Romero")*(10/1083),0)))))),0)</f>
        <v>28</v>
      </c>
      <c r="K2025" s="3">
        <f>I2025-J2025</f>
        <v>21</v>
      </c>
      <c r="L2025" s="3" t="str">
        <f>IF(K2025&lt;-5,"CRÍTICO",IF(K2025&lt;0,"ATENÇÃO",IF(K2025&lt;=5,"BOM","EXCELENTE")))</f>
        <v>EXCELENTE</v>
      </c>
      <c r="M2025">
        <v>51</v>
      </c>
      <c r="N2025">
        <v>100</v>
      </c>
      <c r="O2025">
        <v>25.72214580467676</v>
      </c>
    </row>
    <row r="2026" spans="1:15" hidden="1" x14ac:dyDescent="0.25">
      <c r="A2026" s="11">
        <v>46064</v>
      </c>
      <c r="B2026" t="s">
        <v>38</v>
      </c>
      <c r="C2026" t="s">
        <v>32</v>
      </c>
      <c r="D2026">
        <v>41</v>
      </c>
      <c r="E2026">
        <v>38</v>
      </c>
      <c r="F2026">
        <v>12.05</v>
      </c>
      <c r="G2026">
        <v>0</v>
      </c>
      <c r="H2026">
        <v>0</v>
      </c>
      <c r="I2026" s="3">
        <f>E2026+G2026+H2026</f>
        <v>38</v>
      </c>
      <c r="J2026" s="3">
        <f>ROUND(MIN(IF(C2026="Técnico III",35,IF(C2026="Técnico II",28,IF(C2026="Técnico I",23,IF(C2026="JR",20,IF(C2026="Estágio",10,0))))),IF(C2026="Técnico III",SUMIFS($D:$D,$A:$A,$A2026,$B:$B,"&lt;&gt;Patrícia Karla de Sousa Araújo",$B:$B,"&lt;&gt;Lorena Dias de Araujo",$B:$B,"&lt;&gt;Lucas Luiz Romero")*(35/1083),IF(C2026="Técnico II",SUMIFS($D:$D,$A:$A,$A2026,$B:$B,"&lt;&gt;Patrícia Karla de Sousa Araújo",$B:$B,"&lt;&gt;Lorena Dias de Araujo",$B:$B,"&lt;&gt;Lucas Luiz Romero")*(28/1083),IF(C2026="Técnico I",SUMIFS($D:$D,$A:$A,$A2026,$B:$B,"&lt;&gt;Patrícia Karla de Sousa Araújo",$B:$B,"&lt;&gt;Lorena Dias de Araujo",$B:$B,"&lt;&gt;Lucas Luiz Romero")*(23/1083),IF(C2026="JR",SUMIFS($D:$D,$A:$A,$A2026,$B:$B,"&lt;&gt;Patrícia Karla de Sousa Araújo",$B:$B,"&lt;&gt;Lorena Dias de Araujo",$B:$B,"&lt;&gt;Lucas Luiz Romero")*(20/1083),IF(C2026="Estágio",SUMIFS($D:$D,$A:$A,$A2026,$B:$B,"&lt;&gt;Patrícia Karla de Sousa Araújo",$B:$B,"&lt;&gt;Lorena Dias de Araujo",$B:$B,"&lt;&gt;Lucas Luiz Romero")*(10/1083),0)))))),0)</f>
        <v>28</v>
      </c>
      <c r="K2026" s="3">
        <f>I2026-J2026</f>
        <v>10</v>
      </c>
      <c r="L2026" s="3" t="str">
        <f>IF(K2026&lt;-5,"CRÍTICO",IF(K2026&lt;0,"ATENÇÃO",IF(K2026&lt;=5,"BOM","EXCELENTE")))</f>
        <v>EXCELENTE</v>
      </c>
      <c r="M2026">
        <v>34</v>
      </c>
      <c r="N2026">
        <v>94.64</v>
      </c>
      <c r="O2026">
        <v>27.52941176470588</v>
      </c>
    </row>
    <row r="2027" spans="1:15" hidden="1" x14ac:dyDescent="0.25">
      <c r="A2027" s="11">
        <v>46064</v>
      </c>
      <c r="B2027" t="s">
        <v>55</v>
      </c>
      <c r="C2027" t="s">
        <v>48</v>
      </c>
      <c r="D2027">
        <v>30</v>
      </c>
      <c r="E2027">
        <v>26</v>
      </c>
      <c r="F2027">
        <v>21.43</v>
      </c>
      <c r="G2027">
        <v>0</v>
      </c>
      <c r="H2027">
        <v>0</v>
      </c>
      <c r="I2027" s="3">
        <f>E2027+G2027+H2027</f>
        <v>26</v>
      </c>
      <c r="J2027" s="3">
        <f>ROUND(MIN(IF(C2027="Técnico III",35,IF(C2027="Técnico II",28,IF(C2027="Técnico I",23,IF(C2027="JR",20,IF(C2027="Estágio",10,0))))),IF(C2027="Técnico III",SUMIFS($D:$D,$A:$A,$A2027,$B:$B,"&lt;&gt;Patrícia Karla de Sousa Araújo",$B:$B,"&lt;&gt;Lorena Dias de Araujo",$B:$B,"&lt;&gt;Lucas Luiz Romero")*(35/1083),IF(C2027="Técnico II",SUMIFS($D:$D,$A:$A,$A2027,$B:$B,"&lt;&gt;Patrícia Karla de Sousa Araújo",$B:$B,"&lt;&gt;Lorena Dias de Araujo",$B:$B,"&lt;&gt;Lucas Luiz Romero")*(28/1083),IF(C2027="Técnico I",SUMIFS($D:$D,$A:$A,$A2027,$B:$B,"&lt;&gt;Patrícia Karla de Sousa Araújo",$B:$B,"&lt;&gt;Lorena Dias de Araujo",$B:$B,"&lt;&gt;Lucas Luiz Romero")*(23/1083),IF(C2027="JR",SUMIFS($D:$D,$A:$A,$A2027,$B:$B,"&lt;&gt;Patrícia Karla de Sousa Araújo",$B:$B,"&lt;&gt;Lorena Dias de Araujo",$B:$B,"&lt;&gt;Lucas Luiz Romero")*(20/1083),IF(C2027="Estágio",SUMIFS($D:$D,$A:$A,$A2027,$B:$B,"&lt;&gt;Patrícia Karla de Sousa Araújo",$B:$B,"&lt;&gt;Lorena Dias de Araujo",$B:$B,"&lt;&gt;Lucas Luiz Romero")*(10/1083),0)))))),0)</f>
        <v>23</v>
      </c>
      <c r="K2027" s="3">
        <f>I2027-J2027</f>
        <v>3</v>
      </c>
      <c r="L2027" s="3" t="str">
        <f>IF(K2027&lt;-5,"CRÍTICO",IF(K2027&lt;0,"ATENÇÃO",IF(K2027&lt;=5,"BOM","EXCELENTE")))</f>
        <v>BOM</v>
      </c>
      <c r="M2027">
        <v>23</v>
      </c>
      <c r="N2027">
        <v>99.07</v>
      </c>
      <c r="O2027">
        <v>26.376811594202898</v>
      </c>
    </row>
    <row r="2028" spans="1:15" hidden="1" x14ac:dyDescent="0.25">
      <c r="A2028" s="11">
        <v>46064</v>
      </c>
      <c r="B2028" t="s">
        <v>39</v>
      </c>
      <c r="C2028" t="s">
        <v>32</v>
      </c>
      <c r="D2028">
        <v>0</v>
      </c>
      <c r="E2028">
        <v>0</v>
      </c>
      <c r="F2028">
        <v>0</v>
      </c>
      <c r="G2028">
        <v>0</v>
      </c>
      <c r="H2028">
        <v>0</v>
      </c>
      <c r="I2028" s="3">
        <v>0</v>
      </c>
      <c r="J2028" s="3">
        <v>0</v>
      </c>
      <c r="K2028" s="3">
        <v>0</v>
      </c>
      <c r="L2028" s="3" t="str">
        <f>IF(K2028&lt;-5,"CRÍTICO",IF(K2028&lt;0,"ATENÇÃO",IF(K2028&lt;=5,"BOM","EXCELENTE")))</f>
        <v>BOM</v>
      </c>
      <c r="M2028">
        <v>0</v>
      </c>
      <c r="N2028">
        <v>100</v>
      </c>
      <c r="O2028">
        <v>0</v>
      </c>
    </row>
    <row r="2029" spans="1:15" hidden="1" x14ac:dyDescent="0.25">
      <c r="A2029" s="11">
        <v>46064</v>
      </c>
      <c r="B2029" t="s">
        <v>25</v>
      </c>
      <c r="C2029" t="s">
        <v>26</v>
      </c>
      <c r="D2029">
        <v>12</v>
      </c>
      <c r="E2029">
        <v>12</v>
      </c>
      <c r="F2029">
        <v>26.47</v>
      </c>
      <c r="G2029">
        <v>0</v>
      </c>
      <c r="H2029">
        <v>0</v>
      </c>
      <c r="I2029" s="3">
        <f>E2029+G2029+H2029</f>
        <v>12</v>
      </c>
      <c r="J2029" s="3">
        <f>ROUND(MIN(IF(C2029="Técnico III",35,IF(C2029="Técnico II",28,IF(C2029="Técnico I",23,IF(C2029="JR",20,IF(C2029="Estágio",10,0))))),IF(C2029="Técnico III",SUMIFS($D:$D,$A:$A,$A2029,$B:$B,"&lt;&gt;Patrícia Karla de Sousa Araújo",$B:$B,"&lt;&gt;Lorena Dias de Araujo",$B:$B,"&lt;&gt;Lucas Luiz Romero")*(35/1083),IF(C2029="Técnico II",SUMIFS($D:$D,$A:$A,$A2029,$B:$B,"&lt;&gt;Patrícia Karla de Sousa Araújo",$B:$B,"&lt;&gt;Lorena Dias de Araujo",$B:$B,"&lt;&gt;Lucas Luiz Romero")*(28/1083),IF(C2029="Técnico I",SUMIFS($D:$D,$A:$A,$A2029,$B:$B,"&lt;&gt;Patrícia Karla de Sousa Araújo",$B:$B,"&lt;&gt;Lorena Dias de Araujo",$B:$B,"&lt;&gt;Lucas Luiz Romero")*(23/1083),IF(C2029="JR",SUMIFS($D:$D,$A:$A,$A2029,$B:$B,"&lt;&gt;Patrícia Karla de Sousa Araújo",$B:$B,"&lt;&gt;Lorena Dias de Araujo",$B:$B,"&lt;&gt;Lucas Luiz Romero")*(20/1083),IF(C2029="Estágio",SUMIFS($D:$D,$A:$A,$A2029,$B:$B,"&lt;&gt;Patrícia Karla de Sousa Araújo",$B:$B,"&lt;&gt;Lorena Dias de Araujo",$B:$B,"&lt;&gt;Lucas Luiz Romero")*(10/1083),0)))))),0)</f>
        <v>16</v>
      </c>
      <c r="K2029" s="3">
        <f>I2029-J2029</f>
        <v>-4</v>
      </c>
      <c r="L2029" s="3" t="str">
        <f>IF(K2029&lt;-5,"CRÍTICO",IF(K2029&lt;0,"ATENÇÃO",IF(K2029&lt;=5,"BOM","EXCELENTE")))</f>
        <v>ATENÇÃO</v>
      </c>
      <c r="M2029">
        <v>10</v>
      </c>
      <c r="N2029">
        <v>98.48</v>
      </c>
      <c r="O2029">
        <v>27.853881278538811</v>
      </c>
    </row>
    <row r="2030" spans="1:15" hidden="1" x14ac:dyDescent="0.25">
      <c r="A2030" s="11">
        <v>46064</v>
      </c>
      <c r="B2030" t="s">
        <v>40</v>
      </c>
      <c r="C2030" t="s">
        <v>32</v>
      </c>
      <c r="D2030">
        <v>3</v>
      </c>
      <c r="E2030">
        <v>2</v>
      </c>
      <c r="F2030">
        <v>3.36</v>
      </c>
      <c r="G2030">
        <v>0</v>
      </c>
      <c r="H2030">
        <v>0</v>
      </c>
      <c r="I2030" s="3">
        <f>E2030+G2030+H2030</f>
        <v>2</v>
      </c>
      <c r="J2030" s="3">
        <f>ROUND(MIN(IF(C2030="Técnico III",35,IF(C2030="Técnico II",28,IF(C2030="Técnico I",23,IF(C2030="JR",20,IF(C2030="Estágio",10,0))))),IF(C2030="Técnico III",SUMIFS($D:$D,$A:$A,$A2030,$B:$B,"&lt;&gt;Patrícia Karla de Sousa Araújo",$B:$B,"&lt;&gt;Lorena Dias de Araujo",$B:$B,"&lt;&gt;Lucas Luiz Romero")*(35/1083),IF(C2030="Técnico II",SUMIFS($D:$D,$A:$A,$A2030,$B:$B,"&lt;&gt;Patrícia Karla de Sousa Araújo",$B:$B,"&lt;&gt;Lorena Dias de Araujo",$B:$B,"&lt;&gt;Lucas Luiz Romero")*(28/1083),IF(C2030="Técnico I",SUMIFS($D:$D,$A:$A,$A2030,$B:$B,"&lt;&gt;Patrícia Karla de Sousa Araújo",$B:$B,"&lt;&gt;Lorena Dias de Araujo",$B:$B,"&lt;&gt;Lucas Luiz Romero")*(23/1083),IF(C2030="JR",SUMIFS($D:$D,$A:$A,$A2030,$B:$B,"&lt;&gt;Patrícia Karla de Sousa Araújo",$B:$B,"&lt;&gt;Lorena Dias de Araujo",$B:$B,"&lt;&gt;Lucas Luiz Romero")*(20/1083),IF(C2030="Estágio",SUMIFS($D:$D,$A:$A,$A2030,$B:$B,"&lt;&gt;Patrícia Karla de Sousa Araújo",$B:$B,"&lt;&gt;Lorena Dias de Araujo",$B:$B,"&lt;&gt;Lucas Luiz Romero")*(10/1083),0)))))),0)</f>
        <v>28</v>
      </c>
      <c r="K2030" s="3">
        <f>I2030-J2030</f>
        <v>-26</v>
      </c>
      <c r="L2030" s="3" t="str">
        <f>IF(K2030&lt;-5,"CRÍTICO",IF(K2030&lt;0,"ATENÇÃO",IF(K2030&lt;=5,"BOM","EXCELENTE")))</f>
        <v>CRÍTICO</v>
      </c>
      <c r="M2030">
        <v>4</v>
      </c>
      <c r="N2030">
        <v>95.15</v>
      </c>
      <c r="O2030">
        <v>34.131736526946113</v>
      </c>
    </row>
    <row r="2031" spans="1:15" hidden="1" x14ac:dyDescent="0.25">
      <c r="A2031" s="11">
        <v>46064</v>
      </c>
      <c r="B2031" t="s">
        <v>27</v>
      </c>
      <c r="C2031" t="s">
        <v>26</v>
      </c>
      <c r="D2031">
        <v>0</v>
      </c>
      <c r="E2031">
        <v>0</v>
      </c>
      <c r="F2031">
        <v>0</v>
      </c>
      <c r="G2031">
        <v>0</v>
      </c>
      <c r="H2031">
        <v>0</v>
      </c>
      <c r="I2031" s="3">
        <v>0</v>
      </c>
      <c r="J2031" s="3">
        <v>0</v>
      </c>
      <c r="K2031" s="3">
        <v>0</v>
      </c>
      <c r="L2031" s="3" t="str">
        <f>IF(K2031&lt;-5,"CRÍTICO",IF(K2031&lt;0,"ATENÇÃO",IF(K2031&lt;=5,"BOM","EXCELENTE")))</f>
        <v>BOM</v>
      </c>
      <c r="M2031">
        <v>0</v>
      </c>
      <c r="N2031">
        <v>0</v>
      </c>
      <c r="O2031">
        <v>0</v>
      </c>
    </row>
    <row r="2032" spans="1:15" hidden="1" x14ac:dyDescent="0.25">
      <c r="A2032" s="11">
        <v>46064</v>
      </c>
      <c r="B2032" t="s">
        <v>41</v>
      </c>
      <c r="C2032" t="s">
        <v>32</v>
      </c>
      <c r="D2032">
        <v>27</v>
      </c>
      <c r="E2032">
        <v>26</v>
      </c>
      <c r="F2032">
        <v>26.56</v>
      </c>
      <c r="G2032">
        <v>0</v>
      </c>
      <c r="H2032">
        <v>0</v>
      </c>
      <c r="I2032" s="3">
        <f>E2032+G2032+H2032</f>
        <v>26</v>
      </c>
      <c r="J2032" s="3">
        <f>ROUND(MIN(IF(C2032="Técnico III",35,IF(C2032="Técnico II",28,IF(C2032="Técnico I",23,IF(C2032="JR",20,IF(C2032="Estágio",10,0))))),IF(C2032="Técnico III",SUMIFS($D:$D,$A:$A,$A2032,$B:$B,"&lt;&gt;Patrícia Karla de Sousa Araújo",$B:$B,"&lt;&gt;Lorena Dias de Araujo",$B:$B,"&lt;&gt;Lucas Luiz Romero")*(35/1083),IF(C2032="Técnico II",SUMIFS($D:$D,$A:$A,$A2032,$B:$B,"&lt;&gt;Patrícia Karla de Sousa Araújo",$B:$B,"&lt;&gt;Lorena Dias de Araujo",$B:$B,"&lt;&gt;Lucas Luiz Romero")*(28/1083),IF(C2032="Técnico I",SUMIFS($D:$D,$A:$A,$A2032,$B:$B,"&lt;&gt;Patrícia Karla de Sousa Araújo",$B:$B,"&lt;&gt;Lorena Dias de Araujo",$B:$B,"&lt;&gt;Lucas Luiz Romero")*(23/1083),IF(C2032="JR",SUMIFS($D:$D,$A:$A,$A2032,$B:$B,"&lt;&gt;Patrícia Karla de Sousa Araújo",$B:$B,"&lt;&gt;Lorena Dias de Araujo",$B:$B,"&lt;&gt;Lucas Luiz Romero")*(20/1083),IF(C2032="Estágio",SUMIFS($D:$D,$A:$A,$A2032,$B:$B,"&lt;&gt;Patrícia Karla de Sousa Araújo",$B:$B,"&lt;&gt;Lorena Dias de Araujo",$B:$B,"&lt;&gt;Lucas Luiz Romero")*(10/1083),0)))))),0)</f>
        <v>28</v>
      </c>
      <c r="K2032" s="3">
        <f>I2032-J2032</f>
        <v>-2</v>
      </c>
      <c r="L2032" s="3" t="str">
        <f>IF(K2032&lt;-5,"CRÍTICO",IF(K2032&lt;0,"ATENÇÃO",IF(K2032&lt;=5,"BOM","EXCELENTE")))</f>
        <v>ATENÇÃO</v>
      </c>
      <c r="M2032">
        <v>28</v>
      </c>
      <c r="N2032">
        <v>99.26</v>
      </c>
      <c r="O2032">
        <v>30.84832904884319</v>
      </c>
    </row>
    <row r="2033" spans="1:15" hidden="1" x14ac:dyDescent="0.25">
      <c r="A2033" s="11">
        <v>46064</v>
      </c>
      <c r="B2033" t="s">
        <v>56</v>
      </c>
      <c r="C2033" t="s">
        <v>48</v>
      </c>
      <c r="D2033">
        <v>19</v>
      </c>
      <c r="E2033">
        <v>18</v>
      </c>
      <c r="F2033">
        <v>32.33</v>
      </c>
      <c r="G2033">
        <v>0</v>
      </c>
      <c r="H2033">
        <v>0</v>
      </c>
      <c r="I2033" s="3">
        <f>E2033+G2033+H2033</f>
        <v>18</v>
      </c>
      <c r="J2033" s="3">
        <f>ROUND(MIN(IF(C2033="Técnico III",35,IF(C2033="Técnico II",28,IF(C2033="Técnico I",23,IF(C2033="JR",20,IF(C2033="Estágio",10,0))))),IF(C2033="Técnico III",SUMIFS($D:$D,$A:$A,$A2033,$B:$B,"&lt;&gt;Patrícia Karla de Sousa Araújo",$B:$B,"&lt;&gt;Lorena Dias de Araujo",$B:$B,"&lt;&gt;Lucas Luiz Romero")*(35/1083),IF(C2033="Técnico II",SUMIFS($D:$D,$A:$A,$A2033,$B:$B,"&lt;&gt;Patrícia Karla de Sousa Araújo",$B:$B,"&lt;&gt;Lorena Dias de Araujo",$B:$B,"&lt;&gt;Lucas Luiz Romero")*(28/1083),IF(C2033="Técnico I",SUMIFS($D:$D,$A:$A,$A2033,$B:$B,"&lt;&gt;Patrícia Karla de Sousa Araújo",$B:$B,"&lt;&gt;Lorena Dias de Araujo",$B:$B,"&lt;&gt;Lucas Luiz Romero")*(23/1083),IF(C2033="JR",SUMIFS($D:$D,$A:$A,$A2033,$B:$B,"&lt;&gt;Patrícia Karla de Sousa Araújo",$B:$B,"&lt;&gt;Lorena Dias de Araujo",$B:$B,"&lt;&gt;Lucas Luiz Romero")*(20/1083),IF(C2033="Estágio",SUMIFS($D:$D,$A:$A,$A2033,$B:$B,"&lt;&gt;Patrícia Karla de Sousa Araújo",$B:$B,"&lt;&gt;Lorena Dias de Araujo",$B:$B,"&lt;&gt;Lucas Luiz Romero")*(10/1083),0)))))),0)</f>
        <v>23</v>
      </c>
      <c r="K2033" s="3">
        <f>I2033-J2033</f>
        <v>-5</v>
      </c>
      <c r="L2033" s="3" t="str">
        <f>IF(K2033&lt;-5,"CRÍTICO",IF(K2033&lt;0,"ATENÇÃO",IF(K2033&lt;=5,"BOM","EXCELENTE")))</f>
        <v>ATENÇÃO</v>
      </c>
      <c r="M2033">
        <v>18</v>
      </c>
      <c r="N2033">
        <v>97.48</v>
      </c>
      <c r="O2033">
        <v>27.764705882352938</v>
      </c>
    </row>
    <row r="2034" spans="1:15" hidden="1" x14ac:dyDescent="0.25">
      <c r="A2034" s="11">
        <v>46064</v>
      </c>
      <c r="B2034" t="s">
        <v>57</v>
      </c>
      <c r="C2034" t="s">
        <v>48</v>
      </c>
      <c r="D2034">
        <v>33</v>
      </c>
      <c r="E2034">
        <v>30</v>
      </c>
      <c r="F2034">
        <v>19.010000000000002</v>
      </c>
      <c r="G2034">
        <v>0</v>
      </c>
      <c r="H2034">
        <v>0</v>
      </c>
      <c r="I2034" s="3">
        <v>0</v>
      </c>
      <c r="J2034" s="3">
        <v>0</v>
      </c>
      <c r="K2034" s="3">
        <v>0</v>
      </c>
      <c r="L2034" s="3" t="str">
        <f>IF(K2034&lt;-5,"CRÍTICO",IF(K2034&lt;0,"ATENÇÃO",IF(K2034&lt;=5,"BOM","EXCELENTE")))</f>
        <v>BOM</v>
      </c>
      <c r="M2034">
        <v>23</v>
      </c>
      <c r="N2034">
        <v>99.34</v>
      </c>
      <c r="O2034">
        <v>30.04291845493562</v>
      </c>
    </row>
    <row r="2035" spans="1:15" hidden="1" x14ac:dyDescent="0.25">
      <c r="A2035" s="11">
        <v>46064</v>
      </c>
      <c r="B2035" t="s">
        <v>42</v>
      </c>
      <c r="C2035" t="s">
        <v>32</v>
      </c>
      <c r="D2035">
        <v>0</v>
      </c>
      <c r="E2035">
        <v>0</v>
      </c>
      <c r="F2035">
        <v>0</v>
      </c>
      <c r="G2035">
        <v>0</v>
      </c>
      <c r="H2035">
        <v>0</v>
      </c>
      <c r="I2035" s="3">
        <v>0</v>
      </c>
      <c r="J2035" s="3">
        <v>0</v>
      </c>
      <c r="K2035" s="3">
        <v>0</v>
      </c>
      <c r="L2035" s="3" t="str">
        <f>IF(K2035&lt;-5,"CRÍTICO",IF(K2035&lt;0,"ATENÇÃO",IF(K2035&lt;=5,"BOM","EXCELENTE")))</f>
        <v>BOM</v>
      </c>
      <c r="M2035">
        <v>0</v>
      </c>
      <c r="N2035">
        <v>96.3</v>
      </c>
      <c r="O2035">
        <v>24.29378531073446</v>
      </c>
    </row>
    <row r="2036" spans="1:15" hidden="1" x14ac:dyDescent="0.25">
      <c r="A2036" s="11">
        <v>46064</v>
      </c>
      <c r="B2036" t="s">
        <v>62</v>
      </c>
      <c r="C2036" t="s">
        <v>23</v>
      </c>
      <c r="D2036">
        <v>19</v>
      </c>
      <c r="E2036">
        <v>19</v>
      </c>
      <c r="F2036">
        <v>29.07</v>
      </c>
      <c r="G2036">
        <v>0</v>
      </c>
      <c r="H2036">
        <v>0</v>
      </c>
      <c r="I2036" s="3">
        <f>E2036+G2036+H2036</f>
        <v>19</v>
      </c>
      <c r="J2036" s="3">
        <f>ROUND(MIN(IF(C2036="Técnico III",35,IF(C2036="Técnico II",28,IF(C2036="Técnico I",23,IF(C2036="JR",20,IF(C2036="Estágio",10,0))))),IF(C2036="Técnico III",SUMIFS($D:$D,$A:$A,$A2036,$B:$B,"&lt;&gt;Patrícia Karla de Sousa Araújo",$B:$B,"&lt;&gt;Lorena Dias de Araujo",$B:$B,"&lt;&gt;Lucas Luiz Romero")*(35/1083),IF(C2036="Técnico II",SUMIFS($D:$D,$A:$A,$A2036,$B:$B,"&lt;&gt;Patrícia Karla de Sousa Araújo",$B:$B,"&lt;&gt;Lorena Dias de Araujo",$B:$B,"&lt;&gt;Lucas Luiz Romero")*(28/1083),IF(C2036="Técnico I",SUMIFS($D:$D,$A:$A,$A2036,$B:$B,"&lt;&gt;Patrícia Karla de Sousa Araújo",$B:$B,"&lt;&gt;Lorena Dias de Araujo",$B:$B,"&lt;&gt;Lucas Luiz Romero")*(23/1083),IF(C2036="JR",SUMIFS($D:$D,$A:$A,$A2036,$B:$B,"&lt;&gt;Patrícia Karla de Sousa Araújo",$B:$B,"&lt;&gt;Lorena Dias de Araujo",$B:$B,"&lt;&gt;Lucas Luiz Romero")*(20/1083),IF(C2036="Estágio",SUMIFS($D:$D,$A:$A,$A2036,$B:$B,"&lt;&gt;Patrícia Karla de Sousa Araújo",$B:$B,"&lt;&gt;Lorena Dias de Araujo",$B:$B,"&lt;&gt;Lucas Luiz Romero")*(10/1083),0)))))),0)</f>
        <v>19</v>
      </c>
      <c r="K2036" s="3">
        <f>I2036-J2036</f>
        <v>0</v>
      </c>
      <c r="L2036" s="3" t="str">
        <f>IF(K2036&lt;-5,"CRÍTICO",IF(K2036&lt;0,"ATENÇÃO",IF(K2036&lt;=5,"BOM","EXCELENTE")))</f>
        <v>BOM</v>
      </c>
      <c r="M2036">
        <v>18</v>
      </c>
      <c r="N2036">
        <v>100</v>
      </c>
      <c r="O2036">
        <v>26.543209876543209</v>
      </c>
    </row>
    <row r="2037" spans="1:15" hidden="1" x14ac:dyDescent="0.25">
      <c r="A2037" s="11">
        <v>46064</v>
      </c>
      <c r="B2037" t="s">
        <v>19</v>
      </c>
      <c r="C2037" t="s">
        <v>16</v>
      </c>
      <c r="D2037">
        <v>74</v>
      </c>
      <c r="E2037">
        <v>26</v>
      </c>
      <c r="F2037">
        <v>5.27</v>
      </c>
      <c r="G2037">
        <v>0</v>
      </c>
      <c r="H2037">
        <v>0</v>
      </c>
      <c r="I2037" s="3">
        <f>E2037+G2037+H2037</f>
        <v>26</v>
      </c>
      <c r="J2037" s="3">
        <f>ROUND(MIN(IF(C2037="Técnico III",35,IF(C2037="Técnico II",28,IF(C2037="Técnico I",23,IF(C2037="JR",20,IF(C2037="Estágio",10,0))))),IF(C2037="Técnico III",SUMIFS($D:$D,$A:$A,$A2037,$B:$B,"&lt;&gt;Patrícia Karla de Sousa Araújo",$B:$B,"&lt;&gt;Lorena Dias de Araujo",$B:$B,"&lt;&gt;Lucas Luiz Romero")*(35/1083),IF(C2037="Técnico II",SUMIFS($D:$D,$A:$A,$A2037,$B:$B,"&lt;&gt;Patrícia Karla de Sousa Araújo",$B:$B,"&lt;&gt;Lorena Dias de Araujo",$B:$B,"&lt;&gt;Lucas Luiz Romero")*(28/1083),IF(C2037="Técnico I",SUMIFS($D:$D,$A:$A,$A2037,$B:$B,"&lt;&gt;Patrícia Karla de Sousa Araújo",$B:$B,"&lt;&gt;Lorena Dias de Araujo",$B:$B,"&lt;&gt;Lucas Luiz Romero")*(23/1083),IF(C2037="JR",SUMIFS($D:$D,$A:$A,$A2037,$B:$B,"&lt;&gt;Patrícia Karla de Sousa Araújo",$B:$B,"&lt;&gt;Lorena Dias de Araujo",$B:$B,"&lt;&gt;Lucas Luiz Romero")*(20/1083),IF(C2037="Estágio",SUMIFS($D:$D,$A:$A,$A2037,$B:$B,"&lt;&gt;Patrícia Karla de Sousa Araújo",$B:$B,"&lt;&gt;Lorena Dias de Araujo",$B:$B,"&lt;&gt;Lucas Luiz Romero")*(10/1083),0)))))),0)</f>
        <v>8</v>
      </c>
      <c r="K2037" s="3">
        <f>I2037-J2037</f>
        <v>18</v>
      </c>
      <c r="L2037" s="3" t="str">
        <f>IF(K2037&lt;-5,"CRÍTICO",IF(K2037&lt;0,"ATENÇÃO",IF(K2037&lt;=5,"BOM","EXCELENTE")))</f>
        <v>EXCELENTE</v>
      </c>
      <c r="M2037">
        <v>0</v>
      </c>
      <c r="N2037">
        <v>100</v>
      </c>
      <c r="O2037">
        <v>35.483870967741943</v>
      </c>
    </row>
    <row r="2038" spans="1:15" hidden="1" x14ac:dyDescent="0.25">
      <c r="A2038" s="11">
        <v>46064</v>
      </c>
      <c r="B2038" t="s">
        <v>43</v>
      </c>
      <c r="C2038" t="s">
        <v>32</v>
      </c>
      <c r="D2038">
        <v>16</v>
      </c>
      <c r="E2038">
        <v>15</v>
      </c>
      <c r="F2038">
        <v>31.4</v>
      </c>
      <c r="G2038">
        <v>0</v>
      </c>
      <c r="H2038">
        <v>0</v>
      </c>
      <c r="I2038" s="3">
        <f>E2038+G2038+H2038</f>
        <v>15</v>
      </c>
      <c r="J2038" s="3">
        <f>ROUND(MIN(IF(C2038="Técnico III",35,IF(C2038="Técnico II",28,IF(C2038="Técnico I",23,IF(C2038="JR",20,IF(C2038="Estágio",10,0))))),IF(C2038="Técnico III",SUMIFS($D:$D,$A:$A,$A2038,$B:$B,"&lt;&gt;Patrícia Karla de Sousa Araújo",$B:$B,"&lt;&gt;Lorena Dias de Araujo",$B:$B,"&lt;&gt;Lucas Luiz Romero")*(35/1083),IF(C2038="Técnico II",SUMIFS($D:$D,$A:$A,$A2038,$B:$B,"&lt;&gt;Patrícia Karla de Sousa Araújo",$B:$B,"&lt;&gt;Lorena Dias de Araujo",$B:$B,"&lt;&gt;Lucas Luiz Romero")*(28/1083),IF(C2038="Técnico I",SUMIFS($D:$D,$A:$A,$A2038,$B:$B,"&lt;&gt;Patrícia Karla de Sousa Araújo",$B:$B,"&lt;&gt;Lorena Dias de Araujo",$B:$B,"&lt;&gt;Lucas Luiz Romero")*(23/1083),IF(C2038="JR",SUMIFS($D:$D,$A:$A,$A2038,$B:$B,"&lt;&gt;Patrícia Karla de Sousa Araújo",$B:$B,"&lt;&gt;Lorena Dias de Araujo",$B:$B,"&lt;&gt;Lucas Luiz Romero")*(20/1083),IF(C2038="Estágio",SUMIFS($D:$D,$A:$A,$A2038,$B:$B,"&lt;&gt;Patrícia Karla de Sousa Araújo",$B:$B,"&lt;&gt;Lorena Dias de Araujo",$B:$B,"&lt;&gt;Lucas Luiz Romero")*(10/1083),0)))))),0)</f>
        <v>28</v>
      </c>
      <c r="K2038" s="3">
        <f>I2038-J2038</f>
        <v>-13</v>
      </c>
      <c r="L2038" s="3" t="str">
        <f>IF(K2038&lt;-5,"CRÍTICO",IF(K2038&lt;0,"ATENÇÃO",IF(K2038&lt;=5,"BOM","EXCELENTE")))</f>
        <v>CRÍTICO</v>
      </c>
      <c r="M2038">
        <v>33</v>
      </c>
      <c r="N2038">
        <v>99.27</v>
      </c>
      <c r="O2038">
        <v>31.163708086785011</v>
      </c>
    </row>
    <row r="2039" spans="1:15" hidden="1" x14ac:dyDescent="0.25">
      <c r="A2039" s="11">
        <v>46064</v>
      </c>
      <c r="B2039" t="s">
        <v>44</v>
      </c>
      <c r="C2039" t="s">
        <v>32</v>
      </c>
      <c r="D2039">
        <v>17</v>
      </c>
      <c r="E2039">
        <v>17</v>
      </c>
      <c r="F2039">
        <v>30.2</v>
      </c>
      <c r="G2039">
        <v>0</v>
      </c>
      <c r="H2039">
        <v>0</v>
      </c>
      <c r="I2039" s="3">
        <f>E2039+G2039+H2039</f>
        <v>17</v>
      </c>
      <c r="J2039" s="3">
        <f>ROUND(MIN(IF(C2039="Técnico III",35,IF(C2039="Técnico II",28,IF(C2039="Técnico I",23,IF(C2039="JR",20,IF(C2039="Estágio",10,0))))),IF(C2039="Técnico III",SUMIFS($D:$D,$A:$A,$A2039,$B:$B,"&lt;&gt;Patrícia Karla de Sousa Araújo",$B:$B,"&lt;&gt;Lorena Dias de Araujo",$B:$B,"&lt;&gt;Lucas Luiz Romero")*(35/1083),IF(C2039="Técnico II",SUMIFS($D:$D,$A:$A,$A2039,$B:$B,"&lt;&gt;Patrícia Karla de Sousa Araújo",$B:$B,"&lt;&gt;Lorena Dias de Araujo",$B:$B,"&lt;&gt;Lucas Luiz Romero")*(28/1083),IF(C2039="Técnico I",SUMIFS($D:$D,$A:$A,$A2039,$B:$B,"&lt;&gt;Patrícia Karla de Sousa Araújo",$B:$B,"&lt;&gt;Lorena Dias de Araujo",$B:$B,"&lt;&gt;Lucas Luiz Romero")*(23/1083),IF(C2039="JR",SUMIFS($D:$D,$A:$A,$A2039,$B:$B,"&lt;&gt;Patrícia Karla de Sousa Araújo",$B:$B,"&lt;&gt;Lorena Dias de Araujo",$B:$B,"&lt;&gt;Lucas Luiz Romero")*(20/1083),IF(C2039="Estágio",SUMIFS($D:$D,$A:$A,$A2039,$B:$B,"&lt;&gt;Patrícia Karla de Sousa Araújo",$B:$B,"&lt;&gt;Lorena Dias de Araujo",$B:$B,"&lt;&gt;Lucas Luiz Romero")*(10/1083),0)))))),0)</f>
        <v>28</v>
      </c>
      <c r="K2039" s="3">
        <f>I2039-J2039</f>
        <v>-11</v>
      </c>
      <c r="L2039" s="3" t="str">
        <f>IF(K2039&lt;-5,"CRÍTICO",IF(K2039&lt;0,"ATENÇÃO",IF(K2039&lt;=5,"BOM","EXCELENTE")))</f>
        <v>CRÍTICO</v>
      </c>
      <c r="M2039">
        <v>15</v>
      </c>
      <c r="N2039">
        <v>94.16</v>
      </c>
      <c r="O2039">
        <v>27.038626609442058</v>
      </c>
    </row>
    <row r="2040" spans="1:15" hidden="1" x14ac:dyDescent="0.25">
      <c r="A2040" s="11">
        <v>46064</v>
      </c>
      <c r="B2040" t="s">
        <v>20</v>
      </c>
      <c r="C2040" t="s">
        <v>16</v>
      </c>
      <c r="D2040">
        <v>10</v>
      </c>
      <c r="E2040">
        <v>10</v>
      </c>
      <c r="F2040">
        <v>67.16</v>
      </c>
      <c r="G2040">
        <v>0</v>
      </c>
      <c r="H2040">
        <v>0</v>
      </c>
      <c r="I2040" s="3">
        <f>E2040+G2040+H2040</f>
        <v>10</v>
      </c>
      <c r="J2040" s="3">
        <f>ROUND(MIN(IF(C2040="Técnico III",35,IF(C2040="Técnico II",28,IF(C2040="Técnico I",23,IF(C2040="JR",20,IF(C2040="Estágio",10,0))))),IF(C2040="Técnico III",SUMIFS($D:$D,$A:$A,$A2040,$B:$B,"&lt;&gt;Patrícia Karla de Sousa Araújo",$B:$B,"&lt;&gt;Lorena Dias de Araujo",$B:$B,"&lt;&gt;Lucas Luiz Romero")*(35/1083),IF(C2040="Técnico II",SUMIFS($D:$D,$A:$A,$A2040,$B:$B,"&lt;&gt;Patrícia Karla de Sousa Araújo",$B:$B,"&lt;&gt;Lorena Dias de Araujo",$B:$B,"&lt;&gt;Lucas Luiz Romero")*(28/1083),IF(C2040="Técnico I",SUMIFS($D:$D,$A:$A,$A2040,$B:$B,"&lt;&gt;Patrícia Karla de Sousa Araújo",$B:$B,"&lt;&gt;Lorena Dias de Araujo",$B:$B,"&lt;&gt;Lucas Luiz Romero")*(23/1083),IF(C2040="JR",SUMIFS($D:$D,$A:$A,$A2040,$B:$B,"&lt;&gt;Patrícia Karla de Sousa Araújo",$B:$B,"&lt;&gt;Lorena Dias de Araujo",$B:$B,"&lt;&gt;Lucas Luiz Romero")*(20/1083),IF(C2040="Estágio",SUMIFS($D:$D,$A:$A,$A2040,$B:$B,"&lt;&gt;Patrícia Karla de Sousa Araújo",$B:$B,"&lt;&gt;Lorena Dias de Araujo",$B:$B,"&lt;&gt;Lucas Luiz Romero")*(10/1083),0)))))),0)</f>
        <v>8</v>
      </c>
      <c r="K2040" s="3">
        <f>I2040-J2040</f>
        <v>2</v>
      </c>
      <c r="L2040" s="3" t="str">
        <f>IF(K2040&lt;-5,"CRÍTICO",IF(K2040&lt;0,"ATENÇÃO",IF(K2040&lt;=5,"BOM","EXCELENTE")))</f>
        <v>BOM</v>
      </c>
      <c r="M2040">
        <v>4</v>
      </c>
      <c r="N2040">
        <v>93.75</v>
      </c>
      <c r="O2040">
        <v>19.31818181818182</v>
      </c>
    </row>
    <row r="2041" spans="1:15" hidden="1" x14ac:dyDescent="0.25">
      <c r="A2041" s="11">
        <v>46064</v>
      </c>
      <c r="B2041" t="s">
        <v>28</v>
      </c>
      <c r="C2041" t="s">
        <v>26</v>
      </c>
      <c r="D2041">
        <v>0</v>
      </c>
      <c r="E2041">
        <v>0</v>
      </c>
      <c r="F2041">
        <v>0</v>
      </c>
      <c r="G2041">
        <v>0</v>
      </c>
      <c r="H2041">
        <v>0</v>
      </c>
      <c r="I2041" s="3">
        <v>0</v>
      </c>
      <c r="J2041" s="3">
        <v>0</v>
      </c>
      <c r="K2041" s="3">
        <v>0</v>
      </c>
      <c r="L2041" s="3" t="str">
        <f>IF(K2041&lt;-5,"CRÍTICO",IF(K2041&lt;0,"ATENÇÃO",IF(K2041&lt;=5,"BOM","EXCELENTE")))</f>
        <v>BOM</v>
      </c>
      <c r="M2041">
        <v>0</v>
      </c>
      <c r="N2041">
        <v>0</v>
      </c>
      <c r="O2041">
        <v>0</v>
      </c>
    </row>
    <row r="2042" spans="1:15" hidden="1" x14ac:dyDescent="0.25">
      <c r="A2042" s="11">
        <v>46064</v>
      </c>
      <c r="B2042" t="s">
        <v>58</v>
      </c>
      <c r="C2042" t="s">
        <v>48</v>
      </c>
      <c r="D2042">
        <v>0</v>
      </c>
      <c r="E2042">
        <v>0</v>
      </c>
      <c r="F2042">
        <v>0</v>
      </c>
      <c r="G2042">
        <v>0</v>
      </c>
      <c r="H2042">
        <v>0</v>
      </c>
      <c r="I2042" s="3">
        <v>0</v>
      </c>
      <c r="J2042" s="3">
        <v>0</v>
      </c>
      <c r="K2042" s="3">
        <v>0</v>
      </c>
      <c r="L2042" s="3" t="str">
        <f>IF(K2042&lt;-5,"CRÍTICO",IF(K2042&lt;0,"ATENÇÃO",IF(K2042&lt;=5,"BOM","EXCELENTE")))</f>
        <v>BOM</v>
      </c>
      <c r="M2042">
        <v>0</v>
      </c>
      <c r="N2042">
        <v>97.92</v>
      </c>
      <c r="O2042">
        <v>32.87671232876712</v>
      </c>
    </row>
    <row r="2043" spans="1:15" hidden="1" x14ac:dyDescent="0.25">
      <c r="A2043" s="11">
        <v>46064</v>
      </c>
      <c r="B2043" t="s">
        <v>29</v>
      </c>
      <c r="C2043" t="s">
        <v>26</v>
      </c>
      <c r="D2043">
        <v>0</v>
      </c>
      <c r="E2043">
        <v>0</v>
      </c>
      <c r="F2043">
        <v>0</v>
      </c>
      <c r="G2043">
        <v>0</v>
      </c>
      <c r="H2043">
        <v>0</v>
      </c>
      <c r="I2043" s="3">
        <v>0</v>
      </c>
      <c r="J2043" s="3">
        <v>0</v>
      </c>
      <c r="K2043" s="3">
        <v>0</v>
      </c>
      <c r="L2043" s="3" t="str">
        <f>IF(K2043&lt;-5,"CRÍTICO",IF(K2043&lt;0,"ATENÇÃO",IF(K2043&lt;=5,"BOM","EXCELENTE")))</f>
        <v>BOM</v>
      </c>
      <c r="M2043">
        <v>0</v>
      </c>
      <c r="N2043">
        <v>0</v>
      </c>
      <c r="O2043">
        <v>0</v>
      </c>
    </row>
    <row r="2044" spans="1:15" hidden="1" x14ac:dyDescent="0.25">
      <c r="A2044" s="11">
        <v>46064</v>
      </c>
      <c r="B2044" t="s">
        <v>30</v>
      </c>
      <c r="C2044" t="s">
        <v>26</v>
      </c>
      <c r="D2044">
        <v>0</v>
      </c>
      <c r="E2044">
        <v>0</v>
      </c>
      <c r="F2044">
        <v>0</v>
      </c>
      <c r="G2044">
        <v>0</v>
      </c>
      <c r="H2044">
        <v>0</v>
      </c>
      <c r="I2044" s="3">
        <v>0</v>
      </c>
      <c r="J2044" s="3">
        <v>0</v>
      </c>
      <c r="K2044" s="3">
        <v>0</v>
      </c>
      <c r="L2044" s="3" t="str">
        <f>IF(K2044&lt;-5,"CRÍTICO",IF(K2044&lt;0,"ATENÇÃO",IF(K2044&lt;=5,"BOM","EXCELENTE")))</f>
        <v>BOM</v>
      </c>
      <c r="M2044">
        <v>0</v>
      </c>
      <c r="N2044">
        <v>0</v>
      </c>
      <c r="O2044">
        <v>0</v>
      </c>
    </row>
    <row r="2045" spans="1:15" hidden="1" x14ac:dyDescent="0.25">
      <c r="A2045" s="11">
        <v>46064</v>
      </c>
      <c r="B2045" t="s">
        <v>21</v>
      </c>
      <c r="C2045" t="s">
        <v>16</v>
      </c>
      <c r="D2045">
        <v>0</v>
      </c>
      <c r="E2045">
        <v>0</v>
      </c>
      <c r="F2045">
        <v>0</v>
      </c>
      <c r="G2045">
        <v>0</v>
      </c>
      <c r="H2045">
        <v>0</v>
      </c>
      <c r="I2045" s="3">
        <v>0</v>
      </c>
      <c r="J2045" s="3">
        <v>0</v>
      </c>
      <c r="K2045" s="3">
        <v>0</v>
      </c>
      <c r="L2045" s="3" t="str">
        <f>IF(K2045&lt;-5,"CRÍTICO",IF(K2045&lt;0,"ATENÇÃO",IF(K2045&lt;=5,"BOM","EXCELENTE")))</f>
        <v>BOM</v>
      </c>
      <c r="M2045">
        <v>0</v>
      </c>
      <c r="N2045">
        <v>0</v>
      </c>
      <c r="O2045">
        <v>0</v>
      </c>
    </row>
    <row r="2046" spans="1:15" hidden="1" x14ac:dyDescent="0.25">
      <c r="A2046" s="11">
        <v>46064</v>
      </c>
      <c r="B2046" t="s">
        <v>63</v>
      </c>
      <c r="C2046" t="s">
        <v>23</v>
      </c>
      <c r="D2046">
        <v>25</v>
      </c>
      <c r="E2046">
        <v>24</v>
      </c>
      <c r="F2046">
        <v>23.53</v>
      </c>
      <c r="G2046">
        <v>0</v>
      </c>
      <c r="H2046">
        <v>0</v>
      </c>
      <c r="I2046" s="3">
        <f>E2046+G2046+H2046</f>
        <v>24</v>
      </c>
      <c r="J2046" s="3">
        <f>ROUND(MIN(IF(C2046="Técnico III",35,IF(C2046="Técnico II",28,IF(C2046="Técnico I",23,IF(C2046="JR",20,IF(C2046="Estágio",10,0))))),IF(C2046="Técnico III",SUMIFS($D:$D,$A:$A,$A2046,$B:$B,"&lt;&gt;Patrícia Karla de Sousa Araújo",$B:$B,"&lt;&gt;Lorena Dias de Araujo",$B:$B,"&lt;&gt;Lucas Luiz Romero")*(35/1083),IF(C2046="Técnico II",SUMIFS($D:$D,$A:$A,$A2046,$B:$B,"&lt;&gt;Patrícia Karla de Sousa Araújo",$B:$B,"&lt;&gt;Lorena Dias de Araujo",$B:$B,"&lt;&gt;Lucas Luiz Romero")*(28/1083),IF(C2046="Técnico I",SUMIFS($D:$D,$A:$A,$A2046,$B:$B,"&lt;&gt;Patrícia Karla de Sousa Araújo",$B:$B,"&lt;&gt;Lorena Dias de Araujo",$B:$B,"&lt;&gt;Lucas Luiz Romero")*(23/1083),IF(C2046="JR",SUMIFS($D:$D,$A:$A,$A2046,$B:$B,"&lt;&gt;Patrícia Karla de Sousa Araújo",$B:$B,"&lt;&gt;Lorena Dias de Araujo",$B:$B,"&lt;&gt;Lucas Luiz Romero")*(20/1083),IF(C2046="Estágio",SUMIFS($D:$D,$A:$A,$A2046,$B:$B,"&lt;&gt;Patrícia Karla de Sousa Araújo",$B:$B,"&lt;&gt;Lorena Dias de Araujo",$B:$B,"&lt;&gt;Lucas Luiz Romero")*(10/1083),0)))))),0)</f>
        <v>19</v>
      </c>
      <c r="K2046" s="3">
        <f>I2046-J2046</f>
        <v>5</v>
      </c>
      <c r="L2046" s="3" t="str">
        <f>IF(K2046&lt;-5,"CRÍTICO",IF(K2046&lt;0,"ATENÇÃO",IF(K2046&lt;=5,"BOM","EXCELENTE")))</f>
        <v>BOM</v>
      </c>
      <c r="M2046">
        <v>17</v>
      </c>
      <c r="N2046">
        <v>98.51</v>
      </c>
      <c r="O2046">
        <v>29.710144927536231</v>
      </c>
    </row>
    <row r="2047" spans="1:15" hidden="1" x14ac:dyDescent="0.25">
      <c r="A2047" s="11">
        <v>46064</v>
      </c>
      <c r="B2047" t="s">
        <v>45</v>
      </c>
      <c r="C2047" t="s">
        <v>32</v>
      </c>
      <c r="D2047">
        <v>38</v>
      </c>
      <c r="E2047">
        <v>35</v>
      </c>
      <c r="F2047">
        <v>15.06</v>
      </c>
      <c r="G2047">
        <v>0</v>
      </c>
      <c r="H2047">
        <v>0</v>
      </c>
      <c r="I2047" s="3">
        <f>E2047+G2047+H2047</f>
        <v>35</v>
      </c>
      <c r="J2047" s="3">
        <f>ROUND(MIN(IF(C2047="Técnico III",35,IF(C2047="Técnico II",28,IF(C2047="Técnico I",23,IF(C2047="JR",20,IF(C2047="Estágio",10,0))))),IF(C2047="Técnico III",SUMIFS($D:$D,$A:$A,$A2047,$B:$B,"&lt;&gt;Patrícia Karla de Sousa Araújo",$B:$B,"&lt;&gt;Lorena Dias de Araujo",$B:$B,"&lt;&gt;Lucas Luiz Romero")*(35/1083),IF(C2047="Técnico II",SUMIFS($D:$D,$A:$A,$A2047,$B:$B,"&lt;&gt;Patrícia Karla de Sousa Araújo",$B:$B,"&lt;&gt;Lorena Dias de Araujo",$B:$B,"&lt;&gt;Lucas Luiz Romero")*(28/1083),IF(C2047="Técnico I",SUMIFS($D:$D,$A:$A,$A2047,$B:$B,"&lt;&gt;Patrícia Karla de Sousa Araújo",$B:$B,"&lt;&gt;Lorena Dias de Araujo",$B:$B,"&lt;&gt;Lucas Luiz Romero")*(23/1083),IF(C2047="JR",SUMIFS($D:$D,$A:$A,$A2047,$B:$B,"&lt;&gt;Patrícia Karla de Sousa Araújo",$B:$B,"&lt;&gt;Lorena Dias de Araujo",$B:$B,"&lt;&gt;Lucas Luiz Romero")*(20/1083),IF(C2047="Estágio",SUMIFS($D:$D,$A:$A,$A2047,$B:$B,"&lt;&gt;Patrícia Karla de Sousa Araújo",$B:$B,"&lt;&gt;Lorena Dias de Araujo",$B:$B,"&lt;&gt;Lucas Luiz Romero")*(10/1083),0)))))),0)</f>
        <v>28</v>
      </c>
      <c r="K2047" s="3">
        <f>I2047-J2047</f>
        <v>7</v>
      </c>
      <c r="L2047" s="3" t="str">
        <f>IF(K2047&lt;-5,"CRÍTICO",IF(K2047&lt;0,"ATENÇÃO",IF(K2047&lt;=5,"BOM","EXCELENTE")))</f>
        <v>EXCELENTE</v>
      </c>
      <c r="M2047">
        <v>38</v>
      </c>
      <c r="N2047">
        <v>98.81</v>
      </c>
      <c r="O2047">
        <v>30.712979890310791</v>
      </c>
    </row>
    <row r="2048" spans="1:15" hidden="1" x14ac:dyDescent="0.25">
      <c r="A2048" s="11">
        <v>46064</v>
      </c>
      <c r="B2048" t="s">
        <v>64</v>
      </c>
      <c r="C2048" t="s">
        <v>23</v>
      </c>
      <c r="D2048">
        <v>12</v>
      </c>
      <c r="E2048">
        <v>11</v>
      </c>
      <c r="F2048">
        <v>37.18</v>
      </c>
      <c r="G2048">
        <v>0</v>
      </c>
      <c r="H2048">
        <v>0</v>
      </c>
      <c r="I2048" s="3">
        <f>E2048+G2048+H2048</f>
        <v>11</v>
      </c>
      <c r="J2048" s="3">
        <f>ROUND(MIN(IF(C2048="Técnico III",35,IF(C2048="Técnico II",28,IF(C2048="Técnico I",23,IF(C2048="JR",20,IF(C2048="Estágio",10,0))))),IF(C2048="Técnico III",SUMIFS($D:$D,$A:$A,$A2048,$B:$B,"&lt;&gt;Patrícia Karla de Sousa Araújo",$B:$B,"&lt;&gt;Lorena Dias de Araujo",$B:$B,"&lt;&gt;Lucas Luiz Romero")*(35/1083),IF(C2048="Técnico II",SUMIFS($D:$D,$A:$A,$A2048,$B:$B,"&lt;&gt;Patrícia Karla de Sousa Araújo",$B:$B,"&lt;&gt;Lorena Dias de Araujo",$B:$B,"&lt;&gt;Lucas Luiz Romero")*(28/1083),IF(C2048="Técnico I",SUMIFS($D:$D,$A:$A,$A2048,$B:$B,"&lt;&gt;Patrícia Karla de Sousa Araújo",$B:$B,"&lt;&gt;Lorena Dias de Araujo",$B:$B,"&lt;&gt;Lucas Luiz Romero")*(23/1083),IF(C2048="JR",SUMIFS($D:$D,$A:$A,$A2048,$B:$B,"&lt;&gt;Patrícia Karla de Sousa Araújo",$B:$B,"&lt;&gt;Lorena Dias de Araujo",$B:$B,"&lt;&gt;Lucas Luiz Romero")*(20/1083),IF(C2048="Estágio",SUMIFS($D:$D,$A:$A,$A2048,$B:$B,"&lt;&gt;Patrícia Karla de Sousa Araújo",$B:$B,"&lt;&gt;Lorena Dias de Araujo",$B:$B,"&lt;&gt;Lucas Luiz Romero")*(10/1083),0)))))),0)</f>
        <v>19</v>
      </c>
      <c r="K2048" s="3">
        <f>I2048-J2048</f>
        <v>-8</v>
      </c>
      <c r="L2048" s="3" t="str">
        <f>IF(K2048&lt;-5,"CRÍTICO",IF(K2048&lt;0,"ATENÇÃO",IF(K2048&lt;=5,"BOM","EXCELENTE")))</f>
        <v>CRÍTICO</v>
      </c>
      <c r="M2048">
        <v>12</v>
      </c>
      <c r="N2048">
        <v>98.48</v>
      </c>
      <c r="O2048">
        <v>29.35323383084577</v>
      </c>
    </row>
    <row r="2049" spans="1:15" hidden="1" x14ac:dyDescent="0.25">
      <c r="A2049" s="11">
        <v>46064</v>
      </c>
      <c r="B2049" t="s">
        <v>46</v>
      </c>
      <c r="C2049" t="s">
        <v>32</v>
      </c>
      <c r="D2049">
        <v>35</v>
      </c>
      <c r="E2049">
        <v>32</v>
      </c>
      <c r="F2049">
        <v>18.27</v>
      </c>
      <c r="G2049">
        <v>0</v>
      </c>
      <c r="H2049">
        <v>0</v>
      </c>
      <c r="I2049" s="3">
        <f>E2049+G2049+H2049</f>
        <v>32</v>
      </c>
      <c r="J2049" s="3">
        <f>ROUND(MIN(IF(C2049="Técnico III",35,IF(C2049="Técnico II",28,IF(C2049="Técnico I",23,IF(C2049="JR",20,IF(C2049="Estágio",10,0))))),IF(C2049="Técnico III",SUMIFS($D:$D,$A:$A,$A2049,$B:$B,"&lt;&gt;Patrícia Karla de Sousa Araújo",$B:$B,"&lt;&gt;Lorena Dias de Araujo",$B:$B,"&lt;&gt;Lucas Luiz Romero")*(35/1083),IF(C2049="Técnico II",SUMIFS($D:$D,$A:$A,$A2049,$B:$B,"&lt;&gt;Patrícia Karla de Sousa Araújo",$B:$B,"&lt;&gt;Lorena Dias de Araujo",$B:$B,"&lt;&gt;Lucas Luiz Romero")*(28/1083),IF(C2049="Técnico I",SUMIFS($D:$D,$A:$A,$A2049,$B:$B,"&lt;&gt;Patrícia Karla de Sousa Araújo",$B:$B,"&lt;&gt;Lorena Dias de Araujo",$B:$B,"&lt;&gt;Lucas Luiz Romero")*(23/1083),IF(C2049="JR",SUMIFS($D:$D,$A:$A,$A2049,$B:$B,"&lt;&gt;Patrícia Karla de Sousa Araújo",$B:$B,"&lt;&gt;Lorena Dias de Araujo",$B:$B,"&lt;&gt;Lucas Luiz Romero")*(20/1083),IF(C2049="Estágio",SUMIFS($D:$D,$A:$A,$A2049,$B:$B,"&lt;&gt;Patrícia Karla de Sousa Araújo",$B:$B,"&lt;&gt;Lorena Dias de Araujo",$B:$B,"&lt;&gt;Lucas Luiz Romero")*(10/1083),0)))))),0)</f>
        <v>28</v>
      </c>
      <c r="K2049" s="3">
        <f>I2049-J2049</f>
        <v>4</v>
      </c>
      <c r="L2049" s="3" t="str">
        <f>IF(K2049&lt;-5,"CRÍTICO",IF(K2049&lt;0,"ATENÇÃO",IF(K2049&lt;=5,"BOM","EXCELENTE")))</f>
        <v>BOM</v>
      </c>
      <c r="M2049">
        <v>27</v>
      </c>
      <c r="N2049">
        <v>98.56</v>
      </c>
      <c r="O2049">
        <v>29.373650107991359</v>
      </c>
    </row>
    <row r="2050" spans="1:15" hidden="1" x14ac:dyDescent="0.25">
      <c r="A2050" s="11">
        <v>46065</v>
      </c>
      <c r="B2050" t="s">
        <v>47</v>
      </c>
      <c r="C2050" t="s">
        <v>48</v>
      </c>
      <c r="D2050">
        <v>1</v>
      </c>
      <c r="E2050">
        <v>0</v>
      </c>
      <c r="F2050">
        <v>2.0699999999999998</v>
      </c>
      <c r="G2050">
        <v>0</v>
      </c>
      <c r="H2050">
        <v>0</v>
      </c>
      <c r="I2050" s="3">
        <f>E2050+G2050+H2050</f>
        <v>0</v>
      </c>
      <c r="J2050" s="3">
        <f>ROUND(MIN(IF(C2050="Técnico III",35,IF(C2050="Técnico II",28,IF(C2050="Técnico I",23,IF(C2050="JR",20,IF(C2050="Estágio",10,0))))),IF(C2050="Técnico III",SUMIFS($D:$D,$A:$A,$A2050,$B:$B,"&lt;&gt;Patrícia Karla de Sousa Araújo",$B:$B,"&lt;&gt;Lorena Dias de Araujo",$B:$B,"&lt;&gt;Lucas Luiz Romero")*(35/1083),IF(C2050="Técnico II",SUMIFS($D:$D,$A:$A,$A2050,$B:$B,"&lt;&gt;Patrícia Karla de Sousa Araújo",$B:$B,"&lt;&gt;Lorena Dias de Araujo",$B:$B,"&lt;&gt;Lucas Luiz Romero")*(28/1083),IF(C2050="Técnico I",SUMIFS($D:$D,$A:$A,$A2050,$B:$B,"&lt;&gt;Patrícia Karla de Sousa Araújo",$B:$B,"&lt;&gt;Lorena Dias de Araujo",$B:$B,"&lt;&gt;Lucas Luiz Romero")*(23/1083),IF(C2050="JR",SUMIFS($D:$D,$A:$A,$A2050,$B:$B,"&lt;&gt;Patrícia Karla de Sousa Araújo",$B:$B,"&lt;&gt;Lorena Dias de Araujo",$B:$B,"&lt;&gt;Lucas Luiz Romero")*(20/1083),IF(C2050="Estágio",SUMIFS($D:$D,$A:$A,$A2050,$B:$B,"&lt;&gt;Patrícia Karla de Sousa Araújo",$B:$B,"&lt;&gt;Lorena Dias de Araujo",$B:$B,"&lt;&gt;Lucas Luiz Romero")*(10/1083),0)))))),0)</f>
        <v>21</v>
      </c>
      <c r="K2050" s="3">
        <f>I2050-J2050</f>
        <v>-21</v>
      </c>
      <c r="L2050" s="3" t="str">
        <f>IF(K2050&lt;-5,"CRÍTICO",IF(K2050&lt;0,"ATENÇÃO",IF(K2050&lt;=5,"BOM","EXCELENTE")))</f>
        <v>CRÍTICO</v>
      </c>
      <c r="M2050">
        <v>0</v>
      </c>
      <c r="N2050">
        <v>98.32</v>
      </c>
      <c r="O2050">
        <v>30.303030303030301</v>
      </c>
    </row>
    <row r="2051" spans="1:15" hidden="1" x14ac:dyDescent="0.25">
      <c r="A2051" s="11">
        <v>46065</v>
      </c>
      <c r="B2051" t="s">
        <v>31</v>
      </c>
      <c r="C2051" t="s">
        <v>32</v>
      </c>
      <c r="D2051">
        <v>0</v>
      </c>
      <c r="E2051">
        <v>0</v>
      </c>
      <c r="F2051">
        <v>0</v>
      </c>
      <c r="G2051">
        <v>0</v>
      </c>
      <c r="H2051">
        <v>0</v>
      </c>
      <c r="I2051" s="3">
        <v>0</v>
      </c>
      <c r="J2051" s="3">
        <v>0</v>
      </c>
      <c r="K2051" s="3">
        <v>0</v>
      </c>
      <c r="L2051" s="3" t="str">
        <f>IF(K2051&lt;-5,"CRÍTICO",IF(K2051&lt;0,"ATENÇÃO",IF(K2051&lt;=5,"BOM","EXCELENTE")))</f>
        <v>BOM</v>
      </c>
      <c r="M2051">
        <v>33</v>
      </c>
      <c r="N2051">
        <v>98.68</v>
      </c>
      <c r="O2051">
        <v>26.219512195121951</v>
      </c>
    </row>
    <row r="2052" spans="1:15" hidden="1" x14ac:dyDescent="0.25">
      <c r="A2052" s="11">
        <v>46065</v>
      </c>
      <c r="B2052" t="s">
        <v>59</v>
      </c>
      <c r="C2052" t="s">
        <v>23</v>
      </c>
      <c r="D2052">
        <v>25</v>
      </c>
      <c r="E2052">
        <v>24</v>
      </c>
      <c r="F2052">
        <v>25.21</v>
      </c>
      <c r="G2052">
        <v>0</v>
      </c>
      <c r="H2052">
        <v>0</v>
      </c>
      <c r="I2052" s="3">
        <f>E2052+G2052+H2052</f>
        <v>24</v>
      </c>
      <c r="J2052" s="3">
        <f>ROUND(MIN(IF(C2052="Técnico III",35,IF(C2052="Técnico II",28,IF(C2052="Técnico I",23,IF(C2052="JR",20,IF(C2052="Estágio",10,0))))),IF(C2052="Técnico III",SUMIFS($D:$D,$A:$A,$A2052,$B:$B,"&lt;&gt;Patrícia Karla de Sousa Araújo",$B:$B,"&lt;&gt;Lorena Dias de Araujo",$B:$B,"&lt;&gt;Lucas Luiz Romero")*(35/1083),IF(C2052="Técnico II",SUMIFS($D:$D,$A:$A,$A2052,$B:$B,"&lt;&gt;Patrícia Karla de Sousa Araújo",$B:$B,"&lt;&gt;Lorena Dias de Araujo",$B:$B,"&lt;&gt;Lucas Luiz Romero")*(28/1083),IF(C2052="Técnico I",SUMIFS($D:$D,$A:$A,$A2052,$B:$B,"&lt;&gt;Patrícia Karla de Sousa Araújo",$B:$B,"&lt;&gt;Lorena Dias de Araujo",$B:$B,"&lt;&gt;Lucas Luiz Romero")*(23/1083),IF(C2052="JR",SUMIFS($D:$D,$A:$A,$A2052,$B:$B,"&lt;&gt;Patrícia Karla de Sousa Araújo",$B:$B,"&lt;&gt;Lorena Dias de Araujo",$B:$B,"&lt;&gt;Lucas Luiz Romero")*(20/1083),IF(C2052="Estágio",SUMIFS($D:$D,$A:$A,$A2052,$B:$B,"&lt;&gt;Patrícia Karla de Sousa Araújo",$B:$B,"&lt;&gt;Lorena Dias de Araujo",$B:$B,"&lt;&gt;Lucas Luiz Romero")*(10/1083),0)))))),0)</f>
        <v>17</v>
      </c>
      <c r="K2052" s="3">
        <f>I2052-J2052</f>
        <v>7</v>
      </c>
      <c r="L2052" s="3" t="str">
        <f>IF(K2052&lt;-5,"CRÍTICO",IF(K2052&lt;0,"ATENÇÃO",IF(K2052&lt;=5,"BOM","EXCELENTE")))</f>
        <v>EXCELENTE</v>
      </c>
      <c r="M2052">
        <v>20</v>
      </c>
      <c r="N2052">
        <v>100</v>
      </c>
      <c r="O2052">
        <v>31.74224343675418</v>
      </c>
    </row>
    <row r="2053" spans="1:15" hidden="1" x14ac:dyDescent="0.25">
      <c r="A2053" s="11">
        <v>46065</v>
      </c>
      <c r="B2053" t="s">
        <v>33</v>
      </c>
      <c r="C2053" t="s">
        <v>32</v>
      </c>
      <c r="D2053">
        <v>28</v>
      </c>
      <c r="E2053">
        <v>26</v>
      </c>
      <c r="F2053">
        <v>23.36</v>
      </c>
      <c r="G2053">
        <v>0</v>
      </c>
      <c r="H2053">
        <v>0</v>
      </c>
      <c r="I2053" s="3">
        <f>E2053+G2053+H2053</f>
        <v>26</v>
      </c>
      <c r="J2053" s="3">
        <f>ROUND(MIN(IF(C2053="Técnico III",35,IF(C2053="Técnico II",28,IF(C2053="Técnico I",23,IF(C2053="JR",20,IF(C2053="Estágio",10,0))))),IF(C2053="Técnico III",SUMIFS($D:$D,$A:$A,$A2053,$B:$B,"&lt;&gt;Patrícia Karla de Sousa Araújo",$B:$B,"&lt;&gt;Lorena Dias de Araujo",$B:$B,"&lt;&gt;Lucas Luiz Romero")*(35/1083),IF(C2053="Técnico II",SUMIFS($D:$D,$A:$A,$A2053,$B:$B,"&lt;&gt;Patrícia Karla de Sousa Araújo",$B:$B,"&lt;&gt;Lorena Dias de Araujo",$B:$B,"&lt;&gt;Lucas Luiz Romero")*(28/1083),IF(C2053="Técnico I",SUMIFS($D:$D,$A:$A,$A2053,$B:$B,"&lt;&gt;Patrícia Karla de Sousa Araújo",$B:$B,"&lt;&gt;Lorena Dias de Araujo",$B:$B,"&lt;&gt;Lucas Luiz Romero")*(23/1083),IF(C2053="JR",SUMIFS($D:$D,$A:$A,$A2053,$B:$B,"&lt;&gt;Patrícia Karla de Sousa Araújo",$B:$B,"&lt;&gt;Lorena Dias de Araujo",$B:$B,"&lt;&gt;Lucas Luiz Romero")*(20/1083),IF(C2053="Estágio",SUMIFS($D:$D,$A:$A,$A2053,$B:$B,"&lt;&gt;Patrícia Karla de Sousa Araújo",$B:$B,"&lt;&gt;Lorena Dias de Araujo",$B:$B,"&lt;&gt;Lucas Luiz Romero")*(10/1083),0)))))),0)</f>
        <v>27</v>
      </c>
      <c r="K2053" s="3">
        <f>I2053-J2053</f>
        <v>-1</v>
      </c>
      <c r="L2053" s="3" t="str">
        <f>IF(K2053&lt;-5,"CRÍTICO",IF(K2053&lt;0,"ATENÇÃO",IF(K2053&lt;=5,"BOM","EXCELENTE")))</f>
        <v>ATENÇÃO</v>
      </c>
      <c r="M2053">
        <v>25</v>
      </c>
      <c r="N2053">
        <v>98.25</v>
      </c>
      <c r="O2053">
        <v>25.83518930957684</v>
      </c>
    </row>
    <row r="2054" spans="1:15" hidden="1" x14ac:dyDescent="0.25">
      <c r="A2054" s="11">
        <v>46065</v>
      </c>
      <c r="B2054" t="s">
        <v>15</v>
      </c>
      <c r="C2054" t="s">
        <v>16</v>
      </c>
      <c r="D2054">
        <v>10</v>
      </c>
      <c r="E2054">
        <v>9</v>
      </c>
      <c r="F2054">
        <v>30.53</v>
      </c>
      <c r="G2054">
        <v>0</v>
      </c>
      <c r="H2054">
        <v>0</v>
      </c>
      <c r="I2054" s="3">
        <f>E2054+G2054+H2054</f>
        <v>9</v>
      </c>
      <c r="J2054" s="3">
        <f>ROUND(MIN(IF(C2054="Técnico III",35,IF(C2054="Técnico II",28,IF(C2054="Técnico I",23,IF(C2054="JR",20,IF(C2054="Estágio",10,0))))),IF(C2054="Técnico III",SUMIFS($D:$D,$A:$A,$A2054,$B:$B,"&lt;&gt;Patrícia Karla de Sousa Araújo",$B:$B,"&lt;&gt;Lorena Dias de Araujo",$B:$B,"&lt;&gt;Lucas Luiz Romero")*(35/1083),IF(C2054="Técnico II",SUMIFS($D:$D,$A:$A,$A2054,$B:$B,"&lt;&gt;Patrícia Karla de Sousa Araújo",$B:$B,"&lt;&gt;Lorena Dias de Araujo",$B:$B,"&lt;&gt;Lucas Luiz Romero")*(28/1083),IF(C2054="Técnico I",SUMIFS($D:$D,$A:$A,$A2054,$B:$B,"&lt;&gt;Patrícia Karla de Sousa Araújo",$B:$B,"&lt;&gt;Lorena Dias de Araujo",$B:$B,"&lt;&gt;Lucas Luiz Romero")*(23/1083),IF(C2054="JR",SUMIFS($D:$D,$A:$A,$A2054,$B:$B,"&lt;&gt;Patrícia Karla de Sousa Araújo",$B:$B,"&lt;&gt;Lorena Dias de Araujo",$B:$B,"&lt;&gt;Lucas Luiz Romero")*(20/1083),IF(C2054="Estágio",SUMIFS($D:$D,$A:$A,$A2054,$B:$B,"&lt;&gt;Patrícia Karla de Sousa Araújo",$B:$B,"&lt;&gt;Lorena Dias de Araujo",$B:$B,"&lt;&gt;Lucas Luiz Romero")*(10/1083),0)))))),0)</f>
        <v>8</v>
      </c>
      <c r="K2054" s="3">
        <f>I2054-J2054</f>
        <v>1</v>
      </c>
      <c r="L2054" s="3" t="str">
        <f>IF(K2054&lt;-5,"CRÍTICO",IF(K2054&lt;0,"ATENÇÃO",IF(K2054&lt;=5,"BOM","EXCELENTE")))</f>
        <v>BOM</v>
      </c>
      <c r="M2054">
        <v>9</v>
      </c>
      <c r="N2054">
        <v>97.5</v>
      </c>
      <c r="O2054">
        <v>30.075187969924809</v>
      </c>
    </row>
    <row r="2055" spans="1:15" hidden="1" x14ac:dyDescent="0.25">
      <c r="A2055" s="11">
        <v>46065</v>
      </c>
      <c r="B2055" t="s">
        <v>49</v>
      </c>
      <c r="C2055" t="s">
        <v>48</v>
      </c>
      <c r="D2055">
        <v>17</v>
      </c>
      <c r="E2055">
        <v>17</v>
      </c>
      <c r="F2055">
        <v>22.38</v>
      </c>
      <c r="G2055">
        <v>0</v>
      </c>
      <c r="H2055">
        <v>0</v>
      </c>
      <c r="I2055" s="3">
        <f>E2055+G2055+H2055</f>
        <v>17</v>
      </c>
      <c r="J2055" s="3">
        <f>ROUND(MIN(IF(C2055="Técnico III",35,IF(C2055="Técnico II",28,IF(C2055="Técnico I",23,IF(C2055="JR",20,IF(C2055="Estágio",10,0))))),IF(C2055="Técnico III",SUMIFS($D:$D,$A:$A,$A2055,$B:$B,"&lt;&gt;Patrícia Karla de Sousa Araújo",$B:$B,"&lt;&gt;Lorena Dias de Araujo",$B:$B,"&lt;&gt;Lucas Luiz Romero")*(35/1083),IF(C2055="Técnico II",SUMIFS($D:$D,$A:$A,$A2055,$B:$B,"&lt;&gt;Patrícia Karla de Sousa Araújo",$B:$B,"&lt;&gt;Lorena Dias de Araujo",$B:$B,"&lt;&gt;Lucas Luiz Romero")*(28/1083),IF(C2055="Técnico I",SUMIFS($D:$D,$A:$A,$A2055,$B:$B,"&lt;&gt;Patrícia Karla de Sousa Araújo",$B:$B,"&lt;&gt;Lorena Dias de Araujo",$B:$B,"&lt;&gt;Lucas Luiz Romero")*(23/1083),IF(C2055="JR",SUMIFS($D:$D,$A:$A,$A2055,$B:$B,"&lt;&gt;Patrícia Karla de Sousa Araújo",$B:$B,"&lt;&gt;Lorena Dias de Araujo",$B:$B,"&lt;&gt;Lucas Luiz Romero")*(20/1083),IF(C2055="Estágio",SUMIFS($D:$D,$A:$A,$A2055,$B:$B,"&lt;&gt;Patrícia Karla de Sousa Araújo",$B:$B,"&lt;&gt;Lorena Dias de Araujo",$B:$B,"&lt;&gt;Lucas Luiz Romero")*(10/1083),0)))))),0)</f>
        <v>21</v>
      </c>
      <c r="K2055" s="3">
        <f>I2055-J2055</f>
        <v>-4</v>
      </c>
      <c r="L2055" s="3" t="str">
        <f>IF(K2055&lt;-5,"CRÍTICO",IF(K2055&lt;0,"ATENÇÃO",IF(K2055&lt;=5,"BOM","EXCELENTE")))</f>
        <v>ATENÇÃO</v>
      </c>
      <c r="M2055">
        <v>17</v>
      </c>
      <c r="N2055">
        <v>100</v>
      </c>
      <c r="O2055">
        <v>29.71311475409836</v>
      </c>
    </row>
    <row r="2056" spans="1:15" hidden="1" x14ac:dyDescent="0.25">
      <c r="A2056" s="11">
        <v>46065</v>
      </c>
      <c r="B2056" t="s">
        <v>50</v>
      </c>
      <c r="C2056" t="s">
        <v>48</v>
      </c>
      <c r="D2056">
        <v>14</v>
      </c>
      <c r="E2056">
        <v>13</v>
      </c>
      <c r="F2056">
        <v>41.45</v>
      </c>
      <c r="G2056">
        <v>0</v>
      </c>
      <c r="H2056">
        <v>0</v>
      </c>
      <c r="I2056" s="3">
        <f>E2056+G2056+H2056</f>
        <v>13</v>
      </c>
      <c r="J2056" s="3">
        <f>ROUND(MIN(IF(C2056="Técnico III",35,IF(C2056="Técnico II",28,IF(C2056="Técnico I",23,IF(C2056="JR",20,IF(C2056="Estágio",10,0))))),IF(C2056="Técnico III",SUMIFS($D:$D,$A:$A,$A2056,$B:$B,"&lt;&gt;Patrícia Karla de Sousa Araújo",$B:$B,"&lt;&gt;Lorena Dias de Araujo",$B:$B,"&lt;&gt;Lucas Luiz Romero")*(35/1083),IF(C2056="Técnico II",SUMIFS($D:$D,$A:$A,$A2056,$B:$B,"&lt;&gt;Patrícia Karla de Sousa Araújo",$B:$B,"&lt;&gt;Lorena Dias de Araujo",$B:$B,"&lt;&gt;Lucas Luiz Romero")*(28/1083),IF(C2056="Técnico I",SUMIFS($D:$D,$A:$A,$A2056,$B:$B,"&lt;&gt;Patrícia Karla de Sousa Araújo",$B:$B,"&lt;&gt;Lorena Dias de Araujo",$B:$B,"&lt;&gt;Lucas Luiz Romero")*(23/1083),IF(C2056="JR",SUMIFS($D:$D,$A:$A,$A2056,$B:$B,"&lt;&gt;Patrícia Karla de Sousa Araújo",$B:$B,"&lt;&gt;Lorena Dias de Araujo",$B:$B,"&lt;&gt;Lucas Luiz Romero")*(20/1083),IF(C2056="Estágio",SUMIFS($D:$D,$A:$A,$A2056,$B:$B,"&lt;&gt;Patrícia Karla de Sousa Araújo",$B:$B,"&lt;&gt;Lorena Dias de Araujo",$B:$B,"&lt;&gt;Lucas Luiz Romero")*(10/1083),0)))))),0)</f>
        <v>21</v>
      </c>
      <c r="K2056" s="3">
        <f>I2056-J2056</f>
        <v>-8</v>
      </c>
      <c r="L2056" s="3" t="str">
        <f>IF(K2056&lt;-5,"CRÍTICO",IF(K2056&lt;0,"ATENÇÃO",IF(K2056&lt;=5,"BOM","EXCELENTE")))</f>
        <v>CRÍTICO</v>
      </c>
      <c r="M2056">
        <v>14</v>
      </c>
      <c r="N2056">
        <v>99.22</v>
      </c>
      <c r="O2056">
        <v>35.256410256410263</v>
      </c>
    </row>
    <row r="2057" spans="1:15" hidden="1" x14ac:dyDescent="0.25">
      <c r="A2057" s="11">
        <v>46065</v>
      </c>
      <c r="B2057" t="s">
        <v>17</v>
      </c>
      <c r="C2057" t="s">
        <v>16</v>
      </c>
      <c r="D2057">
        <v>0</v>
      </c>
      <c r="E2057">
        <v>0</v>
      </c>
      <c r="F2057">
        <v>0</v>
      </c>
      <c r="G2057">
        <v>0</v>
      </c>
      <c r="H2057">
        <v>0</v>
      </c>
      <c r="I2057" s="3">
        <v>0</v>
      </c>
      <c r="J2057" s="3">
        <v>0</v>
      </c>
      <c r="K2057" s="3">
        <v>0</v>
      </c>
      <c r="L2057" s="3" t="str">
        <f>IF(K2057&lt;-5,"CRÍTICO",IF(K2057&lt;0,"ATENÇÃO",IF(K2057&lt;=5,"BOM","EXCELENTE")))</f>
        <v>BOM</v>
      </c>
      <c r="M2057">
        <v>0</v>
      </c>
      <c r="N2057">
        <v>0</v>
      </c>
      <c r="O2057">
        <v>0</v>
      </c>
    </row>
    <row r="2058" spans="1:15" hidden="1" x14ac:dyDescent="0.25">
      <c r="A2058" s="11">
        <v>46065</v>
      </c>
      <c r="B2058" t="s">
        <v>60</v>
      </c>
      <c r="C2058" t="s">
        <v>23</v>
      </c>
      <c r="D2058">
        <v>40</v>
      </c>
      <c r="E2058">
        <v>6</v>
      </c>
      <c r="F2058">
        <v>3.57</v>
      </c>
      <c r="G2058">
        <v>0</v>
      </c>
      <c r="H2058">
        <v>0</v>
      </c>
      <c r="I2058" s="3">
        <f>E2058+G2058+H2058</f>
        <v>6</v>
      </c>
      <c r="J2058" s="3">
        <f>ROUND(MIN(IF(C2058="Técnico III",35,IF(C2058="Técnico II",28,IF(C2058="Técnico I",23,IF(C2058="JR",20,IF(C2058="Estágio",10,0))))),IF(C2058="Técnico III",SUMIFS($D:$D,$A:$A,$A2058,$B:$B,"&lt;&gt;Patrícia Karla de Sousa Araújo",$B:$B,"&lt;&gt;Lorena Dias de Araujo",$B:$B,"&lt;&gt;Lucas Luiz Romero")*(35/1083),IF(C2058="Técnico II",SUMIFS($D:$D,$A:$A,$A2058,$B:$B,"&lt;&gt;Patrícia Karla de Sousa Araújo",$B:$B,"&lt;&gt;Lorena Dias de Araujo",$B:$B,"&lt;&gt;Lucas Luiz Romero")*(28/1083),IF(C2058="Técnico I",SUMIFS($D:$D,$A:$A,$A2058,$B:$B,"&lt;&gt;Patrícia Karla de Sousa Araújo",$B:$B,"&lt;&gt;Lorena Dias de Araujo",$B:$B,"&lt;&gt;Lucas Luiz Romero")*(23/1083),IF(C2058="JR",SUMIFS($D:$D,$A:$A,$A2058,$B:$B,"&lt;&gt;Patrícia Karla de Sousa Araújo",$B:$B,"&lt;&gt;Lorena Dias de Araujo",$B:$B,"&lt;&gt;Lucas Luiz Romero")*(20/1083),IF(C2058="Estágio",SUMIFS($D:$D,$A:$A,$A2058,$B:$B,"&lt;&gt;Patrícia Karla de Sousa Araújo",$B:$B,"&lt;&gt;Lorena Dias de Araujo",$B:$B,"&lt;&gt;Lucas Luiz Romero")*(10/1083),0)))))),0)</f>
        <v>17</v>
      </c>
      <c r="K2058" s="3">
        <f>I2058-J2058</f>
        <v>-11</v>
      </c>
      <c r="L2058" s="3" t="str">
        <f>IF(K2058&lt;-5,"CRÍTICO",IF(K2058&lt;0,"ATENÇÃO",IF(K2058&lt;=5,"BOM","EXCELENTE")))</f>
        <v>CRÍTICO</v>
      </c>
      <c r="M2058">
        <v>9</v>
      </c>
      <c r="N2058">
        <v>98.75</v>
      </c>
      <c r="O2058">
        <v>24.32432432432433</v>
      </c>
    </row>
    <row r="2059" spans="1:15" hidden="1" x14ac:dyDescent="0.25">
      <c r="A2059" s="11">
        <v>46065</v>
      </c>
      <c r="B2059" t="s">
        <v>34</v>
      </c>
      <c r="C2059" t="s">
        <v>32</v>
      </c>
      <c r="D2059">
        <v>39</v>
      </c>
      <c r="E2059">
        <v>36</v>
      </c>
      <c r="F2059">
        <v>19.05</v>
      </c>
      <c r="G2059">
        <v>0</v>
      </c>
      <c r="H2059">
        <v>0</v>
      </c>
      <c r="I2059" s="3">
        <f>E2059+G2059+H2059</f>
        <v>36</v>
      </c>
      <c r="J2059" s="3">
        <f>ROUND(MIN(IF(C2059="Técnico III",35,IF(C2059="Técnico II",28,IF(C2059="Técnico I",23,IF(C2059="JR",20,IF(C2059="Estágio",10,0))))),IF(C2059="Técnico III",SUMIFS($D:$D,$A:$A,$A2059,$B:$B,"&lt;&gt;Patrícia Karla de Sousa Araújo",$B:$B,"&lt;&gt;Lorena Dias de Araujo",$B:$B,"&lt;&gt;Lucas Luiz Romero")*(35/1083),IF(C2059="Técnico II",SUMIFS($D:$D,$A:$A,$A2059,$B:$B,"&lt;&gt;Patrícia Karla de Sousa Araújo",$B:$B,"&lt;&gt;Lorena Dias de Araujo",$B:$B,"&lt;&gt;Lucas Luiz Romero")*(28/1083),IF(C2059="Técnico I",SUMIFS($D:$D,$A:$A,$A2059,$B:$B,"&lt;&gt;Patrícia Karla de Sousa Araújo",$B:$B,"&lt;&gt;Lorena Dias de Araujo",$B:$B,"&lt;&gt;Lucas Luiz Romero")*(23/1083),IF(C2059="JR",SUMIFS($D:$D,$A:$A,$A2059,$B:$B,"&lt;&gt;Patrícia Karla de Sousa Araújo",$B:$B,"&lt;&gt;Lorena Dias de Araujo",$B:$B,"&lt;&gt;Lucas Luiz Romero")*(20/1083),IF(C2059="Estágio",SUMIFS($D:$D,$A:$A,$A2059,$B:$B,"&lt;&gt;Patrícia Karla de Sousa Araújo",$B:$B,"&lt;&gt;Lorena Dias de Araujo",$B:$B,"&lt;&gt;Lucas Luiz Romero")*(10/1083),0)))))),0)</f>
        <v>27</v>
      </c>
      <c r="K2059" s="3">
        <f>I2059-J2059</f>
        <v>9</v>
      </c>
      <c r="L2059" s="3" t="str">
        <f>IF(K2059&lt;-5,"CRÍTICO",IF(K2059&lt;0,"ATENÇÃO",IF(K2059&lt;=5,"BOM","EXCELENTE")))</f>
        <v>EXCELENTE</v>
      </c>
      <c r="M2059">
        <v>35</v>
      </c>
      <c r="N2059">
        <v>93.48</v>
      </c>
      <c r="O2059">
        <v>31.52804642166344</v>
      </c>
    </row>
    <row r="2060" spans="1:15" hidden="1" x14ac:dyDescent="0.25">
      <c r="A2060" s="11">
        <v>46065</v>
      </c>
      <c r="B2060" t="s">
        <v>51</v>
      </c>
      <c r="C2060" t="s">
        <v>48</v>
      </c>
      <c r="D2060">
        <v>38</v>
      </c>
      <c r="E2060">
        <v>36</v>
      </c>
      <c r="F2060">
        <v>15.56</v>
      </c>
      <c r="G2060">
        <v>0</v>
      </c>
      <c r="H2060">
        <v>0</v>
      </c>
      <c r="I2060" s="3">
        <v>0</v>
      </c>
      <c r="J2060" s="3">
        <v>0</v>
      </c>
      <c r="K2060" s="3">
        <v>0</v>
      </c>
      <c r="L2060" s="3" t="str">
        <f>IF(K2060&lt;-5,"CRÍTICO",IF(K2060&lt;0,"ATENÇÃO",IF(K2060&lt;=5,"BOM","EXCELENTE")))</f>
        <v>BOM</v>
      </c>
      <c r="M2060">
        <v>36</v>
      </c>
      <c r="N2060">
        <v>99.16</v>
      </c>
      <c r="O2060">
        <v>26.13908872901678</v>
      </c>
    </row>
    <row r="2061" spans="1:15" hidden="1" x14ac:dyDescent="0.25">
      <c r="A2061" s="11">
        <v>46065</v>
      </c>
      <c r="B2061" t="s">
        <v>61</v>
      </c>
      <c r="C2061" t="s">
        <v>23</v>
      </c>
      <c r="D2061">
        <v>15</v>
      </c>
      <c r="E2061">
        <v>15</v>
      </c>
      <c r="F2061">
        <v>30.17</v>
      </c>
      <c r="G2061">
        <v>0</v>
      </c>
      <c r="H2061">
        <v>0</v>
      </c>
      <c r="I2061" s="3">
        <f>E2061+G2061+H2061</f>
        <v>15</v>
      </c>
      <c r="J2061" s="3">
        <f>ROUND(MIN(IF(C2061="Técnico III",35,IF(C2061="Técnico II",28,IF(C2061="Técnico I",23,IF(C2061="JR",20,IF(C2061="Estágio",10,0))))),IF(C2061="Técnico III",SUMIFS($D:$D,$A:$A,$A2061,$B:$B,"&lt;&gt;Patrícia Karla de Sousa Araújo",$B:$B,"&lt;&gt;Lorena Dias de Araujo",$B:$B,"&lt;&gt;Lucas Luiz Romero")*(35/1083),IF(C2061="Técnico II",SUMIFS($D:$D,$A:$A,$A2061,$B:$B,"&lt;&gt;Patrícia Karla de Sousa Araújo",$B:$B,"&lt;&gt;Lorena Dias de Araujo",$B:$B,"&lt;&gt;Lucas Luiz Romero")*(28/1083),IF(C2061="Técnico I",SUMIFS($D:$D,$A:$A,$A2061,$B:$B,"&lt;&gt;Patrícia Karla de Sousa Araújo",$B:$B,"&lt;&gt;Lorena Dias de Araujo",$B:$B,"&lt;&gt;Lucas Luiz Romero")*(23/1083),IF(C2061="JR",SUMIFS($D:$D,$A:$A,$A2061,$B:$B,"&lt;&gt;Patrícia Karla de Sousa Araújo",$B:$B,"&lt;&gt;Lorena Dias de Araujo",$B:$B,"&lt;&gt;Lucas Luiz Romero")*(20/1083),IF(C2061="Estágio",SUMIFS($D:$D,$A:$A,$A2061,$B:$B,"&lt;&gt;Patrícia Karla de Sousa Araújo",$B:$B,"&lt;&gt;Lorena Dias de Araujo",$B:$B,"&lt;&gt;Lucas Luiz Romero")*(10/1083),0)))))),0)</f>
        <v>17</v>
      </c>
      <c r="K2061" s="3">
        <f>I2061-J2061</f>
        <v>-2</v>
      </c>
      <c r="L2061" s="3" t="str">
        <f>IF(K2061&lt;-5,"CRÍTICO",IF(K2061&lt;0,"ATENÇÃO",IF(K2061&lt;=5,"BOM","EXCELENTE")))</f>
        <v>ATENÇÃO</v>
      </c>
      <c r="M2061">
        <v>13</v>
      </c>
      <c r="N2061">
        <v>100</v>
      </c>
      <c r="O2061">
        <v>31.089743589743591</v>
      </c>
    </row>
    <row r="2062" spans="1:15" hidden="1" x14ac:dyDescent="0.25">
      <c r="A2062" s="11">
        <v>46065</v>
      </c>
      <c r="B2062" t="s">
        <v>35</v>
      </c>
      <c r="C2062" t="s">
        <v>32</v>
      </c>
      <c r="D2062">
        <v>26</v>
      </c>
      <c r="E2062">
        <v>26</v>
      </c>
      <c r="F2062">
        <v>27.22</v>
      </c>
      <c r="G2062">
        <v>0</v>
      </c>
      <c r="H2062">
        <v>0</v>
      </c>
      <c r="I2062" s="3">
        <v>0</v>
      </c>
      <c r="J2062" s="3">
        <v>0</v>
      </c>
      <c r="K2062" s="3">
        <v>0</v>
      </c>
      <c r="L2062" s="3" t="str">
        <f>IF(K2062&lt;-5,"CRÍTICO",IF(K2062&lt;0,"ATENÇÃO",IF(K2062&lt;=5,"BOM","EXCELENTE")))</f>
        <v>BOM</v>
      </c>
      <c r="M2062">
        <v>25</v>
      </c>
      <c r="N2062">
        <v>98.11</v>
      </c>
      <c r="O2062">
        <v>33.033707865168537</v>
      </c>
    </row>
    <row r="2063" spans="1:15" hidden="1" x14ac:dyDescent="0.25">
      <c r="A2063" s="11">
        <v>46065</v>
      </c>
      <c r="B2063" t="s">
        <v>18</v>
      </c>
      <c r="C2063" t="s">
        <v>16</v>
      </c>
      <c r="D2063">
        <v>20</v>
      </c>
      <c r="E2063">
        <v>13</v>
      </c>
      <c r="F2063">
        <v>15.49</v>
      </c>
      <c r="G2063">
        <v>0</v>
      </c>
      <c r="H2063">
        <v>0</v>
      </c>
      <c r="I2063" s="3">
        <f>E2063+G2063+H2063</f>
        <v>13</v>
      </c>
      <c r="J2063" s="3">
        <f>ROUND(MIN(IF(C2063="Técnico III",35,IF(C2063="Técnico II",28,IF(C2063="Técnico I",23,IF(C2063="JR",20,IF(C2063="Estágio",10,0))))),IF(C2063="Técnico III",SUMIFS($D:$D,$A:$A,$A2063,$B:$B,"&lt;&gt;Patrícia Karla de Sousa Araújo",$B:$B,"&lt;&gt;Lorena Dias de Araujo",$B:$B,"&lt;&gt;Lucas Luiz Romero")*(35/1083),IF(C2063="Técnico II",SUMIFS($D:$D,$A:$A,$A2063,$B:$B,"&lt;&gt;Patrícia Karla de Sousa Araújo",$B:$B,"&lt;&gt;Lorena Dias de Araujo",$B:$B,"&lt;&gt;Lucas Luiz Romero")*(28/1083),IF(C2063="Técnico I",SUMIFS($D:$D,$A:$A,$A2063,$B:$B,"&lt;&gt;Patrícia Karla de Sousa Araújo",$B:$B,"&lt;&gt;Lorena Dias de Araujo",$B:$B,"&lt;&gt;Lucas Luiz Romero")*(23/1083),IF(C2063="JR",SUMIFS($D:$D,$A:$A,$A2063,$B:$B,"&lt;&gt;Patrícia Karla de Sousa Araújo",$B:$B,"&lt;&gt;Lorena Dias de Araujo",$B:$B,"&lt;&gt;Lucas Luiz Romero")*(20/1083),IF(C2063="Estágio",SUMIFS($D:$D,$A:$A,$A2063,$B:$B,"&lt;&gt;Patrícia Karla de Sousa Araújo",$B:$B,"&lt;&gt;Lorena Dias de Araujo",$B:$B,"&lt;&gt;Lucas Luiz Romero")*(10/1083),0)))))),0)</f>
        <v>8</v>
      </c>
      <c r="K2063" s="3">
        <f>I2063-J2063</f>
        <v>5</v>
      </c>
      <c r="L2063" s="3" t="str">
        <f>IF(K2063&lt;-5,"CRÍTICO",IF(K2063&lt;0,"ATENÇÃO",IF(K2063&lt;=5,"BOM","EXCELENTE")))</f>
        <v>BOM</v>
      </c>
      <c r="M2063">
        <v>2</v>
      </c>
      <c r="N2063">
        <v>78.95</v>
      </c>
      <c r="O2063">
        <v>38.983050847457633</v>
      </c>
    </row>
    <row r="2064" spans="1:15" hidden="1" x14ac:dyDescent="0.25">
      <c r="A2064" s="11">
        <v>46065</v>
      </c>
      <c r="B2064" t="s">
        <v>52</v>
      </c>
      <c r="C2064" t="s">
        <v>48</v>
      </c>
      <c r="D2064">
        <v>22</v>
      </c>
      <c r="E2064">
        <v>20</v>
      </c>
      <c r="F2064">
        <v>27.35</v>
      </c>
      <c r="G2064">
        <v>0</v>
      </c>
      <c r="H2064">
        <v>0</v>
      </c>
      <c r="I2064" s="3">
        <f>E2064+G2064+H2064</f>
        <v>20</v>
      </c>
      <c r="J2064" s="3">
        <f>ROUND(MIN(IF(C2064="Técnico III",35,IF(C2064="Técnico II",28,IF(C2064="Técnico I",23,IF(C2064="JR",20,IF(C2064="Estágio",10,0))))),IF(C2064="Técnico III",SUMIFS($D:$D,$A:$A,$A2064,$B:$B,"&lt;&gt;Patrícia Karla de Sousa Araújo",$B:$B,"&lt;&gt;Lorena Dias de Araujo",$B:$B,"&lt;&gt;Lucas Luiz Romero")*(35/1083),IF(C2064="Técnico II",SUMIFS($D:$D,$A:$A,$A2064,$B:$B,"&lt;&gt;Patrícia Karla de Sousa Araújo",$B:$B,"&lt;&gt;Lorena Dias de Araujo",$B:$B,"&lt;&gt;Lucas Luiz Romero")*(28/1083),IF(C2064="Técnico I",SUMIFS($D:$D,$A:$A,$A2064,$B:$B,"&lt;&gt;Patrícia Karla de Sousa Araújo",$B:$B,"&lt;&gt;Lorena Dias de Araujo",$B:$B,"&lt;&gt;Lucas Luiz Romero")*(23/1083),IF(C2064="JR",SUMIFS($D:$D,$A:$A,$A2064,$B:$B,"&lt;&gt;Patrícia Karla de Sousa Araújo",$B:$B,"&lt;&gt;Lorena Dias de Araujo",$B:$B,"&lt;&gt;Lucas Luiz Romero")*(20/1083),IF(C2064="Estágio",SUMIFS($D:$D,$A:$A,$A2064,$B:$B,"&lt;&gt;Patrícia Karla de Sousa Araújo",$B:$B,"&lt;&gt;Lorena Dias de Araujo",$B:$B,"&lt;&gt;Lucas Luiz Romero")*(10/1083),0)))))),0)</f>
        <v>21</v>
      </c>
      <c r="K2064" s="3">
        <f>I2064-J2064</f>
        <v>-1</v>
      </c>
      <c r="L2064" s="3" t="str">
        <f>IF(K2064&lt;-5,"CRÍTICO",IF(K2064&lt;0,"ATENÇÃO",IF(K2064&lt;=5,"BOM","EXCELENTE")))</f>
        <v>ATENÇÃO</v>
      </c>
      <c r="M2064">
        <v>17</v>
      </c>
      <c r="N2064">
        <v>98.45</v>
      </c>
      <c r="O2064">
        <v>29.281767955801101</v>
      </c>
    </row>
    <row r="2065" spans="1:15" hidden="1" x14ac:dyDescent="0.25">
      <c r="A2065" s="11">
        <v>46065</v>
      </c>
      <c r="B2065" t="s">
        <v>36</v>
      </c>
      <c r="C2065" t="s">
        <v>32</v>
      </c>
      <c r="D2065">
        <v>29</v>
      </c>
      <c r="E2065">
        <v>29</v>
      </c>
      <c r="F2065">
        <v>20.22</v>
      </c>
      <c r="G2065">
        <v>0</v>
      </c>
      <c r="H2065">
        <v>0</v>
      </c>
      <c r="I2065" s="3">
        <f>E2065+G2065+H2065</f>
        <v>29</v>
      </c>
      <c r="J2065" s="3">
        <f>ROUND(MIN(IF(C2065="Técnico III",35,IF(C2065="Técnico II",28,IF(C2065="Técnico I",23,IF(C2065="JR",20,IF(C2065="Estágio",10,0))))),IF(C2065="Técnico III",SUMIFS($D:$D,$A:$A,$A2065,$B:$B,"&lt;&gt;Patrícia Karla de Sousa Araújo",$B:$B,"&lt;&gt;Lorena Dias de Araujo",$B:$B,"&lt;&gt;Lucas Luiz Romero")*(35/1083),IF(C2065="Técnico II",SUMIFS($D:$D,$A:$A,$A2065,$B:$B,"&lt;&gt;Patrícia Karla de Sousa Araújo",$B:$B,"&lt;&gt;Lorena Dias de Araujo",$B:$B,"&lt;&gt;Lucas Luiz Romero")*(28/1083),IF(C2065="Técnico I",SUMIFS($D:$D,$A:$A,$A2065,$B:$B,"&lt;&gt;Patrícia Karla de Sousa Araújo",$B:$B,"&lt;&gt;Lorena Dias de Araujo",$B:$B,"&lt;&gt;Lucas Luiz Romero")*(23/1083),IF(C2065="JR",SUMIFS($D:$D,$A:$A,$A2065,$B:$B,"&lt;&gt;Patrícia Karla de Sousa Araújo",$B:$B,"&lt;&gt;Lorena Dias de Araujo",$B:$B,"&lt;&gt;Lucas Luiz Romero")*(20/1083),IF(C2065="Estágio",SUMIFS($D:$D,$A:$A,$A2065,$B:$B,"&lt;&gt;Patrícia Karla de Sousa Araújo",$B:$B,"&lt;&gt;Lorena Dias de Araujo",$B:$B,"&lt;&gt;Lucas Luiz Romero")*(10/1083),0)))))),0)</f>
        <v>27</v>
      </c>
      <c r="K2065" s="3">
        <f>I2065-J2065</f>
        <v>2</v>
      </c>
      <c r="L2065" s="3" t="str">
        <f>IF(K2065&lt;-5,"CRÍTICO",IF(K2065&lt;0,"ATENÇÃO",IF(K2065&lt;=5,"BOM","EXCELENTE")))</f>
        <v>BOM</v>
      </c>
      <c r="M2065">
        <v>29</v>
      </c>
      <c r="N2065">
        <v>97.84</v>
      </c>
      <c r="O2065">
        <v>26.282051282051281</v>
      </c>
    </row>
    <row r="2066" spans="1:15" hidden="1" x14ac:dyDescent="0.25">
      <c r="A2066" s="11">
        <v>46065</v>
      </c>
      <c r="B2066" t="s">
        <v>53</v>
      </c>
      <c r="C2066" t="s">
        <v>48</v>
      </c>
      <c r="D2066">
        <v>29</v>
      </c>
      <c r="E2066">
        <v>29</v>
      </c>
      <c r="F2066">
        <v>22.35</v>
      </c>
      <c r="G2066">
        <v>0</v>
      </c>
      <c r="H2066">
        <v>0</v>
      </c>
      <c r="I2066" s="3">
        <f>E2066+G2066+H2066</f>
        <v>29</v>
      </c>
      <c r="J2066" s="3">
        <f>ROUND(MIN(IF(C2066="Técnico III",35,IF(C2066="Técnico II",28,IF(C2066="Técnico I",23,IF(C2066="JR",20,IF(C2066="Estágio",10,0))))),IF(C2066="Técnico III",SUMIFS($D:$D,$A:$A,$A2066,$B:$B,"&lt;&gt;Patrícia Karla de Sousa Araújo",$B:$B,"&lt;&gt;Lorena Dias de Araujo",$B:$B,"&lt;&gt;Lucas Luiz Romero")*(35/1083),IF(C2066="Técnico II",SUMIFS($D:$D,$A:$A,$A2066,$B:$B,"&lt;&gt;Patrícia Karla de Sousa Araújo",$B:$B,"&lt;&gt;Lorena Dias de Araujo",$B:$B,"&lt;&gt;Lucas Luiz Romero")*(28/1083),IF(C2066="Técnico I",SUMIFS($D:$D,$A:$A,$A2066,$B:$B,"&lt;&gt;Patrícia Karla de Sousa Araújo",$B:$B,"&lt;&gt;Lorena Dias de Araujo",$B:$B,"&lt;&gt;Lucas Luiz Romero")*(23/1083),IF(C2066="JR",SUMIFS($D:$D,$A:$A,$A2066,$B:$B,"&lt;&gt;Patrícia Karla de Sousa Araújo",$B:$B,"&lt;&gt;Lorena Dias de Araujo",$B:$B,"&lt;&gt;Lucas Luiz Romero")*(20/1083),IF(C2066="Estágio",SUMIFS($D:$D,$A:$A,$A2066,$B:$B,"&lt;&gt;Patrícia Karla de Sousa Araújo",$B:$B,"&lt;&gt;Lorena Dias de Araujo",$B:$B,"&lt;&gt;Lucas Luiz Romero")*(10/1083),0)))))),0)</f>
        <v>21</v>
      </c>
      <c r="K2066" s="3">
        <f>I2066-J2066</f>
        <v>8</v>
      </c>
      <c r="L2066" s="3" t="str">
        <f>IF(K2066&lt;-5,"CRÍTICO",IF(K2066&lt;0,"ATENÇÃO",IF(K2066&lt;=5,"BOM","EXCELENTE")))</f>
        <v>EXCELENTE</v>
      </c>
      <c r="M2066">
        <v>29</v>
      </c>
      <c r="N2066">
        <v>98.5</v>
      </c>
      <c r="O2066">
        <v>23.97769516728625</v>
      </c>
    </row>
    <row r="2067" spans="1:15" hidden="1" x14ac:dyDescent="0.25">
      <c r="A2067" s="11">
        <v>46099</v>
      </c>
      <c r="B2067" t="s">
        <v>22</v>
      </c>
      <c r="C2067" t="s">
        <v>23</v>
      </c>
      <c r="D2067">
        <v>25</v>
      </c>
      <c r="E2067">
        <v>25</v>
      </c>
      <c r="F2067">
        <v>19.190000000000001</v>
      </c>
      <c r="G2067">
        <v>0</v>
      </c>
      <c r="H2067">
        <v>0</v>
      </c>
      <c r="I2067" s="3">
        <f>E2067+G2067+H2067</f>
        <v>25</v>
      </c>
      <c r="J2067" s="3">
        <f>ROUND(MIN(IF(C2067="Técnico III",35,IF(C2067="Técnico II",28,IF(C2067="Técnico I",23,IF(C2067="JR",20,IF(C2067="Estágio",10,0))))),IF(C2067="Técnico III",SUMIFS($D:$D,$A:$A,$A2067,$B:$B,"&lt;&gt;Patrícia Karla de Sousa Araújo",$B:$B,"&lt;&gt;Lorena Dias de Araujo",$B:$B,"&lt;&gt;Lucas Luiz Romero")*(35/1083),IF(C2067="Técnico II",SUMIFS($D:$D,$A:$A,$A2067,$B:$B,"&lt;&gt;Patrícia Karla de Sousa Araújo",$B:$B,"&lt;&gt;Lorena Dias de Araujo",$B:$B,"&lt;&gt;Lucas Luiz Romero")*(28/1083),IF(C2067="Técnico I",SUMIFS($D:$D,$A:$A,$A2067,$B:$B,"&lt;&gt;Patrícia Karla de Sousa Araújo",$B:$B,"&lt;&gt;Lorena Dias de Araujo",$B:$B,"&lt;&gt;Lucas Luiz Romero")*(23/1083),IF(C2067="JR",SUMIFS($D:$D,$A:$A,$A2067,$B:$B,"&lt;&gt;Patrícia Karla de Sousa Araújo",$B:$B,"&lt;&gt;Lorena Dias de Araujo",$B:$B,"&lt;&gt;Lucas Luiz Romero")*(20/1083),IF(C2067="Estágio",SUMIFS($D:$D,$A:$A,$A2067,$B:$B,"&lt;&gt;Patrícia Karla de Sousa Araújo",$B:$B,"&lt;&gt;Lorena Dias de Araujo",$B:$B,"&lt;&gt;Lucas Luiz Romero")*(10/1083),0)))))),0)</f>
        <v>14</v>
      </c>
      <c r="K2067" s="3">
        <f>I2067-J2067</f>
        <v>11</v>
      </c>
      <c r="L2067" s="3" t="str">
        <f>IF(K2067&lt;-5,"CRÍTICO",IF(K2067&lt;0,"ATENÇÃO",IF(K2067&lt;=5,"BOM","EXCELENTE")))</f>
        <v>EXCELENTE</v>
      </c>
      <c r="M2067">
        <v>24</v>
      </c>
      <c r="N2067">
        <v>99.05</v>
      </c>
      <c r="O2067">
        <v>26.621923937360179</v>
      </c>
    </row>
    <row r="2068" spans="1:15" hidden="1" x14ac:dyDescent="0.25">
      <c r="A2068" s="11">
        <v>46065</v>
      </c>
      <c r="B2068" t="s">
        <v>54</v>
      </c>
      <c r="C2068" t="s">
        <v>48</v>
      </c>
      <c r="D2068">
        <v>35</v>
      </c>
      <c r="E2068">
        <v>33</v>
      </c>
      <c r="F2068">
        <v>20.43</v>
      </c>
      <c r="G2068">
        <v>0</v>
      </c>
      <c r="H2068">
        <v>0</v>
      </c>
      <c r="I2068" s="3">
        <f>E2068+G2068+H2068</f>
        <v>33</v>
      </c>
      <c r="J2068" s="3">
        <f>ROUND(MIN(IF(C2068="Técnico III",35,IF(C2068="Técnico II",28,IF(C2068="Técnico I",23,IF(C2068="JR",20,IF(C2068="Estágio",10,0))))),IF(C2068="Técnico III",SUMIFS($D:$D,$A:$A,$A2068,$B:$B,"&lt;&gt;Patrícia Karla de Sousa Araújo",$B:$B,"&lt;&gt;Lorena Dias de Araujo",$B:$B,"&lt;&gt;Lucas Luiz Romero")*(35/1083),IF(C2068="Técnico II",SUMIFS($D:$D,$A:$A,$A2068,$B:$B,"&lt;&gt;Patrícia Karla de Sousa Araújo",$B:$B,"&lt;&gt;Lorena Dias de Araujo",$B:$B,"&lt;&gt;Lucas Luiz Romero")*(28/1083),IF(C2068="Técnico I",SUMIFS($D:$D,$A:$A,$A2068,$B:$B,"&lt;&gt;Patrícia Karla de Sousa Araújo",$B:$B,"&lt;&gt;Lorena Dias de Araujo",$B:$B,"&lt;&gt;Lucas Luiz Romero")*(23/1083),IF(C2068="JR",SUMIFS($D:$D,$A:$A,$A2068,$B:$B,"&lt;&gt;Patrícia Karla de Sousa Araújo",$B:$B,"&lt;&gt;Lorena Dias de Araujo",$B:$B,"&lt;&gt;Lucas Luiz Romero")*(20/1083),IF(C2068="Estágio",SUMIFS($D:$D,$A:$A,$A2068,$B:$B,"&lt;&gt;Patrícia Karla de Sousa Araújo",$B:$B,"&lt;&gt;Lorena Dias de Araujo",$B:$B,"&lt;&gt;Lucas Luiz Romero")*(10/1083),0)))))),0)</f>
        <v>21</v>
      </c>
      <c r="K2068" s="3">
        <f>I2068-J2068</f>
        <v>12</v>
      </c>
      <c r="L2068" s="3" t="str">
        <f>IF(K2068&lt;-5,"CRÍTICO",IF(K2068&lt;0,"ATENÇÃO",IF(K2068&lt;=5,"BOM","EXCELENTE")))</f>
        <v>EXCELENTE</v>
      </c>
      <c r="M2068">
        <v>29</v>
      </c>
      <c r="N2068">
        <v>98.53</v>
      </c>
      <c r="O2068">
        <v>31.578947368421051</v>
      </c>
    </row>
    <row r="2069" spans="1:15" hidden="1" x14ac:dyDescent="0.25">
      <c r="A2069" s="11">
        <v>46065</v>
      </c>
      <c r="B2069" t="s">
        <v>37</v>
      </c>
      <c r="C2069" t="s">
        <v>32</v>
      </c>
      <c r="D2069">
        <v>44</v>
      </c>
      <c r="E2069">
        <v>37</v>
      </c>
      <c r="F2069">
        <v>15.28</v>
      </c>
      <c r="G2069">
        <v>0</v>
      </c>
      <c r="H2069">
        <v>0</v>
      </c>
      <c r="I2069" s="3">
        <f>E2069+G2069+H2069</f>
        <v>37</v>
      </c>
      <c r="J2069" s="3">
        <f>ROUND(MIN(IF(C2069="Técnico III",35,IF(C2069="Técnico II",28,IF(C2069="Técnico I",23,IF(C2069="JR",20,IF(C2069="Estágio",10,0))))),IF(C2069="Técnico III",SUMIFS($D:$D,$A:$A,$A2069,$B:$B,"&lt;&gt;Patrícia Karla de Sousa Araújo",$B:$B,"&lt;&gt;Lorena Dias de Araujo",$B:$B,"&lt;&gt;Lucas Luiz Romero")*(35/1083),IF(C2069="Técnico II",SUMIFS($D:$D,$A:$A,$A2069,$B:$B,"&lt;&gt;Patrícia Karla de Sousa Araújo",$B:$B,"&lt;&gt;Lorena Dias de Araujo",$B:$B,"&lt;&gt;Lucas Luiz Romero")*(28/1083),IF(C2069="Técnico I",SUMIFS($D:$D,$A:$A,$A2069,$B:$B,"&lt;&gt;Patrícia Karla de Sousa Araújo",$B:$B,"&lt;&gt;Lorena Dias de Araujo",$B:$B,"&lt;&gt;Lucas Luiz Romero")*(23/1083),IF(C2069="JR",SUMIFS($D:$D,$A:$A,$A2069,$B:$B,"&lt;&gt;Patrícia Karla de Sousa Araújo",$B:$B,"&lt;&gt;Lorena Dias de Araujo",$B:$B,"&lt;&gt;Lucas Luiz Romero")*(20/1083),IF(C2069="Estágio",SUMIFS($D:$D,$A:$A,$A2069,$B:$B,"&lt;&gt;Patrícia Karla de Sousa Araújo",$B:$B,"&lt;&gt;Lorena Dias de Araujo",$B:$B,"&lt;&gt;Lucas Luiz Romero")*(10/1083),0)))))),0)</f>
        <v>27</v>
      </c>
      <c r="K2069" s="3">
        <f>I2069-J2069</f>
        <v>10</v>
      </c>
      <c r="L2069" s="3" t="str">
        <f>IF(K2069&lt;-5,"CRÍTICO",IF(K2069&lt;0,"ATENÇÃO",IF(K2069&lt;=5,"BOM","EXCELENTE")))</f>
        <v>EXCELENTE</v>
      </c>
      <c r="M2069">
        <v>37</v>
      </c>
      <c r="N2069">
        <v>100</v>
      </c>
      <c r="O2069">
        <v>25.72214580467676</v>
      </c>
    </row>
    <row r="2070" spans="1:15" hidden="1" x14ac:dyDescent="0.25">
      <c r="A2070" s="11">
        <v>46065</v>
      </c>
      <c r="B2070" t="s">
        <v>38</v>
      </c>
      <c r="C2070" t="s">
        <v>32</v>
      </c>
      <c r="D2070">
        <v>21</v>
      </c>
      <c r="E2070">
        <v>20</v>
      </c>
      <c r="F2070">
        <v>13.29</v>
      </c>
      <c r="G2070">
        <v>0</v>
      </c>
      <c r="H2070">
        <v>0</v>
      </c>
      <c r="I2070" s="3">
        <f>E2070+G2070+H2070</f>
        <v>20</v>
      </c>
      <c r="J2070" s="3">
        <f>ROUND(MIN(IF(C2070="Técnico III",35,IF(C2070="Técnico II",28,IF(C2070="Técnico I",23,IF(C2070="JR",20,IF(C2070="Estágio",10,0))))),IF(C2070="Técnico III",SUMIFS($D:$D,$A:$A,$A2070,$B:$B,"&lt;&gt;Patrícia Karla de Sousa Araújo",$B:$B,"&lt;&gt;Lorena Dias de Araujo",$B:$B,"&lt;&gt;Lucas Luiz Romero")*(35/1083),IF(C2070="Técnico II",SUMIFS($D:$D,$A:$A,$A2070,$B:$B,"&lt;&gt;Patrícia Karla de Sousa Araújo",$B:$B,"&lt;&gt;Lorena Dias de Araujo",$B:$B,"&lt;&gt;Lucas Luiz Romero")*(28/1083),IF(C2070="Técnico I",SUMIFS($D:$D,$A:$A,$A2070,$B:$B,"&lt;&gt;Patrícia Karla de Sousa Araújo",$B:$B,"&lt;&gt;Lorena Dias de Araujo",$B:$B,"&lt;&gt;Lucas Luiz Romero")*(23/1083),IF(C2070="JR",SUMIFS($D:$D,$A:$A,$A2070,$B:$B,"&lt;&gt;Patrícia Karla de Sousa Araújo",$B:$B,"&lt;&gt;Lorena Dias de Araujo",$B:$B,"&lt;&gt;Lucas Luiz Romero")*(20/1083),IF(C2070="Estágio",SUMIFS($D:$D,$A:$A,$A2070,$B:$B,"&lt;&gt;Patrícia Karla de Sousa Araújo",$B:$B,"&lt;&gt;Lorena Dias de Araujo",$B:$B,"&lt;&gt;Lucas Luiz Romero")*(10/1083),0)))))),0)</f>
        <v>27</v>
      </c>
      <c r="K2070" s="3">
        <f>I2070-J2070</f>
        <v>-7</v>
      </c>
      <c r="L2070" s="3" t="str">
        <f>IF(K2070&lt;-5,"CRÍTICO",IF(K2070&lt;0,"ATENÇÃO",IF(K2070&lt;=5,"BOM","EXCELENTE")))</f>
        <v>CRÍTICO</v>
      </c>
      <c r="M2070">
        <v>17</v>
      </c>
      <c r="N2070">
        <v>94.64</v>
      </c>
      <c r="O2070">
        <v>27.52941176470588</v>
      </c>
    </row>
    <row r="2071" spans="1:15" hidden="1" x14ac:dyDescent="0.25">
      <c r="A2071" s="11">
        <v>46065</v>
      </c>
      <c r="B2071" t="s">
        <v>55</v>
      </c>
      <c r="C2071" t="s">
        <v>48</v>
      </c>
      <c r="D2071">
        <v>19</v>
      </c>
      <c r="E2071">
        <v>17</v>
      </c>
      <c r="F2071">
        <v>30.31</v>
      </c>
      <c r="G2071">
        <v>0</v>
      </c>
      <c r="H2071">
        <v>0</v>
      </c>
      <c r="I2071" s="3">
        <f>E2071+G2071+H2071</f>
        <v>17</v>
      </c>
      <c r="J2071" s="3">
        <f>ROUND(MIN(IF(C2071="Técnico III",35,IF(C2071="Técnico II",28,IF(C2071="Técnico I",23,IF(C2071="JR",20,IF(C2071="Estágio",10,0))))),IF(C2071="Técnico III",SUMIFS($D:$D,$A:$A,$A2071,$B:$B,"&lt;&gt;Patrícia Karla de Sousa Araújo",$B:$B,"&lt;&gt;Lorena Dias de Araujo",$B:$B,"&lt;&gt;Lucas Luiz Romero")*(35/1083),IF(C2071="Técnico II",SUMIFS($D:$D,$A:$A,$A2071,$B:$B,"&lt;&gt;Patrícia Karla de Sousa Araújo",$B:$B,"&lt;&gt;Lorena Dias de Araujo",$B:$B,"&lt;&gt;Lucas Luiz Romero")*(28/1083),IF(C2071="Técnico I",SUMIFS($D:$D,$A:$A,$A2071,$B:$B,"&lt;&gt;Patrícia Karla de Sousa Araújo",$B:$B,"&lt;&gt;Lorena Dias de Araujo",$B:$B,"&lt;&gt;Lucas Luiz Romero")*(23/1083),IF(C2071="JR",SUMIFS($D:$D,$A:$A,$A2071,$B:$B,"&lt;&gt;Patrícia Karla de Sousa Araújo",$B:$B,"&lt;&gt;Lorena Dias de Araujo",$B:$B,"&lt;&gt;Lucas Luiz Romero")*(20/1083),IF(C2071="Estágio",SUMIFS($D:$D,$A:$A,$A2071,$B:$B,"&lt;&gt;Patrícia Karla de Sousa Araújo",$B:$B,"&lt;&gt;Lorena Dias de Araujo",$B:$B,"&lt;&gt;Lucas Luiz Romero")*(10/1083),0)))))),0)</f>
        <v>21</v>
      </c>
      <c r="K2071" s="3">
        <f>I2071-J2071</f>
        <v>-4</v>
      </c>
      <c r="L2071" s="3" t="str">
        <f>IF(K2071&lt;-5,"CRÍTICO",IF(K2071&lt;0,"ATENÇÃO",IF(K2071&lt;=5,"BOM","EXCELENTE")))</f>
        <v>ATENÇÃO</v>
      </c>
      <c r="M2071">
        <v>16</v>
      </c>
      <c r="N2071">
        <v>99.07</v>
      </c>
      <c r="O2071">
        <v>26.376811594202898</v>
      </c>
    </row>
    <row r="2072" spans="1:15" hidden="1" x14ac:dyDescent="0.25">
      <c r="A2072" s="11">
        <v>46065</v>
      </c>
      <c r="B2072" t="s">
        <v>39</v>
      </c>
      <c r="C2072" t="s">
        <v>32</v>
      </c>
      <c r="D2072">
        <v>0</v>
      </c>
      <c r="E2072">
        <v>0</v>
      </c>
      <c r="F2072">
        <v>0</v>
      </c>
      <c r="G2072">
        <v>0</v>
      </c>
      <c r="H2072">
        <v>0</v>
      </c>
      <c r="I2072" s="3">
        <v>0</v>
      </c>
      <c r="J2072" s="3">
        <v>0</v>
      </c>
      <c r="K2072" s="3">
        <v>0</v>
      </c>
      <c r="L2072" s="3" t="str">
        <f>IF(K2072&lt;-5,"CRÍTICO",IF(K2072&lt;0,"ATENÇÃO",IF(K2072&lt;=5,"BOM","EXCELENTE")))</f>
        <v>BOM</v>
      </c>
      <c r="M2072">
        <v>0</v>
      </c>
      <c r="N2072">
        <v>100</v>
      </c>
      <c r="O2072">
        <v>0</v>
      </c>
    </row>
    <row r="2073" spans="1:15" hidden="1" x14ac:dyDescent="0.25">
      <c r="A2073" s="11">
        <v>46065</v>
      </c>
      <c r="B2073" t="s">
        <v>25</v>
      </c>
      <c r="C2073" t="s">
        <v>26</v>
      </c>
      <c r="D2073">
        <v>8</v>
      </c>
      <c r="E2073">
        <v>7</v>
      </c>
      <c r="F2073">
        <v>32.06</v>
      </c>
      <c r="G2073">
        <v>0</v>
      </c>
      <c r="H2073">
        <v>0</v>
      </c>
      <c r="I2073" s="3">
        <f>E2073+G2073+H2073</f>
        <v>7</v>
      </c>
      <c r="J2073" s="3">
        <f>ROUND(MIN(IF(C2073="Técnico III",35,IF(C2073="Técnico II",28,IF(C2073="Técnico I",23,IF(C2073="JR",20,IF(C2073="Estágio",10,0))))),IF(C2073="Técnico III",SUMIFS($D:$D,$A:$A,$A2073,$B:$B,"&lt;&gt;Patrícia Karla de Sousa Araújo",$B:$B,"&lt;&gt;Lorena Dias de Araujo",$B:$B,"&lt;&gt;Lucas Luiz Romero")*(35/1083),IF(C2073="Técnico II",SUMIFS($D:$D,$A:$A,$A2073,$B:$B,"&lt;&gt;Patrícia Karla de Sousa Araújo",$B:$B,"&lt;&gt;Lorena Dias de Araujo",$B:$B,"&lt;&gt;Lucas Luiz Romero")*(28/1083),IF(C2073="Técnico I",SUMIFS($D:$D,$A:$A,$A2073,$B:$B,"&lt;&gt;Patrícia Karla de Sousa Araújo",$B:$B,"&lt;&gt;Lorena Dias de Araujo",$B:$B,"&lt;&gt;Lucas Luiz Romero")*(23/1083),IF(C2073="JR",SUMIFS($D:$D,$A:$A,$A2073,$B:$B,"&lt;&gt;Patrícia Karla de Sousa Araújo",$B:$B,"&lt;&gt;Lorena Dias de Araujo",$B:$B,"&lt;&gt;Lucas Luiz Romero")*(20/1083),IF(C2073="Estágio",SUMIFS($D:$D,$A:$A,$A2073,$B:$B,"&lt;&gt;Patrícia Karla de Sousa Araújo",$B:$B,"&lt;&gt;Lorena Dias de Araujo",$B:$B,"&lt;&gt;Lucas Luiz Romero")*(10/1083),0)))))),0)</f>
        <v>15</v>
      </c>
      <c r="K2073" s="3">
        <f>I2073-J2073</f>
        <v>-8</v>
      </c>
      <c r="L2073" s="3" t="str">
        <f>IF(K2073&lt;-5,"CRÍTICO",IF(K2073&lt;0,"ATENÇÃO",IF(K2073&lt;=5,"BOM","EXCELENTE")))</f>
        <v>CRÍTICO</v>
      </c>
      <c r="M2073">
        <v>7</v>
      </c>
      <c r="N2073">
        <v>98.48</v>
      </c>
      <c r="O2073">
        <v>27.853881278538811</v>
      </c>
    </row>
    <row r="2074" spans="1:15" hidden="1" x14ac:dyDescent="0.25">
      <c r="A2074" s="11">
        <v>46065</v>
      </c>
      <c r="B2074" t="s">
        <v>40</v>
      </c>
      <c r="C2074" t="s">
        <v>32</v>
      </c>
      <c r="D2074">
        <v>11</v>
      </c>
      <c r="E2074">
        <v>9</v>
      </c>
      <c r="F2074">
        <v>15.24</v>
      </c>
      <c r="G2074">
        <v>0</v>
      </c>
      <c r="H2074">
        <v>0</v>
      </c>
      <c r="I2074" s="3">
        <f>E2074+G2074+H2074</f>
        <v>9</v>
      </c>
      <c r="J2074" s="3">
        <f>ROUND(MIN(IF(C2074="Técnico III",35,IF(C2074="Técnico II",28,IF(C2074="Técnico I",23,IF(C2074="JR",20,IF(C2074="Estágio",10,0))))),IF(C2074="Técnico III",SUMIFS($D:$D,$A:$A,$A2074,$B:$B,"&lt;&gt;Patrícia Karla de Sousa Araújo",$B:$B,"&lt;&gt;Lorena Dias de Araujo",$B:$B,"&lt;&gt;Lucas Luiz Romero")*(35/1083),IF(C2074="Técnico II",SUMIFS($D:$D,$A:$A,$A2074,$B:$B,"&lt;&gt;Patrícia Karla de Sousa Araújo",$B:$B,"&lt;&gt;Lorena Dias de Araujo",$B:$B,"&lt;&gt;Lucas Luiz Romero")*(28/1083),IF(C2074="Técnico I",SUMIFS($D:$D,$A:$A,$A2074,$B:$B,"&lt;&gt;Patrícia Karla de Sousa Araújo",$B:$B,"&lt;&gt;Lorena Dias de Araujo",$B:$B,"&lt;&gt;Lucas Luiz Romero")*(23/1083),IF(C2074="JR",SUMIFS($D:$D,$A:$A,$A2074,$B:$B,"&lt;&gt;Patrícia Karla de Sousa Araújo",$B:$B,"&lt;&gt;Lorena Dias de Araujo",$B:$B,"&lt;&gt;Lucas Luiz Romero")*(20/1083),IF(C2074="Estágio",SUMIFS($D:$D,$A:$A,$A2074,$B:$B,"&lt;&gt;Patrícia Karla de Sousa Araújo",$B:$B,"&lt;&gt;Lorena Dias de Araujo",$B:$B,"&lt;&gt;Lucas Luiz Romero")*(10/1083),0)))))),0)</f>
        <v>27</v>
      </c>
      <c r="K2074" s="3">
        <f>I2074-J2074</f>
        <v>-18</v>
      </c>
      <c r="L2074" s="3" t="str">
        <f>IF(K2074&lt;-5,"CRÍTICO",IF(K2074&lt;0,"ATENÇÃO",IF(K2074&lt;=5,"BOM","EXCELENTE")))</f>
        <v>CRÍTICO</v>
      </c>
      <c r="M2074">
        <v>21</v>
      </c>
      <c r="N2074">
        <v>95.15</v>
      </c>
      <c r="O2074">
        <v>34.131736526946113</v>
      </c>
    </row>
    <row r="2075" spans="1:15" hidden="1" x14ac:dyDescent="0.25">
      <c r="A2075" s="11">
        <v>46065</v>
      </c>
      <c r="B2075" t="s">
        <v>27</v>
      </c>
      <c r="C2075" t="s">
        <v>26</v>
      </c>
      <c r="D2075">
        <v>0</v>
      </c>
      <c r="E2075">
        <v>0</v>
      </c>
      <c r="F2075">
        <v>0</v>
      </c>
      <c r="G2075">
        <v>0</v>
      </c>
      <c r="H2075">
        <v>0</v>
      </c>
      <c r="I2075" s="3">
        <v>0</v>
      </c>
      <c r="J2075" s="3">
        <v>0</v>
      </c>
      <c r="K2075" s="3">
        <v>0</v>
      </c>
      <c r="L2075" s="3" t="str">
        <f>IF(K2075&lt;-5,"CRÍTICO",IF(K2075&lt;0,"ATENÇÃO",IF(K2075&lt;=5,"BOM","EXCELENTE")))</f>
        <v>BOM</v>
      </c>
      <c r="M2075">
        <v>0</v>
      </c>
      <c r="N2075">
        <v>0</v>
      </c>
      <c r="O2075">
        <v>0</v>
      </c>
    </row>
    <row r="2076" spans="1:15" hidden="1" x14ac:dyDescent="0.25">
      <c r="A2076" s="11">
        <v>46065</v>
      </c>
      <c r="B2076" t="s">
        <v>41</v>
      </c>
      <c r="C2076" t="s">
        <v>32</v>
      </c>
      <c r="D2076">
        <v>29</v>
      </c>
      <c r="E2076">
        <v>29</v>
      </c>
      <c r="F2076">
        <v>19.170000000000002</v>
      </c>
      <c r="G2076">
        <v>0</v>
      </c>
      <c r="H2076">
        <v>0</v>
      </c>
      <c r="I2076" s="3">
        <f>E2076+G2076+H2076</f>
        <v>29</v>
      </c>
      <c r="J2076" s="3">
        <f>ROUND(MIN(IF(C2076="Técnico III",35,IF(C2076="Técnico II",28,IF(C2076="Técnico I",23,IF(C2076="JR",20,IF(C2076="Estágio",10,0))))),IF(C2076="Técnico III",SUMIFS($D:$D,$A:$A,$A2076,$B:$B,"&lt;&gt;Patrícia Karla de Sousa Araújo",$B:$B,"&lt;&gt;Lorena Dias de Araujo",$B:$B,"&lt;&gt;Lucas Luiz Romero")*(35/1083),IF(C2076="Técnico II",SUMIFS($D:$D,$A:$A,$A2076,$B:$B,"&lt;&gt;Patrícia Karla de Sousa Araújo",$B:$B,"&lt;&gt;Lorena Dias de Araujo",$B:$B,"&lt;&gt;Lucas Luiz Romero")*(28/1083),IF(C2076="Técnico I",SUMIFS($D:$D,$A:$A,$A2076,$B:$B,"&lt;&gt;Patrícia Karla de Sousa Araújo",$B:$B,"&lt;&gt;Lorena Dias de Araujo",$B:$B,"&lt;&gt;Lucas Luiz Romero")*(23/1083),IF(C2076="JR",SUMIFS($D:$D,$A:$A,$A2076,$B:$B,"&lt;&gt;Patrícia Karla de Sousa Araújo",$B:$B,"&lt;&gt;Lorena Dias de Araujo",$B:$B,"&lt;&gt;Lucas Luiz Romero")*(20/1083),IF(C2076="Estágio",SUMIFS($D:$D,$A:$A,$A2076,$B:$B,"&lt;&gt;Patrícia Karla de Sousa Araújo",$B:$B,"&lt;&gt;Lorena Dias de Araujo",$B:$B,"&lt;&gt;Lucas Luiz Romero")*(10/1083),0)))))),0)</f>
        <v>27</v>
      </c>
      <c r="K2076" s="3">
        <f>I2076-J2076</f>
        <v>2</v>
      </c>
      <c r="L2076" s="3" t="str">
        <f>IF(K2076&lt;-5,"CRÍTICO",IF(K2076&lt;0,"ATENÇÃO",IF(K2076&lt;=5,"BOM","EXCELENTE")))</f>
        <v>BOM</v>
      </c>
      <c r="M2076">
        <v>26</v>
      </c>
      <c r="N2076">
        <v>99.26</v>
      </c>
      <c r="O2076">
        <v>30.84832904884319</v>
      </c>
    </row>
    <row r="2077" spans="1:15" hidden="1" x14ac:dyDescent="0.25">
      <c r="A2077" s="11">
        <v>46065</v>
      </c>
      <c r="B2077" t="s">
        <v>56</v>
      </c>
      <c r="C2077" t="s">
        <v>48</v>
      </c>
      <c r="D2077">
        <v>41</v>
      </c>
      <c r="E2077">
        <v>36</v>
      </c>
      <c r="F2077">
        <v>18.57</v>
      </c>
      <c r="G2077">
        <v>0</v>
      </c>
      <c r="H2077">
        <v>0</v>
      </c>
      <c r="I2077" s="3">
        <f>E2077+G2077+H2077</f>
        <v>36</v>
      </c>
      <c r="J2077" s="3">
        <f>ROUND(MIN(IF(C2077="Técnico III",35,IF(C2077="Técnico II",28,IF(C2077="Técnico I",23,IF(C2077="JR",20,IF(C2077="Estágio",10,0))))),IF(C2077="Técnico III",SUMIFS($D:$D,$A:$A,$A2077,$B:$B,"&lt;&gt;Patrícia Karla de Sousa Araújo",$B:$B,"&lt;&gt;Lorena Dias de Araujo",$B:$B,"&lt;&gt;Lucas Luiz Romero")*(35/1083),IF(C2077="Técnico II",SUMIFS($D:$D,$A:$A,$A2077,$B:$B,"&lt;&gt;Patrícia Karla de Sousa Araújo",$B:$B,"&lt;&gt;Lorena Dias de Araujo",$B:$B,"&lt;&gt;Lucas Luiz Romero")*(28/1083),IF(C2077="Técnico I",SUMIFS($D:$D,$A:$A,$A2077,$B:$B,"&lt;&gt;Patrícia Karla de Sousa Araújo",$B:$B,"&lt;&gt;Lorena Dias de Araujo",$B:$B,"&lt;&gt;Lucas Luiz Romero")*(23/1083),IF(C2077="JR",SUMIFS($D:$D,$A:$A,$A2077,$B:$B,"&lt;&gt;Patrícia Karla de Sousa Araújo",$B:$B,"&lt;&gt;Lorena Dias de Araujo",$B:$B,"&lt;&gt;Lucas Luiz Romero")*(20/1083),IF(C2077="Estágio",SUMIFS($D:$D,$A:$A,$A2077,$B:$B,"&lt;&gt;Patrícia Karla de Sousa Araújo",$B:$B,"&lt;&gt;Lorena Dias de Araujo",$B:$B,"&lt;&gt;Lucas Luiz Romero")*(10/1083),0)))))),0)</f>
        <v>21</v>
      </c>
      <c r="K2077" s="3">
        <f>I2077-J2077</f>
        <v>15</v>
      </c>
      <c r="L2077" s="3" t="str">
        <f>IF(K2077&lt;-5,"CRÍTICO",IF(K2077&lt;0,"ATENÇÃO",IF(K2077&lt;=5,"BOM","EXCELENTE")))</f>
        <v>EXCELENTE</v>
      </c>
      <c r="M2077">
        <v>23</v>
      </c>
      <c r="N2077">
        <v>97.48</v>
      </c>
      <c r="O2077">
        <v>27.764705882352938</v>
      </c>
    </row>
    <row r="2078" spans="1:15" hidden="1" x14ac:dyDescent="0.25">
      <c r="A2078" s="11">
        <v>46065</v>
      </c>
      <c r="B2078" t="s">
        <v>57</v>
      </c>
      <c r="C2078" t="s">
        <v>48</v>
      </c>
      <c r="D2078">
        <v>25</v>
      </c>
      <c r="E2078">
        <v>23</v>
      </c>
      <c r="F2078">
        <v>20.41</v>
      </c>
      <c r="G2078">
        <v>0</v>
      </c>
      <c r="H2078">
        <v>0</v>
      </c>
      <c r="I2078" s="3">
        <v>0</v>
      </c>
      <c r="J2078" s="3">
        <v>0</v>
      </c>
      <c r="K2078" s="3">
        <v>0</v>
      </c>
      <c r="L2078" s="3" t="str">
        <f>IF(K2078&lt;-5,"CRÍTICO",IF(K2078&lt;0,"ATENÇÃO",IF(K2078&lt;=5,"BOM","EXCELENTE")))</f>
        <v>BOM</v>
      </c>
      <c r="M2078">
        <v>19</v>
      </c>
      <c r="N2078">
        <v>99.34</v>
      </c>
      <c r="O2078">
        <v>30.04291845493562</v>
      </c>
    </row>
    <row r="2079" spans="1:15" hidden="1" x14ac:dyDescent="0.25">
      <c r="A2079" s="11">
        <v>46065</v>
      </c>
      <c r="B2079" t="s">
        <v>42</v>
      </c>
      <c r="C2079" t="s">
        <v>32</v>
      </c>
      <c r="D2079">
        <v>0</v>
      </c>
      <c r="E2079">
        <v>0</v>
      </c>
      <c r="F2079">
        <v>0</v>
      </c>
      <c r="G2079">
        <v>0</v>
      </c>
      <c r="H2079">
        <v>0</v>
      </c>
      <c r="I2079" s="3">
        <v>0</v>
      </c>
      <c r="J2079" s="3">
        <v>0</v>
      </c>
      <c r="K2079" s="3">
        <v>0</v>
      </c>
      <c r="L2079" s="3" t="str">
        <f>IF(K2079&lt;-5,"CRÍTICO",IF(K2079&lt;0,"ATENÇÃO",IF(K2079&lt;=5,"BOM","EXCELENTE")))</f>
        <v>BOM</v>
      </c>
      <c r="M2079">
        <v>0</v>
      </c>
      <c r="N2079">
        <v>96.3</v>
      </c>
      <c r="O2079">
        <v>24.29378531073446</v>
      </c>
    </row>
    <row r="2080" spans="1:15" hidden="1" x14ac:dyDescent="0.25">
      <c r="A2080" s="11">
        <v>46065</v>
      </c>
      <c r="B2080" t="s">
        <v>62</v>
      </c>
      <c r="C2080" t="s">
        <v>23</v>
      </c>
      <c r="D2080">
        <v>29</v>
      </c>
      <c r="E2080">
        <v>28</v>
      </c>
      <c r="F2080">
        <v>23.4</v>
      </c>
      <c r="G2080">
        <v>0</v>
      </c>
      <c r="H2080">
        <v>0</v>
      </c>
      <c r="I2080" s="3">
        <f>E2080+G2080+H2080</f>
        <v>28</v>
      </c>
      <c r="J2080" s="3">
        <f>ROUND(MIN(IF(C2080="Técnico III",35,IF(C2080="Técnico II",28,IF(C2080="Técnico I",23,IF(C2080="JR",20,IF(C2080="Estágio",10,0))))),IF(C2080="Técnico III",SUMIFS($D:$D,$A:$A,$A2080,$B:$B,"&lt;&gt;Patrícia Karla de Sousa Araújo",$B:$B,"&lt;&gt;Lorena Dias de Araujo",$B:$B,"&lt;&gt;Lucas Luiz Romero")*(35/1083),IF(C2080="Técnico II",SUMIFS($D:$D,$A:$A,$A2080,$B:$B,"&lt;&gt;Patrícia Karla de Sousa Araújo",$B:$B,"&lt;&gt;Lorena Dias de Araujo",$B:$B,"&lt;&gt;Lucas Luiz Romero")*(28/1083),IF(C2080="Técnico I",SUMIFS($D:$D,$A:$A,$A2080,$B:$B,"&lt;&gt;Patrícia Karla de Sousa Araújo",$B:$B,"&lt;&gt;Lorena Dias de Araujo",$B:$B,"&lt;&gt;Lucas Luiz Romero")*(23/1083),IF(C2080="JR",SUMIFS($D:$D,$A:$A,$A2080,$B:$B,"&lt;&gt;Patrícia Karla de Sousa Araújo",$B:$B,"&lt;&gt;Lorena Dias de Araujo",$B:$B,"&lt;&gt;Lucas Luiz Romero")*(20/1083),IF(C2080="Estágio",SUMIFS($D:$D,$A:$A,$A2080,$B:$B,"&lt;&gt;Patrícia Karla de Sousa Araújo",$B:$B,"&lt;&gt;Lorena Dias de Araujo",$B:$B,"&lt;&gt;Lucas Luiz Romero")*(10/1083),0)))))),0)</f>
        <v>17</v>
      </c>
      <c r="K2080" s="3">
        <f>I2080-J2080</f>
        <v>11</v>
      </c>
      <c r="L2080" s="3" t="str">
        <f>IF(K2080&lt;-5,"CRÍTICO",IF(K2080&lt;0,"ATENÇÃO",IF(K2080&lt;=5,"BOM","EXCELENTE")))</f>
        <v>EXCELENTE</v>
      </c>
      <c r="M2080">
        <v>23</v>
      </c>
      <c r="N2080">
        <v>100</v>
      </c>
      <c r="O2080">
        <v>26.543209876543209</v>
      </c>
    </row>
    <row r="2081" spans="1:15" hidden="1" x14ac:dyDescent="0.25">
      <c r="A2081" s="11">
        <v>46065</v>
      </c>
      <c r="B2081" t="s">
        <v>19</v>
      </c>
      <c r="C2081" t="s">
        <v>16</v>
      </c>
      <c r="D2081">
        <v>37</v>
      </c>
      <c r="E2081">
        <v>16</v>
      </c>
      <c r="F2081">
        <v>8.2899999999999991</v>
      </c>
      <c r="G2081">
        <v>0</v>
      </c>
      <c r="H2081">
        <v>0</v>
      </c>
      <c r="I2081" s="3">
        <f>E2081+G2081+H2081</f>
        <v>16</v>
      </c>
      <c r="J2081" s="3">
        <f>ROUND(MIN(IF(C2081="Técnico III",35,IF(C2081="Técnico II",28,IF(C2081="Técnico I",23,IF(C2081="JR",20,IF(C2081="Estágio",10,0))))),IF(C2081="Técnico III",SUMIFS($D:$D,$A:$A,$A2081,$B:$B,"&lt;&gt;Patrícia Karla de Sousa Araújo",$B:$B,"&lt;&gt;Lorena Dias de Araujo",$B:$B,"&lt;&gt;Lucas Luiz Romero")*(35/1083),IF(C2081="Técnico II",SUMIFS($D:$D,$A:$A,$A2081,$B:$B,"&lt;&gt;Patrícia Karla de Sousa Araújo",$B:$B,"&lt;&gt;Lorena Dias de Araujo",$B:$B,"&lt;&gt;Lucas Luiz Romero")*(28/1083),IF(C2081="Técnico I",SUMIFS($D:$D,$A:$A,$A2081,$B:$B,"&lt;&gt;Patrícia Karla de Sousa Araújo",$B:$B,"&lt;&gt;Lorena Dias de Araujo",$B:$B,"&lt;&gt;Lucas Luiz Romero")*(23/1083),IF(C2081="JR",SUMIFS($D:$D,$A:$A,$A2081,$B:$B,"&lt;&gt;Patrícia Karla de Sousa Araújo",$B:$B,"&lt;&gt;Lorena Dias de Araujo",$B:$B,"&lt;&gt;Lucas Luiz Romero")*(20/1083),IF(C2081="Estágio",SUMIFS($D:$D,$A:$A,$A2081,$B:$B,"&lt;&gt;Patrícia Karla de Sousa Araújo",$B:$B,"&lt;&gt;Lorena Dias de Araujo",$B:$B,"&lt;&gt;Lucas Luiz Romero")*(10/1083),0)))))),0)</f>
        <v>8</v>
      </c>
      <c r="K2081" s="3">
        <f>I2081-J2081</f>
        <v>8</v>
      </c>
      <c r="L2081" s="3" t="str">
        <f>IF(K2081&lt;-5,"CRÍTICO",IF(K2081&lt;0,"ATENÇÃO",IF(K2081&lt;=5,"BOM","EXCELENTE")))</f>
        <v>EXCELENTE</v>
      </c>
      <c r="M2081">
        <v>1</v>
      </c>
      <c r="N2081">
        <v>100</v>
      </c>
      <c r="O2081">
        <v>35.483870967741943</v>
      </c>
    </row>
    <row r="2082" spans="1:15" hidden="1" x14ac:dyDescent="0.25">
      <c r="A2082" s="11">
        <v>46065</v>
      </c>
      <c r="B2082" t="s">
        <v>43</v>
      </c>
      <c r="C2082" t="s">
        <v>32</v>
      </c>
      <c r="D2082">
        <v>37</v>
      </c>
      <c r="E2082">
        <v>34</v>
      </c>
      <c r="F2082">
        <v>15.47</v>
      </c>
      <c r="G2082">
        <v>0</v>
      </c>
      <c r="H2082">
        <v>0</v>
      </c>
      <c r="I2082" s="3">
        <f>E2082+G2082+H2082</f>
        <v>34</v>
      </c>
      <c r="J2082" s="3">
        <f>ROUND(MIN(IF(C2082="Técnico III",35,IF(C2082="Técnico II",28,IF(C2082="Técnico I",23,IF(C2082="JR",20,IF(C2082="Estágio",10,0))))),IF(C2082="Técnico III",SUMIFS($D:$D,$A:$A,$A2082,$B:$B,"&lt;&gt;Patrícia Karla de Sousa Araújo",$B:$B,"&lt;&gt;Lorena Dias de Araujo",$B:$B,"&lt;&gt;Lucas Luiz Romero")*(35/1083),IF(C2082="Técnico II",SUMIFS($D:$D,$A:$A,$A2082,$B:$B,"&lt;&gt;Patrícia Karla de Sousa Araújo",$B:$B,"&lt;&gt;Lorena Dias de Araujo",$B:$B,"&lt;&gt;Lucas Luiz Romero")*(28/1083),IF(C2082="Técnico I",SUMIFS($D:$D,$A:$A,$A2082,$B:$B,"&lt;&gt;Patrícia Karla de Sousa Araújo",$B:$B,"&lt;&gt;Lorena Dias de Araujo",$B:$B,"&lt;&gt;Lucas Luiz Romero")*(23/1083),IF(C2082="JR",SUMIFS($D:$D,$A:$A,$A2082,$B:$B,"&lt;&gt;Patrícia Karla de Sousa Araújo",$B:$B,"&lt;&gt;Lorena Dias de Araujo",$B:$B,"&lt;&gt;Lucas Luiz Romero")*(20/1083),IF(C2082="Estágio",SUMIFS($D:$D,$A:$A,$A2082,$B:$B,"&lt;&gt;Patrícia Karla de Sousa Araújo",$B:$B,"&lt;&gt;Lorena Dias de Araujo",$B:$B,"&lt;&gt;Lucas Luiz Romero")*(10/1083),0)))))),0)</f>
        <v>27</v>
      </c>
      <c r="K2082" s="3">
        <f>I2082-J2082</f>
        <v>7</v>
      </c>
      <c r="L2082" s="3" t="str">
        <f>IF(K2082&lt;-5,"CRÍTICO",IF(K2082&lt;0,"ATENÇÃO",IF(K2082&lt;=5,"BOM","EXCELENTE")))</f>
        <v>EXCELENTE</v>
      </c>
      <c r="M2082">
        <v>31</v>
      </c>
      <c r="N2082">
        <v>99.27</v>
      </c>
      <c r="O2082">
        <v>31.163708086785011</v>
      </c>
    </row>
    <row r="2083" spans="1:15" hidden="1" x14ac:dyDescent="0.25">
      <c r="A2083" s="11">
        <v>46065</v>
      </c>
      <c r="B2083" t="s">
        <v>44</v>
      </c>
      <c r="C2083" t="s">
        <v>32</v>
      </c>
      <c r="D2083">
        <v>18</v>
      </c>
      <c r="E2083">
        <v>17</v>
      </c>
      <c r="F2083">
        <v>20.59</v>
      </c>
      <c r="G2083">
        <v>0</v>
      </c>
      <c r="H2083">
        <v>0</v>
      </c>
      <c r="I2083" s="3">
        <f>E2083+G2083+H2083</f>
        <v>17</v>
      </c>
      <c r="J2083" s="3">
        <f>ROUND(MIN(IF(C2083="Técnico III",35,IF(C2083="Técnico II",28,IF(C2083="Técnico I",23,IF(C2083="JR",20,IF(C2083="Estágio",10,0))))),IF(C2083="Técnico III",SUMIFS($D:$D,$A:$A,$A2083,$B:$B,"&lt;&gt;Patrícia Karla de Sousa Araújo",$B:$B,"&lt;&gt;Lorena Dias de Araujo",$B:$B,"&lt;&gt;Lucas Luiz Romero")*(35/1083),IF(C2083="Técnico II",SUMIFS($D:$D,$A:$A,$A2083,$B:$B,"&lt;&gt;Patrícia Karla de Sousa Araújo",$B:$B,"&lt;&gt;Lorena Dias de Araujo",$B:$B,"&lt;&gt;Lucas Luiz Romero")*(28/1083),IF(C2083="Técnico I",SUMIFS($D:$D,$A:$A,$A2083,$B:$B,"&lt;&gt;Patrícia Karla de Sousa Araújo",$B:$B,"&lt;&gt;Lorena Dias de Araujo",$B:$B,"&lt;&gt;Lucas Luiz Romero")*(23/1083),IF(C2083="JR",SUMIFS($D:$D,$A:$A,$A2083,$B:$B,"&lt;&gt;Patrícia Karla de Sousa Araújo",$B:$B,"&lt;&gt;Lorena Dias de Araujo",$B:$B,"&lt;&gt;Lucas Luiz Romero")*(20/1083),IF(C2083="Estágio",SUMIFS($D:$D,$A:$A,$A2083,$B:$B,"&lt;&gt;Patrícia Karla de Sousa Araújo",$B:$B,"&lt;&gt;Lorena Dias de Araujo",$B:$B,"&lt;&gt;Lucas Luiz Romero")*(10/1083),0)))))),0)</f>
        <v>27</v>
      </c>
      <c r="K2083" s="3">
        <f>I2083-J2083</f>
        <v>-10</v>
      </c>
      <c r="L2083" s="3" t="str">
        <f>IF(K2083&lt;-5,"CRÍTICO",IF(K2083&lt;0,"ATENÇÃO",IF(K2083&lt;=5,"BOM","EXCELENTE")))</f>
        <v>CRÍTICO</v>
      </c>
      <c r="M2083">
        <v>16</v>
      </c>
      <c r="N2083">
        <v>94.16</v>
      </c>
      <c r="O2083">
        <v>27.038626609442058</v>
      </c>
    </row>
    <row r="2084" spans="1:15" hidden="1" x14ac:dyDescent="0.25">
      <c r="A2084" s="11">
        <v>46065</v>
      </c>
      <c r="B2084" t="s">
        <v>20</v>
      </c>
      <c r="C2084" t="s">
        <v>16</v>
      </c>
      <c r="D2084">
        <v>14</v>
      </c>
      <c r="E2084">
        <v>13</v>
      </c>
      <c r="F2084">
        <v>57.03</v>
      </c>
      <c r="G2084">
        <v>0</v>
      </c>
      <c r="H2084">
        <v>0</v>
      </c>
      <c r="I2084" s="3">
        <f>E2084+G2084+H2084</f>
        <v>13</v>
      </c>
      <c r="J2084" s="3">
        <f>ROUND(MIN(IF(C2084="Técnico III",35,IF(C2084="Técnico II",28,IF(C2084="Técnico I",23,IF(C2084="JR",20,IF(C2084="Estágio",10,0))))),IF(C2084="Técnico III",SUMIFS($D:$D,$A:$A,$A2084,$B:$B,"&lt;&gt;Patrícia Karla de Sousa Araújo",$B:$B,"&lt;&gt;Lorena Dias de Araujo",$B:$B,"&lt;&gt;Lucas Luiz Romero")*(35/1083),IF(C2084="Técnico II",SUMIFS($D:$D,$A:$A,$A2084,$B:$B,"&lt;&gt;Patrícia Karla de Sousa Araújo",$B:$B,"&lt;&gt;Lorena Dias de Araujo",$B:$B,"&lt;&gt;Lucas Luiz Romero")*(28/1083),IF(C2084="Técnico I",SUMIFS($D:$D,$A:$A,$A2084,$B:$B,"&lt;&gt;Patrícia Karla de Sousa Araújo",$B:$B,"&lt;&gt;Lorena Dias de Araujo",$B:$B,"&lt;&gt;Lucas Luiz Romero")*(23/1083),IF(C2084="JR",SUMIFS($D:$D,$A:$A,$A2084,$B:$B,"&lt;&gt;Patrícia Karla de Sousa Araújo",$B:$B,"&lt;&gt;Lorena Dias de Araujo",$B:$B,"&lt;&gt;Lucas Luiz Romero")*(20/1083),IF(C2084="Estágio",SUMIFS($D:$D,$A:$A,$A2084,$B:$B,"&lt;&gt;Patrícia Karla de Sousa Araújo",$B:$B,"&lt;&gt;Lorena Dias de Araujo",$B:$B,"&lt;&gt;Lucas Luiz Romero")*(10/1083),0)))))),0)</f>
        <v>8</v>
      </c>
      <c r="K2084" s="3">
        <f>I2084-J2084</f>
        <v>5</v>
      </c>
      <c r="L2084" s="3" t="str">
        <f>IF(K2084&lt;-5,"CRÍTICO",IF(K2084&lt;0,"ATENÇÃO",IF(K2084&lt;=5,"BOM","EXCELENTE")))</f>
        <v>BOM</v>
      </c>
      <c r="M2084">
        <v>4</v>
      </c>
      <c r="N2084">
        <v>93.75</v>
      </c>
      <c r="O2084">
        <v>19.31818181818182</v>
      </c>
    </row>
    <row r="2085" spans="1:15" hidden="1" x14ac:dyDescent="0.25">
      <c r="A2085" s="11">
        <v>46065</v>
      </c>
      <c r="B2085" t="s">
        <v>28</v>
      </c>
      <c r="C2085" t="s">
        <v>26</v>
      </c>
      <c r="D2085">
        <v>0</v>
      </c>
      <c r="E2085">
        <v>0</v>
      </c>
      <c r="F2085">
        <v>0</v>
      </c>
      <c r="G2085">
        <v>0</v>
      </c>
      <c r="H2085">
        <v>0</v>
      </c>
      <c r="I2085" s="3">
        <v>0</v>
      </c>
      <c r="J2085" s="3">
        <v>0</v>
      </c>
      <c r="K2085" s="3">
        <v>0</v>
      </c>
      <c r="L2085" s="3" t="str">
        <f>IF(K2085&lt;-5,"CRÍTICO",IF(K2085&lt;0,"ATENÇÃO",IF(K2085&lt;=5,"BOM","EXCELENTE")))</f>
        <v>BOM</v>
      </c>
      <c r="M2085">
        <v>0</v>
      </c>
      <c r="N2085">
        <v>0</v>
      </c>
      <c r="O2085">
        <v>0</v>
      </c>
    </row>
    <row r="2086" spans="1:15" hidden="1" x14ac:dyDescent="0.25">
      <c r="A2086" s="11">
        <v>46065</v>
      </c>
      <c r="B2086" t="s">
        <v>58</v>
      </c>
      <c r="C2086" t="s">
        <v>48</v>
      </c>
      <c r="D2086">
        <v>0</v>
      </c>
      <c r="E2086">
        <v>0</v>
      </c>
      <c r="F2086">
        <v>0</v>
      </c>
      <c r="G2086">
        <v>0</v>
      </c>
      <c r="H2086">
        <v>0</v>
      </c>
      <c r="I2086" s="3">
        <v>0</v>
      </c>
      <c r="J2086" s="3">
        <v>0</v>
      </c>
      <c r="K2086" s="3">
        <v>0</v>
      </c>
      <c r="L2086" s="3" t="str">
        <f>IF(K2086&lt;-5,"CRÍTICO",IF(K2086&lt;0,"ATENÇÃO",IF(K2086&lt;=5,"BOM","EXCELENTE")))</f>
        <v>BOM</v>
      </c>
      <c r="M2086">
        <v>0</v>
      </c>
      <c r="N2086">
        <v>97.92</v>
      </c>
      <c r="O2086">
        <v>32.87671232876712</v>
      </c>
    </row>
    <row r="2087" spans="1:15" hidden="1" x14ac:dyDescent="0.25">
      <c r="A2087" s="11">
        <v>46065</v>
      </c>
      <c r="B2087" t="s">
        <v>29</v>
      </c>
      <c r="C2087" t="s">
        <v>26</v>
      </c>
      <c r="D2087">
        <v>0</v>
      </c>
      <c r="E2087">
        <v>0</v>
      </c>
      <c r="F2087">
        <v>0</v>
      </c>
      <c r="G2087">
        <v>0</v>
      </c>
      <c r="H2087">
        <v>0</v>
      </c>
      <c r="I2087" s="3">
        <v>0</v>
      </c>
      <c r="J2087" s="3">
        <v>0</v>
      </c>
      <c r="K2087" s="3">
        <v>0</v>
      </c>
      <c r="L2087" s="3" t="str">
        <f>IF(K2087&lt;-5,"CRÍTICO",IF(K2087&lt;0,"ATENÇÃO",IF(K2087&lt;=5,"BOM","EXCELENTE")))</f>
        <v>BOM</v>
      </c>
      <c r="M2087">
        <v>0</v>
      </c>
      <c r="N2087">
        <v>0</v>
      </c>
      <c r="O2087">
        <v>0</v>
      </c>
    </row>
    <row r="2088" spans="1:15" hidden="1" x14ac:dyDescent="0.25">
      <c r="A2088" s="11">
        <v>46065</v>
      </c>
      <c r="B2088" t="s">
        <v>30</v>
      </c>
      <c r="C2088" t="s">
        <v>26</v>
      </c>
      <c r="D2088">
        <v>0</v>
      </c>
      <c r="E2088">
        <v>0</v>
      </c>
      <c r="F2088">
        <v>0</v>
      </c>
      <c r="G2088">
        <v>0</v>
      </c>
      <c r="H2088">
        <v>0</v>
      </c>
      <c r="I2088" s="3">
        <v>0</v>
      </c>
      <c r="J2088" s="3">
        <v>0</v>
      </c>
      <c r="K2088" s="3">
        <v>0</v>
      </c>
      <c r="L2088" s="3" t="str">
        <f>IF(K2088&lt;-5,"CRÍTICO",IF(K2088&lt;0,"ATENÇÃO",IF(K2088&lt;=5,"BOM","EXCELENTE")))</f>
        <v>BOM</v>
      </c>
      <c r="M2088">
        <v>0</v>
      </c>
      <c r="N2088">
        <v>0</v>
      </c>
      <c r="O2088">
        <v>0</v>
      </c>
    </row>
    <row r="2089" spans="1:15" hidden="1" x14ac:dyDescent="0.25">
      <c r="A2089" s="11">
        <v>46065</v>
      </c>
      <c r="B2089" t="s">
        <v>21</v>
      </c>
      <c r="C2089" t="s">
        <v>16</v>
      </c>
      <c r="D2089">
        <v>0</v>
      </c>
      <c r="E2089">
        <v>0</v>
      </c>
      <c r="F2089">
        <v>0</v>
      </c>
      <c r="G2089">
        <v>0</v>
      </c>
      <c r="H2089">
        <v>0</v>
      </c>
      <c r="I2089" s="3">
        <v>0</v>
      </c>
      <c r="J2089" s="3">
        <v>0</v>
      </c>
      <c r="K2089" s="3">
        <v>0</v>
      </c>
      <c r="L2089" s="3" t="str">
        <f>IF(K2089&lt;-5,"CRÍTICO",IF(K2089&lt;0,"ATENÇÃO",IF(K2089&lt;=5,"BOM","EXCELENTE")))</f>
        <v>BOM</v>
      </c>
      <c r="M2089">
        <v>0</v>
      </c>
      <c r="N2089">
        <v>0</v>
      </c>
      <c r="O2089">
        <v>0</v>
      </c>
    </row>
    <row r="2090" spans="1:15" hidden="1" x14ac:dyDescent="0.25">
      <c r="A2090" s="11">
        <v>46065</v>
      </c>
      <c r="B2090" t="s">
        <v>63</v>
      </c>
      <c r="C2090" t="s">
        <v>23</v>
      </c>
      <c r="D2090">
        <v>27</v>
      </c>
      <c r="E2090">
        <v>24</v>
      </c>
      <c r="F2090">
        <v>19.010000000000002</v>
      </c>
      <c r="G2090">
        <v>0</v>
      </c>
      <c r="H2090">
        <v>0</v>
      </c>
      <c r="I2090" s="3">
        <f>E2090+G2090+H2090</f>
        <v>24</v>
      </c>
      <c r="J2090" s="3">
        <f>ROUND(MIN(IF(C2090="Técnico III",35,IF(C2090="Técnico II",28,IF(C2090="Técnico I",23,IF(C2090="JR",20,IF(C2090="Estágio",10,0))))),IF(C2090="Técnico III",SUMIFS($D:$D,$A:$A,$A2090,$B:$B,"&lt;&gt;Patrícia Karla de Sousa Araújo",$B:$B,"&lt;&gt;Lorena Dias de Araujo",$B:$B,"&lt;&gt;Lucas Luiz Romero")*(35/1083),IF(C2090="Técnico II",SUMIFS($D:$D,$A:$A,$A2090,$B:$B,"&lt;&gt;Patrícia Karla de Sousa Araújo",$B:$B,"&lt;&gt;Lorena Dias de Araujo",$B:$B,"&lt;&gt;Lucas Luiz Romero")*(28/1083),IF(C2090="Técnico I",SUMIFS($D:$D,$A:$A,$A2090,$B:$B,"&lt;&gt;Patrícia Karla de Sousa Araújo",$B:$B,"&lt;&gt;Lorena Dias de Araujo",$B:$B,"&lt;&gt;Lucas Luiz Romero")*(23/1083),IF(C2090="JR",SUMIFS($D:$D,$A:$A,$A2090,$B:$B,"&lt;&gt;Patrícia Karla de Sousa Araújo",$B:$B,"&lt;&gt;Lorena Dias de Araujo",$B:$B,"&lt;&gt;Lucas Luiz Romero")*(20/1083),IF(C2090="Estágio",SUMIFS($D:$D,$A:$A,$A2090,$B:$B,"&lt;&gt;Patrícia Karla de Sousa Araújo",$B:$B,"&lt;&gt;Lorena Dias de Araujo",$B:$B,"&lt;&gt;Lucas Luiz Romero")*(10/1083),0)))))),0)</f>
        <v>17</v>
      </c>
      <c r="K2090" s="3">
        <f>I2090-J2090</f>
        <v>7</v>
      </c>
      <c r="L2090" s="3" t="str">
        <f>IF(K2090&lt;-5,"CRÍTICO",IF(K2090&lt;0,"ATENÇÃO",IF(K2090&lt;=5,"BOM","EXCELENTE")))</f>
        <v>EXCELENTE</v>
      </c>
      <c r="M2090">
        <v>20</v>
      </c>
      <c r="N2090">
        <v>98.51</v>
      </c>
      <c r="O2090">
        <v>29.710144927536231</v>
      </c>
    </row>
    <row r="2091" spans="1:15" hidden="1" x14ac:dyDescent="0.25">
      <c r="A2091" s="11">
        <v>46065</v>
      </c>
      <c r="B2091" t="s">
        <v>45</v>
      </c>
      <c r="C2091" t="s">
        <v>32</v>
      </c>
      <c r="D2091">
        <v>54</v>
      </c>
      <c r="E2091">
        <v>46</v>
      </c>
      <c r="F2091">
        <v>13.36</v>
      </c>
      <c r="G2091">
        <v>0</v>
      </c>
      <c r="H2091">
        <v>0</v>
      </c>
      <c r="I2091" s="3">
        <f>E2091+G2091+H2091</f>
        <v>46</v>
      </c>
      <c r="J2091" s="3">
        <f>ROUND(MIN(IF(C2091="Técnico III",35,IF(C2091="Técnico II",28,IF(C2091="Técnico I",23,IF(C2091="JR",20,IF(C2091="Estágio",10,0))))),IF(C2091="Técnico III",SUMIFS($D:$D,$A:$A,$A2091,$B:$B,"&lt;&gt;Patrícia Karla de Sousa Araújo",$B:$B,"&lt;&gt;Lorena Dias de Araujo",$B:$B,"&lt;&gt;Lucas Luiz Romero")*(35/1083),IF(C2091="Técnico II",SUMIFS($D:$D,$A:$A,$A2091,$B:$B,"&lt;&gt;Patrícia Karla de Sousa Araújo",$B:$B,"&lt;&gt;Lorena Dias de Araujo",$B:$B,"&lt;&gt;Lucas Luiz Romero")*(28/1083),IF(C2091="Técnico I",SUMIFS($D:$D,$A:$A,$A2091,$B:$B,"&lt;&gt;Patrícia Karla de Sousa Araújo",$B:$B,"&lt;&gt;Lorena Dias de Araujo",$B:$B,"&lt;&gt;Lucas Luiz Romero")*(23/1083),IF(C2091="JR",SUMIFS($D:$D,$A:$A,$A2091,$B:$B,"&lt;&gt;Patrícia Karla de Sousa Araújo",$B:$B,"&lt;&gt;Lorena Dias de Araujo",$B:$B,"&lt;&gt;Lucas Luiz Romero")*(20/1083),IF(C2091="Estágio",SUMIFS($D:$D,$A:$A,$A2091,$B:$B,"&lt;&gt;Patrícia Karla de Sousa Araújo",$B:$B,"&lt;&gt;Lorena Dias de Araujo",$B:$B,"&lt;&gt;Lucas Luiz Romero")*(10/1083),0)))))),0)</f>
        <v>27</v>
      </c>
      <c r="K2091" s="3">
        <f>I2091-J2091</f>
        <v>19</v>
      </c>
      <c r="L2091" s="3" t="str">
        <f>IF(K2091&lt;-5,"CRÍTICO",IF(K2091&lt;0,"ATENÇÃO",IF(K2091&lt;=5,"BOM","EXCELENTE")))</f>
        <v>EXCELENTE</v>
      </c>
      <c r="M2091">
        <v>43</v>
      </c>
      <c r="N2091">
        <v>98.81</v>
      </c>
      <c r="O2091">
        <v>30.712979890310791</v>
      </c>
    </row>
    <row r="2092" spans="1:15" hidden="1" x14ac:dyDescent="0.25">
      <c r="A2092" s="11">
        <v>46065</v>
      </c>
      <c r="B2092" t="s">
        <v>64</v>
      </c>
      <c r="C2092" t="s">
        <v>23</v>
      </c>
      <c r="D2092">
        <v>11</v>
      </c>
      <c r="E2092">
        <v>11</v>
      </c>
      <c r="F2092">
        <v>62</v>
      </c>
      <c r="G2092">
        <v>0</v>
      </c>
      <c r="H2092">
        <v>0</v>
      </c>
      <c r="I2092" s="3">
        <f>E2092+G2092+H2092</f>
        <v>11</v>
      </c>
      <c r="J2092" s="3">
        <f>ROUND(MIN(IF(C2092="Técnico III",35,IF(C2092="Técnico II",28,IF(C2092="Técnico I",23,IF(C2092="JR",20,IF(C2092="Estágio",10,0))))),IF(C2092="Técnico III",SUMIFS($D:$D,$A:$A,$A2092,$B:$B,"&lt;&gt;Patrícia Karla de Sousa Araújo",$B:$B,"&lt;&gt;Lorena Dias de Araujo",$B:$B,"&lt;&gt;Lucas Luiz Romero")*(35/1083),IF(C2092="Técnico II",SUMIFS($D:$D,$A:$A,$A2092,$B:$B,"&lt;&gt;Patrícia Karla de Sousa Araújo",$B:$B,"&lt;&gt;Lorena Dias de Araujo",$B:$B,"&lt;&gt;Lucas Luiz Romero")*(28/1083),IF(C2092="Técnico I",SUMIFS($D:$D,$A:$A,$A2092,$B:$B,"&lt;&gt;Patrícia Karla de Sousa Araújo",$B:$B,"&lt;&gt;Lorena Dias de Araujo",$B:$B,"&lt;&gt;Lucas Luiz Romero")*(23/1083),IF(C2092="JR",SUMIFS($D:$D,$A:$A,$A2092,$B:$B,"&lt;&gt;Patrícia Karla de Sousa Araújo",$B:$B,"&lt;&gt;Lorena Dias de Araujo",$B:$B,"&lt;&gt;Lucas Luiz Romero")*(20/1083),IF(C2092="Estágio",SUMIFS($D:$D,$A:$A,$A2092,$B:$B,"&lt;&gt;Patrícia Karla de Sousa Araújo",$B:$B,"&lt;&gt;Lorena Dias de Araujo",$B:$B,"&lt;&gt;Lucas Luiz Romero")*(10/1083),0)))))),0)</f>
        <v>17</v>
      </c>
      <c r="K2092" s="3">
        <f>I2092-J2092</f>
        <v>-6</v>
      </c>
      <c r="L2092" s="3" t="str">
        <f>IF(K2092&lt;-5,"CRÍTICO",IF(K2092&lt;0,"ATENÇÃO",IF(K2092&lt;=5,"BOM","EXCELENTE")))</f>
        <v>CRÍTICO</v>
      </c>
      <c r="M2092">
        <v>7</v>
      </c>
      <c r="N2092">
        <v>98.48</v>
      </c>
      <c r="O2092">
        <v>29.35323383084577</v>
      </c>
    </row>
    <row r="2093" spans="1:15" hidden="1" x14ac:dyDescent="0.25">
      <c r="A2093" s="11">
        <v>46065</v>
      </c>
      <c r="B2093" t="s">
        <v>46</v>
      </c>
      <c r="C2093" t="s">
        <v>32</v>
      </c>
      <c r="D2093">
        <v>29</v>
      </c>
      <c r="E2093">
        <v>29</v>
      </c>
      <c r="F2093">
        <v>25.29</v>
      </c>
      <c r="G2093">
        <v>0</v>
      </c>
      <c r="H2093">
        <v>0</v>
      </c>
      <c r="I2093" s="3">
        <f>E2093+G2093+H2093</f>
        <v>29</v>
      </c>
      <c r="J2093" s="3">
        <f>ROUND(MIN(IF(C2093="Técnico III",35,IF(C2093="Técnico II",28,IF(C2093="Técnico I",23,IF(C2093="JR",20,IF(C2093="Estágio",10,0))))),IF(C2093="Técnico III",SUMIFS($D:$D,$A:$A,$A2093,$B:$B,"&lt;&gt;Patrícia Karla de Sousa Araújo",$B:$B,"&lt;&gt;Lorena Dias de Araujo",$B:$B,"&lt;&gt;Lucas Luiz Romero")*(35/1083),IF(C2093="Técnico II",SUMIFS($D:$D,$A:$A,$A2093,$B:$B,"&lt;&gt;Patrícia Karla de Sousa Araújo",$B:$B,"&lt;&gt;Lorena Dias de Araujo",$B:$B,"&lt;&gt;Lucas Luiz Romero")*(28/1083),IF(C2093="Técnico I",SUMIFS($D:$D,$A:$A,$A2093,$B:$B,"&lt;&gt;Patrícia Karla de Sousa Araújo",$B:$B,"&lt;&gt;Lorena Dias de Araujo",$B:$B,"&lt;&gt;Lucas Luiz Romero")*(23/1083),IF(C2093="JR",SUMIFS($D:$D,$A:$A,$A2093,$B:$B,"&lt;&gt;Patrícia Karla de Sousa Araújo",$B:$B,"&lt;&gt;Lorena Dias de Araujo",$B:$B,"&lt;&gt;Lucas Luiz Romero")*(20/1083),IF(C2093="Estágio",SUMIFS($D:$D,$A:$A,$A2093,$B:$B,"&lt;&gt;Patrícia Karla de Sousa Araújo",$B:$B,"&lt;&gt;Lorena Dias de Araujo",$B:$B,"&lt;&gt;Lucas Luiz Romero")*(10/1083),0)))))),0)</f>
        <v>27</v>
      </c>
      <c r="K2093" s="3">
        <f>I2093-J2093</f>
        <v>2</v>
      </c>
      <c r="L2093" s="3" t="str">
        <f>IF(K2093&lt;-5,"CRÍTICO",IF(K2093&lt;0,"ATENÇÃO",IF(K2093&lt;=5,"BOM","EXCELENTE")))</f>
        <v>BOM</v>
      </c>
      <c r="M2093">
        <v>26</v>
      </c>
      <c r="N2093">
        <v>98.56</v>
      </c>
      <c r="O2093">
        <v>29.373650107991359</v>
      </c>
    </row>
    <row r="2094" spans="1:15" hidden="1" x14ac:dyDescent="0.25">
      <c r="A2094" s="11">
        <v>46066</v>
      </c>
      <c r="B2094" t="s">
        <v>47</v>
      </c>
      <c r="C2094" t="s">
        <v>48</v>
      </c>
      <c r="D2094">
        <v>35</v>
      </c>
      <c r="E2094">
        <v>31</v>
      </c>
      <c r="F2094">
        <v>20.239999999999998</v>
      </c>
      <c r="G2094">
        <v>0</v>
      </c>
      <c r="H2094">
        <v>0</v>
      </c>
      <c r="I2094" s="3">
        <f>E2094+G2094+H2094</f>
        <v>31</v>
      </c>
      <c r="J2094" s="3">
        <f>ROUND(MIN(IF(C2094="Técnico III",35,IF(C2094="Técnico II",28,IF(C2094="Técnico I",23,IF(C2094="JR",20,IF(C2094="Estágio",10,0))))),IF(C2094="Técnico III",SUMIFS($D:$D,$A:$A,$A2094,$B:$B,"&lt;&gt;Patrícia Karla de Sousa Araújo",$B:$B,"&lt;&gt;Lorena Dias de Araujo",$B:$B,"&lt;&gt;Lucas Luiz Romero")*(35/1083),IF(C2094="Técnico II",SUMIFS($D:$D,$A:$A,$A2094,$B:$B,"&lt;&gt;Patrícia Karla de Sousa Araújo",$B:$B,"&lt;&gt;Lorena Dias de Araujo",$B:$B,"&lt;&gt;Lucas Luiz Romero")*(28/1083),IF(C2094="Técnico I",SUMIFS($D:$D,$A:$A,$A2094,$B:$B,"&lt;&gt;Patrícia Karla de Sousa Araújo",$B:$B,"&lt;&gt;Lorena Dias de Araujo",$B:$B,"&lt;&gt;Lucas Luiz Romero")*(23/1083),IF(C2094="JR",SUMIFS($D:$D,$A:$A,$A2094,$B:$B,"&lt;&gt;Patrícia Karla de Sousa Araújo",$B:$B,"&lt;&gt;Lorena Dias de Araujo",$B:$B,"&lt;&gt;Lucas Luiz Romero")*(20/1083),IF(C2094="Estágio",SUMIFS($D:$D,$A:$A,$A2094,$B:$B,"&lt;&gt;Patrícia Karla de Sousa Araújo",$B:$B,"&lt;&gt;Lorena Dias de Araujo",$B:$B,"&lt;&gt;Lucas Luiz Romero")*(10/1083),0)))))),0)</f>
        <v>22</v>
      </c>
      <c r="K2094" s="3">
        <f>I2094-J2094</f>
        <v>9</v>
      </c>
      <c r="L2094" s="3" t="str">
        <f>IF(K2094&lt;-5,"CRÍTICO",IF(K2094&lt;0,"ATENÇÃO",IF(K2094&lt;=5,"BOM","EXCELENTE")))</f>
        <v>EXCELENTE</v>
      </c>
      <c r="M2094">
        <v>27</v>
      </c>
      <c r="N2094">
        <v>98.32</v>
      </c>
      <c r="O2094">
        <v>30.303030303030301</v>
      </c>
    </row>
    <row r="2095" spans="1:15" hidden="1" x14ac:dyDescent="0.25">
      <c r="A2095" s="11">
        <v>46066</v>
      </c>
      <c r="B2095" t="s">
        <v>31</v>
      </c>
      <c r="C2095" t="s">
        <v>32</v>
      </c>
      <c r="D2095">
        <v>0</v>
      </c>
      <c r="E2095">
        <v>0</v>
      </c>
      <c r="F2095">
        <v>0</v>
      </c>
      <c r="G2095">
        <v>0</v>
      </c>
      <c r="H2095">
        <v>0</v>
      </c>
      <c r="I2095" s="3">
        <v>0</v>
      </c>
      <c r="J2095" s="3">
        <v>0</v>
      </c>
      <c r="K2095" s="3">
        <v>0</v>
      </c>
      <c r="L2095" s="3" t="str">
        <f>IF(K2095&lt;-5,"CRÍTICO",IF(K2095&lt;0,"ATENÇÃO",IF(K2095&lt;=5,"BOM","EXCELENTE")))</f>
        <v>BOM</v>
      </c>
      <c r="M2095">
        <v>28</v>
      </c>
      <c r="N2095">
        <v>98.68</v>
      </c>
      <c r="O2095">
        <v>26.219512195121951</v>
      </c>
    </row>
    <row r="2096" spans="1:15" hidden="1" x14ac:dyDescent="0.25">
      <c r="A2096" s="11">
        <v>46066</v>
      </c>
      <c r="B2096" t="s">
        <v>59</v>
      </c>
      <c r="C2096" t="s">
        <v>23</v>
      </c>
      <c r="D2096">
        <v>18</v>
      </c>
      <c r="E2096">
        <v>16</v>
      </c>
      <c r="F2096">
        <v>28.58</v>
      </c>
      <c r="G2096">
        <v>0</v>
      </c>
      <c r="H2096">
        <v>0</v>
      </c>
      <c r="I2096" s="3">
        <f>E2096+G2096+H2096</f>
        <v>16</v>
      </c>
      <c r="J2096" s="3">
        <f>ROUND(MIN(IF(C2096="Técnico III",35,IF(C2096="Técnico II",28,IF(C2096="Técnico I",23,IF(C2096="JR",20,IF(C2096="Estágio",10,0))))),IF(C2096="Técnico III",SUMIFS($D:$D,$A:$A,$A2096,$B:$B,"&lt;&gt;Patrícia Karla de Sousa Araújo",$B:$B,"&lt;&gt;Lorena Dias de Araujo",$B:$B,"&lt;&gt;Lucas Luiz Romero")*(35/1083),IF(C2096="Técnico II",SUMIFS($D:$D,$A:$A,$A2096,$B:$B,"&lt;&gt;Patrícia Karla de Sousa Araújo",$B:$B,"&lt;&gt;Lorena Dias de Araujo",$B:$B,"&lt;&gt;Lucas Luiz Romero")*(28/1083),IF(C2096="Técnico I",SUMIFS($D:$D,$A:$A,$A2096,$B:$B,"&lt;&gt;Patrícia Karla de Sousa Araújo",$B:$B,"&lt;&gt;Lorena Dias de Araujo",$B:$B,"&lt;&gt;Lucas Luiz Romero")*(23/1083),IF(C2096="JR",SUMIFS($D:$D,$A:$A,$A2096,$B:$B,"&lt;&gt;Patrícia Karla de Sousa Araújo",$B:$B,"&lt;&gt;Lorena Dias de Araujo",$B:$B,"&lt;&gt;Lucas Luiz Romero")*(20/1083),IF(C2096="Estágio",SUMIFS($D:$D,$A:$A,$A2096,$B:$B,"&lt;&gt;Patrícia Karla de Sousa Araújo",$B:$B,"&lt;&gt;Lorena Dias de Araujo",$B:$B,"&lt;&gt;Lucas Luiz Romero")*(10/1083),0)))))),0)</f>
        <v>18</v>
      </c>
      <c r="K2096" s="3">
        <f>I2096-J2096</f>
        <v>-2</v>
      </c>
      <c r="L2096" s="3" t="str">
        <f>IF(K2096&lt;-5,"CRÍTICO",IF(K2096&lt;0,"ATENÇÃO",IF(K2096&lt;=5,"BOM","EXCELENTE")))</f>
        <v>ATENÇÃO</v>
      </c>
      <c r="M2096">
        <v>16</v>
      </c>
      <c r="N2096">
        <v>100</v>
      </c>
      <c r="O2096">
        <v>31.74224343675418</v>
      </c>
    </row>
    <row r="2097" spans="1:15" hidden="1" x14ac:dyDescent="0.25">
      <c r="A2097" s="11">
        <v>46066</v>
      </c>
      <c r="B2097" t="s">
        <v>33</v>
      </c>
      <c r="C2097" t="s">
        <v>32</v>
      </c>
      <c r="D2097">
        <v>20</v>
      </c>
      <c r="E2097">
        <v>17</v>
      </c>
      <c r="F2097">
        <v>27.07</v>
      </c>
      <c r="G2097">
        <v>0</v>
      </c>
      <c r="H2097">
        <v>0</v>
      </c>
      <c r="I2097" s="3">
        <f>E2097+G2097+H2097</f>
        <v>17</v>
      </c>
      <c r="J2097" s="3">
        <f>ROUND(MIN(IF(C2097="Técnico III",35,IF(C2097="Técnico II",28,IF(C2097="Técnico I",23,IF(C2097="JR",20,IF(C2097="Estágio",10,0))))),IF(C2097="Técnico III",SUMIFS($D:$D,$A:$A,$A2097,$B:$B,"&lt;&gt;Patrícia Karla de Sousa Araújo",$B:$B,"&lt;&gt;Lorena Dias de Araujo",$B:$B,"&lt;&gt;Lucas Luiz Romero")*(35/1083),IF(C2097="Técnico II",SUMIFS($D:$D,$A:$A,$A2097,$B:$B,"&lt;&gt;Patrícia Karla de Sousa Araújo",$B:$B,"&lt;&gt;Lorena Dias de Araujo",$B:$B,"&lt;&gt;Lucas Luiz Romero")*(28/1083),IF(C2097="Técnico I",SUMIFS($D:$D,$A:$A,$A2097,$B:$B,"&lt;&gt;Patrícia Karla de Sousa Araújo",$B:$B,"&lt;&gt;Lorena Dias de Araujo",$B:$B,"&lt;&gt;Lucas Luiz Romero")*(23/1083),IF(C2097="JR",SUMIFS($D:$D,$A:$A,$A2097,$B:$B,"&lt;&gt;Patrícia Karla de Sousa Araújo",$B:$B,"&lt;&gt;Lorena Dias de Araujo",$B:$B,"&lt;&gt;Lucas Luiz Romero")*(20/1083),IF(C2097="Estágio",SUMIFS($D:$D,$A:$A,$A2097,$B:$B,"&lt;&gt;Patrícia Karla de Sousa Araújo",$B:$B,"&lt;&gt;Lorena Dias de Araujo",$B:$B,"&lt;&gt;Lucas Luiz Romero")*(10/1083),0)))))),0)</f>
        <v>27</v>
      </c>
      <c r="K2097" s="3">
        <f>I2097-J2097</f>
        <v>-10</v>
      </c>
      <c r="L2097" s="3" t="str">
        <f>IF(K2097&lt;-5,"CRÍTICO",IF(K2097&lt;0,"ATENÇÃO",IF(K2097&lt;=5,"BOM","EXCELENTE")))</f>
        <v>CRÍTICO</v>
      </c>
      <c r="M2097">
        <v>17</v>
      </c>
      <c r="N2097">
        <v>98.25</v>
      </c>
      <c r="O2097">
        <v>25.83518930957684</v>
      </c>
    </row>
    <row r="2098" spans="1:15" hidden="1" x14ac:dyDescent="0.25">
      <c r="A2098" s="11">
        <v>46066</v>
      </c>
      <c r="B2098" t="s">
        <v>15</v>
      </c>
      <c r="C2098" t="s">
        <v>16</v>
      </c>
      <c r="D2098">
        <v>9</v>
      </c>
      <c r="E2098">
        <v>8</v>
      </c>
      <c r="F2098">
        <v>45.3</v>
      </c>
      <c r="G2098">
        <v>0</v>
      </c>
      <c r="H2098">
        <v>0</v>
      </c>
      <c r="I2098" s="3">
        <f>E2098+G2098+H2098</f>
        <v>8</v>
      </c>
      <c r="J2098" s="3">
        <f>ROUND(MIN(IF(C2098="Técnico III",35,IF(C2098="Técnico II",28,IF(C2098="Técnico I",23,IF(C2098="JR",20,IF(C2098="Estágio",10,0))))),IF(C2098="Técnico III",SUMIFS($D:$D,$A:$A,$A2098,$B:$B,"&lt;&gt;Patrícia Karla de Sousa Araújo",$B:$B,"&lt;&gt;Lorena Dias de Araujo",$B:$B,"&lt;&gt;Lucas Luiz Romero")*(35/1083),IF(C2098="Técnico II",SUMIFS($D:$D,$A:$A,$A2098,$B:$B,"&lt;&gt;Patrícia Karla de Sousa Araújo",$B:$B,"&lt;&gt;Lorena Dias de Araujo",$B:$B,"&lt;&gt;Lucas Luiz Romero")*(28/1083),IF(C2098="Técnico I",SUMIFS($D:$D,$A:$A,$A2098,$B:$B,"&lt;&gt;Patrícia Karla de Sousa Araújo",$B:$B,"&lt;&gt;Lorena Dias de Araujo",$B:$B,"&lt;&gt;Lucas Luiz Romero")*(23/1083),IF(C2098="JR",SUMIFS($D:$D,$A:$A,$A2098,$B:$B,"&lt;&gt;Patrícia Karla de Sousa Araújo",$B:$B,"&lt;&gt;Lorena Dias de Araujo",$B:$B,"&lt;&gt;Lucas Luiz Romero")*(20/1083),IF(C2098="Estágio",SUMIFS($D:$D,$A:$A,$A2098,$B:$B,"&lt;&gt;Patrícia Karla de Sousa Araújo",$B:$B,"&lt;&gt;Lorena Dias de Araujo",$B:$B,"&lt;&gt;Lucas Luiz Romero")*(10/1083),0)))))),0)</f>
        <v>8</v>
      </c>
      <c r="K2098" s="3">
        <f>I2098-J2098</f>
        <v>0</v>
      </c>
      <c r="L2098" s="3" t="str">
        <f>IF(K2098&lt;-5,"CRÍTICO",IF(K2098&lt;0,"ATENÇÃO",IF(K2098&lt;=5,"BOM","EXCELENTE")))</f>
        <v>BOM</v>
      </c>
      <c r="M2098">
        <v>7</v>
      </c>
      <c r="N2098">
        <v>97.5</v>
      </c>
      <c r="O2098">
        <v>30.075187969924809</v>
      </c>
    </row>
    <row r="2099" spans="1:15" hidden="1" x14ac:dyDescent="0.25">
      <c r="A2099" s="11">
        <v>46066</v>
      </c>
      <c r="B2099" t="s">
        <v>49</v>
      </c>
      <c r="C2099" t="s">
        <v>48</v>
      </c>
      <c r="D2099">
        <v>32</v>
      </c>
      <c r="E2099">
        <v>30</v>
      </c>
      <c r="F2099">
        <v>23.36</v>
      </c>
      <c r="G2099">
        <v>0</v>
      </c>
      <c r="H2099">
        <v>0</v>
      </c>
      <c r="I2099" s="3">
        <f>E2099+G2099+H2099</f>
        <v>30</v>
      </c>
      <c r="J2099" s="3">
        <f>ROUND(MIN(IF(C2099="Técnico III",35,IF(C2099="Técnico II",28,IF(C2099="Técnico I",23,IF(C2099="JR",20,IF(C2099="Estágio",10,0))))),IF(C2099="Técnico III",SUMIFS($D:$D,$A:$A,$A2099,$B:$B,"&lt;&gt;Patrícia Karla de Sousa Araújo",$B:$B,"&lt;&gt;Lorena Dias de Araujo",$B:$B,"&lt;&gt;Lucas Luiz Romero")*(35/1083),IF(C2099="Técnico II",SUMIFS($D:$D,$A:$A,$A2099,$B:$B,"&lt;&gt;Patrícia Karla de Sousa Araújo",$B:$B,"&lt;&gt;Lorena Dias de Araujo",$B:$B,"&lt;&gt;Lucas Luiz Romero")*(28/1083),IF(C2099="Técnico I",SUMIFS($D:$D,$A:$A,$A2099,$B:$B,"&lt;&gt;Patrícia Karla de Sousa Araújo",$B:$B,"&lt;&gt;Lorena Dias de Araujo",$B:$B,"&lt;&gt;Lucas Luiz Romero")*(23/1083),IF(C2099="JR",SUMIFS($D:$D,$A:$A,$A2099,$B:$B,"&lt;&gt;Patrícia Karla de Sousa Araújo",$B:$B,"&lt;&gt;Lorena Dias de Araujo",$B:$B,"&lt;&gt;Lucas Luiz Romero")*(20/1083),IF(C2099="Estágio",SUMIFS($D:$D,$A:$A,$A2099,$B:$B,"&lt;&gt;Patrícia Karla de Sousa Araújo",$B:$B,"&lt;&gt;Lorena Dias de Araujo",$B:$B,"&lt;&gt;Lucas Luiz Romero")*(10/1083),0)))))),0)</f>
        <v>22</v>
      </c>
      <c r="K2099" s="3">
        <f>I2099-J2099</f>
        <v>8</v>
      </c>
      <c r="L2099" s="3" t="str">
        <f>IF(K2099&lt;-5,"CRÍTICO",IF(K2099&lt;0,"ATENÇÃO",IF(K2099&lt;=5,"BOM","EXCELENTE")))</f>
        <v>EXCELENTE</v>
      </c>
      <c r="M2099">
        <v>31</v>
      </c>
      <c r="N2099">
        <v>100</v>
      </c>
      <c r="O2099">
        <v>29.71311475409836</v>
      </c>
    </row>
    <row r="2100" spans="1:15" hidden="1" x14ac:dyDescent="0.25">
      <c r="A2100" s="11">
        <v>46066</v>
      </c>
      <c r="B2100" t="s">
        <v>50</v>
      </c>
      <c r="C2100" t="s">
        <v>48</v>
      </c>
      <c r="D2100">
        <v>17</v>
      </c>
      <c r="E2100">
        <v>16</v>
      </c>
      <c r="F2100">
        <v>35.24</v>
      </c>
      <c r="G2100">
        <v>0</v>
      </c>
      <c r="H2100">
        <v>0</v>
      </c>
      <c r="I2100" s="3">
        <f>E2100+G2100+H2100</f>
        <v>16</v>
      </c>
      <c r="J2100" s="3">
        <f>ROUND(MIN(IF(C2100="Técnico III",35,IF(C2100="Técnico II",28,IF(C2100="Técnico I",23,IF(C2100="JR",20,IF(C2100="Estágio",10,0))))),IF(C2100="Técnico III",SUMIFS($D:$D,$A:$A,$A2100,$B:$B,"&lt;&gt;Patrícia Karla de Sousa Araújo",$B:$B,"&lt;&gt;Lorena Dias de Araujo",$B:$B,"&lt;&gt;Lucas Luiz Romero")*(35/1083),IF(C2100="Técnico II",SUMIFS($D:$D,$A:$A,$A2100,$B:$B,"&lt;&gt;Patrícia Karla de Sousa Araújo",$B:$B,"&lt;&gt;Lorena Dias de Araujo",$B:$B,"&lt;&gt;Lucas Luiz Romero")*(28/1083),IF(C2100="Técnico I",SUMIFS($D:$D,$A:$A,$A2100,$B:$B,"&lt;&gt;Patrícia Karla de Sousa Araújo",$B:$B,"&lt;&gt;Lorena Dias de Araujo",$B:$B,"&lt;&gt;Lucas Luiz Romero")*(23/1083),IF(C2100="JR",SUMIFS($D:$D,$A:$A,$A2100,$B:$B,"&lt;&gt;Patrícia Karla de Sousa Araújo",$B:$B,"&lt;&gt;Lorena Dias de Araujo",$B:$B,"&lt;&gt;Lucas Luiz Romero")*(20/1083),IF(C2100="Estágio",SUMIFS($D:$D,$A:$A,$A2100,$B:$B,"&lt;&gt;Patrícia Karla de Sousa Araújo",$B:$B,"&lt;&gt;Lorena Dias de Araujo",$B:$B,"&lt;&gt;Lucas Luiz Romero")*(10/1083),0)))))),0)</f>
        <v>22</v>
      </c>
      <c r="K2100" s="3">
        <f>I2100-J2100</f>
        <v>-6</v>
      </c>
      <c r="L2100" s="3" t="str">
        <f>IF(K2100&lt;-5,"CRÍTICO",IF(K2100&lt;0,"ATENÇÃO",IF(K2100&lt;=5,"BOM","EXCELENTE")))</f>
        <v>CRÍTICO</v>
      </c>
      <c r="M2100">
        <v>18</v>
      </c>
      <c r="N2100">
        <v>99.22</v>
      </c>
      <c r="O2100">
        <v>35.256410256410263</v>
      </c>
    </row>
    <row r="2101" spans="1:15" hidden="1" x14ac:dyDescent="0.25">
      <c r="A2101" s="11">
        <v>46066</v>
      </c>
      <c r="B2101" t="s">
        <v>17</v>
      </c>
      <c r="C2101" t="s">
        <v>16</v>
      </c>
      <c r="D2101">
        <v>0</v>
      </c>
      <c r="E2101">
        <v>0</v>
      </c>
      <c r="F2101">
        <v>0</v>
      </c>
      <c r="G2101">
        <v>0</v>
      </c>
      <c r="H2101">
        <v>0</v>
      </c>
      <c r="I2101" s="3">
        <v>0</v>
      </c>
      <c r="J2101" s="3">
        <v>0</v>
      </c>
      <c r="K2101" s="3">
        <v>0</v>
      </c>
      <c r="L2101" s="3" t="str">
        <f>IF(K2101&lt;-5,"CRÍTICO",IF(K2101&lt;0,"ATENÇÃO",IF(K2101&lt;=5,"BOM","EXCELENTE")))</f>
        <v>BOM</v>
      </c>
      <c r="M2101">
        <v>0</v>
      </c>
      <c r="N2101">
        <v>0</v>
      </c>
      <c r="O2101">
        <v>0</v>
      </c>
    </row>
    <row r="2102" spans="1:15" hidden="1" x14ac:dyDescent="0.25">
      <c r="A2102" s="11">
        <v>46066</v>
      </c>
      <c r="B2102" t="s">
        <v>60</v>
      </c>
      <c r="C2102" t="s">
        <v>23</v>
      </c>
      <c r="D2102">
        <v>26</v>
      </c>
      <c r="E2102">
        <v>8</v>
      </c>
      <c r="F2102">
        <v>8.58</v>
      </c>
      <c r="G2102">
        <v>0</v>
      </c>
      <c r="H2102">
        <v>0</v>
      </c>
      <c r="I2102" s="3">
        <f>E2102+G2102+H2102</f>
        <v>8</v>
      </c>
      <c r="J2102" s="3">
        <f>ROUND(MIN(IF(C2102="Técnico III",35,IF(C2102="Técnico II",28,IF(C2102="Técnico I",23,IF(C2102="JR",20,IF(C2102="Estágio",10,0))))),IF(C2102="Técnico III",SUMIFS($D:$D,$A:$A,$A2102,$B:$B,"&lt;&gt;Patrícia Karla de Sousa Araújo",$B:$B,"&lt;&gt;Lorena Dias de Araujo",$B:$B,"&lt;&gt;Lucas Luiz Romero")*(35/1083),IF(C2102="Técnico II",SUMIFS($D:$D,$A:$A,$A2102,$B:$B,"&lt;&gt;Patrícia Karla de Sousa Araújo",$B:$B,"&lt;&gt;Lorena Dias de Araujo",$B:$B,"&lt;&gt;Lucas Luiz Romero")*(28/1083),IF(C2102="Técnico I",SUMIFS($D:$D,$A:$A,$A2102,$B:$B,"&lt;&gt;Patrícia Karla de Sousa Araújo",$B:$B,"&lt;&gt;Lorena Dias de Araujo",$B:$B,"&lt;&gt;Lucas Luiz Romero")*(23/1083),IF(C2102="JR",SUMIFS($D:$D,$A:$A,$A2102,$B:$B,"&lt;&gt;Patrícia Karla de Sousa Araújo",$B:$B,"&lt;&gt;Lorena Dias de Araujo",$B:$B,"&lt;&gt;Lucas Luiz Romero")*(20/1083),IF(C2102="Estágio",SUMIFS($D:$D,$A:$A,$A2102,$B:$B,"&lt;&gt;Patrícia Karla de Sousa Araújo",$B:$B,"&lt;&gt;Lorena Dias de Araujo",$B:$B,"&lt;&gt;Lucas Luiz Romero")*(10/1083),0)))))),0)</f>
        <v>18</v>
      </c>
      <c r="K2102" s="3">
        <f>I2102-J2102</f>
        <v>-10</v>
      </c>
      <c r="L2102" s="3" t="str">
        <f>IF(K2102&lt;-5,"CRÍTICO",IF(K2102&lt;0,"ATENÇÃO",IF(K2102&lt;=5,"BOM","EXCELENTE")))</f>
        <v>CRÍTICO</v>
      </c>
      <c r="M2102">
        <v>17</v>
      </c>
      <c r="N2102">
        <v>98.75</v>
      </c>
      <c r="O2102">
        <v>24.32432432432433</v>
      </c>
    </row>
    <row r="2103" spans="1:15" hidden="1" x14ac:dyDescent="0.25">
      <c r="A2103" s="11">
        <v>46066</v>
      </c>
      <c r="B2103" t="s">
        <v>34</v>
      </c>
      <c r="C2103" t="s">
        <v>32</v>
      </c>
      <c r="D2103">
        <v>46</v>
      </c>
      <c r="E2103">
        <v>38</v>
      </c>
      <c r="F2103">
        <v>14.14</v>
      </c>
      <c r="G2103">
        <v>0</v>
      </c>
      <c r="H2103">
        <v>0</v>
      </c>
      <c r="I2103" s="3">
        <f>E2103+G2103+H2103</f>
        <v>38</v>
      </c>
      <c r="J2103" s="3">
        <f>ROUND(MIN(IF(C2103="Técnico III",35,IF(C2103="Técnico II",28,IF(C2103="Técnico I",23,IF(C2103="JR",20,IF(C2103="Estágio",10,0))))),IF(C2103="Técnico III",SUMIFS($D:$D,$A:$A,$A2103,$B:$B,"&lt;&gt;Patrícia Karla de Sousa Araújo",$B:$B,"&lt;&gt;Lorena Dias de Araujo",$B:$B,"&lt;&gt;Lucas Luiz Romero")*(35/1083),IF(C2103="Técnico II",SUMIFS($D:$D,$A:$A,$A2103,$B:$B,"&lt;&gt;Patrícia Karla de Sousa Araújo",$B:$B,"&lt;&gt;Lorena Dias de Araujo",$B:$B,"&lt;&gt;Lucas Luiz Romero")*(28/1083),IF(C2103="Técnico I",SUMIFS($D:$D,$A:$A,$A2103,$B:$B,"&lt;&gt;Patrícia Karla de Sousa Araújo",$B:$B,"&lt;&gt;Lorena Dias de Araujo",$B:$B,"&lt;&gt;Lucas Luiz Romero")*(23/1083),IF(C2103="JR",SUMIFS($D:$D,$A:$A,$A2103,$B:$B,"&lt;&gt;Patrícia Karla de Sousa Araújo",$B:$B,"&lt;&gt;Lorena Dias de Araujo",$B:$B,"&lt;&gt;Lucas Luiz Romero")*(20/1083),IF(C2103="Estágio",SUMIFS($D:$D,$A:$A,$A2103,$B:$B,"&lt;&gt;Patrícia Karla de Sousa Araújo",$B:$B,"&lt;&gt;Lorena Dias de Araujo",$B:$B,"&lt;&gt;Lucas Luiz Romero")*(10/1083),0)))))),0)</f>
        <v>27</v>
      </c>
      <c r="K2103" s="3">
        <f>I2103-J2103</f>
        <v>11</v>
      </c>
      <c r="L2103" s="3" t="str">
        <f>IF(K2103&lt;-5,"CRÍTICO",IF(K2103&lt;0,"ATENÇÃO",IF(K2103&lt;=5,"BOM","EXCELENTE")))</f>
        <v>EXCELENTE</v>
      </c>
      <c r="M2103">
        <v>42</v>
      </c>
      <c r="N2103">
        <v>93.48</v>
      </c>
      <c r="O2103">
        <v>31.52804642166344</v>
      </c>
    </row>
    <row r="2104" spans="1:15" hidden="1" x14ac:dyDescent="0.25">
      <c r="A2104" s="11">
        <v>46066</v>
      </c>
      <c r="B2104" t="s">
        <v>51</v>
      </c>
      <c r="C2104" t="s">
        <v>48</v>
      </c>
      <c r="D2104">
        <v>21</v>
      </c>
      <c r="E2104">
        <v>18</v>
      </c>
      <c r="F2104">
        <v>35.57</v>
      </c>
      <c r="G2104">
        <v>0</v>
      </c>
      <c r="H2104">
        <v>0</v>
      </c>
      <c r="I2104" s="3">
        <v>0</v>
      </c>
      <c r="J2104" s="3">
        <v>0</v>
      </c>
      <c r="K2104" s="3">
        <v>0</v>
      </c>
      <c r="L2104" s="3" t="str">
        <f>IF(K2104&lt;-5,"CRÍTICO",IF(K2104&lt;0,"ATENÇÃO",IF(K2104&lt;=5,"BOM","EXCELENTE")))</f>
        <v>BOM</v>
      </c>
      <c r="M2104">
        <v>21</v>
      </c>
      <c r="N2104">
        <v>99.16</v>
      </c>
      <c r="O2104">
        <v>26.13908872901678</v>
      </c>
    </row>
    <row r="2105" spans="1:15" hidden="1" x14ac:dyDescent="0.25">
      <c r="A2105" s="11">
        <v>46066</v>
      </c>
      <c r="B2105" t="s">
        <v>61</v>
      </c>
      <c r="C2105" t="s">
        <v>23</v>
      </c>
      <c r="D2105">
        <v>12</v>
      </c>
      <c r="E2105">
        <v>12</v>
      </c>
      <c r="F2105">
        <v>51.55</v>
      </c>
      <c r="G2105">
        <v>0</v>
      </c>
      <c r="H2105">
        <v>0</v>
      </c>
      <c r="I2105" s="3">
        <f>E2105+G2105+H2105</f>
        <v>12</v>
      </c>
      <c r="J2105" s="3">
        <f>ROUND(MIN(IF(C2105="Técnico III",35,IF(C2105="Técnico II",28,IF(C2105="Técnico I",23,IF(C2105="JR",20,IF(C2105="Estágio",10,0))))),IF(C2105="Técnico III",SUMIFS($D:$D,$A:$A,$A2105,$B:$B,"&lt;&gt;Patrícia Karla de Sousa Araújo",$B:$B,"&lt;&gt;Lorena Dias de Araujo",$B:$B,"&lt;&gt;Lucas Luiz Romero")*(35/1083),IF(C2105="Técnico II",SUMIFS($D:$D,$A:$A,$A2105,$B:$B,"&lt;&gt;Patrícia Karla de Sousa Araújo",$B:$B,"&lt;&gt;Lorena Dias de Araujo",$B:$B,"&lt;&gt;Lucas Luiz Romero")*(28/1083),IF(C2105="Técnico I",SUMIFS($D:$D,$A:$A,$A2105,$B:$B,"&lt;&gt;Patrícia Karla de Sousa Araújo",$B:$B,"&lt;&gt;Lorena Dias de Araujo",$B:$B,"&lt;&gt;Lucas Luiz Romero")*(23/1083),IF(C2105="JR",SUMIFS($D:$D,$A:$A,$A2105,$B:$B,"&lt;&gt;Patrícia Karla de Sousa Araújo",$B:$B,"&lt;&gt;Lorena Dias de Araujo",$B:$B,"&lt;&gt;Lucas Luiz Romero")*(20/1083),IF(C2105="Estágio",SUMIFS($D:$D,$A:$A,$A2105,$B:$B,"&lt;&gt;Patrícia Karla de Sousa Araújo",$B:$B,"&lt;&gt;Lorena Dias de Araujo",$B:$B,"&lt;&gt;Lucas Luiz Romero")*(10/1083),0)))))),0)</f>
        <v>18</v>
      </c>
      <c r="K2105" s="3">
        <f>I2105-J2105</f>
        <v>-6</v>
      </c>
      <c r="L2105" s="3" t="str">
        <f>IF(K2105&lt;-5,"CRÍTICO",IF(K2105&lt;0,"ATENÇÃO",IF(K2105&lt;=5,"BOM","EXCELENTE")))</f>
        <v>CRÍTICO</v>
      </c>
      <c r="M2105">
        <v>9</v>
      </c>
      <c r="N2105">
        <v>100</v>
      </c>
      <c r="O2105">
        <v>31.089743589743591</v>
      </c>
    </row>
    <row r="2106" spans="1:15" hidden="1" x14ac:dyDescent="0.25">
      <c r="A2106" s="11">
        <v>46066</v>
      </c>
      <c r="B2106" t="s">
        <v>35</v>
      </c>
      <c r="C2106" t="s">
        <v>32</v>
      </c>
      <c r="D2106">
        <v>29</v>
      </c>
      <c r="E2106">
        <v>28</v>
      </c>
      <c r="F2106">
        <v>27.38</v>
      </c>
      <c r="G2106">
        <v>0</v>
      </c>
      <c r="H2106">
        <v>0</v>
      </c>
      <c r="I2106" s="3">
        <v>0</v>
      </c>
      <c r="J2106" s="3">
        <v>0</v>
      </c>
      <c r="K2106" s="3">
        <v>0</v>
      </c>
      <c r="L2106" s="3" t="str">
        <f>IF(K2106&lt;-5,"CRÍTICO",IF(K2106&lt;0,"ATENÇÃO",IF(K2106&lt;=5,"BOM","EXCELENTE")))</f>
        <v>BOM</v>
      </c>
      <c r="M2106">
        <v>28</v>
      </c>
      <c r="N2106">
        <v>98.11</v>
      </c>
      <c r="O2106">
        <v>33.033707865168537</v>
      </c>
    </row>
    <row r="2107" spans="1:15" hidden="1" x14ac:dyDescent="0.25">
      <c r="A2107" s="11">
        <v>46066</v>
      </c>
      <c r="B2107" t="s">
        <v>18</v>
      </c>
      <c r="C2107" t="s">
        <v>16</v>
      </c>
      <c r="D2107">
        <v>46</v>
      </c>
      <c r="E2107">
        <v>33</v>
      </c>
      <c r="F2107">
        <v>7.18</v>
      </c>
      <c r="G2107">
        <v>0</v>
      </c>
      <c r="H2107">
        <v>0</v>
      </c>
      <c r="I2107" s="3">
        <f>E2107+G2107+H2107</f>
        <v>33</v>
      </c>
      <c r="J2107" s="3">
        <f>ROUND(MIN(IF(C2107="Técnico III",35,IF(C2107="Técnico II",28,IF(C2107="Técnico I",23,IF(C2107="JR",20,IF(C2107="Estágio",10,0))))),IF(C2107="Técnico III",SUMIFS($D:$D,$A:$A,$A2107,$B:$B,"&lt;&gt;Patrícia Karla de Sousa Araújo",$B:$B,"&lt;&gt;Lorena Dias de Araujo",$B:$B,"&lt;&gt;Lucas Luiz Romero")*(35/1083),IF(C2107="Técnico II",SUMIFS($D:$D,$A:$A,$A2107,$B:$B,"&lt;&gt;Patrícia Karla de Sousa Araújo",$B:$B,"&lt;&gt;Lorena Dias de Araujo",$B:$B,"&lt;&gt;Lucas Luiz Romero")*(28/1083),IF(C2107="Técnico I",SUMIFS($D:$D,$A:$A,$A2107,$B:$B,"&lt;&gt;Patrícia Karla de Sousa Araújo",$B:$B,"&lt;&gt;Lorena Dias de Araujo",$B:$B,"&lt;&gt;Lucas Luiz Romero")*(23/1083),IF(C2107="JR",SUMIFS($D:$D,$A:$A,$A2107,$B:$B,"&lt;&gt;Patrícia Karla de Sousa Araújo",$B:$B,"&lt;&gt;Lorena Dias de Araujo",$B:$B,"&lt;&gt;Lucas Luiz Romero")*(20/1083),IF(C2107="Estágio",SUMIFS($D:$D,$A:$A,$A2107,$B:$B,"&lt;&gt;Patrícia Karla de Sousa Araújo",$B:$B,"&lt;&gt;Lorena Dias de Araujo",$B:$B,"&lt;&gt;Lucas Luiz Romero")*(10/1083),0)))))),0)</f>
        <v>8</v>
      </c>
      <c r="K2107" s="3">
        <f>I2107-J2107</f>
        <v>25</v>
      </c>
      <c r="L2107" s="3" t="str">
        <f>IF(K2107&lt;-5,"CRÍTICO",IF(K2107&lt;0,"ATENÇÃO",IF(K2107&lt;=5,"BOM","EXCELENTE")))</f>
        <v>EXCELENTE</v>
      </c>
      <c r="M2107">
        <v>2</v>
      </c>
      <c r="N2107">
        <v>78.95</v>
      </c>
      <c r="O2107">
        <v>38.983050847457633</v>
      </c>
    </row>
    <row r="2108" spans="1:15" hidden="1" x14ac:dyDescent="0.25">
      <c r="A2108" s="11">
        <v>46066</v>
      </c>
      <c r="B2108" t="s">
        <v>52</v>
      </c>
      <c r="C2108" t="s">
        <v>48</v>
      </c>
      <c r="D2108">
        <v>18</v>
      </c>
      <c r="E2108">
        <v>16</v>
      </c>
      <c r="F2108">
        <v>23.47</v>
      </c>
      <c r="G2108">
        <v>0</v>
      </c>
      <c r="H2108">
        <v>0</v>
      </c>
      <c r="I2108" s="3">
        <f>E2108+G2108+H2108</f>
        <v>16</v>
      </c>
      <c r="J2108" s="3">
        <f>ROUND(MIN(IF(C2108="Técnico III",35,IF(C2108="Técnico II",28,IF(C2108="Técnico I",23,IF(C2108="JR",20,IF(C2108="Estágio",10,0))))),IF(C2108="Técnico III",SUMIFS($D:$D,$A:$A,$A2108,$B:$B,"&lt;&gt;Patrícia Karla de Sousa Araújo",$B:$B,"&lt;&gt;Lorena Dias de Araujo",$B:$B,"&lt;&gt;Lucas Luiz Romero")*(35/1083),IF(C2108="Técnico II",SUMIFS($D:$D,$A:$A,$A2108,$B:$B,"&lt;&gt;Patrícia Karla de Sousa Araújo",$B:$B,"&lt;&gt;Lorena Dias de Araujo",$B:$B,"&lt;&gt;Lucas Luiz Romero")*(28/1083),IF(C2108="Técnico I",SUMIFS($D:$D,$A:$A,$A2108,$B:$B,"&lt;&gt;Patrícia Karla de Sousa Araújo",$B:$B,"&lt;&gt;Lorena Dias de Araujo",$B:$B,"&lt;&gt;Lucas Luiz Romero")*(23/1083),IF(C2108="JR",SUMIFS($D:$D,$A:$A,$A2108,$B:$B,"&lt;&gt;Patrícia Karla de Sousa Araújo",$B:$B,"&lt;&gt;Lorena Dias de Araujo",$B:$B,"&lt;&gt;Lucas Luiz Romero")*(20/1083),IF(C2108="Estágio",SUMIFS($D:$D,$A:$A,$A2108,$B:$B,"&lt;&gt;Patrícia Karla de Sousa Araújo",$B:$B,"&lt;&gt;Lorena Dias de Araujo",$B:$B,"&lt;&gt;Lucas Luiz Romero")*(10/1083),0)))))),0)</f>
        <v>22</v>
      </c>
      <c r="K2108" s="3">
        <f>I2108-J2108</f>
        <v>-6</v>
      </c>
      <c r="L2108" s="3" t="str">
        <f>IF(K2108&lt;-5,"CRÍTICO",IF(K2108&lt;0,"ATENÇÃO",IF(K2108&lt;=5,"BOM","EXCELENTE")))</f>
        <v>CRÍTICO</v>
      </c>
      <c r="M2108">
        <v>17</v>
      </c>
      <c r="N2108">
        <v>98.45</v>
      </c>
      <c r="O2108">
        <v>29.281767955801101</v>
      </c>
    </row>
    <row r="2109" spans="1:15" hidden="1" x14ac:dyDescent="0.25">
      <c r="A2109" s="11">
        <v>46066</v>
      </c>
      <c r="B2109" t="s">
        <v>36</v>
      </c>
      <c r="C2109" t="s">
        <v>32</v>
      </c>
      <c r="D2109">
        <v>28</v>
      </c>
      <c r="E2109">
        <v>25</v>
      </c>
      <c r="F2109">
        <v>20.190000000000001</v>
      </c>
      <c r="G2109">
        <v>0</v>
      </c>
      <c r="H2109">
        <v>0</v>
      </c>
      <c r="I2109" s="3">
        <f>E2109+G2109+H2109</f>
        <v>25</v>
      </c>
      <c r="J2109" s="3">
        <f>ROUND(MIN(IF(C2109="Técnico III",35,IF(C2109="Técnico II",28,IF(C2109="Técnico I",23,IF(C2109="JR",20,IF(C2109="Estágio",10,0))))),IF(C2109="Técnico III",SUMIFS($D:$D,$A:$A,$A2109,$B:$B,"&lt;&gt;Patrícia Karla de Sousa Araújo",$B:$B,"&lt;&gt;Lorena Dias de Araujo",$B:$B,"&lt;&gt;Lucas Luiz Romero")*(35/1083),IF(C2109="Técnico II",SUMIFS($D:$D,$A:$A,$A2109,$B:$B,"&lt;&gt;Patrícia Karla de Sousa Araújo",$B:$B,"&lt;&gt;Lorena Dias de Araujo",$B:$B,"&lt;&gt;Lucas Luiz Romero")*(28/1083),IF(C2109="Técnico I",SUMIFS($D:$D,$A:$A,$A2109,$B:$B,"&lt;&gt;Patrícia Karla de Sousa Araújo",$B:$B,"&lt;&gt;Lorena Dias de Araujo",$B:$B,"&lt;&gt;Lucas Luiz Romero")*(23/1083),IF(C2109="JR",SUMIFS($D:$D,$A:$A,$A2109,$B:$B,"&lt;&gt;Patrícia Karla de Sousa Araújo",$B:$B,"&lt;&gt;Lorena Dias de Araujo",$B:$B,"&lt;&gt;Lucas Luiz Romero")*(20/1083),IF(C2109="Estágio",SUMIFS($D:$D,$A:$A,$A2109,$B:$B,"&lt;&gt;Patrícia Karla de Sousa Araújo",$B:$B,"&lt;&gt;Lorena Dias de Araujo",$B:$B,"&lt;&gt;Lucas Luiz Romero")*(10/1083),0)))))),0)</f>
        <v>27</v>
      </c>
      <c r="K2109" s="3">
        <f>I2109-J2109</f>
        <v>-2</v>
      </c>
      <c r="L2109" s="3" t="str">
        <f>IF(K2109&lt;-5,"CRÍTICO",IF(K2109&lt;0,"ATENÇÃO",IF(K2109&lt;=5,"BOM","EXCELENTE")))</f>
        <v>ATENÇÃO</v>
      </c>
      <c r="M2109">
        <v>26</v>
      </c>
      <c r="N2109">
        <v>97.84</v>
      </c>
      <c r="O2109">
        <v>26.282051282051281</v>
      </c>
    </row>
    <row r="2110" spans="1:15" hidden="1" x14ac:dyDescent="0.25">
      <c r="A2110" s="11">
        <v>46066</v>
      </c>
      <c r="B2110" t="s">
        <v>53</v>
      </c>
      <c r="C2110" t="s">
        <v>48</v>
      </c>
      <c r="D2110">
        <v>39</v>
      </c>
      <c r="E2110">
        <v>36</v>
      </c>
      <c r="F2110">
        <v>19.190000000000001</v>
      </c>
      <c r="G2110">
        <v>0</v>
      </c>
      <c r="H2110">
        <v>0</v>
      </c>
      <c r="I2110" s="3">
        <f>E2110+G2110+H2110</f>
        <v>36</v>
      </c>
      <c r="J2110" s="3">
        <f>ROUND(MIN(IF(C2110="Técnico III",35,IF(C2110="Técnico II",28,IF(C2110="Técnico I",23,IF(C2110="JR",20,IF(C2110="Estágio",10,0))))),IF(C2110="Técnico III",SUMIFS($D:$D,$A:$A,$A2110,$B:$B,"&lt;&gt;Patrícia Karla de Sousa Araújo",$B:$B,"&lt;&gt;Lorena Dias de Araujo",$B:$B,"&lt;&gt;Lucas Luiz Romero")*(35/1083),IF(C2110="Técnico II",SUMIFS($D:$D,$A:$A,$A2110,$B:$B,"&lt;&gt;Patrícia Karla de Sousa Araújo",$B:$B,"&lt;&gt;Lorena Dias de Araujo",$B:$B,"&lt;&gt;Lucas Luiz Romero")*(28/1083),IF(C2110="Técnico I",SUMIFS($D:$D,$A:$A,$A2110,$B:$B,"&lt;&gt;Patrícia Karla de Sousa Araújo",$B:$B,"&lt;&gt;Lorena Dias de Araujo",$B:$B,"&lt;&gt;Lucas Luiz Romero")*(23/1083),IF(C2110="JR",SUMIFS($D:$D,$A:$A,$A2110,$B:$B,"&lt;&gt;Patrícia Karla de Sousa Araújo",$B:$B,"&lt;&gt;Lorena Dias de Araujo",$B:$B,"&lt;&gt;Lucas Luiz Romero")*(20/1083),IF(C2110="Estágio",SUMIFS($D:$D,$A:$A,$A2110,$B:$B,"&lt;&gt;Patrícia Karla de Sousa Araújo",$B:$B,"&lt;&gt;Lorena Dias de Araujo",$B:$B,"&lt;&gt;Lucas Luiz Romero")*(10/1083),0)))))),0)</f>
        <v>22</v>
      </c>
      <c r="K2110" s="3">
        <f>I2110-J2110</f>
        <v>14</v>
      </c>
      <c r="L2110" s="3" t="str">
        <f>IF(K2110&lt;-5,"CRÍTICO",IF(K2110&lt;0,"ATENÇÃO",IF(K2110&lt;=5,"BOM","EXCELENTE")))</f>
        <v>EXCELENTE</v>
      </c>
      <c r="M2110">
        <v>34</v>
      </c>
      <c r="N2110">
        <v>98.5</v>
      </c>
      <c r="O2110">
        <v>23.97769516728625</v>
      </c>
    </row>
    <row r="2111" spans="1:15" hidden="1" x14ac:dyDescent="0.25">
      <c r="A2111" s="11">
        <v>46100</v>
      </c>
      <c r="B2111" t="s">
        <v>22</v>
      </c>
      <c r="C2111" t="s">
        <v>23</v>
      </c>
      <c r="D2111">
        <v>14</v>
      </c>
      <c r="E2111">
        <v>12</v>
      </c>
      <c r="F2111">
        <v>25.05</v>
      </c>
      <c r="G2111">
        <v>0</v>
      </c>
      <c r="H2111">
        <v>0</v>
      </c>
      <c r="I2111" s="3">
        <f>E2111+G2111+H2111</f>
        <v>12</v>
      </c>
      <c r="J2111" s="3">
        <f>ROUND(MIN(IF(C2111="Técnico III",35,IF(C2111="Técnico II",28,IF(C2111="Técnico I",23,IF(C2111="JR",20,IF(C2111="Estágio",10,0))))),IF(C2111="Técnico III",SUMIFS($D:$D,$A:$A,$A2111,$B:$B,"&lt;&gt;Patrícia Karla de Sousa Araújo",$B:$B,"&lt;&gt;Lorena Dias de Araujo",$B:$B,"&lt;&gt;Lucas Luiz Romero")*(35/1083),IF(C2111="Técnico II",SUMIFS($D:$D,$A:$A,$A2111,$B:$B,"&lt;&gt;Patrícia Karla de Sousa Araújo",$B:$B,"&lt;&gt;Lorena Dias de Araujo",$B:$B,"&lt;&gt;Lucas Luiz Romero")*(28/1083),IF(C2111="Técnico I",SUMIFS($D:$D,$A:$A,$A2111,$B:$B,"&lt;&gt;Patrícia Karla de Sousa Araújo",$B:$B,"&lt;&gt;Lorena Dias de Araujo",$B:$B,"&lt;&gt;Lucas Luiz Romero")*(23/1083),IF(C2111="JR",SUMIFS($D:$D,$A:$A,$A2111,$B:$B,"&lt;&gt;Patrícia Karla de Sousa Araújo",$B:$B,"&lt;&gt;Lorena Dias de Araujo",$B:$B,"&lt;&gt;Lucas Luiz Romero")*(20/1083),IF(C2111="Estágio",SUMIFS($D:$D,$A:$A,$A2111,$B:$B,"&lt;&gt;Patrícia Karla de Sousa Araújo",$B:$B,"&lt;&gt;Lorena Dias de Araujo",$B:$B,"&lt;&gt;Lucas Luiz Romero")*(10/1083),0)))))),0)</f>
        <v>14</v>
      </c>
      <c r="K2111" s="3">
        <f>I2111-J2111</f>
        <v>-2</v>
      </c>
      <c r="L2111" s="3" t="str">
        <f>IF(K2111&lt;-5,"CRÍTICO",IF(K2111&lt;0,"ATENÇÃO",IF(K2111&lt;=5,"BOM","EXCELENTE")))</f>
        <v>ATENÇÃO</v>
      </c>
      <c r="M2111">
        <v>11</v>
      </c>
      <c r="N2111">
        <v>99.05</v>
      </c>
      <c r="O2111">
        <v>26.621923937360179</v>
      </c>
    </row>
    <row r="2112" spans="1:15" hidden="1" x14ac:dyDescent="0.25">
      <c r="A2112" s="11">
        <v>46066</v>
      </c>
      <c r="B2112" t="s">
        <v>54</v>
      </c>
      <c r="C2112" t="s">
        <v>48</v>
      </c>
      <c r="D2112">
        <v>26</v>
      </c>
      <c r="E2112">
        <v>24</v>
      </c>
      <c r="F2112">
        <v>30.25</v>
      </c>
      <c r="G2112">
        <v>0</v>
      </c>
      <c r="H2112">
        <v>0</v>
      </c>
      <c r="I2112" s="3">
        <f>E2112+G2112+H2112</f>
        <v>24</v>
      </c>
      <c r="J2112" s="3">
        <f>ROUND(MIN(IF(C2112="Técnico III",35,IF(C2112="Técnico II",28,IF(C2112="Técnico I",23,IF(C2112="JR",20,IF(C2112="Estágio",10,0))))),IF(C2112="Técnico III",SUMIFS($D:$D,$A:$A,$A2112,$B:$B,"&lt;&gt;Patrícia Karla de Sousa Araújo",$B:$B,"&lt;&gt;Lorena Dias de Araujo",$B:$B,"&lt;&gt;Lucas Luiz Romero")*(35/1083),IF(C2112="Técnico II",SUMIFS($D:$D,$A:$A,$A2112,$B:$B,"&lt;&gt;Patrícia Karla de Sousa Araújo",$B:$B,"&lt;&gt;Lorena Dias de Araujo",$B:$B,"&lt;&gt;Lucas Luiz Romero")*(28/1083),IF(C2112="Técnico I",SUMIFS($D:$D,$A:$A,$A2112,$B:$B,"&lt;&gt;Patrícia Karla de Sousa Araújo",$B:$B,"&lt;&gt;Lorena Dias de Araujo",$B:$B,"&lt;&gt;Lucas Luiz Romero")*(23/1083),IF(C2112="JR",SUMIFS($D:$D,$A:$A,$A2112,$B:$B,"&lt;&gt;Patrícia Karla de Sousa Araújo",$B:$B,"&lt;&gt;Lorena Dias de Araujo",$B:$B,"&lt;&gt;Lucas Luiz Romero")*(20/1083),IF(C2112="Estágio",SUMIFS($D:$D,$A:$A,$A2112,$B:$B,"&lt;&gt;Patrícia Karla de Sousa Araújo",$B:$B,"&lt;&gt;Lorena Dias de Araujo",$B:$B,"&lt;&gt;Lucas Luiz Romero")*(10/1083),0)))))),0)</f>
        <v>22</v>
      </c>
      <c r="K2112" s="3">
        <f>I2112-J2112</f>
        <v>2</v>
      </c>
      <c r="L2112" s="3" t="str">
        <f>IF(K2112&lt;-5,"CRÍTICO",IF(K2112&lt;0,"ATENÇÃO",IF(K2112&lt;=5,"BOM","EXCELENTE")))</f>
        <v>BOM</v>
      </c>
      <c r="M2112">
        <v>22</v>
      </c>
      <c r="N2112">
        <v>98.53</v>
      </c>
      <c r="O2112">
        <v>31.578947368421051</v>
      </c>
    </row>
    <row r="2113" spans="1:15" hidden="1" x14ac:dyDescent="0.25">
      <c r="A2113" s="11">
        <v>46066</v>
      </c>
      <c r="B2113" t="s">
        <v>37</v>
      </c>
      <c r="C2113" t="s">
        <v>32</v>
      </c>
      <c r="D2113">
        <v>46</v>
      </c>
      <c r="E2113">
        <v>44</v>
      </c>
      <c r="F2113">
        <v>17.010000000000002</v>
      </c>
      <c r="G2113">
        <v>0</v>
      </c>
      <c r="H2113">
        <v>0</v>
      </c>
      <c r="I2113" s="3">
        <f>E2113+G2113+H2113</f>
        <v>44</v>
      </c>
      <c r="J2113" s="3">
        <f>ROUND(MIN(IF(C2113="Técnico III",35,IF(C2113="Técnico II",28,IF(C2113="Técnico I",23,IF(C2113="JR",20,IF(C2113="Estágio",10,0))))),IF(C2113="Técnico III",SUMIFS($D:$D,$A:$A,$A2113,$B:$B,"&lt;&gt;Patrícia Karla de Sousa Araújo",$B:$B,"&lt;&gt;Lorena Dias de Araujo",$B:$B,"&lt;&gt;Lucas Luiz Romero")*(35/1083),IF(C2113="Técnico II",SUMIFS($D:$D,$A:$A,$A2113,$B:$B,"&lt;&gt;Patrícia Karla de Sousa Araújo",$B:$B,"&lt;&gt;Lorena Dias de Araujo",$B:$B,"&lt;&gt;Lucas Luiz Romero")*(28/1083),IF(C2113="Técnico I",SUMIFS($D:$D,$A:$A,$A2113,$B:$B,"&lt;&gt;Patrícia Karla de Sousa Araújo",$B:$B,"&lt;&gt;Lorena Dias de Araujo",$B:$B,"&lt;&gt;Lucas Luiz Romero")*(23/1083),IF(C2113="JR",SUMIFS($D:$D,$A:$A,$A2113,$B:$B,"&lt;&gt;Patrícia Karla de Sousa Araújo",$B:$B,"&lt;&gt;Lorena Dias de Araujo",$B:$B,"&lt;&gt;Lucas Luiz Romero")*(20/1083),IF(C2113="Estágio",SUMIFS($D:$D,$A:$A,$A2113,$B:$B,"&lt;&gt;Patrícia Karla de Sousa Araújo",$B:$B,"&lt;&gt;Lorena Dias de Araujo",$B:$B,"&lt;&gt;Lucas Luiz Romero")*(10/1083),0)))))),0)</f>
        <v>27</v>
      </c>
      <c r="K2113" s="3">
        <f>I2113-J2113</f>
        <v>17</v>
      </c>
      <c r="L2113" s="3" t="str">
        <f>IF(K2113&lt;-5,"CRÍTICO",IF(K2113&lt;0,"ATENÇÃO",IF(K2113&lt;=5,"BOM","EXCELENTE")))</f>
        <v>EXCELENTE</v>
      </c>
      <c r="M2113">
        <v>40</v>
      </c>
      <c r="N2113">
        <v>100</v>
      </c>
      <c r="O2113">
        <v>25.72214580467676</v>
      </c>
    </row>
    <row r="2114" spans="1:15" hidden="1" x14ac:dyDescent="0.25">
      <c r="A2114" s="11">
        <v>46066</v>
      </c>
      <c r="B2114" t="s">
        <v>38</v>
      </c>
      <c r="C2114" t="s">
        <v>32</v>
      </c>
      <c r="D2114">
        <v>41</v>
      </c>
      <c r="E2114">
        <v>33</v>
      </c>
      <c r="F2114">
        <v>11.43</v>
      </c>
      <c r="G2114">
        <v>0</v>
      </c>
      <c r="H2114">
        <v>0</v>
      </c>
      <c r="I2114" s="3">
        <f>E2114+G2114+H2114</f>
        <v>33</v>
      </c>
      <c r="J2114" s="3">
        <f>ROUND(MIN(IF(C2114="Técnico III",35,IF(C2114="Técnico II",28,IF(C2114="Técnico I",23,IF(C2114="JR",20,IF(C2114="Estágio",10,0))))),IF(C2114="Técnico III",SUMIFS($D:$D,$A:$A,$A2114,$B:$B,"&lt;&gt;Patrícia Karla de Sousa Araújo",$B:$B,"&lt;&gt;Lorena Dias de Araujo",$B:$B,"&lt;&gt;Lucas Luiz Romero")*(35/1083),IF(C2114="Técnico II",SUMIFS($D:$D,$A:$A,$A2114,$B:$B,"&lt;&gt;Patrícia Karla de Sousa Araújo",$B:$B,"&lt;&gt;Lorena Dias de Araujo",$B:$B,"&lt;&gt;Lucas Luiz Romero")*(28/1083),IF(C2114="Técnico I",SUMIFS($D:$D,$A:$A,$A2114,$B:$B,"&lt;&gt;Patrícia Karla de Sousa Araújo",$B:$B,"&lt;&gt;Lorena Dias de Araujo",$B:$B,"&lt;&gt;Lucas Luiz Romero")*(23/1083),IF(C2114="JR",SUMIFS($D:$D,$A:$A,$A2114,$B:$B,"&lt;&gt;Patrícia Karla de Sousa Araújo",$B:$B,"&lt;&gt;Lorena Dias de Araujo",$B:$B,"&lt;&gt;Lucas Luiz Romero")*(20/1083),IF(C2114="Estágio",SUMIFS($D:$D,$A:$A,$A2114,$B:$B,"&lt;&gt;Patrícia Karla de Sousa Araújo",$B:$B,"&lt;&gt;Lorena Dias de Araujo",$B:$B,"&lt;&gt;Lucas Luiz Romero")*(10/1083),0)))))),0)</f>
        <v>27</v>
      </c>
      <c r="K2114" s="3">
        <f>I2114-J2114</f>
        <v>6</v>
      </c>
      <c r="L2114" s="3" t="str">
        <f>IF(K2114&lt;-5,"CRÍTICO",IF(K2114&lt;0,"ATENÇÃO",IF(K2114&lt;=5,"BOM","EXCELENTE")))</f>
        <v>EXCELENTE</v>
      </c>
      <c r="M2114">
        <v>33</v>
      </c>
      <c r="N2114">
        <v>94.64</v>
      </c>
      <c r="O2114">
        <v>27.52941176470588</v>
      </c>
    </row>
    <row r="2115" spans="1:15" hidden="1" x14ac:dyDescent="0.25">
      <c r="A2115" s="11">
        <v>46066</v>
      </c>
      <c r="B2115" t="s">
        <v>55</v>
      </c>
      <c r="C2115" t="s">
        <v>48</v>
      </c>
      <c r="D2115">
        <v>35</v>
      </c>
      <c r="E2115">
        <v>30</v>
      </c>
      <c r="F2115">
        <v>20.41</v>
      </c>
      <c r="G2115">
        <v>0</v>
      </c>
      <c r="H2115">
        <v>0</v>
      </c>
      <c r="I2115" s="3">
        <f>E2115+G2115+H2115</f>
        <v>30</v>
      </c>
      <c r="J2115" s="3">
        <f>ROUND(MIN(IF(C2115="Técnico III",35,IF(C2115="Técnico II",28,IF(C2115="Técnico I",23,IF(C2115="JR",20,IF(C2115="Estágio",10,0))))),IF(C2115="Técnico III",SUMIFS($D:$D,$A:$A,$A2115,$B:$B,"&lt;&gt;Patrícia Karla de Sousa Araújo",$B:$B,"&lt;&gt;Lorena Dias de Araujo",$B:$B,"&lt;&gt;Lucas Luiz Romero")*(35/1083),IF(C2115="Técnico II",SUMIFS($D:$D,$A:$A,$A2115,$B:$B,"&lt;&gt;Patrícia Karla de Sousa Araújo",$B:$B,"&lt;&gt;Lorena Dias de Araujo",$B:$B,"&lt;&gt;Lucas Luiz Romero")*(28/1083),IF(C2115="Técnico I",SUMIFS($D:$D,$A:$A,$A2115,$B:$B,"&lt;&gt;Patrícia Karla de Sousa Araújo",$B:$B,"&lt;&gt;Lorena Dias de Araujo",$B:$B,"&lt;&gt;Lucas Luiz Romero")*(23/1083),IF(C2115="JR",SUMIFS($D:$D,$A:$A,$A2115,$B:$B,"&lt;&gt;Patrícia Karla de Sousa Araújo",$B:$B,"&lt;&gt;Lorena Dias de Araujo",$B:$B,"&lt;&gt;Lucas Luiz Romero")*(20/1083),IF(C2115="Estágio",SUMIFS($D:$D,$A:$A,$A2115,$B:$B,"&lt;&gt;Patrícia Karla de Sousa Araújo",$B:$B,"&lt;&gt;Lorena Dias de Araujo",$B:$B,"&lt;&gt;Lucas Luiz Romero")*(10/1083),0)))))),0)</f>
        <v>22</v>
      </c>
      <c r="K2115" s="3">
        <f>I2115-J2115</f>
        <v>8</v>
      </c>
      <c r="L2115" s="3" t="str">
        <f>IF(K2115&lt;-5,"CRÍTICO",IF(K2115&lt;0,"ATENÇÃO",IF(K2115&lt;=5,"BOM","EXCELENTE")))</f>
        <v>EXCELENTE</v>
      </c>
      <c r="M2115">
        <v>24</v>
      </c>
      <c r="N2115">
        <v>99.07</v>
      </c>
      <c r="O2115">
        <v>26.376811594202898</v>
      </c>
    </row>
    <row r="2116" spans="1:15" hidden="1" x14ac:dyDescent="0.25">
      <c r="A2116" s="11">
        <v>46066</v>
      </c>
      <c r="B2116" t="s">
        <v>39</v>
      </c>
      <c r="C2116" t="s">
        <v>32</v>
      </c>
      <c r="D2116">
        <v>0</v>
      </c>
      <c r="E2116">
        <v>0</v>
      </c>
      <c r="F2116">
        <v>0</v>
      </c>
      <c r="G2116">
        <v>0</v>
      </c>
      <c r="H2116">
        <v>0</v>
      </c>
      <c r="I2116" s="3">
        <v>0</v>
      </c>
      <c r="J2116" s="3">
        <v>0</v>
      </c>
      <c r="K2116" s="3">
        <v>0</v>
      </c>
      <c r="L2116" s="3" t="str">
        <f>IF(K2116&lt;-5,"CRÍTICO",IF(K2116&lt;0,"ATENÇÃO",IF(K2116&lt;=5,"BOM","EXCELENTE")))</f>
        <v>BOM</v>
      </c>
      <c r="M2116">
        <v>0</v>
      </c>
      <c r="N2116">
        <v>100</v>
      </c>
      <c r="O2116">
        <v>0</v>
      </c>
    </row>
    <row r="2117" spans="1:15" hidden="1" x14ac:dyDescent="0.25">
      <c r="A2117" s="11">
        <v>46066</v>
      </c>
      <c r="B2117" t="s">
        <v>25</v>
      </c>
      <c r="C2117" t="s">
        <v>26</v>
      </c>
      <c r="D2117">
        <v>8</v>
      </c>
      <c r="E2117">
        <v>8</v>
      </c>
      <c r="F2117">
        <v>38.53</v>
      </c>
      <c r="G2117">
        <v>0</v>
      </c>
      <c r="H2117">
        <v>0</v>
      </c>
      <c r="I2117" s="3">
        <f>E2117+G2117+H2117</f>
        <v>8</v>
      </c>
      <c r="J2117" s="3">
        <f>ROUND(MIN(IF(C2117="Técnico III",35,IF(C2117="Técnico II",28,IF(C2117="Técnico I",23,IF(C2117="JR",20,IF(C2117="Estágio",10,0))))),IF(C2117="Técnico III",SUMIFS($D:$D,$A:$A,$A2117,$B:$B,"&lt;&gt;Patrícia Karla de Sousa Araújo",$B:$B,"&lt;&gt;Lorena Dias de Araujo",$B:$B,"&lt;&gt;Lucas Luiz Romero")*(35/1083),IF(C2117="Técnico II",SUMIFS($D:$D,$A:$A,$A2117,$B:$B,"&lt;&gt;Patrícia Karla de Sousa Araújo",$B:$B,"&lt;&gt;Lorena Dias de Araujo",$B:$B,"&lt;&gt;Lucas Luiz Romero")*(28/1083),IF(C2117="Técnico I",SUMIFS($D:$D,$A:$A,$A2117,$B:$B,"&lt;&gt;Patrícia Karla de Sousa Araújo",$B:$B,"&lt;&gt;Lorena Dias de Araujo",$B:$B,"&lt;&gt;Lucas Luiz Romero")*(23/1083),IF(C2117="JR",SUMIFS($D:$D,$A:$A,$A2117,$B:$B,"&lt;&gt;Patrícia Karla de Sousa Araújo",$B:$B,"&lt;&gt;Lorena Dias de Araujo",$B:$B,"&lt;&gt;Lucas Luiz Romero")*(20/1083),IF(C2117="Estágio",SUMIFS($D:$D,$A:$A,$A2117,$B:$B,"&lt;&gt;Patrícia Karla de Sousa Araújo",$B:$B,"&lt;&gt;Lorena Dias de Araujo",$B:$B,"&lt;&gt;Lucas Luiz Romero")*(10/1083),0)))))),0)</f>
        <v>15</v>
      </c>
      <c r="K2117" s="3">
        <f>I2117-J2117</f>
        <v>-7</v>
      </c>
      <c r="L2117" s="3" t="str">
        <f>IF(K2117&lt;-5,"CRÍTICO",IF(K2117&lt;0,"ATENÇÃO",IF(K2117&lt;=5,"BOM","EXCELENTE")))</f>
        <v>CRÍTICO</v>
      </c>
      <c r="M2117">
        <v>8</v>
      </c>
      <c r="N2117">
        <v>98.48</v>
      </c>
      <c r="O2117">
        <v>27.853881278538811</v>
      </c>
    </row>
    <row r="2118" spans="1:15" hidden="1" x14ac:dyDescent="0.25">
      <c r="A2118" s="11">
        <v>46066</v>
      </c>
      <c r="B2118" t="s">
        <v>40</v>
      </c>
      <c r="C2118" t="s">
        <v>32</v>
      </c>
      <c r="D2118">
        <v>3</v>
      </c>
      <c r="E2118">
        <v>2</v>
      </c>
      <c r="F2118">
        <v>18.36</v>
      </c>
      <c r="G2118">
        <v>0</v>
      </c>
      <c r="H2118">
        <v>0</v>
      </c>
      <c r="I2118" s="3">
        <f>E2118+G2118+H2118</f>
        <v>2</v>
      </c>
      <c r="J2118" s="3">
        <f>ROUND(MIN(IF(C2118="Técnico III",35,IF(C2118="Técnico II",28,IF(C2118="Técnico I",23,IF(C2118="JR",20,IF(C2118="Estágio",10,0))))),IF(C2118="Técnico III",SUMIFS($D:$D,$A:$A,$A2118,$B:$B,"&lt;&gt;Patrícia Karla de Sousa Araújo",$B:$B,"&lt;&gt;Lorena Dias de Araujo",$B:$B,"&lt;&gt;Lucas Luiz Romero")*(35/1083),IF(C2118="Técnico II",SUMIFS($D:$D,$A:$A,$A2118,$B:$B,"&lt;&gt;Patrícia Karla de Sousa Araújo",$B:$B,"&lt;&gt;Lorena Dias de Araujo",$B:$B,"&lt;&gt;Lucas Luiz Romero")*(28/1083),IF(C2118="Técnico I",SUMIFS($D:$D,$A:$A,$A2118,$B:$B,"&lt;&gt;Patrícia Karla de Sousa Araújo",$B:$B,"&lt;&gt;Lorena Dias de Araujo",$B:$B,"&lt;&gt;Lucas Luiz Romero")*(23/1083),IF(C2118="JR",SUMIFS($D:$D,$A:$A,$A2118,$B:$B,"&lt;&gt;Patrícia Karla de Sousa Araújo",$B:$B,"&lt;&gt;Lorena Dias de Araujo",$B:$B,"&lt;&gt;Lucas Luiz Romero")*(20/1083),IF(C2118="Estágio",SUMIFS($D:$D,$A:$A,$A2118,$B:$B,"&lt;&gt;Patrícia Karla de Sousa Araújo",$B:$B,"&lt;&gt;Lorena Dias de Araujo",$B:$B,"&lt;&gt;Lucas Luiz Romero")*(10/1083),0)))))),0)</f>
        <v>27</v>
      </c>
      <c r="K2118" s="3">
        <f>I2118-J2118</f>
        <v>-25</v>
      </c>
      <c r="L2118" s="3" t="str">
        <f>IF(K2118&lt;-5,"CRÍTICO",IF(K2118&lt;0,"ATENÇÃO",IF(K2118&lt;=5,"BOM","EXCELENTE")))</f>
        <v>CRÍTICO</v>
      </c>
      <c r="M2118">
        <v>5</v>
      </c>
      <c r="N2118">
        <v>95.15</v>
      </c>
      <c r="O2118">
        <v>34.131736526946113</v>
      </c>
    </row>
    <row r="2119" spans="1:15" hidden="1" x14ac:dyDescent="0.25">
      <c r="A2119" s="11">
        <v>46066</v>
      </c>
      <c r="B2119" t="s">
        <v>27</v>
      </c>
      <c r="C2119" t="s">
        <v>26</v>
      </c>
      <c r="D2119">
        <v>0</v>
      </c>
      <c r="E2119">
        <v>0</v>
      </c>
      <c r="F2119">
        <v>0</v>
      </c>
      <c r="G2119">
        <v>0</v>
      </c>
      <c r="H2119">
        <v>0</v>
      </c>
      <c r="I2119" s="3">
        <v>0</v>
      </c>
      <c r="J2119" s="3">
        <v>0</v>
      </c>
      <c r="K2119" s="3">
        <v>0</v>
      </c>
      <c r="L2119" s="3" t="str">
        <f>IF(K2119&lt;-5,"CRÍTICO",IF(K2119&lt;0,"ATENÇÃO",IF(K2119&lt;=5,"BOM","EXCELENTE")))</f>
        <v>BOM</v>
      </c>
      <c r="M2119">
        <v>0</v>
      </c>
      <c r="N2119">
        <v>0</v>
      </c>
      <c r="O2119">
        <v>0</v>
      </c>
    </row>
    <row r="2120" spans="1:15" hidden="1" x14ac:dyDescent="0.25">
      <c r="A2120" s="11">
        <v>46066</v>
      </c>
      <c r="B2120" t="s">
        <v>41</v>
      </c>
      <c r="C2120" t="s">
        <v>32</v>
      </c>
      <c r="D2120">
        <v>23</v>
      </c>
      <c r="E2120">
        <v>22</v>
      </c>
      <c r="F2120">
        <v>29.18</v>
      </c>
      <c r="G2120">
        <v>0</v>
      </c>
      <c r="H2120">
        <v>0</v>
      </c>
      <c r="I2120" s="3">
        <f>E2120+G2120+H2120</f>
        <v>22</v>
      </c>
      <c r="J2120" s="3">
        <f>ROUND(MIN(IF(C2120="Técnico III",35,IF(C2120="Técnico II",28,IF(C2120="Técnico I",23,IF(C2120="JR",20,IF(C2120="Estágio",10,0))))),IF(C2120="Técnico III",SUMIFS($D:$D,$A:$A,$A2120,$B:$B,"&lt;&gt;Patrícia Karla de Sousa Araújo",$B:$B,"&lt;&gt;Lorena Dias de Araujo",$B:$B,"&lt;&gt;Lucas Luiz Romero")*(35/1083),IF(C2120="Técnico II",SUMIFS($D:$D,$A:$A,$A2120,$B:$B,"&lt;&gt;Patrícia Karla de Sousa Araújo",$B:$B,"&lt;&gt;Lorena Dias de Araujo",$B:$B,"&lt;&gt;Lucas Luiz Romero")*(28/1083),IF(C2120="Técnico I",SUMIFS($D:$D,$A:$A,$A2120,$B:$B,"&lt;&gt;Patrícia Karla de Sousa Araújo",$B:$B,"&lt;&gt;Lorena Dias de Araujo",$B:$B,"&lt;&gt;Lucas Luiz Romero")*(23/1083),IF(C2120="JR",SUMIFS($D:$D,$A:$A,$A2120,$B:$B,"&lt;&gt;Patrícia Karla de Sousa Araújo",$B:$B,"&lt;&gt;Lorena Dias de Araujo",$B:$B,"&lt;&gt;Lucas Luiz Romero")*(20/1083),IF(C2120="Estágio",SUMIFS($D:$D,$A:$A,$A2120,$B:$B,"&lt;&gt;Patrícia Karla de Sousa Araújo",$B:$B,"&lt;&gt;Lorena Dias de Araujo",$B:$B,"&lt;&gt;Lucas Luiz Romero")*(10/1083),0)))))),0)</f>
        <v>27</v>
      </c>
      <c r="K2120" s="3">
        <f>I2120-J2120</f>
        <v>-5</v>
      </c>
      <c r="L2120" s="3" t="str">
        <f>IF(K2120&lt;-5,"CRÍTICO",IF(K2120&lt;0,"ATENÇÃO",IF(K2120&lt;=5,"BOM","EXCELENTE")))</f>
        <v>ATENÇÃO</v>
      </c>
      <c r="M2120">
        <v>24</v>
      </c>
      <c r="N2120">
        <v>99.26</v>
      </c>
      <c r="O2120">
        <v>30.84832904884319</v>
      </c>
    </row>
    <row r="2121" spans="1:15" hidden="1" x14ac:dyDescent="0.25">
      <c r="A2121" s="11">
        <v>46066</v>
      </c>
      <c r="B2121" t="s">
        <v>56</v>
      </c>
      <c r="C2121" t="s">
        <v>48</v>
      </c>
      <c r="D2121">
        <v>23</v>
      </c>
      <c r="E2121">
        <v>22</v>
      </c>
      <c r="F2121">
        <v>30.3</v>
      </c>
      <c r="G2121">
        <v>0</v>
      </c>
      <c r="H2121">
        <v>0</v>
      </c>
      <c r="I2121" s="3">
        <f>E2121+G2121+H2121</f>
        <v>22</v>
      </c>
      <c r="J2121" s="3">
        <f>ROUND(MIN(IF(C2121="Técnico III",35,IF(C2121="Técnico II",28,IF(C2121="Técnico I",23,IF(C2121="JR",20,IF(C2121="Estágio",10,0))))),IF(C2121="Técnico III",SUMIFS($D:$D,$A:$A,$A2121,$B:$B,"&lt;&gt;Patrícia Karla de Sousa Araújo",$B:$B,"&lt;&gt;Lorena Dias de Araujo",$B:$B,"&lt;&gt;Lucas Luiz Romero")*(35/1083),IF(C2121="Técnico II",SUMIFS($D:$D,$A:$A,$A2121,$B:$B,"&lt;&gt;Patrícia Karla de Sousa Araújo",$B:$B,"&lt;&gt;Lorena Dias de Araujo",$B:$B,"&lt;&gt;Lucas Luiz Romero")*(28/1083),IF(C2121="Técnico I",SUMIFS($D:$D,$A:$A,$A2121,$B:$B,"&lt;&gt;Patrícia Karla de Sousa Araújo",$B:$B,"&lt;&gt;Lorena Dias de Araujo",$B:$B,"&lt;&gt;Lucas Luiz Romero")*(23/1083),IF(C2121="JR",SUMIFS($D:$D,$A:$A,$A2121,$B:$B,"&lt;&gt;Patrícia Karla de Sousa Araújo",$B:$B,"&lt;&gt;Lorena Dias de Araujo",$B:$B,"&lt;&gt;Lucas Luiz Romero")*(20/1083),IF(C2121="Estágio",SUMIFS($D:$D,$A:$A,$A2121,$B:$B,"&lt;&gt;Patrícia Karla de Sousa Araújo",$B:$B,"&lt;&gt;Lorena Dias de Araujo",$B:$B,"&lt;&gt;Lucas Luiz Romero")*(10/1083),0)))))),0)</f>
        <v>22</v>
      </c>
      <c r="K2121" s="3">
        <f>I2121-J2121</f>
        <v>0</v>
      </c>
      <c r="L2121" s="3" t="str">
        <f>IF(K2121&lt;-5,"CRÍTICO",IF(K2121&lt;0,"ATENÇÃO",IF(K2121&lt;=5,"BOM","EXCELENTE")))</f>
        <v>BOM</v>
      </c>
      <c r="M2121">
        <v>8</v>
      </c>
      <c r="N2121">
        <v>97.48</v>
      </c>
      <c r="O2121">
        <v>27.764705882352938</v>
      </c>
    </row>
    <row r="2122" spans="1:15" hidden="1" x14ac:dyDescent="0.25">
      <c r="A2122" s="11">
        <v>46066</v>
      </c>
      <c r="B2122" t="s">
        <v>57</v>
      </c>
      <c r="C2122" t="s">
        <v>48</v>
      </c>
      <c r="D2122">
        <v>32</v>
      </c>
      <c r="E2122">
        <v>28</v>
      </c>
      <c r="F2122">
        <v>22.28</v>
      </c>
      <c r="G2122">
        <v>0</v>
      </c>
      <c r="H2122">
        <v>0</v>
      </c>
      <c r="I2122" s="3">
        <v>0</v>
      </c>
      <c r="J2122" s="3">
        <v>0</v>
      </c>
      <c r="K2122" s="3">
        <v>0</v>
      </c>
      <c r="L2122" s="3" t="str">
        <f>IF(K2122&lt;-5,"CRÍTICO",IF(K2122&lt;0,"ATENÇÃO",IF(K2122&lt;=5,"BOM","EXCELENTE")))</f>
        <v>BOM</v>
      </c>
      <c r="M2122">
        <v>25</v>
      </c>
      <c r="N2122">
        <v>99.34</v>
      </c>
      <c r="O2122">
        <v>30.04291845493562</v>
      </c>
    </row>
    <row r="2123" spans="1:15" hidden="1" x14ac:dyDescent="0.25">
      <c r="A2123" s="11">
        <v>46066</v>
      </c>
      <c r="B2123" t="s">
        <v>42</v>
      </c>
      <c r="C2123" t="s">
        <v>32</v>
      </c>
      <c r="D2123">
        <v>0</v>
      </c>
      <c r="E2123">
        <v>0</v>
      </c>
      <c r="F2123">
        <v>0</v>
      </c>
      <c r="G2123">
        <v>0</v>
      </c>
      <c r="H2123">
        <v>0</v>
      </c>
      <c r="I2123" s="3">
        <v>0</v>
      </c>
      <c r="J2123" s="3">
        <v>0</v>
      </c>
      <c r="K2123" s="3">
        <v>0</v>
      </c>
      <c r="L2123" s="3" t="str">
        <f>IF(K2123&lt;-5,"CRÍTICO",IF(K2123&lt;0,"ATENÇÃO",IF(K2123&lt;=5,"BOM","EXCELENTE")))</f>
        <v>BOM</v>
      </c>
      <c r="M2123">
        <v>0</v>
      </c>
      <c r="N2123">
        <v>96.3</v>
      </c>
      <c r="O2123">
        <v>24.29378531073446</v>
      </c>
    </row>
    <row r="2124" spans="1:15" hidden="1" x14ac:dyDescent="0.25">
      <c r="A2124" s="11">
        <v>46066</v>
      </c>
      <c r="B2124" t="s">
        <v>62</v>
      </c>
      <c r="C2124" t="s">
        <v>23</v>
      </c>
      <c r="D2124">
        <v>16</v>
      </c>
      <c r="E2124">
        <v>16</v>
      </c>
      <c r="F2124">
        <v>26.48</v>
      </c>
      <c r="G2124">
        <v>0</v>
      </c>
      <c r="H2124">
        <v>0</v>
      </c>
      <c r="I2124" s="3">
        <f>E2124+G2124+H2124</f>
        <v>16</v>
      </c>
      <c r="J2124" s="3">
        <f>ROUND(MIN(IF(C2124="Técnico III",35,IF(C2124="Técnico II",28,IF(C2124="Técnico I",23,IF(C2124="JR",20,IF(C2124="Estágio",10,0))))),IF(C2124="Técnico III",SUMIFS($D:$D,$A:$A,$A2124,$B:$B,"&lt;&gt;Patrícia Karla de Sousa Araújo",$B:$B,"&lt;&gt;Lorena Dias de Araujo",$B:$B,"&lt;&gt;Lucas Luiz Romero")*(35/1083),IF(C2124="Técnico II",SUMIFS($D:$D,$A:$A,$A2124,$B:$B,"&lt;&gt;Patrícia Karla de Sousa Araújo",$B:$B,"&lt;&gt;Lorena Dias de Araujo",$B:$B,"&lt;&gt;Lucas Luiz Romero")*(28/1083),IF(C2124="Técnico I",SUMIFS($D:$D,$A:$A,$A2124,$B:$B,"&lt;&gt;Patrícia Karla de Sousa Araújo",$B:$B,"&lt;&gt;Lorena Dias de Araujo",$B:$B,"&lt;&gt;Lucas Luiz Romero")*(23/1083),IF(C2124="JR",SUMIFS($D:$D,$A:$A,$A2124,$B:$B,"&lt;&gt;Patrícia Karla de Sousa Araújo",$B:$B,"&lt;&gt;Lorena Dias de Araujo",$B:$B,"&lt;&gt;Lucas Luiz Romero")*(20/1083),IF(C2124="Estágio",SUMIFS($D:$D,$A:$A,$A2124,$B:$B,"&lt;&gt;Patrícia Karla de Sousa Araújo",$B:$B,"&lt;&gt;Lorena Dias de Araujo",$B:$B,"&lt;&gt;Lucas Luiz Romero")*(10/1083),0)))))),0)</f>
        <v>18</v>
      </c>
      <c r="K2124" s="3">
        <f>I2124-J2124</f>
        <v>-2</v>
      </c>
      <c r="L2124" s="3" t="str">
        <f>IF(K2124&lt;-5,"CRÍTICO",IF(K2124&lt;0,"ATENÇÃO",IF(K2124&lt;=5,"BOM","EXCELENTE")))</f>
        <v>ATENÇÃO</v>
      </c>
      <c r="M2124">
        <v>16</v>
      </c>
      <c r="N2124">
        <v>100</v>
      </c>
      <c r="O2124">
        <v>26.543209876543209</v>
      </c>
    </row>
    <row r="2125" spans="1:15" hidden="1" x14ac:dyDescent="0.25">
      <c r="A2125" s="11">
        <v>46066</v>
      </c>
      <c r="B2125" t="s">
        <v>19</v>
      </c>
      <c r="C2125" t="s">
        <v>16</v>
      </c>
      <c r="D2125">
        <v>49</v>
      </c>
      <c r="E2125">
        <v>25</v>
      </c>
      <c r="F2125">
        <v>7.19</v>
      </c>
      <c r="G2125">
        <v>0</v>
      </c>
      <c r="H2125">
        <v>0</v>
      </c>
      <c r="I2125" s="3">
        <f>E2125+G2125+H2125</f>
        <v>25</v>
      </c>
      <c r="J2125" s="3">
        <f>ROUND(MIN(IF(C2125="Técnico III",35,IF(C2125="Técnico II",28,IF(C2125="Técnico I",23,IF(C2125="JR",20,IF(C2125="Estágio",10,0))))),IF(C2125="Técnico III",SUMIFS($D:$D,$A:$A,$A2125,$B:$B,"&lt;&gt;Patrícia Karla de Sousa Araújo",$B:$B,"&lt;&gt;Lorena Dias de Araujo",$B:$B,"&lt;&gt;Lucas Luiz Romero")*(35/1083),IF(C2125="Técnico II",SUMIFS($D:$D,$A:$A,$A2125,$B:$B,"&lt;&gt;Patrícia Karla de Sousa Araújo",$B:$B,"&lt;&gt;Lorena Dias de Araujo",$B:$B,"&lt;&gt;Lucas Luiz Romero")*(28/1083),IF(C2125="Técnico I",SUMIFS($D:$D,$A:$A,$A2125,$B:$B,"&lt;&gt;Patrícia Karla de Sousa Araújo",$B:$B,"&lt;&gt;Lorena Dias de Araujo",$B:$B,"&lt;&gt;Lucas Luiz Romero")*(23/1083),IF(C2125="JR",SUMIFS($D:$D,$A:$A,$A2125,$B:$B,"&lt;&gt;Patrícia Karla de Sousa Araújo",$B:$B,"&lt;&gt;Lorena Dias de Araujo",$B:$B,"&lt;&gt;Lucas Luiz Romero")*(20/1083),IF(C2125="Estágio",SUMIFS($D:$D,$A:$A,$A2125,$B:$B,"&lt;&gt;Patrícia Karla de Sousa Araújo",$B:$B,"&lt;&gt;Lorena Dias de Araujo",$B:$B,"&lt;&gt;Lucas Luiz Romero")*(10/1083),0)))))),0)</f>
        <v>8</v>
      </c>
      <c r="K2125" s="3">
        <f>I2125-J2125</f>
        <v>17</v>
      </c>
      <c r="L2125" s="3" t="str">
        <f>IF(K2125&lt;-5,"CRÍTICO",IF(K2125&lt;0,"ATENÇÃO",IF(K2125&lt;=5,"BOM","EXCELENTE")))</f>
        <v>EXCELENTE</v>
      </c>
      <c r="M2125">
        <v>2</v>
      </c>
      <c r="N2125">
        <v>100</v>
      </c>
      <c r="O2125">
        <v>35.483870967741943</v>
      </c>
    </row>
    <row r="2126" spans="1:15" hidden="1" x14ac:dyDescent="0.25">
      <c r="A2126" s="11">
        <v>46066</v>
      </c>
      <c r="B2126" t="s">
        <v>43</v>
      </c>
      <c r="C2126" t="s">
        <v>32</v>
      </c>
      <c r="D2126">
        <v>27</v>
      </c>
      <c r="E2126">
        <v>25</v>
      </c>
      <c r="F2126">
        <v>27.36</v>
      </c>
      <c r="G2126">
        <v>0</v>
      </c>
      <c r="H2126">
        <v>0</v>
      </c>
      <c r="I2126" s="3">
        <f>E2126+G2126+H2126</f>
        <v>25</v>
      </c>
      <c r="J2126" s="3">
        <f>ROUND(MIN(IF(C2126="Técnico III",35,IF(C2126="Técnico II",28,IF(C2126="Técnico I",23,IF(C2126="JR",20,IF(C2126="Estágio",10,0))))),IF(C2126="Técnico III",SUMIFS($D:$D,$A:$A,$A2126,$B:$B,"&lt;&gt;Patrícia Karla de Sousa Araújo",$B:$B,"&lt;&gt;Lorena Dias de Araujo",$B:$B,"&lt;&gt;Lucas Luiz Romero")*(35/1083),IF(C2126="Técnico II",SUMIFS($D:$D,$A:$A,$A2126,$B:$B,"&lt;&gt;Patrícia Karla de Sousa Araújo",$B:$B,"&lt;&gt;Lorena Dias de Araujo",$B:$B,"&lt;&gt;Lucas Luiz Romero")*(28/1083),IF(C2126="Técnico I",SUMIFS($D:$D,$A:$A,$A2126,$B:$B,"&lt;&gt;Patrícia Karla de Sousa Araújo",$B:$B,"&lt;&gt;Lorena Dias de Araujo",$B:$B,"&lt;&gt;Lucas Luiz Romero")*(23/1083),IF(C2126="JR",SUMIFS($D:$D,$A:$A,$A2126,$B:$B,"&lt;&gt;Patrícia Karla de Sousa Araújo",$B:$B,"&lt;&gt;Lorena Dias de Araujo",$B:$B,"&lt;&gt;Lucas Luiz Romero")*(20/1083),IF(C2126="Estágio",SUMIFS($D:$D,$A:$A,$A2126,$B:$B,"&lt;&gt;Patrícia Karla de Sousa Araújo",$B:$B,"&lt;&gt;Lorena Dias de Araujo",$B:$B,"&lt;&gt;Lucas Luiz Romero")*(10/1083),0)))))),0)</f>
        <v>27</v>
      </c>
      <c r="K2126" s="3">
        <f>I2126-J2126</f>
        <v>-2</v>
      </c>
      <c r="L2126" s="3" t="str">
        <f>IF(K2126&lt;-5,"CRÍTICO",IF(K2126&lt;0,"ATENÇÃO",IF(K2126&lt;=5,"BOM","EXCELENTE")))</f>
        <v>ATENÇÃO</v>
      </c>
      <c r="M2126">
        <v>23</v>
      </c>
      <c r="N2126">
        <v>99.27</v>
      </c>
      <c r="O2126">
        <v>31.163708086785011</v>
      </c>
    </row>
    <row r="2127" spans="1:15" hidden="1" x14ac:dyDescent="0.25">
      <c r="A2127" s="11">
        <v>46066</v>
      </c>
      <c r="B2127" t="s">
        <v>44</v>
      </c>
      <c r="C2127" t="s">
        <v>32</v>
      </c>
      <c r="D2127">
        <v>34</v>
      </c>
      <c r="E2127">
        <v>33</v>
      </c>
      <c r="F2127">
        <v>20.53</v>
      </c>
      <c r="G2127">
        <v>0</v>
      </c>
      <c r="H2127">
        <v>0</v>
      </c>
      <c r="I2127" s="3">
        <f>E2127+G2127+H2127</f>
        <v>33</v>
      </c>
      <c r="J2127" s="3">
        <f>ROUND(MIN(IF(C2127="Técnico III",35,IF(C2127="Técnico II",28,IF(C2127="Técnico I",23,IF(C2127="JR",20,IF(C2127="Estágio",10,0))))),IF(C2127="Técnico III",SUMIFS($D:$D,$A:$A,$A2127,$B:$B,"&lt;&gt;Patrícia Karla de Sousa Araújo",$B:$B,"&lt;&gt;Lorena Dias de Araujo",$B:$B,"&lt;&gt;Lucas Luiz Romero")*(35/1083),IF(C2127="Técnico II",SUMIFS($D:$D,$A:$A,$A2127,$B:$B,"&lt;&gt;Patrícia Karla de Sousa Araújo",$B:$B,"&lt;&gt;Lorena Dias de Araujo",$B:$B,"&lt;&gt;Lucas Luiz Romero")*(28/1083),IF(C2127="Técnico I",SUMIFS($D:$D,$A:$A,$A2127,$B:$B,"&lt;&gt;Patrícia Karla de Sousa Araújo",$B:$B,"&lt;&gt;Lorena Dias de Araujo",$B:$B,"&lt;&gt;Lucas Luiz Romero")*(23/1083),IF(C2127="JR",SUMIFS($D:$D,$A:$A,$A2127,$B:$B,"&lt;&gt;Patrícia Karla de Sousa Araújo",$B:$B,"&lt;&gt;Lorena Dias de Araujo",$B:$B,"&lt;&gt;Lucas Luiz Romero")*(20/1083),IF(C2127="Estágio",SUMIFS($D:$D,$A:$A,$A2127,$B:$B,"&lt;&gt;Patrícia Karla de Sousa Araújo",$B:$B,"&lt;&gt;Lorena Dias de Araujo",$B:$B,"&lt;&gt;Lucas Luiz Romero")*(10/1083),0)))))),0)</f>
        <v>27</v>
      </c>
      <c r="K2127" s="3">
        <f>I2127-J2127</f>
        <v>6</v>
      </c>
      <c r="L2127" s="3" t="str">
        <f>IF(K2127&lt;-5,"CRÍTICO",IF(K2127&lt;0,"ATENÇÃO",IF(K2127&lt;=5,"BOM","EXCELENTE")))</f>
        <v>EXCELENTE</v>
      </c>
      <c r="M2127">
        <v>27</v>
      </c>
      <c r="N2127">
        <v>94.16</v>
      </c>
      <c r="O2127">
        <v>27.038626609442058</v>
      </c>
    </row>
    <row r="2128" spans="1:15" hidden="1" x14ac:dyDescent="0.25">
      <c r="A2128" s="11">
        <v>46066</v>
      </c>
      <c r="B2128" t="s">
        <v>20</v>
      </c>
      <c r="C2128" t="s">
        <v>16</v>
      </c>
      <c r="D2128">
        <v>12</v>
      </c>
      <c r="E2128">
        <v>11</v>
      </c>
      <c r="F2128">
        <v>50.19</v>
      </c>
      <c r="G2128">
        <v>0</v>
      </c>
      <c r="H2128">
        <v>0</v>
      </c>
      <c r="I2128" s="3">
        <f>E2128+G2128+H2128</f>
        <v>11</v>
      </c>
      <c r="J2128" s="3">
        <f>ROUND(MIN(IF(C2128="Técnico III",35,IF(C2128="Técnico II",28,IF(C2128="Técnico I",23,IF(C2128="JR",20,IF(C2128="Estágio",10,0))))),IF(C2128="Técnico III",SUMIFS($D:$D,$A:$A,$A2128,$B:$B,"&lt;&gt;Patrícia Karla de Sousa Araújo",$B:$B,"&lt;&gt;Lorena Dias de Araujo",$B:$B,"&lt;&gt;Lucas Luiz Romero")*(35/1083),IF(C2128="Técnico II",SUMIFS($D:$D,$A:$A,$A2128,$B:$B,"&lt;&gt;Patrícia Karla de Sousa Araújo",$B:$B,"&lt;&gt;Lorena Dias de Araujo",$B:$B,"&lt;&gt;Lucas Luiz Romero")*(28/1083),IF(C2128="Técnico I",SUMIFS($D:$D,$A:$A,$A2128,$B:$B,"&lt;&gt;Patrícia Karla de Sousa Araújo",$B:$B,"&lt;&gt;Lorena Dias de Araujo",$B:$B,"&lt;&gt;Lucas Luiz Romero")*(23/1083),IF(C2128="JR",SUMIFS($D:$D,$A:$A,$A2128,$B:$B,"&lt;&gt;Patrícia Karla de Sousa Araújo",$B:$B,"&lt;&gt;Lorena Dias de Araujo",$B:$B,"&lt;&gt;Lucas Luiz Romero")*(20/1083),IF(C2128="Estágio",SUMIFS($D:$D,$A:$A,$A2128,$B:$B,"&lt;&gt;Patrícia Karla de Sousa Araújo",$B:$B,"&lt;&gt;Lorena Dias de Araujo",$B:$B,"&lt;&gt;Lucas Luiz Romero")*(10/1083),0)))))),0)</f>
        <v>8</v>
      </c>
      <c r="K2128" s="3">
        <f>I2128-J2128</f>
        <v>3</v>
      </c>
      <c r="L2128" s="3" t="str">
        <f>IF(K2128&lt;-5,"CRÍTICO",IF(K2128&lt;0,"ATENÇÃO",IF(K2128&lt;=5,"BOM","EXCELENTE")))</f>
        <v>BOM</v>
      </c>
      <c r="M2128">
        <v>5</v>
      </c>
      <c r="N2128">
        <v>93.75</v>
      </c>
      <c r="O2128">
        <v>19.31818181818182</v>
      </c>
    </row>
    <row r="2129" spans="1:15" hidden="1" x14ac:dyDescent="0.25">
      <c r="A2129" s="11">
        <v>46066</v>
      </c>
      <c r="B2129" t="s">
        <v>28</v>
      </c>
      <c r="C2129" t="s">
        <v>26</v>
      </c>
      <c r="D2129">
        <v>0</v>
      </c>
      <c r="E2129">
        <v>0</v>
      </c>
      <c r="F2129">
        <v>0</v>
      </c>
      <c r="G2129">
        <v>0</v>
      </c>
      <c r="H2129">
        <v>0</v>
      </c>
      <c r="I2129" s="3">
        <v>0</v>
      </c>
      <c r="J2129" s="3">
        <v>0</v>
      </c>
      <c r="K2129" s="3">
        <v>0</v>
      </c>
      <c r="L2129" s="3" t="str">
        <f>IF(K2129&lt;-5,"CRÍTICO",IF(K2129&lt;0,"ATENÇÃO",IF(K2129&lt;=5,"BOM","EXCELENTE")))</f>
        <v>BOM</v>
      </c>
      <c r="M2129">
        <v>0</v>
      </c>
      <c r="N2129">
        <v>0</v>
      </c>
      <c r="O2129">
        <v>0</v>
      </c>
    </row>
    <row r="2130" spans="1:15" hidden="1" x14ac:dyDescent="0.25">
      <c r="A2130" s="11">
        <v>46066</v>
      </c>
      <c r="B2130" t="s">
        <v>58</v>
      </c>
      <c r="C2130" t="s">
        <v>48</v>
      </c>
      <c r="D2130">
        <v>0</v>
      </c>
      <c r="E2130">
        <v>0</v>
      </c>
      <c r="F2130">
        <v>0</v>
      </c>
      <c r="G2130">
        <v>0</v>
      </c>
      <c r="H2130">
        <v>0</v>
      </c>
      <c r="I2130" s="3">
        <v>0</v>
      </c>
      <c r="J2130" s="3">
        <v>0</v>
      </c>
      <c r="K2130" s="3">
        <v>0</v>
      </c>
      <c r="L2130" s="3" t="str">
        <f>IF(K2130&lt;-5,"CRÍTICO",IF(K2130&lt;0,"ATENÇÃO",IF(K2130&lt;=5,"BOM","EXCELENTE")))</f>
        <v>BOM</v>
      </c>
      <c r="M2130">
        <v>0</v>
      </c>
      <c r="N2130">
        <v>97.92</v>
      </c>
      <c r="O2130">
        <v>32.87671232876712</v>
      </c>
    </row>
    <row r="2131" spans="1:15" hidden="1" x14ac:dyDescent="0.25">
      <c r="A2131" s="11">
        <v>46066</v>
      </c>
      <c r="B2131" t="s">
        <v>29</v>
      </c>
      <c r="C2131" t="s">
        <v>26</v>
      </c>
      <c r="D2131">
        <v>0</v>
      </c>
      <c r="E2131">
        <v>0</v>
      </c>
      <c r="F2131">
        <v>0</v>
      </c>
      <c r="G2131">
        <v>0</v>
      </c>
      <c r="H2131">
        <v>0</v>
      </c>
      <c r="I2131" s="3">
        <v>0</v>
      </c>
      <c r="J2131" s="3">
        <v>0</v>
      </c>
      <c r="K2131" s="3">
        <v>0</v>
      </c>
      <c r="L2131" s="3" t="str">
        <f>IF(K2131&lt;-5,"CRÍTICO",IF(K2131&lt;0,"ATENÇÃO",IF(K2131&lt;=5,"BOM","EXCELENTE")))</f>
        <v>BOM</v>
      </c>
      <c r="M2131">
        <v>0</v>
      </c>
      <c r="N2131">
        <v>0</v>
      </c>
      <c r="O2131">
        <v>0</v>
      </c>
    </row>
    <row r="2132" spans="1:15" hidden="1" x14ac:dyDescent="0.25">
      <c r="A2132" s="11">
        <v>46066</v>
      </c>
      <c r="B2132" t="s">
        <v>30</v>
      </c>
      <c r="C2132" t="s">
        <v>26</v>
      </c>
      <c r="D2132">
        <v>0</v>
      </c>
      <c r="E2132">
        <v>0</v>
      </c>
      <c r="F2132">
        <v>0</v>
      </c>
      <c r="G2132">
        <v>0</v>
      </c>
      <c r="H2132">
        <v>0</v>
      </c>
      <c r="I2132" s="3">
        <v>0</v>
      </c>
      <c r="J2132" s="3">
        <v>0</v>
      </c>
      <c r="K2132" s="3">
        <v>0</v>
      </c>
      <c r="L2132" s="3" t="str">
        <f>IF(K2132&lt;-5,"CRÍTICO",IF(K2132&lt;0,"ATENÇÃO",IF(K2132&lt;=5,"BOM","EXCELENTE")))</f>
        <v>BOM</v>
      </c>
      <c r="M2132">
        <v>0</v>
      </c>
      <c r="N2132">
        <v>0</v>
      </c>
      <c r="O2132">
        <v>0</v>
      </c>
    </row>
    <row r="2133" spans="1:15" hidden="1" x14ac:dyDescent="0.25">
      <c r="A2133" s="11">
        <v>46066</v>
      </c>
      <c r="B2133" t="s">
        <v>21</v>
      </c>
      <c r="C2133" t="s">
        <v>16</v>
      </c>
      <c r="D2133">
        <v>0</v>
      </c>
      <c r="E2133">
        <v>0</v>
      </c>
      <c r="F2133">
        <v>0</v>
      </c>
      <c r="G2133">
        <v>0</v>
      </c>
      <c r="H2133">
        <v>0</v>
      </c>
      <c r="I2133" s="3">
        <v>0</v>
      </c>
      <c r="J2133" s="3">
        <v>0</v>
      </c>
      <c r="K2133" s="3">
        <v>0</v>
      </c>
      <c r="L2133" s="3" t="str">
        <f>IF(K2133&lt;-5,"CRÍTICO",IF(K2133&lt;0,"ATENÇÃO",IF(K2133&lt;=5,"BOM","EXCELENTE")))</f>
        <v>BOM</v>
      </c>
      <c r="M2133">
        <v>0</v>
      </c>
      <c r="N2133">
        <v>0</v>
      </c>
      <c r="O2133">
        <v>0</v>
      </c>
    </row>
    <row r="2134" spans="1:15" hidden="1" x14ac:dyDescent="0.25">
      <c r="A2134" s="11">
        <v>46066</v>
      </c>
      <c r="B2134" t="s">
        <v>63</v>
      </c>
      <c r="C2134" t="s">
        <v>23</v>
      </c>
      <c r="D2134">
        <v>21</v>
      </c>
      <c r="E2134">
        <v>16</v>
      </c>
      <c r="F2134">
        <v>26.41</v>
      </c>
      <c r="G2134">
        <v>0</v>
      </c>
      <c r="H2134">
        <v>0</v>
      </c>
      <c r="I2134" s="3">
        <f>E2134+G2134+H2134</f>
        <v>16</v>
      </c>
      <c r="J2134" s="3">
        <f>ROUND(MIN(IF(C2134="Técnico III",35,IF(C2134="Técnico II",28,IF(C2134="Técnico I",23,IF(C2134="JR",20,IF(C2134="Estágio",10,0))))),IF(C2134="Técnico III",SUMIFS($D:$D,$A:$A,$A2134,$B:$B,"&lt;&gt;Patrícia Karla de Sousa Araújo",$B:$B,"&lt;&gt;Lorena Dias de Araujo",$B:$B,"&lt;&gt;Lucas Luiz Romero")*(35/1083),IF(C2134="Técnico II",SUMIFS($D:$D,$A:$A,$A2134,$B:$B,"&lt;&gt;Patrícia Karla de Sousa Araújo",$B:$B,"&lt;&gt;Lorena Dias de Araujo",$B:$B,"&lt;&gt;Lucas Luiz Romero")*(28/1083),IF(C2134="Técnico I",SUMIFS($D:$D,$A:$A,$A2134,$B:$B,"&lt;&gt;Patrícia Karla de Sousa Araújo",$B:$B,"&lt;&gt;Lorena Dias de Araujo",$B:$B,"&lt;&gt;Lucas Luiz Romero")*(23/1083),IF(C2134="JR",SUMIFS($D:$D,$A:$A,$A2134,$B:$B,"&lt;&gt;Patrícia Karla de Sousa Araújo",$B:$B,"&lt;&gt;Lorena Dias de Araujo",$B:$B,"&lt;&gt;Lucas Luiz Romero")*(20/1083),IF(C2134="Estágio",SUMIFS($D:$D,$A:$A,$A2134,$B:$B,"&lt;&gt;Patrícia Karla de Sousa Araújo",$B:$B,"&lt;&gt;Lorena Dias de Araujo",$B:$B,"&lt;&gt;Lucas Luiz Romero")*(10/1083),0)))))),0)</f>
        <v>18</v>
      </c>
      <c r="K2134" s="3">
        <f>I2134-J2134</f>
        <v>-2</v>
      </c>
      <c r="L2134" s="3" t="str">
        <f>IF(K2134&lt;-5,"CRÍTICO",IF(K2134&lt;0,"ATENÇÃO",IF(K2134&lt;=5,"BOM","EXCELENTE")))</f>
        <v>ATENÇÃO</v>
      </c>
      <c r="M2134">
        <v>12</v>
      </c>
      <c r="N2134">
        <v>98.51</v>
      </c>
      <c r="O2134">
        <v>29.710144927536231</v>
      </c>
    </row>
    <row r="2135" spans="1:15" hidden="1" x14ac:dyDescent="0.25">
      <c r="A2135" s="11">
        <v>46066</v>
      </c>
      <c r="B2135" t="s">
        <v>45</v>
      </c>
      <c r="C2135" t="s">
        <v>32</v>
      </c>
      <c r="D2135">
        <v>37</v>
      </c>
      <c r="E2135">
        <v>32</v>
      </c>
      <c r="F2135">
        <v>15.18</v>
      </c>
      <c r="G2135">
        <v>0</v>
      </c>
      <c r="H2135">
        <v>0</v>
      </c>
      <c r="I2135" s="3">
        <f>E2135+G2135+H2135</f>
        <v>32</v>
      </c>
      <c r="J2135" s="3">
        <f>ROUND(MIN(IF(C2135="Técnico III",35,IF(C2135="Técnico II",28,IF(C2135="Técnico I",23,IF(C2135="JR",20,IF(C2135="Estágio",10,0))))),IF(C2135="Técnico III",SUMIFS($D:$D,$A:$A,$A2135,$B:$B,"&lt;&gt;Patrícia Karla de Sousa Araújo",$B:$B,"&lt;&gt;Lorena Dias de Araujo",$B:$B,"&lt;&gt;Lucas Luiz Romero")*(35/1083),IF(C2135="Técnico II",SUMIFS($D:$D,$A:$A,$A2135,$B:$B,"&lt;&gt;Patrícia Karla de Sousa Araújo",$B:$B,"&lt;&gt;Lorena Dias de Araujo",$B:$B,"&lt;&gt;Lucas Luiz Romero")*(28/1083),IF(C2135="Técnico I",SUMIFS($D:$D,$A:$A,$A2135,$B:$B,"&lt;&gt;Patrícia Karla de Sousa Araújo",$B:$B,"&lt;&gt;Lorena Dias de Araujo",$B:$B,"&lt;&gt;Lucas Luiz Romero")*(23/1083),IF(C2135="JR",SUMIFS($D:$D,$A:$A,$A2135,$B:$B,"&lt;&gt;Patrícia Karla de Sousa Araújo",$B:$B,"&lt;&gt;Lorena Dias de Araujo",$B:$B,"&lt;&gt;Lucas Luiz Romero")*(20/1083),IF(C2135="Estágio",SUMIFS($D:$D,$A:$A,$A2135,$B:$B,"&lt;&gt;Patrícia Karla de Sousa Araújo",$B:$B,"&lt;&gt;Lorena Dias de Araujo",$B:$B,"&lt;&gt;Lucas Luiz Romero")*(10/1083),0)))))),0)</f>
        <v>27</v>
      </c>
      <c r="K2135" s="3">
        <f>I2135-J2135</f>
        <v>5</v>
      </c>
      <c r="L2135" s="3" t="str">
        <f>IF(K2135&lt;-5,"CRÍTICO",IF(K2135&lt;0,"ATENÇÃO",IF(K2135&lt;=5,"BOM","EXCELENTE")))</f>
        <v>BOM</v>
      </c>
      <c r="M2135">
        <v>30</v>
      </c>
      <c r="N2135">
        <v>98.81</v>
      </c>
      <c r="O2135">
        <v>30.712979890310791</v>
      </c>
    </row>
    <row r="2136" spans="1:15" hidden="1" x14ac:dyDescent="0.25">
      <c r="A2136" s="11">
        <v>46066</v>
      </c>
      <c r="B2136" t="s">
        <v>64</v>
      </c>
      <c r="C2136" t="s">
        <v>23</v>
      </c>
      <c r="D2136">
        <v>10</v>
      </c>
      <c r="E2136">
        <v>9</v>
      </c>
      <c r="F2136">
        <v>42.17</v>
      </c>
      <c r="G2136">
        <v>0</v>
      </c>
      <c r="H2136">
        <v>0</v>
      </c>
      <c r="I2136" s="3">
        <f>E2136+G2136+H2136</f>
        <v>9</v>
      </c>
      <c r="J2136" s="3">
        <f>ROUND(MIN(IF(C2136="Técnico III",35,IF(C2136="Técnico II",28,IF(C2136="Técnico I",23,IF(C2136="JR",20,IF(C2136="Estágio",10,0))))),IF(C2136="Técnico III",SUMIFS($D:$D,$A:$A,$A2136,$B:$B,"&lt;&gt;Patrícia Karla de Sousa Araújo",$B:$B,"&lt;&gt;Lorena Dias de Araujo",$B:$B,"&lt;&gt;Lucas Luiz Romero")*(35/1083),IF(C2136="Técnico II",SUMIFS($D:$D,$A:$A,$A2136,$B:$B,"&lt;&gt;Patrícia Karla de Sousa Araújo",$B:$B,"&lt;&gt;Lorena Dias de Araujo",$B:$B,"&lt;&gt;Lucas Luiz Romero")*(28/1083),IF(C2136="Técnico I",SUMIFS($D:$D,$A:$A,$A2136,$B:$B,"&lt;&gt;Patrícia Karla de Sousa Araújo",$B:$B,"&lt;&gt;Lorena Dias de Araujo",$B:$B,"&lt;&gt;Lucas Luiz Romero")*(23/1083),IF(C2136="JR",SUMIFS($D:$D,$A:$A,$A2136,$B:$B,"&lt;&gt;Patrícia Karla de Sousa Araújo",$B:$B,"&lt;&gt;Lorena Dias de Araujo",$B:$B,"&lt;&gt;Lucas Luiz Romero")*(20/1083),IF(C2136="Estágio",SUMIFS($D:$D,$A:$A,$A2136,$B:$B,"&lt;&gt;Patrícia Karla de Sousa Araújo",$B:$B,"&lt;&gt;Lorena Dias de Araujo",$B:$B,"&lt;&gt;Lucas Luiz Romero")*(10/1083),0)))))),0)</f>
        <v>18</v>
      </c>
      <c r="K2136" s="3">
        <f>I2136-J2136</f>
        <v>-9</v>
      </c>
      <c r="L2136" s="3" t="str">
        <f>IF(K2136&lt;-5,"CRÍTICO",IF(K2136&lt;0,"ATENÇÃO",IF(K2136&lt;=5,"BOM","EXCELENTE")))</f>
        <v>CRÍTICO</v>
      </c>
      <c r="M2136">
        <v>11</v>
      </c>
      <c r="N2136">
        <v>98.48</v>
      </c>
      <c r="O2136">
        <v>29.35323383084577</v>
      </c>
    </row>
    <row r="2137" spans="1:15" hidden="1" x14ac:dyDescent="0.25">
      <c r="A2137" s="11">
        <v>46066</v>
      </c>
      <c r="B2137" t="s">
        <v>46</v>
      </c>
      <c r="C2137" t="s">
        <v>32</v>
      </c>
      <c r="D2137">
        <v>31</v>
      </c>
      <c r="E2137">
        <v>30</v>
      </c>
      <c r="F2137">
        <v>19.11</v>
      </c>
      <c r="G2137">
        <v>0</v>
      </c>
      <c r="H2137">
        <v>0</v>
      </c>
      <c r="I2137" s="3">
        <f>E2137+G2137+H2137</f>
        <v>30</v>
      </c>
      <c r="J2137" s="3">
        <f>ROUND(MIN(IF(C2137="Técnico III",35,IF(C2137="Técnico II",28,IF(C2137="Técnico I",23,IF(C2137="JR",20,IF(C2137="Estágio",10,0))))),IF(C2137="Técnico III",SUMIFS($D:$D,$A:$A,$A2137,$B:$B,"&lt;&gt;Patrícia Karla de Sousa Araújo",$B:$B,"&lt;&gt;Lorena Dias de Araujo",$B:$B,"&lt;&gt;Lucas Luiz Romero")*(35/1083),IF(C2137="Técnico II",SUMIFS($D:$D,$A:$A,$A2137,$B:$B,"&lt;&gt;Patrícia Karla de Sousa Araújo",$B:$B,"&lt;&gt;Lorena Dias de Araujo",$B:$B,"&lt;&gt;Lucas Luiz Romero")*(28/1083),IF(C2137="Técnico I",SUMIFS($D:$D,$A:$A,$A2137,$B:$B,"&lt;&gt;Patrícia Karla de Sousa Araújo",$B:$B,"&lt;&gt;Lorena Dias de Araujo",$B:$B,"&lt;&gt;Lucas Luiz Romero")*(23/1083),IF(C2137="JR",SUMIFS($D:$D,$A:$A,$A2137,$B:$B,"&lt;&gt;Patrícia Karla de Sousa Araújo",$B:$B,"&lt;&gt;Lorena Dias de Araujo",$B:$B,"&lt;&gt;Lucas Luiz Romero")*(20/1083),IF(C2137="Estágio",SUMIFS($D:$D,$A:$A,$A2137,$B:$B,"&lt;&gt;Patrícia Karla de Sousa Araújo",$B:$B,"&lt;&gt;Lorena Dias de Araujo",$B:$B,"&lt;&gt;Lucas Luiz Romero")*(10/1083),0)))))),0)</f>
        <v>27</v>
      </c>
      <c r="K2137" s="3">
        <f>I2137-J2137</f>
        <v>3</v>
      </c>
      <c r="L2137" s="3" t="str">
        <f>IF(K2137&lt;-5,"CRÍTICO",IF(K2137&lt;0,"ATENÇÃO",IF(K2137&lt;=5,"BOM","EXCELENTE")))</f>
        <v>BOM</v>
      </c>
      <c r="M2137">
        <v>30</v>
      </c>
      <c r="N2137">
        <v>98.56</v>
      </c>
      <c r="O2137">
        <v>29.373650107991359</v>
      </c>
    </row>
    <row r="2138" spans="1:15" hidden="1" x14ac:dyDescent="0.25">
      <c r="A2138" s="11">
        <v>46069</v>
      </c>
      <c r="B2138" t="s">
        <v>47</v>
      </c>
      <c r="C2138" t="s">
        <v>48</v>
      </c>
      <c r="D2138">
        <v>8</v>
      </c>
      <c r="E2138">
        <v>8</v>
      </c>
      <c r="F2138">
        <v>18.47</v>
      </c>
      <c r="G2138">
        <v>0</v>
      </c>
      <c r="H2138">
        <v>0</v>
      </c>
      <c r="I2138" s="3">
        <f>E2138+G2138+H2138</f>
        <v>8</v>
      </c>
      <c r="J2138" s="3">
        <f>ROUND(MIN(IF(C2138="Técnico III",35,IF(C2138="Técnico II",28,IF(C2138="Técnico I",23,IF(C2138="JR",20,IF(C2138="Estágio",10,0))))),IF(C2138="Técnico III",SUMIFS($D:$D,$A:$A,$A2138,$B:$B,"&lt;&gt;Patrícia Karla de Sousa Araújo",$B:$B,"&lt;&gt;Lorena Dias de Araujo",$B:$B,"&lt;&gt;Lucas Luiz Romero")*(35/1083),IF(C2138="Técnico II",SUMIFS($D:$D,$A:$A,$A2138,$B:$B,"&lt;&gt;Patrícia Karla de Sousa Araújo",$B:$B,"&lt;&gt;Lorena Dias de Araujo",$B:$B,"&lt;&gt;Lucas Luiz Romero")*(28/1083),IF(C2138="Técnico I",SUMIFS($D:$D,$A:$A,$A2138,$B:$B,"&lt;&gt;Patrícia Karla de Sousa Araújo",$B:$B,"&lt;&gt;Lorena Dias de Araujo",$B:$B,"&lt;&gt;Lucas Luiz Romero")*(23/1083),IF(C2138="JR",SUMIFS($D:$D,$A:$A,$A2138,$B:$B,"&lt;&gt;Patrícia Karla de Sousa Araújo",$B:$B,"&lt;&gt;Lorena Dias de Araujo",$B:$B,"&lt;&gt;Lucas Luiz Romero")*(20/1083),IF(C2138="Estágio",SUMIFS($D:$D,$A:$A,$A2138,$B:$B,"&lt;&gt;Patrícia Karla de Sousa Araújo",$B:$B,"&lt;&gt;Lorena Dias de Araujo",$B:$B,"&lt;&gt;Lucas Luiz Romero")*(10/1083),0)))))),0)</f>
        <v>6</v>
      </c>
      <c r="K2138" s="3">
        <f>I2138-J2138</f>
        <v>2</v>
      </c>
      <c r="L2138" s="3" t="str">
        <f>IF(K2138&lt;-5,"CRÍTICO",IF(K2138&lt;0,"ATENÇÃO",IF(K2138&lt;=5,"BOM","EXCELENTE")))</f>
        <v>BOM</v>
      </c>
      <c r="M2138">
        <v>4</v>
      </c>
      <c r="N2138">
        <v>98.32</v>
      </c>
      <c r="O2138">
        <v>30.303030303030301</v>
      </c>
    </row>
    <row r="2139" spans="1:15" hidden="1" x14ac:dyDescent="0.25">
      <c r="A2139" s="11">
        <v>46069</v>
      </c>
      <c r="B2139" t="s">
        <v>31</v>
      </c>
      <c r="C2139" t="s">
        <v>32</v>
      </c>
      <c r="D2139">
        <v>0</v>
      </c>
      <c r="E2139">
        <v>0</v>
      </c>
      <c r="F2139">
        <v>0</v>
      </c>
      <c r="G2139">
        <v>0</v>
      </c>
      <c r="H2139">
        <v>0</v>
      </c>
      <c r="I2139" s="3">
        <v>0</v>
      </c>
      <c r="J2139" s="3">
        <v>0</v>
      </c>
      <c r="K2139" s="3">
        <v>0</v>
      </c>
      <c r="L2139" s="3" t="str">
        <f>IF(K2139&lt;-5,"CRÍTICO",IF(K2139&lt;0,"ATENÇÃO",IF(K2139&lt;=5,"BOM","EXCELENTE")))</f>
        <v>BOM</v>
      </c>
      <c r="M2139">
        <v>6</v>
      </c>
      <c r="N2139">
        <v>98.68</v>
      </c>
      <c r="O2139">
        <v>26.219512195121951</v>
      </c>
    </row>
    <row r="2140" spans="1:15" hidden="1" x14ac:dyDescent="0.25">
      <c r="A2140" s="11">
        <v>46069</v>
      </c>
      <c r="B2140" t="s">
        <v>59</v>
      </c>
      <c r="C2140" t="s">
        <v>23</v>
      </c>
      <c r="D2140">
        <v>8</v>
      </c>
      <c r="E2140">
        <v>8</v>
      </c>
      <c r="F2140">
        <v>18.350000000000001</v>
      </c>
      <c r="G2140">
        <v>0</v>
      </c>
      <c r="H2140">
        <v>0</v>
      </c>
      <c r="I2140" s="3">
        <f>E2140+G2140+H2140</f>
        <v>8</v>
      </c>
      <c r="J2140" s="3">
        <f>ROUND(MIN(IF(C2140="Técnico III",35,IF(C2140="Técnico II",28,IF(C2140="Técnico I",23,IF(C2140="JR",20,IF(C2140="Estágio",10,0))))),IF(C2140="Técnico III",SUMIFS($D:$D,$A:$A,$A2140,$B:$B,"&lt;&gt;Patrícia Karla de Sousa Araújo",$B:$B,"&lt;&gt;Lorena Dias de Araujo",$B:$B,"&lt;&gt;Lucas Luiz Romero")*(35/1083),IF(C2140="Técnico II",SUMIFS($D:$D,$A:$A,$A2140,$B:$B,"&lt;&gt;Patrícia Karla de Sousa Araújo",$B:$B,"&lt;&gt;Lorena Dias de Araujo",$B:$B,"&lt;&gt;Lucas Luiz Romero")*(28/1083),IF(C2140="Técnico I",SUMIFS($D:$D,$A:$A,$A2140,$B:$B,"&lt;&gt;Patrícia Karla de Sousa Araújo",$B:$B,"&lt;&gt;Lorena Dias de Araujo",$B:$B,"&lt;&gt;Lucas Luiz Romero")*(23/1083),IF(C2140="JR",SUMIFS($D:$D,$A:$A,$A2140,$B:$B,"&lt;&gt;Patrícia Karla de Sousa Araújo",$B:$B,"&lt;&gt;Lorena Dias de Araujo",$B:$B,"&lt;&gt;Lucas Luiz Romero")*(20/1083),IF(C2140="Estágio",SUMIFS($D:$D,$A:$A,$A2140,$B:$B,"&lt;&gt;Patrícia Karla de Sousa Araújo",$B:$B,"&lt;&gt;Lorena Dias de Araujo",$B:$B,"&lt;&gt;Lucas Luiz Romero")*(10/1083),0)))))),0)</f>
        <v>5</v>
      </c>
      <c r="K2140" s="3">
        <f>I2140-J2140</f>
        <v>3</v>
      </c>
      <c r="L2140" s="3" t="str">
        <f>IF(K2140&lt;-5,"CRÍTICO",IF(K2140&lt;0,"ATENÇÃO",IF(K2140&lt;=5,"BOM","EXCELENTE")))</f>
        <v>BOM</v>
      </c>
      <c r="M2140">
        <v>7</v>
      </c>
      <c r="N2140">
        <v>100</v>
      </c>
      <c r="O2140">
        <v>31.74224343675418</v>
      </c>
    </row>
    <row r="2141" spans="1:15" hidden="1" x14ac:dyDescent="0.25">
      <c r="A2141" s="11">
        <v>46069</v>
      </c>
      <c r="B2141" t="s">
        <v>33</v>
      </c>
      <c r="C2141" t="s">
        <v>32</v>
      </c>
      <c r="D2141">
        <v>9</v>
      </c>
      <c r="E2141">
        <v>8</v>
      </c>
      <c r="F2141">
        <v>30.38</v>
      </c>
      <c r="G2141">
        <v>0</v>
      </c>
      <c r="H2141">
        <v>0</v>
      </c>
      <c r="I2141" s="3">
        <f>E2141+G2141+H2141</f>
        <v>8</v>
      </c>
      <c r="J2141" s="3">
        <f>ROUND(MIN(IF(C2141="Técnico III",35,IF(C2141="Técnico II",28,IF(C2141="Técnico I",23,IF(C2141="JR",20,IF(C2141="Estágio",10,0))))),IF(C2141="Técnico III",SUMIFS($D:$D,$A:$A,$A2141,$B:$B,"&lt;&gt;Patrícia Karla de Sousa Araújo",$B:$B,"&lt;&gt;Lorena Dias de Araujo",$B:$B,"&lt;&gt;Lucas Luiz Romero")*(35/1083),IF(C2141="Técnico II",SUMIFS($D:$D,$A:$A,$A2141,$B:$B,"&lt;&gt;Patrícia Karla de Sousa Araújo",$B:$B,"&lt;&gt;Lorena Dias de Araujo",$B:$B,"&lt;&gt;Lucas Luiz Romero")*(28/1083),IF(C2141="Técnico I",SUMIFS($D:$D,$A:$A,$A2141,$B:$B,"&lt;&gt;Patrícia Karla de Sousa Araújo",$B:$B,"&lt;&gt;Lorena Dias de Araujo",$B:$B,"&lt;&gt;Lucas Luiz Romero")*(23/1083),IF(C2141="JR",SUMIFS($D:$D,$A:$A,$A2141,$B:$B,"&lt;&gt;Patrícia Karla de Sousa Araújo",$B:$B,"&lt;&gt;Lorena Dias de Araujo",$B:$B,"&lt;&gt;Lucas Luiz Romero")*(20/1083),IF(C2141="Estágio",SUMIFS($D:$D,$A:$A,$A2141,$B:$B,"&lt;&gt;Patrícia Karla de Sousa Araújo",$B:$B,"&lt;&gt;Lorena Dias de Araujo",$B:$B,"&lt;&gt;Lucas Luiz Romero")*(10/1083),0)))))),0)</f>
        <v>7</v>
      </c>
      <c r="K2141" s="3">
        <f>I2141-J2141</f>
        <v>1</v>
      </c>
      <c r="L2141" s="3" t="str">
        <f>IF(K2141&lt;-5,"CRÍTICO",IF(K2141&lt;0,"ATENÇÃO",IF(K2141&lt;=5,"BOM","EXCELENTE")))</f>
        <v>BOM</v>
      </c>
      <c r="M2141">
        <v>5</v>
      </c>
      <c r="N2141">
        <v>98.25</v>
      </c>
      <c r="O2141">
        <v>25.83518930957684</v>
      </c>
    </row>
    <row r="2142" spans="1:15" hidden="1" x14ac:dyDescent="0.25">
      <c r="A2142" s="11">
        <v>46069</v>
      </c>
      <c r="B2142" t="s">
        <v>15</v>
      </c>
      <c r="C2142" t="s">
        <v>16</v>
      </c>
      <c r="D2142">
        <v>4</v>
      </c>
      <c r="E2142">
        <v>2</v>
      </c>
      <c r="F2142">
        <v>23.3</v>
      </c>
      <c r="G2142">
        <v>0</v>
      </c>
      <c r="H2142">
        <v>0</v>
      </c>
      <c r="I2142" s="3">
        <f>E2142+G2142+H2142</f>
        <v>2</v>
      </c>
      <c r="J2142" s="3">
        <f>ROUND(MIN(IF(C2142="Técnico III",35,IF(C2142="Técnico II",28,IF(C2142="Técnico I",23,IF(C2142="JR",20,IF(C2142="Estágio",10,0))))),IF(C2142="Técnico III",SUMIFS($D:$D,$A:$A,$A2142,$B:$B,"&lt;&gt;Patrícia Karla de Sousa Araújo",$B:$B,"&lt;&gt;Lorena Dias de Araujo",$B:$B,"&lt;&gt;Lucas Luiz Romero")*(35/1083),IF(C2142="Técnico II",SUMIFS($D:$D,$A:$A,$A2142,$B:$B,"&lt;&gt;Patrícia Karla de Sousa Araújo",$B:$B,"&lt;&gt;Lorena Dias de Araujo",$B:$B,"&lt;&gt;Lucas Luiz Romero")*(28/1083),IF(C2142="Técnico I",SUMIFS($D:$D,$A:$A,$A2142,$B:$B,"&lt;&gt;Patrícia Karla de Sousa Araújo",$B:$B,"&lt;&gt;Lorena Dias de Araujo",$B:$B,"&lt;&gt;Lucas Luiz Romero")*(23/1083),IF(C2142="JR",SUMIFS($D:$D,$A:$A,$A2142,$B:$B,"&lt;&gt;Patrícia Karla de Sousa Araújo",$B:$B,"&lt;&gt;Lorena Dias de Araujo",$B:$B,"&lt;&gt;Lucas Luiz Romero")*(20/1083),IF(C2142="Estágio",SUMIFS($D:$D,$A:$A,$A2142,$B:$B,"&lt;&gt;Patrícia Karla de Sousa Araújo",$B:$B,"&lt;&gt;Lorena Dias de Araujo",$B:$B,"&lt;&gt;Lucas Luiz Romero")*(10/1083),0)))))),0)</f>
        <v>2</v>
      </c>
      <c r="K2142" s="3">
        <f>I2142-J2142</f>
        <v>0</v>
      </c>
      <c r="L2142" s="3" t="str">
        <f>IF(K2142&lt;-5,"CRÍTICO",IF(K2142&lt;0,"ATENÇÃO",IF(K2142&lt;=5,"BOM","EXCELENTE")))</f>
        <v>BOM</v>
      </c>
      <c r="M2142">
        <v>3</v>
      </c>
      <c r="N2142">
        <v>97.5</v>
      </c>
      <c r="O2142">
        <v>30.075187969924809</v>
      </c>
    </row>
    <row r="2143" spans="1:15" hidden="1" x14ac:dyDescent="0.25">
      <c r="A2143" s="11">
        <v>46069</v>
      </c>
      <c r="B2143" t="s">
        <v>49</v>
      </c>
      <c r="C2143" t="s">
        <v>48</v>
      </c>
      <c r="D2143">
        <v>6</v>
      </c>
      <c r="E2143">
        <v>6</v>
      </c>
      <c r="F2143">
        <v>23.58</v>
      </c>
      <c r="G2143">
        <v>0</v>
      </c>
      <c r="H2143">
        <v>0</v>
      </c>
      <c r="I2143" s="3">
        <f>E2143+G2143+H2143</f>
        <v>6</v>
      </c>
      <c r="J2143" s="3">
        <f>ROUND(MIN(IF(C2143="Técnico III",35,IF(C2143="Técnico II",28,IF(C2143="Técnico I",23,IF(C2143="JR",20,IF(C2143="Estágio",10,0))))),IF(C2143="Técnico III",SUMIFS($D:$D,$A:$A,$A2143,$B:$B,"&lt;&gt;Patrícia Karla de Sousa Araújo",$B:$B,"&lt;&gt;Lorena Dias de Araujo",$B:$B,"&lt;&gt;Lucas Luiz Romero")*(35/1083),IF(C2143="Técnico II",SUMIFS($D:$D,$A:$A,$A2143,$B:$B,"&lt;&gt;Patrícia Karla de Sousa Araújo",$B:$B,"&lt;&gt;Lorena Dias de Araujo",$B:$B,"&lt;&gt;Lucas Luiz Romero")*(28/1083),IF(C2143="Técnico I",SUMIFS($D:$D,$A:$A,$A2143,$B:$B,"&lt;&gt;Patrícia Karla de Sousa Araújo",$B:$B,"&lt;&gt;Lorena Dias de Araujo",$B:$B,"&lt;&gt;Lucas Luiz Romero")*(23/1083),IF(C2143="JR",SUMIFS($D:$D,$A:$A,$A2143,$B:$B,"&lt;&gt;Patrícia Karla de Sousa Araújo",$B:$B,"&lt;&gt;Lorena Dias de Araujo",$B:$B,"&lt;&gt;Lucas Luiz Romero")*(20/1083),IF(C2143="Estágio",SUMIFS($D:$D,$A:$A,$A2143,$B:$B,"&lt;&gt;Patrícia Karla de Sousa Araújo",$B:$B,"&lt;&gt;Lorena Dias de Araujo",$B:$B,"&lt;&gt;Lucas Luiz Romero")*(10/1083),0)))))),0)</f>
        <v>6</v>
      </c>
      <c r="K2143" s="3">
        <f>I2143-J2143</f>
        <v>0</v>
      </c>
      <c r="L2143" s="3" t="str">
        <f>IF(K2143&lt;-5,"CRÍTICO",IF(K2143&lt;0,"ATENÇÃO",IF(K2143&lt;=5,"BOM","EXCELENTE")))</f>
        <v>BOM</v>
      </c>
      <c r="M2143">
        <v>5</v>
      </c>
      <c r="N2143">
        <v>100</v>
      </c>
      <c r="O2143">
        <v>29.71311475409836</v>
      </c>
    </row>
    <row r="2144" spans="1:15" hidden="1" x14ac:dyDescent="0.25">
      <c r="A2144" s="11">
        <v>46069</v>
      </c>
      <c r="B2144" t="s">
        <v>50</v>
      </c>
      <c r="C2144" t="s">
        <v>48</v>
      </c>
      <c r="D2144">
        <v>7</v>
      </c>
      <c r="E2144">
        <v>7</v>
      </c>
      <c r="F2144">
        <v>33.44</v>
      </c>
      <c r="G2144">
        <v>0</v>
      </c>
      <c r="H2144">
        <v>0</v>
      </c>
      <c r="I2144" s="3">
        <f>E2144+G2144+H2144</f>
        <v>7</v>
      </c>
      <c r="J2144" s="3">
        <f>ROUND(MIN(IF(C2144="Técnico III",35,IF(C2144="Técnico II",28,IF(C2144="Técnico I",23,IF(C2144="JR",20,IF(C2144="Estágio",10,0))))),IF(C2144="Técnico III",SUMIFS($D:$D,$A:$A,$A2144,$B:$B,"&lt;&gt;Patrícia Karla de Sousa Araújo",$B:$B,"&lt;&gt;Lorena Dias de Araujo",$B:$B,"&lt;&gt;Lucas Luiz Romero")*(35/1083),IF(C2144="Técnico II",SUMIFS($D:$D,$A:$A,$A2144,$B:$B,"&lt;&gt;Patrícia Karla de Sousa Araújo",$B:$B,"&lt;&gt;Lorena Dias de Araujo",$B:$B,"&lt;&gt;Lucas Luiz Romero")*(28/1083),IF(C2144="Técnico I",SUMIFS($D:$D,$A:$A,$A2144,$B:$B,"&lt;&gt;Patrícia Karla de Sousa Araújo",$B:$B,"&lt;&gt;Lorena Dias de Araujo",$B:$B,"&lt;&gt;Lucas Luiz Romero")*(23/1083),IF(C2144="JR",SUMIFS($D:$D,$A:$A,$A2144,$B:$B,"&lt;&gt;Patrícia Karla de Sousa Araújo",$B:$B,"&lt;&gt;Lorena Dias de Araujo",$B:$B,"&lt;&gt;Lucas Luiz Romero")*(20/1083),IF(C2144="Estágio",SUMIFS($D:$D,$A:$A,$A2144,$B:$B,"&lt;&gt;Patrícia Karla de Sousa Araújo",$B:$B,"&lt;&gt;Lorena Dias de Araujo",$B:$B,"&lt;&gt;Lucas Luiz Romero")*(10/1083),0)))))),0)</f>
        <v>6</v>
      </c>
      <c r="K2144" s="3">
        <f>I2144-J2144</f>
        <v>1</v>
      </c>
      <c r="L2144" s="3" t="str">
        <f>IF(K2144&lt;-5,"CRÍTICO",IF(K2144&lt;0,"ATENÇÃO",IF(K2144&lt;=5,"BOM","EXCELENTE")))</f>
        <v>BOM</v>
      </c>
      <c r="M2144">
        <v>8</v>
      </c>
      <c r="N2144">
        <v>99.22</v>
      </c>
      <c r="O2144">
        <v>35.256410256410263</v>
      </c>
    </row>
    <row r="2145" spans="1:15" hidden="1" x14ac:dyDescent="0.25">
      <c r="A2145" s="11">
        <v>46069</v>
      </c>
      <c r="B2145" t="s">
        <v>17</v>
      </c>
      <c r="C2145" t="s">
        <v>16</v>
      </c>
      <c r="D2145">
        <v>0</v>
      </c>
      <c r="E2145">
        <v>0</v>
      </c>
      <c r="F2145">
        <v>0</v>
      </c>
      <c r="G2145">
        <v>0</v>
      </c>
      <c r="H2145">
        <v>0</v>
      </c>
      <c r="I2145" s="3">
        <v>0</v>
      </c>
      <c r="J2145" s="3">
        <v>0</v>
      </c>
      <c r="K2145" s="3">
        <v>0</v>
      </c>
      <c r="L2145" s="3" t="str">
        <f>IF(K2145&lt;-5,"CRÍTICO",IF(K2145&lt;0,"ATENÇÃO",IF(K2145&lt;=5,"BOM","EXCELENTE")))</f>
        <v>BOM</v>
      </c>
      <c r="M2145">
        <v>0</v>
      </c>
      <c r="N2145">
        <v>0</v>
      </c>
      <c r="O2145">
        <v>0</v>
      </c>
    </row>
    <row r="2146" spans="1:15" hidden="1" x14ac:dyDescent="0.25">
      <c r="A2146" s="11">
        <v>46069</v>
      </c>
      <c r="B2146" t="s">
        <v>60</v>
      </c>
      <c r="C2146" t="s">
        <v>23</v>
      </c>
      <c r="D2146">
        <v>7</v>
      </c>
      <c r="E2146">
        <v>6</v>
      </c>
      <c r="F2146">
        <v>20.3</v>
      </c>
      <c r="G2146">
        <v>0</v>
      </c>
      <c r="H2146">
        <v>0</v>
      </c>
      <c r="I2146" s="3">
        <f>E2146+G2146+H2146</f>
        <v>6</v>
      </c>
      <c r="J2146" s="3">
        <f>ROUND(MIN(IF(C2146="Técnico III",35,IF(C2146="Técnico II",28,IF(C2146="Técnico I",23,IF(C2146="JR",20,IF(C2146="Estágio",10,0))))),IF(C2146="Técnico III",SUMIFS($D:$D,$A:$A,$A2146,$B:$B,"&lt;&gt;Patrícia Karla de Sousa Araújo",$B:$B,"&lt;&gt;Lorena Dias de Araujo",$B:$B,"&lt;&gt;Lucas Luiz Romero")*(35/1083),IF(C2146="Técnico II",SUMIFS($D:$D,$A:$A,$A2146,$B:$B,"&lt;&gt;Patrícia Karla de Sousa Araújo",$B:$B,"&lt;&gt;Lorena Dias de Araujo",$B:$B,"&lt;&gt;Lucas Luiz Romero")*(28/1083),IF(C2146="Técnico I",SUMIFS($D:$D,$A:$A,$A2146,$B:$B,"&lt;&gt;Patrícia Karla de Sousa Araújo",$B:$B,"&lt;&gt;Lorena Dias de Araujo",$B:$B,"&lt;&gt;Lucas Luiz Romero")*(23/1083),IF(C2146="JR",SUMIFS($D:$D,$A:$A,$A2146,$B:$B,"&lt;&gt;Patrícia Karla de Sousa Araújo",$B:$B,"&lt;&gt;Lorena Dias de Araujo",$B:$B,"&lt;&gt;Lucas Luiz Romero")*(20/1083),IF(C2146="Estágio",SUMIFS($D:$D,$A:$A,$A2146,$B:$B,"&lt;&gt;Patrícia Karla de Sousa Araújo",$B:$B,"&lt;&gt;Lorena Dias de Araujo",$B:$B,"&lt;&gt;Lucas Luiz Romero")*(10/1083),0)))))),0)</f>
        <v>5</v>
      </c>
      <c r="K2146" s="3">
        <f>I2146-J2146</f>
        <v>1</v>
      </c>
      <c r="L2146" s="3" t="str">
        <f>IF(K2146&lt;-5,"CRÍTICO",IF(K2146&lt;0,"ATENÇÃO",IF(K2146&lt;=5,"BOM","EXCELENTE")))</f>
        <v>BOM</v>
      </c>
      <c r="M2146">
        <v>4</v>
      </c>
      <c r="N2146">
        <v>98.75</v>
      </c>
      <c r="O2146">
        <v>24.32432432432433</v>
      </c>
    </row>
    <row r="2147" spans="1:15" hidden="1" x14ac:dyDescent="0.25">
      <c r="A2147" s="11">
        <v>46069</v>
      </c>
      <c r="B2147" t="s">
        <v>34</v>
      </c>
      <c r="C2147" t="s">
        <v>32</v>
      </c>
      <c r="D2147">
        <v>9</v>
      </c>
      <c r="E2147">
        <v>7</v>
      </c>
      <c r="F2147">
        <v>10.33</v>
      </c>
      <c r="G2147">
        <v>0</v>
      </c>
      <c r="H2147">
        <v>0</v>
      </c>
      <c r="I2147" s="3">
        <f>E2147+G2147+H2147</f>
        <v>7</v>
      </c>
      <c r="J2147" s="3">
        <f>ROUND(MIN(IF(C2147="Técnico III",35,IF(C2147="Técnico II",28,IF(C2147="Técnico I",23,IF(C2147="JR",20,IF(C2147="Estágio",10,0))))),IF(C2147="Técnico III",SUMIFS($D:$D,$A:$A,$A2147,$B:$B,"&lt;&gt;Patrícia Karla de Sousa Araújo",$B:$B,"&lt;&gt;Lorena Dias de Araujo",$B:$B,"&lt;&gt;Lucas Luiz Romero")*(35/1083),IF(C2147="Técnico II",SUMIFS($D:$D,$A:$A,$A2147,$B:$B,"&lt;&gt;Patrícia Karla de Sousa Araújo",$B:$B,"&lt;&gt;Lorena Dias de Araujo",$B:$B,"&lt;&gt;Lucas Luiz Romero")*(28/1083),IF(C2147="Técnico I",SUMIFS($D:$D,$A:$A,$A2147,$B:$B,"&lt;&gt;Patrícia Karla de Sousa Araújo",$B:$B,"&lt;&gt;Lorena Dias de Araujo",$B:$B,"&lt;&gt;Lucas Luiz Romero")*(23/1083),IF(C2147="JR",SUMIFS($D:$D,$A:$A,$A2147,$B:$B,"&lt;&gt;Patrícia Karla de Sousa Araújo",$B:$B,"&lt;&gt;Lorena Dias de Araujo",$B:$B,"&lt;&gt;Lucas Luiz Romero")*(20/1083),IF(C2147="Estágio",SUMIFS($D:$D,$A:$A,$A2147,$B:$B,"&lt;&gt;Patrícia Karla de Sousa Araújo",$B:$B,"&lt;&gt;Lorena Dias de Araujo",$B:$B,"&lt;&gt;Lucas Luiz Romero")*(10/1083),0)))))),0)</f>
        <v>7</v>
      </c>
      <c r="K2147" s="3">
        <f>I2147-J2147</f>
        <v>0</v>
      </c>
      <c r="L2147" s="3" t="str">
        <f>IF(K2147&lt;-5,"CRÍTICO",IF(K2147&lt;0,"ATENÇÃO",IF(K2147&lt;=5,"BOM","EXCELENTE")))</f>
        <v>BOM</v>
      </c>
      <c r="M2147">
        <v>9</v>
      </c>
      <c r="N2147">
        <v>93.48</v>
      </c>
      <c r="O2147">
        <v>31.52804642166344</v>
      </c>
    </row>
    <row r="2148" spans="1:15" hidden="1" x14ac:dyDescent="0.25">
      <c r="A2148" s="11">
        <v>46069</v>
      </c>
      <c r="B2148" t="s">
        <v>51</v>
      </c>
      <c r="C2148" t="s">
        <v>48</v>
      </c>
      <c r="D2148">
        <v>5</v>
      </c>
      <c r="E2148">
        <v>1</v>
      </c>
      <c r="F2148">
        <v>1.55</v>
      </c>
      <c r="G2148">
        <v>0</v>
      </c>
      <c r="H2148">
        <v>0</v>
      </c>
      <c r="I2148" s="3">
        <v>0</v>
      </c>
      <c r="J2148" s="3">
        <v>0</v>
      </c>
      <c r="K2148" s="3">
        <v>0</v>
      </c>
      <c r="L2148" s="3" t="str">
        <f>IF(K2148&lt;-5,"CRÍTICO",IF(K2148&lt;0,"ATENÇÃO",IF(K2148&lt;=5,"BOM","EXCELENTE")))</f>
        <v>BOM</v>
      </c>
      <c r="M2148">
        <v>0</v>
      </c>
      <c r="N2148">
        <v>99.16</v>
      </c>
      <c r="O2148">
        <v>26.13908872901678</v>
      </c>
    </row>
    <row r="2149" spans="1:15" hidden="1" x14ac:dyDescent="0.25">
      <c r="A2149" s="11">
        <v>46069</v>
      </c>
      <c r="B2149" t="s">
        <v>61</v>
      </c>
      <c r="C2149" t="s">
        <v>23</v>
      </c>
      <c r="D2149">
        <v>8</v>
      </c>
      <c r="E2149">
        <v>8</v>
      </c>
      <c r="F2149">
        <v>15.25</v>
      </c>
      <c r="G2149">
        <v>0</v>
      </c>
      <c r="H2149">
        <v>0</v>
      </c>
      <c r="I2149" s="3">
        <f>E2149+G2149+H2149</f>
        <v>8</v>
      </c>
      <c r="J2149" s="3">
        <f>ROUND(MIN(IF(C2149="Técnico III",35,IF(C2149="Técnico II",28,IF(C2149="Técnico I",23,IF(C2149="JR",20,IF(C2149="Estágio",10,0))))),IF(C2149="Técnico III",SUMIFS($D:$D,$A:$A,$A2149,$B:$B,"&lt;&gt;Patrícia Karla de Sousa Araújo",$B:$B,"&lt;&gt;Lorena Dias de Araujo",$B:$B,"&lt;&gt;Lucas Luiz Romero")*(35/1083),IF(C2149="Técnico II",SUMIFS($D:$D,$A:$A,$A2149,$B:$B,"&lt;&gt;Patrícia Karla de Sousa Araújo",$B:$B,"&lt;&gt;Lorena Dias de Araujo",$B:$B,"&lt;&gt;Lucas Luiz Romero")*(28/1083),IF(C2149="Técnico I",SUMIFS($D:$D,$A:$A,$A2149,$B:$B,"&lt;&gt;Patrícia Karla de Sousa Araújo",$B:$B,"&lt;&gt;Lorena Dias de Araujo",$B:$B,"&lt;&gt;Lucas Luiz Romero")*(23/1083),IF(C2149="JR",SUMIFS($D:$D,$A:$A,$A2149,$B:$B,"&lt;&gt;Patrícia Karla de Sousa Araújo",$B:$B,"&lt;&gt;Lorena Dias de Araujo",$B:$B,"&lt;&gt;Lucas Luiz Romero")*(20/1083),IF(C2149="Estágio",SUMIFS($D:$D,$A:$A,$A2149,$B:$B,"&lt;&gt;Patrícia Karla de Sousa Araújo",$B:$B,"&lt;&gt;Lorena Dias de Araujo",$B:$B,"&lt;&gt;Lucas Luiz Romero")*(10/1083),0)))))),0)</f>
        <v>5</v>
      </c>
      <c r="K2149" s="3">
        <f>I2149-J2149</f>
        <v>3</v>
      </c>
      <c r="L2149" s="3" t="str">
        <f>IF(K2149&lt;-5,"CRÍTICO",IF(K2149&lt;0,"ATENÇÃO",IF(K2149&lt;=5,"BOM","EXCELENTE")))</f>
        <v>BOM</v>
      </c>
      <c r="M2149">
        <v>6</v>
      </c>
      <c r="N2149">
        <v>100</v>
      </c>
      <c r="O2149">
        <v>31.089743589743591</v>
      </c>
    </row>
    <row r="2150" spans="1:15" hidden="1" x14ac:dyDescent="0.25">
      <c r="A2150" s="11">
        <v>46069</v>
      </c>
      <c r="B2150" t="s">
        <v>35</v>
      </c>
      <c r="C2150" t="s">
        <v>32</v>
      </c>
      <c r="D2150">
        <v>7</v>
      </c>
      <c r="E2150">
        <v>7</v>
      </c>
      <c r="F2150">
        <v>32.340000000000003</v>
      </c>
      <c r="G2150">
        <v>0</v>
      </c>
      <c r="H2150">
        <v>0</v>
      </c>
      <c r="I2150" s="3">
        <v>0</v>
      </c>
      <c r="J2150" s="3">
        <v>0</v>
      </c>
      <c r="K2150" s="3">
        <v>0</v>
      </c>
      <c r="L2150" s="3" t="str">
        <f>IF(K2150&lt;-5,"CRÍTICO",IF(K2150&lt;0,"ATENÇÃO",IF(K2150&lt;=5,"BOM","EXCELENTE")))</f>
        <v>BOM</v>
      </c>
      <c r="M2150">
        <v>7</v>
      </c>
      <c r="N2150">
        <v>98.11</v>
      </c>
      <c r="O2150">
        <v>33.033707865168537</v>
      </c>
    </row>
    <row r="2151" spans="1:15" hidden="1" x14ac:dyDescent="0.25">
      <c r="A2151" s="11">
        <v>46069</v>
      </c>
      <c r="B2151" t="s">
        <v>18</v>
      </c>
      <c r="C2151" t="s">
        <v>16</v>
      </c>
      <c r="D2151">
        <v>5</v>
      </c>
      <c r="E2151">
        <v>4</v>
      </c>
      <c r="F2151">
        <v>11.48</v>
      </c>
      <c r="G2151">
        <v>0</v>
      </c>
      <c r="H2151">
        <v>0</v>
      </c>
      <c r="I2151" s="3">
        <f>E2151+G2151+H2151</f>
        <v>4</v>
      </c>
      <c r="J2151" s="3">
        <f>ROUND(MIN(IF(C2151="Técnico III",35,IF(C2151="Técnico II",28,IF(C2151="Técnico I",23,IF(C2151="JR",20,IF(C2151="Estágio",10,0))))),IF(C2151="Técnico III",SUMIFS($D:$D,$A:$A,$A2151,$B:$B,"&lt;&gt;Patrícia Karla de Sousa Araújo",$B:$B,"&lt;&gt;Lorena Dias de Araujo",$B:$B,"&lt;&gt;Lucas Luiz Romero")*(35/1083),IF(C2151="Técnico II",SUMIFS($D:$D,$A:$A,$A2151,$B:$B,"&lt;&gt;Patrícia Karla de Sousa Araújo",$B:$B,"&lt;&gt;Lorena Dias de Araujo",$B:$B,"&lt;&gt;Lucas Luiz Romero")*(28/1083),IF(C2151="Técnico I",SUMIFS($D:$D,$A:$A,$A2151,$B:$B,"&lt;&gt;Patrícia Karla de Sousa Araújo",$B:$B,"&lt;&gt;Lorena Dias de Araujo",$B:$B,"&lt;&gt;Lucas Luiz Romero")*(23/1083),IF(C2151="JR",SUMIFS($D:$D,$A:$A,$A2151,$B:$B,"&lt;&gt;Patrícia Karla de Sousa Araújo",$B:$B,"&lt;&gt;Lorena Dias de Araujo",$B:$B,"&lt;&gt;Lucas Luiz Romero")*(20/1083),IF(C2151="Estágio",SUMIFS($D:$D,$A:$A,$A2151,$B:$B,"&lt;&gt;Patrícia Karla de Sousa Araújo",$B:$B,"&lt;&gt;Lorena Dias de Araujo",$B:$B,"&lt;&gt;Lucas Luiz Romero")*(10/1083),0)))))),0)</f>
        <v>2</v>
      </c>
      <c r="K2151" s="3">
        <f>I2151-J2151</f>
        <v>2</v>
      </c>
      <c r="L2151" s="3" t="str">
        <f>IF(K2151&lt;-5,"CRÍTICO",IF(K2151&lt;0,"ATENÇÃO",IF(K2151&lt;=5,"BOM","EXCELENTE")))</f>
        <v>BOM</v>
      </c>
      <c r="M2151">
        <v>3</v>
      </c>
      <c r="N2151">
        <v>78.95</v>
      </c>
      <c r="O2151">
        <v>38.983050847457633</v>
      </c>
    </row>
    <row r="2152" spans="1:15" hidden="1" x14ac:dyDescent="0.25">
      <c r="A2152" s="11">
        <v>46069</v>
      </c>
      <c r="B2152" t="s">
        <v>52</v>
      </c>
      <c r="C2152" t="s">
        <v>48</v>
      </c>
      <c r="D2152">
        <v>10</v>
      </c>
      <c r="E2152">
        <v>10</v>
      </c>
      <c r="F2152">
        <v>22.03</v>
      </c>
      <c r="G2152">
        <v>0</v>
      </c>
      <c r="H2152">
        <v>0</v>
      </c>
      <c r="I2152" s="3">
        <f>E2152+G2152+H2152</f>
        <v>10</v>
      </c>
      <c r="J2152" s="3">
        <f>ROUND(MIN(IF(C2152="Técnico III",35,IF(C2152="Técnico II",28,IF(C2152="Técnico I",23,IF(C2152="JR",20,IF(C2152="Estágio",10,0))))),IF(C2152="Técnico III",SUMIFS($D:$D,$A:$A,$A2152,$B:$B,"&lt;&gt;Patrícia Karla de Sousa Araújo",$B:$B,"&lt;&gt;Lorena Dias de Araujo",$B:$B,"&lt;&gt;Lucas Luiz Romero")*(35/1083),IF(C2152="Técnico II",SUMIFS($D:$D,$A:$A,$A2152,$B:$B,"&lt;&gt;Patrícia Karla de Sousa Araújo",$B:$B,"&lt;&gt;Lorena Dias de Araujo",$B:$B,"&lt;&gt;Lucas Luiz Romero")*(28/1083),IF(C2152="Técnico I",SUMIFS($D:$D,$A:$A,$A2152,$B:$B,"&lt;&gt;Patrícia Karla de Sousa Araújo",$B:$B,"&lt;&gt;Lorena Dias de Araujo",$B:$B,"&lt;&gt;Lucas Luiz Romero")*(23/1083),IF(C2152="JR",SUMIFS($D:$D,$A:$A,$A2152,$B:$B,"&lt;&gt;Patrícia Karla de Sousa Araújo",$B:$B,"&lt;&gt;Lorena Dias de Araujo",$B:$B,"&lt;&gt;Lucas Luiz Romero")*(20/1083),IF(C2152="Estágio",SUMIFS($D:$D,$A:$A,$A2152,$B:$B,"&lt;&gt;Patrícia Karla de Sousa Araújo",$B:$B,"&lt;&gt;Lorena Dias de Araujo",$B:$B,"&lt;&gt;Lucas Luiz Romero")*(10/1083),0)))))),0)</f>
        <v>6</v>
      </c>
      <c r="K2152" s="3">
        <f>I2152-J2152</f>
        <v>4</v>
      </c>
      <c r="L2152" s="3" t="str">
        <f>IF(K2152&lt;-5,"CRÍTICO",IF(K2152&lt;0,"ATENÇÃO",IF(K2152&lt;=5,"BOM","EXCELENTE")))</f>
        <v>BOM</v>
      </c>
      <c r="M2152">
        <v>8</v>
      </c>
      <c r="N2152">
        <v>98.45</v>
      </c>
      <c r="O2152">
        <v>29.281767955801101</v>
      </c>
    </row>
    <row r="2153" spans="1:15" hidden="1" x14ac:dyDescent="0.25">
      <c r="A2153" s="11">
        <v>46069</v>
      </c>
      <c r="B2153" t="s">
        <v>36</v>
      </c>
      <c r="C2153" t="s">
        <v>32</v>
      </c>
      <c r="D2153">
        <v>8</v>
      </c>
      <c r="E2153">
        <v>8</v>
      </c>
      <c r="F2153">
        <v>25.23</v>
      </c>
      <c r="G2153">
        <v>0</v>
      </c>
      <c r="H2153">
        <v>0</v>
      </c>
      <c r="I2153" s="3">
        <f>E2153+G2153+H2153</f>
        <v>8</v>
      </c>
      <c r="J2153" s="3">
        <f>ROUND(MIN(IF(C2153="Técnico III",35,IF(C2153="Técnico II",28,IF(C2153="Técnico I",23,IF(C2153="JR",20,IF(C2153="Estágio",10,0))))),IF(C2153="Técnico III",SUMIFS($D:$D,$A:$A,$A2153,$B:$B,"&lt;&gt;Patrícia Karla de Sousa Araújo",$B:$B,"&lt;&gt;Lorena Dias de Araujo",$B:$B,"&lt;&gt;Lucas Luiz Romero")*(35/1083),IF(C2153="Técnico II",SUMIFS($D:$D,$A:$A,$A2153,$B:$B,"&lt;&gt;Patrícia Karla de Sousa Araújo",$B:$B,"&lt;&gt;Lorena Dias de Araujo",$B:$B,"&lt;&gt;Lucas Luiz Romero")*(28/1083),IF(C2153="Técnico I",SUMIFS($D:$D,$A:$A,$A2153,$B:$B,"&lt;&gt;Patrícia Karla de Sousa Araújo",$B:$B,"&lt;&gt;Lorena Dias de Araujo",$B:$B,"&lt;&gt;Lucas Luiz Romero")*(23/1083),IF(C2153="JR",SUMIFS($D:$D,$A:$A,$A2153,$B:$B,"&lt;&gt;Patrícia Karla de Sousa Araújo",$B:$B,"&lt;&gt;Lorena Dias de Araujo",$B:$B,"&lt;&gt;Lucas Luiz Romero")*(20/1083),IF(C2153="Estágio",SUMIFS($D:$D,$A:$A,$A2153,$B:$B,"&lt;&gt;Patrícia Karla de Sousa Araújo",$B:$B,"&lt;&gt;Lorena Dias de Araujo",$B:$B,"&lt;&gt;Lucas Luiz Romero")*(10/1083),0)))))),0)</f>
        <v>7</v>
      </c>
      <c r="K2153" s="3">
        <f>I2153-J2153</f>
        <v>1</v>
      </c>
      <c r="L2153" s="3" t="str">
        <f>IF(K2153&lt;-5,"CRÍTICO",IF(K2153&lt;0,"ATENÇÃO",IF(K2153&lt;=5,"BOM","EXCELENTE")))</f>
        <v>BOM</v>
      </c>
      <c r="M2153">
        <v>9</v>
      </c>
      <c r="N2153">
        <v>97.84</v>
      </c>
      <c r="O2153">
        <v>26.282051282051281</v>
      </c>
    </row>
    <row r="2154" spans="1:15" hidden="1" x14ac:dyDescent="0.25">
      <c r="A2154" s="11">
        <v>46069</v>
      </c>
      <c r="B2154" t="s">
        <v>53</v>
      </c>
      <c r="C2154" t="s">
        <v>48</v>
      </c>
      <c r="D2154">
        <v>7</v>
      </c>
      <c r="E2154">
        <v>7</v>
      </c>
      <c r="F2154">
        <v>30.48</v>
      </c>
      <c r="G2154">
        <v>0</v>
      </c>
      <c r="H2154">
        <v>0</v>
      </c>
      <c r="I2154" s="3">
        <f>E2154+G2154+H2154</f>
        <v>7</v>
      </c>
      <c r="J2154" s="3">
        <f>ROUND(MIN(IF(C2154="Técnico III",35,IF(C2154="Técnico II",28,IF(C2154="Técnico I",23,IF(C2154="JR",20,IF(C2154="Estágio",10,0))))),IF(C2154="Técnico III",SUMIFS($D:$D,$A:$A,$A2154,$B:$B,"&lt;&gt;Patrícia Karla de Sousa Araújo",$B:$B,"&lt;&gt;Lorena Dias de Araujo",$B:$B,"&lt;&gt;Lucas Luiz Romero")*(35/1083),IF(C2154="Técnico II",SUMIFS($D:$D,$A:$A,$A2154,$B:$B,"&lt;&gt;Patrícia Karla de Sousa Araújo",$B:$B,"&lt;&gt;Lorena Dias de Araujo",$B:$B,"&lt;&gt;Lucas Luiz Romero")*(28/1083),IF(C2154="Técnico I",SUMIFS($D:$D,$A:$A,$A2154,$B:$B,"&lt;&gt;Patrícia Karla de Sousa Araújo",$B:$B,"&lt;&gt;Lorena Dias de Araujo",$B:$B,"&lt;&gt;Lucas Luiz Romero")*(23/1083),IF(C2154="JR",SUMIFS($D:$D,$A:$A,$A2154,$B:$B,"&lt;&gt;Patrícia Karla de Sousa Araújo",$B:$B,"&lt;&gt;Lorena Dias de Araujo",$B:$B,"&lt;&gt;Lucas Luiz Romero")*(20/1083),IF(C2154="Estágio",SUMIFS($D:$D,$A:$A,$A2154,$B:$B,"&lt;&gt;Patrícia Karla de Sousa Araújo",$B:$B,"&lt;&gt;Lorena Dias de Araujo",$B:$B,"&lt;&gt;Lucas Luiz Romero")*(10/1083),0)))))),0)</f>
        <v>6</v>
      </c>
      <c r="K2154" s="3">
        <f>I2154-J2154</f>
        <v>1</v>
      </c>
      <c r="L2154" s="3" t="str">
        <f>IF(K2154&lt;-5,"CRÍTICO",IF(K2154&lt;0,"ATENÇÃO",IF(K2154&lt;=5,"BOM","EXCELENTE")))</f>
        <v>BOM</v>
      </c>
      <c r="M2154">
        <v>6</v>
      </c>
      <c r="N2154">
        <v>98.5</v>
      </c>
      <c r="O2154">
        <v>23.97769516728625</v>
      </c>
    </row>
    <row r="2155" spans="1:15" hidden="1" x14ac:dyDescent="0.25">
      <c r="A2155" s="11">
        <v>46101</v>
      </c>
      <c r="B2155" t="s">
        <v>22</v>
      </c>
      <c r="C2155" t="s">
        <v>23</v>
      </c>
      <c r="D2155">
        <v>19</v>
      </c>
      <c r="E2155">
        <v>17</v>
      </c>
      <c r="F2155">
        <v>17.27</v>
      </c>
      <c r="G2155">
        <v>0</v>
      </c>
      <c r="H2155">
        <v>0</v>
      </c>
      <c r="I2155" s="3">
        <f>E2155+G2155+H2155</f>
        <v>17</v>
      </c>
      <c r="J2155" s="3">
        <f>ROUND(MIN(IF(C2155="Técnico III",35,IF(C2155="Técnico II",28,IF(C2155="Técnico I",23,IF(C2155="JR",20,IF(C2155="Estágio",10,0))))),IF(C2155="Técnico III",SUMIFS($D:$D,$A:$A,$A2155,$B:$B,"&lt;&gt;Patrícia Karla de Sousa Araújo",$B:$B,"&lt;&gt;Lorena Dias de Araujo",$B:$B,"&lt;&gt;Lucas Luiz Romero")*(35/1083),IF(C2155="Técnico II",SUMIFS($D:$D,$A:$A,$A2155,$B:$B,"&lt;&gt;Patrícia Karla de Sousa Araújo",$B:$B,"&lt;&gt;Lorena Dias de Araujo",$B:$B,"&lt;&gt;Lucas Luiz Romero")*(28/1083),IF(C2155="Técnico I",SUMIFS($D:$D,$A:$A,$A2155,$B:$B,"&lt;&gt;Patrícia Karla de Sousa Araújo",$B:$B,"&lt;&gt;Lorena Dias de Araujo",$B:$B,"&lt;&gt;Lucas Luiz Romero")*(23/1083),IF(C2155="JR",SUMIFS($D:$D,$A:$A,$A2155,$B:$B,"&lt;&gt;Patrícia Karla de Sousa Araújo",$B:$B,"&lt;&gt;Lorena Dias de Araujo",$B:$B,"&lt;&gt;Lucas Luiz Romero")*(20/1083),IF(C2155="Estágio",SUMIFS($D:$D,$A:$A,$A2155,$B:$B,"&lt;&gt;Patrícia Karla de Sousa Araújo",$B:$B,"&lt;&gt;Lorena Dias de Araujo",$B:$B,"&lt;&gt;Lucas Luiz Romero")*(10/1083),0)))))),0)</f>
        <v>14</v>
      </c>
      <c r="K2155" s="3">
        <f>I2155-J2155</f>
        <v>3</v>
      </c>
      <c r="L2155" s="3" t="str">
        <f>IF(K2155&lt;-5,"CRÍTICO",IF(K2155&lt;0,"ATENÇÃO",IF(K2155&lt;=5,"BOM","EXCELENTE")))</f>
        <v>BOM</v>
      </c>
      <c r="M2155">
        <v>18</v>
      </c>
      <c r="N2155">
        <v>99.05</v>
      </c>
      <c r="O2155">
        <v>26.621923937360179</v>
      </c>
    </row>
    <row r="2156" spans="1:15" hidden="1" x14ac:dyDescent="0.25">
      <c r="A2156" s="11">
        <v>46069</v>
      </c>
      <c r="B2156" t="s">
        <v>54</v>
      </c>
      <c r="C2156" t="s">
        <v>48</v>
      </c>
      <c r="D2156">
        <v>6</v>
      </c>
      <c r="E2156">
        <v>5</v>
      </c>
      <c r="F2156">
        <v>33.299999999999997</v>
      </c>
      <c r="G2156">
        <v>0</v>
      </c>
      <c r="H2156">
        <v>0</v>
      </c>
      <c r="I2156" s="3">
        <f>E2156+G2156+H2156</f>
        <v>5</v>
      </c>
      <c r="J2156" s="3">
        <f>ROUND(MIN(IF(C2156="Técnico III",35,IF(C2156="Técnico II",28,IF(C2156="Técnico I",23,IF(C2156="JR",20,IF(C2156="Estágio",10,0))))),IF(C2156="Técnico III",SUMIFS($D:$D,$A:$A,$A2156,$B:$B,"&lt;&gt;Patrícia Karla de Sousa Araújo",$B:$B,"&lt;&gt;Lorena Dias de Araujo",$B:$B,"&lt;&gt;Lucas Luiz Romero")*(35/1083),IF(C2156="Técnico II",SUMIFS($D:$D,$A:$A,$A2156,$B:$B,"&lt;&gt;Patrícia Karla de Sousa Araújo",$B:$B,"&lt;&gt;Lorena Dias de Araujo",$B:$B,"&lt;&gt;Lucas Luiz Romero")*(28/1083),IF(C2156="Técnico I",SUMIFS($D:$D,$A:$A,$A2156,$B:$B,"&lt;&gt;Patrícia Karla de Sousa Araújo",$B:$B,"&lt;&gt;Lorena Dias de Araujo",$B:$B,"&lt;&gt;Lucas Luiz Romero")*(23/1083),IF(C2156="JR",SUMIFS($D:$D,$A:$A,$A2156,$B:$B,"&lt;&gt;Patrícia Karla de Sousa Araújo",$B:$B,"&lt;&gt;Lorena Dias de Araujo",$B:$B,"&lt;&gt;Lucas Luiz Romero")*(20/1083),IF(C2156="Estágio",SUMIFS($D:$D,$A:$A,$A2156,$B:$B,"&lt;&gt;Patrícia Karla de Sousa Araújo",$B:$B,"&lt;&gt;Lorena Dias de Araujo",$B:$B,"&lt;&gt;Lucas Luiz Romero")*(10/1083),0)))))),0)</f>
        <v>6</v>
      </c>
      <c r="K2156" s="3">
        <f>I2156-J2156</f>
        <v>-1</v>
      </c>
      <c r="L2156" s="3" t="str">
        <f>IF(K2156&lt;-5,"CRÍTICO",IF(K2156&lt;0,"ATENÇÃO",IF(K2156&lt;=5,"BOM","EXCELENTE")))</f>
        <v>ATENÇÃO</v>
      </c>
      <c r="M2156">
        <v>5</v>
      </c>
      <c r="N2156">
        <v>98.53</v>
      </c>
      <c r="O2156">
        <v>31.578947368421051</v>
      </c>
    </row>
    <row r="2157" spans="1:15" hidden="1" x14ac:dyDescent="0.25">
      <c r="A2157" s="11">
        <v>46069</v>
      </c>
      <c r="B2157" t="s">
        <v>37</v>
      </c>
      <c r="C2157" t="s">
        <v>32</v>
      </c>
      <c r="D2157">
        <v>8</v>
      </c>
      <c r="E2157">
        <v>6</v>
      </c>
      <c r="F2157">
        <v>22.15</v>
      </c>
      <c r="G2157">
        <v>0</v>
      </c>
      <c r="H2157">
        <v>0</v>
      </c>
      <c r="I2157" s="3">
        <f>E2157+G2157+H2157</f>
        <v>6</v>
      </c>
      <c r="J2157" s="3">
        <f>ROUND(MIN(IF(C2157="Técnico III",35,IF(C2157="Técnico II",28,IF(C2157="Técnico I",23,IF(C2157="JR",20,IF(C2157="Estágio",10,0))))),IF(C2157="Técnico III",SUMIFS($D:$D,$A:$A,$A2157,$B:$B,"&lt;&gt;Patrícia Karla de Sousa Araújo",$B:$B,"&lt;&gt;Lorena Dias de Araujo",$B:$B,"&lt;&gt;Lucas Luiz Romero")*(35/1083),IF(C2157="Técnico II",SUMIFS($D:$D,$A:$A,$A2157,$B:$B,"&lt;&gt;Patrícia Karla de Sousa Araújo",$B:$B,"&lt;&gt;Lorena Dias de Araujo",$B:$B,"&lt;&gt;Lucas Luiz Romero")*(28/1083),IF(C2157="Técnico I",SUMIFS($D:$D,$A:$A,$A2157,$B:$B,"&lt;&gt;Patrícia Karla de Sousa Araújo",$B:$B,"&lt;&gt;Lorena Dias de Araujo",$B:$B,"&lt;&gt;Lucas Luiz Romero")*(23/1083),IF(C2157="JR",SUMIFS($D:$D,$A:$A,$A2157,$B:$B,"&lt;&gt;Patrícia Karla de Sousa Araújo",$B:$B,"&lt;&gt;Lorena Dias de Araujo",$B:$B,"&lt;&gt;Lucas Luiz Romero")*(20/1083),IF(C2157="Estágio",SUMIFS($D:$D,$A:$A,$A2157,$B:$B,"&lt;&gt;Patrícia Karla de Sousa Araújo",$B:$B,"&lt;&gt;Lorena Dias de Araujo",$B:$B,"&lt;&gt;Lucas Luiz Romero")*(10/1083),0)))))),0)</f>
        <v>7</v>
      </c>
      <c r="K2157" s="3">
        <f>I2157-J2157</f>
        <v>-1</v>
      </c>
      <c r="L2157" s="3" t="str">
        <f>IF(K2157&lt;-5,"CRÍTICO",IF(K2157&lt;0,"ATENÇÃO",IF(K2157&lt;=5,"BOM","EXCELENTE")))</f>
        <v>ATENÇÃO</v>
      </c>
      <c r="M2157">
        <v>6</v>
      </c>
      <c r="N2157">
        <v>100</v>
      </c>
      <c r="O2157">
        <v>25.72214580467676</v>
      </c>
    </row>
    <row r="2158" spans="1:15" hidden="1" x14ac:dyDescent="0.25">
      <c r="A2158" s="11">
        <v>46069</v>
      </c>
      <c r="B2158" t="s">
        <v>38</v>
      </c>
      <c r="C2158" t="s">
        <v>32</v>
      </c>
      <c r="D2158">
        <v>7</v>
      </c>
      <c r="E2158">
        <v>7</v>
      </c>
      <c r="F2158">
        <v>8.5399999999999991</v>
      </c>
      <c r="G2158">
        <v>0</v>
      </c>
      <c r="H2158">
        <v>0</v>
      </c>
      <c r="I2158" s="3">
        <f>E2158+G2158+H2158</f>
        <v>7</v>
      </c>
      <c r="J2158" s="3">
        <f>ROUND(MIN(IF(C2158="Técnico III",35,IF(C2158="Técnico II",28,IF(C2158="Técnico I",23,IF(C2158="JR",20,IF(C2158="Estágio",10,0))))),IF(C2158="Técnico III",SUMIFS($D:$D,$A:$A,$A2158,$B:$B,"&lt;&gt;Patrícia Karla de Sousa Araújo",$B:$B,"&lt;&gt;Lorena Dias de Araujo",$B:$B,"&lt;&gt;Lucas Luiz Romero")*(35/1083),IF(C2158="Técnico II",SUMIFS($D:$D,$A:$A,$A2158,$B:$B,"&lt;&gt;Patrícia Karla de Sousa Araújo",$B:$B,"&lt;&gt;Lorena Dias de Araujo",$B:$B,"&lt;&gt;Lucas Luiz Romero")*(28/1083),IF(C2158="Técnico I",SUMIFS($D:$D,$A:$A,$A2158,$B:$B,"&lt;&gt;Patrícia Karla de Sousa Araújo",$B:$B,"&lt;&gt;Lorena Dias de Araujo",$B:$B,"&lt;&gt;Lucas Luiz Romero")*(23/1083),IF(C2158="JR",SUMIFS($D:$D,$A:$A,$A2158,$B:$B,"&lt;&gt;Patrícia Karla de Sousa Araújo",$B:$B,"&lt;&gt;Lorena Dias de Araujo",$B:$B,"&lt;&gt;Lucas Luiz Romero")*(20/1083),IF(C2158="Estágio",SUMIFS($D:$D,$A:$A,$A2158,$B:$B,"&lt;&gt;Patrícia Karla de Sousa Araújo",$B:$B,"&lt;&gt;Lorena Dias de Araujo",$B:$B,"&lt;&gt;Lucas Luiz Romero")*(10/1083),0)))))),0)</f>
        <v>7</v>
      </c>
      <c r="K2158" s="3">
        <f>I2158-J2158</f>
        <v>0</v>
      </c>
      <c r="L2158" s="3" t="str">
        <f>IF(K2158&lt;-5,"CRÍTICO",IF(K2158&lt;0,"ATENÇÃO",IF(K2158&lt;=5,"BOM","EXCELENTE")))</f>
        <v>BOM</v>
      </c>
      <c r="M2158">
        <v>7</v>
      </c>
      <c r="N2158">
        <v>94.64</v>
      </c>
      <c r="O2158">
        <v>27.52941176470588</v>
      </c>
    </row>
    <row r="2159" spans="1:15" hidden="1" x14ac:dyDescent="0.25">
      <c r="A2159" s="11">
        <v>46069</v>
      </c>
      <c r="B2159" t="s">
        <v>55</v>
      </c>
      <c r="C2159" t="s">
        <v>48</v>
      </c>
      <c r="D2159">
        <v>8</v>
      </c>
      <c r="E2159">
        <v>7</v>
      </c>
      <c r="F2159">
        <v>23.33</v>
      </c>
      <c r="G2159">
        <v>0</v>
      </c>
      <c r="H2159">
        <v>0</v>
      </c>
      <c r="I2159" s="3">
        <f>E2159+G2159+H2159</f>
        <v>7</v>
      </c>
      <c r="J2159" s="3">
        <f>ROUND(MIN(IF(C2159="Técnico III",35,IF(C2159="Técnico II",28,IF(C2159="Técnico I",23,IF(C2159="JR",20,IF(C2159="Estágio",10,0))))),IF(C2159="Técnico III",SUMIFS($D:$D,$A:$A,$A2159,$B:$B,"&lt;&gt;Patrícia Karla de Sousa Araújo",$B:$B,"&lt;&gt;Lorena Dias de Araujo",$B:$B,"&lt;&gt;Lucas Luiz Romero")*(35/1083),IF(C2159="Técnico II",SUMIFS($D:$D,$A:$A,$A2159,$B:$B,"&lt;&gt;Patrícia Karla de Sousa Araújo",$B:$B,"&lt;&gt;Lorena Dias de Araujo",$B:$B,"&lt;&gt;Lucas Luiz Romero")*(28/1083),IF(C2159="Técnico I",SUMIFS($D:$D,$A:$A,$A2159,$B:$B,"&lt;&gt;Patrícia Karla de Sousa Araújo",$B:$B,"&lt;&gt;Lorena Dias de Araujo",$B:$B,"&lt;&gt;Lucas Luiz Romero")*(23/1083),IF(C2159="JR",SUMIFS($D:$D,$A:$A,$A2159,$B:$B,"&lt;&gt;Patrícia Karla de Sousa Araújo",$B:$B,"&lt;&gt;Lorena Dias de Araujo",$B:$B,"&lt;&gt;Lucas Luiz Romero")*(20/1083),IF(C2159="Estágio",SUMIFS($D:$D,$A:$A,$A2159,$B:$B,"&lt;&gt;Patrícia Karla de Sousa Araújo",$B:$B,"&lt;&gt;Lorena Dias de Araujo",$B:$B,"&lt;&gt;Lucas Luiz Romero")*(10/1083),0)))))),0)</f>
        <v>6</v>
      </c>
      <c r="K2159" s="3">
        <f>I2159-J2159</f>
        <v>1</v>
      </c>
      <c r="L2159" s="3" t="str">
        <f>IF(K2159&lt;-5,"CRÍTICO",IF(K2159&lt;0,"ATENÇÃO",IF(K2159&lt;=5,"BOM","EXCELENTE")))</f>
        <v>BOM</v>
      </c>
      <c r="M2159">
        <v>6</v>
      </c>
      <c r="N2159">
        <v>99.07</v>
      </c>
      <c r="O2159">
        <v>26.376811594202898</v>
      </c>
    </row>
    <row r="2160" spans="1:15" hidden="1" x14ac:dyDescent="0.25">
      <c r="A2160" s="11">
        <v>46069</v>
      </c>
      <c r="B2160" t="s">
        <v>39</v>
      </c>
      <c r="C2160" t="s">
        <v>32</v>
      </c>
      <c r="D2160">
        <v>0</v>
      </c>
      <c r="E2160">
        <v>0</v>
      </c>
      <c r="F2160">
        <v>0</v>
      </c>
      <c r="G2160">
        <v>0</v>
      </c>
      <c r="H2160">
        <v>0</v>
      </c>
      <c r="I2160" s="3">
        <v>0</v>
      </c>
      <c r="J2160" s="3">
        <v>0</v>
      </c>
      <c r="K2160" s="3">
        <v>0</v>
      </c>
      <c r="L2160" s="3" t="str">
        <f>IF(K2160&lt;-5,"CRÍTICO",IF(K2160&lt;0,"ATENÇÃO",IF(K2160&lt;=5,"BOM","EXCELENTE")))</f>
        <v>BOM</v>
      </c>
      <c r="M2160">
        <v>0</v>
      </c>
      <c r="N2160">
        <v>100</v>
      </c>
      <c r="O2160">
        <v>0</v>
      </c>
    </row>
    <row r="2161" spans="1:15" hidden="1" x14ac:dyDescent="0.25">
      <c r="A2161" s="11">
        <v>46069</v>
      </c>
      <c r="B2161" t="s">
        <v>25</v>
      </c>
      <c r="C2161" t="s">
        <v>26</v>
      </c>
      <c r="D2161">
        <v>0</v>
      </c>
      <c r="E2161">
        <v>0</v>
      </c>
      <c r="F2161">
        <v>0</v>
      </c>
      <c r="G2161">
        <v>0</v>
      </c>
      <c r="H2161">
        <v>0</v>
      </c>
      <c r="I2161" s="3">
        <v>0</v>
      </c>
      <c r="J2161" s="3">
        <v>0</v>
      </c>
      <c r="K2161" s="3">
        <v>0</v>
      </c>
      <c r="L2161" s="3" t="str">
        <f>IF(K2161&lt;-5,"CRÍTICO",IF(K2161&lt;0,"ATENÇÃO",IF(K2161&lt;=5,"BOM","EXCELENTE")))</f>
        <v>BOM</v>
      </c>
      <c r="M2161">
        <v>0</v>
      </c>
      <c r="N2161">
        <v>98.48</v>
      </c>
      <c r="O2161">
        <v>27.853881278538811</v>
      </c>
    </row>
    <row r="2162" spans="1:15" hidden="1" x14ac:dyDescent="0.25">
      <c r="A2162" s="11">
        <v>46069</v>
      </c>
      <c r="B2162" t="s">
        <v>40</v>
      </c>
      <c r="C2162" t="s">
        <v>32</v>
      </c>
      <c r="D2162">
        <v>7</v>
      </c>
      <c r="E2162">
        <v>6</v>
      </c>
      <c r="F2162">
        <v>22.25</v>
      </c>
      <c r="G2162">
        <v>0</v>
      </c>
      <c r="H2162">
        <v>0</v>
      </c>
      <c r="I2162" s="3">
        <f>E2162+G2162+H2162</f>
        <v>6</v>
      </c>
      <c r="J2162" s="3">
        <f>ROUND(MIN(IF(C2162="Técnico III",35,IF(C2162="Técnico II",28,IF(C2162="Técnico I",23,IF(C2162="JR",20,IF(C2162="Estágio",10,0))))),IF(C2162="Técnico III",SUMIFS($D:$D,$A:$A,$A2162,$B:$B,"&lt;&gt;Patrícia Karla de Sousa Araújo",$B:$B,"&lt;&gt;Lorena Dias de Araujo",$B:$B,"&lt;&gt;Lucas Luiz Romero")*(35/1083),IF(C2162="Técnico II",SUMIFS($D:$D,$A:$A,$A2162,$B:$B,"&lt;&gt;Patrícia Karla de Sousa Araújo",$B:$B,"&lt;&gt;Lorena Dias de Araujo",$B:$B,"&lt;&gt;Lucas Luiz Romero")*(28/1083),IF(C2162="Técnico I",SUMIFS($D:$D,$A:$A,$A2162,$B:$B,"&lt;&gt;Patrícia Karla de Sousa Araújo",$B:$B,"&lt;&gt;Lorena Dias de Araujo",$B:$B,"&lt;&gt;Lucas Luiz Romero")*(23/1083),IF(C2162="JR",SUMIFS($D:$D,$A:$A,$A2162,$B:$B,"&lt;&gt;Patrícia Karla de Sousa Araújo",$B:$B,"&lt;&gt;Lorena Dias de Araujo",$B:$B,"&lt;&gt;Lucas Luiz Romero")*(20/1083),IF(C2162="Estágio",SUMIFS($D:$D,$A:$A,$A2162,$B:$B,"&lt;&gt;Patrícia Karla de Sousa Araújo",$B:$B,"&lt;&gt;Lorena Dias de Araujo",$B:$B,"&lt;&gt;Lucas Luiz Romero")*(10/1083),0)))))),0)</f>
        <v>7</v>
      </c>
      <c r="K2162" s="3">
        <f>I2162-J2162</f>
        <v>-1</v>
      </c>
      <c r="L2162" s="3" t="str">
        <f>IF(K2162&lt;-5,"CRÍTICO",IF(K2162&lt;0,"ATENÇÃO",IF(K2162&lt;=5,"BOM","EXCELENTE")))</f>
        <v>ATENÇÃO</v>
      </c>
      <c r="M2162">
        <v>5</v>
      </c>
      <c r="N2162">
        <v>95.15</v>
      </c>
      <c r="O2162">
        <v>34.131736526946113</v>
      </c>
    </row>
    <row r="2163" spans="1:15" hidden="1" x14ac:dyDescent="0.25">
      <c r="A2163" s="11">
        <v>46069</v>
      </c>
      <c r="B2163" t="s">
        <v>27</v>
      </c>
      <c r="C2163" t="s">
        <v>26</v>
      </c>
      <c r="D2163">
        <v>0</v>
      </c>
      <c r="E2163">
        <v>0</v>
      </c>
      <c r="F2163">
        <v>0</v>
      </c>
      <c r="G2163">
        <v>0</v>
      </c>
      <c r="H2163">
        <v>0</v>
      </c>
      <c r="I2163" s="3">
        <v>0</v>
      </c>
      <c r="J2163" s="3">
        <v>0</v>
      </c>
      <c r="K2163" s="3">
        <v>0</v>
      </c>
      <c r="L2163" s="3" t="str">
        <f>IF(K2163&lt;-5,"CRÍTICO",IF(K2163&lt;0,"ATENÇÃO",IF(K2163&lt;=5,"BOM","EXCELENTE")))</f>
        <v>BOM</v>
      </c>
      <c r="M2163">
        <v>0</v>
      </c>
      <c r="N2163">
        <v>0</v>
      </c>
      <c r="O2163">
        <v>0</v>
      </c>
    </row>
    <row r="2164" spans="1:15" hidden="1" x14ac:dyDescent="0.25">
      <c r="A2164" s="11">
        <v>46069</v>
      </c>
      <c r="B2164" t="s">
        <v>41</v>
      </c>
      <c r="C2164" t="s">
        <v>32</v>
      </c>
      <c r="D2164">
        <v>8</v>
      </c>
      <c r="E2164">
        <v>8</v>
      </c>
      <c r="F2164">
        <v>34.19</v>
      </c>
      <c r="G2164">
        <v>0</v>
      </c>
      <c r="H2164">
        <v>0</v>
      </c>
      <c r="I2164" s="3">
        <f>E2164+G2164+H2164</f>
        <v>8</v>
      </c>
      <c r="J2164" s="3">
        <f>ROUND(MIN(IF(C2164="Técnico III",35,IF(C2164="Técnico II",28,IF(C2164="Técnico I",23,IF(C2164="JR",20,IF(C2164="Estágio",10,0))))),IF(C2164="Técnico III",SUMIFS($D:$D,$A:$A,$A2164,$B:$B,"&lt;&gt;Patrícia Karla de Sousa Araújo",$B:$B,"&lt;&gt;Lorena Dias de Araujo",$B:$B,"&lt;&gt;Lucas Luiz Romero")*(35/1083),IF(C2164="Técnico II",SUMIFS($D:$D,$A:$A,$A2164,$B:$B,"&lt;&gt;Patrícia Karla de Sousa Araújo",$B:$B,"&lt;&gt;Lorena Dias de Araujo",$B:$B,"&lt;&gt;Lucas Luiz Romero")*(28/1083),IF(C2164="Técnico I",SUMIFS($D:$D,$A:$A,$A2164,$B:$B,"&lt;&gt;Patrícia Karla de Sousa Araújo",$B:$B,"&lt;&gt;Lorena Dias de Araujo",$B:$B,"&lt;&gt;Lucas Luiz Romero")*(23/1083),IF(C2164="JR",SUMIFS($D:$D,$A:$A,$A2164,$B:$B,"&lt;&gt;Patrícia Karla de Sousa Araújo",$B:$B,"&lt;&gt;Lorena Dias de Araujo",$B:$B,"&lt;&gt;Lucas Luiz Romero")*(20/1083),IF(C2164="Estágio",SUMIFS($D:$D,$A:$A,$A2164,$B:$B,"&lt;&gt;Patrícia Karla de Sousa Araújo",$B:$B,"&lt;&gt;Lorena Dias de Araujo",$B:$B,"&lt;&gt;Lucas Luiz Romero")*(10/1083),0)))))),0)</f>
        <v>7</v>
      </c>
      <c r="K2164" s="3">
        <f>I2164-J2164</f>
        <v>1</v>
      </c>
      <c r="L2164" s="3" t="str">
        <f>IF(K2164&lt;-5,"CRÍTICO",IF(K2164&lt;0,"ATENÇÃO",IF(K2164&lt;=5,"BOM","EXCELENTE")))</f>
        <v>BOM</v>
      </c>
      <c r="M2164">
        <v>8</v>
      </c>
      <c r="N2164">
        <v>99.26</v>
      </c>
      <c r="O2164">
        <v>30.84832904884319</v>
      </c>
    </row>
    <row r="2165" spans="1:15" hidden="1" x14ac:dyDescent="0.25">
      <c r="A2165" s="11">
        <v>46069</v>
      </c>
      <c r="B2165" t="s">
        <v>56</v>
      </c>
      <c r="C2165" t="s">
        <v>48</v>
      </c>
      <c r="D2165">
        <v>6</v>
      </c>
      <c r="E2165">
        <v>6</v>
      </c>
      <c r="F2165">
        <v>48.53</v>
      </c>
      <c r="G2165">
        <v>0</v>
      </c>
      <c r="H2165">
        <v>0</v>
      </c>
      <c r="I2165" s="3">
        <f>E2165+G2165+H2165</f>
        <v>6</v>
      </c>
      <c r="J2165" s="3">
        <f>ROUND(MIN(IF(C2165="Técnico III",35,IF(C2165="Técnico II",28,IF(C2165="Técnico I",23,IF(C2165="JR",20,IF(C2165="Estágio",10,0))))),IF(C2165="Técnico III",SUMIFS($D:$D,$A:$A,$A2165,$B:$B,"&lt;&gt;Patrícia Karla de Sousa Araújo",$B:$B,"&lt;&gt;Lorena Dias de Araujo",$B:$B,"&lt;&gt;Lucas Luiz Romero")*(35/1083),IF(C2165="Técnico II",SUMIFS($D:$D,$A:$A,$A2165,$B:$B,"&lt;&gt;Patrícia Karla de Sousa Araújo",$B:$B,"&lt;&gt;Lorena Dias de Araujo",$B:$B,"&lt;&gt;Lucas Luiz Romero")*(28/1083),IF(C2165="Técnico I",SUMIFS($D:$D,$A:$A,$A2165,$B:$B,"&lt;&gt;Patrícia Karla de Sousa Araújo",$B:$B,"&lt;&gt;Lorena Dias de Araujo",$B:$B,"&lt;&gt;Lucas Luiz Romero")*(23/1083),IF(C2165="JR",SUMIFS($D:$D,$A:$A,$A2165,$B:$B,"&lt;&gt;Patrícia Karla de Sousa Araújo",$B:$B,"&lt;&gt;Lorena Dias de Araujo",$B:$B,"&lt;&gt;Lucas Luiz Romero")*(20/1083),IF(C2165="Estágio",SUMIFS($D:$D,$A:$A,$A2165,$B:$B,"&lt;&gt;Patrícia Karla de Sousa Araújo",$B:$B,"&lt;&gt;Lorena Dias de Araujo",$B:$B,"&lt;&gt;Lucas Luiz Romero")*(10/1083),0)))))),0)</f>
        <v>6</v>
      </c>
      <c r="K2165" s="3">
        <f>I2165-J2165</f>
        <v>0</v>
      </c>
      <c r="L2165" s="3" t="str">
        <f>IF(K2165&lt;-5,"CRÍTICO",IF(K2165&lt;0,"ATENÇÃO",IF(K2165&lt;=5,"BOM","EXCELENTE")))</f>
        <v>BOM</v>
      </c>
      <c r="M2165">
        <v>35</v>
      </c>
      <c r="N2165">
        <v>97.48</v>
      </c>
      <c r="O2165">
        <v>27.764705882352938</v>
      </c>
    </row>
    <row r="2166" spans="1:15" hidden="1" x14ac:dyDescent="0.25">
      <c r="A2166" s="11">
        <v>46069</v>
      </c>
      <c r="B2166" t="s">
        <v>57</v>
      </c>
      <c r="C2166" t="s">
        <v>48</v>
      </c>
      <c r="D2166">
        <v>7</v>
      </c>
      <c r="E2166">
        <v>7</v>
      </c>
      <c r="F2166">
        <v>35.479999999999997</v>
      </c>
      <c r="G2166">
        <v>0</v>
      </c>
      <c r="H2166">
        <v>0</v>
      </c>
      <c r="I2166" s="3">
        <v>0</v>
      </c>
      <c r="J2166" s="3">
        <v>0</v>
      </c>
      <c r="K2166" s="3">
        <v>0</v>
      </c>
      <c r="L2166" s="3" t="str">
        <f>IF(K2166&lt;-5,"CRÍTICO",IF(K2166&lt;0,"ATENÇÃO",IF(K2166&lt;=5,"BOM","EXCELENTE")))</f>
        <v>BOM</v>
      </c>
      <c r="M2166">
        <v>5</v>
      </c>
      <c r="N2166">
        <v>99.34</v>
      </c>
      <c r="O2166">
        <v>30.04291845493562</v>
      </c>
    </row>
    <row r="2167" spans="1:15" hidden="1" x14ac:dyDescent="0.25">
      <c r="A2167" s="11">
        <v>46069</v>
      </c>
      <c r="B2167" t="s">
        <v>42</v>
      </c>
      <c r="C2167" t="s">
        <v>32</v>
      </c>
      <c r="D2167">
        <v>0</v>
      </c>
      <c r="E2167">
        <v>0</v>
      </c>
      <c r="F2167">
        <v>0</v>
      </c>
      <c r="G2167">
        <v>0</v>
      </c>
      <c r="H2167">
        <v>0</v>
      </c>
      <c r="I2167" s="3">
        <v>0</v>
      </c>
      <c r="J2167" s="3">
        <v>0</v>
      </c>
      <c r="K2167" s="3">
        <v>0</v>
      </c>
      <c r="L2167" s="3" t="str">
        <f>IF(K2167&lt;-5,"CRÍTICO",IF(K2167&lt;0,"ATENÇÃO",IF(K2167&lt;=5,"BOM","EXCELENTE")))</f>
        <v>BOM</v>
      </c>
      <c r="M2167">
        <v>0</v>
      </c>
      <c r="N2167">
        <v>96.3</v>
      </c>
      <c r="O2167">
        <v>24.29378531073446</v>
      </c>
    </row>
    <row r="2168" spans="1:15" hidden="1" x14ac:dyDescent="0.25">
      <c r="A2168" s="11">
        <v>46069</v>
      </c>
      <c r="B2168" t="s">
        <v>62</v>
      </c>
      <c r="C2168" t="s">
        <v>23</v>
      </c>
      <c r="D2168">
        <v>7</v>
      </c>
      <c r="E2168">
        <v>7</v>
      </c>
      <c r="F2168">
        <v>22.37</v>
      </c>
      <c r="G2168">
        <v>0</v>
      </c>
      <c r="H2168">
        <v>0</v>
      </c>
      <c r="I2168" s="3">
        <f>E2168+G2168+H2168</f>
        <v>7</v>
      </c>
      <c r="J2168" s="3">
        <f>ROUND(MIN(IF(C2168="Técnico III",35,IF(C2168="Técnico II",28,IF(C2168="Técnico I",23,IF(C2168="JR",20,IF(C2168="Estágio",10,0))))),IF(C2168="Técnico III",SUMIFS($D:$D,$A:$A,$A2168,$B:$B,"&lt;&gt;Patrícia Karla de Sousa Araújo",$B:$B,"&lt;&gt;Lorena Dias de Araujo",$B:$B,"&lt;&gt;Lucas Luiz Romero")*(35/1083),IF(C2168="Técnico II",SUMIFS($D:$D,$A:$A,$A2168,$B:$B,"&lt;&gt;Patrícia Karla de Sousa Araújo",$B:$B,"&lt;&gt;Lorena Dias de Araujo",$B:$B,"&lt;&gt;Lucas Luiz Romero")*(28/1083),IF(C2168="Técnico I",SUMIFS($D:$D,$A:$A,$A2168,$B:$B,"&lt;&gt;Patrícia Karla de Sousa Araújo",$B:$B,"&lt;&gt;Lorena Dias de Araujo",$B:$B,"&lt;&gt;Lucas Luiz Romero")*(23/1083),IF(C2168="JR",SUMIFS($D:$D,$A:$A,$A2168,$B:$B,"&lt;&gt;Patrícia Karla de Sousa Araújo",$B:$B,"&lt;&gt;Lorena Dias de Araujo",$B:$B,"&lt;&gt;Lucas Luiz Romero")*(20/1083),IF(C2168="Estágio",SUMIFS($D:$D,$A:$A,$A2168,$B:$B,"&lt;&gt;Patrícia Karla de Sousa Araújo",$B:$B,"&lt;&gt;Lorena Dias de Araujo",$B:$B,"&lt;&gt;Lucas Luiz Romero")*(10/1083),0)))))),0)</f>
        <v>5</v>
      </c>
      <c r="K2168" s="3">
        <f>I2168-J2168</f>
        <v>2</v>
      </c>
      <c r="L2168" s="3" t="str">
        <f>IF(K2168&lt;-5,"CRÍTICO",IF(K2168&lt;0,"ATENÇÃO",IF(K2168&lt;=5,"BOM","EXCELENTE")))</f>
        <v>BOM</v>
      </c>
      <c r="M2168">
        <v>6</v>
      </c>
      <c r="N2168">
        <v>100</v>
      </c>
      <c r="O2168">
        <v>26.543209876543209</v>
      </c>
    </row>
    <row r="2169" spans="1:15" hidden="1" x14ac:dyDescent="0.25">
      <c r="A2169" s="11">
        <v>46069</v>
      </c>
      <c r="B2169" t="s">
        <v>19</v>
      </c>
      <c r="C2169" t="s">
        <v>16</v>
      </c>
      <c r="D2169">
        <v>4</v>
      </c>
      <c r="E2169">
        <v>4</v>
      </c>
      <c r="F2169">
        <v>26.59</v>
      </c>
      <c r="G2169">
        <v>0</v>
      </c>
      <c r="H2169">
        <v>0</v>
      </c>
      <c r="I2169" s="3">
        <f>E2169+G2169+H2169</f>
        <v>4</v>
      </c>
      <c r="J2169" s="3">
        <f>ROUND(MIN(IF(C2169="Técnico III",35,IF(C2169="Técnico II",28,IF(C2169="Técnico I",23,IF(C2169="JR",20,IF(C2169="Estágio",10,0))))),IF(C2169="Técnico III",SUMIFS($D:$D,$A:$A,$A2169,$B:$B,"&lt;&gt;Patrícia Karla de Sousa Araújo",$B:$B,"&lt;&gt;Lorena Dias de Araujo",$B:$B,"&lt;&gt;Lucas Luiz Romero")*(35/1083),IF(C2169="Técnico II",SUMIFS($D:$D,$A:$A,$A2169,$B:$B,"&lt;&gt;Patrícia Karla de Sousa Araújo",$B:$B,"&lt;&gt;Lorena Dias de Araujo",$B:$B,"&lt;&gt;Lucas Luiz Romero")*(28/1083),IF(C2169="Técnico I",SUMIFS($D:$D,$A:$A,$A2169,$B:$B,"&lt;&gt;Patrícia Karla de Sousa Araújo",$B:$B,"&lt;&gt;Lorena Dias de Araujo",$B:$B,"&lt;&gt;Lucas Luiz Romero")*(23/1083),IF(C2169="JR",SUMIFS($D:$D,$A:$A,$A2169,$B:$B,"&lt;&gt;Patrícia Karla de Sousa Araújo",$B:$B,"&lt;&gt;Lorena Dias de Araujo",$B:$B,"&lt;&gt;Lucas Luiz Romero")*(20/1083),IF(C2169="Estágio",SUMIFS($D:$D,$A:$A,$A2169,$B:$B,"&lt;&gt;Patrícia Karla de Sousa Araújo",$B:$B,"&lt;&gt;Lorena Dias de Araujo",$B:$B,"&lt;&gt;Lucas Luiz Romero")*(10/1083),0)))))),0)</f>
        <v>2</v>
      </c>
      <c r="K2169" s="3">
        <f>I2169-J2169</f>
        <v>2</v>
      </c>
      <c r="L2169" s="3" t="str">
        <f>IF(K2169&lt;-5,"CRÍTICO",IF(K2169&lt;0,"ATENÇÃO",IF(K2169&lt;=5,"BOM","EXCELENTE")))</f>
        <v>BOM</v>
      </c>
      <c r="M2169">
        <v>3</v>
      </c>
      <c r="N2169">
        <v>100</v>
      </c>
      <c r="O2169">
        <v>35.483870967741943</v>
      </c>
    </row>
    <row r="2170" spans="1:15" hidden="1" x14ac:dyDescent="0.25">
      <c r="A2170" s="11">
        <v>46069</v>
      </c>
      <c r="B2170" t="s">
        <v>43</v>
      </c>
      <c r="C2170" t="s">
        <v>32</v>
      </c>
      <c r="D2170">
        <v>2</v>
      </c>
      <c r="E2170">
        <v>2</v>
      </c>
      <c r="F2170">
        <v>38.51</v>
      </c>
      <c r="G2170">
        <v>0</v>
      </c>
      <c r="H2170">
        <v>0</v>
      </c>
      <c r="I2170" s="3">
        <f>E2170+G2170+H2170</f>
        <v>2</v>
      </c>
      <c r="J2170" s="3">
        <f>ROUND(MIN(IF(C2170="Técnico III",35,IF(C2170="Técnico II",28,IF(C2170="Técnico I",23,IF(C2170="JR",20,IF(C2170="Estágio",10,0))))),IF(C2170="Técnico III",SUMIFS($D:$D,$A:$A,$A2170,$B:$B,"&lt;&gt;Patrícia Karla de Sousa Araújo",$B:$B,"&lt;&gt;Lorena Dias de Araujo",$B:$B,"&lt;&gt;Lucas Luiz Romero")*(35/1083),IF(C2170="Técnico II",SUMIFS($D:$D,$A:$A,$A2170,$B:$B,"&lt;&gt;Patrícia Karla de Sousa Araújo",$B:$B,"&lt;&gt;Lorena Dias de Araujo",$B:$B,"&lt;&gt;Lucas Luiz Romero")*(28/1083),IF(C2170="Técnico I",SUMIFS($D:$D,$A:$A,$A2170,$B:$B,"&lt;&gt;Patrícia Karla de Sousa Araújo",$B:$B,"&lt;&gt;Lorena Dias de Araujo",$B:$B,"&lt;&gt;Lucas Luiz Romero")*(23/1083),IF(C2170="JR",SUMIFS($D:$D,$A:$A,$A2170,$B:$B,"&lt;&gt;Patrícia Karla de Sousa Araújo",$B:$B,"&lt;&gt;Lorena Dias de Araujo",$B:$B,"&lt;&gt;Lucas Luiz Romero")*(20/1083),IF(C2170="Estágio",SUMIFS($D:$D,$A:$A,$A2170,$B:$B,"&lt;&gt;Patrícia Karla de Sousa Araújo",$B:$B,"&lt;&gt;Lorena Dias de Araujo",$B:$B,"&lt;&gt;Lucas Luiz Romero")*(10/1083),0)))))),0)</f>
        <v>7</v>
      </c>
      <c r="K2170" s="3">
        <f>I2170-J2170</f>
        <v>-5</v>
      </c>
      <c r="L2170" s="3" t="str">
        <f>IF(K2170&lt;-5,"CRÍTICO",IF(K2170&lt;0,"ATENÇÃO",IF(K2170&lt;=5,"BOM","EXCELENTE")))</f>
        <v>ATENÇÃO</v>
      </c>
      <c r="M2170">
        <v>3</v>
      </c>
      <c r="N2170">
        <v>99.27</v>
      </c>
      <c r="O2170">
        <v>31.163708086785011</v>
      </c>
    </row>
    <row r="2171" spans="1:15" hidden="1" x14ac:dyDescent="0.25">
      <c r="A2171" s="11">
        <v>46069</v>
      </c>
      <c r="B2171" t="s">
        <v>44</v>
      </c>
      <c r="C2171" t="s">
        <v>32</v>
      </c>
      <c r="D2171">
        <v>7</v>
      </c>
      <c r="E2171">
        <v>5</v>
      </c>
      <c r="F2171">
        <v>7.07</v>
      </c>
      <c r="G2171">
        <v>0</v>
      </c>
      <c r="H2171">
        <v>0</v>
      </c>
      <c r="I2171" s="3">
        <f>E2171+G2171+H2171</f>
        <v>5</v>
      </c>
      <c r="J2171" s="3">
        <f>ROUND(MIN(IF(C2171="Técnico III",35,IF(C2171="Técnico II",28,IF(C2171="Técnico I",23,IF(C2171="JR",20,IF(C2171="Estágio",10,0))))),IF(C2171="Técnico III",SUMIFS($D:$D,$A:$A,$A2171,$B:$B,"&lt;&gt;Patrícia Karla de Sousa Araújo",$B:$B,"&lt;&gt;Lorena Dias de Araujo",$B:$B,"&lt;&gt;Lucas Luiz Romero")*(35/1083),IF(C2171="Técnico II",SUMIFS($D:$D,$A:$A,$A2171,$B:$B,"&lt;&gt;Patrícia Karla de Sousa Araújo",$B:$B,"&lt;&gt;Lorena Dias de Araujo",$B:$B,"&lt;&gt;Lucas Luiz Romero")*(28/1083),IF(C2171="Técnico I",SUMIFS($D:$D,$A:$A,$A2171,$B:$B,"&lt;&gt;Patrícia Karla de Sousa Araújo",$B:$B,"&lt;&gt;Lorena Dias de Araujo",$B:$B,"&lt;&gt;Lucas Luiz Romero")*(23/1083),IF(C2171="JR",SUMIFS($D:$D,$A:$A,$A2171,$B:$B,"&lt;&gt;Patrícia Karla de Sousa Araújo",$B:$B,"&lt;&gt;Lorena Dias de Araujo",$B:$B,"&lt;&gt;Lucas Luiz Romero")*(20/1083),IF(C2171="Estágio",SUMIFS($D:$D,$A:$A,$A2171,$B:$B,"&lt;&gt;Patrícia Karla de Sousa Araújo",$B:$B,"&lt;&gt;Lorena Dias de Araujo",$B:$B,"&lt;&gt;Lucas Luiz Romero")*(10/1083),0)))))),0)</f>
        <v>7</v>
      </c>
      <c r="K2171" s="3">
        <f>I2171-J2171</f>
        <v>-2</v>
      </c>
      <c r="L2171" s="3" t="str">
        <f>IF(K2171&lt;-5,"CRÍTICO",IF(K2171&lt;0,"ATENÇÃO",IF(K2171&lt;=5,"BOM","EXCELENTE")))</f>
        <v>ATENÇÃO</v>
      </c>
      <c r="M2171">
        <v>5</v>
      </c>
      <c r="N2171">
        <v>94.16</v>
      </c>
      <c r="O2171">
        <v>27.038626609442058</v>
      </c>
    </row>
    <row r="2172" spans="1:15" hidden="1" x14ac:dyDescent="0.25">
      <c r="A2172" s="11">
        <v>46069</v>
      </c>
      <c r="B2172" t="s">
        <v>20</v>
      </c>
      <c r="C2172" t="s">
        <v>16</v>
      </c>
      <c r="D2172">
        <v>0</v>
      </c>
      <c r="E2172">
        <v>0</v>
      </c>
      <c r="F2172">
        <v>0</v>
      </c>
      <c r="G2172">
        <v>0</v>
      </c>
      <c r="H2172">
        <v>0</v>
      </c>
      <c r="I2172" s="3">
        <v>0</v>
      </c>
      <c r="J2172" s="3">
        <v>0</v>
      </c>
      <c r="K2172" s="3">
        <v>0</v>
      </c>
      <c r="L2172" s="3" t="str">
        <f>IF(K2172&lt;-5,"CRÍTICO",IF(K2172&lt;0,"ATENÇÃO",IF(K2172&lt;=5,"BOM","EXCELENTE")))</f>
        <v>BOM</v>
      </c>
      <c r="M2172">
        <v>0</v>
      </c>
      <c r="N2172">
        <v>93.75</v>
      </c>
      <c r="O2172">
        <v>19.31818181818182</v>
      </c>
    </row>
    <row r="2173" spans="1:15" hidden="1" x14ac:dyDescent="0.25">
      <c r="A2173" s="11">
        <v>46069</v>
      </c>
      <c r="B2173" t="s">
        <v>28</v>
      </c>
      <c r="C2173" t="s">
        <v>26</v>
      </c>
      <c r="D2173">
        <v>0</v>
      </c>
      <c r="E2173">
        <v>0</v>
      </c>
      <c r="F2173">
        <v>0</v>
      </c>
      <c r="G2173">
        <v>0</v>
      </c>
      <c r="H2173">
        <v>0</v>
      </c>
      <c r="I2173" s="3">
        <v>0</v>
      </c>
      <c r="J2173" s="3">
        <v>0</v>
      </c>
      <c r="K2173" s="3">
        <v>0</v>
      </c>
      <c r="L2173" s="3" t="str">
        <f>IF(K2173&lt;-5,"CRÍTICO",IF(K2173&lt;0,"ATENÇÃO",IF(K2173&lt;=5,"BOM","EXCELENTE")))</f>
        <v>BOM</v>
      </c>
      <c r="M2173">
        <v>0</v>
      </c>
      <c r="N2173">
        <v>0</v>
      </c>
      <c r="O2173">
        <v>0</v>
      </c>
    </row>
    <row r="2174" spans="1:15" hidden="1" x14ac:dyDescent="0.25">
      <c r="A2174" s="11">
        <v>46069</v>
      </c>
      <c r="B2174" t="s">
        <v>58</v>
      </c>
      <c r="C2174" t="s">
        <v>48</v>
      </c>
      <c r="D2174">
        <v>0</v>
      </c>
      <c r="E2174">
        <v>0</v>
      </c>
      <c r="F2174">
        <v>0</v>
      </c>
      <c r="G2174">
        <v>0</v>
      </c>
      <c r="H2174">
        <v>0</v>
      </c>
      <c r="I2174" s="3">
        <v>0</v>
      </c>
      <c r="J2174" s="3">
        <v>0</v>
      </c>
      <c r="K2174" s="3">
        <v>0</v>
      </c>
      <c r="L2174" s="3" t="str">
        <f>IF(K2174&lt;-5,"CRÍTICO",IF(K2174&lt;0,"ATENÇÃO",IF(K2174&lt;=5,"BOM","EXCELENTE")))</f>
        <v>BOM</v>
      </c>
      <c r="M2174">
        <v>0</v>
      </c>
      <c r="N2174">
        <v>97.92</v>
      </c>
      <c r="O2174">
        <v>32.87671232876712</v>
      </c>
    </row>
    <row r="2175" spans="1:15" hidden="1" x14ac:dyDescent="0.25">
      <c r="A2175" s="11">
        <v>46069</v>
      </c>
      <c r="B2175" t="s">
        <v>29</v>
      </c>
      <c r="C2175" t="s">
        <v>26</v>
      </c>
      <c r="D2175">
        <v>0</v>
      </c>
      <c r="E2175">
        <v>0</v>
      </c>
      <c r="F2175">
        <v>0</v>
      </c>
      <c r="G2175">
        <v>0</v>
      </c>
      <c r="H2175">
        <v>0</v>
      </c>
      <c r="I2175" s="3">
        <v>0</v>
      </c>
      <c r="J2175" s="3">
        <v>0</v>
      </c>
      <c r="K2175" s="3">
        <v>0</v>
      </c>
      <c r="L2175" s="3" t="str">
        <f>IF(K2175&lt;-5,"CRÍTICO",IF(K2175&lt;0,"ATENÇÃO",IF(K2175&lt;=5,"BOM","EXCELENTE")))</f>
        <v>BOM</v>
      </c>
      <c r="M2175">
        <v>0</v>
      </c>
      <c r="N2175">
        <v>0</v>
      </c>
      <c r="O2175">
        <v>0</v>
      </c>
    </row>
    <row r="2176" spans="1:15" hidden="1" x14ac:dyDescent="0.25">
      <c r="A2176" s="11">
        <v>46069</v>
      </c>
      <c r="B2176" t="s">
        <v>30</v>
      </c>
      <c r="C2176" t="s">
        <v>26</v>
      </c>
      <c r="D2176">
        <v>0</v>
      </c>
      <c r="E2176">
        <v>0</v>
      </c>
      <c r="F2176">
        <v>0</v>
      </c>
      <c r="G2176">
        <v>0</v>
      </c>
      <c r="H2176">
        <v>0</v>
      </c>
      <c r="I2176" s="3">
        <v>0</v>
      </c>
      <c r="J2176" s="3">
        <v>0</v>
      </c>
      <c r="K2176" s="3">
        <v>0</v>
      </c>
      <c r="L2176" s="3" t="str">
        <f>IF(K2176&lt;-5,"CRÍTICO",IF(K2176&lt;0,"ATENÇÃO",IF(K2176&lt;=5,"BOM","EXCELENTE")))</f>
        <v>BOM</v>
      </c>
      <c r="M2176">
        <v>0</v>
      </c>
      <c r="N2176">
        <v>0</v>
      </c>
      <c r="O2176">
        <v>0</v>
      </c>
    </row>
    <row r="2177" spans="1:15" hidden="1" x14ac:dyDescent="0.25">
      <c r="A2177" s="11">
        <v>46069</v>
      </c>
      <c r="B2177" t="s">
        <v>21</v>
      </c>
      <c r="C2177" t="s">
        <v>16</v>
      </c>
      <c r="D2177">
        <v>0</v>
      </c>
      <c r="E2177">
        <v>0</v>
      </c>
      <c r="F2177">
        <v>0</v>
      </c>
      <c r="G2177">
        <v>0</v>
      </c>
      <c r="H2177">
        <v>0</v>
      </c>
      <c r="I2177" s="3">
        <v>0</v>
      </c>
      <c r="J2177" s="3">
        <v>0</v>
      </c>
      <c r="K2177" s="3">
        <v>0</v>
      </c>
      <c r="L2177" s="3" t="str">
        <f>IF(K2177&lt;-5,"CRÍTICO",IF(K2177&lt;0,"ATENÇÃO",IF(K2177&lt;=5,"BOM","EXCELENTE")))</f>
        <v>BOM</v>
      </c>
      <c r="M2177">
        <v>0</v>
      </c>
      <c r="N2177">
        <v>0</v>
      </c>
      <c r="O2177">
        <v>0</v>
      </c>
    </row>
    <row r="2178" spans="1:15" hidden="1" x14ac:dyDescent="0.25">
      <c r="A2178" s="11">
        <v>46069</v>
      </c>
      <c r="B2178" t="s">
        <v>63</v>
      </c>
      <c r="C2178" t="s">
        <v>23</v>
      </c>
      <c r="D2178">
        <v>7</v>
      </c>
      <c r="E2178">
        <v>7</v>
      </c>
      <c r="F2178">
        <v>25.45</v>
      </c>
      <c r="G2178">
        <v>0</v>
      </c>
      <c r="H2178">
        <v>0</v>
      </c>
      <c r="I2178" s="3">
        <f>E2178+G2178+H2178</f>
        <v>7</v>
      </c>
      <c r="J2178" s="3">
        <f>ROUND(MIN(IF(C2178="Técnico III",35,IF(C2178="Técnico II",28,IF(C2178="Técnico I",23,IF(C2178="JR",20,IF(C2178="Estágio",10,0))))),IF(C2178="Técnico III",SUMIFS($D:$D,$A:$A,$A2178,$B:$B,"&lt;&gt;Patrícia Karla de Sousa Araújo",$B:$B,"&lt;&gt;Lorena Dias de Araujo",$B:$B,"&lt;&gt;Lucas Luiz Romero")*(35/1083),IF(C2178="Técnico II",SUMIFS($D:$D,$A:$A,$A2178,$B:$B,"&lt;&gt;Patrícia Karla de Sousa Araújo",$B:$B,"&lt;&gt;Lorena Dias de Araujo",$B:$B,"&lt;&gt;Lucas Luiz Romero")*(28/1083),IF(C2178="Técnico I",SUMIFS($D:$D,$A:$A,$A2178,$B:$B,"&lt;&gt;Patrícia Karla de Sousa Araújo",$B:$B,"&lt;&gt;Lorena Dias de Araujo",$B:$B,"&lt;&gt;Lucas Luiz Romero")*(23/1083),IF(C2178="JR",SUMIFS($D:$D,$A:$A,$A2178,$B:$B,"&lt;&gt;Patrícia Karla de Sousa Araújo",$B:$B,"&lt;&gt;Lorena Dias de Araujo",$B:$B,"&lt;&gt;Lucas Luiz Romero")*(20/1083),IF(C2178="Estágio",SUMIFS($D:$D,$A:$A,$A2178,$B:$B,"&lt;&gt;Patrícia Karla de Sousa Araújo",$B:$B,"&lt;&gt;Lorena Dias de Araujo",$B:$B,"&lt;&gt;Lucas Luiz Romero")*(10/1083),0)))))),0)</f>
        <v>5</v>
      </c>
      <c r="K2178" s="3">
        <f>I2178-J2178</f>
        <v>2</v>
      </c>
      <c r="L2178" s="3" t="str">
        <f>IF(K2178&lt;-5,"CRÍTICO",IF(K2178&lt;0,"ATENÇÃO",IF(K2178&lt;=5,"BOM","EXCELENTE")))</f>
        <v>BOM</v>
      </c>
      <c r="M2178">
        <v>6</v>
      </c>
      <c r="N2178">
        <v>98.51</v>
      </c>
      <c r="O2178">
        <v>29.710144927536231</v>
      </c>
    </row>
    <row r="2179" spans="1:15" hidden="1" x14ac:dyDescent="0.25">
      <c r="A2179" s="11">
        <v>46069</v>
      </c>
      <c r="B2179" t="s">
        <v>45</v>
      </c>
      <c r="C2179" t="s">
        <v>32</v>
      </c>
      <c r="D2179">
        <v>6</v>
      </c>
      <c r="E2179">
        <v>6</v>
      </c>
      <c r="F2179">
        <v>25.48</v>
      </c>
      <c r="G2179">
        <v>0</v>
      </c>
      <c r="H2179">
        <v>0</v>
      </c>
      <c r="I2179" s="3">
        <f>E2179+G2179+H2179</f>
        <v>6</v>
      </c>
      <c r="J2179" s="3">
        <f>ROUND(MIN(IF(C2179="Técnico III",35,IF(C2179="Técnico II",28,IF(C2179="Técnico I",23,IF(C2179="JR",20,IF(C2179="Estágio",10,0))))),IF(C2179="Técnico III",SUMIFS($D:$D,$A:$A,$A2179,$B:$B,"&lt;&gt;Patrícia Karla de Sousa Araújo",$B:$B,"&lt;&gt;Lorena Dias de Araujo",$B:$B,"&lt;&gt;Lucas Luiz Romero")*(35/1083),IF(C2179="Técnico II",SUMIFS($D:$D,$A:$A,$A2179,$B:$B,"&lt;&gt;Patrícia Karla de Sousa Araújo",$B:$B,"&lt;&gt;Lorena Dias de Araujo",$B:$B,"&lt;&gt;Lucas Luiz Romero")*(28/1083),IF(C2179="Técnico I",SUMIFS($D:$D,$A:$A,$A2179,$B:$B,"&lt;&gt;Patrícia Karla de Sousa Araújo",$B:$B,"&lt;&gt;Lorena Dias de Araujo",$B:$B,"&lt;&gt;Lucas Luiz Romero")*(23/1083),IF(C2179="JR",SUMIFS($D:$D,$A:$A,$A2179,$B:$B,"&lt;&gt;Patrícia Karla de Sousa Araújo",$B:$B,"&lt;&gt;Lorena Dias de Araujo",$B:$B,"&lt;&gt;Lucas Luiz Romero")*(20/1083),IF(C2179="Estágio",SUMIFS($D:$D,$A:$A,$A2179,$B:$B,"&lt;&gt;Patrícia Karla de Sousa Araújo",$B:$B,"&lt;&gt;Lorena Dias de Araujo",$B:$B,"&lt;&gt;Lucas Luiz Romero")*(10/1083),0)))))),0)</f>
        <v>7</v>
      </c>
      <c r="K2179" s="3">
        <f>I2179-J2179</f>
        <v>-1</v>
      </c>
      <c r="L2179" s="3" t="str">
        <f>IF(K2179&lt;-5,"CRÍTICO",IF(K2179&lt;0,"ATENÇÃO",IF(K2179&lt;=5,"BOM","EXCELENTE")))</f>
        <v>ATENÇÃO</v>
      </c>
      <c r="M2179">
        <v>3</v>
      </c>
      <c r="N2179">
        <v>98.81</v>
      </c>
      <c r="O2179">
        <v>30.712979890310791</v>
      </c>
    </row>
    <row r="2180" spans="1:15" hidden="1" x14ac:dyDescent="0.25">
      <c r="A2180" s="11">
        <v>46069</v>
      </c>
      <c r="B2180" t="s">
        <v>64</v>
      </c>
      <c r="C2180" t="s">
        <v>23</v>
      </c>
      <c r="D2180">
        <v>7</v>
      </c>
      <c r="E2180">
        <v>7</v>
      </c>
      <c r="F2180">
        <v>27.17</v>
      </c>
      <c r="G2180">
        <v>0</v>
      </c>
      <c r="H2180">
        <v>0</v>
      </c>
      <c r="I2180" s="3">
        <f>E2180+G2180+H2180</f>
        <v>7</v>
      </c>
      <c r="J2180" s="3">
        <f>ROUND(MIN(IF(C2180="Técnico III",35,IF(C2180="Técnico II",28,IF(C2180="Técnico I",23,IF(C2180="JR",20,IF(C2180="Estágio",10,0))))),IF(C2180="Técnico III",SUMIFS($D:$D,$A:$A,$A2180,$B:$B,"&lt;&gt;Patrícia Karla de Sousa Araújo",$B:$B,"&lt;&gt;Lorena Dias de Araujo",$B:$B,"&lt;&gt;Lucas Luiz Romero")*(35/1083),IF(C2180="Técnico II",SUMIFS($D:$D,$A:$A,$A2180,$B:$B,"&lt;&gt;Patrícia Karla de Sousa Araújo",$B:$B,"&lt;&gt;Lorena Dias de Araujo",$B:$B,"&lt;&gt;Lucas Luiz Romero")*(28/1083),IF(C2180="Técnico I",SUMIFS($D:$D,$A:$A,$A2180,$B:$B,"&lt;&gt;Patrícia Karla de Sousa Araújo",$B:$B,"&lt;&gt;Lorena Dias de Araujo",$B:$B,"&lt;&gt;Lucas Luiz Romero")*(23/1083),IF(C2180="JR",SUMIFS($D:$D,$A:$A,$A2180,$B:$B,"&lt;&gt;Patrícia Karla de Sousa Araújo",$B:$B,"&lt;&gt;Lorena Dias de Araujo",$B:$B,"&lt;&gt;Lucas Luiz Romero")*(20/1083),IF(C2180="Estágio",SUMIFS($D:$D,$A:$A,$A2180,$B:$B,"&lt;&gt;Patrícia Karla de Sousa Araújo",$B:$B,"&lt;&gt;Lorena Dias de Araujo",$B:$B,"&lt;&gt;Lucas Luiz Romero")*(10/1083),0)))))),0)</f>
        <v>5</v>
      </c>
      <c r="K2180" s="3">
        <f>I2180-J2180</f>
        <v>2</v>
      </c>
      <c r="L2180" s="3" t="str">
        <f>IF(K2180&lt;-5,"CRÍTICO",IF(K2180&lt;0,"ATENÇÃO",IF(K2180&lt;=5,"BOM","EXCELENTE")))</f>
        <v>BOM</v>
      </c>
      <c r="M2180">
        <v>7</v>
      </c>
      <c r="N2180">
        <v>98.48</v>
      </c>
      <c r="O2180">
        <v>29.35323383084577</v>
      </c>
    </row>
    <row r="2181" spans="1:15" hidden="1" x14ac:dyDescent="0.25">
      <c r="A2181" s="11">
        <v>46069</v>
      </c>
      <c r="B2181" t="s">
        <v>46</v>
      </c>
      <c r="C2181" t="s">
        <v>32</v>
      </c>
      <c r="D2181">
        <v>10</v>
      </c>
      <c r="E2181">
        <v>9</v>
      </c>
      <c r="F2181">
        <v>27.23</v>
      </c>
      <c r="G2181">
        <v>0</v>
      </c>
      <c r="H2181">
        <v>0</v>
      </c>
      <c r="I2181" s="3">
        <f>E2181+G2181+H2181</f>
        <v>9</v>
      </c>
      <c r="J2181" s="3">
        <f>ROUND(MIN(IF(C2181="Técnico III",35,IF(C2181="Técnico II",28,IF(C2181="Técnico I",23,IF(C2181="JR",20,IF(C2181="Estágio",10,0))))),IF(C2181="Técnico III",SUMIFS($D:$D,$A:$A,$A2181,$B:$B,"&lt;&gt;Patrícia Karla de Sousa Araújo",$B:$B,"&lt;&gt;Lorena Dias de Araujo",$B:$B,"&lt;&gt;Lucas Luiz Romero")*(35/1083),IF(C2181="Técnico II",SUMIFS($D:$D,$A:$A,$A2181,$B:$B,"&lt;&gt;Patrícia Karla de Sousa Araújo",$B:$B,"&lt;&gt;Lorena Dias de Araujo",$B:$B,"&lt;&gt;Lucas Luiz Romero")*(28/1083),IF(C2181="Técnico I",SUMIFS($D:$D,$A:$A,$A2181,$B:$B,"&lt;&gt;Patrícia Karla de Sousa Araújo",$B:$B,"&lt;&gt;Lorena Dias de Araujo",$B:$B,"&lt;&gt;Lucas Luiz Romero")*(23/1083),IF(C2181="JR",SUMIFS($D:$D,$A:$A,$A2181,$B:$B,"&lt;&gt;Patrícia Karla de Sousa Araújo",$B:$B,"&lt;&gt;Lorena Dias de Araujo",$B:$B,"&lt;&gt;Lucas Luiz Romero")*(20/1083),IF(C2181="Estágio",SUMIFS($D:$D,$A:$A,$A2181,$B:$B,"&lt;&gt;Patrícia Karla de Sousa Araújo",$B:$B,"&lt;&gt;Lorena Dias de Araujo",$B:$B,"&lt;&gt;Lucas Luiz Romero")*(10/1083),0)))))),0)</f>
        <v>7</v>
      </c>
      <c r="K2181" s="3">
        <f>I2181-J2181</f>
        <v>2</v>
      </c>
      <c r="L2181" s="3" t="str">
        <f>IF(K2181&lt;-5,"CRÍTICO",IF(K2181&lt;0,"ATENÇÃO",IF(K2181&lt;=5,"BOM","EXCELENTE")))</f>
        <v>BOM</v>
      </c>
      <c r="M2181">
        <v>5</v>
      </c>
      <c r="N2181">
        <v>98.56</v>
      </c>
      <c r="O2181">
        <v>29.373650107991359</v>
      </c>
    </row>
    <row r="2182" spans="1:15" hidden="1" x14ac:dyDescent="0.25">
      <c r="A2182" s="11">
        <v>46070</v>
      </c>
      <c r="B2182" t="s">
        <v>47</v>
      </c>
      <c r="C2182" t="s">
        <v>48</v>
      </c>
      <c r="D2182">
        <v>0</v>
      </c>
      <c r="E2182">
        <v>0</v>
      </c>
      <c r="F2182">
        <v>0</v>
      </c>
      <c r="G2182">
        <v>0</v>
      </c>
      <c r="H2182">
        <v>0</v>
      </c>
      <c r="I2182" s="3">
        <v>0</v>
      </c>
      <c r="J2182" s="3">
        <v>0</v>
      </c>
      <c r="K2182" s="3">
        <v>0</v>
      </c>
      <c r="L2182" s="3" t="str">
        <f>IF(K2182&lt;-5,"CRÍTICO",IF(K2182&lt;0,"ATENÇÃO",IF(K2182&lt;=5,"BOM","EXCELENTE")))</f>
        <v>BOM</v>
      </c>
      <c r="M2182">
        <v>0</v>
      </c>
      <c r="N2182">
        <v>98.32</v>
      </c>
      <c r="O2182">
        <v>30.303030303030301</v>
      </c>
    </row>
    <row r="2183" spans="1:15" hidden="1" x14ac:dyDescent="0.25">
      <c r="A2183" s="11">
        <v>46070</v>
      </c>
      <c r="B2183" t="s">
        <v>31</v>
      </c>
      <c r="C2183" t="s">
        <v>32</v>
      </c>
      <c r="D2183">
        <v>0</v>
      </c>
      <c r="E2183">
        <v>0</v>
      </c>
      <c r="F2183">
        <v>0</v>
      </c>
      <c r="G2183">
        <v>0</v>
      </c>
      <c r="H2183">
        <v>0</v>
      </c>
      <c r="I2183" s="3">
        <v>0</v>
      </c>
      <c r="J2183" s="3">
        <v>0</v>
      </c>
      <c r="K2183" s="3">
        <v>0</v>
      </c>
      <c r="L2183" s="3" t="str">
        <f>IF(K2183&lt;-5,"CRÍTICO",IF(K2183&lt;0,"ATENÇÃO",IF(K2183&lt;=5,"BOM","EXCELENTE")))</f>
        <v>BOM</v>
      </c>
      <c r="M2183">
        <v>0</v>
      </c>
      <c r="N2183">
        <v>98.68</v>
      </c>
      <c r="O2183">
        <v>26.219512195121951</v>
      </c>
    </row>
    <row r="2184" spans="1:15" hidden="1" x14ac:dyDescent="0.25">
      <c r="A2184" s="11">
        <v>46070</v>
      </c>
      <c r="B2184" t="s">
        <v>59</v>
      </c>
      <c r="C2184" t="s">
        <v>23</v>
      </c>
      <c r="D2184">
        <v>0</v>
      </c>
      <c r="E2184">
        <v>0</v>
      </c>
      <c r="F2184">
        <v>0</v>
      </c>
      <c r="G2184">
        <v>0</v>
      </c>
      <c r="H2184">
        <v>0</v>
      </c>
      <c r="I2184" s="3">
        <v>0</v>
      </c>
      <c r="J2184" s="3">
        <v>0</v>
      </c>
      <c r="K2184" s="3">
        <v>0</v>
      </c>
      <c r="L2184" s="3" t="str">
        <f>IF(K2184&lt;-5,"CRÍTICO",IF(K2184&lt;0,"ATENÇÃO",IF(K2184&lt;=5,"BOM","EXCELENTE")))</f>
        <v>BOM</v>
      </c>
      <c r="M2184">
        <v>0</v>
      </c>
      <c r="N2184">
        <v>100</v>
      </c>
      <c r="O2184">
        <v>31.74224343675418</v>
      </c>
    </row>
    <row r="2185" spans="1:15" hidden="1" x14ac:dyDescent="0.25">
      <c r="A2185" s="11">
        <v>46070</v>
      </c>
      <c r="B2185" t="s">
        <v>33</v>
      </c>
      <c r="C2185" t="s">
        <v>32</v>
      </c>
      <c r="D2185">
        <v>0</v>
      </c>
      <c r="E2185">
        <v>0</v>
      </c>
      <c r="F2185">
        <v>0</v>
      </c>
      <c r="G2185">
        <v>0</v>
      </c>
      <c r="H2185">
        <v>0</v>
      </c>
      <c r="I2185" s="3">
        <v>0</v>
      </c>
      <c r="J2185" s="3">
        <v>0</v>
      </c>
      <c r="K2185" s="3">
        <v>0</v>
      </c>
      <c r="L2185" s="3" t="str">
        <f>IF(K2185&lt;-5,"CRÍTICO",IF(K2185&lt;0,"ATENÇÃO",IF(K2185&lt;=5,"BOM","EXCELENTE")))</f>
        <v>BOM</v>
      </c>
      <c r="M2185">
        <v>0</v>
      </c>
      <c r="N2185">
        <v>98.25</v>
      </c>
      <c r="O2185">
        <v>25.83518930957684</v>
      </c>
    </row>
    <row r="2186" spans="1:15" hidden="1" x14ac:dyDescent="0.25">
      <c r="A2186" s="11">
        <v>46070</v>
      </c>
      <c r="B2186" t="s">
        <v>15</v>
      </c>
      <c r="C2186" t="s">
        <v>16</v>
      </c>
      <c r="D2186">
        <v>0</v>
      </c>
      <c r="E2186">
        <v>0</v>
      </c>
      <c r="F2186">
        <v>0</v>
      </c>
      <c r="G2186">
        <v>0</v>
      </c>
      <c r="H2186">
        <v>0</v>
      </c>
      <c r="I2186" s="3">
        <v>0</v>
      </c>
      <c r="J2186" s="3">
        <v>0</v>
      </c>
      <c r="K2186" s="3">
        <v>0</v>
      </c>
      <c r="L2186" s="3" t="str">
        <f>IF(K2186&lt;-5,"CRÍTICO",IF(K2186&lt;0,"ATENÇÃO",IF(K2186&lt;=5,"BOM","EXCELENTE")))</f>
        <v>BOM</v>
      </c>
      <c r="M2186">
        <v>0</v>
      </c>
      <c r="N2186">
        <v>97.5</v>
      </c>
      <c r="O2186">
        <v>30.075187969924809</v>
      </c>
    </row>
    <row r="2187" spans="1:15" hidden="1" x14ac:dyDescent="0.25">
      <c r="A2187" s="11">
        <v>46070</v>
      </c>
      <c r="B2187" t="s">
        <v>49</v>
      </c>
      <c r="C2187" t="s">
        <v>48</v>
      </c>
      <c r="D2187">
        <v>0</v>
      </c>
      <c r="E2187">
        <v>0</v>
      </c>
      <c r="F2187">
        <v>0</v>
      </c>
      <c r="G2187">
        <v>0</v>
      </c>
      <c r="H2187">
        <v>0</v>
      </c>
      <c r="I2187" s="3">
        <v>0</v>
      </c>
      <c r="J2187" s="3">
        <v>0</v>
      </c>
      <c r="K2187" s="3">
        <v>0</v>
      </c>
      <c r="L2187" s="3" t="str">
        <f>IF(K2187&lt;-5,"CRÍTICO",IF(K2187&lt;0,"ATENÇÃO",IF(K2187&lt;=5,"BOM","EXCELENTE")))</f>
        <v>BOM</v>
      </c>
      <c r="M2187">
        <v>0</v>
      </c>
      <c r="N2187">
        <v>100</v>
      </c>
      <c r="O2187">
        <v>29.71311475409836</v>
      </c>
    </row>
    <row r="2188" spans="1:15" hidden="1" x14ac:dyDescent="0.25">
      <c r="A2188" s="11">
        <v>46070</v>
      </c>
      <c r="B2188" t="s">
        <v>50</v>
      </c>
      <c r="C2188" t="s">
        <v>48</v>
      </c>
      <c r="D2188">
        <v>0</v>
      </c>
      <c r="E2188">
        <v>0</v>
      </c>
      <c r="F2188">
        <v>0</v>
      </c>
      <c r="G2188">
        <v>0</v>
      </c>
      <c r="H2188">
        <v>0</v>
      </c>
      <c r="I2188" s="3">
        <v>0</v>
      </c>
      <c r="J2188" s="3">
        <v>0</v>
      </c>
      <c r="K2188" s="3">
        <v>0</v>
      </c>
      <c r="L2188" s="3" t="str">
        <f>IF(K2188&lt;-5,"CRÍTICO",IF(K2188&lt;0,"ATENÇÃO",IF(K2188&lt;=5,"BOM","EXCELENTE")))</f>
        <v>BOM</v>
      </c>
      <c r="M2188">
        <v>0</v>
      </c>
      <c r="N2188">
        <v>99.22</v>
      </c>
      <c r="O2188">
        <v>35.256410256410263</v>
      </c>
    </row>
    <row r="2189" spans="1:15" hidden="1" x14ac:dyDescent="0.25">
      <c r="A2189" s="11">
        <v>46070</v>
      </c>
      <c r="B2189" t="s">
        <v>17</v>
      </c>
      <c r="C2189" t="s">
        <v>16</v>
      </c>
      <c r="D2189">
        <v>0</v>
      </c>
      <c r="E2189">
        <v>0</v>
      </c>
      <c r="F2189">
        <v>0</v>
      </c>
      <c r="G2189">
        <v>0</v>
      </c>
      <c r="H2189">
        <v>0</v>
      </c>
      <c r="I2189" s="3">
        <v>0</v>
      </c>
      <c r="J2189" s="3">
        <v>0</v>
      </c>
      <c r="K2189" s="3">
        <v>0</v>
      </c>
      <c r="L2189" s="3" t="str">
        <f>IF(K2189&lt;-5,"CRÍTICO",IF(K2189&lt;0,"ATENÇÃO",IF(K2189&lt;=5,"BOM","EXCELENTE")))</f>
        <v>BOM</v>
      </c>
      <c r="M2189">
        <v>0</v>
      </c>
      <c r="N2189">
        <v>0</v>
      </c>
      <c r="O2189">
        <v>0</v>
      </c>
    </row>
    <row r="2190" spans="1:15" hidden="1" x14ac:dyDescent="0.25">
      <c r="A2190" s="11">
        <v>46070</v>
      </c>
      <c r="B2190" t="s">
        <v>60</v>
      </c>
      <c r="C2190" t="s">
        <v>23</v>
      </c>
      <c r="D2190">
        <v>0</v>
      </c>
      <c r="E2190">
        <v>0</v>
      </c>
      <c r="F2190">
        <v>0</v>
      </c>
      <c r="G2190">
        <v>0</v>
      </c>
      <c r="H2190">
        <v>0</v>
      </c>
      <c r="I2190" s="3">
        <v>0</v>
      </c>
      <c r="J2190" s="3">
        <v>0</v>
      </c>
      <c r="K2190" s="3">
        <v>0</v>
      </c>
      <c r="L2190" s="3" t="str">
        <f>IF(K2190&lt;-5,"CRÍTICO",IF(K2190&lt;0,"ATENÇÃO",IF(K2190&lt;=5,"BOM","EXCELENTE")))</f>
        <v>BOM</v>
      </c>
      <c r="M2190">
        <v>0</v>
      </c>
      <c r="N2190">
        <v>98.75</v>
      </c>
      <c r="O2190">
        <v>24.32432432432433</v>
      </c>
    </row>
    <row r="2191" spans="1:15" hidden="1" x14ac:dyDescent="0.25">
      <c r="A2191" s="11">
        <v>46070</v>
      </c>
      <c r="B2191" t="s">
        <v>34</v>
      </c>
      <c r="C2191" t="s">
        <v>32</v>
      </c>
      <c r="D2191">
        <v>0</v>
      </c>
      <c r="E2191">
        <v>0</v>
      </c>
      <c r="F2191">
        <v>0</v>
      </c>
      <c r="G2191">
        <v>0</v>
      </c>
      <c r="H2191">
        <v>0</v>
      </c>
      <c r="I2191" s="3">
        <v>0</v>
      </c>
      <c r="J2191" s="3">
        <v>0</v>
      </c>
      <c r="K2191" s="3">
        <v>0</v>
      </c>
      <c r="L2191" s="3" t="str">
        <f>IF(K2191&lt;-5,"CRÍTICO",IF(K2191&lt;0,"ATENÇÃO",IF(K2191&lt;=5,"BOM","EXCELENTE")))</f>
        <v>BOM</v>
      </c>
      <c r="M2191">
        <v>0</v>
      </c>
      <c r="N2191">
        <v>93.48</v>
      </c>
      <c r="O2191">
        <v>31.52804642166344</v>
      </c>
    </row>
    <row r="2192" spans="1:15" hidden="1" x14ac:dyDescent="0.25">
      <c r="A2192" s="11">
        <v>46070</v>
      </c>
      <c r="B2192" t="s">
        <v>51</v>
      </c>
      <c r="C2192" t="s">
        <v>48</v>
      </c>
      <c r="D2192">
        <v>0</v>
      </c>
      <c r="E2192">
        <v>0</v>
      </c>
      <c r="F2192">
        <v>0</v>
      </c>
      <c r="G2192">
        <v>0</v>
      </c>
      <c r="H2192">
        <v>0</v>
      </c>
      <c r="I2192" s="3">
        <v>0</v>
      </c>
      <c r="J2192" s="3">
        <v>0</v>
      </c>
      <c r="K2192" s="3">
        <v>0</v>
      </c>
      <c r="L2192" s="3" t="str">
        <f>IF(K2192&lt;-5,"CRÍTICO",IF(K2192&lt;0,"ATENÇÃO",IF(K2192&lt;=5,"BOM","EXCELENTE")))</f>
        <v>BOM</v>
      </c>
      <c r="M2192">
        <v>0</v>
      </c>
      <c r="N2192">
        <v>99.16</v>
      </c>
      <c r="O2192">
        <v>26.13908872901678</v>
      </c>
    </row>
    <row r="2193" spans="1:15" hidden="1" x14ac:dyDescent="0.25">
      <c r="A2193" s="11">
        <v>46070</v>
      </c>
      <c r="B2193" t="s">
        <v>61</v>
      </c>
      <c r="C2193" t="s">
        <v>23</v>
      </c>
      <c r="D2193">
        <v>0</v>
      </c>
      <c r="E2193">
        <v>0</v>
      </c>
      <c r="F2193">
        <v>0</v>
      </c>
      <c r="G2193">
        <v>0</v>
      </c>
      <c r="H2193">
        <v>0</v>
      </c>
      <c r="I2193" s="3">
        <v>0</v>
      </c>
      <c r="J2193" s="3">
        <v>0</v>
      </c>
      <c r="K2193" s="3">
        <v>0</v>
      </c>
      <c r="L2193" s="3" t="str">
        <f>IF(K2193&lt;-5,"CRÍTICO",IF(K2193&lt;0,"ATENÇÃO",IF(K2193&lt;=5,"BOM","EXCELENTE")))</f>
        <v>BOM</v>
      </c>
      <c r="M2193">
        <v>0</v>
      </c>
      <c r="N2193">
        <v>100</v>
      </c>
      <c r="O2193">
        <v>31.089743589743591</v>
      </c>
    </row>
    <row r="2194" spans="1:15" hidden="1" x14ac:dyDescent="0.25">
      <c r="A2194" s="11">
        <v>46070</v>
      </c>
      <c r="B2194" t="s">
        <v>35</v>
      </c>
      <c r="C2194" t="s">
        <v>32</v>
      </c>
      <c r="D2194">
        <v>0</v>
      </c>
      <c r="E2194">
        <v>0</v>
      </c>
      <c r="F2194">
        <v>0</v>
      </c>
      <c r="G2194">
        <v>0</v>
      </c>
      <c r="H2194">
        <v>0</v>
      </c>
      <c r="I2194" s="3">
        <v>0</v>
      </c>
      <c r="J2194" s="3">
        <v>0</v>
      </c>
      <c r="K2194" s="3">
        <v>0</v>
      </c>
      <c r="L2194" s="3" t="str">
        <f>IF(K2194&lt;-5,"CRÍTICO",IF(K2194&lt;0,"ATENÇÃO",IF(K2194&lt;=5,"BOM","EXCELENTE")))</f>
        <v>BOM</v>
      </c>
      <c r="M2194">
        <v>0</v>
      </c>
      <c r="N2194">
        <v>98.11</v>
      </c>
      <c r="O2194">
        <v>33.033707865168537</v>
      </c>
    </row>
    <row r="2195" spans="1:15" hidden="1" x14ac:dyDescent="0.25">
      <c r="A2195" s="11">
        <v>46070</v>
      </c>
      <c r="B2195" t="s">
        <v>18</v>
      </c>
      <c r="C2195" t="s">
        <v>16</v>
      </c>
      <c r="D2195">
        <v>0</v>
      </c>
      <c r="E2195">
        <v>0</v>
      </c>
      <c r="F2195">
        <v>0</v>
      </c>
      <c r="G2195">
        <v>0</v>
      </c>
      <c r="H2195">
        <v>0</v>
      </c>
      <c r="I2195" s="3">
        <v>0</v>
      </c>
      <c r="J2195" s="3">
        <v>0</v>
      </c>
      <c r="K2195" s="3">
        <v>0</v>
      </c>
      <c r="L2195" s="3" t="str">
        <f>IF(K2195&lt;-5,"CRÍTICO",IF(K2195&lt;0,"ATENÇÃO",IF(K2195&lt;=5,"BOM","EXCELENTE")))</f>
        <v>BOM</v>
      </c>
      <c r="M2195">
        <v>0</v>
      </c>
      <c r="N2195">
        <v>78.95</v>
      </c>
      <c r="O2195">
        <v>38.983050847457633</v>
      </c>
    </row>
    <row r="2196" spans="1:15" hidden="1" x14ac:dyDescent="0.25">
      <c r="A2196" s="11">
        <v>46070</v>
      </c>
      <c r="B2196" t="s">
        <v>52</v>
      </c>
      <c r="C2196" t="s">
        <v>48</v>
      </c>
      <c r="D2196">
        <v>0</v>
      </c>
      <c r="E2196">
        <v>0</v>
      </c>
      <c r="F2196">
        <v>0</v>
      </c>
      <c r="G2196">
        <v>0</v>
      </c>
      <c r="H2196">
        <v>0</v>
      </c>
      <c r="I2196" s="3">
        <v>0</v>
      </c>
      <c r="J2196" s="3">
        <v>0</v>
      </c>
      <c r="K2196" s="3">
        <v>0</v>
      </c>
      <c r="L2196" s="3" t="str">
        <f>IF(K2196&lt;-5,"CRÍTICO",IF(K2196&lt;0,"ATENÇÃO",IF(K2196&lt;=5,"BOM","EXCELENTE")))</f>
        <v>BOM</v>
      </c>
      <c r="M2196">
        <v>0</v>
      </c>
      <c r="N2196">
        <v>98.45</v>
      </c>
      <c r="O2196">
        <v>29.281767955801101</v>
      </c>
    </row>
    <row r="2197" spans="1:15" hidden="1" x14ac:dyDescent="0.25">
      <c r="A2197" s="11">
        <v>46070</v>
      </c>
      <c r="B2197" t="s">
        <v>36</v>
      </c>
      <c r="C2197" t="s">
        <v>32</v>
      </c>
      <c r="D2197">
        <v>0</v>
      </c>
      <c r="E2197">
        <v>0</v>
      </c>
      <c r="F2197">
        <v>0</v>
      </c>
      <c r="G2197">
        <v>0</v>
      </c>
      <c r="H2197">
        <v>0</v>
      </c>
      <c r="I2197" s="3">
        <v>0</v>
      </c>
      <c r="J2197" s="3">
        <v>0</v>
      </c>
      <c r="K2197" s="3">
        <v>0</v>
      </c>
      <c r="L2197" s="3" t="str">
        <f>IF(K2197&lt;-5,"CRÍTICO",IF(K2197&lt;0,"ATENÇÃO",IF(K2197&lt;=5,"BOM","EXCELENTE")))</f>
        <v>BOM</v>
      </c>
      <c r="M2197">
        <v>0</v>
      </c>
      <c r="N2197">
        <v>97.84</v>
      </c>
      <c r="O2197">
        <v>26.282051282051281</v>
      </c>
    </row>
    <row r="2198" spans="1:15" hidden="1" x14ac:dyDescent="0.25">
      <c r="A2198" s="11">
        <v>46070</v>
      </c>
      <c r="B2198" t="s">
        <v>53</v>
      </c>
      <c r="C2198" t="s">
        <v>48</v>
      </c>
      <c r="D2198">
        <v>0</v>
      </c>
      <c r="E2198">
        <v>0</v>
      </c>
      <c r="F2198">
        <v>0</v>
      </c>
      <c r="G2198">
        <v>0</v>
      </c>
      <c r="H2198">
        <v>0</v>
      </c>
      <c r="I2198" s="3">
        <v>0</v>
      </c>
      <c r="J2198" s="3">
        <v>0</v>
      </c>
      <c r="K2198" s="3">
        <v>0</v>
      </c>
      <c r="L2198" s="3" t="str">
        <f>IF(K2198&lt;-5,"CRÍTICO",IF(K2198&lt;0,"ATENÇÃO",IF(K2198&lt;=5,"BOM","EXCELENTE")))</f>
        <v>BOM</v>
      </c>
      <c r="M2198">
        <v>0</v>
      </c>
      <c r="N2198">
        <v>98.5</v>
      </c>
      <c r="O2198">
        <v>23.97769516728625</v>
      </c>
    </row>
    <row r="2199" spans="1:15" hidden="1" x14ac:dyDescent="0.25">
      <c r="A2199" s="11">
        <v>46104</v>
      </c>
      <c r="B2199" t="s">
        <v>22</v>
      </c>
      <c r="C2199" t="s">
        <v>23</v>
      </c>
      <c r="D2199">
        <v>15</v>
      </c>
      <c r="E2199">
        <v>15</v>
      </c>
      <c r="F2199">
        <v>15.53</v>
      </c>
      <c r="G2199">
        <v>0</v>
      </c>
      <c r="H2199">
        <v>0</v>
      </c>
      <c r="I2199" s="3">
        <f>E2199+G2199+H2199</f>
        <v>15</v>
      </c>
      <c r="J2199" s="3">
        <f>ROUND(MIN(IF(C2199="Técnico III",35,IF(C2199="Técnico II",28,IF(C2199="Técnico I",23,IF(C2199="JR",20,IF(C2199="Estágio",10,0))))),IF(C2199="Técnico III",SUMIFS($D:$D,$A:$A,$A2199,$B:$B,"&lt;&gt;Patrícia Karla de Sousa Araújo",$B:$B,"&lt;&gt;Lorena Dias de Araujo",$B:$B,"&lt;&gt;Lucas Luiz Romero")*(35/1083),IF(C2199="Técnico II",SUMIFS($D:$D,$A:$A,$A2199,$B:$B,"&lt;&gt;Patrícia Karla de Sousa Araújo",$B:$B,"&lt;&gt;Lorena Dias de Araujo",$B:$B,"&lt;&gt;Lucas Luiz Romero")*(28/1083),IF(C2199="Técnico I",SUMIFS($D:$D,$A:$A,$A2199,$B:$B,"&lt;&gt;Patrícia Karla de Sousa Araújo",$B:$B,"&lt;&gt;Lorena Dias de Araujo",$B:$B,"&lt;&gt;Lucas Luiz Romero")*(23/1083),IF(C2199="JR",SUMIFS($D:$D,$A:$A,$A2199,$B:$B,"&lt;&gt;Patrícia Karla de Sousa Araújo",$B:$B,"&lt;&gt;Lorena Dias de Araujo",$B:$B,"&lt;&gt;Lucas Luiz Romero")*(20/1083),IF(C2199="Estágio",SUMIFS($D:$D,$A:$A,$A2199,$B:$B,"&lt;&gt;Patrícia Karla de Sousa Araújo",$B:$B,"&lt;&gt;Lorena Dias de Araujo",$B:$B,"&lt;&gt;Lucas Luiz Romero")*(10/1083),0)))))),0)</f>
        <v>14</v>
      </c>
      <c r="K2199" s="3">
        <f>I2199-J2199</f>
        <v>1</v>
      </c>
      <c r="L2199" s="3" t="str">
        <f>IF(K2199&lt;-5,"CRÍTICO",IF(K2199&lt;0,"ATENÇÃO",IF(K2199&lt;=5,"BOM","EXCELENTE")))</f>
        <v>BOM</v>
      </c>
      <c r="M2199">
        <v>11</v>
      </c>
      <c r="N2199">
        <v>99.05</v>
      </c>
      <c r="O2199">
        <v>26.621923937360179</v>
      </c>
    </row>
    <row r="2200" spans="1:15" hidden="1" x14ac:dyDescent="0.25">
      <c r="A2200" s="11">
        <v>46070</v>
      </c>
      <c r="B2200" t="s">
        <v>54</v>
      </c>
      <c r="C2200" t="s">
        <v>48</v>
      </c>
      <c r="D2200">
        <v>0</v>
      </c>
      <c r="E2200">
        <v>0</v>
      </c>
      <c r="F2200">
        <v>0</v>
      </c>
      <c r="G2200">
        <v>0</v>
      </c>
      <c r="H2200">
        <v>0</v>
      </c>
      <c r="I2200" s="3">
        <v>0</v>
      </c>
      <c r="J2200" s="3">
        <v>0</v>
      </c>
      <c r="K2200" s="3">
        <v>0</v>
      </c>
      <c r="L2200" s="3" t="str">
        <f>IF(K2200&lt;-5,"CRÍTICO",IF(K2200&lt;0,"ATENÇÃO",IF(K2200&lt;=5,"BOM","EXCELENTE")))</f>
        <v>BOM</v>
      </c>
      <c r="M2200">
        <v>0</v>
      </c>
      <c r="N2200">
        <v>98.53</v>
      </c>
      <c r="O2200">
        <v>31.578947368421051</v>
      </c>
    </row>
    <row r="2201" spans="1:15" hidden="1" x14ac:dyDescent="0.25">
      <c r="A2201" s="11">
        <v>46070</v>
      </c>
      <c r="B2201" t="s">
        <v>37</v>
      </c>
      <c r="C2201" t="s">
        <v>32</v>
      </c>
      <c r="D2201">
        <v>0</v>
      </c>
      <c r="E2201">
        <v>0</v>
      </c>
      <c r="F2201">
        <v>0</v>
      </c>
      <c r="G2201">
        <v>0</v>
      </c>
      <c r="H2201">
        <v>0</v>
      </c>
      <c r="I2201" s="3">
        <v>0</v>
      </c>
      <c r="J2201" s="3">
        <v>0</v>
      </c>
      <c r="K2201" s="3">
        <v>0</v>
      </c>
      <c r="L2201" s="3" t="str">
        <f>IF(K2201&lt;-5,"CRÍTICO",IF(K2201&lt;0,"ATENÇÃO",IF(K2201&lt;=5,"BOM","EXCELENTE")))</f>
        <v>BOM</v>
      </c>
      <c r="M2201">
        <v>0</v>
      </c>
      <c r="N2201">
        <v>100</v>
      </c>
      <c r="O2201">
        <v>25.72214580467676</v>
      </c>
    </row>
    <row r="2202" spans="1:15" hidden="1" x14ac:dyDescent="0.25">
      <c r="A2202" s="11">
        <v>46070</v>
      </c>
      <c r="B2202" t="s">
        <v>38</v>
      </c>
      <c r="C2202" t="s">
        <v>32</v>
      </c>
      <c r="D2202">
        <v>0</v>
      </c>
      <c r="E2202">
        <v>0</v>
      </c>
      <c r="F2202">
        <v>0</v>
      </c>
      <c r="G2202">
        <v>0</v>
      </c>
      <c r="H2202">
        <v>0</v>
      </c>
      <c r="I2202" s="3">
        <v>0</v>
      </c>
      <c r="J2202" s="3">
        <v>0</v>
      </c>
      <c r="K2202" s="3">
        <v>0</v>
      </c>
      <c r="L2202" s="3" t="str">
        <f>IF(K2202&lt;-5,"CRÍTICO",IF(K2202&lt;0,"ATENÇÃO",IF(K2202&lt;=5,"BOM","EXCELENTE")))</f>
        <v>BOM</v>
      </c>
      <c r="M2202">
        <v>0</v>
      </c>
      <c r="N2202">
        <v>94.64</v>
      </c>
      <c r="O2202">
        <v>27.52941176470588</v>
      </c>
    </row>
    <row r="2203" spans="1:15" hidden="1" x14ac:dyDescent="0.25">
      <c r="A2203" s="11">
        <v>46070</v>
      </c>
      <c r="B2203" t="s">
        <v>55</v>
      </c>
      <c r="C2203" t="s">
        <v>48</v>
      </c>
      <c r="D2203">
        <v>0</v>
      </c>
      <c r="E2203">
        <v>0</v>
      </c>
      <c r="F2203">
        <v>0</v>
      </c>
      <c r="G2203">
        <v>0</v>
      </c>
      <c r="H2203">
        <v>0</v>
      </c>
      <c r="I2203" s="3">
        <v>0</v>
      </c>
      <c r="J2203" s="3">
        <v>0</v>
      </c>
      <c r="K2203" s="3">
        <v>0</v>
      </c>
      <c r="L2203" s="3" t="str">
        <f>IF(K2203&lt;-5,"CRÍTICO",IF(K2203&lt;0,"ATENÇÃO",IF(K2203&lt;=5,"BOM","EXCELENTE")))</f>
        <v>BOM</v>
      </c>
      <c r="M2203">
        <v>0</v>
      </c>
      <c r="N2203">
        <v>99.07</v>
      </c>
      <c r="O2203">
        <v>26.376811594202898</v>
      </c>
    </row>
    <row r="2204" spans="1:15" hidden="1" x14ac:dyDescent="0.25">
      <c r="A2204" s="11">
        <v>46070</v>
      </c>
      <c r="B2204" t="s">
        <v>39</v>
      </c>
      <c r="C2204" t="s">
        <v>32</v>
      </c>
      <c r="D2204">
        <v>0</v>
      </c>
      <c r="E2204">
        <v>0</v>
      </c>
      <c r="F2204">
        <v>0</v>
      </c>
      <c r="G2204">
        <v>0</v>
      </c>
      <c r="H2204">
        <v>0</v>
      </c>
      <c r="I2204" s="3">
        <v>0</v>
      </c>
      <c r="J2204" s="3">
        <v>0</v>
      </c>
      <c r="K2204" s="3">
        <v>0</v>
      </c>
      <c r="L2204" s="3" t="str">
        <f>IF(K2204&lt;-5,"CRÍTICO",IF(K2204&lt;0,"ATENÇÃO",IF(K2204&lt;=5,"BOM","EXCELENTE")))</f>
        <v>BOM</v>
      </c>
      <c r="M2204">
        <v>0</v>
      </c>
      <c r="N2204">
        <v>100</v>
      </c>
      <c r="O2204">
        <v>0</v>
      </c>
    </row>
    <row r="2205" spans="1:15" hidden="1" x14ac:dyDescent="0.25">
      <c r="A2205" s="11">
        <v>46070</v>
      </c>
      <c r="B2205" t="s">
        <v>25</v>
      </c>
      <c r="C2205" t="s">
        <v>26</v>
      </c>
      <c r="D2205">
        <v>0</v>
      </c>
      <c r="E2205">
        <v>0</v>
      </c>
      <c r="F2205">
        <v>0</v>
      </c>
      <c r="G2205">
        <v>0</v>
      </c>
      <c r="H2205">
        <v>0</v>
      </c>
      <c r="I2205" s="3">
        <v>0</v>
      </c>
      <c r="J2205" s="3">
        <v>0</v>
      </c>
      <c r="K2205" s="3">
        <v>0</v>
      </c>
      <c r="L2205" s="3" t="str">
        <f>IF(K2205&lt;-5,"CRÍTICO",IF(K2205&lt;0,"ATENÇÃO",IF(K2205&lt;=5,"BOM","EXCELENTE")))</f>
        <v>BOM</v>
      </c>
      <c r="M2205">
        <v>0</v>
      </c>
      <c r="N2205">
        <v>98.48</v>
      </c>
      <c r="O2205">
        <v>27.853881278538811</v>
      </c>
    </row>
    <row r="2206" spans="1:15" hidden="1" x14ac:dyDescent="0.25">
      <c r="A2206" s="11">
        <v>46070</v>
      </c>
      <c r="B2206" t="s">
        <v>40</v>
      </c>
      <c r="C2206" t="s">
        <v>32</v>
      </c>
      <c r="D2206">
        <v>0</v>
      </c>
      <c r="E2206">
        <v>0</v>
      </c>
      <c r="F2206">
        <v>0</v>
      </c>
      <c r="G2206">
        <v>0</v>
      </c>
      <c r="H2206">
        <v>0</v>
      </c>
      <c r="I2206" s="3">
        <v>0</v>
      </c>
      <c r="J2206" s="3">
        <v>0</v>
      </c>
      <c r="K2206" s="3">
        <v>0</v>
      </c>
      <c r="L2206" s="3" t="str">
        <f>IF(K2206&lt;-5,"CRÍTICO",IF(K2206&lt;0,"ATENÇÃO",IF(K2206&lt;=5,"BOM","EXCELENTE")))</f>
        <v>BOM</v>
      </c>
      <c r="M2206">
        <v>0</v>
      </c>
      <c r="N2206">
        <v>95.15</v>
      </c>
      <c r="O2206">
        <v>34.131736526946113</v>
      </c>
    </row>
    <row r="2207" spans="1:15" hidden="1" x14ac:dyDescent="0.25">
      <c r="A2207" s="11">
        <v>46070</v>
      </c>
      <c r="B2207" t="s">
        <v>27</v>
      </c>
      <c r="C2207" t="s">
        <v>26</v>
      </c>
      <c r="D2207">
        <v>0</v>
      </c>
      <c r="E2207">
        <v>0</v>
      </c>
      <c r="F2207">
        <v>0</v>
      </c>
      <c r="G2207">
        <v>0</v>
      </c>
      <c r="H2207">
        <v>0</v>
      </c>
      <c r="I2207" s="3">
        <v>0</v>
      </c>
      <c r="J2207" s="3">
        <v>0</v>
      </c>
      <c r="K2207" s="3">
        <v>0</v>
      </c>
      <c r="L2207" s="3" t="str">
        <f>IF(K2207&lt;-5,"CRÍTICO",IF(K2207&lt;0,"ATENÇÃO",IF(K2207&lt;=5,"BOM","EXCELENTE")))</f>
        <v>BOM</v>
      </c>
      <c r="M2207">
        <v>0</v>
      </c>
      <c r="N2207">
        <v>0</v>
      </c>
      <c r="O2207">
        <v>0</v>
      </c>
    </row>
    <row r="2208" spans="1:15" hidden="1" x14ac:dyDescent="0.25">
      <c r="A2208" s="11">
        <v>46070</v>
      </c>
      <c r="B2208" t="s">
        <v>41</v>
      </c>
      <c r="C2208" t="s">
        <v>32</v>
      </c>
      <c r="D2208">
        <v>0</v>
      </c>
      <c r="E2208">
        <v>0</v>
      </c>
      <c r="F2208">
        <v>0</v>
      </c>
      <c r="G2208">
        <v>0</v>
      </c>
      <c r="H2208">
        <v>0</v>
      </c>
      <c r="I2208" s="3">
        <v>0</v>
      </c>
      <c r="J2208" s="3">
        <v>0</v>
      </c>
      <c r="K2208" s="3">
        <v>0</v>
      </c>
      <c r="L2208" s="3" t="str">
        <f>IF(K2208&lt;-5,"CRÍTICO",IF(K2208&lt;0,"ATENÇÃO",IF(K2208&lt;=5,"BOM","EXCELENTE")))</f>
        <v>BOM</v>
      </c>
      <c r="M2208">
        <v>0</v>
      </c>
      <c r="N2208">
        <v>99.26</v>
      </c>
      <c r="O2208">
        <v>30.84832904884319</v>
      </c>
    </row>
    <row r="2209" spans="1:15" hidden="1" x14ac:dyDescent="0.25">
      <c r="A2209" s="11">
        <v>46070</v>
      </c>
      <c r="B2209" t="s">
        <v>56</v>
      </c>
      <c r="C2209" t="s">
        <v>48</v>
      </c>
      <c r="D2209">
        <v>0</v>
      </c>
      <c r="E2209">
        <v>0</v>
      </c>
      <c r="F2209">
        <v>0</v>
      </c>
      <c r="G2209">
        <v>0</v>
      </c>
      <c r="H2209">
        <v>0</v>
      </c>
      <c r="I2209" s="3">
        <v>0</v>
      </c>
      <c r="J2209" s="3">
        <v>0</v>
      </c>
      <c r="K2209" s="3">
        <v>0</v>
      </c>
      <c r="L2209" s="3" t="str">
        <f>IF(K2209&lt;-5,"CRÍTICO",IF(K2209&lt;0,"ATENÇÃO",IF(K2209&lt;=5,"BOM","EXCELENTE")))</f>
        <v>BOM</v>
      </c>
      <c r="M2209">
        <v>0</v>
      </c>
      <c r="N2209">
        <v>97.48</v>
      </c>
      <c r="O2209">
        <v>27.764705882352938</v>
      </c>
    </row>
    <row r="2210" spans="1:15" hidden="1" x14ac:dyDescent="0.25">
      <c r="A2210" s="11">
        <v>46070</v>
      </c>
      <c r="B2210" t="s">
        <v>57</v>
      </c>
      <c r="C2210" t="s">
        <v>48</v>
      </c>
      <c r="D2210">
        <v>0</v>
      </c>
      <c r="E2210">
        <v>0</v>
      </c>
      <c r="F2210">
        <v>0</v>
      </c>
      <c r="G2210">
        <v>0</v>
      </c>
      <c r="H2210">
        <v>0</v>
      </c>
      <c r="I2210" s="3">
        <v>0</v>
      </c>
      <c r="J2210" s="3">
        <v>0</v>
      </c>
      <c r="K2210" s="3">
        <v>0</v>
      </c>
      <c r="L2210" s="3" t="str">
        <f>IF(K2210&lt;-5,"CRÍTICO",IF(K2210&lt;0,"ATENÇÃO",IF(K2210&lt;=5,"BOM","EXCELENTE")))</f>
        <v>BOM</v>
      </c>
      <c r="M2210">
        <v>0</v>
      </c>
      <c r="N2210">
        <v>99.34</v>
      </c>
      <c r="O2210">
        <v>30.04291845493562</v>
      </c>
    </row>
    <row r="2211" spans="1:15" hidden="1" x14ac:dyDescent="0.25">
      <c r="A2211" s="11">
        <v>46070</v>
      </c>
      <c r="B2211" t="s">
        <v>42</v>
      </c>
      <c r="C2211" t="s">
        <v>32</v>
      </c>
      <c r="D2211">
        <v>0</v>
      </c>
      <c r="E2211">
        <v>0</v>
      </c>
      <c r="F2211">
        <v>0</v>
      </c>
      <c r="G2211">
        <v>0</v>
      </c>
      <c r="H2211">
        <v>0</v>
      </c>
      <c r="I2211" s="3">
        <v>0</v>
      </c>
      <c r="J2211" s="3">
        <v>0</v>
      </c>
      <c r="K2211" s="3">
        <v>0</v>
      </c>
      <c r="L2211" s="3" t="str">
        <f>IF(K2211&lt;-5,"CRÍTICO",IF(K2211&lt;0,"ATENÇÃO",IF(K2211&lt;=5,"BOM","EXCELENTE")))</f>
        <v>BOM</v>
      </c>
      <c r="M2211">
        <v>0</v>
      </c>
      <c r="N2211">
        <v>96.3</v>
      </c>
      <c r="O2211">
        <v>24.29378531073446</v>
      </c>
    </row>
    <row r="2212" spans="1:15" hidden="1" x14ac:dyDescent="0.25">
      <c r="A2212" s="11">
        <v>46070</v>
      </c>
      <c r="B2212" t="s">
        <v>62</v>
      </c>
      <c r="C2212" t="s">
        <v>23</v>
      </c>
      <c r="D2212">
        <v>0</v>
      </c>
      <c r="E2212">
        <v>0</v>
      </c>
      <c r="F2212">
        <v>0</v>
      </c>
      <c r="G2212">
        <v>0</v>
      </c>
      <c r="H2212">
        <v>0</v>
      </c>
      <c r="I2212" s="3">
        <v>0</v>
      </c>
      <c r="J2212" s="3">
        <v>0</v>
      </c>
      <c r="K2212" s="3">
        <v>0</v>
      </c>
      <c r="L2212" s="3" t="str">
        <f>IF(K2212&lt;-5,"CRÍTICO",IF(K2212&lt;0,"ATENÇÃO",IF(K2212&lt;=5,"BOM","EXCELENTE")))</f>
        <v>BOM</v>
      </c>
      <c r="M2212">
        <v>0</v>
      </c>
      <c r="N2212">
        <v>100</v>
      </c>
      <c r="O2212">
        <v>26.543209876543209</v>
      </c>
    </row>
    <row r="2213" spans="1:15" hidden="1" x14ac:dyDescent="0.25">
      <c r="A2213" s="11">
        <v>46070</v>
      </c>
      <c r="B2213" t="s">
        <v>19</v>
      </c>
      <c r="C2213" t="s">
        <v>16</v>
      </c>
      <c r="D2213">
        <v>0</v>
      </c>
      <c r="E2213">
        <v>0</v>
      </c>
      <c r="F2213">
        <v>0</v>
      </c>
      <c r="G2213">
        <v>0</v>
      </c>
      <c r="H2213">
        <v>0</v>
      </c>
      <c r="I2213" s="3">
        <v>0</v>
      </c>
      <c r="J2213" s="3">
        <v>0</v>
      </c>
      <c r="K2213" s="3">
        <v>0</v>
      </c>
      <c r="L2213" s="3" t="str">
        <f>IF(K2213&lt;-5,"CRÍTICO",IF(K2213&lt;0,"ATENÇÃO",IF(K2213&lt;=5,"BOM","EXCELENTE")))</f>
        <v>BOM</v>
      </c>
      <c r="M2213">
        <v>0</v>
      </c>
      <c r="N2213">
        <v>100</v>
      </c>
      <c r="O2213">
        <v>35.483870967741943</v>
      </c>
    </row>
    <row r="2214" spans="1:15" hidden="1" x14ac:dyDescent="0.25">
      <c r="A2214" s="11">
        <v>46070</v>
      </c>
      <c r="B2214" t="s">
        <v>43</v>
      </c>
      <c r="C2214" t="s">
        <v>32</v>
      </c>
      <c r="D2214">
        <v>0</v>
      </c>
      <c r="E2214">
        <v>0</v>
      </c>
      <c r="F2214">
        <v>0</v>
      </c>
      <c r="G2214">
        <v>0</v>
      </c>
      <c r="H2214">
        <v>0</v>
      </c>
      <c r="I2214" s="3">
        <v>0</v>
      </c>
      <c r="J2214" s="3">
        <v>0</v>
      </c>
      <c r="K2214" s="3">
        <v>0</v>
      </c>
      <c r="L2214" s="3" t="str">
        <f>IF(K2214&lt;-5,"CRÍTICO",IF(K2214&lt;0,"ATENÇÃO",IF(K2214&lt;=5,"BOM","EXCELENTE")))</f>
        <v>BOM</v>
      </c>
      <c r="M2214">
        <v>0</v>
      </c>
      <c r="N2214">
        <v>99.27</v>
      </c>
      <c r="O2214">
        <v>31.163708086785011</v>
      </c>
    </row>
    <row r="2215" spans="1:15" hidden="1" x14ac:dyDescent="0.25">
      <c r="A2215" s="11">
        <v>46070</v>
      </c>
      <c r="B2215" t="s">
        <v>44</v>
      </c>
      <c r="C2215" t="s">
        <v>32</v>
      </c>
      <c r="D2215">
        <v>0</v>
      </c>
      <c r="E2215">
        <v>0</v>
      </c>
      <c r="F2215">
        <v>0</v>
      </c>
      <c r="G2215">
        <v>0</v>
      </c>
      <c r="H2215">
        <v>0</v>
      </c>
      <c r="I2215" s="3">
        <v>0</v>
      </c>
      <c r="J2215" s="3">
        <v>0</v>
      </c>
      <c r="K2215" s="3">
        <v>0</v>
      </c>
      <c r="L2215" s="3" t="str">
        <f>IF(K2215&lt;-5,"CRÍTICO",IF(K2215&lt;0,"ATENÇÃO",IF(K2215&lt;=5,"BOM","EXCELENTE")))</f>
        <v>BOM</v>
      </c>
      <c r="M2215">
        <v>0</v>
      </c>
      <c r="N2215">
        <v>94.16</v>
      </c>
      <c r="O2215">
        <v>27.038626609442058</v>
      </c>
    </row>
    <row r="2216" spans="1:15" hidden="1" x14ac:dyDescent="0.25">
      <c r="A2216" s="11">
        <v>46070</v>
      </c>
      <c r="B2216" t="s">
        <v>20</v>
      </c>
      <c r="C2216" t="s">
        <v>16</v>
      </c>
      <c r="D2216">
        <v>0</v>
      </c>
      <c r="E2216">
        <v>0</v>
      </c>
      <c r="F2216">
        <v>0</v>
      </c>
      <c r="G2216">
        <v>0</v>
      </c>
      <c r="H2216">
        <v>0</v>
      </c>
      <c r="I2216" s="3">
        <v>0</v>
      </c>
      <c r="J2216" s="3">
        <v>0</v>
      </c>
      <c r="K2216" s="3">
        <v>0</v>
      </c>
      <c r="L2216" s="3" t="str">
        <f>IF(K2216&lt;-5,"CRÍTICO",IF(K2216&lt;0,"ATENÇÃO",IF(K2216&lt;=5,"BOM","EXCELENTE")))</f>
        <v>BOM</v>
      </c>
      <c r="M2216">
        <v>0</v>
      </c>
      <c r="N2216">
        <v>93.75</v>
      </c>
      <c r="O2216">
        <v>19.31818181818182</v>
      </c>
    </row>
    <row r="2217" spans="1:15" hidden="1" x14ac:dyDescent="0.25">
      <c r="A2217" s="11">
        <v>46070</v>
      </c>
      <c r="B2217" t="s">
        <v>28</v>
      </c>
      <c r="C2217" t="s">
        <v>26</v>
      </c>
      <c r="D2217">
        <v>0</v>
      </c>
      <c r="E2217">
        <v>0</v>
      </c>
      <c r="F2217">
        <v>0</v>
      </c>
      <c r="G2217">
        <v>0</v>
      </c>
      <c r="H2217">
        <v>0</v>
      </c>
      <c r="I2217" s="3">
        <v>0</v>
      </c>
      <c r="J2217" s="3">
        <v>0</v>
      </c>
      <c r="K2217" s="3">
        <v>0</v>
      </c>
      <c r="L2217" s="3" t="str">
        <f>IF(K2217&lt;-5,"CRÍTICO",IF(K2217&lt;0,"ATENÇÃO",IF(K2217&lt;=5,"BOM","EXCELENTE")))</f>
        <v>BOM</v>
      </c>
      <c r="M2217">
        <v>0</v>
      </c>
      <c r="N2217">
        <v>0</v>
      </c>
      <c r="O2217">
        <v>0</v>
      </c>
    </row>
    <row r="2218" spans="1:15" hidden="1" x14ac:dyDescent="0.25">
      <c r="A2218" s="11">
        <v>46070</v>
      </c>
      <c r="B2218" t="s">
        <v>58</v>
      </c>
      <c r="C2218" t="s">
        <v>48</v>
      </c>
      <c r="D2218">
        <v>0</v>
      </c>
      <c r="E2218">
        <v>0</v>
      </c>
      <c r="F2218">
        <v>0</v>
      </c>
      <c r="G2218">
        <v>0</v>
      </c>
      <c r="H2218">
        <v>0</v>
      </c>
      <c r="I2218" s="3">
        <v>0</v>
      </c>
      <c r="J2218" s="3">
        <v>0</v>
      </c>
      <c r="K2218" s="3">
        <v>0</v>
      </c>
      <c r="L2218" s="3" t="str">
        <f>IF(K2218&lt;-5,"CRÍTICO",IF(K2218&lt;0,"ATENÇÃO",IF(K2218&lt;=5,"BOM","EXCELENTE")))</f>
        <v>BOM</v>
      </c>
      <c r="M2218">
        <v>0</v>
      </c>
      <c r="N2218">
        <v>97.92</v>
      </c>
      <c r="O2218">
        <v>32.87671232876712</v>
      </c>
    </row>
    <row r="2219" spans="1:15" hidden="1" x14ac:dyDescent="0.25">
      <c r="A2219" s="11">
        <v>46070</v>
      </c>
      <c r="B2219" t="s">
        <v>29</v>
      </c>
      <c r="C2219" t="s">
        <v>26</v>
      </c>
      <c r="D2219">
        <v>0</v>
      </c>
      <c r="E2219">
        <v>0</v>
      </c>
      <c r="F2219">
        <v>0</v>
      </c>
      <c r="G2219">
        <v>0</v>
      </c>
      <c r="H2219">
        <v>0</v>
      </c>
      <c r="I2219" s="3">
        <v>0</v>
      </c>
      <c r="J2219" s="3">
        <v>0</v>
      </c>
      <c r="K2219" s="3">
        <v>0</v>
      </c>
      <c r="L2219" s="3" t="str">
        <f>IF(K2219&lt;-5,"CRÍTICO",IF(K2219&lt;0,"ATENÇÃO",IF(K2219&lt;=5,"BOM","EXCELENTE")))</f>
        <v>BOM</v>
      </c>
      <c r="M2219">
        <v>0</v>
      </c>
      <c r="N2219">
        <v>0</v>
      </c>
      <c r="O2219">
        <v>0</v>
      </c>
    </row>
    <row r="2220" spans="1:15" hidden="1" x14ac:dyDescent="0.25">
      <c r="A2220" s="11">
        <v>46070</v>
      </c>
      <c r="B2220" t="s">
        <v>30</v>
      </c>
      <c r="C2220" t="s">
        <v>26</v>
      </c>
      <c r="D2220">
        <v>0</v>
      </c>
      <c r="E2220">
        <v>0</v>
      </c>
      <c r="F2220">
        <v>0</v>
      </c>
      <c r="G2220">
        <v>0</v>
      </c>
      <c r="H2220">
        <v>0</v>
      </c>
      <c r="I2220" s="3">
        <v>0</v>
      </c>
      <c r="J2220" s="3">
        <v>0</v>
      </c>
      <c r="K2220" s="3">
        <v>0</v>
      </c>
      <c r="L2220" s="3" t="str">
        <f>IF(K2220&lt;-5,"CRÍTICO",IF(K2220&lt;0,"ATENÇÃO",IF(K2220&lt;=5,"BOM","EXCELENTE")))</f>
        <v>BOM</v>
      </c>
      <c r="M2220">
        <v>0</v>
      </c>
      <c r="N2220">
        <v>0</v>
      </c>
      <c r="O2220">
        <v>0</v>
      </c>
    </row>
    <row r="2221" spans="1:15" hidden="1" x14ac:dyDescent="0.25">
      <c r="A2221" s="11">
        <v>46070</v>
      </c>
      <c r="B2221" t="s">
        <v>21</v>
      </c>
      <c r="C2221" t="s">
        <v>16</v>
      </c>
      <c r="D2221">
        <v>0</v>
      </c>
      <c r="E2221">
        <v>0</v>
      </c>
      <c r="F2221">
        <v>0</v>
      </c>
      <c r="G2221">
        <v>0</v>
      </c>
      <c r="H2221">
        <v>0</v>
      </c>
      <c r="I2221" s="3">
        <v>0</v>
      </c>
      <c r="J2221" s="3">
        <v>0</v>
      </c>
      <c r="K2221" s="3">
        <v>0</v>
      </c>
      <c r="L2221" s="3" t="str">
        <f>IF(K2221&lt;-5,"CRÍTICO",IF(K2221&lt;0,"ATENÇÃO",IF(K2221&lt;=5,"BOM","EXCELENTE")))</f>
        <v>BOM</v>
      </c>
      <c r="M2221">
        <v>0</v>
      </c>
      <c r="N2221">
        <v>0</v>
      </c>
      <c r="O2221">
        <v>0</v>
      </c>
    </row>
    <row r="2222" spans="1:15" hidden="1" x14ac:dyDescent="0.25">
      <c r="A2222" s="11">
        <v>46070</v>
      </c>
      <c r="B2222" t="s">
        <v>63</v>
      </c>
      <c r="C2222" t="s">
        <v>23</v>
      </c>
      <c r="D2222">
        <v>0</v>
      </c>
      <c r="E2222">
        <v>0</v>
      </c>
      <c r="F2222">
        <v>0</v>
      </c>
      <c r="G2222">
        <v>0</v>
      </c>
      <c r="H2222">
        <v>0</v>
      </c>
      <c r="I2222" s="3">
        <v>0</v>
      </c>
      <c r="J2222" s="3">
        <v>0</v>
      </c>
      <c r="K2222" s="3">
        <v>0</v>
      </c>
      <c r="L2222" s="3" t="str">
        <f>IF(K2222&lt;-5,"CRÍTICO",IF(K2222&lt;0,"ATENÇÃO",IF(K2222&lt;=5,"BOM","EXCELENTE")))</f>
        <v>BOM</v>
      </c>
      <c r="M2222">
        <v>0</v>
      </c>
      <c r="N2222">
        <v>98.51</v>
      </c>
      <c r="O2222">
        <v>29.710144927536231</v>
      </c>
    </row>
    <row r="2223" spans="1:15" hidden="1" x14ac:dyDescent="0.25">
      <c r="A2223" s="11">
        <v>46070</v>
      </c>
      <c r="B2223" t="s">
        <v>45</v>
      </c>
      <c r="C2223" t="s">
        <v>32</v>
      </c>
      <c r="D2223">
        <v>0</v>
      </c>
      <c r="E2223">
        <v>0</v>
      </c>
      <c r="F2223">
        <v>0</v>
      </c>
      <c r="G2223">
        <v>0</v>
      </c>
      <c r="H2223">
        <v>0</v>
      </c>
      <c r="I2223" s="3">
        <v>0</v>
      </c>
      <c r="J2223" s="3">
        <v>0</v>
      </c>
      <c r="K2223" s="3">
        <v>0</v>
      </c>
      <c r="L2223" s="3" t="str">
        <f>IF(K2223&lt;-5,"CRÍTICO",IF(K2223&lt;0,"ATENÇÃO",IF(K2223&lt;=5,"BOM","EXCELENTE")))</f>
        <v>BOM</v>
      </c>
      <c r="M2223">
        <v>0</v>
      </c>
      <c r="N2223">
        <v>98.81</v>
      </c>
      <c r="O2223">
        <v>30.712979890310791</v>
      </c>
    </row>
    <row r="2224" spans="1:15" hidden="1" x14ac:dyDescent="0.25">
      <c r="A2224" s="11">
        <v>46070</v>
      </c>
      <c r="B2224" t="s">
        <v>64</v>
      </c>
      <c r="C2224" t="s">
        <v>23</v>
      </c>
      <c r="D2224">
        <v>0</v>
      </c>
      <c r="E2224">
        <v>0</v>
      </c>
      <c r="F2224">
        <v>0</v>
      </c>
      <c r="G2224">
        <v>0</v>
      </c>
      <c r="H2224">
        <v>0</v>
      </c>
      <c r="I2224" s="3">
        <v>0</v>
      </c>
      <c r="J2224" s="3">
        <v>0</v>
      </c>
      <c r="K2224" s="3">
        <v>0</v>
      </c>
      <c r="L2224" s="3" t="str">
        <f>IF(K2224&lt;-5,"CRÍTICO",IF(K2224&lt;0,"ATENÇÃO",IF(K2224&lt;=5,"BOM","EXCELENTE")))</f>
        <v>BOM</v>
      </c>
      <c r="M2224">
        <v>0</v>
      </c>
      <c r="N2224">
        <v>98.48</v>
      </c>
      <c r="O2224">
        <v>29.35323383084577</v>
      </c>
    </row>
    <row r="2225" spans="1:15" hidden="1" x14ac:dyDescent="0.25">
      <c r="A2225" s="11">
        <v>46070</v>
      </c>
      <c r="B2225" t="s">
        <v>46</v>
      </c>
      <c r="C2225" t="s">
        <v>32</v>
      </c>
      <c r="D2225">
        <v>0</v>
      </c>
      <c r="E2225">
        <v>0</v>
      </c>
      <c r="F2225">
        <v>0</v>
      </c>
      <c r="G2225">
        <v>0</v>
      </c>
      <c r="H2225">
        <v>0</v>
      </c>
      <c r="I2225" s="3">
        <v>0</v>
      </c>
      <c r="J2225" s="3">
        <v>0</v>
      </c>
      <c r="K2225" s="3">
        <v>0</v>
      </c>
      <c r="L2225" s="3" t="str">
        <f>IF(K2225&lt;-5,"CRÍTICO",IF(K2225&lt;0,"ATENÇÃO",IF(K2225&lt;=5,"BOM","EXCELENTE")))</f>
        <v>BOM</v>
      </c>
      <c r="M2225">
        <v>0</v>
      </c>
      <c r="N2225">
        <v>98.56</v>
      </c>
      <c r="O2225">
        <v>29.373650107991359</v>
      </c>
    </row>
    <row r="2226" spans="1:15" hidden="1" x14ac:dyDescent="0.25">
      <c r="A2226" s="11">
        <v>46071</v>
      </c>
      <c r="B2226" t="s">
        <v>47</v>
      </c>
      <c r="C2226" t="s">
        <v>48</v>
      </c>
      <c r="D2226">
        <v>35</v>
      </c>
      <c r="E2226">
        <v>32</v>
      </c>
      <c r="F2226">
        <v>27.15</v>
      </c>
      <c r="G2226">
        <v>0</v>
      </c>
      <c r="H2226">
        <v>0</v>
      </c>
      <c r="I2226" s="3">
        <f>E2226+G2226+H2226</f>
        <v>32</v>
      </c>
      <c r="J2226" s="3">
        <f>ROUND(MIN(IF(C2226="Técnico III",35,IF(C2226="Técnico II",28,IF(C2226="Técnico I",23,IF(C2226="JR",20,IF(C2226="Estágio",10,0))))),IF(C2226="Técnico III",SUMIFS($D:$D,$A:$A,$A2226,$B:$B,"&lt;&gt;Patrícia Karla de Sousa Araújo",$B:$B,"&lt;&gt;Lorena Dias de Araujo",$B:$B,"&lt;&gt;Lucas Luiz Romero")*(35/1083),IF(C2226="Técnico II",SUMIFS($D:$D,$A:$A,$A2226,$B:$B,"&lt;&gt;Patrícia Karla de Sousa Araújo",$B:$B,"&lt;&gt;Lorena Dias de Araujo",$B:$B,"&lt;&gt;Lucas Luiz Romero")*(28/1083),IF(C2226="Técnico I",SUMIFS($D:$D,$A:$A,$A2226,$B:$B,"&lt;&gt;Patrícia Karla de Sousa Araújo",$B:$B,"&lt;&gt;Lorena Dias de Araujo",$B:$B,"&lt;&gt;Lucas Luiz Romero")*(23/1083),IF(C2226="JR",SUMIFS($D:$D,$A:$A,$A2226,$B:$B,"&lt;&gt;Patrícia Karla de Sousa Araújo",$B:$B,"&lt;&gt;Lorena Dias de Araujo",$B:$B,"&lt;&gt;Lucas Luiz Romero")*(20/1083),IF(C2226="Estágio",SUMIFS($D:$D,$A:$A,$A2226,$B:$B,"&lt;&gt;Patrícia Karla de Sousa Araújo",$B:$B,"&lt;&gt;Lorena Dias de Araujo",$B:$B,"&lt;&gt;Lucas Luiz Romero")*(10/1083),0)))))),0)</f>
        <v>19</v>
      </c>
      <c r="K2226" s="3">
        <f>I2226-J2226</f>
        <v>13</v>
      </c>
      <c r="L2226" s="3" t="str">
        <f>IF(K2226&lt;-5,"CRÍTICO",IF(K2226&lt;0,"ATENÇÃO",IF(K2226&lt;=5,"BOM","EXCELENTE")))</f>
        <v>EXCELENTE</v>
      </c>
      <c r="M2226">
        <v>22</v>
      </c>
      <c r="N2226">
        <v>98.32</v>
      </c>
      <c r="O2226">
        <v>30.303030303030301</v>
      </c>
    </row>
    <row r="2227" spans="1:15" hidden="1" x14ac:dyDescent="0.25">
      <c r="A2227" s="11">
        <v>46071</v>
      </c>
      <c r="B2227" t="s">
        <v>31</v>
      </c>
      <c r="C2227" t="s">
        <v>32</v>
      </c>
      <c r="D2227">
        <v>0</v>
      </c>
      <c r="E2227">
        <v>0</v>
      </c>
      <c r="F2227">
        <v>0</v>
      </c>
      <c r="G2227">
        <v>0</v>
      </c>
      <c r="H2227">
        <v>0</v>
      </c>
      <c r="I2227" s="3">
        <v>0</v>
      </c>
      <c r="J2227" s="3">
        <v>0</v>
      </c>
      <c r="K2227" s="3">
        <v>0</v>
      </c>
      <c r="L2227" s="3" t="str">
        <f>IF(K2227&lt;-5,"CRÍTICO",IF(K2227&lt;0,"ATENÇÃO",IF(K2227&lt;=5,"BOM","EXCELENTE")))</f>
        <v>BOM</v>
      </c>
      <c r="M2227">
        <v>19</v>
      </c>
      <c r="N2227">
        <v>98.68</v>
      </c>
      <c r="O2227">
        <v>26.219512195121951</v>
      </c>
    </row>
    <row r="2228" spans="1:15" hidden="1" x14ac:dyDescent="0.25">
      <c r="A2228" s="11">
        <v>46071</v>
      </c>
      <c r="B2228" t="s">
        <v>59</v>
      </c>
      <c r="C2228" t="s">
        <v>23</v>
      </c>
      <c r="D2228">
        <v>21</v>
      </c>
      <c r="E2228">
        <v>21</v>
      </c>
      <c r="F2228">
        <v>28.39</v>
      </c>
      <c r="G2228">
        <v>0</v>
      </c>
      <c r="H2228">
        <v>0</v>
      </c>
      <c r="I2228" s="3">
        <f>E2228+G2228+H2228</f>
        <v>21</v>
      </c>
      <c r="J2228" s="3">
        <f>ROUND(MIN(IF(C2228="Técnico III",35,IF(C2228="Técnico II",28,IF(C2228="Técnico I",23,IF(C2228="JR",20,IF(C2228="Estágio",10,0))))),IF(C2228="Técnico III",SUMIFS($D:$D,$A:$A,$A2228,$B:$B,"&lt;&gt;Patrícia Karla de Sousa Araújo",$B:$B,"&lt;&gt;Lorena Dias de Araujo",$B:$B,"&lt;&gt;Lucas Luiz Romero")*(35/1083),IF(C2228="Técnico II",SUMIFS($D:$D,$A:$A,$A2228,$B:$B,"&lt;&gt;Patrícia Karla de Sousa Araújo",$B:$B,"&lt;&gt;Lorena Dias de Araujo",$B:$B,"&lt;&gt;Lucas Luiz Romero")*(28/1083),IF(C2228="Técnico I",SUMIFS($D:$D,$A:$A,$A2228,$B:$B,"&lt;&gt;Patrícia Karla de Sousa Araújo",$B:$B,"&lt;&gt;Lorena Dias de Araujo",$B:$B,"&lt;&gt;Lucas Luiz Romero")*(23/1083),IF(C2228="JR",SUMIFS($D:$D,$A:$A,$A2228,$B:$B,"&lt;&gt;Patrícia Karla de Sousa Araújo",$B:$B,"&lt;&gt;Lorena Dias de Araujo",$B:$B,"&lt;&gt;Lucas Luiz Romero")*(20/1083),IF(C2228="Estágio",SUMIFS($D:$D,$A:$A,$A2228,$B:$B,"&lt;&gt;Patrícia Karla de Sousa Araújo",$B:$B,"&lt;&gt;Lorena Dias de Araujo",$B:$B,"&lt;&gt;Lucas Luiz Romero")*(10/1083),0)))))),0)</f>
        <v>16</v>
      </c>
      <c r="K2228" s="3">
        <f>I2228-J2228</f>
        <v>5</v>
      </c>
      <c r="L2228" s="3" t="str">
        <f>IF(K2228&lt;-5,"CRÍTICO",IF(K2228&lt;0,"ATENÇÃO",IF(K2228&lt;=5,"BOM","EXCELENTE")))</f>
        <v>BOM</v>
      </c>
      <c r="M2228">
        <v>21</v>
      </c>
      <c r="N2228">
        <v>100</v>
      </c>
      <c r="O2228">
        <v>31.74224343675418</v>
      </c>
    </row>
    <row r="2229" spans="1:15" hidden="1" x14ac:dyDescent="0.25">
      <c r="A2229" s="11">
        <v>46071</v>
      </c>
      <c r="B2229" t="s">
        <v>33</v>
      </c>
      <c r="C2229" t="s">
        <v>32</v>
      </c>
      <c r="D2229">
        <v>29</v>
      </c>
      <c r="E2229">
        <v>28</v>
      </c>
      <c r="F2229">
        <v>22.02</v>
      </c>
      <c r="G2229">
        <v>0</v>
      </c>
      <c r="H2229">
        <v>0</v>
      </c>
      <c r="I2229" s="3">
        <f>E2229+G2229+H2229</f>
        <v>28</v>
      </c>
      <c r="J2229" s="3">
        <f>ROUND(MIN(IF(C2229="Técnico III",35,IF(C2229="Técnico II",28,IF(C2229="Técnico I",23,IF(C2229="JR",20,IF(C2229="Estágio",10,0))))),IF(C2229="Técnico III",SUMIFS($D:$D,$A:$A,$A2229,$B:$B,"&lt;&gt;Patrícia Karla de Sousa Araújo",$B:$B,"&lt;&gt;Lorena Dias de Araujo",$B:$B,"&lt;&gt;Lucas Luiz Romero")*(35/1083),IF(C2229="Técnico II",SUMIFS($D:$D,$A:$A,$A2229,$B:$B,"&lt;&gt;Patrícia Karla de Sousa Araújo",$B:$B,"&lt;&gt;Lorena Dias de Araujo",$B:$B,"&lt;&gt;Lucas Luiz Romero")*(28/1083),IF(C2229="Técnico I",SUMIFS($D:$D,$A:$A,$A2229,$B:$B,"&lt;&gt;Patrícia Karla de Sousa Araújo",$B:$B,"&lt;&gt;Lorena Dias de Araujo",$B:$B,"&lt;&gt;Lucas Luiz Romero")*(23/1083),IF(C2229="JR",SUMIFS($D:$D,$A:$A,$A2229,$B:$B,"&lt;&gt;Patrícia Karla de Sousa Araújo",$B:$B,"&lt;&gt;Lorena Dias de Araujo",$B:$B,"&lt;&gt;Lucas Luiz Romero")*(20/1083),IF(C2229="Estágio",SUMIFS($D:$D,$A:$A,$A2229,$B:$B,"&lt;&gt;Patrícia Karla de Sousa Araújo",$B:$B,"&lt;&gt;Lorena Dias de Araujo",$B:$B,"&lt;&gt;Lucas Luiz Romero")*(10/1083),0)))))),0)</f>
        <v>24</v>
      </c>
      <c r="K2229" s="3">
        <f>I2229-J2229</f>
        <v>4</v>
      </c>
      <c r="L2229" s="3" t="str">
        <f>IF(K2229&lt;-5,"CRÍTICO",IF(K2229&lt;0,"ATENÇÃO",IF(K2229&lt;=5,"BOM","EXCELENTE")))</f>
        <v>BOM</v>
      </c>
      <c r="M2229">
        <v>26</v>
      </c>
      <c r="N2229">
        <v>98.25</v>
      </c>
      <c r="O2229">
        <v>25.83518930957684</v>
      </c>
    </row>
    <row r="2230" spans="1:15" hidden="1" x14ac:dyDescent="0.25">
      <c r="A2230" s="11">
        <v>46071</v>
      </c>
      <c r="B2230" t="s">
        <v>15</v>
      </c>
      <c r="C2230" t="s">
        <v>16</v>
      </c>
      <c r="D2230">
        <v>6</v>
      </c>
      <c r="E2230">
        <v>6</v>
      </c>
      <c r="F2230">
        <v>55.14</v>
      </c>
      <c r="G2230">
        <v>0</v>
      </c>
      <c r="H2230">
        <v>0</v>
      </c>
      <c r="I2230" s="3">
        <f>E2230+G2230+H2230</f>
        <v>6</v>
      </c>
      <c r="J2230" s="3">
        <f>ROUND(MIN(IF(C2230="Técnico III",35,IF(C2230="Técnico II",28,IF(C2230="Técnico I",23,IF(C2230="JR",20,IF(C2230="Estágio",10,0))))),IF(C2230="Técnico III",SUMIFS($D:$D,$A:$A,$A2230,$B:$B,"&lt;&gt;Patrícia Karla de Sousa Araújo",$B:$B,"&lt;&gt;Lorena Dias de Araujo",$B:$B,"&lt;&gt;Lucas Luiz Romero")*(35/1083),IF(C2230="Técnico II",SUMIFS($D:$D,$A:$A,$A2230,$B:$B,"&lt;&gt;Patrícia Karla de Sousa Araújo",$B:$B,"&lt;&gt;Lorena Dias de Araujo",$B:$B,"&lt;&gt;Lucas Luiz Romero")*(28/1083),IF(C2230="Técnico I",SUMIFS($D:$D,$A:$A,$A2230,$B:$B,"&lt;&gt;Patrícia Karla de Sousa Araújo",$B:$B,"&lt;&gt;Lorena Dias de Araujo",$B:$B,"&lt;&gt;Lucas Luiz Romero")*(23/1083),IF(C2230="JR",SUMIFS($D:$D,$A:$A,$A2230,$B:$B,"&lt;&gt;Patrícia Karla de Sousa Araújo",$B:$B,"&lt;&gt;Lorena Dias de Araujo",$B:$B,"&lt;&gt;Lucas Luiz Romero")*(20/1083),IF(C2230="Estágio",SUMIFS($D:$D,$A:$A,$A2230,$B:$B,"&lt;&gt;Patrícia Karla de Sousa Araújo",$B:$B,"&lt;&gt;Lorena Dias de Araujo",$B:$B,"&lt;&gt;Lucas Luiz Romero")*(10/1083),0)))))),0)</f>
        <v>7</v>
      </c>
      <c r="K2230" s="3">
        <f>I2230-J2230</f>
        <v>-1</v>
      </c>
      <c r="L2230" s="3" t="str">
        <f>IF(K2230&lt;-5,"CRÍTICO",IF(K2230&lt;0,"ATENÇÃO",IF(K2230&lt;=5,"BOM","EXCELENTE")))</f>
        <v>ATENÇÃO</v>
      </c>
      <c r="M2230">
        <v>6</v>
      </c>
      <c r="N2230">
        <v>97.5</v>
      </c>
      <c r="O2230">
        <v>30.075187969924809</v>
      </c>
    </row>
    <row r="2231" spans="1:15" hidden="1" x14ac:dyDescent="0.25">
      <c r="A2231" s="11">
        <v>46071</v>
      </c>
      <c r="B2231" t="s">
        <v>49</v>
      </c>
      <c r="C2231" t="s">
        <v>48</v>
      </c>
      <c r="D2231">
        <v>20</v>
      </c>
      <c r="E2231">
        <v>17</v>
      </c>
      <c r="F2231">
        <v>28.51</v>
      </c>
      <c r="G2231">
        <v>0</v>
      </c>
      <c r="H2231">
        <v>0</v>
      </c>
      <c r="I2231" s="3">
        <f>E2231+G2231+H2231</f>
        <v>17</v>
      </c>
      <c r="J2231" s="3">
        <f>ROUND(MIN(IF(C2231="Técnico III",35,IF(C2231="Técnico II",28,IF(C2231="Técnico I",23,IF(C2231="JR",20,IF(C2231="Estágio",10,0))))),IF(C2231="Técnico III",SUMIFS($D:$D,$A:$A,$A2231,$B:$B,"&lt;&gt;Patrícia Karla de Sousa Araújo",$B:$B,"&lt;&gt;Lorena Dias de Araujo",$B:$B,"&lt;&gt;Lucas Luiz Romero")*(35/1083),IF(C2231="Técnico II",SUMIFS($D:$D,$A:$A,$A2231,$B:$B,"&lt;&gt;Patrícia Karla de Sousa Araújo",$B:$B,"&lt;&gt;Lorena Dias de Araujo",$B:$B,"&lt;&gt;Lucas Luiz Romero")*(28/1083),IF(C2231="Técnico I",SUMIFS($D:$D,$A:$A,$A2231,$B:$B,"&lt;&gt;Patrícia Karla de Sousa Araújo",$B:$B,"&lt;&gt;Lorena Dias de Araujo",$B:$B,"&lt;&gt;Lucas Luiz Romero")*(23/1083),IF(C2231="JR",SUMIFS($D:$D,$A:$A,$A2231,$B:$B,"&lt;&gt;Patrícia Karla de Sousa Araújo",$B:$B,"&lt;&gt;Lorena Dias de Araujo",$B:$B,"&lt;&gt;Lucas Luiz Romero")*(20/1083),IF(C2231="Estágio",SUMIFS($D:$D,$A:$A,$A2231,$B:$B,"&lt;&gt;Patrícia Karla de Sousa Araújo",$B:$B,"&lt;&gt;Lorena Dias de Araujo",$B:$B,"&lt;&gt;Lucas Luiz Romero")*(10/1083),0)))))),0)</f>
        <v>19</v>
      </c>
      <c r="K2231" s="3">
        <f>I2231-J2231</f>
        <v>-2</v>
      </c>
      <c r="L2231" s="3" t="str">
        <f>IF(K2231&lt;-5,"CRÍTICO",IF(K2231&lt;0,"ATENÇÃO",IF(K2231&lt;=5,"BOM","EXCELENTE")))</f>
        <v>ATENÇÃO</v>
      </c>
      <c r="M2231">
        <v>19</v>
      </c>
      <c r="N2231">
        <v>100</v>
      </c>
      <c r="O2231">
        <v>29.71311475409836</v>
      </c>
    </row>
    <row r="2232" spans="1:15" hidden="1" x14ac:dyDescent="0.25">
      <c r="A2232" s="11">
        <v>46071</v>
      </c>
      <c r="B2232" t="s">
        <v>50</v>
      </c>
      <c r="C2232" t="s">
        <v>48</v>
      </c>
      <c r="D2232">
        <v>9</v>
      </c>
      <c r="E2232">
        <v>9</v>
      </c>
      <c r="F2232">
        <v>75.150000000000006</v>
      </c>
      <c r="G2232">
        <v>0</v>
      </c>
      <c r="H2232">
        <v>0</v>
      </c>
      <c r="I2232" s="3">
        <f>E2232+G2232+H2232</f>
        <v>9</v>
      </c>
      <c r="J2232" s="3">
        <f>ROUND(MIN(IF(C2232="Técnico III",35,IF(C2232="Técnico II",28,IF(C2232="Técnico I",23,IF(C2232="JR",20,IF(C2232="Estágio",10,0))))),IF(C2232="Técnico III",SUMIFS($D:$D,$A:$A,$A2232,$B:$B,"&lt;&gt;Patrícia Karla de Sousa Araújo",$B:$B,"&lt;&gt;Lorena Dias de Araujo",$B:$B,"&lt;&gt;Lucas Luiz Romero")*(35/1083),IF(C2232="Técnico II",SUMIFS($D:$D,$A:$A,$A2232,$B:$B,"&lt;&gt;Patrícia Karla de Sousa Araújo",$B:$B,"&lt;&gt;Lorena Dias de Araujo",$B:$B,"&lt;&gt;Lucas Luiz Romero")*(28/1083),IF(C2232="Técnico I",SUMIFS($D:$D,$A:$A,$A2232,$B:$B,"&lt;&gt;Patrícia Karla de Sousa Araújo",$B:$B,"&lt;&gt;Lorena Dias de Araujo",$B:$B,"&lt;&gt;Lucas Luiz Romero")*(23/1083),IF(C2232="JR",SUMIFS($D:$D,$A:$A,$A2232,$B:$B,"&lt;&gt;Patrícia Karla de Sousa Araújo",$B:$B,"&lt;&gt;Lorena Dias de Araujo",$B:$B,"&lt;&gt;Lucas Luiz Romero")*(20/1083),IF(C2232="Estágio",SUMIFS($D:$D,$A:$A,$A2232,$B:$B,"&lt;&gt;Patrícia Karla de Sousa Araújo",$B:$B,"&lt;&gt;Lorena Dias de Araujo",$B:$B,"&lt;&gt;Lucas Luiz Romero")*(10/1083),0)))))),0)</f>
        <v>19</v>
      </c>
      <c r="K2232" s="3">
        <f>I2232-J2232</f>
        <v>-10</v>
      </c>
      <c r="L2232" s="3" t="str">
        <f>IF(K2232&lt;-5,"CRÍTICO",IF(K2232&lt;0,"ATENÇÃO",IF(K2232&lt;=5,"BOM","EXCELENTE")))</f>
        <v>CRÍTICO</v>
      </c>
      <c r="M2232">
        <v>12</v>
      </c>
      <c r="N2232">
        <v>99.22</v>
      </c>
      <c r="O2232">
        <v>35.256410256410263</v>
      </c>
    </row>
    <row r="2233" spans="1:15" hidden="1" x14ac:dyDescent="0.25">
      <c r="A2233" s="11">
        <v>46071</v>
      </c>
      <c r="B2233" t="s">
        <v>17</v>
      </c>
      <c r="C2233" t="s">
        <v>16</v>
      </c>
      <c r="D2233">
        <v>0</v>
      </c>
      <c r="E2233">
        <v>0</v>
      </c>
      <c r="F2233">
        <v>0</v>
      </c>
      <c r="G2233">
        <v>0</v>
      </c>
      <c r="H2233">
        <v>0</v>
      </c>
      <c r="I2233" s="3">
        <v>0</v>
      </c>
      <c r="J2233" s="3">
        <v>0</v>
      </c>
      <c r="K2233" s="3">
        <v>0</v>
      </c>
      <c r="L2233" s="3" t="str">
        <f>IF(K2233&lt;-5,"CRÍTICO",IF(K2233&lt;0,"ATENÇÃO",IF(K2233&lt;=5,"BOM","EXCELENTE")))</f>
        <v>BOM</v>
      </c>
      <c r="M2233">
        <v>0</v>
      </c>
      <c r="N2233">
        <v>0</v>
      </c>
      <c r="O2233">
        <v>0</v>
      </c>
    </row>
    <row r="2234" spans="1:15" hidden="1" x14ac:dyDescent="0.25">
      <c r="A2234" s="11">
        <v>46071</v>
      </c>
      <c r="B2234" t="s">
        <v>60</v>
      </c>
      <c r="C2234" t="s">
        <v>23</v>
      </c>
      <c r="D2234">
        <v>22</v>
      </c>
      <c r="E2234">
        <v>22</v>
      </c>
      <c r="F2234">
        <v>30.28</v>
      </c>
      <c r="G2234">
        <v>0</v>
      </c>
      <c r="H2234">
        <v>0</v>
      </c>
      <c r="I2234" s="3">
        <f>E2234+G2234+H2234</f>
        <v>22</v>
      </c>
      <c r="J2234" s="3">
        <f>ROUND(MIN(IF(C2234="Técnico III",35,IF(C2234="Técnico II",28,IF(C2234="Técnico I",23,IF(C2234="JR",20,IF(C2234="Estágio",10,0))))),IF(C2234="Técnico III",SUMIFS($D:$D,$A:$A,$A2234,$B:$B,"&lt;&gt;Patrícia Karla de Sousa Araújo",$B:$B,"&lt;&gt;Lorena Dias de Araujo",$B:$B,"&lt;&gt;Lucas Luiz Romero")*(35/1083),IF(C2234="Técnico II",SUMIFS($D:$D,$A:$A,$A2234,$B:$B,"&lt;&gt;Patrícia Karla de Sousa Araújo",$B:$B,"&lt;&gt;Lorena Dias de Araujo",$B:$B,"&lt;&gt;Lucas Luiz Romero")*(28/1083),IF(C2234="Técnico I",SUMIFS($D:$D,$A:$A,$A2234,$B:$B,"&lt;&gt;Patrícia Karla de Sousa Araújo",$B:$B,"&lt;&gt;Lorena Dias de Araujo",$B:$B,"&lt;&gt;Lucas Luiz Romero")*(23/1083),IF(C2234="JR",SUMIFS($D:$D,$A:$A,$A2234,$B:$B,"&lt;&gt;Patrícia Karla de Sousa Araújo",$B:$B,"&lt;&gt;Lorena Dias de Araujo",$B:$B,"&lt;&gt;Lucas Luiz Romero")*(20/1083),IF(C2234="Estágio",SUMIFS($D:$D,$A:$A,$A2234,$B:$B,"&lt;&gt;Patrícia Karla de Sousa Araújo",$B:$B,"&lt;&gt;Lorena Dias de Araujo",$B:$B,"&lt;&gt;Lucas Luiz Romero")*(10/1083),0)))))),0)</f>
        <v>16</v>
      </c>
      <c r="K2234" s="3">
        <f>I2234-J2234</f>
        <v>6</v>
      </c>
      <c r="L2234" s="3" t="str">
        <f>IF(K2234&lt;-5,"CRÍTICO",IF(K2234&lt;0,"ATENÇÃO",IF(K2234&lt;=5,"BOM","EXCELENTE")))</f>
        <v>EXCELENTE</v>
      </c>
      <c r="M2234">
        <v>20</v>
      </c>
      <c r="N2234">
        <v>98.75</v>
      </c>
      <c r="O2234">
        <v>24.32432432432433</v>
      </c>
    </row>
    <row r="2235" spans="1:15" hidden="1" x14ac:dyDescent="0.25">
      <c r="A2235" s="11">
        <v>46071</v>
      </c>
      <c r="B2235" t="s">
        <v>34</v>
      </c>
      <c r="C2235" t="s">
        <v>32</v>
      </c>
      <c r="D2235">
        <v>38</v>
      </c>
      <c r="E2235">
        <v>37</v>
      </c>
      <c r="F2235">
        <v>17.18</v>
      </c>
      <c r="G2235">
        <v>0</v>
      </c>
      <c r="H2235">
        <v>0</v>
      </c>
      <c r="I2235" s="3">
        <f>E2235+G2235+H2235</f>
        <v>37</v>
      </c>
      <c r="J2235" s="3">
        <f>ROUND(MIN(IF(C2235="Técnico III",35,IF(C2235="Técnico II",28,IF(C2235="Técnico I",23,IF(C2235="JR",20,IF(C2235="Estágio",10,0))))),IF(C2235="Técnico III",SUMIFS($D:$D,$A:$A,$A2235,$B:$B,"&lt;&gt;Patrícia Karla de Sousa Araújo",$B:$B,"&lt;&gt;Lorena Dias de Araujo",$B:$B,"&lt;&gt;Lucas Luiz Romero")*(35/1083),IF(C2235="Técnico II",SUMIFS($D:$D,$A:$A,$A2235,$B:$B,"&lt;&gt;Patrícia Karla de Sousa Araújo",$B:$B,"&lt;&gt;Lorena Dias de Araujo",$B:$B,"&lt;&gt;Lucas Luiz Romero")*(28/1083),IF(C2235="Técnico I",SUMIFS($D:$D,$A:$A,$A2235,$B:$B,"&lt;&gt;Patrícia Karla de Sousa Araújo",$B:$B,"&lt;&gt;Lorena Dias de Araujo",$B:$B,"&lt;&gt;Lucas Luiz Romero")*(23/1083),IF(C2235="JR",SUMIFS($D:$D,$A:$A,$A2235,$B:$B,"&lt;&gt;Patrícia Karla de Sousa Araújo",$B:$B,"&lt;&gt;Lorena Dias de Araujo",$B:$B,"&lt;&gt;Lucas Luiz Romero")*(20/1083),IF(C2235="Estágio",SUMIFS($D:$D,$A:$A,$A2235,$B:$B,"&lt;&gt;Patrícia Karla de Sousa Araújo",$B:$B,"&lt;&gt;Lorena Dias de Araujo",$B:$B,"&lt;&gt;Lucas Luiz Romero")*(10/1083),0)))))),0)</f>
        <v>24</v>
      </c>
      <c r="K2235" s="3">
        <f>I2235-J2235</f>
        <v>13</v>
      </c>
      <c r="L2235" s="3" t="str">
        <f>IF(K2235&lt;-5,"CRÍTICO",IF(K2235&lt;0,"ATENÇÃO",IF(K2235&lt;=5,"BOM","EXCELENTE")))</f>
        <v>EXCELENTE</v>
      </c>
      <c r="M2235">
        <v>34</v>
      </c>
      <c r="N2235">
        <v>93.48</v>
      </c>
      <c r="O2235">
        <v>31.52804642166344</v>
      </c>
    </row>
    <row r="2236" spans="1:15" hidden="1" x14ac:dyDescent="0.25">
      <c r="A2236" s="11">
        <v>46071</v>
      </c>
      <c r="B2236" t="s">
        <v>51</v>
      </c>
      <c r="C2236" t="s">
        <v>48</v>
      </c>
      <c r="D2236">
        <v>17</v>
      </c>
      <c r="E2236">
        <v>14</v>
      </c>
      <c r="F2236">
        <v>34.049999999999997</v>
      </c>
      <c r="G2236">
        <v>0</v>
      </c>
      <c r="H2236">
        <v>0</v>
      </c>
      <c r="I2236" s="3">
        <v>0</v>
      </c>
      <c r="J2236" s="3">
        <v>0</v>
      </c>
      <c r="K2236" s="3">
        <v>0</v>
      </c>
      <c r="L2236" s="3" t="str">
        <f>IF(K2236&lt;-5,"CRÍTICO",IF(K2236&lt;0,"ATENÇÃO",IF(K2236&lt;=5,"BOM","EXCELENTE")))</f>
        <v>BOM</v>
      </c>
      <c r="M2236">
        <v>13</v>
      </c>
      <c r="N2236">
        <v>99.16</v>
      </c>
      <c r="O2236">
        <v>26.13908872901678</v>
      </c>
    </row>
    <row r="2237" spans="1:15" hidden="1" x14ac:dyDescent="0.25">
      <c r="A2237" s="11">
        <v>46071</v>
      </c>
      <c r="B2237" t="s">
        <v>61</v>
      </c>
      <c r="C2237" t="s">
        <v>23</v>
      </c>
      <c r="D2237">
        <v>33</v>
      </c>
      <c r="E2237">
        <v>31</v>
      </c>
      <c r="F2237">
        <v>20</v>
      </c>
      <c r="G2237">
        <v>0</v>
      </c>
      <c r="H2237">
        <v>0</v>
      </c>
      <c r="I2237" s="3">
        <f>E2237+G2237+H2237</f>
        <v>31</v>
      </c>
      <c r="J2237" s="3">
        <f>ROUND(MIN(IF(C2237="Técnico III",35,IF(C2237="Técnico II",28,IF(C2237="Técnico I",23,IF(C2237="JR",20,IF(C2237="Estágio",10,0))))),IF(C2237="Técnico III",SUMIFS($D:$D,$A:$A,$A2237,$B:$B,"&lt;&gt;Patrícia Karla de Sousa Araújo",$B:$B,"&lt;&gt;Lorena Dias de Araujo",$B:$B,"&lt;&gt;Lucas Luiz Romero")*(35/1083),IF(C2237="Técnico II",SUMIFS($D:$D,$A:$A,$A2237,$B:$B,"&lt;&gt;Patrícia Karla de Sousa Araújo",$B:$B,"&lt;&gt;Lorena Dias de Araujo",$B:$B,"&lt;&gt;Lucas Luiz Romero")*(28/1083),IF(C2237="Técnico I",SUMIFS($D:$D,$A:$A,$A2237,$B:$B,"&lt;&gt;Patrícia Karla de Sousa Araújo",$B:$B,"&lt;&gt;Lorena Dias de Araujo",$B:$B,"&lt;&gt;Lucas Luiz Romero")*(23/1083),IF(C2237="JR",SUMIFS($D:$D,$A:$A,$A2237,$B:$B,"&lt;&gt;Patrícia Karla de Sousa Araújo",$B:$B,"&lt;&gt;Lorena Dias de Araujo",$B:$B,"&lt;&gt;Lucas Luiz Romero")*(20/1083),IF(C2237="Estágio",SUMIFS($D:$D,$A:$A,$A2237,$B:$B,"&lt;&gt;Patrícia Karla de Sousa Araújo",$B:$B,"&lt;&gt;Lorena Dias de Araujo",$B:$B,"&lt;&gt;Lucas Luiz Romero")*(10/1083),0)))))),0)</f>
        <v>16</v>
      </c>
      <c r="K2237" s="3">
        <f>I2237-J2237</f>
        <v>15</v>
      </c>
      <c r="L2237" s="3" t="str">
        <f>IF(K2237&lt;-5,"CRÍTICO",IF(K2237&lt;0,"ATENÇÃO",IF(K2237&lt;=5,"BOM","EXCELENTE")))</f>
        <v>EXCELENTE</v>
      </c>
      <c r="M2237">
        <v>24</v>
      </c>
      <c r="N2237">
        <v>100</v>
      </c>
      <c r="O2237">
        <v>31.089743589743591</v>
      </c>
    </row>
    <row r="2238" spans="1:15" hidden="1" x14ac:dyDescent="0.25">
      <c r="A2238" s="11">
        <v>46071</v>
      </c>
      <c r="B2238" t="s">
        <v>35</v>
      </c>
      <c r="C2238" t="s">
        <v>32</v>
      </c>
      <c r="D2238">
        <v>13</v>
      </c>
      <c r="E2238">
        <v>13</v>
      </c>
      <c r="F2238">
        <v>47.13</v>
      </c>
      <c r="G2238">
        <v>0</v>
      </c>
      <c r="H2238">
        <v>0</v>
      </c>
      <c r="I2238" s="3">
        <v>0</v>
      </c>
      <c r="J2238" s="3">
        <v>0</v>
      </c>
      <c r="K2238" s="3">
        <v>0</v>
      </c>
      <c r="L2238" s="3" t="str">
        <f>IF(K2238&lt;-5,"CRÍTICO",IF(K2238&lt;0,"ATENÇÃO",IF(K2238&lt;=5,"BOM","EXCELENTE")))</f>
        <v>BOM</v>
      </c>
      <c r="M2238">
        <v>13</v>
      </c>
      <c r="N2238">
        <v>98.11</v>
      </c>
      <c r="O2238">
        <v>33.033707865168537</v>
      </c>
    </row>
    <row r="2239" spans="1:15" hidden="1" x14ac:dyDescent="0.25">
      <c r="A2239" s="11">
        <v>46071</v>
      </c>
      <c r="B2239" t="s">
        <v>18</v>
      </c>
      <c r="C2239" t="s">
        <v>16</v>
      </c>
      <c r="D2239">
        <v>5</v>
      </c>
      <c r="E2239">
        <v>3</v>
      </c>
      <c r="F2239">
        <v>30.22</v>
      </c>
      <c r="G2239">
        <v>0</v>
      </c>
      <c r="H2239">
        <v>0</v>
      </c>
      <c r="I2239" s="3">
        <f>E2239+G2239+H2239</f>
        <v>3</v>
      </c>
      <c r="J2239" s="3">
        <f>ROUND(MIN(IF(C2239="Técnico III",35,IF(C2239="Técnico II",28,IF(C2239="Técnico I",23,IF(C2239="JR",20,IF(C2239="Estágio",10,0))))),IF(C2239="Técnico III",SUMIFS($D:$D,$A:$A,$A2239,$B:$B,"&lt;&gt;Patrícia Karla de Sousa Araújo",$B:$B,"&lt;&gt;Lorena Dias de Araujo",$B:$B,"&lt;&gt;Lucas Luiz Romero")*(35/1083),IF(C2239="Técnico II",SUMIFS($D:$D,$A:$A,$A2239,$B:$B,"&lt;&gt;Patrícia Karla de Sousa Araújo",$B:$B,"&lt;&gt;Lorena Dias de Araujo",$B:$B,"&lt;&gt;Lucas Luiz Romero")*(28/1083),IF(C2239="Técnico I",SUMIFS($D:$D,$A:$A,$A2239,$B:$B,"&lt;&gt;Patrícia Karla de Sousa Araújo",$B:$B,"&lt;&gt;Lorena Dias de Araujo",$B:$B,"&lt;&gt;Lucas Luiz Romero")*(23/1083),IF(C2239="JR",SUMIFS($D:$D,$A:$A,$A2239,$B:$B,"&lt;&gt;Patrícia Karla de Sousa Araújo",$B:$B,"&lt;&gt;Lorena Dias de Araujo",$B:$B,"&lt;&gt;Lucas Luiz Romero")*(20/1083),IF(C2239="Estágio",SUMIFS($D:$D,$A:$A,$A2239,$B:$B,"&lt;&gt;Patrícia Karla de Sousa Araújo",$B:$B,"&lt;&gt;Lorena Dias de Araujo",$B:$B,"&lt;&gt;Lucas Luiz Romero")*(10/1083),0)))))),0)</f>
        <v>7</v>
      </c>
      <c r="K2239" s="3">
        <f>I2239-J2239</f>
        <v>-4</v>
      </c>
      <c r="L2239" s="3" t="str">
        <f>IF(K2239&lt;-5,"CRÍTICO",IF(K2239&lt;0,"ATENÇÃO",IF(K2239&lt;=5,"BOM","EXCELENTE")))</f>
        <v>ATENÇÃO</v>
      </c>
      <c r="M2239">
        <v>4</v>
      </c>
      <c r="N2239">
        <v>78.95</v>
      </c>
      <c r="O2239">
        <v>38.983050847457633</v>
      </c>
    </row>
    <row r="2240" spans="1:15" hidden="1" x14ac:dyDescent="0.25">
      <c r="A2240" s="11">
        <v>46071</v>
      </c>
      <c r="B2240" t="s">
        <v>52</v>
      </c>
      <c r="C2240" t="s">
        <v>48</v>
      </c>
      <c r="D2240">
        <v>30</v>
      </c>
      <c r="E2240">
        <v>28</v>
      </c>
      <c r="F2240">
        <v>18.55</v>
      </c>
      <c r="G2240">
        <v>0</v>
      </c>
      <c r="H2240">
        <v>0</v>
      </c>
      <c r="I2240" s="3">
        <f>E2240+G2240+H2240</f>
        <v>28</v>
      </c>
      <c r="J2240" s="3">
        <f>ROUND(MIN(IF(C2240="Técnico III",35,IF(C2240="Técnico II",28,IF(C2240="Técnico I",23,IF(C2240="JR",20,IF(C2240="Estágio",10,0))))),IF(C2240="Técnico III",SUMIFS($D:$D,$A:$A,$A2240,$B:$B,"&lt;&gt;Patrícia Karla de Sousa Araújo",$B:$B,"&lt;&gt;Lorena Dias de Araujo",$B:$B,"&lt;&gt;Lucas Luiz Romero")*(35/1083),IF(C2240="Técnico II",SUMIFS($D:$D,$A:$A,$A2240,$B:$B,"&lt;&gt;Patrícia Karla de Sousa Araújo",$B:$B,"&lt;&gt;Lorena Dias de Araujo",$B:$B,"&lt;&gt;Lucas Luiz Romero")*(28/1083),IF(C2240="Técnico I",SUMIFS($D:$D,$A:$A,$A2240,$B:$B,"&lt;&gt;Patrícia Karla de Sousa Araújo",$B:$B,"&lt;&gt;Lorena Dias de Araujo",$B:$B,"&lt;&gt;Lucas Luiz Romero")*(23/1083),IF(C2240="JR",SUMIFS($D:$D,$A:$A,$A2240,$B:$B,"&lt;&gt;Patrícia Karla de Sousa Araújo",$B:$B,"&lt;&gt;Lorena Dias de Araujo",$B:$B,"&lt;&gt;Lucas Luiz Romero")*(20/1083),IF(C2240="Estágio",SUMIFS($D:$D,$A:$A,$A2240,$B:$B,"&lt;&gt;Patrícia Karla de Sousa Araújo",$B:$B,"&lt;&gt;Lorena Dias de Araujo",$B:$B,"&lt;&gt;Lucas Luiz Romero")*(10/1083),0)))))),0)</f>
        <v>19</v>
      </c>
      <c r="K2240" s="3">
        <f>I2240-J2240</f>
        <v>9</v>
      </c>
      <c r="L2240" s="3" t="str">
        <f>IF(K2240&lt;-5,"CRÍTICO",IF(K2240&lt;0,"ATENÇÃO",IF(K2240&lt;=5,"BOM","EXCELENTE")))</f>
        <v>EXCELENTE</v>
      </c>
      <c r="M2240">
        <v>22</v>
      </c>
      <c r="N2240">
        <v>98.45</v>
      </c>
      <c r="O2240">
        <v>29.281767955801101</v>
      </c>
    </row>
    <row r="2241" spans="1:15" hidden="1" x14ac:dyDescent="0.25">
      <c r="A2241" s="11">
        <v>46071</v>
      </c>
      <c r="B2241" t="s">
        <v>36</v>
      </c>
      <c r="C2241" t="s">
        <v>32</v>
      </c>
      <c r="D2241">
        <v>15</v>
      </c>
      <c r="E2241">
        <v>15</v>
      </c>
      <c r="F2241">
        <v>30</v>
      </c>
      <c r="G2241">
        <v>0</v>
      </c>
      <c r="H2241">
        <v>0</v>
      </c>
      <c r="I2241" s="3">
        <f>E2241+G2241+H2241</f>
        <v>15</v>
      </c>
      <c r="J2241" s="3">
        <f>ROUND(MIN(IF(C2241="Técnico III",35,IF(C2241="Técnico II",28,IF(C2241="Técnico I",23,IF(C2241="JR",20,IF(C2241="Estágio",10,0))))),IF(C2241="Técnico III",SUMIFS($D:$D,$A:$A,$A2241,$B:$B,"&lt;&gt;Patrícia Karla de Sousa Araújo",$B:$B,"&lt;&gt;Lorena Dias de Araujo",$B:$B,"&lt;&gt;Lucas Luiz Romero")*(35/1083),IF(C2241="Técnico II",SUMIFS($D:$D,$A:$A,$A2241,$B:$B,"&lt;&gt;Patrícia Karla de Sousa Araújo",$B:$B,"&lt;&gt;Lorena Dias de Araujo",$B:$B,"&lt;&gt;Lucas Luiz Romero")*(28/1083),IF(C2241="Técnico I",SUMIFS($D:$D,$A:$A,$A2241,$B:$B,"&lt;&gt;Patrícia Karla de Sousa Araújo",$B:$B,"&lt;&gt;Lorena Dias de Araujo",$B:$B,"&lt;&gt;Lucas Luiz Romero")*(23/1083),IF(C2241="JR",SUMIFS($D:$D,$A:$A,$A2241,$B:$B,"&lt;&gt;Patrícia Karla de Sousa Araújo",$B:$B,"&lt;&gt;Lorena Dias de Araujo",$B:$B,"&lt;&gt;Lucas Luiz Romero")*(20/1083),IF(C2241="Estágio",SUMIFS($D:$D,$A:$A,$A2241,$B:$B,"&lt;&gt;Patrícia Karla de Sousa Araújo",$B:$B,"&lt;&gt;Lorena Dias de Araujo",$B:$B,"&lt;&gt;Lucas Luiz Romero")*(10/1083),0)))))),0)</f>
        <v>24</v>
      </c>
      <c r="K2241" s="3">
        <f>I2241-J2241</f>
        <v>-9</v>
      </c>
      <c r="L2241" s="3" t="str">
        <f>IF(K2241&lt;-5,"CRÍTICO",IF(K2241&lt;0,"ATENÇÃO",IF(K2241&lt;=5,"BOM","EXCELENTE")))</f>
        <v>CRÍTICO</v>
      </c>
      <c r="M2241">
        <v>14</v>
      </c>
      <c r="N2241">
        <v>97.84</v>
      </c>
      <c r="O2241">
        <v>26.282051282051281</v>
      </c>
    </row>
    <row r="2242" spans="1:15" hidden="1" x14ac:dyDescent="0.25">
      <c r="A2242" s="11">
        <v>46071</v>
      </c>
      <c r="B2242" t="s">
        <v>53</v>
      </c>
      <c r="C2242" t="s">
        <v>48</v>
      </c>
      <c r="D2242">
        <v>26</v>
      </c>
      <c r="E2242">
        <v>24</v>
      </c>
      <c r="F2242">
        <v>29.02</v>
      </c>
      <c r="G2242">
        <v>0</v>
      </c>
      <c r="H2242">
        <v>0</v>
      </c>
      <c r="I2242" s="3">
        <f>E2242+G2242+H2242</f>
        <v>24</v>
      </c>
      <c r="J2242" s="3">
        <f>ROUND(MIN(IF(C2242="Técnico III",35,IF(C2242="Técnico II",28,IF(C2242="Técnico I",23,IF(C2242="JR",20,IF(C2242="Estágio",10,0))))),IF(C2242="Técnico III",SUMIFS($D:$D,$A:$A,$A2242,$B:$B,"&lt;&gt;Patrícia Karla de Sousa Araújo",$B:$B,"&lt;&gt;Lorena Dias de Araujo",$B:$B,"&lt;&gt;Lucas Luiz Romero")*(35/1083),IF(C2242="Técnico II",SUMIFS($D:$D,$A:$A,$A2242,$B:$B,"&lt;&gt;Patrícia Karla de Sousa Araújo",$B:$B,"&lt;&gt;Lorena Dias de Araujo",$B:$B,"&lt;&gt;Lucas Luiz Romero")*(28/1083),IF(C2242="Técnico I",SUMIFS($D:$D,$A:$A,$A2242,$B:$B,"&lt;&gt;Patrícia Karla de Sousa Araújo",$B:$B,"&lt;&gt;Lorena Dias de Araujo",$B:$B,"&lt;&gt;Lucas Luiz Romero")*(23/1083),IF(C2242="JR",SUMIFS($D:$D,$A:$A,$A2242,$B:$B,"&lt;&gt;Patrícia Karla de Sousa Araújo",$B:$B,"&lt;&gt;Lorena Dias de Araujo",$B:$B,"&lt;&gt;Lucas Luiz Romero")*(20/1083),IF(C2242="Estágio",SUMIFS($D:$D,$A:$A,$A2242,$B:$B,"&lt;&gt;Patrícia Karla de Sousa Araújo",$B:$B,"&lt;&gt;Lorena Dias de Araujo",$B:$B,"&lt;&gt;Lucas Luiz Romero")*(10/1083),0)))))),0)</f>
        <v>19</v>
      </c>
      <c r="K2242" s="3">
        <f>I2242-J2242</f>
        <v>5</v>
      </c>
      <c r="L2242" s="3" t="str">
        <f>IF(K2242&lt;-5,"CRÍTICO",IF(K2242&lt;0,"ATENÇÃO",IF(K2242&lt;=5,"BOM","EXCELENTE")))</f>
        <v>BOM</v>
      </c>
      <c r="M2242">
        <v>21</v>
      </c>
      <c r="N2242">
        <v>98.5</v>
      </c>
      <c r="O2242">
        <v>23.97769516728625</v>
      </c>
    </row>
    <row r="2243" spans="1:15" hidden="1" x14ac:dyDescent="0.25">
      <c r="A2243" s="11">
        <v>46105</v>
      </c>
      <c r="B2243" t="s">
        <v>22</v>
      </c>
      <c r="C2243" t="s">
        <v>23</v>
      </c>
      <c r="D2243">
        <v>30</v>
      </c>
      <c r="E2243">
        <v>29</v>
      </c>
      <c r="F2243">
        <v>17.27</v>
      </c>
      <c r="G2243">
        <v>0</v>
      </c>
      <c r="H2243">
        <v>0</v>
      </c>
      <c r="I2243" s="3">
        <f>E2243+G2243+H2243</f>
        <v>29</v>
      </c>
      <c r="J2243" s="3">
        <f>ROUND(MIN(IF(C2243="Técnico III",35,IF(C2243="Técnico II",28,IF(C2243="Técnico I",23,IF(C2243="JR",20,IF(C2243="Estágio",10,0))))),IF(C2243="Técnico III",SUMIFS($D:$D,$A:$A,$A2243,$B:$B,"&lt;&gt;Patrícia Karla de Sousa Araújo",$B:$B,"&lt;&gt;Lorena Dias de Araujo",$B:$B,"&lt;&gt;Lucas Luiz Romero")*(35/1083),IF(C2243="Técnico II",SUMIFS($D:$D,$A:$A,$A2243,$B:$B,"&lt;&gt;Patrícia Karla de Sousa Araújo",$B:$B,"&lt;&gt;Lorena Dias de Araujo",$B:$B,"&lt;&gt;Lucas Luiz Romero")*(28/1083),IF(C2243="Técnico I",SUMIFS($D:$D,$A:$A,$A2243,$B:$B,"&lt;&gt;Patrícia Karla de Sousa Araújo",$B:$B,"&lt;&gt;Lorena Dias de Araujo",$B:$B,"&lt;&gt;Lucas Luiz Romero")*(23/1083),IF(C2243="JR",SUMIFS($D:$D,$A:$A,$A2243,$B:$B,"&lt;&gt;Patrícia Karla de Sousa Araújo",$B:$B,"&lt;&gt;Lorena Dias de Araujo",$B:$B,"&lt;&gt;Lucas Luiz Romero")*(20/1083),IF(C2243="Estágio",SUMIFS($D:$D,$A:$A,$A2243,$B:$B,"&lt;&gt;Patrícia Karla de Sousa Araújo",$B:$B,"&lt;&gt;Lorena Dias de Araujo",$B:$B,"&lt;&gt;Lucas Luiz Romero")*(10/1083),0)))))),0)</f>
        <v>17</v>
      </c>
      <c r="K2243" s="3">
        <f>I2243-J2243</f>
        <v>12</v>
      </c>
      <c r="L2243" s="3" t="str">
        <f>IF(K2243&lt;-5,"CRÍTICO",IF(K2243&lt;0,"ATENÇÃO",IF(K2243&lt;=5,"BOM","EXCELENTE")))</f>
        <v>EXCELENTE</v>
      </c>
      <c r="M2243">
        <v>29</v>
      </c>
      <c r="N2243">
        <v>99.05</v>
      </c>
      <c r="O2243">
        <v>26.621923937360179</v>
      </c>
    </row>
    <row r="2244" spans="1:15" hidden="1" x14ac:dyDescent="0.25">
      <c r="A2244" s="11">
        <v>46071</v>
      </c>
      <c r="B2244" t="s">
        <v>54</v>
      </c>
      <c r="C2244" t="s">
        <v>48</v>
      </c>
      <c r="D2244">
        <v>23</v>
      </c>
      <c r="E2244">
        <v>22</v>
      </c>
      <c r="F2244">
        <v>24.07</v>
      </c>
      <c r="G2244">
        <v>0</v>
      </c>
      <c r="H2244">
        <v>0</v>
      </c>
      <c r="I2244" s="3">
        <f>E2244+G2244+H2244</f>
        <v>22</v>
      </c>
      <c r="J2244" s="3">
        <f>ROUND(MIN(IF(C2244="Técnico III",35,IF(C2244="Técnico II",28,IF(C2244="Técnico I",23,IF(C2244="JR",20,IF(C2244="Estágio",10,0))))),IF(C2244="Técnico III",SUMIFS($D:$D,$A:$A,$A2244,$B:$B,"&lt;&gt;Patrícia Karla de Sousa Araújo",$B:$B,"&lt;&gt;Lorena Dias de Araujo",$B:$B,"&lt;&gt;Lucas Luiz Romero")*(35/1083),IF(C2244="Técnico II",SUMIFS($D:$D,$A:$A,$A2244,$B:$B,"&lt;&gt;Patrícia Karla de Sousa Araújo",$B:$B,"&lt;&gt;Lorena Dias de Araujo",$B:$B,"&lt;&gt;Lucas Luiz Romero")*(28/1083),IF(C2244="Técnico I",SUMIFS($D:$D,$A:$A,$A2244,$B:$B,"&lt;&gt;Patrícia Karla de Sousa Araújo",$B:$B,"&lt;&gt;Lorena Dias de Araujo",$B:$B,"&lt;&gt;Lucas Luiz Romero")*(23/1083),IF(C2244="JR",SUMIFS($D:$D,$A:$A,$A2244,$B:$B,"&lt;&gt;Patrícia Karla de Sousa Araújo",$B:$B,"&lt;&gt;Lorena Dias de Araujo",$B:$B,"&lt;&gt;Lucas Luiz Romero")*(20/1083),IF(C2244="Estágio",SUMIFS($D:$D,$A:$A,$A2244,$B:$B,"&lt;&gt;Patrícia Karla de Sousa Araújo",$B:$B,"&lt;&gt;Lorena Dias de Araujo",$B:$B,"&lt;&gt;Lucas Luiz Romero")*(10/1083),0)))))),0)</f>
        <v>19</v>
      </c>
      <c r="K2244" s="3">
        <f>I2244-J2244</f>
        <v>3</v>
      </c>
      <c r="L2244" s="3" t="str">
        <f>IF(K2244&lt;-5,"CRÍTICO",IF(K2244&lt;0,"ATENÇÃO",IF(K2244&lt;=5,"BOM","EXCELENTE")))</f>
        <v>BOM</v>
      </c>
      <c r="M2244">
        <v>21</v>
      </c>
      <c r="N2244">
        <v>98.53</v>
      </c>
      <c r="O2244">
        <v>31.578947368421051</v>
      </c>
    </row>
    <row r="2245" spans="1:15" hidden="1" x14ac:dyDescent="0.25">
      <c r="A2245" s="11">
        <v>46071</v>
      </c>
      <c r="B2245" t="s">
        <v>37</v>
      </c>
      <c r="C2245" t="s">
        <v>32</v>
      </c>
      <c r="D2245">
        <v>40</v>
      </c>
      <c r="E2245">
        <v>39</v>
      </c>
      <c r="F2245">
        <v>16.41</v>
      </c>
      <c r="G2245">
        <v>0</v>
      </c>
      <c r="H2245">
        <v>0</v>
      </c>
      <c r="I2245" s="3">
        <f>E2245+G2245+H2245</f>
        <v>39</v>
      </c>
      <c r="J2245" s="3">
        <f>ROUND(MIN(IF(C2245="Técnico III",35,IF(C2245="Técnico II",28,IF(C2245="Técnico I",23,IF(C2245="JR",20,IF(C2245="Estágio",10,0))))),IF(C2245="Técnico III",SUMIFS($D:$D,$A:$A,$A2245,$B:$B,"&lt;&gt;Patrícia Karla de Sousa Araújo",$B:$B,"&lt;&gt;Lorena Dias de Araujo",$B:$B,"&lt;&gt;Lucas Luiz Romero")*(35/1083),IF(C2245="Técnico II",SUMIFS($D:$D,$A:$A,$A2245,$B:$B,"&lt;&gt;Patrícia Karla de Sousa Araújo",$B:$B,"&lt;&gt;Lorena Dias de Araujo",$B:$B,"&lt;&gt;Lucas Luiz Romero")*(28/1083),IF(C2245="Técnico I",SUMIFS($D:$D,$A:$A,$A2245,$B:$B,"&lt;&gt;Patrícia Karla de Sousa Araújo",$B:$B,"&lt;&gt;Lorena Dias de Araujo",$B:$B,"&lt;&gt;Lucas Luiz Romero")*(23/1083),IF(C2245="JR",SUMIFS($D:$D,$A:$A,$A2245,$B:$B,"&lt;&gt;Patrícia Karla de Sousa Araújo",$B:$B,"&lt;&gt;Lorena Dias de Araujo",$B:$B,"&lt;&gt;Lucas Luiz Romero")*(20/1083),IF(C2245="Estágio",SUMIFS($D:$D,$A:$A,$A2245,$B:$B,"&lt;&gt;Patrícia Karla de Sousa Araújo",$B:$B,"&lt;&gt;Lorena Dias de Araujo",$B:$B,"&lt;&gt;Lucas Luiz Romero")*(10/1083),0)))))),0)</f>
        <v>24</v>
      </c>
      <c r="K2245" s="3">
        <f>I2245-J2245</f>
        <v>15</v>
      </c>
      <c r="L2245" s="3" t="str">
        <f>IF(K2245&lt;-5,"CRÍTICO",IF(K2245&lt;0,"ATENÇÃO",IF(K2245&lt;=5,"BOM","EXCELENTE")))</f>
        <v>EXCELENTE</v>
      </c>
      <c r="M2245">
        <v>37</v>
      </c>
      <c r="N2245">
        <v>100</v>
      </c>
      <c r="O2245">
        <v>25.72214580467676</v>
      </c>
    </row>
    <row r="2246" spans="1:15" hidden="1" x14ac:dyDescent="0.25">
      <c r="A2246" s="11">
        <v>46071</v>
      </c>
      <c r="B2246" t="s">
        <v>38</v>
      </c>
      <c r="C2246" t="s">
        <v>32</v>
      </c>
      <c r="D2246">
        <v>29</v>
      </c>
      <c r="E2246">
        <v>26</v>
      </c>
      <c r="F2246">
        <v>14.14</v>
      </c>
      <c r="G2246">
        <v>0</v>
      </c>
      <c r="H2246">
        <v>0</v>
      </c>
      <c r="I2246" s="3">
        <f>E2246+G2246+H2246</f>
        <v>26</v>
      </c>
      <c r="J2246" s="3">
        <f>ROUND(MIN(IF(C2246="Técnico III",35,IF(C2246="Técnico II",28,IF(C2246="Técnico I",23,IF(C2246="JR",20,IF(C2246="Estágio",10,0))))),IF(C2246="Técnico III",SUMIFS($D:$D,$A:$A,$A2246,$B:$B,"&lt;&gt;Patrícia Karla de Sousa Araújo",$B:$B,"&lt;&gt;Lorena Dias de Araujo",$B:$B,"&lt;&gt;Lucas Luiz Romero")*(35/1083),IF(C2246="Técnico II",SUMIFS($D:$D,$A:$A,$A2246,$B:$B,"&lt;&gt;Patrícia Karla de Sousa Araújo",$B:$B,"&lt;&gt;Lorena Dias de Araujo",$B:$B,"&lt;&gt;Lucas Luiz Romero")*(28/1083),IF(C2246="Técnico I",SUMIFS($D:$D,$A:$A,$A2246,$B:$B,"&lt;&gt;Patrícia Karla de Sousa Araújo",$B:$B,"&lt;&gt;Lorena Dias de Araujo",$B:$B,"&lt;&gt;Lucas Luiz Romero")*(23/1083),IF(C2246="JR",SUMIFS($D:$D,$A:$A,$A2246,$B:$B,"&lt;&gt;Patrícia Karla de Sousa Araújo",$B:$B,"&lt;&gt;Lorena Dias de Araujo",$B:$B,"&lt;&gt;Lucas Luiz Romero")*(20/1083),IF(C2246="Estágio",SUMIFS($D:$D,$A:$A,$A2246,$B:$B,"&lt;&gt;Patrícia Karla de Sousa Araújo",$B:$B,"&lt;&gt;Lorena Dias de Araujo",$B:$B,"&lt;&gt;Lucas Luiz Romero")*(10/1083),0)))))),0)</f>
        <v>24</v>
      </c>
      <c r="K2246" s="3">
        <f>I2246-J2246</f>
        <v>2</v>
      </c>
      <c r="L2246" s="3" t="str">
        <f>IF(K2246&lt;-5,"CRÍTICO",IF(K2246&lt;0,"ATENÇÃO",IF(K2246&lt;=5,"BOM","EXCELENTE")))</f>
        <v>BOM</v>
      </c>
      <c r="M2246">
        <v>22</v>
      </c>
      <c r="N2246">
        <v>94.64</v>
      </c>
      <c r="O2246">
        <v>27.52941176470588</v>
      </c>
    </row>
    <row r="2247" spans="1:15" hidden="1" x14ac:dyDescent="0.25">
      <c r="A2247" s="11">
        <v>46071</v>
      </c>
      <c r="B2247" t="s">
        <v>55</v>
      </c>
      <c r="C2247" t="s">
        <v>48</v>
      </c>
      <c r="D2247">
        <v>27</v>
      </c>
      <c r="E2247">
        <v>20</v>
      </c>
      <c r="F2247">
        <v>20.04</v>
      </c>
      <c r="G2247">
        <v>0</v>
      </c>
      <c r="H2247">
        <v>0</v>
      </c>
      <c r="I2247" s="3">
        <f>E2247+G2247+H2247</f>
        <v>20</v>
      </c>
      <c r="J2247" s="3">
        <f>ROUND(MIN(IF(C2247="Técnico III",35,IF(C2247="Técnico II",28,IF(C2247="Técnico I",23,IF(C2247="JR",20,IF(C2247="Estágio",10,0))))),IF(C2247="Técnico III",SUMIFS($D:$D,$A:$A,$A2247,$B:$B,"&lt;&gt;Patrícia Karla de Sousa Araújo",$B:$B,"&lt;&gt;Lorena Dias de Araujo",$B:$B,"&lt;&gt;Lucas Luiz Romero")*(35/1083),IF(C2247="Técnico II",SUMIFS($D:$D,$A:$A,$A2247,$B:$B,"&lt;&gt;Patrícia Karla de Sousa Araújo",$B:$B,"&lt;&gt;Lorena Dias de Araujo",$B:$B,"&lt;&gt;Lucas Luiz Romero")*(28/1083),IF(C2247="Técnico I",SUMIFS($D:$D,$A:$A,$A2247,$B:$B,"&lt;&gt;Patrícia Karla de Sousa Araújo",$B:$B,"&lt;&gt;Lorena Dias de Araujo",$B:$B,"&lt;&gt;Lucas Luiz Romero")*(23/1083),IF(C2247="JR",SUMIFS($D:$D,$A:$A,$A2247,$B:$B,"&lt;&gt;Patrícia Karla de Sousa Araújo",$B:$B,"&lt;&gt;Lorena Dias de Araujo",$B:$B,"&lt;&gt;Lucas Luiz Romero")*(20/1083),IF(C2247="Estágio",SUMIFS($D:$D,$A:$A,$A2247,$B:$B,"&lt;&gt;Patrícia Karla de Sousa Araújo",$B:$B,"&lt;&gt;Lorena Dias de Araujo",$B:$B,"&lt;&gt;Lucas Luiz Romero")*(10/1083),0)))))),0)</f>
        <v>19</v>
      </c>
      <c r="K2247" s="3">
        <f>I2247-J2247</f>
        <v>1</v>
      </c>
      <c r="L2247" s="3" t="str">
        <f>IF(K2247&lt;-5,"CRÍTICO",IF(K2247&lt;0,"ATENÇÃO",IF(K2247&lt;=5,"BOM","EXCELENTE")))</f>
        <v>BOM</v>
      </c>
      <c r="M2247">
        <v>16</v>
      </c>
      <c r="N2247">
        <v>99.07</v>
      </c>
      <c r="O2247">
        <v>26.376811594202898</v>
      </c>
    </row>
    <row r="2248" spans="1:15" hidden="1" x14ac:dyDescent="0.25">
      <c r="A2248" s="11">
        <v>46071</v>
      </c>
      <c r="B2248" t="s">
        <v>39</v>
      </c>
      <c r="C2248" t="s">
        <v>32</v>
      </c>
      <c r="D2248">
        <v>0</v>
      </c>
      <c r="E2248">
        <v>0</v>
      </c>
      <c r="F2248">
        <v>0</v>
      </c>
      <c r="G2248">
        <v>0</v>
      </c>
      <c r="H2248">
        <v>0</v>
      </c>
      <c r="I2248" s="3">
        <v>0</v>
      </c>
      <c r="J2248" s="3">
        <v>0</v>
      </c>
      <c r="K2248" s="3">
        <v>0</v>
      </c>
      <c r="L2248" s="3" t="str">
        <f>IF(K2248&lt;-5,"CRÍTICO",IF(K2248&lt;0,"ATENÇÃO",IF(K2248&lt;=5,"BOM","EXCELENTE")))</f>
        <v>BOM</v>
      </c>
      <c r="M2248">
        <v>0</v>
      </c>
      <c r="N2248">
        <v>100</v>
      </c>
      <c r="O2248">
        <v>0</v>
      </c>
    </row>
    <row r="2249" spans="1:15" hidden="1" x14ac:dyDescent="0.25">
      <c r="A2249" s="11">
        <v>46071</v>
      </c>
      <c r="B2249" t="s">
        <v>25</v>
      </c>
      <c r="C2249" t="s">
        <v>26</v>
      </c>
      <c r="D2249">
        <v>10</v>
      </c>
      <c r="E2249">
        <v>9</v>
      </c>
      <c r="F2249">
        <v>42.14</v>
      </c>
      <c r="G2249">
        <v>0</v>
      </c>
      <c r="H2249">
        <v>0</v>
      </c>
      <c r="I2249" s="3">
        <f>E2249+G2249+H2249</f>
        <v>9</v>
      </c>
      <c r="J2249" s="3">
        <f>ROUND(MIN(IF(C2249="Técnico III",35,IF(C2249="Técnico II",28,IF(C2249="Técnico I",23,IF(C2249="JR",20,IF(C2249="Estágio",10,0))))),IF(C2249="Técnico III",SUMIFS($D:$D,$A:$A,$A2249,$B:$B,"&lt;&gt;Patrícia Karla de Sousa Araújo",$B:$B,"&lt;&gt;Lorena Dias de Araujo",$B:$B,"&lt;&gt;Lucas Luiz Romero")*(35/1083),IF(C2249="Técnico II",SUMIFS($D:$D,$A:$A,$A2249,$B:$B,"&lt;&gt;Patrícia Karla de Sousa Araújo",$B:$B,"&lt;&gt;Lorena Dias de Araujo",$B:$B,"&lt;&gt;Lucas Luiz Romero")*(28/1083),IF(C2249="Técnico I",SUMIFS($D:$D,$A:$A,$A2249,$B:$B,"&lt;&gt;Patrícia Karla de Sousa Araújo",$B:$B,"&lt;&gt;Lorena Dias de Araujo",$B:$B,"&lt;&gt;Lucas Luiz Romero")*(23/1083),IF(C2249="JR",SUMIFS($D:$D,$A:$A,$A2249,$B:$B,"&lt;&gt;Patrícia Karla de Sousa Araújo",$B:$B,"&lt;&gt;Lorena Dias de Araujo",$B:$B,"&lt;&gt;Lucas Luiz Romero")*(20/1083),IF(C2249="Estágio",SUMIFS($D:$D,$A:$A,$A2249,$B:$B,"&lt;&gt;Patrícia Karla de Sousa Araújo",$B:$B,"&lt;&gt;Lorena Dias de Araujo",$B:$B,"&lt;&gt;Lucas Luiz Romero")*(10/1083),0)))))),0)</f>
        <v>14</v>
      </c>
      <c r="K2249" s="3">
        <f>I2249-J2249</f>
        <v>-5</v>
      </c>
      <c r="L2249" s="3" t="str">
        <f>IF(K2249&lt;-5,"CRÍTICO",IF(K2249&lt;0,"ATENÇÃO",IF(K2249&lt;=5,"BOM","EXCELENTE")))</f>
        <v>ATENÇÃO</v>
      </c>
      <c r="M2249">
        <v>7</v>
      </c>
      <c r="N2249">
        <v>98.48</v>
      </c>
      <c r="O2249">
        <v>27.853881278538811</v>
      </c>
    </row>
    <row r="2250" spans="1:15" hidden="1" x14ac:dyDescent="0.25">
      <c r="A2250" s="11">
        <v>46071</v>
      </c>
      <c r="B2250" t="s">
        <v>40</v>
      </c>
      <c r="C2250" t="s">
        <v>32</v>
      </c>
      <c r="D2250">
        <v>16</v>
      </c>
      <c r="E2250">
        <v>16</v>
      </c>
      <c r="F2250">
        <v>30.03</v>
      </c>
      <c r="G2250">
        <v>0</v>
      </c>
      <c r="H2250">
        <v>0</v>
      </c>
      <c r="I2250" s="3">
        <f>E2250+G2250+H2250</f>
        <v>16</v>
      </c>
      <c r="J2250" s="3">
        <f>ROUND(MIN(IF(C2250="Técnico III",35,IF(C2250="Técnico II",28,IF(C2250="Técnico I",23,IF(C2250="JR",20,IF(C2250="Estágio",10,0))))),IF(C2250="Técnico III",SUMIFS($D:$D,$A:$A,$A2250,$B:$B,"&lt;&gt;Patrícia Karla de Sousa Araújo",$B:$B,"&lt;&gt;Lorena Dias de Araujo",$B:$B,"&lt;&gt;Lucas Luiz Romero")*(35/1083),IF(C2250="Técnico II",SUMIFS($D:$D,$A:$A,$A2250,$B:$B,"&lt;&gt;Patrícia Karla de Sousa Araújo",$B:$B,"&lt;&gt;Lorena Dias de Araujo",$B:$B,"&lt;&gt;Lucas Luiz Romero")*(28/1083),IF(C2250="Técnico I",SUMIFS($D:$D,$A:$A,$A2250,$B:$B,"&lt;&gt;Patrícia Karla de Sousa Araújo",$B:$B,"&lt;&gt;Lorena Dias de Araujo",$B:$B,"&lt;&gt;Lucas Luiz Romero")*(23/1083),IF(C2250="JR",SUMIFS($D:$D,$A:$A,$A2250,$B:$B,"&lt;&gt;Patrícia Karla de Sousa Araújo",$B:$B,"&lt;&gt;Lorena Dias de Araujo",$B:$B,"&lt;&gt;Lucas Luiz Romero")*(20/1083),IF(C2250="Estágio",SUMIFS($D:$D,$A:$A,$A2250,$B:$B,"&lt;&gt;Patrícia Karla de Sousa Araújo",$B:$B,"&lt;&gt;Lorena Dias de Araujo",$B:$B,"&lt;&gt;Lucas Luiz Romero")*(10/1083),0)))))),0)</f>
        <v>24</v>
      </c>
      <c r="K2250" s="3">
        <f>I2250-J2250</f>
        <v>-8</v>
      </c>
      <c r="L2250" s="3" t="str">
        <f>IF(K2250&lt;-5,"CRÍTICO",IF(K2250&lt;0,"ATENÇÃO",IF(K2250&lt;=5,"BOM","EXCELENTE")))</f>
        <v>CRÍTICO</v>
      </c>
      <c r="M2250">
        <v>14</v>
      </c>
      <c r="N2250">
        <v>95.15</v>
      </c>
      <c r="O2250">
        <v>34.131736526946113</v>
      </c>
    </row>
    <row r="2251" spans="1:15" hidden="1" x14ac:dyDescent="0.25">
      <c r="A2251" s="11">
        <v>46071</v>
      </c>
      <c r="B2251" t="s">
        <v>27</v>
      </c>
      <c r="C2251" t="s">
        <v>26</v>
      </c>
      <c r="D2251">
        <v>0</v>
      </c>
      <c r="E2251">
        <v>0</v>
      </c>
      <c r="F2251">
        <v>0</v>
      </c>
      <c r="G2251">
        <v>0</v>
      </c>
      <c r="H2251">
        <v>0</v>
      </c>
      <c r="I2251" s="3">
        <v>0</v>
      </c>
      <c r="J2251" s="3">
        <v>0</v>
      </c>
      <c r="K2251" s="3">
        <v>0</v>
      </c>
      <c r="L2251" s="3" t="str">
        <f>IF(K2251&lt;-5,"CRÍTICO",IF(K2251&lt;0,"ATENÇÃO",IF(K2251&lt;=5,"BOM","EXCELENTE")))</f>
        <v>BOM</v>
      </c>
      <c r="M2251">
        <v>0</v>
      </c>
      <c r="N2251">
        <v>0</v>
      </c>
      <c r="O2251">
        <v>0</v>
      </c>
    </row>
    <row r="2252" spans="1:15" hidden="1" x14ac:dyDescent="0.25">
      <c r="A2252" s="11">
        <v>46071</v>
      </c>
      <c r="B2252" t="s">
        <v>41</v>
      </c>
      <c r="C2252" t="s">
        <v>32</v>
      </c>
      <c r="D2252">
        <v>20</v>
      </c>
      <c r="E2252">
        <v>18</v>
      </c>
      <c r="F2252">
        <v>30.28</v>
      </c>
      <c r="G2252">
        <v>0</v>
      </c>
      <c r="H2252">
        <v>0</v>
      </c>
      <c r="I2252" s="3">
        <f>E2252+G2252+H2252</f>
        <v>18</v>
      </c>
      <c r="J2252" s="3">
        <f>ROUND(MIN(IF(C2252="Técnico III",35,IF(C2252="Técnico II",28,IF(C2252="Técnico I",23,IF(C2252="JR",20,IF(C2252="Estágio",10,0))))),IF(C2252="Técnico III",SUMIFS($D:$D,$A:$A,$A2252,$B:$B,"&lt;&gt;Patrícia Karla de Sousa Araújo",$B:$B,"&lt;&gt;Lorena Dias de Araujo",$B:$B,"&lt;&gt;Lucas Luiz Romero")*(35/1083),IF(C2252="Técnico II",SUMIFS($D:$D,$A:$A,$A2252,$B:$B,"&lt;&gt;Patrícia Karla de Sousa Araújo",$B:$B,"&lt;&gt;Lorena Dias de Araujo",$B:$B,"&lt;&gt;Lucas Luiz Romero")*(28/1083),IF(C2252="Técnico I",SUMIFS($D:$D,$A:$A,$A2252,$B:$B,"&lt;&gt;Patrícia Karla de Sousa Araújo",$B:$B,"&lt;&gt;Lorena Dias de Araujo",$B:$B,"&lt;&gt;Lucas Luiz Romero")*(23/1083),IF(C2252="JR",SUMIFS($D:$D,$A:$A,$A2252,$B:$B,"&lt;&gt;Patrícia Karla de Sousa Araújo",$B:$B,"&lt;&gt;Lorena Dias de Araujo",$B:$B,"&lt;&gt;Lucas Luiz Romero")*(20/1083),IF(C2252="Estágio",SUMIFS($D:$D,$A:$A,$A2252,$B:$B,"&lt;&gt;Patrícia Karla de Sousa Araújo",$B:$B,"&lt;&gt;Lorena Dias de Araujo",$B:$B,"&lt;&gt;Lucas Luiz Romero")*(10/1083),0)))))),0)</f>
        <v>24</v>
      </c>
      <c r="K2252" s="3">
        <f>I2252-J2252</f>
        <v>-6</v>
      </c>
      <c r="L2252" s="3" t="str">
        <f>IF(K2252&lt;-5,"CRÍTICO",IF(K2252&lt;0,"ATENÇÃO",IF(K2252&lt;=5,"BOM","EXCELENTE")))</f>
        <v>CRÍTICO</v>
      </c>
      <c r="M2252">
        <v>15</v>
      </c>
      <c r="N2252">
        <v>99.26</v>
      </c>
      <c r="O2252">
        <v>30.84832904884319</v>
      </c>
    </row>
    <row r="2253" spans="1:15" hidden="1" x14ac:dyDescent="0.25">
      <c r="A2253" s="11">
        <v>46071</v>
      </c>
      <c r="B2253" t="s">
        <v>56</v>
      </c>
      <c r="C2253" t="s">
        <v>48</v>
      </c>
      <c r="D2253">
        <v>25</v>
      </c>
      <c r="E2253">
        <v>22</v>
      </c>
      <c r="F2253">
        <v>25.32</v>
      </c>
      <c r="G2253">
        <v>0</v>
      </c>
      <c r="H2253">
        <v>0</v>
      </c>
      <c r="I2253" s="3">
        <f>E2253+G2253+H2253</f>
        <v>22</v>
      </c>
      <c r="J2253" s="3">
        <f>ROUND(MIN(IF(C2253="Técnico III",35,IF(C2253="Técnico II",28,IF(C2253="Técnico I",23,IF(C2253="JR",20,IF(C2253="Estágio",10,0))))),IF(C2253="Técnico III",SUMIFS($D:$D,$A:$A,$A2253,$B:$B,"&lt;&gt;Patrícia Karla de Sousa Araújo",$B:$B,"&lt;&gt;Lorena Dias de Araujo",$B:$B,"&lt;&gt;Lucas Luiz Romero")*(35/1083),IF(C2253="Técnico II",SUMIFS($D:$D,$A:$A,$A2253,$B:$B,"&lt;&gt;Patrícia Karla de Sousa Araújo",$B:$B,"&lt;&gt;Lorena Dias de Araujo",$B:$B,"&lt;&gt;Lucas Luiz Romero")*(28/1083),IF(C2253="Técnico I",SUMIFS($D:$D,$A:$A,$A2253,$B:$B,"&lt;&gt;Patrícia Karla de Sousa Araújo",$B:$B,"&lt;&gt;Lorena Dias de Araujo",$B:$B,"&lt;&gt;Lucas Luiz Romero")*(23/1083),IF(C2253="JR",SUMIFS($D:$D,$A:$A,$A2253,$B:$B,"&lt;&gt;Patrícia Karla de Sousa Araújo",$B:$B,"&lt;&gt;Lorena Dias de Araujo",$B:$B,"&lt;&gt;Lucas Luiz Romero")*(20/1083),IF(C2253="Estágio",SUMIFS($D:$D,$A:$A,$A2253,$B:$B,"&lt;&gt;Patrícia Karla de Sousa Araújo",$B:$B,"&lt;&gt;Lorena Dias de Araujo",$B:$B,"&lt;&gt;Lucas Luiz Romero")*(10/1083),0)))))),0)</f>
        <v>19</v>
      </c>
      <c r="K2253" s="3">
        <f>I2253-J2253</f>
        <v>3</v>
      </c>
      <c r="L2253" s="3" t="str">
        <f>IF(K2253&lt;-5,"CRÍTICO",IF(K2253&lt;0,"ATENÇÃO",IF(K2253&lt;=5,"BOM","EXCELENTE")))</f>
        <v>BOM</v>
      </c>
      <c r="M2253">
        <v>5</v>
      </c>
      <c r="N2253">
        <v>97.48</v>
      </c>
      <c r="O2253">
        <v>27.764705882352938</v>
      </c>
    </row>
    <row r="2254" spans="1:15" hidden="1" x14ac:dyDescent="0.25">
      <c r="A2254" s="11">
        <v>46071</v>
      </c>
      <c r="B2254" t="s">
        <v>57</v>
      </c>
      <c r="C2254" t="s">
        <v>48</v>
      </c>
      <c r="D2254">
        <v>32</v>
      </c>
      <c r="E2254">
        <v>32</v>
      </c>
      <c r="F2254">
        <v>21.45</v>
      </c>
      <c r="G2254">
        <v>0</v>
      </c>
      <c r="H2254">
        <v>0</v>
      </c>
      <c r="I2254" s="3">
        <v>0</v>
      </c>
      <c r="J2254" s="3">
        <v>0</v>
      </c>
      <c r="K2254" s="3">
        <v>0</v>
      </c>
      <c r="L2254" s="3" t="str">
        <f>IF(K2254&lt;-5,"CRÍTICO",IF(K2254&lt;0,"ATENÇÃO",IF(K2254&lt;=5,"BOM","EXCELENTE")))</f>
        <v>BOM</v>
      </c>
      <c r="M2254">
        <v>28</v>
      </c>
      <c r="N2254">
        <v>99.34</v>
      </c>
      <c r="O2254">
        <v>30.04291845493562</v>
      </c>
    </row>
    <row r="2255" spans="1:15" hidden="1" x14ac:dyDescent="0.25">
      <c r="A2255" s="11">
        <v>46071</v>
      </c>
      <c r="B2255" t="s">
        <v>42</v>
      </c>
      <c r="C2255" t="s">
        <v>32</v>
      </c>
      <c r="D2255">
        <v>0</v>
      </c>
      <c r="E2255">
        <v>0</v>
      </c>
      <c r="F2255">
        <v>0</v>
      </c>
      <c r="G2255">
        <v>0</v>
      </c>
      <c r="H2255">
        <v>0</v>
      </c>
      <c r="I2255" s="3">
        <v>0</v>
      </c>
      <c r="J2255" s="3">
        <v>0</v>
      </c>
      <c r="K2255" s="3">
        <v>0</v>
      </c>
      <c r="L2255" s="3" t="str">
        <f>IF(K2255&lt;-5,"CRÍTICO",IF(K2255&lt;0,"ATENÇÃO",IF(K2255&lt;=5,"BOM","EXCELENTE")))</f>
        <v>BOM</v>
      </c>
      <c r="M2255">
        <v>0</v>
      </c>
      <c r="N2255">
        <v>96.3</v>
      </c>
      <c r="O2255">
        <v>24.29378531073446</v>
      </c>
    </row>
    <row r="2256" spans="1:15" hidden="1" x14ac:dyDescent="0.25">
      <c r="A2256" s="11">
        <v>46071</v>
      </c>
      <c r="B2256" t="s">
        <v>62</v>
      </c>
      <c r="C2256" t="s">
        <v>23</v>
      </c>
      <c r="D2256">
        <v>18</v>
      </c>
      <c r="E2256">
        <v>18</v>
      </c>
      <c r="F2256">
        <v>29.08</v>
      </c>
      <c r="G2256">
        <v>0</v>
      </c>
      <c r="H2256">
        <v>0</v>
      </c>
      <c r="I2256" s="3">
        <f>E2256+G2256+H2256</f>
        <v>18</v>
      </c>
      <c r="J2256" s="3">
        <f>ROUND(MIN(IF(C2256="Técnico III",35,IF(C2256="Técnico II",28,IF(C2256="Técnico I",23,IF(C2256="JR",20,IF(C2256="Estágio",10,0))))),IF(C2256="Técnico III",SUMIFS($D:$D,$A:$A,$A2256,$B:$B,"&lt;&gt;Patrícia Karla de Sousa Araújo",$B:$B,"&lt;&gt;Lorena Dias de Araujo",$B:$B,"&lt;&gt;Lucas Luiz Romero")*(35/1083),IF(C2256="Técnico II",SUMIFS($D:$D,$A:$A,$A2256,$B:$B,"&lt;&gt;Patrícia Karla de Sousa Araújo",$B:$B,"&lt;&gt;Lorena Dias de Araujo",$B:$B,"&lt;&gt;Lucas Luiz Romero")*(28/1083),IF(C2256="Técnico I",SUMIFS($D:$D,$A:$A,$A2256,$B:$B,"&lt;&gt;Patrícia Karla de Sousa Araújo",$B:$B,"&lt;&gt;Lorena Dias de Araujo",$B:$B,"&lt;&gt;Lucas Luiz Romero")*(23/1083),IF(C2256="JR",SUMIFS($D:$D,$A:$A,$A2256,$B:$B,"&lt;&gt;Patrícia Karla de Sousa Araújo",$B:$B,"&lt;&gt;Lorena Dias de Araujo",$B:$B,"&lt;&gt;Lucas Luiz Romero")*(20/1083),IF(C2256="Estágio",SUMIFS($D:$D,$A:$A,$A2256,$B:$B,"&lt;&gt;Patrícia Karla de Sousa Araújo",$B:$B,"&lt;&gt;Lorena Dias de Araujo",$B:$B,"&lt;&gt;Lucas Luiz Romero")*(10/1083),0)))))),0)</f>
        <v>16</v>
      </c>
      <c r="K2256" s="3">
        <f>I2256-J2256</f>
        <v>2</v>
      </c>
      <c r="L2256" s="3" t="str">
        <f>IF(K2256&lt;-5,"CRÍTICO",IF(K2256&lt;0,"ATENÇÃO",IF(K2256&lt;=5,"BOM","EXCELENTE")))</f>
        <v>BOM</v>
      </c>
      <c r="M2256">
        <v>16</v>
      </c>
      <c r="N2256">
        <v>100</v>
      </c>
      <c r="O2256">
        <v>26.543209876543209</v>
      </c>
    </row>
    <row r="2257" spans="1:15" hidden="1" x14ac:dyDescent="0.25">
      <c r="A2257" s="11">
        <v>46071</v>
      </c>
      <c r="B2257" t="s">
        <v>19</v>
      </c>
      <c r="C2257" t="s">
        <v>16</v>
      </c>
      <c r="D2257">
        <v>2</v>
      </c>
      <c r="E2257">
        <v>2</v>
      </c>
      <c r="F2257">
        <v>65.209999999999994</v>
      </c>
      <c r="G2257">
        <v>0</v>
      </c>
      <c r="H2257">
        <v>0</v>
      </c>
      <c r="I2257" s="3">
        <f>E2257+G2257+H2257</f>
        <v>2</v>
      </c>
      <c r="J2257" s="3">
        <f>ROUND(MIN(IF(C2257="Técnico III",35,IF(C2257="Técnico II",28,IF(C2257="Técnico I",23,IF(C2257="JR",20,IF(C2257="Estágio",10,0))))),IF(C2257="Técnico III",SUMIFS($D:$D,$A:$A,$A2257,$B:$B,"&lt;&gt;Patrícia Karla de Sousa Araújo",$B:$B,"&lt;&gt;Lorena Dias de Araujo",$B:$B,"&lt;&gt;Lucas Luiz Romero")*(35/1083),IF(C2257="Técnico II",SUMIFS($D:$D,$A:$A,$A2257,$B:$B,"&lt;&gt;Patrícia Karla de Sousa Araújo",$B:$B,"&lt;&gt;Lorena Dias de Araujo",$B:$B,"&lt;&gt;Lucas Luiz Romero")*(28/1083),IF(C2257="Técnico I",SUMIFS($D:$D,$A:$A,$A2257,$B:$B,"&lt;&gt;Patrícia Karla de Sousa Araújo",$B:$B,"&lt;&gt;Lorena Dias de Araujo",$B:$B,"&lt;&gt;Lucas Luiz Romero")*(23/1083),IF(C2257="JR",SUMIFS($D:$D,$A:$A,$A2257,$B:$B,"&lt;&gt;Patrícia Karla de Sousa Araújo",$B:$B,"&lt;&gt;Lorena Dias de Araujo",$B:$B,"&lt;&gt;Lucas Luiz Romero")*(20/1083),IF(C2257="Estágio",SUMIFS($D:$D,$A:$A,$A2257,$B:$B,"&lt;&gt;Patrícia Karla de Sousa Araújo",$B:$B,"&lt;&gt;Lorena Dias de Araujo",$B:$B,"&lt;&gt;Lucas Luiz Romero")*(10/1083),0)))))),0)</f>
        <v>7</v>
      </c>
      <c r="K2257" s="3">
        <f>I2257-J2257</f>
        <v>-5</v>
      </c>
      <c r="L2257" s="3" t="str">
        <f>IF(K2257&lt;-5,"CRÍTICO",IF(K2257&lt;0,"ATENÇÃO",IF(K2257&lt;=5,"BOM","EXCELENTE")))</f>
        <v>ATENÇÃO</v>
      </c>
      <c r="M2257">
        <v>2</v>
      </c>
      <c r="N2257">
        <v>100</v>
      </c>
      <c r="O2257">
        <v>35.483870967741943</v>
      </c>
    </row>
    <row r="2258" spans="1:15" hidden="1" x14ac:dyDescent="0.25">
      <c r="A2258" s="11">
        <v>46071</v>
      </c>
      <c r="B2258" t="s">
        <v>43</v>
      </c>
      <c r="C2258" t="s">
        <v>32</v>
      </c>
      <c r="D2258">
        <v>29</v>
      </c>
      <c r="E2258">
        <v>28</v>
      </c>
      <c r="F2258">
        <v>20.02</v>
      </c>
      <c r="G2258">
        <v>0</v>
      </c>
      <c r="H2258">
        <v>0</v>
      </c>
      <c r="I2258" s="3">
        <f>E2258+G2258+H2258</f>
        <v>28</v>
      </c>
      <c r="J2258" s="3">
        <f>ROUND(MIN(IF(C2258="Técnico III",35,IF(C2258="Técnico II",28,IF(C2258="Técnico I",23,IF(C2258="JR",20,IF(C2258="Estágio",10,0))))),IF(C2258="Técnico III",SUMIFS($D:$D,$A:$A,$A2258,$B:$B,"&lt;&gt;Patrícia Karla de Sousa Araújo",$B:$B,"&lt;&gt;Lorena Dias de Araujo",$B:$B,"&lt;&gt;Lucas Luiz Romero")*(35/1083),IF(C2258="Técnico II",SUMIFS($D:$D,$A:$A,$A2258,$B:$B,"&lt;&gt;Patrícia Karla de Sousa Araújo",$B:$B,"&lt;&gt;Lorena Dias de Araujo",$B:$B,"&lt;&gt;Lucas Luiz Romero")*(28/1083),IF(C2258="Técnico I",SUMIFS($D:$D,$A:$A,$A2258,$B:$B,"&lt;&gt;Patrícia Karla de Sousa Araújo",$B:$B,"&lt;&gt;Lorena Dias de Araujo",$B:$B,"&lt;&gt;Lucas Luiz Romero")*(23/1083),IF(C2258="JR",SUMIFS($D:$D,$A:$A,$A2258,$B:$B,"&lt;&gt;Patrícia Karla de Sousa Araújo",$B:$B,"&lt;&gt;Lorena Dias de Araujo",$B:$B,"&lt;&gt;Lucas Luiz Romero")*(20/1083),IF(C2258="Estágio",SUMIFS($D:$D,$A:$A,$A2258,$B:$B,"&lt;&gt;Patrícia Karla de Sousa Araújo",$B:$B,"&lt;&gt;Lorena Dias de Araujo",$B:$B,"&lt;&gt;Lucas Luiz Romero")*(10/1083),0)))))),0)</f>
        <v>24</v>
      </c>
      <c r="K2258" s="3">
        <f>I2258-J2258</f>
        <v>4</v>
      </c>
      <c r="L2258" s="3" t="str">
        <f>IF(K2258&lt;-5,"CRÍTICO",IF(K2258&lt;0,"ATENÇÃO",IF(K2258&lt;=5,"BOM","EXCELENTE")))</f>
        <v>BOM</v>
      </c>
      <c r="M2258">
        <v>25</v>
      </c>
      <c r="N2258">
        <v>99.27</v>
      </c>
      <c r="O2258">
        <v>31.163708086785011</v>
      </c>
    </row>
    <row r="2259" spans="1:15" hidden="1" x14ac:dyDescent="0.25">
      <c r="A2259" s="11">
        <v>46071</v>
      </c>
      <c r="B2259" t="s">
        <v>44</v>
      </c>
      <c r="C2259" t="s">
        <v>32</v>
      </c>
      <c r="D2259">
        <v>40</v>
      </c>
      <c r="E2259">
        <v>35</v>
      </c>
      <c r="F2259">
        <v>15.13</v>
      </c>
      <c r="G2259">
        <v>0</v>
      </c>
      <c r="H2259">
        <v>0</v>
      </c>
      <c r="I2259" s="3">
        <f>E2259+G2259+H2259</f>
        <v>35</v>
      </c>
      <c r="J2259" s="3">
        <f>ROUND(MIN(IF(C2259="Técnico III",35,IF(C2259="Técnico II",28,IF(C2259="Técnico I",23,IF(C2259="JR",20,IF(C2259="Estágio",10,0))))),IF(C2259="Técnico III",SUMIFS($D:$D,$A:$A,$A2259,$B:$B,"&lt;&gt;Patrícia Karla de Sousa Araújo",$B:$B,"&lt;&gt;Lorena Dias de Araujo",$B:$B,"&lt;&gt;Lucas Luiz Romero")*(35/1083),IF(C2259="Técnico II",SUMIFS($D:$D,$A:$A,$A2259,$B:$B,"&lt;&gt;Patrícia Karla de Sousa Araújo",$B:$B,"&lt;&gt;Lorena Dias de Araujo",$B:$B,"&lt;&gt;Lucas Luiz Romero")*(28/1083),IF(C2259="Técnico I",SUMIFS($D:$D,$A:$A,$A2259,$B:$B,"&lt;&gt;Patrícia Karla de Sousa Araújo",$B:$B,"&lt;&gt;Lorena Dias de Araujo",$B:$B,"&lt;&gt;Lucas Luiz Romero")*(23/1083),IF(C2259="JR",SUMIFS($D:$D,$A:$A,$A2259,$B:$B,"&lt;&gt;Patrícia Karla de Sousa Araújo",$B:$B,"&lt;&gt;Lorena Dias de Araujo",$B:$B,"&lt;&gt;Lucas Luiz Romero")*(20/1083),IF(C2259="Estágio",SUMIFS($D:$D,$A:$A,$A2259,$B:$B,"&lt;&gt;Patrícia Karla de Sousa Araújo",$B:$B,"&lt;&gt;Lorena Dias de Araujo",$B:$B,"&lt;&gt;Lucas Luiz Romero")*(10/1083),0)))))),0)</f>
        <v>24</v>
      </c>
      <c r="K2259" s="3">
        <f>I2259-J2259</f>
        <v>11</v>
      </c>
      <c r="L2259" s="3" t="str">
        <f>IF(K2259&lt;-5,"CRÍTICO",IF(K2259&lt;0,"ATENÇÃO",IF(K2259&lt;=5,"BOM","EXCELENTE")))</f>
        <v>EXCELENTE</v>
      </c>
      <c r="M2259">
        <v>26</v>
      </c>
      <c r="N2259">
        <v>94.16</v>
      </c>
      <c r="O2259">
        <v>27.038626609442058</v>
      </c>
    </row>
    <row r="2260" spans="1:15" hidden="1" x14ac:dyDescent="0.25">
      <c r="A2260" s="11">
        <v>46071</v>
      </c>
      <c r="B2260" t="s">
        <v>20</v>
      </c>
      <c r="C2260" t="s">
        <v>16</v>
      </c>
      <c r="D2260">
        <v>6</v>
      </c>
      <c r="E2260">
        <v>6</v>
      </c>
      <c r="F2260">
        <v>166.4</v>
      </c>
      <c r="G2260">
        <v>0</v>
      </c>
      <c r="H2260">
        <v>0</v>
      </c>
      <c r="I2260" s="3">
        <f>E2260+G2260+H2260</f>
        <v>6</v>
      </c>
      <c r="J2260" s="3">
        <f>ROUND(MIN(IF(C2260="Técnico III",35,IF(C2260="Técnico II",28,IF(C2260="Técnico I",23,IF(C2260="JR",20,IF(C2260="Estágio",10,0))))),IF(C2260="Técnico III",SUMIFS($D:$D,$A:$A,$A2260,$B:$B,"&lt;&gt;Patrícia Karla de Sousa Araújo",$B:$B,"&lt;&gt;Lorena Dias de Araujo",$B:$B,"&lt;&gt;Lucas Luiz Romero")*(35/1083),IF(C2260="Técnico II",SUMIFS($D:$D,$A:$A,$A2260,$B:$B,"&lt;&gt;Patrícia Karla de Sousa Araújo",$B:$B,"&lt;&gt;Lorena Dias de Araujo",$B:$B,"&lt;&gt;Lucas Luiz Romero")*(28/1083),IF(C2260="Técnico I",SUMIFS($D:$D,$A:$A,$A2260,$B:$B,"&lt;&gt;Patrícia Karla de Sousa Araújo",$B:$B,"&lt;&gt;Lorena Dias de Araujo",$B:$B,"&lt;&gt;Lucas Luiz Romero")*(23/1083),IF(C2260="JR",SUMIFS($D:$D,$A:$A,$A2260,$B:$B,"&lt;&gt;Patrícia Karla de Sousa Araújo",$B:$B,"&lt;&gt;Lorena Dias de Araujo",$B:$B,"&lt;&gt;Lucas Luiz Romero")*(20/1083),IF(C2260="Estágio",SUMIFS($D:$D,$A:$A,$A2260,$B:$B,"&lt;&gt;Patrícia Karla de Sousa Araújo",$B:$B,"&lt;&gt;Lorena Dias de Araujo",$B:$B,"&lt;&gt;Lucas Luiz Romero")*(10/1083),0)))))),0)</f>
        <v>7</v>
      </c>
      <c r="K2260" s="3">
        <f>I2260-J2260</f>
        <v>-1</v>
      </c>
      <c r="L2260" s="3" t="str">
        <f>IF(K2260&lt;-5,"CRÍTICO",IF(K2260&lt;0,"ATENÇÃO",IF(K2260&lt;=5,"BOM","EXCELENTE")))</f>
        <v>ATENÇÃO</v>
      </c>
      <c r="M2260">
        <v>4</v>
      </c>
      <c r="N2260">
        <v>93.75</v>
      </c>
      <c r="O2260">
        <v>19.31818181818182</v>
      </c>
    </row>
    <row r="2261" spans="1:15" hidden="1" x14ac:dyDescent="0.25">
      <c r="A2261" s="11">
        <v>46071</v>
      </c>
      <c r="B2261" t="s">
        <v>28</v>
      </c>
      <c r="C2261" t="s">
        <v>26</v>
      </c>
      <c r="D2261">
        <v>0</v>
      </c>
      <c r="E2261">
        <v>0</v>
      </c>
      <c r="F2261">
        <v>0</v>
      </c>
      <c r="G2261">
        <v>0</v>
      </c>
      <c r="H2261">
        <v>0</v>
      </c>
      <c r="I2261" s="3">
        <v>0</v>
      </c>
      <c r="J2261" s="3">
        <v>0</v>
      </c>
      <c r="K2261" s="3">
        <v>0</v>
      </c>
      <c r="L2261" s="3" t="str">
        <f>IF(K2261&lt;-5,"CRÍTICO",IF(K2261&lt;0,"ATENÇÃO",IF(K2261&lt;=5,"BOM","EXCELENTE")))</f>
        <v>BOM</v>
      </c>
      <c r="M2261">
        <v>0</v>
      </c>
      <c r="N2261">
        <v>0</v>
      </c>
      <c r="O2261">
        <v>0</v>
      </c>
    </row>
    <row r="2262" spans="1:15" hidden="1" x14ac:dyDescent="0.25">
      <c r="A2262" s="11">
        <v>46071</v>
      </c>
      <c r="B2262" t="s">
        <v>58</v>
      </c>
      <c r="C2262" t="s">
        <v>48</v>
      </c>
      <c r="D2262">
        <v>0</v>
      </c>
      <c r="E2262">
        <v>0</v>
      </c>
      <c r="F2262">
        <v>0</v>
      </c>
      <c r="G2262">
        <v>0</v>
      </c>
      <c r="H2262">
        <v>0</v>
      </c>
      <c r="I2262" s="3">
        <v>0</v>
      </c>
      <c r="J2262" s="3">
        <v>0</v>
      </c>
      <c r="K2262" s="3">
        <v>0</v>
      </c>
      <c r="L2262" s="3" t="str">
        <f>IF(K2262&lt;-5,"CRÍTICO",IF(K2262&lt;0,"ATENÇÃO",IF(K2262&lt;=5,"BOM","EXCELENTE")))</f>
        <v>BOM</v>
      </c>
      <c r="M2262">
        <v>0</v>
      </c>
      <c r="N2262">
        <v>97.92</v>
      </c>
      <c r="O2262">
        <v>32.87671232876712</v>
      </c>
    </row>
    <row r="2263" spans="1:15" hidden="1" x14ac:dyDescent="0.25">
      <c r="A2263" s="11">
        <v>46071</v>
      </c>
      <c r="B2263" t="s">
        <v>29</v>
      </c>
      <c r="C2263" t="s">
        <v>26</v>
      </c>
      <c r="D2263">
        <v>0</v>
      </c>
      <c r="E2263">
        <v>0</v>
      </c>
      <c r="F2263">
        <v>0</v>
      </c>
      <c r="G2263">
        <v>0</v>
      </c>
      <c r="H2263">
        <v>0</v>
      </c>
      <c r="I2263" s="3">
        <v>0</v>
      </c>
      <c r="J2263" s="3">
        <v>0</v>
      </c>
      <c r="K2263" s="3">
        <v>0</v>
      </c>
      <c r="L2263" s="3" t="str">
        <f>IF(K2263&lt;-5,"CRÍTICO",IF(K2263&lt;0,"ATENÇÃO",IF(K2263&lt;=5,"BOM","EXCELENTE")))</f>
        <v>BOM</v>
      </c>
      <c r="M2263">
        <v>0</v>
      </c>
      <c r="N2263">
        <v>0</v>
      </c>
      <c r="O2263">
        <v>0</v>
      </c>
    </row>
    <row r="2264" spans="1:15" hidden="1" x14ac:dyDescent="0.25">
      <c r="A2264" s="11">
        <v>46071</v>
      </c>
      <c r="B2264" t="s">
        <v>30</v>
      </c>
      <c r="C2264" t="s">
        <v>26</v>
      </c>
      <c r="D2264">
        <v>0</v>
      </c>
      <c r="E2264">
        <v>0</v>
      </c>
      <c r="F2264">
        <v>0</v>
      </c>
      <c r="G2264">
        <v>0</v>
      </c>
      <c r="H2264">
        <v>0</v>
      </c>
      <c r="I2264" s="3">
        <v>0</v>
      </c>
      <c r="J2264" s="3">
        <v>0</v>
      </c>
      <c r="K2264" s="3">
        <v>0</v>
      </c>
      <c r="L2264" s="3" t="str">
        <f>IF(K2264&lt;-5,"CRÍTICO",IF(K2264&lt;0,"ATENÇÃO",IF(K2264&lt;=5,"BOM","EXCELENTE")))</f>
        <v>BOM</v>
      </c>
      <c r="M2264">
        <v>0</v>
      </c>
      <c r="N2264">
        <v>0</v>
      </c>
      <c r="O2264">
        <v>0</v>
      </c>
    </row>
    <row r="2265" spans="1:15" hidden="1" x14ac:dyDescent="0.25">
      <c r="A2265" s="11">
        <v>46071</v>
      </c>
      <c r="B2265" t="s">
        <v>21</v>
      </c>
      <c r="C2265" t="s">
        <v>16</v>
      </c>
      <c r="D2265">
        <v>0</v>
      </c>
      <c r="E2265">
        <v>0</v>
      </c>
      <c r="F2265">
        <v>0</v>
      </c>
      <c r="G2265">
        <v>0</v>
      </c>
      <c r="H2265">
        <v>0</v>
      </c>
      <c r="I2265" s="3">
        <v>0</v>
      </c>
      <c r="J2265" s="3">
        <v>0</v>
      </c>
      <c r="K2265" s="3">
        <v>0</v>
      </c>
      <c r="L2265" s="3" t="str">
        <f>IF(K2265&lt;-5,"CRÍTICO",IF(K2265&lt;0,"ATENÇÃO",IF(K2265&lt;=5,"BOM","EXCELENTE")))</f>
        <v>BOM</v>
      </c>
      <c r="M2265">
        <v>0</v>
      </c>
      <c r="N2265">
        <v>0</v>
      </c>
      <c r="O2265">
        <v>0</v>
      </c>
    </row>
    <row r="2266" spans="1:15" hidden="1" x14ac:dyDescent="0.25">
      <c r="A2266" s="11">
        <v>46071</v>
      </c>
      <c r="B2266" t="s">
        <v>63</v>
      </c>
      <c r="C2266" t="s">
        <v>23</v>
      </c>
      <c r="D2266">
        <v>34</v>
      </c>
      <c r="E2266">
        <v>34</v>
      </c>
      <c r="F2266">
        <v>19.14</v>
      </c>
      <c r="G2266">
        <v>0</v>
      </c>
      <c r="H2266">
        <v>0</v>
      </c>
      <c r="I2266" s="3">
        <f>E2266+G2266+H2266</f>
        <v>34</v>
      </c>
      <c r="J2266" s="3">
        <f>ROUND(MIN(IF(C2266="Técnico III",35,IF(C2266="Técnico II",28,IF(C2266="Técnico I",23,IF(C2266="JR",20,IF(C2266="Estágio",10,0))))),IF(C2266="Técnico III",SUMIFS($D:$D,$A:$A,$A2266,$B:$B,"&lt;&gt;Patrícia Karla de Sousa Araújo",$B:$B,"&lt;&gt;Lorena Dias de Araujo",$B:$B,"&lt;&gt;Lucas Luiz Romero")*(35/1083),IF(C2266="Técnico II",SUMIFS($D:$D,$A:$A,$A2266,$B:$B,"&lt;&gt;Patrícia Karla de Sousa Araújo",$B:$B,"&lt;&gt;Lorena Dias de Araujo",$B:$B,"&lt;&gt;Lucas Luiz Romero")*(28/1083),IF(C2266="Técnico I",SUMIFS($D:$D,$A:$A,$A2266,$B:$B,"&lt;&gt;Patrícia Karla de Sousa Araújo",$B:$B,"&lt;&gt;Lorena Dias de Araujo",$B:$B,"&lt;&gt;Lucas Luiz Romero")*(23/1083),IF(C2266="JR",SUMIFS($D:$D,$A:$A,$A2266,$B:$B,"&lt;&gt;Patrícia Karla de Sousa Araújo",$B:$B,"&lt;&gt;Lorena Dias de Araujo",$B:$B,"&lt;&gt;Lucas Luiz Romero")*(20/1083),IF(C2266="Estágio",SUMIFS($D:$D,$A:$A,$A2266,$B:$B,"&lt;&gt;Patrícia Karla de Sousa Araújo",$B:$B,"&lt;&gt;Lorena Dias de Araujo",$B:$B,"&lt;&gt;Lucas Luiz Romero")*(10/1083),0)))))),0)</f>
        <v>16</v>
      </c>
      <c r="K2266" s="3">
        <f>I2266-J2266</f>
        <v>18</v>
      </c>
      <c r="L2266" s="3" t="str">
        <f>IF(K2266&lt;-5,"CRÍTICO",IF(K2266&lt;0,"ATENÇÃO",IF(K2266&lt;=5,"BOM","EXCELENTE")))</f>
        <v>EXCELENTE</v>
      </c>
      <c r="M2266">
        <v>27</v>
      </c>
      <c r="N2266">
        <v>98.51</v>
      </c>
      <c r="O2266">
        <v>29.710144927536231</v>
      </c>
    </row>
    <row r="2267" spans="1:15" hidden="1" x14ac:dyDescent="0.25">
      <c r="A2267" s="11">
        <v>46071</v>
      </c>
      <c r="B2267" t="s">
        <v>45</v>
      </c>
      <c r="C2267" t="s">
        <v>32</v>
      </c>
      <c r="D2267">
        <v>43</v>
      </c>
      <c r="E2267">
        <v>41</v>
      </c>
      <c r="F2267">
        <v>18.46</v>
      </c>
      <c r="G2267">
        <v>0</v>
      </c>
      <c r="H2267">
        <v>0</v>
      </c>
      <c r="I2267" s="3">
        <f>E2267+G2267+H2267</f>
        <v>41</v>
      </c>
      <c r="J2267" s="3">
        <f>ROUND(MIN(IF(C2267="Técnico III",35,IF(C2267="Técnico II",28,IF(C2267="Técnico I",23,IF(C2267="JR",20,IF(C2267="Estágio",10,0))))),IF(C2267="Técnico III",SUMIFS($D:$D,$A:$A,$A2267,$B:$B,"&lt;&gt;Patrícia Karla de Sousa Araújo",$B:$B,"&lt;&gt;Lorena Dias de Araujo",$B:$B,"&lt;&gt;Lucas Luiz Romero")*(35/1083),IF(C2267="Técnico II",SUMIFS($D:$D,$A:$A,$A2267,$B:$B,"&lt;&gt;Patrícia Karla de Sousa Araújo",$B:$B,"&lt;&gt;Lorena Dias de Araujo",$B:$B,"&lt;&gt;Lucas Luiz Romero")*(28/1083),IF(C2267="Técnico I",SUMIFS($D:$D,$A:$A,$A2267,$B:$B,"&lt;&gt;Patrícia Karla de Sousa Araújo",$B:$B,"&lt;&gt;Lorena Dias de Araujo",$B:$B,"&lt;&gt;Lucas Luiz Romero")*(23/1083),IF(C2267="JR",SUMIFS($D:$D,$A:$A,$A2267,$B:$B,"&lt;&gt;Patrícia Karla de Sousa Araújo",$B:$B,"&lt;&gt;Lorena Dias de Araujo",$B:$B,"&lt;&gt;Lucas Luiz Romero")*(20/1083),IF(C2267="Estágio",SUMIFS($D:$D,$A:$A,$A2267,$B:$B,"&lt;&gt;Patrícia Karla de Sousa Araújo",$B:$B,"&lt;&gt;Lorena Dias de Araujo",$B:$B,"&lt;&gt;Lucas Luiz Romero")*(10/1083),0)))))),0)</f>
        <v>24</v>
      </c>
      <c r="K2267" s="3">
        <f>I2267-J2267</f>
        <v>17</v>
      </c>
      <c r="L2267" s="3" t="str">
        <f>IF(K2267&lt;-5,"CRÍTICO",IF(K2267&lt;0,"ATENÇÃO",IF(K2267&lt;=5,"BOM","EXCELENTE")))</f>
        <v>EXCELENTE</v>
      </c>
      <c r="M2267">
        <v>36</v>
      </c>
      <c r="N2267">
        <v>98.81</v>
      </c>
      <c r="O2267">
        <v>30.712979890310791</v>
      </c>
    </row>
    <row r="2268" spans="1:15" hidden="1" x14ac:dyDescent="0.25">
      <c r="A2268" s="11">
        <v>46071</v>
      </c>
      <c r="B2268" t="s">
        <v>64</v>
      </c>
      <c r="C2268" t="s">
        <v>23</v>
      </c>
      <c r="D2268">
        <v>10</v>
      </c>
      <c r="E2268">
        <v>10</v>
      </c>
      <c r="F2268">
        <v>68.569999999999993</v>
      </c>
      <c r="G2268">
        <v>0</v>
      </c>
      <c r="H2268">
        <v>0</v>
      </c>
      <c r="I2268" s="3">
        <f>E2268+G2268+H2268</f>
        <v>10</v>
      </c>
      <c r="J2268" s="3">
        <f>ROUND(MIN(IF(C2268="Técnico III",35,IF(C2268="Técnico II",28,IF(C2268="Técnico I",23,IF(C2268="JR",20,IF(C2268="Estágio",10,0))))),IF(C2268="Técnico III",SUMIFS($D:$D,$A:$A,$A2268,$B:$B,"&lt;&gt;Patrícia Karla de Sousa Araújo",$B:$B,"&lt;&gt;Lorena Dias de Araujo",$B:$B,"&lt;&gt;Lucas Luiz Romero")*(35/1083),IF(C2268="Técnico II",SUMIFS($D:$D,$A:$A,$A2268,$B:$B,"&lt;&gt;Patrícia Karla de Sousa Araújo",$B:$B,"&lt;&gt;Lorena Dias de Araujo",$B:$B,"&lt;&gt;Lucas Luiz Romero")*(28/1083),IF(C2268="Técnico I",SUMIFS($D:$D,$A:$A,$A2268,$B:$B,"&lt;&gt;Patrícia Karla de Sousa Araújo",$B:$B,"&lt;&gt;Lorena Dias de Araujo",$B:$B,"&lt;&gt;Lucas Luiz Romero")*(23/1083),IF(C2268="JR",SUMIFS($D:$D,$A:$A,$A2268,$B:$B,"&lt;&gt;Patrícia Karla de Sousa Araújo",$B:$B,"&lt;&gt;Lorena Dias de Araujo",$B:$B,"&lt;&gt;Lucas Luiz Romero")*(20/1083),IF(C2268="Estágio",SUMIFS($D:$D,$A:$A,$A2268,$B:$B,"&lt;&gt;Patrícia Karla de Sousa Araújo",$B:$B,"&lt;&gt;Lorena Dias de Araujo",$B:$B,"&lt;&gt;Lucas Luiz Romero")*(10/1083),0)))))),0)</f>
        <v>16</v>
      </c>
      <c r="K2268" s="3">
        <f>I2268-J2268</f>
        <v>-6</v>
      </c>
      <c r="L2268" s="3" t="str">
        <f>IF(K2268&lt;-5,"CRÍTICO",IF(K2268&lt;0,"ATENÇÃO",IF(K2268&lt;=5,"BOM","EXCELENTE")))</f>
        <v>CRÍTICO</v>
      </c>
      <c r="M2268">
        <v>8</v>
      </c>
      <c r="N2268">
        <v>98.48</v>
      </c>
      <c r="O2268">
        <v>29.35323383084577</v>
      </c>
    </row>
    <row r="2269" spans="1:15" hidden="1" x14ac:dyDescent="0.25">
      <c r="A2269" s="11">
        <v>46071</v>
      </c>
      <c r="B2269" t="s">
        <v>46</v>
      </c>
      <c r="C2269" t="s">
        <v>32</v>
      </c>
      <c r="D2269">
        <v>28</v>
      </c>
      <c r="E2269">
        <v>26</v>
      </c>
      <c r="F2269">
        <v>17.079999999999998</v>
      </c>
      <c r="G2269">
        <v>0</v>
      </c>
      <c r="H2269">
        <v>0</v>
      </c>
      <c r="I2269" s="3">
        <f>E2269+G2269+H2269</f>
        <v>26</v>
      </c>
      <c r="J2269" s="3">
        <f>ROUND(MIN(IF(C2269="Técnico III",35,IF(C2269="Técnico II",28,IF(C2269="Técnico I",23,IF(C2269="JR",20,IF(C2269="Estágio",10,0))))),IF(C2269="Técnico III",SUMIFS($D:$D,$A:$A,$A2269,$B:$B,"&lt;&gt;Patrícia Karla de Sousa Araújo",$B:$B,"&lt;&gt;Lorena Dias de Araujo",$B:$B,"&lt;&gt;Lucas Luiz Romero")*(35/1083),IF(C2269="Técnico II",SUMIFS($D:$D,$A:$A,$A2269,$B:$B,"&lt;&gt;Patrícia Karla de Sousa Araújo",$B:$B,"&lt;&gt;Lorena Dias de Araujo",$B:$B,"&lt;&gt;Lucas Luiz Romero")*(28/1083),IF(C2269="Técnico I",SUMIFS($D:$D,$A:$A,$A2269,$B:$B,"&lt;&gt;Patrícia Karla de Sousa Araújo",$B:$B,"&lt;&gt;Lorena Dias de Araujo",$B:$B,"&lt;&gt;Lucas Luiz Romero")*(23/1083),IF(C2269="JR",SUMIFS($D:$D,$A:$A,$A2269,$B:$B,"&lt;&gt;Patrícia Karla de Sousa Araújo",$B:$B,"&lt;&gt;Lorena Dias de Araujo",$B:$B,"&lt;&gt;Lucas Luiz Romero")*(20/1083),IF(C2269="Estágio",SUMIFS($D:$D,$A:$A,$A2269,$B:$B,"&lt;&gt;Patrícia Karla de Sousa Araújo",$B:$B,"&lt;&gt;Lorena Dias de Araujo",$B:$B,"&lt;&gt;Lucas Luiz Romero")*(10/1083),0)))))),0)</f>
        <v>24</v>
      </c>
      <c r="K2269" s="3">
        <f>I2269-J2269</f>
        <v>2</v>
      </c>
      <c r="L2269" s="3" t="str">
        <f>IF(K2269&lt;-5,"CRÍTICO",IF(K2269&lt;0,"ATENÇÃO",IF(K2269&lt;=5,"BOM","EXCELENTE")))</f>
        <v>BOM</v>
      </c>
      <c r="M2269">
        <v>24</v>
      </c>
      <c r="N2269">
        <v>98.56</v>
      </c>
      <c r="O2269">
        <v>29.373650107991359</v>
      </c>
    </row>
    <row r="2270" spans="1:15" hidden="1" x14ac:dyDescent="0.25">
      <c r="A2270" s="11">
        <v>46072</v>
      </c>
      <c r="B2270" t="s">
        <v>47</v>
      </c>
      <c r="C2270" t="s">
        <v>48</v>
      </c>
      <c r="D2270">
        <v>18</v>
      </c>
      <c r="E2270">
        <v>15</v>
      </c>
      <c r="F2270">
        <v>28.36</v>
      </c>
      <c r="G2270">
        <v>0</v>
      </c>
      <c r="H2270">
        <v>0</v>
      </c>
      <c r="I2270" s="3">
        <f>E2270+G2270+H2270</f>
        <v>15</v>
      </c>
      <c r="J2270" s="3">
        <f>ROUND(MIN(IF(C2270="Técnico III",35,IF(C2270="Técnico II",28,IF(C2270="Técnico I",23,IF(C2270="JR",20,IF(C2270="Estágio",10,0))))),IF(C2270="Técnico III",SUMIFS($D:$D,$A:$A,$A2270,$B:$B,"&lt;&gt;Patrícia Karla de Sousa Araújo",$B:$B,"&lt;&gt;Lorena Dias de Araujo",$B:$B,"&lt;&gt;Lucas Luiz Romero")*(35/1083),IF(C2270="Técnico II",SUMIFS($D:$D,$A:$A,$A2270,$B:$B,"&lt;&gt;Patrícia Karla de Sousa Araújo",$B:$B,"&lt;&gt;Lorena Dias de Araujo",$B:$B,"&lt;&gt;Lucas Luiz Romero")*(28/1083),IF(C2270="Técnico I",SUMIFS($D:$D,$A:$A,$A2270,$B:$B,"&lt;&gt;Patrícia Karla de Sousa Araújo",$B:$B,"&lt;&gt;Lorena Dias de Araujo",$B:$B,"&lt;&gt;Lucas Luiz Romero")*(23/1083),IF(C2270="JR",SUMIFS($D:$D,$A:$A,$A2270,$B:$B,"&lt;&gt;Patrícia Karla de Sousa Araújo",$B:$B,"&lt;&gt;Lorena Dias de Araujo",$B:$B,"&lt;&gt;Lucas Luiz Romero")*(20/1083),IF(C2270="Estágio",SUMIFS($D:$D,$A:$A,$A2270,$B:$B,"&lt;&gt;Patrícia Karla de Sousa Araújo",$B:$B,"&lt;&gt;Lorena Dias de Araujo",$B:$B,"&lt;&gt;Lucas Luiz Romero")*(10/1083),0)))))),0)</f>
        <v>18</v>
      </c>
      <c r="K2270" s="3">
        <f>I2270-J2270</f>
        <v>-3</v>
      </c>
      <c r="L2270" s="3" t="str">
        <f>IF(K2270&lt;-5,"CRÍTICO",IF(K2270&lt;0,"ATENÇÃO",IF(K2270&lt;=5,"BOM","EXCELENTE")))</f>
        <v>ATENÇÃO</v>
      </c>
      <c r="M2270">
        <v>12</v>
      </c>
      <c r="N2270">
        <v>98.32</v>
      </c>
      <c r="O2270">
        <v>30.303030303030301</v>
      </c>
    </row>
    <row r="2271" spans="1:15" hidden="1" x14ac:dyDescent="0.25">
      <c r="A2271" s="11">
        <v>46072</v>
      </c>
      <c r="B2271" t="s">
        <v>31</v>
      </c>
      <c r="C2271" t="s">
        <v>32</v>
      </c>
      <c r="D2271">
        <v>0</v>
      </c>
      <c r="E2271">
        <v>0</v>
      </c>
      <c r="F2271">
        <v>0</v>
      </c>
      <c r="G2271">
        <v>0</v>
      </c>
      <c r="H2271">
        <v>0</v>
      </c>
      <c r="I2271" s="3">
        <v>0</v>
      </c>
      <c r="J2271" s="3">
        <v>0</v>
      </c>
      <c r="K2271" s="3">
        <v>0</v>
      </c>
      <c r="L2271" s="3" t="str">
        <f>IF(K2271&lt;-5,"CRÍTICO",IF(K2271&lt;0,"ATENÇÃO",IF(K2271&lt;=5,"BOM","EXCELENTE")))</f>
        <v>BOM</v>
      </c>
      <c r="M2271">
        <v>21</v>
      </c>
      <c r="N2271">
        <v>98.68</v>
      </c>
      <c r="O2271">
        <v>26.219512195121951</v>
      </c>
    </row>
    <row r="2272" spans="1:15" hidden="1" x14ac:dyDescent="0.25">
      <c r="A2272" s="11">
        <v>46072</v>
      </c>
      <c r="B2272" t="s">
        <v>59</v>
      </c>
      <c r="C2272" t="s">
        <v>23</v>
      </c>
      <c r="D2272">
        <v>14</v>
      </c>
      <c r="E2272">
        <v>14</v>
      </c>
      <c r="F2272">
        <v>52.3</v>
      </c>
      <c r="G2272">
        <v>0</v>
      </c>
      <c r="H2272">
        <v>0</v>
      </c>
      <c r="I2272" s="3">
        <f>E2272+G2272+H2272</f>
        <v>14</v>
      </c>
      <c r="J2272" s="3">
        <f>ROUND(MIN(IF(C2272="Técnico III",35,IF(C2272="Técnico II",28,IF(C2272="Técnico I",23,IF(C2272="JR",20,IF(C2272="Estágio",10,0))))),IF(C2272="Técnico III",SUMIFS($D:$D,$A:$A,$A2272,$B:$B,"&lt;&gt;Patrícia Karla de Sousa Araújo",$B:$B,"&lt;&gt;Lorena Dias de Araujo",$B:$B,"&lt;&gt;Lucas Luiz Romero")*(35/1083),IF(C2272="Técnico II",SUMIFS($D:$D,$A:$A,$A2272,$B:$B,"&lt;&gt;Patrícia Karla de Sousa Araújo",$B:$B,"&lt;&gt;Lorena Dias de Araujo",$B:$B,"&lt;&gt;Lucas Luiz Romero")*(28/1083),IF(C2272="Técnico I",SUMIFS($D:$D,$A:$A,$A2272,$B:$B,"&lt;&gt;Patrícia Karla de Sousa Araújo",$B:$B,"&lt;&gt;Lorena Dias de Araujo",$B:$B,"&lt;&gt;Lucas Luiz Romero")*(23/1083),IF(C2272="JR",SUMIFS($D:$D,$A:$A,$A2272,$B:$B,"&lt;&gt;Patrícia Karla de Sousa Araújo",$B:$B,"&lt;&gt;Lorena Dias de Araujo",$B:$B,"&lt;&gt;Lucas Luiz Romero")*(20/1083),IF(C2272="Estágio",SUMIFS($D:$D,$A:$A,$A2272,$B:$B,"&lt;&gt;Patrícia Karla de Sousa Araújo",$B:$B,"&lt;&gt;Lorena Dias de Araujo",$B:$B,"&lt;&gt;Lucas Luiz Romero")*(10/1083),0)))))),0)</f>
        <v>15</v>
      </c>
      <c r="K2272" s="3">
        <f>I2272-J2272</f>
        <v>-1</v>
      </c>
      <c r="L2272" s="3" t="str">
        <f>IF(K2272&lt;-5,"CRÍTICO",IF(K2272&lt;0,"ATENÇÃO",IF(K2272&lt;=5,"BOM","EXCELENTE")))</f>
        <v>ATENÇÃO</v>
      </c>
      <c r="M2272">
        <v>14</v>
      </c>
      <c r="N2272">
        <v>100</v>
      </c>
      <c r="O2272">
        <v>31.74224343675418</v>
      </c>
    </row>
    <row r="2273" spans="1:15" hidden="1" x14ac:dyDescent="0.25">
      <c r="A2273" s="11">
        <v>46072</v>
      </c>
      <c r="B2273" t="s">
        <v>33</v>
      </c>
      <c r="C2273" t="s">
        <v>32</v>
      </c>
      <c r="D2273">
        <v>30</v>
      </c>
      <c r="E2273">
        <v>28</v>
      </c>
      <c r="F2273">
        <v>25.44</v>
      </c>
      <c r="G2273">
        <v>0</v>
      </c>
      <c r="H2273">
        <v>0</v>
      </c>
      <c r="I2273" s="3">
        <f>E2273+G2273+H2273</f>
        <v>28</v>
      </c>
      <c r="J2273" s="3">
        <f>ROUND(MIN(IF(C2273="Técnico III",35,IF(C2273="Técnico II",28,IF(C2273="Técnico I",23,IF(C2273="JR",20,IF(C2273="Estágio",10,0))))),IF(C2273="Técnico III",SUMIFS($D:$D,$A:$A,$A2273,$B:$B,"&lt;&gt;Patrícia Karla de Sousa Araújo",$B:$B,"&lt;&gt;Lorena Dias de Araujo",$B:$B,"&lt;&gt;Lucas Luiz Romero")*(35/1083),IF(C2273="Técnico II",SUMIFS($D:$D,$A:$A,$A2273,$B:$B,"&lt;&gt;Patrícia Karla de Sousa Araújo",$B:$B,"&lt;&gt;Lorena Dias de Araujo",$B:$B,"&lt;&gt;Lucas Luiz Romero")*(28/1083),IF(C2273="Técnico I",SUMIFS($D:$D,$A:$A,$A2273,$B:$B,"&lt;&gt;Patrícia Karla de Sousa Araújo",$B:$B,"&lt;&gt;Lorena Dias de Araujo",$B:$B,"&lt;&gt;Lucas Luiz Romero")*(23/1083),IF(C2273="JR",SUMIFS($D:$D,$A:$A,$A2273,$B:$B,"&lt;&gt;Patrícia Karla de Sousa Araújo",$B:$B,"&lt;&gt;Lorena Dias de Araujo",$B:$B,"&lt;&gt;Lucas Luiz Romero")*(20/1083),IF(C2273="Estágio",SUMIFS($D:$D,$A:$A,$A2273,$B:$B,"&lt;&gt;Patrícia Karla de Sousa Araújo",$B:$B,"&lt;&gt;Lorena Dias de Araujo",$B:$B,"&lt;&gt;Lucas Luiz Romero")*(10/1083),0)))))),0)</f>
        <v>23</v>
      </c>
      <c r="K2273" s="3">
        <f>I2273-J2273</f>
        <v>5</v>
      </c>
      <c r="L2273" s="3" t="str">
        <f>IF(K2273&lt;-5,"CRÍTICO",IF(K2273&lt;0,"ATENÇÃO",IF(K2273&lt;=5,"BOM","EXCELENTE")))</f>
        <v>BOM</v>
      </c>
      <c r="M2273">
        <v>31</v>
      </c>
      <c r="N2273">
        <v>98.25</v>
      </c>
      <c r="O2273">
        <v>25.83518930957684</v>
      </c>
    </row>
    <row r="2274" spans="1:15" hidden="1" x14ac:dyDescent="0.25">
      <c r="A2274" s="11">
        <v>46072</v>
      </c>
      <c r="B2274" t="s">
        <v>15</v>
      </c>
      <c r="C2274" t="s">
        <v>16</v>
      </c>
      <c r="D2274">
        <v>5</v>
      </c>
      <c r="E2274">
        <v>4</v>
      </c>
      <c r="F2274">
        <v>83.41</v>
      </c>
      <c r="G2274">
        <v>0</v>
      </c>
      <c r="H2274">
        <v>0</v>
      </c>
      <c r="I2274" s="3">
        <f>E2274+G2274+H2274</f>
        <v>4</v>
      </c>
      <c r="J2274" s="3">
        <f>ROUND(MIN(IF(C2274="Técnico III",35,IF(C2274="Técnico II",28,IF(C2274="Técnico I",23,IF(C2274="JR",20,IF(C2274="Estágio",10,0))))),IF(C2274="Técnico III",SUMIFS($D:$D,$A:$A,$A2274,$B:$B,"&lt;&gt;Patrícia Karla de Sousa Araújo",$B:$B,"&lt;&gt;Lorena Dias de Araujo",$B:$B,"&lt;&gt;Lucas Luiz Romero")*(35/1083),IF(C2274="Técnico II",SUMIFS($D:$D,$A:$A,$A2274,$B:$B,"&lt;&gt;Patrícia Karla de Sousa Araújo",$B:$B,"&lt;&gt;Lorena Dias de Araujo",$B:$B,"&lt;&gt;Lucas Luiz Romero")*(28/1083),IF(C2274="Técnico I",SUMIFS($D:$D,$A:$A,$A2274,$B:$B,"&lt;&gt;Patrícia Karla de Sousa Araújo",$B:$B,"&lt;&gt;Lorena Dias de Araujo",$B:$B,"&lt;&gt;Lucas Luiz Romero")*(23/1083),IF(C2274="JR",SUMIFS($D:$D,$A:$A,$A2274,$B:$B,"&lt;&gt;Patrícia Karla de Sousa Araújo",$B:$B,"&lt;&gt;Lorena Dias de Araujo",$B:$B,"&lt;&gt;Lucas Luiz Romero")*(20/1083),IF(C2274="Estágio",SUMIFS($D:$D,$A:$A,$A2274,$B:$B,"&lt;&gt;Patrícia Karla de Sousa Araújo",$B:$B,"&lt;&gt;Lorena Dias de Araujo",$B:$B,"&lt;&gt;Lucas Luiz Romero")*(10/1083),0)))))),0)</f>
        <v>6</v>
      </c>
      <c r="K2274" s="3">
        <f>I2274-J2274</f>
        <v>-2</v>
      </c>
      <c r="L2274" s="3" t="str">
        <f>IF(K2274&lt;-5,"CRÍTICO",IF(K2274&lt;0,"ATENÇÃO",IF(K2274&lt;=5,"BOM","EXCELENTE")))</f>
        <v>ATENÇÃO</v>
      </c>
      <c r="M2274">
        <v>5</v>
      </c>
      <c r="N2274">
        <v>97.5</v>
      </c>
      <c r="O2274">
        <v>30.075187969924809</v>
      </c>
    </row>
    <row r="2275" spans="1:15" hidden="1" x14ac:dyDescent="0.25">
      <c r="A2275" s="11">
        <v>46072</v>
      </c>
      <c r="B2275" t="s">
        <v>49</v>
      </c>
      <c r="C2275" t="s">
        <v>48</v>
      </c>
      <c r="D2275">
        <v>28</v>
      </c>
      <c r="E2275">
        <v>23</v>
      </c>
      <c r="F2275">
        <v>18.54</v>
      </c>
      <c r="G2275">
        <v>0</v>
      </c>
      <c r="H2275">
        <v>0</v>
      </c>
      <c r="I2275" s="3">
        <f>E2275+G2275+H2275</f>
        <v>23</v>
      </c>
      <c r="J2275" s="3">
        <f>ROUND(MIN(IF(C2275="Técnico III",35,IF(C2275="Técnico II",28,IF(C2275="Técnico I",23,IF(C2275="JR",20,IF(C2275="Estágio",10,0))))),IF(C2275="Técnico III",SUMIFS($D:$D,$A:$A,$A2275,$B:$B,"&lt;&gt;Patrícia Karla de Sousa Araújo",$B:$B,"&lt;&gt;Lorena Dias de Araujo",$B:$B,"&lt;&gt;Lucas Luiz Romero")*(35/1083),IF(C2275="Técnico II",SUMIFS($D:$D,$A:$A,$A2275,$B:$B,"&lt;&gt;Patrícia Karla de Sousa Araújo",$B:$B,"&lt;&gt;Lorena Dias de Araujo",$B:$B,"&lt;&gt;Lucas Luiz Romero")*(28/1083),IF(C2275="Técnico I",SUMIFS($D:$D,$A:$A,$A2275,$B:$B,"&lt;&gt;Patrícia Karla de Sousa Araújo",$B:$B,"&lt;&gt;Lorena Dias de Araujo",$B:$B,"&lt;&gt;Lucas Luiz Romero")*(23/1083),IF(C2275="JR",SUMIFS($D:$D,$A:$A,$A2275,$B:$B,"&lt;&gt;Patrícia Karla de Sousa Araújo",$B:$B,"&lt;&gt;Lorena Dias de Araujo",$B:$B,"&lt;&gt;Lucas Luiz Romero")*(20/1083),IF(C2275="Estágio",SUMIFS($D:$D,$A:$A,$A2275,$B:$B,"&lt;&gt;Patrícia Karla de Sousa Araújo",$B:$B,"&lt;&gt;Lorena Dias de Araujo",$B:$B,"&lt;&gt;Lucas Luiz Romero")*(10/1083),0)))))),0)</f>
        <v>18</v>
      </c>
      <c r="K2275" s="3">
        <f>I2275-J2275</f>
        <v>5</v>
      </c>
      <c r="L2275" s="3" t="str">
        <f>IF(K2275&lt;-5,"CRÍTICO",IF(K2275&lt;0,"ATENÇÃO",IF(K2275&lt;=5,"BOM","EXCELENTE")))</f>
        <v>BOM</v>
      </c>
      <c r="M2275">
        <v>25</v>
      </c>
      <c r="N2275">
        <v>100</v>
      </c>
      <c r="O2275">
        <v>29.71311475409836</v>
      </c>
    </row>
    <row r="2276" spans="1:15" hidden="1" x14ac:dyDescent="0.25">
      <c r="A2276" s="11">
        <v>46072</v>
      </c>
      <c r="B2276" t="s">
        <v>50</v>
      </c>
      <c r="C2276" t="s">
        <v>48</v>
      </c>
      <c r="D2276">
        <v>11</v>
      </c>
      <c r="E2276">
        <v>11</v>
      </c>
      <c r="F2276">
        <v>38.36</v>
      </c>
      <c r="G2276">
        <v>0</v>
      </c>
      <c r="H2276">
        <v>0</v>
      </c>
      <c r="I2276" s="3">
        <f>E2276+G2276+H2276</f>
        <v>11</v>
      </c>
      <c r="J2276" s="3">
        <f>ROUND(MIN(IF(C2276="Técnico III",35,IF(C2276="Técnico II",28,IF(C2276="Técnico I",23,IF(C2276="JR",20,IF(C2276="Estágio",10,0))))),IF(C2276="Técnico III",SUMIFS($D:$D,$A:$A,$A2276,$B:$B,"&lt;&gt;Patrícia Karla de Sousa Araújo",$B:$B,"&lt;&gt;Lorena Dias de Araujo",$B:$B,"&lt;&gt;Lucas Luiz Romero")*(35/1083),IF(C2276="Técnico II",SUMIFS($D:$D,$A:$A,$A2276,$B:$B,"&lt;&gt;Patrícia Karla de Sousa Araújo",$B:$B,"&lt;&gt;Lorena Dias de Araujo",$B:$B,"&lt;&gt;Lucas Luiz Romero")*(28/1083),IF(C2276="Técnico I",SUMIFS($D:$D,$A:$A,$A2276,$B:$B,"&lt;&gt;Patrícia Karla de Sousa Araújo",$B:$B,"&lt;&gt;Lorena Dias de Araujo",$B:$B,"&lt;&gt;Lucas Luiz Romero")*(23/1083),IF(C2276="JR",SUMIFS($D:$D,$A:$A,$A2276,$B:$B,"&lt;&gt;Patrícia Karla de Sousa Araújo",$B:$B,"&lt;&gt;Lorena Dias de Araujo",$B:$B,"&lt;&gt;Lucas Luiz Romero")*(20/1083),IF(C2276="Estágio",SUMIFS($D:$D,$A:$A,$A2276,$B:$B,"&lt;&gt;Patrícia Karla de Sousa Araújo",$B:$B,"&lt;&gt;Lorena Dias de Araujo",$B:$B,"&lt;&gt;Lucas Luiz Romero")*(10/1083),0)))))),0)</f>
        <v>18</v>
      </c>
      <c r="K2276" s="3">
        <f>I2276-J2276</f>
        <v>-7</v>
      </c>
      <c r="L2276" s="3" t="str">
        <f>IF(K2276&lt;-5,"CRÍTICO",IF(K2276&lt;0,"ATENÇÃO",IF(K2276&lt;=5,"BOM","EXCELENTE")))</f>
        <v>CRÍTICO</v>
      </c>
      <c r="M2276">
        <v>11</v>
      </c>
      <c r="N2276">
        <v>99.22</v>
      </c>
      <c r="O2276">
        <v>35.256410256410263</v>
      </c>
    </row>
    <row r="2277" spans="1:15" hidden="1" x14ac:dyDescent="0.25">
      <c r="A2277" s="11">
        <v>46072</v>
      </c>
      <c r="B2277" t="s">
        <v>17</v>
      </c>
      <c r="C2277" t="s">
        <v>16</v>
      </c>
      <c r="D2277">
        <v>0</v>
      </c>
      <c r="E2277">
        <v>0</v>
      </c>
      <c r="F2277">
        <v>0</v>
      </c>
      <c r="G2277">
        <v>0</v>
      </c>
      <c r="H2277">
        <v>0</v>
      </c>
      <c r="I2277" s="3">
        <v>0</v>
      </c>
      <c r="J2277" s="3">
        <v>0</v>
      </c>
      <c r="K2277" s="3">
        <v>0</v>
      </c>
      <c r="L2277" s="3" t="str">
        <f>IF(K2277&lt;-5,"CRÍTICO",IF(K2277&lt;0,"ATENÇÃO",IF(K2277&lt;=5,"BOM","EXCELENTE")))</f>
        <v>BOM</v>
      </c>
      <c r="M2277">
        <v>0</v>
      </c>
      <c r="N2277">
        <v>0</v>
      </c>
      <c r="O2277">
        <v>0</v>
      </c>
    </row>
    <row r="2278" spans="1:15" hidden="1" x14ac:dyDescent="0.25">
      <c r="A2278" s="11">
        <v>46072</v>
      </c>
      <c r="B2278" t="s">
        <v>60</v>
      </c>
      <c r="C2278" t="s">
        <v>23</v>
      </c>
      <c r="D2278">
        <v>21</v>
      </c>
      <c r="E2278">
        <v>18</v>
      </c>
      <c r="F2278">
        <v>22.18</v>
      </c>
      <c r="G2278">
        <v>0</v>
      </c>
      <c r="H2278">
        <v>0</v>
      </c>
      <c r="I2278" s="3">
        <f>E2278+G2278+H2278</f>
        <v>18</v>
      </c>
      <c r="J2278" s="3">
        <f>ROUND(MIN(IF(C2278="Técnico III",35,IF(C2278="Técnico II",28,IF(C2278="Técnico I",23,IF(C2278="JR",20,IF(C2278="Estágio",10,0))))),IF(C2278="Técnico III",SUMIFS($D:$D,$A:$A,$A2278,$B:$B,"&lt;&gt;Patrícia Karla de Sousa Araújo",$B:$B,"&lt;&gt;Lorena Dias de Araujo",$B:$B,"&lt;&gt;Lucas Luiz Romero")*(35/1083),IF(C2278="Técnico II",SUMIFS($D:$D,$A:$A,$A2278,$B:$B,"&lt;&gt;Patrícia Karla de Sousa Araújo",$B:$B,"&lt;&gt;Lorena Dias de Araujo",$B:$B,"&lt;&gt;Lucas Luiz Romero")*(28/1083),IF(C2278="Técnico I",SUMIFS($D:$D,$A:$A,$A2278,$B:$B,"&lt;&gt;Patrícia Karla de Sousa Araújo",$B:$B,"&lt;&gt;Lorena Dias de Araujo",$B:$B,"&lt;&gt;Lucas Luiz Romero")*(23/1083),IF(C2278="JR",SUMIFS($D:$D,$A:$A,$A2278,$B:$B,"&lt;&gt;Patrícia Karla de Sousa Araújo",$B:$B,"&lt;&gt;Lorena Dias de Araujo",$B:$B,"&lt;&gt;Lucas Luiz Romero")*(20/1083),IF(C2278="Estágio",SUMIFS($D:$D,$A:$A,$A2278,$B:$B,"&lt;&gt;Patrícia Karla de Sousa Araújo",$B:$B,"&lt;&gt;Lorena Dias de Araujo",$B:$B,"&lt;&gt;Lucas Luiz Romero")*(10/1083),0)))))),0)</f>
        <v>15</v>
      </c>
      <c r="K2278" s="3">
        <f>I2278-J2278</f>
        <v>3</v>
      </c>
      <c r="L2278" s="3" t="str">
        <f>IF(K2278&lt;-5,"CRÍTICO",IF(K2278&lt;0,"ATENÇÃO",IF(K2278&lt;=5,"BOM","EXCELENTE")))</f>
        <v>BOM</v>
      </c>
      <c r="M2278">
        <v>16</v>
      </c>
      <c r="N2278">
        <v>98.75</v>
      </c>
      <c r="O2278">
        <v>24.32432432432433</v>
      </c>
    </row>
    <row r="2279" spans="1:15" hidden="1" x14ac:dyDescent="0.25">
      <c r="A2279" s="11">
        <v>46072</v>
      </c>
      <c r="B2279" t="s">
        <v>34</v>
      </c>
      <c r="C2279" t="s">
        <v>32</v>
      </c>
      <c r="D2279">
        <v>42</v>
      </c>
      <c r="E2279">
        <v>40</v>
      </c>
      <c r="F2279">
        <v>13.28</v>
      </c>
      <c r="G2279">
        <v>0</v>
      </c>
      <c r="H2279">
        <v>0</v>
      </c>
      <c r="I2279" s="3">
        <f>E2279+G2279+H2279</f>
        <v>40</v>
      </c>
      <c r="J2279" s="3">
        <f>ROUND(MIN(IF(C2279="Técnico III",35,IF(C2279="Técnico II",28,IF(C2279="Técnico I",23,IF(C2279="JR",20,IF(C2279="Estágio",10,0))))),IF(C2279="Técnico III",SUMIFS($D:$D,$A:$A,$A2279,$B:$B,"&lt;&gt;Patrícia Karla de Sousa Araújo",$B:$B,"&lt;&gt;Lorena Dias de Araujo",$B:$B,"&lt;&gt;Lucas Luiz Romero")*(35/1083),IF(C2279="Técnico II",SUMIFS($D:$D,$A:$A,$A2279,$B:$B,"&lt;&gt;Patrícia Karla de Sousa Araújo",$B:$B,"&lt;&gt;Lorena Dias de Araujo",$B:$B,"&lt;&gt;Lucas Luiz Romero")*(28/1083),IF(C2279="Técnico I",SUMIFS($D:$D,$A:$A,$A2279,$B:$B,"&lt;&gt;Patrícia Karla de Sousa Araújo",$B:$B,"&lt;&gt;Lorena Dias de Araujo",$B:$B,"&lt;&gt;Lucas Luiz Romero")*(23/1083),IF(C2279="JR",SUMIFS($D:$D,$A:$A,$A2279,$B:$B,"&lt;&gt;Patrícia Karla de Sousa Araújo",$B:$B,"&lt;&gt;Lorena Dias de Araujo",$B:$B,"&lt;&gt;Lucas Luiz Romero")*(20/1083),IF(C2279="Estágio",SUMIFS($D:$D,$A:$A,$A2279,$B:$B,"&lt;&gt;Patrícia Karla de Sousa Araújo",$B:$B,"&lt;&gt;Lorena Dias de Araujo",$B:$B,"&lt;&gt;Lucas Luiz Romero")*(10/1083),0)))))),0)</f>
        <v>23</v>
      </c>
      <c r="K2279" s="3">
        <f>I2279-J2279</f>
        <v>17</v>
      </c>
      <c r="L2279" s="3" t="str">
        <f>IF(K2279&lt;-5,"CRÍTICO",IF(K2279&lt;0,"ATENÇÃO",IF(K2279&lt;=5,"BOM","EXCELENTE")))</f>
        <v>EXCELENTE</v>
      </c>
      <c r="M2279">
        <v>31</v>
      </c>
      <c r="N2279">
        <v>93.48</v>
      </c>
      <c r="O2279">
        <v>31.52804642166344</v>
      </c>
    </row>
    <row r="2280" spans="1:15" hidden="1" x14ac:dyDescent="0.25">
      <c r="A2280" s="11">
        <v>46072</v>
      </c>
      <c r="B2280" t="s">
        <v>51</v>
      </c>
      <c r="C2280" t="s">
        <v>48</v>
      </c>
      <c r="D2280">
        <v>35</v>
      </c>
      <c r="E2280">
        <v>30</v>
      </c>
      <c r="F2280">
        <v>22.16</v>
      </c>
      <c r="G2280">
        <v>0</v>
      </c>
      <c r="H2280">
        <v>0</v>
      </c>
      <c r="I2280" s="3">
        <v>0</v>
      </c>
      <c r="J2280" s="3">
        <v>0</v>
      </c>
      <c r="K2280" s="3">
        <v>0</v>
      </c>
      <c r="L2280" s="3" t="str">
        <f>IF(K2280&lt;-5,"CRÍTICO",IF(K2280&lt;0,"ATENÇÃO",IF(K2280&lt;=5,"BOM","EXCELENTE")))</f>
        <v>BOM</v>
      </c>
      <c r="M2280">
        <v>27</v>
      </c>
      <c r="N2280">
        <v>99.16</v>
      </c>
      <c r="O2280">
        <v>26.13908872901678</v>
      </c>
    </row>
    <row r="2281" spans="1:15" hidden="1" x14ac:dyDescent="0.25">
      <c r="A2281" s="11">
        <v>46072</v>
      </c>
      <c r="B2281" t="s">
        <v>61</v>
      </c>
      <c r="C2281" t="s">
        <v>23</v>
      </c>
      <c r="D2281">
        <v>13</v>
      </c>
      <c r="E2281">
        <v>13</v>
      </c>
      <c r="F2281">
        <v>47.1</v>
      </c>
      <c r="G2281">
        <v>0</v>
      </c>
      <c r="H2281">
        <v>0</v>
      </c>
      <c r="I2281" s="3">
        <f>E2281+G2281+H2281</f>
        <v>13</v>
      </c>
      <c r="J2281" s="3">
        <f>ROUND(MIN(IF(C2281="Técnico III",35,IF(C2281="Técnico II",28,IF(C2281="Técnico I",23,IF(C2281="JR",20,IF(C2281="Estágio",10,0))))),IF(C2281="Técnico III",SUMIFS($D:$D,$A:$A,$A2281,$B:$B,"&lt;&gt;Patrícia Karla de Sousa Araújo",$B:$B,"&lt;&gt;Lorena Dias de Araujo",$B:$B,"&lt;&gt;Lucas Luiz Romero")*(35/1083),IF(C2281="Técnico II",SUMIFS($D:$D,$A:$A,$A2281,$B:$B,"&lt;&gt;Patrícia Karla de Sousa Araújo",$B:$B,"&lt;&gt;Lorena Dias de Araujo",$B:$B,"&lt;&gt;Lucas Luiz Romero")*(28/1083),IF(C2281="Técnico I",SUMIFS($D:$D,$A:$A,$A2281,$B:$B,"&lt;&gt;Patrícia Karla de Sousa Araújo",$B:$B,"&lt;&gt;Lorena Dias de Araujo",$B:$B,"&lt;&gt;Lucas Luiz Romero")*(23/1083),IF(C2281="JR",SUMIFS($D:$D,$A:$A,$A2281,$B:$B,"&lt;&gt;Patrícia Karla de Sousa Araújo",$B:$B,"&lt;&gt;Lorena Dias de Araujo",$B:$B,"&lt;&gt;Lucas Luiz Romero")*(20/1083),IF(C2281="Estágio",SUMIFS($D:$D,$A:$A,$A2281,$B:$B,"&lt;&gt;Patrícia Karla de Sousa Araújo",$B:$B,"&lt;&gt;Lorena Dias de Araujo",$B:$B,"&lt;&gt;Lucas Luiz Romero")*(10/1083),0)))))),0)</f>
        <v>15</v>
      </c>
      <c r="K2281" s="3">
        <f>I2281-J2281</f>
        <v>-2</v>
      </c>
      <c r="L2281" s="3" t="str">
        <f>IF(K2281&lt;-5,"CRÍTICO",IF(K2281&lt;0,"ATENÇÃO",IF(K2281&lt;=5,"BOM","EXCELENTE")))</f>
        <v>ATENÇÃO</v>
      </c>
      <c r="M2281">
        <v>13</v>
      </c>
      <c r="N2281">
        <v>100</v>
      </c>
      <c r="O2281">
        <v>31.089743589743591</v>
      </c>
    </row>
    <row r="2282" spans="1:15" hidden="1" x14ac:dyDescent="0.25">
      <c r="A2282" s="11">
        <v>46072</v>
      </c>
      <c r="B2282" t="s">
        <v>35</v>
      </c>
      <c r="C2282" t="s">
        <v>32</v>
      </c>
      <c r="D2282">
        <v>23</v>
      </c>
      <c r="E2282">
        <v>23</v>
      </c>
      <c r="F2282">
        <v>35.42</v>
      </c>
      <c r="G2282">
        <v>0</v>
      </c>
      <c r="H2282">
        <v>0</v>
      </c>
      <c r="I2282" s="3">
        <v>0</v>
      </c>
      <c r="J2282" s="3">
        <v>0</v>
      </c>
      <c r="K2282" s="3">
        <v>0</v>
      </c>
      <c r="L2282" s="3" t="str">
        <f>IF(K2282&lt;-5,"CRÍTICO",IF(K2282&lt;0,"ATENÇÃO",IF(K2282&lt;=5,"BOM","EXCELENTE")))</f>
        <v>BOM</v>
      </c>
      <c r="M2282">
        <v>24</v>
      </c>
      <c r="N2282">
        <v>98.11</v>
      </c>
      <c r="O2282">
        <v>33.033707865168537</v>
      </c>
    </row>
    <row r="2283" spans="1:15" hidden="1" x14ac:dyDescent="0.25">
      <c r="A2283" s="11">
        <v>46072</v>
      </c>
      <c r="B2283" t="s">
        <v>18</v>
      </c>
      <c r="C2283" t="s">
        <v>16</v>
      </c>
      <c r="D2283">
        <v>10</v>
      </c>
      <c r="E2283">
        <v>9</v>
      </c>
      <c r="F2283">
        <v>33.51</v>
      </c>
      <c r="G2283">
        <v>0</v>
      </c>
      <c r="H2283">
        <v>0</v>
      </c>
      <c r="I2283" s="3">
        <f>E2283+G2283+H2283</f>
        <v>9</v>
      </c>
      <c r="J2283" s="3">
        <f>ROUND(MIN(IF(C2283="Técnico III",35,IF(C2283="Técnico II",28,IF(C2283="Técnico I",23,IF(C2283="JR",20,IF(C2283="Estágio",10,0))))),IF(C2283="Técnico III",SUMIFS($D:$D,$A:$A,$A2283,$B:$B,"&lt;&gt;Patrícia Karla de Sousa Araújo",$B:$B,"&lt;&gt;Lorena Dias de Araujo",$B:$B,"&lt;&gt;Lucas Luiz Romero")*(35/1083),IF(C2283="Técnico II",SUMIFS($D:$D,$A:$A,$A2283,$B:$B,"&lt;&gt;Patrícia Karla de Sousa Araújo",$B:$B,"&lt;&gt;Lorena Dias de Araujo",$B:$B,"&lt;&gt;Lucas Luiz Romero")*(28/1083),IF(C2283="Técnico I",SUMIFS($D:$D,$A:$A,$A2283,$B:$B,"&lt;&gt;Patrícia Karla de Sousa Araújo",$B:$B,"&lt;&gt;Lorena Dias de Araujo",$B:$B,"&lt;&gt;Lucas Luiz Romero")*(23/1083),IF(C2283="JR",SUMIFS($D:$D,$A:$A,$A2283,$B:$B,"&lt;&gt;Patrícia Karla de Sousa Araújo",$B:$B,"&lt;&gt;Lorena Dias de Araujo",$B:$B,"&lt;&gt;Lucas Luiz Romero")*(20/1083),IF(C2283="Estágio",SUMIFS($D:$D,$A:$A,$A2283,$B:$B,"&lt;&gt;Patrícia Karla de Sousa Araújo",$B:$B,"&lt;&gt;Lorena Dias de Araujo",$B:$B,"&lt;&gt;Lucas Luiz Romero")*(10/1083),0)))))),0)</f>
        <v>6</v>
      </c>
      <c r="K2283" s="3">
        <f>I2283-J2283</f>
        <v>3</v>
      </c>
      <c r="L2283" s="3" t="str">
        <f>IF(K2283&lt;-5,"CRÍTICO",IF(K2283&lt;0,"ATENÇÃO",IF(K2283&lt;=5,"BOM","EXCELENTE")))</f>
        <v>BOM</v>
      </c>
      <c r="M2283">
        <v>4</v>
      </c>
      <c r="N2283">
        <v>78.95</v>
      </c>
      <c r="O2283">
        <v>38.983050847457633</v>
      </c>
    </row>
    <row r="2284" spans="1:15" hidden="1" x14ac:dyDescent="0.25">
      <c r="A2284" s="11">
        <v>46072</v>
      </c>
      <c r="B2284" t="s">
        <v>52</v>
      </c>
      <c r="C2284" t="s">
        <v>48</v>
      </c>
      <c r="D2284">
        <v>16</v>
      </c>
      <c r="E2284">
        <v>15</v>
      </c>
      <c r="F2284">
        <v>22.25</v>
      </c>
      <c r="G2284">
        <v>0</v>
      </c>
      <c r="H2284">
        <v>0</v>
      </c>
      <c r="I2284" s="3">
        <f>E2284+G2284+H2284</f>
        <v>15</v>
      </c>
      <c r="J2284" s="3">
        <f>ROUND(MIN(IF(C2284="Técnico III",35,IF(C2284="Técnico II",28,IF(C2284="Técnico I",23,IF(C2284="JR",20,IF(C2284="Estágio",10,0))))),IF(C2284="Técnico III",SUMIFS($D:$D,$A:$A,$A2284,$B:$B,"&lt;&gt;Patrícia Karla de Sousa Araújo",$B:$B,"&lt;&gt;Lorena Dias de Araujo",$B:$B,"&lt;&gt;Lucas Luiz Romero")*(35/1083),IF(C2284="Técnico II",SUMIFS($D:$D,$A:$A,$A2284,$B:$B,"&lt;&gt;Patrícia Karla de Sousa Araújo",$B:$B,"&lt;&gt;Lorena Dias de Araujo",$B:$B,"&lt;&gt;Lucas Luiz Romero")*(28/1083),IF(C2284="Técnico I",SUMIFS($D:$D,$A:$A,$A2284,$B:$B,"&lt;&gt;Patrícia Karla de Sousa Araújo",$B:$B,"&lt;&gt;Lorena Dias de Araujo",$B:$B,"&lt;&gt;Lucas Luiz Romero")*(23/1083),IF(C2284="JR",SUMIFS($D:$D,$A:$A,$A2284,$B:$B,"&lt;&gt;Patrícia Karla de Sousa Araújo",$B:$B,"&lt;&gt;Lorena Dias de Araujo",$B:$B,"&lt;&gt;Lucas Luiz Romero")*(20/1083),IF(C2284="Estágio",SUMIFS($D:$D,$A:$A,$A2284,$B:$B,"&lt;&gt;Patrícia Karla de Sousa Araújo",$B:$B,"&lt;&gt;Lorena Dias de Araujo",$B:$B,"&lt;&gt;Lucas Luiz Romero")*(10/1083),0)))))),0)</f>
        <v>18</v>
      </c>
      <c r="K2284" s="3">
        <f>I2284-J2284</f>
        <v>-3</v>
      </c>
      <c r="L2284" s="3" t="str">
        <f>IF(K2284&lt;-5,"CRÍTICO",IF(K2284&lt;0,"ATENÇÃO",IF(K2284&lt;=5,"BOM","EXCELENTE")))</f>
        <v>ATENÇÃO</v>
      </c>
      <c r="M2284">
        <v>13</v>
      </c>
      <c r="N2284">
        <v>98.45</v>
      </c>
      <c r="O2284">
        <v>29.281767955801101</v>
      </c>
    </row>
    <row r="2285" spans="1:15" hidden="1" x14ac:dyDescent="0.25">
      <c r="A2285" s="11">
        <v>46072</v>
      </c>
      <c r="B2285" t="s">
        <v>36</v>
      </c>
      <c r="C2285" t="s">
        <v>32</v>
      </c>
      <c r="D2285">
        <v>22</v>
      </c>
      <c r="E2285">
        <v>21</v>
      </c>
      <c r="F2285">
        <v>20.170000000000002</v>
      </c>
      <c r="G2285">
        <v>0</v>
      </c>
      <c r="H2285">
        <v>0</v>
      </c>
      <c r="I2285" s="3">
        <f>E2285+G2285+H2285</f>
        <v>21</v>
      </c>
      <c r="J2285" s="3">
        <f>ROUND(MIN(IF(C2285="Técnico III",35,IF(C2285="Técnico II",28,IF(C2285="Técnico I",23,IF(C2285="JR",20,IF(C2285="Estágio",10,0))))),IF(C2285="Técnico III",SUMIFS($D:$D,$A:$A,$A2285,$B:$B,"&lt;&gt;Patrícia Karla de Sousa Araújo",$B:$B,"&lt;&gt;Lorena Dias de Araujo",$B:$B,"&lt;&gt;Lucas Luiz Romero")*(35/1083),IF(C2285="Técnico II",SUMIFS($D:$D,$A:$A,$A2285,$B:$B,"&lt;&gt;Patrícia Karla de Sousa Araújo",$B:$B,"&lt;&gt;Lorena Dias de Araujo",$B:$B,"&lt;&gt;Lucas Luiz Romero")*(28/1083),IF(C2285="Técnico I",SUMIFS($D:$D,$A:$A,$A2285,$B:$B,"&lt;&gt;Patrícia Karla de Sousa Araújo",$B:$B,"&lt;&gt;Lorena Dias de Araujo",$B:$B,"&lt;&gt;Lucas Luiz Romero")*(23/1083),IF(C2285="JR",SUMIFS($D:$D,$A:$A,$A2285,$B:$B,"&lt;&gt;Patrícia Karla de Sousa Araújo",$B:$B,"&lt;&gt;Lorena Dias de Araujo",$B:$B,"&lt;&gt;Lucas Luiz Romero")*(20/1083),IF(C2285="Estágio",SUMIFS($D:$D,$A:$A,$A2285,$B:$B,"&lt;&gt;Patrícia Karla de Sousa Araújo",$B:$B,"&lt;&gt;Lorena Dias de Araujo",$B:$B,"&lt;&gt;Lucas Luiz Romero")*(10/1083),0)))))),0)</f>
        <v>23</v>
      </c>
      <c r="K2285" s="3">
        <f>I2285-J2285</f>
        <v>-2</v>
      </c>
      <c r="L2285" s="3" t="str">
        <f>IF(K2285&lt;-5,"CRÍTICO",IF(K2285&lt;0,"ATENÇÃO",IF(K2285&lt;=5,"BOM","EXCELENTE")))</f>
        <v>ATENÇÃO</v>
      </c>
      <c r="M2285">
        <v>20</v>
      </c>
      <c r="N2285">
        <v>97.84</v>
      </c>
      <c r="O2285">
        <v>26.282051282051281</v>
      </c>
    </row>
    <row r="2286" spans="1:15" hidden="1" x14ac:dyDescent="0.25">
      <c r="A2286" s="11">
        <v>46072</v>
      </c>
      <c r="B2286" t="s">
        <v>53</v>
      </c>
      <c r="C2286" t="s">
        <v>48</v>
      </c>
      <c r="D2286">
        <v>30</v>
      </c>
      <c r="E2286">
        <v>29</v>
      </c>
      <c r="F2286">
        <v>24.09</v>
      </c>
      <c r="G2286">
        <v>0</v>
      </c>
      <c r="H2286">
        <v>0</v>
      </c>
      <c r="I2286" s="3">
        <f>E2286+G2286+H2286</f>
        <v>29</v>
      </c>
      <c r="J2286" s="3">
        <f>ROUND(MIN(IF(C2286="Técnico III",35,IF(C2286="Técnico II",28,IF(C2286="Técnico I",23,IF(C2286="JR",20,IF(C2286="Estágio",10,0))))),IF(C2286="Técnico III",SUMIFS($D:$D,$A:$A,$A2286,$B:$B,"&lt;&gt;Patrícia Karla de Sousa Araújo",$B:$B,"&lt;&gt;Lorena Dias de Araujo",$B:$B,"&lt;&gt;Lucas Luiz Romero")*(35/1083),IF(C2286="Técnico II",SUMIFS($D:$D,$A:$A,$A2286,$B:$B,"&lt;&gt;Patrícia Karla de Sousa Araújo",$B:$B,"&lt;&gt;Lorena Dias de Araujo",$B:$B,"&lt;&gt;Lucas Luiz Romero")*(28/1083),IF(C2286="Técnico I",SUMIFS($D:$D,$A:$A,$A2286,$B:$B,"&lt;&gt;Patrícia Karla de Sousa Araújo",$B:$B,"&lt;&gt;Lorena Dias de Araujo",$B:$B,"&lt;&gt;Lucas Luiz Romero")*(23/1083),IF(C2286="JR",SUMIFS($D:$D,$A:$A,$A2286,$B:$B,"&lt;&gt;Patrícia Karla de Sousa Araújo",$B:$B,"&lt;&gt;Lorena Dias de Araujo",$B:$B,"&lt;&gt;Lucas Luiz Romero")*(20/1083),IF(C2286="Estágio",SUMIFS($D:$D,$A:$A,$A2286,$B:$B,"&lt;&gt;Patrícia Karla de Sousa Araújo",$B:$B,"&lt;&gt;Lorena Dias de Araujo",$B:$B,"&lt;&gt;Lucas Luiz Romero")*(10/1083),0)))))),0)</f>
        <v>18</v>
      </c>
      <c r="K2286" s="3">
        <f>I2286-J2286</f>
        <v>11</v>
      </c>
      <c r="L2286" s="3" t="str">
        <f>IF(K2286&lt;-5,"CRÍTICO",IF(K2286&lt;0,"ATENÇÃO",IF(K2286&lt;=5,"BOM","EXCELENTE")))</f>
        <v>EXCELENTE</v>
      </c>
      <c r="M2286">
        <v>26</v>
      </c>
      <c r="N2286">
        <v>98.5</v>
      </c>
      <c r="O2286">
        <v>23.97769516728625</v>
      </c>
    </row>
    <row r="2287" spans="1:15" hidden="1" x14ac:dyDescent="0.25">
      <c r="A2287" s="11">
        <v>46106</v>
      </c>
      <c r="B2287" t="s">
        <v>22</v>
      </c>
      <c r="C2287" t="s">
        <v>23</v>
      </c>
      <c r="D2287">
        <v>22</v>
      </c>
      <c r="E2287">
        <v>21</v>
      </c>
      <c r="F2287">
        <v>23.42</v>
      </c>
      <c r="G2287">
        <v>0</v>
      </c>
      <c r="H2287">
        <v>0</v>
      </c>
      <c r="I2287" s="3">
        <f>E2287+G2287+H2287</f>
        <v>21</v>
      </c>
      <c r="J2287" s="3">
        <f>ROUND(MIN(IF(C2287="Técnico III",35,IF(C2287="Técnico II",28,IF(C2287="Técnico I",23,IF(C2287="JR",20,IF(C2287="Estágio",10,0))))),IF(C2287="Técnico III",SUMIFS($D:$D,$A:$A,$A2287,$B:$B,"&lt;&gt;Patrícia Karla de Sousa Araújo",$B:$B,"&lt;&gt;Lorena Dias de Araujo",$B:$B,"&lt;&gt;Lucas Luiz Romero")*(35/1083),IF(C2287="Técnico II",SUMIFS($D:$D,$A:$A,$A2287,$B:$B,"&lt;&gt;Patrícia Karla de Sousa Araújo",$B:$B,"&lt;&gt;Lorena Dias de Araujo",$B:$B,"&lt;&gt;Lucas Luiz Romero")*(28/1083),IF(C2287="Técnico I",SUMIFS($D:$D,$A:$A,$A2287,$B:$B,"&lt;&gt;Patrícia Karla de Sousa Araújo",$B:$B,"&lt;&gt;Lorena Dias de Araujo",$B:$B,"&lt;&gt;Lucas Luiz Romero")*(23/1083),IF(C2287="JR",SUMIFS($D:$D,$A:$A,$A2287,$B:$B,"&lt;&gt;Patrícia Karla de Sousa Araújo",$B:$B,"&lt;&gt;Lorena Dias de Araujo",$B:$B,"&lt;&gt;Lucas Luiz Romero")*(20/1083),IF(C2287="Estágio",SUMIFS($D:$D,$A:$A,$A2287,$B:$B,"&lt;&gt;Patrícia Karla de Sousa Araújo",$B:$B,"&lt;&gt;Lorena Dias de Araujo",$B:$B,"&lt;&gt;Lucas Luiz Romero")*(10/1083),0)))))),0)</f>
        <v>16</v>
      </c>
      <c r="K2287" s="3">
        <f>I2287-J2287</f>
        <v>5</v>
      </c>
      <c r="L2287" s="3" t="str">
        <f>IF(K2287&lt;-5,"CRÍTICO",IF(K2287&lt;0,"ATENÇÃO",IF(K2287&lt;=5,"BOM","EXCELENTE")))</f>
        <v>BOM</v>
      </c>
      <c r="M2287">
        <v>18</v>
      </c>
      <c r="N2287">
        <v>99.05</v>
      </c>
      <c r="O2287">
        <v>26.621923937360179</v>
      </c>
    </row>
    <row r="2288" spans="1:15" hidden="1" x14ac:dyDescent="0.25">
      <c r="A2288" s="11">
        <v>46072</v>
      </c>
      <c r="B2288" t="s">
        <v>54</v>
      </c>
      <c r="C2288" t="s">
        <v>48</v>
      </c>
      <c r="D2288">
        <v>23</v>
      </c>
      <c r="E2288">
        <v>22</v>
      </c>
      <c r="F2288">
        <v>32.130000000000003</v>
      </c>
      <c r="G2288">
        <v>0</v>
      </c>
      <c r="H2288">
        <v>0</v>
      </c>
      <c r="I2288" s="3">
        <f>E2288+G2288+H2288</f>
        <v>22</v>
      </c>
      <c r="J2288" s="3">
        <f>ROUND(MIN(IF(C2288="Técnico III",35,IF(C2288="Técnico II",28,IF(C2288="Técnico I",23,IF(C2288="JR",20,IF(C2288="Estágio",10,0))))),IF(C2288="Técnico III",SUMIFS($D:$D,$A:$A,$A2288,$B:$B,"&lt;&gt;Patrícia Karla de Sousa Araújo",$B:$B,"&lt;&gt;Lorena Dias de Araujo",$B:$B,"&lt;&gt;Lucas Luiz Romero")*(35/1083),IF(C2288="Técnico II",SUMIFS($D:$D,$A:$A,$A2288,$B:$B,"&lt;&gt;Patrícia Karla de Sousa Araújo",$B:$B,"&lt;&gt;Lorena Dias de Araujo",$B:$B,"&lt;&gt;Lucas Luiz Romero")*(28/1083),IF(C2288="Técnico I",SUMIFS($D:$D,$A:$A,$A2288,$B:$B,"&lt;&gt;Patrícia Karla de Sousa Araújo",$B:$B,"&lt;&gt;Lorena Dias de Araujo",$B:$B,"&lt;&gt;Lucas Luiz Romero")*(23/1083),IF(C2288="JR",SUMIFS($D:$D,$A:$A,$A2288,$B:$B,"&lt;&gt;Patrícia Karla de Sousa Araújo",$B:$B,"&lt;&gt;Lorena Dias de Araujo",$B:$B,"&lt;&gt;Lucas Luiz Romero")*(20/1083),IF(C2288="Estágio",SUMIFS($D:$D,$A:$A,$A2288,$B:$B,"&lt;&gt;Patrícia Karla de Sousa Araújo",$B:$B,"&lt;&gt;Lorena Dias de Araujo",$B:$B,"&lt;&gt;Lucas Luiz Romero")*(10/1083),0)))))),0)</f>
        <v>18</v>
      </c>
      <c r="K2288" s="3">
        <f>I2288-J2288</f>
        <v>4</v>
      </c>
      <c r="L2288" s="3" t="str">
        <f>IF(K2288&lt;-5,"CRÍTICO",IF(K2288&lt;0,"ATENÇÃO",IF(K2288&lt;=5,"BOM","EXCELENTE")))</f>
        <v>BOM</v>
      </c>
      <c r="M2288">
        <v>22</v>
      </c>
      <c r="N2288">
        <v>98.53</v>
      </c>
      <c r="O2288">
        <v>31.578947368421051</v>
      </c>
    </row>
    <row r="2289" spans="1:15" hidden="1" x14ac:dyDescent="0.25">
      <c r="A2289" s="11">
        <v>46072</v>
      </c>
      <c r="B2289" t="s">
        <v>37</v>
      </c>
      <c r="C2289" t="s">
        <v>32</v>
      </c>
      <c r="D2289">
        <v>31</v>
      </c>
      <c r="E2289">
        <v>31</v>
      </c>
      <c r="F2289">
        <v>23.47</v>
      </c>
      <c r="G2289">
        <v>0</v>
      </c>
      <c r="H2289">
        <v>0</v>
      </c>
      <c r="I2289" s="3">
        <f>E2289+G2289+H2289</f>
        <v>31</v>
      </c>
      <c r="J2289" s="3">
        <f>ROUND(MIN(IF(C2289="Técnico III",35,IF(C2289="Técnico II",28,IF(C2289="Técnico I",23,IF(C2289="JR",20,IF(C2289="Estágio",10,0))))),IF(C2289="Técnico III",SUMIFS($D:$D,$A:$A,$A2289,$B:$B,"&lt;&gt;Patrícia Karla de Sousa Araújo",$B:$B,"&lt;&gt;Lorena Dias de Araujo",$B:$B,"&lt;&gt;Lucas Luiz Romero")*(35/1083),IF(C2289="Técnico II",SUMIFS($D:$D,$A:$A,$A2289,$B:$B,"&lt;&gt;Patrícia Karla de Sousa Araújo",$B:$B,"&lt;&gt;Lorena Dias de Araujo",$B:$B,"&lt;&gt;Lucas Luiz Romero")*(28/1083),IF(C2289="Técnico I",SUMIFS($D:$D,$A:$A,$A2289,$B:$B,"&lt;&gt;Patrícia Karla de Sousa Araújo",$B:$B,"&lt;&gt;Lorena Dias de Araujo",$B:$B,"&lt;&gt;Lucas Luiz Romero")*(23/1083),IF(C2289="JR",SUMIFS($D:$D,$A:$A,$A2289,$B:$B,"&lt;&gt;Patrícia Karla de Sousa Araújo",$B:$B,"&lt;&gt;Lorena Dias de Araujo",$B:$B,"&lt;&gt;Lucas Luiz Romero")*(20/1083),IF(C2289="Estágio",SUMIFS($D:$D,$A:$A,$A2289,$B:$B,"&lt;&gt;Patrícia Karla de Sousa Araújo",$B:$B,"&lt;&gt;Lorena Dias de Araujo",$B:$B,"&lt;&gt;Lucas Luiz Romero")*(10/1083),0)))))),0)</f>
        <v>23</v>
      </c>
      <c r="K2289" s="3">
        <f>I2289-J2289</f>
        <v>8</v>
      </c>
      <c r="L2289" s="3" t="str">
        <f>IF(K2289&lt;-5,"CRÍTICO",IF(K2289&lt;0,"ATENÇÃO",IF(K2289&lt;=5,"BOM","EXCELENTE")))</f>
        <v>EXCELENTE</v>
      </c>
      <c r="M2289">
        <v>29</v>
      </c>
      <c r="N2289">
        <v>100</v>
      </c>
      <c r="O2289">
        <v>25.72214580467676</v>
      </c>
    </row>
    <row r="2290" spans="1:15" hidden="1" x14ac:dyDescent="0.25">
      <c r="A2290" s="11">
        <v>46072</v>
      </c>
      <c r="B2290" t="s">
        <v>38</v>
      </c>
      <c r="C2290" t="s">
        <v>32</v>
      </c>
      <c r="D2290">
        <v>2</v>
      </c>
      <c r="E2290">
        <v>2</v>
      </c>
      <c r="F2290">
        <v>25.15</v>
      </c>
      <c r="G2290">
        <v>0</v>
      </c>
      <c r="H2290">
        <v>0</v>
      </c>
      <c r="I2290" s="3">
        <f>E2290+G2290+H2290</f>
        <v>2</v>
      </c>
      <c r="J2290" s="3">
        <f>ROUND(MIN(IF(C2290="Técnico III",35,IF(C2290="Técnico II",28,IF(C2290="Técnico I",23,IF(C2290="JR",20,IF(C2290="Estágio",10,0))))),IF(C2290="Técnico III",SUMIFS($D:$D,$A:$A,$A2290,$B:$B,"&lt;&gt;Patrícia Karla de Sousa Araújo",$B:$B,"&lt;&gt;Lorena Dias de Araujo",$B:$B,"&lt;&gt;Lucas Luiz Romero")*(35/1083),IF(C2290="Técnico II",SUMIFS($D:$D,$A:$A,$A2290,$B:$B,"&lt;&gt;Patrícia Karla de Sousa Araújo",$B:$B,"&lt;&gt;Lorena Dias de Araujo",$B:$B,"&lt;&gt;Lucas Luiz Romero")*(28/1083),IF(C2290="Técnico I",SUMIFS($D:$D,$A:$A,$A2290,$B:$B,"&lt;&gt;Patrícia Karla de Sousa Araújo",$B:$B,"&lt;&gt;Lorena Dias de Araujo",$B:$B,"&lt;&gt;Lucas Luiz Romero")*(23/1083),IF(C2290="JR",SUMIFS($D:$D,$A:$A,$A2290,$B:$B,"&lt;&gt;Patrícia Karla de Sousa Araújo",$B:$B,"&lt;&gt;Lorena Dias de Araujo",$B:$B,"&lt;&gt;Lucas Luiz Romero")*(20/1083),IF(C2290="Estágio",SUMIFS($D:$D,$A:$A,$A2290,$B:$B,"&lt;&gt;Patrícia Karla de Sousa Araújo",$B:$B,"&lt;&gt;Lorena Dias de Araujo",$B:$B,"&lt;&gt;Lucas Luiz Romero")*(10/1083),0)))))),0)</f>
        <v>23</v>
      </c>
      <c r="K2290" s="3">
        <f>I2290-J2290</f>
        <v>-21</v>
      </c>
      <c r="L2290" s="3" t="str">
        <f>IF(K2290&lt;-5,"CRÍTICO",IF(K2290&lt;0,"ATENÇÃO",IF(K2290&lt;=5,"BOM","EXCELENTE")))</f>
        <v>CRÍTICO</v>
      </c>
      <c r="M2290">
        <v>2</v>
      </c>
      <c r="N2290">
        <v>94.64</v>
      </c>
      <c r="O2290">
        <v>27.52941176470588</v>
      </c>
    </row>
    <row r="2291" spans="1:15" hidden="1" x14ac:dyDescent="0.25">
      <c r="A2291" s="11">
        <v>46072</v>
      </c>
      <c r="B2291" t="s">
        <v>55</v>
      </c>
      <c r="C2291" t="s">
        <v>48</v>
      </c>
      <c r="D2291">
        <v>19</v>
      </c>
      <c r="E2291">
        <v>14</v>
      </c>
      <c r="F2291">
        <v>15.17</v>
      </c>
      <c r="G2291">
        <v>0</v>
      </c>
      <c r="H2291">
        <v>0</v>
      </c>
      <c r="I2291" s="3">
        <f>E2291+G2291+H2291</f>
        <v>14</v>
      </c>
      <c r="J2291" s="3">
        <f>ROUND(MIN(IF(C2291="Técnico III",35,IF(C2291="Técnico II",28,IF(C2291="Técnico I",23,IF(C2291="JR",20,IF(C2291="Estágio",10,0))))),IF(C2291="Técnico III",SUMIFS($D:$D,$A:$A,$A2291,$B:$B,"&lt;&gt;Patrícia Karla de Sousa Araújo",$B:$B,"&lt;&gt;Lorena Dias de Araujo",$B:$B,"&lt;&gt;Lucas Luiz Romero")*(35/1083),IF(C2291="Técnico II",SUMIFS($D:$D,$A:$A,$A2291,$B:$B,"&lt;&gt;Patrícia Karla de Sousa Araújo",$B:$B,"&lt;&gt;Lorena Dias de Araujo",$B:$B,"&lt;&gt;Lucas Luiz Romero")*(28/1083),IF(C2291="Técnico I",SUMIFS($D:$D,$A:$A,$A2291,$B:$B,"&lt;&gt;Patrícia Karla de Sousa Araújo",$B:$B,"&lt;&gt;Lorena Dias de Araujo",$B:$B,"&lt;&gt;Lucas Luiz Romero")*(23/1083),IF(C2291="JR",SUMIFS($D:$D,$A:$A,$A2291,$B:$B,"&lt;&gt;Patrícia Karla de Sousa Araújo",$B:$B,"&lt;&gt;Lorena Dias de Araujo",$B:$B,"&lt;&gt;Lucas Luiz Romero")*(20/1083),IF(C2291="Estágio",SUMIFS($D:$D,$A:$A,$A2291,$B:$B,"&lt;&gt;Patrícia Karla de Sousa Araújo",$B:$B,"&lt;&gt;Lorena Dias de Araujo",$B:$B,"&lt;&gt;Lucas Luiz Romero")*(10/1083),0)))))),0)</f>
        <v>18</v>
      </c>
      <c r="K2291" s="3">
        <f>I2291-J2291</f>
        <v>-4</v>
      </c>
      <c r="L2291" s="3" t="str">
        <f>IF(K2291&lt;-5,"CRÍTICO",IF(K2291&lt;0,"ATENÇÃO",IF(K2291&lt;=5,"BOM","EXCELENTE")))</f>
        <v>ATENÇÃO</v>
      </c>
      <c r="M2291">
        <v>14</v>
      </c>
      <c r="N2291">
        <v>99.07</v>
      </c>
      <c r="O2291">
        <v>26.376811594202898</v>
      </c>
    </row>
    <row r="2292" spans="1:15" hidden="1" x14ac:dyDescent="0.25">
      <c r="A2292" s="11">
        <v>46072</v>
      </c>
      <c r="B2292" t="s">
        <v>39</v>
      </c>
      <c r="C2292" t="s">
        <v>32</v>
      </c>
      <c r="D2292">
        <v>0</v>
      </c>
      <c r="E2292">
        <v>0</v>
      </c>
      <c r="F2292">
        <v>0</v>
      </c>
      <c r="G2292">
        <v>0</v>
      </c>
      <c r="H2292">
        <v>0</v>
      </c>
      <c r="I2292" s="3">
        <v>0</v>
      </c>
      <c r="J2292" s="3">
        <v>0</v>
      </c>
      <c r="K2292" s="3">
        <v>0</v>
      </c>
      <c r="L2292" s="3" t="str">
        <f>IF(K2292&lt;-5,"CRÍTICO",IF(K2292&lt;0,"ATENÇÃO",IF(K2292&lt;=5,"BOM","EXCELENTE")))</f>
        <v>BOM</v>
      </c>
      <c r="M2292">
        <v>0</v>
      </c>
      <c r="N2292">
        <v>100</v>
      </c>
      <c r="O2292">
        <v>0</v>
      </c>
    </row>
    <row r="2293" spans="1:15" hidden="1" x14ac:dyDescent="0.25">
      <c r="A2293" s="11">
        <v>46072</v>
      </c>
      <c r="B2293" t="s">
        <v>25</v>
      </c>
      <c r="C2293" t="s">
        <v>26</v>
      </c>
      <c r="D2293">
        <v>17</v>
      </c>
      <c r="E2293">
        <v>15</v>
      </c>
      <c r="F2293">
        <v>35.44</v>
      </c>
      <c r="G2293">
        <v>0</v>
      </c>
      <c r="H2293">
        <v>0</v>
      </c>
      <c r="I2293" s="3">
        <f>E2293+G2293+H2293</f>
        <v>15</v>
      </c>
      <c r="J2293" s="3">
        <f>ROUND(MIN(IF(C2293="Técnico III",35,IF(C2293="Técnico II",28,IF(C2293="Técnico I",23,IF(C2293="JR",20,IF(C2293="Estágio",10,0))))),IF(C2293="Técnico III",SUMIFS($D:$D,$A:$A,$A2293,$B:$B,"&lt;&gt;Patrícia Karla de Sousa Araújo",$B:$B,"&lt;&gt;Lorena Dias de Araujo",$B:$B,"&lt;&gt;Lucas Luiz Romero")*(35/1083),IF(C2293="Técnico II",SUMIFS($D:$D,$A:$A,$A2293,$B:$B,"&lt;&gt;Patrícia Karla de Sousa Araújo",$B:$B,"&lt;&gt;Lorena Dias de Araujo",$B:$B,"&lt;&gt;Lucas Luiz Romero")*(28/1083),IF(C2293="Técnico I",SUMIFS($D:$D,$A:$A,$A2293,$B:$B,"&lt;&gt;Patrícia Karla de Sousa Araújo",$B:$B,"&lt;&gt;Lorena Dias de Araujo",$B:$B,"&lt;&gt;Lucas Luiz Romero")*(23/1083),IF(C2293="JR",SUMIFS($D:$D,$A:$A,$A2293,$B:$B,"&lt;&gt;Patrícia Karla de Sousa Araújo",$B:$B,"&lt;&gt;Lorena Dias de Araujo",$B:$B,"&lt;&gt;Lucas Luiz Romero")*(20/1083),IF(C2293="Estágio",SUMIFS($D:$D,$A:$A,$A2293,$B:$B,"&lt;&gt;Patrícia Karla de Sousa Araújo",$B:$B,"&lt;&gt;Lorena Dias de Araujo",$B:$B,"&lt;&gt;Lucas Luiz Romero")*(10/1083),0)))))),0)</f>
        <v>13</v>
      </c>
      <c r="K2293" s="3">
        <f>I2293-J2293</f>
        <v>2</v>
      </c>
      <c r="L2293" s="3" t="str">
        <f>IF(K2293&lt;-5,"CRÍTICO",IF(K2293&lt;0,"ATENÇÃO",IF(K2293&lt;=5,"BOM","EXCELENTE")))</f>
        <v>BOM</v>
      </c>
      <c r="M2293">
        <v>13</v>
      </c>
      <c r="N2293">
        <v>98.48</v>
      </c>
      <c r="O2293">
        <v>27.853881278538811</v>
      </c>
    </row>
    <row r="2294" spans="1:15" hidden="1" x14ac:dyDescent="0.25">
      <c r="A2294" s="11">
        <v>46072</v>
      </c>
      <c r="B2294" t="s">
        <v>40</v>
      </c>
      <c r="C2294" t="s">
        <v>32</v>
      </c>
      <c r="D2294">
        <v>18</v>
      </c>
      <c r="E2294">
        <v>17</v>
      </c>
      <c r="F2294">
        <v>27.03</v>
      </c>
      <c r="G2294">
        <v>0</v>
      </c>
      <c r="H2294">
        <v>0</v>
      </c>
      <c r="I2294" s="3">
        <f>E2294+G2294+H2294</f>
        <v>17</v>
      </c>
      <c r="J2294" s="3">
        <f>ROUND(MIN(IF(C2294="Técnico III",35,IF(C2294="Técnico II",28,IF(C2294="Técnico I",23,IF(C2294="JR",20,IF(C2294="Estágio",10,0))))),IF(C2294="Técnico III",SUMIFS($D:$D,$A:$A,$A2294,$B:$B,"&lt;&gt;Patrícia Karla de Sousa Araújo",$B:$B,"&lt;&gt;Lorena Dias de Araujo",$B:$B,"&lt;&gt;Lucas Luiz Romero")*(35/1083),IF(C2294="Técnico II",SUMIFS($D:$D,$A:$A,$A2294,$B:$B,"&lt;&gt;Patrícia Karla de Sousa Araújo",$B:$B,"&lt;&gt;Lorena Dias de Araujo",$B:$B,"&lt;&gt;Lucas Luiz Romero")*(28/1083),IF(C2294="Técnico I",SUMIFS($D:$D,$A:$A,$A2294,$B:$B,"&lt;&gt;Patrícia Karla de Sousa Araújo",$B:$B,"&lt;&gt;Lorena Dias de Araujo",$B:$B,"&lt;&gt;Lucas Luiz Romero")*(23/1083),IF(C2294="JR",SUMIFS($D:$D,$A:$A,$A2294,$B:$B,"&lt;&gt;Patrícia Karla de Sousa Araújo",$B:$B,"&lt;&gt;Lorena Dias de Araujo",$B:$B,"&lt;&gt;Lucas Luiz Romero")*(20/1083),IF(C2294="Estágio",SUMIFS($D:$D,$A:$A,$A2294,$B:$B,"&lt;&gt;Patrícia Karla de Sousa Araújo",$B:$B,"&lt;&gt;Lorena Dias de Araujo",$B:$B,"&lt;&gt;Lucas Luiz Romero")*(10/1083),0)))))),0)</f>
        <v>23</v>
      </c>
      <c r="K2294" s="3">
        <f>I2294-J2294</f>
        <v>-6</v>
      </c>
      <c r="L2294" s="3" t="str">
        <f>IF(K2294&lt;-5,"CRÍTICO",IF(K2294&lt;0,"ATENÇÃO",IF(K2294&lt;=5,"BOM","EXCELENTE")))</f>
        <v>CRÍTICO</v>
      </c>
      <c r="M2294">
        <v>17</v>
      </c>
      <c r="N2294">
        <v>95.15</v>
      </c>
      <c r="O2294">
        <v>34.131736526946113</v>
      </c>
    </row>
    <row r="2295" spans="1:15" hidden="1" x14ac:dyDescent="0.25">
      <c r="A2295" s="11">
        <v>46072</v>
      </c>
      <c r="B2295" t="s">
        <v>27</v>
      </c>
      <c r="C2295" t="s">
        <v>26</v>
      </c>
      <c r="D2295">
        <v>0</v>
      </c>
      <c r="E2295">
        <v>0</v>
      </c>
      <c r="F2295">
        <v>0</v>
      </c>
      <c r="G2295">
        <v>0</v>
      </c>
      <c r="H2295">
        <v>0</v>
      </c>
      <c r="I2295" s="3">
        <v>0</v>
      </c>
      <c r="J2295" s="3">
        <v>0</v>
      </c>
      <c r="K2295" s="3">
        <v>0</v>
      </c>
      <c r="L2295" s="3" t="str">
        <f>IF(K2295&lt;-5,"CRÍTICO",IF(K2295&lt;0,"ATENÇÃO",IF(K2295&lt;=5,"BOM","EXCELENTE")))</f>
        <v>BOM</v>
      </c>
      <c r="M2295">
        <v>0</v>
      </c>
      <c r="N2295">
        <v>0</v>
      </c>
      <c r="O2295">
        <v>0</v>
      </c>
    </row>
    <row r="2296" spans="1:15" hidden="1" x14ac:dyDescent="0.25">
      <c r="A2296" s="11">
        <v>46072</v>
      </c>
      <c r="B2296" t="s">
        <v>41</v>
      </c>
      <c r="C2296" t="s">
        <v>32</v>
      </c>
      <c r="D2296">
        <v>28</v>
      </c>
      <c r="E2296">
        <v>27</v>
      </c>
      <c r="F2296">
        <v>23.23</v>
      </c>
      <c r="G2296">
        <v>0</v>
      </c>
      <c r="H2296">
        <v>0</v>
      </c>
      <c r="I2296" s="3">
        <f>E2296+G2296+H2296</f>
        <v>27</v>
      </c>
      <c r="J2296" s="3">
        <f>ROUND(MIN(IF(C2296="Técnico III",35,IF(C2296="Técnico II",28,IF(C2296="Técnico I",23,IF(C2296="JR",20,IF(C2296="Estágio",10,0))))),IF(C2296="Técnico III",SUMIFS($D:$D,$A:$A,$A2296,$B:$B,"&lt;&gt;Patrícia Karla de Sousa Araújo",$B:$B,"&lt;&gt;Lorena Dias de Araujo",$B:$B,"&lt;&gt;Lucas Luiz Romero")*(35/1083),IF(C2296="Técnico II",SUMIFS($D:$D,$A:$A,$A2296,$B:$B,"&lt;&gt;Patrícia Karla de Sousa Araújo",$B:$B,"&lt;&gt;Lorena Dias de Araujo",$B:$B,"&lt;&gt;Lucas Luiz Romero")*(28/1083),IF(C2296="Técnico I",SUMIFS($D:$D,$A:$A,$A2296,$B:$B,"&lt;&gt;Patrícia Karla de Sousa Araújo",$B:$B,"&lt;&gt;Lorena Dias de Araujo",$B:$B,"&lt;&gt;Lucas Luiz Romero")*(23/1083),IF(C2296="JR",SUMIFS($D:$D,$A:$A,$A2296,$B:$B,"&lt;&gt;Patrícia Karla de Sousa Araújo",$B:$B,"&lt;&gt;Lorena Dias de Araujo",$B:$B,"&lt;&gt;Lucas Luiz Romero")*(20/1083),IF(C2296="Estágio",SUMIFS($D:$D,$A:$A,$A2296,$B:$B,"&lt;&gt;Patrícia Karla de Sousa Araújo",$B:$B,"&lt;&gt;Lorena Dias de Araujo",$B:$B,"&lt;&gt;Lucas Luiz Romero")*(10/1083),0)))))),0)</f>
        <v>23</v>
      </c>
      <c r="K2296" s="3">
        <f>I2296-J2296</f>
        <v>4</v>
      </c>
      <c r="L2296" s="3" t="str">
        <f>IF(K2296&lt;-5,"CRÍTICO",IF(K2296&lt;0,"ATENÇÃO",IF(K2296&lt;=5,"BOM","EXCELENTE")))</f>
        <v>BOM</v>
      </c>
      <c r="M2296">
        <v>21</v>
      </c>
      <c r="N2296">
        <v>99.26</v>
      </c>
      <c r="O2296">
        <v>30.84832904884319</v>
      </c>
    </row>
    <row r="2297" spans="1:15" hidden="1" x14ac:dyDescent="0.25">
      <c r="A2297" s="11">
        <v>46072</v>
      </c>
      <c r="B2297" t="s">
        <v>56</v>
      </c>
      <c r="C2297" t="s">
        <v>48</v>
      </c>
      <c r="D2297">
        <v>26</v>
      </c>
      <c r="E2297">
        <v>25</v>
      </c>
      <c r="F2297">
        <v>28.45</v>
      </c>
      <c r="G2297">
        <v>0</v>
      </c>
      <c r="H2297">
        <v>0</v>
      </c>
      <c r="I2297" s="3">
        <f>E2297+G2297+H2297</f>
        <v>25</v>
      </c>
      <c r="J2297" s="3">
        <f>ROUND(MIN(IF(C2297="Técnico III",35,IF(C2297="Técnico II",28,IF(C2297="Técnico I",23,IF(C2297="JR",20,IF(C2297="Estágio",10,0))))),IF(C2297="Técnico III",SUMIFS($D:$D,$A:$A,$A2297,$B:$B,"&lt;&gt;Patrícia Karla de Sousa Araújo",$B:$B,"&lt;&gt;Lorena Dias de Araujo",$B:$B,"&lt;&gt;Lucas Luiz Romero")*(35/1083),IF(C2297="Técnico II",SUMIFS($D:$D,$A:$A,$A2297,$B:$B,"&lt;&gt;Patrícia Karla de Sousa Araújo",$B:$B,"&lt;&gt;Lorena Dias de Araujo",$B:$B,"&lt;&gt;Lucas Luiz Romero")*(28/1083),IF(C2297="Técnico I",SUMIFS($D:$D,$A:$A,$A2297,$B:$B,"&lt;&gt;Patrícia Karla de Sousa Araújo",$B:$B,"&lt;&gt;Lorena Dias de Araujo",$B:$B,"&lt;&gt;Lucas Luiz Romero")*(23/1083),IF(C2297="JR",SUMIFS($D:$D,$A:$A,$A2297,$B:$B,"&lt;&gt;Patrícia Karla de Sousa Araújo",$B:$B,"&lt;&gt;Lorena Dias de Araujo",$B:$B,"&lt;&gt;Lucas Luiz Romero")*(20/1083),IF(C2297="Estágio",SUMIFS($D:$D,$A:$A,$A2297,$B:$B,"&lt;&gt;Patrícia Karla de Sousa Araújo",$B:$B,"&lt;&gt;Lorena Dias de Araujo",$B:$B,"&lt;&gt;Lucas Luiz Romero")*(10/1083),0)))))),0)</f>
        <v>18</v>
      </c>
      <c r="K2297" s="3">
        <f>I2297-J2297</f>
        <v>7</v>
      </c>
      <c r="L2297" s="3" t="str">
        <f>IF(K2297&lt;-5,"CRÍTICO",IF(K2297&lt;0,"ATENÇÃO",IF(K2297&lt;=5,"BOM","EXCELENTE")))</f>
        <v>EXCELENTE</v>
      </c>
      <c r="M2297">
        <v>20</v>
      </c>
      <c r="N2297">
        <v>97.48</v>
      </c>
      <c r="O2297">
        <v>27.764705882352938</v>
      </c>
    </row>
    <row r="2298" spans="1:15" hidden="1" x14ac:dyDescent="0.25">
      <c r="A2298" s="11">
        <v>46072</v>
      </c>
      <c r="B2298" t="s">
        <v>57</v>
      </c>
      <c r="C2298" t="s">
        <v>48</v>
      </c>
      <c r="D2298">
        <v>23</v>
      </c>
      <c r="E2298">
        <v>23</v>
      </c>
      <c r="F2298">
        <v>20.56</v>
      </c>
      <c r="G2298">
        <v>0</v>
      </c>
      <c r="H2298">
        <v>0</v>
      </c>
      <c r="I2298" s="3">
        <v>0</v>
      </c>
      <c r="J2298" s="3">
        <v>0</v>
      </c>
      <c r="K2298" s="3">
        <v>0</v>
      </c>
      <c r="L2298" s="3" t="str">
        <f>IF(K2298&lt;-5,"CRÍTICO",IF(K2298&lt;0,"ATENÇÃO",IF(K2298&lt;=5,"BOM","EXCELENTE")))</f>
        <v>BOM</v>
      </c>
      <c r="M2298">
        <v>19</v>
      </c>
      <c r="N2298">
        <v>99.34</v>
      </c>
      <c r="O2298">
        <v>30.04291845493562</v>
      </c>
    </row>
    <row r="2299" spans="1:15" hidden="1" x14ac:dyDescent="0.25">
      <c r="A2299" s="11">
        <v>46072</v>
      </c>
      <c r="B2299" t="s">
        <v>42</v>
      </c>
      <c r="C2299" t="s">
        <v>32</v>
      </c>
      <c r="D2299">
        <v>0</v>
      </c>
      <c r="E2299">
        <v>0</v>
      </c>
      <c r="F2299">
        <v>0</v>
      </c>
      <c r="G2299">
        <v>0</v>
      </c>
      <c r="H2299">
        <v>0</v>
      </c>
      <c r="I2299" s="3">
        <v>0</v>
      </c>
      <c r="J2299" s="3">
        <v>0</v>
      </c>
      <c r="K2299" s="3">
        <v>0</v>
      </c>
      <c r="L2299" s="3" t="str">
        <f>IF(K2299&lt;-5,"CRÍTICO",IF(K2299&lt;0,"ATENÇÃO",IF(K2299&lt;=5,"BOM","EXCELENTE")))</f>
        <v>BOM</v>
      </c>
      <c r="M2299">
        <v>0</v>
      </c>
      <c r="N2299">
        <v>96.3</v>
      </c>
      <c r="O2299">
        <v>24.29378531073446</v>
      </c>
    </row>
    <row r="2300" spans="1:15" hidden="1" x14ac:dyDescent="0.25">
      <c r="A2300" s="11">
        <v>46072</v>
      </c>
      <c r="B2300" t="s">
        <v>62</v>
      </c>
      <c r="C2300" t="s">
        <v>23</v>
      </c>
      <c r="D2300">
        <v>17</v>
      </c>
      <c r="E2300">
        <v>15</v>
      </c>
      <c r="F2300">
        <v>25.21</v>
      </c>
      <c r="G2300">
        <v>0</v>
      </c>
      <c r="H2300">
        <v>0</v>
      </c>
      <c r="I2300" s="3">
        <f>E2300+G2300+H2300</f>
        <v>15</v>
      </c>
      <c r="J2300" s="3">
        <f>ROUND(MIN(IF(C2300="Técnico III",35,IF(C2300="Técnico II",28,IF(C2300="Técnico I",23,IF(C2300="JR",20,IF(C2300="Estágio",10,0))))),IF(C2300="Técnico III",SUMIFS($D:$D,$A:$A,$A2300,$B:$B,"&lt;&gt;Patrícia Karla de Sousa Araújo",$B:$B,"&lt;&gt;Lorena Dias de Araujo",$B:$B,"&lt;&gt;Lucas Luiz Romero")*(35/1083),IF(C2300="Técnico II",SUMIFS($D:$D,$A:$A,$A2300,$B:$B,"&lt;&gt;Patrícia Karla de Sousa Araújo",$B:$B,"&lt;&gt;Lorena Dias de Araujo",$B:$B,"&lt;&gt;Lucas Luiz Romero")*(28/1083),IF(C2300="Técnico I",SUMIFS($D:$D,$A:$A,$A2300,$B:$B,"&lt;&gt;Patrícia Karla de Sousa Araújo",$B:$B,"&lt;&gt;Lorena Dias de Araujo",$B:$B,"&lt;&gt;Lucas Luiz Romero")*(23/1083),IF(C2300="JR",SUMIFS($D:$D,$A:$A,$A2300,$B:$B,"&lt;&gt;Patrícia Karla de Sousa Araújo",$B:$B,"&lt;&gt;Lorena Dias de Araujo",$B:$B,"&lt;&gt;Lucas Luiz Romero")*(20/1083),IF(C2300="Estágio",SUMIFS($D:$D,$A:$A,$A2300,$B:$B,"&lt;&gt;Patrícia Karla de Sousa Araújo",$B:$B,"&lt;&gt;Lorena Dias de Araujo",$B:$B,"&lt;&gt;Lucas Luiz Romero")*(10/1083),0)))))),0)</f>
        <v>15</v>
      </c>
      <c r="K2300" s="3">
        <f>I2300-J2300</f>
        <v>0</v>
      </c>
      <c r="L2300" s="3" t="str">
        <f>IF(K2300&lt;-5,"CRÍTICO",IF(K2300&lt;0,"ATENÇÃO",IF(K2300&lt;=5,"BOM","EXCELENTE")))</f>
        <v>BOM</v>
      </c>
      <c r="M2300">
        <v>15</v>
      </c>
      <c r="N2300">
        <v>100</v>
      </c>
      <c r="O2300">
        <v>26.543209876543209</v>
      </c>
    </row>
    <row r="2301" spans="1:15" hidden="1" x14ac:dyDescent="0.25">
      <c r="A2301" s="11">
        <v>46072</v>
      </c>
      <c r="B2301" t="s">
        <v>19</v>
      </c>
      <c r="C2301" t="s">
        <v>16</v>
      </c>
      <c r="D2301">
        <v>8</v>
      </c>
      <c r="E2301">
        <v>8</v>
      </c>
      <c r="F2301">
        <v>42.28</v>
      </c>
      <c r="G2301">
        <v>0</v>
      </c>
      <c r="H2301">
        <v>0</v>
      </c>
      <c r="I2301" s="3">
        <f>E2301+G2301+H2301</f>
        <v>8</v>
      </c>
      <c r="J2301" s="3">
        <f>ROUND(MIN(IF(C2301="Técnico III",35,IF(C2301="Técnico II",28,IF(C2301="Técnico I",23,IF(C2301="JR",20,IF(C2301="Estágio",10,0))))),IF(C2301="Técnico III",SUMIFS($D:$D,$A:$A,$A2301,$B:$B,"&lt;&gt;Patrícia Karla de Sousa Araújo",$B:$B,"&lt;&gt;Lorena Dias de Araujo",$B:$B,"&lt;&gt;Lucas Luiz Romero")*(35/1083),IF(C2301="Técnico II",SUMIFS($D:$D,$A:$A,$A2301,$B:$B,"&lt;&gt;Patrícia Karla de Sousa Araújo",$B:$B,"&lt;&gt;Lorena Dias de Araujo",$B:$B,"&lt;&gt;Lucas Luiz Romero")*(28/1083),IF(C2301="Técnico I",SUMIFS($D:$D,$A:$A,$A2301,$B:$B,"&lt;&gt;Patrícia Karla de Sousa Araújo",$B:$B,"&lt;&gt;Lorena Dias de Araujo",$B:$B,"&lt;&gt;Lucas Luiz Romero")*(23/1083),IF(C2301="JR",SUMIFS($D:$D,$A:$A,$A2301,$B:$B,"&lt;&gt;Patrícia Karla de Sousa Araújo",$B:$B,"&lt;&gt;Lorena Dias de Araujo",$B:$B,"&lt;&gt;Lucas Luiz Romero")*(20/1083),IF(C2301="Estágio",SUMIFS($D:$D,$A:$A,$A2301,$B:$B,"&lt;&gt;Patrícia Karla de Sousa Araújo",$B:$B,"&lt;&gt;Lorena Dias de Araujo",$B:$B,"&lt;&gt;Lucas Luiz Romero")*(10/1083),0)))))),0)</f>
        <v>6</v>
      </c>
      <c r="K2301" s="3">
        <f>I2301-J2301</f>
        <v>2</v>
      </c>
      <c r="L2301" s="3" t="str">
        <f>IF(K2301&lt;-5,"CRÍTICO",IF(K2301&lt;0,"ATENÇÃO",IF(K2301&lt;=5,"BOM","EXCELENTE")))</f>
        <v>BOM</v>
      </c>
      <c r="M2301">
        <v>6</v>
      </c>
      <c r="N2301">
        <v>100</v>
      </c>
      <c r="O2301">
        <v>35.483870967741943</v>
      </c>
    </row>
    <row r="2302" spans="1:15" hidden="1" x14ac:dyDescent="0.25">
      <c r="A2302" s="11">
        <v>46072</v>
      </c>
      <c r="B2302" t="s">
        <v>43</v>
      </c>
      <c r="C2302" t="s">
        <v>32</v>
      </c>
      <c r="D2302">
        <v>36</v>
      </c>
      <c r="E2302">
        <v>35</v>
      </c>
      <c r="F2302">
        <v>18.559999999999999</v>
      </c>
      <c r="G2302">
        <v>0</v>
      </c>
      <c r="H2302">
        <v>0</v>
      </c>
      <c r="I2302" s="3">
        <f>E2302+G2302+H2302</f>
        <v>35</v>
      </c>
      <c r="J2302" s="3">
        <f>ROUND(MIN(IF(C2302="Técnico III",35,IF(C2302="Técnico II",28,IF(C2302="Técnico I",23,IF(C2302="JR",20,IF(C2302="Estágio",10,0))))),IF(C2302="Técnico III",SUMIFS($D:$D,$A:$A,$A2302,$B:$B,"&lt;&gt;Patrícia Karla de Sousa Araújo",$B:$B,"&lt;&gt;Lorena Dias de Araujo",$B:$B,"&lt;&gt;Lucas Luiz Romero")*(35/1083),IF(C2302="Técnico II",SUMIFS($D:$D,$A:$A,$A2302,$B:$B,"&lt;&gt;Patrícia Karla de Sousa Araújo",$B:$B,"&lt;&gt;Lorena Dias de Araujo",$B:$B,"&lt;&gt;Lucas Luiz Romero")*(28/1083),IF(C2302="Técnico I",SUMIFS($D:$D,$A:$A,$A2302,$B:$B,"&lt;&gt;Patrícia Karla de Sousa Araújo",$B:$B,"&lt;&gt;Lorena Dias de Araujo",$B:$B,"&lt;&gt;Lucas Luiz Romero")*(23/1083),IF(C2302="JR",SUMIFS($D:$D,$A:$A,$A2302,$B:$B,"&lt;&gt;Patrícia Karla de Sousa Araújo",$B:$B,"&lt;&gt;Lorena Dias de Araujo",$B:$B,"&lt;&gt;Lucas Luiz Romero")*(20/1083),IF(C2302="Estágio",SUMIFS($D:$D,$A:$A,$A2302,$B:$B,"&lt;&gt;Patrícia Karla de Sousa Araújo",$B:$B,"&lt;&gt;Lorena Dias de Araujo",$B:$B,"&lt;&gt;Lucas Luiz Romero")*(10/1083),0)))))),0)</f>
        <v>23</v>
      </c>
      <c r="K2302" s="3">
        <f>I2302-J2302</f>
        <v>12</v>
      </c>
      <c r="L2302" s="3" t="str">
        <f>IF(K2302&lt;-5,"CRÍTICO",IF(K2302&lt;0,"ATENÇÃO",IF(K2302&lt;=5,"BOM","EXCELENTE")))</f>
        <v>EXCELENTE</v>
      </c>
      <c r="M2302">
        <v>33</v>
      </c>
      <c r="N2302">
        <v>99.27</v>
      </c>
      <c r="O2302">
        <v>31.163708086785011</v>
      </c>
    </row>
    <row r="2303" spans="1:15" hidden="1" x14ac:dyDescent="0.25">
      <c r="A2303" s="11">
        <v>46072</v>
      </c>
      <c r="B2303" t="s">
        <v>44</v>
      </c>
      <c r="C2303" t="s">
        <v>32</v>
      </c>
      <c r="D2303">
        <v>29</v>
      </c>
      <c r="E2303">
        <v>28</v>
      </c>
      <c r="F2303">
        <v>27.14</v>
      </c>
      <c r="G2303">
        <v>0</v>
      </c>
      <c r="H2303">
        <v>0</v>
      </c>
      <c r="I2303" s="3">
        <f>E2303+G2303+H2303</f>
        <v>28</v>
      </c>
      <c r="J2303" s="3">
        <f>ROUND(MIN(IF(C2303="Técnico III",35,IF(C2303="Técnico II",28,IF(C2303="Técnico I",23,IF(C2303="JR",20,IF(C2303="Estágio",10,0))))),IF(C2303="Técnico III",SUMIFS($D:$D,$A:$A,$A2303,$B:$B,"&lt;&gt;Patrícia Karla de Sousa Araújo",$B:$B,"&lt;&gt;Lorena Dias de Araujo",$B:$B,"&lt;&gt;Lucas Luiz Romero")*(35/1083),IF(C2303="Técnico II",SUMIFS($D:$D,$A:$A,$A2303,$B:$B,"&lt;&gt;Patrícia Karla de Sousa Araújo",$B:$B,"&lt;&gt;Lorena Dias de Araujo",$B:$B,"&lt;&gt;Lucas Luiz Romero")*(28/1083),IF(C2303="Técnico I",SUMIFS($D:$D,$A:$A,$A2303,$B:$B,"&lt;&gt;Patrícia Karla de Sousa Araújo",$B:$B,"&lt;&gt;Lorena Dias de Araujo",$B:$B,"&lt;&gt;Lucas Luiz Romero")*(23/1083),IF(C2303="JR",SUMIFS($D:$D,$A:$A,$A2303,$B:$B,"&lt;&gt;Patrícia Karla de Sousa Araújo",$B:$B,"&lt;&gt;Lorena Dias de Araujo",$B:$B,"&lt;&gt;Lucas Luiz Romero")*(20/1083),IF(C2303="Estágio",SUMIFS($D:$D,$A:$A,$A2303,$B:$B,"&lt;&gt;Patrícia Karla de Sousa Araújo",$B:$B,"&lt;&gt;Lorena Dias de Araujo",$B:$B,"&lt;&gt;Lucas Luiz Romero")*(10/1083),0)))))),0)</f>
        <v>23</v>
      </c>
      <c r="K2303" s="3">
        <f>I2303-J2303</f>
        <v>5</v>
      </c>
      <c r="L2303" s="3" t="str">
        <f>IF(K2303&lt;-5,"CRÍTICO",IF(K2303&lt;0,"ATENÇÃO",IF(K2303&lt;=5,"BOM","EXCELENTE")))</f>
        <v>BOM</v>
      </c>
      <c r="M2303">
        <v>25</v>
      </c>
      <c r="N2303">
        <v>94.16</v>
      </c>
      <c r="O2303">
        <v>27.038626609442058</v>
      </c>
    </row>
    <row r="2304" spans="1:15" hidden="1" x14ac:dyDescent="0.25">
      <c r="A2304" s="11">
        <v>46072</v>
      </c>
      <c r="B2304" t="s">
        <v>20</v>
      </c>
      <c r="C2304" t="s">
        <v>16</v>
      </c>
      <c r="D2304">
        <v>8</v>
      </c>
      <c r="E2304">
        <v>7</v>
      </c>
      <c r="F2304">
        <v>63.32</v>
      </c>
      <c r="G2304">
        <v>0</v>
      </c>
      <c r="H2304">
        <v>0</v>
      </c>
      <c r="I2304" s="3">
        <f>E2304+G2304+H2304</f>
        <v>7</v>
      </c>
      <c r="J2304" s="3">
        <f>ROUND(MIN(IF(C2304="Técnico III",35,IF(C2304="Técnico II",28,IF(C2304="Técnico I",23,IF(C2304="JR",20,IF(C2304="Estágio",10,0))))),IF(C2304="Técnico III",SUMIFS($D:$D,$A:$A,$A2304,$B:$B,"&lt;&gt;Patrícia Karla de Sousa Araújo",$B:$B,"&lt;&gt;Lorena Dias de Araujo",$B:$B,"&lt;&gt;Lucas Luiz Romero")*(35/1083),IF(C2304="Técnico II",SUMIFS($D:$D,$A:$A,$A2304,$B:$B,"&lt;&gt;Patrícia Karla de Sousa Araújo",$B:$B,"&lt;&gt;Lorena Dias de Araujo",$B:$B,"&lt;&gt;Lucas Luiz Romero")*(28/1083),IF(C2304="Técnico I",SUMIFS($D:$D,$A:$A,$A2304,$B:$B,"&lt;&gt;Patrícia Karla de Sousa Araújo",$B:$B,"&lt;&gt;Lorena Dias de Araujo",$B:$B,"&lt;&gt;Lucas Luiz Romero")*(23/1083),IF(C2304="JR",SUMIFS($D:$D,$A:$A,$A2304,$B:$B,"&lt;&gt;Patrícia Karla de Sousa Araújo",$B:$B,"&lt;&gt;Lorena Dias de Araujo",$B:$B,"&lt;&gt;Lucas Luiz Romero")*(20/1083),IF(C2304="Estágio",SUMIFS($D:$D,$A:$A,$A2304,$B:$B,"&lt;&gt;Patrícia Karla de Sousa Araújo",$B:$B,"&lt;&gt;Lorena Dias de Araujo",$B:$B,"&lt;&gt;Lucas Luiz Romero")*(10/1083),0)))))),0)</f>
        <v>6</v>
      </c>
      <c r="K2304" s="3">
        <f>I2304-J2304</f>
        <v>1</v>
      </c>
      <c r="L2304" s="3" t="str">
        <f>IF(K2304&lt;-5,"CRÍTICO",IF(K2304&lt;0,"ATENÇÃO",IF(K2304&lt;=5,"BOM","EXCELENTE")))</f>
        <v>BOM</v>
      </c>
      <c r="M2304">
        <v>1</v>
      </c>
      <c r="N2304">
        <v>93.75</v>
      </c>
      <c r="O2304">
        <v>19.31818181818182</v>
      </c>
    </row>
    <row r="2305" spans="1:15" hidden="1" x14ac:dyDescent="0.25">
      <c r="A2305" s="11">
        <v>46072</v>
      </c>
      <c r="B2305" t="s">
        <v>28</v>
      </c>
      <c r="C2305" t="s">
        <v>26</v>
      </c>
      <c r="D2305">
        <v>0</v>
      </c>
      <c r="E2305">
        <v>0</v>
      </c>
      <c r="F2305">
        <v>0</v>
      </c>
      <c r="G2305">
        <v>0</v>
      </c>
      <c r="H2305">
        <v>0</v>
      </c>
      <c r="I2305" s="3">
        <v>0</v>
      </c>
      <c r="J2305" s="3">
        <v>0</v>
      </c>
      <c r="K2305" s="3">
        <v>0</v>
      </c>
      <c r="L2305" s="3" t="str">
        <f>IF(K2305&lt;-5,"CRÍTICO",IF(K2305&lt;0,"ATENÇÃO",IF(K2305&lt;=5,"BOM","EXCELENTE")))</f>
        <v>BOM</v>
      </c>
      <c r="M2305">
        <v>0</v>
      </c>
      <c r="N2305">
        <v>0</v>
      </c>
      <c r="O2305">
        <v>0</v>
      </c>
    </row>
    <row r="2306" spans="1:15" hidden="1" x14ac:dyDescent="0.25">
      <c r="A2306" s="11">
        <v>46072</v>
      </c>
      <c r="B2306" t="s">
        <v>58</v>
      </c>
      <c r="C2306" t="s">
        <v>48</v>
      </c>
      <c r="D2306">
        <v>0</v>
      </c>
      <c r="E2306">
        <v>0</v>
      </c>
      <c r="F2306">
        <v>0</v>
      </c>
      <c r="G2306">
        <v>0</v>
      </c>
      <c r="H2306">
        <v>0</v>
      </c>
      <c r="I2306" s="3">
        <v>0</v>
      </c>
      <c r="J2306" s="3">
        <v>0</v>
      </c>
      <c r="K2306" s="3">
        <v>0</v>
      </c>
      <c r="L2306" s="3" t="str">
        <f>IF(K2306&lt;-5,"CRÍTICO",IF(K2306&lt;0,"ATENÇÃO",IF(K2306&lt;=5,"BOM","EXCELENTE")))</f>
        <v>BOM</v>
      </c>
      <c r="M2306">
        <v>0</v>
      </c>
      <c r="N2306">
        <v>97.92</v>
      </c>
      <c r="O2306">
        <v>32.87671232876712</v>
      </c>
    </row>
    <row r="2307" spans="1:15" hidden="1" x14ac:dyDescent="0.25">
      <c r="A2307" s="11">
        <v>46072</v>
      </c>
      <c r="B2307" t="s">
        <v>29</v>
      </c>
      <c r="C2307" t="s">
        <v>26</v>
      </c>
      <c r="D2307">
        <v>0</v>
      </c>
      <c r="E2307">
        <v>0</v>
      </c>
      <c r="F2307">
        <v>0</v>
      </c>
      <c r="G2307">
        <v>0</v>
      </c>
      <c r="H2307">
        <v>0</v>
      </c>
      <c r="I2307" s="3">
        <v>0</v>
      </c>
      <c r="J2307" s="3">
        <v>0</v>
      </c>
      <c r="K2307" s="3">
        <v>0</v>
      </c>
      <c r="L2307" s="3" t="str">
        <f>IF(K2307&lt;-5,"CRÍTICO",IF(K2307&lt;0,"ATENÇÃO",IF(K2307&lt;=5,"BOM","EXCELENTE")))</f>
        <v>BOM</v>
      </c>
      <c r="M2307">
        <v>0</v>
      </c>
      <c r="N2307">
        <v>0</v>
      </c>
      <c r="O2307">
        <v>0</v>
      </c>
    </row>
    <row r="2308" spans="1:15" hidden="1" x14ac:dyDescent="0.25">
      <c r="A2308" s="11">
        <v>46072</v>
      </c>
      <c r="B2308" t="s">
        <v>30</v>
      </c>
      <c r="C2308" t="s">
        <v>26</v>
      </c>
      <c r="D2308">
        <v>0</v>
      </c>
      <c r="E2308">
        <v>0</v>
      </c>
      <c r="F2308">
        <v>0</v>
      </c>
      <c r="G2308">
        <v>0</v>
      </c>
      <c r="H2308">
        <v>0</v>
      </c>
      <c r="I2308" s="3">
        <v>0</v>
      </c>
      <c r="J2308" s="3">
        <v>0</v>
      </c>
      <c r="K2308" s="3">
        <v>0</v>
      </c>
      <c r="L2308" s="3" t="str">
        <f>IF(K2308&lt;-5,"CRÍTICO",IF(K2308&lt;0,"ATENÇÃO",IF(K2308&lt;=5,"BOM","EXCELENTE")))</f>
        <v>BOM</v>
      </c>
      <c r="M2308">
        <v>0</v>
      </c>
      <c r="N2308">
        <v>0</v>
      </c>
      <c r="O2308">
        <v>0</v>
      </c>
    </row>
    <row r="2309" spans="1:15" hidden="1" x14ac:dyDescent="0.25">
      <c r="A2309" s="11">
        <v>46072</v>
      </c>
      <c r="B2309" t="s">
        <v>21</v>
      </c>
      <c r="C2309" t="s">
        <v>16</v>
      </c>
      <c r="D2309">
        <v>0</v>
      </c>
      <c r="E2309">
        <v>0</v>
      </c>
      <c r="F2309">
        <v>0</v>
      </c>
      <c r="G2309">
        <v>0</v>
      </c>
      <c r="H2309">
        <v>0</v>
      </c>
      <c r="I2309" s="3">
        <v>0</v>
      </c>
      <c r="J2309" s="3">
        <v>0</v>
      </c>
      <c r="K2309" s="3">
        <v>0</v>
      </c>
      <c r="L2309" s="3" t="str">
        <f>IF(K2309&lt;-5,"CRÍTICO",IF(K2309&lt;0,"ATENÇÃO",IF(K2309&lt;=5,"BOM","EXCELENTE")))</f>
        <v>BOM</v>
      </c>
      <c r="M2309">
        <v>0</v>
      </c>
      <c r="N2309">
        <v>0</v>
      </c>
      <c r="O2309">
        <v>0</v>
      </c>
    </row>
    <row r="2310" spans="1:15" hidden="1" x14ac:dyDescent="0.25">
      <c r="A2310" s="11">
        <v>46072</v>
      </c>
      <c r="B2310" t="s">
        <v>63</v>
      </c>
      <c r="C2310" t="s">
        <v>23</v>
      </c>
      <c r="D2310">
        <v>21</v>
      </c>
      <c r="E2310">
        <v>21</v>
      </c>
      <c r="F2310">
        <v>28.24</v>
      </c>
      <c r="G2310">
        <v>0</v>
      </c>
      <c r="H2310">
        <v>0</v>
      </c>
      <c r="I2310" s="3">
        <f>E2310+G2310+H2310</f>
        <v>21</v>
      </c>
      <c r="J2310" s="3">
        <f>ROUND(MIN(IF(C2310="Técnico III",35,IF(C2310="Técnico II",28,IF(C2310="Técnico I",23,IF(C2310="JR",20,IF(C2310="Estágio",10,0))))),IF(C2310="Técnico III",SUMIFS($D:$D,$A:$A,$A2310,$B:$B,"&lt;&gt;Patrícia Karla de Sousa Araújo",$B:$B,"&lt;&gt;Lorena Dias de Araujo",$B:$B,"&lt;&gt;Lucas Luiz Romero")*(35/1083),IF(C2310="Técnico II",SUMIFS($D:$D,$A:$A,$A2310,$B:$B,"&lt;&gt;Patrícia Karla de Sousa Araújo",$B:$B,"&lt;&gt;Lorena Dias de Araujo",$B:$B,"&lt;&gt;Lucas Luiz Romero")*(28/1083),IF(C2310="Técnico I",SUMIFS($D:$D,$A:$A,$A2310,$B:$B,"&lt;&gt;Patrícia Karla de Sousa Araújo",$B:$B,"&lt;&gt;Lorena Dias de Araujo",$B:$B,"&lt;&gt;Lucas Luiz Romero")*(23/1083),IF(C2310="JR",SUMIFS($D:$D,$A:$A,$A2310,$B:$B,"&lt;&gt;Patrícia Karla de Sousa Araújo",$B:$B,"&lt;&gt;Lorena Dias de Araujo",$B:$B,"&lt;&gt;Lucas Luiz Romero")*(20/1083),IF(C2310="Estágio",SUMIFS($D:$D,$A:$A,$A2310,$B:$B,"&lt;&gt;Patrícia Karla de Sousa Araújo",$B:$B,"&lt;&gt;Lorena Dias de Araujo",$B:$B,"&lt;&gt;Lucas Luiz Romero")*(10/1083),0)))))),0)</f>
        <v>15</v>
      </c>
      <c r="K2310" s="3">
        <f>I2310-J2310</f>
        <v>6</v>
      </c>
      <c r="L2310" s="3" t="str">
        <f>IF(K2310&lt;-5,"CRÍTICO",IF(K2310&lt;0,"ATENÇÃO",IF(K2310&lt;=5,"BOM","EXCELENTE")))</f>
        <v>EXCELENTE</v>
      </c>
      <c r="M2310">
        <v>18</v>
      </c>
      <c r="N2310">
        <v>98.51</v>
      </c>
      <c r="O2310">
        <v>29.710144927536231</v>
      </c>
    </row>
    <row r="2311" spans="1:15" hidden="1" x14ac:dyDescent="0.25">
      <c r="A2311" s="11">
        <v>46072</v>
      </c>
      <c r="B2311" t="s">
        <v>45</v>
      </c>
      <c r="C2311" t="s">
        <v>32</v>
      </c>
      <c r="D2311">
        <v>29</v>
      </c>
      <c r="E2311">
        <v>26</v>
      </c>
      <c r="F2311">
        <v>20.16</v>
      </c>
      <c r="G2311">
        <v>0</v>
      </c>
      <c r="H2311">
        <v>0</v>
      </c>
      <c r="I2311" s="3">
        <f>E2311+G2311+H2311</f>
        <v>26</v>
      </c>
      <c r="J2311" s="3">
        <f>ROUND(MIN(IF(C2311="Técnico III",35,IF(C2311="Técnico II",28,IF(C2311="Técnico I",23,IF(C2311="JR",20,IF(C2311="Estágio",10,0))))),IF(C2311="Técnico III",SUMIFS($D:$D,$A:$A,$A2311,$B:$B,"&lt;&gt;Patrícia Karla de Sousa Araújo",$B:$B,"&lt;&gt;Lorena Dias de Araujo",$B:$B,"&lt;&gt;Lucas Luiz Romero")*(35/1083),IF(C2311="Técnico II",SUMIFS($D:$D,$A:$A,$A2311,$B:$B,"&lt;&gt;Patrícia Karla de Sousa Araújo",$B:$B,"&lt;&gt;Lorena Dias de Araujo",$B:$B,"&lt;&gt;Lucas Luiz Romero")*(28/1083),IF(C2311="Técnico I",SUMIFS($D:$D,$A:$A,$A2311,$B:$B,"&lt;&gt;Patrícia Karla de Sousa Araújo",$B:$B,"&lt;&gt;Lorena Dias de Araujo",$B:$B,"&lt;&gt;Lucas Luiz Romero")*(23/1083),IF(C2311="JR",SUMIFS($D:$D,$A:$A,$A2311,$B:$B,"&lt;&gt;Patrícia Karla de Sousa Araújo",$B:$B,"&lt;&gt;Lorena Dias de Araujo",$B:$B,"&lt;&gt;Lucas Luiz Romero")*(20/1083),IF(C2311="Estágio",SUMIFS($D:$D,$A:$A,$A2311,$B:$B,"&lt;&gt;Patrícia Karla de Sousa Araújo",$B:$B,"&lt;&gt;Lorena Dias de Araujo",$B:$B,"&lt;&gt;Lucas Luiz Romero")*(10/1083),0)))))),0)</f>
        <v>23</v>
      </c>
      <c r="K2311" s="3">
        <f>I2311-J2311</f>
        <v>3</v>
      </c>
      <c r="L2311" s="3" t="str">
        <f>IF(K2311&lt;-5,"CRÍTICO",IF(K2311&lt;0,"ATENÇÃO",IF(K2311&lt;=5,"BOM","EXCELENTE")))</f>
        <v>BOM</v>
      </c>
      <c r="M2311">
        <v>27</v>
      </c>
      <c r="N2311">
        <v>98.81</v>
      </c>
      <c r="O2311">
        <v>30.712979890310791</v>
      </c>
    </row>
    <row r="2312" spans="1:15" hidden="1" x14ac:dyDescent="0.25">
      <c r="A2312" s="11">
        <v>46072</v>
      </c>
      <c r="B2312" t="s">
        <v>64</v>
      </c>
      <c r="C2312" t="s">
        <v>23</v>
      </c>
      <c r="D2312">
        <v>12</v>
      </c>
      <c r="E2312">
        <v>12</v>
      </c>
      <c r="F2312">
        <v>48.38</v>
      </c>
      <c r="G2312">
        <v>0</v>
      </c>
      <c r="H2312">
        <v>0</v>
      </c>
      <c r="I2312" s="3">
        <f>E2312+G2312+H2312</f>
        <v>12</v>
      </c>
      <c r="J2312" s="3">
        <f>ROUND(MIN(IF(C2312="Técnico III",35,IF(C2312="Técnico II",28,IF(C2312="Técnico I",23,IF(C2312="JR",20,IF(C2312="Estágio",10,0))))),IF(C2312="Técnico III",SUMIFS($D:$D,$A:$A,$A2312,$B:$B,"&lt;&gt;Patrícia Karla de Sousa Araújo",$B:$B,"&lt;&gt;Lorena Dias de Araujo",$B:$B,"&lt;&gt;Lucas Luiz Romero")*(35/1083),IF(C2312="Técnico II",SUMIFS($D:$D,$A:$A,$A2312,$B:$B,"&lt;&gt;Patrícia Karla de Sousa Araújo",$B:$B,"&lt;&gt;Lorena Dias de Araujo",$B:$B,"&lt;&gt;Lucas Luiz Romero")*(28/1083),IF(C2312="Técnico I",SUMIFS($D:$D,$A:$A,$A2312,$B:$B,"&lt;&gt;Patrícia Karla de Sousa Araújo",$B:$B,"&lt;&gt;Lorena Dias de Araujo",$B:$B,"&lt;&gt;Lucas Luiz Romero")*(23/1083),IF(C2312="JR",SUMIFS($D:$D,$A:$A,$A2312,$B:$B,"&lt;&gt;Patrícia Karla de Sousa Araújo",$B:$B,"&lt;&gt;Lorena Dias de Araujo",$B:$B,"&lt;&gt;Lucas Luiz Romero")*(20/1083),IF(C2312="Estágio",SUMIFS($D:$D,$A:$A,$A2312,$B:$B,"&lt;&gt;Patrícia Karla de Sousa Araújo",$B:$B,"&lt;&gt;Lorena Dias de Araujo",$B:$B,"&lt;&gt;Lucas Luiz Romero")*(10/1083),0)))))),0)</f>
        <v>15</v>
      </c>
      <c r="K2312" s="3">
        <f>I2312-J2312</f>
        <v>-3</v>
      </c>
      <c r="L2312" s="3" t="str">
        <f>IF(K2312&lt;-5,"CRÍTICO",IF(K2312&lt;0,"ATENÇÃO",IF(K2312&lt;=5,"BOM","EXCELENTE")))</f>
        <v>ATENÇÃO</v>
      </c>
      <c r="M2312">
        <v>11</v>
      </c>
      <c r="N2312">
        <v>98.48</v>
      </c>
      <c r="O2312">
        <v>29.35323383084577</v>
      </c>
    </row>
    <row r="2313" spans="1:15" hidden="1" x14ac:dyDescent="0.25">
      <c r="A2313" s="11">
        <v>46072</v>
      </c>
      <c r="B2313" t="s">
        <v>46</v>
      </c>
      <c r="C2313" t="s">
        <v>32</v>
      </c>
      <c r="D2313">
        <v>36</v>
      </c>
      <c r="E2313">
        <v>33</v>
      </c>
      <c r="F2313">
        <v>17.29</v>
      </c>
      <c r="G2313">
        <v>0</v>
      </c>
      <c r="H2313">
        <v>0</v>
      </c>
      <c r="I2313" s="3">
        <f>E2313+G2313+H2313</f>
        <v>33</v>
      </c>
      <c r="J2313" s="3">
        <f>ROUND(MIN(IF(C2313="Técnico III",35,IF(C2313="Técnico II",28,IF(C2313="Técnico I",23,IF(C2313="JR",20,IF(C2313="Estágio",10,0))))),IF(C2313="Técnico III",SUMIFS($D:$D,$A:$A,$A2313,$B:$B,"&lt;&gt;Patrícia Karla de Sousa Araújo",$B:$B,"&lt;&gt;Lorena Dias de Araujo",$B:$B,"&lt;&gt;Lucas Luiz Romero")*(35/1083),IF(C2313="Técnico II",SUMIFS($D:$D,$A:$A,$A2313,$B:$B,"&lt;&gt;Patrícia Karla de Sousa Araújo",$B:$B,"&lt;&gt;Lorena Dias de Araujo",$B:$B,"&lt;&gt;Lucas Luiz Romero")*(28/1083),IF(C2313="Técnico I",SUMIFS($D:$D,$A:$A,$A2313,$B:$B,"&lt;&gt;Patrícia Karla de Sousa Araújo",$B:$B,"&lt;&gt;Lorena Dias de Araujo",$B:$B,"&lt;&gt;Lucas Luiz Romero")*(23/1083),IF(C2313="JR",SUMIFS($D:$D,$A:$A,$A2313,$B:$B,"&lt;&gt;Patrícia Karla de Sousa Araújo",$B:$B,"&lt;&gt;Lorena Dias de Araujo",$B:$B,"&lt;&gt;Lucas Luiz Romero")*(20/1083),IF(C2313="Estágio",SUMIFS($D:$D,$A:$A,$A2313,$B:$B,"&lt;&gt;Patrícia Karla de Sousa Araújo",$B:$B,"&lt;&gt;Lorena Dias de Araujo",$B:$B,"&lt;&gt;Lucas Luiz Romero")*(10/1083),0)))))),0)</f>
        <v>23</v>
      </c>
      <c r="K2313" s="3">
        <f>I2313-J2313</f>
        <v>10</v>
      </c>
      <c r="L2313" s="3" t="str">
        <f>IF(K2313&lt;-5,"CRÍTICO",IF(K2313&lt;0,"ATENÇÃO",IF(K2313&lt;=5,"BOM","EXCELENTE")))</f>
        <v>EXCELENTE</v>
      </c>
      <c r="M2313">
        <v>27</v>
      </c>
      <c r="N2313">
        <v>98.56</v>
      </c>
      <c r="O2313">
        <v>29.373650107991359</v>
      </c>
    </row>
    <row r="2314" spans="1:15" hidden="1" x14ac:dyDescent="0.25">
      <c r="A2314" s="11">
        <v>46073</v>
      </c>
      <c r="B2314" t="s">
        <v>47</v>
      </c>
      <c r="C2314" t="s">
        <v>48</v>
      </c>
      <c r="D2314">
        <v>20</v>
      </c>
      <c r="E2314">
        <v>18</v>
      </c>
      <c r="F2314">
        <v>33.270000000000003</v>
      </c>
      <c r="G2314">
        <v>0</v>
      </c>
      <c r="H2314">
        <v>0</v>
      </c>
      <c r="I2314" s="3">
        <f>E2314+G2314+H2314</f>
        <v>18</v>
      </c>
      <c r="J2314" s="3">
        <f>ROUND(MIN(IF(C2314="Técnico III",35,IF(C2314="Técnico II",28,IF(C2314="Técnico I",23,IF(C2314="JR",20,IF(C2314="Estágio",10,0))))),IF(C2314="Técnico III",SUMIFS($D:$D,$A:$A,$A2314,$B:$B,"&lt;&gt;Patrícia Karla de Sousa Araújo",$B:$B,"&lt;&gt;Lorena Dias de Araujo",$B:$B,"&lt;&gt;Lucas Luiz Romero")*(35/1083),IF(C2314="Técnico II",SUMIFS($D:$D,$A:$A,$A2314,$B:$B,"&lt;&gt;Patrícia Karla de Sousa Araújo",$B:$B,"&lt;&gt;Lorena Dias de Araujo",$B:$B,"&lt;&gt;Lucas Luiz Romero")*(28/1083),IF(C2314="Técnico I",SUMIFS($D:$D,$A:$A,$A2314,$B:$B,"&lt;&gt;Patrícia Karla de Sousa Araújo",$B:$B,"&lt;&gt;Lorena Dias de Araujo",$B:$B,"&lt;&gt;Lucas Luiz Romero")*(23/1083),IF(C2314="JR",SUMIFS($D:$D,$A:$A,$A2314,$B:$B,"&lt;&gt;Patrícia Karla de Sousa Araújo",$B:$B,"&lt;&gt;Lorena Dias de Araujo",$B:$B,"&lt;&gt;Lucas Luiz Romero")*(20/1083),IF(C2314="Estágio",SUMIFS($D:$D,$A:$A,$A2314,$B:$B,"&lt;&gt;Patrícia Karla de Sousa Araújo",$B:$B,"&lt;&gt;Lorena Dias de Araujo",$B:$B,"&lt;&gt;Lucas Luiz Romero")*(10/1083),0)))))),0)</f>
        <v>19</v>
      </c>
      <c r="K2314" s="3">
        <f>I2314-J2314</f>
        <v>-1</v>
      </c>
      <c r="L2314" s="3" t="str">
        <f>IF(K2314&lt;-5,"CRÍTICO",IF(K2314&lt;0,"ATENÇÃO",IF(K2314&lt;=5,"BOM","EXCELENTE")))</f>
        <v>ATENÇÃO</v>
      </c>
      <c r="M2314">
        <v>18</v>
      </c>
      <c r="N2314">
        <v>98.32</v>
      </c>
      <c r="O2314">
        <v>30.303030303030301</v>
      </c>
    </row>
    <row r="2315" spans="1:15" hidden="1" x14ac:dyDescent="0.25">
      <c r="A2315" s="11">
        <v>46073</v>
      </c>
      <c r="B2315" t="s">
        <v>31</v>
      </c>
      <c r="C2315" t="s">
        <v>32</v>
      </c>
      <c r="D2315">
        <v>0</v>
      </c>
      <c r="E2315">
        <v>0</v>
      </c>
      <c r="F2315">
        <v>0</v>
      </c>
      <c r="G2315">
        <v>0</v>
      </c>
      <c r="H2315">
        <v>0</v>
      </c>
      <c r="I2315" s="3">
        <v>0</v>
      </c>
      <c r="J2315" s="3">
        <v>0</v>
      </c>
      <c r="K2315" s="3">
        <v>0</v>
      </c>
      <c r="L2315" s="3" t="str">
        <f>IF(K2315&lt;-5,"CRÍTICO",IF(K2315&lt;0,"ATENÇÃO",IF(K2315&lt;=5,"BOM","EXCELENTE")))</f>
        <v>BOM</v>
      </c>
      <c r="M2315">
        <v>25</v>
      </c>
      <c r="N2315">
        <v>98.68</v>
      </c>
      <c r="O2315">
        <v>26.219512195121951</v>
      </c>
    </row>
    <row r="2316" spans="1:15" hidden="1" x14ac:dyDescent="0.25">
      <c r="A2316" s="11">
        <v>46073</v>
      </c>
      <c r="B2316" t="s">
        <v>59</v>
      </c>
      <c r="C2316" t="s">
        <v>23</v>
      </c>
      <c r="D2316">
        <v>20</v>
      </c>
      <c r="E2316">
        <v>19</v>
      </c>
      <c r="F2316">
        <v>28.28</v>
      </c>
      <c r="G2316">
        <v>0</v>
      </c>
      <c r="H2316">
        <v>0</v>
      </c>
      <c r="I2316" s="3">
        <f>E2316+G2316+H2316</f>
        <v>19</v>
      </c>
      <c r="J2316" s="3">
        <f>ROUND(MIN(IF(C2316="Técnico III",35,IF(C2316="Técnico II",28,IF(C2316="Técnico I",23,IF(C2316="JR",20,IF(C2316="Estágio",10,0))))),IF(C2316="Técnico III",SUMIFS($D:$D,$A:$A,$A2316,$B:$B,"&lt;&gt;Patrícia Karla de Sousa Araújo",$B:$B,"&lt;&gt;Lorena Dias de Araujo",$B:$B,"&lt;&gt;Lucas Luiz Romero")*(35/1083),IF(C2316="Técnico II",SUMIFS($D:$D,$A:$A,$A2316,$B:$B,"&lt;&gt;Patrícia Karla de Sousa Araújo",$B:$B,"&lt;&gt;Lorena Dias de Araujo",$B:$B,"&lt;&gt;Lucas Luiz Romero")*(28/1083),IF(C2316="Técnico I",SUMIFS($D:$D,$A:$A,$A2316,$B:$B,"&lt;&gt;Patrícia Karla de Sousa Araújo",$B:$B,"&lt;&gt;Lorena Dias de Araujo",$B:$B,"&lt;&gt;Lucas Luiz Romero")*(23/1083),IF(C2316="JR",SUMIFS($D:$D,$A:$A,$A2316,$B:$B,"&lt;&gt;Patrícia Karla de Sousa Araújo",$B:$B,"&lt;&gt;Lorena Dias de Araujo",$B:$B,"&lt;&gt;Lucas Luiz Romero")*(20/1083),IF(C2316="Estágio",SUMIFS($D:$D,$A:$A,$A2316,$B:$B,"&lt;&gt;Patrícia Karla de Sousa Araújo",$B:$B,"&lt;&gt;Lorena Dias de Araujo",$B:$B,"&lt;&gt;Lucas Luiz Romero")*(10/1083),0)))))),0)</f>
        <v>15</v>
      </c>
      <c r="K2316" s="3">
        <f>I2316-J2316</f>
        <v>4</v>
      </c>
      <c r="L2316" s="3" t="str">
        <f>IF(K2316&lt;-5,"CRÍTICO",IF(K2316&lt;0,"ATENÇÃO",IF(K2316&lt;=5,"BOM","EXCELENTE")))</f>
        <v>BOM</v>
      </c>
      <c r="M2316">
        <v>18</v>
      </c>
      <c r="N2316">
        <v>100</v>
      </c>
      <c r="O2316">
        <v>31.74224343675418</v>
      </c>
    </row>
    <row r="2317" spans="1:15" hidden="1" x14ac:dyDescent="0.25">
      <c r="A2317" s="11">
        <v>46073</v>
      </c>
      <c r="B2317" t="s">
        <v>33</v>
      </c>
      <c r="C2317" t="s">
        <v>32</v>
      </c>
      <c r="D2317">
        <v>33</v>
      </c>
      <c r="E2317">
        <v>31</v>
      </c>
      <c r="F2317">
        <v>25.14</v>
      </c>
      <c r="G2317">
        <v>0</v>
      </c>
      <c r="H2317">
        <v>0</v>
      </c>
      <c r="I2317" s="3">
        <f>E2317+G2317+H2317</f>
        <v>31</v>
      </c>
      <c r="J2317" s="3">
        <f>ROUND(MIN(IF(C2317="Técnico III",35,IF(C2317="Técnico II",28,IF(C2317="Técnico I",23,IF(C2317="JR",20,IF(C2317="Estágio",10,0))))),IF(C2317="Técnico III",SUMIFS($D:$D,$A:$A,$A2317,$B:$B,"&lt;&gt;Patrícia Karla de Sousa Araújo",$B:$B,"&lt;&gt;Lorena Dias de Araujo",$B:$B,"&lt;&gt;Lucas Luiz Romero")*(35/1083),IF(C2317="Técnico II",SUMIFS($D:$D,$A:$A,$A2317,$B:$B,"&lt;&gt;Patrícia Karla de Sousa Araújo",$B:$B,"&lt;&gt;Lorena Dias de Araujo",$B:$B,"&lt;&gt;Lucas Luiz Romero")*(28/1083),IF(C2317="Técnico I",SUMIFS($D:$D,$A:$A,$A2317,$B:$B,"&lt;&gt;Patrícia Karla de Sousa Araújo",$B:$B,"&lt;&gt;Lorena Dias de Araujo",$B:$B,"&lt;&gt;Lucas Luiz Romero")*(23/1083),IF(C2317="JR",SUMIFS($D:$D,$A:$A,$A2317,$B:$B,"&lt;&gt;Patrícia Karla de Sousa Araújo",$B:$B,"&lt;&gt;Lorena Dias de Araujo",$B:$B,"&lt;&gt;Lucas Luiz Romero")*(20/1083),IF(C2317="Estágio",SUMIFS($D:$D,$A:$A,$A2317,$B:$B,"&lt;&gt;Patrícia Karla de Sousa Araújo",$B:$B,"&lt;&gt;Lorena Dias de Araujo",$B:$B,"&lt;&gt;Lucas Luiz Romero")*(10/1083),0)))))),0)</f>
        <v>23</v>
      </c>
      <c r="K2317" s="3">
        <f>I2317-J2317</f>
        <v>8</v>
      </c>
      <c r="L2317" s="3" t="str">
        <f>IF(K2317&lt;-5,"CRÍTICO",IF(K2317&lt;0,"ATENÇÃO",IF(K2317&lt;=5,"BOM","EXCELENTE")))</f>
        <v>EXCELENTE</v>
      </c>
      <c r="M2317">
        <v>28</v>
      </c>
      <c r="N2317">
        <v>98.25</v>
      </c>
      <c r="O2317">
        <v>25.83518930957684</v>
      </c>
    </row>
    <row r="2318" spans="1:15" hidden="1" x14ac:dyDescent="0.25">
      <c r="A2318" s="11">
        <v>46073</v>
      </c>
      <c r="B2318" t="s">
        <v>15</v>
      </c>
      <c r="C2318" t="s">
        <v>16</v>
      </c>
      <c r="D2318">
        <v>11</v>
      </c>
      <c r="E2318">
        <v>11</v>
      </c>
      <c r="F2318">
        <v>28.53</v>
      </c>
      <c r="G2318">
        <v>0</v>
      </c>
      <c r="H2318">
        <v>0</v>
      </c>
      <c r="I2318" s="3">
        <f>E2318+G2318+H2318</f>
        <v>11</v>
      </c>
      <c r="J2318" s="3">
        <f>ROUND(MIN(IF(C2318="Técnico III",35,IF(C2318="Técnico II",28,IF(C2318="Técnico I",23,IF(C2318="JR",20,IF(C2318="Estágio",10,0))))),IF(C2318="Técnico III",SUMIFS($D:$D,$A:$A,$A2318,$B:$B,"&lt;&gt;Patrícia Karla de Sousa Araújo",$B:$B,"&lt;&gt;Lorena Dias de Araujo",$B:$B,"&lt;&gt;Lucas Luiz Romero")*(35/1083),IF(C2318="Técnico II",SUMIFS($D:$D,$A:$A,$A2318,$B:$B,"&lt;&gt;Patrícia Karla de Sousa Araújo",$B:$B,"&lt;&gt;Lorena Dias de Araujo",$B:$B,"&lt;&gt;Lucas Luiz Romero")*(28/1083),IF(C2318="Técnico I",SUMIFS($D:$D,$A:$A,$A2318,$B:$B,"&lt;&gt;Patrícia Karla de Sousa Araújo",$B:$B,"&lt;&gt;Lorena Dias de Araujo",$B:$B,"&lt;&gt;Lucas Luiz Romero")*(23/1083),IF(C2318="JR",SUMIFS($D:$D,$A:$A,$A2318,$B:$B,"&lt;&gt;Patrícia Karla de Sousa Araújo",$B:$B,"&lt;&gt;Lorena Dias de Araujo",$B:$B,"&lt;&gt;Lucas Luiz Romero")*(20/1083),IF(C2318="Estágio",SUMIFS($D:$D,$A:$A,$A2318,$B:$B,"&lt;&gt;Patrícia Karla de Sousa Araújo",$B:$B,"&lt;&gt;Lorena Dias de Araujo",$B:$B,"&lt;&gt;Lucas Luiz Romero")*(10/1083),0)))))),0)</f>
        <v>7</v>
      </c>
      <c r="K2318" s="3">
        <f>I2318-J2318</f>
        <v>4</v>
      </c>
      <c r="L2318" s="3" t="str">
        <f>IF(K2318&lt;-5,"CRÍTICO",IF(K2318&lt;0,"ATENÇÃO",IF(K2318&lt;=5,"BOM","EXCELENTE")))</f>
        <v>BOM</v>
      </c>
      <c r="M2318">
        <v>9</v>
      </c>
      <c r="N2318">
        <v>97.5</v>
      </c>
      <c r="O2318">
        <v>30.075187969924809</v>
      </c>
    </row>
    <row r="2319" spans="1:15" hidden="1" x14ac:dyDescent="0.25">
      <c r="A2319" s="11">
        <v>46073</v>
      </c>
      <c r="B2319" t="s">
        <v>49</v>
      </c>
      <c r="C2319" t="s">
        <v>48</v>
      </c>
      <c r="D2319">
        <v>34</v>
      </c>
      <c r="E2319">
        <v>29</v>
      </c>
      <c r="F2319">
        <v>15.39</v>
      </c>
      <c r="G2319">
        <v>0</v>
      </c>
      <c r="H2319">
        <v>0</v>
      </c>
      <c r="I2319" s="3">
        <f>E2319+G2319+H2319</f>
        <v>29</v>
      </c>
      <c r="J2319" s="3">
        <f>ROUND(MIN(IF(C2319="Técnico III",35,IF(C2319="Técnico II",28,IF(C2319="Técnico I",23,IF(C2319="JR",20,IF(C2319="Estágio",10,0))))),IF(C2319="Técnico III",SUMIFS($D:$D,$A:$A,$A2319,$B:$B,"&lt;&gt;Patrícia Karla de Sousa Araújo",$B:$B,"&lt;&gt;Lorena Dias de Araujo",$B:$B,"&lt;&gt;Lucas Luiz Romero")*(35/1083),IF(C2319="Técnico II",SUMIFS($D:$D,$A:$A,$A2319,$B:$B,"&lt;&gt;Patrícia Karla de Sousa Araújo",$B:$B,"&lt;&gt;Lorena Dias de Araujo",$B:$B,"&lt;&gt;Lucas Luiz Romero")*(28/1083),IF(C2319="Técnico I",SUMIFS($D:$D,$A:$A,$A2319,$B:$B,"&lt;&gt;Patrícia Karla de Sousa Araújo",$B:$B,"&lt;&gt;Lorena Dias de Araujo",$B:$B,"&lt;&gt;Lucas Luiz Romero")*(23/1083),IF(C2319="JR",SUMIFS($D:$D,$A:$A,$A2319,$B:$B,"&lt;&gt;Patrícia Karla de Sousa Araújo",$B:$B,"&lt;&gt;Lorena Dias de Araujo",$B:$B,"&lt;&gt;Lucas Luiz Romero")*(20/1083),IF(C2319="Estágio",SUMIFS($D:$D,$A:$A,$A2319,$B:$B,"&lt;&gt;Patrícia Karla de Sousa Araújo",$B:$B,"&lt;&gt;Lorena Dias de Araujo",$B:$B,"&lt;&gt;Lucas Luiz Romero")*(10/1083),0)))))),0)</f>
        <v>19</v>
      </c>
      <c r="K2319" s="3">
        <f>I2319-J2319</f>
        <v>10</v>
      </c>
      <c r="L2319" s="3" t="str">
        <f>IF(K2319&lt;-5,"CRÍTICO",IF(K2319&lt;0,"ATENÇÃO",IF(K2319&lt;=5,"BOM","EXCELENTE")))</f>
        <v>EXCELENTE</v>
      </c>
      <c r="M2319">
        <v>29</v>
      </c>
      <c r="N2319">
        <v>100</v>
      </c>
      <c r="O2319">
        <v>29.71311475409836</v>
      </c>
    </row>
    <row r="2320" spans="1:15" hidden="1" x14ac:dyDescent="0.25">
      <c r="A2320" s="11">
        <v>46073</v>
      </c>
      <c r="B2320" t="s">
        <v>50</v>
      </c>
      <c r="C2320" t="s">
        <v>48</v>
      </c>
      <c r="D2320">
        <v>17</v>
      </c>
      <c r="E2320">
        <v>16</v>
      </c>
      <c r="F2320">
        <v>37.270000000000003</v>
      </c>
      <c r="G2320">
        <v>0</v>
      </c>
      <c r="H2320">
        <v>0</v>
      </c>
      <c r="I2320" s="3">
        <f>E2320+G2320+H2320</f>
        <v>16</v>
      </c>
      <c r="J2320" s="3">
        <f>ROUND(MIN(IF(C2320="Técnico III",35,IF(C2320="Técnico II",28,IF(C2320="Técnico I",23,IF(C2320="JR",20,IF(C2320="Estágio",10,0))))),IF(C2320="Técnico III",SUMIFS($D:$D,$A:$A,$A2320,$B:$B,"&lt;&gt;Patrícia Karla de Sousa Araújo",$B:$B,"&lt;&gt;Lorena Dias de Araujo",$B:$B,"&lt;&gt;Lucas Luiz Romero")*(35/1083),IF(C2320="Técnico II",SUMIFS($D:$D,$A:$A,$A2320,$B:$B,"&lt;&gt;Patrícia Karla de Sousa Araújo",$B:$B,"&lt;&gt;Lorena Dias de Araujo",$B:$B,"&lt;&gt;Lucas Luiz Romero")*(28/1083),IF(C2320="Técnico I",SUMIFS($D:$D,$A:$A,$A2320,$B:$B,"&lt;&gt;Patrícia Karla de Sousa Araújo",$B:$B,"&lt;&gt;Lorena Dias de Araujo",$B:$B,"&lt;&gt;Lucas Luiz Romero")*(23/1083),IF(C2320="JR",SUMIFS($D:$D,$A:$A,$A2320,$B:$B,"&lt;&gt;Patrícia Karla de Sousa Araújo",$B:$B,"&lt;&gt;Lorena Dias de Araujo",$B:$B,"&lt;&gt;Lucas Luiz Romero")*(20/1083),IF(C2320="Estágio",SUMIFS($D:$D,$A:$A,$A2320,$B:$B,"&lt;&gt;Patrícia Karla de Sousa Araújo",$B:$B,"&lt;&gt;Lorena Dias de Araujo",$B:$B,"&lt;&gt;Lucas Luiz Romero")*(10/1083),0)))))),0)</f>
        <v>19</v>
      </c>
      <c r="K2320" s="3">
        <f>I2320-J2320</f>
        <v>-3</v>
      </c>
      <c r="L2320" s="3" t="str">
        <f>IF(K2320&lt;-5,"CRÍTICO",IF(K2320&lt;0,"ATENÇÃO",IF(K2320&lt;=5,"BOM","EXCELENTE")))</f>
        <v>ATENÇÃO</v>
      </c>
      <c r="M2320">
        <v>19</v>
      </c>
      <c r="N2320">
        <v>99.22</v>
      </c>
      <c r="O2320">
        <v>35.256410256410263</v>
      </c>
    </row>
    <row r="2321" spans="1:15" hidden="1" x14ac:dyDescent="0.25">
      <c r="A2321" s="11">
        <v>46073</v>
      </c>
      <c r="B2321" t="s">
        <v>17</v>
      </c>
      <c r="C2321" t="s">
        <v>16</v>
      </c>
      <c r="D2321">
        <v>0</v>
      </c>
      <c r="E2321">
        <v>0</v>
      </c>
      <c r="F2321">
        <v>0</v>
      </c>
      <c r="G2321">
        <v>0</v>
      </c>
      <c r="H2321">
        <v>0</v>
      </c>
      <c r="I2321" s="3">
        <v>0</v>
      </c>
      <c r="J2321" s="3">
        <v>0</v>
      </c>
      <c r="K2321" s="3">
        <v>0</v>
      </c>
      <c r="L2321" s="3" t="str">
        <f>IF(K2321&lt;-5,"CRÍTICO",IF(K2321&lt;0,"ATENÇÃO",IF(K2321&lt;=5,"BOM","EXCELENTE")))</f>
        <v>BOM</v>
      </c>
      <c r="M2321">
        <v>0</v>
      </c>
      <c r="N2321">
        <v>0</v>
      </c>
      <c r="O2321">
        <v>0</v>
      </c>
    </row>
    <row r="2322" spans="1:15" hidden="1" x14ac:dyDescent="0.25">
      <c r="A2322" s="11">
        <v>46073</v>
      </c>
      <c r="B2322" t="s">
        <v>60</v>
      </c>
      <c r="C2322" t="s">
        <v>23</v>
      </c>
      <c r="D2322">
        <v>18</v>
      </c>
      <c r="E2322">
        <v>18</v>
      </c>
      <c r="F2322">
        <v>38.42</v>
      </c>
      <c r="G2322">
        <v>0</v>
      </c>
      <c r="H2322">
        <v>0</v>
      </c>
      <c r="I2322" s="3">
        <f>E2322+G2322+H2322</f>
        <v>18</v>
      </c>
      <c r="J2322" s="3">
        <f>ROUND(MIN(IF(C2322="Técnico III",35,IF(C2322="Técnico II",28,IF(C2322="Técnico I",23,IF(C2322="JR",20,IF(C2322="Estágio",10,0))))),IF(C2322="Técnico III",SUMIFS($D:$D,$A:$A,$A2322,$B:$B,"&lt;&gt;Patrícia Karla de Sousa Araújo",$B:$B,"&lt;&gt;Lorena Dias de Araujo",$B:$B,"&lt;&gt;Lucas Luiz Romero")*(35/1083),IF(C2322="Técnico II",SUMIFS($D:$D,$A:$A,$A2322,$B:$B,"&lt;&gt;Patrícia Karla de Sousa Araújo",$B:$B,"&lt;&gt;Lorena Dias de Araujo",$B:$B,"&lt;&gt;Lucas Luiz Romero")*(28/1083),IF(C2322="Técnico I",SUMIFS($D:$D,$A:$A,$A2322,$B:$B,"&lt;&gt;Patrícia Karla de Sousa Araújo",$B:$B,"&lt;&gt;Lorena Dias de Araujo",$B:$B,"&lt;&gt;Lucas Luiz Romero")*(23/1083),IF(C2322="JR",SUMIFS($D:$D,$A:$A,$A2322,$B:$B,"&lt;&gt;Patrícia Karla de Sousa Araújo",$B:$B,"&lt;&gt;Lorena Dias de Araujo",$B:$B,"&lt;&gt;Lucas Luiz Romero")*(20/1083),IF(C2322="Estágio",SUMIFS($D:$D,$A:$A,$A2322,$B:$B,"&lt;&gt;Patrícia Karla de Sousa Araújo",$B:$B,"&lt;&gt;Lorena Dias de Araujo",$B:$B,"&lt;&gt;Lucas Luiz Romero")*(10/1083),0)))))),0)</f>
        <v>15</v>
      </c>
      <c r="K2322" s="3">
        <f>I2322-J2322</f>
        <v>3</v>
      </c>
      <c r="L2322" s="3" t="str">
        <f>IF(K2322&lt;-5,"CRÍTICO",IF(K2322&lt;0,"ATENÇÃO",IF(K2322&lt;=5,"BOM","EXCELENTE")))</f>
        <v>BOM</v>
      </c>
      <c r="M2322">
        <v>18</v>
      </c>
      <c r="N2322">
        <v>98.75</v>
      </c>
      <c r="O2322">
        <v>24.32432432432433</v>
      </c>
    </row>
    <row r="2323" spans="1:15" hidden="1" x14ac:dyDescent="0.25">
      <c r="A2323" s="11">
        <v>46073</v>
      </c>
      <c r="B2323" t="s">
        <v>34</v>
      </c>
      <c r="C2323" t="s">
        <v>32</v>
      </c>
      <c r="D2323">
        <v>39</v>
      </c>
      <c r="E2323">
        <v>34</v>
      </c>
      <c r="F2323">
        <v>15.08</v>
      </c>
      <c r="G2323">
        <v>0</v>
      </c>
      <c r="H2323">
        <v>0</v>
      </c>
      <c r="I2323" s="3">
        <f>E2323+G2323+H2323</f>
        <v>34</v>
      </c>
      <c r="J2323" s="3">
        <f>ROUND(MIN(IF(C2323="Técnico III",35,IF(C2323="Técnico II",28,IF(C2323="Técnico I",23,IF(C2323="JR",20,IF(C2323="Estágio",10,0))))),IF(C2323="Técnico III",SUMIFS($D:$D,$A:$A,$A2323,$B:$B,"&lt;&gt;Patrícia Karla de Sousa Araújo",$B:$B,"&lt;&gt;Lorena Dias de Araujo",$B:$B,"&lt;&gt;Lucas Luiz Romero")*(35/1083),IF(C2323="Técnico II",SUMIFS($D:$D,$A:$A,$A2323,$B:$B,"&lt;&gt;Patrícia Karla de Sousa Araújo",$B:$B,"&lt;&gt;Lorena Dias de Araujo",$B:$B,"&lt;&gt;Lucas Luiz Romero")*(28/1083),IF(C2323="Técnico I",SUMIFS($D:$D,$A:$A,$A2323,$B:$B,"&lt;&gt;Patrícia Karla de Sousa Araújo",$B:$B,"&lt;&gt;Lorena Dias de Araujo",$B:$B,"&lt;&gt;Lucas Luiz Romero")*(23/1083),IF(C2323="JR",SUMIFS($D:$D,$A:$A,$A2323,$B:$B,"&lt;&gt;Patrícia Karla de Sousa Araújo",$B:$B,"&lt;&gt;Lorena Dias de Araujo",$B:$B,"&lt;&gt;Lucas Luiz Romero")*(20/1083),IF(C2323="Estágio",SUMIFS($D:$D,$A:$A,$A2323,$B:$B,"&lt;&gt;Patrícia Karla de Sousa Araújo",$B:$B,"&lt;&gt;Lorena Dias de Araujo",$B:$B,"&lt;&gt;Lucas Luiz Romero")*(10/1083),0)))))),0)</f>
        <v>23</v>
      </c>
      <c r="K2323" s="3">
        <f>I2323-J2323</f>
        <v>11</v>
      </c>
      <c r="L2323" s="3" t="str">
        <f>IF(K2323&lt;-5,"CRÍTICO",IF(K2323&lt;0,"ATENÇÃO",IF(K2323&lt;=5,"BOM","EXCELENTE")))</f>
        <v>EXCELENTE</v>
      </c>
      <c r="M2323">
        <v>30</v>
      </c>
      <c r="N2323">
        <v>93.48</v>
      </c>
      <c r="O2323">
        <v>31.52804642166344</v>
      </c>
    </row>
    <row r="2324" spans="1:15" hidden="1" x14ac:dyDescent="0.25">
      <c r="A2324" s="11">
        <v>46073</v>
      </c>
      <c r="B2324" t="s">
        <v>51</v>
      </c>
      <c r="C2324" t="s">
        <v>48</v>
      </c>
      <c r="D2324">
        <v>30</v>
      </c>
      <c r="E2324">
        <v>26</v>
      </c>
      <c r="F2324">
        <v>21.54</v>
      </c>
      <c r="G2324">
        <v>0</v>
      </c>
      <c r="H2324">
        <v>0</v>
      </c>
      <c r="I2324" s="3">
        <v>0</v>
      </c>
      <c r="J2324" s="3">
        <v>0</v>
      </c>
      <c r="K2324" s="3">
        <v>0</v>
      </c>
      <c r="L2324" s="3" t="str">
        <f>IF(K2324&lt;-5,"CRÍTICO",IF(K2324&lt;0,"ATENÇÃO",IF(K2324&lt;=5,"BOM","EXCELENTE")))</f>
        <v>BOM</v>
      </c>
      <c r="M2324">
        <v>24</v>
      </c>
      <c r="N2324">
        <v>99.16</v>
      </c>
      <c r="O2324">
        <v>26.13908872901678</v>
      </c>
    </row>
    <row r="2325" spans="1:15" hidden="1" x14ac:dyDescent="0.25">
      <c r="A2325" s="11">
        <v>46073</v>
      </c>
      <c r="B2325" t="s">
        <v>61</v>
      </c>
      <c r="C2325" t="s">
        <v>23</v>
      </c>
      <c r="D2325">
        <v>21</v>
      </c>
      <c r="E2325">
        <v>21</v>
      </c>
      <c r="F2325">
        <v>27.19</v>
      </c>
      <c r="G2325">
        <v>0</v>
      </c>
      <c r="H2325">
        <v>0</v>
      </c>
      <c r="I2325" s="3">
        <f>E2325+G2325+H2325</f>
        <v>21</v>
      </c>
      <c r="J2325" s="3">
        <f>ROUND(MIN(IF(C2325="Técnico III",35,IF(C2325="Técnico II",28,IF(C2325="Técnico I",23,IF(C2325="JR",20,IF(C2325="Estágio",10,0))))),IF(C2325="Técnico III",SUMIFS($D:$D,$A:$A,$A2325,$B:$B,"&lt;&gt;Patrícia Karla de Sousa Araújo",$B:$B,"&lt;&gt;Lorena Dias de Araujo",$B:$B,"&lt;&gt;Lucas Luiz Romero")*(35/1083),IF(C2325="Técnico II",SUMIFS($D:$D,$A:$A,$A2325,$B:$B,"&lt;&gt;Patrícia Karla de Sousa Araújo",$B:$B,"&lt;&gt;Lorena Dias de Araujo",$B:$B,"&lt;&gt;Lucas Luiz Romero")*(28/1083),IF(C2325="Técnico I",SUMIFS($D:$D,$A:$A,$A2325,$B:$B,"&lt;&gt;Patrícia Karla de Sousa Araújo",$B:$B,"&lt;&gt;Lorena Dias de Araujo",$B:$B,"&lt;&gt;Lucas Luiz Romero")*(23/1083),IF(C2325="JR",SUMIFS($D:$D,$A:$A,$A2325,$B:$B,"&lt;&gt;Patrícia Karla de Sousa Araújo",$B:$B,"&lt;&gt;Lorena Dias de Araujo",$B:$B,"&lt;&gt;Lucas Luiz Romero")*(20/1083),IF(C2325="Estágio",SUMIFS($D:$D,$A:$A,$A2325,$B:$B,"&lt;&gt;Patrícia Karla de Sousa Araújo",$B:$B,"&lt;&gt;Lorena Dias de Araujo",$B:$B,"&lt;&gt;Lucas Luiz Romero")*(10/1083),0)))))),0)</f>
        <v>15</v>
      </c>
      <c r="K2325" s="3">
        <f>I2325-J2325</f>
        <v>6</v>
      </c>
      <c r="L2325" s="3" t="str">
        <f>IF(K2325&lt;-5,"CRÍTICO",IF(K2325&lt;0,"ATENÇÃO",IF(K2325&lt;=5,"BOM","EXCELENTE")))</f>
        <v>EXCELENTE</v>
      </c>
      <c r="M2325">
        <v>12</v>
      </c>
      <c r="N2325">
        <v>100</v>
      </c>
      <c r="O2325">
        <v>31.089743589743591</v>
      </c>
    </row>
    <row r="2326" spans="1:15" hidden="1" x14ac:dyDescent="0.25">
      <c r="A2326" s="11">
        <v>46073</v>
      </c>
      <c r="B2326" t="s">
        <v>35</v>
      </c>
      <c r="C2326" t="s">
        <v>32</v>
      </c>
      <c r="D2326">
        <v>16</v>
      </c>
      <c r="E2326">
        <v>16</v>
      </c>
      <c r="F2326">
        <v>45.29</v>
      </c>
      <c r="G2326">
        <v>0</v>
      </c>
      <c r="H2326">
        <v>0</v>
      </c>
      <c r="I2326" s="3">
        <v>0</v>
      </c>
      <c r="J2326" s="3">
        <v>0</v>
      </c>
      <c r="K2326" s="3">
        <v>0</v>
      </c>
      <c r="L2326" s="3" t="str">
        <f>IF(K2326&lt;-5,"CRÍTICO",IF(K2326&lt;0,"ATENÇÃO",IF(K2326&lt;=5,"BOM","EXCELENTE")))</f>
        <v>BOM</v>
      </c>
      <c r="M2326">
        <v>16</v>
      </c>
      <c r="N2326">
        <v>98.11</v>
      </c>
      <c r="O2326">
        <v>33.033707865168537</v>
      </c>
    </row>
    <row r="2327" spans="1:15" hidden="1" x14ac:dyDescent="0.25">
      <c r="A2327" s="11">
        <v>46073</v>
      </c>
      <c r="B2327" t="s">
        <v>18</v>
      </c>
      <c r="C2327" t="s">
        <v>16</v>
      </c>
      <c r="D2327">
        <v>7</v>
      </c>
      <c r="E2327">
        <v>7</v>
      </c>
      <c r="F2327">
        <v>47.2</v>
      </c>
      <c r="G2327">
        <v>0</v>
      </c>
      <c r="H2327">
        <v>0</v>
      </c>
      <c r="I2327" s="3">
        <f>E2327+G2327+H2327</f>
        <v>7</v>
      </c>
      <c r="J2327" s="3">
        <f>ROUND(MIN(IF(C2327="Técnico III",35,IF(C2327="Técnico II",28,IF(C2327="Técnico I",23,IF(C2327="JR",20,IF(C2327="Estágio",10,0))))),IF(C2327="Técnico III",SUMIFS($D:$D,$A:$A,$A2327,$B:$B,"&lt;&gt;Patrícia Karla de Sousa Araújo",$B:$B,"&lt;&gt;Lorena Dias de Araujo",$B:$B,"&lt;&gt;Lucas Luiz Romero")*(35/1083),IF(C2327="Técnico II",SUMIFS($D:$D,$A:$A,$A2327,$B:$B,"&lt;&gt;Patrícia Karla de Sousa Araújo",$B:$B,"&lt;&gt;Lorena Dias de Araujo",$B:$B,"&lt;&gt;Lucas Luiz Romero")*(28/1083),IF(C2327="Técnico I",SUMIFS($D:$D,$A:$A,$A2327,$B:$B,"&lt;&gt;Patrícia Karla de Sousa Araújo",$B:$B,"&lt;&gt;Lorena Dias de Araujo",$B:$B,"&lt;&gt;Lucas Luiz Romero")*(23/1083),IF(C2327="JR",SUMIFS($D:$D,$A:$A,$A2327,$B:$B,"&lt;&gt;Patrícia Karla de Sousa Araújo",$B:$B,"&lt;&gt;Lorena Dias de Araujo",$B:$B,"&lt;&gt;Lucas Luiz Romero")*(20/1083),IF(C2327="Estágio",SUMIFS($D:$D,$A:$A,$A2327,$B:$B,"&lt;&gt;Patrícia Karla de Sousa Araújo",$B:$B,"&lt;&gt;Lorena Dias de Araujo",$B:$B,"&lt;&gt;Lucas Luiz Romero")*(10/1083),0)))))),0)</f>
        <v>7</v>
      </c>
      <c r="K2327" s="3">
        <f>I2327-J2327</f>
        <v>0</v>
      </c>
      <c r="L2327" s="3" t="str">
        <f>IF(K2327&lt;-5,"CRÍTICO",IF(K2327&lt;0,"ATENÇÃO",IF(K2327&lt;=5,"BOM","EXCELENTE")))</f>
        <v>BOM</v>
      </c>
      <c r="M2327">
        <v>0</v>
      </c>
      <c r="N2327">
        <v>78.95</v>
      </c>
      <c r="O2327">
        <v>38.983050847457633</v>
      </c>
    </row>
    <row r="2328" spans="1:15" hidden="1" x14ac:dyDescent="0.25">
      <c r="A2328" s="11">
        <v>46073</v>
      </c>
      <c r="B2328" t="s">
        <v>52</v>
      </c>
      <c r="C2328" t="s">
        <v>48</v>
      </c>
      <c r="D2328">
        <v>20</v>
      </c>
      <c r="E2328">
        <v>19</v>
      </c>
      <c r="F2328">
        <v>32.340000000000003</v>
      </c>
      <c r="G2328">
        <v>0</v>
      </c>
      <c r="H2328">
        <v>0</v>
      </c>
      <c r="I2328" s="3">
        <f>E2328+G2328+H2328</f>
        <v>19</v>
      </c>
      <c r="J2328" s="3">
        <f>ROUND(MIN(IF(C2328="Técnico III",35,IF(C2328="Técnico II",28,IF(C2328="Técnico I",23,IF(C2328="JR",20,IF(C2328="Estágio",10,0))))),IF(C2328="Técnico III",SUMIFS($D:$D,$A:$A,$A2328,$B:$B,"&lt;&gt;Patrícia Karla de Sousa Araújo",$B:$B,"&lt;&gt;Lorena Dias de Araujo",$B:$B,"&lt;&gt;Lucas Luiz Romero")*(35/1083),IF(C2328="Técnico II",SUMIFS($D:$D,$A:$A,$A2328,$B:$B,"&lt;&gt;Patrícia Karla de Sousa Araújo",$B:$B,"&lt;&gt;Lorena Dias de Araujo",$B:$B,"&lt;&gt;Lucas Luiz Romero")*(28/1083),IF(C2328="Técnico I",SUMIFS($D:$D,$A:$A,$A2328,$B:$B,"&lt;&gt;Patrícia Karla de Sousa Araújo",$B:$B,"&lt;&gt;Lorena Dias de Araujo",$B:$B,"&lt;&gt;Lucas Luiz Romero")*(23/1083),IF(C2328="JR",SUMIFS($D:$D,$A:$A,$A2328,$B:$B,"&lt;&gt;Patrícia Karla de Sousa Araújo",$B:$B,"&lt;&gt;Lorena Dias de Araujo",$B:$B,"&lt;&gt;Lucas Luiz Romero")*(20/1083),IF(C2328="Estágio",SUMIFS($D:$D,$A:$A,$A2328,$B:$B,"&lt;&gt;Patrícia Karla de Sousa Araújo",$B:$B,"&lt;&gt;Lorena Dias de Araujo",$B:$B,"&lt;&gt;Lucas Luiz Romero")*(10/1083),0)))))),0)</f>
        <v>19</v>
      </c>
      <c r="K2328" s="3">
        <f>I2328-J2328</f>
        <v>0</v>
      </c>
      <c r="L2328" s="3" t="str">
        <f>IF(K2328&lt;-5,"CRÍTICO",IF(K2328&lt;0,"ATENÇÃO",IF(K2328&lt;=5,"BOM","EXCELENTE")))</f>
        <v>BOM</v>
      </c>
      <c r="M2328">
        <v>17</v>
      </c>
      <c r="N2328">
        <v>98.45</v>
      </c>
      <c r="O2328">
        <v>29.281767955801101</v>
      </c>
    </row>
    <row r="2329" spans="1:15" hidden="1" x14ac:dyDescent="0.25">
      <c r="A2329" s="11">
        <v>46073</v>
      </c>
      <c r="B2329" t="s">
        <v>36</v>
      </c>
      <c r="C2329" t="s">
        <v>32</v>
      </c>
      <c r="D2329">
        <v>22</v>
      </c>
      <c r="E2329">
        <v>22</v>
      </c>
      <c r="F2329">
        <v>29.11</v>
      </c>
      <c r="G2329">
        <v>0</v>
      </c>
      <c r="H2329">
        <v>0</v>
      </c>
      <c r="I2329" s="3">
        <f>E2329+G2329+H2329</f>
        <v>22</v>
      </c>
      <c r="J2329" s="3">
        <f>ROUND(MIN(IF(C2329="Técnico III",35,IF(C2329="Técnico II",28,IF(C2329="Técnico I",23,IF(C2329="JR",20,IF(C2329="Estágio",10,0))))),IF(C2329="Técnico III",SUMIFS($D:$D,$A:$A,$A2329,$B:$B,"&lt;&gt;Patrícia Karla de Sousa Araújo",$B:$B,"&lt;&gt;Lorena Dias de Araujo",$B:$B,"&lt;&gt;Lucas Luiz Romero")*(35/1083),IF(C2329="Técnico II",SUMIFS($D:$D,$A:$A,$A2329,$B:$B,"&lt;&gt;Patrícia Karla de Sousa Araújo",$B:$B,"&lt;&gt;Lorena Dias de Araujo",$B:$B,"&lt;&gt;Lucas Luiz Romero")*(28/1083),IF(C2329="Técnico I",SUMIFS($D:$D,$A:$A,$A2329,$B:$B,"&lt;&gt;Patrícia Karla de Sousa Araújo",$B:$B,"&lt;&gt;Lorena Dias de Araujo",$B:$B,"&lt;&gt;Lucas Luiz Romero")*(23/1083),IF(C2329="JR",SUMIFS($D:$D,$A:$A,$A2329,$B:$B,"&lt;&gt;Patrícia Karla de Sousa Araújo",$B:$B,"&lt;&gt;Lorena Dias de Araujo",$B:$B,"&lt;&gt;Lucas Luiz Romero")*(20/1083),IF(C2329="Estágio",SUMIFS($D:$D,$A:$A,$A2329,$B:$B,"&lt;&gt;Patrícia Karla de Sousa Araújo",$B:$B,"&lt;&gt;Lorena Dias de Araujo",$B:$B,"&lt;&gt;Lucas Luiz Romero")*(10/1083),0)))))),0)</f>
        <v>23</v>
      </c>
      <c r="K2329" s="3">
        <f>I2329-J2329</f>
        <v>-1</v>
      </c>
      <c r="L2329" s="3" t="str">
        <f>IF(K2329&lt;-5,"CRÍTICO",IF(K2329&lt;0,"ATENÇÃO",IF(K2329&lt;=5,"BOM","EXCELENTE")))</f>
        <v>ATENÇÃO</v>
      </c>
      <c r="M2329">
        <v>22</v>
      </c>
      <c r="N2329">
        <v>97.84</v>
      </c>
      <c r="O2329">
        <v>26.282051282051281</v>
      </c>
    </row>
    <row r="2330" spans="1:15" hidden="1" x14ac:dyDescent="0.25">
      <c r="A2330" s="11">
        <v>46073</v>
      </c>
      <c r="B2330" t="s">
        <v>53</v>
      </c>
      <c r="C2330" t="s">
        <v>48</v>
      </c>
      <c r="D2330">
        <v>31</v>
      </c>
      <c r="E2330">
        <v>29</v>
      </c>
      <c r="F2330">
        <v>16.559999999999999</v>
      </c>
      <c r="G2330">
        <v>0</v>
      </c>
      <c r="H2330">
        <v>0</v>
      </c>
      <c r="I2330" s="3">
        <f>E2330+G2330+H2330</f>
        <v>29</v>
      </c>
      <c r="J2330" s="3">
        <f>ROUND(MIN(IF(C2330="Técnico III",35,IF(C2330="Técnico II",28,IF(C2330="Técnico I",23,IF(C2330="JR",20,IF(C2330="Estágio",10,0))))),IF(C2330="Técnico III",SUMIFS($D:$D,$A:$A,$A2330,$B:$B,"&lt;&gt;Patrícia Karla de Sousa Araújo",$B:$B,"&lt;&gt;Lorena Dias de Araujo",$B:$B,"&lt;&gt;Lucas Luiz Romero")*(35/1083),IF(C2330="Técnico II",SUMIFS($D:$D,$A:$A,$A2330,$B:$B,"&lt;&gt;Patrícia Karla de Sousa Araújo",$B:$B,"&lt;&gt;Lorena Dias de Araujo",$B:$B,"&lt;&gt;Lucas Luiz Romero")*(28/1083),IF(C2330="Técnico I",SUMIFS($D:$D,$A:$A,$A2330,$B:$B,"&lt;&gt;Patrícia Karla de Sousa Araújo",$B:$B,"&lt;&gt;Lorena Dias de Araujo",$B:$B,"&lt;&gt;Lucas Luiz Romero")*(23/1083),IF(C2330="JR",SUMIFS($D:$D,$A:$A,$A2330,$B:$B,"&lt;&gt;Patrícia Karla de Sousa Araújo",$B:$B,"&lt;&gt;Lorena Dias de Araujo",$B:$B,"&lt;&gt;Lucas Luiz Romero")*(20/1083),IF(C2330="Estágio",SUMIFS($D:$D,$A:$A,$A2330,$B:$B,"&lt;&gt;Patrícia Karla de Sousa Araújo",$B:$B,"&lt;&gt;Lorena Dias de Araujo",$B:$B,"&lt;&gt;Lucas Luiz Romero")*(10/1083),0)))))),0)</f>
        <v>19</v>
      </c>
      <c r="K2330" s="3">
        <f>I2330-J2330</f>
        <v>10</v>
      </c>
      <c r="L2330" s="3" t="str">
        <f>IF(K2330&lt;-5,"CRÍTICO",IF(K2330&lt;0,"ATENÇÃO",IF(K2330&lt;=5,"BOM","EXCELENTE")))</f>
        <v>EXCELENTE</v>
      </c>
      <c r="M2330">
        <v>29</v>
      </c>
      <c r="N2330">
        <v>98.5</v>
      </c>
      <c r="O2330">
        <v>23.97769516728625</v>
      </c>
    </row>
    <row r="2331" spans="1:15" hidden="1" x14ac:dyDescent="0.25">
      <c r="A2331" s="11">
        <v>46107</v>
      </c>
      <c r="B2331" t="s">
        <v>22</v>
      </c>
      <c r="C2331" t="s">
        <v>23</v>
      </c>
      <c r="D2331">
        <v>29</v>
      </c>
      <c r="E2331">
        <v>27</v>
      </c>
      <c r="F2331">
        <v>22.14</v>
      </c>
      <c r="G2331">
        <v>0</v>
      </c>
      <c r="H2331">
        <v>0</v>
      </c>
      <c r="I2331" s="3">
        <f>E2331+G2331+H2331</f>
        <v>27</v>
      </c>
      <c r="J2331" s="3">
        <f>ROUND(MIN(IF(C2331="Técnico III",35,IF(C2331="Técnico II",28,IF(C2331="Técnico I",23,IF(C2331="JR",20,IF(C2331="Estágio",10,0))))),IF(C2331="Técnico III",SUMIFS($D:$D,$A:$A,$A2331,$B:$B,"&lt;&gt;Patrícia Karla de Sousa Araújo",$B:$B,"&lt;&gt;Lorena Dias de Araujo",$B:$B,"&lt;&gt;Lucas Luiz Romero")*(35/1083),IF(C2331="Técnico II",SUMIFS($D:$D,$A:$A,$A2331,$B:$B,"&lt;&gt;Patrícia Karla de Sousa Araújo",$B:$B,"&lt;&gt;Lorena Dias de Araujo",$B:$B,"&lt;&gt;Lucas Luiz Romero")*(28/1083),IF(C2331="Técnico I",SUMIFS($D:$D,$A:$A,$A2331,$B:$B,"&lt;&gt;Patrícia Karla de Sousa Araújo",$B:$B,"&lt;&gt;Lorena Dias de Araujo",$B:$B,"&lt;&gt;Lucas Luiz Romero")*(23/1083),IF(C2331="JR",SUMIFS($D:$D,$A:$A,$A2331,$B:$B,"&lt;&gt;Patrícia Karla de Sousa Araújo",$B:$B,"&lt;&gt;Lorena Dias de Araujo",$B:$B,"&lt;&gt;Lucas Luiz Romero")*(20/1083),IF(C2331="Estágio",SUMIFS($D:$D,$A:$A,$A2331,$B:$B,"&lt;&gt;Patrícia Karla de Sousa Araújo",$B:$B,"&lt;&gt;Lorena Dias de Araujo",$B:$B,"&lt;&gt;Lucas Luiz Romero")*(10/1083),0)))))),0)</f>
        <v>18</v>
      </c>
      <c r="K2331" s="3">
        <f>I2331-J2331</f>
        <v>9</v>
      </c>
      <c r="L2331" s="3" t="str">
        <f>IF(K2331&lt;-5,"CRÍTICO",IF(K2331&lt;0,"ATENÇÃO",IF(K2331&lt;=5,"BOM","EXCELENTE")))</f>
        <v>EXCELENTE</v>
      </c>
      <c r="M2331">
        <v>25</v>
      </c>
      <c r="N2331">
        <v>99.05</v>
      </c>
      <c r="O2331">
        <v>26.621923937360179</v>
      </c>
    </row>
    <row r="2332" spans="1:15" hidden="1" x14ac:dyDescent="0.25">
      <c r="A2332" s="11">
        <v>46073</v>
      </c>
      <c r="B2332" t="s">
        <v>54</v>
      </c>
      <c r="C2332" t="s">
        <v>48</v>
      </c>
      <c r="D2332">
        <v>29</v>
      </c>
      <c r="E2332">
        <v>28</v>
      </c>
      <c r="F2332">
        <v>25.19</v>
      </c>
      <c r="G2332">
        <v>0</v>
      </c>
      <c r="H2332">
        <v>0</v>
      </c>
      <c r="I2332" s="3">
        <f>E2332+G2332+H2332</f>
        <v>28</v>
      </c>
      <c r="J2332" s="3">
        <f>ROUND(MIN(IF(C2332="Técnico III",35,IF(C2332="Técnico II",28,IF(C2332="Técnico I",23,IF(C2332="JR",20,IF(C2332="Estágio",10,0))))),IF(C2332="Técnico III",SUMIFS($D:$D,$A:$A,$A2332,$B:$B,"&lt;&gt;Patrícia Karla de Sousa Araújo",$B:$B,"&lt;&gt;Lorena Dias de Araujo",$B:$B,"&lt;&gt;Lucas Luiz Romero")*(35/1083),IF(C2332="Técnico II",SUMIFS($D:$D,$A:$A,$A2332,$B:$B,"&lt;&gt;Patrícia Karla de Sousa Araújo",$B:$B,"&lt;&gt;Lorena Dias de Araujo",$B:$B,"&lt;&gt;Lucas Luiz Romero")*(28/1083),IF(C2332="Técnico I",SUMIFS($D:$D,$A:$A,$A2332,$B:$B,"&lt;&gt;Patrícia Karla de Sousa Araújo",$B:$B,"&lt;&gt;Lorena Dias de Araujo",$B:$B,"&lt;&gt;Lucas Luiz Romero")*(23/1083),IF(C2332="JR",SUMIFS($D:$D,$A:$A,$A2332,$B:$B,"&lt;&gt;Patrícia Karla de Sousa Araújo",$B:$B,"&lt;&gt;Lorena Dias de Araujo",$B:$B,"&lt;&gt;Lucas Luiz Romero")*(20/1083),IF(C2332="Estágio",SUMIFS($D:$D,$A:$A,$A2332,$B:$B,"&lt;&gt;Patrícia Karla de Sousa Araújo",$B:$B,"&lt;&gt;Lorena Dias de Araujo",$B:$B,"&lt;&gt;Lucas Luiz Romero")*(10/1083),0)))))),0)</f>
        <v>19</v>
      </c>
      <c r="K2332" s="3">
        <f>I2332-J2332</f>
        <v>9</v>
      </c>
      <c r="L2332" s="3" t="str">
        <f>IF(K2332&lt;-5,"CRÍTICO",IF(K2332&lt;0,"ATENÇÃO",IF(K2332&lt;=5,"BOM","EXCELENTE")))</f>
        <v>EXCELENTE</v>
      </c>
      <c r="M2332">
        <v>22</v>
      </c>
      <c r="N2332">
        <v>98.53</v>
      </c>
      <c r="O2332">
        <v>31.578947368421051</v>
      </c>
    </row>
    <row r="2333" spans="1:15" hidden="1" x14ac:dyDescent="0.25">
      <c r="A2333" s="11">
        <v>46073</v>
      </c>
      <c r="B2333" t="s">
        <v>37</v>
      </c>
      <c r="C2333" t="s">
        <v>32</v>
      </c>
      <c r="D2333">
        <v>31</v>
      </c>
      <c r="E2333">
        <v>30</v>
      </c>
      <c r="F2333">
        <v>25.38</v>
      </c>
      <c r="G2333">
        <v>0</v>
      </c>
      <c r="H2333">
        <v>0</v>
      </c>
      <c r="I2333" s="3">
        <f>E2333+G2333+H2333</f>
        <v>30</v>
      </c>
      <c r="J2333" s="3">
        <f>ROUND(MIN(IF(C2333="Técnico III",35,IF(C2333="Técnico II",28,IF(C2333="Técnico I",23,IF(C2333="JR",20,IF(C2333="Estágio",10,0))))),IF(C2333="Técnico III",SUMIFS($D:$D,$A:$A,$A2333,$B:$B,"&lt;&gt;Patrícia Karla de Sousa Araújo",$B:$B,"&lt;&gt;Lorena Dias de Araujo",$B:$B,"&lt;&gt;Lucas Luiz Romero")*(35/1083),IF(C2333="Técnico II",SUMIFS($D:$D,$A:$A,$A2333,$B:$B,"&lt;&gt;Patrícia Karla de Sousa Araújo",$B:$B,"&lt;&gt;Lorena Dias de Araujo",$B:$B,"&lt;&gt;Lucas Luiz Romero")*(28/1083),IF(C2333="Técnico I",SUMIFS($D:$D,$A:$A,$A2333,$B:$B,"&lt;&gt;Patrícia Karla de Sousa Araújo",$B:$B,"&lt;&gt;Lorena Dias de Araujo",$B:$B,"&lt;&gt;Lucas Luiz Romero")*(23/1083),IF(C2333="JR",SUMIFS($D:$D,$A:$A,$A2333,$B:$B,"&lt;&gt;Patrícia Karla de Sousa Araújo",$B:$B,"&lt;&gt;Lorena Dias de Araujo",$B:$B,"&lt;&gt;Lucas Luiz Romero")*(20/1083),IF(C2333="Estágio",SUMIFS($D:$D,$A:$A,$A2333,$B:$B,"&lt;&gt;Patrícia Karla de Sousa Araújo",$B:$B,"&lt;&gt;Lorena Dias de Araujo",$B:$B,"&lt;&gt;Lucas Luiz Romero")*(10/1083),0)))))),0)</f>
        <v>23</v>
      </c>
      <c r="K2333" s="3">
        <f>I2333-J2333</f>
        <v>7</v>
      </c>
      <c r="L2333" s="3" t="str">
        <f>IF(K2333&lt;-5,"CRÍTICO",IF(K2333&lt;0,"ATENÇÃO",IF(K2333&lt;=5,"BOM","EXCELENTE")))</f>
        <v>EXCELENTE</v>
      </c>
      <c r="M2333">
        <v>30</v>
      </c>
      <c r="N2333">
        <v>100</v>
      </c>
      <c r="O2333">
        <v>25.72214580467676</v>
      </c>
    </row>
    <row r="2334" spans="1:15" hidden="1" x14ac:dyDescent="0.25">
      <c r="A2334" s="11">
        <v>46073</v>
      </c>
      <c r="B2334" t="s">
        <v>38</v>
      </c>
      <c r="C2334" t="s">
        <v>32</v>
      </c>
      <c r="D2334">
        <v>26</v>
      </c>
      <c r="E2334">
        <v>24</v>
      </c>
      <c r="F2334">
        <v>17.12</v>
      </c>
      <c r="G2334">
        <v>0</v>
      </c>
      <c r="H2334">
        <v>0</v>
      </c>
      <c r="I2334" s="3">
        <f>E2334+G2334+H2334</f>
        <v>24</v>
      </c>
      <c r="J2334" s="3">
        <f>ROUND(MIN(IF(C2334="Técnico III",35,IF(C2334="Técnico II",28,IF(C2334="Técnico I",23,IF(C2334="JR",20,IF(C2334="Estágio",10,0))))),IF(C2334="Técnico III",SUMIFS($D:$D,$A:$A,$A2334,$B:$B,"&lt;&gt;Patrícia Karla de Sousa Araújo",$B:$B,"&lt;&gt;Lorena Dias de Araujo",$B:$B,"&lt;&gt;Lucas Luiz Romero")*(35/1083),IF(C2334="Técnico II",SUMIFS($D:$D,$A:$A,$A2334,$B:$B,"&lt;&gt;Patrícia Karla de Sousa Araújo",$B:$B,"&lt;&gt;Lorena Dias de Araujo",$B:$B,"&lt;&gt;Lucas Luiz Romero")*(28/1083),IF(C2334="Técnico I",SUMIFS($D:$D,$A:$A,$A2334,$B:$B,"&lt;&gt;Patrícia Karla de Sousa Araújo",$B:$B,"&lt;&gt;Lorena Dias de Araujo",$B:$B,"&lt;&gt;Lucas Luiz Romero")*(23/1083),IF(C2334="JR",SUMIFS($D:$D,$A:$A,$A2334,$B:$B,"&lt;&gt;Patrícia Karla de Sousa Araújo",$B:$B,"&lt;&gt;Lorena Dias de Araujo",$B:$B,"&lt;&gt;Lucas Luiz Romero")*(20/1083),IF(C2334="Estágio",SUMIFS($D:$D,$A:$A,$A2334,$B:$B,"&lt;&gt;Patrícia Karla de Sousa Araújo",$B:$B,"&lt;&gt;Lorena Dias de Araujo",$B:$B,"&lt;&gt;Lucas Luiz Romero")*(10/1083),0)))))),0)</f>
        <v>23</v>
      </c>
      <c r="K2334" s="3">
        <f>I2334-J2334</f>
        <v>1</v>
      </c>
      <c r="L2334" s="3" t="str">
        <f>IF(K2334&lt;-5,"CRÍTICO",IF(K2334&lt;0,"ATENÇÃO",IF(K2334&lt;=5,"BOM","EXCELENTE")))</f>
        <v>BOM</v>
      </c>
      <c r="M2334">
        <v>23</v>
      </c>
      <c r="N2334">
        <v>94.64</v>
      </c>
      <c r="O2334">
        <v>27.52941176470588</v>
      </c>
    </row>
    <row r="2335" spans="1:15" hidden="1" x14ac:dyDescent="0.25">
      <c r="A2335" s="11">
        <v>46073</v>
      </c>
      <c r="B2335" t="s">
        <v>55</v>
      </c>
      <c r="C2335" t="s">
        <v>48</v>
      </c>
      <c r="D2335">
        <v>29</v>
      </c>
      <c r="E2335">
        <v>20</v>
      </c>
      <c r="F2335">
        <v>21.56</v>
      </c>
      <c r="G2335">
        <v>0</v>
      </c>
      <c r="H2335">
        <v>0</v>
      </c>
      <c r="I2335" s="3">
        <f>E2335+G2335+H2335</f>
        <v>20</v>
      </c>
      <c r="J2335" s="3">
        <f>ROUND(MIN(IF(C2335="Técnico III",35,IF(C2335="Técnico II",28,IF(C2335="Técnico I",23,IF(C2335="JR",20,IF(C2335="Estágio",10,0))))),IF(C2335="Técnico III",SUMIFS($D:$D,$A:$A,$A2335,$B:$B,"&lt;&gt;Patrícia Karla de Sousa Araújo",$B:$B,"&lt;&gt;Lorena Dias de Araujo",$B:$B,"&lt;&gt;Lucas Luiz Romero")*(35/1083),IF(C2335="Técnico II",SUMIFS($D:$D,$A:$A,$A2335,$B:$B,"&lt;&gt;Patrícia Karla de Sousa Araújo",$B:$B,"&lt;&gt;Lorena Dias de Araujo",$B:$B,"&lt;&gt;Lucas Luiz Romero")*(28/1083),IF(C2335="Técnico I",SUMIFS($D:$D,$A:$A,$A2335,$B:$B,"&lt;&gt;Patrícia Karla de Sousa Araújo",$B:$B,"&lt;&gt;Lorena Dias de Araujo",$B:$B,"&lt;&gt;Lucas Luiz Romero")*(23/1083),IF(C2335="JR",SUMIFS($D:$D,$A:$A,$A2335,$B:$B,"&lt;&gt;Patrícia Karla de Sousa Araújo",$B:$B,"&lt;&gt;Lorena Dias de Araujo",$B:$B,"&lt;&gt;Lucas Luiz Romero")*(20/1083),IF(C2335="Estágio",SUMIFS($D:$D,$A:$A,$A2335,$B:$B,"&lt;&gt;Patrícia Karla de Sousa Araújo",$B:$B,"&lt;&gt;Lorena Dias de Araujo",$B:$B,"&lt;&gt;Lucas Luiz Romero")*(10/1083),0)))))),0)</f>
        <v>19</v>
      </c>
      <c r="K2335" s="3">
        <f>I2335-J2335</f>
        <v>1</v>
      </c>
      <c r="L2335" s="3" t="str">
        <f>IF(K2335&lt;-5,"CRÍTICO",IF(K2335&lt;0,"ATENÇÃO",IF(K2335&lt;=5,"BOM","EXCELENTE")))</f>
        <v>BOM</v>
      </c>
      <c r="M2335">
        <v>15</v>
      </c>
      <c r="N2335">
        <v>99.07</v>
      </c>
      <c r="O2335">
        <v>26.376811594202898</v>
      </c>
    </row>
    <row r="2336" spans="1:15" hidden="1" x14ac:dyDescent="0.25">
      <c r="A2336" s="11">
        <v>46073</v>
      </c>
      <c r="B2336" t="s">
        <v>39</v>
      </c>
      <c r="C2336" t="s">
        <v>32</v>
      </c>
      <c r="D2336">
        <v>0</v>
      </c>
      <c r="E2336">
        <v>0</v>
      </c>
      <c r="F2336">
        <v>0</v>
      </c>
      <c r="G2336">
        <v>0</v>
      </c>
      <c r="H2336">
        <v>0</v>
      </c>
      <c r="I2336" s="3">
        <v>0</v>
      </c>
      <c r="J2336" s="3">
        <v>0</v>
      </c>
      <c r="K2336" s="3">
        <v>0</v>
      </c>
      <c r="L2336" s="3" t="str">
        <f>IF(K2336&lt;-5,"CRÍTICO",IF(K2336&lt;0,"ATENÇÃO",IF(K2336&lt;=5,"BOM","EXCELENTE")))</f>
        <v>BOM</v>
      </c>
      <c r="M2336">
        <v>0</v>
      </c>
      <c r="N2336">
        <v>100</v>
      </c>
      <c r="O2336">
        <v>0</v>
      </c>
    </row>
    <row r="2337" spans="1:15" hidden="1" x14ac:dyDescent="0.25">
      <c r="A2337" s="11">
        <v>46073</v>
      </c>
      <c r="B2337" t="s">
        <v>25</v>
      </c>
      <c r="C2337" t="s">
        <v>26</v>
      </c>
      <c r="D2337">
        <v>19</v>
      </c>
      <c r="E2337">
        <v>18</v>
      </c>
      <c r="F2337">
        <v>28.27</v>
      </c>
      <c r="G2337">
        <v>0</v>
      </c>
      <c r="H2337">
        <v>0</v>
      </c>
      <c r="I2337" s="3">
        <f>E2337+G2337+H2337</f>
        <v>18</v>
      </c>
      <c r="J2337" s="3">
        <f>ROUND(MIN(IF(C2337="Técnico III",35,IF(C2337="Técnico II",28,IF(C2337="Técnico I",23,IF(C2337="JR",20,IF(C2337="Estágio",10,0))))),IF(C2337="Técnico III",SUMIFS($D:$D,$A:$A,$A2337,$B:$B,"&lt;&gt;Patrícia Karla de Sousa Araújo",$B:$B,"&lt;&gt;Lorena Dias de Araujo",$B:$B,"&lt;&gt;Lucas Luiz Romero")*(35/1083),IF(C2337="Técnico II",SUMIFS($D:$D,$A:$A,$A2337,$B:$B,"&lt;&gt;Patrícia Karla de Sousa Araújo",$B:$B,"&lt;&gt;Lorena Dias de Araujo",$B:$B,"&lt;&gt;Lucas Luiz Romero")*(28/1083),IF(C2337="Técnico I",SUMIFS($D:$D,$A:$A,$A2337,$B:$B,"&lt;&gt;Patrícia Karla de Sousa Araújo",$B:$B,"&lt;&gt;Lorena Dias de Araujo",$B:$B,"&lt;&gt;Lucas Luiz Romero")*(23/1083),IF(C2337="JR",SUMIFS($D:$D,$A:$A,$A2337,$B:$B,"&lt;&gt;Patrícia Karla de Sousa Araújo",$B:$B,"&lt;&gt;Lorena Dias de Araujo",$B:$B,"&lt;&gt;Lucas Luiz Romero")*(20/1083),IF(C2337="Estágio",SUMIFS($D:$D,$A:$A,$A2337,$B:$B,"&lt;&gt;Patrícia Karla de Sousa Araújo",$B:$B,"&lt;&gt;Lorena Dias de Araujo",$B:$B,"&lt;&gt;Lucas Luiz Romero")*(10/1083),0)))))),0)</f>
        <v>13</v>
      </c>
      <c r="K2337" s="3">
        <f>I2337-J2337</f>
        <v>5</v>
      </c>
      <c r="L2337" s="3" t="str">
        <f>IF(K2337&lt;-5,"CRÍTICO",IF(K2337&lt;0,"ATENÇÃO",IF(K2337&lt;=5,"BOM","EXCELENTE")))</f>
        <v>BOM</v>
      </c>
      <c r="M2337">
        <v>17</v>
      </c>
      <c r="N2337">
        <v>98.48</v>
      </c>
      <c r="O2337">
        <v>27.853881278538811</v>
      </c>
    </row>
    <row r="2338" spans="1:15" hidden="1" x14ac:dyDescent="0.25">
      <c r="A2338" s="11">
        <v>46073</v>
      </c>
      <c r="B2338" t="s">
        <v>40</v>
      </c>
      <c r="C2338" t="s">
        <v>32</v>
      </c>
      <c r="D2338">
        <v>20</v>
      </c>
      <c r="E2338">
        <v>19</v>
      </c>
      <c r="F2338">
        <v>25.12</v>
      </c>
      <c r="G2338">
        <v>0</v>
      </c>
      <c r="H2338">
        <v>0</v>
      </c>
      <c r="I2338" s="3">
        <f>E2338+G2338+H2338</f>
        <v>19</v>
      </c>
      <c r="J2338" s="3">
        <f>ROUND(MIN(IF(C2338="Técnico III",35,IF(C2338="Técnico II",28,IF(C2338="Técnico I",23,IF(C2338="JR",20,IF(C2338="Estágio",10,0))))),IF(C2338="Técnico III",SUMIFS($D:$D,$A:$A,$A2338,$B:$B,"&lt;&gt;Patrícia Karla de Sousa Araújo",$B:$B,"&lt;&gt;Lorena Dias de Araujo",$B:$B,"&lt;&gt;Lucas Luiz Romero")*(35/1083),IF(C2338="Técnico II",SUMIFS($D:$D,$A:$A,$A2338,$B:$B,"&lt;&gt;Patrícia Karla de Sousa Araújo",$B:$B,"&lt;&gt;Lorena Dias de Araujo",$B:$B,"&lt;&gt;Lucas Luiz Romero")*(28/1083),IF(C2338="Técnico I",SUMIFS($D:$D,$A:$A,$A2338,$B:$B,"&lt;&gt;Patrícia Karla de Sousa Araújo",$B:$B,"&lt;&gt;Lorena Dias de Araujo",$B:$B,"&lt;&gt;Lucas Luiz Romero")*(23/1083),IF(C2338="JR",SUMIFS($D:$D,$A:$A,$A2338,$B:$B,"&lt;&gt;Patrícia Karla de Sousa Araújo",$B:$B,"&lt;&gt;Lorena Dias de Araujo",$B:$B,"&lt;&gt;Lucas Luiz Romero")*(20/1083),IF(C2338="Estágio",SUMIFS($D:$D,$A:$A,$A2338,$B:$B,"&lt;&gt;Patrícia Karla de Sousa Araújo",$B:$B,"&lt;&gt;Lorena Dias de Araujo",$B:$B,"&lt;&gt;Lucas Luiz Romero")*(10/1083),0)))))),0)</f>
        <v>23</v>
      </c>
      <c r="K2338" s="3">
        <f>I2338-J2338</f>
        <v>-4</v>
      </c>
      <c r="L2338" s="3" t="str">
        <f>IF(K2338&lt;-5,"CRÍTICO",IF(K2338&lt;0,"ATENÇÃO",IF(K2338&lt;=5,"BOM","EXCELENTE")))</f>
        <v>ATENÇÃO</v>
      </c>
      <c r="M2338">
        <v>18</v>
      </c>
      <c r="N2338">
        <v>95.15</v>
      </c>
      <c r="O2338">
        <v>34.131736526946113</v>
      </c>
    </row>
    <row r="2339" spans="1:15" hidden="1" x14ac:dyDescent="0.25">
      <c r="A2339" s="11">
        <v>46073</v>
      </c>
      <c r="B2339" t="s">
        <v>27</v>
      </c>
      <c r="C2339" t="s">
        <v>26</v>
      </c>
      <c r="D2339">
        <v>0</v>
      </c>
      <c r="E2339">
        <v>0</v>
      </c>
      <c r="F2339">
        <v>0</v>
      </c>
      <c r="G2339">
        <v>0</v>
      </c>
      <c r="H2339">
        <v>0</v>
      </c>
      <c r="I2339" s="3">
        <v>0</v>
      </c>
      <c r="J2339" s="3">
        <v>0</v>
      </c>
      <c r="K2339" s="3">
        <v>0</v>
      </c>
      <c r="L2339" s="3" t="str">
        <f>IF(K2339&lt;-5,"CRÍTICO",IF(K2339&lt;0,"ATENÇÃO",IF(K2339&lt;=5,"BOM","EXCELENTE")))</f>
        <v>BOM</v>
      </c>
      <c r="M2339">
        <v>0</v>
      </c>
      <c r="N2339">
        <v>0</v>
      </c>
      <c r="O2339">
        <v>0</v>
      </c>
    </row>
    <row r="2340" spans="1:15" hidden="1" x14ac:dyDescent="0.25">
      <c r="A2340" s="11">
        <v>46073</v>
      </c>
      <c r="B2340" t="s">
        <v>41</v>
      </c>
      <c r="C2340" t="s">
        <v>32</v>
      </c>
      <c r="D2340">
        <v>29</v>
      </c>
      <c r="E2340">
        <v>28</v>
      </c>
      <c r="F2340">
        <v>21.56</v>
      </c>
      <c r="G2340">
        <v>0</v>
      </c>
      <c r="H2340">
        <v>0</v>
      </c>
      <c r="I2340" s="3">
        <f>E2340+G2340+H2340</f>
        <v>28</v>
      </c>
      <c r="J2340" s="3">
        <f>ROUND(MIN(IF(C2340="Técnico III",35,IF(C2340="Técnico II",28,IF(C2340="Técnico I",23,IF(C2340="JR",20,IF(C2340="Estágio",10,0))))),IF(C2340="Técnico III",SUMIFS($D:$D,$A:$A,$A2340,$B:$B,"&lt;&gt;Patrícia Karla de Sousa Araújo",$B:$B,"&lt;&gt;Lorena Dias de Araujo",$B:$B,"&lt;&gt;Lucas Luiz Romero")*(35/1083),IF(C2340="Técnico II",SUMIFS($D:$D,$A:$A,$A2340,$B:$B,"&lt;&gt;Patrícia Karla de Sousa Araújo",$B:$B,"&lt;&gt;Lorena Dias de Araujo",$B:$B,"&lt;&gt;Lucas Luiz Romero")*(28/1083),IF(C2340="Técnico I",SUMIFS($D:$D,$A:$A,$A2340,$B:$B,"&lt;&gt;Patrícia Karla de Sousa Araújo",$B:$B,"&lt;&gt;Lorena Dias de Araujo",$B:$B,"&lt;&gt;Lucas Luiz Romero")*(23/1083),IF(C2340="JR",SUMIFS($D:$D,$A:$A,$A2340,$B:$B,"&lt;&gt;Patrícia Karla de Sousa Araújo",$B:$B,"&lt;&gt;Lorena Dias de Araujo",$B:$B,"&lt;&gt;Lucas Luiz Romero")*(20/1083),IF(C2340="Estágio",SUMIFS($D:$D,$A:$A,$A2340,$B:$B,"&lt;&gt;Patrícia Karla de Sousa Araújo",$B:$B,"&lt;&gt;Lorena Dias de Araujo",$B:$B,"&lt;&gt;Lucas Luiz Romero")*(10/1083),0)))))),0)</f>
        <v>23</v>
      </c>
      <c r="K2340" s="3">
        <f>I2340-J2340</f>
        <v>5</v>
      </c>
      <c r="L2340" s="3" t="str">
        <f>IF(K2340&lt;-5,"CRÍTICO",IF(K2340&lt;0,"ATENÇÃO",IF(K2340&lt;=5,"BOM","EXCELENTE")))</f>
        <v>BOM</v>
      </c>
      <c r="M2340">
        <v>28</v>
      </c>
      <c r="N2340">
        <v>99.26</v>
      </c>
      <c r="O2340">
        <v>30.84832904884319</v>
      </c>
    </row>
    <row r="2341" spans="1:15" hidden="1" x14ac:dyDescent="0.25">
      <c r="A2341" s="11">
        <v>46073</v>
      </c>
      <c r="B2341" t="s">
        <v>56</v>
      </c>
      <c r="C2341" t="s">
        <v>48</v>
      </c>
      <c r="D2341">
        <v>31</v>
      </c>
      <c r="E2341">
        <v>27</v>
      </c>
      <c r="F2341">
        <v>24.05</v>
      </c>
      <c r="G2341">
        <v>0</v>
      </c>
      <c r="H2341">
        <v>0</v>
      </c>
      <c r="I2341" s="3">
        <f>E2341+G2341+H2341</f>
        <v>27</v>
      </c>
      <c r="J2341" s="3">
        <f>ROUND(MIN(IF(C2341="Técnico III",35,IF(C2341="Técnico II",28,IF(C2341="Técnico I",23,IF(C2341="JR",20,IF(C2341="Estágio",10,0))))),IF(C2341="Técnico III",SUMIFS($D:$D,$A:$A,$A2341,$B:$B,"&lt;&gt;Patrícia Karla de Sousa Araújo",$B:$B,"&lt;&gt;Lorena Dias de Araujo",$B:$B,"&lt;&gt;Lucas Luiz Romero")*(35/1083),IF(C2341="Técnico II",SUMIFS($D:$D,$A:$A,$A2341,$B:$B,"&lt;&gt;Patrícia Karla de Sousa Araújo",$B:$B,"&lt;&gt;Lorena Dias de Araujo",$B:$B,"&lt;&gt;Lucas Luiz Romero")*(28/1083),IF(C2341="Técnico I",SUMIFS($D:$D,$A:$A,$A2341,$B:$B,"&lt;&gt;Patrícia Karla de Sousa Araújo",$B:$B,"&lt;&gt;Lorena Dias de Araujo",$B:$B,"&lt;&gt;Lucas Luiz Romero")*(23/1083),IF(C2341="JR",SUMIFS($D:$D,$A:$A,$A2341,$B:$B,"&lt;&gt;Patrícia Karla de Sousa Araújo",$B:$B,"&lt;&gt;Lorena Dias de Araujo",$B:$B,"&lt;&gt;Lucas Luiz Romero")*(20/1083),IF(C2341="Estágio",SUMIFS($D:$D,$A:$A,$A2341,$B:$B,"&lt;&gt;Patrícia Karla de Sousa Araújo",$B:$B,"&lt;&gt;Lorena Dias de Araujo",$B:$B,"&lt;&gt;Lucas Luiz Romero")*(10/1083),0)))))),0)</f>
        <v>19</v>
      </c>
      <c r="K2341" s="3">
        <f>I2341-J2341</f>
        <v>8</v>
      </c>
      <c r="L2341" s="3" t="str">
        <f>IF(K2341&lt;-5,"CRÍTICO",IF(K2341&lt;0,"ATENÇÃO",IF(K2341&lt;=5,"BOM","EXCELENTE")))</f>
        <v>EXCELENTE</v>
      </c>
      <c r="M2341">
        <v>20</v>
      </c>
      <c r="N2341">
        <v>97.48</v>
      </c>
      <c r="O2341">
        <v>27.764705882352938</v>
      </c>
    </row>
    <row r="2342" spans="1:15" hidden="1" x14ac:dyDescent="0.25">
      <c r="A2342" s="11">
        <v>46073</v>
      </c>
      <c r="B2342" t="s">
        <v>57</v>
      </c>
      <c r="C2342" t="s">
        <v>48</v>
      </c>
      <c r="D2342">
        <v>29</v>
      </c>
      <c r="E2342">
        <v>26</v>
      </c>
      <c r="F2342">
        <v>22.26</v>
      </c>
      <c r="G2342">
        <v>0</v>
      </c>
      <c r="H2342">
        <v>0</v>
      </c>
      <c r="I2342" s="3">
        <v>0</v>
      </c>
      <c r="J2342" s="3">
        <v>0</v>
      </c>
      <c r="K2342" s="3">
        <v>0</v>
      </c>
      <c r="L2342" s="3" t="str">
        <f>IF(K2342&lt;-5,"CRÍTICO",IF(K2342&lt;0,"ATENÇÃO",IF(K2342&lt;=5,"BOM","EXCELENTE")))</f>
        <v>BOM</v>
      </c>
      <c r="M2342">
        <v>25</v>
      </c>
      <c r="N2342">
        <v>99.34</v>
      </c>
      <c r="O2342">
        <v>30.04291845493562</v>
      </c>
    </row>
    <row r="2343" spans="1:15" hidden="1" x14ac:dyDescent="0.25">
      <c r="A2343" s="11">
        <v>46073</v>
      </c>
      <c r="B2343" t="s">
        <v>42</v>
      </c>
      <c r="C2343" t="s">
        <v>32</v>
      </c>
      <c r="D2343">
        <v>0</v>
      </c>
      <c r="E2343">
        <v>0</v>
      </c>
      <c r="F2343">
        <v>0</v>
      </c>
      <c r="G2343">
        <v>0</v>
      </c>
      <c r="H2343">
        <v>0</v>
      </c>
      <c r="I2343" s="3">
        <v>0</v>
      </c>
      <c r="J2343" s="3">
        <v>0</v>
      </c>
      <c r="K2343" s="3">
        <v>0</v>
      </c>
      <c r="L2343" s="3" t="str">
        <f>IF(K2343&lt;-5,"CRÍTICO",IF(K2343&lt;0,"ATENÇÃO",IF(K2343&lt;=5,"BOM","EXCELENTE")))</f>
        <v>BOM</v>
      </c>
      <c r="M2343">
        <v>0</v>
      </c>
      <c r="N2343">
        <v>96.3</v>
      </c>
      <c r="O2343">
        <v>24.29378531073446</v>
      </c>
    </row>
    <row r="2344" spans="1:15" hidden="1" x14ac:dyDescent="0.25">
      <c r="A2344" s="11">
        <v>46073</v>
      </c>
      <c r="B2344" t="s">
        <v>62</v>
      </c>
      <c r="C2344" t="s">
        <v>23</v>
      </c>
      <c r="D2344">
        <v>10</v>
      </c>
      <c r="E2344">
        <v>9</v>
      </c>
      <c r="F2344">
        <v>38.54</v>
      </c>
      <c r="G2344">
        <v>0</v>
      </c>
      <c r="H2344">
        <v>0</v>
      </c>
      <c r="I2344" s="3">
        <f>E2344+G2344+H2344</f>
        <v>9</v>
      </c>
      <c r="J2344" s="3">
        <f>ROUND(MIN(IF(C2344="Técnico III",35,IF(C2344="Técnico II",28,IF(C2344="Técnico I",23,IF(C2344="JR",20,IF(C2344="Estágio",10,0))))),IF(C2344="Técnico III",SUMIFS($D:$D,$A:$A,$A2344,$B:$B,"&lt;&gt;Patrícia Karla de Sousa Araújo",$B:$B,"&lt;&gt;Lorena Dias de Araujo",$B:$B,"&lt;&gt;Lucas Luiz Romero")*(35/1083),IF(C2344="Técnico II",SUMIFS($D:$D,$A:$A,$A2344,$B:$B,"&lt;&gt;Patrícia Karla de Sousa Araújo",$B:$B,"&lt;&gt;Lorena Dias de Araujo",$B:$B,"&lt;&gt;Lucas Luiz Romero")*(28/1083),IF(C2344="Técnico I",SUMIFS($D:$D,$A:$A,$A2344,$B:$B,"&lt;&gt;Patrícia Karla de Sousa Araújo",$B:$B,"&lt;&gt;Lorena Dias de Araujo",$B:$B,"&lt;&gt;Lucas Luiz Romero")*(23/1083),IF(C2344="JR",SUMIFS($D:$D,$A:$A,$A2344,$B:$B,"&lt;&gt;Patrícia Karla de Sousa Araújo",$B:$B,"&lt;&gt;Lorena Dias de Araujo",$B:$B,"&lt;&gt;Lucas Luiz Romero")*(20/1083),IF(C2344="Estágio",SUMIFS($D:$D,$A:$A,$A2344,$B:$B,"&lt;&gt;Patrícia Karla de Sousa Araújo",$B:$B,"&lt;&gt;Lorena Dias de Araujo",$B:$B,"&lt;&gt;Lucas Luiz Romero")*(10/1083),0)))))),0)</f>
        <v>15</v>
      </c>
      <c r="K2344" s="3">
        <f>I2344-J2344</f>
        <v>-6</v>
      </c>
      <c r="L2344" s="3" t="str">
        <f>IF(K2344&lt;-5,"CRÍTICO",IF(K2344&lt;0,"ATENÇÃO",IF(K2344&lt;=5,"BOM","EXCELENTE")))</f>
        <v>CRÍTICO</v>
      </c>
      <c r="M2344">
        <v>8</v>
      </c>
      <c r="N2344">
        <v>100</v>
      </c>
      <c r="O2344">
        <v>26.543209876543209</v>
      </c>
    </row>
    <row r="2345" spans="1:15" hidden="1" x14ac:dyDescent="0.25">
      <c r="A2345" s="11">
        <v>46073</v>
      </c>
      <c r="B2345" t="s">
        <v>19</v>
      </c>
      <c r="C2345" t="s">
        <v>16</v>
      </c>
      <c r="D2345">
        <v>4</v>
      </c>
      <c r="E2345">
        <v>4</v>
      </c>
      <c r="F2345">
        <v>99.13</v>
      </c>
      <c r="G2345">
        <v>0</v>
      </c>
      <c r="H2345">
        <v>0</v>
      </c>
      <c r="I2345" s="3">
        <f>E2345+G2345+H2345</f>
        <v>4</v>
      </c>
      <c r="J2345" s="3">
        <f>ROUND(MIN(IF(C2345="Técnico III",35,IF(C2345="Técnico II",28,IF(C2345="Técnico I",23,IF(C2345="JR",20,IF(C2345="Estágio",10,0))))),IF(C2345="Técnico III",SUMIFS($D:$D,$A:$A,$A2345,$B:$B,"&lt;&gt;Patrícia Karla de Sousa Araújo",$B:$B,"&lt;&gt;Lorena Dias de Araujo",$B:$B,"&lt;&gt;Lucas Luiz Romero")*(35/1083),IF(C2345="Técnico II",SUMIFS($D:$D,$A:$A,$A2345,$B:$B,"&lt;&gt;Patrícia Karla de Sousa Araújo",$B:$B,"&lt;&gt;Lorena Dias de Araujo",$B:$B,"&lt;&gt;Lucas Luiz Romero")*(28/1083),IF(C2345="Técnico I",SUMIFS($D:$D,$A:$A,$A2345,$B:$B,"&lt;&gt;Patrícia Karla de Sousa Araújo",$B:$B,"&lt;&gt;Lorena Dias de Araujo",$B:$B,"&lt;&gt;Lucas Luiz Romero")*(23/1083),IF(C2345="JR",SUMIFS($D:$D,$A:$A,$A2345,$B:$B,"&lt;&gt;Patrícia Karla de Sousa Araújo",$B:$B,"&lt;&gt;Lorena Dias de Araujo",$B:$B,"&lt;&gt;Lucas Luiz Romero")*(20/1083),IF(C2345="Estágio",SUMIFS($D:$D,$A:$A,$A2345,$B:$B,"&lt;&gt;Patrícia Karla de Sousa Araújo",$B:$B,"&lt;&gt;Lorena Dias de Araujo",$B:$B,"&lt;&gt;Lucas Luiz Romero")*(10/1083),0)))))),0)</f>
        <v>7</v>
      </c>
      <c r="K2345" s="3">
        <f>I2345-J2345</f>
        <v>-3</v>
      </c>
      <c r="L2345" s="3" t="str">
        <f>IF(K2345&lt;-5,"CRÍTICO",IF(K2345&lt;0,"ATENÇÃO",IF(K2345&lt;=5,"BOM","EXCELENTE")))</f>
        <v>ATENÇÃO</v>
      </c>
      <c r="M2345">
        <v>5</v>
      </c>
      <c r="N2345">
        <v>100</v>
      </c>
      <c r="O2345">
        <v>35.483870967741943</v>
      </c>
    </row>
    <row r="2346" spans="1:15" hidden="1" x14ac:dyDescent="0.25">
      <c r="A2346" s="11">
        <v>46073</v>
      </c>
      <c r="B2346" t="s">
        <v>43</v>
      </c>
      <c r="C2346" t="s">
        <v>32</v>
      </c>
      <c r="D2346">
        <v>23</v>
      </c>
      <c r="E2346">
        <v>22</v>
      </c>
      <c r="F2346">
        <v>32.11</v>
      </c>
      <c r="G2346">
        <v>0</v>
      </c>
      <c r="H2346">
        <v>0</v>
      </c>
      <c r="I2346" s="3">
        <f>E2346+G2346+H2346</f>
        <v>22</v>
      </c>
      <c r="J2346" s="3">
        <f>ROUND(MIN(IF(C2346="Técnico III",35,IF(C2346="Técnico II",28,IF(C2346="Técnico I",23,IF(C2346="JR",20,IF(C2346="Estágio",10,0))))),IF(C2346="Técnico III",SUMIFS($D:$D,$A:$A,$A2346,$B:$B,"&lt;&gt;Patrícia Karla de Sousa Araújo",$B:$B,"&lt;&gt;Lorena Dias de Araujo",$B:$B,"&lt;&gt;Lucas Luiz Romero")*(35/1083),IF(C2346="Técnico II",SUMIFS($D:$D,$A:$A,$A2346,$B:$B,"&lt;&gt;Patrícia Karla de Sousa Araújo",$B:$B,"&lt;&gt;Lorena Dias de Araujo",$B:$B,"&lt;&gt;Lucas Luiz Romero")*(28/1083),IF(C2346="Técnico I",SUMIFS($D:$D,$A:$A,$A2346,$B:$B,"&lt;&gt;Patrícia Karla de Sousa Araújo",$B:$B,"&lt;&gt;Lorena Dias de Araujo",$B:$B,"&lt;&gt;Lucas Luiz Romero")*(23/1083),IF(C2346="JR",SUMIFS($D:$D,$A:$A,$A2346,$B:$B,"&lt;&gt;Patrícia Karla de Sousa Araújo",$B:$B,"&lt;&gt;Lorena Dias de Araujo",$B:$B,"&lt;&gt;Lucas Luiz Romero")*(20/1083),IF(C2346="Estágio",SUMIFS($D:$D,$A:$A,$A2346,$B:$B,"&lt;&gt;Patrícia Karla de Sousa Araújo",$B:$B,"&lt;&gt;Lorena Dias de Araujo",$B:$B,"&lt;&gt;Lucas Luiz Romero")*(10/1083),0)))))),0)</f>
        <v>23</v>
      </c>
      <c r="K2346" s="3">
        <f>I2346-J2346</f>
        <v>-1</v>
      </c>
      <c r="L2346" s="3" t="str">
        <f>IF(K2346&lt;-5,"CRÍTICO",IF(K2346&lt;0,"ATENÇÃO",IF(K2346&lt;=5,"BOM","EXCELENTE")))</f>
        <v>ATENÇÃO</v>
      </c>
      <c r="M2346">
        <v>21</v>
      </c>
      <c r="N2346">
        <v>99.27</v>
      </c>
      <c r="O2346">
        <v>31.163708086785011</v>
      </c>
    </row>
    <row r="2347" spans="1:15" hidden="1" x14ac:dyDescent="0.25">
      <c r="A2347" s="11">
        <v>46073</v>
      </c>
      <c r="B2347" t="s">
        <v>44</v>
      </c>
      <c r="C2347" t="s">
        <v>32</v>
      </c>
      <c r="D2347">
        <v>24</v>
      </c>
      <c r="E2347">
        <v>23</v>
      </c>
      <c r="F2347">
        <v>23.25</v>
      </c>
      <c r="G2347">
        <v>0</v>
      </c>
      <c r="H2347">
        <v>0</v>
      </c>
      <c r="I2347" s="3">
        <f>E2347+G2347+H2347</f>
        <v>23</v>
      </c>
      <c r="J2347" s="3">
        <f>ROUND(MIN(IF(C2347="Técnico III",35,IF(C2347="Técnico II",28,IF(C2347="Técnico I",23,IF(C2347="JR",20,IF(C2347="Estágio",10,0))))),IF(C2347="Técnico III",SUMIFS($D:$D,$A:$A,$A2347,$B:$B,"&lt;&gt;Patrícia Karla de Sousa Araújo",$B:$B,"&lt;&gt;Lorena Dias de Araujo",$B:$B,"&lt;&gt;Lucas Luiz Romero")*(35/1083),IF(C2347="Técnico II",SUMIFS($D:$D,$A:$A,$A2347,$B:$B,"&lt;&gt;Patrícia Karla de Sousa Araújo",$B:$B,"&lt;&gt;Lorena Dias de Araujo",$B:$B,"&lt;&gt;Lucas Luiz Romero")*(28/1083),IF(C2347="Técnico I",SUMIFS($D:$D,$A:$A,$A2347,$B:$B,"&lt;&gt;Patrícia Karla de Sousa Araújo",$B:$B,"&lt;&gt;Lorena Dias de Araujo",$B:$B,"&lt;&gt;Lucas Luiz Romero")*(23/1083),IF(C2347="JR",SUMIFS($D:$D,$A:$A,$A2347,$B:$B,"&lt;&gt;Patrícia Karla de Sousa Araújo",$B:$B,"&lt;&gt;Lorena Dias de Araujo",$B:$B,"&lt;&gt;Lucas Luiz Romero")*(20/1083),IF(C2347="Estágio",SUMIFS($D:$D,$A:$A,$A2347,$B:$B,"&lt;&gt;Patrícia Karla de Sousa Araújo",$B:$B,"&lt;&gt;Lorena Dias de Araujo",$B:$B,"&lt;&gt;Lucas Luiz Romero")*(10/1083),0)))))),0)</f>
        <v>23</v>
      </c>
      <c r="K2347" s="3">
        <f>I2347-J2347</f>
        <v>0</v>
      </c>
      <c r="L2347" s="3" t="str">
        <f>IF(K2347&lt;-5,"CRÍTICO",IF(K2347&lt;0,"ATENÇÃO",IF(K2347&lt;=5,"BOM","EXCELENTE")))</f>
        <v>BOM</v>
      </c>
      <c r="M2347">
        <v>21</v>
      </c>
      <c r="N2347">
        <v>94.16</v>
      </c>
      <c r="O2347">
        <v>27.038626609442058</v>
      </c>
    </row>
    <row r="2348" spans="1:15" hidden="1" x14ac:dyDescent="0.25">
      <c r="A2348" s="11">
        <v>46073</v>
      </c>
      <c r="B2348" t="s">
        <v>20</v>
      </c>
      <c r="C2348" t="s">
        <v>16</v>
      </c>
      <c r="D2348">
        <v>8</v>
      </c>
      <c r="E2348">
        <v>7</v>
      </c>
      <c r="F2348">
        <v>40.15</v>
      </c>
      <c r="G2348">
        <v>0</v>
      </c>
      <c r="H2348">
        <v>0</v>
      </c>
      <c r="I2348" s="3">
        <f>E2348+G2348+H2348</f>
        <v>7</v>
      </c>
      <c r="J2348" s="3">
        <f>ROUND(MIN(IF(C2348="Técnico III",35,IF(C2348="Técnico II",28,IF(C2348="Técnico I",23,IF(C2348="JR",20,IF(C2348="Estágio",10,0))))),IF(C2348="Técnico III",SUMIFS($D:$D,$A:$A,$A2348,$B:$B,"&lt;&gt;Patrícia Karla de Sousa Araújo",$B:$B,"&lt;&gt;Lorena Dias de Araujo",$B:$B,"&lt;&gt;Lucas Luiz Romero")*(35/1083),IF(C2348="Técnico II",SUMIFS($D:$D,$A:$A,$A2348,$B:$B,"&lt;&gt;Patrícia Karla de Sousa Araújo",$B:$B,"&lt;&gt;Lorena Dias de Araujo",$B:$B,"&lt;&gt;Lucas Luiz Romero")*(28/1083),IF(C2348="Técnico I",SUMIFS($D:$D,$A:$A,$A2348,$B:$B,"&lt;&gt;Patrícia Karla de Sousa Araújo",$B:$B,"&lt;&gt;Lorena Dias de Araujo",$B:$B,"&lt;&gt;Lucas Luiz Romero")*(23/1083),IF(C2348="JR",SUMIFS($D:$D,$A:$A,$A2348,$B:$B,"&lt;&gt;Patrícia Karla de Sousa Araújo",$B:$B,"&lt;&gt;Lorena Dias de Araujo",$B:$B,"&lt;&gt;Lucas Luiz Romero")*(20/1083),IF(C2348="Estágio",SUMIFS($D:$D,$A:$A,$A2348,$B:$B,"&lt;&gt;Patrícia Karla de Sousa Araújo",$B:$B,"&lt;&gt;Lorena Dias de Araujo",$B:$B,"&lt;&gt;Lucas Luiz Romero")*(10/1083),0)))))),0)</f>
        <v>7</v>
      </c>
      <c r="K2348" s="3">
        <f>I2348-J2348</f>
        <v>0</v>
      </c>
      <c r="L2348" s="3" t="str">
        <f>IF(K2348&lt;-5,"CRÍTICO",IF(K2348&lt;0,"ATENÇÃO",IF(K2348&lt;=5,"BOM","EXCELENTE")))</f>
        <v>BOM</v>
      </c>
      <c r="M2348">
        <v>6</v>
      </c>
      <c r="N2348">
        <v>93.75</v>
      </c>
      <c r="O2348">
        <v>19.31818181818182</v>
      </c>
    </row>
    <row r="2349" spans="1:15" hidden="1" x14ac:dyDescent="0.25">
      <c r="A2349" s="11">
        <v>46073</v>
      </c>
      <c r="B2349" t="s">
        <v>28</v>
      </c>
      <c r="C2349" t="s">
        <v>26</v>
      </c>
      <c r="D2349">
        <v>0</v>
      </c>
      <c r="E2349">
        <v>0</v>
      </c>
      <c r="F2349">
        <v>0</v>
      </c>
      <c r="G2349">
        <v>0</v>
      </c>
      <c r="H2349">
        <v>0</v>
      </c>
      <c r="I2349" s="3">
        <v>0</v>
      </c>
      <c r="J2349" s="3">
        <v>0</v>
      </c>
      <c r="K2349" s="3">
        <v>0</v>
      </c>
      <c r="L2349" s="3" t="str">
        <f>IF(K2349&lt;-5,"CRÍTICO",IF(K2349&lt;0,"ATENÇÃO",IF(K2349&lt;=5,"BOM","EXCELENTE")))</f>
        <v>BOM</v>
      </c>
      <c r="M2349">
        <v>0</v>
      </c>
      <c r="N2349">
        <v>0</v>
      </c>
      <c r="O2349">
        <v>0</v>
      </c>
    </row>
    <row r="2350" spans="1:15" hidden="1" x14ac:dyDescent="0.25">
      <c r="A2350" s="11">
        <v>46073</v>
      </c>
      <c r="B2350" t="s">
        <v>58</v>
      </c>
      <c r="C2350" t="s">
        <v>48</v>
      </c>
      <c r="D2350">
        <v>0</v>
      </c>
      <c r="E2350">
        <v>0</v>
      </c>
      <c r="F2350">
        <v>0</v>
      </c>
      <c r="G2350">
        <v>0</v>
      </c>
      <c r="H2350">
        <v>0</v>
      </c>
      <c r="I2350" s="3">
        <v>0</v>
      </c>
      <c r="J2350" s="3">
        <v>0</v>
      </c>
      <c r="K2350" s="3">
        <v>0</v>
      </c>
      <c r="L2350" s="3" t="str">
        <f>IF(K2350&lt;-5,"CRÍTICO",IF(K2350&lt;0,"ATENÇÃO",IF(K2350&lt;=5,"BOM","EXCELENTE")))</f>
        <v>BOM</v>
      </c>
      <c r="M2350">
        <v>0</v>
      </c>
      <c r="N2350">
        <v>97.92</v>
      </c>
      <c r="O2350">
        <v>32.87671232876712</v>
      </c>
    </row>
    <row r="2351" spans="1:15" hidden="1" x14ac:dyDescent="0.25">
      <c r="A2351" s="11">
        <v>46073</v>
      </c>
      <c r="B2351" t="s">
        <v>29</v>
      </c>
      <c r="C2351" t="s">
        <v>26</v>
      </c>
      <c r="D2351">
        <v>0</v>
      </c>
      <c r="E2351">
        <v>0</v>
      </c>
      <c r="F2351">
        <v>0</v>
      </c>
      <c r="G2351">
        <v>0</v>
      </c>
      <c r="H2351">
        <v>0</v>
      </c>
      <c r="I2351" s="3">
        <v>0</v>
      </c>
      <c r="J2351" s="3">
        <v>0</v>
      </c>
      <c r="K2351" s="3">
        <v>0</v>
      </c>
      <c r="L2351" s="3" t="str">
        <f>IF(K2351&lt;-5,"CRÍTICO",IF(K2351&lt;0,"ATENÇÃO",IF(K2351&lt;=5,"BOM","EXCELENTE")))</f>
        <v>BOM</v>
      </c>
      <c r="M2351">
        <v>0</v>
      </c>
      <c r="N2351">
        <v>0</v>
      </c>
      <c r="O2351">
        <v>0</v>
      </c>
    </row>
    <row r="2352" spans="1:15" hidden="1" x14ac:dyDescent="0.25">
      <c r="A2352" s="11">
        <v>46073</v>
      </c>
      <c r="B2352" t="s">
        <v>30</v>
      </c>
      <c r="C2352" t="s">
        <v>26</v>
      </c>
      <c r="D2352">
        <v>0</v>
      </c>
      <c r="E2352">
        <v>0</v>
      </c>
      <c r="F2352">
        <v>0</v>
      </c>
      <c r="G2352">
        <v>0</v>
      </c>
      <c r="H2352">
        <v>0</v>
      </c>
      <c r="I2352" s="3">
        <v>0</v>
      </c>
      <c r="J2352" s="3">
        <v>0</v>
      </c>
      <c r="K2352" s="3">
        <v>0</v>
      </c>
      <c r="L2352" s="3" t="str">
        <f>IF(K2352&lt;-5,"CRÍTICO",IF(K2352&lt;0,"ATENÇÃO",IF(K2352&lt;=5,"BOM","EXCELENTE")))</f>
        <v>BOM</v>
      </c>
      <c r="M2352">
        <v>0</v>
      </c>
      <c r="N2352">
        <v>0</v>
      </c>
      <c r="O2352">
        <v>0</v>
      </c>
    </row>
    <row r="2353" spans="1:15" hidden="1" x14ac:dyDescent="0.25">
      <c r="A2353" s="11">
        <v>46073</v>
      </c>
      <c r="B2353" t="s">
        <v>21</v>
      </c>
      <c r="C2353" t="s">
        <v>16</v>
      </c>
      <c r="D2353">
        <v>0</v>
      </c>
      <c r="E2353">
        <v>0</v>
      </c>
      <c r="F2353">
        <v>0</v>
      </c>
      <c r="G2353">
        <v>0</v>
      </c>
      <c r="H2353">
        <v>0</v>
      </c>
      <c r="I2353" s="3">
        <v>0</v>
      </c>
      <c r="J2353" s="3">
        <v>0</v>
      </c>
      <c r="K2353" s="3">
        <v>0</v>
      </c>
      <c r="L2353" s="3" t="str">
        <f>IF(K2353&lt;-5,"CRÍTICO",IF(K2353&lt;0,"ATENÇÃO",IF(K2353&lt;=5,"BOM","EXCELENTE")))</f>
        <v>BOM</v>
      </c>
      <c r="M2353">
        <v>0</v>
      </c>
      <c r="N2353">
        <v>0</v>
      </c>
      <c r="O2353">
        <v>0</v>
      </c>
    </row>
    <row r="2354" spans="1:15" hidden="1" x14ac:dyDescent="0.25">
      <c r="A2354" s="11">
        <v>46073</v>
      </c>
      <c r="B2354" t="s">
        <v>63</v>
      </c>
      <c r="C2354" t="s">
        <v>23</v>
      </c>
      <c r="D2354">
        <v>22</v>
      </c>
      <c r="E2354">
        <v>19</v>
      </c>
      <c r="F2354">
        <v>28.38</v>
      </c>
      <c r="G2354">
        <v>0</v>
      </c>
      <c r="H2354">
        <v>0</v>
      </c>
      <c r="I2354" s="3">
        <f>E2354+G2354+H2354</f>
        <v>19</v>
      </c>
      <c r="J2354" s="3">
        <f>ROUND(MIN(IF(C2354="Técnico III",35,IF(C2354="Técnico II",28,IF(C2354="Técnico I",23,IF(C2354="JR",20,IF(C2354="Estágio",10,0))))),IF(C2354="Técnico III",SUMIFS($D:$D,$A:$A,$A2354,$B:$B,"&lt;&gt;Patrícia Karla de Sousa Araújo",$B:$B,"&lt;&gt;Lorena Dias de Araujo",$B:$B,"&lt;&gt;Lucas Luiz Romero")*(35/1083),IF(C2354="Técnico II",SUMIFS($D:$D,$A:$A,$A2354,$B:$B,"&lt;&gt;Patrícia Karla de Sousa Araújo",$B:$B,"&lt;&gt;Lorena Dias de Araujo",$B:$B,"&lt;&gt;Lucas Luiz Romero")*(28/1083),IF(C2354="Técnico I",SUMIFS($D:$D,$A:$A,$A2354,$B:$B,"&lt;&gt;Patrícia Karla de Sousa Araújo",$B:$B,"&lt;&gt;Lorena Dias de Araujo",$B:$B,"&lt;&gt;Lucas Luiz Romero")*(23/1083),IF(C2354="JR",SUMIFS($D:$D,$A:$A,$A2354,$B:$B,"&lt;&gt;Patrícia Karla de Sousa Araújo",$B:$B,"&lt;&gt;Lorena Dias de Araujo",$B:$B,"&lt;&gt;Lucas Luiz Romero")*(20/1083),IF(C2354="Estágio",SUMIFS($D:$D,$A:$A,$A2354,$B:$B,"&lt;&gt;Patrícia Karla de Sousa Araújo",$B:$B,"&lt;&gt;Lorena Dias de Araujo",$B:$B,"&lt;&gt;Lucas Luiz Romero")*(10/1083),0)))))),0)</f>
        <v>15</v>
      </c>
      <c r="K2354" s="3">
        <f>I2354-J2354</f>
        <v>4</v>
      </c>
      <c r="L2354" s="3" t="str">
        <f>IF(K2354&lt;-5,"CRÍTICO",IF(K2354&lt;0,"ATENÇÃO",IF(K2354&lt;=5,"BOM","EXCELENTE")))</f>
        <v>BOM</v>
      </c>
      <c r="M2354">
        <v>17</v>
      </c>
      <c r="N2354">
        <v>98.51</v>
      </c>
      <c r="O2354">
        <v>29.710144927536231</v>
      </c>
    </row>
    <row r="2355" spans="1:15" hidden="1" x14ac:dyDescent="0.25">
      <c r="A2355" s="11">
        <v>46073</v>
      </c>
      <c r="B2355" t="s">
        <v>45</v>
      </c>
      <c r="C2355" t="s">
        <v>32</v>
      </c>
      <c r="D2355">
        <v>34</v>
      </c>
      <c r="E2355">
        <v>32</v>
      </c>
      <c r="F2355">
        <v>20.12</v>
      </c>
      <c r="G2355">
        <v>0</v>
      </c>
      <c r="H2355">
        <v>0</v>
      </c>
      <c r="I2355" s="3">
        <f>E2355+G2355+H2355</f>
        <v>32</v>
      </c>
      <c r="J2355" s="3">
        <f>ROUND(MIN(IF(C2355="Técnico III",35,IF(C2355="Técnico II",28,IF(C2355="Técnico I",23,IF(C2355="JR",20,IF(C2355="Estágio",10,0))))),IF(C2355="Técnico III",SUMIFS($D:$D,$A:$A,$A2355,$B:$B,"&lt;&gt;Patrícia Karla de Sousa Araújo",$B:$B,"&lt;&gt;Lorena Dias de Araujo",$B:$B,"&lt;&gt;Lucas Luiz Romero")*(35/1083),IF(C2355="Técnico II",SUMIFS($D:$D,$A:$A,$A2355,$B:$B,"&lt;&gt;Patrícia Karla de Sousa Araújo",$B:$B,"&lt;&gt;Lorena Dias de Araujo",$B:$B,"&lt;&gt;Lucas Luiz Romero")*(28/1083),IF(C2355="Técnico I",SUMIFS($D:$D,$A:$A,$A2355,$B:$B,"&lt;&gt;Patrícia Karla de Sousa Araújo",$B:$B,"&lt;&gt;Lorena Dias de Araujo",$B:$B,"&lt;&gt;Lucas Luiz Romero")*(23/1083),IF(C2355="JR",SUMIFS($D:$D,$A:$A,$A2355,$B:$B,"&lt;&gt;Patrícia Karla de Sousa Araújo",$B:$B,"&lt;&gt;Lorena Dias de Araujo",$B:$B,"&lt;&gt;Lucas Luiz Romero")*(20/1083),IF(C2355="Estágio",SUMIFS($D:$D,$A:$A,$A2355,$B:$B,"&lt;&gt;Patrícia Karla de Sousa Araújo",$B:$B,"&lt;&gt;Lorena Dias de Araujo",$B:$B,"&lt;&gt;Lucas Luiz Romero")*(10/1083),0)))))),0)</f>
        <v>23</v>
      </c>
      <c r="K2355" s="3">
        <f>I2355-J2355</f>
        <v>9</v>
      </c>
      <c r="L2355" s="3" t="str">
        <f>IF(K2355&lt;-5,"CRÍTICO",IF(K2355&lt;0,"ATENÇÃO",IF(K2355&lt;=5,"BOM","EXCELENTE")))</f>
        <v>EXCELENTE</v>
      </c>
      <c r="M2355">
        <v>28</v>
      </c>
      <c r="N2355">
        <v>98.81</v>
      </c>
      <c r="O2355">
        <v>30.712979890310791</v>
      </c>
    </row>
    <row r="2356" spans="1:15" hidden="1" x14ac:dyDescent="0.25">
      <c r="A2356" s="11">
        <v>46073</v>
      </c>
      <c r="B2356" t="s">
        <v>64</v>
      </c>
      <c r="C2356" t="s">
        <v>23</v>
      </c>
      <c r="D2356">
        <v>11</v>
      </c>
      <c r="E2356">
        <v>11</v>
      </c>
      <c r="F2356">
        <v>50.56</v>
      </c>
      <c r="G2356">
        <v>0</v>
      </c>
      <c r="H2356">
        <v>0</v>
      </c>
      <c r="I2356" s="3">
        <f>E2356+G2356+H2356</f>
        <v>11</v>
      </c>
      <c r="J2356" s="3">
        <f>ROUND(MIN(IF(C2356="Técnico III",35,IF(C2356="Técnico II",28,IF(C2356="Técnico I",23,IF(C2356="JR",20,IF(C2356="Estágio",10,0))))),IF(C2356="Técnico III",SUMIFS($D:$D,$A:$A,$A2356,$B:$B,"&lt;&gt;Patrícia Karla de Sousa Araújo",$B:$B,"&lt;&gt;Lorena Dias de Araujo",$B:$B,"&lt;&gt;Lucas Luiz Romero")*(35/1083),IF(C2356="Técnico II",SUMIFS($D:$D,$A:$A,$A2356,$B:$B,"&lt;&gt;Patrícia Karla de Sousa Araújo",$B:$B,"&lt;&gt;Lorena Dias de Araujo",$B:$B,"&lt;&gt;Lucas Luiz Romero")*(28/1083),IF(C2356="Técnico I",SUMIFS($D:$D,$A:$A,$A2356,$B:$B,"&lt;&gt;Patrícia Karla de Sousa Araújo",$B:$B,"&lt;&gt;Lorena Dias de Araujo",$B:$B,"&lt;&gt;Lucas Luiz Romero")*(23/1083),IF(C2356="JR",SUMIFS($D:$D,$A:$A,$A2356,$B:$B,"&lt;&gt;Patrícia Karla de Sousa Araújo",$B:$B,"&lt;&gt;Lorena Dias de Araujo",$B:$B,"&lt;&gt;Lucas Luiz Romero")*(20/1083),IF(C2356="Estágio",SUMIFS($D:$D,$A:$A,$A2356,$B:$B,"&lt;&gt;Patrícia Karla de Sousa Araújo",$B:$B,"&lt;&gt;Lorena Dias de Araujo",$B:$B,"&lt;&gt;Lucas Luiz Romero")*(10/1083),0)))))),0)</f>
        <v>15</v>
      </c>
      <c r="K2356" s="3">
        <f>I2356-J2356</f>
        <v>-4</v>
      </c>
      <c r="L2356" s="3" t="str">
        <f>IF(K2356&lt;-5,"CRÍTICO",IF(K2356&lt;0,"ATENÇÃO",IF(K2356&lt;=5,"BOM","EXCELENTE")))</f>
        <v>ATENÇÃO</v>
      </c>
      <c r="M2356">
        <v>8</v>
      </c>
      <c r="N2356">
        <v>98.48</v>
      </c>
      <c r="O2356">
        <v>29.35323383084577</v>
      </c>
    </row>
    <row r="2357" spans="1:15" hidden="1" x14ac:dyDescent="0.25">
      <c r="A2357" s="11">
        <v>46073</v>
      </c>
      <c r="B2357" t="s">
        <v>46</v>
      </c>
      <c r="C2357" t="s">
        <v>32</v>
      </c>
      <c r="D2357">
        <v>20</v>
      </c>
      <c r="E2357">
        <v>16</v>
      </c>
      <c r="F2357">
        <v>29.02</v>
      </c>
      <c r="G2357">
        <v>0</v>
      </c>
      <c r="H2357">
        <v>0</v>
      </c>
      <c r="I2357" s="3">
        <f>E2357+G2357+H2357</f>
        <v>16</v>
      </c>
      <c r="J2357" s="3">
        <f>ROUND(MIN(IF(C2357="Técnico III",35,IF(C2357="Técnico II",28,IF(C2357="Técnico I",23,IF(C2357="JR",20,IF(C2357="Estágio",10,0))))),IF(C2357="Técnico III",SUMIFS($D:$D,$A:$A,$A2357,$B:$B,"&lt;&gt;Patrícia Karla de Sousa Araújo",$B:$B,"&lt;&gt;Lorena Dias de Araujo",$B:$B,"&lt;&gt;Lucas Luiz Romero")*(35/1083),IF(C2357="Técnico II",SUMIFS($D:$D,$A:$A,$A2357,$B:$B,"&lt;&gt;Patrícia Karla de Sousa Araújo",$B:$B,"&lt;&gt;Lorena Dias de Araujo",$B:$B,"&lt;&gt;Lucas Luiz Romero")*(28/1083),IF(C2357="Técnico I",SUMIFS($D:$D,$A:$A,$A2357,$B:$B,"&lt;&gt;Patrícia Karla de Sousa Araújo",$B:$B,"&lt;&gt;Lorena Dias de Araujo",$B:$B,"&lt;&gt;Lucas Luiz Romero")*(23/1083),IF(C2357="JR",SUMIFS($D:$D,$A:$A,$A2357,$B:$B,"&lt;&gt;Patrícia Karla de Sousa Araújo",$B:$B,"&lt;&gt;Lorena Dias de Araujo",$B:$B,"&lt;&gt;Lucas Luiz Romero")*(20/1083),IF(C2357="Estágio",SUMIFS($D:$D,$A:$A,$A2357,$B:$B,"&lt;&gt;Patrícia Karla de Sousa Araújo",$B:$B,"&lt;&gt;Lorena Dias de Araujo",$B:$B,"&lt;&gt;Lucas Luiz Romero")*(10/1083),0)))))),0)</f>
        <v>23</v>
      </c>
      <c r="K2357" s="3">
        <f>I2357-J2357</f>
        <v>-7</v>
      </c>
      <c r="L2357" s="3" t="str">
        <f>IF(K2357&lt;-5,"CRÍTICO",IF(K2357&lt;0,"ATENÇÃO",IF(K2357&lt;=5,"BOM","EXCELENTE")))</f>
        <v>CRÍTICO</v>
      </c>
      <c r="M2357">
        <v>12</v>
      </c>
      <c r="N2357">
        <v>98.56</v>
      </c>
      <c r="O2357">
        <v>29.373650107991359</v>
      </c>
    </row>
    <row r="2358" spans="1:15" hidden="1" x14ac:dyDescent="0.25">
      <c r="A2358" s="11">
        <v>46076</v>
      </c>
      <c r="B2358" t="s">
        <v>47</v>
      </c>
      <c r="C2358" t="s">
        <v>48</v>
      </c>
      <c r="D2358">
        <v>33</v>
      </c>
      <c r="E2358">
        <v>32</v>
      </c>
      <c r="F2358">
        <v>20.309999999999999</v>
      </c>
      <c r="G2358">
        <v>0</v>
      </c>
      <c r="H2358">
        <v>0</v>
      </c>
      <c r="I2358" s="3">
        <f>E2358+G2358+H2358</f>
        <v>32</v>
      </c>
      <c r="J2358" s="3">
        <f>ROUND(MIN(IF(C2358="Técnico III",35,IF(C2358="Técnico II",28,IF(C2358="Técnico I",23,IF(C2358="JR",20,IF(C2358="Estágio",10,0))))),IF(C2358="Técnico III",SUMIFS($D:$D,$A:$A,$A2358,$B:$B,"&lt;&gt;Patrícia Karla de Sousa Araújo",$B:$B,"&lt;&gt;Lorena Dias de Araujo",$B:$B,"&lt;&gt;Lucas Luiz Romero")*(35/1083),IF(C2358="Técnico II",SUMIFS($D:$D,$A:$A,$A2358,$B:$B,"&lt;&gt;Patrícia Karla de Sousa Araújo",$B:$B,"&lt;&gt;Lorena Dias de Araujo",$B:$B,"&lt;&gt;Lucas Luiz Romero")*(28/1083),IF(C2358="Técnico I",SUMIFS($D:$D,$A:$A,$A2358,$B:$B,"&lt;&gt;Patrícia Karla de Sousa Araújo",$B:$B,"&lt;&gt;Lorena Dias de Araujo",$B:$B,"&lt;&gt;Lucas Luiz Romero")*(23/1083),IF(C2358="JR",SUMIFS($D:$D,$A:$A,$A2358,$B:$B,"&lt;&gt;Patrícia Karla de Sousa Araújo",$B:$B,"&lt;&gt;Lorena Dias de Araujo",$B:$B,"&lt;&gt;Lucas Luiz Romero")*(20/1083),IF(C2358="Estágio",SUMIFS($D:$D,$A:$A,$A2358,$B:$B,"&lt;&gt;Patrícia Karla de Sousa Araújo",$B:$B,"&lt;&gt;Lorena Dias de Araujo",$B:$B,"&lt;&gt;Lucas Luiz Romero")*(10/1083),0)))))),0)</f>
        <v>18</v>
      </c>
      <c r="K2358" s="3">
        <f>I2358-J2358</f>
        <v>14</v>
      </c>
      <c r="L2358" s="3" t="str">
        <f>IF(K2358&lt;-5,"CRÍTICO",IF(K2358&lt;0,"ATENÇÃO",IF(K2358&lt;=5,"BOM","EXCELENTE")))</f>
        <v>EXCELENTE</v>
      </c>
      <c r="M2358">
        <v>29</v>
      </c>
      <c r="N2358">
        <v>98.32</v>
      </c>
      <c r="O2358">
        <v>30.303030303030301</v>
      </c>
    </row>
    <row r="2359" spans="1:15" hidden="1" x14ac:dyDescent="0.25">
      <c r="A2359" s="11">
        <v>46076</v>
      </c>
      <c r="B2359" t="s">
        <v>31</v>
      </c>
      <c r="C2359" t="s">
        <v>32</v>
      </c>
      <c r="D2359">
        <v>0</v>
      </c>
      <c r="E2359">
        <v>0</v>
      </c>
      <c r="F2359">
        <v>0</v>
      </c>
      <c r="G2359">
        <v>0</v>
      </c>
      <c r="H2359">
        <v>0</v>
      </c>
      <c r="I2359" s="3">
        <v>0</v>
      </c>
      <c r="J2359" s="3">
        <v>0</v>
      </c>
      <c r="K2359" s="3">
        <v>0</v>
      </c>
      <c r="L2359" s="3" t="str">
        <f>IF(K2359&lt;-5,"CRÍTICO",IF(K2359&lt;0,"ATENÇÃO",IF(K2359&lt;=5,"BOM","EXCELENTE")))</f>
        <v>BOM</v>
      </c>
      <c r="M2359">
        <v>28</v>
      </c>
      <c r="N2359">
        <v>98.68</v>
      </c>
      <c r="O2359">
        <v>26.219512195121951</v>
      </c>
    </row>
    <row r="2360" spans="1:15" hidden="1" x14ac:dyDescent="0.25">
      <c r="A2360" s="11">
        <v>46076</v>
      </c>
      <c r="B2360" t="s">
        <v>59</v>
      </c>
      <c r="C2360" t="s">
        <v>23</v>
      </c>
      <c r="D2360">
        <v>27</v>
      </c>
      <c r="E2360">
        <v>27</v>
      </c>
      <c r="F2360">
        <v>18.46</v>
      </c>
      <c r="G2360">
        <v>0</v>
      </c>
      <c r="H2360">
        <v>0</v>
      </c>
      <c r="I2360" s="3">
        <f>E2360+G2360+H2360</f>
        <v>27</v>
      </c>
      <c r="J2360" s="3">
        <f>ROUND(MIN(IF(C2360="Técnico III",35,IF(C2360="Técnico II",28,IF(C2360="Técnico I",23,IF(C2360="JR",20,IF(C2360="Estágio",10,0))))),IF(C2360="Técnico III",SUMIFS($D:$D,$A:$A,$A2360,$B:$B,"&lt;&gt;Patrícia Karla de Sousa Araújo",$B:$B,"&lt;&gt;Lorena Dias de Araujo",$B:$B,"&lt;&gt;Lucas Luiz Romero")*(35/1083),IF(C2360="Técnico II",SUMIFS($D:$D,$A:$A,$A2360,$B:$B,"&lt;&gt;Patrícia Karla de Sousa Araújo",$B:$B,"&lt;&gt;Lorena Dias de Araujo",$B:$B,"&lt;&gt;Lucas Luiz Romero")*(28/1083),IF(C2360="Técnico I",SUMIFS($D:$D,$A:$A,$A2360,$B:$B,"&lt;&gt;Patrícia Karla de Sousa Araújo",$B:$B,"&lt;&gt;Lorena Dias de Araujo",$B:$B,"&lt;&gt;Lucas Luiz Romero")*(23/1083),IF(C2360="JR",SUMIFS($D:$D,$A:$A,$A2360,$B:$B,"&lt;&gt;Patrícia Karla de Sousa Araújo",$B:$B,"&lt;&gt;Lorena Dias de Araujo",$B:$B,"&lt;&gt;Lucas Luiz Romero")*(20/1083),IF(C2360="Estágio",SUMIFS($D:$D,$A:$A,$A2360,$B:$B,"&lt;&gt;Patrícia Karla de Sousa Araújo",$B:$B,"&lt;&gt;Lorena Dias de Araujo",$B:$B,"&lt;&gt;Lucas Luiz Romero")*(10/1083),0)))))),0)</f>
        <v>15</v>
      </c>
      <c r="K2360" s="3">
        <f>I2360-J2360</f>
        <v>12</v>
      </c>
      <c r="L2360" s="3" t="str">
        <f>IF(K2360&lt;-5,"CRÍTICO",IF(K2360&lt;0,"ATENÇÃO",IF(K2360&lt;=5,"BOM","EXCELENTE")))</f>
        <v>EXCELENTE</v>
      </c>
      <c r="M2360">
        <v>23</v>
      </c>
      <c r="N2360">
        <v>100</v>
      </c>
      <c r="O2360">
        <v>31.74224343675418</v>
      </c>
    </row>
    <row r="2361" spans="1:15" hidden="1" x14ac:dyDescent="0.25">
      <c r="A2361" s="11">
        <v>46076</v>
      </c>
      <c r="B2361" t="s">
        <v>33</v>
      </c>
      <c r="C2361" t="s">
        <v>32</v>
      </c>
      <c r="D2361">
        <v>25</v>
      </c>
      <c r="E2361">
        <v>22</v>
      </c>
      <c r="F2361">
        <v>32</v>
      </c>
      <c r="G2361">
        <v>0</v>
      </c>
      <c r="H2361">
        <v>0</v>
      </c>
      <c r="I2361" s="3">
        <f>E2361+G2361+H2361</f>
        <v>22</v>
      </c>
      <c r="J2361" s="3">
        <f>ROUND(MIN(IF(C2361="Técnico III",35,IF(C2361="Técnico II",28,IF(C2361="Técnico I",23,IF(C2361="JR",20,IF(C2361="Estágio",10,0))))),IF(C2361="Técnico III",SUMIFS($D:$D,$A:$A,$A2361,$B:$B,"&lt;&gt;Patrícia Karla de Sousa Araújo",$B:$B,"&lt;&gt;Lorena Dias de Araujo",$B:$B,"&lt;&gt;Lucas Luiz Romero")*(35/1083),IF(C2361="Técnico II",SUMIFS($D:$D,$A:$A,$A2361,$B:$B,"&lt;&gt;Patrícia Karla de Sousa Araújo",$B:$B,"&lt;&gt;Lorena Dias de Araujo",$B:$B,"&lt;&gt;Lucas Luiz Romero")*(28/1083),IF(C2361="Técnico I",SUMIFS($D:$D,$A:$A,$A2361,$B:$B,"&lt;&gt;Patrícia Karla de Sousa Araújo",$B:$B,"&lt;&gt;Lorena Dias de Araujo",$B:$B,"&lt;&gt;Lucas Luiz Romero")*(23/1083),IF(C2361="JR",SUMIFS($D:$D,$A:$A,$A2361,$B:$B,"&lt;&gt;Patrícia Karla de Sousa Araújo",$B:$B,"&lt;&gt;Lorena Dias de Araujo",$B:$B,"&lt;&gt;Lucas Luiz Romero")*(20/1083),IF(C2361="Estágio",SUMIFS($D:$D,$A:$A,$A2361,$B:$B,"&lt;&gt;Patrícia Karla de Sousa Araújo",$B:$B,"&lt;&gt;Lorena Dias de Araujo",$B:$B,"&lt;&gt;Lucas Luiz Romero")*(10/1083),0)))))),0)</f>
        <v>22</v>
      </c>
      <c r="K2361" s="3">
        <f>I2361-J2361</f>
        <v>0</v>
      </c>
      <c r="L2361" s="3" t="str">
        <f>IF(K2361&lt;-5,"CRÍTICO",IF(K2361&lt;0,"ATENÇÃO",IF(K2361&lt;=5,"BOM","EXCELENTE")))</f>
        <v>BOM</v>
      </c>
      <c r="M2361">
        <v>17</v>
      </c>
      <c r="N2361">
        <v>98.25</v>
      </c>
      <c r="O2361">
        <v>25.83518930957684</v>
      </c>
    </row>
    <row r="2362" spans="1:15" hidden="1" x14ac:dyDescent="0.25">
      <c r="A2362" s="11">
        <v>46076</v>
      </c>
      <c r="B2362" t="s">
        <v>15</v>
      </c>
      <c r="C2362" t="s">
        <v>16</v>
      </c>
      <c r="D2362">
        <v>10</v>
      </c>
      <c r="E2362">
        <v>8</v>
      </c>
      <c r="F2362">
        <v>32.14</v>
      </c>
      <c r="G2362">
        <v>0</v>
      </c>
      <c r="H2362">
        <v>0</v>
      </c>
      <c r="I2362" s="3">
        <f>E2362+G2362+H2362</f>
        <v>8</v>
      </c>
      <c r="J2362" s="3">
        <f>ROUND(MIN(IF(C2362="Técnico III",35,IF(C2362="Técnico II",28,IF(C2362="Técnico I",23,IF(C2362="JR",20,IF(C2362="Estágio",10,0))))),IF(C2362="Técnico III",SUMIFS($D:$D,$A:$A,$A2362,$B:$B,"&lt;&gt;Patrícia Karla de Sousa Araújo",$B:$B,"&lt;&gt;Lorena Dias de Araujo",$B:$B,"&lt;&gt;Lucas Luiz Romero")*(35/1083),IF(C2362="Técnico II",SUMIFS($D:$D,$A:$A,$A2362,$B:$B,"&lt;&gt;Patrícia Karla de Sousa Araújo",$B:$B,"&lt;&gt;Lorena Dias de Araujo",$B:$B,"&lt;&gt;Lucas Luiz Romero")*(28/1083),IF(C2362="Técnico I",SUMIFS($D:$D,$A:$A,$A2362,$B:$B,"&lt;&gt;Patrícia Karla de Sousa Araújo",$B:$B,"&lt;&gt;Lorena Dias de Araujo",$B:$B,"&lt;&gt;Lucas Luiz Romero")*(23/1083),IF(C2362="JR",SUMIFS($D:$D,$A:$A,$A2362,$B:$B,"&lt;&gt;Patrícia Karla de Sousa Araújo",$B:$B,"&lt;&gt;Lorena Dias de Araujo",$B:$B,"&lt;&gt;Lucas Luiz Romero")*(20/1083),IF(C2362="Estágio",SUMIFS($D:$D,$A:$A,$A2362,$B:$B,"&lt;&gt;Patrícia Karla de Sousa Araújo",$B:$B,"&lt;&gt;Lorena Dias de Araujo",$B:$B,"&lt;&gt;Lucas Luiz Romero")*(10/1083),0)))))),0)</f>
        <v>6</v>
      </c>
      <c r="K2362" s="3">
        <f>I2362-J2362</f>
        <v>2</v>
      </c>
      <c r="L2362" s="3" t="str">
        <f>IF(K2362&lt;-5,"CRÍTICO",IF(K2362&lt;0,"ATENÇÃO",IF(K2362&lt;=5,"BOM","EXCELENTE")))</f>
        <v>BOM</v>
      </c>
      <c r="M2362">
        <v>7</v>
      </c>
      <c r="N2362">
        <v>97.5</v>
      </c>
      <c r="O2362">
        <v>30.075187969924809</v>
      </c>
    </row>
    <row r="2363" spans="1:15" hidden="1" x14ac:dyDescent="0.25">
      <c r="A2363" s="11">
        <v>46076</v>
      </c>
      <c r="B2363" t="s">
        <v>49</v>
      </c>
      <c r="C2363" t="s">
        <v>48</v>
      </c>
      <c r="D2363">
        <v>32</v>
      </c>
      <c r="E2363">
        <v>27</v>
      </c>
      <c r="F2363">
        <v>20.100000000000001</v>
      </c>
      <c r="G2363">
        <v>0</v>
      </c>
      <c r="H2363">
        <v>0</v>
      </c>
      <c r="I2363" s="3">
        <f>E2363+G2363+H2363</f>
        <v>27</v>
      </c>
      <c r="J2363" s="3">
        <f>ROUND(MIN(IF(C2363="Técnico III",35,IF(C2363="Técnico II",28,IF(C2363="Técnico I",23,IF(C2363="JR",20,IF(C2363="Estágio",10,0))))),IF(C2363="Técnico III",SUMIFS($D:$D,$A:$A,$A2363,$B:$B,"&lt;&gt;Patrícia Karla de Sousa Araújo",$B:$B,"&lt;&gt;Lorena Dias de Araujo",$B:$B,"&lt;&gt;Lucas Luiz Romero")*(35/1083),IF(C2363="Técnico II",SUMIFS($D:$D,$A:$A,$A2363,$B:$B,"&lt;&gt;Patrícia Karla de Sousa Araújo",$B:$B,"&lt;&gt;Lorena Dias de Araujo",$B:$B,"&lt;&gt;Lucas Luiz Romero")*(28/1083),IF(C2363="Técnico I",SUMIFS($D:$D,$A:$A,$A2363,$B:$B,"&lt;&gt;Patrícia Karla de Sousa Araújo",$B:$B,"&lt;&gt;Lorena Dias de Araujo",$B:$B,"&lt;&gt;Lucas Luiz Romero")*(23/1083),IF(C2363="JR",SUMIFS($D:$D,$A:$A,$A2363,$B:$B,"&lt;&gt;Patrícia Karla de Sousa Araújo",$B:$B,"&lt;&gt;Lorena Dias de Araujo",$B:$B,"&lt;&gt;Lucas Luiz Romero")*(20/1083),IF(C2363="Estágio",SUMIFS($D:$D,$A:$A,$A2363,$B:$B,"&lt;&gt;Patrícia Karla de Sousa Araújo",$B:$B,"&lt;&gt;Lorena Dias de Araujo",$B:$B,"&lt;&gt;Lucas Luiz Romero")*(10/1083),0)))))),0)</f>
        <v>18</v>
      </c>
      <c r="K2363" s="3">
        <f>I2363-J2363</f>
        <v>9</v>
      </c>
      <c r="L2363" s="3" t="str">
        <f>IF(K2363&lt;-5,"CRÍTICO",IF(K2363&lt;0,"ATENÇÃO",IF(K2363&lt;=5,"BOM","EXCELENTE")))</f>
        <v>EXCELENTE</v>
      </c>
      <c r="M2363">
        <v>27</v>
      </c>
      <c r="N2363">
        <v>100</v>
      </c>
      <c r="O2363">
        <v>29.71311475409836</v>
      </c>
    </row>
    <row r="2364" spans="1:15" hidden="1" x14ac:dyDescent="0.25">
      <c r="A2364" s="11">
        <v>46076</v>
      </c>
      <c r="B2364" t="s">
        <v>50</v>
      </c>
      <c r="C2364" t="s">
        <v>48</v>
      </c>
      <c r="D2364">
        <v>14</v>
      </c>
      <c r="E2364">
        <v>14</v>
      </c>
      <c r="F2364">
        <v>52.33</v>
      </c>
      <c r="G2364">
        <v>0</v>
      </c>
      <c r="H2364">
        <v>0</v>
      </c>
      <c r="I2364" s="3">
        <f>E2364+G2364+H2364</f>
        <v>14</v>
      </c>
      <c r="J2364" s="3">
        <f>ROUND(MIN(IF(C2364="Técnico III",35,IF(C2364="Técnico II",28,IF(C2364="Técnico I",23,IF(C2364="JR",20,IF(C2364="Estágio",10,0))))),IF(C2364="Técnico III",SUMIFS($D:$D,$A:$A,$A2364,$B:$B,"&lt;&gt;Patrícia Karla de Sousa Araújo",$B:$B,"&lt;&gt;Lorena Dias de Araujo",$B:$B,"&lt;&gt;Lucas Luiz Romero")*(35/1083),IF(C2364="Técnico II",SUMIFS($D:$D,$A:$A,$A2364,$B:$B,"&lt;&gt;Patrícia Karla de Sousa Araújo",$B:$B,"&lt;&gt;Lorena Dias de Araujo",$B:$B,"&lt;&gt;Lucas Luiz Romero")*(28/1083),IF(C2364="Técnico I",SUMIFS($D:$D,$A:$A,$A2364,$B:$B,"&lt;&gt;Patrícia Karla de Sousa Araújo",$B:$B,"&lt;&gt;Lorena Dias de Araujo",$B:$B,"&lt;&gt;Lucas Luiz Romero")*(23/1083),IF(C2364="JR",SUMIFS($D:$D,$A:$A,$A2364,$B:$B,"&lt;&gt;Patrícia Karla de Sousa Araújo",$B:$B,"&lt;&gt;Lorena Dias de Araujo",$B:$B,"&lt;&gt;Lucas Luiz Romero")*(20/1083),IF(C2364="Estágio",SUMIFS($D:$D,$A:$A,$A2364,$B:$B,"&lt;&gt;Patrícia Karla de Sousa Araújo",$B:$B,"&lt;&gt;Lorena Dias de Araujo",$B:$B,"&lt;&gt;Lucas Luiz Romero")*(10/1083),0)))))),0)</f>
        <v>18</v>
      </c>
      <c r="K2364" s="3">
        <f>I2364-J2364</f>
        <v>-4</v>
      </c>
      <c r="L2364" s="3" t="str">
        <f>IF(K2364&lt;-5,"CRÍTICO",IF(K2364&lt;0,"ATENÇÃO",IF(K2364&lt;=5,"BOM","EXCELENTE")))</f>
        <v>ATENÇÃO</v>
      </c>
      <c r="M2364">
        <v>18</v>
      </c>
      <c r="N2364">
        <v>99.22</v>
      </c>
      <c r="O2364">
        <v>35.256410256410263</v>
      </c>
    </row>
    <row r="2365" spans="1:15" hidden="1" x14ac:dyDescent="0.25">
      <c r="A2365" s="11">
        <v>46076</v>
      </c>
      <c r="B2365" t="s">
        <v>17</v>
      </c>
      <c r="C2365" t="s">
        <v>16</v>
      </c>
      <c r="D2365">
        <v>0</v>
      </c>
      <c r="E2365">
        <v>0</v>
      </c>
      <c r="F2365">
        <v>0</v>
      </c>
      <c r="G2365">
        <v>0</v>
      </c>
      <c r="H2365">
        <v>0</v>
      </c>
      <c r="I2365" s="3">
        <v>0</v>
      </c>
      <c r="J2365" s="3">
        <v>0</v>
      </c>
      <c r="K2365" s="3">
        <v>0</v>
      </c>
      <c r="L2365" s="3" t="str">
        <f>IF(K2365&lt;-5,"CRÍTICO",IF(K2365&lt;0,"ATENÇÃO",IF(K2365&lt;=5,"BOM","EXCELENTE")))</f>
        <v>BOM</v>
      </c>
      <c r="M2365">
        <v>0</v>
      </c>
      <c r="N2365">
        <v>0</v>
      </c>
      <c r="O2365">
        <v>0</v>
      </c>
    </row>
    <row r="2366" spans="1:15" hidden="1" x14ac:dyDescent="0.25">
      <c r="A2366" s="11">
        <v>46076</v>
      </c>
      <c r="B2366" t="s">
        <v>60</v>
      </c>
      <c r="C2366" t="s">
        <v>23</v>
      </c>
      <c r="D2366">
        <v>0</v>
      </c>
      <c r="E2366">
        <v>0</v>
      </c>
      <c r="F2366">
        <v>0</v>
      </c>
      <c r="G2366">
        <v>0</v>
      </c>
      <c r="H2366">
        <v>0</v>
      </c>
      <c r="I2366" s="3">
        <v>0</v>
      </c>
      <c r="J2366" s="3">
        <v>0</v>
      </c>
      <c r="K2366" s="3">
        <v>0</v>
      </c>
      <c r="L2366" s="3" t="str">
        <f>IF(K2366&lt;-5,"CRÍTICO",IF(K2366&lt;0,"ATENÇÃO",IF(K2366&lt;=5,"BOM","EXCELENTE")))</f>
        <v>BOM</v>
      </c>
      <c r="M2366">
        <v>0</v>
      </c>
      <c r="N2366">
        <v>98.75</v>
      </c>
      <c r="O2366">
        <v>24.32432432432433</v>
      </c>
    </row>
    <row r="2367" spans="1:15" hidden="1" x14ac:dyDescent="0.25">
      <c r="A2367" s="11">
        <v>46076</v>
      </c>
      <c r="B2367" t="s">
        <v>34</v>
      </c>
      <c r="C2367" t="s">
        <v>32</v>
      </c>
      <c r="D2367">
        <v>0</v>
      </c>
      <c r="E2367">
        <v>0</v>
      </c>
      <c r="F2367">
        <v>0</v>
      </c>
      <c r="G2367">
        <v>0</v>
      </c>
      <c r="H2367">
        <v>0</v>
      </c>
      <c r="I2367" s="3">
        <v>0</v>
      </c>
      <c r="J2367" s="3">
        <v>0</v>
      </c>
      <c r="K2367" s="3">
        <v>0</v>
      </c>
      <c r="L2367" s="3" t="str">
        <f>IF(K2367&lt;-5,"CRÍTICO",IF(K2367&lt;0,"ATENÇÃO",IF(K2367&lt;=5,"BOM","EXCELENTE")))</f>
        <v>BOM</v>
      </c>
      <c r="M2367">
        <v>0</v>
      </c>
      <c r="N2367">
        <v>93.48</v>
      </c>
      <c r="O2367">
        <v>31.52804642166344</v>
      </c>
    </row>
    <row r="2368" spans="1:15" hidden="1" x14ac:dyDescent="0.25">
      <c r="A2368" s="11">
        <v>46076</v>
      </c>
      <c r="B2368" t="s">
        <v>51</v>
      </c>
      <c r="C2368" t="s">
        <v>48</v>
      </c>
      <c r="D2368">
        <v>31</v>
      </c>
      <c r="E2368">
        <v>26</v>
      </c>
      <c r="F2368">
        <v>26.55</v>
      </c>
      <c r="G2368">
        <v>0</v>
      </c>
      <c r="H2368">
        <v>0</v>
      </c>
      <c r="I2368" s="3">
        <v>0</v>
      </c>
      <c r="J2368" s="3">
        <v>0</v>
      </c>
      <c r="K2368" s="3">
        <v>0</v>
      </c>
      <c r="L2368" s="3" t="str">
        <f>IF(K2368&lt;-5,"CRÍTICO",IF(K2368&lt;0,"ATENÇÃO",IF(K2368&lt;=5,"BOM","EXCELENTE")))</f>
        <v>BOM</v>
      </c>
      <c r="M2368">
        <v>19</v>
      </c>
      <c r="N2368">
        <v>99.16</v>
      </c>
      <c r="O2368">
        <v>26.13908872901678</v>
      </c>
    </row>
    <row r="2369" spans="1:15" hidden="1" x14ac:dyDescent="0.25">
      <c r="A2369" s="11">
        <v>46076</v>
      </c>
      <c r="B2369" t="s">
        <v>61</v>
      </c>
      <c r="C2369" t="s">
        <v>23</v>
      </c>
      <c r="D2369">
        <v>22</v>
      </c>
      <c r="E2369">
        <v>19</v>
      </c>
      <c r="F2369">
        <v>24.17</v>
      </c>
      <c r="G2369">
        <v>0</v>
      </c>
      <c r="H2369">
        <v>0</v>
      </c>
      <c r="I2369" s="3">
        <f>E2369+G2369+H2369</f>
        <v>19</v>
      </c>
      <c r="J2369" s="3">
        <f>ROUND(MIN(IF(C2369="Técnico III",35,IF(C2369="Técnico II",28,IF(C2369="Técnico I",23,IF(C2369="JR",20,IF(C2369="Estágio",10,0))))),IF(C2369="Técnico III",SUMIFS($D:$D,$A:$A,$A2369,$B:$B,"&lt;&gt;Patrícia Karla de Sousa Araújo",$B:$B,"&lt;&gt;Lorena Dias de Araujo",$B:$B,"&lt;&gt;Lucas Luiz Romero")*(35/1083),IF(C2369="Técnico II",SUMIFS($D:$D,$A:$A,$A2369,$B:$B,"&lt;&gt;Patrícia Karla de Sousa Araújo",$B:$B,"&lt;&gt;Lorena Dias de Araujo",$B:$B,"&lt;&gt;Lucas Luiz Romero")*(28/1083),IF(C2369="Técnico I",SUMIFS($D:$D,$A:$A,$A2369,$B:$B,"&lt;&gt;Patrícia Karla de Sousa Araújo",$B:$B,"&lt;&gt;Lorena Dias de Araujo",$B:$B,"&lt;&gt;Lucas Luiz Romero")*(23/1083),IF(C2369="JR",SUMIFS($D:$D,$A:$A,$A2369,$B:$B,"&lt;&gt;Patrícia Karla de Sousa Araújo",$B:$B,"&lt;&gt;Lorena Dias de Araujo",$B:$B,"&lt;&gt;Lucas Luiz Romero")*(20/1083),IF(C2369="Estágio",SUMIFS($D:$D,$A:$A,$A2369,$B:$B,"&lt;&gt;Patrícia Karla de Sousa Araújo",$B:$B,"&lt;&gt;Lorena Dias de Araujo",$B:$B,"&lt;&gt;Lucas Luiz Romero")*(10/1083),0)))))),0)</f>
        <v>15</v>
      </c>
      <c r="K2369" s="3">
        <f>I2369-J2369</f>
        <v>4</v>
      </c>
      <c r="L2369" s="3" t="str">
        <f>IF(K2369&lt;-5,"CRÍTICO",IF(K2369&lt;0,"ATENÇÃO",IF(K2369&lt;=5,"BOM","EXCELENTE")))</f>
        <v>BOM</v>
      </c>
      <c r="M2369">
        <v>9</v>
      </c>
      <c r="N2369">
        <v>100</v>
      </c>
      <c r="O2369">
        <v>31.089743589743591</v>
      </c>
    </row>
    <row r="2370" spans="1:15" hidden="1" x14ac:dyDescent="0.25">
      <c r="A2370" s="11">
        <v>46076</v>
      </c>
      <c r="B2370" t="s">
        <v>35</v>
      </c>
      <c r="C2370" t="s">
        <v>32</v>
      </c>
      <c r="D2370">
        <v>20</v>
      </c>
      <c r="E2370">
        <v>19</v>
      </c>
      <c r="F2370">
        <v>37.39</v>
      </c>
      <c r="G2370">
        <v>0</v>
      </c>
      <c r="H2370">
        <v>0</v>
      </c>
      <c r="I2370" s="3">
        <v>0</v>
      </c>
      <c r="J2370" s="3">
        <v>0</v>
      </c>
      <c r="K2370" s="3">
        <v>0</v>
      </c>
      <c r="L2370" s="3" t="str">
        <f>IF(K2370&lt;-5,"CRÍTICO",IF(K2370&lt;0,"ATENÇÃO",IF(K2370&lt;=5,"BOM","EXCELENTE")))</f>
        <v>BOM</v>
      </c>
      <c r="M2370">
        <v>18</v>
      </c>
      <c r="N2370">
        <v>98.11</v>
      </c>
      <c r="O2370">
        <v>33.033707865168537</v>
      </c>
    </row>
    <row r="2371" spans="1:15" hidden="1" x14ac:dyDescent="0.25">
      <c r="A2371" s="11">
        <v>46076</v>
      </c>
      <c r="B2371" t="s">
        <v>18</v>
      </c>
      <c r="C2371" t="s">
        <v>16</v>
      </c>
      <c r="D2371">
        <v>9</v>
      </c>
      <c r="E2371">
        <v>8</v>
      </c>
      <c r="F2371">
        <v>36.51</v>
      </c>
      <c r="G2371">
        <v>0</v>
      </c>
      <c r="H2371">
        <v>0</v>
      </c>
      <c r="I2371" s="3">
        <f>E2371+G2371+H2371</f>
        <v>8</v>
      </c>
      <c r="J2371" s="3">
        <f>ROUND(MIN(IF(C2371="Técnico III",35,IF(C2371="Técnico II",28,IF(C2371="Técnico I",23,IF(C2371="JR",20,IF(C2371="Estágio",10,0))))),IF(C2371="Técnico III",SUMIFS($D:$D,$A:$A,$A2371,$B:$B,"&lt;&gt;Patrícia Karla de Sousa Araújo",$B:$B,"&lt;&gt;Lorena Dias de Araujo",$B:$B,"&lt;&gt;Lucas Luiz Romero")*(35/1083),IF(C2371="Técnico II",SUMIFS($D:$D,$A:$A,$A2371,$B:$B,"&lt;&gt;Patrícia Karla de Sousa Araújo",$B:$B,"&lt;&gt;Lorena Dias de Araujo",$B:$B,"&lt;&gt;Lucas Luiz Romero")*(28/1083),IF(C2371="Técnico I",SUMIFS($D:$D,$A:$A,$A2371,$B:$B,"&lt;&gt;Patrícia Karla de Sousa Araújo",$B:$B,"&lt;&gt;Lorena Dias de Araujo",$B:$B,"&lt;&gt;Lucas Luiz Romero")*(23/1083),IF(C2371="JR",SUMIFS($D:$D,$A:$A,$A2371,$B:$B,"&lt;&gt;Patrícia Karla de Sousa Araújo",$B:$B,"&lt;&gt;Lorena Dias de Araujo",$B:$B,"&lt;&gt;Lucas Luiz Romero")*(20/1083),IF(C2371="Estágio",SUMIFS($D:$D,$A:$A,$A2371,$B:$B,"&lt;&gt;Patrícia Karla de Sousa Araújo",$B:$B,"&lt;&gt;Lorena Dias de Araujo",$B:$B,"&lt;&gt;Lucas Luiz Romero")*(10/1083),0)))))),0)</f>
        <v>6</v>
      </c>
      <c r="K2371" s="3">
        <f>I2371-J2371</f>
        <v>2</v>
      </c>
      <c r="L2371" s="3" t="str">
        <f>IF(K2371&lt;-5,"CRÍTICO",IF(K2371&lt;0,"ATENÇÃO",IF(K2371&lt;=5,"BOM","EXCELENTE")))</f>
        <v>BOM</v>
      </c>
      <c r="M2371">
        <v>5</v>
      </c>
      <c r="N2371">
        <v>78.95</v>
      </c>
      <c r="O2371">
        <v>38.983050847457633</v>
      </c>
    </row>
    <row r="2372" spans="1:15" hidden="1" x14ac:dyDescent="0.25">
      <c r="A2372" s="11">
        <v>46076</v>
      </c>
      <c r="B2372" t="s">
        <v>52</v>
      </c>
      <c r="C2372" t="s">
        <v>48</v>
      </c>
      <c r="D2372">
        <v>22</v>
      </c>
      <c r="E2372">
        <v>20</v>
      </c>
      <c r="F2372">
        <v>27.02</v>
      </c>
      <c r="G2372">
        <v>0</v>
      </c>
      <c r="H2372">
        <v>0</v>
      </c>
      <c r="I2372" s="3">
        <f>E2372+G2372+H2372</f>
        <v>20</v>
      </c>
      <c r="J2372" s="3">
        <f>ROUND(MIN(IF(C2372="Técnico III",35,IF(C2372="Técnico II",28,IF(C2372="Técnico I",23,IF(C2372="JR",20,IF(C2372="Estágio",10,0))))),IF(C2372="Técnico III",SUMIFS($D:$D,$A:$A,$A2372,$B:$B,"&lt;&gt;Patrícia Karla de Sousa Araújo",$B:$B,"&lt;&gt;Lorena Dias de Araujo",$B:$B,"&lt;&gt;Lucas Luiz Romero")*(35/1083),IF(C2372="Técnico II",SUMIFS($D:$D,$A:$A,$A2372,$B:$B,"&lt;&gt;Patrícia Karla de Sousa Araújo",$B:$B,"&lt;&gt;Lorena Dias de Araujo",$B:$B,"&lt;&gt;Lucas Luiz Romero")*(28/1083),IF(C2372="Técnico I",SUMIFS($D:$D,$A:$A,$A2372,$B:$B,"&lt;&gt;Patrícia Karla de Sousa Araújo",$B:$B,"&lt;&gt;Lorena Dias de Araujo",$B:$B,"&lt;&gt;Lucas Luiz Romero")*(23/1083),IF(C2372="JR",SUMIFS($D:$D,$A:$A,$A2372,$B:$B,"&lt;&gt;Patrícia Karla de Sousa Araújo",$B:$B,"&lt;&gt;Lorena Dias de Araujo",$B:$B,"&lt;&gt;Lucas Luiz Romero")*(20/1083),IF(C2372="Estágio",SUMIFS($D:$D,$A:$A,$A2372,$B:$B,"&lt;&gt;Patrícia Karla de Sousa Araújo",$B:$B,"&lt;&gt;Lorena Dias de Araujo",$B:$B,"&lt;&gt;Lucas Luiz Romero")*(10/1083),0)))))),0)</f>
        <v>18</v>
      </c>
      <c r="K2372" s="3">
        <f>I2372-J2372</f>
        <v>2</v>
      </c>
      <c r="L2372" s="3" t="str">
        <f>IF(K2372&lt;-5,"CRÍTICO",IF(K2372&lt;0,"ATENÇÃO",IF(K2372&lt;=5,"BOM","EXCELENTE")))</f>
        <v>BOM</v>
      </c>
      <c r="M2372">
        <v>16</v>
      </c>
      <c r="N2372">
        <v>98.45</v>
      </c>
      <c r="O2372">
        <v>29.281767955801101</v>
      </c>
    </row>
    <row r="2373" spans="1:15" hidden="1" x14ac:dyDescent="0.25">
      <c r="A2373" s="11">
        <v>46076</v>
      </c>
      <c r="B2373" t="s">
        <v>36</v>
      </c>
      <c r="C2373" t="s">
        <v>32</v>
      </c>
      <c r="D2373">
        <v>30</v>
      </c>
      <c r="E2373">
        <v>30</v>
      </c>
      <c r="F2373">
        <v>25.07</v>
      </c>
      <c r="G2373">
        <v>0</v>
      </c>
      <c r="H2373">
        <v>0</v>
      </c>
      <c r="I2373" s="3">
        <f>E2373+G2373+H2373</f>
        <v>30</v>
      </c>
      <c r="J2373" s="3">
        <f>ROUND(MIN(IF(C2373="Técnico III",35,IF(C2373="Técnico II",28,IF(C2373="Técnico I",23,IF(C2373="JR",20,IF(C2373="Estágio",10,0))))),IF(C2373="Técnico III",SUMIFS($D:$D,$A:$A,$A2373,$B:$B,"&lt;&gt;Patrícia Karla de Sousa Araújo",$B:$B,"&lt;&gt;Lorena Dias de Araujo",$B:$B,"&lt;&gt;Lucas Luiz Romero")*(35/1083),IF(C2373="Técnico II",SUMIFS($D:$D,$A:$A,$A2373,$B:$B,"&lt;&gt;Patrícia Karla de Sousa Araújo",$B:$B,"&lt;&gt;Lorena Dias de Araujo",$B:$B,"&lt;&gt;Lucas Luiz Romero")*(28/1083),IF(C2373="Técnico I",SUMIFS($D:$D,$A:$A,$A2373,$B:$B,"&lt;&gt;Patrícia Karla de Sousa Araújo",$B:$B,"&lt;&gt;Lorena Dias de Araujo",$B:$B,"&lt;&gt;Lucas Luiz Romero")*(23/1083),IF(C2373="JR",SUMIFS($D:$D,$A:$A,$A2373,$B:$B,"&lt;&gt;Patrícia Karla de Sousa Araújo",$B:$B,"&lt;&gt;Lorena Dias de Araujo",$B:$B,"&lt;&gt;Lucas Luiz Romero")*(20/1083),IF(C2373="Estágio",SUMIFS($D:$D,$A:$A,$A2373,$B:$B,"&lt;&gt;Patrícia Karla de Sousa Araújo",$B:$B,"&lt;&gt;Lorena Dias de Araujo",$B:$B,"&lt;&gt;Lucas Luiz Romero")*(10/1083),0)))))),0)</f>
        <v>22</v>
      </c>
      <c r="K2373" s="3">
        <f>I2373-J2373</f>
        <v>8</v>
      </c>
      <c r="L2373" s="3" t="str">
        <f>IF(K2373&lt;-5,"CRÍTICO",IF(K2373&lt;0,"ATENÇÃO",IF(K2373&lt;=5,"BOM","EXCELENTE")))</f>
        <v>EXCELENTE</v>
      </c>
      <c r="M2373">
        <v>29</v>
      </c>
      <c r="N2373">
        <v>97.84</v>
      </c>
      <c r="O2373">
        <v>26.282051282051281</v>
      </c>
    </row>
    <row r="2374" spans="1:15" hidden="1" x14ac:dyDescent="0.25">
      <c r="A2374" s="11">
        <v>46076</v>
      </c>
      <c r="B2374" t="s">
        <v>53</v>
      </c>
      <c r="C2374" t="s">
        <v>48</v>
      </c>
      <c r="D2374">
        <v>27</v>
      </c>
      <c r="E2374">
        <v>25</v>
      </c>
      <c r="F2374">
        <v>30.31</v>
      </c>
      <c r="G2374">
        <v>0</v>
      </c>
      <c r="H2374">
        <v>0</v>
      </c>
      <c r="I2374" s="3">
        <f>E2374+G2374+H2374</f>
        <v>25</v>
      </c>
      <c r="J2374" s="3">
        <f>ROUND(MIN(IF(C2374="Técnico III",35,IF(C2374="Técnico II",28,IF(C2374="Técnico I",23,IF(C2374="JR",20,IF(C2374="Estágio",10,0))))),IF(C2374="Técnico III",SUMIFS($D:$D,$A:$A,$A2374,$B:$B,"&lt;&gt;Patrícia Karla de Sousa Araújo",$B:$B,"&lt;&gt;Lorena Dias de Araujo",$B:$B,"&lt;&gt;Lucas Luiz Romero")*(35/1083),IF(C2374="Técnico II",SUMIFS($D:$D,$A:$A,$A2374,$B:$B,"&lt;&gt;Patrícia Karla de Sousa Araújo",$B:$B,"&lt;&gt;Lorena Dias de Araujo",$B:$B,"&lt;&gt;Lucas Luiz Romero")*(28/1083),IF(C2374="Técnico I",SUMIFS($D:$D,$A:$A,$A2374,$B:$B,"&lt;&gt;Patrícia Karla de Sousa Araújo",$B:$B,"&lt;&gt;Lorena Dias de Araujo",$B:$B,"&lt;&gt;Lucas Luiz Romero")*(23/1083),IF(C2374="JR",SUMIFS($D:$D,$A:$A,$A2374,$B:$B,"&lt;&gt;Patrícia Karla de Sousa Araújo",$B:$B,"&lt;&gt;Lorena Dias de Araujo",$B:$B,"&lt;&gt;Lucas Luiz Romero")*(20/1083),IF(C2374="Estágio",SUMIFS($D:$D,$A:$A,$A2374,$B:$B,"&lt;&gt;Patrícia Karla de Sousa Araújo",$B:$B,"&lt;&gt;Lorena Dias de Araujo",$B:$B,"&lt;&gt;Lucas Luiz Romero")*(10/1083),0)))))),0)</f>
        <v>18</v>
      </c>
      <c r="K2374" s="3">
        <f>I2374-J2374</f>
        <v>7</v>
      </c>
      <c r="L2374" s="3" t="str">
        <f>IF(K2374&lt;-5,"CRÍTICO",IF(K2374&lt;0,"ATENÇÃO",IF(K2374&lt;=5,"BOM","EXCELENTE")))</f>
        <v>EXCELENTE</v>
      </c>
      <c r="M2374">
        <v>18</v>
      </c>
      <c r="N2374">
        <v>98.5</v>
      </c>
      <c r="O2374">
        <v>23.97769516728625</v>
      </c>
    </row>
    <row r="2375" spans="1:15" hidden="1" x14ac:dyDescent="0.25">
      <c r="A2375" s="11">
        <v>46108</v>
      </c>
      <c r="B2375" t="s">
        <v>22</v>
      </c>
      <c r="C2375" t="s">
        <v>23</v>
      </c>
      <c r="D2375">
        <v>32</v>
      </c>
      <c r="E2375">
        <v>28</v>
      </c>
      <c r="F2375">
        <v>19.07</v>
      </c>
      <c r="G2375">
        <v>0</v>
      </c>
      <c r="H2375">
        <v>0</v>
      </c>
      <c r="I2375" s="3">
        <f>E2375+G2375+H2375</f>
        <v>28</v>
      </c>
      <c r="J2375" s="3">
        <f>ROUND(MIN(IF(C2375="Técnico III",35,IF(C2375="Técnico II",28,IF(C2375="Técnico I",23,IF(C2375="JR",20,IF(C2375="Estágio",10,0))))),IF(C2375="Técnico III",SUMIFS($D:$D,$A:$A,$A2375,$B:$B,"&lt;&gt;Patrícia Karla de Sousa Araújo",$B:$B,"&lt;&gt;Lorena Dias de Araujo",$B:$B,"&lt;&gt;Lucas Luiz Romero")*(35/1083),IF(C2375="Técnico II",SUMIFS($D:$D,$A:$A,$A2375,$B:$B,"&lt;&gt;Patrícia Karla de Sousa Araújo",$B:$B,"&lt;&gt;Lorena Dias de Araujo",$B:$B,"&lt;&gt;Lucas Luiz Romero")*(28/1083),IF(C2375="Técnico I",SUMIFS($D:$D,$A:$A,$A2375,$B:$B,"&lt;&gt;Patrícia Karla de Sousa Araújo",$B:$B,"&lt;&gt;Lorena Dias de Araujo",$B:$B,"&lt;&gt;Lucas Luiz Romero")*(23/1083),IF(C2375="JR",SUMIFS($D:$D,$A:$A,$A2375,$B:$B,"&lt;&gt;Patrícia Karla de Sousa Araújo",$B:$B,"&lt;&gt;Lorena Dias de Araujo",$B:$B,"&lt;&gt;Lucas Luiz Romero")*(20/1083),IF(C2375="Estágio",SUMIFS($D:$D,$A:$A,$A2375,$B:$B,"&lt;&gt;Patrícia Karla de Sousa Araújo",$B:$B,"&lt;&gt;Lorena Dias de Araujo",$B:$B,"&lt;&gt;Lucas Luiz Romero")*(10/1083),0)))))),0)</f>
        <v>17</v>
      </c>
      <c r="K2375" s="3">
        <f>I2375-J2375</f>
        <v>11</v>
      </c>
      <c r="L2375" s="3" t="str">
        <f>IF(K2375&lt;-5,"CRÍTICO",IF(K2375&lt;0,"ATENÇÃO",IF(K2375&lt;=5,"BOM","EXCELENTE")))</f>
        <v>EXCELENTE</v>
      </c>
      <c r="M2375">
        <v>28</v>
      </c>
      <c r="N2375">
        <v>99.05</v>
      </c>
      <c r="O2375">
        <v>26.621923937360179</v>
      </c>
    </row>
    <row r="2376" spans="1:15" hidden="1" x14ac:dyDescent="0.25">
      <c r="A2376" s="11">
        <v>46076</v>
      </c>
      <c r="B2376" t="s">
        <v>54</v>
      </c>
      <c r="C2376" t="s">
        <v>48</v>
      </c>
      <c r="D2376">
        <v>34</v>
      </c>
      <c r="E2376">
        <v>33</v>
      </c>
      <c r="F2376">
        <v>22.17</v>
      </c>
      <c r="G2376">
        <v>0</v>
      </c>
      <c r="H2376">
        <v>0</v>
      </c>
      <c r="I2376" s="3">
        <f>E2376+G2376+H2376</f>
        <v>33</v>
      </c>
      <c r="J2376" s="3">
        <f>ROUND(MIN(IF(C2376="Técnico III",35,IF(C2376="Técnico II",28,IF(C2376="Técnico I",23,IF(C2376="JR",20,IF(C2376="Estágio",10,0))))),IF(C2376="Técnico III",SUMIFS($D:$D,$A:$A,$A2376,$B:$B,"&lt;&gt;Patrícia Karla de Sousa Araújo",$B:$B,"&lt;&gt;Lorena Dias de Araujo",$B:$B,"&lt;&gt;Lucas Luiz Romero")*(35/1083),IF(C2376="Técnico II",SUMIFS($D:$D,$A:$A,$A2376,$B:$B,"&lt;&gt;Patrícia Karla de Sousa Araújo",$B:$B,"&lt;&gt;Lorena Dias de Araujo",$B:$B,"&lt;&gt;Lucas Luiz Romero")*(28/1083),IF(C2376="Técnico I",SUMIFS($D:$D,$A:$A,$A2376,$B:$B,"&lt;&gt;Patrícia Karla de Sousa Araújo",$B:$B,"&lt;&gt;Lorena Dias de Araujo",$B:$B,"&lt;&gt;Lucas Luiz Romero")*(23/1083),IF(C2376="JR",SUMIFS($D:$D,$A:$A,$A2376,$B:$B,"&lt;&gt;Patrícia Karla de Sousa Araújo",$B:$B,"&lt;&gt;Lorena Dias de Araujo",$B:$B,"&lt;&gt;Lucas Luiz Romero")*(20/1083),IF(C2376="Estágio",SUMIFS($D:$D,$A:$A,$A2376,$B:$B,"&lt;&gt;Patrícia Karla de Sousa Araújo",$B:$B,"&lt;&gt;Lorena Dias de Araujo",$B:$B,"&lt;&gt;Lucas Luiz Romero")*(10/1083),0)))))),0)</f>
        <v>18</v>
      </c>
      <c r="K2376" s="3">
        <f>I2376-J2376</f>
        <v>15</v>
      </c>
      <c r="L2376" s="3" t="str">
        <f>IF(K2376&lt;-5,"CRÍTICO",IF(K2376&lt;0,"ATENÇÃO",IF(K2376&lt;=5,"BOM","EXCELENTE")))</f>
        <v>EXCELENTE</v>
      </c>
      <c r="M2376">
        <v>28</v>
      </c>
      <c r="N2376">
        <v>98.53</v>
      </c>
      <c r="O2376">
        <v>31.578947368421051</v>
      </c>
    </row>
    <row r="2377" spans="1:15" hidden="1" x14ac:dyDescent="0.25">
      <c r="A2377" s="11">
        <v>46076</v>
      </c>
      <c r="B2377" t="s">
        <v>37</v>
      </c>
      <c r="C2377" t="s">
        <v>32</v>
      </c>
      <c r="D2377">
        <v>38</v>
      </c>
      <c r="E2377">
        <v>36</v>
      </c>
      <c r="F2377">
        <v>17.22</v>
      </c>
      <c r="G2377">
        <v>0</v>
      </c>
      <c r="H2377">
        <v>0</v>
      </c>
      <c r="I2377" s="3">
        <f>E2377+G2377+H2377</f>
        <v>36</v>
      </c>
      <c r="J2377" s="3">
        <f>ROUND(MIN(IF(C2377="Técnico III",35,IF(C2377="Técnico II",28,IF(C2377="Técnico I",23,IF(C2377="JR",20,IF(C2377="Estágio",10,0))))),IF(C2377="Técnico III",SUMIFS($D:$D,$A:$A,$A2377,$B:$B,"&lt;&gt;Patrícia Karla de Sousa Araújo",$B:$B,"&lt;&gt;Lorena Dias de Araujo",$B:$B,"&lt;&gt;Lucas Luiz Romero")*(35/1083),IF(C2377="Técnico II",SUMIFS($D:$D,$A:$A,$A2377,$B:$B,"&lt;&gt;Patrícia Karla de Sousa Araújo",$B:$B,"&lt;&gt;Lorena Dias de Araujo",$B:$B,"&lt;&gt;Lucas Luiz Romero")*(28/1083),IF(C2377="Técnico I",SUMIFS($D:$D,$A:$A,$A2377,$B:$B,"&lt;&gt;Patrícia Karla de Sousa Araújo",$B:$B,"&lt;&gt;Lorena Dias de Araujo",$B:$B,"&lt;&gt;Lucas Luiz Romero")*(23/1083),IF(C2377="JR",SUMIFS($D:$D,$A:$A,$A2377,$B:$B,"&lt;&gt;Patrícia Karla de Sousa Araújo",$B:$B,"&lt;&gt;Lorena Dias de Araujo",$B:$B,"&lt;&gt;Lucas Luiz Romero")*(20/1083),IF(C2377="Estágio",SUMIFS($D:$D,$A:$A,$A2377,$B:$B,"&lt;&gt;Patrícia Karla de Sousa Araújo",$B:$B,"&lt;&gt;Lorena Dias de Araujo",$B:$B,"&lt;&gt;Lucas Luiz Romero")*(10/1083),0)))))),0)</f>
        <v>22</v>
      </c>
      <c r="K2377" s="3">
        <f>I2377-J2377</f>
        <v>14</v>
      </c>
      <c r="L2377" s="3" t="str">
        <f>IF(K2377&lt;-5,"CRÍTICO",IF(K2377&lt;0,"ATENÇÃO",IF(K2377&lt;=5,"BOM","EXCELENTE")))</f>
        <v>EXCELENTE</v>
      </c>
      <c r="M2377">
        <v>33</v>
      </c>
      <c r="N2377">
        <v>100</v>
      </c>
      <c r="O2377">
        <v>25.72214580467676</v>
      </c>
    </row>
    <row r="2378" spans="1:15" hidden="1" x14ac:dyDescent="0.25">
      <c r="A2378" s="11">
        <v>46076</v>
      </c>
      <c r="B2378" t="s">
        <v>38</v>
      </c>
      <c r="C2378" t="s">
        <v>32</v>
      </c>
      <c r="D2378">
        <v>24</v>
      </c>
      <c r="E2378">
        <v>20</v>
      </c>
      <c r="F2378">
        <v>10.119999999999999</v>
      </c>
      <c r="G2378">
        <v>0</v>
      </c>
      <c r="H2378">
        <v>0</v>
      </c>
      <c r="I2378" s="3">
        <f>E2378+G2378+H2378</f>
        <v>20</v>
      </c>
      <c r="J2378" s="3">
        <f>ROUND(MIN(IF(C2378="Técnico III",35,IF(C2378="Técnico II",28,IF(C2378="Técnico I",23,IF(C2378="JR",20,IF(C2378="Estágio",10,0))))),IF(C2378="Técnico III",SUMIFS($D:$D,$A:$A,$A2378,$B:$B,"&lt;&gt;Patrícia Karla de Sousa Araújo",$B:$B,"&lt;&gt;Lorena Dias de Araujo",$B:$B,"&lt;&gt;Lucas Luiz Romero")*(35/1083),IF(C2378="Técnico II",SUMIFS($D:$D,$A:$A,$A2378,$B:$B,"&lt;&gt;Patrícia Karla de Sousa Araújo",$B:$B,"&lt;&gt;Lorena Dias de Araujo",$B:$B,"&lt;&gt;Lucas Luiz Romero")*(28/1083),IF(C2378="Técnico I",SUMIFS($D:$D,$A:$A,$A2378,$B:$B,"&lt;&gt;Patrícia Karla de Sousa Araújo",$B:$B,"&lt;&gt;Lorena Dias de Araujo",$B:$B,"&lt;&gt;Lucas Luiz Romero")*(23/1083),IF(C2378="JR",SUMIFS($D:$D,$A:$A,$A2378,$B:$B,"&lt;&gt;Patrícia Karla de Sousa Araújo",$B:$B,"&lt;&gt;Lorena Dias de Araujo",$B:$B,"&lt;&gt;Lucas Luiz Romero")*(20/1083),IF(C2378="Estágio",SUMIFS($D:$D,$A:$A,$A2378,$B:$B,"&lt;&gt;Patrícia Karla de Sousa Araújo",$B:$B,"&lt;&gt;Lorena Dias de Araujo",$B:$B,"&lt;&gt;Lucas Luiz Romero")*(10/1083),0)))))),0)</f>
        <v>22</v>
      </c>
      <c r="K2378" s="3">
        <f>I2378-J2378</f>
        <v>-2</v>
      </c>
      <c r="L2378" s="3" t="str">
        <f>IF(K2378&lt;-5,"CRÍTICO",IF(K2378&lt;0,"ATENÇÃO",IF(K2378&lt;=5,"BOM","EXCELENTE")))</f>
        <v>ATENÇÃO</v>
      </c>
      <c r="M2378">
        <v>16</v>
      </c>
      <c r="N2378">
        <v>94.64</v>
      </c>
      <c r="O2378">
        <v>27.52941176470588</v>
      </c>
    </row>
    <row r="2379" spans="1:15" hidden="1" x14ac:dyDescent="0.25">
      <c r="A2379" s="11">
        <v>46076</v>
      </c>
      <c r="B2379" t="s">
        <v>55</v>
      </c>
      <c r="C2379" t="s">
        <v>48</v>
      </c>
      <c r="D2379">
        <v>37</v>
      </c>
      <c r="E2379">
        <v>28</v>
      </c>
      <c r="F2379">
        <v>15.5</v>
      </c>
      <c r="G2379">
        <v>0</v>
      </c>
      <c r="H2379">
        <v>0</v>
      </c>
      <c r="I2379" s="3">
        <f>E2379+G2379+H2379</f>
        <v>28</v>
      </c>
      <c r="J2379" s="3">
        <f>ROUND(MIN(IF(C2379="Técnico III",35,IF(C2379="Técnico II",28,IF(C2379="Técnico I",23,IF(C2379="JR",20,IF(C2379="Estágio",10,0))))),IF(C2379="Técnico III",SUMIFS($D:$D,$A:$A,$A2379,$B:$B,"&lt;&gt;Patrícia Karla de Sousa Araújo",$B:$B,"&lt;&gt;Lorena Dias de Araujo",$B:$B,"&lt;&gt;Lucas Luiz Romero")*(35/1083),IF(C2379="Técnico II",SUMIFS($D:$D,$A:$A,$A2379,$B:$B,"&lt;&gt;Patrícia Karla de Sousa Araújo",$B:$B,"&lt;&gt;Lorena Dias de Araujo",$B:$B,"&lt;&gt;Lucas Luiz Romero")*(28/1083),IF(C2379="Técnico I",SUMIFS($D:$D,$A:$A,$A2379,$B:$B,"&lt;&gt;Patrícia Karla de Sousa Araújo",$B:$B,"&lt;&gt;Lorena Dias de Araujo",$B:$B,"&lt;&gt;Lucas Luiz Romero")*(23/1083),IF(C2379="JR",SUMIFS($D:$D,$A:$A,$A2379,$B:$B,"&lt;&gt;Patrícia Karla de Sousa Araújo",$B:$B,"&lt;&gt;Lorena Dias de Araujo",$B:$B,"&lt;&gt;Lucas Luiz Romero")*(20/1083),IF(C2379="Estágio",SUMIFS($D:$D,$A:$A,$A2379,$B:$B,"&lt;&gt;Patrícia Karla de Sousa Araújo",$B:$B,"&lt;&gt;Lorena Dias de Araujo",$B:$B,"&lt;&gt;Lucas Luiz Romero")*(10/1083),0)))))),0)</f>
        <v>18</v>
      </c>
      <c r="K2379" s="3">
        <f>I2379-J2379</f>
        <v>10</v>
      </c>
      <c r="L2379" s="3" t="str">
        <f>IF(K2379&lt;-5,"CRÍTICO",IF(K2379&lt;0,"ATENÇÃO",IF(K2379&lt;=5,"BOM","EXCELENTE")))</f>
        <v>EXCELENTE</v>
      </c>
      <c r="M2379">
        <v>23</v>
      </c>
      <c r="N2379">
        <v>99.07</v>
      </c>
      <c r="O2379">
        <v>26.376811594202898</v>
      </c>
    </row>
    <row r="2380" spans="1:15" hidden="1" x14ac:dyDescent="0.25">
      <c r="A2380" s="11">
        <v>46076</v>
      </c>
      <c r="B2380" t="s">
        <v>39</v>
      </c>
      <c r="C2380" t="s">
        <v>32</v>
      </c>
      <c r="D2380">
        <v>0</v>
      </c>
      <c r="E2380">
        <v>0</v>
      </c>
      <c r="F2380">
        <v>0</v>
      </c>
      <c r="G2380">
        <v>0</v>
      </c>
      <c r="H2380">
        <v>0</v>
      </c>
      <c r="I2380" s="3">
        <v>0</v>
      </c>
      <c r="J2380" s="3">
        <v>0</v>
      </c>
      <c r="K2380" s="3">
        <v>0</v>
      </c>
      <c r="L2380" s="3" t="str">
        <f>IF(K2380&lt;-5,"CRÍTICO",IF(K2380&lt;0,"ATENÇÃO",IF(K2380&lt;=5,"BOM","EXCELENTE")))</f>
        <v>BOM</v>
      </c>
      <c r="M2380">
        <v>0</v>
      </c>
      <c r="N2380">
        <v>100</v>
      </c>
      <c r="O2380">
        <v>0</v>
      </c>
    </row>
    <row r="2381" spans="1:15" hidden="1" x14ac:dyDescent="0.25">
      <c r="A2381" s="11">
        <v>46076</v>
      </c>
      <c r="B2381" t="s">
        <v>25</v>
      </c>
      <c r="C2381" t="s">
        <v>26</v>
      </c>
      <c r="D2381">
        <v>11</v>
      </c>
      <c r="E2381">
        <v>11</v>
      </c>
      <c r="F2381">
        <v>30.23</v>
      </c>
      <c r="G2381">
        <v>0</v>
      </c>
      <c r="H2381">
        <v>0</v>
      </c>
      <c r="I2381" s="3">
        <f>E2381+G2381+H2381</f>
        <v>11</v>
      </c>
      <c r="J2381" s="3">
        <f>ROUND(MIN(IF(C2381="Técnico III",35,IF(C2381="Técnico II",28,IF(C2381="Técnico I",23,IF(C2381="JR",20,IF(C2381="Estágio",10,0))))),IF(C2381="Técnico III",SUMIFS($D:$D,$A:$A,$A2381,$B:$B,"&lt;&gt;Patrícia Karla de Sousa Araújo",$B:$B,"&lt;&gt;Lorena Dias de Araujo",$B:$B,"&lt;&gt;Lucas Luiz Romero")*(35/1083),IF(C2381="Técnico II",SUMIFS($D:$D,$A:$A,$A2381,$B:$B,"&lt;&gt;Patrícia Karla de Sousa Araújo",$B:$B,"&lt;&gt;Lorena Dias de Araujo",$B:$B,"&lt;&gt;Lucas Luiz Romero")*(28/1083),IF(C2381="Técnico I",SUMIFS($D:$D,$A:$A,$A2381,$B:$B,"&lt;&gt;Patrícia Karla de Sousa Araújo",$B:$B,"&lt;&gt;Lorena Dias de Araujo",$B:$B,"&lt;&gt;Lucas Luiz Romero")*(23/1083),IF(C2381="JR",SUMIFS($D:$D,$A:$A,$A2381,$B:$B,"&lt;&gt;Patrícia Karla de Sousa Araújo",$B:$B,"&lt;&gt;Lorena Dias de Araujo",$B:$B,"&lt;&gt;Lucas Luiz Romero")*(20/1083),IF(C2381="Estágio",SUMIFS($D:$D,$A:$A,$A2381,$B:$B,"&lt;&gt;Patrícia Karla de Sousa Araújo",$B:$B,"&lt;&gt;Lorena Dias de Araujo",$B:$B,"&lt;&gt;Lucas Luiz Romero")*(10/1083),0)))))),0)</f>
        <v>13</v>
      </c>
      <c r="K2381" s="3">
        <f>I2381-J2381</f>
        <v>-2</v>
      </c>
      <c r="L2381" s="3" t="str">
        <f>IF(K2381&lt;-5,"CRÍTICO",IF(K2381&lt;0,"ATENÇÃO",IF(K2381&lt;=5,"BOM","EXCELENTE")))</f>
        <v>ATENÇÃO</v>
      </c>
      <c r="M2381">
        <v>9</v>
      </c>
      <c r="N2381">
        <v>98.48</v>
      </c>
      <c r="O2381">
        <v>27.853881278538811</v>
      </c>
    </row>
    <row r="2382" spans="1:15" hidden="1" x14ac:dyDescent="0.25">
      <c r="A2382" s="11">
        <v>46076</v>
      </c>
      <c r="B2382" t="s">
        <v>40</v>
      </c>
      <c r="C2382" t="s">
        <v>32</v>
      </c>
      <c r="D2382">
        <v>21</v>
      </c>
      <c r="E2382">
        <v>18</v>
      </c>
      <c r="F2382">
        <v>29.15</v>
      </c>
      <c r="G2382">
        <v>0</v>
      </c>
      <c r="H2382">
        <v>0</v>
      </c>
      <c r="I2382" s="3">
        <f>E2382+G2382+H2382</f>
        <v>18</v>
      </c>
      <c r="J2382" s="3">
        <f>ROUND(MIN(IF(C2382="Técnico III",35,IF(C2382="Técnico II",28,IF(C2382="Técnico I",23,IF(C2382="JR",20,IF(C2382="Estágio",10,0))))),IF(C2382="Técnico III",SUMIFS($D:$D,$A:$A,$A2382,$B:$B,"&lt;&gt;Patrícia Karla de Sousa Araújo",$B:$B,"&lt;&gt;Lorena Dias de Araujo",$B:$B,"&lt;&gt;Lucas Luiz Romero")*(35/1083),IF(C2382="Técnico II",SUMIFS($D:$D,$A:$A,$A2382,$B:$B,"&lt;&gt;Patrícia Karla de Sousa Araújo",$B:$B,"&lt;&gt;Lorena Dias de Araujo",$B:$B,"&lt;&gt;Lucas Luiz Romero")*(28/1083),IF(C2382="Técnico I",SUMIFS($D:$D,$A:$A,$A2382,$B:$B,"&lt;&gt;Patrícia Karla de Sousa Araújo",$B:$B,"&lt;&gt;Lorena Dias de Araujo",$B:$B,"&lt;&gt;Lucas Luiz Romero")*(23/1083),IF(C2382="JR",SUMIFS($D:$D,$A:$A,$A2382,$B:$B,"&lt;&gt;Patrícia Karla de Sousa Araújo",$B:$B,"&lt;&gt;Lorena Dias de Araujo",$B:$B,"&lt;&gt;Lucas Luiz Romero")*(20/1083),IF(C2382="Estágio",SUMIFS($D:$D,$A:$A,$A2382,$B:$B,"&lt;&gt;Patrícia Karla de Sousa Araújo",$B:$B,"&lt;&gt;Lorena Dias de Araujo",$B:$B,"&lt;&gt;Lucas Luiz Romero")*(10/1083),0)))))),0)</f>
        <v>22</v>
      </c>
      <c r="K2382" s="3">
        <f>I2382-J2382</f>
        <v>-4</v>
      </c>
      <c r="L2382" s="3" t="str">
        <f>IF(K2382&lt;-5,"CRÍTICO",IF(K2382&lt;0,"ATENÇÃO",IF(K2382&lt;=5,"BOM","EXCELENTE")))</f>
        <v>ATENÇÃO</v>
      </c>
      <c r="M2382">
        <v>18</v>
      </c>
      <c r="N2382">
        <v>95.15</v>
      </c>
      <c r="O2382">
        <v>34.131736526946113</v>
      </c>
    </row>
    <row r="2383" spans="1:15" hidden="1" x14ac:dyDescent="0.25">
      <c r="A2383" s="11">
        <v>46076</v>
      </c>
      <c r="B2383" t="s">
        <v>27</v>
      </c>
      <c r="C2383" t="s">
        <v>26</v>
      </c>
      <c r="D2383">
        <v>0</v>
      </c>
      <c r="E2383">
        <v>0</v>
      </c>
      <c r="F2383">
        <v>0</v>
      </c>
      <c r="G2383">
        <v>0</v>
      </c>
      <c r="H2383">
        <v>0</v>
      </c>
      <c r="I2383" s="3">
        <v>0</v>
      </c>
      <c r="J2383" s="3">
        <v>0</v>
      </c>
      <c r="K2383" s="3">
        <v>0</v>
      </c>
      <c r="L2383" s="3" t="str">
        <f>IF(K2383&lt;-5,"CRÍTICO",IF(K2383&lt;0,"ATENÇÃO",IF(K2383&lt;=5,"BOM","EXCELENTE")))</f>
        <v>BOM</v>
      </c>
      <c r="M2383">
        <v>0</v>
      </c>
      <c r="N2383">
        <v>0</v>
      </c>
      <c r="O2383">
        <v>0</v>
      </c>
    </row>
    <row r="2384" spans="1:15" hidden="1" x14ac:dyDescent="0.25">
      <c r="A2384" s="11">
        <v>46076</v>
      </c>
      <c r="B2384" t="s">
        <v>41</v>
      </c>
      <c r="C2384" t="s">
        <v>32</v>
      </c>
      <c r="D2384">
        <v>21</v>
      </c>
      <c r="E2384">
        <v>19</v>
      </c>
      <c r="F2384">
        <v>24.03</v>
      </c>
      <c r="G2384">
        <v>0</v>
      </c>
      <c r="H2384">
        <v>0</v>
      </c>
      <c r="I2384" s="3">
        <f>E2384+G2384+H2384</f>
        <v>19</v>
      </c>
      <c r="J2384" s="3">
        <f>ROUND(MIN(IF(C2384="Técnico III",35,IF(C2384="Técnico II",28,IF(C2384="Técnico I",23,IF(C2384="JR",20,IF(C2384="Estágio",10,0))))),IF(C2384="Técnico III",SUMIFS($D:$D,$A:$A,$A2384,$B:$B,"&lt;&gt;Patrícia Karla de Sousa Araújo",$B:$B,"&lt;&gt;Lorena Dias de Araujo",$B:$B,"&lt;&gt;Lucas Luiz Romero")*(35/1083),IF(C2384="Técnico II",SUMIFS($D:$D,$A:$A,$A2384,$B:$B,"&lt;&gt;Patrícia Karla de Sousa Araújo",$B:$B,"&lt;&gt;Lorena Dias de Araujo",$B:$B,"&lt;&gt;Lucas Luiz Romero")*(28/1083),IF(C2384="Técnico I",SUMIFS($D:$D,$A:$A,$A2384,$B:$B,"&lt;&gt;Patrícia Karla de Sousa Araújo",$B:$B,"&lt;&gt;Lorena Dias de Araujo",$B:$B,"&lt;&gt;Lucas Luiz Romero")*(23/1083),IF(C2384="JR",SUMIFS($D:$D,$A:$A,$A2384,$B:$B,"&lt;&gt;Patrícia Karla de Sousa Araújo",$B:$B,"&lt;&gt;Lorena Dias de Araujo",$B:$B,"&lt;&gt;Lucas Luiz Romero")*(20/1083),IF(C2384="Estágio",SUMIFS($D:$D,$A:$A,$A2384,$B:$B,"&lt;&gt;Patrícia Karla de Sousa Araújo",$B:$B,"&lt;&gt;Lorena Dias de Araujo",$B:$B,"&lt;&gt;Lucas Luiz Romero")*(10/1083),0)))))),0)</f>
        <v>22</v>
      </c>
      <c r="K2384" s="3">
        <f>I2384-J2384</f>
        <v>-3</v>
      </c>
      <c r="L2384" s="3" t="str">
        <f>IF(K2384&lt;-5,"CRÍTICO",IF(K2384&lt;0,"ATENÇÃO",IF(K2384&lt;=5,"BOM","EXCELENTE")))</f>
        <v>ATENÇÃO</v>
      </c>
      <c r="M2384">
        <v>17</v>
      </c>
      <c r="N2384">
        <v>99.26</v>
      </c>
      <c r="O2384">
        <v>30.84832904884319</v>
      </c>
    </row>
    <row r="2385" spans="1:15" hidden="1" x14ac:dyDescent="0.25">
      <c r="A2385" s="11">
        <v>46076</v>
      </c>
      <c r="B2385" t="s">
        <v>56</v>
      </c>
      <c r="C2385" t="s">
        <v>48</v>
      </c>
      <c r="D2385">
        <v>28</v>
      </c>
      <c r="E2385">
        <v>27</v>
      </c>
      <c r="F2385">
        <v>25.38</v>
      </c>
      <c r="G2385">
        <v>0</v>
      </c>
      <c r="H2385">
        <v>0</v>
      </c>
      <c r="I2385" s="3">
        <f>E2385+G2385+H2385</f>
        <v>27</v>
      </c>
      <c r="J2385" s="3">
        <f>ROUND(MIN(IF(C2385="Técnico III",35,IF(C2385="Técnico II",28,IF(C2385="Técnico I",23,IF(C2385="JR",20,IF(C2385="Estágio",10,0))))),IF(C2385="Técnico III",SUMIFS($D:$D,$A:$A,$A2385,$B:$B,"&lt;&gt;Patrícia Karla de Sousa Araújo",$B:$B,"&lt;&gt;Lorena Dias de Araujo",$B:$B,"&lt;&gt;Lucas Luiz Romero")*(35/1083),IF(C2385="Técnico II",SUMIFS($D:$D,$A:$A,$A2385,$B:$B,"&lt;&gt;Patrícia Karla de Sousa Araújo",$B:$B,"&lt;&gt;Lorena Dias de Araujo",$B:$B,"&lt;&gt;Lucas Luiz Romero")*(28/1083),IF(C2385="Técnico I",SUMIFS($D:$D,$A:$A,$A2385,$B:$B,"&lt;&gt;Patrícia Karla de Sousa Araújo",$B:$B,"&lt;&gt;Lorena Dias de Araujo",$B:$B,"&lt;&gt;Lucas Luiz Romero")*(23/1083),IF(C2385="JR",SUMIFS($D:$D,$A:$A,$A2385,$B:$B,"&lt;&gt;Patrícia Karla de Sousa Araújo",$B:$B,"&lt;&gt;Lorena Dias de Araujo",$B:$B,"&lt;&gt;Lucas Luiz Romero")*(20/1083),IF(C2385="Estágio",SUMIFS($D:$D,$A:$A,$A2385,$B:$B,"&lt;&gt;Patrícia Karla de Sousa Araújo",$B:$B,"&lt;&gt;Lorena Dias de Araujo",$B:$B,"&lt;&gt;Lucas Luiz Romero")*(10/1083),0)))))),0)</f>
        <v>18</v>
      </c>
      <c r="K2385" s="3">
        <f>I2385-J2385</f>
        <v>9</v>
      </c>
      <c r="L2385" s="3" t="str">
        <f>IF(K2385&lt;-5,"CRÍTICO",IF(K2385&lt;0,"ATENÇÃO",IF(K2385&lt;=5,"BOM","EXCELENTE")))</f>
        <v>EXCELENTE</v>
      </c>
      <c r="M2385">
        <v>30</v>
      </c>
      <c r="N2385">
        <v>97.48</v>
      </c>
      <c r="O2385">
        <v>27.764705882352938</v>
      </c>
    </row>
    <row r="2386" spans="1:15" hidden="1" x14ac:dyDescent="0.25">
      <c r="A2386" s="11">
        <v>46076</v>
      </c>
      <c r="B2386" t="s">
        <v>57</v>
      </c>
      <c r="C2386" t="s">
        <v>48</v>
      </c>
      <c r="D2386">
        <v>26</v>
      </c>
      <c r="E2386">
        <v>25</v>
      </c>
      <c r="F2386">
        <v>25.15</v>
      </c>
      <c r="G2386">
        <v>0</v>
      </c>
      <c r="H2386">
        <v>0</v>
      </c>
      <c r="I2386" s="3">
        <v>0</v>
      </c>
      <c r="J2386" s="3">
        <v>0</v>
      </c>
      <c r="K2386" s="3">
        <v>0</v>
      </c>
      <c r="L2386" s="3" t="str">
        <f>IF(K2386&lt;-5,"CRÍTICO",IF(K2386&lt;0,"ATENÇÃO",IF(K2386&lt;=5,"BOM","EXCELENTE")))</f>
        <v>BOM</v>
      </c>
      <c r="M2386">
        <v>13</v>
      </c>
      <c r="N2386">
        <v>99.34</v>
      </c>
      <c r="O2386">
        <v>30.04291845493562</v>
      </c>
    </row>
    <row r="2387" spans="1:15" hidden="1" x14ac:dyDescent="0.25">
      <c r="A2387" s="11">
        <v>46076</v>
      </c>
      <c r="B2387" t="s">
        <v>42</v>
      </c>
      <c r="C2387" t="s">
        <v>32</v>
      </c>
      <c r="D2387">
        <v>0</v>
      </c>
      <c r="E2387">
        <v>0</v>
      </c>
      <c r="F2387">
        <v>0</v>
      </c>
      <c r="G2387">
        <v>0</v>
      </c>
      <c r="H2387">
        <v>0</v>
      </c>
      <c r="I2387" s="3">
        <v>0</v>
      </c>
      <c r="J2387" s="3">
        <v>0</v>
      </c>
      <c r="K2387" s="3">
        <v>0</v>
      </c>
      <c r="L2387" s="3" t="str">
        <f>IF(K2387&lt;-5,"CRÍTICO",IF(K2387&lt;0,"ATENÇÃO",IF(K2387&lt;=5,"BOM","EXCELENTE")))</f>
        <v>BOM</v>
      </c>
      <c r="M2387">
        <v>0</v>
      </c>
      <c r="N2387">
        <v>96.3</v>
      </c>
      <c r="O2387">
        <v>24.29378531073446</v>
      </c>
    </row>
    <row r="2388" spans="1:15" hidden="1" x14ac:dyDescent="0.25">
      <c r="A2388" s="11">
        <v>46076</v>
      </c>
      <c r="B2388" t="s">
        <v>62</v>
      </c>
      <c r="C2388" t="s">
        <v>23</v>
      </c>
      <c r="D2388">
        <v>9</v>
      </c>
      <c r="E2388">
        <v>9</v>
      </c>
      <c r="F2388">
        <v>47.28</v>
      </c>
      <c r="G2388">
        <v>0</v>
      </c>
      <c r="H2388">
        <v>0</v>
      </c>
      <c r="I2388" s="3">
        <f>E2388+G2388+H2388</f>
        <v>9</v>
      </c>
      <c r="J2388" s="3">
        <f>ROUND(MIN(IF(C2388="Técnico III",35,IF(C2388="Técnico II",28,IF(C2388="Técnico I",23,IF(C2388="JR",20,IF(C2388="Estágio",10,0))))),IF(C2388="Técnico III",SUMIFS($D:$D,$A:$A,$A2388,$B:$B,"&lt;&gt;Patrícia Karla de Sousa Araújo",$B:$B,"&lt;&gt;Lorena Dias de Araujo",$B:$B,"&lt;&gt;Lucas Luiz Romero")*(35/1083),IF(C2388="Técnico II",SUMIFS($D:$D,$A:$A,$A2388,$B:$B,"&lt;&gt;Patrícia Karla de Sousa Araújo",$B:$B,"&lt;&gt;Lorena Dias de Araujo",$B:$B,"&lt;&gt;Lucas Luiz Romero")*(28/1083),IF(C2388="Técnico I",SUMIFS($D:$D,$A:$A,$A2388,$B:$B,"&lt;&gt;Patrícia Karla de Sousa Araújo",$B:$B,"&lt;&gt;Lorena Dias de Araujo",$B:$B,"&lt;&gt;Lucas Luiz Romero")*(23/1083),IF(C2388="JR",SUMIFS($D:$D,$A:$A,$A2388,$B:$B,"&lt;&gt;Patrícia Karla de Sousa Araújo",$B:$B,"&lt;&gt;Lorena Dias de Araujo",$B:$B,"&lt;&gt;Lucas Luiz Romero")*(20/1083),IF(C2388="Estágio",SUMIFS($D:$D,$A:$A,$A2388,$B:$B,"&lt;&gt;Patrícia Karla de Sousa Araújo",$B:$B,"&lt;&gt;Lorena Dias de Araujo",$B:$B,"&lt;&gt;Lucas Luiz Romero")*(10/1083),0)))))),0)</f>
        <v>15</v>
      </c>
      <c r="K2388" s="3">
        <f>I2388-J2388</f>
        <v>-6</v>
      </c>
      <c r="L2388" s="3" t="str">
        <f>IF(K2388&lt;-5,"CRÍTICO",IF(K2388&lt;0,"ATENÇÃO",IF(K2388&lt;=5,"BOM","EXCELENTE")))</f>
        <v>CRÍTICO</v>
      </c>
      <c r="M2388">
        <v>10</v>
      </c>
      <c r="N2388">
        <v>100</v>
      </c>
      <c r="O2388">
        <v>26.543209876543209</v>
      </c>
    </row>
    <row r="2389" spans="1:15" hidden="1" x14ac:dyDescent="0.25">
      <c r="A2389" s="11">
        <v>46076</v>
      </c>
      <c r="B2389" t="s">
        <v>19</v>
      </c>
      <c r="C2389" t="s">
        <v>16</v>
      </c>
      <c r="D2389">
        <v>10</v>
      </c>
      <c r="E2389">
        <v>10</v>
      </c>
      <c r="F2389">
        <v>59.09</v>
      </c>
      <c r="G2389">
        <v>0</v>
      </c>
      <c r="H2389">
        <v>0</v>
      </c>
      <c r="I2389" s="3">
        <f>E2389+G2389+H2389</f>
        <v>10</v>
      </c>
      <c r="J2389" s="3">
        <f>ROUND(MIN(IF(C2389="Técnico III",35,IF(C2389="Técnico II",28,IF(C2389="Técnico I",23,IF(C2389="JR",20,IF(C2389="Estágio",10,0))))),IF(C2389="Técnico III",SUMIFS($D:$D,$A:$A,$A2389,$B:$B,"&lt;&gt;Patrícia Karla de Sousa Araújo",$B:$B,"&lt;&gt;Lorena Dias de Araujo",$B:$B,"&lt;&gt;Lucas Luiz Romero")*(35/1083),IF(C2389="Técnico II",SUMIFS($D:$D,$A:$A,$A2389,$B:$B,"&lt;&gt;Patrícia Karla de Sousa Araújo",$B:$B,"&lt;&gt;Lorena Dias de Araujo",$B:$B,"&lt;&gt;Lucas Luiz Romero")*(28/1083),IF(C2389="Técnico I",SUMIFS($D:$D,$A:$A,$A2389,$B:$B,"&lt;&gt;Patrícia Karla de Sousa Araújo",$B:$B,"&lt;&gt;Lorena Dias de Araujo",$B:$B,"&lt;&gt;Lucas Luiz Romero")*(23/1083),IF(C2389="JR",SUMIFS($D:$D,$A:$A,$A2389,$B:$B,"&lt;&gt;Patrícia Karla de Sousa Araújo",$B:$B,"&lt;&gt;Lorena Dias de Araujo",$B:$B,"&lt;&gt;Lucas Luiz Romero")*(20/1083),IF(C2389="Estágio",SUMIFS($D:$D,$A:$A,$A2389,$B:$B,"&lt;&gt;Patrícia Karla de Sousa Araújo",$B:$B,"&lt;&gt;Lorena Dias de Araujo",$B:$B,"&lt;&gt;Lucas Luiz Romero")*(10/1083),0)))))),0)</f>
        <v>6</v>
      </c>
      <c r="K2389" s="3">
        <f>I2389-J2389</f>
        <v>4</v>
      </c>
      <c r="L2389" s="3" t="str">
        <f>IF(K2389&lt;-5,"CRÍTICO",IF(K2389&lt;0,"ATENÇÃO",IF(K2389&lt;=5,"BOM","EXCELENTE")))</f>
        <v>BOM</v>
      </c>
      <c r="M2389">
        <v>6</v>
      </c>
      <c r="N2389">
        <v>100</v>
      </c>
      <c r="O2389">
        <v>35.483870967741943</v>
      </c>
    </row>
    <row r="2390" spans="1:15" hidden="1" x14ac:dyDescent="0.25">
      <c r="A2390" s="11">
        <v>46076</v>
      </c>
      <c r="B2390" t="s">
        <v>43</v>
      </c>
      <c r="C2390" t="s">
        <v>32</v>
      </c>
      <c r="D2390">
        <v>26</v>
      </c>
      <c r="E2390">
        <v>23</v>
      </c>
      <c r="F2390">
        <v>22.35</v>
      </c>
      <c r="G2390">
        <v>0</v>
      </c>
      <c r="H2390">
        <v>0</v>
      </c>
      <c r="I2390" s="3">
        <f>E2390+G2390+H2390</f>
        <v>23</v>
      </c>
      <c r="J2390" s="3">
        <f>ROUND(MIN(IF(C2390="Técnico III",35,IF(C2390="Técnico II",28,IF(C2390="Técnico I",23,IF(C2390="JR",20,IF(C2390="Estágio",10,0))))),IF(C2390="Técnico III",SUMIFS($D:$D,$A:$A,$A2390,$B:$B,"&lt;&gt;Patrícia Karla de Sousa Araújo",$B:$B,"&lt;&gt;Lorena Dias de Araujo",$B:$B,"&lt;&gt;Lucas Luiz Romero")*(35/1083),IF(C2390="Técnico II",SUMIFS($D:$D,$A:$A,$A2390,$B:$B,"&lt;&gt;Patrícia Karla de Sousa Araújo",$B:$B,"&lt;&gt;Lorena Dias de Araujo",$B:$B,"&lt;&gt;Lucas Luiz Romero")*(28/1083),IF(C2390="Técnico I",SUMIFS($D:$D,$A:$A,$A2390,$B:$B,"&lt;&gt;Patrícia Karla de Sousa Araújo",$B:$B,"&lt;&gt;Lorena Dias de Araujo",$B:$B,"&lt;&gt;Lucas Luiz Romero")*(23/1083),IF(C2390="JR",SUMIFS($D:$D,$A:$A,$A2390,$B:$B,"&lt;&gt;Patrícia Karla de Sousa Araújo",$B:$B,"&lt;&gt;Lorena Dias de Araujo",$B:$B,"&lt;&gt;Lucas Luiz Romero")*(20/1083),IF(C2390="Estágio",SUMIFS($D:$D,$A:$A,$A2390,$B:$B,"&lt;&gt;Patrícia Karla de Sousa Araújo",$B:$B,"&lt;&gt;Lorena Dias de Araujo",$B:$B,"&lt;&gt;Lucas Luiz Romero")*(10/1083),0)))))),0)</f>
        <v>22</v>
      </c>
      <c r="K2390" s="3">
        <f>I2390-J2390</f>
        <v>1</v>
      </c>
      <c r="L2390" s="3" t="str">
        <f>IF(K2390&lt;-5,"CRÍTICO",IF(K2390&lt;0,"ATENÇÃO",IF(K2390&lt;=5,"BOM","EXCELENTE")))</f>
        <v>BOM</v>
      </c>
      <c r="M2390">
        <v>22</v>
      </c>
      <c r="N2390">
        <v>99.27</v>
      </c>
      <c r="O2390">
        <v>31.163708086785011</v>
      </c>
    </row>
    <row r="2391" spans="1:15" hidden="1" x14ac:dyDescent="0.25">
      <c r="A2391" s="11">
        <v>46076</v>
      </c>
      <c r="B2391" t="s">
        <v>44</v>
      </c>
      <c r="C2391" t="s">
        <v>32</v>
      </c>
      <c r="D2391">
        <v>30</v>
      </c>
      <c r="E2391">
        <v>29</v>
      </c>
      <c r="F2391">
        <v>17.010000000000002</v>
      </c>
      <c r="G2391">
        <v>0</v>
      </c>
      <c r="H2391">
        <v>0</v>
      </c>
      <c r="I2391" s="3">
        <f>E2391+G2391+H2391</f>
        <v>29</v>
      </c>
      <c r="J2391" s="3">
        <f>ROUND(MIN(IF(C2391="Técnico III",35,IF(C2391="Técnico II",28,IF(C2391="Técnico I",23,IF(C2391="JR",20,IF(C2391="Estágio",10,0))))),IF(C2391="Técnico III",SUMIFS($D:$D,$A:$A,$A2391,$B:$B,"&lt;&gt;Patrícia Karla de Sousa Araújo",$B:$B,"&lt;&gt;Lorena Dias de Araujo",$B:$B,"&lt;&gt;Lucas Luiz Romero")*(35/1083),IF(C2391="Técnico II",SUMIFS($D:$D,$A:$A,$A2391,$B:$B,"&lt;&gt;Patrícia Karla de Sousa Araújo",$B:$B,"&lt;&gt;Lorena Dias de Araujo",$B:$B,"&lt;&gt;Lucas Luiz Romero")*(28/1083),IF(C2391="Técnico I",SUMIFS($D:$D,$A:$A,$A2391,$B:$B,"&lt;&gt;Patrícia Karla de Sousa Araújo",$B:$B,"&lt;&gt;Lorena Dias de Araujo",$B:$B,"&lt;&gt;Lucas Luiz Romero")*(23/1083),IF(C2391="JR",SUMIFS($D:$D,$A:$A,$A2391,$B:$B,"&lt;&gt;Patrícia Karla de Sousa Araújo",$B:$B,"&lt;&gt;Lorena Dias de Araujo",$B:$B,"&lt;&gt;Lucas Luiz Romero")*(20/1083),IF(C2391="Estágio",SUMIFS($D:$D,$A:$A,$A2391,$B:$B,"&lt;&gt;Patrícia Karla de Sousa Araújo",$B:$B,"&lt;&gt;Lorena Dias de Araujo",$B:$B,"&lt;&gt;Lucas Luiz Romero")*(10/1083),0)))))),0)</f>
        <v>22</v>
      </c>
      <c r="K2391" s="3">
        <f>I2391-J2391</f>
        <v>7</v>
      </c>
      <c r="L2391" s="3" t="str">
        <f>IF(K2391&lt;-5,"CRÍTICO",IF(K2391&lt;0,"ATENÇÃO",IF(K2391&lt;=5,"BOM","EXCELENTE")))</f>
        <v>EXCELENTE</v>
      </c>
      <c r="M2391">
        <v>26</v>
      </c>
      <c r="N2391">
        <v>94.16</v>
      </c>
      <c r="O2391">
        <v>27.038626609442058</v>
      </c>
    </row>
    <row r="2392" spans="1:15" hidden="1" x14ac:dyDescent="0.25">
      <c r="A2392" s="11">
        <v>46076</v>
      </c>
      <c r="B2392" t="s">
        <v>20</v>
      </c>
      <c r="C2392" t="s">
        <v>16</v>
      </c>
      <c r="D2392">
        <v>9</v>
      </c>
      <c r="E2392">
        <v>9</v>
      </c>
      <c r="F2392">
        <v>55.2</v>
      </c>
      <c r="G2392">
        <v>0</v>
      </c>
      <c r="H2392">
        <v>0</v>
      </c>
      <c r="I2392" s="3">
        <f>E2392+G2392+H2392</f>
        <v>9</v>
      </c>
      <c r="J2392" s="3">
        <f>ROUND(MIN(IF(C2392="Técnico III",35,IF(C2392="Técnico II",28,IF(C2392="Técnico I",23,IF(C2392="JR",20,IF(C2392="Estágio",10,0))))),IF(C2392="Técnico III",SUMIFS($D:$D,$A:$A,$A2392,$B:$B,"&lt;&gt;Patrícia Karla de Sousa Araújo",$B:$B,"&lt;&gt;Lorena Dias de Araujo",$B:$B,"&lt;&gt;Lucas Luiz Romero")*(35/1083),IF(C2392="Técnico II",SUMIFS($D:$D,$A:$A,$A2392,$B:$B,"&lt;&gt;Patrícia Karla de Sousa Araújo",$B:$B,"&lt;&gt;Lorena Dias de Araujo",$B:$B,"&lt;&gt;Lucas Luiz Romero")*(28/1083),IF(C2392="Técnico I",SUMIFS($D:$D,$A:$A,$A2392,$B:$B,"&lt;&gt;Patrícia Karla de Sousa Araújo",$B:$B,"&lt;&gt;Lorena Dias de Araujo",$B:$B,"&lt;&gt;Lucas Luiz Romero")*(23/1083),IF(C2392="JR",SUMIFS($D:$D,$A:$A,$A2392,$B:$B,"&lt;&gt;Patrícia Karla de Sousa Araújo",$B:$B,"&lt;&gt;Lorena Dias de Araujo",$B:$B,"&lt;&gt;Lucas Luiz Romero")*(20/1083),IF(C2392="Estágio",SUMIFS($D:$D,$A:$A,$A2392,$B:$B,"&lt;&gt;Patrícia Karla de Sousa Araújo",$B:$B,"&lt;&gt;Lorena Dias de Araujo",$B:$B,"&lt;&gt;Lucas Luiz Romero")*(10/1083),0)))))),0)</f>
        <v>6</v>
      </c>
      <c r="K2392" s="3">
        <f>I2392-J2392</f>
        <v>3</v>
      </c>
      <c r="L2392" s="3" t="str">
        <f>IF(K2392&lt;-5,"CRÍTICO",IF(K2392&lt;0,"ATENÇÃO",IF(K2392&lt;=5,"BOM","EXCELENTE")))</f>
        <v>BOM</v>
      </c>
      <c r="M2392">
        <v>4</v>
      </c>
      <c r="N2392">
        <v>93.75</v>
      </c>
      <c r="O2392">
        <v>19.31818181818182</v>
      </c>
    </row>
    <row r="2393" spans="1:15" hidden="1" x14ac:dyDescent="0.25">
      <c r="A2393" s="11">
        <v>46076</v>
      </c>
      <c r="B2393" t="s">
        <v>28</v>
      </c>
      <c r="C2393" t="s">
        <v>26</v>
      </c>
      <c r="D2393">
        <v>0</v>
      </c>
      <c r="E2393">
        <v>0</v>
      </c>
      <c r="F2393">
        <v>0</v>
      </c>
      <c r="G2393">
        <v>0</v>
      </c>
      <c r="H2393">
        <v>0</v>
      </c>
      <c r="I2393" s="3">
        <v>0</v>
      </c>
      <c r="J2393" s="3">
        <v>0</v>
      </c>
      <c r="K2393" s="3">
        <v>0</v>
      </c>
      <c r="L2393" s="3" t="str">
        <f>IF(K2393&lt;-5,"CRÍTICO",IF(K2393&lt;0,"ATENÇÃO",IF(K2393&lt;=5,"BOM","EXCELENTE")))</f>
        <v>BOM</v>
      </c>
      <c r="M2393">
        <v>0</v>
      </c>
      <c r="N2393">
        <v>0</v>
      </c>
      <c r="O2393">
        <v>0</v>
      </c>
    </row>
    <row r="2394" spans="1:15" hidden="1" x14ac:dyDescent="0.25">
      <c r="A2394" s="11">
        <v>46076</v>
      </c>
      <c r="B2394" t="s">
        <v>58</v>
      </c>
      <c r="C2394" t="s">
        <v>48</v>
      </c>
      <c r="D2394">
        <v>0</v>
      </c>
      <c r="E2394">
        <v>0</v>
      </c>
      <c r="F2394">
        <v>0</v>
      </c>
      <c r="G2394">
        <v>0</v>
      </c>
      <c r="H2394">
        <v>0</v>
      </c>
      <c r="I2394" s="3">
        <v>0</v>
      </c>
      <c r="J2394" s="3">
        <v>0</v>
      </c>
      <c r="K2394" s="3">
        <v>0</v>
      </c>
      <c r="L2394" s="3" t="str">
        <f>IF(K2394&lt;-5,"CRÍTICO",IF(K2394&lt;0,"ATENÇÃO",IF(K2394&lt;=5,"BOM","EXCELENTE")))</f>
        <v>BOM</v>
      </c>
      <c r="M2394">
        <v>0</v>
      </c>
      <c r="N2394">
        <v>97.92</v>
      </c>
      <c r="O2394">
        <v>32.87671232876712</v>
      </c>
    </row>
    <row r="2395" spans="1:15" hidden="1" x14ac:dyDescent="0.25">
      <c r="A2395" s="11">
        <v>46076</v>
      </c>
      <c r="B2395" t="s">
        <v>29</v>
      </c>
      <c r="C2395" t="s">
        <v>26</v>
      </c>
      <c r="D2395">
        <v>0</v>
      </c>
      <c r="E2395">
        <v>0</v>
      </c>
      <c r="F2395">
        <v>0</v>
      </c>
      <c r="G2395">
        <v>0</v>
      </c>
      <c r="H2395">
        <v>0</v>
      </c>
      <c r="I2395" s="3">
        <v>0</v>
      </c>
      <c r="J2395" s="3">
        <v>0</v>
      </c>
      <c r="K2395" s="3">
        <v>0</v>
      </c>
      <c r="L2395" s="3" t="str">
        <f>IF(K2395&lt;-5,"CRÍTICO",IF(K2395&lt;0,"ATENÇÃO",IF(K2395&lt;=5,"BOM","EXCELENTE")))</f>
        <v>BOM</v>
      </c>
      <c r="M2395">
        <v>0</v>
      </c>
      <c r="N2395">
        <v>0</v>
      </c>
      <c r="O2395">
        <v>0</v>
      </c>
    </row>
    <row r="2396" spans="1:15" hidden="1" x14ac:dyDescent="0.25">
      <c r="A2396" s="11">
        <v>46076</v>
      </c>
      <c r="B2396" t="s">
        <v>30</v>
      </c>
      <c r="C2396" t="s">
        <v>26</v>
      </c>
      <c r="D2396">
        <v>0</v>
      </c>
      <c r="E2396">
        <v>0</v>
      </c>
      <c r="F2396">
        <v>0</v>
      </c>
      <c r="G2396">
        <v>0</v>
      </c>
      <c r="H2396">
        <v>0</v>
      </c>
      <c r="I2396" s="3">
        <v>0</v>
      </c>
      <c r="J2396" s="3">
        <v>0</v>
      </c>
      <c r="K2396" s="3">
        <v>0</v>
      </c>
      <c r="L2396" s="3" t="str">
        <f>IF(K2396&lt;-5,"CRÍTICO",IF(K2396&lt;0,"ATENÇÃO",IF(K2396&lt;=5,"BOM","EXCELENTE")))</f>
        <v>BOM</v>
      </c>
      <c r="M2396">
        <v>0</v>
      </c>
      <c r="N2396">
        <v>0</v>
      </c>
      <c r="O2396">
        <v>0</v>
      </c>
    </row>
    <row r="2397" spans="1:15" hidden="1" x14ac:dyDescent="0.25">
      <c r="A2397" s="11">
        <v>46076</v>
      </c>
      <c r="B2397" t="s">
        <v>21</v>
      </c>
      <c r="C2397" t="s">
        <v>16</v>
      </c>
      <c r="D2397">
        <v>0</v>
      </c>
      <c r="E2397">
        <v>0</v>
      </c>
      <c r="F2397">
        <v>0</v>
      </c>
      <c r="G2397">
        <v>0</v>
      </c>
      <c r="H2397">
        <v>0</v>
      </c>
      <c r="I2397" s="3">
        <v>0</v>
      </c>
      <c r="J2397" s="3">
        <v>0</v>
      </c>
      <c r="K2397" s="3">
        <v>0</v>
      </c>
      <c r="L2397" s="3" t="str">
        <f>IF(K2397&lt;-5,"CRÍTICO",IF(K2397&lt;0,"ATENÇÃO",IF(K2397&lt;=5,"BOM","EXCELENTE")))</f>
        <v>BOM</v>
      </c>
      <c r="M2397">
        <v>0</v>
      </c>
      <c r="N2397">
        <v>0</v>
      </c>
      <c r="O2397">
        <v>0</v>
      </c>
    </row>
    <row r="2398" spans="1:15" hidden="1" x14ac:dyDescent="0.25">
      <c r="A2398" s="11">
        <v>46076</v>
      </c>
      <c r="B2398" t="s">
        <v>63</v>
      </c>
      <c r="C2398" t="s">
        <v>23</v>
      </c>
      <c r="D2398">
        <v>0</v>
      </c>
      <c r="E2398">
        <v>0</v>
      </c>
      <c r="F2398">
        <v>0</v>
      </c>
      <c r="G2398">
        <v>0</v>
      </c>
      <c r="H2398">
        <v>0</v>
      </c>
      <c r="I2398" s="3">
        <v>0</v>
      </c>
      <c r="J2398" s="3">
        <v>0</v>
      </c>
      <c r="K2398" s="3">
        <v>0</v>
      </c>
      <c r="L2398" s="3" t="str">
        <f>IF(K2398&lt;-5,"CRÍTICO",IF(K2398&lt;0,"ATENÇÃO",IF(K2398&lt;=5,"BOM","EXCELENTE")))</f>
        <v>BOM</v>
      </c>
      <c r="M2398">
        <v>0</v>
      </c>
      <c r="N2398">
        <v>98.51</v>
      </c>
      <c r="O2398">
        <v>29.710144927536231</v>
      </c>
    </row>
    <row r="2399" spans="1:15" hidden="1" x14ac:dyDescent="0.25">
      <c r="A2399" s="11">
        <v>46076</v>
      </c>
      <c r="B2399" t="s">
        <v>45</v>
      </c>
      <c r="C2399" t="s">
        <v>32</v>
      </c>
      <c r="D2399">
        <v>32</v>
      </c>
      <c r="E2399">
        <v>28</v>
      </c>
      <c r="F2399">
        <v>18.55</v>
      </c>
      <c r="G2399">
        <v>0</v>
      </c>
      <c r="H2399">
        <v>0</v>
      </c>
      <c r="I2399" s="3">
        <f>E2399+G2399+H2399</f>
        <v>28</v>
      </c>
      <c r="J2399" s="3">
        <f>ROUND(MIN(IF(C2399="Técnico III",35,IF(C2399="Técnico II",28,IF(C2399="Técnico I",23,IF(C2399="JR",20,IF(C2399="Estágio",10,0))))),IF(C2399="Técnico III",SUMIFS($D:$D,$A:$A,$A2399,$B:$B,"&lt;&gt;Patrícia Karla de Sousa Araújo",$B:$B,"&lt;&gt;Lorena Dias de Araujo",$B:$B,"&lt;&gt;Lucas Luiz Romero")*(35/1083),IF(C2399="Técnico II",SUMIFS($D:$D,$A:$A,$A2399,$B:$B,"&lt;&gt;Patrícia Karla de Sousa Araújo",$B:$B,"&lt;&gt;Lorena Dias de Araujo",$B:$B,"&lt;&gt;Lucas Luiz Romero")*(28/1083),IF(C2399="Técnico I",SUMIFS($D:$D,$A:$A,$A2399,$B:$B,"&lt;&gt;Patrícia Karla de Sousa Araújo",$B:$B,"&lt;&gt;Lorena Dias de Araujo",$B:$B,"&lt;&gt;Lucas Luiz Romero")*(23/1083),IF(C2399="JR",SUMIFS($D:$D,$A:$A,$A2399,$B:$B,"&lt;&gt;Patrícia Karla de Sousa Araújo",$B:$B,"&lt;&gt;Lorena Dias de Araujo",$B:$B,"&lt;&gt;Lucas Luiz Romero")*(20/1083),IF(C2399="Estágio",SUMIFS($D:$D,$A:$A,$A2399,$B:$B,"&lt;&gt;Patrícia Karla de Sousa Araújo",$B:$B,"&lt;&gt;Lorena Dias de Araujo",$B:$B,"&lt;&gt;Lucas Luiz Romero")*(10/1083),0)))))),0)</f>
        <v>22</v>
      </c>
      <c r="K2399" s="3">
        <f>I2399-J2399</f>
        <v>6</v>
      </c>
      <c r="L2399" s="3" t="str">
        <f>IF(K2399&lt;-5,"CRÍTICO",IF(K2399&lt;0,"ATENÇÃO",IF(K2399&lt;=5,"BOM","EXCELENTE")))</f>
        <v>EXCELENTE</v>
      </c>
      <c r="M2399">
        <v>22</v>
      </c>
      <c r="N2399">
        <v>98.81</v>
      </c>
      <c r="O2399">
        <v>30.712979890310791</v>
      </c>
    </row>
    <row r="2400" spans="1:15" hidden="1" x14ac:dyDescent="0.25">
      <c r="A2400" s="11">
        <v>46076</v>
      </c>
      <c r="B2400" t="s">
        <v>64</v>
      </c>
      <c r="C2400" t="s">
        <v>23</v>
      </c>
      <c r="D2400">
        <v>12</v>
      </c>
      <c r="E2400">
        <v>11</v>
      </c>
      <c r="F2400">
        <v>36.4</v>
      </c>
      <c r="G2400">
        <v>0</v>
      </c>
      <c r="H2400">
        <v>0</v>
      </c>
      <c r="I2400" s="3">
        <f>E2400+G2400+H2400</f>
        <v>11</v>
      </c>
      <c r="J2400" s="3">
        <f>ROUND(MIN(IF(C2400="Técnico III",35,IF(C2400="Técnico II",28,IF(C2400="Técnico I",23,IF(C2400="JR",20,IF(C2400="Estágio",10,0))))),IF(C2400="Técnico III",SUMIFS($D:$D,$A:$A,$A2400,$B:$B,"&lt;&gt;Patrícia Karla de Sousa Araújo",$B:$B,"&lt;&gt;Lorena Dias de Araujo",$B:$B,"&lt;&gt;Lucas Luiz Romero")*(35/1083),IF(C2400="Técnico II",SUMIFS($D:$D,$A:$A,$A2400,$B:$B,"&lt;&gt;Patrícia Karla de Sousa Araújo",$B:$B,"&lt;&gt;Lorena Dias de Araujo",$B:$B,"&lt;&gt;Lucas Luiz Romero")*(28/1083),IF(C2400="Técnico I",SUMIFS($D:$D,$A:$A,$A2400,$B:$B,"&lt;&gt;Patrícia Karla de Sousa Araújo",$B:$B,"&lt;&gt;Lorena Dias de Araujo",$B:$B,"&lt;&gt;Lucas Luiz Romero")*(23/1083),IF(C2400="JR",SUMIFS($D:$D,$A:$A,$A2400,$B:$B,"&lt;&gt;Patrícia Karla de Sousa Araújo",$B:$B,"&lt;&gt;Lorena Dias de Araujo",$B:$B,"&lt;&gt;Lucas Luiz Romero")*(20/1083),IF(C2400="Estágio",SUMIFS($D:$D,$A:$A,$A2400,$B:$B,"&lt;&gt;Patrícia Karla de Sousa Araújo",$B:$B,"&lt;&gt;Lorena Dias de Araujo",$B:$B,"&lt;&gt;Lucas Luiz Romero")*(10/1083),0)))))),0)</f>
        <v>15</v>
      </c>
      <c r="K2400" s="3">
        <f>I2400-J2400</f>
        <v>-4</v>
      </c>
      <c r="L2400" s="3" t="str">
        <f>IF(K2400&lt;-5,"CRÍTICO",IF(K2400&lt;0,"ATENÇÃO",IF(K2400&lt;=5,"BOM","EXCELENTE")))</f>
        <v>ATENÇÃO</v>
      </c>
      <c r="M2400">
        <v>8</v>
      </c>
      <c r="N2400">
        <v>98.48</v>
      </c>
      <c r="O2400">
        <v>29.35323383084577</v>
      </c>
    </row>
    <row r="2401" spans="1:15" hidden="1" x14ac:dyDescent="0.25">
      <c r="A2401" s="11">
        <v>46076</v>
      </c>
      <c r="B2401" t="s">
        <v>46</v>
      </c>
      <c r="C2401" t="s">
        <v>32</v>
      </c>
      <c r="D2401">
        <v>28</v>
      </c>
      <c r="E2401">
        <v>28</v>
      </c>
      <c r="F2401">
        <v>22.24</v>
      </c>
      <c r="G2401">
        <v>0</v>
      </c>
      <c r="H2401">
        <v>0</v>
      </c>
      <c r="I2401" s="3">
        <f>E2401+G2401+H2401</f>
        <v>28</v>
      </c>
      <c r="J2401" s="3">
        <f>ROUND(MIN(IF(C2401="Técnico III",35,IF(C2401="Técnico II",28,IF(C2401="Técnico I",23,IF(C2401="JR",20,IF(C2401="Estágio",10,0))))),IF(C2401="Técnico III",SUMIFS($D:$D,$A:$A,$A2401,$B:$B,"&lt;&gt;Patrícia Karla de Sousa Araújo",$B:$B,"&lt;&gt;Lorena Dias de Araujo",$B:$B,"&lt;&gt;Lucas Luiz Romero")*(35/1083),IF(C2401="Técnico II",SUMIFS($D:$D,$A:$A,$A2401,$B:$B,"&lt;&gt;Patrícia Karla de Sousa Araújo",$B:$B,"&lt;&gt;Lorena Dias de Araujo",$B:$B,"&lt;&gt;Lucas Luiz Romero")*(28/1083),IF(C2401="Técnico I",SUMIFS($D:$D,$A:$A,$A2401,$B:$B,"&lt;&gt;Patrícia Karla de Sousa Araújo",$B:$B,"&lt;&gt;Lorena Dias de Araujo",$B:$B,"&lt;&gt;Lucas Luiz Romero")*(23/1083),IF(C2401="JR",SUMIFS($D:$D,$A:$A,$A2401,$B:$B,"&lt;&gt;Patrícia Karla de Sousa Araújo",$B:$B,"&lt;&gt;Lorena Dias de Araujo",$B:$B,"&lt;&gt;Lucas Luiz Romero")*(20/1083),IF(C2401="Estágio",SUMIFS($D:$D,$A:$A,$A2401,$B:$B,"&lt;&gt;Patrícia Karla de Sousa Araújo",$B:$B,"&lt;&gt;Lorena Dias de Araujo",$B:$B,"&lt;&gt;Lucas Luiz Romero")*(10/1083),0)))))),0)</f>
        <v>22</v>
      </c>
      <c r="K2401" s="3">
        <f>I2401-J2401</f>
        <v>6</v>
      </c>
      <c r="L2401" s="3" t="str">
        <f>IF(K2401&lt;-5,"CRÍTICO",IF(K2401&lt;0,"ATENÇÃO",IF(K2401&lt;=5,"BOM","EXCELENTE")))</f>
        <v>EXCELENTE</v>
      </c>
      <c r="M2401">
        <v>25</v>
      </c>
      <c r="N2401">
        <v>98.56</v>
      </c>
      <c r="O2401">
        <v>29.373650107991359</v>
      </c>
    </row>
    <row r="2402" spans="1:15" hidden="1" x14ac:dyDescent="0.25">
      <c r="A2402" s="11">
        <v>46077</v>
      </c>
      <c r="B2402" t="s">
        <v>47</v>
      </c>
      <c r="C2402" t="s">
        <v>48</v>
      </c>
      <c r="D2402">
        <v>21</v>
      </c>
      <c r="E2402">
        <v>19</v>
      </c>
      <c r="F2402">
        <v>27.09</v>
      </c>
      <c r="G2402">
        <v>0</v>
      </c>
      <c r="H2402">
        <v>0</v>
      </c>
      <c r="I2402" s="3">
        <f>E2402+G2402+H2402</f>
        <v>19</v>
      </c>
      <c r="J2402" s="3">
        <f>ROUND(MIN(IF(C2402="Técnico III",35,IF(C2402="Técnico II",28,IF(C2402="Técnico I",23,IF(C2402="JR",20,IF(C2402="Estágio",10,0))))),IF(C2402="Técnico III",SUMIFS($D:$D,$A:$A,$A2402,$B:$B,"&lt;&gt;Patrícia Karla de Sousa Araújo",$B:$B,"&lt;&gt;Lorena Dias de Araujo",$B:$B,"&lt;&gt;Lucas Luiz Romero")*(35/1083),IF(C2402="Técnico II",SUMIFS($D:$D,$A:$A,$A2402,$B:$B,"&lt;&gt;Patrícia Karla de Sousa Araújo",$B:$B,"&lt;&gt;Lorena Dias de Araujo",$B:$B,"&lt;&gt;Lucas Luiz Romero")*(28/1083),IF(C2402="Técnico I",SUMIFS($D:$D,$A:$A,$A2402,$B:$B,"&lt;&gt;Patrícia Karla de Sousa Araújo",$B:$B,"&lt;&gt;Lorena Dias de Araujo",$B:$B,"&lt;&gt;Lucas Luiz Romero")*(23/1083),IF(C2402="JR",SUMIFS($D:$D,$A:$A,$A2402,$B:$B,"&lt;&gt;Patrícia Karla de Sousa Araújo",$B:$B,"&lt;&gt;Lorena Dias de Araujo",$B:$B,"&lt;&gt;Lucas Luiz Romero")*(20/1083),IF(C2402="Estágio",SUMIFS($D:$D,$A:$A,$A2402,$B:$B,"&lt;&gt;Patrícia Karla de Sousa Araújo",$B:$B,"&lt;&gt;Lorena Dias de Araujo",$B:$B,"&lt;&gt;Lucas Luiz Romero")*(10/1083),0)))))),0)</f>
        <v>16</v>
      </c>
      <c r="K2402" s="3">
        <f>I2402-J2402</f>
        <v>3</v>
      </c>
      <c r="L2402" s="3" t="str">
        <f>IF(K2402&lt;-5,"CRÍTICO",IF(K2402&lt;0,"ATENÇÃO",IF(K2402&lt;=5,"BOM","EXCELENTE")))</f>
        <v>BOM</v>
      </c>
      <c r="M2402">
        <v>12</v>
      </c>
      <c r="N2402">
        <v>98.32</v>
      </c>
      <c r="O2402">
        <v>30.303030303030301</v>
      </c>
    </row>
    <row r="2403" spans="1:15" hidden="1" x14ac:dyDescent="0.25">
      <c r="A2403" s="11">
        <v>46077</v>
      </c>
      <c r="B2403" t="s">
        <v>31</v>
      </c>
      <c r="C2403" t="s">
        <v>32</v>
      </c>
      <c r="D2403">
        <v>0</v>
      </c>
      <c r="E2403">
        <v>0</v>
      </c>
      <c r="F2403">
        <v>0</v>
      </c>
      <c r="G2403">
        <v>0</v>
      </c>
      <c r="H2403">
        <v>0</v>
      </c>
      <c r="I2403" s="3">
        <v>0</v>
      </c>
      <c r="J2403" s="3">
        <v>0</v>
      </c>
      <c r="K2403" s="3">
        <v>0</v>
      </c>
      <c r="L2403" s="3" t="str">
        <f>IF(K2403&lt;-5,"CRÍTICO",IF(K2403&lt;0,"ATENÇÃO",IF(K2403&lt;=5,"BOM","EXCELENTE")))</f>
        <v>BOM</v>
      </c>
      <c r="M2403">
        <v>25</v>
      </c>
      <c r="N2403">
        <v>98.68</v>
      </c>
      <c r="O2403">
        <v>26.219512195121951</v>
      </c>
    </row>
    <row r="2404" spans="1:15" hidden="1" x14ac:dyDescent="0.25">
      <c r="A2404" s="11">
        <v>46077</v>
      </c>
      <c r="B2404" t="s">
        <v>59</v>
      </c>
      <c r="C2404" t="s">
        <v>23</v>
      </c>
      <c r="D2404">
        <v>18</v>
      </c>
      <c r="E2404">
        <v>17</v>
      </c>
      <c r="F2404">
        <v>35.18</v>
      </c>
      <c r="G2404">
        <v>0</v>
      </c>
      <c r="H2404">
        <v>0</v>
      </c>
      <c r="I2404" s="3">
        <f>E2404+G2404+H2404</f>
        <v>17</v>
      </c>
      <c r="J2404" s="3">
        <f>ROUND(MIN(IF(C2404="Técnico III",35,IF(C2404="Técnico II",28,IF(C2404="Técnico I",23,IF(C2404="JR",20,IF(C2404="Estágio",10,0))))),IF(C2404="Técnico III",SUMIFS($D:$D,$A:$A,$A2404,$B:$B,"&lt;&gt;Patrícia Karla de Sousa Araújo",$B:$B,"&lt;&gt;Lorena Dias de Araujo",$B:$B,"&lt;&gt;Lucas Luiz Romero")*(35/1083),IF(C2404="Técnico II",SUMIFS($D:$D,$A:$A,$A2404,$B:$B,"&lt;&gt;Patrícia Karla de Sousa Araújo",$B:$B,"&lt;&gt;Lorena Dias de Araujo",$B:$B,"&lt;&gt;Lucas Luiz Romero")*(28/1083),IF(C2404="Técnico I",SUMIFS($D:$D,$A:$A,$A2404,$B:$B,"&lt;&gt;Patrícia Karla de Sousa Araújo",$B:$B,"&lt;&gt;Lorena Dias de Araujo",$B:$B,"&lt;&gt;Lucas Luiz Romero")*(23/1083),IF(C2404="JR",SUMIFS($D:$D,$A:$A,$A2404,$B:$B,"&lt;&gt;Patrícia Karla de Sousa Araújo",$B:$B,"&lt;&gt;Lorena Dias de Araujo",$B:$B,"&lt;&gt;Lucas Luiz Romero")*(20/1083),IF(C2404="Estágio",SUMIFS($D:$D,$A:$A,$A2404,$B:$B,"&lt;&gt;Patrícia Karla de Sousa Araújo",$B:$B,"&lt;&gt;Lorena Dias de Araujo",$B:$B,"&lt;&gt;Lucas Luiz Romero")*(10/1083),0)))))),0)</f>
        <v>13</v>
      </c>
      <c r="K2404" s="3">
        <f>I2404-J2404</f>
        <v>4</v>
      </c>
      <c r="L2404" s="3" t="str">
        <f>IF(K2404&lt;-5,"CRÍTICO",IF(K2404&lt;0,"ATENÇÃO",IF(K2404&lt;=5,"BOM","EXCELENTE")))</f>
        <v>BOM</v>
      </c>
      <c r="M2404">
        <v>17</v>
      </c>
      <c r="N2404">
        <v>100</v>
      </c>
      <c r="O2404">
        <v>31.74224343675418</v>
      </c>
    </row>
    <row r="2405" spans="1:15" hidden="1" x14ac:dyDescent="0.25">
      <c r="A2405" s="11">
        <v>46077</v>
      </c>
      <c r="B2405" t="s">
        <v>33</v>
      </c>
      <c r="C2405" t="s">
        <v>32</v>
      </c>
      <c r="D2405">
        <v>18</v>
      </c>
      <c r="E2405">
        <v>17</v>
      </c>
      <c r="F2405">
        <v>38.44</v>
      </c>
      <c r="G2405">
        <v>0</v>
      </c>
      <c r="H2405">
        <v>0</v>
      </c>
      <c r="I2405" s="3">
        <f>E2405+G2405+H2405</f>
        <v>17</v>
      </c>
      <c r="J2405" s="3">
        <f>ROUND(MIN(IF(C2405="Técnico III",35,IF(C2405="Técnico II",28,IF(C2405="Técnico I",23,IF(C2405="JR",20,IF(C2405="Estágio",10,0))))),IF(C2405="Técnico III",SUMIFS($D:$D,$A:$A,$A2405,$B:$B,"&lt;&gt;Patrícia Karla de Sousa Araújo",$B:$B,"&lt;&gt;Lorena Dias de Araujo",$B:$B,"&lt;&gt;Lucas Luiz Romero")*(35/1083),IF(C2405="Técnico II",SUMIFS($D:$D,$A:$A,$A2405,$B:$B,"&lt;&gt;Patrícia Karla de Sousa Araújo",$B:$B,"&lt;&gt;Lorena Dias de Araujo",$B:$B,"&lt;&gt;Lucas Luiz Romero")*(28/1083),IF(C2405="Técnico I",SUMIFS($D:$D,$A:$A,$A2405,$B:$B,"&lt;&gt;Patrícia Karla de Sousa Araújo",$B:$B,"&lt;&gt;Lorena Dias de Araujo",$B:$B,"&lt;&gt;Lucas Luiz Romero")*(23/1083),IF(C2405="JR",SUMIFS($D:$D,$A:$A,$A2405,$B:$B,"&lt;&gt;Patrícia Karla de Sousa Araújo",$B:$B,"&lt;&gt;Lorena Dias de Araujo",$B:$B,"&lt;&gt;Lucas Luiz Romero")*(20/1083),IF(C2405="Estágio",SUMIFS($D:$D,$A:$A,$A2405,$B:$B,"&lt;&gt;Patrícia Karla de Sousa Araújo",$B:$B,"&lt;&gt;Lorena Dias de Araujo",$B:$B,"&lt;&gt;Lucas Luiz Romero")*(10/1083),0)))))),0)</f>
        <v>20</v>
      </c>
      <c r="K2405" s="3">
        <f>I2405-J2405</f>
        <v>-3</v>
      </c>
      <c r="L2405" s="3" t="str">
        <f>IF(K2405&lt;-5,"CRÍTICO",IF(K2405&lt;0,"ATENÇÃO",IF(K2405&lt;=5,"BOM","EXCELENTE")))</f>
        <v>ATENÇÃO</v>
      </c>
      <c r="M2405">
        <v>16</v>
      </c>
      <c r="N2405">
        <v>98.25</v>
      </c>
      <c r="O2405">
        <v>25.83518930957684</v>
      </c>
    </row>
    <row r="2406" spans="1:15" hidden="1" x14ac:dyDescent="0.25">
      <c r="A2406" s="11">
        <v>46077</v>
      </c>
      <c r="B2406" t="s">
        <v>15</v>
      </c>
      <c r="C2406" t="s">
        <v>16</v>
      </c>
      <c r="D2406">
        <v>16</v>
      </c>
      <c r="E2406">
        <v>15</v>
      </c>
      <c r="F2406">
        <v>38.479999999999997</v>
      </c>
      <c r="G2406">
        <v>0</v>
      </c>
      <c r="H2406">
        <v>0</v>
      </c>
      <c r="I2406" s="3">
        <f>E2406+G2406+H2406</f>
        <v>15</v>
      </c>
      <c r="J2406" s="3">
        <f>ROUND(MIN(IF(C2406="Técnico III",35,IF(C2406="Técnico II",28,IF(C2406="Técnico I",23,IF(C2406="JR",20,IF(C2406="Estágio",10,0))))),IF(C2406="Técnico III",SUMIFS($D:$D,$A:$A,$A2406,$B:$B,"&lt;&gt;Patrícia Karla de Sousa Araújo",$B:$B,"&lt;&gt;Lorena Dias de Araujo",$B:$B,"&lt;&gt;Lucas Luiz Romero")*(35/1083),IF(C2406="Técnico II",SUMIFS($D:$D,$A:$A,$A2406,$B:$B,"&lt;&gt;Patrícia Karla de Sousa Araújo",$B:$B,"&lt;&gt;Lorena Dias de Araujo",$B:$B,"&lt;&gt;Lucas Luiz Romero")*(28/1083),IF(C2406="Técnico I",SUMIFS($D:$D,$A:$A,$A2406,$B:$B,"&lt;&gt;Patrícia Karla de Sousa Araújo",$B:$B,"&lt;&gt;Lorena Dias de Araujo",$B:$B,"&lt;&gt;Lucas Luiz Romero")*(23/1083),IF(C2406="JR",SUMIFS($D:$D,$A:$A,$A2406,$B:$B,"&lt;&gt;Patrícia Karla de Sousa Araújo",$B:$B,"&lt;&gt;Lorena Dias de Araujo",$B:$B,"&lt;&gt;Lucas Luiz Romero")*(20/1083),IF(C2406="Estágio",SUMIFS($D:$D,$A:$A,$A2406,$B:$B,"&lt;&gt;Patrícia Karla de Sousa Araújo",$B:$B,"&lt;&gt;Lorena Dias de Araujo",$B:$B,"&lt;&gt;Lucas Luiz Romero")*(10/1083),0)))))),0)</f>
        <v>6</v>
      </c>
      <c r="K2406" s="3">
        <f>I2406-J2406</f>
        <v>9</v>
      </c>
      <c r="L2406" s="3" t="str">
        <f>IF(K2406&lt;-5,"CRÍTICO",IF(K2406&lt;0,"ATENÇÃO",IF(K2406&lt;=5,"BOM","EXCELENTE")))</f>
        <v>EXCELENTE</v>
      </c>
      <c r="M2406">
        <v>13</v>
      </c>
      <c r="N2406">
        <v>97.5</v>
      </c>
      <c r="O2406">
        <v>30.075187969924809</v>
      </c>
    </row>
    <row r="2407" spans="1:15" hidden="1" x14ac:dyDescent="0.25">
      <c r="A2407" s="11">
        <v>46077</v>
      </c>
      <c r="B2407" t="s">
        <v>49</v>
      </c>
      <c r="C2407" t="s">
        <v>48</v>
      </c>
      <c r="D2407">
        <v>19</v>
      </c>
      <c r="E2407">
        <v>17</v>
      </c>
      <c r="F2407">
        <v>21.57</v>
      </c>
      <c r="G2407">
        <v>0</v>
      </c>
      <c r="H2407">
        <v>0</v>
      </c>
      <c r="I2407" s="3">
        <f>E2407+G2407+H2407</f>
        <v>17</v>
      </c>
      <c r="J2407" s="3">
        <f>ROUND(MIN(IF(C2407="Técnico III",35,IF(C2407="Técnico II",28,IF(C2407="Técnico I",23,IF(C2407="JR",20,IF(C2407="Estágio",10,0))))),IF(C2407="Técnico III",SUMIFS($D:$D,$A:$A,$A2407,$B:$B,"&lt;&gt;Patrícia Karla de Sousa Araújo",$B:$B,"&lt;&gt;Lorena Dias de Araujo",$B:$B,"&lt;&gt;Lucas Luiz Romero")*(35/1083),IF(C2407="Técnico II",SUMIFS($D:$D,$A:$A,$A2407,$B:$B,"&lt;&gt;Patrícia Karla de Sousa Araújo",$B:$B,"&lt;&gt;Lorena Dias de Araujo",$B:$B,"&lt;&gt;Lucas Luiz Romero")*(28/1083),IF(C2407="Técnico I",SUMIFS($D:$D,$A:$A,$A2407,$B:$B,"&lt;&gt;Patrícia Karla de Sousa Araújo",$B:$B,"&lt;&gt;Lorena Dias de Araujo",$B:$B,"&lt;&gt;Lucas Luiz Romero")*(23/1083),IF(C2407="JR",SUMIFS($D:$D,$A:$A,$A2407,$B:$B,"&lt;&gt;Patrícia Karla de Sousa Araújo",$B:$B,"&lt;&gt;Lorena Dias de Araujo",$B:$B,"&lt;&gt;Lucas Luiz Romero")*(20/1083),IF(C2407="Estágio",SUMIFS($D:$D,$A:$A,$A2407,$B:$B,"&lt;&gt;Patrícia Karla de Sousa Araújo",$B:$B,"&lt;&gt;Lorena Dias de Araujo",$B:$B,"&lt;&gt;Lucas Luiz Romero")*(10/1083),0)))))),0)</f>
        <v>16</v>
      </c>
      <c r="K2407" s="3">
        <f>I2407-J2407</f>
        <v>1</v>
      </c>
      <c r="L2407" s="3" t="str">
        <f>IF(K2407&lt;-5,"CRÍTICO",IF(K2407&lt;0,"ATENÇÃO",IF(K2407&lt;=5,"BOM","EXCELENTE")))</f>
        <v>BOM</v>
      </c>
      <c r="M2407">
        <v>16</v>
      </c>
      <c r="N2407">
        <v>100</v>
      </c>
      <c r="O2407">
        <v>29.71311475409836</v>
      </c>
    </row>
    <row r="2408" spans="1:15" hidden="1" x14ac:dyDescent="0.25">
      <c r="A2408" s="11">
        <v>46077</v>
      </c>
      <c r="B2408" t="s">
        <v>50</v>
      </c>
      <c r="C2408" t="s">
        <v>48</v>
      </c>
      <c r="D2408">
        <v>5</v>
      </c>
      <c r="E2408">
        <v>5</v>
      </c>
      <c r="F2408">
        <v>39.090000000000003</v>
      </c>
      <c r="G2408">
        <v>0</v>
      </c>
      <c r="H2408">
        <v>0</v>
      </c>
      <c r="I2408" s="3">
        <f>E2408+G2408+H2408</f>
        <v>5</v>
      </c>
      <c r="J2408" s="3">
        <f>ROUND(MIN(IF(C2408="Técnico III",35,IF(C2408="Técnico II",28,IF(C2408="Técnico I",23,IF(C2408="JR",20,IF(C2408="Estágio",10,0))))),IF(C2408="Técnico III",SUMIFS($D:$D,$A:$A,$A2408,$B:$B,"&lt;&gt;Patrícia Karla de Sousa Araújo",$B:$B,"&lt;&gt;Lorena Dias de Araujo",$B:$B,"&lt;&gt;Lucas Luiz Romero")*(35/1083),IF(C2408="Técnico II",SUMIFS($D:$D,$A:$A,$A2408,$B:$B,"&lt;&gt;Patrícia Karla de Sousa Araújo",$B:$B,"&lt;&gt;Lorena Dias de Araujo",$B:$B,"&lt;&gt;Lucas Luiz Romero")*(28/1083),IF(C2408="Técnico I",SUMIFS($D:$D,$A:$A,$A2408,$B:$B,"&lt;&gt;Patrícia Karla de Sousa Araújo",$B:$B,"&lt;&gt;Lorena Dias de Araujo",$B:$B,"&lt;&gt;Lucas Luiz Romero")*(23/1083),IF(C2408="JR",SUMIFS($D:$D,$A:$A,$A2408,$B:$B,"&lt;&gt;Patrícia Karla de Sousa Araújo",$B:$B,"&lt;&gt;Lorena Dias de Araujo",$B:$B,"&lt;&gt;Lucas Luiz Romero")*(20/1083),IF(C2408="Estágio",SUMIFS($D:$D,$A:$A,$A2408,$B:$B,"&lt;&gt;Patrícia Karla de Sousa Araújo",$B:$B,"&lt;&gt;Lorena Dias de Araujo",$B:$B,"&lt;&gt;Lucas Luiz Romero")*(10/1083),0)))))),0)</f>
        <v>16</v>
      </c>
      <c r="K2408" s="3">
        <f>I2408-J2408</f>
        <v>-11</v>
      </c>
      <c r="L2408" s="3" t="str">
        <f>IF(K2408&lt;-5,"CRÍTICO",IF(K2408&lt;0,"ATENÇÃO",IF(K2408&lt;=5,"BOM","EXCELENTE")))</f>
        <v>CRÍTICO</v>
      </c>
      <c r="M2408">
        <v>5</v>
      </c>
      <c r="N2408">
        <v>99.22</v>
      </c>
      <c r="O2408">
        <v>35.256410256410263</v>
      </c>
    </row>
    <row r="2409" spans="1:15" hidden="1" x14ac:dyDescent="0.25">
      <c r="A2409" s="11">
        <v>46077</v>
      </c>
      <c r="B2409" t="s">
        <v>17</v>
      </c>
      <c r="C2409" t="s">
        <v>16</v>
      </c>
      <c r="D2409">
        <v>0</v>
      </c>
      <c r="E2409">
        <v>0</v>
      </c>
      <c r="F2409">
        <v>0</v>
      </c>
      <c r="G2409">
        <v>0</v>
      </c>
      <c r="H2409">
        <v>0</v>
      </c>
      <c r="I2409" s="3">
        <v>0</v>
      </c>
      <c r="J2409" s="3">
        <v>0</v>
      </c>
      <c r="K2409" s="3">
        <v>0</v>
      </c>
      <c r="L2409" s="3" t="str">
        <f>IF(K2409&lt;-5,"CRÍTICO",IF(K2409&lt;0,"ATENÇÃO",IF(K2409&lt;=5,"BOM","EXCELENTE")))</f>
        <v>BOM</v>
      </c>
      <c r="M2409">
        <v>0</v>
      </c>
      <c r="N2409">
        <v>0</v>
      </c>
      <c r="O2409">
        <v>0</v>
      </c>
    </row>
    <row r="2410" spans="1:15" hidden="1" x14ac:dyDescent="0.25">
      <c r="A2410" s="11">
        <v>46077</v>
      </c>
      <c r="B2410" t="s">
        <v>60</v>
      </c>
      <c r="C2410" t="s">
        <v>23</v>
      </c>
      <c r="D2410">
        <v>27</v>
      </c>
      <c r="E2410">
        <v>23</v>
      </c>
      <c r="F2410">
        <v>22.39</v>
      </c>
      <c r="G2410">
        <v>0</v>
      </c>
      <c r="H2410">
        <v>0</v>
      </c>
      <c r="I2410" s="3">
        <f>E2410+G2410+H2410</f>
        <v>23</v>
      </c>
      <c r="J2410" s="3">
        <f>ROUND(MIN(IF(C2410="Técnico III",35,IF(C2410="Técnico II",28,IF(C2410="Técnico I",23,IF(C2410="JR",20,IF(C2410="Estágio",10,0))))),IF(C2410="Técnico III",SUMIFS($D:$D,$A:$A,$A2410,$B:$B,"&lt;&gt;Patrícia Karla de Sousa Araújo",$B:$B,"&lt;&gt;Lorena Dias de Araujo",$B:$B,"&lt;&gt;Lucas Luiz Romero")*(35/1083),IF(C2410="Técnico II",SUMIFS($D:$D,$A:$A,$A2410,$B:$B,"&lt;&gt;Patrícia Karla de Sousa Araújo",$B:$B,"&lt;&gt;Lorena Dias de Araujo",$B:$B,"&lt;&gt;Lucas Luiz Romero")*(28/1083),IF(C2410="Técnico I",SUMIFS($D:$D,$A:$A,$A2410,$B:$B,"&lt;&gt;Patrícia Karla de Sousa Araújo",$B:$B,"&lt;&gt;Lorena Dias de Araujo",$B:$B,"&lt;&gt;Lucas Luiz Romero")*(23/1083),IF(C2410="JR",SUMIFS($D:$D,$A:$A,$A2410,$B:$B,"&lt;&gt;Patrícia Karla de Sousa Araújo",$B:$B,"&lt;&gt;Lorena Dias de Araujo",$B:$B,"&lt;&gt;Lucas Luiz Romero")*(20/1083),IF(C2410="Estágio",SUMIFS($D:$D,$A:$A,$A2410,$B:$B,"&lt;&gt;Patrícia Karla de Sousa Araújo",$B:$B,"&lt;&gt;Lorena Dias de Araujo",$B:$B,"&lt;&gt;Lucas Luiz Romero")*(10/1083),0)))))),0)</f>
        <v>13</v>
      </c>
      <c r="K2410" s="3">
        <f>I2410-J2410</f>
        <v>10</v>
      </c>
      <c r="L2410" s="3" t="str">
        <f>IF(K2410&lt;-5,"CRÍTICO",IF(K2410&lt;0,"ATENÇÃO",IF(K2410&lt;=5,"BOM","EXCELENTE")))</f>
        <v>EXCELENTE</v>
      </c>
      <c r="M2410">
        <v>23</v>
      </c>
      <c r="N2410">
        <v>98.75</v>
      </c>
      <c r="O2410">
        <v>24.32432432432433</v>
      </c>
    </row>
    <row r="2411" spans="1:15" hidden="1" x14ac:dyDescent="0.25">
      <c r="A2411" s="11">
        <v>46077</v>
      </c>
      <c r="B2411" t="s">
        <v>34</v>
      </c>
      <c r="C2411" t="s">
        <v>32</v>
      </c>
      <c r="D2411">
        <v>0</v>
      </c>
      <c r="E2411">
        <v>0</v>
      </c>
      <c r="F2411">
        <v>0</v>
      </c>
      <c r="G2411">
        <v>0</v>
      </c>
      <c r="H2411">
        <v>0</v>
      </c>
      <c r="I2411" s="3">
        <v>0</v>
      </c>
      <c r="J2411" s="3">
        <v>0</v>
      </c>
      <c r="K2411" s="3">
        <v>0</v>
      </c>
      <c r="L2411" s="3" t="str">
        <f>IF(K2411&lt;-5,"CRÍTICO",IF(K2411&lt;0,"ATENÇÃO",IF(K2411&lt;=5,"BOM","EXCELENTE")))</f>
        <v>BOM</v>
      </c>
      <c r="M2411">
        <v>0</v>
      </c>
      <c r="N2411">
        <v>93.48</v>
      </c>
      <c r="O2411">
        <v>31.52804642166344</v>
      </c>
    </row>
    <row r="2412" spans="1:15" hidden="1" x14ac:dyDescent="0.25">
      <c r="A2412" s="11">
        <v>46077</v>
      </c>
      <c r="B2412" t="s">
        <v>51</v>
      </c>
      <c r="C2412" t="s">
        <v>48</v>
      </c>
      <c r="D2412">
        <v>35</v>
      </c>
      <c r="E2412">
        <v>30</v>
      </c>
      <c r="F2412">
        <v>20.47</v>
      </c>
      <c r="G2412">
        <v>0</v>
      </c>
      <c r="H2412">
        <v>0</v>
      </c>
      <c r="I2412" s="3">
        <v>0</v>
      </c>
      <c r="J2412" s="3">
        <v>0</v>
      </c>
      <c r="K2412" s="3">
        <v>0</v>
      </c>
      <c r="L2412" s="3" t="str">
        <f>IF(K2412&lt;-5,"CRÍTICO",IF(K2412&lt;0,"ATENÇÃO",IF(K2412&lt;=5,"BOM","EXCELENTE")))</f>
        <v>BOM</v>
      </c>
      <c r="M2412">
        <v>25</v>
      </c>
      <c r="N2412">
        <v>99.16</v>
      </c>
      <c r="O2412">
        <v>26.13908872901678</v>
      </c>
    </row>
    <row r="2413" spans="1:15" hidden="1" x14ac:dyDescent="0.25">
      <c r="A2413" s="11">
        <v>46077</v>
      </c>
      <c r="B2413" t="s">
        <v>61</v>
      </c>
      <c r="C2413" t="s">
        <v>23</v>
      </c>
      <c r="D2413">
        <v>18</v>
      </c>
      <c r="E2413">
        <v>17</v>
      </c>
      <c r="F2413">
        <v>38.31</v>
      </c>
      <c r="G2413">
        <v>0</v>
      </c>
      <c r="H2413">
        <v>0</v>
      </c>
      <c r="I2413" s="3">
        <f>E2413+G2413+H2413</f>
        <v>17</v>
      </c>
      <c r="J2413" s="3">
        <f>ROUND(MIN(IF(C2413="Técnico III",35,IF(C2413="Técnico II",28,IF(C2413="Técnico I",23,IF(C2413="JR",20,IF(C2413="Estágio",10,0))))),IF(C2413="Técnico III",SUMIFS($D:$D,$A:$A,$A2413,$B:$B,"&lt;&gt;Patrícia Karla de Sousa Araújo",$B:$B,"&lt;&gt;Lorena Dias de Araujo",$B:$B,"&lt;&gt;Lucas Luiz Romero")*(35/1083),IF(C2413="Técnico II",SUMIFS($D:$D,$A:$A,$A2413,$B:$B,"&lt;&gt;Patrícia Karla de Sousa Araújo",$B:$B,"&lt;&gt;Lorena Dias de Araujo",$B:$B,"&lt;&gt;Lucas Luiz Romero")*(28/1083),IF(C2413="Técnico I",SUMIFS($D:$D,$A:$A,$A2413,$B:$B,"&lt;&gt;Patrícia Karla de Sousa Araújo",$B:$B,"&lt;&gt;Lorena Dias de Araujo",$B:$B,"&lt;&gt;Lucas Luiz Romero")*(23/1083),IF(C2413="JR",SUMIFS($D:$D,$A:$A,$A2413,$B:$B,"&lt;&gt;Patrícia Karla de Sousa Araújo",$B:$B,"&lt;&gt;Lorena Dias de Araujo",$B:$B,"&lt;&gt;Lucas Luiz Romero")*(20/1083),IF(C2413="Estágio",SUMIFS($D:$D,$A:$A,$A2413,$B:$B,"&lt;&gt;Patrícia Karla de Sousa Araújo",$B:$B,"&lt;&gt;Lorena Dias de Araujo",$B:$B,"&lt;&gt;Lucas Luiz Romero")*(10/1083),0)))))),0)</f>
        <v>13</v>
      </c>
      <c r="K2413" s="3">
        <f>I2413-J2413</f>
        <v>4</v>
      </c>
      <c r="L2413" s="3" t="str">
        <f>IF(K2413&lt;-5,"CRÍTICO",IF(K2413&lt;0,"ATENÇÃO",IF(K2413&lt;=5,"BOM","EXCELENTE")))</f>
        <v>BOM</v>
      </c>
      <c r="M2413">
        <v>11</v>
      </c>
      <c r="N2413">
        <v>100</v>
      </c>
      <c r="O2413">
        <v>31.089743589743591</v>
      </c>
    </row>
    <row r="2414" spans="1:15" hidden="1" x14ac:dyDescent="0.25">
      <c r="A2414" s="11">
        <v>46077</v>
      </c>
      <c r="B2414" t="s">
        <v>35</v>
      </c>
      <c r="C2414" t="s">
        <v>32</v>
      </c>
      <c r="D2414">
        <v>16</v>
      </c>
      <c r="E2414">
        <v>16</v>
      </c>
      <c r="F2414">
        <v>50.52</v>
      </c>
      <c r="G2414">
        <v>0</v>
      </c>
      <c r="H2414">
        <v>0</v>
      </c>
      <c r="I2414" s="3">
        <v>0</v>
      </c>
      <c r="J2414" s="3">
        <v>0</v>
      </c>
      <c r="K2414" s="3">
        <v>0</v>
      </c>
      <c r="L2414" s="3" t="str">
        <f>IF(K2414&lt;-5,"CRÍTICO",IF(K2414&lt;0,"ATENÇÃO",IF(K2414&lt;=5,"BOM","EXCELENTE")))</f>
        <v>BOM</v>
      </c>
      <c r="M2414">
        <v>14</v>
      </c>
      <c r="N2414">
        <v>98.11</v>
      </c>
      <c r="O2414">
        <v>33.033707865168537</v>
      </c>
    </row>
    <row r="2415" spans="1:15" hidden="1" x14ac:dyDescent="0.25">
      <c r="A2415" s="11">
        <v>46077</v>
      </c>
      <c r="B2415" t="s">
        <v>18</v>
      </c>
      <c r="C2415" t="s">
        <v>16</v>
      </c>
      <c r="D2415">
        <v>8</v>
      </c>
      <c r="E2415">
        <v>8</v>
      </c>
      <c r="F2415">
        <v>55.14</v>
      </c>
      <c r="G2415">
        <v>0</v>
      </c>
      <c r="H2415">
        <v>0</v>
      </c>
      <c r="I2415" s="3">
        <f>E2415+G2415+H2415</f>
        <v>8</v>
      </c>
      <c r="J2415" s="3">
        <f>ROUND(MIN(IF(C2415="Técnico III",35,IF(C2415="Técnico II",28,IF(C2415="Técnico I",23,IF(C2415="JR",20,IF(C2415="Estágio",10,0))))),IF(C2415="Técnico III",SUMIFS($D:$D,$A:$A,$A2415,$B:$B,"&lt;&gt;Patrícia Karla de Sousa Araújo",$B:$B,"&lt;&gt;Lorena Dias de Araujo",$B:$B,"&lt;&gt;Lucas Luiz Romero")*(35/1083),IF(C2415="Técnico II",SUMIFS($D:$D,$A:$A,$A2415,$B:$B,"&lt;&gt;Patrícia Karla de Sousa Araújo",$B:$B,"&lt;&gt;Lorena Dias de Araujo",$B:$B,"&lt;&gt;Lucas Luiz Romero")*(28/1083),IF(C2415="Técnico I",SUMIFS($D:$D,$A:$A,$A2415,$B:$B,"&lt;&gt;Patrícia Karla de Sousa Araújo",$B:$B,"&lt;&gt;Lorena Dias de Araujo",$B:$B,"&lt;&gt;Lucas Luiz Romero")*(23/1083),IF(C2415="JR",SUMIFS($D:$D,$A:$A,$A2415,$B:$B,"&lt;&gt;Patrícia Karla de Sousa Araújo",$B:$B,"&lt;&gt;Lorena Dias de Araujo",$B:$B,"&lt;&gt;Lucas Luiz Romero")*(20/1083),IF(C2415="Estágio",SUMIFS($D:$D,$A:$A,$A2415,$B:$B,"&lt;&gt;Patrícia Karla de Sousa Araújo",$B:$B,"&lt;&gt;Lorena Dias de Araujo",$B:$B,"&lt;&gt;Lucas Luiz Romero")*(10/1083),0)))))),0)</f>
        <v>6</v>
      </c>
      <c r="K2415" s="3">
        <f>I2415-J2415</f>
        <v>2</v>
      </c>
      <c r="L2415" s="3" t="str">
        <f>IF(K2415&lt;-5,"CRÍTICO",IF(K2415&lt;0,"ATENÇÃO",IF(K2415&lt;=5,"BOM","EXCELENTE")))</f>
        <v>BOM</v>
      </c>
      <c r="M2415">
        <v>5</v>
      </c>
      <c r="N2415">
        <v>78.95</v>
      </c>
      <c r="O2415">
        <v>38.983050847457633</v>
      </c>
    </row>
    <row r="2416" spans="1:15" hidden="1" x14ac:dyDescent="0.25">
      <c r="A2416" s="11">
        <v>46077</v>
      </c>
      <c r="B2416" t="s">
        <v>52</v>
      </c>
      <c r="C2416" t="s">
        <v>48</v>
      </c>
      <c r="D2416">
        <v>13</v>
      </c>
      <c r="E2416">
        <v>12</v>
      </c>
      <c r="F2416">
        <v>43.46</v>
      </c>
      <c r="G2416">
        <v>0</v>
      </c>
      <c r="H2416">
        <v>0</v>
      </c>
      <c r="I2416" s="3">
        <f>E2416+G2416+H2416</f>
        <v>12</v>
      </c>
      <c r="J2416" s="3">
        <f>ROUND(MIN(IF(C2416="Técnico III",35,IF(C2416="Técnico II",28,IF(C2416="Técnico I",23,IF(C2416="JR",20,IF(C2416="Estágio",10,0))))),IF(C2416="Técnico III",SUMIFS($D:$D,$A:$A,$A2416,$B:$B,"&lt;&gt;Patrícia Karla de Sousa Araújo",$B:$B,"&lt;&gt;Lorena Dias de Araujo",$B:$B,"&lt;&gt;Lucas Luiz Romero")*(35/1083),IF(C2416="Técnico II",SUMIFS($D:$D,$A:$A,$A2416,$B:$B,"&lt;&gt;Patrícia Karla de Sousa Araújo",$B:$B,"&lt;&gt;Lorena Dias de Araujo",$B:$B,"&lt;&gt;Lucas Luiz Romero")*(28/1083),IF(C2416="Técnico I",SUMIFS($D:$D,$A:$A,$A2416,$B:$B,"&lt;&gt;Patrícia Karla de Sousa Araújo",$B:$B,"&lt;&gt;Lorena Dias de Araujo",$B:$B,"&lt;&gt;Lucas Luiz Romero")*(23/1083),IF(C2416="JR",SUMIFS($D:$D,$A:$A,$A2416,$B:$B,"&lt;&gt;Patrícia Karla de Sousa Araújo",$B:$B,"&lt;&gt;Lorena Dias de Araujo",$B:$B,"&lt;&gt;Lucas Luiz Romero")*(20/1083),IF(C2416="Estágio",SUMIFS($D:$D,$A:$A,$A2416,$B:$B,"&lt;&gt;Patrícia Karla de Sousa Araújo",$B:$B,"&lt;&gt;Lorena Dias de Araujo",$B:$B,"&lt;&gt;Lucas Luiz Romero")*(10/1083),0)))))),0)</f>
        <v>16</v>
      </c>
      <c r="K2416" s="3">
        <f>I2416-J2416</f>
        <v>-4</v>
      </c>
      <c r="L2416" s="3" t="str">
        <f>IF(K2416&lt;-5,"CRÍTICO",IF(K2416&lt;0,"ATENÇÃO",IF(K2416&lt;=5,"BOM","EXCELENTE")))</f>
        <v>ATENÇÃO</v>
      </c>
      <c r="M2416">
        <v>13</v>
      </c>
      <c r="N2416">
        <v>98.45</v>
      </c>
      <c r="O2416">
        <v>29.281767955801101</v>
      </c>
    </row>
    <row r="2417" spans="1:15" hidden="1" x14ac:dyDescent="0.25">
      <c r="A2417" s="11">
        <v>46077</v>
      </c>
      <c r="B2417" t="s">
        <v>36</v>
      </c>
      <c r="C2417" t="s">
        <v>32</v>
      </c>
      <c r="D2417">
        <v>27</v>
      </c>
      <c r="E2417">
        <v>26</v>
      </c>
      <c r="F2417">
        <v>22.26</v>
      </c>
      <c r="G2417">
        <v>0</v>
      </c>
      <c r="H2417">
        <v>0</v>
      </c>
      <c r="I2417" s="3">
        <f>E2417+G2417+H2417</f>
        <v>26</v>
      </c>
      <c r="J2417" s="3">
        <f>ROUND(MIN(IF(C2417="Técnico III",35,IF(C2417="Técnico II",28,IF(C2417="Técnico I",23,IF(C2417="JR",20,IF(C2417="Estágio",10,0))))),IF(C2417="Técnico III",SUMIFS($D:$D,$A:$A,$A2417,$B:$B,"&lt;&gt;Patrícia Karla de Sousa Araújo",$B:$B,"&lt;&gt;Lorena Dias de Araujo",$B:$B,"&lt;&gt;Lucas Luiz Romero")*(35/1083),IF(C2417="Técnico II",SUMIFS($D:$D,$A:$A,$A2417,$B:$B,"&lt;&gt;Patrícia Karla de Sousa Araújo",$B:$B,"&lt;&gt;Lorena Dias de Araujo",$B:$B,"&lt;&gt;Lucas Luiz Romero")*(28/1083),IF(C2417="Técnico I",SUMIFS($D:$D,$A:$A,$A2417,$B:$B,"&lt;&gt;Patrícia Karla de Sousa Araújo",$B:$B,"&lt;&gt;Lorena Dias de Araujo",$B:$B,"&lt;&gt;Lucas Luiz Romero")*(23/1083),IF(C2417="JR",SUMIFS($D:$D,$A:$A,$A2417,$B:$B,"&lt;&gt;Patrícia Karla de Sousa Araújo",$B:$B,"&lt;&gt;Lorena Dias de Araujo",$B:$B,"&lt;&gt;Lucas Luiz Romero")*(20/1083),IF(C2417="Estágio",SUMIFS($D:$D,$A:$A,$A2417,$B:$B,"&lt;&gt;Patrícia Karla de Sousa Araújo",$B:$B,"&lt;&gt;Lorena Dias de Araujo",$B:$B,"&lt;&gt;Lucas Luiz Romero")*(10/1083),0)))))),0)</f>
        <v>20</v>
      </c>
      <c r="K2417" s="3">
        <f>I2417-J2417</f>
        <v>6</v>
      </c>
      <c r="L2417" s="3" t="str">
        <f>IF(K2417&lt;-5,"CRÍTICO",IF(K2417&lt;0,"ATENÇÃO",IF(K2417&lt;=5,"BOM","EXCELENTE")))</f>
        <v>EXCELENTE</v>
      </c>
      <c r="M2417">
        <v>26</v>
      </c>
      <c r="N2417">
        <v>97.84</v>
      </c>
      <c r="O2417">
        <v>26.282051282051281</v>
      </c>
    </row>
    <row r="2418" spans="1:15" hidden="1" x14ac:dyDescent="0.25">
      <c r="A2418" s="11">
        <v>46077</v>
      </c>
      <c r="B2418" t="s">
        <v>53</v>
      </c>
      <c r="C2418" t="s">
        <v>48</v>
      </c>
      <c r="D2418">
        <v>34</v>
      </c>
      <c r="E2418">
        <v>30</v>
      </c>
      <c r="F2418">
        <v>18.579999999999998</v>
      </c>
      <c r="G2418">
        <v>0</v>
      </c>
      <c r="H2418">
        <v>0</v>
      </c>
      <c r="I2418" s="3">
        <f>E2418+G2418+H2418</f>
        <v>30</v>
      </c>
      <c r="J2418" s="3">
        <f>ROUND(MIN(IF(C2418="Técnico III",35,IF(C2418="Técnico II",28,IF(C2418="Técnico I",23,IF(C2418="JR",20,IF(C2418="Estágio",10,0))))),IF(C2418="Técnico III",SUMIFS($D:$D,$A:$A,$A2418,$B:$B,"&lt;&gt;Patrícia Karla de Sousa Araújo",$B:$B,"&lt;&gt;Lorena Dias de Araujo",$B:$B,"&lt;&gt;Lucas Luiz Romero")*(35/1083),IF(C2418="Técnico II",SUMIFS($D:$D,$A:$A,$A2418,$B:$B,"&lt;&gt;Patrícia Karla de Sousa Araújo",$B:$B,"&lt;&gt;Lorena Dias de Araujo",$B:$B,"&lt;&gt;Lucas Luiz Romero")*(28/1083),IF(C2418="Técnico I",SUMIFS($D:$D,$A:$A,$A2418,$B:$B,"&lt;&gt;Patrícia Karla de Sousa Araújo",$B:$B,"&lt;&gt;Lorena Dias de Araujo",$B:$B,"&lt;&gt;Lucas Luiz Romero")*(23/1083),IF(C2418="JR",SUMIFS($D:$D,$A:$A,$A2418,$B:$B,"&lt;&gt;Patrícia Karla de Sousa Araújo",$B:$B,"&lt;&gt;Lorena Dias de Araujo",$B:$B,"&lt;&gt;Lucas Luiz Romero")*(20/1083),IF(C2418="Estágio",SUMIFS($D:$D,$A:$A,$A2418,$B:$B,"&lt;&gt;Patrícia Karla de Sousa Araújo",$B:$B,"&lt;&gt;Lorena Dias de Araujo",$B:$B,"&lt;&gt;Lucas Luiz Romero")*(10/1083),0)))))),0)</f>
        <v>16</v>
      </c>
      <c r="K2418" s="3">
        <f>I2418-J2418</f>
        <v>14</v>
      </c>
      <c r="L2418" s="3" t="str">
        <f>IF(K2418&lt;-5,"CRÍTICO",IF(K2418&lt;0,"ATENÇÃO",IF(K2418&lt;=5,"BOM","EXCELENTE")))</f>
        <v>EXCELENTE</v>
      </c>
      <c r="M2418">
        <v>30</v>
      </c>
      <c r="N2418">
        <v>98.5</v>
      </c>
      <c r="O2418">
        <v>23.97769516728625</v>
      </c>
    </row>
    <row r="2419" spans="1:15" hidden="1" x14ac:dyDescent="0.25">
      <c r="A2419" s="11">
        <v>46111</v>
      </c>
      <c r="B2419" t="s">
        <v>22</v>
      </c>
      <c r="C2419" t="s">
        <v>23</v>
      </c>
      <c r="D2419">
        <v>26</v>
      </c>
      <c r="E2419">
        <v>25</v>
      </c>
      <c r="F2419">
        <v>22.36</v>
      </c>
      <c r="G2419">
        <v>0</v>
      </c>
      <c r="H2419">
        <v>0</v>
      </c>
      <c r="I2419" s="3">
        <f>E2419+G2419+H2419</f>
        <v>25</v>
      </c>
      <c r="J2419" s="3">
        <f>ROUND(MIN(IF(C2419="Técnico III",35,IF(C2419="Técnico II",28,IF(C2419="Técnico I",23,IF(C2419="JR",20,IF(C2419="Estágio",10,0))))),IF(C2419="Técnico III",SUMIFS($D:$D,$A:$A,$A2419,$B:$B,"&lt;&gt;Patrícia Karla de Sousa Araújo",$B:$B,"&lt;&gt;Lorena Dias de Araujo",$B:$B,"&lt;&gt;Lucas Luiz Romero")*(35/1083),IF(C2419="Técnico II",SUMIFS($D:$D,$A:$A,$A2419,$B:$B,"&lt;&gt;Patrícia Karla de Sousa Araújo",$B:$B,"&lt;&gt;Lorena Dias de Araujo",$B:$B,"&lt;&gt;Lucas Luiz Romero")*(28/1083),IF(C2419="Técnico I",SUMIFS($D:$D,$A:$A,$A2419,$B:$B,"&lt;&gt;Patrícia Karla de Sousa Araújo",$B:$B,"&lt;&gt;Lorena Dias de Araujo",$B:$B,"&lt;&gt;Lucas Luiz Romero")*(23/1083),IF(C2419="JR",SUMIFS($D:$D,$A:$A,$A2419,$B:$B,"&lt;&gt;Patrícia Karla de Sousa Araújo",$B:$B,"&lt;&gt;Lorena Dias de Araujo",$B:$B,"&lt;&gt;Lucas Luiz Romero")*(20/1083),IF(C2419="Estágio",SUMIFS($D:$D,$A:$A,$A2419,$B:$B,"&lt;&gt;Patrícia Karla de Sousa Araújo",$B:$B,"&lt;&gt;Lorena Dias de Araujo",$B:$B,"&lt;&gt;Lucas Luiz Romero")*(10/1083),0)))))),0)</f>
        <v>18</v>
      </c>
      <c r="K2419" s="3">
        <f>I2419-J2419</f>
        <v>7</v>
      </c>
      <c r="L2419" s="3" t="str">
        <f>IF(K2419&lt;-5,"CRÍTICO",IF(K2419&lt;0,"ATENÇÃO",IF(K2419&lt;=5,"BOM","EXCELENTE")))</f>
        <v>EXCELENTE</v>
      </c>
      <c r="M2419">
        <v>23</v>
      </c>
      <c r="N2419">
        <v>99.05</v>
      </c>
      <c r="O2419">
        <v>26.621923937360179</v>
      </c>
    </row>
    <row r="2420" spans="1:15" hidden="1" x14ac:dyDescent="0.25">
      <c r="A2420" s="11">
        <v>46077</v>
      </c>
      <c r="B2420" t="s">
        <v>54</v>
      </c>
      <c r="C2420" t="s">
        <v>48</v>
      </c>
      <c r="D2420">
        <v>20</v>
      </c>
      <c r="E2420">
        <v>19</v>
      </c>
      <c r="F2420">
        <v>24</v>
      </c>
      <c r="G2420">
        <v>0</v>
      </c>
      <c r="H2420">
        <v>0</v>
      </c>
      <c r="I2420" s="3">
        <f>E2420+G2420+H2420</f>
        <v>19</v>
      </c>
      <c r="J2420" s="3">
        <f>ROUND(MIN(IF(C2420="Técnico III",35,IF(C2420="Técnico II",28,IF(C2420="Técnico I",23,IF(C2420="JR",20,IF(C2420="Estágio",10,0))))),IF(C2420="Técnico III",SUMIFS($D:$D,$A:$A,$A2420,$B:$B,"&lt;&gt;Patrícia Karla de Sousa Araújo",$B:$B,"&lt;&gt;Lorena Dias de Araujo",$B:$B,"&lt;&gt;Lucas Luiz Romero")*(35/1083),IF(C2420="Técnico II",SUMIFS($D:$D,$A:$A,$A2420,$B:$B,"&lt;&gt;Patrícia Karla de Sousa Araújo",$B:$B,"&lt;&gt;Lorena Dias de Araujo",$B:$B,"&lt;&gt;Lucas Luiz Romero")*(28/1083),IF(C2420="Técnico I",SUMIFS($D:$D,$A:$A,$A2420,$B:$B,"&lt;&gt;Patrícia Karla de Sousa Araújo",$B:$B,"&lt;&gt;Lorena Dias de Araujo",$B:$B,"&lt;&gt;Lucas Luiz Romero")*(23/1083),IF(C2420="JR",SUMIFS($D:$D,$A:$A,$A2420,$B:$B,"&lt;&gt;Patrícia Karla de Sousa Araújo",$B:$B,"&lt;&gt;Lorena Dias de Araujo",$B:$B,"&lt;&gt;Lucas Luiz Romero")*(20/1083),IF(C2420="Estágio",SUMIFS($D:$D,$A:$A,$A2420,$B:$B,"&lt;&gt;Patrícia Karla de Sousa Araújo",$B:$B,"&lt;&gt;Lorena Dias de Araujo",$B:$B,"&lt;&gt;Lucas Luiz Romero")*(10/1083),0)))))),0)</f>
        <v>16</v>
      </c>
      <c r="K2420" s="3">
        <f>I2420-J2420</f>
        <v>3</v>
      </c>
      <c r="L2420" s="3" t="str">
        <f>IF(K2420&lt;-5,"CRÍTICO",IF(K2420&lt;0,"ATENÇÃO",IF(K2420&lt;=5,"BOM","EXCELENTE")))</f>
        <v>BOM</v>
      </c>
      <c r="M2420">
        <v>18</v>
      </c>
      <c r="N2420">
        <v>98.53</v>
      </c>
      <c r="O2420">
        <v>31.578947368421051</v>
      </c>
    </row>
    <row r="2421" spans="1:15" hidden="1" x14ac:dyDescent="0.25">
      <c r="A2421" s="11">
        <v>46077</v>
      </c>
      <c r="B2421" t="s">
        <v>37</v>
      </c>
      <c r="C2421" t="s">
        <v>32</v>
      </c>
      <c r="D2421">
        <v>40</v>
      </c>
      <c r="E2421">
        <v>35</v>
      </c>
      <c r="F2421">
        <v>17.329999999999998</v>
      </c>
      <c r="G2421">
        <v>0</v>
      </c>
      <c r="H2421">
        <v>0</v>
      </c>
      <c r="I2421" s="3">
        <f>E2421+G2421+H2421</f>
        <v>35</v>
      </c>
      <c r="J2421" s="3">
        <f>ROUND(MIN(IF(C2421="Técnico III",35,IF(C2421="Técnico II",28,IF(C2421="Técnico I",23,IF(C2421="JR",20,IF(C2421="Estágio",10,0))))),IF(C2421="Técnico III",SUMIFS($D:$D,$A:$A,$A2421,$B:$B,"&lt;&gt;Patrícia Karla de Sousa Araújo",$B:$B,"&lt;&gt;Lorena Dias de Araujo",$B:$B,"&lt;&gt;Lucas Luiz Romero")*(35/1083),IF(C2421="Técnico II",SUMIFS($D:$D,$A:$A,$A2421,$B:$B,"&lt;&gt;Patrícia Karla de Sousa Araújo",$B:$B,"&lt;&gt;Lorena Dias de Araujo",$B:$B,"&lt;&gt;Lucas Luiz Romero")*(28/1083),IF(C2421="Técnico I",SUMIFS($D:$D,$A:$A,$A2421,$B:$B,"&lt;&gt;Patrícia Karla de Sousa Araújo",$B:$B,"&lt;&gt;Lorena Dias de Araujo",$B:$B,"&lt;&gt;Lucas Luiz Romero")*(23/1083),IF(C2421="JR",SUMIFS($D:$D,$A:$A,$A2421,$B:$B,"&lt;&gt;Patrícia Karla de Sousa Araújo",$B:$B,"&lt;&gt;Lorena Dias de Araujo",$B:$B,"&lt;&gt;Lucas Luiz Romero")*(20/1083),IF(C2421="Estágio",SUMIFS($D:$D,$A:$A,$A2421,$B:$B,"&lt;&gt;Patrícia Karla de Sousa Araújo",$B:$B,"&lt;&gt;Lorena Dias de Araujo",$B:$B,"&lt;&gt;Lucas Luiz Romero")*(10/1083),0)))))),0)</f>
        <v>20</v>
      </c>
      <c r="K2421" s="3">
        <f>I2421-J2421</f>
        <v>15</v>
      </c>
      <c r="L2421" s="3" t="str">
        <f>IF(K2421&lt;-5,"CRÍTICO",IF(K2421&lt;0,"ATENÇÃO",IF(K2421&lt;=5,"BOM","EXCELENTE")))</f>
        <v>EXCELENTE</v>
      </c>
      <c r="M2421">
        <v>35</v>
      </c>
      <c r="N2421">
        <v>100</v>
      </c>
      <c r="O2421">
        <v>25.72214580467676</v>
      </c>
    </row>
    <row r="2422" spans="1:15" hidden="1" x14ac:dyDescent="0.25">
      <c r="A2422" s="11">
        <v>46077</v>
      </c>
      <c r="B2422" t="s">
        <v>38</v>
      </c>
      <c r="C2422" t="s">
        <v>32</v>
      </c>
      <c r="D2422">
        <v>26</v>
      </c>
      <c r="E2422">
        <v>24</v>
      </c>
      <c r="F2422">
        <v>14.08</v>
      </c>
      <c r="G2422">
        <v>0</v>
      </c>
      <c r="H2422">
        <v>0</v>
      </c>
      <c r="I2422" s="3">
        <f>E2422+G2422+H2422</f>
        <v>24</v>
      </c>
      <c r="J2422" s="3">
        <f>ROUND(MIN(IF(C2422="Técnico III",35,IF(C2422="Técnico II",28,IF(C2422="Técnico I",23,IF(C2422="JR",20,IF(C2422="Estágio",10,0))))),IF(C2422="Técnico III",SUMIFS($D:$D,$A:$A,$A2422,$B:$B,"&lt;&gt;Patrícia Karla de Sousa Araújo",$B:$B,"&lt;&gt;Lorena Dias de Araujo",$B:$B,"&lt;&gt;Lucas Luiz Romero")*(35/1083),IF(C2422="Técnico II",SUMIFS($D:$D,$A:$A,$A2422,$B:$B,"&lt;&gt;Patrícia Karla de Sousa Araújo",$B:$B,"&lt;&gt;Lorena Dias de Araujo",$B:$B,"&lt;&gt;Lucas Luiz Romero")*(28/1083),IF(C2422="Técnico I",SUMIFS($D:$D,$A:$A,$A2422,$B:$B,"&lt;&gt;Patrícia Karla de Sousa Araújo",$B:$B,"&lt;&gt;Lorena Dias de Araujo",$B:$B,"&lt;&gt;Lucas Luiz Romero")*(23/1083),IF(C2422="JR",SUMIFS($D:$D,$A:$A,$A2422,$B:$B,"&lt;&gt;Patrícia Karla de Sousa Araújo",$B:$B,"&lt;&gt;Lorena Dias de Araujo",$B:$B,"&lt;&gt;Lucas Luiz Romero")*(20/1083),IF(C2422="Estágio",SUMIFS($D:$D,$A:$A,$A2422,$B:$B,"&lt;&gt;Patrícia Karla de Sousa Araújo",$B:$B,"&lt;&gt;Lorena Dias de Araujo",$B:$B,"&lt;&gt;Lucas Luiz Romero")*(10/1083),0)))))),0)</f>
        <v>20</v>
      </c>
      <c r="K2422" s="3">
        <f>I2422-J2422</f>
        <v>4</v>
      </c>
      <c r="L2422" s="3" t="str">
        <f>IF(K2422&lt;-5,"CRÍTICO",IF(K2422&lt;0,"ATENÇÃO",IF(K2422&lt;=5,"BOM","EXCELENTE")))</f>
        <v>BOM</v>
      </c>
      <c r="M2422">
        <v>23</v>
      </c>
      <c r="N2422">
        <v>94.64</v>
      </c>
      <c r="O2422">
        <v>27.52941176470588</v>
      </c>
    </row>
    <row r="2423" spans="1:15" hidden="1" x14ac:dyDescent="0.25">
      <c r="A2423" s="11">
        <v>46077</v>
      </c>
      <c r="B2423" t="s">
        <v>55</v>
      </c>
      <c r="C2423" t="s">
        <v>48</v>
      </c>
      <c r="D2423">
        <v>17</v>
      </c>
      <c r="E2423">
        <v>8</v>
      </c>
      <c r="F2423">
        <v>11.53</v>
      </c>
      <c r="G2423">
        <v>0</v>
      </c>
      <c r="H2423">
        <v>0</v>
      </c>
      <c r="I2423" s="3">
        <f>E2423+G2423+H2423</f>
        <v>8</v>
      </c>
      <c r="J2423" s="3">
        <f>ROUND(MIN(IF(C2423="Técnico III",35,IF(C2423="Técnico II",28,IF(C2423="Técnico I",23,IF(C2423="JR",20,IF(C2423="Estágio",10,0))))),IF(C2423="Técnico III",SUMIFS($D:$D,$A:$A,$A2423,$B:$B,"&lt;&gt;Patrícia Karla de Sousa Araújo",$B:$B,"&lt;&gt;Lorena Dias de Araujo",$B:$B,"&lt;&gt;Lucas Luiz Romero")*(35/1083),IF(C2423="Técnico II",SUMIFS($D:$D,$A:$A,$A2423,$B:$B,"&lt;&gt;Patrícia Karla de Sousa Araújo",$B:$B,"&lt;&gt;Lorena Dias de Araujo",$B:$B,"&lt;&gt;Lucas Luiz Romero")*(28/1083),IF(C2423="Técnico I",SUMIFS($D:$D,$A:$A,$A2423,$B:$B,"&lt;&gt;Patrícia Karla de Sousa Araújo",$B:$B,"&lt;&gt;Lorena Dias de Araujo",$B:$B,"&lt;&gt;Lucas Luiz Romero")*(23/1083),IF(C2423="JR",SUMIFS($D:$D,$A:$A,$A2423,$B:$B,"&lt;&gt;Patrícia Karla de Sousa Araújo",$B:$B,"&lt;&gt;Lorena Dias de Araujo",$B:$B,"&lt;&gt;Lucas Luiz Romero")*(20/1083),IF(C2423="Estágio",SUMIFS($D:$D,$A:$A,$A2423,$B:$B,"&lt;&gt;Patrícia Karla de Sousa Araújo",$B:$B,"&lt;&gt;Lorena Dias de Araujo",$B:$B,"&lt;&gt;Lucas Luiz Romero")*(10/1083),0)))))),0)</f>
        <v>16</v>
      </c>
      <c r="K2423" s="3">
        <f>I2423-J2423</f>
        <v>-8</v>
      </c>
      <c r="L2423" s="3" t="str">
        <f>IF(K2423&lt;-5,"CRÍTICO",IF(K2423&lt;0,"ATENÇÃO",IF(K2423&lt;=5,"BOM","EXCELENTE")))</f>
        <v>CRÍTICO</v>
      </c>
      <c r="M2423">
        <v>3</v>
      </c>
      <c r="N2423">
        <v>99.07</v>
      </c>
      <c r="O2423">
        <v>26.376811594202898</v>
      </c>
    </row>
    <row r="2424" spans="1:15" hidden="1" x14ac:dyDescent="0.25">
      <c r="A2424" s="11">
        <v>46077</v>
      </c>
      <c r="B2424" t="s">
        <v>39</v>
      </c>
      <c r="C2424" t="s">
        <v>32</v>
      </c>
      <c r="D2424">
        <v>0</v>
      </c>
      <c r="E2424">
        <v>0</v>
      </c>
      <c r="F2424">
        <v>0</v>
      </c>
      <c r="G2424">
        <v>0</v>
      </c>
      <c r="H2424">
        <v>0</v>
      </c>
      <c r="I2424" s="3">
        <v>0</v>
      </c>
      <c r="J2424" s="3">
        <v>0</v>
      </c>
      <c r="K2424" s="3">
        <v>0</v>
      </c>
      <c r="L2424" s="3" t="str">
        <f>IF(K2424&lt;-5,"CRÍTICO",IF(K2424&lt;0,"ATENÇÃO",IF(K2424&lt;=5,"BOM","EXCELENTE")))</f>
        <v>BOM</v>
      </c>
      <c r="M2424">
        <v>0</v>
      </c>
      <c r="N2424">
        <v>100</v>
      </c>
      <c r="O2424">
        <v>0</v>
      </c>
    </row>
    <row r="2425" spans="1:15" hidden="1" x14ac:dyDescent="0.25">
      <c r="A2425" s="11">
        <v>46077</v>
      </c>
      <c r="B2425" t="s">
        <v>25</v>
      </c>
      <c r="C2425" t="s">
        <v>26</v>
      </c>
      <c r="D2425">
        <v>15</v>
      </c>
      <c r="E2425">
        <v>15</v>
      </c>
      <c r="F2425">
        <v>25.08</v>
      </c>
      <c r="G2425">
        <v>0</v>
      </c>
      <c r="H2425">
        <v>0</v>
      </c>
      <c r="I2425" s="3">
        <f>E2425+G2425+H2425</f>
        <v>15</v>
      </c>
      <c r="J2425" s="3">
        <f>ROUND(MIN(IF(C2425="Técnico III",35,IF(C2425="Técnico II",28,IF(C2425="Técnico I",23,IF(C2425="JR",20,IF(C2425="Estágio",10,0))))),IF(C2425="Técnico III",SUMIFS($D:$D,$A:$A,$A2425,$B:$B,"&lt;&gt;Patrícia Karla de Sousa Araújo",$B:$B,"&lt;&gt;Lorena Dias de Araujo",$B:$B,"&lt;&gt;Lucas Luiz Romero")*(35/1083),IF(C2425="Técnico II",SUMIFS($D:$D,$A:$A,$A2425,$B:$B,"&lt;&gt;Patrícia Karla de Sousa Araújo",$B:$B,"&lt;&gt;Lorena Dias de Araujo",$B:$B,"&lt;&gt;Lucas Luiz Romero")*(28/1083),IF(C2425="Técnico I",SUMIFS($D:$D,$A:$A,$A2425,$B:$B,"&lt;&gt;Patrícia Karla de Sousa Araújo",$B:$B,"&lt;&gt;Lorena Dias de Araujo",$B:$B,"&lt;&gt;Lucas Luiz Romero")*(23/1083),IF(C2425="JR",SUMIFS($D:$D,$A:$A,$A2425,$B:$B,"&lt;&gt;Patrícia Karla de Sousa Araújo",$B:$B,"&lt;&gt;Lorena Dias de Araujo",$B:$B,"&lt;&gt;Lucas Luiz Romero")*(20/1083),IF(C2425="Estágio",SUMIFS($D:$D,$A:$A,$A2425,$B:$B,"&lt;&gt;Patrícia Karla de Sousa Araújo",$B:$B,"&lt;&gt;Lorena Dias de Araujo",$B:$B,"&lt;&gt;Lucas Luiz Romero")*(10/1083),0)))))),0)</f>
        <v>12</v>
      </c>
      <c r="K2425" s="3">
        <f>I2425-J2425</f>
        <v>3</v>
      </c>
      <c r="L2425" s="3" t="str">
        <f>IF(K2425&lt;-5,"CRÍTICO",IF(K2425&lt;0,"ATENÇÃO",IF(K2425&lt;=5,"BOM","EXCELENTE")))</f>
        <v>BOM</v>
      </c>
      <c r="M2425">
        <v>14</v>
      </c>
      <c r="N2425">
        <v>98.48</v>
      </c>
      <c r="O2425">
        <v>27.853881278538811</v>
      </c>
    </row>
    <row r="2426" spans="1:15" hidden="1" x14ac:dyDescent="0.25">
      <c r="A2426" s="11">
        <v>46077</v>
      </c>
      <c r="B2426" t="s">
        <v>40</v>
      </c>
      <c r="C2426" t="s">
        <v>32</v>
      </c>
      <c r="D2426">
        <v>3</v>
      </c>
      <c r="E2426">
        <v>3</v>
      </c>
      <c r="F2426">
        <v>47.26</v>
      </c>
      <c r="G2426">
        <v>0</v>
      </c>
      <c r="H2426">
        <v>0</v>
      </c>
      <c r="I2426" s="3">
        <f>E2426+G2426+H2426</f>
        <v>3</v>
      </c>
      <c r="J2426" s="3">
        <f>ROUND(MIN(IF(C2426="Técnico III",35,IF(C2426="Técnico II",28,IF(C2426="Técnico I",23,IF(C2426="JR",20,IF(C2426="Estágio",10,0))))),IF(C2426="Técnico III",SUMIFS($D:$D,$A:$A,$A2426,$B:$B,"&lt;&gt;Patrícia Karla de Sousa Araújo",$B:$B,"&lt;&gt;Lorena Dias de Araujo",$B:$B,"&lt;&gt;Lucas Luiz Romero")*(35/1083),IF(C2426="Técnico II",SUMIFS($D:$D,$A:$A,$A2426,$B:$B,"&lt;&gt;Patrícia Karla de Sousa Araújo",$B:$B,"&lt;&gt;Lorena Dias de Araujo",$B:$B,"&lt;&gt;Lucas Luiz Romero")*(28/1083),IF(C2426="Técnico I",SUMIFS($D:$D,$A:$A,$A2426,$B:$B,"&lt;&gt;Patrícia Karla de Sousa Araújo",$B:$B,"&lt;&gt;Lorena Dias de Araujo",$B:$B,"&lt;&gt;Lucas Luiz Romero")*(23/1083),IF(C2426="JR",SUMIFS($D:$D,$A:$A,$A2426,$B:$B,"&lt;&gt;Patrícia Karla de Sousa Araújo",$B:$B,"&lt;&gt;Lorena Dias de Araujo",$B:$B,"&lt;&gt;Lucas Luiz Romero")*(20/1083),IF(C2426="Estágio",SUMIFS($D:$D,$A:$A,$A2426,$B:$B,"&lt;&gt;Patrícia Karla de Sousa Araújo",$B:$B,"&lt;&gt;Lorena Dias de Araujo",$B:$B,"&lt;&gt;Lucas Luiz Romero")*(10/1083),0)))))),0)</f>
        <v>20</v>
      </c>
      <c r="K2426" s="3">
        <f>I2426-J2426</f>
        <v>-17</v>
      </c>
      <c r="L2426" s="3" t="str">
        <f>IF(K2426&lt;-5,"CRÍTICO",IF(K2426&lt;0,"ATENÇÃO",IF(K2426&lt;=5,"BOM","EXCELENTE")))</f>
        <v>CRÍTICO</v>
      </c>
      <c r="M2426">
        <v>52</v>
      </c>
      <c r="N2426">
        <v>95.15</v>
      </c>
      <c r="O2426">
        <v>34.131736526946113</v>
      </c>
    </row>
    <row r="2427" spans="1:15" hidden="1" x14ac:dyDescent="0.25">
      <c r="A2427" s="11">
        <v>46077</v>
      </c>
      <c r="B2427" t="s">
        <v>27</v>
      </c>
      <c r="C2427" t="s">
        <v>26</v>
      </c>
      <c r="D2427">
        <v>0</v>
      </c>
      <c r="E2427">
        <v>0</v>
      </c>
      <c r="F2427">
        <v>0</v>
      </c>
      <c r="G2427">
        <v>0</v>
      </c>
      <c r="H2427">
        <v>0</v>
      </c>
      <c r="I2427" s="3">
        <v>0</v>
      </c>
      <c r="J2427" s="3">
        <v>0</v>
      </c>
      <c r="K2427" s="3">
        <v>0</v>
      </c>
      <c r="L2427" s="3" t="str">
        <f>IF(K2427&lt;-5,"CRÍTICO",IF(K2427&lt;0,"ATENÇÃO",IF(K2427&lt;=5,"BOM","EXCELENTE")))</f>
        <v>BOM</v>
      </c>
      <c r="M2427">
        <v>0</v>
      </c>
      <c r="N2427">
        <v>0</v>
      </c>
      <c r="O2427">
        <v>0</v>
      </c>
    </row>
    <row r="2428" spans="1:15" hidden="1" x14ac:dyDescent="0.25">
      <c r="A2428" s="11">
        <v>46077</v>
      </c>
      <c r="B2428" t="s">
        <v>41</v>
      </c>
      <c r="C2428" t="s">
        <v>32</v>
      </c>
      <c r="D2428">
        <v>21</v>
      </c>
      <c r="E2428">
        <v>20</v>
      </c>
      <c r="F2428">
        <v>23.43</v>
      </c>
      <c r="G2428">
        <v>0</v>
      </c>
      <c r="H2428">
        <v>0</v>
      </c>
      <c r="I2428" s="3">
        <f>E2428+G2428+H2428</f>
        <v>20</v>
      </c>
      <c r="J2428" s="3">
        <f>ROUND(MIN(IF(C2428="Técnico III",35,IF(C2428="Técnico II",28,IF(C2428="Técnico I",23,IF(C2428="JR",20,IF(C2428="Estágio",10,0))))),IF(C2428="Técnico III",SUMIFS($D:$D,$A:$A,$A2428,$B:$B,"&lt;&gt;Patrícia Karla de Sousa Araújo",$B:$B,"&lt;&gt;Lorena Dias de Araujo",$B:$B,"&lt;&gt;Lucas Luiz Romero")*(35/1083),IF(C2428="Técnico II",SUMIFS($D:$D,$A:$A,$A2428,$B:$B,"&lt;&gt;Patrícia Karla de Sousa Araújo",$B:$B,"&lt;&gt;Lorena Dias de Araujo",$B:$B,"&lt;&gt;Lucas Luiz Romero")*(28/1083),IF(C2428="Técnico I",SUMIFS($D:$D,$A:$A,$A2428,$B:$B,"&lt;&gt;Patrícia Karla de Sousa Araújo",$B:$B,"&lt;&gt;Lorena Dias de Araujo",$B:$B,"&lt;&gt;Lucas Luiz Romero")*(23/1083),IF(C2428="JR",SUMIFS($D:$D,$A:$A,$A2428,$B:$B,"&lt;&gt;Patrícia Karla de Sousa Araújo",$B:$B,"&lt;&gt;Lorena Dias de Araujo",$B:$B,"&lt;&gt;Lucas Luiz Romero")*(20/1083),IF(C2428="Estágio",SUMIFS($D:$D,$A:$A,$A2428,$B:$B,"&lt;&gt;Patrícia Karla de Sousa Araújo",$B:$B,"&lt;&gt;Lorena Dias de Araujo",$B:$B,"&lt;&gt;Lucas Luiz Romero")*(10/1083),0)))))),0)</f>
        <v>20</v>
      </c>
      <c r="K2428" s="3">
        <f>I2428-J2428</f>
        <v>0</v>
      </c>
      <c r="L2428" s="3" t="str">
        <f>IF(K2428&lt;-5,"CRÍTICO",IF(K2428&lt;0,"ATENÇÃO",IF(K2428&lt;=5,"BOM","EXCELENTE")))</f>
        <v>BOM</v>
      </c>
      <c r="M2428">
        <v>15</v>
      </c>
      <c r="N2428">
        <v>99.26</v>
      </c>
      <c r="O2428">
        <v>30.84832904884319</v>
      </c>
    </row>
    <row r="2429" spans="1:15" hidden="1" x14ac:dyDescent="0.25">
      <c r="A2429" s="11">
        <v>46077</v>
      </c>
      <c r="B2429" t="s">
        <v>56</v>
      </c>
      <c r="C2429" t="s">
        <v>48</v>
      </c>
      <c r="D2429">
        <v>27</v>
      </c>
      <c r="E2429">
        <v>27</v>
      </c>
      <c r="F2429">
        <v>29.12</v>
      </c>
      <c r="G2429">
        <v>0</v>
      </c>
      <c r="H2429">
        <v>0</v>
      </c>
      <c r="I2429" s="3">
        <f>E2429+G2429+H2429</f>
        <v>27</v>
      </c>
      <c r="J2429" s="3">
        <f>ROUND(MIN(IF(C2429="Técnico III",35,IF(C2429="Técnico II",28,IF(C2429="Técnico I",23,IF(C2429="JR",20,IF(C2429="Estágio",10,0))))),IF(C2429="Técnico III",SUMIFS($D:$D,$A:$A,$A2429,$B:$B,"&lt;&gt;Patrícia Karla de Sousa Araújo",$B:$B,"&lt;&gt;Lorena Dias de Araujo",$B:$B,"&lt;&gt;Lucas Luiz Romero")*(35/1083),IF(C2429="Técnico II",SUMIFS($D:$D,$A:$A,$A2429,$B:$B,"&lt;&gt;Patrícia Karla de Sousa Araújo",$B:$B,"&lt;&gt;Lorena Dias de Araujo",$B:$B,"&lt;&gt;Lucas Luiz Romero")*(28/1083),IF(C2429="Técnico I",SUMIFS($D:$D,$A:$A,$A2429,$B:$B,"&lt;&gt;Patrícia Karla de Sousa Araújo",$B:$B,"&lt;&gt;Lorena Dias de Araujo",$B:$B,"&lt;&gt;Lucas Luiz Romero")*(23/1083),IF(C2429="JR",SUMIFS($D:$D,$A:$A,$A2429,$B:$B,"&lt;&gt;Patrícia Karla de Sousa Araújo",$B:$B,"&lt;&gt;Lorena Dias de Araujo",$B:$B,"&lt;&gt;Lucas Luiz Romero")*(20/1083),IF(C2429="Estágio",SUMIFS($D:$D,$A:$A,$A2429,$B:$B,"&lt;&gt;Patrícia Karla de Sousa Araújo",$B:$B,"&lt;&gt;Lorena Dias de Araujo",$B:$B,"&lt;&gt;Lucas Luiz Romero")*(10/1083),0)))))),0)</f>
        <v>16</v>
      </c>
      <c r="K2429" s="3">
        <f>I2429-J2429</f>
        <v>11</v>
      </c>
      <c r="L2429" s="3" t="str">
        <f>IF(K2429&lt;-5,"CRÍTICO",IF(K2429&lt;0,"ATENÇÃO",IF(K2429&lt;=5,"BOM","EXCELENTE")))</f>
        <v>EXCELENTE</v>
      </c>
      <c r="M2429">
        <v>13</v>
      </c>
      <c r="N2429">
        <v>97.48</v>
      </c>
      <c r="O2429">
        <v>27.764705882352938</v>
      </c>
    </row>
    <row r="2430" spans="1:15" hidden="1" x14ac:dyDescent="0.25">
      <c r="A2430" s="11">
        <v>46077</v>
      </c>
      <c r="B2430" t="s">
        <v>57</v>
      </c>
      <c r="C2430" t="s">
        <v>48</v>
      </c>
      <c r="D2430">
        <v>19</v>
      </c>
      <c r="E2430">
        <v>19</v>
      </c>
      <c r="F2430">
        <v>38.590000000000003</v>
      </c>
      <c r="G2430">
        <v>0</v>
      </c>
      <c r="H2430">
        <v>0</v>
      </c>
      <c r="I2430" s="3">
        <v>0</v>
      </c>
      <c r="J2430" s="3">
        <v>0</v>
      </c>
      <c r="K2430" s="3">
        <v>0</v>
      </c>
      <c r="L2430" s="3" t="str">
        <f>IF(K2430&lt;-5,"CRÍTICO",IF(K2430&lt;0,"ATENÇÃO",IF(K2430&lt;=5,"BOM","EXCELENTE")))</f>
        <v>BOM</v>
      </c>
      <c r="M2430">
        <v>18</v>
      </c>
      <c r="N2430">
        <v>99.34</v>
      </c>
      <c r="O2430">
        <v>30.04291845493562</v>
      </c>
    </row>
    <row r="2431" spans="1:15" hidden="1" x14ac:dyDescent="0.25">
      <c r="A2431" s="11">
        <v>46077</v>
      </c>
      <c r="B2431" t="s">
        <v>42</v>
      </c>
      <c r="C2431" t="s">
        <v>32</v>
      </c>
      <c r="D2431">
        <v>43</v>
      </c>
      <c r="E2431">
        <v>37</v>
      </c>
      <c r="F2431">
        <v>18.489999999999998</v>
      </c>
      <c r="G2431">
        <v>0</v>
      </c>
      <c r="H2431">
        <v>0</v>
      </c>
      <c r="I2431" s="3">
        <f>E2431+G2431+H2431</f>
        <v>37</v>
      </c>
      <c r="J2431" s="3">
        <f>ROUND(MIN(IF(C2431="Técnico III",35,IF(C2431="Técnico II",28,IF(C2431="Técnico I",23,IF(C2431="JR",20,IF(C2431="Estágio",10,0))))),IF(C2431="Técnico III",SUMIFS($D:$D,$A:$A,$A2431,$B:$B,"&lt;&gt;Patrícia Karla de Sousa Araújo",$B:$B,"&lt;&gt;Lorena Dias de Araujo",$B:$B,"&lt;&gt;Lucas Luiz Romero")*(35/1083),IF(C2431="Técnico II",SUMIFS($D:$D,$A:$A,$A2431,$B:$B,"&lt;&gt;Patrícia Karla de Sousa Araújo",$B:$B,"&lt;&gt;Lorena Dias de Araujo",$B:$B,"&lt;&gt;Lucas Luiz Romero")*(28/1083),IF(C2431="Técnico I",SUMIFS($D:$D,$A:$A,$A2431,$B:$B,"&lt;&gt;Patrícia Karla de Sousa Araújo",$B:$B,"&lt;&gt;Lorena Dias de Araujo",$B:$B,"&lt;&gt;Lucas Luiz Romero")*(23/1083),IF(C2431="JR",SUMIFS($D:$D,$A:$A,$A2431,$B:$B,"&lt;&gt;Patrícia Karla de Sousa Araújo",$B:$B,"&lt;&gt;Lorena Dias de Araujo",$B:$B,"&lt;&gt;Lucas Luiz Romero")*(20/1083),IF(C2431="Estágio",SUMIFS($D:$D,$A:$A,$A2431,$B:$B,"&lt;&gt;Patrícia Karla de Sousa Araújo",$B:$B,"&lt;&gt;Lorena Dias de Araujo",$B:$B,"&lt;&gt;Lucas Luiz Romero")*(10/1083),0)))))),0)</f>
        <v>20</v>
      </c>
      <c r="K2431" s="3">
        <f>I2431-J2431</f>
        <v>17</v>
      </c>
      <c r="L2431" s="3" t="str">
        <f>IF(K2431&lt;-5,"CRÍTICO",IF(K2431&lt;0,"ATENÇÃO",IF(K2431&lt;=5,"BOM","EXCELENTE")))</f>
        <v>EXCELENTE</v>
      </c>
      <c r="M2431">
        <v>24</v>
      </c>
      <c r="N2431">
        <v>96.3</v>
      </c>
      <c r="O2431">
        <v>24.29378531073446</v>
      </c>
    </row>
    <row r="2432" spans="1:15" hidden="1" x14ac:dyDescent="0.25">
      <c r="A2432" s="11">
        <v>46077</v>
      </c>
      <c r="B2432" t="s">
        <v>62</v>
      </c>
      <c r="C2432" t="s">
        <v>23</v>
      </c>
      <c r="D2432">
        <v>16</v>
      </c>
      <c r="E2432">
        <v>15</v>
      </c>
      <c r="F2432">
        <v>30.59</v>
      </c>
      <c r="G2432">
        <v>0</v>
      </c>
      <c r="H2432">
        <v>0</v>
      </c>
      <c r="I2432" s="3">
        <f>E2432+G2432+H2432</f>
        <v>15</v>
      </c>
      <c r="J2432" s="3">
        <f>ROUND(MIN(IF(C2432="Técnico III",35,IF(C2432="Técnico II",28,IF(C2432="Técnico I",23,IF(C2432="JR",20,IF(C2432="Estágio",10,0))))),IF(C2432="Técnico III",SUMIFS($D:$D,$A:$A,$A2432,$B:$B,"&lt;&gt;Patrícia Karla de Sousa Araújo",$B:$B,"&lt;&gt;Lorena Dias de Araujo",$B:$B,"&lt;&gt;Lucas Luiz Romero")*(35/1083),IF(C2432="Técnico II",SUMIFS($D:$D,$A:$A,$A2432,$B:$B,"&lt;&gt;Patrícia Karla de Sousa Araújo",$B:$B,"&lt;&gt;Lorena Dias de Araujo",$B:$B,"&lt;&gt;Lucas Luiz Romero")*(28/1083),IF(C2432="Técnico I",SUMIFS($D:$D,$A:$A,$A2432,$B:$B,"&lt;&gt;Patrícia Karla de Sousa Araújo",$B:$B,"&lt;&gt;Lorena Dias de Araujo",$B:$B,"&lt;&gt;Lucas Luiz Romero")*(23/1083),IF(C2432="JR",SUMIFS($D:$D,$A:$A,$A2432,$B:$B,"&lt;&gt;Patrícia Karla de Sousa Araújo",$B:$B,"&lt;&gt;Lorena Dias de Araujo",$B:$B,"&lt;&gt;Lucas Luiz Romero")*(20/1083),IF(C2432="Estágio",SUMIFS($D:$D,$A:$A,$A2432,$B:$B,"&lt;&gt;Patrícia Karla de Sousa Araújo",$B:$B,"&lt;&gt;Lorena Dias de Araujo",$B:$B,"&lt;&gt;Lucas Luiz Romero")*(10/1083),0)))))),0)</f>
        <v>13</v>
      </c>
      <c r="K2432" s="3">
        <f>I2432-J2432</f>
        <v>2</v>
      </c>
      <c r="L2432" s="3" t="str">
        <f>IF(K2432&lt;-5,"CRÍTICO",IF(K2432&lt;0,"ATENÇÃO",IF(K2432&lt;=5,"BOM","EXCELENTE")))</f>
        <v>BOM</v>
      </c>
      <c r="M2432">
        <v>13</v>
      </c>
      <c r="N2432">
        <v>100</v>
      </c>
      <c r="O2432">
        <v>26.543209876543209</v>
      </c>
    </row>
    <row r="2433" spans="1:15" hidden="1" x14ac:dyDescent="0.25">
      <c r="A2433" s="11">
        <v>46077</v>
      </c>
      <c r="B2433" t="s">
        <v>19</v>
      </c>
      <c r="C2433" t="s">
        <v>16</v>
      </c>
      <c r="D2433">
        <v>5</v>
      </c>
      <c r="E2433">
        <v>5</v>
      </c>
      <c r="F2433">
        <v>72.11</v>
      </c>
      <c r="G2433">
        <v>0</v>
      </c>
      <c r="H2433">
        <v>0</v>
      </c>
      <c r="I2433" s="3">
        <f>E2433+G2433+H2433</f>
        <v>5</v>
      </c>
      <c r="J2433" s="3">
        <f>ROUND(MIN(IF(C2433="Técnico III",35,IF(C2433="Técnico II",28,IF(C2433="Técnico I",23,IF(C2433="JR",20,IF(C2433="Estágio",10,0))))),IF(C2433="Técnico III",SUMIFS($D:$D,$A:$A,$A2433,$B:$B,"&lt;&gt;Patrícia Karla de Sousa Araújo",$B:$B,"&lt;&gt;Lorena Dias de Araujo",$B:$B,"&lt;&gt;Lucas Luiz Romero")*(35/1083),IF(C2433="Técnico II",SUMIFS($D:$D,$A:$A,$A2433,$B:$B,"&lt;&gt;Patrícia Karla de Sousa Araújo",$B:$B,"&lt;&gt;Lorena Dias de Araujo",$B:$B,"&lt;&gt;Lucas Luiz Romero")*(28/1083),IF(C2433="Técnico I",SUMIFS($D:$D,$A:$A,$A2433,$B:$B,"&lt;&gt;Patrícia Karla de Sousa Araújo",$B:$B,"&lt;&gt;Lorena Dias de Araujo",$B:$B,"&lt;&gt;Lucas Luiz Romero")*(23/1083),IF(C2433="JR",SUMIFS($D:$D,$A:$A,$A2433,$B:$B,"&lt;&gt;Patrícia Karla de Sousa Araújo",$B:$B,"&lt;&gt;Lorena Dias de Araujo",$B:$B,"&lt;&gt;Lucas Luiz Romero")*(20/1083),IF(C2433="Estágio",SUMIFS($D:$D,$A:$A,$A2433,$B:$B,"&lt;&gt;Patrícia Karla de Sousa Araújo",$B:$B,"&lt;&gt;Lorena Dias de Araujo",$B:$B,"&lt;&gt;Lucas Luiz Romero")*(10/1083),0)))))),0)</f>
        <v>6</v>
      </c>
      <c r="K2433" s="3">
        <f>I2433-J2433</f>
        <v>-1</v>
      </c>
      <c r="L2433" s="3" t="str">
        <f>IF(K2433&lt;-5,"CRÍTICO",IF(K2433&lt;0,"ATENÇÃO",IF(K2433&lt;=5,"BOM","EXCELENTE")))</f>
        <v>ATENÇÃO</v>
      </c>
      <c r="M2433">
        <v>3</v>
      </c>
      <c r="N2433">
        <v>100</v>
      </c>
      <c r="O2433">
        <v>35.483870967741943</v>
      </c>
    </row>
    <row r="2434" spans="1:15" hidden="1" x14ac:dyDescent="0.25">
      <c r="A2434" s="11">
        <v>46077</v>
      </c>
      <c r="B2434" t="s">
        <v>43</v>
      </c>
      <c r="C2434" t="s">
        <v>32</v>
      </c>
      <c r="D2434">
        <v>24</v>
      </c>
      <c r="E2434">
        <v>22</v>
      </c>
      <c r="F2434">
        <v>23.22</v>
      </c>
      <c r="G2434">
        <v>0</v>
      </c>
      <c r="H2434">
        <v>0</v>
      </c>
      <c r="I2434" s="3">
        <f>E2434+G2434+H2434</f>
        <v>22</v>
      </c>
      <c r="J2434" s="3">
        <f>ROUND(MIN(IF(C2434="Técnico III",35,IF(C2434="Técnico II",28,IF(C2434="Técnico I",23,IF(C2434="JR",20,IF(C2434="Estágio",10,0))))),IF(C2434="Técnico III",SUMIFS($D:$D,$A:$A,$A2434,$B:$B,"&lt;&gt;Patrícia Karla de Sousa Araújo",$B:$B,"&lt;&gt;Lorena Dias de Araujo",$B:$B,"&lt;&gt;Lucas Luiz Romero")*(35/1083),IF(C2434="Técnico II",SUMIFS($D:$D,$A:$A,$A2434,$B:$B,"&lt;&gt;Patrícia Karla de Sousa Araújo",$B:$B,"&lt;&gt;Lorena Dias de Araujo",$B:$B,"&lt;&gt;Lucas Luiz Romero")*(28/1083),IF(C2434="Técnico I",SUMIFS($D:$D,$A:$A,$A2434,$B:$B,"&lt;&gt;Patrícia Karla de Sousa Araújo",$B:$B,"&lt;&gt;Lorena Dias de Araujo",$B:$B,"&lt;&gt;Lucas Luiz Romero")*(23/1083),IF(C2434="JR",SUMIFS($D:$D,$A:$A,$A2434,$B:$B,"&lt;&gt;Patrícia Karla de Sousa Araújo",$B:$B,"&lt;&gt;Lorena Dias de Araujo",$B:$B,"&lt;&gt;Lucas Luiz Romero")*(20/1083),IF(C2434="Estágio",SUMIFS($D:$D,$A:$A,$A2434,$B:$B,"&lt;&gt;Patrícia Karla de Sousa Araújo",$B:$B,"&lt;&gt;Lorena Dias de Araujo",$B:$B,"&lt;&gt;Lucas Luiz Romero")*(10/1083),0)))))),0)</f>
        <v>20</v>
      </c>
      <c r="K2434" s="3">
        <f>I2434-J2434</f>
        <v>2</v>
      </c>
      <c r="L2434" s="3" t="str">
        <f>IF(K2434&lt;-5,"CRÍTICO",IF(K2434&lt;0,"ATENÇÃO",IF(K2434&lt;=5,"BOM","EXCELENTE")))</f>
        <v>BOM</v>
      </c>
      <c r="M2434">
        <v>24</v>
      </c>
      <c r="N2434">
        <v>99.27</v>
      </c>
      <c r="O2434">
        <v>31.163708086785011</v>
      </c>
    </row>
    <row r="2435" spans="1:15" hidden="1" x14ac:dyDescent="0.25">
      <c r="A2435" s="11">
        <v>46077</v>
      </c>
      <c r="B2435" t="s">
        <v>44</v>
      </c>
      <c r="C2435" t="s">
        <v>32</v>
      </c>
      <c r="D2435">
        <v>33</v>
      </c>
      <c r="E2435">
        <v>33</v>
      </c>
      <c r="F2435">
        <v>16.579999999999998</v>
      </c>
      <c r="G2435">
        <v>0</v>
      </c>
      <c r="H2435">
        <v>0</v>
      </c>
      <c r="I2435" s="3">
        <f>E2435+G2435+H2435</f>
        <v>33</v>
      </c>
      <c r="J2435" s="3">
        <f>ROUND(MIN(IF(C2435="Técnico III",35,IF(C2435="Técnico II",28,IF(C2435="Técnico I",23,IF(C2435="JR",20,IF(C2435="Estágio",10,0))))),IF(C2435="Técnico III",SUMIFS($D:$D,$A:$A,$A2435,$B:$B,"&lt;&gt;Patrícia Karla de Sousa Araújo",$B:$B,"&lt;&gt;Lorena Dias de Araujo",$B:$B,"&lt;&gt;Lucas Luiz Romero")*(35/1083),IF(C2435="Técnico II",SUMIFS($D:$D,$A:$A,$A2435,$B:$B,"&lt;&gt;Patrícia Karla de Sousa Araújo",$B:$B,"&lt;&gt;Lorena Dias de Araujo",$B:$B,"&lt;&gt;Lucas Luiz Romero")*(28/1083),IF(C2435="Técnico I",SUMIFS($D:$D,$A:$A,$A2435,$B:$B,"&lt;&gt;Patrícia Karla de Sousa Araújo",$B:$B,"&lt;&gt;Lorena Dias de Araujo",$B:$B,"&lt;&gt;Lucas Luiz Romero")*(23/1083),IF(C2435="JR",SUMIFS($D:$D,$A:$A,$A2435,$B:$B,"&lt;&gt;Patrícia Karla de Sousa Araújo",$B:$B,"&lt;&gt;Lorena Dias de Araujo",$B:$B,"&lt;&gt;Lucas Luiz Romero")*(20/1083),IF(C2435="Estágio",SUMIFS($D:$D,$A:$A,$A2435,$B:$B,"&lt;&gt;Patrícia Karla de Sousa Araújo",$B:$B,"&lt;&gt;Lorena Dias de Araujo",$B:$B,"&lt;&gt;Lucas Luiz Romero")*(10/1083),0)))))),0)</f>
        <v>20</v>
      </c>
      <c r="K2435" s="3">
        <f>I2435-J2435</f>
        <v>13</v>
      </c>
      <c r="L2435" s="3" t="str">
        <f>IF(K2435&lt;-5,"CRÍTICO",IF(K2435&lt;0,"ATENÇÃO",IF(K2435&lt;=5,"BOM","EXCELENTE")))</f>
        <v>EXCELENTE</v>
      </c>
      <c r="M2435">
        <v>28</v>
      </c>
      <c r="N2435">
        <v>94.16</v>
      </c>
      <c r="O2435">
        <v>27.038626609442058</v>
      </c>
    </row>
    <row r="2436" spans="1:15" hidden="1" x14ac:dyDescent="0.25">
      <c r="A2436" s="11">
        <v>46077</v>
      </c>
      <c r="B2436" t="s">
        <v>20</v>
      </c>
      <c r="C2436" t="s">
        <v>16</v>
      </c>
      <c r="D2436">
        <v>15</v>
      </c>
      <c r="E2436">
        <v>14</v>
      </c>
      <c r="F2436">
        <v>40.57</v>
      </c>
      <c r="G2436">
        <v>0</v>
      </c>
      <c r="H2436">
        <v>0</v>
      </c>
      <c r="I2436" s="3">
        <f>E2436+G2436+H2436</f>
        <v>14</v>
      </c>
      <c r="J2436" s="3">
        <f>ROUND(MIN(IF(C2436="Técnico III",35,IF(C2436="Técnico II",28,IF(C2436="Técnico I",23,IF(C2436="JR",20,IF(C2436="Estágio",10,0))))),IF(C2436="Técnico III",SUMIFS($D:$D,$A:$A,$A2436,$B:$B,"&lt;&gt;Patrícia Karla de Sousa Araújo",$B:$B,"&lt;&gt;Lorena Dias de Araujo",$B:$B,"&lt;&gt;Lucas Luiz Romero")*(35/1083),IF(C2436="Técnico II",SUMIFS($D:$D,$A:$A,$A2436,$B:$B,"&lt;&gt;Patrícia Karla de Sousa Araújo",$B:$B,"&lt;&gt;Lorena Dias de Araujo",$B:$B,"&lt;&gt;Lucas Luiz Romero")*(28/1083),IF(C2436="Técnico I",SUMIFS($D:$D,$A:$A,$A2436,$B:$B,"&lt;&gt;Patrícia Karla de Sousa Araújo",$B:$B,"&lt;&gt;Lorena Dias de Araujo",$B:$B,"&lt;&gt;Lucas Luiz Romero")*(23/1083),IF(C2436="JR",SUMIFS($D:$D,$A:$A,$A2436,$B:$B,"&lt;&gt;Patrícia Karla de Sousa Araújo",$B:$B,"&lt;&gt;Lorena Dias de Araujo",$B:$B,"&lt;&gt;Lucas Luiz Romero")*(20/1083),IF(C2436="Estágio",SUMIFS($D:$D,$A:$A,$A2436,$B:$B,"&lt;&gt;Patrícia Karla de Sousa Araújo",$B:$B,"&lt;&gt;Lorena Dias de Araujo",$B:$B,"&lt;&gt;Lucas Luiz Romero")*(10/1083),0)))))),0)</f>
        <v>6</v>
      </c>
      <c r="K2436" s="3">
        <f>I2436-J2436</f>
        <v>8</v>
      </c>
      <c r="L2436" s="3" t="str">
        <f>IF(K2436&lt;-5,"CRÍTICO",IF(K2436&lt;0,"ATENÇÃO",IF(K2436&lt;=5,"BOM","EXCELENTE")))</f>
        <v>EXCELENTE</v>
      </c>
      <c r="M2436">
        <v>5</v>
      </c>
      <c r="N2436">
        <v>93.75</v>
      </c>
      <c r="O2436">
        <v>19.31818181818182</v>
      </c>
    </row>
    <row r="2437" spans="1:15" hidden="1" x14ac:dyDescent="0.25">
      <c r="A2437" s="11">
        <v>46077</v>
      </c>
      <c r="B2437" t="s">
        <v>28</v>
      </c>
      <c r="C2437" t="s">
        <v>26</v>
      </c>
      <c r="D2437">
        <v>0</v>
      </c>
      <c r="E2437">
        <v>0</v>
      </c>
      <c r="F2437">
        <v>0</v>
      </c>
      <c r="G2437">
        <v>0</v>
      </c>
      <c r="H2437">
        <v>0</v>
      </c>
      <c r="I2437" s="3">
        <v>0</v>
      </c>
      <c r="J2437" s="3">
        <v>0</v>
      </c>
      <c r="K2437" s="3">
        <v>0</v>
      </c>
      <c r="L2437" s="3" t="str">
        <f>IF(K2437&lt;-5,"CRÍTICO",IF(K2437&lt;0,"ATENÇÃO",IF(K2437&lt;=5,"BOM","EXCELENTE")))</f>
        <v>BOM</v>
      </c>
      <c r="M2437">
        <v>0</v>
      </c>
      <c r="N2437">
        <v>0</v>
      </c>
      <c r="O2437">
        <v>0</v>
      </c>
    </row>
    <row r="2438" spans="1:15" hidden="1" x14ac:dyDescent="0.25">
      <c r="A2438" s="11">
        <v>46077</v>
      </c>
      <c r="B2438" t="s">
        <v>58</v>
      </c>
      <c r="C2438" t="s">
        <v>48</v>
      </c>
      <c r="D2438">
        <v>0</v>
      </c>
      <c r="E2438">
        <v>0</v>
      </c>
      <c r="F2438">
        <v>0</v>
      </c>
      <c r="G2438">
        <v>0</v>
      </c>
      <c r="H2438">
        <v>0</v>
      </c>
      <c r="I2438" s="3">
        <v>0</v>
      </c>
      <c r="J2438" s="3">
        <v>0</v>
      </c>
      <c r="K2438" s="3">
        <v>0</v>
      </c>
      <c r="L2438" s="3" t="str">
        <f>IF(K2438&lt;-5,"CRÍTICO",IF(K2438&lt;0,"ATENÇÃO",IF(K2438&lt;=5,"BOM","EXCELENTE")))</f>
        <v>BOM</v>
      </c>
      <c r="M2438">
        <v>0</v>
      </c>
      <c r="N2438">
        <v>97.92</v>
      </c>
      <c r="O2438">
        <v>32.87671232876712</v>
      </c>
    </row>
    <row r="2439" spans="1:15" hidden="1" x14ac:dyDescent="0.25">
      <c r="A2439" s="11">
        <v>46077</v>
      </c>
      <c r="B2439" t="s">
        <v>29</v>
      </c>
      <c r="C2439" t="s">
        <v>26</v>
      </c>
      <c r="D2439">
        <v>0</v>
      </c>
      <c r="E2439">
        <v>0</v>
      </c>
      <c r="F2439">
        <v>0</v>
      </c>
      <c r="G2439">
        <v>0</v>
      </c>
      <c r="H2439">
        <v>0</v>
      </c>
      <c r="I2439" s="3">
        <v>0</v>
      </c>
      <c r="J2439" s="3">
        <v>0</v>
      </c>
      <c r="K2439" s="3">
        <v>0</v>
      </c>
      <c r="L2439" s="3" t="str">
        <f>IF(K2439&lt;-5,"CRÍTICO",IF(K2439&lt;0,"ATENÇÃO",IF(K2439&lt;=5,"BOM","EXCELENTE")))</f>
        <v>BOM</v>
      </c>
      <c r="M2439">
        <v>0</v>
      </c>
      <c r="N2439">
        <v>0</v>
      </c>
      <c r="O2439">
        <v>0</v>
      </c>
    </row>
    <row r="2440" spans="1:15" hidden="1" x14ac:dyDescent="0.25">
      <c r="A2440" s="11">
        <v>46077</v>
      </c>
      <c r="B2440" t="s">
        <v>30</v>
      </c>
      <c r="C2440" t="s">
        <v>26</v>
      </c>
      <c r="D2440">
        <v>0</v>
      </c>
      <c r="E2440">
        <v>0</v>
      </c>
      <c r="F2440">
        <v>0</v>
      </c>
      <c r="G2440">
        <v>0</v>
      </c>
      <c r="H2440">
        <v>0</v>
      </c>
      <c r="I2440" s="3">
        <v>0</v>
      </c>
      <c r="J2440" s="3">
        <v>0</v>
      </c>
      <c r="K2440" s="3">
        <v>0</v>
      </c>
      <c r="L2440" s="3" t="str">
        <f>IF(K2440&lt;-5,"CRÍTICO",IF(K2440&lt;0,"ATENÇÃO",IF(K2440&lt;=5,"BOM","EXCELENTE")))</f>
        <v>BOM</v>
      </c>
      <c r="M2440">
        <v>0</v>
      </c>
      <c r="N2440">
        <v>0</v>
      </c>
      <c r="O2440">
        <v>0</v>
      </c>
    </row>
    <row r="2441" spans="1:15" hidden="1" x14ac:dyDescent="0.25">
      <c r="A2441" s="11">
        <v>46077</v>
      </c>
      <c r="B2441" t="s">
        <v>21</v>
      </c>
      <c r="C2441" t="s">
        <v>16</v>
      </c>
      <c r="D2441">
        <v>0</v>
      </c>
      <c r="E2441">
        <v>0</v>
      </c>
      <c r="F2441">
        <v>0</v>
      </c>
      <c r="G2441">
        <v>0</v>
      </c>
      <c r="H2441">
        <v>0</v>
      </c>
      <c r="I2441" s="3">
        <v>0</v>
      </c>
      <c r="J2441" s="3">
        <v>0</v>
      </c>
      <c r="K2441" s="3">
        <v>0</v>
      </c>
      <c r="L2441" s="3" t="str">
        <f>IF(K2441&lt;-5,"CRÍTICO",IF(K2441&lt;0,"ATENÇÃO",IF(K2441&lt;=5,"BOM","EXCELENTE")))</f>
        <v>BOM</v>
      </c>
      <c r="M2441">
        <v>0</v>
      </c>
      <c r="N2441">
        <v>0</v>
      </c>
      <c r="O2441">
        <v>0</v>
      </c>
    </row>
    <row r="2442" spans="1:15" hidden="1" x14ac:dyDescent="0.25">
      <c r="A2442" s="11">
        <v>46077</v>
      </c>
      <c r="B2442" t="s">
        <v>63</v>
      </c>
      <c r="C2442" t="s">
        <v>23</v>
      </c>
      <c r="D2442">
        <v>0</v>
      </c>
      <c r="E2442">
        <v>0</v>
      </c>
      <c r="F2442">
        <v>0</v>
      </c>
      <c r="G2442">
        <v>0</v>
      </c>
      <c r="H2442">
        <v>0</v>
      </c>
      <c r="I2442" s="3">
        <v>0</v>
      </c>
      <c r="J2442" s="3">
        <v>0</v>
      </c>
      <c r="K2442" s="3">
        <v>0</v>
      </c>
      <c r="L2442" s="3" t="str">
        <f>IF(K2442&lt;-5,"CRÍTICO",IF(K2442&lt;0,"ATENÇÃO",IF(K2442&lt;=5,"BOM","EXCELENTE")))</f>
        <v>BOM</v>
      </c>
      <c r="M2442">
        <v>0</v>
      </c>
      <c r="N2442">
        <v>98.51</v>
      </c>
      <c r="O2442">
        <v>29.710144927536231</v>
      </c>
    </row>
    <row r="2443" spans="1:15" hidden="1" x14ac:dyDescent="0.25">
      <c r="A2443" s="11">
        <v>46077</v>
      </c>
      <c r="B2443" t="s">
        <v>45</v>
      </c>
      <c r="C2443" t="s">
        <v>32</v>
      </c>
      <c r="D2443">
        <v>38</v>
      </c>
      <c r="E2443">
        <v>32</v>
      </c>
      <c r="F2443">
        <v>15.07</v>
      </c>
      <c r="G2443">
        <v>0</v>
      </c>
      <c r="H2443">
        <v>0</v>
      </c>
      <c r="I2443" s="3">
        <f>E2443+G2443+H2443</f>
        <v>32</v>
      </c>
      <c r="J2443" s="3">
        <f>ROUND(MIN(IF(C2443="Técnico III",35,IF(C2443="Técnico II",28,IF(C2443="Técnico I",23,IF(C2443="JR",20,IF(C2443="Estágio",10,0))))),IF(C2443="Técnico III",SUMIFS($D:$D,$A:$A,$A2443,$B:$B,"&lt;&gt;Patrícia Karla de Sousa Araújo",$B:$B,"&lt;&gt;Lorena Dias de Araujo",$B:$B,"&lt;&gt;Lucas Luiz Romero")*(35/1083),IF(C2443="Técnico II",SUMIFS($D:$D,$A:$A,$A2443,$B:$B,"&lt;&gt;Patrícia Karla de Sousa Araújo",$B:$B,"&lt;&gt;Lorena Dias de Araujo",$B:$B,"&lt;&gt;Lucas Luiz Romero")*(28/1083),IF(C2443="Técnico I",SUMIFS($D:$D,$A:$A,$A2443,$B:$B,"&lt;&gt;Patrícia Karla de Sousa Araújo",$B:$B,"&lt;&gt;Lorena Dias de Araujo",$B:$B,"&lt;&gt;Lucas Luiz Romero")*(23/1083),IF(C2443="JR",SUMIFS($D:$D,$A:$A,$A2443,$B:$B,"&lt;&gt;Patrícia Karla de Sousa Araújo",$B:$B,"&lt;&gt;Lorena Dias de Araujo",$B:$B,"&lt;&gt;Lucas Luiz Romero")*(20/1083),IF(C2443="Estágio",SUMIFS($D:$D,$A:$A,$A2443,$B:$B,"&lt;&gt;Patrícia Karla de Sousa Araújo",$B:$B,"&lt;&gt;Lorena Dias de Araujo",$B:$B,"&lt;&gt;Lucas Luiz Romero")*(10/1083),0)))))),0)</f>
        <v>20</v>
      </c>
      <c r="K2443" s="3">
        <f>I2443-J2443</f>
        <v>12</v>
      </c>
      <c r="L2443" s="3" t="str">
        <f>IF(K2443&lt;-5,"CRÍTICO",IF(K2443&lt;0,"ATENÇÃO",IF(K2443&lt;=5,"BOM","EXCELENTE")))</f>
        <v>EXCELENTE</v>
      </c>
      <c r="M2443">
        <v>27</v>
      </c>
      <c r="N2443">
        <v>98.81</v>
      </c>
      <c r="O2443">
        <v>30.712979890310791</v>
      </c>
    </row>
    <row r="2444" spans="1:15" hidden="1" x14ac:dyDescent="0.25">
      <c r="A2444" s="11">
        <v>46077</v>
      </c>
      <c r="B2444" t="s">
        <v>64</v>
      </c>
      <c r="C2444" t="s">
        <v>23</v>
      </c>
      <c r="D2444">
        <v>8</v>
      </c>
      <c r="E2444">
        <v>7</v>
      </c>
      <c r="F2444">
        <v>47.18</v>
      </c>
      <c r="G2444">
        <v>0</v>
      </c>
      <c r="H2444">
        <v>0</v>
      </c>
      <c r="I2444" s="3">
        <f>E2444+G2444+H2444</f>
        <v>7</v>
      </c>
      <c r="J2444" s="3">
        <f>ROUND(MIN(IF(C2444="Técnico III",35,IF(C2444="Técnico II",28,IF(C2444="Técnico I",23,IF(C2444="JR",20,IF(C2444="Estágio",10,0))))),IF(C2444="Técnico III",SUMIFS($D:$D,$A:$A,$A2444,$B:$B,"&lt;&gt;Patrícia Karla de Sousa Araújo",$B:$B,"&lt;&gt;Lorena Dias de Araujo",$B:$B,"&lt;&gt;Lucas Luiz Romero")*(35/1083),IF(C2444="Técnico II",SUMIFS($D:$D,$A:$A,$A2444,$B:$B,"&lt;&gt;Patrícia Karla de Sousa Araújo",$B:$B,"&lt;&gt;Lorena Dias de Araujo",$B:$B,"&lt;&gt;Lucas Luiz Romero")*(28/1083),IF(C2444="Técnico I",SUMIFS($D:$D,$A:$A,$A2444,$B:$B,"&lt;&gt;Patrícia Karla de Sousa Araújo",$B:$B,"&lt;&gt;Lorena Dias de Araujo",$B:$B,"&lt;&gt;Lucas Luiz Romero")*(23/1083),IF(C2444="JR",SUMIFS($D:$D,$A:$A,$A2444,$B:$B,"&lt;&gt;Patrícia Karla de Sousa Araújo",$B:$B,"&lt;&gt;Lorena Dias de Araujo",$B:$B,"&lt;&gt;Lucas Luiz Romero")*(20/1083),IF(C2444="Estágio",SUMIFS($D:$D,$A:$A,$A2444,$B:$B,"&lt;&gt;Patrícia Karla de Sousa Araújo",$B:$B,"&lt;&gt;Lorena Dias de Araujo",$B:$B,"&lt;&gt;Lucas Luiz Romero")*(10/1083),0)))))),0)</f>
        <v>13</v>
      </c>
      <c r="K2444" s="3">
        <f>I2444-J2444</f>
        <v>-6</v>
      </c>
      <c r="L2444" s="3" t="str">
        <f>IF(K2444&lt;-5,"CRÍTICO",IF(K2444&lt;0,"ATENÇÃO",IF(K2444&lt;=5,"BOM","EXCELENTE")))</f>
        <v>CRÍTICO</v>
      </c>
      <c r="M2444">
        <v>7</v>
      </c>
      <c r="N2444">
        <v>98.48</v>
      </c>
      <c r="O2444">
        <v>29.35323383084577</v>
      </c>
    </row>
    <row r="2445" spans="1:15" hidden="1" x14ac:dyDescent="0.25">
      <c r="A2445" s="11">
        <v>46077</v>
      </c>
      <c r="B2445" t="s">
        <v>46</v>
      </c>
      <c r="C2445" t="s">
        <v>32</v>
      </c>
      <c r="D2445">
        <v>21</v>
      </c>
      <c r="E2445">
        <v>20</v>
      </c>
      <c r="F2445">
        <v>28.58</v>
      </c>
      <c r="G2445">
        <v>0</v>
      </c>
      <c r="H2445">
        <v>0</v>
      </c>
      <c r="I2445" s="3">
        <f>E2445+G2445+H2445</f>
        <v>20</v>
      </c>
      <c r="J2445" s="3">
        <f>ROUND(MIN(IF(C2445="Técnico III",35,IF(C2445="Técnico II",28,IF(C2445="Técnico I",23,IF(C2445="JR",20,IF(C2445="Estágio",10,0))))),IF(C2445="Técnico III",SUMIFS($D:$D,$A:$A,$A2445,$B:$B,"&lt;&gt;Patrícia Karla de Sousa Araújo",$B:$B,"&lt;&gt;Lorena Dias de Araujo",$B:$B,"&lt;&gt;Lucas Luiz Romero")*(35/1083),IF(C2445="Técnico II",SUMIFS($D:$D,$A:$A,$A2445,$B:$B,"&lt;&gt;Patrícia Karla de Sousa Araújo",$B:$B,"&lt;&gt;Lorena Dias de Araujo",$B:$B,"&lt;&gt;Lucas Luiz Romero")*(28/1083),IF(C2445="Técnico I",SUMIFS($D:$D,$A:$A,$A2445,$B:$B,"&lt;&gt;Patrícia Karla de Sousa Araújo",$B:$B,"&lt;&gt;Lorena Dias de Araujo",$B:$B,"&lt;&gt;Lucas Luiz Romero")*(23/1083),IF(C2445="JR",SUMIFS($D:$D,$A:$A,$A2445,$B:$B,"&lt;&gt;Patrícia Karla de Sousa Araújo",$B:$B,"&lt;&gt;Lorena Dias de Araujo",$B:$B,"&lt;&gt;Lucas Luiz Romero")*(20/1083),IF(C2445="Estágio",SUMIFS($D:$D,$A:$A,$A2445,$B:$B,"&lt;&gt;Patrícia Karla de Sousa Araújo",$B:$B,"&lt;&gt;Lorena Dias de Araujo",$B:$B,"&lt;&gt;Lucas Luiz Romero")*(10/1083),0)))))),0)</f>
        <v>20</v>
      </c>
      <c r="K2445" s="3">
        <f>I2445-J2445</f>
        <v>0</v>
      </c>
      <c r="L2445" s="3" t="str">
        <f>IF(K2445&lt;-5,"CRÍTICO",IF(K2445&lt;0,"ATENÇÃO",IF(K2445&lt;=5,"BOM","EXCELENTE")))</f>
        <v>BOM</v>
      </c>
      <c r="M2445">
        <v>19</v>
      </c>
      <c r="N2445">
        <v>98.56</v>
      </c>
      <c r="O2445">
        <v>29.373650107991359</v>
      </c>
    </row>
    <row r="2446" spans="1:15" hidden="1" x14ac:dyDescent="0.25">
      <c r="A2446" s="11">
        <v>46078</v>
      </c>
      <c r="B2446" t="s">
        <v>47</v>
      </c>
      <c r="C2446" t="s">
        <v>48</v>
      </c>
      <c r="D2446">
        <v>6</v>
      </c>
      <c r="E2446">
        <v>6</v>
      </c>
      <c r="F2446">
        <v>71.47</v>
      </c>
      <c r="G2446">
        <v>0</v>
      </c>
      <c r="H2446">
        <v>0</v>
      </c>
      <c r="I2446" s="3">
        <f>E2446+G2446+H2446</f>
        <v>6</v>
      </c>
      <c r="J2446" s="3">
        <f>ROUND(MIN(IF(C2446="Técnico III",35,IF(C2446="Técnico II",28,IF(C2446="Técnico I",23,IF(C2446="JR",20,IF(C2446="Estágio",10,0))))),IF(C2446="Técnico III",SUMIFS($D:$D,$A:$A,$A2446,$B:$B,"&lt;&gt;Patrícia Karla de Sousa Araújo",$B:$B,"&lt;&gt;Lorena Dias de Araujo",$B:$B,"&lt;&gt;Lucas Luiz Romero")*(35/1083),IF(C2446="Técnico II",SUMIFS($D:$D,$A:$A,$A2446,$B:$B,"&lt;&gt;Patrícia Karla de Sousa Araújo",$B:$B,"&lt;&gt;Lorena Dias de Araujo",$B:$B,"&lt;&gt;Lucas Luiz Romero")*(28/1083),IF(C2446="Técnico I",SUMIFS($D:$D,$A:$A,$A2446,$B:$B,"&lt;&gt;Patrícia Karla de Sousa Araújo",$B:$B,"&lt;&gt;Lorena Dias de Araujo",$B:$B,"&lt;&gt;Lucas Luiz Romero")*(23/1083),IF(C2446="JR",SUMIFS($D:$D,$A:$A,$A2446,$B:$B,"&lt;&gt;Patrícia Karla de Sousa Araújo",$B:$B,"&lt;&gt;Lorena Dias de Araujo",$B:$B,"&lt;&gt;Lucas Luiz Romero")*(20/1083),IF(C2446="Estágio",SUMIFS($D:$D,$A:$A,$A2446,$B:$B,"&lt;&gt;Patrícia Karla de Sousa Araújo",$B:$B,"&lt;&gt;Lorena Dias de Araujo",$B:$B,"&lt;&gt;Lucas Luiz Romero")*(10/1083),0)))))),0)</f>
        <v>16</v>
      </c>
      <c r="K2446" s="3">
        <f>I2446-J2446</f>
        <v>-10</v>
      </c>
      <c r="L2446" s="3" t="str">
        <f>IF(K2446&lt;-5,"CRÍTICO",IF(K2446&lt;0,"ATENÇÃO",IF(K2446&lt;=5,"BOM","EXCELENTE")))</f>
        <v>CRÍTICO</v>
      </c>
      <c r="M2446">
        <v>6</v>
      </c>
      <c r="N2446">
        <v>98.32</v>
      </c>
      <c r="O2446">
        <v>30.303030303030301</v>
      </c>
    </row>
    <row r="2447" spans="1:15" hidden="1" x14ac:dyDescent="0.25">
      <c r="A2447" s="11">
        <v>46078</v>
      </c>
      <c r="B2447" t="s">
        <v>31</v>
      </c>
      <c r="C2447" t="s">
        <v>32</v>
      </c>
      <c r="D2447">
        <v>0</v>
      </c>
      <c r="E2447">
        <v>0</v>
      </c>
      <c r="F2447">
        <v>0</v>
      </c>
      <c r="G2447">
        <v>0</v>
      </c>
      <c r="H2447">
        <v>0</v>
      </c>
      <c r="I2447" s="3">
        <v>0</v>
      </c>
      <c r="J2447" s="3">
        <v>0</v>
      </c>
      <c r="K2447" s="3">
        <v>0</v>
      </c>
      <c r="L2447" s="3" t="str">
        <f>IF(K2447&lt;-5,"CRÍTICO",IF(K2447&lt;0,"ATENÇÃO",IF(K2447&lt;=5,"BOM","EXCELENTE")))</f>
        <v>BOM</v>
      </c>
      <c r="M2447">
        <v>24</v>
      </c>
      <c r="N2447">
        <v>98.68</v>
      </c>
      <c r="O2447">
        <v>26.219512195121951</v>
      </c>
    </row>
    <row r="2448" spans="1:15" hidden="1" x14ac:dyDescent="0.25">
      <c r="A2448" s="11">
        <v>46078</v>
      </c>
      <c r="B2448" t="s">
        <v>59</v>
      </c>
      <c r="C2448" t="s">
        <v>23</v>
      </c>
      <c r="D2448">
        <v>29</v>
      </c>
      <c r="E2448">
        <v>27</v>
      </c>
      <c r="F2448">
        <v>27.03</v>
      </c>
      <c r="G2448">
        <v>0</v>
      </c>
      <c r="H2448">
        <v>0</v>
      </c>
      <c r="I2448" s="3">
        <f>E2448+G2448+H2448</f>
        <v>27</v>
      </c>
      <c r="J2448" s="3">
        <f>ROUND(MIN(IF(C2448="Técnico III",35,IF(C2448="Técnico II",28,IF(C2448="Técnico I",23,IF(C2448="JR",20,IF(C2448="Estágio",10,0))))),IF(C2448="Técnico III",SUMIFS($D:$D,$A:$A,$A2448,$B:$B,"&lt;&gt;Patrícia Karla de Sousa Araújo",$B:$B,"&lt;&gt;Lorena Dias de Araujo",$B:$B,"&lt;&gt;Lucas Luiz Romero")*(35/1083),IF(C2448="Técnico II",SUMIFS($D:$D,$A:$A,$A2448,$B:$B,"&lt;&gt;Patrícia Karla de Sousa Araújo",$B:$B,"&lt;&gt;Lorena Dias de Araujo",$B:$B,"&lt;&gt;Lucas Luiz Romero")*(28/1083),IF(C2448="Técnico I",SUMIFS($D:$D,$A:$A,$A2448,$B:$B,"&lt;&gt;Patrícia Karla de Sousa Araújo",$B:$B,"&lt;&gt;Lorena Dias de Araujo",$B:$B,"&lt;&gt;Lucas Luiz Romero")*(23/1083),IF(C2448="JR",SUMIFS($D:$D,$A:$A,$A2448,$B:$B,"&lt;&gt;Patrícia Karla de Sousa Araújo",$B:$B,"&lt;&gt;Lorena Dias de Araujo",$B:$B,"&lt;&gt;Lucas Luiz Romero")*(20/1083),IF(C2448="Estágio",SUMIFS($D:$D,$A:$A,$A2448,$B:$B,"&lt;&gt;Patrícia Karla de Sousa Araújo",$B:$B,"&lt;&gt;Lorena Dias de Araujo",$B:$B,"&lt;&gt;Lucas Luiz Romero")*(10/1083),0)))))),0)</f>
        <v>13</v>
      </c>
      <c r="K2448" s="3">
        <f>I2448-J2448</f>
        <v>14</v>
      </c>
      <c r="L2448" s="3" t="str">
        <f>IF(K2448&lt;-5,"CRÍTICO",IF(K2448&lt;0,"ATENÇÃO",IF(K2448&lt;=5,"BOM","EXCELENTE")))</f>
        <v>EXCELENTE</v>
      </c>
      <c r="M2448">
        <v>25</v>
      </c>
      <c r="N2448">
        <v>100</v>
      </c>
      <c r="O2448">
        <v>31.74224343675418</v>
      </c>
    </row>
    <row r="2449" spans="1:15" hidden="1" x14ac:dyDescent="0.25">
      <c r="A2449" s="11">
        <v>46078</v>
      </c>
      <c r="B2449" t="s">
        <v>33</v>
      </c>
      <c r="C2449" t="s">
        <v>32</v>
      </c>
      <c r="D2449">
        <v>18</v>
      </c>
      <c r="E2449">
        <v>17</v>
      </c>
      <c r="F2449">
        <v>40.31</v>
      </c>
      <c r="G2449">
        <v>0</v>
      </c>
      <c r="H2449">
        <v>0</v>
      </c>
      <c r="I2449" s="3">
        <f>E2449+G2449+H2449</f>
        <v>17</v>
      </c>
      <c r="J2449" s="3">
        <f>ROUND(MIN(IF(C2449="Técnico III",35,IF(C2449="Técnico II",28,IF(C2449="Técnico I",23,IF(C2449="JR",20,IF(C2449="Estágio",10,0))))),IF(C2449="Técnico III",SUMIFS($D:$D,$A:$A,$A2449,$B:$B,"&lt;&gt;Patrícia Karla de Sousa Araújo",$B:$B,"&lt;&gt;Lorena Dias de Araujo",$B:$B,"&lt;&gt;Lucas Luiz Romero")*(35/1083),IF(C2449="Técnico II",SUMIFS($D:$D,$A:$A,$A2449,$B:$B,"&lt;&gt;Patrícia Karla de Sousa Araújo",$B:$B,"&lt;&gt;Lorena Dias de Araujo",$B:$B,"&lt;&gt;Lucas Luiz Romero")*(28/1083),IF(C2449="Técnico I",SUMIFS($D:$D,$A:$A,$A2449,$B:$B,"&lt;&gt;Patrícia Karla de Sousa Araújo",$B:$B,"&lt;&gt;Lorena Dias de Araujo",$B:$B,"&lt;&gt;Lucas Luiz Romero")*(23/1083),IF(C2449="JR",SUMIFS($D:$D,$A:$A,$A2449,$B:$B,"&lt;&gt;Patrícia Karla de Sousa Araújo",$B:$B,"&lt;&gt;Lorena Dias de Araujo",$B:$B,"&lt;&gt;Lucas Luiz Romero")*(20/1083),IF(C2449="Estágio",SUMIFS($D:$D,$A:$A,$A2449,$B:$B,"&lt;&gt;Patrícia Karla de Sousa Araújo",$B:$B,"&lt;&gt;Lorena Dias de Araujo",$B:$B,"&lt;&gt;Lucas Luiz Romero")*(10/1083),0)))))),0)</f>
        <v>20</v>
      </c>
      <c r="K2449" s="3">
        <f>I2449-J2449</f>
        <v>-3</v>
      </c>
      <c r="L2449" s="3" t="str">
        <f>IF(K2449&lt;-5,"CRÍTICO",IF(K2449&lt;0,"ATENÇÃO",IF(K2449&lt;=5,"BOM","EXCELENTE")))</f>
        <v>ATENÇÃO</v>
      </c>
      <c r="M2449">
        <v>13</v>
      </c>
      <c r="N2449">
        <v>98.25</v>
      </c>
      <c r="O2449">
        <v>25.83518930957684</v>
      </c>
    </row>
    <row r="2450" spans="1:15" hidden="1" x14ac:dyDescent="0.25">
      <c r="A2450" s="11">
        <v>46078</v>
      </c>
      <c r="B2450" t="s">
        <v>15</v>
      </c>
      <c r="C2450" t="s">
        <v>16</v>
      </c>
      <c r="D2450">
        <v>13</v>
      </c>
      <c r="E2450">
        <v>12</v>
      </c>
      <c r="F2450">
        <v>43.59</v>
      </c>
      <c r="G2450">
        <v>0</v>
      </c>
      <c r="H2450">
        <v>0</v>
      </c>
      <c r="I2450" s="3">
        <f>E2450+G2450+H2450</f>
        <v>12</v>
      </c>
      <c r="J2450" s="3">
        <f>ROUND(MIN(IF(C2450="Técnico III",35,IF(C2450="Técnico II",28,IF(C2450="Técnico I",23,IF(C2450="JR",20,IF(C2450="Estágio",10,0))))),IF(C2450="Técnico III",SUMIFS($D:$D,$A:$A,$A2450,$B:$B,"&lt;&gt;Patrícia Karla de Sousa Araújo",$B:$B,"&lt;&gt;Lorena Dias de Araujo",$B:$B,"&lt;&gt;Lucas Luiz Romero")*(35/1083),IF(C2450="Técnico II",SUMIFS($D:$D,$A:$A,$A2450,$B:$B,"&lt;&gt;Patrícia Karla de Sousa Araújo",$B:$B,"&lt;&gt;Lorena Dias de Araujo",$B:$B,"&lt;&gt;Lucas Luiz Romero")*(28/1083),IF(C2450="Técnico I",SUMIFS($D:$D,$A:$A,$A2450,$B:$B,"&lt;&gt;Patrícia Karla de Sousa Araújo",$B:$B,"&lt;&gt;Lorena Dias de Araujo",$B:$B,"&lt;&gt;Lucas Luiz Romero")*(23/1083),IF(C2450="JR",SUMIFS($D:$D,$A:$A,$A2450,$B:$B,"&lt;&gt;Patrícia Karla de Sousa Araújo",$B:$B,"&lt;&gt;Lorena Dias de Araujo",$B:$B,"&lt;&gt;Lucas Luiz Romero")*(20/1083),IF(C2450="Estágio",SUMIFS($D:$D,$A:$A,$A2450,$B:$B,"&lt;&gt;Patrícia Karla de Sousa Araújo",$B:$B,"&lt;&gt;Lorena Dias de Araujo",$B:$B,"&lt;&gt;Lucas Luiz Romero")*(10/1083),0)))))),0)</f>
        <v>6</v>
      </c>
      <c r="K2450" s="3">
        <f>I2450-J2450</f>
        <v>6</v>
      </c>
      <c r="L2450" s="3" t="str">
        <f>IF(K2450&lt;-5,"CRÍTICO",IF(K2450&lt;0,"ATENÇÃO",IF(K2450&lt;=5,"BOM","EXCELENTE")))</f>
        <v>EXCELENTE</v>
      </c>
      <c r="M2450">
        <v>11</v>
      </c>
      <c r="N2450">
        <v>97.5</v>
      </c>
      <c r="O2450">
        <v>30.075187969924809</v>
      </c>
    </row>
    <row r="2451" spans="1:15" hidden="1" x14ac:dyDescent="0.25">
      <c r="A2451" s="11">
        <v>46078</v>
      </c>
      <c r="B2451" t="s">
        <v>49</v>
      </c>
      <c r="C2451" t="s">
        <v>48</v>
      </c>
      <c r="D2451">
        <v>34</v>
      </c>
      <c r="E2451">
        <v>29</v>
      </c>
      <c r="F2451">
        <v>19.190000000000001</v>
      </c>
      <c r="G2451">
        <v>0</v>
      </c>
      <c r="H2451">
        <v>0</v>
      </c>
      <c r="I2451" s="3">
        <f>E2451+G2451+H2451</f>
        <v>29</v>
      </c>
      <c r="J2451" s="3">
        <f>ROUND(MIN(IF(C2451="Técnico III",35,IF(C2451="Técnico II",28,IF(C2451="Técnico I",23,IF(C2451="JR",20,IF(C2451="Estágio",10,0))))),IF(C2451="Técnico III",SUMIFS($D:$D,$A:$A,$A2451,$B:$B,"&lt;&gt;Patrícia Karla de Sousa Araújo",$B:$B,"&lt;&gt;Lorena Dias de Araujo",$B:$B,"&lt;&gt;Lucas Luiz Romero")*(35/1083),IF(C2451="Técnico II",SUMIFS($D:$D,$A:$A,$A2451,$B:$B,"&lt;&gt;Patrícia Karla de Sousa Araújo",$B:$B,"&lt;&gt;Lorena Dias de Araujo",$B:$B,"&lt;&gt;Lucas Luiz Romero")*(28/1083),IF(C2451="Técnico I",SUMIFS($D:$D,$A:$A,$A2451,$B:$B,"&lt;&gt;Patrícia Karla de Sousa Araújo",$B:$B,"&lt;&gt;Lorena Dias de Araujo",$B:$B,"&lt;&gt;Lucas Luiz Romero")*(23/1083),IF(C2451="JR",SUMIFS($D:$D,$A:$A,$A2451,$B:$B,"&lt;&gt;Patrícia Karla de Sousa Araújo",$B:$B,"&lt;&gt;Lorena Dias de Araujo",$B:$B,"&lt;&gt;Lucas Luiz Romero")*(20/1083),IF(C2451="Estágio",SUMIFS($D:$D,$A:$A,$A2451,$B:$B,"&lt;&gt;Patrícia Karla de Sousa Araújo",$B:$B,"&lt;&gt;Lorena Dias de Araujo",$B:$B,"&lt;&gt;Lucas Luiz Romero")*(10/1083),0)))))),0)</f>
        <v>16</v>
      </c>
      <c r="K2451" s="3">
        <f>I2451-J2451</f>
        <v>13</v>
      </c>
      <c r="L2451" s="3" t="str">
        <f>IF(K2451&lt;-5,"CRÍTICO",IF(K2451&lt;0,"ATENÇÃO",IF(K2451&lt;=5,"BOM","EXCELENTE")))</f>
        <v>EXCELENTE</v>
      </c>
      <c r="M2451">
        <v>29</v>
      </c>
      <c r="N2451">
        <v>100</v>
      </c>
      <c r="O2451">
        <v>29.71311475409836</v>
      </c>
    </row>
    <row r="2452" spans="1:15" hidden="1" x14ac:dyDescent="0.25">
      <c r="A2452" s="11">
        <v>46078</v>
      </c>
      <c r="B2452" t="s">
        <v>50</v>
      </c>
      <c r="C2452" t="s">
        <v>48</v>
      </c>
      <c r="D2452">
        <v>10</v>
      </c>
      <c r="E2452">
        <v>10</v>
      </c>
      <c r="F2452">
        <v>70.08</v>
      </c>
      <c r="G2452">
        <v>0</v>
      </c>
      <c r="H2452">
        <v>0</v>
      </c>
      <c r="I2452" s="3">
        <f>E2452+G2452+H2452</f>
        <v>10</v>
      </c>
      <c r="J2452" s="3">
        <f>ROUND(MIN(IF(C2452="Técnico III",35,IF(C2452="Técnico II",28,IF(C2452="Técnico I",23,IF(C2452="JR",20,IF(C2452="Estágio",10,0))))),IF(C2452="Técnico III",SUMIFS($D:$D,$A:$A,$A2452,$B:$B,"&lt;&gt;Patrícia Karla de Sousa Araújo",$B:$B,"&lt;&gt;Lorena Dias de Araujo",$B:$B,"&lt;&gt;Lucas Luiz Romero")*(35/1083),IF(C2452="Técnico II",SUMIFS($D:$D,$A:$A,$A2452,$B:$B,"&lt;&gt;Patrícia Karla de Sousa Araújo",$B:$B,"&lt;&gt;Lorena Dias de Araujo",$B:$B,"&lt;&gt;Lucas Luiz Romero")*(28/1083),IF(C2452="Técnico I",SUMIFS($D:$D,$A:$A,$A2452,$B:$B,"&lt;&gt;Patrícia Karla de Sousa Araújo",$B:$B,"&lt;&gt;Lorena Dias de Araujo",$B:$B,"&lt;&gt;Lucas Luiz Romero")*(23/1083),IF(C2452="JR",SUMIFS($D:$D,$A:$A,$A2452,$B:$B,"&lt;&gt;Patrícia Karla de Sousa Araújo",$B:$B,"&lt;&gt;Lorena Dias de Araujo",$B:$B,"&lt;&gt;Lucas Luiz Romero")*(20/1083),IF(C2452="Estágio",SUMIFS($D:$D,$A:$A,$A2452,$B:$B,"&lt;&gt;Patrícia Karla de Sousa Araújo",$B:$B,"&lt;&gt;Lorena Dias de Araujo",$B:$B,"&lt;&gt;Lucas Luiz Romero")*(10/1083),0)))))),0)</f>
        <v>16</v>
      </c>
      <c r="K2452" s="3">
        <f>I2452-J2452</f>
        <v>-6</v>
      </c>
      <c r="L2452" s="3" t="str">
        <f>IF(K2452&lt;-5,"CRÍTICO",IF(K2452&lt;0,"ATENÇÃO",IF(K2452&lt;=5,"BOM","EXCELENTE")))</f>
        <v>CRÍTICO</v>
      </c>
      <c r="M2452">
        <v>9</v>
      </c>
      <c r="N2452">
        <v>99.22</v>
      </c>
      <c r="O2452">
        <v>35.256410256410263</v>
      </c>
    </row>
    <row r="2453" spans="1:15" hidden="1" x14ac:dyDescent="0.25">
      <c r="A2453" s="11">
        <v>46078</v>
      </c>
      <c r="B2453" t="s">
        <v>17</v>
      </c>
      <c r="C2453" t="s">
        <v>16</v>
      </c>
      <c r="D2453">
        <v>0</v>
      </c>
      <c r="E2453">
        <v>0</v>
      </c>
      <c r="F2453">
        <v>0</v>
      </c>
      <c r="G2453">
        <v>0</v>
      </c>
      <c r="H2453">
        <v>0</v>
      </c>
      <c r="I2453" s="3">
        <v>0</v>
      </c>
      <c r="J2453" s="3">
        <v>0</v>
      </c>
      <c r="K2453" s="3">
        <v>0</v>
      </c>
      <c r="L2453" s="3" t="str">
        <f>IF(K2453&lt;-5,"CRÍTICO",IF(K2453&lt;0,"ATENÇÃO",IF(K2453&lt;=5,"BOM","EXCELENTE")))</f>
        <v>BOM</v>
      </c>
      <c r="M2453">
        <v>0</v>
      </c>
      <c r="N2453">
        <v>0</v>
      </c>
      <c r="O2453">
        <v>0</v>
      </c>
    </row>
    <row r="2454" spans="1:15" hidden="1" x14ac:dyDescent="0.25">
      <c r="A2454" s="11">
        <v>46078</v>
      </c>
      <c r="B2454" t="s">
        <v>60</v>
      </c>
      <c r="C2454" t="s">
        <v>23</v>
      </c>
      <c r="D2454">
        <v>16</v>
      </c>
      <c r="E2454">
        <v>14</v>
      </c>
      <c r="F2454">
        <v>29.15</v>
      </c>
      <c r="G2454">
        <v>0</v>
      </c>
      <c r="H2454">
        <v>0</v>
      </c>
      <c r="I2454" s="3">
        <f>E2454+G2454+H2454</f>
        <v>14</v>
      </c>
      <c r="J2454" s="3">
        <f>ROUND(MIN(IF(C2454="Técnico III",35,IF(C2454="Técnico II",28,IF(C2454="Técnico I",23,IF(C2454="JR",20,IF(C2454="Estágio",10,0))))),IF(C2454="Técnico III",SUMIFS($D:$D,$A:$A,$A2454,$B:$B,"&lt;&gt;Patrícia Karla de Sousa Araújo",$B:$B,"&lt;&gt;Lorena Dias de Araujo",$B:$B,"&lt;&gt;Lucas Luiz Romero")*(35/1083),IF(C2454="Técnico II",SUMIFS($D:$D,$A:$A,$A2454,$B:$B,"&lt;&gt;Patrícia Karla de Sousa Araújo",$B:$B,"&lt;&gt;Lorena Dias de Araujo",$B:$B,"&lt;&gt;Lucas Luiz Romero")*(28/1083),IF(C2454="Técnico I",SUMIFS($D:$D,$A:$A,$A2454,$B:$B,"&lt;&gt;Patrícia Karla de Sousa Araújo",$B:$B,"&lt;&gt;Lorena Dias de Araujo",$B:$B,"&lt;&gt;Lucas Luiz Romero")*(23/1083),IF(C2454="JR",SUMIFS($D:$D,$A:$A,$A2454,$B:$B,"&lt;&gt;Patrícia Karla de Sousa Araújo",$B:$B,"&lt;&gt;Lorena Dias de Araujo",$B:$B,"&lt;&gt;Lucas Luiz Romero")*(20/1083),IF(C2454="Estágio",SUMIFS($D:$D,$A:$A,$A2454,$B:$B,"&lt;&gt;Patrícia Karla de Sousa Araújo",$B:$B,"&lt;&gt;Lorena Dias de Araujo",$B:$B,"&lt;&gt;Lucas Luiz Romero")*(10/1083),0)))))),0)</f>
        <v>13</v>
      </c>
      <c r="K2454" s="3">
        <f>I2454-J2454</f>
        <v>1</v>
      </c>
      <c r="L2454" s="3" t="str">
        <f>IF(K2454&lt;-5,"CRÍTICO",IF(K2454&lt;0,"ATENÇÃO",IF(K2454&lt;=5,"BOM","EXCELENTE")))</f>
        <v>BOM</v>
      </c>
      <c r="M2454">
        <v>14</v>
      </c>
      <c r="N2454">
        <v>98.75</v>
      </c>
      <c r="O2454">
        <v>24.32432432432433</v>
      </c>
    </row>
    <row r="2455" spans="1:15" hidden="1" x14ac:dyDescent="0.25">
      <c r="A2455" s="11">
        <v>46078</v>
      </c>
      <c r="B2455" t="s">
        <v>34</v>
      </c>
      <c r="C2455" t="s">
        <v>32</v>
      </c>
      <c r="D2455">
        <v>23</v>
      </c>
      <c r="E2455">
        <v>21</v>
      </c>
      <c r="F2455">
        <v>26.51</v>
      </c>
      <c r="G2455">
        <v>0</v>
      </c>
      <c r="H2455">
        <v>0</v>
      </c>
      <c r="I2455" s="3">
        <f>E2455+G2455+H2455</f>
        <v>21</v>
      </c>
      <c r="J2455" s="3">
        <f>ROUND(MIN(IF(C2455="Técnico III",35,IF(C2455="Técnico II",28,IF(C2455="Técnico I",23,IF(C2455="JR",20,IF(C2455="Estágio",10,0))))),IF(C2455="Técnico III",SUMIFS($D:$D,$A:$A,$A2455,$B:$B,"&lt;&gt;Patrícia Karla de Sousa Araújo",$B:$B,"&lt;&gt;Lorena Dias de Araujo",$B:$B,"&lt;&gt;Lucas Luiz Romero")*(35/1083),IF(C2455="Técnico II",SUMIFS($D:$D,$A:$A,$A2455,$B:$B,"&lt;&gt;Patrícia Karla de Sousa Araújo",$B:$B,"&lt;&gt;Lorena Dias de Araujo",$B:$B,"&lt;&gt;Lucas Luiz Romero")*(28/1083),IF(C2455="Técnico I",SUMIFS($D:$D,$A:$A,$A2455,$B:$B,"&lt;&gt;Patrícia Karla de Sousa Araújo",$B:$B,"&lt;&gt;Lorena Dias de Araujo",$B:$B,"&lt;&gt;Lucas Luiz Romero")*(23/1083),IF(C2455="JR",SUMIFS($D:$D,$A:$A,$A2455,$B:$B,"&lt;&gt;Patrícia Karla de Sousa Araújo",$B:$B,"&lt;&gt;Lorena Dias de Araujo",$B:$B,"&lt;&gt;Lucas Luiz Romero")*(20/1083),IF(C2455="Estágio",SUMIFS($D:$D,$A:$A,$A2455,$B:$B,"&lt;&gt;Patrícia Karla de Sousa Araújo",$B:$B,"&lt;&gt;Lorena Dias de Araujo",$B:$B,"&lt;&gt;Lucas Luiz Romero")*(10/1083),0)))))),0)</f>
        <v>20</v>
      </c>
      <c r="K2455" s="3">
        <f>I2455-J2455</f>
        <v>1</v>
      </c>
      <c r="L2455" s="3" t="str">
        <f>IF(K2455&lt;-5,"CRÍTICO",IF(K2455&lt;0,"ATENÇÃO",IF(K2455&lt;=5,"BOM","EXCELENTE")))</f>
        <v>BOM</v>
      </c>
      <c r="M2455">
        <v>21</v>
      </c>
      <c r="N2455">
        <v>93.48</v>
      </c>
      <c r="O2455">
        <v>31.52804642166344</v>
      </c>
    </row>
    <row r="2456" spans="1:15" hidden="1" x14ac:dyDescent="0.25">
      <c r="A2456" s="11">
        <v>46078</v>
      </c>
      <c r="B2456" t="s">
        <v>51</v>
      </c>
      <c r="C2456" t="s">
        <v>48</v>
      </c>
      <c r="D2456">
        <v>22</v>
      </c>
      <c r="E2456">
        <v>20</v>
      </c>
      <c r="F2456">
        <v>35.270000000000003</v>
      </c>
      <c r="G2456">
        <v>0</v>
      </c>
      <c r="H2456">
        <v>0</v>
      </c>
      <c r="I2456" s="3">
        <v>0</v>
      </c>
      <c r="J2456" s="3">
        <v>0</v>
      </c>
      <c r="K2456" s="3">
        <v>0</v>
      </c>
      <c r="L2456" s="3" t="str">
        <f>IF(K2456&lt;-5,"CRÍTICO",IF(K2456&lt;0,"ATENÇÃO",IF(K2456&lt;=5,"BOM","EXCELENTE")))</f>
        <v>BOM</v>
      </c>
      <c r="M2456">
        <v>13</v>
      </c>
      <c r="N2456">
        <v>99.16</v>
      </c>
      <c r="O2456">
        <v>26.13908872901678</v>
      </c>
    </row>
    <row r="2457" spans="1:15" hidden="1" x14ac:dyDescent="0.25">
      <c r="A2457" s="11">
        <v>46078</v>
      </c>
      <c r="B2457" t="s">
        <v>61</v>
      </c>
      <c r="C2457" t="s">
        <v>23</v>
      </c>
      <c r="D2457">
        <v>14</v>
      </c>
      <c r="E2457">
        <v>14</v>
      </c>
      <c r="F2457">
        <v>47.07</v>
      </c>
      <c r="G2457">
        <v>0</v>
      </c>
      <c r="H2457">
        <v>0</v>
      </c>
      <c r="I2457" s="3">
        <f>E2457+G2457+H2457</f>
        <v>14</v>
      </c>
      <c r="J2457" s="3">
        <f>ROUND(MIN(IF(C2457="Técnico III",35,IF(C2457="Técnico II",28,IF(C2457="Técnico I",23,IF(C2457="JR",20,IF(C2457="Estágio",10,0))))),IF(C2457="Técnico III",SUMIFS($D:$D,$A:$A,$A2457,$B:$B,"&lt;&gt;Patrícia Karla de Sousa Araújo",$B:$B,"&lt;&gt;Lorena Dias de Araujo",$B:$B,"&lt;&gt;Lucas Luiz Romero")*(35/1083),IF(C2457="Técnico II",SUMIFS($D:$D,$A:$A,$A2457,$B:$B,"&lt;&gt;Patrícia Karla de Sousa Araújo",$B:$B,"&lt;&gt;Lorena Dias de Araujo",$B:$B,"&lt;&gt;Lucas Luiz Romero")*(28/1083),IF(C2457="Técnico I",SUMIFS($D:$D,$A:$A,$A2457,$B:$B,"&lt;&gt;Patrícia Karla de Sousa Araújo",$B:$B,"&lt;&gt;Lorena Dias de Araujo",$B:$B,"&lt;&gt;Lucas Luiz Romero")*(23/1083),IF(C2457="JR",SUMIFS($D:$D,$A:$A,$A2457,$B:$B,"&lt;&gt;Patrícia Karla de Sousa Araújo",$B:$B,"&lt;&gt;Lorena Dias de Araujo",$B:$B,"&lt;&gt;Lucas Luiz Romero")*(20/1083),IF(C2457="Estágio",SUMIFS($D:$D,$A:$A,$A2457,$B:$B,"&lt;&gt;Patrícia Karla de Sousa Araújo",$B:$B,"&lt;&gt;Lorena Dias de Araujo",$B:$B,"&lt;&gt;Lucas Luiz Romero")*(10/1083),0)))))),0)</f>
        <v>13</v>
      </c>
      <c r="K2457" s="3">
        <f>I2457-J2457</f>
        <v>1</v>
      </c>
      <c r="L2457" s="3" t="str">
        <f>IF(K2457&lt;-5,"CRÍTICO",IF(K2457&lt;0,"ATENÇÃO",IF(K2457&lt;=5,"BOM","EXCELENTE")))</f>
        <v>BOM</v>
      </c>
      <c r="M2457">
        <v>11</v>
      </c>
      <c r="N2457">
        <v>100</v>
      </c>
      <c r="O2457">
        <v>31.089743589743591</v>
      </c>
    </row>
    <row r="2458" spans="1:15" hidden="1" x14ac:dyDescent="0.25">
      <c r="A2458" s="11">
        <v>46078</v>
      </c>
      <c r="B2458" t="s">
        <v>35</v>
      </c>
      <c r="C2458" t="s">
        <v>32</v>
      </c>
      <c r="D2458">
        <v>15</v>
      </c>
      <c r="E2458">
        <v>15</v>
      </c>
      <c r="F2458">
        <v>54.14</v>
      </c>
      <c r="G2458">
        <v>0</v>
      </c>
      <c r="H2458">
        <v>0</v>
      </c>
      <c r="I2458" s="3">
        <v>0</v>
      </c>
      <c r="J2458" s="3">
        <v>0</v>
      </c>
      <c r="K2458" s="3">
        <v>0</v>
      </c>
      <c r="L2458" s="3" t="str">
        <f>IF(K2458&lt;-5,"CRÍTICO",IF(K2458&lt;0,"ATENÇÃO",IF(K2458&lt;=5,"BOM","EXCELENTE")))</f>
        <v>BOM</v>
      </c>
      <c r="M2458">
        <v>15</v>
      </c>
      <c r="N2458">
        <v>98.11</v>
      </c>
      <c r="O2458">
        <v>33.033707865168537</v>
      </c>
    </row>
    <row r="2459" spans="1:15" hidden="1" x14ac:dyDescent="0.25">
      <c r="A2459" s="11">
        <v>46078</v>
      </c>
      <c r="B2459" t="s">
        <v>18</v>
      </c>
      <c r="C2459" t="s">
        <v>16</v>
      </c>
      <c r="D2459">
        <v>11</v>
      </c>
      <c r="E2459">
        <v>10</v>
      </c>
      <c r="F2459">
        <v>35.19</v>
      </c>
      <c r="G2459">
        <v>0</v>
      </c>
      <c r="H2459">
        <v>0</v>
      </c>
      <c r="I2459" s="3">
        <f>E2459+G2459+H2459</f>
        <v>10</v>
      </c>
      <c r="J2459" s="3">
        <f>ROUND(MIN(IF(C2459="Técnico III",35,IF(C2459="Técnico II",28,IF(C2459="Técnico I",23,IF(C2459="JR",20,IF(C2459="Estágio",10,0))))),IF(C2459="Técnico III",SUMIFS($D:$D,$A:$A,$A2459,$B:$B,"&lt;&gt;Patrícia Karla de Sousa Araújo",$B:$B,"&lt;&gt;Lorena Dias de Araujo",$B:$B,"&lt;&gt;Lucas Luiz Romero")*(35/1083),IF(C2459="Técnico II",SUMIFS($D:$D,$A:$A,$A2459,$B:$B,"&lt;&gt;Patrícia Karla de Sousa Araújo",$B:$B,"&lt;&gt;Lorena Dias de Araujo",$B:$B,"&lt;&gt;Lucas Luiz Romero")*(28/1083),IF(C2459="Técnico I",SUMIFS($D:$D,$A:$A,$A2459,$B:$B,"&lt;&gt;Patrícia Karla de Sousa Araújo",$B:$B,"&lt;&gt;Lorena Dias de Araujo",$B:$B,"&lt;&gt;Lucas Luiz Romero")*(23/1083),IF(C2459="JR",SUMIFS($D:$D,$A:$A,$A2459,$B:$B,"&lt;&gt;Patrícia Karla de Sousa Araújo",$B:$B,"&lt;&gt;Lorena Dias de Araujo",$B:$B,"&lt;&gt;Lucas Luiz Romero")*(20/1083),IF(C2459="Estágio",SUMIFS($D:$D,$A:$A,$A2459,$B:$B,"&lt;&gt;Patrícia Karla de Sousa Araújo",$B:$B,"&lt;&gt;Lorena Dias de Araujo",$B:$B,"&lt;&gt;Lucas Luiz Romero")*(10/1083),0)))))),0)</f>
        <v>6</v>
      </c>
      <c r="K2459" s="3">
        <f>I2459-J2459</f>
        <v>4</v>
      </c>
      <c r="L2459" s="3" t="str">
        <f>IF(K2459&lt;-5,"CRÍTICO",IF(K2459&lt;0,"ATENÇÃO",IF(K2459&lt;=5,"BOM","EXCELENTE")))</f>
        <v>BOM</v>
      </c>
      <c r="M2459">
        <v>5</v>
      </c>
      <c r="N2459">
        <v>78.95</v>
      </c>
      <c r="O2459">
        <v>38.983050847457633</v>
      </c>
    </row>
    <row r="2460" spans="1:15" hidden="1" x14ac:dyDescent="0.25">
      <c r="A2460" s="11">
        <v>46078</v>
      </c>
      <c r="B2460" t="s">
        <v>52</v>
      </c>
      <c r="C2460" t="s">
        <v>48</v>
      </c>
      <c r="D2460">
        <v>18</v>
      </c>
      <c r="E2460">
        <v>17</v>
      </c>
      <c r="F2460">
        <v>20.52</v>
      </c>
      <c r="G2460">
        <v>0</v>
      </c>
      <c r="H2460">
        <v>0</v>
      </c>
      <c r="I2460" s="3">
        <f>E2460+G2460+H2460</f>
        <v>17</v>
      </c>
      <c r="J2460" s="3">
        <f>ROUND(MIN(IF(C2460="Técnico III",35,IF(C2460="Técnico II",28,IF(C2460="Técnico I",23,IF(C2460="JR",20,IF(C2460="Estágio",10,0))))),IF(C2460="Técnico III",SUMIFS($D:$D,$A:$A,$A2460,$B:$B,"&lt;&gt;Patrícia Karla de Sousa Araújo",$B:$B,"&lt;&gt;Lorena Dias de Araujo",$B:$B,"&lt;&gt;Lucas Luiz Romero")*(35/1083),IF(C2460="Técnico II",SUMIFS($D:$D,$A:$A,$A2460,$B:$B,"&lt;&gt;Patrícia Karla de Sousa Araújo",$B:$B,"&lt;&gt;Lorena Dias de Araujo",$B:$B,"&lt;&gt;Lucas Luiz Romero")*(28/1083),IF(C2460="Técnico I",SUMIFS($D:$D,$A:$A,$A2460,$B:$B,"&lt;&gt;Patrícia Karla de Sousa Araújo",$B:$B,"&lt;&gt;Lorena Dias de Araujo",$B:$B,"&lt;&gt;Lucas Luiz Romero")*(23/1083),IF(C2460="JR",SUMIFS($D:$D,$A:$A,$A2460,$B:$B,"&lt;&gt;Patrícia Karla de Sousa Araújo",$B:$B,"&lt;&gt;Lorena Dias de Araujo",$B:$B,"&lt;&gt;Lucas Luiz Romero")*(20/1083),IF(C2460="Estágio",SUMIFS($D:$D,$A:$A,$A2460,$B:$B,"&lt;&gt;Patrícia Karla de Sousa Araújo",$B:$B,"&lt;&gt;Lorena Dias de Araujo",$B:$B,"&lt;&gt;Lucas Luiz Romero")*(10/1083),0)))))),0)</f>
        <v>16</v>
      </c>
      <c r="K2460" s="3">
        <f>I2460-J2460</f>
        <v>1</v>
      </c>
      <c r="L2460" s="3" t="str">
        <f>IF(K2460&lt;-5,"CRÍTICO",IF(K2460&lt;0,"ATENÇÃO",IF(K2460&lt;=5,"BOM","EXCELENTE")))</f>
        <v>BOM</v>
      </c>
      <c r="M2460">
        <v>16</v>
      </c>
      <c r="N2460">
        <v>98.45</v>
      </c>
      <c r="O2460">
        <v>29.281767955801101</v>
      </c>
    </row>
    <row r="2461" spans="1:15" hidden="1" x14ac:dyDescent="0.25">
      <c r="A2461" s="11">
        <v>46078</v>
      </c>
      <c r="B2461" t="s">
        <v>36</v>
      </c>
      <c r="C2461" t="s">
        <v>32</v>
      </c>
      <c r="D2461">
        <v>19</v>
      </c>
      <c r="E2461">
        <v>18</v>
      </c>
      <c r="F2461">
        <v>30.19</v>
      </c>
      <c r="G2461">
        <v>0</v>
      </c>
      <c r="H2461">
        <v>0</v>
      </c>
      <c r="I2461" s="3">
        <f>E2461+G2461+H2461</f>
        <v>18</v>
      </c>
      <c r="J2461" s="3">
        <f>ROUND(MIN(IF(C2461="Técnico III",35,IF(C2461="Técnico II",28,IF(C2461="Técnico I",23,IF(C2461="JR",20,IF(C2461="Estágio",10,0))))),IF(C2461="Técnico III",SUMIFS($D:$D,$A:$A,$A2461,$B:$B,"&lt;&gt;Patrícia Karla de Sousa Araújo",$B:$B,"&lt;&gt;Lorena Dias de Araujo",$B:$B,"&lt;&gt;Lucas Luiz Romero")*(35/1083),IF(C2461="Técnico II",SUMIFS($D:$D,$A:$A,$A2461,$B:$B,"&lt;&gt;Patrícia Karla de Sousa Araújo",$B:$B,"&lt;&gt;Lorena Dias de Araujo",$B:$B,"&lt;&gt;Lucas Luiz Romero")*(28/1083),IF(C2461="Técnico I",SUMIFS($D:$D,$A:$A,$A2461,$B:$B,"&lt;&gt;Patrícia Karla de Sousa Araújo",$B:$B,"&lt;&gt;Lorena Dias de Araujo",$B:$B,"&lt;&gt;Lucas Luiz Romero")*(23/1083),IF(C2461="JR",SUMIFS($D:$D,$A:$A,$A2461,$B:$B,"&lt;&gt;Patrícia Karla de Sousa Araújo",$B:$B,"&lt;&gt;Lorena Dias de Araujo",$B:$B,"&lt;&gt;Lucas Luiz Romero")*(20/1083),IF(C2461="Estágio",SUMIFS($D:$D,$A:$A,$A2461,$B:$B,"&lt;&gt;Patrícia Karla de Sousa Araújo",$B:$B,"&lt;&gt;Lorena Dias de Araujo",$B:$B,"&lt;&gt;Lucas Luiz Romero")*(10/1083),0)))))),0)</f>
        <v>20</v>
      </c>
      <c r="K2461" s="3">
        <f>I2461-J2461</f>
        <v>-2</v>
      </c>
      <c r="L2461" s="3" t="str">
        <f>IF(K2461&lt;-5,"CRÍTICO",IF(K2461&lt;0,"ATENÇÃO",IF(K2461&lt;=5,"BOM","EXCELENTE")))</f>
        <v>ATENÇÃO</v>
      </c>
      <c r="M2461">
        <v>19</v>
      </c>
      <c r="N2461">
        <v>97.84</v>
      </c>
      <c r="O2461">
        <v>26.282051282051281</v>
      </c>
    </row>
    <row r="2462" spans="1:15" hidden="1" x14ac:dyDescent="0.25">
      <c r="A2462" s="11">
        <v>46078</v>
      </c>
      <c r="B2462" t="s">
        <v>53</v>
      </c>
      <c r="C2462" t="s">
        <v>48</v>
      </c>
      <c r="D2462">
        <v>25</v>
      </c>
      <c r="E2462">
        <v>21</v>
      </c>
      <c r="F2462">
        <v>32.380000000000003</v>
      </c>
      <c r="G2462">
        <v>0</v>
      </c>
      <c r="H2462">
        <v>0</v>
      </c>
      <c r="I2462" s="3">
        <f>E2462+G2462+H2462</f>
        <v>21</v>
      </c>
      <c r="J2462" s="3">
        <f>ROUND(MIN(IF(C2462="Técnico III",35,IF(C2462="Técnico II",28,IF(C2462="Técnico I",23,IF(C2462="JR",20,IF(C2462="Estágio",10,0))))),IF(C2462="Técnico III",SUMIFS($D:$D,$A:$A,$A2462,$B:$B,"&lt;&gt;Patrícia Karla de Sousa Araújo",$B:$B,"&lt;&gt;Lorena Dias de Araujo",$B:$B,"&lt;&gt;Lucas Luiz Romero")*(35/1083),IF(C2462="Técnico II",SUMIFS($D:$D,$A:$A,$A2462,$B:$B,"&lt;&gt;Patrícia Karla de Sousa Araújo",$B:$B,"&lt;&gt;Lorena Dias de Araujo",$B:$B,"&lt;&gt;Lucas Luiz Romero")*(28/1083),IF(C2462="Técnico I",SUMIFS($D:$D,$A:$A,$A2462,$B:$B,"&lt;&gt;Patrícia Karla de Sousa Araújo",$B:$B,"&lt;&gt;Lorena Dias de Araujo",$B:$B,"&lt;&gt;Lucas Luiz Romero")*(23/1083),IF(C2462="JR",SUMIFS($D:$D,$A:$A,$A2462,$B:$B,"&lt;&gt;Patrícia Karla de Sousa Araújo",$B:$B,"&lt;&gt;Lorena Dias de Araujo",$B:$B,"&lt;&gt;Lucas Luiz Romero")*(20/1083),IF(C2462="Estágio",SUMIFS($D:$D,$A:$A,$A2462,$B:$B,"&lt;&gt;Patrícia Karla de Sousa Araújo",$B:$B,"&lt;&gt;Lorena Dias de Araujo",$B:$B,"&lt;&gt;Lucas Luiz Romero")*(10/1083),0)))))),0)</f>
        <v>16</v>
      </c>
      <c r="K2462" s="3">
        <f>I2462-J2462</f>
        <v>5</v>
      </c>
      <c r="L2462" s="3" t="str">
        <f>IF(K2462&lt;-5,"CRÍTICO",IF(K2462&lt;0,"ATENÇÃO",IF(K2462&lt;=5,"BOM","EXCELENTE")))</f>
        <v>BOM</v>
      </c>
      <c r="M2462">
        <v>20</v>
      </c>
      <c r="N2462">
        <v>98.5</v>
      </c>
      <c r="O2462">
        <v>23.97769516728625</v>
      </c>
    </row>
    <row r="2463" spans="1:15" hidden="1" x14ac:dyDescent="0.25">
      <c r="A2463" s="11">
        <v>46112</v>
      </c>
      <c r="B2463" t="s">
        <v>22</v>
      </c>
      <c r="C2463" t="s">
        <v>23</v>
      </c>
      <c r="D2463">
        <v>29</v>
      </c>
      <c r="E2463">
        <v>27</v>
      </c>
      <c r="F2463">
        <v>18.329999999999998</v>
      </c>
      <c r="G2463">
        <v>0</v>
      </c>
      <c r="H2463">
        <v>0</v>
      </c>
      <c r="I2463" s="3">
        <f>E2463+G2463+H2463</f>
        <v>27</v>
      </c>
      <c r="J2463" s="3">
        <f>ROUND(MIN(IF(C2463="Técnico III",35,IF(C2463="Técnico II",28,IF(C2463="Técnico I",23,IF(C2463="JR",20,IF(C2463="Estágio",10,0))))),IF(C2463="Técnico III",SUMIFS($D:$D,$A:$A,$A2463,$B:$B,"&lt;&gt;Patrícia Karla de Sousa Araújo",$B:$B,"&lt;&gt;Lorena Dias de Araujo",$B:$B,"&lt;&gt;Lucas Luiz Romero")*(35/1083),IF(C2463="Técnico II",SUMIFS($D:$D,$A:$A,$A2463,$B:$B,"&lt;&gt;Patrícia Karla de Sousa Araújo",$B:$B,"&lt;&gt;Lorena Dias de Araujo",$B:$B,"&lt;&gt;Lucas Luiz Romero")*(28/1083),IF(C2463="Técnico I",SUMIFS($D:$D,$A:$A,$A2463,$B:$B,"&lt;&gt;Patrícia Karla de Sousa Araújo",$B:$B,"&lt;&gt;Lorena Dias de Araujo",$B:$B,"&lt;&gt;Lucas Luiz Romero")*(23/1083),IF(C2463="JR",SUMIFS($D:$D,$A:$A,$A2463,$B:$B,"&lt;&gt;Patrícia Karla de Sousa Araújo",$B:$B,"&lt;&gt;Lorena Dias de Araujo",$B:$B,"&lt;&gt;Lucas Luiz Romero")*(20/1083),IF(C2463="Estágio",SUMIFS($D:$D,$A:$A,$A2463,$B:$B,"&lt;&gt;Patrícia Karla de Sousa Araújo",$B:$B,"&lt;&gt;Lorena Dias de Araujo",$B:$B,"&lt;&gt;Lucas Luiz Romero")*(10/1083),0)))))),0)</f>
        <v>20</v>
      </c>
      <c r="K2463" s="3">
        <f>I2463-J2463</f>
        <v>7</v>
      </c>
      <c r="L2463" s="3" t="str">
        <f>IF(K2463&lt;-5,"CRÍTICO",IF(K2463&lt;0,"ATENÇÃO",IF(K2463&lt;=5,"BOM","EXCELENTE")))</f>
        <v>EXCELENTE</v>
      </c>
      <c r="M2463">
        <v>22</v>
      </c>
      <c r="N2463">
        <v>99.05</v>
      </c>
      <c r="O2463">
        <v>26.621923937360179</v>
      </c>
    </row>
    <row r="2464" spans="1:15" hidden="1" x14ac:dyDescent="0.25">
      <c r="A2464" s="11">
        <v>46078</v>
      </c>
      <c r="B2464" t="s">
        <v>54</v>
      </c>
      <c r="C2464" t="s">
        <v>48</v>
      </c>
      <c r="D2464">
        <v>24</v>
      </c>
      <c r="E2464">
        <v>19</v>
      </c>
      <c r="F2464">
        <v>32.36</v>
      </c>
      <c r="G2464">
        <v>0</v>
      </c>
      <c r="H2464">
        <v>0</v>
      </c>
      <c r="I2464" s="3">
        <f>E2464+G2464+H2464</f>
        <v>19</v>
      </c>
      <c r="J2464" s="3">
        <f>ROUND(MIN(IF(C2464="Técnico III",35,IF(C2464="Técnico II",28,IF(C2464="Técnico I",23,IF(C2464="JR",20,IF(C2464="Estágio",10,0))))),IF(C2464="Técnico III",SUMIFS($D:$D,$A:$A,$A2464,$B:$B,"&lt;&gt;Patrícia Karla de Sousa Araújo",$B:$B,"&lt;&gt;Lorena Dias de Araujo",$B:$B,"&lt;&gt;Lucas Luiz Romero")*(35/1083),IF(C2464="Técnico II",SUMIFS($D:$D,$A:$A,$A2464,$B:$B,"&lt;&gt;Patrícia Karla de Sousa Araújo",$B:$B,"&lt;&gt;Lorena Dias de Araujo",$B:$B,"&lt;&gt;Lucas Luiz Romero")*(28/1083),IF(C2464="Técnico I",SUMIFS($D:$D,$A:$A,$A2464,$B:$B,"&lt;&gt;Patrícia Karla de Sousa Araújo",$B:$B,"&lt;&gt;Lorena Dias de Araujo",$B:$B,"&lt;&gt;Lucas Luiz Romero")*(23/1083),IF(C2464="JR",SUMIFS($D:$D,$A:$A,$A2464,$B:$B,"&lt;&gt;Patrícia Karla de Sousa Araújo",$B:$B,"&lt;&gt;Lorena Dias de Araujo",$B:$B,"&lt;&gt;Lucas Luiz Romero")*(20/1083),IF(C2464="Estágio",SUMIFS($D:$D,$A:$A,$A2464,$B:$B,"&lt;&gt;Patrícia Karla de Sousa Araújo",$B:$B,"&lt;&gt;Lorena Dias de Araujo",$B:$B,"&lt;&gt;Lucas Luiz Romero")*(10/1083),0)))))),0)</f>
        <v>16</v>
      </c>
      <c r="K2464" s="3">
        <f>I2464-J2464</f>
        <v>3</v>
      </c>
      <c r="L2464" s="3" t="str">
        <f>IF(K2464&lt;-5,"CRÍTICO",IF(K2464&lt;0,"ATENÇÃO",IF(K2464&lt;=5,"BOM","EXCELENTE")))</f>
        <v>BOM</v>
      </c>
      <c r="M2464">
        <v>18</v>
      </c>
      <c r="N2464">
        <v>98.53</v>
      </c>
      <c r="O2464">
        <v>31.578947368421051</v>
      </c>
    </row>
    <row r="2465" spans="1:15" hidden="1" x14ac:dyDescent="0.25">
      <c r="A2465" s="11">
        <v>46078</v>
      </c>
      <c r="B2465" t="s">
        <v>37</v>
      </c>
      <c r="C2465" t="s">
        <v>32</v>
      </c>
      <c r="D2465">
        <v>36</v>
      </c>
      <c r="E2465">
        <v>35</v>
      </c>
      <c r="F2465">
        <v>17.28</v>
      </c>
      <c r="G2465">
        <v>0</v>
      </c>
      <c r="H2465">
        <v>0</v>
      </c>
      <c r="I2465" s="3">
        <f>E2465+G2465+H2465</f>
        <v>35</v>
      </c>
      <c r="J2465" s="3">
        <f>ROUND(MIN(IF(C2465="Técnico III",35,IF(C2465="Técnico II",28,IF(C2465="Técnico I",23,IF(C2465="JR",20,IF(C2465="Estágio",10,0))))),IF(C2465="Técnico III",SUMIFS($D:$D,$A:$A,$A2465,$B:$B,"&lt;&gt;Patrícia Karla de Sousa Araújo",$B:$B,"&lt;&gt;Lorena Dias de Araujo",$B:$B,"&lt;&gt;Lucas Luiz Romero")*(35/1083),IF(C2465="Técnico II",SUMIFS($D:$D,$A:$A,$A2465,$B:$B,"&lt;&gt;Patrícia Karla de Sousa Araújo",$B:$B,"&lt;&gt;Lorena Dias de Araujo",$B:$B,"&lt;&gt;Lucas Luiz Romero")*(28/1083),IF(C2465="Técnico I",SUMIFS($D:$D,$A:$A,$A2465,$B:$B,"&lt;&gt;Patrícia Karla de Sousa Araújo",$B:$B,"&lt;&gt;Lorena Dias de Araujo",$B:$B,"&lt;&gt;Lucas Luiz Romero")*(23/1083),IF(C2465="JR",SUMIFS($D:$D,$A:$A,$A2465,$B:$B,"&lt;&gt;Patrícia Karla de Sousa Araújo",$B:$B,"&lt;&gt;Lorena Dias de Araujo",$B:$B,"&lt;&gt;Lucas Luiz Romero")*(20/1083),IF(C2465="Estágio",SUMIFS($D:$D,$A:$A,$A2465,$B:$B,"&lt;&gt;Patrícia Karla de Sousa Araújo",$B:$B,"&lt;&gt;Lorena Dias de Araujo",$B:$B,"&lt;&gt;Lucas Luiz Romero")*(10/1083),0)))))),0)</f>
        <v>20</v>
      </c>
      <c r="K2465" s="3">
        <f>I2465-J2465</f>
        <v>15</v>
      </c>
      <c r="L2465" s="3" t="str">
        <f>IF(K2465&lt;-5,"CRÍTICO",IF(K2465&lt;0,"ATENÇÃO",IF(K2465&lt;=5,"BOM","EXCELENTE")))</f>
        <v>EXCELENTE</v>
      </c>
      <c r="M2465">
        <v>32</v>
      </c>
      <c r="N2465">
        <v>100</v>
      </c>
      <c r="O2465">
        <v>25.72214580467676</v>
      </c>
    </row>
    <row r="2466" spans="1:15" hidden="1" x14ac:dyDescent="0.25">
      <c r="A2466" s="11">
        <v>46078</v>
      </c>
      <c r="B2466" t="s">
        <v>38</v>
      </c>
      <c r="C2466" t="s">
        <v>32</v>
      </c>
      <c r="D2466">
        <v>21</v>
      </c>
      <c r="E2466">
        <v>17</v>
      </c>
      <c r="F2466">
        <v>19</v>
      </c>
      <c r="G2466">
        <v>0</v>
      </c>
      <c r="H2466">
        <v>0</v>
      </c>
      <c r="I2466" s="3">
        <f>E2466+G2466+H2466</f>
        <v>17</v>
      </c>
      <c r="J2466" s="3">
        <f>ROUND(MIN(IF(C2466="Técnico III",35,IF(C2466="Técnico II",28,IF(C2466="Técnico I",23,IF(C2466="JR",20,IF(C2466="Estágio",10,0))))),IF(C2466="Técnico III",SUMIFS($D:$D,$A:$A,$A2466,$B:$B,"&lt;&gt;Patrícia Karla de Sousa Araújo",$B:$B,"&lt;&gt;Lorena Dias de Araujo",$B:$B,"&lt;&gt;Lucas Luiz Romero")*(35/1083),IF(C2466="Técnico II",SUMIFS($D:$D,$A:$A,$A2466,$B:$B,"&lt;&gt;Patrícia Karla de Sousa Araújo",$B:$B,"&lt;&gt;Lorena Dias de Araujo",$B:$B,"&lt;&gt;Lucas Luiz Romero")*(28/1083),IF(C2466="Técnico I",SUMIFS($D:$D,$A:$A,$A2466,$B:$B,"&lt;&gt;Patrícia Karla de Sousa Araújo",$B:$B,"&lt;&gt;Lorena Dias de Araujo",$B:$B,"&lt;&gt;Lucas Luiz Romero")*(23/1083),IF(C2466="JR",SUMIFS($D:$D,$A:$A,$A2466,$B:$B,"&lt;&gt;Patrícia Karla de Sousa Araújo",$B:$B,"&lt;&gt;Lorena Dias de Araujo",$B:$B,"&lt;&gt;Lucas Luiz Romero")*(20/1083),IF(C2466="Estágio",SUMIFS($D:$D,$A:$A,$A2466,$B:$B,"&lt;&gt;Patrícia Karla de Sousa Araújo",$B:$B,"&lt;&gt;Lorena Dias de Araujo",$B:$B,"&lt;&gt;Lucas Luiz Romero")*(10/1083),0)))))),0)</f>
        <v>20</v>
      </c>
      <c r="K2466" s="3">
        <f>I2466-J2466</f>
        <v>-3</v>
      </c>
      <c r="L2466" s="3" t="str">
        <f>IF(K2466&lt;-5,"CRÍTICO",IF(K2466&lt;0,"ATENÇÃO",IF(K2466&lt;=5,"BOM","EXCELENTE")))</f>
        <v>ATENÇÃO</v>
      </c>
      <c r="M2466">
        <v>14</v>
      </c>
      <c r="N2466">
        <v>94.64</v>
      </c>
      <c r="O2466">
        <v>27.52941176470588</v>
      </c>
    </row>
    <row r="2467" spans="1:15" hidden="1" x14ac:dyDescent="0.25">
      <c r="A2467" s="11">
        <v>46078</v>
      </c>
      <c r="B2467" t="s">
        <v>55</v>
      </c>
      <c r="C2467" t="s">
        <v>48</v>
      </c>
      <c r="D2467">
        <v>0</v>
      </c>
      <c r="E2467">
        <v>0</v>
      </c>
      <c r="F2467">
        <v>0</v>
      </c>
      <c r="G2467">
        <v>0</v>
      </c>
      <c r="H2467">
        <v>0</v>
      </c>
      <c r="I2467" s="3">
        <v>0</v>
      </c>
      <c r="J2467" s="3">
        <v>0</v>
      </c>
      <c r="K2467" s="3">
        <v>0</v>
      </c>
      <c r="L2467" s="3" t="str">
        <f>IF(K2467&lt;-5,"CRÍTICO",IF(K2467&lt;0,"ATENÇÃO",IF(K2467&lt;=5,"BOM","EXCELENTE")))</f>
        <v>BOM</v>
      </c>
      <c r="M2467">
        <v>0</v>
      </c>
      <c r="N2467">
        <v>99.07</v>
      </c>
      <c r="O2467">
        <v>26.376811594202898</v>
      </c>
    </row>
    <row r="2468" spans="1:15" hidden="1" x14ac:dyDescent="0.25">
      <c r="A2468" s="11">
        <v>46078</v>
      </c>
      <c r="B2468" t="s">
        <v>39</v>
      </c>
      <c r="C2468" t="s">
        <v>32</v>
      </c>
      <c r="D2468">
        <v>0</v>
      </c>
      <c r="E2468">
        <v>0</v>
      </c>
      <c r="F2468">
        <v>0</v>
      </c>
      <c r="G2468">
        <v>0</v>
      </c>
      <c r="H2468">
        <v>0</v>
      </c>
      <c r="I2468" s="3">
        <v>0</v>
      </c>
      <c r="J2468" s="3">
        <v>0</v>
      </c>
      <c r="K2468" s="3">
        <v>0</v>
      </c>
      <c r="L2468" s="3" t="str">
        <f>IF(K2468&lt;-5,"CRÍTICO",IF(K2468&lt;0,"ATENÇÃO",IF(K2468&lt;=5,"BOM","EXCELENTE")))</f>
        <v>BOM</v>
      </c>
      <c r="M2468">
        <v>0</v>
      </c>
      <c r="N2468">
        <v>100</v>
      </c>
      <c r="O2468">
        <v>0</v>
      </c>
    </row>
    <row r="2469" spans="1:15" hidden="1" x14ac:dyDescent="0.25">
      <c r="A2469" s="11">
        <v>46078</v>
      </c>
      <c r="B2469" t="s">
        <v>25</v>
      </c>
      <c r="C2469" t="s">
        <v>26</v>
      </c>
      <c r="D2469">
        <v>13</v>
      </c>
      <c r="E2469">
        <v>10</v>
      </c>
      <c r="F2469">
        <v>35.19</v>
      </c>
      <c r="G2469">
        <v>0</v>
      </c>
      <c r="H2469">
        <v>0</v>
      </c>
      <c r="I2469" s="3">
        <f>E2469+G2469+H2469</f>
        <v>10</v>
      </c>
      <c r="J2469" s="3">
        <f>ROUND(MIN(IF(C2469="Técnico III",35,IF(C2469="Técnico II",28,IF(C2469="Técnico I",23,IF(C2469="JR",20,IF(C2469="Estágio",10,0))))),IF(C2469="Técnico III",SUMIFS($D:$D,$A:$A,$A2469,$B:$B,"&lt;&gt;Patrícia Karla de Sousa Araújo",$B:$B,"&lt;&gt;Lorena Dias de Araujo",$B:$B,"&lt;&gt;Lucas Luiz Romero")*(35/1083),IF(C2469="Técnico II",SUMIFS($D:$D,$A:$A,$A2469,$B:$B,"&lt;&gt;Patrícia Karla de Sousa Araújo",$B:$B,"&lt;&gt;Lorena Dias de Araujo",$B:$B,"&lt;&gt;Lucas Luiz Romero")*(28/1083),IF(C2469="Técnico I",SUMIFS($D:$D,$A:$A,$A2469,$B:$B,"&lt;&gt;Patrícia Karla de Sousa Araújo",$B:$B,"&lt;&gt;Lorena Dias de Araujo",$B:$B,"&lt;&gt;Lucas Luiz Romero")*(23/1083),IF(C2469="JR",SUMIFS($D:$D,$A:$A,$A2469,$B:$B,"&lt;&gt;Patrícia Karla de Sousa Araújo",$B:$B,"&lt;&gt;Lorena Dias de Araujo",$B:$B,"&lt;&gt;Lucas Luiz Romero")*(20/1083),IF(C2469="Estágio",SUMIFS($D:$D,$A:$A,$A2469,$B:$B,"&lt;&gt;Patrícia Karla de Sousa Araújo",$B:$B,"&lt;&gt;Lorena Dias de Araujo",$B:$B,"&lt;&gt;Lucas Luiz Romero")*(10/1083),0)))))),0)</f>
        <v>11</v>
      </c>
      <c r="K2469" s="3">
        <f>I2469-J2469</f>
        <v>-1</v>
      </c>
      <c r="L2469" s="3" t="str">
        <f>IF(K2469&lt;-5,"CRÍTICO",IF(K2469&lt;0,"ATENÇÃO",IF(K2469&lt;=5,"BOM","EXCELENTE")))</f>
        <v>ATENÇÃO</v>
      </c>
      <c r="M2469">
        <v>8</v>
      </c>
      <c r="N2469">
        <v>98.48</v>
      </c>
      <c r="O2469">
        <v>27.853881278538811</v>
      </c>
    </row>
    <row r="2470" spans="1:15" hidden="1" x14ac:dyDescent="0.25">
      <c r="A2470" s="11">
        <v>46078</v>
      </c>
      <c r="B2470" t="s">
        <v>40</v>
      </c>
      <c r="C2470" t="s">
        <v>32</v>
      </c>
      <c r="D2470">
        <v>0</v>
      </c>
      <c r="E2470">
        <v>0</v>
      </c>
      <c r="F2470">
        <v>0</v>
      </c>
      <c r="G2470">
        <v>0</v>
      </c>
      <c r="H2470">
        <v>0</v>
      </c>
      <c r="I2470" s="3">
        <v>0</v>
      </c>
      <c r="J2470" s="3">
        <v>0</v>
      </c>
      <c r="K2470" s="3">
        <v>0</v>
      </c>
      <c r="L2470" s="3" t="str">
        <f>IF(K2470&lt;-5,"CRÍTICO",IF(K2470&lt;0,"ATENÇÃO",IF(K2470&lt;=5,"BOM","EXCELENTE")))</f>
        <v>BOM</v>
      </c>
      <c r="M2470">
        <v>30</v>
      </c>
      <c r="N2470">
        <v>95.15</v>
      </c>
      <c r="O2470">
        <v>34.131736526946113</v>
      </c>
    </row>
    <row r="2471" spans="1:15" hidden="1" x14ac:dyDescent="0.25">
      <c r="A2471" s="11">
        <v>46078</v>
      </c>
      <c r="B2471" t="s">
        <v>27</v>
      </c>
      <c r="C2471" t="s">
        <v>26</v>
      </c>
      <c r="D2471">
        <v>0</v>
      </c>
      <c r="E2471">
        <v>0</v>
      </c>
      <c r="F2471">
        <v>0</v>
      </c>
      <c r="G2471">
        <v>0</v>
      </c>
      <c r="H2471">
        <v>0</v>
      </c>
      <c r="I2471" s="3">
        <v>0</v>
      </c>
      <c r="J2471" s="3">
        <v>0</v>
      </c>
      <c r="K2471" s="3">
        <v>0</v>
      </c>
      <c r="L2471" s="3" t="str">
        <f>IF(K2471&lt;-5,"CRÍTICO",IF(K2471&lt;0,"ATENÇÃO",IF(K2471&lt;=5,"BOM","EXCELENTE")))</f>
        <v>BOM</v>
      </c>
      <c r="M2471">
        <v>0</v>
      </c>
      <c r="N2471">
        <v>0</v>
      </c>
      <c r="O2471">
        <v>0</v>
      </c>
    </row>
    <row r="2472" spans="1:15" hidden="1" x14ac:dyDescent="0.25">
      <c r="A2472" s="11">
        <v>46078</v>
      </c>
      <c r="B2472" t="s">
        <v>41</v>
      </c>
      <c r="C2472" t="s">
        <v>32</v>
      </c>
      <c r="D2472">
        <v>18</v>
      </c>
      <c r="E2472">
        <v>17</v>
      </c>
      <c r="F2472">
        <v>25.28</v>
      </c>
      <c r="G2472">
        <v>0</v>
      </c>
      <c r="H2472">
        <v>0</v>
      </c>
      <c r="I2472" s="3">
        <f>E2472+G2472+H2472</f>
        <v>17</v>
      </c>
      <c r="J2472" s="3">
        <f>ROUND(MIN(IF(C2472="Técnico III",35,IF(C2472="Técnico II",28,IF(C2472="Técnico I",23,IF(C2472="JR",20,IF(C2472="Estágio",10,0))))),IF(C2472="Técnico III",SUMIFS($D:$D,$A:$A,$A2472,$B:$B,"&lt;&gt;Patrícia Karla de Sousa Araújo",$B:$B,"&lt;&gt;Lorena Dias de Araujo",$B:$B,"&lt;&gt;Lucas Luiz Romero")*(35/1083),IF(C2472="Técnico II",SUMIFS($D:$D,$A:$A,$A2472,$B:$B,"&lt;&gt;Patrícia Karla de Sousa Araújo",$B:$B,"&lt;&gt;Lorena Dias de Araujo",$B:$B,"&lt;&gt;Lucas Luiz Romero")*(28/1083),IF(C2472="Técnico I",SUMIFS($D:$D,$A:$A,$A2472,$B:$B,"&lt;&gt;Patrícia Karla de Sousa Araújo",$B:$B,"&lt;&gt;Lorena Dias de Araujo",$B:$B,"&lt;&gt;Lucas Luiz Romero")*(23/1083),IF(C2472="JR",SUMIFS($D:$D,$A:$A,$A2472,$B:$B,"&lt;&gt;Patrícia Karla de Sousa Araújo",$B:$B,"&lt;&gt;Lorena Dias de Araujo",$B:$B,"&lt;&gt;Lucas Luiz Romero")*(20/1083),IF(C2472="Estágio",SUMIFS($D:$D,$A:$A,$A2472,$B:$B,"&lt;&gt;Patrícia Karla de Sousa Araújo",$B:$B,"&lt;&gt;Lorena Dias de Araujo",$B:$B,"&lt;&gt;Lucas Luiz Romero")*(10/1083),0)))))),0)</f>
        <v>20</v>
      </c>
      <c r="K2472" s="3">
        <f>I2472-J2472</f>
        <v>-3</v>
      </c>
      <c r="L2472" s="3" t="str">
        <f>IF(K2472&lt;-5,"CRÍTICO",IF(K2472&lt;0,"ATENÇÃO",IF(K2472&lt;=5,"BOM","EXCELENTE")))</f>
        <v>ATENÇÃO</v>
      </c>
      <c r="M2472">
        <v>16</v>
      </c>
      <c r="N2472">
        <v>99.26</v>
      </c>
      <c r="O2472">
        <v>30.84832904884319</v>
      </c>
    </row>
    <row r="2473" spans="1:15" hidden="1" x14ac:dyDescent="0.25">
      <c r="A2473" s="11">
        <v>46078</v>
      </c>
      <c r="B2473" t="s">
        <v>56</v>
      </c>
      <c r="C2473" t="s">
        <v>48</v>
      </c>
      <c r="D2473">
        <v>31</v>
      </c>
      <c r="E2473">
        <v>27</v>
      </c>
      <c r="F2473">
        <v>25.11</v>
      </c>
      <c r="G2473">
        <v>0</v>
      </c>
      <c r="H2473">
        <v>0</v>
      </c>
      <c r="I2473" s="3">
        <f>E2473+G2473+H2473</f>
        <v>27</v>
      </c>
      <c r="J2473" s="3">
        <f>ROUND(MIN(IF(C2473="Técnico III",35,IF(C2473="Técnico II",28,IF(C2473="Técnico I",23,IF(C2473="JR",20,IF(C2473="Estágio",10,0))))),IF(C2473="Técnico III",SUMIFS($D:$D,$A:$A,$A2473,$B:$B,"&lt;&gt;Patrícia Karla de Sousa Araújo",$B:$B,"&lt;&gt;Lorena Dias de Araujo",$B:$B,"&lt;&gt;Lucas Luiz Romero")*(35/1083),IF(C2473="Técnico II",SUMIFS($D:$D,$A:$A,$A2473,$B:$B,"&lt;&gt;Patrícia Karla de Sousa Araújo",$B:$B,"&lt;&gt;Lorena Dias de Araujo",$B:$B,"&lt;&gt;Lucas Luiz Romero")*(28/1083),IF(C2473="Técnico I",SUMIFS($D:$D,$A:$A,$A2473,$B:$B,"&lt;&gt;Patrícia Karla de Sousa Araújo",$B:$B,"&lt;&gt;Lorena Dias de Araujo",$B:$B,"&lt;&gt;Lucas Luiz Romero")*(23/1083),IF(C2473="JR",SUMIFS($D:$D,$A:$A,$A2473,$B:$B,"&lt;&gt;Patrícia Karla de Sousa Araújo",$B:$B,"&lt;&gt;Lorena Dias de Araujo",$B:$B,"&lt;&gt;Lucas Luiz Romero")*(20/1083),IF(C2473="Estágio",SUMIFS($D:$D,$A:$A,$A2473,$B:$B,"&lt;&gt;Patrícia Karla de Sousa Araújo",$B:$B,"&lt;&gt;Lorena Dias de Araujo",$B:$B,"&lt;&gt;Lucas Luiz Romero")*(10/1083),0)))))),0)</f>
        <v>16</v>
      </c>
      <c r="K2473" s="3">
        <f>I2473-J2473</f>
        <v>11</v>
      </c>
      <c r="L2473" s="3" t="str">
        <f>IF(K2473&lt;-5,"CRÍTICO",IF(K2473&lt;0,"ATENÇÃO",IF(K2473&lt;=5,"BOM","EXCELENTE")))</f>
        <v>EXCELENTE</v>
      </c>
      <c r="M2473">
        <v>26</v>
      </c>
      <c r="N2473">
        <v>97.48</v>
      </c>
      <c r="O2473">
        <v>27.764705882352938</v>
      </c>
    </row>
    <row r="2474" spans="1:15" hidden="1" x14ac:dyDescent="0.25">
      <c r="A2474" s="11">
        <v>46078</v>
      </c>
      <c r="B2474" t="s">
        <v>57</v>
      </c>
      <c r="C2474" t="s">
        <v>48</v>
      </c>
      <c r="D2474">
        <v>16</v>
      </c>
      <c r="E2474">
        <v>16</v>
      </c>
      <c r="F2474">
        <v>43.46</v>
      </c>
      <c r="G2474">
        <v>0</v>
      </c>
      <c r="H2474">
        <v>0</v>
      </c>
      <c r="I2474" s="3">
        <v>0</v>
      </c>
      <c r="J2474" s="3">
        <v>0</v>
      </c>
      <c r="K2474" s="3">
        <v>0</v>
      </c>
      <c r="L2474" s="3" t="str">
        <f>IF(K2474&lt;-5,"CRÍTICO",IF(K2474&lt;0,"ATENÇÃO",IF(K2474&lt;=5,"BOM","EXCELENTE")))</f>
        <v>BOM</v>
      </c>
      <c r="M2474">
        <v>15</v>
      </c>
      <c r="N2474">
        <v>99.34</v>
      </c>
      <c r="O2474">
        <v>30.04291845493562</v>
      </c>
    </row>
    <row r="2475" spans="1:15" hidden="1" x14ac:dyDescent="0.25">
      <c r="A2475" s="11">
        <v>46078</v>
      </c>
      <c r="B2475" t="s">
        <v>42</v>
      </c>
      <c r="C2475" t="s">
        <v>32</v>
      </c>
      <c r="D2475">
        <v>50</v>
      </c>
      <c r="E2475">
        <v>44</v>
      </c>
      <c r="F2475">
        <v>13.46</v>
      </c>
      <c r="G2475">
        <v>0</v>
      </c>
      <c r="H2475">
        <v>0</v>
      </c>
      <c r="I2475" s="3">
        <f>E2475+G2475+H2475</f>
        <v>44</v>
      </c>
      <c r="J2475" s="3">
        <f>ROUND(MIN(IF(C2475="Técnico III",35,IF(C2475="Técnico II",28,IF(C2475="Técnico I",23,IF(C2475="JR",20,IF(C2475="Estágio",10,0))))),IF(C2475="Técnico III",SUMIFS($D:$D,$A:$A,$A2475,$B:$B,"&lt;&gt;Patrícia Karla de Sousa Araújo",$B:$B,"&lt;&gt;Lorena Dias de Araujo",$B:$B,"&lt;&gt;Lucas Luiz Romero")*(35/1083),IF(C2475="Técnico II",SUMIFS($D:$D,$A:$A,$A2475,$B:$B,"&lt;&gt;Patrícia Karla de Sousa Araújo",$B:$B,"&lt;&gt;Lorena Dias de Araujo",$B:$B,"&lt;&gt;Lucas Luiz Romero")*(28/1083),IF(C2475="Técnico I",SUMIFS($D:$D,$A:$A,$A2475,$B:$B,"&lt;&gt;Patrícia Karla de Sousa Araújo",$B:$B,"&lt;&gt;Lorena Dias de Araujo",$B:$B,"&lt;&gt;Lucas Luiz Romero")*(23/1083),IF(C2475="JR",SUMIFS($D:$D,$A:$A,$A2475,$B:$B,"&lt;&gt;Patrícia Karla de Sousa Araújo",$B:$B,"&lt;&gt;Lorena Dias de Araujo",$B:$B,"&lt;&gt;Lucas Luiz Romero")*(20/1083),IF(C2475="Estágio",SUMIFS($D:$D,$A:$A,$A2475,$B:$B,"&lt;&gt;Patrícia Karla de Sousa Araújo",$B:$B,"&lt;&gt;Lorena Dias de Araujo",$B:$B,"&lt;&gt;Lucas Luiz Romero")*(10/1083),0)))))),0)</f>
        <v>20</v>
      </c>
      <c r="K2475" s="3">
        <f>I2475-J2475</f>
        <v>24</v>
      </c>
      <c r="L2475" s="3" t="str">
        <f>IF(K2475&lt;-5,"CRÍTICO",IF(K2475&lt;0,"ATENÇÃO",IF(K2475&lt;=5,"BOM","EXCELENTE")))</f>
        <v>EXCELENTE</v>
      </c>
      <c r="M2475">
        <v>25</v>
      </c>
      <c r="N2475">
        <v>96.3</v>
      </c>
      <c r="O2475">
        <v>24.29378531073446</v>
      </c>
    </row>
    <row r="2476" spans="1:15" hidden="1" x14ac:dyDescent="0.25">
      <c r="A2476" s="11">
        <v>46078</v>
      </c>
      <c r="B2476" t="s">
        <v>62</v>
      </c>
      <c r="C2476" t="s">
        <v>23</v>
      </c>
      <c r="D2476">
        <v>15</v>
      </c>
      <c r="E2476">
        <v>15</v>
      </c>
      <c r="F2476">
        <v>33.35</v>
      </c>
      <c r="G2476">
        <v>0</v>
      </c>
      <c r="H2476">
        <v>0</v>
      </c>
      <c r="I2476" s="3">
        <f>E2476+G2476+H2476</f>
        <v>15</v>
      </c>
      <c r="J2476" s="3">
        <f>ROUND(MIN(IF(C2476="Técnico III",35,IF(C2476="Técnico II",28,IF(C2476="Técnico I",23,IF(C2476="JR",20,IF(C2476="Estágio",10,0))))),IF(C2476="Técnico III",SUMIFS($D:$D,$A:$A,$A2476,$B:$B,"&lt;&gt;Patrícia Karla de Sousa Araújo",$B:$B,"&lt;&gt;Lorena Dias de Araujo",$B:$B,"&lt;&gt;Lucas Luiz Romero")*(35/1083),IF(C2476="Técnico II",SUMIFS($D:$D,$A:$A,$A2476,$B:$B,"&lt;&gt;Patrícia Karla de Sousa Araújo",$B:$B,"&lt;&gt;Lorena Dias de Araujo",$B:$B,"&lt;&gt;Lucas Luiz Romero")*(28/1083),IF(C2476="Técnico I",SUMIFS($D:$D,$A:$A,$A2476,$B:$B,"&lt;&gt;Patrícia Karla de Sousa Araújo",$B:$B,"&lt;&gt;Lorena Dias de Araujo",$B:$B,"&lt;&gt;Lucas Luiz Romero")*(23/1083),IF(C2476="JR",SUMIFS($D:$D,$A:$A,$A2476,$B:$B,"&lt;&gt;Patrícia Karla de Sousa Araújo",$B:$B,"&lt;&gt;Lorena Dias de Araujo",$B:$B,"&lt;&gt;Lucas Luiz Romero")*(20/1083),IF(C2476="Estágio",SUMIFS($D:$D,$A:$A,$A2476,$B:$B,"&lt;&gt;Patrícia Karla de Sousa Araújo",$B:$B,"&lt;&gt;Lorena Dias de Araujo",$B:$B,"&lt;&gt;Lucas Luiz Romero")*(10/1083),0)))))),0)</f>
        <v>13</v>
      </c>
      <c r="K2476" s="3">
        <f>I2476-J2476</f>
        <v>2</v>
      </c>
      <c r="L2476" s="3" t="str">
        <f>IF(K2476&lt;-5,"CRÍTICO",IF(K2476&lt;0,"ATENÇÃO",IF(K2476&lt;=5,"BOM","EXCELENTE")))</f>
        <v>BOM</v>
      </c>
      <c r="M2476">
        <v>16</v>
      </c>
      <c r="N2476">
        <v>100</v>
      </c>
      <c r="O2476">
        <v>26.543209876543209</v>
      </c>
    </row>
    <row r="2477" spans="1:15" hidden="1" x14ac:dyDescent="0.25">
      <c r="A2477" s="11">
        <v>46078</v>
      </c>
      <c r="B2477" t="s">
        <v>19</v>
      </c>
      <c r="C2477" t="s">
        <v>16</v>
      </c>
      <c r="D2477">
        <v>7</v>
      </c>
      <c r="E2477">
        <v>7</v>
      </c>
      <c r="F2477">
        <v>58.35</v>
      </c>
      <c r="G2477">
        <v>0</v>
      </c>
      <c r="H2477">
        <v>0</v>
      </c>
      <c r="I2477" s="3">
        <f>E2477+G2477+H2477</f>
        <v>7</v>
      </c>
      <c r="J2477" s="3">
        <f>ROUND(MIN(IF(C2477="Técnico III",35,IF(C2477="Técnico II",28,IF(C2477="Técnico I",23,IF(C2477="JR",20,IF(C2477="Estágio",10,0))))),IF(C2477="Técnico III",SUMIFS($D:$D,$A:$A,$A2477,$B:$B,"&lt;&gt;Patrícia Karla de Sousa Araújo",$B:$B,"&lt;&gt;Lorena Dias de Araujo",$B:$B,"&lt;&gt;Lucas Luiz Romero")*(35/1083),IF(C2477="Técnico II",SUMIFS($D:$D,$A:$A,$A2477,$B:$B,"&lt;&gt;Patrícia Karla de Sousa Araújo",$B:$B,"&lt;&gt;Lorena Dias de Araujo",$B:$B,"&lt;&gt;Lucas Luiz Romero")*(28/1083),IF(C2477="Técnico I",SUMIFS($D:$D,$A:$A,$A2477,$B:$B,"&lt;&gt;Patrícia Karla de Sousa Araújo",$B:$B,"&lt;&gt;Lorena Dias de Araujo",$B:$B,"&lt;&gt;Lucas Luiz Romero")*(23/1083),IF(C2477="JR",SUMIFS($D:$D,$A:$A,$A2477,$B:$B,"&lt;&gt;Patrícia Karla de Sousa Araújo",$B:$B,"&lt;&gt;Lorena Dias de Araujo",$B:$B,"&lt;&gt;Lucas Luiz Romero")*(20/1083),IF(C2477="Estágio",SUMIFS($D:$D,$A:$A,$A2477,$B:$B,"&lt;&gt;Patrícia Karla de Sousa Araújo",$B:$B,"&lt;&gt;Lorena Dias de Araujo",$B:$B,"&lt;&gt;Lucas Luiz Romero")*(10/1083),0)))))),0)</f>
        <v>6</v>
      </c>
      <c r="K2477" s="3">
        <f>I2477-J2477</f>
        <v>1</v>
      </c>
      <c r="L2477" s="3" t="str">
        <f>IF(K2477&lt;-5,"CRÍTICO",IF(K2477&lt;0,"ATENÇÃO",IF(K2477&lt;=5,"BOM","EXCELENTE")))</f>
        <v>BOM</v>
      </c>
      <c r="M2477">
        <v>6</v>
      </c>
      <c r="N2477">
        <v>100</v>
      </c>
      <c r="O2477">
        <v>35.483870967741943</v>
      </c>
    </row>
    <row r="2478" spans="1:15" hidden="1" x14ac:dyDescent="0.25">
      <c r="A2478" s="11">
        <v>46078</v>
      </c>
      <c r="B2478" t="s">
        <v>43</v>
      </c>
      <c r="C2478" t="s">
        <v>32</v>
      </c>
      <c r="D2478">
        <v>25</v>
      </c>
      <c r="E2478">
        <v>23</v>
      </c>
      <c r="F2478">
        <v>25.21</v>
      </c>
      <c r="G2478">
        <v>0</v>
      </c>
      <c r="H2478">
        <v>0</v>
      </c>
      <c r="I2478" s="3">
        <f>E2478+G2478+H2478</f>
        <v>23</v>
      </c>
      <c r="J2478" s="3">
        <f>ROUND(MIN(IF(C2478="Técnico III",35,IF(C2478="Técnico II",28,IF(C2478="Técnico I",23,IF(C2478="JR",20,IF(C2478="Estágio",10,0))))),IF(C2478="Técnico III",SUMIFS($D:$D,$A:$A,$A2478,$B:$B,"&lt;&gt;Patrícia Karla de Sousa Araújo",$B:$B,"&lt;&gt;Lorena Dias de Araujo",$B:$B,"&lt;&gt;Lucas Luiz Romero")*(35/1083),IF(C2478="Técnico II",SUMIFS($D:$D,$A:$A,$A2478,$B:$B,"&lt;&gt;Patrícia Karla de Sousa Araújo",$B:$B,"&lt;&gt;Lorena Dias de Araujo",$B:$B,"&lt;&gt;Lucas Luiz Romero")*(28/1083),IF(C2478="Técnico I",SUMIFS($D:$D,$A:$A,$A2478,$B:$B,"&lt;&gt;Patrícia Karla de Sousa Araújo",$B:$B,"&lt;&gt;Lorena Dias de Araujo",$B:$B,"&lt;&gt;Lucas Luiz Romero")*(23/1083),IF(C2478="JR",SUMIFS($D:$D,$A:$A,$A2478,$B:$B,"&lt;&gt;Patrícia Karla de Sousa Araújo",$B:$B,"&lt;&gt;Lorena Dias de Araujo",$B:$B,"&lt;&gt;Lucas Luiz Romero")*(20/1083),IF(C2478="Estágio",SUMIFS($D:$D,$A:$A,$A2478,$B:$B,"&lt;&gt;Patrícia Karla de Sousa Araújo",$B:$B,"&lt;&gt;Lorena Dias de Araujo",$B:$B,"&lt;&gt;Lucas Luiz Romero")*(10/1083),0)))))),0)</f>
        <v>20</v>
      </c>
      <c r="K2478" s="3">
        <f>I2478-J2478</f>
        <v>3</v>
      </c>
      <c r="L2478" s="3" t="str">
        <f>IF(K2478&lt;-5,"CRÍTICO",IF(K2478&lt;0,"ATENÇÃO",IF(K2478&lt;=5,"BOM","EXCELENTE")))</f>
        <v>BOM</v>
      </c>
      <c r="M2478">
        <v>22</v>
      </c>
      <c r="N2478">
        <v>99.27</v>
      </c>
      <c r="O2478">
        <v>31.163708086785011</v>
      </c>
    </row>
    <row r="2479" spans="1:15" hidden="1" x14ac:dyDescent="0.25">
      <c r="A2479" s="11">
        <v>46078</v>
      </c>
      <c r="B2479" t="s">
        <v>44</v>
      </c>
      <c r="C2479" t="s">
        <v>32</v>
      </c>
      <c r="D2479">
        <v>19</v>
      </c>
      <c r="E2479">
        <v>18</v>
      </c>
      <c r="F2479">
        <v>29.04</v>
      </c>
      <c r="G2479">
        <v>0</v>
      </c>
      <c r="H2479">
        <v>0</v>
      </c>
      <c r="I2479" s="3">
        <f>E2479+G2479+H2479</f>
        <v>18</v>
      </c>
      <c r="J2479" s="3">
        <f>ROUND(MIN(IF(C2479="Técnico III",35,IF(C2479="Técnico II",28,IF(C2479="Técnico I",23,IF(C2479="JR",20,IF(C2479="Estágio",10,0))))),IF(C2479="Técnico III",SUMIFS($D:$D,$A:$A,$A2479,$B:$B,"&lt;&gt;Patrícia Karla de Sousa Araújo",$B:$B,"&lt;&gt;Lorena Dias de Araujo",$B:$B,"&lt;&gt;Lucas Luiz Romero")*(35/1083),IF(C2479="Técnico II",SUMIFS($D:$D,$A:$A,$A2479,$B:$B,"&lt;&gt;Patrícia Karla de Sousa Araújo",$B:$B,"&lt;&gt;Lorena Dias de Araujo",$B:$B,"&lt;&gt;Lucas Luiz Romero")*(28/1083),IF(C2479="Técnico I",SUMIFS($D:$D,$A:$A,$A2479,$B:$B,"&lt;&gt;Patrícia Karla de Sousa Araújo",$B:$B,"&lt;&gt;Lorena Dias de Araujo",$B:$B,"&lt;&gt;Lucas Luiz Romero")*(23/1083),IF(C2479="JR",SUMIFS($D:$D,$A:$A,$A2479,$B:$B,"&lt;&gt;Patrícia Karla de Sousa Araújo",$B:$B,"&lt;&gt;Lorena Dias de Araujo",$B:$B,"&lt;&gt;Lucas Luiz Romero")*(20/1083),IF(C2479="Estágio",SUMIFS($D:$D,$A:$A,$A2479,$B:$B,"&lt;&gt;Patrícia Karla de Sousa Araújo",$B:$B,"&lt;&gt;Lorena Dias de Araujo",$B:$B,"&lt;&gt;Lucas Luiz Romero")*(10/1083),0)))))),0)</f>
        <v>20</v>
      </c>
      <c r="K2479" s="3">
        <f>I2479-J2479</f>
        <v>-2</v>
      </c>
      <c r="L2479" s="3" t="str">
        <f>IF(K2479&lt;-5,"CRÍTICO",IF(K2479&lt;0,"ATENÇÃO",IF(K2479&lt;=5,"BOM","EXCELENTE")))</f>
        <v>ATENÇÃO</v>
      </c>
      <c r="M2479">
        <v>15</v>
      </c>
      <c r="N2479">
        <v>94.16</v>
      </c>
      <c r="O2479">
        <v>27.038626609442058</v>
      </c>
    </row>
    <row r="2480" spans="1:15" hidden="1" x14ac:dyDescent="0.25">
      <c r="A2480" s="11">
        <v>46078</v>
      </c>
      <c r="B2480" t="s">
        <v>20</v>
      </c>
      <c r="C2480" t="s">
        <v>16</v>
      </c>
      <c r="D2480">
        <v>13</v>
      </c>
      <c r="E2480">
        <v>13</v>
      </c>
      <c r="F2480">
        <v>37.200000000000003</v>
      </c>
      <c r="G2480">
        <v>0</v>
      </c>
      <c r="H2480">
        <v>0</v>
      </c>
      <c r="I2480" s="3">
        <f>E2480+G2480+H2480</f>
        <v>13</v>
      </c>
      <c r="J2480" s="3">
        <f>ROUND(MIN(IF(C2480="Técnico III",35,IF(C2480="Técnico II",28,IF(C2480="Técnico I",23,IF(C2480="JR",20,IF(C2480="Estágio",10,0))))),IF(C2480="Técnico III",SUMIFS($D:$D,$A:$A,$A2480,$B:$B,"&lt;&gt;Patrícia Karla de Sousa Araújo",$B:$B,"&lt;&gt;Lorena Dias de Araujo",$B:$B,"&lt;&gt;Lucas Luiz Romero")*(35/1083),IF(C2480="Técnico II",SUMIFS($D:$D,$A:$A,$A2480,$B:$B,"&lt;&gt;Patrícia Karla de Sousa Araújo",$B:$B,"&lt;&gt;Lorena Dias de Araujo",$B:$B,"&lt;&gt;Lucas Luiz Romero")*(28/1083),IF(C2480="Técnico I",SUMIFS($D:$D,$A:$A,$A2480,$B:$B,"&lt;&gt;Patrícia Karla de Sousa Araújo",$B:$B,"&lt;&gt;Lorena Dias de Araujo",$B:$B,"&lt;&gt;Lucas Luiz Romero")*(23/1083),IF(C2480="JR",SUMIFS($D:$D,$A:$A,$A2480,$B:$B,"&lt;&gt;Patrícia Karla de Sousa Araújo",$B:$B,"&lt;&gt;Lorena Dias de Araujo",$B:$B,"&lt;&gt;Lucas Luiz Romero")*(20/1083),IF(C2480="Estágio",SUMIFS($D:$D,$A:$A,$A2480,$B:$B,"&lt;&gt;Patrícia Karla de Sousa Araújo",$B:$B,"&lt;&gt;Lorena Dias de Araujo",$B:$B,"&lt;&gt;Lucas Luiz Romero")*(10/1083),0)))))),0)</f>
        <v>6</v>
      </c>
      <c r="K2480" s="3">
        <f>I2480-J2480</f>
        <v>7</v>
      </c>
      <c r="L2480" s="3" t="str">
        <f>IF(K2480&lt;-5,"CRÍTICO",IF(K2480&lt;0,"ATENÇÃO",IF(K2480&lt;=5,"BOM","EXCELENTE")))</f>
        <v>EXCELENTE</v>
      </c>
      <c r="M2480">
        <v>4</v>
      </c>
      <c r="N2480">
        <v>93.75</v>
      </c>
      <c r="O2480">
        <v>19.31818181818182</v>
      </c>
    </row>
    <row r="2481" spans="1:15" hidden="1" x14ac:dyDescent="0.25">
      <c r="A2481" s="11">
        <v>46078</v>
      </c>
      <c r="B2481" t="s">
        <v>28</v>
      </c>
      <c r="C2481" t="s">
        <v>26</v>
      </c>
      <c r="D2481">
        <v>0</v>
      </c>
      <c r="E2481">
        <v>0</v>
      </c>
      <c r="F2481">
        <v>0</v>
      </c>
      <c r="G2481">
        <v>0</v>
      </c>
      <c r="H2481">
        <v>0</v>
      </c>
      <c r="I2481" s="3">
        <v>0</v>
      </c>
      <c r="J2481" s="3">
        <v>0</v>
      </c>
      <c r="K2481" s="3">
        <v>0</v>
      </c>
      <c r="L2481" s="3" t="str">
        <f>IF(K2481&lt;-5,"CRÍTICO",IF(K2481&lt;0,"ATENÇÃO",IF(K2481&lt;=5,"BOM","EXCELENTE")))</f>
        <v>BOM</v>
      </c>
      <c r="M2481">
        <v>0</v>
      </c>
      <c r="N2481">
        <v>0</v>
      </c>
      <c r="O2481">
        <v>0</v>
      </c>
    </row>
    <row r="2482" spans="1:15" hidden="1" x14ac:dyDescent="0.25">
      <c r="A2482" s="11">
        <v>46078</v>
      </c>
      <c r="B2482" t="s">
        <v>58</v>
      </c>
      <c r="C2482" t="s">
        <v>48</v>
      </c>
      <c r="D2482">
        <v>0</v>
      </c>
      <c r="E2482">
        <v>0</v>
      </c>
      <c r="F2482">
        <v>0</v>
      </c>
      <c r="G2482">
        <v>0</v>
      </c>
      <c r="H2482">
        <v>0</v>
      </c>
      <c r="I2482" s="3">
        <v>0</v>
      </c>
      <c r="J2482" s="3">
        <v>0</v>
      </c>
      <c r="K2482" s="3">
        <v>0</v>
      </c>
      <c r="L2482" s="3" t="str">
        <f>IF(K2482&lt;-5,"CRÍTICO",IF(K2482&lt;0,"ATENÇÃO",IF(K2482&lt;=5,"BOM","EXCELENTE")))</f>
        <v>BOM</v>
      </c>
      <c r="M2482">
        <v>0</v>
      </c>
      <c r="N2482">
        <v>97.92</v>
      </c>
      <c r="O2482">
        <v>32.87671232876712</v>
      </c>
    </row>
    <row r="2483" spans="1:15" hidden="1" x14ac:dyDescent="0.25">
      <c r="A2483" s="11">
        <v>46078</v>
      </c>
      <c r="B2483" t="s">
        <v>29</v>
      </c>
      <c r="C2483" t="s">
        <v>26</v>
      </c>
      <c r="D2483">
        <v>0</v>
      </c>
      <c r="E2483">
        <v>0</v>
      </c>
      <c r="F2483">
        <v>0</v>
      </c>
      <c r="G2483">
        <v>0</v>
      </c>
      <c r="H2483">
        <v>0</v>
      </c>
      <c r="I2483" s="3">
        <v>0</v>
      </c>
      <c r="J2483" s="3">
        <v>0</v>
      </c>
      <c r="K2483" s="3">
        <v>0</v>
      </c>
      <c r="L2483" s="3" t="str">
        <f>IF(K2483&lt;-5,"CRÍTICO",IF(K2483&lt;0,"ATENÇÃO",IF(K2483&lt;=5,"BOM","EXCELENTE")))</f>
        <v>BOM</v>
      </c>
      <c r="M2483">
        <v>0</v>
      </c>
      <c r="N2483">
        <v>0</v>
      </c>
      <c r="O2483">
        <v>0</v>
      </c>
    </row>
    <row r="2484" spans="1:15" hidden="1" x14ac:dyDescent="0.25">
      <c r="A2484" s="11">
        <v>46078</v>
      </c>
      <c r="B2484" t="s">
        <v>30</v>
      </c>
      <c r="C2484" t="s">
        <v>26</v>
      </c>
      <c r="D2484">
        <v>0</v>
      </c>
      <c r="E2484">
        <v>0</v>
      </c>
      <c r="F2484">
        <v>0</v>
      </c>
      <c r="G2484">
        <v>0</v>
      </c>
      <c r="H2484">
        <v>0</v>
      </c>
      <c r="I2484" s="3">
        <v>0</v>
      </c>
      <c r="J2484" s="3">
        <v>0</v>
      </c>
      <c r="K2484" s="3">
        <v>0</v>
      </c>
      <c r="L2484" s="3" t="str">
        <f>IF(K2484&lt;-5,"CRÍTICO",IF(K2484&lt;0,"ATENÇÃO",IF(K2484&lt;=5,"BOM","EXCELENTE")))</f>
        <v>BOM</v>
      </c>
      <c r="M2484">
        <v>0</v>
      </c>
      <c r="N2484">
        <v>0</v>
      </c>
      <c r="O2484">
        <v>0</v>
      </c>
    </row>
    <row r="2485" spans="1:15" hidden="1" x14ac:dyDescent="0.25">
      <c r="A2485" s="11">
        <v>46078</v>
      </c>
      <c r="B2485" t="s">
        <v>21</v>
      </c>
      <c r="C2485" t="s">
        <v>16</v>
      </c>
      <c r="D2485">
        <v>0</v>
      </c>
      <c r="E2485">
        <v>0</v>
      </c>
      <c r="F2485">
        <v>0</v>
      </c>
      <c r="G2485">
        <v>0</v>
      </c>
      <c r="H2485">
        <v>0</v>
      </c>
      <c r="I2485" s="3">
        <v>0</v>
      </c>
      <c r="J2485" s="3">
        <v>0</v>
      </c>
      <c r="K2485" s="3">
        <v>0</v>
      </c>
      <c r="L2485" s="3" t="str">
        <f>IF(K2485&lt;-5,"CRÍTICO",IF(K2485&lt;0,"ATENÇÃO",IF(K2485&lt;=5,"BOM","EXCELENTE")))</f>
        <v>BOM</v>
      </c>
      <c r="M2485">
        <v>0</v>
      </c>
      <c r="N2485">
        <v>0</v>
      </c>
      <c r="O2485">
        <v>0</v>
      </c>
    </row>
    <row r="2486" spans="1:15" hidden="1" x14ac:dyDescent="0.25">
      <c r="A2486" s="11">
        <v>46078</v>
      </c>
      <c r="B2486" t="s">
        <v>63</v>
      </c>
      <c r="C2486" t="s">
        <v>23</v>
      </c>
      <c r="D2486">
        <v>22</v>
      </c>
      <c r="E2486">
        <v>21</v>
      </c>
      <c r="F2486">
        <v>23.49</v>
      </c>
      <c r="G2486">
        <v>0</v>
      </c>
      <c r="H2486">
        <v>0</v>
      </c>
      <c r="I2486" s="3">
        <f>E2486+G2486+H2486</f>
        <v>21</v>
      </c>
      <c r="J2486" s="3">
        <f>ROUND(MIN(IF(C2486="Técnico III",35,IF(C2486="Técnico II",28,IF(C2486="Técnico I",23,IF(C2486="JR",20,IF(C2486="Estágio",10,0))))),IF(C2486="Técnico III",SUMIFS($D:$D,$A:$A,$A2486,$B:$B,"&lt;&gt;Patrícia Karla de Sousa Araújo",$B:$B,"&lt;&gt;Lorena Dias de Araujo",$B:$B,"&lt;&gt;Lucas Luiz Romero")*(35/1083),IF(C2486="Técnico II",SUMIFS($D:$D,$A:$A,$A2486,$B:$B,"&lt;&gt;Patrícia Karla de Sousa Araújo",$B:$B,"&lt;&gt;Lorena Dias de Araujo",$B:$B,"&lt;&gt;Lucas Luiz Romero")*(28/1083),IF(C2486="Técnico I",SUMIFS($D:$D,$A:$A,$A2486,$B:$B,"&lt;&gt;Patrícia Karla de Sousa Araújo",$B:$B,"&lt;&gt;Lorena Dias de Araujo",$B:$B,"&lt;&gt;Lucas Luiz Romero")*(23/1083),IF(C2486="JR",SUMIFS($D:$D,$A:$A,$A2486,$B:$B,"&lt;&gt;Patrícia Karla de Sousa Araújo",$B:$B,"&lt;&gt;Lorena Dias de Araujo",$B:$B,"&lt;&gt;Lucas Luiz Romero")*(20/1083),IF(C2486="Estágio",SUMIFS($D:$D,$A:$A,$A2486,$B:$B,"&lt;&gt;Patrícia Karla de Sousa Araújo",$B:$B,"&lt;&gt;Lorena Dias de Araujo",$B:$B,"&lt;&gt;Lucas Luiz Romero")*(10/1083),0)))))),0)</f>
        <v>13</v>
      </c>
      <c r="K2486" s="3">
        <f>I2486-J2486</f>
        <v>8</v>
      </c>
      <c r="L2486" s="3" t="str">
        <f>IF(K2486&lt;-5,"CRÍTICO",IF(K2486&lt;0,"ATENÇÃO",IF(K2486&lt;=5,"BOM","EXCELENTE")))</f>
        <v>EXCELENTE</v>
      </c>
      <c r="M2486">
        <v>17</v>
      </c>
      <c r="N2486">
        <v>98.51</v>
      </c>
      <c r="O2486">
        <v>29.710144927536231</v>
      </c>
    </row>
    <row r="2487" spans="1:15" hidden="1" x14ac:dyDescent="0.25">
      <c r="A2487" s="11">
        <v>46078</v>
      </c>
      <c r="B2487" t="s">
        <v>45</v>
      </c>
      <c r="C2487" t="s">
        <v>32</v>
      </c>
      <c r="D2487">
        <v>36</v>
      </c>
      <c r="E2487">
        <v>33</v>
      </c>
      <c r="F2487">
        <v>20.29</v>
      </c>
      <c r="G2487">
        <v>0</v>
      </c>
      <c r="H2487">
        <v>0</v>
      </c>
      <c r="I2487" s="3">
        <f>E2487+G2487+H2487</f>
        <v>33</v>
      </c>
      <c r="J2487" s="3">
        <f>ROUND(MIN(IF(C2487="Técnico III",35,IF(C2487="Técnico II",28,IF(C2487="Técnico I",23,IF(C2487="JR",20,IF(C2487="Estágio",10,0))))),IF(C2487="Técnico III",SUMIFS($D:$D,$A:$A,$A2487,$B:$B,"&lt;&gt;Patrícia Karla de Sousa Araújo",$B:$B,"&lt;&gt;Lorena Dias de Araujo",$B:$B,"&lt;&gt;Lucas Luiz Romero")*(35/1083),IF(C2487="Técnico II",SUMIFS($D:$D,$A:$A,$A2487,$B:$B,"&lt;&gt;Patrícia Karla de Sousa Araújo",$B:$B,"&lt;&gt;Lorena Dias de Araujo",$B:$B,"&lt;&gt;Lucas Luiz Romero")*(28/1083),IF(C2487="Técnico I",SUMIFS($D:$D,$A:$A,$A2487,$B:$B,"&lt;&gt;Patrícia Karla de Sousa Araújo",$B:$B,"&lt;&gt;Lorena Dias de Araujo",$B:$B,"&lt;&gt;Lucas Luiz Romero")*(23/1083),IF(C2487="JR",SUMIFS($D:$D,$A:$A,$A2487,$B:$B,"&lt;&gt;Patrícia Karla de Sousa Araújo",$B:$B,"&lt;&gt;Lorena Dias de Araujo",$B:$B,"&lt;&gt;Lucas Luiz Romero")*(20/1083),IF(C2487="Estágio",SUMIFS($D:$D,$A:$A,$A2487,$B:$B,"&lt;&gt;Patrícia Karla de Sousa Araújo",$B:$B,"&lt;&gt;Lorena Dias de Araujo",$B:$B,"&lt;&gt;Lucas Luiz Romero")*(10/1083),0)))))),0)</f>
        <v>20</v>
      </c>
      <c r="K2487" s="3">
        <f>I2487-J2487</f>
        <v>13</v>
      </c>
      <c r="L2487" s="3" t="str">
        <f>IF(K2487&lt;-5,"CRÍTICO",IF(K2487&lt;0,"ATENÇÃO",IF(K2487&lt;=5,"BOM","EXCELENTE")))</f>
        <v>EXCELENTE</v>
      </c>
      <c r="M2487">
        <v>25</v>
      </c>
      <c r="N2487">
        <v>98.81</v>
      </c>
      <c r="O2487">
        <v>30.712979890310791</v>
      </c>
    </row>
    <row r="2488" spans="1:15" hidden="1" x14ac:dyDescent="0.25">
      <c r="A2488" s="11">
        <v>46078</v>
      </c>
      <c r="B2488" t="s">
        <v>64</v>
      </c>
      <c r="C2488" t="s">
        <v>23</v>
      </c>
      <c r="D2488">
        <v>12</v>
      </c>
      <c r="E2488">
        <v>5</v>
      </c>
      <c r="F2488">
        <v>15.23</v>
      </c>
      <c r="G2488">
        <v>0</v>
      </c>
      <c r="H2488">
        <v>0</v>
      </c>
      <c r="I2488" s="3">
        <f>E2488+G2488+H2488</f>
        <v>5</v>
      </c>
      <c r="J2488" s="3">
        <f>ROUND(MIN(IF(C2488="Técnico III",35,IF(C2488="Técnico II",28,IF(C2488="Técnico I",23,IF(C2488="JR",20,IF(C2488="Estágio",10,0))))),IF(C2488="Técnico III",SUMIFS($D:$D,$A:$A,$A2488,$B:$B,"&lt;&gt;Patrícia Karla de Sousa Araújo",$B:$B,"&lt;&gt;Lorena Dias de Araujo",$B:$B,"&lt;&gt;Lucas Luiz Romero")*(35/1083),IF(C2488="Técnico II",SUMIFS($D:$D,$A:$A,$A2488,$B:$B,"&lt;&gt;Patrícia Karla de Sousa Araújo",$B:$B,"&lt;&gt;Lorena Dias de Araujo",$B:$B,"&lt;&gt;Lucas Luiz Romero")*(28/1083),IF(C2488="Técnico I",SUMIFS($D:$D,$A:$A,$A2488,$B:$B,"&lt;&gt;Patrícia Karla de Sousa Araújo",$B:$B,"&lt;&gt;Lorena Dias de Araujo",$B:$B,"&lt;&gt;Lucas Luiz Romero")*(23/1083),IF(C2488="JR",SUMIFS($D:$D,$A:$A,$A2488,$B:$B,"&lt;&gt;Patrícia Karla de Sousa Araújo",$B:$B,"&lt;&gt;Lorena Dias de Araujo",$B:$B,"&lt;&gt;Lucas Luiz Romero")*(20/1083),IF(C2488="Estágio",SUMIFS($D:$D,$A:$A,$A2488,$B:$B,"&lt;&gt;Patrícia Karla de Sousa Araújo",$B:$B,"&lt;&gt;Lorena Dias de Araujo",$B:$B,"&lt;&gt;Lucas Luiz Romero")*(10/1083),0)))))),0)</f>
        <v>13</v>
      </c>
      <c r="K2488" s="3">
        <f>I2488-J2488</f>
        <v>-8</v>
      </c>
      <c r="L2488" s="3" t="str">
        <f>IF(K2488&lt;-5,"CRÍTICO",IF(K2488&lt;0,"ATENÇÃO",IF(K2488&lt;=5,"BOM","EXCELENTE")))</f>
        <v>CRÍTICO</v>
      </c>
      <c r="M2488">
        <v>10</v>
      </c>
      <c r="N2488">
        <v>98.48</v>
      </c>
      <c r="O2488">
        <v>29.35323383084577</v>
      </c>
    </row>
    <row r="2489" spans="1:15" hidden="1" x14ac:dyDescent="0.25">
      <c r="A2489" s="11">
        <v>46078</v>
      </c>
      <c r="B2489" t="s">
        <v>46</v>
      </c>
      <c r="C2489" t="s">
        <v>32</v>
      </c>
      <c r="D2489">
        <v>27</v>
      </c>
      <c r="E2489">
        <v>26</v>
      </c>
      <c r="F2489">
        <v>25.24</v>
      </c>
      <c r="G2489">
        <v>0</v>
      </c>
      <c r="H2489">
        <v>0</v>
      </c>
      <c r="I2489" s="3">
        <f>E2489+G2489+H2489</f>
        <v>26</v>
      </c>
      <c r="J2489" s="3">
        <f>ROUND(MIN(IF(C2489="Técnico III",35,IF(C2489="Técnico II",28,IF(C2489="Técnico I",23,IF(C2489="JR",20,IF(C2489="Estágio",10,0))))),IF(C2489="Técnico III",SUMIFS($D:$D,$A:$A,$A2489,$B:$B,"&lt;&gt;Patrícia Karla de Sousa Araújo",$B:$B,"&lt;&gt;Lorena Dias de Araujo",$B:$B,"&lt;&gt;Lucas Luiz Romero")*(35/1083),IF(C2489="Técnico II",SUMIFS($D:$D,$A:$A,$A2489,$B:$B,"&lt;&gt;Patrícia Karla de Sousa Araújo",$B:$B,"&lt;&gt;Lorena Dias de Araujo",$B:$B,"&lt;&gt;Lucas Luiz Romero")*(28/1083),IF(C2489="Técnico I",SUMIFS($D:$D,$A:$A,$A2489,$B:$B,"&lt;&gt;Patrícia Karla de Sousa Araújo",$B:$B,"&lt;&gt;Lorena Dias de Araujo",$B:$B,"&lt;&gt;Lucas Luiz Romero")*(23/1083),IF(C2489="JR",SUMIFS($D:$D,$A:$A,$A2489,$B:$B,"&lt;&gt;Patrícia Karla de Sousa Araújo",$B:$B,"&lt;&gt;Lorena Dias de Araujo",$B:$B,"&lt;&gt;Lucas Luiz Romero")*(20/1083),IF(C2489="Estágio",SUMIFS($D:$D,$A:$A,$A2489,$B:$B,"&lt;&gt;Patrícia Karla de Sousa Araújo",$B:$B,"&lt;&gt;Lorena Dias de Araujo",$B:$B,"&lt;&gt;Lucas Luiz Romero")*(10/1083),0)))))),0)</f>
        <v>20</v>
      </c>
      <c r="K2489" s="3">
        <f>I2489-J2489</f>
        <v>6</v>
      </c>
      <c r="L2489" s="3" t="str">
        <f>IF(K2489&lt;-5,"CRÍTICO",IF(K2489&lt;0,"ATENÇÃO",IF(K2489&lt;=5,"BOM","EXCELENTE")))</f>
        <v>EXCELENTE</v>
      </c>
      <c r="M2489">
        <v>21</v>
      </c>
      <c r="N2489">
        <v>98.56</v>
      </c>
      <c r="O2489">
        <v>29.373650107991359</v>
      </c>
    </row>
    <row r="2490" spans="1:15" hidden="1" x14ac:dyDescent="0.25">
      <c r="A2490" s="11">
        <v>46079</v>
      </c>
      <c r="B2490" t="s">
        <v>47</v>
      </c>
      <c r="C2490" t="s">
        <v>48</v>
      </c>
      <c r="D2490">
        <v>20</v>
      </c>
      <c r="E2490">
        <v>19</v>
      </c>
      <c r="F2490">
        <v>26.4</v>
      </c>
      <c r="G2490">
        <v>0</v>
      </c>
      <c r="H2490">
        <v>0</v>
      </c>
      <c r="I2490" s="3">
        <f>E2490+G2490+H2490</f>
        <v>19</v>
      </c>
      <c r="J2490" s="3">
        <f>ROUND(MIN(IF(C2490="Técnico III",35,IF(C2490="Técnico II",28,IF(C2490="Técnico I",23,IF(C2490="JR",20,IF(C2490="Estágio",10,0))))),IF(C2490="Técnico III",SUMIFS($D:$D,$A:$A,$A2490,$B:$B,"&lt;&gt;Patrícia Karla de Sousa Araújo",$B:$B,"&lt;&gt;Lorena Dias de Araujo",$B:$B,"&lt;&gt;Lucas Luiz Romero")*(35/1083),IF(C2490="Técnico II",SUMIFS($D:$D,$A:$A,$A2490,$B:$B,"&lt;&gt;Patrícia Karla de Sousa Araújo",$B:$B,"&lt;&gt;Lorena Dias de Araujo",$B:$B,"&lt;&gt;Lucas Luiz Romero")*(28/1083),IF(C2490="Técnico I",SUMIFS($D:$D,$A:$A,$A2490,$B:$B,"&lt;&gt;Patrícia Karla de Sousa Araújo",$B:$B,"&lt;&gt;Lorena Dias de Araujo",$B:$B,"&lt;&gt;Lucas Luiz Romero")*(23/1083),IF(C2490="JR",SUMIFS($D:$D,$A:$A,$A2490,$B:$B,"&lt;&gt;Patrícia Karla de Sousa Araújo",$B:$B,"&lt;&gt;Lorena Dias de Araujo",$B:$B,"&lt;&gt;Lucas Luiz Romero")*(20/1083),IF(C2490="Estágio",SUMIFS($D:$D,$A:$A,$A2490,$B:$B,"&lt;&gt;Patrícia Karla de Sousa Araújo",$B:$B,"&lt;&gt;Lorena Dias de Araujo",$B:$B,"&lt;&gt;Lucas Luiz Romero")*(10/1083),0)))))),0)</f>
        <v>16</v>
      </c>
      <c r="K2490" s="3">
        <f>I2490-J2490</f>
        <v>3</v>
      </c>
      <c r="L2490" s="3" t="str">
        <f>IF(K2490&lt;-5,"CRÍTICO",IF(K2490&lt;0,"ATENÇÃO",IF(K2490&lt;=5,"BOM","EXCELENTE")))</f>
        <v>BOM</v>
      </c>
      <c r="M2490">
        <v>18</v>
      </c>
      <c r="N2490">
        <v>98.32</v>
      </c>
      <c r="O2490">
        <v>30.303030303030301</v>
      </c>
    </row>
    <row r="2491" spans="1:15" hidden="1" x14ac:dyDescent="0.25">
      <c r="A2491" s="11">
        <v>46079</v>
      </c>
      <c r="B2491" t="s">
        <v>31</v>
      </c>
      <c r="C2491" t="s">
        <v>32</v>
      </c>
      <c r="D2491">
        <v>0</v>
      </c>
      <c r="E2491">
        <v>0</v>
      </c>
      <c r="F2491">
        <v>0</v>
      </c>
      <c r="G2491">
        <v>0</v>
      </c>
      <c r="H2491">
        <v>0</v>
      </c>
      <c r="I2491" s="3">
        <v>0</v>
      </c>
      <c r="J2491" s="3">
        <v>0</v>
      </c>
      <c r="K2491" s="3">
        <v>0</v>
      </c>
      <c r="L2491" s="3" t="str">
        <f>IF(K2491&lt;-5,"CRÍTICO",IF(K2491&lt;0,"ATENÇÃO",IF(K2491&lt;=5,"BOM","EXCELENTE")))</f>
        <v>BOM</v>
      </c>
      <c r="M2491">
        <v>22</v>
      </c>
      <c r="N2491">
        <v>98.68</v>
      </c>
      <c r="O2491">
        <v>26.219512195121951</v>
      </c>
    </row>
    <row r="2492" spans="1:15" hidden="1" x14ac:dyDescent="0.25">
      <c r="A2492" s="11">
        <v>46079</v>
      </c>
      <c r="B2492" t="s">
        <v>59</v>
      </c>
      <c r="C2492" t="s">
        <v>23</v>
      </c>
      <c r="D2492">
        <v>25</v>
      </c>
      <c r="E2492">
        <v>24</v>
      </c>
      <c r="F2492">
        <v>27.07</v>
      </c>
      <c r="G2492">
        <v>0</v>
      </c>
      <c r="H2492">
        <v>0</v>
      </c>
      <c r="I2492" s="3">
        <f>E2492+G2492+H2492</f>
        <v>24</v>
      </c>
      <c r="J2492" s="3">
        <f>ROUND(MIN(IF(C2492="Técnico III",35,IF(C2492="Técnico II",28,IF(C2492="Técnico I",23,IF(C2492="JR",20,IF(C2492="Estágio",10,0))))),IF(C2492="Técnico III",SUMIFS($D:$D,$A:$A,$A2492,$B:$B,"&lt;&gt;Patrícia Karla de Sousa Araújo",$B:$B,"&lt;&gt;Lorena Dias de Araujo",$B:$B,"&lt;&gt;Lucas Luiz Romero")*(35/1083),IF(C2492="Técnico II",SUMIFS($D:$D,$A:$A,$A2492,$B:$B,"&lt;&gt;Patrícia Karla de Sousa Araújo",$B:$B,"&lt;&gt;Lorena Dias de Araujo",$B:$B,"&lt;&gt;Lucas Luiz Romero")*(28/1083),IF(C2492="Técnico I",SUMIFS($D:$D,$A:$A,$A2492,$B:$B,"&lt;&gt;Patrícia Karla de Sousa Araújo",$B:$B,"&lt;&gt;Lorena Dias de Araujo",$B:$B,"&lt;&gt;Lucas Luiz Romero")*(23/1083),IF(C2492="JR",SUMIFS($D:$D,$A:$A,$A2492,$B:$B,"&lt;&gt;Patrícia Karla de Sousa Araújo",$B:$B,"&lt;&gt;Lorena Dias de Araujo",$B:$B,"&lt;&gt;Lucas Luiz Romero")*(20/1083),IF(C2492="Estágio",SUMIFS($D:$D,$A:$A,$A2492,$B:$B,"&lt;&gt;Patrícia Karla de Sousa Araújo",$B:$B,"&lt;&gt;Lorena Dias de Araujo",$B:$B,"&lt;&gt;Lucas Luiz Romero")*(10/1083),0)))))),0)</f>
        <v>13</v>
      </c>
      <c r="K2492" s="3">
        <f>I2492-J2492</f>
        <v>11</v>
      </c>
      <c r="L2492" s="3" t="str">
        <f>IF(K2492&lt;-5,"CRÍTICO",IF(K2492&lt;0,"ATENÇÃO",IF(K2492&lt;=5,"BOM","EXCELENTE")))</f>
        <v>EXCELENTE</v>
      </c>
      <c r="M2492">
        <v>25</v>
      </c>
      <c r="N2492">
        <v>100</v>
      </c>
      <c r="O2492">
        <v>31.74224343675418</v>
      </c>
    </row>
    <row r="2493" spans="1:15" hidden="1" x14ac:dyDescent="0.25">
      <c r="A2493" s="11">
        <v>46079</v>
      </c>
      <c r="B2493" t="s">
        <v>33</v>
      </c>
      <c r="C2493" t="s">
        <v>32</v>
      </c>
      <c r="D2493">
        <v>21</v>
      </c>
      <c r="E2493">
        <v>20</v>
      </c>
      <c r="F2493">
        <v>31.56</v>
      </c>
      <c r="G2493">
        <v>0</v>
      </c>
      <c r="H2493">
        <v>0</v>
      </c>
      <c r="I2493" s="3">
        <f>E2493+G2493+H2493</f>
        <v>20</v>
      </c>
      <c r="J2493" s="3">
        <f>ROUND(MIN(IF(C2493="Técnico III",35,IF(C2493="Técnico II",28,IF(C2493="Técnico I",23,IF(C2493="JR",20,IF(C2493="Estágio",10,0))))),IF(C2493="Técnico III",SUMIFS($D:$D,$A:$A,$A2493,$B:$B,"&lt;&gt;Patrícia Karla de Sousa Araújo",$B:$B,"&lt;&gt;Lorena Dias de Araujo",$B:$B,"&lt;&gt;Lucas Luiz Romero")*(35/1083),IF(C2493="Técnico II",SUMIFS($D:$D,$A:$A,$A2493,$B:$B,"&lt;&gt;Patrícia Karla de Sousa Araújo",$B:$B,"&lt;&gt;Lorena Dias de Araujo",$B:$B,"&lt;&gt;Lucas Luiz Romero")*(28/1083),IF(C2493="Técnico I",SUMIFS($D:$D,$A:$A,$A2493,$B:$B,"&lt;&gt;Patrícia Karla de Sousa Araújo",$B:$B,"&lt;&gt;Lorena Dias de Araujo",$B:$B,"&lt;&gt;Lucas Luiz Romero")*(23/1083),IF(C2493="JR",SUMIFS($D:$D,$A:$A,$A2493,$B:$B,"&lt;&gt;Patrícia Karla de Sousa Araújo",$B:$B,"&lt;&gt;Lorena Dias de Araujo",$B:$B,"&lt;&gt;Lucas Luiz Romero")*(20/1083),IF(C2493="Estágio",SUMIFS($D:$D,$A:$A,$A2493,$B:$B,"&lt;&gt;Patrícia Karla de Sousa Araújo",$B:$B,"&lt;&gt;Lorena Dias de Araujo",$B:$B,"&lt;&gt;Lucas Luiz Romero")*(10/1083),0)))))),0)</f>
        <v>20</v>
      </c>
      <c r="K2493" s="3">
        <f>I2493-J2493</f>
        <v>0</v>
      </c>
      <c r="L2493" s="3" t="str">
        <f>IF(K2493&lt;-5,"CRÍTICO",IF(K2493&lt;0,"ATENÇÃO",IF(K2493&lt;=5,"BOM","EXCELENTE")))</f>
        <v>BOM</v>
      </c>
      <c r="M2493">
        <v>22</v>
      </c>
      <c r="N2493">
        <v>98.25</v>
      </c>
      <c r="O2493">
        <v>25.83518930957684</v>
      </c>
    </row>
    <row r="2494" spans="1:15" hidden="1" x14ac:dyDescent="0.25">
      <c r="A2494" s="11">
        <v>46079</v>
      </c>
      <c r="B2494" t="s">
        <v>15</v>
      </c>
      <c r="C2494" t="s">
        <v>16</v>
      </c>
      <c r="D2494">
        <v>11</v>
      </c>
      <c r="E2494">
        <v>9</v>
      </c>
      <c r="F2494">
        <v>32.06</v>
      </c>
      <c r="G2494">
        <v>0</v>
      </c>
      <c r="H2494">
        <v>0</v>
      </c>
      <c r="I2494" s="3">
        <f>E2494+G2494+H2494</f>
        <v>9</v>
      </c>
      <c r="J2494" s="3">
        <f>ROUND(MIN(IF(C2494="Técnico III",35,IF(C2494="Técnico II",28,IF(C2494="Técnico I",23,IF(C2494="JR",20,IF(C2494="Estágio",10,0))))),IF(C2494="Técnico III",SUMIFS($D:$D,$A:$A,$A2494,$B:$B,"&lt;&gt;Patrícia Karla de Sousa Araújo",$B:$B,"&lt;&gt;Lorena Dias de Araujo",$B:$B,"&lt;&gt;Lucas Luiz Romero")*(35/1083),IF(C2494="Técnico II",SUMIFS($D:$D,$A:$A,$A2494,$B:$B,"&lt;&gt;Patrícia Karla de Sousa Araújo",$B:$B,"&lt;&gt;Lorena Dias de Araujo",$B:$B,"&lt;&gt;Lucas Luiz Romero")*(28/1083),IF(C2494="Técnico I",SUMIFS($D:$D,$A:$A,$A2494,$B:$B,"&lt;&gt;Patrícia Karla de Sousa Araújo",$B:$B,"&lt;&gt;Lorena Dias de Araujo",$B:$B,"&lt;&gt;Lucas Luiz Romero")*(23/1083),IF(C2494="JR",SUMIFS($D:$D,$A:$A,$A2494,$B:$B,"&lt;&gt;Patrícia Karla de Sousa Araújo",$B:$B,"&lt;&gt;Lorena Dias de Araujo",$B:$B,"&lt;&gt;Lucas Luiz Romero")*(20/1083),IF(C2494="Estágio",SUMIFS($D:$D,$A:$A,$A2494,$B:$B,"&lt;&gt;Patrícia Karla de Sousa Araújo",$B:$B,"&lt;&gt;Lorena Dias de Araujo",$B:$B,"&lt;&gt;Lucas Luiz Romero")*(10/1083),0)))))),0)</f>
        <v>6</v>
      </c>
      <c r="K2494" s="3">
        <f>I2494-J2494</f>
        <v>3</v>
      </c>
      <c r="L2494" s="3" t="str">
        <f>IF(K2494&lt;-5,"CRÍTICO",IF(K2494&lt;0,"ATENÇÃO",IF(K2494&lt;=5,"BOM","EXCELENTE")))</f>
        <v>BOM</v>
      </c>
      <c r="M2494">
        <v>11</v>
      </c>
      <c r="N2494">
        <v>97.5</v>
      </c>
      <c r="O2494">
        <v>30.075187969924809</v>
      </c>
    </row>
    <row r="2495" spans="1:15" hidden="1" x14ac:dyDescent="0.25">
      <c r="A2495" s="11">
        <v>46079</v>
      </c>
      <c r="B2495" t="s">
        <v>49</v>
      </c>
      <c r="C2495" t="s">
        <v>48</v>
      </c>
      <c r="D2495">
        <v>27</v>
      </c>
      <c r="E2495">
        <v>26</v>
      </c>
      <c r="F2495">
        <v>20.260000000000002</v>
      </c>
      <c r="G2495">
        <v>0</v>
      </c>
      <c r="H2495">
        <v>0</v>
      </c>
      <c r="I2495" s="3">
        <f>E2495+G2495+H2495</f>
        <v>26</v>
      </c>
      <c r="J2495" s="3">
        <f>ROUND(MIN(IF(C2495="Técnico III",35,IF(C2495="Técnico II",28,IF(C2495="Técnico I",23,IF(C2495="JR",20,IF(C2495="Estágio",10,0))))),IF(C2495="Técnico III",SUMIFS($D:$D,$A:$A,$A2495,$B:$B,"&lt;&gt;Patrícia Karla de Sousa Araújo",$B:$B,"&lt;&gt;Lorena Dias de Araujo",$B:$B,"&lt;&gt;Lucas Luiz Romero")*(35/1083),IF(C2495="Técnico II",SUMIFS($D:$D,$A:$A,$A2495,$B:$B,"&lt;&gt;Patrícia Karla de Sousa Araújo",$B:$B,"&lt;&gt;Lorena Dias de Araujo",$B:$B,"&lt;&gt;Lucas Luiz Romero")*(28/1083),IF(C2495="Técnico I",SUMIFS($D:$D,$A:$A,$A2495,$B:$B,"&lt;&gt;Patrícia Karla de Sousa Araújo",$B:$B,"&lt;&gt;Lorena Dias de Araujo",$B:$B,"&lt;&gt;Lucas Luiz Romero")*(23/1083),IF(C2495="JR",SUMIFS($D:$D,$A:$A,$A2495,$B:$B,"&lt;&gt;Patrícia Karla de Sousa Araújo",$B:$B,"&lt;&gt;Lorena Dias de Araujo",$B:$B,"&lt;&gt;Lucas Luiz Romero")*(20/1083),IF(C2495="Estágio",SUMIFS($D:$D,$A:$A,$A2495,$B:$B,"&lt;&gt;Patrícia Karla de Sousa Araújo",$B:$B,"&lt;&gt;Lorena Dias de Araujo",$B:$B,"&lt;&gt;Lucas Luiz Romero")*(10/1083),0)))))),0)</f>
        <v>16</v>
      </c>
      <c r="K2495" s="3">
        <f>I2495-J2495</f>
        <v>10</v>
      </c>
      <c r="L2495" s="3" t="str">
        <f>IF(K2495&lt;-5,"CRÍTICO",IF(K2495&lt;0,"ATENÇÃO",IF(K2495&lt;=5,"BOM","EXCELENTE")))</f>
        <v>EXCELENTE</v>
      </c>
      <c r="M2495">
        <v>23</v>
      </c>
      <c r="N2495">
        <v>100</v>
      </c>
      <c r="O2495">
        <v>29.71311475409836</v>
      </c>
    </row>
    <row r="2496" spans="1:15" hidden="1" x14ac:dyDescent="0.25">
      <c r="A2496" s="11">
        <v>46079</v>
      </c>
      <c r="B2496" t="s">
        <v>50</v>
      </c>
      <c r="C2496" t="s">
        <v>48</v>
      </c>
      <c r="D2496">
        <v>11</v>
      </c>
      <c r="E2496">
        <v>11</v>
      </c>
      <c r="F2496">
        <v>60.37</v>
      </c>
      <c r="G2496">
        <v>0</v>
      </c>
      <c r="H2496">
        <v>0</v>
      </c>
      <c r="I2496" s="3">
        <f>E2496+G2496+H2496</f>
        <v>11</v>
      </c>
      <c r="J2496" s="3">
        <f>ROUND(MIN(IF(C2496="Técnico III",35,IF(C2496="Técnico II",28,IF(C2496="Técnico I",23,IF(C2496="JR",20,IF(C2496="Estágio",10,0))))),IF(C2496="Técnico III",SUMIFS($D:$D,$A:$A,$A2496,$B:$B,"&lt;&gt;Patrícia Karla de Sousa Araújo",$B:$B,"&lt;&gt;Lorena Dias de Araujo",$B:$B,"&lt;&gt;Lucas Luiz Romero")*(35/1083),IF(C2496="Técnico II",SUMIFS($D:$D,$A:$A,$A2496,$B:$B,"&lt;&gt;Patrícia Karla de Sousa Araújo",$B:$B,"&lt;&gt;Lorena Dias de Araujo",$B:$B,"&lt;&gt;Lucas Luiz Romero")*(28/1083),IF(C2496="Técnico I",SUMIFS($D:$D,$A:$A,$A2496,$B:$B,"&lt;&gt;Patrícia Karla de Sousa Araújo",$B:$B,"&lt;&gt;Lorena Dias de Araujo",$B:$B,"&lt;&gt;Lucas Luiz Romero")*(23/1083),IF(C2496="JR",SUMIFS($D:$D,$A:$A,$A2496,$B:$B,"&lt;&gt;Patrícia Karla de Sousa Araújo",$B:$B,"&lt;&gt;Lorena Dias de Araujo",$B:$B,"&lt;&gt;Lucas Luiz Romero")*(20/1083),IF(C2496="Estágio",SUMIFS($D:$D,$A:$A,$A2496,$B:$B,"&lt;&gt;Patrícia Karla de Sousa Araújo",$B:$B,"&lt;&gt;Lorena Dias de Araujo",$B:$B,"&lt;&gt;Lucas Luiz Romero")*(10/1083),0)))))),0)</f>
        <v>16</v>
      </c>
      <c r="K2496" s="3">
        <f>I2496-J2496</f>
        <v>-5</v>
      </c>
      <c r="L2496" s="3" t="str">
        <f>IF(K2496&lt;-5,"CRÍTICO",IF(K2496&lt;0,"ATENÇÃO",IF(K2496&lt;=5,"BOM","EXCELENTE")))</f>
        <v>ATENÇÃO</v>
      </c>
      <c r="M2496">
        <v>10</v>
      </c>
      <c r="N2496">
        <v>99.22</v>
      </c>
      <c r="O2496">
        <v>35.256410256410263</v>
      </c>
    </row>
    <row r="2497" spans="1:15" hidden="1" x14ac:dyDescent="0.25">
      <c r="A2497" s="11">
        <v>46079</v>
      </c>
      <c r="B2497" t="s">
        <v>17</v>
      </c>
      <c r="C2497" t="s">
        <v>16</v>
      </c>
      <c r="D2497">
        <v>0</v>
      </c>
      <c r="E2497">
        <v>0</v>
      </c>
      <c r="F2497">
        <v>0</v>
      </c>
      <c r="G2497">
        <v>0</v>
      </c>
      <c r="H2497">
        <v>0</v>
      </c>
      <c r="I2497" s="3">
        <v>0</v>
      </c>
      <c r="J2497" s="3">
        <v>0</v>
      </c>
      <c r="K2497" s="3">
        <v>0</v>
      </c>
      <c r="L2497" s="3" t="str">
        <f>IF(K2497&lt;-5,"CRÍTICO",IF(K2497&lt;0,"ATENÇÃO",IF(K2497&lt;=5,"BOM","EXCELENTE")))</f>
        <v>BOM</v>
      </c>
      <c r="M2497">
        <v>0</v>
      </c>
      <c r="N2497">
        <v>0</v>
      </c>
      <c r="O2497">
        <v>0</v>
      </c>
    </row>
    <row r="2498" spans="1:15" hidden="1" x14ac:dyDescent="0.25">
      <c r="A2498" s="11">
        <v>46079</v>
      </c>
      <c r="B2498" t="s">
        <v>60</v>
      </c>
      <c r="C2498" t="s">
        <v>23</v>
      </c>
      <c r="D2498">
        <v>16</v>
      </c>
      <c r="E2498">
        <v>15</v>
      </c>
      <c r="F2498">
        <v>40.14</v>
      </c>
      <c r="G2498">
        <v>0</v>
      </c>
      <c r="H2498">
        <v>0</v>
      </c>
      <c r="I2498" s="3">
        <f>E2498+G2498+H2498</f>
        <v>15</v>
      </c>
      <c r="J2498" s="3">
        <f>ROUND(MIN(IF(C2498="Técnico III",35,IF(C2498="Técnico II",28,IF(C2498="Técnico I",23,IF(C2498="JR",20,IF(C2498="Estágio",10,0))))),IF(C2498="Técnico III",SUMIFS($D:$D,$A:$A,$A2498,$B:$B,"&lt;&gt;Patrícia Karla de Sousa Araújo",$B:$B,"&lt;&gt;Lorena Dias de Araujo",$B:$B,"&lt;&gt;Lucas Luiz Romero")*(35/1083),IF(C2498="Técnico II",SUMIFS($D:$D,$A:$A,$A2498,$B:$B,"&lt;&gt;Patrícia Karla de Sousa Araújo",$B:$B,"&lt;&gt;Lorena Dias de Araujo",$B:$B,"&lt;&gt;Lucas Luiz Romero")*(28/1083),IF(C2498="Técnico I",SUMIFS($D:$D,$A:$A,$A2498,$B:$B,"&lt;&gt;Patrícia Karla de Sousa Araújo",$B:$B,"&lt;&gt;Lorena Dias de Araujo",$B:$B,"&lt;&gt;Lucas Luiz Romero")*(23/1083),IF(C2498="JR",SUMIFS($D:$D,$A:$A,$A2498,$B:$B,"&lt;&gt;Patrícia Karla de Sousa Araújo",$B:$B,"&lt;&gt;Lorena Dias de Araujo",$B:$B,"&lt;&gt;Lucas Luiz Romero")*(20/1083),IF(C2498="Estágio",SUMIFS($D:$D,$A:$A,$A2498,$B:$B,"&lt;&gt;Patrícia Karla de Sousa Araújo",$B:$B,"&lt;&gt;Lorena Dias de Araujo",$B:$B,"&lt;&gt;Lucas Luiz Romero")*(10/1083),0)))))),0)</f>
        <v>13</v>
      </c>
      <c r="K2498" s="3">
        <f>I2498-J2498</f>
        <v>2</v>
      </c>
      <c r="L2498" s="3" t="str">
        <f>IF(K2498&lt;-5,"CRÍTICO",IF(K2498&lt;0,"ATENÇÃO",IF(K2498&lt;=5,"BOM","EXCELENTE")))</f>
        <v>BOM</v>
      </c>
      <c r="M2498">
        <v>13</v>
      </c>
      <c r="N2498">
        <v>98.75</v>
      </c>
      <c r="O2498">
        <v>24.32432432432433</v>
      </c>
    </row>
    <row r="2499" spans="1:15" hidden="1" x14ac:dyDescent="0.25">
      <c r="A2499" s="11">
        <v>46079</v>
      </c>
      <c r="B2499" t="s">
        <v>34</v>
      </c>
      <c r="C2499" t="s">
        <v>32</v>
      </c>
      <c r="D2499">
        <v>21</v>
      </c>
      <c r="E2499">
        <v>21</v>
      </c>
      <c r="F2499">
        <v>33.28</v>
      </c>
      <c r="G2499">
        <v>0</v>
      </c>
      <c r="H2499">
        <v>0</v>
      </c>
      <c r="I2499" s="3">
        <f>E2499+G2499+H2499</f>
        <v>21</v>
      </c>
      <c r="J2499" s="3">
        <f>ROUND(MIN(IF(C2499="Técnico III",35,IF(C2499="Técnico II",28,IF(C2499="Técnico I",23,IF(C2499="JR",20,IF(C2499="Estágio",10,0))))),IF(C2499="Técnico III",SUMIFS($D:$D,$A:$A,$A2499,$B:$B,"&lt;&gt;Patrícia Karla de Sousa Araújo",$B:$B,"&lt;&gt;Lorena Dias de Araujo",$B:$B,"&lt;&gt;Lucas Luiz Romero")*(35/1083),IF(C2499="Técnico II",SUMIFS($D:$D,$A:$A,$A2499,$B:$B,"&lt;&gt;Patrícia Karla de Sousa Araújo",$B:$B,"&lt;&gt;Lorena Dias de Araujo",$B:$B,"&lt;&gt;Lucas Luiz Romero")*(28/1083),IF(C2499="Técnico I",SUMIFS($D:$D,$A:$A,$A2499,$B:$B,"&lt;&gt;Patrícia Karla de Sousa Araújo",$B:$B,"&lt;&gt;Lorena Dias de Araujo",$B:$B,"&lt;&gt;Lucas Luiz Romero")*(23/1083),IF(C2499="JR",SUMIFS($D:$D,$A:$A,$A2499,$B:$B,"&lt;&gt;Patrícia Karla de Sousa Araújo",$B:$B,"&lt;&gt;Lorena Dias de Araujo",$B:$B,"&lt;&gt;Lucas Luiz Romero")*(20/1083),IF(C2499="Estágio",SUMIFS($D:$D,$A:$A,$A2499,$B:$B,"&lt;&gt;Patrícia Karla de Sousa Araújo",$B:$B,"&lt;&gt;Lorena Dias de Araujo",$B:$B,"&lt;&gt;Lucas Luiz Romero")*(10/1083),0)))))),0)</f>
        <v>20</v>
      </c>
      <c r="K2499" s="3">
        <f>I2499-J2499</f>
        <v>1</v>
      </c>
      <c r="L2499" s="3" t="str">
        <f>IF(K2499&lt;-5,"CRÍTICO",IF(K2499&lt;0,"ATENÇÃO",IF(K2499&lt;=5,"BOM","EXCELENTE")))</f>
        <v>BOM</v>
      </c>
      <c r="M2499">
        <v>20</v>
      </c>
      <c r="N2499">
        <v>93.48</v>
      </c>
      <c r="O2499">
        <v>31.52804642166344</v>
      </c>
    </row>
    <row r="2500" spans="1:15" hidden="1" x14ac:dyDescent="0.25">
      <c r="A2500" s="11">
        <v>46079</v>
      </c>
      <c r="B2500" t="s">
        <v>51</v>
      </c>
      <c r="C2500" t="s">
        <v>48</v>
      </c>
      <c r="D2500">
        <v>19</v>
      </c>
      <c r="E2500">
        <v>17</v>
      </c>
      <c r="F2500">
        <v>33.270000000000003</v>
      </c>
      <c r="G2500">
        <v>0</v>
      </c>
      <c r="H2500">
        <v>0</v>
      </c>
      <c r="I2500" s="3">
        <v>0</v>
      </c>
      <c r="J2500" s="3">
        <v>0</v>
      </c>
      <c r="K2500" s="3">
        <v>0</v>
      </c>
      <c r="L2500" s="3" t="str">
        <f>IF(K2500&lt;-5,"CRÍTICO",IF(K2500&lt;0,"ATENÇÃO",IF(K2500&lt;=5,"BOM","EXCELENTE")))</f>
        <v>BOM</v>
      </c>
      <c r="M2500">
        <v>14</v>
      </c>
      <c r="N2500">
        <v>99.16</v>
      </c>
      <c r="O2500">
        <v>26.13908872901678</v>
      </c>
    </row>
    <row r="2501" spans="1:15" hidden="1" x14ac:dyDescent="0.25">
      <c r="A2501" s="11">
        <v>46079</v>
      </c>
      <c r="B2501" t="s">
        <v>61</v>
      </c>
      <c r="C2501" t="s">
        <v>23</v>
      </c>
      <c r="D2501">
        <v>13</v>
      </c>
      <c r="E2501">
        <v>13</v>
      </c>
      <c r="F2501">
        <v>51.46</v>
      </c>
      <c r="G2501">
        <v>0</v>
      </c>
      <c r="H2501">
        <v>0</v>
      </c>
      <c r="I2501" s="3">
        <f>E2501+G2501+H2501</f>
        <v>13</v>
      </c>
      <c r="J2501" s="3">
        <f>ROUND(MIN(IF(C2501="Técnico III",35,IF(C2501="Técnico II",28,IF(C2501="Técnico I",23,IF(C2501="JR",20,IF(C2501="Estágio",10,0))))),IF(C2501="Técnico III",SUMIFS($D:$D,$A:$A,$A2501,$B:$B,"&lt;&gt;Patrícia Karla de Sousa Araújo",$B:$B,"&lt;&gt;Lorena Dias de Araujo",$B:$B,"&lt;&gt;Lucas Luiz Romero")*(35/1083),IF(C2501="Técnico II",SUMIFS($D:$D,$A:$A,$A2501,$B:$B,"&lt;&gt;Patrícia Karla de Sousa Araújo",$B:$B,"&lt;&gt;Lorena Dias de Araujo",$B:$B,"&lt;&gt;Lucas Luiz Romero")*(28/1083),IF(C2501="Técnico I",SUMIFS($D:$D,$A:$A,$A2501,$B:$B,"&lt;&gt;Patrícia Karla de Sousa Araújo",$B:$B,"&lt;&gt;Lorena Dias de Araujo",$B:$B,"&lt;&gt;Lucas Luiz Romero")*(23/1083),IF(C2501="JR",SUMIFS($D:$D,$A:$A,$A2501,$B:$B,"&lt;&gt;Patrícia Karla de Sousa Araújo",$B:$B,"&lt;&gt;Lorena Dias de Araujo",$B:$B,"&lt;&gt;Lucas Luiz Romero")*(20/1083),IF(C2501="Estágio",SUMIFS($D:$D,$A:$A,$A2501,$B:$B,"&lt;&gt;Patrícia Karla de Sousa Araújo",$B:$B,"&lt;&gt;Lorena Dias de Araujo",$B:$B,"&lt;&gt;Lucas Luiz Romero")*(10/1083),0)))))),0)</f>
        <v>13</v>
      </c>
      <c r="K2501" s="3">
        <f>I2501-J2501</f>
        <v>0</v>
      </c>
      <c r="L2501" s="3" t="str">
        <f>IF(K2501&lt;-5,"CRÍTICO",IF(K2501&lt;0,"ATENÇÃO",IF(K2501&lt;=5,"BOM","EXCELENTE")))</f>
        <v>BOM</v>
      </c>
      <c r="M2501">
        <v>8</v>
      </c>
      <c r="N2501">
        <v>100</v>
      </c>
      <c r="O2501">
        <v>31.089743589743591</v>
      </c>
    </row>
    <row r="2502" spans="1:15" hidden="1" x14ac:dyDescent="0.25">
      <c r="A2502" s="11">
        <v>46079</v>
      </c>
      <c r="B2502" t="s">
        <v>35</v>
      </c>
      <c r="C2502" t="s">
        <v>32</v>
      </c>
      <c r="D2502">
        <v>18</v>
      </c>
      <c r="E2502">
        <v>17</v>
      </c>
      <c r="F2502">
        <v>40.32</v>
      </c>
      <c r="G2502">
        <v>0</v>
      </c>
      <c r="H2502">
        <v>0</v>
      </c>
      <c r="I2502" s="3">
        <v>0</v>
      </c>
      <c r="J2502" s="3">
        <v>0</v>
      </c>
      <c r="K2502" s="3">
        <v>0</v>
      </c>
      <c r="L2502" s="3" t="str">
        <f>IF(K2502&lt;-5,"CRÍTICO",IF(K2502&lt;0,"ATENÇÃO",IF(K2502&lt;=5,"BOM","EXCELENTE")))</f>
        <v>BOM</v>
      </c>
      <c r="M2502">
        <v>18</v>
      </c>
      <c r="N2502">
        <v>98.11</v>
      </c>
      <c r="O2502">
        <v>33.033707865168537</v>
      </c>
    </row>
    <row r="2503" spans="1:15" hidden="1" x14ac:dyDescent="0.25">
      <c r="A2503" s="11">
        <v>46079</v>
      </c>
      <c r="B2503" t="s">
        <v>18</v>
      </c>
      <c r="C2503" t="s">
        <v>16</v>
      </c>
      <c r="D2503">
        <v>8</v>
      </c>
      <c r="E2503">
        <v>8</v>
      </c>
      <c r="F2503">
        <v>45.06</v>
      </c>
      <c r="G2503">
        <v>0</v>
      </c>
      <c r="H2503">
        <v>0</v>
      </c>
      <c r="I2503" s="3">
        <f>E2503+G2503+H2503</f>
        <v>8</v>
      </c>
      <c r="J2503" s="3">
        <f>ROUND(MIN(IF(C2503="Técnico III",35,IF(C2503="Técnico II",28,IF(C2503="Técnico I",23,IF(C2503="JR",20,IF(C2503="Estágio",10,0))))),IF(C2503="Técnico III",SUMIFS($D:$D,$A:$A,$A2503,$B:$B,"&lt;&gt;Patrícia Karla de Sousa Araújo",$B:$B,"&lt;&gt;Lorena Dias de Araujo",$B:$B,"&lt;&gt;Lucas Luiz Romero")*(35/1083),IF(C2503="Técnico II",SUMIFS($D:$D,$A:$A,$A2503,$B:$B,"&lt;&gt;Patrícia Karla de Sousa Araújo",$B:$B,"&lt;&gt;Lorena Dias de Araujo",$B:$B,"&lt;&gt;Lucas Luiz Romero")*(28/1083),IF(C2503="Técnico I",SUMIFS($D:$D,$A:$A,$A2503,$B:$B,"&lt;&gt;Patrícia Karla de Sousa Araújo",$B:$B,"&lt;&gt;Lorena Dias de Araujo",$B:$B,"&lt;&gt;Lucas Luiz Romero")*(23/1083),IF(C2503="JR",SUMIFS($D:$D,$A:$A,$A2503,$B:$B,"&lt;&gt;Patrícia Karla de Sousa Araújo",$B:$B,"&lt;&gt;Lorena Dias de Araujo",$B:$B,"&lt;&gt;Lucas Luiz Romero")*(20/1083),IF(C2503="Estágio",SUMIFS($D:$D,$A:$A,$A2503,$B:$B,"&lt;&gt;Patrícia Karla de Sousa Araújo",$B:$B,"&lt;&gt;Lorena Dias de Araujo",$B:$B,"&lt;&gt;Lucas Luiz Romero")*(10/1083),0)))))),0)</f>
        <v>6</v>
      </c>
      <c r="K2503" s="3">
        <f>I2503-J2503</f>
        <v>2</v>
      </c>
      <c r="L2503" s="3" t="str">
        <f>IF(K2503&lt;-5,"CRÍTICO",IF(K2503&lt;0,"ATENÇÃO",IF(K2503&lt;=5,"BOM","EXCELENTE")))</f>
        <v>BOM</v>
      </c>
      <c r="M2503">
        <v>4</v>
      </c>
      <c r="N2503">
        <v>78.95</v>
      </c>
      <c r="O2503">
        <v>38.983050847457633</v>
      </c>
    </row>
    <row r="2504" spans="1:15" hidden="1" x14ac:dyDescent="0.25">
      <c r="A2504" s="11">
        <v>46079</v>
      </c>
      <c r="B2504" t="s">
        <v>52</v>
      </c>
      <c r="C2504" t="s">
        <v>48</v>
      </c>
      <c r="D2504">
        <v>23</v>
      </c>
      <c r="E2504">
        <v>22</v>
      </c>
      <c r="F2504">
        <v>29.14</v>
      </c>
      <c r="G2504">
        <v>0</v>
      </c>
      <c r="H2504">
        <v>0</v>
      </c>
      <c r="I2504" s="3">
        <f>E2504+G2504+H2504</f>
        <v>22</v>
      </c>
      <c r="J2504" s="3">
        <f>ROUND(MIN(IF(C2504="Técnico III",35,IF(C2504="Técnico II",28,IF(C2504="Técnico I",23,IF(C2504="JR",20,IF(C2504="Estágio",10,0))))),IF(C2504="Técnico III",SUMIFS($D:$D,$A:$A,$A2504,$B:$B,"&lt;&gt;Patrícia Karla de Sousa Araújo",$B:$B,"&lt;&gt;Lorena Dias de Araujo",$B:$B,"&lt;&gt;Lucas Luiz Romero")*(35/1083),IF(C2504="Técnico II",SUMIFS($D:$D,$A:$A,$A2504,$B:$B,"&lt;&gt;Patrícia Karla de Sousa Araújo",$B:$B,"&lt;&gt;Lorena Dias de Araujo",$B:$B,"&lt;&gt;Lucas Luiz Romero")*(28/1083),IF(C2504="Técnico I",SUMIFS($D:$D,$A:$A,$A2504,$B:$B,"&lt;&gt;Patrícia Karla de Sousa Araújo",$B:$B,"&lt;&gt;Lorena Dias de Araujo",$B:$B,"&lt;&gt;Lucas Luiz Romero")*(23/1083),IF(C2504="JR",SUMIFS($D:$D,$A:$A,$A2504,$B:$B,"&lt;&gt;Patrícia Karla de Sousa Araújo",$B:$B,"&lt;&gt;Lorena Dias de Araujo",$B:$B,"&lt;&gt;Lucas Luiz Romero")*(20/1083),IF(C2504="Estágio",SUMIFS($D:$D,$A:$A,$A2504,$B:$B,"&lt;&gt;Patrícia Karla de Sousa Araújo",$B:$B,"&lt;&gt;Lorena Dias de Araujo",$B:$B,"&lt;&gt;Lucas Luiz Romero")*(10/1083),0)))))),0)</f>
        <v>16</v>
      </c>
      <c r="K2504" s="3">
        <f>I2504-J2504</f>
        <v>6</v>
      </c>
      <c r="L2504" s="3" t="str">
        <f>IF(K2504&lt;-5,"CRÍTICO",IF(K2504&lt;0,"ATENÇÃO",IF(K2504&lt;=5,"BOM","EXCELENTE")))</f>
        <v>EXCELENTE</v>
      </c>
      <c r="M2504">
        <v>20</v>
      </c>
      <c r="N2504">
        <v>98.45</v>
      </c>
      <c r="O2504">
        <v>29.281767955801101</v>
      </c>
    </row>
    <row r="2505" spans="1:15" hidden="1" x14ac:dyDescent="0.25">
      <c r="A2505" s="11">
        <v>46079</v>
      </c>
      <c r="B2505" t="s">
        <v>36</v>
      </c>
      <c r="C2505" t="s">
        <v>32</v>
      </c>
      <c r="D2505">
        <v>22</v>
      </c>
      <c r="E2505">
        <v>21</v>
      </c>
      <c r="F2505">
        <v>28.42</v>
      </c>
      <c r="G2505">
        <v>0</v>
      </c>
      <c r="H2505">
        <v>0</v>
      </c>
      <c r="I2505" s="3">
        <f>E2505+G2505+H2505</f>
        <v>21</v>
      </c>
      <c r="J2505" s="3">
        <f>ROUND(MIN(IF(C2505="Técnico III",35,IF(C2505="Técnico II",28,IF(C2505="Técnico I",23,IF(C2505="JR",20,IF(C2505="Estágio",10,0))))),IF(C2505="Técnico III",SUMIFS($D:$D,$A:$A,$A2505,$B:$B,"&lt;&gt;Patrícia Karla de Sousa Araújo",$B:$B,"&lt;&gt;Lorena Dias de Araujo",$B:$B,"&lt;&gt;Lucas Luiz Romero")*(35/1083),IF(C2505="Técnico II",SUMIFS($D:$D,$A:$A,$A2505,$B:$B,"&lt;&gt;Patrícia Karla de Sousa Araújo",$B:$B,"&lt;&gt;Lorena Dias de Araujo",$B:$B,"&lt;&gt;Lucas Luiz Romero")*(28/1083),IF(C2505="Técnico I",SUMIFS($D:$D,$A:$A,$A2505,$B:$B,"&lt;&gt;Patrícia Karla de Sousa Araújo",$B:$B,"&lt;&gt;Lorena Dias de Araujo",$B:$B,"&lt;&gt;Lucas Luiz Romero")*(23/1083),IF(C2505="JR",SUMIFS($D:$D,$A:$A,$A2505,$B:$B,"&lt;&gt;Patrícia Karla de Sousa Araújo",$B:$B,"&lt;&gt;Lorena Dias de Araujo",$B:$B,"&lt;&gt;Lucas Luiz Romero")*(20/1083),IF(C2505="Estágio",SUMIFS($D:$D,$A:$A,$A2505,$B:$B,"&lt;&gt;Patrícia Karla de Sousa Araújo",$B:$B,"&lt;&gt;Lorena Dias de Araujo",$B:$B,"&lt;&gt;Lucas Luiz Romero")*(10/1083),0)))))),0)</f>
        <v>20</v>
      </c>
      <c r="K2505" s="3">
        <f>I2505-J2505</f>
        <v>1</v>
      </c>
      <c r="L2505" s="3" t="str">
        <f>IF(K2505&lt;-5,"CRÍTICO",IF(K2505&lt;0,"ATENÇÃO",IF(K2505&lt;=5,"BOM","EXCELENTE")))</f>
        <v>BOM</v>
      </c>
      <c r="M2505">
        <v>20</v>
      </c>
      <c r="N2505">
        <v>97.84</v>
      </c>
      <c r="O2505">
        <v>26.282051282051281</v>
      </c>
    </row>
    <row r="2506" spans="1:15" hidden="1" x14ac:dyDescent="0.25">
      <c r="A2506" s="11">
        <v>46079</v>
      </c>
      <c r="B2506" t="s">
        <v>53</v>
      </c>
      <c r="C2506" t="s">
        <v>48</v>
      </c>
      <c r="D2506">
        <v>23</v>
      </c>
      <c r="E2506">
        <v>22</v>
      </c>
      <c r="F2506">
        <v>30.31</v>
      </c>
      <c r="G2506">
        <v>0</v>
      </c>
      <c r="H2506">
        <v>0</v>
      </c>
      <c r="I2506" s="3">
        <f>E2506+G2506+H2506</f>
        <v>22</v>
      </c>
      <c r="J2506" s="3">
        <f>ROUND(MIN(IF(C2506="Técnico III",35,IF(C2506="Técnico II",28,IF(C2506="Técnico I",23,IF(C2506="JR",20,IF(C2506="Estágio",10,0))))),IF(C2506="Técnico III",SUMIFS($D:$D,$A:$A,$A2506,$B:$B,"&lt;&gt;Patrícia Karla de Sousa Araújo",$B:$B,"&lt;&gt;Lorena Dias de Araujo",$B:$B,"&lt;&gt;Lucas Luiz Romero")*(35/1083),IF(C2506="Técnico II",SUMIFS($D:$D,$A:$A,$A2506,$B:$B,"&lt;&gt;Patrícia Karla de Sousa Araújo",$B:$B,"&lt;&gt;Lorena Dias de Araujo",$B:$B,"&lt;&gt;Lucas Luiz Romero")*(28/1083),IF(C2506="Técnico I",SUMIFS($D:$D,$A:$A,$A2506,$B:$B,"&lt;&gt;Patrícia Karla de Sousa Araújo",$B:$B,"&lt;&gt;Lorena Dias de Araujo",$B:$B,"&lt;&gt;Lucas Luiz Romero")*(23/1083),IF(C2506="JR",SUMIFS($D:$D,$A:$A,$A2506,$B:$B,"&lt;&gt;Patrícia Karla de Sousa Araújo",$B:$B,"&lt;&gt;Lorena Dias de Araujo",$B:$B,"&lt;&gt;Lucas Luiz Romero")*(20/1083),IF(C2506="Estágio",SUMIFS($D:$D,$A:$A,$A2506,$B:$B,"&lt;&gt;Patrícia Karla de Sousa Araújo",$B:$B,"&lt;&gt;Lorena Dias de Araujo",$B:$B,"&lt;&gt;Lucas Luiz Romero")*(10/1083),0)))))),0)</f>
        <v>16</v>
      </c>
      <c r="K2506" s="3">
        <f>I2506-J2506</f>
        <v>6</v>
      </c>
      <c r="L2506" s="3" t="str">
        <f>IF(K2506&lt;-5,"CRÍTICO",IF(K2506&lt;0,"ATENÇÃO",IF(K2506&lt;=5,"BOM","EXCELENTE")))</f>
        <v>EXCELENTE</v>
      </c>
      <c r="M2506">
        <v>19</v>
      </c>
      <c r="N2506">
        <v>98.5</v>
      </c>
      <c r="O2506">
        <v>23.97769516728625</v>
      </c>
    </row>
    <row r="2507" spans="1:15" hidden="1" x14ac:dyDescent="0.25">
      <c r="A2507" s="11">
        <v>46113</v>
      </c>
      <c r="B2507" t="s">
        <v>22</v>
      </c>
      <c r="C2507" t="s">
        <v>23</v>
      </c>
      <c r="D2507">
        <v>25</v>
      </c>
      <c r="E2507">
        <v>25</v>
      </c>
      <c r="F2507">
        <v>20.399999999999999</v>
      </c>
      <c r="G2507">
        <v>0</v>
      </c>
      <c r="H2507">
        <v>0</v>
      </c>
      <c r="I2507" s="3">
        <f>E2507+G2507+H2507</f>
        <v>25</v>
      </c>
      <c r="J2507" s="3">
        <f>ROUND(MIN(IF(C2507="Técnico III",35,IF(C2507="Técnico II",28,IF(C2507="Técnico I",23,IF(C2507="JR",20,IF(C2507="Estágio",10,0))))),IF(C2507="Técnico III",SUMIFS($D:$D,$A:$A,$A2507,$B:$B,"&lt;&gt;Patrícia Karla de Sousa Araújo",$B:$B,"&lt;&gt;Lorena Dias de Araujo",$B:$B,"&lt;&gt;Lucas Luiz Romero")*(35/1083),IF(C2507="Técnico II",SUMIFS($D:$D,$A:$A,$A2507,$B:$B,"&lt;&gt;Patrícia Karla de Sousa Araújo",$B:$B,"&lt;&gt;Lorena Dias de Araujo",$B:$B,"&lt;&gt;Lucas Luiz Romero")*(28/1083),IF(C2507="Técnico I",SUMIFS($D:$D,$A:$A,$A2507,$B:$B,"&lt;&gt;Patrícia Karla de Sousa Araújo",$B:$B,"&lt;&gt;Lorena Dias de Araujo",$B:$B,"&lt;&gt;Lucas Luiz Romero")*(23/1083),IF(C2507="JR",SUMIFS($D:$D,$A:$A,$A2507,$B:$B,"&lt;&gt;Patrícia Karla de Sousa Araújo",$B:$B,"&lt;&gt;Lorena Dias de Araujo",$B:$B,"&lt;&gt;Lucas Luiz Romero")*(20/1083),IF(C2507="Estágio",SUMIFS($D:$D,$A:$A,$A2507,$B:$B,"&lt;&gt;Patrícia Karla de Sousa Araújo",$B:$B,"&lt;&gt;Lorena Dias de Araujo",$B:$B,"&lt;&gt;Lucas Luiz Romero")*(10/1083),0)))))),0)</f>
        <v>21</v>
      </c>
      <c r="K2507" s="3">
        <f>I2507-J2507</f>
        <v>4</v>
      </c>
      <c r="L2507" s="3" t="str">
        <f>IF(K2507&lt;-5,"CRÍTICO",IF(K2507&lt;0,"ATENÇÃO",IF(K2507&lt;=5,"OPORTUNO","MUITO BOM")))</f>
        <v>OPORTUNO</v>
      </c>
      <c r="M2507">
        <v>23</v>
      </c>
      <c r="N2507">
        <v>99.28</v>
      </c>
      <c r="O2507">
        <v>27.689243027888441</v>
      </c>
    </row>
    <row r="2508" spans="1:15" hidden="1" x14ac:dyDescent="0.25">
      <c r="A2508" s="11">
        <v>46079</v>
      </c>
      <c r="B2508" t="s">
        <v>54</v>
      </c>
      <c r="C2508" t="s">
        <v>48</v>
      </c>
      <c r="D2508">
        <v>29</v>
      </c>
      <c r="E2508">
        <v>26</v>
      </c>
      <c r="F2508">
        <v>23.29</v>
      </c>
      <c r="G2508">
        <v>0</v>
      </c>
      <c r="H2508">
        <v>0</v>
      </c>
      <c r="I2508" s="3">
        <f>E2508+G2508+H2508</f>
        <v>26</v>
      </c>
      <c r="J2508" s="3">
        <f>ROUND(MIN(IF(C2508="Técnico III",35,IF(C2508="Técnico II",28,IF(C2508="Técnico I",23,IF(C2508="JR",20,IF(C2508="Estágio",10,0))))),IF(C2508="Técnico III",SUMIFS($D:$D,$A:$A,$A2508,$B:$B,"&lt;&gt;Patrícia Karla de Sousa Araújo",$B:$B,"&lt;&gt;Lorena Dias de Araujo",$B:$B,"&lt;&gt;Lucas Luiz Romero")*(35/1083),IF(C2508="Técnico II",SUMIFS($D:$D,$A:$A,$A2508,$B:$B,"&lt;&gt;Patrícia Karla de Sousa Araújo",$B:$B,"&lt;&gt;Lorena Dias de Araujo",$B:$B,"&lt;&gt;Lucas Luiz Romero")*(28/1083),IF(C2508="Técnico I",SUMIFS($D:$D,$A:$A,$A2508,$B:$B,"&lt;&gt;Patrícia Karla de Sousa Araújo",$B:$B,"&lt;&gt;Lorena Dias de Araujo",$B:$B,"&lt;&gt;Lucas Luiz Romero")*(23/1083),IF(C2508="JR",SUMIFS($D:$D,$A:$A,$A2508,$B:$B,"&lt;&gt;Patrícia Karla de Sousa Araújo",$B:$B,"&lt;&gt;Lorena Dias de Araujo",$B:$B,"&lt;&gt;Lucas Luiz Romero")*(20/1083),IF(C2508="Estágio",SUMIFS($D:$D,$A:$A,$A2508,$B:$B,"&lt;&gt;Patrícia Karla de Sousa Araújo",$B:$B,"&lt;&gt;Lorena Dias de Araujo",$B:$B,"&lt;&gt;Lucas Luiz Romero")*(10/1083),0)))))),0)</f>
        <v>16</v>
      </c>
      <c r="K2508" s="3">
        <f>I2508-J2508</f>
        <v>10</v>
      </c>
      <c r="L2508" s="3" t="str">
        <f>IF(K2508&lt;-5,"CRÍTICO",IF(K2508&lt;0,"ATENÇÃO",IF(K2508&lt;=5,"BOM","EXCELENTE")))</f>
        <v>EXCELENTE</v>
      </c>
      <c r="M2508">
        <v>23</v>
      </c>
      <c r="N2508">
        <v>98.53</v>
      </c>
      <c r="O2508">
        <v>31.578947368421051</v>
      </c>
    </row>
    <row r="2509" spans="1:15" hidden="1" x14ac:dyDescent="0.25">
      <c r="A2509" s="11">
        <v>46079</v>
      </c>
      <c r="B2509" t="s">
        <v>37</v>
      </c>
      <c r="C2509" t="s">
        <v>32</v>
      </c>
      <c r="D2509">
        <v>45</v>
      </c>
      <c r="E2509">
        <v>43</v>
      </c>
      <c r="F2509">
        <v>17</v>
      </c>
      <c r="G2509">
        <v>0</v>
      </c>
      <c r="H2509">
        <v>0</v>
      </c>
      <c r="I2509" s="3">
        <f>E2509+G2509+H2509</f>
        <v>43</v>
      </c>
      <c r="J2509" s="3">
        <f>ROUND(MIN(IF(C2509="Técnico III",35,IF(C2509="Técnico II",28,IF(C2509="Técnico I",23,IF(C2509="JR",20,IF(C2509="Estágio",10,0))))),IF(C2509="Técnico III",SUMIFS($D:$D,$A:$A,$A2509,$B:$B,"&lt;&gt;Patrícia Karla de Sousa Araújo",$B:$B,"&lt;&gt;Lorena Dias de Araujo",$B:$B,"&lt;&gt;Lucas Luiz Romero")*(35/1083),IF(C2509="Técnico II",SUMIFS($D:$D,$A:$A,$A2509,$B:$B,"&lt;&gt;Patrícia Karla de Sousa Araújo",$B:$B,"&lt;&gt;Lorena Dias de Araujo",$B:$B,"&lt;&gt;Lucas Luiz Romero")*(28/1083),IF(C2509="Técnico I",SUMIFS($D:$D,$A:$A,$A2509,$B:$B,"&lt;&gt;Patrícia Karla de Sousa Araújo",$B:$B,"&lt;&gt;Lorena Dias de Araujo",$B:$B,"&lt;&gt;Lucas Luiz Romero")*(23/1083),IF(C2509="JR",SUMIFS($D:$D,$A:$A,$A2509,$B:$B,"&lt;&gt;Patrícia Karla de Sousa Araújo",$B:$B,"&lt;&gt;Lorena Dias de Araujo",$B:$B,"&lt;&gt;Lucas Luiz Romero")*(20/1083),IF(C2509="Estágio",SUMIFS($D:$D,$A:$A,$A2509,$B:$B,"&lt;&gt;Patrícia Karla de Sousa Araújo",$B:$B,"&lt;&gt;Lorena Dias de Araujo",$B:$B,"&lt;&gt;Lucas Luiz Romero")*(10/1083),0)))))),0)</f>
        <v>20</v>
      </c>
      <c r="K2509" s="3">
        <f>I2509-J2509</f>
        <v>23</v>
      </c>
      <c r="L2509" s="3" t="str">
        <f>IF(K2509&lt;-5,"CRÍTICO",IF(K2509&lt;0,"ATENÇÃO",IF(K2509&lt;=5,"BOM","EXCELENTE")))</f>
        <v>EXCELENTE</v>
      </c>
      <c r="M2509">
        <v>44</v>
      </c>
      <c r="N2509">
        <v>100</v>
      </c>
      <c r="O2509">
        <v>25.72214580467676</v>
      </c>
    </row>
    <row r="2510" spans="1:15" hidden="1" x14ac:dyDescent="0.25">
      <c r="A2510" s="11">
        <v>46079</v>
      </c>
      <c r="B2510" t="s">
        <v>38</v>
      </c>
      <c r="C2510" t="s">
        <v>32</v>
      </c>
      <c r="D2510">
        <v>20</v>
      </c>
      <c r="E2510">
        <v>18</v>
      </c>
      <c r="F2510">
        <v>17.25</v>
      </c>
      <c r="G2510">
        <v>0</v>
      </c>
      <c r="H2510">
        <v>0</v>
      </c>
      <c r="I2510" s="3">
        <f>E2510+G2510+H2510</f>
        <v>18</v>
      </c>
      <c r="J2510" s="3">
        <f>ROUND(MIN(IF(C2510="Técnico III",35,IF(C2510="Técnico II",28,IF(C2510="Técnico I",23,IF(C2510="JR",20,IF(C2510="Estágio",10,0))))),IF(C2510="Técnico III",SUMIFS($D:$D,$A:$A,$A2510,$B:$B,"&lt;&gt;Patrícia Karla de Sousa Araújo",$B:$B,"&lt;&gt;Lorena Dias de Araujo",$B:$B,"&lt;&gt;Lucas Luiz Romero")*(35/1083),IF(C2510="Técnico II",SUMIFS($D:$D,$A:$A,$A2510,$B:$B,"&lt;&gt;Patrícia Karla de Sousa Araújo",$B:$B,"&lt;&gt;Lorena Dias de Araujo",$B:$B,"&lt;&gt;Lucas Luiz Romero")*(28/1083),IF(C2510="Técnico I",SUMIFS($D:$D,$A:$A,$A2510,$B:$B,"&lt;&gt;Patrícia Karla de Sousa Araújo",$B:$B,"&lt;&gt;Lorena Dias de Araujo",$B:$B,"&lt;&gt;Lucas Luiz Romero")*(23/1083),IF(C2510="JR",SUMIFS($D:$D,$A:$A,$A2510,$B:$B,"&lt;&gt;Patrícia Karla de Sousa Araújo",$B:$B,"&lt;&gt;Lorena Dias de Araujo",$B:$B,"&lt;&gt;Lucas Luiz Romero")*(20/1083),IF(C2510="Estágio",SUMIFS($D:$D,$A:$A,$A2510,$B:$B,"&lt;&gt;Patrícia Karla de Sousa Araújo",$B:$B,"&lt;&gt;Lorena Dias de Araujo",$B:$B,"&lt;&gt;Lucas Luiz Romero")*(10/1083),0)))))),0)</f>
        <v>20</v>
      </c>
      <c r="K2510" s="3">
        <f>I2510-J2510</f>
        <v>-2</v>
      </c>
      <c r="L2510" s="3" t="str">
        <f>IF(K2510&lt;-5,"CRÍTICO",IF(K2510&lt;0,"ATENÇÃO",IF(K2510&lt;=5,"BOM","EXCELENTE")))</f>
        <v>ATENÇÃO</v>
      </c>
      <c r="M2510">
        <v>15</v>
      </c>
      <c r="N2510">
        <v>94.64</v>
      </c>
      <c r="O2510">
        <v>27.52941176470588</v>
      </c>
    </row>
    <row r="2511" spans="1:15" hidden="1" x14ac:dyDescent="0.25">
      <c r="A2511" s="11">
        <v>46079</v>
      </c>
      <c r="B2511" t="s">
        <v>55</v>
      </c>
      <c r="C2511" t="s">
        <v>48</v>
      </c>
      <c r="D2511">
        <v>12</v>
      </c>
      <c r="E2511">
        <v>12</v>
      </c>
      <c r="F2511">
        <v>43.28</v>
      </c>
      <c r="G2511">
        <v>0</v>
      </c>
      <c r="H2511">
        <v>0</v>
      </c>
      <c r="I2511" s="3">
        <f>E2511+G2511+H2511</f>
        <v>12</v>
      </c>
      <c r="J2511" s="3">
        <f>ROUND(MIN(IF(C2511="Técnico III",35,IF(C2511="Técnico II",28,IF(C2511="Técnico I",23,IF(C2511="JR",20,IF(C2511="Estágio",10,0))))),IF(C2511="Técnico III",SUMIFS($D:$D,$A:$A,$A2511,$B:$B,"&lt;&gt;Patrícia Karla de Sousa Araújo",$B:$B,"&lt;&gt;Lorena Dias de Araujo",$B:$B,"&lt;&gt;Lucas Luiz Romero")*(35/1083),IF(C2511="Técnico II",SUMIFS($D:$D,$A:$A,$A2511,$B:$B,"&lt;&gt;Patrícia Karla de Sousa Araújo",$B:$B,"&lt;&gt;Lorena Dias de Araujo",$B:$B,"&lt;&gt;Lucas Luiz Romero")*(28/1083),IF(C2511="Técnico I",SUMIFS($D:$D,$A:$A,$A2511,$B:$B,"&lt;&gt;Patrícia Karla de Sousa Araújo",$B:$B,"&lt;&gt;Lorena Dias de Araujo",$B:$B,"&lt;&gt;Lucas Luiz Romero")*(23/1083),IF(C2511="JR",SUMIFS($D:$D,$A:$A,$A2511,$B:$B,"&lt;&gt;Patrícia Karla de Sousa Araújo",$B:$B,"&lt;&gt;Lorena Dias de Araujo",$B:$B,"&lt;&gt;Lucas Luiz Romero")*(20/1083),IF(C2511="Estágio",SUMIFS($D:$D,$A:$A,$A2511,$B:$B,"&lt;&gt;Patrícia Karla de Sousa Araújo",$B:$B,"&lt;&gt;Lorena Dias de Araujo",$B:$B,"&lt;&gt;Lucas Luiz Romero")*(10/1083),0)))))),0)</f>
        <v>16</v>
      </c>
      <c r="K2511" s="3">
        <f>I2511-J2511</f>
        <v>-4</v>
      </c>
      <c r="L2511" s="3" t="str">
        <f>IF(K2511&lt;-5,"CRÍTICO",IF(K2511&lt;0,"ATENÇÃO",IF(K2511&lt;=5,"BOM","EXCELENTE")))</f>
        <v>ATENÇÃO</v>
      </c>
      <c r="M2511">
        <v>11</v>
      </c>
      <c r="N2511">
        <v>99.07</v>
      </c>
      <c r="O2511">
        <v>26.376811594202898</v>
      </c>
    </row>
    <row r="2512" spans="1:15" hidden="1" x14ac:dyDescent="0.25">
      <c r="A2512" s="11">
        <v>46079</v>
      </c>
      <c r="B2512" t="s">
        <v>39</v>
      </c>
      <c r="C2512" t="s">
        <v>32</v>
      </c>
      <c r="D2512">
        <v>0</v>
      </c>
      <c r="E2512">
        <v>0</v>
      </c>
      <c r="F2512">
        <v>0</v>
      </c>
      <c r="G2512">
        <v>0</v>
      </c>
      <c r="H2512">
        <v>0</v>
      </c>
      <c r="I2512" s="3">
        <v>0</v>
      </c>
      <c r="J2512" s="3">
        <v>0</v>
      </c>
      <c r="K2512" s="3">
        <v>0</v>
      </c>
      <c r="L2512" s="3" t="str">
        <f>IF(K2512&lt;-5,"CRÍTICO",IF(K2512&lt;0,"ATENÇÃO",IF(K2512&lt;=5,"BOM","EXCELENTE")))</f>
        <v>BOM</v>
      </c>
      <c r="M2512">
        <v>0</v>
      </c>
      <c r="N2512">
        <v>100</v>
      </c>
      <c r="O2512">
        <v>0</v>
      </c>
    </row>
    <row r="2513" spans="1:15" hidden="1" x14ac:dyDescent="0.25">
      <c r="A2513" s="11">
        <v>46079</v>
      </c>
      <c r="B2513" t="s">
        <v>25</v>
      </c>
      <c r="C2513" t="s">
        <v>26</v>
      </c>
      <c r="D2513">
        <v>19</v>
      </c>
      <c r="E2513">
        <v>17</v>
      </c>
      <c r="F2513">
        <v>25.03</v>
      </c>
      <c r="G2513">
        <v>0</v>
      </c>
      <c r="H2513">
        <v>0</v>
      </c>
      <c r="I2513" s="3">
        <f>E2513+G2513+H2513</f>
        <v>17</v>
      </c>
      <c r="J2513" s="3">
        <f>ROUND(MIN(IF(C2513="Técnico III",35,IF(C2513="Técnico II",28,IF(C2513="Técnico I",23,IF(C2513="JR",20,IF(C2513="Estágio",10,0))))),IF(C2513="Técnico III",SUMIFS($D:$D,$A:$A,$A2513,$B:$B,"&lt;&gt;Patrícia Karla de Sousa Araújo",$B:$B,"&lt;&gt;Lorena Dias de Araujo",$B:$B,"&lt;&gt;Lucas Luiz Romero")*(35/1083),IF(C2513="Técnico II",SUMIFS($D:$D,$A:$A,$A2513,$B:$B,"&lt;&gt;Patrícia Karla de Sousa Araújo",$B:$B,"&lt;&gt;Lorena Dias de Araujo",$B:$B,"&lt;&gt;Lucas Luiz Romero")*(28/1083),IF(C2513="Técnico I",SUMIFS($D:$D,$A:$A,$A2513,$B:$B,"&lt;&gt;Patrícia Karla de Sousa Araújo",$B:$B,"&lt;&gt;Lorena Dias de Araujo",$B:$B,"&lt;&gt;Lucas Luiz Romero")*(23/1083),IF(C2513="JR",SUMIFS($D:$D,$A:$A,$A2513,$B:$B,"&lt;&gt;Patrícia Karla de Sousa Araújo",$B:$B,"&lt;&gt;Lorena Dias de Araujo",$B:$B,"&lt;&gt;Lucas Luiz Romero")*(20/1083),IF(C2513="Estágio",SUMIFS($D:$D,$A:$A,$A2513,$B:$B,"&lt;&gt;Patrícia Karla de Sousa Araújo",$B:$B,"&lt;&gt;Lorena Dias de Araujo",$B:$B,"&lt;&gt;Lucas Luiz Romero")*(10/1083),0)))))),0)</f>
        <v>12</v>
      </c>
      <c r="K2513" s="3">
        <f>I2513-J2513</f>
        <v>5</v>
      </c>
      <c r="L2513" s="3" t="str">
        <f>IF(K2513&lt;-5,"CRÍTICO",IF(K2513&lt;0,"ATENÇÃO",IF(K2513&lt;=5,"BOM","EXCELENTE")))</f>
        <v>BOM</v>
      </c>
      <c r="M2513">
        <v>19</v>
      </c>
      <c r="N2513">
        <v>98.48</v>
      </c>
      <c r="O2513">
        <v>27.853881278538811</v>
      </c>
    </row>
    <row r="2514" spans="1:15" hidden="1" x14ac:dyDescent="0.25">
      <c r="A2514" s="11">
        <v>46079</v>
      </c>
      <c r="B2514" t="s">
        <v>40</v>
      </c>
      <c r="C2514" t="s">
        <v>32</v>
      </c>
      <c r="D2514">
        <v>0</v>
      </c>
      <c r="E2514">
        <v>0</v>
      </c>
      <c r="F2514">
        <v>0</v>
      </c>
      <c r="G2514">
        <v>0</v>
      </c>
      <c r="H2514">
        <v>0</v>
      </c>
      <c r="I2514" s="3">
        <v>0</v>
      </c>
      <c r="J2514" s="3">
        <v>0</v>
      </c>
      <c r="K2514" s="3">
        <v>0</v>
      </c>
      <c r="L2514" s="3" t="str">
        <f>IF(K2514&lt;-5,"CRÍTICO",IF(K2514&lt;0,"ATENÇÃO",IF(K2514&lt;=5,"BOM","EXCELENTE")))</f>
        <v>BOM</v>
      </c>
      <c r="M2514">
        <v>6</v>
      </c>
      <c r="N2514">
        <v>95.15</v>
      </c>
      <c r="O2514">
        <v>34.131736526946113</v>
      </c>
    </row>
    <row r="2515" spans="1:15" hidden="1" x14ac:dyDescent="0.25">
      <c r="A2515" s="11">
        <v>46079</v>
      </c>
      <c r="B2515" t="s">
        <v>27</v>
      </c>
      <c r="C2515" t="s">
        <v>26</v>
      </c>
      <c r="D2515">
        <v>0</v>
      </c>
      <c r="E2515">
        <v>0</v>
      </c>
      <c r="F2515">
        <v>0</v>
      </c>
      <c r="G2515">
        <v>0</v>
      </c>
      <c r="H2515">
        <v>0</v>
      </c>
      <c r="I2515" s="3">
        <v>0</v>
      </c>
      <c r="J2515" s="3">
        <v>0</v>
      </c>
      <c r="K2515" s="3">
        <v>0</v>
      </c>
      <c r="L2515" s="3" t="str">
        <f>IF(K2515&lt;-5,"CRÍTICO",IF(K2515&lt;0,"ATENÇÃO",IF(K2515&lt;=5,"BOM","EXCELENTE")))</f>
        <v>BOM</v>
      </c>
      <c r="M2515">
        <v>0</v>
      </c>
      <c r="N2515">
        <v>0</v>
      </c>
      <c r="O2515">
        <v>0</v>
      </c>
    </row>
    <row r="2516" spans="1:15" hidden="1" x14ac:dyDescent="0.25">
      <c r="A2516" s="11">
        <v>46079</v>
      </c>
      <c r="B2516" t="s">
        <v>41</v>
      </c>
      <c r="C2516" t="s">
        <v>32</v>
      </c>
      <c r="D2516">
        <v>24</v>
      </c>
      <c r="E2516">
        <v>24</v>
      </c>
      <c r="F2516">
        <v>24.02</v>
      </c>
      <c r="G2516">
        <v>0</v>
      </c>
      <c r="H2516">
        <v>0</v>
      </c>
      <c r="I2516" s="3">
        <f>E2516+G2516+H2516</f>
        <v>24</v>
      </c>
      <c r="J2516" s="3">
        <f>ROUND(MIN(IF(C2516="Técnico III",35,IF(C2516="Técnico II",28,IF(C2516="Técnico I",23,IF(C2516="JR",20,IF(C2516="Estágio",10,0))))),IF(C2516="Técnico III",SUMIFS($D:$D,$A:$A,$A2516,$B:$B,"&lt;&gt;Patrícia Karla de Sousa Araújo",$B:$B,"&lt;&gt;Lorena Dias de Araujo",$B:$B,"&lt;&gt;Lucas Luiz Romero")*(35/1083),IF(C2516="Técnico II",SUMIFS($D:$D,$A:$A,$A2516,$B:$B,"&lt;&gt;Patrícia Karla de Sousa Araújo",$B:$B,"&lt;&gt;Lorena Dias de Araujo",$B:$B,"&lt;&gt;Lucas Luiz Romero")*(28/1083),IF(C2516="Técnico I",SUMIFS($D:$D,$A:$A,$A2516,$B:$B,"&lt;&gt;Patrícia Karla de Sousa Araújo",$B:$B,"&lt;&gt;Lorena Dias de Araujo",$B:$B,"&lt;&gt;Lucas Luiz Romero")*(23/1083),IF(C2516="JR",SUMIFS($D:$D,$A:$A,$A2516,$B:$B,"&lt;&gt;Patrícia Karla de Sousa Araújo",$B:$B,"&lt;&gt;Lorena Dias de Araujo",$B:$B,"&lt;&gt;Lucas Luiz Romero")*(20/1083),IF(C2516="Estágio",SUMIFS($D:$D,$A:$A,$A2516,$B:$B,"&lt;&gt;Patrícia Karla de Sousa Araújo",$B:$B,"&lt;&gt;Lorena Dias de Araujo",$B:$B,"&lt;&gt;Lucas Luiz Romero")*(10/1083),0)))))),0)</f>
        <v>20</v>
      </c>
      <c r="K2516" s="3">
        <f>I2516-J2516</f>
        <v>4</v>
      </c>
      <c r="L2516" s="3" t="str">
        <f>IF(K2516&lt;-5,"CRÍTICO",IF(K2516&lt;0,"ATENÇÃO",IF(K2516&lt;=5,"BOM","EXCELENTE")))</f>
        <v>BOM</v>
      </c>
      <c r="M2516">
        <v>23</v>
      </c>
      <c r="N2516">
        <v>99.26</v>
      </c>
      <c r="O2516">
        <v>30.84832904884319</v>
      </c>
    </row>
    <row r="2517" spans="1:15" hidden="1" x14ac:dyDescent="0.25">
      <c r="A2517" s="11">
        <v>46079</v>
      </c>
      <c r="B2517" t="s">
        <v>56</v>
      </c>
      <c r="C2517" t="s">
        <v>48</v>
      </c>
      <c r="D2517">
        <v>25</v>
      </c>
      <c r="E2517">
        <v>22</v>
      </c>
      <c r="F2517">
        <v>30.15</v>
      </c>
      <c r="G2517">
        <v>0</v>
      </c>
      <c r="H2517">
        <v>0</v>
      </c>
      <c r="I2517" s="3">
        <f>E2517+G2517+H2517</f>
        <v>22</v>
      </c>
      <c r="J2517" s="3">
        <f>ROUND(MIN(IF(C2517="Técnico III",35,IF(C2517="Técnico II",28,IF(C2517="Técnico I",23,IF(C2517="JR",20,IF(C2517="Estágio",10,0))))),IF(C2517="Técnico III",SUMIFS($D:$D,$A:$A,$A2517,$B:$B,"&lt;&gt;Patrícia Karla de Sousa Araújo",$B:$B,"&lt;&gt;Lorena Dias de Araujo",$B:$B,"&lt;&gt;Lucas Luiz Romero")*(35/1083),IF(C2517="Técnico II",SUMIFS($D:$D,$A:$A,$A2517,$B:$B,"&lt;&gt;Patrícia Karla de Sousa Araújo",$B:$B,"&lt;&gt;Lorena Dias de Araujo",$B:$B,"&lt;&gt;Lucas Luiz Romero")*(28/1083),IF(C2517="Técnico I",SUMIFS($D:$D,$A:$A,$A2517,$B:$B,"&lt;&gt;Patrícia Karla de Sousa Araújo",$B:$B,"&lt;&gt;Lorena Dias de Araujo",$B:$B,"&lt;&gt;Lucas Luiz Romero")*(23/1083),IF(C2517="JR",SUMIFS($D:$D,$A:$A,$A2517,$B:$B,"&lt;&gt;Patrícia Karla de Sousa Araújo",$B:$B,"&lt;&gt;Lorena Dias de Araujo",$B:$B,"&lt;&gt;Lucas Luiz Romero")*(20/1083),IF(C2517="Estágio",SUMIFS($D:$D,$A:$A,$A2517,$B:$B,"&lt;&gt;Patrícia Karla de Sousa Araújo",$B:$B,"&lt;&gt;Lorena Dias de Araujo",$B:$B,"&lt;&gt;Lucas Luiz Romero")*(10/1083),0)))))),0)</f>
        <v>16</v>
      </c>
      <c r="K2517" s="3">
        <f>I2517-J2517</f>
        <v>6</v>
      </c>
      <c r="L2517" s="3" t="str">
        <f>IF(K2517&lt;-5,"CRÍTICO",IF(K2517&lt;0,"ATENÇÃO",IF(K2517&lt;=5,"BOM","EXCELENTE")))</f>
        <v>EXCELENTE</v>
      </c>
      <c r="M2517">
        <v>19</v>
      </c>
      <c r="N2517">
        <v>97.48</v>
      </c>
      <c r="O2517">
        <v>27.764705882352938</v>
      </c>
    </row>
    <row r="2518" spans="1:15" hidden="1" x14ac:dyDescent="0.25">
      <c r="A2518" s="11">
        <v>46079</v>
      </c>
      <c r="B2518" t="s">
        <v>57</v>
      </c>
      <c r="C2518" t="s">
        <v>48</v>
      </c>
      <c r="D2518">
        <v>20</v>
      </c>
      <c r="E2518">
        <v>19</v>
      </c>
      <c r="F2518">
        <v>30.22</v>
      </c>
      <c r="G2518">
        <v>0</v>
      </c>
      <c r="H2518">
        <v>0</v>
      </c>
      <c r="I2518" s="3">
        <v>0</v>
      </c>
      <c r="J2518" s="3">
        <v>0</v>
      </c>
      <c r="K2518" s="3">
        <v>0</v>
      </c>
      <c r="L2518" s="3" t="str">
        <f>IF(K2518&lt;-5,"CRÍTICO",IF(K2518&lt;0,"ATENÇÃO",IF(K2518&lt;=5,"BOM","EXCELENTE")))</f>
        <v>BOM</v>
      </c>
      <c r="M2518">
        <v>22</v>
      </c>
      <c r="N2518">
        <v>99.34</v>
      </c>
      <c r="O2518">
        <v>30.04291845493562</v>
      </c>
    </row>
    <row r="2519" spans="1:15" hidden="1" x14ac:dyDescent="0.25">
      <c r="A2519" s="11">
        <v>46079</v>
      </c>
      <c r="B2519" t="s">
        <v>42</v>
      </c>
      <c r="C2519" t="s">
        <v>32</v>
      </c>
      <c r="D2519">
        <v>42</v>
      </c>
      <c r="E2519">
        <v>35</v>
      </c>
      <c r="F2519">
        <v>16.45</v>
      </c>
      <c r="G2519">
        <v>0</v>
      </c>
      <c r="H2519">
        <v>0</v>
      </c>
      <c r="I2519" s="3">
        <f>E2519+G2519+H2519</f>
        <v>35</v>
      </c>
      <c r="J2519" s="3">
        <f>ROUND(MIN(IF(C2519="Técnico III",35,IF(C2519="Técnico II",28,IF(C2519="Técnico I",23,IF(C2519="JR",20,IF(C2519="Estágio",10,0))))),IF(C2519="Técnico III",SUMIFS($D:$D,$A:$A,$A2519,$B:$B,"&lt;&gt;Patrícia Karla de Sousa Araújo",$B:$B,"&lt;&gt;Lorena Dias de Araujo",$B:$B,"&lt;&gt;Lucas Luiz Romero")*(35/1083),IF(C2519="Técnico II",SUMIFS($D:$D,$A:$A,$A2519,$B:$B,"&lt;&gt;Patrícia Karla de Sousa Araújo",$B:$B,"&lt;&gt;Lorena Dias de Araujo",$B:$B,"&lt;&gt;Lucas Luiz Romero")*(28/1083),IF(C2519="Técnico I",SUMIFS($D:$D,$A:$A,$A2519,$B:$B,"&lt;&gt;Patrícia Karla de Sousa Araújo",$B:$B,"&lt;&gt;Lorena Dias de Araujo",$B:$B,"&lt;&gt;Lucas Luiz Romero")*(23/1083),IF(C2519="JR",SUMIFS($D:$D,$A:$A,$A2519,$B:$B,"&lt;&gt;Patrícia Karla de Sousa Araújo",$B:$B,"&lt;&gt;Lorena Dias de Araujo",$B:$B,"&lt;&gt;Lucas Luiz Romero")*(20/1083),IF(C2519="Estágio",SUMIFS($D:$D,$A:$A,$A2519,$B:$B,"&lt;&gt;Patrícia Karla de Sousa Araújo",$B:$B,"&lt;&gt;Lorena Dias de Araujo",$B:$B,"&lt;&gt;Lucas Luiz Romero")*(10/1083),0)))))),0)</f>
        <v>20</v>
      </c>
      <c r="K2519" s="3">
        <f>I2519-J2519</f>
        <v>15</v>
      </c>
      <c r="L2519" s="3" t="str">
        <f>IF(K2519&lt;-5,"CRÍTICO",IF(K2519&lt;0,"ATENÇÃO",IF(K2519&lt;=5,"BOM","EXCELENTE")))</f>
        <v>EXCELENTE</v>
      </c>
      <c r="M2519">
        <v>18</v>
      </c>
      <c r="N2519">
        <v>96.3</v>
      </c>
      <c r="O2519">
        <v>24.29378531073446</v>
      </c>
    </row>
    <row r="2520" spans="1:15" hidden="1" x14ac:dyDescent="0.25">
      <c r="A2520" s="11">
        <v>46079</v>
      </c>
      <c r="B2520" t="s">
        <v>62</v>
      </c>
      <c r="C2520" t="s">
        <v>23</v>
      </c>
      <c r="D2520">
        <v>14</v>
      </c>
      <c r="E2520">
        <v>14</v>
      </c>
      <c r="F2520">
        <v>38.36</v>
      </c>
      <c r="G2520">
        <v>0</v>
      </c>
      <c r="H2520">
        <v>0</v>
      </c>
      <c r="I2520" s="3">
        <f>E2520+G2520+H2520</f>
        <v>14</v>
      </c>
      <c r="J2520" s="3">
        <f>ROUND(MIN(IF(C2520="Técnico III",35,IF(C2520="Técnico II",28,IF(C2520="Técnico I",23,IF(C2520="JR",20,IF(C2520="Estágio",10,0))))),IF(C2520="Técnico III",SUMIFS($D:$D,$A:$A,$A2520,$B:$B,"&lt;&gt;Patrícia Karla de Sousa Araújo",$B:$B,"&lt;&gt;Lorena Dias de Araujo",$B:$B,"&lt;&gt;Lucas Luiz Romero")*(35/1083),IF(C2520="Técnico II",SUMIFS($D:$D,$A:$A,$A2520,$B:$B,"&lt;&gt;Patrícia Karla de Sousa Araújo",$B:$B,"&lt;&gt;Lorena Dias de Araujo",$B:$B,"&lt;&gt;Lucas Luiz Romero")*(28/1083),IF(C2520="Técnico I",SUMIFS($D:$D,$A:$A,$A2520,$B:$B,"&lt;&gt;Patrícia Karla de Sousa Araújo",$B:$B,"&lt;&gt;Lorena Dias de Araujo",$B:$B,"&lt;&gt;Lucas Luiz Romero")*(23/1083),IF(C2520="JR",SUMIFS($D:$D,$A:$A,$A2520,$B:$B,"&lt;&gt;Patrícia Karla de Sousa Araújo",$B:$B,"&lt;&gt;Lorena Dias de Araujo",$B:$B,"&lt;&gt;Lucas Luiz Romero")*(20/1083),IF(C2520="Estágio",SUMIFS($D:$D,$A:$A,$A2520,$B:$B,"&lt;&gt;Patrícia Karla de Sousa Araújo",$B:$B,"&lt;&gt;Lorena Dias de Araujo",$B:$B,"&lt;&gt;Lucas Luiz Romero")*(10/1083),0)))))),0)</f>
        <v>13</v>
      </c>
      <c r="K2520" s="3">
        <f>I2520-J2520</f>
        <v>1</v>
      </c>
      <c r="L2520" s="3" t="str">
        <f>IF(K2520&lt;-5,"CRÍTICO",IF(K2520&lt;0,"ATENÇÃO",IF(K2520&lt;=5,"BOM","EXCELENTE")))</f>
        <v>BOM</v>
      </c>
      <c r="M2520">
        <v>12</v>
      </c>
      <c r="N2520">
        <v>100</v>
      </c>
      <c r="O2520">
        <v>26.543209876543209</v>
      </c>
    </row>
    <row r="2521" spans="1:15" hidden="1" x14ac:dyDescent="0.25">
      <c r="A2521" s="11">
        <v>46079</v>
      </c>
      <c r="B2521" t="s">
        <v>19</v>
      </c>
      <c r="C2521" t="s">
        <v>16</v>
      </c>
      <c r="D2521">
        <v>2</v>
      </c>
      <c r="E2521">
        <v>2</v>
      </c>
      <c r="F2521">
        <v>64.099999999999994</v>
      </c>
      <c r="G2521">
        <v>0</v>
      </c>
      <c r="H2521">
        <v>0</v>
      </c>
      <c r="I2521" s="3">
        <f>E2521+G2521+H2521</f>
        <v>2</v>
      </c>
      <c r="J2521" s="3">
        <f>ROUND(MIN(IF(C2521="Técnico III",35,IF(C2521="Técnico II",28,IF(C2521="Técnico I",23,IF(C2521="JR",20,IF(C2521="Estágio",10,0))))),IF(C2521="Técnico III",SUMIFS($D:$D,$A:$A,$A2521,$B:$B,"&lt;&gt;Patrícia Karla de Sousa Araújo",$B:$B,"&lt;&gt;Lorena Dias de Araujo",$B:$B,"&lt;&gt;Lucas Luiz Romero")*(35/1083),IF(C2521="Técnico II",SUMIFS($D:$D,$A:$A,$A2521,$B:$B,"&lt;&gt;Patrícia Karla de Sousa Araújo",$B:$B,"&lt;&gt;Lorena Dias de Araujo",$B:$B,"&lt;&gt;Lucas Luiz Romero")*(28/1083),IF(C2521="Técnico I",SUMIFS($D:$D,$A:$A,$A2521,$B:$B,"&lt;&gt;Patrícia Karla de Sousa Araújo",$B:$B,"&lt;&gt;Lorena Dias de Araujo",$B:$B,"&lt;&gt;Lucas Luiz Romero")*(23/1083),IF(C2521="JR",SUMIFS($D:$D,$A:$A,$A2521,$B:$B,"&lt;&gt;Patrícia Karla de Sousa Araújo",$B:$B,"&lt;&gt;Lorena Dias de Araujo",$B:$B,"&lt;&gt;Lucas Luiz Romero")*(20/1083),IF(C2521="Estágio",SUMIFS($D:$D,$A:$A,$A2521,$B:$B,"&lt;&gt;Patrícia Karla de Sousa Araújo",$B:$B,"&lt;&gt;Lorena Dias de Araujo",$B:$B,"&lt;&gt;Lucas Luiz Romero")*(10/1083),0)))))),0)</f>
        <v>6</v>
      </c>
      <c r="K2521" s="3">
        <f>I2521-J2521</f>
        <v>-4</v>
      </c>
      <c r="L2521" s="3" t="str">
        <f>IF(K2521&lt;-5,"CRÍTICO",IF(K2521&lt;0,"ATENÇÃO",IF(K2521&lt;=5,"BOM","EXCELENTE")))</f>
        <v>ATENÇÃO</v>
      </c>
      <c r="M2521">
        <v>2</v>
      </c>
      <c r="N2521">
        <v>100</v>
      </c>
      <c r="O2521">
        <v>35.483870967741943</v>
      </c>
    </row>
    <row r="2522" spans="1:15" hidden="1" x14ac:dyDescent="0.25">
      <c r="A2522" s="11">
        <v>46079</v>
      </c>
      <c r="B2522" t="s">
        <v>43</v>
      </c>
      <c r="C2522" t="s">
        <v>32</v>
      </c>
      <c r="D2522">
        <v>26</v>
      </c>
      <c r="E2522">
        <v>26</v>
      </c>
      <c r="F2522">
        <v>30.05</v>
      </c>
      <c r="G2522">
        <v>0</v>
      </c>
      <c r="H2522">
        <v>0</v>
      </c>
      <c r="I2522" s="3">
        <f>E2522+G2522+H2522</f>
        <v>26</v>
      </c>
      <c r="J2522" s="3">
        <f>ROUND(MIN(IF(C2522="Técnico III",35,IF(C2522="Técnico II",28,IF(C2522="Técnico I",23,IF(C2522="JR",20,IF(C2522="Estágio",10,0))))),IF(C2522="Técnico III",SUMIFS($D:$D,$A:$A,$A2522,$B:$B,"&lt;&gt;Patrícia Karla de Sousa Araújo",$B:$B,"&lt;&gt;Lorena Dias de Araujo",$B:$B,"&lt;&gt;Lucas Luiz Romero")*(35/1083),IF(C2522="Técnico II",SUMIFS($D:$D,$A:$A,$A2522,$B:$B,"&lt;&gt;Patrícia Karla de Sousa Araújo",$B:$B,"&lt;&gt;Lorena Dias de Araujo",$B:$B,"&lt;&gt;Lucas Luiz Romero")*(28/1083),IF(C2522="Técnico I",SUMIFS($D:$D,$A:$A,$A2522,$B:$B,"&lt;&gt;Patrícia Karla de Sousa Araújo",$B:$B,"&lt;&gt;Lorena Dias de Araujo",$B:$B,"&lt;&gt;Lucas Luiz Romero")*(23/1083),IF(C2522="JR",SUMIFS($D:$D,$A:$A,$A2522,$B:$B,"&lt;&gt;Patrícia Karla de Sousa Araújo",$B:$B,"&lt;&gt;Lorena Dias de Araujo",$B:$B,"&lt;&gt;Lucas Luiz Romero")*(20/1083),IF(C2522="Estágio",SUMIFS($D:$D,$A:$A,$A2522,$B:$B,"&lt;&gt;Patrícia Karla de Sousa Araújo",$B:$B,"&lt;&gt;Lorena Dias de Araujo",$B:$B,"&lt;&gt;Lucas Luiz Romero")*(10/1083),0)))))),0)</f>
        <v>20</v>
      </c>
      <c r="K2522" s="3">
        <f>I2522-J2522</f>
        <v>6</v>
      </c>
      <c r="L2522" s="3" t="str">
        <f>IF(K2522&lt;-5,"CRÍTICO",IF(K2522&lt;0,"ATENÇÃO",IF(K2522&lt;=5,"BOM","EXCELENTE")))</f>
        <v>EXCELENTE</v>
      </c>
      <c r="M2522">
        <v>25</v>
      </c>
      <c r="N2522">
        <v>99.27</v>
      </c>
      <c r="O2522">
        <v>31.163708086785011</v>
      </c>
    </row>
    <row r="2523" spans="1:15" hidden="1" x14ac:dyDescent="0.25">
      <c r="A2523" s="11">
        <v>46079</v>
      </c>
      <c r="B2523" t="s">
        <v>44</v>
      </c>
      <c r="C2523" t="s">
        <v>32</v>
      </c>
      <c r="D2523">
        <v>31</v>
      </c>
      <c r="E2523">
        <v>28</v>
      </c>
      <c r="F2523">
        <v>20.56</v>
      </c>
      <c r="G2523">
        <v>0</v>
      </c>
      <c r="H2523">
        <v>0</v>
      </c>
      <c r="I2523" s="3">
        <f>E2523+G2523+H2523</f>
        <v>28</v>
      </c>
      <c r="J2523" s="3">
        <f>ROUND(MIN(IF(C2523="Técnico III",35,IF(C2523="Técnico II",28,IF(C2523="Técnico I",23,IF(C2523="JR",20,IF(C2523="Estágio",10,0))))),IF(C2523="Técnico III",SUMIFS($D:$D,$A:$A,$A2523,$B:$B,"&lt;&gt;Patrícia Karla de Sousa Araújo",$B:$B,"&lt;&gt;Lorena Dias de Araujo",$B:$B,"&lt;&gt;Lucas Luiz Romero")*(35/1083),IF(C2523="Técnico II",SUMIFS($D:$D,$A:$A,$A2523,$B:$B,"&lt;&gt;Patrícia Karla de Sousa Araújo",$B:$B,"&lt;&gt;Lorena Dias de Araujo",$B:$B,"&lt;&gt;Lucas Luiz Romero")*(28/1083),IF(C2523="Técnico I",SUMIFS($D:$D,$A:$A,$A2523,$B:$B,"&lt;&gt;Patrícia Karla de Sousa Araújo",$B:$B,"&lt;&gt;Lorena Dias de Araujo",$B:$B,"&lt;&gt;Lucas Luiz Romero")*(23/1083),IF(C2523="JR",SUMIFS($D:$D,$A:$A,$A2523,$B:$B,"&lt;&gt;Patrícia Karla de Sousa Araújo",$B:$B,"&lt;&gt;Lorena Dias de Araujo",$B:$B,"&lt;&gt;Lucas Luiz Romero")*(20/1083),IF(C2523="Estágio",SUMIFS($D:$D,$A:$A,$A2523,$B:$B,"&lt;&gt;Patrícia Karla de Sousa Araújo",$B:$B,"&lt;&gt;Lorena Dias de Araujo",$B:$B,"&lt;&gt;Lucas Luiz Romero")*(10/1083),0)))))),0)</f>
        <v>20</v>
      </c>
      <c r="K2523" s="3">
        <f>I2523-J2523</f>
        <v>8</v>
      </c>
      <c r="L2523" s="3" t="str">
        <f>IF(K2523&lt;-5,"CRÍTICO",IF(K2523&lt;0,"ATENÇÃO",IF(K2523&lt;=5,"BOM","EXCELENTE")))</f>
        <v>EXCELENTE</v>
      </c>
      <c r="M2523">
        <v>26</v>
      </c>
      <c r="N2523">
        <v>94.16</v>
      </c>
      <c r="O2523">
        <v>27.038626609442058</v>
      </c>
    </row>
    <row r="2524" spans="1:15" hidden="1" x14ac:dyDescent="0.25">
      <c r="A2524" s="11">
        <v>46079</v>
      </c>
      <c r="B2524" t="s">
        <v>20</v>
      </c>
      <c r="C2524" t="s">
        <v>16</v>
      </c>
      <c r="D2524">
        <v>8</v>
      </c>
      <c r="E2524">
        <v>7</v>
      </c>
      <c r="F2524">
        <v>80.13</v>
      </c>
      <c r="G2524">
        <v>0</v>
      </c>
      <c r="H2524">
        <v>0</v>
      </c>
      <c r="I2524" s="3">
        <f>E2524+G2524+H2524</f>
        <v>7</v>
      </c>
      <c r="J2524" s="3">
        <f>ROUND(MIN(IF(C2524="Técnico III",35,IF(C2524="Técnico II",28,IF(C2524="Técnico I",23,IF(C2524="JR",20,IF(C2524="Estágio",10,0))))),IF(C2524="Técnico III",SUMIFS($D:$D,$A:$A,$A2524,$B:$B,"&lt;&gt;Patrícia Karla de Sousa Araújo",$B:$B,"&lt;&gt;Lorena Dias de Araujo",$B:$B,"&lt;&gt;Lucas Luiz Romero")*(35/1083),IF(C2524="Técnico II",SUMIFS($D:$D,$A:$A,$A2524,$B:$B,"&lt;&gt;Patrícia Karla de Sousa Araújo",$B:$B,"&lt;&gt;Lorena Dias de Araujo",$B:$B,"&lt;&gt;Lucas Luiz Romero")*(28/1083),IF(C2524="Técnico I",SUMIFS($D:$D,$A:$A,$A2524,$B:$B,"&lt;&gt;Patrícia Karla de Sousa Araújo",$B:$B,"&lt;&gt;Lorena Dias de Araujo",$B:$B,"&lt;&gt;Lucas Luiz Romero")*(23/1083),IF(C2524="JR",SUMIFS($D:$D,$A:$A,$A2524,$B:$B,"&lt;&gt;Patrícia Karla de Sousa Araújo",$B:$B,"&lt;&gt;Lorena Dias de Araujo",$B:$B,"&lt;&gt;Lucas Luiz Romero")*(20/1083),IF(C2524="Estágio",SUMIFS($D:$D,$A:$A,$A2524,$B:$B,"&lt;&gt;Patrícia Karla de Sousa Araújo",$B:$B,"&lt;&gt;Lorena Dias de Araujo",$B:$B,"&lt;&gt;Lucas Luiz Romero")*(10/1083),0)))))),0)</f>
        <v>6</v>
      </c>
      <c r="K2524" s="3">
        <f>I2524-J2524</f>
        <v>1</v>
      </c>
      <c r="L2524" s="3" t="str">
        <f>IF(K2524&lt;-5,"CRÍTICO",IF(K2524&lt;0,"ATENÇÃO",IF(K2524&lt;=5,"BOM","EXCELENTE")))</f>
        <v>BOM</v>
      </c>
      <c r="M2524">
        <v>3</v>
      </c>
      <c r="N2524">
        <v>93.75</v>
      </c>
      <c r="O2524">
        <v>19.31818181818182</v>
      </c>
    </row>
    <row r="2525" spans="1:15" hidden="1" x14ac:dyDescent="0.25">
      <c r="A2525" s="11">
        <v>46079</v>
      </c>
      <c r="B2525" t="s">
        <v>28</v>
      </c>
      <c r="C2525" t="s">
        <v>26</v>
      </c>
      <c r="D2525">
        <v>0</v>
      </c>
      <c r="E2525">
        <v>0</v>
      </c>
      <c r="F2525">
        <v>0</v>
      </c>
      <c r="G2525">
        <v>0</v>
      </c>
      <c r="H2525">
        <v>0</v>
      </c>
      <c r="I2525" s="3">
        <v>0</v>
      </c>
      <c r="J2525" s="3">
        <v>0</v>
      </c>
      <c r="K2525" s="3">
        <v>0</v>
      </c>
      <c r="L2525" s="3" t="str">
        <f>IF(K2525&lt;-5,"CRÍTICO",IF(K2525&lt;0,"ATENÇÃO",IF(K2525&lt;=5,"BOM","EXCELENTE")))</f>
        <v>BOM</v>
      </c>
      <c r="M2525">
        <v>0</v>
      </c>
      <c r="N2525">
        <v>0</v>
      </c>
      <c r="O2525">
        <v>0</v>
      </c>
    </row>
    <row r="2526" spans="1:15" hidden="1" x14ac:dyDescent="0.25">
      <c r="A2526" s="11">
        <v>46079</v>
      </c>
      <c r="B2526" t="s">
        <v>58</v>
      </c>
      <c r="C2526" t="s">
        <v>48</v>
      </c>
      <c r="D2526">
        <v>0</v>
      </c>
      <c r="E2526">
        <v>0</v>
      </c>
      <c r="F2526">
        <v>0</v>
      </c>
      <c r="G2526">
        <v>0</v>
      </c>
      <c r="H2526">
        <v>0</v>
      </c>
      <c r="I2526" s="3">
        <v>0</v>
      </c>
      <c r="J2526" s="3">
        <v>0</v>
      </c>
      <c r="K2526" s="3">
        <v>0</v>
      </c>
      <c r="L2526" s="3" t="str">
        <f>IF(K2526&lt;-5,"CRÍTICO",IF(K2526&lt;0,"ATENÇÃO",IF(K2526&lt;=5,"BOM","EXCELENTE")))</f>
        <v>BOM</v>
      </c>
      <c r="M2526">
        <v>0</v>
      </c>
      <c r="N2526">
        <v>97.92</v>
      </c>
      <c r="O2526">
        <v>32.87671232876712</v>
      </c>
    </row>
    <row r="2527" spans="1:15" hidden="1" x14ac:dyDescent="0.25">
      <c r="A2527" s="11">
        <v>46079</v>
      </c>
      <c r="B2527" t="s">
        <v>29</v>
      </c>
      <c r="C2527" t="s">
        <v>26</v>
      </c>
      <c r="D2527">
        <v>0</v>
      </c>
      <c r="E2527">
        <v>0</v>
      </c>
      <c r="F2527">
        <v>0</v>
      </c>
      <c r="G2527">
        <v>0</v>
      </c>
      <c r="H2527">
        <v>0</v>
      </c>
      <c r="I2527" s="3">
        <v>0</v>
      </c>
      <c r="J2527" s="3">
        <v>0</v>
      </c>
      <c r="K2527" s="3">
        <v>0</v>
      </c>
      <c r="L2527" s="3" t="str">
        <f>IF(K2527&lt;-5,"CRÍTICO",IF(K2527&lt;0,"ATENÇÃO",IF(K2527&lt;=5,"BOM","EXCELENTE")))</f>
        <v>BOM</v>
      </c>
      <c r="M2527">
        <v>0</v>
      </c>
      <c r="N2527">
        <v>0</v>
      </c>
      <c r="O2527">
        <v>0</v>
      </c>
    </row>
    <row r="2528" spans="1:15" hidden="1" x14ac:dyDescent="0.25">
      <c r="A2528" s="11">
        <v>46079</v>
      </c>
      <c r="B2528" t="s">
        <v>30</v>
      </c>
      <c r="C2528" t="s">
        <v>26</v>
      </c>
      <c r="D2528">
        <v>0</v>
      </c>
      <c r="E2528">
        <v>0</v>
      </c>
      <c r="F2528">
        <v>0</v>
      </c>
      <c r="G2528">
        <v>0</v>
      </c>
      <c r="H2528">
        <v>0</v>
      </c>
      <c r="I2528" s="3">
        <v>0</v>
      </c>
      <c r="J2528" s="3">
        <v>0</v>
      </c>
      <c r="K2528" s="3">
        <v>0</v>
      </c>
      <c r="L2528" s="3" t="str">
        <f>IF(K2528&lt;-5,"CRÍTICO",IF(K2528&lt;0,"ATENÇÃO",IF(K2528&lt;=5,"BOM","EXCELENTE")))</f>
        <v>BOM</v>
      </c>
      <c r="M2528">
        <v>0</v>
      </c>
      <c r="N2528">
        <v>0</v>
      </c>
      <c r="O2528">
        <v>0</v>
      </c>
    </row>
    <row r="2529" spans="1:15" hidden="1" x14ac:dyDescent="0.25">
      <c r="A2529" s="11">
        <v>46079</v>
      </c>
      <c r="B2529" t="s">
        <v>21</v>
      </c>
      <c r="C2529" t="s">
        <v>16</v>
      </c>
      <c r="D2529">
        <v>0</v>
      </c>
      <c r="E2529">
        <v>0</v>
      </c>
      <c r="F2529">
        <v>0</v>
      </c>
      <c r="G2529">
        <v>0</v>
      </c>
      <c r="H2529">
        <v>0</v>
      </c>
      <c r="I2529" s="3">
        <v>0</v>
      </c>
      <c r="J2529" s="3">
        <v>0</v>
      </c>
      <c r="K2529" s="3">
        <v>0</v>
      </c>
      <c r="L2529" s="3" t="str">
        <f>IF(K2529&lt;-5,"CRÍTICO",IF(K2529&lt;0,"ATENÇÃO",IF(K2529&lt;=5,"BOM","EXCELENTE")))</f>
        <v>BOM</v>
      </c>
      <c r="M2529">
        <v>0</v>
      </c>
      <c r="N2529">
        <v>0</v>
      </c>
      <c r="O2529">
        <v>0</v>
      </c>
    </row>
    <row r="2530" spans="1:15" hidden="1" x14ac:dyDescent="0.25">
      <c r="A2530" s="11">
        <v>46079</v>
      </c>
      <c r="B2530" t="s">
        <v>63</v>
      </c>
      <c r="C2530" t="s">
        <v>23</v>
      </c>
      <c r="D2530">
        <v>17</v>
      </c>
      <c r="E2530">
        <v>17</v>
      </c>
      <c r="F2530">
        <v>44.16</v>
      </c>
      <c r="G2530">
        <v>0</v>
      </c>
      <c r="H2530">
        <v>0</v>
      </c>
      <c r="I2530" s="3">
        <f>E2530+G2530+H2530</f>
        <v>17</v>
      </c>
      <c r="J2530" s="3">
        <f>ROUND(MIN(IF(C2530="Técnico III",35,IF(C2530="Técnico II",28,IF(C2530="Técnico I",23,IF(C2530="JR",20,IF(C2530="Estágio",10,0))))),IF(C2530="Técnico III",SUMIFS($D:$D,$A:$A,$A2530,$B:$B,"&lt;&gt;Patrícia Karla de Sousa Araújo",$B:$B,"&lt;&gt;Lorena Dias de Araujo",$B:$B,"&lt;&gt;Lucas Luiz Romero")*(35/1083),IF(C2530="Técnico II",SUMIFS($D:$D,$A:$A,$A2530,$B:$B,"&lt;&gt;Patrícia Karla de Sousa Araújo",$B:$B,"&lt;&gt;Lorena Dias de Araujo",$B:$B,"&lt;&gt;Lucas Luiz Romero")*(28/1083),IF(C2530="Técnico I",SUMIFS($D:$D,$A:$A,$A2530,$B:$B,"&lt;&gt;Patrícia Karla de Sousa Araújo",$B:$B,"&lt;&gt;Lorena Dias de Araujo",$B:$B,"&lt;&gt;Lucas Luiz Romero")*(23/1083),IF(C2530="JR",SUMIFS($D:$D,$A:$A,$A2530,$B:$B,"&lt;&gt;Patrícia Karla de Sousa Araújo",$B:$B,"&lt;&gt;Lorena Dias de Araujo",$B:$B,"&lt;&gt;Lucas Luiz Romero")*(20/1083),IF(C2530="Estágio",SUMIFS($D:$D,$A:$A,$A2530,$B:$B,"&lt;&gt;Patrícia Karla de Sousa Araújo",$B:$B,"&lt;&gt;Lorena Dias de Araujo",$B:$B,"&lt;&gt;Lucas Luiz Romero")*(10/1083),0)))))),0)</f>
        <v>13</v>
      </c>
      <c r="K2530" s="3">
        <f>I2530-J2530</f>
        <v>4</v>
      </c>
      <c r="L2530" s="3" t="str">
        <f>IF(K2530&lt;-5,"CRÍTICO",IF(K2530&lt;0,"ATENÇÃO",IF(K2530&lt;=5,"BOM","EXCELENTE")))</f>
        <v>BOM</v>
      </c>
      <c r="M2530">
        <v>15</v>
      </c>
      <c r="N2530">
        <v>98.51</v>
      </c>
      <c r="O2530">
        <v>29.710144927536231</v>
      </c>
    </row>
    <row r="2531" spans="1:15" hidden="1" x14ac:dyDescent="0.25">
      <c r="A2531" s="11">
        <v>46079</v>
      </c>
      <c r="B2531" t="s">
        <v>45</v>
      </c>
      <c r="C2531" t="s">
        <v>32</v>
      </c>
      <c r="D2531">
        <v>32</v>
      </c>
      <c r="E2531">
        <v>29</v>
      </c>
      <c r="F2531">
        <v>17.34</v>
      </c>
      <c r="G2531">
        <v>0</v>
      </c>
      <c r="H2531">
        <v>0</v>
      </c>
      <c r="I2531" s="3">
        <f>E2531+G2531+H2531</f>
        <v>29</v>
      </c>
      <c r="J2531" s="3">
        <f>ROUND(MIN(IF(C2531="Técnico III",35,IF(C2531="Técnico II",28,IF(C2531="Técnico I",23,IF(C2531="JR",20,IF(C2531="Estágio",10,0))))),IF(C2531="Técnico III",SUMIFS($D:$D,$A:$A,$A2531,$B:$B,"&lt;&gt;Patrícia Karla de Sousa Araújo",$B:$B,"&lt;&gt;Lorena Dias de Araujo",$B:$B,"&lt;&gt;Lucas Luiz Romero")*(35/1083),IF(C2531="Técnico II",SUMIFS($D:$D,$A:$A,$A2531,$B:$B,"&lt;&gt;Patrícia Karla de Sousa Araújo",$B:$B,"&lt;&gt;Lorena Dias de Araujo",$B:$B,"&lt;&gt;Lucas Luiz Romero")*(28/1083),IF(C2531="Técnico I",SUMIFS($D:$D,$A:$A,$A2531,$B:$B,"&lt;&gt;Patrícia Karla de Sousa Araújo",$B:$B,"&lt;&gt;Lorena Dias de Araujo",$B:$B,"&lt;&gt;Lucas Luiz Romero")*(23/1083),IF(C2531="JR",SUMIFS($D:$D,$A:$A,$A2531,$B:$B,"&lt;&gt;Patrícia Karla de Sousa Araújo",$B:$B,"&lt;&gt;Lorena Dias de Araujo",$B:$B,"&lt;&gt;Lucas Luiz Romero")*(20/1083),IF(C2531="Estágio",SUMIFS($D:$D,$A:$A,$A2531,$B:$B,"&lt;&gt;Patrícia Karla de Sousa Araújo",$B:$B,"&lt;&gt;Lorena Dias de Araujo",$B:$B,"&lt;&gt;Lucas Luiz Romero")*(10/1083),0)))))),0)</f>
        <v>20</v>
      </c>
      <c r="K2531" s="3">
        <f>I2531-J2531</f>
        <v>9</v>
      </c>
      <c r="L2531" s="3" t="str">
        <f>IF(K2531&lt;-5,"CRÍTICO",IF(K2531&lt;0,"ATENÇÃO",IF(K2531&lt;=5,"BOM","EXCELENTE")))</f>
        <v>EXCELENTE</v>
      </c>
      <c r="M2531">
        <v>29</v>
      </c>
      <c r="N2531">
        <v>98.81</v>
      </c>
      <c r="O2531">
        <v>30.712979890310791</v>
      </c>
    </row>
    <row r="2532" spans="1:15" hidden="1" x14ac:dyDescent="0.25">
      <c r="A2532" s="11">
        <v>46079</v>
      </c>
      <c r="B2532" t="s">
        <v>64</v>
      </c>
      <c r="C2532" t="s">
        <v>23</v>
      </c>
      <c r="D2532">
        <v>11</v>
      </c>
      <c r="E2532">
        <v>11</v>
      </c>
      <c r="F2532">
        <v>30.3</v>
      </c>
      <c r="G2532">
        <v>0</v>
      </c>
      <c r="H2532">
        <v>0</v>
      </c>
      <c r="I2532" s="3">
        <f>E2532+G2532+H2532</f>
        <v>11</v>
      </c>
      <c r="J2532" s="3">
        <f>ROUND(MIN(IF(C2532="Técnico III",35,IF(C2532="Técnico II",28,IF(C2532="Técnico I",23,IF(C2532="JR",20,IF(C2532="Estágio",10,0))))),IF(C2532="Técnico III",SUMIFS($D:$D,$A:$A,$A2532,$B:$B,"&lt;&gt;Patrícia Karla de Sousa Araújo",$B:$B,"&lt;&gt;Lorena Dias de Araujo",$B:$B,"&lt;&gt;Lucas Luiz Romero")*(35/1083),IF(C2532="Técnico II",SUMIFS($D:$D,$A:$A,$A2532,$B:$B,"&lt;&gt;Patrícia Karla de Sousa Araújo",$B:$B,"&lt;&gt;Lorena Dias de Araujo",$B:$B,"&lt;&gt;Lucas Luiz Romero")*(28/1083),IF(C2532="Técnico I",SUMIFS($D:$D,$A:$A,$A2532,$B:$B,"&lt;&gt;Patrícia Karla de Sousa Araújo",$B:$B,"&lt;&gt;Lorena Dias de Araujo",$B:$B,"&lt;&gt;Lucas Luiz Romero")*(23/1083),IF(C2532="JR",SUMIFS($D:$D,$A:$A,$A2532,$B:$B,"&lt;&gt;Patrícia Karla de Sousa Araújo",$B:$B,"&lt;&gt;Lorena Dias de Araujo",$B:$B,"&lt;&gt;Lucas Luiz Romero")*(20/1083),IF(C2532="Estágio",SUMIFS($D:$D,$A:$A,$A2532,$B:$B,"&lt;&gt;Patrícia Karla de Sousa Araújo",$B:$B,"&lt;&gt;Lorena Dias de Araujo",$B:$B,"&lt;&gt;Lucas Luiz Romero")*(10/1083),0)))))),0)</f>
        <v>13</v>
      </c>
      <c r="K2532" s="3">
        <f>I2532-J2532</f>
        <v>-2</v>
      </c>
      <c r="L2532" s="3" t="str">
        <f>IF(K2532&lt;-5,"CRÍTICO",IF(K2532&lt;0,"ATENÇÃO",IF(K2532&lt;=5,"BOM","EXCELENTE")))</f>
        <v>ATENÇÃO</v>
      </c>
      <c r="M2532">
        <v>11</v>
      </c>
      <c r="N2532">
        <v>98.48</v>
      </c>
      <c r="O2532">
        <v>29.35323383084577</v>
      </c>
    </row>
    <row r="2533" spans="1:15" hidden="1" x14ac:dyDescent="0.25">
      <c r="A2533" s="11">
        <v>46079</v>
      </c>
      <c r="B2533" t="s">
        <v>46</v>
      </c>
      <c r="C2533" t="s">
        <v>32</v>
      </c>
      <c r="D2533">
        <v>23</v>
      </c>
      <c r="E2533">
        <v>20</v>
      </c>
      <c r="F2533">
        <v>26.44</v>
      </c>
      <c r="G2533">
        <v>0</v>
      </c>
      <c r="H2533">
        <v>0</v>
      </c>
      <c r="I2533" s="3">
        <f>E2533+G2533+H2533</f>
        <v>20</v>
      </c>
      <c r="J2533" s="3">
        <f>ROUND(MIN(IF(C2533="Técnico III",35,IF(C2533="Técnico II",28,IF(C2533="Técnico I",23,IF(C2533="JR",20,IF(C2533="Estágio",10,0))))),IF(C2533="Técnico III",SUMIFS($D:$D,$A:$A,$A2533,$B:$B,"&lt;&gt;Patrícia Karla de Sousa Araújo",$B:$B,"&lt;&gt;Lorena Dias de Araujo",$B:$B,"&lt;&gt;Lucas Luiz Romero")*(35/1083),IF(C2533="Técnico II",SUMIFS($D:$D,$A:$A,$A2533,$B:$B,"&lt;&gt;Patrícia Karla de Sousa Araújo",$B:$B,"&lt;&gt;Lorena Dias de Araujo",$B:$B,"&lt;&gt;Lucas Luiz Romero")*(28/1083),IF(C2533="Técnico I",SUMIFS($D:$D,$A:$A,$A2533,$B:$B,"&lt;&gt;Patrícia Karla de Sousa Araújo",$B:$B,"&lt;&gt;Lorena Dias de Araujo",$B:$B,"&lt;&gt;Lucas Luiz Romero")*(23/1083),IF(C2533="JR",SUMIFS($D:$D,$A:$A,$A2533,$B:$B,"&lt;&gt;Patrícia Karla de Sousa Araújo",$B:$B,"&lt;&gt;Lorena Dias de Araujo",$B:$B,"&lt;&gt;Lucas Luiz Romero")*(20/1083),IF(C2533="Estágio",SUMIFS($D:$D,$A:$A,$A2533,$B:$B,"&lt;&gt;Patrícia Karla de Sousa Araújo",$B:$B,"&lt;&gt;Lorena Dias de Araujo",$B:$B,"&lt;&gt;Lucas Luiz Romero")*(10/1083),0)))))),0)</f>
        <v>20</v>
      </c>
      <c r="K2533" s="3">
        <f>I2533-J2533</f>
        <v>0</v>
      </c>
      <c r="L2533" s="3" t="str">
        <f>IF(K2533&lt;-5,"CRÍTICO",IF(K2533&lt;0,"ATENÇÃO",IF(K2533&lt;=5,"BOM","EXCELENTE")))</f>
        <v>BOM</v>
      </c>
      <c r="M2533">
        <v>16</v>
      </c>
      <c r="N2533">
        <v>98.56</v>
      </c>
      <c r="O2533">
        <v>29.373650107991359</v>
      </c>
    </row>
    <row r="2534" spans="1:15" hidden="1" x14ac:dyDescent="0.25">
      <c r="A2534" s="11">
        <v>46080</v>
      </c>
      <c r="B2534" t="s">
        <v>47</v>
      </c>
      <c r="C2534" t="s">
        <v>48</v>
      </c>
      <c r="D2534">
        <v>28</v>
      </c>
      <c r="E2534">
        <v>26</v>
      </c>
      <c r="F2534">
        <v>18.399999999999999</v>
      </c>
      <c r="G2534">
        <v>0</v>
      </c>
      <c r="H2534">
        <v>0</v>
      </c>
      <c r="I2534" s="3">
        <f>E2534+G2534+H2534</f>
        <v>26</v>
      </c>
      <c r="J2534" s="3">
        <f>ROUND(MIN(IF(C2534="Técnico III",35,IF(C2534="Técnico II",28,IF(C2534="Técnico I",23,IF(C2534="JR",20,IF(C2534="Estágio",10,0))))),IF(C2534="Técnico III",SUMIFS($D:$D,$A:$A,$A2534,$B:$B,"&lt;&gt;Patrícia Karla de Sousa Araújo",$B:$B,"&lt;&gt;Lorena Dias de Araujo",$B:$B,"&lt;&gt;Lucas Luiz Romero")*(35/1083),IF(C2534="Técnico II",SUMIFS($D:$D,$A:$A,$A2534,$B:$B,"&lt;&gt;Patrícia Karla de Sousa Araújo",$B:$B,"&lt;&gt;Lorena Dias de Araujo",$B:$B,"&lt;&gt;Lucas Luiz Romero")*(28/1083),IF(C2534="Técnico I",SUMIFS($D:$D,$A:$A,$A2534,$B:$B,"&lt;&gt;Patrícia Karla de Sousa Araújo",$B:$B,"&lt;&gt;Lorena Dias de Araujo",$B:$B,"&lt;&gt;Lucas Luiz Romero")*(23/1083),IF(C2534="JR",SUMIFS($D:$D,$A:$A,$A2534,$B:$B,"&lt;&gt;Patrícia Karla de Sousa Araújo",$B:$B,"&lt;&gt;Lorena Dias de Araujo",$B:$B,"&lt;&gt;Lucas Luiz Romero")*(20/1083),IF(C2534="Estágio",SUMIFS($D:$D,$A:$A,$A2534,$B:$B,"&lt;&gt;Patrícia Karla de Sousa Araújo",$B:$B,"&lt;&gt;Lorena Dias de Araujo",$B:$B,"&lt;&gt;Lucas Luiz Romero")*(10/1083),0)))))),0)</f>
        <v>15</v>
      </c>
      <c r="K2534" s="3">
        <f>I2534-J2534</f>
        <v>11</v>
      </c>
      <c r="L2534" s="3" t="str">
        <f>IF(K2534&lt;-5,"CRÍTICO",IF(K2534&lt;0,"ATENÇÃO",IF(K2534&lt;=5,"BOM","EXCELENTE")))</f>
        <v>EXCELENTE</v>
      </c>
      <c r="M2534">
        <v>21</v>
      </c>
      <c r="N2534">
        <v>98.32</v>
      </c>
      <c r="O2534">
        <v>30.303030303030301</v>
      </c>
    </row>
    <row r="2535" spans="1:15" hidden="1" x14ac:dyDescent="0.25">
      <c r="A2535" s="11">
        <v>46080</v>
      </c>
      <c r="B2535" t="s">
        <v>31</v>
      </c>
      <c r="C2535" t="s">
        <v>32</v>
      </c>
      <c r="D2535">
        <v>0</v>
      </c>
      <c r="E2535">
        <v>0</v>
      </c>
      <c r="F2535">
        <v>0</v>
      </c>
      <c r="G2535">
        <v>0</v>
      </c>
      <c r="H2535">
        <v>0</v>
      </c>
      <c r="I2535" s="3">
        <v>0</v>
      </c>
      <c r="J2535" s="3">
        <v>0</v>
      </c>
      <c r="K2535" s="3">
        <v>0</v>
      </c>
      <c r="L2535" s="3" t="str">
        <f>IF(K2535&lt;-5,"CRÍTICO",IF(K2535&lt;0,"ATENÇÃO",IF(K2535&lt;=5,"BOM","EXCELENTE")))</f>
        <v>BOM</v>
      </c>
      <c r="M2535">
        <v>22</v>
      </c>
      <c r="N2535">
        <v>98.68</v>
      </c>
      <c r="O2535">
        <v>26.219512195121951</v>
      </c>
    </row>
    <row r="2536" spans="1:15" hidden="1" x14ac:dyDescent="0.25">
      <c r="A2536" s="11">
        <v>46080</v>
      </c>
      <c r="B2536" t="s">
        <v>59</v>
      </c>
      <c r="C2536" t="s">
        <v>23</v>
      </c>
      <c r="D2536">
        <v>23</v>
      </c>
      <c r="E2536">
        <v>20</v>
      </c>
      <c r="F2536">
        <v>21.55</v>
      </c>
      <c r="G2536">
        <v>0</v>
      </c>
      <c r="H2536">
        <v>0</v>
      </c>
      <c r="I2536" s="3">
        <f>E2536+G2536+H2536</f>
        <v>20</v>
      </c>
      <c r="J2536" s="3">
        <f>ROUND(MIN(IF(C2536="Técnico III",35,IF(C2536="Técnico II",28,IF(C2536="Técnico I",23,IF(C2536="JR",20,IF(C2536="Estágio",10,0))))),IF(C2536="Técnico III",SUMIFS($D:$D,$A:$A,$A2536,$B:$B,"&lt;&gt;Patrícia Karla de Sousa Araújo",$B:$B,"&lt;&gt;Lorena Dias de Araujo",$B:$B,"&lt;&gt;Lucas Luiz Romero")*(35/1083),IF(C2536="Técnico II",SUMIFS($D:$D,$A:$A,$A2536,$B:$B,"&lt;&gt;Patrícia Karla de Sousa Araújo",$B:$B,"&lt;&gt;Lorena Dias de Araujo",$B:$B,"&lt;&gt;Lucas Luiz Romero")*(28/1083),IF(C2536="Técnico I",SUMIFS($D:$D,$A:$A,$A2536,$B:$B,"&lt;&gt;Patrícia Karla de Sousa Araújo",$B:$B,"&lt;&gt;Lorena Dias de Araujo",$B:$B,"&lt;&gt;Lucas Luiz Romero")*(23/1083),IF(C2536="JR",SUMIFS($D:$D,$A:$A,$A2536,$B:$B,"&lt;&gt;Patrícia Karla de Sousa Araújo",$B:$B,"&lt;&gt;Lorena Dias de Araujo",$B:$B,"&lt;&gt;Lucas Luiz Romero")*(20/1083),IF(C2536="Estágio",SUMIFS($D:$D,$A:$A,$A2536,$B:$B,"&lt;&gt;Patrícia Karla de Sousa Araújo",$B:$B,"&lt;&gt;Lorena Dias de Araujo",$B:$B,"&lt;&gt;Lucas Luiz Romero")*(10/1083),0)))))),0)</f>
        <v>13</v>
      </c>
      <c r="K2536" s="3">
        <f>I2536-J2536</f>
        <v>7</v>
      </c>
      <c r="L2536" s="3" t="str">
        <f>IF(K2536&lt;-5,"CRÍTICO",IF(K2536&lt;0,"ATENÇÃO",IF(K2536&lt;=5,"BOM","EXCELENTE")))</f>
        <v>EXCELENTE</v>
      </c>
      <c r="M2536">
        <v>21</v>
      </c>
      <c r="N2536">
        <v>100</v>
      </c>
      <c r="O2536">
        <v>31.74224343675418</v>
      </c>
    </row>
    <row r="2537" spans="1:15" hidden="1" x14ac:dyDescent="0.25">
      <c r="A2537" s="11">
        <v>46080</v>
      </c>
      <c r="B2537" t="s">
        <v>33</v>
      </c>
      <c r="C2537" t="s">
        <v>32</v>
      </c>
      <c r="D2537">
        <v>21</v>
      </c>
      <c r="E2537">
        <v>19</v>
      </c>
      <c r="F2537">
        <v>30.51</v>
      </c>
      <c r="G2537">
        <v>0</v>
      </c>
      <c r="H2537">
        <v>0</v>
      </c>
      <c r="I2537" s="3">
        <f>E2537+G2537+H2537</f>
        <v>19</v>
      </c>
      <c r="J2537" s="3">
        <f>ROUND(MIN(IF(C2537="Técnico III",35,IF(C2537="Técnico II",28,IF(C2537="Técnico I",23,IF(C2537="JR",20,IF(C2537="Estágio",10,0))))),IF(C2537="Técnico III",SUMIFS($D:$D,$A:$A,$A2537,$B:$B,"&lt;&gt;Patrícia Karla de Sousa Araújo",$B:$B,"&lt;&gt;Lorena Dias de Araujo",$B:$B,"&lt;&gt;Lucas Luiz Romero")*(35/1083),IF(C2537="Técnico II",SUMIFS($D:$D,$A:$A,$A2537,$B:$B,"&lt;&gt;Patrícia Karla de Sousa Araújo",$B:$B,"&lt;&gt;Lorena Dias de Araujo",$B:$B,"&lt;&gt;Lucas Luiz Romero")*(28/1083),IF(C2537="Técnico I",SUMIFS($D:$D,$A:$A,$A2537,$B:$B,"&lt;&gt;Patrícia Karla de Sousa Araújo",$B:$B,"&lt;&gt;Lorena Dias de Araujo",$B:$B,"&lt;&gt;Lucas Luiz Romero")*(23/1083),IF(C2537="JR",SUMIFS($D:$D,$A:$A,$A2537,$B:$B,"&lt;&gt;Patrícia Karla de Sousa Araújo",$B:$B,"&lt;&gt;Lorena Dias de Araujo",$B:$B,"&lt;&gt;Lucas Luiz Romero")*(20/1083),IF(C2537="Estágio",SUMIFS($D:$D,$A:$A,$A2537,$B:$B,"&lt;&gt;Patrícia Karla de Sousa Araújo",$B:$B,"&lt;&gt;Lorena Dias de Araujo",$B:$B,"&lt;&gt;Lucas Luiz Romero")*(10/1083),0)))))),0)</f>
        <v>19</v>
      </c>
      <c r="K2537" s="3">
        <f>I2537-J2537</f>
        <v>0</v>
      </c>
      <c r="L2537" s="3" t="str">
        <f>IF(K2537&lt;-5,"CRÍTICO",IF(K2537&lt;0,"ATENÇÃO",IF(K2537&lt;=5,"BOM","EXCELENTE")))</f>
        <v>BOM</v>
      </c>
      <c r="M2537">
        <v>15</v>
      </c>
      <c r="N2537">
        <v>98.25</v>
      </c>
      <c r="O2537">
        <v>25.83518930957684</v>
      </c>
    </row>
    <row r="2538" spans="1:15" hidden="1" x14ac:dyDescent="0.25">
      <c r="A2538" s="11">
        <v>46080</v>
      </c>
      <c r="B2538" t="s">
        <v>15</v>
      </c>
      <c r="C2538" t="s">
        <v>16</v>
      </c>
      <c r="D2538">
        <v>12</v>
      </c>
      <c r="E2538">
        <v>11</v>
      </c>
      <c r="F2538">
        <v>40.06</v>
      </c>
      <c r="G2538">
        <v>0</v>
      </c>
      <c r="H2538">
        <v>0</v>
      </c>
      <c r="I2538" s="3">
        <f>E2538+G2538+H2538</f>
        <v>11</v>
      </c>
      <c r="J2538" s="3">
        <f>ROUND(MIN(IF(C2538="Técnico III",35,IF(C2538="Técnico II",28,IF(C2538="Técnico I",23,IF(C2538="JR",20,IF(C2538="Estágio",10,0))))),IF(C2538="Técnico III",SUMIFS($D:$D,$A:$A,$A2538,$B:$B,"&lt;&gt;Patrícia Karla de Sousa Araújo",$B:$B,"&lt;&gt;Lorena Dias de Araujo",$B:$B,"&lt;&gt;Lucas Luiz Romero")*(35/1083),IF(C2538="Técnico II",SUMIFS($D:$D,$A:$A,$A2538,$B:$B,"&lt;&gt;Patrícia Karla de Sousa Araújo",$B:$B,"&lt;&gt;Lorena Dias de Araujo",$B:$B,"&lt;&gt;Lucas Luiz Romero")*(28/1083),IF(C2538="Técnico I",SUMIFS($D:$D,$A:$A,$A2538,$B:$B,"&lt;&gt;Patrícia Karla de Sousa Araújo",$B:$B,"&lt;&gt;Lorena Dias de Araujo",$B:$B,"&lt;&gt;Lucas Luiz Romero")*(23/1083),IF(C2538="JR",SUMIFS($D:$D,$A:$A,$A2538,$B:$B,"&lt;&gt;Patrícia Karla de Sousa Araújo",$B:$B,"&lt;&gt;Lorena Dias de Araujo",$B:$B,"&lt;&gt;Lucas Luiz Romero")*(20/1083),IF(C2538="Estágio",SUMIFS($D:$D,$A:$A,$A2538,$B:$B,"&lt;&gt;Patrícia Karla de Sousa Araújo",$B:$B,"&lt;&gt;Lorena Dias de Araujo",$B:$B,"&lt;&gt;Lucas Luiz Romero")*(10/1083),0)))))),0)</f>
        <v>6</v>
      </c>
      <c r="K2538" s="3">
        <f>I2538-J2538</f>
        <v>5</v>
      </c>
      <c r="L2538" s="3" t="str">
        <f>IF(K2538&lt;-5,"CRÍTICO",IF(K2538&lt;0,"ATENÇÃO",IF(K2538&lt;=5,"BOM","EXCELENTE")))</f>
        <v>BOM</v>
      </c>
      <c r="M2538">
        <v>10</v>
      </c>
      <c r="N2538">
        <v>97.5</v>
      </c>
      <c r="O2538">
        <v>30.075187969924809</v>
      </c>
    </row>
    <row r="2539" spans="1:15" hidden="1" x14ac:dyDescent="0.25">
      <c r="A2539" s="11">
        <v>46080</v>
      </c>
      <c r="B2539" t="s">
        <v>49</v>
      </c>
      <c r="C2539" t="s">
        <v>48</v>
      </c>
      <c r="D2539">
        <v>35</v>
      </c>
      <c r="E2539">
        <v>32</v>
      </c>
      <c r="F2539">
        <v>20.32</v>
      </c>
      <c r="G2539">
        <v>0</v>
      </c>
      <c r="H2539">
        <v>0</v>
      </c>
      <c r="I2539" s="3">
        <f>E2539+G2539+H2539</f>
        <v>32</v>
      </c>
      <c r="J2539" s="3">
        <f>ROUND(MIN(IF(C2539="Técnico III",35,IF(C2539="Técnico II",28,IF(C2539="Técnico I",23,IF(C2539="JR",20,IF(C2539="Estágio",10,0))))),IF(C2539="Técnico III",SUMIFS($D:$D,$A:$A,$A2539,$B:$B,"&lt;&gt;Patrícia Karla de Sousa Araújo",$B:$B,"&lt;&gt;Lorena Dias de Araujo",$B:$B,"&lt;&gt;Lucas Luiz Romero")*(35/1083),IF(C2539="Técnico II",SUMIFS($D:$D,$A:$A,$A2539,$B:$B,"&lt;&gt;Patrícia Karla de Sousa Araújo",$B:$B,"&lt;&gt;Lorena Dias de Araujo",$B:$B,"&lt;&gt;Lucas Luiz Romero")*(28/1083),IF(C2539="Técnico I",SUMIFS($D:$D,$A:$A,$A2539,$B:$B,"&lt;&gt;Patrícia Karla de Sousa Araújo",$B:$B,"&lt;&gt;Lorena Dias de Araujo",$B:$B,"&lt;&gt;Lucas Luiz Romero")*(23/1083),IF(C2539="JR",SUMIFS($D:$D,$A:$A,$A2539,$B:$B,"&lt;&gt;Patrícia Karla de Sousa Araújo",$B:$B,"&lt;&gt;Lorena Dias de Araujo",$B:$B,"&lt;&gt;Lucas Luiz Romero")*(20/1083),IF(C2539="Estágio",SUMIFS($D:$D,$A:$A,$A2539,$B:$B,"&lt;&gt;Patrícia Karla de Sousa Araújo",$B:$B,"&lt;&gt;Lorena Dias de Araujo",$B:$B,"&lt;&gt;Lucas Luiz Romero")*(10/1083),0)))))),0)</f>
        <v>15</v>
      </c>
      <c r="K2539" s="3">
        <f>I2539-J2539</f>
        <v>17</v>
      </c>
      <c r="L2539" s="3" t="str">
        <f>IF(K2539&lt;-5,"CRÍTICO",IF(K2539&lt;0,"ATENÇÃO",IF(K2539&lt;=5,"BOM","EXCELENTE")))</f>
        <v>EXCELENTE</v>
      </c>
      <c r="M2539">
        <v>28</v>
      </c>
      <c r="N2539">
        <v>100</v>
      </c>
      <c r="O2539">
        <v>29.71311475409836</v>
      </c>
    </row>
    <row r="2540" spans="1:15" hidden="1" x14ac:dyDescent="0.25">
      <c r="A2540" s="11">
        <v>46080</v>
      </c>
      <c r="B2540" t="s">
        <v>50</v>
      </c>
      <c r="C2540" t="s">
        <v>48</v>
      </c>
      <c r="D2540">
        <v>7</v>
      </c>
      <c r="E2540">
        <v>7</v>
      </c>
      <c r="F2540">
        <v>55.26</v>
      </c>
      <c r="G2540">
        <v>0</v>
      </c>
      <c r="H2540">
        <v>0</v>
      </c>
      <c r="I2540" s="3">
        <f>E2540+G2540+H2540</f>
        <v>7</v>
      </c>
      <c r="J2540" s="3">
        <f>ROUND(MIN(IF(C2540="Técnico III",35,IF(C2540="Técnico II",28,IF(C2540="Técnico I",23,IF(C2540="JR",20,IF(C2540="Estágio",10,0))))),IF(C2540="Técnico III",SUMIFS($D:$D,$A:$A,$A2540,$B:$B,"&lt;&gt;Patrícia Karla de Sousa Araújo",$B:$B,"&lt;&gt;Lorena Dias de Araujo",$B:$B,"&lt;&gt;Lucas Luiz Romero")*(35/1083),IF(C2540="Técnico II",SUMIFS($D:$D,$A:$A,$A2540,$B:$B,"&lt;&gt;Patrícia Karla de Sousa Araújo",$B:$B,"&lt;&gt;Lorena Dias de Araujo",$B:$B,"&lt;&gt;Lucas Luiz Romero")*(28/1083),IF(C2540="Técnico I",SUMIFS($D:$D,$A:$A,$A2540,$B:$B,"&lt;&gt;Patrícia Karla de Sousa Araújo",$B:$B,"&lt;&gt;Lorena Dias de Araujo",$B:$B,"&lt;&gt;Lucas Luiz Romero")*(23/1083),IF(C2540="JR",SUMIFS($D:$D,$A:$A,$A2540,$B:$B,"&lt;&gt;Patrícia Karla de Sousa Araújo",$B:$B,"&lt;&gt;Lorena Dias de Araujo",$B:$B,"&lt;&gt;Lucas Luiz Romero")*(20/1083),IF(C2540="Estágio",SUMIFS($D:$D,$A:$A,$A2540,$B:$B,"&lt;&gt;Patrícia Karla de Sousa Araújo",$B:$B,"&lt;&gt;Lorena Dias de Araujo",$B:$B,"&lt;&gt;Lucas Luiz Romero")*(10/1083),0)))))),0)</f>
        <v>15</v>
      </c>
      <c r="K2540" s="3">
        <f>I2540-J2540</f>
        <v>-8</v>
      </c>
      <c r="L2540" s="3" t="str">
        <f>IF(K2540&lt;-5,"CRÍTICO",IF(K2540&lt;0,"ATENÇÃO",IF(K2540&lt;=5,"BOM","EXCELENTE")))</f>
        <v>CRÍTICO</v>
      </c>
      <c r="M2540">
        <v>7</v>
      </c>
      <c r="N2540">
        <v>99.22</v>
      </c>
      <c r="O2540">
        <v>35.256410256410263</v>
      </c>
    </row>
    <row r="2541" spans="1:15" hidden="1" x14ac:dyDescent="0.25">
      <c r="A2541" s="11">
        <v>46080</v>
      </c>
      <c r="B2541" t="s">
        <v>17</v>
      </c>
      <c r="C2541" t="s">
        <v>16</v>
      </c>
      <c r="D2541">
        <v>0</v>
      </c>
      <c r="E2541">
        <v>0</v>
      </c>
      <c r="F2541">
        <v>0</v>
      </c>
      <c r="G2541">
        <v>0</v>
      </c>
      <c r="H2541">
        <v>0</v>
      </c>
      <c r="I2541" s="3">
        <v>0</v>
      </c>
      <c r="J2541" s="3">
        <v>0</v>
      </c>
      <c r="K2541" s="3">
        <v>0</v>
      </c>
      <c r="L2541" s="3" t="str">
        <f>IF(K2541&lt;-5,"CRÍTICO",IF(K2541&lt;0,"ATENÇÃO",IF(K2541&lt;=5,"BOM","EXCELENTE")))</f>
        <v>BOM</v>
      </c>
      <c r="M2541">
        <v>0</v>
      </c>
      <c r="N2541">
        <v>0</v>
      </c>
      <c r="O2541">
        <v>0</v>
      </c>
    </row>
    <row r="2542" spans="1:15" hidden="1" x14ac:dyDescent="0.25">
      <c r="A2542" s="11">
        <v>46080</v>
      </c>
      <c r="B2542" t="s">
        <v>60</v>
      </c>
      <c r="C2542" t="s">
        <v>23</v>
      </c>
      <c r="D2542">
        <v>15</v>
      </c>
      <c r="E2542">
        <v>13</v>
      </c>
      <c r="F2542">
        <v>40.32</v>
      </c>
      <c r="G2542">
        <v>0</v>
      </c>
      <c r="H2542">
        <v>0</v>
      </c>
      <c r="I2542" s="3">
        <f>E2542+G2542+H2542</f>
        <v>13</v>
      </c>
      <c r="J2542" s="3">
        <f>ROUND(MIN(IF(C2542="Técnico III",35,IF(C2542="Técnico II",28,IF(C2542="Técnico I",23,IF(C2542="JR",20,IF(C2542="Estágio",10,0))))),IF(C2542="Técnico III",SUMIFS($D:$D,$A:$A,$A2542,$B:$B,"&lt;&gt;Patrícia Karla de Sousa Araújo",$B:$B,"&lt;&gt;Lorena Dias de Araujo",$B:$B,"&lt;&gt;Lucas Luiz Romero")*(35/1083),IF(C2542="Técnico II",SUMIFS($D:$D,$A:$A,$A2542,$B:$B,"&lt;&gt;Patrícia Karla de Sousa Araújo",$B:$B,"&lt;&gt;Lorena Dias de Araujo",$B:$B,"&lt;&gt;Lucas Luiz Romero")*(28/1083),IF(C2542="Técnico I",SUMIFS($D:$D,$A:$A,$A2542,$B:$B,"&lt;&gt;Patrícia Karla de Sousa Araújo",$B:$B,"&lt;&gt;Lorena Dias de Araujo",$B:$B,"&lt;&gt;Lucas Luiz Romero")*(23/1083),IF(C2542="JR",SUMIFS($D:$D,$A:$A,$A2542,$B:$B,"&lt;&gt;Patrícia Karla de Sousa Araújo",$B:$B,"&lt;&gt;Lorena Dias de Araujo",$B:$B,"&lt;&gt;Lucas Luiz Romero")*(20/1083),IF(C2542="Estágio",SUMIFS($D:$D,$A:$A,$A2542,$B:$B,"&lt;&gt;Patrícia Karla de Sousa Araújo",$B:$B,"&lt;&gt;Lorena Dias de Araujo",$B:$B,"&lt;&gt;Lucas Luiz Romero")*(10/1083),0)))))),0)</f>
        <v>13</v>
      </c>
      <c r="K2542" s="3">
        <f>I2542-J2542</f>
        <v>0</v>
      </c>
      <c r="L2542" s="3" t="str">
        <f>IF(K2542&lt;-5,"CRÍTICO",IF(K2542&lt;0,"ATENÇÃO",IF(K2542&lt;=5,"BOM","EXCELENTE")))</f>
        <v>BOM</v>
      </c>
      <c r="M2542">
        <v>12</v>
      </c>
      <c r="N2542">
        <v>98.75</v>
      </c>
      <c r="O2542">
        <v>24.32432432432433</v>
      </c>
    </row>
    <row r="2543" spans="1:15" hidden="1" x14ac:dyDescent="0.25">
      <c r="A2543" s="11">
        <v>46080</v>
      </c>
      <c r="B2543" t="s">
        <v>34</v>
      </c>
      <c r="C2543" t="s">
        <v>32</v>
      </c>
      <c r="D2543">
        <v>27</v>
      </c>
      <c r="E2543">
        <v>27</v>
      </c>
      <c r="F2543">
        <v>28.56</v>
      </c>
      <c r="G2543">
        <v>0</v>
      </c>
      <c r="H2543">
        <v>0</v>
      </c>
      <c r="I2543" s="3">
        <f>E2543+G2543+H2543</f>
        <v>27</v>
      </c>
      <c r="J2543" s="3">
        <f>ROUND(MIN(IF(C2543="Técnico III",35,IF(C2543="Técnico II",28,IF(C2543="Técnico I",23,IF(C2543="JR",20,IF(C2543="Estágio",10,0))))),IF(C2543="Técnico III",SUMIFS($D:$D,$A:$A,$A2543,$B:$B,"&lt;&gt;Patrícia Karla de Sousa Araújo",$B:$B,"&lt;&gt;Lorena Dias de Araujo",$B:$B,"&lt;&gt;Lucas Luiz Romero")*(35/1083),IF(C2543="Técnico II",SUMIFS($D:$D,$A:$A,$A2543,$B:$B,"&lt;&gt;Patrícia Karla de Sousa Araújo",$B:$B,"&lt;&gt;Lorena Dias de Araujo",$B:$B,"&lt;&gt;Lucas Luiz Romero")*(28/1083),IF(C2543="Técnico I",SUMIFS($D:$D,$A:$A,$A2543,$B:$B,"&lt;&gt;Patrícia Karla de Sousa Araújo",$B:$B,"&lt;&gt;Lorena Dias de Araujo",$B:$B,"&lt;&gt;Lucas Luiz Romero")*(23/1083),IF(C2543="JR",SUMIFS($D:$D,$A:$A,$A2543,$B:$B,"&lt;&gt;Patrícia Karla de Sousa Araújo",$B:$B,"&lt;&gt;Lorena Dias de Araujo",$B:$B,"&lt;&gt;Lucas Luiz Romero")*(20/1083),IF(C2543="Estágio",SUMIFS($D:$D,$A:$A,$A2543,$B:$B,"&lt;&gt;Patrícia Karla de Sousa Araújo",$B:$B,"&lt;&gt;Lorena Dias de Araujo",$B:$B,"&lt;&gt;Lucas Luiz Romero")*(10/1083),0)))))),0)</f>
        <v>19</v>
      </c>
      <c r="K2543" s="3">
        <f>I2543-J2543</f>
        <v>8</v>
      </c>
      <c r="L2543" s="3" t="str">
        <f>IF(K2543&lt;-5,"CRÍTICO",IF(K2543&lt;0,"ATENÇÃO",IF(K2543&lt;=5,"BOM","EXCELENTE")))</f>
        <v>EXCELENTE</v>
      </c>
      <c r="M2543">
        <v>26</v>
      </c>
      <c r="N2543">
        <v>93.48</v>
      </c>
      <c r="O2543">
        <v>31.52804642166344</v>
      </c>
    </row>
    <row r="2544" spans="1:15" hidden="1" x14ac:dyDescent="0.25">
      <c r="A2544" s="11">
        <v>46080</v>
      </c>
      <c r="B2544" t="s">
        <v>51</v>
      </c>
      <c r="C2544" t="s">
        <v>48</v>
      </c>
      <c r="D2544">
        <v>25</v>
      </c>
      <c r="E2544">
        <v>22</v>
      </c>
      <c r="F2544">
        <v>25.34</v>
      </c>
      <c r="G2544">
        <v>0</v>
      </c>
      <c r="H2544">
        <v>0</v>
      </c>
      <c r="I2544" s="3">
        <v>0</v>
      </c>
      <c r="J2544" s="3">
        <v>0</v>
      </c>
      <c r="K2544" s="3">
        <v>0</v>
      </c>
      <c r="L2544" s="3" t="str">
        <f>IF(K2544&lt;-5,"CRÍTICO",IF(K2544&lt;0,"ATENÇÃO",IF(K2544&lt;=5,"BOM","EXCELENTE")))</f>
        <v>BOM</v>
      </c>
      <c r="M2544">
        <v>19</v>
      </c>
      <c r="N2544">
        <v>99.16</v>
      </c>
      <c r="O2544">
        <v>26.13908872901678</v>
      </c>
    </row>
    <row r="2545" spans="1:15" hidden="1" x14ac:dyDescent="0.25">
      <c r="A2545" s="11">
        <v>46080</v>
      </c>
      <c r="B2545" t="s">
        <v>61</v>
      </c>
      <c r="C2545" t="s">
        <v>23</v>
      </c>
      <c r="D2545">
        <v>7</v>
      </c>
      <c r="E2545">
        <v>7</v>
      </c>
      <c r="F2545">
        <v>168.22</v>
      </c>
      <c r="G2545">
        <v>0</v>
      </c>
      <c r="H2545">
        <v>0</v>
      </c>
      <c r="I2545" s="3">
        <f>E2545+G2545+H2545</f>
        <v>7</v>
      </c>
      <c r="J2545" s="3">
        <f>ROUND(MIN(IF(C2545="Técnico III",35,IF(C2545="Técnico II",28,IF(C2545="Técnico I",23,IF(C2545="JR",20,IF(C2545="Estágio",10,0))))),IF(C2545="Técnico III",SUMIFS($D:$D,$A:$A,$A2545,$B:$B,"&lt;&gt;Patrícia Karla de Sousa Araújo",$B:$B,"&lt;&gt;Lorena Dias de Araujo",$B:$B,"&lt;&gt;Lucas Luiz Romero")*(35/1083),IF(C2545="Técnico II",SUMIFS($D:$D,$A:$A,$A2545,$B:$B,"&lt;&gt;Patrícia Karla de Sousa Araújo",$B:$B,"&lt;&gt;Lorena Dias de Araujo",$B:$B,"&lt;&gt;Lucas Luiz Romero")*(28/1083),IF(C2545="Técnico I",SUMIFS($D:$D,$A:$A,$A2545,$B:$B,"&lt;&gt;Patrícia Karla de Sousa Araújo",$B:$B,"&lt;&gt;Lorena Dias de Araujo",$B:$B,"&lt;&gt;Lucas Luiz Romero")*(23/1083),IF(C2545="JR",SUMIFS($D:$D,$A:$A,$A2545,$B:$B,"&lt;&gt;Patrícia Karla de Sousa Araújo",$B:$B,"&lt;&gt;Lorena Dias de Araujo",$B:$B,"&lt;&gt;Lucas Luiz Romero")*(20/1083),IF(C2545="Estágio",SUMIFS($D:$D,$A:$A,$A2545,$B:$B,"&lt;&gt;Patrícia Karla de Sousa Araújo",$B:$B,"&lt;&gt;Lorena Dias de Araujo",$B:$B,"&lt;&gt;Lucas Luiz Romero")*(10/1083),0)))))),0)</f>
        <v>13</v>
      </c>
      <c r="K2545" s="3">
        <f>I2545-J2545</f>
        <v>-6</v>
      </c>
      <c r="L2545" s="3" t="str">
        <f>IF(K2545&lt;-5,"CRÍTICO",IF(K2545&lt;0,"ATENÇÃO",IF(K2545&lt;=5,"BOM","EXCELENTE")))</f>
        <v>CRÍTICO</v>
      </c>
      <c r="M2545">
        <v>3</v>
      </c>
      <c r="N2545">
        <v>100</v>
      </c>
      <c r="O2545">
        <v>31.089743589743591</v>
      </c>
    </row>
    <row r="2546" spans="1:15" hidden="1" x14ac:dyDescent="0.25">
      <c r="A2546" s="11">
        <v>46080</v>
      </c>
      <c r="B2546" t="s">
        <v>35</v>
      </c>
      <c r="C2546" t="s">
        <v>32</v>
      </c>
      <c r="D2546">
        <v>15</v>
      </c>
      <c r="E2546">
        <v>15</v>
      </c>
      <c r="F2546">
        <v>47.01</v>
      </c>
      <c r="G2546">
        <v>0</v>
      </c>
      <c r="H2546">
        <v>0</v>
      </c>
      <c r="I2546" s="3">
        <v>0</v>
      </c>
      <c r="J2546" s="3">
        <v>0</v>
      </c>
      <c r="K2546" s="3">
        <v>0</v>
      </c>
      <c r="L2546" s="3" t="str">
        <f>IF(K2546&lt;-5,"CRÍTICO",IF(K2546&lt;0,"ATENÇÃO",IF(K2546&lt;=5,"BOM","EXCELENTE")))</f>
        <v>BOM</v>
      </c>
      <c r="M2546">
        <v>13</v>
      </c>
      <c r="N2546">
        <v>98.11</v>
      </c>
      <c r="O2546">
        <v>33.033707865168537</v>
      </c>
    </row>
    <row r="2547" spans="1:15" hidden="1" x14ac:dyDescent="0.25">
      <c r="A2547" s="11">
        <v>46080</v>
      </c>
      <c r="B2547" t="s">
        <v>18</v>
      </c>
      <c r="C2547" t="s">
        <v>16</v>
      </c>
      <c r="D2547">
        <v>8</v>
      </c>
      <c r="E2547">
        <v>8</v>
      </c>
      <c r="F2547">
        <v>48.23</v>
      </c>
      <c r="G2547">
        <v>0</v>
      </c>
      <c r="H2547">
        <v>0</v>
      </c>
      <c r="I2547" s="3">
        <f>E2547+G2547+H2547</f>
        <v>8</v>
      </c>
      <c r="J2547" s="3">
        <f>ROUND(MIN(IF(C2547="Técnico III",35,IF(C2547="Técnico II",28,IF(C2547="Técnico I",23,IF(C2547="JR",20,IF(C2547="Estágio",10,0))))),IF(C2547="Técnico III",SUMIFS($D:$D,$A:$A,$A2547,$B:$B,"&lt;&gt;Patrícia Karla de Sousa Araújo",$B:$B,"&lt;&gt;Lorena Dias de Araujo",$B:$B,"&lt;&gt;Lucas Luiz Romero")*(35/1083),IF(C2547="Técnico II",SUMIFS($D:$D,$A:$A,$A2547,$B:$B,"&lt;&gt;Patrícia Karla de Sousa Araújo",$B:$B,"&lt;&gt;Lorena Dias de Araujo",$B:$B,"&lt;&gt;Lucas Luiz Romero")*(28/1083),IF(C2547="Técnico I",SUMIFS($D:$D,$A:$A,$A2547,$B:$B,"&lt;&gt;Patrícia Karla de Sousa Araújo",$B:$B,"&lt;&gt;Lorena Dias de Araujo",$B:$B,"&lt;&gt;Lucas Luiz Romero")*(23/1083),IF(C2547="JR",SUMIFS($D:$D,$A:$A,$A2547,$B:$B,"&lt;&gt;Patrícia Karla de Sousa Araújo",$B:$B,"&lt;&gt;Lorena Dias de Araujo",$B:$B,"&lt;&gt;Lucas Luiz Romero")*(20/1083),IF(C2547="Estágio",SUMIFS($D:$D,$A:$A,$A2547,$B:$B,"&lt;&gt;Patrícia Karla de Sousa Araújo",$B:$B,"&lt;&gt;Lorena Dias de Araujo",$B:$B,"&lt;&gt;Lucas Luiz Romero")*(10/1083),0)))))),0)</f>
        <v>6</v>
      </c>
      <c r="K2547" s="3">
        <f>I2547-J2547</f>
        <v>2</v>
      </c>
      <c r="L2547" s="3" t="str">
        <f>IF(K2547&lt;-5,"CRÍTICO",IF(K2547&lt;0,"ATENÇÃO",IF(K2547&lt;=5,"BOM","EXCELENTE")))</f>
        <v>BOM</v>
      </c>
      <c r="M2547">
        <v>5</v>
      </c>
      <c r="N2547">
        <v>78.95</v>
      </c>
      <c r="O2547">
        <v>38.983050847457633</v>
      </c>
    </row>
    <row r="2548" spans="1:15" hidden="1" x14ac:dyDescent="0.25">
      <c r="A2548" s="11">
        <v>46080</v>
      </c>
      <c r="B2548" t="s">
        <v>52</v>
      </c>
      <c r="C2548" t="s">
        <v>48</v>
      </c>
      <c r="D2548">
        <v>14</v>
      </c>
      <c r="E2548">
        <v>13</v>
      </c>
      <c r="F2548">
        <v>48.35</v>
      </c>
      <c r="G2548">
        <v>0</v>
      </c>
      <c r="H2548">
        <v>0</v>
      </c>
      <c r="I2548" s="3">
        <f>E2548+G2548+H2548</f>
        <v>13</v>
      </c>
      <c r="J2548" s="3">
        <f>ROUND(MIN(IF(C2548="Técnico III",35,IF(C2548="Técnico II",28,IF(C2548="Técnico I",23,IF(C2548="JR",20,IF(C2548="Estágio",10,0))))),IF(C2548="Técnico III",SUMIFS($D:$D,$A:$A,$A2548,$B:$B,"&lt;&gt;Patrícia Karla de Sousa Araújo",$B:$B,"&lt;&gt;Lorena Dias de Araujo",$B:$B,"&lt;&gt;Lucas Luiz Romero")*(35/1083),IF(C2548="Técnico II",SUMIFS($D:$D,$A:$A,$A2548,$B:$B,"&lt;&gt;Patrícia Karla de Sousa Araújo",$B:$B,"&lt;&gt;Lorena Dias de Araujo",$B:$B,"&lt;&gt;Lucas Luiz Romero")*(28/1083),IF(C2548="Técnico I",SUMIFS($D:$D,$A:$A,$A2548,$B:$B,"&lt;&gt;Patrícia Karla de Sousa Araújo",$B:$B,"&lt;&gt;Lorena Dias de Araujo",$B:$B,"&lt;&gt;Lucas Luiz Romero")*(23/1083),IF(C2548="JR",SUMIFS($D:$D,$A:$A,$A2548,$B:$B,"&lt;&gt;Patrícia Karla de Sousa Araújo",$B:$B,"&lt;&gt;Lorena Dias de Araujo",$B:$B,"&lt;&gt;Lucas Luiz Romero")*(20/1083),IF(C2548="Estágio",SUMIFS($D:$D,$A:$A,$A2548,$B:$B,"&lt;&gt;Patrícia Karla de Sousa Araújo",$B:$B,"&lt;&gt;Lorena Dias de Araujo",$B:$B,"&lt;&gt;Lucas Luiz Romero")*(10/1083),0)))))),0)</f>
        <v>15</v>
      </c>
      <c r="K2548" s="3">
        <f>I2548-J2548</f>
        <v>-2</v>
      </c>
      <c r="L2548" s="3" t="str">
        <f>IF(K2548&lt;-5,"CRÍTICO",IF(K2548&lt;0,"ATENÇÃO",IF(K2548&lt;=5,"BOM","EXCELENTE")))</f>
        <v>ATENÇÃO</v>
      </c>
      <c r="M2548">
        <v>13</v>
      </c>
      <c r="N2548">
        <v>98.45</v>
      </c>
      <c r="O2548">
        <v>29.281767955801101</v>
      </c>
    </row>
    <row r="2549" spans="1:15" hidden="1" x14ac:dyDescent="0.25">
      <c r="A2549" s="11">
        <v>46080</v>
      </c>
      <c r="B2549" t="s">
        <v>36</v>
      </c>
      <c r="C2549" t="s">
        <v>32</v>
      </c>
      <c r="D2549">
        <v>24</v>
      </c>
      <c r="E2549">
        <v>24</v>
      </c>
      <c r="F2549">
        <v>22.14</v>
      </c>
      <c r="G2549">
        <v>0</v>
      </c>
      <c r="H2549">
        <v>0</v>
      </c>
      <c r="I2549" s="3">
        <f>E2549+G2549+H2549</f>
        <v>24</v>
      </c>
      <c r="J2549" s="3">
        <f>ROUND(MIN(IF(C2549="Técnico III",35,IF(C2549="Técnico II",28,IF(C2549="Técnico I",23,IF(C2549="JR",20,IF(C2549="Estágio",10,0))))),IF(C2549="Técnico III",SUMIFS($D:$D,$A:$A,$A2549,$B:$B,"&lt;&gt;Patrícia Karla de Sousa Araújo",$B:$B,"&lt;&gt;Lorena Dias de Araujo",$B:$B,"&lt;&gt;Lucas Luiz Romero")*(35/1083),IF(C2549="Técnico II",SUMIFS($D:$D,$A:$A,$A2549,$B:$B,"&lt;&gt;Patrícia Karla de Sousa Araújo",$B:$B,"&lt;&gt;Lorena Dias de Araujo",$B:$B,"&lt;&gt;Lucas Luiz Romero")*(28/1083),IF(C2549="Técnico I",SUMIFS($D:$D,$A:$A,$A2549,$B:$B,"&lt;&gt;Patrícia Karla de Sousa Araújo",$B:$B,"&lt;&gt;Lorena Dias de Araujo",$B:$B,"&lt;&gt;Lucas Luiz Romero")*(23/1083),IF(C2549="JR",SUMIFS($D:$D,$A:$A,$A2549,$B:$B,"&lt;&gt;Patrícia Karla de Sousa Araújo",$B:$B,"&lt;&gt;Lorena Dias de Araujo",$B:$B,"&lt;&gt;Lucas Luiz Romero")*(20/1083),IF(C2549="Estágio",SUMIFS($D:$D,$A:$A,$A2549,$B:$B,"&lt;&gt;Patrícia Karla de Sousa Araújo",$B:$B,"&lt;&gt;Lorena Dias de Araujo",$B:$B,"&lt;&gt;Lucas Luiz Romero")*(10/1083),0)))))),0)</f>
        <v>19</v>
      </c>
      <c r="K2549" s="3">
        <f>I2549-J2549</f>
        <v>5</v>
      </c>
      <c r="L2549" s="3" t="str">
        <f>IF(K2549&lt;-5,"CRÍTICO",IF(K2549&lt;0,"ATENÇÃO",IF(K2549&lt;=5,"BOM","EXCELENTE")))</f>
        <v>BOM</v>
      </c>
      <c r="M2549">
        <v>24</v>
      </c>
      <c r="N2549">
        <v>97.84</v>
      </c>
      <c r="O2549">
        <v>26.282051282051281</v>
      </c>
    </row>
    <row r="2550" spans="1:15" hidden="1" x14ac:dyDescent="0.25">
      <c r="A2550" s="11">
        <v>46080</v>
      </c>
      <c r="B2550" t="s">
        <v>53</v>
      </c>
      <c r="C2550" t="s">
        <v>48</v>
      </c>
      <c r="D2550">
        <v>22</v>
      </c>
      <c r="E2550">
        <v>19</v>
      </c>
      <c r="F2550">
        <v>35.340000000000003</v>
      </c>
      <c r="G2550">
        <v>0</v>
      </c>
      <c r="H2550">
        <v>0</v>
      </c>
      <c r="I2550" s="3">
        <f>E2550+G2550+H2550</f>
        <v>19</v>
      </c>
      <c r="J2550" s="3">
        <f>ROUND(MIN(IF(C2550="Técnico III",35,IF(C2550="Técnico II",28,IF(C2550="Técnico I",23,IF(C2550="JR",20,IF(C2550="Estágio",10,0))))),IF(C2550="Técnico III",SUMIFS($D:$D,$A:$A,$A2550,$B:$B,"&lt;&gt;Patrícia Karla de Sousa Araújo",$B:$B,"&lt;&gt;Lorena Dias de Araujo",$B:$B,"&lt;&gt;Lucas Luiz Romero")*(35/1083),IF(C2550="Técnico II",SUMIFS($D:$D,$A:$A,$A2550,$B:$B,"&lt;&gt;Patrícia Karla de Sousa Araújo",$B:$B,"&lt;&gt;Lorena Dias de Araujo",$B:$B,"&lt;&gt;Lucas Luiz Romero")*(28/1083),IF(C2550="Técnico I",SUMIFS($D:$D,$A:$A,$A2550,$B:$B,"&lt;&gt;Patrícia Karla de Sousa Araújo",$B:$B,"&lt;&gt;Lorena Dias de Araujo",$B:$B,"&lt;&gt;Lucas Luiz Romero")*(23/1083),IF(C2550="JR",SUMIFS($D:$D,$A:$A,$A2550,$B:$B,"&lt;&gt;Patrícia Karla de Sousa Araújo",$B:$B,"&lt;&gt;Lorena Dias de Araujo",$B:$B,"&lt;&gt;Lucas Luiz Romero")*(20/1083),IF(C2550="Estágio",SUMIFS($D:$D,$A:$A,$A2550,$B:$B,"&lt;&gt;Patrícia Karla de Sousa Araújo",$B:$B,"&lt;&gt;Lorena Dias de Araujo",$B:$B,"&lt;&gt;Lucas Luiz Romero")*(10/1083),0)))))),0)</f>
        <v>15</v>
      </c>
      <c r="K2550" s="3">
        <f>I2550-J2550</f>
        <v>4</v>
      </c>
      <c r="L2550" s="3" t="str">
        <f>IF(K2550&lt;-5,"CRÍTICO",IF(K2550&lt;0,"ATENÇÃO",IF(K2550&lt;=5,"BOM","EXCELENTE")))</f>
        <v>BOM</v>
      </c>
      <c r="M2550">
        <v>18</v>
      </c>
      <c r="N2550">
        <v>98.5</v>
      </c>
      <c r="O2550">
        <v>23.97769516728625</v>
      </c>
    </row>
    <row r="2551" spans="1:15" hidden="1" x14ac:dyDescent="0.25">
      <c r="A2551" s="11">
        <v>46114</v>
      </c>
      <c r="B2551" t="s">
        <v>22</v>
      </c>
      <c r="C2551" t="s">
        <v>23</v>
      </c>
      <c r="D2551">
        <v>33</v>
      </c>
      <c r="E2551">
        <v>31</v>
      </c>
      <c r="F2551">
        <v>15.33</v>
      </c>
      <c r="G2551">
        <v>0</v>
      </c>
      <c r="H2551">
        <v>0</v>
      </c>
      <c r="I2551" s="3">
        <f>E2551+G2551+H2551</f>
        <v>31</v>
      </c>
      <c r="J2551" s="3">
        <f>ROUND(MIN(IF(C2551="Técnico III",35,IF(C2551="Técnico II",28,IF(C2551="Técnico I",23,IF(C2551="JR",20,IF(C2551="Estágio",10,0))))),IF(C2551="Técnico III",SUMIFS($D:$D,$A:$A,$A2551,$B:$B,"&lt;&gt;Patrícia Karla de Sousa Araújo",$B:$B,"&lt;&gt;Lorena Dias de Araujo",$B:$B,"&lt;&gt;Lucas Luiz Romero")*(35/1083),IF(C2551="Técnico II",SUMIFS($D:$D,$A:$A,$A2551,$B:$B,"&lt;&gt;Patrícia Karla de Sousa Araújo",$B:$B,"&lt;&gt;Lorena Dias de Araujo",$B:$B,"&lt;&gt;Lucas Luiz Romero")*(28/1083),IF(C2551="Técnico I",SUMIFS($D:$D,$A:$A,$A2551,$B:$B,"&lt;&gt;Patrícia Karla de Sousa Araújo",$B:$B,"&lt;&gt;Lorena Dias de Araujo",$B:$B,"&lt;&gt;Lucas Luiz Romero")*(23/1083),IF(C2551="JR",SUMIFS($D:$D,$A:$A,$A2551,$B:$B,"&lt;&gt;Patrícia Karla de Sousa Araújo",$B:$B,"&lt;&gt;Lorena Dias de Araujo",$B:$B,"&lt;&gt;Lucas Luiz Romero")*(20/1083),IF(C2551="Estágio",SUMIFS($D:$D,$A:$A,$A2551,$B:$B,"&lt;&gt;Patrícia Karla de Sousa Araújo",$B:$B,"&lt;&gt;Lorena Dias de Araujo",$B:$B,"&lt;&gt;Lucas Luiz Romero")*(10/1083),0)))))),0)</f>
        <v>22</v>
      </c>
      <c r="K2551" s="3">
        <f>I2551-J2551</f>
        <v>9</v>
      </c>
      <c r="L2551" s="3" t="str">
        <f>IF(K2551&lt;-5,"CRÍTICO",IF(K2551&lt;0,"ATENÇÃO",IF(K2551&lt;=5,"OPORTUNO","MUITO BOM")))</f>
        <v>MUITO BOM</v>
      </c>
      <c r="M2551">
        <v>32</v>
      </c>
      <c r="N2551">
        <v>99.28</v>
      </c>
      <c r="O2551">
        <v>27.689243027888441</v>
      </c>
    </row>
    <row r="2552" spans="1:15" hidden="1" x14ac:dyDescent="0.25">
      <c r="A2552" s="11">
        <v>46080</v>
      </c>
      <c r="B2552" t="s">
        <v>54</v>
      </c>
      <c r="C2552" t="s">
        <v>48</v>
      </c>
      <c r="D2552">
        <v>21</v>
      </c>
      <c r="E2552">
        <v>21</v>
      </c>
      <c r="F2552">
        <v>28.56</v>
      </c>
      <c r="G2552">
        <v>0</v>
      </c>
      <c r="H2552">
        <v>0</v>
      </c>
      <c r="I2552" s="3">
        <f>E2552+G2552+H2552</f>
        <v>21</v>
      </c>
      <c r="J2552" s="3">
        <f>ROUND(MIN(IF(C2552="Técnico III",35,IF(C2552="Técnico II",28,IF(C2552="Técnico I",23,IF(C2552="JR",20,IF(C2552="Estágio",10,0))))),IF(C2552="Técnico III",SUMIFS($D:$D,$A:$A,$A2552,$B:$B,"&lt;&gt;Patrícia Karla de Sousa Araújo",$B:$B,"&lt;&gt;Lorena Dias de Araujo",$B:$B,"&lt;&gt;Lucas Luiz Romero")*(35/1083),IF(C2552="Técnico II",SUMIFS($D:$D,$A:$A,$A2552,$B:$B,"&lt;&gt;Patrícia Karla de Sousa Araújo",$B:$B,"&lt;&gt;Lorena Dias de Araujo",$B:$B,"&lt;&gt;Lucas Luiz Romero")*(28/1083),IF(C2552="Técnico I",SUMIFS($D:$D,$A:$A,$A2552,$B:$B,"&lt;&gt;Patrícia Karla de Sousa Araújo",$B:$B,"&lt;&gt;Lorena Dias de Araujo",$B:$B,"&lt;&gt;Lucas Luiz Romero")*(23/1083),IF(C2552="JR",SUMIFS($D:$D,$A:$A,$A2552,$B:$B,"&lt;&gt;Patrícia Karla de Sousa Araújo",$B:$B,"&lt;&gt;Lorena Dias de Araujo",$B:$B,"&lt;&gt;Lucas Luiz Romero")*(20/1083),IF(C2552="Estágio",SUMIFS($D:$D,$A:$A,$A2552,$B:$B,"&lt;&gt;Patrícia Karla de Sousa Araújo",$B:$B,"&lt;&gt;Lorena Dias de Araujo",$B:$B,"&lt;&gt;Lucas Luiz Romero")*(10/1083),0)))))),0)</f>
        <v>15</v>
      </c>
      <c r="K2552" s="3">
        <f>I2552-J2552</f>
        <v>6</v>
      </c>
      <c r="L2552" s="3" t="str">
        <f>IF(K2552&lt;-5,"CRÍTICO",IF(K2552&lt;0,"ATENÇÃO",IF(K2552&lt;=5,"BOM","EXCELENTE")))</f>
        <v>EXCELENTE</v>
      </c>
      <c r="M2552">
        <v>19</v>
      </c>
      <c r="N2552">
        <v>98.53</v>
      </c>
      <c r="O2552">
        <v>31.578947368421051</v>
      </c>
    </row>
    <row r="2553" spans="1:15" hidden="1" x14ac:dyDescent="0.25">
      <c r="A2553" s="11">
        <v>46080</v>
      </c>
      <c r="B2553" t="s">
        <v>37</v>
      </c>
      <c r="C2553" t="s">
        <v>32</v>
      </c>
      <c r="D2553">
        <v>28</v>
      </c>
      <c r="E2553">
        <v>23</v>
      </c>
      <c r="F2553">
        <v>27.08</v>
      </c>
      <c r="G2553">
        <v>0</v>
      </c>
      <c r="H2553">
        <v>0</v>
      </c>
      <c r="I2553" s="3">
        <f>E2553+G2553+H2553</f>
        <v>23</v>
      </c>
      <c r="J2553" s="3">
        <f>ROUND(MIN(IF(C2553="Técnico III",35,IF(C2553="Técnico II",28,IF(C2553="Técnico I",23,IF(C2553="JR",20,IF(C2553="Estágio",10,0))))),IF(C2553="Técnico III",SUMIFS($D:$D,$A:$A,$A2553,$B:$B,"&lt;&gt;Patrícia Karla de Sousa Araújo",$B:$B,"&lt;&gt;Lorena Dias de Araujo",$B:$B,"&lt;&gt;Lucas Luiz Romero")*(35/1083),IF(C2553="Técnico II",SUMIFS($D:$D,$A:$A,$A2553,$B:$B,"&lt;&gt;Patrícia Karla de Sousa Araújo",$B:$B,"&lt;&gt;Lorena Dias de Araujo",$B:$B,"&lt;&gt;Lucas Luiz Romero")*(28/1083),IF(C2553="Técnico I",SUMIFS($D:$D,$A:$A,$A2553,$B:$B,"&lt;&gt;Patrícia Karla de Sousa Araújo",$B:$B,"&lt;&gt;Lorena Dias de Araujo",$B:$B,"&lt;&gt;Lucas Luiz Romero")*(23/1083),IF(C2553="JR",SUMIFS($D:$D,$A:$A,$A2553,$B:$B,"&lt;&gt;Patrícia Karla de Sousa Araújo",$B:$B,"&lt;&gt;Lorena Dias de Araujo",$B:$B,"&lt;&gt;Lucas Luiz Romero")*(20/1083),IF(C2553="Estágio",SUMIFS($D:$D,$A:$A,$A2553,$B:$B,"&lt;&gt;Patrícia Karla de Sousa Araújo",$B:$B,"&lt;&gt;Lorena Dias de Araujo",$B:$B,"&lt;&gt;Lucas Luiz Romero")*(10/1083),0)))))),0)</f>
        <v>19</v>
      </c>
      <c r="K2553" s="3">
        <f>I2553-J2553</f>
        <v>4</v>
      </c>
      <c r="L2553" s="3" t="str">
        <f>IF(K2553&lt;-5,"CRÍTICO",IF(K2553&lt;0,"ATENÇÃO",IF(K2553&lt;=5,"BOM","EXCELENTE")))</f>
        <v>BOM</v>
      </c>
      <c r="M2553">
        <v>24</v>
      </c>
      <c r="N2553">
        <v>100</v>
      </c>
      <c r="O2553">
        <v>25.72214580467676</v>
      </c>
    </row>
    <row r="2554" spans="1:15" hidden="1" x14ac:dyDescent="0.25">
      <c r="A2554" s="11">
        <v>46080</v>
      </c>
      <c r="B2554" t="s">
        <v>38</v>
      </c>
      <c r="C2554" t="s">
        <v>32</v>
      </c>
      <c r="D2554">
        <v>3</v>
      </c>
      <c r="E2554">
        <v>3</v>
      </c>
      <c r="F2554">
        <v>67.34</v>
      </c>
      <c r="G2554">
        <v>0</v>
      </c>
      <c r="H2554">
        <v>0</v>
      </c>
      <c r="I2554" s="3">
        <f>E2554+G2554+H2554</f>
        <v>3</v>
      </c>
      <c r="J2554" s="3">
        <f>ROUND(MIN(IF(C2554="Técnico III",35,IF(C2554="Técnico II",28,IF(C2554="Técnico I",23,IF(C2554="JR",20,IF(C2554="Estágio",10,0))))),IF(C2554="Técnico III",SUMIFS($D:$D,$A:$A,$A2554,$B:$B,"&lt;&gt;Patrícia Karla de Sousa Araújo",$B:$B,"&lt;&gt;Lorena Dias de Araujo",$B:$B,"&lt;&gt;Lucas Luiz Romero")*(35/1083),IF(C2554="Técnico II",SUMIFS($D:$D,$A:$A,$A2554,$B:$B,"&lt;&gt;Patrícia Karla de Sousa Araújo",$B:$B,"&lt;&gt;Lorena Dias de Araujo",$B:$B,"&lt;&gt;Lucas Luiz Romero")*(28/1083),IF(C2554="Técnico I",SUMIFS($D:$D,$A:$A,$A2554,$B:$B,"&lt;&gt;Patrícia Karla de Sousa Araújo",$B:$B,"&lt;&gt;Lorena Dias de Araujo",$B:$B,"&lt;&gt;Lucas Luiz Romero")*(23/1083),IF(C2554="JR",SUMIFS($D:$D,$A:$A,$A2554,$B:$B,"&lt;&gt;Patrícia Karla de Sousa Araújo",$B:$B,"&lt;&gt;Lorena Dias de Araujo",$B:$B,"&lt;&gt;Lucas Luiz Romero")*(20/1083),IF(C2554="Estágio",SUMIFS($D:$D,$A:$A,$A2554,$B:$B,"&lt;&gt;Patrícia Karla de Sousa Araújo",$B:$B,"&lt;&gt;Lorena Dias de Araujo",$B:$B,"&lt;&gt;Lucas Luiz Romero")*(10/1083),0)))))),0)</f>
        <v>19</v>
      </c>
      <c r="K2554" s="3">
        <f>I2554-J2554</f>
        <v>-16</v>
      </c>
      <c r="L2554" s="3" t="str">
        <f>IF(K2554&lt;-5,"CRÍTICO",IF(K2554&lt;0,"ATENÇÃO",IF(K2554&lt;=5,"BOM","EXCELENTE")))</f>
        <v>CRÍTICO</v>
      </c>
      <c r="M2554">
        <v>2</v>
      </c>
      <c r="N2554">
        <v>94.64</v>
      </c>
      <c r="O2554">
        <v>27.52941176470588</v>
      </c>
    </row>
    <row r="2555" spans="1:15" hidden="1" x14ac:dyDescent="0.25">
      <c r="A2555" s="11">
        <v>46080</v>
      </c>
      <c r="B2555" t="s">
        <v>55</v>
      </c>
      <c r="C2555" t="s">
        <v>48</v>
      </c>
      <c r="D2555">
        <v>15</v>
      </c>
      <c r="E2555">
        <v>15</v>
      </c>
      <c r="F2555">
        <v>33.32</v>
      </c>
      <c r="G2555">
        <v>0</v>
      </c>
      <c r="H2555">
        <v>0</v>
      </c>
      <c r="I2555" s="3">
        <f>E2555+G2555+H2555</f>
        <v>15</v>
      </c>
      <c r="J2555" s="3">
        <f>ROUND(MIN(IF(C2555="Técnico III",35,IF(C2555="Técnico II",28,IF(C2555="Técnico I",23,IF(C2555="JR",20,IF(C2555="Estágio",10,0))))),IF(C2555="Técnico III",SUMIFS($D:$D,$A:$A,$A2555,$B:$B,"&lt;&gt;Patrícia Karla de Sousa Araújo",$B:$B,"&lt;&gt;Lorena Dias de Araujo",$B:$B,"&lt;&gt;Lucas Luiz Romero")*(35/1083),IF(C2555="Técnico II",SUMIFS($D:$D,$A:$A,$A2555,$B:$B,"&lt;&gt;Patrícia Karla de Sousa Araújo",$B:$B,"&lt;&gt;Lorena Dias de Araujo",$B:$B,"&lt;&gt;Lucas Luiz Romero")*(28/1083),IF(C2555="Técnico I",SUMIFS($D:$D,$A:$A,$A2555,$B:$B,"&lt;&gt;Patrícia Karla de Sousa Araújo",$B:$B,"&lt;&gt;Lorena Dias de Araujo",$B:$B,"&lt;&gt;Lucas Luiz Romero")*(23/1083),IF(C2555="JR",SUMIFS($D:$D,$A:$A,$A2555,$B:$B,"&lt;&gt;Patrícia Karla de Sousa Araújo",$B:$B,"&lt;&gt;Lorena Dias de Araujo",$B:$B,"&lt;&gt;Lucas Luiz Romero")*(20/1083),IF(C2555="Estágio",SUMIFS($D:$D,$A:$A,$A2555,$B:$B,"&lt;&gt;Patrícia Karla de Sousa Araújo",$B:$B,"&lt;&gt;Lorena Dias de Araujo",$B:$B,"&lt;&gt;Lucas Luiz Romero")*(10/1083),0)))))),0)</f>
        <v>15</v>
      </c>
      <c r="K2555" s="3">
        <f>I2555-J2555</f>
        <v>0</v>
      </c>
      <c r="L2555" s="3" t="str">
        <f>IF(K2555&lt;-5,"CRÍTICO",IF(K2555&lt;0,"ATENÇÃO",IF(K2555&lt;=5,"BOM","EXCELENTE")))</f>
        <v>BOM</v>
      </c>
      <c r="M2555">
        <v>14</v>
      </c>
      <c r="N2555">
        <v>99.07</v>
      </c>
      <c r="O2555">
        <v>26.376811594202898</v>
      </c>
    </row>
    <row r="2556" spans="1:15" hidden="1" x14ac:dyDescent="0.25">
      <c r="A2556" s="11">
        <v>46080</v>
      </c>
      <c r="B2556" t="s">
        <v>39</v>
      </c>
      <c r="C2556" t="s">
        <v>32</v>
      </c>
      <c r="D2556">
        <v>0</v>
      </c>
      <c r="E2556">
        <v>0</v>
      </c>
      <c r="F2556">
        <v>0</v>
      </c>
      <c r="G2556">
        <v>0</v>
      </c>
      <c r="H2556">
        <v>0</v>
      </c>
      <c r="I2556" s="3">
        <v>0</v>
      </c>
      <c r="J2556" s="3">
        <v>0</v>
      </c>
      <c r="K2556" s="3">
        <v>0</v>
      </c>
      <c r="L2556" s="3" t="str">
        <f>IF(K2556&lt;-5,"CRÍTICO",IF(K2556&lt;0,"ATENÇÃO",IF(K2556&lt;=5,"BOM","EXCELENTE")))</f>
        <v>BOM</v>
      </c>
      <c r="M2556">
        <v>0</v>
      </c>
      <c r="N2556">
        <v>100</v>
      </c>
      <c r="O2556">
        <v>0</v>
      </c>
    </row>
    <row r="2557" spans="1:15" hidden="1" x14ac:dyDescent="0.25">
      <c r="A2557" s="11">
        <v>46080</v>
      </c>
      <c r="B2557" t="s">
        <v>25</v>
      </c>
      <c r="C2557" t="s">
        <v>26</v>
      </c>
      <c r="D2557">
        <v>9</v>
      </c>
      <c r="E2557">
        <v>8</v>
      </c>
      <c r="F2557">
        <v>38.58</v>
      </c>
      <c r="G2557">
        <v>0</v>
      </c>
      <c r="H2557">
        <v>0</v>
      </c>
      <c r="I2557" s="3">
        <f>E2557+G2557+H2557</f>
        <v>8</v>
      </c>
      <c r="J2557" s="3">
        <f>ROUND(MIN(IF(C2557="Técnico III",35,IF(C2557="Técnico II",28,IF(C2557="Técnico I",23,IF(C2557="JR",20,IF(C2557="Estágio",10,0))))),IF(C2557="Técnico III",SUMIFS($D:$D,$A:$A,$A2557,$B:$B,"&lt;&gt;Patrícia Karla de Sousa Araújo",$B:$B,"&lt;&gt;Lorena Dias de Araujo",$B:$B,"&lt;&gt;Lucas Luiz Romero")*(35/1083),IF(C2557="Técnico II",SUMIFS($D:$D,$A:$A,$A2557,$B:$B,"&lt;&gt;Patrícia Karla de Sousa Araújo",$B:$B,"&lt;&gt;Lorena Dias de Araujo",$B:$B,"&lt;&gt;Lucas Luiz Romero")*(28/1083),IF(C2557="Técnico I",SUMIFS($D:$D,$A:$A,$A2557,$B:$B,"&lt;&gt;Patrícia Karla de Sousa Araújo",$B:$B,"&lt;&gt;Lorena Dias de Araujo",$B:$B,"&lt;&gt;Lucas Luiz Romero")*(23/1083),IF(C2557="JR",SUMIFS($D:$D,$A:$A,$A2557,$B:$B,"&lt;&gt;Patrícia Karla de Sousa Araújo",$B:$B,"&lt;&gt;Lorena Dias de Araujo",$B:$B,"&lt;&gt;Lucas Luiz Romero")*(20/1083),IF(C2557="Estágio",SUMIFS($D:$D,$A:$A,$A2557,$B:$B,"&lt;&gt;Patrícia Karla de Sousa Araújo",$B:$B,"&lt;&gt;Lorena Dias de Araujo",$B:$B,"&lt;&gt;Lucas Luiz Romero")*(10/1083),0)))))),0)</f>
        <v>11</v>
      </c>
      <c r="K2557" s="3">
        <f>I2557-J2557</f>
        <v>-3</v>
      </c>
      <c r="L2557" s="3" t="str">
        <f>IF(K2557&lt;-5,"CRÍTICO",IF(K2557&lt;0,"ATENÇÃO",IF(K2557&lt;=5,"BOM","EXCELENTE")))</f>
        <v>ATENÇÃO</v>
      </c>
      <c r="M2557">
        <v>9</v>
      </c>
      <c r="N2557">
        <v>98.48</v>
      </c>
      <c r="O2557">
        <v>27.853881278538811</v>
      </c>
    </row>
    <row r="2558" spans="1:15" hidden="1" x14ac:dyDescent="0.25">
      <c r="A2558" s="11">
        <v>46080</v>
      </c>
      <c r="B2558" t="s">
        <v>40</v>
      </c>
      <c r="C2558" t="s">
        <v>32</v>
      </c>
      <c r="D2558">
        <v>0</v>
      </c>
      <c r="E2558">
        <v>0</v>
      </c>
      <c r="F2558">
        <v>0</v>
      </c>
      <c r="G2558">
        <v>0</v>
      </c>
      <c r="H2558">
        <v>0</v>
      </c>
      <c r="I2558" s="3">
        <v>0</v>
      </c>
      <c r="J2558" s="3">
        <v>0</v>
      </c>
      <c r="K2558" s="3">
        <v>0</v>
      </c>
      <c r="L2558" s="3" t="str">
        <f>IF(K2558&lt;-5,"CRÍTICO",IF(K2558&lt;0,"ATENÇÃO",IF(K2558&lt;=5,"BOM","EXCELENTE")))</f>
        <v>BOM</v>
      </c>
      <c r="M2558">
        <v>21</v>
      </c>
      <c r="N2558">
        <v>95.15</v>
      </c>
      <c r="O2558">
        <v>34.131736526946113</v>
      </c>
    </row>
    <row r="2559" spans="1:15" hidden="1" x14ac:dyDescent="0.25">
      <c r="A2559" s="11">
        <v>46080</v>
      </c>
      <c r="B2559" t="s">
        <v>27</v>
      </c>
      <c r="C2559" t="s">
        <v>26</v>
      </c>
      <c r="D2559">
        <v>0</v>
      </c>
      <c r="E2559">
        <v>0</v>
      </c>
      <c r="F2559">
        <v>0</v>
      </c>
      <c r="G2559">
        <v>0</v>
      </c>
      <c r="H2559">
        <v>0</v>
      </c>
      <c r="I2559" s="3">
        <v>0</v>
      </c>
      <c r="J2559" s="3">
        <v>0</v>
      </c>
      <c r="K2559" s="3">
        <v>0</v>
      </c>
      <c r="L2559" s="3" t="str">
        <f>IF(K2559&lt;-5,"CRÍTICO",IF(K2559&lt;0,"ATENÇÃO",IF(K2559&lt;=5,"BOM","EXCELENTE")))</f>
        <v>BOM</v>
      </c>
      <c r="M2559">
        <v>0</v>
      </c>
      <c r="N2559">
        <v>0</v>
      </c>
      <c r="O2559">
        <v>0</v>
      </c>
    </row>
    <row r="2560" spans="1:15" hidden="1" x14ac:dyDescent="0.25">
      <c r="A2560" s="11">
        <v>46080</v>
      </c>
      <c r="B2560" t="s">
        <v>41</v>
      </c>
      <c r="C2560" t="s">
        <v>32</v>
      </c>
      <c r="D2560">
        <v>16</v>
      </c>
      <c r="E2560">
        <v>16</v>
      </c>
      <c r="F2560">
        <v>45.36</v>
      </c>
      <c r="G2560">
        <v>0</v>
      </c>
      <c r="H2560">
        <v>0</v>
      </c>
      <c r="I2560" s="3">
        <f>E2560+G2560+H2560</f>
        <v>16</v>
      </c>
      <c r="J2560" s="3">
        <f>ROUND(MIN(IF(C2560="Técnico III",35,IF(C2560="Técnico II",28,IF(C2560="Técnico I",23,IF(C2560="JR",20,IF(C2560="Estágio",10,0))))),IF(C2560="Técnico III",SUMIFS($D:$D,$A:$A,$A2560,$B:$B,"&lt;&gt;Patrícia Karla de Sousa Araújo",$B:$B,"&lt;&gt;Lorena Dias de Araujo",$B:$B,"&lt;&gt;Lucas Luiz Romero")*(35/1083),IF(C2560="Técnico II",SUMIFS($D:$D,$A:$A,$A2560,$B:$B,"&lt;&gt;Patrícia Karla de Sousa Araújo",$B:$B,"&lt;&gt;Lorena Dias de Araujo",$B:$B,"&lt;&gt;Lucas Luiz Romero")*(28/1083),IF(C2560="Técnico I",SUMIFS($D:$D,$A:$A,$A2560,$B:$B,"&lt;&gt;Patrícia Karla de Sousa Araújo",$B:$B,"&lt;&gt;Lorena Dias de Araujo",$B:$B,"&lt;&gt;Lucas Luiz Romero")*(23/1083),IF(C2560="JR",SUMIFS($D:$D,$A:$A,$A2560,$B:$B,"&lt;&gt;Patrícia Karla de Sousa Araújo",$B:$B,"&lt;&gt;Lorena Dias de Araujo",$B:$B,"&lt;&gt;Lucas Luiz Romero")*(20/1083),IF(C2560="Estágio",SUMIFS($D:$D,$A:$A,$A2560,$B:$B,"&lt;&gt;Patrícia Karla de Sousa Araújo",$B:$B,"&lt;&gt;Lorena Dias de Araujo",$B:$B,"&lt;&gt;Lucas Luiz Romero")*(10/1083),0)))))),0)</f>
        <v>19</v>
      </c>
      <c r="K2560" s="3">
        <f>I2560-J2560</f>
        <v>-3</v>
      </c>
      <c r="L2560" s="3" t="str">
        <f>IF(K2560&lt;-5,"CRÍTICO",IF(K2560&lt;0,"ATENÇÃO",IF(K2560&lt;=5,"BOM","EXCELENTE")))</f>
        <v>ATENÇÃO</v>
      </c>
      <c r="M2560">
        <v>13</v>
      </c>
      <c r="N2560">
        <v>99.26</v>
      </c>
      <c r="O2560">
        <v>30.84832904884319</v>
      </c>
    </row>
    <row r="2561" spans="1:15" hidden="1" x14ac:dyDescent="0.25">
      <c r="A2561" s="11">
        <v>46080</v>
      </c>
      <c r="B2561" t="s">
        <v>56</v>
      </c>
      <c r="C2561" t="s">
        <v>48</v>
      </c>
      <c r="D2561">
        <v>32</v>
      </c>
      <c r="E2561">
        <v>30</v>
      </c>
      <c r="F2561">
        <v>23.44</v>
      </c>
      <c r="G2561">
        <v>0</v>
      </c>
      <c r="H2561">
        <v>0</v>
      </c>
      <c r="I2561" s="3">
        <f>E2561+G2561+H2561</f>
        <v>30</v>
      </c>
      <c r="J2561" s="3">
        <f>ROUND(MIN(IF(C2561="Técnico III",35,IF(C2561="Técnico II",28,IF(C2561="Técnico I",23,IF(C2561="JR",20,IF(C2561="Estágio",10,0))))),IF(C2561="Técnico III",SUMIFS($D:$D,$A:$A,$A2561,$B:$B,"&lt;&gt;Patrícia Karla de Sousa Araújo",$B:$B,"&lt;&gt;Lorena Dias de Araujo",$B:$B,"&lt;&gt;Lucas Luiz Romero")*(35/1083),IF(C2561="Técnico II",SUMIFS($D:$D,$A:$A,$A2561,$B:$B,"&lt;&gt;Patrícia Karla de Sousa Araújo",$B:$B,"&lt;&gt;Lorena Dias de Araujo",$B:$B,"&lt;&gt;Lucas Luiz Romero")*(28/1083),IF(C2561="Técnico I",SUMIFS($D:$D,$A:$A,$A2561,$B:$B,"&lt;&gt;Patrícia Karla de Sousa Araújo",$B:$B,"&lt;&gt;Lorena Dias de Araujo",$B:$B,"&lt;&gt;Lucas Luiz Romero")*(23/1083),IF(C2561="JR",SUMIFS($D:$D,$A:$A,$A2561,$B:$B,"&lt;&gt;Patrícia Karla de Sousa Araújo",$B:$B,"&lt;&gt;Lorena Dias de Araujo",$B:$B,"&lt;&gt;Lucas Luiz Romero")*(20/1083),IF(C2561="Estágio",SUMIFS($D:$D,$A:$A,$A2561,$B:$B,"&lt;&gt;Patrícia Karla de Sousa Araújo",$B:$B,"&lt;&gt;Lorena Dias de Araujo",$B:$B,"&lt;&gt;Lucas Luiz Romero")*(10/1083),0)))))),0)</f>
        <v>15</v>
      </c>
      <c r="K2561" s="3">
        <f>I2561-J2561</f>
        <v>15</v>
      </c>
      <c r="L2561" s="3" t="str">
        <f>IF(K2561&lt;-5,"CRÍTICO",IF(K2561&lt;0,"ATENÇÃO",IF(K2561&lt;=5,"BOM","EXCELENTE")))</f>
        <v>EXCELENTE</v>
      </c>
      <c r="M2561">
        <v>20</v>
      </c>
      <c r="N2561">
        <v>97.48</v>
      </c>
      <c r="O2561">
        <v>27.764705882352938</v>
      </c>
    </row>
    <row r="2562" spans="1:15" hidden="1" x14ac:dyDescent="0.25">
      <c r="A2562" s="11">
        <v>46080</v>
      </c>
      <c r="B2562" t="s">
        <v>57</v>
      </c>
      <c r="C2562" t="s">
        <v>48</v>
      </c>
      <c r="D2562">
        <v>28</v>
      </c>
      <c r="E2562">
        <v>24</v>
      </c>
      <c r="F2562">
        <v>25.3</v>
      </c>
      <c r="G2562">
        <v>0</v>
      </c>
      <c r="H2562">
        <v>0</v>
      </c>
      <c r="I2562" s="3">
        <v>0</v>
      </c>
      <c r="J2562" s="3">
        <v>0</v>
      </c>
      <c r="K2562" s="3">
        <v>0</v>
      </c>
      <c r="L2562" s="3" t="str">
        <f>IF(K2562&lt;-5,"CRÍTICO",IF(K2562&lt;0,"ATENÇÃO",IF(K2562&lt;=5,"BOM","EXCELENTE")))</f>
        <v>BOM</v>
      </c>
      <c r="M2562">
        <v>21</v>
      </c>
      <c r="N2562">
        <v>99.34</v>
      </c>
      <c r="O2562">
        <v>30.04291845493562</v>
      </c>
    </row>
    <row r="2563" spans="1:15" hidden="1" x14ac:dyDescent="0.25">
      <c r="A2563" s="11">
        <v>46080</v>
      </c>
      <c r="B2563" t="s">
        <v>42</v>
      </c>
      <c r="C2563" t="s">
        <v>32</v>
      </c>
      <c r="D2563">
        <v>23</v>
      </c>
      <c r="E2563">
        <v>21</v>
      </c>
      <c r="F2563">
        <v>18.41</v>
      </c>
      <c r="G2563">
        <v>0</v>
      </c>
      <c r="H2563">
        <v>0</v>
      </c>
      <c r="I2563" s="3">
        <f>E2563+G2563+H2563</f>
        <v>21</v>
      </c>
      <c r="J2563" s="3">
        <f>ROUND(MIN(IF(C2563="Técnico III",35,IF(C2563="Técnico II",28,IF(C2563="Técnico I",23,IF(C2563="JR",20,IF(C2563="Estágio",10,0))))),IF(C2563="Técnico III",SUMIFS($D:$D,$A:$A,$A2563,$B:$B,"&lt;&gt;Patrícia Karla de Sousa Araújo",$B:$B,"&lt;&gt;Lorena Dias de Araujo",$B:$B,"&lt;&gt;Lucas Luiz Romero")*(35/1083),IF(C2563="Técnico II",SUMIFS($D:$D,$A:$A,$A2563,$B:$B,"&lt;&gt;Patrícia Karla de Sousa Araújo",$B:$B,"&lt;&gt;Lorena Dias de Araujo",$B:$B,"&lt;&gt;Lucas Luiz Romero")*(28/1083),IF(C2563="Técnico I",SUMIFS($D:$D,$A:$A,$A2563,$B:$B,"&lt;&gt;Patrícia Karla de Sousa Araújo",$B:$B,"&lt;&gt;Lorena Dias de Araujo",$B:$B,"&lt;&gt;Lucas Luiz Romero")*(23/1083),IF(C2563="JR",SUMIFS($D:$D,$A:$A,$A2563,$B:$B,"&lt;&gt;Patrícia Karla de Sousa Araújo",$B:$B,"&lt;&gt;Lorena Dias de Araujo",$B:$B,"&lt;&gt;Lucas Luiz Romero")*(20/1083),IF(C2563="Estágio",SUMIFS($D:$D,$A:$A,$A2563,$B:$B,"&lt;&gt;Patrícia Karla de Sousa Araújo",$B:$B,"&lt;&gt;Lorena Dias de Araujo",$B:$B,"&lt;&gt;Lucas Luiz Romero")*(10/1083),0)))))),0)</f>
        <v>19</v>
      </c>
      <c r="K2563" s="3">
        <f>I2563-J2563</f>
        <v>2</v>
      </c>
      <c r="L2563" s="3" t="str">
        <f>IF(K2563&lt;-5,"CRÍTICO",IF(K2563&lt;0,"ATENÇÃO",IF(K2563&lt;=5,"BOM","EXCELENTE")))</f>
        <v>BOM</v>
      </c>
      <c r="M2563">
        <v>12</v>
      </c>
      <c r="N2563">
        <v>96.3</v>
      </c>
      <c r="O2563">
        <v>24.29378531073446</v>
      </c>
    </row>
    <row r="2564" spans="1:15" hidden="1" x14ac:dyDescent="0.25">
      <c r="A2564" s="11">
        <v>46080</v>
      </c>
      <c r="B2564" t="s">
        <v>62</v>
      </c>
      <c r="C2564" t="s">
        <v>23</v>
      </c>
      <c r="D2564">
        <v>13</v>
      </c>
      <c r="E2564">
        <v>13</v>
      </c>
      <c r="F2564">
        <v>55.19</v>
      </c>
      <c r="G2564">
        <v>0</v>
      </c>
      <c r="H2564">
        <v>0</v>
      </c>
      <c r="I2564" s="3">
        <f>E2564+G2564+H2564</f>
        <v>13</v>
      </c>
      <c r="J2564" s="3">
        <f>ROUND(MIN(IF(C2564="Técnico III",35,IF(C2564="Técnico II",28,IF(C2564="Técnico I",23,IF(C2564="JR",20,IF(C2564="Estágio",10,0))))),IF(C2564="Técnico III",SUMIFS($D:$D,$A:$A,$A2564,$B:$B,"&lt;&gt;Patrícia Karla de Sousa Araújo",$B:$B,"&lt;&gt;Lorena Dias de Araujo",$B:$B,"&lt;&gt;Lucas Luiz Romero")*(35/1083),IF(C2564="Técnico II",SUMIFS($D:$D,$A:$A,$A2564,$B:$B,"&lt;&gt;Patrícia Karla de Sousa Araújo",$B:$B,"&lt;&gt;Lorena Dias de Araujo",$B:$B,"&lt;&gt;Lucas Luiz Romero")*(28/1083),IF(C2564="Técnico I",SUMIFS($D:$D,$A:$A,$A2564,$B:$B,"&lt;&gt;Patrícia Karla de Sousa Araújo",$B:$B,"&lt;&gt;Lorena Dias de Araujo",$B:$B,"&lt;&gt;Lucas Luiz Romero")*(23/1083),IF(C2564="JR",SUMIFS($D:$D,$A:$A,$A2564,$B:$B,"&lt;&gt;Patrícia Karla de Sousa Araújo",$B:$B,"&lt;&gt;Lorena Dias de Araujo",$B:$B,"&lt;&gt;Lucas Luiz Romero")*(20/1083),IF(C2564="Estágio",SUMIFS($D:$D,$A:$A,$A2564,$B:$B,"&lt;&gt;Patrícia Karla de Sousa Araújo",$B:$B,"&lt;&gt;Lorena Dias de Araujo",$B:$B,"&lt;&gt;Lucas Luiz Romero")*(10/1083),0)))))),0)</f>
        <v>13</v>
      </c>
      <c r="K2564" s="3">
        <f>I2564-J2564</f>
        <v>0</v>
      </c>
      <c r="L2564" s="3" t="str">
        <f>IF(K2564&lt;-5,"CRÍTICO",IF(K2564&lt;0,"ATENÇÃO",IF(K2564&lt;=5,"BOM","EXCELENTE")))</f>
        <v>BOM</v>
      </c>
      <c r="M2564">
        <v>12</v>
      </c>
      <c r="N2564">
        <v>100</v>
      </c>
      <c r="O2564">
        <v>26.543209876543209</v>
      </c>
    </row>
    <row r="2565" spans="1:15" hidden="1" x14ac:dyDescent="0.25">
      <c r="A2565" s="11">
        <v>46080</v>
      </c>
      <c r="B2565" t="s">
        <v>19</v>
      </c>
      <c r="C2565" t="s">
        <v>16</v>
      </c>
      <c r="D2565">
        <v>14</v>
      </c>
      <c r="E2565">
        <v>14</v>
      </c>
      <c r="F2565">
        <v>53.33</v>
      </c>
      <c r="G2565">
        <v>0</v>
      </c>
      <c r="H2565">
        <v>0</v>
      </c>
      <c r="I2565" s="3">
        <f>E2565+G2565+H2565</f>
        <v>14</v>
      </c>
      <c r="J2565" s="3">
        <f>ROUND(MIN(IF(C2565="Técnico III",35,IF(C2565="Técnico II",28,IF(C2565="Técnico I",23,IF(C2565="JR",20,IF(C2565="Estágio",10,0))))),IF(C2565="Técnico III",SUMIFS($D:$D,$A:$A,$A2565,$B:$B,"&lt;&gt;Patrícia Karla de Sousa Araújo",$B:$B,"&lt;&gt;Lorena Dias de Araujo",$B:$B,"&lt;&gt;Lucas Luiz Romero")*(35/1083),IF(C2565="Técnico II",SUMIFS($D:$D,$A:$A,$A2565,$B:$B,"&lt;&gt;Patrícia Karla de Sousa Araújo",$B:$B,"&lt;&gt;Lorena Dias de Araujo",$B:$B,"&lt;&gt;Lucas Luiz Romero")*(28/1083),IF(C2565="Técnico I",SUMIFS($D:$D,$A:$A,$A2565,$B:$B,"&lt;&gt;Patrícia Karla de Sousa Araújo",$B:$B,"&lt;&gt;Lorena Dias de Araujo",$B:$B,"&lt;&gt;Lucas Luiz Romero")*(23/1083),IF(C2565="JR",SUMIFS($D:$D,$A:$A,$A2565,$B:$B,"&lt;&gt;Patrícia Karla de Sousa Araújo",$B:$B,"&lt;&gt;Lorena Dias de Araujo",$B:$B,"&lt;&gt;Lucas Luiz Romero")*(20/1083),IF(C2565="Estágio",SUMIFS($D:$D,$A:$A,$A2565,$B:$B,"&lt;&gt;Patrícia Karla de Sousa Araújo",$B:$B,"&lt;&gt;Lorena Dias de Araujo",$B:$B,"&lt;&gt;Lucas Luiz Romero")*(10/1083),0)))))),0)</f>
        <v>6</v>
      </c>
      <c r="K2565" s="3">
        <f>I2565-J2565</f>
        <v>8</v>
      </c>
      <c r="L2565" s="3" t="str">
        <f>IF(K2565&lt;-5,"CRÍTICO",IF(K2565&lt;0,"ATENÇÃO",IF(K2565&lt;=5,"BOM","EXCELENTE")))</f>
        <v>EXCELENTE</v>
      </c>
      <c r="M2565">
        <v>8</v>
      </c>
      <c r="N2565">
        <v>100</v>
      </c>
      <c r="O2565">
        <v>35.483870967741943</v>
      </c>
    </row>
    <row r="2566" spans="1:15" hidden="1" x14ac:dyDescent="0.25">
      <c r="A2566" s="11">
        <v>46080</v>
      </c>
      <c r="B2566" t="s">
        <v>43</v>
      </c>
      <c r="C2566" t="s">
        <v>32</v>
      </c>
      <c r="D2566">
        <v>20</v>
      </c>
      <c r="E2566">
        <v>20</v>
      </c>
      <c r="F2566">
        <v>35.56</v>
      </c>
      <c r="G2566">
        <v>0</v>
      </c>
      <c r="H2566">
        <v>0</v>
      </c>
      <c r="I2566" s="3">
        <f>E2566+G2566+H2566</f>
        <v>20</v>
      </c>
      <c r="J2566" s="3">
        <f>ROUND(MIN(IF(C2566="Técnico III",35,IF(C2566="Técnico II",28,IF(C2566="Técnico I",23,IF(C2566="JR",20,IF(C2566="Estágio",10,0))))),IF(C2566="Técnico III",SUMIFS($D:$D,$A:$A,$A2566,$B:$B,"&lt;&gt;Patrícia Karla de Sousa Araújo",$B:$B,"&lt;&gt;Lorena Dias de Araujo",$B:$B,"&lt;&gt;Lucas Luiz Romero")*(35/1083),IF(C2566="Técnico II",SUMIFS($D:$D,$A:$A,$A2566,$B:$B,"&lt;&gt;Patrícia Karla de Sousa Araújo",$B:$B,"&lt;&gt;Lorena Dias de Araujo",$B:$B,"&lt;&gt;Lucas Luiz Romero")*(28/1083),IF(C2566="Técnico I",SUMIFS($D:$D,$A:$A,$A2566,$B:$B,"&lt;&gt;Patrícia Karla de Sousa Araújo",$B:$B,"&lt;&gt;Lorena Dias de Araujo",$B:$B,"&lt;&gt;Lucas Luiz Romero")*(23/1083),IF(C2566="JR",SUMIFS($D:$D,$A:$A,$A2566,$B:$B,"&lt;&gt;Patrícia Karla de Sousa Araújo",$B:$B,"&lt;&gt;Lorena Dias de Araujo",$B:$B,"&lt;&gt;Lucas Luiz Romero")*(20/1083),IF(C2566="Estágio",SUMIFS($D:$D,$A:$A,$A2566,$B:$B,"&lt;&gt;Patrícia Karla de Sousa Araújo",$B:$B,"&lt;&gt;Lorena Dias de Araujo",$B:$B,"&lt;&gt;Lucas Luiz Romero")*(10/1083),0)))))),0)</f>
        <v>19</v>
      </c>
      <c r="K2566" s="3">
        <f>I2566-J2566</f>
        <v>1</v>
      </c>
      <c r="L2566" s="3" t="str">
        <f>IF(K2566&lt;-5,"CRÍTICO",IF(K2566&lt;0,"ATENÇÃO",IF(K2566&lt;=5,"BOM","EXCELENTE")))</f>
        <v>BOM</v>
      </c>
      <c r="M2566">
        <v>18</v>
      </c>
      <c r="N2566">
        <v>99.27</v>
      </c>
      <c r="O2566">
        <v>31.163708086785011</v>
      </c>
    </row>
    <row r="2567" spans="1:15" hidden="1" x14ac:dyDescent="0.25">
      <c r="A2567" s="11">
        <v>46080</v>
      </c>
      <c r="B2567" t="s">
        <v>44</v>
      </c>
      <c r="C2567" t="s">
        <v>32</v>
      </c>
      <c r="D2567">
        <v>28</v>
      </c>
      <c r="E2567">
        <v>23</v>
      </c>
      <c r="F2567">
        <v>25.26</v>
      </c>
      <c r="G2567">
        <v>0</v>
      </c>
      <c r="H2567">
        <v>0</v>
      </c>
      <c r="I2567" s="3">
        <f>E2567+G2567+H2567</f>
        <v>23</v>
      </c>
      <c r="J2567" s="3">
        <f>ROUND(MIN(IF(C2567="Técnico III",35,IF(C2567="Técnico II",28,IF(C2567="Técnico I",23,IF(C2567="JR",20,IF(C2567="Estágio",10,0))))),IF(C2567="Técnico III",SUMIFS($D:$D,$A:$A,$A2567,$B:$B,"&lt;&gt;Patrícia Karla de Sousa Araújo",$B:$B,"&lt;&gt;Lorena Dias de Araujo",$B:$B,"&lt;&gt;Lucas Luiz Romero")*(35/1083),IF(C2567="Técnico II",SUMIFS($D:$D,$A:$A,$A2567,$B:$B,"&lt;&gt;Patrícia Karla de Sousa Araújo",$B:$B,"&lt;&gt;Lorena Dias de Araujo",$B:$B,"&lt;&gt;Lucas Luiz Romero")*(28/1083),IF(C2567="Técnico I",SUMIFS($D:$D,$A:$A,$A2567,$B:$B,"&lt;&gt;Patrícia Karla de Sousa Araújo",$B:$B,"&lt;&gt;Lorena Dias de Araujo",$B:$B,"&lt;&gt;Lucas Luiz Romero")*(23/1083),IF(C2567="JR",SUMIFS($D:$D,$A:$A,$A2567,$B:$B,"&lt;&gt;Patrícia Karla de Sousa Araújo",$B:$B,"&lt;&gt;Lorena Dias de Araujo",$B:$B,"&lt;&gt;Lucas Luiz Romero")*(20/1083),IF(C2567="Estágio",SUMIFS($D:$D,$A:$A,$A2567,$B:$B,"&lt;&gt;Patrícia Karla de Sousa Araújo",$B:$B,"&lt;&gt;Lorena Dias de Araujo",$B:$B,"&lt;&gt;Lucas Luiz Romero")*(10/1083),0)))))),0)</f>
        <v>19</v>
      </c>
      <c r="K2567" s="3">
        <f>I2567-J2567</f>
        <v>4</v>
      </c>
      <c r="L2567" s="3" t="str">
        <f>IF(K2567&lt;-5,"CRÍTICO",IF(K2567&lt;0,"ATENÇÃO",IF(K2567&lt;=5,"BOM","EXCELENTE")))</f>
        <v>BOM</v>
      </c>
      <c r="M2567">
        <v>21</v>
      </c>
      <c r="N2567">
        <v>94.16</v>
      </c>
      <c r="O2567">
        <v>27.038626609442058</v>
      </c>
    </row>
    <row r="2568" spans="1:15" hidden="1" x14ac:dyDescent="0.25">
      <c r="A2568" s="11">
        <v>46080</v>
      </c>
      <c r="B2568" t="s">
        <v>20</v>
      </c>
      <c r="C2568" t="s">
        <v>16</v>
      </c>
      <c r="D2568">
        <v>14</v>
      </c>
      <c r="E2568">
        <v>14</v>
      </c>
      <c r="F2568">
        <v>43.59</v>
      </c>
      <c r="G2568">
        <v>0</v>
      </c>
      <c r="H2568">
        <v>0</v>
      </c>
      <c r="I2568" s="3">
        <f>E2568+G2568+H2568</f>
        <v>14</v>
      </c>
      <c r="J2568" s="3">
        <f>ROUND(MIN(IF(C2568="Técnico III",35,IF(C2568="Técnico II",28,IF(C2568="Técnico I",23,IF(C2568="JR",20,IF(C2568="Estágio",10,0))))),IF(C2568="Técnico III",SUMIFS($D:$D,$A:$A,$A2568,$B:$B,"&lt;&gt;Patrícia Karla de Sousa Araújo",$B:$B,"&lt;&gt;Lorena Dias de Araujo",$B:$B,"&lt;&gt;Lucas Luiz Romero")*(35/1083),IF(C2568="Técnico II",SUMIFS($D:$D,$A:$A,$A2568,$B:$B,"&lt;&gt;Patrícia Karla de Sousa Araújo",$B:$B,"&lt;&gt;Lorena Dias de Araujo",$B:$B,"&lt;&gt;Lucas Luiz Romero")*(28/1083),IF(C2568="Técnico I",SUMIFS($D:$D,$A:$A,$A2568,$B:$B,"&lt;&gt;Patrícia Karla de Sousa Araújo",$B:$B,"&lt;&gt;Lorena Dias de Araujo",$B:$B,"&lt;&gt;Lucas Luiz Romero")*(23/1083),IF(C2568="JR",SUMIFS($D:$D,$A:$A,$A2568,$B:$B,"&lt;&gt;Patrícia Karla de Sousa Araújo",$B:$B,"&lt;&gt;Lorena Dias de Araujo",$B:$B,"&lt;&gt;Lucas Luiz Romero")*(20/1083),IF(C2568="Estágio",SUMIFS($D:$D,$A:$A,$A2568,$B:$B,"&lt;&gt;Patrícia Karla de Sousa Araújo",$B:$B,"&lt;&gt;Lorena Dias de Araujo",$B:$B,"&lt;&gt;Lucas Luiz Romero")*(10/1083),0)))))),0)</f>
        <v>6</v>
      </c>
      <c r="K2568" s="3">
        <f>I2568-J2568</f>
        <v>8</v>
      </c>
      <c r="L2568" s="3" t="str">
        <f>IF(K2568&lt;-5,"CRÍTICO",IF(K2568&lt;0,"ATENÇÃO",IF(K2568&lt;=5,"BOM","EXCELENTE")))</f>
        <v>EXCELENTE</v>
      </c>
      <c r="M2568">
        <v>7</v>
      </c>
      <c r="N2568">
        <v>93.75</v>
      </c>
      <c r="O2568">
        <v>19.31818181818182</v>
      </c>
    </row>
    <row r="2569" spans="1:15" hidden="1" x14ac:dyDescent="0.25">
      <c r="A2569" s="11">
        <v>46080</v>
      </c>
      <c r="B2569" t="s">
        <v>28</v>
      </c>
      <c r="C2569" t="s">
        <v>26</v>
      </c>
      <c r="D2569">
        <v>0</v>
      </c>
      <c r="E2569">
        <v>0</v>
      </c>
      <c r="F2569">
        <v>0</v>
      </c>
      <c r="G2569">
        <v>0</v>
      </c>
      <c r="H2569">
        <v>0</v>
      </c>
      <c r="I2569" s="3">
        <v>0</v>
      </c>
      <c r="J2569" s="3">
        <v>0</v>
      </c>
      <c r="K2569" s="3">
        <v>0</v>
      </c>
      <c r="L2569" s="3" t="str">
        <f>IF(K2569&lt;-5,"CRÍTICO",IF(K2569&lt;0,"ATENÇÃO",IF(K2569&lt;=5,"BOM","EXCELENTE")))</f>
        <v>BOM</v>
      </c>
      <c r="M2569">
        <v>0</v>
      </c>
      <c r="N2569">
        <v>0</v>
      </c>
      <c r="O2569">
        <v>0</v>
      </c>
    </row>
    <row r="2570" spans="1:15" hidden="1" x14ac:dyDescent="0.25">
      <c r="A2570" s="11">
        <v>46080</v>
      </c>
      <c r="B2570" t="s">
        <v>58</v>
      </c>
      <c r="C2570" t="s">
        <v>48</v>
      </c>
      <c r="D2570">
        <v>0</v>
      </c>
      <c r="E2570">
        <v>0</v>
      </c>
      <c r="F2570">
        <v>0</v>
      </c>
      <c r="G2570">
        <v>0</v>
      </c>
      <c r="H2570">
        <v>0</v>
      </c>
      <c r="I2570" s="3">
        <v>0</v>
      </c>
      <c r="J2570" s="3">
        <v>0</v>
      </c>
      <c r="K2570" s="3">
        <v>0</v>
      </c>
      <c r="L2570" s="3" t="str">
        <f>IF(K2570&lt;-5,"CRÍTICO",IF(K2570&lt;0,"ATENÇÃO",IF(K2570&lt;=5,"BOM","EXCELENTE")))</f>
        <v>BOM</v>
      </c>
      <c r="M2570">
        <v>0</v>
      </c>
      <c r="N2570">
        <v>97.92</v>
      </c>
      <c r="O2570">
        <v>32.87671232876712</v>
      </c>
    </row>
    <row r="2571" spans="1:15" hidden="1" x14ac:dyDescent="0.25">
      <c r="A2571" s="11">
        <v>46080</v>
      </c>
      <c r="B2571" t="s">
        <v>29</v>
      </c>
      <c r="C2571" t="s">
        <v>26</v>
      </c>
      <c r="D2571">
        <v>0</v>
      </c>
      <c r="E2571">
        <v>0</v>
      </c>
      <c r="F2571">
        <v>0</v>
      </c>
      <c r="G2571">
        <v>0</v>
      </c>
      <c r="H2571">
        <v>0</v>
      </c>
      <c r="I2571" s="3">
        <v>0</v>
      </c>
      <c r="J2571" s="3">
        <v>0</v>
      </c>
      <c r="K2571" s="3">
        <v>0</v>
      </c>
      <c r="L2571" s="3" t="str">
        <f>IF(K2571&lt;-5,"CRÍTICO",IF(K2571&lt;0,"ATENÇÃO",IF(K2571&lt;=5,"BOM","EXCELENTE")))</f>
        <v>BOM</v>
      </c>
      <c r="M2571">
        <v>0</v>
      </c>
      <c r="N2571">
        <v>0</v>
      </c>
      <c r="O2571">
        <v>0</v>
      </c>
    </row>
    <row r="2572" spans="1:15" hidden="1" x14ac:dyDescent="0.25">
      <c r="A2572" s="11">
        <v>46080</v>
      </c>
      <c r="B2572" t="s">
        <v>30</v>
      </c>
      <c r="C2572" t="s">
        <v>26</v>
      </c>
      <c r="D2572">
        <v>0</v>
      </c>
      <c r="E2572">
        <v>0</v>
      </c>
      <c r="F2572">
        <v>0</v>
      </c>
      <c r="G2572">
        <v>0</v>
      </c>
      <c r="H2572">
        <v>0</v>
      </c>
      <c r="I2572" s="3">
        <v>0</v>
      </c>
      <c r="J2572" s="3">
        <v>0</v>
      </c>
      <c r="K2572" s="3">
        <v>0</v>
      </c>
      <c r="L2572" s="3" t="str">
        <f>IF(K2572&lt;-5,"CRÍTICO",IF(K2572&lt;0,"ATENÇÃO",IF(K2572&lt;=5,"BOM","EXCELENTE")))</f>
        <v>BOM</v>
      </c>
      <c r="M2572">
        <v>0</v>
      </c>
      <c r="N2572">
        <v>0</v>
      </c>
      <c r="O2572">
        <v>0</v>
      </c>
    </row>
    <row r="2573" spans="1:15" hidden="1" x14ac:dyDescent="0.25">
      <c r="A2573" s="11">
        <v>46080</v>
      </c>
      <c r="B2573" t="s">
        <v>21</v>
      </c>
      <c r="C2573" t="s">
        <v>16</v>
      </c>
      <c r="D2573">
        <v>0</v>
      </c>
      <c r="E2573">
        <v>0</v>
      </c>
      <c r="F2573">
        <v>0</v>
      </c>
      <c r="G2573">
        <v>0</v>
      </c>
      <c r="H2573">
        <v>0</v>
      </c>
      <c r="I2573" s="3">
        <v>0</v>
      </c>
      <c r="J2573" s="3">
        <v>0</v>
      </c>
      <c r="K2573" s="3">
        <v>0</v>
      </c>
      <c r="L2573" s="3" t="str">
        <f>IF(K2573&lt;-5,"CRÍTICO",IF(K2573&lt;0,"ATENÇÃO",IF(K2573&lt;=5,"BOM","EXCELENTE")))</f>
        <v>BOM</v>
      </c>
      <c r="M2573">
        <v>0</v>
      </c>
      <c r="N2573">
        <v>0</v>
      </c>
      <c r="O2573">
        <v>0</v>
      </c>
    </row>
    <row r="2574" spans="1:15" hidden="1" x14ac:dyDescent="0.25">
      <c r="A2574" s="11">
        <v>46080</v>
      </c>
      <c r="B2574" t="s">
        <v>63</v>
      </c>
      <c r="C2574" t="s">
        <v>23</v>
      </c>
      <c r="D2574">
        <v>22</v>
      </c>
      <c r="E2574">
        <v>22</v>
      </c>
      <c r="F2574">
        <v>33.549999999999997</v>
      </c>
      <c r="G2574">
        <v>0</v>
      </c>
      <c r="H2574">
        <v>0</v>
      </c>
      <c r="I2574" s="3">
        <f>E2574+G2574+H2574</f>
        <v>22</v>
      </c>
      <c r="J2574" s="3">
        <f>ROUND(MIN(IF(C2574="Técnico III",35,IF(C2574="Técnico II",28,IF(C2574="Técnico I",23,IF(C2574="JR",20,IF(C2574="Estágio",10,0))))),IF(C2574="Técnico III",SUMIFS($D:$D,$A:$A,$A2574,$B:$B,"&lt;&gt;Patrícia Karla de Sousa Araújo",$B:$B,"&lt;&gt;Lorena Dias de Araujo",$B:$B,"&lt;&gt;Lucas Luiz Romero")*(35/1083),IF(C2574="Técnico II",SUMIFS($D:$D,$A:$A,$A2574,$B:$B,"&lt;&gt;Patrícia Karla de Sousa Araújo",$B:$B,"&lt;&gt;Lorena Dias de Araujo",$B:$B,"&lt;&gt;Lucas Luiz Romero")*(28/1083),IF(C2574="Técnico I",SUMIFS($D:$D,$A:$A,$A2574,$B:$B,"&lt;&gt;Patrícia Karla de Sousa Araújo",$B:$B,"&lt;&gt;Lorena Dias de Araujo",$B:$B,"&lt;&gt;Lucas Luiz Romero")*(23/1083),IF(C2574="JR",SUMIFS($D:$D,$A:$A,$A2574,$B:$B,"&lt;&gt;Patrícia Karla de Sousa Araújo",$B:$B,"&lt;&gt;Lorena Dias de Araujo",$B:$B,"&lt;&gt;Lucas Luiz Romero")*(20/1083),IF(C2574="Estágio",SUMIFS($D:$D,$A:$A,$A2574,$B:$B,"&lt;&gt;Patrícia Karla de Sousa Araújo",$B:$B,"&lt;&gt;Lorena Dias de Araujo",$B:$B,"&lt;&gt;Lucas Luiz Romero")*(10/1083),0)))))),0)</f>
        <v>13</v>
      </c>
      <c r="K2574" s="3">
        <f>I2574-J2574</f>
        <v>9</v>
      </c>
      <c r="L2574" s="3" t="str">
        <f>IF(K2574&lt;-5,"CRÍTICO",IF(K2574&lt;0,"ATENÇÃO",IF(K2574&lt;=5,"BOM","EXCELENTE")))</f>
        <v>EXCELENTE</v>
      </c>
      <c r="M2574">
        <v>20</v>
      </c>
      <c r="N2574">
        <v>98.51</v>
      </c>
      <c r="O2574">
        <v>29.710144927536231</v>
      </c>
    </row>
    <row r="2575" spans="1:15" hidden="1" x14ac:dyDescent="0.25">
      <c r="A2575" s="11">
        <v>46080</v>
      </c>
      <c r="B2575" t="s">
        <v>45</v>
      </c>
      <c r="C2575" t="s">
        <v>32</v>
      </c>
      <c r="D2575">
        <v>36</v>
      </c>
      <c r="E2575">
        <v>28</v>
      </c>
      <c r="F2575">
        <v>17.28</v>
      </c>
      <c r="G2575">
        <v>0</v>
      </c>
      <c r="H2575">
        <v>0</v>
      </c>
      <c r="I2575" s="3">
        <f>E2575+G2575+H2575</f>
        <v>28</v>
      </c>
      <c r="J2575" s="3">
        <f>ROUND(MIN(IF(C2575="Técnico III",35,IF(C2575="Técnico II",28,IF(C2575="Técnico I",23,IF(C2575="JR",20,IF(C2575="Estágio",10,0))))),IF(C2575="Técnico III",SUMIFS($D:$D,$A:$A,$A2575,$B:$B,"&lt;&gt;Patrícia Karla de Sousa Araújo",$B:$B,"&lt;&gt;Lorena Dias de Araujo",$B:$B,"&lt;&gt;Lucas Luiz Romero")*(35/1083),IF(C2575="Técnico II",SUMIFS($D:$D,$A:$A,$A2575,$B:$B,"&lt;&gt;Patrícia Karla de Sousa Araújo",$B:$B,"&lt;&gt;Lorena Dias de Araujo",$B:$B,"&lt;&gt;Lucas Luiz Romero")*(28/1083),IF(C2575="Técnico I",SUMIFS($D:$D,$A:$A,$A2575,$B:$B,"&lt;&gt;Patrícia Karla de Sousa Araújo",$B:$B,"&lt;&gt;Lorena Dias de Araujo",$B:$B,"&lt;&gt;Lucas Luiz Romero")*(23/1083),IF(C2575="JR",SUMIFS($D:$D,$A:$A,$A2575,$B:$B,"&lt;&gt;Patrícia Karla de Sousa Araújo",$B:$B,"&lt;&gt;Lorena Dias de Araujo",$B:$B,"&lt;&gt;Lucas Luiz Romero")*(20/1083),IF(C2575="Estágio",SUMIFS($D:$D,$A:$A,$A2575,$B:$B,"&lt;&gt;Patrícia Karla de Sousa Araújo",$B:$B,"&lt;&gt;Lorena Dias de Araujo",$B:$B,"&lt;&gt;Lucas Luiz Romero")*(10/1083),0)))))),0)</f>
        <v>19</v>
      </c>
      <c r="K2575" s="3">
        <f>I2575-J2575</f>
        <v>9</v>
      </c>
      <c r="L2575" s="3" t="str">
        <f>IF(K2575&lt;-5,"CRÍTICO",IF(K2575&lt;0,"ATENÇÃO",IF(K2575&lt;=5,"BOM","EXCELENTE")))</f>
        <v>EXCELENTE</v>
      </c>
      <c r="M2575">
        <v>23</v>
      </c>
      <c r="N2575">
        <v>98.81</v>
      </c>
      <c r="O2575">
        <v>30.712979890310791</v>
      </c>
    </row>
    <row r="2576" spans="1:15" hidden="1" x14ac:dyDescent="0.25">
      <c r="A2576" s="11">
        <v>46080</v>
      </c>
      <c r="B2576" t="s">
        <v>64</v>
      </c>
      <c r="C2576" t="s">
        <v>23</v>
      </c>
      <c r="D2576">
        <v>11</v>
      </c>
      <c r="E2576">
        <v>10</v>
      </c>
      <c r="F2576">
        <v>42.3</v>
      </c>
      <c r="G2576">
        <v>0</v>
      </c>
      <c r="H2576">
        <v>0</v>
      </c>
      <c r="I2576" s="3">
        <f>E2576+G2576+H2576</f>
        <v>10</v>
      </c>
      <c r="J2576" s="3">
        <f>ROUND(MIN(IF(C2576="Técnico III",35,IF(C2576="Técnico II",28,IF(C2576="Técnico I",23,IF(C2576="JR",20,IF(C2576="Estágio",10,0))))),IF(C2576="Técnico III",SUMIFS($D:$D,$A:$A,$A2576,$B:$B,"&lt;&gt;Patrícia Karla de Sousa Araújo",$B:$B,"&lt;&gt;Lorena Dias de Araujo",$B:$B,"&lt;&gt;Lucas Luiz Romero")*(35/1083),IF(C2576="Técnico II",SUMIFS($D:$D,$A:$A,$A2576,$B:$B,"&lt;&gt;Patrícia Karla de Sousa Araújo",$B:$B,"&lt;&gt;Lorena Dias de Araujo",$B:$B,"&lt;&gt;Lucas Luiz Romero")*(28/1083),IF(C2576="Técnico I",SUMIFS($D:$D,$A:$A,$A2576,$B:$B,"&lt;&gt;Patrícia Karla de Sousa Araújo",$B:$B,"&lt;&gt;Lorena Dias de Araujo",$B:$B,"&lt;&gt;Lucas Luiz Romero")*(23/1083),IF(C2576="JR",SUMIFS($D:$D,$A:$A,$A2576,$B:$B,"&lt;&gt;Patrícia Karla de Sousa Araújo",$B:$B,"&lt;&gt;Lorena Dias de Araujo",$B:$B,"&lt;&gt;Lucas Luiz Romero")*(20/1083),IF(C2576="Estágio",SUMIFS($D:$D,$A:$A,$A2576,$B:$B,"&lt;&gt;Patrícia Karla de Sousa Araújo",$B:$B,"&lt;&gt;Lorena Dias de Araujo",$B:$B,"&lt;&gt;Lucas Luiz Romero")*(10/1083),0)))))),0)</f>
        <v>13</v>
      </c>
      <c r="K2576" s="3">
        <f>I2576-J2576</f>
        <v>-3</v>
      </c>
      <c r="L2576" s="3" t="str">
        <f>IF(K2576&lt;-5,"CRÍTICO",IF(K2576&lt;0,"ATENÇÃO",IF(K2576&lt;=5,"BOM","EXCELENTE")))</f>
        <v>ATENÇÃO</v>
      </c>
      <c r="M2576">
        <v>9</v>
      </c>
      <c r="N2576">
        <v>98.48</v>
      </c>
      <c r="O2576">
        <v>29.35323383084577</v>
      </c>
    </row>
    <row r="2577" spans="1:15" hidden="1" x14ac:dyDescent="0.25">
      <c r="A2577" s="11">
        <v>46080</v>
      </c>
      <c r="B2577" t="s">
        <v>46</v>
      </c>
      <c r="C2577" t="s">
        <v>32</v>
      </c>
      <c r="D2577">
        <v>21</v>
      </c>
      <c r="E2577">
        <v>17</v>
      </c>
      <c r="F2577">
        <v>22.13</v>
      </c>
      <c r="G2577">
        <v>0</v>
      </c>
      <c r="H2577">
        <v>0</v>
      </c>
      <c r="I2577" s="3">
        <f>E2577+G2577+H2577</f>
        <v>17</v>
      </c>
      <c r="J2577" s="3">
        <f>ROUND(MIN(IF(C2577="Técnico III",35,IF(C2577="Técnico II",28,IF(C2577="Técnico I",23,IF(C2577="JR",20,IF(C2577="Estágio",10,0))))),IF(C2577="Técnico III",SUMIFS($D:$D,$A:$A,$A2577,$B:$B,"&lt;&gt;Patrícia Karla de Sousa Araújo",$B:$B,"&lt;&gt;Lorena Dias de Araujo",$B:$B,"&lt;&gt;Lucas Luiz Romero")*(35/1083),IF(C2577="Técnico II",SUMIFS($D:$D,$A:$A,$A2577,$B:$B,"&lt;&gt;Patrícia Karla de Sousa Araújo",$B:$B,"&lt;&gt;Lorena Dias de Araujo",$B:$B,"&lt;&gt;Lucas Luiz Romero")*(28/1083),IF(C2577="Técnico I",SUMIFS($D:$D,$A:$A,$A2577,$B:$B,"&lt;&gt;Patrícia Karla de Sousa Araújo",$B:$B,"&lt;&gt;Lorena Dias de Araujo",$B:$B,"&lt;&gt;Lucas Luiz Romero")*(23/1083),IF(C2577="JR",SUMIFS($D:$D,$A:$A,$A2577,$B:$B,"&lt;&gt;Patrícia Karla de Sousa Araújo",$B:$B,"&lt;&gt;Lorena Dias de Araujo",$B:$B,"&lt;&gt;Lucas Luiz Romero")*(20/1083),IF(C2577="Estágio",SUMIFS($D:$D,$A:$A,$A2577,$B:$B,"&lt;&gt;Patrícia Karla de Sousa Araújo",$B:$B,"&lt;&gt;Lorena Dias de Araujo",$B:$B,"&lt;&gt;Lucas Luiz Romero")*(10/1083),0)))))),0)</f>
        <v>19</v>
      </c>
      <c r="K2577" s="3">
        <f>I2577-J2577</f>
        <v>-2</v>
      </c>
      <c r="L2577" s="3" t="str">
        <f>IF(K2577&lt;-5,"CRÍTICO",IF(K2577&lt;0,"ATENÇÃO",IF(K2577&lt;=5,"BOM","EXCELENTE")))</f>
        <v>ATENÇÃO</v>
      </c>
      <c r="M2577">
        <v>17</v>
      </c>
      <c r="N2577">
        <v>98.56</v>
      </c>
      <c r="O2577">
        <v>29.373650107991359</v>
      </c>
    </row>
    <row r="2578" spans="1:15" hidden="1" x14ac:dyDescent="0.25">
      <c r="A2578" s="11">
        <v>46083</v>
      </c>
      <c r="B2578" t="s">
        <v>47</v>
      </c>
      <c r="C2578" t="s">
        <v>48</v>
      </c>
      <c r="D2578">
        <v>34</v>
      </c>
      <c r="E2578">
        <v>30</v>
      </c>
      <c r="F2578">
        <v>20.190000000000001</v>
      </c>
      <c r="G2578">
        <v>0</v>
      </c>
      <c r="H2578">
        <v>0</v>
      </c>
      <c r="I2578" s="3">
        <f>E2578+G2578+H2578</f>
        <v>30</v>
      </c>
      <c r="J2578" s="3">
        <f>ROUND(MIN(IF(C2578="Técnico III",35,IF(C2578="Técnico II",28,IF(C2578="Técnico I",23,IF(C2578="JR",20,IF(C2578="Estágio",10,0))))),IF(C2578="Técnico III",SUMIFS($D:$D,$A:$A,$A2578,$B:$B,"&lt;&gt;Patrícia Karla de Sousa Araújo",$B:$B,"&lt;&gt;Lorena Dias de Araujo",$B:$B,"&lt;&gt;Lucas Luiz Romero")*(35/1083),IF(C2578="Técnico II",SUMIFS($D:$D,$A:$A,$A2578,$B:$B,"&lt;&gt;Patrícia Karla de Sousa Araújo",$B:$B,"&lt;&gt;Lorena Dias de Araujo",$B:$B,"&lt;&gt;Lucas Luiz Romero")*(28/1083),IF(C2578="Técnico I",SUMIFS($D:$D,$A:$A,$A2578,$B:$B,"&lt;&gt;Patrícia Karla de Sousa Araújo",$B:$B,"&lt;&gt;Lorena Dias de Araujo",$B:$B,"&lt;&gt;Lucas Luiz Romero")*(23/1083),IF(C2578="JR",SUMIFS($D:$D,$A:$A,$A2578,$B:$B,"&lt;&gt;Patrícia Karla de Sousa Araújo",$B:$B,"&lt;&gt;Lorena Dias de Araujo",$B:$B,"&lt;&gt;Lucas Luiz Romero")*(20/1083),IF(C2578="Estágio",SUMIFS($D:$D,$A:$A,$A2578,$B:$B,"&lt;&gt;Patrícia Karla de Sousa Araújo",$B:$B,"&lt;&gt;Lorena Dias de Araujo",$B:$B,"&lt;&gt;Lucas Luiz Romero")*(10/1083),0)))))),0)</f>
        <v>22</v>
      </c>
      <c r="K2578" s="3">
        <f>I2578-J2578</f>
        <v>8</v>
      </c>
      <c r="L2578" s="3" t="str">
        <f>IF(K2578&lt;-5,"CRÍTICO",IF(K2578&lt;0,"ATENÇÃO",IF(K2578&lt;=5,"BOM","EXCELENTE")))</f>
        <v>EXCELENTE</v>
      </c>
      <c r="M2578">
        <v>22</v>
      </c>
      <c r="N2578">
        <v>94.29</v>
      </c>
      <c r="O2578">
        <v>25.647668393782389</v>
      </c>
    </row>
    <row r="2579" spans="1:15" hidden="1" x14ac:dyDescent="0.25">
      <c r="A2579" s="11">
        <v>46083</v>
      </c>
      <c r="B2579" t="s">
        <v>31</v>
      </c>
      <c r="C2579" t="s">
        <v>32</v>
      </c>
      <c r="D2579">
        <v>0</v>
      </c>
      <c r="E2579">
        <v>0</v>
      </c>
      <c r="F2579">
        <v>0</v>
      </c>
      <c r="G2579">
        <v>0</v>
      </c>
      <c r="H2579">
        <v>0</v>
      </c>
      <c r="I2579" s="3">
        <v>0</v>
      </c>
      <c r="J2579" s="3">
        <v>0</v>
      </c>
      <c r="K2579" s="3">
        <v>0</v>
      </c>
      <c r="L2579" s="3" t="str">
        <f>IF(K2579&lt;-5,"CRÍTICO",IF(K2579&lt;0,"ATENÇÃO",IF(K2579&lt;=5,"BOM","EXCELENTE")))</f>
        <v>BOM</v>
      </c>
      <c r="M2579">
        <v>23</v>
      </c>
      <c r="N2579">
        <v>98.26</v>
      </c>
      <c r="O2579">
        <v>26.666666666666671</v>
      </c>
    </row>
    <row r="2580" spans="1:15" hidden="1" x14ac:dyDescent="0.25">
      <c r="A2580" s="11">
        <v>46083</v>
      </c>
      <c r="B2580" t="s">
        <v>59</v>
      </c>
      <c r="C2580" t="s">
        <v>23</v>
      </c>
      <c r="D2580">
        <v>24</v>
      </c>
      <c r="E2580">
        <v>20</v>
      </c>
      <c r="F2580">
        <v>18.27</v>
      </c>
      <c r="G2580">
        <v>0</v>
      </c>
      <c r="H2580">
        <v>0</v>
      </c>
      <c r="I2580" s="3">
        <f>E2580+G2580+H2580</f>
        <v>20</v>
      </c>
      <c r="J2580" s="3">
        <f>ROUND(MIN(IF(C2580="Técnico III",35,IF(C2580="Técnico II",28,IF(C2580="Técnico I",23,IF(C2580="JR",20,IF(C2580="Estágio",10,0))))),IF(C2580="Técnico III",SUMIFS($D:$D,$A:$A,$A2580,$B:$B,"&lt;&gt;Patrícia Karla de Sousa Araújo",$B:$B,"&lt;&gt;Lorena Dias de Araujo",$B:$B,"&lt;&gt;Lucas Luiz Romero")*(35/1083),IF(C2580="Técnico II",SUMIFS($D:$D,$A:$A,$A2580,$B:$B,"&lt;&gt;Patrícia Karla de Sousa Araújo",$B:$B,"&lt;&gt;Lorena Dias de Araujo",$B:$B,"&lt;&gt;Lucas Luiz Romero")*(28/1083),IF(C2580="Técnico I",SUMIFS($D:$D,$A:$A,$A2580,$B:$B,"&lt;&gt;Patrícia Karla de Sousa Araújo",$B:$B,"&lt;&gt;Lorena Dias de Araujo",$B:$B,"&lt;&gt;Lucas Luiz Romero")*(23/1083),IF(C2580="JR",SUMIFS($D:$D,$A:$A,$A2580,$B:$B,"&lt;&gt;Patrícia Karla de Sousa Araújo",$B:$B,"&lt;&gt;Lorena Dias de Araujo",$B:$B,"&lt;&gt;Lucas Luiz Romero")*(20/1083),IF(C2580="Estágio",SUMIFS($D:$D,$A:$A,$A2580,$B:$B,"&lt;&gt;Patrícia Karla de Sousa Araújo",$B:$B,"&lt;&gt;Lorena Dias de Araujo",$B:$B,"&lt;&gt;Lucas Luiz Romero")*(10/1083),0)))))),0)</f>
        <v>18</v>
      </c>
      <c r="K2580" s="3">
        <f>I2580-J2580</f>
        <v>2</v>
      </c>
      <c r="L2580" s="3" t="str">
        <f>IF(K2580&lt;-5,"CRÍTICO",IF(K2580&lt;0,"ATENÇÃO",IF(K2580&lt;=5,"BOM","EXCELENTE")))</f>
        <v>BOM</v>
      </c>
      <c r="M2580">
        <v>21</v>
      </c>
      <c r="N2580">
        <v>98.2</v>
      </c>
      <c r="O2580">
        <v>23.37962962962963</v>
      </c>
    </row>
    <row r="2581" spans="1:15" hidden="1" x14ac:dyDescent="0.25">
      <c r="A2581" s="11">
        <v>46083</v>
      </c>
      <c r="B2581" t="s">
        <v>33</v>
      </c>
      <c r="C2581" t="s">
        <v>32</v>
      </c>
      <c r="D2581">
        <v>24</v>
      </c>
      <c r="E2581">
        <v>24</v>
      </c>
      <c r="F2581">
        <v>30.47</v>
      </c>
      <c r="G2581">
        <v>0</v>
      </c>
      <c r="H2581">
        <v>0</v>
      </c>
      <c r="I2581" s="3">
        <f>E2581+G2581+H2581</f>
        <v>24</v>
      </c>
      <c r="J2581" s="3">
        <f>ROUND(MIN(IF(C2581="Técnico III",35,IF(C2581="Técnico II",28,IF(C2581="Técnico I",23,IF(C2581="JR",20,IF(C2581="Estágio",10,0))))),IF(C2581="Técnico III",SUMIFS($D:$D,$A:$A,$A2581,$B:$B,"&lt;&gt;Patrícia Karla de Sousa Araújo",$B:$B,"&lt;&gt;Lorena Dias de Araujo",$B:$B,"&lt;&gt;Lucas Luiz Romero")*(35/1083),IF(C2581="Técnico II",SUMIFS($D:$D,$A:$A,$A2581,$B:$B,"&lt;&gt;Patrícia Karla de Sousa Araújo",$B:$B,"&lt;&gt;Lorena Dias de Araujo",$B:$B,"&lt;&gt;Lucas Luiz Romero")*(28/1083),IF(C2581="Técnico I",SUMIFS($D:$D,$A:$A,$A2581,$B:$B,"&lt;&gt;Patrícia Karla de Sousa Araújo",$B:$B,"&lt;&gt;Lorena Dias de Araujo",$B:$B,"&lt;&gt;Lucas Luiz Romero")*(23/1083),IF(C2581="JR",SUMIFS($D:$D,$A:$A,$A2581,$B:$B,"&lt;&gt;Patrícia Karla de Sousa Araújo",$B:$B,"&lt;&gt;Lorena Dias de Araujo",$B:$B,"&lt;&gt;Lucas Luiz Romero")*(20/1083),IF(C2581="Estágio",SUMIFS($D:$D,$A:$A,$A2581,$B:$B,"&lt;&gt;Patrícia Karla de Sousa Araújo",$B:$B,"&lt;&gt;Lorena Dias de Araujo",$B:$B,"&lt;&gt;Lucas Luiz Romero")*(10/1083),0)))))),0)</f>
        <v>27</v>
      </c>
      <c r="K2581" s="3">
        <f>I2581-J2581</f>
        <v>-3</v>
      </c>
      <c r="L2581" s="3" t="str">
        <f>IF(K2581&lt;-5,"CRÍTICO",IF(K2581&lt;0,"ATENÇÃO",IF(K2581&lt;=5,"BOM","EXCELENTE")))</f>
        <v>ATENÇÃO</v>
      </c>
      <c r="M2581">
        <v>19</v>
      </c>
      <c r="N2581">
        <v>97.3</v>
      </c>
      <c r="O2581">
        <v>23.84769539078156</v>
      </c>
    </row>
    <row r="2582" spans="1:15" hidden="1" x14ac:dyDescent="0.25">
      <c r="A2582" s="11">
        <v>46083</v>
      </c>
      <c r="B2582" t="s">
        <v>15</v>
      </c>
      <c r="C2582" t="s">
        <v>16</v>
      </c>
      <c r="D2582">
        <v>0</v>
      </c>
      <c r="E2582">
        <v>0</v>
      </c>
      <c r="F2582">
        <v>0</v>
      </c>
      <c r="G2582">
        <v>0</v>
      </c>
      <c r="H2582">
        <v>0</v>
      </c>
      <c r="I2582" s="3">
        <v>0</v>
      </c>
      <c r="J2582" s="3">
        <v>0</v>
      </c>
      <c r="K2582" s="3">
        <v>0</v>
      </c>
      <c r="L2582" s="3" t="str">
        <f>IF(K2582&lt;-5,"CRÍTICO",IF(K2582&lt;0,"ATENÇÃO",IF(K2582&lt;=5,"BOM","EXCELENTE")))</f>
        <v>BOM</v>
      </c>
      <c r="M2582">
        <v>0</v>
      </c>
      <c r="N2582">
        <v>100</v>
      </c>
      <c r="O2582">
        <v>25.268817204301079</v>
      </c>
    </row>
    <row r="2583" spans="1:15" hidden="1" x14ac:dyDescent="0.25">
      <c r="A2583" s="11">
        <v>46083</v>
      </c>
      <c r="B2583" t="s">
        <v>49</v>
      </c>
      <c r="C2583" t="s">
        <v>48</v>
      </c>
      <c r="D2583">
        <v>55</v>
      </c>
      <c r="E2583">
        <v>48</v>
      </c>
      <c r="F2583">
        <v>12.31</v>
      </c>
      <c r="G2583">
        <v>0</v>
      </c>
      <c r="H2583">
        <v>0</v>
      </c>
      <c r="I2583" s="3">
        <f>E2583+G2583+H2583</f>
        <v>48</v>
      </c>
      <c r="J2583" s="3">
        <f>ROUND(MIN(IF(C2583="Técnico III",35,IF(C2583="Técnico II",28,IF(C2583="Técnico I",23,IF(C2583="JR",20,IF(C2583="Estágio",10,0))))),IF(C2583="Técnico III",SUMIFS($D:$D,$A:$A,$A2583,$B:$B,"&lt;&gt;Patrícia Karla de Sousa Araújo",$B:$B,"&lt;&gt;Lorena Dias de Araujo",$B:$B,"&lt;&gt;Lucas Luiz Romero")*(35/1083),IF(C2583="Técnico II",SUMIFS($D:$D,$A:$A,$A2583,$B:$B,"&lt;&gt;Patrícia Karla de Sousa Araújo",$B:$B,"&lt;&gt;Lorena Dias de Araujo",$B:$B,"&lt;&gt;Lucas Luiz Romero")*(28/1083),IF(C2583="Técnico I",SUMIFS($D:$D,$A:$A,$A2583,$B:$B,"&lt;&gt;Patrícia Karla de Sousa Araújo",$B:$B,"&lt;&gt;Lorena Dias de Araujo",$B:$B,"&lt;&gt;Lucas Luiz Romero")*(23/1083),IF(C2583="JR",SUMIFS($D:$D,$A:$A,$A2583,$B:$B,"&lt;&gt;Patrícia Karla de Sousa Araújo",$B:$B,"&lt;&gt;Lorena Dias de Araujo",$B:$B,"&lt;&gt;Lucas Luiz Romero")*(20/1083),IF(C2583="Estágio",SUMIFS($D:$D,$A:$A,$A2583,$B:$B,"&lt;&gt;Patrícia Karla de Sousa Araújo",$B:$B,"&lt;&gt;Lorena Dias de Araujo",$B:$B,"&lt;&gt;Lucas Luiz Romero")*(10/1083),0)))))),0)</f>
        <v>22</v>
      </c>
      <c r="K2583" s="3">
        <f>I2583-J2583</f>
        <v>26</v>
      </c>
      <c r="L2583" s="3" t="str">
        <f>IF(K2583&lt;-5,"CRÍTICO",IF(K2583&lt;0,"ATENÇÃO",IF(K2583&lt;=5,"BOM","EXCELENTE")))</f>
        <v>EXCELENTE</v>
      </c>
      <c r="M2583">
        <v>47</v>
      </c>
      <c r="N2583">
        <v>99.32</v>
      </c>
      <c r="O2583">
        <v>22.822822822822818</v>
      </c>
    </row>
    <row r="2584" spans="1:15" hidden="1" x14ac:dyDescent="0.25">
      <c r="A2584" s="11">
        <v>46083</v>
      </c>
      <c r="B2584" t="s">
        <v>50</v>
      </c>
      <c r="C2584" t="s">
        <v>48</v>
      </c>
      <c r="D2584">
        <v>20</v>
      </c>
      <c r="E2584">
        <v>20</v>
      </c>
      <c r="F2584">
        <v>32.090000000000003</v>
      </c>
      <c r="G2584">
        <v>0</v>
      </c>
      <c r="H2584">
        <v>0</v>
      </c>
      <c r="I2584" s="3">
        <f>E2584+G2584+H2584</f>
        <v>20</v>
      </c>
      <c r="J2584" s="3">
        <f>ROUND(MIN(IF(C2584="Técnico III",35,IF(C2584="Técnico II",28,IF(C2584="Técnico I",23,IF(C2584="JR",20,IF(C2584="Estágio",10,0))))),IF(C2584="Técnico III",SUMIFS($D:$D,$A:$A,$A2584,$B:$B,"&lt;&gt;Patrícia Karla de Sousa Araújo",$B:$B,"&lt;&gt;Lorena Dias de Araujo",$B:$B,"&lt;&gt;Lucas Luiz Romero")*(35/1083),IF(C2584="Técnico II",SUMIFS($D:$D,$A:$A,$A2584,$B:$B,"&lt;&gt;Patrícia Karla de Sousa Araújo",$B:$B,"&lt;&gt;Lorena Dias de Araujo",$B:$B,"&lt;&gt;Lucas Luiz Romero")*(28/1083),IF(C2584="Técnico I",SUMIFS($D:$D,$A:$A,$A2584,$B:$B,"&lt;&gt;Patrícia Karla de Sousa Araújo",$B:$B,"&lt;&gt;Lorena Dias de Araujo",$B:$B,"&lt;&gt;Lucas Luiz Romero")*(23/1083),IF(C2584="JR",SUMIFS($D:$D,$A:$A,$A2584,$B:$B,"&lt;&gt;Patrícia Karla de Sousa Araújo",$B:$B,"&lt;&gt;Lorena Dias de Araujo",$B:$B,"&lt;&gt;Lucas Luiz Romero")*(20/1083),IF(C2584="Estágio",SUMIFS($D:$D,$A:$A,$A2584,$B:$B,"&lt;&gt;Patrícia Karla de Sousa Araújo",$B:$B,"&lt;&gt;Lorena Dias de Araujo",$B:$B,"&lt;&gt;Lucas Luiz Romero")*(10/1083),0)))))),0)</f>
        <v>22</v>
      </c>
      <c r="K2584" s="3">
        <f>I2584-J2584</f>
        <v>-2</v>
      </c>
      <c r="L2584" s="3" t="str">
        <f>IF(K2584&lt;-5,"CRÍTICO",IF(K2584&lt;0,"ATENÇÃO",IF(K2584&lt;=5,"BOM","EXCELENTE")))</f>
        <v>ATENÇÃO</v>
      </c>
      <c r="M2584">
        <v>19</v>
      </c>
      <c r="N2584">
        <v>100</v>
      </c>
      <c r="O2584">
        <v>27.966101694915249</v>
      </c>
    </row>
    <row r="2585" spans="1:15" hidden="1" x14ac:dyDescent="0.25">
      <c r="A2585" s="11">
        <v>46083</v>
      </c>
      <c r="B2585" t="s">
        <v>17</v>
      </c>
      <c r="C2585" t="s">
        <v>16</v>
      </c>
      <c r="D2585">
        <v>0</v>
      </c>
      <c r="E2585">
        <v>0</v>
      </c>
      <c r="F2585">
        <v>0</v>
      </c>
      <c r="G2585">
        <v>0</v>
      </c>
      <c r="H2585">
        <v>0</v>
      </c>
      <c r="I2585" s="3">
        <v>0</v>
      </c>
      <c r="J2585" s="3">
        <v>0</v>
      </c>
      <c r="K2585" s="3">
        <v>0</v>
      </c>
      <c r="L2585" s="3" t="str">
        <f>IF(K2585&lt;-5,"CRÍTICO",IF(K2585&lt;0,"ATENÇÃO",IF(K2585&lt;=5,"BOM","EXCELENTE")))</f>
        <v>BOM</v>
      </c>
      <c r="M2585">
        <v>0</v>
      </c>
      <c r="N2585">
        <v>100</v>
      </c>
      <c r="O2585">
        <v>30.434782608695659</v>
      </c>
    </row>
    <row r="2586" spans="1:15" hidden="1" x14ac:dyDescent="0.25">
      <c r="A2586" s="11">
        <v>46083</v>
      </c>
      <c r="B2586" t="s">
        <v>60</v>
      </c>
      <c r="C2586" t="s">
        <v>23</v>
      </c>
      <c r="D2586">
        <v>21</v>
      </c>
      <c r="E2586">
        <v>21</v>
      </c>
      <c r="F2586">
        <v>28.49</v>
      </c>
      <c r="G2586">
        <v>0</v>
      </c>
      <c r="H2586">
        <v>0</v>
      </c>
      <c r="I2586" s="3">
        <f>E2586+G2586+H2586</f>
        <v>21</v>
      </c>
      <c r="J2586" s="3">
        <f>ROUND(MIN(IF(C2586="Técnico III",35,IF(C2586="Técnico II",28,IF(C2586="Técnico I",23,IF(C2586="JR",20,IF(C2586="Estágio",10,0))))),IF(C2586="Técnico III",SUMIFS($D:$D,$A:$A,$A2586,$B:$B,"&lt;&gt;Patrícia Karla de Sousa Araújo",$B:$B,"&lt;&gt;Lorena Dias de Araujo",$B:$B,"&lt;&gt;Lucas Luiz Romero")*(35/1083),IF(C2586="Técnico II",SUMIFS($D:$D,$A:$A,$A2586,$B:$B,"&lt;&gt;Patrícia Karla de Sousa Araújo",$B:$B,"&lt;&gt;Lorena Dias de Araujo",$B:$B,"&lt;&gt;Lucas Luiz Romero")*(28/1083),IF(C2586="Técnico I",SUMIFS($D:$D,$A:$A,$A2586,$B:$B,"&lt;&gt;Patrícia Karla de Sousa Araújo",$B:$B,"&lt;&gt;Lorena Dias de Araujo",$B:$B,"&lt;&gt;Lucas Luiz Romero")*(23/1083),IF(C2586="JR",SUMIFS($D:$D,$A:$A,$A2586,$B:$B,"&lt;&gt;Patrícia Karla de Sousa Araújo",$B:$B,"&lt;&gt;Lorena Dias de Araujo",$B:$B,"&lt;&gt;Lucas Luiz Romero")*(20/1083),IF(C2586="Estágio",SUMIFS($D:$D,$A:$A,$A2586,$B:$B,"&lt;&gt;Patrícia Karla de Sousa Araújo",$B:$B,"&lt;&gt;Lorena Dias de Araujo",$B:$B,"&lt;&gt;Lucas Luiz Romero")*(10/1083),0)))))),0)</f>
        <v>18</v>
      </c>
      <c r="K2586" s="3">
        <f>I2586-J2586</f>
        <v>3</v>
      </c>
      <c r="L2586" s="3" t="str">
        <f>IF(K2586&lt;-5,"CRÍTICO",IF(K2586&lt;0,"ATENÇÃO",IF(K2586&lt;=5,"BOM","EXCELENTE")))</f>
        <v>BOM</v>
      </c>
      <c r="M2586">
        <v>21</v>
      </c>
      <c r="N2586">
        <v>96.51</v>
      </c>
      <c r="O2586">
        <v>22.802850356294542</v>
      </c>
    </row>
    <row r="2587" spans="1:15" hidden="1" x14ac:dyDescent="0.25">
      <c r="A2587" s="11">
        <v>46083</v>
      </c>
      <c r="B2587" t="s">
        <v>34</v>
      </c>
      <c r="C2587" t="s">
        <v>32</v>
      </c>
      <c r="D2587">
        <v>39</v>
      </c>
      <c r="E2587">
        <v>37</v>
      </c>
      <c r="F2587">
        <v>12.26</v>
      </c>
      <c r="G2587">
        <v>0</v>
      </c>
      <c r="H2587">
        <v>0</v>
      </c>
      <c r="I2587" s="3">
        <f>E2587+G2587+H2587</f>
        <v>37</v>
      </c>
      <c r="J2587" s="3">
        <f>ROUND(MIN(IF(C2587="Técnico III",35,IF(C2587="Técnico II",28,IF(C2587="Técnico I",23,IF(C2587="JR",20,IF(C2587="Estágio",10,0))))),IF(C2587="Técnico III",SUMIFS($D:$D,$A:$A,$A2587,$B:$B,"&lt;&gt;Patrícia Karla de Sousa Araújo",$B:$B,"&lt;&gt;Lorena Dias de Araujo",$B:$B,"&lt;&gt;Lucas Luiz Romero")*(35/1083),IF(C2587="Técnico II",SUMIFS($D:$D,$A:$A,$A2587,$B:$B,"&lt;&gt;Patrícia Karla de Sousa Araújo",$B:$B,"&lt;&gt;Lorena Dias de Araujo",$B:$B,"&lt;&gt;Lucas Luiz Romero")*(28/1083),IF(C2587="Técnico I",SUMIFS($D:$D,$A:$A,$A2587,$B:$B,"&lt;&gt;Patrícia Karla de Sousa Araújo",$B:$B,"&lt;&gt;Lorena Dias de Araujo",$B:$B,"&lt;&gt;Lucas Luiz Romero")*(23/1083),IF(C2587="JR",SUMIFS($D:$D,$A:$A,$A2587,$B:$B,"&lt;&gt;Patrícia Karla de Sousa Araújo",$B:$B,"&lt;&gt;Lorena Dias de Araujo",$B:$B,"&lt;&gt;Lucas Luiz Romero")*(20/1083),IF(C2587="Estágio",SUMIFS($D:$D,$A:$A,$A2587,$B:$B,"&lt;&gt;Patrícia Karla de Sousa Araújo",$B:$B,"&lt;&gt;Lorena Dias de Araujo",$B:$B,"&lt;&gt;Lucas Luiz Romero")*(10/1083),0)))))),0)</f>
        <v>27</v>
      </c>
      <c r="K2587" s="3">
        <f>I2587-J2587</f>
        <v>10</v>
      </c>
      <c r="L2587" s="3" t="str">
        <f>IF(K2587&lt;-5,"CRÍTICO",IF(K2587&lt;0,"ATENÇÃO",IF(K2587&lt;=5,"BOM","EXCELENTE")))</f>
        <v>EXCELENTE</v>
      </c>
      <c r="M2587">
        <v>32</v>
      </c>
      <c r="N2587">
        <v>92.68</v>
      </c>
      <c r="O2587">
        <v>27.777777777777779</v>
      </c>
    </row>
    <row r="2588" spans="1:15" hidden="1" x14ac:dyDescent="0.25">
      <c r="A2588" s="11">
        <v>46083</v>
      </c>
      <c r="B2588" t="s">
        <v>51</v>
      </c>
      <c r="C2588" t="s">
        <v>48</v>
      </c>
      <c r="D2588">
        <v>31</v>
      </c>
      <c r="E2588">
        <v>31</v>
      </c>
      <c r="F2588">
        <v>23.24</v>
      </c>
      <c r="G2588">
        <v>0</v>
      </c>
      <c r="H2588">
        <v>0</v>
      </c>
      <c r="I2588" s="3">
        <v>0</v>
      </c>
      <c r="J2588" s="3">
        <v>0</v>
      </c>
      <c r="K2588" s="3">
        <v>0</v>
      </c>
      <c r="L2588" s="3" t="str">
        <f>IF(K2588&lt;-5,"CRÍTICO",IF(K2588&lt;0,"ATENÇÃO",IF(K2588&lt;=5,"BOM","EXCELENTE")))</f>
        <v>BOM</v>
      </c>
      <c r="M2588">
        <v>23</v>
      </c>
      <c r="N2588">
        <v>99.03</v>
      </c>
      <c r="O2588">
        <v>23.991507430997881</v>
      </c>
    </row>
    <row r="2589" spans="1:15" hidden="1" x14ac:dyDescent="0.25">
      <c r="A2589" s="11">
        <v>46083</v>
      </c>
      <c r="B2589" t="s">
        <v>61</v>
      </c>
      <c r="C2589" t="s">
        <v>23</v>
      </c>
      <c r="D2589">
        <v>7</v>
      </c>
      <c r="E2589">
        <v>6</v>
      </c>
      <c r="F2589">
        <v>37.369999999999997</v>
      </c>
      <c r="G2589">
        <v>0</v>
      </c>
      <c r="H2589">
        <v>0</v>
      </c>
      <c r="I2589" s="3">
        <f>E2589+G2589+H2589</f>
        <v>6</v>
      </c>
      <c r="J2589" s="3">
        <f>ROUND(MIN(IF(C2589="Técnico III",35,IF(C2589="Técnico II",28,IF(C2589="Técnico I",23,IF(C2589="JR",20,IF(C2589="Estágio",10,0))))),IF(C2589="Técnico III",SUMIFS($D:$D,$A:$A,$A2589,$B:$B,"&lt;&gt;Patrícia Karla de Sousa Araújo",$B:$B,"&lt;&gt;Lorena Dias de Araujo",$B:$B,"&lt;&gt;Lucas Luiz Romero")*(35/1083),IF(C2589="Técnico II",SUMIFS($D:$D,$A:$A,$A2589,$B:$B,"&lt;&gt;Patrícia Karla de Sousa Araújo",$B:$B,"&lt;&gt;Lorena Dias de Araujo",$B:$B,"&lt;&gt;Lucas Luiz Romero")*(28/1083),IF(C2589="Técnico I",SUMIFS($D:$D,$A:$A,$A2589,$B:$B,"&lt;&gt;Patrícia Karla de Sousa Araújo",$B:$B,"&lt;&gt;Lorena Dias de Araujo",$B:$B,"&lt;&gt;Lucas Luiz Romero")*(23/1083),IF(C2589="JR",SUMIFS($D:$D,$A:$A,$A2589,$B:$B,"&lt;&gt;Patrícia Karla de Sousa Araújo",$B:$B,"&lt;&gt;Lorena Dias de Araujo",$B:$B,"&lt;&gt;Lucas Luiz Romero")*(20/1083),IF(C2589="Estágio",SUMIFS($D:$D,$A:$A,$A2589,$B:$B,"&lt;&gt;Patrícia Karla de Sousa Araújo",$B:$B,"&lt;&gt;Lorena Dias de Araujo",$B:$B,"&lt;&gt;Lucas Luiz Romero")*(10/1083),0)))))),0)</f>
        <v>18</v>
      </c>
      <c r="K2589" s="3">
        <f>I2589-J2589</f>
        <v>-12</v>
      </c>
      <c r="L2589" s="3" t="str">
        <f>IF(K2589&lt;-5,"CRÍTICO",IF(K2589&lt;0,"ATENÇÃO",IF(K2589&lt;=5,"BOM","EXCELENTE")))</f>
        <v>CRÍTICO</v>
      </c>
      <c r="M2589">
        <v>3</v>
      </c>
      <c r="N2589">
        <v>98.41</v>
      </c>
      <c r="O2589">
        <v>28.138528138528141</v>
      </c>
    </row>
    <row r="2590" spans="1:15" hidden="1" x14ac:dyDescent="0.25">
      <c r="A2590" s="11">
        <v>46083</v>
      </c>
      <c r="B2590" t="s">
        <v>35</v>
      </c>
      <c r="C2590" t="s">
        <v>32</v>
      </c>
      <c r="D2590">
        <v>30</v>
      </c>
      <c r="E2590">
        <v>30</v>
      </c>
      <c r="F2590">
        <v>26.58</v>
      </c>
      <c r="G2590">
        <v>0</v>
      </c>
      <c r="H2590">
        <v>0</v>
      </c>
      <c r="I2590" s="3">
        <v>0</v>
      </c>
      <c r="J2590" s="3">
        <v>0</v>
      </c>
      <c r="K2590" s="3">
        <v>0</v>
      </c>
      <c r="L2590" s="3" t="str">
        <f>IF(K2590&lt;-5,"CRÍTICO",IF(K2590&lt;0,"ATENÇÃO",IF(K2590&lt;=5,"BOM","EXCELENTE")))</f>
        <v>BOM</v>
      </c>
      <c r="M2590">
        <v>29</v>
      </c>
      <c r="N2590">
        <v>98.73</v>
      </c>
      <c r="O2590">
        <v>29.142857142857139</v>
      </c>
    </row>
    <row r="2591" spans="1:15" hidden="1" x14ac:dyDescent="0.25">
      <c r="A2591" s="11">
        <v>46083</v>
      </c>
      <c r="B2591" t="s">
        <v>18</v>
      </c>
      <c r="C2591" t="s">
        <v>16</v>
      </c>
      <c r="D2591">
        <v>8</v>
      </c>
      <c r="E2591">
        <v>8</v>
      </c>
      <c r="F2591">
        <v>46.54</v>
      </c>
      <c r="G2591">
        <v>0</v>
      </c>
      <c r="H2591">
        <v>0</v>
      </c>
      <c r="I2591" s="3">
        <f>E2591+G2591+H2591</f>
        <v>8</v>
      </c>
      <c r="J2591" s="3">
        <f>ROUND(MIN(IF(C2591="Técnico III",35,IF(C2591="Técnico II",28,IF(C2591="Técnico I",23,IF(C2591="JR",20,IF(C2591="Estágio",10,0))))),IF(C2591="Técnico III",SUMIFS($D:$D,$A:$A,$A2591,$B:$B,"&lt;&gt;Patrícia Karla de Sousa Araújo",$B:$B,"&lt;&gt;Lorena Dias de Araujo",$B:$B,"&lt;&gt;Lucas Luiz Romero")*(35/1083),IF(C2591="Técnico II",SUMIFS($D:$D,$A:$A,$A2591,$B:$B,"&lt;&gt;Patrícia Karla de Sousa Araújo",$B:$B,"&lt;&gt;Lorena Dias de Araujo",$B:$B,"&lt;&gt;Lucas Luiz Romero")*(28/1083),IF(C2591="Técnico I",SUMIFS($D:$D,$A:$A,$A2591,$B:$B,"&lt;&gt;Patrícia Karla de Sousa Araújo",$B:$B,"&lt;&gt;Lorena Dias de Araujo",$B:$B,"&lt;&gt;Lucas Luiz Romero")*(23/1083),IF(C2591="JR",SUMIFS($D:$D,$A:$A,$A2591,$B:$B,"&lt;&gt;Patrícia Karla de Sousa Araújo",$B:$B,"&lt;&gt;Lorena Dias de Araujo",$B:$B,"&lt;&gt;Lucas Luiz Romero")*(20/1083),IF(C2591="Estágio",SUMIFS($D:$D,$A:$A,$A2591,$B:$B,"&lt;&gt;Patrícia Karla de Sousa Araújo",$B:$B,"&lt;&gt;Lorena Dias de Araujo",$B:$B,"&lt;&gt;Lucas Luiz Romero")*(10/1083),0)))))),0)</f>
        <v>8</v>
      </c>
      <c r="K2591" s="3">
        <f>I2591-J2591</f>
        <v>0</v>
      </c>
      <c r="L2591" s="3" t="str">
        <f>IF(K2591&lt;-5,"CRÍTICO",IF(K2591&lt;0,"ATENÇÃO",IF(K2591&lt;=5,"BOM","EXCELENTE")))</f>
        <v>BOM</v>
      </c>
      <c r="M2591">
        <v>7</v>
      </c>
      <c r="N2591">
        <v>90.48</v>
      </c>
      <c r="O2591">
        <v>20.68965517241379</v>
      </c>
    </row>
    <row r="2592" spans="1:15" hidden="1" x14ac:dyDescent="0.25">
      <c r="A2592" s="11">
        <v>46083</v>
      </c>
      <c r="B2592" t="s">
        <v>52</v>
      </c>
      <c r="C2592" t="s">
        <v>48</v>
      </c>
      <c r="D2592">
        <v>38</v>
      </c>
      <c r="E2592">
        <v>38</v>
      </c>
      <c r="F2592">
        <v>17.39</v>
      </c>
      <c r="G2592">
        <v>0</v>
      </c>
      <c r="H2592">
        <v>0</v>
      </c>
      <c r="I2592" s="3">
        <f>E2592+G2592+H2592</f>
        <v>38</v>
      </c>
      <c r="J2592" s="3">
        <f>ROUND(MIN(IF(C2592="Técnico III",35,IF(C2592="Técnico II",28,IF(C2592="Técnico I",23,IF(C2592="JR",20,IF(C2592="Estágio",10,0))))),IF(C2592="Técnico III",SUMIFS($D:$D,$A:$A,$A2592,$B:$B,"&lt;&gt;Patrícia Karla de Sousa Araújo",$B:$B,"&lt;&gt;Lorena Dias de Araujo",$B:$B,"&lt;&gt;Lucas Luiz Romero")*(35/1083),IF(C2592="Técnico II",SUMIFS($D:$D,$A:$A,$A2592,$B:$B,"&lt;&gt;Patrícia Karla de Sousa Araújo",$B:$B,"&lt;&gt;Lorena Dias de Araujo",$B:$B,"&lt;&gt;Lucas Luiz Romero")*(28/1083),IF(C2592="Técnico I",SUMIFS($D:$D,$A:$A,$A2592,$B:$B,"&lt;&gt;Patrícia Karla de Sousa Araújo",$B:$B,"&lt;&gt;Lorena Dias de Araujo",$B:$B,"&lt;&gt;Lucas Luiz Romero")*(23/1083),IF(C2592="JR",SUMIFS($D:$D,$A:$A,$A2592,$B:$B,"&lt;&gt;Patrícia Karla de Sousa Araújo",$B:$B,"&lt;&gt;Lorena Dias de Araujo",$B:$B,"&lt;&gt;Lucas Luiz Romero")*(20/1083),IF(C2592="Estágio",SUMIFS($D:$D,$A:$A,$A2592,$B:$B,"&lt;&gt;Patrícia Karla de Sousa Araújo",$B:$B,"&lt;&gt;Lorena Dias de Araujo",$B:$B,"&lt;&gt;Lucas Luiz Romero")*(10/1083),0)))))),0)</f>
        <v>22</v>
      </c>
      <c r="K2592" s="3">
        <f>I2592-J2592</f>
        <v>16</v>
      </c>
      <c r="L2592" s="3" t="str">
        <f>IF(K2592&lt;-5,"CRÍTICO",IF(K2592&lt;0,"ATENÇÃO",IF(K2592&lt;=5,"BOM","EXCELENTE")))</f>
        <v>EXCELENTE</v>
      </c>
      <c r="M2592">
        <v>37</v>
      </c>
      <c r="N2592">
        <v>98.06</v>
      </c>
      <c r="O2592">
        <v>24.789915966386559</v>
      </c>
    </row>
    <row r="2593" spans="1:15" hidden="1" x14ac:dyDescent="0.25">
      <c r="A2593" s="11">
        <v>46083</v>
      </c>
      <c r="B2593" t="s">
        <v>36</v>
      </c>
      <c r="C2593" t="s">
        <v>32</v>
      </c>
      <c r="D2593">
        <v>30</v>
      </c>
      <c r="E2593">
        <v>29</v>
      </c>
      <c r="F2593">
        <v>18.579999999999998</v>
      </c>
      <c r="G2593">
        <v>0</v>
      </c>
      <c r="H2593">
        <v>0</v>
      </c>
      <c r="I2593" s="3">
        <f>E2593+G2593+H2593</f>
        <v>29</v>
      </c>
      <c r="J2593" s="3">
        <f>ROUND(MIN(IF(C2593="Técnico III",35,IF(C2593="Técnico II",28,IF(C2593="Técnico I",23,IF(C2593="JR",20,IF(C2593="Estágio",10,0))))),IF(C2593="Técnico III",SUMIFS($D:$D,$A:$A,$A2593,$B:$B,"&lt;&gt;Patrícia Karla de Sousa Araújo",$B:$B,"&lt;&gt;Lorena Dias de Araujo",$B:$B,"&lt;&gt;Lucas Luiz Romero")*(35/1083),IF(C2593="Técnico II",SUMIFS($D:$D,$A:$A,$A2593,$B:$B,"&lt;&gt;Patrícia Karla de Sousa Araújo",$B:$B,"&lt;&gt;Lorena Dias de Araujo",$B:$B,"&lt;&gt;Lucas Luiz Romero")*(28/1083),IF(C2593="Técnico I",SUMIFS($D:$D,$A:$A,$A2593,$B:$B,"&lt;&gt;Patrícia Karla de Sousa Araújo",$B:$B,"&lt;&gt;Lorena Dias de Araujo",$B:$B,"&lt;&gt;Lucas Luiz Romero")*(23/1083),IF(C2593="JR",SUMIFS($D:$D,$A:$A,$A2593,$B:$B,"&lt;&gt;Patrícia Karla de Sousa Araújo",$B:$B,"&lt;&gt;Lorena Dias de Araujo",$B:$B,"&lt;&gt;Lucas Luiz Romero")*(20/1083),IF(C2593="Estágio",SUMIFS($D:$D,$A:$A,$A2593,$B:$B,"&lt;&gt;Patrícia Karla de Sousa Araújo",$B:$B,"&lt;&gt;Lorena Dias de Araujo",$B:$B,"&lt;&gt;Lucas Luiz Romero")*(10/1083),0)))))),0)</f>
        <v>27</v>
      </c>
      <c r="K2593" s="3">
        <f>I2593-J2593</f>
        <v>2</v>
      </c>
      <c r="L2593" s="3" t="str">
        <f>IF(K2593&lt;-5,"CRÍTICO",IF(K2593&lt;0,"ATENÇÃO",IF(K2593&lt;=5,"BOM","EXCELENTE")))</f>
        <v>BOM</v>
      </c>
      <c r="M2593">
        <v>30</v>
      </c>
      <c r="N2593">
        <v>97.78</v>
      </c>
      <c r="O2593">
        <v>25.494071146245059</v>
      </c>
    </row>
    <row r="2594" spans="1:15" hidden="1" x14ac:dyDescent="0.25">
      <c r="A2594" s="11">
        <v>46083</v>
      </c>
      <c r="B2594" t="s">
        <v>53</v>
      </c>
      <c r="C2594" t="s">
        <v>48</v>
      </c>
      <c r="D2594">
        <v>25</v>
      </c>
      <c r="E2594">
        <v>25</v>
      </c>
      <c r="F2594">
        <v>33.47</v>
      </c>
      <c r="G2594">
        <v>0</v>
      </c>
      <c r="H2594">
        <v>0</v>
      </c>
      <c r="I2594" s="3">
        <f>E2594+G2594+H2594</f>
        <v>25</v>
      </c>
      <c r="J2594" s="3">
        <f>ROUND(MIN(IF(C2594="Técnico III",35,IF(C2594="Técnico II",28,IF(C2594="Técnico I",23,IF(C2594="JR",20,IF(C2594="Estágio",10,0))))),IF(C2594="Técnico III",SUMIFS($D:$D,$A:$A,$A2594,$B:$B,"&lt;&gt;Patrícia Karla de Sousa Araújo",$B:$B,"&lt;&gt;Lorena Dias de Araujo",$B:$B,"&lt;&gt;Lucas Luiz Romero")*(35/1083),IF(C2594="Técnico II",SUMIFS($D:$D,$A:$A,$A2594,$B:$B,"&lt;&gt;Patrícia Karla de Sousa Araújo",$B:$B,"&lt;&gt;Lorena Dias de Araujo",$B:$B,"&lt;&gt;Lucas Luiz Romero")*(28/1083),IF(C2594="Técnico I",SUMIFS($D:$D,$A:$A,$A2594,$B:$B,"&lt;&gt;Patrícia Karla de Sousa Araújo",$B:$B,"&lt;&gt;Lorena Dias de Araujo",$B:$B,"&lt;&gt;Lucas Luiz Romero")*(23/1083),IF(C2594="JR",SUMIFS($D:$D,$A:$A,$A2594,$B:$B,"&lt;&gt;Patrícia Karla de Sousa Araújo",$B:$B,"&lt;&gt;Lorena Dias de Araujo",$B:$B,"&lt;&gt;Lucas Luiz Romero")*(20/1083),IF(C2594="Estágio",SUMIFS($D:$D,$A:$A,$A2594,$B:$B,"&lt;&gt;Patrícia Karla de Sousa Araújo",$B:$B,"&lt;&gt;Lorena Dias de Araujo",$B:$B,"&lt;&gt;Lucas Luiz Romero")*(10/1083),0)))))),0)</f>
        <v>22</v>
      </c>
      <c r="K2594" s="3">
        <f>I2594-J2594</f>
        <v>3</v>
      </c>
      <c r="L2594" s="3" t="str">
        <f>IF(K2594&lt;-5,"CRÍTICO",IF(K2594&lt;0,"ATENÇÃO",IF(K2594&lt;=5,"BOM","EXCELENTE")))</f>
        <v>BOM</v>
      </c>
      <c r="M2594">
        <v>24</v>
      </c>
      <c r="N2594">
        <v>98.02</v>
      </c>
      <c r="O2594">
        <v>23.484848484848481</v>
      </c>
    </row>
    <row r="2595" spans="1:15" hidden="1" x14ac:dyDescent="0.25">
      <c r="A2595" s="11">
        <v>46115</v>
      </c>
      <c r="B2595" t="s">
        <v>22</v>
      </c>
      <c r="C2595" t="s">
        <v>23</v>
      </c>
      <c r="D2595">
        <v>0</v>
      </c>
      <c r="E2595">
        <v>0</v>
      </c>
      <c r="F2595">
        <v>0</v>
      </c>
      <c r="G2595">
        <v>0</v>
      </c>
      <c r="H2595">
        <v>0</v>
      </c>
      <c r="I2595" s="3">
        <v>0</v>
      </c>
      <c r="J2595" s="3">
        <v>0</v>
      </c>
      <c r="K2595" s="3">
        <v>0</v>
      </c>
      <c r="L2595" s="3" t="str">
        <f>IF(K2595&lt;-5,"CRÍTICO",IF(K2595&lt;0,"ATENÇÃO",IF(K2595&lt;=5,"OPORTUNO","MUITO BOM")))</f>
        <v>OPORTUNO</v>
      </c>
      <c r="M2595">
        <v>0</v>
      </c>
      <c r="N2595">
        <v>99.28</v>
      </c>
      <c r="O2595">
        <v>27.689243027888441</v>
      </c>
    </row>
    <row r="2596" spans="1:15" hidden="1" x14ac:dyDescent="0.25">
      <c r="A2596" s="11">
        <v>46083</v>
      </c>
      <c r="B2596" t="s">
        <v>54</v>
      </c>
      <c r="C2596" t="s">
        <v>48</v>
      </c>
      <c r="D2596">
        <v>21</v>
      </c>
      <c r="E2596">
        <v>20</v>
      </c>
      <c r="F2596">
        <v>28.58</v>
      </c>
      <c r="G2596">
        <v>0</v>
      </c>
      <c r="H2596">
        <v>0</v>
      </c>
      <c r="I2596" s="3">
        <f>E2596+G2596+H2596</f>
        <v>20</v>
      </c>
      <c r="J2596" s="3">
        <f>ROUND(MIN(IF(C2596="Técnico III",35,IF(C2596="Técnico II",28,IF(C2596="Técnico I",23,IF(C2596="JR",20,IF(C2596="Estágio",10,0))))),IF(C2596="Técnico III",SUMIFS($D:$D,$A:$A,$A2596,$B:$B,"&lt;&gt;Patrícia Karla de Sousa Araújo",$B:$B,"&lt;&gt;Lorena Dias de Araujo",$B:$B,"&lt;&gt;Lucas Luiz Romero")*(35/1083),IF(C2596="Técnico II",SUMIFS($D:$D,$A:$A,$A2596,$B:$B,"&lt;&gt;Patrícia Karla de Sousa Araújo",$B:$B,"&lt;&gt;Lorena Dias de Araujo",$B:$B,"&lt;&gt;Lucas Luiz Romero")*(28/1083),IF(C2596="Técnico I",SUMIFS($D:$D,$A:$A,$A2596,$B:$B,"&lt;&gt;Patrícia Karla de Sousa Araújo",$B:$B,"&lt;&gt;Lorena Dias de Araujo",$B:$B,"&lt;&gt;Lucas Luiz Romero")*(23/1083),IF(C2596="JR",SUMIFS($D:$D,$A:$A,$A2596,$B:$B,"&lt;&gt;Patrícia Karla de Sousa Araújo",$B:$B,"&lt;&gt;Lorena Dias de Araujo",$B:$B,"&lt;&gt;Lucas Luiz Romero")*(20/1083),IF(C2596="Estágio",SUMIFS($D:$D,$A:$A,$A2596,$B:$B,"&lt;&gt;Patrícia Karla de Sousa Araújo",$B:$B,"&lt;&gt;Lorena Dias de Araujo",$B:$B,"&lt;&gt;Lucas Luiz Romero")*(10/1083),0)))))),0)</f>
        <v>22</v>
      </c>
      <c r="K2596" s="3">
        <f>I2596-J2596</f>
        <v>-2</v>
      </c>
      <c r="L2596" s="3" t="str">
        <f>IF(K2596&lt;-5,"CRÍTICO",IF(K2596&lt;0,"ATENÇÃO",IF(K2596&lt;=5,"BOM","EXCELENTE")))</f>
        <v>ATENÇÃO</v>
      </c>
      <c r="M2596">
        <v>18</v>
      </c>
      <c r="N2596">
        <v>100</v>
      </c>
      <c r="O2596">
        <v>27.04918032786885</v>
      </c>
    </row>
    <row r="2597" spans="1:15" hidden="1" x14ac:dyDescent="0.25">
      <c r="A2597" s="11">
        <v>46083</v>
      </c>
      <c r="B2597" t="s">
        <v>37</v>
      </c>
      <c r="C2597" t="s">
        <v>32</v>
      </c>
      <c r="D2597">
        <v>42</v>
      </c>
      <c r="E2597">
        <v>35</v>
      </c>
      <c r="F2597">
        <v>15.13</v>
      </c>
      <c r="G2597">
        <v>0</v>
      </c>
      <c r="H2597">
        <v>0</v>
      </c>
      <c r="I2597" s="3">
        <f>E2597+G2597+H2597</f>
        <v>35</v>
      </c>
      <c r="J2597" s="3">
        <f>ROUND(MIN(IF(C2597="Técnico III",35,IF(C2597="Técnico II",28,IF(C2597="Técnico I",23,IF(C2597="JR",20,IF(C2597="Estágio",10,0))))),IF(C2597="Técnico III",SUMIFS($D:$D,$A:$A,$A2597,$B:$B,"&lt;&gt;Patrícia Karla de Sousa Araújo",$B:$B,"&lt;&gt;Lorena Dias de Araujo",$B:$B,"&lt;&gt;Lucas Luiz Romero")*(35/1083),IF(C2597="Técnico II",SUMIFS($D:$D,$A:$A,$A2597,$B:$B,"&lt;&gt;Patrícia Karla de Sousa Araújo",$B:$B,"&lt;&gt;Lorena Dias de Araujo",$B:$B,"&lt;&gt;Lucas Luiz Romero")*(28/1083),IF(C2597="Técnico I",SUMIFS($D:$D,$A:$A,$A2597,$B:$B,"&lt;&gt;Patrícia Karla de Sousa Araújo",$B:$B,"&lt;&gt;Lorena Dias de Araujo",$B:$B,"&lt;&gt;Lucas Luiz Romero")*(23/1083),IF(C2597="JR",SUMIFS($D:$D,$A:$A,$A2597,$B:$B,"&lt;&gt;Patrícia Karla de Sousa Araújo",$B:$B,"&lt;&gt;Lorena Dias de Araujo",$B:$B,"&lt;&gt;Lucas Luiz Romero")*(20/1083),IF(C2597="Estágio",SUMIFS($D:$D,$A:$A,$A2597,$B:$B,"&lt;&gt;Patrícia Karla de Sousa Araújo",$B:$B,"&lt;&gt;Lorena Dias de Araujo",$B:$B,"&lt;&gt;Lucas Luiz Romero")*(10/1083),0)))))),0)</f>
        <v>27</v>
      </c>
      <c r="K2597" s="3">
        <f>I2597-J2597</f>
        <v>8</v>
      </c>
      <c r="L2597" s="3" t="str">
        <f>IF(K2597&lt;-5,"CRÍTICO",IF(K2597&lt;0,"ATENÇÃO",IF(K2597&lt;=5,"BOM","EXCELENTE")))</f>
        <v>EXCELENTE</v>
      </c>
      <c r="M2597">
        <v>40</v>
      </c>
      <c r="N2597">
        <v>97.83</v>
      </c>
      <c r="O2597">
        <v>26.315789473684209</v>
      </c>
    </row>
    <row r="2598" spans="1:15" hidden="1" x14ac:dyDescent="0.25">
      <c r="A2598" s="11">
        <v>46083</v>
      </c>
      <c r="B2598" t="s">
        <v>38</v>
      </c>
      <c r="C2598" t="s">
        <v>32</v>
      </c>
      <c r="D2598">
        <v>13</v>
      </c>
      <c r="E2598">
        <v>12</v>
      </c>
      <c r="F2598">
        <v>10.52</v>
      </c>
      <c r="G2598">
        <v>0</v>
      </c>
      <c r="H2598">
        <v>0</v>
      </c>
      <c r="I2598" s="3">
        <f>E2598+G2598+H2598</f>
        <v>12</v>
      </c>
      <c r="J2598" s="3">
        <f>ROUND(MIN(IF(C2598="Técnico III",35,IF(C2598="Técnico II",28,IF(C2598="Técnico I",23,IF(C2598="JR",20,IF(C2598="Estágio",10,0))))),IF(C2598="Técnico III",SUMIFS($D:$D,$A:$A,$A2598,$B:$B,"&lt;&gt;Patrícia Karla de Sousa Araújo",$B:$B,"&lt;&gt;Lorena Dias de Araujo",$B:$B,"&lt;&gt;Lucas Luiz Romero")*(35/1083),IF(C2598="Técnico II",SUMIFS($D:$D,$A:$A,$A2598,$B:$B,"&lt;&gt;Patrícia Karla de Sousa Araújo",$B:$B,"&lt;&gt;Lorena Dias de Araujo",$B:$B,"&lt;&gt;Lucas Luiz Romero")*(28/1083),IF(C2598="Técnico I",SUMIFS($D:$D,$A:$A,$A2598,$B:$B,"&lt;&gt;Patrícia Karla de Sousa Araújo",$B:$B,"&lt;&gt;Lorena Dias de Araujo",$B:$B,"&lt;&gt;Lucas Luiz Romero")*(23/1083),IF(C2598="JR",SUMIFS($D:$D,$A:$A,$A2598,$B:$B,"&lt;&gt;Patrícia Karla de Sousa Araújo",$B:$B,"&lt;&gt;Lorena Dias de Araujo",$B:$B,"&lt;&gt;Lucas Luiz Romero")*(20/1083),IF(C2598="Estágio",SUMIFS($D:$D,$A:$A,$A2598,$B:$B,"&lt;&gt;Patrícia Karla de Sousa Araújo",$B:$B,"&lt;&gt;Lorena Dias de Araujo",$B:$B,"&lt;&gt;Lucas Luiz Romero")*(10/1083),0)))))),0)</f>
        <v>27</v>
      </c>
      <c r="K2598" s="3">
        <f>I2598-J2598</f>
        <v>-15</v>
      </c>
      <c r="L2598" s="3" t="str">
        <f>IF(K2598&lt;-5,"CRÍTICO",IF(K2598&lt;0,"ATENÇÃO",IF(K2598&lt;=5,"BOM","EXCELENTE")))</f>
        <v>CRÍTICO</v>
      </c>
      <c r="M2598">
        <v>12</v>
      </c>
      <c r="N2598">
        <v>100</v>
      </c>
      <c r="O2598">
        <v>26.701570680628269</v>
      </c>
    </row>
    <row r="2599" spans="1:15" hidden="1" x14ac:dyDescent="0.25">
      <c r="A2599" s="11">
        <v>46083</v>
      </c>
      <c r="B2599" t="s">
        <v>55</v>
      </c>
      <c r="C2599" t="s">
        <v>48</v>
      </c>
      <c r="D2599">
        <v>24</v>
      </c>
      <c r="E2599">
        <v>19</v>
      </c>
      <c r="F2599">
        <v>27.34</v>
      </c>
      <c r="G2599">
        <v>0</v>
      </c>
      <c r="H2599">
        <v>0</v>
      </c>
      <c r="I2599" s="3">
        <f>E2599+G2599+H2599</f>
        <v>19</v>
      </c>
      <c r="J2599" s="3">
        <f>ROUND(MIN(IF(C2599="Técnico III",35,IF(C2599="Técnico II",28,IF(C2599="Técnico I",23,IF(C2599="JR",20,IF(C2599="Estágio",10,0))))),IF(C2599="Técnico III",SUMIFS($D:$D,$A:$A,$A2599,$B:$B,"&lt;&gt;Patrícia Karla de Sousa Araújo",$B:$B,"&lt;&gt;Lorena Dias de Araujo",$B:$B,"&lt;&gt;Lucas Luiz Romero")*(35/1083),IF(C2599="Técnico II",SUMIFS($D:$D,$A:$A,$A2599,$B:$B,"&lt;&gt;Patrícia Karla de Sousa Araújo",$B:$B,"&lt;&gt;Lorena Dias de Araujo",$B:$B,"&lt;&gt;Lucas Luiz Romero")*(28/1083),IF(C2599="Técnico I",SUMIFS($D:$D,$A:$A,$A2599,$B:$B,"&lt;&gt;Patrícia Karla de Sousa Araújo",$B:$B,"&lt;&gt;Lorena Dias de Araujo",$B:$B,"&lt;&gt;Lucas Luiz Romero")*(23/1083),IF(C2599="JR",SUMIFS($D:$D,$A:$A,$A2599,$B:$B,"&lt;&gt;Patrícia Karla de Sousa Araújo",$B:$B,"&lt;&gt;Lorena Dias de Araujo",$B:$B,"&lt;&gt;Lucas Luiz Romero")*(20/1083),IF(C2599="Estágio",SUMIFS($D:$D,$A:$A,$A2599,$B:$B,"&lt;&gt;Patrícia Karla de Sousa Araújo",$B:$B,"&lt;&gt;Lorena Dias de Araujo",$B:$B,"&lt;&gt;Lucas Luiz Romero")*(10/1083),0)))))),0)</f>
        <v>22</v>
      </c>
      <c r="K2599" s="3">
        <f>I2599-J2599</f>
        <v>-3</v>
      </c>
      <c r="L2599" s="3" t="str">
        <f>IF(K2599&lt;-5,"CRÍTICO",IF(K2599&lt;0,"ATENÇÃO",IF(K2599&lt;=5,"BOM","EXCELENTE")))</f>
        <v>ATENÇÃO</v>
      </c>
      <c r="M2599">
        <v>18</v>
      </c>
      <c r="N2599">
        <v>97.47</v>
      </c>
      <c r="O2599">
        <v>22.887323943661968</v>
      </c>
    </row>
    <row r="2600" spans="1:15" hidden="1" x14ac:dyDescent="0.25">
      <c r="A2600" s="11">
        <v>46083</v>
      </c>
      <c r="B2600" t="s">
        <v>39</v>
      </c>
      <c r="C2600" t="s">
        <v>32</v>
      </c>
      <c r="D2600">
        <v>0</v>
      </c>
      <c r="E2600">
        <v>0</v>
      </c>
      <c r="F2600">
        <v>0</v>
      </c>
      <c r="G2600">
        <v>0</v>
      </c>
      <c r="H2600">
        <v>0</v>
      </c>
      <c r="I2600" s="3">
        <v>0</v>
      </c>
      <c r="J2600" s="3">
        <v>0</v>
      </c>
      <c r="K2600" s="3">
        <v>0</v>
      </c>
      <c r="L2600" s="3" t="str">
        <f>IF(K2600&lt;-5,"CRÍTICO",IF(K2600&lt;0,"ATENÇÃO",IF(K2600&lt;=5,"BOM","EXCELENTE")))</f>
        <v>BOM</v>
      </c>
      <c r="M2600">
        <v>0</v>
      </c>
      <c r="N2600">
        <v>0</v>
      </c>
      <c r="O2600">
        <v>0</v>
      </c>
    </row>
    <row r="2601" spans="1:15" hidden="1" x14ac:dyDescent="0.25">
      <c r="A2601" s="11">
        <v>46083</v>
      </c>
      <c r="B2601" t="s">
        <v>25</v>
      </c>
      <c r="C2601" t="s">
        <v>26</v>
      </c>
      <c r="D2601">
        <v>17</v>
      </c>
      <c r="E2601">
        <v>17</v>
      </c>
      <c r="F2601">
        <v>20.52</v>
      </c>
      <c r="G2601">
        <v>0</v>
      </c>
      <c r="H2601">
        <v>0</v>
      </c>
      <c r="I2601" s="3">
        <f>E2601+G2601+H2601</f>
        <v>17</v>
      </c>
      <c r="J2601" s="3">
        <f>ROUND(MIN(IF(C2601="Técnico III",35,IF(C2601="Técnico II",28,IF(C2601="Técnico I",23,IF(C2601="JR",20,IF(C2601="Estágio",10,0))))),IF(C2601="Técnico III",SUMIFS($D:$D,$A:$A,$A2601,$B:$B,"&lt;&gt;Patrícia Karla de Sousa Araújo",$B:$B,"&lt;&gt;Lorena Dias de Araujo",$B:$B,"&lt;&gt;Lucas Luiz Romero")*(35/1083),IF(C2601="Técnico II",SUMIFS($D:$D,$A:$A,$A2601,$B:$B,"&lt;&gt;Patrícia Karla de Sousa Araújo",$B:$B,"&lt;&gt;Lorena Dias de Araujo",$B:$B,"&lt;&gt;Lucas Luiz Romero")*(28/1083),IF(C2601="Técnico I",SUMIFS($D:$D,$A:$A,$A2601,$B:$B,"&lt;&gt;Patrícia Karla de Sousa Araújo",$B:$B,"&lt;&gt;Lorena Dias de Araujo",$B:$B,"&lt;&gt;Lucas Luiz Romero")*(23/1083),IF(C2601="JR",SUMIFS($D:$D,$A:$A,$A2601,$B:$B,"&lt;&gt;Patrícia Karla de Sousa Araújo",$B:$B,"&lt;&gt;Lorena Dias de Araujo",$B:$B,"&lt;&gt;Lucas Luiz Romero")*(20/1083),IF(C2601="Estágio",SUMIFS($D:$D,$A:$A,$A2601,$B:$B,"&lt;&gt;Patrícia Karla de Sousa Araújo",$B:$B,"&lt;&gt;Lorena Dias de Araujo",$B:$B,"&lt;&gt;Lucas Luiz Romero")*(10/1083),0)))))),0)</f>
        <v>15</v>
      </c>
      <c r="K2601" s="3">
        <f>I2601-J2601</f>
        <v>2</v>
      </c>
      <c r="L2601" s="3" t="str">
        <f>IF(K2601&lt;-5,"CRÍTICO",IF(K2601&lt;0,"ATENÇÃO",IF(K2601&lt;=5,"BOM","EXCELENTE")))</f>
        <v>BOM</v>
      </c>
      <c r="M2601">
        <v>18</v>
      </c>
      <c r="N2601">
        <v>98.31</v>
      </c>
      <c r="O2601">
        <v>24.920127795527151</v>
      </c>
    </row>
    <row r="2602" spans="1:15" hidden="1" x14ac:dyDescent="0.25">
      <c r="A2602" s="11">
        <v>46083</v>
      </c>
      <c r="B2602" t="s">
        <v>40</v>
      </c>
      <c r="C2602" t="s">
        <v>32</v>
      </c>
      <c r="D2602">
        <v>21</v>
      </c>
      <c r="E2602">
        <v>20</v>
      </c>
      <c r="F2602">
        <v>26.43</v>
      </c>
      <c r="G2602">
        <v>0</v>
      </c>
      <c r="H2602">
        <v>0</v>
      </c>
      <c r="I2602" s="3">
        <f>E2602+G2602+H2602</f>
        <v>20</v>
      </c>
      <c r="J2602" s="3">
        <f>ROUND(MIN(IF(C2602="Técnico III",35,IF(C2602="Técnico II",28,IF(C2602="Técnico I",23,IF(C2602="JR",20,IF(C2602="Estágio",10,0))))),IF(C2602="Técnico III",SUMIFS($D:$D,$A:$A,$A2602,$B:$B,"&lt;&gt;Patrícia Karla de Sousa Araújo",$B:$B,"&lt;&gt;Lorena Dias de Araujo",$B:$B,"&lt;&gt;Lucas Luiz Romero")*(35/1083),IF(C2602="Técnico II",SUMIFS($D:$D,$A:$A,$A2602,$B:$B,"&lt;&gt;Patrícia Karla de Sousa Araújo",$B:$B,"&lt;&gt;Lorena Dias de Araujo",$B:$B,"&lt;&gt;Lucas Luiz Romero")*(28/1083),IF(C2602="Técnico I",SUMIFS($D:$D,$A:$A,$A2602,$B:$B,"&lt;&gt;Patrícia Karla de Sousa Araújo",$B:$B,"&lt;&gt;Lorena Dias de Araujo",$B:$B,"&lt;&gt;Lucas Luiz Romero")*(23/1083),IF(C2602="JR",SUMIFS($D:$D,$A:$A,$A2602,$B:$B,"&lt;&gt;Patrícia Karla de Sousa Araújo",$B:$B,"&lt;&gt;Lorena Dias de Araujo",$B:$B,"&lt;&gt;Lucas Luiz Romero")*(20/1083),IF(C2602="Estágio",SUMIFS($D:$D,$A:$A,$A2602,$B:$B,"&lt;&gt;Patrícia Karla de Sousa Araújo",$B:$B,"&lt;&gt;Lorena Dias de Araujo",$B:$B,"&lt;&gt;Lucas Luiz Romero")*(10/1083),0)))))),0)</f>
        <v>27</v>
      </c>
      <c r="K2602" s="3">
        <f>I2602-J2602</f>
        <v>-7</v>
      </c>
      <c r="L2602" s="3" t="str">
        <f>IF(K2602&lt;-5,"CRÍTICO",IF(K2602&lt;0,"ATENÇÃO",IF(K2602&lt;=5,"BOM","EXCELENTE")))</f>
        <v>CRÍTICO</v>
      </c>
      <c r="M2602">
        <v>18</v>
      </c>
      <c r="N2602">
        <v>96.81</v>
      </c>
      <c r="O2602">
        <v>32.365145228215773</v>
      </c>
    </row>
    <row r="2603" spans="1:15" hidden="1" x14ac:dyDescent="0.25">
      <c r="A2603" s="11">
        <v>46083</v>
      </c>
      <c r="B2603" t="s">
        <v>27</v>
      </c>
      <c r="C2603" t="s">
        <v>26</v>
      </c>
      <c r="D2603">
        <v>0</v>
      </c>
      <c r="E2603">
        <v>0</v>
      </c>
      <c r="F2603">
        <v>0</v>
      </c>
      <c r="G2603">
        <v>0</v>
      </c>
      <c r="H2603">
        <v>0</v>
      </c>
      <c r="I2603" s="3">
        <v>0</v>
      </c>
      <c r="J2603" s="3">
        <v>0</v>
      </c>
      <c r="K2603" s="3">
        <v>0</v>
      </c>
      <c r="L2603" s="3" t="str">
        <f>IF(K2603&lt;-5,"CRÍTICO",IF(K2603&lt;0,"ATENÇÃO",IF(K2603&lt;=5,"BOM","EXCELENTE")))</f>
        <v>BOM</v>
      </c>
      <c r="M2603">
        <v>0</v>
      </c>
      <c r="N2603">
        <v>100</v>
      </c>
      <c r="O2603">
        <v>26.47058823529412</v>
      </c>
    </row>
    <row r="2604" spans="1:15" hidden="1" x14ac:dyDescent="0.25">
      <c r="A2604" s="11">
        <v>46083</v>
      </c>
      <c r="B2604" t="s">
        <v>41</v>
      </c>
      <c r="C2604" t="s">
        <v>32</v>
      </c>
      <c r="D2604">
        <v>22</v>
      </c>
      <c r="E2604">
        <v>22</v>
      </c>
      <c r="F2604">
        <v>24.17</v>
      </c>
      <c r="G2604">
        <v>0</v>
      </c>
      <c r="H2604">
        <v>0</v>
      </c>
      <c r="I2604" s="3">
        <f>E2604+G2604+H2604</f>
        <v>22</v>
      </c>
      <c r="J2604" s="3">
        <f>ROUND(MIN(IF(C2604="Técnico III",35,IF(C2604="Técnico II",28,IF(C2604="Técnico I",23,IF(C2604="JR",20,IF(C2604="Estágio",10,0))))),IF(C2604="Técnico III",SUMIFS($D:$D,$A:$A,$A2604,$B:$B,"&lt;&gt;Patrícia Karla de Sousa Araújo",$B:$B,"&lt;&gt;Lorena Dias de Araujo",$B:$B,"&lt;&gt;Lucas Luiz Romero")*(35/1083),IF(C2604="Técnico II",SUMIFS($D:$D,$A:$A,$A2604,$B:$B,"&lt;&gt;Patrícia Karla de Sousa Araújo",$B:$B,"&lt;&gt;Lorena Dias de Araujo",$B:$B,"&lt;&gt;Lucas Luiz Romero")*(28/1083),IF(C2604="Técnico I",SUMIFS($D:$D,$A:$A,$A2604,$B:$B,"&lt;&gt;Patrícia Karla de Sousa Araújo",$B:$B,"&lt;&gt;Lorena Dias de Araujo",$B:$B,"&lt;&gt;Lucas Luiz Romero")*(23/1083),IF(C2604="JR",SUMIFS($D:$D,$A:$A,$A2604,$B:$B,"&lt;&gt;Patrícia Karla de Sousa Araújo",$B:$B,"&lt;&gt;Lorena Dias de Araujo",$B:$B,"&lt;&gt;Lucas Luiz Romero")*(20/1083),IF(C2604="Estágio",SUMIFS($D:$D,$A:$A,$A2604,$B:$B,"&lt;&gt;Patrícia Karla de Sousa Araújo",$B:$B,"&lt;&gt;Lorena Dias de Araujo",$B:$B,"&lt;&gt;Lucas Luiz Romero")*(10/1083),0)))))),0)</f>
        <v>27</v>
      </c>
      <c r="K2604" s="3">
        <f>I2604-J2604</f>
        <v>-5</v>
      </c>
      <c r="L2604" s="3" t="str">
        <f>IF(K2604&lt;-5,"CRÍTICO",IF(K2604&lt;0,"ATENÇÃO",IF(K2604&lt;=5,"BOM","EXCELENTE")))</f>
        <v>ATENÇÃO</v>
      </c>
      <c r="M2604">
        <v>21</v>
      </c>
      <c r="N2604">
        <v>100</v>
      </c>
      <c r="O2604">
        <v>28.490028490028489</v>
      </c>
    </row>
    <row r="2605" spans="1:15" hidden="1" x14ac:dyDescent="0.25">
      <c r="A2605" s="11">
        <v>46083</v>
      </c>
      <c r="B2605" t="s">
        <v>56</v>
      </c>
      <c r="C2605" t="s">
        <v>48</v>
      </c>
      <c r="D2605">
        <v>26</v>
      </c>
      <c r="E2605">
        <v>25</v>
      </c>
      <c r="F2605">
        <v>30.24</v>
      </c>
      <c r="G2605">
        <v>0</v>
      </c>
      <c r="H2605">
        <v>0</v>
      </c>
      <c r="I2605" s="3">
        <f>E2605+G2605+H2605</f>
        <v>25</v>
      </c>
      <c r="J2605" s="3">
        <f>ROUND(MIN(IF(C2605="Técnico III",35,IF(C2605="Técnico II",28,IF(C2605="Técnico I",23,IF(C2605="JR",20,IF(C2605="Estágio",10,0))))),IF(C2605="Técnico III",SUMIFS($D:$D,$A:$A,$A2605,$B:$B,"&lt;&gt;Patrícia Karla de Sousa Araújo",$B:$B,"&lt;&gt;Lorena Dias de Araujo",$B:$B,"&lt;&gt;Lucas Luiz Romero")*(35/1083),IF(C2605="Técnico II",SUMIFS($D:$D,$A:$A,$A2605,$B:$B,"&lt;&gt;Patrícia Karla de Sousa Araújo",$B:$B,"&lt;&gt;Lorena Dias de Araujo",$B:$B,"&lt;&gt;Lucas Luiz Romero")*(28/1083),IF(C2605="Técnico I",SUMIFS($D:$D,$A:$A,$A2605,$B:$B,"&lt;&gt;Patrícia Karla de Sousa Araújo",$B:$B,"&lt;&gt;Lorena Dias de Araujo",$B:$B,"&lt;&gt;Lucas Luiz Romero")*(23/1083),IF(C2605="JR",SUMIFS($D:$D,$A:$A,$A2605,$B:$B,"&lt;&gt;Patrícia Karla de Sousa Araújo",$B:$B,"&lt;&gt;Lorena Dias de Araujo",$B:$B,"&lt;&gt;Lucas Luiz Romero")*(20/1083),IF(C2605="Estágio",SUMIFS($D:$D,$A:$A,$A2605,$B:$B,"&lt;&gt;Patrícia Karla de Sousa Araújo",$B:$B,"&lt;&gt;Lorena Dias de Araujo",$B:$B,"&lt;&gt;Lucas Luiz Romero")*(10/1083),0)))))),0)</f>
        <v>22</v>
      </c>
      <c r="K2605" s="3">
        <f>I2605-J2605</f>
        <v>3</v>
      </c>
      <c r="L2605" s="3" t="str">
        <f>IF(K2605&lt;-5,"CRÍTICO",IF(K2605&lt;0,"ATENÇÃO",IF(K2605&lt;=5,"BOM","EXCELENTE")))</f>
        <v>BOM</v>
      </c>
      <c r="M2605">
        <v>14</v>
      </c>
      <c r="N2605">
        <v>99.14</v>
      </c>
      <c r="O2605">
        <v>27.2289156626506</v>
      </c>
    </row>
    <row r="2606" spans="1:15" hidden="1" x14ac:dyDescent="0.25">
      <c r="A2606" s="11">
        <v>46083</v>
      </c>
      <c r="B2606" t="s">
        <v>57</v>
      </c>
      <c r="C2606" t="s">
        <v>48</v>
      </c>
      <c r="D2606">
        <v>32</v>
      </c>
      <c r="E2606">
        <v>30</v>
      </c>
      <c r="F2606">
        <v>18.48</v>
      </c>
      <c r="G2606">
        <v>0</v>
      </c>
      <c r="H2606">
        <v>0</v>
      </c>
      <c r="I2606" s="3">
        <v>0</v>
      </c>
      <c r="J2606" s="3">
        <v>0</v>
      </c>
      <c r="K2606" s="3">
        <v>0</v>
      </c>
      <c r="L2606" s="3" t="str">
        <f>IF(K2606&lt;-5,"CRÍTICO",IF(K2606&lt;0,"ATENÇÃO",IF(K2606&lt;=5,"BOM","EXCELENTE")))</f>
        <v>BOM</v>
      </c>
      <c r="M2606">
        <v>27</v>
      </c>
      <c r="N2606">
        <v>97.52</v>
      </c>
      <c r="O2606">
        <v>28.205128205128201</v>
      </c>
    </row>
    <row r="2607" spans="1:15" hidden="1" x14ac:dyDescent="0.25">
      <c r="A2607" s="11">
        <v>46083</v>
      </c>
      <c r="B2607" t="s">
        <v>42</v>
      </c>
      <c r="C2607" t="s">
        <v>32</v>
      </c>
      <c r="D2607">
        <v>33</v>
      </c>
      <c r="E2607">
        <v>28</v>
      </c>
      <c r="F2607">
        <v>15.49</v>
      </c>
      <c r="G2607">
        <v>0</v>
      </c>
      <c r="H2607">
        <v>0</v>
      </c>
      <c r="I2607" s="3">
        <f>E2607+G2607+H2607</f>
        <v>28</v>
      </c>
      <c r="J2607" s="3">
        <f>ROUND(MIN(IF(C2607="Técnico III",35,IF(C2607="Técnico II",28,IF(C2607="Técnico I",23,IF(C2607="JR",20,IF(C2607="Estágio",10,0))))),IF(C2607="Técnico III",SUMIFS($D:$D,$A:$A,$A2607,$B:$B,"&lt;&gt;Patrícia Karla de Sousa Araújo",$B:$B,"&lt;&gt;Lorena Dias de Araujo",$B:$B,"&lt;&gt;Lucas Luiz Romero")*(35/1083),IF(C2607="Técnico II",SUMIFS($D:$D,$A:$A,$A2607,$B:$B,"&lt;&gt;Patrícia Karla de Sousa Araújo",$B:$B,"&lt;&gt;Lorena Dias de Araujo",$B:$B,"&lt;&gt;Lucas Luiz Romero")*(28/1083),IF(C2607="Técnico I",SUMIFS($D:$D,$A:$A,$A2607,$B:$B,"&lt;&gt;Patrícia Karla de Sousa Araújo",$B:$B,"&lt;&gt;Lorena Dias de Araujo",$B:$B,"&lt;&gt;Lucas Luiz Romero")*(23/1083),IF(C2607="JR",SUMIFS($D:$D,$A:$A,$A2607,$B:$B,"&lt;&gt;Patrícia Karla de Sousa Araújo",$B:$B,"&lt;&gt;Lorena Dias de Araujo",$B:$B,"&lt;&gt;Lucas Luiz Romero")*(20/1083),IF(C2607="Estágio",SUMIFS($D:$D,$A:$A,$A2607,$B:$B,"&lt;&gt;Patrícia Karla de Sousa Araújo",$B:$B,"&lt;&gt;Lorena Dias de Araujo",$B:$B,"&lt;&gt;Lucas Luiz Romero")*(10/1083),0)))))),0)</f>
        <v>27</v>
      </c>
      <c r="K2607" s="3">
        <f>I2607-J2607</f>
        <v>1</v>
      </c>
      <c r="L2607" s="3" t="str">
        <f>IF(K2607&lt;-5,"CRÍTICO",IF(K2607&lt;0,"ATENÇÃO",IF(K2607&lt;=5,"BOM","EXCELENTE")))</f>
        <v>BOM</v>
      </c>
      <c r="M2607">
        <v>22</v>
      </c>
      <c r="N2607">
        <v>90</v>
      </c>
      <c r="O2607">
        <v>24.186046511627911</v>
      </c>
    </row>
    <row r="2608" spans="1:15" hidden="1" x14ac:dyDescent="0.25">
      <c r="A2608" s="11">
        <v>46083</v>
      </c>
      <c r="B2608" t="s">
        <v>62</v>
      </c>
      <c r="C2608" t="s">
        <v>23</v>
      </c>
      <c r="D2608">
        <v>30</v>
      </c>
      <c r="E2608">
        <v>28</v>
      </c>
      <c r="F2608">
        <v>18.29</v>
      </c>
      <c r="G2608">
        <v>0</v>
      </c>
      <c r="H2608">
        <v>0</v>
      </c>
      <c r="I2608" s="3">
        <f>E2608+G2608+H2608</f>
        <v>28</v>
      </c>
      <c r="J2608" s="3">
        <f>ROUND(MIN(IF(C2608="Técnico III",35,IF(C2608="Técnico II",28,IF(C2608="Técnico I",23,IF(C2608="JR",20,IF(C2608="Estágio",10,0))))),IF(C2608="Técnico III",SUMIFS($D:$D,$A:$A,$A2608,$B:$B,"&lt;&gt;Patrícia Karla de Sousa Araújo",$B:$B,"&lt;&gt;Lorena Dias de Araujo",$B:$B,"&lt;&gt;Lucas Luiz Romero")*(35/1083),IF(C2608="Técnico II",SUMIFS($D:$D,$A:$A,$A2608,$B:$B,"&lt;&gt;Patrícia Karla de Sousa Araújo",$B:$B,"&lt;&gt;Lorena Dias de Araujo",$B:$B,"&lt;&gt;Lucas Luiz Romero")*(28/1083),IF(C2608="Técnico I",SUMIFS($D:$D,$A:$A,$A2608,$B:$B,"&lt;&gt;Patrícia Karla de Sousa Araújo",$B:$B,"&lt;&gt;Lorena Dias de Araujo",$B:$B,"&lt;&gt;Lucas Luiz Romero")*(23/1083),IF(C2608="JR",SUMIFS($D:$D,$A:$A,$A2608,$B:$B,"&lt;&gt;Patrícia Karla de Sousa Araújo",$B:$B,"&lt;&gt;Lorena Dias de Araujo",$B:$B,"&lt;&gt;Lucas Luiz Romero")*(20/1083),IF(C2608="Estágio",SUMIFS($D:$D,$A:$A,$A2608,$B:$B,"&lt;&gt;Patrícia Karla de Sousa Araújo",$B:$B,"&lt;&gt;Lorena Dias de Araujo",$B:$B,"&lt;&gt;Lucas Luiz Romero")*(10/1083),0)))))),0)</f>
        <v>18</v>
      </c>
      <c r="K2608" s="3">
        <f>I2608-J2608</f>
        <v>10</v>
      </c>
      <c r="L2608" s="3" t="str">
        <f>IF(K2608&lt;-5,"CRÍTICO",IF(K2608&lt;0,"ATENÇÃO",IF(K2608&lt;=5,"BOM","EXCELENTE")))</f>
        <v>EXCELENTE</v>
      </c>
      <c r="M2608">
        <v>25</v>
      </c>
      <c r="N2608">
        <v>98.9</v>
      </c>
      <c r="O2608">
        <v>26.763990267639901</v>
      </c>
    </row>
    <row r="2609" spans="1:15" hidden="1" x14ac:dyDescent="0.25">
      <c r="A2609" s="11">
        <v>46083</v>
      </c>
      <c r="B2609" t="s">
        <v>19</v>
      </c>
      <c r="C2609" t="s">
        <v>16</v>
      </c>
      <c r="D2609">
        <v>15</v>
      </c>
      <c r="E2609">
        <v>14</v>
      </c>
      <c r="F2609">
        <v>23.32</v>
      </c>
      <c r="G2609">
        <v>0</v>
      </c>
      <c r="H2609">
        <v>0</v>
      </c>
      <c r="I2609" s="3">
        <f>E2609+G2609+H2609</f>
        <v>14</v>
      </c>
      <c r="J2609" s="3">
        <f>ROUND(MIN(IF(C2609="Técnico III",35,IF(C2609="Técnico II",28,IF(C2609="Técnico I",23,IF(C2609="JR",20,IF(C2609="Estágio",10,0))))),IF(C2609="Técnico III",SUMIFS($D:$D,$A:$A,$A2609,$B:$B,"&lt;&gt;Patrícia Karla de Sousa Araújo",$B:$B,"&lt;&gt;Lorena Dias de Araujo",$B:$B,"&lt;&gt;Lucas Luiz Romero")*(35/1083),IF(C2609="Técnico II",SUMIFS($D:$D,$A:$A,$A2609,$B:$B,"&lt;&gt;Patrícia Karla de Sousa Araújo",$B:$B,"&lt;&gt;Lorena Dias de Araujo",$B:$B,"&lt;&gt;Lucas Luiz Romero")*(28/1083),IF(C2609="Técnico I",SUMIFS($D:$D,$A:$A,$A2609,$B:$B,"&lt;&gt;Patrícia Karla de Sousa Araújo",$B:$B,"&lt;&gt;Lorena Dias de Araujo",$B:$B,"&lt;&gt;Lucas Luiz Romero")*(23/1083),IF(C2609="JR",SUMIFS($D:$D,$A:$A,$A2609,$B:$B,"&lt;&gt;Patrícia Karla de Sousa Araújo",$B:$B,"&lt;&gt;Lorena Dias de Araujo",$B:$B,"&lt;&gt;Lucas Luiz Romero")*(20/1083),IF(C2609="Estágio",SUMIFS($D:$D,$A:$A,$A2609,$B:$B,"&lt;&gt;Patrícia Karla de Sousa Araújo",$B:$B,"&lt;&gt;Lorena Dias de Araujo",$B:$B,"&lt;&gt;Lucas Luiz Romero")*(10/1083),0)))))),0)</f>
        <v>8</v>
      </c>
      <c r="K2609" s="3">
        <f>I2609-J2609</f>
        <v>6</v>
      </c>
      <c r="L2609" s="3" t="str">
        <f>IF(K2609&lt;-5,"CRÍTICO",IF(K2609&lt;0,"ATENÇÃO",IF(K2609&lt;=5,"BOM","EXCELENTE")))</f>
        <v>EXCELENTE</v>
      </c>
      <c r="M2609">
        <v>11</v>
      </c>
      <c r="N2609">
        <v>88.89</v>
      </c>
      <c r="O2609">
        <v>25.263157894736839</v>
      </c>
    </row>
    <row r="2610" spans="1:15" hidden="1" x14ac:dyDescent="0.25">
      <c r="A2610" s="11">
        <v>46083</v>
      </c>
      <c r="B2610" t="s">
        <v>43</v>
      </c>
      <c r="C2610" t="s">
        <v>32</v>
      </c>
      <c r="D2610">
        <v>43</v>
      </c>
      <c r="E2610">
        <v>38</v>
      </c>
      <c r="F2610">
        <v>17.28</v>
      </c>
      <c r="G2610">
        <v>0</v>
      </c>
      <c r="H2610">
        <v>0</v>
      </c>
      <c r="I2610" s="3">
        <f>E2610+G2610+H2610</f>
        <v>38</v>
      </c>
      <c r="J2610" s="3">
        <f>ROUND(MIN(IF(C2610="Técnico III",35,IF(C2610="Técnico II",28,IF(C2610="Técnico I",23,IF(C2610="JR",20,IF(C2610="Estágio",10,0))))),IF(C2610="Técnico III",SUMIFS($D:$D,$A:$A,$A2610,$B:$B,"&lt;&gt;Patrícia Karla de Sousa Araújo",$B:$B,"&lt;&gt;Lorena Dias de Araujo",$B:$B,"&lt;&gt;Lucas Luiz Romero")*(35/1083),IF(C2610="Técnico II",SUMIFS($D:$D,$A:$A,$A2610,$B:$B,"&lt;&gt;Patrícia Karla de Sousa Araújo",$B:$B,"&lt;&gt;Lorena Dias de Araujo",$B:$B,"&lt;&gt;Lucas Luiz Romero")*(28/1083),IF(C2610="Técnico I",SUMIFS($D:$D,$A:$A,$A2610,$B:$B,"&lt;&gt;Patrícia Karla de Sousa Araújo",$B:$B,"&lt;&gt;Lorena Dias de Araujo",$B:$B,"&lt;&gt;Lucas Luiz Romero")*(23/1083),IF(C2610="JR",SUMIFS($D:$D,$A:$A,$A2610,$B:$B,"&lt;&gt;Patrícia Karla de Sousa Araújo",$B:$B,"&lt;&gt;Lorena Dias de Araujo",$B:$B,"&lt;&gt;Lucas Luiz Romero")*(20/1083),IF(C2610="Estágio",SUMIFS($D:$D,$A:$A,$A2610,$B:$B,"&lt;&gt;Patrícia Karla de Sousa Araújo",$B:$B,"&lt;&gt;Lorena Dias de Araujo",$B:$B,"&lt;&gt;Lucas Luiz Romero")*(10/1083),0)))))),0)</f>
        <v>27</v>
      </c>
      <c r="K2610" s="3">
        <f>I2610-J2610</f>
        <v>11</v>
      </c>
      <c r="L2610" s="3" t="str">
        <f>IF(K2610&lt;-5,"CRÍTICO",IF(K2610&lt;0,"ATENÇÃO",IF(K2610&lt;=5,"BOM","EXCELENTE")))</f>
        <v>EXCELENTE</v>
      </c>
      <c r="M2610">
        <v>40</v>
      </c>
      <c r="N2610">
        <v>98.86</v>
      </c>
      <c r="O2610">
        <v>28.959276018099551</v>
      </c>
    </row>
    <row r="2611" spans="1:15" hidden="1" x14ac:dyDescent="0.25">
      <c r="A2611" s="11">
        <v>46083</v>
      </c>
      <c r="B2611" t="s">
        <v>44</v>
      </c>
      <c r="C2611" t="s">
        <v>32</v>
      </c>
      <c r="D2611">
        <v>33</v>
      </c>
      <c r="E2611">
        <v>32</v>
      </c>
      <c r="F2611">
        <v>15.17</v>
      </c>
      <c r="G2611">
        <v>0</v>
      </c>
      <c r="H2611">
        <v>0</v>
      </c>
      <c r="I2611" s="3">
        <f>E2611+G2611+H2611</f>
        <v>32</v>
      </c>
      <c r="J2611" s="3">
        <f>ROUND(MIN(IF(C2611="Técnico III",35,IF(C2611="Técnico II",28,IF(C2611="Técnico I",23,IF(C2611="JR",20,IF(C2611="Estágio",10,0))))),IF(C2611="Técnico III",SUMIFS($D:$D,$A:$A,$A2611,$B:$B,"&lt;&gt;Patrícia Karla de Sousa Araújo",$B:$B,"&lt;&gt;Lorena Dias de Araujo",$B:$B,"&lt;&gt;Lucas Luiz Romero")*(35/1083),IF(C2611="Técnico II",SUMIFS($D:$D,$A:$A,$A2611,$B:$B,"&lt;&gt;Patrícia Karla de Sousa Araújo",$B:$B,"&lt;&gt;Lorena Dias de Araujo",$B:$B,"&lt;&gt;Lucas Luiz Romero")*(28/1083),IF(C2611="Técnico I",SUMIFS($D:$D,$A:$A,$A2611,$B:$B,"&lt;&gt;Patrícia Karla de Sousa Araújo",$B:$B,"&lt;&gt;Lorena Dias de Araujo",$B:$B,"&lt;&gt;Lucas Luiz Romero")*(23/1083),IF(C2611="JR",SUMIFS($D:$D,$A:$A,$A2611,$B:$B,"&lt;&gt;Patrícia Karla de Sousa Araújo",$B:$B,"&lt;&gt;Lorena Dias de Araujo",$B:$B,"&lt;&gt;Lucas Luiz Romero")*(20/1083),IF(C2611="Estágio",SUMIFS($D:$D,$A:$A,$A2611,$B:$B,"&lt;&gt;Patrícia Karla de Sousa Araújo",$B:$B,"&lt;&gt;Lorena Dias de Araujo",$B:$B,"&lt;&gt;Lucas Luiz Romero")*(10/1083),0)))))),0)</f>
        <v>27</v>
      </c>
      <c r="K2611" s="3">
        <f>I2611-J2611</f>
        <v>5</v>
      </c>
      <c r="L2611" s="3" t="str">
        <f>IF(K2611&lt;-5,"CRÍTICO",IF(K2611&lt;0,"ATENÇÃO",IF(K2611&lt;=5,"BOM","EXCELENTE")))</f>
        <v>BOM</v>
      </c>
      <c r="M2611">
        <v>30</v>
      </c>
      <c r="N2611">
        <v>98.06</v>
      </c>
      <c r="O2611">
        <v>22.40566037735849</v>
      </c>
    </row>
    <row r="2612" spans="1:15" hidden="1" x14ac:dyDescent="0.25">
      <c r="A2612" s="11">
        <v>46083</v>
      </c>
      <c r="B2612" t="s">
        <v>20</v>
      </c>
      <c r="C2612" t="s">
        <v>16</v>
      </c>
      <c r="D2612">
        <v>6</v>
      </c>
      <c r="E2612">
        <v>6</v>
      </c>
      <c r="F2612">
        <v>53.33</v>
      </c>
      <c r="G2612">
        <v>0</v>
      </c>
      <c r="H2612">
        <v>0</v>
      </c>
      <c r="I2612" s="3">
        <f>E2612+G2612+H2612</f>
        <v>6</v>
      </c>
      <c r="J2612" s="3">
        <f>ROUND(MIN(IF(C2612="Técnico III",35,IF(C2612="Técnico II",28,IF(C2612="Técnico I",23,IF(C2612="JR",20,IF(C2612="Estágio",10,0))))),IF(C2612="Técnico III",SUMIFS($D:$D,$A:$A,$A2612,$B:$B,"&lt;&gt;Patrícia Karla de Sousa Araújo",$B:$B,"&lt;&gt;Lorena Dias de Araujo",$B:$B,"&lt;&gt;Lucas Luiz Romero")*(35/1083),IF(C2612="Técnico II",SUMIFS($D:$D,$A:$A,$A2612,$B:$B,"&lt;&gt;Patrícia Karla de Sousa Araújo",$B:$B,"&lt;&gt;Lorena Dias de Araujo",$B:$B,"&lt;&gt;Lucas Luiz Romero")*(28/1083),IF(C2612="Técnico I",SUMIFS($D:$D,$A:$A,$A2612,$B:$B,"&lt;&gt;Patrícia Karla de Sousa Araújo",$B:$B,"&lt;&gt;Lorena Dias de Araujo",$B:$B,"&lt;&gt;Lucas Luiz Romero")*(23/1083),IF(C2612="JR",SUMIFS($D:$D,$A:$A,$A2612,$B:$B,"&lt;&gt;Patrícia Karla de Sousa Araújo",$B:$B,"&lt;&gt;Lorena Dias de Araujo",$B:$B,"&lt;&gt;Lucas Luiz Romero")*(20/1083),IF(C2612="Estágio",SUMIFS($D:$D,$A:$A,$A2612,$B:$B,"&lt;&gt;Patrícia Karla de Sousa Araújo",$B:$B,"&lt;&gt;Lorena Dias de Araujo",$B:$B,"&lt;&gt;Lucas Luiz Romero")*(10/1083),0)))))),0)</f>
        <v>8</v>
      </c>
      <c r="K2612" s="3">
        <f>I2612-J2612</f>
        <v>-2</v>
      </c>
      <c r="L2612" s="3" t="str">
        <f>IF(K2612&lt;-5,"CRÍTICO",IF(K2612&lt;0,"ATENÇÃO",IF(K2612&lt;=5,"BOM","EXCELENTE")))</f>
        <v>ATENÇÃO</v>
      </c>
      <c r="M2612">
        <v>5</v>
      </c>
      <c r="N2612">
        <v>95.83</v>
      </c>
      <c r="O2612">
        <v>25.773195876288661</v>
      </c>
    </row>
    <row r="2613" spans="1:15" hidden="1" x14ac:dyDescent="0.25">
      <c r="A2613" s="11">
        <v>46083</v>
      </c>
      <c r="B2613" t="s">
        <v>28</v>
      </c>
      <c r="C2613" t="s">
        <v>26</v>
      </c>
      <c r="D2613">
        <v>0</v>
      </c>
      <c r="E2613">
        <v>0</v>
      </c>
      <c r="F2613">
        <v>0</v>
      </c>
      <c r="G2613">
        <v>0</v>
      </c>
      <c r="H2613">
        <v>0</v>
      </c>
      <c r="I2613" s="3">
        <v>0</v>
      </c>
      <c r="J2613" s="3">
        <v>0</v>
      </c>
      <c r="K2613" s="3">
        <v>0</v>
      </c>
      <c r="L2613" s="3" t="str">
        <f>IF(K2613&lt;-5,"CRÍTICO",IF(K2613&lt;0,"ATENÇÃO",IF(K2613&lt;=5,"BOM","EXCELENTE")))</f>
        <v>BOM</v>
      </c>
      <c r="M2613">
        <v>0</v>
      </c>
      <c r="N2613">
        <v>100</v>
      </c>
      <c r="O2613">
        <v>15.38461538461539</v>
      </c>
    </row>
    <row r="2614" spans="1:15" hidden="1" x14ac:dyDescent="0.25">
      <c r="A2614" s="11">
        <v>46083</v>
      </c>
      <c r="B2614" t="s">
        <v>58</v>
      </c>
      <c r="C2614" t="s">
        <v>48</v>
      </c>
      <c r="D2614">
        <v>18</v>
      </c>
      <c r="E2614">
        <v>18</v>
      </c>
      <c r="F2614">
        <v>30.04</v>
      </c>
      <c r="G2614">
        <v>0</v>
      </c>
      <c r="H2614">
        <v>0</v>
      </c>
      <c r="I2614" s="3">
        <f>E2614+G2614+H2614</f>
        <v>18</v>
      </c>
      <c r="J2614" s="3">
        <f>ROUND(MIN(IF(C2614="Técnico III",35,IF(C2614="Técnico II",28,IF(C2614="Técnico I",23,IF(C2614="JR",20,IF(C2614="Estágio",10,0))))),IF(C2614="Técnico III",SUMIFS($D:$D,$A:$A,$A2614,$B:$B,"&lt;&gt;Patrícia Karla de Sousa Araújo",$B:$B,"&lt;&gt;Lorena Dias de Araujo",$B:$B,"&lt;&gt;Lucas Luiz Romero")*(35/1083),IF(C2614="Técnico II",SUMIFS($D:$D,$A:$A,$A2614,$B:$B,"&lt;&gt;Patrícia Karla de Sousa Araújo",$B:$B,"&lt;&gt;Lorena Dias de Araujo",$B:$B,"&lt;&gt;Lucas Luiz Romero")*(28/1083),IF(C2614="Técnico I",SUMIFS($D:$D,$A:$A,$A2614,$B:$B,"&lt;&gt;Patrícia Karla de Sousa Araújo",$B:$B,"&lt;&gt;Lorena Dias de Araujo",$B:$B,"&lt;&gt;Lucas Luiz Romero")*(23/1083),IF(C2614="JR",SUMIFS($D:$D,$A:$A,$A2614,$B:$B,"&lt;&gt;Patrícia Karla de Sousa Araújo",$B:$B,"&lt;&gt;Lorena Dias de Araujo",$B:$B,"&lt;&gt;Lucas Luiz Romero")*(20/1083),IF(C2614="Estágio",SUMIFS($D:$D,$A:$A,$A2614,$B:$B,"&lt;&gt;Patrícia Karla de Sousa Araújo",$B:$B,"&lt;&gt;Lorena Dias de Araujo",$B:$B,"&lt;&gt;Lucas Luiz Romero")*(10/1083),0)))))),0)</f>
        <v>22</v>
      </c>
      <c r="K2614" s="3">
        <f>I2614-J2614</f>
        <v>-4</v>
      </c>
      <c r="L2614" s="3" t="str">
        <f>IF(K2614&lt;-5,"CRÍTICO",IF(K2614&lt;0,"ATENÇÃO",IF(K2614&lt;=5,"BOM","EXCELENTE")))</f>
        <v>ATENÇÃO</v>
      </c>
      <c r="M2614">
        <v>16</v>
      </c>
      <c r="N2614">
        <v>100</v>
      </c>
      <c r="O2614">
        <v>27.514792899408281</v>
      </c>
    </row>
    <row r="2615" spans="1:15" hidden="1" x14ac:dyDescent="0.25">
      <c r="A2615" s="11">
        <v>46083</v>
      </c>
      <c r="B2615" t="s">
        <v>29</v>
      </c>
      <c r="C2615" t="s">
        <v>26</v>
      </c>
      <c r="D2615">
        <v>0</v>
      </c>
      <c r="E2615">
        <v>0</v>
      </c>
      <c r="F2615">
        <v>0</v>
      </c>
      <c r="G2615">
        <v>0</v>
      </c>
      <c r="H2615">
        <v>0</v>
      </c>
      <c r="I2615" s="3">
        <v>0</v>
      </c>
      <c r="J2615" s="3">
        <v>0</v>
      </c>
      <c r="K2615" s="3">
        <v>0</v>
      </c>
      <c r="L2615" s="3" t="str">
        <f>IF(K2615&lt;-5,"CRÍTICO",IF(K2615&lt;0,"ATENÇÃO",IF(K2615&lt;=5,"BOM","EXCELENTE")))</f>
        <v>BOM</v>
      </c>
      <c r="M2615">
        <v>0</v>
      </c>
      <c r="N2615">
        <v>100</v>
      </c>
      <c r="O2615">
        <v>24.875621890547269</v>
      </c>
    </row>
    <row r="2616" spans="1:15" hidden="1" x14ac:dyDescent="0.25">
      <c r="A2616" s="11">
        <v>46083</v>
      </c>
      <c r="B2616" t="s">
        <v>30</v>
      </c>
      <c r="C2616" t="s">
        <v>26</v>
      </c>
      <c r="D2616">
        <v>0</v>
      </c>
      <c r="E2616">
        <v>0</v>
      </c>
      <c r="F2616">
        <v>0</v>
      </c>
      <c r="G2616">
        <v>0</v>
      </c>
      <c r="H2616">
        <v>0</v>
      </c>
      <c r="I2616" s="3">
        <v>0</v>
      </c>
      <c r="J2616" s="3">
        <v>0</v>
      </c>
      <c r="K2616" s="3">
        <v>0</v>
      </c>
      <c r="L2616" s="3" t="str">
        <f>IF(K2616&lt;-5,"CRÍTICO",IF(K2616&lt;0,"ATENÇÃO",IF(K2616&lt;=5,"BOM","EXCELENTE")))</f>
        <v>BOM</v>
      </c>
      <c r="M2616">
        <v>0</v>
      </c>
      <c r="N2616">
        <v>100</v>
      </c>
      <c r="O2616">
        <v>28.108108108108109</v>
      </c>
    </row>
    <row r="2617" spans="1:15" hidden="1" x14ac:dyDescent="0.25">
      <c r="A2617" s="11">
        <v>46083</v>
      </c>
      <c r="B2617" t="s">
        <v>21</v>
      </c>
      <c r="C2617" t="s">
        <v>16</v>
      </c>
      <c r="D2617">
        <v>0</v>
      </c>
      <c r="E2617">
        <v>0</v>
      </c>
      <c r="F2617">
        <v>0</v>
      </c>
      <c r="G2617">
        <v>0</v>
      </c>
      <c r="H2617">
        <v>0</v>
      </c>
      <c r="I2617" s="3">
        <v>0</v>
      </c>
      <c r="J2617" s="3">
        <v>0</v>
      </c>
      <c r="K2617" s="3">
        <v>0</v>
      </c>
      <c r="L2617" s="3" t="str">
        <f>IF(K2617&lt;-5,"CRÍTICO",IF(K2617&lt;0,"ATENÇÃO",IF(K2617&lt;=5,"BOM","EXCELENTE")))</f>
        <v>BOM</v>
      </c>
      <c r="M2617">
        <v>0</v>
      </c>
      <c r="N2617">
        <v>100</v>
      </c>
      <c r="O2617">
        <v>35</v>
      </c>
    </row>
    <row r="2618" spans="1:15" hidden="1" x14ac:dyDescent="0.25">
      <c r="A2618" s="11">
        <v>46083</v>
      </c>
      <c r="B2618" t="s">
        <v>63</v>
      </c>
      <c r="C2618" t="s">
        <v>23</v>
      </c>
      <c r="D2618">
        <v>25</v>
      </c>
      <c r="E2618">
        <v>25</v>
      </c>
      <c r="F2618">
        <v>26.46</v>
      </c>
      <c r="G2618">
        <v>0</v>
      </c>
      <c r="H2618">
        <v>0</v>
      </c>
      <c r="I2618" s="3">
        <f>E2618+G2618+H2618</f>
        <v>25</v>
      </c>
      <c r="J2618" s="3">
        <f>ROUND(MIN(IF(C2618="Técnico III",35,IF(C2618="Técnico II",28,IF(C2618="Técnico I",23,IF(C2618="JR",20,IF(C2618="Estágio",10,0))))),IF(C2618="Técnico III",SUMIFS($D:$D,$A:$A,$A2618,$B:$B,"&lt;&gt;Patrícia Karla de Sousa Araújo",$B:$B,"&lt;&gt;Lorena Dias de Araujo",$B:$B,"&lt;&gt;Lucas Luiz Romero")*(35/1083),IF(C2618="Técnico II",SUMIFS($D:$D,$A:$A,$A2618,$B:$B,"&lt;&gt;Patrícia Karla de Sousa Araújo",$B:$B,"&lt;&gt;Lorena Dias de Araujo",$B:$B,"&lt;&gt;Lucas Luiz Romero")*(28/1083),IF(C2618="Técnico I",SUMIFS($D:$D,$A:$A,$A2618,$B:$B,"&lt;&gt;Patrícia Karla de Sousa Araújo",$B:$B,"&lt;&gt;Lorena Dias de Araujo",$B:$B,"&lt;&gt;Lucas Luiz Romero")*(23/1083),IF(C2618="JR",SUMIFS($D:$D,$A:$A,$A2618,$B:$B,"&lt;&gt;Patrícia Karla de Sousa Araújo",$B:$B,"&lt;&gt;Lorena Dias de Araujo",$B:$B,"&lt;&gt;Lucas Luiz Romero")*(20/1083),IF(C2618="Estágio",SUMIFS($D:$D,$A:$A,$A2618,$B:$B,"&lt;&gt;Patrícia Karla de Sousa Araújo",$B:$B,"&lt;&gt;Lorena Dias de Araujo",$B:$B,"&lt;&gt;Lucas Luiz Romero")*(10/1083),0)))))),0)</f>
        <v>18</v>
      </c>
      <c r="K2618" s="3">
        <f>I2618-J2618</f>
        <v>7</v>
      </c>
      <c r="L2618" s="3" t="str">
        <f>IF(K2618&lt;-5,"CRÍTICO",IF(K2618&lt;0,"ATENÇÃO",IF(K2618&lt;=5,"BOM","EXCELENTE")))</f>
        <v>EXCELENTE</v>
      </c>
      <c r="M2618">
        <v>15</v>
      </c>
      <c r="N2618">
        <v>95.35</v>
      </c>
      <c r="O2618">
        <v>28.61538461538461</v>
      </c>
    </row>
    <row r="2619" spans="1:15" hidden="1" x14ac:dyDescent="0.25">
      <c r="A2619" s="11">
        <v>46083</v>
      </c>
      <c r="B2619" t="s">
        <v>45</v>
      </c>
      <c r="C2619" t="s">
        <v>32</v>
      </c>
      <c r="D2619">
        <v>46</v>
      </c>
      <c r="E2619">
        <v>44</v>
      </c>
      <c r="F2619">
        <v>14.01</v>
      </c>
      <c r="G2619">
        <v>0</v>
      </c>
      <c r="H2619">
        <v>0</v>
      </c>
      <c r="I2619" s="3">
        <f>E2619+G2619+H2619</f>
        <v>44</v>
      </c>
      <c r="J2619" s="3">
        <f>ROUND(MIN(IF(C2619="Técnico III",35,IF(C2619="Técnico II",28,IF(C2619="Técnico I",23,IF(C2619="JR",20,IF(C2619="Estágio",10,0))))),IF(C2619="Técnico III",SUMIFS($D:$D,$A:$A,$A2619,$B:$B,"&lt;&gt;Patrícia Karla de Sousa Araújo",$B:$B,"&lt;&gt;Lorena Dias de Araujo",$B:$B,"&lt;&gt;Lucas Luiz Romero")*(35/1083),IF(C2619="Técnico II",SUMIFS($D:$D,$A:$A,$A2619,$B:$B,"&lt;&gt;Patrícia Karla de Sousa Araújo",$B:$B,"&lt;&gt;Lorena Dias de Araujo",$B:$B,"&lt;&gt;Lucas Luiz Romero")*(28/1083),IF(C2619="Técnico I",SUMIFS($D:$D,$A:$A,$A2619,$B:$B,"&lt;&gt;Patrícia Karla de Sousa Araújo",$B:$B,"&lt;&gt;Lorena Dias de Araujo",$B:$B,"&lt;&gt;Lucas Luiz Romero")*(23/1083),IF(C2619="JR",SUMIFS($D:$D,$A:$A,$A2619,$B:$B,"&lt;&gt;Patrícia Karla de Sousa Araújo",$B:$B,"&lt;&gt;Lorena Dias de Araujo",$B:$B,"&lt;&gt;Lucas Luiz Romero")*(20/1083),IF(C2619="Estágio",SUMIFS($D:$D,$A:$A,$A2619,$B:$B,"&lt;&gt;Patrícia Karla de Sousa Araújo",$B:$B,"&lt;&gt;Lorena Dias de Araujo",$B:$B,"&lt;&gt;Lucas Luiz Romero")*(10/1083),0)))))),0)</f>
        <v>27</v>
      </c>
      <c r="K2619" s="3">
        <f>I2619-J2619</f>
        <v>17</v>
      </c>
      <c r="L2619" s="3" t="str">
        <f>IF(K2619&lt;-5,"CRÍTICO",IF(K2619&lt;0,"ATENÇÃO",IF(K2619&lt;=5,"BOM","EXCELENTE")))</f>
        <v>EXCELENTE</v>
      </c>
      <c r="M2619">
        <v>35</v>
      </c>
      <c r="N2619">
        <v>98.26</v>
      </c>
      <c r="O2619">
        <v>27.54491017964072</v>
      </c>
    </row>
    <row r="2620" spans="1:15" hidden="1" x14ac:dyDescent="0.25">
      <c r="A2620" s="11">
        <v>46083</v>
      </c>
      <c r="B2620" t="s">
        <v>64</v>
      </c>
      <c r="C2620" t="s">
        <v>23</v>
      </c>
      <c r="D2620">
        <v>9</v>
      </c>
      <c r="E2620">
        <v>9</v>
      </c>
      <c r="F2620">
        <v>52.15</v>
      </c>
      <c r="G2620">
        <v>0</v>
      </c>
      <c r="H2620">
        <v>0</v>
      </c>
      <c r="I2620" s="3">
        <f>E2620+G2620+H2620</f>
        <v>9</v>
      </c>
      <c r="J2620" s="3">
        <f>ROUND(MIN(IF(C2620="Técnico III",35,IF(C2620="Técnico II",28,IF(C2620="Técnico I",23,IF(C2620="JR",20,IF(C2620="Estágio",10,0))))),IF(C2620="Técnico III",SUMIFS($D:$D,$A:$A,$A2620,$B:$B,"&lt;&gt;Patrícia Karla de Sousa Araújo",$B:$B,"&lt;&gt;Lorena Dias de Araujo",$B:$B,"&lt;&gt;Lucas Luiz Romero")*(35/1083),IF(C2620="Técnico II",SUMIFS($D:$D,$A:$A,$A2620,$B:$B,"&lt;&gt;Patrícia Karla de Sousa Araújo",$B:$B,"&lt;&gt;Lorena Dias de Araujo",$B:$B,"&lt;&gt;Lucas Luiz Romero")*(28/1083),IF(C2620="Técnico I",SUMIFS($D:$D,$A:$A,$A2620,$B:$B,"&lt;&gt;Patrícia Karla de Sousa Araújo",$B:$B,"&lt;&gt;Lorena Dias de Araujo",$B:$B,"&lt;&gt;Lucas Luiz Romero")*(23/1083),IF(C2620="JR",SUMIFS($D:$D,$A:$A,$A2620,$B:$B,"&lt;&gt;Patrícia Karla de Sousa Araújo",$B:$B,"&lt;&gt;Lorena Dias de Araujo",$B:$B,"&lt;&gt;Lucas Luiz Romero")*(20/1083),IF(C2620="Estágio",SUMIFS($D:$D,$A:$A,$A2620,$B:$B,"&lt;&gt;Patrícia Karla de Sousa Araújo",$B:$B,"&lt;&gt;Lorena Dias de Araujo",$B:$B,"&lt;&gt;Lucas Luiz Romero")*(10/1083),0)))))),0)</f>
        <v>18</v>
      </c>
      <c r="K2620" s="3">
        <f>I2620-J2620</f>
        <v>-9</v>
      </c>
      <c r="L2620" s="3" t="str">
        <f>IF(K2620&lt;-5,"CRÍTICO",IF(K2620&lt;0,"ATENÇÃO",IF(K2620&lt;=5,"BOM","EXCELENTE")))</f>
        <v>CRÍTICO</v>
      </c>
      <c r="M2620">
        <v>9</v>
      </c>
      <c r="N2620">
        <v>98.55</v>
      </c>
      <c r="O2620">
        <v>25.337837837837839</v>
      </c>
    </row>
    <row r="2621" spans="1:15" hidden="1" x14ac:dyDescent="0.25">
      <c r="A2621" s="11">
        <v>46083</v>
      </c>
      <c r="B2621" t="s">
        <v>46</v>
      </c>
      <c r="C2621" t="s">
        <v>32</v>
      </c>
      <c r="D2621">
        <v>35</v>
      </c>
      <c r="E2621">
        <v>35</v>
      </c>
      <c r="F2621">
        <v>15.55</v>
      </c>
      <c r="G2621">
        <v>0</v>
      </c>
      <c r="H2621">
        <v>0</v>
      </c>
      <c r="I2621" s="3">
        <f>E2621+G2621+H2621</f>
        <v>35</v>
      </c>
      <c r="J2621" s="3">
        <f>ROUND(MIN(IF(C2621="Técnico III",35,IF(C2621="Técnico II",28,IF(C2621="Técnico I",23,IF(C2621="JR",20,IF(C2621="Estágio",10,0))))),IF(C2621="Técnico III",SUMIFS($D:$D,$A:$A,$A2621,$B:$B,"&lt;&gt;Patrícia Karla de Sousa Araújo",$B:$B,"&lt;&gt;Lorena Dias de Araujo",$B:$B,"&lt;&gt;Lucas Luiz Romero")*(35/1083),IF(C2621="Técnico II",SUMIFS($D:$D,$A:$A,$A2621,$B:$B,"&lt;&gt;Patrícia Karla de Sousa Araújo",$B:$B,"&lt;&gt;Lorena Dias de Araujo",$B:$B,"&lt;&gt;Lucas Luiz Romero")*(28/1083),IF(C2621="Técnico I",SUMIFS($D:$D,$A:$A,$A2621,$B:$B,"&lt;&gt;Patrícia Karla de Sousa Araújo",$B:$B,"&lt;&gt;Lorena Dias de Araujo",$B:$B,"&lt;&gt;Lucas Luiz Romero")*(23/1083),IF(C2621="JR",SUMIFS($D:$D,$A:$A,$A2621,$B:$B,"&lt;&gt;Patrícia Karla de Sousa Araújo",$B:$B,"&lt;&gt;Lorena Dias de Araujo",$B:$B,"&lt;&gt;Lucas Luiz Romero")*(20/1083),IF(C2621="Estágio",SUMIFS($D:$D,$A:$A,$A2621,$B:$B,"&lt;&gt;Patrícia Karla de Sousa Araújo",$B:$B,"&lt;&gt;Lorena Dias de Araujo",$B:$B,"&lt;&gt;Lucas Luiz Romero")*(10/1083),0)))))),0)</f>
        <v>27</v>
      </c>
      <c r="K2621" s="3">
        <f>I2621-J2621</f>
        <v>8</v>
      </c>
      <c r="L2621" s="3" t="str">
        <f>IF(K2621&lt;-5,"CRÍTICO",IF(K2621&lt;0,"ATENÇÃO",IF(K2621&lt;=5,"BOM","EXCELENTE")))</f>
        <v>EXCELENTE</v>
      </c>
      <c r="M2621">
        <v>29</v>
      </c>
      <c r="N2621">
        <v>98.39</v>
      </c>
      <c r="O2621">
        <v>25.563909774436091</v>
      </c>
    </row>
    <row r="2622" spans="1:15" hidden="1" x14ac:dyDescent="0.25">
      <c r="A2622" s="11">
        <v>46084</v>
      </c>
      <c r="B2622" t="s">
        <v>47</v>
      </c>
      <c r="C2622" t="s">
        <v>48</v>
      </c>
      <c r="D2622">
        <v>34</v>
      </c>
      <c r="E2622">
        <v>30</v>
      </c>
      <c r="F2622">
        <v>21.47</v>
      </c>
      <c r="G2622">
        <v>0</v>
      </c>
      <c r="H2622">
        <v>0</v>
      </c>
      <c r="I2622" s="3">
        <f>E2622+G2622+H2622</f>
        <v>30</v>
      </c>
      <c r="J2622" s="3">
        <f>ROUND(MIN(IF(C2622="Técnico III",35,IF(C2622="Técnico II",28,IF(C2622="Técnico I",23,IF(C2622="JR",20,IF(C2622="Estágio",10,0))))),IF(C2622="Técnico III",SUMIFS($D:$D,$A:$A,$A2622,$B:$B,"&lt;&gt;Patrícia Karla de Sousa Araújo",$B:$B,"&lt;&gt;Lorena Dias de Araujo",$B:$B,"&lt;&gt;Lucas Luiz Romero")*(35/1083),IF(C2622="Técnico II",SUMIFS($D:$D,$A:$A,$A2622,$B:$B,"&lt;&gt;Patrícia Karla de Sousa Araújo",$B:$B,"&lt;&gt;Lorena Dias de Araujo",$B:$B,"&lt;&gt;Lucas Luiz Romero")*(28/1083),IF(C2622="Técnico I",SUMIFS($D:$D,$A:$A,$A2622,$B:$B,"&lt;&gt;Patrícia Karla de Sousa Araújo",$B:$B,"&lt;&gt;Lorena Dias de Araujo",$B:$B,"&lt;&gt;Lucas Luiz Romero")*(23/1083),IF(C2622="JR",SUMIFS($D:$D,$A:$A,$A2622,$B:$B,"&lt;&gt;Patrícia Karla de Sousa Araújo",$B:$B,"&lt;&gt;Lorena Dias de Araujo",$B:$B,"&lt;&gt;Lucas Luiz Romero")*(20/1083),IF(C2622="Estágio",SUMIFS($D:$D,$A:$A,$A2622,$B:$B,"&lt;&gt;Patrícia Karla de Sousa Araújo",$B:$B,"&lt;&gt;Lorena Dias de Araujo",$B:$B,"&lt;&gt;Lucas Luiz Romero")*(10/1083),0)))))),0)</f>
        <v>22</v>
      </c>
      <c r="K2622" s="3">
        <f>I2622-J2622</f>
        <v>8</v>
      </c>
      <c r="L2622" s="3" t="str">
        <f>IF(K2622&lt;-5,"CRÍTICO",IF(K2622&lt;0,"ATENÇÃO",IF(K2622&lt;=5,"BOM","EXCELENTE")))</f>
        <v>EXCELENTE</v>
      </c>
      <c r="M2622">
        <v>22</v>
      </c>
      <c r="N2622">
        <v>94.29</v>
      </c>
      <c r="O2622">
        <v>25.647668393782389</v>
      </c>
    </row>
    <row r="2623" spans="1:15" hidden="1" x14ac:dyDescent="0.25">
      <c r="A2623" s="11">
        <v>46084</v>
      </c>
      <c r="B2623" t="s">
        <v>31</v>
      </c>
      <c r="C2623" t="s">
        <v>32</v>
      </c>
      <c r="D2623">
        <v>0</v>
      </c>
      <c r="E2623">
        <v>0</v>
      </c>
      <c r="F2623">
        <v>0</v>
      </c>
      <c r="G2623">
        <v>0</v>
      </c>
      <c r="H2623">
        <v>0</v>
      </c>
      <c r="I2623" s="3">
        <v>0</v>
      </c>
      <c r="J2623" s="3">
        <v>0</v>
      </c>
      <c r="K2623" s="3">
        <v>0</v>
      </c>
      <c r="L2623" s="3" t="str">
        <f>IF(K2623&lt;-5,"CRÍTICO",IF(K2623&lt;0,"ATENÇÃO",IF(K2623&lt;=5,"BOM","EXCELENTE")))</f>
        <v>BOM</v>
      </c>
      <c r="M2623">
        <v>21</v>
      </c>
      <c r="N2623">
        <v>98.26</v>
      </c>
      <c r="O2623">
        <v>26.666666666666671</v>
      </c>
    </row>
    <row r="2624" spans="1:15" hidden="1" x14ac:dyDescent="0.25">
      <c r="A2624" s="11">
        <v>46084</v>
      </c>
      <c r="B2624" t="s">
        <v>59</v>
      </c>
      <c r="C2624" t="s">
        <v>23</v>
      </c>
      <c r="D2624">
        <v>33</v>
      </c>
      <c r="E2624">
        <v>30</v>
      </c>
      <c r="F2624">
        <v>18.39</v>
      </c>
      <c r="G2624">
        <v>0</v>
      </c>
      <c r="H2624">
        <v>0</v>
      </c>
      <c r="I2624" s="3">
        <f>E2624+G2624+H2624</f>
        <v>30</v>
      </c>
      <c r="J2624" s="3">
        <f>ROUND(MIN(IF(C2624="Técnico III",35,IF(C2624="Técnico II",28,IF(C2624="Técnico I",23,IF(C2624="JR",20,IF(C2624="Estágio",10,0))))),IF(C2624="Técnico III",SUMIFS($D:$D,$A:$A,$A2624,$B:$B,"&lt;&gt;Patrícia Karla de Sousa Araújo",$B:$B,"&lt;&gt;Lorena Dias de Araujo",$B:$B,"&lt;&gt;Lucas Luiz Romero")*(35/1083),IF(C2624="Técnico II",SUMIFS($D:$D,$A:$A,$A2624,$B:$B,"&lt;&gt;Patrícia Karla de Sousa Araújo",$B:$B,"&lt;&gt;Lorena Dias de Araujo",$B:$B,"&lt;&gt;Lucas Luiz Romero")*(28/1083),IF(C2624="Técnico I",SUMIFS($D:$D,$A:$A,$A2624,$B:$B,"&lt;&gt;Patrícia Karla de Sousa Araújo",$B:$B,"&lt;&gt;Lorena Dias de Araujo",$B:$B,"&lt;&gt;Lucas Luiz Romero")*(23/1083),IF(C2624="JR",SUMIFS($D:$D,$A:$A,$A2624,$B:$B,"&lt;&gt;Patrícia Karla de Sousa Araújo",$B:$B,"&lt;&gt;Lorena Dias de Araujo",$B:$B,"&lt;&gt;Lucas Luiz Romero")*(20/1083),IF(C2624="Estágio",SUMIFS($D:$D,$A:$A,$A2624,$B:$B,"&lt;&gt;Patrícia Karla de Sousa Araújo",$B:$B,"&lt;&gt;Lorena Dias de Araujo",$B:$B,"&lt;&gt;Lucas Luiz Romero")*(10/1083),0)))))),0)</f>
        <v>18</v>
      </c>
      <c r="K2624" s="3">
        <f>I2624-J2624</f>
        <v>12</v>
      </c>
      <c r="L2624" s="3" t="str">
        <f>IF(K2624&lt;-5,"CRÍTICO",IF(K2624&lt;0,"ATENÇÃO",IF(K2624&lt;=5,"BOM","EXCELENTE")))</f>
        <v>EXCELENTE</v>
      </c>
      <c r="M2624">
        <v>25</v>
      </c>
      <c r="N2624">
        <v>98.2</v>
      </c>
      <c r="O2624">
        <v>23.37962962962963</v>
      </c>
    </row>
    <row r="2625" spans="1:15" hidden="1" x14ac:dyDescent="0.25">
      <c r="A2625" s="11">
        <v>46084</v>
      </c>
      <c r="B2625" t="s">
        <v>33</v>
      </c>
      <c r="C2625" t="s">
        <v>32</v>
      </c>
      <c r="D2625">
        <v>27</v>
      </c>
      <c r="E2625">
        <v>24</v>
      </c>
      <c r="F2625">
        <v>22.09</v>
      </c>
      <c r="G2625">
        <v>0</v>
      </c>
      <c r="H2625">
        <v>0</v>
      </c>
      <c r="I2625" s="3">
        <f>E2625+G2625+H2625</f>
        <v>24</v>
      </c>
      <c r="J2625" s="3">
        <f>ROUND(MIN(IF(C2625="Técnico III",35,IF(C2625="Técnico II",28,IF(C2625="Técnico I",23,IF(C2625="JR",20,IF(C2625="Estágio",10,0))))),IF(C2625="Técnico III",SUMIFS($D:$D,$A:$A,$A2625,$B:$B,"&lt;&gt;Patrícia Karla de Sousa Araújo",$B:$B,"&lt;&gt;Lorena Dias de Araujo",$B:$B,"&lt;&gt;Lucas Luiz Romero")*(35/1083),IF(C2625="Técnico II",SUMIFS($D:$D,$A:$A,$A2625,$B:$B,"&lt;&gt;Patrícia Karla de Sousa Araújo",$B:$B,"&lt;&gt;Lorena Dias de Araujo",$B:$B,"&lt;&gt;Lucas Luiz Romero")*(28/1083),IF(C2625="Técnico I",SUMIFS($D:$D,$A:$A,$A2625,$B:$B,"&lt;&gt;Patrícia Karla de Sousa Araújo",$B:$B,"&lt;&gt;Lorena Dias de Araujo",$B:$B,"&lt;&gt;Lucas Luiz Romero")*(23/1083),IF(C2625="JR",SUMIFS($D:$D,$A:$A,$A2625,$B:$B,"&lt;&gt;Patrícia Karla de Sousa Araújo",$B:$B,"&lt;&gt;Lorena Dias de Araujo",$B:$B,"&lt;&gt;Lucas Luiz Romero")*(20/1083),IF(C2625="Estágio",SUMIFS($D:$D,$A:$A,$A2625,$B:$B,"&lt;&gt;Patrícia Karla de Sousa Araújo",$B:$B,"&lt;&gt;Lorena Dias de Araujo",$B:$B,"&lt;&gt;Lucas Luiz Romero")*(10/1083),0)))))),0)</f>
        <v>27</v>
      </c>
      <c r="K2625" s="3">
        <f>I2625-J2625</f>
        <v>-3</v>
      </c>
      <c r="L2625" s="3" t="str">
        <f>IF(K2625&lt;-5,"CRÍTICO",IF(K2625&lt;0,"ATENÇÃO",IF(K2625&lt;=5,"BOM","EXCELENTE")))</f>
        <v>ATENÇÃO</v>
      </c>
      <c r="M2625">
        <v>32</v>
      </c>
      <c r="N2625">
        <v>97.3</v>
      </c>
      <c r="O2625">
        <v>23.84769539078156</v>
      </c>
    </row>
    <row r="2626" spans="1:15" hidden="1" x14ac:dyDescent="0.25">
      <c r="A2626" s="11">
        <v>46084</v>
      </c>
      <c r="B2626" t="s">
        <v>15</v>
      </c>
      <c r="C2626" t="s">
        <v>16</v>
      </c>
      <c r="D2626">
        <v>9</v>
      </c>
      <c r="E2626">
        <v>8</v>
      </c>
      <c r="F2626">
        <v>25.22</v>
      </c>
      <c r="G2626">
        <v>0</v>
      </c>
      <c r="H2626">
        <v>0</v>
      </c>
      <c r="I2626" s="3">
        <f>E2626+G2626+H2626</f>
        <v>8</v>
      </c>
      <c r="J2626" s="3">
        <f>ROUND(MIN(IF(C2626="Técnico III",35,IF(C2626="Técnico II",28,IF(C2626="Técnico I",23,IF(C2626="JR",20,IF(C2626="Estágio",10,0))))),IF(C2626="Técnico III",SUMIFS($D:$D,$A:$A,$A2626,$B:$B,"&lt;&gt;Patrícia Karla de Sousa Araújo",$B:$B,"&lt;&gt;Lorena Dias de Araujo",$B:$B,"&lt;&gt;Lucas Luiz Romero")*(35/1083),IF(C2626="Técnico II",SUMIFS($D:$D,$A:$A,$A2626,$B:$B,"&lt;&gt;Patrícia Karla de Sousa Araújo",$B:$B,"&lt;&gt;Lorena Dias de Araujo",$B:$B,"&lt;&gt;Lucas Luiz Romero")*(28/1083),IF(C2626="Técnico I",SUMIFS($D:$D,$A:$A,$A2626,$B:$B,"&lt;&gt;Patrícia Karla de Sousa Araújo",$B:$B,"&lt;&gt;Lorena Dias de Araujo",$B:$B,"&lt;&gt;Lucas Luiz Romero")*(23/1083),IF(C2626="JR",SUMIFS($D:$D,$A:$A,$A2626,$B:$B,"&lt;&gt;Patrícia Karla de Sousa Araújo",$B:$B,"&lt;&gt;Lorena Dias de Araujo",$B:$B,"&lt;&gt;Lucas Luiz Romero")*(20/1083),IF(C2626="Estágio",SUMIFS($D:$D,$A:$A,$A2626,$B:$B,"&lt;&gt;Patrícia Karla de Sousa Araújo",$B:$B,"&lt;&gt;Lorena Dias de Araujo",$B:$B,"&lt;&gt;Lucas Luiz Romero")*(10/1083),0)))))),0)</f>
        <v>8</v>
      </c>
      <c r="K2626" s="3">
        <f>I2626-J2626</f>
        <v>0</v>
      </c>
      <c r="L2626" s="3" t="str">
        <f>IF(K2626&lt;-5,"CRÍTICO",IF(K2626&lt;0,"ATENÇÃO",IF(K2626&lt;=5,"BOM","EXCELENTE")))</f>
        <v>BOM</v>
      </c>
      <c r="M2626">
        <v>6</v>
      </c>
      <c r="N2626">
        <v>100</v>
      </c>
      <c r="O2626">
        <v>25.268817204301079</v>
      </c>
    </row>
    <row r="2627" spans="1:15" hidden="1" x14ac:dyDescent="0.25">
      <c r="A2627" s="11">
        <v>46084</v>
      </c>
      <c r="B2627" t="s">
        <v>49</v>
      </c>
      <c r="C2627" t="s">
        <v>48</v>
      </c>
      <c r="D2627">
        <v>29</v>
      </c>
      <c r="E2627">
        <v>25</v>
      </c>
      <c r="F2627">
        <v>20.13</v>
      </c>
      <c r="G2627">
        <v>0</v>
      </c>
      <c r="H2627">
        <v>0</v>
      </c>
      <c r="I2627" s="3">
        <f>E2627+G2627+H2627</f>
        <v>25</v>
      </c>
      <c r="J2627" s="3">
        <f>ROUND(MIN(IF(C2627="Técnico III",35,IF(C2627="Técnico II",28,IF(C2627="Técnico I",23,IF(C2627="JR",20,IF(C2627="Estágio",10,0))))),IF(C2627="Técnico III",SUMIFS($D:$D,$A:$A,$A2627,$B:$B,"&lt;&gt;Patrícia Karla de Sousa Araújo",$B:$B,"&lt;&gt;Lorena Dias de Araujo",$B:$B,"&lt;&gt;Lucas Luiz Romero")*(35/1083),IF(C2627="Técnico II",SUMIFS($D:$D,$A:$A,$A2627,$B:$B,"&lt;&gt;Patrícia Karla de Sousa Araújo",$B:$B,"&lt;&gt;Lorena Dias de Araujo",$B:$B,"&lt;&gt;Lucas Luiz Romero")*(28/1083),IF(C2627="Técnico I",SUMIFS($D:$D,$A:$A,$A2627,$B:$B,"&lt;&gt;Patrícia Karla de Sousa Araújo",$B:$B,"&lt;&gt;Lorena Dias de Araujo",$B:$B,"&lt;&gt;Lucas Luiz Romero")*(23/1083),IF(C2627="JR",SUMIFS($D:$D,$A:$A,$A2627,$B:$B,"&lt;&gt;Patrícia Karla de Sousa Araújo",$B:$B,"&lt;&gt;Lorena Dias de Araujo",$B:$B,"&lt;&gt;Lucas Luiz Romero")*(20/1083),IF(C2627="Estágio",SUMIFS($D:$D,$A:$A,$A2627,$B:$B,"&lt;&gt;Patrícia Karla de Sousa Araújo",$B:$B,"&lt;&gt;Lorena Dias de Araujo",$B:$B,"&lt;&gt;Lucas Luiz Romero")*(10/1083),0)))))),0)</f>
        <v>22</v>
      </c>
      <c r="K2627" s="3">
        <f>I2627-J2627</f>
        <v>3</v>
      </c>
      <c r="L2627" s="3" t="str">
        <f>IF(K2627&lt;-5,"CRÍTICO",IF(K2627&lt;0,"ATENÇÃO",IF(K2627&lt;=5,"BOM","EXCELENTE")))</f>
        <v>BOM</v>
      </c>
      <c r="M2627">
        <v>27</v>
      </c>
      <c r="N2627">
        <v>99.32</v>
      </c>
      <c r="O2627">
        <v>22.822822822822818</v>
      </c>
    </row>
    <row r="2628" spans="1:15" hidden="1" x14ac:dyDescent="0.25">
      <c r="A2628" s="11">
        <v>46084</v>
      </c>
      <c r="B2628" t="s">
        <v>50</v>
      </c>
      <c r="C2628" t="s">
        <v>48</v>
      </c>
      <c r="D2628">
        <v>0</v>
      </c>
      <c r="E2628">
        <v>0</v>
      </c>
      <c r="F2628">
        <v>0</v>
      </c>
      <c r="G2628">
        <v>0</v>
      </c>
      <c r="H2628">
        <v>0</v>
      </c>
      <c r="I2628" s="3">
        <v>0</v>
      </c>
      <c r="J2628" s="3">
        <v>0</v>
      </c>
      <c r="K2628" s="3">
        <v>0</v>
      </c>
      <c r="L2628" s="3" t="str">
        <f>IF(K2628&lt;-5,"CRÍTICO",IF(K2628&lt;0,"ATENÇÃO",IF(K2628&lt;=5,"BOM","EXCELENTE")))</f>
        <v>BOM</v>
      </c>
      <c r="M2628">
        <v>0</v>
      </c>
      <c r="N2628">
        <v>100</v>
      </c>
      <c r="O2628">
        <v>27.966101694915249</v>
      </c>
    </row>
    <row r="2629" spans="1:15" hidden="1" x14ac:dyDescent="0.25">
      <c r="A2629" s="11">
        <v>46084</v>
      </c>
      <c r="B2629" t="s">
        <v>17</v>
      </c>
      <c r="C2629" t="s">
        <v>16</v>
      </c>
      <c r="D2629">
        <v>0</v>
      </c>
      <c r="E2629">
        <v>0</v>
      </c>
      <c r="F2629">
        <v>0</v>
      </c>
      <c r="G2629">
        <v>0</v>
      </c>
      <c r="H2629">
        <v>0</v>
      </c>
      <c r="I2629" s="3">
        <v>0</v>
      </c>
      <c r="J2629" s="3">
        <v>0</v>
      </c>
      <c r="K2629" s="3">
        <v>0</v>
      </c>
      <c r="L2629" s="3" t="str">
        <f>IF(K2629&lt;-5,"CRÍTICO",IF(K2629&lt;0,"ATENÇÃO",IF(K2629&lt;=5,"BOM","EXCELENTE")))</f>
        <v>BOM</v>
      </c>
      <c r="M2629">
        <v>0</v>
      </c>
      <c r="N2629">
        <v>100</v>
      </c>
      <c r="O2629">
        <v>30.434782608695659</v>
      </c>
    </row>
    <row r="2630" spans="1:15" hidden="1" x14ac:dyDescent="0.25">
      <c r="A2630" s="11">
        <v>46084</v>
      </c>
      <c r="B2630" t="s">
        <v>60</v>
      </c>
      <c r="C2630" t="s">
        <v>23</v>
      </c>
      <c r="D2630">
        <v>22</v>
      </c>
      <c r="E2630">
        <v>22</v>
      </c>
      <c r="F2630">
        <v>25.18</v>
      </c>
      <c r="G2630">
        <v>0</v>
      </c>
      <c r="H2630">
        <v>0</v>
      </c>
      <c r="I2630" s="3">
        <f>E2630+G2630+H2630</f>
        <v>22</v>
      </c>
      <c r="J2630" s="3">
        <f>ROUND(MIN(IF(C2630="Técnico III",35,IF(C2630="Técnico II",28,IF(C2630="Técnico I",23,IF(C2630="JR",20,IF(C2630="Estágio",10,0))))),IF(C2630="Técnico III",SUMIFS($D:$D,$A:$A,$A2630,$B:$B,"&lt;&gt;Patrícia Karla de Sousa Araújo",$B:$B,"&lt;&gt;Lorena Dias de Araujo",$B:$B,"&lt;&gt;Lucas Luiz Romero")*(35/1083),IF(C2630="Técnico II",SUMIFS($D:$D,$A:$A,$A2630,$B:$B,"&lt;&gt;Patrícia Karla de Sousa Araújo",$B:$B,"&lt;&gt;Lorena Dias de Araujo",$B:$B,"&lt;&gt;Lucas Luiz Romero")*(28/1083),IF(C2630="Técnico I",SUMIFS($D:$D,$A:$A,$A2630,$B:$B,"&lt;&gt;Patrícia Karla de Sousa Araújo",$B:$B,"&lt;&gt;Lorena Dias de Araujo",$B:$B,"&lt;&gt;Lucas Luiz Romero")*(23/1083),IF(C2630="JR",SUMIFS($D:$D,$A:$A,$A2630,$B:$B,"&lt;&gt;Patrícia Karla de Sousa Araújo",$B:$B,"&lt;&gt;Lorena Dias de Araujo",$B:$B,"&lt;&gt;Lucas Luiz Romero")*(20/1083),IF(C2630="Estágio",SUMIFS($D:$D,$A:$A,$A2630,$B:$B,"&lt;&gt;Patrícia Karla de Sousa Araújo",$B:$B,"&lt;&gt;Lorena Dias de Araujo",$B:$B,"&lt;&gt;Lucas Luiz Romero")*(10/1083),0)))))),0)</f>
        <v>18</v>
      </c>
      <c r="K2630" s="3">
        <f>I2630-J2630</f>
        <v>4</v>
      </c>
      <c r="L2630" s="3" t="str">
        <f>IF(K2630&lt;-5,"CRÍTICO",IF(K2630&lt;0,"ATENÇÃO",IF(K2630&lt;=5,"BOM","EXCELENTE")))</f>
        <v>BOM</v>
      </c>
      <c r="M2630">
        <v>20</v>
      </c>
      <c r="N2630">
        <v>96.51</v>
      </c>
      <c r="O2630">
        <v>22.802850356294542</v>
      </c>
    </row>
    <row r="2631" spans="1:15" hidden="1" x14ac:dyDescent="0.25">
      <c r="A2631" s="11">
        <v>46084</v>
      </c>
      <c r="B2631" t="s">
        <v>34</v>
      </c>
      <c r="C2631" t="s">
        <v>32</v>
      </c>
      <c r="D2631">
        <v>36</v>
      </c>
      <c r="E2631">
        <v>34</v>
      </c>
      <c r="F2631">
        <v>15.55</v>
      </c>
      <c r="G2631">
        <v>0</v>
      </c>
      <c r="H2631">
        <v>0</v>
      </c>
      <c r="I2631" s="3">
        <f>E2631+G2631+H2631</f>
        <v>34</v>
      </c>
      <c r="J2631" s="3">
        <f>ROUND(MIN(IF(C2631="Técnico III",35,IF(C2631="Técnico II",28,IF(C2631="Técnico I",23,IF(C2631="JR",20,IF(C2631="Estágio",10,0))))),IF(C2631="Técnico III",SUMIFS($D:$D,$A:$A,$A2631,$B:$B,"&lt;&gt;Patrícia Karla de Sousa Araújo",$B:$B,"&lt;&gt;Lorena Dias de Araujo",$B:$B,"&lt;&gt;Lucas Luiz Romero")*(35/1083),IF(C2631="Técnico II",SUMIFS($D:$D,$A:$A,$A2631,$B:$B,"&lt;&gt;Patrícia Karla de Sousa Araújo",$B:$B,"&lt;&gt;Lorena Dias de Araujo",$B:$B,"&lt;&gt;Lucas Luiz Romero")*(28/1083),IF(C2631="Técnico I",SUMIFS($D:$D,$A:$A,$A2631,$B:$B,"&lt;&gt;Patrícia Karla de Sousa Araújo",$B:$B,"&lt;&gt;Lorena Dias de Araujo",$B:$B,"&lt;&gt;Lucas Luiz Romero")*(23/1083),IF(C2631="JR",SUMIFS($D:$D,$A:$A,$A2631,$B:$B,"&lt;&gt;Patrícia Karla de Sousa Araújo",$B:$B,"&lt;&gt;Lorena Dias de Araujo",$B:$B,"&lt;&gt;Lucas Luiz Romero")*(20/1083),IF(C2631="Estágio",SUMIFS($D:$D,$A:$A,$A2631,$B:$B,"&lt;&gt;Patrícia Karla de Sousa Araújo",$B:$B,"&lt;&gt;Lorena Dias de Araujo",$B:$B,"&lt;&gt;Lucas Luiz Romero")*(10/1083),0)))))),0)</f>
        <v>27</v>
      </c>
      <c r="K2631" s="3">
        <f>I2631-J2631</f>
        <v>7</v>
      </c>
      <c r="L2631" s="3" t="str">
        <f>IF(K2631&lt;-5,"CRÍTICO",IF(K2631&lt;0,"ATENÇÃO",IF(K2631&lt;=5,"BOM","EXCELENTE")))</f>
        <v>EXCELENTE</v>
      </c>
      <c r="M2631">
        <v>34</v>
      </c>
      <c r="N2631">
        <v>92.68</v>
      </c>
      <c r="O2631">
        <v>27.777777777777779</v>
      </c>
    </row>
    <row r="2632" spans="1:15" hidden="1" x14ac:dyDescent="0.25">
      <c r="A2632" s="11">
        <v>46084</v>
      </c>
      <c r="B2632" t="s">
        <v>51</v>
      </c>
      <c r="C2632" t="s">
        <v>48</v>
      </c>
      <c r="D2632">
        <v>27</v>
      </c>
      <c r="E2632">
        <v>25</v>
      </c>
      <c r="F2632">
        <v>25.36</v>
      </c>
      <c r="G2632">
        <v>0</v>
      </c>
      <c r="H2632">
        <v>0</v>
      </c>
      <c r="I2632" s="3">
        <v>0</v>
      </c>
      <c r="J2632" s="3">
        <v>0</v>
      </c>
      <c r="K2632" s="3">
        <v>0</v>
      </c>
      <c r="L2632" s="3" t="str">
        <f>IF(K2632&lt;-5,"CRÍTICO",IF(K2632&lt;0,"ATENÇÃO",IF(K2632&lt;=5,"BOM","EXCELENTE")))</f>
        <v>BOM</v>
      </c>
      <c r="M2632">
        <v>21</v>
      </c>
      <c r="N2632">
        <v>99.03</v>
      </c>
      <c r="O2632">
        <v>23.991507430997881</v>
      </c>
    </row>
    <row r="2633" spans="1:15" hidden="1" x14ac:dyDescent="0.25">
      <c r="A2633" s="11">
        <v>46084</v>
      </c>
      <c r="B2633" t="s">
        <v>61</v>
      </c>
      <c r="C2633" t="s">
        <v>23</v>
      </c>
      <c r="D2633">
        <v>37</v>
      </c>
      <c r="E2633">
        <v>34</v>
      </c>
      <c r="F2633">
        <v>17.02</v>
      </c>
      <c r="G2633">
        <v>0</v>
      </c>
      <c r="H2633">
        <v>0</v>
      </c>
      <c r="I2633" s="3">
        <f>E2633+G2633+H2633</f>
        <v>34</v>
      </c>
      <c r="J2633" s="3">
        <f>ROUND(MIN(IF(C2633="Técnico III",35,IF(C2633="Técnico II",28,IF(C2633="Técnico I",23,IF(C2633="JR",20,IF(C2633="Estágio",10,0))))),IF(C2633="Técnico III",SUMIFS($D:$D,$A:$A,$A2633,$B:$B,"&lt;&gt;Patrícia Karla de Sousa Araújo",$B:$B,"&lt;&gt;Lorena Dias de Araujo",$B:$B,"&lt;&gt;Lucas Luiz Romero")*(35/1083),IF(C2633="Técnico II",SUMIFS($D:$D,$A:$A,$A2633,$B:$B,"&lt;&gt;Patrícia Karla de Sousa Araújo",$B:$B,"&lt;&gt;Lorena Dias de Araujo",$B:$B,"&lt;&gt;Lucas Luiz Romero")*(28/1083),IF(C2633="Técnico I",SUMIFS($D:$D,$A:$A,$A2633,$B:$B,"&lt;&gt;Patrícia Karla de Sousa Araújo",$B:$B,"&lt;&gt;Lorena Dias de Araujo",$B:$B,"&lt;&gt;Lucas Luiz Romero")*(23/1083),IF(C2633="JR",SUMIFS($D:$D,$A:$A,$A2633,$B:$B,"&lt;&gt;Patrícia Karla de Sousa Araújo",$B:$B,"&lt;&gt;Lorena Dias de Araujo",$B:$B,"&lt;&gt;Lucas Luiz Romero")*(20/1083),IF(C2633="Estágio",SUMIFS($D:$D,$A:$A,$A2633,$B:$B,"&lt;&gt;Patrícia Karla de Sousa Araújo",$B:$B,"&lt;&gt;Lorena Dias de Araujo",$B:$B,"&lt;&gt;Lucas Luiz Romero")*(10/1083),0)))))),0)</f>
        <v>18</v>
      </c>
      <c r="K2633" s="3">
        <f>I2633-J2633</f>
        <v>16</v>
      </c>
      <c r="L2633" s="3" t="str">
        <f>IF(K2633&lt;-5,"CRÍTICO",IF(K2633&lt;0,"ATENÇÃO",IF(K2633&lt;=5,"BOM","EXCELENTE")))</f>
        <v>EXCELENTE</v>
      </c>
      <c r="M2633">
        <v>14</v>
      </c>
      <c r="N2633">
        <v>98.41</v>
      </c>
      <c r="O2633">
        <v>28.138528138528141</v>
      </c>
    </row>
    <row r="2634" spans="1:15" hidden="1" x14ac:dyDescent="0.25">
      <c r="A2634" s="11">
        <v>46084</v>
      </c>
      <c r="B2634" t="s">
        <v>35</v>
      </c>
      <c r="C2634" t="s">
        <v>32</v>
      </c>
      <c r="D2634">
        <v>32</v>
      </c>
      <c r="E2634">
        <v>32</v>
      </c>
      <c r="F2634">
        <v>24.12</v>
      </c>
      <c r="G2634">
        <v>0</v>
      </c>
      <c r="H2634">
        <v>0</v>
      </c>
      <c r="I2634" s="3">
        <v>0</v>
      </c>
      <c r="J2634" s="3">
        <v>0</v>
      </c>
      <c r="K2634" s="3">
        <v>0</v>
      </c>
      <c r="L2634" s="3" t="str">
        <f>IF(K2634&lt;-5,"CRÍTICO",IF(K2634&lt;0,"ATENÇÃO",IF(K2634&lt;=5,"BOM","EXCELENTE")))</f>
        <v>BOM</v>
      </c>
      <c r="M2634">
        <v>33</v>
      </c>
      <c r="N2634">
        <v>98.73</v>
      </c>
      <c r="O2634">
        <v>29.142857142857139</v>
      </c>
    </row>
    <row r="2635" spans="1:15" hidden="1" x14ac:dyDescent="0.25">
      <c r="A2635" s="11">
        <v>46084</v>
      </c>
      <c r="B2635" t="s">
        <v>18</v>
      </c>
      <c r="C2635" t="s">
        <v>16</v>
      </c>
      <c r="D2635">
        <v>5</v>
      </c>
      <c r="E2635">
        <v>5</v>
      </c>
      <c r="F2635">
        <v>62.16</v>
      </c>
      <c r="G2635">
        <v>0</v>
      </c>
      <c r="H2635">
        <v>0</v>
      </c>
      <c r="I2635" s="3">
        <f>E2635+G2635+H2635</f>
        <v>5</v>
      </c>
      <c r="J2635" s="3">
        <f>ROUND(MIN(IF(C2635="Técnico III",35,IF(C2635="Técnico II",28,IF(C2635="Técnico I",23,IF(C2635="JR",20,IF(C2635="Estágio",10,0))))),IF(C2635="Técnico III",SUMIFS($D:$D,$A:$A,$A2635,$B:$B,"&lt;&gt;Patrícia Karla de Sousa Araújo",$B:$B,"&lt;&gt;Lorena Dias de Araujo",$B:$B,"&lt;&gt;Lucas Luiz Romero")*(35/1083),IF(C2635="Técnico II",SUMIFS($D:$D,$A:$A,$A2635,$B:$B,"&lt;&gt;Patrícia Karla de Sousa Araújo",$B:$B,"&lt;&gt;Lorena Dias de Araujo",$B:$B,"&lt;&gt;Lucas Luiz Romero")*(28/1083),IF(C2635="Técnico I",SUMIFS($D:$D,$A:$A,$A2635,$B:$B,"&lt;&gt;Patrícia Karla de Sousa Araújo",$B:$B,"&lt;&gt;Lorena Dias de Araujo",$B:$B,"&lt;&gt;Lucas Luiz Romero")*(23/1083),IF(C2635="JR",SUMIFS($D:$D,$A:$A,$A2635,$B:$B,"&lt;&gt;Patrícia Karla de Sousa Araújo",$B:$B,"&lt;&gt;Lorena Dias de Araujo",$B:$B,"&lt;&gt;Lucas Luiz Romero")*(20/1083),IF(C2635="Estágio",SUMIFS($D:$D,$A:$A,$A2635,$B:$B,"&lt;&gt;Patrícia Karla de Sousa Araújo",$B:$B,"&lt;&gt;Lorena Dias de Araujo",$B:$B,"&lt;&gt;Lucas Luiz Romero")*(10/1083),0)))))),0)</f>
        <v>8</v>
      </c>
      <c r="K2635" s="3">
        <f>I2635-J2635</f>
        <v>-3</v>
      </c>
      <c r="L2635" s="3" t="str">
        <f>IF(K2635&lt;-5,"CRÍTICO",IF(K2635&lt;0,"ATENÇÃO",IF(K2635&lt;=5,"BOM","EXCELENTE")))</f>
        <v>ATENÇÃO</v>
      </c>
      <c r="M2635">
        <v>3</v>
      </c>
      <c r="N2635">
        <v>90.48</v>
      </c>
      <c r="O2635">
        <v>20.68965517241379</v>
      </c>
    </row>
    <row r="2636" spans="1:15" hidden="1" x14ac:dyDescent="0.25">
      <c r="A2636" s="11">
        <v>46084</v>
      </c>
      <c r="B2636" t="s">
        <v>52</v>
      </c>
      <c r="C2636" t="s">
        <v>48</v>
      </c>
      <c r="D2636">
        <v>44</v>
      </c>
      <c r="E2636">
        <v>43</v>
      </c>
      <c r="F2636">
        <v>17.2</v>
      </c>
      <c r="G2636">
        <v>0</v>
      </c>
      <c r="H2636">
        <v>0</v>
      </c>
      <c r="I2636" s="3">
        <f>E2636+G2636+H2636</f>
        <v>43</v>
      </c>
      <c r="J2636" s="3">
        <f>ROUND(MIN(IF(C2636="Técnico III",35,IF(C2636="Técnico II",28,IF(C2636="Técnico I",23,IF(C2636="JR",20,IF(C2636="Estágio",10,0))))),IF(C2636="Técnico III",SUMIFS($D:$D,$A:$A,$A2636,$B:$B,"&lt;&gt;Patrícia Karla de Sousa Araújo",$B:$B,"&lt;&gt;Lorena Dias de Araujo",$B:$B,"&lt;&gt;Lucas Luiz Romero")*(35/1083),IF(C2636="Técnico II",SUMIFS($D:$D,$A:$A,$A2636,$B:$B,"&lt;&gt;Patrícia Karla de Sousa Araújo",$B:$B,"&lt;&gt;Lorena Dias de Araujo",$B:$B,"&lt;&gt;Lucas Luiz Romero")*(28/1083),IF(C2636="Técnico I",SUMIFS($D:$D,$A:$A,$A2636,$B:$B,"&lt;&gt;Patrícia Karla de Sousa Araújo",$B:$B,"&lt;&gt;Lorena Dias de Araujo",$B:$B,"&lt;&gt;Lucas Luiz Romero")*(23/1083),IF(C2636="JR",SUMIFS($D:$D,$A:$A,$A2636,$B:$B,"&lt;&gt;Patrícia Karla de Sousa Araújo",$B:$B,"&lt;&gt;Lorena Dias de Araujo",$B:$B,"&lt;&gt;Lucas Luiz Romero")*(20/1083),IF(C2636="Estágio",SUMIFS($D:$D,$A:$A,$A2636,$B:$B,"&lt;&gt;Patrícia Karla de Sousa Araújo",$B:$B,"&lt;&gt;Lorena Dias de Araujo",$B:$B,"&lt;&gt;Lucas Luiz Romero")*(10/1083),0)))))),0)</f>
        <v>22</v>
      </c>
      <c r="K2636" s="3">
        <f>I2636-J2636</f>
        <v>21</v>
      </c>
      <c r="L2636" s="3" t="str">
        <f>IF(K2636&lt;-5,"CRÍTICO",IF(K2636&lt;0,"ATENÇÃO",IF(K2636&lt;=5,"BOM","EXCELENTE")))</f>
        <v>EXCELENTE</v>
      </c>
      <c r="M2636">
        <v>35</v>
      </c>
      <c r="N2636">
        <v>98.06</v>
      </c>
      <c r="O2636">
        <v>24.789915966386559</v>
      </c>
    </row>
    <row r="2637" spans="1:15" hidden="1" x14ac:dyDescent="0.25">
      <c r="A2637" s="11">
        <v>46084</v>
      </c>
      <c r="B2637" t="s">
        <v>36</v>
      </c>
      <c r="C2637" t="s">
        <v>32</v>
      </c>
      <c r="D2637">
        <v>20</v>
      </c>
      <c r="E2637">
        <v>18</v>
      </c>
      <c r="F2637">
        <v>13.25</v>
      </c>
      <c r="G2637">
        <v>0</v>
      </c>
      <c r="H2637">
        <v>0</v>
      </c>
      <c r="I2637" s="3">
        <f>E2637+G2637+H2637</f>
        <v>18</v>
      </c>
      <c r="J2637" s="3">
        <f>ROUND(MIN(IF(C2637="Técnico III",35,IF(C2637="Técnico II",28,IF(C2637="Técnico I",23,IF(C2637="JR",20,IF(C2637="Estágio",10,0))))),IF(C2637="Técnico III",SUMIFS($D:$D,$A:$A,$A2637,$B:$B,"&lt;&gt;Patrícia Karla de Sousa Araújo",$B:$B,"&lt;&gt;Lorena Dias de Araujo",$B:$B,"&lt;&gt;Lucas Luiz Romero")*(35/1083),IF(C2637="Técnico II",SUMIFS($D:$D,$A:$A,$A2637,$B:$B,"&lt;&gt;Patrícia Karla de Sousa Araújo",$B:$B,"&lt;&gt;Lorena Dias de Araujo",$B:$B,"&lt;&gt;Lucas Luiz Romero")*(28/1083),IF(C2637="Técnico I",SUMIFS($D:$D,$A:$A,$A2637,$B:$B,"&lt;&gt;Patrícia Karla de Sousa Araújo",$B:$B,"&lt;&gt;Lorena Dias de Araujo",$B:$B,"&lt;&gt;Lucas Luiz Romero")*(23/1083),IF(C2637="JR",SUMIFS($D:$D,$A:$A,$A2637,$B:$B,"&lt;&gt;Patrícia Karla de Sousa Araújo",$B:$B,"&lt;&gt;Lorena Dias de Araujo",$B:$B,"&lt;&gt;Lucas Luiz Romero")*(20/1083),IF(C2637="Estágio",SUMIFS($D:$D,$A:$A,$A2637,$B:$B,"&lt;&gt;Patrícia Karla de Sousa Araújo",$B:$B,"&lt;&gt;Lorena Dias de Araujo",$B:$B,"&lt;&gt;Lucas Luiz Romero")*(10/1083),0)))))),0)</f>
        <v>27</v>
      </c>
      <c r="K2637" s="3">
        <f>I2637-J2637</f>
        <v>-9</v>
      </c>
      <c r="L2637" s="3" t="str">
        <f>IF(K2637&lt;-5,"CRÍTICO",IF(K2637&lt;0,"ATENÇÃO",IF(K2637&lt;=5,"BOM","EXCELENTE")))</f>
        <v>CRÍTICO</v>
      </c>
      <c r="M2637">
        <v>22</v>
      </c>
      <c r="N2637">
        <v>97.78</v>
      </c>
      <c r="O2637">
        <v>25.494071146245059</v>
      </c>
    </row>
    <row r="2638" spans="1:15" hidden="1" x14ac:dyDescent="0.25">
      <c r="A2638" s="11">
        <v>46084</v>
      </c>
      <c r="B2638" t="s">
        <v>53</v>
      </c>
      <c r="C2638" t="s">
        <v>48</v>
      </c>
      <c r="D2638">
        <v>35</v>
      </c>
      <c r="E2638">
        <v>34</v>
      </c>
      <c r="F2638">
        <v>21.41</v>
      </c>
      <c r="G2638">
        <v>0</v>
      </c>
      <c r="H2638">
        <v>0</v>
      </c>
      <c r="I2638" s="3">
        <f>E2638+G2638+H2638</f>
        <v>34</v>
      </c>
      <c r="J2638" s="3">
        <f>ROUND(MIN(IF(C2638="Técnico III",35,IF(C2638="Técnico II",28,IF(C2638="Técnico I",23,IF(C2638="JR",20,IF(C2638="Estágio",10,0))))),IF(C2638="Técnico III",SUMIFS($D:$D,$A:$A,$A2638,$B:$B,"&lt;&gt;Patrícia Karla de Sousa Araújo",$B:$B,"&lt;&gt;Lorena Dias de Araujo",$B:$B,"&lt;&gt;Lucas Luiz Romero")*(35/1083),IF(C2638="Técnico II",SUMIFS($D:$D,$A:$A,$A2638,$B:$B,"&lt;&gt;Patrícia Karla de Sousa Araújo",$B:$B,"&lt;&gt;Lorena Dias de Araujo",$B:$B,"&lt;&gt;Lucas Luiz Romero")*(28/1083),IF(C2638="Técnico I",SUMIFS($D:$D,$A:$A,$A2638,$B:$B,"&lt;&gt;Patrícia Karla de Sousa Araújo",$B:$B,"&lt;&gt;Lorena Dias de Araujo",$B:$B,"&lt;&gt;Lucas Luiz Romero")*(23/1083),IF(C2638="JR",SUMIFS($D:$D,$A:$A,$A2638,$B:$B,"&lt;&gt;Patrícia Karla de Sousa Araújo",$B:$B,"&lt;&gt;Lorena Dias de Araujo",$B:$B,"&lt;&gt;Lucas Luiz Romero")*(20/1083),IF(C2638="Estágio",SUMIFS($D:$D,$A:$A,$A2638,$B:$B,"&lt;&gt;Patrícia Karla de Sousa Araújo",$B:$B,"&lt;&gt;Lorena Dias de Araujo",$B:$B,"&lt;&gt;Lucas Luiz Romero")*(10/1083),0)))))),0)</f>
        <v>22</v>
      </c>
      <c r="K2638" s="3">
        <f>I2638-J2638</f>
        <v>12</v>
      </c>
      <c r="L2638" s="3" t="str">
        <f>IF(K2638&lt;-5,"CRÍTICO",IF(K2638&lt;0,"ATENÇÃO",IF(K2638&lt;=5,"BOM","EXCELENTE")))</f>
        <v>EXCELENTE</v>
      </c>
      <c r="M2638">
        <v>31</v>
      </c>
      <c r="N2638">
        <v>98.02</v>
      </c>
      <c r="O2638">
        <v>23.484848484848481</v>
      </c>
    </row>
    <row r="2639" spans="1:15" hidden="1" x14ac:dyDescent="0.25">
      <c r="A2639" s="11">
        <v>46118</v>
      </c>
      <c r="B2639" t="s">
        <v>22</v>
      </c>
      <c r="C2639" t="s">
        <v>23</v>
      </c>
      <c r="D2639">
        <v>30</v>
      </c>
      <c r="E2639">
        <v>26</v>
      </c>
      <c r="F2639">
        <v>15.1</v>
      </c>
      <c r="G2639">
        <v>0</v>
      </c>
      <c r="H2639">
        <v>0</v>
      </c>
      <c r="I2639" s="3">
        <f>E2639+G2639+H2639</f>
        <v>26</v>
      </c>
      <c r="J2639" s="3">
        <f>ROUND(MIN(IF(C2639="Técnico III",35,IF(C2639="Técnico II",28,IF(C2639="Técnico I",23,IF(C2639="JR",20,IF(C2639="Estágio",10,0))))),IF(C2639="Técnico III",SUMIFS($D:$D,$A:$A,$A2639,$B:$B,"&lt;&gt;Patrícia Karla de Sousa Araújo",$B:$B,"&lt;&gt;Lorena Dias de Araujo",$B:$B,"&lt;&gt;Lucas Luiz Romero")*(35/1083),IF(C2639="Técnico II",SUMIFS($D:$D,$A:$A,$A2639,$B:$B,"&lt;&gt;Patrícia Karla de Sousa Araújo",$B:$B,"&lt;&gt;Lorena Dias de Araujo",$B:$B,"&lt;&gt;Lucas Luiz Romero")*(28/1083),IF(C2639="Técnico I",SUMIFS($D:$D,$A:$A,$A2639,$B:$B,"&lt;&gt;Patrícia Karla de Sousa Araújo",$B:$B,"&lt;&gt;Lorena Dias de Araujo",$B:$B,"&lt;&gt;Lucas Luiz Romero")*(23/1083),IF(C2639="JR",SUMIFS($D:$D,$A:$A,$A2639,$B:$B,"&lt;&gt;Patrícia Karla de Sousa Araújo",$B:$B,"&lt;&gt;Lorena Dias de Araujo",$B:$B,"&lt;&gt;Lucas Luiz Romero")*(20/1083),IF(C2639="Estágio",SUMIFS($D:$D,$A:$A,$A2639,$B:$B,"&lt;&gt;Patrícia Karla de Sousa Araújo",$B:$B,"&lt;&gt;Lorena Dias de Araujo",$B:$B,"&lt;&gt;Lucas Luiz Romero")*(10/1083),0)))))),0)</f>
        <v>20</v>
      </c>
      <c r="K2639" s="3">
        <f>I2639-J2639</f>
        <v>6</v>
      </c>
      <c r="L2639" s="3" t="str">
        <f>IF(K2639&lt;-5,"CRÍTICO",IF(K2639&lt;0,"ATENÇÃO",IF(K2639&lt;=5,"OPORTUNO","MUITO BOM")))</f>
        <v>MUITO BOM</v>
      </c>
      <c r="M2639">
        <v>23</v>
      </c>
      <c r="N2639">
        <v>99.28</v>
      </c>
      <c r="O2639">
        <v>27.689243027888441</v>
      </c>
    </row>
    <row r="2640" spans="1:15" hidden="1" x14ac:dyDescent="0.25">
      <c r="A2640" s="11">
        <v>46084</v>
      </c>
      <c r="B2640" t="s">
        <v>54</v>
      </c>
      <c r="C2640" t="s">
        <v>48</v>
      </c>
      <c r="D2640">
        <v>32</v>
      </c>
      <c r="E2640">
        <v>31</v>
      </c>
      <c r="F2640">
        <v>16.510000000000002</v>
      </c>
      <c r="G2640">
        <v>0</v>
      </c>
      <c r="H2640">
        <v>0</v>
      </c>
      <c r="I2640" s="3">
        <f>E2640+G2640+H2640</f>
        <v>31</v>
      </c>
      <c r="J2640" s="3">
        <f>ROUND(MIN(IF(C2640="Técnico III",35,IF(C2640="Técnico II",28,IF(C2640="Técnico I",23,IF(C2640="JR",20,IF(C2640="Estágio",10,0))))),IF(C2640="Técnico III",SUMIFS($D:$D,$A:$A,$A2640,$B:$B,"&lt;&gt;Patrícia Karla de Sousa Araújo",$B:$B,"&lt;&gt;Lorena Dias de Araujo",$B:$B,"&lt;&gt;Lucas Luiz Romero")*(35/1083),IF(C2640="Técnico II",SUMIFS($D:$D,$A:$A,$A2640,$B:$B,"&lt;&gt;Patrícia Karla de Sousa Araújo",$B:$B,"&lt;&gt;Lorena Dias de Araujo",$B:$B,"&lt;&gt;Lucas Luiz Romero")*(28/1083),IF(C2640="Técnico I",SUMIFS($D:$D,$A:$A,$A2640,$B:$B,"&lt;&gt;Patrícia Karla de Sousa Araújo",$B:$B,"&lt;&gt;Lorena Dias de Araujo",$B:$B,"&lt;&gt;Lucas Luiz Romero")*(23/1083),IF(C2640="JR",SUMIFS($D:$D,$A:$A,$A2640,$B:$B,"&lt;&gt;Patrícia Karla de Sousa Araújo",$B:$B,"&lt;&gt;Lorena Dias de Araujo",$B:$B,"&lt;&gt;Lucas Luiz Romero")*(20/1083),IF(C2640="Estágio",SUMIFS($D:$D,$A:$A,$A2640,$B:$B,"&lt;&gt;Patrícia Karla de Sousa Araújo",$B:$B,"&lt;&gt;Lorena Dias de Araujo",$B:$B,"&lt;&gt;Lucas Luiz Romero")*(10/1083),0)))))),0)</f>
        <v>22</v>
      </c>
      <c r="K2640" s="3">
        <f>I2640-J2640</f>
        <v>9</v>
      </c>
      <c r="L2640" s="3" t="str">
        <f>IF(K2640&lt;-5,"CRÍTICO",IF(K2640&lt;0,"ATENÇÃO",IF(K2640&lt;=5,"BOM","EXCELENTE")))</f>
        <v>EXCELENTE</v>
      </c>
      <c r="M2640">
        <v>28</v>
      </c>
      <c r="N2640">
        <v>100</v>
      </c>
      <c r="O2640">
        <v>27.04918032786885</v>
      </c>
    </row>
    <row r="2641" spans="1:15" hidden="1" x14ac:dyDescent="0.25">
      <c r="A2641" s="11">
        <v>46084</v>
      </c>
      <c r="B2641" t="s">
        <v>37</v>
      </c>
      <c r="C2641" t="s">
        <v>32</v>
      </c>
      <c r="D2641">
        <v>46</v>
      </c>
      <c r="E2641">
        <v>42</v>
      </c>
      <c r="F2641">
        <v>15.35</v>
      </c>
      <c r="G2641">
        <v>0</v>
      </c>
      <c r="H2641">
        <v>0</v>
      </c>
      <c r="I2641" s="3">
        <f>E2641+G2641+H2641</f>
        <v>42</v>
      </c>
      <c r="J2641" s="3">
        <f>ROUND(MIN(IF(C2641="Técnico III",35,IF(C2641="Técnico II",28,IF(C2641="Técnico I",23,IF(C2641="JR",20,IF(C2641="Estágio",10,0))))),IF(C2641="Técnico III",SUMIFS($D:$D,$A:$A,$A2641,$B:$B,"&lt;&gt;Patrícia Karla de Sousa Araújo",$B:$B,"&lt;&gt;Lorena Dias de Araujo",$B:$B,"&lt;&gt;Lucas Luiz Romero")*(35/1083),IF(C2641="Técnico II",SUMIFS($D:$D,$A:$A,$A2641,$B:$B,"&lt;&gt;Patrícia Karla de Sousa Araújo",$B:$B,"&lt;&gt;Lorena Dias de Araujo",$B:$B,"&lt;&gt;Lucas Luiz Romero")*(28/1083),IF(C2641="Técnico I",SUMIFS($D:$D,$A:$A,$A2641,$B:$B,"&lt;&gt;Patrícia Karla de Sousa Araújo",$B:$B,"&lt;&gt;Lorena Dias de Araujo",$B:$B,"&lt;&gt;Lucas Luiz Romero")*(23/1083),IF(C2641="JR",SUMIFS($D:$D,$A:$A,$A2641,$B:$B,"&lt;&gt;Patrícia Karla de Sousa Araújo",$B:$B,"&lt;&gt;Lorena Dias de Araujo",$B:$B,"&lt;&gt;Lucas Luiz Romero")*(20/1083),IF(C2641="Estágio",SUMIFS($D:$D,$A:$A,$A2641,$B:$B,"&lt;&gt;Patrícia Karla de Sousa Araújo",$B:$B,"&lt;&gt;Lorena Dias de Araujo",$B:$B,"&lt;&gt;Lucas Luiz Romero")*(10/1083),0)))))),0)</f>
        <v>27</v>
      </c>
      <c r="K2641" s="3">
        <f>I2641-J2641</f>
        <v>15</v>
      </c>
      <c r="L2641" s="3" t="str">
        <f>IF(K2641&lt;-5,"CRÍTICO",IF(K2641&lt;0,"ATENÇÃO",IF(K2641&lt;=5,"BOM","EXCELENTE")))</f>
        <v>EXCELENTE</v>
      </c>
      <c r="M2641">
        <v>41</v>
      </c>
      <c r="N2641">
        <v>97.83</v>
      </c>
      <c r="O2641">
        <v>26.315789473684209</v>
      </c>
    </row>
    <row r="2642" spans="1:15" hidden="1" x14ac:dyDescent="0.25">
      <c r="A2642" s="11">
        <v>46084</v>
      </c>
      <c r="B2642" t="s">
        <v>38</v>
      </c>
      <c r="C2642" t="s">
        <v>32</v>
      </c>
      <c r="D2642">
        <v>4</v>
      </c>
      <c r="E2642">
        <v>3</v>
      </c>
      <c r="F2642">
        <v>15.16</v>
      </c>
      <c r="G2642">
        <v>0</v>
      </c>
      <c r="H2642">
        <v>0</v>
      </c>
      <c r="I2642" s="3">
        <f>E2642+G2642+H2642</f>
        <v>3</v>
      </c>
      <c r="J2642" s="3">
        <f>ROUND(MIN(IF(C2642="Técnico III",35,IF(C2642="Técnico II",28,IF(C2642="Técnico I",23,IF(C2642="JR",20,IF(C2642="Estágio",10,0))))),IF(C2642="Técnico III",SUMIFS($D:$D,$A:$A,$A2642,$B:$B,"&lt;&gt;Patrícia Karla de Sousa Araújo",$B:$B,"&lt;&gt;Lorena Dias de Araujo",$B:$B,"&lt;&gt;Lucas Luiz Romero")*(35/1083),IF(C2642="Técnico II",SUMIFS($D:$D,$A:$A,$A2642,$B:$B,"&lt;&gt;Patrícia Karla de Sousa Araújo",$B:$B,"&lt;&gt;Lorena Dias de Araujo",$B:$B,"&lt;&gt;Lucas Luiz Romero")*(28/1083),IF(C2642="Técnico I",SUMIFS($D:$D,$A:$A,$A2642,$B:$B,"&lt;&gt;Patrícia Karla de Sousa Araújo",$B:$B,"&lt;&gt;Lorena Dias de Araujo",$B:$B,"&lt;&gt;Lucas Luiz Romero")*(23/1083),IF(C2642="JR",SUMIFS($D:$D,$A:$A,$A2642,$B:$B,"&lt;&gt;Patrícia Karla de Sousa Araújo",$B:$B,"&lt;&gt;Lorena Dias de Araujo",$B:$B,"&lt;&gt;Lucas Luiz Romero")*(20/1083),IF(C2642="Estágio",SUMIFS($D:$D,$A:$A,$A2642,$B:$B,"&lt;&gt;Patrícia Karla de Sousa Araújo",$B:$B,"&lt;&gt;Lorena Dias de Araujo",$B:$B,"&lt;&gt;Lucas Luiz Romero")*(10/1083),0)))))),0)</f>
        <v>27</v>
      </c>
      <c r="K2642" s="3">
        <f>I2642-J2642</f>
        <v>-24</v>
      </c>
      <c r="L2642" s="3" t="str">
        <f>IF(K2642&lt;-5,"CRÍTICO",IF(K2642&lt;0,"ATENÇÃO",IF(K2642&lt;=5,"BOM","EXCELENTE")))</f>
        <v>CRÍTICO</v>
      </c>
      <c r="M2642">
        <v>6</v>
      </c>
      <c r="N2642">
        <v>100</v>
      </c>
      <c r="O2642">
        <v>26.701570680628269</v>
      </c>
    </row>
    <row r="2643" spans="1:15" hidden="1" x14ac:dyDescent="0.25">
      <c r="A2643" s="11">
        <v>46084</v>
      </c>
      <c r="B2643" t="s">
        <v>55</v>
      </c>
      <c r="C2643" t="s">
        <v>48</v>
      </c>
      <c r="D2643">
        <v>34</v>
      </c>
      <c r="E2643">
        <v>31</v>
      </c>
      <c r="F2643">
        <v>18.54</v>
      </c>
      <c r="G2643">
        <v>0</v>
      </c>
      <c r="H2643">
        <v>0</v>
      </c>
      <c r="I2643" s="3">
        <f>E2643+G2643+H2643</f>
        <v>31</v>
      </c>
      <c r="J2643" s="3">
        <f>ROUND(MIN(IF(C2643="Técnico III",35,IF(C2643="Técnico II",28,IF(C2643="Técnico I",23,IF(C2643="JR",20,IF(C2643="Estágio",10,0))))),IF(C2643="Técnico III",SUMIFS($D:$D,$A:$A,$A2643,$B:$B,"&lt;&gt;Patrícia Karla de Sousa Araújo",$B:$B,"&lt;&gt;Lorena Dias de Araujo",$B:$B,"&lt;&gt;Lucas Luiz Romero")*(35/1083),IF(C2643="Técnico II",SUMIFS($D:$D,$A:$A,$A2643,$B:$B,"&lt;&gt;Patrícia Karla de Sousa Araújo",$B:$B,"&lt;&gt;Lorena Dias de Araujo",$B:$B,"&lt;&gt;Lucas Luiz Romero")*(28/1083),IF(C2643="Técnico I",SUMIFS($D:$D,$A:$A,$A2643,$B:$B,"&lt;&gt;Patrícia Karla de Sousa Araújo",$B:$B,"&lt;&gt;Lorena Dias de Araujo",$B:$B,"&lt;&gt;Lucas Luiz Romero")*(23/1083),IF(C2643="JR",SUMIFS($D:$D,$A:$A,$A2643,$B:$B,"&lt;&gt;Patrícia Karla de Sousa Araújo",$B:$B,"&lt;&gt;Lorena Dias de Araujo",$B:$B,"&lt;&gt;Lucas Luiz Romero")*(20/1083),IF(C2643="Estágio",SUMIFS($D:$D,$A:$A,$A2643,$B:$B,"&lt;&gt;Patrícia Karla de Sousa Araújo",$B:$B,"&lt;&gt;Lorena Dias de Araujo",$B:$B,"&lt;&gt;Lucas Luiz Romero")*(10/1083),0)))))),0)</f>
        <v>22</v>
      </c>
      <c r="K2643" s="3">
        <f>I2643-J2643</f>
        <v>9</v>
      </c>
      <c r="L2643" s="3" t="str">
        <f>IF(K2643&lt;-5,"CRÍTICO",IF(K2643&lt;0,"ATENÇÃO",IF(K2643&lt;=5,"BOM","EXCELENTE")))</f>
        <v>EXCELENTE</v>
      </c>
      <c r="M2643">
        <v>29</v>
      </c>
      <c r="N2643">
        <v>97.47</v>
      </c>
      <c r="O2643">
        <v>22.887323943661968</v>
      </c>
    </row>
    <row r="2644" spans="1:15" hidden="1" x14ac:dyDescent="0.25">
      <c r="A2644" s="11">
        <v>46084</v>
      </c>
      <c r="B2644" t="s">
        <v>39</v>
      </c>
      <c r="C2644" t="s">
        <v>32</v>
      </c>
      <c r="D2644">
        <v>0</v>
      </c>
      <c r="E2644">
        <v>0</v>
      </c>
      <c r="F2644">
        <v>0</v>
      </c>
      <c r="G2644">
        <v>0</v>
      </c>
      <c r="H2644">
        <v>0</v>
      </c>
      <c r="I2644" s="3">
        <v>0</v>
      </c>
      <c r="J2644" s="3">
        <v>0</v>
      </c>
      <c r="K2644" s="3">
        <v>0</v>
      </c>
      <c r="L2644" s="3" t="str">
        <f>IF(K2644&lt;-5,"CRÍTICO",IF(K2644&lt;0,"ATENÇÃO",IF(K2644&lt;=5,"BOM","EXCELENTE")))</f>
        <v>BOM</v>
      </c>
      <c r="M2644">
        <v>0</v>
      </c>
      <c r="N2644">
        <v>0</v>
      </c>
      <c r="O2644">
        <v>0</v>
      </c>
    </row>
    <row r="2645" spans="1:15" hidden="1" x14ac:dyDescent="0.25">
      <c r="A2645" s="11">
        <v>46084</v>
      </c>
      <c r="B2645" t="s">
        <v>25</v>
      </c>
      <c r="C2645" t="s">
        <v>26</v>
      </c>
      <c r="D2645">
        <v>14</v>
      </c>
      <c r="E2645">
        <v>14</v>
      </c>
      <c r="F2645">
        <v>26.42</v>
      </c>
      <c r="G2645">
        <v>0</v>
      </c>
      <c r="H2645">
        <v>0</v>
      </c>
      <c r="I2645" s="3">
        <f>E2645+G2645+H2645</f>
        <v>14</v>
      </c>
      <c r="J2645" s="3">
        <f>ROUND(MIN(IF(C2645="Técnico III",35,IF(C2645="Técnico II",28,IF(C2645="Técnico I",23,IF(C2645="JR",20,IF(C2645="Estágio",10,0))))),IF(C2645="Técnico III",SUMIFS($D:$D,$A:$A,$A2645,$B:$B,"&lt;&gt;Patrícia Karla de Sousa Araújo",$B:$B,"&lt;&gt;Lorena Dias de Araujo",$B:$B,"&lt;&gt;Lucas Luiz Romero")*(35/1083),IF(C2645="Técnico II",SUMIFS($D:$D,$A:$A,$A2645,$B:$B,"&lt;&gt;Patrícia Karla de Sousa Araújo",$B:$B,"&lt;&gt;Lorena Dias de Araujo",$B:$B,"&lt;&gt;Lucas Luiz Romero")*(28/1083),IF(C2645="Técnico I",SUMIFS($D:$D,$A:$A,$A2645,$B:$B,"&lt;&gt;Patrícia Karla de Sousa Araújo",$B:$B,"&lt;&gt;Lorena Dias de Araujo",$B:$B,"&lt;&gt;Lucas Luiz Romero")*(23/1083),IF(C2645="JR",SUMIFS($D:$D,$A:$A,$A2645,$B:$B,"&lt;&gt;Patrícia Karla de Sousa Araújo",$B:$B,"&lt;&gt;Lorena Dias de Araujo",$B:$B,"&lt;&gt;Lucas Luiz Romero")*(20/1083),IF(C2645="Estágio",SUMIFS($D:$D,$A:$A,$A2645,$B:$B,"&lt;&gt;Patrícia Karla de Sousa Araújo",$B:$B,"&lt;&gt;Lorena Dias de Araujo",$B:$B,"&lt;&gt;Lucas Luiz Romero")*(10/1083),0)))))),0)</f>
        <v>15</v>
      </c>
      <c r="K2645" s="3">
        <f>I2645-J2645</f>
        <v>-1</v>
      </c>
      <c r="L2645" s="3" t="str">
        <f>IF(K2645&lt;-5,"CRÍTICO",IF(K2645&lt;0,"ATENÇÃO",IF(K2645&lt;=5,"BOM","EXCELENTE")))</f>
        <v>ATENÇÃO</v>
      </c>
      <c r="M2645">
        <v>12</v>
      </c>
      <c r="N2645">
        <v>98.31</v>
      </c>
      <c r="O2645">
        <v>24.920127795527151</v>
      </c>
    </row>
    <row r="2646" spans="1:15" hidden="1" x14ac:dyDescent="0.25">
      <c r="A2646" s="11">
        <v>46084</v>
      </c>
      <c r="B2646" t="s">
        <v>40</v>
      </c>
      <c r="C2646" t="s">
        <v>32</v>
      </c>
      <c r="D2646">
        <v>2</v>
      </c>
      <c r="E2646">
        <v>2</v>
      </c>
      <c r="F2646">
        <v>27.01</v>
      </c>
      <c r="G2646">
        <v>0</v>
      </c>
      <c r="H2646">
        <v>0</v>
      </c>
      <c r="I2646" s="3">
        <f>E2646+G2646+H2646</f>
        <v>2</v>
      </c>
      <c r="J2646" s="3">
        <f>ROUND(MIN(IF(C2646="Técnico III",35,IF(C2646="Técnico II",28,IF(C2646="Técnico I",23,IF(C2646="JR",20,IF(C2646="Estágio",10,0))))),IF(C2646="Técnico III",SUMIFS($D:$D,$A:$A,$A2646,$B:$B,"&lt;&gt;Patrícia Karla de Sousa Araújo",$B:$B,"&lt;&gt;Lorena Dias de Araujo",$B:$B,"&lt;&gt;Lucas Luiz Romero")*(35/1083),IF(C2646="Técnico II",SUMIFS($D:$D,$A:$A,$A2646,$B:$B,"&lt;&gt;Patrícia Karla de Sousa Araújo",$B:$B,"&lt;&gt;Lorena Dias de Araujo",$B:$B,"&lt;&gt;Lucas Luiz Romero")*(28/1083),IF(C2646="Técnico I",SUMIFS($D:$D,$A:$A,$A2646,$B:$B,"&lt;&gt;Patrícia Karla de Sousa Araújo",$B:$B,"&lt;&gt;Lorena Dias de Araujo",$B:$B,"&lt;&gt;Lucas Luiz Romero")*(23/1083),IF(C2646="JR",SUMIFS($D:$D,$A:$A,$A2646,$B:$B,"&lt;&gt;Patrícia Karla de Sousa Araújo",$B:$B,"&lt;&gt;Lorena Dias de Araujo",$B:$B,"&lt;&gt;Lucas Luiz Romero")*(20/1083),IF(C2646="Estágio",SUMIFS($D:$D,$A:$A,$A2646,$B:$B,"&lt;&gt;Patrícia Karla de Sousa Araújo",$B:$B,"&lt;&gt;Lorena Dias de Araujo",$B:$B,"&lt;&gt;Lucas Luiz Romero")*(10/1083),0)))))),0)</f>
        <v>27</v>
      </c>
      <c r="K2646" s="3">
        <f>I2646-J2646</f>
        <v>-25</v>
      </c>
      <c r="L2646" s="3" t="str">
        <f>IF(K2646&lt;-5,"CRÍTICO",IF(K2646&lt;0,"ATENÇÃO",IF(K2646&lt;=5,"BOM","EXCELENTE")))</f>
        <v>CRÍTICO</v>
      </c>
      <c r="M2646">
        <v>6</v>
      </c>
      <c r="N2646">
        <v>96.81</v>
      </c>
      <c r="O2646">
        <v>32.365145228215773</v>
      </c>
    </row>
    <row r="2647" spans="1:15" hidden="1" x14ac:dyDescent="0.25">
      <c r="A2647" s="11">
        <v>46084</v>
      </c>
      <c r="B2647" t="s">
        <v>27</v>
      </c>
      <c r="C2647" t="s">
        <v>26</v>
      </c>
      <c r="D2647">
        <v>0</v>
      </c>
      <c r="E2647">
        <v>0</v>
      </c>
      <c r="F2647">
        <v>0</v>
      </c>
      <c r="G2647">
        <v>0</v>
      </c>
      <c r="H2647">
        <v>0</v>
      </c>
      <c r="I2647" s="3">
        <v>0</v>
      </c>
      <c r="J2647" s="3">
        <v>0</v>
      </c>
      <c r="K2647" s="3">
        <v>0</v>
      </c>
      <c r="L2647" s="3" t="str">
        <f>IF(K2647&lt;-5,"CRÍTICO",IF(K2647&lt;0,"ATENÇÃO",IF(K2647&lt;=5,"BOM","EXCELENTE")))</f>
        <v>BOM</v>
      </c>
      <c r="M2647">
        <v>0</v>
      </c>
      <c r="N2647">
        <v>100</v>
      </c>
      <c r="O2647">
        <v>26.47058823529412</v>
      </c>
    </row>
    <row r="2648" spans="1:15" hidden="1" x14ac:dyDescent="0.25">
      <c r="A2648" s="11">
        <v>46084</v>
      </c>
      <c r="B2648" t="s">
        <v>41</v>
      </c>
      <c r="C2648" t="s">
        <v>32</v>
      </c>
      <c r="D2648">
        <v>4</v>
      </c>
      <c r="E2648">
        <v>4</v>
      </c>
      <c r="F2648">
        <v>25.43</v>
      </c>
      <c r="G2648">
        <v>0</v>
      </c>
      <c r="H2648">
        <v>0</v>
      </c>
      <c r="I2648" s="3">
        <f>E2648+G2648+H2648</f>
        <v>4</v>
      </c>
      <c r="J2648" s="3">
        <f>ROUND(MIN(IF(C2648="Técnico III",35,IF(C2648="Técnico II",28,IF(C2648="Técnico I",23,IF(C2648="JR",20,IF(C2648="Estágio",10,0))))),IF(C2648="Técnico III",SUMIFS($D:$D,$A:$A,$A2648,$B:$B,"&lt;&gt;Patrícia Karla de Sousa Araújo",$B:$B,"&lt;&gt;Lorena Dias de Araujo",$B:$B,"&lt;&gt;Lucas Luiz Romero")*(35/1083),IF(C2648="Técnico II",SUMIFS($D:$D,$A:$A,$A2648,$B:$B,"&lt;&gt;Patrícia Karla de Sousa Araújo",$B:$B,"&lt;&gt;Lorena Dias de Araujo",$B:$B,"&lt;&gt;Lucas Luiz Romero")*(28/1083),IF(C2648="Técnico I",SUMIFS($D:$D,$A:$A,$A2648,$B:$B,"&lt;&gt;Patrícia Karla de Sousa Araújo",$B:$B,"&lt;&gt;Lorena Dias de Araujo",$B:$B,"&lt;&gt;Lucas Luiz Romero")*(23/1083),IF(C2648="JR",SUMIFS($D:$D,$A:$A,$A2648,$B:$B,"&lt;&gt;Patrícia Karla de Sousa Araújo",$B:$B,"&lt;&gt;Lorena Dias de Araujo",$B:$B,"&lt;&gt;Lucas Luiz Romero")*(20/1083),IF(C2648="Estágio",SUMIFS($D:$D,$A:$A,$A2648,$B:$B,"&lt;&gt;Patrícia Karla de Sousa Araújo",$B:$B,"&lt;&gt;Lorena Dias de Araujo",$B:$B,"&lt;&gt;Lucas Luiz Romero")*(10/1083),0)))))),0)</f>
        <v>27</v>
      </c>
      <c r="K2648" s="3">
        <f>I2648-J2648</f>
        <v>-23</v>
      </c>
      <c r="L2648" s="3" t="str">
        <f>IF(K2648&lt;-5,"CRÍTICO",IF(K2648&lt;0,"ATENÇÃO",IF(K2648&lt;=5,"BOM","EXCELENTE")))</f>
        <v>CRÍTICO</v>
      </c>
      <c r="M2648">
        <v>15</v>
      </c>
      <c r="N2648">
        <v>100</v>
      </c>
      <c r="O2648">
        <v>28.490028490028489</v>
      </c>
    </row>
    <row r="2649" spans="1:15" hidden="1" x14ac:dyDescent="0.25">
      <c r="A2649" s="11">
        <v>46084</v>
      </c>
      <c r="B2649" t="s">
        <v>56</v>
      </c>
      <c r="C2649" t="s">
        <v>48</v>
      </c>
      <c r="D2649">
        <v>30</v>
      </c>
      <c r="E2649">
        <v>25</v>
      </c>
      <c r="F2649">
        <v>20.04</v>
      </c>
      <c r="G2649">
        <v>0</v>
      </c>
      <c r="H2649">
        <v>0</v>
      </c>
      <c r="I2649" s="3">
        <f>E2649+G2649+H2649</f>
        <v>25</v>
      </c>
      <c r="J2649" s="3">
        <f>ROUND(MIN(IF(C2649="Técnico III",35,IF(C2649="Técnico II",28,IF(C2649="Técnico I",23,IF(C2649="JR",20,IF(C2649="Estágio",10,0))))),IF(C2649="Técnico III",SUMIFS($D:$D,$A:$A,$A2649,$B:$B,"&lt;&gt;Patrícia Karla de Sousa Araújo",$B:$B,"&lt;&gt;Lorena Dias de Araujo",$B:$B,"&lt;&gt;Lucas Luiz Romero")*(35/1083),IF(C2649="Técnico II",SUMIFS($D:$D,$A:$A,$A2649,$B:$B,"&lt;&gt;Patrícia Karla de Sousa Araújo",$B:$B,"&lt;&gt;Lorena Dias de Araujo",$B:$B,"&lt;&gt;Lucas Luiz Romero")*(28/1083),IF(C2649="Técnico I",SUMIFS($D:$D,$A:$A,$A2649,$B:$B,"&lt;&gt;Patrícia Karla de Sousa Araújo",$B:$B,"&lt;&gt;Lorena Dias de Araujo",$B:$B,"&lt;&gt;Lucas Luiz Romero")*(23/1083),IF(C2649="JR",SUMIFS($D:$D,$A:$A,$A2649,$B:$B,"&lt;&gt;Patrícia Karla de Sousa Araújo",$B:$B,"&lt;&gt;Lorena Dias de Araujo",$B:$B,"&lt;&gt;Lucas Luiz Romero")*(20/1083),IF(C2649="Estágio",SUMIFS($D:$D,$A:$A,$A2649,$B:$B,"&lt;&gt;Patrícia Karla de Sousa Araújo",$B:$B,"&lt;&gt;Lorena Dias de Araujo",$B:$B,"&lt;&gt;Lucas Luiz Romero")*(10/1083),0)))))),0)</f>
        <v>22</v>
      </c>
      <c r="K2649" s="3">
        <f>I2649-J2649</f>
        <v>3</v>
      </c>
      <c r="L2649" s="3" t="str">
        <f>IF(K2649&lt;-5,"CRÍTICO",IF(K2649&lt;0,"ATENÇÃO",IF(K2649&lt;=5,"BOM","EXCELENTE")))</f>
        <v>BOM</v>
      </c>
      <c r="M2649">
        <v>20</v>
      </c>
      <c r="N2649">
        <v>99.14</v>
      </c>
      <c r="O2649">
        <v>27.2289156626506</v>
      </c>
    </row>
    <row r="2650" spans="1:15" hidden="1" x14ac:dyDescent="0.25">
      <c r="A2650" s="11">
        <v>46084</v>
      </c>
      <c r="B2650" t="s">
        <v>57</v>
      </c>
      <c r="C2650" t="s">
        <v>48</v>
      </c>
      <c r="D2650">
        <v>32</v>
      </c>
      <c r="E2650">
        <v>30</v>
      </c>
      <c r="F2650">
        <v>21.56</v>
      </c>
      <c r="G2650">
        <v>0</v>
      </c>
      <c r="H2650">
        <v>0</v>
      </c>
      <c r="I2650" s="3">
        <v>0</v>
      </c>
      <c r="J2650" s="3">
        <v>0</v>
      </c>
      <c r="K2650" s="3">
        <v>0</v>
      </c>
      <c r="L2650" s="3" t="str">
        <f>IF(K2650&lt;-5,"CRÍTICO",IF(K2650&lt;0,"ATENÇÃO",IF(K2650&lt;=5,"BOM","EXCELENTE")))</f>
        <v>BOM</v>
      </c>
      <c r="M2650">
        <v>27</v>
      </c>
      <c r="N2650">
        <v>97.52</v>
      </c>
      <c r="O2650">
        <v>28.205128205128201</v>
      </c>
    </row>
    <row r="2651" spans="1:15" hidden="1" x14ac:dyDescent="0.25">
      <c r="A2651" s="11">
        <v>46084</v>
      </c>
      <c r="B2651" t="s">
        <v>42</v>
      </c>
      <c r="C2651" t="s">
        <v>32</v>
      </c>
      <c r="D2651">
        <v>44</v>
      </c>
      <c r="E2651">
        <v>38</v>
      </c>
      <c r="F2651">
        <v>17.2</v>
      </c>
      <c r="G2651">
        <v>0</v>
      </c>
      <c r="H2651">
        <v>0</v>
      </c>
      <c r="I2651" s="3">
        <f>E2651+G2651+H2651</f>
        <v>38</v>
      </c>
      <c r="J2651" s="3">
        <f>ROUND(MIN(IF(C2651="Técnico III",35,IF(C2651="Técnico II",28,IF(C2651="Técnico I",23,IF(C2651="JR",20,IF(C2651="Estágio",10,0))))),IF(C2651="Técnico III",SUMIFS($D:$D,$A:$A,$A2651,$B:$B,"&lt;&gt;Patrícia Karla de Sousa Araújo",$B:$B,"&lt;&gt;Lorena Dias de Araujo",$B:$B,"&lt;&gt;Lucas Luiz Romero")*(35/1083),IF(C2651="Técnico II",SUMIFS($D:$D,$A:$A,$A2651,$B:$B,"&lt;&gt;Patrícia Karla de Sousa Araújo",$B:$B,"&lt;&gt;Lorena Dias de Araujo",$B:$B,"&lt;&gt;Lucas Luiz Romero")*(28/1083),IF(C2651="Técnico I",SUMIFS($D:$D,$A:$A,$A2651,$B:$B,"&lt;&gt;Patrícia Karla de Sousa Araújo",$B:$B,"&lt;&gt;Lorena Dias de Araujo",$B:$B,"&lt;&gt;Lucas Luiz Romero")*(23/1083),IF(C2651="JR",SUMIFS($D:$D,$A:$A,$A2651,$B:$B,"&lt;&gt;Patrícia Karla de Sousa Araújo",$B:$B,"&lt;&gt;Lorena Dias de Araujo",$B:$B,"&lt;&gt;Lucas Luiz Romero")*(20/1083),IF(C2651="Estágio",SUMIFS($D:$D,$A:$A,$A2651,$B:$B,"&lt;&gt;Patrícia Karla de Sousa Araújo",$B:$B,"&lt;&gt;Lorena Dias de Araujo",$B:$B,"&lt;&gt;Lucas Luiz Romero")*(10/1083),0)))))),0)</f>
        <v>27</v>
      </c>
      <c r="K2651" s="3">
        <f>I2651-J2651</f>
        <v>11</v>
      </c>
      <c r="L2651" s="3" t="str">
        <f>IF(K2651&lt;-5,"CRÍTICO",IF(K2651&lt;0,"ATENÇÃO",IF(K2651&lt;=5,"BOM","EXCELENTE")))</f>
        <v>EXCELENTE</v>
      </c>
      <c r="M2651">
        <v>19</v>
      </c>
      <c r="N2651">
        <v>90</v>
      </c>
      <c r="O2651">
        <v>24.186046511627911</v>
      </c>
    </row>
    <row r="2652" spans="1:15" hidden="1" x14ac:dyDescent="0.25">
      <c r="A2652" s="11">
        <v>46084</v>
      </c>
      <c r="B2652" t="s">
        <v>62</v>
      </c>
      <c r="C2652" t="s">
        <v>23</v>
      </c>
      <c r="D2652">
        <v>26</v>
      </c>
      <c r="E2652">
        <v>23</v>
      </c>
      <c r="F2652">
        <v>22.02</v>
      </c>
      <c r="G2652">
        <v>0</v>
      </c>
      <c r="H2652">
        <v>0</v>
      </c>
      <c r="I2652" s="3">
        <f>E2652+G2652+H2652</f>
        <v>23</v>
      </c>
      <c r="J2652" s="3">
        <f>ROUND(MIN(IF(C2652="Técnico III",35,IF(C2652="Técnico II",28,IF(C2652="Técnico I",23,IF(C2652="JR",20,IF(C2652="Estágio",10,0))))),IF(C2652="Técnico III",SUMIFS($D:$D,$A:$A,$A2652,$B:$B,"&lt;&gt;Patrícia Karla de Sousa Araújo",$B:$B,"&lt;&gt;Lorena Dias de Araujo",$B:$B,"&lt;&gt;Lucas Luiz Romero")*(35/1083),IF(C2652="Técnico II",SUMIFS($D:$D,$A:$A,$A2652,$B:$B,"&lt;&gt;Patrícia Karla de Sousa Araújo",$B:$B,"&lt;&gt;Lorena Dias de Araujo",$B:$B,"&lt;&gt;Lucas Luiz Romero")*(28/1083),IF(C2652="Técnico I",SUMIFS($D:$D,$A:$A,$A2652,$B:$B,"&lt;&gt;Patrícia Karla de Sousa Araújo",$B:$B,"&lt;&gt;Lorena Dias de Araujo",$B:$B,"&lt;&gt;Lucas Luiz Romero")*(23/1083),IF(C2652="JR",SUMIFS($D:$D,$A:$A,$A2652,$B:$B,"&lt;&gt;Patrícia Karla de Sousa Araújo",$B:$B,"&lt;&gt;Lorena Dias de Araujo",$B:$B,"&lt;&gt;Lucas Luiz Romero")*(20/1083),IF(C2652="Estágio",SUMIFS($D:$D,$A:$A,$A2652,$B:$B,"&lt;&gt;Patrícia Karla de Sousa Araújo",$B:$B,"&lt;&gt;Lorena Dias de Araujo",$B:$B,"&lt;&gt;Lucas Luiz Romero")*(10/1083),0)))))),0)</f>
        <v>18</v>
      </c>
      <c r="K2652" s="3">
        <f>I2652-J2652</f>
        <v>5</v>
      </c>
      <c r="L2652" s="3" t="str">
        <f>IF(K2652&lt;-5,"CRÍTICO",IF(K2652&lt;0,"ATENÇÃO",IF(K2652&lt;=5,"BOM","EXCELENTE")))</f>
        <v>BOM</v>
      </c>
      <c r="M2652">
        <v>23</v>
      </c>
      <c r="N2652">
        <v>98.9</v>
      </c>
      <c r="O2652">
        <v>26.763990267639901</v>
      </c>
    </row>
    <row r="2653" spans="1:15" hidden="1" x14ac:dyDescent="0.25">
      <c r="A2653" s="11">
        <v>46084</v>
      </c>
      <c r="B2653" t="s">
        <v>19</v>
      </c>
      <c r="C2653" t="s">
        <v>16</v>
      </c>
      <c r="D2653">
        <v>9</v>
      </c>
      <c r="E2653">
        <v>7</v>
      </c>
      <c r="F2653">
        <v>26.4</v>
      </c>
      <c r="G2653">
        <v>0</v>
      </c>
      <c r="H2653">
        <v>0</v>
      </c>
      <c r="I2653" s="3">
        <f>E2653+G2653+H2653</f>
        <v>7</v>
      </c>
      <c r="J2653" s="3">
        <f>ROUND(MIN(IF(C2653="Técnico III",35,IF(C2653="Técnico II",28,IF(C2653="Técnico I",23,IF(C2653="JR",20,IF(C2653="Estágio",10,0))))),IF(C2653="Técnico III",SUMIFS($D:$D,$A:$A,$A2653,$B:$B,"&lt;&gt;Patrícia Karla de Sousa Araújo",$B:$B,"&lt;&gt;Lorena Dias de Araujo",$B:$B,"&lt;&gt;Lucas Luiz Romero")*(35/1083),IF(C2653="Técnico II",SUMIFS($D:$D,$A:$A,$A2653,$B:$B,"&lt;&gt;Patrícia Karla de Sousa Araújo",$B:$B,"&lt;&gt;Lorena Dias de Araujo",$B:$B,"&lt;&gt;Lucas Luiz Romero")*(28/1083),IF(C2653="Técnico I",SUMIFS($D:$D,$A:$A,$A2653,$B:$B,"&lt;&gt;Patrícia Karla de Sousa Araújo",$B:$B,"&lt;&gt;Lorena Dias de Araujo",$B:$B,"&lt;&gt;Lucas Luiz Romero")*(23/1083),IF(C2653="JR",SUMIFS($D:$D,$A:$A,$A2653,$B:$B,"&lt;&gt;Patrícia Karla de Sousa Araújo",$B:$B,"&lt;&gt;Lorena Dias de Araujo",$B:$B,"&lt;&gt;Lucas Luiz Romero")*(20/1083),IF(C2653="Estágio",SUMIFS($D:$D,$A:$A,$A2653,$B:$B,"&lt;&gt;Patrícia Karla de Sousa Araújo",$B:$B,"&lt;&gt;Lorena Dias de Araujo",$B:$B,"&lt;&gt;Lucas Luiz Romero")*(10/1083),0)))))),0)</f>
        <v>8</v>
      </c>
      <c r="K2653" s="3">
        <f>I2653-J2653</f>
        <v>-1</v>
      </c>
      <c r="L2653" s="3" t="str">
        <f>IF(K2653&lt;-5,"CRÍTICO",IF(K2653&lt;0,"ATENÇÃO",IF(K2653&lt;=5,"BOM","EXCELENTE")))</f>
        <v>ATENÇÃO</v>
      </c>
      <c r="M2653">
        <v>7</v>
      </c>
      <c r="N2653">
        <v>88.89</v>
      </c>
      <c r="O2653">
        <v>25.263157894736839</v>
      </c>
    </row>
    <row r="2654" spans="1:15" hidden="1" x14ac:dyDescent="0.25">
      <c r="A2654" s="11">
        <v>46084</v>
      </c>
      <c r="B2654" t="s">
        <v>43</v>
      </c>
      <c r="C2654" t="s">
        <v>32</v>
      </c>
      <c r="D2654">
        <v>32</v>
      </c>
      <c r="E2654">
        <v>30</v>
      </c>
      <c r="F2654">
        <v>19.100000000000001</v>
      </c>
      <c r="G2654">
        <v>0</v>
      </c>
      <c r="H2654">
        <v>0</v>
      </c>
      <c r="I2654" s="3">
        <f>E2654+G2654+H2654</f>
        <v>30</v>
      </c>
      <c r="J2654" s="3">
        <f>ROUND(MIN(IF(C2654="Técnico III",35,IF(C2654="Técnico II",28,IF(C2654="Técnico I",23,IF(C2654="JR",20,IF(C2654="Estágio",10,0))))),IF(C2654="Técnico III",SUMIFS($D:$D,$A:$A,$A2654,$B:$B,"&lt;&gt;Patrícia Karla de Sousa Araújo",$B:$B,"&lt;&gt;Lorena Dias de Araujo",$B:$B,"&lt;&gt;Lucas Luiz Romero")*(35/1083),IF(C2654="Técnico II",SUMIFS($D:$D,$A:$A,$A2654,$B:$B,"&lt;&gt;Patrícia Karla de Sousa Araújo",$B:$B,"&lt;&gt;Lorena Dias de Araujo",$B:$B,"&lt;&gt;Lucas Luiz Romero")*(28/1083),IF(C2654="Técnico I",SUMIFS($D:$D,$A:$A,$A2654,$B:$B,"&lt;&gt;Patrícia Karla de Sousa Araújo",$B:$B,"&lt;&gt;Lorena Dias de Araujo",$B:$B,"&lt;&gt;Lucas Luiz Romero")*(23/1083),IF(C2654="JR",SUMIFS($D:$D,$A:$A,$A2654,$B:$B,"&lt;&gt;Patrícia Karla de Sousa Araújo",$B:$B,"&lt;&gt;Lorena Dias de Araujo",$B:$B,"&lt;&gt;Lucas Luiz Romero")*(20/1083),IF(C2654="Estágio",SUMIFS($D:$D,$A:$A,$A2654,$B:$B,"&lt;&gt;Patrícia Karla de Sousa Araújo",$B:$B,"&lt;&gt;Lorena Dias de Araujo",$B:$B,"&lt;&gt;Lucas Luiz Romero")*(10/1083),0)))))),0)</f>
        <v>27</v>
      </c>
      <c r="K2654" s="3">
        <f>I2654-J2654</f>
        <v>3</v>
      </c>
      <c r="L2654" s="3" t="str">
        <f>IF(K2654&lt;-5,"CRÍTICO",IF(K2654&lt;0,"ATENÇÃO",IF(K2654&lt;=5,"BOM","EXCELENTE")))</f>
        <v>BOM</v>
      </c>
      <c r="M2654">
        <v>31</v>
      </c>
      <c r="N2654">
        <v>98.86</v>
      </c>
      <c r="O2654">
        <v>28.959276018099551</v>
      </c>
    </row>
    <row r="2655" spans="1:15" hidden="1" x14ac:dyDescent="0.25">
      <c r="A2655" s="11">
        <v>46084</v>
      </c>
      <c r="B2655" t="s">
        <v>44</v>
      </c>
      <c r="C2655" t="s">
        <v>32</v>
      </c>
      <c r="D2655">
        <v>39</v>
      </c>
      <c r="E2655">
        <v>38</v>
      </c>
      <c r="F2655">
        <v>15.52</v>
      </c>
      <c r="G2655">
        <v>0</v>
      </c>
      <c r="H2655">
        <v>0</v>
      </c>
      <c r="I2655" s="3">
        <f>E2655+G2655+H2655</f>
        <v>38</v>
      </c>
      <c r="J2655" s="3">
        <f>ROUND(MIN(IF(C2655="Técnico III",35,IF(C2655="Técnico II",28,IF(C2655="Técnico I",23,IF(C2655="JR",20,IF(C2655="Estágio",10,0))))),IF(C2655="Técnico III",SUMIFS($D:$D,$A:$A,$A2655,$B:$B,"&lt;&gt;Patrícia Karla de Sousa Araújo",$B:$B,"&lt;&gt;Lorena Dias de Araujo",$B:$B,"&lt;&gt;Lucas Luiz Romero")*(35/1083),IF(C2655="Técnico II",SUMIFS($D:$D,$A:$A,$A2655,$B:$B,"&lt;&gt;Patrícia Karla de Sousa Araújo",$B:$B,"&lt;&gt;Lorena Dias de Araujo",$B:$B,"&lt;&gt;Lucas Luiz Romero")*(28/1083),IF(C2655="Técnico I",SUMIFS($D:$D,$A:$A,$A2655,$B:$B,"&lt;&gt;Patrícia Karla de Sousa Araújo",$B:$B,"&lt;&gt;Lorena Dias de Araujo",$B:$B,"&lt;&gt;Lucas Luiz Romero")*(23/1083),IF(C2655="JR",SUMIFS($D:$D,$A:$A,$A2655,$B:$B,"&lt;&gt;Patrícia Karla de Sousa Araújo",$B:$B,"&lt;&gt;Lorena Dias de Araujo",$B:$B,"&lt;&gt;Lucas Luiz Romero")*(20/1083),IF(C2655="Estágio",SUMIFS($D:$D,$A:$A,$A2655,$B:$B,"&lt;&gt;Patrícia Karla de Sousa Araújo",$B:$B,"&lt;&gt;Lorena Dias de Araujo",$B:$B,"&lt;&gt;Lucas Luiz Romero")*(10/1083),0)))))),0)</f>
        <v>27</v>
      </c>
      <c r="K2655" s="3">
        <f>I2655-J2655</f>
        <v>11</v>
      </c>
      <c r="L2655" s="3" t="str">
        <f>IF(K2655&lt;-5,"CRÍTICO",IF(K2655&lt;0,"ATENÇÃO",IF(K2655&lt;=5,"BOM","EXCELENTE")))</f>
        <v>EXCELENTE</v>
      </c>
      <c r="M2655">
        <v>33</v>
      </c>
      <c r="N2655">
        <v>98.06</v>
      </c>
      <c r="O2655">
        <v>22.40566037735849</v>
      </c>
    </row>
    <row r="2656" spans="1:15" hidden="1" x14ac:dyDescent="0.25">
      <c r="A2656" s="11">
        <v>46084</v>
      </c>
      <c r="B2656" t="s">
        <v>20</v>
      </c>
      <c r="C2656" t="s">
        <v>16</v>
      </c>
      <c r="D2656">
        <v>15</v>
      </c>
      <c r="E2656">
        <v>13</v>
      </c>
      <c r="F2656">
        <v>42.31</v>
      </c>
      <c r="G2656">
        <v>0</v>
      </c>
      <c r="H2656">
        <v>0</v>
      </c>
      <c r="I2656" s="3">
        <f>E2656+G2656+H2656</f>
        <v>13</v>
      </c>
      <c r="J2656" s="3">
        <f>ROUND(MIN(IF(C2656="Técnico III",35,IF(C2656="Técnico II",28,IF(C2656="Técnico I",23,IF(C2656="JR",20,IF(C2656="Estágio",10,0))))),IF(C2656="Técnico III",SUMIFS($D:$D,$A:$A,$A2656,$B:$B,"&lt;&gt;Patrícia Karla de Sousa Araújo",$B:$B,"&lt;&gt;Lorena Dias de Araujo",$B:$B,"&lt;&gt;Lucas Luiz Romero")*(35/1083),IF(C2656="Técnico II",SUMIFS($D:$D,$A:$A,$A2656,$B:$B,"&lt;&gt;Patrícia Karla de Sousa Araújo",$B:$B,"&lt;&gt;Lorena Dias de Araujo",$B:$B,"&lt;&gt;Lucas Luiz Romero")*(28/1083),IF(C2656="Técnico I",SUMIFS($D:$D,$A:$A,$A2656,$B:$B,"&lt;&gt;Patrícia Karla de Sousa Araújo",$B:$B,"&lt;&gt;Lorena Dias de Araujo",$B:$B,"&lt;&gt;Lucas Luiz Romero")*(23/1083),IF(C2656="JR",SUMIFS($D:$D,$A:$A,$A2656,$B:$B,"&lt;&gt;Patrícia Karla de Sousa Araújo",$B:$B,"&lt;&gt;Lorena Dias de Araujo",$B:$B,"&lt;&gt;Lucas Luiz Romero")*(20/1083),IF(C2656="Estágio",SUMIFS($D:$D,$A:$A,$A2656,$B:$B,"&lt;&gt;Patrícia Karla de Sousa Araújo",$B:$B,"&lt;&gt;Lorena Dias de Araujo",$B:$B,"&lt;&gt;Lucas Luiz Romero")*(10/1083),0)))))),0)</f>
        <v>8</v>
      </c>
      <c r="K2656" s="3">
        <f>I2656-J2656</f>
        <v>5</v>
      </c>
      <c r="L2656" s="3" t="str">
        <f>IF(K2656&lt;-5,"CRÍTICO",IF(K2656&lt;0,"ATENÇÃO",IF(K2656&lt;=5,"BOM","EXCELENTE")))</f>
        <v>BOM</v>
      </c>
      <c r="M2656">
        <v>4</v>
      </c>
      <c r="N2656">
        <v>95.83</v>
      </c>
      <c r="O2656">
        <v>25.773195876288661</v>
      </c>
    </row>
    <row r="2657" spans="1:15" hidden="1" x14ac:dyDescent="0.25">
      <c r="A2657" s="11">
        <v>46084</v>
      </c>
      <c r="B2657" t="s">
        <v>28</v>
      </c>
      <c r="C2657" t="s">
        <v>26</v>
      </c>
      <c r="D2657">
        <v>0</v>
      </c>
      <c r="E2657">
        <v>0</v>
      </c>
      <c r="F2657">
        <v>0</v>
      </c>
      <c r="G2657">
        <v>0</v>
      </c>
      <c r="H2657">
        <v>0</v>
      </c>
      <c r="I2657" s="3">
        <v>0</v>
      </c>
      <c r="J2657" s="3">
        <v>0</v>
      </c>
      <c r="K2657" s="3">
        <v>0</v>
      </c>
      <c r="L2657" s="3" t="str">
        <f>IF(K2657&lt;-5,"CRÍTICO",IF(K2657&lt;0,"ATENÇÃO",IF(K2657&lt;=5,"BOM","EXCELENTE")))</f>
        <v>BOM</v>
      </c>
      <c r="M2657">
        <v>0</v>
      </c>
      <c r="N2657">
        <v>100</v>
      </c>
      <c r="O2657">
        <v>15.38461538461539</v>
      </c>
    </row>
    <row r="2658" spans="1:15" hidden="1" x14ac:dyDescent="0.25">
      <c r="A2658" s="11">
        <v>46084</v>
      </c>
      <c r="B2658" t="s">
        <v>58</v>
      </c>
      <c r="C2658" t="s">
        <v>48</v>
      </c>
      <c r="D2658">
        <v>24</v>
      </c>
      <c r="E2658">
        <v>24</v>
      </c>
      <c r="F2658">
        <v>23.54</v>
      </c>
      <c r="G2658">
        <v>0</v>
      </c>
      <c r="H2658">
        <v>0</v>
      </c>
      <c r="I2658" s="3">
        <f>E2658+G2658+H2658</f>
        <v>24</v>
      </c>
      <c r="J2658" s="3">
        <f>ROUND(MIN(IF(C2658="Técnico III",35,IF(C2658="Técnico II",28,IF(C2658="Técnico I",23,IF(C2658="JR",20,IF(C2658="Estágio",10,0))))),IF(C2658="Técnico III",SUMIFS($D:$D,$A:$A,$A2658,$B:$B,"&lt;&gt;Patrícia Karla de Sousa Araújo",$B:$B,"&lt;&gt;Lorena Dias de Araujo",$B:$B,"&lt;&gt;Lucas Luiz Romero")*(35/1083),IF(C2658="Técnico II",SUMIFS($D:$D,$A:$A,$A2658,$B:$B,"&lt;&gt;Patrícia Karla de Sousa Araújo",$B:$B,"&lt;&gt;Lorena Dias de Araujo",$B:$B,"&lt;&gt;Lucas Luiz Romero")*(28/1083),IF(C2658="Técnico I",SUMIFS($D:$D,$A:$A,$A2658,$B:$B,"&lt;&gt;Patrícia Karla de Sousa Araújo",$B:$B,"&lt;&gt;Lorena Dias de Araujo",$B:$B,"&lt;&gt;Lucas Luiz Romero")*(23/1083),IF(C2658="JR",SUMIFS($D:$D,$A:$A,$A2658,$B:$B,"&lt;&gt;Patrícia Karla de Sousa Araújo",$B:$B,"&lt;&gt;Lorena Dias de Araujo",$B:$B,"&lt;&gt;Lucas Luiz Romero")*(20/1083),IF(C2658="Estágio",SUMIFS($D:$D,$A:$A,$A2658,$B:$B,"&lt;&gt;Patrícia Karla de Sousa Araújo",$B:$B,"&lt;&gt;Lorena Dias de Araujo",$B:$B,"&lt;&gt;Lucas Luiz Romero")*(10/1083),0)))))),0)</f>
        <v>22</v>
      </c>
      <c r="K2658" s="3">
        <f>I2658-J2658</f>
        <v>2</v>
      </c>
      <c r="L2658" s="3" t="str">
        <f>IF(K2658&lt;-5,"CRÍTICO",IF(K2658&lt;0,"ATENÇÃO",IF(K2658&lt;=5,"BOM","EXCELENTE")))</f>
        <v>BOM</v>
      </c>
      <c r="M2658">
        <v>18</v>
      </c>
      <c r="N2658">
        <v>100</v>
      </c>
      <c r="O2658">
        <v>27.514792899408281</v>
      </c>
    </row>
    <row r="2659" spans="1:15" hidden="1" x14ac:dyDescent="0.25">
      <c r="A2659" s="11">
        <v>46084</v>
      </c>
      <c r="B2659" t="s">
        <v>29</v>
      </c>
      <c r="C2659" t="s">
        <v>26</v>
      </c>
      <c r="D2659">
        <v>0</v>
      </c>
      <c r="E2659">
        <v>0</v>
      </c>
      <c r="F2659">
        <v>0</v>
      </c>
      <c r="G2659">
        <v>0</v>
      </c>
      <c r="H2659">
        <v>0</v>
      </c>
      <c r="I2659" s="3">
        <v>0</v>
      </c>
      <c r="J2659" s="3">
        <v>0</v>
      </c>
      <c r="K2659" s="3">
        <v>0</v>
      </c>
      <c r="L2659" s="3" t="str">
        <f>IF(K2659&lt;-5,"CRÍTICO",IF(K2659&lt;0,"ATENÇÃO",IF(K2659&lt;=5,"BOM","EXCELENTE")))</f>
        <v>BOM</v>
      </c>
      <c r="M2659">
        <v>0</v>
      </c>
      <c r="N2659">
        <v>100</v>
      </c>
      <c r="O2659">
        <v>24.875621890547269</v>
      </c>
    </row>
    <row r="2660" spans="1:15" hidden="1" x14ac:dyDescent="0.25">
      <c r="A2660" s="11">
        <v>46084</v>
      </c>
      <c r="B2660" t="s">
        <v>30</v>
      </c>
      <c r="C2660" t="s">
        <v>26</v>
      </c>
      <c r="D2660">
        <v>0</v>
      </c>
      <c r="E2660">
        <v>0</v>
      </c>
      <c r="F2660">
        <v>0</v>
      </c>
      <c r="G2660">
        <v>0</v>
      </c>
      <c r="H2660">
        <v>0</v>
      </c>
      <c r="I2660" s="3">
        <v>0</v>
      </c>
      <c r="J2660" s="3">
        <v>0</v>
      </c>
      <c r="K2660" s="3">
        <v>0</v>
      </c>
      <c r="L2660" s="3" t="str">
        <f>IF(K2660&lt;-5,"CRÍTICO",IF(K2660&lt;0,"ATENÇÃO",IF(K2660&lt;=5,"BOM","EXCELENTE")))</f>
        <v>BOM</v>
      </c>
      <c r="M2660">
        <v>0</v>
      </c>
      <c r="N2660">
        <v>100</v>
      </c>
      <c r="O2660">
        <v>28.108108108108109</v>
      </c>
    </row>
    <row r="2661" spans="1:15" hidden="1" x14ac:dyDescent="0.25">
      <c r="A2661" s="11">
        <v>46084</v>
      </c>
      <c r="B2661" t="s">
        <v>21</v>
      </c>
      <c r="C2661" t="s">
        <v>16</v>
      </c>
      <c r="D2661">
        <v>0</v>
      </c>
      <c r="E2661">
        <v>0</v>
      </c>
      <c r="F2661">
        <v>0</v>
      </c>
      <c r="G2661">
        <v>0</v>
      </c>
      <c r="H2661">
        <v>0</v>
      </c>
      <c r="I2661" s="3">
        <v>0</v>
      </c>
      <c r="J2661" s="3">
        <v>0</v>
      </c>
      <c r="K2661" s="3">
        <v>0</v>
      </c>
      <c r="L2661" s="3" t="str">
        <f>IF(K2661&lt;-5,"CRÍTICO",IF(K2661&lt;0,"ATENÇÃO",IF(K2661&lt;=5,"BOM","EXCELENTE")))</f>
        <v>BOM</v>
      </c>
      <c r="M2661">
        <v>0</v>
      </c>
      <c r="N2661">
        <v>100</v>
      </c>
      <c r="O2661">
        <v>35</v>
      </c>
    </row>
    <row r="2662" spans="1:15" hidden="1" x14ac:dyDescent="0.25">
      <c r="A2662" s="11">
        <v>46084</v>
      </c>
      <c r="B2662" t="s">
        <v>63</v>
      </c>
      <c r="C2662" t="s">
        <v>23</v>
      </c>
      <c r="D2662">
        <v>40</v>
      </c>
      <c r="E2662">
        <v>38</v>
      </c>
      <c r="F2662">
        <v>20.04</v>
      </c>
      <c r="G2662">
        <v>0</v>
      </c>
      <c r="H2662">
        <v>0</v>
      </c>
      <c r="I2662" s="3">
        <f>E2662+G2662+H2662</f>
        <v>38</v>
      </c>
      <c r="J2662" s="3">
        <f>ROUND(MIN(IF(C2662="Técnico III",35,IF(C2662="Técnico II",28,IF(C2662="Técnico I",23,IF(C2662="JR",20,IF(C2662="Estágio",10,0))))),IF(C2662="Técnico III",SUMIFS($D:$D,$A:$A,$A2662,$B:$B,"&lt;&gt;Patrícia Karla de Sousa Araújo",$B:$B,"&lt;&gt;Lorena Dias de Araujo",$B:$B,"&lt;&gt;Lucas Luiz Romero")*(35/1083),IF(C2662="Técnico II",SUMIFS($D:$D,$A:$A,$A2662,$B:$B,"&lt;&gt;Patrícia Karla de Sousa Araújo",$B:$B,"&lt;&gt;Lorena Dias de Araujo",$B:$B,"&lt;&gt;Lucas Luiz Romero")*(28/1083),IF(C2662="Técnico I",SUMIFS($D:$D,$A:$A,$A2662,$B:$B,"&lt;&gt;Patrícia Karla de Sousa Araújo",$B:$B,"&lt;&gt;Lorena Dias de Araujo",$B:$B,"&lt;&gt;Lucas Luiz Romero")*(23/1083),IF(C2662="JR",SUMIFS($D:$D,$A:$A,$A2662,$B:$B,"&lt;&gt;Patrícia Karla de Sousa Araújo",$B:$B,"&lt;&gt;Lorena Dias de Araujo",$B:$B,"&lt;&gt;Lucas Luiz Romero")*(20/1083),IF(C2662="Estágio",SUMIFS($D:$D,$A:$A,$A2662,$B:$B,"&lt;&gt;Patrícia Karla de Sousa Araújo",$B:$B,"&lt;&gt;Lorena Dias de Araujo",$B:$B,"&lt;&gt;Lucas Luiz Romero")*(10/1083),0)))))),0)</f>
        <v>18</v>
      </c>
      <c r="K2662" s="3">
        <f>I2662-J2662</f>
        <v>20</v>
      </c>
      <c r="L2662" s="3" t="str">
        <f>IF(K2662&lt;-5,"CRÍTICO",IF(K2662&lt;0,"ATENÇÃO",IF(K2662&lt;=5,"BOM","EXCELENTE")))</f>
        <v>EXCELENTE</v>
      </c>
      <c r="M2662">
        <v>29</v>
      </c>
      <c r="N2662">
        <v>95.35</v>
      </c>
      <c r="O2662">
        <v>28.61538461538461</v>
      </c>
    </row>
    <row r="2663" spans="1:15" hidden="1" x14ac:dyDescent="0.25">
      <c r="A2663" s="11">
        <v>46084</v>
      </c>
      <c r="B2663" t="s">
        <v>45</v>
      </c>
      <c r="C2663" t="s">
        <v>32</v>
      </c>
      <c r="D2663">
        <v>40</v>
      </c>
      <c r="E2663">
        <v>36</v>
      </c>
      <c r="F2663">
        <v>16.440000000000001</v>
      </c>
      <c r="G2663">
        <v>0</v>
      </c>
      <c r="H2663">
        <v>0</v>
      </c>
      <c r="I2663" s="3">
        <f>E2663+G2663+H2663</f>
        <v>36</v>
      </c>
      <c r="J2663" s="3">
        <f>ROUND(MIN(IF(C2663="Técnico III",35,IF(C2663="Técnico II",28,IF(C2663="Técnico I",23,IF(C2663="JR",20,IF(C2663="Estágio",10,0))))),IF(C2663="Técnico III",SUMIFS($D:$D,$A:$A,$A2663,$B:$B,"&lt;&gt;Patrícia Karla de Sousa Araújo",$B:$B,"&lt;&gt;Lorena Dias de Araujo",$B:$B,"&lt;&gt;Lucas Luiz Romero")*(35/1083),IF(C2663="Técnico II",SUMIFS($D:$D,$A:$A,$A2663,$B:$B,"&lt;&gt;Patrícia Karla de Sousa Araújo",$B:$B,"&lt;&gt;Lorena Dias de Araujo",$B:$B,"&lt;&gt;Lucas Luiz Romero")*(28/1083),IF(C2663="Técnico I",SUMIFS($D:$D,$A:$A,$A2663,$B:$B,"&lt;&gt;Patrícia Karla de Sousa Araújo",$B:$B,"&lt;&gt;Lorena Dias de Araujo",$B:$B,"&lt;&gt;Lucas Luiz Romero")*(23/1083),IF(C2663="JR",SUMIFS($D:$D,$A:$A,$A2663,$B:$B,"&lt;&gt;Patrícia Karla de Sousa Araújo",$B:$B,"&lt;&gt;Lorena Dias de Araujo",$B:$B,"&lt;&gt;Lucas Luiz Romero")*(20/1083),IF(C2663="Estágio",SUMIFS($D:$D,$A:$A,$A2663,$B:$B,"&lt;&gt;Patrícia Karla de Sousa Araújo",$B:$B,"&lt;&gt;Lorena Dias de Araujo",$B:$B,"&lt;&gt;Lucas Luiz Romero")*(10/1083),0)))))),0)</f>
        <v>27</v>
      </c>
      <c r="K2663" s="3">
        <f>I2663-J2663</f>
        <v>9</v>
      </c>
      <c r="L2663" s="3" t="str">
        <f>IF(K2663&lt;-5,"CRÍTICO",IF(K2663&lt;0,"ATENÇÃO",IF(K2663&lt;=5,"BOM","EXCELENTE")))</f>
        <v>EXCELENTE</v>
      </c>
      <c r="M2663">
        <v>32</v>
      </c>
      <c r="N2663">
        <v>98.26</v>
      </c>
      <c r="O2663">
        <v>27.54491017964072</v>
      </c>
    </row>
    <row r="2664" spans="1:15" hidden="1" x14ac:dyDescent="0.25">
      <c r="A2664" s="11">
        <v>46084</v>
      </c>
      <c r="B2664" t="s">
        <v>64</v>
      </c>
      <c r="C2664" t="s">
        <v>23</v>
      </c>
      <c r="D2664">
        <v>21</v>
      </c>
      <c r="E2664">
        <v>20</v>
      </c>
      <c r="F2664">
        <v>26.56</v>
      </c>
      <c r="G2664">
        <v>0</v>
      </c>
      <c r="H2664">
        <v>0</v>
      </c>
      <c r="I2664" s="3">
        <f>E2664+G2664+H2664</f>
        <v>20</v>
      </c>
      <c r="J2664" s="3">
        <f>ROUND(MIN(IF(C2664="Técnico III",35,IF(C2664="Técnico II",28,IF(C2664="Técnico I",23,IF(C2664="JR",20,IF(C2664="Estágio",10,0))))),IF(C2664="Técnico III",SUMIFS($D:$D,$A:$A,$A2664,$B:$B,"&lt;&gt;Patrícia Karla de Sousa Araújo",$B:$B,"&lt;&gt;Lorena Dias de Araujo",$B:$B,"&lt;&gt;Lucas Luiz Romero")*(35/1083),IF(C2664="Técnico II",SUMIFS($D:$D,$A:$A,$A2664,$B:$B,"&lt;&gt;Patrícia Karla de Sousa Araújo",$B:$B,"&lt;&gt;Lorena Dias de Araujo",$B:$B,"&lt;&gt;Lucas Luiz Romero")*(28/1083),IF(C2664="Técnico I",SUMIFS($D:$D,$A:$A,$A2664,$B:$B,"&lt;&gt;Patrícia Karla de Sousa Araújo",$B:$B,"&lt;&gt;Lorena Dias de Araujo",$B:$B,"&lt;&gt;Lucas Luiz Romero")*(23/1083),IF(C2664="JR",SUMIFS($D:$D,$A:$A,$A2664,$B:$B,"&lt;&gt;Patrícia Karla de Sousa Araújo",$B:$B,"&lt;&gt;Lorena Dias de Araujo",$B:$B,"&lt;&gt;Lucas Luiz Romero")*(20/1083),IF(C2664="Estágio",SUMIFS($D:$D,$A:$A,$A2664,$B:$B,"&lt;&gt;Patrícia Karla de Sousa Araújo",$B:$B,"&lt;&gt;Lorena Dias de Araujo",$B:$B,"&lt;&gt;Lucas Luiz Romero")*(10/1083),0)))))),0)</f>
        <v>18</v>
      </c>
      <c r="K2664" s="3">
        <f>I2664-J2664</f>
        <v>2</v>
      </c>
      <c r="L2664" s="3" t="str">
        <f>IF(K2664&lt;-5,"CRÍTICO",IF(K2664&lt;0,"ATENÇÃO",IF(K2664&lt;=5,"BOM","EXCELENTE")))</f>
        <v>BOM</v>
      </c>
      <c r="M2664">
        <v>18</v>
      </c>
      <c r="N2664">
        <v>98.55</v>
      </c>
      <c r="O2664">
        <v>25.337837837837839</v>
      </c>
    </row>
    <row r="2665" spans="1:15" hidden="1" x14ac:dyDescent="0.25">
      <c r="A2665" s="11">
        <v>46084</v>
      </c>
      <c r="B2665" t="s">
        <v>46</v>
      </c>
      <c r="C2665" t="s">
        <v>32</v>
      </c>
      <c r="D2665">
        <v>33</v>
      </c>
      <c r="E2665">
        <v>30</v>
      </c>
      <c r="F2665">
        <v>19.190000000000001</v>
      </c>
      <c r="G2665">
        <v>0</v>
      </c>
      <c r="H2665">
        <v>0</v>
      </c>
      <c r="I2665" s="3">
        <f>E2665+G2665+H2665</f>
        <v>30</v>
      </c>
      <c r="J2665" s="3">
        <f>ROUND(MIN(IF(C2665="Técnico III",35,IF(C2665="Técnico II",28,IF(C2665="Técnico I",23,IF(C2665="JR",20,IF(C2665="Estágio",10,0))))),IF(C2665="Técnico III",SUMIFS($D:$D,$A:$A,$A2665,$B:$B,"&lt;&gt;Patrícia Karla de Sousa Araújo",$B:$B,"&lt;&gt;Lorena Dias de Araujo",$B:$B,"&lt;&gt;Lucas Luiz Romero")*(35/1083),IF(C2665="Técnico II",SUMIFS($D:$D,$A:$A,$A2665,$B:$B,"&lt;&gt;Patrícia Karla de Sousa Araújo",$B:$B,"&lt;&gt;Lorena Dias de Araujo",$B:$B,"&lt;&gt;Lucas Luiz Romero")*(28/1083),IF(C2665="Técnico I",SUMIFS($D:$D,$A:$A,$A2665,$B:$B,"&lt;&gt;Patrícia Karla de Sousa Araújo",$B:$B,"&lt;&gt;Lorena Dias de Araujo",$B:$B,"&lt;&gt;Lucas Luiz Romero")*(23/1083),IF(C2665="JR",SUMIFS($D:$D,$A:$A,$A2665,$B:$B,"&lt;&gt;Patrícia Karla de Sousa Araújo",$B:$B,"&lt;&gt;Lorena Dias de Araujo",$B:$B,"&lt;&gt;Lucas Luiz Romero")*(20/1083),IF(C2665="Estágio",SUMIFS($D:$D,$A:$A,$A2665,$B:$B,"&lt;&gt;Patrícia Karla de Sousa Araújo",$B:$B,"&lt;&gt;Lorena Dias de Araujo",$B:$B,"&lt;&gt;Lucas Luiz Romero")*(10/1083),0)))))),0)</f>
        <v>27</v>
      </c>
      <c r="K2665" s="3">
        <f>I2665-J2665</f>
        <v>3</v>
      </c>
      <c r="L2665" s="3" t="str">
        <f>IF(K2665&lt;-5,"CRÍTICO",IF(K2665&lt;0,"ATENÇÃO",IF(K2665&lt;=5,"BOM","EXCELENTE")))</f>
        <v>BOM</v>
      </c>
      <c r="M2665">
        <v>31</v>
      </c>
      <c r="N2665">
        <v>98.39</v>
      </c>
      <c r="O2665">
        <v>25.563909774436091</v>
      </c>
    </row>
    <row r="2666" spans="1:15" hidden="1" x14ac:dyDescent="0.25">
      <c r="A2666" s="11">
        <v>46085</v>
      </c>
      <c r="B2666" t="s">
        <v>47</v>
      </c>
      <c r="C2666" t="s">
        <v>48</v>
      </c>
      <c r="D2666">
        <v>27</v>
      </c>
      <c r="E2666">
        <v>22</v>
      </c>
      <c r="F2666">
        <v>23.28</v>
      </c>
      <c r="G2666">
        <v>0</v>
      </c>
      <c r="H2666">
        <v>0</v>
      </c>
      <c r="I2666" s="3">
        <f>E2666+G2666+H2666</f>
        <v>22</v>
      </c>
      <c r="J2666" s="3">
        <f>ROUND(MIN(IF(C2666="Técnico III",35,IF(C2666="Técnico II",28,IF(C2666="Técnico I",23,IF(C2666="JR",20,IF(C2666="Estágio",10,0))))),IF(C2666="Técnico III",SUMIFS($D:$D,$A:$A,$A2666,$B:$B,"&lt;&gt;Patrícia Karla de Sousa Araújo",$B:$B,"&lt;&gt;Lorena Dias de Araujo",$B:$B,"&lt;&gt;Lucas Luiz Romero")*(35/1083),IF(C2666="Técnico II",SUMIFS($D:$D,$A:$A,$A2666,$B:$B,"&lt;&gt;Patrícia Karla de Sousa Araújo",$B:$B,"&lt;&gt;Lorena Dias de Araujo",$B:$B,"&lt;&gt;Lucas Luiz Romero")*(28/1083),IF(C2666="Técnico I",SUMIFS($D:$D,$A:$A,$A2666,$B:$B,"&lt;&gt;Patrícia Karla de Sousa Araújo",$B:$B,"&lt;&gt;Lorena Dias de Araujo",$B:$B,"&lt;&gt;Lucas Luiz Romero")*(23/1083),IF(C2666="JR",SUMIFS($D:$D,$A:$A,$A2666,$B:$B,"&lt;&gt;Patrícia Karla de Sousa Araújo",$B:$B,"&lt;&gt;Lorena Dias de Araujo",$B:$B,"&lt;&gt;Lucas Luiz Romero")*(20/1083),IF(C2666="Estágio",SUMIFS($D:$D,$A:$A,$A2666,$B:$B,"&lt;&gt;Patrícia Karla de Sousa Araújo",$B:$B,"&lt;&gt;Lorena Dias de Araujo",$B:$B,"&lt;&gt;Lucas Luiz Romero")*(10/1083),0)))))),0)</f>
        <v>21</v>
      </c>
      <c r="K2666" s="3">
        <f>I2666-J2666</f>
        <v>1</v>
      </c>
      <c r="L2666" s="3" t="str">
        <f>IF(K2666&lt;-5,"CRÍTICO",IF(K2666&lt;0,"ATENÇÃO",IF(K2666&lt;=5,"BOM","EXCELENTE")))</f>
        <v>BOM</v>
      </c>
      <c r="M2666">
        <v>20</v>
      </c>
      <c r="N2666">
        <v>94.29</v>
      </c>
      <c r="O2666">
        <v>25.647668393782389</v>
      </c>
    </row>
    <row r="2667" spans="1:15" hidden="1" x14ac:dyDescent="0.25">
      <c r="A2667" s="11">
        <v>46085</v>
      </c>
      <c r="B2667" t="s">
        <v>31</v>
      </c>
      <c r="C2667" t="s">
        <v>32</v>
      </c>
      <c r="D2667">
        <v>0</v>
      </c>
      <c r="E2667">
        <v>0</v>
      </c>
      <c r="F2667">
        <v>0</v>
      </c>
      <c r="G2667">
        <v>0</v>
      </c>
      <c r="H2667">
        <v>0</v>
      </c>
      <c r="I2667" s="3">
        <v>0</v>
      </c>
      <c r="J2667" s="3">
        <v>0</v>
      </c>
      <c r="K2667" s="3">
        <v>0</v>
      </c>
      <c r="L2667" s="3" t="str">
        <f>IF(K2667&lt;-5,"CRÍTICO",IF(K2667&lt;0,"ATENÇÃO",IF(K2667&lt;=5,"BOM","EXCELENTE")))</f>
        <v>BOM</v>
      </c>
      <c r="M2667">
        <v>20</v>
      </c>
      <c r="N2667">
        <v>98.26</v>
      </c>
      <c r="O2667">
        <v>26.666666666666671</v>
      </c>
    </row>
    <row r="2668" spans="1:15" hidden="1" x14ac:dyDescent="0.25">
      <c r="A2668" s="11">
        <v>46085</v>
      </c>
      <c r="B2668" t="s">
        <v>59</v>
      </c>
      <c r="C2668" t="s">
        <v>23</v>
      </c>
      <c r="D2668">
        <v>21</v>
      </c>
      <c r="E2668">
        <v>20</v>
      </c>
      <c r="F2668">
        <v>26.5</v>
      </c>
      <c r="G2668">
        <v>0</v>
      </c>
      <c r="H2668">
        <v>0</v>
      </c>
      <c r="I2668" s="3">
        <f>E2668+G2668+H2668</f>
        <v>20</v>
      </c>
      <c r="J2668" s="3">
        <f>ROUND(MIN(IF(C2668="Técnico III",35,IF(C2668="Técnico II",28,IF(C2668="Técnico I",23,IF(C2668="JR",20,IF(C2668="Estágio",10,0))))),IF(C2668="Técnico III",SUMIFS($D:$D,$A:$A,$A2668,$B:$B,"&lt;&gt;Patrícia Karla de Sousa Araújo",$B:$B,"&lt;&gt;Lorena Dias de Araujo",$B:$B,"&lt;&gt;Lucas Luiz Romero")*(35/1083),IF(C2668="Técnico II",SUMIFS($D:$D,$A:$A,$A2668,$B:$B,"&lt;&gt;Patrícia Karla de Sousa Araújo",$B:$B,"&lt;&gt;Lorena Dias de Araujo",$B:$B,"&lt;&gt;Lucas Luiz Romero")*(28/1083),IF(C2668="Técnico I",SUMIFS($D:$D,$A:$A,$A2668,$B:$B,"&lt;&gt;Patrícia Karla de Sousa Araújo",$B:$B,"&lt;&gt;Lorena Dias de Araujo",$B:$B,"&lt;&gt;Lucas Luiz Romero")*(23/1083),IF(C2668="JR",SUMIFS($D:$D,$A:$A,$A2668,$B:$B,"&lt;&gt;Patrícia Karla de Sousa Araújo",$B:$B,"&lt;&gt;Lorena Dias de Araujo",$B:$B,"&lt;&gt;Lucas Luiz Romero")*(20/1083),IF(C2668="Estágio",SUMIFS($D:$D,$A:$A,$A2668,$B:$B,"&lt;&gt;Patrícia Karla de Sousa Araújo",$B:$B,"&lt;&gt;Lorena Dias de Araujo",$B:$B,"&lt;&gt;Lucas Luiz Romero")*(10/1083),0)))))),0)</f>
        <v>17</v>
      </c>
      <c r="K2668" s="3">
        <f>I2668-J2668</f>
        <v>3</v>
      </c>
      <c r="L2668" s="3" t="str">
        <f>IF(K2668&lt;-5,"CRÍTICO",IF(K2668&lt;0,"ATENÇÃO",IF(K2668&lt;=5,"BOM","EXCELENTE")))</f>
        <v>BOM</v>
      </c>
      <c r="M2668">
        <v>20</v>
      </c>
      <c r="N2668">
        <v>98.2</v>
      </c>
      <c r="O2668">
        <v>23.37962962962963</v>
      </c>
    </row>
    <row r="2669" spans="1:15" hidden="1" x14ac:dyDescent="0.25">
      <c r="A2669" s="11">
        <v>46085</v>
      </c>
      <c r="B2669" t="s">
        <v>33</v>
      </c>
      <c r="C2669" t="s">
        <v>32</v>
      </c>
      <c r="D2669">
        <v>33</v>
      </c>
      <c r="E2669">
        <v>30</v>
      </c>
      <c r="F2669">
        <v>19.04</v>
      </c>
      <c r="G2669">
        <v>0</v>
      </c>
      <c r="H2669">
        <v>0</v>
      </c>
      <c r="I2669" s="3">
        <f>E2669+G2669+H2669</f>
        <v>30</v>
      </c>
      <c r="J2669" s="3">
        <f>ROUND(MIN(IF(C2669="Técnico III",35,IF(C2669="Técnico II",28,IF(C2669="Técnico I",23,IF(C2669="JR",20,IF(C2669="Estágio",10,0))))),IF(C2669="Técnico III",SUMIFS($D:$D,$A:$A,$A2669,$B:$B,"&lt;&gt;Patrícia Karla de Sousa Araújo",$B:$B,"&lt;&gt;Lorena Dias de Araujo",$B:$B,"&lt;&gt;Lucas Luiz Romero")*(35/1083),IF(C2669="Técnico II",SUMIFS($D:$D,$A:$A,$A2669,$B:$B,"&lt;&gt;Patrícia Karla de Sousa Araújo",$B:$B,"&lt;&gt;Lorena Dias de Araujo",$B:$B,"&lt;&gt;Lucas Luiz Romero")*(28/1083),IF(C2669="Técnico I",SUMIFS($D:$D,$A:$A,$A2669,$B:$B,"&lt;&gt;Patrícia Karla de Sousa Araújo",$B:$B,"&lt;&gt;Lorena Dias de Araujo",$B:$B,"&lt;&gt;Lucas Luiz Romero")*(23/1083),IF(C2669="JR",SUMIFS($D:$D,$A:$A,$A2669,$B:$B,"&lt;&gt;Patrícia Karla de Sousa Araújo",$B:$B,"&lt;&gt;Lorena Dias de Araujo",$B:$B,"&lt;&gt;Lucas Luiz Romero")*(20/1083),IF(C2669="Estágio",SUMIFS($D:$D,$A:$A,$A2669,$B:$B,"&lt;&gt;Patrícia Karla de Sousa Araújo",$B:$B,"&lt;&gt;Lorena Dias de Araujo",$B:$B,"&lt;&gt;Lucas Luiz Romero")*(10/1083),0)))))),0)</f>
        <v>26</v>
      </c>
      <c r="K2669" s="3">
        <f>I2669-J2669</f>
        <v>4</v>
      </c>
      <c r="L2669" s="3" t="str">
        <f>IF(K2669&lt;-5,"CRÍTICO",IF(K2669&lt;0,"ATENÇÃO",IF(K2669&lt;=5,"BOM","EXCELENTE")))</f>
        <v>BOM</v>
      </c>
      <c r="M2669">
        <v>30</v>
      </c>
      <c r="N2669">
        <v>97.3</v>
      </c>
      <c r="O2669">
        <v>23.84769539078156</v>
      </c>
    </row>
    <row r="2670" spans="1:15" hidden="1" x14ac:dyDescent="0.25">
      <c r="A2670" s="11">
        <v>46085</v>
      </c>
      <c r="B2670" t="s">
        <v>15</v>
      </c>
      <c r="C2670" t="s">
        <v>16</v>
      </c>
      <c r="D2670">
        <v>8</v>
      </c>
      <c r="E2670">
        <v>6</v>
      </c>
      <c r="F2670">
        <v>40.26</v>
      </c>
      <c r="G2670">
        <v>0</v>
      </c>
      <c r="H2670">
        <v>0</v>
      </c>
      <c r="I2670" s="3">
        <f>E2670+G2670+H2670</f>
        <v>6</v>
      </c>
      <c r="J2670" s="3">
        <f>ROUND(MIN(IF(C2670="Técnico III",35,IF(C2670="Técnico II",28,IF(C2670="Técnico I",23,IF(C2670="JR",20,IF(C2670="Estágio",10,0))))),IF(C2670="Técnico III",SUMIFS($D:$D,$A:$A,$A2670,$B:$B,"&lt;&gt;Patrícia Karla de Sousa Araújo",$B:$B,"&lt;&gt;Lorena Dias de Araujo",$B:$B,"&lt;&gt;Lucas Luiz Romero")*(35/1083),IF(C2670="Técnico II",SUMIFS($D:$D,$A:$A,$A2670,$B:$B,"&lt;&gt;Patrícia Karla de Sousa Araújo",$B:$B,"&lt;&gt;Lorena Dias de Araujo",$B:$B,"&lt;&gt;Lucas Luiz Romero")*(28/1083),IF(C2670="Técnico I",SUMIFS($D:$D,$A:$A,$A2670,$B:$B,"&lt;&gt;Patrícia Karla de Sousa Araújo",$B:$B,"&lt;&gt;Lorena Dias de Araujo",$B:$B,"&lt;&gt;Lucas Luiz Romero")*(23/1083),IF(C2670="JR",SUMIFS($D:$D,$A:$A,$A2670,$B:$B,"&lt;&gt;Patrícia Karla de Sousa Araújo",$B:$B,"&lt;&gt;Lorena Dias de Araujo",$B:$B,"&lt;&gt;Lucas Luiz Romero")*(20/1083),IF(C2670="Estágio",SUMIFS($D:$D,$A:$A,$A2670,$B:$B,"&lt;&gt;Patrícia Karla de Sousa Araújo",$B:$B,"&lt;&gt;Lorena Dias de Araujo",$B:$B,"&lt;&gt;Lucas Luiz Romero")*(10/1083),0)))))),0)</f>
        <v>8</v>
      </c>
      <c r="K2670" s="3">
        <f>I2670-J2670</f>
        <v>-2</v>
      </c>
      <c r="L2670" s="3" t="str">
        <f>IF(K2670&lt;-5,"CRÍTICO",IF(K2670&lt;0,"ATENÇÃO",IF(K2670&lt;=5,"BOM","EXCELENTE")))</f>
        <v>ATENÇÃO</v>
      </c>
      <c r="M2670">
        <v>6</v>
      </c>
      <c r="N2670">
        <v>100</v>
      </c>
      <c r="O2670">
        <v>25.268817204301079</v>
      </c>
    </row>
    <row r="2671" spans="1:15" hidden="1" x14ac:dyDescent="0.25">
      <c r="A2671" s="11">
        <v>46085</v>
      </c>
      <c r="B2671" t="s">
        <v>49</v>
      </c>
      <c r="C2671" t="s">
        <v>48</v>
      </c>
      <c r="D2671">
        <v>34</v>
      </c>
      <c r="E2671">
        <v>32</v>
      </c>
      <c r="F2671">
        <v>17.39</v>
      </c>
      <c r="G2671">
        <v>0</v>
      </c>
      <c r="H2671">
        <v>0</v>
      </c>
      <c r="I2671" s="3">
        <f>E2671+G2671+H2671</f>
        <v>32</v>
      </c>
      <c r="J2671" s="3">
        <f>ROUND(MIN(IF(C2671="Técnico III",35,IF(C2671="Técnico II",28,IF(C2671="Técnico I",23,IF(C2671="JR",20,IF(C2671="Estágio",10,0))))),IF(C2671="Técnico III",SUMIFS($D:$D,$A:$A,$A2671,$B:$B,"&lt;&gt;Patrícia Karla de Sousa Araújo",$B:$B,"&lt;&gt;Lorena Dias de Araujo",$B:$B,"&lt;&gt;Lucas Luiz Romero")*(35/1083),IF(C2671="Técnico II",SUMIFS($D:$D,$A:$A,$A2671,$B:$B,"&lt;&gt;Patrícia Karla de Sousa Araújo",$B:$B,"&lt;&gt;Lorena Dias de Araujo",$B:$B,"&lt;&gt;Lucas Luiz Romero")*(28/1083),IF(C2671="Técnico I",SUMIFS($D:$D,$A:$A,$A2671,$B:$B,"&lt;&gt;Patrícia Karla de Sousa Araújo",$B:$B,"&lt;&gt;Lorena Dias de Araujo",$B:$B,"&lt;&gt;Lucas Luiz Romero")*(23/1083),IF(C2671="JR",SUMIFS($D:$D,$A:$A,$A2671,$B:$B,"&lt;&gt;Patrícia Karla de Sousa Araújo",$B:$B,"&lt;&gt;Lorena Dias de Araujo",$B:$B,"&lt;&gt;Lucas Luiz Romero")*(20/1083),IF(C2671="Estágio",SUMIFS($D:$D,$A:$A,$A2671,$B:$B,"&lt;&gt;Patrícia Karla de Sousa Araújo",$B:$B,"&lt;&gt;Lorena Dias de Araujo",$B:$B,"&lt;&gt;Lucas Luiz Romero")*(10/1083),0)))))),0)</f>
        <v>21</v>
      </c>
      <c r="K2671" s="3">
        <f>I2671-J2671</f>
        <v>11</v>
      </c>
      <c r="L2671" s="3" t="str">
        <f>IF(K2671&lt;-5,"CRÍTICO",IF(K2671&lt;0,"ATENÇÃO",IF(K2671&lt;=5,"BOM","EXCELENTE")))</f>
        <v>EXCELENTE</v>
      </c>
      <c r="M2671">
        <v>32</v>
      </c>
      <c r="N2671">
        <v>99.32</v>
      </c>
      <c r="O2671">
        <v>22.822822822822818</v>
      </c>
    </row>
    <row r="2672" spans="1:15" hidden="1" x14ac:dyDescent="0.25">
      <c r="A2672" s="11">
        <v>46085</v>
      </c>
      <c r="B2672" t="s">
        <v>50</v>
      </c>
      <c r="C2672" t="s">
        <v>48</v>
      </c>
      <c r="D2672">
        <v>0</v>
      </c>
      <c r="E2672">
        <v>0</v>
      </c>
      <c r="F2672">
        <v>0</v>
      </c>
      <c r="G2672">
        <v>0</v>
      </c>
      <c r="H2672">
        <v>0</v>
      </c>
      <c r="I2672" s="3">
        <v>0</v>
      </c>
      <c r="J2672" s="3">
        <v>0</v>
      </c>
      <c r="K2672" s="3">
        <v>0</v>
      </c>
      <c r="L2672" s="3" t="str">
        <f>IF(K2672&lt;-5,"CRÍTICO",IF(K2672&lt;0,"ATENÇÃO",IF(K2672&lt;=5,"BOM","EXCELENTE")))</f>
        <v>BOM</v>
      </c>
      <c r="M2672">
        <v>0</v>
      </c>
      <c r="N2672">
        <v>100</v>
      </c>
      <c r="O2672">
        <v>27.966101694915249</v>
      </c>
    </row>
    <row r="2673" spans="1:15" hidden="1" x14ac:dyDescent="0.25">
      <c r="A2673" s="11">
        <v>46085</v>
      </c>
      <c r="B2673" t="s">
        <v>17</v>
      </c>
      <c r="C2673" t="s">
        <v>16</v>
      </c>
      <c r="D2673">
        <v>0</v>
      </c>
      <c r="E2673">
        <v>0</v>
      </c>
      <c r="F2673">
        <v>0</v>
      </c>
      <c r="G2673">
        <v>0</v>
      </c>
      <c r="H2673">
        <v>0</v>
      </c>
      <c r="I2673" s="3">
        <v>0</v>
      </c>
      <c r="J2673" s="3">
        <v>0</v>
      </c>
      <c r="K2673" s="3">
        <v>0</v>
      </c>
      <c r="L2673" s="3" t="str">
        <f>IF(K2673&lt;-5,"CRÍTICO",IF(K2673&lt;0,"ATENÇÃO",IF(K2673&lt;=5,"BOM","EXCELENTE")))</f>
        <v>BOM</v>
      </c>
      <c r="M2673">
        <v>0</v>
      </c>
      <c r="N2673">
        <v>100</v>
      </c>
      <c r="O2673">
        <v>30.434782608695659</v>
      </c>
    </row>
    <row r="2674" spans="1:15" hidden="1" x14ac:dyDescent="0.25">
      <c r="A2674" s="11">
        <v>46085</v>
      </c>
      <c r="B2674" t="s">
        <v>60</v>
      </c>
      <c r="C2674" t="s">
        <v>23</v>
      </c>
      <c r="D2674">
        <v>21</v>
      </c>
      <c r="E2674">
        <v>18</v>
      </c>
      <c r="F2674">
        <v>28.3</v>
      </c>
      <c r="G2674">
        <v>0</v>
      </c>
      <c r="H2674">
        <v>0</v>
      </c>
      <c r="I2674" s="3">
        <f>E2674+G2674+H2674</f>
        <v>18</v>
      </c>
      <c r="J2674" s="3">
        <f>ROUND(MIN(IF(C2674="Técnico III",35,IF(C2674="Técnico II",28,IF(C2674="Técnico I",23,IF(C2674="JR",20,IF(C2674="Estágio",10,0))))),IF(C2674="Técnico III",SUMIFS($D:$D,$A:$A,$A2674,$B:$B,"&lt;&gt;Patrícia Karla de Sousa Araújo",$B:$B,"&lt;&gt;Lorena Dias de Araujo",$B:$B,"&lt;&gt;Lucas Luiz Romero")*(35/1083),IF(C2674="Técnico II",SUMIFS($D:$D,$A:$A,$A2674,$B:$B,"&lt;&gt;Patrícia Karla de Sousa Araújo",$B:$B,"&lt;&gt;Lorena Dias de Araujo",$B:$B,"&lt;&gt;Lucas Luiz Romero")*(28/1083),IF(C2674="Técnico I",SUMIFS($D:$D,$A:$A,$A2674,$B:$B,"&lt;&gt;Patrícia Karla de Sousa Araújo",$B:$B,"&lt;&gt;Lorena Dias de Araujo",$B:$B,"&lt;&gt;Lucas Luiz Romero")*(23/1083),IF(C2674="JR",SUMIFS($D:$D,$A:$A,$A2674,$B:$B,"&lt;&gt;Patrícia Karla de Sousa Araújo",$B:$B,"&lt;&gt;Lorena Dias de Araujo",$B:$B,"&lt;&gt;Lucas Luiz Romero")*(20/1083),IF(C2674="Estágio",SUMIFS($D:$D,$A:$A,$A2674,$B:$B,"&lt;&gt;Patrícia Karla de Sousa Araújo",$B:$B,"&lt;&gt;Lorena Dias de Araujo",$B:$B,"&lt;&gt;Lucas Luiz Romero")*(10/1083),0)))))),0)</f>
        <v>17</v>
      </c>
      <c r="K2674" s="3">
        <f>I2674-J2674</f>
        <v>1</v>
      </c>
      <c r="L2674" s="3" t="str">
        <f>IF(K2674&lt;-5,"CRÍTICO",IF(K2674&lt;0,"ATENÇÃO",IF(K2674&lt;=5,"BOM","EXCELENTE")))</f>
        <v>BOM</v>
      </c>
      <c r="M2674">
        <v>17</v>
      </c>
      <c r="N2674">
        <v>96.51</v>
      </c>
      <c r="O2674">
        <v>22.802850356294542</v>
      </c>
    </row>
    <row r="2675" spans="1:15" hidden="1" x14ac:dyDescent="0.25">
      <c r="A2675" s="11">
        <v>46085</v>
      </c>
      <c r="B2675" t="s">
        <v>34</v>
      </c>
      <c r="C2675" t="s">
        <v>32</v>
      </c>
      <c r="D2675">
        <v>39</v>
      </c>
      <c r="E2675">
        <v>38</v>
      </c>
      <c r="F2675">
        <v>16.420000000000002</v>
      </c>
      <c r="G2675">
        <v>0</v>
      </c>
      <c r="H2675">
        <v>0</v>
      </c>
      <c r="I2675" s="3">
        <f>E2675+G2675+H2675</f>
        <v>38</v>
      </c>
      <c r="J2675" s="3">
        <f>ROUND(MIN(IF(C2675="Técnico III",35,IF(C2675="Técnico II",28,IF(C2675="Técnico I",23,IF(C2675="JR",20,IF(C2675="Estágio",10,0))))),IF(C2675="Técnico III",SUMIFS($D:$D,$A:$A,$A2675,$B:$B,"&lt;&gt;Patrícia Karla de Sousa Araújo",$B:$B,"&lt;&gt;Lorena Dias de Araujo",$B:$B,"&lt;&gt;Lucas Luiz Romero")*(35/1083),IF(C2675="Técnico II",SUMIFS($D:$D,$A:$A,$A2675,$B:$B,"&lt;&gt;Patrícia Karla de Sousa Araújo",$B:$B,"&lt;&gt;Lorena Dias de Araujo",$B:$B,"&lt;&gt;Lucas Luiz Romero")*(28/1083),IF(C2675="Técnico I",SUMIFS($D:$D,$A:$A,$A2675,$B:$B,"&lt;&gt;Patrícia Karla de Sousa Araújo",$B:$B,"&lt;&gt;Lorena Dias de Araujo",$B:$B,"&lt;&gt;Lucas Luiz Romero")*(23/1083),IF(C2675="JR",SUMIFS($D:$D,$A:$A,$A2675,$B:$B,"&lt;&gt;Patrícia Karla de Sousa Araújo",$B:$B,"&lt;&gt;Lorena Dias de Araujo",$B:$B,"&lt;&gt;Lucas Luiz Romero")*(20/1083),IF(C2675="Estágio",SUMIFS($D:$D,$A:$A,$A2675,$B:$B,"&lt;&gt;Patrícia Karla de Sousa Araújo",$B:$B,"&lt;&gt;Lorena Dias de Araujo",$B:$B,"&lt;&gt;Lucas Luiz Romero")*(10/1083),0)))))),0)</f>
        <v>26</v>
      </c>
      <c r="K2675" s="3">
        <f>I2675-J2675</f>
        <v>12</v>
      </c>
      <c r="L2675" s="3" t="str">
        <f>IF(K2675&lt;-5,"CRÍTICO",IF(K2675&lt;0,"ATENÇÃO",IF(K2675&lt;=5,"BOM","EXCELENTE")))</f>
        <v>EXCELENTE</v>
      </c>
      <c r="M2675">
        <v>34</v>
      </c>
      <c r="N2675">
        <v>92.68</v>
      </c>
      <c r="O2675">
        <v>27.777777777777779</v>
      </c>
    </row>
    <row r="2676" spans="1:15" hidden="1" x14ac:dyDescent="0.25">
      <c r="A2676" s="11">
        <v>46085</v>
      </c>
      <c r="B2676" t="s">
        <v>51</v>
      </c>
      <c r="C2676" t="s">
        <v>48</v>
      </c>
      <c r="D2676">
        <v>34</v>
      </c>
      <c r="E2676">
        <v>34</v>
      </c>
      <c r="F2676">
        <v>20.57</v>
      </c>
      <c r="G2676">
        <v>0</v>
      </c>
      <c r="H2676">
        <v>0</v>
      </c>
      <c r="I2676" s="3">
        <v>0</v>
      </c>
      <c r="J2676" s="3">
        <v>0</v>
      </c>
      <c r="K2676" s="3">
        <v>0</v>
      </c>
      <c r="L2676" s="3" t="str">
        <f>IF(K2676&lt;-5,"CRÍTICO",IF(K2676&lt;0,"ATENÇÃO",IF(K2676&lt;=5,"BOM","EXCELENTE")))</f>
        <v>BOM</v>
      </c>
      <c r="M2676">
        <v>29</v>
      </c>
      <c r="N2676">
        <v>99.03</v>
      </c>
      <c r="O2676">
        <v>23.991507430997881</v>
      </c>
    </row>
    <row r="2677" spans="1:15" hidden="1" x14ac:dyDescent="0.25">
      <c r="A2677" s="11">
        <v>46085</v>
      </c>
      <c r="B2677" t="s">
        <v>61</v>
      </c>
      <c r="C2677" t="s">
        <v>23</v>
      </c>
      <c r="D2677">
        <v>26</v>
      </c>
      <c r="E2677">
        <v>25</v>
      </c>
      <c r="F2677">
        <v>22.15</v>
      </c>
      <c r="G2677">
        <v>0</v>
      </c>
      <c r="H2677">
        <v>0</v>
      </c>
      <c r="I2677" s="3">
        <f>E2677+G2677+H2677</f>
        <v>25</v>
      </c>
      <c r="J2677" s="3">
        <f>ROUND(MIN(IF(C2677="Técnico III",35,IF(C2677="Técnico II",28,IF(C2677="Técnico I",23,IF(C2677="JR",20,IF(C2677="Estágio",10,0))))),IF(C2677="Técnico III",SUMIFS($D:$D,$A:$A,$A2677,$B:$B,"&lt;&gt;Patrícia Karla de Sousa Araújo",$B:$B,"&lt;&gt;Lorena Dias de Araujo",$B:$B,"&lt;&gt;Lucas Luiz Romero")*(35/1083),IF(C2677="Técnico II",SUMIFS($D:$D,$A:$A,$A2677,$B:$B,"&lt;&gt;Patrícia Karla de Sousa Araújo",$B:$B,"&lt;&gt;Lorena Dias de Araujo",$B:$B,"&lt;&gt;Lucas Luiz Romero")*(28/1083),IF(C2677="Técnico I",SUMIFS($D:$D,$A:$A,$A2677,$B:$B,"&lt;&gt;Patrícia Karla de Sousa Araújo",$B:$B,"&lt;&gt;Lorena Dias de Araujo",$B:$B,"&lt;&gt;Lucas Luiz Romero")*(23/1083),IF(C2677="JR",SUMIFS($D:$D,$A:$A,$A2677,$B:$B,"&lt;&gt;Patrícia Karla de Sousa Araújo",$B:$B,"&lt;&gt;Lorena Dias de Araujo",$B:$B,"&lt;&gt;Lucas Luiz Romero")*(20/1083),IF(C2677="Estágio",SUMIFS($D:$D,$A:$A,$A2677,$B:$B,"&lt;&gt;Patrícia Karla de Sousa Araújo",$B:$B,"&lt;&gt;Lorena Dias de Araujo",$B:$B,"&lt;&gt;Lucas Luiz Romero")*(10/1083),0)))))),0)</f>
        <v>17</v>
      </c>
      <c r="K2677" s="3">
        <f>I2677-J2677</f>
        <v>8</v>
      </c>
      <c r="L2677" s="3" t="str">
        <f>IF(K2677&lt;-5,"CRÍTICO",IF(K2677&lt;0,"ATENÇÃO",IF(K2677&lt;=5,"BOM","EXCELENTE")))</f>
        <v>EXCELENTE</v>
      </c>
      <c r="M2677">
        <v>14</v>
      </c>
      <c r="N2677">
        <v>98.41</v>
      </c>
      <c r="O2677">
        <v>28.138528138528141</v>
      </c>
    </row>
    <row r="2678" spans="1:15" hidden="1" x14ac:dyDescent="0.25">
      <c r="A2678" s="11">
        <v>46085</v>
      </c>
      <c r="B2678" t="s">
        <v>35</v>
      </c>
      <c r="C2678" t="s">
        <v>32</v>
      </c>
      <c r="D2678">
        <v>33</v>
      </c>
      <c r="E2678">
        <v>31</v>
      </c>
      <c r="F2678">
        <v>23.38</v>
      </c>
      <c r="G2678">
        <v>0</v>
      </c>
      <c r="H2678">
        <v>0</v>
      </c>
      <c r="I2678" s="3">
        <v>0</v>
      </c>
      <c r="J2678" s="3">
        <v>0</v>
      </c>
      <c r="K2678" s="3">
        <v>0</v>
      </c>
      <c r="L2678" s="3" t="str">
        <f>IF(K2678&lt;-5,"CRÍTICO",IF(K2678&lt;0,"ATENÇÃO",IF(K2678&lt;=5,"BOM","EXCELENTE")))</f>
        <v>BOM</v>
      </c>
      <c r="M2678">
        <v>32</v>
      </c>
      <c r="N2678">
        <v>98.73</v>
      </c>
      <c r="O2678">
        <v>29.142857142857139</v>
      </c>
    </row>
    <row r="2679" spans="1:15" hidden="1" x14ac:dyDescent="0.25">
      <c r="A2679" s="11">
        <v>46085</v>
      </c>
      <c r="B2679" t="s">
        <v>18</v>
      </c>
      <c r="C2679" t="s">
        <v>16</v>
      </c>
      <c r="D2679">
        <v>11</v>
      </c>
      <c r="E2679">
        <v>10</v>
      </c>
      <c r="F2679">
        <v>30.32</v>
      </c>
      <c r="G2679">
        <v>0</v>
      </c>
      <c r="H2679">
        <v>0</v>
      </c>
      <c r="I2679" s="3">
        <f>E2679+G2679+H2679</f>
        <v>10</v>
      </c>
      <c r="J2679" s="3">
        <f>ROUND(MIN(IF(C2679="Técnico III",35,IF(C2679="Técnico II",28,IF(C2679="Técnico I",23,IF(C2679="JR",20,IF(C2679="Estágio",10,0))))),IF(C2679="Técnico III",SUMIFS($D:$D,$A:$A,$A2679,$B:$B,"&lt;&gt;Patrícia Karla de Sousa Araújo",$B:$B,"&lt;&gt;Lorena Dias de Araujo",$B:$B,"&lt;&gt;Lucas Luiz Romero")*(35/1083),IF(C2679="Técnico II",SUMIFS($D:$D,$A:$A,$A2679,$B:$B,"&lt;&gt;Patrícia Karla de Sousa Araújo",$B:$B,"&lt;&gt;Lorena Dias de Araujo",$B:$B,"&lt;&gt;Lucas Luiz Romero")*(28/1083),IF(C2679="Técnico I",SUMIFS($D:$D,$A:$A,$A2679,$B:$B,"&lt;&gt;Patrícia Karla de Sousa Araújo",$B:$B,"&lt;&gt;Lorena Dias de Araujo",$B:$B,"&lt;&gt;Lucas Luiz Romero")*(23/1083),IF(C2679="JR",SUMIFS($D:$D,$A:$A,$A2679,$B:$B,"&lt;&gt;Patrícia Karla de Sousa Araújo",$B:$B,"&lt;&gt;Lorena Dias de Araujo",$B:$B,"&lt;&gt;Lucas Luiz Romero")*(20/1083),IF(C2679="Estágio",SUMIFS($D:$D,$A:$A,$A2679,$B:$B,"&lt;&gt;Patrícia Karla de Sousa Araújo",$B:$B,"&lt;&gt;Lorena Dias de Araujo",$B:$B,"&lt;&gt;Lucas Luiz Romero")*(10/1083),0)))))),0)</f>
        <v>8</v>
      </c>
      <c r="K2679" s="3">
        <f>I2679-J2679</f>
        <v>2</v>
      </c>
      <c r="L2679" s="3" t="str">
        <f>IF(K2679&lt;-5,"CRÍTICO",IF(K2679&lt;0,"ATENÇÃO",IF(K2679&lt;=5,"BOM","EXCELENTE")))</f>
        <v>BOM</v>
      </c>
      <c r="M2679">
        <v>7</v>
      </c>
      <c r="N2679">
        <v>90.48</v>
      </c>
      <c r="O2679">
        <v>20.68965517241379</v>
      </c>
    </row>
    <row r="2680" spans="1:15" hidden="1" x14ac:dyDescent="0.25">
      <c r="A2680" s="11">
        <v>46085</v>
      </c>
      <c r="B2680" t="s">
        <v>52</v>
      </c>
      <c r="C2680" t="s">
        <v>48</v>
      </c>
      <c r="D2680">
        <v>22</v>
      </c>
      <c r="E2680">
        <v>21</v>
      </c>
      <c r="F2680">
        <v>28.51</v>
      </c>
      <c r="G2680">
        <v>0</v>
      </c>
      <c r="H2680">
        <v>0</v>
      </c>
      <c r="I2680" s="3">
        <f>E2680+G2680+H2680</f>
        <v>21</v>
      </c>
      <c r="J2680" s="3">
        <f>ROUND(MIN(IF(C2680="Técnico III",35,IF(C2680="Técnico II",28,IF(C2680="Técnico I",23,IF(C2680="JR",20,IF(C2680="Estágio",10,0))))),IF(C2680="Técnico III",SUMIFS($D:$D,$A:$A,$A2680,$B:$B,"&lt;&gt;Patrícia Karla de Sousa Araújo",$B:$B,"&lt;&gt;Lorena Dias de Araujo",$B:$B,"&lt;&gt;Lucas Luiz Romero")*(35/1083),IF(C2680="Técnico II",SUMIFS($D:$D,$A:$A,$A2680,$B:$B,"&lt;&gt;Patrícia Karla de Sousa Araújo",$B:$B,"&lt;&gt;Lorena Dias de Araujo",$B:$B,"&lt;&gt;Lucas Luiz Romero")*(28/1083),IF(C2680="Técnico I",SUMIFS($D:$D,$A:$A,$A2680,$B:$B,"&lt;&gt;Patrícia Karla de Sousa Araújo",$B:$B,"&lt;&gt;Lorena Dias de Araujo",$B:$B,"&lt;&gt;Lucas Luiz Romero")*(23/1083),IF(C2680="JR",SUMIFS($D:$D,$A:$A,$A2680,$B:$B,"&lt;&gt;Patrícia Karla de Sousa Araújo",$B:$B,"&lt;&gt;Lorena Dias de Araujo",$B:$B,"&lt;&gt;Lucas Luiz Romero")*(20/1083),IF(C2680="Estágio",SUMIFS($D:$D,$A:$A,$A2680,$B:$B,"&lt;&gt;Patrícia Karla de Sousa Araújo",$B:$B,"&lt;&gt;Lorena Dias de Araujo",$B:$B,"&lt;&gt;Lucas Luiz Romero")*(10/1083),0)))))),0)</f>
        <v>21</v>
      </c>
      <c r="K2680" s="3">
        <f>I2680-J2680</f>
        <v>0</v>
      </c>
      <c r="L2680" s="3" t="str">
        <f>IF(K2680&lt;-5,"CRÍTICO",IF(K2680&lt;0,"ATENÇÃO",IF(K2680&lt;=5,"BOM","EXCELENTE")))</f>
        <v>BOM</v>
      </c>
      <c r="M2680">
        <v>20</v>
      </c>
      <c r="N2680">
        <v>98.06</v>
      </c>
      <c r="O2680">
        <v>24.789915966386559</v>
      </c>
    </row>
    <row r="2681" spans="1:15" hidden="1" x14ac:dyDescent="0.25">
      <c r="A2681" s="11">
        <v>46085</v>
      </c>
      <c r="B2681" t="s">
        <v>36</v>
      </c>
      <c r="C2681" t="s">
        <v>32</v>
      </c>
      <c r="D2681">
        <v>30</v>
      </c>
      <c r="E2681">
        <v>29</v>
      </c>
      <c r="F2681">
        <v>15.59</v>
      </c>
      <c r="G2681">
        <v>0</v>
      </c>
      <c r="H2681">
        <v>0</v>
      </c>
      <c r="I2681" s="3">
        <f>E2681+G2681+H2681</f>
        <v>29</v>
      </c>
      <c r="J2681" s="3">
        <f>ROUND(MIN(IF(C2681="Técnico III",35,IF(C2681="Técnico II",28,IF(C2681="Técnico I",23,IF(C2681="JR",20,IF(C2681="Estágio",10,0))))),IF(C2681="Técnico III",SUMIFS($D:$D,$A:$A,$A2681,$B:$B,"&lt;&gt;Patrícia Karla de Sousa Araújo",$B:$B,"&lt;&gt;Lorena Dias de Araujo",$B:$B,"&lt;&gt;Lucas Luiz Romero")*(35/1083),IF(C2681="Técnico II",SUMIFS($D:$D,$A:$A,$A2681,$B:$B,"&lt;&gt;Patrícia Karla de Sousa Araújo",$B:$B,"&lt;&gt;Lorena Dias de Araujo",$B:$B,"&lt;&gt;Lucas Luiz Romero")*(28/1083),IF(C2681="Técnico I",SUMIFS($D:$D,$A:$A,$A2681,$B:$B,"&lt;&gt;Patrícia Karla de Sousa Araújo",$B:$B,"&lt;&gt;Lorena Dias de Araujo",$B:$B,"&lt;&gt;Lucas Luiz Romero")*(23/1083),IF(C2681="JR",SUMIFS($D:$D,$A:$A,$A2681,$B:$B,"&lt;&gt;Patrícia Karla de Sousa Araújo",$B:$B,"&lt;&gt;Lorena Dias de Araujo",$B:$B,"&lt;&gt;Lucas Luiz Romero")*(20/1083),IF(C2681="Estágio",SUMIFS($D:$D,$A:$A,$A2681,$B:$B,"&lt;&gt;Patrícia Karla de Sousa Araújo",$B:$B,"&lt;&gt;Lorena Dias de Araujo",$B:$B,"&lt;&gt;Lucas Luiz Romero")*(10/1083),0)))))),0)</f>
        <v>26</v>
      </c>
      <c r="K2681" s="3">
        <f>I2681-J2681</f>
        <v>3</v>
      </c>
      <c r="L2681" s="3" t="str">
        <f>IF(K2681&lt;-5,"CRÍTICO",IF(K2681&lt;0,"ATENÇÃO",IF(K2681&lt;=5,"BOM","EXCELENTE")))</f>
        <v>BOM</v>
      </c>
      <c r="M2681">
        <v>33</v>
      </c>
      <c r="N2681">
        <v>97.78</v>
      </c>
      <c r="O2681">
        <v>25.494071146245059</v>
      </c>
    </row>
    <row r="2682" spans="1:15" hidden="1" x14ac:dyDescent="0.25">
      <c r="A2682" s="11">
        <v>46085</v>
      </c>
      <c r="B2682" t="s">
        <v>53</v>
      </c>
      <c r="C2682" t="s">
        <v>48</v>
      </c>
      <c r="D2682">
        <v>40</v>
      </c>
      <c r="E2682">
        <v>35</v>
      </c>
      <c r="F2682">
        <v>16.53</v>
      </c>
      <c r="G2682">
        <v>0</v>
      </c>
      <c r="H2682">
        <v>0</v>
      </c>
      <c r="I2682" s="3">
        <f>E2682+G2682+H2682</f>
        <v>35</v>
      </c>
      <c r="J2682" s="3">
        <f>ROUND(MIN(IF(C2682="Técnico III",35,IF(C2682="Técnico II",28,IF(C2682="Técnico I",23,IF(C2682="JR",20,IF(C2682="Estágio",10,0))))),IF(C2682="Técnico III",SUMIFS($D:$D,$A:$A,$A2682,$B:$B,"&lt;&gt;Patrícia Karla de Sousa Araújo",$B:$B,"&lt;&gt;Lorena Dias de Araujo",$B:$B,"&lt;&gt;Lucas Luiz Romero")*(35/1083),IF(C2682="Técnico II",SUMIFS($D:$D,$A:$A,$A2682,$B:$B,"&lt;&gt;Patrícia Karla de Sousa Araújo",$B:$B,"&lt;&gt;Lorena Dias de Araujo",$B:$B,"&lt;&gt;Lucas Luiz Romero")*(28/1083),IF(C2682="Técnico I",SUMIFS($D:$D,$A:$A,$A2682,$B:$B,"&lt;&gt;Patrícia Karla de Sousa Araújo",$B:$B,"&lt;&gt;Lorena Dias de Araujo",$B:$B,"&lt;&gt;Lucas Luiz Romero")*(23/1083),IF(C2682="JR",SUMIFS($D:$D,$A:$A,$A2682,$B:$B,"&lt;&gt;Patrícia Karla de Sousa Araújo",$B:$B,"&lt;&gt;Lorena Dias de Araujo",$B:$B,"&lt;&gt;Lucas Luiz Romero")*(20/1083),IF(C2682="Estágio",SUMIFS($D:$D,$A:$A,$A2682,$B:$B,"&lt;&gt;Patrícia Karla de Sousa Araújo",$B:$B,"&lt;&gt;Lorena Dias de Araujo",$B:$B,"&lt;&gt;Lucas Luiz Romero")*(10/1083),0)))))),0)</f>
        <v>21</v>
      </c>
      <c r="K2682" s="3">
        <f>I2682-J2682</f>
        <v>14</v>
      </c>
      <c r="L2682" s="3" t="str">
        <f>IF(K2682&lt;-5,"CRÍTICO",IF(K2682&lt;0,"ATENÇÃO",IF(K2682&lt;=5,"BOM","EXCELENTE")))</f>
        <v>EXCELENTE</v>
      </c>
      <c r="M2682">
        <v>34</v>
      </c>
      <c r="N2682">
        <v>98.02</v>
      </c>
      <c r="O2682">
        <v>23.484848484848481</v>
      </c>
    </row>
    <row r="2683" spans="1:15" hidden="1" x14ac:dyDescent="0.25">
      <c r="A2683" s="11">
        <v>46119</v>
      </c>
      <c r="B2683" t="s">
        <v>22</v>
      </c>
      <c r="C2683" t="s">
        <v>23</v>
      </c>
      <c r="D2683">
        <v>26</v>
      </c>
      <c r="E2683">
        <v>25</v>
      </c>
      <c r="F2683">
        <v>17.100000000000001</v>
      </c>
      <c r="G2683">
        <v>0</v>
      </c>
      <c r="H2683">
        <v>0</v>
      </c>
      <c r="I2683" s="3">
        <f>E2683+G2683+H2683</f>
        <v>25</v>
      </c>
      <c r="J2683" s="3">
        <f>ROUND(MIN(IF(C2683="Técnico III",35,IF(C2683="Técnico II",28,IF(C2683="Técnico I",23,IF(C2683="JR",20,IF(C2683="Estágio",10,0))))),IF(C2683="Técnico III",SUMIFS($D:$D,$A:$A,$A2683,$B:$B,"&lt;&gt;Patrícia Karla de Sousa Araújo",$B:$B,"&lt;&gt;Lorena Dias de Araujo",$B:$B,"&lt;&gt;Lucas Luiz Romero")*(35/1083),IF(C2683="Técnico II",SUMIFS($D:$D,$A:$A,$A2683,$B:$B,"&lt;&gt;Patrícia Karla de Sousa Araújo",$B:$B,"&lt;&gt;Lorena Dias de Araujo",$B:$B,"&lt;&gt;Lucas Luiz Romero")*(28/1083),IF(C2683="Técnico I",SUMIFS($D:$D,$A:$A,$A2683,$B:$B,"&lt;&gt;Patrícia Karla de Sousa Araújo",$B:$B,"&lt;&gt;Lorena Dias de Araujo",$B:$B,"&lt;&gt;Lucas Luiz Romero")*(23/1083),IF(C2683="JR",SUMIFS($D:$D,$A:$A,$A2683,$B:$B,"&lt;&gt;Patrícia Karla de Sousa Araújo",$B:$B,"&lt;&gt;Lorena Dias de Araujo",$B:$B,"&lt;&gt;Lucas Luiz Romero")*(20/1083),IF(C2683="Estágio",SUMIFS($D:$D,$A:$A,$A2683,$B:$B,"&lt;&gt;Patrícia Karla de Sousa Araújo",$B:$B,"&lt;&gt;Lorena Dias de Araujo",$B:$B,"&lt;&gt;Lucas Luiz Romero")*(10/1083),0)))))),0)</f>
        <v>21</v>
      </c>
      <c r="K2683" s="3">
        <f>I2683-J2683</f>
        <v>4</v>
      </c>
      <c r="L2683" s="3" t="str">
        <f>IF(K2683&lt;-5,"CRÍTICO",IF(K2683&lt;0,"ATENÇÃO",IF(K2683&lt;=5,"OPORTUNO","MUITO BOM")))</f>
        <v>OPORTUNO</v>
      </c>
      <c r="M2683">
        <v>23</v>
      </c>
      <c r="N2683">
        <v>99.28</v>
      </c>
      <c r="O2683">
        <v>27.689243027888441</v>
      </c>
    </row>
    <row r="2684" spans="1:15" hidden="1" x14ac:dyDescent="0.25">
      <c r="A2684" s="11">
        <v>46085</v>
      </c>
      <c r="B2684" t="s">
        <v>54</v>
      </c>
      <c r="C2684" t="s">
        <v>48</v>
      </c>
      <c r="D2684">
        <v>31</v>
      </c>
      <c r="E2684">
        <v>30</v>
      </c>
      <c r="F2684">
        <v>23.58</v>
      </c>
      <c r="G2684">
        <v>0</v>
      </c>
      <c r="H2684">
        <v>0</v>
      </c>
      <c r="I2684" s="3">
        <f>E2684+G2684+H2684</f>
        <v>30</v>
      </c>
      <c r="J2684" s="3">
        <f>ROUND(MIN(IF(C2684="Técnico III",35,IF(C2684="Técnico II",28,IF(C2684="Técnico I",23,IF(C2684="JR",20,IF(C2684="Estágio",10,0))))),IF(C2684="Técnico III",SUMIFS($D:$D,$A:$A,$A2684,$B:$B,"&lt;&gt;Patrícia Karla de Sousa Araújo",$B:$B,"&lt;&gt;Lorena Dias de Araujo",$B:$B,"&lt;&gt;Lucas Luiz Romero")*(35/1083),IF(C2684="Técnico II",SUMIFS($D:$D,$A:$A,$A2684,$B:$B,"&lt;&gt;Patrícia Karla de Sousa Araújo",$B:$B,"&lt;&gt;Lorena Dias de Araujo",$B:$B,"&lt;&gt;Lucas Luiz Romero")*(28/1083),IF(C2684="Técnico I",SUMIFS($D:$D,$A:$A,$A2684,$B:$B,"&lt;&gt;Patrícia Karla de Sousa Araújo",$B:$B,"&lt;&gt;Lorena Dias de Araujo",$B:$B,"&lt;&gt;Lucas Luiz Romero")*(23/1083),IF(C2684="JR",SUMIFS($D:$D,$A:$A,$A2684,$B:$B,"&lt;&gt;Patrícia Karla de Sousa Araújo",$B:$B,"&lt;&gt;Lorena Dias de Araujo",$B:$B,"&lt;&gt;Lucas Luiz Romero")*(20/1083),IF(C2684="Estágio",SUMIFS($D:$D,$A:$A,$A2684,$B:$B,"&lt;&gt;Patrícia Karla de Sousa Araújo",$B:$B,"&lt;&gt;Lorena Dias de Araujo",$B:$B,"&lt;&gt;Lucas Luiz Romero")*(10/1083),0)))))),0)</f>
        <v>21</v>
      </c>
      <c r="K2684" s="3">
        <f>I2684-J2684</f>
        <v>9</v>
      </c>
      <c r="L2684" s="3" t="str">
        <f>IF(K2684&lt;-5,"CRÍTICO",IF(K2684&lt;0,"ATENÇÃO",IF(K2684&lt;=5,"BOM","EXCELENTE")))</f>
        <v>EXCELENTE</v>
      </c>
      <c r="M2684">
        <v>25</v>
      </c>
      <c r="N2684">
        <v>100</v>
      </c>
      <c r="O2684">
        <v>27.04918032786885</v>
      </c>
    </row>
    <row r="2685" spans="1:15" hidden="1" x14ac:dyDescent="0.25">
      <c r="A2685" s="11">
        <v>46085</v>
      </c>
      <c r="B2685" t="s">
        <v>37</v>
      </c>
      <c r="C2685" t="s">
        <v>32</v>
      </c>
      <c r="D2685">
        <v>42</v>
      </c>
      <c r="E2685">
        <v>40</v>
      </c>
      <c r="F2685">
        <v>14.16</v>
      </c>
      <c r="G2685">
        <v>0</v>
      </c>
      <c r="H2685">
        <v>0</v>
      </c>
      <c r="I2685" s="3">
        <f>E2685+G2685+H2685</f>
        <v>40</v>
      </c>
      <c r="J2685" s="3">
        <f>ROUND(MIN(IF(C2685="Técnico III",35,IF(C2685="Técnico II",28,IF(C2685="Técnico I",23,IF(C2685="JR",20,IF(C2685="Estágio",10,0))))),IF(C2685="Técnico III",SUMIFS($D:$D,$A:$A,$A2685,$B:$B,"&lt;&gt;Patrícia Karla de Sousa Araújo",$B:$B,"&lt;&gt;Lorena Dias de Araujo",$B:$B,"&lt;&gt;Lucas Luiz Romero")*(35/1083),IF(C2685="Técnico II",SUMIFS($D:$D,$A:$A,$A2685,$B:$B,"&lt;&gt;Patrícia Karla de Sousa Araújo",$B:$B,"&lt;&gt;Lorena Dias de Araujo",$B:$B,"&lt;&gt;Lucas Luiz Romero")*(28/1083),IF(C2685="Técnico I",SUMIFS($D:$D,$A:$A,$A2685,$B:$B,"&lt;&gt;Patrícia Karla de Sousa Araújo",$B:$B,"&lt;&gt;Lorena Dias de Araujo",$B:$B,"&lt;&gt;Lucas Luiz Romero")*(23/1083),IF(C2685="JR",SUMIFS($D:$D,$A:$A,$A2685,$B:$B,"&lt;&gt;Patrícia Karla de Sousa Araújo",$B:$B,"&lt;&gt;Lorena Dias de Araujo",$B:$B,"&lt;&gt;Lucas Luiz Romero")*(20/1083),IF(C2685="Estágio",SUMIFS($D:$D,$A:$A,$A2685,$B:$B,"&lt;&gt;Patrícia Karla de Sousa Araújo",$B:$B,"&lt;&gt;Lorena Dias de Araujo",$B:$B,"&lt;&gt;Lucas Luiz Romero")*(10/1083),0)))))),0)</f>
        <v>26</v>
      </c>
      <c r="K2685" s="3">
        <f>I2685-J2685</f>
        <v>14</v>
      </c>
      <c r="L2685" s="3" t="str">
        <f>IF(K2685&lt;-5,"CRÍTICO",IF(K2685&lt;0,"ATENÇÃO",IF(K2685&lt;=5,"BOM","EXCELENTE")))</f>
        <v>EXCELENTE</v>
      </c>
      <c r="M2685">
        <v>40</v>
      </c>
      <c r="N2685">
        <v>97.83</v>
      </c>
      <c r="O2685">
        <v>26.315789473684209</v>
      </c>
    </row>
    <row r="2686" spans="1:15" hidden="1" x14ac:dyDescent="0.25">
      <c r="A2686" s="11">
        <v>46085</v>
      </c>
      <c r="B2686" t="s">
        <v>38</v>
      </c>
      <c r="C2686" t="s">
        <v>32</v>
      </c>
      <c r="D2686">
        <v>15</v>
      </c>
      <c r="E2686">
        <v>15</v>
      </c>
      <c r="F2686">
        <v>20.100000000000001</v>
      </c>
      <c r="G2686">
        <v>0</v>
      </c>
      <c r="H2686">
        <v>0</v>
      </c>
      <c r="I2686" s="3">
        <f>E2686+G2686+H2686</f>
        <v>15</v>
      </c>
      <c r="J2686" s="3">
        <f>ROUND(MIN(IF(C2686="Técnico III",35,IF(C2686="Técnico II",28,IF(C2686="Técnico I",23,IF(C2686="JR",20,IF(C2686="Estágio",10,0))))),IF(C2686="Técnico III",SUMIFS($D:$D,$A:$A,$A2686,$B:$B,"&lt;&gt;Patrícia Karla de Sousa Araújo",$B:$B,"&lt;&gt;Lorena Dias de Araujo",$B:$B,"&lt;&gt;Lucas Luiz Romero")*(35/1083),IF(C2686="Técnico II",SUMIFS($D:$D,$A:$A,$A2686,$B:$B,"&lt;&gt;Patrícia Karla de Sousa Araújo",$B:$B,"&lt;&gt;Lorena Dias de Araujo",$B:$B,"&lt;&gt;Lucas Luiz Romero")*(28/1083),IF(C2686="Técnico I",SUMIFS($D:$D,$A:$A,$A2686,$B:$B,"&lt;&gt;Patrícia Karla de Sousa Araújo",$B:$B,"&lt;&gt;Lorena Dias de Araujo",$B:$B,"&lt;&gt;Lucas Luiz Romero")*(23/1083),IF(C2686="JR",SUMIFS($D:$D,$A:$A,$A2686,$B:$B,"&lt;&gt;Patrícia Karla de Sousa Araújo",$B:$B,"&lt;&gt;Lorena Dias de Araujo",$B:$B,"&lt;&gt;Lucas Luiz Romero")*(20/1083),IF(C2686="Estágio",SUMIFS($D:$D,$A:$A,$A2686,$B:$B,"&lt;&gt;Patrícia Karla de Sousa Araújo",$B:$B,"&lt;&gt;Lorena Dias de Araujo",$B:$B,"&lt;&gt;Lucas Luiz Romero")*(10/1083),0)))))),0)</f>
        <v>26</v>
      </c>
      <c r="K2686" s="3">
        <f>I2686-J2686</f>
        <v>-11</v>
      </c>
      <c r="L2686" s="3" t="str">
        <f>IF(K2686&lt;-5,"CRÍTICO",IF(K2686&lt;0,"ATENÇÃO",IF(K2686&lt;=5,"BOM","EXCELENTE")))</f>
        <v>CRÍTICO</v>
      </c>
      <c r="M2686">
        <v>14</v>
      </c>
      <c r="N2686">
        <v>100</v>
      </c>
      <c r="O2686">
        <v>26.701570680628269</v>
      </c>
    </row>
    <row r="2687" spans="1:15" hidden="1" x14ac:dyDescent="0.25">
      <c r="A2687" s="11">
        <v>46085</v>
      </c>
      <c r="B2687" t="s">
        <v>55</v>
      </c>
      <c r="C2687" t="s">
        <v>48</v>
      </c>
      <c r="D2687">
        <v>31</v>
      </c>
      <c r="E2687">
        <v>26</v>
      </c>
      <c r="F2687">
        <v>23.56</v>
      </c>
      <c r="G2687">
        <v>0</v>
      </c>
      <c r="H2687">
        <v>0</v>
      </c>
      <c r="I2687" s="3">
        <f>E2687+G2687+H2687</f>
        <v>26</v>
      </c>
      <c r="J2687" s="3">
        <f>ROUND(MIN(IF(C2687="Técnico III",35,IF(C2687="Técnico II",28,IF(C2687="Técnico I",23,IF(C2687="JR",20,IF(C2687="Estágio",10,0))))),IF(C2687="Técnico III",SUMIFS($D:$D,$A:$A,$A2687,$B:$B,"&lt;&gt;Patrícia Karla de Sousa Araújo",$B:$B,"&lt;&gt;Lorena Dias de Araujo",$B:$B,"&lt;&gt;Lucas Luiz Romero")*(35/1083),IF(C2687="Técnico II",SUMIFS($D:$D,$A:$A,$A2687,$B:$B,"&lt;&gt;Patrícia Karla de Sousa Araújo",$B:$B,"&lt;&gt;Lorena Dias de Araujo",$B:$B,"&lt;&gt;Lucas Luiz Romero")*(28/1083),IF(C2687="Técnico I",SUMIFS($D:$D,$A:$A,$A2687,$B:$B,"&lt;&gt;Patrícia Karla de Sousa Araújo",$B:$B,"&lt;&gt;Lorena Dias de Araujo",$B:$B,"&lt;&gt;Lucas Luiz Romero")*(23/1083),IF(C2687="JR",SUMIFS($D:$D,$A:$A,$A2687,$B:$B,"&lt;&gt;Patrícia Karla de Sousa Araújo",$B:$B,"&lt;&gt;Lorena Dias de Araujo",$B:$B,"&lt;&gt;Lucas Luiz Romero")*(20/1083),IF(C2687="Estágio",SUMIFS($D:$D,$A:$A,$A2687,$B:$B,"&lt;&gt;Patrícia Karla de Sousa Araújo",$B:$B,"&lt;&gt;Lorena Dias de Araujo",$B:$B,"&lt;&gt;Lucas Luiz Romero")*(10/1083),0)))))),0)</f>
        <v>21</v>
      </c>
      <c r="K2687" s="3">
        <f>I2687-J2687</f>
        <v>5</v>
      </c>
      <c r="L2687" s="3" t="str">
        <f>IF(K2687&lt;-5,"CRÍTICO",IF(K2687&lt;0,"ATENÇÃO",IF(K2687&lt;=5,"BOM","EXCELENTE")))</f>
        <v>BOM</v>
      </c>
      <c r="M2687">
        <v>19</v>
      </c>
      <c r="N2687">
        <v>97.47</v>
      </c>
      <c r="O2687">
        <v>22.887323943661968</v>
      </c>
    </row>
    <row r="2688" spans="1:15" hidden="1" x14ac:dyDescent="0.25">
      <c r="A2688" s="11">
        <v>46085</v>
      </c>
      <c r="B2688" t="s">
        <v>39</v>
      </c>
      <c r="C2688" t="s">
        <v>32</v>
      </c>
      <c r="D2688">
        <v>0</v>
      </c>
      <c r="E2688">
        <v>0</v>
      </c>
      <c r="F2688">
        <v>0</v>
      </c>
      <c r="G2688">
        <v>0</v>
      </c>
      <c r="H2688">
        <v>0</v>
      </c>
      <c r="I2688" s="3">
        <v>0</v>
      </c>
      <c r="J2688" s="3">
        <v>0</v>
      </c>
      <c r="K2688" s="3">
        <v>0</v>
      </c>
      <c r="L2688" s="3" t="str">
        <f>IF(K2688&lt;-5,"CRÍTICO",IF(K2688&lt;0,"ATENÇÃO",IF(K2688&lt;=5,"BOM","EXCELENTE")))</f>
        <v>BOM</v>
      </c>
      <c r="M2688">
        <v>0</v>
      </c>
      <c r="N2688">
        <v>0</v>
      </c>
      <c r="O2688">
        <v>0</v>
      </c>
    </row>
    <row r="2689" spans="1:15" hidden="1" x14ac:dyDescent="0.25">
      <c r="A2689" s="11">
        <v>46085</v>
      </c>
      <c r="B2689" t="s">
        <v>25</v>
      </c>
      <c r="C2689" t="s">
        <v>26</v>
      </c>
      <c r="D2689">
        <v>21</v>
      </c>
      <c r="E2689">
        <v>18</v>
      </c>
      <c r="F2689">
        <v>24.05</v>
      </c>
      <c r="G2689">
        <v>0</v>
      </c>
      <c r="H2689">
        <v>0</v>
      </c>
      <c r="I2689" s="3">
        <f>E2689+G2689+H2689</f>
        <v>18</v>
      </c>
      <c r="J2689" s="3">
        <f>ROUND(MIN(IF(C2689="Técnico III",35,IF(C2689="Técnico II",28,IF(C2689="Técnico I",23,IF(C2689="JR",20,IF(C2689="Estágio",10,0))))),IF(C2689="Técnico III",SUMIFS($D:$D,$A:$A,$A2689,$B:$B,"&lt;&gt;Patrícia Karla de Sousa Araújo",$B:$B,"&lt;&gt;Lorena Dias de Araujo",$B:$B,"&lt;&gt;Lucas Luiz Romero")*(35/1083),IF(C2689="Técnico II",SUMIFS($D:$D,$A:$A,$A2689,$B:$B,"&lt;&gt;Patrícia Karla de Sousa Araújo",$B:$B,"&lt;&gt;Lorena Dias de Araujo",$B:$B,"&lt;&gt;Lucas Luiz Romero")*(28/1083),IF(C2689="Técnico I",SUMIFS($D:$D,$A:$A,$A2689,$B:$B,"&lt;&gt;Patrícia Karla de Sousa Araújo",$B:$B,"&lt;&gt;Lorena Dias de Araujo",$B:$B,"&lt;&gt;Lucas Luiz Romero")*(23/1083),IF(C2689="JR",SUMIFS($D:$D,$A:$A,$A2689,$B:$B,"&lt;&gt;Patrícia Karla de Sousa Araújo",$B:$B,"&lt;&gt;Lorena Dias de Araujo",$B:$B,"&lt;&gt;Lucas Luiz Romero")*(20/1083),IF(C2689="Estágio",SUMIFS($D:$D,$A:$A,$A2689,$B:$B,"&lt;&gt;Patrícia Karla de Sousa Araújo",$B:$B,"&lt;&gt;Lorena Dias de Araujo",$B:$B,"&lt;&gt;Lucas Luiz Romero")*(10/1083),0)))))),0)</f>
        <v>15</v>
      </c>
      <c r="K2689" s="3">
        <f>I2689-J2689</f>
        <v>3</v>
      </c>
      <c r="L2689" s="3" t="str">
        <f>IF(K2689&lt;-5,"CRÍTICO",IF(K2689&lt;0,"ATENÇÃO",IF(K2689&lt;=5,"BOM","EXCELENTE")))</f>
        <v>BOM</v>
      </c>
      <c r="M2689">
        <v>17</v>
      </c>
      <c r="N2689">
        <v>98.31</v>
      </c>
      <c r="O2689">
        <v>24.920127795527151</v>
      </c>
    </row>
    <row r="2690" spans="1:15" hidden="1" x14ac:dyDescent="0.25">
      <c r="A2690" s="11">
        <v>46085</v>
      </c>
      <c r="B2690" t="s">
        <v>40</v>
      </c>
      <c r="C2690" t="s">
        <v>32</v>
      </c>
      <c r="D2690">
        <v>0</v>
      </c>
      <c r="E2690">
        <v>0</v>
      </c>
      <c r="F2690">
        <v>0</v>
      </c>
      <c r="G2690">
        <v>0</v>
      </c>
      <c r="H2690">
        <v>0</v>
      </c>
      <c r="I2690" s="3">
        <v>0</v>
      </c>
      <c r="J2690" s="3">
        <v>0</v>
      </c>
      <c r="K2690" s="3">
        <v>0</v>
      </c>
      <c r="L2690" s="3" t="str">
        <f>IF(K2690&lt;-5,"CRÍTICO",IF(K2690&lt;0,"ATENÇÃO",IF(K2690&lt;=5,"BOM","EXCELENTE")))</f>
        <v>BOM</v>
      </c>
      <c r="M2690">
        <v>14</v>
      </c>
      <c r="N2690">
        <v>96.81</v>
      </c>
      <c r="O2690">
        <v>32.365145228215773</v>
      </c>
    </row>
    <row r="2691" spans="1:15" hidden="1" x14ac:dyDescent="0.25">
      <c r="A2691" s="11">
        <v>46085</v>
      </c>
      <c r="B2691" t="s">
        <v>27</v>
      </c>
      <c r="C2691" t="s">
        <v>26</v>
      </c>
      <c r="D2691">
        <v>0</v>
      </c>
      <c r="E2691">
        <v>0</v>
      </c>
      <c r="F2691">
        <v>0</v>
      </c>
      <c r="G2691">
        <v>0</v>
      </c>
      <c r="H2691">
        <v>0</v>
      </c>
      <c r="I2691" s="3">
        <v>0</v>
      </c>
      <c r="J2691" s="3">
        <v>0</v>
      </c>
      <c r="K2691" s="3">
        <v>0</v>
      </c>
      <c r="L2691" s="3" t="str">
        <f>IF(K2691&lt;-5,"CRÍTICO",IF(K2691&lt;0,"ATENÇÃO",IF(K2691&lt;=5,"BOM","EXCELENTE")))</f>
        <v>BOM</v>
      </c>
      <c r="M2691">
        <v>0</v>
      </c>
      <c r="N2691">
        <v>100</v>
      </c>
      <c r="O2691">
        <v>26.47058823529412</v>
      </c>
    </row>
    <row r="2692" spans="1:15" hidden="1" x14ac:dyDescent="0.25">
      <c r="A2692" s="11">
        <v>46085</v>
      </c>
      <c r="B2692" t="s">
        <v>41</v>
      </c>
      <c r="C2692" t="s">
        <v>32</v>
      </c>
      <c r="D2692">
        <v>0</v>
      </c>
      <c r="E2692">
        <v>0</v>
      </c>
      <c r="F2692">
        <v>0</v>
      </c>
      <c r="G2692">
        <v>0</v>
      </c>
      <c r="H2692">
        <v>0</v>
      </c>
      <c r="I2692" s="3">
        <v>0</v>
      </c>
      <c r="J2692" s="3">
        <v>0</v>
      </c>
      <c r="K2692" s="3">
        <v>0</v>
      </c>
      <c r="L2692" s="3" t="str">
        <f>IF(K2692&lt;-5,"CRÍTICO",IF(K2692&lt;0,"ATENÇÃO",IF(K2692&lt;=5,"BOM","EXCELENTE")))</f>
        <v>BOM</v>
      </c>
      <c r="M2692">
        <v>5</v>
      </c>
      <c r="N2692">
        <v>100</v>
      </c>
      <c r="O2692">
        <v>28.490028490028489</v>
      </c>
    </row>
    <row r="2693" spans="1:15" hidden="1" x14ac:dyDescent="0.25">
      <c r="A2693" s="11">
        <v>46085</v>
      </c>
      <c r="B2693" t="s">
        <v>56</v>
      </c>
      <c r="C2693" t="s">
        <v>48</v>
      </c>
      <c r="D2693">
        <v>23</v>
      </c>
      <c r="E2693">
        <v>19</v>
      </c>
      <c r="F2693">
        <v>23.28</v>
      </c>
      <c r="G2693">
        <v>0</v>
      </c>
      <c r="H2693">
        <v>0</v>
      </c>
      <c r="I2693" s="3">
        <f>E2693+G2693+H2693</f>
        <v>19</v>
      </c>
      <c r="J2693" s="3">
        <f>ROUND(MIN(IF(C2693="Técnico III",35,IF(C2693="Técnico II",28,IF(C2693="Técnico I",23,IF(C2693="JR",20,IF(C2693="Estágio",10,0))))),IF(C2693="Técnico III",SUMIFS($D:$D,$A:$A,$A2693,$B:$B,"&lt;&gt;Patrícia Karla de Sousa Araújo",$B:$B,"&lt;&gt;Lorena Dias de Araujo",$B:$B,"&lt;&gt;Lucas Luiz Romero")*(35/1083),IF(C2693="Técnico II",SUMIFS($D:$D,$A:$A,$A2693,$B:$B,"&lt;&gt;Patrícia Karla de Sousa Araújo",$B:$B,"&lt;&gt;Lorena Dias de Araujo",$B:$B,"&lt;&gt;Lucas Luiz Romero")*(28/1083),IF(C2693="Técnico I",SUMIFS($D:$D,$A:$A,$A2693,$B:$B,"&lt;&gt;Patrícia Karla de Sousa Araújo",$B:$B,"&lt;&gt;Lorena Dias de Araujo",$B:$B,"&lt;&gt;Lucas Luiz Romero")*(23/1083),IF(C2693="JR",SUMIFS($D:$D,$A:$A,$A2693,$B:$B,"&lt;&gt;Patrícia Karla de Sousa Araújo",$B:$B,"&lt;&gt;Lorena Dias de Araujo",$B:$B,"&lt;&gt;Lucas Luiz Romero")*(20/1083),IF(C2693="Estágio",SUMIFS($D:$D,$A:$A,$A2693,$B:$B,"&lt;&gt;Patrícia Karla de Sousa Araújo",$B:$B,"&lt;&gt;Lorena Dias de Araujo",$B:$B,"&lt;&gt;Lucas Luiz Romero")*(10/1083),0)))))),0)</f>
        <v>21</v>
      </c>
      <c r="K2693" s="3">
        <f>I2693-J2693</f>
        <v>-2</v>
      </c>
      <c r="L2693" s="3" t="str">
        <f>IF(K2693&lt;-5,"CRÍTICO",IF(K2693&lt;0,"ATENÇÃO",IF(K2693&lt;=5,"BOM","EXCELENTE")))</f>
        <v>ATENÇÃO</v>
      </c>
      <c r="M2693">
        <v>19</v>
      </c>
      <c r="N2693">
        <v>99.14</v>
      </c>
      <c r="O2693">
        <v>27.2289156626506</v>
      </c>
    </row>
    <row r="2694" spans="1:15" hidden="1" x14ac:dyDescent="0.25">
      <c r="A2694" s="11">
        <v>46085</v>
      </c>
      <c r="B2694" t="s">
        <v>57</v>
      </c>
      <c r="C2694" t="s">
        <v>48</v>
      </c>
      <c r="D2694">
        <v>23</v>
      </c>
      <c r="E2694">
        <v>23</v>
      </c>
      <c r="F2694">
        <v>30.42</v>
      </c>
      <c r="G2694">
        <v>0</v>
      </c>
      <c r="H2694">
        <v>0</v>
      </c>
      <c r="I2694" s="3">
        <v>0</v>
      </c>
      <c r="J2694" s="3">
        <v>0</v>
      </c>
      <c r="K2694" s="3">
        <v>0</v>
      </c>
      <c r="L2694" s="3" t="str">
        <f>IF(K2694&lt;-5,"CRÍTICO",IF(K2694&lt;0,"ATENÇÃO",IF(K2694&lt;=5,"BOM","EXCELENTE")))</f>
        <v>BOM</v>
      </c>
      <c r="M2694">
        <v>20</v>
      </c>
      <c r="N2694">
        <v>97.52</v>
      </c>
      <c r="O2694">
        <v>28.205128205128201</v>
      </c>
    </row>
    <row r="2695" spans="1:15" hidden="1" x14ac:dyDescent="0.25">
      <c r="A2695" s="11">
        <v>46085</v>
      </c>
      <c r="B2695" t="s">
        <v>42</v>
      </c>
      <c r="C2695" t="s">
        <v>32</v>
      </c>
      <c r="D2695">
        <v>48</v>
      </c>
      <c r="E2695">
        <v>43</v>
      </c>
      <c r="F2695">
        <v>15.18</v>
      </c>
      <c r="G2695">
        <v>0</v>
      </c>
      <c r="H2695">
        <v>0</v>
      </c>
      <c r="I2695" s="3">
        <f>E2695+G2695+H2695</f>
        <v>43</v>
      </c>
      <c r="J2695" s="3">
        <f>ROUND(MIN(IF(C2695="Técnico III",35,IF(C2695="Técnico II",28,IF(C2695="Técnico I",23,IF(C2695="JR",20,IF(C2695="Estágio",10,0))))),IF(C2695="Técnico III",SUMIFS($D:$D,$A:$A,$A2695,$B:$B,"&lt;&gt;Patrícia Karla de Sousa Araújo",$B:$B,"&lt;&gt;Lorena Dias de Araujo",$B:$B,"&lt;&gt;Lucas Luiz Romero")*(35/1083),IF(C2695="Técnico II",SUMIFS($D:$D,$A:$A,$A2695,$B:$B,"&lt;&gt;Patrícia Karla de Sousa Araújo",$B:$B,"&lt;&gt;Lorena Dias de Araujo",$B:$B,"&lt;&gt;Lucas Luiz Romero")*(28/1083),IF(C2695="Técnico I",SUMIFS($D:$D,$A:$A,$A2695,$B:$B,"&lt;&gt;Patrícia Karla de Sousa Araújo",$B:$B,"&lt;&gt;Lorena Dias de Araujo",$B:$B,"&lt;&gt;Lucas Luiz Romero")*(23/1083),IF(C2695="JR",SUMIFS($D:$D,$A:$A,$A2695,$B:$B,"&lt;&gt;Patrícia Karla de Sousa Araújo",$B:$B,"&lt;&gt;Lorena Dias de Araujo",$B:$B,"&lt;&gt;Lucas Luiz Romero")*(20/1083),IF(C2695="Estágio",SUMIFS($D:$D,$A:$A,$A2695,$B:$B,"&lt;&gt;Patrícia Karla de Sousa Araújo",$B:$B,"&lt;&gt;Lorena Dias de Araujo",$B:$B,"&lt;&gt;Lucas Luiz Romero")*(10/1083),0)))))),0)</f>
        <v>26</v>
      </c>
      <c r="K2695" s="3">
        <f>I2695-J2695</f>
        <v>17</v>
      </c>
      <c r="L2695" s="3" t="str">
        <f>IF(K2695&lt;-5,"CRÍTICO",IF(K2695&lt;0,"ATENÇÃO",IF(K2695&lt;=5,"BOM","EXCELENTE")))</f>
        <v>EXCELENTE</v>
      </c>
      <c r="M2695">
        <v>22</v>
      </c>
      <c r="N2695">
        <v>90</v>
      </c>
      <c r="O2695">
        <v>24.186046511627911</v>
      </c>
    </row>
    <row r="2696" spans="1:15" hidden="1" x14ac:dyDescent="0.25">
      <c r="A2696" s="11">
        <v>46085</v>
      </c>
      <c r="B2696" t="s">
        <v>62</v>
      </c>
      <c r="C2696" t="s">
        <v>23</v>
      </c>
      <c r="D2696">
        <v>24</v>
      </c>
      <c r="E2696">
        <v>23</v>
      </c>
      <c r="F2696">
        <v>25.09</v>
      </c>
      <c r="G2696">
        <v>0</v>
      </c>
      <c r="H2696">
        <v>0</v>
      </c>
      <c r="I2696" s="3">
        <f>E2696+G2696+H2696</f>
        <v>23</v>
      </c>
      <c r="J2696" s="3">
        <f>ROUND(MIN(IF(C2696="Técnico III",35,IF(C2696="Técnico II",28,IF(C2696="Técnico I",23,IF(C2696="JR",20,IF(C2696="Estágio",10,0))))),IF(C2696="Técnico III",SUMIFS($D:$D,$A:$A,$A2696,$B:$B,"&lt;&gt;Patrícia Karla de Sousa Araújo",$B:$B,"&lt;&gt;Lorena Dias de Araujo",$B:$B,"&lt;&gt;Lucas Luiz Romero")*(35/1083),IF(C2696="Técnico II",SUMIFS($D:$D,$A:$A,$A2696,$B:$B,"&lt;&gt;Patrícia Karla de Sousa Araújo",$B:$B,"&lt;&gt;Lorena Dias de Araujo",$B:$B,"&lt;&gt;Lucas Luiz Romero")*(28/1083),IF(C2696="Técnico I",SUMIFS($D:$D,$A:$A,$A2696,$B:$B,"&lt;&gt;Patrícia Karla de Sousa Araújo",$B:$B,"&lt;&gt;Lorena Dias de Araujo",$B:$B,"&lt;&gt;Lucas Luiz Romero")*(23/1083),IF(C2696="JR",SUMIFS($D:$D,$A:$A,$A2696,$B:$B,"&lt;&gt;Patrícia Karla de Sousa Araújo",$B:$B,"&lt;&gt;Lorena Dias de Araujo",$B:$B,"&lt;&gt;Lucas Luiz Romero")*(20/1083),IF(C2696="Estágio",SUMIFS($D:$D,$A:$A,$A2696,$B:$B,"&lt;&gt;Patrícia Karla de Sousa Araújo",$B:$B,"&lt;&gt;Lorena Dias de Araujo",$B:$B,"&lt;&gt;Lucas Luiz Romero")*(10/1083),0)))))),0)</f>
        <v>17</v>
      </c>
      <c r="K2696" s="3">
        <f>I2696-J2696</f>
        <v>6</v>
      </c>
      <c r="L2696" s="3" t="str">
        <f>IF(K2696&lt;-5,"CRÍTICO",IF(K2696&lt;0,"ATENÇÃO",IF(K2696&lt;=5,"BOM","EXCELENTE")))</f>
        <v>EXCELENTE</v>
      </c>
      <c r="M2696">
        <v>23</v>
      </c>
      <c r="N2696">
        <v>98.9</v>
      </c>
      <c r="O2696">
        <v>26.763990267639901</v>
      </c>
    </row>
    <row r="2697" spans="1:15" hidden="1" x14ac:dyDescent="0.25">
      <c r="A2697" s="11">
        <v>46085</v>
      </c>
      <c r="B2697" t="s">
        <v>19</v>
      </c>
      <c r="C2697" t="s">
        <v>16</v>
      </c>
      <c r="D2697">
        <v>59</v>
      </c>
      <c r="E2697">
        <v>37</v>
      </c>
      <c r="F2697">
        <v>5.01</v>
      </c>
      <c r="G2697">
        <v>0</v>
      </c>
      <c r="H2697">
        <v>0</v>
      </c>
      <c r="I2697" s="3">
        <f>E2697+G2697+H2697</f>
        <v>37</v>
      </c>
      <c r="J2697" s="3">
        <f>ROUND(MIN(IF(C2697="Técnico III",35,IF(C2697="Técnico II",28,IF(C2697="Técnico I",23,IF(C2697="JR",20,IF(C2697="Estágio",10,0))))),IF(C2697="Técnico III",SUMIFS($D:$D,$A:$A,$A2697,$B:$B,"&lt;&gt;Patrícia Karla de Sousa Araújo",$B:$B,"&lt;&gt;Lorena Dias de Araujo",$B:$B,"&lt;&gt;Lucas Luiz Romero")*(35/1083),IF(C2697="Técnico II",SUMIFS($D:$D,$A:$A,$A2697,$B:$B,"&lt;&gt;Patrícia Karla de Sousa Araújo",$B:$B,"&lt;&gt;Lorena Dias de Araujo",$B:$B,"&lt;&gt;Lucas Luiz Romero")*(28/1083),IF(C2697="Técnico I",SUMIFS($D:$D,$A:$A,$A2697,$B:$B,"&lt;&gt;Patrícia Karla de Sousa Araújo",$B:$B,"&lt;&gt;Lorena Dias de Araujo",$B:$B,"&lt;&gt;Lucas Luiz Romero")*(23/1083),IF(C2697="JR",SUMIFS($D:$D,$A:$A,$A2697,$B:$B,"&lt;&gt;Patrícia Karla de Sousa Araújo",$B:$B,"&lt;&gt;Lorena Dias de Araujo",$B:$B,"&lt;&gt;Lucas Luiz Romero")*(20/1083),IF(C2697="Estágio",SUMIFS($D:$D,$A:$A,$A2697,$B:$B,"&lt;&gt;Patrícia Karla de Sousa Araújo",$B:$B,"&lt;&gt;Lorena Dias de Araujo",$B:$B,"&lt;&gt;Lucas Luiz Romero")*(10/1083),0)))))),0)</f>
        <v>8</v>
      </c>
      <c r="K2697" s="3">
        <f>I2697-J2697</f>
        <v>29</v>
      </c>
      <c r="L2697" s="3" t="str">
        <f>IF(K2697&lt;-5,"CRÍTICO",IF(K2697&lt;0,"ATENÇÃO",IF(K2697&lt;=5,"BOM","EXCELENTE")))</f>
        <v>EXCELENTE</v>
      </c>
      <c r="M2697">
        <v>0</v>
      </c>
      <c r="N2697">
        <v>88.89</v>
      </c>
      <c r="O2697">
        <v>25.263157894736839</v>
      </c>
    </row>
    <row r="2698" spans="1:15" hidden="1" x14ac:dyDescent="0.25">
      <c r="A2698" s="11">
        <v>46085</v>
      </c>
      <c r="B2698" t="s">
        <v>43</v>
      </c>
      <c r="C2698" t="s">
        <v>32</v>
      </c>
      <c r="D2698">
        <v>11</v>
      </c>
      <c r="E2698">
        <v>11</v>
      </c>
      <c r="F2698">
        <v>24.12</v>
      </c>
      <c r="G2698">
        <v>0</v>
      </c>
      <c r="H2698">
        <v>0</v>
      </c>
      <c r="I2698" s="3">
        <f>E2698+G2698+H2698</f>
        <v>11</v>
      </c>
      <c r="J2698" s="3">
        <f>ROUND(MIN(IF(C2698="Técnico III",35,IF(C2698="Técnico II",28,IF(C2698="Técnico I",23,IF(C2698="JR",20,IF(C2698="Estágio",10,0))))),IF(C2698="Técnico III",SUMIFS($D:$D,$A:$A,$A2698,$B:$B,"&lt;&gt;Patrícia Karla de Sousa Araújo",$B:$B,"&lt;&gt;Lorena Dias de Araujo",$B:$B,"&lt;&gt;Lucas Luiz Romero")*(35/1083),IF(C2698="Técnico II",SUMIFS($D:$D,$A:$A,$A2698,$B:$B,"&lt;&gt;Patrícia Karla de Sousa Araújo",$B:$B,"&lt;&gt;Lorena Dias de Araujo",$B:$B,"&lt;&gt;Lucas Luiz Romero")*(28/1083),IF(C2698="Técnico I",SUMIFS($D:$D,$A:$A,$A2698,$B:$B,"&lt;&gt;Patrícia Karla de Sousa Araújo",$B:$B,"&lt;&gt;Lorena Dias de Araujo",$B:$B,"&lt;&gt;Lucas Luiz Romero")*(23/1083),IF(C2698="JR",SUMIFS($D:$D,$A:$A,$A2698,$B:$B,"&lt;&gt;Patrícia Karla de Sousa Araújo",$B:$B,"&lt;&gt;Lorena Dias de Araujo",$B:$B,"&lt;&gt;Lucas Luiz Romero")*(20/1083),IF(C2698="Estágio",SUMIFS($D:$D,$A:$A,$A2698,$B:$B,"&lt;&gt;Patrícia Karla de Sousa Araújo",$B:$B,"&lt;&gt;Lorena Dias de Araujo",$B:$B,"&lt;&gt;Lucas Luiz Romero")*(10/1083),0)))))),0)</f>
        <v>26</v>
      </c>
      <c r="K2698" s="3">
        <f>I2698-J2698</f>
        <v>-15</v>
      </c>
      <c r="L2698" s="3" t="str">
        <f>IF(K2698&lt;-5,"CRÍTICO",IF(K2698&lt;0,"ATENÇÃO",IF(K2698&lt;=5,"BOM","EXCELENTE")))</f>
        <v>CRÍTICO</v>
      </c>
      <c r="M2698">
        <v>38</v>
      </c>
      <c r="N2698">
        <v>98.86</v>
      </c>
      <c r="O2698">
        <v>28.959276018099551</v>
      </c>
    </row>
    <row r="2699" spans="1:15" hidden="1" x14ac:dyDescent="0.25">
      <c r="A2699" s="11">
        <v>46085</v>
      </c>
      <c r="B2699" t="s">
        <v>44</v>
      </c>
      <c r="C2699" t="s">
        <v>32</v>
      </c>
      <c r="D2699">
        <v>38</v>
      </c>
      <c r="E2699">
        <v>35</v>
      </c>
      <c r="F2699">
        <v>17.29</v>
      </c>
      <c r="G2699">
        <v>0</v>
      </c>
      <c r="H2699">
        <v>0</v>
      </c>
      <c r="I2699" s="3">
        <f>E2699+G2699+H2699</f>
        <v>35</v>
      </c>
      <c r="J2699" s="3">
        <f>ROUND(MIN(IF(C2699="Técnico III",35,IF(C2699="Técnico II",28,IF(C2699="Técnico I",23,IF(C2699="JR",20,IF(C2699="Estágio",10,0))))),IF(C2699="Técnico III",SUMIFS($D:$D,$A:$A,$A2699,$B:$B,"&lt;&gt;Patrícia Karla de Sousa Araújo",$B:$B,"&lt;&gt;Lorena Dias de Araujo",$B:$B,"&lt;&gt;Lucas Luiz Romero")*(35/1083),IF(C2699="Técnico II",SUMIFS($D:$D,$A:$A,$A2699,$B:$B,"&lt;&gt;Patrícia Karla de Sousa Araújo",$B:$B,"&lt;&gt;Lorena Dias de Araujo",$B:$B,"&lt;&gt;Lucas Luiz Romero")*(28/1083),IF(C2699="Técnico I",SUMIFS($D:$D,$A:$A,$A2699,$B:$B,"&lt;&gt;Patrícia Karla de Sousa Araújo",$B:$B,"&lt;&gt;Lorena Dias de Araujo",$B:$B,"&lt;&gt;Lucas Luiz Romero")*(23/1083),IF(C2699="JR",SUMIFS($D:$D,$A:$A,$A2699,$B:$B,"&lt;&gt;Patrícia Karla de Sousa Araújo",$B:$B,"&lt;&gt;Lorena Dias de Araujo",$B:$B,"&lt;&gt;Lucas Luiz Romero")*(20/1083),IF(C2699="Estágio",SUMIFS($D:$D,$A:$A,$A2699,$B:$B,"&lt;&gt;Patrícia Karla de Sousa Araújo",$B:$B,"&lt;&gt;Lorena Dias de Araujo",$B:$B,"&lt;&gt;Lucas Luiz Romero")*(10/1083),0)))))),0)</f>
        <v>26</v>
      </c>
      <c r="K2699" s="3">
        <f>I2699-J2699</f>
        <v>9</v>
      </c>
      <c r="L2699" s="3" t="str">
        <f>IF(K2699&lt;-5,"CRÍTICO",IF(K2699&lt;0,"ATENÇÃO",IF(K2699&lt;=5,"BOM","EXCELENTE")))</f>
        <v>EXCELENTE</v>
      </c>
      <c r="M2699">
        <v>30</v>
      </c>
      <c r="N2699">
        <v>98.06</v>
      </c>
      <c r="O2699">
        <v>22.40566037735849</v>
      </c>
    </row>
    <row r="2700" spans="1:15" hidden="1" x14ac:dyDescent="0.25">
      <c r="A2700" s="11">
        <v>46085</v>
      </c>
      <c r="B2700" t="s">
        <v>20</v>
      </c>
      <c r="C2700" t="s">
        <v>16</v>
      </c>
      <c r="D2700">
        <v>7</v>
      </c>
      <c r="E2700">
        <v>7</v>
      </c>
      <c r="F2700">
        <v>63.21</v>
      </c>
      <c r="G2700">
        <v>0</v>
      </c>
      <c r="H2700">
        <v>0</v>
      </c>
      <c r="I2700" s="3">
        <f>E2700+G2700+H2700</f>
        <v>7</v>
      </c>
      <c r="J2700" s="3">
        <f>ROUND(MIN(IF(C2700="Técnico III",35,IF(C2700="Técnico II",28,IF(C2700="Técnico I",23,IF(C2700="JR",20,IF(C2700="Estágio",10,0))))),IF(C2700="Técnico III",SUMIFS($D:$D,$A:$A,$A2700,$B:$B,"&lt;&gt;Patrícia Karla de Sousa Araújo",$B:$B,"&lt;&gt;Lorena Dias de Araujo",$B:$B,"&lt;&gt;Lucas Luiz Romero")*(35/1083),IF(C2700="Técnico II",SUMIFS($D:$D,$A:$A,$A2700,$B:$B,"&lt;&gt;Patrícia Karla de Sousa Araújo",$B:$B,"&lt;&gt;Lorena Dias de Araujo",$B:$B,"&lt;&gt;Lucas Luiz Romero")*(28/1083),IF(C2700="Técnico I",SUMIFS($D:$D,$A:$A,$A2700,$B:$B,"&lt;&gt;Patrícia Karla de Sousa Araújo",$B:$B,"&lt;&gt;Lorena Dias de Araujo",$B:$B,"&lt;&gt;Lucas Luiz Romero")*(23/1083),IF(C2700="JR",SUMIFS($D:$D,$A:$A,$A2700,$B:$B,"&lt;&gt;Patrícia Karla de Sousa Araújo",$B:$B,"&lt;&gt;Lorena Dias de Araujo",$B:$B,"&lt;&gt;Lucas Luiz Romero")*(20/1083),IF(C2700="Estágio",SUMIFS($D:$D,$A:$A,$A2700,$B:$B,"&lt;&gt;Patrícia Karla de Sousa Araújo",$B:$B,"&lt;&gt;Lorena Dias de Araujo",$B:$B,"&lt;&gt;Lucas Luiz Romero")*(10/1083),0)))))),0)</f>
        <v>8</v>
      </c>
      <c r="K2700" s="3">
        <f>I2700-J2700</f>
        <v>-1</v>
      </c>
      <c r="L2700" s="3" t="str">
        <f>IF(K2700&lt;-5,"CRÍTICO",IF(K2700&lt;0,"ATENÇÃO",IF(K2700&lt;=5,"BOM","EXCELENTE")))</f>
        <v>ATENÇÃO</v>
      </c>
      <c r="M2700">
        <v>2</v>
      </c>
      <c r="N2700">
        <v>95.83</v>
      </c>
      <c r="O2700">
        <v>25.773195876288661</v>
      </c>
    </row>
    <row r="2701" spans="1:15" hidden="1" x14ac:dyDescent="0.25">
      <c r="A2701" s="11">
        <v>46085</v>
      </c>
      <c r="B2701" t="s">
        <v>28</v>
      </c>
      <c r="C2701" t="s">
        <v>26</v>
      </c>
      <c r="D2701">
        <v>0</v>
      </c>
      <c r="E2701">
        <v>0</v>
      </c>
      <c r="F2701">
        <v>0</v>
      </c>
      <c r="G2701">
        <v>0</v>
      </c>
      <c r="H2701">
        <v>0</v>
      </c>
      <c r="I2701" s="3">
        <v>0</v>
      </c>
      <c r="J2701" s="3">
        <v>0</v>
      </c>
      <c r="K2701" s="3">
        <v>0</v>
      </c>
      <c r="L2701" s="3" t="str">
        <f>IF(K2701&lt;-5,"CRÍTICO",IF(K2701&lt;0,"ATENÇÃO",IF(K2701&lt;=5,"BOM","EXCELENTE")))</f>
        <v>BOM</v>
      </c>
      <c r="M2701">
        <v>0</v>
      </c>
      <c r="N2701">
        <v>100</v>
      </c>
      <c r="O2701">
        <v>15.38461538461539</v>
      </c>
    </row>
    <row r="2702" spans="1:15" hidden="1" x14ac:dyDescent="0.25">
      <c r="A2702" s="11">
        <v>46085</v>
      </c>
      <c r="B2702" t="s">
        <v>58</v>
      </c>
      <c r="C2702" t="s">
        <v>48</v>
      </c>
      <c r="D2702">
        <v>21</v>
      </c>
      <c r="E2702">
        <v>20</v>
      </c>
      <c r="F2702">
        <v>26.49</v>
      </c>
      <c r="G2702">
        <v>0</v>
      </c>
      <c r="H2702">
        <v>0</v>
      </c>
      <c r="I2702" s="3">
        <f>E2702+G2702+H2702</f>
        <v>20</v>
      </c>
      <c r="J2702" s="3">
        <f>ROUND(MIN(IF(C2702="Técnico III",35,IF(C2702="Técnico II",28,IF(C2702="Técnico I",23,IF(C2702="JR",20,IF(C2702="Estágio",10,0))))),IF(C2702="Técnico III",SUMIFS($D:$D,$A:$A,$A2702,$B:$B,"&lt;&gt;Patrícia Karla de Sousa Araújo",$B:$B,"&lt;&gt;Lorena Dias de Araujo",$B:$B,"&lt;&gt;Lucas Luiz Romero")*(35/1083),IF(C2702="Técnico II",SUMIFS($D:$D,$A:$A,$A2702,$B:$B,"&lt;&gt;Patrícia Karla de Sousa Araújo",$B:$B,"&lt;&gt;Lorena Dias de Araujo",$B:$B,"&lt;&gt;Lucas Luiz Romero")*(28/1083),IF(C2702="Técnico I",SUMIFS($D:$D,$A:$A,$A2702,$B:$B,"&lt;&gt;Patrícia Karla de Sousa Araújo",$B:$B,"&lt;&gt;Lorena Dias de Araujo",$B:$B,"&lt;&gt;Lucas Luiz Romero")*(23/1083),IF(C2702="JR",SUMIFS($D:$D,$A:$A,$A2702,$B:$B,"&lt;&gt;Patrícia Karla de Sousa Araújo",$B:$B,"&lt;&gt;Lorena Dias de Araujo",$B:$B,"&lt;&gt;Lucas Luiz Romero")*(20/1083),IF(C2702="Estágio",SUMIFS($D:$D,$A:$A,$A2702,$B:$B,"&lt;&gt;Patrícia Karla de Sousa Araújo",$B:$B,"&lt;&gt;Lorena Dias de Araujo",$B:$B,"&lt;&gt;Lucas Luiz Romero")*(10/1083),0)))))),0)</f>
        <v>21</v>
      </c>
      <c r="K2702" s="3">
        <f>I2702-J2702</f>
        <v>-1</v>
      </c>
      <c r="L2702" s="3" t="str">
        <f>IF(K2702&lt;-5,"CRÍTICO",IF(K2702&lt;0,"ATENÇÃO",IF(K2702&lt;=5,"BOM","EXCELENTE")))</f>
        <v>ATENÇÃO</v>
      </c>
      <c r="M2702">
        <v>20</v>
      </c>
      <c r="N2702">
        <v>100</v>
      </c>
      <c r="O2702">
        <v>27.514792899408281</v>
      </c>
    </row>
    <row r="2703" spans="1:15" hidden="1" x14ac:dyDescent="0.25">
      <c r="A2703" s="11">
        <v>46085</v>
      </c>
      <c r="B2703" t="s">
        <v>29</v>
      </c>
      <c r="C2703" t="s">
        <v>26</v>
      </c>
      <c r="D2703">
        <v>0</v>
      </c>
      <c r="E2703">
        <v>0</v>
      </c>
      <c r="F2703">
        <v>0</v>
      </c>
      <c r="G2703">
        <v>0</v>
      </c>
      <c r="H2703">
        <v>0</v>
      </c>
      <c r="I2703" s="3">
        <v>0</v>
      </c>
      <c r="J2703" s="3">
        <v>0</v>
      </c>
      <c r="K2703" s="3">
        <v>0</v>
      </c>
      <c r="L2703" s="3" t="str">
        <f>IF(K2703&lt;-5,"CRÍTICO",IF(K2703&lt;0,"ATENÇÃO",IF(K2703&lt;=5,"BOM","EXCELENTE")))</f>
        <v>BOM</v>
      </c>
      <c r="M2703">
        <v>0</v>
      </c>
      <c r="N2703">
        <v>100</v>
      </c>
      <c r="O2703">
        <v>24.875621890547269</v>
      </c>
    </row>
    <row r="2704" spans="1:15" hidden="1" x14ac:dyDescent="0.25">
      <c r="A2704" s="11">
        <v>46085</v>
      </c>
      <c r="B2704" t="s">
        <v>30</v>
      </c>
      <c r="C2704" t="s">
        <v>26</v>
      </c>
      <c r="D2704">
        <v>0</v>
      </c>
      <c r="E2704">
        <v>0</v>
      </c>
      <c r="F2704">
        <v>0</v>
      </c>
      <c r="G2704">
        <v>0</v>
      </c>
      <c r="H2704">
        <v>0</v>
      </c>
      <c r="I2704" s="3">
        <v>0</v>
      </c>
      <c r="J2704" s="3">
        <v>0</v>
      </c>
      <c r="K2704" s="3">
        <v>0</v>
      </c>
      <c r="L2704" s="3" t="str">
        <f>IF(K2704&lt;-5,"CRÍTICO",IF(K2704&lt;0,"ATENÇÃO",IF(K2704&lt;=5,"BOM","EXCELENTE")))</f>
        <v>BOM</v>
      </c>
      <c r="M2704">
        <v>0</v>
      </c>
      <c r="N2704">
        <v>100</v>
      </c>
      <c r="O2704">
        <v>28.108108108108109</v>
      </c>
    </row>
    <row r="2705" spans="1:15" hidden="1" x14ac:dyDescent="0.25">
      <c r="A2705" s="11">
        <v>46085</v>
      </c>
      <c r="B2705" t="s">
        <v>21</v>
      </c>
      <c r="C2705" t="s">
        <v>16</v>
      </c>
      <c r="D2705">
        <v>0</v>
      </c>
      <c r="E2705">
        <v>0</v>
      </c>
      <c r="F2705">
        <v>0</v>
      </c>
      <c r="G2705">
        <v>0</v>
      </c>
      <c r="H2705">
        <v>0</v>
      </c>
      <c r="I2705" s="3">
        <v>0</v>
      </c>
      <c r="J2705" s="3">
        <v>0</v>
      </c>
      <c r="K2705" s="3">
        <v>0</v>
      </c>
      <c r="L2705" s="3" t="str">
        <f>IF(K2705&lt;-5,"CRÍTICO",IF(K2705&lt;0,"ATENÇÃO",IF(K2705&lt;=5,"BOM","EXCELENTE")))</f>
        <v>BOM</v>
      </c>
      <c r="M2705">
        <v>0</v>
      </c>
      <c r="N2705">
        <v>100</v>
      </c>
      <c r="O2705">
        <v>35</v>
      </c>
    </row>
    <row r="2706" spans="1:15" hidden="1" x14ac:dyDescent="0.25">
      <c r="A2706" s="11">
        <v>46085</v>
      </c>
      <c r="B2706" t="s">
        <v>63</v>
      </c>
      <c r="C2706" t="s">
        <v>23</v>
      </c>
      <c r="D2706">
        <v>32</v>
      </c>
      <c r="E2706">
        <v>23</v>
      </c>
      <c r="F2706">
        <v>15.25</v>
      </c>
      <c r="G2706">
        <v>0</v>
      </c>
      <c r="H2706">
        <v>0</v>
      </c>
      <c r="I2706" s="3">
        <f>E2706+G2706+H2706</f>
        <v>23</v>
      </c>
      <c r="J2706" s="3">
        <f>ROUND(MIN(IF(C2706="Técnico III",35,IF(C2706="Técnico II",28,IF(C2706="Técnico I",23,IF(C2706="JR",20,IF(C2706="Estágio",10,0))))),IF(C2706="Técnico III",SUMIFS($D:$D,$A:$A,$A2706,$B:$B,"&lt;&gt;Patrícia Karla de Sousa Araújo",$B:$B,"&lt;&gt;Lorena Dias de Araujo",$B:$B,"&lt;&gt;Lucas Luiz Romero")*(35/1083),IF(C2706="Técnico II",SUMIFS($D:$D,$A:$A,$A2706,$B:$B,"&lt;&gt;Patrícia Karla de Sousa Araújo",$B:$B,"&lt;&gt;Lorena Dias de Araujo",$B:$B,"&lt;&gt;Lucas Luiz Romero")*(28/1083),IF(C2706="Técnico I",SUMIFS($D:$D,$A:$A,$A2706,$B:$B,"&lt;&gt;Patrícia Karla de Sousa Araújo",$B:$B,"&lt;&gt;Lorena Dias de Araujo",$B:$B,"&lt;&gt;Lucas Luiz Romero")*(23/1083),IF(C2706="JR",SUMIFS($D:$D,$A:$A,$A2706,$B:$B,"&lt;&gt;Patrícia Karla de Sousa Araújo",$B:$B,"&lt;&gt;Lorena Dias de Araujo",$B:$B,"&lt;&gt;Lucas Luiz Romero")*(20/1083),IF(C2706="Estágio",SUMIFS($D:$D,$A:$A,$A2706,$B:$B,"&lt;&gt;Patrícia Karla de Sousa Araújo",$B:$B,"&lt;&gt;Lorena Dias de Araujo",$B:$B,"&lt;&gt;Lucas Luiz Romero")*(10/1083),0)))))),0)</f>
        <v>17</v>
      </c>
      <c r="K2706" s="3">
        <f>I2706-J2706</f>
        <v>6</v>
      </c>
      <c r="L2706" s="3" t="str">
        <f>IF(K2706&lt;-5,"CRÍTICO",IF(K2706&lt;0,"ATENÇÃO",IF(K2706&lt;=5,"BOM","EXCELENTE")))</f>
        <v>EXCELENTE</v>
      </c>
      <c r="M2706">
        <v>18</v>
      </c>
      <c r="N2706">
        <v>95.35</v>
      </c>
      <c r="O2706">
        <v>28.61538461538461</v>
      </c>
    </row>
    <row r="2707" spans="1:15" hidden="1" x14ac:dyDescent="0.25">
      <c r="A2707" s="11">
        <v>46085</v>
      </c>
      <c r="B2707" t="s">
        <v>45</v>
      </c>
      <c r="C2707" t="s">
        <v>32</v>
      </c>
      <c r="D2707">
        <v>41</v>
      </c>
      <c r="E2707">
        <v>39</v>
      </c>
      <c r="F2707">
        <v>13.43</v>
      </c>
      <c r="G2707">
        <v>0</v>
      </c>
      <c r="H2707">
        <v>0</v>
      </c>
      <c r="I2707" s="3">
        <f>E2707+G2707+H2707</f>
        <v>39</v>
      </c>
      <c r="J2707" s="3">
        <f>ROUND(MIN(IF(C2707="Técnico III",35,IF(C2707="Técnico II",28,IF(C2707="Técnico I",23,IF(C2707="JR",20,IF(C2707="Estágio",10,0))))),IF(C2707="Técnico III",SUMIFS($D:$D,$A:$A,$A2707,$B:$B,"&lt;&gt;Patrícia Karla de Sousa Araújo",$B:$B,"&lt;&gt;Lorena Dias de Araujo",$B:$B,"&lt;&gt;Lucas Luiz Romero")*(35/1083),IF(C2707="Técnico II",SUMIFS($D:$D,$A:$A,$A2707,$B:$B,"&lt;&gt;Patrícia Karla de Sousa Araújo",$B:$B,"&lt;&gt;Lorena Dias de Araujo",$B:$B,"&lt;&gt;Lucas Luiz Romero")*(28/1083),IF(C2707="Técnico I",SUMIFS($D:$D,$A:$A,$A2707,$B:$B,"&lt;&gt;Patrícia Karla de Sousa Araújo",$B:$B,"&lt;&gt;Lorena Dias de Araujo",$B:$B,"&lt;&gt;Lucas Luiz Romero")*(23/1083),IF(C2707="JR",SUMIFS($D:$D,$A:$A,$A2707,$B:$B,"&lt;&gt;Patrícia Karla de Sousa Araújo",$B:$B,"&lt;&gt;Lorena Dias de Araujo",$B:$B,"&lt;&gt;Lucas Luiz Romero")*(20/1083),IF(C2707="Estágio",SUMIFS($D:$D,$A:$A,$A2707,$B:$B,"&lt;&gt;Patrícia Karla de Sousa Araújo",$B:$B,"&lt;&gt;Lorena Dias de Araujo",$B:$B,"&lt;&gt;Lucas Luiz Romero")*(10/1083),0)))))),0)</f>
        <v>26</v>
      </c>
      <c r="K2707" s="3">
        <f>I2707-J2707</f>
        <v>13</v>
      </c>
      <c r="L2707" s="3" t="str">
        <f>IF(K2707&lt;-5,"CRÍTICO",IF(K2707&lt;0,"ATENÇÃO",IF(K2707&lt;=5,"BOM","EXCELENTE")))</f>
        <v>EXCELENTE</v>
      </c>
      <c r="M2707">
        <v>26</v>
      </c>
      <c r="N2707">
        <v>98.26</v>
      </c>
      <c r="O2707">
        <v>27.54491017964072</v>
      </c>
    </row>
    <row r="2708" spans="1:15" hidden="1" x14ac:dyDescent="0.25">
      <c r="A2708" s="11">
        <v>46085</v>
      </c>
      <c r="B2708" t="s">
        <v>64</v>
      </c>
      <c r="C2708" t="s">
        <v>23</v>
      </c>
      <c r="D2708">
        <v>16</v>
      </c>
      <c r="E2708">
        <v>15</v>
      </c>
      <c r="F2708">
        <v>35.01</v>
      </c>
      <c r="G2708">
        <v>0</v>
      </c>
      <c r="H2708">
        <v>0</v>
      </c>
      <c r="I2708" s="3">
        <f>E2708+G2708+H2708</f>
        <v>15</v>
      </c>
      <c r="J2708" s="3">
        <f>ROUND(MIN(IF(C2708="Técnico III",35,IF(C2708="Técnico II",28,IF(C2708="Técnico I",23,IF(C2708="JR",20,IF(C2708="Estágio",10,0))))),IF(C2708="Técnico III",SUMIFS($D:$D,$A:$A,$A2708,$B:$B,"&lt;&gt;Patrícia Karla de Sousa Araújo",$B:$B,"&lt;&gt;Lorena Dias de Araujo",$B:$B,"&lt;&gt;Lucas Luiz Romero")*(35/1083),IF(C2708="Técnico II",SUMIFS($D:$D,$A:$A,$A2708,$B:$B,"&lt;&gt;Patrícia Karla de Sousa Araújo",$B:$B,"&lt;&gt;Lorena Dias de Araujo",$B:$B,"&lt;&gt;Lucas Luiz Romero")*(28/1083),IF(C2708="Técnico I",SUMIFS($D:$D,$A:$A,$A2708,$B:$B,"&lt;&gt;Patrícia Karla de Sousa Araújo",$B:$B,"&lt;&gt;Lorena Dias de Araujo",$B:$B,"&lt;&gt;Lucas Luiz Romero")*(23/1083),IF(C2708="JR",SUMIFS($D:$D,$A:$A,$A2708,$B:$B,"&lt;&gt;Patrícia Karla de Sousa Araújo",$B:$B,"&lt;&gt;Lorena Dias de Araujo",$B:$B,"&lt;&gt;Lucas Luiz Romero")*(20/1083),IF(C2708="Estágio",SUMIFS($D:$D,$A:$A,$A2708,$B:$B,"&lt;&gt;Patrícia Karla de Sousa Araújo",$B:$B,"&lt;&gt;Lorena Dias de Araujo",$B:$B,"&lt;&gt;Lucas Luiz Romero")*(10/1083),0)))))),0)</f>
        <v>17</v>
      </c>
      <c r="K2708" s="3">
        <f>I2708-J2708</f>
        <v>-2</v>
      </c>
      <c r="L2708" s="3" t="str">
        <f>IF(K2708&lt;-5,"CRÍTICO",IF(K2708&lt;0,"ATENÇÃO",IF(K2708&lt;=5,"BOM","EXCELENTE")))</f>
        <v>ATENÇÃO</v>
      </c>
      <c r="M2708">
        <v>15</v>
      </c>
      <c r="N2708">
        <v>98.55</v>
      </c>
      <c r="O2708">
        <v>25.337837837837839</v>
      </c>
    </row>
    <row r="2709" spans="1:15" hidden="1" x14ac:dyDescent="0.25">
      <c r="A2709" s="11">
        <v>46085</v>
      </c>
      <c r="B2709" t="s">
        <v>46</v>
      </c>
      <c r="C2709" t="s">
        <v>32</v>
      </c>
      <c r="D2709">
        <v>27</v>
      </c>
      <c r="E2709">
        <v>22</v>
      </c>
      <c r="F2709">
        <v>17.07</v>
      </c>
      <c r="G2709">
        <v>0</v>
      </c>
      <c r="H2709">
        <v>0</v>
      </c>
      <c r="I2709" s="3">
        <f>E2709+G2709+H2709</f>
        <v>22</v>
      </c>
      <c r="J2709" s="3">
        <f>ROUND(MIN(IF(C2709="Técnico III",35,IF(C2709="Técnico II",28,IF(C2709="Técnico I",23,IF(C2709="JR",20,IF(C2709="Estágio",10,0))))),IF(C2709="Técnico III",SUMIFS($D:$D,$A:$A,$A2709,$B:$B,"&lt;&gt;Patrícia Karla de Sousa Araújo",$B:$B,"&lt;&gt;Lorena Dias de Araujo",$B:$B,"&lt;&gt;Lucas Luiz Romero")*(35/1083),IF(C2709="Técnico II",SUMIFS($D:$D,$A:$A,$A2709,$B:$B,"&lt;&gt;Patrícia Karla de Sousa Araújo",$B:$B,"&lt;&gt;Lorena Dias de Araujo",$B:$B,"&lt;&gt;Lucas Luiz Romero")*(28/1083),IF(C2709="Técnico I",SUMIFS($D:$D,$A:$A,$A2709,$B:$B,"&lt;&gt;Patrícia Karla de Sousa Araújo",$B:$B,"&lt;&gt;Lorena Dias de Araujo",$B:$B,"&lt;&gt;Lucas Luiz Romero")*(23/1083),IF(C2709="JR",SUMIFS($D:$D,$A:$A,$A2709,$B:$B,"&lt;&gt;Patrícia Karla de Sousa Araújo",$B:$B,"&lt;&gt;Lorena Dias de Araujo",$B:$B,"&lt;&gt;Lucas Luiz Romero")*(20/1083),IF(C2709="Estágio",SUMIFS($D:$D,$A:$A,$A2709,$B:$B,"&lt;&gt;Patrícia Karla de Sousa Araújo",$B:$B,"&lt;&gt;Lorena Dias de Araujo",$B:$B,"&lt;&gt;Lucas Luiz Romero")*(10/1083),0)))))),0)</f>
        <v>26</v>
      </c>
      <c r="K2709" s="3">
        <f>I2709-J2709</f>
        <v>-4</v>
      </c>
      <c r="L2709" s="3" t="str">
        <f>IF(K2709&lt;-5,"CRÍTICO",IF(K2709&lt;0,"ATENÇÃO",IF(K2709&lt;=5,"BOM","EXCELENTE")))</f>
        <v>ATENÇÃO</v>
      </c>
      <c r="M2709">
        <v>18</v>
      </c>
      <c r="N2709">
        <v>98.39</v>
      </c>
      <c r="O2709">
        <v>25.563909774436091</v>
      </c>
    </row>
    <row r="2710" spans="1:15" hidden="1" x14ac:dyDescent="0.25">
      <c r="A2710" s="11">
        <v>46086</v>
      </c>
      <c r="B2710" t="s">
        <v>47</v>
      </c>
      <c r="C2710" t="s">
        <v>48</v>
      </c>
      <c r="D2710">
        <v>30</v>
      </c>
      <c r="E2710">
        <v>24</v>
      </c>
      <c r="F2710">
        <v>17.329999999999998</v>
      </c>
      <c r="G2710">
        <v>0</v>
      </c>
      <c r="H2710">
        <v>0</v>
      </c>
      <c r="I2710" s="3">
        <f>E2710+G2710+H2710</f>
        <v>24</v>
      </c>
      <c r="J2710" s="3">
        <f>ROUND(MIN(IF(C2710="Técnico III",35,IF(C2710="Técnico II",28,IF(C2710="Técnico I",23,IF(C2710="JR",20,IF(C2710="Estágio",10,0))))),IF(C2710="Técnico III",SUMIFS($D:$D,$A:$A,$A2710,$B:$B,"&lt;&gt;Patrícia Karla de Sousa Araújo",$B:$B,"&lt;&gt;Lorena Dias de Araujo",$B:$B,"&lt;&gt;Lucas Luiz Romero")*(35/1083),IF(C2710="Técnico II",SUMIFS($D:$D,$A:$A,$A2710,$B:$B,"&lt;&gt;Patrícia Karla de Sousa Araújo",$B:$B,"&lt;&gt;Lorena Dias de Araujo",$B:$B,"&lt;&gt;Lucas Luiz Romero")*(28/1083),IF(C2710="Técnico I",SUMIFS($D:$D,$A:$A,$A2710,$B:$B,"&lt;&gt;Patrícia Karla de Sousa Araújo",$B:$B,"&lt;&gt;Lorena Dias de Araujo",$B:$B,"&lt;&gt;Lucas Luiz Romero")*(23/1083),IF(C2710="JR",SUMIFS($D:$D,$A:$A,$A2710,$B:$B,"&lt;&gt;Patrícia Karla de Sousa Araújo",$B:$B,"&lt;&gt;Lorena Dias de Araujo",$B:$B,"&lt;&gt;Lucas Luiz Romero")*(20/1083),IF(C2710="Estágio",SUMIFS($D:$D,$A:$A,$A2710,$B:$B,"&lt;&gt;Patrícia Karla de Sousa Araújo",$B:$B,"&lt;&gt;Lorena Dias de Araujo",$B:$B,"&lt;&gt;Lucas Luiz Romero")*(10/1083),0)))))),0)</f>
        <v>23</v>
      </c>
      <c r="K2710" s="3">
        <f>I2710-J2710</f>
        <v>1</v>
      </c>
      <c r="L2710" s="3" t="str">
        <f>IF(K2710&lt;-5,"CRÍTICO",IF(K2710&lt;0,"ATENÇÃO",IF(K2710&lt;=5,"BOM","EXCELENTE")))</f>
        <v>BOM</v>
      </c>
      <c r="M2710">
        <v>15</v>
      </c>
      <c r="N2710">
        <v>94.29</v>
      </c>
      <c r="O2710">
        <v>25.647668393782389</v>
      </c>
    </row>
    <row r="2711" spans="1:15" hidden="1" x14ac:dyDescent="0.25">
      <c r="A2711" s="11">
        <v>46086</v>
      </c>
      <c r="B2711" t="s">
        <v>31</v>
      </c>
      <c r="C2711" t="s">
        <v>32</v>
      </c>
      <c r="D2711">
        <v>0</v>
      </c>
      <c r="E2711">
        <v>0</v>
      </c>
      <c r="F2711">
        <v>0</v>
      </c>
      <c r="G2711">
        <v>0</v>
      </c>
      <c r="H2711">
        <v>0</v>
      </c>
      <c r="I2711" s="3">
        <v>0</v>
      </c>
      <c r="J2711" s="3">
        <v>0</v>
      </c>
      <c r="K2711" s="3">
        <v>0</v>
      </c>
      <c r="L2711" s="3" t="str">
        <f>IF(K2711&lt;-5,"CRÍTICO",IF(K2711&lt;0,"ATENÇÃO",IF(K2711&lt;=5,"BOM","EXCELENTE")))</f>
        <v>BOM</v>
      </c>
      <c r="M2711">
        <v>24</v>
      </c>
      <c r="N2711">
        <v>98.26</v>
      </c>
      <c r="O2711">
        <v>26.666666666666671</v>
      </c>
    </row>
    <row r="2712" spans="1:15" hidden="1" x14ac:dyDescent="0.25">
      <c r="A2712" s="11">
        <v>46086</v>
      </c>
      <c r="B2712" t="s">
        <v>59</v>
      </c>
      <c r="C2712" t="s">
        <v>23</v>
      </c>
      <c r="D2712">
        <v>25</v>
      </c>
      <c r="E2712">
        <v>23</v>
      </c>
      <c r="F2712">
        <v>21.54</v>
      </c>
      <c r="G2712">
        <v>0</v>
      </c>
      <c r="H2712">
        <v>0</v>
      </c>
      <c r="I2712" s="3">
        <f>E2712+G2712+H2712</f>
        <v>23</v>
      </c>
      <c r="J2712" s="3">
        <f>ROUND(MIN(IF(C2712="Técnico III",35,IF(C2712="Técnico II",28,IF(C2712="Técnico I",23,IF(C2712="JR",20,IF(C2712="Estágio",10,0))))),IF(C2712="Técnico III",SUMIFS($D:$D,$A:$A,$A2712,$B:$B,"&lt;&gt;Patrícia Karla de Sousa Araújo",$B:$B,"&lt;&gt;Lorena Dias de Araujo",$B:$B,"&lt;&gt;Lucas Luiz Romero")*(35/1083),IF(C2712="Técnico II",SUMIFS($D:$D,$A:$A,$A2712,$B:$B,"&lt;&gt;Patrícia Karla de Sousa Araújo",$B:$B,"&lt;&gt;Lorena Dias de Araujo",$B:$B,"&lt;&gt;Lucas Luiz Romero")*(28/1083),IF(C2712="Técnico I",SUMIFS($D:$D,$A:$A,$A2712,$B:$B,"&lt;&gt;Patrícia Karla de Sousa Araújo",$B:$B,"&lt;&gt;Lorena Dias de Araujo",$B:$B,"&lt;&gt;Lucas Luiz Romero")*(23/1083),IF(C2712="JR",SUMIFS($D:$D,$A:$A,$A2712,$B:$B,"&lt;&gt;Patrícia Karla de Sousa Araújo",$B:$B,"&lt;&gt;Lorena Dias de Araujo",$B:$B,"&lt;&gt;Lucas Luiz Romero")*(20/1083),IF(C2712="Estágio",SUMIFS($D:$D,$A:$A,$A2712,$B:$B,"&lt;&gt;Patrícia Karla de Sousa Araújo",$B:$B,"&lt;&gt;Lorena Dias de Araujo",$B:$B,"&lt;&gt;Lucas Luiz Romero")*(10/1083),0)))))),0)</f>
        <v>19</v>
      </c>
      <c r="K2712" s="3">
        <f>I2712-J2712</f>
        <v>4</v>
      </c>
      <c r="L2712" s="3" t="str">
        <f>IF(K2712&lt;-5,"CRÍTICO",IF(K2712&lt;0,"ATENÇÃO",IF(K2712&lt;=5,"BOM","EXCELENTE")))</f>
        <v>BOM</v>
      </c>
      <c r="M2712">
        <v>21</v>
      </c>
      <c r="N2712">
        <v>98.2</v>
      </c>
      <c r="O2712">
        <v>23.37962962962963</v>
      </c>
    </row>
    <row r="2713" spans="1:15" hidden="1" x14ac:dyDescent="0.25">
      <c r="A2713" s="11">
        <v>46086</v>
      </c>
      <c r="B2713" t="s">
        <v>33</v>
      </c>
      <c r="C2713" t="s">
        <v>32</v>
      </c>
      <c r="D2713">
        <v>28</v>
      </c>
      <c r="E2713">
        <v>26</v>
      </c>
      <c r="F2713">
        <v>22.09</v>
      </c>
      <c r="G2713">
        <v>0</v>
      </c>
      <c r="H2713">
        <v>0</v>
      </c>
      <c r="I2713" s="3">
        <f>E2713+G2713+H2713</f>
        <v>26</v>
      </c>
      <c r="J2713" s="3">
        <f>ROUND(MIN(IF(C2713="Técnico III",35,IF(C2713="Técnico II",28,IF(C2713="Técnico I",23,IF(C2713="JR",20,IF(C2713="Estágio",10,0))))),IF(C2713="Técnico III",SUMIFS($D:$D,$A:$A,$A2713,$B:$B,"&lt;&gt;Patrícia Karla de Sousa Araújo",$B:$B,"&lt;&gt;Lorena Dias de Araujo",$B:$B,"&lt;&gt;Lucas Luiz Romero")*(35/1083),IF(C2713="Técnico II",SUMIFS($D:$D,$A:$A,$A2713,$B:$B,"&lt;&gt;Patrícia Karla de Sousa Araújo",$B:$B,"&lt;&gt;Lorena Dias de Araujo",$B:$B,"&lt;&gt;Lucas Luiz Romero")*(28/1083),IF(C2713="Técnico I",SUMIFS($D:$D,$A:$A,$A2713,$B:$B,"&lt;&gt;Patrícia Karla de Sousa Araújo",$B:$B,"&lt;&gt;Lorena Dias de Araujo",$B:$B,"&lt;&gt;Lucas Luiz Romero")*(23/1083),IF(C2713="JR",SUMIFS($D:$D,$A:$A,$A2713,$B:$B,"&lt;&gt;Patrícia Karla de Sousa Araújo",$B:$B,"&lt;&gt;Lorena Dias de Araujo",$B:$B,"&lt;&gt;Lucas Luiz Romero")*(20/1083),IF(C2713="Estágio",SUMIFS($D:$D,$A:$A,$A2713,$B:$B,"&lt;&gt;Patrícia Karla de Sousa Araújo",$B:$B,"&lt;&gt;Lorena Dias de Araujo",$B:$B,"&lt;&gt;Lucas Luiz Romero")*(10/1083),0)))))),0)</f>
        <v>28</v>
      </c>
      <c r="K2713" s="3">
        <f>I2713-J2713</f>
        <v>-2</v>
      </c>
      <c r="L2713" s="3" t="str">
        <f>IF(K2713&lt;-5,"CRÍTICO",IF(K2713&lt;0,"ATENÇÃO",IF(K2713&lt;=5,"BOM","EXCELENTE")))</f>
        <v>ATENÇÃO</v>
      </c>
      <c r="M2713">
        <v>22</v>
      </c>
      <c r="N2713">
        <v>97.3</v>
      </c>
      <c r="O2713">
        <v>23.84769539078156</v>
      </c>
    </row>
    <row r="2714" spans="1:15" hidden="1" x14ac:dyDescent="0.25">
      <c r="A2714" s="11">
        <v>46086</v>
      </c>
      <c r="B2714" t="s">
        <v>15</v>
      </c>
      <c r="C2714" t="s">
        <v>16</v>
      </c>
      <c r="D2714">
        <v>13</v>
      </c>
      <c r="E2714">
        <v>11</v>
      </c>
      <c r="F2714">
        <v>22.22</v>
      </c>
      <c r="G2714">
        <v>0</v>
      </c>
      <c r="H2714">
        <v>0</v>
      </c>
      <c r="I2714" s="3">
        <f>E2714+G2714+H2714</f>
        <v>11</v>
      </c>
      <c r="J2714" s="3">
        <f>ROUND(MIN(IF(C2714="Técnico III",35,IF(C2714="Técnico II",28,IF(C2714="Técnico I",23,IF(C2714="JR",20,IF(C2714="Estágio",10,0))))),IF(C2714="Técnico III",SUMIFS($D:$D,$A:$A,$A2714,$B:$B,"&lt;&gt;Patrícia Karla de Sousa Araújo",$B:$B,"&lt;&gt;Lorena Dias de Araujo",$B:$B,"&lt;&gt;Lucas Luiz Romero")*(35/1083),IF(C2714="Técnico II",SUMIFS($D:$D,$A:$A,$A2714,$B:$B,"&lt;&gt;Patrícia Karla de Sousa Araújo",$B:$B,"&lt;&gt;Lorena Dias de Araujo",$B:$B,"&lt;&gt;Lucas Luiz Romero")*(28/1083),IF(C2714="Técnico I",SUMIFS($D:$D,$A:$A,$A2714,$B:$B,"&lt;&gt;Patrícia Karla de Sousa Araújo",$B:$B,"&lt;&gt;Lorena Dias de Araujo",$B:$B,"&lt;&gt;Lucas Luiz Romero")*(23/1083),IF(C2714="JR",SUMIFS($D:$D,$A:$A,$A2714,$B:$B,"&lt;&gt;Patrícia Karla de Sousa Araújo",$B:$B,"&lt;&gt;Lorena Dias de Araujo",$B:$B,"&lt;&gt;Lucas Luiz Romero")*(20/1083),IF(C2714="Estágio",SUMIFS($D:$D,$A:$A,$A2714,$B:$B,"&lt;&gt;Patrícia Karla de Sousa Araújo",$B:$B,"&lt;&gt;Lorena Dias de Araujo",$B:$B,"&lt;&gt;Lucas Luiz Romero")*(10/1083),0)))))),0)</f>
        <v>8</v>
      </c>
      <c r="K2714" s="3">
        <f>I2714-J2714</f>
        <v>3</v>
      </c>
      <c r="L2714" s="3" t="str">
        <f>IF(K2714&lt;-5,"CRÍTICO",IF(K2714&lt;0,"ATENÇÃO",IF(K2714&lt;=5,"BOM","EXCELENTE")))</f>
        <v>BOM</v>
      </c>
      <c r="M2714">
        <v>10</v>
      </c>
      <c r="N2714">
        <v>100</v>
      </c>
      <c r="O2714">
        <v>25.268817204301079</v>
      </c>
    </row>
    <row r="2715" spans="1:15" hidden="1" x14ac:dyDescent="0.25">
      <c r="A2715" s="11">
        <v>46086</v>
      </c>
      <c r="B2715" t="s">
        <v>49</v>
      </c>
      <c r="C2715" t="s">
        <v>48</v>
      </c>
      <c r="D2715">
        <v>25</v>
      </c>
      <c r="E2715">
        <v>24</v>
      </c>
      <c r="F2715">
        <v>20.16</v>
      </c>
      <c r="G2715">
        <v>0</v>
      </c>
      <c r="H2715">
        <v>0</v>
      </c>
      <c r="I2715" s="3">
        <f>E2715+G2715+H2715</f>
        <v>24</v>
      </c>
      <c r="J2715" s="3">
        <f>ROUND(MIN(IF(C2715="Técnico III",35,IF(C2715="Técnico II",28,IF(C2715="Técnico I",23,IF(C2715="JR",20,IF(C2715="Estágio",10,0))))),IF(C2715="Técnico III",SUMIFS($D:$D,$A:$A,$A2715,$B:$B,"&lt;&gt;Patrícia Karla de Sousa Araújo",$B:$B,"&lt;&gt;Lorena Dias de Araujo",$B:$B,"&lt;&gt;Lucas Luiz Romero")*(35/1083),IF(C2715="Técnico II",SUMIFS($D:$D,$A:$A,$A2715,$B:$B,"&lt;&gt;Patrícia Karla de Sousa Araújo",$B:$B,"&lt;&gt;Lorena Dias de Araujo",$B:$B,"&lt;&gt;Lucas Luiz Romero")*(28/1083),IF(C2715="Técnico I",SUMIFS($D:$D,$A:$A,$A2715,$B:$B,"&lt;&gt;Patrícia Karla de Sousa Araújo",$B:$B,"&lt;&gt;Lorena Dias de Araujo",$B:$B,"&lt;&gt;Lucas Luiz Romero")*(23/1083),IF(C2715="JR",SUMIFS($D:$D,$A:$A,$A2715,$B:$B,"&lt;&gt;Patrícia Karla de Sousa Araújo",$B:$B,"&lt;&gt;Lorena Dias de Araujo",$B:$B,"&lt;&gt;Lucas Luiz Romero")*(20/1083),IF(C2715="Estágio",SUMIFS($D:$D,$A:$A,$A2715,$B:$B,"&lt;&gt;Patrícia Karla de Sousa Araújo",$B:$B,"&lt;&gt;Lorena Dias de Araujo",$B:$B,"&lt;&gt;Lucas Luiz Romero")*(10/1083),0)))))),0)</f>
        <v>23</v>
      </c>
      <c r="K2715" s="3">
        <f>I2715-J2715</f>
        <v>1</v>
      </c>
      <c r="L2715" s="3" t="str">
        <f>IF(K2715&lt;-5,"CRÍTICO",IF(K2715&lt;0,"ATENÇÃO",IF(K2715&lt;=5,"BOM","EXCELENTE")))</f>
        <v>BOM</v>
      </c>
      <c r="M2715">
        <v>25</v>
      </c>
      <c r="N2715">
        <v>99.32</v>
      </c>
      <c r="O2715">
        <v>22.822822822822818</v>
      </c>
    </row>
    <row r="2716" spans="1:15" hidden="1" x14ac:dyDescent="0.25">
      <c r="A2716" s="11">
        <v>46086</v>
      </c>
      <c r="B2716" t="s">
        <v>50</v>
      </c>
      <c r="C2716" t="s">
        <v>48</v>
      </c>
      <c r="D2716">
        <v>16</v>
      </c>
      <c r="E2716">
        <v>16</v>
      </c>
      <c r="F2716">
        <v>40.26</v>
      </c>
      <c r="G2716">
        <v>0</v>
      </c>
      <c r="H2716">
        <v>0</v>
      </c>
      <c r="I2716" s="3">
        <f>E2716+G2716+H2716</f>
        <v>16</v>
      </c>
      <c r="J2716" s="3">
        <f>ROUND(MIN(IF(C2716="Técnico III",35,IF(C2716="Técnico II",28,IF(C2716="Técnico I",23,IF(C2716="JR",20,IF(C2716="Estágio",10,0))))),IF(C2716="Técnico III",SUMIFS($D:$D,$A:$A,$A2716,$B:$B,"&lt;&gt;Patrícia Karla de Sousa Araújo",$B:$B,"&lt;&gt;Lorena Dias de Araujo",$B:$B,"&lt;&gt;Lucas Luiz Romero")*(35/1083),IF(C2716="Técnico II",SUMIFS($D:$D,$A:$A,$A2716,$B:$B,"&lt;&gt;Patrícia Karla de Sousa Araújo",$B:$B,"&lt;&gt;Lorena Dias de Araujo",$B:$B,"&lt;&gt;Lucas Luiz Romero")*(28/1083),IF(C2716="Técnico I",SUMIFS($D:$D,$A:$A,$A2716,$B:$B,"&lt;&gt;Patrícia Karla de Sousa Araújo",$B:$B,"&lt;&gt;Lorena Dias de Araujo",$B:$B,"&lt;&gt;Lucas Luiz Romero")*(23/1083),IF(C2716="JR",SUMIFS($D:$D,$A:$A,$A2716,$B:$B,"&lt;&gt;Patrícia Karla de Sousa Araújo",$B:$B,"&lt;&gt;Lorena Dias de Araujo",$B:$B,"&lt;&gt;Lucas Luiz Romero")*(20/1083),IF(C2716="Estágio",SUMIFS($D:$D,$A:$A,$A2716,$B:$B,"&lt;&gt;Patrícia Karla de Sousa Araújo",$B:$B,"&lt;&gt;Lorena Dias de Araujo",$B:$B,"&lt;&gt;Lucas Luiz Romero")*(10/1083),0)))))),0)</f>
        <v>23</v>
      </c>
      <c r="K2716" s="3">
        <f>I2716-J2716</f>
        <v>-7</v>
      </c>
      <c r="L2716" s="3" t="str">
        <f>IF(K2716&lt;-5,"CRÍTICO",IF(K2716&lt;0,"ATENÇÃO",IF(K2716&lt;=5,"BOM","EXCELENTE")))</f>
        <v>CRÍTICO</v>
      </c>
      <c r="M2716">
        <v>16</v>
      </c>
      <c r="N2716">
        <v>100</v>
      </c>
      <c r="O2716">
        <v>27.966101694915249</v>
      </c>
    </row>
    <row r="2717" spans="1:15" hidden="1" x14ac:dyDescent="0.25">
      <c r="A2717" s="11">
        <v>46086</v>
      </c>
      <c r="B2717" t="s">
        <v>17</v>
      </c>
      <c r="C2717" t="s">
        <v>16</v>
      </c>
      <c r="D2717">
        <v>0</v>
      </c>
      <c r="E2717">
        <v>0</v>
      </c>
      <c r="F2717">
        <v>0</v>
      </c>
      <c r="G2717">
        <v>0</v>
      </c>
      <c r="H2717">
        <v>0</v>
      </c>
      <c r="I2717" s="3">
        <v>0</v>
      </c>
      <c r="J2717" s="3">
        <v>0</v>
      </c>
      <c r="K2717" s="3">
        <v>0</v>
      </c>
      <c r="L2717" s="3" t="str">
        <f>IF(K2717&lt;-5,"CRÍTICO",IF(K2717&lt;0,"ATENÇÃO",IF(K2717&lt;=5,"BOM","EXCELENTE")))</f>
        <v>BOM</v>
      </c>
      <c r="M2717">
        <v>0</v>
      </c>
      <c r="N2717">
        <v>100</v>
      </c>
      <c r="O2717">
        <v>30.434782608695659</v>
      </c>
    </row>
    <row r="2718" spans="1:15" hidden="1" x14ac:dyDescent="0.25">
      <c r="A2718" s="11">
        <v>46086</v>
      </c>
      <c r="B2718" t="s">
        <v>60</v>
      </c>
      <c r="C2718" t="s">
        <v>23</v>
      </c>
      <c r="D2718">
        <v>21</v>
      </c>
      <c r="E2718">
        <v>19</v>
      </c>
      <c r="F2718">
        <v>33.270000000000003</v>
      </c>
      <c r="G2718">
        <v>0</v>
      </c>
      <c r="H2718">
        <v>0</v>
      </c>
      <c r="I2718" s="3">
        <f>E2718+G2718+H2718</f>
        <v>19</v>
      </c>
      <c r="J2718" s="3">
        <f>ROUND(MIN(IF(C2718="Técnico III",35,IF(C2718="Técnico II",28,IF(C2718="Técnico I",23,IF(C2718="JR",20,IF(C2718="Estágio",10,0))))),IF(C2718="Técnico III",SUMIFS($D:$D,$A:$A,$A2718,$B:$B,"&lt;&gt;Patrícia Karla de Sousa Araújo",$B:$B,"&lt;&gt;Lorena Dias de Araujo",$B:$B,"&lt;&gt;Lucas Luiz Romero")*(35/1083),IF(C2718="Técnico II",SUMIFS($D:$D,$A:$A,$A2718,$B:$B,"&lt;&gt;Patrícia Karla de Sousa Araújo",$B:$B,"&lt;&gt;Lorena Dias de Araujo",$B:$B,"&lt;&gt;Lucas Luiz Romero")*(28/1083),IF(C2718="Técnico I",SUMIFS($D:$D,$A:$A,$A2718,$B:$B,"&lt;&gt;Patrícia Karla de Sousa Araújo",$B:$B,"&lt;&gt;Lorena Dias de Araujo",$B:$B,"&lt;&gt;Lucas Luiz Romero")*(23/1083),IF(C2718="JR",SUMIFS($D:$D,$A:$A,$A2718,$B:$B,"&lt;&gt;Patrícia Karla de Sousa Araújo",$B:$B,"&lt;&gt;Lorena Dias de Araujo",$B:$B,"&lt;&gt;Lucas Luiz Romero")*(20/1083),IF(C2718="Estágio",SUMIFS($D:$D,$A:$A,$A2718,$B:$B,"&lt;&gt;Patrícia Karla de Sousa Araújo",$B:$B,"&lt;&gt;Lorena Dias de Araujo",$B:$B,"&lt;&gt;Lucas Luiz Romero")*(10/1083),0)))))),0)</f>
        <v>19</v>
      </c>
      <c r="K2718" s="3">
        <f>I2718-J2718</f>
        <v>0</v>
      </c>
      <c r="L2718" s="3" t="str">
        <f>IF(K2718&lt;-5,"CRÍTICO",IF(K2718&lt;0,"ATENÇÃO",IF(K2718&lt;=5,"BOM","EXCELENTE")))</f>
        <v>BOM</v>
      </c>
      <c r="M2718">
        <v>18</v>
      </c>
      <c r="N2718">
        <v>96.51</v>
      </c>
      <c r="O2718">
        <v>22.802850356294542</v>
      </c>
    </row>
    <row r="2719" spans="1:15" hidden="1" x14ac:dyDescent="0.25">
      <c r="A2719" s="11">
        <v>46086</v>
      </c>
      <c r="B2719" t="s">
        <v>34</v>
      </c>
      <c r="C2719" t="s">
        <v>32</v>
      </c>
      <c r="D2719">
        <v>42</v>
      </c>
      <c r="E2719">
        <v>38</v>
      </c>
      <c r="F2719">
        <v>13.49</v>
      </c>
      <c r="G2719">
        <v>0</v>
      </c>
      <c r="H2719">
        <v>0</v>
      </c>
      <c r="I2719" s="3">
        <f>E2719+G2719+H2719</f>
        <v>38</v>
      </c>
      <c r="J2719" s="3">
        <f>ROUND(MIN(IF(C2719="Técnico III",35,IF(C2719="Técnico II",28,IF(C2719="Técnico I",23,IF(C2719="JR",20,IF(C2719="Estágio",10,0))))),IF(C2719="Técnico III",SUMIFS($D:$D,$A:$A,$A2719,$B:$B,"&lt;&gt;Patrícia Karla de Sousa Araújo",$B:$B,"&lt;&gt;Lorena Dias de Araujo",$B:$B,"&lt;&gt;Lucas Luiz Romero")*(35/1083),IF(C2719="Técnico II",SUMIFS($D:$D,$A:$A,$A2719,$B:$B,"&lt;&gt;Patrícia Karla de Sousa Araújo",$B:$B,"&lt;&gt;Lorena Dias de Araujo",$B:$B,"&lt;&gt;Lucas Luiz Romero")*(28/1083),IF(C2719="Técnico I",SUMIFS($D:$D,$A:$A,$A2719,$B:$B,"&lt;&gt;Patrícia Karla de Sousa Araújo",$B:$B,"&lt;&gt;Lorena Dias de Araujo",$B:$B,"&lt;&gt;Lucas Luiz Romero")*(23/1083),IF(C2719="JR",SUMIFS($D:$D,$A:$A,$A2719,$B:$B,"&lt;&gt;Patrícia Karla de Sousa Araújo",$B:$B,"&lt;&gt;Lorena Dias de Araujo",$B:$B,"&lt;&gt;Lucas Luiz Romero")*(20/1083),IF(C2719="Estágio",SUMIFS($D:$D,$A:$A,$A2719,$B:$B,"&lt;&gt;Patrícia Karla de Sousa Araújo",$B:$B,"&lt;&gt;Lorena Dias de Araujo",$B:$B,"&lt;&gt;Lucas Luiz Romero")*(10/1083),0)))))),0)</f>
        <v>28</v>
      </c>
      <c r="K2719" s="3">
        <f>I2719-J2719</f>
        <v>10</v>
      </c>
      <c r="L2719" s="3" t="str">
        <f>IF(K2719&lt;-5,"CRÍTICO",IF(K2719&lt;0,"ATENÇÃO",IF(K2719&lt;=5,"BOM","EXCELENTE")))</f>
        <v>EXCELENTE</v>
      </c>
      <c r="M2719">
        <v>35</v>
      </c>
      <c r="N2719">
        <v>92.68</v>
      </c>
      <c r="O2719">
        <v>27.777777777777779</v>
      </c>
    </row>
    <row r="2720" spans="1:15" hidden="1" x14ac:dyDescent="0.25">
      <c r="A2720" s="11">
        <v>46086</v>
      </c>
      <c r="B2720" t="s">
        <v>51</v>
      </c>
      <c r="C2720" t="s">
        <v>48</v>
      </c>
      <c r="D2720">
        <v>26</v>
      </c>
      <c r="E2720">
        <v>24</v>
      </c>
      <c r="F2720">
        <v>25.07</v>
      </c>
      <c r="G2720">
        <v>0</v>
      </c>
      <c r="H2720">
        <v>0</v>
      </c>
      <c r="I2720" s="3">
        <v>0</v>
      </c>
      <c r="J2720" s="3">
        <v>0</v>
      </c>
      <c r="K2720" s="3">
        <v>0</v>
      </c>
      <c r="L2720" s="3" t="str">
        <f>IF(K2720&lt;-5,"CRÍTICO",IF(K2720&lt;0,"ATENÇÃO",IF(K2720&lt;=5,"BOM","EXCELENTE")))</f>
        <v>BOM</v>
      </c>
      <c r="M2720">
        <v>20</v>
      </c>
      <c r="N2720">
        <v>99.03</v>
      </c>
      <c r="O2720">
        <v>23.991507430997881</v>
      </c>
    </row>
    <row r="2721" spans="1:15" hidden="1" x14ac:dyDescent="0.25">
      <c r="A2721" s="11">
        <v>46086</v>
      </c>
      <c r="B2721" t="s">
        <v>61</v>
      </c>
      <c r="C2721" t="s">
        <v>23</v>
      </c>
      <c r="D2721">
        <v>22</v>
      </c>
      <c r="E2721">
        <v>22</v>
      </c>
      <c r="F2721">
        <v>25.34</v>
      </c>
      <c r="G2721">
        <v>0</v>
      </c>
      <c r="H2721">
        <v>0</v>
      </c>
      <c r="I2721" s="3">
        <f>E2721+G2721+H2721</f>
        <v>22</v>
      </c>
      <c r="J2721" s="3">
        <f>ROUND(MIN(IF(C2721="Técnico III",35,IF(C2721="Técnico II",28,IF(C2721="Técnico I",23,IF(C2721="JR",20,IF(C2721="Estágio",10,0))))),IF(C2721="Técnico III",SUMIFS($D:$D,$A:$A,$A2721,$B:$B,"&lt;&gt;Patrícia Karla de Sousa Araújo",$B:$B,"&lt;&gt;Lorena Dias de Araujo",$B:$B,"&lt;&gt;Lucas Luiz Romero")*(35/1083),IF(C2721="Técnico II",SUMIFS($D:$D,$A:$A,$A2721,$B:$B,"&lt;&gt;Patrícia Karla de Sousa Araújo",$B:$B,"&lt;&gt;Lorena Dias de Araujo",$B:$B,"&lt;&gt;Lucas Luiz Romero")*(28/1083),IF(C2721="Técnico I",SUMIFS($D:$D,$A:$A,$A2721,$B:$B,"&lt;&gt;Patrícia Karla de Sousa Araújo",$B:$B,"&lt;&gt;Lorena Dias de Araujo",$B:$B,"&lt;&gt;Lucas Luiz Romero")*(23/1083),IF(C2721="JR",SUMIFS($D:$D,$A:$A,$A2721,$B:$B,"&lt;&gt;Patrícia Karla de Sousa Araújo",$B:$B,"&lt;&gt;Lorena Dias de Araujo",$B:$B,"&lt;&gt;Lucas Luiz Romero")*(20/1083),IF(C2721="Estágio",SUMIFS($D:$D,$A:$A,$A2721,$B:$B,"&lt;&gt;Patrícia Karla de Sousa Araújo",$B:$B,"&lt;&gt;Lorena Dias de Araujo",$B:$B,"&lt;&gt;Lucas Luiz Romero")*(10/1083),0)))))),0)</f>
        <v>19</v>
      </c>
      <c r="K2721" s="3">
        <f>I2721-J2721</f>
        <v>3</v>
      </c>
      <c r="L2721" s="3" t="str">
        <f>IF(K2721&lt;-5,"CRÍTICO",IF(K2721&lt;0,"ATENÇÃO",IF(K2721&lt;=5,"BOM","EXCELENTE")))</f>
        <v>BOM</v>
      </c>
      <c r="M2721">
        <v>15</v>
      </c>
      <c r="N2721">
        <v>98.41</v>
      </c>
      <c r="O2721">
        <v>28.138528138528141</v>
      </c>
    </row>
    <row r="2722" spans="1:15" hidden="1" x14ac:dyDescent="0.25">
      <c r="A2722" s="11">
        <v>46086</v>
      </c>
      <c r="B2722" t="s">
        <v>35</v>
      </c>
      <c r="C2722" t="s">
        <v>32</v>
      </c>
      <c r="D2722">
        <v>32</v>
      </c>
      <c r="E2722">
        <v>31</v>
      </c>
      <c r="F2722">
        <v>20.53</v>
      </c>
      <c r="G2722">
        <v>0</v>
      </c>
      <c r="H2722">
        <v>0</v>
      </c>
      <c r="I2722" s="3">
        <v>0</v>
      </c>
      <c r="J2722" s="3">
        <v>0</v>
      </c>
      <c r="K2722" s="3">
        <v>0</v>
      </c>
      <c r="L2722" s="3" t="str">
        <f>IF(K2722&lt;-5,"CRÍTICO",IF(K2722&lt;0,"ATENÇÃO",IF(K2722&lt;=5,"BOM","EXCELENTE")))</f>
        <v>BOM</v>
      </c>
      <c r="M2722">
        <v>31</v>
      </c>
      <c r="N2722">
        <v>98.73</v>
      </c>
      <c r="O2722">
        <v>29.142857142857139</v>
      </c>
    </row>
    <row r="2723" spans="1:15" hidden="1" x14ac:dyDescent="0.25">
      <c r="A2723" s="11">
        <v>46086</v>
      </c>
      <c r="B2723" t="s">
        <v>18</v>
      </c>
      <c r="C2723" t="s">
        <v>16</v>
      </c>
      <c r="D2723">
        <v>55</v>
      </c>
      <c r="E2723">
        <v>45</v>
      </c>
      <c r="F2723">
        <v>5.55</v>
      </c>
      <c r="G2723">
        <v>0</v>
      </c>
      <c r="H2723">
        <v>0</v>
      </c>
      <c r="I2723" s="3">
        <f>E2723+G2723+H2723</f>
        <v>45</v>
      </c>
      <c r="J2723" s="3">
        <f>ROUND(MIN(IF(C2723="Técnico III",35,IF(C2723="Técnico II",28,IF(C2723="Técnico I",23,IF(C2723="JR",20,IF(C2723="Estágio",10,0))))),IF(C2723="Técnico III",SUMIFS($D:$D,$A:$A,$A2723,$B:$B,"&lt;&gt;Patrícia Karla de Sousa Araújo",$B:$B,"&lt;&gt;Lorena Dias de Araujo",$B:$B,"&lt;&gt;Lucas Luiz Romero")*(35/1083),IF(C2723="Técnico II",SUMIFS($D:$D,$A:$A,$A2723,$B:$B,"&lt;&gt;Patrícia Karla de Sousa Araújo",$B:$B,"&lt;&gt;Lorena Dias de Araujo",$B:$B,"&lt;&gt;Lucas Luiz Romero")*(28/1083),IF(C2723="Técnico I",SUMIFS($D:$D,$A:$A,$A2723,$B:$B,"&lt;&gt;Patrícia Karla de Sousa Araújo",$B:$B,"&lt;&gt;Lorena Dias de Araujo",$B:$B,"&lt;&gt;Lucas Luiz Romero")*(23/1083),IF(C2723="JR",SUMIFS($D:$D,$A:$A,$A2723,$B:$B,"&lt;&gt;Patrícia Karla de Sousa Araújo",$B:$B,"&lt;&gt;Lorena Dias de Araujo",$B:$B,"&lt;&gt;Lucas Luiz Romero")*(20/1083),IF(C2723="Estágio",SUMIFS($D:$D,$A:$A,$A2723,$B:$B,"&lt;&gt;Patrícia Karla de Sousa Araújo",$B:$B,"&lt;&gt;Lorena Dias de Araujo",$B:$B,"&lt;&gt;Lucas Luiz Romero")*(10/1083),0)))))),0)</f>
        <v>8</v>
      </c>
      <c r="K2723" s="3">
        <f>I2723-J2723</f>
        <v>37</v>
      </c>
      <c r="L2723" s="3" t="str">
        <f>IF(K2723&lt;-5,"CRÍTICO",IF(K2723&lt;0,"ATENÇÃO",IF(K2723&lt;=5,"BOM","EXCELENTE")))</f>
        <v>EXCELENTE</v>
      </c>
      <c r="M2723">
        <v>3</v>
      </c>
      <c r="N2723">
        <v>90.48</v>
      </c>
      <c r="O2723">
        <v>20.68965517241379</v>
      </c>
    </row>
    <row r="2724" spans="1:15" hidden="1" x14ac:dyDescent="0.25">
      <c r="A2724" s="11">
        <v>46086</v>
      </c>
      <c r="B2724" t="s">
        <v>52</v>
      </c>
      <c r="C2724" t="s">
        <v>48</v>
      </c>
      <c r="D2724">
        <v>33</v>
      </c>
      <c r="E2724">
        <v>31</v>
      </c>
      <c r="F2724">
        <v>20.32</v>
      </c>
      <c r="G2724">
        <v>0</v>
      </c>
      <c r="H2724">
        <v>0</v>
      </c>
      <c r="I2724" s="3">
        <f>E2724+G2724+H2724</f>
        <v>31</v>
      </c>
      <c r="J2724" s="3">
        <f>ROUND(MIN(IF(C2724="Técnico III",35,IF(C2724="Técnico II",28,IF(C2724="Técnico I",23,IF(C2724="JR",20,IF(C2724="Estágio",10,0))))),IF(C2724="Técnico III",SUMIFS($D:$D,$A:$A,$A2724,$B:$B,"&lt;&gt;Patrícia Karla de Sousa Araújo",$B:$B,"&lt;&gt;Lorena Dias de Araujo",$B:$B,"&lt;&gt;Lucas Luiz Romero")*(35/1083),IF(C2724="Técnico II",SUMIFS($D:$D,$A:$A,$A2724,$B:$B,"&lt;&gt;Patrícia Karla de Sousa Araújo",$B:$B,"&lt;&gt;Lorena Dias de Araujo",$B:$B,"&lt;&gt;Lucas Luiz Romero")*(28/1083),IF(C2724="Técnico I",SUMIFS($D:$D,$A:$A,$A2724,$B:$B,"&lt;&gt;Patrícia Karla de Sousa Araújo",$B:$B,"&lt;&gt;Lorena Dias de Araujo",$B:$B,"&lt;&gt;Lucas Luiz Romero")*(23/1083),IF(C2724="JR",SUMIFS($D:$D,$A:$A,$A2724,$B:$B,"&lt;&gt;Patrícia Karla de Sousa Araújo",$B:$B,"&lt;&gt;Lorena Dias de Araujo",$B:$B,"&lt;&gt;Lucas Luiz Romero")*(20/1083),IF(C2724="Estágio",SUMIFS($D:$D,$A:$A,$A2724,$B:$B,"&lt;&gt;Patrícia Karla de Sousa Araújo",$B:$B,"&lt;&gt;Lorena Dias de Araujo",$B:$B,"&lt;&gt;Lucas Luiz Romero")*(10/1083),0)))))),0)</f>
        <v>23</v>
      </c>
      <c r="K2724" s="3">
        <f>I2724-J2724</f>
        <v>8</v>
      </c>
      <c r="L2724" s="3" t="str">
        <f>IF(K2724&lt;-5,"CRÍTICO",IF(K2724&lt;0,"ATENÇÃO",IF(K2724&lt;=5,"BOM","EXCELENTE")))</f>
        <v>EXCELENTE</v>
      </c>
      <c r="M2724">
        <v>29</v>
      </c>
      <c r="N2724">
        <v>98.06</v>
      </c>
      <c r="O2724">
        <v>24.789915966386559</v>
      </c>
    </row>
    <row r="2725" spans="1:15" hidden="1" x14ac:dyDescent="0.25">
      <c r="A2725" s="11">
        <v>46086</v>
      </c>
      <c r="B2725" t="s">
        <v>36</v>
      </c>
      <c r="C2725" t="s">
        <v>32</v>
      </c>
      <c r="D2725">
        <v>36</v>
      </c>
      <c r="E2725">
        <v>36</v>
      </c>
      <c r="F2725">
        <v>17.34</v>
      </c>
      <c r="G2725">
        <v>0</v>
      </c>
      <c r="H2725">
        <v>0</v>
      </c>
      <c r="I2725" s="3">
        <f>E2725+G2725+H2725</f>
        <v>36</v>
      </c>
      <c r="J2725" s="3">
        <f>ROUND(MIN(IF(C2725="Técnico III",35,IF(C2725="Técnico II",28,IF(C2725="Técnico I",23,IF(C2725="JR",20,IF(C2725="Estágio",10,0))))),IF(C2725="Técnico III",SUMIFS($D:$D,$A:$A,$A2725,$B:$B,"&lt;&gt;Patrícia Karla de Sousa Araújo",$B:$B,"&lt;&gt;Lorena Dias de Araujo",$B:$B,"&lt;&gt;Lucas Luiz Romero")*(35/1083),IF(C2725="Técnico II",SUMIFS($D:$D,$A:$A,$A2725,$B:$B,"&lt;&gt;Patrícia Karla de Sousa Araújo",$B:$B,"&lt;&gt;Lorena Dias de Araujo",$B:$B,"&lt;&gt;Lucas Luiz Romero")*(28/1083),IF(C2725="Técnico I",SUMIFS($D:$D,$A:$A,$A2725,$B:$B,"&lt;&gt;Patrícia Karla de Sousa Araújo",$B:$B,"&lt;&gt;Lorena Dias de Araujo",$B:$B,"&lt;&gt;Lucas Luiz Romero")*(23/1083),IF(C2725="JR",SUMIFS($D:$D,$A:$A,$A2725,$B:$B,"&lt;&gt;Patrícia Karla de Sousa Araújo",$B:$B,"&lt;&gt;Lorena Dias de Araujo",$B:$B,"&lt;&gt;Lucas Luiz Romero")*(20/1083),IF(C2725="Estágio",SUMIFS($D:$D,$A:$A,$A2725,$B:$B,"&lt;&gt;Patrícia Karla de Sousa Araújo",$B:$B,"&lt;&gt;Lorena Dias de Araujo",$B:$B,"&lt;&gt;Lucas Luiz Romero")*(10/1083),0)))))),0)</f>
        <v>28</v>
      </c>
      <c r="K2725" s="3">
        <f>I2725-J2725</f>
        <v>8</v>
      </c>
      <c r="L2725" s="3" t="str">
        <f>IF(K2725&lt;-5,"CRÍTICO",IF(K2725&lt;0,"ATENÇÃO",IF(K2725&lt;=5,"BOM","EXCELENTE")))</f>
        <v>EXCELENTE</v>
      </c>
      <c r="M2725">
        <v>39</v>
      </c>
      <c r="N2725">
        <v>97.78</v>
      </c>
      <c r="O2725">
        <v>25.494071146245059</v>
      </c>
    </row>
    <row r="2726" spans="1:15" hidden="1" x14ac:dyDescent="0.25">
      <c r="A2726" s="11">
        <v>46086</v>
      </c>
      <c r="B2726" t="s">
        <v>53</v>
      </c>
      <c r="C2726" t="s">
        <v>48</v>
      </c>
      <c r="D2726">
        <v>18</v>
      </c>
      <c r="E2726">
        <v>17</v>
      </c>
      <c r="F2726">
        <v>35.200000000000003</v>
      </c>
      <c r="G2726">
        <v>0</v>
      </c>
      <c r="H2726">
        <v>0</v>
      </c>
      <c r="I2726" s="3">
        <f>E2726+G2726+H2726</f>
        <v>17</v>
      </c>
      <c r="J2726" s="3">
        <f>ROUND(MIN(IF(C2726="Técnico III",35,IF(C2726="Técnico II",28,IF(C2726="Técnico I",23,IF(C2726="JR",20,IF(C2726="Estágio",10,0))))),IF(C2726="Técnico III",SUMIFS($D:$D,$A:$A,$A2726,$B:$B,"&lt;&gt;Patrícia Karla de Sousa Araújo",$B:$B,"&lt;&gt;Lorena Dias de Araujo",$B:$B,"&lt;&gt;Lucas Luiz Romero")*(35/1083),IF(C2726="Técnico II",SUMIFS($D:$D,$A:$A,$A2726,$B:$B,"&lt;&gt;Patrícia Karla de Sousa Araújo",$B:$B,"&lt;&gt;Lorena Dias de Araujo",$B:$B,"&lt;&gt;Lucas Luiz Romero")*(28/1083),IF(C2726="Técnico I",SUMIFS($D:$D,$A:$A,$A2726,$B:$B,"&lt;&gt;Patrícia Karla de Sousa Araújo",$B:$B,"&lt;&gt;Lorena Dias de Araujo",$B:$B,"&lt;&gt;Lucas Luiz Romero")*(23/1083),IF(C2726="JR",SUMIFS($D:$D,$A:$A,$A2726,$B:$B,"&lt;&gt;Patrícia Karla de Sousa Araújo",$B:$B,"&lt;&gt;Lorena Dias de Araujo",$B:$B,"&lt;&gt;Lucas Luiz Romero")*(20/1083),IF(C2726="Estágio",SUMIFS($D:$D,$A:$A,$A2726,$B:$B,"&lt;&gt;Patrícia Karla de Sousa Araújo",$B:$B,"&lt;&gt;Lorena Dias de Araujo",$B:$B,"&lt;&gt;Lucas Luiz Romero")*(10/1083),0)))))),0)</f>
        <v>23</v>
      </c>
      <c r="K2726" s="3">
        <f>I2726-J2726</f>
        <v>-6</v>
      </c>
      <c r="L2726" s="3" t="str">
        <f>IF(K2726&lt;-5,"CRÍTICO",IF(K2726&lt;0,"ATENÇÃO",IF(K2726&lt;=5,"BOM","EXCELENTE")))</f>
        <v>CRÍTICO</v>
      </c>
      <c r="M2726">
        <v>17</v>
      </c>
      <c r="N2726">
        <v>98.02</v>
      </c>
      <c r="O2726">
        <v>23.484848484848481</v>
      </c>
    </row>
    <row r="2727" spans="1:15" hidden="1" x14ac:dyDescent="0.25">
      <c r="A2727" s="11">
        <v>46120</v>
      </c>
      <c r="B2727" t="s">
        <v>22</v>
      </c>
      <c r="C2727" t="s">
        <v>23</v>
      </c>
      <c r="D2727">
        <v>30</v>
      </c>
      <c r="E2727">
        <v>28</v>
      </c>
      <c r="F2727">
        <v>15.58</v>
      </c>
      <c r="G2727">
        <v>0</v>
      </c>
      <c r="H2727">
        <v>0</v>
      </c>
      <c r="I2727" s="3">
        <f>E2727+G2727+H2727</f>
        <v>28</v>
      </c>
      <c r="J2727" s="3">
        <f>ROUND(MIN(IF(C2727="Técnico III",35,IF(C2727="Técnico II",28,IF(C2727="Técnico I",23,IF(C2727="JR",20,IF(C2727="Estágio",10,0))))),IF(C2727="Técnico III",SUMIFS($D:$D,$A:$A,$A2727,$B:$B,"&lt;&gt;Patrícia Karla de Sousa Araújo",$B:$B,"&lt;&gt;Lorena Dias de Araujo",$B:$B,"&lt;&gt;Lucas Luiz Romero")*(35/1083),IF(C2727="Técnico II",SUMIFS($D:$D,$A:$A,$A2727,$B:$B,"&lt;&gt;Patrícia Karla de Sousa Araújo",$B:$B,"&lt;&gt;Lorena Dias de Araujo",$B:$B,"&lt;&gt;Lucas Luiz Romero")*(28/1083),IF(C2727="Técnico I",SUMIFS($D:$D,$A:$A,$A2727,$B:$B,"&lt;&gt;Patrícia Karla de Sousa Araújo",$B:$B,"&lt;&gt;Lorena Dias de Araujo",$B:$B,"&lt;&gt;Lucas Luiz Romero")*(23/1083),IF(C2727="JR",SUMIFS($D:$D,$A:$A,$A2727,$B:$B,"&lt;&gt;Patrícia Karla de Sousa Araújo",$B:$B,"&lt;&gt;Lorena Dias de Araujo",$B:$B,"&lt;&gt;Lucas Luiz Romero")*(20/1083),IF(C2727="Estágio",SUMIFS($D:$D,$A:$A,$A2727,$B:$B,"&lt;&gt;Patrícia Karla de Sousa Araújo",$B:$B,"&lt;&gt;Lorena Dias de Araujo",$B:$B,"&lt;&gt;Lucas Luiz Romero")*(10/1083),0)))))),0)</f>
        <v>20</v>
      </c>
      <c r="K2727" s="3">
        <f>I2727-J2727</f>
        <v>8</v>
      </c>
      <c r="L2727" s="3" t="str">
        <f>IF(K2727&lt;-5,"CRÍTICO",IF(K2727&lt;0,"ATENÇÃO",IF(K2727&lt;=5,"OPORTUNO","MUITO BOM")))</f>
        <v>MUITO BOM</v>
      </c>
      <c r="M2727">
        <v>26</v>
      </c>
      <c r="N2727">
        <v>99.28</v>
      </c>
      <c r="O2727">
        <v>27.689243027888441</v>
      </c>
    </row>
    <row r="2728" spans="1:15" hidden="1" x14ac:dyDescent="0.25">
      <c r="A2728" s="11">
        <v>46086</v>
      </c>
      <c r="B2728" t="s">
        <v>54</v>
      </c>
      <c r="C2728" t="s">
        <v>48</v>
      </c>
      <c r="D2728">
        <v>29</v>
      </c>
      <c r="E2728">
        <v>28</v>
      </c>
      <c r="F2728">
        <v>23.28</v>
      </c>
      <c r="G2728">
        <v>0</v>
      </c>
      <c r="H2728">
        <v>0</v>
      </c>
      <c r="I2728" s="3">
        <f>E2728+G2728+H2728</f>
        <v>28</v>
      </c>
      <c r="J2728" s="3">
        <f>ROUND(MIN(IF(C2728="Técnico III",35,IF(C2728="Técnico II",28,IF(C2728="Técnico I",23,IF(C2728="JR",20,IF(C2728="Estágio",10,0))))),IF(C2728="Técnico III",SUMIFS($D:$D,$A:$A,$A2728,$B:$B,"&lt;&gt;Patrícia Karla de Sousa Araújo",$B:$B,"&lt;&gt;Lorena Dias de Araujo",$B:$B,"&lt;&gt;Lucas Luiz Romero")*(35/1083),IF(C2728="Técnico II",SUMIFS($D:$D,$A:$A,$A2728,$B:$B,"&lt;&gt;Patrícia Karla de Sousa Araújo",$B:$B,"&lt;&gt;Lorena Dias de Araujo",$B:$B,"&lt;&gt;Lucas Luiz Romero")*(28/1083),IF(C2728="Técnico I",SUMIFS($D:$D,$A:$A,$A2728,$B:$B,"&lt;&gt;Patrícia Karla de Sousa Araújo",$B:$B,"&lt;&gt;Lorena Dias de Araujo",$B:$B,"&lt;&gt;Lucas Luiz Romero")*(23/1083),IF(C2728="JR",SUMIFS($D:$D,$A:$A,$A2728,$B:$B,"&lt;&gt;Patrícia Karla de Sousa Araújo",$B:$B,"&lt;&gt;Lorena Dias de Araujo",$B:$B,"&lt;&gt;Lucas Luiz Romero")*(20/1083),IF(C2728="Estágio",SUMIFS($D:$D,$A:$A,$A2728,$B:$B,"&lt;&gt;Patrícia Karla de Sousa Araújo",$B:$B,"&lt;&gt;Lorena Dias de Araujo",$B:$B,"&lt;&gt;Lucas Luiz Romero")*(10/1083),0)))))),0)</f>
        <v>23</v>
      </c>
      <c r="K2728" s="3">
        <f>I2728-J2728</f>
        <v>5</v>
      </c>
      <c r="L2728" s="3" t="str">
        <f>IF(K2728&lt;-5,"CRÍTICO",IF(K2728&lt;0,"ATENÇÃO",IF(K2728&lt;=5,"BOM","EXCELENTE")))</f>
        <v>BOM</v>
      </c>
      <c r="M2728">
        <v>19</v>
      </c>
      <c r="N2728">
        <v>100</v>
      </c>
      <c r="O2728">
        <v>27.04918032786885</v>
      </c>
    </row>
    <row r="2729" spans="1:15" hidden="1" x14ac:dyDescent="0.25">
      <c r="A2729" s="11">
        <v>46086</v>
      </c>
      <c r="B2729" t="s">
        <v>37</v>
      </c>
      <c r="C2729" t="s">
        <v>32</v>
      </c>
      <c r="D2729">
        <v>51</v>
      </c>
      <c r="E2729">
        <v>47</v>
      </c>
      <c r="F2729">
        <v>12.19</v>
      </c>
      <c r="G2729">
        <v>0</v>
      </c>
      <c r="H2729">
        <v>0</v>
      </c>
      <c r="I2729" s="3">
        <f>E2729+G2729+H2729</f>
        <v>47</v>
      </c>
      <c r="J2729" s="3">
        <f>ROUND(MIN(IF(C2729="Técnico III",35,IF(C2729="Técnico II",28,IF(C2729="Técnico I",23,IF(C2729="JR",20,IF(C2729="Estágio",10,0))))),IF(C2729="Técnico III",SUMIFS($D:$D,$A:$A,$A2729,$B:$B,"&lt;&gt;Patrícia Karla de Sousa Araújo",$B:$B,"&lt;&gt;Lorena Dias de Araujo",$B:$B,"&lt;&gt;Lucas Luiz Romero")*(35/1083),IF(C2729="Técnico II",SUMIFS($D:$D,$A:$A,$A2729,$B:$B,"&lt;&gt;Patrícia Karla de Sousa Araújo",$B:$B,"&lt;&gt;Lorena Dias de Araujo",$B:$B,"&lt;&gt;Lucas Luiz Romero")*(28/1083),IF(C2729="Técnico I",SUMIFS($D:$D,$A:$A,$A2729,$B:$B,"&lt;&gt;Patrícia Karla de Sousa Araújo",$B:$B,"&lt;&gt;Lorena Dias de Araujo",$B:$B,"&lt;&gt;Lucas Luiz Romero")*(23/1083),IF(C2729="JR",SUMIFS($D:$D,$A:$A,$A2729,$B:$B,"&lt;&gt;Patrícia Karla de Sousa Araújo",$B:$B,"&lt;&gt;Lorena Dias de Araujo",$B:$B,"&lt;&gt;Lucas Luiz Romero")*(20/1083),IF(C2729="Estágio",SUMIFS($D:$D,$A:$A,$A2729,$B:$B,"&lt;&gt;Patrícia Karla de Sousa Araújo",$B:$B,"&lt;&gt;Lorena Dias de Araujo",$B:$B,"&lt;&gt;Lucas Luiz Romero")*(10/1083),0)))))),0)</f>
        <v>28</v>
      </c>
      <c r="K2729" s="3">
        <f>I2729-J2729</f>
        <v>19</v>
      </c>
      <c r="L2729" s="3" t="str">
        <f>IF(K2729&lt;-5,"CRÍTICO",IF(K2729&lt;0,"ATENÇÃO",IF(K2729&lt;=5,"BOM","EXCELENTE")))</f>
        <v>EXCELENTE</v>
      </c>
      <c r="M2729">
        <v>53</v>
      </c>
      <c r="N2729">
        <v>97.83</v>
      </c>
      <c r="O2729">
        <v>26.315789473684209</v>
      </c>
    </row>
    <row r="2730" spans="1:15" hidden="1" x14ac:dyDescent="0.25">
      <c r="A2730" s="11">
        <v>46086</v>
      </c>
      <c r="B2730" t="s">
        <v>38</v>
      </c>
      <c r="C2730" t="s">
        <v>32</v>
      </c>
      <c r="D2730">
        <v>0</v>
      </c>
      <c r="E2730">
        <v>0</v>
      </c>
      <c r="F2730">
        <v>0</v>
      </c>
      <c r="G2730">
        <v>0</v>
      </c>
      <c r="H2730">
        <v>0</v>
      </c>
      <c r="I2730" s="3">
        <v>0</v>
      </c>
      <c r="J2730" s="3">
        <v>0</v>
      </c>
      <c r="K2730" s="3">
        <v>0</v>
      </c>
      <c r="L2730" s="3" t="str">
        <f>IF(K2730&lt;-5,"CRÍTICO",IF(K2730&lt;0,"ATENÇÃO",IF(K2730&lt;=5,"BOM","EXCELENTE")))</f>
        <v>BOM</v>
      </c>
      <c r="M2730">
        <v>1</v>
      </c>
      <c r="N2730">
        <v>100</v>
      </c>
      <c r="O2730">
        <v>26.701570680628269</v>
      </c>
    </row>
    <row r="2731" spans="1:15" hidden="1" x14ac:dyDescent="0.25">
      <c r="A2731" s="11">
        <v>46086</v>
      </c>
      <c r="B2731" t="s">
        <v>55</v>
      </c>
      <c r="C2731" t="s">
        <v>48</v>
      </c>
      <c r="D2731">
        <v>38</v>
      </c>
      <c r="E2731">
        <v>29</v>
      </c>
      <c r="F2731">
        <v>17.32</v>
      </c>
      <c r="G2731">
        <v>0</v>
      </c>
      <c r="H2731">
        <v>0</v>
      </c>
      <c r="I2731" s="3">
        <f>E2731+G2731+H2731</f>
        <v>29</v>
      </c>
      <c r="J2731" s="3">
        <f>ROUND(MIN(IF(C2731="Técnico III",35,IF(C2731="Técnico II",28,IF(C2731="Técnico I",23,IF(C2731="JR",20,IF(C2731="Estágio",10,0))))),IF(C2731="Técnico III",SUMIFS($D:$D,$A:$A,$A2731,$B:$B,"&lt;&gt;Patrícia Karla de Sousa Araújo",$B:$B,"&lt;&gt;Lorena Dias de Araujo",$B:$B,"&lt;&gt;Lucas Luiz Romero")*(35/1083),IF(C2731="Técnico II",SUMIFS($D:$D,$A:$A,$A2731,$B:$B,"&lt;&gt;Patrícia Karla de Sousa Araújo",$B:$B,"&lt;&gt;Lorena Dias de Araujo",$B:$B,"&lt;&gt;Lucas Luiz Romero")*(28/1083),IF(C2731="Técnico I",SUMIFS($D:$D,$A:$A,$A2731,$B:$B,"&lt;&gt;Patrícia Karla de Sousa Araújo",$B:$B,"&lt;&gt;Lorena Dias de Araujo",$B:$B,"&lt;&gt;Lucas Luiz Romero")*(23/1083),IF(C2731="JR",SUMIFS($D:$D,$A:$A,$A2731,$B:$B,"&lt;&gt;Patrícia Karla de Sousa Araújo",$B:$B,"&lt;&gt;Lorena Dias de Araujo",$B:$B,"&lt;&gt;Lucas Luiz Romero")*(20/1083),IF(C2731="Estágio",SUMIFS($D:$D,$A:$A,$A2731,$B:$B,"&lt;&gt;Patrícia Karla de Sousa Araújo",$B:$B,"&lt;&gt;Lorena Dias de Araujo",$B:$B,"&lt;&gt;Lucas Luiz Romero")*(10/1083),0)))))),0)</f>
        <v>23</v>
      </c>
      <c r="K2731" s="3">
        <f>I2731-J2731</f>
        <v>6</v>
      </c>
      <c r="L2731" s="3" t="str">
        <f>IF(K2731&lt;-5,"CRÍTICO",IF(K2731&lt;0,"ATENÇÃO",IF(K2731&lt;=5,"BOM","EXCELENTE")))</f>
        <v>EXCELENTE</v>
      </c>
      <c r="M2731">
        <v>29</v>
      </c>
      <c r="N2731">
        <v>97.47</v>
      </c>
      <c r="O2731">
        <v>22.887323943661968</v>
      </c>
    </row>
    <row r="2732" spans="1:15" hidden="1" x14ac:dyDescent="0.25">
      <c r="A2732" s="11">
        <v>46086</v>
      </c>
      <c r="B2732" t="s">
        <v>39</v>
      </c>
      <c r="C2732" t="s">
        <v>32</v>
      </c>
      <c r="D2732">
        <v>0</v>
      </c>
      <c r="E2732">
        <v>0</v>
      </c>
      <c r="F2732">
        <v>0</v>
      </c>
      <c r="G2732">
        <v>0</v>
      </c>
      <c r="H2732">
        <v>0</v>
      </c>
      <c r="I2732" s="3">
        <v>0</v>
      </c>
      <c r="J2732" s="3">
        <v>0</v>
      </c>
      <c r="K2732" s="3">
        <v>0</v>
      </c>
      <c r="L2732" s="3" t="str">
        <f>IF(K2732&lt;-5,"CRÍTICO",IF(K2732&lt;0,"ATENÇÃO",IF(K2732&lt;=5,"BOM","EXCELENTE")))</f>
        <v>BOM</v>
      </c>
      <c r="M2732">
        <v>0</v>
      </c>
      <c r="N2732">
        <v>0</v>
      </c>
      <c r="O2732">
        <v>0</v>
      </c>
    </row>
    <row r="2733" spans="1:15" hidden="1" x14ac:dyDescent="0.25">
      <c r="A2733" s="11">
        <v>46086</v>
      </c>
      <c r="B2733" t="s">
        <v>25</v>
      </c>
      <c r="C2733" t="s">
        <v>26</v>
      </c>
      <c r="D2733">
        <v>21</v>
      </c>
      <c r="E2733">
        <v>17</v>
      </c>
      <c r="F2733">
        <v>23.55</v>
      </c>
      <c r="G2733">
        <v>0</v>
      </c>
      <c r="H2733">
        <v>0</v>
      </c>
      <c r="I2733" s="3">
        <f>E2733+G2733+H2733</f>
        <v>17</v>
      </c>
      <c r="J2733" s="3">
        <f>ROUND(MIN(IF(C2733="Técnico III",35,IF(C2733="Técnico II",28,IF(C2733="Técnico I",23,IF(C2733="JR",20,IF(C2733="Estágio",10,0))))),IF(C2733="Técnico III",SUMIFS($D:$D,$A:$A,$A2733,$B:$B,"&lt;&gt;Patrícia Karla de Sousa Araújo",$B:$B,"&lt;&gt;Lorena Dias de Araujo",$B:$B,"&lt;&gt;Lucas Luiz Romero")*(35/1083),IF(C2733="Técnico II",SUMIFS($D:$D,$A:$A,$A2733,$B:$B,"&lt;&gt;Patrícia Karla de Sousa Araújo",$B:$B,"&lt;&gt;Lorena Dias de Araujo",$B:$B,"&lt;&gt;Lucas Luiz Romero")*(28/1083),IF(C2733="Técnico I",SUMIFS($D:$D,$A:$A,$A2733,$B:$B,"&lt;&gt;Patrícia Karla de Sousa Araújo",$B:$B,"&lt;&gt;Lorena Dias de Araujo",$B:$B,"&lt;&gt;Lucas Luiz Romero")*(23/1083),IF(C2733="JR",SUMIFS($D:$D,$A:$A,$A2733,$B:$B,"&lt;&gt;Patrícia Karla de Sousa Araújo",$B:$B,"&lt;&gt;Lorena Dias de Araujo",$B:$B,"&lt;&gt;Lucas Luiz Romero")*(20/1083),IF(C2733="Estágio",SUMIFS($D:$D,$A:$A,$A2733,$B:$B,"&lt;&gt;Patrícia Karla de Sousa Araújo",$B:$B,"&lt;&gt;Lorena Dias de Araujo",$B:$B,"&lt;&gt;Lucas Luiz Romero")*(10/1083),0)))))),0)</f>
        <v>16</v>
      </c>
      <c r="K2733" s="3">
        <f>I2733-J2733</f>
        <v>1</v>
      </c>
      <c r="L2733" s="3" t="str">
        <f>IF(K2733&lt;-5,"CRÍTICO",IF(K2733&lt;0,"ATENÇÃO",IF(K2733&lt;=5,"BOM","EXCELENTE")))</f>
        <v>BOM</v>
      </c>
      <c r="M2733">
        <v>15</v>
      </c>
      <c r="N2733">
        <v>98.31</v>
      </c>
      <c r="O2733">
        <v>24.920127795527151</v>
      </c>
    </row>
    <row r="2734" spans="1:15" hidden="1" x14ac:dyDescent="0.25">
      <c r="A2734" s="11">
        <v>46086</v>
      </c>
      <c r="B2734" t="s">
        <v>40</v>
      </c>
      <c r="C2734" t="s">
        <v>32</v>
      </c>
      <c r="D2734">
        <v>0</v>
      </c>
      <c r="E2734">
        <v>0</v>
      </c>
      <c r="F2734">
        <v>0</v>
      </c>
      <c r="G2734">
        <v>0</v>
      </c>
      <c r="H2734">
        <v>0</v>
      </c>
      <c r="I2734" s="3">
        <v>0</v>
      </c>
      <c r="J2734" s="3">
        <v>0</v>
      </c>
      <c r="K2734" s="3">
        <v>0</v>
      </c>
      <c r="L2734" s="3" t="str">
        <f>IF(K2734&lt;-5,"CRÍTICO",IF(K2734&lt;0,"ATENÇÃO",IF(K2734&lt;=5,"BOM","EXCELENTE")))</f>
        <v>BOM</v>
      </c>
      <c r="M2734">
        <v>16</v>
      </c>
      <c r="N2734">
        <v>96.81</v>
      </c>
      <c r="O2734">
        <v>32.365145228215773</v>
      </c>
    </row>
    <row r="2735" spans="1:15" hidden="1" x14ac:dyDescent="0.25">
      <c r="A2735" s="11">
        <v>46086</v>
      </c>
      <c r="B2735" t="s">
        <v>27</v>
      </c>
      <c r="C2735" t="s">
        <v>26</v>
      </c>
      <c r="D2735">
        <v>6</v>
      </c>
      <c r="E2735">
        <v>6</v>
      </c>
      <c r="F2735">
        <v>32.119999999999997</v>
      </c>
      <c r="G2735">
        <v>0</v>
      </c>
      <c r="H2735">
        <v>0</v>
      </c>
      <c r="I2735" s="3">
        <f>E2735+G2735+H2735</f>
        <v>6</v>
      </c>
      <c r="J2735" s="3">
        <f>ROUND(MIN(IF(C2735="Técnico III",35,IF(C2735="Técnico II",28,IF(C2735="Técnico I",23,IF(C2735="JR",20,IF(C2735="Estágio",10,0))))),IF(C2735="Técnico III",SUMIFS($D:$D,$A:$A,$A2735,$B:$B,"&lt;&gt;Patrícia Karla de Sousa Araújo",$B:$B,"&lt;&gt;Lorena Dias de Araujo",$B:$B,"&lt;&gt;Lucas Luiz Romero")*(35/1083),IF(C2735="Técnico II",SUMIFS($D:$D,$A:$A,$A2735,$B:$B,"&lt;&gt;Patrícia Karla de Sousa Araújo",$B:$B,"&lt;&gt;Lorena Dias de Araujo",$B:$B,"&lt;&gt;Lucas Luiz Romero")*(28/1083),IF(C2735="Técnico I",SUMIFS($D:$D,$A:$A,$A2735,$B:$B,"&lt;&gt;Patrícia Karla de Sousa Araújo",$B:$B,"&lt;&gt;Lorena Dias de Araujo",$B:$B,"&lt;&gt;Lucas Luiz Romero")*(23/1083),IF(C2735="JR",SUMIFS($D:$D,$A:$A,$A2735,$B:$B,"&lt;&gt;Patrícia Karla de Sousa Araújo",$B:$B,"&lt;&gt;Lorena Dias de Araujo",$B:$B,"&lt;&gt;Lucas Luiz Romero")*(20/1083),IF(C2735="Estágio",SUMIFS($D:$D,$A:$A,$A2735,$B:$B,"&lt;&gt;Patrícia Karla de Sousa Araújo",$B:$B,"&lt;&gt;Lorena Dias de Araujo",$B:$B,"&lt;&gt;Lucas Luiz Romero")*(10/1083),0)))))),0)</f>
        <v>16</v>
      </c>
      <c r="K2735" s="3">
        <f>I2735-J2735</f>
        <v>-10</v>
      </c>
      <c r="L2735" s="3" t="str">
        <f>IF(K2735&lt;-5,"CRÍTICO",IF(K2735&lt;0,"ATENÇÃO",IF(K2735&lt;=5,"BOM","EXCELENTE")))</f>
        <v>CRÍTICO</v>
      </c>
      <c r="M2735">
        <v>6</v>
      </c>
      <c r="N2735">
        <v>100</v>
      </c>
      <c r="O2735">
        <v>26.47058823529412</v>
      </c>
    </row>
    <row r="2736" spans="1:15" hidden="1" x14ac:dyDescent="0.25">
      <c r="A2736" s="11">
        <v>46086</v>
      </c>
      <c r="B2736" t="s">
        <v>41</v>
      </c>
      <c r="C2736" t="s">
        <v>32</v>
      </c>
      <c r="D2736">
        <v>0</v>
      </c>
      <c r="E2736">
        <v>0</v>
      </c>
      <c r="F2736">
        <v>0</v>
      </c>
      <c r="G2736">
        <v>0</v>
      </c>
      <c r="H2736">
        <v>0</v>
      </c>
      <c r="I2736" s="3">
        <v>0</v>
      </c>
      <c r="J2736" s="3">
        <v>0</v>
      </c>
      <c r="K2736" s="3">
        <v>0</v>
      </c>
      <c r="L2736" s="3" t="str">
        <f>IF(K2736&lt;-5,"CRÍTICO",IF(K2736&lt;0,"ATENÇÃO",IF(K2736&lt;=5,"BOM","EXCELENTE")))</f>
        <v>BOM</v>
      </c>
      <c r="M2736">
        <v>9</v>
      </c>
      <c r="N2736">
        <v>100</v>
      </c>
      <c r="O2736">
        <v>28.490028490028489</v>
      </c>
    </row>
    <row r="2737" spans="1:15" hidden="1" x14ac:dyDescent="0.25">
      <c r="A2737" s="11">
        <v>46086</v>
      </c>
      <c r="B2737" t="s">
        <v>56</v>
      </c>
      <c r="C2737" t="s">
        <v>48</v>
      </c>
      <c r="D2737">
        <v>30</v>
      </c>
      <c r="E2737">
        <v>26</v>
      </c>
      <c r="F2737">
        <v>18.53</v>
      </c>
      <c r="G2737">
        <v>0</v>
      </c>
      <c r="H2737">
        <v>0</v>
      </c>
      <c r="I2737" s="3">
        <f>E2737+G2737+H2737</f>
        <v>26</v>
      </c>
      <c r="J2737" s="3">
        <f>ROUND(MIN(IF(C2737="Técnico III",35,IF(C2737="Técnico II",28,IF(C2737="Técnico I",23,IF(C2737="JR",20,IF(C2737="Estágio",10,0))))),IF(C2737="Técnico III",SUMIFS($D:$D,$A:$A,$A2737,$B:$B,"&lt;&gt;Patrícia Karla de Sousa Araújo",$B:$B,"&lt;&gt;Lorena Dias de Araujo",$B:$B,"&lt;&gt;Lucas Luiz Romero")*(35/1083),IF(C2737="Técnico II",SUMIFS($D:$D,$A:$A,$A2737,$B:$B,"&lt;&gt;Patrícia Karla de Sousa Araújo",$B:$B,"&lt;&gt;Lorena Dias de Araujo",$B:$B,"&lt;&gt;Lucas Luiz Romero")*(28/1083),IF(C2737="Técnico I",SUMIFS($D:$D,$A:$A,$A2737,$B:$B,"&lt;&gt;Patrícia Karla de Sousa Araújo",$B:$B,"&lt;&gt;Lorena Dias de Araujo",$B:$B,"&lt;&gt;Lucas Luiz Romero")*(23/1083),IF(C2737="JR",SUMIFS($D:$D,$A:$A,$A2737,$B:$B,"&lt;&gt;Patrícia Karla de Sousa Araújo",$B:$B,"&lt;&gt;Lorena Dias de Araujo",$B:$B,"&lt;&gt;Lucas Luiz Romero")*(20/1083),IF(C2737="Estágio",SUMIFS($D:$D,$A:$A,$A2737,$B:$B,"&lt;&gt;Patrícia Karla de Sousa Araújo",$B:$B,"&lt;&gt;Lorena Dias de Araujo",$B:$B,"&lt;&gt;Lucas Luiz Romero")*(10/1083),0)))))),0)</f>
        <v>23</v>
      </c>
      <c r="K2737" s="3">
        <f>I2737-J2737</f>
        <v>3</v>
      </c>
      <c r="L2737" s="3" t="str">
        <f>IF(K2737&lt;-5,"CRÍTICO",IF(K2737&lt;0,"ATENÇÃO",IF(K2737&lt;=5,"BOM","EXCELENTE")))</f>
        <v>BOM</v>
      </c>
      <c r="M2737">
        <v>12</v>
      </c>
      <c r="N2737">
        <v>99.14</v>
      </c>
      <c r="O2737">
        <v>27.2289156626506</v>
      </c>
    </row>
    <row r="2738" spans="1:15" hidden="1" x14ac:dyDescent="0.25">
      <c r="A2738" s="11">
        <v>46086</v>
      </c>
      <c r="B2738" t="s">
        <v>57</v>
      </c>
      <c r="C2738" t="s">
        <v>48</v>
      </c>
      <c r="D2738">
        <v>30</v>
      </c>
      <c r="E2738">
        <v>29</v>
      </c>
      <c r="F2738">
        <v>25.26</v>
      </c>
      <c r="G2738">
        <v>0</v>
      </c>
      <c r="H2738">
        <v>0</v>
      </c>
      <c r="I2738" s="3">
        <v>0</v>
      </c>
      <c r="J2738" s="3">
        <v>0</v>
      </c>
      <c r="K2738" s="3">
        <v>0</v>
      </c>
      <c r="L2738" s="3" t="str">
        <f>IF(K2738&lt;-5,"CRÍTICO",IF(K2738&lt;0,"ATENÇÃO",IF(K2738&lt;=5,"BOM","EXCELENTE")))</f>
        <v>BOM</v>
      </c>
      <c r="M2738">
        <v>26</v>
      </c>
      <c r="N2738">
        <v>97.52</v>
      </c>
      <c r="O2738">
        <v>28.205128205128201</v>
      </c>
    </row>
    <row r="2739" spans="1:15" hidden="1" x14ac:dyDescent="0.25">
      <c r="A2739" s="11">
        <v>46086</v>
      </c>
      <c r="B2739" t="s">
        <v>42</v>
      </c>
      <c r="C2739" t="s">
        <v>32</v>
      </c>
      <c r="D2739">
        <v>39</v>
      </c>
      <c r="E2739">
        <v>29</v>
      </c>
      <c r="F2739">
        <v>16.45</v>
      </c>
      <c r="G2739">
        <v>0</v>
      </c>
      <c r="H2739">
        <v>0</v>
      </c>
      <c r="I2739" s="3">
        <f>E2739+G2739+H2739</f>
        <v>29</v>
      </c>
      <c r="J2739" s="3">
        <f>ROUND(MIN(IF(C2739="Técnico III",35,IF(C2739="Técnico II",28,IF(C2739="Técnico I",23,IF(C2739="JR",20,IF(C2739="Estágio",10,0))))),IF(C2739="Técnico III",SUMIFS($D:$D,$A:$A,$A2739,$B:$B,"&lt;&gt;Patrícia Karla de Sousa Araújo",$B:$B,"&lt;&gt;Lorena Dias de Araujo",$B:$B,"&lt;&gt;Lucas Luiz Romero")*(35/1083),IF(C2739="Técnico II",SUMIFS($D:$D,$A:$A,$A2739,$B:$B,"&lt;&gt;Patrícia Karla de Sousa Araújo",$B:$B,"&lt;&gt;Lorena Dias de Araujo",$B:$B,"&lt;&gt;Lucas Luiz Romero")*(28/1083),IF(C2739="Técnico I",SUMIFS($D:$D,$A:$A,$A2739,$B:$B,"&lt;&gt;Patrícia Karla de Sousa Araújo",$B:$B,"&lt;&gt;Lorena Dias de Araujo",$B:$B,"&lt;&gt;Lucas Luiz Romero")*(23/1083),IF(C2739="JR",SUMIFS($D:$D,$A:$A,$A2739,$B:$B,"&lt;&gt;Patrícia Karla de Sousa Araújo",$B:$B,"&lt;&gt;Lorena Dias de Araujo",$B:$B,"&lt;&gt;Lucas Luiz Romero")*(20/1083),IF(C2739="Estágio",SUMIFS($D:$D,$A:$A,$A2739,$B:$B,"&lt;&gt;Patrícia Karla de Sousa Araújo",$B:$B,"&lt;&gt;Lorena Dias de Araujo",$B:$B,"&lt;&gt;Lucas Luiz Romero")*(10/1083),0)))))),0)</f>
        <v>28</v>
      </c>
      <c r="K2739" s="3">
        <f>I2739-J2739</f>
        <v>1</v>
      </c>
      <c r="L2739" s="3" t="str">
        <f>IF(K2739&lt;-5,"CRÍTICO",IF(K2739&lt;0,"ATENÇÃO",IF(K2739&lt;=5,"BOM","EXCELENTE")))</f>
        <v>BOM</v>
      </c>
      <c r="M2739">
        <v>18</v>
      </c>
      <c r="N2739">
        <v>90</v>
      </c>
      <c r="O2739">
        <v>24.186046511627911</v>
      </c>
    </row>
    <row r="2740" spans="1:15" hidden="1" x14ac:dyDescent="0.25">
      <c r="A2740" s="11">
        <v>46086</v>
      </c>
      <c r="B2740" t="s">
        <v>62</v>
      </c>
      <c r="C2740" t="s">
        <v>23</v>
      </c>
      <c r="D2740">
        <v>28</v>
      </c>
      <c r="E2740">
        <v>25</v>
      </c>
      <c r="F2740">
        <v>19</v>
      </c>
      <c r="G2740">
        <v>0</v>
      </c>
      <c r="H2740">
        <v>0</v>
      </c>
      <c r="I2740" s="3">
        <f>E2740+G2740+H2740</f>
        <v>25</v>
      </c>
      <c r="J2740" s="3">
        <f>ROUND(MIN(IF(C2740="Técnico III",35,IF(C2740="Técnico II",28,IF(C2740="Técnico I",23,IF(C2740="JR",20,IF(C2740="Estágio",10,0))))),IF(C2740="Técnico III",SUMIFS($D:$D,$A:$A,$A2740,$B:$B,"&lt;&gt;Patrícia Karla de Sousa Araújo",$B:$B,"&lt;&gt;Lorena Dias de Araujo",$B:$B,"&lt;&gt;Lucas Luiz Romero")*(35/1083),IF(C2740="Técnico II",SUMIFS($D:$D,$A:$A,$A2740,$B:$B,"&lt;&gt;Patrícia Karla de Sousa Araújo",$B:$B,"&lt;&gt;Lorena Dias de Araujo",$B:$B,"&lt;&gt;Lucas Luiz Romero")*(28/1083),IF(C2740="Técnico I",SUMIFS($D:$D,$A:$A,$A2740,$B:$B,"&lt;&gt;Patrícia Karla de Sousa Araújo",$B:$B,"&lt;&gt;Lorena Dias de Araujo",$B:$B,"&lt;&gt;Lucas Luiz Romero")*(23/1083),IF(C2740="JR",SUMIFS($D:$D,$A:$A,$A2740,$B:$B,"&lt;&gt;Patrícia Karla de Sousa Araújo",$B:$B,"&lt;&gt;Lorena Dias de Araujo",$B:$B,"&lt;&gt;Lucas Luiz Romero")*(20/1083),IF(C2740="Estágio",SUMIFS($D:$D,$A:$A,$A2740,$B:$B,"&lt;&gt;Patrícia Karla de Sousa Araújo",$B:$B,"&lt;&gt;Lorena Dias de Araujo",$B:$B,"&lt;&gt;Lucas Luiz Romero")*(10/1083),0)))))),0)</f>
        <v>19</v>
      </c>
      <c r="K2740" s="3">
        <f>I2740-J2740</f>
        <v>6</v>
      </c>
      <c r="L2740" s="3" t="str">
        <f>IF(K2740&lt;-5,"CRÍTICO",IF(K2740&lt;0,"ATENÇÃO",IF(K2740&lt;=5,"BOM","EXCELENTE")))</f>
        <v>EXCELENTE</v>
      </c>
      <c r="M2740">
        <v>22</v>
      </c>
      <c r="N2740">
        <v>98.9</v>
      </c>
      <c r="O2740">
        <v>26.763990267639901</v>
      </c>
    </row>
    <row r="2741" spans="1:15" hidden="1" x14ac:dyDescent="0.25">
      <c r="A2741" s="11">
        <v>46086</v>
      </c>
      <c r="B2741" t="s">
        <v>19</v>
      </c>
      <c r="C2741" t="s">
        <v>16</v>
      </c>
      <c r="D2741">
        <v>60</v>
      </c>
      <c r="E2741">
        <v>31</v>
      </c>
      <c r="F2741">
        <v>3.5</v>
      </c>
      <c r="G2741">
        <v>0</v>
      </c>
      <c r="H2741">
        <v>0</v>
      </c>
      <c r="I2741" s="3">
        <f>E2741+G2741+H2741</f>
        <v>31</v>
      </c>
      <c r="J2741" s="3">
        <f>ROUND(MIN(IF(C2741="Técnico III",35,IF(C2741="Técnico II",28,IF(C2741="Técnico I",23,IF(C2741="JR",20,IF(C2741="Estágio",10,0))))),IF(C2741="Técnico III",SUMIFS($D:$D,$A:$A,$A2741,$B:$B,"&lt;&gt;Patrícia Karla de Sousa Araújo",$B:$B,"&lt;&gt;Lorena Dias de Araujo",$B:$B,"&lt;&gt;Lucas Luiz Romero")*(35/1083),IF(C2741="Técnico II",SUMIFS($D:$D,$A:$A,$A2741,$B:$B,"&lt;&gt;Patrícia Karla de Sousa Araújo",$B:$B,"&lt;&gt;Lorena Dias de Araujo",$B:$B,"&lt;&gt;Lucas Luiz Romero")*(28/1083),IF(C2741="Técnico I",SUMIFS($D:$D,$A:$A,$A2741,$B:$B,"&lt;&gt;Patrícia Karla de Sousa Araújo",$B:$B,"&lt;&gt;Lorena Dias de Araujo",$B:$B,"&lt;&gt;Lucas Luiz Romero")*(23/1083),IF(C2741="JR",SUMIFS($D:$D,$A:$A,$A2741,$B:$B,"&lt;&gt;Patrícia Karla de Sousa Araújo",$B:$B,"&lt;&gt;Lorena Dias de Araujo",$B:$B,"&lt;&gt;Lucas Luiz Romero")*(20/1083),IF(C2741="Estágio",SUMIFS($D:$D,$A:$A,$A2741,$B:$B,"&lt;&gt;Patrícia Karla de Sousa Araújo",$B:$B,"&lt;&gt;Lorena Dias de Araujo",$B:$B,"&lt;&gt;Lucas Luiz Romero")*(10/1083),0)))))),0)</f>
        <v>8</v>
      </c>
      <c r="K2741" s="3">
        <f>I2741-J2741</f>
        <v>23</v>
      </c>
      <c r="L2741" s="3" t="str">
        <f>IF(K2741&lt;-5,"CRÍTICO",IF(K2741&lt;0,"ATENÇÃO",IF(K2741&lt;=5,"BOM","EXCELENTE")))</f>
        <v>EXCELENTE</v>
      </c>
      <c r="M2741">
        <v>1</v>
      </c>
      <c r="N2741">
        <v>88.89</v>
      </c>
      <c r="O2741">
        <v>25.263157894736839</v>
      </c>
    </row>
    <row r="2742" spans="1:15" hidden="1" x14ac:dyDescent="0.25">
      <c r="A2742" s="11">
        <v>46086</v>
      </c>
      <c r="B2742" t="s">
        <v>43</v>
      </c>
      <c r="C2742" t="s">
        <v>32</v>
      </c>
      <c r="D2742">
        <v>7</v>
      </c>
      <c r="E2742">
        <v>7</v>
      </c>
      <c r="F2742">
        <v>10.57</v>
      </c>
      <c r="G2742">
        <v>0</v>
      </c>
      <c r="H2742">
        <v>0</v>
      </c>
      <c r="I2742" s="3">
        <f>E2742+G2742+H2742</f>
        <v>7</v>
      </c>
      <c r="J2742" s="3">
        <f>ROUND(MIN(IF(C2742="Técnico III",35,IF(C2742="Técnico II",28,IF(C2742="Técnico I",23,IF(C2742="JR",20,IF(C2742="Estágio",10,0))))),IF(C2742="Técnico III",SUMIFS($D:$D,$A:$A,$A2742,$B:$B,"&lt;&gt;Patrícia Karla de Sousa Araújo",$B:$B,"&lt;&gt;Lorena Dias de Araujo",$B:$B,"&lt;&gt;Lucas Luiz Romero")*(35/1083),IF(C2742="Técnico II",SUMIFS($D:$D,$A:$A,$A2742,$B:$B,"&lt;&gt;Patrícia Karla de Sousa Araújo",$B:$B,"&lt;&gt;Lorena Dias de Araujo",$B:$B,"&lt;&gt;Lucas Luiz Romero")*(28/1083),IF(C2742="Técnico I",SUMIFS($D:$D,$A:$A,$A2742,$B:$B,"&lt;&gt;Patrícia Karla de Sousa Araújo",$B:$B,"&lt;&gt;Lorena Dias de Araujo",$B:$B,"&lt;&gt;Lucas Luiz Romero")*(23/1083),IF(C2742="JR",SUMIFS($D:$D,$A:$A,$A2742,$B:$B,"&lt;&gt;Patrícia Karla de Sousa Araújo",$B:$B,"&lt;&gt;Lorena Dias de Araujo",$B:$B,"&lt;&gt;Lucas Luiz Romero")*(20/1083),IF(C2742="Estágio",SUMIFS($D:$D,$A:$A,$A2742,$B:$B,"&lt;&gt;Patrícia Karla de Sousa Araújo",$B:$B,"&lt;&gt;Lorena Dias de Araujo",$B:$B,"&lt;&gt;Lucas Luiz Romero")*(10/1083),0)))))),0)</f>
        <v>28</v>
      </c>
      <c r="K2742" s="3">
        <f>I2742-J2742</f>
        <v>-21</v>
      </c>
      <c r="L2742" s="3" t="str">
        <f>IF(K2742&lt;-5,"CRÍTICO",IF(K2742&lt;0,"ATENÇÃO",IF(K2742&lt;=5,"BOM","EXCELENTE")))</f>
        <v>CRÍTICO</v>
      </c>
      <c r="M2742">
        <v>52</v>
      </c>
      <c r="N2742">
        <v>98.86</v>
      </c>
      <c r="O2742">
        <v>28.959276018099551</v>
      </c>
    </row>
    <row r="2743" spans="1:15" hidden="1" x14ac:dyDescent="0.25">
      <c r="A2743" s="11">
        <v>46086</v>
      </c>
      <c r="B2743" t="s">
        <v>44</v>
      </c>
      <c r="C2743" t="s">
        <v>32</v>
      </c>
      <c r="D2743">
        <v>31</v>
      </c>
      <c r="E2743">
        <v>29</v>
      </c>
      <c r="F2743">
        <v>21.55</v>
      </c>
      <c r="G2743">
        <v>0</v>
      </c>
      <c r="H2743">
        <v>0</v>
      </c>
      <c r="I2743" s="3">
        <f>E2743+G2743+H2743</f>
        <v>29</v>
      </c>
      <c r="J2743" s="3">
        <f>ROUND(MIN(IF(C2743="Técnico III",35,IF(C2743="Técnico II",28,IF(C2743="Técnico I",23,IF(C2743="JR",20,IF(C2743="Estágio",10,0))))),IF(C2743="Técnico III",SUMIFS($D:$D,$A:$A,$A2743,$B:$B,"&lt;&gt;Patrícia Karla de Sousa Araújo",$B:$B,"&lt;&gt;Lorena Dias de Araujo",$B:$B,"&lt;&gt;Lucas Luiz Romero")*(35/1083),IF(C2743="Técnico II",SUMIFS($D:$D,$A:$A,$A2743,$B:$B,"&lt;&gt;Patrícia Karla de Sousa Araújo",$B:$B,"&lt;&gt;Lorena Dias de Araujo",$B:$B,"&lt;&gt;Lucas Luiz Romero")*(28/1083),IF(C2743="Técnico I",SUMIFS($D:$D,$A:$A,$A2743,$B:$B,"&lt;&gt;Patrícia Karla de Sousa Araújo",$B:$B,"&lt;&gt;Lorena Dias de Araujo",$B:$B,"&lt;&gt;Lucas Luiz Romero")*(23/1083),IF(C2743="JR",SUMIFS($D:$D,$A:$A,$A2743,$B:$B,"&lt;&gt;Patrícia Karla de Sousa Araújo",$B:$B,"&lt;&gt;Lorena Dias de Araujo",$B:$B,"&lt;&gt;Lucas Luiz Romero")*(20/1083),IF(C2743="Estágio",SUMIFS($D:$D,$A:$A,$A2743,$B:$B,"&lt;&gt;Patrícia Karla de Sousa Araújo",$B:$B,"&lt;&gt;Lorena Dias de Araujo",$B:$B,"&lt;&gt;Lucas Luiz Romero")*(10/1083),0)))))),0)</f>
        <v>28</v>
      </c>
      <c r="K2743" s="3">
        <f>I2743-J2743</f>
        <v>1</v>
      </c>
      <c r="L2743" s="3" t="str">
        <f>IF(K2743&lt;-5,"CRÍTICO",IF(K2743&lt;0,"ATENÇÃO",IF(K2743&lt;=5,"BOM","EXCELENTE")))</f>
        <v>BOM</v>
      </c>
      <c r="M2743">
        <v>30</v>
      </c>
      <c r="N2743">
        <v>98.06</v>
      </c>
      <c r="O2743">
        <v>22.40566037735849</v>
      </c>
    </row>
    <row r="2744" spans="1:15" hidden="1" x14ac:dyDescent="0.25">
      <c r="A2744" s="11">
        <v>46086</v>
      </c>
      <c r="B2744" t="s">
        <v>20</v>
      </c>
      <c r="C2744" t="s">
        <v>16</v>
      </c>
      <c r="D2744">
        <v>15</v>
      </c>
      <c r="E2744">
        <v>14</v>
      </c>
      <c r="F2744">
        <v>33.549999999999997</v>
      </c>
      <c r="G2744">
        <v>0</v>
      </c>
      <c r="H2744">
        <v>0</v>
      </c>
      <c r="I2744" s="3">
        <f>E2744+G2744+H2744</f>
        <v>14</v>
      </c>
      <c r="J2744" s="3">
        <f>ROUND(MIN(IF(C2744="Técnico III",35,IF(C2744="Técnico II",28,IF(C2744="Técnico I",23,IF(C2744="JR",20,IF(C2744="Estágio",10,0))))),IF(C2744="Técnico III",SUMIFS($D:$D,$A:$A,$A2744,$B:$B,"&lt;&gt;Patrícia Karla de Sousa Araújo",$B:$B,"&lt;&gt;Lorena Dias de Araujo",$B:$B,"&lt;&gt;Lucas Luiz Romero")*(35/1083),IF(C2744="Técnico II",SUMIFS($D:$D,$A:$A,$A2744,$B:$B,"&lt;&gt;Patrícia Karla de Sousa Araújo",$B:$B,"&lt;&gt;Lorena Dias de Araujo",$B:$B,"&lt;&gt;Lucas Luiz Romero")*(28/1083),IF(C2744="Técnico I",SUMIFS($D:$D,$A:$A,$A2744,$B:$B,"&lt;&gt;Patrícia Karla de Sousa Araújo",$B:$B,"&lt;&gt;Lorena Dias de Araujo",$B:$B,"&lt;&gt;Lucas Luiz Romero")*(23/1083),IF(C2744="JR",SUMIFS($D:$D,$A:$A,$A2744,$B:$B,"&lt;&gt;Patrícia Karla de Sousa Araújo",$B:$B,"&lt;&gt;Lorena Dias de Araujo",$B:$B,"&lt;&gt;Lucas Luiz Romero")*(20/1083),IF(C2744="Estágio",SUMIFS($D:$D,$A:$A,$A2744,$B:$B,"&lt;&gt;Patrícia Karla de Sousa Araújo",$B:$B,"&lt;&gt;Lorena Dias de Araujo",$B:$B,"&lt;&gt;Lucas Luiz Romero")*(10/1083),0)))))),0)</f>
        <v>8</v>
      </c>
      <c r="K2744" s="3">
        <f>I2744-J2744</f>
        <v>6</v>
      </c>
      <c r="L2744" s="3" t="str">
        <f>IF(K2744&lt;-5,"CRÍTICO",IF(K2744&lt;0,"ATENÇÃO",IF(K2744&lt;=5,"BOM","EXCELENTE")))</f>
        <v>EXCELENTE</v>
      </c>
      <c r="M2744">
        <v>12</v>
      </c>
      <c r="N2744">
        <v>95.83</v>
      </c>
      <c r="O2744">
        <v>25.773195876288661</v>
      </c>
    </row>
    <row r="2745" spans="1:15" hidden="1" x14ac:dyDescent="0.25">
      <c r="A2745" s="11">
        <v>46086</v>
      </c>
      <c r="B2745" t="s">
        <v>28</v>
      </c>
      <c r="C2745" t="s">
        <v>26</v>
      </c>
      <c r="D2745">
        <v>0</v>
      </c>
      <c r="E2745">
        <v>0</v>
      </c>
      <c r="F2745">
        <v>0</v>
      </c>
      <c r="G2745">
        <v>0</v>
      </c>
      <c r="H2745">
        <v>0</v>
      </c>
      <c r="I2745" s="3">
        <v>0</v>
      </c>
      <c r="J2745" s="3">
        <v>0</v>
      </c>
      <c r="K2745" s="3">
        <v>0</v>
      </c>
      <c r="L2745" s="3" t="str">
        <f>IF(K2745&lt;-5,"CRÍTICO",IF(K2745&lt;0,"ATENÇÃO",IF(K2745&lt;=5,"BOM","EXCELENTE")))</f>
        <v>BOM</v>
      </c>
      <c r="M2745">
        <v>0</v>
      </c>
      <c r="N2745">
        <v>100</v>
      </c>
      <c r="O2745">
        <v>15.38461538461539</v>
      </c>
    </row>
    <row r="2746" spans="1:15" hidden="1" x14ac:dyDescent="0.25">
      <c r="A2746" s="11">
        <v>46086</v>
      </c>
      <c r="B2746" t="s">
        <v>58</v>
      </c>
      <c r="C2746" t="s">
        <v>48</v>
      </c>
      <c r="D2746">
        <v>26</v>
      </c>
      <c r="E2746">
        <v>25</v>
      </c>
      <c r="F2746">
        <v>30.55</v>
      </c>
      <c r="G2746">
        <v>0</v>
      </c>
      <c r="H2746">
        <v>0</v>
      </c>
      <c r="I2746" s="3">
        <f>E2746+G2746+H2746</f>
        <v>25</v>
      </c>
      <c r="J2746" s="3">
        <f>ROUND(MIN(IF(C2746="Técnico III",35,IF(C2746="Técnico II",28,IF(C2746="Técnico I",23,IF(C2746="JR",20,IF(C2746="Estágio",10,0))))),IF(C2746="Técnico III",SUMIFS($D:$D,$A:$A,$A2746,$B:$B,"&lt;&gt;Patrícia Karla de Sousa Araújo",$B:$B,"&lt;&gt;Lorena Dias de Araujo",$B:$B,"&lt;&gt;Lucas Luiz Romero")*(35/1083),IF(C2746="Técnico II",SUMIFS($D:$D,$A:$A,$A2746,$B:$B,"&lt;&gt;Patrícia Karla de Sousa Araújo",$B:$B,"&lt;&gt;Lorena Dias de Araujo",$B:$B,"&lt;&gt;Lucas Luiz Romero")*(28/1083),IF(C2746="Técnico I",SUMIFS($D:$D,$A:$A,$A2746,$B:$B,"&lt;&gt;Patrícia Karla de Sousa Araújo",$B:$B,"&lt;&gt;Lorena Dias de Araujo",$B:$B,"&lt;&gt;Lucas Luiz Romero")*(23/1083),IF(C2746="JR",SUMIFS($D:$D,$A:$A,$A2746,$B:$B,"&lt;&gt;Patrícia Karla de Sousa Araújo",$B:$B,"&lt;&gt;Lorena Dias de Araujo",$B:$B,"&lt;&gt;Lucas Luiz Romero")*(20/1083),IF(C2746="Estágio",SUMIFS($D:$D,$A:$A,$A2746,$B:$B,"&lt;&gt;Patrícia Karla de Sousa Araújo",$B:$B,"&lt;&gt;Lorena Dias de Araujo",$B:$B,"&lt;&gt;Lucas Luiz Romero")*(10/1083),0)))))),0)</f>
        <v>23</v>
      </c>
      <c r="K2746" s="3">
        <f>I2746-J2746</f>
        <v>2</v>
      </c>
      <c r="L2746" s="3" t="str">
        <f>IF(K2746&lt;-5,"CRÍTICO",IF(K2746&lt;0,"ATENÇÃO",IF(K2746&lt;=5,"OPORTUNO","MUITO BOM")))</f>
        <v>OPORTUNO</v>
      </c>
      <c r="M2746">
        <v>23</v>
      </c>
      <c r="N2746">
        <v>100</v>
      </c>
      <c r="O2746">
        <v>27.514792899408281</v>
      </c>
    </row>
    <row r="2747" spans="1:15" hidden="1" x14ac:dyDescent="0.25">
      <c r="A2747" s="11">
        <v>46086</v>
      </c>
      <c r="B2747" t="s">
        <v>29</v>
      </c>
      <c r="C2747" t="s">
        <v>26</v>
      </c>
      <c r="D2747">
        <v>6</v>
      </c>
      <c r="E2747">
        <v>6</v>
      </c>
      <c r="F2747">
        <v>25</v>
      </c>
      <c r="G2747">
        <v>0</v>
      </c>
      <c r="H2747">
        <v>0</v>
      </c>
      <c r="I2747" s="3">
        <f>E2747+G2747+H2747</f>
        <v>6</v>
      </c>
      <c r="J2747" s="3">
        <f>ROUND(MIN(IF(C2747="Técnico III",35,IF(C2747="Técnico II",28,IF(C2747="Técnico I",23,IF(C2747="JR",20,IF(C2747="Estágio",10,0))))),IF(C2747="Técnico III",SUMIFS($D:$D,$A:$A,$A2747,$B:$B,"&lt;&gt;Patrícia Karla de Sousa Araújo",$B:$B,"&lt;&gt;Lorena Dias de Araujo",$B:$B,"&lt;&gt;Lucas Luiz Romero")*(35/1083),IF(C2747="Técnico II",SUMIFS($D:$D,$A:$A,$A2747,$B:$B,"&lt;&gt;Patrícia Karla de Sousa Araújo",$B:$B,"&lt;&gt;Lorena Dias de Araujo",$B:$B,"&lt;&gt;Lucas Luiz Romero")*(28/1083),IF(C2747="Técnico I",SUMIFS($D:$D,$A:$A,$A2747,$B:$B,"&lt;&gt;Patrícia Karla de Sousa Araújo",$B:$B,"&lt;&gt;Lorena Dias de Araujo",$B:$B,"&lt;&gt;Lucas Luiz Romero")*(23/1083),IF(C2747="JR",SUMIFS($D:$D,$A:$A,$A2747,$B:$B,"&lt;&gt;Patrícia Karla de Sousa Araújo",$B:$B,"&lt;&gt;Lorena Dias de Araujo",$B:$B,"&lt;&gt;Lucas Luiz Romero")*(20/1083),IF(C2747="Estágio",SUMIFS($D:$D,$A:$A,$A2747,$B:$B,"&lt;&gt;Patrícia Karla de Sousa Araújo",$B:$B,"&lt;&gt;Lorena Dias de Araujo",$B:$B,"&lt;&gt;Lucas Luiz Romero")*(10/1083),0)))))),0)</f>
        <v>16</v>
      </c>
      <c r="K2747" s="3">
        <f>I2747-J2747</f>
        <v>-10</v>
      </c>
      <c r="L2747" s="3" t="str">
        <f>IF(K2747&lt;-5,"CRÍTICO",IF(K2747&lt;0,"ATENÇÃO",IF(K2747&lt;=5,"OPORTUNO","MUITO BOM")))</f>
        <v>CRÍTICO</v>
      </c>
      <c r="M2747">
        <v>6</v>
      </c>
      <c r="N2747">
        <v>100</v>
      </c>
      <c r="O2747">
        <v>24.875621890547269</v>
      </c>
    </row>
    <row r="2748" spans="1:15" hidden="1" x14ac:dyDescent="0.25">
      <c r="A2748" s="11">
        <v>46086</v>
      </c>
      <c r="B2748" t="s">
        <v>30</v>
      </c>
      <c r="C2748" t="s">
        <v>26</v>
      </c>
      <c r="D2748">
        <v>5</v>
      </c>
      <c r="E2748">
        <v>5</v>
      </c>
      <c r="F2748">
        <v>41.48</v>
      </c>
      <c r="G2748">
        <v>0</v>
      </c>
      <c r="H2748">
        <v>0</v>
      </c>
      <c r="I2748" s="3">
        <f>E2748+G2748+H2748</f>
        <v>5</v>
      </c>
      <c r="J2748" s="3">
        <f>ROUND(MIN(IF(C2748="Técnico III",35,IF(C2748="Técnico II",28,IF(C2748="Técnico I",23,IF(C2748="JR",20,IF(C2748="Estágio",10,0))))),IF(C2748="Técnico III",SUMIFS($D:$D,$A:$A,$A2748,$B:$B,"&lt;&gt;Patrícia Karla de Sousa Araújo",$B:$B,"&lt;&gt;Lorena Dias de Araujo",$B:$B,"&lt;&gt;Lucas Luiz Romero")*(35/1083),IF(C2748="Técnico II",SUMIFS($D:$D,$A:$A,$A2748,$B:$B,"&lt;&gt;Patrícia Karla de Sousa Araújo",$B:$B,"&lt;&gt;Lorena Dias de Araujo",$B:$B,"&lt;&gt;Lucas Luiz Romero")*(28/1083),IF(C2748="Técnico I",SUMIFS($D:$D,$A:$A,$A2748,$B:$B,"&lt;&gt;Patrícia Karla de Sousa Araújo",$B:$B,"&lt;&gt;Lorena Dias de Araujo",$B:$B,"&lt;&gt;Lucas Luiz Romero")*(23/1083),IF(C2748="JR",SUMIFS($D:$D,$A:$A,$A2748,$B:$B,"&lt;&gt;Patrícia Karla de Sousa Araújo",$B:$B,"&lt;&gt;Lorena Dias de Araujo",$B:$B,"&lt;&gt;Lucas Luiz Romero")*(20/1083),IF(C2748="Estágio",SUMIFS($D:$D,$A:$A,$A2748,$B:$B,"&lt;&gt;Patrícia Karla de Sousa Araújo",$B:$B,"&lt;&gt;Lorena Dias de Araujo",$B:$B,"&lt;&gt;Lucas Luiz Romero")*(10/1083),0)))))),0)</f>
        <v>16</v>
      </c>
      <c r="K2748" s="3">
        <f>I2748-J2748</f>
        <v>-11</v>
      </c>
      <c r="L2748" s="3" t="str">
        <f>IF(K2748&lt;-5,"CRÍTICO",IF(K2748&lt;0,"ATENÇÃO",IF(K2748&lt;=5,"OPORTUNO","MUITO BOM")))</f>
        <v>CRÍTICO</v>
      </c>
      <c r="M2748">
        <v>4</v>
      </c>
      <c r="N2748">
        <v>100</v>
      </c>
      <c r="O2748">
        <v>28.108108108108109</v>
      </c>
    </row>
    <row r="2749" spans="1:15" hidden="1" x14ac:dyDescent="0.25">
      <c r="A2749" s="11">
        <v>46086</v>
      </c>
      <c r="B2749" t="s">
        <v>21</v>
      </c>
      <c r="C2749" t="s">
        <v>16</v>
      </c>
      <c r="D2749">
        <v>0</v>
      </c>
      <c r="E2749">
        <v>0</v>
      </c>
      <c r="F2749">
        <v>0</v>
      </c>
      <c r="G2749">
        <v>0</v>
      </c>
      <c r="H2749">
        <v>0</v>
      </c>
      <c r="I2749" s="3">
        <v>0</v>
      </c>
      <c r="J2749" s="3">
        <v>0</v>
      </c>
      <c r="K2749" s="3">
        <v>0</v>
      </c>
      <c r="L2749" s="3" t="str">
        <f>IF(K2749&lt;-5,"CRÍTICO",IF(K2749&lt;0,"ATENÇÃO",IF(K2749&lt;=5,"OPORTUNO","MUITO BOM")))</f>
        <v>OPORTUNO</v>
      </c>
      <c r="M2749">
        <v>0</v>
      </c>
      <c r="N2749">
        <v>100</v>
      </c>
      <c r="O2749">
        <v>35</v>
      </c>
    </row>
    <row r="2750" spans="1:15" hidden="1" x14ac:dyDescent="0.25">
      <c r="A2750" s="11">
        <v>46086</v>
      </c>
      <c r="B2750" t="s">
        <v>63</v>
      </c>
      <c r="C2750" t="s">
        <v>23</v>
      </c>
      <c r="D2750">
        <v>24</v>
      </c>
      <c r="E2750">
        <v>23</v>
      </c>
      <c r="F2750">
        <v>25.34</v>
      </c>
      <c r="G2750">
        <v>0</v>
      </c>
      <c r="H2750">
        <v>0</v>
      </c>
      <c r="I2750" s="3">
        <f>E2750+G2750+H2750</f>
        <v>23</v>
      </c>
      <c r="J2750" s="3">
        <f>ROUND(MIN(IF(C2750="Técnico III",35,IF(C2750="Técnico II",28,IF(C2750="Técnico I",23,IF(C2750="JR",20,IF(C2750="Estágio",10,0))))),IF(C2750="Técnico III",SUMIFS($D:$D,$A:$A,$A2750,$B:$B,"&lt;&gt;Patrícia Karla de Sousa Araújo",$B:$B,"&lt;&gt;Lorena Dias de Araujo",$B:$B,"&lt;&gt;Lucas Luiz Romero")*(35/1083),IF(C2750="Técnico II",SUMIFS($D:$D,$A:$A,$A2750,$B:$B,"&lt;&gt;Patrícia Karla de Sousa Araújo",$B:$B,"&lt;&gt;Lorena Dias de Araujo",$B:$B,"&lt;&gt;Lucas Luiz Romero")*(28/1083),IF(C2750="Técnico I",SUMIFS($D:$D,$A:$A,$A2750,$B:$B,"&lt;&gt;Patrícia Karla de Sousa Araújo",$B:$B,"&lt;&gt;Lorena Dias de Araujo",$B:$B,"&lt;&gt;Lucas Luiz Romero")*(23/1083),IF(C2750="JR",SUMIFS($D:$D,$A:$A,$A2750,$B:$B,"&lt;&gt;Patrícia Karla de Sousa Araújo",$B:$B,"&lt;&gt;Lorena Dias de Araujo",$B:$B,"&lt;&gt;Lucas Luiz Romero")*(20/1083),IF(C2750="Estágio",SUMIFS($D:$D,$A:$A,$A2750,$B:$B,"&lt;&gt;Patrícia Karla de Sousa Araújo",$B:$B,"&lt;&gt;Lorena Dias de Araujo",$B:$B,"&lt;&gt;Lucas Luiz Romero")*(10/1083),0)))))),0)</f>
        <v>19</v>
      </c>
      <c r="K2750" s="3">
        <f>I2750-J2750</f>
        <v>4</v>
      </c>
      <c r="L2750" s="3" t="str">
        <f>IF(K2750&lt;-5,"CRÍTICO",IF(K2750&lt;0,"ATENÇÃO",IF(K2750&lt;=5,"OPORTUNO","MUITO BOM")))</f>
        <v>OPORTUNO</v>
      </c>
      <c r="M2750">
        <v>20</v>
      </c>
      <c r="N2750">
        <v>95.35</v>
      </c>
      <c r="O2750">
        <v>28.61538461538461</v>
      </c>
    </row>
    <row r="2751" spans="1:15" hidden="1" x14ac:dyDescent="0.25">
      <c r="A2751" s="11">
        <v>46086</v>
      </c>
      <c r="B2751" t="s">
        <v>45</v>
      </c>
      <c r="C2751" t="s">
        <v>32</v>
      </c>
      <c r="D2751">
        <v>38</v>
      </c>
      <c r="E2751">
        <v>36</v>
      </c>
      <c r="F2751">
        <v>13.55</v>
      </c>
      <c r="G2751">
        <v>0</v>
      </c>
      <c r="H2751">
        <v>0</v>
      </c>
      <c r="I2751" s="3">
        <f>E2751+G2751+H2751</f>
        <v>36</v>
      </c>
      <c r="J2751" s="3">
        <f>ROUND(MIN(IF(C2751="Técnico III",35,IF(C2751="Técnico II",28,IF(C2751="Técnico I",23,IF(C2751="JR",20,IF(C2751="Estágio",10,0))))),IF(C2751="Técnico III",SUMIFS($D:$D,$A:$A,$A2751,$B:$B,"&lt;&gt;Patrícia Karla de Sousa Araújo",$B:$B,"&lt;&gt;Lorena Dias de Araujo",$B:$B,"&lt;&gt;Lucas Luiz Romero")*(35/1083),IF(C2751="Técnico II",SUMIFS($D:$D,$A:$A,$A2751,$B:$B,"&lt;&gt;Patrícia Karla de Sousa Araújo",$B:$B,"&lt;&gt;Lorena Dias de Araujo",$B:$B,"&lt;&gt;Lucas Luiz Romero")*(28/1083),IF(C2751="Técnico I",SUMIFS($D:$D,$A:$A,$A2751,$B:$B,"&lt;&gt;Patrícia Karla de Sousa Araújo",$B:$B,"&lt;&gt;Lorena Dias de Araujo",$B:$B,"&lt;&gt;Lucas Luiz Romero")*(23/1083),IF(C2751="JR",SUMIFS($D:$D,$A:$A,$A2751,$B:$B,"&lt;&gt;Patrícia Karla de Sousa Araújo",$B:$B,"&lt;&gt;Lorena Dias de Araujo",$B:$B,"&lt;&gt;Lucas Luiz Romero")*(20/1083),IF(C2751="Estágio",SUMIFS($D:$D,$A:$A,$A2751,$B:$B,"&lt;&gt;Patrícia Karla de Sousa Araújo",$B:$B,"&lt;&gt;Lorena Dias de Araujo",$B:$B,"&lt;&gt;Lucas Luiz Romero")*(10/1083),0)))))),0)</f>
        <v>28</v>
      </c>
      <c r="K2751" s="3">
        <f>I2751-J2751</f>
        <v>8</v>
      </c>
      <c r="L2751" s="3" t="str">
        <f>IF(K2751&lt;-5,"CRÍTICO",IF(K2751&lt;0,"ATENÇÃO",IF(K2751&lt;=5,"OPORTUNO","MUITO BOM")))</f>
        <v>MUITO BOM</v>
      </c>
      <c r="M2751">
        <v>32</v>
      </c>
      <c r="N2751">
        <v>98.26</v>
      </c>
      <c r="O2751">
        <v>27.54491017964072</v>
      </c>
    </row>
    <row r="2752" spans="1:15" hidden="1" x14ac:dyDescent="0.25">
      <c r="A2752" s="11">
        <v>46086</v>
      </c>
      <c r="B2752" t="s">
        <v>64</v>
      </c>
      <c r="C2752" t="s">
        <v>23</v>
      </c>
      <c r="D2752">
        <v>22</v>
      </c>
      <c r="E2752">
        <v>21</v>
      </c>
      <c r="F2752">
        <v>29.05</v>
      </c>
      <c r="G2752">
        <v>0</v>
      </c>
      <c r="H2752">
        <v>0</v>
      </c>
      <c r="I2752" s="3">
        <f>E2752+G2752+H2752</f>
        <v>21</v>
      </c>
      <c r="J2752" s="3">
        <f>ROUND(MIN(IF(C2752="Técnico III",35,IF(C2752="Técnico II",28,IF(C2752="Técnico I",23,IF(C2752="JR",20,IF(C2752="Estágio",10,0))))),IF(C2752="Técnico III",SUMIFS($D:$D,$A:$A,$A2752,$B:$B,"&lt;&gt;Patrícia Karla de Sousa Araújo",$B:$B,"&lt;&gt;Lorena Dias de Araujo",$B:$B,"&lt;&gt;Lucas Luiz Romero")*(35/1083),IF(C2752="Técnico II",SUMIFS($D:$D,$A:$A,$A2752,$B:$B,"&lt;&gt;Patrícia Karla de Sousa Araújo",$B:$B,"&lt;&gt;Lorena Dias de Araujo",$B:$B,"&lt;&gt;Lucas Luiz Romero")*(28/1083),IF(C2752="Técnico I",SUMIFS($D:$D,$A:$A,$A2752,$B:$B,"&lt;&gt;Patrícia Karla de Sousa Araújo",$B:$B,"&lt;&gt;Lorena Dias de Araujo",$B:$B,"&lt;&gt;Lucas Luiz Romero")*(23/1083),IF(C2752="JR",SUMIFS($D:$D,$A:$A,$A2752,$B:$B,"&lt;&gt;Patrícia Karla de Sousa Araújo",$B:$B,"&lt;&gt;Lorena Dias de Araujo",$B:$B,"&lt;&gt;Lucas Luiz Romero")*(20/1083),IF(C2752="Estágio",SUMIFS($D:$D,$A:$A,$A2752,$B:$B,"&lt;&gt;Patrícia Karla de Sousa Araújo",$B:$B,"&lt;&gt;Lorena Dias de Araujo",$B:$B,"&lt;&gt;Lucas Luiz Romero")*(10/1083),0)))))),0)</f>
        <v>19</v>
      </c>
      <c r="K2752" s="3">
        <f>I2752-J2752</f>
        <v>2</v>
      </c>
      <c r="L2752" s="3" t="str">
        <f>IF(K2752&lt;-5,"CRÍTICO",IF(K2752&lt;0,"ATENÇÃO",IF(K2752&lt;=5,"OPORTUNO","MUITO BOM")))</f>
        <v>OPORTUNO</v>
      </c>
      <c r="M2752">
        <v>22</v>
      </c>
      <c r="N2752">
        <v>98.55</v>
      </c>
      <c r="O2752">
        <v>25.337837837837839</v>
      </c>
    </row>
    <row r="2753" spans="1:15" hidden="1" x14ac:dyDescent="0.25">
      <c r="A2753" s="11">
        <v>46086</v>
      </c>
      <c r="B2753" t="s">
        <v>46</v>
      </c>
      <c r="C2753" t="s">
        <v>32</v>
      </c>
      <c r="D2753">
        <v>27</v>
      </c>
      <c r="E2753">
        <v>27</v>
      </c>
      <c r="F2753">
        <v>20.56</v>
      </c>
      <c r="G2753">
        <v>0</v>
      </c>
      <c r="H2753">
        <v>0</v>
      </c>
      <c r="I2753" s="3">
        <f>E2753+G2753+H2753</f>
        <v>27</v>
      </c>
      <c r="J2753" s="3">
        <f>ROUND(MIN(IF(C2753="Técnico III",35,IF(C2753="Técnico II",28,IF(C2753="Técnico I",23,IF(C2753="JR",20,IF(C2753="Estágio",10,0))))),IF(C2753="Técnico III",SUMIFS($D:$D,$A:$A,$A2753,$B:$B,"&lt;&gt;Patrícia Karla de Sousa Araújo",$B:$B,"&lt;&gt;Lorena Dias de Araujo",$B:$B,"&lt;&gt;Lucas Luiz Romero")*(35/1083),IF(C2753="Técnico II",SUMIFS($D:$D,$A:$A,$A2753,$B:$B,"&lt;&gt;Patrícia Karla de Sousa Araújo",$B:$B,"&lt;&gt;Lorena Dias de Araujo",$B:$B,"&lt;&gt;Lucas Luiz Romero")*(28/1083),IF(C2753="Técnico I",SUMIFS($D:$D,$A:$A,$A2753,$B:$B,"&lt;&gt;Patrícia Karla de Sousa Araújo",$B:$B,"&lt;&gt;Lorena Dias de Araujo",$B:$B,"&lt;&gt;Lucas Luiz Romero")*(23/1083),IF(C2753="JR",SUMIFS($D:$D,$A:$A,$A2753,$B:$B,"&lt;&gt;Patrícia Karla de Sousa Araújo",$B:$B,"&lt;&gt;Lorena Dias de Araujo",$B:$B,"&lt;&gt;Lucas Luiz Romero")*(20/1083),IF(C2753="Estágio",SUMIFS($D:$D,$A:$A,$A2753,$B:$B,"&lt;&gt;Patrícia Karla de Sousa Araújo",$B:$B,"&lt;&gt;Lorena Dias de Araujo",$B:$B,"&lt;&gt;Lucas Luiz Romero")*(10/1083),0)))))),0)</f>
        <v>28</v>
      </c>
      <c r="K2753" s="3">
        <f>I2753-J2753</f>
        <v>-1</v>
      </c>
      <c r="L2753" s="3" t="str">
        <f>IF(K2753&lt;-5,"CRÍTICO",IF(K2753&lt;0,"ATENÇÃO",IF(K2753&lt;=5,"OPORTUNO","MUITO BOM")))</f>
        <v>ATENÇÃO</v>
      </c>
      <c r="M2753">
        <v>27</v>
      </c>
      <c r="N2753">
        <v>98.39</v>
      </c>
      <c r="O2753">
        <v>25.563909774436091</v>
      </c>
    </row>
    <row r="2754" spans="1:15" hidden="1" x14ac:dyDescent="0.25">
      <c r="A2754" s="11">
        <v>46087</v>
      </c>
      <c r="B2754" t="s">
        <v>47</v>
      </c>
      <c r="C2754" t="s">
        <v>48</v>
      </c>
      <c r="D2754">
        <v>41</v>
      </c>
      <c r="E2754">
        <v>33</v>
      </c>
      <c r="F2754">
        <v>13.43</v>
      </c>
      <c r="G2754">
        <v>0</v>
      </c>
      <c r="H2754">
        <v>0</v>
      </c>
      <c r="I2754" s="3">
        <f>E2754+G2754+H2754</f>
        <v>33</v>
      </c>
      <c r="J2754" s="3">
        <f>ROUND(MIN(IF(C2754="Técnico III",35,IF(C2754="Técnico II",28,IF(C2754="Técnico I",23,IF(C2754="JR",20,IF(C2754="Estágio",10,0))))),IF(C2754="Técnico III",SUMIFS($D:$D,$A:$A,$A2754,$B:$B,"&lt;&gt;Patrícia Karla de Sousa Araújo",$B:$B,"&lt;&gt;Lorena Dias de Araujo",$B:$B,"&lt;&gt;Lucas Luiz Romero")*(35/1083),IF(C2754="Técnico II",SUMIFS($D:$D,$A:$A,$A2754,$B:$B,"&lt;&gt;Patrícia Karla de Sousa Araújo",$B:$B,"&lt;&gt;Lorena Dias de Araujo",$B:$B,"&lt;&gt;Lucas Luiz Romero")*(28/1083),IF(C2754="Técnico I",SUMIFS($D:$D,$A:$A,$A2754,$B:$B,"&lt;&gt;Patrícia Karla de Sousa Araújo",$B:$B,"&lt;&gt;Lorena Dias de Araujo",$B:$B,"&lt;&gt;Lucas Luiz Romero")*(23/1083),IF(C2754="JR",SUMIFS($D:$D,$A:$A,$A2754,$B:$B,"&lt;&gt;Patrícia Karla de Sousa Araújo",$B:$B,"&lt;&gt;Lorena Dias de Araujo",$B:$B,"&lt;&gt;Lucas Luiz Romero")*(20/1083),IF(C2754="Estágio",SUMIFS($D:$D,$A:$A,$A2754,$B:$B,"&lt;&gt;Patrícia Karla de Sousa Araújo",$B:$B,"&lt;&gt;Lorena Dias de Araujo",$B:$B,"&lt;&gt;Lucas Luiz Romero")*(10/1083),0)))))),0)</f>
        <v>22</v>
      </c>
      <c r="K2754" s="3">
        <f>I2754-J2754</f>
        <v>11</v>
      </c>
      <c r="L2754" s="3" t="str">
        <f>IF(K2754&lt;-5,"CRÍTICO",IF(K2754&lt;0,"ATENÇÃO",IF(K2754&lt;=5,"OPORTUNO","MUITO BOM")))</f>
        <v>MUITO BOM</v>
      </c>
      <c r="M2754">
        <v>16</v>
      </c>
      <c r="N2754">
        <v>94.29</v>
      </c>
      <c r="O2754">
        <v>25.647668393782389</v>
      </c>
    </row>
    <row r="2755" spans="1:15" hidden="1" x14ac:dyDescent="0.25">
      <c r="A2755" s="11">
        <v>46087</v>
      </c>
      <c r="B2755" t="s">
        <v>31</v>
      </c>
      <c r="C2755" t="s">
        <v>32</v>
      </c>
      <c r="D2755">
        <v>0</v>
      </c>
      <c r="E2755">
        <v>0</v>
      </c>
      <c r="F2755">
        <v>0</v>
      </c>
      <c r="G2755">
        <v>0</v>
      </c>
      <c r="H2755">
        <v>0</v>
      </c>
      <c r="I2755" s="3">
        <v>0</v>
      </c>
      <c r="J2755" s="3">
        <v>0</v>
      </c>
      <c r="K2755" s="3">
        <v>0</v>
      </c>
      <c r="L2755" s="3" t="str">
        <f>IF(K2755&lt;-5,"CRÍTICO",IF(K2755&lt;0,"ATENÇÃO",IF(K2755&lt;=5,"OPORTUNO","MUITO BOM")))</f>
        <v>OPORTUNO</v>
      </c>
      <c r="M2755">
        <v>27</v>
      </c>
      <c r="N2755">
        <v>98.26</v>
      </c>
      <c r="O2755">
        <v>26.666666666666671</v>
      </c>
    </row>
    <row r="2756" spans="1:15" hidden="1" x14ac:dyDescent="0.25">
      <c r="A2756" s="11">
        <v>46087</v>
      </c>
      <c r="B2756" t="s">
        <v>59</v>
      </c>
      <c r="C2756" t="s">
        <v>23</v>
      </c>
      <c r="D2756">
        <v>23</v>
      </c>
      <c r="E2756">
        <v>21</v>
      </c>
      <c r="F2756">
        <v>25.12</v>
      </c>
      <c r="G2756">
        <v>0</v>
      </c>
      <c r="H2756">
        <v>0</v>
      </c>
      <c r="I2756" s="3">
        <f>E2756+G2756+H2756</f>
        <v>21</v>
      </c>
      <c r="J2756" s="3">
        <f>ROUND(MIN(IF(C2756="Técnico III",35,IF(C2756="Técnico II",28,IF(C2756="Técnico I",23,IF(C2756="JR",20,IF(C2756="Estágio",10,0))))),IF(C2756="Técnico III",SUMIFS($D:$D,$A:$A,$A2756,$B:$B,"&lt;&gt;Patrícia Karla de Sousa Araújo",$B:$B,"&lt;&gt;Lorena Dias de Araujo",$B:$B,"&lt;&gt;Lucas Luiz Romero")*(35/1083),IF(C2756="Técnico II",SUMIFS($D:$D,$A:$A,$A2756,$B:$B,"&lt;&gt;Patrícia Karla de Sousa Araújo",$B:$B,"&lt;&gt;Lorena Dias de Araujo",$B:$B,"&lt;&gt;Lucas Luiz Romero")*(28/1083),IF(C2756="Técnico I",SUMIFS($D:$D,$A:$A,$A2756,$B:$B,"&lt;&gt;Patrícia Karla de Sousa Araújo",$B:$B,"&lt;&gt;Lorena Dias de Araujo",$B:$B,"&lt;&gt;Lucas Luiz Romero")*(23/1083),IF(C2756="JR",SUMIFS($D:$D,$A:$A,$A2756,$B:$B,"&lt;&gt;Patrícia Karla de Sousa Araújo",$B:$B,"&lt;&gt;Lorena Dias de Araujo",$B:$B,"&lt;&gt;Lucas Luiz Romero")*(20/1083),IF(C2756="Estágio",SUMIFS($D:$D,$A:$A,$A2756,$B:$B,"&lt;&gt;Patrícia Karla de Sousa Araújo",$B:$B,"&lt;&gt;Lorena Dias de Araujo",$B:$B,"&lt;&gt;Lucas Luiz Romero")*(10/1083),0)))))),0)</f>
        <v>18</v>
      </c>
      <c r="K2756" s="3">
        <f>I2756-J2756</f>
        <v>3</v>
      </c>
      <c r="L2756" s="3" t="str">
        <f>IF(K2756&lt;-5,"CRÍTICO",IF(K2756&lt;0,"ATENÇÃO",IF(K2756&lt;=5,"OPORTUNO","MUITO BOM")))</f>
        <v>OPORTUNO</v>
      </c>
      <c r="M2756">
        <v>22</v>
      </c>
      <c r="N2756">
        <v>98.2</v>
      </c>
      <c r="O2756">
        <v>23.37962962962963</v>
      </c>
    </row>
    <row r="2757" spans="1:15" hidden="1" x14ac:dyDescent="0.25">
      <c r="A2757" s="11">
        <v>46087</v>
      </c>
      <c r="B2757" t="s">
        <v>33</v>
      </c>
      <c r="C2757" t="s">
        <v>32</v>
      </c>
      <c r="D2757">
        <v>27</v>
      </c>
      <c r="E2757">
        <v>25</v>
      </c>
      <c r="F2757">
        <v>20</v>
      </c>
      <c r="G2757">
        <v>0</v>
      </c>
      <c r="H2757">
        <v>0</v>
      </c>
      <c r="I2757" s="3">
        <f>E2757+G2757+H2757</f>
        <v>25</v>
      </c>
      <c r="J2757" s="3">
        <f>ROUND(MIN(IF(C2757="Técnico III",35,IF(C2757="Técnico II",28,IF(C2757="Técnico I",23,IF(C2757="JR",20,IF(C2757="Estágio",10,0))))),IF(C2757="Técnico III",SUMIFS($D:$D,$A:$A,$A2757,$B:$B,"&lt;&gt;Patrícia Karla de Sousa Araújo",$B:$B,"&lt;&gt;Lorena Dias de Araujo",$B:$B,"&lt;&gt;Lucas Luiz Romero")*(35/1083),IF(C2757="Técnico II",SUMIFS($D:$D,$A:$A,$A2757,$B:$B,"&lt;&gt;Patrícia Karla de Sousa Araújo",$B:$B,"&lt;&gt;Lorena Dias de Araujo",$B:$B,"&lt;&gt;Lucas Luiz Romero")*(28/1083),IF(C2757="Técnico I",SUMIFS($D:$D,$A:$A,$A2757,$B:$B,"&lt;&gt;Patrícia Karla de Sousa Araújo",$B:$B,"&lt;&gt;Lorena Dias de Araujo",$B:$B,"&lt;&gt;Lucas Luiz Romero")*(23/1083),IF(C2757="JR",SUMIFS($D:$D,$A:$A,$A2757,$B:$B,"&lt;&gt;Patrícia Karla de Sousa Araújo",$B:$B,"&lt;&gt;Lorena Dias de Araujo",$B:$B,"&lt;&gt;Lucas Luiz Romero")*(20/1083),IF(C2757="Estágio",SUMIFS($D:$D,$A:$A,$A2757,$B:$B,"&lt;&gt;Patrícia Karla de Sousa Araújo",$B:$B,"&lt;&gt;Lorena Dias de Araujo",$B:$B,"&lt;&gt;Lucas Luiz Romero")*(10/1083),0)))))),0)</f>
        <v>27</v>
      </c>
      <c r="K2757" s="3">
        <f>I2757-J2757</f>
        <v>-2</v>
      </c>
      <c r="L2757" s="3" t="str">
        <f>IF(K2757&lt;-5,"CRÍTICO",IF(K2757&lt;0,"ATENÇÃO",IF(K2757&lt;=5,"OPORTUNO","MUITO BOM")))</f>
        <v>ATENÇÃO</v>
      </c>
      <c r="M2757">
        <v>27</v>
      </c>
      <c r="N2757">
        <v>97.3</v>
      </c>
      <c r="O2757">
        <v>23.84769539078156</v>
      </c>
    </row>
    <row r="2758" spans="1:15" hidden="1" x14ac:dyDescent="0.25">
      <c r="A2758" s="11">
        <v>46087</v>
      </c>
      <c r="B2758" t="s">
        <v>15</v>
      </c>
      <c r="C2758" t="s">
        <v>16</v>
      </c>
      <c r="D2758">
        <v>6</v>
      </c>
      <c r="E2758">
        <v>6</v>
      </c>
      <c r="F2758">
        <v>43.41</v>
      </c>
      <c r="G2758">
        <v>0</v>
      </c>
      <c r="H2758">
        <v>0</v>
      </c>
      <c r="I2758" s="3">
        <f>E2758+G2758+H2758</f>
        <v>6</v>
      </c>
      <c r="J2758" s="3">
        <f>ROUND(MIN(IF(C2758="Técnico III",35,IF(C2758="Técnico II",28,IF(C2758="Técnico I",23,IF(C2758="JR",20,IF(C2758="Estágio",10,0))))),IF(C2758="Técnico III",SUMIFS($D:$D,$A:$A,$A2758,$B:$B,"&lt;&gt;Patrícia Karla de Sousa Araújo",$B:$B,"&lt;&gt;Lorena Dias de Araujo",$B:$B,"&lt;&gt;Lucas Luiz Romero")*(35/1083),IF(C2758="Técnico II",SUMIFS($D:$D,$A:$A,$A2758,$B:$B,"&lt;&gt;Patrícia Karla de Sousa Araújo",$B:$B,"&lt;&gt;Lorena Dias de Araujo",$B:$B,"&lt;&gt;Lucas Luiz Romero")*(28/1083),IF(C2758="Técnico I",SUMIFS($D:$D,$A:$A,$A2758,$B:$B,"&lt;&gt;Patrícia Karla de Sousa Araújo",$B:$B,"&lt;&gt;Lorena Dias de Araujo",$B:$B,"&lt;&gt;Lucas Luiz Romero")*(23/1083),IF(C2758="JR",SUMIFS($D:$D,$A:$A,$A2758,$B:$B,"&lt;&gt;Patrícia Karla de Sousa Araújo",$B:$B,"&lt;&gt;Lorena Dias de Araujo",$B:$B,"&lt;&gt;Lucas Luiz Romero")*(20/1083),IF(C2758="Estágio",SUMIFS($D:$D,$A:$A,$A2758,$B:$B,"&lt;&gt;Patrícia Karla de Sousa Araújo",$B:$B,"&lt;&gt;Lorena Dias de Araujo",$B:$B,"&lt;&gt;Lucas Luiz Romero")*(10/1083),0)))))),0)</f>
        <v>8</v>
      </c>
      <c r="K2758" s="3">
        <f>I2758-J2758</f>
        <v>-2</v>
      </c>
      <c r="L2758" s="3" t="str">
        <f>IF(K2758&lt;-5,"CRÍTICO",IF(K2758&lt;0,"ATENÇÃO",IF(K2758&lt;=5,"OPORTUNO","MUITO BOM")))</f>
        <v>ATENÇÃO</v>
      </c>
      <c r="M2758">
        <v>5</v>
      </c>
      <c r="N2758">
        <v>100</v>
      </c>
      <c r="O2758">
        <v>25.268817204301079</v>
      </c>
    </row>
    <row r="2759" spans="1:15" hidden="1" x14ac:dyDescent="0.25">
      <c r="A2759" s="11">
        <v>46087</v>
      </c>
      <c r="B2759" t="s">
        <v>49</v>
      </c>
      <c r="C2759" t="s">
        <v>48</v>
      </c>
      <c r="D2759">
        <v>45</v>
      </c>
      <c r="E2759">
        <v>43</v>
      </c>
      <c r="F2759">
        <v>13.55</v>
      </c>
      <c r="G2759">
        <v>0</v>
      </c>
      <c r="H2759">
        <v>0</v>
      </c>
      <c r="I2759" s="3">
        <f>E2759+G2759+H2759</f>
        <v>43</v>
      </c>
      <c r="J2759" s="3">
        <f>ROUND(MIN(IF(C2759="Técnico III",35,IF(C2759="Técnico II",28,IF(C2759="Técnico I",23,IF(C2759="JR",20,IF(C2759="Estágio",10,0))))),IF(C2759="Técnico III",SUMIFS($D:$D,$A:$A,$A2759,$B:$B,"&lt;&gt;Patrícia Karla de Sousa Araújo",$B:$B,"&lt;&gt;Lorena Dias de Araujo",$B:$B,"&lt;&gt;Lucas Luiz Romero")*(35/1083),IF(C2759="Técnico II",SUMIFS($D:$D,$A:$A,$A2759,$B:$B,"&lt;&gt;Patrícia Karla de Sousa Araújo",$B:$B,"&lt;&gt;Lorena Dias de Araujo",$B:$B,"&lt;&gt;Lucas Luiz Romero")*(28/1083),IF(C2759="Técnico I",SUMIFS($D:$D,$A:$A,$A2759,$B:$B,"&lt;&gt;Patrícia Karla de Sousa Araújo",$B:$B,"&lt;&gt;Lorena Dias de Araujo",$B:$B,"&lt;&gt;Lucas Luiz Romero")*(23/1083),IF(C2759="JR",SUMIFS($D:$D,$A:$A,$A2759,$B:$B,"&lt;&gt;Patrícia Karla de Sousa Araújo",$B:$B,"&lt;&gt;Lorena Dias de Araujo",$B:$B,"&lt;&gt;Lucas Luiz Romero")*(20/1083),IF(C2759="Estágio",SUMIFS($D:$D,$A:$A,$A2759,$B:$B,"&lt;&gt;Patrícia Karla de Sousa Araújo",$B:$B,"&lt;&gt;Lorena Dias de Araujo",$B:$B,"&lt;&gt;Lucas Luiz Romero")*(10/1083),0)))))),0)</f>
        <v>22</v>
      </c>
      <c r="K2759" s="3">
        <f>I2759-J2759</f>
        <v>21</v>
      </c>
      <c r="L2759" s="3" t="str">
        <f>IF(K2759&lt;-5,"CRÍTICO",IF(K2759&lt;0,"ATENÇÃO",IF(K2759&lt;=5,"OPORTUNO","MUITO BOM")))</f>
        <v>MUITO BOM</v>
      </c>
      <c r="M2759">
        <v>42</v>
      </c>
      <c r="N2759">
        <v>99.32</v>
      </c>
      <c r="O2759">
        <v>22.822822822822818</v>
      </c>
    </row>
    <row r="2760" spans="1:15" hidden="1" x14ac:dyDescent="0.25">
      <c r="A2760" s="11">
        <v>46087</v>
      </c>
      <c r="B2760" t="s">
        <v>50</v>
      </c>
      <c r="C2760" t="s">
        <v>48</v>
      </c>
      <c r="D2760">
        <v>23</v>
      </c>
      <c r="E2760">
        <v>23</v>
      </c>
      <c r="F2760">
        <v>28.33</v>
      </c>
      <c r="G2760">
        <v>0</v>
      </c>
      <c r="H2760">
        <v>0</v>
      </c>
      <c r="I2760" s="3">
        <f>E2760+G2760+H2760</f>
        <v>23</v>
      </c>
      <c r="J2760" s="3">
        <f>ROUND(MIN(IF(C2760="Técnico III",35,IF(C2760="Técnico II",28,IF(C2760="Técnico I",23,IF(C2760="JR",20,IF(C2760="Estágio",10,0))))),IF(C2760="Técnico III",SUMIFS($D:$D,$A:$A,$A2760,$B:$B,"&lt;&gt;Patrícia Karla de Sousa Araújo",$B:$B,"&lt;&gt;Lorena Dias de Araujo",$B:$B,"&lt;&gt;Lucas Luiz Romero")*(35/1083),IF(C2760="Técnico II",SUMIFS($D:$D,$A:$A,$A2760,$B:$B,"&lt;&gt;Patrícia Karla de Sousa Araújo",$B:$B,"&lt;&gt;Lorena Dias de Araujo",$B:$B,"&lt;&gt;Lucas Luiz Romero")*(28/1083),IF(C2760="Técnico I",SUMIFS($D:$D,$A:$A,$A2760,$B:$B,"&lt;&gt;Patrícia Karla de Sousa Araújo",$B:$B,"&lt;&gt;Lorena Dias de Araujo",$B:$B,"&lt;&gt;Lucas Luiz Romero")*(23/1083),IF(C2760="JR",SUMIFS($D:$D,$A:$A,$A2760,$B:$B,"&lt;&gt;Patrícia Karla de Sousa Araújo",$B:$B,"&lt;&gt;Lorena Dias de Araujo",$B:$B,"&lt;&gt;Lucas Luiz Romero")*(20/1083),IF(C2760="Estágio",SUMIFS($D:$D,$A:$A,$A2760,$B:$B,"&lt;&gt;Patrícia Karla de Sousa Araújo",$B:$B,"&lt;&gt;Lorena Dias de Araujo",$B:$B,"&lt;&gt;Lucas Luiz Romero")*(10/1083),0)))))),0)</f>
        <v>22</v>
      </c>
      <c r="K2760" s="3">
        <f>I2760-J2760</f>
        <v>1</v>
      </c>
      <c r="L2760" s="3" t="str">
        <f>IF(K2760&lt;-5,"CRÍTICO",IF(K2760&lt;0,"ATENÇÃO",IF(K2760&lt;=5,"OPORTUNO","MUITO BOM")))</f>
        <v>OPORTUNO</v>
      </c>
      <c r="M2760">
        <v>24</v>
      </c>
      <c r="N2760">
        <v>100</v>
      </c>
      <c r="O2760">
        <v>27.966101694915249</v>
      </c>
    </row>
    <row r="2761" spans="1:15" hidden="1" x14ac:dyDescent="0.25">
      <c r="A2761" s="11">
        <v>46087</v>
      </c>
      <c r="B2761" t="s">
        <v>17</v>
      </c>
      <c r="C2761" t="s">
        <v>16</v>
      </c>
      <c r="D2761">
        <v>0</v>
      </c>
      <c r="E2761">
        <v>0</v>
      </c>
      <c r="F2761">
        <v>0</v>
      </c>
      <c r="G2761">
        <v>0</v>
      </c>
      <c r="H2761">
        <v>0</v>
      </c>
      <c r="I2761" s="3">
        <v>0</v>
      </c>
      <c r="J2761" s="3">
        <v>0</v>
      </c>
      <c r="K2761" s="3">
        <v>0</v>
      </c>
      <c r="L2761" s="3" t="str">
        <f>IF(K2761&lt;-5,"CRÍTICO",IF(K2761&lt;0,"ATENÇÃO",IF(K2761&lt;=5,"OPORTUNO","MUITO BOM")))</f>
        <v>OPORTUNO</v>
      </c>
      <c r="M2761">
        <v>0</v>
      </c>
      <c r="N2761">
        <v>100</v>
      </c>
      <c r="O2761">
        <v>30.434782608695659</v>
      </c>
    </row>
    <row r="2762" spans="1:15" hidden="1" x14ac:dyDescent="0.25">
      <c r="A2762" s="11">
        <v>46087</v>
      </c>
      <c r="B2762" t="s">
        <v>60</v>
      </c>
      <c r="C2762" t="s">
        <v>23</v>
      </c>
      <c r="D2762">
        <v>23</v>
      </c>
      <c r="E2762">
        <v>18</v>
      </c>
      <c r="F2762">
        <v>25.29</v>
      </c>
      <c r="G2762">
        <v>0</v>
      </c>
      <c r="H2762">
        <v>0</v>
      </c>
      <c r="I2762" s="3">
        <f>E2762+G2762+H2762</f>
        <v>18</v>
      </c>
      <c r="J2762" s="3">
        <f>ROUND(MIN(IF(C2762="Técnico III",35,IF(C2762="Técnico II",28,IF(C2762="Técnico I",23,IF(C2762="JR",20,IF(C2762="Estágio",10,0))))),IF(C2762="Técnico III",SUMIFS($D:$D,$A:$A,$A2762,$B:$B,"&lt;&gt;Patrícia Karla de Sousa Araújo",$B:$B,"&lt;&gt;Lorena Dias de Araujo",$B:$B,"&lt;&gt;Lucas Luiz Romero")*(35/1083),IF(C2762="Técnico II",SUMIFS($D:$D,$A:$A,$A2762,$B:$B,"&lt;&gt;Patrícia Karla de Sousa Araújo",$B:$B,"&lt;&gt;Lorena Dias de Araujo",$B:$B,"&lt;&gt;Lucas Luiz Romero")*(28/1083),IF(C2762="Técnico I",SUMIFS($D:$D,$A:$A,$A2762,$B:$B,"&lt;&gt;Patrícia Karla de Sousa Araújo",$B:$B,"&lt;&gt;Lorena Dias de Araujo",$B:$B,"&lt;&gt;Lucas Luiz Romero")*(23/1083),IF(C2762="JR",SUMIFS($D:$D,$A:$A,$A2762,$B:$B,"&lt;&gt;Patrícia Karla de Sousa Araújo",$B:$B,"&lt;&gt;Lorena Dias de Araujo",$B:$B,"&lt;&gt;Lucas Luiz Romero")*(20/1083),IF(C2762="Estágio",SUMIFS($D:$D,$A:$A,$A2762,$B:$B,"&lt;&gt;Patrícia Karla de Sousa Araújo",$B:$B,"&lt;&gt;Lorena Dias de Araujo",$B:$B,"&lt;&gt;Lucas Luiz Romero")*(10/1083),0)))))),0)</f>
        <v>18</v>
      </c>
      <c r="K2762" s="3">
        <f>I2762-J2762</f>
        <v>0</v>
      </c>
      <c r="L2762" s="3" t="str">
        <f>IF(K2762&lt;-5,"CRÍTICO",IF(K2762&lt;0,"ATENÇÃO",IF(K2762&lt;=5,"OPORTUNO","MUITO BOM")))</f>
        <v>OPORTUNO</v>
      </c>
      <c r="M2762">
        <v>15</v>
      </c>
      <c r="N2762">
        <v>96.51</v>
      </c>
      <c r="O2762">
        <v>22.802850356294542</v>
      </c>
    </row>
    <row r="2763" spans="1:15" hidden="1" x14ac:dyDescent="0.25">
      <c r="A2763" s="11">
        <v>46087</v>
      </c>
      <c r="B2763" t="s">
        <v>34</v>
      </c>
      <c r="C2763" t="s">
        <v>32</v>
      </c>
      <c r="D2763">
        <v>0</v>
      </c>
      <c r="E2763">
        <v>0</v>
      </c>
      <c r="F2763">
        <v>0</v>
      </c>
      <c r="G2763">
        <v>0</v>
      </c>
      <c r="H2763">
        <v>0</v>
      </c>
      <c r="I2763" s="3">
        <v>0</v>
      </c>
      <c r="J2763" s="3">
        <v>0</v>
      </c>
      <c r="K2763" s="3">
        <v>0</v>
      </c>
      <c r="L2763" s="3" t="str">
        <f>IF(K2763&lt;-5,"CRÍTICO",IF(K2763&lt;0,"ATENÇÃO",IF(K2763&lt;=5,"OPORTUNO","MUITO BOM")))</f>
        <v>OPORTUNO</v>
      </c>
      <c r="M2763">
        <v>0</v>
      </c>
      <c r="N2763">
        <v>92.68</v>
      </c>
      <c r="O2763">
        <v>27.777777777777779</v>
      </c>
    </row>
    <row r="2764" spans="1:15" hidden="1" x14ac:dyDescent="0.25">
      <c r="A2764" s="11">
        <v>46087</v>
      </c>
      <c r="B2764" t="s">
        <v>51</v>
      </c>
      <c r="C2764" t="s">
        <v>48</v>
      </c>
      <c r="D2764">
        <v>31</v>
      </c>
      <c r="E2764">
        <v>27</v>
      </c>
      <c r="F2764">
        <v>23.43</v>
      </c>
      <c r="G2764">
        <v>0</v>
      </c>
      <c r="H2764">
        <v>0</v>
      </c>
      <c r="I2764" s="3">
        <v>0</v>
      </c>
      <c r="J2764" s="3">
        <v>0</v>
      </c>
      <c r="K2764" s="3">
        <v>0</v>
      </c>
      <c r="L2764" s="3" t="str">
        <f>IF(K2764&lt;-5,"CRÍTICO",IF(K2764&lt;0,"ATENÇÃO",IF(K2764&lt;=5,"OPORTUNO","MUITO BOM")))</f>
        <v>OPORTUNO</v>
      </c>
      <c r="M2764">
        <v>27</v>
      </c>
      <c r="N2764">
        <v>99.03</v>
      </c>
      <c r="O2764">
        <v>23.991507430997881</v>
      </c>
    </row>
    <row r="2765" spans="1:15" hidden="1" x14ac:dyDescent="0.25">
      <c r="A2765" s="11">
        <v>46087</v>
      </c>
      <c r="B2765" t="s">
        <v>61</v>
      </c>
      <c r="C2765" t="s">
        <v>23</v>
      </c>
      <c r="D2765">
        <v>21</v>
      </c>
      <c r="E2765">
        <v>21</v>
      </c>
      <c r="F2765">
        <v>25.27</v>
      </c>
      <c r="G2765">
        <v>0</v>
      </c>
      <c r="H2765">
        <v>0</v>
      </c>
      <c r="I2765" s="3">
        <f>E2765+G2765+H2765</f>
        <v>21</v>
      </c>
      <c r="J2765" s="3">
        <f>ROUND(MIN(IF(C2765="Técnico III",35,IF(C2765="Técnico II",28,IF(C2765="Técnico I",23,IF(C2765="JR",20,IF(C2765="Estágio",10,0))))),IF(C2765="Técnico III",SUMIFS($D:$D,$A:$A,$A2765,$B:$B,"&lt;&gt;Patrícia Karla de Sousa Araújo",$B:$B,"&lt;&gt;Lorena Dias de Araujo",$B:$B,"&lt;&gt;Lucas Luiz Romero")*(35/1083),IF(C2765="Técnico II",SUMIFS($D:$D,$A:$A,$A2765,$B:$B,"&lt;&gt;Patrícia Karla de Sousa Araújo",$B:$B,"&lt;&gt;Lorena Dias de Araujo",$B:$B,"&lt;&gt;Lucas Luiz Romero")*(28/1083),IF(C2765="Técnico I",SUMIFS($D:$D,$A:$A,$A2765,$B:$B,"&lt;&gt;Patrícia Karla de Sousa Araújo",$B:$B,"&lt;&gt;Lorena Dias de Araujo",$B:$B,"&lt;&gt;Lucas Luiz Romero")*(23/1083),IF(C2765="JR",SUMIFS($D:$D,$A:$A,$A2765,$B:$B,"&lt;&gt;Patrícia Karla de Sousa Araújo",$B:$B,"&lt;&gt;Lorena Dias de Araujo",$B:$B,"&lt;&gt;Lucas Luiz Romero")*(20/1083),IF(C2765="Estágio",SUMIFS($D:$D,$A:$A,$A2765,$B:$B,"&lt;&gt;Patrícia Karla de Sousa Araújo",$B:$B,"&lt;&gt;Lorena Dias de Araujo",$B:$B,"&lt;&gt;Lucas Luiz Romero")*(10/1083),0)))))),0)</f>
        <v>18</v>
      </c>
      <c r="K2765" s="3">
        <f>I2765-J2765</f>
        <v>3</v>
      </c>
      <c r="L2765" s="3" t="str">
        <f>IF(K2765&lt;-5,"CRÍTICO",IF(K2765&lt;0,"ATENÇÃO",IF(K2765&lt;=5,"OPORTUNO","MUITO BOM")))</f>
        <v>OPORTUNO</v>
      </c>
      <c r="M2765">
        <v>17</v>
      </c>
      <c r="N2765">
        <v>98.41</v>
      </c>
      <c r="O2765">
        <v>28.138528138528141</v>
      </c>
    </row>
    <row r="2766" spans="1:15" hidden="1" x14ac:dyDescent="0.25">
      <c r="A2766" s="11">
        <v>46087</v>
      </c>
      <c r="B2766" t="s">
        <v>35</v>
      </c>
      <c r="C2766" t="s">
        <v>32</v>
      </c>
      <c r="D2766">
        <v>29</v>
      </c>
      <c r="E2766">
        <v>29</v>
      </c>
      <c r="F2766">
        <v>22.2</v>
      </c>
      <c r="G2766">
        <v>0</v>
      </c>
      <c r="H2766">
        <v>0</v>
      </c>
      <c r="I2766" s="3">
        <v>0</v>
      </c>
      <c r="J2766" s="3">
        <v>0</v>
      </c>
      <c r="K2766" s="3">
        <v>0</v>
      </c>
      <c r="L2766" s="3" t="str">
        <f>IF(K2766&lt;-5,"CRÍTICO",IF(K2766&lt;0,"ATENÇÃO",IF(K2766&lt;=5,"OPORTUNO","MUITO BOM")))</f>
        <v>OPORTUNO</v>
      </c>
      <c r="M2766">
        <v>29</v>
      </c>
      <c r="N2766">
        <v>98.73</v>
      </c>
      <c r="O2766">
        <v>29.142857142857139</v>
      </c>
    </row>
    <row r="2767" spans="1:15" hidden="1" x14ac:dyDescent="0.25">
      <c r="A2767" s="11">
        <v>46087</v>
      </c>
      <c r="B2767" t="s">
        <v>18</v>
      </c>
      <c r="C2767" t="s">
        <v>16</v>
      </c>
      <c r="D2767">
        <v>39</v>
      </c>
      <c r="E2767">
        <v>35</v>
      </c>
      <c r="F2767">
        <v>8.59</v>
      </c>
      <c r="G2767">
        <v>0</v>
      </c>
      <c r="H2767">
        <v>0</v>
      </c>
      <c r="I2767" s="3">
        <f>E2767+G2767+H2767</f>
        <v>35</v>
      </c>
      <c r="J2767" s="3">
        <f>ROUND(MIN(IF(C2767="Técnico III",35,IF(C2767="Técnico II",28,IF(C2767="Técnico I",23,IF(C2767="JR",20,IF(C2767="Estágio",10,0))))),IF(C2767="Técnico III",SUMIFS($D:$D,$A:$A,$A2767,$B:$B,"&lt;&gt;Patrícia Karla de Sousa Araújo",$B:$B,"&lt;&gt;Lorena Dias de Araujo",$B:$B,"&lt;&gt;Lucas Luiz Romero")*(35/1083),IF(C2767="Técnico II",SUMIFS($D:$D,$A:$A,$A2767,$B:$B,"&lt;&gt;Patrícia Karla de Sousa Araújo",$B:$B,"&lt;&gt;Lorena Dias de Araujo",$B:$B,"&lt;&gt;Lucas Luiz Romero")*(28/1083),IF(C2767="Técnico I",SUMIFS($D:$D,$A:$A,$A2767,$B:$B,"&lt;&gt;Patrícia Karla de Sousa Araújo",$B:$B,"&lt;&gt;Lorena Dias de Araujo",$B:$B,"&lt;&gt;Lucas Luiz Romero")*(23/1083),IF(C2767="JR",SUMIFS($D:$D,$A:$A,$A2767,$B:$B,"&lt;&gt;Patrícia Karla de Sousa Araújo",$B:$B,"&lt;&gt;Lorena Dias de Araujo",$B:$B,"&lt;&gt;Lucas Luiz Romero")*(20/1083),IF(C2767="Estágio",SUMIFS($D:$D,$A:$A,$A2767,$B:$B,"&lt;&gt;Patrícia Karla de Sousa Araújo",$B:$B,"&lt;&gt;Lorena Dias de Araujo",$B:$B,"&lt;&gt;Lucas Luiz Romero")*(10/1083),0)))))),0)</f>
        <v>8</v>
      </c>
      <c r="K2767" s="3">
        <f>I2767-J2767</f>
        <v>27</v>
      </c>
      <c r="L2767" s="3" t="str">
        <f>IF(K2767&lt;-5,"CRÍTICO",IF(K2767&lt;0,"ATENÇÃO",IF(K2767&lt;=5,"OPORTUNO","MUITO BOM")))</f>
        <v>MUITO BOM</v>
      </c>
      <c r="M2767">
        <v>5</v>
      </c>
      <c r="N2767">
        <v>90.48</v>
      </c>
      <c r="O2767">
        <v>20.68965517241379</v>
      </c>
    </row>
    <row r="2768" spans="1:15" hidden="1" x14ac:dyDescent="0.25">
      <c r="A2768" s="11">
        <v>46087</v>
      </c>
      <c r="B2768" t="s">
        <v>52</v>
      </c>
      <c r="C2768" t="s">
        <v>48</v>
      </c>
      <c r="D2768">
        <v>27</v>
      </c>
      <c r="E2768">
        <v>26</v>
      </c>
      <c r="F2768">
        <v>20.079999999999998</v>
      </c>
      <c r="G2768">
        <v>0</v>
      </c>
      <c r="H2768">
        <v>0</v>
      </c>
      <c r="I2768" s="3">
        <f>E2768+G2768+H2768</f>
        <v>26</v>
      </c>
      <c r="J2768" s="3">
        <f>ROUND(MIN(IF(C2768="Técnico III",35,IF(C2768="Técnico II",28,IF(C2768="Técnico I",23,IF(C2768="JR",20,IF(C2768="Estágio",10,0))))),IF(C2768="Técnico III",SUMIFS($D:$D,$A:$A,$A2768,$B:$B,"&lt;&gt;Patrícia Karla de Sousa Araújo",$B:$B,"&lt;&gt;Lorena Dias de Araujo",$B:$B,"&lt;&gt;Lucas Luiz Romero")*(35/1083),IF(C2768="Técnico II",SUMIFS($D:$D,$A:$A,$A2768,$B:$B,"&lt;&gt;Patrícia Karla de Sousa Araújo",$B:$B,"&lt;&gt;Lorena Dias de Araujo",$B:$B,"&lt;&gt;Lucas Luiz Romero")*(28/1083),IF(C2768="Técnico I",SUMIFS($D:$D,$A:$A,$A2768,$B:$B,"&lt;&gt;Patrícia Karla de Sousa Araújo",$B:$B,"&lt;&gt;Lorena Dias de Araujo",$B:$B,"&lt;&gt;Lucas Luiz Romero")*(23/1083),IF(C2768="JR",SUMIFS($D:$D,$A:$A,$A2768,$B:$B,"&lt;&gt;Patrícia Karla de Sousa Araújo",$B:$B,"&lt;&gt;Lorena Dias de Araujo",$B:$B,"&lt;&gt;Lucas Luiz Romero")*(20/1083),IF(C2768="Estágio",SUMIFS($D:$D,$A:$A,$A2768,$B:$B,"&lt;&gt;Patrícia Karla de Sousa Araújo",$B:$B,"&lt;&gt;Lorena Dias de Araujo",$B:$B,"&lt;&gt;Lucas Luiz Romero")*(10/1083),0)))))),0)</f>
        <v>22</v>
      </c>
      <c r="K2768" s="3">
        <f>I2768-J2768</f>
        <v>4</v>
      </c>
      <c r="L2768" s="3" t="str">
        <f>IF(K2768&lt;-5,"CRÍTICO",IF(K2768&lt;0,"ATENÇÃO",IF(K2768&lt;=5,"OPORTUNO","MUITO BOM")))</f>
        <v>OPORTUNO</v>
      </c>
      <c r="M2768">
        <v>22</v>
      </c>
      <c r="N2768">
        <v>98.06</v>
      </c>
      <c r="O2768">
        <v>24.789915966386559</v>
      </c>
    </row>
    <row r="2769" spans="1:15" hidden="1" x14ac:dyDescent="0.25">
      <c r="A2769" s="11">
        <v>46087</v>
      </c>
      <c r="B2769" t="s">
        <v>36</v>
      </c>
      <c r="C2769" t="s">
        <v>32</v>
      </c>
      <c r="D2769">
        <v>19</v>
      </c>
      <c r="E2769">
        <v>19</v>
      </c>
      <c r="F2769">
        <v>14.15</v>
      </c>
      <c r="G2769">
        <v>0</v>
      </c>
      <c r="H2769">
        <v>0</v>
      </c>
      <c r="I2769" s="3">
        <f>E2769+G2769+H2769</f>
        <v>19</v>
      </c>
      <c r="J2769" s="3">
        <f>ROUND(MIN(IF(C2769="Técnico III",35,IF(C2769="Técnico II",28,IF(C2769="Técnico I",23,IF(C2769="JR",20,IF(C2769="Estágio",10,0))))),IF(C2769="Técnico III",SUMIFS($D:$D,$A:$A,$A2769,$B:$B,"&lt;&gt;Patrícia Karla de Sousa Araújo",$B:$B,"&lt;&gt;Lorena Dias de Araujo",$B:$B,"&lt;&gt;Lucas Luiz Romero")*(35/1083),IF(C2769="Técnico II",SUMIFS($D:$D,$A:$A,$A2769,$B:$B,"&lt;&gt;Patrícia Karla de Sousa Araújo",$B:$B,"&lt;&gt;Lorena Dias de Araujo",$B:$B,"&lt;&gt;Lucas Luiz Romero")*(28/1083),IF(C2769="Técnico I",SUMIFS($D:$D,$A:$A,$A2769,$B:$B,"&lt;&gt;Patrícia Karla de Sousa Araújo",$B:$B,"&lt;&gt;Lorena Dias de Araujo",$B:$B,"&lt;&gt;Lucas Luiz Romero")*(23/1083),IF(C2769="JR",SUMIFS($D:$D,$A:$A,$A2769,$B:$B,"&lt;&gt;Patrícia Karla de Sousa Araújo",$B:$B,"&lt;&gt;Lorena Dias de Araujo",$B:$B,"&lt;&gt;Lucas Luiz Romero")*(20/1083),IF(C2769="Estágio",SUMIFS($D:$D,$A:$A,$A2769,$B:$B,"&lt;&gt;Patrícia Karla de Sousa Araújo",$B:$B,"&lt;&gt;Lorena Dias de Araujo",$B:$B,"&lt;&gt;Lucas Luiz Romero")*(10/1083),0)))))),0)</f>
        <v>27</v>
      </c>
      <c r="K2769" s="3">
        <f>I2769-J2769</f>
        <v>-8</v>
      </c>
      <c r="L2769" s="3" t="str">
        <f>IF(K2769&lt;-5,"CRÍTICO",IF(K2769&lt;0,"ATENÇÃO",IF(K2769&lt;=5,"OPORTUNO","MUITO BOM")))</f>
        <v>CRÍTICO</v>
      </c>
      <c r="M2769">
        <v>21</v>
      </c>
      <c r="N2769">
        <v>97.78</v>
      </c>
      <c r="O2769">
        <v>25.494071146245059</v>
      </c>
    </row>
    <row r="2770" spans="1:15" hidden="1" x14ac:dyDescent="0.25">
      <c r="A2770" s="11">
        <v>46087</v>
      </c>
      <c r="B2770" t="s">
        <v>53</v>
      </c>
      <c r="C2770" t="s">
        <v>48</v>
      </c>
      <c r="D2770">
        <v>28</v>
      </c>
      <c r="E2770">
        <v>26</v>
      </c>
      <c r="F2770">
        <v>29.09</v>
      </c>
      <c r="G2770">
        <v>0</v>
      </c>
      <c r="H2770">
        <v>0</v>
      </c>
      <c r="I2770" s="3">
        <f>E2770+G2770+H2770</f>
        <v>26</v>
      </c>
      <c r="J2770" s="3">
        <f>ROUND(MIN(IF(C2770="Técnico III",35,IF(C2770="Técnico II",28,IF(C2770="Técnico I",23,IF(C2770="JR",20,IF(C2770="Estágio",10,0))))),IF(C2770="Técnico III",SUMIFS($D:$D,$A:$A,$A2770,$B:$B,"&lt;&gt;Patrícia Karla de Sousa Araújo",$B:$B,"&lt;&gt;Lorena Dias de Araujo",$B:$B,"&lt;&gt;Lucas Luiz Romero")*(35/1083),IF(C2770="Técnico II",SUMIFS($D:$D,$A:$A,$A2770,$B:$B,"&lt;&gt;Patrícia Karla de Sousa Araújo",$B:$B,"&lt;&gt;Lorena Dias de Araujo",$B:$B,"&lt;&gt;Lucas Luiz Romero")*(28/1083),IF(C2770="Técnico I",SUMIFS($D:$D,$A:$A,$A2770,$B:$B,"&lt;&gt;Patrícia Karla de Sousa Araújo",$B:$B,"&lt;&gt;Lorena Dias de Araujo",$B:$B,"&lt;&gt;Lucas Luiz Romero")*(23/1083),IF(C2770="JR",SUMIFS($D:$D,$A:$A,$A2770,$B:$B,"&lt;&gt;Patrícia Karla de Sousa Araújo",$B:$B,"&lt;&gt;Lorena Dias de Araujo",$B:$B,"&lt;&gt;Lucas Luiz Romero")*(20/1083),IF(C2770="Estágio",SUMIFS($D:$D,$A:$A,$A2770,$B:$B,"&lt;&gt;Patrícia Karla de Sousa Araújo",$B:$B,"&lt;&gt;Lorena Dias de Araujo",$B:$B,"&lt;&gt;Lucas Luiz Romero")*(10/1083),0)))))),0)</f>
        <v>22</v>
      </c>
      <c r="K2770" s="3">
        <f>I2770-J2770</f>
        <v>4</v>
      </c>
      <c r="L2770" s="3" t="str">
        <f>IF(K2770&lt;-5,"CRÍTICO",IF(K2770&lt;0,"ATENÇÃO",IF(K2770&lt;=5,"OPORTUNO","MUITO BOM")))</f>
        <v>OPORTUNO</v>
      </c>
      <c r="M2770">
        <v>27</v>
      </c>
      <c r="N2770">
        <v>98.02</v>
      </c>
      <c r="O2770">
        <v>23.484848484848481</v>
      </c>
    </row>
    <row r="2771" spans="1:15" hidden="1" x14ac:dyDescent="0.25">
      <c r="A2771" s="11">
        <v>46121</v>
      </c>
      <c r="B2771" t="s">
        <v>22</v>
      </c>
      <c r="C2771" t="s">
        <v>23</v>
      </c>
      <c r="D2771">
        <v>28</v>
      </c>
      <c r="E2771">
        <v>25</v>
      </c>
      <c r="F2771">
        <v>15.5</v>
      </c>
      <c r="G2771">
        <v>0</v>
      </c>
      <c r="H2771">
        <v>0</v>
      </c>
      <c r="I2771" s="3">
        <f>E2771+G2771+H2771</f>
        <v>25</v>
      </c>
      <c r="J2771" s="3">
        <f>ROUND(MIN(IF(C2771="Técnico III",35,IF(C2771="Técnico II",28,IF(C2771="Técnico I",23,IF(C2771="JR",20,IF(C2771="Estágio",10,0))))),IF(C2771="Técnico III",SUMIFS($D:$D,$A:$A,$A2771,$B:$B,"&lt;&gt;Patrícia Karla de Sousa Araújo",$B:$B,"&lt;&gt;Lorena Dias de Araujo",$B:$B,"&lt;&gt;Lucas Luiz Romero")*(35/1083),IF(C2771="Técnico II",SUMIFS($D:$D,$A:$A,$A2771,$B:$B,"&lt;&gt;Patrícia Karla de Sousa Araújo",$B:$B,"&lt;&gt;Lorena Dias de Araujo",$B:$B,"&lt;&gt;Lucas Luiz Romero")*(28/1083),IF(C2771="Técnico I",SUMIFS($D:$D,$A:$A,$A2771,$B:$B,"&lt;&gt;Patrícia Karla de Sousa Araújo",$B:$B,"&lt;&gt;Lorena Dias de Araujo",$B:$B,"&lt;&gt;Lucas Luiz Romero")*(23/1083),IF(C2771="JR",SUMIFS($D:$D,$A:$A,$A2771,$B:$B,"&lt;&gt;Patrícia Karla de Sousa Araújo",$B:$B,"&lt;&gt;Lorena Dias de Araujo",$B:$B,"&lt;&gt;Lucas Luiz Romero")*(20/1083),IF(C2771="Estágio",SUMIFS($D:$D,$A:$A,$A2771,$B:$B,"&lt;&gt;Patrícia Karla de Sousa Araújo",$B:$B,"&lt;&gt;Lorena Dias de Araujo",$B:$B,"&lt;&gt;Lucas Luiz Romero")*(10/1083),0)))))),0)</f>
        <v>17</v>
      </c>
      <c r="K2771" s="3">
        <f>I2771-J2771</f>
        <v>8</v>
      </c>
      <c r="L2771" s="3" t="str">
        <f>IF(K2771&lt;-5,"CRÍTICO",IF(K2771&lt;0,"ATENÇÃO",IF(K2771&lt;=5,"OPORTUNO","MUITO BOM")))</f>
        <v>MUITO BOM</v>
      </c>
      <c r="M2771">
        <v>22</v>
      </c>
      <c r="N2771">
        <v>99.28</v>
      </c>
      <c r="O2771">
        <v>27.689243027888441</v>
      </c>
    </row>
    <row r="2772" spans="1:15" hidden="1" x14ac:dyDescent="0.25">
      <c r="A2772" s="11">
        <v>46087</v>
      </c>
      <c r="B2772" t="s">
        <v>54</v>
      </c>
      <c r="C2772" t="s">
        <v>48</v>
      </c>
      <c r="D2772">
        <v>30</v>
      </c>
      <c r="E2772">
        <v>29</v>
      </c>
      <c r="F2772">
        <v>17.3</v>
      </c>
      <c r="G2772">
        <v>0</v>
      </c>
      <c r="H2772">
        <v>0</v>
      </c>
      <c r="I2772" s="3">
        <f>E2772+G2772+H2772</f>
        <v>29</v>
      </c>
      <c r="J2772" s="3">
        <f>ROUND(MIN(IF(C2772="Técnico III",35,IF(C2772="Técnico II",28,IF(C2772="Técnico I",23,IF(C2772="JR",20,IF(C2772="Estágio",10,0))))),IF(C2772="Técnico III",SUMIFS($D:$D,$A:$A,$A2772,$B:$B,"&lt;&gt;Patrícia Karla de Sousa Araújo",$B:$B,"&lt;&gt;Lorena Dias de Araujo",$B:$B,"&lt;&gt;Lucas Luiz Romero")*(35/1083),IF(C2772="Técnico II",SUMIFS($D:$D,$A:$A,$A2772,$B:$B,"&lt;&gt;Patrícia Karla de Sousa Araújo",$B:$B,"&lt;&gt;Lorena Dias de Araujo",$B:$B,"&lt;&gt;Lucas Luiz Romero")*(28/1083),IF(C2772="Técnico I",SUMIFS($D:$D,$A:$A,$A2772,$B:$B,"&lt;&gt;Patrícia Karla de Sousa Araújo",$B:$B,"&lt;&gt;Lorena Dias de Araujo",$B:$B,"&lt;&gt;Lucas Luiz Romero")*(23/1083),IF(C2772="JR",SUMIFS($D:$D,$A:$A,$A2772,$B:$B,"&lt;&gt;Patrícia Karla de Sousa Araújo",$B:$B,"&lt;&gt;Lorena Dias de Araujo",$B:$B,"&lt;&gt;Lucas Luiz Romero")*(20/1083),IF(C2772="Estágio",SUMIFS($D:$D,$A:$A,$A2772,$B:$B,"&lt;&gt;Patrícia Karla de Sousa Araújo",$B:$B,"&lt;&gt;Lorena Dias de Araujo",$B:$B,"&lt;&gt;Lucas Luiz Romero")*(10/1083),0)))))),0)</f>
        <v>22</v>
      </c>
      <c r="K2772" s="3">
        <f>I2772-J2772</f>
        <v>7</v>
      </c>
      <c r="L2772" s="3" t="str">
        <f>IF(K2772&lt;-5,"CRÍTICO",IF(K2772&lt;0,"ATENÇÃO",IF(K2772&lt;=5,"OPORTUNO","MUITO BOM")))</f>
        <v>MUITO BOM</v>
      </c>
      <c r="M2772">
        <v>26</v>
      </c>
      <c r="N2772">
        <v>100</v>
      </c>
      <c r="O2772">
        <v>27.04918032786885</v>
      </c>
    </row>
    <row r="2773" spans="1:15" hidden="1" x14ac:dyDescent="0.25">
      <c r="A2773" s="11">
        <v>46087</v>
      </c>
      <c r="B2773" t="s">
        <v>37</v>
      </c>
      <c r="C2773" t="s">
        <v>32</v>
      </c>
      <c r="D2773">
        <v>51</v>
      </c>
      <c r="E2773">
        <v>46</v>
      </c>
      <c r="F2773">
        <v>13.22</v>
      </c>
      <c r="G2773">
        <v>0</v>
      </c>
      <c r="H2773">
        <v>0</v>
      </c>
      <c r="I2773" s="3">
        <f>E2773+G2773+H2773</f>
        <v>46</v>
      </c>
      <c r="J2773" s="3">
        <f>ROUND(MIN(IF(C2773="Técnico III",35,IF(C2773="Técnico II",28,IF(C2773="Técnico I",23,IF(C2773="JR",20,IF(C2773="Estágio",10,0))))),IF(C2773="Técnico III",SUMIFS($D:$D,$A:$A,$A2773,$B:$B,"&lt;&gt;Patrícia Karla de Sousa Araújo",$B:$B,"&lt;&gt;Lorena Dias de Araujo",$B:$B,"&lt;&gt;Lucas Luiz Romero")*(35/1083),IF(C2773="Técnico II",SUMIFS($D:$D,$A:$A,$A2773,$B:$B,"&lt;&gt;Patrícia Karla de Sousa Araújo",$B:$B,"&lt;&gt;Lorena Dias de Araujo",$B:$B,"&lt;&gt;Lucas Luiz Romero")*(28/1083),IF(C2773="Técnico I",SUMIFS($D:$D,$A:$A,$A2773,$B:$B,"&lt;&gt;Patrícia Karla de Sousa Araújo",$B:$B,"&lt;&gt;Lorena Dias de Araujo",$B:$B,"&lt;&gt;Lucas Luiz Romero")*(23/1083),IF(C2773="JR",SUMIFS($D:$D,$A:$A,$A2773,$B:$B,"&lt;&gt;Patrícia Karla de Sousa Araújo",$B:$B,"&lt;&gt;Lorena Dias de Araujo",$B:$B,"&lt;&gt;Lucas Luiz Romero")*(20/1083),IF(C2773="Estágio",SUMIFS($D:$D,$A:$A,$A2773,$B:$B,"&lt;&gt;Patrícia Karla de Sousa Araújo",$B:$B,"&lt;&gt;Lorena Dias de Araujo",$B:$B,"&lt;&gt;Lucas Luiz Romero")*(10/1083),0)))))),0)</f>
        <v>27</v>
      </c>
      <c r="K2773" s="3">
        <f>I2773-J2773</f>
        <v>19</v>
      </c>
      <c r="L2773" s="3" t="str">
        <f>IF(K2773&lt;-5,"CRÍTICO",IF(K2773&lt;0,"ATENÇÃO",IF(K2773&lt;=5,"OPORTUNO","MUITO BOM")))</f>
        <v>MUITO BOM</v>
      </c>
      <c r="M2773">
        <v>48</v>
      </c>
      <c r="N2773">
        <v>97.83</v>
      </c>
      <c r="O2773">
        <v>26.315789473684209</v>
      </c>
    </row>
    <row r="2774" spans="1:15" hidden="1" x14ac:dyDescent="0.25">
      <c r="A2774" s="11">
        <v>46087</v>
      </c>
      <c r="B2774" t="s">
        <v>38</v>
      </c>
      <c r="C2774" t="s">
        <v>32</v>
      </c>
      <c r="D2774">
        <v>0</v>
      </c>
      <c r="E2774">
        <v>0</v>
      </c>
      <c r="F2774">
        <v>0</v>
      </c>
      <c r="G2774">
        <v>0</v>
      </c>
      <c r="H2774">
        <v>0</v>
      </c>
      <c r="I2774" s="3">
        <v>0</v>
      </c>
      <c r="J2774" s="3">
        <v>0</v>
      </c>
      <c r="K2774" s="3">
        <v>0</v>
      </c>
      <c r="L2774" s="3" t="str">
        <f>IF(K2774&lt;-5,"CRÍTICO",IF(K2774&lt;0,"ATENÇÃO",IF(K2774&lt;=5,"OPORTUNO","MUITO BOM")))</f>
        <v>OPORTUNO</v>
      </c>
      <c r="M2774">
        <v>6</v>
      </c>
      <c r="N2774">
        <v>100</v>
      </c>
      <c r="O2774">
        <v>26.701570680628269</v>
      </c>
    </row>
    <row r="2775" spans="1:15" hidden="1" x14ac:dyDescent="0.25">
      <c r="A2775" s="11">
        <v>46087</v>
      </c>
      <c r="B2775" t="s">
        <v>55</v>
      </c>
      <c r="C2775" t="s">
        <v>48</v>
      </c>
      <c r="D2775">
        <v>41</v>
      </c>
      <c r="E2775">
        <v>34</v>
      </c>
      <c r="F2775">
        <v>17</v>
      </c>
      <c r="G2775">
        <v>0</v>
      </c>
      <c r="H2775">
        <v>0</v>
      </c>
      <c r="I2775" s="3">
        <f>E2775+G2775+H2775</f>
        <v>34</v>
      </c>
      <c r="J2775" s="3">
        <f>ROUND(MIN(IF(C2775="Técnico III",35,IF(C2775="Técnico II",28,IF(C2775="Técnico I",23,IF(C2775="JR",20,IF(C2775="Estágio",10,0))))),IF(C2775="Técnico III",SUMIFS($D:$D,$A:$A,$A2775,$B:$B,"&lt;&gt;Patrícia Karla de Sousa Araújo",$B:$B,"&lt;&gt;Lorena Dias de Araujo",$B:$B,"&lt;&gt;Lucas Luiz Romero")*(35/1083),IF(C2775="Técnico II",SUMIFS($D:$D,$A:$A,$A2775,$B:$B,"&lt;&gt;Patrícia Karla de Sousa Araújo",$B:$B,"&lt;&gt;Lorena Dias de Araujo",$B:$B,"&lt;&gt;Lucas Luiz Romero")*(28/1083),IF(C2775="Técnico I",SUMIFS($D:$D,$A:$A,$A2775,$B:$B,"&lt;&gt;Patrícia Karla de Sousa Araújo",$B:$B,"&lt;&gt;Lorena Dias de Araujo",$B:$B,"&lt;&gt;Lucas Luiz Romero")*(23/1083),IF(C2775="JR",SUMIFS($D:$D,$A:$A,$A2775,$B:$B,"&lt;&gt;Patrícia Karla de Sousa Araújo",$B:$B,"&lt;&gt;Lorena Dias de Araujo",$B:$B,"&lt;&gt;Lucas Luiz Romero")*(20/1083),IF(C2775="Estágio",SUMIFS($D:$D,$A:$A,$A2775,$B:$B,"&lt;&gt;Patrícia Karla de Sousa Araújo",$B:$B,"&lt;&gt;Lorena Dias de Araujo",$B:$B,"&lt;&gt;Lucas Luiz Romero")*(10/1083),0)))))),0)</f>
        <v>22</v>
      </c>
      <c r="K2775" s="3">
        <f>I2775-J2775</f>
        <v>12</v>
      </c>
      <c r="L2775" s="3" t="str">
        <f>IF(K2775&lt;-5,"CRÍTICO",IF(K2775&lt;0,"ATENÇÃO",IF(K2775&lt;=5,"OPORTUNO","MUITO BOM")))</f>
        <v>MUITO BOM</v>
      </c>
      <c r="M2775">
        <v>29</v>
      </c>
      <c r="N2775">
        <v>97.47</v>
      </c>
      <c r="O2775">
        <v>22.887323943661968</v>
      </c>
    </row>
    <row r="2776" spans="1:15" hidden="1" x14ac:dyDescent="0.25">
      <c r="A2776" s="11">
        <v>46087</v>
      </c>
      <c r="B2776" t="s">
        <v>39</v>
      </c>
      <c r="C2776" t="s">
        <v>32</v>
      </c>
      <c r="D2776">
        <v>0</v>
      </c>
      <c r="E2776">
        <v>0</v>
      </c>
      <c r="F2776">
        <v>0</v>
      </c>
      <c r="G2776">
        <v>0</v>
      </c>
      <c r="H2776">
        <v>0</v>
      </c>
      <c r="I2776" s="3">
        <v>0</v>
      </c>
      <c r="J2776" s="3">
        <v>0</v>
      </c>
      <c r="K2776" s="3">
        <v>0</v>
      </c>
      <c r="L2776" s="3" t="str">
        <f>IF(K2776&lt;-5,"CRÍTICO",IF(K2776&lt;0,"ATENÇÃO",IF(K2776&lt;=5,"OPORTUNO","MUITO BOM")))</f>
        <v>OPORTUNO</v>
      </c>
      <c r="M2776">
        <v>0</v>
      </c>
      <c r="N2776">
        <v>0</v>
      </c>
      <c r="O2776">
        <v>0</v>
      </c>
    </row>
    <row r="2777" spans="1:15" hidden="1" x14ac:dyDescent="0.25">
      <c r="A2777" s="11">
        <v>46087</v>
      </c>
      <c r="B2777" t="s">
        <v>25</v>
      </c>
      <c r="C2777" t="s">
        <v>26</v>
      </c>
      <c r="D2777">
        <v>27</v>
      </c>
      <c r="E2777">
        <v>23</v>
      </c>
      <c r="F2777">
        <v>18.309999999999999</v>
      </c>
      <c r="G2777">
        <v>0</v>
      </c>
      <c r="H2777">
        <v>0</v>
      </c>
      <c r="I2777" s="3">
        <f>E2777+G2777+H2777</f>
        <v>23</v>
      </c>
      <c r="J2777" s="3">
        <f>ROUND(MIN(IF(C2777="Técnico III",35,IF(C2777="Técnico II",28,IF(C2777="Técnico I",23,IF(C2777="JR",20,IF(C2777="Estágio",10,0))))),IF(C2777="Técnico III",SUMIFS($D:$D,$A:$A,$A2777,$B:$B,"&lt;&gt;Patrícia Karla de Sousa Araújo",$B:$B,"&lt;&gt;Lorena Dias de Araujo",$B:$B,"&lt;&gt;Lucas Luiz Romero")*(35/1083),IF(C2777="Técnico II",SUMIFS($D:$D,$A:$A,$A2777,$B:$B,"&lt;&gt;Patrícia Karla de Sousa Araújo",$B:$B,"&lt;&gt;Lorena Dias de Araujo",$B:$B,"&lt;&gt;Lucas Luiz Romero")*(28/1083),IF(C2777="Técnico I",SUMIFS($D:$D,$A:$A,$A2777,$B:$B,"&lt;&gt;Patrícia Karla de Sousa Araújo",$B:$B,"&lt;&gt;Lorena Dias de Araujo",$B:$B,"&lt;&gt;Lucas Luiz Romero")*(23/1083),IF(C2777="JR",SUMIFS($D:$D,$A:$A,$A2777,$B:$B,"&lt;&gt;Patrícia Karla de Sousa Araújo",$B:$B,"&lt;&gt;Lorena Dias de Araujo",$B:$B,"&lt;&gt;Lucas Luiz Romero")*(20/1083),IF(C2777="Estágio",SUMIFS($D:$D,$A:$A,$A2777,$B:$B,"&lt;&gt;Patrícia Karla de Sousa Araújo",$B:$B,"&lt;&gt;Lorena Dias de Araujo",$B:$B,"&lt;&gt;Lucas Luiz Romero")*(10/1083),0)))))),0)</f>
        <v>16</v>
      </c>
      <c r="K2777" s="3">
        <f>I2777-J2777</f>
        <v>7</v>
      </c>
      <c r="L2777" s="3" t="str">
        <f>IF(K2777&lt;-5,"CRÍTICO",IF(K2777&lt;0,"ATENÇÃO",IF(K2777&lt;=5,"OPORTUNO","MUITO BOM")))</f>
        <v>MUITO BOM</v>
      </c>
      <c r="M2777">
        <v>22</v>
      </c>
      <c r="N2777">
        <v>98.31</v>
      </c>
      <c r="O2777">
        <v>24.920127795527151</v>
      </c>
    </row>
    <row r="2778" spans="1:15" hidden="1" x14ac:dyDescent="0.25">
      <c r="A2778" s="11">
        <v>46087</v>
      </c>
      <c r="B2778" t="s">
        <v>40</v>
      </c>
      <c r="C2778" t="s">
        <v>32</v>
      </c>
      <c r="D2778">
        <v>0</v>
      </c>
      <c r="E2778">
        <v>0</v>
      </c>
      <c r="F2778">
        <v>0</v>
      </c>
      <c r="G2778">
        <v>0</v>
      </c>
      <c r="H2778">
        <v>0</v>
      </c>
      <c r="I2778" s="3">
        <v>0</v>
      </c>
      <c r="J2778" s="3">
        <v>0</v>
      </c>
      <c r="K2778" s="3">
        <v>0</v>
      </c>
      <c r="L2778" s="3" t="str">
        <f>IF(K2778&lt;-5,"CRÍTICO",IF(K2778&lt;0,"ATENÇÃO",IF(K2778&lt;=5,"OPORTUNO","MUITO BOM")))</f>
        <v>OPORTUNO</v>
      </c>
      <c r="M2778">
        <v>9</v>
      </c>
      <c r="N2778">
        <v>96.81</v>
      </c>
      <c r="O2778">
        <v>32.365145228215773</v>
      </c>
    </row>
    <row r="2779" spans="1:15" hidden="1" x14ac:dyDescent="0.25">
      <c r="A2779" s="11">
        <v>46087</v>
      </c>
      <c r="B2779" t="s">
        <v>27</v>
      </c>
      <c r="C2779" t="s">
        <v>26</v>
      </c>
      <c r="D2779">
        <v>9</v>
      </c>
      <c r="E2779">
        <v>9</v>
      </c>
      <c r="F2779">
        <v>42.16</v>
      </c>
      <c r="G2779">
        <v>0</v>
      </c>
      <c r="H2779">
        <v>0</v>
      </c>
      <c r="I2779" s="3">
        <f>E2779+G2779+H2779</f>
        <v>9</v>
      </c>
      <c r="J2779" s="3">
        <f>ROUND(MIN(IF(C2779="Técnico III",35,IF(C2779="Técnico II",28,IF(C2779="Técnico I",23,IF(C2779="JR",20,IF(C2779="Estágio",10,0))))),IF(C2779="Técnico III",SUMIFS($D:$D,$A:$A,$A2779,$B:$B,"&lt;&gt;Patrícia Karla de Sousa Araújo",$B:$B,"&lt;&gt;Lorena Dias de Araujo",$B:$B,"&lt;&gt;Lucas Luiz Romero")*(35/1083),IF(C2779="Técnico II",SUMIFS($D:$D,$A:$A,$A2779,$B:$B,"&lt;&gt;Patrícia Karla de Sousa Araújo",$B:$B,"&lt;&gt;Lorena Dias de Araujo",$B:$B,"&lt;&gt;Lucas Luiz Romero")*(28/1083),IF(C2779="Técnico I",SUMIFS($D:$D,$A:$A,$A2779,$B:$B,"&lt;&gt;Patrícia Karla de Sousa Araújo",$B:$B,"&lt;&gt;Lorena Dias de Araujo",$B:$B,"&lt;&gt;Lucas Luiz Romero")*(23/1083),IF(C2779="JR",SUMIFS($D:$D,$A:$A,$A2779,$B:$B,"&lt;&gt;Patrícia Karla de Sousa Araújo",$B:$B,"&lt;&gt;Lorena Dias de Araujo",$B:$B,"&lt;&gt;Lucas Luiz Romero")*(20/1083),IF(C2779="Estágio",SUMIFS($D:$D,$A:$A,$A2779,$B:$B,"&lt;&gt;Patrícia Karla de Sousa Araújo",$B:$B,"&lt;&gt;Lorena Dias de Araujo",$B:$B,"&lt;&gt;Lucas Luiz Romero")*(10/1083),0)))))),0)</f>
        <v>16</v>
      </c>
      <c r="K2779" s="3">
        <f>I2779-J2779</f>
        <v>-7</v>
      </c>
      <c r="L2779" s="3" t="str">
        <f>IF(K2779&lt;-5,"CRÍTICO",IF(K2779&lt;0,"ATENÇÃO",IF(K2779&lt;=5,"OPORTUNO","MUITO BOM")))</f>
        <v>CRÍTICO</v>
      </c>
      <c r="M2779">
        <v>9</v>
      </c>
      <c r="N2779">
        <v>100</v>
      </c>
      <c r="O2779">
        <v>26.47058823529412</v>
      </c>
    </row>
    <row r="2780" spans="1:15" hidden="1" x14ac:dyDescent="0.25">
      <c r="A2780" s="11">
        <v>46087</v>
      </c>
      <c r="B2780" t="s">
        <v>41</v>
      </c>
      <c r="C2780" t="s">
        <v>32</v>
      </c>
      <c r="D2780">
        <v>0</v>
      </c>
      <c r="E2780">
        <v>0</v>
      </c>
      <c r="F2780">
        <v>0</v>
      </c>
      <c r="G2780">
        <v>0</v>
      </c>
      <c r="H2780">
        <v>0</v>
      </c>
      <c r="I2780" s="3">
        <v>0</v>
      </c>
      <c r="J2780" s="3">
        <v>0</v>
      </c>
      <c r="K2780" s="3">
        <v>0</v>
      </c>
      <c r="L2780" s="3" t="str">
        <f>IF(K2780&lt;-5,"CRÍTICO",IF(K2780&lt;0,"ATENÇÃO",IF(K2780&lt;=5,"OPORTUNO","MUITO BOM")))</f>
        <v>OPORTUNO</v>
      </c>
      <c r="M2780">
        <v>5</v>
      </c>
      <c r="N2780">
        <v>100</v>
      </c>
      <c r="O2780">
        <v>28.490028490028489</v>
      </c>
    </row>
    <row r="2781" spans="1:15" hidden="1" x14ac:dyDescent="0.25">
      <c r="A2781" s="11">
        <v>46087</v>
      </c>
      <c r="B2781" t="s">
        <v>56</v>
      </c>
      <c r="C2781" t="s">
        <v>48</v>
      </c>
      <c r="D2781">
        <v>31</v>
      </c>
      <c r="E2781">
        <v>29</v>
      </c>
      <c r="F2781">
        <v>23.42</v>
      </c>
      <c r="G2781">
        <v>0</v>
      </c>
      <c r="H2781">
        <v>0</v>
      </c>
      <c r="I2781" s="3">
        <f>E2781+G2781+H2781</f>
        <v>29</v>
      </c>
      <c r="J2781" s="3">
        <f>ROUND(MIN(IF(C2781="Técnico III",35,IF(C2781="Técnico II",28,IF(C2781="Técnico I",23,IF(C2781="JR",20,IF(C2781="Estágio",10,0))))),IF(C2781="Técnico III",SUMIFS($D:$D,$A:$A,$A2781,$B:$B,"&lt;&gt;Patrícia Karla de Sousa Araújo",$B:$B,"&lt;&gt;Lorena Dias de Araujo",$B:$B,"&lt;&gt;Lucas Luiz Romero")*(35/1083),IF(C2781="Técnico II",SUMIFS($D:$D,$A:$A,$A2781,$B:$B,"&lt;&gt;Patrícia Karla de Sousa Araújo",$B:$B,"&lt;&gt;Lorena Dias de Araujo",$B:$B,"&lt;&gt;Lucas Luiz Romero")*(28/1083),IF(C2781="Técnico I",SUMIFS($D:$D,$A:$A,$A2781,$B:$B,"&lt;&gt;Patrícia Karla de Sousa Araújo",$B:$B,"&lt;&gt;Lorena Dias de Araujo",$B:$B,"&lt;&gt;Lucas Luiz Romero")*(23/1083),IF(C2781="JR",SUMIFS($D:$D,$A:$A,$A2781,$B:$B,"&lt;&gt;Patrícia Karla de Sousa Araújo",$B:$B,"&lt;&gt;Lorena Dias de Araujo",$B:$B,"&lt;&gt;Lucas Luiz Romero")*(20/1083),IF(C2781="Estágio",SUMIFS($D:$D,$A:$A,$A2781,$B:$B,"&lt;&gt;Patrícia Karla de Sousa Araújo",$B:$B,"&lt;&gt;Lorena Dias de Araujo",$B:$B,"&lt;&gt;Lucas Luiz Romero")*(10/1083),0)))))),0)</f>
        <v>22</v>
      </c>
      <c r="K2781" s="3">
        <f>I2781-J2781</f>
        <v>7</v>
      </c>
      <c r="L2781" s="3" t="str">
        <f>IF(K2781&lt;-5,"CRÍTICO",IF(K2781&lt;0,"ATENÇÃO",IF(K2781&lt;=5,"OPORTUNO","MUITO BOM")))</f>
        <v>MUITO BOM</v>
      </c>
      <c r="M2781">
        <v>19</v>
      </c>
      <c r="N2781">
        <v>99.14</v>
      </c>
      <c r="O2781">
        <v>27.2289156626506</v>
      </c>
    </row>
    <row r="2782" spans="1:15" hidden="1" x14ac:dyDescent="0.25">
      <c r="A2782" s="11">
        <v>46087</v>
      </c>
      <c r="B2782" t="s">
        <v>57</v>
      </c>
      <c r="C2782" t="s">
        <v>48</v>
      </c>
      <c r="D2782">
        <v>29</v>
      </c>
      <c r="E2782">
        <v>26</v>
      </c>
      <c r="F2782">
        <v>20.02</v>
      </c>
      <c r="G2782">
        <v>0</v>
      </c>
      <c r="H2782">
        <v>0</v>
      </c>
      <c r="I2782" s="3">
        <v>0</v>
      </c>
      <c r="J2782" s="3">
        <v>0</v>
      </c>
      <c r="K2782" s="3">
        <v>0</v>
      </c>
      <c r="L2782" s="3" t="str">
        <f>IF(K2782&lt;-5,"CRÍTICO",IF(K2782&lt;0,"ATENÇÃO",IF(K2782&lt;=5,"OPORTUNO","MUITO BOM")))</f>
        <v>OPORTUNO</v>
      </c>
      <c r="M2782">
        <v>25</v>
      </c>
      <c r="N2782">
        <v>97.52</v>
      </c>
      <c r="O2782">
        <v>28.205128205128201</v>
      </c>
    </row>
    <row r="2783" spans="1:15" hidden="1" x14ac:dyDescent="0.25">
      <c r="A2783" s="11">
        <v>46087</v>
      </c>
      <c r="B2783" t="s">
        <v>42</v>
      </c>
      <c r="C2783" t="s">
        <v>32</v>
      </c>
      <c r="D2783">
        <v>36</v>
      </c>
      <c r="E2783">
        <v>32</v>
      </c>
      <c r="F2783">
        <v>18.420000000000002</v>
      </c>
      <c r="G2783">
        <v>0</v>
      </c>
      <c r="H2783">
        <v>0</v>
      </c>
      <c r="I2783" s="3">
        <f>E2783+G2783+H2783</f>
        <v>32</v>
      </c>
      <c r="J2783" s="3">
        <f>ROUND(MIN(IF(C2783="Técnico III",35,IF(C2783="Técnico II",28,IF(C2783="Técnico I",23,IF(C2783="JR",20,IF(C2783="Estágio",10,0))))),IF(C2783="Técnico III",SUMIFS($D:$D,$A:$A,$A2783,$B:$B,"&lt;&gt;Patrícia Karla de Sousa Araújo",$B:$B,"&lt;&gt;Lorena Dias de Araujo",$B:$B,"&lt;&gt;Lucas Luiz Romero")*(35/1083),IF(C2783="Técnico II",SUMIFS($D:$D,$A:$A,$A2783,$B:$B,"&lt;&gt;Patrícia Karla de Sousa Araújo",$B:$B,"&lt;&gt;Lorena Dias de Araujo",$B:$B,"&lt;&gt;Lucas Luiz Romero")*(28/1083),IF(C2783="Técnico I",SUMIFS($D:$D,$A:$A,$A2783,$B:$B,"&lt;&gt;Patrícia Karla de Sousa Araújo",$B:$B,"&lt;&gt;Lorena Dias de Araujo",$B:$B,"&lt;&gt;Lucas Luiz Romero")*(23/1083),IF(C2783="JR",SUMIFS($D:$D,$A:$A,$A2783,$B:$B,"&lt;&gt;Patrícia Karla de Sousa Araújo",$B:$B,"&lt;&gt;Lorena Dias de Araujo",$B:$B,"&lt;&gt;Lucas Luiz Romero")*(20/1083),IF(C2783="Estágio",SUMIFS($D:$D,$A:$A,$A2783,$B:$B,"&lt;&gt;Patrícia Karla de Sousa Araújo",$B:$B,"&lt;&gt;Lorena Dias de Araujo",$B:$B,"&lt;&gt;Lucas Luiz Romero")*(10/1083),0)))))),0)</f>
        <v>27</v>
      </c>
      <c r="K2783" s="3">
        <f>I2783-J2783</f>
        <v>5</v>
      </c>
      <c r="L2783" s="3" t="str">
        <f>IF(K2783&lt;-5,"CRÍTICO",IF(K2783&lt;0,"ATENÇÃO",IF(K2783&lt;=5,"OPORTUNO","MUITO BOM")))</f>
        <v>OPORTUNO</v>
      </c>
      <c r="M2783">
        <v>19</v>
      </c>
      <c r="N2783">
        <v>90</v>
      </c>
      <c r="O2783">
        <v>24.186046511627911</v>
      </c>
    </row>
    <row r="2784" spans="1:15" hidden="1" x14ac:dyDescent="0.25">
      <c r="A2784" s="11">
        <v>46087</v>
      </c>
      <c r="B2784" t="s">
        <v>62</v>
      </c>
      <c r="C2784" t="s">
        <v>23</v>
      </c>
      <c r="D2784">
        <v>24</v>
      </c>
      <c r="E2784">
        <v>20</v>
      </c>
      <c r="F2784">
        <v>19.010000000000002</v>
      </c>
      <c r="G2784">
        <v>0</v>
      </c>
      <c r="H2784">
        <v>0</v>
      </c>
      <c r="I2784" s="3">
        <f>E2784+G2784+H2784</f>
        <v>20</v>
      </c>
      <c r="J2784" s="3">
        <f>ROUND(MIN(IF(C2784="Técnico III",35,IF(C2784="Técnico II",28,IF(C2784="Técnico I",23,IF(C2784="JR",20,IF(C2784="Estágio",10,0))))),IF(C2784="Técnico III",SUMIFS($D:$D,$A:$A,$A2784,$B:$B,"&lt;&gt;Patrícia Karla de Sousa Araújo",$B:$B,"&lt;&gt;Lorena Dias de Araujo",$B:$B,"&lt;&gt;Lucas Luiz Romero")*(35/1083),IF(C2784="Técnico II",SUMIFS($D:$D,$A:$A,$A2784,$B:$B,"&lt;&gt;Patrícia Karla de Sousa Araújo",$B:$B,"&lt;&gt;Lorena Dias de Araujo",$B:$B,"&lt;&gt;Lucas Luiz Romero")*(28/1083),IF(C2784="Técnico I",SUMIFS($D:$D,$A:$A,$A2784,$B:$B,"&lt;&gt;Patrícia Karla de Sousa Araújo",$B:$B,"&lt;&gt;Lorena Dias de Araujo",$B:$B,"&lt;&gt;Lucas Luiz Romero")*(23/1083),IF(C2784="JR",SUMIFS($D:$D,$A:$A,$A2784,$B:$B,"&lt;&gt;Patrícia Karla de Sousa Araújo",$B:$B,"&lt;&gt;Lorena Dias de Araujo",$B:$B,"&lt;&gt;Lucas Luiz Romero")*(20/1083),IF(C2784="Estágio",SUMIFS($D:$D,$A:$A,$A2784,$B:$B,"&lt;&gt;Patrícia Karla de Sousa Araújo",$B:$B,"&lt;&gt;Lorena Dias de Araujo",$B:$B,"&lt;&gt;Lucas Luiz Romero")*(10/1083),0)))))),0)</f>
        <v>18</v>
      </c>
      <c r="K2784" s="3">
        <f>I2784-J2784</f>
        <v>2</v>
      </c>
      <c r="L2784" s="3" t="str">
        <f>IF(K2784&lt;-5,"CRÍTICO",IF(K2784&lt;0,"ATENÇÃO",IF(K2784&lt;=5,"OPORTUNO","MUITO BOM")))</f>
        <v>OPORTUNO</v>
      </c>
      <c r="M2784">
        <v>20</v>
      </c>
      <c r="N2784">
        <v>98.9</v>
      </c>
      <c r="O2784">
        <v>26.763990267639901</v>
      </c>
    </row>
    <row r="2785" spans="1:15" hidden="1" x14ac:dyDescent="0.25">
      <c r="A2785" s="11">
        <v>46087</v>
      </c>
      <c r="B2785" t="s">
        <v>19</v>
      </c>
      <c r="C2785" t="s">
        <v>16</v>
      </c>
      <c r="D2785">
        <v>61</v>
      </c>
      <c r="E2785">
        <v>28</v>
      </c>
      <c r="F2785">
        <v>3.41</v>
      </c>
      <c r="G2785">
        <v>0</v>
      </c>
      <c r="H2785">
        <v>0</v>
      </c>
      <c r="I2785" s="3">
        <f>E2785+G2785+H2785</f>
        <v>28</v>
      </c>
      <c r="J2785" s="3">
        <f>ROUND(MIN(IF(C2785="Técnico III",35,IF(C2785="Técnico II",28,IF(C2785="Técnico I",23,IF(C2785="JR",20,IF(C2785="Estágio",10,0))))),IF(C2785="Técnico III",SUMIFS($D:$D,$A:$A,$A2785,$B:$B,"&lt;&gt;Patrícia Karla de Sousa Araújo",$B:$B,"&lt;&gt;Lorena Dias de Araujo",$B:$B,"&lt;&gt;Lucas Luiz Romero")*(35/1083),IF(C2785="Técnico II",SUMIFS($D:$D,$A:$A,$A2785,$B:$B,"&lt;&gt;Patrícia Karla de Sousa Araújo",$B:$B,"&lt;&gt;Lorena Dias de Araujo",$B:$B,"&lt;&gt;Lucas Luiz Romero")*(28/1083),IF(C2785="Técnico I",SUMIFS($D:$D,$A:$A,$A2785,$B:$B,"&lt;&gt;Patrícia Karla de Sousa Araújo",$B:$B,"&lt;&gt;Lorena Dias de Araujo",$B:$B,"&lt;&gt;Lucas Luiz Romero")*(23/1083),IF(C2785="JR",SUMIFS($D:$D,$A:$A,$A2785,$B:$B,"&lt;&gt;Patrícia Karla de Sousa Araújo",$B:$B,"&lt;&gt;Lorena Dias de Araujo",$B:$B,"&lt;&gt;Lucas Luiz Romero")*(20/1083),IF(C2785="Estágio",SUMIFS($D:$D,$A:$A,$A2785,$B:$B,"&lt;&gt;Patrícia Karla de Sousa Araújo",$B:$B,"&lt;&gt;Lorena Dias de Araujo",$B:$B,"&lt;&gt;Lucas Luiz Romero")*(10/1083),0)))))),0)</f>
        <v>8</v>
      </c>
      <c r="K2785" s="3">
        <f>I2785-J2785</f>
        <v>20</v>
      </c>
      <c r="L2785" s="3" t="str">
        <f>IF(K2785&lt;-5,"CRÍTICO",IF(K2785&lt;0,"ATENÇÃO",IF(K2785&lt;=5,"OPORTUNO","MUITO BOM")))</f>
        <v>MUITO BOM</v>
      </c>
      <c r="M2785">
        <v>1</v>
      </c>
      <c r="N2785">
        <v>88.89</v>
      </c>
      <c r="O2785">
        <v>25.263157894736839</v>
      </c>
    </row>
    <row r="2786" spans="1:15" hidden="1" x14ac:dyDescent="0.25">
      <c r="A2786" s="11">
        <v>46087</v>
      </c>
      <c r="B2786" t="s">
        <v>43</v>
      </c>
      <c r="C2786" t="s">
        <v>32</v>
      </c>
      <c r="D2786">
        <v>11</v>
      </c>
      <c r="E2786">
        <v>10</v>
      </c>
      <c r="F2786">
        <v>18.29</v>
      </c>
      <c r="G2786">
        <v>0</v>
      </c>
      <c r="H2786">
        <v>0</v>
      </c>
      <c r="I2786" s="3">
        <f>E2786+G2786+H2786</f>
        <v>10</v>
      </c>
      <c r="J2786" s="3">
        <f>ROUND(MIN(IF(C2786="Técnico III",35,IF(C2786="Técnico II",28,IF(C2786="Técnico I",23,IF(C2786="JR",20,IF(C2786="Estágio",10,0))))),IF(C2786="Técnico III",SUMIFS($D:$D,$A:$A,$A2786,$B:$B,"&lt;&gt;Patrícia Karla de Sousa Araújo",$B:$B,"&lt;&gt;Lorena Dias de Araujo",$B:$B,"&lt;&gt;Lucas Luiz Romero")*(35/1083),IF(C2786="Técnico II",SUMIFS($D:$D,$A:$A,$A2786,$B:$B,"&lt;&gt;Patrícia Karla de Sousa Araújo",$B:$B,"&lt;&gt;Lorena Dias de Araujo",$B:$B,"&lt;&gt;Lucas Luiz Romero")*(28/1083),IF(C2786="Técnico I",SUMIFS($D:$D,$A:$A,$A2786,$B:$B,"&lt;&gt;Patrícia Karla de Sousa Araújo",$B:$B,"&lt;&gt;Lorena Dias de Araujo",$B:$B,"&lt;&gt;Lucas Luiz Romero")*(23/1083),IF(C2786="JR",SUMIFS($D:$D,$A:$A,$A2786,$B:$B,"&lt;&gt;Patrícia Karla de Sousa Araújo",$B:$B,"&lt;&gt;Lorena Dias de Araujo",$B:$B,"&lt;&gt;Lucas Luiz Romero")*(20/1083),IF(C2786="Estágio",SUMIFS($D:$D,$A:$A,$A2786,$B:$B,"&lt;&gt;Patrícia Karla de Sousa Araújo",$B:$B,"&lt;&gt;Lorena Dias de Araujo",$B:$B,"&lt;&gt;Lucas Luiz Romero")*(10/1083),0)))))),0)</f>
        <v>27</v>
      </c>
      <c r="K2786" s="3">
        <f>I2786-J2786</f>
        <v>-17</v>
      </c>
      <c r="L2786" s="3" t="str">
        <f>IF(K2786&lt;-5,"CRÍTICO",IF(K2786&lt;0,"ATENÇÃO",IF(K2786&lt;=5,"OPORTUNO","MUITO BOM")))</f>
        <v>CRÍTICO</v>
      </c>
      <c r="M2786">
        <v>48</v>
      </c>
      <c r="N2786">
        <v>98.86</v>
      </c>
      <c r="O2786">
        <v>28.959276018099551</v>
      </c>
    </row>
    <row r="2787" spans="1:15" hidden="1" x14ac:dyDescent="0.25">
      <c r="A2787" s="11">
        <v>46087</v>
      </c>
      <c r="B2787" t="s">
        <v>44</v>
      </c>
      <c r="C2787" t="s">
        <v>32</v>
      </c>
      <c r="D2787">
        <v>33</v>
      </c>
      <c r="E2787">
        <v>29</v>
      </c>
      <c r="F2787">
        <v>18.22</v>
      </c>
      <c r="G2787">
        <v>0</v>
      </c>
      <c r="H2787">
        <v>0</v>
      </c>
      <c r="I2787" s="3">
        <f>E2787+G2787+H2787</f>
        <v>29</v>
      </c>
      <c r="J2787" s="3">
        <f>ROUND(MIN(IF(C2787="Técnico III",35,IF(C2787="Técnico II",28,IF(C2787="Técnico I",23,IF(C2787="JR",20,IF(C2787="Estágio",10,0))))),IF(C2787="Técnico III",SUMIFS($D:$D,$A:$A,$A2787,$B:$B,"&lt;&gt;Patrícia Karla de Sousa Araújo",$B:$B,"&lt;&gt;Lorena Dias de Araujo",$B:$B,"&lt;&gt;Lucas Luiz Romero")*(35/1083),IF(C2787="Técnico II",SUMIFS($D:$D,$A:$A,$A2787,$B:$B,"&lt;&gt;Patrícia Karla de Sousa Araújo",$B:$B,"&lt;&gt;Lorena Dias de Araujo",$B:$B,"&lt;&gt;Lucas Luiz Romero")*(28/1083),IF(C2787="Técnico I",SUMIFS($D:$D,$A:$A,$A2787,$B:$B,"&lt;&gt;Patrícia Karla de Sousa Araújo",$B:$B,"&lt;&gt;Lorena Dias de Araujo",$B:$B,"&lt;&gt;Lucas Luiz Romero")*(23/1083),IF(C2787="JR",SUMIFS($D:$D,$A:$A,$A2787,$B:$B,"&lt;&gt;Patrícia Karla de Sousa Araújo",$B:$B,"&lt;&gt;Lorena Dias de Araujo",$B:$B,"&lt;&gt;Lucas Luiz Romero")*(20/1083),IF(C2787="Estágio",SUMIFS($D:$D,$A:$A,$A2787,$B:$B,"&lt;&gt;Patrícia Karla de Sousa Araújo",$B:$B,"&lt;&gt;Lorena Dias de Araujo",$B:$B,"&lt;&gt;Lucas Luiz Romero")*(10/1083),0)))))),0)</f>
        <v>27</v>
      </c>
      <c r="K2787" s="3">
        <f>I2787-J2787</f>
        <v>2</v>
      </c>
      <c r="L2787" s="3" t="str">
        <f>IF(K2787&lt;-5,"CRÍTICO",IF(K2787&lt;0,"ATENÇÃO",IF(K2787&lt;=5,"OPORTUNO","MUITO BOM")))</f>
        <v>OPORTUNO</v>
      </c>
      <c r="M2787">
        <v>26</v>
      </c>
      <c r="N2787">
        <v>98.06</v>
      </c>
      <c r="O2787">
        <v>22.40566037735849</v>
      </c>
    </row>
    <row r="2788" spans="1:15" hidden="1" x14ac:dyDescent="0.25">
      <c r="A2788" s="11">
        <v>46087</v>
      </c>
      <c r="B2788" t="s">
        <v>20</v>
      </c>
      <c r="C2788" t="s">
        <v>16</v>
      </c>
      <c r="D2788">
        <v>5</v>
      </c>
      <c r="E2788">
        <v>4</v>
      </c>
      <c r="F2788">
        <v>75.33</v>
      </c>
      <c r="G2788">
        <v>0</v>
      </c>
      <c r="H2788">
        <v>0</v>
      </c>
      <c r="I2788" s="3">
        <f>E2788+G2788+H2788</f>
        <v>4</v>
      </c>
      <c r="J2788" s="3">
        <f>ROUND(MIN(IF(C2788="Técnico III",35,IF(C2788="Técnico II",28,IF(C2788="Técnico I",23,IF(C2788="JR",20,IF(C2788="Estágio",10,0))))),IF(C2788="Técnico III",SUMIFS($D:$D,$A:$A,$A2788,$B:$B,"&lt;&gt;Patrícia Karla de Sousa Araújo",$B:$B,"&lt;&gt;Lorena Dias de Araujo",$B:$B,"&lt;&gt;Lucas Luiz Romero")*(35/1083),IF(C2788="Técnico II",SUMIFS($D:$D,$A:$A,$A2788,$B:$B,"&lt;&gt;Patrícia Karla de Sousa Araújo",$B:$B,"&lt;&gt;Lorena Dias de Araujo",$B:$B,"&lt;&gt;Lucas Luiz Romero")*(28/1083),IF(C2788="Técnico I",SUMIFS($D:$D,$A:$A,$A2788,$B:$B,"&lt;&gt;Patrícia Karla de Sousa Araújo",$B:$B,"&lt;&gt;Lorena Dias de Araujo",$B:$B,"&lt;&gt;Lucas Luiz Romero")*(23/1083),IF(C2788="JR",SUMIFS($D:$D,$A:$A,$A2788,$B:$B,"&lt;&gt;Patrícia Karla de Sousa Araújo",$B:$B,"&lt;&gt;Lorena Dias de Araujo",$B:$B,"&lt;&gt;Lucas Luiz Romero")*(20/1083),IF(C2788="Estágio",SUMIFS($D:$D,$A:$A,$A2788,$B:$B,"&lt;&gt;Patrícia Karla de Sousa Araújo",$B:$B,"&lt;&gt;Lorena Dias de Araujo",$B:$B,"&lt;&gt;Lucas Luiz Romero")*(10/1083),0)))))),0)</f>
        <v>8</v>
      </c>
      <c r="K2788" s="3">
        <f>I2788-J2788</f>
        <v>-4</v>
      </c>
      <c r="L2788" s="3" t="str">
        <f>IF(K2788&lt;-5,"CRÍTICO",IF(K2788&lt;0,"ATENÇÃO",IF(K2788&lt;=5,"OPORTUNO","MUITO BOM")))</f>
        <v>ATENÇÃO</v>
      </c>
      <c r="M2788">
        <v>2</v>
      </c>
      <c r="N2788">
        <v>95.83</v>
      </c>
      <c r="O2788">
        <v>25.773195876288661</v>
      </c>
    </row>
    <row r="2789" spans="1:15" hidden="1" x14ac:dyDescent="0.25">
      <c r="A2789" s="11">
        <v>46087</v>
      </c>
      <c r="B2789" t="s">
        <v>28</v>
      </c>
      <c r="C2789" t="s">
        <v>26</v>
      </c>
      <c r="D2789">
        <v>0</v>
      </c>
      <c r="E2789">
        <v>0</v>
      </c>
      <c r="F2789">
        <v>0</v>
      </c>
      <c r="G2789">
        <v>0</v>
      </c>
      <c r="H2789">
        <v>0</v>
      </c>
      <c r="I2789" s="3">
        <v>0</v>
      </c>
      <c r="J2789" s="3">
        <v>0</v>
      </c>
      <c r="K2789" s="3">
        <v>0</v>
      </c>
      <c r="L2789" s="3" t="str">
        <f>IF(K2789&lt;-5,"CRÍTICO",IF(K2789&lt;0,"ATENÇÃO",IF(K2789&lt;=5,"OPORTUNO","MUITO BOM")))</f>
        <v>OPORTUNO</v>
      </c>
      <c r="M2789">
        <v>0</v>
      </c>
      <c r="N2789">
        <v>100</v>
      </c>
      <c r="O2789">
        <v>15.38461538461539</v>
      </c>
    </row>
    <row r="2790" spans="1:15" hidden="1" x14ac:dyDescent="0.25">
      <c r="A2790" s="11">
        <v>46087</v>
      </c>
      <c r="B2790" t="s">
        <v>58</v>
      </c>
      <c r="C2790" t="s">
        <v>48</v>
      </c>
      <c r="D2790">
        <v>32</v>
      </c>
      <c r="E2790">
        <v>30</v>
      </c>
      <c r="F2790">
        <v>18.57</v>
      </c>
      <c r="G2790">
        <v>0</v>
      </c>
      <c r="H2790">
        <v>0</v>
      </c>
      <c r="I2790" s="3">
        <f>E2790+G2790+H2790</f>
        <v>30</v>
      </c>
      <c r="J2790" s="3">
        <f>ROUND(MIN(IF(C2790="Técnico III",35,IF(C2790="Técnico II",28,IF(C2790="Técnico I",23,IF(C2790="JR",20,IF(C2790="Estágio",10,0))))),IF(C2790="Técnico III",SUMIFS($D:$D,$A:$A,$A2790,$B:$B,"&lt;&gt;Patrícia Karla de Sousa Araújo",$B:$B,"&lt;&gt;Lorena Dias de Araujo",$B:$B,"&lt;&gt;Lucas Luiz Romero")*(35/1083),IF(C2790="Técnico II",SUMIFS($D:$D,$A:$A,$A2790,$B:$B,"&lt;&gt;Patrícia Karla de Sousa Araújo",$B:$B,"&lt;&gt;Lorena Dias de Araujo",$B:$B,"&lt;&gt;Lucas Luiz Romero")*(28/1083),IF(C2790="Técnico I",SUMIFS($D:$D,$A:$A,$A2790,$B:$B,"&lt;&gt;Patrícia Karla de Sousa Araújo",$B:$B,"&lt;&gt;Lorena Dias de Araujo",$B:$B,"&lt;&gt;Lucas Luiz Romero")*(23/1083),IF(C2790="JR",SUMIFS($D:$D,$A:$A,$A2790,$B:$B,"&lt;&gt;Patrícia Karla de Sousa Araújo",$B:$B,"&lt;&gt;Lorena Dias de Araujo",$B:$B,"&lt;&gt;Lucas Luiz Romero")*(20/1083),IF(C2790="Estágio",SUMIFS($D:$D,$A:$A,$A2790,$B:$B,"&lt;&gt;Patrícia Karla de Sousa Araújo",$B:$B,"&lt;&gt;Lorena Dias de Araujo",$B:$B,"&lt;&gt;Lucas Luiz Romero")*(10/1083),0)))))),0)</f>
        <v>22</v>
      </c>
      <c r="K2790" s="3">
        <f>I2790-J2790</f>
        <v>8</v>
      </c>
      <c r="L2790" s="3" t="str">
        <f>IF(K2790&lt;-5,"CRÍTICO",IF(K2790&lt;0,"ATENÇÃO",IF(K2790&lt;=5,"OPORTUNO","MUITO BOM")))</f>
        <v>MUITO BOM</v>
      </c>
      <c r="M2790">
        <v>26</v>
      </c>
      <c r="N2790">
        <v>100</v>
      </c>
      <c r="O2790">
        <v>27.514792899408281</v>
      </c>
    </row>
    <row r="2791" spans="1:15" hidden="1" x14ac:dyDescent="0.25">
      <c r="A2791" s="11">
        <v>46087</v>
      </c>
      <c r="B2791" t="s">
        <v>29</v>
      </c>
      <c r="C2791" t="s">
        <v>26</v>
      </c>
      <c r="D2791">
        <v>15</v>
      </c>
      <c r="E2791">
        <v>15</v>
      </c>
      <c r="F2791">
        <v>27</v>
      </c>
      <c r="G2791">
        <v>0</v>
      </c>
      <c r="H2791">
        <v>0</v>
      </c>
      <c r="I2791" s="3">
        <f>E2791+G2791+H2791</f>
        <v>15</v>
      </c>
      <c r="J2791" s="3">
        <f>ROUND(MIN(IF(C2791="Técnico III",35,IF(C2791="Técnico II",28,IF(C2791="Técnico I",23,IF(C2791="JR",20,IF(C2791="Estágio",10,0))))),IF(C2791="Técnico III",SUMIFS($D:$D,$A:$A,$A2791,$B:$B,"&lt;&gt;Patrícia Karla de Sousa Araújo",$B:$B,"&lt;&gt;Lorena Dias de Araujo",$B:$B,"&lt;&gt;Lucas Luiz Romero")*(35/1083),IF(C2791="Técnico II",SUMIFS($D:$D,$A:$A,$A2791,$B:$B,"&lt;&gt;Patrícia Karla de Sousa Araújo",$B:$B,"&lt;&gt;Lorena Dias de Araujo",$B:$B,"&lt;&gt;Lucas Luiz Romero")*(28/1083),IF(C2791="Técnico I",SUMIFS($D:$D,$A:$A,$A2791,$B:$B,"&lt;&gt;Patrícia Karla de Sousa Araújo",$B:$B,"&lt;&gt;Lorena Dias de Araujo",$B:$B,"&lt;&gt;Lucas Luiz Romero")*(23/1083),IF(C2791="JR",SUMIFS($D:$D,$A:$A,$A2791,$B:$B,"&lt;&gt;Patrícia Karla de Sousa Araújo",$B:$B,"&lt;&gt;Lorena Dias de Araujo",$B:$B,"&lt;&gt;Lucas Luiz Romero")*(20/1083),IF(C2791="Estágio",SUMIFS($D:$D,$A:$A,$A2791,$B:$B,"&lt;&gt;Patrícia Karla de Sousa Araújo",$B:$B,"&lt;&gt;Lorena Dias de Araujo",$B:$B,"&lt;&gt;Lucas Luiz Romero")*(10/1083),0)))))),0)</f>
        <v>16</v>
      </c>
      <c r="K2791" s="3">
        <f>I2791-J2791</f>
        <v>-1</v>
      </c>
      <c r="L2791" s="3" t="str">
        <f>IF(K2791&lt;-5,"CRÍTICO",IF(K2791&lt;0,"ATENÇÃO",IF(K2791&lt;=5,"OPORTUNO","MUITO BOM")))</f>
        <v>ATENÇÃO</v>
      </c>
      <c r="M2791">
        <v>14</v>
      </c>
      <c r="N2791">
        <v>100</v>
      </c>
      <c r="O2791">
        <v>24.875621890547269</v>
      </c>
    </row>
    <row r="2792" spans="1:15" hidden="1" x14ac:dyDescent="0.25">
      <c r="A2792" s="11">
        <v>46087</v>
      </c>
      <c r="B2792" t="s">
        <v>30</v>
      </c>
      <c r="C2792" t="s">
        <v>26</v>
      </c>
      <c r="D2792">
        <v>8</v>
      </c>
      <c r="E2792">
        <v>8</v>
      </c>
      <c r="F2792">
        <v>45.18</v>
      </c>
      <c r="G2792">
        <v>0</v>
      </c>
      <c r="H2792">
        <v>0</v>
      </c>
      <c r="I2792" s="3">
        <f>E2792+G2792+H2792</f>
        <v>8</v>
      </c>
      <c r="J2792" s="3">
        <f>ROUND(MIN(IF(C2792="Técnico III",35,IF(C2792="Técnico II",28,IF(C2792="Técnico I",23,IF(C2792="JR",20,IF(C2792="Estágio",10,0))))),IF(C2792="Técnico III",SUMIFS($D:$D,$A:$A,$A2792,$B:$B,"&lt;&gt;Patrícia Karla de Sousa Araújo",$B:$B,"&lt;&gt;Lorena Dias de Araujo",$B:$B,"&lt;&gt;Lucas Luiz Romero")*(35/1083),IF(C2792="Técnico II",SUMIFS($D:$D,$A:$A,$A2792,$B:$B,"&lt;&gt;Patrícia Karla de Sousa Araújo",$B:$B,"&lt;&gt;Lorena Dias de Araujo",$B:$B,"&lt;&gt;Lucas Luiz Romero")*(28/1083),IF(C2792="Técnico I",SUMIFS($D:$D,$A:$A,$A2792,$B:$B,"&lt;&gt;Patrícia Karla de Sousa Araújo",$B:$B,"&lt;&gt;Lorena Dias de Araujo",$B:$B,"&lt;&gt;Lucas Luiz Romero")*(23/1083),IF(C2792="JR",SUMIFS($D:$D,$A:$A,$A2792,$B:$B,"&lt;&gt;Patrícia Karla de Sousa Araújo",$B:$B,"&lt;&gt;Lorena Dias de Araujo",$B:$B,"&lt;&gt;Lucas Luiz Romero")*(20/1083),IF(C2792="Estágio",SUMIFS($D:$D,$A:$A,$A2792,$B:$B,"&lt;&gt;Patrícia Karla de Sousa Araújo",$B:$B,"&lt;&gt;Lorena Dias de Araujo",$B:$B,"&lt;&gt;Lucas Luiz Romero")*(10/1083),0)))))),0)</f>
        <v>16</v>
      </c>
      <c r="K2792" s="3">
        <f>I2792-J2792</f>
        <v>-8</v>
      </c>
      <c r="L2792" s="3" t="str">
        <f>IF(K2792&lt;-5,"CRÍTICO",IF(K2792&lt;0,"ATENÇÃO",IF(K2792&lt;=5,"OPORTUNO","MUITO BOM")))</f>
        <v>CRÍTICO</v>
      </c>
      <c r="M2792">
        <v>4</v>
      </c>
      <c r="N2792">
        <v>100</v>
      </c>
      <c r="O2792">
        <v>28.108108108108109</v>
      </c>
    </row>
    <row r="2793" spans="1:15" hidden="1" x14ac:dyDescent="0.25">
      <c r="A2793" s="11">
        <v>46087</v>
      </c>
      <c r="B2793" t="s">
        <v>21</v>
      </c>
      <c r="C2793" t="s">
        <v>16</v>
      </c>
      <c r="D2793">
        <v>0</v>
      </c>
      <c r="E2793">
        <v>0</v>
      </c>
      <c r="F2793">
        <v>0</v>
      </c>
      <c r="G2793">
        <v>0</v>
      </c>
      <c r="H2793">
        <v>0</v>
      </c>
      <c r="I2793" s="3">
        <v>0</v>
      </c>
      <c r="J2793" s="3">
        <v>0</v>
      </c>
      <c r="K2793" s="3">
        <v>0</v>
      </c>
      <c r="L2793" s="3" t="str">
        <f>IF(K2793&lt;-5,"CRÍTICO",IF(K2793&lt;0,"ATENÇÃO",IF(K2793&lt;=5,"OPORTUNO","MUITO BOM")))</f>
        <v>OPORTUNO</v>
      </c>
      <c r="M2793">
        <v>0</v>
      </c>
      <c r="N2793">
        <v>100</v>
      </c>
      <c r="O2793">
        <v>35</v>
      </c>
    </row>
    <row r="2794" spans="1:15" hidden="1" x14ac:dyDescent="0.25">
      <c r="A2794" s="11">
        <v>46087</v>
      </c>
      <c r="B2794" t="s">
        <v>63</v>
      </c>
      <c r="C2794" t="s">
        <v>23</v>
      </c>
      <c r="D2794">
        <v>18</v>
      </c>
      <c r="E2794">
        <v>18</v>
      </c>
      <c r="F2794">
        <v>31.47</v>
      </c>
      <c r="G2794">
        <v>0</v>
      </c>
      <c r="H2794">
        <v>0</v>
      </c>
      <c r="I2794" s="3">
        <f>E2794+G2794+H2794</f>
        <v>18</v>
      </c>
      <c r="J2794" s="3">
        <f>ROUND(MIN(IF(C2794="Técnico III",35,IF(C2794="Técnico II",28,IF(C2794="Técnico I",23,IF(C2794="JR",20,IF(C2794="Estágio",10,0))))),IF(C2794="Técnico III",SUMIFS($D:$D,$A:$A,$A2794,$B:$B,"&lt;&gt;Patrícia Karla de Sousa Araújo",$B:$B,"&lt;&gt;Lorena Dias de Araujo",$B:$B,"&lt;&gt;Lucas Luiz Romero")*(35/1083),IF(C2794="Técnico II",SUMIFS($D:$D,$A:$A,$A2794,$B:$B,"&lt;&gt;Patrícia Karla de Sousa Araújo",$B:$B,"&lt;&gt;Lorena Dias de Araujo",$B:$B,"&lt;&gt;Lucas Luiz Romero")*(28/1083),IF(C2794="Técnico I",SUMIFS($D:$D,$A:$A,$A2794,$B:$B,"&lt;&gt;Patrícia Karla de Sousa Araújo",$B:$B,"&lt;&gt;Lorena Dias de Araujo",$B:$B,"&lt;&gt;Lucas Luiz Romero")*(23/1083),IF(C2794="JR",SUMIFS($D:$D,$A:$A,$A2794,$B:$B,"&lt;&gt;Patrícia Karla de Sousa Araújo",$B:$B,"&lt;&gt;Lorena Dias de Araujo",$B:$B,"&lt;&gt;Lucas Luiz Romero")*(20/1083),IF(C2794="Estágio",SUMIFS($D:$D,$A:$A,$A2794,$B:$B,"&lt;&gt;Patrícia Karla de Sousa Araújo",$B:$B,"&lt;&gt;Lorena Dias de Araujo",$B:$B,"&lt;&gt;Lucas Luiz Romero")*(10/1083),0)))))),0)</f>
        <v>18</v>
      </c>
      <c r="K2794" s="3">
        <f>I2794-J2794</f>
        <v>0</v>
      </c>
      <c r="L2794" s="3" t="str">
        <f>IF(K2794&lt;-5,"CRÍTICO",IF(K2794&lt;0,"ATENÇÃO",IF(K2794&lt;=5,"OPORTUNO","MUITO BOM")))</f>
        <v>OPORTUNO</v>
      </c>
      <c r="M2794">
        <v>14</v>
      </c>
      <c r="N2794">
        <v>95.35</v>
      </c>
      <c r="O2794">
        <v>28.61538461538461</v>
      </c>
    </row>
    <row r="2795" spans="1:15" hidden="1" x14ac:dyDescent="0.25">
      <c r="A2795" s="11">
        <v>46087</v>
      </c>
      <c r="B2795" t="s">
        <v>45</v>
      </c>
      <c r="C2795" t="s">
        <v>32</v>
      </c>
      <c r="D2795">
        <v>49</v>
      </c>
      <c r="E2795">
        <v>42</v>
      </c>
      <c r="F2795">
        <v>9.0399999999999991</v>
      </c>
      <c r="G2795">
        <v>0</v>
      </c>
      <c r="H2795">
        <v>0</v>
      </c>
      <c r="I2795" s="3">
        <f>E2795+G2795+H2795</f>
        <v>42</v>
      </c>
      <c r="J2795" s="3">
        <f>ROUND(MIN(IF(C2795="Técnico III",35,IF(C2795="Técnico II",28,IF(C2795="Técnico I",23,IF(C2795="JR",20,IF(C2795="Estágio",10,0))))),IF(C2795="Técnico III",SUMIFS($D:$D,$A:$A,$A2795,$B:$B,"&lt;&gt;Patrícia Karla de Sousa Araújo",$B:$B,"&lt;&gt;Lorena Dias de Araujo",$B:$B,"&lt;&gt;Lucas Luiz Romero")*(35/1083),IF(C2795="Técnico II",SUMIFS($D:$D,$A:$A,$A2795,$B:$B,"&lt;&gt;Patrícia Karla de Sousa Araújo",$B:$B,"&lt;&gt;Lorena Dias de Araujo",$B:$B,"&lt;&gt;Lucas Luiz Romero")*(28/1083),IF(C2795="Técnico I",SUMIFS($D:$D,$A:$A,$A2795,$B:$B,"&lt;&gt;Patrícia Karla de Sousa Araújo",$B:$B,"&lt;&gt;Lorena Dias de Araujo",$B:$B,"&lt;&gt;Lucas Luiz Romero")*(23/1083),IF(C2795="JR",SUMIFS($D:$D,$A:$A,$A2795,$B:$B,"&lt;&gt;Patrícia Karla de Sousa Araújo",$B:$B,"&lt;&gt;Lorena Dias de Araujo",$B:$B,"&lt;&gt;Lucas Luiz Romero")*(20/1083),IF(C2795="Estágio",SUMIFS($D:$D,$A:$A,$A2795,$B:$B,"&lt;&gt;Patrícia Karla de Sousa Araújo",$B:$B,"&lt;&gt;Lorena Dias de Araujo",$B:$B,"&lt;&gt;Lucas Luiz Romero")*(10/1083),0)))))),0)</f>
        <v>27</v>
      </c>
      <c r="K2795" s="3">
        <f>I2795-J2795</f>
        <v>15</v>
      </c>
      <c r="L2795" s="3" t="str">
        <f>IF(K2795&lt;-5,"CRÍTICO",IF(K2795&lt;0,"ATENÇÃO",IF(K2795&lt;=5,"OPORTUNO","MUITO BOM")))</f>
        <v>MUITO BOM</v>
      </c>
      <c r="M2795">
        <v>39</v>
      </c>
      <c r="N2795">
        <v>98.26</v>
      </c>
      <c r="O2795">
        <v>27.54491017964072</v>
      </c>
    </row>
    <row r="2796" spans="1:15" hidden="1" x14ac:dyDescent="0.25">
      <c r="A2796" s="11">
        <v>46087</v>
      </c>
      <c r="B2796" t="s">
        <v>64</v>
      </c>
      <c r="C2796" t="s">
        <v>23</v>
      </c>
      <c r="D2796">
        <v>15</v>
      </c>
      <c r="E2796">
        <v>14</v>
      </c>
      <c r="F2796">
        <v>40.119999999999997</v>
      </c>
      <c r="G2796">
        <v>0</v>
      </c>
      <c r="H2796">
        <v>0</v>
      </c>
      <c r="I2796" s="3">
        <f>E2796+G2796+H2796</f>
        <v>14</v>
      </c>
      <c r="J2796" s="3">
        <f>ROUND(MIN(IF(C2796="Técnico III",35,IF(C2796="Técnico II",28,IF(C2796="Técnico I",23,IF(C2796="JR",20,IF(C2796="Estágio",10,0))))),IF(C2796="Técnico III",SUMIFS($D:$D,$A:$A,$A2796,$B:$B,"&lt;&gt;Patrícia Karla de Sousa Araújo",$B:$B,"&lt;&gt;Lorena Dias de Araujo",$B:$B,"&lt;&gt;Lucas Luiz Romero")*(35/1083),IF(C2796="Técnico II",SUMIFS($D:$D,$A:$A,$A2796,$B:$B,"&lt;&gt;Patrícia Karla de Sousa Araújo",$B:$B,"&lt;&gt;Lorena Dias de Araujo",$B:$B,"&lt;&gt;Lucas Luiz Romero")*(28/1083),IF(C2796="Técnico I",SUMIFS($D:$D,$A:$A,$A2796,$B:$B,"&lt;&gt;Patrícia Karla de Sousa Araújo",$B:$B,"&lt;&gt;Lorena Dias de Araujo",$B:$B,"&lt;&gt;Lucas Luiz Romero")*(23/1083),IF(C2796="JR",SUMIFS($D:$D,$A:$A,$A2796,$B:$B,"&lt;&gt;Patrícia Karla de Sousa Araújo",$B:$B,"&lt;&gt;Lorena Dias de Araujo",$B:$B,"&lt;&gt;Lucas Luiz Romero")*(20/1083),IF(C2796="Estágio",SUMIFS($D:$D,$A:$A,$A2796,$B:$B,"&lt;&gt;Patrícia Karla de Sousa Araújo",$B:$B,"&lt;&gt;Lorena Dias de Araujo",$B:$B,"&lt;&gt;Lucas Luiz Romero")*(10/1083),0)))))),0)</f>
        <v>18</v>
      </c>
      <c r="K2796" s="3">
        <f>I2796-J2796</f>
        <v>-4</v>
      </c>
      <c r="L2796" s="3" t="str">
        <f>IF(K2796&lt;-5,"CRÍTICO",IF(K2796&lt;0,"ATENÇÃO",IF(K2796&lt;=5,"OPORTUNO","MUITO BOM")))</f>
        <v>ATENÇÃO</v>
      </c>
      <c r="M2796">
        <v>13</v>
      </c>
      <c r="N2796">
        <v>98.55</v>
      </c>
      <c r="O2796">
        <v>25.337837837837839</v>
      </c>
    </row>
    <row r="2797" spans="1:15" hidden="1" x14ac:dyDescent="0.25">
      <c r="A2797" s="11">
        <v>46087</v>
      </c>
      <c r="B2797" t="s">
        <v>46</v>
      </c>
      <c r="C2797" t="s">
        <v>32</v>
      </c>
      <c r="D2797">
        <v>38</v>
      </c>
      <c r="E2797">
        <v>37</v>
      </c>
      <c r="F2797">
        <v>15.18</v>
      </c>
      <c r="G2797">
        <v>0</v>
      </c>
      <c r="H2797">
        <v>0</v>
      </c>
      <c r="I2797" s="3">
        <f>E2797+G2797+H2797</f>
        <v>37</v>
      </c>
      <c r="J2797" s="3">
        <f>ROUND(MIN(IF(C2797="Técnico III",35,IF(C2797="Técnico II",28,IF(C2797="Técnico I",23,IF(C2797="JR",20,IF(C2797="Estágio",10,0))))),IF(C2797="Técnico III",SUMIFS($D:$D,$A:$A,$A2797,$B:$B,"&lt;&gt;Patrícia Karla de Sousa Araújo",$B:$B,"&lt;&gt;Lorena Dias de Araujo",$B:$B,"&lt;&gt;Lucas Luiz Romero")*(35/1083),IF(C2797="Técnico II",SUMIFS($D:$D,$A:$A,$A2797,$B:$B,"&lt;&gt;Patrícia Karla de Sousa Araújo",$B:$B,"&lt;&gt;Lorena Dias de Araujo",$B:$B,"&lt;&gt;Lucas Luiz Romero")*(28/1083),IF(C2797="Técnico I",SUMIFS($D:$D,$A:$A,$A2797,$B:$B,"&lt;&gt;Patrícia Karla de Sousa Araújo",$B:$B,"&lt;&gt;Lorena Dias de Araujo",$B:$B,"&lt;&gt;Lucas Luiz Romero")*(23/1083),IF(C2797="JR",SUMIFS($D:$D,$A:$A,$A2797,$B:$B,"&lt;&gt;Patrícia Karla de Sousa Araújo",$B:$B,"&lt;&gt;Lorena Dias de Araujo",$B:$B,"&lt;&gt;Lucas Luiz Romero")*(20/1083),IF(C2797="Estágio",SUMIFS($D:$D,$A:$A,$A2797,$B:$B,"&lt;&gt;Patrícia Karla de Sousa Araújo",$B:$B,"&lt;&gt;Lorena Dias de Araujo",$B:$B,"&lt;&gt;Lucas Luiz Romero")*(10/1083),0)))))),0)</f>
        <v>27</v>
      </c>
      <c r="K2797" s="3">
        <f>I2797-J2797</f>
        <v>10</v>
      </c>
      <c r="L2797" s="3" t="str">
        <f>IF(K2797&lt;-5,"CRÍTICO",IF(K2797&lt;0,"ATENÇÃO",IF(K2797&lt;=5,"OPORTUNO","MUITO BOM")))</f>
        <v>MUITO BOM</v>
      </c>
      <c r="M2797">
        <v>29</v>
      </c>
      <c r="N2797">
        <v>98.39</v>
      </c>
      <c r="O2797">
        <v>25.563909774436091</v>
      </c>
    </row>
    <row r="2798" spans="1:15" hidden="1" x14ac:dyDescent="0.25">
      <c r="A2798" s="11">
        <v>46090</v>
      </c>
      <c r="B2798" t="s">
        <v>47</v>
      </c>
      <c r="C2798" t="s">
        <v>48</v>
      </c>
      <c r="D2798">
        <v>21</v>
      </c>
      <c r="E2798">
        <v>20</v>
      </c>
      <c r="F2798">
        <v>15.23</v>
      </c>
      <c r="G2798">
        <v>0</v>
      </c>
      <c r="H2798">
        <v>0</v>
      </c>
      <c r="I2798" s="3">
        <f>E2798+G2798+H2798</f>
        <v>20</v>
      </c>
      <c r="J2798" s="3">
        <f>ROUND(MIN(IF(C2798="Técnico III",35,IF(C2798="Técnico II",28,IF(C2798="Técnico I",23,IF(C2798="JR",20,IF(C2798="Estágio",10,0))))),IF(C2798="Técnico III",SUMIFS($D:$D,$A:$A,$A2798,$B:$B,"&lt;&gt;Patrícia Karla de Sousa Araújo",$B:$B,"&lt;&gt;Lorena Dias de Araujo",$B:$B,"&lt;&gt;Lucas Luiz Romero")*(35/1083),IF(C2798="Técnico II",SUMIFS($D:$D,$A:$A,$A2798,$B:$B,"&lt;&gt;Patrícia Karla de Sousa Araújo",$B:$B,"&lt;&gt;Lorena Dias de Araujo",$B:$B,"&lt;&gt;Lucas Luiz Romero")*(28/1083),IF(C2798="Técnico I",SUMIFS($D:$D,$A:$A,$A2798,$B:$B,"&lt;&gt;Patrícia Karla de Sousa Araújo",$B:$B,"&lt;&gt;Lorena Dias de Araujo",$B:$B,"&lt;&gt;Lucas Luiz Romero")*(23/1083),IF(C2798="JR",SUMIFS($D:$D,$A:$A,$A2798,$B:$B,"&lt;&gt;Patrícia Karla de Sousa Araújo",$B:$B,"&lt;&gt;Lorena Dias de Araujo",$B:$B,"&lt;&gt;Lucas Luiz Romero")*(20/1083),IF(C2798="Estágio",SUMIFS($D:$D,$A:$A,$A2798,$B:$B,"&lt;&gt;Patrícia Karla de Sousa Araújo",$B:$B,"&lt;&gt;Lorena Dias de Araujo",$B:$B,"&lt;&gt;Lucas Luiz Romero")*(10/1083),0)))))),0)</f>
        <v>17</v>
      </c>
      <c r="K2798" s="3">
        <f>I2798-J2798</f>
        <v>3</v>
      </c>
      <c r="L2798" s="3" t="str">
        <f>IF(K2798&lt;-5,"CRÍTICO",IF(K2798&lt;0,"ATENÇÃO",IF(K2798&lt;=5,"OPORTUNO","MUITO BOM")))</f>
        <v>OPORTUNO</v>
      </c>
      <c r="M2798">
        <v>18</v>
      </c>
      <c r="N2798">
        <v>94.29</v>
      </c>
      <c r="O2798">
        <v>25.647668393782389</v>
      </c>
    </row>
    <row r="2799" spans="1:15" hidden="1" x14ac:dyDescent="0.25">
      <c r="A2799" s="11">
        <v>46090</v>
      </c>
      <c r="B2799" t="s">
        <v>31</v>
      </c>
      <c r="C2799" t="s">
        <v>32</v>
      </c>
      <c r="D2799">
        <v>0</v>
      </c>
      <c r="E2799">
        <v>0</v>
      </c>
      <c r="F2799">
        <v>0</v>
      </c>
      <c r="G2799">
        <v>0</v>
      </c>
      <c r="H2799">
        <v>0</v>
      </c>
      <c r="I2799" s="3">
        <v>0</v>
      </c>
      <c r="J2799" s="3">
        <v>0</v>
      </c>
      <c r="K2799" s="3">
        <v>0</v>
      </c>
      <c r="L2799" s="3" t="str">
        <f>IF(K2799&lt;-5,"CRÍTICO",IF(K2799&lt;0,"ATENÇÃO",IF(K2799&lt;=5,"OPORTUNO","MUITO BOM")))</f>
        <v>OPORTUNO</v>
      </c>
      <c r="M2799">
        <v>24</v>
      </c>
      <c r="N2799">
        <v>98.26</v>
      </c>
      <c r="O2799">
        <v>26.666666666666671</v>
      </c>
    </row>
    <row r="2800" spans="1:15" hidden="1" x14ac:dyDescent="0.25">
      <c r="A2800" s="11">
        <v>46090</v>
      </c>
      <c r="B2800" t="s">
        <v>59</v>
      </c>
      <c r="C2800" t="s">
        <v>23</v>
      </c>
      <c r="D2800">
        <v>21</v>
      </c>
      <c r="E2800">
        <v>19</v>
      </c>
      <c r="F2800">
        <v>24.11</v>
      </c>
      <c r="G2800">
        <v>0</v>
      </c>
      <c r="H2800">
        <v>0</v>
      </c>
      <c r="I2800" s="3">
        <f>E2800+G2800+H2800</f>
        <v>19</v>
      </c>
      <c r="J2800" s="3">
        <f>ROUND(MIN(IF(C2800="Técnico III",35,IF(C2800="Técnico II",28,IF(C2800="Técnico I",23,IF(C2800="JR",20,IF(C2800="Estágio",10,0))))),IF(C2800="Técnico III",SUMIFS($D:$D,$A:$A,$A2800,$B:$B,"&lt;&gt;Patrícia Karla de Sousa Araújo",$B:$B,"&lt;&gt;Lorena Dias de Araujo",$B:$B,"&lt;&gt;Lucas Luiz Romero")*(35/1083),IF(C2800="Técnico II",SUMIFS($D:$D,$A:$A,$A2800,$B:$B,"&lt;&gt;Patrícia Karla de Sousa Araújo",$B:$B,"&lt;&gt;Lorena Dias de Araujo",$B:$B,"&lt;&gt;Lucas Luiz Romero")*(28/1083),IF(C2800="Técnico I",SUMIFS($D:$D,$A:$A,$A2800,$B:$B,"&lt;&gt;Patrícia Karla de Sousa Araújo",$B:$B,"&lt;&gt;Lorena Dias de Araujo",$B:$B,"&lt;&gt;Lucas Luiz Romero")*(23/1083),IF(C2800="JR",SUMIFS($D:$D,$A:$A,$A2800,$B:$B,"&lt;&gt;Patrícia Karla de Sousa Araújo",$B:$B,"&lt;&gt;Lorena Dias de Araujo",$B:$B,"&lt;&gt;Lucas Luiz Romero")*(20/1083),IF(C2800="Estágio",SUMIFS($D:$D,$A:$A,$A2800,$B:$B,"&lt;&gt;Patrícia Karla de Sousa Araújo",$B:$B,"&lt;&gt;Lorena Dias de Araujo",$B:$B,"&lt;&gt;Lucas Luiz Romero")*(10/1083),0)))))),0)</f>
        <v>14</v>
      </c>
      <c r="K2800" s="3">
        <f>I2800-J2800</f>
        <v>5</v>
      </c>
      <c r="L2800" s="3" t="str">
        <f>IF(K2800&lt;-5,"CRÍTICO",IF(K2800&lt;0,"ATENÇÃO",IF(K2800&lt;=5,"OPORTUNO","MUITO BOM")))</f>
        <v>OPORTUNO</v>
      </c>
      <c r="M2800">
        <v>18</v>
      </c>
      <c r="N2800">
        <v>98.2</v>
      </c>
      <c r="O2800">
        <v>23.37962962962963</v>
      </c>
    </row>
    <row r="2801" spans="1:15" hidden="1" x14ac:dyDescent="0.25">
      <c r="A2801" s="11">
        <v>46090</v>
      </c>
      <c r="B2801" t="s">
        <v>33</v>
      </c>
      <c r="C2801" t="s">
        <v>32</v>
      </c>
      <c r="D2801">
        <v>23</v>
      </c>
      <c r="E2801">
        <v>23</v>
      </c>
      <c r="F2801">
        <v>23.58</v>
      </c>
      <c r="G2801">
        <v>0</v>
      </c>
      <c r="H2801">
        <v>0</v>
      </c>
      <c r="I2801" s="3">
        <f>E2801+G2801+H2801</f>
        <v>23</v>
      </c>
      <c r="J2801" s="3">
        <f>ROUND(MIN(IF(C2801="Técnico III",35,IF(C2801="Técnico II",28,IF(C2801="Técnico I",23,IF(C2801="JR",20,IF(C2801="Estágio",10,0))))),IF(C2801="Técnico III",SUMIFS($D:$D,$A:$A,$A2801,$B:$B,"&lt;&gt;Patrícia Karla de Sousa Araújo",$B:$B,"&lt;&gt;Lorena Dias de Araujo",$B:$B,"&lt;&gt;Lucas Luiz Romero")*(35/1083),IF(C2801="Técnico II",SUMIFS($D:$D,$A:$A,$A2801,$B:$B,"&lt;&gt;Patrícia Karla de Sousa Araújo",$B:$B,"&lt;&gt;Lorena Dias de Araujo",$B:$B,"&lt;&gt;Lucas Luiz Romero")*(28/1083),IF(C2801="Técnico I",SUMIFS($D:$D,$A:$A,$A2801,$B:$B,"&lt;&gt;Patrícia Karla de Sousa Araújo",$B:$B,"&lt;&gt;Lorena Dias de Araujo",$B:$B,"&lt;&gt;Lucas Luiz Romero")*(23/1083),IF(C2801="JR",SUMIFS($D:$D,$A:$A,$A2801,$B:$B,"&lt;&gt;Patrícia Karla de Sousa Araújo",$B:$B,"&lt;&gt;Lorena Dias de Araujo",$B:$B,"&lt;&gt;Lucas Luiz Romero")*(20/1083),IF(C2801="Estágio",SUMIFS($D:$D,$A:$A,$A2801,$B:$B,"&lt;&gt;Patrícia Karla de Sousa Araújo",$B:$B,"&lt;&gt;Lorena Dias de Araujo",$B:$B,"&lt;&gt;Lucas Luiz Romero")*(10/1083),0)))))),0)</f>
        <v>21</v>
      </c>
      <c r="K2801" s="3">
        <f>I2801-J2801</f>
        <v>2</v>
      </c>
      <c r="L2801" s="3" t="str">
        <f>IF(K2801&lt;-5,"CRÍTICO",IF(K2801&lt;0,"ATENÇÃO",IF(K2801&lt;=5,"OPORTUNO","MUITO BOM")))</f>
        <v>OPORTUNO</v>
      </c>
      <c r="M2801">
        <v>19</v>
      </c>
      <c r="N2801">
        <v>97.3</v>
      </c>
      <c r="O2801">
        <v>23.84769539078156</v>
      </c>
    </row>
    <row r="2802" spans="1:15" hidden="1" x14ac:dyDescent="0.25">
      <c r="A2802" s="11">
        <v>46090</v>
      </c>
      <c r="B2802" t="s">
        <v>15</v>
      </c>
      <c r="C2802" t="s">
        <v>16</v>
      </c>
      <c r="D2802">
        <v>10</v>
      </c>
      <c r="E2802">
        <v>9</v>
      </c>
      <c r="F2802">
        <v>33.57</v>
      </c>
      <c r="G2802">
        <v>0</v>
      </c>
      <c r="H2802">
        <v>0</v>
      </c>
      <c r="I2802" s="3">
        <f>E2802+G2802+H2802</f>
        <v>9</v>
      </c>
      <c r="J2802" s="3">
        <f>ROUND(MIN(IF(C2802="Técnico III",35,IF(C2802="Técnico II",28,IF(C2802="Técnico I",23,IF(C2802="JR",20,IF(C2802="Estágio",10,0))))),IF(C2802="Técnico III",SUMIFS($D:$D,$A:$A,$A2802,$B:$B,"&lt;&gt;Patrícia Karla de Sousa Araújo",$B:$B,"&lt;&gt;Lorena Dias de Araujo",$B:$B,"&lt;&gt;Lucas Luiz Romero")*(35/1083),IF(C2802="Técnico II",SUMIFS($D:$D,$A:$A,$A2802,$B:$B,"&lt;&gt;Patrícia Karla de Sousa Araújo",$B:$B,"&lt;&gt;Lorena Dias de Araujo",$B:$B,"&lt;&gt;Lucas Luiz Romero")*(28/1083),IF(C2802="Técnico I",SUMIFS($D:$D,$A:$A,$A2802,$B:$B,"&lt;&gt;Patrícia Karla de Sousa Araújo",$B:$B,"&lt;&gt;Lorena Dias de Araujo",$B:$B,"&lt;&gt;Lucas Luiz Romero")*(23/1083),IF(C2802="JR",SUMIFS($D:$D,$A:$A,$A2802,$B:$B,"&lt;&gt;Patrícia Karla de Sousa Araújo",$B:$B,"&lt;&gt;Lorena Dias de Araujo",$B:$B,"&lt;&gt;Lucas Luiz Romero")*(20/1083),IF(C2802="Estágio",SUMIFS($D:$D,$A:$A,$A2802,$B:$B,"&lt;&gt;Patrícia Karla de Sousa Araújo",$B:$B,"&lt;&gt;Lorena Dias de Araujo",$B:$B,"&lt;&gt;Lucas Luiz Romero")*(10/1083),0)))))),0)</f>
        <v>6</v>
      </c>
      <c r="K2802" s="3">
        <f>I2802-J2802</f>
        <v>3</v>
      </c>
      <c r="L2802" s="3" t="str">
        <f>IF(K2802&lt;-5,"CRÍTICO",IF(K2802&lt;0,"ATENÇÃO",IF(K2802&lt;=5,"OPORTUNO","MUITO BOM")))</f>
        <v>OPORTUNO</v>
      </c>
      <c r="M2802">
        <v>8</v>
      </c>
      <c r="N2802">
        <v>100</v>
      </c>
      <c r="O2802">
        <v>25.268817204301079</v>
      </c>
    </row>
    <row r="2803" spans="1:15" hidden="1" x14ac:dyDescent="0.25">
      <c r="A2803" s="11">
        <v>46090</v>
      </c>
      <c r="B2803" t="s">
        <v>49</v>
      </c>
      <c r="C2803" t="s">
        <v>48</v>
      </c>
      <c r="D2803">
        <v>37</v>
      </c>
      <c r="E2803">
        <v>36</v>
      </c>
      <c r="F2803">
        <v>17.36</v>
      </c>
      <c r="G2803">
        <v>0</v>
      </c>
      <c r="H2803">
        <v>0</v>
      </c>
      <c r="I2803" s="3">
        <f>E2803+G2803+H2803</f>
        <v>36</v>
      </c>
      <c r="J2803" s="3">
        <f>ROUND(MIN(IF(C2803="Técnico III",35,IF(C2803="Técnico II",28,IF(C2803="Técnico I",23,IF(C2803="JR",20,IF(C2803="Estágio",10,0))))),IF(C2803="Técnico III",SUMIFS($D:$D,$A:$A,$A2803,$B:$B,"&lt;&gt;Patrícia Karla de Sousa Araújo",$B:$B,"&lt;&gt;Lorena Dias de Araujo",$B:$B,"&lt;&gt;Lucas Luiz Romero")*(35/1083),IF(C2803="Técnico II",SUMIFS($D:$D,$A:$A,$A2803,$B:$B,"&lt;&gt;Patrícia Karla de Sousa Araújo",$B:$B,"&lt;&gt;Lorena Dias de Araujo",$B:$B,"&lt;&gt;Lucas Luiz Romero")*(28/1083),IF(C2803="Técnico I",SUMIFS($D:$D,$A:$A,$A2803,$B:$B,"&lt;&gt;Patrícia Karla de Sousa Araújo",$B:$B,"&lt;&gt;Lorena Dias de Araujo",$B:$B,"&lt;&gt;Lucas Luiz Romero")*(23/1083),IF(C2803="JR",SUMIFS($D:$D,$A:$A,$A2803,$B:$B,"&lt;&gt;Patrícia Karla de Sousa Araújo",$B:$B,"&lt;&gt;Lorena Dias de Araujo",$B:$B,"&lt;&gt;Lucas Luiz Romero")*(20/1083),IF(C2803="Estágio",SUMIFS($D:$D,$A:$A,$A2803,$B:$B,"&lt;&gt;Patrícia Karla de Sousa Araújo",$B:$B,"&lt;&gt;Lorena Dias de Araujo",$B:$B,"&lt;&gt;Lucas Luiz Romero")*(10/1083),0)))))),0)</f>
        <v>17</v>
      </c>
      <c r="K2803" s="3">
        <f>I2803-J2803</f>
        <v>19</v>
      </c>
      <c r="L2803" s="3" t="str">
        <f>IF(K2803&lt;-5,"CRÍTICO",IF(K2803&lt;0,"ATENÇÃO",IF(K2803&lt;=5,"OPORTUNO","MUITO BOM")))</f>
        <v>MUITO BOM</v>
      </c>
      <c r="M2803">
        <v>36</v>
      </c>
      <c r="N2803">
        <v>99.32</v>
      </c>
      <c r="O2803">
        <v>22.822822822822818</v>
      </c>
    </row>
    <row r="2804" spans="1:15" hidden="1" x14ac:dyDescent="0.25">
      <c r="A2804" s="11">
        <v>46090</v>
      </c>
      <c r="B2804" t="s">
        <v>50</v>
      </c>
      <c r="C2804" t="s">
        <v>48</v>
      </c>
      <c r="D2804">
        <v>8</v>
      </c>
      <c r="E2804">
        <v>7</v>
      </c>
      <c r="F2804">
        <v>59.02</v>
      </c>
      <c r="G2804">
        <v>0</v>
      </c>
      <c r="H2804">
        <v>0</v>
      </c>
      <c r="I2804" s="3">
        <f>E2804+G2804+H2804</f>
        <v>7</v>
      </c>
      <c r="J2804" s="3">
        <f>ROUND(MIN(IF(C2804="Técnico III",35,IF(C2804="Técnico II",28,IF(C2804="Técnico I",23,IF(C2804="JR",20,IF(C2804="Estágio",10,0))))),IF(C2804="Técnico III",SUMIFS($D:$D,$A:$A,$A2804,$B:$B,"&lt;&gt;Patrícia Karla de Sousa Araújo",$B:$B,"&lt;&gt;Lorena Dias de Araujo",$B:$B,"&lt;&gt;Lucas Luiz Romero")*(35/1083),IF(C2804="Técnico II",SUMIFS($D:$D,$A:$A,$A2804,$B:$B,"&lt;&gt;Patrícia Karla de Sousa Araújo",$B:$B,"&lt;&gt;Lorena Dias de Araujo",$B:$B,"&lt;&gt;Lucas Luiz Romero")*(28/1083),IF(C2804="Técnico I",SUMIFS($D:$D,$A:$A,$A2804,$B:$B,"&lt;&gt;Patrícia Karla de Sousa Araújo",$B:$B,"&lt;&gt;Lorena Dias de Araujo",$B:$B,"&lt;&gt;Lucas Luiz Romero")*(23/1083),IF(C2804="JR",SUMIFS($D:$D,$A:$A,$A2804,$B:$B,"&lt;&gt;Patrícia Karla de Sousa Araújo",$B:$B,"&lt;&gt;Lorena Dias de Araujo",$B:$B,"&lt;&gt;Lucas Luiz Romero")*(20/1083),IF(C2804="Estágio",SUMIFS($D:$D,$A:$A,$A2804,$B:$B,"&lt;&gt;Patrícia Karla de Sousa Araújo",$B:$B,"&lt;&gt;Lorena Dias de Araujo",$B:$B,"&lt;&gt;Lucas Luiz Romero")*(10/1083),0)))))),0)</f>
        <v>17</v>
      </c>
      <c r="K2804" s="3">
        <f>I2804-J2804</f>
        <v>-10</v>
      </c>
      <c r="L2804" s="3" t="str">
        <f>IF(K2804&lt;-5,"CRÍTICO",IF(K2804&lt;0,"ATENÇÃO",IF(K2804&lt;=5,"OPORTUNO","MUITO BOM")))</f>
        <v>CRÍTICO</v>
      </c>
      <c r="M2804">
        <v>9</v>
      </c>
      <c r="N2804">
        <v>100</v>
      </c>
      <c r="O2804">
        <v>27.966101694915249</v>
      </c>
    </row>
    <row r="2805" spans="1:15" hidden="1" x14ac:dyDescent="0.25">
      <c r="A2805" s="11">
        <v>46090</v>
      </c>
      <c r="B2805" t="s">
        <v>17</v>
      </c>
      <c r="C2805" t="s">
        <v>16</v>
      </c>
      <c r="D2805">
        <v>0</v>
      </c>
      <c r="E2805">
        <v>0</v>
      </c>
      <c r="F2805">
        <v>0</v>
      </c>
      <c r="G2805">
        <v>0</v>
      </c>
      <c r="H2805">
        <v>0</v>
      </c>
      <c r="I2805" s="3">
        <v>0</v>
      </c>
      <c r="J2805" s="3">
        <v>0</v>
      </c>
      <c r="K2805" s="3">
        <v>0</v>
      </c>
      <c r="L2805" s="3" t="str">
        <f>IF(K2805&lt;-5,"CRÍTICO",IF(K2805&lt;0,"ATENÇÃO",IF(K2805&lt;=5,"OPORTUNO","MUITO BOM")))</f>
        <v>OPORTUNO</v>
      </c>
      <c r="M2805">
        <v>0</v>
      </c>
      <c r="N2805">
        <v>100</v>
      </c>
      <c r="O2805">
        <v>30.434782608695659</v>
      </c>
    </row>
    <row r="2806" spans="1:15" hidden="1" x14ac:dyDescent="0.25">
      <c r="A2806" s="11">
        <v>46090</v>
      </c>
      <c r="B2806" t="s">
        <v>60</v>
      </c>
      <c r="C2806" t="s">
        <v>23</v>
      </c>
      <c r="D2806">
        <v>19</v>
      </c>
      <c r="E2806">
        <v>19</v>
      </c>
      <c r="F2806">
        <v>25.46</v>
      </c>
      <c r="G2806">
        <v>0</v>
      </c>
      <c r="H2806">
        <v>0</v>
      </c>
      <c r="I2806" s="3">
        <f>E2806+G2806+H2806</f>
        <v>19</v>
      </c>
      <c r="J2806" s="3">
        <f>ROUND(MIN(IF(C2806="Técnico III",35,IF(C2806="Técnico II",28,IF(C2806="Técnico I",23,IF(C2806="JR",20,IF(C2806="Estágio",10,0))))),IF(C2806="Técnico III",SUMIFS($D:$D,$A:$A,$A2806,$B:$B,"&lt;&gt;Patrícia Karla de Sousa Araújo",$B:$B,"&lt;&gt;Lorena Dias de Araujo",$B:$B,"&lt;&gt;Lucas Luiz Romero")*(35/1083),IF(C2806="Técnico II",SUMIFS($D:$D,$A:$A,$A2806,$B:$B,"&lt;&gt;Patrícia Karla de Sousa Araújo",$B:$B,"&lt;&gt;Lorena Dias de Araujo",$B:$B,"&lt;&gt;Lucas Luiz Romero")*(28/1083),IF(C2806="Técnico I",SUMIFS($D:$D,$A:$A,$A2806,$B:$B,"&lt;&gt;Patrícia Karla de Sousa Araújo",$B:$B,"&lt;&gt;Lorena Dias de Araujo",$B:$B,"&lt;&gt;Lucas Luiz Romero")*(23/1083),IF(C2806="JR",SUMIFS($D:$D,$A:$A,$A2806,$B:$B,"&lt;&gt;Patrícia Karla de Sousa Araújo",$B:$B,"&lt;&gt;Lorena Dias de Araujo",$B:$B,"&lt;&gt;Lucas Luiz Romero")*(20/1083),IF(C2806="Estágio",SUMIFS($D:$D,$A:$A,$A2806,$B:$B,"&lt;&gt;Patrícia Karla de Sousa Araújo",$B:$B,"&lt;&gt;Lorena Dias de Araujo",$B:$B,"&lt;&gt;Lucas Luiz Romero")*(10/1083),0)))))),0)</f>
        <v>14</v>
      </c>
      <c r="K2806" s="3">
        <f>I2806-J2806</f>
        <v>5</v>
      </c>
      <c r="L2806" s="3" t="str">
        <f>IF(K2806&lt;-5,"CRÍTICO",IF(K2806&lt;0,"ATENÇÃO",IF(K2806&lt;=5,"OPORTUNO","MUITO BOM")))</f>
        <v>OPORTUNO</v>
      </c>
      <c r="M2806">
        <v>18</v>
      </c>
      <c r="N2806">
        <v>96.51</v>
      </c>
      <c r="O2806">
        <v>22.802850356294542</v>
      </c>
    </row>
    <row r="2807" spans="1:15" hidden="1" x14ac:dyDescent="0.25">
      <c r="A2807" s="11">
        <v>46090</v>
      </c>
      <c r="B2807" t="s">
        <v>34</v>
      </c>
      <c r="C2807" t="s">
        <v>32</v>
      </c>
      <c r="D2807">
        <v>35</v>
      </c>
      <c r="E2807">
        <v>33</v>
      </c>
      <c r="F2807">
        <v>15.3</v>
      </c>
      <c r="G2807">
        <v>0</v>
      </c>
      <c r="H2807">
        <v>0</v>
      </c>
      <c r="I2807" s="3">
        <f>E2807+G2807+H2807</f>
        <v>33</v>
      </c>
      <c r="J2807" s="3">
        <f>ROUND(MIN(IF(C2807="Técnico III",35,IF(C2807="Técnico II",28,IF(C2807="Técnico I",23,IF(C2807="JR",20,IF(C2807="Estágio",10,0))))),IF(C2807="Técnico III",SUMIFS($D:$D,$A:$A,$A2807,$B:$B,"&lt;&gt;Patrícia Karla de Sousa Araújo",$B:$B,"&lt;&gt;Lorena Dias de Araujo",$B:$B,"&lt;&gt;Lucas Luiz Romero")*(35/1083),IF(C2807="Técnico II",SUMIFS($D:$D,$A:$A,$A2807,$B:$B,"&lt;&gt;Patrícia Karla de Sousa Araújo",$B:$B,"&lt;&gt;Lorena Dias de Araujo",$B:$B,"&lt;&gt;Lucas Luiz Romero")*(28/1083),IF(C2807="Técnico I",SUMIFS($D:$D,$A:$A,$A2807,$B:$B,"&lt;&gt;Patrícia Karla de Sousa Araújo",$B:$B,"&lt;&gt;Lorena Dias de Araujo",$B:$B,"&lt;&gt;Lucas Luiz Romero")*(23/1083),IF(C2807="JR",SUMIFS($D:$D,$A:$A,$A2807,$B:$B,"&lt;&gt;Patrícia Karla de Sousa Araújo",$B:$B,"&lt;&gt;Lorena Dias de Araujo",$B:$B,"&lt;&gt;Lucas Luiz Romero")*(20/1083),IF(C2807="Estágio",SUMIFS($D:$D,$A:$A,$A2807,$B:$B,"&lt;&gt;Patrícia Karla de Sousa Araújo",$B:$B,"&lt;&gt;Lorena Dias de Araujo",$B:$B,"&lt;&gt;Lucas Luiz Romero")*(10/1083),0)))))),0)</f>
        <v>21</v>
      </c>
      <c r="K2807" s="3">
        <f>I2807-J2807</f>
        <v>12</v>
      </c>
      <c r="L2807" s="3" t="str">
        <f>IF(K2807&lt;-5,"CRÍTICO",IF(K2807&lt;0,"ATENÇÃO",IF(K2807&lt;=5,"OPORTUNO","MUITO BOM")))</f>
        <v>MUITO BOM</v>
      </c>
      <c r="M2807">
        <v>29</v>
      </c>
      <c r="N2807">
        <v>92.68</v>
      </c>
      <c r="O2807">
        <v>27.777777777777779</v>
      </c>
    </row>
    <row r="2808" spans="1:15" hidden="1" x14ac:dyDescent="0.25">
      <c r="A2808" s="11">
        <v>46090</v>
      </c>
      <c r="B2808" t="s">
        <v>51</v>
      </c>
      <c r="C2808" t="s">
        <v>48</v>
      </c>
      <c r="D2808">
        <v>30</v>
      </c>
      <c r="E2808">
        <v>28</v>
      </c>
      <c r="F2808">
        <v>27.06</v>
      </c>
      <c r="G2808">
        <v>0</v>
      </c>
      <c r="H2808">
        <v>0</v>
      </c>
      <c r="I2808" s="3">
        <v>0</v>
      </c>
      <c r="J2808" s="3">
        <v>0</v>
      </c>
      <c r="K2808" s="3">
        <v>0</v>
      </c>
      <c r="L2808" s="3" t="str">
        <f>IF(K2808&lt;-5,"CRÍTICO",IF(K2808&lt;0,"ATENÇÃO",IF(K2808&lt;=5,"OPORTUNO","MUITO BOM")))</f>
        <v>OPORTUNO</v>
      </c>
      <c r="M2808">
        <v>21</v>
      </c>
      <c r="N2808">
        <v>99.03</v>
      </c>
      <c r="O2808">
        <v>23.991507430997881</v>
      </c>
    </row>
    <row r="2809" spans="1:15" hidden="1" x14ac:dyDescent="0.25">
      <c r="A2809" s="11">
        <v>46090</v>
      </c>
      <c r="B2809" t="s">
        <v>61</v>
      </c>
      <c r="C2809" t="s">
        <v>23</v>
      </c>
      <c r="D2809">
        <v>19</v>
      </c>
      <c r="E2809">
        <v>19</v>
      </c>
      <c r="F2809">
        <v>28.26</v>
      </c>
      <c r="G2809">
        <v>0</v>
      </c>
      <c r="H2809">
        <v>0</v>
      </c>
      <c r="I2809" s="3">
        <f>E2809+G2809+H2809</f>
        <v>19</v>
      </c>
      <c r="J2809" s="3">
        <f>ROUND(MIN(IF(C2809="Técnico III",35,IF(C2809="Técnico II",28,IF(C2809="Técnico I",23,IF(C2809="JR",20,IF(C2809="Estágio",10,0))))),IF(C2809="Técnico III",SUMIFS($D:$D,$A:$A,$A2809,$B:$B,"&lt;&gt;Patrícia Karla de Sousa Araújo",$B:$B,"&lt;&gt;Lorena Dias de Araujo",$B:$B,"&lt;&gt;Lucas Luiz Romero")*(35/1083),IF(C2809="Técnico II",SUMIFS($D:$D,$A:$A,$A2809,$B:$B,"&lt;&gt;Patrícia Karla de Sousa Araújo",$B:$B,"&lt;&gt;Lorena Dias de Araujo",$B:$B,"&lt;&gt;Lucas Luiz Romero")*(28/1083),IF(C2809="Técnico I",SUMIFS($D:$D,$A:$A,$A2809,$B:$B,"&lt;&gt;Patrícia Karla de Sousa Araújo",$B:$B,"&lt;&gt;Lorena Dias de Araujo",$B:$B,"&lt;&gt;Lucas Luiz Romero")*(23/1083),IF(C2809="JR",SUMIFS($D:$D,$A:$A,$A2809,$B:$B,"&lt;&gt;Patrícia Karla de Sousa Araújo",$B:$B,"&lt;&gt;Lorena Dias de Araujo",$B:$B,"&lt;&gt;Lucas Luiz Romero")*(20/1083),IF(C2809="Estágio",SUMIFS($D:$D,$A:$A,$A2809,$B:$B,"&lt;&gt;Patrícia Karla de Sousa Araújo",$B:$B,"&lt;&gt;Lorena Dias de Araujo",$B:$B,"&lt;&gt;Lucas Luiz Romero")*(10/1083),0)))))),0)</f>
        <v>14</v>
      </c>
      <c r="K2809" s="3">
        <f>I2809-J2809</f>
        <v>5</v>
      </c>
      <c r="L2809" s="3" t="str">
        <f>IF(K2809&lt;-5,"CRÍTICO",IF(K2809&lt;0,"ATENÇÃO",IF(K2809&lt;=5,"OPORTUNO","MUITO BOM")))</f>
        <v>OPORTUNO</v>
      </c>
      <c r="M2809">
        <v>12</v>
      </c>
      <c r="N2809">
        <v>98.41</v>
      </c>
      <c r="O2809">
        <v>28.138528138528141</v>
      </c>
    </row>
    <row r="2810" spans="1:15" hidden="1" x14ac:dyDescent="0.25">
      <c r="A2810" s="11">
        <v>46090</v>
      </c>
      <c r="B2810" t="s">
        <v>35</v>
      </c>
      <c r="C2810" t="s">
        <v>32</v>
      </c>
      <c r="D2810">
        <v>18</v>
      </c>
      <c r="E2810">
        <v>17</v>
      </c>
      <c r="F2810">
        <v>30.04</v>
      </c>
      <c r="G2810">
        <v>0</v>
      </c>
      <c r="H2810">
        <v>0</v>
      </c>
      <c r="I2810" s="3">
        <v>0</v>
      </c>
      <c r="J2810" s="3">
        <v>0</v>
      </c>
      <c r="K2810" s="3">
        <v>0</v>
      </c>
      <c r="L2810" s="3" t="str">
        <f>IF(K2810&lt;-5,"CRÍTICO",IF(K2810&lt;0,"ATENÇÃO",IF(K2810&lt;=5,"OPORTUNO","MUITO BOM")))</f>
        <v>OPORTUNO</v>
      </c>
      <c r="M2810">
        <v>18</v>
      </c>
      <c r="N2810">
        <v>98.73</v>
      </c>
      <c r="O2810">
        <v>29.142857142857139</v>
      </c>
    </row>
    <row r="2811" spans="1:15" hidden="1" x14ac:dyDescent="0.25">
      <c r="A2811" s="11">
        <v>46090</v>
      </c>
      <c r="B2811" t="s">
        <v>18</v>
      </c>
      <c r="C2811" t="s">
        <v>16</v>
      </c>
      <c r="D2811">
        <v>9</v>
      </c>
      <c r="E2811">
        <v>8</v>
      </c>
      <c r="F2811">
        <v>55.38</v>
      </c>
      <c r="G2811">
        <v>0</v>
      </c>
      <c r="H2811">
        <v>0</v>
      </c>
      <c r="I2811" s="3">
        <f>E2811+G2811+H2811</f>
        <v>8</v>
      </c>
      <c r="J2811" s="3">
        <f>ROUND(MIN(IF(C2811="Técnico III",35,IF(C2811="Técnico II",28,IF(C2811="Técnico I",23,IF(C2811="JR",20,IF(C2811="Estágio",10,0))))),IF(C2811="Técnico III",SUMIFS($D:$D,$A:$A,$A2811,$B:$B,"&lt;&gt;Patrícia Karla de Sousa Araújo",$B:$B,"&lt;&gt;Lorena Dias de Araujo",$B:$B,"&lt;&gt;Lucas Luiz Romero")*(35/1083),IF(C2811="Técnico II",SUMIFS($D:$D,$A:$A,$A2811,$B:$B,"&lt;&gt;Patrícia Karla de Sousa Araújo",$B:$B,"&lt;&gt;Lorena Dias de Araujo",$B:$B,"&lt;&gt;Lucas Luiz Romero")*(28/1083),IF(C2811="Técnico I",SUMIFS($D:$D,$A:$A,$A2811,$B:$B,"&lt;&gt;Patrícia Karla de Sousa Araújo",$B:$B,"&lt;&gt;Lorena Dias de Araujo",$B:$B,"&lt;&gt;Lucas Luiz Romero")*(23/1083),IF(C2811="JR",SUMIFS($D:$D,$A:$A,$A2811,$B:$B,"&lt;&gt;Patrícia Karla de Sousa Araújo",$B:$B,"&lt;&gt;Lorena Dias de Araujo",$B:$B,"&lt;&gt;Lucas Luiz Romero")*(20/1083),IF(C2811="Estágio",SUMIFS($D:$D,$A:$A,$A2811,$B:$B,"&lt;&gt;Patrícia Karla de Sousa Araújo",$B:$B,"&lt;&gt;Lorena Dias de Araujo",$B:$B,"&lt;&gt;Lucas Luiz Romero")*(10/1083),0)))))),0)</f>
        <v>6</v>
      </c>
      <c r="K2811" s="3">
        <f>I2811-J2811</f>
        <v>2</v>
      </c>
      <c r="L2811" s="3" t="str">
        <f>IF(K2811&lt;-5,"CRÍTICO",IF(K2811&lt;0,"ATENÇÃO",IF(K2811&lt;=5,"OPORTUNO","MUITO BOM")))</f>
        <v>OPORTUNO</v>
      </c>
      <c r="M2811">
        <v>4</v>
      </c>
      <c r="N2811">
        <v>90.48</v>
      </c>
      <c r="O2811">
        <v>20.68965517241379</v>
      </c>
    </row>
    <row r="2812" spans="1:15" hidden="1" x14ac:dyDescent="0.25">
      <c r="A2812" s="11">
        <v>46090</v>
      </c>
      <c r="B2812" t="s">
        <v>52</v>
      </c>
      <c r="C2812" t="s">
        <v>48</v>
      </c>
      <c r="D2812">
        <v>26</v>
      </c>
      <c r="E2812">
        <v>25</v>
      </c>
      <c r="F2812">
        <v>25.01</v>
      </c>
      <c r="G2812">
        <v>0</v>
      </c>
      <c r="H2812">
        <v>0</v>
      </c>
      <c r="I2812" s="3">
        <f>E2812+G2812+H2812</f>
        <v>25</v>
      </c>
      <c r="J2812" s="3">
        <f>ROUND(MIN(IF(C2812="Técnico III",35,IF(C2812="Técnico II",28,IF(C2812="Técnico I",23,IF(C2812="JR",20,IF(C2812="Estágio",10,0))))),IF(C2812="Técnico III",SUMIFS($D:$D,$A:$A,$A2812,$B:$B,"&lt;&gt;Patrícia Karla de Sousa Araújo",$B:$B,"&lt;&gt;Lorena Dias de Araujo",$B:$B,"&lt;&gt;Lucas Luiz Romero")*(35/1083),IF(C2812="Técnico II",SUMIFS($D:$D,$A:$A,$A2812,$B:$B,"&lt;&gt;Patrícia Karla de Sousa Araújo",$B:$B,"&lt;&gt;Lorena Dias de Araujo",$B:$B,"&lt;&gt;Lucas Luiz Romero")*(28/1083),IF(C2812="Técnico I",SUMIFS($D:$D,$A:$A,$A2812,$B:$B,"&lt;&gt;Patrícia Karla de Sousa Araújo",$B:$B,"&lt;&gt;Lorena Dias de Araujo",$B:$B,"&lt;&gt;Lucas Luiz Romero")*(23/1083),IF(C2812="JR",SUMIFS($D:$D,$A:$A,$A2812,$B:$B,"&lt;&gt;Patrícia Karla de Sousa Araújo",$B:$B,"&lt;&gt;Lorena Dias de Araujo",$B:$B,"&lt;&gt;Lucas Luiz Romero")*(20/1083),IF(C2812="Estágio",SUMIFS($D:$D,$A:$A,$A2812,$B:$B,"&lt;&gt;Patrícia Karla de Sousa Araújo",$B:$B,"&lt;&gt;Lorena Dias de Araujo",$B:$B,"&lt;&gt;Lucas Luiz Romero")*(10/1083),0)))))),0)</f>
        <v>17</v>
      </c>
      <c r="K2812" s="3">
        <f>I2812-J2812</f>
        <v>8</v>
      </c>
      <c r="L2812" s="3" t="str">
        <f>IF(K2812&lt;-5,"CRÍTICO",IF(K2812&lt;0,"ATENÇÃO",IF(K2812&lt;=5,"OPORTUNO","MUITO BOM")))</f>
        <v>MUITO BOM</v>
      </c>
      <c r="M2812">
        <v>23</v>
      </c>
      <c r="N2812">
        <v>98.06</v>
      </c>
      <c r="O2812">
        <v>24.789915966386559</v>
      </c>
    </row>
    <row r="2813" spans="1:15" hidden="1" x14ac:dyDescent="0.25">
      <c r="A2813" s="11">
        <v>46090</v>
      </c>
      <c r="B2813" t="s">
        <v>36</v>
      </c>
      <c r="C2813" t="s">
        <v>32</v>
      </c>
      <c r="D2813">
        <v>26</v>
      </c>
      <c r="E2813">
        <v>26</v>
      </c>
      <c r="F2813">
        <v>28.37</v>
      </c>
      <c r="G2813">
        <v>0</v>
      </c>
      <c r="H2813">
        <v>0</v>
      </c>
      <c r="I2813" s="3">
        <f>E2813+G2813+H2813</f>
        <v>26</v>
      </c>
      <c r="J2813" s="3">
        <f>ROUND(MIN(IF(C2813="Técnico III",35,IF(C2813="Técnico II",28,IF(C2813="Técnico I",23,IF(C2813="JR",20,IF(C2813="Estágio",10,0))))),IF(C2813="Técnico III",SUMIFS($D:$D,$A:$A,$A2813,$B:$B,"&lt;&gt;Patrícia Karla de Sousa Araújo",$B:$B,"&lt;&gt;Lorena Dias de Araujo",$B:$B,"&lt;&gt;Lucas Luiz Romero")*(35/1083),IF(C2813="Técnico II",SUMIFS($D:$D,$A:$A,$A2813,$B:$B,"&lt;&gt;Patrícia Karla de Sousa Araújo",$B:$B,"&lt;&gt;Lorena Dias de Araujo",$B:$B,"&lt;&gt;Lucas Luiz Romero")*(28/1083),IF(C2813="Técnico I",SUMIFS($D:$D,$A:$A,$A2813,$B:$B,"&lt;&gt;Patrícia Karla de Sousa Araújo",$B:$B,"&lt;&gt;Lorena Dias de Araujo",$B:$B,"&lt;&gt;Lucas Luiz Romero")*(23/1083),IF(C2813="JR",SUMIFS($D:$D,$A:$A,$A2813,$B:$B,"&lt;&gt;Patrícia Karla de Sousa Araújo",$B:$B,"&lt;&gt;Lorena Dias de Araujo",$B:$B,"&lt;&gt;Lucas Luiz Romero")*(20/1083),IF(C2813="Estágio",SUMIFS($D:$D,$A:$A,$A2813,$B:$B,"&lt;&gt;Patrícia Karla de Sousa Araújo",$B:$B,"&lt;&gt;Lorena Dias de Araujo",$B:$B,"&lt;&gt;Lucas Luiz Romero")*(10/1083),0)))))),0)</f>
        <v>21</v>
      </c>
      <c r="K2813" s="3">
        <f>I2813-J2813</f>
        <v>5</v>
      </c>
      <c r="L2813" s="3" t="str">
        <f>IF(K2813&lt;-5,"CRÍTICO",IF(K2813&lt;0,"ATENÇÃO",IF(K2813&lt;=5,"OPORTUNO","MUITO BOM")))</f>
        <v>OPORTUNO</v>
      </c>
      <c r="M2813">
        <v>23</v>
      </c>
      <c r="N2813">
        <v>97.78</v>
      </c>
      <c r="O2813">
        <v>25.494071146245059</v>
      </c>
    </row>
    <row r="2814" spans="1:15" hidden="1" x14ac:dyDescent="0.25">
      <c r="A2814" s="11">
        <v>46090</v>
      </c>
      <c r="B2814" t="s">
        <v>53</v>
      </c>
      <c r="C2814" t="s">
        <v>48</v>
      </c>
      <c r="D2814">
        <v>0</v>
      </c>
      <c r="E2814">
        <v>0</v>
      </c>
      <c r="F2814">
        <v>0</v>
      </c>
      <c r="G2814">
        <v>0</v>
      </c>
      <c r="H2814">
        <v>0</v>
      </c>
      <c r="I2814" s="3">
        <v>0</v>
      </c>
      <c r="J2814" s="3">
        <v>0</v>
      </c>
      <c r="K2814" s="3">
        <v>0</v>
      </c>
      <c r="L2814" s="3" t="str">
        <f>IF(K2814&lt;-5,"CRÍTICO",IF(K2814&lt;0,"ATENÇÃO",IF(K2814&lt;=5,"OPORTUNO","MUITO BOM")))</f>
        <v>OPORTUNO</v>
      </c>
      <c r="M2814">
        <v>0</v>
      </c>
      <c r="N2814">
        <v>98.02</v>
      </c>
      <c r="O2814">
        <v>23.484848484848481</v>
      </c>
    </row>
    <row r="2815" spans="1:15" hidden="1" x14ac:dyDescent="0.25">
      <c r="A2815" s="11">
        <v>46122</v>
      </c>
      <c r="B2815" t="s">
        <v>22</v>
      </c>
      <c r="C2815" t="s">
        <v>23</v>
      </c>
      <c r="D2815">
        <v>28</v>
      </c>
      <c r="E2815">
        <v>21</v>
      </c>
      <c r="F2815">
        <v>12.14</v>
      </c>
      <c r="G2815">
        <v>0</v>
      </c>
      <c r="H2815">
        <v>0</v>
      </c>
      <c r="I2815" s="3">
        <f>E2815+G2815+H2815</f>
        <v>21</v>
      </c>
      <c r="J2815" s="3">
        <f>ROUND(MIN(IF(C2815="Técnico III",35,IF(C2815="Técnico II",28,IF(C2815="Técnico I",23,IF(C2815="JR",20,IF(C2815="Estágio",10,0))))),IF(C2815="Técnico III",SUMIFS($D:$D,$A:$A,$A2815,$B:$B,"&lt;&gt;Patrícia Karla de Sousa Araújo",$B:$B,"&lt;&gt;Lorena Dias de Araujo",$B:$B,"&lt;&gt;Lucas Luiz Romero")*(35/1083),IF(C2815="Técnico II",SUMIFS($D:$D,$A:$A,$A2815,$B:$B,"&lt;&gt;Patrícia Karla de Sousa Araújo",$B:$B,"&lt;&gt;Lorena Dias de Araujo",$B:$B,"&lt;&gt;Lucas Luiz Romero")*(28/1083),IF(C2815="Técnico I",SUMIFS($D:$D,$A:$A,$A2815,$B:$B,"&lt;&gt;Patrícia Karla de Sousa Araújo",$B:$B,"&lt;&gt;Lorena Dias de Araujo",$B:$B,"&lt;&gt;Lucas Luiz Romero")*(23/1083),IF(C2815="JR",SUMIFS($D:$D,$A:$A,$A2815,$B:$B,"&lt;&gt;Patrícia Karla de Sousa Araújo",$B:$B,"&lt;&gt;Lorena Dias de Araujo",$B:$B,"&lt;&gt;Lucas Luiz Romero")*(20/1083),IF(C2815="Estágio",SUMIFS($D:$D,$A:$A,$A2815,$B:$B,"&lt;&gt;Patrícia Karla de Sousa Araújo",$B:$B,"&lt;&gt;Lorena Dias de Araujo",$B:$B,"&lt;&gt;Lucas Luiz Romero")*(10/1083),0)))))),0)</f>
        <v>17</v>
      </c>
      <c r="K2815" s="3">
        <f>I2815-J2815</f>
        <v>4</v>
      </c>
      <c r="L2815" s="3" t="str">
        <f>IF(K2815&lt;-5,"CRÍTICO",IF(K2815&lt;0,"ATENÇÃO",IF(K2815&lt;=5,"OPORTUNO","MUITO BOM")))</f>
        <v>OPORTUNO</v>
      </c>
      <c r="M2815">
        <v>18</v>
      </c>
      <c r="N2815">
        <v>99.28</v>
      </c>
      <c r="O2815">
        <v>27.689243027888441</v>
      </c>
    </row>
    <row r="2816" spans="1:15" hidden="1" x14ac:dyDescent="0.25">
      <c r="A2816" s="11">
        <v>46090</v>
      </c>
      <c r="B2816" t="s">
        <v>54</v>
      </c>
      <c r="C2816" t="s">
        <v>48</v>
      </c>
      <c r="D2816">
        <v>19</v>
      </c>
      <c r="E2816">
        <v>17</v>
      </c>
      <c r="F2816">
        <v>25.53</v>
      </c>
      <c r="G2816">
        <v>0</v>
      </c>
      <c r="H2816">
        <v>0</v>
      </c>
      <c r="I2816" s="3">
        <f>E2816+G2816+H2816</f>
        <v>17</v>
      </c>
      <c r="J2816" s="3">
        <f>ROUND(MIN(IF(C2816="Técnico III",35,IF(C2816="Técnico II",28,IF(C2816="Técnico I",23,IF(C2816="JR",20,IF(C2816="Estágio",10,0))))),IF(C2816="Técnico III",SUMIFS($D:$D,$A:$A,$A2816,$B:$B,"&lt;&gt;Patrícia Karla de Sousa Araújo",$B:$B,"&lt;&gt;Lorena Dias de Araujo",$B:$B,"&lt;&gt;Lucas Luiz Romero")*(35/1083),IF(C2816="Técnico II",SUMIFS($D:$D,$A:$A,$A2816,$B:$B,"&lt;&gt;Patrícia Karla de Sousa Araújo",$B:$B,"&lt;&gt;Lorena Dias de Araujo",$B:$B,"&lt;&gt;Lucas Luiz Romero")*(28/1083),IF(C2816="Técnico I",SUMIFS($D:$D,$A:$A,$A2816,$B:$B,"&lt;&gt;Patrícia Karla de Sousa Araújo",$B:$B,"&lt;&gt;Lorena Dias de Araujo",$B:$B,"&lt;&gt;Lucas Luiz Romero")*(23/1083),IF(C2816="JR",SUMIFS($D:$D,$A:$A,$A2816,$B:$B,"&lt;&gt;Patrícia Karla de Sousa Araújo",$B:$B,"&lt;&gt;Lorena Dias de Araujo",$B:$B,"&lt;&gt;Lucas Luiz Romero")*(20/1083),IF(C2816="Estágio",SUMIFS($D:$D,$A:$A,$A2816,$B:$B,"&lt;&gt;Patrícia Karla de Sousa Araújo",$B:$B,"&lt;&gt;Lorena Dias de Araujo",$B:$B,"&lt;&gt;Lucas Luiz Romero")*(10/1083),0)))))),0)</f>
        <v>17</v>
      </c>
      <c r="K2816" s="3">
        <f>I2816-J2816</f>
        <v>0</v>
      </c>
      <c r="L2816" s="3" t="str">
        <f>IF(K2816&lt;-5,"CRÍTICO",IF(K2816&lt;0,"ATENÇÃO",IF(K2816&lt;=5,"OPORTUNO","MUITO BOM")))</f>
        <v>OPORTUNO</v>
      </c>
      <c r="M2816">
        <v>16</v>
      </c>
      <c r="N2816">
        <v>100</v>
      </c>
      <c r="O2816">
        <v>27.04918032786885</v>
      </c>
    </row>
    <row r="2817" spans="1:15" hidden="1" x14ac:dyDescent="0.25">
      <c r="A2817" s="11">
        <v>46090</v>
      </c>
      <c r="B2817" t="s">
        <v>37</v>
      </c>
      <c r="C2817" t="s">
        <v>32</v>
      </c>
      <c r="D2817">
        <v>43</v>
      </c>
      <c r="E2817">
        <v>39</v>
      </c>
      <c r="F2817">
        <v>15.06</v>
      </c>
      <c r="G2817">
        <v>0</v>
      </c>
      <c r="H2817">
        <v>0</v>
      </c>
      <c r="I2817" s="3">
        <f>E2817+G2817+H2817</f>
        <v>39</v>
      </c>
      <c r="J2817" s="3">
        <f>ROUND(MIN(IF(C2817="Técnico III",35,IF(C2817="Técnico II",28,IF(C2817="Técnico I",23,IF(C2817="JR",20,IF(C2817="Estágio",10,0))))),IF(C2817="Técnico III",SUMIFS($D:$D,$A:$A,$A2817,$B:$B,"&lt;&gt;Patrícia Karla de Sousa Araújo",$B:$B,"&lt;&gt;Lorena Dias de Araujo",$B:$B,"&lt;&gt;Lucas Luiz Romero")*(35/1083),IF(C2817="Técnico II",SUMIFS($D:$D,$A:$A,$A2817,$B:$B,"&lt;&gt;Patrícia Karla de Sousa Araújo",$B:$B,"&lt;&gt;Lorena Dias de Araujo",$B:$B,"&lt;&gt;Lucas Luiz Romero")*(28/1083),IF(C2817="Técnico I",SUMIFS($D:$D,$A:$A,$A2817,$B:$B,"&lt;&gt;Patrícia Karla de Sousa Araújo",$B:$B,"&lt;&gt;Lorena Dias de Araujo",$B:$B,"&lt;&gt;Lucas Luiz Romero")*(23/1083),IF(C2817="JR",SUMIFS($D:$D,$A:$A,$A2817,$B:$B,"&lt;&gt;Patrícia Karla de Sousa Araújo",$B:$B,"&lt;&gt;Lorena Dias de Araujo",$B:$B,"&lt;&gt;Lucas Luiz Romero")*(20/1083),IF(C2817="Estágio",SUMIFS($D:$D,$A:$A,$A2817,$B:$B,"&lt;&gt;Patrícia Karla de Sousa Araújo",$B:$B,"&lt;&gt;Lorena Dias de Araujo",$B:$B,"&lt;&gt;Lucas Luiz Romero")*(10/1083),0)))))),0)</f>
        <v>21</v>
      </c>
      <c r="K2817" s="3">
        <f>I2817-J2817</f>
        <v>18</v>
      </c>
      <c r="L2817" s="3" t="str">
        <f>IF(K2817&lt;-5,"CRÍTICO",IF(K2817&lt;0,"ATENÇÃO",IF(K2817&lt;=5,"OPORTUNO","MUITO BOM")))</f>
        <v>MUITO BOM</v>
      </c>
      <c r="M2817">
        <v>41</v>
      </c>
      <c r="N2817">
        <v>97.83</v>
      </c>
      <c r="O2817">
        <v>26.315789473684209</v>
      </c>
    </row>
    <row r="2818" spans="1:15" hidden="1" x14ac:dyDescent="0.25">
      <c r="A2818" s="11">
        <v>46090</v>
      </c>
      <c r="B2818" t="s">
        <v>38</v>
      </c>
      <c r="C2818" t="s">
        <v>32</v>
      </c>
      <c r="D2818">
        <v>3</v>
      </c>
      <c r="E2818">
        <v>3</v>
      </c>
      <c r="F2818">
        <v>28.33</v>
      </c>
      <c r="G2818">
        <v>0</v>
      </c>
      <c r="H2818">
        <v>0</v>
      </c>
      <c r="I2818" s="3">
        <f>E2818+G2818+H2818</f>
        <v>3</v>
      </c>
      <c r="J2818" s="3">
        <f>ROUND(MIN(IF(C2818="Técnico III",35,IF(C2818="Técnico II",28,IF(C2818="Técnico I",23,IF(C2818="JR",20,IF(C2818="Estágio",10,0))))),IF(C2818="Técnico III",SUMIFS($D:$D,$A:$A,$A2818,$B:$B,"&lt;&gt;Patrícia Karla de Sousa Araújo",$B:$B,"&lt;&gt;Lorena Dias de Araujo",$B:$B,"&lt;&gt;Lucas Luiz Romero")*(35/1083),IF(C2818="Técnico II",SUMIFS($D:$D,$A:$A,$A2818,$B:$B,"&lt;&gt;Patrícia Karla de Sousa Araújo",$B:$B,"&lt;&gt;Lorena Dias de Araujo",$B:$B,"&lt;&gt;Lucas Luiz Romero")*(28/1083),IF(C2818="Técnico I",SUMIFS($D:$D,$A:$A,$A2818,$B:$B,"&lt;&gt;Patrícia Karla de Sousa Araújo",$B:$B,"&lt;&gt;Lorena Dias de Araujo",$B:$B,"&lt;&gt;Lucas Luiz Romero")*(23/1083),IF(C2818="JR",SUMIFS($D:$D,$A:$A,$A2818,$B:$B,"&lt;&gt;Patrícia Karla de Sousa Araújo",$B:$B,"&lt;&gt;Lorena Dias de Araujo",$B:$B,"&lt;&gt;Lucas Luiz Romero")*(20/1083),IF(C2818="Estágio",SUMIFS($D:$D,$A:$A,$A2818,$B:$B,"&lt;&gt;Patrícia Karla de Sousa Araújo",$B:$B,"&lt;&gt;Lorena Dias de Araujo",$B:$B,"&lt;&gt;Lucas Luiz Romero")*(10/1083),0)))))),0)</f>
        <v>21</v>
      </c>
      <c r="K2818" s="3">
        <f>I2818-J2818</f>
        <v>-18</v>
      </c>
      <c r="L2818" s="3" t="str">
        <f>IF(K2818&lt;-5,"CRÍTICO",IF(K2818&lt;0,"ATENÇÃO",IF(K2818&lt;=5,"OPORTUNO","MUITO BOM")))</f>
        <v>CRÍTICO</v>
      </c>
      <c r="M2818">
        <v>6</v>
      </c>
      <c r="N2818">
        <v>100</v>
      </c>
      <c r="O2818">
        <v>26.701570680628269</v>
      </c>
    </row>
    <row r="2819" spans="1:15" hidden="1" x14ac:dyDescent="0.25">
      <c r="A2819" s="11">
        <v>46090</v>
      </c>
      <c r="B2819" t="s">
        <v>55</v>
      </c>
      <c r="C2819" t="s">
        <v>48</v>
      </c>
      <c r="D2819">
        <v>29</v>
      </c>
      <c r="E2819">
        <v>26</v>
      </c>
      <c r="F2819">
        <v>18.260000000000002</v>
      </c>
      <c r="G2819">
        <v>0</v>
      </c>
      <c r="H2819">
        <v>0</v>
      </c>
      <c r="I2819" s="3">
        <f>E2819+G2819+H2819</f>
        <v>26</v>
      </c>
      <c r="J2819" s="3">
        <f>ROUND(MIN(IF(C2819="Técnico III",35,IF(C2819="Técnico II",28,IF(C2819="Técnico I",23,IF(C2819="JR",20,IF(C2819="Estágio",10,0))))),IF(C2819="Técnico III",SUMIFS($D:$D,$A:$A,$A2819,$B:$B,"&lt;&gt;Patrícia Karla de Sousa Araújo",$B:$B,"&lt;&gt;Lorena Dias de Araujo",$B:$B,"&lt;&gt;Lucas Luiz Romero")*(35/1083),IF(C2819="Técnico II",SUMIFS($D:$D,$A:$A,$A2819,$B:$B,"&lt;&gt;Patrícia Karla de Sousa Araújo",$B:$B,"&lt;&gt;Lorena Dias de Araujo",$B:$B,"&lt;&gt;Lucas Luiz Romero")*(28/1083),IF(C2819="Técnico I",SUMIFS($D:$D,$A:$A,$A2819,$B:$B,"&lt;&gt;Patrícia Karla de Sousa Araújo",$B:$B,"&lt;&gt;Lorena Dias de Araujo",$B:$B,"&lt;&gt;Lucas Luiz Romero")*(23/1083),IF(C2819="JR",SUMIFS($D:$D,$A:$A,$A2819,$B:$B,"&lt;&gt;Patrícia Karla de Sousa Araújo",$B:$B,"&lt;&gt;Lorena Dias de Araujo",$B:$B,"&lt;&gt;Lucas Luiz Romero")*(20/1083),IF(C2819="Estágio",SUMIFS($D:$D,$A:$A,$A2819,$B:$B,"&lt;&gt;Patrícia Karla de Sousa Araújo",$B:$B,"&lt;&gt;Lorena Dias de Araujo",$B:$B,"&lt;&gt;Lucas Luiz Romero")*(10/1083),0)))))),0)</f>
        <v>17</v>
      </c>
      <c r="K2819" s="3">
        <f>I2819-J2819</f>
        <v>9</v>
      </c>
      <c r="L2819" s="3" t="str">
        <f>IF(K2819&lt;-5,"CRÍTICO",IF(K2819&lt;0,"ATENÇÃO",IF(K2819&lt;=5,"OPORTUNO","MUITO BOM")))</f>
        <v>MUITO BOM</v>
      </c>
      <c r="M2819">
        <v>24</v>
      </c>
      <c r="N2819">
        <v>97.47</v>
      </c>
      <c r="O2819">
        <v>22.887323943661968</v>
      </c>
    </row>
    <row r="2820" spans="1:15" hidden="1" x14ac:dyDescent="0.25">
      <c r="A2820" s="11">
        <v>46090</v>
      </c>
      <c r="B2820" t="s">
        <v>39</v>
      </c>
      <c r="C2820" t="s">
        <v>32</v>
      </c>
      <c r="D2820">
        <v>0</v>
      </c>
      <c r="E2820">
        <v>0</v>
      </c>
      <c r="F2820">
        <v>0</v>
      </c>
      <c r="G2820">
        <v>0</v>
      </c>
      <c r="H2820">
        <v>0</v>
      </c>
      <c r="I2820" s="3">
        <v>0</v>
      </c>
      <c r="J2820" s="3">
        <v>0</v>
      </c>
      <c r="K2820" s="3">
        <v>0</v>
      </c>
      <c r="L2820" s="3" t="str">
        <f>IF(K2820&lt;-5,"CRÍTICO",IF(K2820&lt;0,"ATENÇÃO",IF(K2820&lt;=5,"OPORTUNO","MUITO BOM")))</f>
        <v>OPORTUNO</v>
      </c>
      <c r="M2820">
        <v>0</v>
      </c>
      <c r="N2820">
        <v>0</v>
      </c>
      <c r="O2820">
        <v>0</v>
      </c>
    </row>
    <row r="2821" spans="1:15" hidden="1" x14ac:dyDescent="0.25">
      <c r="A2821" s="11">
        <v>46090</v>
      </c>
      <c r="B2821" t="s">
        <v>25</v>
      </c>
      <c r="C2821" t="s">
        <v>26</v>
      </c>
      <c r="D2821">
        <v>8</v>
      </c>
      <c r="E2821">
        <v>8</v>
      </c>
      <c r="F2821">
        <v>35.03</v>
      </c>
      <c r="G2821">
        <v>0</v>
      </c>
      <c r="H2821">
        <v>0</v>
      </c>
      <c r="I2821" s="3">
        <f>E2821+G2821+H2821</f>
        <v>8</v>
      </c>
      <c r="J2821" s="3">
        <f>ROUND(MIN(IF(C2821="Técnico III",35,IF(C2821="Técnico II",28,IF(C2821="Técnico I",23,IF(C2821="JR",20,IF(C2821="Estágio",10,0))))),IF(C2821="Técnico III",SUMIFS($D:$D,$A:$A,$A2821,$B:$B,"&lt;&gt;Patrícia Karla de Sousa Araújo",$B:$B,"&lt;&gt;Lorena Dias de Araujo",$B:$B,"&lt;&gt;Lucas Luiz Romero")*(35/1083),IF(C2821="Técnico II",SUMIFS($D:$D,$A:$A,$A2821,$B:$B,"&lt;&gt;Patrícia Karla de Sousa Araújo",$B:$B,"&lt;&gt;Lorena Dias de Araujo",$B:$B,"&lt;&gt;Lucas Luiz Romero")*(28/1083),IF(C2821="Técnico I",SUMIFS($D:$D,$A:$A,$A2821,$B:$B,"&lt;&gt;Patrícia Karla de Sousa Araújo",$B:$B,"&lt;&gt;Lorena Dias de Araujo",$B:$B,"&lt;&gt;Lucas Luiz Romero")*(23/1083),IF(C2821="JR",SUMIFS($D:$D,$A:$A,$A2821,$B:$B,"&lt;&gt;Patrícia Karla de Sousa Araújo",$B:$B,"&lt;&gt;Lorena Dias de Araujo",$B:$B,"&lt;&gt;Lucas Luiz Romero")*(20/1083),IF(C2821="Estágio",SUMIFS($D:$D,$A:$A,$A2821,$B:$B,"&lt;&gt;Patrícia Karla de Sousa Araújo",$B:$B,"&lt;&gt;Lorena Dias de Araujo",$B:$B,"&lt;&gt;Lucas Luiz Romero")*(10/1083),0)))))),0)</f>
        <v>12</v>
      </c>
      <c r="K2821" s="3">
        <f>I2821-J2821</f>
        <v>-4</v>
      </c>
      <c r="L2821" s="3" t="str">
        <f>IF(K2821&lt;-5,"CRÍTICO",IF(K2821&lt;0,"ATENÇÃO",IF(K2821&lt;=5,"OPORTUNO","MUITO BOM")))</f>
        <v>ATENÇÃO</v>
      </c>
      <c r="M2821">
        <v>9</v>
      </c>
      <c r="N2821">
        <v>98.31</v>
      </c>
      <c r="O2821">
        <v>24.920127795527151</v>
      </c>
    </row>
    <row r="2822" spans="1:15" hidden="1" x14ac:dyDescent="0.25">
      <c r="A2822" s="11">
        <v>46090</v>
      </c>
      <c r="B2822" t="s">
        <v>40</v>
      </c>
      <c r="C2822" t="s">
        <v>32</v>
      </c>
      <c r="D2822">
        <v>15</v>
      </c>
      <c r="E2822">
        <v>14</v>
      </c>
      <c r="F2822">
        <v>26.47</v>
      </c>
      <c r="G2822">
        <v>0</v>
      </c>
      <c r="H2822">
        <v>0</v>
      </c>
      <c r="I2822" s="3">
        <f>E2822+G2822+H2822</f>
        <v>14</v>
      </c>
      <c r="J2822" s="3">
        <f>ROUND(MIN(IF(C2822="Técnico III",35,IF(C2822="Técnico II",28,IF(C2822="Técnico I",23,IF(C2822="JR",20,IF(C2822="Estágio",10,0))))),IF(C2822="Técnico III",SUMIFS($D:$D,$A:$A,$A2822,$B:$B,"&lt;&gt;Patrícia Karla de Sousa Araújo",$B:$B,"&lt;&gt;Lorena Dias de Araujo",$B:$B,"&lt;&gt;Lucas Luiz Romero")*(35/1083),IF(C2822="Técnico II",SUMIFS($D:$D,$A:$A,$A2822,$B:$B,"&lt;&gt;Patrícia Karla de Sousa Araújo",$B:$B,"&lt;&gt;Lorena Dias de Araujo",$B:$B,"&lt;&gt;Lucas Luiz Romero")*(28/1083),IF(C2822="Técnico I",SUMIFS($D:$D,$A:$A,$A2822,$B:$B,"&lt;&gt;Patrícia Karla de Sousa Araújo",$B:$B,"&lt;&gt;Lorena Dias de Araujo",$B:$B,"&lt;&gt;Lucas Luiz Romero")*(23/1083),IF(C2822="JR",SUMIFS($D:$D,$A:$A,$A2822,$B:$B,"&lt;&gt;Patrícia Karla de Sousa Araújo",$B:$B,"&lt;&gt;Lorena Dias de Araujo",$B:$B,"&lt;&gt;Lucas Luiz Romero")*(20/1083),IF(C2822="Estágio",SUMIFS($D:$D,$A:$A,$A2822,$B:$B,"&lt;&gt;Patrícia Karla de Sousa Araújo",$B:$B,"&lt;&gt;Lorena Dias de Araujo",$B:$B,"&lt;&gt;Lucas Luiz Romero")*(10/1083),0)))))),0)</f>
        <v>21</v>
      </c>
      <c r="K2822" s="3">
        <f>I2822-J2822</f>
        <v>-7</v>
      </c>
      <c r="L2822" s="3" t="str">
        <f>IF(K2822&lt;-5,"CRÍTICO",IF(K2822&lt;0,"ATENÇÃO",IF(K2822&lt;=5,"OPORTUNO","MUITO BOM")))</f>
        <v>CRÍTICO</v>
      </c>
      <c r="M2822">
        <v>12</v>
      </c>
      <c r="N2822">
        <v>96.81</v>
      </c>
      <c r="O2822">
        <v>32.365145228215773</v>
      </c>
    </row>
    <row r="2823" spans="1:15" hidden="1" x14ac:dyDescent="0.25">
      <c r="A2823" s="11">
        <v>46090</v>
      </c>
      <c r="B2823" t="s">
        <v>27</v>
      </c>
      <c r="C2823" t="s">
        <v>26</v>
      </c>
      <c r="D2823">
        <v>5</v>
      </c>
      <c r="E2823">
        <v>5</v>
      </c>
      <c r="F2823">
        <v>43.59</v>
      </c>
      <c r="G2823">
        <v>0</v>
      </c>
      <c r="H2823">
        <v>0</v>
      </c>
      <c r="I2823" s="3">
        <f>E2823+G2823+H2823</f>
        <v>5</v>
      </c>
      <c r="J2823" s="3">
        <f>ROUND(MIN(IF(C2823="Técnico III",35,IF(C2823="Técnico II",28,IF(C2823="Técnico I",23,IF(C2823="JR",20,IF(C2823="Estágio",10,0))))),IF(C2823="Técnico III",SUMIFS($D:$D,$A:$A,$A2823,$B:$B,"&lt;&gt;Patrícia Karla de Sousa Araújo",$B:$B,"&lt;&gt;Lorena Dias de Araujo",$B:$B,"&lt;&gt;Lucas Luiz Romero")*(35/1083),IF(C2823="Técnico II",SUMIFS($D:$D,$A:$A,$A2823,$B:$B,"&lt;&gt;Patrícia Karla de Sousa Araújo",$B:$B,"&lt;&gt;Lorena Dias de Araujo",$B:$B,"&lt;&gt;Lucas Luiz Romero")*(28/1083),IF(C2823="Técnico I",SUMIFS($D:$D,$A:$A,$A2823,$B:$B,"&lt;&gt;Patrícia Karla de Sousa Araújo",$B:$B,"&lt;&gt;Lorena Dias de Araujo",$B:$B,"&lt;&gt;Lucas Luiz Romero")*(23/1083),IF(C2823="JR",SUMIFS($D:$D,$A:$A,$A2823,$B:$B,"&lt;&gt;Patrícia Karla de Sousa Araújo",$B:$B,"&lt;&gt;Lorena Dias de Araujo",$B:$B,"&lt;&gt;Lucas Luiz Romero")*(20/1083),IF(C2823="Estágio",SUMIFS($D:$D,$A:$A,$A2823,$B:$B,"&lt;&gt;Patrícia Karla de Sousa Araújo",$B:$B,"&lt;&gt;Lorena Dias de Araujo",$B:$B,"&lt;&gt;Lucas Luiz Romero")*(10/1083),0)))))),0)</f>
        <v>12</v>
      </c>
      <c r="K2823" s="3">
        <f>I2823-J2823</f>
        <v>-7</v>
      </c>
      <c r="L2823" s="3" t="str">
        <f>IF(K2823&lt;-5,"CRÍTICO",IF(K2823&lt;0,"ATENÇÃO",IF(K2823&lt;=5,"OPORTUNO","MUITO BOM")))</f>
        <v>CRÍTICO</v>
      </c>
      <c r="M2823">
        <v>3</v>
      </c>
      <c r="N2823">
        <v>100</v>
      </c>
      <c r="O2823">
        <v>26.47058823529412</v>
      </c>
    </row>
    <row r="2824" spans="1:15" hidden="1" x14ac:dyDescent="0.25">
      <c r="A2824" s="11">
        <v>46090</v>
      </c>
      <c r="B2824" t="s">
        <v>41</v>
      </c>
      <c r="C2824" t="s">
        <v>32</v>
      </c>
      <c r="D2824">
        <v>7</v>
      </c>
      <c r="E2824">
        <v>7</v>
      </c>
      <c r="F2824">
        <v>17.12</v>
      </c>
      <c r="G2824">
        <v>0</v>
      </c>
      <c r="H2824">
        <v>0</v>
      </c>
      <c r="I2824" s="3">
        <f>E2824+G2824+H2824</f>
        <v>7</v>
      </c>
      <c r="J2824" s="3">
        <f>ROUND(MIN(IF(C2824="Técnico III",35,IF(C2824="Técnico II",28,IF(C2824="Técnico I",23,IF(C2824="JR",20,IF(C2824="Estágio",10,0))))),IF(C2824="Técnico III",SUMIFS($D:$D,$A:$A,$A2824,$B:$B,"&lt;&gt;Patrícia Karla de Sousa Araújo",$B:$B,"&lt;&gt;Lorena Dias de Araujo",$B:$B,"&lt;&gt;Lucas Luiz Romero")*(35/1083),IF(C2824="Técnico II",SUMIFS($D:$D,$A:$A,$A2824,$B:$B,"&lt;&gt;Patrícia Karla de Sousa Araújo",$B:$B,"&lt;&gt;Lorena Dias de Araujo",$B:$B,"&lt;&gt;Lucas Luiz Romero")*(28/1083),IF(C2824="Técnico I",SUMIFS($D:$D,$A:$A,$A2824,$B:$B,"&lt;&gt;Patrícia Karla de Sousa Araújo",$B:$B,"&lt;&gt;Lorena Dias de Araujo",$B:$B,"&lt;&gt;Lucas Luiz Romero")*(23/1083),IF(C2824="JR",SUMIFS($D:$D,$A:$A,$A2824,$B:$B,"&lt;&gt;Patrícia Karla de Sousa Araújo",$B:$B,"&lt;&gt;Lorena Dias de Araujo",$B:$B,"&lt;&gt;Lucas Luiz Romero")*(20/1083),IF(C2824="Estágio",SUMIFS($D:$D,$A:$A,$A2824,$B:$B,"&lt;&gt;Patrícia Karla de Sousa Araújo",$B:$B,"&lt;&gt;Lorena Dias de Araujo",$B:$B,"&lt;&gt;Lucas Luiz Romero")*(10/1083),0)))))),0)</f>
        <v>21</v>
      </c>
      <c r="K2824" s="3">
        <f>I2824-J2824</f>
        <v>-14</v>
      </c>
      <c r="L2824" s="3" t="str">
        <f>IF(K2824&lt;-5,"CRÍTICO",IF(K2824&lt;0,"ATENÇÃO",IF(K2824&lt;=5,"OPORTUNO","MUITO BOM")))</f>
        <v>CRÍTICO</v>
      </c>
      <c r="M2824">
        <v>13</v>
      </c>
      <c r="N2824">
        <v>100</v>
      </c>
      <c r="O2824">
        <v>28.490028490028489</v>
      </c>
    </row>
    <row r="2825" spans="1:15" hidden="1" x14ac:dyDescent="0.25">
      <c r="A2825" s="11">
        <v>46090</v>
      </c>
      <c r="B2825" t="s">
        <v>56</v>
      </c>
      <c r="C2825" t="s">
        <v>48</v>
      </c>
      <c r="D2825">
        <v>23</v>
      </c>
      <c r="E2825">
        <v>21</v>
      </c>
      <c r="F2825">
        <v>18.3</v>
      </c>
      <c r="G2825">
        <v>0</v>
      </c>
      <c r="H2825">
        <v>0</v>
      </c>
      <c r="I2825" s="3">
        <f>E2825+G2825+H2825</f>
        <v>21</v>
      </c>
      <c r="J2825" s="3">
        <f>ROUND(MIN(IF(C2825="Técnico III",35,IF(C2825="Técnico II",28,IF(C2825="Técnico I",23,IF(C2825="JR",20,IF(C2825="Estágio",10,0))))),IF(C2825="Técnico III",SUMIFS($D:$D,$A:$A,$A2825,$B:$B,"&lt;&gt;Patrícia Karla de Sousa Araújo",$B:$B,"&lt;&gt;Lorena Dias de Araujo",$B:$B,"&lt;&gt;Lucas Luiz Romero")*(35/1083),IF(C2825="Técnico II",SUMIFS($D:$D,$A:$A,$A2825,$B:$B,"&lt;&gt;Patrícia Karla de Sousa Araújo",$B:$B,"&lt;&gt;Lorena Dias de Araujo",$B:$B,"&lt;&gt;Lucas Luiz Romero")*(28/1083),IF(C2825="Técnico I",SUMIFS($D:$D,$A:$A,$A2825,$B:$B,"&lt;&gt;Patrícia Karla de Sousa Araújo",$B:$B,"&lt;&gt;Lorena Dias de Araujo",$B:$B,"&lt;&gt;Lucas Luiz Romero")*(23/1083),IF(C2825="JR",SUMIFS($D:$D,$A:$A,$A2825,$B:$B,"&lt;&gt;Patrícia Karla de Sousa Araújo",$B:$B,"&lt;&gt;Lorena Dias de Araujo",$B:$B,"&lt;&gt;Lucas Luiz Romero")*(20/1083),IF(C2825="Estágio",SUMIFS($D:$D,$A:$A,$A2825,$B:$B,"&lt;&gt;Patrícia Karla de Sousa Araújo",$B:$B,"&lt;&gt;Lorena Dias de Araujo",$B:$B,"&lt;&gt;Lucas Luiz Romero")*(10/1083),0)))))),0)</f>
        <v>17</v>
      </c>
      <c r="K2825" s="3">
        <f>I2825-J2825</f>
        <v>4</v>
      </c>
      <c r="L2825" s="3" t="str">
        <f>IF(K2825&lt;-5,"CRÍTICO",IF(K2825&lt;0,"ATENÇÃO",IF(K2825&lt;=5,"OPORTUNO","MUITO BOM")))</f>
        <v>OPORTUNO</v>
      </c>
      <c r="M2825">
        <v>12</v>
      </c>
      <c r="N2825">
        <v>99.14</v>
      </c>
      <c r="O2825">
        <v>27.2289156626506</v>
      </c>
    </row>
    <row r="2826" spans="1:15" hidden="1" x14ac:dyDescent="0.25">
      <c r="A2826" s="11">
        <v>46090</v>
      </c>
      <c r="B2826" t="s">
        <v>57</v>
      </c>
      <c r="C2826" t="s">
        <v>48</v>
      </c>
      <c r="D2826">
        <v>9</v>
      </c>
      <c r="E2826">
        <v>8</v>
      </c>
      <c r="F2826">
        <v>32.04</v>
      </c>
      <c r="G2826">
        <v>0</v>
      </c>
      <c r="H2826">
        <v>0</v>
      </c>
      <c r="I2826" s="3">
        <v>0</v>
      </c>
      <c r="J2826" s="3">
        <v>0</v>
      </c>
      <c r="K2826" s="3">
        <v>0</v>
      </c>
      <c r="L2826" s="3" t="str">
        <f>IF(K2826&lt;-5,"CRÍTICO",IF(K2826&lt;0,"ATENÇÃO",IF(K2826&lt;=5,"OPORTUNO","MUITO BOM")))</f>
        <v>OPORTUNO</v>
      </c>
      <c r="M2826">
        <v>8</v>
      </c>
      <c r="N2826">
        <v>97.52</v>
      </c>
      <c r="O2826">
        <v>28.205128205128201</v>
      </c>
    </row>
    <row r="2827" spans="1:15" hidden="1" x14ac:dyDescent="0.25">
      <c r="A2827" s="11">
        <v>46090</v>
      </c>
      <c r="B2827" t="s">
        <v>42</v>
      </c>
      <c r="C2827" t="s">
        <v>32</v>
      </c>
      <c r="D2827">
        <v>31</v>
      </c>
      <c r="E2827">
        <v>24</v>
      </c>
      <c r="F2827">
        <v>20.45</v>
      </c>
      <c r="G2827">
        <v>0</v>
      </c>
      <c r="H2827">
        <v>0</v>
      </c>
      <c r="I2827" s="3">
        <f>E2827+G2827+H2827</f>
        <v>24</v>
      </c>
      <c r="J2827" s="3">
        <f>ROUND(MIN(IF(C2827="Técnico III",35,IF(C2827="Técnico II",28,IF(C2827="Técnico I",23,IF(C2827="JR",20,IF(C2827="Estágio",10,0))))),IF(C2827="Técnico III",SUMIFS($D:$D,$A:$A,$A2827,$B:$B,"&lt;&gt;Patrícia Karla de Sousa Araújo",$B:$B,"&lt;&gt;Lorena Dias de Araujo",$B:$B,"&lt;&gt;Lucas Luiz Romero")*(35/1083),IF(C2827="Técnico II",SUMIFS($D:$D,$A:$A,$A2827,$B:$B,"&lt;&gt;Patrícia Karla de Sousa Araújo",$B:$B,"&lt;&gt;Lorena Dias de Araujo",$B:$B,"&lt;&gt;Lucas Luiz Romero")*(28/1083),IF(C2827="Técnico I",SUMIFS($D:$D,$A:$A,$A2827,$B:$B,"&lt;&gt;Patrícia Karla de Sousa Araújo",$B:$B,"&lt;&gt;Lorena Dias de Araujo",$B:$B,"&lt;&gt;Lucas Luiz Romero")*(23/1083),IF(C2827="JR",SUMIFS($D:$D,$A:$A,$A2827,$B:$B,"&lt;&gt;Patrícia Karla de Sousa Araújo",$B:$B,"&lt;&gt;Lorena Dias de Araujo",$B:$B,"&lt;&gt;Lucas Luiz Romero")*(20/1083),IF(C2827="Estágio",SUMIFS($D:$D,$A:$A,$A2827,$B:$B,"&lt;&gt;Patrícia Karla de Sousa Araújo",$B:$B,"&lt;&gt;Lorena Dias de Araujo",$B:$B,"&lt;&gt;Lucas Luiz Romero")*(10/1083),0)))))),0)</f>
        <v>21</v>
      </c>
      <c r="K2827" s="3">
        <f>I2827-J2827</f>
        <v>3</v>
      </c>
      <c r="L2827" s="3" t="str">
        <f>IF(K2827&lt;-5,"CRÍTICO",IF(K2827&lt;0,"ATENÇÃO",IF(K2827&lt;=5,"OPORTUNO","MUITO BOM")))</f>
        <v>OPORTUNO</v>
      </c>
      <c r="M2827">
        <v>15</v>
      </c>
      <c r="N2827">
        <v>90</v>
      </c>
      <c r="O2827">
        <v>24.186046511627911</v>
      </c>
    </row>
    <row r="2828" spans="1:15" hidden="1" x14ac:dyDescent="0.25">
      <c r="A2828" s="11">
        <v>46090</v>
      </c>
      <c r="B2828" t="s">
        <v>62</v>
      </c>
      <c r="C2828" t="s">
        <v>23</v>
      </c>
      <c r="D2828">
        <v>23</v>
      </c>
      <c r="E2828">
        <v>23</v>
      </c>
      <c r="F2828">
        <v>23.52</v>
      </c>
      <c r="G2828">
        <v>0</v>
      </c>
      <c r="H2828">
        <v>0</v>
      </c>
      <c r="I2828" s="3">
        <f>E2828+G2828+H2828</f>
        <v>23</v>
      </c>
      <c r="J2828" s="3">
        <f>ROUND(MIN(IF(C2828="Técnico III",35,IF(C2828="Técnico II",28,IF(C2828="Técnico I",23,IF(C2828="JR",20,IF(C2828="Estágio",10,0))))),IF(C2828="Técnico III",SUMIFS($D:$D,$A:$A,$A2828,$B:$B,"&lt;&gt;Patrícia Karla de Sousa Araújo",$B:$B,"&lt;&gt;Lorena Dias de Araujo",$B:$B,"&lt;&gt;Lucas Luiz Romero")*(35/1083),IF(C2828="Técnico II",SUMIFS($D:$D,$A:$A,$A2828,$B:$B,"&lt;&gt;Patrícia Karla de Sousa Araújo",$B:$B,"&lt;&gt;Lorena Dias de Araujo",$B:$B,"&lt;&gt;Lucas Luiz Romero")*(28/1083),IF(C2828="Técnico I",SUMIFS($D:$D,$A:$A,$A2828,$B:$B,"&lt;&gt;Patrícia Karla de Sousa Araújo",$B:$B,"&lt;&gt;Lorena Dias de Araujo",$B:$B,"&lt;&gt;Lucas Luiz Romero")*(23/1083),IF(C2828="JR",SUMIFS($D:$D,$A:$A,$A2828,$B:$B,"&lt;&gt;Patrícia Karla de Sousa Araújo",$B:$B,"&lt;&gt;Lorena Dias de Araujo",$B:$B,"&lt;&gt;Lucas Luiz Romero")*(20/1083),IF(C2828="Estágio",SUMIFS($D:$D,$A:$A,$A2828,$B:$B,"&lt;&gt;Patrícia Karla de Sousa Araújo",$B:$B,"&lt;&gt;Lorena Dias de Araujo",$B:$B,"&lt;&gt;Lucas Luiz Romero")*(10/1083),0)))))),0)</f>
        <v>14</v>
      </c>
      <c r="K2828" s="3">
        <f>I2828-J2828</f>
        <v>9</v>
      </c>
      <c r="L2828" s="3" t="str">
        <f>IF(K2828&lt;-5,"CRÍTICO",IF(K2828&lt;0,"ATENÇÃO",IF(K2828&lt;=5,"OPORTUNO","MUITO BOM")))</f>
        <v>MUITO BOM</v>
      </c>
      <c r="M2828">
        <v>18</v>
      </c>
      <c r="N2828">
        <v>98.9</v>
      </c>
      <c r="O2828">
        <v>26.763990267639901</v>
      </c>
    </row>
    <row r="2829" spans="1:15" hidden="1" x14ac:dyDescent="0.25">
      <c r="A2829" s="11">
        <v>46090</v>
      </c>
      <c r="B2829" t="s">
        <v>19</v>
      </c>
      <c r="C2829" t="s">
        <v>16</v>
      </c>
      <c r="D2829">
        <v>0</v>
      </c>
      <c r="E2829">
        <v>0</v>
      </c>
      <c r="F2829">
        <v>0</v>
      </c>
      <c r="G2829">
        <v>0</v>
      </c>
      <c r="H2829">
        <v>0</v>
      </c>
      <c r="I2829" s="3">
        <v>0</v>
      </c>
      <c r="J2829" s="3">
        <v>0</v>
      </c>
      <c r="K2829" s="3">
        <v>0</v>
      </c>
      <c r="L2829" s="3" t="str">
        <f>IF(K2829&lt;-5,"CRÍTICO",IF(K2829&lt;0,"ATENÇÃO",IF(K2829&lt;=5,"OPORTUNO","MUITO BOM")))</f>
        <v>OPORTUNO</v>
      </c>
      <c r="M2829">
        <v>0</v>
      </c>
      <c r="N2829">
        <v>88.89</v>
      </c>
      <c r="O2829">
        <v>25.263157894736839</v>
      </c>
    </row>
    <row r="2830" spans="1:15" hidden="1" x14ac:dyDescent="0.25">
      <c r="A2830" s="11">
        <v>46090</v>
      </c>
      <c r="B2830" t="s">
        <v>43</v>
      </c>
      <c r="C2830" t="s">
        <v>32</v>
      </c>
      <c r="D2830">
        <v>35</v>
      </c>
      <c r="E2830">
        <v>35</v>
      </c>
      <c r="F2830">
        <v>20.02</v>
      </c>
      <c r="G2830">
        <v>0</v>
      </c>
      <c r="H2830">
        <v>0</v>
      </c>
      <c r="I2830" s="3">
        <f>E2830+G2830+H2830</f>
        <v>35</v>
      </c>
      <c r="J2830" s="3">
        <f>ROUND(MIN(IF(C2830="Técnico III",35,IF(C2830="Técnico II",28,IF(C2830="Técnico I",23,IF(C2830="JR",20,IF(C2830="Estágio",10,0))))),IF(C2830="Técnico III",SUMIFS($D:$D,$A:$A,$A2830,$B:$B,"&lt;&gt;Patrícia Karla de Sousa Araújo",$B:$B,"&lt;&gt;Lorena Dias de Araujo",$B:$B,"&lt;&gt;Lucas Luiz Romero")*(35/1083),IF(C2830="Técnico II",SUMIFS($D:$D,$A:$A,$A2830,$B:$B,"&lt;&gt;Patrícia Karla de Sousa Araújo",$B:$B,"&lt;&gt;Lorena Dias de Araujo",$B:$B,"&lt;&gt;Lucas Luiz Romero")*(28/1083),IF(C2830="Técnico I",SUMIFS($D:$D,$A:$A,$A2830,$B:$B,"&lt;&gt;Patrícia Karla de Sousa Araújo",$B:$B,"&lt;&gt;Lorena Dias de Araujo",$B:$B,"&lt;&gt;Lucas Luiz Romero")*(23/1083),IF(C2830="JR",SUMIFS($D:$D,$A:$A,$A2830,$B:$B,"&lt;&gt;Patrícia Karla de Sousa Araújo",$B:$B,"&lt;&gt;Lorena Dias de Araujo",$B:$B,"&lt;&gt;Lucas Luiz Romero")*(20/1083),IF(C2830="Estágio",SUMIFS($D:$D,$A:$A,$A2830,$B:$B,"&lt;&gt;Patrícia Karla de Sousa Araújo",$B:$B,"&lt;&gt;Lorena Dias de Araujo",$B:$B,"&lt;&gt;Lucas Luiz Romero")*(10/1083),0)))))),0)</f>
        <v>21</v>
      </c>
      <c r="K2830" s="3">
        <f>I2830-J2830</f>
        <v>14</v>
      </c>
      <c r="L2830" s="3" t="str">
        <f>IF(K2830&lt;-5,"CRÍTICO",IF(K2830&lt;0,"ATENÇÃO",IF(K2830&lt;=5,"OPORTUNO","MUITO BOM")))</f>
        <v>MUITO BOM</v>
      </c>
      <c r="M2830">
        <v>30</v>
      </c>
      <c r="N2830">
        <v>98.86</v>
      </c>
      <c r="O2830">
        <v>28.959276018099551</v>
      </c>
    </row>
    <row r="2831" spans="1:15" hidden="1" x14ac:dyDescent="0.25">
      <c r="A2831" s="11">
        <v>46090</v>
      </c>
      <c r="B2831" t="s">
        <v>44</v>
      </c>
      <c r="C2831" t="s">
        <v>32</v>
      </c>
      <c r="D2831">
        <v>27</v>
      </c>
      <c r="E2831">
        <v>23</v>
      </c>
      <c r="F2831">
        <v>19.059999999999999</v>
      </c>
      <c r="G2831">
        <v>0</v>
      </c>
      <c r="H2831">
        <v>0</v>
      </c>
      <c r="I2831" s="3">
        <f>E2831+G2831+H2831</f>
        <v>23</v>
      </c>
      <c r="J2831" s="3">
        <f>ROUND(MIN(IF(C2831="Técnico III",35,IF(C2831="Técnico II",28,IF(C2831="Técnico I",23,IF(C2831="JR",20,IF(C2831="Estágio",10,0))))),IF(C2831="Técnico III",SUMIFS($D:$D,$A:$A,$A2831,$B:$B,"&lt;&gt;Patrícia Karla de Sousa Araújo",$B:$B,"&lt;&gt;Lorena Dias de Araujo",$B:$B,"&lt;&gt;Lucas Luiz Romero")*(35/1083),IF(C2831="Técnico II",SUMIFS($D:$D,$A:$A,$A2831,$B:$B,"&lt;&gt;Patrícia Karla de Sousa Araújo",$B:$B,"&lt;&gt;Lorena Dias de Araujo",$B:$B,"&lt;&gt;Lucas Luiz Romero")*(28/1083),IF(C2831="Técnico I",SUMIFS($D:$D,$A:$A,$A2831,$B:$B,"&lt;&gt;Patrícia Karla de Sousa Araújo",$B:$B,"&lt;&gt;Lorena Dias de Araujo",$B:$B,"&lt;&gt;Lucas Luiz Romero")*(23/1083),IF(C2831="JR",SUMIFS($D:$D,$A:$A,$A2831,$B:$B,"&lt;&gt;Patrícia Karla de Sousa Araújo",$B:$B,"&lt;&gt;Lorena Dias de Araujo",$B:$B,"&lt;&gt;Lucas Luiz Romero")*(20/1083),IF(C2831="Estágio",SUMIFS($D:$D,$A:$A,$A2831,$B:$B,"&lt;&gt;Patrícia Karla de Sousa Araújo",$B:$B,"&lt;&gt;Lorena Dias de Araujo",$B:$B,"&lt;&gt;Lucas Luiz Romero")*(10/1083),0)))))),0)</f>
        <v>21</v>
      </c>
      <c r="K2831" s="3">
        <f>I2831-J2831</f>
        <v>2</v>
      </c>
      <c r="L2831" s="3" t="str">
        <f>IF(K2831&lt;-5,"CRÍTICO",IF(K2831&lt;0,"ATENÇÃO",IF(K2831&lt;=5,"OPORTUNO","MUITO BOM")))</f>
        <v>OPORTUNO</v>
      </c>
      <c r="M2831">
        <v>20</v>
      </c>
      <c r="N2831">
        <v>98.06</v>
      </c>
      <c r="O2831">
        <v>22.40566037735849</v>
      </c>
    </row>
    <row r="2832" spans="1:15" hidden="1" x14ac:dyDescent="0.25">
      <c r="A2832" s="11">
        <v>46090</v>
      </c>
      <c r="B2832" t="s">
        <v>20</v>
      </c>
      <c r="C2832" t="s">
        <v>16</v>
      </c>
      <c r="D2832">
        <v>3</v>
      </c>
      <c r="E2832">
        <v>3</v>
      </c>
      <c r="F2832">
        <v>90.51</v>
      </c>
      <c r="G2832">
        <v>0</v>
      </c>
      <c r="H2832">
        <v>0</v>
      </c>
      <c r="I2832" s="3">
        <f>E2832+G2832+H2832</f>
        <v>3</v>
      </c>
      <c r="J2832" s="3">
        <f>ROUND(MIN(IF(C2832="Técnico III",35,IF(C2832="Técnico II",28,IF(C2832="Técnico I",23,IF(C2832="JR",20,IF(C2832="Estágio",10,0))))),IF(C2832="Técnico III",SUMIFS($D:$D,$A:$A,$A2832,$B:$B,"&lt;&gt;Patrícia Karla de Sousa Araújo",$B:$B,"&lt;&gt;Lorena Dias de Araujo",$B:$B,"&lt;&gt;Lucas Luiz Romero")*(35/1083),IF(C2832="Técnico II",SUMIFS($D:$D,$A:$A,$A2832,$B:$B,"&lt;&gt;Patrícia Karla de Sousa Araújo",$B:$B,"&lt;&gt;Lorena Dias de Araujo",$B:$B,"&lt;&gt;Lucas Luiz Romero")*(28/1083),IF(C2832="Técnico I",SUMIFS($D:$D,$A:$A,$A2832,$B:$B,"&lt;&gt;Patrícia Karla de Sousa Araújo",$B:$B,"&lt;&gt;Lorena Dias de Araujo",$B:$B,"&lt;&gt;Lucas Luiz Romero")*(23/1083),IF(C2832="JR",SUMIFS($D:$D,$A:$A,$A2832,$B:$B,"&lt;&gt;Patrícia Karla de Sousa Araújo",$B:$B,"&lt;&gt;Lorena Dias de Araujo",$B:$B,"&lt;&gt;Lucas Luiz Romero")*(20/1083),IF(C2832="Estágio",SUMIFS($D:$D,$A:$A,$A2832,$B:$B,"&lt;&gt;Patrícia Karla de Sousa Araújo",$B:$B,"&lt;&gt;Lorena Dias de Araujo",$B:$B,"&lt;&gt;Lucas Luiz Romero")*(10/1083),0)))))),0)</f>
        <v>6</v>
      </c>
      <c r="K2832" s="3">
        <f>I2832-J2832</f>
        <v>-3</v>
      </c>
      <c r="L2832" s="3" t="str">
        <f>IF(K2832&lt;-5,"CRÍTICO",IF(K2832&lt;0,"ATENÇÃO",IF(K2832&lt;=5,"OPORTUNO","MUITO BOM")))</f>
        <v>ATENÇÃO</v>
      </c>
      <c r="M2832">
        <v>3</v>
      </c>
      <c r="N2832">
        <v>95.83</v>
      </c>
      <c r="O2832">
        <v>25.773195876288661</v>
      </c>
    </row>
    <row r="2833" spans="1:15" hidden="1" x14ac:dyDescent="0.25">
      <c r="A2833" s="11">
        <v>46090</v>
      </c>
      <c r="B2833" t="s">
        <v>28</v>
      </c>
      <c r="C2833" t="s">
        <v>26</v>
      </c>
      <c r="D2833">
        <v>0</v>
      </c>
      <c r="E2833">
        <v>0</v>
      </c>
      <c r="F2833">
        <v>0</v>
      </c>
      <c r="G2833">
        <v>0</v>
      </c>
      <c r="H2833">
        <v>0</v>
      </c>
      <c r="I2833" s="3">
        <v>0</v>
      </c>
      <c r="J2833" s="3">
        <v>0</v>
      </c>
      <c r="K2833" s="3">
        <v>0</v>
      </c>
      <c r="L2833" s="3" t="str">
        <f>IF(K2833&lt;-5,"CRÍTICO",IF(K2833&lt;0,"ATENÇÃO",IF(K2833&lt;=5,"OPORTUNO","MUITO BOM")))</f>
        <v>OPORTUNO</v>
      </c>
      <c r="M2833">
        <v>0</v>
      </c>
      <c r="N2833">
        <v>100</v>
      </c>
      <c r="O2833">
        <v>15.38461538461539</v>
      </c>
    </row>
    <row r="2834" spans="1:15" hidden="1" x14ac:dyDescent="0.25">
      <c r="A2834" s="11">
        <v>46090</v>
      </c>
      <c r="B2834" t="s">
        <v>58</v>
      </c>
      <c r="C2834" t="s">
        <v>48</v>
      </c>
      <c r="D2834">
        <v>15</v>
      </c>
      <c r="E2834">
        <v>14</v>
      </c>
      <c r="F2834">
        <v>33.32</v>
      </c>
      <c r="G2834">
        <v>0</v>
      </c>
      <c r="H2834">
        <v>0</v>
      </c>
      <c r="I2834" s="3">
        <f>E2834+G2834+H2834</f>
        <v>14</v>
      </c>
      <c r="J2834" s="3">
        <f>ROUND(MIN(IF(C2834="Técnico III",35,IF(C2834="Técnico II",28,IF(C2834="Técnico I",23,IF(C2834="JR",20,IF(C2834="Estágio",10,0))))),IF(C2834="Técnico III",SUMIFS($D:$D,$A:$A,$A2834,$B:$B,"&lt;&gt;Patrícia Karla de Sousa Araújo",$B:$B,"&lt;&gt;Lorena Dias de Araujo",$B:$B,"&lt;&gt;Lucas Luiz Romero")*(35/1083),IF(C2834="Técnico II",SUMIFS($D:$D,$A:$A,$A2834,$B:$B,"&lt;&gt;Patrícia Karla de Sousa Araújo",$B:$B,"&lt;&gt;Lorena Dias de Araujo",$B:$B,"&lt;&gt;Lucas Luiz Romero")*(28/1083),IF(C2834="Técnico I",SUMIFS($D:$D,$A:$A,$A2834,$B:$B,"&lt;&gt;Patrícia Karla de Sousa Araújo",$B:$B,"&lt;&gt;Lorena Dias de Araujo",$B:$B,"&lt;&gt;Lucas Luiz Romero")*(23/1083),IF(C2834="JR",SUMIFS($D:$D,$A:$A,$A2834,$B:$B,"&lt;&gt;Patrícia Karla de Sousa Araújo",$B:$B,"&lt;&gt;Lorena Dias de Araujo",$B:$B,"&lt;&gt;Lucas Luiz Romero")*(20/1083),IF(C2834="Estágio",SUMIFS($D:$D,$A:$A,$A2834,$B:$B,"&lt;&gt;Patrícia Karla de Sousa Araújo",$B:$B,"&lt;&gt;Lorena Dias de Araujo",$B:$B,"&lt;&gt;Lucas Luiz Romero")*(10/1083),0)))))),0)</f>
        <v>17</v>
      </c>
      <c r="K2834" s="3">
        <f>I2834-J2834</f>
        <v>-3</v>
      </c>
      <c r="L2834" s="3" t="str">
        <f>IF(K2834&lt;-5,"CRÍTICO",IF(K2834&lt;0,"ATENÇÃO",IF(K2834&lt;=5,"OPORTUNO","MUITO BOM")))</f>
        <v>ATENÇÃO</v>
      </c>
      <c r="M2834">
        <v>11</v>
      </c>
      <c r="N2834">
        <v>100</v>
      </c>
      <c r="O2834">
        <v>27.514792899408281</v>
      </c>
    </row>
    <row r="2835" spans="1:15" hidden="1" x14ac:dyDescent="0.25">
      <c r="A2835" s="11">
        <v>46090</v>
      </c>
      <c r="B2835" t="s">
        <v>29</v>
      </c>
      <c r="C2835" t="s">
        <v>26</v>
      </c>
      <c r="D2835">
        <v>4</v>
      </c>
      <c r="E2835">
        <v>4</v>
      </c>
      <c r="F2835">
        <v>62.16</v>
      </c>
      <c r="G2835">
        <v>0</v>
      </c>
      <c r="H2835">
        <v>0</v>
      </c>
      <c r="I2835" s="3">
        <f>E2835+G2835+H2835</f>
        <v>4</v>
      </c>
      <c r="J2835" s="3">
        <f>ROUND(MIN(IF(C2835="Técnico III",35,IF(C2835="Técnico II",28,IF(C2835="Técnico I",23,IF(C2835="JR",20,IF(C2835="Estágio",10,0))))),IF(C2835="Técnico III",SUMIFS($D:$D,$A:$A,$A2835,$B:$B,"&lt;&gt;Patrícia Karla de Sousa Araújo",$B:$B,"&lt;&gt;Lorena Dias de Araujo",$B:$B,"&lt;&gt;Lucas Luiz Romero")*(35/1083),IF(C2835="Técnico II",SUMIFS($D:$D,$A:$A,$A2835,$B:$B,"&lt;&gt;Patrícia Karla de Sousa Araújo",$B:$B,"&lt;&gt;Lorena Dias de Araujo",$B:$B,"&lt;&gt;Lucas Luiz Romero")*(28/1083),IF(C2835="Técnico I",SUMIFS($D:$D,$A:$A,$A2835,$B:$B,"&lt;&gt;Patrícia Karla de Sousa Araújo",$B:$B,"&lt;&gt;Lorena Dias de Araujo",$B:$B,"&lt;&gt;Lucas Luiz Romero")*(23/1083),IF(C2835="JR",SUMIFS($D:$D,$A:$A,$A2835,$B:$B,"&lt;&gt;Patrícia Karla de Sousa Araújo",$B:$B,"&lt;&gt;Lorena Dias de Araujo",$B:$B,"&lt;&gt;Lucas Luiz Romero")*(20/1083),IF(C2835="Estágio",SUMIFS($D:$D,$A:$A,$A2835,$B:$B,"&lt;&gt;Patrícia Karla de Sousa Araújo",$B:$B,"&lt;&gt;Lorena Dias de Araujo",$B:$B,"&lt;&gt;Lucas Luiz Romero")*(10/1083),0)))))),0)</f>
        <v>12</v>
      </c>
      <c r="K2835" s="3">
        <f>I2835-J2835</f>
        <v>-8</v>
      </c>
      <c r="L2835" s="3" t="str">
        <f>IF(K2835&lt;-5,"CRÍTICO",IF(K2835&lt;0,"ATENÇÃO",IF(K2835&lt;=5,"OPORTUNO","MUITO BOM")))</f>
        <v>CRÍTICO</v>
      </c>
      <c r="M2835">
        <v>3</v>
      </c>
      <c r="N2835">
        <v>100</v>
      </c>
      <c r="O2835">
        <v>24.875621890547269</v>
      </c>
    </row>
    <row r="2836" spans="1:15" hidden="1" x14ac:dyDescent="0.25">
      <c r="A2836" s="11">
        <v>46090</v>
      </c>
      <c r="B2836" t="s">
        <v>30</v>
      </c>
      <c r="C2836" t="s">
        <v>26</v>
      </c>
      <c r="D2836">
        <v>7</v>
      </c>
      <c r="E2836">
        <v>7</v>
      </c>
      <c r="F2836">
        <v>53.56</v>
      </c>
      <c r="G2836">
        <v>0</v>
      </c>
      <c r="H2836">
        <v>0</v>
      </c>
      <c r="I2836" s="3">
        <f>E2836+G2836+H2836</f>
        <v>7</v>
      </c>
      <c r="J2836" s="3">
        <f>ROUND(MIN(IF(C2836="Técnico III",35,IF(C2836="Técnico II",28,IF(C2836="Técnico I",23,IF(C2836="JR",20,IF(C2836="Estágio",10,0))))),IF(C2836="Técnico III",SUMIFS($D:$D,$A:$A,$A2836,$B:$B,"&lt;&gt;Patrícia Karla de Sousa Araújo",$B:$B,"&lt;&gt;Lorena Dias de Araujo",$B:$B,"&lt;&gt;Lucas Luiz Romero")*(35/1083),IF(C2836="Técnico II",SUMIFS($D:$D,$A:$A,$A2836,$B:$B,"&lt;&gt;Patrícia Karla de Sousa Araújo",$B:$B,"&lt;&gt;Lorena Dias de Araujo",$B:$B,"&lt;&gt;Lucas Luiz Romero")*(28/1083),IF(C2836="Técnico I",SUMIFS($D:$D,$A:$A,$A2836,$B:$B,"&lt;&gt;Patrícia Karla de Sousa Araújo",$B:$B,"&lt;&gt;Lorena Dias de Araujo",$B:$B,"&lt;&gt;Lucas Luiz Romero")*(23/1083),IF(C2836="JR",SUMIFS($D:$D,$A:$A,$A2836,$B:$B,"&lt;&gt;Patrícia Karla de Sousa Araújo",$B:$B,"&lt;&gt;Lorena Dias de Araujo",$B:$B,"&lt;&gt;Lucas Luiz Romero")*(20/1083),IF(C2836="Estágio",SUMIFS($D:$D,$A:$A,$A2836,$B:$B,"&lt;&gt;Patrícia Karla de Sousa Araújo",$B:$B,"&lt;&gt;Lorena Dias de Araujo",$B:$B,"&lt;&gt;Lucas Luiz Romero")*(10/1083),0)))))),0)</f>
        <v>12</v>
      </c>
      <c r="K2836" s="3">
        <f>I2836-J2836</f>
        <v>-5</v>
      </c>
      <c r="L2836" s="3" t="str">
        <f>IF(K2836&lt;-5,"CRÍTICO",IF(K2836&lt;0,"ATENÇÃO",IF(K2836&lt;=5,"OPORTUNO","MUITO BOM")))</f>
        <v>ATENÇÃO</v>
      </c>
      <c r="M2836">
        <v>4</v>
      </c>
      <c r="N2836">
        <v>100</v>
      </c>
      <c r="O2836">
        <v>28.108108108108109</v>
      </c>
    </row>
    <row r="2837" spans="1:15" hidden="1" x14ac:dyDescent="0.25">
      <c r="A2837" s="11">
        <v>46090</v>
      </c>
      <c r="B2837" t="s">
        <v>21</v>
      </c>
      <c r="C2837" t="s">
        <v>16</v>
      </c>
      <c r="D2837">
        <v>0</v>
      </c>
      <c r="E2837">
        <v>0</v>
      </c>
      <c r="F2837">
        <v>0</v>
      </c>
      <c r="G2837">
        <v>0</v>
      </c>
      <c r="H2837">
        <v>0</v>
      </c>
      <c r="I2837" s="3">
        <v>0</v>
      </c>
      <c r="J2837" s="3">
        <v>0</v>
      </c>
      <c r="K2837" s="3">
        <v>0</v>
      </c>
      <c r="L2837" s="3" t="str">
        <f>IF(K2837&lt;-5,"CRÍTICO",IF(K2837&lt;0,"ATENÇÃO",IF(K2837&lt;=5,"OPORTUNO","MUITO BOM")))</f>
        <v>OPORTUNO</v>
      </c>
      <c r="M2837">
        <v>0</v>
      </c>
      <c r="N2837">
        <v>100</v>
      </c>
      <c r="O2837">
        <v>35</v>
      </c>
    </row>
    <row r="2838" spans="1:15" hidden="1" x14ac:dyDescent="0.25">
      <c r="A2838" s="11">
        <v>46090</v>
      </c>
      <c r="B2838" t="s">
        <v>63</v>
      </c>
      <c r="C2838" t="s">
        <v>23</v>
      </c>
      <c r="D2838">
        <v>1</v>
      </c>
      <c r="E2838">
        <v>1</v>
      </c>
      <c r="F2838">
        <v>73.31</v>
      </c>
      <c r="G2838">
        <v>0</v>
      </c>
      <c r="H2838">
        <v>0</v>
      </c>
      <c r="I2838" s="3">
        <f>E2838+G2838+H2838</f>
        <v>1</v>
      </c>
      <c r="J2838" s="3">
        <f>ROUND(MIN(IF(C2838="Técnico III",35,IF(C2838="Técnico II",28,IF(C2838="Técnico I",23,IF(C2838="JR",20,IF(C2838="Estágio",10,0))))),IF(C2838="Técnico III",SUMIFS($D:$D,$A:$A,$A2838,$B:$B,"&lt;&gt;Patrícia Karla de Sousa Araújo",$B:$B,"&lt;&gt;Lorena Dias de Araujo",$B:$B,"&lt;&gt;Lucas Luiz Romero")*(35/1083),IF(C2838="Técnico II",SUMIFS($D:$D,$A:$A,$A2838,$B:$B,"&lt;&gt;Patrícia Karla de Sousa Araújo",$B:$B,"&lt;&gt;Lorena Dias de Araujo",$B:$B,"&lt;&gt;Lucas Luiz Romero")*(28/1083),IF(C2838="Técnico I",SUMIFS($D:$D,$A:$A,$A2838,$B:$B,"&lt;&gt;Patrícia Karla de Sousa Araújo",$B:$B,"&lt;&gt;Lorena Dias de Araujo",$B:$B,"&lt;&gt;Lucas Luiz Romero")*(23/1083),IF(C2838="JR",SUMIFS($D:$D,$A:$A,$A2838,$B:$B,"&lt;&gt;Patrícia Karla de Sousa Araújo",$B:$B,"&lt;&gt;Lorena Dias de Araujo",$B:$B,"&lt;&gt;Lucas Luiz Romero")*(20/1083),IF(C2838="Estágio",SUMIFS($D:$D,$A:$A,$A2838,$B:$B,"&lt;&gt;Patrícia Karla de Sousa Araújo",$B:$B,"&lt;&gt;Lorena Dias de Araujo",$B:$B,"&lt;&gt;Lucas Luiz Romero")*(10/1083),0)))))),0)</f>
        <v>14</v>
      </c>
      <c r="K2838" s="3">
        <f>I2838-J2838</f>
        <v>-13</v>
      </c>
      <c r="L2838" s="3" t="str">
        <f>IF(K2838&lt;-5,"CRÍTICO",IF(K2838&lt;0,"ATENÇÃO",IF(K2838&lt;=5,"OPORTUNO","MUITO BOM")))</f>
        <v>CRÍTICO</v>
      </c>
      <c r="M2838">
        <v>0</v>
      </c>
      <c r="N2838">
        <v>95.35</v>
      </c>
      <c r="O2838">
        <v>28.61538461538461</v>
      </c>
    </row>
    <row r="2839" spans="1:15" hidden="1" x14ac:dyDescent="0.25">
      <c r="A2839" s="11">
        <v>46090</v>
      </c>
      <c r="B2839" t="s">
        <v>45</v>
      </c>
      <c r="C2839" t="s">
        <v>32</v>
      </c>
      <c r="D2839">
        <v>33</v>
      </c>
      <c r="E2839">
        <v>32</v>
      </c>
      <c r="F2839">
        <v>15.46</v>
      </c>
      <c r="G2839">
        <v>0</v>
      </c>
      <c r="H2839">
        <v>0</v>
      </c>
      <c r="I2839" s="3">
        <f>E2839+G2839+H2839</f>
        <v>32</v>
      </c>
      <c r="J2839" s="3">
        <f>ROUND(MIN(IF(C2839="Técnico III",35,IF(C2839="Técnico II",28,IF(C2839="Técnico I",23,IF(C2839="JR",20,IF(C2839="Estágio",10,0))))),IF(C2839="Técnico III",SUMIFS($D:$D,$A:$A,$A2839,$B:$B,"&lt;&gt;Patrícia Karla de Sousa Araújo",$B:$B,"&lt;&gt;Lorena Dias de Araujo",$B:$B,"&lt;&gt;Lucas Luiz Romero")*(35/1083),IF(C2839="Técnico II",SUMIFS($D:$D,$A:$A,$A2839,$B:$B,"&lt;&gt;Patrícia Karla de Sousa Araújo",$B:$B,"&lt;&gt;Lorena Dias de Araujo",$B:$B,"&lt;&gt;Lucas Luiz Romero")*(28/1083),IF(C2839="Técnico I",SUMIFS($D:$D,$A:$A,$A2839,$B:$B,"&lt;&gt;Patrícia Karla de Sousa Araújo",$B:$B,"&lt;&gt;Lorena Dias de Araujo",$B:$B,"&lt;&gt;Lucas Luiz Romero")*(23/1083),IF(C2839="JR",SUMIFS($D:$D,$A:$A,$A2839,$B:$B,"&lt;&gt;Patrícia Karla de Sousa Araújo",$B:$B,"&lt;&gt;Lorena Dias de Araujo",$B:$B,"&lt;&gt;Lucas Luiz Romero")*(20/1083),IF(C2839="Estágio",SUMIFS($D:$D,$A:$A,$A2839,$B:$B,"&lt;&gt;Patrícia Karla de Sousa Araújo",$B:$B,"&lt;&gt;Lorena Dias de Araujo",$B:$B,"&lt;&gt;Lucas Luiz Romero")*(10/1083),0)))))),0)</f>
        <v>21</v>
      </c>
      <c r="K2839" s="3">
        <f>I2839-J2839</f>
        <v>11</v>
      </c>
      <c r="L2839" s="3" t="str">
        <f>IF(K2839&lt;-5,"CRÍTICO",IF(K2839&lt;0,"ATENÇÃO",IF(K2839&lt;=5,"OPORTUNO","MUITO BOM")))</f>
        <v>MUITO BOM</v>
      </c>
      <c r="M2839">
        <v>32</v>
      </c>
      <c r="N2839">
        <v>98.26</v>
      </c>
      <c r="O2839">
        <v>27.54491017964072</v>
      </c>
    </row>
    <row r="2840" spans="1:15" hidden="1" x14ac:dyDescent="0.25">
      <c r="A2840" s="11">
        <v>46090</v>
      </c>
      <c r="B2840" t="s">
        <v>64</v>
      </c>
      <c r="C2840" t="s">
        <v>23</v>
      </c>
      <c r="D2840">
        <v>9</v>
      </c>
      <c r="E2840">
        <v>9</v>
      </c>
      <c r="F2840">
        <v>50.16</v>
      </c>
      <c r="G2840">
        <v>0</v>
      </c>
      <c r="H2840">
        <v>0</v>
      </c>
      <c r="I2840" s="3">
        <f>E2840+G2840+H2840</f>
        <v>9</v>
      </c>
      <c r="J2840" s="3">
        <f>ROUND(MIN(IF(C2840="Técnico III",35,IF(C2840="Técnico II",28,IF(C2840="Técnico I",23,IF(C2840="JR",20,IF(C2840="Estágio",10,0))))),IF(C2840="Técnico III",SUMIFS($D:$D,$A:$A,$A2840,$B:$B,"&lt;&gt;Patrícia Karla de Sousa Araújo",$B:$B,"&lt;&gt;Lorena Dias de Araujo",$B:$B,"&lt;&gt;Lucas Luiz Romero")*(35/1083),IF(C2840="Técnico II",SUMIFS($D:$D,$A:$A,$A2840,$B:$B,"&lt;&gt;Patrícia Karla de Sousa Araújo",$B:$B,"&lt;&gt;Lorena Dias de Araujo",$B:$B,"&lt;&gt;Lucas Luiz Romero")*(28/1083),IF(C2840="Técnico I",SUMIFS($D:$D,$A:$A,$A2840,$B:$B,"&lt;&gt;Patrícia Karla de Sousa Araújo",$B:$B,"&lt;&gt;Lorena Dias de Araujo",$B:$B,"&lt;&gt;Lucas Luiz Romero")*(23/1083),IF(C2840="JR",SUMIFS($D:$D,$A:$A,$A2840,$B:$B,"&lt;&gt;Patrícia Karla de Sousa Araújo",$B:$B,"&lt;&gt;Lorena Dias de Araujo",$B:$B,"&lt;&gt;Lucas Luiz Romero")*(20/1083),IF(C2840="Estágio",SUMIFS($D:$D,$A:$A,$A2840,$B:$B,"&lt;&gt;Patrícia Karla de Sousa Araújo",$B:$B,"&lt;&gt;Lorena Dias de Araujo",$B:$B,"&lt;&gt;Lucas Luiz Romero")*(10/1083),0)))))),0)</f>
        <v>14</v>
      </c>
      <c r="K2840" s="3">
        <f>I2840-J2840</f>
        <v>-5</v>
      </c>
      <c r="L2840" s="3" t="str">
        <f>IF(K2840&lt;-5,"CRÍTICO",IF(K2840&lt;0,"ATENÇÃO",IF(K2840&lt;=5,"OPORTUNO","MUITO BOM")))</f>
        <v>ATENÇÃO</v>
      </c>
      <c r="M2840">
        <v>8</v>
      </c>
      <c r="N2840">
        <v>98.55</v>
      </c>
      <c r="O2840">
        <v>25.337837837837839</v>
      </c>
    </row>
    <row r="2841" spans="1:15" hidden="1" x14ac:dyDescent="0.25">
      <c r="A2841" s="11">
        <v>46090</v>
      </c>
      <c r="B2841" t="s">
        <v>46</v>
      </c>
      <c r="C2841" t="s">
        <v>32</v>
      </c>
      <c r="D2841">
        <v>23</v>
      </c>
      <c r="E2841">
        <v>22</v>
      </c>
      <c r="F2841">
        <v>21.45</v>
      </c>
      <c r="G2841">
        <v>0</v>
      </c>
      <c r="H2841">
        <v>0</v>
      </c>
      <c r="I2841" s="3">
        <f>E2841+G2841+H2841</f>
        <v>22</v>
      </c>
      <c r="J2841" s="3">
        <f>ROUND(MIN(IF(C2841="Técnico III",35,IF(C2841="Técnico II",28,IF(C2841="Técnico I",23,IF(C2841="JR",20,IF(C2841="Estágio",10,0))))),IF(C2841="Técnico III",SUMIFS($D:$D,$A:$A,$A2841,$B:$B,"&lt;&gt;Patrícia Karla de Sousa Araújo",$B:$B,"&lt;&gt;Lorena Dias de Araujo",$B:$B,"&lt;&gt;Lucas Luiz Romero")*(35/1083),IF(C2841="Técnico II",SUMIFS($D:$D,$A:$A,$A2841,$B:$B,"&lt;&gt;Patrícia Karla de Sousa Araújo",$B:$B,"&lt;&gt;Lorena Dias de Araujo",$B:$B,"&lt;&gt;Lucas Luiz Romero")*(28/1083),IF(C2841="Técnico I",SUMIFS($D:$D,$A:$A,$A2841,$B:$B,"&lt;&gt;Patrícia Karla de Sousa Araújo",$B:$B,"&lt;&gt;Lorena Dias de Araujo",$B:$B,"&lt;&gt;Lucas Luiz Romero")*(23/1083),IF(C2841="JR",SUMIFS($D:$D,$A:$A,$A2841,$B:$B,"&lt;&gt;Patrícia Karla de Sousa Araújo",$B:$B,"&lt;&gt;Lorena Dias de Araujo",$B:$B,"&lt;&gt;Lucas Luiz Romero")*(20/1083),IF(C2841="Estágio",SUMIFS($D:$D,$A:$A,$A2841,$B:$B,"&lt;&gt;Patrícia Karla de Sousa Araújo",$B:$B,"&lt;&gt;Lorena Dias de Araujo",$B:$B,"&lt;&gt;Lucas Luiz Romero")*(10/1083),0)))))),0)</f>
        <v>21</v>
      </c>
      <c r="K2841" s="3">
        <f>I2841-J2841</f>
        <v>1</v>
      </c>
      <c r="L2841" s="3" t="str">
        <f>IF(K2841&lt;-5,"CRÍTICO",IF(K2841&lt;0,"ATENÇÃO",IF(K2841&lt;=5,"OPORTUNO","MUITO BOM")))</f>
        <v>OPORTUNO</v>
      </c>
      <c r="M2841">
        <v>22</v>
      </c>
      <c r="N2841">
        <v>98.39</v>
      </c>
      <c r="O2841">
        <v>25.563909774436091</v>
      </c>
    </row>
    <row r="2842" spans="1:15" hidden="1" x14ac:dyDescent="0.25">
      <c r="A2842" s="11">
        <v>46091</v>
      </c>
      <c r="B2842" t="s">
        <v>47</v>
      </c>
      <c r="C2842" t="s">
        <v>48</v>
      </c>
      <c r="D2842">
        <v>37</v>
      </c>
      <c r="E2842">
        <v>32</v>
      </c>
      <c r="F2842">
        <v>17.05</v>
      </c>
      <c r="G2842">
        <v>0</v>
      </c>
      <c r="H2842">
        <v>0</v>
      </c>
      <c r="I2842" s="3">
        <f>E2842+G2842+H2842</f>
        <v>32</v>
      </c>
      <c r="J2842" s="3">
        <f>ROUND(MIN(IF(C2842="Técnico III",35,IF(C2842="Técnico II",28,IF(C2842="Técnico I",23,IF(C2842="JR",20,IF(C2842="Estágio",10,0))))),IF(C2842="Técnico III",SUMIFS($D:$D,$A:$A,$A2842,$B:$B,"&lt;&gt;Patrícia Karla de Sousa Araújo",$B:$B,"&lt;&gt;Lorena Dias de Araujo",$B:$B,"&lt;&gt;Lucas Luiz Romero")*(35/1083),IF(C2842="Técnico II",SUMIFS($D:$D,$A:$A,$A2842,$B:$B,"&lt;&gt;Patrícia Karla de Sousa Araújo",$B:$B,"&lt;&gt;Lorena Dias de Araujo",$B:$B,"&lt;&gt;Lucas Luiz Romero")*(28/1083),IF(C2842="Técnico I",SUMIFS($D:$D,$A:$A,$A2842,$B:$B,"&lt;&gt;Patrícia Karla de Sousa Araújo",$B:$B,"&lt;&gt;Lorena Dias de Araujo",$B:$B,"&lt;&gt;Lucas Luiz Romero")*(23/1083),IF(C2842="JR",SUMIFS($D:$D,$A:$A,$A2842,$B:$B,"&lt;&gt;Patrícia Karla de Sousa Araújo",$B:$B,"&lt;&gt;Lorena Dias de Araujo",$B:$B,"&lt;&gt;Lucas Luiz Romero")*(20/1083),IF(C2842="Estágio",SUMIFS($D:$D,$A:$A,$A2842,$B:$B,"&lt;&gt;Patrícia Karla de Sousa Araújo",$B:$B,"&lt;&gt;Lorena Dias de Araujo",$B:$B,"&lt;&gt;Lucas Luiz Romero")*(10/1083),0)))))),0)</f>
        <v>17</v>
      </c>
      <c r="K2842" s="3">
        <f>I2842-J2842</f>
        <v>15</v>
      </c>
      <c r="L2842" s="3" t="str">
        <f>IF(K2842&lt;-5,"CRÍTICO",IF(K2842&lt;0,"ATENÇÃO",IF(K2842&lt;=5,"OPORTUNO","MUITO BOM")))</f>
        <v>MUITO BOM</v>
      </c>
      <c r="M2842">
        <v>20</v>
      </c>
      <c r="N2842">
        <v>94.29</v>
      </c>
      <c r="O2842">
        <v>25.647668393782389</v>
      </c>
    </row>
    <row r="2843" spans="1:15" hidden="1" x14ac:dyDescent="0.25">
      <c r="A2843" s="11">
        <v>46091</v>
      </c>
      <c r="B2843" t="s">
        <v>31</v>
      </c>
      <c r="C2843" t="s">
        <v>32</v>
      </c>
      <c r="D2843">
        <v>0</v>
      </c>
      <c r="E2843">
        <v>0</v>
      </c>
      <c r="F2843">
        <v>0</v>
      </c>
      <c r="G2843">
        <v>0</v>
      </c>
      <c r="H2843">
        <v>0</v>
      </c>
      <c r="I2843" s="3">
        <v>0</v>
      </c>
      <c r="J2843" s="3">
        <v>0</v>
      </c>
      <c r="K2843" s="3">
        <v>0</v>
      </c>
      <c r="L2843" s="3" t="str">
        <f>IF(K2843&lt;-5,"CRÍTICO",IF(K2843&lt;0,"ATENÇÃO",IF(K2843&lt;=5,"OPORTUNO","MUITO BOM")))</f>
        <v>OPORTUNO</v>
      </c>
      <c r="M2843">
        <v>24</v>
      </c>
      <c r="N2843">
        <v>98.26</v>
      </c>
      <c r="O2843">
        <v>26.666666666666671</v>
      </c>
    </row>
    <row r="2844" spans="1:15" hidden="1" x14ac:dyDescent="0.25">
      <c r="A2844" s="11">
        <v>46091</v>
      </c>
      <c r="B2844" t="s">
        <v>59</v>
      </c>
      <c r="C2844" t="s">
        <v>23</v>
      </c>
      <c r="D2844">
        <v>20</v>
      </c>
      <c r="E2844">
        <v>18</v>
      </c>
      <c r="F2844">
        <v>25.06</v>
      </c>
      <c r="G2844">
        <v>0</v>
      </c>
      <c r="H2844">
        <v>0</v>
      </c>
      <c r="I2844" s="3">
        <f>E2844+G2844+H2844</f>
        <v>18</v>
      </c>
      <c r="J2844" s="3">
        <f>ROUND(MIN(IF(C2844="Técnico III",35,IF(C2844="Técnico II",28,IF(C2844="Técnico I",23,IF(C2844="JR",20,IF(C2844="Estágio",10,0))))),IF(C2844="Técnico III",SUMIFS($D:$D,$A:$A,$A2844,$B:$B,"&lt;&gt;Patrícia Karla de Sousa Araújo",$B:$B,"&lt;&gt;Lorena Dias de Araujo",$B:$B,"&lt;&gt;Lucas Luiz Romero")*(35/1083),IF(C2844="Técnico II",SUMIFS($D:$D,$A:$A,$A2844,$B:$B,"&lt;&gt;Patrícia Karla de Sousa Araújo",$B:$B,"&lt;&gt;Lorena Dias de Araujo",$B:$B,"&lt;&gt;Lucas Luiz Romero")*(28/1083),IF(C2844="Técnico I",SUMIFS($D:$D,$A:$A,$A2844,$B:$B,"&lt;&gt;Patrícia Karla de Sousa Araújo",$B:$B,"&lt;&gt;Lorena Dias de Araujo",$B:$B,"&lt;&gt;Lucas Luiz Romero")*(23/1083),IF(C2844="JR",SUMIFS($D:$D,$A:$A,$A2844,$B:$B,"&lt;&gt;Patrícia Karla de Sousa Araújo",$B:$B,"&lt;&gt;Lorena Dias de Araujo",$B:$B,"&lt;&gt;Lucas Luiz Romero")*(20/1083),IF(C2844="Estágio",SUMIFS($D:$D,$A:$A,$A2844,$B:$B,"&lt;&gt;Patrícia Karla de Sousa Araújo",$B:$B,"&lt;&gt;Lorena Dias de Araujo",$B:$B,"&lt;&gt;Lucas Luiz Romero")*(10/1083),0)))))),0)</f>
        <v>14</v>
      </c>
      <c r="K2844" s="3">
        <f>I2844-J2844</f>
        <v>4</v>
      </c>
      <c r="L2844" s="3" t="str">
        <f>IF(K2844&lt;-5,"CRÍTICO",IF(K2844&lt;0,"ATENÇÃO",IF(K2844&lt;=5,"OPORTUNO","MUITO BOM")))</f>
        <v>OPORTUNO</v>
      </c>
      <c r="M2844">
        <v>17</v>
      </c>
      <c r="N2844">
        <v>98.2</v>
      </c>
      <c r="O2844">
        <v>23.37962962962963</v>
      </c>
    </row>
    <row r="2845" spans="1:15" hidden="1" x14ac:dyDescent="0.25">
      <c r="A2845" s="11">
        <v>46091</v>
      </c>
      <c r="B2845" t="s">
        <v>33</v>
      </c>
      <c r="C2845" t="s">
        <v>32</v>
      </c>
      <c r="D2845">
        <v>19</v>
      </c>
      <c r="E2845">
        <v>19</v>
      </c>
      <c r="F2845">
        <v>31.44</v>
      </c>
      <c r="G2845">
        <v>0</v>
      </c>
      <c r="H2845">
        <v>0</v>
      </c>
      <c r="I2845" s="3">
        <f>E2845+G2845+H2845</f>
        <v>19</v>
      </c>
      <c r="J2845" s="3">
        <f>ROUND(MIN(IF(C2845="Técnico III",35,IF(C2845="Técnico II",28,IF(C2845="Técnico I",23,IF(C2845="JR",20,IF(C2845="Estágio",10,0))))),IF(C2845="Técnico III",SUMIFS($D:$D,$A:$A,$A2845,$B:$B,"&lt;&gt;Patrícia Karla de Sousa Araújo",$B:$B,"&lt;&gt;Lorena Dias de Araujo",$B:$B,"&lt;&gt;Lucas Luiz Romero")*(35/1083),IF(C2845="Técnico II",SUMIFS($D:$D,$A:$A,$A2845,$B:$B,"&lt;&gt;Patrícia Karla de Sousa Araújo",$B:$B,"&lt;&gt;Lorena Dias de Araujo",$B:$B,"&lt;&gt;Lucas Luiz Romero")*(28/1083),IF(C2845="Técnico I",SUMIFS($D:$D,$A:$A,$A2845,$B:$B,"&lt;&gt;Patrícia Karla de Sousa Araújo",$B:$B,"&lt;&gt;Lorena Dias de Araujo",$B:$B,"&lt;&gt;Lucas Luiz Romero")*(23/1083),IF(C2845="JR",SUMIFS($D:$D,$A:$A,$A2845,$B:$B,"&lt;&gt;Patrícia Karla de Sousa Araújo",$B:$B,"&lt;&gt;Lorena Dias de Araujo",$B:$B,"&lt;&gt;Lucas Luiz Romero")*(20/1083),IF(C2845="Estágio",SUMIFS($D:$D,$A:$A,$A2845,$B:$B,"&lt;&gt;Patrícia Karla de Sousa Araújo",$B:$B,"&lt;&gt;Lorena Dias de Araujo",$B:$B,"&lt;&gt;Lucas Luiz Romero")*(10/1083),0)))))),0)</f>
        <v>21</v>
      </c>
      <c r="K2845" s="3">
        <f>I2845-J2845</f>
        <v>-2</v>
      </c>
      <c r="L2845" s="3" t="str">
        <f>IF(K2845&lt;-5,"CRÍTICO",IF(K2845&lt;0,"ATENÇÃO",IF(K2845&lt;=5,"OPORTUNO","MUITO BOM")))</f>
        <v>ATENÇÃO</v>
      </c>
      <c r="M2845">
        <v>17</v>
      </c>
      <c r="N2845">
        <v>97.3</v>
      </c>
      <c r="O2845">
        <v>23.84769539078156</v>
      </c>
    </row>
    <row r="2846" spans="1:15" hidden="1" x14ac:dyDescent="0.25">
      <c r="A2846" s="11">
        <v>46091</v>
      </c>
      <c r="B2846" t="s">
        <v>15</v>
      </c>
      <c r="C2846" t="s">
        <v>16</v>
      </c>
      <c r="D2846">
        <v>10</v>
      </c>
      <c r="E2846">
        <v>10</v>
      </c>
      <c r="F2846">
        <v>20.57</v>
      </c>
      <c r="G2846">
        <v>0</v>
      </c>
      <c r="H2846">
        <v>0</v>
      </c>
      <c r="I2846" s="3">
        <f>E2846+G2846+H2846</f>
        <v>10</v>
      </c>
      <c r="J2846" s="3">
        <f>ROUND(MIN(IF(C2846="Técnico III",35,IF(C2846="Técnico II",28,IF(C2846="Técnico I",23,IF(C2846="JR",20,IF(C2846="Estágio",10,0))))),IF(C2846="Técnico III",SUMIFS($D:$D,$A:$A,$A2846,$B:$B,"&lt;&gt;Patrícia Karla de Sousa Araújo",$B:$B,"&lt;&gt;Lorena Dias de Araujo",$B:$B,"&lt;&gt;Lucas Luiz Romero")*(35/1083),IF(C2846="Técnico II",SUMIFS($D:$D,$A:$A,$A2846,$B:$B,"&lt;&gt;Patrícia Karla de Sousa Araújo",$B:$B,"&lt;&gt;Lorena Dias de Araujo",$B:$B,"&lt;&gt;Lucas Luiz Romero")*(28/1083),IF(C2846="Técnico I",SUMIFS($D:$D,$A:$A,$A2846,$B:$B,"&lt;&gt;Patrícia Karla de Sousa Araújo",$B:$B,"&lt;&gt;Lorena Dias de Araujo",$B:$B,"&lt;&gt;Lucas Luiz Romero")*(23/1083),IF(C2846="JR",SUMIFS($D:$D,$A:$A,$A2846,$B:$B,"&lt;&gt;Patrícia Karla de Sousa Araújo",$B:$B,"&lt;&gt;Lorena Dias de Araujo",$B:$B,"&lt;&gt;Lucas Luiz Romero")*(20/1083),IF(C2846="Estágio",SUMIFS($D:$D,$A:$A,$A2846,$B:$B,"&lt;&gt;Patrícia Karla de Sousa Araújo",$B:$B,"&lt;&gt;Lorena Dias de Araujo",$B:$B,"&lt;&gt;Lucas Luiz Romero")*(10/1083),0)))))),0)</f>
        <v>6</v>
      </c>
      <c r="K2846" s="3">
        <f>I2846-J2846</f>
        <v>4</v>
      </c>
      <c r="L2846" s="3" t="str">
        <f>IF(K2846&lt;-5,"CRÍTICO",IF(K2846&lt;0,"ATENÇÃO",IF(K2846&lt;=5,"OPORTUNO","MUITO BOM")))</f>
        <v>OPORTUNO</v>
      </c>
      <c r="M2846">
        <v>7</v>
      </c>
      <c r="N2846">
        <v>100</v>
      </c>
      <c r="O2846">
        <v>25.268817204301079</v>
      </c>
    </row>
    <row r="2847" spans="1:15" hidden="1" x14ac:dyDescent="0.25">
      <c r="A2847" s="11">
        <v>46091</v>
      </c>
      <c r="B2847" t="s">
        <v>49</v>
      </c>
      <c r="C2847" t="s">
        <v>48</v>
      </c>
      <c r="D2847">
        <v>45</v>
      </c>
      <c r="E2847">
        <v>34</v>
      </c>
      <c r="F2847">
        <v>13.21</v>
      </c>
      <c r="G2847">
        <v>0</v>
      </c>
      <c r="H2847">
        <v>0</v>
      </c>
      <c r="I2847" s="3">
        <f>E2847+G2847+H2847</f>
        <v>34</v>
      </c>
      <c r="J2847" s="3">
        <f>ROUND(MIN(IF(C2847="Técnico III",35,IF(C2847="Técnico II",28,IF(C2847="Técnico I",23,IF(C2847="JR",20,IF(C2847="Estágio",10,0))))),IF(C2847="Técnico III",SUMIFS($D:$D,$A:$A,$A2847,$B:$B,"&lt;&gt;Patrícia Karla de Sousa Araújo",$B:$B,"&lt;&gt;Lorena Dias de Araujo",$B:$B,"&lt;&gt;Lucas Luiz Romero")*(35/1083),IF(C2847="Técnico II",SUMIFS($D:$D,$A:$A,$A2847,$B:$B,"&lt;&gt;Patrícia Karla de Sousa Araújo",$B:$B,"&lt;&gt;Lorena Dias de Araujo",$B:$B,"&lt;&gt;Lucas Luiz Romero")*(28/1083),IF(C2847="Técnico I",SUMIFS($D:$D,$A:$A,$A2847,$B:$B,"&lt;&gt;Patrícia Karla de Sousa Araújo",$B:$B,"&lt;&gt;Lorena Dias de Araujo",$B:$B,"&lt;&gt;Lucas Luiz Romero")*(23/1083),IF(C2847="JR",SUMIFS($D:$D,$A:$A,$A2847,$B:$B,"&lt;&gt;Patrícia Karla de Sousa Araújo",$B:$B,"&lt;&gt;Lorena Dias de Araujo",$B:$B,"&lt;&gt;Lucas Luiz Romero")*(20/1083),IF(C2847="Estágio",SUMIFS($D:$D,$A:$A,$A2847,$B:$B,"&lt;&gt;Patrícia Karla de Sousa Araújo",$B:$B,"&lt;&gt;Lorena Dias de Araujo",$B:$B,"&lt;&gt;Lucas Luiz Romero")*(10/1083),0)))))),0)</f>
        <v>17</v>
      </c>
      <c r="K2847" s="3">
        <f>I2847-J2847</f>
        <v>17</v>
      </c>
      <c r="L2847" s="3" t="str">
        <f>IF(K2847&lt;-5,"CRÍTICO",IF(K2847&lt;0,"ATENÇÃO",IF(K2847&lt;=5,"OPORTUNO","MUITO BOM")))</f>
        <v>MUITO BOM</v>
      </c>
      <c r="M2847">
        <v>33</v>
      </c>
      <c r="N2847">
        <v>99.32</v>
      </c>
      <c r="O2847">
        <v>22.822822822822818</v>
      </c>
    </row>
    <row r="2848" spans="1:15" hidden="1" x14ac:dyDescent="0.25">
      <c r="A2848" s="11">
        <v>46091</v>
      </c>
      <c r="B2848" t="s">
        <v>50</v>
      </c>
      <c r="C2848" t="s">
        <v>48</v>
      </c>
      <c r="D2848">
        <v>15</v>
      </c>
      <c r="E2848">
        <v>15</v>
      </c>
      <c r="F2848">
        <v>48.55</v>
      </c>
      <c r="G2848">
        <v>0</v>
      </c>
      <c r="H2848">
        <v>0</v>
      </c>
      <c r="I2848" s="3">
        <f>E2848+G2848+H2848</f>
        <v>15</v>
      </c>
      <c r="J2848" s="3">
        <f>ROUND(MIN(IF(C2848="Técnico III",35,IF(C2848="Técnico II",28,IF(C2848="Técnico I",23,IF(C2848="JR",20,IF(C2848="Estágio",10,0))))),IF(C2848="Técnico III",SUMIFS($D:$D,$A:$A,$A2848,$B:$B,"&lt;&gt;Patrícia Karla de Sousa Araújo",$B:$B,"&lt;&gt;Lorena Dias de Araujo",$B:$B,"&lt;&gt;Lucas Luiz Romero")*(35/1083),IF(C2848="Técnico II",SUMIFS($D:$D,$A:$A,$A2848,$B:$B,"&lt;&gt;Patrícia Karla de Sousa Araújo",$B:$B,"&lt;&gt;Lorena Dias de Araujo",$B:$B,"&lt;&gt;Lucas Luiz Romero")*(28/1083),IF(C2848="Técnico I",SUMIFS($D:$D,$A:$A,$A2848,$B:$B,"&lt;&gt;Patrícia Karla de Sousa Araújo",$B:$B,"&lt;&gt;Lorena Dias de Araujo",$B:$B,"&lt;&gt;Lucas Luiz Romero")*(23/1083),IF(C2848="JR",SUMIFS($D:$D,$A:$A,$A2848,$B:$B,"&lt;&gt;Patrícia Karla de Sousa Araújo",$B:$B,"&lt;&gt;Lorena Dias de Araujo",$B:$B,"&lt;&gt;Lucas Luiz Romero")*(20/1083),IF(C2848="Estágio",SUMIFS($D:$D,$A:$A,$A2848,$B:$B,"&lt;&gt;Patrícia Karla de Sousa Araújo",$B:$B,"&lt;&gt;Lorena Dias de Araujo",$B:$B,"&lt;&gt;Lucas Luiz Romero")*(10/1083),0)))))),0)</f>
        <v>17</v>
      </c>
      <c r="K2848" s="3">
        <f>I2848-J2848</f>
        <v>-2</v>
      </c>
      <c r="L2848" s="3" t="str">
        <f>IF(K2848&lt;-5,"CRÍTICO",IF(K2848&lt;0,"ATENÇÃO",IF(K2848&lt;=5,"OPORTUNO","MUITO BOM")))</f>
        <v>ATENÇÃO</v>
      </c>
      <c r="M2848">
        <v>18</v>
      </c>
      <c r="N2848">
        <v>100</v>
      </c>
      <c r="O2848">
        <v>27.966101694915249</v>
      </c>
    </row>
    <row r="2849" spans="1:15" hidden="1" x14ac:dyDescent="0.25">
      <c r="A2849" s="11">
        <v>46091</v>
      </c>
      <c r="B2849" t="s">
        <v>17</v>
      </c>
      <c r="C2849" t="s">
        <v>16</v>
      </c>
      <c r="D2849">
        <v>0</v>
      </c>
      <c r="E2849">
        <v>0</v>
      </c>
      <c r="F2849">
        <v>0</v>
      </c>
      <c r="G2849">
        <v>0</v>
      </c>
      <c r="H2849">
        <v>0</v>
      </c>
      <c r="I2849" s="3">
        <v>0</v>
      </c>
      <c r="J2849" s="3">
        <v>0</v>
      </c>
      <c r="K2849" s="3">
        <v>0</v>
      </c>
      <c r="L2849" s="3" t="str">
        <f>IF(K2849&lt;-5,"CRÍTICO",IF(K2849&lt;0,"ATENÇÃO",IF(K2849&lt;=5,"OPORTUNO","MUITO BOM")))</f>
        <v>OPORTUNO</v>
      </c>
      <c r="M2849">
        <v>0</v>
      </c>
      <c r="N2849">
        <v>100</v>
      </c>
      <c r="O2849">
        <v>30.434782608695659</v>
      </c>
    </row>
    <row r="2850" spans="1:15" hidden="1" x14ac:dyDescent="0.25">
      <c r="A2850" s="11">
        <v>46091</v>
      </c>
      <c r="B2850" t="s">
        <v>60</v>
      </c>
      <c r="C2850" t="s">
        <v>23</v>
      </c>
      <c r="D2850">
        <v>26</v>
      </c>
      <c r="E2850">
        <v>24</v>
      </c>
      <c r="F2850">
        <v>25.42</v>
      </c>
      <c r="G2850">
        <v>0</v>
      </c>
      <c r="H2850">
        <v>0</v>
      </c>
      <c r="I2850" s="3">
        <f>E2850+G2850+H2850</f>
        <v>24</v>
      </c>
      <c r="J2850" s="3">
        <f>ROUND(MIN(IF(C2850="Técnico III",35,IF(C2850="Técnico II",28,IF(C2850="Técnico I",23,IF(C2850="JR",20,IF(C2850="Estágio",10,0))))),IF(C2850="Técnico III",SUMIFS($D:$D,$A:$A,$A2850,$B:$B,"&lt;&gt;Patrícia Karla de Sousa Araújo",$B:$B,"&lt;&gt;Lorena Dias de Araujo",$B:$B,"&lt;&gt;Lucas Luiz Romero")*(35/1083),IF(C2850="Técnico II",SUMIFS($D:$D,$A:$A,$A2850,$B:$B,"&lt;&gt;Patrícia Karla de Sousa Araújo",$B:$B,"&lt;&gt;Lorena Dias de Araujo",$B:$B,"&lt;&gt;Lucas Luiz Romero")*(28/1083),IF(C2850="Técnico I",SUMIFS($D:$D,$A:$A,$A2850,$B:$B,"&lt;&gt;Patrícia Karla de Sousa Araújo",$B:$B,"&lt;&gt;Lorena Dias de Araujo",$B:$B,"&lt;&gt;Lucas Luiz Romero")*(23/1083),IF(C2850="JR",SUMIFS($D:$D,$A:$A,$A2850,$B:$B,"&lt;&gt;Patrícia Karla de Sousa Araújo",$B:$B,"&lt;&gt;Lorena Dias de Araujo",$B:$B,"&lt;&gt;Lucas Luiz Romero")*(20/1083),IF(C2850="Estágio",SUMIFS($D:$D,$A:$A,$A2850,$B:$B,"&lt;&gt;Patrícia Karla de Sousa Araújo",$B:$B,"&lt;&gt;Lorena Dias de Araujo",$B:$B,"&lt;&gt;Lucas Luiz Romero")*(10/1083),0)))))),0)</f>
        <v>14</v>
      </c>
      <c r="K2850" s="3">
        <f>I2850-J2850</f>
        <v>10</v>
      </c>
      <c r="L2850" s="3" t="str">
        <f>IF(K2850&lt;-5,"CRÍTICO",IF(K2850&lt;0,"ATENÇÃO",IF(K2850&lt;=5,"OPORTUNO","MUITO BOM")))</f>
        <v>MUITO BOM</v>
      </c>
      <c r="M2850">
        <v>23</v>
      </c>
      <c r="N2850">
        <v>96.51</v>
      </c>
      <c r="O2850">
        <v>22.802850356294542</v>
      </c>
    </row>
    <row r="2851" spans="1:15" hidden="1" x14ac:dyDescent="0.25">
      <c r="A2851" s="11">
        <v>46091</v>
      </c>
      <c r="B2851" t="s">
        <v>34</v>
      </c>
      <c r="C2851" t="s">
        <v>32</v>
      </c>
      <c r="D2851">
        <v>16</v>
      </c>
      <c r="E2851">
        <v>15</v>
      </c>
      <c r="F2851">
        <v>22.2</v>
      </c>
      <c r="G2851">
        <v>0</v>
      </c>
      <c r="H2851">
        <v>0</v>
      </c>
      <c r="I2851" s="3">
        <f>E2851+G2851+H2851</f>
        <v>15</v>
      </c>
      <c r="J2851" s="3">
        <f>ROUND(MIN(IF(C2851="Técnico III",35,IF(C2851="Técnico II",28,IF(C2851="Técnico I",23,IF(C2851="JR",20,IF(C2851="Estágio",10,0))))),IF(C2851="Técnico III",SUMIFS($D:$D,$A:$A,$A2851,$B:$B,"&lt;&gt;Patrícia Karla de Sousa Araújo",$B:$B,"&lt;&gt;Lorena Dias de Araujo",$B:$B,"&lt;&gt;Lucas Luiz Romero")*(35/1083),IF(C2851="Técnico II",SUMIFS($D:$D,$A:$A,$A2851,$B:$B,"&lt;&gt;Patrícia Karla de Sousa Araújo",$B:$B,"&lt;&gt;Lorena Dias de Araujo",$B:$B,"&lt;&gt;Lucas Luiz Romero")*(28/1083),IF(C2851="Técnico I",SUMIFS($D:$D,$A:$A,$A2851,$B:$B,"&lt;&gt;Patrícia Karla de Sousa Araújo",$B:$B,"&lt;&gt;Lorena Dias de Araujo",$B:$B,"&lt;&gt;Lucas Luiz Romero")*(23/1083),IF(C2851="JR",SUMIFS($D:$D,$A:$A,$A2851,$B:$B,"&lt;&gt;Patrícia Karla de Sousa Araújo",$B:$B,"&lt;&gt;Lorena Dias de Araujo",$B:$B,"&lt;&gt;Lucas Luiz Romero")*(20/1083),IF(C2851="Estágio",SUMIFS($D:$D,$A:$A,$A2851,$B:$B,"&lt;&gt;Patrícia Karla de Sousa Araújo",$B:$B,"&lt;&gt;Lorena Dias de Araujo",$B:$B,"&lt;&gt;Lucas Luiz Romero")*(10/1083),0)))))),0)</f>
        <v>21</v>
      </c>
      <c r="K2851" s="3">
        <f>I2851-J2851</f>
        <v>-6</v>
      </c>
      <c r="L2851" s="3" t="str">
        <f>IF(K2851&lt;-5,"CRÍTICO",IF(K2851&lt;0,"ATENÇÃO",IF(K2851&lt;=5,"OPORTUNO","MUITO BOM")))</f>
        <v>CRÍTICO</v>
      </c>
      <c r="M2851">
        <v>20</v>
      </c>
      <c r="N2851">
        <v>92.68</v>
      </c>
      <c r="O2851">
        <v>27.777777777777779</v>
      </c>
    </row>
    <row r="2852" spans="1:15" hidden="1" x14ac:dyDescent="0.25">
      <c r="A2852" s="11">
        <v>46091</v>
      </c>
      <c r="B2852" t="s">
        <v>51</v>
      </c>
      <c r="C2852" t="s">
        <v>48</v>
      </c>
      <c r="D2852">
        <v>18</v>
      </c>
      <c r="E2852">
        <v>18</v>
      </c>
      <c r="F2852">
        <v>23.31</v>
      </c>
      <c r="G2852">
        <v>0</v>
      </c>
      <c r="H2852">
        <v>0</v>
      </c>
      <c r="I2852" s="3">
        <v>0</v>
      </c>
      <c r="J2852" s="3">
        <v>0</v>
      </c>
      <c r="K2852" s="3">
        <v>0</v>
      </c>
      <c r="L2852" s="3" t="str">
        <f>IF(K2852&lt;-5,"CRÍTICO",IF(K2852&lt;0,"ATENÇÃO",IF(K2852&lt;=5,"OPORTUNO","MUITO BOM")))</f>
        <v>OPORTUNO</v>
      </c>
      <c r="M2852">
        <v>19</v>
      </c>
      <c r="N2852">
        <v>99.03</v>
      </c>
      <c r="O2852">
        <v>23.991507430997881</v>
      </c>
    </row>
    <row r="2853" spans="1:15" hidden="1" x14ac:dyDescent="0.25">
      <c r="A2853" s="11">
        <v>46091</v>
      </c>
      <c r="B2853" t="s">
        <v>61</v>
      </c>
      <c r="C2853" t="s">
        <v>23</v>
      </c>
      <c r="D2853">
        <v>22</v>
      </c>
      <c r="E2853">
        <v>22</v>
      </c>
      <c r="F2853">
        <v>30.08</v>
      </c>
      <c r="G2853">
        <v>0</v>
      </c>
      <c r="H2853">
        <v>0</v>
      </c>
      <c r="I2853" s="3">
        <f>E2853+G2853+H2853</f>
        <v>22</v>
      </c>
      <c r="J2853" s="3">
        <f>ROUND(MIN(IF(C2853="Técnico III",35,IF(C2853="Técnico II",28,IF(C2853="Técnico I",23,IF(C2853="JR",20,IF(C2853="Estágio",10,0))))),IF(C2853="Técnico III",SUMIFS($D:$D,$A:$A,$A2853,$B:$B,"&lt;&gt;Patrícia Karla de Sousa Araújo",$B:$B,"&lt;&gt;Lorena Dias de Araujo",$B:$B,"&lt;&gt;Lucas Luiz Romero")*(35/1083),IF(C2853="Técnico II",SUMIFS($D:$D,$A:$A,$A2853,$B:$B,"&lt;&gt;Patrícia Karla de Sousa Araújo",$B:$B,"&lt;&gt;Lorena Dias de Araujo",$B:$B,"&lt;&gt;Lucas Luiz Romero")*(28/1083),IF(C2853="Técnico I",SUMIFS($D:$D,$A:$A,$A2853,$B:$B,"&lt;&gt;Patrícia Karla de Sousa Araújo",$B:$B,"&lt;&gt;Lorena Dias de Araujo",$B:$B,"&lt;&gt;Lucas Luiz Romero")*(23/1083),IF(C2853="JR",SUMIFS($D:$D,$A:$A,$A2853,$B:$B,"&lt;&gt;Patrícia Karla de Sousa Araújo",$B:$B,"&lt;&gt;Lorena Dias de Araujo",$B:$B,"&lt;&gt;Lucas Luiz Romero")*(20/1083),IF(C2853="Estágio",SUMIFS($D:$D,$A:$A,$A2853,$B:$B,"&lt;&gt;Patrícia Karla de Sousa Araújo",$B:$B,"&lt;&gt;Lorena Dias de Araujo",$B:$B,"&lt;&gt;Lucas Luiz Romero")*(10/1083),0)))))),0)</f>
        <v>14</v>
      </c>
      <c r="K2853" s="3">
        <f>I2853-J2853</f>
        <v>8</v>
      </c>
      <c r="L2853" s="3" t="str">
        <f>IF(K2853&lt;-5,"CRÍTICO",IF(K2853&lt;0,"ATENÇÃO",IF(K2853&lt;=5,"OPORTUNO","MUITO BOM")))</f>
        <v>MUITO BOM</v>
      </c>
      <c r="M2853">
        <v>12</v>
      </c>
      <c r="N2853">
        <v>98.41</v>
      </c>
      <c r="O2853">
        <v>28.138528138528141</v>
      </c>
    </row>
    <row r="2854" spans="1:15" hidden="1" x14ac:dyDescent="0.25">
      <c r="A2854" s="11">
        <v>46091</v>
      </c>
      <c r="B2854" t="s">
        <v>35</v>
      </c>
      <c r="C2854" t="s">
        <v>32</v>
      </c>
      <c r="D2854">
        <v>28</v>
      </c>
      <c r="E2854">
        <v>28</v>
      </c>
      <c r="F2854">
        <v>22.2</v>
      </c>
      <c r="G2854">
        <v>0</v>
      </c>
      <c r="H2854">
        <v>0</v>
      </c>
      <c r="I2854" s="3">
        <v>0</v>
      </c>
      <c r="J2854" s="3">
        <v>0</v>
      </c>
      <c r="K2854" s="3">
        <v>0</v>
      </c>
      <c r="L2854" s="3" t="str">
        <f>IF(K2854&lt;-5,"CRÍTICO",IF(K2854&lt;0,"ATENÇÃO",IF(K2854&lt;=5,"OPORTUNO","MUITO BOM")))</f>
        <v>OPORTUNO</v>
      </c>
      <c r="M2854">
        <v>31</v>
      </c>
      <c r="N2854">
        <v>98.73</v>
      </c>
      <c r="O2854">
        <v>29.142857142857139</v>
      </c>
    </row>
    <row r="2855" spans="1:15" hidden="1" x14ac:dyDescent="0.25">
      <c r="A2855" s="11">
        <v>46091</v>
      </c>
      <c r="B2855" t="s">
        <v>18</v>
      </c>
      <c r="C2855" t="s">
        <v>16</v>
      </c>
      <c r="D2855">
        <v>6</v>
      </c>
      <c r="E2855">
        <v>6</v>
      </c>
      <c r="F2855">
        <v>54.19</v>
      </c>
      <c r="G2855">
        <v>0</v>
      </c>
      <c r="H2855">
        <v>0</v>
      </c>
      <c r="I2855" s="3">
        <f>E2855+G2855+H2855</f>
        <v>6</v>
      </c>
      <c r="J2855" s="3">
        <f>ROUND(MIN(IF(C2855="Técnico III",35,IF(C2855="Técnico II",28,IF(C2855="Técnico I",23,IF(C2855="JR",20,IF(C2855="Estágio",10,0))))),IF(C2855="Técnico III",SUMIFS($D:$D,$A:$A,$A2855,$B:$B,"&lt;&gt;Patrícia Karla de Sousa Araújo",$B:$B,"&lt;&gt;Lorena Dias de Araujo",$B:$B,"&lt;&gt;Lucas Luiz Romero")*(35/1083),IF(C2855="Técnico II",SUMIFS($D:$D,$A:$A,$A2855,$B:$B,"&lt;&gt;Patrícia Karla de Sousa Araújo",$B:$B,"&lt;&gt;Lorena Dias de Araujo",$B:$B,"&lt;&gt;Lucas Luiz Romero")*(28/1083),IF(C2855="Técnico I",SUMIFS($D:$D,$A:$A,$A2855,$B:$B,"&lt;&gt;Patrícia Karla de Sousa Araújo",$B:$B,"&lt;&gt;Lorena Dias de Araujo",$B:$B,"&lt;&gt;Lucas Luiz Romero")*(23/1083),IF(C2855="JR",SUMIFS($D:$D,$A:$A,$A2855,$B:$B,"&lt;&gt;Patrícia Karla de Sousa Araújo",$B:$B,"&lt;&gt;Lorena Dias de Araujo",$B:$B,"&lt;&gt;Lucas Luiz Romero")*(20/1083),IF(C2855="Estágio",SUMIFS($D:$D,$A:$A,$A2855,$B:$B,"&lt;&gt;Patrícia Karla de Sousa Araújo",$B:$B,"&lt;&gt;Lorena Dias de Araujo",$B:$B,"&lt;&gt;Lucas Luiz Romero")*(10/1083),0)))))),0)</f>
        <v>6</v>
      </c>
      <c r="K2855" s="3">
        <f>I2855-J2855</f>
        <v>0</v>
      </c>
      <c r="L2855" s="3" t="str">
        <f>IF(K2855&lt;-5,"CRÍTICO",IF(K2855&lt;0,"ATENÇÃO",IF(K2855&lt;=5,"OPORTUNO","MUITO BOM")))</f>
        <v>OPORTUNO</v>
      </c>
      <c r="M2855">
        <v>5</v>
      </c>
      <c r="N2855">
        <v>90.48</v>
      </c>
      <c r="O2855">
        <v>20.68965517241379</v>
      </c>
    </row>
    <row r="2856" spans="1:15" hidden="1" x14ac:dyDescent="0.25">
      <c r="A2856" s="11">
        <v>46091</v>
      </c>
      <c r="B2856" t="s">
        <v>52</v>
      </c>
      <c r="C2856" t="s">
        <v>48</v>
      </c>
      <c r="D2856">
        <v>16</v>
      </c>
      <c r="E2856">
        <v>15</v>
      </c>
      <c r="F2856">
        <v>36.4</v>
      </c>
      <c r="G2856">
        <v>0</v>
      </c>
      <c r="H2856">
        <v>0</v>
      </c>
      <c r="I2856" s="3">
        <f>E2856+G2856+H2856</f>
        <v>15</v>
      </c>
      <c r="J2856" s="3">
        <f>ROUND(MIN(IF(C2856="Técnico III",35,IF(C2856="Técnico II",28,IF(C2856="Técnico I",23,IF(C2856="JR",20,IF(C2856="Estágio",10,0))))),IF(C2856="Técnico III",SUMIFS($D:$D,$A:$A,$A2856,$B:$B,"&lt;&gt;Patrícia Karla de Sousa Araújo",$B:$B,"&lt;&gt;Lorena Dias de Araujo",$B:$B,"&lt;&gt;Lucas Luiz Romero")*(35/1083),IF(C2856="Técnico II",SUMIFS($D:$D,$A:$A,$A2856,$B:$B,"&lt;&gt;Patrícia Karla de Sousa Araújo",$B:$B,"&lt;&gt;Lorena Dias de Araujo",$B:$B,"&lt;&gt;Lucas Luiz Romero")*(28/1083),IF(C2856="Técnico I",SUMIFS($D:$D,$A:$A,$A2856,$B:$B,"&lt;&gt;Patrícia Karla de Sousa Araújo",$B:$B,"&lt;&gt;Lorena Dias de Araujo",$B:$B,"&lt;&gt;Lucas Luiz Romero")*(23/1083),IF(C2856="JR",SUMIFS($D:$D,$A:$A,$A2856,$B:$B,"&lt;&gt;Patrícia Karla de Sousa Araújo",$B:$B,"&lt;&gt;Lorena Dias de Araujo",$B:$B,"&lt;&gt;Lucas Luiz Romero")*(20/1083),IF(C2856="Estágio",SUMIFS($D:$D,$A:$A,$A2856,$B:$B,"&lt;&gt;Patrícia Karla de Sousa Araújo",$B:$B,"&lt;&gt;Lorena Dias de Araujo",$B:$B,"&lt;&gt;Lucas Luiz Romero")*(10/1083),0)))))),0)</f>
        <v>17</v>
      </c>
      <c r="K2856" s="3">
        <f>I2856-J2856</f>
        <v>-2</v>
      </c>
      <c r="L2856" s="3" t="str">
        <f>IF(K2856&lt;-5,"CRÍTICO",IF(K2856&lt;0,"ATENÇÃO",IF(K2856&lt;=5,"OPORTUNO","MUITO BOM")))</f>
        <v>ATENÇÃO</v>
      </c>
      <c r="M2856">
        <v>14</v>
      </c>
      <c r="N2856">
        <v>98.06</v>
      </c>
      <c r="O2856">
        <v>24.789915966386559</v>
      </c>
    </row>
    <row r="2857" spans="1:15" hidden="1" x14ac:dyDescent="0.25">
      <c r="A2857" s="11">
        <v>46091</v>
      </c>
      <c r="B2857" t="s">
        <v>36</v>
      </c>
      <c r="C2857" t="s">
        <v>32</v>
      </c>
      <c r="D2857">
        <v>12</v>
      </c>
      <c r="E2857">
        <v>12</v>
      </c>
      <c r="F2857">
        <v>24.06</v>
      </c>
      <c r="G2857">
        <v>0</v>
      </c>
      <c r="H2857">
        <v>0</v>
      </c>
      <c r="I2857" s="3">
        <f>E2857+G2857+H2857</f>
        <v>12</v>
      </c>
      <c r="J2857" s="3">
        <f>ROUND(MIN(IF(C2857="Técnico III",35,IF(C2857="Técnico II",28,IF(C2857="Técnico I",23,IF(C2857="JR",20,IF(C2857="Estágio",10,0))))),IF(C2857="Técnico III",SUMIFS($D:$D,$A:$A,$A2857,$B:$B,"&lt;&gt;Patrícia Karla de Sousa Araújo",$B:$B,"&lt;&gt;Lorena Dias de Araujo",$B:$B,"&lt;&gt;Lucas Luiz Romero")*(35/1083),IF(C2857="Técnico II",SUMIFS($D:$D,$A:$A,$A2857,$B:$B,"&lt;&gt;Patrícia Karla de Sousa Araújo",$B:$B,"&lt;&gt;Lorena Dias de Araujo",$B:$B,"&lt;&gt;Lucas Luiz Romero")*(28/1083),IF(C2857="Técnico I",SUMIFS($D:$D,$A:$A,$A2857,$B:$B,"&lt;&gt;Patrícia Karla de Sousa Araújo",$B:$B,"&lt;&gt;Lorena Dias de Araujo",$B:$B,"&lt;&gt;Lucas Luiz Romero")*(23/1083),IF(C2857="JR",SUMIFS($D:$D,$A:$A,$A2857,$B:$B,"&lt;&gt;Patrícia Karla de Sousa Araújo",$B:$B,"&lt;&gt;Lorena Dias de Araujo",$B:$B,"&lt;&gt;Lucas Luiz Romero")*(20/1083),IF(C2857="Estágio",SUMIFS($D:$D,$A:$A,$A2857,$B:$B,"&lt;&gt;Patrícia Karla de Sousa Araújo",$B:$B,"&lt;&gt;Lorena Dias de Araujo",$B:$B,"&lt;&gt;Lucas Luiz Romero")*(10/1083),0)))))),0)</f>
        <v>21</v>
      </c>
      <c r="K2857" s="3">
        <f>I2857-J2857</f>
        <v>-9</v>
      </c>
      <c r="L2857" s="3" t="str">
        <f>IF(K2857&lt;-5,"CRÍTICO",IF(K2857&lt;0,"ATENÇÃO",IF(K2857&lt;=5,"OPORTUNO","MUITO BOM")))</f>
        <v>CRÍTICO</v>
      </c>
      <c r="M2857">
        <v>12</v>
      </c>
      <c r="N2857">
        <v>97.78</v>
      </c>
      <c r="O2857">
        <v>25.494071146245059</v>
      </c>
    </row>
    <row r="2858" spans="1:15" hidden="1" x14ac:dyDescent="0.25">
      <c r="A2858" s="11">
        <v>46091</v>
      </c>
      <c r="B2858" t="s">
        <v>53</v>
      </c>
      <c r="C2858" t="s">
        <v>48</v>
      </c>
      <c r="D2858">
        <v>16</v>
      </c>
      <c r="E2858">
        <v>15</v>
      </c>
      <c r="F2858">
        <v>45.24</v>
      </c>
      <c r="G2858">
        <v>0</v>
      </c>
      <c r="H2858">
        <v>0</v>
      </c>
      <c r="I2858" s="3">
        <f>E2858+G2858+H2858</f>
        <v>15</v>
      </c>
      <c r="J2858" s="3">
        <f>ROUND(MIN(IF(C2858="Técnico III",35,IF(C2858="Técnico II",28,IF(C2858="Técnico I",23,IF(C2858="JR",20,IF(C2858="Estágio",10,0))))),IF(C2858="Técnico III",SUMIFS($D:$D,$A:$A,$A2858,$B:$B,"&lt;&gt;Patrícia Karla de Sousa Araújo",$B:$B,"&lt;&gt;Lorena Dias de Araujo",$B:$B,"&lt;&gt;Lucas Luiz Romero")*(35/1083),IF(C2858="Técnico II",SUMIFS($D:$D,$A:$A,$A2858,$B:$B,"&lt;&gt;Patrícia Karla de Sousa Araújo",$B:$B,"&lt;&gt;Lorena Dias de Araujo",$B:$B,"&lt;&gt;Lucas Luiz Romero")*(28/1083),IF(C2858="Técnico I",SUMIFS($D:$D,$A:$A,$A2858,$B:$B,"&lt;&gt;Patrícia Karla de Sousa Araújo",$B:$B,"&lt;&gt;Lorena Dias de Araujo",$B:$B,"&lt;&gt;Lucas Luiz Romero")*(23/1083),IF(C2858="JR",SUMIFS($D:$D,$A:$A,$A2858,$B:$B,"&lt;&gt;Patrícia Karla de Sousa Araújo",$B:$B,"&lt;&gt;Lorena Dias de Araujo",$B:$B,"&lt;&gt;Lucas Luiz Romero")*(20/1083),IF(C2858="Estágio",SUMIFS($D:$D,$A:$A,$A2858,$B:$B,"&lt;&gt;Patrícia Karla de Sousa Araújo",$B:$B,"&lt;&gt;Lorena Dias de Araujo",$B:$B,"&lt;&gt;Lucas Luiz Romero")*(10/1083),0)))))),0)</f>
        <v>17</v>
      </c>
      <c r="K2858" s="3">
        <f>I2858-J2858</f>
        <v>-2</v>
      </c>
      <c r="L2858" s="3" t="str">
        <f>IF(K2858&lt;-5,"CRÍTICO",IF(K2858&lt;0,"ATENÇÃO",IF(K2858&lt;=5,"OPORTUNO","MUITO BOM")))</f>
        <v>ATENÇÃO</v>
      </c>
      <c r="M2858">
        <v>14</v>
      </c>
      <c r="N2858">
        <v>98.02</v>
      </c>
      <c r="O2858">
        <v>23.484848484848481</v>
      </c>
    </row>
    <row r="2859" spans="1:15" hidden="1" x14ac:dyDescent="0.25">
      <c r="A2859" s="11">
        <v>46125</v>
      </c>
      <c r="B2859" t="s">
        <v>22</v>
      </c>
      <c r="C2859" t="s">
        <v>23</v>
      </c>
      <c r="D2859">
        <v>27</v>
      </c>
      <c r="E2859">
        <v>24</v>
      </c>
      <c r="F2859">
        <v>15.42</v>
      </c>
      <c r="G2859">
        <v>0</v>
      </c>
      <c r="H2859">
        <v>0</v>
      </c>
      <c r="I2859" s="3">
        <f>E2859+G2859+H2859</f>
        <v>24</v>
      </c>
      <c r="J2859" s="3">
        <f>ROUND(MIN(IF(C2859="Técnico III",35,IF(C2859="Técnico II",28,IF(C2859="Técnico I",23,IF(C2859="JR",20,IF(C2859="Estágio",10,0))))),IF(C2859="Técnico III",SUMIFS($D:$D,$A:$A,$A2859,$B:$B,"&lt;&gt;Patrícia Karla de Sousa Araújo",$B:$B,"&lt;&gt;Lorena Dias de Araujo",$B:$B,"&lt;&gt;Lucas Luiz Romero")*(35/1083),IF(C2859="Técnico II",SUMIFS($D:$D,$A:$A,$A2859,$B:$B,"&lt;&gt;Patrícia Karla de Sousa Araújo",$B:$B,"&lt;&gt;Lorena Dias de Araujo",$B:$B,"&lt;&gt;Lucas Luiz Romero")*(28/1083),IF(C2859="Técnico I",SUMIFS($D:$D,$A:$A,$A2859,$B:$B,"&lt;&gt;Patrícia Karla de Sousa Araújo",$B:$B,"&lt;&gt;Lorena Dias de Araujo",$B:$B,"&lt;&gt;Lucas Luiz Romero")*(23/1083),IF(C2859="JR",SUMIFS($D:$D,$A:$A,$A2859,$B:$B,"&lt;&gt;Patrícia Karla de Sousa Araújo",$B:$B,"&lt;&gt;Lorena Dias de Araujo",$B:$B,"&lt;&gt;Lucas Luiz Romero")*(20/1083),IF(C2859="Estágio",SUMIFS($D:$D,$A:$A,$A2859,$B:$B,"&lt;&gt;Patrícia Karla de Sousa Araújo",$B:$B,"&lt;&gt;Lorena Dias de Araujo",$B:$B,"&lt;&gt;Lucas Luiz Romero")*(10/1083),0)))))),0)</f>
        <v>17</v>
      </c>
      <c r="K2859" s="3">
        <f>I2859-J2859</f>
        <v>7</v>
      </c>
      <c r="L2859" s="3" t="str">
        <f>IF(K2859&lt;-5,"CRÍTICO",IF(K2859&lt;0,"ATENÇÃO",IF(K2859&lt;=5,"OPORTUNO","MUITO BOM")))</f>
        <v>MUITO BOM</v>
      </c>
      <c r="M2859">
        <v>22</v>
      </c>
      <c r="N2859">
        <v>99.28</v>
      </c>
      <c r="O2859">
        <v>27.689243027888441</v>
      </c>
    </row>
    <row r="2860" spans="1:15" hidden="1" x14ac:dyDescent="0.25">
      <c r="A2860" s="11">
        <v>46091</v>
      </c>
      <c r="B2860" t="s">
        <v>54</v>
      </c>
      <c r="C2860" t="s">
        <v>48</v>
      </c>
      <c r="D2860">
        <v>24</v>
      </c>
      <c r="E2860">
        <v>24</v>
      </c>
      <c r="F2860">
        <v>27.22</v>
      </c>
      <c r="G2860">
        <v>0</v>
      </c>
      <c r="H2860">
        <v>0</v>
      </c>
      <c r="I2860" s="3">
        <f>E2860+G2860+H2860</f>
        <v>24</v>
      </c>
      <c r="J2860" s="3">
        <f>ROUND(MIN(IF(C2860="Técnico III",35,IF(C2860="Técnico II",28,IF(C2860="Técnico I",23,IF(C2860="JR",20,IF(C2860="Estágio",10,0))))),IF(C2860="Técnico III",SUMIFS($D:$D,$A:$A,$A2860,$B:$B,"&lt;&gt;Patrícia Karla de Sousa Araújo",$B:$B,"&lt;&gt;Lorena Dias de Araujo",$B:$B,"&lt;&gt;Lucas Luiz Romero")*(35/1083),IF(C2860="Técnico II",SUMIFS($D:$D,$A:$A,$A2860,$B:$B,"&lt;&gt;Patrícia Karla de Sousa Araújo",$B:$B,"&lt;&gt;Lorena Dias de Araujo",$B:$B,"&lt;&gt;Lucas Luiz Romero")*(28/1083),IF(C2860="Técnico I",SUMIFS($D:$D,$A:$A,$A2860,$B:$B,"&lt;&gt;Patrícia Karla de Sousa Araújo",$B:$B,"&lt;&gt;Lorena Dias de Araujo",$B:$B,"&lt;&gt;Lucas Luiz Romero")*(23/1083),IF(C2860="JR",SUMIFS($D:$D,$A:$A,$A2860,$B:$B,"&lt;&gt;Patrícia Karla de Sousa Araújo",$B:$B,"&lt;&gt;Lorena Dias de Araujo",$B:$B,"&lt;&gt;Lucas Luiz Romero")*(20/1083),IF(C2860="Estágio",SUMIFS($D:$D,$A:$A,$A2860,$B:$B,"&lt;&gt;Patrícia Karla de Sousa Araújo",$B:$B,"&lt;&gt;Lorena Dias de Araujo",$B:$B,"&lt;&gt;Lucas Luiz Romero")*(10/1083),0)))))),0)</f>
        <v>17</v>
      </c>
      <c r="K2860" s="3">
        <f>I2860-J2860</f>
        <v>7</v>
      </c>
      <c r="L2860" s="3" t="str">
        <f>IF(K2860&lt;-5,"CRÍTICO",IF(K2860&lt;0,"ATENÇÃO",IF(K2860&lt;=5,"OPORTUNO","MUITO BOM")))</f>
        <v>MUITO BOM</v>
      </c>
      <c r="M2860">
        <v>23</v>
      </c>
      <c r="N2860">
        <v>100</v>
      </c>
      <c r="O2860">
        <v>27.04918032786885</v>
      </c>
    </row>
    <row r="2861" spans="1:15" hidden="1" x14ac:dyDescent="0.25">
      <c r="A2861" s="11">
        <v>46091</v>
      </c>
      <c r="B2861" t="s">
        <v>37</v>
      </c>
      <c r="C2861" t="s">
        <v>32</v>
      </c>
      <c r="D2861">
        <v>40</v>
      </c>
      <c r="E2861">
        <v>36</v>
      </c>
      <c r="F2861">
        <v>16.46</v>
      </c>
      <c r="G2861">
        <v>0</v>
      </c>
      <c r="H2861">
        <v>0</v>
      </c>
      <c r="I2861" s="3">
        <f>E2861+G2861+H2861</f>
        <v>36</v>
      </c>
      <c r="J2861" s="3">
        <f>ROUND(MIN(IF(C2861="Técnico III",35,IF(C2861="Técnico II",28,IF(C2861="Técnico I",23,IF(C2861="JR",20,IF(C2861="Estágio",10,0))))),IF(C2861="Técnico III",SUMIFS($D:$D,$A:$A,$A2861,$B:$B,"&lt;&gt;Patrícia Karla de Sousa Araújo",$B:$B,"&lt;&gt;Lorena Dias de Araujo",$B:$B,"&lt;&gt;Lucas Luiz Romero")*(35/1083),IF(C2861="Técnico II",SUMIFS($D:$D,$A:$A,$A2861,$B:$B,"&lt;&gt;Patrícia Karla de Sousa Araújo",$B:$B,"&lt;&gt;Lorena Dias de Araujo",$B:$B,"&lt;&gt;Lucas Luiz Romero")*(28/1083),IF(C2861="Técnico I",SUMIFS($D:$D,$A:$A,$A2861,$B:$B,"&lt;&gt;Patrícia Karla de Sousa Araújo",$B:$B,"&lt;&gt;Lorena Dias de Araujo",$B:$B,"&lt;&gt;Lucas Luiz Romero")*(23/1083),IF(C2861="JR",SUMIFS($D:$D,$A:$A,$A2861,$B:$B,"&lt;&gt;Patrícia Karla de Sousa Araújo",$B:$B,"&lt;&gt;Lorena Dias de Araujo",$B:$B,"&lt;&gt;Lucas Luiz Romero")*(20/1083),IF(C2861="Estágio",SUMIFS($D:$D,$A:$A,$A2861,$B:$B,"&lt;&gt;Patrícia Karla de Sousa Araújo",$B:$B,"&lt;&gt;Lorena Dias de Araujo",$B:$B,"&lt;&gt;Lucas Luiz Romero")*(10/1083),0)))))),0)</f>
        <v>21</v>
      </c>
      <c r="K2861" s="3">
        <f>I2861-J2861</f>
        <v>15</v>
      </c>
      <c r="L2861" s="3" t="str">
        <f>IF(K2861&lt;-5,"CRÍTICO",IF(K2861&lt;0,"ATENÇÃO",IF(K2861&lt;=5,"OPORTUNO","MUITO BOM")))</f>
        <v>MUITO BOM</v>
      </c>
      <c r="M2861">
        <v>35</v>
      </c>
      <c r="N2861">
        <v>97.83</v>
      </c>
      <c r="O2861">
        <v>26.315789473684209</v>
      </c>
    </row>
    <row r="2862" spans="1:15" hidden="1" x14ac:dyDescent="0.25">
      <c r="A2862" s="11">
        <v>46091</v>
      </c>
      <c r="B2862" t="s">
        <v>38</v>
      </c>
      <c r="C2862" t="s">
        <v>32</v>
      </c>
      <c r="D2862">
        <v>9</v>
      </c>
      <c r="E2862">
        <v>9</v>
      </c>
      <c r="F2862">
        <v>25.5</v>
      </c>
      <c r="G2862">
        <v>0</v>
      </c>
      <c r="H2862">
        <v>0</v>
      </c>
      <c r="I2862" s="3">
        <f>E2862+G2862+H2862</f>
        <v>9</v>
      </c>
      <c r="J2862" s="3">
        <f>ROUND(MIN(IF(C2862="Técnico III",35,IF(C2862="Técnico II",28,IF(C2862="Técnico I",23,IF(C2862="JR",20,IF(C2862="Estágio",10,0))))),IF(C2862="Técnico III",SUMIFS($D:$D,$A:$A,$A2862,$B:$B,"&lt;&gt;Patrícia Karla de Sousa Araújo",$B:$B,"&lt;&gt;Lorena Dias de Araujo",$B:$B,"&lt;&gt;Lucas Luiz Romero")*(35/1083),IF(C2862="Técnico II",SUMIFS($D:$D,$A:$A,$A2862,$B:$B,"&lt;&gt;Patrícia Karla de Sousa Araújo",$B:$B,"&lt;&gt;Lorena Dias de Araujo",$B:$B,"&lt;&gt;Lucas Luiz Romero")*(28/1083),IF(C2862="Técnico I",SUMIFS($D:$D,$A:$A,$A2862,$B:$B,"&lt;&gt;Patrícia Karla de Sousa Araújo",$B:$B,"&lt;&gt;Lorena Dias de Araujo",$B:$B,"&lt;&gt;Lucas Luiz Romero")*(23/1083),IF(C2862="JR",SUMIFS($D:$D,$A:$A,$A2862,$B:$B,"&lt;&gt;Patrícia Karla de Sousa Araújo",$B:$B,"&lt;&gt;Lorena Dias de Araujo",$B:$B,"&lt;&gt;Lucas Luiz Romero")*(20/1083),IF(C2862="Estágio",SUMIFS($D:$D,$A:$A,$A2862,$B:$B,"&lt;&gt;Patrícia Karla de Sousa Araújo",$B:$B,"&lt;&gt;Lorena Dias de Araujo",$B:$B,"&lt;&gt;Lucas Luiz Romero")*(10/1083),0)))))),0)</f>
        <v>21</v>
      </c>
      <c r="K2862" s="3">
        <f>I2862-J2862</f>
        <v>-12</v>
      </c>
      <c r="L2862" s="3" t="str">
        <f>IF(K2862&lt;-5,"CRÍTICO",IF(K2862&lt;0,"ATENÇÃO",IF(K2862&lt;=5,"OPORTUNO","MUITO BOM")))</f>
        <v>CRÍTICO</v>
      </c>
      <c r="M2862">
        <v>10</v>
      </c>
      <c r="N2862">
        <v>100</v>
      </c>
      <c r="O2862">
        <v>26.701570680628269</v>
      </c>
    </row>
    <row r="2863" spans="1:15" hidden="1" x14ac:dyDescent="0.25">
      <c r="A2863" s="11">
        <v>46091</v>
      </c>
      <c r="B2863" t="s">
        <v>55</v>
      </c>
      <c r="C2863" t="s">
        <v>48</v>
      </c>
      <c r="D2863">
        <v>22</v>
      </c>
      <c r="E2863">
        <v>19</v>
      </c>
      <c r="F2863">
        <v>23.29</v>
      </c>
      <c r="G2863">
        <v>0</v>
      </c>
      <c r="H2863">
        <v>0</v>
      </c>
      <c r="I2863" s="3">
        <f>E2863+G2863+H2863</f>
        <v>19</v>
      </c>
      <c r="J2863" s="3">
        <f>ROUND(MIN(IF(C2863="Técnico III",35,IF(C2863="Técnico II",28,IF(C2863="Técnico I",23,IF(C2863="JR",20,IF(C2863="Estágio",10,0))))),IF(C2863="Técnico III",SUMIFS($D:$D,$A:$A,$A2863,$B:$B,"&lt;&gt;Patrícia Karla de Sousa Araújo",$B:$B,"&lt;&gt;Lorena Dias de Araujo",$B:$B,"&lt;&gt;Lucas Luiz Romero")*(35/1083),IF(C2863="Técnico II",SUMIFS($D:$D,$A:$A,$A2863,$B:$B,"&lt;&gt;Patrícia Karla de Sousa Araújo",$B:$B,"&lt;&gt;Lorena Dias de Araujo",$B:$B,"&lt;&gt;Lucas Luiz Romero")*(28/1083),IF(C2863="Técnico I",SUMIFS($D:$D,$A:$A,$A2863,$B:$B,"&lt;&gt;Patrícia Karla de Sousa Araújo",$B:$B,"&lt;&gt;Lorena Dias de Araujo",$B:$B,"&lt;&gt;Lucas Luiz Romero")*(23/1083),IF(C2863="JR",SUMIFS($D:$D,$A:$A,$A2863,$B:$B,"&lt;&gt;Patrícia Karla de Sousa Araújo",$B:$B,"&lt;&gt;Lorena Dias de Araujo",$B:$B,"&lt;&gt;Lucas Luiz Romero")*(20/1083),IF(C2863="Estágio",SUMIFS($D:$D,$A:$A,$A2863,$B:$B,"&lt;&gt;Patrícia Karla de Sousa Araújo",$B:$B,"&lt;&gt;Lorena Dias de Araujo",$B:$B,"&lt;&gt;Lucas Luiz Romero")*(10/1083),0)))))),0)</f>
        <v>17</v>
      </c>
      <c r="K2863" s="3">
        <f>I2863-J2863</f>
        <v>2</v>
      </c>
      <c r="L2863" s="3" t="str">
        <f>IF(K2863&lt;-5,"CRÍTICO",IF(K2863&lt;0,"ATENÇÃO",IF(K2863&lt;=5,"OPORTUNO","MUITO BOM")))</f>
        <v>OPORTUNO</v>
      </c>
      <c r="M2863">
        <v>16</v>
      </c>
      <c r="N2863">
        <v>97.47</v>
      </c>
      <c r="O2863">
        <v>22.887323943661968</v>
      </c>
    </row>
    <row r="2864" spans="1:15" hidden="1" x14ac:dyDescent="0.25">
      <c r="A2864" s="11">
        <v>46091</v>
      </c>
      <c r="B2864" t="s">
        <v>39</v>
      </c>
      <c r="C2864" t="s">
        <v>32</v>
      </c>
      <c r="D2864">
        <v>0</v>
      </c>
      <c r="E2864">
        <v>0</v>
      </c>
      <c r="F2864">
        <v>0</v>
      </c>
      <c r="G2864">
        <v>0</v>
      </c>
      <c r="H2864">
        <v>0</v>
      </c>
      <c r="I2864" s="3">
        <v>0</v>
      </c>
      <c r="J2864" s="3">
        <v>0</v>
      </c>
      <c r="K2864" s="3">
        <v>0</v>
      </c>
      <c r="L2864" s="3" t="str">
        <f>IF(K2864&lt;-5,"CRÍTICO",IF(K2864&lt;0,"ATENÇÃO",IF(K2864&lt;=5,"OPORTUNO","MUITO BOM")))</f>
        <v>OPORTUNO</v>
      </c>
      <c r="M2864">
        <v>0</v>
      </c>
      <c r="N2864">
        <v>0</v>
      </c>
      <c r="O2864">
        <v>0</v>
      </c>
    </row>
    <row r="2865" spans="1:15" hidden="1" x14ac:dyDescent="0.25">
      <c r="A2865" s="11">
        <v>46091</v>
      </c>
      <c r="B2865" t="s">
        <v>25</v>
      </c>
      <c r="C2865" t="s">
        <v>26</v>
      </c>
      <c r="D2865">
        <v>8</v>
      </c>
      <c r="E2865">
        <v>8</v>
      </c>
      <c r="F2865">
        <v>33.200000000000003</v>
      </c>
      <c r="G2865">
        <v>0</v>
      </c>
      <c r="H2865">
        <v>0</v>
      </c>
      <c r="I2865" s="3">
        <f>E2865+G2865+H2865</f>
        <v>8</v>
      </c>
      <c r="J2865" s="3">
        <f>ROUND(MIN(IF(C2865="Técnico III",35,IF(C2865="Técnico II",28,IF(C2865="Técnico I",23,IF(C2865="JR",20,IF(C2865="Estágio",10,0))))),IF(C2865="Técnico III",SUMIFS($D:$D,$A:$A,$A2865,$B:$B,"&lt;&gt;Patrícia Karla de Sousa Araújo",$B:$B,"&lt;&gt;Lorena Dias de Araujo",$B:$B,"&lt;&gt;Lucas Luiz Romero")*(35/1083),IF(C2865="Técnico II",SUMIFS($D:$D,$A:$A,$A2865,$B:$B,"&lt;&gt;Patrícia Karla de Sousa Araújo",$B:$B,"&lt;&gt;Lorena Dias de Araujo",$B:$B,"&lt;&gt;Lucas Luiz Romero")*(28/1083),IF(C2865="Técnico I",SUMIFS($D:$D,$A:$A,$A2865,$B:$B,"&lt;&gt;Patrícia Karla de Sousa Araújo",$B:$B,"&lt;&gt;Lorena Dias de Araujo",$B:$B,"&lt;&gt;Lucas Luiz Romero")*(23/1083),IF(C2865="JR",SUMIFS($D:$D,$A:$A,$A2865,$B:$B,"&lt;&gt;Patrícia Karla de Sousa Araújo",$B:$B,"&lt;&gt;Lorena Dias de Araujo",$B:$B,"&lt;&gt;Lucas Luiz Romero")*(20/1083),IF(C2865="Estágio",SUMIFS($D:$D,$A:$A,$A2865,$B:$B,"&lt;&gt;Patrícia Karla de Sousa Araújo",$B:$B,"&lt;&gt;Lorena Dias de Araujo",$B:$B,"&lt;&gt;Lucas Luiz Romero")*(10/1083),0)))))),0)</f>
        <v>12</v>
      </c>
      <c r="K2865" s="3">
        <f>I2865-J2865</f>
        <v>-4</v>
      </c>
      <c r="L2865" s="3" t="str">
        <f>IF(K2865&lt;-5,"CRÍTICO",IF(K2865&lt;0,"ATENÇÃO",IF(K2865&lt;=5,"OPORTUNO","MUITO BOM")))</f>
        <v>ATENÇÃO</v>
      </c>
      <c r="M2865">
        <v>8</v>
      </c>
      <c r="N2865">
        <v>98.31</v>
      </c>
      <c r="O2865">
        <v>24.920127795527151</v>
      </c>
    </row>
    <row r="2866" spans="1:15" hidden="1" x14ac:dyDescent="0.25">
      <c r="A2866" s="11">
        <v>46091</v>
      </c>
      <c r="B2866" t="s">
        <v>40</v>
      </c>
      <c r="C2866" t="s">
        <v>32</v>
      </c>
      <c r="D2866">
        <v>1</v>
      </c>
      <c r="E2866">
        <v>1</v>
      </c>
      <c r="F2866">
        <v>43.44</v>
      </c>
      <c r="G2866">
        <v>0</v>
      </c>
      <c r="H2866">
        <v>0</v>
      </c>
      <c r="I2866" s="3">
        <f>E2866+G2866+H2866</f>
        <v>1</v>
      </c>
      <c r="J2866" s="3">
        <f>ROUND(MIN(IF(C2866="Técnico III",35,IF(C2866="Técnico II",28,IF(C2866="Técnico I",23,IF(C2866="JR",20,IF(C2866="Estágio",10,0))))),IF(C2866="Técnico III",SUMIFS($D:$D,$A:$A,$A2866,$B:$B,"&lt;&gt;Patrícia Karla de Sousa Araújo",$B:$B,"&lt;&gt;Lorena Dias de Araujo",$B:$B,"&lt;&gt;Lucas Luiz Romero")*(35/1083),IF(C2866="Técnico II",SUMIFS($D:$D,$A:$A,$A2866,$B:$B,"&lt;&gt;Patrícia Karla de Sousa Araújo",$B:$B,"&lt;&gt;Lorena Dias de Araujo",$B:$B,"&lt;&gt;Lucas Luiz Romero")*(28/1083),IF(C2866="Técnico I",SUMIFS($D:$D,$A:$A,$A2866,$B:$B,"&lt;&gt;Patrícia Karla de Sousa Araújo",$B:$B,"&lt;&gt;Lorena Dias de Araujo",$B:$B,"&lt;&gt;Lucas Luiz Romero")*(23/1083),IF(C2866="JR",SUMIFS($D:$D,$A:$A,$A2866,$B:$B,"&lt;&gt;Patrícia Karla de Sousa Araújo",$B:$B,"&lt;&gt;Lorena Dias de Araujo",$B:$B,"&lt;&gt;Lucas Luiz Romero")*(20/1083),IF(C2866="Estágio",SUMIFS($D:$D,$A:$A,$A2866,$B:$B,"&lt;&gt;Patrícia Karla de Sousa Araújo",$B:$B,"&lt;&gt;Lorena Dias de Araujo",$B:$B,"&lt;&gt;Lucas Luiz Romero")*(10/1083),0)))))),0)</f>
        <v>21</v>
      </c>
      <c r="K2866" s="3">
        <f>I2866-J2866</f>
        <v>-20</v>
      </c>
      <c r="L2866" s="3" t="str">
        <f>IF(K2866&lt;-5,"CRÍTICO",IF(K2866&lt;0,"ATENÇÃO",IF(K2866&lt;=5,"OPORTUNO","MUITO BOM")))</f>
        <v>CRÍTICO</v>
      </c>
      <c r="M2866">
        <v>14</v>
      </c>
      <c r="N2866">
        <v>96.81</v>
      </c>
      <c r="O2866">
        <v>32.365145228215773</v>
      </c>
    </row>
    <row r="2867" spans="1:15" hidden="1" x14ac:dyDescent="0.25">
      <c r="A2867" s="11">
        <v>46091</v>
      </c>
      <c r="B2867" t="s">
        <v>27</v>
      </c>
      <c r="C2867" t="s">
        <v>26</v>
      </c>
      <c r="D2867">
        <v>16</v>
      </c>
      <c r="E2867">
        <v>12</v>
      </c>
      <c r="F2867">
        <v>25.06</v>
      </c>
      <c r="G2867">
        <v>0</v>
      </c>
      <c r="H2867">
        <v>0</v>
      </c>
      <c r="I2867" s="3">
        <f>E2867+G2867+H2867</f>
        <v>12</v>
      </c>
      <c r="J2867" s="3">
        <f>ROUND(MIN(IF(C2867="Técnico III",35,IF(C2867="Técnico II",28,IF(C2867="Técnico I",23,IF(C2867="JR",20,IF(C2867="Estágio",10,0))))),IF(C2867="Técnico III",SUMIFS($D:$D,$A:$A,$A2867,$B:$B,"&lt;&gt;Patrícia Karla de Sousa Araújo",$B:$B,"&lt;&gt;Lorena Dias de Araujo",$B:$B,"&lt;&gt;Lucas Luiz Romero")*(35/1083),IF(C2867="Técnico II",SUMIFS($D:$D,$A:$A,$A2867,$B:$B,"&lt;&gt;Patrícia Karla de Sousa Araújo",$B:$B,"&lt;&gt;Lorena Dias de Araujo",$B:$B,"&lt;&gt;Lucas Luiz Romero")*(28/1083),IF(C2867="Técnico I",SUMIFS($D:$D,$A:$A,$A2867,$B:$B,"&lt;&gt;Patrícia Karla de Sousa Araújo",$B:$B,"&lt;&gt;Lorena Dias de Araujo",$B:$B,"&lt;&gt;Lucas Luiz Romero")*(23/1083),IF(C2867="JR",SUMIFS($D:$D,$A:$A,$A2867,$B:$B,"&lt;&gt;Patrícia Karla de Sousa Araújo",$B:$B,"&lt;&gt;Lorena Dias de Araujo",$B:$B,"&lt;&gt;Lucas Luiz Romero")*(20/1083),IF(C2867="Estágio",SUMIFS($D:$D,$A:$A,$A2867,$B:$B,"&lt;&gt;Patrícia Karla de Sousa Araújo",$B:$B,"&lt;&gt;Lorena Dias de Araujo",$B:$B,"&lt;&gt;Lucas Luiz Romero")*(10/1083),0)))))),0)</f>
        <v>12</v>
      </c>
      <c r="K2867" s="3">
        <f>I2867-J2867</f>
        <v>0</v>
      </c>
      <c r="L2867" s="3" t="str">
        <f>IF(K2867&lt;-5,"CRÍTICO",IF(K2867&lt;0,"ATENÇÃO",IF(K2867&lt;=5,"OPORTUNO","MUITO BOM")))</f>
        <v>OPORTUNO</v>
      </c>
      <c r="M2867">
        <v>10</v>
      </c>
      <c r="N2867">
        <v>100</v>
      </c>
      <c r="O2867">
        <v>26.47058823529412</v>
      </c>
    </row>
    <row r="2868" spans="1:15" hidden="1" x14ac:dyDescent="0.25">
      <c r="A2868" s="11">
        <v>46091</v>
      </c>
      <c r="B2868" t="s">
        <v>41</v>
      </c>
      <c r="C2868" t="s">
        <v>32</v>
      </c>
      <c r="D2868">
        <v>15</v>
      </c>
      <c r="E2868">
        <v>13</v>
      </c>
      <c r="F2868">
        <v>20.18</v>
      </c>
      <c r="G2868">
        <v>0</v>
      </c>
      <c r="H2868">
        <v>0</v>
      </c>
      <c r="I2868" s="3">
        <f>E2868+G2868+H2868</f>
        <v>13</v>
      </c>
      <c r="J2868" s="3">
        <f>ROUND(MIN(IF(C2868="Técnico III",35,IF(C2868="Técnico II",28,IF(C2868="Técnico I",23,IF(C2868="JR",20,IF(C2868="Estágio",10,0))))),IF(C2868="Técnico III",SUMIFS($D:$D,$A:$A,$A2868,$B:$B,"&lt;&gt;Patrícia Karla de Sousa Araújo",$B:$B,"&lt;&gt;Lorena Dias de Araujo",$B:$B,"&lt;&gt;Lucas Luiz Romero")*(35/1083),IF(C2868="Técnico II",SUMIFS($D:$D,$A:$A,$A2868,$B:$B,"&lt;&gt;Patrícia Karla de Sousa Araújo",$B:$B,"&lt;&gt;Lorena Dias de Araujo",$B:$B,"&lt;&gt;Lucas Luiz Romero")*(28/1083),IF(C2868="Técnico I",SUMIFS($D:$D,$A:$A,$A2868,$B:$B,"&lt;&gt;Patrícia Karla de Sousa Araújo",$B:$B,"&lt;&gt;Lorena Dias de Araujo",$B:$B,"&lt;&gt;Lucas Luiz Romero")*(23/1083),IF(C2868="JR",SUMIFS($D:$D,$A:$A,$A2868,$B:$B,"&lt;&gt;Patrícia Karla de Sousa Araújo",$B:$B,"&lt;&gt;Lorena Dias de Araujo",$B:$B,"&lt;&gt;Lucas Luiz Romero")*(20/1083),IF(C2868="Estágio",SUMIFS($D:$D,$A:$A,$A2868,$B:$B,"&lt;&gt;Patrícia Karla de Sousa Araújo",$B:$B,"&lt;&gt;Lorena Dias de Araujo",$B:$B,"&lt;&gt;Lucas Luiz Romero")*(10/1083),0)))))),0)</f>
        <v>21</v>
      </c>
      <c r="K2868" s="3">
        <f>I2868-J2868</f>
        <v>-8</v>
      </c>
      <c r="L2868" s="3" t="str">
        <f>IF(K2868&lt;-5,"CRÍTICO",IF(K2868&lt;0,"ATENÇÃO",IF(K2868&lt;=5,"OPORTUNO","MUITO BOM")))</f>
        <v>CRÍTICO</v>
      </c>
      <c r="M2868">
        <v>19</v>
      </c>
      <c r="N2868">
        <v>100</v>
      </c>
      <c r="O2868">
        <v>28.490028490028489</v>
      </c>
    </row>
    <row r="2869" spans="1:15" hidden="1" x14ac:dyDescent="0.25">
      <c r="A2869" s="11">
        <v>46091</v>
      </c>
      <c r="B2869" t="s">
        <v>56</v>
      </c>
      <c r="C2869" t="s">
        <v>48</v>
      </c>
      <c r="D2869">
        <v>24</v>
      </c>
      <c r="E2869">
        <v>22</v>
      </c>
      <c r="F2869">
        <v>25.13</v>
      </c>
      <c r="G2869">
        <v>0</v>
      </c>
      <c r="H2869">
        <v>0</v>
      </c>
      <c r="I2869" s="3">
        <f>E2869+G2869+H2869</f>
        <v>22</v>
      </c>
      <c r="J2869" s="3">
        <f>ROUND(MIN(IF(C2869="Técnico III",35,IF(C2869="Técnico II",28,IF(C2869="Técnico I",23,IF(C2869="JR",20,IF(C2869="Estágio",10,0))))),IF(C2869="Técnico III",SUMIFS($D:$D,$A:$A,$A2869,$B:$B,"&lt;&gt;Patrícia Karla de Sousa Araújo",$B:$B,"&lt;&gt;Lorena Dias de Araujo",$B:$B,"&lt;&gt;Lucas Luiz Romero")*(35/1083),IF(C2869="Técnico II",SUMIFS($D:$D,$A:$A,$A2869,$B:$B,"&lt;&gt;Patrícia Karla de Sousa Araújo",$B:$B,"&lt;&gt;Lorena Dias de Araujo",$B:$B,"&lt;&gt;Lucas Luiz Romero")*(28/1083),IF(C2869="Técnico I",SUMIFS($D:$D,$A:$A,$A2869,$B:$B,"&lt;&gt;Patrícia Karla de Sousa Araújo",$B:$B,"&lt;&gt;Lorena Dias de Araujo",$B:$B,"&lt;&gt;Lucas Luiz Romero")*(23/1083),IF(C2869="JR",SUMIFS($D:$D,$A:$A,$A2869,$B:$B,"&lt;&gt;Patrícia Karla de Sousa Araújo",$B:$B,"&lt;&gt;Lorena Dias de Araujo",$B:$B,"&lt;&gt;Lucas Luiz Romero")*(20/1083),IF(C2869="Estágio",SUMIFS($D:$D,$A:$A,$A2869,$B:$B,"&lt;&gt;Patrícia Karla de Sousa Araújo",$B:$B,"&lt;&gt;Lorena Dias de Araujo",$B:$B,"&lt;&gt;Lucas Luiz Romero")*(10/1083),0)))))),0)</f>
        <v>17</v>
      </c>
      <c r="K2869" s="3">
        <f>I2869-J2869</f>
        <v>5</v>
      </c>
      <c r="L2869" s="3" t="str">
        <f>IF(K2869&lt;-5,"CRÍTICO",IF(K2869&lt;0,"ATENÇÃO",IF(K2869&lt;=5,"OPORTUNO","MUITO BOM")))</f>
        <v>OPORTUNO</v>
      </c>
      <c r="M2869">
        <v>16</v>
      </c>
      <c r="N2869">
        <v>99.14</v>
      </c>
      <c r="O2869">
        <v>27.2289156626506</v>
      </c>
    </row>
    <row r="2870" spans="1:15" hidden="1" x14ac:dyDescent="0.25">
      <c r="A2870" s="11">
        <v>46091</v>
      </c>
      <c r="B2870" t="s">
        <v>57</v>
      </c>
      <c r="C2870" t="s">
        <v>48</v>
      </c>
      <c r="D2870">
        <v>30</v>
      </c>
      <c r="E2870">
        <v>29</v>
      </c>
      <c r="F2870">
        <v>21.51</v>
      </c>
      <c r="G2870">
        <v>0</v>
      </c>
      <c r="H2870">
        <v>0</v>
      </c>
      <c r="I2870" s="3">
        <v>0</v>
      </c>
      <c r="J2870" s="3">
        <v>0</v>
      </c>
      <c r="K2870" s="3">
        <v>0</v>
      </c>
      <c r="L2870" s="3" t="str">
        <f>IF(K2870&lt;-5,"CRÍTICO",IF(K2870&lt;0,"ATENÇÃO",IF(K2870&lt;=5,"OPORTUNO","MUITO BOM")))</f>
        <v>OPORTUNO</v>
      </c>
      <c r="M2870">
        <v>27</v>
      </c>
      <c r="N2870">
        <v>97.52</v>
      </c>
      <c r="O2870">
        <v>28.205128205128201</v>
      </c>
    </row>
    <row r="2871" spans="1:15" hidden="1" x14ac:dyDescent="0.25">
      <c r="A2871" s="11">
        <v>46091</v>
      </c>
      <c r="B2871" t="s">
        <v>42</v>
      </c>
      <c r="C2871" t="s">
        <v>32</v>
      </c>
      <c r="D2871">
        <v>37</v>
      </c>
      <c r="E2871">
        <v>30</v>
      </c>
      <c r="F2871">
        <v>13.52</v>
      </c>
      <c r="G2871">
        <v>0</v>
      </c>
      <c r="H2871">
        <v>0</v>
      </c>
      <c r="I2871" s="3">
        <f>E2871+G2871+H2871</f>
        <v>30</v>
      </c>
      <c r="J2871" s="3">
        <f>ROUND(MIN(IF(C2871="Técnico III",35,IF(C2871="Técnico II",28,IF(C2871="Técnico I",23,IF(C2871="JR",20,IF(C2871="Estágio",10,0))))),IF(C2871="Técnico III",SUMIFS($D:$D,$A:$A,$A2871,$B:$B,"&lt;&gt;Patrícia Karla de Sousa Araújo",$B:$B,"&lt;&gt;Lorena Dias de Araujo",$B:$B,"&lt;&gt;Lucas Luiz Romero")*(35/1083),IF(C2871="Técnico II",SUMIFS($D:$D,$A:$A,$A2871,$B:$B,"&lt;&gt;Patrícia Karla de Sousa Araújo",$B:$B,"&lt;&gt;Lorena Dias de Araujo",$B:$B,"&lt;&gt;Lucas Luiz Romero")*(28/1083),IF(C2871="Técnico I",SUMIFS($D:$D,$A:$A,$A2871,$B:$B,"&lt;&gt;Patrícia Karla de Sousa Araújo",$B:$B,"&lt;&gt;Lorena Dias de Araujo",$B:$B,"&lt;&gt;Lucas Luiz Romero")*(23/1083),IF(C2871="JR",SUMIFS($D:$D,$A:$A,$A2871,$B:$B,"&lt;&gt;Patrícia Karla de Sousa Araújo",$B:$B,"&lt;&gt;Lorena Dias de Araujo",$B:$B,"&lt;&gt;Lucas Luiz Romero")*(20/1083),IF(C2871="Estágio",SUMIFS($D:$D,$A:$A,$A2871,$B:$B,"&lt;&gt;Patrícia Karla de Sousa Araújo",$B:$B,"&lt;&gt;Lorena Dias de Araujo",$B:$B,"&lt;&gt;Lucas Luiz Romero")*(10/1083),0)))))),0)</f>
        <v>21</v>
      </c>
      <c r="K2871" s="3">
        <f>I2871-J2871</f>
        <v>9</v>
      </c>
      <c r="L2871" s="3" t="str">
        <f>IF(K2871&lt;-5,"CRÍTICO",IF(K2871&lt;0,"ATENÇÃO",IF(K2871&lt;=5,"OPORTUNO","MUITO BOM")))</f>
        <v>MUITO BOM</v>
      </c>
      <c r="M2871">
        <v>17</v>
      </c>
      <c r="N2871">
        <v>90</v>
      </c>
      <c r="O2871">
        <v>24.186046511627911</v>
      </c>
    </row>
    <row r="2872" spans="1:15" hidden="1" x14ac:dyDescent="0.25">
      <c r="A2872" s="11">
        <v>46091</v>
      </c>
      <c r="B2872" t="s">
        <v>62</v>
      </c>
      <c r="C2872" t="s">
        <v>23</v>
      </c>
      <c r="D2872">
        <v>20</v>
      </c>
      <c r="E2872">
        <v>19</v>
      </c>
      <c r="F2872">
        <v>30.04</v>
      </c>
      <c r="G2872">
        <v>0</v>
      </c>
      <c r="H2872">
        <v>0</v>
      </c>
      <c r="I2872" s="3">
        <f>E2872+G2872+H2872</f>
        <v>19</v>
      </c>
      <c r="J2872" s="3">
        <f>ROUND(MIN(IF(C2872="Técnico III",35,IF(C2872="Técnico II",28,IF(C2872="Técnico I",23,IF(C2872="JR",20,IF(C2872="Estágio",10,0))))),IF(C2872="Técnico III",SUMIFS($D:$D,$A:$A,$A2872,$B:$B,"&lt;&gt;Patrícia Karla de Sousa Araújo",$B:$B,"&lt;&gt;Lorena Dias de Araujo",$B:$B,"&lt;&gt;Lucas Luiz Romero")*(35/1083),IF(C2872="Técnico II",SUMIFS($D:$D,$A:$A,$A2872,$B:$B,"&lt;&gt;Patrícia Karla de Sousa Araújo",$B:$B,"&lt;&gt;Lorena Dias de Araujo",$B:$B,"&lt;&gt;Lucas Luiz Romero")*(28/1083),IF(C2872="Técnico I",SUMIFS($D:$D,$A:$A,$A2872,$B:$B,"&lt;&gt;Patrícia Karla de Sousa Araújo",$B:$B,"&lt;&gt;Lorena Dias de Araujo",$B:$B,"&lt;&gt;Lucas Luiz Romero")*(23/1083),IF(C2872="JR",SUMIFS($D:$D,$A:$A,$A2872,$B:$B,"&lt;&gt;Patrícia Karla de Sousa Araújo",$B:$B,"&lt;&gt;Lorena Dias de Araujo",$B:$B,"&lt;&gt;Lucas Luiz Romero")*(20/1083),IF(C2872="Estágio",SUMIFS($D:$D,$A:$A,$A2872,$B:$B,"&lt;&gt;Patrícia Karla de Sousa Araújo",$B:$B,"&lt;&gt;Lorena Dias de Araujo",$B:$B,"&lt;&gt;Lucas Luiz Romero")*(10/1083),0)))))),0)</f>
        <v>14</v>
      </c>
      <c r="K2872" s="3">
        <f>I2872-J2872</f>
        <v>5</v>
      </c>
      <c r="L2872" s="3" t="str">
        <f>IF(K2872&lt;-5,"CRÍTICO",IF(K2872&lt;0,"ATENÇÃO",IF(K2872&lt;=5,"OPORTUNO","MUITO BOM")))</f>
        <v>OPORTUNO</v>
      </c>
      <c r="M2872">
        <v>17</v>
      </c>
      <c r="N2872">
        <v>98.9</v>
      </c>
      <c r="O2872">
        <v>26.763990267639901</v>
      </c>
    </row>
    <row r="2873" spans="1:15" hidden="1" x14ac:dyDescent="0.25">
      <c r="A2873" s="11">
        <v>46091</v>
      </c>
      <c r="B2873" t="s">
        <v>19</v>
      </c>
      <c r="C2873" t="s">
        <v>16</v>
      </c>
      <c r="D2873">
        <v>10</v>
      </c>
      <c r="E2873">
        <v>8</v>
      </c>
      <c r="F2873">
        <v>33.5</v>
      </c>
      <c r="G2873">
        <v>0</v>
      </c>
      <c r="H2873">
        <v>0</v>
      </c>
      <c r="I2873" s="3">
        <f>E2873+G2873+H2873</f>
        <v>8</v>
      </c>
      <c r="J2873" s="3">
        <f>ROUND(MIN(IF(C2873="Técnico III",35,IF(C2873="Técnico II",28,IF(C2873="Técnico I",23,IF(C2873="JR",20,IF(C2873="Estágio",10,0))))),IF(C2873="Técnico III",SUMIFS($D:$D,$A:$A,$A2873,$B:$B,"&lt;&gt;Patrícia Karla de Sousa Araújo",$B:$B,"&lt;&gt;Lorena Dias de Araujo",$B:$B,"&lt;&gt;Lucas Luiz Romero")*(35/1083),IF(C2873="Técnico II",SUMIFS($D:$D,$A:$A,$A2873,$B:$B,"&lt;&gt;Patrícia Karla de Sousa Araújo",$B:$B,"&lt;&gt;Lorena Dias de Araujo",$B:$B,"&lt;&gt;Lucas Luiz Romero")*(28/1083),IF(C2873="Técnico I",SUMIFS($D:$D,$A:$A,$A2873,$B:$B,"&lt;&gt;Patrícia Karla de Sousa Araújo",$B:$B,"&lt;&gt;Lorena Dias de Araujo",$B:$B,"&lt;&gt;Lucas Luiz Romero")*(23/1083),IF(C2873="JR",SUMIFS($D:$D,$A:$A,$A2873,$B:$B,"&lt;&gt;Patrícia Karla de Sousa Araújo",$B:$B,"&lt;&gt;Lorena Dias de Araujo",$B:$B,"&lt;&gt;Lucas Luiz Romero")*(20/1083),IF(C2873="Estágio",SUMIFS($D:$D,$A:$A,$A2873,$B:$B,"&lt;&gt;Patrícia Karla de Sousa Araújo",$B:$B,"&lt;&gt;Lorena Dias de Araujo",$B:$B,"&lt;&gt;Lucas Luiz Romero")*(10/1083),0)))))),0)</f>
        <v>6</v>
      </c>
      <c r="K2873" s="3">
        <f>I2873-J2873</f>
        <v>2</v>
      </c>
      <c r="L2873" s="3" t="str">
        <f>IF(K2873&lt;-5,"CRÍTICO",IF(K2873&lt;0,"ATENÇÃO",IF(K2873&lt;=5,"OPORTUNO","MUITO BOM")))</f>
        <v>OPORTUNO</v>
      </c>
      <c r="M2873">
        <v>6</v>
      </c>
      <c r="N2873">
        <v>88.89</v>
      </c>
      <c r="O2873">
        <v>25.263157894736839</v>
      </c>
    </row>
    <row r="2874" spans="1:15" hidden="1" x14ac:dyDescent="0.25">
      <c r="A2874" s="11">
        <v>46091</v>
      </c>
      <c r="B2874" t="s">
        <v>43</v>
      </c>
      <c r="C2874" t="s">
        <v>32</v>
      </c>
      <c r="D2874">
        <v>25</v>
      </c>
      <c r="E2874">
        <v>24</v>
      </c>
      <c r="F2874">
        <v>18.29</v>
      </c>
      <c r="G2874">
        <v>0</v>
      </c>
      <c r="H2874">
        <v>0</v>
      </c>
      <c r="I2874" s="3">
        <f>E2874+G2874+H2874</f>
        <v>24</v>
      </c>
      <c r="J2874" s="3">
        <f>ROUND(MIN(IF(C2874="Técnico III",35,IF(C2874="Técnico II",28,IF(C2874="Técnico I",23,IF(C2874="JR",20,IF(C2874="Estágio",10,0))))),IF(C2874="Técnico III",SUMIFS($D:$D,$A:$A,$A2874,$B:$B,"&lt;&gt;Patrícia Karla de Sousa Araújo",$B:$B,"&lt;&gt;Lorena Dias de Araujo",$B:$B,"&lt;&gt;Lucas Luiz Romero")*(35/1083),IF(C2874="Técnico II",SUMIFS($D:$D,$A:$A,$A2874,$B:$B,"&lt;&gt;Patrícia Karla de Sousa Araújo",$B:$B,"&lt;&gt;Lorena Dias de Araujo",$B:$B,"&lt;&gt;Lucas Luiz Romero")*(28/1083),IF(C2874="Técnico I",SUMIFS($D:$D,$A:$A,$A2874,$B:$B,"&lt;&gt;Patrícia Karla de Sousa Araújo",$B:$B,"&lt;&gt;Lorena Dias de Araujo",$B:$B,"&lt;&gt;Lucas Luiz Romero")*(23/1083),IF(C2874="JR",SUMIFS($D:$D,$A:$A,$A2874,$B:$B,"&lt;&gt;Patrícia Karla de Sousa Araújo",$B:$B,"&lt;&gt;Lorena Dias de Araujo",$B:$B,"&lt;&gt;Lucas Luiz Romero")*(20/1083),IF(C2874="Estágio",SUMIFS($D:$D,$A:$A,$A2874,$B:$B,"&lt;&gt;Patrícia Karla de Sousa Araújo",$B:$B,"&lt;&gt;Lorena Dias de Araujo",$B:$B,"&lt;&gt;Lucas Luiz Romero")*(10/1083),0)))))),0)</f>
        <v>21</v>
      </c>
      <c r="K2874" s="3">
        <f>I2874-J2874</f>
        <v>3</v>
      </c>
      <c r="L2874" s="3" t="str">
        <f>IF(K2874&lt;-5,"CRÍTICO",IF(K2874&lt;0,"ATENÇÃO",IF(K2874&lt;=5,"OPORTUNO","MUITO BOM")))</f>
        <v>OPORTUNO</v>
      </c>
      <c r="M2874">
        <v>22</v>
      </c>
      <c r="N2874">
        <v>98.86</v>
      </c>
      <c r="O2874">
        <v>28.959276018099551</v>
      </c>
    </row>
    <row r="2875" spans="1:15" hidden="1" x14ac:dyDescent="0.25">
      <c r="A2875" s="11">
        <v>46091</v>
      </c>
      <c r="B2875" t="s">
        <v>44</v>
      </c>
      <c r="C2875" t="s">
        <v>32</v>
      </c>
      <c r="D2875">
        <v>30</v>
      </c>
      <c r="E2875">
        <v>30</v>
      </c>
      <c r="F2875">
        <v>17.239999999999998</v>
      </c>
      <c r="G2875">
        <v>0</v>
      </c>
      <c r="H2875">
        <v>0</v>
      </c>
      <c r="I2875" s="3">
        <f>E2875+G2875+H2875</f>
        <v>30</v>
      </c>
      <c r="J2875" s="3">
        <f>ROUND(MIN(IF(C2875="Técnico III",35,IF(C2875="Técnico II",28,IF(C2875="Técnico I",23,IF(C2875="JR",20,IF(C2875="Estágio",10,0))))),IF(C2875="Técnico III",SUMIFS($D:$D,$A:$A,$A2875,$B:$B,"&lt;&gt;Patrícia Karla de Sousa Araújo",$B:$B,"&lt;&gt;Lorena Dias de Araujo",$B:$B,"&lt;&gt;Lucas Luiz Romero")*(35/1083),IF(C2875="Técnico II",SUMIFS($D:$D,$A:$A,$A2875,$B:$B,"&lt;&gt;Patrícia Karla de Sousa Araújo",$B:$B,"&lt;&gt;Lorena Dias de Araujo",$B:$B,"&lt;&gt;Lucas Luiz Romero")*(28/1083),IF(C2875="Técnico I",SUMIFS($D:$D,$A:$A,$A2875,$B:$B,"&lt;&gt;Patrícia Karla de Sousa Araújo",$B:$B,"&lt;&gt;Lorena Dias de Araujo",$B:$B,"&lt;&gt;Lucas Luiz Romero")*(23/1083),IF(C2875="JR",SUMIFS($D:$D,$A:$A,$A2875,$B:$B,"&lt;&gt;Patrícia Karla de Sousa Araújo",$B:$B,"&lt;&gt;Lorena Dias de Araujo",$B:$B,"&lt;&gt;Lucas Luiz Romero")*(20/1083),IF(C2875="Estágio",SUMIFS($D:$D,$A:$A,$A2875,$B:$B,"&lt;&gt;Patrícia Karla de Sousa Araújo",$B:$B,"&lt;&gt;Lorena Dias de Araujo",$B:$B,"&lt;&gt;Lucas Luiz Romero")*(10/1083),0)))))),0)</f>
        <v>21</v>
      </c>
      <c r="K2875" s="3">
        <f>I2875-J2875</f>
        <v>9</v>
      </c>
      <c r="L2875" s="3" t="str">
        <f>IF(K2875&lt;-5,"CRÍTICO",IF(K2875&lt;0,"ATENÇÃO",IF(K2875&lt;=5,"OPORTUNO","MUITO BOM")))</f>
        <v>MUITO BOM</v>
      </c>
      <c r="M2875">
        <v>24</v>
      </c>
      <c r="N2875">
        <v>98.06</v>
      </c>
      <c r="O2875">
        <v>22.40566037735849</v>
      </c>
    </row>
    <row r="2876" spans="1:15" hidden="1" x14ac:dyDescent="0.25">
      <c r="A2876" s="11">
        <v>46091</v>
      </c>
      <c r="B2876" t="s">
        <v>20</v>
      </c>
      <c r="C2876" t="s">
        <v>16</v>
      </c>
      <c r="D2876">
        <v>4</v>
      </c>
      <c r="E2876">
        <v>4</v>
      </c>
      <c r="F2876">
        <v>85.25</v>
      </c>
      <c r="G2876">
        <v>0</v>
      </c>
      <c r="H2876">
        <v>0</v>
      </c>
      <c r="I2876" s="3">
        <f>E2876+G2876+H2876</f>
        <v>4</v>
      </c>
      <c r="J2876" s="3">
        <f>ROUND(MIN(IF(C2876="Técnico III",35,IF(C2876="Técnico II",28,IF(C2876="Técnico I",23,IF(C2876="JR",20,IF(C2876="Estágio",10,0))))),IF(C2876="Técnico III",SUMIFS($D:$D,$A:$A,$A2876,$B:$B,"&lt;&gt;Patrícia Karla de Sousa Araújo",$B:$B,"&lt;&gt;Lorena Dias de Araujo",$B:$B,"&lt;&gt;Lucas Luiz Romero")*(35/1083),IF(C2876="Técnico II",SUMIFS($D:$D,$A:$A,$A2876,$B:$B,"&lt;&gt;Patrícia Karla de Sousa Araújo",$B:$B,"&lt;&gt;Lorena Dias de Araujo",$B:$B,"&lt;&gt;Lucas Luiz Romero")*(28/1083),IF(C2876="Técnico I",SUMIFS($D:$D,$A:$A,$A2876,$B:$B,"&lt;&gt;Patrícia Karla de Sousa Araújo",$B:$B,"&lt;&gt;Lorena Dias de Araujo",$B:$B,"&lt;&gt;Lucas Luiz Romero")*(23/1083),IF(C2876="JR",SUMIFS($D:$D,$A:$A,$A2876,$B:$B,"&lt;&gt;Patrícia Karla de Sousa Araújo",$B:$B,"&lt;&gt;Lorena Dias de Araujo",$B:$B,"&lt;&gt;Lucas Luiz Romero")*(20/1083),IF(C2876="Estágio",SUMIFS($D:$D,$A:$A,$A2876,$B:$B,"&lt;&gt;Patrícia Karla de Sousa Araújo",$B:$B,"&lt;&gt;Lorena Dias de Araujo",$B:$B,"&lt;&gt;Lucas Luiz Romero")*(10/1083),0)))))),0)</f>
        <v>6</v>
      </c>
      <c r="K2876" s="3">
        <f>I2876-J2876</f>
        <v>-2</v>
      </c>
      <c r="L2876" s="3" t="str">
        <f>IF(K2876&lt;-5,"CRÍTICO",IF(K2876&lt;0,"ATENÇÃO",IF(K2876&lt;=5,"OPORTUNO","MUITO BOM")))</f>
        <v>ATENÇÃO</v>
      </c>
      <c r="M2876">
        <v>3</v>
      </c>
      <c r="N2876">
        <v>95.83</v>
      </c>
      <c r="O2876">
        <v>25.773195876288661</v>
      </c>
    </row>
    <row r="2877" spans="1:15" hidden="1" x14ac:dyDescent="0.25">
      <c r="A2877" s="11">
        <v>46091</v>
      </c>
      <c r="B2877" t="s">
        <v>28</v>
      </c>
      <c r="C2877" t="s">
        <v>26</v>
      </c>
      <c r="D2877">
        <v>0</v>
      </c>
      <c r="E2877">
        <v>0</v>
      </c>
      <c r="F2877">
        <v>0</v>
      </c>
      <c r="G2877">
        <v>0</v>
      </c>
      <c r="H2877">
        <v>0</v>
      </c>
      <c r="I2877" s="3">
        <v>0</v>
      </c>
      <c r="J2877" s="3">
        <v>0</v>
      </c>
      <c r="K2877" s="3">
        <v>0</v>
      </c>
      <c r="L2877" s="3" t="str">
        <f>IF(K2877&lt;-5,"CRÍTICO",IF(K2877&lt;0,"ATENÇÃO",IF(K2877&lt;=5,"OPORTUNO","MUITO BOM")))</f>
        <v>OPORTUNO</v>
      </c>
      <c r="M2877">
        <v>0</v>
      </c>
      <c r="N2877">
        <v>100</v>
      </c>
      <c r="O2877">
        <v>15.38461538461539</v>
      </c>
    </row>
    <row r="2878" spans="1:15" hidden="1" x14ac:dyDescent="0.25">
      <c r="A2878" s="11">
        <v>46091</v>
      </c>
      <c r="B2878" t="s">
        <v>58</v>
      </c>
      <c r="C2878" t="s">
        <v>48</v>
      </c>
      <c r="D2878">
        <v>22</v>
      </c>
      <c r="E2878">
        <v>22</v>
      </c>
      <c r="F2878">
        <v>24.05</v>
      </c>
      <c r="G2878">
        <v>0</v>
      </c>
      <c r="H2878">
        <v>0</v>
      </c>
      <c r="I2878" s="3">
        <f>E2878+G2878+H2878</f>
        <v>22</v>
      </c>
      <c r="J2878" s="3">
        <f>ROUND(MIN(IF(C2878="Técnico III",35,IF(C2878="Técnico II",28,IF(C2878="Técnico I",23,IF(C2878="JR",20,IF(C2878="Estágio",10,0))))),IF(C2878="Técnico III",SUMIFS($D:$D,$A:$A,$A2878,$B:$B,"&lt;&gt;Patrícia Karla de Sousa Araújo",$B:$B,"&lt;&gt;Lorena Dias de Araujo",$B:$B,"&lt;&gt;Lucas Luiz Romero")*(35/1083),IF(C2878="Técnico II",SUMIFS($D:$D,$A:$A,$A2878,$B:$B,"&lt;&gt;Patrícia Karla de Sousa Araújo",$B:$B,"&lt;&gt;Lorena Dias de Araujo",$B:$B,"&lt;&gt;Lucas Luiz Romero")*(28/1083),IF(C2878="Técnico I",SUMIFS($D:$D,$A:$A,$A2878,$B:$B,"&lt;&gt;Patrícia Karla de Sousa Araújo",$B:$B,"&lt;&gt;Lorena Dias de Araujo",$B:$B,"&lt;&gt;Lucas Luiz Romero")*(23/1083),IF(C2878="JR",SUMIFS($D:$D,$A:$A,$A2878,$B:$B,"&lt;&gt;Patrícia Karla de Sousa Araújo",$B:$B,"&lt;&gt;Lorena Dias de Araujo",$B:$B,"&lt;&gt;Lucas Luiz Romero")*(20/1083),IF(C2878="Estágio",SUMIFS($D:$D,$A:$A,$A2878,$B:$B,"&lt;&gt;Patrícia Karla de Sousa Araújo",$B:$B,"&lt;&gt;Lorena Dias de Araujo",$B:$B,"&lt;&gt;Lucas Luiz Romero")*(10/1083),0)))))),0)</f>
        <v>17</v>
      </c>
      <c r="K2878" s="3">
        <f>I2878-J2878</f>
        <v>5</v>
      </c>
      <c r="L2878" s="3" t="str">
        <f>IF(K2878&lt;-5,"CRÍTICO",IF(K2878&lt;0,"ATENÇÃO",IF(K2878&lt;=5,"OPORTUNO","MUITO BOM")))</f>
        <v>OPORTUNO</v>
      </c>
      <c r="M2878">
        <v>16</v>
      </c>
      <c r="N2878">
        <v>100</v>
      </c>
      <c r="O2878">
        <v>27.514792899408281</v>
      </c>
    </row>
    <row r="2879" spans="1:15" hidden="1" x14ac:dyDescent="0.25">
      <c r="A2879" s="11">
        <v>46091</v>
      </c>
      <c r="B2879" t="s">
        <v>29</v>
      </c>
      <c r="C2879" t="s">
        <v>26</v>
      </c>
      <c r="D2879">
        <v>7</v>
      </c>
      <c r="E2879">
        <v>6</v>
      </c>
      <c r="F2879">
        <v>48.48</v>
      </c>
      <c r="G2879">
        <v>0</v>
      </c>
      <c r="H2879">
        <v>0</v>
      </c>
      <c r="I2879" s="3">
        <f>E2879+G2879+H2879</f>
        <v>6</v>
      </c>
      <c r="J2879" s="3">
        <f>ROUND(MIN(IF(C2879="Técnico III",35,IF(C2879="Técnico II",28,IF(C2879="Técnico I",23,IF(C2879="JR",20,IF(C2879="Estágio",10,0))))),IF(C2879="Técnico III",SUMIFS($D:$D,$A:$A,$A2879,$B:$B,"&lt;&gt;Patrícia Karla de Sousa Araújo",$B:$B,"&lt;&gt;Lorena Dias de Araujo",$B:$B,"&lt;&gt;Lucas Luiz Romero")*(35/1083),IF(C2879="Técnico II",SUMIFS($D:$D,$A:$A,$A2879,$B:$B,"&lt;&gt;Patrícia Karla de Sousa Araújo",$B:$B,"&lt;&gt;Lorena Dias de Araujo",$B:$B,"&lt;&gt;Lucas Luiz Romero")*(28/1083),IF(C2879="Técnico I",SUMIFS($D:$D,$A:$A,$A2879,$B:$B,"&lt;&gt;Patrícia Karla de Sousa Araújo",$B:$B,"&lt;&gt;Lorena Dias de Araujo",$B:$B,"&lt;&gt;Lucas Luiz Romero")*(23/1083),IF(C2879="JR",SUMIFS($D:$D,$A:$A,$A2879,$B:$B,"&lt;&gt;Patrícia Karla de Sousa Araújo",$B:$B,"&lt;&gt;Lorena Dias de Araujo",$B:$B,"&lt;&gt;Lucas Luiz Romero")*(20/1083),IF(C2879="Estágio",SUMIFS($D:$D,$A:$A,$A2879,$B:$B,"&lt;&gt;Patrícia Karla de Sousa Araújo",$B:$B,"&lt;&gt;Lorena Dias de Araujo",$B:$B,"&lt;&gt;Lucas Luiz Romero")*(10/1083),0)))))),0)</f>
        <v>12</v>
      </c>
      <c r="K2879" s="3">
        <f>I2879-J2879</f>
        <v>-6</v>
      </c>
      <c r="L2879" s="3" t="str">
        <f>IF(K2879&lt;-5,"CRÍTICO",IF(K2879&lt;0,"ATENÇÃO",IF(K2879&lt;=5,"OPORTUNO","MUITO BOM")))</f>
        <v>CRÍTICO</v>
      </c>
      <c r="M2879">
        <v>6</v>
      </c>
      <c r="N2879">
        <v>100</v>
      </c>
      <c r="O2879">
        <v>24.875621890547269</v>
      </c>
    </row>
    <row r="2880" spans="1:15" hidden="1" x14ac:dyDescent="0.25">
      <c r="A2880" s="11">
        <v>46091</v>
      </c>
      <c r="B2880" t="s">
        <v>30</v>
      </c>
      <c r="C2880" t="s">
        <v>26</v>
      </c>
      <c r="D2880">
        <v>8</v>
      </c>
      <c r="E2880">
        <v>8</v>
      </c>
      <c r="F2880">
        <v>55.01</v>
      </c>
      <c r="G2880">
        <v>0</v>
      </c>
      <c r="H2880">
        <v>0</v>
      </c>
      <c r="I2880" s="3">
        <f>E2880+G2880+H2880</f>
        <v>8</v>
      </c>
      <c r="J2880" s="3">
        <f>ROUND(MIN(IF(C2880="Técnico III",35,IF(C2880="Técnico II",28,IF(C2880="Técnico I",23,IF(C2880="JR",20,IF(C2880="Estágio",10,0))))),IF(C2880="Técnico III",SUMIFS($D:$D,$A:$A,$A2880,$B:$B,"&lt;&gt;Patrícia Karla de Sousa Araújo",$B:$B,"&lt;&gt;Lorena Dias de Araujo",$B:$B,"&lt;&gt;Lucas Luiz Romero")*(35/1083),IF(C2880="Técnico II",SUMIFS($D:$D,$A:$A,$A2880,$B:$B,"&lt;&gt;Patrícia Karla de Sousa Araújo",$B:$B,"&lt;&gt;Lorena Dias de Araujo",$B:$B,"&lt;&gt;Lucas Luiz Romero")*(28/1083),IF(C2880="Técnico I",SUMIFS($D:$D,$A:$A,$A2880,$B:$B,"&lt;&gt;Patrícia Karla de Sousa Araújo",$B:$B,"&lt;&gt;Lorena Dias de Araujo",$B:$B,"&lt;&gt;Lucas Luiz Romero")*(23/1083),IF(C2880="JR",SUMIFS($D:$D,$A:$A,$A2880,$B:$B,"&lt;&gt;Patrícia Karla de Sousa Araújo",$B:$B,"&lt;&gt;Lorena Dias de Araujo",$B:$B,"&lt;&gt;Lucas Luiz Romero")*(20/1083),IF(C2880="Estágio",SUMIFS($D:$D,$A:$A,$A2880,$B:$B,"&lt;&gt;Patrícia Karla de Sousa Araújo",$B:$B,"&lt;&gt;Lorena Dias de Araujo",$B:$B,"&lt;&gt;Lucas Luiz Romero")*(10/1083),0)))))),0)</f>
        <v>12</v>
      </c>
      <c r="K2880" s="3">
        <f>I2880-J2880</f>
        <v>-4</v>
      </c>
      <c r="L2880" s="3" t="str">
        <f>IF(K2880&lt;-5,"CRÍTICO",IF(K2880&lt;0,"ATENÇÃO",IF(K2880&lt;=5,"OPORTUNO","MUITO BOM")))</f>
        <v>ATENÇÃO</v>
      </c>
      <c r="M2880">
        <v>8</v>
      </c>
      <c r="N2880">
        <v>100</v>
      </c>
      <c r="O2880">
        <v>28.108108108108109</v>
      </c>
    </row>
    <row r="2881" spans="1:15" hidden="1" x14ac:dyDescent="0.25">
      <c r="A2881" s="11">
        <v>46091</v>
      </c>
      <c r="B2881" t="s">
        <v>21</v>
      </c>
      <c r="C2881" t="s">
        <v>16</v>
      </c>
      <c r="D2881">
        <v>0</v>
      </c>
      <c r="E2881">
        <v>0</v>
      </c>
      <c r="F2881">
        <v>0</v>
      </c>
      <c r="G2881">
        <v>0</v>
      </c>
      <c r="H2881">
        <v>0</v>
      </c>
      <c r="I2881" s="3">
        <v>0</v>
      </c>
      <c r="J2881" s="3">
        <v>0</v>
      </c>
      <c r="K2881" s="3">
        <v>0</v>
      </c>
      <c r="L2881" s="3" t="str">
        <f>IF(K2881&lt;-5,"CRÍTICO",IF(K2881&lt;0,"ATENÇÃO",IF(K2881&lt;=5,"OPORTUNO","MUITO BOM")))</f>
        <v>OPORTUNO</v>
      </c>
      <c r="M2881">
        <v>0</v>
      </c>
      <c r="N2881">
        <v>100</v>
      </c>
      <c r="O2881">
        <v>35</v>
      </c>
    </row>
    <row r="2882" spans="1:15" hidden="1" x14ac:dyDescent="0.25">
      <c r="A2882" s="11">
        <v>46091</v>
      </c>
      <c r="B2882" t="s">
        <v>63</v>
      </c>
      <c r="C2882" t="s">
        <v>23</v>
      </c>
      <c r="D2882">
        <v>0</v>
      </c>
      <c r="E2882">
        <v>0</v>
      </c>
      <c r="F2882">
        <v>0</v>
      </c>
      <c r="G2882">
        <v>0</v>
      </c>
      <c r="H2882">
        <v>0</v>
      </c>
      <c r="I2882" s="3">
        <v>0</v>
      </c>
      <c r="J2882" s="3">
        <v>0</v>
      </c>
      <c r="K2882" s="3">
        <v>0</v>
      </c>
      <c r="L2882" s="3" t="str">
        <f>IF(K2882&lt;-5,"CRÍTICO",IF(K2882&lt;0,"ATENÇÃO",IF(K2882&lt;=5,"OPORTUNO","MUITO BOM")))</f>
        <v>OPORTUNO</v>
      </c>
      <c r="M2882">
        <v>0</v>
      </c>
      <c r="N2882">
        <v>95.35</v>
      </c>
      <c r="O2882">
        <v>28.61538461538461</v>
      </c>
    </row>
    <row r="2883" spans="1:15" hidden="1" x14ac:dyDescent="0.25">
      <c r="A2883" s="11">
        <v>46091</v>
      </c>
      <c r="B2883" t="s">
        <v>45</v>
      </c>
      <c r="C2883" t="s">
        <v>32</v>
      </c>
      <c r="D2883">
        <v>40</v>
      </c>
      <c r="E2883">
        <v>39</v>
      </c>
      <c r="F2883">
        <v>15.33</v>
      </c>
      <c r="G2883">
        <v>0</v>
      </c>
      <c r="H2883">
        <v>0</v>
      </c>
      <c r="I2883" s="3">
        <f>E2883+G2883+H2883</f>
        <v>39</v>
      </c>
      <c r="J2883" s="3">
        <f>ROUND(MIN(IF(C2883="Técnico III",35,IF(C2883="Técnico II",28,IF(C2883="Técnico I",23,IF(C2883="JR",20,IF(C2883="Estágio",10,0))))),IF(C2883="Técnico III",SUMIFS($D:$D,$A:$A,$A2883,$B:$B,"&lt;&gt;Patrícia Karla de Sousa Araújo",$B:$B,"&lt;&gt;Lorena Dias de Araujo",$B:$B,"&lt;&gt;Lucas Luiz Romero")*(35/1083),IF(C2883="Técnico II",SUMIFS($D:$D,$A:$A,$A2883,$B:$B,"&lt;&gt;Patrícia Karla de Sousa Araújo",$B:$B,"&lt;&gt;Lorena Dias de Araujo",$B:$B,"&lt;&gt;Lucas Luiz Romero")*(28/1083),IF(C2883="Técnico I",SUMIFS($D:$D,$A:$A,$A2883,$B:$B,"&lt;&gt;Patrícia Karla de Sousa Araújo",$B:$B,"&lt;&gt;Lorena Dias de Araujo",$B:$B,"&lt;&gt;Lucas Luiz Romero")*(23/1083),IF(C2883="JR",SUMIFS($D:$D,$A:$A,$A2883,$B:$B,"&lt;&gt;Patrícia Karla de Sousa Araújo",$B:$B,"&lt;&gt;Lorena Dias de Araujo",$B:$B,"&lt;&gt;Lucas Luiz Romero")*(20/1083),IF(C2883="Estágio",SUMIFS($D:$D,$A:$A,$A2883,$B:$B,"&lt;&gt;Patrícia Karla de Sousa Araújo",$B:$B,"&lt;&gt;Lorena Dias de Araujo",$B:$B,"&lt;&gt;Lucas Luiz Romero")*(10/1083),0)))))),0)</f>
        <v>21</v>
      </c>
      <c r="K2883" s="3">
        <f>I2883-J2883</f>
        <v>18</v>
      </c>
      <c r="L2883" s="3" t="str">
        <f>IF(K2883&lt;-5,"CRÍTICO",IF(K2883&lt;0,"ATENÇÃO",IF(K2883&lt;=5,"OPORTUNO","MUITO BOM")))</f>
        <v>MUITO BOM</v>
      </c>
      <c r="M2883">
        <v>38</v>
      </c>
      <c r="N2883">
        <v>98.26</v>
      </c>
      <c r="O2883">
        <v>27.54491017964072</v>
      </c>
    </row>
    <row r="2884" spans="1:15" hidden="1" x14ac:dyDescent="0.25">
      <c r="A2884" s="11">
        <v>46091</v>
      </c>
      <c r="B2884" t="s">
        <v>64</v>
      </c>
      <c r="C2884" t="s">
        <v>23</v>
      </c>
      <c r="D2884">
        <v>15</v>
      </c>
      <c r="E2884">
        <v>14</v>
      </c>
      <c r="F2884">
        <v>40.229999999999997</v>
      </c>
      <c r="G2884">
        <v>0</v>
      </c>
      <c r="H2884">
        <v>0</v>
      </c>
      <c r="I2884" s="3">
        <f>E2884+G2884+H2884</f>
        <v>14</v>
      </c>
      <c r="J2884" s="3">
        <f>ROUND(MIN(IF(C2884="Técnico III",35,IF(C2884="Técnico II",28,IF(C2884="Técnico I",23,IF(C2884="JR",20,IF(C2884="Estágio",10,0))))),IF(C2884="Técnico III",SUMIFS($D:$D,$A:$A,$A2884,$B:$B,"&lt;&gt;Patrícia Karla de Sousa Araújo",$B:$B,"&lt;&gt;Lorena Dias de Araujo",$B:$B,"&lt;&gt;Lucas Luiz Romero")*(35/1083),IF(C2884="Técnico II",SUMIFS($D:$D,$A:$A,$A2884,$B:$B,"&lt;&gt;Patrícia Karla de Sousa Araújo",$B:$B,"&lt;&gt;Lorena Dias de Araujo",$B:$B,"&lt;&gt;Lucas Luiz Romero")*(28/1083),IF(C2884="Técnico I",SUMIFS($D:$D,$A:$A,$A2884,$B:$B,"&lt;&gt;Patrícia Karla de Sousa Araújo",$B:$B,"&lt;&gt;Lorena Dias de Araujo",$B:$B,"&lt;&gt;Lucas Luiz Romero")*(23/1083),IF(C2884="JR",SUMIFS($D:$D,$A:$A,$A2884,$B:$B,"&lt;&gt;Patrícia Karla de Sousa Araújo",$B:$B,"&lt;&gt;Lorena Dias de Araujo",$B:$B,"&lt;&gt;Lucas Luiz Romero")*(20/1083),IF(C2884="Estágio",SUMIFS($D:$D,$A:$A,$A2884,$B:$B,"&lt;&gt;Patrícia Karla de Sousa Araújo",$B:$B,"&lt;&gt;Lorena Dias de Araujo",$B:$B,"&lt;&gt;Lucas Luiz Romero")*(10/1083),0)))))),0)</f>
        <v>14</v>
      </c>
      <c r="K2884" s="3">
        <f>I2884-J2884</f>
        <v>0</v>
      </c>
      <c r="L2884" s="3" t="str">
        <f>IF(K2884&lt;-5,"CRÍTICO",IF(K2884&lt;0,"ATENÇÃO",IF(K2884&lt;=5,"OPORTUNO","MUITO BOM")))</f>
        <v>OPORTUNO</v>
      </c>
      <c r="M2884">
        <v>14</v>
      </c>
      <c r="N2884">
        <v>98.55</v>
      </c>
      <c r="O2884">
        <v>25.337837837837839</v>
      </c>
    </row>
    <row r="2885" spans="1:15" hidden="1" x14ac:dyDescent="0.25">
      <c r="A2885" s="11">
        <v>46091</v>
      </c>
      <c r="B2885" t="s">
        <v>46</v>
      </c>
      <c r="C2885" t="s">
        <v>32</v>
      </c>
      <c r="D2885">
        <v>24</v>
      </c>
      <c r="E2885">
        <v>22</v>
      </c>
      <c r="F2885">
        <v>20.399999999999999</v>
      </c>
      <c r="G2885">
        <v>0</v>
      </c>
      <c r="H2885">
        <v>0</v>
      </c>
      <c r="I2885" s="3">
        <f>E2885+G2885+H2885</f>
        <v>22</v>
      </c>
      <c r="J2885" s="3">
        <f>ROUND(MIN(IF(C2885="Técnico III",35,IF(C2885="Técnico II",28,IF(C2885="Técnico I",23,IF(C2885="JR",20,IF(C2885="Estágio",10,0))))),IF(C2885="Técnico III",SUMIFS($D:$D,$A:$A,$A2885,$B:$B,"&lt;&gt;Patrícia Karla de Sousa Araújo",$B:$B,"&lt;&gt;Lorena Dias de Araujo",$B:$B,"&lt;&gt;Lucas Luiz Romero")*(35/1083),IF(C2885="Técnico II",SUMIFS($D:$D,$A:$A,$A2885,$B:$B,"&lt;&gt;Patrícia Karla de Sousa Araújo",$B:$B,"&lt;&gt;Lorena Dias de Araujo",$B:$B,"&lt;&gt;Lucas Luiz Romero")*(28/1083),IF(C2885="Técnico I",SUMIFS($D:$D,$A:$A,$A2885,$B:$B,"&lt;&gt;Patrícia Karla de Sousa Araújo",$B:$B,"&lt;&gt;Lorena Dias de Araujo",$B:$B,"&lt;&gt;Lucas Luiz Romero")*(23/1083),IF(C2885="JR",SUMIFS($D:$D,$A:$A,$A2885,$B:$B,"&lt;&gt;Patrícia Karla de Sousa Araújo",$B:$B,"&lt;&gt;Lorena Dias de Araujo",$B:$B,"&lt;&gt;Lucas Luiz Romero")*(20/1083),IF(C2885="Estágio",SUMIFS($D:$D,$A:$A,$A2885,$B:$B,"&lt;&gt;Patrícia Karla de Sousa Araújo",$B:$B,"&lt;&gt;Lorena Dias de Araujo",$B:$B,"&lt;&gt;Lucas Luiz Romero")*(10/1083),0)))))),0)</f>
        <v>21</v>
      </c>
      <c r="K2885" s="3">
        <f>I2885-J2885</f>
        <v>1</v>
      </c>
      <c r="L2885" s="3" t="str">
        <f>IF(K2885&lt;-5,"CRÍTICO",IF(K2885&lt;0,"ATENÇÃO",IF(K2885&lt;=5,"OPORTUNO","MUITO BOM")))</f>
        <v>OPORTUNO</v>
      </c>
      <c r="M2885">
        <v>18</v>
      </c>
      <c r="N2885">
        <v>98.39</v>
      </c>
      <c r="O2885">
        <v>25.563909774436091</v>
      </c>
    </row>
    <row r="2886" spans="1:15" hidden="1" x14ac:dyDescent="0.25">
      <c r="A2886" s="11">
        <v>46092</v>
      </c>
      <c r="B2886" t="s">
        <v>47</v>
      </c>
      <c r="C2886" t="s">
        <v>48</v>
      </c>
      <c r="D2886">
        <v>43</v>
      </c>
      <c r="E2886">
        <v>33</v>
      </c>
      <c r="F2886">
        <v>13.21</v>
      </c>
      <c r="G2886">
        <v>0</v>
      </c>
      <c r="H2886">
        <v>0</v>
      </c>
      <c r="I2886" s="3">
        <f>E2886+G2886+H2886</f>
        <v>33</v>
      </c>
      <c r="J2886" s="3">
        <f>ROUND(MIN(IF(C2886="Técnico III",35,IF(C2886="Técnico II",28,IF(C2886="Técnico I",23,IF(C2886="JR",20,IF(C2886="Estágio",10,0))))),IF(C2886="Técnico III",SUMIFS($D:$D,$A:$A,$A2886,$B:$B,"&lt;&gt;Patrícia Karla de Sousa Araújo",$B:$B,"&lt;&gt;Lorena Dias de Araujo",$B:$B,"&lt;&gt;Lucas Luiz Romero")*(35/1083),IF(C2886="Técnico II",SUMIFS($D:$D,$A:$A,$A2886,$B:$B,"&lt;&gt;Patrícia Karla de Sousa Araújo",$B:$B,"&lt;&gt;Lorena Dias de Araujo",$B:$B,"&lt;&gt;Lucas Luiz Romero")*(28/1083),IF(C2886="Técnico I",SUMIFS($D:$D,$A:$A,$A2886,$B:$B,"&lt;&gt;Patrícia Karla de Sousa Araújo",$B:$B,"&lt;&gt;Lorena Dias de Araujo",$B:$B,"&lt;&gt;Lucas Luiz Romero")*(23/1083),IF(C2886="JR",SUMIFS($D:$D,$A:$A,$A2886,$B:$B,"&lt;&gt;Patrícia Karla de Sousa Araújo",$B:$B,"&lt;&gt;Lorena Dias de Araujo",$B:$B,"&lt;&gt;Lucas Luiz Romero")*(20/1083),IF(C2886="Estágio",SUMIFS($D:$D,$A:$A,$A2886,$B:$B,"&lt;&gt;Patrícia Karla de Sousa Araújo",$B:$B,"&lt;&gt;Lorena Dias de Araujo",$B:$B,"&lt;&gt;Lucas Luiz Romero")*(10/1083),0)))))),0)</f>
        <v>20</v>
      </c>
      <c r="K2886" s="3">
        <f>I2886-J2886</f>
        <v>13</v>
      </c>
      <c r="L2886" s="3" t="str">
        <f>IF(K2886&lt;-5,"CRÍTICO",IF(K2886&lt;0,"ATENÇÃO",IF(K2886&lt;=5,"OPORTUNO","MUITO BOM")))</f>
        <v>MUITO BOM</v>
      </c>
      <c r="M2886">
        <v>24</v>
      </c>
      <c r="N2886">
        <v>94.29</v>
      </c>
      <c r="O2886">
        <v>25.647668393782389</v>
      </c>
    </row>
    <row r="2887" spans="1:15" hidden="1" x14ac:dyDescent="0.25">
      <c r="A2887" s="11">
        <v>46092</v>
      </c>
      <c r="B2887" t="s">
        <v>31</v>
      </c>
      <c r="C2887" t="s">
        <v>32</v>
      </c>
      <c r="D2887">
        <v>0</v>
      </c>
      <c r="E2887">
        <v>0</v>
      </c>
      <c r="F2887">
        <v>0</v>
      </c>
      <c r="G2887">
        <v>0</v>
      </c>
      <c r="H2887">
        <v>0</v>
      </c>
      <c r="I2887" s="3">
        <v>0</v>
      </c>
      <c r="J2887" s="3">
        <v>0</v>
      </c>
      <c r="K2887" s="3">
        <v>0</v>
      </c>
      <c r="L2887" s="3" t="str">
        <f>IF(K2887&lt;-5,"CRÍTICO",IF(K2887&lt;0,"ATENÇÃO",IF(K2887&lt;=5,"OPORTUNO","MUITO BOM")))</f>
        <v>OPORTUNO</v>
      </c>
      <c r="M2887">
        <v>18</v>
      </c>
      <c r="N2887">
        <v>98.26</v>
      </c>
      <c r="O2887">
        <v>26.666666666666671</v>
      </c>
    </row>
    <row r="2888" spans="1:15" hidden="1" x14ac:dyDescent="0.25">
      <c r="A2888" s="11">
        <v>46092</v>
      </c>
      <c r="B2888" t="s">
        <v>59</v>
      </c>
      <c r="C2888" t="s">
        <v>23</v>
      </c>
      <c r="D2888">
        <v>19</v>
      </c>
      <c r="E2888">
        <v>17</v>
      </c>
      <c r="F2888">
        <v>29.08</v>
      </c>
      <c r="G2888">
        <v>0</v>
      </c>
      <c r="H2888">
        <v>0</v>
      </c>
      <c r="I2888" s="3">
        <f>E2888+G2888+H2888</f>
        <v>17</v>
      </c>
      <c r="J2888" s="3">
        <f>ROUND(MIN(IF(C2888="Técnico III",35,IF(C2888="Técnico II",28,IF(C2888="Técnico I",23,IF(C2888="JR",20,IF(C2888="Estágio",10,0))))),IF(C2888="Técnico III",SUMIFS($D:$D,$A:$A,$A2888,$B:$B,"&lt;&gt;Patrícia Karla de Sousa Araújo",$B:$B,"&lt;&gt;Lorena Dias de Araujo",$B:$B,"&lt;&gt;Lucas Luiz Romero")*(35/1083),IF(C2888="Técnico II",SUMIFS($D:$D,$A:$A,$A2888,$B:$B,"&lt;&gt;Patrícia Karla de Sousa Araújo",$B:$B,"&lt;&gt;Lorena Dias de Araujo",$B:$B,"&lt;&gt;Lucas Luiz Romero")*(28/1083),IF(C2888="Técnico I",SUMIFS($D:$D,$A:$A,$A2888,$B:$B,"&lt;&gt;Patrícia Karla de Sousa Araújo",$B:$B,"&lt;&gt;Lorena Dias de Araujo",$B:$B,"&lt;&gt;Lucas Luiz Romero")*(23/1083),IF(C2888="JR",SUMIFS($D:$D,$A:$A,$A2888,$B:$B,"&lt;&gt;Patrícia Karla de Sousa Araújo",$B:$B,"&lt;&gt;Lorena Dias de Araujo",$B:$B,"&lt;&gt;Lucas Luiz Romero")*(20/1083),IF(C2888="Estágio",SUMIFS($D:$D,$A:$A,$A2888,$B:$B,"&lt;&gt;Patrícia Karla de Sousa Araújo",$B:$B,"&lt;&gt;Lorena Dias de Araujo",$B:$B,"&lt;&gt;Lucas Luiz Romero")*(10/1083),0)))))),0)</f>
        <v>16</v>
      </c>
      <c r="K2888" s="3">
        <f>I2888-J2888</f>
        <v>1</v>
      </c>
      <c r="L2888" s="3" t="str">
        <f>IF(K2888&lt;-5,"CRÍTICO",IF(K2888&lt;0,"ATENÇÃO",IF(K2888&lt;=5,"OPORTUNO","MUITO BOM")))</f>
        <v>OPORTUNO</v>
      </c>
      <c r="M2888">
        <v>16</v>
      </c>
      <c r="N2888">
        <v>98.2</v>
      </c>
      <c r="O2888">
        <v>23.37962962962963</v>
      </c>
    </row>
    <row r="2889" spans="1:15" hidden="1" x14ac:dyDescent="0.25">
      <c r="A2889" s="11">
        <v>46092</v>
      </c>
      <c r="B2889" t="s">
        <v>33</v>
      </c>
      <c r="C2889" t="s">
        <v>32</v>
      </c>
      <c r="D2889">
        <v>36</v>
      </c>
      <c r="E2889">
        <v>29</v>
      </c>
      <c r="F2889">
        <v>12.22</v>
      </c>
      <c r="G2889">
        <v>0</v>
      </c>
      <c r="H2889">
        <v>0</v>
      </c>
      <c r="I2889" s="3">
        <f>E2889+G2889+H2889</f>
        <v>29</v>
      </c>
      <c r="J2889" s="3">
        <f>ROUND(MIN(IF(C2889="Técnico III",35,IF(C2889="Técnico II",28,IF(C2889="Técnico I",23,IF(C2889="JR",20,IF(C2889="Estágio",10,0))))),IF(C2889="Técnico III",SUMIFS($D:$D,$A:$A,$A2889,$B:$B,"&lt;&gt;Patrícia Karla de Sousa Araújo",$B:$B,"&lt;&gt;Lorena Dias de Araujo",$B:$B,"&lt;&gt;Lucas Luiz Romero")*(35/1083),IF(C2889="Técnico II",SUMIFS($D:$D,$A:$A,$A2889,$B:$B,"&lt;&gt;Patrícia Karla de Sousa Araújo",$B:$B,"&lt;&gt;Lorena Dias de Araujo",$B:$B,"&lt;&gt;Lucas Luiz Romero")*(28/1083),IF(C2889="Técnico I",SUMIFS($D:$D,$A:$A,$A2889,$B:$B,"&lt;&gt;Patrícia Karla de Sousa Araújo",$B:$B,"&lt;&gt;Lorena Dias de Araujo",$B:$B,"&lt;&gt;Lucas Luiz Romero")*(23/1083),IF(C2889="JR",SUMIFS($D:$D,$A:$A,$A2889,$B:$B,"&lt;&gt;Patrícia Karla de Sousa Araújo",$B:$B,"&lt;&gt;Lorena Dias de Araujo",$B:$B,"&lt;&gt;Lucas Luiz Romero")*(20/1083),IF(C2889="Estágio",SUMIFS($D:$D,$A:$A,$A2889,$B:$B,"&lt;&gt;Patrícia Karla de Sousa Araújo",$B:$B,"&lt;&gt;Lorena Dias de Araujo",$B:$B,"&lt;&gt;Lucas Luiz Romero")*(10/1083),0)))))),0)</f>
        <v>25</v>
      </c>
      <c r="K2889" s="3">
        <f>I2889-J2889</f>
        <v>4</v>
      </c>
      <c r="L2889" s="3" t="str">
        <f>IF(K2889&lt;-5,"CRÍTICO",IF(K2889&lt;0,"ATENÇÃO",IF(K2889&lt;=5,"OPORTUNO","MUITO BOM")))</f>
        <v>OPORTUNO</v>
      </c>
      <c r="M2889">
        <v>24</v>
      </c>
      <c r="N2889">
        <v>97.3</v>
      </c>
      <c r="O2889">
        <v>23.84769539078156</v>
      </c>
    </row>
    <row r="2890" spans="1:15" hidden="1" x14ac:dyDescent="0.25">
      <c r="A2890" s="11">
        <v>46092</v>
      </c>
      <c r="B2890" t="s">
        <v>15</v>
      </c>
      <c r="C2890" t="s">
        <v>16</v>
      </c>
      <c r="D2890">
        <v>11</v>
      </c>
      <c r="E2890">
        <v>8</v>
      </c>
      <c r="F2890">
        <v>25.38</v>
      </c>
      <c r="G2890">
        <v>0</v>
      </c>
      <c r="H2890">
        <v>0</v>
      </c>
      <c r="I2890" s="3">
        <f>E2890+G2890+H2890</f>
        <v>8</v>
      </c>
      <c r="J2890" s="3">
        <f>ROUND(MIN(IF(C2890="Técnico III",35,IF(C2890="Técnico II",28,IF(C2890="Técnico I",23,IF(C2890="JR",20,IF(C2890="Estágio",10,0))))),IF(C2890="Técnico III",SUMIFS($D:$D,$A:$A,$A2890,$B:$B,"&lt;&gt;Patrícia Karla de Sousa Araújo",$B:$B,"&lt;&gt;Lorena Dias de Araujo",$B:$B,"&lt;&gt;Lucas Luiz Romero")*(35/1083),IF(C2890="Técnico II",SUMIFS($D:$D,$A:$A,$A2890,$B:$B,"&lt;&gt;Patrícia Karla de Sousa Araújo",$B:$B,"&lt;&gt;Lorena Dias de Araujo",$B:$B,"&lt;&gt;Lucas Luiz Romero")*(28/1083),IF(C2890="Técnico I",SUMIFS($D:$D,$A:$A,$A2890,$B:$B,"&lt;&gt;Patrícia Karla de Sousa Araújo",$B:$B,"&lt;&gt;Lorena Dias de Araujo",$B:$B,"&lt;&gt;Lucas Luiz Romero")*(23/1083),IF(C2890="JR",SUMIFS($D:$D,$A:$A,$A2890,$B:$B,"&lt;&gt;Patrícia Karla de Sousa Araújo",$B:$B,"&lt;&gt;Lorena Dias de Araujo",$B:$B,"&lt;&gt;Lucas Luiz Romero")*(20/1083),IF(C2890="Estágio",SUMIFS($D:$D,$A:$A,$A2890,$B:$B,"&lt;&gt;Patrícia Karla de Sousa Araújo",$B:$B,"&lt;&gt;Lorena Dias de Araujo",$B:$B,"&lt;&gt;Lucas Luiz Romero")*(10/1083),0)))))),0)</f>
        <v>7</v>
      </c>
      <c r="K2890" s="3">
        <f>I2890-J2890</f>
        <v>1</v>
      </c>
      <c r="L2890" s="3" t="str">
        <f>IF(K2890&lt;-5,"CRÍTICO",IF(K2890&lt;0,"ATENÇÃO",IF(K2890&lt;=5,"OPORTUNO","MUITO BOM")))</f>
        <v>OPORTUNO</v>
      </c>
      <c r="M2890">
        <v>7</v>
      </c>
      <c r="N2890">
        <v>100</v>
      </c>
      <c r="O2890">
        <v>25.268817204301079</v>
      </c>
    </row>
    <row r="2891" spans="1:15" hidden="1" x14ac:dyDescent="0.25">
      <c r="A2891" s="11">
        <v>46092</v>
      </c>
      <c r="B2891" t="s">
        <v>49</v>
      </c>
      <c r="C2891" t="s">
        <v>48</v>
      </c>
      <c r="D2891">
        <v>38</v>
      </c>
      <c r="E2891">
        <v>33</v>
      </c>
      <c r="F2891">
        <v>15.41</v>
      </c>
      <c r="G2891">
        <v>0</v>
      </c>
      <c r="H2891">
        <v>0</v>
      </c>
      <c r="I2891" s="3">
        <f>E2891+G2891+H2891</f>
        <v>33</v>
      </c>
      <c r="J2891" s="3">
        <f>ROUND(MIN(IF(C2891="Técnico III",35,IF(C2891="Técnico II",28,IF(C2891="Técnico I",23,IF(C2891="JR",20,IF(C2891="Estágio",10,0))))),IF(C2891="Técnico III",SUMIFS($D:$D,$A:$A,$A2891,$B:$B,"&lt;&gt;Patrícia Karla de Sousa Araújo",$B:$B,"&lt;&gt;Lorena Dias de Araujo",$B:$B,"&lt;&gt;Lucas Luiz Romero")*(35/1083),IF(C2891="Técnico II",SUMIFS($D:$D,$A:$A,$A2891,$B:$B,"&lt;&gt;Patrícia Karla de Sousa Araújo",$B:$B,"&lt;&gt;Lorena Dias de Araujo",$B:$B,"&lt;&gt;Lucas Luiz Romero")*(28/1083),IF(C2891="Técnico I",SUMIFS($D:$D,$A:$A,$A2891,$B:$B,"&lt;&gt;Patrícia Karla de Sousa Araújo",$B:$B,"&lt;&gt;Lorena Dias de Araujo",$B:$B,"&lt;&gt;Lucas Luiz Romero")*(23/1083),IF(C2891="JR",SUMIFS($D:$D,$A:$A,$A2891,$B:$B,"&lt;&gt;Patrícia Karla de Sousa Araújo",$B:$B,"&lt;&gt;Lorena Dias de Araujo",$B:$B,"&lt;&gt;Lucas Luiz Romero")*(20/1083),IF(C2891="Estágio",SUMIFS($D:$D,$A:$A,$A2891,$B:$B,"&lt;&gt;Patrícia Karla de Sousa Araújo",$B:$B,"&lt;&gt;Lorena Dias de Araujo",$B:$B,"&lt;&gt;Lucas Luiz Romero")*(10/1083),0)))))),0)</f>
        <v>20</v>
      </c>
      <c r="K2891" s="3">
        <f>I2891-J2891</f>
        <v>13</v>
      </c>
      <c r="L2891" s="3" t="str">
        <f>IF(K2891&lt;-5,"CRÍTICO",IF(K2891&lt;0,"ATENÇÃO",IF(K2891&lt;=5,"OPORTUNO","MUITO BOM")))</f>
        <v>MUITO BOM</v>
      </c>
      <c r="M2891">
        <v>33</v>
      </c>
      <c r="N2891">
        <v>99.32</v>
      </c>
      <c r="O2891">
        <v>22.822822822822818</v>
      </c>
    </row>
    <row r="2892" spans="1:15" hidden="1" x14ac:dyDescent="0.25">
      <c r="A2892" s="11">
        <v>46092</v>
      </c>
      <c r="B2892" t="s">
        <v>50</v>
      </c>
      <c r="C2892" t="s">
        <v>48</v>
      </c>
      <c r="D2892">
        <v>11</v>
      </c>
      <c r="E2892">
        <v>11</v>
      </c>
      <c r="F2892">
        <v>33.31</v>
      </c>
      <c r="G2892">
        <v>0</v>
      </c>
      <c r="H2892">
        <v>0</v>
      </c>
      <c r="I2892" s="3">
        <f>E2892+G2892+H2892</f>
        <v>11</v>
      </c>
      <c r="J2892" s="3">
        <f>ROUND(MIN(IF(C2892="Técnico III",35,IF(C2892="Técnico II",28,IF(C2892="Técnico I",23,IF(C2892="JR",20,IF(C2892="Estágio",10,0))))),IF(C2892="Técnico III",SUMIFS($D:$D,$A:$A,$A2892,$B:$B,"&lt;&gt;Patrícia Karla de Sousa Araújo",$B:$B,"&lt;&gt;Lorena Dias de Araujo",$B:$B,"&lt;&gt;Lucas Luiz Romero")*(35/1083),IF(C2892="Técnico II",SUMIFS($D:$D,$A:$A,$A2892,$B:$B,"&lt;&gt;Patrícia Karla de Sousa Araújo",$B:$B,"&lt;&gt;Lorena Dias de Araujo",$B:$B,"&lt;&gt;Lucas Luiz Romero")*(28/1083),IF(C2892="Técnico I",SUMIFS($D:$D,$A:$A,$A2892,$B:$B,"&lt;&gt;Patrícia Karla de Sousa Araújo",$B:$B,"&lt;&gt;Lorena Dias de Araujo",$B:$B,"&lt;&gt;Lucas Luiz Romero")*(23/1083),IF(C2892="JR",SUMIFS($D:$D,$A:$A,$A2892,$B:$B,"&lt;&gt;Patrícia Karla de Sousa Araújo",$B:$B,"&lt;&gt;Lorena Dias de Araujo",$B:$B,"&lt;&gt;Lucas Luiz Romero")*(20/1083),IF(C2892="Estágio",SUMIFS($D:$D,$A:$A,$A2892,$B:$B,"&lt;&gt;Patrícia Karla de Sousa Araújo",$B:$B,"&lt;&gt;Lorena Dias de Araujo",$B:$B,"&lt;&gt;Lucas Luiz Romero")*(10/1083),0)))))),0)</f>
        <v>20</v>
      </c>
      <c r="K2892" s="3">
        <f>I2892-J2892</f>
        <v>-9</v>
      </c>
      <c r="L2892" s="3" t="str">
        <f>IF(K2892&lt;-5,"CRÍTICO",IF(K2892&lt;0,"ATENÇÃO",IF(K2892&lt;=5,"OPORTUNO","MUITO BOM")))</f>
        <v>CRÍTICO</v>
      </c>
      <c r="M2892">
        <v>11</v>
      </c>
      <c r="N2892">
        <v>100</v>
      </c>
      <c r="O2892">
        <v>27.966101694915249</v>
      </c>
    </row>
    <row r="2893" spans="1:15" hidden="1" x14ac:dyDescent="0.25">
      <c r="A2893" s="11">
        <v>46092</v>
      </c>
      <c r="B2893" t="s">
        <v>17</v>
      </c>
      <c r="C2893" t="s">
        <v>16</v>
      </c>
      <c r="D2893">
        <v>0</v>
      </c>
      <c r="E2893">
        <v>0</v>
      </c>
      <c r="F2893">
        <v>0</v>
      </c>
      <c r="G2893">
        <v>0</v>
      </c>
      <c r="H2893">
        <v>0</v>
      </c>
      <c r="I2893" s="3">
        <v>0</v>
      </c>
      <c r="J2893" s="3">
        <v>0</v>
      </c>
      <c r="K2893" s="3">
        <v>0</v>
      </c>
      <c r="L2893" s="3" t="str">
        <f>IF(K2893&lt;-5,"CRÍTICO",IF(K2893&lt;0,"ATENÇÃO",IF(K2893&lt;=5,"OPORTUNO","MUITO BOM")))</f>
        <v>OPORTUNO</v>
      </c>
      <c r="M2893">
        <v>0</v>
      </c>
      <c r="N2893">
        <v>100</v>
      </c>
      <c r="O2893">
        <v>30.434782608695659</v>
      </c>
    </row>
    <row r="2894" spans="1:15" hidden="1" x14ac:dyDescent="0.25">
      <c r="A2894" s="11">
        <v>46092</v>
      </c>
      <c r="B2894" t="s">
        <v>60</v>
      </c>
      <c r="C2894" t="s">
        <v>23</v>
      </c>
      <c r="D2894">
        <v>23</v>
      </c>
      <c r="E2894">
        <v>18</v>
      </c>
      <c r="F2894">
        <v>25.53</v>
      </c>
      <c r="G2894">
        <v>0</v>
      </c>
      <c r="H2894">
        <v>0</v>
      </c>
      <c r="I2894" s="3">
        <f>E2894+G2894+H2894</f>
        <v>18</v>
      </c>
      <c r="J2894" s="3">
        <f>ROUND(MIN(IF(C2894="Técnico III",35,IF(C2894="Técnico II",28,IF(C2894="Técnico I",23,IF(C2894="JR",20,IF(C2894="Estágio",10,0))))),IF(C2894="Técnico III",SUMIFS($D:$D,$A:$A,$A2894,$B:$B,"&lt;&gt;Patrícia Karla de Sousa Araújo",$B:$B,"&lt;&gt;Lorena Dias de Araujo",$B:$B,"&lt;&gt;Lucas Luiz Romero")*(35/1083),IF(C2894="Técnico II",SUMIFS($D:$D,$A:$A,$A2894,$B:$B,"&lt;&gt;Patrícia Karla de Sousa Araújo",$B:$B,"&lt;&gt;Lorena Dias de Araujo",$B:$B,"&lt;&gt;Lucas Luiz Romero")*(28/1083),IF(C2894="Técnico I",SUMIFS($D:$D,$A:$A,$A2894,$B:$B,"&lt;&gt;Patrícia Karla de Sousa Araújo",$B:$B,"&lt;&gt;Lorena Dias de Araujo",$B:$B,"&lt;&gt;Lucas Luiz Romero")*(23/1083),IF(C2894="JR",SUMIFS($D:$D,$A:$A,$A2894,$B:$B,"&lt;&gt;Patrícia Karla de Sousa Araújo",$B:$B,"&lt;&gt;Lorena Dias de Araujo",$B:$B,"&lt;&gt;Lucas Luiz Romero")*(20/1083),IF(C2894="Estágio",SUMIFS($D:$D,$A:$A,$A2894,$B:$B,"&lt;&gt;Patrícia Karla de Sousa Araújo",$B:$B,"&lt;&gt;Lorena Dias de Araujo",$B:$B,"&lt;&gt;Lucas Luiz Romero")*(10/1083),0)))))),0)</f>
        <v>16</v>
      </c>
      <c r="K2894" s="3">
        <f>I2894-J2894</f>
        <v>2</v>
      </c>
      <c r="L2894" s="3" t="str">
        <f>IF(K2894&lt;-5,"CRÍTICO",IF(K2894&lt;0,"ATENÇÃO",IF(K2894&lt;=5,"OPORTUNO","MUITO BOM")))</f>
        <v>OPORTUNO</v>
      </c>
      <c r="M2894">
        <v>17</v>
      </c>
      <c r="N2894">
        <v>96.51</v>
      </c>
      <c r="O2894">
        <v>22.802850356294542</v>
      </c>
    </row>
    <row r="2895" spans="1:15" hidden="1" x14ac:dyDescent="0.25">
      <c r="A2895" s="11">
        <v>46092</v>
      </c>
      <c r="B2895" t="s">
        <v>34</v>
      </c>
      <c r="C2895" t="s">
        <v>32</v>
      </c>
      <c r="D2895">
        <v>0</v>
      </c>
      <c r="E2895">
        <v>0</v>
      </c>
      <c r="F2895">
        <v>0</v>
      </c>
      <c r="G2895">
        <v>0</v>
      </c>
      <c r="H2895">
        <v>0</v>
      </c>
      <c r="I2895" s="3">
        <v>0</v>
      </c>
      <c r="J2895" s="3">
        <v>0</v>
      </c>
      <c r="K2895" s="3">
        <v>0</v>
      </c>
      <c r="L2895" s="3" t="str">
        <f>IF(K2895&lt;-5,"CRÍTICO",IF(K2895&lt;0,"ATENÇÃO",IF(K2895&lt;=5,"OPORTUNO","MUITO BOM")))</f>
        <v>OPORTUNO</v>
      </c>
      <c r="M2895">
        <v>12</v>
      </c>
      <c r="N2895">
        <v>92.68</v>
      </c>
      <c r="O2895">
        <v>27.777777777777779</v>
      </c>
    </row>
    <row r="2896" spans="1:15" hidden="1" x14ac:dyDescent="0.25">
      <c r="A2896" s="11">
        <v>46092</v>
      </c>
      <c r="B2896" t="s">
        <v>51</v>
      </c>
      <c r="C2896" t="s">
        <v>48</v>
      </c>
      <c r="D2896">
        <v>25</v>
      </c>
      <c r="E2896">
        <v>22</v>
      </c>
      <c r="F2896">
        <v>24.08</v>
      </c>
      <c r="G2896">
        <v>0</v>
      </c>
      <c r="H2896">
        <v>0</v>
      </c>
      <c r="I2896" s="3">
        <v>0</v>
      </c>
      <c r="J2896" s="3">
        <v>0</v>
      </c>
      <c r="K2896" s="3">
        <v>0</v>
      </c>
      <c r="L2896" s="3" t="str">
        <f>IF(K2896&lt;-5,"CRÍTICO",IF(K2896&lt;0,"ATENÇÃO",IF(K2896&lt;=5,"OPORTUNO","MUITO BOM")))</f>
        <v>OPORTUNO</v>
      </c>
      <c r="M2896">
        <v>18</v>
      </c>
      <c r="N2896">
        <v>99.03</v>
      </c>
      <c r="O2896">
        <v>23.991507430997881</v>
      </c>
    </row>
    <row r="2897" spans="1:15" hidden="1" x14ac:dyDescent="0.25">
      <c r="A2897" s="11">
        <v>46092</v>
      </c>
      <c r="B2897" t="s">
        <v>61</v>
      </c>
      <c r="C2897" t="s">
        <v>23</v>
      </c>
      <c r="D2897">
        <v>16</v>
      </c>
      <c r="E2897">
        <v>15</v>
      </c>
      <c r="F2897">
        <v>29.04</v>
      </c>
      <c r="G2897">
        <v>0</v>
      </c>
      <c r="H2897">
        <v>0</v>
      </c>
      <c r="I2897" s="3">
        <f>E2897+G2897+H2897</f>
        <v>15</v>
      </c>
      <c r="J2897" s="3">
        <f>ROUND(MIN(IF(C2897="Técnico III",35,IF(C2897="Técnico II",28,IF(C2897="Técnico I",23,IF(C2897="JR",20,IF(C2897="Estágio",10,0))))),IF(C2897="Técnico III",SUMIFS($D:$D,$A:$A,$A2897,$B:$B,"&lt;&gt;Patrícia Karla de Sousa Araújo",$B:$B,"&lt;&gt;Lorena Dias de Araujo",$B:$B,"&lt;&gt;Lucas Luiz Romero")*(35/1083),IF(C2897="Técnico II",SUMIFS($D:$D,$A:$A,$A2897,$B:$B,"&lt;&gt;Patrícia Karla de Sousa Araújo",$B:$B,"&lt;&gt;Lorena Dias de Araujo",$B:$B,"&lt;&gt;Lucas Luiz Romero")*(28/1083),IF(C2897="Técnico I",SUMIFS($D:$D,$A:$A,$A2897,$B:$B,"&lt;&gt;Patrícia Karla de Sousa Araújo",$B:$B,"&lt;&gt;Lorena Dias de Araujo",$B:$B,"&lt;&gt;Lucas Luiz Romero")*(23/1083),IF(C2897="JR",SUMIFS($D:$D,$A:$A,$A2897,$B:$B,"&lt;&gt;Patrícia Karla de Sousa Araújo",$B:$B,"&lt;&gt;Lorena Dias de Araujo",$B:$B,"&lt;&gt;Lucas Luiz Romero")*(20/1083),IF(C2897="Estágio",SUMIFS($D:$D,$A:$A,$A2897,$B:$B,"&lt;&gt;Patrícia Karla de Sousa Araújo",$B:$B,"&lt;&gt;Lorena Dias de Araujo",$B:$B,"&lt;&gt;Lucas Luiz Romero")*(10/1083),0)))))),0)</f>
        <v>16</v>
      </c>
      <c r="K2897" s="3">
        <f>I2897-J2897</f>
        <v>-1</v>
      </c>
      <c r="L2897" s="3" t="str">
        <f>IF(K2897&lt;-5,"CRÍTICO",IF(K2897&lt;0,"ATENÇÃO",IF(K2897&lt;=5,"OPORTUNO","MUITO BOM")))</f>
        <v>ATENÇÃO</v>
      </c>
      <c r="M2897">
        <v>11</v>
      </c>
      <c r="N2897">
        <v>98.41</v>
      </c>
      <c r="O2897">
        <v>28.138528138528141</v>
      </c>
    </row>
    <row r="2898" spans="1:15" hidden="1" x14ac:dyDescent="0.25">
      <c r="A2898" s="11">
        <v>46092</v>
      </c>
      <c r="B2898" t="s">
        <v>35</v>
      </c>
      <c r="C2898" t="s">
        <v>32</v>
      </c>
      <c r="D2898">
        <v>28</v>
      </c>
      <c r="E2898">
        <v>26</v>
      </c>
      <c r="F2898">
        <v>26.51</v>
      </c>
      <c r="G2898">
        <v>0</v>
      </c>
      <c r="H2898">
        <v>0</v>
      </c>
      <c r="I2898" s="3">
        <v>0</v>
      </c>
      <c r="J2898" s="3">
        <v>0</v>
      </c>
      <c r="K2898" s="3">
        <v>0</v>
      </c>
      <c r="L2898" s="3" t="str">
        <f>IF(K2898&lt;-5,"CRÍTICO",IF(K2898&lt;0,"ATENÇÃO",IF(K2898&lt;=5,"OPORTUNO","MUITO BOM")))</f>
        <v>OPORTUNO</v>
      </c>
      <c r="M2898">
        <v>28</v>
      </c>
      <c r="N2898">
        <v>98.73</v>
      </c>
      <c r="O2898">
        <v>29.142857142857139</v>
      </c>
    </row>
    <row r="2899" spans="1:15" hidden="1" x14ac:dyDescent="0.25">
      <c r="A2899" s="11">
        <v>46092</v>
      </c>
      <c r="B2899" t="s">
        <v>18</v>
      </c>
      <c r="C2899" t="s">
        <v>16</v>
      </c>
      <c r="D2899">
        <v>7</v>
      </c>
      <c r="E2899">
        <v>6</v>
      </c>
      <c r="F2899">
        <v>55.59</v>
      </c>
      <c r="G2899">
        <v>0</v>
      </c>
      <c r="H2899">
        <v>0</v>
      </c>
      <c r="I2899" s="3">
        <f>E2899+G2899+H2899</f>
        <v>6</v>
      </c>
      <c r="J2899" s="3">
        <f>ROUND(MIN(IF(C2899="Técnico III",35,IF(C2899="Técnico II",28,IF(C2899="Técnico I",23,IF(C2899="JR",20,IF(C2899="Estágio",10,0))))),IF(C2899="Técnico III",SUMIFS($D:$D,$A:$A,$A2899,$B:$B,"&lt;&gt;Patrícia Karla de Sousa Araújo",$B:$B,"&lt;&gt;Lorena Dias de Araujo",$B:$B,"&lt;&gt;Lucas Luiz Romero")*(35/1083),IF(C2899="Técnico II",SUMIFS($D:$D,$A:$A,$A2899,$B:$B,"&lt;&gt;Patrícia Karla de Sousa Araújo",$B:$B,"&lt;&gt;Lorena Dias de Araujo",$B:$B,"&lt;&gt;Lucas Luiz Romero")*(28/1083),IF(C2899="Técnico I",SUMIFS($D:$D,$A:$A,$A2899,$B:$B,"&lt;&gt;Patrícia Karla de Sousa Araújo",$B:$B,"&lt;&gt;Lorena Dias de Araujo",$B:$B,"&lt;&gt;Lucas Luiz Romero")*(23/1083),IF(C2899="JR",SUMIFS($D:$D,$A:$A,$A2899,$B:$B,"&lt;&gt;Patrícia Karla de Sousa Araújo",$B:$B,"&lt;&gt;Lorena Dias de Araujo",$B:$B,"&lt;&gt;Lucas Luiz Romero")*(20/1083),IF(C2899="Estágio",SUMIFS($D:$D,$A:$A,$A2899,$B:$B,"&lt;&gt;Patrícia Karla de Sousa Araújo",$B:$B,"&lt;&gt;Lorena Dias de Araujo",$B:$B,"&lt;&gt;Lucas Luiz Romero")*(10/1083),0)))))),0)</f>
        <v>7</v>
      </c>
      <c r="K2899" s="3">
        <f>I2899-J2899</f>
        <v>-1</v>
      </c>
      <c r="L2899" s="3" t="str">
        <f>IF(K2899&lt;-5,"CRÍTICO",IF(K2899&lt;0,"ATENÇÃO",IF(K2899&lt;=5,"OPORTUNO","MUITO BOM")))</f>
        <v>ATENÇÃO</v>
      </c>
      <c r="M2899">
        <v>5</v>
      </c>
      <c r="N2899">
        <v>90.48</v>
      </c>
      <c r="O2899">
        <v>20.68965517241379</v>
      </c>
    </row>
    <row r="2900" spans="1:15" hidden="1" x14ac:dyDescent="0.25">
      <c r="A2900" s="11">
        <v>46092</v>
      </c>
      <c r="B2900" t="s">
        <v>52</v>
      </c>
      <c r="C2900" t="s">
        <v>48</v>
      </c>
      <c r="D2900">
        <v>23</v>
      </c>
      <c r="E2900">
        <v>16</v>
      </c>
      <c r="F2900">
        <v>19.13</v>
      </c>
      <c r="G2900">
        <v>0</v>
      </c>
      <c r="H2900">
        <v>0</v>
      </c>
      <c r="I2900" s="3">
        <f>E2900+G2900+H2900</f>
        <v>16</v>
      </c>
      <c r="J2900" s="3">
        <f>ROUND(MIN(IF(C2900="Técnico III",35,IF(C2900="Técnico II",28,IF(C2900="Técnico I",23,IF(C2900="JR",20,IF(C2900="Estágio",10,0))))),IF(C2900="Técnico III",SUMIFS($D:$D,$A:$A,$A2900,$B:$B,"&lt;&gt;Patrícia Karla de Sousa Araújo",$B:$B,"&lt;&gt;Lorena Dias de Araujo",$B:$B,"&lt;&gt;Lucas Luiz Romero")*(35/1083),IF(C2900="Técnico II",SUMIFS($D:$D,$A:$A,$A2900,$B:$B,"&lt;&gt;Patrícia Karla de Sousa Araújo",$B:$B,"&lt;&gt;Lorena Dias de Araujo",$B:$B,"&lt;&gt;Lucas Luiz Romero")*(28/1083),IF(C2900="Técnico I",SUMIFS($D:$D,$A:$A,$A2900,$B:$B,"&lt;&gt;Patrícia Karla de Sousa Araújo",$B:$B,"&lt;&gt;Lorena Dias de Araujo",$B:$B,"&lt;&gt;Lucas Luiz Romero")*(23/1083),IF(C2900="JR",SUMIFS($D:$D,$A:$A,$A2900,$B:$B,"&lt;&gt;Patrícia Karla de Sousa Araújo",$B:$B,"&lt;&gt;Lorena Dias de Araujo",$B:$B,"&lt;&gt;Lucas Luiz Romero")*(20/1083),IF(C2900="Estágio",SUMIFS($D:$D,$A:$A,$A2900,$B:$B,"&lt;&gt;Patrícia Karla de Sousa Araújo",$B:$B,"&lt;&gt;Lorena Dias de Araujo",$B:$B,"&lt;&gt;Lucas Luiz Romero")*(10/1083),0)))))),0)</f>
        <v>20</v>
      </c>
      <c r="K2900" s="3">
        <f>I2900-J2900</f>
        <v>-4</v>
      </c>
      <c r="L2900" s="3" t="str">
        <f>IF(K2900&lt;-5,"CRÍTICO",IF(K2900&lt;0,"ATENÇÃO",IF(K2900&lt;=5,"OPORTUNO","MUITO BOM")))</f>
        <v>ATENÇÃO</v>
      </c>
      <c r="M2900">
        <v>14</v>
      </c>
      <c r="N2900">
        <v>98.06</v>
      </c>
      <c r="O2900">
        <v>24.789915966386559</v>
      </c>
    </row>
    <row r="2901" spans="1:15" hidden="1" x14ac:dyDescent="0.25">
      <c r="A2901" s="11">
        <v>46092</v>
      </c>
      <c r="B2901" t="s">
        <v>36</v>
      </c>
      <c r="C2901" t="s">
        <v>32</v>
      </c>
      <c r="D2901">
        <v>31</v>
      </c>
      <c r="E2901">
        <v>28</v>
      </c>
      <c r="F2901">
        <v>17.32</v>
      </c>
      <c r="G2901">
        <v>0</v>
      </c>
      <c r="H2901">
        <v>0</v>
      </c>
      <c r="I2901" s="3">
        <f>E2901+G2901+H2901</f>
        <v>28</v>
      </c>
      <c r="J2901" s="3">
        <f>ROUND(MIN(IF(C2901="Técnico III",35,IF(C2901="Técnico II",28,IF(C2901="Técnico I",23,IF(C2901="JR",20,IF(C2901="Estágio",10,0))))),IF(C2901="Técnico III",SUMIFS($D:$D,$A:$A,$A2901,$B:$B,"&lt;&gt;Patrícia Karla de Sousa Araújo",$B:$B,"&lt;&gt;Lorena Dias de Araujo",$B:$B,"&lt;&gt;Lucas Luiz Romero")*(35/1083),IF(C2901="Técnico II",SUMIFS($D:$D,$A:$A,$A2901,$B:$B,"&lt;&gt;Patrícia Karla de Sousa Araújo",$B:$B,"&lt;&gt;Lorena Dias de Araujo",$B:$B,"&lt;&gt;Lucas Luiz Romero")*(28/1083),IF(C2901="Técnico I",SUMIFS($D:$D,$A:$A,$A2901,$B:$B,"&lt;&gt;Patrícia Karla de Sousa Araújo",$B:$B,"&lt;&gt;Lorena Dias de Araujo",$B:$B,"&lt;&gt;Lucas Luiz Romero")*(23/1083),IF(C2901="JR",SUMIFS($D:$D,$A:$A,$A2901,$B:$B,"&lt;&gt;Patrícia Karla de Sousa Araújo",$B:$B,"&lt;&gt;Lorena Dias de Araujo",$B:$B,"&lt;&gt;Lucas Luiz Romero")*(20/1083),IF(C2901="Estágio",SUMIFS($D:$D,$A:$A,$A2901,$B:$B,"&lt;&gt;Patrícia Karla de Sousa Araújo",$B:$B,"&lt;&gt;Lorena Dias de Araujo",$B:$B,"&lt;&gt;Lucas Luiz Romero")*(10/1083),0)))))),0)</f>
        <v>25</v>
      </c>
      <c r="K2901" s="3">
        <f>I2901-J2901</f>
        <v>3</v>
      </c>
      <c r="L2901" s="3" t="str">
        <f>IF(K2901&lt;-5,"CRÍTICO",IF(K2901&lt;0,"ATENÇÃO",IF(K2901&lt;=5,"OPORTUNO","MUITO BOM")))</f>
        <v>OPORTUNO</v>
      </c>
      <c r="M2901">
        <v>26</v>
      </c>
      <c r="N2901">
        <v>97.78</v>
      </c>
      <c r="O2901">
        <v>25.494071146245059</v>
      </c>
    </row>
    <row r="2902" spans="1:15" hidden="1" x14ac:dyDescent="0.25">
      <c r="A2902" s="11">
        <v>46092</v>
      </c>
      <c r="B2902" t="s">
        <v>53</v>
      </c>
      <c r="C2902" t="s">
        <v>48</v>
      </c>
      <c r="D2902">
        <v>46</v>
      </c>
      <c r="E2902">
        <v>33</v>
      </c>
      <c r="F2902">
        <v>14.02</v>
      </c>
      <c r="G2902">
        <v>0</v>
      </c>
      <c r="H2902">
        <v>0</v>
      </c>
      <c r="I2902" s="3">
        <f>E2902+G2902+H2902</f>
        <v>33</v>
      </c>
      <c r="J2902" s="3">
        <f>ROUND(MIN(IF(C2902="Técnico III",35,IF(C2902="Técnico II",28,IF(C2902="Técnico I",23,IF(C2902="JR",20,IF(C2902="Estágio",10,0))))),IF(C2902="Técnico III",SUMIFS($D:$D,$A:$A,$A2902,$B:$B,"&lt;&gt;Patrícia Karla de Sousa Araújo",$B:$B,"&lt;&gt;Lorena Dias de Araujo",$B:$B,"&lt;&gt;Lucas Luiz Romero")*(35/1083),IF(C2902="Técnico II",SUMIFS($D:$D,$A:$A,$A2902,$B:$B,"&lt;&gt;Patrícia Karla de Sousa Araújo",$B:$B,"&lt;&gt;Lorena Dias de Araujo",$B:$B,"&lt;&gt;Lucas Luiz Romero")*(28/1083),IF(C2902="Técnico I",SUMIFS($D:$D,$A:$A,$A2902,$B:$B,"&lt;&gt;Patrícia Karla de Sousa Araújo",$B:$B,"&lt;&gt;Lorena Dias de Araujo",$B:$B,"&lt;&gt;Lucas Luiz Romero")*(23/1083),IF(C2902="JR",SUMIFS($D:$D,$A:$A,$A2902,$B:$B,"&lt;&gt;Patrícia Karla de Sousa Araújo",$B:$B,"&lt;&gt;Lorena Dias de Araujo",$B:$B,"&lt;&gt;Lucas Luiz Romero")*(20/1083),IF(C2902="Estágio",SUMIFS($D:$D,$A:$A,$A2902,$B:$B,"&lt;&gt;Patrícia Karla de Sousa Araújo",$B:$B,"&lt;&gt;Lorena Dias de Araujo",$B:$B,"&lt;&gt;Lucas Luiz Romero")*(10/1083),0)))))),0)</f>
        <v>20</v>
      </c>
      <c r="K2902" s="3">
        <f>I2902-J2902</f>
        <v>13</v>
      </c>
      <c r="L2902" s="3" t="str">
        <f>IF(K2902&lt;-5,"CRÍTICO",IF(K2902&lt;0,"ATENÇÃO",IF(K2902&lt;=5,"OPORTUNO","MUITO BOM")))</f>
        <v>MUITO BOM</v>
      </c>
      <c r="M2902">
        <v>27</v>
      </c>
      <c r="N2902">
        <v>98.02</v>
      </c>
      <c r="O2902">
        <v>23.484848484848481</v>
      </c>
    </row>
    <row r="2903" spans="1:15" hidden="1" x14ac:dyDescent="0.25">
      <c r="A2903" s="11">
        <v>46126</v>
      </c>
      <c r="B2903" t="s">
        <v>22</v>
      </c>
      <c r="C2903" t="s">
        <v>23</v>
      </c>
      <c r="D2903">
        <v>33</v>
      </c>
      <c r="E2903">
        <v>29</v>
      </c>
      <c r="F2903">
        <v>13.25</v>
      </c>
      <c r="G2903">
        <v>0</v>
      </c>
      <c r="H2903">
        <v>0</v>
      </c>
      <c r="I2903" s="3">
        <f>E2903+G2903+H2903</f>
        <v>29</v>
      </c>
      <c r="J2903" s="3">
        <f>ROUND(MIN(IF(C2903="Técnico III",35,IF(C2903="Técnico II",28,IF(C2903="Técnico I",23,IF(C2903="JR",20,IF(C2903="Estágio",10,0))))),IF(C2903="Técnico III",SUMIFS($D:$D,$A:$A,$A2903,$B:$B,"&lt;&gt;Patrícia Karla de Sousa Araújo",$B:$B,"&lt;&gt;Lorena Dias de Araujo",$B:$B,"&lt;&gt;Lucas Luiz Romero")*(35/1083),IF(C2903="Técnico II",SUMIFS($D:$D,$A:$A,$A2903,$B:$B,"&lt;&gt;Patrícia Karla de Sousa Araújo",$B:$B,"&lt;&gt;Lorena Dias de Araujo",$B:$B,"&lt;&gt;Lucas Luiz Romero")*(28/1083),IF(C2903="Técnico I",SUMIFS($D:$D,$A:$A,$A2903,$B:$B,"&lt;&gt;Patrícia Karla de Sousa Araújo",$B:$B,"&lt;&gt;Lorena Dias de Araujo",$B:$B,"&lt;&gt;Lucas Luiz Romero")*(23/1083),IF(C2903="JR",SUMIFS($D:$D,$A:$A,$A2903,$B:$B,"&lt;&gt;Patrícia Karla de Sousa Araújo",$B:$B,"&lt;&gt;Lorena Dias de Araujo",$B:$B,"&lt;&gt;Lucas Luiz Romero")*(20/1083),IF(C2903="Estágio",SUMIFS($D:$D,$A:$A,$A2903,$B:$B,"&lt;&gt;Patrícia Karla de Sousa Araújo",$B:$B,"&lt;&gt;Lorena Dias de Araujo",$B:$B,"&lt;&gt;Lucas Luiz Romero")*(10/1083),0)))))),0)</f>
        <v>20</v>
      </c>
      <c r="K2903" s="3">
        <f>I2903-J2903</f>
        <v>9</v>
      </c>
      <c r="L2903" s="3" t="str">
        <f>IF(K2903&lt;-5,"CRÍTICO",IF(K2903&lt;0,"ATENÇÃO",IF(K2903&lt;=5,"OPORTUNO","MUITO BOM")))</f>
        <v>MUITO BOM</v>
      </c>
      <c r="M2903">
        <v>27</v>
      </c>
      <c r="N2903">
        <v>99.28</v>
      </c>
      <c r="O2903">
        <v>27.689243027888441</v>
      </c>
    </row>
    <row r="2904" spans="1:15" hidden="1" x14ac:dyDescent="0.25">
      <c r="A2904" s="11">
        <v>46092</v>
      </c>
      <c r="B2904" t="s">
        <v>54</v>
      </c>
      <c r="C2904" t="s">
        <v>48</v>
      </c>
      <c r="D2904">
        <v>29</v>
      </c>
      <c r="E2904">
        <v>24</v>
      </c>
      <c r="F2904">
        <v>16.43</v>
      </c>
      <c r="G2904">
        <v>0</v>
      </c>
      <c r="H2904">
        <v>0</v>
      </c>
      <c r="I2904" s="3">
        <f>E2904+G2904+H2904</f>
        <v>24</v>
      </c>
      <c r="J2904" s="3">
        <f>ROUND(MIN(IF(C2904="Técnico III",35,IF(C2904="Técnico II",28,IF(C2904="Técnico I",23,IF(C2904="JR",20,IF(C2904="Estágio",10,0))))),IF(C2904="Técnico III",SUMIFS($D:$D,$A:$A,$A2904,$B:$B,"&lt;&gt;Patrícia Karla de Sousa Araújo",$B:$B,"&lt;&gt;Lorena Dias de Araujo",$B:$B,"&lt;&gt;Lucas Luiz Romero")*(35/1083),IF(C2904="Técnico II",SUMIFS($D:$D,$A:$A,$A2904,$B:$B,"&lt;&gt;Patrícia Karla de Sousa Araújo",$B:$B,"&lt;&gt;Lorena Dias de Araujo",$B:$B,"&lt;&gt;Lucas Luiz Romero")*(28/1083),IF(C2904="Técnico I",SUMIFS($D:$D,$A:$A,$A2904,$B:$B,"&lt;&gt;Patrícia Karla de Sousa Araújo",$B:$B,"&lt;&gt;Lorena Dias de Araujo",$B:$B,"&lt;&gt;Lucas Luiz Romero")*(23/1083),IF(C2904="JR",SUMIFS($D:$D,$A:$A,$A2904,$B:$B,"&lt;&gt;Patrícia Karla de Sousa Araújo",$B:$B,"&lt;&gt;Lorena Dias de Araujo",$B:$B,"&lt;&gt;Lucas Luiz Romero")*(20/1083),IF(C2904="Estágio",SUMIFS($D:$D,$A:$A,$A2904,$B:$B,"&lt;&gt;Patrícia Karla de Sousa Araújo",$B:$B,"&lt;&gt;Lorena Dias de Araujo",$B:$B,"&lt;&gt;Lucas Luiz Romero")*(10/1083),0)))))),0)</f>
        <v>20</v>
      </c>
      <c r="K2904" s="3">
        <f>I2904-J2904</f>
        <v>4</v>
      </c>
      <c r="L2904" s="3" t="str">
        <f>IF(K2904&lt;-5,"CRÍTICO",IF(K2904&lt;0,"ATENÇÃO",IF(K2904&lt;=5,"OPORTUNO","MUITO BOM")))</f>
        <v>OPORTUNO</v>
      </c>
      <c r="M2904">
        <v>20</v>
      </c>
      <c r="N2904">
        <v>100</v>
      </c>
      <c r="O2904">
        <v>27.04918032786885</v>
      </c>
    </row>
    <row r="2905" spans="1:15" hidden="1" x14ac:dyDescent="0.25">
      <c r="A2905" s="11">
        <v>46092</v>
      </c>
      <c r="B2905" t="s">
        <v>37</v>
      </c>
      <c r="C2905" t="s">
        <v>32</v>
      </c>
      <c r="D2905">
        <v>43</v>
      </c>
      <c r="E2905">
        <v>39</v>
      </c>
      <c r="F2905">
        <v>17.239999999999998</v>
      </c>
      <c r="G2905">
        <v>0</v>
      </c>
      <c r="H2905">
        <v>0</v>
      </c>
      <c r="I2905" s="3">
        <f>E2905+G2905+H2905</f>
        <v>39</v>
      </c>
      <c r="J2905" s="3">
        <f>ROUND(MIN(IF(C2905="Técnico III",35,IF(C2905="Técnico II",28,IF(C2905="Técnico I",23,IF(C2905="JR",20,IF(C2905="Estágio",10,0))))),IF(C2905="Técnico III",SUMIFS($D:$D,$A:$A,$A2905,$B:$B,"&lt;&gt;Patrícia Karla de Sousa Araújo",$B:$B,"&lt;&gt;Lorena Dias de Araujo",$B:$B,"&lt;&gt;Lucas Luiz Romero")*(35/1083),IF(C2905="Técnico II",SUMIFS($D:$D,$A:$A,$A2905,$B:$B,"&lt;&gt;Patrícia Karla de Sousa Araújo",$B:$B,"&lt;&gt;Lorena Dias de Araujo",$B:$B,"&lt;&gt;Lucas Luiz Romero")*(28/1083),IF(C2905="Técnico I",SUMIFS($D:$D,$A:$A,$A2905,$B:$B,"&lt;&gt;Patrícia Karla de Sousa Araújo",$B:$B,"&lt;&gt;Lorena Dias de Araujo",$B:$B,"&lt;&gt;Lucas Luiz Romero")*(23/1083),IF(C2905="JR",SUMIFS($D:$D,$A:$A,$A2905,$B:$B,"&lt;&gt;Patrícia Karla de Sousa Araújo",$B:$B,"&lt;&gt;Lorena Dias de Araujo",$B:$B,"&lt;&gt;Lucas Luiz Romero")*(20/1083),IF(C2905="Estágio",SUMIFS($D:$D,$A:$A,$A2905,$B:$B,"&lt;&gt;Patrícia Karla de Sousa Araújo",$B:$B,"&lt;&gt;Lorena Dias de Araujo",$B:$B,"&lt;&gt;Lucas Luiz Romero")*(10/1083),0)))))),0)</f>
        <v>25</v>
      </c>
      <c r="K2905" s="3">
        <f>I2905-J2905</f>
        <v>14</v>
      </c>
      <c r="L2905" s="3" t="str">
        <f>IF(K2905&lt;-5,"CRÍTICO",IF(K2905&lt;0,"ATENÇÃO",IF(K2905&lt;=5,"OPORTUNO","MUITO BOM")))</f>
        <v>MUITO BOM</v>
      </c>
      <c r="M2905">
        <v>33</v>
      </c>
      <c r="N2905">
        <v>97.83</v>
      </c>
      <c r="O2905">
        <v>26.315789473684209</v>
      </c>
    </row>
    <row r="2906" spans="1:15" hidden="1" x14ac:dyDescent="0.25">
      <c r="A2906" s="11">
        <v>46092</v>
      </c>
      <c r="B2906" t="s">
        <v>38</v>
      </c>
      <c r="C2906" t="s">
        <v>32</v>
      </c>
      <c r="D2906">
        <v>0</v>
      </c>
      <c r="E2906">
        <v>0</v>
      </c>
      <c r="F2906">
        <v>0</v>
      </c>
      <c r="G2906">
        <v>0</v>
      </c>
      <c r="H2906">
        <v>0</v>
      </c>
      <c r="I2906" s="3">
        <v>0</v>
      </c>
      <c r="J2906" s="3">
        <v>0</v>
      </c>
      <c r="K2906" s="3">
        <v>0</v>
      </c>
      <c r="L2906" s="3" t="str">
        <f>IF(K2906&lt;-5,"CRÍTICO",IF(K2906&lt;0,"ATENÇÃO",IF(K2906&lt;=5,"OPORTUNO","MUITO BOM")))</f>
        <v>OPORTUNO</v>
      </c>
      <c r="M2906">
        <v>6</v>
      </c>
      <c r="N2906">
        <v>100</v>
      </c>
      <c r="O2906">
        <v>26.701570680628269</v>
      </c>
    </row>
    <row r="2907" spans="1:15" hidden="1" x14ac:dyDescent="0.25">
      <c r="A2907" s="11">
        <v>46092</v>
      </c>
      <c r="B2907" t="s">
        <v>55</v>
      </c>
      <c r="C2907" t="s">
        <v>48</v>
      </c>
      <c r="D2907">
        <v>29</v>
      </c>
      <c r="E2907">
        <v>24</v>
      </c>
      <c r="F2907">
        <v>20.36</v>
      </c>
      <c r="G2907">
        <v>0</v>
      </c>
      <c r="H2907">
        <v>0</v>
      </c>
      <c r="I2907" s="3">
        <f>E2907+G2907+H2907</f>
        <v>24</v>
      </c>
      <c r="J2907" s="3">
        <f>ROUND(MIN(IF(C2907="Técnico III",35,IF(C2907="Técnico II",28,IF(C2907="Técnico I",23,IF(C2907="JR",20,IF(C2907="Estágio",10,0))))),IF(C2907="Técnico III",SUMIFS($D:$D,$A:$A,$A2907,$B:$B,"&lt;&gt;Patrícia Karla de Sousa Araújo",$B:$B,"&lt;&gt;Lorena Dias de Araujo",$B:$B,"&lt;&gt;Lucas Luiz Romero")*(35/1083),IF(C2907="Técnico II",SUMIFS($D:$D,$A:$A,$A2907,$B:$B,"&lt;&gt;Patrícia Karla de Sousa Araújo",$B:$B,"&lt;&gt;Lorena Dias de Araujo",$B:$B,"&lt;&gt;Lucas Luiz Romero")*(28/1083),IF(C2907="Técnico I",SUMIFS($D:$D,$A:$A,$A2907,$B:$B,"&lt;&gt;Patrícia Karla de Sousa Araújo",$B:$B,"&lt;&gt;Lorena Dias de Araujo",$B:$B,"&lt;&gt;Lucas Luiz Romero")*(23/1083),IF(C2907="JR",SUMIFS($D:$D,$A:$A,$A2907,$B:$B,"&lt;&gt;Patrícia Karla de Sousa Araújo",$B:$B,"&lt;&gt;Lorena Dias de Araujo",$B:$B,"&lt;&gt;Lucas Luiz Romero")*(20/1083),IF(C2907="Estágio",SUMIFS($D:$D,$A:$A,$A2907,$B:$B,"&lt;&gt;Patrícia Karla de Sousa Araújo",$B:$B,"&lt;&gt;Lorena Dias de Araujo",$B:$B,"&lt;&gt;Lucas Luiz Romero")*(10/1083),0)))))),0)</f>
        <v>20</v>
      </c>
      <c r="K2907" s="3">
        <f>I2907-J2907</f>
        <v>4</v>
      </c>
      <c r="L2907" s="3" t="str">
        <f>IF(K2907&lt;-5,"CRÍTICO",IF(K2907&lt;0,"ATENÇÃO",IF(K2907&lt;=5,"OPORTUNO","MUITO BOM")))</f>
        <v>OPORTUNO</v>
      </c>
      <c r="M2907">
        <v>19</v>
      </c>
      <c r="N2907">
        <v>97.47</v>
      </c>
      <c r="O2907">
        <v>22.887323943661968</v>
      </c>
    </row>
    <row r="2908" spans="1:15" hidden="1" x14ac:dyDescent="0.25">
      <c r="A2908" s="11">
        <v>46092</v>
      </c>
      <c r="B2908" t="s">
        <v>39</v>
      </c>
      <c r="C2908" t="s">
        <v>32</v>
      </c>
      <c r="D2908">
        <v>0</v>
      </c>
      <c r="E2908">
        <v>0</v>
      </c>
      <c r="F2908">
        <v>0</v>
      </c>
      <c r="G2908">
        <v>0</v>
      </c>
      <c r="H2908">
        <v>0</v>
      </c>
      <c r="I2908" s="3">
        <v>0</v>
      </c>
      <c r="J2908" s="3">
        <v>0</v>
      </c>
      <c r="K2908" s="3">
        <v>0</v>
      </c>
      <c r="L2908" s="3" t="str">
        <f>IF(K2908&lt;-5,"CRÍTICO",IF(K2908&lt;0,"ATENÇÃO",IF(K2908&lt;=5,"OPORTUNO","MUITO BOM")))</f>
        <v>OPORTUNO</v>
      </c>
      <c r="M2908">
        <v>0</v>
      </c>
      <c r="N2908">
        <v>0</v>
      </c>
      <c r="O2908">
        <v>0</v>
      </c>
    </row>
    <row r="2909" spans="1:15" hidden="1" x14ac:dyDescent="0.25">
      <c r="A2909" s="11">
        <v>46092</v>
      </c>
      <c r="B2909" t="s">
        <v>25</v>
      </c>
      <c r="C2909" t="s">
        <v>26</v>
      </c>
      <c r="D2909">
        <v>6</v>
      </c>
      <c r="E2909">
        <v>6</v>
      </c>
      <c r="F2909">
        <v>55.21</v>
      </c>
      <c r="G2909">
        <v>0</v>
      </c>
      <c r="H2909">
        <v>0</v>
      </c>
      <c r="I2909" s="3">
        <f>E2909+G2909+H2909</f>
        <v>6</v>
      </c>
      <c r="J2909" s="3">
        <f>ROUND(MIN(IF(C2909="Técnico III",35,IF(C2909="Técnico II",28,IF(C2909="Técnico I",23,IF(C2909="JR",20,IF(C2909="Estágio",10,0))))),IF(C2909="Técnico III",SUMIFS($D:$D,$A:$A,$A2909,$B:$B,"&lt;&gt;Patrícia Karla de Sousa Araújo",$B:$B,"&lt;&gt;Lorena Dias de Araujo",$B:$B,"&lt;&gt;Lucas Luiz Romero")*(35/1083),IF(C2909="Técnico II",SUMIFS($D:$D,$A:$A,$A2909,$B:$B,"&lt;&gt;Patrícia Karla de Sousa Araújo",$B:$B,"&lt;&gt;Lorena Dias de Araujo",$B:$B,"&lt;&gt;Lucas Luiz Romero")*(28/1083),IF(C2909="Técnico I",SUMIFS($D:$D,$A:$A,$A2909,$B:$B,"&lt;&gt;Patrícia Karla de Sousa Araújo",$B:$B,"&lt;&gt;Lorena Dias de Araujo",$B:$B,"&lt;&gt;Lucas Luiz Romero")*(23/1083),IF(C2909="JR",SUMIFS($D:$D,$A:$A,$A2909,$B:$B,"&lt;&gt;Patrícia Karla de Sousa Araújo",$B:$B,"&lt;&gt;Lorena Dias de Araujo",$B:$B,"&lt;&gt;Lucas Luiz Romero")*(20/1083),IF(C2909="Estágio",SUMIFS($D:$D,$A:$A,$A2909,$B:$B,"&lt;&gt;Patrícia Karla de Sousa Araújo",$B:$B,"&lt;&gt;Lorena Dias de Araujo",$B:$B,"&lt;&gt;Lucas Luiz Romero")*(10/1083),0)))))),0)</f>
        <v>14</v>
      </c>
      <c r="K2909" s="3">
        <f>I2909-J2909</f>
        <v>-8</v>
      </c>
      <c r="L2909" s="3" t="str">
        <f>IF(K2909&lt;-5,"CRÍTICO",IF(K2909&lt;0,"ATENÇÃO",IF(K2909&lt;=5,"OPORTUNO","MUITO BOM")))</f>
        <v>CRÍTICO</v>
      </c>
      <c r="M2909">
        <v>6</v>
      </c>
      <c r="N2909">
        <v>98.31</v>
      </c>
      <c r="O2909">
        <v>24.920127795527151</v>
      </c>
    </row>
    <row r="2910" spans="1:15" hidden="1" x14ac:dyDescent="0.25">
      <c r="A2910" s="11">
        <v>46092</v>
      </c>
      <c r="B2910" t="s">
        <v>40</v>
      </c>
      <c r="C2910" t="s">
        <v>32</v>
      </c>
      <c r="D2910">
        <v>0</v>
      </c>
      <c r="E2910">
        <v>0</v>
      </c>
      <c r="F2910">
        <v>0</v>
      </c>
      <c r="G2910">
        <v>0</v>
      </c>
      <c r="H2910">
        <v>0</v>
      </c>
      <c r="I2910" s="3">
        <v>0</v>
      </c>
      <c r="J2910" s="3">
        <v>0</v>
      </c>
      <c r="K2910" s="3">
        <v>0</v>
      </c>
      <c r="L2910" s="3" t="str">
        <f>IF(K2910&lt;-5,"CRÍTICO",IF(K2910&lt;0,"ATENÇÃO",IF(K2910&lt;=5,"OPORTUNO","MUITO BOM")))</f>
        <v>OPORTUNO</v>
      </c>
      <c r="M2910">
        <v>1</v>
      </c>
      <c r="N2910">
        <v>96.81</v>
      </c>
      <c r="O2910">
        <v>32.365145228215773</v>
      </c>
    </row>
    <row r="2911" spans="1:15" hidden="1" x14ac:dyDescent="0.25">
      <c r="A2911" s="11">
        <v>46092</v>
      </c>
      <c r="B2911" t="s">
        <v>27</v>
      </c>
      <c r="C2911" t="s">
        <v>26</v>
      </c>
      <c r="D2911">
        <v>12</v>
      </c>
      <c r="E2911">
        <v>11</v>
      </c>
      <c r="F2911">
        <v>45</v>
      </c>
      <c r="G2911">
        <v>0</v>
      </c>
      <c r="H2911">
        <v>0</v>
      </c>
      <c r="I2911" s="3">
        <f>E2911+G2911+H2911</f>
        <v>11</v>
      </c>
      <c r="J2911" s="3">
        <f>ROUND(MIN(IF(C2911="Técnico III",35,IF(C2911="Técnico II",28,IF(C2911="Técnico I",23,IF(C2911="JR",20,IF(C2911="Estágio",10,0))))),IF(C2911="Técnico III",SUMIFS($D:$D,$A:$A,$A2911,$B:$B,"&lt;&gt;Patrícia Karla de Sousa Araújo",$B:$B,"&lt;&gt;Lorena Dias de Araujo",$B:$B,"&lt;&gt;Lucas Luiz Romero")*(35/1083),IF(C2911="Técnico II",SUMIFS($D:$D,$A:$A,$A2911,$B:$B,"&lt;&gt;Patrícia Karla de Sousa Araújo",$B:$B,"&lt;&gt;Lorena Dias de Araujo",$B:$B,"&lt;&gt;Lucas Luiz Romero")*(28/1083),IF(C2911="Técnico I",SUMIFS($D:$D,$A:$A,$A2911,$B:$B,"&lt;&gt;Patrícia Karla de Sousa Araújo",$B:$B,"&lt;&gt;Lorena Dias de Araujo",$B:$B,"&lt;&gt;Lucas Luiz Romero")*(23/1083),IF(C2911="JR",SUMIFS($D:$D,$A:$A,$A2911,$B:$B,"&lt;&gt;Patrícia Karla de Sousa Araújo",$B:$B,"&lt;&gt;Lorena Dias de Araujo",$B:$B,"&lt;&gt;Lucas Luiz Romero")*(20/1083),IF(C2911="Estágio",SUMIFS($D:$D,$A:$A,$A2911,$B:$B,"&lt;&gt;Patrícia Karla de Sousa Araújo",$B:$B,"&lt;&gt;Lorena Dias de Araujo",$B:$B,"&lt;&gt;Lucas Luiz Romero")*(10/1083),0)))))),0)</f>
        <v>14</v>
      </c>
      <c r="K2911" s="3">
        <f>I2911-J2911</f>
        <v>-3</v>
      </c>
      <c r="L2911" s="3" t="str">
        <f>IF(K2911&lt;-5,"CRÍTICO",IF(K2911&lt;0,"ATENÇÃO",IF(K2911&lt;=5,"OPORTUNO","MUITO BOM")))</f>
        <v>ATENÇÃO</v>
      </c>
      <c r="M2911">
        <v>7</v>
      </c>
      <c r="N2911">
        <v>100</v>
      </c>
      <c r="O2911">
        <v>26.47058823529412</v>
      </c>
    </row>
    <row r="2912" spans="1:15" hidden="1" x14ac:dyDescent="0.25">
      <c r="A2912" s="11">
        <v>46092</v>
      </c>
      <c r="B2912" t="s">
        <v>41</v>
      </c>
      <c r="C2912" t="s">
        <v>32</v>
      </c>
      <c r="D2912">
        <v>0</v>
      </c>
      <c r="E2912">
        <v>0</v>
      </c>
      <c r="F2912">
        <v>0</v>
      </c>
      <c r="G2912">
        <v>0</v>
      </c>
      <c r="H2912">
        <v>0</v>
      </c>
      <c r="I2912" s="3">
        <v>0</v>
      </c>
      <c r="J2912" s="3">
        <v>0</v>
      </c>
      <c r="K2912" s="3">
        <v>0</v>
      </c>
      <c r="L2912" s="3" t="str">
        <f>IF(K2912&lt;-5,"CRÍTICO",IF(K2912&lt;0,"ATENÇÃO",IF(K2912&lt;=5,"OPORTUNO","MUITO BOM")))</f>
        <v>OPORTUNO</v>
      </c>
      <c r="M2912">
        <v>5</v>
      </c>
      <c r="N2912">
        <v>100</v>
      </c>
      <c r="O2912">
        <v>28.490028490028489</v>
      </c>
    </row>
    <row r="2913" spans="1:15" hidden="1" x14ac:dyDescent="0.25">
      <c r="A2913" s="11">
        <v>46092</v>
      </c>
      <c r="B2913" t="s">
        <v>56</v>
      </c>
      <c r="C2913" t="s">
        <v>48</v>
      </c>
      <c r="D2913">
        <v>36</v>
      </c>
      <c r="E2913">
        <v>34</v>
      </c>
      <c r="F2913">
        <v>17.37</v>
      </c>
      <c r="G2913">
        <v>0</v>
      </c>
      <c r="H2913">
        <v>0</v>
      </c>
      <c r="I2913" s="3">
        <f>E2913+G2913+H2913</f>
        <v>34</v>
      </c>
      <c r="J2913" s="3">
        <f>ROUND(MIN(IF(C2913="Técnico III",35,IF(C2913="Técnico II",28,IF(C2913="Técnico I",23,IF(C2913="JR",20,IF(C2913="Estágio",10,0))))),IF(C2913="Técnico III",SUMIFS($D:$D,$A:$A,$A2913,$B:$B,"&lt;&gt;Patrícia Karla de Sousa Araújo",$B:$B,"&lt;&gt;Lorena Dias de Araujo",$B:$B,"&lt;&gt;Lucas Luiz Romero")*(35/1083),IF(C2913="Técnico II",SUMIFS($D:$D,$A:$A,$A2913,$B:$B,"&lt;&gt;Patrícia Karla de Sousa Araújo",$B:$B,"&lt;&gt;Lorena Dias de Araujo",$B:$B,"&lt;&gt;Lucas Luiz Romero")*(28/1083),IF(C2913="Técnico I",SUMIFS($D:$D,$A:$A,$A2913,$B:$B,"&lt;&gt;Patrícia Karla de Sousa Araújo",$B:$B,"&lt;&gt;Lorena Dias de Araujo",$B:$B,"&lt;&gt;Lucas Luiz Romero")*(23/1083),IF(C2913="JR",SUMIFS($D:$D,$A:$A,$A2913,$B:$B,"&lt;&gt;Patrícia Karla de Sousa Araújo",$B:$B,"&lt;&gt;Lorena Dias de Araujo",$B:$B,"&lt;&gt;Lucas Luiz Romero")*(20/1083),IF(C2913="Estágio",SUMIFS($D:$D,$A:$A,$A2913,$B:$B,"&lt;&gt;Patrícia Karla de Sousa Araújo",$B:$B,"&lt;&gt;Lorena Dias de Araujo",$B:$B,"&lt;&gt;Lucas Luiz Romero")*(10/1083),0)))))),0)</f>
        <v>20</v>
      </c>
      <c r="K2913" s="3">
        <f>I2913-J2913</f>
        <v>14</v>
      </c>
      <c r="L2913" s="3" t="str">
        <f>IF(K2913&lt;-5,"CRÍTICO",IF(K2913&lt;0,"ATENÇÃO",IF(K2913&lt;=5,"OPORTUNO","MUITO BOM")))</f>
        <v>MUITO BOM</v>
      </c>
      <c r="M2913">
        <v>18</v>
      </c>
      <c r="N2913">
        <v>99.14</v>
      </c>
      <c r="O2913">
        <v>27.2289156626506</v>
      </c>
    </row>
    <row r="2914" spans="1:15" hidden="1" x14ac:dyDescent="0.25">
      <c r="A2914" s="11">
        <v>46092</v>
      </c>
      <c r="B2914" t="s">
        <v>57</v>
      </c>
      <c r="C2914" t="s">
        <v>48</v>
      </c>
      <c r="D2914">
        <v>29</v>
      </c>
      <c r="E2914">
        <v>26</v>
      </c>
      <c r="F2914">
        <v>20.59</v>
      </c>
      <c r="G2914">
        <v>0</v>
      </c>
      <c r="H2914">
        <v>0</v>
      </c>
      <c r="I2914" s="3">
        <v>0</v>
      </c>
      <c r="J2914" s="3">
        <v>0</v>
      </c>
      <c r="K2914" s="3">
        <v>0</v>
      </c>
      <c r="L2914" s="3" t="str">
        <f>IF(K2914&lt;-5,"CRÍTICO",IF(K2914&lt;0,"ATENÇÃO",IF(K2914&lt;=5,"OPORTUNO","MUITO BOM")))</f>
        <v>OPORTUNO</v>
      </c>
      <c r="M2914">
        <v>18</v>
      </c>
      <c r="N2914">
        <v>97.52</v>
      </c>
      <c r="O2914">
        <v>28.205128205128201</v>
      </c>
    </row>
    <row r="2915" spans="1:15" hidden="1" x14ac:dyDescent="0.25">
      <c r="A2915" s="11">
        <v>46092</v>
      </c>
      <c r="B2915" t="s">
        <v>42</v>
      </c>
      <c r="C2915" t="s">
        <v>32</v>
      </c>
      <c r="D2915">
        <v>60</v>
      </c>
      <c r="E2915">
        <v>50</v>
      </c>
      <c r="F2915">
        <v>12.09</v>
      </c>
      <c r="G2915">
        <v>0</v>
      </c>
      <c r="H2915">
        <v>0</v>
      </c>
      <c r="I2915" s="3">
        <f>E2915+G2915+H2915</f>
        <v>50</v>
      </c>
      <c r="J2915" s="3">
        <f>ROUND(MIN(IF(C2915="Técnico III",35,IF(C2915="Técnico II",28,IF(C2915="Técnico I",23,IF(C2915="JR",20,IF(C2915="Estágio",10,0))))),IF(C2915="Técnico III",SUMIFS($D:$D,$A:$A,$A2915,$B:$B,"&lt;&gt;Patrícia Karla de Sousa Araújo",$B:$B,"&lt;&gt;Lorena Dias de Araujo",$B:$B,"&lt;&gt;Lucas Luiz Romero")*(35/1083),IF(C2915="Técnico II",SUMIFS($D:$D,$A:$A,$A2915,$B:$B,"&lt;&gt;Patrícia Karla de Sousa Araújo",$B:$B,"&lt;&gt;Lorena Dias de Araujo",$B:$B,"&lt;&gt;Lucas Luiz Romero")*(28/1083),IF(C2915="Técnico I",SUMIFS($D:$D,$A:$A,$A2915,$B:$B,"&lt;&gt;Patrícia Karla de Sousa Araújo",$B:$B,"&lt;&gt;Lorena Dias de Araujo",$B:$B,"&lt;&gt;Lucas Luiz Romero")*(23/1083),IF(C2915="JR",SUMIFS($D:$D,$A:$A,$A2915,$B:$B,"&lt;&gt;Patrícia Karla de Sousa Araújo",$B:$B,"&lt;&gt;Lorena Dias de Araujo",$B:$B,"&lt;&gt;Lucas Luiz Romero")*(20/1083),IF(C2915="Estágio",SUMIFS($D:$D,$A:$A,$A2915,$B:$B,"&lt;&gt;Patrícia Karla de Sousa Araújo",$B:$B,"&lt;&gt;Lorena Dias de Araujo",$B:$B,"&lt;&gt;Lucas Luiz Romero")*(10/1083),0)))))),0)</f>
        <v>25</v>
      </c>
      <c r="K2915" s="3">
        <f>I2915-J2915</f>
        <v>25</v>
      </c>
      <c r="L2915" s="3" t="str">
        <f>IF(K2915&lt;-5,"CRÍTICO",IF(K2915&lt;0,"ATENÇÃO",IF(K2915&lt;=5,"OPORTUNO","MUITO BOM")))</f>
        <v>MUITO BOM</v>
      </c>
      <c r="M2915">
        <v>25</v>
      </c>
      <c r="N2915">
        <v>90</v>
      </c>
      <c r="O2915">
        <v>24.186046511627911</v>
      </c>
    </row>
    <row r="2916" spans="1:15" hidden="1" x14ac:dyDescent="0.25">
      <c r="A2916" s="11">
        <v>46092</v>
      </c>
      <c r="B2916" t="s">
        <v>62</v>
      </c>
      <c r="C2916" t="s">
        <v>23</v>
      </c>
      <c r="D2916">
        <v>15</v>
      </c>
      <c r="E2916">
        <v>14</v>
      </c>
      <c r="F2916">
        <v>38.46</v>
      </c>
      <c r="G2916">
        <v>0</v>
      </c>
      <c r="H2916">
        <v>0</v>
      </c>
      <c r="I2916" s="3">
        <f>E2916+G2916+H2916</f>
        <v>14</v>
      </c>
      <c r="J2916" s="3">
        <f>ROUND(MIN(IF(C2916="Técnico III",35,IF(C2916="Técnico II",28,IF(C2916="Técnico I",23,IF(C2916="JR",20,IF(C2916="Estágio",10,0))))),IF(C2916="Técnico III",SUMIFS($D:$D,$A:$A,$A2916,$B:$B,"&lt;&gt;Patrícia Karla de Sousa Araújo",$B:$B,"&lt;&gt;Lorena Dias de Araujo",$B:$B,"&lt;&gt;Lucas Luiz Romero")*(35/1083),IF(C2916="Técnico II",SUMIFS($D:$D,$A:$A,$A2916,$B:$B,"&lt;&gt;Patrícia Karla de Sousa Araújo",$B:$B,"&lt;&gt;Lorena Dias de Araujo",$B:$B,"&lt;&gt;Lucas Luiz Romero")*(28/1083),IF(C2916="Técnico I",SUMIFS($D:$D,$A:$A,$A2916,$B:$B,"&lt;&gt;Patrícia Karla de Sousa Araújo",$B:$B,"&lt;&gt;Lorena Dias de Araujo",$B:$B,"&lt;&gt;Lucas Luiz Romero")*(23/1083),IF(C2916="JR",SUMIFS($D:$D,$A:$A,$A2916,$B:$B,"&lt;&gt;Patrícia Karla de Sousa Araújo",$B:$B,"&lt;&gt;Lorena Dias de Araujo",$B:$B,"&lt;&gt;Lucas Luiz Romero")*(20/1083),IF(C2916="Estágio",SUMIFS($D:$D,$A:$A,$A2916,$B:$B,"&lt;&gt;Patrícia Karla de Sousa Araújo",$B:$B,"&lt;&gt;Lorena Dias de Araujo",$B:$B,"&lt;&gt;Lucas Luiz Romero")*(10/1083),0)))))),0)</f>
        <v>16</v>
      </c>
      <c r="K2916" s="3">
        <f>I2916-J2916</f>
        <v>-2</v>
      </c>
      <c r="L2916" s="3" t="str">
        <f>IF(K2916&lt;-5,"CRÍTICO",IF(K2916&lt;0,"ATENÇÃO",IF(K2916&lt;=5,"OPORTUNO","MUITO BOM")))</f>
        <v>ATENÇÃO</v>
      </c>
      <c r="M2916">
        <v>12</v>
      </c>
      <c r="N2916">
        <v>98.9</v>
      </c>
      <c r="O2916">
        <v>26.763990267639901</v>
      </c>
    </row>
    <row r="2917" spans="1:15" hidden="1" x14ac:dyDescent="0.25">
      <c r="A2917" s="11">
        <v>46092</v>
      </c>
      <c r="B2917" t="s">
        <v>19</v>
      </c>
      <c r="C2917" t="s">
        <v>16</v>
      </c>
      <c r="D2917">
        <v>0</v>
      </c>
      <c r="E2917">
        <v>0</v>
      </c>
      <c r="F2917">
        <v>0</v>
      </c>
      <c r="G2917">
        <v>0</v>
      </c>
      <c r="H2917">
        <v>0</v>
      </c>
      <c r="I2917" s="3">
        <v>0</v>
      </c>
      <c r="J2917" s="3">
        <v>0</v>
      </c>
      <c r="K2917" s="3">
        <v>0</v>
      </c>
      <c r="L2917" s="3" t="str">
        <f>IF(K2917&lt;-5,"CRÍTICO",IF(K2917&lt;0,"ATENÇÃO",IF(K2917&lt;=5,"OPORTUNO","MUITO BOM")))</f>
        <v>OPORTUNO</v>
      </c>
      <c r="M2917">
        <v>0</v>
      </c>
      <c r="N2917">
        <v>88.89</v>
      </c>
      <c r="O2917">
        <v>25.263157894736839</v>
      </c>
    </row>
    <row r="2918" spans="1:15" hidden="1" x14ac:dyDescent="0.25">
      <c r="A2918" s="11">
        <v>46092</v>
      </c>
      <c r="B2918" t="s">
        <v>43</v>
      </c>
      <c r="C2918" t="s">
        <v>32</v>
      </c>
      <c r="D2918">
        <v>39</v>
      </c>
      <c r="E2918">
        <v>36</v>
      </c>
      <c r="F2918">
        <v>17.07</v>
      </c>
      <c r="G2918">
        <v>0</v>
      </c>
      <c r="H2918">
        <v>0</v>
      </c>
      <c r="I2918" s="3">
        <f>E2918+G2918+H2918</f>
        <v>36</v>
      </c>
      <c r="J2918" s="3">
        <f>ROUND(MIN(IF(C2918="Técnico III",35,IF(C2918="Técnico II",28,IF(C2918="Técnico I",23,IF(C2918="JR",20,IF(C2918="Estágio",10,0))))),IF(C2918="Técnico III",SUMIFS($D:$D,$A:$A,$A2918,$B:$B,"&lt;&gt;Patrícia Karla de Sousa Araújo",$B:$B,"&lt;&gt;Lorena Dias de Araujo",$B:$B,"&lt;&gt;Lucas Luiz Romero")*(35/1083),IF(C2918="Técnico II",SUMIFS($D:$D,$A:$A,$A2918,$B:$B,"&lt;&gt;Patrícia Karla de Sousa Araújo",$B:$B,"&lt;&gt;Lorena Dias de Araujo",$B:$B,"&lt;&gt;Lucas Luiz Romero")*(28/1083),IF(C2918="Técnico I",SUMIFS($D:$D,$A:$A,$A2918,$B:$B,"&lt;&gt;Patrícia Karla de Sousa Araújo",$B:$B,"&lt;&gt;Lorena Dias de Araujo",$B:$B,"&lt;&gt;Lucas Luiz Romero")*(23/1083),IF(C2918="JR",SUMIFS($D:$D,$A:$A,$A2918,$B:$B,"&lt;&gt;Patrícia Karla de Sousa Araújo",$B:$B,"&lt;&gt;Lorena Dias de Araujo",$B:$B,"&lt;&gt;Lucas Luiz Romero")*(20/1083),IF(C2918="Estágio",SUMIFS($D:$D,$A:$A,$A2918,$B:$B,"&lt;&gt;Patrícia Karla de Sousa Araújo",$B:$B,"&lt;&gt;Lorena Dias de Araujo",$B:$B,"&lt;&gt;Lucas Luiz Romero")*(10/1083),0)))))),0)</f>
        <v>25</v>
      </c>
      <c r="K2918" s="3">
        <f>I2918-J2918</f>
        <v>11</v>
      </c>
      <c r="L2918" s="3" t="str">
        <f>IF(K2918&lt;-5,"CRÍTICO",IF(K2918&lt;0,"ATENÇÃO",IF(K2918&lt;=5,"OPORTUNO","MUITO BOM")))</f>
        <v>MUITO BOM</v>
      </c>
      <c r="M2918">
        <v>33</v>
      </c>
      <c r="N2918">
        <v>98.86</v>
      </c>
      <c r="O2918">
        <v>28.959276018099551</v>
      </c>
    </row>
    <row r="2919" spans="1:15" hidden="1" x14ac:dyDescent="0.25">
      <c r="A2919" s="11">
        <v>46092</v>
      </c>
      <c r="B2919" t="s">
        <v>44</v>
      </c>
      <c r="C2919" t="s">
        <v>32</v>
      </c>
      <c r="D2919">
        <v>33</v>
      </c>
      <c r="E2919">
        <v>29</v>
      </c>
      <c r="F2919">
        <v>17.149999999999999</v>
      </c>
      <c r="G2919">
        <v>0</v>
      </c>
      <c r="H2919">
        <v>0</v>
      </c>
      <c r="I2919" s="3">
        <f>E2919+G2919+H2919</f>
        <v>29</v>
      </c>
      <c r="J2919" s="3">
        <f>ROUND(MIN(IF(C2919="Técnico III",35,IF(C2919="Técnico II",28,IF(C2919="Técnico I",23,IF(C2919="JR",20,IF(C2919="Estágio",10,0))))),IF(C2919="Técnico III",SUMIFS($D:$D,$A:$A,$A2919,$B:$B,"&lt;&gt;Patrícia Karla de Sousa Araújo",$B:$B,"&lt;&gt;Lorena Dias de Araujo",$B:$B,"&lt;&gt;Lucas Luiz Romero")*(35/1083),IF(C2919="Técnico II",SUMIFS($D:$D,$A:$A,$A2919,$B:$B,"&lt;&gt;Patrícia Karla de Sousa Araújo",$B:$B,"&lt;&gt;Lorena Dias de Araujo",$B:$B,"&lt;&gt;Lucas Luiz Romero")*(28/1083),IF(C2919="Técnico I",SUMIFS($D:$D,$A:$A,$A2919,$B:$B,"&lt;&gt;Patrícia Karla de Sousa Araújo",$B:$B,"&lt;&gt;Lorena Dias de Araujo",$B:$B,"&lt;&gt;Lucas Luiz Romero")*(23/1083),IF(C2919="JR",SUMIFS($D:$D,$A:$A,$A2919,$B:$B,"&lt;&gt;Patrícia Karla de Sousa Araújo",$B:$B,"&lt;&gt;Lorena Dias de Araujo",$B:$B,"&lt;&gt;Lucas Luiz Romero")*(20/1083),IF(C2919="Estágio",SUMIFS($D:$D,$A:$A,$A2919,$B:$B,"&lt;&gt;Patrícia Karla de Sousa Araújo",$B:$B,"&lt;&gt;Lorena Dias de Araujo",$B:$B,"&lt;&gt;Lucas Luiz Romero")*(10/1083),0)))))),0)</f>
        <v>25</v>
      </c>
      <c r="K2919" s="3">
        <f>I2919-J2919</f>
        <v>4</v>
      </c>
      <c r="L2919" s="3" t="str">
        <f>IF(K2919&lt;-5,"CRÍTICO",IF(K2919&lt;0,"ATENÇÃO",IF(K2919&lt;=5,"OPORTUNO","MUITO BOM")))</f>
        <v>OPORTUNO</v>
      </c>
      <c r="M2919">
        <v>23</v>
      </c>
      <c r="N2919">
        <v>98.06</v>
      </c>
      <c r="O2919">
        <v>22.40566037735849</v>
      </c>
    </row>
    <row r="2920" spans="1:15" hidden="1" x14ac:dyDescent="0.25">
      <c r="A2920" s="11">
        <v>46092</v>
      </c>
      <c r="B2920" t="s">
        <v>20</v>
      </c>
      <c r="C2920" t="s">
        <v>16</v>
      </c>
      <c r="D2920">
        <v>6</v>
      </c>
      <c r="E2920">
        <v>5</v>
      </c>
      <c r="F2920">
        <v>46.5</v>
      </c>
      <c r="G2920">
        <v>0</v>
      </c>
      <c r="H2920">
        <v>0</v>
      </c>
      <c r="I2920" s="3">
        <f>E2920+G2920+H2920</f>
        <v>5</v>
      </c>
      <c r="J2920" s="3">
        <f>ROUND(MIN(IF(C2920="Técnico III",35,IF(C2920="Técnico II",28,IF(C2920="Técnico I",23,IF(C2920="JR",20,IF(C2920="Estágio",10,0))))),IF(C2920="Técnico III",SUMIFS($D:$D,$A:$A,$A2920,$B:$B,"&lt;&gt;Patrícia Karla de Sousa Araújo",$B:$B,"&lt;&gt;Lorena Dias de Araujo",$B:$B,"&lt;&gt;Lucas Luiz Romero")*(35/1083),IF(C2920="Técnico II",SUMIFS($D:$D,$A:$A,$A2920,$B:$B,"&lt;&gt;Patrícia Karla de Sousa Araújo",$B:$B,"&lt;&gt;Lorena Dias de Araujo",$B:$B,"&lt;&gt;Lucas Luiz Romero")*(28/1083),IF(C2920="Técnico I",SUMIFS($D:$D,$A:$A,$A2920,$B:$B,"&lt;&gt;Patrícia Karla de Sousa Araújo",$B:$B,"&lt;&gt;Lorena Dias de Araujo",$B:$B,"&lt;&gt;Lucas Luiz Romero")*(23/1083),IF(C2920="JR",SUMIFS($D:$D,$A:$A,$A2920,$B:$B,"&lt;&gt;Patrícia Karla de Sousa Araújo",$B:$B,"&lt;&gt;Lorena Dias de Araujo",$B:$B,"&lt;&gt;Lucas Luiz Romero")*(20/1083),IF(C2920="Estágio",SUMIFS($D:$D,$A:$A,$A2920,$B:$B,"&lt;&gt;Patrícia Karla de Sousa Araújo",$B:$B,"&lt;&gt;Lorena Dias de Araujo",$B:$B,"&lt;&gt;Lucas Luiz Romero")*(10/1083),0)))))),0)</f>
        <v>7</v>
      </c>
      <c r="K2920" s="3">
        <f>I2920-J2920</f>
        <v>-2</v>
      </c>
      <c r="L2920" s="3" t="str">
        <f>IF(K2920&lt;-5,"CRÍTICO",IF(K2920&lt;0,"ATENÇÃO",IF(K2920&lt;=5,"OPORTUNO","MUITO BOM")))</f>
        <v>ATENÇÃO</v>
      </c>
      <c r="M2920">
        <v>5</v>
      </c>
      <c r="N2920">
        <v>95.83</v>
      </c>
      <c r="O2920">
        <v>25.773195876288661</v>
      </c>
    </row>
    <row r="2921" spans="1:15" hidden="1" x14ac:dyDescent="0.25">
      <c r="A2921" s="11">
        <v>46092</v>
      </c>
      <c r="B2921" t="s">
        <v>28</v>
      </c>
      <c r="C2921" t="s">
        <v>26</v>
      </c>
      <c r="D2921">
        <v>0</v>
      </c>
      <c r="E2921">
        <v>0</v>
      </c>
      <c r="F2921">
        <v>0</v>
      </c>
      <c r="G2921">
        <v>0</v>
      </c>
      <c r="H2921">
        <v>0</v>
      </c>
      <c r="I2921" s="3">
        <v>0</v>
      </c>
      <c r="J2921" s="3">
        <v>0</v>
      </c>
      <c r="K2921" s="3">
        <v>0</v>
      </c>
      <c r="L2921" s="3" t="str">
        <f>IF(K2921&lt;-5,"CRÍTICO",IF(K2921&lt;0,"ATENÇÃO",IF(K2921&lt;=5,"OPORTUNO","MUITO BOM")))</f>
        <v>OPORTUNO</v>
      </c>
      <c r="M2921">
        <v>0</v>
      </c>
      <c r="N2921">
        <v>100</v>
      </c>
      <c r="O2921">
        <v>15.38461538461539</v>
      </c>
    </row>
    <row r="2922" spans="1:15" hidden="1" x14ac:dyDescent="0.25">
      <c r="A2922" s="11">
        <v>46092</v>
      </c>
      <c r="B2922" t="s">
        <v>58</v>
      </c>
      <c r="C2922" t="s">
        <v>48</v>
      </c>
      <c r="D2922">
        <v>12</v>
      </c>
      <c r="E2922">
        <v>11</v>
      </c>
      <c r="F2922">
        <v>20.49</v>
      </c>
      <c r="G2922">
        <v>0</v>
      </c>
      <c r="H2922">
        <v>0</v>
      </c>
      <c r="I2922" s="3">
        <f>E2922+G2922+H2922</f>
        <v>11</v>
      </c>
      <c r="J2922" s="3">
        <f>ROUND(MIN(IF(C2922="Técnico III",35,IF(C2922="Técnico II",28,IF(C2922="Técnico I",23,IF(C2922="JR",20,IF(C2922="Estágio",10,0))))),IF(C2922="Técnico III",SUMIFS($D:$D,$A:$A,$A2922,$B:$B,"&lt;&gt;Patrícia Karla de Sousa Araújo",$B:$B,"&lt;&gt;Lorena Dias de Araujo",$B:$B,"&lt;&gt;Lucas Luiz Romero")*(35/1083),IF(C2922="Técnico II",SUMIFS($D:$D,$A:$A,$A2922,$B:$B,"&lt;&gt;Patrícia Karla de Sousa Araújo",$B:$B,"&lt;&gt;Lorena Dias de Araujo",$B:$B,"&lt;&gt;Lucas Luiz Romero")*(28/1083),IF(C2922="Técnico I",SUMIFS($D:$D,$A:$A,$A2922,$B:$B,"&lt;&gt;Patrícia Karla de Sousa Araújo",$B:$B,"&lt;&gt;Lorena Dias de Araujo",$B:$B,"&lt;&gt;Lucas Luiz Romero")*(23/1083),IF(C2922="JR",SUMIFS($D:$D,$A:$A,$A2922,$B:$B,"&lt;&gt;Patrícia Karla de Sousa Araújo",$B:$B,"&lt;&gt;Lorena Dias de Araujo",$B:$B,"&lt;&gt;Lucas Luiz Romero")*(20/1083),IF(C2922="Estágio",SUMIFS($D:$D,$A:$A,$A2922,$B:$B,"&lt;&gt;Patrícia Karla de Sousa Araújo",$B:$B,"&lt;&gt;Lorena Dias de Araujo",$B:$B,"&lt;&gt;Lucas Luiz Romero")*(10/1083),0)))))),0)</f>
        <v>20</v>
      </c>
      <c r="K2922" s="3">
        <f>I2922-J2922</f>
        <v>-9</v>
      </c>
      <c r="L2922" s="3" t="str">
        <f>IF(K2922&lt;-5,"CRÍTICO",IF(K2922&lt;0,"ATENÇÃO",IF(K2922&lt;=5,"OPORTUNO","MUITO BOM")))</f>
        <v>CRÍTICO</v>
      </c>
      <c r="M2922">
        <v>9</v>
      </c>
      <c r="N2922">
        <v>100</v>
      </c>
      <c r="O2922">
        <v>27.514792899408281</v>
      </c>
    </row>
    <row r="2923" spans="1:15" hidden="1" x14ac:dyDescent="0.25">
      <c r="A2923" s="11">
        <v>46092</v>
      </c>
      <c r="B2923" t="s">
        <v>29</v>
      </c>
      <c r="C2923" t="s">
        <v>26</v>
      </c>
      <c r="D2923">
        <v>9</v>
      </c>
      <c r="E2923">
        <v>8</v>
      </c>
      <c r="F2923">
        <v>40.11</v>
      </c>
      <c r="G2923">
        <v>0</v>
      </c>
      <c r="H2923">
        <v>0</v>
      </c>
      <c r="I2923" s="3">
        <f>E2923+G2923+H2923</f>
        <v>8</v>
      </c>
      <c r="J2923" s="3">
        <f>ROUND(MIN(IF(C2923="Técnico III",35,IF(C2923="Técnico II",28,IF(C2923="Técnico I",23,IF(C2923="JR",20,IF(C2923="Estágio",10,0))))),IF(C2923="Técnico III",SUMIFS($D:$D,$A:$A,$A2923,$B:$B,"&lt;&gt;Patrícia Karla de Sousa Araújo",$B:$B,"&lt;&gt;Lorena Dias de Araujo",$B:$B,"&lt;&gt;Lucas Luiz Romero")*(35/1083),IF(C2923="Técnico II",SUMIFS($D:$D,$A:$A,$A2923,$B:$B,"&lt;&gt;Patrícia Karla de Sousa Araújo",$B:$B,"&lt;&gt;Lorena Dias de Araujo",$B:$B,"&lt;&gt;Lucas Luiz Romero")*(28/1083),IF(C2923="Técnico I",SUMIFS($D:$D,$A:$A,$A2923,$B:$B,"&lt;&gt;Patrícia Karla de Sousa Araújo",$B:$B,"&lt;&gt;Lorena Dias de Araujo",$B:$B,"&lt;&gt;Lucas Luiz Romero")*(23/1083),IF(C2923="JR",SUMIFS($D:$D,$A:$A,$A2923,$B:$B,"&lt;&gt;Patrícia Karla de Sousa Araújo",$B:$B,"&lt;&gt;Lorena Dias de Araujo",$B:$B,"&lt;&gt;Lucas Luiz Romero")*(20/1083),IF(C2923="Estágio",SUMIFS($D:$D,$A:$A,$A2923,$B:$B,"&lt;&gt;Patrícia Karla de Sousa Araújo",$B:$B,"&lt;&gt;Lorena Dias de Araujo",$B:$B,"&lt;&gt;Lucas Luiz Romero")*(10/1083),0)))))),0)</f>
        <v>14</v>
      </c>
      <c r="K2923" s="3">
        <f>I2923-J2923</f>
        <v>-6</v>
      </c>
      <c r="L2923" s="3" t="str">
        <f>IF(K2923&lt;-5,"CRÍTICO",IF(K2923&lt;0,"ATENÇÃO",IF(K2923&lt;=5,"OPORTUNO","MUITO BOM")))</f>
        <v>CRÍTICO</v>
      </c>
      <c r="M2923">
        <v>7</v>
      </c>
      <c r="N2923">
        <v>100</v>
      </c>
      <c r="O2923">
        <v>24.875621890547269</v>
      </c>
    </row>
    <row r="2924" spans="1:15" hidden="1" x14ac:dyDescent="0.25">
      <c r="A2924" s="11">
        <v>46092</v>
      </c>
      <c r="B2924" t="s">
        <v>30</v>
      </c>
      <c r="C2924" t="s">
        <v>26</v>
      </c>
      <c r="D2924">
        <v>13</v>
      </c>
      <c r="E2924">
        <v>13</v>
      </c>
      <c r="F2924">
        <v>34.159999999999997</v>
      </c>
      <c r="G2924">
        <v>0</v>
      </c>
      <c r="H2924">
        <v>0</v>
      </c>
      <c r="I2924" s="3">
        <f>E2924+G2924+H2924</f>
        <v>13</v>
      </c>
      <c r="J2924" s="3">
        <f>ROUND(MIN(IF(C2924="Técnico III",35,IF(C2924="Técnico II",28,IF(C2924="Técnico I",23,IF(C2924="JR",20,IF(C2924="Estágio",10,0))))),IF(C2924="Técnico III",SUMIFS($D:$D,$A:$A,$A2924,$B:$B,"&lt;&gt;Patrícia Karla de Sousa Araújo",$B:$B,"&lt;&gt;Lorena Dias de Araujo",$B:$B,"&lt;&gt;Lucas Luiz Romero")*(35/1083),IF(C2924="Técnico II",SUMIFS($D:$D,$A:$A,$A2924,$B:$B,"&lt;&gt;Patrícia Karla de Sousa Araújo",$B:$B,"&lt;&gt;Lorena Dias de Araujo",$B:$B,"&lt;&gt;Lucas Luiz Romero")*(28/1083),IF(C2924="Técnico I",SUMIFS($D:$D,$A:$A,$A2924,$B:$B,"&lt;&gt;Patrícia Karla de Sousa Araújo",$B:$B,"&lt;&gt;Lorena Dias de Araujo",$B:$B,"&lt;&gt;Lucas Luiz Romero")*(23/1083),IF(C2924="JR",SUMIFS($D:$D,$A:$A,$A2924,$B:$B,"&lt;&gt;Patrícia Karla de Sousa Araújo",$B:$B,"&lt;&gt;Lorena Dias de Araujo",$B:$B,"&lt;&gt;Lucas Luiz Romero")*(20/1083),IF(C2924="Estágio",SUMIFS($D:$D,$A:$A,$A2924,$B:$B,"&lt;&gt;Patrícia Karla de Sousa Araújo",$B:$B,"&lt;&gt;Lorena Dias de Araujo",$B:$B,"&lt;&gt;Lucas Luiz Romero")*(10/1083),0)))))),0)</f>
        <v>14</v>
      </c>
      <c r="K2924" s="3">
        <f>I2924-J2924</f>
        <v>-1</v>
      </c>
      <c r="L2924" s="3" t="str">
        <f>IF(K2924&lt;-5,"CRÍTICO",IF(K2924&lt;0,"ATENÇÃO",IF(K2924&lt;=5,"OPORTUNO","MUITO BOM")))</f>
        <v>ATENÇÃO</v>
      </c>
      <c r="M2924">
        <v>10</v>
      </c>
      <c r="N2924">
        <v>100</v>
      </c>
      <c r="O2924">
        <v>28.108108108108109</v>
      </c>
    </row>
    <row r="2925" spans="1:15" hidden="1" x14ac:dyDescent="0.25">
      <c r="A2925" s="11">
        <v>46092</v>
      </c>
      <c r="B2925" t="s">
        <v>21</v>
      </c>
      <c r="C2925" t="s">
        <v>16</v>
      </c>
      <c r="D2925">
        <v>0</v>
      </c>
      <c r="E2925">
        <v>0</v>
      </c>
      <c r="F2925">
        <v>0</v>
      </c>
      <c r="G2925">
        <v>0</v>
      </c>
      <c r="H2925">
        <v>0</v>
      </c>
      <c r="I2925" s="3">
        <v>0</v>
      </c>
      <c r="J2925" s="3">
        <v>0</v>
      </c>
      <c r="K2925" s="3">
        <v>0</v>
      </c>
      <c r="L2925" s="3" t="str">
        <f>IF(K2925&lt;-5,"CRÍTICO",IF(K2925&lt;0,"ATENÇÃO",IF(K2925&lt;=5,"OPORTUNO","MUITO BOM")))</f>
        <v>OPORTUNO</v>
      </c>
      <c r="M2925">
        <v>0</v>
      </c>
      <c r="N2925">
        <v>100</v>
      </c>
      <c r="O2925">
        <v>35</v>
      </c>
    </row>
    <row r="2926" spans="1:15" hidden="1" x14ac:dyDescent="0.25">
      <c r="A2926" s="11">
        <v>46092</v>
      </c>
      <c r="B2926" t="s">
        <v>63</v>
      </c>
      <c r="C2926" t="s">
        <v>23</v>
      </c>
      <c r="D2926">
        <v>34</v>
      </c>
      <c r="E2926">
        <v>27</v>
      </c>
      <c r="F2926">
        <v>22.3</v>
      </c>
      <c r="G2926">
        <v>0</v>
      </c>
      <c r="H2926">
        <v>0</v>
      </c>
      <c r="I2926" s="3">
        <f>E2926+G2926+H2926</f>
        <v>27</v>
      </c>
      <c r="J2926" s="3">
        <f>ROUND(MIN(IF(C2926="Técnico III",35,IF(C2926="Técnico II",28,IF(C2926="Técnico I",23,IF(C2926="JR",20,IF(C2926="Estágio",10,0))))),IF(C2926="Técnico III",SUMIFS($D:$D,$A:$A,$A2926,$B:$B,"&lt;&gt;Patrícia Karla de Sousa Araújo",$B:$B,"&lt;&gt;Lorena Dias de Araujo",$B:$B,"&lt;&gt;Lucas Luiz Romero")*(35/1083),IF(C2926="Técnico II",SUMIFS($D:$D,$A:$A,$A2926,$B:$B,"&lt;&gt;Patrícia Karla de Sousa Araújo",$B:$B,"&lt;&gt;Lorena Dias de Araujo",$B:$B,"&lt;&gt;Lucas Luiz Romero")*(28/1083),IF(C2926="Técnico I",SUMIFS($D:$D,$A:$A,$A2926,$B:$B,"&lt;&gt;Patrícia Karla de Sousa Araújo",$B:$B,"&lt;&gt;Lorena Dias de Araujo",$B:$B,"&lt;&gt;Lucas Luiz Romero")*(23/1083),IF(C2926="JR",SUMIFS($D:$D,$A:$A,$A2926,$B:$B,"&lt;&gt;Patrícia Karla de Sousa Araújo",$B:$B,"&lt;&gt;Lorena Dias de Araujo",$B:$B,"&lt;&gt;Lucas Luiz Romero")*(20/1083),IF(C2926="Estágio",SUMIFS($D:$D,$A:$A,$A2926,$B:$B,"&lt;&gt;Patrícia Karla de Sousa Araújo",$B:$B,"&lt;&gt;Lorena Dias de Araujo",$B:$B,"&lt;&gt;Lucas Luiz Romero")*(10/1083),0)))))),0)</f>
        <v>16</v>
      </c>
      <c r="K2926" s="3">
        <f>I2926-J2926</f>
        <v>11</v>
      </c>
      <c r="L2926" s="3" t="str">
        <f>IF(K2926&lt;-5,"CRÍTICO",IF(K2926&lt;0,"ATENÇÃO",IF(K2926&lt;=5,"OPORTUNO","MUITO BOM")))</f>
        <v>MUITO BOM</v>
      </c>
      <c r="M2926">
        <v>19</v>
      </c>
      <c r="N2926">
        <v>95.35</v>
      </c>
      <c r="O2926">
        <v>28.61538461538461</v>
      </c>
    </row>
    <row r="2927" spans="1:15" hidden="1" x14ac:dyDescent="0.25">
      <c r="A2927" s="11">
        <v>46092</v>
      </c>
      <c r="B2927" t="s">
        <v>45</v>
      </c>
      <c r="C2927" t="s">
        <v>32</v>
      </c>
      <c r="D2927">
        <v>49</v>
      </c>
      <c r="E2927">
        <v>44</v>
      </c>
      <c r="F2927">
        <v>15.2</v>
      </c>
      <c r="G2927">
        <v>0</v>
      </c>
      <c r="H2927">
        <v>0</v>
      </c>
      <c r="I2927" s="3">
        <f>E2927+G2927+H2927</f>
        <v>44</v>
      </c>
      <c r="J2927" s="3">
        <f>ROUND(MIN(IF(C2927="Técnico III",35,IF(C2927="Técnico II",28,IF(C2927="Técnico I",23,IF(C2927="JR",20,IF(C2927="Estágio",10,0))))),IF(C2927="Técnico III",SUMIFS($D:$D,$A:$A,$A2927,$B:$B,"&lt;&gt;Patrícia Karla de Sousa Araújo",$B:$B,"&lt;&gt;Lorena Dias de Araujo",$B:$B,"&lt;&gt;Lucas Luiz Romero")*(35/1083),IF(C2927="Técnico II",SUMIFS($D:$D,$A:$A,$A2927,$B:$B,"&lt;&gt;Patrícia Karla de Sousa Araújo",$B:$B,"&lt;&gt;Lorena Dias de Araujo",$B:$B,"&lt;&gt;Lucas Luiz Romero")*(28/1083),IF(C2927="Técnico I",SUMIFS($D:$D,$A:$A,$A2927,$B:$B,"&lt;&gt;Patrícia Karla de Sousa Araújo",$B:$B,"&lt;&gt;Lorena Dias de Araujo",$B:$B,"&lt;&gt;Lucas Luiz Romero")*(23/1083),IF(C2927="JR",SUMIFS($D:$D,$A:$A,$A2927,$B:$B,"&lt;&gt;Patrícia Karla de Sousa Araújo",$B:$B,"&lt;&gt;Lorena Dias de Araujo",$B:$B,"&lt;&gt;Lucas Luiz Romero")*(20/1083),IF(C2927="Estágio",SUMIFS($D:$D,$A:$A,$A2927,$B:$B,"&lt;&gt;Patrícia Karla de Sousa Araújo",$B:$B,"&lt;&gt;Lorena Dias de Araujo",$B:$B,"&lt;&gt;Lucas Luiz Romero")*(10/1083),0)))))),0)</f>
        <v>25</v>
      </c>
      <c r="K2927" s="3">
        <f>I2927-J2927</f>
        <v>19</v>
      </c>
      <c r="L2927" s="3" t="str">
        <f>IF(K2927&lt;-5,"CRÍTICO",IF(K2927&lt;0,"ATENÇÃO",IF(K2927&lt;=5,"OPORTUNO","MUITO BOM")))</f>
        <v>MUITO BOM</v>
      </c>
      <c r="M2927">
        <v>27</v>
      </c>
      <c r="N2927">
        <v>98.26</v>
      </c>
      <c r="O2927">
        <v>27.54491017964072</v>
      </c>
    </row>
    <row r="2928" spans="1:15" hidden="1" x14ac:dyDescent="0.25">
      <c r="A2928" s="11">
        <v>46092</v>
      </c>
      <c r="B2928" t="s">
        <v>64</v>
      </c>
      <c r="C2928" t="s">
        <v>23</v>
      </c>
      <c r="D2928">
        <v>17</v>
      </c>
      <c r="E2928">
        <v>17</v>
      </c>
      <c r="F2928">
        <v>30.11</v>
      </c>
      <c r="G2928">
        <v>0</v>
      </c>
      <c r="H2928">
        <v>0</v>
      </c>
      <c r="I2928" s="3">
        <f>E2928+G2928+H2928</f>
        <v>17</v>
      </c>
      <c r="J2928" s="3">
        <f>ROUND(MIN(IF(C2928="Técnico III",35,IF(C2928="Técnico II",28,IF(C2928="Técnico I",23,IF(C2928="JR",20,IF(C2928="Estágio",10,0))))),IF(C2928="Técnico III",SUMIFS($D:$D,$A:$A,$A2928,$B:$B,"&lt;&gt;Patrícia Karla de Sousa Araújo",$B:$B,"&lt;&gt;Lorena Dias de Araujo",$B:$B,"&lt;&gt;Lucas Luiz Romero")*(35/1083),IF(C2928="Técnico II",SUMIFS($D:$D,$A:$A,$A2928,$B:$B,"&lt;&gt;Patrícia Karla de Sousa Araújo",$B:$B,"&lt;&gt;Lorena Dias de Araujo",$B:$B,"&lt;&gt;Lucas Luiz Romero")*(28/1083),IF(C2928="Técnico I",SUMIFS($D:$D,$A:$A,$A2928,$B:$B,"&lt;&gt;Patrícia Karla de Sousa Araújo",$B:$B,"&lt;&gt;Lorena Dias de Araujo",$B:$B,"&lt;&gt;Lucas Luiz Romero")*(23/1083),IF(C2928="JR",SUMIFS($D:$D,$A:$A,$A2928,$B:$B,"&lt;&gt;Patrícia Karla de Sousa Araújo",$B:$B,"&lt;&gt;Lorena Dias de Araujo",$B:$B,"&lt;&gt;Lucas Luiz Romero")*(20/1083),IF(C2928="Estágio",SUMIFS($D:$D,$A:$A,$A2928,$B:$B,"&lt;&gt;Patrícia Karla de Sousa Araújo",$B:$B,"&lt;&gt;Lorena Dias de Araujo",$B:$B,"&lt;&gt;Lucas Luiz Romero")*(10/1083),0)))))),0)</f>
        <v>16</v>
      </c>
      <c r="K2928" s="3">
        <f>I2928-J2928</f>
        <v>1</v>
      </c>
      <c r="L2928" s="3" t="str">
        <f>IF(K2928&lt;-5,"CRÍTICO",IF(K2928&lt;0,"ATENÇÃO",IF(K2928&lt;=5,"OPORTUNO","MUITO BOM")))</f>
        <v>OPORTUNO</v>
      </c>
      <c r="M2928">
        <v>15</v>
      </c>
      <c r="N2928">
        <v>98.55</v>
      </c>
      <c r="O2928">
        <v>25.337837837837839</v>
      </c>
    </row>
    <row r="2929" spans="1:15" hidden="1" x14ac:dyDescent="0.25">
      <c r="A2929" s="11">
        <v>46092</v>
      </c>
      <c r="B2929" t="s">
        <v>46</v>
      </c>
      <c r="C2929" t="s">
        <v>32</v>
      </c>
      <c r="D2929">
        <v>37</v>
      </c>
      <c r="E2929">
        <v>32</v>
      </c>
      <c r="F2929">
        <v>14.03</v>
      </c>
      <c r="G2929">
        <v>0</v>
      </c>
      <c r="H2929">
        <v>0</v>
      </c>
      <c r="I2929" s="3">
        <f>E2929+G2929+H2929</f>
        <v>32</v>
      </c>
      <c r="J2929" s="3">
        <f>ROUND(MIN(IF(C2929="Técnico III",35,IF(C2929="Técnico II",28,IF(C2929="Técnico I",23,IF(C2929="JR",20,IF(C2929="Estágio",10,0))))),IF(C2929="Técnico III",SUMIFS($D:$D,$A:$A,$A2929,$B:$B,"&lt;&gt;Patrícia Karla de Sousa Araújo",$B:$B,"&lt;&gt;Lorena Dias de Araujo",$B:$B,"&lt;&gt;Lucas Luiz Romero")*(35/1083),IF(C2929="Técnico II",SUMIFS($D:$D,$A:$A,$A2929,$B:$B,"&lt;&gt;Patrícia Karla de Sousa Araújo",$B:$B,"&lt;&gt;Lorena Dias de Araujo",$B:$B,"&lt;&gt;Lucas Luiz Romero")*(28/1083),IF(C2929="Técnico I",SUMIFS($D:$D,$A:$A,$A2929,$B:$B,"&lt;&gt;Patrícia Karla de Sousa Araújo",$B:$B,"&lt;&gt;Lorena Dias de Araujo",$B:$B,"&lt;&gt;Lucas Luiz Romero")*(23/1083),IF(C2929="JR",SUMIFS($D:$D,$A:$A,$A2929,$B:$B,"&lt;&gt;Patrícia Karla de Sousa Araújo",$B:$B,"&lt;&gt;Lorena Dias de Araujo",$B:$B,"&lt;&gt;Lucas Luiz Romero")*(20/1083),IF(C2929="Estágio",SUMIFS($D:$D,$A:$A,$A2929,$B:$B,"&lt;&gt;Patrícia Karla de Sousa Araújo",$B:$B,"&lt;&gt;Lorena Dias de Araujo",$B:$B,"&lt;&gt;Lucas Luiz Romero")*(10/1083),0)))))),0)</f>
        <v>25</v>
      </c>
      <c r="K2929" s="3">
        <f>I2929-J2929</f>
        <v>7</v>
      </c>
      <c r="L2929" s="3" t="str">
        <f>IF(K2929&lt;-5,"CRÍTICO",IF(K2929&lt;0,"ATENÇÃO",IF(K2929&lt;=5,"OPORTUNO","MUITO BOM")))</f>
        <v>MUITO BOM</v>
      </c>
      <c r="M2929">
        <v>27</v>
      </c>
      <c r="N2929">
        <v>98.39</v>
      </c>
      <c r="O2929">
        <v>25.563909774436091</v>
      </c>
    </row>
    <row r="2930" spans="1:15" hidden="1" x14ac:dyDescent="0.25">
      <c r="A2930" s="11">
        <v>46093</v>
      </c>
      <c r="B2930" t="s">
        <v>47</v>
      </c>
      <c r="C2930" t="s">
        <v>48</v>
      </c>
      <c r="D2930">
        <v>14</v>
      </c>
      <c r="E2930">
        <v>11</v>
      </c>
      <c r="F2930">
        <v>25.59</v>
      </c>
      <c r="G2930">
        <v>0</v>
      </c>
      <c r="H2930">
        <v>0</v>
      </c>
      <c r="I2930" s="3">
        <f>E2930+G2930+H2930</f>
        <v>11</v>
      </c>
      <c r="J2930" s="3">
        <f>ROUND(MIN(IF(C2930="Técnico III",35,IF(C2930="Técnico II",28,IF(C2930="Técnico I",23,IF(C2930="JR",20,IF(C2930="Estágio",10,0))))),IF(C2930="Técnico III",SUMIFS($D:$D,$A:$A,$A2930,$B:$B,"&lt;&gt;Patrícia Karla de Sousa Araújo",$B:$B,"&lt;&gt;Lorena Dias de Araujo",$B:$B,"&lt;&gt;Lucas Luiz Romero")*(35/1083),IF(C2930="Técnico II",SUMIFS($D:$D,$A:$A,$A2930,$B:$B,"&lt;&gt;Patrícia Karla de Sousa Araújo",$B:$B,"&lt;&gt;Lorena Dias de Araujo",$B:$B,"&lt;&gt;Lucas Luiz Romero")*(28/1083),IF(C2930="Técnico I",SUMIFS($D:$D,$A:$A,$A2930,$B:$B,"&lt;&gt;Patrícia Karla de Sousa Araújo",$B:$B,"&lt;&gt;Lorena Dias de Araujo",$B:$B,"&lt;&gt;Lucas Luiz Romero")*(23/1083),IF(C2930="JR",SUMIFS($D:$D,$A:$A,$A2930,$B:$B,"&lt;&gt;Patrícia Karla de Sousa Araújo",$B:$B,"&lt;&gt;Lorena Dias de Araujo",$B:$B,"&lt;&gt;Lucas Luiz Romero")*(20/1083),IF(C2930="Estágio",SUMIFS($D:$D,$A:$A,$A2930,$B:$B,"&lt;&gt;Patrícia Karla de Sousa Araújo",$B:$B,"&lt;&gt;Lorena Dias de Araujo",$B:$B,"&lt;&gt;Lucas Luiz Romero")*(10/1083),0)))))),0)</f>
        <v>18</v>
      </c>
      <c r="K2930" s="3">
        <f>I2930-J2930</f>
        <v>-7</v>
      </c>
      <c r="L2930" s="3" t="str">
        <f>IF(K2930&lt;-5,"CRÍTICO",IF(K2930&lt;0,"ATENÇÃO",IF(K2930&lt;=5,"OPORTUNO","MUITO BOM")))</f>
        <v>CRÍTICO</v>
      </c>
      <c r="M2930">
        <v>8</v>
      </c>
      <c r="N2930">
        <v>94.29</v>
      </c>
      <c r="O2930">
        <v>25.647668393782389</v>
      </c>
    </row>
    <row r="2931" spans="1:15" hidden="1" x14ac:dyDescent="0.25">
      <c r="A2931" s="11">
        <v>46093</v>
      </c>
      <c r="B2931" t="s">
        <v>31</v>
      </c>
      <c r="C2931" t="s">
        <v>32</v>
      </c>
      <c r="D2931">
        <v>0</v>
      </c>
      <c r="E2931">
        <v>0</v>
      </c>
      <c r="F2931">
        <v>0</v>
      </c>
      <c r="G2931">
        <v>0</v>
      </c>
      <c r="H2931">
        <v>0</v>
      </c>
      <c r="I2931" s="3">
        <v>0</v>
      </c>
      <c r="J2931" s="3">
        <v>0</v>
      </c>
      <c r="K2931" s="3">
        <v>0</v>
      </c>
      <c r="L2931" s="3" t="str">
        <f>IF(K2931&lt;-5,"CRÍTICO",IF(K2931&lt;0,"ATENÇÃO",IF(K2931&lt;=5,"OPORTUNO","MUITO BOM")))</f>
        <v>OPORTUNO</v>
      </c>
      <c r="M2931">
        <v>22</v>
      </c>
      <c r="N2931">
        <v>98.26</v>
      </c>
      <c r="O2931">
        <v>26.666666666666671</v>
      </c>
    </row>
    <row r="2932" spans="1:15" hidden="1" x14ac:dyDescent="0.25">
      <c r="A2932" s="11">
        <v>46093</v>
      </c>
      <c r="B2932" t="s">
        <v>59</v>
      </c>
      <c r="C2932" t="s">
        <v>23</v>
      </c>
      <c r="D2932">
        <v>20</v>
      </c>
      <c r="E2932">
        <v>17</v>
      </c>
      <c r="F2932">
        <v>28.43</v>
      </c>
      <c r="G2932">
        <v>0</v>
      </c>
      <c r="H2932">
        <v>0</v>
      </c>
      <c r="I2932" s="3">
        <f>E2932+G2932+H2932</f>
        <v>17</v>
      </c>
      <c r="J2932" s="3">
        <f>ROUND(MIN(IF(C2932="Técnico III",35,IF(C2932="Técnico II",28,IF(C2932="Técnico I",23,IF(C2932="JR",20,IF(C2932="Estágio",10,0))))),IF(C2932="Técnico III",SUMIFS($D:$D,$A:$A,$A2932,$B:$B,"&lt;&gt;Patrícia Karla de Sousa Araújo",$B:$B,"&lt;&gt;Lorena Dias de Araujo",$B:$B,"&lt;&gt;Lucas Luiz Romero")*(35/1083),IF(C2932="Técnico II",SUMIFS($D:$D,$A:$A,$A2932,$B:$B,"&lt;&gt;Patrícia Karla de Sousa Araújo",$B:$B,"&lt;&gt;Lorena Dias de Araujo",$B:$B,"&lt;&gt;Lucas Luiz Romero")*(28/1083),IF(C2932="Técnico I",SUMIFS($D:$D,$A:$A,$A2932,$B:$B,"&lt;&gt;Patrícia Karla de Sousa Araújo",$B:$B,"&lt;&gt;Lorena Dias de Araujo",$B:$B,"&lt;&gt;Lucas Luiz Romero")*(23/1083),IF(C2932="JR",SUMIFS($D:$D,$A:$A,$A2932,$B:$B,"&lt;&gt;Patrícia Karla de Sousa Araújo",$B:$B,"&lt;&gt;Lorena Dias de Araujo",$B:$B,"&lt;&gt;Lucas Luiz Romero")*(20/1083),IF(C2932="Estágio",SUMIFS($D:$D,$A:$A,$A2932,$B:$B,"&lt;&gt;Patrícia Karla de Sousa Araújo",$B:$B,"&lt;&gt;Lorena Dias de Araujo",$B:$B,"&lt;&gt;Lucas Luiz Romero")*(10/1083),0)))))),0)</f>
        <v>15</v>
      </c>
      <c r="K2932" s="3">
        <f>I2932-J2932</f>
        <v>2</v>
      </c>
      <c r="L2932" s="3" t="str">
        <f>IF(K2932&lt;-5,"CRÍTICO",IF(K2932&lt;0,"ATENÇÃO",IF(K2932&lt;=5,"OPORTUNO","MUITO BOM")))</f>
        <v>OPORTUNO</v>
      </c>
      <c r="M2932">
        <v>15</v>
      </c>
      <c r="N2932">
        <v>98.2</v>
      </c>
      <c r="O2932">
        <v>23.37962962962963</v>
      </c>
    </row>
    <row r="2933" spans="1:15" hidden="1" x14ac:dyDescent="0.25">
      <c r="A2933" s="11">
        <v>46093</v>
      </c>
      <c r="B2933" t="s">
        <v>33</v>
      </c>
      <c r="C2933" t="s">
        <v>32</v>
      </c>
      <c r="D2933">
        <v>26</v>
      </c>
      <c r="E2933">
        <v>24</v>
      </c>
      <c r="F2933">
        <v>20.03</v>
      </c>
      <c r="G2933">
        <v>0</v>
      </c>
      <c r="H2933">
        <v>0</v>
      </c>
      <c r="I2933" s="3">
        <f>E2933+G2933+H2933</f>
        <v>24</v>
      </c>
      <c r="J2933" s="3">
        <f>ROUND(MIN(IF(C2933="Técnico III",35,IF(C2933="Técnico II",28,IF(C2933="Técnico I",23,IF(C2933="JR",20,IF(C2933="Estágio",10,0))))),IF(C2933="Técnico III",SUMIFS($D:$D,$A:$A,$A2933,$B:$B,"&lt;&gt;Patrícia Karla de Sousa Araújo",$B:$B,"&lt;&gt;Lorena Dias de Araujo",$B:$B,"&lt;&gt;Lucas Luiz Romero")*(35/1083),IF(C2933="Técnico II",SUMIFS($D:$D,$A:$A,$A2933,$B:$B,"&lt;&gt;Patrícia Karla de Sousa Araújo",$B:$B,"&lt;&gt;Lorena Dias de Araujo",$B:$B,"&lt;&gt;Lucas Luiz Romero")*(28/1083),IF(C2933="Técnico I",SUMIFS($D:$D,$A:$A,$A2933,$B:$B,"&lt;&gt;Patrícia Karla de Sousa Araújo",$B:$B,"&lt;&gt;Lorena Dias de Araujo",$B:$B,"&lt;&gt;Lucas Luiz Romero")*(23/1083),IF(C2933="JR",SUMIFS($D:$D,$A:$A,$A2933,$B:$B,"&lt;&gt;Patrícia Karla de Sousa Araújo",$B:$B,"&lt;&gt;Lorena Dias de Araujo",$B:$B,"&lt;&gt;Lucas Luiz Romero")*(20/1083),IF(C2933="Estágio",SUMIFS($D:$D,$A:$A,$A2933,$B:$B,"&lt;&gt;Patrícia Karla de Sousa Araújo",$B:$B,"&lt;&gt;Lorena Dias de Araujo",$B:$B,"&lt;&gt;Lucas Luiz Romero")*(10/1083),0)))))),0)</f>
        <v>22</v>
      </c>
      <c r="K2933" s="3">
        <f>I2933-J2933</f>
        <v>2</v>
      </c>
      <c r="L2933" s="3" t="str">
        <f>IF(K2933&lt;-5,"CRÍTICO",IF(K2933&lt;0,"ATENÇÃO",IF(K2933&lt;=5,"OPORTUNO","MUITO BOM")))</f>
        <v>OPORTUNO</v>
      </c>
      <c r="M2933">
        <v>23</v>
      </c>
      <c r="N2933">
        <v>97.3</v>
      </c>
      <c r="O2933">
        <v>23.84769539078156</v>
      </c>
    </row>
    <row r="2934" spans="1:15" hidden="1" x14ac:dyDescent="0.25">
      <c r="A2934" s="11">
        <v>46093</v>
      </c>
      <c r="B2934" t="s">
        <v>15</v>
      </c>
      <c r="C2934" t="s">
        <v>16</v>
      </c>
      <c r="D2934">
        <v>11</v>
      </c>
      <c r="E2934">
        <v>10</v>
      </c>
      <c r="F2934">
        <v>30.13</v>
      </c>
      <c r="G2934">
        <v>0</v>
      </c>
      <c r="H2934">
        <v>0</v>
      </c>
      <c r="I2934" s="3">
        <f>E2934+G2934+H2934</f>
        <v>10</v>
      </c>
      <c r="J2934" s="3">
        <f>ROUND(MIN(IF(C2934="Técnico III",35,IF(C2934="Técnico II",28,IF(C2934="Técnico I",23,IF(C2934="JR",20,IF(C2934="Estágio",10,0))))),IF(C2934="Técnico III",SUMIFS($D:$D,$A:$A,$A2934,$B:$B,"&lt;&gt;Patrícia Karla de Sousa Araújo",$B:$B,"&lt;&gt;Lorena Dias de Araujo",$B:$B,"&lt;&gt;Lucas Luiz Romero")*(35/1083),IF(C2934="Técnico II",SUMIFS($D:$D,$A:$A,$A2934,$B:$B,"&lt;&gt;Patrícia Karla de Sousa Araújo",$B:$B,"&lt;&gt;Lorena Dias de Araujo",$B:$B,"&lt;&gt;Lucas Luiz Romero")*(28/1083),IF(C2934="Técnico I",SUMIFS($D:$D,$A:$A,$A2934,$B:$B,"&lt;&gt;Patrícia Karla de Sousa Araújo",$B:$B,"&lt;&gt;Lorena Dias de Araujo",$B:$B,"&lt;&gt;Lucas Luiz Romero")*(23/1083),IF(C2934="JR",SUMIFS($D:$D,$A:$A,$A2934,$B:$B,"&lt;&gt;Patrícia Karla de Sousa Araújo",$B:$B,"&lt;&gt;Lorena Dias de Araujo",$B:$B,"&lt;&gt;Lucas Luiz Romero")*(20/1083),IF(C2934="Estágio",SUMIFS($D:$D,$A:$A,$A2934,$B:$B,"&lt;&gt;Patrícia Karla de Sousa Araújo",$B:$B,"&lt;&gt;Lorena Dias de Araujo",$B:$B,"&lt;&gt;Lucas Luiz Romero")*(10/1083),0)))))),0)</f>
        <v>6</v>
      </c>
      <c r="K2934" s="3">
        <f>I2934-J2934</f>
        <v>4</v>
      </c>
      <c r="L2934" s="3" t="str">
        <f>IF(K2934&lt;-5,"CRÍTICO",IF(K2934&lt;0,"ATENÇÃO",IF(K2934&lt;=5,"OPORTUNO","MUITO BOM")))</f>
        <v>OPORTUNO</v>
      </c>
      <c r="M2934">
        <v>8</v>
      </c>
      <c r="N2934">
        <v>100</v>
      </c>
      <c r="O2934">
        <v>25.268817204301079</v>
      </c>
    </row>
    <row r="2935" spans="1:15" hidden="1" x14ac:dyDescent="0.25">
      <c r="A2935" s="11">
        <v>46093</v>
      </c>
      <c r="B2935" t="s">
        <v>49</v>
      </c>
      <c r="C2935" t="s">
        <v>48</v>
      </c>
      <c r="D2935">
        <v>37</v>
      </c>
      <c r="E2935">
        <v>35</v>
      </c>
      <c r="F2935">
        <v>18.510000000000002</v>
      </c>
      <c r="G2935">
        <v>0</v>
      </c>
      <c r="H2935">
        <v>0</v>
      </c>
      <c r="I2935" s="3">
        <f>E2935+G2935+H2935</f>
        <v>35</v>
      </c>
      <c r="J2935" s="3">
        <f>ROUND(MIN(IF(C2935="Técnico III",35,IF(C2935="Técnico II",28,IF(C2935="Técnico I",23,IF(C2935="JR",20,IF(C2935="Estágio",10,0))))),IF(C2935="Técnico III",SUMIFS($D:$D,$A:$A,$A2935,$B:$B,"&lt;&gt;Patrícia Karla de Sousa Araújo",$B:$B,"&lt;&gt;Lorena Dias de Araujo",$B:$B,"&lt;&gt;Lucas Luiz Romero")*(35/1083),IF(C2935="Técnico II",SUMIFS($D:$D,$A:$A,$A2935,$B:$B,"&lt;&gt;Patrícia Karla de Sousa Araújo",$B:$B,"&lt;&gt;Lorena Dias de Araujo",$B:$B,"&lt;&gt;Lucas Luiz Romero")*(28/1083),IF(C2935="Técnico I",SUMIFS($D:$D,$A:$A,$A2935,$B:$B,"&lt;&gt;Patrícia Karla de Sousa Araújo",$B:$B,"&lt;&gt;Lorena Dias de Araujo",$B:$B,"&lt;&gt;Lucas Luiz Romero")*(23/1083),IF(C2935="JR",SUMIFS($D:$D,$A:$A,$A2935,$B:$B,"&lt;&gt;Patrícia Karla de Sousa Araújo",$B:$B,"&lt;&gt;Lorena Dias de Araujo",$B:$B,"&lt;&gt;Lucas Luiz Romero")*(20/1083),IF(C2935="Estágio",SUMIFS($D:$D,$A:$A,$A2935,$B:$B,"&lt;&gt;Patrícia Karla de Sousa Araújo",$B:$B,"&lt;&gt;Lorena Dias de Araujo",$B:$B,"&lt;&gt;Lucas Luiz Romero")*(10/1083),0)))))),0)</f>
        <v>18</v>
      </c>
      <c r="K2935" s="3">
        <f>I2935-J2935</f>
        <v>17</v>
      </c>
      <c r="L2935" s="3" t="str">
        <f>IF(K2935&lt;-5,"CRÍTICO",IF(K2935&lt;0,"ATENÇÃO",IF(K2935&lt;=5,"OPORTUNO","MUITO BOM")))</f>
        <v>MUITO BOM</v>
      </c>
      <c r="M2935">
        <v>34</v>
      </c>
      <c r="N2935">
        <v>99.32</v>
      </c>
      <c r="O2935">
        <v>22.822822822822818</v>
      </c>
    </row>
    <row r="2936" spans="1:15" hidden="1" x14ac:dyDescent="0.25">
      <c r="A2936" s="11">
        <v>46093</v>
      </c>
      <c r="B2936" t="s">
        <v>50</v>
      </c>
      <c r="C2936" t="s">
        <v>48</v>
      </c>
      <c r="D2936">
        <v>9</v>
      </c>
      <c r="E2936">
        <v>9</v>
      </c>
      <c r="F2936">
        <v>56.55</v>
      </c>
      <c r="G2936">
        <v>0</v>
      </c>
      <c r="H2936">
        <v>0</v>
      </c>
      <c r="I2936" s="3">
        <f>E2936+G2936+H2936</f>
        <v>9</v>
      </c>
      <c r="J2936" s="3">
        <f>ROUND(MIN(IF(C2936="Técnico III",35,IF(C2936="Técnico II",28,IF(C2936="Técnico I",23,IF(C2936="JR",20,IF(C2936="Estágio",10,0))))),IF(C2936="Técnico III",SUMIFS($D:$D,$A:$A,$A2936,$B:$B,"&lt;&gt;Patrícia Karla de Sousa Araújo",$B:$B,"&lt;&gt;Lorena Dias de Araujo",$B:$B,"&lt;&gt;Lucas Luiz Romero")*(35/1083),IF(C2936="Técnico II",SUMIFS($D:$D,$A:$A,$A2936,$B:$B,"&lt;&gt;Patrícia Karla de Sousa Araújo",$B:$B,"&lt;&gt;Lorena Dias de Araujo",$B:$B,"&lt;&gt;Lucas Luiz Romero")*(28/1083),IF(C2936="Técnico I",SUMIFS($D:$D,$A:$A,$A2936,$B:$B,"&lt;&gt;Patrícia Karla de Sousa Araújo",$B:$B,"&lt;&gt;Lorena Dias de Araujo",$B:$B,"&lt;&gt;Lucas Luiz Romero")*(23/1083),IF(C2936="JR",SUMIFS($D:$D,$A:$A,$A2936,$B:$B,"&lt;&gt;Patrícia Karla de Sousa Araújo",$B:$B,"&lt;&gt;Lorena Dias de Araujo",$B:$B,"&lt;&gt;Lucas Luiz Romero")*(20/1083),IF(C2936="Estágio",SUMIFS($D:$D,$A:$A,$A2936,$B:$B,"&lt;&gt;Patrícia Karla de Sousa Araújo",$B:$B,"&lt;&gt;Lorena Dias de Araujo",$B:$B,"&lt;&gt;Lucas Luiz Romero")*(10/1083),0)))))),0)</f>
        <v>18</v>
      </c>
      <c r="K2936" s="3">
        <f>I2936-J2936</f>
        <v>-9</v>
      </c>
      <c r="L2936" s="3" t="str">
        <f>IF(K2936&lt;-5,"CRÍTICO",IF(K2936&lt;0,"ATENÇÃO",IF(K2936&lt;=5,"OPORTUNO","MUITO BOM")))</f>
        <v>CRÍTICO</v>
      </c>
      <c r="M2936">
        <v>13</v>
      </c>
      <c r="N2936">
        <v>100</v>
      </c>
      <c r="O2936">
        <v>27.966101694915249</v>
      </c>
    </row>
    <row r="2937" spans="1:15" hidden="1" x14ac:dyDescent="0.25">
      <c r="A2937" s="11">
        <v>46093</v>
      </c>
      <c r="B2937" t="s">
        <v>17</v>
      </c>
      <c r="C2937" t="s">
        <v>16</v>
      </c>
      <c r="D2937">
        <v>0</v>
      </c>
      <c r="E2937">
        <v>0</v>
      </c>
      <c r="F2937">
        <v>0</v>
      </c>
      <c r="G2937">
        <v>0</v>
      </c>
      <c r="H2937">
        <v>0</v>
      </c>
      <c r="I2937" s="3">
        <v>0</v>
      </c>
      <c r="J2937" s="3">
        <v>0</v>
      </c>
      <c r="K2937" s="3">
        <v>0</v>
      </c>
      <c r="L2937" s="3" t="str">
        <f>IF(K2937&lt;-5,"CRÍTICO",IF(K2937&lt;0,"ATENÇÃO",IF(K2937&lt;=5,"OPORTUNO","MUITO BOM")))</f>
        <v>OPORTUNO</v>
      </c>
      <c r="M2937">
        <v>0</v>
      </c>
      <c r="N2937">
        <v>100</v>
      </c>
      <c r="O2937">
        <v>30.434782608695659</v>
      </c>
    </row>
    <row r="2938" spans="1:15" hidden="1" x14ac:dyDescent="0.25">
      <c r="A2938" s="11">
        <v>46093</v>
      </c>
      <c r="B2938" t="s">
        <v>60</v>
      </c>
      <c r="C2938" t="s">
        <v>23</v>
      </c>
      <c r="D2938">
        <v>15</v>
      </c>
      <c r="E2938">
        <v>14</v>
      </c>
      <c r="F2938">
        <v>35.049999999999997</v>
      </c>
      <c r="G2938">
        <v>0</v>
      </c>
      <c r="H2938">
        <v>0</v>
      </c>
      <c r="I2938" s="3">
        <f>E2938+G2938+H2938</f>
        <v>14</v>
      </c>
      <c r="J2938" s="3">
        <f>ROUND(MIN(IF(C2938="Técnico III",35,IF(C2938="Técnico II",28,IF(C2938="Técnico I",23,IF(C2938="JR",20,IF(C2938="Estágio",10,0))))),IF(C2938="Técnico III",SUMIFS($D:$D,$A:$A,$A2938,$B:$B,"&lt;&gt;Patrícia Karla de Sousa Araújo",$B:$B,"&lt;&gt;Lorena Dias de Araujo",$B:$B,"&lt;&gt;Lucas Luiz Romero")*(35/1083),IF(C2938="Técnico II",SUMIFS($D:$D,$A:$A,$A2938,$B:$B,"&lt;&gt;Patrícia Karla de Sousa Araújo",$B:$B,"&lt;&gt;Lorena Dias de Araujo",$B:$B,"&lt;&gt;Lucas Luiz Romero")*(28/1083),IF(C2938="Técnico I",SUMIFS($D:$D,$A:$A,$A2938,$B:$B,"&lt;&gt;Patrícia Karla de Sousa Araújo",$B:$B,"&lt;&gt;Lorena Dias de Araujo",$B:$B,"&lt;&gt;Lucas Luiz Romero")*(23/1083),IF(C2938="JR",SUMIFS($D:$D,$A:$A,$A2938,$B:$B,"&lt;&gt;Patrícia Karla de Sousa Araújo",$B:$B,"&lt;&gt;Lorena Dias de Araujo",$B:$B,"&lt;&gt;Lucas Luiz Romero")*(20/1083),IF(C2938="Estágio",SUMIFS($D:$D,$A:$A,$A2938,$B:$B,"&lt;&gt;Patrícia Karla de Sousa Araújo",$B:$B,"&lt;&gt;Lorena Dias de Araujo",$B:$B,"&lt;&gt;Lucas Luiz Romero")*(10/1083),0)))))),0)</f>
        <v>15</v>
      </c>
      <c r="K2938" s="3">
        <f>I2938-J2938</f>
        <v>-1</v>
      </c>
      <c r="L2938" s="3" t="str">
        <f>IF(K2938&lt;-5,"CRÍTICO",IF(K2938&lt;0,"ATENÇÃO",IF(K2938&lt;=5,"OPORTUNO","MUITO BOM")))</f>
        <v>ATENÇÃO</v>
      </c>
      <c r="M2938">
        <v>14</v>
      </c>
      <c r="N2938">
        <v>96.51</v>
      </c>
      <c r="O2938">
        <v>22.802850356294542</v>
      </c>
    </row>
    <row r="2939" spans="1:15" hidden="1" x14ac:dyDescent="0.25">
      <c r="A2939" s="11">
        <v>46093</v>
      </c>
      <c r="B2939" t="s">
        <v>34</v>
      </c>
      <c r="C2939" t="s">
        <v>32</v>
      </c>
      <c r="D2939">
        <v>0</v>
      </c>
      <c r="E2939">
        <v>0</v>
      </c>
      <c r="F2939">
        <v>0</v>
      </c>
      <c r="G2939">
        <v>0</v>
      </c>
      <c r="H2939">
        <v>0</v>
      </c>
      <c r="I2939" s="3">
        <v>0</v>
      </c>
      <c r="J2939" s="3">
        <v>0</v>
      </c>
      <c r="K2939" s="3">
        <v>0</v>
      </c>
      <c r="L2939" s="3" t="str">
        <f>IF(K2939&lt;-5,"CRÍTICO",IF(K2939&lt;0,"ATENÇÃO",IF(K2939&lt;=5,"OPORTUNO","MUITO BOM")))</f>
        <v>OPORTUNO</v>
      </c>
      <c r="M2939">
        <v>12</v>
      </c>
      <c r="N2939">
        <v>92.68</v>
      </c>
      <c r="O2939">
        <v>27.777777777777779</v>
      </c>
    </row>
    <row r="2940" spans="1:15" hidden="1" x14ac:dyDescent="0.25">
      <c r="A2940" s="11">
        <v>46093</v>
      </c>
      <c r="B2940" t="s">
        <v>51</v>
      </c>
      <c r="C2940" t="s">
        <v>48</v>
      </c>
      <c r="D2940">
        <v>30</v>
      </c>
      <c r="E2940">
        <v>28</v>
      </c>
      <c r="F2940">
        <v>20.079999999999998</v>
      </c>
      <c r="G2940">
        <v>0</v>
      </c>
      <c r="H2940">
        <v>0</v>
      </c>
      <c r="I2940" s="3">
        <v>0</v>
      </c>
      <c r="J2940" s="3">
        <v>0</v>
      </c>
      <c r="K2940" s="3">
        <v>0</v>
      </c>
      <c r="L2940" s="3" t="str">
        <f>IF(K2940&lt;-5,"CRÍTICO",IF(K2940&lt;0,"ATENÇÃO",IF(K2940&lt;=5,"OPORTUNO","MUITO BOM")))</f>
        <v>OPORTUNO</v>
      </c>
      <c r="M2940">
        <v>25</v>
      </c>
      <c r="N2940">
        <v>99.03</v>
      </c>
      <c r="O2940">
        <v>23.991507430997881</v>
      </c>
    </row>
    <row r="2941" spans="1:15" hidden="1" x14ac:dyDescent="0.25">
      <c r="A2941" s="11">
        <v>46093</v>
      </c>
      <c r="B2941" t="s">
        <v>61</v>
      </c>
      <c r="C2941" t="s">
        <v>23</v>
      </c>
      <c r="D2941">
        <v>27</v>
      </c>
      <c r="E2941">
        <v>26</v>
      </c>
      <c r="F2941">
        <v>25.51</v>
      </c>
      <c r="G2941">
        <v>0</v>
      </c>
      <c r="H2941">
        <v>0</v>
      </c>
      <c r="I2941" s="3">
        <f>E2941+G2941+H2941</f>
        <v>26</v>
      </c>
      <c r="J2941" s="3">
        <f>ROUND(MIN(IF(C2941="Técnico III",35,IF(C2941="Técnico II",28,IF(C2941="Técnico I",23,IF(C2941="JR",20,IF(C2941="Estágio",10,0))))),IF(C2941="Técnico III",SUMIFS($D:$D,$A:$A,$A2941,$B:$B,"&lt;&gt;Patrícia Karla de Sousa Araújo",$B:$B,"&lt;&gt;Lorena Dias de Araujo",$B:$B,"&lt;&gt;Lucas Luiz Romero")*(35/1083),IF(C2941="Técnico II",SUMIFS($D:$D,$A:$A,$A2941,$B:$B,"&lt;&gt;Patrícia Karla de Sousa Araújo",$B:$B,"&lt;&gt;Lorena Dias de Araujo",$B:$B,"&lt;&gt;Lucas Luiz Romero")*(28/1083),IF(C2941="Técnico I",SUMIFS($D:$D,$A:$A,$A2941,$B:$B,"&lt;&gt;Patrícia Karla de Sousa Araújo",$B:$B,"&lt;&gt;Lorena Dias de Araujo",$B:$B,"&lt;&gt;Lucas Luiz Romero")*(23/1083),IF(C2941="JR",SUMIFS($D:$D,$A:$A,$A2941,$B:$B,"&lt;&gt;Patrícia Karla de Sousa Araújo",$B:$B,"&lt;&gt;Lorena Dias de Araujo",$B:$B,"&lt;&gt;Lucas Luiz Romero")*(20/1083),IF(C2941="Estágio",SUMIFS($D:$D,$A:$A,$A2941,$B:$B,"&lt;&gt;Patrícia Karla de Sousa Araújo",$B:$B,"&lt;&gt;Lorena Dias de Araujo",$B:$B,"&lt;&gt;Lucas Luiz Romero")*(10/1083),0)))))),0)</f>
        <v>15</v>
      </c>
      <c r="K2941" s="3">
        <f>I2941-J2941</f>
        <v>11</v>
      </c>
      <c r="L2941" s="3" t="str">
        <f>IF(K2941&lt;-5,"CRÍTICO",IF(K2941&lt;0,"ATENÇÃO",IF(K2941&lt;=5,"OPORTUNO","MUITO BOM")))</f>
        <v>MUITO BOM</v>
      </c>
      <c r="M2941">
        <v>13</v>
      </c>
      <c r="N2941">
        <v>98.41</v>
      </c>
      <c r="O2941">
        <v>28.138528138528141</v>
      </c>
    </row>
    <row r="2942" spans="1:15" hidden="1" x14ac:dyDescent="0.25">
      <c r="A2942" s="11">
        <v>46093</v>
      </c>
      <c r="B2942" t="s">
        <v>35</v>
      </c>
      <c r="C2942" t="s">
        <v>32</v>
      </c>
      <c r="D2942">
        <v>29</v>
      </c>
      <c r="E2942">
        <v>28</v>
      </c>
      <c r="F2942">
        <v>25.59</v>
      </c>
      <c r="G2942">
        <v>0</v>
      </c>
      <c r="H2942">
        <v>0</v>
      </c>
      <c r="I2942" s="3">
        <v>0</v>
      </c>
      <c r="J2942" s="3">
        <v>0</v>
      </c>
      <c r="K2942" s="3">
        <v>0</v>
      </c>
      <c r="L2942" s="3" t="str">
        <f>IF(K2942&lt;-5,"CRÍTICO",IF(K2942&lt;0,"ATENÇÃO",IF(K2942&lt;=5,"OPORTUNO","MUITO BOM")))</f>
        <v>OPORTUNO</v>
      </c>
      <c r="M2942">
        <v>29</v>
      </c>
      <c r="N2942">
        <v>98.73</v>
      </c>
      <c r="O2942">
        <v>29.142857142857139</v>
      </c>
    </row>
    <row r="2943" spans="1:15" hidden="1" x14ac:dyDescent="0.25">
      <c r="A2943" s="11">
        <v>46093</v>
      </c>
      <c r="B2943" t="s">
        <v>18</v>
      </c>
      <c r="C2943" t="s">
        <v>16</v>
      </c>
      <c r="D2943">
        <v>10</v>
      </c>
      <c r="E2943">
        <v>9</v>
      </c>
      <c r="F2943">
        <v>37.200000000000003</v>
      </c>
      <c r="G2943">
        <v>0</v>
      </c>
      <c r="H2943">
        <v>0</v>
      </c>
      <c r="I2943" s="3">
        <f>E2943+G2943+H2943</f>
        <v>9</v>
      </c>
      <c r="J2943" s="3">
        <f>ROUND(MIN(IF(C2943="Técnico III",35,IF(C2943="Técnico II",28,IF(C2943="Técnico I",23,IF(C2943="JR",20,IF(C2943="Estágio",10,0))))),IF(C2943="Técnico III",SUMIFS($D:$D,$A:$A,$A2943,$B:$B,"&lt;&gt;Patrícia Karla de Sousa Araújo",$B:$B,"&lt;&gt;Lorena Dias de Araujo",$B:$B,"&lt;&gt;Lucas Luiz Romero")*(35/1083),IF(C2943="Técnico II",SUMIFS($D:$D,$A:$A,$A2943,$B:$B,"&lt;&gt;Patrícia Karla de Sousa Araújo",$B:$B,"&lt;&gt;Lorena Dias de Araujo",$B:$B,"&lt;&gt;Lucas Luiz Romero")*(28/1083),IF(C2943="Técnico I",SUMIFS($D:$D,$A:$A,$A2943,$B:$B,"&lt;&gt;Patrícia Karla de Sousa Araújo",$B:$B,"&lt;&gt;Lorena Dias de Araujo",$B:$B,"&lt;&gt;Lucas Luiz Romero")*(23/1083),IF(C2943="JR",SUMIFS($D:$D,$A:$A,$A2943,$B:$B,"&lt;&gt;Patrícia Karla de Sousa Araújo",$B:$B,"&lt;&gt;Lorena Dias de Araujo",$B:$B,"&lt;&gt;Lucas Luiz Romero")*(20/1083),IF(C2943="Estágio",SUMIFS($D:$D,$A:$A,$A2943,$B:$B,"&lt;&gt;Patrícia Karla de Sousa Araújo",$B:$B,"&lt;&gt;Lorena Dias de Araujo",$B:$B,"&lt;&gt;Lucas Luiz Romero")*(10/1083),0)))))),0)</f>
        <v>6</v>
      </c>
      <c r="K2943" s="3">
        <f>I2943-J2943</f>
        <v>3</v>
      </c>
      <c r="L2943" s="3" t="str">
        <f>IF(K2943&lt;-5,"CRÍTICO",IF(K2943&lt;0,"ATENÇÃO",IF(K2943&lt;=5,"OPORTUNO","MUITO BOM")))</f>
        <v>OPORTUNO</v>
      </c>
      <c r="M2943">
        <v>7</v>
      </c>
      <c r="N2943">
        <v>90.48</v>
      </c>
      <c r="O2943">
        <v>20.68965517241379</v>
      </c>
    </row>
    <row r="2944" spans="1:15" hidden="1" x14ac:dyDescent="0.25">
      <c r="A2944" s="11">
        <v>46093</v>
      </c>
      <c r="B2944" t="s">
        <v>52</v>
      </c>
      <c r="C2944" t="s">
        <v>48</v>
      </c>
      <c r="D2944">
        <v>24</v>
      </c>
      <c r="E2944">
        <v>24</v>
      </c>
      <c r="F2944">
        <v>29.17</v>
      </c>
      <c r="G2944">
        <v>0</v>
      </c>
      <c r="H2944">
        <v>0</v>
      </c>
      <c r="I2944" s="3">
        <f>E2944+G2944+H2944</f>
        <v>24</v>
      </c>
      <c r="J2944" s="3">
        <f>ROUND(MIN(IF(C2944="Técnico III",35,IF(C2944="Técnico II",28,IF(C2944="Técnico I",23,IF(C2944="JR",20,IF(C2944="Estágio",10,0))))),IF(C2944="Técnico III",SUMIFS($D:$D,$A:$A,$A2944,$B:$B,"&lt;&gt;Patrícia Karla de Sousa Araújo",$B:$B,"&lt;&gt;Lorena Dias de Araujo",$B:$B,"&lt;&gt;Lucas Luiz Romero")*(35/1083),IF(C2944="Técnico II",SUMIFS($D:$D,$A:$A,$A2944,$B:$B,"&lt;&gt;Patrícia Karla de Sousa Araújo",$B:$B,"&lt;&gt;Lorena Dias de Araujo",$B:$B,"&lt;&gt;Lucas Luiz Romero")*(28/1083),IF(C2944="Técnico I",SUMIFS($D:$D,$A:$A,$A2944,$B:$B,"&lt;&gt;Patrícia Karla de Sousa Araújo",$B:$B,"&lt;&gt;Lorena Dias de Araujo",$B:$B,"&lt;&gt;Lucas Luiz Romero")*(23/1083),IF(C2944="JR",SUMIFS($D:$D,$A:$A,$A2944,$B:$B,"&lt;&gt;Patrícia Karla de Sousa Araújo",$B:$B,"&lt;&gt;Lorena Dias de Araujo",$B:$B,"&lt;&gt;Lucas Luiz Romero")*(20/1083),IF(C2944="Estágio",SUMIFS($D:$D,$A:$A,$A2944,$B:$B,"&lt;&gt;Patrícia Karla de Sousa Araújo",$B:$B,"&lt;&gt;Lorena Dias de Araujo",$B:$B,"&lt;&gt;Lucas Luiz Romero")*(10/1083),0)))))),0)</f>
        <v>18</v>
      </c>
      <c r="K2944" s="3">
        <f>I2944-J2944</f>
        <v>6</v>
      </c>
      <c r="L2944" s="3" t="str">
        <f>IF(K2944&lt;-5,"CRÍTICO",IF(K2944&lt;0,"ATENÇÃO",IF(K2944&lt;=5,"OPORTUNO","MUITO BOM")))</f>
        <v>MUITO BOM</v>
      </c>
      <c r="M2944">
        <v>19</v>
      </c>
      <c r="N2944">
        <v>98.06</v>
      </c>
      <c r="O2944">
        <v>24.789915966386559</v>
      </c>
    </row>
    <row r="2945" spans="1:15" hidden="1" x14ac:dyDescent="0.25">
      <c r="A2945" s="11">
        <v>46093</v>
      </c>
      <c r="B2945" t="s">
        <v>36</v>
      </c>
      <c r="C2945" t="s">
        <v>32</v>
      </c>
      <c r="D2945">
        <v>27</v>
      </c>
      <c r="E2945">
        <v>27</v>
      </c>
      <c r="F2945">
        <v>20.309999999999999</v>
      </c>
      <c r="G2945">
        <v>0</v>
      </c>
      <c r="H2945">
        <v>0</v>
      </c>
      <c r="I2945" s="3">
        <f>E2945+G2945+H2945</f>
        <v>27</v>
      </c>
      <c r="J2945" s="3">
        <f>ROUND(MIN(IF(C2945="Técnico III",35,IF(C2945="Técnico II",28,IF(C2945="Técnico I",23,IF(C2945="JR",20,IF(C2945="Estágio",10,0))))),IF(C2945="Técnico III",SUMIFS($D:$D,$A:$A,$A2945,$B:$B,"&lt;&gt;Patrícia Karla de Sousa Araújo",$B:$B,"&lt;&gt;Lorena Dias de Araujo",$B:$B,"&lt;&gt;Lucas Luiz Romero")*(35/1083),IF(C2945="Técnico II",SUMIFS($D:$D,$A:$A,$A2945,$B:$B,"&lt;&gt;Patrícia Karla de Sousa Araújo",$B:$B,"&lt;&gt;Lorena Dias de Araujo",$B:$B,"&lt;&gt;Lucas Luiz Romero")*(28/1083),IF(C2945="Técnico I",SUMIFS($D:$D,$A:$A,$A2945,$B:$B,"&lt;&gt;Patrícia Karla de Sousa Araújo",$B:$B,"&lt;&gt;Lorena Dias de Araujo",$B:$B,"&lt;&gt;Lucas Luiz Romero")*(23/1083),IF(C2945="JR",SUMIFS($D:$D,$A:$A,$A2945,$B:$B,"&lt;&gt;Patrícia Karla de Sousa Araújo",$B:$B,"&lt;&gt;Lorena Dias de Araujo",$B:$B,"&lt;&gt;Lucas Luiz Romero")*(20/1083),IF(C2945="Estágio",SUMIFS($D:$D,$A:$A,$A2945,$B:$B,"&lt;&gt;Patrícia Karla de Sousa Araújo",$B:$B,"&lt;&gt;Lorena Dias de Araujo",$B:$B,"&lt;&gt;Lucas Luiz Romero")*(10/1083),0)))))),0)</f>
        <v>22</v>
      </c>
      <c r="K2945" s="3">
        <f>I2945-J2945</f>
        <v>5</v>
      </c>
      <c r="L2945" s="3" t="str">
        <f>IF(K2945&lt;-5,"CRÍTICO",IF(K2945&lt;0,"ATENÇÃO",IF(K2945&lt;=5,"OPORTUNO","MUITO BOM")))</f>
        <v>OPORTUNO</v>
      </c>
      <c r="M2945">
        <v>27</v>
      </c>
      <c r="N2945">
        <v>97.78</v>
      </c>
      <c r="O2945">
        <v>25.494071146245059</v>
      </c>
    </row>
    <row r="2946" spans="1:15" hidden="1" x14ac:dyDescent="0.25">
      <c r="A2946" s="11">
        <v>46093</v>
      </c>
      <c r="B2946" t="s">
        <v>53</v>
      </c>
      <c r="C2946" t="s">
        <v>48</v>
      </c>
      <c r="D2946">
        <v>28</v>
      </c>
      <c r="E2946">
        <v>25</v>
      </c>
      <c r="F2946">
        <v>26.46</v>
      </c>
      <c r="G2946">
        <v>0</v>
      </c>
      <c r="H2946">
        <v>0</v>
      </c>
      <c r="I2946" s="3">
        <f>E2946+G2946+H2946</f>
        <v>25</v>
      </c>
      <c r="J2946" s="3">
        <f>ROUND(MIN(IF(C2946="Técnico III",35,IF(C2946="Técnico II",28,IF(C2946="Técnico I",23,IF(C2946="JR",20,IF(C2946="Estágio",10,0))))),IF(C2946="Técnico III",SUMIFS($D:$D,$A:$A,$A2946,$B:$B,"&lt;&gt;Patrícia Karla de Sousa Araújo",$B:$B,"&lt;&gt;Lorena Dias de Araujo",$B:$B,"&lt;&gt;Lucas Luiz Romero")*(35/1083),IF(C2946="Técnico II",SUMIFS($D:$D,$A:$A,$A2946,$B:$B,"&lt;&gt;Patrícia Karla de Sousa Araújo",$B:$B,"&lt;&gt;Lorena Dias de Araujo",$B:$B,"&lt;&gt;Lucas Luiz Romero")*(28/1083),IF(C2946="Técnico I",SUMIFS($D:$D,$A:$A,$A2946,$B:$B,"&lt;&gt;Patrícia Karla de Sousa Araújo",$B:$B,"&lt;&gt;Lorena Dias de Araujo",$B:$B,"&lt;&gt;Lucas Luiz Romero")*(23/1083),IF(C2946="JR",SUMIFS($D:$D,$A:$A,$A2946,$B:$B,"&lt;&gt;Patrícia Karla de Sousa Araújo",$B:$B,"&lt;&gt;Lorena Dias de Araujo",$B:$B,"&lt;&gt;Lucas Luiz Romero")*(20/1083),IF(C2946="Estágio",SUMIFS($D:$D,$A:$A,$A2946,$B:$B,"&lt;&gt;Patrícia Karla de Sousa Araújo",$B:$B,"&lt;&gt;Lorena Dias de Araujo",$B:$B,"&lt;&gt;Lucas Luiz Romero")*(10/1083),0)))))),0)</f>
        <v>18</v>
      </c>
      <c r="K2946" s="3">
        <f>I2946-J2946</f>
        <v>7</v>
      </c>
      <c r="L2946" s="3" t="str">
        <f>IF(K2946&lt;-5,"CRÍTICO",IF(K2946&lt;0,"ATENÇÃO",IF(K2946&lt;=5,"OPORTUNO","MUITO BOM")))</f>
        <v>MUITO BOM</v>
      </c>
      <c r="M2946">
        <v>20</v>
      </c>
      <c r="N2946">
        <v>98.02</v>
      </c>
      <c r="O2946">
        <v>23.484848484848481</v>
      </c>
    </row>
    <row r="2947" spans="1:15" hidden="1" x14ac:dyDescent="0.25">
      <c r="A2947" s="11">
        <v>46127</v>
      </c>
      <c r="B2947" t="s">
        <v>22</v>
      </c>
      <c r="C2947" t="s">
        <v>23</v>
      </c>
      <c r="D2947">
        <v>44</v>
      </c>
      <c r="E2947">
        <v>38</v>
      </c>
      <c r="F2947">
        <v>12.23</v>
      </c>
      <c r="G2947">
        <v>0</v>
      </c>
      <c r="H2947">
        <v>0</v>
      </c>
      <c r="I2947" s="3">
        <f>E2947+G2947+H2947</f>
        <v>38</v>
      </c>
      <c r="J2947" s="3">
        <f>ROUND(MIN(IF(C2947="Técnico III",35,IF(C2947="Técnico II",28,IF(C2947="Técnico I",23,IF(C2947="JR",20,IF(C2947="Estágio",10,0))))),IF(C2947="Técnico III",SUMIFS($D:$D,$A:$A,$A2947,$B:$B,"&lt;&gt;Patrícia Karla de Sousa Araújo",$B:$B,"&lt;&gt;Lorena Dias de Araujo",$B:$B,"&lt;&gt;Lucas Luiz Romero")*(35/1083),IF(C2947="Técnico II",SUMIFS($D:$D,$A:$A,$A2947,$B:$B,"&lt;&gt;Patrícia Karla de Sousa Araújo",$B:$B,"&lt;&gt;Lorena Dias de Araujo",$B:$B,"&lt;&gt;Lucas Luiz Romero")*(28/1083),IF(C2947="Técnico I",SUMIFS($D:$D,$A:$A,$A2947,$B:$B,"&lt;&gt;Patrícia Karla de Sousa Araújo",$B:$B,"&lt;&gt;Lorena Dias de Araujo",$B:$B,"&lt;&gt;Lucas Luiz Romero")*(23/1083),IF(C2947="JR",SUMIFS($D:$D,$A:$A,$A2947,$B:$B,"&lt;&gt;Patrícia Karla de Sousa Araújo",$B:$B,"&lt;&gt;Lorena Dias de Araujo",$B:$B,"&lt;&gt;Lucas Luiz Romero")*(20/1083),IF(C2947="Estágio",SUMIFS($D:$D,$A:$A,$A2947,$B:$B,"&lt;&gt;Patrícia Karla de Sousa Araújo",$B:$B,"&lt;&gt;Lorena Dias de Araujo",$B:$B,"&lt;&gt;Lucas Luiz Romero")*(10/1083),0)))))),0)</f>
        <v>21</v>
      </c>
      <c r="K2947" s="3">
        <f>I2947-J2947</f>
        <v>17</v>
      </c>
      <c r="L2947" s="3" t="str">
        <f>IF(K2947&lt;-5,"CRÍTICO",IF(K2947&lt;0,"ATENÇÃO",IF(K2947&lt;=5,"OPORTUNO","MUITO BOM")))</f>
        <v>MUITO BOM</v>
      </c>
      <c r="M2947">
        <v>39</v>
      </c>
      <c r="N2947">
        <v>99.28</v>
      </c>
      <c r="O2947">
        <v>27.689243027888441</v>
      </c>
    </row>
    <row r="2948" spans="1:15" hidden="1" x14ac:dyDescent="0.25">
      <c r="A2948" s="11">
        <v>46093</v>
      </c>
      <c r="B2948" t="s">
        <v>54</v>
      </c>
      <c r="C2948" t="s">
        <v>48</v>
      </c>
      <c r="D2948">
        <v>23</v>
      </c>
      <c r="E2948">
        <v>21</v>
      </c>
      <c r="F2948">
        <v>22.1</v>
      </c>
      <c r="G2948">
        <v>0</v>
      </c>
      <c r="H2948">
        <v>0</v>
      </c>
      <c r="I2948" s="3">
        <f>E2948+G2948+H2948</f>
        <v>21</v>
      </c>
      <c r="J2948" s="3">
        <f>ROUND(MIN(IF(C2948="Técnico III",35,IF(C2948="Técnico II",28,IF(C2948="Técnico I",23,IF(C2948="JR",20,IF(C2948="Estágio",10,0))))),IF(C2948="Técnico III",SUMIFS($D:$D,$A:$A,$A2948,$B:$B,"&lt;&gt;Patrícia Karla de Sousa Araújo",$B:$B,"&lt;&gt;Lorena Dias de Araujo",$B:$B,"&lt;&gt;Lucas Luiz Romero")*(35/1083),IF(C2948="Técnico II",SUMIFS($D:$D,$A:$A,$A2948,$B:$B,"&lt;&gt;Patrícia Karla de Sousa Araújo",$B:$B,"&lt;&gt;Lorena Dias de Araujo",$B:$B,"&lt;&gt;Lucas Luiz Romero")*(28/1083),IF(C2948="Técnico I",SUMIFS($D:$D,$A:$A,$A2948,$B:$B,"&lt;&gt;Patrícia Karla de Sousa Araújo",$B:$B,"&lt;&gt;Lorena Dias de Araujo",$B:$B,"&lt;&gt;Lucas Luiz Romero")*(23/1083),IF(C2948="JR",SUMIFS($D:$D,$A:$A,$A2948,$B:$B,"&lt;&gt;Patrícia Karla de Sousa Araújo",$B:$B,"&lt;&gt;Lorena Dias de Araujo",$B:$B,"&lt;&gt;Lucas Luiz Romero")*(20/1083),IF(C2948="Estágio",SUMIFS($D:$D,$A:$A,$A2948,$B:$B,"&lt;&gt;Patrícia Karla de Sousa Araújo",$B:$B,"&lt;&gt;Lorena Dias de Araujo",$B:$B,"&lt;&gt;Lucas Luiz Romero")*(10/1083),0)))))),0)</f>
        <v>18</v>
      </c>
      <c r="K2948" s="3">
        <f>I2948-J2948</f>
        <v>3</v>
      </c>
      <c r="L2948" s="3" t="str">
        <f>IF(K2948&lt;-5,"CRÍTICO",IF(K2948&lt;0,"ATENÇÃO",IF(K2948&lt;=5,"OPORTUNO","MUITO BOM")))</f>
        <v>OPORTUNO</v>
      </c>
      <c r="M2948">
        <v>17</v>
      </c>
      <c r="N2948">
        <v>100</v>
      </c>
      <c r="O2948">
        <v>27.04918032786885</v>
      </c>
    </row>
    <row r="2949" spans="1:15" hidden="1" x14ac:dyDescent="0.25">
      <c r="A2949" s="11">
        <v>46093</v>
      </c>
      <c r="B2949" t="s">
        <v>37</v>
      </c>
      <c r="C2949" t="s">
        <v>32</v>
      </c>
      <c r="D2949">
        <v>46</v>
      </c>
      <c r="E2949">
        <v>42</v>
      </c>
      <c r="F2949">
        <v>11.51</v>
      </c>
      <c r="G2949">
        <v>0</v>
      </c>
      <c r="H2949">
        <v>0</v>
      </c>
      <c r="I2949" s="3">
        <f>E2949+G2949+H2949</f>
        <v>42</v>
      </c>
      <c r="J2949" s="3">
        <f>ROUND(MIN(IF(C2949="Técnico III",35,IF(C2949="Técnico II",28,IF(C2949="Técnico I",23,IF(C2949="JR",20,IF(C2949="Estágio",10,0))))),IF(C2949="Técnico III",SUMIFS($D:$D,$A:$A,$A2949,$B:$B,"&lt;&gt;Patrícia Karla de Sousa Araújo",$B:$B,"&lt;&gt;Lorena Dias de Araujo",$B:$B,"&lt;&gt;Lucas Luiz Romero")*(35/1083),IF(C2949="Técnico II",SUMIFS($D:$D,$A:$A,$A2949,$B:$B,"&lt;&gt;Patrícia Karla de Sousa Araújo",$B:$B,"&lt;&gt;Lorena Dias de Araujo",$B:$B,"&lt;&gt;Lucas Luiz Romero")*(28/1083),IF(C2949="Técnico I",SUMIFS($D:$D,$A:$A,$A2949,$B:$B,"&lt;&gt;Patrícia Karla de Sousa Araújo",$B:$B,"&lt;&gt;Lorena Dias de Araujo",$B:$B,"&lt;&gt;Lucas Luiz Romero")*(23/1083),IF(C2949="JR",SUMIFS($D:$D,$A:$A,$A2949,$B:$B,"&lt;&gt;Patrícia Karla de Sousa Araújo",$B:$B,"&lt;&gt;Lorena Dias de Araujo",$B:$B,"&lt;&gt;Lucas Luiz Romero")*(20/1083),IF(C2949="Estágio",SUMIFS($D:$D,$A:$A,$A2949,$B:$B,"&lt;&gt;Patrícia Karla de Sousa Araújo",$B:$B,"&lt;&gt;Lorena Dias de Araujo",$B:$B,"&lt;&gt;Lucas Luiz Romero")*(10/1083),0)))))),0)</f>
        <v>22</v>
      </c>
      <c r="K2949" s="3">
        <f>I2949-J2949</f>
        <v>20</v>
      </c>
      <c r="L2949" s="3" t="str">
        <f>IF(K2949&lt;-5,"CRÍTICO",IF(K2949&lt;0,"ATENÇÃO",IF(K2949&lt;=5,"OPORTUNO","MUITO BOM")))</f>
        <v>MUITO BOM</v>
      </c>
      <c r="M2949">
        <v>39</v>
      </c>
      <c r="N2949">
        <v>97.83</v>
      </c>
      <c r="O2949">
        <v>26.315789473684209</v>
      </c>
    </row>
    <row r="2950" spans="1:15" hidden="1" x14ac:dyDescent="0.25">
      <c r="A2950" s="11">
        <v>46093</v>
      </c>
      <c r="B2950" t="s">
        <v>38</v>
      </c>
      <c r="C2950" t="s">
        <v>32</v>
      </c>
      <c r="D2950">
        <v>0</v>
      </c>
      <c r="E2950">
        <v>0</v>
      </c>
      <c r="F2950">
        <v>0</v>
      </c>
      <c r="G2950">
        <v>0</v>
      </c>
      <c r="H2950">
        <v>0</v>
      </c>
      <c r="I2950" s="3">
        <v>0</v>
      </c>
      <c r="J2950" s="3">
        <v>0</v>
      </c>
      <c r="K2950" s="3">
        <v>0</v>
      </c>
      <c r="L2950" s="3" t="str">
        <f>IF(K2950&lt;-5,"CRÍTICO",IF(K2950&lt;0,"ATENÇÃO",IF(K2950&lt;=5,"OPORTUNO","MUITO BOM")))</f>
        <v>OPORTUNO</v>
      </c>
      <c r="M2950">
        <v>6</v>
      </c>
      <c r="N2950">
        <v>100</v>
      </c>
      <c r="O2950">
        <v>26.701570680628269</v>
      </c>
    </row>
    <row r="2951" spans="1:15" hidden="1" x14ac:dyDescent="0.25">
      <c r="A2951" s="11">
        <v>46093</v>
      </c>
      <c r="B2951" t="s">
        <v>55</v>
      </c>
      <c r="C2951" t="s">
        <v>48</v>
      </c>
      <c r="D2951">
        <v>28</v>
      </c>
      <c r="E2951">
        <v>23</v>
      </c>
      <c r="F2951">
        <v>18.52</v>
      </c>
      <c r="G2951">
        <v>0</v>
      </c>
      <c r="H2951">
        <v>0</v>
      </c>
      <c r="I2951" s="3">
        <f>E2951+G2951+H2951</f>
        <v>23</v>
      </c>
      <c r="J2951" s="3">
        <f>ROUND(MIN(IF(C2951="Técnico III",35,IF(C2951="Técnico II",28,IF(C2951="Técnico I",23,IF(C2951="JR",20,IF(C2951="Estágio",10,0))))),IF(C2951="Técnico III",SUMIFS($D:$D,$A:$A,$A2951,$B:$B,"&lt;&gt;Patrícia Karla de Sousa Araújo",$B:$B,"&lt;&gt;Lorena Dias de Araujo",$B:$B,"&lt;&gt;Lucas Luiz Romero")*(35/1083),IF(C2951="Técnico II",SUMIFS($D:$D,$A:$A,$A2951,$B:$B,"&lt;&gt;Patrícia Karla de Sousa Araújo",$B:$B,"&lt;&gt;Lorena Dias de Araujo",$B:$B,"&lt;&gt;Lucas Luiz Romero")*(28/1083),IF(C2951="Técnico I",SUMIFS($D:$D,$A:$A,$A2951,$B:$B,"&lt;&gt;Patrícia Karla de Sousa Araújo",$B:$B,"&lt;&gt;Lorena Dias de Araujo",$B:$B,"&lt;&gt;Lucas Luiz Romero")*(23/1083),IF(C2951="JR",SUMIFS($D:$D,$A:$A,$A2951,$B:$B,"&lt;&gt;Patrícia Karla de Sousa Araújo",$B:$B,"&lt;&gt;Lorena Dias de Araujo",$B:$B,"&lt;&gt;Lucas Luiz Romero")*(20/1083),IF(C2951="Estágio",SUMIFS($D:$D,$A:$A,$A2951,$B:$B,"&lt;&gt;Patrícia Karla de Sousa Araújo",$B:$B,"&lt;&gt;Lorena Dias de Araujo",$B:$B,"&lt;&gt;Lucas Luiz Romero")*(10/1083),0)))))),0)</f>
        <v>18</v>
      </c>
      <c r="K2951" s="3">
        <f>I2951-J2951</f>
        <v>5</v>
      </c>
      <c r="L2951" s="3" t="str">
        <f>IF(K2951&lt;-5,"CRÍTICO",IF(K2951&lt;0,"ATENÇÃO",IF(K2951&lt;=5,"OPORTUNO","MUITO BOM")))</f>
        <v>OPORTUNO</v>
      </c>
      <c r="M2951">
        <v>21</v>
      </c>
      <c r="N2951">
        <v>97.47</v>
      </c>
      <c r="O2951">
        <v>22.887323943661968</v>
      </c>
    </row>
    <row r="2952" spans="1:15" hidden="1" x14ac:dyDescent="0.25">
      <c r="A2952" s="11">
        <v>46093</v>
      </c>
      <c r="B2952" t="s">
        <v>39</v>
      </c>
      <c r="C2952" t="s">
        <v>32</v>
      </c>
      <c r="D2952">
        <v>0</v>
      </c>
      <c r="E2952">
        <v>0</v>
      </c>
      <c r="F2952">
        <v>0</v>
      </c>
      <c r="G2952">
        <v>0</v>
      </c>
      <c r="H2952">
        <v>0</v>
      </c>
      <c r="I2952" s="3">
        <v>0</v>
      </c>
      <c r="J2952" s="3">
        <v>0</v>
      </c>
      <c r="K2952" s="3">
        <v>0</v>
      </c>
      <c r="L2952" s="3" t="str">
        <f>IF(K2952&lt;-5,"CRÍTICO",IF(K2952&lt;0,"ATENÇÃO",IF(K2952&lt;=5,"OPORTUNO","MUITO BOM")))</f>
        <v>OPORTUNO</v>
      </c>
      <c r="M2952">
        <v>0</v>
      </c>
      <c r="N2952">
        <v>0</v>
      </c>
      <c r="O2952">
        <v>0</v>
      </c>
    </row>
    <row r="2953" spans="1:15" hidden="1" x14ac:dyDescent="0.25">
      <c r="A2953" s="11">
        <v>46093</v>
      </c>
      <c r="B2953" t="s">
        <v>25</v>
      </c>
      <c r="C2953" t="s">
        <v>26</v>
      </c>
      <c r="D2953">
        <v>12</v>
      </c>
      <c r="E2953">
        <v>11</v>
      </c>
      <c r="F2953">
        <v>27.26</v>
      </c>
      <c r="G2953">
        <v>0</v>
      </c>
      <c r="H2953">
        <v>0</v>
      </c>
      <c r="I2953" s="3">
        <f>E2953+G2953+H2953</f>
        <v>11</v>
      </c>
      <c r="J2953" s="3">
        <f>ROUND(MIN(IF(C2953="Técnico III",35,IF(C2953="Técnico II",28,IF(C2953="Técnico I",23,IF(C2953="JR",20,IF(C2953="Estágio",10,0))))),IF(C2953="Técnico III",SUMIFS($D:$D,$A:$A,$A2953,$B:$B,"&lt;&gt;Patrícia Karla de Sousa Araújo",$B:$B,"&lt;&gt;Lorena Dias de Araujo",$B:$B,"&lt;&gt;Lucas Luiz Romero")*(35/1083),IF(C2953="Técnico II",SUMIFS($D:$D,$A:$A,$A2953,$B:$B,"&lt;&gt;Patrícia Karla de Sousa Araújo",$B:$B,"&lt;&gt;Lorena Dias de Araujo",$B:$B,"&lt;&gt;Lucas Luiz Romero")*(28/1083),IF(C2953="Técnico I",SUMIFS($D:$D,$A:$A,$A2953,$B:$B,"&lt;&gt;Patrícia Karla de Sousa Araújo",$B:$B,"&lt;&gt;Lorena Dias de Araujo",$B:$B,"&lt;&gt;Lucas Luiz Romero")*(23/1083),IF(C2953="JR",SUMIFS($D:$D,$A:$A,$A2953,$B:$B,"&lt;&gt;Patrícia Karla de Sousa Araújo",$B:$B,"&lt;&gt;Lorena Dias de Araujo",$B:$B,"&lt;&gt;Lucas Luiz Romero")*(20/1083),IF(C2953="Estágio",SUMIFS($D:$D,$A:$A,$A2953,$B:$B,"&lt;&gt;Patrícia Karla de Sousa Araújo",$B:$B,"&lt;&gt;Lorena Dias de Araujo",$B:$B,"&lt;&gt;Lucas Luiz Romero")*(10/1083),0)))))),0)</f>
        <v>13</v>
      </c>
      <c r="K2953" s="3">
        <f>I2953-J2953</f>
        <v>-2</v>
      </c>
      <c r="L2953" s="3" t="str">
        <f>IF(K2953&lt;-5,"CRÍTICO",IF(K2953&lt;0,"ATENÇÃO",IF(K2953&lt;=5,"OPORTUNO","MUITO BOM")))</f>
        <v>ATENÇÃO</v>
      </c>
      <c r="M2953">
        <v>10</v>
      </c>
      <c r="N2953">
        <v>98.31</v>
      </c>
      <c r="O2953">
        <v>24.920127795527151</v>
      </c>
    </row>
    <row r="2954" spans="1:15" hidden="1" x14ac:dyDescent="0.25">
      <c r="A2954" s="11">
        <v>46093</v>
      </c>
      <c r="B2954" t="s">
        <v>40</v>
      </c>
      <c r="C2954" t="s">
        <v>32</v>
      </c>
      <c r="D2954">
        <v>0</v>
      </c>
      <c r="E2954">
        <v>0</v>
      </c>
      <c r="F2954">
        <v>0</v>
      </c>
      <c r="G2954">
        <v>0</v>
      </c>
      <c r="H2954">
        <v>0</v>
      </c>
      <c r="I2954" s="3">
        <v>0</v>
      </c>
      <c r="J2954" s="3">
        <v>0</v>
      </c>
      <c r="K2954" s="3">
        <v>0</v>
      </c>
      <c r="L2954" s="3" t="str">
        <f>IF(K2954&lt;-5,"CRÍTICO",IF(K2954&lt;0,"ATENÇÃO",IF(K2954&lt;=5,"OPORTUNO","MUITO BOM")))</f>
        <v>OPORTUNO</v>
      </c>
      <c r="M2954">
        <v>1</v>
      </c>
      <c r="N2954">
        <v>96.81</v>
      </c>
      <c r="O2954">
        <v>32.365145228215773</v>
      </c>
    </row>
    <row r="2955" spans="1:15" hidden="1" x14ac:dyDescent="0.25">
      <c r="A2955" s="11">
        <v>46093</v>
      </c>
      <c r="B2955" t="s">
        <v>27</v>
      </c>
      <c r="C2955" t="s">
        <v>26</v>
      </c>
      <c r="D2955">
        <v>13</v>
      </c>
      <c r="E2955">
        <v>12</v>
      </c>
      <c r="F2955">
        <v>43.58</v>
      </c>
      <c r="G2955">
        <v>0</v>
      </c>
      <c r="H2955">
        <v>0</v>
      </c>
      <c r="I2955" s="3">
        <f>E2955+G2955+H2955</f>
        <v>12</v>
      </c>
      <c r="J2955" s="3">
        <f>ROUND(MIN(IF(C2955="Técnico III",35,IF(C2955="Técnico II",28,IF(C2955="Técnico I",23,IF(C2955="JR",20,IF(C2955="Estágio",10,0))))),IF(C2955="Técnico III",SUMIFS($D:$D,$A:$A,$A2955,$B:$B,"&lt;&gt;Patrícia Karla de Sousa Araújo",$B:$B,"&lt;&gt;Lorena Dias de Araujo",$B:$B,"&lt;&gt;Lucas Luiz Romero")*(35/1083),IF(C2955="Técnico II",SUMIFS($D:$D,$A:$A,$A2955,$B:$B,"&lt;&gt;Patrícia Karla de Sousa Araújo",$B:$B,"&lt;&gt;Lorena Dias de Araujo",$B:$B,"&lt;&gt;Lucas Luiz Romero")*(28/1083),IF(C2955="Técnico I",SUMIFS($D:$D,$A:$A,$A2955,$B:$B,"&lt;&gt;Patrícia Karla de Sousa Araújo",$B:$B,"&lt;&gt;Lorena Dias de Araujo",$B:$B,"&lt;&gt;Lucas Luiz Romero")*(23/1083),IF(C2955="JR",SUMIFS($D:$D,$A:$A,$A2955,$B:$B,"&lt;&gt;Patrícia Karla de Sousa Araújo",$B:$B,"&lt;&gt;Lorena Dias de Araujo",$B:$B,"&lt;&gt;Lucas Luiz Romero")*(20/1083),IF(C2955="Estágio",SUMIFS($D:$D,$A:$A,$A2955,$B:$B,"&lt;&gt;Patrícia Karla de Sousa Araújo",$B:$B,"&lt;&gt;Lorena Dias de Araujo",$B:$B,"&lt;&gt;Lucas Luiz Romero")*(10/1083),0)))))),0)</f>
        <v>13</v>
      </c>
      <c r="K2955" s="3">
        <f>I2955-J2955</f>
        <v>-1</v>
      </c>
      <c r="L2955" s="3" t="str">
        <f>IF(K2955&lt;-5,"CRÍTICO",IF(K2955&lt;0,"ATENÇÃO",IF(K2955&lt;=5,"OPORTUNO","MUITO BOM")))</f>
        <v>ATENÇÃO</v>
      </c>
      <c r="M2955">
        <v>7</v>
      </c>
      <c r="N2955">
        <v>100</v>
      </c>
      <c r="O2955">
        <v>26.47058823529412</v>
      </c>
    </row>
    <row r="2956" spans="1:15" hidden="1" x14ac:dyDescent="0.25">
      <c r="A2956" s="11">
        <v>46093</v>
      </c>
      <c r="B2956" t="s">
        <v>41</v>
      </c>
      <c r="C2956" t="s">
        <v>32</v>
      </c>
      <c r="D2956">
        <v>0</v>
      </c>
      <c r="E2956">
        <v>0</v>
      </c>
      <c r="F2956">
        <v>0</v>
      </c>
      <c r="G2956">
        <v>0</v>
      </c>
      <c r="H2956">
        <v>0</v>
      </c>
      <c r="I2956" s="3">
        <v>0</v>
      </c>
      <c r="J2956" s="3">
        <v>0</v>
      </c>
      <c r="K2956" s="3">
        <v>0</v>
      </c>
      <c r="L2956" s="3" t="str">
        <f>IF(K2956&lt;-5,"CRÍTICO",IF(K2956&lt;0,"ATENÇÃO",IF(K2956&lt;=5,"OPORTUNO","MUITO BOM")))</f>
        <v>OPORTUNO</v>
      </c>
      <c r="M2956">
        <v>8</v>
      </c>
      <c r="N2956">
        <v>100</v>
      </c>
      <c r="O2956">
        <v>28.490028490028489</v>
      </c>
    </row>
    <row r="2957" spans="1:15" hidden="1" x14ac:dyDescent="0.25">
      <c r="A2957" s="11">
        <v>46093</v>
      </c>
      <c r="B2957" t="s">
        <v>56</v>
      </c>
      <c r="C2957" t="s">
        <v>48</v>
      </c>
      <c r="D2957">
        <v>16</v>
      </c>
      <c r="E2957">
        <v>14</v>
      </c>
      <c r="F2957">
        <v>38.26</v>
      </c>
      <c r="G2957">
        <v>0</v>
      </c>
      <c r="H2957">
        <v>0</v>
      </c>
      <c r="I2957" s="3">
        <f>E2957+G2957+H2957</f>
        <v>14</v>
      </c>
      <c r="J2957" s="3">
        <f>ROUND(MIN(IF(C2957="Técnico III",35,IF(C2957="Técnico II",28,IF(C2957="Técnico I",23,IF(C2957="JR",20,IF(C2957="Estágio",10,0))))),IF(C2957="Técnico III",SUMIFS($D:$D,$A:$A,$A2957,$B:$B,"&lt;&gt;Patrícia Karla de Sousa Araújo",$B:$B,"&lt;&gt;Lorena Dias de Araujo",$B:$B,"&lt;&gt;Lucas Luiz Romero")*(35/1083),IF(C2957="Técnico II",SUMIFS($D:$D,$A:$A,$A2957,$B:$B,"&lt;&gt;Patrícia Karla de Sousa Araújo",$B:$B,"&lt;&gt;Lorena Dias de Araujo",$B:$B,"&lt;&gt;Lucas Luiz Romero")*(28/1083),IF(C2957="Técnico I",SUMIFS($D:$D,$A:$A,$A2957,$B:$B,"&lt;&gt;Patrícia Karla de Sousa Araújo",$B:$B,"&lt;&gt;Lorena Dias de Araujo",$B:$B,"&lt;&gt;Lucas Luiz Romero")*(23/1083),IF(C2957="JR",SUMIFS($D:$D,$A:$A,$A2957,$B:$B,"&lt;&gt;Patrícia Karla de Sousa Araújo",$B:$B,"&lt;&gt;Lorena Dias de Araujo",$B:$B,"&lt;&gt;Lucas Luiz Romero")*(20/1083),IF(C2957="Estágio",SUMIFS($D:$D,$A:$A,$A2957,$B:$B,"&lt;&gt;Patrícia Karla de Sousa Araújo",$B:$B,"&lt;&gt;Lorena Dias de Araujo",$B:$B,"&lt;&gt;Lucas Luiz Romero")*(10/1083),0)))))),0)</f>
        <v>18</v>
      </c>
      <c r="K2957" s="3">
        <f>I2957-J2957</f>
        <v>-4</v>
      </c>
      <c r="L2957" s="3" t="str">
        <f>IF(K2957&lt;-5,"CRÍTICO",IF(K2957&lt;0,"ATENÇÃO",IF(K2957&lt;=5,"OPORTUNO","MUITO BOM")))</f>
        <v>ATENÇÃO</v>
      </c>
      <c r="M2957">
        <v>14</v>
      </c>
      <c r="N2957">
        <v>99.14</v>
      </c>
      <c r="O2957">
        <v>27.2289156626506</v>
      </c>
    </row>
    <row r="2958" spans="1:15" hidden="1" x14ac:dyDescent="0.25">
      <c r="A2958" s="11">
        <v>46093</v>
      </c>
      <c r="B2958" t="s">
        <v>57</v>
      </c>
      <c r="C2958" t="s">
        <v>48</v>
      </c>
      <c r="D2958">
        <v>16</v>
      </c>
      <c r="E2958">
        <v>16</v>
      </c>
      <c r="F2958">
        <v>33.42</v>
      </c>
      <c r="G2958">
        <v>0</v>
      </c>
      <c r="H2958">
        <v>0</v>
      </c>
      <c r="I2958" s="3">
        <v>0</v>
      </c>
      <c r="J2958" s="3">
        <v>0</v>
      </c>
      <c r="K2958" s="3">
        <v>0</v>
      </c>
      <c r="L2958" s="3" t="str">
        <f>IF(K2958&lt;-5,"CRÍTICO",IF(K2958&lt;0,"ATENÇÃO",IF(K2958&lt;=5,"OPORTUNO","MUITO BOM")))</f>
        <v>OPORTUNO</v>
      </c>
      <c r="M2958">
        <v>16</v>
      </c>
      <c r="N2958">
        <v>97.52</v>
      </c>
      <c r="O2958">
        <v>28.205128205128201</v>
      </c>
    </row>
    <row r="2959" spans="1:15" hidden="1" x14ac:dyDescent="0.25">
      <c r="A2959" s="11">
        <v>46093</v>
      </c>
      <c r="B2959" t="s">
        <v>42</v>
      </c>
      <c r="C2959" t="s">
        <v>32</v>
      </c>
      <c r="D2959">
        <v>24</v>
      </c>
      <c r="E2959">
        <v>21</v>
      </c>
      <c r="F2959">
        <v>29.1</v>
      </c>
      <c r="G2959">
        <v>0</v>
      </c>
      <c r="H2959">
        <v>0</v>
      </c>
      <c r="I2959" s="3">
        <f>E2959+G2959+H2959</f>
        <v>21</v>
      </c>
      <c r="J2959" s="3">
        <f>ROUND(MIN(IF(C2959="Técnico III",35,IF(C2959="Técnico II",28,IF(C2959="Técnico I",23,IF(C2959="JR",20,IF(C2959="Estágio",10,0))))),IF(C2959="Técnico III",SUMIFS($D:$D,$A:$A,$A2959,$B:$B,"&lt;&gt;Patrícia Karla de Sousa Araújo",$B:$B,"&lt;&gt;Lorena Dias de Araujo",$B:$B,"&lt;&gt;Lucas Luiz Romero")*(35/1083),IF(C2959="Técnico II",SUMIFS($D:$D,$A:$A,$A2959,$B:$B,"&lt;&gt;Patrícia Karla de Sousa Araújo",$B:$B,"&lt;&gt;Lorena Dias de Araujo",$B:$B,"&lt;&gt;Lucas Luiz Romero")*(28/1083),IF(C2959="Técnico I",SUMIFS($D:$D,$A:$A,$A2959,$B:$B,"&lt;&gt;Patrícia Karla de Sousa Araújo",$B:$B,"&lt;&gt;Lorena Dias de Araujo",$B:$B,"&lt;&gt;Lucas Luiz Romero")*(23/1083),IF(C2959="JR",SUMIFS($D:$D,$A:$A,$A2959,$B:$B,"&lt;&gt;Patrícia Karla de Sousa Araújo",$B:$B,"&lt;&gt;Lorena Dias de Araujo",$B:$B,"&lt;&gt;Lucas Luiz Romero")*(20/1083),IF(C2959="Estágio",SUMIFS($D:$D,$A:$A,$A2959,$B:$B,"&lt;&gt;Patrícia Karla de Sousa Araújo",$B:$B,"&lt;&gt;Lorena Dias de Araujo",$B:$B,"&lt;&gt;Lucas Luiz Romero")*(10/1083),0)))))),0)</f>
        <v>22</v>
      </c>
      <c r="K2959" s="3">
        <f>I2959-J2959</f>
        <v>-1</v>
      </c>
      <c r="L2959" s="3" t="str">
        <f>IF(K2959&lt;-5,"CRÍTICO",IF(K2959&lt;0,"ATENÇÃO",IF(K2959&lt;=5,"OPORTUNO","MUITO BOM")))</f>
        <v>ATENÇÃO</v>
      </c>
      <c r="M2959">
        <v>17</v>
      </c>
      <c r="N2959">
        <v>90</v>
      </c>
      <c r="O2959">
        <v>24.186046511627911</v>
      </c>
    </row>
    <row r="2960" spans="1:15" hidden="1" x14ac:dyDescent="0.25">
      <c r="A2960" s="11">
        <v>46093</v>
      </c>
      <c r="B2960" t="s">
        <v>62</v>
      </c>
      <c r="C2960" t="s">
        <v>23</v>
      </c>
      <c r="D2960">
        <v>22</v>
      </c>
      <c r="E2960">
        <v>21</v>
      </c>
      <c r="F2960">
        <v>20.32</v>
      </c>
      <c r="G2960">
        <v>0</v>
      </c>
      <c r="H2960">
        <v>0</v>
      </c>
      <c r="I2960" s="3">
        <f>E2960+G2960+H2960</f>
        <v>21</v>
      </c>
      <c r="J2960" s="3">
        <f>ROUND(MIN(IF(C2960="Técnico III",35,IF(C2960="Técnico II",28,IF(C2960="Técnico I",23,IF(C2960="JR",20,IF(C2960="Estágio",10,0))))),IF(C2960="Técnico III",SUMIFS($D:$D,$A:$A,$A2960,$B:$B,"&lt;&gt;Patrícia Karla de Sousa Araújo",$B:$B,"&lt;&gt;Lorena Dias de Araujo",$B:$B,"&lt;&gt;Lucas Luiz Romero")*(35/1083),IF(C2960="Técnico II",SUMIFS($D:$D,$A:$A,$A2960,$B:$B,"&lt;&gt;Patrícia Karla de Sousa Araújo",$B:$B,"&lt;&gt;Lorena Dias de Araujo",$B:$B,"&lt;&gt;Lucas Luiz Romero")*(28/1083),IF(C2960="Técnico I",SUMIFS($D:$D,$A:$A,$A2960,$B:$B,"&lt;&gt;Patrícia Karla de Sousa Araújo",$B:$B,"&lt;&gt;Lorena Dias de Araujo",$B:$B,"&lt;&gt;Lucas Luiz Romero")*(23/1083),IF(C2960="JR",SUMIFS($D:$D,$A:$A,$A2960,$B:$B,"&lt;&gt;Patrícia Karla de Sousa Araújo",$B:$B,"&lt;&gt;Lorena Dias de Araujo",$B:$B,"&lt;&gt;Lucas Luiz Romero")*(20/1083),IF(C2960="Estágio",SUMIFS($D:$D,$A:$A,$A2960,$B:$B,"&lt;&gt;Patrícia Karla de Sousa Araújo",$B:$B,"&lt;&gt;Lorena Dias de Araujo",$B:$B,"&lt;&gt;Lucas Luiz Romero")*(10/1083),0)))))),0)</f>
        <v>15</v>
      </c>
      <c r="K2960" s="3">
        <f>I2960-J2960</f>
        <v>6</v>
      </c>
      <c r="L2960" s="3" t="str">
        <f>IF(K2960&lt;-5,"CRÍTICO",IF(K2960&lt;0,"ATENÇÃO",IF(K2960&lt;=5,"OPORTUNO","MUITO BOM")))</f>
        <v>MUITO BOM</v>
      </c>
      <c r="M2960">
        <v>17</v>
      </c>
      <c r="N2960">
        <v>98.9</v>
      </c>
      <c r="O2960">
        <v>26.763990267639901</v>
      </c>
    </row>
    <row r="2961" spans="1:15" hidden="1" x14ac:dyDescent="0.25">
      <c r="A2961" s="11">
        <v>46093</v>
      </c>
      <c r="B2961" t="s">
        <v>19</v>
      </c>
      <c r="C2961" t="s">
        <v>16</v>
      </c>
      <c r="D2961">
        <v>4</v>
      </c>
      <c r="E2961">
        <v>4</v>
      </c>
      <c r="F2961">
        <v>85.44</v>
      </c>
      <c r="G2961">
        <v>0</v>
      </c>
      <c r="H2961">
        <v>0</v>
      </c>
      <c r="I2961" s="3">
        <f>E2961+G2961+H2961</f>
        <v>4</v>
      </c>
      <c r="J2961" s="3">
        <f>ROUND(MIN(IF(C2961="Técnico III",35,IF(C2961="Técnico II",28,IF(C2961="Técnico I",23,IF(C2961="JR",20,IF(C2961="Estágio",10,0))))),IF(C2961="Técnico III",SUMIFS($D:$D,$A:$A,$A2961,$B:$B,"&lt;&gt;Patrícia Karla de Sousa Araújo",$B:$B,"&lt;&gt;Lorena Dias de Araujo",$B:$B,"&lt;&gt;Lucas Luiz Romero")*(35/1083),IF(C2961="Técnico II",SUMIFS($D:$D,$A:$A,$A2961,$B:$B,"&lt;&gt;Patrícia Karla de Sousa Araújo",$B:$B,"&lt;&gt;Lorena Dias de Araujo",$B:$B,"&lt;&gt;Lucas Luiz Romero")*(28/1083),IF(C2961="Técnico I",SUMIFS($D:$D,$A:$A,$A2961,$B:$B,"&lt;&gt;Patrícia Karla de Sousa Araújo",$B:$B,"&lt;&gt;Lorena Dias de Araujo",$B:$B,"&lt;&gt;Lucas Luiz Romero")*(23/1083),IF(C2961="JR",SUMIFS($D:$D,$A:$A,$A2961,$B:$B,"&lt;&gt;Patrícia Karla de Sousa Araújo",$B:$B,"&lt;&gt;Lorena Dias de Araujo",$B:$B,"&lt;&gt;Lucas Luiz Romero")*(20/1083),IF(C2961="Estágio",SUMIFS($D:$D,$A:$A,$A2961,$B:$B,"&lt;&gt;Patrícia Karla de Sousa Araújo",$B:$B,"&lt;&gt;Lorena Dias de Araujo",$B:$B,"&lt;&gt;Lucas Luiz Romero")*(10/1083),0)))))),0)</f>
        <v>6</v>
      </c>
      <c r="K2961" s="3">
        <f>I2961-J2961</f>
        <v>-2</v>
      </c>
      <c r="L2961" s="3" t="str">
        <f>IF(K2961&lt;-5,"CRÍTICO",IF(K2961&lt;0,"ATENÇÃO",IF(K2961&lt;=5,"OPORTUNO","MUITO BOM")))</f>
        <v>ATENÇÃO</v>
      </c>
      <c r="M2961">
        <v>3</v>
      </c>
      <c r="N2961">
        <v>88.89</v>
      </c>
      <c r="O2961">
        <v>25.263157894736839</v>
      </c>
    </row>
    <row r="2962" spans="1:15" hidden="1" x14ac:dyDescent="0.25">
      <c r="A2962" s="11">
        <v>46093</v>
      </c>
      <c r="B2962" t="s">
        <v>43</v>
      </c>
      <c r="C2962" t="s">
        <v>32</v>
      </c>
      <c r="D2962">
        <v>25</v>
      </c>
      <c r="E2962">
        <v>25</v>
      </c>
      <c r="F2962">
        <v>20.52</v>
      </c>
      <c r="G2962">
        <v>0</v>
      </c>
      <c r="H2962">
        <v>0</v>
      </c>
      <c r="I2962" s="3">
        <f>E2962+G2962+H2962</f>
        <v>25</v>
      </c>
      <c r="J2962" s="3">
        <f>ROUND(MIN(IF(C2962="Técnico III",35,IF(C2962="Técnico II",28,IF(C2962="Técnico I",23,IF(C2962="JR",20,IF(C2962="Estágio",10,0))))),IF(C2962="Técnico III",SUMIFS($D:$D,$A:$A,$A2962,$B:$B,"&lt;&gt;Patrícia Karla de Sousa Araújo",$B:$B,"&lt;&gt;Lorena Dias de Araujo",$B:$B,"&lt;&gt;Lucas Luiz Romero")*(35/1083),IF(C2962="Técnico II",SUMIFS($D:$D,$A:$A,$A2962,$B:$B,"&lt;&gt;Patrícia Karla de Sousa Araújo",$B:$B,"&lt;&gt;Lorena Dias de Araujo",$B:$B,"&lt;&gt;Lucas Luiz Romero")*(28/1083),IF(C2962="Técnico I",SUMIFS($D:$D,$A:$A,$A2962,$B:$B,"&lt;&gt;Patrícia Karla de Sousa Araújo",$B:$B,"&lt;&gt;Lorena Dias de Araujo",$B:$B,"&lt;&gt;Lucas Luiz Romero")*(23/1083),IF(C2962="JR",SUMIFS($D:$D,$A:$A,$A2962,$B:$B,"&lt;&gt;Patrícia Karla de Sousa Araújo",$B:$B,"&lt;&gt;Lorena Dias de Araujo",$B:$B,"&lt;&gt;Lucas Luiz Romero")*(20/1083),IF(C2962="Estágio",SUMIFS($D:$D,$A:$A,$A2962,$B:$B,"&lt;&gt;Patrícia Karla de Sousa Araújo",$B:$B,"&lt;&gt;Lorena Dias de Araujo",$B:$B,"&lt;&gt;Lucas Luiz Romero")*(10/1083),0)))))),0)</f>
        <v>22</v>
      </c>
      <c r="K2962" s="3">
        <f>I2962-J2962</f>
        <v>3</v>
      </c>
      <c r="L2962" s="3" t="str">
        <f>IF(K2962&lt;-5,"CRÍTICO",IF(K2962&lt;0,"ATENÇÃO",IF(K2962&lt;=5,"OPORTUNO","MUITO BOM")))</f>
        <v>OPORTUNO</v>
      </c>
      <c r="M2962">
        <v>22</v>
      </c>
      <c r="N2962">
        <v>98.86</v>
      </c>
      <c r="O2962">
        <v>28.959276018099551</v>
      </c>
    </row>
    <row r="2963" spans="1:15" hidden="1" x14ac:dyDescent="0.25">
      <c r="A2963" s="11">
        <v>46093</v>
      </c>
      <c r="B2963" t="s">
        <v>44</v>
      </c>
      <c r="C2963" t="s">
        <v>32</v>
      </c>
      <c r="D2963">
        <v>33</v>
      </c>
      <c r="E2963">
        <v>26</v>
      </c>
      <c r="F2963">
        <v>12.22</v>
      </c>
      <c r="G2963">
        <v>0</v>
      </c>
      <c r="H2963">
        <v>0</v>
      </c>
      <c r="I2963" s="3">
        <f>E2963+G2963+H2963</f>
        <v>26</v>
      </c>
      <c r="J2963" s="3">
        <f>ROUND(MIN(IF(C2963="Técnico III",35,IF(C2963="Técnico II",28,IF(C2963="Técnico I",23,IF(C2963="JR",20,IF(C2963="Estágio",10,0))))),IF(C2963="Técnico III",SUMIFS($D:$D,$A:$A,$A2963,$B:$B,"&lt;&gt;Patrícia Karla de Sousa Araújo",$B:$B,"&lt;&gt;Lorena Dias de Araujo",$B:$B,"&lt;&gt;Lucas Luiz Romero")*(35/1083),IF(C2963="Técnico II",SUMIFS($D:$D,$A:$A,$A2963,$B:$B,"&lt;&gt;Patrícia Karla de Sousa Araújo",$B:$B,"&lt;&gt;Lorena Dias de Araujo",$B:$B,"&lt;&gt;Lucas Luiz Romero")*(28/1083),IF(C2963="Técnico I",SUMIFS($D:$D,$A:$A,$A2963,$B:$B,"&lt;&gt;Patrícia Karla de Sousa Araújo",$B:$B,"&lt;&gt;Lorena Dias de Araujo",$B:$B,"&lt;&gt;Lucas Luiz Romero")*(23/1083),IF(C2963="JR",SUMIFS($D:$D,$A:$A,$A2963,$B:$B,"&lt;&gt;Patrícia Karla de Sousa Araújo",$B:$B,"&lt;&gt;Lorena Dias de Araujo",$B:$B,"&lt;&gt;Lucas Luiz Romero")*(20/1083),IF(C2963="Estágio",SUMIFS($D:$D,$A:$A,$A2963,$B:$B,"&lt;&gt;Patrícia Karla de Sousa Araújo",$B:$B,"&lt;&gt;Lorena Dias de Araujo",$B:$B,"&lt;&gt;Lucas Luiz Romero")*(10/1083),0)))))),0)</f>
        <v>22</v>
      </c>
      <c r="K2963" s="3">
        <f>I2963-J2963</f>
        <v>4</v>
      </c>
      <c r="L2963" s="3" t="str">
        <f>IF(K2963&lt;-5,"CRÍTICO",IF(K2963&lt;0,"ATENÇÃO",IF(K2963&lt;=5,"OPORTUNO","MUITO BOM")))</f>
        <v>OPORTUNO</v>
      </c>
      <c r="M2963">
        <v>22</v>
      </c>
      <c r="N2963">
        <v>98.06</v>
      </c>
      <c r="O2963">
        <v>22.40566037735849</v>
      </c>
    </row>
    <row r="2964" spans="1:15" hidden="1" x14ac:dyDescent="0.25">
      <c r="A2964" s="11">
        <v>46093</v>
      </c>
      <c r="B2964" t="s">
        <v>20</v>
      </c>
      <c r="C2964" t="s">
        <v>16</v>
      </c>
      <c r="D2964">
        <v>6</v>
      </c>
      <c r="E2964">
        <v>6</v>
      </c>
      <c r="F2964">
        <v>43.49</v>
      </c>
      <c r="G2964">
        <v>0</v>
      </c>
      <c r="H2964">
        <v>0</v>
      </c>
      <c r="I2964" s="3">
        <f>E2964+G2964+H2964</f>
        <v>6</v>
      </c>
      <c r="J2964" s="3">
        <f>ROUND(MIN(IF(C2964="Técnico III",35,IF(C2964="Técnico II",28,IF(C2964="Técnico I",23,IF(C2964="JR",20,IF(C2964="Estágio",10,0))))),IF(C2964="Técnico III",SUMIFS($D:$D,$A:$A,$A2964,$B:$B,"&lt;&gt;Patrícia Karla de Sousa Araújo",$B:$B,"&lt;&gt;Lorena Dias de Araujo",$B:$B,"&lt;&gt;Lucas Luiz Romero")*(35/1083),IF(C2964="Técnico II",SUMIFS($D:$D,$A:$A,$A2964,$B:$B,"&lt;&gt;Patrícia Karla de Sousa Araújo",$B:$B,"&lt;&gt;Lorena Dias de Araujo",$B:$B,"&lt;&gt;Lucas Luiz Romero")*(28/1083),IF(C2964="Técnico I",SUMIFS($D:$D,$A:$A,$A2964,$B:$B,"&lt;&gt;Patrícia Karla de Sousa Araújo",$B:$B,"&lt;&gt;Lorena Dias de Araujo",$B:$B,"&lt;&gt;Lucas Luiz Romero")*(23/1083),IF(C2964="JR",SUMIFS($D:$D,$A:$A,$A2964,$B:$B,"&lt;&gt;Patrícia Karla de Sousa Araújo",$B:$B,"&lt;&gt;Lorena Dias de Araujo",$B:$B,"&lt;&gt;Lucas Luiz Romero")*(20/1083),IF(C2964="Estágio",SUMIFS($D:$D,$A:$A,$A2964,$B:$B,"&lt;&gt;Patrícia Karla de Sousa Araújo",$B:$B,"&lt;&gt;Lorena Dias de Araujo",$B:$B,"&lt;&gt;Lucas Luiz Romero")*(10/1083),0)))))),0)</f>
        <v>6</v>
      </c>
      <c r="K2964" s="3">
        <f>I2964-J2964</f>
        <v>0</v>
      </c>
      <c r="L2964" s="3" t="str">
        <f>IF(K2964&lt;-5,"CRÍTICO",IF(K2964&lt;0,"ATENÇÃO",IF(K2964&lt;=5,"OPORTUNO","MUITO BOM")))</f>
        <v>OPORTUNO</v>
      </c>
      <c r="M2964">
        <v>3</v>
      </c>
      <c r="N2964">
        <v>95.83</v>
      </c>
      <c r="O2964">
        <v>25.773195876288661</v>
      </c>
    </row>
    <row r="2965" spans="1:15" hidden="1" x14ac:dyDescent="0.25">
      <c r="A2965" s="11">
        <v>46093</v>
      </c>
      <c r="B2965" t="s">
        <v>28</v>
      </c>
      <c r="C2965" t="s">
        <v>26</v>
      </c>
      <c r="D2965">
        <v>0</v>
      </c>
      <c r="E2965">
        <v>0</v>
      </c>
      <c r="F2965">
        <v>0</v>
      </c>
      <c r="G2965">
        <v>0</v>
      </c>
      <c r="H2965">
        <v>0</v>
      </c>
      <c r="I2965" s="3">
        <v>0</v>
      </c>
      <c r="J2965" s="3">
        <v>0</v>
      </c>
      <c r="K2965" s="3">
        <v>0</v>
      </c>
      <c r="L2965" s="3" t="str">
        <f>IF(K2965&lt;-5,"CRÍTICO",IF(K2965&lt;0,"ATENÇÃO",IF(K2965&lt;=5,"OPORTUNO","MUITO BOM")))</f>
        <v>OPORTUNO</v>
      </c>
      <c r="M2965">
        <v>0</v>
      </c>
      <c r="N2965">
        <v>100</v>
      </c>
      <c r="O2965">
        <v>15.38461538461539</v>
      </c>
    </row>
    <row r="2966" spans="1:15" hidden="1" x14ac:dyDescent="0.25">
      <c r="A2966" s="11">
        <v>46093</v>
      </c>
      <c r="B2966" t="s">
        <v>58</v>
      </c>
      <c r="C2966" t="s">
        <v>48</v>
      </c>
      <c r="D2966">
        <v>13</v>
      </c>
      <c r="E2966">
        <v>12</v>
      </c>
      <c r="F2966">
        <v>25.35</v>
      </c>
      <c r="G2966">
        <v>0</v>
      </c>
      <c r="H2966">
        <v>0</v>
      </c>
      <c r="I2966" s="3">
        <f>E2966+G2966+H2966</f>
        <v>12</v>
      </c>
      <c r="J2966" s="3">
        <f>ROUND(MIN(IF(C2966="Técnico III",35,IF(C2966="Técnico II",28,IF(C2966="Técnico I",23,IF(C2966="JR",20,IF(C2966="Estágio",10,0))))),IF(C2966="Técnico III",SUMIFS($D:$D,$A:$A,$A2966,$B:$B,"&lt;&gt;Patrícia Karla de Sousa Araújo",$B:$B,"&lt;&gt;Lorena Dias de Araujo",$B:$B,"&lt;&gt;Lucas Luiz Romero")*(35/1083),IF(C2966="Técnico II",SUMIFS($D:$D,$A:$A,$A2966,$B:$B,"&lt;&gt;Patrícia Karla de Sousa Araújo",$B:$B,"&lt;&gt;Lorena Dias de Araujo",$B:$B,"&lt;&gt;Lucas Luiz Romero")*(28/1083),IF(C2966="Técnico I",SUMIFS($D:$D,$A:$A,$A2966,$B:$B,"&lt;&gt;Patrícia Karla de Sousa Araújo",$B:$B,"&lt;&gt;Lorena Dias de Araujo",$B:$B,"&lt;&gt;Lucas Luiz Romero")*(23/1083),IF(C2966="JR",SUMIFS($D:$D,$A:$A,$A2966,$B:$B,"&lt;&gt;Patrícia Karla de Sousa Araújo",$B:$B,"&lt;&gt;Lorena Dias de Araujo",$B:$B,"&lt;&gt;Lucas Luiz Romero")*(20/1083),IF(C2966="Estágio",SUMIFS($D:$D,$A:$A,$A2966,$B:$B,"&lt;&gt;Patrícia Karla de Sousa Araújo",$B:$B,"&lt;&gt;Lorena Dias de Araujo",$B:$B,"&lt;&gt;Lucas Luiz Romero")*(10/1083),0)))))),0)</f>
        <v>18</v>
      </c>
      <c r="K2966" s="3">
        <f>I2966-J2966</f>
        <v>-6</v>
      </c>
      <c r="L2966" s="3" t="str">
        <f>IF(K2966&lt;-5,"CRÍTICO",IF(K2966&lt;0,"ATENÇÃO",IF(K2966&lt;=5,"OPORTUNO","MUITO BOM")))</f>
        <v>CRÍTICO</v>
      </c>
      <c r="M2966">
        <v>11</v>
      </c>
      <c r="N2966">
        <v>100</v>
      </c>
      <c r="O2966">
        <v>27.514792899408281</v>
      </c>
    </row>
    <row r="2967" spans="1:15" hidden="1" x14ac:dyDescent="0.25">
      <c r="A2967" s="11">
        <v>46093</v>
      </c>
      <c r="B2967" t="s">
        <v>29</v>
      </c>
      <c r="C2967" t="s">
        <v>26</v>
      </c>
      <c r="D2967">
        <v>14</v>
      </c>
      <c r="E2967">
        <v>11</v>
      </c>
      <c r="F2967">
        <v>18.59</v>
      </c>
      <c r="G2967">
        <v>0</v>
      </c>
      <c r="H2967">
        <v>0</v>
      </c>
      <c r="I2967" s="3">
        <f>E2967+G2967+H2967</f>
        <v>11</v>
      </c>
      <c r="J2967" s="3">
        <f>ROUND(MIN(IF(C2967="Técnico III",35,IF(C2967="Técnico II",28,IF(C2967="Técnico I",23,IF(C2967="JR",20,IF(C2967="Estágio",10,0))))),IF(C2967="Técnico III",SUMIFS($D:$D,$A:$A,$A2967,$B:$B,"&lt;&gt;Patrícia Karla de Sousa Araújo",$B:$B,"&lt;&gt;Lorena Dias de Araujo",$B:$B,"&lt;&gt;Lucas Luiz Romero")*(35/1083),IF(C2967="Técnico II",SUMIFS($D:$D,$A:$A,$A2967,$B:$B,"&lt;&gt;Patrícia Karla de Sousa Araújo",$B:$B,"&lt;&gt;Lorena Dias de Araujo",$B:$B,"&lt;&gt;Lucas Luiz Romero")*(28/1083),IF(C2967="Técnico I",SUMIFS($D:$D,$A:$A,$A2967,$B:$B,"&lt;&gt;Patrícia Karla de Sousa Araújo",$B:$B,"&lt;&gt;Lorena Dias de Araujo",$B:$B,"&lt;&gt;Lucas Luiz Romero")*(23/1083),IF(C2967="JR",SUMIFS($D:$D,$A:$A,$A2967,$B:$B,"&lt;&gt;Patrícia Karla de Sousa Araújo",$B:$B,"&lt;&gt;Lorena Dias de Araujo",$B:$B,"&lt;&gt;Lucas Luiz Romero")*(20/1083),IF(C2967="Estágio",SUMIFS($D:$D,$A:$A,$A2967,$B:$B,"&lt;&gt;Patrícia Karla de Sousa Araújo",$B:$B,"&lt;&gt;Lorena Dias de Araujo",$B:$B,"&lt;&gt;Lucas Luiz Romero")*(10/1083),0)))))),0)</f>
        <v>13</v>
      </c>
      <c r="K2967" s="3">
        <f>I2967-J2967</f>
        <v>-2</v>
      </c>
      <c r="L2967" s="3" t="str">
        <f>IF(K2967&lt;-5,"CRÍTICO",IF(K2967&lt;0,"ATENÇÃO",IF(K2967&lt;=5,"OPORTUNO","MUITO BOM")))</f>
        <v>ATENÇÃO</v>
      </c>
      <c r="M2967">
        <v>10</v>
      </c>
      <c r="N2967">
        <v>100</v>
      </c>
      <c r="O2967">
        <v>24.875621890547269</v>
      </c>
    </row>
    <row r="2968" spans="1:15" hidden="1" x14ac:dyDescent="0.25">
      <c r="A2968" s="11">
        <v>46093</v>
      </c>
      <c r="B2968" t="s">
        <v>30</v>
      </c>
      <c r="C2968" t="s">
        <v>26</v>
      </c>
      <c r="D2968">
        <v>11</v>
      </c>
      <c r="E2968">
        <v>11</v>
      </c>
      <c r="F2968">
        <v>52.06</v>
      </c>
      <c r="G2968">
        <v>0</v>
      </c>
      <c r="H2968">
        <v>0</v>
      </c>
      <c r="I2968" s="3">
        <f>E2968+G2968+H2968</f>
        <v>11</v>
      </c>
      <c r="J2968" s="3">
        <f>ROUND(MIN(IF(C2968="Técnico III",35,IF(C2968="Técnico II",28,IF(C2968="Técnico I",23,IF(C2968="JR",20,IF(C2968="Estágio",10,0))))),IF(C2968="Técnico III",SUMIFS($D:$D,$A:$A,$A2968,$B:$B,"&lt;&gt;Patrícia Karla de Sousa Araújo",$B:$B,"&lt;&gt;Lorena Dias de Araujo",$B:$B,"&lt;&gt;Lucas Luiz Romero")*(35/1083),IF(C2968="Técnico II",SUMIFS($D:$D,$A:$A,$A2968,$B:$B,"&lt;&gt;Patrícia Karla de Sousa Araújo",$B:$B,"&lt;&gt;Lorena Dias de Araujo",$B:$B,"&lt;&gt;Lucas Luiz Romero")*(28/1083),IF(C2968="Técnico I",SUMIFS($D:$D,$A:$A,$A2968,$B:$B,"&lt;&gt;Patrícia Karla de Sousa Araújo",$B:$B,"&lt;&gt;Lorena Dias de Araujo",$B:$B,"&lt;&gt;Lucas Luiz Romero")*(23/1083),IF(C2968="JR",SUMIFS($D:$D,$A:$A,$A2968,$B:$B,"&lt;&gt;Patrícia Karla de Sousa Araújo",$B:$B,"&lt;&gt;Lorena Dias de Araujo",$B:$B,"&lt;&gt;Lucas Luiz Romero")*(20/1083),IF(C2968="Estágio",SUMIFS($D:$D,$A:$A,$A2968,$B:$B,"&lt;&gt;Patrícia Karla de Sousa Araújo",$B:$B,"&lt;&gt;Lorena Dias de Araujo",$B:$B,"&lt;&gt;Lucas Luiz Romero")*(10/1083),0)))))),0)</f>
        <v>13</v>
      </c>
      <c r="K2968" s="3">
        <f>I2968-J2968</f>
        <v>-2</v>
      </c>
      <c r="L2968" s="3" t="str">
        <f>IF(K2968&lt;-5,"CRÍTICO",IF(K2968&lt;0,"ATENÇÃO",IF(K2968&lt;=5,"OPORTUNO","MUITO BOM")))</f>
        <v>ATENÇÃO</v>
      </c>
      <c r="M2968">
        <v>6</v>
      </c>
      <c r="N2968">
        <v>100</v>
      </c>
      <c r="O2968">
        <v>28.108108108108109</v>
      </c>
    </row>
    <row r="2969" spans="1:15" hidden="1" x14ac:dyDescent="0.25">
      <c r="A2969" s="11">
        <v>46093</v>
      </c>
      <c r="B2969" t="s">
        <v>21</v>
      </c>
      <c r="C2969" t="s">
        <v>16</v>
      </c>
      <c r="D2969">
        <v>0</v>
      </c>
      <c r="E2969">
        <v>0</v>
      </c>
      <c r="F2969">
        <v>0</v>
      </c>
      <c r="G2969">
        <v>0</v>
      </c>
      <c r="H2969">
        <v>0</v>
      </c>
      <c r="I2969" s="3">
        <v>0</v>
      </c>
      <c r="J2969" s="3">
        <v>0</v>
      </c>
      <c r="K2969" s="3">
        <v>0</v>
      </c>
      <c r="L2969" s="3" t="str">
        <f>IF(K2969&lt;-5,"CRÍTICO",IF(K2969&lt;0,"ATENÇÃO",IF(K2969&lt;=5,"OPORTUNO","MUITO BOM")))</f>
        <v>OPORTUNO</v>
      </c>
      <c r="M2969">
        <v>0</v>
      </c>
      <c r="N2969">
        <v>100</v>
      </c>
      <c r="O2969">
        <v>35</v>
      </c>
    </row>
    <row r="2970" spans="1:15" hidden="1" x14ac:dyDescent="0.25">
      <c r="A2970" s="11">
        <v>46093</v>
      </c>
      <c r="B2970" t="s">
        <v>63</v>
      </c>
      <c r="C2970" t="s">
        <v>23</v>
      </c>
      <c r="D2970">
        <v>25</v>
      </c>
      <c r="E2970">
        <v>25</v>
      </c>
      <c r="F2970">
        <v>28.46</v>
      </c>
      <c r="G2970">
        <v>0</v>
      </c>
      <c r="H2970">
        <v>0</v>
      </c>
      <c r="I2970" s="3">
        <f>E2970+G2970+H2970</f>
        <v>25</v>
      </c>
      <c r="J2970" s="3">
        <f>ROUND(MIN(IF(C2970="Técnico III",35,IF(C2970="Técnico II",28,IF(C2970="Técnico I",23,IF(C2970="JR",20,IF(C2970="Estágio",10,0))))),IF(C2970="Técnico III",SUMIFS($D:$D,$A:$A,$A2970,$B:$B,"&lt;&gt;Patrícia Karla de Sousa Araújo",$B:$B,"&lt;&gt;Lorena Dias de Araujo",$B:$B,"&lt;&gt;Lucas Luiz Romero")*(35/1083),IF(C2970="Técnico II",SUMIFS($D:$D,$A:$A,$A2970,$B:$B,"&lt;&gt;Patrícia Karla de Sousa Araújo",$B:$B,"&lt;&gt;Lorena Dias de Araujo",$B:$B,"&lt;&gt;Lucas Luiz Romero")*(28/1083),IF(C2970="Técnico I",SUMIFS($D:$D,$A:$A,$A2970,$B:$B,"&lt;&gt;Patrícia Karla de Sousa Araújo",$B:$B,"&lt;&gt;Lorena Dias de Araujo",$B:$B,"&lt;&gt;Lucas Luiz Romero")*(23/1083),IF(C2970="JR",SUMIFS($D:$D,$A:$A,$A2970,$B:$B,"&lt;&gt;Patrícia Karla de Sousa Araújo",$B:$B,"&lt;&gt;Lorena Dias de Araujo",$B:$B,"&lt;&gt;Lucas Luiz Romero")*(20/1083),IF(C2970="Estágio",SUMIFS($D:$D,$A:$A,$A2970,$B:$B,"&lt;&gt;Patrícia Karla de Sousa Araújo",$B:$B,"&lt;&gt;Lorena Dias de Araujo",$B:$B,"&lt;&gt;Lucas Luiz Romero")*(10/1083),0)))))),0)</f>
        <v>15</v>
      </c>
      <c r="K2970" s="3">
        <f>I2970-J2970</f>
        <v>10</v>
      </c>
      <c r="L2970" s="3" t="str">
        <f>IF(K2970&lt;-5,"CRÍTICO",IF(K2970&lt;0,"ATENÇÃO",IF(K2970&lt;=5,"OPORTUNO","MUITO BOM")))</f>
        <v>MUITO BOM</v>
      </c>
      <c r="M2970">
        <v>21</v>
      </c>
      <c r="N2970">
        <v>95.35</v>
      </c>
      <c r="O2970">
        <v>28.61538461538461</v>
      </c>
    </row>
    <row r="2971" spans="1:15" hidden="1" x14ac:dyDescent="0.25">
      <c r="A2971" s="11">
        <v>46093</v>
      </c>
      <c r="B2971" t="s">
        <v>45</v>
      </c>
      <c r="C2971" t="s">
        <v>32</v>
      </c>
      <c r="D2971">
        <v>45</v>
      </c>
      <c r="E2971">
        <v>42</v>
      </c>
      <c r="F2971">
        <v>13.5</v>
      </c>
      <c r="G2971">
        <v>0</v>
      </c>
      <c r="H2971">
        <v>0</v>
      </c>
      <c r="I2971" s="3">
        <f>E2971+G2971+H2971</f>
        <v>42</v>
      </c>
      <c r="J2971" s="3">
        <f>ROUND(MIN(IF(C2971="Técnico III",35,IF(C2971="Técnico II",28,IF(C2971="Técnico I",23,IF(C2971="JR",20,IF(C2971="Estágio",10,0))))),IF(C2971="Técnico III",SUMIFS($D:$D,$A:$A,$A2971,$B:$B,"&lt;&gt;Patrícia Karla de Sousa Araújo",$B:$B,"&lt;&gt;Lorena Dias de Araujo",$B:$B,"&lt;&gt;Lucas Luiz Romero")*(35/1083),IF(C2971="Técnico II",SUMIFS($D:$D,$A:$A,$A2971,$B:$B,"&lt;&gt;Patrícia Karla de Sousa Araújo",$B:$B,"&lt;&gt;Lorena Dias de Araujo",$B:$B,"&lt;&gt;Lucas Luiz Romero")*(28/1083),IF(C2971="Técnico I",SUMIFS($D:$D,$A:$A,$A2971,$B:$B,"&lt;&gt;Patrícia Karla de Sousa Araújo",$B:$B,"&lt;&gt;Lorena Dias de Araujo",$B:$B,"&lt;&gt;Lucas Luiz Romero")*(23/1083),IF(C2971="JR",SUMIFS($D:$D,$A:$A,$A2971,$B:$B,"&lt;&gt;Patrícia Karla de Sousa Araújo",$B:$B,"&lt;&gt;Lorena Dias de Araujo",$B:$B,"&lt;&gt;Lucas Luiz Romero")*(20/1083),IF(C2971="Estágio",SUMIFS($D:$D,$A:$A,$A2971,$B:$B,"&lt;&gt;Patrícia Karla de Sousa Araújo",$B:$B,"&lt;&gt;Lorena Dias de Araujo",$B:$B,"&lt;&gt;Lucas Luiz Romero")*(10/1083),0)))))),0)</f>
        <v>22</v>
      </c>
      <c r="K2971" s="3">
        <f>I2971-J2971</f>
        <v>20</v>
      </c>
      <c r="L2971" s="3" t="str">
        <f>IF(K2971&lt;-5,"CRÍTICO",IF(K2971&lt;0,"ATENÇÃO",IF(K2971&lt;=5,"OPORTUNO","MUITO BOM")))</f>
        <v>MUITO BOM</v>
      </c>
      <c r="M2971">
        <v>34</v>
      </c>
      <c r="N2971">
        <v>98.26</v>
      </c>
      <c r="O2971">
        <v>27.54491017964072</v>
      </c>
    </row>
    <row r="2972" spans="1:15" hidden="1" x14ac:dyDescent="0.25">
      <c r="A2972" s="11">
        <v>46093</v>
      </c>
      <c r="B2972" t="s">
        <v>64</v>
      </c>
      <c r="C2972" t="s">
        <v>23</v>
      </c>
      <c r="D2972">
        <v>17</v>
      </c>
      <c r="E2972">
        <v>16</v>
      </c>
      <c r="F2972">
        <v>28.36</v>
      </c>
      <c r="G2972">
        <v>0</v>
      </c>
      <c r="H2972">
        <v>0</v>
      </c>
      <c r="I2972" s="3">
        <f>E2972+G2972+H2972</f>
        <v>16</v>
      </c>
      <c r="J2972" s="3">
        <f>ROUND(MIN(IF(C2972="Técnico III",35,IF(C2972="Técnico II",28,IF(C2972="Técnico I",23,IF(C2972="JR",20,IF(C2972="Estágio",10,0))))),IF(C2972="Técnico III",SUMIFS($D:$D,$A:$A,$A2972,$B:$B,"&lt;&gt;Patrícia Karla de Sousa Araújo",$B:$B,"&lt;&gt;Lorena Dias de Araujo",$B:$B,"&lt;&gt;Lucas Luiz Romero")*(35/1083),IF(C2972="Técnico II",SUMIFS($D:$D,$A:$A,$A2972,$B:$B,"&lt;&gt;Patrícia Karla de Sousa Araújo",$B:$B,"&lt;&gt;Lorena Dias de Araujo",$B:$B,"&lt;&gt;Lucas Luiz Romero")*(28/1083),IF(C2972="Técnico I",SUMIFS($D:$D,$A:$A,$A2972,$B:$B,"&lt;&gt;Patrícia Karla de Sousa Araújo",$B:$B,"&lt;&gt;Lorena Dias de Araujo",$B:$B,"&lt;&gt;Lucas Luiz Romero")*(23/1083),IF(C2972="JR",SUMIFS($D:$D,$A:$A,$A2972,$B:$B,"&lt;&gt;Patrícia Karla de Sousa Araújo",$B:$B,"&lt;&gt;Lorena Dias de Araujo",$B:$B,"&lt;&gt;Lucas Luiz Romero")*(20/1083),IF(C2972="Estágio",SUMIFS($D:$D,$A:$A,$A2972,$B:$B,"&lt;&gt;Patrícia Karla de Sousa Araújo",$B:$B,"&lt;&gt;Lorena Dias de Araujo",$B:$B,"&lt;&gt;Lucas Luiz Romero")*(10/1083),0)))))),0)</f>
        <v>15</v>
      </c>
      <c r="K2972" s="3">
        <f>I2972-J2972</f>
        <v>1</v>
      </c>
      <c r="L2972" s="3" t="str">
        <f>IF(K2972&lt;-5,"CRÍTICO",IF(K2972&lt;0,"ATENÇÃO",IF(K2972&lt;=5,"OPORTUNO","MUITO BOM")))</f>
        <v>OPORTUNO</v>
      </c>
      <c r="M2972">
        <v>16</v>
      </c>
      <c r="N2972">
        <v>98.55</v>
      </c>
      <c r="O2972">
        <v>25.337837837837839</v>
      </c>
    </row>
    <row r="2973" spans="1:15" hidden="1" x14ac:dyDescent="0.25">
      <c r="A2973" s="11">
        <v>46093</v>
      </c>
      <c r="B2973" t="s">
        <v>46</v>
      </c>
      <c r="C2973" t="s">
        <v>32</v>
      </c>
      <c r="D2973">
        <v>40</v>
      </c>
      <c r="E2973">
        <v>35</v>
      </c>
      <c r="F2973">
        <v>15.18</v>
      </c>
      <c r="G2973">
        <v>0</v>
      </c>
      <c r="H2973">
        <v>0</v>
      </c>
      <c r="I2973" s="3">
        <f>E2973+G2973+H2973</f>
        <v>35</v>
      </c>
      <c r="J2973" s="3">
        <f>ROUND(MIN(IF(C2973="Técnico III",35,IF(C2973="Técnico II",28,IF(C2973="Técnico I",23,IF(C2973="JR",20,IF(C2973="Estágio",10,0))))),IF(C2973="Técnico III",SUMIFS($D:$D,$A:$A,$A2973,$B:$B,"&lt;&gt;Patrícia Karla de Sousa Araújo",$B:$B,"&lt;&gt;Lorena Dias de Araujo",$B:$B,"&lt;&gt;Lucas Luiz Romero")*(35/1083),IF(C2973="Técnico II",SUMIFS($D:$D,$A:$A,$A2973,$B:$B,"&lt;&gt;Patrícia Karla de Sousa Araújo",$B:$B,"&lt;&gt;Lorena Dias de Araujo",$B:$B,"&lt;&gt;Lucas Luiz Romero")*(28/1083),IF(C2973="Técnico I",SUMIFS($D:$D,$A:$A,$A2973,$B:$B,"&lt;&gt;Patrícia Karla de Sousa Araújo",$B:$B,"&lt;&gt;Lorena Dias de Araujo",$B:$B,"&lt;&gt;Lucas Luiz Romero")*(23/1083),IF(C2973="JR",SUMIFS($D:$D,$A:$A,$A2973,$B:$B,"&lt;&gt;Patrícia Karla de Sousa Araújo",$B:$B,"&lt;&gt;Lorena Dias de Araujo",$B:$B,"&lt;&gt;Lucas Luiz Romero")*(20/1083),IF(C2973="Estágio",SUMIFS($D:$D,$A:$A,$A2973,$B:$B,"&lt;&gt;Patrícia Karla de Sousa Araújo",$B:$B,"&lt;&gt;Lorena Dias de Araujo",$B:$B,"&lt;&gt;Lucas Luiz Romero")*(10/1083),0)))))),0)</f>
        <v>22</v>
      </c>
      <c r="K2973" s="3">
        <f>I2973-J2973</f>
        <v>13</v>
      </c>
      <c r="L2973" s="3" t="str">
        <f>IF(K2973&lt;-5,"CRÍTICO",IF(K2973&lt;0,"ATENÇÃO",IF(K2973&lt;=5,"OPORTUNO","MUITO BOM")))</f>
        <v>MUITO BOM</v>
      </c>
      <c r="M2973">
        <v>28</v>
      </c>
      <c r="N2973">
        <v>98.39</v>
      </c>
      <c r="O2973">
        <v>25.563909774436091</v>
      </c>
    </row>
    <row r="2974" spans="1:15" hidden="1" x14ac:dyDescent="0.25">
      <c r="A2974" s="11">
        <v>46094</v>
      </c>
      <c r="B2974" t="s">
        <v>47</v>
      </c>
      <c r="C2974" t="s">
        <v>48</v>
      </c>
      <c r="D2974">
        <v>37</v>
      </c>
      <c r="E2974">
        <v>32</v>
      </c>
      <c r="F2974">
        <v>17.190000000000001</v>
      </c>
      <c r="G2974">
        <v>0</v>
      </c>
      <c r="H2974">
        <v>0</v>
      </c>
      <c r="I2974" s="3">
        <f>E2974+G2974+H2974</f>
        <v>32</v>
      </c>
      <c r="J2974" s="3">
        <f>ROUND(MIN(IF(C2974="Técnico III",35,IF(C2974="Técnico II",28,IF(C2974="Técnico I",23,IF(C2974="JR",20,IF(C2974="Estágio",10,0))))),IF(C2974="Técnico III",SUMIFS($D:$D,$A:$A,$A2974,$B:$B,"&lt;&gt;Patrícia Karla de Sousa Araújo",$B:$B,"&lt;&gt;Lorena Dias de Araujo",$B:$B,"&lt;&gt;Lucas Luiz Romero")*(35/1083),IF(C2974="Técnico II",SUMIFS($D:$D,$A:$A,$A2974,$B:$B,"&lt;&gt;Patrícia Karla de Sousa Araújo",$B:$B,"&lt;&gt;Lorena Dias de Araujo",$B:$B,"&lt;&gt;Lucas Luiz Romero")*(28/1083),IF(C2974="Técnico I",SUMIFS($D:$D,$A:$A,$A2974,$B:$B,"&lt;&gt;Patrícia Karla de Sousa Araújo",$B:$B,"&lt;&gt;Lorena Dias de Araujo",$B:$B,"&lt;&gt;Lucas Luiz Romero")*(23/1083),IF(C2974="JR",SUMIFS($D:$D,$A:$A,$A2974,$B:$B,"&lt;&gt;Patrícia Karla de Sousa Araújo",$B:$B,"&lt;&gt;Lorena Dias de Araujo",$B:$B,"&lt;&gt;Lucas Luiz Romero")*(20/1083),IF(C2974="Estágio",SUMIFS($D:$D,$A:$A,$A2974,$B:$B,"&lt;&gt;Patrícia Karla de Sousa Araújo",$B:$B,"&lt;&gt;Lorena Dias de Araujo",$B:$B,"&lt;&gt;Lucas Luiz Romero")*(10/1083),0)))))),0)</f>
        <v>16</v>
      </c>
      <c r="K2974" s="3">
        <f>I2974-J2974</f>
        <v>16</v>
      </c>
      <c r="L2974" s="3" t="str">
        <f>IF(K2974&lt;-5,"CRÍTICO",IF(K2974&lt;0,"ATENÇÃO",IF(K2974&lt;=5,"OPORTUNO","MUITO BOM")))</f>
        <v>MUITO BOM</v>
      </c>
      <c r="M2974">
        <v>22</v>
      </c>
      <c r="N2974">
        <v>94.29</v>
      </c>
      <c r="O2974">
        <v>25.647668393782389</v>
      </c>
    </row>
    <row r="2975" spans="1:15" hidden="1" x14ac:dyDescent="0.25">
      <c r="A2975" s="11">
        <v>46094</v>
      </c>
      <c r="B2975" t="s">
        <v>31</v>
      </c>
      <c r="C2975" t="s">
        <v>32</v>
      </c>
      <c r="D2975">
        <v>0</v>
      </c>
      <c r="E2975">
        <v>0</v>
      </c>
      <c r="F2975">
        <v>0</v>
      </c>
      <c r="G2975">
        <v>0</v>
      </c>
      <c r="H2975">
        <v>0</v>
      </c>
      <c r="I2975" s="3">
        <v>0</v>
      </c>
      <c r="J2975" s="3">
        <v>0</v>
      </c>
      <c r="K2975" s="3">
        <v>0</v>
      </c>
      <c r="L2975" s="3" t="str">
        <f>IF(K2975&lt;-5,"CRÍTICO",IF(K2975&lt;0,"ATENÇÃO",IF(K2975&lt;=5,"OPORTUNO","MUITO BOM")))</f>
        <v>OPORTUNO</v>
      </c>
      <c r="M2975">
        <v>15</v>
      </c>
      <c r="N2975">
        <v>98.26</v>
      </c>
      <c r="O2975">
        <v>26.666666666666671</v>
      </c>
    </row>
    <row r="2976" spans="1:15" hidden="1" x14ac:dyDescent="0.25">
      <c r="A2976" s="11">
        <v>46094</v>
      </c>
      <c r="B2976" t="s">
        <v>59</v>
      </c>
      <c r="C2976" t="s">
        <v>23</v>
      </c>
      <c r="D2976">
        <v>19</v>
      </c>
      <c r="E2976">
        <v>18</v>
      </c>
      <c r="F2976">
        <v>27.37</v>
      </c>
      <c r="G2976">
        <v>0</v>
      </c>
      <c r="H2976">
        <v>0</v>
      </c>
      <c r="I2976" s="3">
        <f>E2976+G2976+H2976</f>
        <v>18</v>
      </c>
      <c r="J2976" s="3">
        <f>ROUND(MIN(IF(C2976="Técnico III",35,IF(C2976="Técnico II",28,IF(C2976="Técnico I",23,IF(C2976="JR",20,IF(C2976="Estágio",10,0))))),IF(C2976="Técnico III",SUMIFS($D:$D,$A:$A,$A2976,$B:$B,"&lt;&gt;Patrícia Karla de Sousa Araújo",$B:$B,"&lt;&gt;Lorena Dias de Araujo",$B:$B,"&lt;&gt;Lucas Luiz Romero")*(35/1083),IF(C2976="Técnico II",SUMIFS($D:$D,$A:$A,$A2976,$B:$B,"&lt;&gt;Patrícia Karla de Sousa Araújo",$B:$B,"&lt;&gt;Lorena Dias de Araujo",$B:$B,"&lt;&gt;Lucas Luiz Romero")*(28/1083),IF(C2976="Técnico I",SUMIFS($D:$D,$A:$A,$A2976,$B:$B,"&lt;&gt;Patrícia Karla de Sousa Araújo",$B:$B,"&lt;&gt;Lorena Dias de Araujo",$B:$B,"&lt;&gt;Lucas Luiz Romero")*(23/1083),IF(C2976="JR",SUMIFS($D:$D,$A:$A,$A2976,$B:$B,"&lt;&gt;Patrícia Karla de Sousa Araújo",$B:$B,"&lt;&gt;Lorena Dias de Araujo",$B:$B,"&lt;&gt;Lucas Luiz Romero")*(20/1083),IF(C2976="Estágio",SUMIFS($D:$D,$A:$A,$A2976,$B:$B,"&lt;&gt;Patrícia Karla de Sousa Araújo",$B:$B,"&lt;&gt;Lorena Dias de Araujo",$B:$B,"&lt;&gt;Lucas Luiz Romero")*(10/1083),0)))))),0)</f>
        <v>13</v>
      </c>
      <c r="K2976" s="3">
        <f>I2976-J2976</f>
        <v>5</v>
      </c>
      <c r="L2976" s="3" t="str">
        <f>IF(K2976&lt;-5,"CRÍTICO",IF(K2976&lt;0,"ATENÇÃO",IF(K2976&lt;=5,"OPORTUNO","MUITO BOM")))</f>
        <v>OPORTUNO</v>
      </c>
      <c r="M2976">
        <v>15</v>
      </c>
      <c r="N2976">
        <v>98.2</v>
      </c>
      <c r="O2976">
        <v>23.37962962962963</v>
      </c>
    </row>
    <row r="2977" spans="1:15" hidden="1" x14ac:dyDescent="0.25">
      <c r="A2977" s="11">
        <v>46094</v>
      </c>
      <c r="B2977" t="s">
        <v>33</v>
      </c>
      <c r="C2977" t="s">
        <v>32</v>
      </c>
      <c r="D2977">
        <v>22</v>
      </c>
      <c r="E2977">
        <v>21</v>
      </c>
      <c r="F2977">
        <v>28.53</v>
      </c>
      <c r="G2977">
        <v>0</v>
      </c>
      <c r="H2977">
        <v>0</v>
      </c>
      <c r="I2977" s="3">
        <f>E2977+G2977+H2977</f>
        <v>21</v>
      </c>
      <c r="J2977" s="3">
        <f>ROUND(MIN(IF(C2977="Técnico III",35,IF(C2977="Técnico II",28,IF(C2977="Técnico I",23,IF(C2977="JR",20,IF(C2977="Estágio",10,0))))),IF(C2977="Técnico III",SUMIFS($D:$D,$A:$A,$A2977,$B:$B,"&lt;&gt;Patrícia Karla de Sousa Araújo",$B:$B,"&lt;&gt;Lorena Dias de Araujo",$B:$B,"&lt;&gt;Lucas Luiz Romero")*(35/1083),IF(C2977="Técnico II",SUMIFS($D:$D,$A:$A,$A2977,$B:$B,"&lt;&gt;Patrícia Karla de Sousa Araújo",$B:$B,"&lt;&gt;Lorena Dias de Araujo",$B:$B,"&lt;&gt;Lucas Luiz Romero")*(28/1083),IF(C2977="Técnico I",SUMIFS($D:$D,$A:$A,$A2977,$B:$B,"&lt;&gt;Patrícia Karla de Sousa Araújo",$B:$B,"&lt;&gt;Lorena Dias de Araujo",$B:$B,"&lt;&gt;Lucas Luiz Romero")*(23/1083),IF(C2977="JR",SUMIFS($D:$D,$A:$A,$A2977,$B:$B,"&lt;&gt;Patrícia Karla de Sousa Araújo",$B:$B,"&lt;&gt;Lorena Dias de Araujo",$B:$B,"&lt;&gt;Lucas Luiz Romero")*(20/1083),IF(C2977="Estágio",SUMIFS($D:$D,$A:$A,$A2977,$B:$B,"&lt;&gt;Patrícia Karla de Sousa Araújo",$B:$B,"&lt;&gt;Lorena Dias de Araujo",$B:$B,"&lt;&gt;Lucas Luiz Romero")*(10/1083),0)))))),0)</f>
        <v>20</v>
      </c>
      <c r="K2977" s="3">
        <f>I2977-J2977</f>
        <v>1</v>
      </c>
      <c r="L2977" s="3" t="str">
        <f>IF(K2977&lt;-5,"CRÍTICO",IF(K2977&lt;0,"ATENÇÃO",IF(K2977&lt;=5,"OPORTUNO","MUITO BOM")))</f>
        <v>OPORTUNO</v>
      </c>
      <c r="M2977">
        <v>17</v>
      </c>
      <c r="N2977">
        <v>97.3</v>
      </c>
      <c r="O2977">
        <v>23.84769539078156</v>
      </c>
    </row>
    <row r="2978" spans="1:15" hidden="1" x14ac:dyDescent="0.25">
      <c r="A2978" s="11">
        <v>46094</v>
      </c>
      <c r="B2978" t="s">
        <v>15</v>
      </c>
      <c r="C2978" t="s">
        <v>16</v>
      </c>
      <c r="D2978">
        <v>0</v>
      </c>
      <c r="E2978">
        <v>0</v>
      </c>
      <c r="F2978">
        <v>0</v>
      </c>
      <c r="G2978">
        <v>0</v>
      </c>
      <c r="H2978">
        <v>0</v>
      </c>
      <c r="I2978" s="3">
        <v>0</v>
      </c>
      <c r="J2978" s="3">
        <v>0</v>
      </c>
      <c r="K2978" s="3">
        <v>0</v>
      </c>
      <c r="L2978" s="3" t="str">
        <f>IF(K2978&lt;-5,"CRÍTICO",IF(K2978&lt;0,"ATENÇÃO",IF(K2978&lt;=5,"OPORTUNO","MUITO BOM")))</f>
        <v>OPORTUNO</v>
      </c>
      <c r="M2978">
        <v>0</v>
      </c>
      <c r="N2978">
        <v>100</v>
      </c>
      <c r="O2978">
        <v>25.268817204301079</v>
      </c>
    </row>
    <row r="2979" spans="1:15" hidden="1" x14ac:dyDescent="0.25">
      <c r="A2979" s="11">
        <v>46094</v>
      </c>
      <c r="B2979" t="s">
        <v>49</v>
      </c>
      <c r="C2979" t="s">
        <v>48</v>
      </c>
      <c r="D2979">
        <v>40</v>
      </c>
      <c r="E2979">
        <v>37</v>
      </c>
      <c r="F2979">
        <v>15.08</v>
      </c>
      <c r="G2979">
        <v>0</v>
      </c>
      <c r="H2979">
        <v>0</v>
      </c>
      <c r="I2979" s="3">
        <f>E2979+G2979+H2979</f>
        <v>37</v>
      </c>
      <c r="J2979" s="3">
        <f>ROUND(MIN(IF(C2979="Técnico III",35,IF(C2979="Técnico II",28,IF(C2979="Técnico I",23,IF(C2979="JR",20,IF(C2979="Estágio",10,0))))),IF(C2979="Técnico III",SUMIFS($D:$D,$A:$A,$A2979,$B:$B,"&lt;&gt;Patrícia Karla de Sousa Araújo",$B:$B,"&lt;&gt;Lorena Dias de Araujo",$B:$B,"&lt;&gt;Lucas Luiz Romero")*(35/1083),IF(C2979="Técnico II",SUMIFS($D:$D,$A:$A,$A2979,$B:$B,"&lt;&gt;Patrícia Karla de Sousa Araújo",$B:$B,"&lt;&gt;Lorena Dias de Araujo",$B:$B,"&lt;&gt;Lucas Luiz Romero")*(28/1083),IF(C2979="Técnico I",SUMIFS($D:$D,$A:$A,$A2979,$B:$B,"&lt;&gt;Patrícia Karla de Sousa Araújo",$B:$B,"&lt;&gt;Lorena Dias de Araujo",$B:$B,"&lt;&gt;Lucas Luiz Romero")*(23/1083),IF(C2979="JR",SUMIFS($D:$D,$A:$A,$A2979,$B:$B,"&lt;&gt;Patrícia Karla de Sousa Araújo",$B:$B,"&lt;&gt;Lorena Dias de Araujo",$B:$B,"&lt;&gt;Lucas Luiz Romero")*(20/1083),IF(C2979="Estágio",SUMIFS($D:$D,$A:$A,$A2979,$B:$B,"&lt;&gt;Patrícia Karla de Sousa Araújo",$B:$B,"&lt;&gt;Lorena Dias de Araujo",$B:$B,"&lt;&gt;Lucas Luiz Romero")*(10/1083),0)))))),0)</f>
        <v>16</v>
      </c>
      <c r="K2979" s="3">
        <f>I2979-J2979</f>
        <v>21</v>
      </c>
      <c r="L2979" s="3" t="str">
        <f>IF(K2979&lt;-5,"CRÍTICO",IF(K2979&lt;0,"ATENÇÃO",IF(K2979&lt;=5,"OPORTUNO","MUITO BOM")))</f>
        <v>MUITO BOM</v>
      </c>
      <c r="M2979">
        <v>40</v>
      </c>
      <c r="N2979">
        <v>99.32</v>
      </c>
      <c r="O2979">
        <v>22.822822822822818</v>
      </c>
    </row>
    <row r="2980" spans="1:15" hidden="1" x14ac:dyDescent="0.25">
      <c r="A2980" s="11">
        <v>46094</v>
      </c>
      <c r="B2980" t="s">
        <v>50</v>
      </c>
      <c r="C2980" t="s">
        <v>48</v>
      </c>
      <c r="D2980">
        <v>16</v>
      </c>
      <c r="E2980">
        <v>16</v>
      </c>
      <c r="F2980">
        <v>38.340000000000003</v>
      </c>
      <c r="G2980">
        <v>0</v>
      </c>
      <c r="H2980">
        <v>0</v>
      </c>
      <c r="I2980" s="3">
        <f>E2980+G2980+H2980</f>
        <v>16</v>
      </c>
      <c r="J2980" s="3">
        <f>ROUND(MIN(IF(C2980="Técnico III",35,IF(C2980="Técnico II",28,IF(C2980="Técnico I",23,IF(C2980="JR",20,IF(C2980="Estágio",10,0))))),IF(C2980="Técnico III",SUMIFS($D:$D,$A:$A,$A2980,$B:$B,"&lt;&gt;Patrícia Karla de Sousa Araújo",$B:$B,"&lt;&gt;Lorena Dias de Araujo",$B:$B,"&lt;&gt;Lucas Luiz Romero")*(35/1083),IF(C2980="Técnico II",SUMIFS($D:$D,$A:$A,$A2980,$B:$B,"&lt;&gt;Patrícia Karla de Sousa Araújo",$B:$B,"&lt;&gt;Lorena Dias de Araujo",$B:$B,"&lt;&gt;Lucas Luiz Romero")*(28/1083),IF(C2980="Técnico I",SUMIFS($D:$D,$A:$A,$A2980,$B:$B,"&lt;&gt;Patrícia Karla de Sousa Araújo",$B:$B,"&lt;&gt;Lorena Dias de Araujo",$B:$B,"&lt;&gt;Lucas Luiz Romero")*(23/1083),IF(C2980="JR",SUMIFS($D:$D,$A:$A,$A2980,$B:$B,"&lt;&gt;Patrícia Karla de Sousa Araújo",$B:$B,"&lt;&gt;Lorena Dias de Araujo",$B:$B,"&lt;&gt;Lucas Luiz Romero")*(20/1083),IF(C2980="Estágio",SUMIFS($D:$D,$A:$A,$A2980,$B:$B,"&lt;&gt;Patrícia Karla de Sousa Araújo",$B:$B,"&lt;&gt;Lorena Dias de Araujo",$B:$B,"&lt;&gt;Lucas Luiz Romero")*(10/1083),0)))))),0)</f>
        <v>16</v>
      </c>
      <c r="K2980" s="3">
        <f>I2980-J2980</f>
        <v>0</v>
      </c>
      <c r="L2980" s="3" t="str">
        <f>IF(K2980&lt;-5,"CRÍTICO",IF(K2980&lt;0,"ATENÇÃO",IF(K2980&lt;=5,"OPORTUNO","MUITO BOM")))</f>
        <v>OPORTUNO</v>
      </c>
      <c r="M2980">
        <v>14</v>
      </c>
      <c r="N2980">
        <v>100</v>
      </c>
      <c r="O2980">
        <v>27.966101694915249</v>
      </c>
    </row>
    <row r="2981" spans="1:15" hidden="1" x14ac:dyDescent="0.25">
      <c r="A2981" s="11">
        <v>46094</v>
      </c>
      <c r="B2981" t="s">
        <v>17</v>
      </c>
      <c r="C2981" t="s">
        <v>16</v>
      </c>
      <c r="D2981">
        <v>0</v>
      </c>
      <c r="E2981">
        <v>0</v>
      </c>
      <c r="F2981">
        <v>0</v>
      </c>
      <c r="G2981">
        <v>0</v>
      </c>
      <c r="H2981">
        <v>0</v>
      </c>
      <c r="I2981" s="3">
        <v>0</v>
      </c>
      <c r="J2981" s="3">
        <v>0</v>
      </c>
      <c r="K2981" s="3">
        <v>0</v>
      </c>
      <c r="L2981" s="3" t="str">
        <f>IF(K2981&lt;-5,"CRÍTICO",IF(K2981&lt;0,"ATENÇÃO",IF(K2981&lt;=5,"OPORTUNO","MUITO BOM")))</f>
        <v>OPORTUNO</v>
      </c>
      <c r="M2981">
        <v>0</v>
      </c>
      <c r="N2981">
        <v>100</v>
      </c>
      <c r="O2981">
        <v>30.434782608695659</v>
      </c>
    </row>
    <row r="2982" spans="1:15" hidden="1" x14ac:dyDescent="0.25">
      <c r="A2982" s="11">
        <v>46094</v>
      </c>
      <c r="B2982" t="s">
        <v>60</v>
      </c>
      <c r="C2982" t="s">
        <v>23</v>
      </c>
      <c r="D2982">
        <v>21</v>
      </c>
      <c r="E2982">
        <v>20</v>
      </c>
      <c r="F2982">
        <v>25.22</v>
      </c>
      <c r="G2982">
        <v>0</v>
      </c>
      <c r="H2982">
        <v>0</v>
      </c>
      <c r="I2982" s="3">
        <f>E2982+G2982+H2982</f>
        <v>20</v>
      </c>
      <c r="J2982" s="3">
        <f>ROUND(MIN(IF(C2982="Técnico III",35,IF(C2982="Técnico II",28,IF(C2982="Técnico I",23,IF(C2982="JR",20,IF(C2982="Estágio",10,0))))),IF(C2982="Técnico III",SUMIFS($D:$D,$A:$A,$A2982,$B:$B,"&lt;&gt;Patrícia Karla de Sousa Araújo",$B:$B,"&lt;&gt;Lorena Dias de Araujo",$B:$B,"&lt;&gt;Lucas Luiz Romero")*(35/1083),IF(C2982="Técnico II",SUMIFS($D:$D,$A:$A,$A2982,$B:$B,"&lt;&gt;Patrícia Karla de Sousa Araújo",$B:$B,"&lt;&gt;Lorena Dias de Araujo",$B:$B,"&lt;&gt;Lucas Luiz Romero")*(28/1083),IF(C2982="Técnico I",SUMIFS($D:$D,$A:$A,$A2982,$B:$B,"&lt;&gt;Patrícia Karla de Sousa Araújo",$B:$B,"&lt;&gt;Lorena Dias de Araujo",$B:$B,"&lt;&gt;Lucas Luiz Romero")*(23/1083),IF(C2982="JR",SUMIFS($D:$D,$A:$A,$A2982,$B:$B,"&lt;&gt;Patrícia Karla de Sousa Araújo",$B:$B,"&lt;&gt;Lorena Dias de Araujo",$B:$B,"&lt;&gt;Lucas Luiz Romero")*(20/1083),IF(C2982="Estágio",SUMIFS($D:$D,$A:$A,$A2982,$B:$B,"&lt;&gt;Patrícia Karla de Sousa Araújo",$B:$B,"&lt;&gt;Lorena Dias de Araujo",$B:$B,"&lt;&gt;Lucas Luiz Romero")*(10/1083),0)))))),0)</f>
        <v>13</v>
      </c>
      <c r="K2982" s="3">
        <f>I2982-J2982</f>
        <v>7</v>
      </c>
      <c r="L2982" s="3" t="str">
        <f>IF(K2982&lt;-5,"CRÍTICO",IF(K2982&lt;0,"ATENÇÃO",IF(K2982&lt;=5,"OPORTUNO","MUITO BOM")))</f>
        <v>MUITO BOM</v>
      </c>
      <c r="M2982">
        <v>19</v>
      </c>
      <c r="N2982">
        <v>96.51</v>
      </c>
      <c r="O2982">
        <v>22.802850356294542</v>
      </c>
    </row>
    <row r="2983" spans="1:15" hidden="1" x14ac:dyDescent="0.25">
      <c r="A2983" s="11">
        <v>46094</v>
      </c>
      <c r="B2983" t="s">
        <v>34</v>
      </c>
      <c r="C2983" t="s">
        <v>32</v>
      </c>
      <c r="D2983">
        <v>0</v>
      </c>
      <c r="E2983">
        <v>0</v>
      </c>
      <c r="F2983">
        <v>0</v>
      </c>
      <c r="G2983">
        <v>0</v>
      </c>
      <c r="H2983">
        <v>0</v>
      </c>
      <c r="I2983" s="3">
        <v>0</v>
      </c>
      <c r="J2983" s="3">
        <v>0</v>
      </c>
      <c r="K2983" s="3">
        <v>0</v>
      </c>
      <c r="L2983" s="3" t="str">
        <f>IF(K2983&lt;-5,"CRÍTICO",IF(K2983&lt;0,"ATENÇÃO",IF(K2983&lt;=5,"OPORTUNO","MUITO BOM")))</f>
        <v>OPORTUNO</v>
      </c>
      <c r="M2983">
        <v>6</v>
      </c>
      <c r="N2983">
        <v>92.68</v>
      </c>
      <c r="O2983">
        <v>27.777777777777779</v>
      </c>
    </row>
    <row r="2984" spans="1:15" hidden="1" x14ac:dyDescent="0.25">
      <c r="A2984" s="11">
        <v>46094</v>
      </c>
      <c r="B2984" t="s">
        <v>51</v>
      </c>
      <c r="C2984" t="s">
        <v>48</v>
      </c>
      <c r="D2984">
        <v>21</v>
      </c>
      <c r="E2984">
        <v>17</v>
      </c>
      <c r="F2984">
        <v>34.19</v>
      </c>
      <c r="G2984">
        <v>0</v>
      </c>
      <c r="H2984">
        <v>0</v>
      </c>
      <c r="I2984" s="3">
        <v>0</v>
      </c>
      <c r="J2984" s="3">
        <v>0</v>
      </c>
      <c r="K2984" s="3">
        <v>0</v>
      </c>
      <c r="L2984" s="3" t="str">
        <f>IF(K2984&lt;-5,"CRÍTICO",IF(K2984&lt;0,"ATENÇÃO",IF(K2984&lt;=5,"OPORTUNO","MUITO BOM")))</f>
        <v>OPORTUNO</v>
      </c>
      <c r="M2984">
        <v>17</v>
      </c>
      <c r="N2984">
        <v>99.03</v>
      </c>
      <c r="O2984">
        <v>23.991507430997881</v>
      </c>
    </row>
    <row r="2985" spans="1:15" hidden="1" x14ac:dyDescent="0.25">
      <c r="A2985" s="11">
        <v>46094</v>
      </c>
      <c r="B2985" t="s">
        <v>61</v>
      </c>
      <c r="C2985" t="s">
        <v>23</v>
      </c>
      <c r="D2985">
        <v>21</v>
      </c>
      <c r="E2985">
        <v>18</v>
      </c>
      <c r="F2985">
        <v>29.14</v>
      </c>
      <c r="G2985">
        <v>0</v>
      </c>
      <c r="H2985">
        <v>0</v>
      </c>
      <c r="I2985" s="3">
        <f>E2985+G2985+H2985</f>
        <v>18</v>
      </c>
      <c r="J2985" s="3">
        <f>ROUND(MIN(IF(C2985="Técnico III",35,IF(C2985="Técnico II",28,IF(C2985="Técnico I",23,IF(C2985="JR",20,IF(C2985="Estágio",10,0))))),IF(C2985="Técnico III",SUMIFS($D:$D,$A:$A,$A2985,$B:$B,"&lt;&gt;Patrícia Karla de Sousa Araújo",$B:$B,"&lt;&gt;Lorena Dias de Araujo",$B:$B,"&lt;&gt;Lucas Luiz Romero")*(35/1083),IF(C2985="Técnico II",SUMIFS($D:$D,$A:$A,$A2985,$B:$B,"&lt;&gt;Patrícia Karla de Sousa Araújo",$B:$B,"&lt;&gt;Lorena Dias de Araujo",$B:$B,"&lt;&gt;Lucas Luiz Romero")*(28/1083),IF(C2985="Técnico I",SUMIFS($D:$D,$A:$A,$A2985,$B:$B,"&lt;&gt;Patrícia Karla de Sousa Araújo",$B:$B,"&lt;&gt;Lorena Dias de Araujo",$B:$B,"&lt;&gt;Lucas Luiz Romero")*(23/1083),IF(C2985="JR",SUMIFS($D:$D,$A:$A,$A2985,$B:$B,"&lt;&gt;Patrícia Karla de Sousa Araújo",$B:$B,"&lt;&gt;Lorena Dias de Araujo",$B:$B,"&lt;&gt;Lucas Luiz Romero")*(20/1083),IF(C2985="Estágio",SUMIFS($D:$D,$A:$A,$A2985,$B:$B,"&lt;&gt;Patrícia Karla de Sousa Araújo",$B:$B,"&lt;&gt;Lorena Dias de Araujo",$B:$B,"&lt;&gt;Lucas Luiz Romero")*(10/1083),0)))))),0)</f>
        <v>13</v>
      </c>
      <c r="K2985" s="3">
        <f>I2985-J2985</f>
        <v>5</v>
      </c>
      <c r="L2985" s="3" t="str">
        <f>IF(K2985&lt;-5,"CRÍTICO",IF(K2985&lt;0,"ATENÇÃO",IF(K2985&lt;=5,"OPORTUNO","MUITO BOM")))</f>
        <v>OPORTUNO</v>
      </c>
      <c r="M2985">
        <v>11</v>
      </c>
      <c r="N2985">
        <v>98.41</v>
      </c>
      <c r="O2985">
        <v>28.138528138528141</v>
      </c>
    </row>
    <row r="2986" spans="1:15" hidden="1" x14ac:dyDescent="0.25">
      <c r="A2986" s="11">
        <v>46094</v>
      </c>
      <c r="B2986" t="s">
        <v>35</v>
      </c>
      <c r="C2986" t="s">
        <v>32</v>
      </c>
      <c r="D2986">
        <v>22</v>
      </c>
      <c r="E2986">
        <v>21</v>
      </c>
      <c r="F2986">
        <v>34.03</v>
      </c>
      <c r="G2986">
        <v>0</v>
      </c>
      <c r="H2986">
        <v>0</v>
      </c>
      <c r="I2986" s="3">
        <v>0</v>
      </c>
      <c r="J2986" s="3">
        <v>0</v>
      </c>
      <c r="K2986" s="3">
        <v>0</v>
      </c>
      <c r="L2986" s="3" t="str">
        <f>IF(K2986&lt;-5,"CRÍTICO",IF(K2986&lt;0,"ATENÇÃO",IF(K2986&lt;=5,"OPORTUNO","MUITO BOM")))</f>
        <v>OPORTUNO</v>
      </c>
      <c r="M2986">
        <v>22</v>
      </c>
      <c r="N2986">
        <v>98.73</v>
      </c>
      <c r="O2986">
        <v>29.142857142857139</v>
      </c>
    </row>
    <row r="2987" spans="1:15" hidden="1" x14ac:dyDescent="0.25">
      <c r="A2987" s="11">
        <v>46094</v>
      </c>
      <c r="B2987" t="s">
        <v>18</v>
      </c>
      <c r="C2987" t="s">
        <v>16</v>
      </c>
      <c r="D2987">
        <v>8</v>
      </c>
      <c r="E2987">
        <v>8</v>
      </c>
      <c r="F2987">
        <v>38.270000000000003</v>
      </c>
      <c r="G2987">
        <v>0</v>
      </c>
      <c r="H2987">
        <v>0</v>
      </c>
      <c r="I2987" s="3">
        <f>E2987+G2987+H2987</f>
        <v>8</v>
      </c>
      <c r="J2987" s="3">
        <f>ROUND(MIN(IF(C2987="Técnico III",35,IF(C2987="Técnico II",28,IF(C2987="Técnico I",23,IF(C2987="JR",20,IF(C2987="Estágio",10,0))))),IF(C2987="Técnico III",SUMIFS($D:$D,$A:$A,$A2987,$B:$B,"&lt;&gt;Patrícia Karla de Sousa Araújo",$B:$B,"&lt;&gt;Lorena Dias de Araujo",$B:$B,"&lt;&gt;Lucas Luiz Romero")*(35/1083),IF(C2987="Técnico II",SUMIFS($D:$D,$A:$A,$A2987,$B:$B,"&lt;&gt;Patrícia Karla de Sousa Araújo",$B:$B,"&lt;&gt;Lorena Dias de Araujo",$B:$B,"&lt;&gt;Lucas Luiz Romero")*(28/1083),IF(C2987="Técnico I",SUMIFS($D:$D,$A:$A,$A2987,$B:$B,"&lt;&gt;Patrícia Karla de Sousa Araújo",$B:$B,"&lt;&gt;Lorena Dias de Araujo",$B:$B,"&lt;&gt;Lucas Luiz Romero")*(23/1083),IF(C2987="JR",SUMIFS($D:$D,$A:$A,$A2987,$B:$B,"&lt;&gt;Patrícia Karla de Sousa Araújo",$B:$B,"&lt;&gt;Lorena Dias de Araujo",$B:$B,"&lt;&gt;Lucas Luiz Romero")*(20/1083),IF(C2987="Estágio",SUMIFS($D:$D,$A:$A,$A2987,$B:$B,"&lt;&gt;Patrícia Karla de Sousa Araújo",$B:$B,"&lt;&gt;Lorena Dias de Araujo",$B:$B,"&lt;&gt;Lucas Luiz Romero")*(10/1083),0)))))),0)</f>
        <v>6</v>
      </c>
      <c r="K2987" s="3">
        <f>I2987-J2987</f>
        <v>2</v>
      </c>
      <c r="L2987" s="3" t="str">
        <f>IF(K2987&lt;-5,"CRÍTICO",IF(K2987&lt;0,"ATENÇÃO",IF(K2987&lt;=5,"OPORTUNO","MUITO BOM")))</f>
        <v>OPORTUNO</v>
      </c>
      <c r="M2987">
        <v>5</v>
      </c>
      <c r="N2987">
        <v>90.48</v>
      </c>
      <c r="O2987">
        <v>20.68965517241379</v>
      </c>
    </row>
    <row r="2988" spans="1:15" hidden="1" x14ac:dyDescent="0.25">
      <c r="A2988" s="11">
        <v>46094</v>
      </c>
      <c r="B2988" t="s">
        <v>52</v>
      </c>
      <c r="C2988" t="s">
        <v>48</v>
      </c>
      <c r="D2988">
        <v>14</v>
      </c>
      <c r="E2988">
        <v>13</v>
      </c>
      <c r="F2988">
        <v>27.23</v>
      </c>
      <c r="G2988">
        <v>0</v>
      </c>
      <c r="H2988">
        <v>0</v>
      </c>
      <c r="I2988" s="3">
        <f>E2988+G2988+H2988</f>
        <v>13</v>
      </c>
      <c r="J2988" s="3">
        <f>ROUND(MIN(IF(C2988="Técnico III",35,IF(C2988="Técnico II",28,IF(C2988="Técnico I",23,IF(C2988="JR",20,IF(C2988="Estágio",10,0))))),IF(C2988="Técnico III",SUMIFS($D:$D,$A:$A,$A2988,$B:$B,"&lt;&gt;Patrícia Karla de Sousa Araújo",$B:$B,"&lt;&gt;Lorena Dias de Araujo",$B:$B,"&lt;&gt;Lucas Luiz Romero")*(35/1083),IF(C2988="Técnico II",SUMIFS($D:$D,$A:$A,$A2988,$B:$B,"&lt;&gt;Patrícia Karla de Sousa Araújo",$B:$B,"&lt;&gt;Lorena Dias de Araujo",$B:$B,"&lt;&gt;Lucas Luiz Romero")*(28/1083),IF(C2988="Técnico I",SUMIFS($D:$D,$A:$A,$A2988,$B:$B,"&lt;&gt;Patrícia Karla de Sousa Araújo",$B:$B,"&lt;&gt;Lorena Dias de Araujo",$B:$B,"&lt;&gt;Lucas Luiz Romero")*(23/1083),IF(C2988="JR",SUMIFS($D:$D,$A:$A,$A2988,$B:$B,"&lt;&gt;Patrícia Karla de Sousa Araújo",$B:$B,"&lt;&gt;Lorena Dias de Araujo",$B:$B,"&lt;&gt;Lucas Luiz Romero")*(20/1083),IF(C2988="Estágio",SUMIFS($D:$D,$A:$A,$A2988,$B:$B,"&lt;&gt;Patrícia Karla de Sousa Araújo",$B:$B,"&lt;&gt;Lorena Dias de Araujo",$B:$B,"&lt;&gt;Lucas Luiz Romero")*(10/1083),0)))))),0)</f>
        <v>16</v>
      </c>
      <c r="K2988" s="3">
        <f>I2988-J2988</f>
        <v>-3</v>
      </c>
      <c r="L2988" s="3" t="str">
        <f>IF(K2988&lt;-5,"CRÍTICO",IF(K2988&lt;0,"ATENÇÃO",IF(K2988&lt;=5,"OPORTUNO","MUITO BOM")))</f>
        <v>ATENÇÃO</v>
      </c>
      <c r="M2988">
        <v>15</v>
      </c>
      <c r="N2988">
        <v>98.06</v>
      </c>
      <c r="O2988">
        <v>24.789915966386559</v>
      </c>
    </row>
    <row r="2989" spans="1:15" hidden="1" x14ac:dyDescent="0.25">
      <c r="A2989" s="11">
        <v>46094</v>
      </c>
      <c r="B2989" t="s">
        <v>36</v>
      </c>
      <c r="C2989" t="s">
        <v>32</v>
      </c>
      <c r="D2989">
        <v>22</v>
      </c>
      <c r="E2989">
        <v>22</v>
      </c>
      <c r="F2989">
        <v>23.45</v>
      </c>
      <c r="G2989">
        <v>0</v>
      </c>
      <c r="H2989">
        <v>0</v>
      </c>
      <c r="I2989" s="3">
        <f>E2989+G2989+H2989</f>
        <v>22</v>
      </c>
      <c r="J2989" s="3">
        <f>ROUND(MIN(IF(C2989="Técnico III",35,IF(C2989="Técnico II",28,IF(C2989="Técnico I",23,IF(C2989="JR",20,IF(C2989="Estágio",10,0))))),IF(C2989="Técnico III",SUMIFS($D:$D,$A:$A,$A2989,$B:$B,"&lt;&gt;Patrícia Karla de Sousa Araújo",$B:$B,"&lt;&gt;Lorena Dias de Araujo",$B:$B,"&lt;&gt;Lucas Luiz Romero")*(35/1083),IF(C2989="Técnico II",SUMIFS($D:$D,$A:$A,$A2989,$B:$B,"&lt;&gt;Patrícia Karla de Sousa Araújo",$B:$B,"&lt;&gt;Lorena Dias de Araujo",$B:$B,"&lt;&gt;Lucas Luiz Romero")*(28/1083),IF(C2989="Técnico I",SUMIFS($D:$D,$A:$A,$A2989,$B:$B,"&lt;&gt;Patrícia Karla de Sousa Araújo",$B:$B,"&lt;&gt;Lorena Dias de Araujo",$B:$B,"&lt;&gt;Lucas Luiz Romero")*(23/1083),IF(C2989="JR",SUMIFS($D:$D,$A:$A,$A2989,$B:$B,"&lt;&gt;Patrícia Karla de Sousa Araújo",$B:$B,"&lt;&gt;Lorena Dias de Araujo",$B:$B,"&lt;&gt;Lucas Luiz Romero")*(20/1083),IF(C2989="Estágio",SUMIFS($D:$D,$A:$A,$A2989,$B:$B,"&lt;&gt;Patrícia Karla de Sousa Araújo",$B:$B,"&lt;&gt;Lorena Dias de Araujo",$B:$B,"&lt;&gt;Lucas Luiz Romero")*(10/1083),0)))))),0)</f>
        <v>20</v>
      </c>
      <c r="K2989" s="3">
        <f>I2989-J2989</f>
        <v>2</v>
      </c>
      <c r="L2989" s="3" t="str">
        <f>IF(K2989&lt;-5,"CRÍTICO",IF(K2989&lt;0,"ATENÇÃO",IF(K2989&lt;=5,"OPORTUNO","MUITO BOM")))</f>
        <v>OPORTUNO</v>
      </c>
      <c r="M2989">
        <v>24</v>
      </c>
      <c r="N2989">
        <v>97.78</v>
      </c>
      <c r="O2989">
        <v>25.494071146245059</v>
      </c>
    </row>
    <row r="2990" spans="1:15" hidden="1" x14ac:dyDescent="0.25">
      <c r="A2990" s="11">
        <v>46094</v>
      </c>
      <c r="B2990" t="s">
        <v>53</v>
      </c>
      <c r="C2990" t="s">
        <v>48</v>
      </c>
      <c r="D2990">
        <v>15</v>
      </c>
      <c r="E2990">
        <v>14</v>
      </c>
      <c r="F2990">
        <v>40.17</v>
      </c>
      <c r="G2990">
        <v>0</v>
      </c>
      <c r="H2990">
        <v>0</v>
      </c>
      <c r="I2990" s="3">
        <f>E2990+G2990+H2990</f>
        <v>14</v>
      </c>
      <c r="J2990" s="3">
        <f>ROUND(MIN(IF(C2990="Técnico III",35,IF(C2990="Técnico II",28,IF(C2990="Técnico I",23,IF(C2990="JR",20,IF(C2990="Estágio",10,0))))),IF(C2990="Técnico III",SUMIFS($D:$D,$A:$A,$A2990,$B:$B,"&lt;&gt;Patrícia Karla de Sousa Araújo",$B:$B,"&lt;&gt;Lorena Dias de Araujo",$B:$B,"&lt;&gt;Lucas Luiz Romero")*(35/1083),IF(C2990="Técnico II",SUMIFS($D:$D,$A:$A,$A2990,$B:$B,"&lt;&gt;Patrícia Karla de Sousa Araújo",$B:$B,"&lt;&gt;Lorena Dias de Araujo",$B:$B,"&lt;&gt;Lucas Luiz Romero")*(28/1083),IF(C2990="Técnico I",SUMIFS($D:$D,$A:$A,$A2990,$B:$B,"&lt;&gt;Patrícia Karla de Sousa Araújo",$B:$B,"&lt;&gt;Lorena Dias de Araujo",$B:$B,"&lt;&gt;Lucas Luiz Romero")*(23/1083),IF(C2990="JR",SUMIFS($D:$D,$A:$A,$A2990,$B:$B,"&lt;&gt;Patrícia Karla de Sousa Araújo",$B:$B,"&lt;&gt;Lorena Dias de Araujo",$B:$B,"&lt;&gt;Lucas Luiz Romero")*(20/1083),IF(C2990="Estágio",SUMIFS($D:$D,$A:$A,$A2990,$B:$B,"&lt;&gt;Patrícia Karla de Sousa Araújo",$B:$B,"&lt;&gt;Lorena Dias de Araujo",$B:$B,"&lt;&gt;Lucas Luiz Romero")*(10/1083),0)))))),0)</f>
        <v>16</v>
      </c>
      <c r="K2990" s="3">
        <f>I2990-J2990</f>
        <v>-2</v>
      </c>
      <c r="L2990" s="3" t="str">
        <f>IF(K2990&lt;-5,"CRÍTICO",IF(K2990&lt;0,"ATENÇÃO",IF(K2990&lt;=5,"OPORTUNO","MUITO BOM")))</f>
        <v>ATENÇÃO</v>
      </c>
      <c r="M2990">
        <v>13</v>
      </c>
      <c r="N2990">
        <v>98.02</v>
      </c>
      <c r="O2990">
        <v>23.484848484848481</v>
      </c>
    </row>
    <row r="2991" spans="1:15" hidden="1" x14ac:dyDescent="0.25">
      <c r="A2991" s="11">
        <v>46128</v>
      </c>
      <c r="B2991" t="s">
        <v>22</v>
      </c>
      <c r="C2991" t="s">
        <v>23</v>
      </c>
      <c r="D2991">
        <v>33</v>
      </c>
      <c r="E2991">
        <v>30</v>
      </c>
      <c r="F2991">
        <v>15.31</v>
      </c>
      <c r="G2991">
        <v>0</v>
      </c>
      <c r="H2991">
        <v>0</v>
      </c>
      <c r="I2991" s="3">
        <f>E2991+G2991+H2991</f>
        <v>30</v>
      </c>
      <c r="J2991" s="3">
        <f>ROUND(MIN(IF(C2991="Técnico III",35,IF(C2991="Técnico II",28,IF(C2991="Técnico I",23,IF(C2991="JR",20,IF(C2991="Estágio",10,0))))),IF(C2991="Técnico III",SUMIFS($D:$D,$A:$A,$A2991,$B:$B,"&lt;&gt;Patrícia Karla de Sousa Araújo",$B:$B,"&lt;&gt;Lorena Dias de Araujo",$B:$B,"&lt;&gt;Lucas Luiz Romero")*(35/1083),IF(C2991="Técnico II",SUMIFS($D:$D,$A:$A,$A2991,$B:$B,"&lt;&gt;Patrícia Karla de Sousa Araújo",$B:$B,"&lt;&gt;Lorena Dias de Araujo",$B:$B,"&lt;&gt;Lucas Luiz Romero")*(28/1083),IF(C2991="Técnico I",SUMIFS($D:$D,$A:$A,$A2991,$B:$B,"&lt;&gt;Patrícia Karla de Sousa Araújo",$B:$B,"&lt;&gt;Lorena Dias de Araujo",$B:$B,"&lt;&gt;Lucas Luiz Romero")*(23/1083),IF(C2991="JR",SUMIFS($D:$D,$A:$A,$A2991,$B:$B,"&lt;&gt;Patrícia Karla de Sousa Araújo",$B:$B,"&lt;&gt;Lorena Dias de Araujo",$B:$B,"&lt;&gt;Lucas Luiz Romero")*(20/1083),IF(C2991="Estágio",SUMIFS($D:$D,$A:$A,$A2991,$B:$B,"&lt;&gt;Patrícia Karla de Sousa Araújo",$B:$B,"&lt;&gt;Lorena Dias de Araujo",$B:$B,"&lt;&gt;Lucas Luiz Romero")*(10/1083),0)))))),0)</f>
        <v>19</v>
      </c>
      <c r="K2991" s="3">
        <f>I2991-J2991</f>
        <v>11</v>
      </c>
      <c r="L2991" s="3" t="str">
        <f>IF(K2991&lt;-5,"CRÍTICO",IF(K2991&lt;0,"ATENÇÃO",IF(K2991&lt;=5,"OPORTUNO","MUITO BOM")))</f>
        <v>MUITO BOM</v>
      </c>
      <c r="M2991">
        <v>32</v>
      </c>
      <c r="N2991">
        <v>99.28</v>
      </c>
      <c r="O2991">
        <v>27.689243027888441</v>
      </c>
    </row>
    <row r="2992" spans="1:15" hidden="1" x14ac:dyDescent="0.25">
      <c r="A2992" s="11">
        <v>46094</v>
      </c>
      <c r="B2992" t="s">
        <v>54</v>
      </c>
      <c r="C2992" t="s">
        <v>48</v>
      </c>
      <c r="D2992">
        <v>25</v>
      </c>
      <c r="E2992">
        <v>23</v>
      </c>
      <c r="F2992">
        <v>30.32</v>
      </c>
      <c r="G2992">
        <v>0</v>
      </c>
      <c r="H2992">
        <v>0</v>
      </c>
      <c r="I2992" s="3">
        <f>E2992+G2992+H2992</f>
        <v>23</v>
      </c>
      <c r="J2992" s="3">
        <f>ROUND(MIN(IF(C2992="Técnico III",35,IF(C2992="Técnico II",28,IF(C2992="Técnico I",23,IF(C2992="JR",20,IF(C2992="Estágio",10,0))))),IF(C2992="Técnico III",SUMIFS($D:$D,$A:$A,$A2992,$B:$B,"&lt;&gt;Patrícia Karla de Sousa Araújo",$B:$B,"&lt;&gt;Lorena Dias de Araujo",$B:$B,"&lt;&gt;Lucas Luiz Romero")*(35/1083),IF(C2992="Técnico II",SUMIFS($D:$D,$A:$A,$A2992,$B:$B,"&lt;&gt;Patrícia Karla de Sousa Araújo",$B:$B,"&lt;&gt;Lorena Dias de Araujo",$B:$B,"&lt;&gt;Lucas Luiz Romero")*(28/1083),IF(C2992="Técnico I",SUMIFS($D:$D,$A:$A,$A2992,$B:$B,"&lt;&gt;Patrícia Karla de Sousa Araújo",$B:$B,"&lt;&gt;Lorena Dias de Araujo",$B:$B,"&lt;&gt;Lucas Luiz Romero")*(23/1083),IF(C2992="JR",SUMIFS($D:$D,$A:$A,$A2992,$B:$B,"&lt;&gt;Patrícia Karla de Sousa Araújo",$B:$B,"&lt;&gt;Lorena Dias de Araujo",$B:$B,"&lt;&gt;Lucas Luiz Romero")*(20/1083),IF(C2992="Estágio",SUMIFS($D:$D,$A:$A,$A2992,$B:$B,"&lt;&gt;Patrícia Karla de Sousa Araújo",$B:$B,"&lt;&gt;Lorena Dias de Araujo",$B:$B,"&lt;&gt;Lucas Luiz Romero")*(10/1083),0)))))),0)</f>
        <v>16</v>
      </c>
      <c r="K2992" s="3">
        <f>I2992-J2992</f>
        <v>7</v>
      </c>
      <c r="L2992" s="3" t="str">
        <f>IF(K2992&lt;-5,"CRÍTICO",IF(K2992&lt;0,"ATENÇÃO",IF(K2992&lt;=5,"OPORTUNO","MUITO BOM")))</f>
        <v>MUITO BOM</v>
      </c>
      <c r="M2992">
        <v>22</v>
      </c>
      <c r="N2992">
        <v>100</v>
      </c>
      <c r="O2992">
        <v>27.04918032786885</v>
      </c>
    </row>
    <row r="2993" spans="1:15" hidden="1" x14ac:dyDescent="0.25">
      <c r="A2993" s="11">
        <v>46094</v>
      </c>
      <c r="B2993" t="s">
        <v>37</v>
      </c>
      <c r="C2993" t="s">
        <v>32</v>
      </c>
      <c r="D2993">
        <v>36</v>
      </c>
      <c r="E2993">
        <v>35</v>
      </c>
      <c r="F2993">
        <v>18.46</v>
      </c>
      <c r="G2993">
        <v>0</v>
      </c>
      <c r="H2993">
        <v>0</v>
      </c>
      <c r="I2993" s="3">
        <f>E2993+G2993+H2993</f>
        <v>35</v>
      </c>
      <c r="J2993" s="3">
        <f>ROUND(MIN(IF(C2993="Técnico III",35,IF(C2993="Técnico II",28,IF(C2993="Técnico I",23,IF(C2993="JR",20,IF(C2993="Estágio",10,0))))),IF(C2993="Técnico III",SUMIFS($D:$D,$A:$A,$A2993,$B:$B,"&lt;&gt;Patrícia Karla de Sousa Araújo",$B:$B,"&lt;&gt;Lorena Dias de Araujo",$B:$B,"&lt;&gt;Lucas Luiz Romero")*(35/1083),IF(C2993="Técnico II",SUMIFS($D:$D,$A:$A,$A2993,$B:$B,"&lt;&gt;Patrícia Karla de Sousa Araújo",$B:$B,"&lt;&gt;Lorena Dias de Araujo",$B:$B,"&lt;&gt;Lucas Luiz Romero")*(28/1083),IF(C2993="Técnico I",SUMIFS($D:$D,$A:$A,$A2993,$B:$B,"&lt;&gt;Patrícia Karla de Sousa Araújo",$B:$B,"&lt;&gt;Lorena Dias de Araujo",$B:$B,"&lt;&gt;Lucas Luiz Romero")*(23/1083),IF(C2993="JR",SUMIFS($D:$D,$A:$A,$A2993,$B:$B,"&lt;&gt;Patrícia Karla de Sousa Araújo",$B:$B,"&lt;&gt;Lorena Dias de Araujo",$B:$B,"&lt;&gt;Lucas Luiz Romero")*(20/1083),IF(C2993="Estágio",SUMIFS($D:$D,$A:$A,$A2993,$B:$B,"&lt;&gt;Patrícia Karla de Sousa Araújo",$B:$B,"&lt;&gt;Lorena Dias de Araujo",$B:$B,"&lt;&gt;Lucas Luiz Romero")*(10/1083),0)))))),0)</f>
        <v>20</v>
      </c>
      <c r="K2993" s="3">
        <f>I2993-J2993</f>
        <v>15</v>
      </c>
      <c r="L2993" s="3" t="str">
        <f>IF(K2993&lt;-5,"CRÍTICO",IF(K2993&lt;0,"ATENÇÃO",IF(K2993&lt;=5,"OPORTUNO","MUITO BOM")))</f>
        <v>MUITO BOM</v>
      </c>
      <c r="M2993">
        <v>34</v>
      </c>
      <c r="N2993">
        <v>97.83</v>
      </c>
      <c r="O2993">
        <v>26.315789473684209</v>
      </c>
    </row>
    <row r="2994" spans="1:15" hidden="1" x14ac:dyDescent="0.25">
      <c r="A2994" s="11">
        <v>46094</v>
      </c>
      <c r="B2994" t="s">
        <v>38</v>
      </c>
      <c r="C2994" t="s">
        <v>32</v>
      </c>
      <c r="D2994">
        <v>0</v>
      </c>
      <c r="E2994">
        <v>0</v>
      </c>
      <c r="F2994">
        <v>0</v>
      </c>
      <c r="G2994">
        <v>0</v>
      </c>
      <c r="H2994">
        <v>0</v>
      </c>
      <c r="I2994" s="3">
        <v>0</v>
      </c>
      <c r="J2994" s="3">
        <v>0</v>
      </c>
      <c r="K2994" s="3">
        <v>0</v>
      </c>
      <c r="L2994" s="3" t="str">
        <f>IF(K2994&lt;-5,"CRÍTICO",IF(K2994&lt;0,"ATENÇÃO",IF(K2994&lt;=5,"OPORTUNO","MUITO BOM")))</f>
        <v>OPORTUNO</v>
      </c>
      <c r="M2994">
        <v>8</v>
      </c>
      <c r="N2994">
        <v>100</v>
      </c>
      <c r="O2994">
        <v>26.701570680628269</v>
      </c>
    </row>
    <row r="2995" spans="1:15" hidden="1" x14ac:dyDescent="0.25">
      <c r="A2995" s="11">
        <v>46094</v>
      </c>
      <c r="B2995" t="s">
        <v>55</v>
      </c>
      <c r="C2995" t="s">
        <v>48</v>
      </c>
      <c r="D2995">
        <v>22</v>
      </c>
      <c r="E2995">
        <v>18</v>
      </c>
      <c r="F2995">
        <v>27.05</v>
      </c>
      <c r="G2995">
        <v>0</v>
      </c>
      <c r="H2995">
        <v>0</v>
      </c>
      <c r="I2995" s="3">
        <f>E2995+G2995+H2995</f>
        <v>18</v>
      </c>
      <c r="J2995" s="3">
        <f>ROUND(MIN(IF(C2995="Técnico III",35,IF(C2995="Técnico II",28,IF(C2995="Técnico I",23,IF(C2995="JR",20,IF(C2995="Estágio",10,0))))),IF(C2995="Técnico III",SUMIFS($D:$D,$A:$A,$A2995,$B:$B,"&lt;&gt;Patrícia Karla de Sousa Araújo",$B:$B,"&lt;&gt;Lorena Dias de Araujo",$B:$B,"&lt;&gt;Lucas Luiz Romero")*(35/1083),IF(C2995="Técnico II",SUMIFS($D:$D,$A:$A,$A2995,$B:$B,"&lt;&gt;Patrícia Karla de Sousa Araújo",$B:$B,"&lt;&gt;Lorena Dias de Araujo",$B:$B,"&lt;&gt;Lucas Luiz Romero")*(28/1083),IF(C2995="Técnico I",SUMIFS($D:$D,$A:$A,$A2995,$B:$B,"&lt;&gt;Patrícia Karla de Sousa Araújo",$B:$B,"&lt;&gt;Lorena Dias de Araujo",$B:$B,"&lt;&gt;Lucas Luiz Romero")*(23/1083),IF(C2995="JR",SUMIFS($D:$D,$A:$A,$A2995,$B:$B,"&lt;&gt;Patrícia Karla de Sousa Araújo",$B:$B,"&lt;&gt;Lorena Dias de Araujo",$B:$B,"&lt;&gt;Lucas Luiz Romero")*(20/1083),IF(C2995="Estágio",SUMIFS($D:$D,$A:$A,$A2995,$B:$B,"&lt;&gt;Patrícia Karla de Sousa Araújo",$B:$B,"&lt;&gt;Lorena Dias de Araujo",$B:$B,"&lt;&gt;Lucas Luiz Romero")*(10/1083),0)))))),0)</f>
        <v>16</v>
      </c>
      <c r="K2995" s="3">
        <f>I2995-J2995</f>
        <v>2</v>
      </c>
      <c r="L2995" s="3" t="str">
        <f>IF(K2995&lt;-5,"CRÍTICO",IF(K2995&lt;0,"ATENÇÃO",IF(K2995&lt;=5,"OPORTUNO","MUITO BOM")))</f>
        <v>OPORTUNO</v>
      </c>
      <c r="M2995">
        <v>19</v>
      </c>
      <c r="N2995">
        <v>97.47</v>
      </c>
      <c r="O2995">
        <v>22.887323943661968</v>
      </c>
    </row>
    <row r="2996" spans="1:15" hidden="1" x14ac:dyDescent="0.25">
      <c r="A2996" s="11">
        <v>46094</v>
      </c>
      <c r="B2996" t="s">
        <v>39</v>
      </c>
      <c r="C2996" t="s">
        <v>32</v>
      </c>
      <c r="D2996">
        <v>0</v>
      </c>
      <c r="E2996">
        <v>0</v>
      </c>
      <c r="F2996">
        <v>0</v>
      </c>
      <c r="G2996">
        <v>0</v>
      </c>
      <c r="H2996">
        <v>0</v>
      </c>
      <c r="I2996" s="3">
        <v>0</v>
      </c>
      <c r="J2996" s="3">
        <v>0</v>
      </c>
      <c r="K2996" s="3">
        <v>0</v>
      </c>
      <c r="L2996" s="3" t="str">
        <f>IF(K2996&lt;-5,"CRÍTICO",IF(K2996&lt;0,"ATENÇÃO",IF(K2996&lt;=5,"OPORTUNO","MUITO BOM")))</f>
        <v>OPORTUNO</v>
      </c>
      <c r="M2996">
        <v>0</v>
      </c>
      <c r="N2996">
        <v>0</v>
      </c>
      <c r="O2996">
        <v>0</v>
      </c>
    </row>
    <row r="2997" spans="1:15" hidden="1" x14ac:dyDescent="0.25">
      <c r="A2997" s="11">
        <v>46094</v>
      </c>
      <c r="B2997" t="s">
        <v>25</v>
      </c>
      <c r="C2997" t="s">
        <v>26</v>
      </c>
      <c r="D2997">
        <v>5</v>
      </c>
      <c r="E2997">
        <v>5</v>
      </c>
      <c r="F2997">
        <v>61.54</v>
      </c>
      <c r="G2997">
        <v>0</v>
      </c>
      <c r="H2997">
        <v>0</v>
      </c>
      <c r="I2997" s="3">
        <f>E2997+G2997+H2997</f>
        <v>5</v>
      </c>
      <c r="J2997" s="3">
        <f>ROUND(MIN(IF(C2997="Técnico III",35,IF(C2997="Técnico II",28,IF(C2997="Técnico I",23,IF(C2997="JR",20,IF(C2997="Estágio",10,0))))),IF(C2997="Técnico III",SUMIFS($D:$D,$A:$A,$A2997,$B:$B,"&lt;&gt;Patrícia Karla de Sousa Araújo",$B:$B,"&lt;&gt;Lorena Dias de Araujo",$B:$B,"&lt;&gt;Lucas Luiz Romero")*(35/1083),IF(C2997="Técnico II",SUMIFS($D:$D,$A:$A,$A2997,$B:$B,"&lt;&gt;Patrícia Karla de Sousa Araújo",$B:$B,"&lt;&gt;Lorena Dias de Araujo",$B:$B,"&lt;&gt;Lucas Luiz Romero")*(28/1083),IF(C2997="Técnico I",SUMIFS($D:$D,$A:$A,$A2997,$B:$B,"&lt;&gt;Patrícia Karla de Sousa Araújo",$B:$B,"&lt;&gt;Lorena Dias de Araujo",$B:$B,"&lt;&gt;Lucas Luiz Romero")*(23/1083),IF(C2997="JR",SUMIFS($D:$D,$A:$A,$A2997,$B:$B,"&lt;&gt;Patrícia Karla de Sousa Araújo",$B:$B,"&lt;&gt;Lorena Dias de Araujo",$B:$B,"&lt;&gt;Lucas Luiz Romero")*(20/1083),IF(C2997="Estágio",SUMIFS($D:$D,$A:$A,$A2997,$B:$B,"&lt;&gt;Patrícia Karla de Sousa Araújo",$B:$B,"&lt;&gt;Lorena Dias de Araujo",$B:$B,"&lt;&gt;Lucas Luiz Romero")*(10/1083),0)))))),0)</f>
        <v>12</v>
      </c>
      <c r="K2997" s="3">
        <f>I2997-J2997</f>
        <v>-7</v>
      </c>
      <c r="L2997" s="3" t="str">
        <f>IF(K2997&lt;-5,"CRÍTICO",IF(K2997&lt;0,"ATENÇÃO",IF(K2997&lt;=5,"OPORTUNO","MUITO BOM")))</f>
        <v>CRÍTICO</v>
      </c>
      <c r="M2997">
        <v>5</v>
      </c>
      <c r="N2997">
        <v>98.31</v>
      </c>
      <c r="O2997">
        <v>24.920127795527151</v>
      </c>
    </row>
    <row r="2998" spans="1:15" hidden="1" x14ac:dyDescent="0.25">
      <c r="A2998" s="11">
        <v>46094</v>
      </c>
      <c r="B2998" t="s">
        <v>40</v>
      </c>
      <c r="C2998" t="s">
        <v>32</v>
      </c>
      <c r="D2998">
        <v>0</v>
      </c>
      <c r="E2998">
        <v>0</v>
      </c>
      <c r="F2998">
        <v>0</v>
      </c>
      <c r="G2998">
        <v>0</v>
      </c>
      <c r="H2998">
        <v>0</v>
      </c>
      <c r="I2998" s="3">
        <v>0</v>
      </c>
      <c r="J2998" s="3">
        <v>0</v>
      </c>
      <c r="K2998" s="3">
        <v>0</v>
      </c>
      <c r="L2998" s="3" t="str">
        <f>IF(K2998&lt;-5,"CRÍTICO",IF(K2998&lt;0,"ATENÇÃO",IF(K2998&lt;=5,"OPORTUNO","MUITO BOM")))</f>
        <v>OPORTUNO</v>
      </c>
      <c r="M2998">
        <v>0</v>
      </c>
      <c r="N2998">
        <v>96.81</v>
      </c>
      <c r="O2998">
        <v>32.365145228215773</v>
      </c>
    </row>
    <row r="2999" spans="1:15" hidden="1" x14ac:dyDescent="0.25">
      <c r="A2999" s="11">
        <v>46094</v>
      </c>
      <c r="B2999" t="s">
        <v>27</v>
      </c>
      <c r="C2999" t="s">
        <v>26</v>
      </c>
      <c r="D2999">
        <v>18</v>
      </c>
      <c r="E2999">
        <v>14</v>
      </c>
      <c r="F2999">
        <v>19.079999999999998</v>
      </c>
      <c r="G2999">
        <v>0</v>
      </c>
      <c r="H2999">
        <v>0</v>
      </c>
      <c r="I2999" s="3">
        <f>E2999+G2999+H2999</f>
        <v>14</v>
      </c>
      <c r="J2999" s="3">
        <f>ROUND(MIN(IF(C2999="Técnico III",35,IF(C2999="Técnico II",28,IF(C2999="Técnico I",23,IF(C2999="JR",20,IF(C2999="Estágio",10,0))))),IF(C2999="Técnico III",SUMIFS($D:$D,$A:$A,$A2999,$B:$B,"&lt;&gt;Patrícia Karla de Sousa Araújo",$B:$B,"&lt;&gt;Lorena Dias de Araujo",$B:$B,"&lt;&gt;Lucas Luiz Romero")*(35/1083),IF(C2999="Técnico II",SUMIFS($D:$D,$A:$A,$A2999,$B:$B,"&lt;&gt;Patrícia Karla de Sousa Araújo",$B:$B,"&lt;&gt;Lorena Dias de Araujo",$B:$B,"&lt;&gt;Lucas Luiz Romero")*(28/1083),IF(C2999="Técnico I",SUMIFS($D:$D,$A:$A,$A2999,$B:$B,"&lt;&gt;Patrícia Karla de Sousa Araújo",$B:$B,"&lt;&gt;Lorena Dias de Araujo",$B:$B,"&lt;&gt;Lucas Luiz Romero")*(23/1083),IF(C2999="JR",SUMIFS($D:$D,$A:$A,$A2999,$B:$B,"&lt;&gt;Patrícia Karla de Sousa Araújo",$B:$B,"&lt;&gt;Lorena Dias de Araujo",$B:$B,"&lt;&gt;Lucas Luiz Romero")*(20/1083),IF(C2999="Estágio",SUMIFS($D:$D,$A:$A,$A2999,$B:$B,"&lt;&gt;Patrícia Karla de Sousa Araújo",$B:$B,"&lt;&gt;Lorena Dias de Araujo",$B:$B,"&lt;&gt;Lucas Luiz Romero")*(10/1083),0)))))),0)</f>
        <v>12</v>
      </c>
      <c r="K2999" s="3">
        <f>I2999-J2999</f>
        <v>2</v>
      </c>
      <c r="L2999" s="3" t="str">
        <f>IF(K2999&lt;-5,"CRÍTICO",IF(K2999&lt;0,"ATENÇÃO",IF(K2999&lt;=5,"OPORTUNO","MUITO BOM")))</f>
        <v>OPORTUNO</v>
      </c>
      <c r="M2999">
        <v>12</v>
      </c>
      <c r="N2999">
        <v>100</v>
      </c>
      <c r="O2999">
        <v>26.47058823529412</v>
      </c>
    </row>
    <row r="3000" spans="1:15" hidden="1" x14ac:dyDescent="0.25">
      <c r="A3000" s="11">
        <v>46094</v>
      </c>
      <c r="B3000" t="s">
        <v>41</v>
      </c>
      <c r="C3000" t="s">
        <v>32</v>
      </c>
      <c r="D3000">
        <v>0</v>
      </c>
      <c r="E3000">
        <v>0</v>
      </c>
      <c r="F3000">
        <v>0</v>
      </c>
      <c r="G3000">
        <v>0</v>
      </c>
      <c r="H3000">
        <v>0</v>
      </c>
      <c r="I3000" s="3">
        <v>0</v>
      </c>
      <c r="J3000" s="3">
        <v>0</v>
      </c>
      <c r="K3000" s="3">
        <v>0</v>
      </c>
      <c r="L3000" s="3" t="str">
        <f>IF(K3000&lt;-5,"CRÍTICO",IF(K3000&lt;0,"ATENÇÃO",IF(K3000&lt;=5,"OPORTUNO","MUITO BOM")))</f>
        <v>OPORTUNO</v>
      </c>
      <c r="M3000">
        <v>8</v>
      </c>
      <c r="N3000">
        <v>100</v>
      </c>
      <c r="O3000">
        <v>28.490028490028489</v>
      </c>
    </row>
    <row r="3001" spans="1:15" hidden="1" x14ac:dyDescent="0.25">
      <c r="A3001" s="11">
        <v>46094</v>
      </c>
      <c r="B3001" t="s">
        <v>56</v>
      </c>
      <c r="C3001" t="s">
        <v>48</v>
      </c>
      <c r="D3001">
        <v>33</v>
      </c>
      <c r="E3001">
        <v>30</v>
      </c>
      <c r="F3001">
        <v>15.43</v>
      </c>
      <c r="G3001">
        <v>0</v>
      </c>
      <c r="H3001">
        <v>0</v>
      </c>
      <c r="I3001" s="3">
        <f>E3001+G3001+H3001</f>
        <v>30</v>
      </c>
      <c r="J3001" s="3">
        <f>ROUND(MIN(IF(C3001="Técnico III",35,IF(C3001="Técnico II",28,IF(C3001="Técnico I",23,IF(C3001="JR",20,IF(C3001="Estágio",10,0))))),IF(C3001="Técnico III",SUMIFS($D:$D,$A:$A,$A3001,$B:$B,"&lt;&gt;Patrícia Karla de Sousa Araújo",$B:$B,"&lt;&gt;Lorena Dias de Araujo",$B:$B,"&lt;&gt;Lucas Luiz Romero")*(35/1083),IF(C3001="Técnico II",SUMIFS($D:$D,$A:$A,$A3001,$B:$B,"&lt;&gt;Patrícia Karla de Sousa Araújo",$B:$B,"&lt;&gt;Lorena Dias de Araujo",$B:$B,"&lt;&gt;Lucas Luiz Romero")*(28/1083),IF(C3001="Técnico I",SUMIFS($D:$D,$A:$A,$A3001,$B:$B,"&lt;&gt;Patrícia Karla de Sousa Araújo",$B:$B,"&lt;&gt;Lorena Dias de Araujo",$B:$B,"&lt;&gt;Lucas Luiz Romero")*(23/1083),IF(C3001="JR",SUMIFS($D:$D,$A:$A,$A3001,$B:$B,"&lt;&gt;Patrícia Karla de Sousa Araújo",$B:$B,"&lt;&gt;Lorena Dias de Araujo",$B:$B,"&lt;&gt;Lucas Luiz Romero")*(20/1083),IF(C3001="Estágio",SUMIFS($D:$D,$A:$A,$A3001,$B:$B,"&lt;&gt;Patrícia Karla de Sousa Araújo",$B:$B,"&lt;&gt;Lorena Dias de Araujo",$B:$B,"&lt;&gt;Lucas Luiz Romero")*(10/1083),0)))))),0)</f>
        <v>16</v>
      </c>
      <c r="K3001" s="3">
        <f>I3001-J3001</f>
        <v>14</v>
      </c>
      <c r="L3001" s="3" t="str">
        <f>IF(K3001&lt;-5,"CRÍTICO",IF(K3001&lt;0,"ATENÇÃO",IF(K3001&lt;=5,"OPORTUNO","MUITO BOM")))</f>
        <v>MUITO BOM</v>
      </c>
      <c r="M3001">
        <v>11</v>
      </c>
      <c r="N3001">
        <v>99.14</v>
      </c>
      <c r="O3001">
        <v>27.2289156626506</v>
      </c>
    </row>
    <row r="3002" spans="1:15" hidden="1" x14ac:dyDescent="0.25">
      <c r="A3002" s="11">
        <v>46094</v>
      </c>
      <c r="B3002" t="s">
        <v>57</v>
      </c>
      <c r="C3002" t="s">
        <v>48</v>
      </c>
      <c r="D3002">
        <v>25</v>
      </c>
      <c r="E3002">
        <v>23</v>
      </c>
      <c r="F3002">
        <v>27.26</v>
      </c>
      <c r="G3002">
        <v>0</v>
      </c>
      <c r="H3002">
        <v>0</v>
      </c>
      <c r="I3002" s="3">
        <v>0</v>
      </c>
      <c r="J3002" s="3">
        <v>0</v>
      </c>
      <c r="K3002" s="3">
        <v>0</v>
      </c>
      <c r="L3002" s="3" t="str">
        <f>IF(K3002&lt;-5,"CRÍTICO",IF(K3002&lt;0,"ATENÇÃO",IF(K3002&lt;=5,"OPORTUNO","MUITO BOM")))</f>
        <v>OPORTUNO</v>
      </c>
      <c r="M3002">
        <v>20</v>
      </c>
      <c r="N3002">
        <v>97.52</v>
      </c>
      <c r="O3002">
        <v>28.205128205128201</v>
      </c>
    </row>
    <row r="3003" spans="1:15" hidden="1" x14ac:dyDescent="0.25">
      <c r="A3003" s="11">
        <v>46094</v>
      </c>
      <c r="B3003" t="s">
        <v>42</v>
      </c>
      <c r="C3003" t="s">
        <v>32</v>
      </c>
      <c r="D3003">
        <v>26</v>
      </c>
      <c r="E3003">
        <v>22</v>
      </c>
      <c r="F3003">
        <v>16.52</v>
      </c>
      <c r="G3003">
        <v>0</v>
      </c>
      <c r="H3003">
        <v>0</v>
      </c>
      <c r="I3003" s="3">
        <f>E3003+G3003+H3003</f>
        <v>22</v>
      </c>
      <c r="J3003" s="3">
        <f>ROUND(MIN(IF(C3003="Técnico III",35,IF(C3003="Técnico II",28,IF(C3003="Técnico I",23,IF(C3003="JR",20,IF(C3003="Estágio",10,0))))),IF(C3003="Técnico III",SUMIFS($D:$D,$A:$A,$A3003,$B:$B,"&lt;&gt;Patrícia Karla de Sousa Araújo",$B:$B,"&lt;&gt;Lorena Dias de Araujo",$B:$B,"&lt;&gt;Lucas Luiz Romero")*(35/1083),IF(C3003="Técnico II",SUMIFS($D:$D,$A:$A,$A3003,$B:$B,"&lt;&gt;Patrícia Karla de Sousa Araújo",$B:$B,"&lt;&gt;Lorena Dias de Araujo",$B:$B,"&lt;&gt;Lucas Luiz Romero")*(28/1083),IF(C3003="Técnico I",SUMIFS($D:$D,$A:$A,$A3003,$B:$B,"&lt;&gt;Patrícia Karla de Sousa Araújo",$B:$B,"&lt;&gt;Lorena Dias de Araujo",$B:$B,"&lt;&gt;Lucas Luiz Romero")*(23/1083),IF(C3003="JR",SUMIFS($D:$D,$A:$A,$A3003,$B:$B,"&lt;&gt;Patrícia Karla de Sousa Araújo",$B:$B,"&lt;&gt;Lorena Dias de Araujo",$B:$B,"&lt;&gt;Lucas Luiz Romero")*(20/1083),IF(C3003="Estágio",SUMIFS($D:$D,$A:$A,$A3003,$B:$B,"&lt;&gt;Patrícia Karla de Sousa Araújo",$B:$B,"&lt;&gt;Lorena Dias de Araujo",$B:$B,"&lt;&gt;Lucas Luiz Romero")*(10/1083),0)))))),0)</f>
        <v>20</v>
      </c>
      <c r="K3003" s="3">
        <f>I3003-J3003</f>
        <v>2</v>
      </c>
      <c r="L3003" s="3" t="str">
        <f>IF(K3003&lt;-5,"CRÍTICO",IF(K3003&lt;0,"ATENÇÃO",IF(K3003&lt;=5,"OPORTUNO","MUITO BOM")))</f>
        <v>OPORTUNO</v>
      </c>
      <c r="M3003">
        <v>15</v>
      </c>
      <c r="N3003">
        <v>90</v>
      </c>
      <c r="O3003">
        <v>24.186046511627911</v>
      </c>
    </row>
    <row r="3004" spans="1:15" hidden="1" x14ac:dyDescent="0.25">
      <c r="A3004" s="11">
        <v>46094</v>
      </c>
      <c r="B3004" t="s">
        <v>62</v>
      </c>
      <c r="C3004" t="s">
        <v>23</v>
      </c>
      <c r="D3004">
        <v>13</v>
      </c>
      <c r="E3004">
        <v>12</v>
      </c>
      <c r="F3004">
        <v>37.32</v>
      </c>
      <c r="G3004">
        <v>0</v>
      </c>
      <c r="H3004">
        <v>0</v>
      </c>
      <c r="I3004" s="3">
        <f>E3004+G3004+H3004</f>
        <v>12</v>
      </c>
      <c r="J3004" s="3">
        <f>ROUND(MIN(IF(C3004="Técnico III",35,IF(C3004="Técnico II",28,IF(C3004="Técnico I",23,IF(C3004="JR",20,IF(C3004="Estágio",10,0))))),IF(C3004="Técnico III",SUMIFS($D:$D,$A:$A,$A3004,$B:$B,"&lt;&gt;Patrícia Karla de Sousa Araújo",$B:$B,"&lt;&gt;Lorena Dias de Araujo",$B:$B,"&lt;&gt;Lucas Luiz Romero")*(35/1083),IF(C3004="Técnico II",SUMIFS($D:$D,$A:$A,$A3004,$B:$B,"&lt;&gt;Patrícia Karla de Sousa Araújo",$B:$B,"&lt;&gt;Lorena Dias de Araujo",$B:$B,"&lt;&gt;Lucas Luiz Romero")*(28/1083),IF(C3004="Técnico I",SUMIFS($D:$D,$A:$A,$A3004,$B:$B,"&lt;&gt;Patrícia Karla de Sousa Araújo",$B:$B,"&lt;&gt;Lorena Dias de Araujo",$B:$B,"&lt;&gt;Lucas Luiz Romero")*(23/1083),IF(C3004="JR",SUMIFS($D:$D,$A:$A,$A3004,$B:$B,"&lt;&gt;Patrícia Karla de Sousa Araújo",$B:$B,"&lt;&gt;Lorena Dias de Araujo",$B:$B,"&lt;&gt;Lucas Luiz Romero")*(20/1083),IF(C3004="Estágio",SUMIFS($D:$D,$A:$A,$A3004,$B:$B,"&lt;&gt;Patrícia Karla de Sousa Araújo",$B:$B,"&lt;&gt;Lorena Dias de Araujo",$B:$B,"&lt;&gt;Lucas Luiz Romero")*(10/1083),0)))))),0)</f>
        <v>13</v>
      </c>
      <c r="K3004" s="3">
        <f>I3004-J3004</f>
        <v>-1</v>
      </c>
      <c r="L3004" s="3" t="str">
        <f>IF(K3004&lt;-5,"CRÍTICO",IF(K3004&lt;0,"ATENÇÃO",IF(K3004&lt;=5,"OPORTUNO","MUITO BOM")))</f>
        <v>ATENÇÃO</v>
      </c>
      <c r="M3004">
        <v>11</v>
      </c>
      <c r="N3004">
        <v>98.9</v>
      </c>
      <c r="O3004">
        <v>26.763990267639901</v>
      </c>
    </row>
    <row r="3005" spans="1:15" hidden="1" x14ac:dyDescent="0.25">
      <c r="A3005" s="11">
        <v>46094</v>
      </c>
      <c r="B3005" t="s">
        <v>19</v>
      </c>
      <c r="C3005" t="s">
        <v>16</v>
      </c>
      <c r="D3005">
        <v>6</v>
      </c>
      <c r="E3005">
        <v>4</v>
      </c>
      <c r="F3005">
        <v>53.49</v>
      </c>
      <c r="G3005">
        <v>0</v>
      </c>
      <c r="H3005">
        <v>0</v>
      </c>
      <c r="I3005" s="3">
        <f>E3005+G3005+H3005</f>
        <v>4</v>
      </c>
      <c r="J3005" s="3">
        <f>ROUND(MIN(IF(C3005="Técnico III",35,IF(C3005="Técnico II",28,IF(C3005="Técnico I",23,IF(C3005="JR",20,IF(C3005="Estágio",10,0))))),IF(C3005="Técnico III",SUMIFS($D:$D,$A:$A,$A3005,$B:$B,"&lt;&gt;Patrícia Karla de Sousa Araújo",$B:$B,"&lt;&gt;Lorena Dias de Araujo",$B:$B,"&lt;&gt;Lucas Luiz Romero")*(35/1083),IF(C3005="Técnico II",SUMIFS($D:$D,$A:$A,$A3005,$B:$B,"&lt;&gt;Patrícia Karla de Sousa Araújo",$B:$B,"&lt;&gt;Lorena Dias de Araujo",$B:$B,"&lt;&gt;Lucas Luiz Romero")*(28/1083),IF(C3005="Técnico I",SUMIFS($D:$D,$A:$A,$A3005,$B:$B,"&lt;&gt;Patrícia Karla de Sousa Araújo",$B:$B,"&lt;&gt;Lorena Dias de Araujo",$B:$B,"&lt;&gt;Lucas Luiz Romero")*(23/1083),IF(C3005="JR",SUMIFS($D:$D,$A:$A,$A3005,$B:$B,"&lt;&gt;Patrícia Karla de Sousa Araújo",$B:$B,"&lt;&gt;Lorena Dias de Araujo",$B:$B,"&lt;&gt;Lucas Luiz Romero")*(20/1083),IF(C3005="Estágio",SUMIFS($D:$D,$A:$A,$A3005,$B:$B,"&lt;&gt;Patrícia Karla de Sousa Araújo",$B:$B,"&lt;&gt;Lorena Dias de Araujo",$B:$B,"&lt;&gt;Lucas Luiz Romero")*(10/1083),0)))))),0)</f>
        <v>6</v>
      </c>
      <c r="K3005" s="3">
        <f>I3005-J3005</f>
        <v>-2</v>
      </c>
      <c r="L3005" s="3" t="str">
        <f>IF(K3005&lt;-5,"CRÍTICO",IF(K3005&lt;0,"ATENÇÃO",IF(K3005&lt;=5,"OPORTUNO","MUITO BOM")))</f>
        <v>ATENÇÃO</v>
      </c>
      <c r="M3005">
        <v>3</v>
      </c>
      <c r="N3005">
        <v>88.89</v>
      </c>
      <c r="O3005">
        <v>25.263157894736839</v>
      </c>
    </row>
    <row r="3006" spans="1:15" hidden="1" x14ac:dyDescent="0.25">
      <c r="A3006" s="11">
        <v>46094</v>
      </c>
      <c r="B3006" t="s">
        <v>43</v>
      </c>
      <c r="C3006" t="s">
        <v>32</v>
      </c>
      <c r="D3006">
        <v>18</v>
      </c>
      <c r="E3006">
        <v>17</v>
      </c>
      <c r="F3006">
        <v>22.09</v>
      </c>
      <c r="G3006">
        <v>0</v>
      </c>
      <c r="H3006">
        <v>0</v>
      </c>
      <c r="I3006" s="3">
        <f>E3006+G3006+H3006</f>
        <v>17</v>
      </c>
      <c r="J3006" s="3">
        <f>ROUND(MIN(IF(C3006="Técnico III",35,IF(C3006="Técnico II",28,IF(C3006="Técnico I",23,IF(C3006="JR",20,IF(C3006="Estágio",10,0))))),IF(C3006="Técnico III",SUMIFS($D:$D,$A:$A,$A3006,$B:$B,"&lt;&gt;Patrícia Karla de Sousa Araújo",$B:$B,"&lt;&gt;Lorena Dias de Araujo",$B:$B,"&lt;&gt;Lucas Luiz Romero")*(35/1083),IF(C3006="Técnico II",SUMIFS($D:$D,$A:$A,$A3006,$B:$B,"&lt;&gt;Patrícia Karla de Sousa Araújo",$B:$B,"&lt;&gt;Lorena Dias de Araujo",$B:$B,"&lt;&gt;Lucas Luiz Romero")*(28/1083),IF(C3006="Técnico I",SUMIFS($D:$D,$A:$A,$A3006,$B:$B,"&lt;&gt;Patrícia Karla de Sousa Araújo",$B:$B,"&lt;&gt;Lorena Dias de Araujo",$B:$B,"&lt;&gt;Lucas Luiz Romero")*(23/1083),IF(C3006="JR",SUMIFS($D:$D,$A:$A,$A3006,$B:$B,"&lt;&gt;Patrícia Karla de Sousa Araújo",$B:$B,"&lt;&gt;Lorena Dias de Araujo",$B:$B,"&lt;&gt;Lucas Luiz Romero")*(20/1083),IF(C3006="Estágio",SUMIFS($D:$D,$A:$A,$A3006,$B:$B,"&lt;&gt;Patrícia Karla de Sousa Araújo",$B:$B,"&lt;&gt;Lorena Dias de Araujo",$B:$B,"&lt;&gt;Lucas Luiz Romero")*(10/1083),0)))))),0)</f>
        <v>20</v>
      </c>
      <c r="K3006" s="3">
        <f>I3006-J3006</f>
        <v>-3</v>
      </c>
      <c r="L3006" s="3" t="str">
        <f>IF(K3006&lt;-5,"CRÍTICO",IF(K3006&lt;0,"ATENÇÃO",IF(K3006&lt;=5,"OPORTUNO","MUITO BOM")))</f>
        <v>ATENÇÃO</v>
      </c>
      <c r="M3006">
        <v>22</v>
      </c>
      <c r="N3006">
        <v>98.86</v>
      </c>
      <c r="O3006">
        <v>28.959276018099551</v>
      </c>
    </row>
    <row r="3007" spans="1:15" hidden="1" x14ac:dyDescent="0.25">
      <c r="A3007" s="11">
        <v>46094</v>
      </c>
      <c r="B3007" t="s">
        <v>44</v>
      </c>
      <c r="C3007" t="s">
        <v>32</v>
      </c>
      <c r="D3007">
        <v>32</v>
      </c>
      <c r="E3007">
        <v>28</v>
      </c>
      <c r="F3007">
        <v>15</v>
      </c>
      <c r="G3007">
        <v>0</v>
      </c>
      <c r="H3007">
        <v>0</v>
      </c>
      <c r="I3007" s="3">
        <f>E3007+G3007+H3007</f>
        <v>28</v>
      </c>
      <c r="J3007" s="3">
        <f>ROUND(MIN(IF(C3007="Técnico III",35,IF(C3007="Técnico II",28,IF(C3007="Técnico I",23,IF(C3007="JR",20,IF(C3007="Estágio",10,0))))),IF(C3007="Técnico III",SUMIFS($D:$D,$A:$A,$A3007,$B:$B,"&lt;&gt;Patrícia Karla de Sousa Araújo",$B:$B,"&lt;&gt;Lorena Dias de Araujo",$B:$B,"&lt;&gt;Lucas Luiz Romero")*(35/1083),IF(C3007="Técnico II",SUMIFS($D:$D,$A:$A,$A3007,$B:$B,"&lt;&gt;Patrícia Karla de Sousa Araújo",$B:$B,"&lt;&gt;Lorena Dias de Araujo",$B:$B,"&lt;&gt;Lucas Luiz Romero")*(28/1083),IF(C3007="Técnico I",SUMIFS($D:$D,$A:$A,$A3007,$B:$B,"&lt;&gt;Patrícia Karla de Sousa Araújo",$B:$B,"&lt;&gt;Lorena Dias de Araujo",$B:$B,"&lt;&gt;Lucas Luiz Romero")*(23/1083),IF(C3007="JR",SUMIFS($D:$D,$A:$A,$A3007,$B:$B,"&lt;&gt;Patrícia Karla de Sousa Araújo",$B:$B,"&lt;&gt;Lorena Dias de Araujo",$B:$B,"&lt;&gt;Lucas Luiz Romero")*(20/1083),IF(C3007="Estágio",SUMIFS($D:$D,$A:$A,$A3007,$B:$B,"&lt;&gt;Patrícia Karla de Sousa Araújo",$B:$B,"&lt;&gt;Lorena Dias de Araujo",$B:$B,"&lt;&gt;Lucas Luiz Romero")*(10/1083),0)))))),0)</f>
        <v>20</v>
      </c>
      <c r="K3007" s="3">
        <f>I3007-J3007</f>
        <v>8</v>
      </c>
      <c r="L3007" s="3" t="str">
        <f>IF(K3007&lt;-5,"CRÍTICO",IF(K3007&lt;0,"ATENÇÃO",IF(K3007&lt;=5,"OPORTUNO","MUITO BOM")))</f>
        <v>MUITO BOM</v>
      </c>
      <c r="M3007">
        <v>25</v>
      </c>
      <c r="N3007">
        <v>98.06</v>
      </c>
      <c r="O3007">
        <v>22.40566037735849</v>
      </c>
    </row>
    <row r="3008" spans="1:15" hidden="1" x14ac:dyDescent="0.25">
      <c r="A3008" s="11">
        <v>46094</v>
      </c>
      <c r="B3008" t="s">
        <v>20</v>
      </c>
      <c r="C3008" t="s">
        <v>16</v>
      </c>
      <c r="D3008">
        <v>6</v>
      </c>
      <c r="E3008">
        <v>6</v>
      </c>
      <c r="F3008">
        <v>48.34</v>
      </c>
      <c r="G3008">
        <v>0</v>
      </c>
      <c r="H3008">
        <v>0</v>
      </c>
      <c r="I3008" s="3">
        <f>E3008+G3008+H3008</f>
        <v>6</v>
      </c>
      <c r="J3008" s="3">
        <f>ROUND(MIN(IF(C3008="Técnico III",35,IF(C3008="Técnico II",28,IF(C3008="Técnico I",23,IF(C3008="JR",20,IF(C3008="Estágio",10,0))))),IF(C3008="Técnico III",SUMIFS($D:$D,$A:$A,$A3008,$B:$B,"&lt;&gt;Patrícia Karla de Sousa Araújo",$B:$B,"&lt;&gt;Lorena Dias de Araujo",$B:$B,"&lt;&gt;Lucas Luiz Romero")*(35/1083),IF(C3008="Técnico II",SUMIFS($D:$D,$A:$A,$A3008,$B:$B,"&lt;&gt;Patrícia Karla de Sousa Araújo",$B:$B,"&lt;&gt;Lorena Dias de Araujo",$B:$B,"&lt;&gt;Lucas Luiz Romero")*(28/1083),IF(C3008="Técnico I",SUMIFS($D:$D,$A:$A,$A3008,$B:$B,"&lt;&gt;Patrícia Karla de Sousa Araújo",$B:$B,"&lt;&gt;Lorena Dias de Araujo",$B:$B,"&lt;&gt;Lucas Luiz Romero")*(23/1083),IF(C3008="JR",SUMIFS($D:$D,$A:$A,$A3008,$B:$B,"&lt;&gt;Patrícia Karla de Sousa Araújo",$B:$B,"&lt;&gt;Lorena Dias de Araujo",$B:$B,"&lt;&gt;Lucas Luiz Romero")*(20/1083),IF(C3008="Estágio",SUMIFS($D:$D,$A:$A,$A3008,$B:$B,"&lt;&gt;Patrícia Karla de Sousa Araújo",$B:$B,"&lt;&gt;Lorena Dias de Araujo",$B:$B,"&lt;&gt;Lucas Luiz Romero")*(10/1083),0)))))),0)</f>
        <v>6</v>
      </c>
      <c r="K3008" s="3">
        <f>I3008-J3008</f>
        <v>0</v>
      </c>
      <c r="L3008" s="3" t="str">
        <f>IF(K3008&lt;-5,"CRÍTICO",IF(K3008&lt;0,"ATENÇÃO",IF(K3008&lt;=5,"OPORTUNO","MUITO BOM")))</f>
        <v>OPORTUNO</v>
      </c>
      <c r="M3008">
        <v>5</v>
      </c>
      <c r="N3008">
        <v>95.83</v>
      </c>
      <c r="O3008">
        <v>25.773195876288661</v>
      </c>
    </row>
    <row r="3009" spans="1:15" hidden="1" x14ac:dyDescent="0.25">
      <c r="A3009" s="11">
        <v>46094</v>
      </c>
      <c r="B3009" t="s">
        <v>28</v>
      </c>
      <c r="C3009" t="s">
        <v>26</v>
      </c>
      <c r="D3009">
        <v>0</v>
      </c>
      <c r="E3009">
        <v>0</v>
      </c>
      <c r="F3009">
        <v>0</v>
      </c>
      <c r="G3009">
        <v>0</v>
      </c>
      <c r="H3009">
        <v>0</v>
      </c>
      <c r="I3009" s="3">
        <v>0</v>
      </c>
      <c r="J3009" s="3">
        <v>0</v>
      </c>
      <c r="K3009" s="3">
        <v>0</v>
      </c>
      <c r="L3009" s="3" t="str">
        <f>IF(K3009&lt;-5,"CRÍTICO",IF(K3009&lt;0,"ATENÇÃO",IF(K3009&lt;=5,"OPORTUNO","MUITO BOM")))</f>
        <v>OPORTUNO</v>
      </c>
      <c r="M3009">
        <v>0</v>
      </c>
      <c r="N3009">
        <v>100</v>
      </c>
      <c r="O3009">
        <v>15.38461538461539</v>
      </c>
    </row>
    <row r="3010" spans="1:15" hidden="1" x14ac:dyDescent="0.25">
      <c r="A3010" s="11">
        <v>46094</v>
      </c>
      <c r="B3010" t="s">
        <v>58</v>
      </c>
      <c r="C3010" t="s">
        <v>48</v>
      </c>
      <c r="D3010">
        <v>26</v>
      </c>
      <c r="E3010">
        <v>26</v>
      </c>
      <c r="F3010">
        <v>27.03</v>
      </c>
      <c r="G3010">
        <v>0</v>
      </c>
      <c r="H3010">
        <v>0</v>
      </c>
      <c r="I3010" s="3">
        <f>E3010+G3010+H3010</f>
        <v>26</v>
      </c>
      <c r="J3010" s="3">
        <f>ROUND(MIN(IF(C3010="Técnico III",35,IF(C3010="Técnico II",28,IF(C3010="Técnico I",23,IF(C3010="JR",20,IF(C3010="Estágio",10,0))))),IF(C3010="Técnico III",SUMIFS($D:$D,$A:$A,$A3010,$B:$B,"&lt;&gt;Patrícia Karla de Sousa Araújo",$B:$B,"&lt;&gt;Lorena Dias de Araujo",$B:$B,"&lt;&gt;Lucas Luiz Romero")*(35/1083),IF(C3010="Técnico II",SUMIFS($D:$D,$A:$A,$A3010,$B:$B,"&lt;&gt;Patrícia Karla de Sousa Araújo",$B:$B,"&lt;&gt;Lorena Dias de Araujo",$B:$B,"&lt;&gt;Lucas Luiz Romero")*(28/1083),IF(C3010="Técnico I",SUMIFS($D:$D,$A:$A,$A3010,$B:$B,"&lt;&gt;Patrícia Karla de Sousa Araújo",$B:$B,"&lt;&gt;Lorena Dias de Araujo",$B:$B,"&lt;&gt;Lucas Luiz Romero")*(23/1083),IF(C3010="JR",SUMIFS($D:$D,$A:$A,$A3010,$B:$B,"&lt;&gt;Patrícia Karla de Sousa Araújo",$B:$B,"&lt;&gt;Lorena Dias de Araujo",$B:$B,"&lt;&gt;Lucas Luiz Romero")*(20/1083),IF(C3010="Estágio",SUMIFS($D:$D,$A:$A,$A3010,$B:$B,"&lt;&gt;Patrícia Karla de Sousa Araújo",$B:$B,"&lt;&gt;Lorena Dias de Araujo",$B:$B,"&lt;&gt;Lucas Luiz Romero")*(10/1083),0)))))),0)</f>
        <v>16</v>
      </c>
      <c r="K3010" s="3">
        <f>I3010-J3010</f>
        <v>10</v>
      </c>
      <c r="L3010" s="3" t="str">
        <f>IF(K3010&lt;-5,"CRÍTICO",IF(K3010&lt;0,"ATENÇÃO",IF(K3010&lt;=5,"OPORTUNO","MUITO BOM")))</f>
        <v>MUITO BOM</v>
      </c>
      <c r="M3010">
        <v>23</v>
      </c>
      <c r="N3010">
        <v>100</v>
      </c>
      <c r="O3010">
        <v>27.514792899408281</v>
      </c>
    </row>
    <row r="3011" spans="1:15" hidden="1" x14ac:dyDescent="0.25">
      <c r="A3011" s="11">
        <v>46094</v>
      </c>
      <c r="B3011" t="s">
        <v>29</v>
      </c>
      <c r="C3011" t="s">
        <v>26</v>
      </c>
      <c r="D3011">
        <v>13</v>
      </c>
      <c r="E3011">
        <v>12</v>
      </c>
      <c r="F3011">
        <v>40.549999999999997</v>
      </c>
      <c r="G3011">
        <v>0</v>
      </c>
      <c r="H3011">
        <v>0</v>
      </c>
      <c r="I3011" s="3">
        <f>E3011+G3011+H3011</f>
        <v>12</v>
      </c>
      <c r="J3011" s="3">
        <f>ROUND(MIN(IF(C3011="Técnico III",35,IF(C3011="Técnico II",28,IF(C3011="Técnico I",23,IF(C3011="JR",20,IF(C3011="Estágio",10,0))))),IF(C3011="Técnico III",SUMIFS($D:$D,$A:$A,$A3011,$B:$B,"&lt;&gt;Patrícia Karla de Sousa Araújo",$B:$B,"&lt;&gt;Lorena Dias de Araujo",$B:$B,"&lt;&gt;Lucas Luiz Romero")*(35/1083),IF(C3011="Técnico II",SUMIFS($D:$D,$A:$A,$A3011,$B:$B,"&lt;&gt;Patrícia Karla de Sousa Araújo",$B:$B,"&lt;&gt;Lorena Dias de Araujo",$B:$B,"&lt;&gt;Lucas Luiz Romero")*(28/1083),IF(C3011="Técnico I",SUMIFS($D:$D,$A:$A,$A3011,$B:$B,"&lt;&gt;Patrícia Karla de Sousa Araújo",$B:$B,"&lt;&gt;Lorena Dias de Araujo",$B:$B,"&lt;&gt;Lucas Luiz Romero")*(23/1083),IF(C3011="JR",SUMIFS($D:$D,$A:$A,$A3011,$B:$B,"&lt;&gt;Patrícia Karla de Sousa Araújo",$B:$B,"&lt;&gt;Lorena Dias de Araujo",$B:$B,"&lt;&gt;Lucas Luiz Romero")*(20/1083),IF(C3011="Estágio",SUMIFS($D:$D,$A:$A,$A3011,$B:$B,"&lt;&gt;Patrícia Karla de Sousa Araújo",$B:$B,"&lt;&gt;Lorena Dias de Araujo",$B:$B,"&lt;&gt;Lucas Luiz Romero")*(10/1083),0)))))),0)</f>
        <v>12</v>
      </c>
      <c r="K3011" s="3">
        <f>I3011-J3011</f>
        <v>0</v>
      </c>
      <c r="L3011" s="3" t="str">
        <f>IF(K3011&lt;-5,"CRÍTICO",IF(K3011&lt;0,"ATENÇÃO",IF(K3011&lt;=5,"OPORTUNO","MUITO BOM")))</f>
        <v>OPORTUNO</v>
      </c>
      <c r="M3011">
        <v>7</v>
      </c>
      <c r="N3011">
        <v>100</v>
      </c>
      <c r="O3011">
        <v>24.875621890547269</v>
      </c>
    </row>
    <row r="3012" spans="1:15" hidden="1" x14ac:dyDescent="0.25">
      <c r="A3012" s="11">
        <v>46094</v>
      </c>
      <c r="B3012" t="s">
        <v>30</v>
      </c>
      <c r="C3012" t="s">
        <v>26</v>
      </c>
      <c r="D3012">
        <v>14</v>
      </c>
      <c r="E3012">
        <v>14</v>
      </c>
      <c r="F3012">
        <v>43.33</v>
      </c>
      <c r="G3012">
        <v>0</v>
      </c>
      <c r="H3012">
        <v>0</v>
      </c>
      <c r="I3012" s="3">
        <f>E3012+G3012+H3012</f>
        <v>14</v>
      </c>
      <c r="J3012" s="3">
        <f>ROUND(MIN(IF(C3012="Técnico III",35,IF(C3012="Técnico II",28,IF(C3012="Técnico I",23,IF(C3012="JR",20,IF(C3012="Estágio",10,0))))),IF(C3012="Técnico III",SUMIFS($D:$D,$A:$A,$A3012,$B:$B,"&lt;&gt;Patrícia Karla de Sousa Araújo",$B:$B,"&lt;&gt;Lorena Dias de Araujo",$B:$B,"&lt;&gt;Lucas Luiz Romero")*(35/1083),IF(C3012="Técnico II",SUMIFS($D:$D,$A:$A,$A3012,$B:$B,"&lt;&gt;Patrícia Karla de Sousa Araújo",$B:$B,"&lt;&gt;Lorena Dias de Araujo",$B:$B,"&lt;&gt;Lucas Luiz Romero")*(28/1083),IF(C3012="Técnico I",SUMIFS($D:$D,$A:$A,$A3012,$B:$B,"&lt;&gt;Patrícia Karla de Sousa Araújo",$B:$B,"&lt;&gt;Lorena Dias de Araujo",$B:$B,"&lt;&gt;Lucas Luiz Romero")*(23/1083),IF(C3012="JR",SUMIFS($D:$D,$A:$A,$A3012,$B:$B,"&lt;&gt;Patrícia Karla de Sousa Araújo",$B:$B,"&lt;&gt;Lorena Dias de Araujo",$B:$B,"&lt;&gt;Lucas Luiz Romero")*(20/1083),IF(C3012="Estágio",SUMIFS($D:$D,$A:$A,$A3012,$B:$B,"&lt;&gt;Patrícia Karla de Sousa Araújo",$B:$B,"&lt;&gt;Lorena Dias de Araujo",$B:$B,"&lt;&gt;Lucas Luiz Romero")*(10/1083),0)))))),0)</f>
        <v>12</v>
      </c>
      <c r="K3012" s="3">
        <f>I3012-J3012</f>
        <v>2</v>
      </c>
      <c r="L3012" s="3" t="str">
        <f>IF(K3012&lt;-5,"CRÍTICO",IF(K3012&lt;0,"ATENÇÃO",IF(K3012&lt;=5,"OPORTUNO","MUITO BOM")))</f>
        <v>OPORTUNO</v>
      </c>
      <c r="M3012">
        <v>13</v>
      </c>
      <c r="N3012">
        <v>100</v>
      </c>
      <c r="O3012">
        <v>28.108108108108109</v>
      </c>
    </row>
    <row r="3013" spans="1:15" hidden="1" x14ac:dyDescent="0.25">
      <c r="A3013" s="11">
        <v>46094</v>
      </c>
      <c r="B3013" t="s">
        <v>21</v>
      </c>
      <c r="C3013" t="s">
        <v>16</v>
      </c>
      <c r="D3013">
        <v>0</v>
      </c>
      <c r="E3013">
        <v>0</v>
      </c>
      <c r="F3013">
        <v>0</v>
      </c>
      <c r="G3013">
        <v>0</v>
      </c>
      <c r="H3013">
        <v>0</v>
      </c>
      <c r="I3013" s="3">
        <v>0</v>
      </c>
      <c r="J3013" s="3">
        <v>0</v>
      </c>
      <c r="K3013" s="3">
        <v>0</v>
      </c>
      <c r="L3013" s="3" t="str">
        <f>IF(K3013&lt;-5,"CRÍTICO",IF(K3013&lt;0,"ATENÇÃO",IF(K3013&lt;=5,"OPORTUNO","MUITO BOM")))</f>
        <v>OPORTUNO</v>
      </c>
      <c r="M3013">
        <v>0</v>
      </c>
      <c r="N3013">
        <v>100</v>
      </c>
      <c r="O3013">
        <v>35</v>
      </c>
    </row>
    <row r="3014" spans="1:15" hidden="1" x14ac:dyDescent="0.25">
      <c r="A3014" s="11">
        <v>46094</v>
      </c>
      <c r="B3014" t="s">
        <v>63</v>
      </c>
      <c r="C3014" t="s">
        <v>23</v>
      </c>
      <c r="D3014">
        <v>24</v>
      </c>
      <c r="E3014">
        <v>23</v>
      </c>
      <c r="F3014">
        <v>28.27</v>
      </c>
      <c r="G3014">
        <v>0</v>
      </c>
      <c r="H3014">
        <v>0</v>
      </c>
      <c r="I3014" s="3">
        <f>E3014+G3014+H3014</f>
        <v>23</v>
      </c>
      <c r="J3014" s="3">
        <f>ROUND(MIN(IF(C3014="Técnico III",35,IF(C3014="Técnico II",28,IF(C3014="Técnico I",23,IF(C3014="JR",20,IF(C3014="Estágio",10,0))))),IF(C3014="Técnico III",SUMIFS($D:$D,$A:$A,$A3014,$B:$B,"&lt;&gt;Patrícia Karla de Sousa Araújo",$B:$B,"&lt;&gt;Lorena Dias de Araujo",$B:$B,"&lt;&gt;Lucas Luiz Romero")*(35/1083),IF(C3014="Técnico II",SUMIFS($D:$D,$A:$A,$A3014,$B:$B,"&lt;&gt;Patrícia Karla de Sousa Araújo",$B:$B,"&lt;&gt;Lorena Dias de Araujo",$B:$B,"&lt;&gt;Lucas Luiz Romero")*(28/1083),IF(C3014="Técnico I",SUMIFS($D:$D,$A:$A,$A3014,$B:$B,"&lt;&gt;Patrícia Karla de Sousa Araújo",$B:$B,"&lt;&gt;Lorena Dias de Araujo",$B:$B,"&lt;&gt;Lucas Luiz Romero")*(23/1083),IF(C3014="JR",SUMIFS($D:$D,$A:$A,$A3014,$B:$B,"&lt;&gt;Patrícia Karla de Sousa Araújo",$B:$B,"&lt;&gt;Lorena Dias de Araujo",$B:$B,"&lt;&gt;Lucas Luiz Romero")*(20/1083),IF(C3014="Estágio",SUMIFS($D:$D,$A:$A,$A3014,$B:$B,"&lt;&gt;Patrícia Karla de Sousa Araújo",$B:$B,"&lt;&gt;Lorena Dias de Araujo",$B:$B,"&lt;&gt;Lucas Luiz Romero")*(10/1083),0)))))),0)</f>
        <v>13</v>
      </c>
      <c r="K3014" s="3">
        <f>I3014-J3014</f>
        <v>10</v>
      </c>
      <c r="L3014" s="3" t="str">
        <f>IF(K3014&lt;-5,"CRÍTICO",IF(K3014&lt;0,"ATENÇÃO",IF(K3014&lt;=5,"OPORTUNO","MUITO BOM")))</f>
        <v>MUITO BOM</v>
      </c>
      <c r="M3014">
        <v>12</v>
      </c>
      <c r="N3014">
        <v>95.35</v>
      </c>
      <c r="O3014">
        <v>28.61538461538461</v>
      </c>
    </row>
    <row r="3015" spans="1:15" hidden="1" x14ac:dyDescent="0.25">
      <c r="A3015" s="11">
        <v>46094</v>
      </c>
      <c r="B3015" t="s">
        <v>45</v>
      </c>
      <c r="C3015" t="s">
        <v>32</v>
      </c>
      <c r="D3015">
        <v>36</v>
      </c>
      <c r="E3015">
        <v>36</v>
      </c>
      <c r="F3015">
        <v>15.38</v>
      </c>
      <c r="G3015">
        <v>0</v>
      </c>
      <c r="H3015">
        <v>0</v>
      </c>
      <c r="I3015" s="3">
        <f>E3015+G3015+H3015</f>
        <v>36</v>
      </c>
      <c r="J3015" s="3">
        <f>ROUND(MIN(IF(C3015="Técnico III",35,IF(C3015="Técnico II",28,IF(C3015="Técnico I",23,IF(C3015="JR",20,IF(C3015="Estágio",10,0))))),IF(C3015="Técnico III",SUMIFS($D:$D,$A:$A,$A3015,$B:$B,"&lt;&gt;Patrícia Karla de Sousa Araújo",$B:$B,"&lt;&gt;Lorena Dias de Araujo",$B:$B,"&lt;&gt;Lucas Luiz Romero")*(35/1083),IF(C3015="Técnico II",SUMIFS($D:$D,$A:$A,$A3015,$B:$B,"&lt;&gt;Patrícia Karla de Sousa Araújo",$B:$B,"&lt;&gt;Lorena Dias de Araujo",$B:$B,"&lt;&gt;Lucas Luiz Romero")*(28/1083),IF(C3015="Técnico I",SUMIFS($D:$D,$A:$A,$A3015,$B:$B,"&lt;&gt;Patrícia Karla de Sousa Araújo",$B:$B,"&lt;&gt;Lorena Dias de Araujo",$B:$B,"&lt;&gt;Lucas Luiz Romero")*(23/1083),IF(C3015="JR",SUMIFS($D:$D,$A:$A,$A3015,$B:$B,"&lt;&gt;Patrícia Karla de Sousa Araújo",$B:$B,"&lt;&gt;Lorena Dias de Araujo",$B:$B,"&lt;&gt;Lucas Luiz Romero")*(20/1083),IF(C3015="Estágio",SUMIFS($D:$D,$A:$A,$A3015,$B:$B,"&lt;&gt;Patrícia Karla de Sousa Araújo",$B:$B,"&lt;&gt;Lorena Dias de Araujo",$B:$B,"&lt;&gt;Lucas Luiz Romero")*(10/1083),0)))))),0)</f>
        <v>20</v>
      </c>
      <c r="K3015" s="3">
        <f>I3015-J3015</f>
        <v>16</v>
      </c>
      <c r="L3015" s="3" t="str">
        <f>IF(K3015&lt;-5,"CRÍTICO",IF(K3015&lt;0,"ATENÇÃO",IF(K3015&lt;=5,"OPORTUNO","MUITO BOM")))</f>
        <v>MUITO BOM</v>
      </c>
      <c r="M3015">
        <v>33</v>
      </c>
      <c r="N3015">
        <v>98.26</v>
      </c>
      <c r="O3015">
        <v>27.54491017964072</v>
      </c>
    </row>
    <row r="3016" spans="1:15" hidden="1" x14ac:dyDescent="0.25">
      <c r="A3016" s="11">
        <v>46094</v>
      </c>
      <c r="B3016" t="s">
        <v>64</v>
      </c>
      <c r="C3016" t="s">
        <v>23</v>
      </c>
      <c r="D3016">
        <v>13</v>
      </c>
      <c r="E3016">
        <v>13</v>
      </c>
      <c r="F3016">
        <v>48.32</v>
      </c>
      <c r="G3016">
        <v>0</v>
      </c>
      <c r="H3016">
        <v>0</v>
      </c>
      <c r="I3016" s="3">
        <f>E3016+G3016+H3016</f>
        <v>13</v>
      </c>
      <c r="J3016" s="3">
        <f>ROUND(MIN(IF(C3016="Técnico III",35,IF(C3016="Técnico II",28,IF(C3016="Técnico I",23,IF(C3016="JR",20,IF(C3016="Estágio",10,0))))),IF(C3016="Técnico III",SUMIFS($D:$D,$A:$A,$A3016,$B:$B,"&lt;&gt;Patrícia Karla de Sousa Araújo",$B:$B,"&lt;&gt;Lorena Dias de Araujo",$B:$B,"&lt;&gt;Lucas Luiz Romero")*(35/1083),IF(C3016="Técnico II",SUMIFS($D:$D,$A:$A,$A3016,$B:$B,"&lt;&gt;Patrícia Karla de Sousa Araújo",$B:$B,"&lt;&gt;Lorena Dias de Araujo",$B:$B,"&lt;&gt;Lucas Luiz Romero")*(28/1083),IF(C3016="Técnico I",SUMIFS($D:$D,$A:$A,$A3016,$B:$B,"&lt;&gt;Patrícia Karla de Sousa Araújo",$B:$B,"&lt;&gt;Lorena Dias de Araujo",$B:$B,"&lt;&gt;Lucas Luiz Romero")*(23/1083),IF(C3016="JR",SUMIFS($D:$D,$A:$A,$A3016,$B:$B,"&lt;&gt;Patrícia Karla de Sousa Araújo",$B:$B,"&lt;&gt;Lorena Dias de Araujo",$B:$B,"&lt;&gt;Lucas Luiz Romero")*(20/1083),IF(C3016="Estágio",SUMIFS($D:$D,$A:$A,$A3016,$B:$B,"&lt;&gt;Patrícia Karla de Sousa Araújo",$B:$B,"&lt;&gt;Lorena Dias de Araujo",$B:$B,"&lt;&gt;Lucas Luiz Romero")*(10/1083),0)))))),0)</f>
        <v>13</v>
      </c>
      <c r="K3016" s="3">
        <f>I3016-J3016</f>
        <v>0</v>
      </c>
      <c r="L3016" s="3" t="str">
        <f>IF(K3016&lt;-5,"CRÍTICO",IF(K3016&lt;0,"ATENÇÃO",IF(K3016&lt;=5,"OPORTUNO","MUITO BOM")))</f>
        <v>OPORTUNO</v>
      </c>
      <c r="M3016">
        <v>13</v>
      </c>
      <c r="N3016">
        <v>98.55</v>
      </c>
      <c r="O3016">
        <v>25.337837837837839</v>
      </c>
    </row>
    <row r="3017" spans="1:15" hidden="1" x14ac:dyDescent="0.25">
      <c r="A3017" s="11">
        <v>46094</v>
      </c>
      <c r="B3017" t="s">
        <v>46</v>
      </c>
      <c r="C3017" t="s">
        <v>32</v>
      </c>
      <c r="D3017">
        <v>31</v>
      </c>
      <c r="E3017">
        <v>28</v>
      </c>
      <c r="F3017">
        <v>22.31</v>
      </c>
      <c r="G3017">
        <v>0</v>
      </c>
      <c r="H3017">
        <v>0</v>
      </c>
      <c r="I3017" s="3">
        <f>E3017+G3017+H3017</f>
        <v>28</v>
      </c>
      <c r="J3017" s="3">
        <f>ROUND(MIN(IF(C3017="Técnico III",35,IF(C3017="Técnico II",28,IF(C3017="Técnico I",23,IF(C3017="JR",20,IF(C3017="Estágio",10,0))))),IF(C3017="Técnico III",SUMIFS($D:$D,$A:$A,$A3017,$B:$B,"&lt;&gt;Patrícia Karla de Sousa Araújo",$B:$B,"&lt;&gt;Lorena Dias de Araujo",$B:$B,"&lt;&gt;Lucas Luiz Romero")*(35/1083),IF(C3017="Técnico II",SUMIFS($D:$D,$A:$A,$A3017,$B:$B,"&lt;&gt;Patrícia Karla de Sousa Araújo",$B:$B,"&lt;&gt;Lorena Dias de Araujo",$B:$B,"&lt;&gt;Lucas Luiz Romero")*(28/1083),IF(C3017="Técnico I",SUMIFS($D:$D,$A:$A,$A3017,$B:$B,"&lt;&gt;Patrícia Karla de Sousa Araújo",$B:$B,"&lt;&gt;Lorena Dias de Araujo",$B:$B,"&lt;&gt;Lucas Luiz Romero")*(23/1083),IF(C3017="JR",SUMIFS($D:$D,$A:$A,$A3017,$B:$B,"&lt;&gt;Patrícia Karla de Sousa Araújo",$B:$B,"&lt;&gt;Lorena Dias de Araujo",$B:$B,"&lt;&gt;Lucas Luiz Romero")*(20/1083),IF(C3017="Estágio",SUMIFS($D:$D,$A:$A,$A3017,$B:$B,"&lt;&gt;Patrícia Karla de Sousa Araújo",$B:$B,"&lt;&gt;Lorena Dias de Araujo",$B:$B,"&lt;&gt;Lucas Luiz Romero")*(10/1083),0)))))),0)</f>
        <v>20</v>
      </c>
      <c r="K3017" s="3">
        <f>I3017-J3017</f>
        <v>8</v>
      </c>
      <c r="L3017" s="3" t="str">
        <f>IF(K3017&lt;-5,"CRÍTICO",IF(K3017&lt;0,"ATENÇÃO",IF(K3017&lt;=5,"OPORTUNO","MUITO BOM")))</f>
        <v>MUITO BOM</v>
      </c>
      <c r="M3017">
        <v>25</v>
      </c>
      <c r="N3017">
        <v>98.39</v>
      </c>
      <c r="O3017">
        <v>25.563909774436091</v>
      </c>
    </row>
    <row r="3018" spans="1:15" hidden="1" x14ac:dyDescent="0.25">
      <c r="A3018" s="11">
        <v>46097</v>
      </c>
      <c r="B3018" t="s">
        <v>47</v>
      </c>
      <c r="C3018" t="s">
        <v>48</v>
      </c>
      <c r="D3018">
        <v>33</v>
      </c>
      <c r="E3018">
        <v>27</v>
      </c>
      <c r="F3018">
        <v>14.14</v>
      </c>
      <c r="G3018">
        <v>0</v>
      </c>
      <c r="H3018">
        <v>0</v>
      </c>
      <c r="I3018" s="3">
        <f>E3018+G3018+H3018</f>
        <v>27</v>
      </c>
      <c r="J3018" s="3">
        <f>ROUND(MIN(IF(C3018="Técnico III",35,IF(C3018="Técnico II",28,IF(C3018="Técnico I",23,IF(C3018="JR",20,IF(C3018="Estágio",10,0))))),IF(C3018="Técnico III",SUMIFS($D:$D,$A:$A,$A3018,$B:$B,"&lt;&gt;Patrícia Karla de Sousa Araújo",$B:$B,"&lt;&gt;Lorena Dias de Araujo",$B:$B,"&lt;&gt;Lucas Luiz Romero")*(35/1083),IF(C3018="Técnico II",SUMIFS($D:$D,$A:$A,$A3018,$B:$B,"&lt;&gt;Patrícia Karla de Sousa Araújo",$B:$B,"&lt;&gt;Lorena Dias de Araujo",$B:$B,"&lt;&gt;Lucas Luiz Romero")*(28/1083),IF(C3018="Técnico I",SUMIFS($D:$D,$A:$A,$A3018,$B:$B,"&lt;&gt;Patrícia Karla de Sousa Araújo",$B:$B,"&lt;&gt;Lorena Dias de Araujo",$B:$B,"&lt;&gt;Lucas Luiz Romero")*(23/1083),IF(C3018="JR",SUMIFS($D:$D,$A:$A,$A3018,$B:$B,"&lt;&gt;Patrícia Karla de Sousa Araújo",$B:$B,"&lt;&gt;Lorena Dias de Araujo",$B:$B,"&lt;&gt;Lucas Luiz Romero")*(20/1083),IF(C3018="Estágio",SUMIFS($D:$D,$A:$A,$A3018,$B:$B,"&lt;&gt;Patrícia Karla de Sousa Araújo",$B:$B,"&lt;&gt;Lorena Dias de Araujo",$B:$B,"&lt;&gt;Lucas Luiz Romero")*(10/1083),0)))))),0)</f>
        <v>18</v>
      </c>
      <c r="K3018" s="3">
        <f>I3018-J3018</f>
        <v>9</v>
      </c>
      <c r="L3018" s="3" t="str">
        <f>IF(K3018&lt;-5,"CRÍTICO",IF(K3018&lt;0,"ATENÇÃO",IF(K3018&lt;=5,"OPORTUNO","MUITO BOM")))</f>
        <v>MUITO BOM</v>
      </c>
      <c r="M3018">
        <v>15</v>
      </c>
      <c r="N3018">
        <v>94.29</v>
      </c>
      <c r="O3018">
        <v>25.647668393782389</v>
      </c>
    </row>
    <row r="3019" spans="1:15" hidden="1" x14ac:dyDescent="0.25">
      <c r="A3019" s="11">
        <v>46097</v>
      </c>
      <c r="B3019" t="s">
        <v>31</v>
      </c>
      <c r="C3019" t="s">
        <v>32</v>
      </c>
      <c r="D3019">
        <v>0</v>
      </c>
      <c r="E3019">
        <v>0</v>
      </c>
      <c r="F3019">
        <v>0</v>
      </c>
      <c r="G3019">
        <v>0</v>
      </c>
      <c r="H3019">
        <v>0</v>
      </c>
      <c r="I3019" s="3">
        <v>0</v>
      </c>
      <c r="J3019" s="3">
        <v>0</v>
      </c>
      <c r="K3019" s="3">
        <v>0</v>
      </c>
      <c r="L3019" s="3" t="str">
        <f>IF(K3019&lt;-5,"CRÍTICO",IF(K3019&lt;0,"ATENÇÃO",IF(K3019&lt;=5,"OPORTUNO","MUITO BOM")))</f>
        <v>OPORTUNO</v>
      </c>
      <c r="M3019">
        <v>22</v>
      </c>
      <c r="N3019">
        <v>98.26</v>
      </c>
      <c r="O3019">
        <v>26.666666666666671</v>
      </c>
    </row>
    <row r="3020" spans="1:15" hidden="1" x14ac:dyDescent="0.25">
      <c r="A3020" s="11">
        <v>46097</v>
      </c>
      <c r="B3020" t="s">
        <v>59</v>
      </c>
      <c r="C3020" t="s">
        <v>23</v>
      </c>
      <c r="D3020">
        <v>29</v>
      </c>
      <c r="E3020">
        <v>29</v>
      </c>
      <c r="F3020">
        <v>23.33</v>
      </c>
      <c r="G3020">
        <v>0</v>
      </c>
      <c r="H3020">
        <v>0</v>
      </c>
      <c r="I3020" s="3">
        <f>E3020+G3020+H3020</f>
        <v>29</v>
      </c>
      <c r="J3020" s="3">
        <f>ROUND(MIN(IF(C3020="Técnico III",35,IF(C3020="Técnico II",28,IF(C3020="Técnico I",23,IF(C3020="JR",20,IF(C3020="Estágio",10,0))))),IF(C3020="Técnico III",SUMIFS($D:$D,$A:$A,$A3020,$B:$B,"&lt;&gt;Patrícia Karla de Sousa Araújo",$B:$B,"&lt;&gt;Lorena Dias de Araujo",$B:$B,"&lt;&gt;Lucas Luiz Romero")*(35/1083),IF(C3020="Técnico II",SUMIFS($D:$D,$A:$A,$A3020,$B:$B,"&lt;&gt;Patrícia Karla de Sousa Araújo",$B:$B,"&lt;&gt;Lorena Dias de Araujo",$B:$B,"&lt;&gt;Lucas Luiz Romero")*(28/1083),IF(C3020="Técnico I",SUMIFS($D:$D,$A:$A,$A3020,$B:$B,"&lt;&gt;Patrícia Karla de Sousa Araújo",$B:$B,"&lt;&gt;Lorena Dias de Araujo",$B:$B,"&lt;&gt;Lucas Luiz Romero")*(23/1083),IF(C3020="JR",SUMIFS($D:$D,$A:$A,$A3020,$B:$B,"&lt;&gt;Patrícia Karla de Sousa Araújo",$B:$B,"&lt;&gt;Lorena Dias de Araujo",$B:$B,"&lt;&gt;Lucas Luiz Romero")*(20/1083),IF(C3020="Estágio",SUMIFS($D:$D,$A:$A,$A3020,$B:$B,"&lt;&gt;Patrícia Karla de Sousa Araújo",$B:$B,"&lt;&gt;Lorena Dias de Araujo",$B:$B,"&lt;&gt;Lucas Luiz Romero")*(10/1083),0)))))),0)</f>
        <v>15</v>
      </c>
      <c r="K3020" s="3">
        <f>I3020-J3020</f>
        <v>14</v>
      </c>
      <c r="L3020" s="3" t="str">
        <f>IF(K3020&lt;-5,"CRÍTICO",IF(K3020&lt;0,"ATENÇÃO",IF(K3020&lt;=5,"OPORTUNO","MUITO BOM")))</f>
        <v>MUITO BOM</v>
      </c>
      <c r="M3020">
        <v>30</v>
      </c>
      <c r="N3020">
        <v>98.2</v>
      </c>
      <c r="O3020">
        <v>23.37962962962963</v>
      </c>
    </row>
    <row r="3021" spans="1:15" hidden="1" x14ac:dyDescent="0.25">
      <c r="A3021" s="11">
        <v>46097</v>
      </c>
      <c r="B3021" t="s">
        <v>33</v>
      </c>
      <c r="C3021" t="s">
        <v>32</v>
      </c>
      <c r="D3021">
        <v>33</v>
      </c>
      <c r="E3021">
        <v>31</v>
      </c>
      <c r="F3021">
        <v>18.47</v>
      </c>
      <c r="G3021">
        <v>0</v>
      </c>
      <c r="H3021">
        <v>0</v>
      </c>
      <c r="I3021" s="3">
        <f>E3021+G3021+H3021</f>
        <v>31</v>
      </c>
      <c r="J3021" s="3">
        <f>ROUND(MIN(IF(C3021="Técnico III",35,IF(C3021="Técnico II",28,IF(C3021="Técnico I",23,IF(C3021="JR",20,IF(C3021="Estágio",10,0))))),IF(C3021="Técnico III",SUMIFS($D:$D,$A:$A,$A3021,$B:$B,"&lt;&gt;Patrícia Karla de Sousa Araújo",$B:$B,"&lt;&gt;Lorena Dias de Araujo",$B:$B,"&lt;&gt;Lucas Luiz Romero")*(35/1083),IF(C3021="Técnico II",SUMIFS($D:$D,$A:$A,$A3021,$B:$B,"&lt;&gt;Patrícia Karla de Sousa Araújo",$B:$B,"&lt;&gt;Lorena Dias de Araujo",$B:$B,"&lt;&gt;Lucas Luiz Romero")*(28/1083),IF(C3021="Técnico I",SUMIFS($D:$D,$A:$A,$A3021,$B:$B,"&lt;&gt;Patrícia Karla de Sousa Araújo",$B:$B,"&lt;&gt;Lorena Dias de Araujo",$B:$B,"&lt;&gt;Lucas Luiz Romero")*(23/1083),IF(C3021="JR",SUMIFS($D:$D,$A:$A,$A3021,$B:$B,"&lt;&gt;Patrícia Karla de Sousa Araújo",$B:$B,"&lt;&gt;Lorena Dias de Araujo",$B:$B,"&lt;&gt;Lucas Luiz Romero")*(20/1083),IF(C3021="Estágio",SUMIFS($D:$D,$A:$A,$A3021,$B:$B,"&lt;&gt;Patrícia Karla de Sousa Araújo",$B:$B,"&lt;&gt;Lorena Dias de Araujo",$B:$B,"&lt;&gt;Lucas Luiz Romero")*(10/1083),0)))))),0)</f>
        <v>23</v>
      </c>
      <c r="K3021" s="3">
        <f>I3021-J3021</f>
        <v>8</v>
      </c>
      <c r="L3021" s="3" t="str">
        <f>IF(K3021&lt;-5,"CRÍTICO",IF(K3021&lt;0,"ATENÇÃO",IF(K3021&lt;=5,"OPORTUNO","MUITO BOM")))</f>
        <v>MUITO BOM</v>
      </c>
      <c r="M3021">
        <v>23</v>
      </c>
      <c r="N3021">
        <v>97.3</v>
      </c>
      <c r="O3021">
        <v>23.84769539078156</v>
      </c>
    </row>
    <row r="3022" spans="1:15" hidden="1" x14ac:dyDescent="0.25">
      <c r="A3022" s="11">
        <v>46097</v>
      </c>
      <c r="B3022" t="s">
        <v>15</v>
      </c>
      <c r="C3022" t="s">
        <v>16</v>
      </c>
      <c r="D3022">
        <v>7</v>
      </c>
      <c r="E3022">
        <v>7</v>
      </c>
      <c r="F3022">
        <v>33.53</v>
      </c>
      <c r="G3022">
        <v>0</v>
      </c>
      <c r="H3022">
        <v>0</v>
      </c>
      <c r="I3022" s="3">
        <f>E3022+G3022+H3022</f>
        <v>7</v>
      </c>
      <c r="J3022" s="3">
        <f>ROUND(MIN(IF(C3022="Técnico III",35,IF(C3022="Técnico II",28,IF(C3022="Técnico I",23,IF(C3022="JR",20,IF(C3022="Estágio",10,0))))),IF(C3022="Técnico III",SUMIFS($D:$D,$A:$A,$A3022,$B:$B,"&lt;&gt;Patrícia Karla de Sousa Araújo",$B:$B,"&lt;&gt;Lorena Dias de Araujo",$B:$B,"&lt;&gt;Lucas Luiz Romero")*(35/1083),IF(C3022="Técnico II",SUMIFS($D:$D,$A:$A,$A3022,$B:$B,"&lt;&gt;Patrícia Karla de Sousa Araújo",$B:$B,"&lt;&gt;Lorena Dias de Araujo",$B:$B,"&lt;&gt;Lucas Luiz Romero")*(28/1083),IF(C3022="Técnico I",SUMIFS($D:$D,$A:$A,$A3022,$B:$B,"&lt;&gt;Patrícia Karla de Sousa Araújo",$B:$B,"&lt;&gt;Lorena Dias de Araujo",$B:$B,"&lt;&gt;Lucas Luiz Romero")*(23/1083),IF(C3022="JR",SUMIFS($D:$D,$A:$A,$A3022,$B:$B,"&lt;&gt;Patrícia Karla de Sousa Araújo",$B:$B,"&lt;&gt;Lorena Dias de Araujo",$B:$B,"&lt;&gt;Lucas Luiz Romero")*(20/1083),IF(C3022="Estágio",SUMIFS($D:$D,$A:$A,$A3022,$B:$B,"&lt;&gt;Patrícia Karla de Sousa Araújo",$B:$B,"&lt;&gt;Lorena Dias de Araujo",$B:$B,"&lt;&gt;Lucas Luiz Romero")*(10/1083),0)))))),0)</f>
        <v>6</v>
      </c>
      <c r="K3022" s="3">
        <f>I3022-J3022</f>
        <v>1</v>
      </c>
      <c r="L3022" s="3" t="str">
        <f>IF(K3022&lt;-5,"CRÍTICO",IF(K3022&lt;0,"ATENÇÃO",IF(K3022&lt;=5,"OPORTUNO","MUITO BOM")))</f>
        <v>OPORTUNO</v>
      </c>
      <c r="M3022">
        <v>6</v>
      </c>
      <c r="N3022">
        <v>100</v>
      </c>
      <c r="O3022">
        <v>25.268817204301079</v>
      </c>
    </row>
    <row r="3023" spans="1:15" hidden="1" x14ac:dyDescent="0.25">
      <c r="A3023" s="11">
        <v>46097</v>
      </c>
      <c r="B3023" t="s">
        <v>49</v>
      </c>
      <c r="C3023" t="s">
        <v>48</v>
      </c>
      <c r="D3023">
        <v>21</v>
      </c>
      <c r="E3023">
        <v>18</v>
      </c>
      <c r="F3023">
        <v>22.09</v>
      </c>
      <c r="G3023">
        <v>0</v>
      </c>
      <c r="H3023">
        <v>0</v>
      </c>
      <c r="I3023" s="3">
        <f>E3023+G3023+H3023</f>
        <v>18</v>
      </c>
      <c r="J3023" s="3">
        <f>ROUND(MIN(IF(C3023="Técnico III",35,IF(C3023="Técnico II",28,IF(C3023="Técnico I",23,IF(C3023="JR",20,IF(C3023="Estágio",10,0))))),IF(C3023="Técnico III",SUMIFS($D:$D,$A:$A,$A3023,$B:$B,"&lt;&gt;Patrícia Karla de Sousa Araújo",$B:$B,"&lt;&gt;Lorena Dias de Araujo",$B:$B,"&lt;&gt;Lucas Luiz Romero")*(35/1083),IF(C3023="Técnico II",SUMIFS($D:$D,$A:$A,$A3023,$B:$B,"&lt;&gt;Patrícia Karla de Sousa Araújo",$B:$B,"&lt;&gt;Lorena Dias de Araujo",$B:$B,"&lt;&gt;Lucas Luiz Romero")*(28/1083),IF(C3023="Técnico I",SUMIFS($D:$D,$A:$A,$A3023,$B:$B,"&lt;&gt;Patrícia Karla de Sousa Araújo",$B:$B,"&lt;&gt;Lorena Dias de Araujo",$B:$B,"&lt;&gt;Lucas Luiz Romero")*(23/1083),IF(C3023="JR",SUMIFS($D:$D,$A:$A,$A3023,$B:$B,"&lt;&gt;Patrícia Karla de Sousa Araújo",$B:$B,"&lt;&gt;Lorena Dias de Araujo",$B:$B,"&lt;&gt;Lucas Luiz Romero")*(20/1083),IF(C3023="Estágio",SUMIFS($D:$D,$A:$A,$A3023,$B:$B,"&lt;&gt;Patrícia Karla de Sousa Araújo",$B:$B,"&lt;&gt;Lorena Dias de Araujo",$B:$B,"&lt;&gt;Lucas Luiz Romero")*(10/1083),0)))))),0)</f>
        <v>18</v>
      </c>
      <c r="K3023" s="3">
        <f>I3023-J3023</f>
        <v>0</v>
      </c>
      <c r="L3023" s="3" t="str">
        <f>IF(K3023&lt;-5,"CRÍTICO",IF(K3023&lt;0,"ATENÇÃO",IF(K3023&lt;=5,"OPORTUNO","MUITO BOM")))</f>
        <v>OPORTUNO</v>
      </c>
      <c r="M3023">
        <v>20</v>
      </c>
      <c r="N3023">
        <v>99.32</v>
      </c>
      <c r="O3023">
        <v>22.822822822822818</v>
      </c>
    </row>
    <row r="3024" spans="1:15" hidden="1" x14ac:dyDescent="0.25">
      <c r="A3024" s="11">
        <v>46097</v>
      </c>
      <c r="B3024" t="s">
        <v>50</v>
      </c>
      <c r="C3024" t="s">
        <v>48</v>
      </c>
      <c r="D3024">
        <v>19</v>
      </c>
      <c r="E3024">
        <v>19</v>
      </c>
      <c r="F3024">
        <v>30.51</v>
      </c>
      <c r="G3024">
        <v>0</v>
      </c>
      <c r="H3024">
        <v>0</v>
      </c>
      <c r="I3024" s="3">
        <f>E3024+G3024+H3024</f>
        <v>19</v>
      </c>
      <c r="J3024" s="3">
        <f>ROUND(MIN(IF(C3024="Técnico III",35,IF(C3024="Técnico II",28,IF(C3024="Técnico I",23,IF(C3024="JR",20,IF(C3024="Estágio",10,0))))),IF(C3024="Técnico III",SUMIFS($D:$D,$A:$A,$A3024,$B:$B,"&lt;&gt;Patrícia Karla de Sousa Araújo",$B:$B,"&lt;&gt;Lorena Dias de Araujo",$B:$B,"&lt;&gt;Lucas Luiz Romero")*(35/1083),IF(C3024="Técnico II",SUMIFS($D:$D,$A:$A,$A3024,$B:$B,"&lt;&gt;Patrícia Karla de Sousa Araújo",$B:$B,"&lt;&gt;Lorena Dias de Araujo",$B:$B,"&lt;&gt;Lucas Luiz Romero")*(28/1083),IF(C3024="Técnico I",SUMIFS($D:$D,$A:$A,$A3024,$B:$B,"&lt;&gt;Patrícia Karla de Sousa Araújo",$B:$B,"&lt;&gt;Lorena Dias de Araujo",$B:$B,"&lt;&gt;Lucas Luiz Romero")*(23/1083),IF(C3024="JR",SUMIFS($D:$D,$A:$A,$A3024,$B:$B,"&lt;&gt;Patrícia Karla de Sousa Araújo",$B:$B,"&lt;&gt;Lorena Dias de Araujo",$B:$B,"&lt;&gt;Lucas Luiz Romero")*(20/1083),IF(C3024="Estágio",SUMIFS($D:$D,$A:$A,$A3024,$B:$B,"&lt;&gt;Patrícia Karla de Sousa Araújo",$B:$B,"&lt;&gt;Lorena Dias de Araujo",$B:$B,"&lt;&gt;Lucas Luiz Romero")*(10/1083),0)))))),0)</f>
        <v>18</v>
      </c>
      <c r="K3024" s="3">
        <f>I3024-J3024</f>
        <v>1</v>
      </c>
      <c r="L3024" s="3" t="str">
        <f>IF(K3024&lt;-5,"CRÍTICO",IF(K3024&lt;0,"ATENÇÃO",IF(K3024&lt;=5,"OPORTUNO","MUITO BOM")))</f>
        <v>OPORTUNO</v>
      </c>
      <c r="M3024">
        <v>23</v>
      </c>
      <c r="N3024">
        <v>100</v>
      </c>
      <c r="O3024">
        <v>27.966101694915249</v>
      </c>
    </row>
    <row r="3025" spans="1:15" hidden="1" x14ac:dyDescent="0.25">
      <c r="A3025" s="11">
        <v>46097</v>
      </c>
      <c r="B3025" t="s">
        <v>17</v>
      </c>
      <c r="C3025" t="s">
        <v>16</v>
      </c>
      <c r="D3025">
        <v>0</v>
      </c>
      <c r="E3025">
        <v>0</v>
      </c>
      <c r="F3025">
        <v>0</v>
      </c>
      <c r="G3025">
        <v>0</v>
      </c>
      <c r="H3025">
        <v>0</v>
      </c>
      <c r="I3025" s="3">
        <v>0</v>
      </c>
      <c r="J3025" s="3">
        <v>0</v>
      </c>
      <c r="K3025" s="3">
        <v>0</v>
      </c>
      <c r="L3025" s="3" t="str">
        <f>IF(K3025&lt;-5,"CRÍTICO",IF(K3025&lt;0,"ATENÇÃO",IF(K3025&lt;=5,"OPORTUNO","MUITO BOM")))</f>
        <v>OPORTUNO</v>
      </c>
      <c r="M3025">
        <v>0</v>
      </c>
      <c r="N3025">
        <v>100</v>
      </c>
      <c r="O3025">
        <v>30.434782608695659</v>
      </c>
    </row>
    <row r="3026" spans="1:15" hidden="1" x14ac:dyDescent="0.25">
      <c r="A3026" s="11">
        <v>46097</v>
      </c>
      <c r="B3026" t="s">
        <v>60</v>
      </c>
      <c r="C3026" t="s">
        <v>23</v>
      </c>
      <c r="D3026">
        <v>22</v>
      </c>
      <c r="E3026">
        <v>19</v>
      </c>
      <c r="F3026">
        <v>22.23</v>
      </c>
      <c r="G3026">
        <v>0</v>
      </c>
      <c r="H3026">
        <v>0</v>
      </c>
      <c r="I3026" s="3">
        <f>E3026+G3026+H3026</f>
        <v>19</v>
      </c>
      <c r="J3026" s="3">
        <f>ROUND(MIN(IF(C3026="Técnico III",35,IF(C3026="Técnico II",28,IF(C3026="Técnico I",23,IF(C3026="JR",20,IF(C3026="Estágio",10,0))))),IF(C3026="Técnico III",SUMIFS($D:$D,$A:$A,$A3026,$B:$B,"&lt;&gt;Patrícia Karla de Sousa Araújo",$B:$B,"&lt;&gt;Lorena Dias de Araujo",$B:$B,"&lt;&gt;Lucas Luiz Romero")*(35/1083),IF(C3026="Técnico II",SUMIFS($D:$D,$A:$A,$A3026,$B:$B,"&lt;&gt;Patrícia Karla de Sousa Araújo",$B:$B,"&lt;&gt;Lorena Dias de Araujo",$B:$B,"&lt;&gt;Lucas Luiz Romero")*(28/1083),IF(C3026="Técnico I",SUMIFS($D:$D,$A:$A,$A3026,$B:$B,"&lt;&gt;Patrícia Karla de Sousa Araújo",$B:$B,"&lt;&gt;Lorena Dias de Araujo",$B:$B,"&lt;&gt;Lucas Luiz Romero")*(23/1083),IF(C3026="JR",SUMIFS($D:$D,$A:$A,$A3026,$B:$B,"&lt;&gt;Patrícia Karla de Sousa Araújo",$B:$B,"&lt;&gt;Lorena Dias de Araujo",$B:$B,"&lt;&gt;Lucas Luiz Romero")*(20/1083),IF(C3026="Estágio",SUMIFS($D:$D,$A:$A,$A3026,$B:$B,"&lt;&gt;Patrícia Karla de Sousa Araújo",$B:$B,"&lt;&gt;Lorena Dias de Araujo",$B:$B,"&lt;&gt;Lucas Luiz Romero")*(10/1083),0)))))),0)</f>
        <v>15</v>
      </c>
      <c r="K3026" s="3">
        <f>I3026-J3026</f>
        <v>4</v>
      </c>
      <c r="L3026" s="3" t="str">
        <f>IF(K3026&lt;-5,"CRÍTICO",IF(K3026&lt;0,"ATENÇÃO",IF(K3026&lt;=5,"OPORTUNO","MUITO BOM")))</f>
        <v>OPORTUNO</v>
      </c>
      <c r="M3026">
        <v>20</v>
      </c>
      <c r="N3026">
        <v>96.51</v>
      </c>
      <c r="O3026">
        <v>22.802850356294542</v>
      </c>
    </row>
    <row r="3027" spans="1:15" hidden="1" x14ac:dyDescent="0.25">
      <c r="A3027" s="11">
        <v>46097</v>
      </c>
      <c r="B3027" t="s">
        <v>34</v>
      </c>
      <c r="C3027" t="s">
        <v>32</v>
      </c>
      <c r="D3027">
        <v>31</v>
      </c>
      <c r="E3027">
        <v>27</v>
      </c>
      <c r="F3027">
        <v>13.56</v>
      </c>
      <c r="G3027">
        <v>0</v>
      </c>
      <c r="H3027">
        <v>0</v>
      </c>
      <c r="I3027" s="3">
        <f>E3027+G3027+H3027</f>
        <v>27</v>
      </c>
      <c r="J3027" s="3">
        <f>ROUND(MIN(IF(C3027="Técnico III",35,IF(C3027="Técnico II",28,IF(C3027="Técnico I",23,IF(C3027="JR",20,IF(C3027="Estágio",10,0))))),IF(C3027="Técnico III",SUMIFS($D:$D,$A:$A,$A3027,$B:$B,"&lt;&gt;Patrícia Karla de Sousa Araújo",$B:$B,"&lt;&gt;Lorena Dias de Araujo",$B:$B,"&lt;&gt;Lucas Luiz Romero")*(35/1083),IF(C3027="Técnico II",SUMIFS($D:$D,$A:$A,$A3027,$B:$B,"&lt;&gt;Patrícia Karla de Sousa Araújo",$B:$B,"&lt;&gt;Lorena Dias de Araujo",$B:$B,"&lt;&gt;Lucas Luiz Romero")*(28/1083),IF(C3027="Técnico I",SUMIFS($D:$D,$A:$A,$A3027,$B:$B,"&lt;&gt;Patrícia Karla de Sousa Araújo",$B:$B,"&lt;&gt;Lorena Dias de Araujo",$B:$B,"&lt;&gt;Lucas Luiz Romero")*(23/1083),IF(C3027="JR",SUMIFS($D:$D,$A:$A,$A3027,$B:$B,"&lt;&gt;Patrícia Karla de Sousa Araújo",$B:$B,"&lt;&gt;Lorena Dias de Araujo",$B:$B,"&lt;&gt;Lucas Luiz Romero")*(20/1083),IF(C3027="Estágio",SUMIFS($D:$D,$A:$A,$A3027,$B:$B,"&lt;&gt;Patrícia Karla de Sousa Araújo",$B:$B,"&lt;&gt;Lorena Dias de Araujo",$B:$B,"&lt;&gt;Lucas Luiz Romero")*(10/1083),0)))))),0)</f>
        <v>23</v>
      </c>
      <c r="K3027" s="3">
        <f>I3027-J3027</f>
        <v>4</v>
      </c>
      <c r="L3027" s="3" t="str">
        <f>IF(K3027&lt;-5,"CRÍTICO",IF(K3027&lt;0,"ATENÇÃO",IF(K3027&lt;=5,"OPORTUNO","MUITO BOM")))</f>
        <v>OPORTUNO</v>
      </c>
      <c r="M3027">
        <v>23</v>
      </c>
      <c r="N3027">
        <v>92.68</v>
      </c>
      <c r="O3027">
        <v>27.777777777777779</v>
      </c>
    </row>
    <row r="3028" spans="1:15" hidden="1" x14ac:dyDescent="0.25">
      <c r="A3028" s="11">
        <v>46097</v>
      </c>
      <c r="B3028" t="s">
        <v>51</v>
      </c>
      <c r="C3028" t="s">
        <v>48</v>
      </c>
      <c r="D3028">
        <v>24</v>
      </c>
      <c r="E3028">
        <v>24</v>
      </c>
      <c r="F3028">
        <v>21.47</v>
      </c>
      <c r="G3028">
        <v>0</v>
      </c>
      <c r="H3028">
        <v>0</v>
      </c>
      <c r="I3028" s="3">
        <v>0</v>
      </c>
      <c r="J3028" s="3">
        <v>0</v>
      </c>
      <c r="K3028" s="3">
        <v>0</v>
      </c>
      <c r="L3028" s="3" t="str">
        <f>IF(K3028&lt;-5,"CRÍTICO",IF(K3028&lt;0,"ATENÇÃO",IF(K3028&lt;=5,"OPORTUNO","MUITO BOM")))</f>
        <v>OPORTUNO</v>
      </c>
      <c r="M3028">
        <v>23</v>
      </c>
      <c r="N3028">
        <v>99.03</v>
      </c>
      <c r="O3028">
        <v>23.991507430997881</v>
      </c>
    </row>
    <row r="3029" spans="1:15" hidden="1" x14ac:dyDescent="0.25">
      <c r="A3029" s="11">
        <v>46097</v>
      </c>
      <c r="B3029" t="s">
        <v>61</v>
      </c>
      <c r="C3029" t="s">
        <v>23</v>
      </c>
      <c r="D3029">
        <v>21</v>
      </c>
      <c r="E3029">
        <v>19</v>
      </c>
      <c r="F3029">
        <v>33.49</v>
      </c>
      <c r="G3029">
        <v>0</v>
      </c>
      <c r="H3029">
        <v>0</v>
      </c>
      <c r="I3029" s="3">
        <f>E3029+G3029+H3029</f>
        <v>19</v>
      </c>
      <c r="J3029" s="3">
        <f>ROUND(MIN(IF(C3029="Técnico III",35,IF(C3029="Técnico II",28,IF(C3029="Técnico I",23,IF(C3029="JR",20,IF(C3029="Estágio",10,0))))),IF(C3029="Técnico III",SUMIFS($D:$D,$A:$A,$A3029,$B:$B,"&lt;&gt;Patrícia Karla de Sousa Araújo",$B:$B,"&lt;&gt;Lorena Dias de Araujo",$B:$B,"&lt;&gt;Lucas Luiz Romero")*(35/1083),IF(C3029="Técnico II",SUMIFS($D:$D,$A:$A,$A3029,$B:$B,"&lt;&gt;Patrícia Karla de Sousa Araújo",$B:$B,"&lt;&gt;Lorena Dias de Araujo",$B:$B,"&lt;&gt;Lucas Luiz Romero")*(28/1083),IF(C3029="Técnico I",SUMIFS($D:$D,$A:$A,$A3029,$B:$B,"&lt;&gt;Patrícia Karla de Sousa Araújo",$B:$B,"&lt;&gt;Lorena Dias de Araujo",$B:$B,"&lt;&gt;Lucas Luiz Romero")*(23/1083),IF(C3029="JR",SUMIFS($D:$D,$A:$A,$A3029,$B:$B,"&lt;&gt;Patrícia Karla de Sousa Araújo",$B:$B,"&lt;&gt;Lorena Dias de Araujo",$B:$B,"&lt;&gt;Lucas Luiz Romero")*(20/1083),IF(C3029="Estágio",SUMIFS($D:$D,$A:$A,$A3029,$B:$B,"&lt;&gt;Patrícia Karla de Sousa Araújo",$B:$B,"&lt;&gt;Lorena Dias de Araujo",$B:$B,"&lt;&gt;Lucas Luiz Romero")*(10/1083),0)))))),0)</f>
        <v>15</v>
      </c>
      <c r="K3029" s="3">
        <f>I3029-J3029</f>
        <v>4</v>
      </c>
      <c r="L3029" s="3" t="str">
        <f>IF(K3029&lt;-5,"CRÍTICO",IF(K3029&lt;0,"ATENÇÃO",IF(K3029&lt;=5,"OPORTUNO","MUITO BOM")))</f>
        <v>OPORTUNO</v>
      </c>
      <c r="M3029">
        <v>12</v>
      </c>
      <c r="N3029">
        <v>98.41</v>
      </c>
      <c r="O3029">
        <v>28.138528138528141</v>
      </c>
    </row>
    <row r="3030" spans="1:15" hidden="1" x14ac:dyDescent="0.25">
      <c r="A3030" s="11">
        <v>46097</v>
      </c>
      <c r="B3030" t="s">
        <v>35</v>
      </c>
      <c r="C3030" t="s">
        <v>32</v>
      </c>
      <c r="D3030">
        <v>17</v>
      </c>
      <c r="E3030">
        <v>17</v>
      </c>
      <c r="F3030">
        <v>40.31</v>
      </c>
      <c r="G3030">
        <v>0</v>
      </c>
      <c r="H3030">
        <v>0</v>
      </c>
      <c r="I3030" s="3">
        <v>0</v>
      </c>
      <c r="J3030" s="3">
        <v>0</v>
      </c>
      <c r="K3030" s="3">
        <v>0</v>
      </c>
      <c r="L3030" s="3" t="str">
        <f>IF(K3030&lt;-5,"CRÍTICO",IF(K3030&lt;0,"ATENÇÃO",IF(K3030&lt;=5,"OPORTUNO","MUITO BOM")))</f>
        <v>OPORTUNO</v>
      </c>
      <c r="M3030">
        <v>17</v>
      </c>
      <c r="N3030">
        <v>98.73</v>
      </c>
      <c r="O3030">
        <v>29.142857142857139</v>
      </c>
    </row>
    <row r="3031" spans="1:15" hidden="1" x14ac:dyDescent="0.25">
      <c r="A3031" s="11">
        <v>46097</v>
      </c>
      <c r="B3031" t="s">
        <v>18</v>
      </c>
      <c r="C3031" t="s">
        <v>16</v>
      </c>
      <c r="D3031">
        <v>0</v>
      </c>
      <c r="E3031">
        <v>0</v>
      </c>
      <c r="F3031">
        <v>0</v>
      </c>
      <c r="G3031">
        <v>0</v>
      </c>
      <c r="H3031">
        <v>0</v>
      </c>
      <c r="I3031" s="3">
        <v>0</v>
      </c>
      <c r="J3031" s="3">
        <v>0</v>
      </c>
      <c r="K3031" s="3">
        <v>0</v>
      </c>
      <c r="L3031" s="3" t="str">
        <f>IF(K3031&lt;-5,"CRÍTICO",IF(K3031&lt;0,"ATENÇÃO",IF(K3031&lt;=5,"OPORTUNO","MUITO BOM")))</f>
        <v>OPORTUNO</v>
      </c>
      <c r="M3031">
        <v>0</v>
      </c>
      <c r="N3031">
        <v>90.48</v>
      </c>
      <c r="O3031">
        <v>20.68965517241379</v>
      </c>
    </row>
    <row r="3032" spans="1:15" hidden="1" x14ac:dyDescent="0.25">
      <c r="A3032" s="11">
        <v>46097</v>
      </c>
      <c r="B3032" t="s">
        <v>52</v>
      </c>
      <c r="C3032" t="s">
        <v>48</v>
      </c>
      <c r="D3032">
        <v>27</v>
      </c>
      <c r="E3032">
        <v>24</v>
      </c>
      <c r="F3032">
        <v>23.54</v>
      </c>
      <c r="G3032">
        <v>0</v>
      </c>
      <c r="H3032">
        <v>0</v>
      </c>
      <c r="I3032" s="3">
        <f>E3032+G3032+H3032</f>
        <v>24</v>
      </c>
      <c r="J3032" s="3">
        <f>ROUND(MIN(IF(C3032="Técnico III",35,IF(C3032="Técnico II",28,IF(C3032="Técnico I",23,IF(C3032="JR",20,IF(C3032="Estágio",10,0))))),IF(C3032="Técnico III",SUMIFS($D:$D,$A:$A,$A3032,$B:$B,"&lt;&gt;Patrícia Karla de Sousa Araújo",$B:$B,"&lt;&gt;Lorena Dias de Araujo",$B:$B,"&lt;&gt;Lucas Luiz Romero")*(35/1083),IF(C3032="Técnico II",SUMIFS($D:$D,$A:$A,$A3032,$B:$B,"&lt;&gt;Patrícia Karla de Sousa Araújo",$B:$B,"&lt;&gt;Lorena Dias de Araujo",$B:$B,"&lt;&gt;Lucas Luiz Romero")*(28/1083),IF(C3032="Técnico I",SUMIFS($D:$D,$A:$A,$A3032,$B:$B,"&lt;&gt;Patrícia Karla de Sousa Araújo",$B:$B,"&lt;&gt;Lorena Dias de Araujo",$B:$B,"&lt;&gt;Lucas Luiz Romero")*(23/1083),IF(C3032="JR",SUMIFS($D:$D,$A:$A,$A3032,$B:$B,"&lt;&gt;Patrícia Karla de Sousa Araújo",$B:$B,"&lt;&gt;Lorena Dias de Araujo",$B:$B,"&lt;&gt;Lucas Luiz Romero")*(20/1083),IF(C3032="Estágio",SUMIFS($D:$D,$A:$A,$A3032,$B:$B,"&lt;&gt;Patrícia Karla de Sousa Araújo",$B:$B,"&lt;&gt;Lorena Dias de Araujo",$B:$B,"&lt;&gt;Lucas Luiz Romero")*(10/1083),0)))))),0)</f>
        <v>18</v>
      </c>
      <c r="K3032" s="3">
        <f>I3032-J3032</f>
        <v>6</v>
      </c>
      <c r="L3032" s="3" t="str">
        <f>IF(K3032&lt;-5,"CRÍTICO",IF(K3032&lt;0,"ATENÇÃO",IF(K3032&lt;=5,"OPORTUNO","MUITO BOM")))</f>
        <v>MUITO BOM</v>
      </c>
      <c r="M3032">
        <v>22</v>
      </c>
      <c r="N3032">
        <v>98.06</v>
      </c>
      <c r="O3032">
        <v>24.789915966386559</v>
      </c>
    </row>
    <row r="3033" spans="1:15" hidden="1" x14ac:dyDescent="0.25">
      <c r="A3033" s="11">
        <v>46097</v>
      </c>
      <c r="B3033" t="s">
        <v>36</v>
      </c>
      <c r="C3033" t="s">
        <v>32</v>
      </c>
      <c r="D3033">
        <v>26</v>
      </c>
      <c r="E3033">
        <v>24</v>
      </c>
      <c r="F3033">
        <v>18.45</v>
      </c>
      <c r="G3033">
        <v>0</v>
      </c>
      <c r="H3033">
        <v>0</v>
      </c>
      <c r="I3033" s="3">
        <f>E3033+G3033+H3033</f>
        <v>24</v>
      </c>
      <c r="J3033" s="3">
        <f>ROUND(MIN(IF(C3033="Técnico III",35,IF(C3033="Técnico II",28,IF(C3033="Técnico I",23,IF(C3033="JR",20,IF(C3033="Estágio",10,0))))),IF(C3033="Técnico III",SUMIFS($D:$D,$A:$A,$A3033,$B:$B,"&lt;&gt;Patrícia Karla de Sousa Araújo",$B:$B,"&lt;&gt;Lorena Dias de Araujo",$B:$B,"&lt;&gt;Lucas Luiz Romero")*(35/1083),IF(C3033="Técnico II",SUMIFS($D:$D,$A:$A,$A3033,$B:$B,"&lt;&gt;Patrícia Karla de Sousa Araújo",$B:$B,"&lt;&gt;Lorena Dias de Araujo",$B:$B,"&lt;&gt;Lucas Luiz Romero")*(28/1083),IF(C3033="Técnico I",SUMIFS($D:$D,$A:$A,$A3033,$B:$B,"&lt;&gt;Patrícia Karla de Sousa Araújo",$B:$B,"&lt;&gt;Lorena Dias de Araujo",$B:$B,"&lt;&gt;Lucas Luiz Romero")*(23/1083),IF(C3033="JR",SUMIFS($D:$D,$A:$A,$A3033,$B:$B,"&lt;&gt;Patrícia Karla de Sousa Araújo",$B:$B,"&lt;&gt;Lorena Dias de Araujo",$B:$B,"&lt;&gt;Lucas Luiz Romero")*(20/1083),IF(C3033="Estágio",SUMIFS($D:$D,$A:$A,$A3033,$B:$B,"&lt;&gt;Patrícia Karla de Sousa Araújo",$B:$B,"&lt;&gt;Lorena Dias de Araujo",$B:$B,"&lt;&gt;Lucas Luiz Romero")*(10/1083),0)))))),0)</f>
        <v>23</v>
      </c>
      <c r="K3033" s="3">
        <f>I3033-J3033</f>
        <v>1</v>
      </c>
      <c r="L3033" s="3" t="str">
        <f>IF(K3033&lt;-5,"CRÍTICO",IF(K3033&lt;0,"ATENÇÃO",IF(K3033&lt;=5,"OPORTUNO","MUITO BOM")))</f>
        <v>OPORTUNO</v>
      </c>
      <c r="M3033">
        <v>25</v>
      </c>
      <c r="N3033">
        <v>97.78</v>
      </c>
      <c r="O3033">
        <v>25.494071146245059</v>
      </c>
    </row>
    <row r="3034" spans="1:15" hidden="1" x14ac:dyDescent="0.25">
      <c r="A3034" s="11">
        <v>46097</v>
      </c>
      <c r="B3034" t="s">
        <v>53</v>
      </c>
      <c r="C3034" t="s">
        <v>48</v>
      </c>
      <c r="D3034">
        <v>11</v>
      </c>
      <c r="E3034">
        <v>11</v>
      </c>
      <c r="F3034">
        <v>41.49</v>
      </c>
      <c r="G3034">
        <v>0</v>
      </c>
      <c r="H3034">
        <v>0</v>
      </c>
      <c r="I3034" s="3">
        <f>E3034+G3034+H3034</f>
        <v>11</v>
      </c>
      <c r="J3034" s="3">
        <f>ROUND(MIN(IF(C3034="Técnico III",35,IF(C3034="Técnico II",28,IF(C3034="Técnico I",23,IF(C3034="JR",20,IF(C3034="Estágio",10,0))))),IF(C3034="Técnico III",SUMIFS($D:$D,$A:$A,$A3034,$B:$B,"&lt;&gt;Patrícia Karla de Sousa Araújo",$B:$B,"&lt;&gt;Lorena Dias de Araujo",$B:$B,"&lt;&gt;Lucas Luiz Romero")*(35/1083),IF(C3034="Técnico II",SUMIFS($D:$D,$A:$A,$A3034,$B:$B,"&lt;&gt;Patrícia Karla de Sousa Araújo",$B:$B,"&lt;&gt;Lorena Dias de Araujo",$B:$B,"&lt;&gt;Lucas Luiz Romero")*(28/1083),IF(C3034="Técnico I",SUMIFS($D:$D,$A:$A,$A3034,$B:$B,"&lt;&gt;Patrícia Karla de Sousa Araújo",$B:$B,"&lt;&gt;Lorena Dias de Araujo",$B:$B,"&lt;&gt;Lucas Luiz Romero")*(23/1083),IF(C3034="JR",SUMIFS($D:$D,$A:$A,$A3034,$B:$B,"&lt;&gt;Patrícia Karla de Sousa Araújo",$B:$B,"&lt;&gt;Lorena Dias de Araujo",$B:$B,"&lt;&gt;Lucas Luiz Romero")*(20/1083),IF(C3034="Estágio",SUMIFS($D:$D,$A:$A,$A3034,$B:$B,"&lt;&gt;Patrícia Karla de Sousa Araújo",$B:$B,"&lt;&gt;Lorena Dias de Araujo",$B:$B,"&lt;&gt;Lucas Luiz Romero")*(10/1083),0)))))),0)</f>
        <v>18</v>
      </c>
      <c r="K3034" s="3">
        <f>I3034-J3034</f>
        <v>-7</v>
      </c>
      <c r="L3034" s="3" t="str">
        <f>IF(K3034&lt;-5,"CRÍTICO",IF(K3034&lt;0,"ATENÇÃO",IF(K3034&lt;=5,"OPORTUNO","MUITO BOM")))</f>
        <v>CRÍTICO</v>
      </c>
      <c r="M3034">
        <v>11</v>
      </c>
      <c r="N3034">
        <v>98.02</v>
      </c>
      <c r="O3034">
        <v>23.484848484848481</v>
      </c>
    </row>
    <row r="3035" spans="1:15" hidden="1" x14ac:dyDescent="0.25">
      <c r="A3035" s="11">
        <v>46129</v>
      </c>
      <c r="B3035" t="s">
        <v>22</v>
      </c>
      <c r="C3035" t="s">
        <v>23</v>
      </c>
      <c r="D3035">
        <v>24</v>
      </c>
      <c r="E3035">
        <v>21</v>
      </c>
      <c r="F3035">
        <v>17.010000000000002</v>
      </c>
      <c r="G3035">
        <v>0</v>
      </c>
      <c r="H3035">
        <v>0</v>
      </c>
      <c r="I3035" s="3">
        <f>E3035+G3035+H3035</f>
        <v>21</v>
      </c>
      <c r="J3035" s="3">
        <f>ROUND(MIN(IF(C3035="Técnico III",35,IF(C3035="Técnico II",28,IF(C3035="Técnico I",23,IF(C3035="JR",20,IF(C3035="Estágio",10,0))))),IF(C3035="Técnico III",SUMIFS($D:$D,$A:$A,$A3035,$B:$B,"&lt;&gt;Patrícia Karla de Sousa Araújo",$B:$B,"&lt;&gt;Lorena Dias de Araujo",$B:$B,"&lt;&gt;Lucas Luiz Romero")*(35/1083),IF(C3035="Técnico II",SUMIFS($D:$D,$A:$A,$A3035,$B:$B,"&lt;&gt;Patrícia Karla de Sousa Araújo",$B:$B,"&lt;&gt;Lorena Dias de Araujo",$B:$B,"&lt;&gt;Lucas Luiz Romero")*(28/1083),IF(C3035="Técnico I",SUMIFS($D:$D,$A:$A,$A3035,$B:$B,"&lt;&gt;Patrícia Karla de Sousa Araújo",$B:$B,"&lt;&gt;Lorena Dias de Araujo",$B:$B,"&lt;&gt;Lucas Luiz Romero")*(23/1083),IF(C3035="JR",SUMIFS($D:$D,$A:$A,$A3035,$B:$B,"&lt;&gt;Patrícia Karla de Sousa Araújo",$B:$B,"&lt;&gt;Lorena Dias de Araujo",$B:$B,"&lt;&gt;Lucas Luiz Romero")*(20/1083),IF(C3035="Estágio",SUMIFS($D:$D,$A:$A,$A3035,$B:$B,"&lt;&gt;Patrícia Karla de Sousa Araújo",$B:$B,"&lt;&gt;Lorena Dias de Araujo",$B:$B,"&lt;&gt;Lucas Luiz Romero")*(10/1083),0)))))),0)</f>
        <v>18</v>
      </c>
      <c r="K3035" s="3">
        <f>I3035-J3035</f>
        <v>3</v>
      </c>
      <c r="L3035" s="3" t="str">
        <f>IF(K3035&lt;-5,"CRÍTICO",IF(K3035&lt;0,"ATENÇÃO",IF(K3035&lt;=5,"OPORTUNO","MUITO BOM")))</f>
        <v>OPORTUNO</v>
      </c>
      <c r="M3035">
        <v>23</v>
      </c>
      <c r="N3035">
        <v>99.28</v>
      </c>
      <c r="O3035">
        <v>27.689243027888441</v>
      </c>
    </row>
    <row r="3036" spans="1:15" hidden="1" x14ac:dyDescent="0.25">
      <c r="A3036" s="11">
        <v>46097</v>
      </c>
      <c r="B3036" t="s">
        <v>54</v>
      </c>
      <c r="C3036" t="s">
        <v>48</v>
      </c>
      <c r="D3036">
        <v>23</v>
      </c>
      <c r="E3036">
        <v>22</v>
      </c>
      <c r="F3036">
        <v>22.16</v>
      </c>
      <c r="G3036">
        <v>0</v>
      </c>
      <c r="H3036">
        <v>0</v>
      </c>
      <c r="I3036" s="3">
        <f>E3036+G3036+H3036</f>
        <v>22</v>
      </c>
      <c r="J3036" s="3">
        <f>ROUND(MIN(IF(C3036="Técnico III",35,IF(C3036="Técnico II",28,IF(C3036="Técnico I",23,IF(C3036="JR",20,IF(C3036="Estágio",10,0))))),IF(C3036="Técnico III",SUMIFS($D:$D,$A:$A,$A3036,$B:$B,"&lt;&gt;Patrícia Karla de Sousa Araújo",$B:$B,"&lt;&gt;Lorena Dias de Araujo",$B:$B,"&lt;&gt;Lucas Luiz Romero")*(35/1083),IF(C3036="Técnico II",SUMIFS($D:$D,$A:$A,$A3036,$B:$B,"&lt;&gt;Patrícia Karla de Sousa Araújo",$B:$B,"&lt;&gt;Lorena Dias de Araujo",$B:$B,"&lt;&gt;Lucas Luiz Romero")*(28/1083),IF(C3036="Técnico I",SUMIFS($D:$D,$A:$A,$A3036,$B:$B,"&lt;&gt;Patrícia Karla de Sousa Araújo",$B:$B,"&lt;&gt;Lorena Dias de Araujo",$B:$B,"&lt;&gt;Lucas Luiz Romero")*(23/1083),IF(C3036="JR",SUMIFS($D:$D,$A:$A,$A3036,$B:$B,"&lt;&gt;Patrícia Karla de Sousa Araújo",$B:$B,"&lt;&gt;Lorena Dias de Araujo",$B:$B,"&lt;&gt;Lucas Luiz Romero")*(20/1083),IF(C3036="Estágio",SUMIFS($D:$D,$A:$A,$A3036,$B:$B,"&lt;&gt;Patrícia Karla de Sousa Araújo",$B:$B,"&lt;&gt;Lorena Dias de Araujo",$B:$B,"&lt;&gt;Lucas Luiz Romero")*(10/1083),0)))))),0)</f>
        <v>18</v>
      </c>
      <c r="K3036" s="3">
        <f>I3036-J3036</f>
        <v>4</v>
      </c>
      <c r="L3036" s="3" t="str">
        <f>IF(K3036&lt;-5,"CRÍTICO",IF(K3036&lt;0,"ATENÇÃO",IF(K3036&lt;=5,"OPORTUNO","MUITO BOM")))</f>
        <v>OPORTUNO</v>
      </c>
      <c r="M3036">
        <v>21</v>
      </c>
      <c r="N3036">
        <v>100</v>
      </c>
      <c r="O3036">
        <v>27.04918032786885</v>
      </c>
    </row>
    <row r="3037" spans="1:15" hidden="1" x14ac:dyDescent="0.25">
      <c r="A3037" s="11">
        <v>46097</v>
      </c>
      <c r="B3037" t="s">
        <v>37</v>
      </c>
      <c r="C3037" t="s">
        <v>32</v>
      </c>
      <c r="D3037">
        <v>50</v>
      </c>
      <c r="E3037">
        <v>44</v>
      </c>
      <c r="F3037">
        <v>11.41</v>
      </c>
      <c r="G3037">
        <v>0</v>
      </c>
      <c r="H3037">
        <v>0</v>
      </c>
      <c r="I3037" s="3">
        <f>E3037+G3037+H3037</f>
        <v>44</v>
      </c>
      <c r="J3037" s="3">
        <f>ROUND(MIN(IF(C3037="Técnico III",35,IF(C3037="Técnico II",28,IF(C3037="Técnico I",23,IF(C3037="JR",20,IF(C3037="Estágio",10,0))))),IF(C3037="Técnico III",SUMIFS($D:$D,$A:$A,$A3037,$B:$B,"&lt;&gt;Patrícia Karla de Sousa Araújo",$B:$B,"&lt;&gt;Lorena Dias de Araujo",$B:$B,"&lt;&gt;Lucas Luiz Romero")*(35/1083),IF(C3037="Técnico II",SUMIFS($D:$D,$A:$A,$A3037,$B:$B,"&lt;&gt;Patrícia Karla de Sousa Araújo",$B:$B,"&lt;&gt;Lorena Dias de Araujo",$B:$B,"&lt;&gt;Lucas Luiz Romero")*(28/1083),IF(C3037="Técnico I",SUMIFS($D:$D,$A:$A,$A3037,$B:$B,"&lt;&gt;Patrícia Karla de Sousa Araújo",$B:$B,"&lt;&gt;Lorena Dias de Araujo",$B:$B,"&lt;&gt;Lucas Luiz Romero")*(23/1083),IF(C3037="JR",SUMIFS($D:$D,$A:$A,$A3037,$B:$B,"&lt;&gt;Patrícia Karla de Sousa Araújo",$B:$B,"&lt;&gt;Lorena Dias de Araujo",$B:$B,"&lt;&gt;Lucas Luiz Romero")*(20/1083),IF(C3037="Estágio",SUMIFS($D:$D,$A:$A,$A3037,$B:$B,"&lt;&gt;Patrícia Karla de Sousa Araújo",$B:$B,"&lt;&gt;Lorena Dias de Araujo",$B:$B,"&lt;&gt;Lucas Luiz Romero")*(10/1083),0)))))),0)</f>
        <v>23</v>
      </c>
      <c r="K3037" s="3">
        <f>I3037-J3037</f>
        <v>21</v>
      </c>
      <c r="L3037" s="3" t="str">
        <f>IF(K3037&lt;-5,"CRÍTICO",IF(K3037&lt;0,"ATENÇÃO",IF(K3037&lt;=5,"OPORTUNO","MUITO BOM")))</f>
        <v>MUITO BOM</v>
      </c>
      <c r="M3037">
        <v>43</v>
      </c>
      <c r="N3037">
        <v>97.83</v>
      </c>
      <c r="O3037">
        <v>26.315789473684209</v>
      </c>
    </row>
    <row r="3038" spans="1:15" hidden="1" x14ac:dyDescent="0.25">
      <c r="A3038" s="11">
        <v>46097</v>
      </c>
      <c r="B3038" t="s">
        <v>38</v>
      </c>
      <c r="C3038" t="s">
        <v>32</v>
      </c>
      <c r="D3038">
        <v>19</v>
      </c>
      <c r="E3038">
        <v>19</v>
      </c>
      <c r="F3038">
        <v>12.17</v>
      </c>
      <c r="G3038">
        <v>0</v>
      </c>
      <c r="H3038">
        <v>0</v>
      </c>
      <c r="I3038" s="3">
        <f>E3038+G3038+H3038</f>
        <v>19</v>
      </c>
      <c r="J3038" s="3">
        <f>ROUND(MIN(IF(C3038="Técnico III",35,IF(C3038="Técnico II",28,IF(C3038="Técnico I",23,IF(C3038="JR",20,IF(C3038="Estágio",10,0))))),IF(C3038="Técnico III",SUMIFS($D:$D,$A:$A,$A3038,$B:$B,"&lt;&gt;Patrícia Karla de Sousa Araújo",$B:$B,"&lt;&gt;Lorena Dias de Araujo",$B:$B,"&lt;&gt;Lucas Luiz Romero")*(35/1083),IF(C3038="Técnico II",SUMIFS($D:$D,$A:$A,$A3038,$B:$B,"&lt;&gt;Patrícia Karla de Sousa Araújo",$B:$B,"&lt;&gt;Lorena Dias de Araujo",$B:$B,"&lt;&gt;Lucas Luiz Romero")*(28/1083),IF(C3038="Técnico I",SUMIFS($D:$D,$A:$A,$A3038,$B:$B,"&lt;&gt;Patrícia Karla de Sousa Araújo",$B:$B,"&lt;&gt;Lorena Dias de Araujo",$B:$B,"&lt;&gt;Lucas Luiz Romero")*(23/1083),IF(C3038="JR",SUMIFS($D:$D,$A:$A,$A3038,$B:$B,"&lt;&gt;Patrícia Karla de Sousa Araújo",$B:$B,"&lt;&gt;Lorena Dias de Araujo",$B:$B,"&lt;&gt;Lucas Luiz Romero")*(20/1083),IF(C3038="Estágio",SUMIFS($D:$D,$A:$A,$A3038,$B:$B,"&lt;&gt;Patrícia Karla de Sousa Araújo",$B:$B,"&lt;&gt;Lorena Dias de Araujo",$B:$B,"&lt;&gt;Lucas Luiz Romero")*(10/1083),0)))))),0)</f>
        <v>23</v>
      </c>
      <c r="K3038" s="3">
        <f>I3038-J3038</f>
        <v>-4</v>
      </c>
      <c r="L3038" s="3" t="str">
        <f>IF(K3038&lt;-5,"CRÍTICO",IF(K3038&lt;0,"ATENÇÃO",IF(K3038&lt;=5,"OPORTUNO","MUITO BOM")))</f>
        <v>ATENÇÃO</v>
      </c>
      <c r="M3038">
        <v>16</v>
      </c>
      <c r="N3038">
        <v>100</v>
      </c>
      <c r="O3038">
        <v>26.701570680628269</v>
      </c>
    </row>
    <row r="3039" spans="1:15" hidden="1" x14ac:dyDescent="0.25">
      <c r="A3039" s="11">
        <v>46097</v>
      </c>
      <c r="B3039" t="s">
        <v>55</v>
      </c>
      <c r="C3039" t="s">
        <v>48</v>
      </c>
      <c r="D3039">
        <v>9</v>
      </c>
      <c r="E3039">
        <v>7</v>
      </c>
      <c r="F3039">
        <v>12.08</v>
      </c>
      <c r="G3039">
        <v>0</v>
      </c>
      <c r="H3039">
        <v>0</v>
      </c>
      <c r="I3039" s="3">
        <f>E3039+G3039+H3039</f>
        <v>7</v>
      </c>
      <c r="J3039" s="3">
        <f>ROUND(MIN(IF(C3039="Técnico III",35,IF(C3039="Técnico II",28,IF(C3039="Técnico I",23,IF(C3039="JR",20,IF(C3039="Estágio",10,0))))),IF(C3039="Técnico III",SUMIFS($D:$D,$A:$A,$A3039,$B:$B,"&lt;&gt;Patrícia Karla de Sousa Araújo",$B:$B,"&lt;&gt;Lorena Dias de Araujo",$B:$B,"&lt;&gt;Lucas Luiz Romero")*(35/1083),IF(C3039="Técnico II",SUMIFS($D:$D,$A:$A,$A3039,$B:$B,"&lt;&gt;Patrícia Karla de Sousa Araújo",$B:$B,"&lt;&gt;Lorena Dias de Araujo",$B:$B,"&lt;&gt;Lucas Luiz Romero")*(28/1083),IF(C3039="Técnico I",SUMIFS($D:$D,$A:$A,$A3039,$B:$B,"&lt;&gt;Patrícia Karla de Sousa Araújo",$B:$B,"&lt;&gt;Lorena Dias de Araujo",$B:$B,"&lt;&gt;Lucas Luiz Romero")*(23/1083),IF(C3039="JR",SUMIFS($D:$D,$A:$A,$A3039,$B:$B,"&lt;&gt;Patrícia Karla de Sousa Araújo",$B:$B,"&lt;&gt;Lorena Dias de Araujo",$B:$B,"&lt;&gt;Lucas Luiz Romero")*(20/1083),IF(C3039="Estágio",SUMIFS($D:$D,$A:$A,$A3039,$B:$B,"&lt;&gt;Patrícia Karla de Sousa Araújo",$B:$B,"&lt;&gt;Lorena Dias de Araujo",$B:$B,"&lt;&gt;Lucas Luiz Romero")*(10/1083),0)))))),0)</f>
        <v>18</v>
      </c>
      <c r="K3039" s="3">
        <f>I3039-J3039</f>
        <v>-11</v>
      </c>
      <c r="L3039" s="3" t="str">
        <f>IF(K3039&lt;-5,"CRÍTICO",IF(K3039&lt;0,"ATENÇÃO",IF(K3039&lt;=5,"OPORTUNO","MUITO BOM")))</f>
        <v>CRÍTICO</v>
      </c>
      <c r="M3039">
        <v>7</v>
      </c>
      <c r="N3039">
        <v>97.47</v>
      </c>
      <c r="O3039">
        <v>22.887323943661968</v>
      </c>
    </row>
    <row r="3040" spans="1:15" hidden="1" x14ac:dyDescent="0.25">
      <c r="A3040" s="11">
        <v>46097</v>
      </c>
      <c r="B3040" t="s">
        <v>39</v>
      </c>
      <c r="C3040" t="s">
        <v>32</v>
      </c>
      <c r="D3040">
        <v>0</v>
      </c>
      <c r="E3040">
        <v>0</v>
      </c>
      <c r="F3040">
        <v>0</v>
      </c>
      <c r="G3040">
        <v>0</v>
      </c>
      <c r="H3040">
        <v>0</v>
      </c>
      <c r="I3040" s="3">
        <v>0</v>
      </c>
      <c r="J3040" s="3">
        <v>0</v>
      </c>
      <c r="K3040" s="3">
        <v>0</v>
      </c>
      <c r="L3040" s="3" t="str">
        <f>IF(K3040&lt;-5,"CRÍTICO",IF(K3040&lt;0,"ATENÇÃO",IF(K3040&lt;=5,"OPORTUNO","MUITO BOM")))</f>
        <v>OPORTUNO</v>
      </c>
      <c r="M3040">
        <v>0</v>
      </c>
      <c r="N3040">
        <v>0</v>
      </c>
      <c r="O3040">
        <v>0</v>
      </c>
    </row>
    <row r="3041" spans="1:15" hidden="1" x14ac:dyDescent="0.25">
      <c r="A3041" s="11">
        <v>46097</v>
      </c>
      <c r="B3041" t="s">
        <v>25</v>
      </c>
      <c r="C3041" t="s">
        <v>26</v>
      </c>
      <c r="D3041">
        <v>6</v>
      </c>
      <c r="E3041">
        <v>6</v>
      </c>
      <c r="F3041">
        <v>42.26</v>
      </c>
      <c r="G3041">
        <v>0</v>
      </c>
      <c r="H3041">
        <v>0</v>
      </c>
      <c r="I3041" s="3">
        <f>E3041+G3041+H3041</f>
        <v>6</v>
      </c>
      <c r="J3041" s="3">
        <f>ROUND(MIN(IF(C3041="Técnico III",35,IF(C3041="Técnico II",28,IF(C3041="Técnico I",23,IF(C3041="JR",20,IF(C3041="Estágio",10,0))))),IF(C3041="Técnico III",SUMIFS($D:$D,$A:$A,$A3041,$B:$B,"&lt;&gt;Patrícia Karla de Sousa Araújo",$B:$B,"&lt;&gt;Lorena Dias de Araujo",$B:$B,"&lt;&gt;Lucas Luiz Romero")*(35/1083),IF(C3041="Técnico II",SUMIFS($D:$D,$A:$A,$A3041,$B:$B,"&lt;&gt;Patrícia Karla de Sousa Araújo",$B:$B,"&lt;&gt;Lorena Dias de Araujo",$B:$B,"&lt;&gt;Lucas Luiz Romero")*(28/1083),IF(C3041="Técnico I",SUMIFS($D:$D,$A:$A,$A3041,$B:$B,"&lt;&gt;Patrícia Karla de Sousa Araújo",$B:$B,"&lt;&gt;Lorena Dias de Araujo",$B:$B,"&lt;&gt;Lucas Luiz Romero")*(23/1083),IF(C3041="JR",SUMIFS($D:$D,$A:$A,$A3041,$B:$B,"&lt;&gt;Patrícia Karla de Sousa Araújo",$B:$B,"&lt;&gt;Lorena Dias de Araujo",$B:$B,"&lt;&gt;Lucas Luiz Romero")*(20/1083),IF(C3041="Estágio",SUMIFS($D:$D,$A:$A,$A3041,$B:$B,"&lt;&gt;Patrícia Karla de Sousa Araújo",$B:$B,"&lt;&gt;Lorena Dias de Araujo",$B:$B,"&lt;&gt;Lucas Luiz Romero")*(10/1083),0)))))),0)</f>
        <v>13</v>
      </c>
      <c r="K3041" s="3">
        <f>I3041-J3041</f>
        <v>-7</v>
      </c>
      <c r="L3041" s="3" t="str">
        <f>IF(K3041&lt;-5,"CRÍTICO",IF(K3041&lt;0,"ATENÇÃO",IF(K3041&lt;=5,"OPORTUNO","MUITO BOM")))</f>
        <v>CRÍTICO</v>
      </c>
      <c r="M3041">
        <v>6</v>
      </c>
      <c r="N3041">
        <v>98.31</v>
      </c>
      <c r="O3041">
        <v>24.920127795527151</v>
      </c>
    </row>
    <row r="3042" spans="1:15" hidden="1" x14ac:dyDescent="0.25">
      <c r="A3042" s="11">
        <v>46097</v>
      </c>
      <c r="B3042" t="s">
        <v>40</v>
      </c>
      <c r="C3042" t="s">
        <v>32</v>
      </c>
      <c r="D3042">
        <v>3</v>
      </c>
      <c r="E3042">
        <v>3</v>
      </c>
      <c r="F3042">
        <v>13.24</v>
      </c>
      <c r="G3042">
        <v>0</v>
      </c>
      <c r="H3042">
        <v>0</v>
      </c>
      <c r="I3042" s="3">
        <f>E3042+G3042+H3042</f>
        <v>3</v>
      </c>
      <c r="J3042" s="3">
        <f>ROUND(MIN(IF(C3042="Técnico III",35,IF(C3042="Técnico II",28,IF(C3042="Técnico I",23,IF(C3042="JR",20,IF(C3042="Estágio",10,0))))),IF(C3042="Técnico III",SUMIFS($D:$D,$A:$A,$A3042,$B:$B,"&lt;&gt;Patrícia Karla de Sousa Araújo",$B:$B,"&lt;&gt;Lorena Dias de Araujo",$B:$B,"&lt;&gt;Lucas Luiz Romero")*(35/1083),IF(C3042="Técnico II",SUMIFS($D:$D,$A:$A,$A3042,$B:$B,"&lt;&gt;Patrícia Karla de Sousa Araújo",$B:$B,"&lt;&gt;Lorena Dias de Araujo",$B:$B,"&lt;&gt;Lucas Luiz Romero")*(28/1083),IF(C3042="Técnico I",SUMIFS($D:$D,$A:$A,$A3042,$B:$B,"&lt;&gt;Patrícia Karla de Sousa Araújo",$B:$B,"&lt;&gt;Lorena Dias de Araujo",$B:$B,"&lt;&gt;Lucas Luiz Romero")*(23/1083),IF(C3042="JR",SUMIFS($D:$D,$A:$A,$A3042,$B:$B,"&lt;&gt;Patrícia Karla de Sousa Araújo",$B:$B,"&lt;&gt;Lorena Dias de Araujo",$B:$B,"&lt;&gt;Lucas Luiz Romero")*(20/1083),IF(C3042="Estágio",SUMIFS($D:$D,$A:$A,$A3042,$B:$B,"&lt;&gt;Patrícia Karla de Sousa Araújo",$B:$B,"&lt;&gt;Lorena Dias de Araujo",$B:$B,"&lt;&gt;Lucas Luiz Romero")*(10/1083),0)))))),0)</f>
        <v>23</v>
      </c>
      <c r="K3042" s="3">
        <f>I3042-J3042</f>
        <v>-20</v>
      </c>
      <c r="L3042" s="3" t="str">
        <f>IF(K3042&lt;-5,"CRÍTICO",IF(K3042&lt;0,"ATENÇÃO",IF(K3042&lt;=5,"OPORTUNO","MUITO BOM")))</f>
        <v>CRÍTICO</v>
      </c>
      <c r="M3042">
        <v>2</v>
      </c>
      <c r="N3042">
        <v>96.81</v>
      </c>
      <c r="O3042">
        <v>32.365145228215773</v>
      </c>
    </row>
    <row r="3043" spans="1:15" hidden="1" x14ac:dyDescent="0.25">
      <c r="A3043" s="11">
        <v>46097</v>
      </c>
      <c r="B3043" t="s">
        <v>27</v>
      </c>
      <c r="C3043" t="s">
        <v>26</v>
      </c>
      <c r="D3043">
        <v>9</v>
      </c>
      <c r="E3043">
        <v>8</v>
      </c>
      <c r="F3043">
        <v>22.27</v>
      </c>
      <c r="G3043">
        <v>0</v>
      </c>
      <c r="H3043">
        <v>0</v>
      </c>
      <c r="I3043" s="3">
        <f>E3043+G3043+H3043</f>
        <v>8</v>
      </c>
      <c r="J3043" s="3">
        <f>ROUND(MIN(IF(C3043="Técnico III",35,IF(C3043="Técnico II",28,IF(C3043="Técnico I",23,IF(C3043="JR",20,IF(C3043="Estágio",10,0))))),IF(C3043="Técnico III",SUMIFS($D:$D,$A:$A,$A3043,$B:$B,"&lt;&gt;Patrícia Karla de Sousa Araújo",$B:$B,"&lt;&gt;Lorena Dias de Araujo",$B:$B,"&lt;&gt;Lucas Luiz Romero")*(35/1083),IF(C3043="Técnico II",SUMIFS($D:$D,$A:$A,$A3043,$B:$B,"&lt;&gt;Patrícia Karla de Sousa Araújo",$B:$B,"&lt;&gt;Lorena Dias de Araujo",$B:$B,"&lt;&gt;Lucas Luiz Romero")*(28/1083),IF(C3043="Técnico I",SUMIFS($D:$D,$A:$A,$A3043,$B:$B,"&lt;&gt;Patrícia Karla de Sousa Araújo",$B:$B,"&lt;&gt;Lorena Dias de Araujo",$B:$B,"&lt;&gt;Lucas Luiz Romero")*(23/1083),IF(C3043="JR",SUMIFS($D:$D,$A:$A,$A3043,$B:$B,"&lt;&gt;Patrícia Karla de Sousa Araújo",$B:$B,"&lt;&gt;Lorena Dias de Araujo",$B:$B,"&lt;&gt;Lucas Luiz Romero")*(20/1083),IF(C3043="Estágio",SUMIFS($D:$D,$A:$A,$A3043,$B:$B,"&lt;&gt;Patrícia Karla de Sousa Araújo",$B:$B,"&lt;&gt;Lorena Dias de Araujo",$B:$B,"&lt;&gt;Lucas Luiz Romero")*(10/1083),0)))))),0)</f>
        <v>13</v>
      </c>
      <c r="K3043" s="3">
        <f>I3043-J3043</f>
        <v>-5</v>
      </c>
      <c r="L3043" s="3" t="str">
        <f>IF(K3043&lt;-5,"CRÍTICO",IF(K3043&lt;0,"ATENÇÃO",IF(K3043&lt;=5,"OPORTUNO","MUITO BOM")))</f>
        <v>ATENÇÃO</v>
      </c>
      <c r="M3043">
        <v>7</v>
      </c>
      <c r="N3043">
        <v>100</v>
      </c>
      <c r="O3043">
        <v>26.47058823529412</v>
      </c>
    </row>
    <row r="3044" spans="1:15" hidden="1" x14ac:dyDescent="0.25">
      <c r="A3044" s="11">
        <v>46097</v>
      </c>
      <c r="B3044" t="s">
        <v>41</v>
      </c>
      <c r="C3044" t="s">
        <v>32</v>
      </c>
      <c r="D3044">
        <v>17</v>
      </c>
      <c r="E3044">
        <v>17</v>
      </c>
      <c r="F3044">
        <v>18.47</v>
      </c>
      <c r="G3044">
        <v>0</v>
      </c>
      <c r="H3044">
        <v>0</v>
      </c>
      <c r="I3044" s="3">
        <f>E3044+G3044+H3044</f>
        <v>17</v>
      </c>
      <c r="J3044" s="3">
        <f>ROUND(MIN(IF(C3044="Técnico III",35,IF(C3044="Técnico II",28,IF(C3044="Técnico I",23,IF(C3044="JR",20,IF(C3044="Estágio",10,0))))),IF(C3044="Técnico III",SUMIFS($D:$D,$A:$A,$A3044,$B:$B,"&lt;&gt;Patrícia Karla de Sousa Araújo",$B:$B,"&lt;&gt;Lorena Dias de Araujo",$B:$B,"&lt;&gt;Lucas Luiz Romero")*(35/1083),IF(C3044="Técnico II",SUMIFS($D:$D,$A:$A,$A3044,$B:$B,"&lt;&gt;Patrícia Karla de Sousa Araújo",$B:$B,"&lt;&gt;Lorena Dias de Araujo",$B:$B,"&lt;&gt;Lucas Luiz Romero")*(28/1083),IF(C3044="Técnico I",SUMIFS($D:$D,$A:$A,$A3044,$B:$B,"&lt;&gt;Patrícia Karla de Sousa Araújo",$B:$B,"&lt;&gt;Lorena Dias de Araujo",$B:$B,"&lt;&gt;Lucas Luiz Romero")*(23/1083),IF(C3044="JR",SUMIFS($D:$D,$A:$A,$A3044,$B:$B,"&lt;&gt;Patrícia Karla de Sousa Araújo",$B:$B,"&lt;&gt;Lorena Dias de Araujo",$B:$B,"&lt;&gt;Lucas Luiz Romero")*(20/1083),IF(C3044="Estágio",SUMIFS($D:$D,$A:$A,$A3044,$B:$B,"&lt;&gt;Patrícia Karla de Sousa Araújo",$B:$B,"&lt;&gt;Lorena Dias de Araujo",$B:$B,"&lt;&gt;Lucas Luiz Romero")*(10/1083),0)))))),0)</f>
        <v>23</v>
      </c>
      <c r="K3044" s="3">
        <f>I3044-J3044</f>
        <v>-6</v>
      </c>
      <c r="L3044" s="3" t="str">
        <f>IF(K3044&lt;-5,"CRÍTICO",IF(K3044&lt;0,"ATENÇÃO",IF(K3044&lt;=5,"OPORTUNO","MUITO BOM")))</f>
        <v>CRÍTICO</v>
      </c>
      <c r="M3044">
        <v>18</v>
      </c>
      <c r="N3044">
        <v>100</v>
      </c>
      <c r="O3044">
        <v>28.490028490028489</v>
      </c>
    </row>
    <row r="3045" spans="1:15" hidden="1" x14ac:dyDescent="0.25">
      <c r="A3045" s="11">
        <v>46097</v>
      </c>
      <c r="B3045" t="s">
        <v>56</v>
      </c>
      <c r="C3045" t="s">
        <v>48</v>
      </c>
      <c r="D3045">
        <v>29</v>
      </c>
      <c r="E3045">
        <v>27</v>
      </c>
      <c r="F3045">
        <v>21.55</v>
      </c>
      <c r="G3045">
        <v>0</v>
      </c>
      <c r="H3045">
        <v>0</v>
      </c>
      <c r="I3045" s="3">
        <f>E3045+G3045+H3045</f>
        <v>27</v>
      </c>
      <c r="J3045" s="3">
        <f>ROUND(MIN(IF(C3045="Técnico III",35,IF(C3045="Técnico II",28,IF(C3045="Técnico I",23,IF(C3045="JR",20,IF(C3045="Estágio",10,0))))),IF(C3045="Técnico III",SUMIFS($D:$D,$A:$A,$A3045,$B:$B,"&lt;&gt;Patrícia Karla de Sousa Araújo",$B:$B,"&lt;&gt;Lorena Dias de Araujo",$B:$B,"&lt;&gt;Lucas Luiz Romero")*(35/1083),IF(C3045="Técnico II",SUMIFS($D:$D,$A:$A,$A3045,$B:$B,"&lt;&gt;Patrícia Karla de Sousa Araújo",$B:$B,"&lt;&gt;Lorena Dias de Araujo",$B:$B,"&lt;&gt;Lucas Luiz Romero")*(28/1083),IF(C3045="Técnico I",SUMIFS($D:$D,$A:$A,$A3045,$B:$B,"&lt;&gt;Patrícia Karla de Sousa Araújo",$B:$B,"&lt;&gt;Lorena Dias de Araujo",$B:$B,"&lt;&gt;Lucas Luiz Romero")*(23/1083),IF(C3045="JR",SUMIFS($D:$D,$A:$A,$A3045,$B:$B,"&lt;&gt;Patrícia Karla de Sousa Araújo",$B:$B,"&lt;&gt;Lorena Dias de Araujo",$B:$B,"&lt;&gt;Lucas Luiz Romero")*(20/1083),IF(C3045="Estágio",SUMIFS($D:$D,$A:$A,$A3045,$B:$B,"&lt;&gt;Patrícia Karla de Sousa Araújo",$B:$B,"&lt;&gt;Lorena Dias de Araujo",$B:$B,"&lt;&gt;Lucas Luiz Romero")*(10/1083),0)))))),0)</f>
        <v>18</v>
      </c>
      <c r="K3045" s="3">
        <f>I3045-J3045</f>
        <v>9</v>
      </c>
      <c r="L3045" s="3" t="str">
        <f>IF(K3045&lt;-5,"CRÍTICO",IF(K3045&lt;0,"ATENÇÃO",IF(K3045&lt;=5,"OPORTUNO","MUITO BOM")))</f>
        <v>MUITO BOM</v>
      </c>
      <c r="M3045">
        <v>15</v>
      </c>
      <c r="N3045">
        <v>99.14</v>
      </c>
      <c r="O3045">
        <v>27.2289156626506</v>
      </c>
    </row>
    <row r="3046" spans="1:15" hidden="1" x14ac:dyDescent="0.25">
      <c r="A3046" s="11">
        <v>46097</v>
      </c>
      <c r="B3046" t="s">
        <v>57</v>
      </c>
      <c r="C3046" t="s">
        <v>48</v>
      </c>
      <c r="D3046">
        <v>36</v>
      </c>
      <c r="E3046">
        <v>35</v>
      </c>
      <c r="F3046">
        <v>16.47</v>
      </c>
      <c r="G3046">
        <v>0</v>
      </c>
      <c r="H3046">
        <v>0</v>
      </c>
      <c r="I3046" s="3">
        <v>0</v>
      </c>
      <c r="J3046" s="3">
        <v>0</v>
      </c>
      <c r="K3046" s="3">
        <v>0</v>
      </c>
      <c r="L3046" s="3" t="str">
        <f>IF(K3046&lt;-5,"CRÍTICO",IF(K3046&lt;0,"ATENÇÃO",IF(K3046&lt;=5,"OPORTUNO","MUITO BOM")))</f>
        <v>OPORTUNO</v>
      </c>
      <c r="M3046">
        <v>29</v>
      </c>
      <c r="N3046">
        <v>97.52</v>
      </c>
      <c r="O3046">
        <v>28.205128205128201</v>
      </c>
    </row>
    <row r="3047" spans="1:15" hidden="1" x14ac:dyDescent="0.25">
      <c r="A3047" s="11">
        <v>46097</v>
      </c>
      <c r="B3047" t="s">
        <v>42</v>
      </c>
      <c r="C3047" t="s">
        <v>32</v>
      </c>
      <c r="D3047">
        <v>0</v>
      </c>
      <c r="E3047">
        <v>0</v>
      </c>
      <c r="F3047">
        <v>0</v>
      </c>
      <c r="G3047">
        <v>0</v>
      </c>
      <c r="H3047">
        <v>0</v>
      </c>
      <c r="I3047" s="3">
        <v>0</v>
      </c>
      <c r="J3047" s="3">
        <v>0</v>
      </c>
      <c r="K3047" s="3">
        <v>0</v>
      </c>
      <c r="L3047" s="3" t="str">
        <f>IF(K3047&lt;-5,"CRÍTICO",IF(K3047&lt;0,"ATENÇÃO",IF(K3047&lt;=5,"OPORTUNO","MUITO BOM")))</f>
        <v>OPORTUNO</v>
      </c>
      <c r="M3047">
        <v>0</v>
      </c>
      <c r="N3047">
        <v>90</v>
      </c>
      <c r="O3047">
        <v>24.186046511627911</v>
      </c>
    </row>
    <row r="3048" spans="1:15" hidden="1" x14ac:dyDescent="0.25">
      <c r="A3048" s="11">
        <v>46097</v>
      </c>
      <c r="B3048" t="s">
        <v>62</v>
      </c>
      <c r="C3048" t="s">
        <v>23</v>
      </c>
      <c r="D3048">
        <v>12</v>
      </c>
      <c r="E3048">
        <v>11</v>
      </c>
      <c r="F3048">
        <v>30.43</v>
      </c>
      <c r="G3048">
        <v>0</v>
      </c>
      <c r="H3048">
        <v>0</v>
      </c>
      <c r="I3048" s="3">
        <f>E3048+G3048+H3048</f>
        <v>11</v>
      </c>
      <c r="J3048" s="3">
        <f>ROUND(MIN(IF(C3048="Técnico III",35,IF(C3048="Técnico II",28,IF(C3048="Técnico I",23,IF(C3048="JR",20,IF(C3048="Estágio",10,0))))),IF(C3048="Técnico III",SUMIFS($D:$D,$A:$A,$A3048,$B:$B,"&lt;&gt;Patrícia Karla de Sousa Araújo",$B:$B,"&lt;&gt;Lorena Dias de Araujo",$B:$B,"&lt;&gt;Lucas Luiz Romero")*(35/1083),IF(C3048="Técnico II",SUMIFS($D:$D,$A:$A,$A3048,$B:$B,"&lt;&gt;Patrícia Karla de Sousa Araújo",$B:$B,"&lt;&gt;Lorena Dias de Araujo",$B:$B,"&lt;&gt;Lucas Luiz Romero")*(28/1083),IF(C3048="Técnico I",SUMIFS($D:$D,$A:$A,$A3048,$B:$B,"&lt;&gt;Patrícia Karla de Sousa Araújo",$B:$B,"&lt;&gt;Lorena Dias de Araujo",$B:$B,"&lt;&gt;Lucas Luiz Romero")*(23/1083),IF(C3048="JR",SUMIFS($D:$D,$A:$A,$A3048,$B:$B,"&lt;&gt;Patrícia Karla de Sousa Araújo",$B:$B,"&lt;&gt;Lorena Dias de Araujo",$B:$B,"&lt;&gt;Lucas Luiz Romero")*(20/1083),IF(C3048="Estágio",SUMIFS($D:$D,$A:$A,$A3048,$B:$B,"&lt;&gt;Patrícia Karla de Sousa Araújo",$B:$B,"&lt;&gt;Lorena Dias de Araujo",$B:$B,"&lt;&gt;Lucas Luiz Romero")*(10/1083),0)))))),0)</f>
        <v>15</v>
      </c>
      <c r="K3048" s="3">
        <f>I3048-J3048</f>
        <v>-4</v>
      </c>
      <c r="L3048" s="3" t="str">
        <f>IF(K3048&lt;-5,"CRÍTICO",IF(K3048&lt;0,"ATENÇÃO",IF(K3048&lt;=5,"OPORTUNO","MUITO BOM")))</f>
        <v>ATENÇÃO</v>
      </c>
      <c r="M3048">
        <v>9</v>
      </c>
      <c r="N3048">
        <v>98.9</v>
      </c>
      <c r="O3048">
        <v>26.763990267639901</v>
      </c>
    </row>
    <row r="3049" spans="1:15" hidden="1" x14ac:dyDescent="0.25">
      <c r="A3049" s="11">
        <v>46097</v>
      </c>
      <c r="B3049" t="s">
        <v>19</v>
      </c>
      <c r="C3049" t="s">
        <v>16</v>
      </c>
      <c r="D3049">
        <v>7</v>
      </c>
      <c r="E3049">
        <v>7</v>
      </c>
      <c r="F3049">
        <v>54.04</v>
      </c>
      <c r="G3049">
        <v>0</v>
      </c>
      <c r="H3049">
        <v>0</v>
      </c>
      <c r="I3049" s="3">
        <f>E3049+G3049+H3049</f>
        <v>7</v>
      </c>
      <c r="J3049" s="3">
        <f>ROUND(MIN(IF(C3049="Técnico III",35,IF(C3049="Técnico II",28,IF(C3049="Técnico I",23,IF(C3049="JR",20,IF(C3049="Estágio",10,0))))),IF(C3049="Técnico III",SUMIFS($D:$D,$A:$A,$A3049,$B:$B,"&lt;&gt;Patrícia Karla de Sousa Araújo",$B:$B,"&lt;&gt;Lorena Dias de Araujo",$B:$B,"&lt;&gt;Lucas Luiz Romero")*(35/1083),IF(C3049="Técnico II",SUMIFS($D:$D,$A:$A,$A3049,$B:$B,"&lt;&gt;Patrícia Karla de Sousa Araújo",$B:$B,"&lt;&gt;Lorena Dias de Araujo",$B:$B,"&lt;&gt;Lucas Luiz Romero")*(28/1083),IF(C3049="Técnico I",SUMIFS($D:$D,$A:$A,$A3049,$B:$B,"&lt;&gt;Patrícia Karla de Sousa Araújo",$B:$B,"&lt;&gt;Lorena Dias de Araujo",$B:$B,"&lt;&gt;Lucas Luiz Romero")*(23/1083),IF(C3049="JR",SUMIFS($D:$D,$A:$A,$A3049,$B:$B,"&lt;&gt;Patrícia Karla de Sousa Araújo",$B:$B,"&lt;&gt;Lorena Dias de Araujo",$B:$B,"&lt;&gt;Lucas Luiz Romero")*(20/1083),IF(C3049="Estágio",SUMIFS($D:$D,$A:$A,$A3049,$B:$B,"&lt;&gt;Patrícia Karla de Sousa Araújo",$B:$B,"&lt;&gt;Lorena Dias de Araujo",$B:$B,"&lt;&gt;Lucas Luiz Romero")*(10/1083),0)))))),0)</f>
        <v>6</v>
      </c>
      <c r="K3049" s="3">
        <f>I3049-J3049</f>
        <v>1</v>
      </c>
      <c r="L3049" s="3" t="str">
        <f>IF(K3049&lt;-5,"CRÍTICO",IF(K3049&lt;0,"ATENÇÃO",IF(K3049&lt;=5,"OPORTUNO","MUITO BOM")))</f>
        <v>OPORTUNO</v>
      </c>
      <c r="M3049">
        <v>4</v>
      </c>
      <c r="N3049">
        <v>88.89</v>
      </c>
      <c r="O3049">
        <v>25.263157894736839</v>
      </c>
    </row>
    <row r="3050" spans="1:15" hidden="1" x14ac:dyDescent="0.25">
      <c r="A3050" s="11">
        <v>46097</v>
      </c>
      <c r="B3050" t="s">
        <v>43</v>
      </c>
      <c r="C3050" t="s">
        <v>32</v>
      </c>
      <c r="D3050">
        <v>31</v>
      </c>
      <c r="E3050">
        <v>29</v>
      </c>
      <c r="F3050">
        <v>17.25</v>
      </c>
      <c r="G3050">
        <v>0</v>
      </c>
      <c r="H3050">
        <v>0</v>
      </c>
      <c r="I3050" s="3">
        <f>E3050+G3050+H3050</f>
        <v>29</v>
      </c>
      <c r="J3050" s="3">
        <f>ROUND(MIN(IF(C3050="Técnico III",35,IF(C3050="Técnico II",28,IF(C3050="Técnico I",23,IF(C3050="JR",20,IF(C3050="Estágio",10,0))))),IF(C3050="Técnico III",SUMIFS($D:$D,$A:$A,$A3050,$B:$B,"&lt;&gt;Patrícia Karla de Sousa Araújo",$B:$B,"&lt;&gt;Lorena Dias de Araujo",$B:$B,"&lt;&gt;Lucas Luiz Romero")*(35/1083),IF(C3050="Técnico II",SUMIFS($D:$D,$A:$A,$A3050,$B:$B,"&lt;&gt;Patrícia Karla de Sousa Araújo",$B:$B,"&lt;&gt;Lorena Dias de Araujo",$B:$B,"&lt;&gt;Lucas Luiz Romero")*(28/1083),IF(C3050="Técnico I",SUMIFS($D:$D,$A:$A,$A3050,$B:$B,"&lt;&gt;Patrícia Karla de Sousa Araújo",$B:$B,"&lt;&gt;Lorena Dias de Araujo",$B:$B,"&lt;&gt;Lucas Luiz Romero")*(23/1083),IF(C3050="JR",SUMIFS($D:$D,$A:$A,$A3050,$B:$B,"&lt;&gt;Patrícia Karla de Sousa Araújo",$B:$B,"&lt;&gt;Lorena Dias de Araujo",$B:$B,"&lt;&gt;Lucas Luiz Romero")*(20/1083),IF(C3050="Estágio",SUMIFS($D:$D,$A:$A,$A3050,$B:$B,"&lt;&gt;Patrícia Karla de Sousa Araújo",$B:$B,"&lt;&gt;Lorena Dias de Araujo",$B:$B,"&lt;&gt;Lucas Luiz Romero")*(10/1083),0)))))),0)</f>
        <v>23</v>
      </c>
      <c r="K3050" s="3">
        <f>I3050-J3050</f>
        <v>6</v>
      </c>
      <c r="L3050" s="3" t="str">
        <f>IF(K3050&lt;-5,"CRÍTICO",IF(K3050&lt;0,"ATENÇÃO",IF(K3050&lt;=5,"OPORTUNO","MUITO BOM")))</f>
        <v>MUITO BOM</v>
      </c>
      <c r="M3050">
        <v>31</v>
      </c>
      <c r="N3050">
        <v>98.86</v>
      </c>
      <c r="O3050">
        <v>28.959276018099551</v>
      </c>
    </row>
    <row r="3051" spans="1:15" hidden="1" x14ac:dyDescent="0.25">
      <c r="A3051" s="11">
        <v>46097</v>
      </c>
      <c r="B3051" t="s">
        <v>44</v>
      </c>
      <c r="C3051" t="s">
        <v>32</v>
      </c>
      <c r="D3051">
        <v>33</v>
      </c>
      <c r="E3051">
        <v>30</v>
      </c>
      <c r="F3051">
        <v>18.29</v>
      </c>
      <c r="G3051">
        <v>0</v>
      </c>
      <c r="H3051">
        <v>0</v>
      </c>
      <c r="I3051" s="3">
        <f>E3051+G3051+H3051</f>
        <v>30</v>
      </c>
      <c r="J3051" s="3">
        <f>ROUND(MIN(IF(C3051="Técnico III",35,IF(C3051="Técnico II",28,IF(C3051="Técnico I",23,IF(C3051="JR",20,IF(C3051="Estágio",10,0))))),IF(C3051="Técnico III",SUMIFS($D:$D,$A:$A,$A3051,$B:$B,"&lt;&gt;Patrícia Karla de Sousa Araújo",$B:$B,"&lt;&gt;Lorena Dias de Araujo",$B:$B,"&lt;&gt;Lucas Luiz Romero")*(35/1083),IF(C3051="Técnico II",SUMIFS($D:$D,$A:$A,$A3051,$B:$B,"&lt;&gt;Patrícia Karla de Sousa Araújo",$B:$B,"&lt;&gt;Lorena Dias de Araujo",$B:$B,"&lt;&gt;Lucas Luiz Romero")*(28/1083),IF(C3051="Técnico I",SUMIFS($D:$D,$A:$A,$A3051,$B:$B,"&lt;&gt;Patrícia Karla de Sousa Araújo",$B:$B,"&lt;&gt;Lorena Dias de Araujo",$B:$B,"&lt;&gt;Lucas Luiz Romero")*(23/1083),IF(C3051="JR",SUMIFS($D:$D,$A:$A,$A3051,$B:$B,"&lt;&gt;Patrícia Karla de Sousa Araújo",$B:$B,"&lt;&gt;Lorena Dias de Araujo",$B:$B,"&lt;&gt;Lucas Luiz Romero")*(20/1083),IF(C3051="Estágio",SUMIFS($D:$D,$A:$A,$A3051,$B:$B,"&lt;&gt;Patrícia Karla de Sousa Araújo",$B:$B,"&lt;&gt;Lorena Dias de Araujo",$B:$B,"&lt;&gt;Lucas Luiz Romero")*(10/1083),0)))))),0)</f>
        <v>23</v>
      </c>
      <c r="K3051" s="3">
        <f>I3051-J3051</f>
        <v>7</v>
      </c>
      <c r="L3051" s="3" t="str">
        <f>IF(K3051&lt;-5,"CRÍTICO",IF(K3051&lt;0,"ATENÇÃO",IF(K3051&lt;=5,"OPORTUNO","MUITO BOM")))</f>
        <v>MUITO BOM</v>
      </c>
      <c r="M3051">
        <v>29</v>
      </c>
      <c r="N3051">
        <v>98.06</v>
      </c>
      <c r="O3051">
        <v>22.40566037735849</v>
      </c>
    </row>
    <row r="3052" spans="1:15" hidden="1" x14ac:dyDescent="0.25">
      <c r="A3052" s="11">
        <v>46097</v>
      </c>
      <c r="B3052" t="s">
        <v>20</v>
      </c>
      <c r="C3052" t="s">
        <v>16</v>
      </c>
      <c r="D3052">
        <v>4</v>
      </c>
      <c r="E3052">
        <v>4</v>
      </c>
      <c r="F3052">
        <v>77.19</v>
      </c>
      <c r="G3052">
        <v>0</v>
      </c>
      <c r="H3052">
        <v>0</v>
      </c>
      <c r="I3052" s="3">
        <f>E3052+G3052+H3052</f>
        <v>4</v>
      </c>
      <c r="J3052" s="3">
        <f>ROUND(MIN(IF(C3052="Técnico III",35,IF(C3052="Técnico II",28,IF(C3052="Técnico I",23,IF(C3052="JR",20,IF(C3052="Estágio",10,0))))),IF(C3052="Técnico III",SUMIFS($D:$D,$A:$A,$A3052,$B:$B,"&lt;&gt;Patrícia Karla de Sousa Araújo",$B:$B,"&lt;&gt;Lorena Dias de Araujo",$B:$B,"&lt;&gt;Lucas Luiz Romero")*(35/1083),IF(C3052="Técnico II",SUMIFS($D:$D,$A:$A,$A3052,$B:$B,"&lt;&gt;Patrícia Karla de Sousa Araújo",$B:$B,"&lt;&gt;Lorena Dias de Araujo",$B:$B,"&lt;&gt;Lucas Luiz Romero")*(28/1083),IF(C3052="Técnico I",SUMIFS($D:$D,$A:$A,$A3052,$B:$B,"&lt;&gt;Patrícia Karla de Sousa Araújo",$B:$B,"&lt;&gt;Lorena Dias de Araujo",$B:$B,"&lt;&gt;Lucas Luiz Romero")*(23/1083),IF(C3052="JR",SUMIFS($D:$D,$A:$A,$A3052,$B:$B,"&lt;&gt;Patrícia Karla de Sousa Araújo",$B:$B,"&lt;&gt;Lorena Dias de Araujo",$B:$B,"&lt;&gt;Lucas Luiz Romero")*(20/1083),IF(C3052="Estágio",SUMIFS($D:$D,$A:$A,$A3052,$B:$B,"&lt;&gt;Patrícia Karla de Sousa Araújo",$B:$B,"&lt;&gt;Lorena Dias de Araujo",$B:$B,"&lt;&gt;Lucas Luiz Romero")*(10/1083),0)))))),0)</f>
        <v>6</v>
      </c>
      <c r="K3052" s="3">
        <f>I3052-J3052</f>
        <v>-2</v>
      </c>
      <c r="L3052" s="3" t="str">
        <f>IF(K3052&lt;-5,"CRÍTICO",IF(K3052&lt;0,"ATENÇÃO",IF(K3052&lt;=5,"OPORTUNO","MUITO BOM")))</f>
        <v>ATENÇÃO</v>
      </c>
      <c r="M3052">
        <v>2</v>
      </c>
      <c r="N3052">
        <v>95.83</v>
      </c>
      <c r="O3052">
        <v>25.773195876288661</v>
      </c>
    </row>
    <row r="3053" spans="1:15" hidden="1" x14ac:dyDescent="0.25">
      <c r="A3053" s="11">
        <v>46097</v>
      </c>
      <c r="B3053" t="s">
        <v>28</v>
      </c>
      <c r="C3053" t="s">
        <v>26</v>
      </c>
      <c r="D3053">
        <v>0</v>
      </c>
      <c r="E3053">
        <v>0</v>
      </c>
      <c r="F3053">
        <v>0</v>
      </c>
      <c r="G3053">
        <v>0</v>
      </c>
      <c r="H3053">
        <v>0</v>
      </c>
      <c r="I3053" s="3">
        <v>0</v>
      </c>
      <c r="J3053" s="3">
        <v>0</v>
      </c>
      <c r="K3053" s="3">
        <v>0</v>
      </c>
      <c r="L3053" s="3" t="str">
        <f>IF(K3053&lt;-5,"CRÍTICO",IF(K3053&lt;0,"ATENÇÃO",IF(K3053&lt;=5,"OPORTUNO","MUITO BOM")))</f>
        <v>OPORTUNO</v>
      </c>
      <c r="M3053">
        <v>0</v>
      </c>
      <c r="N3053">
        <v>100</v>
      </c>
      <c r="O3053">
        <v>15.38461538461539</v>
      </c>
    </row>
    <row r="3054" spans="1:15" hidden="1" x14ac:dyDescent="0.25">
      <c r="A3054" s="11">
        <v>46097</v>
      </c>
      <c r="B3054" t="s">
        <v>58</v>
      </c>
      <c r="C3054" t="s">
        <v>48</v>
      </c>
      <c r="D3054">
        <v>3</v>
      </c>
      <c r="E3054">
        <v>3</v>
      </c>
      <c r="F3054">
        <v>40.22</v>
      </c>
      <c r="G3054">
        <v>0</v>
      </c>
      <c r="H3054">
        <v>0</v>
      </c>
      <c r="I3054" s="3">
        <f>E3054+G3054+H3054</f>
        <v>3</v>
      </c>
      <c r="J3054" s="3">
        <f>ROUND(MIN(IF(C3054="Técnico III",35,IF(C3054="Técnico II",28,IF(C3054="Técnico I",23,IF(C3054="JR",20,IF(C3054="Estágio",10,0))))),IF(C3054="Técnico III",SUMIFS($D:$D,$A:$A,$A3054,$B:$B,"&lt;&gt;Patrícia Karla de Sousa Araújo",$B:$B,"&lt;&gt;Lorena Dias de Araujo",$B:$B,"&lt;&gt;Lucas Luiz Romero")*(35/1083),IF(C3054="Técnico II",SUMIFS($D:$D,$A:$A,$A3054,$B:$B,"&lt;&gt;Patrícia Karla de Sousa Araújo",$B:$B,"&lt;&gt;Lorena Dias de Araujo",$B:$B,"&lt;&gt;Lucas Luiz Romero")*(28/1083),IF(C3054="Técnico I",SUMIFS($D:$D,$A:$A,$A3054,$B:$B,"&lt;&gt;Patrícia Karla de Sousa Araújo",$B:$B,"&lt;&gt;Lorena Dias de Araujo",$B:$B,"&lt;&gt;Lucas Luiz Romero")*(23/1083),IF(C3054="JR",SUMIFS($D:$D,$A:$A,$A3054,$B:$B,"&lt;&gt;Patrícia Karla de Sousa Araújo",$B:$B,"&lt;&gt;Lorena Dias de Araujo",$B:$B,"&lt;&gt;Lucas Luiz Romero")*(20/1083),IF(C3054="Estágio",SUMIFS($D:$D,$A:$A,$A3054,$B:$B,"&lt;&gt;Patrícia Karla de Sousa Araújo",$B:$B,"&lt;&gt;Lorena Dias de Araujo",$B:$B,"&lt;&gt;Lucas Luiz Romero")*(10/1083),0)))))),0)</f>
        <v>18</v>
      </c>
      <c r="K3054" s="3">
        <f>I3054-J3054</f>
        <v>-15</v>
      </c>
      <c r="L3054" s="3" t="str">
        <f>IF(K3054&lt;-5,"CRÍTICO",IF(K3054&lt;0,"ATENÇÃO",IF(K3054&lt;=5,"OPORTUNO","MUITO BOM")))</f>
        <v>CRÍTICO</v>
      </c>
      <c r="M3054">
        <v>3</v>
      </c>
      <c r="N3054">
        <v>100</v>
      </c>
      <c r="O3054">
        <v>27.514792899408281</v>
      </c>
    </row>
    <row r="3055" spans="1:15" hidden="1" x14ac:dyDescent="0.25">
      <c r="A3055" s="11">
        <v>46097</v>
      </c>
      <c r="B3055" t="s">
        <v>29</v>
      </c>
      <c r="C3055" t="s">
        <v>26</v>
      </c>
      <c r="D3055">
        <v>4</v>
      </c>
      <c r="E3055">
        <v>3</v>
      </c>
      <c r="F3055">
        <v>53.39</v>
      </c>
      <c r="G3055">
        <v>0</v>
      </c>
      <c r="H3055">
        <v>0</v>
      </c>
      <c r="I3055" s="3">
        <f>E3055+G3055+H3055</f>
        <v>3</v>
      </c>
      <c r="J3055" s="3">
        <f>ROUND(MIN(IF(C3055="Técnico III",35,IF(C3055="Técnico II",28,IF(C3055="Técnico I",23,IF(C3055="JR",20,IF(C3055="Estágio",10,0))))),IF(C3055="Técnico III",SUMIFS($D:$D,$A:$A,$A3055,$B:$B,"&lt;&gt;Patrícia Karla de Sousa Araújo",$B:$B,"&lt;&gt;Lorena Dias de Araujo",$B:$B,"&lt;&gt;Lucas Luiz Romero")*(35/1083),IF(C3055="Técnico II",SUMIFS($D:$D,$A:$A,$A3055,$B:$B,"&lt;&gt;Patrícia Karla de Sousa Araújo",$B:$B,"&lt;&gt;Lorena Dias de Araujo",$B:$B,"&lt;&gt;Lucas Luiz Romero")*(28/1083),IF(C3055="Técnico I",SUMIFS($D:$D,$A:$A,$A3055,$B:$B,"&lt;&gt;Patrícia Karla de Sousa Araújo",$B:$B,"&lt;&gt;Lorena Dias de Araujo",$B:$B,"&lt;&gt;Lucas Luiz Romero")*(23/1083),IF(C3055="JR",SUMIFS($D:$D,$A:$A,$A3055,$B:$B,"&lt;&gt;Patrícia Karla de Sousa Araújo",$B:$B,"&lt;&gt;Lorena Dias de Araujo",$B:$B,"&lt;&gt;Lucas Luiz Romero")*(20/1083),IF(C3055="Estágio",SUMIFS($D:$D,$A:$A,$A3055,$B:$B,"&lt;&gt;Patrícia Karla de Sousa Araújo",$B:$B,"&lt;&gt;Lorena Dias de Araujo",$B:$B,"&lt;&gt;Lucas Luiz Romero")*(10/1083),0)))))),0)</f>
        <v>13</v>
      </c>
      <c r="K3055" s="3">
        <f>I3055-J3055</f>
        <v>-10</v>
      </c>
      <c r="L3055" s="3" t="str">
        <f>IF(K3055&lt;-5,"CRÍTICO",IF(K3055&lt;0,"ATENÇÃO",IF(K3055&lt;=5,"OPORTUNO","MUITO BOM")))</f>
        <v>CRÍTICO</v>
      </c>
      <c r="M3055">
        <v>5</v>
      </c>
      <c r="N3055">
        <v>100</v>
      </c>
      <c r="O3055">
        <v>24.875621890547269</v>
      </c>
    </row>
    <row r="3056" spans="1:15" hidden="1" x14ac:dyDescent="0.25">
      <c r="A3056" s="11">
        <v>46097</v>
      </c>
      <c r="B3056" t="s">
        <v>30</v>
      </c>
      <c r="C3056" t="s">
        <v>26</v>
      </c>
      <c r="D3056">
        <v>8</v>
      </c>
      <c r="E3056">
        <v>6</v>
      </c>
      <c r="F3056">
        <v>38.26</v>
      </c>
      <c r="G3056">
        <v>0</v>
      </c>
      <c r="H3056">
        <v>0</v>
      </c>
      <c r="I3056" s="3">
        <f>E3056+G3056+H3056</f>
        <v>6</v>
      </c>
      <c r="J3056" s="3">
        <f>ROUND(MIN(IF(C3056="Técnico III",35,IF(C3056="Técnico II",28,IF(C3056="Técnico I",23,IF(C3056="JR",20,IF(C3056="Estágio",10,0))))),IF(C3056="Técnico III",SUMIFS($D:$D,$A:$A,$A3056,$B:$B,"&lt;&gt;Patrícia Karla de Sousa Araújo",$B:$B,"&lt;&gt;Lorena Dias de Araujo",$B:$B,"&lt;&gt;Lucas Luiz Romero")*(35/1083),IF(C3056="Técnico II",SUMIFS($D:$D,$A:$A,$A3056,$B:$B,"&lt;&gt;Patrícia Karla de Sousa Araújo",$B:$B,"&lt;&gt;Lorena Dias de Araujo",$B:$B,"&lt;&gt;Lucas Luiz Romero")*(28/1083),IF(C3056="Técnico I",SUMIFS($D:$D,$A:$A,$A3056,$B:$B,"&lt;&gt;Patrícia Karla de Sousa Araújo",$B:$B,"&lt;&gt;Lorena Dias de Araujo",$B:$B,"&lt;&gt;Lucas Luiz Romero")*(23/1083),IF(C3056="JR",SUMIFS($D:$D,$A:$A,$A3056,$B:$B,"&lt;&gt;Patrícia Karla de Sousa Araújo",$B:$B,"&lt;&gt;Lorena Dias de Araujo",$B:$B,"&lt;&gt;Lucas Luiz Romero")*(20/1083),IF(C3056="Estágio",SUMIFS($D:$D,$A:$A,$A3056,$B:$B,"&lt;&gt;Patrícia Karla de Sousa Araújo",$B:$B,"&lt;&gt;Lorena Dias de Araujo",$B:$B,"&lt;&gt;Lucas Luiz Romero")*(10/1083),0)))))),0)</f>
        <v>13</v>
      </c>
      <c r="K3056" s="3">
        <f>I3056-J3056</f>
        <v>-7</v>
      </c>
      <c r="L3056" s="3" t="str">
        <f>IF(K3056&lt;-5,"CRÍTICO",IF(K3056&lt;0,"ATENÇÃO",IF(K3056&lt;=5,"OPORTUNO","MUITO BOM")))</f>
        <v>CRÍTICO</v>
      </c>
      <c r="M3056">
        <v>6</v>
      </c>
      <c r="N3056">
        <v>100</v>
      </c>
      <c r="O3056">
        <v>28.108108108108109</v>
      </c>
    </row>
    <row r="3057" spans="1:15" hidden="1" x14ac:dyDescent="0.25">
      <c r="A3057" s="11">
        <v>46097</v>
      </c>
      <c r="B3057" t="s">
        <v>21</v>
      </c>
      <c r="C3057" t="s">
        <v>16</v>
      </c>
      <c r="D3057">
        <v>0</v>
      </c>
      <c r="E3057">
        <v>0</v>
      </c>
      <c r="F3057">
        <v>0</v>
      </c>
      <c r="G3057">
        <v>0</v>
      </c>
      <c r="H3057">
        <v>0</v>
      </c>
      <c r="I3057" s="3">
        <v>0</v>
      </c>
      <c r="J3057" s="3">
        <v>0</v>
      </c>
      <c r="K3057" s="3">
        <v>0</v>
      </c>
      <c r="L3057" s="3" t="str">
        <f>IF(K3057&lt;-5,"CRÍTICO",IF(K3057&lt;0,"ATENÇÃO",IF(K3057&lt;=5,"OPORTUNO","MUITO BOM")))</f>
        <v>OPORTUNO</v>
      </c>
      <c r="M3057">
        <v>0</v>
      </c>
      <c r="N3057">
        <v>100</v>
      </c>
      <c r="O3057">
        <v>35</v>
      </c>
    </row>
    <row r="3058" spans="1:15" hidden="1" x14ac:dyDescent="0.25">
      <c r="A3058" s="11">
        <v>46097</v>
      </c>
      <c r="B3058" t="s">
        <v>63</v>
      </c>
      <c r="C3058" t="s">
        <v>23</v>
      </c>
      <c r="D3058">
        <v>15</v>
      </c>
      <c r="E3058">
        <v>14</v>
      </c>
      <c r="F3058">
        <v>26.4</v>
      </c>
      <c r="G3058">
        <v>0</v>
      </c>
      <c r="H3058">
        <v>0</v>
      </c>
      <c r="I3058" s="3">
        <f>E3058+G3058+H3058</f>
        <v>14</v>
      </c>
      <c r="J3058" s="3">
        <f>ROUND(MIN(IF(C3058="Técnico III",35,IF(C3058="Técnico II",28,IF(C3058="Técnico I",23,IF(C3058="JR",20,IF(C3058="Estágio",10,0))))),IF(C3058="Técnico III",SUMIFS($D:$D,$A:$A,$A3058,$B:$B,"&lt;&gt;Patrícia Karla de Sousa Araújo",$B:$B,"&lt;&gt;Lorena Dias de Araujo",$B:$B,"&lt;&gt;Lucas Luiz Romero")*(35/1083),IF(C3058="Técnico II",SUMIFS($D:$D,$A:$A,$A3058,$B:$B,"&lt;&gt;Patrícia Karla de Sousa Araújo",$B:$B,"&lt;&gt;Lorena Dias de Araujo",$B:$B,"&lt;&gt;Lucas Luiz Romero")*(28/1083),IF(C3058="Técnico I",SUMIFS($D:$D,$A:$A,$A3058,$B:$B,"&lt;&gt;Patrícia Karla de Sousa Araújo",$B:$B,"&lt;&gt;Lorena Dias de Araujo",$B:$B,"&lt;&gt;Lucas Luiz Romero")*(23/1083),IF(C3058="JR",SUMIFS($D:$D,$A:$A,$A3058,$B:$B,"&lt;&gt;Patrícia Karla de Sousa Araújo",$B:$B,"&lt;&gt;Lorena Dias de Araujo",$B:$B,"&lt;&gt;Lucas Luiz Romero")*(20/1083),IF(C3058="Estágio",SUMIFS($D:$D,$A:$A,$A3058,$B:$B,"&lt;&gt;Patrícia Karla de Sousa Araújo",$B:$B,"&lt;&gt;Lorena Dias de Araujo",$B:$B,"&lt;&gt;Lucas Luiz Romero")*(10/1083),0)))))),0)</f>
        <v>15</v>
      </c>
      <c r="K3058" s="3">
        <f>I3058-J3058</f>
        <v>-1</v>
      </c>
      <c r="L3058" s="3" t="str">
        <f>IF(K3058&lt;-5,"CRÍTICO",IF(K3058&lt;0,"ATENÇÃO",IF(K3058&lt;=5,"OPORTUNO","MUITO BOM")))</f>
        <v>ATENÇÃO</v>
      </c>
      <c r="M3058">
        <v>11</v>
      </c>
      <c r="N3058">
        <v>95.35</v>
      </c>
      <c r="O3058">
        <v>28.61538461538461</v>
      </c>
    </row>
    <row r="3059" spans="1:15" hidden="1" x14ac:dyDescent="0.25">
      <c r="A3059" s="11">
        <v>46097</v>
      </c>
      <c r="B3059" t="s">
        <v>45</v>
      </c>
      <c r="C3059" t="s">
        <v>32</v>
      </c>
      <c r="D3059">
        <v>37</v>
      </c>
      <c r="E3059">
        <v>32</v>
      </c>
      <c r="F3059">
        <v>14.09</v>
      </c>
      <c r="G3059">
        <v>0</v>
      </c>
      <c r="H3059">
        <v>0</v>
      </c>
      <c r="I3059" s="3">
        <f>E3059+G3059+H3059</f>
        <v>32</v>
      </c>
      <c r="J3059" s="3">
        <f>ROUND(MIN(IF(C3059="Técnico III",35,IF(C3059="Técnico II",28,IF(C3059="Técnico I",23,IF(C3059="JR",20,IF(C3059="Estágio",10,0))))),IF(C3059="Técnico III",SUMIFS($D:$D,$A:$A,$A3059,$B:$B,"&lt;&gt;Patrícia Karla de Sousa Araújo",$B:$B,"&lt;&gt;Lorena Dias de Araujo",$B:$B,"&lt;&gt;Lucas Luiz Romero")*(35/1083),IF(C3059="Técnico II",SUMIFS($D:$D,$A:$A,$A3059,$B:$B,"&lt;&gt;Patrícia Karla de Sousa Araújo",$B:$B,"&lt;&gt;Lorena Dias de Araujo",$B:$B,"&lt;&gt;Lucas Luiz Romero")*(28/1083),IF(C3059="Técnico I",SUMIFS($D:$D,$A:$A,$A3059,$B:$B,"&lt;&gt;Patrícia Karla de Sousa Araújo",$B:$B,"&lt;&gt;Lorena Dias de Araujo",$B:$B,"&lt;&gt;Lucas Luiz Romero")*(23/1083),IF(C3059="JR",SUMIFS($D:$D,$A:$A,$A3059,$B:$B,"&lt;&gt;Patrícia Karla de Sousa Araújo",$B:$B,"&lt;&gt;Lorena Dias de Araujo",$B:$B,"&lt;&gt;Lucas Luiz Romero")*(20/1083),IF(C3059="Estágio",SUMIFS($D:$D,$A:$A,$A3059,$B:$B,"&lt;&gt;Patrícia Karla de Sousa Araújo",$B:$B,"&lt;&gt;Lorena Dias de Araujo",$B:$B,"&lt;&gt;Lucas Luiz Romero")*(10/1083),0)))))),0)</f>
        <v>23</v>
      </c>
      <c r="K3059" s="3">
        <f>I3059-J3059</f>
        <v>9</v>
      </c>
      <c r="L3059" s="3" t="str">
        <f>IF(K3059&lt;-5,"CRÍTICO",IF(K3059&lt;0,"ATENÇÃO",IF(K3059&lt;=5,"OPORTUNO","MUITO BOM")))</f>
        <v>MUITO BOM</v>
      </c>
      <c r="M3059">
        <v>29</v>
      </c>
      <c r="N3059">
        <v>98.26</v>
      </c>
      <c r="O3059">
        <v>27.54491017964072</v>
      </c>
    </row>
    <row r="3060" spans="1:15" hidden="1" x14ac:dyDescent="0.25">
      <c r="A3060" s="11">
        <v>46097</v>
      </c>
      <c r="B3060" t="s">
        <v>64</v>
      </c>
      <c r="C3060" t="s">
        <v>23</v>
      </c>
      <c r="D3060">
        <v>15</v>
      </c>
      <c r="E3060">
        <v>15</v>
      </c>
      <c r="F3060">
        <v>37.07</v>
      </c>
      <c r="G3060">
        <v>0</v>
      </c>
      <c r="H3060">
        <v>0</v>
      </c>
      <c r="I3060" s="3">
        <f>E3060+G3060+H3060</f>
        <v>15</v>
      </c>
      <c r="J3060" s="3">
        <f>ROUND(MIN(IF(C3060="Técnico III",35,IF(C3060="Técnico II",28,IF(C3060="Técnico I",23,IF(C3060="JR",20,IF(C3060="Estágio",10,0))))),IF(C3060="Técnico III",SUMIFS($D:$D,$A:$A,$A3060,$B:$B,"&lt;&gt;Patrícia Karla de Sousa Araújo",$B:$B,"&lt;&gt;Lorena Dias de Araujo",$B:$B,"&lt;&gt;Lucas Luiz Romero")*(35/1083),IF(C3060="Técnico II",SUMIFS($D:$D,$A:$A,$A3060,$B:$B,"&lt;&gt;Patrícia Karla de Sousa Araújo",$B:$B,"&lt;&gt;Lorena Dias de Araujo",$B:$B,"&lt;&gt;Lucas Luiz Romero")*(28/1083),IF(C3060="Técnico I",SUMIFS($D:$D,$A:$A,$A3060,$B:$B,"&lt;&gt;Patrícia Karla de Sousa Araújo",$B:$B,"&lt;&gt;Lorena Dias de Araujo",$B:$B,"&lt;&gt;Lucas Luiz Romero")*(23/1083),IF(C3060="JR",SUMIFS($D:$D,$A:$A,$A3060,$B:$B,"&lt;&gt;Patrícia Karla de Sousa Araújo",$B:$B,"&lt;&gt;Lorena Dias de Araujo",$B:$B,"&lt;&gt;Lucas Luiz Romero")*(20/1083),IF(C3060="Estágio",SUMIFS($D:$D,$A:$A,$A3060,$B:$B,"&lt;&gt;Patrícia Karla de Sousa Araújo",$B:$B,"&lt;&gt;Lorena Dias de Araujo",$B:$B,"&lt;&gt;Lucas Luiz Romero")*(10/1083),0)))))),0)</f>
        <v>15</v>
      </c>
      <c r="K3060" s="3">
        <f>I3060-J3060</f>
        <v>0</v>
      </c>
      <c r="L3060" s="3" t="str">
        <f>IF(K3060&lt;-5,"CRÍTICO",IF(K3060&lt;0,"ATENÇÃO",IF(K3060&lt;=5,"OPORTUNO","MUITO BOM")))</f>
        <v>OPORTUNO</v>
      </c>
      <c r="M3060">
        <v>13</v>
      </c>
      <c r="N3060">
        <v>98.55</v>
      </c>
      <c r="O3060">
        <v>25.337837837837839</v>
      </c>
    </row>
    <row r="3061" spans="1:15" hidden="1" x14ac:dyDescent="0.25">
      <c r="A3061" s="11">
        <v>46097</v>
      </c>
      <c r="B3061" t="s">
        <v>46</v>
      </c>
      <c r="C3061" t="s">
        <v>32</v>
      </c>
      <c r="D3061">
        <v>28</v>
      </c>
      <c r="E3061">
        <v>28</v>
      </c>
      <c r="F3061">
        <v>17.190000000000001</v>
      </c>
      <c r="G3061">
        <v>0</v>
      </c>
      <c r="H3061">
        <v>0</v>
      </c>
      <c r="I3061" s="3">
        <f>E3061+G3061+H3061</f>
        <v>28</v>
      </c>
      <c r="J3061" s="3">
        <f>ROUND(MIN(IF(C3061="Técnico III",35,IF(C3061="Técnico II",28,IF(C3061="Técnico I",23,IF(C3061="JR",20,IF(C3061="Estágio",10,0))))),IF(C3061="Técnico III",SUMIFS($D:$D,$A:$A,$A3061,$B:$B,"&lt;&gt;Patrícia Karla de Sousa Araújo",$B:$B,"&lt;&gt;Lorena Dias de Araujo",$B:$B,"&lt;&gt;Lucas Luiz Romero")*(35/1083),IF(C3061="Técnico II",SUMIFS($D:$D,$A:$A,$A3061,$B:$B,"&lt;&gt;Patrícia Karla de Sousa Araújo",$B:$B,"&lt;&gt;Lorena Dias de Araujo",$B:$B,"&lt;&gt;Lucas Luiz Romero")*(28/1083),IF(C3061="Técnico I",SUMIFS($D:$D,$A:$A,$A3061,$B:$B,"&lt;&gt;Patrícia Karla de Sousa Araújo",$B:$B,"&lt;&gt;Lorena Dias de Araujo",$B:$B,"&lt;&gt;Lucas Luiz Romero")*(23/1083),IF(C3061="JR",SUMIFS($D:$D,$A:$A,$A3061,$B:$B,"&lt;&gt;Patrícia Karla de Sousa Araújo",$B:$B,"&lt;&gt;Lorena Dias de Araujo",$B:$B,"&lt;&gt;Lucas Luiz Romero")*(20/1083),IF(C3061="Estágio",SUMIFS($D:$D,$A:$A,$A3061,$B:$B,"&lt;&gt;Patrícia Karla de Sousa Araújo",$B:$B,"&lt;&gt;Lorena Dias de Araujo",$B:$B,"&lt;&gt;Lucas Luiz Romero")*(10/1083),0)))))),0)</f>
        <v>23</v>
      </c>
      <c r="K3061" s="3">
        <f>I3061-J3061</f>
        <v>5</v>
      </c>
      <c r="L3061" s="3" t="str">
        <f>IF(K3061&lt;-5,"CRÍTICO",IF(K3061&lt;0,"ATENÇÃO",IF(K3061&lt;=5,"OPORTUNO","MUITO BOM")))</f>
        <v>OPORTUNO</v>
      </c>
      <c r="M3061">
        <v>25</v>
      </c>
      <c r="N3061">
        <v>98.39</v>
      </c>
      <c r="O3061">
        <v>25.563909774436091</v>
      </c>
    </row>
    <row r="3062" spans="1:15" hidden="1" x14ac:dyDescent="0.25">
      <c r="A3062" s="11">
        <v>46098</v>
      </c>
      <c r="B3062" t="s">
        <v>47</v>
      </c>
      <c r="C3062" t="s">
        <v>48</v>
      </c>
      <c r="D3062">
        <v>31</v>
      </c>
      <c r="E3062">
        <v>27</v>
      </c>
      <c r="F3062">
        <v>16.559999999999999</v>
      </c>
      <c r="G3062">
        <v>0</v>
      </c>
      <c r="H3062">
        <v>0</v>
      </c>
      <c r="I3062" s="3">
        <f>E3062+G3062+H3062</f>
        <v>27</v>
      </c>
      <c r="J3062" s="3">
        <f>ROUND(MIN(IF(C3062="Técnico III",35,IF(C3062="Técnico II",28,IF(C3062="Técnico I",23,IF(C3062="JR",20,IF(C3062="Estágio",10,0))))),IF(C3062="Técnico III",SUMIFS($D:$D,$A:$A,$A3062,$B:$B,"&lt;&gt;Patrícia Karla de Sousa Araújo",$B:$B,"&lt;&gt;Lorena Dias de Araujo",$B:$B,"&lt;&gt;Lucas Luiz Romero")*(35/1083),IF(C3062="Técnico II",SUMIFS($D:$D,$A:$A,$A3062,$B:$B,"&lt;&gt;Patrícia Karla de Sousa Araújo",$B:$B,"&lt;&gt;Lorena Dias de Araujo",$B:$B,"&lt;&gt;Lucas Luiz Romero")*(28/1083),IF(C3062="Técnico I",SUMIFS($D:$D,$A:$A,$A3062,$B:$B,"&lt;&gt;Patrícia Karla de Sousa Araújo",$B:$B,"&lt;&gt;Lorena Dias de Araujo",$B:$B,"&lt;&gt;Lucas Luiz Romero")*(23/1083),IF(C3062="JR",SUMIFS($D:$D,$A:$A,$A3062,$B:$B,"&lt;&gt;Patrícia Karla de Sousa Araújo",$B:$B,"&lt;&gt;Lorena Dias de Araujo",$B:$B,"&lt;&gt;Lucas Luiz Romero")*(20/1083),IF(C3062="Estágio",SUMIFS($D:$D,$A:$A,$A3062,$B:$B,"&lt;&gt;Patrícia Karla de Sousa Araújo",$B:$B,"&lt;&gt;Lorena Dias de Araujo",$B:$B,"&lt;&gt;Lucas Luiz Romero")*(10/1083),0)))))),0)</f>
        <v>18</v>
      </c>
      <c r="K3062" s="3">
        <f>I3062-J3062</f>
        <v>9</v>
      </c>
      <c r="L3062" s="3" t="str">
        <f>IF(K3062&lt;-5,"CRÍTICO",IF(K3062&lt;0,"ATENÇÃO",IF(K3062&lt;=5,"OPORTUNO","MUITO BOM")))</f>
        <v>MUITO BOM</v>
      </c>
      <c r="M3062">
        <v>19</v>
      </c>
      <c r="N3062">
        <v>94.29</v>
      </c>
      <c r="O3062">
        <v>25.647668393782389</v>
      </c>
    </row>
    <row r="3063" spans="1:15" hidden="1" x14ac:dyDescent="0.25">
      <c r="A3063" s="11">
        <v>46098</v>
      </c>
      <c r="B3063" t="s">
        <v>31</v>
      </c>
      <c r="C3063" t="s">
        <v>32</v>
      </c>
      <c r="D3063">
        <v>0</v>
      </c>
      <c r="E3063">
        <v>0</v>
      </c>
      <c r="F3063">
        <v>0</v>
      </c>
      <c r="G3063">
        <v>0</v>
      </c>
      <c r="H3063">
        <v>0</v>
      </c>
      <c r="I3063" s="3">
        <v>0</v>
      </c>
      <c r="J3063" s="3">
        <v>0</v>
      </c>
      <c r="K3063" s="3">
        <v>0</v>
      </c>
      <c r="L3063" s="3" t="str">
        <f>IF(K3063&lt;-5,"CRÍTICO",IF(K3063&lt;0,"ATENÇÃO",IF(K3063&lt;=5,"OPORTUNO","MUITO BOM")))</f>
        <v>OPORTUNO</v>
      </c>
      <c r="M3063">
        <v>24</v>
      </c>
      <c r="N3063">
        <v>98.26</v>
      </c>
      <c r="O3063">
        <v>26.666666666666671</v>
      </c>
    </row>
    <row r="3064" spans="1:15" hidden="1" x14ac:dyDescent="0.25">
      <c r="A3064" s="11">
        <v>46098</v>
      </c>
      <c r="B3064" t="s">
        <v>59</v>
      </c>
      <c r="C3064" t="s">
        <v>23</v>
      </c>
      <c r="D3064">
        <v>13</v>
      </c>
      <c r="E3064">
        <v>12</v>
      </c>
      <c r="F3064">
        <v>29.12</v>
      </c>
      <c r="G3064">
        <v>0</v>
      </c>
      <c r="H3064">
        <v>0</v>
      </c>
      <c r="I3064" s="3">
        <f>E3064+G3064+H3064</f>
        <v>12</v>
      </c>
      <c r="J3064" s="3">
        <f>ROUND(MIN(IF(C3064="Técnico III",35,IF(C3064="Técnico II",28,IF(C3064="Técnico I",23,IF(C3064="JR",20,IF(C3064="Estágio",10,0))))),IF(C3064="Técnico III",SUMIFS($D:$D,$A:$A,$A3064,$B:$B,"&lt;&gt;Patrícia Karla de Sousa Araújo",$B:$B,"&lt;&gt;Lorena Dias de Araujo",$B:$B,"&lt;&gt;Lucas Luiz Romero")*(35/1083),IF(C3064="Técnico II",SUMIFS($D:$D,$A:$A,$A3064,$B:$B,"&lt;&gt;Patrícia Karla de Sousa Araújo",$B:$B,"&lt;&gt;Lorena Dias de Araujo",$B:$B,"&lt;&gt;Lucas Luiz Romero")*(28/1083),IF(C3064="Técnico I",SUMIFS($D:$D,$A:$A,$A3064,$B:$B,"&lt;&gt;Patrícia Karla de Sousa Araújo",$B:$B,"&lt;&gt;Lorena Dias de Araujo",$B:$B,"&lt;&gt;Lucas Luiz Romero")*(23/1083),IF(C3064="JR",SUMIFS($D:$D,$A:$A,$A3064,$B:$B,"&lt;&gt;Patrícia Karla de Sousa Araújo",$B:$B,"&lt;&gt;Lorena Dias de Araujo",$B:$B,"&lt;&gt;Lucas Luiz Romero")*(20/1083),IF(C3064="Estágio",SUMIFS($D:$D,$A:$A,$A3064,$B:$B,"&lt;&gt;Patrícia Karla de Sousa Araújo",$B:$B,"&lt;&gt;Lorena Dias de Araujo",$B:$B,"&lt;&gt;Lucas Luiz Romero")*(10/1083),0)))))),0)</f>
        <v>15</v>
      </c>
      <c r="K3064" s="3">
        <f>I3064-J3064</f>
        <v>-3</v>
      </c>
      <c r="L3064" s="3" t="str">
        <f>IF(K3064&lt;-5,"CRÍTICO",IF(K3064&lt;0,"ATENÇÃO",IF(K3064&lt;=5,"OPORTUNO","MUITO BOM")))</f>
        <v>ATENÇÃO</v>
      </c>
      <c r="M3064">
        <v>13</v>
      </c>
      <c r="N3064">
        <v>98.2</v>
      </c>
      <c r="O3064">
        <v>23.37962962962963</v>
      </c>
    </row>
    <row r="3065" spans="1:15" hidden="1" x14ac:dyDescent="0.25">
      <c r="A3065" s="11">
        <v>46098</v>
      </c>
      <c r="B3065" t="s">
        <v>33</v>
      </c>
      <c r="C3065" t="s">
        <v>32</v>
      </c>
      <c r="D3065">
        <v>30</v>
      </c>
      <c r="E3065">
        <v>27</v>
      </c>
      <c r="F3065">
        <v>20.36</v>
      </c>
      <c r="G3065">
        <v>0</v>
      </c>
      <c r="H3065">
        <v>0</v>
      </c>
      <c r="I3065" s="3">
        <f>E3065+G3065+H3065</f>
        <v>27</v>
      </c>
      <c r="J3065" s="3">
        <f>ROUND(MIN(IF(C3065="Técnico III",35,IF(C3065="Técnico II",28,IF(C3065="Técnico I",23,IF(C3065="JR",20,IF(C3065="Estágio",10,0))))),IF(C3065="Técnico III",SUMIFS($D:$D,$A:$A,$A3065,$B:$B,"&lt;&gt;Patrícia Karla de Sousa Araújo",$B:$B,"&lt;&gt;Lorena Dias de Araujo",$B:$B,"&lt;&gt;Lucas Luiz Romero")*(35/1083),IF(C3065="Técnico II",SUMIFS($D:$D,$A:$A,$A3065,$B:$B,"&lt;&gt;Patrícia Karla de Sousa Araújo",$B:$B,"&lt;&gt;Lorena Dias de Araujo",$B:$B,"&lt;&gt;Lucas Luiz Romero")*(28/1083),IF(C3065="Técnico I",SUMIFS($D:$D,$A:$A,$A3065,$B:$B,"&lt;&gt;Patrícia Karla de Sousa Araújo",$B:$B,"&lt;&gt;Lorena Dias de Araujo",$B:$B,"&lt;&gt;Lucas Luiz Romero")*(23/1083),IF(C3065="JR",SUMIFS($D:$D,$A:$A,$A3065,$B:$B,"&lt;&gt;Patrícia Karla de Sousa Araújo",$B:$B,"&lt;&gt;Lorena Dias de Araujo",$B:$B,"&lt;&gt;Lucas Luiz Romero")*(20/1083),IF(C3065="Estágio",SUMIFS($D:$D,$A:$A,$A3065,$B:$B,"&lt;&gt;Patrícia Karla de Sousa Araújo",$B:$B,"&lt;&gt;Lorena Dias de Araujo",$B:$B,"&lt;&gt;Lucas Luiz Romero")*(10/1083),0)))))),0)</f>
        <v>23</v>
      </c>
      <c r="K3065" s="3">
        <f>I3065-J3065</f>
        <v>4</v>
      </c>
      <c r="L3065" s="3" t="str">
        <f>IF(K3065&lt;-5,"CRÍTICO",IF(K3065&lt;0,"ATENÇÃO",IF(K3065&lt;=5,"OPORTUNO","MUITO BOM")))</f>
        <v>OPORTUNO</v>
      </c>
      <c r="M3065">
        <v>28</v>
      </c>
      <c r="N3065">
        <v>97.3</v>
      </c>
      <c r="O3065">
        <v>23.84769539078156</v>
      </c>
    </row>
    <row r="3066" spans="1:15" hidden="1" x14ac:dyDescent="0.25">
      <c r="A3066" s="11">
        <v>46098</v>
      </c>
      <c r="B3066" t="s">
        <v>15</v>
      </c>
      <c r="C3066" t="s">
        <v>16</v>
      </c>
      <c r="D3066">
        <v>18</v>
      </c>
      <c r="E3066">
        <v>15</v>
      </c>
      <c r="F3066">
        <v>20.54</v>
      </c>
      <c r="G3066">
        <v>0</v>
      </c>
      <c r="H3066">
        <v>0</v>
      </c>
      <c r="I3066" s="3">
        <f>E3066+G3066+H3066</f>
        <v>15</v>
      </c>
      <c r="J3066" s="3">
        <f>ROUND(MIN(IF(C3066="Técnico III",35,IF(C3066="Técnico II",28,IF(C3066="Técnico I",23,IF(C3066="JR",20,IF(C3066="Estágio",10,0))))),IF(C3066="Técnico III",SUMIFS($D:$D,$A:$A,$A3066,$B:$B,"&lt;&gt;Patrícia Karla de Sousa Araújo",$B:$B,"&lt;&gt;Lorena Dias de Araujo",$B:$B,"&lt;&gt;Lucas Luiz Romero")*(35/1083),IF(C3066="Técnico II",SUMIFS($D:$D,$A:$A,$A3066,$B:$B,"&lt;&gt;Patrícia Karla de Sousa Araújo",$B:$B,"&lt;&gt;Lorena Dias de Araujo",$B:$B,"&lt;&gt;Lucas Luiz Romero")*(28/1083),IF(C3066="Técnico I",SUMIFS($D:$D,$A:$A,$A3066,$B:$B,"&lt;&gt;Patrícia Karla de Sousa Araújo",$B:$B,"&lt;&gt;Lorena Dias de Araujo",$B:$B,"&lt;&gt;Lucas Luiz Romero")*(23/1083),IF(C3066="JR",SUMIFS($D:$D,$A:$A,$A3066,$B:$B,"&lt;&gt;Patrícia Karla de Sousa Araújo",$B:$B,"&lt;&gt;Lorena Dias de Araujo",$B:$B,"&lt;&gt;Lucas Luiz Romero")*(20/1083),IF(C3066="Estágio",SUMIFS($D:$D,$A:$A,$A3066,$B:$B,"&lt;&gt;Patrícia Karla de Sousa Araújo",$B:$B,"&lt;&gt;Lorena Dias de Araujo",$B:$B,"&lt;&gt;Lucas Luiz Romero")*(10/1083),0)))))),0)</f>
        <v>7</v>
      </c>
      <c r="K3066" s="3">
        <f>I3066-J3066</f>
        <v>8</v>
      </c>
      <c r="L3066" s="3" t="str">
        <f>IF(K3066&lt;-5,"CRÍTICO",IF(K3066&lt;0,"ATENÇÃO",IF(K3066&lt;=5,"OPORTUNO","MUITO BOM")))</f>
        <v>MUITO BOM</v>
      </c>
      <c r="M3066">
        <v>13</v>
      </c>
      <c r="N3066">
        <v>100</v>
      </c>
      <c r="O3066">
        <v>25.268817204301079</v>
      </c>
    </row>
    <row r="3067" spans="1:15" hidden="1" x14ac:dyDescent="0.25">
      <c r="A3067" s="11">
        <v>46098</v>
      </c>
      <c r="B3067" t="s">
        <v>49</v>
      </c>
      <c r="C3067" t="s">
        <v>48</v>
      </c>
      <c r="D3067">
        <v>40</v>
      </c>
      <c r="E3067">
        <v>35</v>
      </c>
      <c r="F3067">
        <v>15.36</v>
      </c>
      <c r="G3067">
        <v>0</v>
      </c>
      <c r="H3067">
        <v>0</v>
      </c>
      <c r="I3067" s="3">
        <f>E3067+G3067+H3067</f>
        <v>35</v>
      </c>
      <c r="J3067" s="3">
        <f>ROUND(MIN(IF(C3067="Técnico III",35,IF(C3067="Técnico II",28,IF(C3067="Técnico I",23,IF(C3067="JR",20,IF(C3067="Estágio",10,0))))),IF(C3067="Técnico III",SUMIFS($D:$D,$A:$A,$A3067,$B:$B,"&lt;&gt;Patrícia Karla de Sousa Araújo",$B:$B,"&lt;&gt;Lorena Dias de Araujo",$B:$B,"&lt;&gt;Lucas Luiz Romero")*(35/1083),IF(C3067="Técnico II",SUMIFS($D:$D,$A:$A,$A3067,$B:$B,"&lt;&gt;Patrícia Karla de Sousa Araújo",$B:$B,"&lt;&gt;Lorena Dias de Araujo",$B:$B,"&lt;&gt;Lucas Luiz Romero")*(28/1083),IF(C3067="Técnico I",SUMIFS($D:$D,$A:$A,$A3067,$B:$B,"&lt;&gt;Patrícia Karla de Sousa Araújo",$B:$B,"&lt;&gt;Lorena Dias de Araujo",$B:$B,"&lt;&gt;Lucas Luiz Romero")*(23/1083),IF(C3067="JR",SUMIFS($D:$D,$A:$A,$A3067,$B:$B,"&lt;&gt;Patrícia Karla de Sousa Araújo",$B:$B,"&lt;&gt;Lorena Dias de Araujo",$B:$B,"&lt;&gt;Lucas Luiz Romero")*(20/1083),IF(C3067="Estágio",SUMIFS($D:$D,$A:$A,$A3067,$B:$B,"&lt;&gt;Patrícia Karla de Sousa Araújo",$B:$B,"&lt;&gt;Lorena Dias de Araujo",$B:$B,"&lt;&gt;Lucas Luiz Romero")*(10/1083),0)))))),0)</f>
        <v>18</v>
      </c>
      <c r="K3067" s="3">
        <f>I3067-J3067</f>
        <v>17</v>
      </c>
      <c r="L3067" s="3" t="str">
        <f>IF(K3067&lt;-5,"CRÍTICO",IF(K3067&lt;0,"ATENÇÃO",IF(K3067&lt;=5,"OPORTUNO","MUITO BOM")))</f>
        <v>MUITO BOM</v>
      </c>
      <c r="M3067">
        <v>30</v>
      </c>
      <c r="N3067">
        <v>99.32</v>
      </c>
      <c r="O3067">
        <v>22.822822822822818</v>
      </c>
    </row>
    <row r="3068" spans="1:15" hidden="1" x14ac:dyDescent="0.25">
      <c r="A3068" s="11">
        <v>46098</v>
      </c>
      <c r="B3068" t="s">
        <v>50</v>
      </c>
      <c r="C3068" t="s">
        <v>48</v>
      </c>
      <c r="D3068">
        <v>4</v>
      </c>
      <c r="E3068">
        <v>4</v>
      </c>
      <c r="F3068">
        <v>17.18</v>
      </c>
      <c r="G3068">
        <v>0</v>
      </c>
      <c r="H3068">
        <v>0</v>
      </c>
      <c r="I3068" s="3">
        <f>E3068+G3068+H3068</f>
        <v>4</v>
      </c>
      <c r="J3068" s="3">
        <f>ROUND(MIN(IF(C3068="Técnico III",35,IF(C3068="Técnico II",28,IF(C3068="Técnico I",23,IF(C3068="JR",20,IF(C3068="Estágio",10,0))))),IF(C3068="Técnico III",SUMIFS($D:$D,$A:$A,$A3068,$B:$B,"&lt;&gt;Patrícia Karla de Sousa Araújo",$B:$B,"&lt;&gt;Lorena Dias de Araujo",$B:$B,"&lt;&gt;Lucas Luiz Romero")*(35/1083),IF(C3068="Técnico II",SUMIFS($D:$D,$A:$A,$A3068,$B:$B,"&lt;&gt;Patrícia Karla de Sousa Araújo",$B:$B,"&lt;&gt;Lorena Dias de Araujo",$B:$B,"&lt;&gt;Lucas Luiz Romero")*(28/1083),IF(C3068="Técnico I",SUMIFS($D:$D,$A:$A,$A3068,$B:$B,"&lt;&gt;Patrícia Karla de Sousa Araújo",$B:$B,"&lt;&gt;Lorena Dias de Araujo",$B:$B,"&lt;&gt;Lucas Luiz Romero")*(23/1083),IF(C3068="JR",SUMIFS($D:$D,$A:$A,$A3068,$B:$B,"&lt;&gt;Patrícia Karla de Sousa Araújo",$B:$B,"&lt;&gt;Lorena Dias de Araujo",$B:$B,"&lt;&gt;Lucas Luiz Romero")*(20/1083),IF(C3068="Estágio",SUMIFS($D:$D,$A:$A,$A3068,$B:$B,"&lt;&gt;Patrícia Karla de Sousa Araújo",$B:$B,"&lt;&gt;Lorena Dias de Araujo",$B:$B,"&lt;&gt;Lucas Luiz Romero")*(10/1083),0)))))),0)</f>
        <v>18</v>
      </c>
      <c r="K3068" s="3">
        <f>I3068-J3068</f>
        <v>-14</v>
      </c>
      <c r="L3068" s="3" t="str">
        <f>IF(K3068&lt;-5,"CRÍTICO",IF(K3068&lt;0,"ATENÇÃO",IF(K3068&lt;=5,"OPORTUNO","MUITO BOM")))</f>
        <v>CRÍTICO</v>
      </c>
      <c r="M3068">
        <v>5</v>
      </c>
      <c r="N3068">
        <v>100</v>
      </c>
      <c r="O3068">
        <v>27.966101694915249</v>
      </c>
    </row>
    <row r="3069" spans="1:15" hidden="1" x14ac:dyDescent="0.25">
      <c r="A3069" s="11">
        <v>46098</v>
      </c>
      <c r="B3069" t="s">
        <v>17</v>
      </c>
      <c r="C3069" t="s">
        <v>16</v>
      </c>
      <c r="D3069">
        <v>0</v>
      </c>
      <c r="E3069">
        <v>0</v>
      </c>
      <c r="F3069">
        <v>0</v>
      </c>
      <c r="G3069">
        <v>0</v>
      </c>
      <c r="H3069">
        <v>0</v>
      </c>
      <c r="I3069" s="3">
        <v>0</v>
      </c>
      <c r="J3069" s="3">
        <v>0</v>
      </c>
      <c r="K3069" s="3">
        <v>0</v>
      </c>
      <c r="L3069" s="3" t="str">
        <f>IF(K3069&lt;-5,"CRÍTICO",IF(K3069&lt;0,"ATENÇÃO",IF(K3069&lt;=5,"OPORTUNO","MUITO BOM")))</f>
        <v>OPORTUNO</v>
      </c>
      <c r="M3069">
        <v>0</v>
      </c>
      <c r="N3069">
        <v>100</v>
      </c>
      <c r="O3069">
        <v>30.434782608695659</v>
      </c>
    </row>
    <row r="3070" spans="1:15" hidden="1" x14ac:dyDescent="0.25">
      <c r="A3070" s="11">
        <v>46098</v>
      </c>
      <c r="B3070" t="s">
        <v>60</v>
      </c>
      <c r="C3070" t="s">
        <v>23</v>
      </c>
      <c r="D3070">
        <v>24</v>
      </c>
      <c r="E3070">
        <v>24</v>
      </c>
      <c r="F3070">
        <v>20.29</v>
      </c>
      <c r="G3070">
        <v>0</v>
      </c>
      <c r="H3070">
        <v>0</v>
      </c>
      <c r="I3070" s="3">
        <f>E3070+G3070+H3070</f>
        <v>24</v>
      </c>
      <c r="J3070" s="3">
        <f>ROUND(MIN(IF(C3070="Técnico III",35,IF(C3070="Técnico II",28,IF(C3070="Técnico I",23,IF(C3070="JR",20,IF(C3070="Estágio",10,0))))),IF(C3070="Técnico III",SUMIFS($D:$D,$A:$A,$A3070,$B:$B,"&lt;&gt;Patrícia Karla de Sousa Araújo",$B:$B,"&lt;&gt;Lorena Dias de Araujo",$B:$B,"&lt;&gt;Lucas Luiz Romero")*(35/1083),IF(C3070="Técnico II",SUMIFS($D:$D,$A:$A,$A3070,$B:$B,"&lt;&gt;Patrícia Karla de Sousa Araújo",$B:$B,"&lt;&gt;Lorena Dias de Araujo",$B:$B,"&lt;&gt;Lucas Luiz Romero")*(28/1083),IF(C3070="Técnico I",SUMIFS($D:$D,$A:$A,$A3070,$B:$B,"&lt;&gt;Patrícia Karla de Sousa Araújo",$B:$B,"&lt;&gt;Lorena Dias de Araujo",$B:$B,"&lt;&gt;Lucas Luiz Romero")*(23/1083),IF(C3070="JR",SUMIFS($D:$D,$A:$A,$A3070,$B:$B,"&lt;&gt;Patrícia Karla de Sousa Araújo",$B:$B,"&lt;&gt;Lorena Dias de Araujo",$B:$B,"&lt;&gt;Lucas Luiz Romero")*(20/1083),IF(C3070="Estágio",SUMIFS($D:$D,$A:$A,$A3070,$B:$B,"&lt;&gt;Patrícia Karla de Sousa Araújo",$B:$B,"&lt;&gt;Lorena Dias de Araujo",$B:$B,"&lt;&gt;Lucas Luiz Romero")*(10/1083),0)))))),0)</f>
        <v>15</v>
      </c>
      <c r="K3070" s="3">
        <f>I3070-J3070</f>
        <v>9</v>
      </c>
      <c r="L3070" s="3" t="str">
        <f>IF(K3070&lt;-5,"CRÍTICO",IF(K3070&lt;0,"ATENÇÃO",IF(K3070&lt;=5,"OPORTUNO","MUITO BOM")))</f>
        <v>MUITO BOM</v>
      </c>
      <c r="M3070">
        <v>22</v>
      </c>
      <c r="N3070">
        <v>96.51</v>
      </c>
      <c r="O3070">
        <v>22.802850356294542</v>
      </c>
    </row>
    <row r="3071" spans="1:15" hidden="1" x14ac:dyDescent="0.25">
      <c r="A3071" s="11">
        <v>46098</v>
      </c>
      <c r="B3071" t="s">
        <v>34</v>
      </c>
      <c r="C3071" t="s">
        <v>32</v>
      </c>
      <c r="D3071">
        <v>0</v>
      </c>
      <c r="E3071">
        <v>0</v>
      </c>
      <c r="F3071">
        <v>0</v>
      </c>
      <c r="G3071">
        <v>0</v>
      </c>
      <c r="H3071">
        <v>0</v>
      </c>
      <c r="I3071" s="3">
        <v>0</v>
      </c>
      <c r="J3071" s="3">
        <v>0</v>
      </c>
      <c r="K3071" s="3">
        <v>0</v>
      </c>
      <c r="L3071" s="3" t="str">
        <f>IF(K3071&lt;-5,"CRÍTICO",IF(K3071&lt;0,"ATENÇÃO",IF(K3071&lt;=5,"OPORTUNO","MUITO BOM")))</f>
        <v>OPORTUNO</v>
      </c>
      <c r="M3071">
        <v>9</v>
      </c>
      <c r="N3071">
        <v>92.68</v>
      </c>
      <c r="O3071">
        <v>27.777777777777779</v>
      </c>
    </row>
    <row r="3072" spans="1:15" hidden="1" x14ac:dyDescent="0.25">
      <c r="A3072" s="11">
        <v>46098</v>
      </c>
      <c r="B3072" t="s">
        <v>51</v>
      </c>
      <c r="C3072" t="s">
        <v>48</v>
      </c>
      <c r="D3072">
        <v>29</v>
      </c>
      <c r="E3072">
        <v>26</v>
      </c>
      <c r="F3072">
        <v>21.42</v>
      </c>
      <c r="G3072">
        <v>0</v>
      </c>
      <c r="H3072">
        <v>0</v>
      </c>
      <c r="I3072" s="3">
        <v>0</v>
      </c>
      <c r="J3072" s="3">
        <v>0</v>
      </c>
      <c r="K3072" s="3">
        <v>0</v>
      </c>
      <c r="L3072" s="3" t="str">
        <f>IF(K3072&lt;-5,"CRÍTICO",IF(K3072&lt;0,"ATENÇÃO",IF(K3072&lt;=5,"OPORTUNO","MUITO BOM")))</f>
        <v>OPORTUNO</v>
      </c>
      <c r="M3072">
        <v>26</v>
      </c>
      <c r="N3072">
        <v>99.03</v>
      </c>
      <c r="O3072">
        <v>23.991507430997881</v>
      </c>
    </row>
    <row r="3073" spans="1:15" hidden="1" x14ac:dyDescent="0.25">
      <c r="A3073" s="11">
        <v>46098</v>
      </c>
      <c r="B3073" t="s">
        <v>61</v>
      </c>
      <c r="C3073" t="s">
        <v>23</v>
      </c>
      <c r="D3073">
        <v>24</v>
      </c>
      <c r="E3073">
        <v>22</v>
      </c>
      <c r="F3073">
        <v>25.58</v>
      </c>
      <c r="G3073">
        <v>0</v>
      </c>
      <c r="H3073">
        <v>0</v>
      </c>
      <c r="I3073" s="3">
        <f>E3073+G3073+H3073</f>
        <v>22</v>
      </c>
      <c r="J3073" s="3">
        <f>ROUND(MIN(IF(C3073="Técnico III",35,IF(C3073="Técnico II",28,IF(C3073="Técnico I",23,IF(C3073="JR",20,IF(C3073="Estágio",10,0))))),IF(C3073="Técnico III",SUMIFS($D:$D,$A:$A,$A3073,$B:$B,"&lt;&gt;Patrícia Karla de Sousa Araújo",$B:$B,"&lt;&gt;Lorena Dias de Araujo",$B:$B,"&lt;&gt;Lucas Luiz Romero")*(35/1083),IF(C3073="Técnico II",SUMIFS($D:$D,$A:$A,$A3073,$B:$B,"&lt;&gt;Patrícia Karla de Sousa Araújo",$B:$B,"&lt;&gt;Lorena Dias de Araujo",$B:$B,"&lt;&gt;Lucas Luiz Romero")*(28/1083),IF(C3073="Técnico I",SUMIFS($D:$D,$A:$A,$A3073,$B:$B,"&lt;&gt;Patrícia Karla de Sousa Araújo",$B:$B,"&lt;&gt;Lorena Dias de Araujo",$B:$B,"&lt;&gt;Lucas Luiz Romero")*(23/1083),IF(C3073="JR",SUMIFS($D:$D,$A:$A,$A3073,$B:$B,"&lt;&gt;Patrícia Karla de Sousa Araújo",$B:$B,"&lt;&gt;Lorena Dias de Araujo",$B:$B,"&lt;&gt;Lucas Luiz Romero")*(20/1083),IF(C3073="Estágio",SUMIFS($D:$D,$A:$A,$A3073,$B:$B,"&lt;&gt;Patrícia Karla de Sousa Araújo",$B:$B,"&lt;&gt;Lorena Dias de Araujo",$B:$B,"&lt;&gt;Lucas Luiz Romero")*(10/1083),0)))))),0)</f>
        <v>15</v>
      </c>
      <c r="K3073" s="3">
        <f>I3073-J3073</f>
        <v>7</v>
      </c>
      <c r="L3073" s="3" t="str">
        <f>IF(K3073&lt;-5,"CRÍTICO",IF(K3073&lt;0,"ATENÇÃO",IF(K3073&lt;=5,"OPORTUNO","MUITO BOM")))</f>
        <v>MUITO BOM</v>
      </c>
      <c r="M3073">
        <v>13</v>
      </c>
      <c r="N3073">
        <v>98.41</v>
      </c>
      <c r="O3073">
        <v>28.138528138528141</v>
      </c>
    </row>
    <row r="3074" spans="1:15" hidden="1" x14ac:dyDescent="0.25">
      <c r="A3074" s="11">
        <v>46098</v>
      </c>
      <c r="B3074" t="s">
        <v>35</v>
      </c>
      <c r="C3074" t="s">
        <v>32</v>
      </c>
      <c r="D3074">
        <v>20</v>
      </c>
      <c r="E3074">
        <v>20</v>
      </c>
      <c r="F3074">
        <v>31.55</v>
      </c>
      <c r="G3074">
        <v>0</v>
      </c>
      <c r="H3074">
        <v>0</v>
      </c>
      <c r="I3074" s="3">
        <v>0</v>
      </c>
      <c r="J3074" s="3">
        <v>0</v>
      </c>
      <c r="K3074" s="3">
        <v>0</v>
      </c>
      <c r="L3074" s="3" t="str">
        <f>IF(K3074&lt;-5,"CRÍTICO",IF(K3074&lt;0,"ATENÇÃO",IF(K3074&lt;=5,"OPORTUNO","MUITO BOM")))</f>
        <v>OPORTUNO</v>
      </c>
      <c r="M3074">
        <v>20</v>
      </c>
      <c r="N3074">
        <v>98.73</v>
      </c>
      <c r="O3074">
        <v>29.142857142857139</v>
      </c>
    </row>
    <row r="3075" spans="1:15" hidden="1" x14ac:dyDescent="0.25">
      <c r="A3075" s="11">
        <v>46098</v>
      </c>
      <c r="B3075" t="s">
        <v>18</v>
      </c>
      <c r="C3075" t="s">
        <v>16</v>
      </c>
      <c r="D3075">
        <v>9</v>
      </c>
      <c r="E3075">
        <v>8</v>
      </c>
      <c r="F3075">
        <v>43.36</v>
      </c>
      <c r="G3075">
        <v>0</v>
      </c>
      <c r="H3075">
        <v>0</v>
      </c>
      <c r="I3075" s="3">
        <f>E3075+G3075+H3075</f>
        <v>8</v>
      </c>
      <c r="J3075" s="3">
        <f>ROUND(MIN(IF(C3075="Técnico III",35,IF(C3075="Técnico II",28,IF(C3075="Técnico I",23,IF(C3075="JR",20,IF(C3075="Estágio",10,0))))),IF(C3075="Técnico III",SUMIFS($D:$D,$A:$A,$A3075,$B:$B,"&lt;&gt;Patrícia Karla de Sousa Araújo",$B:$B,"&lt;&gt;Lorena Dias de Araujo",$B:$B,"&lt;&gt;Lucas Luiz Romero")*(35/1083),IF(C3075="Técnico II",SUMIFS($D:$D,$A:$A,$A3075,$B:$B,"&lt;&gt;Patrícia Karla de Sousa Araújo",$B:$B,"&lt;&gt;Lorena Dias de Araujo",$B:$B,"&lt;&gt;Lucas Luiz Romero")*(28/1083),IF(C3075="Técnico I",SUMIFS($D:$D,$A:$A,$A3075,$B:$B,"&lt;&gt;Patrícia Karla de Sousa Araújo",$B:$B,"&lt;&gt;Lorena Dias de Araujo",$B:$B,"&lt;&gt;Lucas Luiz Romero")*(23/1083),IF(C3075="JR",SUMIFS($D:$D,$A:$A,$A3075,$B:$B,"&lt;&gt;Patrícia Karla de Sousa Araújo",$B:$B,"&lt;&gt;Lorena Dias de Araujo",$B:$B,"&lt;&gt;Lucas Luiz Romero")*(20/1083),IF(C3075="Estágio",SUMIFS($D:$D,$A:$A,$A3075,$B:$B,"&lt;&gt;Patrícia Karla de Sousa Araújo",$B:$B,"&lt;&gt;Lorena Dias de Araujo",$B:$B,"&lt;&gt;Lucas Luiz Romero")*(10/1083),0)))))),0)</f>
        <v>7</v>
      </c>
      <c r="K3075" s="3">
        <f>I3075-J3075</f>
        <v>1</v>
      </c>
      <c r="L3075" s="3" t="str">
        <f>IF(K3075&lt;-5,"CRÍTICO",IF(K3075&lt;0,"ATENÇÃO",IF(K3075&lt;=5,"OPORTUNO","MUITO BOM")))</f>
        <v>OPORTUNO</v>
      </c>
      <c r="M3075">
        <v>5</v>
      </c>
      <c r="N3075">
        <v>90.48</v>
      </c>
      <c r="O3075">
        <v>20.68965517241379</v>
      </c>
    </row>
    <row r="3076" spans="1:15" hidden="1" x14ac:dyDescent="0.25">
      <c r="A3076" s="11">
        <v>46098</v>
      </c>
      <c r="B3076" t="s">
        <v>52</v>
      </c>
      <c r="C3076" t="s">
        <v>48</v>
      </c>
      <c r="D3076">
        <v>25</v>
      </c>
      <c r="E3076">
        <v>25</v>
      </c>
      <c r="F3076">
        <v>20.079999999999998</v>
      </c>
      <c r="G3076">
        <v>0</v>
      </c>
      <c r="H3076">
        <v>0</v>
      </c>
      <c r="I3076" s="3">
        <f>E3076+G3076+H3076</f>
        <v>25</v>
      </c>
      <c r="J3076" s="3">
        <f>ROUND(MIN(IF(C3076="Técnico III",35,IF(C3076="Técnico II",28,IF(C3076="Técnico I",23,IF(C3076="JR",20,IF(C3076="Estágio",10,0))))),IF(C3076="Técnico III",SUMIFS($D:$D,$A:$A,$A3076,$B:$B,"&lt;&gt;Patrícia Karla de Sousa Araújo",$B:$B,"&lt;&gt;Lorena Dias de Araujo",$B:$B,"&lt;&gt;Lucas Luiz Romero")*(35/1083),IF(C3076="Técnico II",SUMIFS($D:$D,$A:$A,$A3076,$B:$B,"&lt;&gt;Patrícia Karla de Sousa Araújo",$B:$B,"&lt;&gt;Lorena Dias de Araujo",$B:$B,"&lt;&gt;Lucas Luiz Romero")*(28/1083),IF(C3076="Técnico I",SUMIFS($D:$D,$A:$A,$A3076,$B:$B,"&lt;&gt;Patrícia Karla de Sousa Araújo",$B:$B,"&lt;&gt;Lorena Dias de Araujo",$B:$B,"&lt;&gt;Lucas Luiz Romero")*(23/1083),IF(C3076="JR",SUMIFS($D:$D,$A:$A,$A3076,$B:$B,"&lt;&gt;Patrícia Karla de Sousa Araújo",$B:$B,"&lt;&gt;Lorena Dias de Araujo",$B:$B,"&lt;&gt;Lucas Luiz Romero")*(20/1083),IF(C3076="Estágio",SUMIFS($D:$D,$A:$A,$A3076,$B:$B,"&lt;&gt;Patrícia Karla de Sousa Araújo",$B:$B,"&lt;&gt;Lorena Dias de Araujo",$B:$B,"&lt;&gt;Lucas Luiz Romero")*(10/1083),0)))))),0)</f>
        <v>18</v>
      </c>
      <c r="K3076" s="3">
        <f>I3076-J3076</f>
        <v>7</v>
      </c>
      <c r="L3076" s="3" t="str">
        <f>IF(K3076&lt;-5,"CRÍTICO",IF(K3076&lt;0,"ATENÇÃO",IF(K3076&lt;=5,"OPORTUNO","MUITO BOM")))</f>
        <v>MUITO BOM</v>
      </c>
      <c r="M3076">
        <v>25</v>
      </c>
      <c r="N3076">
        <v>98.06</v>
      </c>
      <c r="O3076">
        <v>24.789915966386559</v>
      </c>
    </row>
    <row r="3077" spans="1:15" hidden="1" x14ac:dyDescent="0.25">
      <c r="A3077" s="11">
        <v>46098</v>
      </c>
      <c r="B3077" t="s">
        <v>36</v>
      </c>
      <c r="C3077" t="s">
        <v>32</v>
      </c>
      <c r="D3077">
        <v>29</v>
      </c>
      <c r="E3077">
        <v>29</v>
      </c>
      <c r="F3077">
        <v>20.37</v>
      </c>
      <c r="G3077">
        <v>0</v>
      </c>
      <c r="H3077">
        <v>0</v>
      </c>
      <c r="I3077" s="3">
        <f>E3077+G3077+H3077</f>
        <v>29</v>
      </c>
      <c r="J3077" s="3">
        <f>ROUND(MIN(IF(C3077="Técnico III",35,IF(C3077="Técnico II",28,IF(C3077="Técnico I",23,IF(C3077="JR",20,IF(C3077="Estágio",10,0))))),IF(C3077="Técnico III",SUMIFS($D:$D,$A:$A,$A3077,$B:$B,"&lt;&gt;Patrícia Karla de Sousa Araújo",$B:$B,"&lt;&gt;Lorena Dias de Araujo",$B:$B,"&lt;&gt;Lucas Luiz Romero")*(35/1083),IF(C3077="Técnico II",SUMIFS($D:$D,$A:$A,$A3077,$B:$B,"&lt;&gt;Patrícia Karla de Sousa Araújo",$B:$B,"&lt;&gt;Lorena Dias de Araujo",$B:$B,"&lt;&gt;Lucas Luiz Romero")*(28/1083),IF(C3077="Técnico I",SUMIFS($D:$D,$A:$A,$A3077,$B:$B,"&lt;&gt;Patrícia Karla de Sousa Araújo",$B:$B,"&lt;&gt;Lorena Dias de Araujo",$B:$B,"&lt;&gt;Lucas Luiz Romero")*(23/1083),IF(C3077="JR",SUMIFS($D:$D,$A:$A,$A3077,$B:$B,"&lt;&gt;Patrícia Karla de Sousa Araújo",$B:$B,"&lt;&gt;Lorena Dias de Araujo",$B:$B,"&lt;&gt;Lucas Luiz Romero")*(20/1083),IF(C3077="Estágio",SUMIFS($D:$D,$A:$A,$A3077,$B:$B,"&lt;&gt;Patrícia Karla de Sousa Araújo",$B:$B,"&lt;&gt;Lorena Dias de Araujo",$B:$B,"&lt;&gt;Lucas Luiz Romero")*(10/1083),0)))))),0)</f>
        <v>23</v>
      </c>
      <c r="K3077" s="3">
        <f>I3077-J3077</f>
        <v>6</v>
      </c>
      <c r="L3077" s="3" t="str">
        <f>IF(K3077&lt;-5,"CRÍTICO",IF(K3077&lt;0,"ATENÇÃO",IF(K3077&lt;=5,"OPORTUNO","MUITO BOM")))</f>
        <v>MUITO BOM</v>
      </c>
      <c r="M3077">
        <v>27</v>
      </c>
      <c r="N3077">
        <v>97.78</v>
      </c>
      <c r="O3077">
        <v>25.494071146245059</v>
      </c>
    </row>
    <row r="3078" spans="1:15" hidden="1" x14ac:dyDescent="0.25">
      <c r="A3078" s="11">
        <v>46098</v>
      </c>
      <c r="B3078" t="s">
        <v>53</v>
      </c>
      <c r="C3078" t="s">
        <v>48</v>
      </c>
      <c r="D3078">
        <v>21</v>
      </c>
      <c r="E3078">
        <v>20</v>
      </c>
      <c r="F3078">
        <v>18.32</v>
      </c>
      <c r="G3078">
        <v>0</v>
      </c>
      <c r="H3078">
        <v>0</v>
      </c>
      <c r="I3078" s="3">
        <f>E3078+G3078+H3078</f>
        <v>20</v>
      </c>
      <c r="J3078" s="3">
        <f>ROUND(MIN(IF(C3078="Técnico III",35,IF(C3078="Técnico II",28,IF(C3078="Técnico I",23,IF(C3078="JR",20,IF(C3078="Estágio",10,0))))),IF(C3078="Técnico III",SUMIFS($D:$D,$A:$A,$A3078,$B:$B,"&lt;&gt;Patrícia Karla de Sousa Araújo",$B:$B,"&lt;&gt;Lorena Dias de Araujo",$B:$B,"&lt;&gt;Lucas Luiz Romero")*(35/1083),IF(C3078="Técnico II",SUMIFS($D:$D,$A:$A,$A3078,$B:$B,"&lt;&gt;Patrícia Karla de Sousa Araújo",$B:$B,"&lt;&gt;Lorena Dias de Araujo",$B:$B,"&lt;&gt;Lucas Luiz Romero")*(28/1083),IF(C3078="Técnico I",SUMIFS($D:$D,$A:$A,$A3078,$B:$B,"&lt;&gt;Patrícia Karla de Sousa Araújo",$B:$B,"&lt;&gt;Lorena Dias de Araujo",$B:$B,"&lt;&gt;Lucas Luiz Romero")*(23/1083),IF(C3078="JR",SUMIFS($D:$D,$A:$A,$A3078,$B:$B,"&lt;&gt;Patrícia Karla de Sousa Araújo",$B:$B,"&lt;&gt;Lorena Dias de Araujo",$B:$B,"&lt;&gt;Lucas Luiz Romero")*(20/1083),IF(C3078="Estágio",SUMIFS($D:$D,$A:$A,$A3078,$B:$B,"&lt;&gt;Patrícia Karla de Sousa Araújo",$B:$B,"&lt;&gt;Lorena Dias de Araujo",$B:$B,"&lt;&gt;Lucas Luiz Romero")*(10/1083),0)))))),0)</f>
        <v>18</v>
      </c>
      <c r="K3078" s="3">
        <f>I3078-J3078</f>
        <v>2</v>
      </c>
      <c r="L3078" s="3" t="str">
        <f>IF(K3078&lt;-5,"CRÍTICO",IF(K3078&lt;0,"ATENÇÃO",IF(K3078&lt;=5,"OPORTUNO","MUITO BOM")))</f>
        <v>OPORTUNO</v>
      </c>
      <c r="M3078">
        <v>18</v>
      </c>
      <c r="N3078">
        <v>98.02</v>
      </c>
      <c r="O3078">
        <v>23.484848484848481</v>
      </c>
    </row>
    <row r="3079" spans="1:15" hidden="1" x14ac:dyDescent="0.25">
      <c r="A3079" s="11">
        <v>46132</v>
      </c>
      <c r="B3079" t="s">
        <v>22</v>
      </c>
      <c r="C3079" t="s">
        <v>23</v>
      </c>
      <c r="D3079">
        <v>10</v>
      </c>
      <c r="E3079">
        <v>9</v>
      </c>
      <c r="F3079">
        <v>23.48</v>
      </c>
      <c r="G3079">
        <v>0</v>
      </c>
      <c r="H3079">
        <v>0</v>
      </c>
      <c r="I3079" s="3">
        <f>E3079+G3079+H3079</f>
        <v>9</v>
      </c>
      <c r="J3079" s="3">
        <f>ROUND(MIN(IF(C3079="Técnico III",35,IF(C3079="Técnico II",28,IF(C3079="Técnico I",23,IF(C3079="JR",20,IF(C3079="Estágio",10,0))))),IF(C3079="Técnico III",SUMIFS($D:$D,$A:$A,$A3079,$B:$B,"&lt;&gt;Patrícia Karla de Sousa Araújo",$B:$B,"&lt;&gt;Lorena Dias de Araujo",$B:$B,"&lt;&gt;Lucas Luiz Romero")*(35/1083),IF(C3079="Técnico II",SUMIFS($D:$D,$A:$A,$A3079,$B:$B,"&lt;&gt;Patrícia Karla de Sousa Araújo",$B:$B,"&lt;&gt;Lorena Dias de Araujo",$B:$B,"&lt;&gt;Lucas Luiz Romero")*(28/1083),IF(C3079="Técnico I",SUMIFS($D:$D,$A:$A,$A3079,$B:$B,"&lt;&gt;Patrícia Karla de Sousa Araújo",$B:$B,"&lt;&gt;Lorena Dias de Araujo",$B:$B,"&lt;&gt;Lucas Luiz Romero")*(23/1083),IF(C3079="JR",SUMIFS($D:$D,$A:$A,$A3079,$B:$B,"&lt;&gt;Patrícia Karla de Sousa Araújo",$B:$B,"&lt;&gt;Lorena Dias de Araujo",$B:$B,"&lt;&gt;Lucas Luiz Romero")*(20/1083),IF(C3079="Estágio",SUMIFS($D:$D,$A:$A,$A3079,$B:$B,"&lt;&gt;Patrícia Karla de Sousa Araújo",$B:$B,"&lt;&gt;Lorena Dias de Araujo",$B:$B,"&lt;&gt;Lucas Luiz Romero")*(10/1083),0)))))),0)</f>
        <v>14</v>
      </c>
      <c r="K3079" s="3">
        <f>I3079-J3079</f>
        <v>-5</v>
      </c>
      <c r="L3079" s="3" t="str">
        <f>IF(K3079&lt;-5,"CRÍTICO",IF(K3079&lt;0,"ATENÇÃO",IF(K3079&lt;=5,"OPORTUNO","MUITO BOM")))</f>
        <v>ATENÇÃO</v>
      </c>
      <c r="M3079">
        <v>11</v>
      </c>
      <c r="N3079">
        <v>99.28</v>
      </c>
      <c r="O3079">
        <v>27.689243027888441</v>
      </c>
    </row>
    <row r="3080" spans="1:15" hidden="1" x14ac:dyDescent="0.25">
      <c r="A3080" s="11">
        <v>46098</v>
      </c>
      <c r="B3080" t="s">
        <v>54</v>
      </c>
      <c r="C3080" t="s">
        <v>48</v>
      </c>
      <c r="D3080">
        <v>33</v>
      </c>
      <c r="E3080">
        <v>31</v>
      </c>
      <c r="F3080">
        <v>14.06</v>
      </c>
      <c r="G3080">
        <v>0</v>
      </c>
      <c r="H3080">
        <v>0</v>
      </c>
      <c r="I3080" s="3">
        <f>E3080+G3080+H3080</f>
        <v>31</v>
      </c>
      <c r="J3080" s="3">
        <f>ROUND(MIN(IF(C3080="Técnico III",35,IF(C3080="Técnico II",28,IF(C3080="Técnico I",23,IF(C3080="JR",20,IF(C3080="Estágio",10,0))))),IF(C3080="Técnico III",SUMIFS($D:$D,$A:$A,$A3080,$B:$B,"&lt;&gt;Patrícia Karla de Sousa Araújo",$B:$B,"&lt;&gt;Lorena Dias de Araujo",$B:$B,"&lt;&gt;Lucas Luiz Romero")*(35/1083),IF(C3080="Técnico II",SUMIFS($D:$D,$A:$A,$A3080,$B:$B,"&lt;&gt;Patrícia Karla de Sousa Araújo",$B:$B,"&lt;&gt;Lorena Dias de Araujo",$B:$B,"&lt;&gt;Lucas Luiz Romero")*(28/1083),IF(C3080="Técnico I",SUMIFS($D:$D,$A:$A,$A3080,$B:$B,"&lt;&gt;Patrícia Karla de Sousa Araújo",$B:$B,"&lt;&gt;Lorena Dias de Araujo",$B:$B,"&lt;&gt;Lucas Luiz Romero")*(23/1083),IF(C3080="JR",SUMIFS($D:$D,$A:$A,$A3080,$B:$B,"&lt;&gt;Patrícia Karla de Sousa Araújo",$B:$B,"&lt;&gt;Lorena Dias de Araujo",$B:$B,"&lt;&gt;Lucas Luiz Romero")*(20/1083),IF(C3080="Estágio",SUMIFS($D:$D,$A:$A,$A3080,$B:$B,"&lt;&gt;Patrícia Karla de Sousa Araújo",$B:$B,"&lt;&gt;Lorena Dias de Araujo",$B:$B,"&lt;&gt;Lucas Luiz Romero")*(10/1083),0)))))),0)</f>
        <v>18</v>
      </c>
      <c r="K3080" s="3">
        <f>I3080-J3080</f>
        <v>13</v>
      </c>
      <c r="L3080" s="3" t="str">
        <f>IF(K3080&lt;-5,"CRÍTICO",IF(K3080&lt;0,"ATENÇÃO",IF(K3080&lt;=5,"OPORTUNO","MUITO BOM")))</f>
        <v>MUITO BOM</v>
      </c>
      <c r="M3080">
        <v>26</v>
      </c>
      <c r="N3080">
        <v>100</v>
      </c>
      <c r="O3080">
        <v>27.04918032786885</v>
      </c>
    </row>
    <row r="3081" spans="1:15" hidden="1" x14ac:dyDescent="0.25">
      <c r="A3081" s="11">
        <v>46098</v>
      </c>
      <c r="B3081" t="s">
        <v>37</v>
      </c>
      <c r="C3081" t="s">
        <v>32</v>
      </c>
      <c r="D3081">
        <v>45</v>
      </c>
      <c r="E3081">
        <v>39</v>
      </c>
      <c r="F3081">
        <v>15.06</v>
      </c>
      <c r="G3081">
        <v>0</v>
      </c>
      <c r="H3081">
        <v>0</v>
      </c>
      <c r="I3081" s="3">
        <f>E3081+G3081+H3081</f>
        <v>39</v>
      </c>
      <c r="J3081" s="3">
        <f>ROUND(MIN(IF(C3081="Técnico III",35,IF(C3081="Técnico II",28,IF(C3081="Técnico I",23,IF(C3081="JR",20,IF(C3081="Estágio",10,0))))),IF(C3081="Técnico III",SUMIFS($D:$D,$A:$A,$A3081,$B:$B,"&lt;&gt;Patrícia Karla de Sousa Araújo",$B:$B,"&lt;&gt;Lorena Dias de Araujo",$B:$B,"&lt;&gt;Lucas Luiz Romero")*(35/1083),IF(C3081="Técnico II",SUMIFS($D:$D,$A:$A,$A3081,$B:$B,"&lt;&gt;Patrícia Karla de Sousa Araújo",$B:$B,"&lt;&gt;Lorena Dias de Araujo",$B:$B,"&lt;&gt;Lucas Luiz Romero")*(28/1083),IF(C3081="Técnico I",SUMIFS($D:$D,$A:$A,$A3081,$B:$B,"&lt;&gt;Patrícia Karla de Sousa Araújo",$B:$B,"&lt;&gt;Lorena Dias de Araujo",$B:$B,"&lt;&gt;Lucas Luiz Romero")*(23/1083),IF(C3081="JR",SUMIFS($D:$D,$A:$A,$A3081,$B:$B,"&lt;&gt;Patrícia Karla de Sousa Araújo",$B:$B,"&lt;&gt;Lorena Dias de Araujo",$B:$B,"&lt;&gt;Lucas Luiz Romero")*(20/1083),IF(C3081="Estágio",SUMIFS($D:$D,$A:$A,$A3081,$B:$B,"&lt;&gt;Patrícia Karla de Sousa Araújo",$B:$B,"&lt;&gt;Lorena Dias de Araujo",$B:$B,"&lt;&gt;Lucas Luiz Romero")*(10/1083),0)))))),0)</f>
        <v>23</v>
      </c>
      <c r="K3081" s="3">
        <f>I3081-J3081</f>
        <v>16</v>
      </c>
      <c r="L3081" s="3" t="str">
        <f>IF(K3081&lt;-5,"CRÍTICO",IF(K3081&lt;0,"ATENÇÃO",IF(K3081&lt;=5,"OPORTUNO","MUITO BOM")))</f>
        <v>MUITO BOM</v>
      </c>
      <c r="M3081">
        <v>38</v>
      </c>
      <c r="N3081">
        <v>97.83</v>
      </c>
      <c r="O3081">
        <v>26.315789473684209</v>
      </c>
    </row>
    <row r="3082" spans="1:15" hidden="1" x14ac:dyDescent="0.25">
      <c r="A3082" s="11">
        <v>46098</v>
      </c>
      <c r="B3082" t="s">
        <v>38</v>
      </c>
      <c r="C3082" t="s">
        <v>32</v>
      </c>
      <c r="D3082">
        <v>9</v>
      </c>
      <c r="E3082">
        <v>8</v>
      </c>
      <c r="F3082">
        <v>18.23</v>
      </c>
      <c r="G3082">
        <v>0</v>
      </c>
      <c r="H3082">
        <v>0</v>
      </c>
      <c r="I3082" s="3">
        <f>E3082+G3082+H3082</f>
        <v>8</v>
      </c>
      <c r="J3082" s="3">
        <f>ROUND(MIN(IF(C3082="Técnico III",35,IF(C3082="Técnico II",28,IF(C3082="Técnico I",23,IF(C3082="JR",20,IF(C3082="Estágio",10,0))))),IF(C3082="Técnico III",SUMIFS($D:$D,$A:$A,$A3082,$B:$B,"&lt;&gt;Patrícia Karla de Sousa Araújo",$B:$B,"&lt;&gt;Lorena Dias de Araujo",$B:$B,"&lt;&gt;Lucas Luiz Romero")*(35/1083),IF(C3082="Técnico II",SUMIFS($D:$D,$A:$A,$A3082,$B:$B,"&lt;&gt;Patrícia Karla de Sousa Araújo",$B:$B,"&lt;&gt;Lorena Dias de Araujo",$B:$B,"&lt;&gt;Lucas Luiz Romero")*(28/1083),IF(C3082="Técnico I",SUMIFS($D:$D,$A:$A,$A3082,$B:$B,"&lt;&gt;Patrícia Karla de Sousa Araújo",$B:$B,"&lt;&gt;Lorena Dias de Araujo",$B:$B,"&lt;&gt;Lucas Luiz Romero")*(23/1083),IF(C3082="JR",SUMIFS($D:$D,$A:$A,$A3082,$B:$B,"&lt;&gt;Patrícia Karla de Sousa Araújo",$B:$B,"&lt;&gt;Lorena Dias de Araujo",$B:$B,"&lt;&gt;Lucas Luiz Romero")*(20/1083),IF(C3082="Estágio",SUMIFS($D:$D,$A:$A,$A3082,$B:$B,"&lt;&gt;Patrícia Karla de Sousa Araújo",$B:$B,"&lt;&gt;Lorena Dias de Araujo",$B:$B,"&lt;&gt;Lucas Luiz Romero")*(10/1083),0)))))),0)</f>
        <v>23</v>
      </c>
      <c r="K3082" s="3">
        <f>I3082-J3082</f>
        <v>-15</v>
      </c>
      <c r="L3082" s="3" t="str">
        <f>IF(K3082&lt;-5,"CRÍTICO",IF(K3082&lt;0,"ATENÇÃO",IF(K3082&lt;=5,"OPORTUNO","MUITO BOM")))</f>
        <v>CRÍTICO</v>
      </c>
      <c r="M3082">
        <v>16</v>
      </c>
      <c r="N3082">
        <v>100</v>
      </c>
      <c r="O3082">
        <v>26.701570680628269</v>
      </c>
    </row>
    <row r="3083" spans="1:15" hidden="1" x14ac:dyDescent="0.25">
      <c r="A3083" s="11">
        <v>46098</v>
      </c>
      <c r="B3083" t="s">
        <v>55</v>
      </c>
      <c r="C3083" t="s">
        <v>48</v>
      </c>
      <c r="D3083">
        <v>29</v>
      </c>
      <c r="E3083">
        <v>26</v>
      </c>
      <c r="F3083">
        <v>20.14</v>
      </c>
      <c r="G3083">
        <v>0</v>
      </c>
      <c r="H3083">
        <v>0</v>
      </c>
      <c r="I3083" s="3">
        <f>E3083+G3083+H3083</f>
        <v>26</v>
      </c>
      <c r="J3083" s="3">
        <f>ROUND(MIN(IF(C3083="Técnico III",35,IF(C3083="Técnico II",28,IF(C3083="Técnico I",23,IF(C3083="JR",20,IF(C3083="Estágio",10,0))))),IF(C3083="Técnico III",SUMIFS($D:$D,$A:$A,$A3083,$B:$B,"&lt;&gt;Patrícia Karla de Sousa Araújo",$B:$B,"&lt;&gt;Lorena Dias de Araujo",$B:$B,"&lt;&gt;Lucas Luiz Romero")*(35/1083),IF(C3083="Técnico II",SUMIFS($D:$D,$A:$A,$A3083,$B:$B,"&lt;&gt;Patrícia Karla de Sousa Araújo",$B:$B,"&lt;&gt;Lorena Dias de Araujo",$B:$B,"&lt;&gt;Lucas Luiz Romero")*(28/1083),IF(C3083="Técnico I",SUMIFS($D:$D,$A:$A,$A3083,$B:$B,"&lt;&gt;Patrícia Karla de Sousa Araújo",$B:$B,"&lt;&gt;Lorena Dias de Araujo",$B:$B,"&lt;&gt;Lucas Luiz Romero")*(23/1083),IF(C3083="JR",SUMIFS($D:$D,$A:$A,$A3083,$B:$B,"&lt;&gt;Patrícia Karla de Sousa Araújo",$B:$B,"&lt;&gt;Lorena Dias de Araujo",$B:$B,"&lt;&gt;Lucas Luiz Romero")*(20/1083),IF(C3083="Estágio",SUMIFS($D:$D,$A:$A,$A3083,$B:$B,"&lt;&gt;Patrícia Karla de Sousa Araújo",$B:$B,"&lt;&gt;Lorena Dias de Araujo",$B:$B,"&lt;&gt;Lucas Luiz Romero")*(10/1083),0)))))),0)</f>
        <v>18</v>
      </c>
      <c r="K3083" s="3">
        <f>I3083-J3083</f>
        <v>8</v>
      </c>
      <c r="L3083" s="3" t="str">
        <f>IF(K3083&lt;-5,"CRÍTICO",IF(K3083&lt;0,"ATENÇÃO",IF(K3083&lt;=5,"OPORTUNO","MUITO BOM")))</f>
        <v>MUITO BOM</v>
      </c>
      <c r="M3083">
        <v>24</v>
      </c>
      <c r="N3083">
        <v>97.47</v>
      </c>
      <c r="O3083">
        <v>22.887323943661968</v>
      </c>
    </row>
    <row r="3084" spans="1:15" hidden="1" x14ac:dyDescent="0.25">
      <c r="A3084" s="11">
        <v>46098</v>
      </c>
      <c r="B3084" t="s">
        <v>39</v>
      </c>
      <c r="C3084" t="s">
        <v>32</v>
      </c>
      <c r="D3084">
        <v>0</v>
      </c>
      <c r="E3084">
        <v>0</v>
      </c>
      <c r="F3084">
        <v>0</v>
      </c>
      <c r="G3084">
        <v>0</v>
      </c>
      <c r="H3084">
        <v>0</v>
      </c>
      <c r="I3084" s="3">
        <v>0</v>
      </c>
      <c r="J3084" s="3">
        <v>0</v>
      </c>
      <c r="K3084" s="3">
        <v>0</v>
      </c>
      <c r="L3084" s="3" t="str">
        <f>IF(K3084&lt;-5,"CRÍTICO",IF(K3084&lt;0,"ATENÇÃO",IF(K3084&lt;=5,"OPORTUNO","MUITO BOM")))</f>
        <v>OPORTUNO</v>
      </c>
      <c r="M3084">
        <v>0</v>
      </c>
      <c r="N3084">
        <v>0</v>
      </c>
      <c r="O3084">
        <v>0</v>
      </c>
    </row>
    <row r="3085" spans="1:15" hidden="1" x14ac:dyDescent="0.25">
      <c r="A3085" s="11">
        <v>46098</v>
      </c>
      <c r="B3085" t="s">
        <v>25</v>
      </c>
      <c r="C3085" t="s">
        <v>26</v>
      </c>
      <c r="D3085">
        <v>8</v>
      </c>
      <c r="E3085">
        <v>6</v>
      </c>
      <c r="F3085">
        <v>32.020000000000003</v>
      </c>
      <c r="G3085">
        <v>0</v>
      </c>
      <c r="H3085">
        <v>0</v>
      </c>
      <c r="I3085" s="3">
        <f>E3085+G3085+H3085</f>
        <v>6</v>
      </c>
      <c r="J3085" s="3">
        <f>ROUND(MIN(IF(C3085="Técnico III",35,IF(C3085="Técnico II",28,IF(C3085="Técnico I",23,IF(C3085="JR",20,IF(C3085="Estágio",10,0))))),IF(C3085="Técnico III",SUMIFS($D:$D,$A:$A,$A3085,$B:$B,"&lt;&gt;Patrícia Karla de Sousa Araújo",$B:$B,"&lt;&gt;Lorena Dias de Araujo",$B:$B,"&lt;&gt;Lucas Luiz Romero")*(35/1083),IF(C3085="Técnico II",SUMIFS($D:$D,$A:$A,$A3085,$B:$B,"&lt;&gt;Patrícia Karla de Sousa Araújo",$B:$B,"&lt;&gt;Lorena Dias de Araujo",$B:$B,"&lt;&gt;Lucas Luiz Romero")*(28/1083),IF(C3085="Técnico I",SUMIFS($D:$D,$A:$A,$A3085,$B:$B,"&lt;&gt;Patrícia Karla de Sousa Araújo",$B:$B,"&lt;&gt;Lorena Dias de Araujo",$B:$B,"&lt;&gt;Lucas Luiz Romero")*(23/1083),IF(C3085="JR",SUMIFS($D:$D,$A:$A,$A3085,$B:$B,"&lt;&gt;Patrícia Karla de Sousa Araújo",$B:$B,"&lt;&gt;Lorena Dias de Araujo",$B:$B,"&lt;&gt;Lucas Luiz Romero")*(20/1083),IF(C3085="Estágio",SUMIFS($D:$D,$A:$A,$A3085,$B:$B,"&lt;&gt;Patrícia Karla de Sousa Araújo",$B:$B,"&lt;&gt;Lorena Dias de Araujo",$B:$B,"&lt;&gt;Lucas Luiz Romero")*(10/1083),0)))))),0)</f>
        <v>13</v>
      </c>
      <c r="K3085" s="3">
        <f>I3085-J3085</f>
        <v>-7</v>
      </c>
      <c r="L3085" s="3" t="str">
        <f>IF(K3085&lt;-5,"CRÍTICO",IF(K3085&lt;0,"ATENÇÃO",IF(K3085&lt;=5,"OPORTUNO","MUITO BOM")))</f>
        <v>CRÍTICO</v>
      </c>
      <c r="M3085">
        <v>7</v>
      </c>
      <c r="N3085">
        <v>98.31</v>
      </c>
      <c r="O3085">
        <v>24.920127795527151</v>
      </c>
    </row>
    <row r="3086" spans="1:15" hidden="1" x14ac:dyDescent="0.25">
      <c r="A3086" s="11">
        <v>46098</v>
      </c>
      <c r="B3086" t="s">
        <v>40</v>
      </c>
      <c r="C3086" t="s">
        <v>32</v>
      </c>
      <c r="D3086">
        <v>1</v>
      </c>
      <c r="E3086">
        <v>1</v>
      </c>
      <c r="F3086">
        <v>10.119999999999999</v>
      </c>
      <c r="G3086">
        <v>0</v>
      </c>
      <c r="H3086">
        <v>0</v>
      </c>
      <c r="I3086" s="3">
        <f>E3086+G3086+H3086</f>
        <v>1</v>
      </c>
      <c r="J3086" s="3">
        <f>ROUND(MIN(IF(C3086="Técnico III",35,IF(C3086="Técnico II",28,IF(C3086="Técnico I",23,IF(C3086="JR",20,IF(C3086="Estágio",10,0))))),IF(C3086="Técnico III",SUMIFS($D:$D,$A:$A,$A3086,$B:$B,"&lt;&gt;Patrícia Karla de Sousa Araújo",$B:$B,"&lt;&gt;Lorena Dias de Araujo",$B:$B,"&lt;&gt;Lucas Luiz Romero")*(35/1083),IF(C3086="Técnico II",SUMIFS($D:$D,$A:$A,$A3086,$B:$B,"&lt;&gt;Patrícia Karla de Sousa Araújo",$B:$B,"&lt;&gt;Lorena Dias de Araujo",$B:$B,"&lt;&gt;Lucas Luiz Romero")*(28/1083),IF(C3086="Técnico I",SUMIFS($D:$D,$A:$A,$A3086,$B:$B,"&lt;&gt;Patrícia Karla de Sousa Araújo",$B:$B,"&lt;&gt;Lorena Dias de Araujo",$B:$B,"&lt;&gt;Lucas Luiz Romero")*(23/1083),IF(C3086="JR",SUMIFS($D:$D,$A:$A,$A3086,$B:$B,"&lt;&gt;Patrícia Karla de Sousa Araújo",$B:$B,"&lt;&gt;Lorena Dias de Araujo",$B:$B,"&lt;&gt;Lucas Luiz Romero")*(20/1083),IF(C3086="Estágio",SUMIFS($D:$D,$A:$A,$A3086,$B:$B,"&lt;&gt;Patrícia Karla de Sousa Araújo",$B:$B,"&lt;&gt;Lorena Dias de Araujo",$B:$B,"&lt;&gt;Lucas Luiz Romero")*(10/1083),0)))))),0)</f>
        <v>23</v>
      </c>
      <c r="K3086" s="3">
        <f>I3086-J3086</f>
        <v>-22</v>
      </c>
      <c r="L3086" s="3" t="str">
        <f>IF(K3086&lt;-5,"CRÍTICO",IF(K3086&lt;0,"ATENÇÃO",IF(K3086&lt;=5,"OPORTUNO","MUITO BOM")))</f>
        <v>CRÍTICO</v>
      </c>
      <c r="M3086">
        <v>2</v>
      </c>
      <c r="N3086">
        <v>96.81</v>
      </c>
      <c r="O3086">
        <v>32.365145228215773</v>
      </c>
    </row>
    <row r="3087" spans="1:15" hidden="1" x14ac:dyDescent="0.25">
      <c r="A3087" s="11">
        <v>46098</v>
      </c>
      <c r="B3087" t="s">
        <v>27</v>
      </c>
      <c r="C3087" t="s">
        <v>26</v>
      </c>
      <c r="D3087">
        <v>10</v>
      </c>
      <c r="E3087">
        <v>9</v>
      </c>
      <c r="F3087">
        <v>35.33</v>
      </c>
      <c r="G3087">
        <v>0</v>
      </c>
      <c r="H3087">
        <v>0</v>
      </c>
      <c r="I3087" s="3">
        <f>E3087+G3087+H3087</f>
        <v>9</v>
      </c>
      <c r="J3087" s="3">
        <f>ROUND(MIN(IF(C3087="Técnico III",35,IF(C3087="Técnico II",28,IF(C3087="Técnico I",23,IF(C3087="JR",20,IF(C3087="Estágio",10,0))))),IF(C3087="Técnico III",SUMIFS($D:$D,$A:$A,$A3087,$B:$B,"&lt;&gt;Patrícia Karla de Sousa Araújo",$B:$B,"&lt;&gt;Lorena Dias de Araujo",$B:$B,"&lt;&gt;Lucas Luiz Romero")*(35/1083),IF(C3087="Técnico II",SUMIFS($D:$D,$A:$A,$A3087,$B:$B,"&lt;&gt;Patrícia Karla de Sousa Araújo",$B:$B,"&lt;&gt;Lorena Dias de Araujo",$B:$B,"&lt;&gt;Lucas Luiz Romero")*(28/1083),IF(C3087="Técnico I",SUMIFS($D:$D,$A:$A,$A3087,$B:$B,"&lt;&gt;Patrícia Karla de Sousa Araújo",$B:$B,"&lt;&gt;Lorena Dias de Araujo",$B:$B,"&lt;&gt;Lucas Luiz Romero")*(23/1083),IF(C3087="JR",SUMIFS($D:$D,$A:$A,$A3087,$B:$B,"&lt;&gt;Patrícia Karla de Sousa Araújo",$B:$B,"&lt;&gt;Lorena Dias de Araujo",$B:$B,"&lt;&gt;Lucas Luiz Romero")*(20/1083),IF(C3087="Estágio",SUMIFS($D:$D,$A:$A,$A3087,$B:$B,"&lt;&gt;Patrícia Karla de Sousa Araújo",$B:$B,"&lt;&gt;Lorena Dias de Araujo",$B:$B,"&lt;&gt;Lucas Luiz Romero")*(10/1083),0)))))),0)</f>
        <v>13</v>
      </c>
      <c r="K3087" s="3">
        <f>I3087-J3087</f>
        <v>-4</v>
      </c>
      <c r="L3087" s="3" t="str">
        <f>IF(K3087&lt;-5,"CRÍTICO",IF(K3087&lt;0,"ATENÇÃO",IF(K3087&lt;=5,"OPORTUNO","MUITO BOM")))</f>
        <v>ATENÇÃO</v>
      </c>
      <c r="M3087">
        <v>8</v>
      </c>
      <c r="N3087">
        <v>100</v>
      </c>
      <c r="O3087">
        <v>26.47058823529412</v>
      </c>
    </row>
    <row r="3088" spans="1:15" hidden="1" x14ac:dyDescent="0.25">
      <c r="A3088" s="11">
        <v>46098</v>
      </c>
      <c r="B3088" t="s">
        <v>41</v>
      </c>
      <c r="C3088" t="s">
        <v>32</v>
      </c>
      <c r="D3088">
        <v>18</v>
      </c>
      <c r="E3088">
        <v>18</v>
      </c>
      <c r="F3088">
        <v>25.22</v>
      </c>
      <c r="G3088">
        <v>0</v>
      </c>
      <c r="H3088">
        <v>0</v>
      </c>
      <c r="I3088" s="3">
        <f>E3088+G3088+H3088</f>
        <v>18</v>
      </c>
      <c r="J3088" s="3">
        <f>ROUND(MIN(IF(C3088="Técnico III",35,IF(C3088="Técnico II",28,IF(C3088="Técnico I",23,IF(C3088="JR",20,IF(C3088="Estágio",10,0))))),IF(C3088="Técnico III",SUMIFS($D:$D,$A:$A,$A3088,$B:$B,"&lt;&gt;Patrícia Karla de Sousa Araújo",$B:$B,"&lt;&gt;Lorena Dias de Araujo",$B:$B,"&lt;&gt;Lucas Luiz Romero")*(35/1083),IF(C3088="Técnico II",SUMIFS($D:$D,$A:$A,$A3088,$B:$B,"&lt;&gt;Patrícia Karla de Sousa Araújo",$B:$B,"&lt;&gt;Lorena Dias de Araujo",$B:$B,"&lt;&gt;Lucas Luiz Romero")*(28/1083),IF(C3088="Técnico I",SUMIFS($D:$D,$A:$A,$A3088,$B:$B,"&lt;&gt;Patrícia Karla de Sousa Araújo",$B:$B,"&lt;&gt;Lorena Dias de Araujo",$B:$B,"&lt;&gt;Lucas Luiz Romero")*(23/1083),IF(C3088="JR",SUMIFS($D:$D,$A:$A,$A3088,$B:$B,"&lt;&gt;Patrícia Karla de Sousa Araújo",$B:$B,"&lt;&gt;Lorena Dias de Araujo",$B:$B,"&lt;&gt;Lucas Luiz Romero")*(20/1083),IF(C3088="Estágio",SUMIFS($D:$D,$A:$A,$A3088,$B:$B,"&lt;&gt;Patrícia Karla de Sousa Araújo",$B:$B,"&lt;&gt;Lorena Dias de Araujo",$B:$B,"&lt;&gt;Lucas Luiz Romero")*(10/1083),0)))))),0)</f>
        <v>23</v>
      </c>
      <c r="K3088" s="3">
        <f>I3088-J3088</f>
        <v>-5</v>
      </c>
      <c r="L3088" s="3" t="str">
        <f>IF(K3088&lt;-5,"CRÍTICO",IF(K3088&lt;0,"ATENÇÃO",IF(K3088&lt;=5,"OPORTUNO","MUITO BOM")))</f>
        <v>ATENÇÃO</v>
      </c>
      <c r="M3088">
        <v>16</v>
      </c>
      <c r="N3088">
        <v>100</v>
      </c>
      <c r="O3088">
        <v>28.490028490028489</v>
      </c>
    </row>
    <row r="3089" spans="1:15" hidden="1" x14ac:dyDescent="0.25">
      <c r="A3089" s="11">
        <v>46098</v>
      </c>
      <c r="B3089" t="s">
        <v>56</v>
      </c>
      <c r="C3089" t="s">
        <v>48</v>
      </c>
      <c r="D3089">
        <v>38</v>
      </c>
      <c r="E3089">
        <v>36</v>
      </c>
      <c r="F3089">
        <v>20.03</v>
      </c>
      <c r="G3089">
        <v>0</v>
      </c>
      <c r="H3089">
        <v>0</v>
      </c>
      <c r="I3089" s="3">
        <f>E3089+G3089+H3089</f>
        <v>36</v>
      </c>
      <c r="J3089" s="3">
        <f>ROUND(MIN(IF(C3089="Técnico III",35,IF(C3089="Técnico II",28,IF(C3089="Técnico I",23,IF(C3089="JR",20,IF(C3089="Estágio",10,0))))),IF(C3089="Técnico III",SUMIFS($D:$D,$A:$A,$A3089,$B:$B,"&lt;&gt;Patrícia Karla de Sousa Araújo",$B:$B,"&lt;&gt;Lorena Dias de Araujo",$B:$B,"&lt;&gt;Lucas Luiz Romero")*(35/1083),IF(C3089="Técnico II",SUMIFS($D:$D,$A:$A,$A3089,$B:$B,"&lt;&gt;Patrícia Karla de Sousa Araújo",$B:$B,"&lt;&gt;Lorena Dias de Araujo",$B:$B,"&lt;&gt;Lucas Luiz Romero")*(28/1083),IF(C3089="Técnico I",SUMIFS($D:$D,$A:$A,$A3089,$B:$B,"&lt;&gt;Patrícia Karla de Sousa Araújo",$B:$B,"&lt;&gt;Lorena Dias de Araujo",$B:$B,"&lt;&gt;Lucas Luiz Romero")*(23/1083),IF(C3089="JR",SUMIFS($D:$D,$A:$A,$A3089,$B:$B,"&lt;&gt;Patrícia Karla de Sousa Araújo",$B:$B,"&lt;&gt;Lorena Dias de Araujo",$B:$B,"&lt;&gt;Lucas Luiz Romero")*(20/1083),IF(C3089="Estágio",SUMIFS($D:$D,$A:$A,$A3089,$B:$B,"&lt;&gt;Patrícia Karla de Sousa Araújo",$B:$B,"&lt;&gt;Lorena Dias de Araujo",$B:$B,"&lt;&gt;Lucas Luiz Romero")*(10/1083),0)))))),0)</f>
        <v>18</v>
      </c>
      <c r="K3089" s="3">
        <f>I3089-J3089</f>
        <v>18</v>
      </c>
      <c r="L3089" s="3" t="str">
        <f>IF(K3089&lt;-5,"CRÍTICO",IF(K3089&lt;0,"ATENÇÃO",IF(K3089&lt;=5,"OPORTUNO","MUITO BOM")))</f>
        <v>MUITO BOM</v>
      </c>
      <c r="M3089">
        <v>40</v>
      </c>
      <c r="N3089">
        <v>99.14</v>
      </c>
      <c r="O3089">
        <v>27.2289156626506</v>
      </c>
    </row>
    <row r="3090" spans="1:15" hidden="1" x14ac:dyDescent="0.25">
      <c r="A3090" s="11">
        <v>46098</v>
      </c>
      <c r="B3090" t="s">
        <v>57</v>
      </c>
      <c r="C3090" t="s">
        <v>48</v>
      </c>
      <c r="D3090">
        <v>22</v>
      </c>
      <c r="E3090">
        <v>21</v>
      </c>
      <c r="F3090">
        <v>23.56</v>
      </c>
      <c r="G3090">
        <v>0</v>
      </c>
      <c r="H3090">
        <v>0</v>
      </c>
      <c r="I3090" s="3">
        <v>0</v>
      </c>
      <c r="J3090" s="3">
        <v>0</v>
      </c>
      <c r="K3090" s="3">
        <v>0</v>
      </c>
      <c r="L3090" s="3" t="str">
        <f>IF(K3090&lt;-5,"CRÍTICO",IF(K3090&lt;0,"ATENÇÃO",IF(K3090&lt;=5,"OPORTUNO","MUITO BOM")))</f>
        <v>OPORTUNO</v>
      </c>
      <c r="M3090">
        <v>22</v>
      </c>
      <c r="N3090">
        <v>97.52</v>
      </c>
      <c r="O3090">
        <v>28.205128205128201</v>
      </c>
    </row>
    <row r="3091" spans="1:15" hidden="1" x14ac:dyDescent="0.25">
      <c r="A3091" s="11">
        <v>46098</v>
      </c>
      <c r="B3091" t="s">
        <v>42</v>
      </c>
      <c r="C3091" t="s">
        <v>32</v>
      </c>
      <c r="D3091">
        <v>0</v>
      </c>
      <c r="E3091">
        <v>0</v>
      </c>
      <c r="F3091">
        <v>0</v>
      </c>
      <c r="G3091">
        <v>0</v>
      </c>
      <c r="H3091">
        <v>0</v>
      </c>
      <c r="I3091" s="3">
        <v>0</v>
      </c>
      <c r="J3091" s="3">
        <v>0</v>
      </c>
      <c r="K3091" s="3">
        <v>0</v>
      </c>
      <c r="L3091" s="3" t="str">
        <f>IF(K3091&lt;-5,"CRÍTICO",IF(K3091&lt;0,"ATENÇÃO",IF(K3091&lt;=5,"OPORTUNO","MUITO BOM")))</f>
        <v>OPORTUNO</v>
      </c>
      <c r="M3091">
        <v>0</v>
      </c>
      <c r="N3091">
        <v>90</v>
      </c>
      <c r="O3091">
        <v>24.186046511627911</v>
      </c>
    </row>
    <row r="3092" spans="1:15" hidden="1" x14ac:dyDescent="0.25">
      <c r="A3092" s="11">
        <v>46098</v>
      </c>
      <c r="B3092" t="s">
        <v>62</v>
      </c>
      <c r="C3092" t="s">
        <v>23</v>
      </c>
      <c r="D3092">
        <v>16</v>
      </c>
      <c r="E3092">
        <v>16</v>
      </c>
      <c r="F3092">
        <v>33.57</v>
      </c>
      <c r="G3092">
        <v>0</v>
      </c>
      <c r="H3092">
        <v>0</v>
      </c>
      <c r="I3092" s="3">
        <f>E3092+G3092+H3092</f>
        <v>16</v>
      </c>
      <c r="J3092" s="3">
        <f>ROUND(MIN(IF(C3092="Técnico III",35,IF(C3092="Técnico II",28,IF(C3092="Técnico I",23,IF(C3092="JR",20,IF(C3092="Estágio",10,0))))),IF(C3092="Técnico III",SUMIFS($D:$D,$A:$A,$A3092,$B:$B,"&lt;&gt;Patrícia Karla de Sousa Araújo",$B:$B,"&lt;&gt;Lorena Dias de Araujo",$B:$B,"&lt;&gt;Lucas Luiz Romero")*(35/1083),IF(C3092="Técnico II",SUMIFS($D:$D,$A:$A,$A3092,$B:$B,"&lt;&gt;Patrícia Karla de Sousa Araújo",$B:$B,"&lt;&gt;Lorena Dias de Araujo",$B:$B,"&lt;&gt;Lucas Luiz Romero")*(28/1083),IF(C3092="Técnico I",SUMIFS($D:$D,$A:$A,$A3092,$B:$B,"&lt;&gt;Patrícia Karla de Sousa Araújo",$B:$B,"&lt;&gt;Lorena Dias de Araujo",$B:$B,"&lt;&gt;Lucas Luiz Romero")*(23/1083),IF(C3092="JR",SUMIFS($D:$D,$A:$A,$A3092,$B:$B,"&lt;&gt;Patrícia Karla de Sousa Araújo",$B:$B,"&lt;&gt;Lorena Dias de Araujo",$B:$B,"&lt;&gt;Lucas Luiz Romero")*(20/1083),IF(C3092="Estágio",SUMIFS($D:$D,$A:$A,$A3092,$B:$B,"&lt;&gt;Patrícia Karla de Sousa Araújo",$B:$B,"&lt;&gt;Lorena Dias de Araujo",$B:$B,"&lt;&gt;Lucas Luiz Romero")*(10/1083),0)))))),0)</f>
        <v>15</v>
      </c>
      <c r="K3092" s="3">
        <f>I3092-J3092</f>
        <v>1</v>
      </c>
      <c r="L3092" s="3" t="str">
        <f>IF(K3092&lt;-5,"CRÍTICO",IF(K3092&lt;0,"ATENÇÃO",IF(K3092&lt;=5,"OPORTUNO","MUITO BOM")))</f>
        <v>OPORTUNO</v>
      </c>
      <c r="M3092">
        <v>16</v>
      </c>
      <c r="N3092">
        <v>98.9</v>
      </c>
      <c r="O3092">
        <v>26.763990267639901</v>
      </c>
    </row>
    <row r="3093" spans="1:15" hidden="1" x14ac:dyDescent="0.25">
      <c r="A3093" s="11">
        <v>46098</v>
      </c>
      <c r="B3093" t="s">
        <v>19</v>
      </c>
      <c r="C3093" t="s">
        <v>16</v>
      </c>
      <c r="D3093">
        <v>8</v>
      </c>
      <c r="E3093">
        <v>8</v>
      </c>
      <c r="F3093">
        <v>38.31</v>
      </c>
      <c r="G3093">
        <v>0</v>
      </c>
      <c r="H3093">
        <v>0</v>
      </c>
      <c r="I3093" s="3">
        <f>E3093+G3093+H3093</f>
        <v>8</v>
      </c>
      <c r="J3093" s="3">
        <f>ROUND(MIN(IF(C3093="Técnico III",35,IF(C3093="Técnico II",28,IF(C3093="Técnico I",23,IF(C3093="JR",20,IF(C3093="Estágio",10,0))))),IF(C3093="Técnico III",SUMIFS($D:$D,$A:$A,$A3093,$B:$B,"&lt;&gt;Patrícia Karla de Sousa Araújo",$B:$B,"&lt;&gt;Lorena Dias de Araujo",$B:$B,"&lt;&gt;Lucas Luiz Romero")*(35/1083),IF(C3093="Técnico II",SUMIFS($D:$D,$A:$A,$A3093,$B:$B,"&lt;&gt;Patrícia Karla de Sousa Araújo",$B:$B,"&lt;&gt;Lorena Dias de Araujo",$B:$B,"&lt;&gt;Lucas Luiz Romero")*(28/1083),IF(C3093="Técnico I",SUMIFS($D:$D,$A:$A,$A3093,$B:$B,"&lt;&gt;Patrícia Karla de Sousa Araújo",$B:$B,"&lt;&gt;Lorena Dias de Araujo",$B:$B,"&lt;&gt;Lucas Luiz Romero")*(23/1083),IF(C3093="JR",SUMIFS($D:$D,$A:$A,$A3093,$B:$B,"&lt;&gt;Patrícia Karla de Sousa Araújo",$B:$B,"&lt;&gt;Lorena Dias de Araujo",$B:$B,"&lt;&gt;Lucas Luiz Romero")*(20/1083),IF(C3093="Estágio",SUMIFS($D:$D,$A:$A,$A3093,$B:$B,"&lt;&gt;Patrícia Karla de Sousa Araújo",$B:$B,"&lt;&gt;Lorena Dias de Araujo",$B:$B,"&lt;&gt;Lucas Luiz Romero")*(10/1083),0)))))),0)</f>
        <v>7</v>
      </c>
      <c r="K3093" s="3">
        <f>I3093-J3093</f>
        <v>1</v>
      </c>
      <c r="L3093" s="3" t="str">
        <f>IF(K3093&lt;-5,"CRÍTICO",IF(K3093&lt;0,"ATENÇÃO",IF(K3093&lt;=5,"OPORTUNO","MUITO BOM")))</f>
        <v>OPORTUNO</v>
      </c>
      <c r="M3093">
        <v>7</v>
      </c>
      <c r="N3093">
        <v>88.89</v>
      </c>
      <c r="O3093">
        <v>25.263157894736839</v>
      </c>
    </row>
    <row r="3094" spans="1:15" hidden="1" x14ac:dyDescent="0.25">
      <c r="A3094" s="11">
        <v>46098</v>
      </c>
      <c r="B3094" t="s">
        <v>43</v>
      </c>
      <c r="C3094" t="s">
        <v>32</v>
      </c>
      <c r="D3094">
        <v>34</v>
      </c>
      <c r="E3094">
        <v>32</v>
      </c>
      <c r="F3094">
        <v>17</v>
      </c>
      <c r="G3094">
        <v>0</v>
      </c>
      <c r="H3094">
        <v>0</v>
      </c>
      <c r="I3094" s="3">
        <f>E3094+G3094+H3094</f>
        <v>32</v>
      </c>
      <c r="J3094" s="3">
        <f>ROUND(MIN(IF(C3094="Técnico III",35,IF(C3094="Técnico II",28,IF(C3094="Técnico I",23,IF(C3094="JR",20,IF(C3094="Estágio",10,0))))),IF(C3094="Técnico III",SUMIFS($D:$D,$A:$A,$A3094,$B:$B,"&lt;&gt;Patrícia Karla de Sousa Araújo",$B:$B,"&lt;&gt;Lorena Dias de Araujo",$B:$B,"&lt;&gt;Lucas Luiz Romero")*(35/1083),IF(C3094="Técnico II",SUMIFS($D:$D,$A:$A,$A3094,$B:$B,"&lt;&gt;Patrícia Karla de Sousa Araújo",$B:$B,"&lt;&gt;Lorena Dias de Araujo",$B:$B,"&lt;&gt;Lucas Luiz Romero")*(28/1083),IF(C3094="Técnico I",SUMIFS($D:$D,$A:$A,$A3094,$B:$B,"&lt;&gt;Patrícia Karla de Sousa Araújo",$B:$B,"&lt;&gt;Lorena Dias de Araujo",$B:$B,"&lt;&gt;Lucas Luiz Romero")*(23/1083),IF(C3094="JR",SUMIFS($D:$D,$A:$A,$A3094,$B:$B,"&lt;&gt;Patrícia Karla de Sousa Araújo",$B:$B,"&lt;&gt;Lorena Dias de Araujo",$B:$B,"&lt;&gt;Lucas Luiz Romero")*(20/1083),IF(C3094="Estágio",SUMIFS($D:$D,$A:$A,$A3094,$B:$B,"&lt;&gt;Patrícia Karla de Sousa Araújo",$B:$B,"&lt;&gt;Lorena Dias de Araujo",$B:$B,"&lt;&gt;Lucas Luiz Romero")*(10/1083),0)))))),0)</f>
        <v>23</v>
      </c>
      <c r="K3094" s="3">
        <f>I3094-J3094</f>
        <v>9</v>
      </c>
      <c r="L3094" s="3" t="str">
        <f>IF(K3094&lt;-5,"CRÍTICO",IF(K3094&lt;0,"ATENÇÃO",IF(K3094&lt;=5,"OPORTUNO","MUITO BOM")))</f>
        <v>MUITO BOM</v>
      </c>
      <c r="M3094">
        <v>30</v>
      </c>
      <c r="N3094">
        <v>98.86</v>
      </c>
      <c r="O3094">
        <v>28.959276018099551</v>
      </c>
    </row>
    <row r="3095" spans="1:15" hidden="1" x14ac:dyDescent="0.25">
      <c r="A3095" s="11">
        <v>46098</v>
      </c>
      <c r="B3095" t="s">
        <v>44</v>
      </c>
      <c r="C3095" t="s">
        <v>32</v>
      </c>
      <c r="D3095">
        <v>2</v>
      </c>
      <c r="E3095">
        <v>2</v>
      </c>
      <c r="F3095">
        <v>5.24</v>
      </c>
      <c r="G3095">
        <v>0</v>
      </c>
      <c r="H3095">
        <v>0</v>
      </c>
      <c r="I3095" s="3">
        <f>E3095+G3095+H3095</f>
        <v>2</v>
      </c>
      <c r="J3095" s="3">
        <f>ROUND(MIN(IF(C3095="Técnico III",35,IF(C3095="Técnico II",28,IF(C3095="Técnico I",23,IF(C3095="JR",20,IF(C3095="Estágio",10,0))))),IF(C3095="Técnico III",SUMIFS($D:$D,$A:$A,$A3095,$B:$B,"&lt;&gt;Patrícia Karla de Sousa Araújo",$B:$B,"&lt;&gt;Lorena Dias de Araujo",$B:$B,"&lt;&gt;Lucas Luiz Romero")*(35/1083),IF(C3095="Técnico II",SUMIFS($D:$D,$A:$A,$A3095,$B:$B,"&lt;&gt;Patrícia Karla de Sousa Araújo",$B:$B,"&lt;&gt;Lorena Dias de Araujo",$B:$B,"&lt;&gt;Lucas Luiz Romero")*(28/1083),IF(C3095="Técnico I",SUMIFS($D:$D,$A:$A,$A3095,$B:$B,"&lt;&gt;Patrícia Karla de Sousa Araújo",$B:$B,"&lt;&gt;Lorena Dias de Araujo",$B:$B,"&lt;&gt;Lucas Luiz Romero")*(23/1083),IF(C3095="JR",SUMIFS($D:$D,$A:$A,$A3095,$B:$B,"&lt;&gt;Patrícia Karla de Sousa Araújo",$B:$B,"&lt;&gt;Lorena Dias de Araujo",$B:$B,"&lt;&gt;Lucas Luiz Romero")*(20/1083),IF(C3095="Estágio",SUMIFS($D:$D,$A:$A,$A3095,$B:$B,"&lt;&gt;Patrícia Karla de Sousa Araújo",$B:$B,"&lt;&gt;Lorena Dias de Araujo",$B:$B,"&lt;&gt;Lucas Luiz Romero")*(10/1083),0)))))),0)</f>
        <v>23</v>
      </c>
      <c r="K3095" s="3">
        <f>I3095-J3095</f>
        <v>-21</v>
      </c>
      <c r="L3095" s="3" t="str">
        <f>IF(K3095&lt;-5,"CRÍTICO",IF(K3095&lt;0,"ATENÇÃO",IF(K3095&lt;=5,"OPORTUNO","MUITO BOM")))</f>
        <v>CRÍTICO</v>
      </c>
      <c r="M3095">
        <v>1</v>
      </c>
      <c r="N3095">
        <v>98.06</v>
      </c>
      <c r="O3095">
        <v>22.40566037735849</v>
      </c>
    </row>
    <row r="3096" spans="1:15" hidden="1" x14ac:dyDescent="0.25">
      <c r="A3096" s="11">
        <v>46098</v>
      </c>
      <c r="B3096" t="s">
        <v>20</v>
      </c>
      <c r="C3096" t="s">
        <v>16</v>
      </c>
      <c r="D3096">
        <v>0</v>
      </c>
      <c r="E3096">
        <v>0</v>
      </c>
      <c r="F3096">
        <v>0</v>
      </c>
      <c r="G3096">
        <v>0</v>
      </c>
      <c r="H3096">
        <v>0</v>
      </c>
      <c r="I3096" s="3">
        <v>0</v>
      </c>
      <c r="J3096" s="3">
        <v>0</v>
      </c>
      <c r="K3096" s="3">
        <v>0</v>
      </c>
      <c r="L3096" s="3" t="str">
        <f>IF(K3096&lt;-5,"CRÍTICO",IF(K3096&lt;0,"ATENÇÃO",IF(K3096&lt;=5,"OPORTUNO","MUITO BOM")))</f>
        <v>OPORTUNO</v>
      </c>
      <c r="M3096">
        <v>0</v>
      </c>
      <c r="N3096">
        <v>95.83</v>
      </c>
      <c r="O3096">
        <v>25.773195876288661</v>
      </c>
    </row>
    <row r="3097" spans="1:15" hidden="1" x14ac:dyDescent="0.25">
      <c r="A3097" s="11">
        <v>46098</v>
      </c>
      <c r="B3097" t="s">
        <v>28</v>
      </c>
      <c r="C3097" t="s">
        <v>26</v>
      </c>
      <c r="D3097">
        <v>0</v>
      </c>
      <c r="E3097">
        <v>0</v>
      </c>
      <c r="F3097">
        <v>0</v>
      </c>
      <c r="G3097">
        <v>0</v>
      </c>
      <c r="H3097">
        <v>0</v>
      </c>
      <c r="I3097" s="3">
        <v>0</v>
      </c>
      <c r="J3097" s="3">
        <v>0</v>
      </c>
      <c r="K3097" s="3">
        <v>0</v>
      </c>
      <c r="L3097" s="3" t="str">
        <f>IF(K3097&lt;-5,"CRÍTICO",IF(K3097&lt;0,"ATENÇÃO",IF(K3097&lt;=5,"OPORTUNO","MUITO BOM")))</f>
        <v>OPORTUNO</v>
      </c>
      <c r="M3097">
        <v>0</v>
      </c>
      <c r="N3097">
        <v>100</v>
      </c>
      <c r="O3097">
        <v>15.38461538461539</v>
      </c>
    </row>
    <row r="3098" spans="1:15" hidden="1" x14ac:dyDescent="0.25">
      <c r="A3098" s="11">
        <v>46098</v>
      </c>
      <c r="B3098" t="s">
        <v>58</v>
      </c>
      <c r="C3098" t="s">
        <v>48</v>
      </c>
      <c r="D3098">
        <v>36</v>
      </c>
      <c r="E3098">
        <v>33</v>
      </c>
      <c r="F3098">
        <v>18.329999999999998</v>
      </c>
      <c r="G3098">
        <v>0</v>
      </c>
      <c r="H3098">
        <v>0</v>
      </c>
      <c r="I3098" s="3">
        <f>E3098+G3098+H3098</f>
        <v>33</v>
      </c>
      <c r="J3098" s="3">
        <f>ROUND(MIN(IF(C3098="Técnico III",35,IF(C3098="Técnico II",28,IF(C3098="Técnico I",23,IF(C3098="JR",20,IF(C3098="Estágio",10,0))))),IF(C3098="Técnico III",SUMIFS($D:$D,$A:$A,$A3098,$B:$B,"&lt;&gt;Patrícia Karla de Sousa Araújo",$B:$B,"&lt;&gt;Lorena Dias de Araujo",$B:$B,"&lt;&gt;Lucas Luiz Romero")*(35/1083),IF(C3098="Técnico II",SUMIFS($D:$D,$A:$A,$A3098,$B:$B,"&lt;&gt;Patrícia Karla de Sousa Araújo",$B:$B,"&lt;&gt;Lorena Dias de Araujo",$B:$B,"&lt;&gt;Lucas Luiz Romero")*(28/1083),IF(C3098="Técnico I",SUMIFS($D:$D,$A:$A,$A3098,$B:$B,"&lt;&gt;Patrícia Karla de Sousa Araújo",$B:$B,"&lt;&gt;Lorena Dias de Araujo",$B:$B,"&lt;&gt;Lucas Luiz Romero")*(23/1083),IF(C3098="JR",SUMIFS($D:$D,$A:$A,$A3098,$B:$B,"&lt;&gt;Patrícia Karla de Sousa Araújo",$B:$B,"&lt;&gt;Lorena Dias de Araujo",$B:$B,"&lt;&gt;Lucas Luiz Romero")*(20/1083),IF(C3098="Estágio",SUMIFS($D:$D,$A:$A,$A3098,$B:$B,"&lt;&gt;Patrícia Karla de Sousa Araújo",$B:$B,"&lt;&gt;Lorena Dias de Araujo",$B:$B,"&lt;&gt;Lucas Luiz Romero")*(10/1083),0)))))),0)</f>
        <v>18</v>
      </c>
      <c r="K3098" s="3">
        <f>I3098-J3098</f>
        <v>15</v>
      </c>
      <c r="L3098" s="3" t="str">
        <f>IF(K3098&lt;-5,"CRÍTICO",IF(K3098&lt;0,"ATENÇÃO",IF(K3098&lt;=5,"OPORTUNO","MUITO BOM")))</f>
        <v>MUITO BOM</v>
      </c>
      <c r="M3098">
        <v>29</v>
      </c>
      <c r="N3098">
        <v>100</v>
      </c>
      <c r="O3098">
        <v>27.514792899408281</v>
      </c>
    </row>
    <row r="3099" spans="1:15" hidden="1" x14ac:dyDescent="0.25">
      <c r="A3099" s="11">
        <v>46098</v>
      </c>
      <c r="B3099" t="s">
        <v>29</v>
      </c>
      <c r="C3099" t="s">
        <v>26</v>
      </c>
      <c r="D3099">
        <v>14</v>
      </c>
      <c r="E3099">
        <v>14</v>
      </c>
      <c r="F3099">
        <v>25.2</v>
      </c>
      <c r="G3099">
        <v>0</v>
      </c>
      <c r="H3099">
        <v>0</v>
      </c>
      <c r="I3099" s="3">
        <f>E3099+G3099+H3099</f>
        <v>14</v>
      </c>
      <c r="J3099" s="3">
        <f>ROUND(MIN(IF(C3099="Técnico III",35,IF(C3099="Técnico II",28,IF(C3099="Técnico I",23,IF(C3099="JR",20,IF(C3099="Estágio",10,0))))),IF(C3099="Técnico III",SUMIFS($D:$D,$A:$A,$A3099,$B:$B,"&lt;&gt;Patrícia Karla de Sousa Araújo",$B:$B,"&lt;&gt;Lorena Dias de Araujo",$B:$B,"&lt;&gt;Lucas Luiz Romero")*(35/1083),IF(C3099="Técnico II",SUMIFS($D:$D,$A:$A,$A3099,$B:$B,"&lt;&gt;Patrícia Karla de Sousa Araújo",$B:$B,"&lt;&gt;Lorena Dias de Araujo",$B:$B,"&lt;&gt;Lucas Luiz Romero")*(28/1083),IF(C3099="Técnico I",SUMIFS($D:$D,$A:$A,$A3099,$B:$B,"&lt;&gt;Patrícia Karla de Sousa Araújo",$B:$B,"&lt;&gt;Lorena Dias de Araujo",$B:$B,"&lt;&gt;Lucas Luiz Romero")*(23/1083),IF(C3099="JR",SUMIFS($D:$D,$A:$A,$A3099,$B:$B,"&lt;&gt;Patrícia Karla de Sousa Araújo",$B:$B,"&lt;&gt;Lorena Dias de Araujo",$B:$B,"&lt;&gt;Lucas Luiz Romero")*(20/1083),IF(C3099="Estágio",SUMIFS($D:$D,$A:$A,$A3099,$B:$B,"&lt;&gt;Patrícia Karla de Sousa Araújo",$B:$B,"&lt;&gt;Lorena Dias de Araujo",$B:$B,"&lt;&gt;Lucas Luiz Romero")*(10/1083),0)))))),0)</f>
        <v>13</v>
      </c>
      <c r="K3099" s="3">
        <f>I3099-J3099</f>
        <v>1</v>
      </c>
      <c r="L3099" s="3" t="str">
        <f>IF(K3099&lt;-5,"CRÍTICO",IF(K3099&lt;0,"ATENÇÃO",IF(K3099&lt;=5,"OPORTUNO","MUITO BOM")))</f>
        <v>OPORTUNO</v>
      </c>
      <c r="M3099">
        <v>11</v>
      </c>
      <c r="N3099">
        <v>100</v>
      </c>
      <c r="O3099">
        <v>24.875621890547269</v>
      </c>
    </row>
    <row r="3100" spans="1:15" hidden="1" x14ac:dyDescent="0.25">
      <c r="A3100" s="11">
        <v>46098</v>
      </c>
      <c r="B3100" t="s">
        <v>30</v>
      </c>
      <c r="C3100" t="s">
        <v>26</v>
      </c>
      <c r="D3100">
        <v>16</v>
      </c>
      <c r="E3100">
        <v>15</v>
      </c>
      <c r="F3100">
        <v>33.22</v>
      </c>
      <c r="G3100">
        <v>0</v>
      </c>
      <c r="H3100">
        <v>0</v>
      </c>
      <c r="I3100" s="3">
        <f>E3100+G3100+H3100</f>
        <v>15</v>
      </c>
      <c r="J3100" s="3">
        <f>ROUND(MIN(IF(C3100="Técnico III",35,IF(C3100="Técnico II",28,IF(C3100="Técnico I",23,IF(C3100="JR",20,IF(C3100="Estágio",10,0))))),IF(C3100="Técnico III",SUMIFS($D:$D,$A:$A,$A3100,$B:$B,"&lt;&gt;Patrícia Karla de Sousa Araújo",$B:$B,"&lt;&gt;Lorena Dias de Araujo",$B:$B,"&lt;&gt;Lucas Luiz Romero")*(35/1083),IF(C3100="Técnico II",SUMIFS($D:$D,$A:$A,$A3100,$B:$B,"&lt;&gt;Patrícia Karla de Sousa Araújo",$B:$B,"&lt;&gt;Lorena Dias de Araujo",$B:$B,"&lt;&gt;Lucas Luiz Romero")*(28/1083),IF(C3100="Técnico I",SUMIFS($D:$D,$A:$A,$A3100,$B:$B,"&lt;&gt;Patrícia Karla de Sousa Araújo",$B:$B,"&lt;&gt;Lorena Dias de Araujo",$B:$B,"&lt;&gt;Lucas Luiz Romero")*(23/1083),IF(C3100="JR",SUMIFS($D:$D,$A:$A,$A3100,$B:$B,"&lt;&gt;Patrícia Karla de Sousa Araújo",$B:$B,"&lt;&gt;Lorena Dias de Araujo",$B:$B,"&lt;&gt;Lucas Luiz Romero")*(20/1083),IF(C3100="Estágio",SUMIFS($D:$D,$A:$A,$A3100,$B:$B,"&lt;&gt;Patrícia Karla de Sousa Araújo",$B:$B,"&lt;&gt;Lorena Dias de Araujo",$B:$B,"&lt;&gt;Lucas Luiz Romero")*(10/1083),0)))))),0)</f>
        <v>13</v>
      </c>
      <c r="K3100" s="3">
        <f>I3100-J3100</f>
        <v>2</v>
      </c>
      <c r="L3100" s="3" t="str">
        <f>IF(K3100&lt;-5,"CRÍTICO",IF(K3100&lt;0,"ATENÇÃO",IF(K3100&lt;=5,"OPORTUNO","MUITO BOM")))</f>
        <v>OPORTUNO</v>
      </c>
      <c r="M3100">
        <v>12</v>
      </c>
      <c r="N3100">
        <v>100</v>
      </c>
      <c r="O3100">
        <v>28.108108108108109</v>
      </c>
    </row>
    <row r="3101" spans="1:15" hidden="1" x14ac:dyDescent="0.25">
      <c r="A3101" s="11">
        <v>46098</v>
      </c>
      <c r="B3101" t="s">
        <v>21</v>
      </c>
      <c r="C3101" t="s">
        <v>16</v>
      </c>
      <c r="D3101">
        <v>0</v>
      </c>
      <c r="E3101">
        <v>0</v>
      </c>
      <c r="F3101">
        <v>0</v>
      </c>
      <c r="G3101">
        <v>0</v>
      </c>
      <c r="H3101">
        <v>0</v>
      </c>
      <c r="I3101" s="3">
        <v>0</v>
      </c>
      <c r="J3101" s="3">
        <v>0</v>
      </c>
      <c r="K3101" s="3">
        <v>0</v>
      </c>
      <c r="L3101" s="3" t="str">
        <f>IF(K3101&lt;-5,"CRÍTICO",IF(K3101&lt;0,"ATENÇÃO",IF(K3101&lt;=5,"OPORTUNO","MUITO BOM")))</f>
        <v>OPORTUNO</v>
      </c>
      <c r="M3101">
        <v>0</v>
      </c>
      <c r="N3101">
        <v>100</v>
      </c>
      <c r="O3101">
        <v>35</v>
      </c>
    </row>
    <row r="3102" spans="1:15" hidden="1" x14ac:dyDescent="0.25">
      <c r="A3102" s="11">
        <v>46098</v>
      </c>
      <c r="B3102" t="s">
        <v>63</v>
      </c>
      <c r="C3102" t="s">
        <v>23</v>
      </c>
      <c r="D3102">
        <v>19</v>
      </c>
      <c r="E3102">
        <v>19</v>
      </c>
      <c r="F3102">
        <v>33.4</v>
      </c>
      <c r="G3102">
        <v>0</v>
      </c>
      <c r="H3102">
        <v>0</v>
      </c>
      <c r="I3102" s="3">
        <f>E3102+G3102+H3102</f>
        <v>19</v>
      </c>
      <c r="J3102" s="3">
        <f>ROUND(MIN(IF(C3102="Técnico III",35,IF(C3102="Técnico II",28,IF(C3102="Técnico I",23,IF(C3102="JR",20,IF(C3102="Estágio",10,0))))),IF(C3102="Técnico III",SUMIFS($D:$D,$A:$A,$A3102,$B:$B,"&lt;&gt;Patrícia Karla de Sousa Araújo",$B:$B,"&lt;&gt;Lorena Dias de Araujo",$B:$B,"&lt;&gt;Lucas Luiz Romero")*(35/1083),IF(C3102="Técnico II",SUMIFS($D:$D,$A:$A,$A3102,$B:$B,"&lt;&gt;Patrícia Karla de Sousa Araújo",$B:$B,"&lt;&gt;Lorena Dias de Araujo",$B:$B,"&lt;&gt;Lucas Luiz Romero")*(28/1083),IF(C3102="Técnico I",SUMIFS($D:$D,$A:$A,$A3102,$B:$B,"&lt;&gt;Patrícia Karla de Sousa Araújo",$B:$B,"&lt;&gt;Lorena Dias de Araujo",$B:$B,"&lt;&gt;Lucas Luiz Romero")*(23/1083),IF(C3102="JR",SUMIFS($D:$D,$A:$A,$A3102,$B:$B,"&lt;&gt;Patrícia Karla de Sousa Araújo",$B:$B,"&lt;&gt;Lorena Dias de Araujo",$B:$B,"&lt;&gt;Lucas Luiz Romero")*(20/1083),IF(C3102="Estágio",SUMIFS($D:$D,$A:$A,$A3102,$B:$B,"&lt;&gt;Patrícia Karla de Sousa Araújo",$B:$B,"&lt;&gt;Lorena Dias de Araujo",$B:$B,"&lt;&gt;Lucas Luiz Romero")*(10/1083),0)))))),0)</f>
        <v>15</v>
      </c>
      <c r="K3102" s="3">
        <f>I3102-J3102</f>
        <v>4</v>
      </c>
      <c r="L3102" s="3" t="str">
        <f>IF(K3102&lt;-5,"CRÍTICO",IF(K3102&lt;0,"ATENÇÃO",IF(K3102&lt;=5,"OPORTUNO","MUITO BOM")))</f>
        <v>OPORTUNO</v>
      </c>
      <c r="M3102">
        <v>14</v>
      </c>
      <c r="N3102">
        <v>95.35</v>
      </c>
      <c r="O3102">
        <v>28.61538461538461</v>
      </c>
    </row>
    <row r="3103" spans="1:15" hidden="1" x14ac:dyDescent="0.25">
      <c r="A3103" s="11">
        <v>46098</v>
      </c>
      <c r="B3103" t="s">
        <v>45</v>
      </c>
      <c r="C3103" t="s">
        <v>32</v>
      </c>
      <c r="D3103">
        <v>37</v>
      </c>
      <c r="E3103">
        <v>37</v>
      </c>
      <c r="F3103">
        <v>15.07</v>
      </c>
      <c r="G3103">
        <v>0</v>
      </c>
      <c r="H3103">
        <v>0</v>
      </c>
      <c r="I3103" s="3">
        <f>E3103+G3103+H3103</f>
        <v>37</v>
      </c>
      <c r="J3103" s="3">
        <f>ROUND(MIN(IF(C3103="Técnico III",35,IF(C3103="Técnico II",28,IF(C3103="Técnico I",23,IF(C3103="JR",20,IF(C3103="Estágio",10,0))))),IF(C3103="Técnico III",SUMIFS($D:$D,$A:$A,$A3103,$B:$B,"&lt;&gt;Patrícia Karla de Sousa Araújo",$B:$B,"&lt;&gt;Lorena Dias de Araujo",$B:$B,"&lt;&gt;Lucas Luiz Romero")*(35/1083),IF(C3103="Técnico II",SUMIFS($D:$D,$A:$A,$A3103,$B:$B,"&lt;&gt;Patrícia Karla de Sousa Araújo",$B:$B,"&lt;&gt;Lorena Dias de Araujo",$B:$B,"&lt;&gt;Lucas Luiz Romero")*(28/1083),IF(C3103="Técnico I",SUMIFS($D:$D,$A:$A,$A3103,$B:$B,"&lt;&gt;Patrícia Karla de Sousa Araújo",$B:$B,"&lt;&gt;Lorena Dias de Araujo",$B:$B,"&lt;&gt;Lucas Luiz Romero")*(23/1083),IF(C3103="JR",SUMIFS($D:$D,$A:$A,$A3103,$B:$B,"&lt;&gt;Patrícia Karla de Sousa Araújo",$B:$B,"&lt;&gt;Lorena Dias de Araujo",$B:$B,"&lt;&gt;Lucas Luiz Romero")*(20/1083),IF(C3103="Estágio",SUMIFS($D:$D,$A:$A,$A3103,$B:$B,"&lt;&gt;Patrícia Karla de Sousa Araújo",$B:$B,"&lt;&gt;Lorena Dias de Araujo",$B:$B,"&lt;&gt;Lucas Luiz Romero")*(10/1083),0)))))),0)</f>
        <v>23</v>
      </c>
      <c r="K3103" s="3">
        <f>I3103-J3103</f>
        <v>14</v>
      </c>
      <c r="L3103" s="3" t="str">
        <f>IF(K3103&lt;-5,"CRÍTICO",IF(K3103&lt;0,"ATENÇÃO",IF(K3103&lt;=5,"OPORTUNO","MUITO BOM")))</f>
        <v>MUITO BOM</v>
      </c>
      <c r="M3103">
        <v>27</v>
      </c>
      <c r="N3103">
        <v>98.26</v>
      </c>
      <c r="O3103">
        <v>27.54491017964072</v>
      </c>
    </row>
    <row r="3104" spans="1:15" hidden="1" x14ac:dyDescent="0.25">
      <c r="A3104" s="11">
        <v>46098</v>
      </c>
      <c r="B3104" t="s">
        <v>64</v>
      </c>
      <c r="C3104" t="s">
        <v>23</v>
      </c>
      <c r="D3104">
        <v>10</v>
      </c>
      <c r="E3104">
        <v>10</v>
      </c>
      <c r="F3104">
        <v>48.4</v>
      </c>
      <c r="G3104">
        <v>0</v>
      </c>
      <c r="H3104">
        <v>0</v>
      </c>
      <c r="I3104" s="3">
        <f>E3104+G3104+H3104</f>
        <v>10</v>
      </c>
      <c r="J3104" s="3">
        <f>ROUND(MIN(IF(C3104="Técnico III",35,IF(C3104="Técnico II",28,IF(C3104="Técnico I",23,IF(C3104="JR",20,IF(C3104="Estágio",10,0))))),IF(C3104="Técnico III",SUMIFS($D:$D,$A:$A,$A3104,$B:$B,"&lt;&gt;Patrícia Karla de Sousa Araújo",$B:$B,"&lt;&gt;Lorena Dias de Araujo",$B:$B,"&lt;&gt;Lucas Luiz Romero")*(35/1083),IF(C3104="Técnico II",SUMIFS($D:$D,$A:$A,$A3104,$B:$B,"&lt;&gt;Patrícia Karla de Sousa Araújo",$B:$B,"&lt;&gt;Lorena Dias de Araujo",$B:$B,"&lt;&gt;Lucas Luiz Romero")*(28/1083),IF(C3104="Técnico I",SUMIFS($D:$D,$A:$A,$A3104,$B:$B,"&lt;&gt;Patrícia Karla de Sousa Araújo",$B:$B,"&lt;&gt;Lorena Dias de Araujo",$B:$B,"&lt;&gt;Lucas Luiz Romero")*(23/1083),IF(C3104="JR",SUMIFS($D:$D,$A:$A,$A3104,$B:$B,"&lt;&gt;Patrícia Karla de Sousa Araújo",$B:$B,"&lt;&gt;Lorena Dias de Araujo",$B:$B,"&lt;&gt;Lucas Luiz Romero")*(20/1083),IF(C3104="Estágio",SUMIFS($D:$D,$A:$A,$A3104,$B:$B,"&lt;&gt;Patrícia Karla de Sousa Araújo",$B:$B,"&lt;&gt;Lorena Dias de Araujo",$B:$B,"&lt;&gt;Lucas Luiz Romero")*(10/1083),0)))))),0)</f>
        <v>15</v>
      </c>
      <c r="K3104" s="3">
        <f>I3104-J3104</f>
        <v>-5</v>
      </c>
      <c r="L3104" s="3" t="str">
        <f>IF(K3104&lt;-5,"CRÍTICO",IF(K3104&lt;0,"ATENÇÃO",IF(K3104&lt;=5,"OPORTUNO","MUITO BOM")))</f>
        <v>ATENÇÃO</v>
      </c>
      <c r="M3104">
        <v>10</v>
      </c>
      <c r="N3104">
        <v>98.55</v>
      </c>
      <c r="O3104">
        <v>25.337837837837839</v>
      </c>
    </row>
    <row r="3105" spans="1:15" hidden="1" x14ac:dyDescent="0.25">
      <c r="A3105" s="11">
        <v>46098</v>
      </c>
      <c r="B3105" t="s">
        <v>46</v>
      </c>
      <c r="C3105" t="s">
        <v>32</v>
      </c>
      <c r="D3105">
        <v>27</v>
      </c>
      <c r="E3105">
        <v>26</v>
      </c>
      <c r="F3105">
        <v>21.43</v>
      </c>
      <c r="G3105">
        <v>0</v>
      </c>
      <c r="H3105">
        <v>0</v>
      </c>
      <c r="I3105" s="3">
        <f>E3105+G3105+H3105</f>
        <v>26</v>
      </c>
      <c r="J3105" s="3">
        <f>ROUND(MIN(IF(C3105="Técnico III",35,IF(C3105="Técnico II",28,IF(C3105="Técnico I",23,IF(C3105="JR",20,IF(C3105="Estágio",10,0))))),IF(C3105="Técnico III",SUMIFS($D:$D,$A:$A,$A3105,$B:$B,"&lt;&gt;Patrícia Karla de Sousa Araújo",$B:$B,"&lt;&gt;Lorena Dias de Araujo",$B:$B,"&lt;&gt;Lucas Luiz Romero")*(35/1083),IF(C3105="Técnico II",SUMIFS($D:$D,$A:$A,$A3105,$B:$B,"&lt;&gt;Patrícia Karla de Sousa Araújo",$B:$B,"&lt;&gt;Lorena Dias de Araujo",$B:$B,"&lt;&gt;Lucas Luiz Romero")*(28/1083),IF(C3105="Técnico I",SUMIFS($D:$D,$A:$A,$A3105,$B:$B,"&lt;&gt;Patrícia Karla de Sousa Araújo",$B:$B,"&lt;&gt;Lorena Dias de Araujo",$B:$B,"&lt;&gt;Lucas Luiz Romero")*(23/1083),IF(C3105="JR",SUMIFS($D:$D,$A:$A,$A3105,$B:$B,"&lt;&gt;Patrícia Karla de Sousa Araújo",$B:$B,"&lt;&gt;Lorena Dias de Araujo",$B:$B,"&lt;&gt;Lucas Luiz Romero")*(20/1083),IF(C3105="Estágio",SUMIFS($D:$D,$A:$A,$A3105,$B:$B,"&lt;&gt;Patrícia Karla de Sousa Araújo",$B:$B,"&lt;&gt;Lorena Dias de Araujo",$B:$B,"&lt;&gt;Lucas Luiz Romero")*(10/1083),0)))))),0)</f>
        <v>23</v>
      </c>
      <c r="K3105" s="3">
        <f>I3105-J3105</f>
        <v>3</v>
      </c>
      <c r="L3105" s="3" t="str">
        <f>IF(K3105&lt;-5,"CRÍTICO",IF(K3105&lt;0,"ATENÇÃO",IF(K3105&lt;=5,"OPORTUNO","MUITO BOM")))</f>
        <v>OPORTUNO</v>
      </c>
      <c r="M3105">
        <v>23</v>
      </c>
      <c r="N3105">
        <v>98.39</v>
      </c>
      <c r="O3105">
        <v>25.563909774436091</v>
      </c>
    </row>
    <row r="3106" spans="1:15" hidden="1" x14ac:dyDescent="0.25">
      <c r="A3106" s="11">
        <v>46099</v>
      </c>
      <c r="B3106" t="s">
        <v>47</v>
      </c>
      <c r="C3106" t="s">
        <v>48</v>
      </c>
      <c r="D3106">
        <v>25</v>
      </c>
      <c r="E3106">
        <v>24</v>
      </c>
      <c r="F3106">
        <v>18.420000000000002</v>
      </c>
      <c r="G3106">
        <v>0</v>
      </c>
      <c r="H3106">
        <v>0</v>
      </c>
      <c r="I3106" s="3">
        <f>E3106+G3106+H3106</f>
        <v>24</v>
      </c>
      <c r="J3106" s="3">
        <f>ROUND(MIN(IF(C3106="Técnico III",35,IF(C3106="Técnico II",28,IF(C3106="Técnico I",23,IF(C3106="JR",20,IF(C3106="Estágio",10,0))))),IF(C3106="Técnico III",SUMIFS($D:$D,$A:$A,$A3106,$B:$B,"&lt;&gt;Patrícia Karla de Sousa Araújo",$B:$B,"&lt;&gt;Lorena Dias de Araujo",$B:$B,"&lt;&gt;Lucas Luiz Romero")*(35/1083),IF(C3106="Técnico II",SUMIFS($D:$D,$A:$A,$A3106,$B:$B,"&lt;&gt;Patrícia Karla de Sousa Araújo",$B:$B,"&lt;&gt;Lorena Dias de Araujo",$B:$B,"&lt;&gt;Lucas Luiz Romero")*(28/1083),IF(C3106="Técnico I",SUMIFS($D:$D,$A:$A,$A3106,$B:$B,"&lt;&gt;Patrícia Karla de Sousa Araújo",$B:$B,"&lt;&gt;Lorena Dias de Araujo",$B:$B,"&lt;&gt;Lucas Luiz Romero")*(23/1083),IF(C3106="JR",SUMIFS($D:$D,$A:$A,$A3106,$B:$B,"&lt;&gt;Patrícia Karla de Sousa Araújo",$B:$B,"&lt;&gt;Lorena Dias de Araujo",$B:$B,"&lt;&gt;Lucas Luiz Romero")*(20/1083),IF(C3106="Estágio",SUMIFS($D:$D,$A:$A,$A3106,$B:$B,"&lt;&gt;Patrícia Karla de Sousa Araújo",$B:$B,"&lt;&gt;Lorena Dias de Araujo",$B:$B,"&lt;&gt;Lucas Luiz Romero")*(10/1083),0)))))),0)</f>
        <v>17</v>
      </c>
      <c r="K3106" s="3">
        <f>I3106-J3106</f>
        <v>7</v>
      </c>
      <c r="L3106" s="3" t="str">
        <f>IF(K3106&lt;-5,"CRÍTICO",IF(K3106&lt;0,"ATENÇÃO",IF(K3106&lt;=5,"OPORTUNO","MUITO BOM")))</f>
        <v>MUITO BOM</v>
      </c>
      <c r="M3106">
        <v>18</v>
      </c>
      <c r="N3106">
        <v>94.29</v>
      </c>
      <c r="O3106">
        <v>25.647668393782389</v>
      </c>
    </row>
    <row r="3107" spans="1:15" hidden="1" x14ac:dyDescent="0.25">
      <c r="A3107" s="11">
        <v>46099</v>
      </c>
      <c r="B3107" t="s">
        <v>31</v>
      </c>
      <c r="C3107" t="s">
        <v>32</v>
      </c>
      <c r="D3107">
        <v>0</v>
      </c>
      <c r="E3107">
        <v>0</v>
      </c>
      <c r="F3107">
        <v>0</v>
      </c>
      <c r="G3107">
        <v>0</v>
      </c>
      <c r="H3107">
        <v>0</v>
      </c>
      <c r="I3107" s="3">
        <v>0</v>
      </c>
      <c r="J3107" s="3">
        <v>0</v>
      </c>
      <c r="K3107" s="3">
        <v>0</v>
      </c>
      <c r="L3107" s="3" t="str">
        <f>IF(K3107&lt;-5,"CRÍTICO",IF(K3107&lt;0,"ATENÇÃO",IF(K3107&lt;=5,"OPORTUNO","MUITO BOM")))</f>
        <v>OPORTUNO</v>
      </c>
      <c r="M3107">
        <v>24</v>
      </c>
      <c r="N3107">
        <v>98.26</v>
      </c>
      <c r="O3107">
        <v>26.666666666666671</v>
      </c>
    </row>
    <row r="3108" spans="1:15" hidden="1" x14ac:dyDescent="0.25">
      <c r="A3108" s="11">
        <v>46099</v>
      </c>
      <c r="B3108" t="s">
        <v>59</v>
      </c>
      <c r="C3108" t="s">
        <v>23</v>
      </c>
      <c r="D3108">
        <v>7</v>
      </c>
      <c r="E3108">
        <v>7</v>
      </c>
      <c r="F3108">
        <v>36.57</v>
      </c>
      <c r="G3108">
        <v>0</v>
      </c>
      <c r="H3108">
        <v>0</v>
      </c>
      <c r="I3108" s="3">
        <f>E3108+G3108+H3108</f>
        <v>7</v>
      </c>
      <c r="J3108" s="3">
        <f>ROUND(MIN(IF(C3108="Técnico III",35,IF(C3108="Técnico II",28,IF(C3108="Técnico I",23,IF(C3108="JR",20,IF(C3108="Estágio",10,0))))),IF(C3108="Técnico III",SUMIFS($D:$D,$A:$A,$A3108,$B:$B,"&lt;&gt;Patrícia Karla de Sousa Araújo",$B:$B,"&lt;&gt;Lorena Dias de Araujo",$B:$B,"&lt;&gt;Lucas Luiz Romero")*(35/1083),IF(C3108="Técnico II",SUMIFS($D:$D,$A:$A,$A3108,$B:$B,"&lt;&gt;Patrícia Karla de Sousa Araújo",$B:$B,"&lt;&gt;Lorena Dias de Araujo",$B:$B,"&lt;&gt;Lucas Luiz Romero")*(28/1083),IF(C3108="Técnico I",SUMIFS($D:$D,$A:$A,$A3108,$B:$B,"&lt;&gt;Patrícia Karla de Sousa Araújo",$B:$B,"&lt;&gt;Lorena Dias de Araujo",$B:$B,"&lt;&gt;Lucas Luiz Romero")*(23/1083),IF(C3108="JR",SUMIFS($D:$D,$A:$A,$A3108,$B:$B,"&lt;&gt;Patrícia Karla de Sousa Araújo",$B:$B,"&lt;&gt;Lorena Dias de Araujo",$B:$B,"&lt;&gt;Lucas Luiz Romero")*(20/1083),IF(C3108="Estágio",SUMIFS($D:$D,$A:$A,$A3108,$B:$B,"&lt;&gt;Patrícia Karla de Sousa Araújo",$B:$B,"&lt;&gt;Lorena Dias de Araujo",$B:$B,"&lt;&gt;Lucas Luiz Romero")*(10/1083),0)))))),0)</f>
        <v>14</v>
      </c>
      <c r="K3108" s="3">
        <f>I3108-J3108</f>
        <v>-7</v>
      </c>
      <c r="L3108" s="3" t="str">
        <f>IF(K3108&lt;-5,"CRÍTICO",IF(K3108&lt;0,"ATENÇÃO",IF(K3108&lt;=5,"OPORTUNO","MUITO BOM")))</f>
        <v>CRÍTICO</v>
      </c>
      <c r="M3108">
        <v>9</v>
      </c>
      <c r="N3108">
        <v>98.2</v>
      </c>
      <c r="O3108">
        <v>23.37962962962963</v>
      </c>
    </row>
    <row r="3109" spans="1:15" hidden="1" x14ac:dyDescent="0.25">
      <c r="A3109" s="11">
        <v>46099</v>
      </c>
      <c r="B3109" t="s">
        <v>33</v>
      </c>
      <c r="C3109" t="s">
        <v>32</v>
      </c>
      <c r="D3109">
        <v>28</v>
      </c>
      <c r="E3109">
        <v>28</v>
      </c>
      <c r="F3109">
        <v>20.21</v>
      </c>
      <c r="G3109">
        <v>0</v>
      </c>
      <c r="H3109">
        <v>0</v>
      </c>
      <c r="I3109" s="3">
        <f>E3109+G3109+H3109</f>
        <v>28</v>
      </c>
      <c r="J3109" s="3">
        <f>ROUND(MIN(IF(C3109="Técnico III",35,IF(C3109="Técnico II",28,IF(C3109="Técnico I",23,IF(C3109="JR",20,IF(C3109="Estágio",10,0))))),IF(C3109="Técnico III",SUMIFS($D:$D,$A:$A,$A3109,$B:$B,"&lt;&gt;Patrícia Karla de Sousa Araújo",$B:$B,"&lt;&gt;Lorena Dias de Araujo",$B:$B,"&lt;&gt;Lucas Luiz Romero")*(35/1083),IF(C3109="Técnico II",SUMIFS($D:$D,$A:$A,$A3109,$B:$B,"&lt;&gt;Patrícia Karla de Sousa Araújo",$B:$B,"&lt;&gt;Lorena Dias de Araujo",$B:$B,"&lt;&gt;Lucas Luiz Romero")*(28/1083),IF(C3109="Técnico I",SUMIFS($D:$D,$A:$A,$A3109,$B:$B,"&lt;&gt;Patrícia Karla de Sousa Araújo",$B:$B,"&lt;&gt;Lorena Dias de Araujo",$B:$B,"&lt;&gt;Lucas Luiz Romero")*(23/1083),IF(C3109="JR",SUMIFS($D:$D,$A:$A,$A3109,$B:$B,"&lt;&gt;Patrícia Karla de Sousa Araújo",$B:$B,"&lt;&gt;Lorena Dias de Araujo",$B:$B,"&lt;&gt;Lucas Luiz Romero")*(20/1083),IF(C3109="Estágio",SUMIFS($D:$D,$A:$A,$A3109,$B:$B,"&lt;&gt;Patrícia Karla de Sousa Araújo",$B:$B,"&lt;&gt;Lorena Dias de Araujo",$B:$B,"&lt;&gt;Lucas Luiz Romero")*(10/1083),0)))))),0)</f>
        <v>22</v>
      </c>
      <c r="K3109" s="3">
        <f>I3109-J3109</f>
        <v>6</v>
      </c>
      <c r="L3109" s="3" t="str">
        <f>IF(K3109&lt;-5,"CRÍTICO",IF(K3109&lt;0,"ATENÇÃO",IF(K3109&lt;=5,"OPORTUNO","MUITO BOM")))</f>
        <v>MUITO BOM</v>
      </c>
      <c r="M3109">
        <v>25</v>
      </c>
      <c r="N3109">
        <v>97.3</v>
      </c>
      <c r="O3109">
        <v>23.84769539078156</v>
      </c>
    </row>
    <row r="3110" spans="1:15" hidden="1" x14ac:dyDescent="0.25">
      <c r="A3110" s="11">
        <v>46099</v>
      </c>
      <c r="B3110" t="s">
        <v>15</v>
      </c>
      <c r="C3110" t="s">
        <v>16</v>
      </c>
      <c r="D3110">
        <v>8</v>
      </c>
      <c r="E3110">
        <v>8</v>
      </c>
      <c r="F3110">
        <v>45.29</v>
      </c>
      <c r="G3110">
        <v>0</v>
      </c>
      <c r="H3110">
        <v>0</v>
      </c>
      <c r="I3110" s="3">
        <f>E3110+G3110+H3110</f>
        <v>8</v>
      </c>
      <c r="J3110" s="3">
        <f>ROUND(MIN(IF(C3110="Técnico III",35,IF(C3110="Técnico II",28,IF(C3110="Técnico I",23,IF(C3110="JR",20,IF(C3110="Estágio",10,0))))),IF(C3110="Técnico III",SUMIFS($D:$D,$A:$A,$A3110,$B:$B,"&lt;&gt;Patrícia Karla de Sousa Araújo",$B:$B,"&lt;&gt;Lorena Dias de Araujo",$B:$B,"&lt;&gt;Lucas Luiz Romero")*(35/1083),IF(C3110="Técnico II",SUMIFS($D:$D,$A:$A,$A3110,$B:$B,"&lt;&gt;Patrícia Karla de Sousa Araújo",$B:$B,"&lt;&gt;Lorena Dias de Araujo",$B:$B,"&lt;&gt;Lucas Luiz Romero")*(28/1083),IF(C3110="Técnico I",SUMIFS($D:$D,$A:$A,$A3110,$B:$B,"&lt;&gt;Patrícia Karla de Sousa Araújo",$B:$B,"&lt;&gt;Lorena Dias de Araujo",$B:$B,"&lt;&gt;Lucas Luiz Romero")*(23/1083),IF(C3110="JR",SUMIFS($D:$D,$A:$A,$A3110,$B:$B,"&lt;&gt;Patrícia Karla de Sousa Araújo",$B:$B,"&lt;&gt;Lorena Dias de Araujo",$B:$B,"&lt;&gt;Lucas Luiz Romero")*(20/1083),IF(C3110="Estágio",SUMIFS($D:$D,$A:$A,$A3110,$B:$B,"&lt;&gt;Patrícia Karla de Sousa Araújo",$B:$B,"&lt;&gt;Lorena Dias de Araujo",$B:$B,"&lt;&gt;Lucas Luiz Romero")*(10/1083),0)))))),0)</f>
        <v>6</v>
      </c>
      <c r="K3110" s="3">
        <f>I3110-J3110</f>
        <v>2</v>
      </c>
      <c r="L3110" s="3" t="str">
        <f>IF(K3110&lt;-5,"CRÍTICO",IF(K3110&lt;0,"ATENÇÃO",IF(K3110&lt;=5,"OPORTUNO","MUITO BOM")))</f>
        <v>OPORTUNO</v>
      </c>
      <c r="M3110">
        <v>5</v>
      </c>
      <c r="N3110">
        <v>100</v>
      </c>
      <c r="O3110">
        <v>25.268817204301079</v>
      </c>
    </row>
    <row r="3111" spans="1:15" hidden="1" x14ac:dyDescent="0.25">
      <c r="A3111" s="11">
        <v>46099</v>
      </c>
      <c r="B3111" t="s">
        <v>49</v>
      </c>
      <c r="C3111" t="s">
        <v>48</v>
      </c>
      <c r="D3111">
        <v>31</v>
      </c>
      <c r="E3111">
        <v>26</v>
      </c>
      <c r="F3111">
        <v>18.32</v>
      </c>
      <c r="G3111">
        <v>0</v>
      </c>
      <c r="H3111">
        <v>0</v>
      </c>
      <c r="I3111" s="3">
        <f>E3111+G3111+H3111</f>
        <v>26</v>
      </c>
      <c r="J3111" s="3">
        <f>ROUND(MIN(IF(C3111="Técnico III",35,IF(C3111="Técnico II",28,IF(C3111="Técnico I",23,IF(C3111="JR",20,IF(C3111="Estágio",10,0))))),IF(C3111="Técnico III",SUMIFS($D:$D,$A:$A,$A3111,$B:$B,"&lt;&gt;Patrícia Karla de Sousa Araújo",$B:$B,"&lt;&gt;Lorena Dias de Araujo",$B:$B,"&lt;&gt;Lucas Luiz Romero")*(35/1083),IF(C3111="Técnico II",SUMIFS($D:$D,$A:$A,$A3111,$B:$B,"&lt;&gt;Patrícia Karla de Sousa Araújo",$B:$B,"&lt;&gt;Lorena Dias de Araujo",$B:$B,"&lt;&gt;Lucas Luiz Romero")*(28/1083),IF(C3111="Técnico I",SUMIFS($D:$D,$A:$A,$A3111,$B:$B,"&lt;&gt;Patrícia Karla de Sousa Araújo",$B:$B,"&lt;&gt;Lorena Dias de Araujo",$B:$B,"&lt;&gt;Lucas Luiz Romero")*(23/1083),IF(C3111="JR",SUMIFS($D:$D,$A:$A,$A3111,$B:$B,"&lt;&gt;Patrícia Karla de Sousa Araújo",$B:$B,"&lt;&gt;Lorena Dias de Araujo",$B:$B,"&lt;&gt;Lucas Luiz Romero")*(20/1083),IF(C3111="Estágio",SUMIFS($D:$D,$A:$A,$A3111,$B:$B,"&lt;&gt;Patrícia Karla de Sousa Araújo",$B:$B,"&lt;&gt;Lorena Dias de Araujo",$B:$B,"&lt;&gt;Lucas Luiz Romero")*(10/1083),0)))))),0)</f>
        <v>17</v>
      </c>
      <c r="K3111" s="3">
        <f>I3111-J3111</f>
        <v>9</v>
      </c>
      <c r="L3111" s="3" t="str">
        <f>IF(K3111&lt;-5,"CRÍTICO",IF(K3111&lt;0,"ATENÇÃO",IF(K3111&lt;=5,"OPORTUNO","MUITO BOM")))</f>
        <v>MUITO BOM</v>
      </c>
      <c r="M3111">
        <v>24</v>
      </c>
      <c r="N3111">
        <v>99.32</v>
      </c>
      <c r="O3111">
        <v>22.822822822822818</v>
      </c>
    </row>
    <row r="3112" spans="1:15" hidden="1" x14ac:dyDescent="0.25">
      <c r="A3112" s="11">
        <v>46099</v>
      </c>
      <c r="B3112" t="s">
        <v>50</v>
      </c>
      <c r="C3112" t="s">
        <v>48</v>
      </c>
      <c r="D3112">
        <v>17</v>
      </c>
      <c r="E3112">
        <v>16</v>
      </c>
      <c r="F3112">
        <v>18.239999999999998</v>
      </c>
      <c r="G3112">
        <v>0</v>
      </c>
      <c r="H3112">
        <v>0</v>
      </c>
      <c r="I3112" s="3">
        <f>E3112+G3112+H3112</f>
        <v>16</v>
      </c>
      <c r="J3112" s="3">
        <f>ROUND(MIN(IF(C3112="Técnico III",35,IF(C3112="Técnico II",28,IF(C3112="Técnico I",23,IF(C3112="JR",20,IF(C3112="Estágio",10,0))))),IF(C3112="Técnico III",SUMIFS($D:$D,$A:$A,$A3112,$B:$B,"&lt;&gt;Patrícia Karla de Sousa Araújo",$B:$B,"&lt;&gt;Lorena Dias de Araujo",$B:$B,"&lt;&gt;Lucas Luiz Romero")*(35/1083),IF(C3112="Técnico II",SUMIFS($D:$D,$A:$A,$A3112,$B:$B,"&lt;&gt;Patrícia Karla de Sousa Araújo",$B:$B,"&lt;&gt;Lorena Dias de Araujo",$B:$B,"&lt;&gt;Lucas Luiz Romero")*(28/1083),IF(C3112="Técnico I",SUMIFS($D:$D,$A:$A,$A3112,$B:$B,"&lt;&gt;Patrícia Karla de Sousa Araújo",$B:$B,"&lt;&gt;Lorena Dias de Araujo",$B:$B,"&lt;&gt;Lucas Luiz Romero")*(23/1083),IF(C3112="JR",SUMIFS($D:$D,$A:$A,$A3112,$B:$B,"&lt;&gt;Patrícia Karla de Sousa Araújo",$B:$B,"&lt;&gt;Lorena Dias de Araujo",$B:$B,"&lt;&gt;Lucas Luiz Romero")*(20/1083),IF(C3112="Estágio",SUMIFS($D:$D,$A:$A,$A3112,$B:$B,"&lt;&gt;Patrícia Karla de Sousa Araújo",$B:$B,"&lt;&gt;Lorena Dias de Araujo",$B:$B,"&lt;&gt;Lucas Luiz Romero")*(10/1083),0)))))),0)</f>
        <v>17</v>
      </c>
      <c r="K3112" s="3">
        <f>I3112-J3112</f>
        <v>-1</v>
      </c>
      <c r="L3112" s="3" t="str">
        <f>IF(K3112&lt;-5,"CRÍTICO",IF(K3112&lt;0,"ATENÇÃO",IF(K3112&lt;=5,"OPORTUNO","MUITO BOM")))</f>
        <v>ATENÇÃO</v>
      </c>
      <c r="M3112">
        <v>16</v>
      </c>
      <c r="N3112">
        <v>100</v>
      </c>
      <c r="O3112">
        <v>27.966101694915249</v>
      </c>
    </row>
    <row r="3113" spans="1:15" hidden="1" x14ac:dyDescent="0.25">
      <c r="A3113" s="11">
        <v>46099</v>
      </c>
      <c r="B3113" t="s">
        <v>17</v>
      </c>
      <c r="C3113" t="s">
        <v>16</v>
      </c>
      <c r="D3113">
        <v>0</v>
      </c>
      <c r="E3113">
        <v>0</v>
      </c>
      <c r="F3113">
        <v>0</v>
      </c>
      <c r="G3113">
        <v>0</v>
      </c>
      <c r="H3113">
        <v>0</v>
      </c>
      <c r="I3113" s="3">
        <v>0</v>
      </c>
      <c r="J3113" s="3">
        <v>0</v>
      </c>
      <c r="K3113" s="3">
        <v>0</v>
      </c>
      <c r="L3113" s="3" t="str">
        <f>IF(K3113&lt;-5,"CRÍTICO",IF(K3113&lt;0,"ATENÇÃO",IF(K3113&lt;=5,"OPORTUNO","MUITO BOM")))</f>
        <v>OPORTUNO</v>
      </c>
      <c r="M3113">
        <v>0</v>
      </c>
      <c r="N3113">
        <v>100</v>
      </c>
      <c r="O3113">
        <v>30.434782608695659</v>
      </c>
    </row>
    <row r="3114" spans="1:15" hidden="1" x14ac:dyDescent="0.25">
      <c r="A3114" s="11">
        <v>46099</v>
      </c>
      <c r="B3114" t="s">
        <v>60</v>
      </c>
      <c r="C3114" t="s">
        <v>23</v>
      </c>
      <c r="D3114">
        <v>19</v>
      </c>
      <c r="E3114">
        <v>19</v>
      </c>
      <c r="F3114">
        <v>32.01</v>
      </c>
      <c r="G3114">
        <v>0</v>
      </c>
      <c r="H3114">
        <v>0</v>
      </c>
      <c r="I3114" s="3">
        <f>E3114+G3114+H3114</f>
        <v>19</v>
      </c>
      <c r="J3114" s="3">
        <f>ROUND(MIN(IF(C3114="Técnico III",35,IF(C3114="Técnico II",28,IF(C3114="Técnico I",23,IF(C3114="JR",20,IF(C3114="Estágio",10,0))))),IF(C3114="Técnico III",SUMIFS($D:$D,$A:$A,$A3114,$B:$B,"&lt;&gt;Patrícia Karla de Sousa Araújo",$B:$B,"&lt;&gt;Lorena Dias de Araujo",$B:$B,"&lt;&gt;Lucas Luiz Romero")*(35/1083),IF(C3114="Técnico II",SUMIFS($D:$D,$A:$A,$A3114,$B:$B,"&lt;&gt;Patrícia Karla de Sousa Araújo",$B:$B,"&lt;&gt;Lorena Dias de Araujo",$B:$B,"&lt;&gt;Lucas Luiz Romero")*(28/1083),IF(C3114="Técnico I",SUMIFS($D:$D,$A:$A,$A3114,$B:$B,"&lt;&gt;Patrícia Karla de Sousa Araújo",$B:$B,"&lt;&gt;Lorena Dias de Araujo",$B:$B,"&lt;&gt;Lucas Luiz Romero")*(23/1083),IF(C3114="JR",SUMIFS($D:$D,$A:$A,$A3114,$B:$B,"&lt;&gt;Patrícia Karla de Sousa Araújo",$B:$B,"&lt;&gt;Lorena Dias de Araujo",$B:$B,"&lt;&gt;Lucas Luiz Romero")*(20/1083),IF(C3114="Estágio",SUMIFS($D:$D,$A:$A,$A3114,$B:$B,"&lt;&gt;Patrícia Karla de Sousa Araújo",$B:$B,"&lt;&gt;Lorena Dias de Araujo",$B:$B,"&lt;&gt;Lucas Luiz Romero")*(10/1083),0)))))),0)</f>
        <v>14</v>
      </c>
      <c r="K3114" s="3">
        <f>I3114-J3114</f>
        <v>5</v>
      </c>
      <c r="L3114" s="3" t="str">
        <f>IF(K3114&lt;-5,"CRÍTICO",IF(K3114&lt;0,"ATENÇÃO",IF(K3114&lt;=5,"OPORTUNO","MUITO BOM")))</f>
        <v>OPORTUNO</v>
      </c>
      <c r="M3114">
        <v>14</v>
      </c>
      <c r="N3114">
        <v>96.51</v>
      </c>
      <c r="O3114">
        <v>22.802850356294542</v>
      </c>
    </row>
    <row r="3115" spans="1:15" hidden="1" x14ac:dyDescent="0.25">
      <c r="A3115" s="11">
        <v>46099</v>
      </c>
      <c r="B3115" t="s">
        <v>34</v>
      </c>
      <c r="C3115" t="s">
        <v>32</v>
      </c>
      <c r="D3115">
        <v>0</v>
      </c>
      <c r="E3115">
        <v>0</v>
      </c>
      <c r="F3115">
        <v>0</v>
      </c>
      <c r="G3115">
        <v>0</v>
      </c>
      <c r="H3115">
        <v>0</v>
      </c>
      <c r="I3115" s="3">
        <v>0</v>
      </c>
      <c r="J3115" s="3">
        <v>0</v>
      </c>
      <c r="K3115" s="3">
        <v>0</v>
      </c>
      <c r="L3115" s="3" t="str">
        <f>IF(K3115&lt;-5,"CRÍTICO",IF(K3115&lt;0,"ATENÇÃO",IF(K3115&lt;=5,"OPORTUNO","MUITO BOM")))</f>
        <v>OPORTUNO</v>
      </c>
      <c r="M3115">
        <v>9</v>
      </c>
      <c r="N3115">
        <v>92.68</v>
      </c>
      <c r="O3115">
        <v>27.777777777777779</v>
      </c>
    </row>
    <row r="3116" spans="1:15" hidden="1" x14ac:dyDescent="0.25">
      <c r="A3116" s="11">
        <v>46099</v>
      </c>
      <c r="B3116" t="s">
        <v>51</v>
      </c>
      <c r="C3116" t="s">
        <v>48</v>
      </c>
      <c r="D3116">
        <v>25</v>
      </c>
      <c r="E3116">
        <v>24</v>
      </c>
      <c r="F3116">
        <v>24.13</v>
      </c>
      <c r="G3116">
        <v>0</v>
      </c>
      <c r="H3116">
        <v>0</v>
      </c>
      <c r="I3116" s="3">
        <v>0</v>
      </c>
      <c r="J3116" s="3">
        <v>0</v>
      </c>
      <c r="K3116" s="3">
        <v>0</v>
      </c>
      <c r="L3116" s="3" t="str">
        <f>IF(K3116&lt;-5,"CRÍTICO",IF(K3116&lt;0,"ATENÇÃO",IF(K3116&lt;=5,"OPORTUNO","MUITO BOM")))</f>
        <v>OPORTUNO</v>
      </c>
      <c r="M3116">
        <v>22</v>
      </c>
      <c r="N3116">
        <v>99.03</v>
      </c>
      <c r="O3116">
        <v>23.991507430997881</v>
      </c>
    </row>
    <row r="3117" spans="1:15" hidden="1" x14ac:dyDescent="0.25">
      <c r="A3117" s="11">
        <v>46099</v>
      </c>
      <c r="B3117" t="s">
        <v>61</v>
      </c>
      <c r="C3117" t="s">
        <v>23</v>
      </c>
      <c r="D3117">
        <v>12</v>
      </c>
      <c r="E3117">
        <v>12</v>
      </c>
      <c r="F3117">
        <v>25.21</v>
      </c>
      <c r="G3117">
        <v>0</v>
      </c>
      <c r="H3117">
        <v>0</v>
      </c>
      <c r="I3117" s="3">
        <f>E3117+G3117+H3117</f>
        <v>12</v>
      </c>
      <c r="J3117" s="3">
        <f>ROUND(MIN(IF(C3117="Técnico III",35,IF(C3117="Técnico II",28,IF(C3117="Técnico I",23,IF(C3117="JR",20,IF(C3117="Estágio",10,0))))),IF(C3117="Técnico III",SUMIFS($D:$D,$A:$A,$A3117,$B:$B,"&lt;&gt;Patrícia Karla de Sousa Araújo",$B:$B,"&lt;&gt;Lorena Dias de Araujo",$B:$B,"&lt;&gt;Lucas Luiz Romero")*(35/1083),IF(C3117="Técnico II",SUMIFS($D:$D,$A:$A,$A3117,$B:$B,"&lt;&gt;Patrícia Karla de Sousa Araújo",$B:$B,"&lt;&gt;Lorena Dias de Araujo",$B:$B,"&lt;&gt;Lucas Luiz Romero")*(28/1083),IF(C3117="Técnico I",SUMIFS($D:$D,$A:$A,$A3117,$B:$B,"&lt;&gt;Patrícia Karla de Sousa Araújo",$B:$B,"&lt;&gt;Lorena Dias de Araujo",$B:$B,"&lt;&gt;Lucas Luiz Romero")*(23/1083),IF(C3117="JR",SUMIFS($D:$D,$A:$A,$A3117,$B:$B,"&lt;&gt;Patrícia Karla de Sousa Araújo",$B:$B,"&lt;&gt;Lorena Dias de Araujo",$B:$B,"&lt;&gt;Lucas Luiz Romero")*(20/1083),IF(C3117="Estágio",SUMIFS($D:$D,$A:$A,$A3117,$B:$B,"&lt;&gt;Patrícia Karla de Sousa Araújo",$B:$B,"&lt;&gt;Lorena Dias de Araujo",$B:$B,"&lt;&gt;Lucas Luiz Romero")*(10/1083),0)))))),0)</f>
        <v>14</v>
      </c>
      <c r="K3117" s="3">
        <f>I3117-J3117</f>
        <v>-2</v>
      </c>
      <c r="L3117" s="3" t="str">
        <f>IF(K3117&lt;-5,"CRÍTICO",IF(K3117&lt;0,"ATENÇÃO",IF(K3117&lt;=5,"OPORTUNO","MUITO BOM")))</f>
        <v>ATENÇÃO</v>
      </c>
      <c r="M3117">
        <v>8</v>
      </c>
      <c r="N3117">
        <v>98.41</v>
      </c>
      <c r="O3117">
        <v>28.138528138528141</v>
      </c>
    </row>
    <row r="3118" spans="1:15" hidden="1" x14ac:dyDescent="0.25">
      <c r="A3118" s="11">
        <v>46099</v>
      </c>
      <c r="B3118" t="s">
        <v>35</v>
      </c>
      <c r="C3118" t="s">
        <v>32</v>
      </c>
      <c r="D3118">
        <v>19</v>
      </c>
      <c r="E3118">
        <v>18</v>
      </c>
      <c r="F3118">
        <v>38.28</v>
      </c>
      <c r="G3118">
        <v>0</v>
      </c>
      <c r="H3118">
        <v>0</v>
      </c>
      <c r="I3118" s="3">
        <v>0</v>
      </c>
      <c r="J3118" s="3">
        <v>0</v>
      </c>
      <c r="K3118" s="3">
        <v>0</v>
      </c>
      <c r="L3118" s="3" t="str">
        <f>IF(K3118&lt;-5,"CRÍTICO",IF(K3118&lt;0,"ATENÇÃO",IF(K3118&lt;=5,"OPORTUNO","MUITO BOM")))</f>
        <v>OPORTUNO</v>
      </c>
      <c r="M3118">
        <v>17</v>
      </c>
      <c r="N3118">
        <v>98.73</v>
      </c>
      <c r="O3118">
        <v>29.142857142857139</v>
      </c>
    </row>
    <row r="3119" spans="1:15" hidden="1" x14ac:dyDescent="0.25">
      <c r="A3119" s="11">
        <v>46099</v>
      </c>
      <c r="B3119" t="s">
        <v>18</v>
      </c>
      <c r="C3119" t="s">
        <v>16</v>
      </c>
      <c r="D3119">
        <v>6</v>
      </c>
      <c r="E3119">
        <v>6</v>
      </c>
      <c r="F3119">
        <v>52.09</v>
      </c>
      <c r="G3119">
        <v>0</v>
      </c>
      <c r="H3119">
        <v>0</v>
      </c>
      <c r="I3119" s="3">
        <f>E3119+G3119+H3119</f>
        <v>6</v>
      </c>
      <c r="J3119" s="3">
        <f>ROUND(MIN(IF(C3119="Técnico III",35,IF(C3119="Técnico II",28,IF(C3119="Técnico I",23,IF(C3119="JR",20,IF(C3119="Estágio",10,0))))),IF(C3119="Técnico III",SUMIFS($D:$D,$A:$A,$A3119,$B:$B,"&lt;&gt;Patrícia Karla de Sousa Araújo",$B:$B,"&lt;&gt;Lorena Dias de Araujo",$B:$B,"&lt;&gt;Lucas Luiz Romero")*(35/1083),IF(C3119="Técnico II",SUMIFS($D:$D,$A:$A,$A3119,$B:$B,"&lt;&gt;Patrícia Karla de Sousa Araújo",$B:$B,"&lt;&gt;Lorena Dias de Araujo",$B:$B,"&lt;&gt;Lucas Luiz Romero")*(28/1083),IF(C3119="Técnico I",SUMIFS($D:$D,$A:$A,$A3119,$B:$B,"&lt;&gt;Patrícia Karla de Sousa Araújo",$B:$B,"&lt;&gt;Lorena Dias de Araujo",$B:$B,"&lt;&gt;Lucas Luiz Romero")*(23/1083),IF(C3119="JR",SUMIFS($D:$D,$A:$A,$A3119,$B:$B,"&lt;&gt;Patrícia Karla de Sousa Araújo",$B:$B,"&lt;&gt;Lorena Dias de Araujo",$B:$B,"&lt;&gt;Lucas Luiz Romero")*(20/1083),IF(C3119="Estágio",SUMIFS($D:$D,$A:$A,$A3119,$B:$B,"&lt;&gt;Patrícia Karla de Sousa Araújo",$B:$B,"&lt;&gt;Lorena Dias de Araujo",$B:$B,"&lt;&gt;Lucas Luiz Romero")*(10/1083),0)))))),0)</f>
        <v>6</v>
      </c>
      <c r="K3119" s="3">
        <f>I3119-J3119</f>
        <v>0</v>
      </c>
      <c r="L3119" s="3" t="str">
        <f>IF(K3119&lt;-5,"CRÍTICO",IF(K3119&lt;0,"ATENÇÃO",IF(K3119&lt;=5,"OPORTUNO","MUITO BOM")))</f>
        <v>OPORTUNO</v>
      </c>
      <c r="M3119">
        <v>4</v>
      </c>
      <c r="N3119">
        <v>90.48</v>
      </c>
      <c r="O3119">
        <v>20.68965517241379</v>
      </c>
    </row>
    <row r="3120" spans="1:15" hidden="1" x14ac:dyDescent="0.25">
      <c r="A3120" s="11">
        <v>46099</v>
      </c>
      <c r="B3120" t="s">
        <v>52</v>
      </c>
      <c r="C3120" t="s">
        <v>48</v>
      </c>
      <c r="D3120">
        <v>29</v>
      </c>
      <c r="E3120">
        <v>25</v>
      </c>
      <c r="F3120">
        <v>20.57</v>
      </c>
      <c r="G3120">
        <v>0</v>
      </c>
      <c r="H3120">
        <v>0</v>
      </c>
      <c r="I3120" s="3">
        <f>E3120+G3120+H3120</f>
        <v>25</v>
      </c>
      <c r="J3120" s="3">
        <f>ROUND(MIN(IF(C3120="Técnico III",35,IF(C3120="Técnico II",28,IF(C3120="Técnico I",23,IF(C3120="JR",20,IF(C3120="Estágio",10,0))))),IF(C3120="Técnico III",SUMIFS($D:$D,$A:$A,$A3120,$B:$B,"&lt;&gt;Patrícia Karla de Sousa Araújo",$B:$B,"&lt;&gt;Lorena Dias de Araujo",$B:$B,"&lt;&gt;Lucas Luiz Romero")*(35/1083),IF(C3120="Técnico II",SUMIFS($D:$D,$A:$A,$A3120,$B:$B,"&lt;&gt;Patrícia Karla de Sousa Araújo",$B:$B,"&lt;&gt;Lorena Dias de Araujo",$B:$B,"&lt;&gt;Lucas Luiz Romero")*(28/1083),IF(C3120="Técnico I",SUMIFS($D:$D,$A:$A,$A3120,$B:$B,"&lt;&gt;Patrícia Karla de Sousa Araújo",$B:$B,"&lt;&gt;Lorena Dias de Araujo",$B:$B,"&lt;&gt;Lucas Luiz Romero")*(23/1083),IF(C3120="JR",SUMIFS($D:$D,$A:$A,$A3120,$B:$B,"&lt;&gt;Patrícia Karla de Sousa Araújo",$B:$B,"&lt;&gt;Lorena Dias de Araujo",$B:$B,"&lt;&gt;Lucas Luiz Romero")*(20/1083),IF(C3120="Estágio",SUMIFS($D:$D,$A:$A,$A3120,$B:$B,"&lt;&gt;Patrícia Karla de Sousa Araújo",$B:$B,"&lt;&gt;Lorena Dias de Araujo",$B:$B,"&lt;&gt;Lucas Luiz Romero")*(10/1083),0)))))),0)</f>
        <v>17</v>
      </c>
      <c r="K3120" s="3">
        <f>I3120-J3120</f>
        <v>8</v>
      </c>
      <c r="L3120" s="3" t="str">
        <f>IF(K3120&lt;-5,"CRÍTICO",IF(K3120&lt;0,"ATENÇÃO",IF(K3120&lt;=5,"OPORTUNO","MUITO BOM")))</f>
        <v>MUITO BOM</v>
      </c>
      <c r="M3120">
        <v>28</v>
      </c>
      <c r="N3120">
        <v>98.06</v>
      </c>
      <c r="O3120">
        <v>24.789915966386559</v>
      </c>
    </row>
    <row r="3121" spans="1:15" hidden="1" x14ac:dyDescent="0.25">
      <c r="A3121" s="11">
        <v>46099</v>
      </c>
      <c r="B3121" t="s">
        <v>36</v>
      </c>
      <c r="C3121" t="s">
        <v>32</v>
      </c>
      <c r="D3121">
        <v>31</v>
      </c>
      <c r="E3121">
        <v>30</v>
      </c>
      <c r="F3121">
        <v>14.14</v>
      </c>
      <c r="G3121">
        <v>0</v>
      </c>
      <c r="H3121">
        <v>0</v>
      </c>
      <c r="I3121" s="3">
        <f>E3121+G3121+H3121</f>
        <v>30</v>
      </c>
      <c r="J3121" s="3">
        <f>ROUND(MIN(IF(C3121="Técnico III",35,IF(C3121="Técnico II",28,IF(C3121="Técnico I",23,IF(C3121="JR",20,IF(C3121="Estágio",10,0))))),IF(C3121="Técnico III",SUMIFS($D:$D,$A:$A,$A3121,$B:$B,"&lt;&gt;Patrícia Karla de Sousa Araújo",$B:$B,"&lt;&gt;Lorena Dias de Araujo",$B:$B,"&lt;&gt;Lucas Luiz Romero")*(35/1083),IF(C3121="Técnico II",SUMIFS($D:$D,$A:$A,$A3121,$B:$B,"&lt;&gt;Patrícia Karla de Sousa Araújo",$B:$B,"&lt;&gt;Lorena Dias de Araujo",$B:$B,"&lt;&gt;Lucas Luiz Romero")*(28/1083),IF(C3121="Técnico I",SUMIFS($D:$D,$A:$A,$A3121,$B:$B,"&lt;&gt;Patrícia Karla de Sousa Araújo",$B:$B,"&lt;&gt;Lorena Dias de Araujo",$B:$B,"&lt;&gt;Lucas Luiz Romero")*(23/1083),IF(C3121="JR",SUMIFS($D:$D,$A:$A,$A3121,$B:$B,"&lt;&gt;Patrícia Karla de Sousa Araújo",$B:$B,"&lt;&gt;Lorena Dias de Araujo",$B:$B,"&lt;&gt;Lucas Luiz Romero")*(20/1083),IF(C3121="Estágio",SUMIFS($D:$D,$A:$A,$A3121,$B:$B,"&lt;&gt;Patrícia Karla de Sousa Araújo",$B:$B,"&lt;&gt;Lorena Dias de Araujo",$B:$B,"&lt;&gt;Lucas Luiz Romero")*(10/1083),0)))))),0)</f>
        <v>22</v>
      </c>
      <c r="K3121" s="3">
        <f>I3121-J3121</f>
        <v>8</v>
      </c>
      <c r="L3121" s="3" t="str">
        <f>IF(K3121&lt;-5,"CRÍTICO",IF(K3121&lt;0,"ATENÇÃO",IF(K3121&lt;=5,"OPORTUNO","MUITO BOM")))</f>
        <v>MUITO BOM</v>
      </c>
      <c r="M3121">
        <v>29</v>
      </c>
      <c r="N3121">
        <v>97.78</v>
      </c>
      <c r="O3121">
        <v>25.494071146245059</v>
      </c>
    </row>
    <row r="3122" spans="1:15" hidden="1" x14ac:dyDescent="0.25">
      <c r="A3122" s="11">
        <v>46099</v>
      </c>
      <c r="B3122" t="s">
        <v>53</v>
      </c>
      <c r="C3122" t="s">
        <v>48</v>
      </c>
      <c r="D3122">
        <v>28</v>
      </c>
      <c r="E3122">
        <v>24</v>
      </c>
      <c r="F3122">
        <v>23.54</v>
      </c>
      <c r="G3122">
        <v>0</v>
      </c>
      <c r="H3122">
        <v>0</v>
      </c>
      <c r="I3122" s="3">
        <f>E3122+G3122+H3122</f>
        <v>24</v>
      </c>
      <c r="J3122" s="3">
        <f>ROUND(MIN(IF(C3122="Técnico III",35,IF(C3122="Técnico II",28,IF(C3122="Técnico I",23,IF(C3122="JR",20,IF(C3122="Estágio",10,0))))),IF(C3122="Técnico III",SUMIFS($D:$D,$A:$A,$A3122,$B:$B,"&lt;&gt;Patrícia Karla de Sousa Araújo",$B:$B,"&lt;&gt;Lorena Dias de Araujo",$B:$B,"&lt;&gt;Lucas Luiz Romero")*(35/1083),IF(C3122="Técnico II",SUMIFS($D:$D,$A:$A,$A3122,$B:$B,"&lt;&gt;Patrícia Karla de Sousa Araújo",$B:$B,"&lt;&gt;Lorena Dias de Araujo",$B:$B,"&lt;&gt;Lucas Luiz Romero")*(28/1083),IF(C3122="Técnico I",SUMIFS($D:$D,$A:$A,$A3122,$B:$B,"&lt;&gt;Patrícia Karla de Sousa Araújo",$B:$B,"&lt;&gt;Lorena Dias de Araujo",$B:$B,"&lt;&gt;Lucas Luiz Romero")*(23/1083),IF(C3122="JR",SUMIFS($D:$D,$A:$A,$A3122,$B:$B,"&lt;&gt;Patrícia Karla de Sousa Araújo",$B:$B,"&lt;&gt;Lorena Dias de Araujo",$B:$B,"&lt;&gt;Lucas Luiz Romero")*(20/1083),IF(C3122="Estágio",SUMIFS($D:$D,$A:$A,$A3122,$B:$B,"&lt;&gt;Patrícia Karla de Sousa Araújo",$B:$B,"&lt;&gt;Lorena Dias de Araujo",$B:$B,"&lt;&gt;Lucas Luiz Romero")*(10/1083),0)))))),0)</f>
        <v>17</v>
      </c>
      <c r="K3122" s="3">
        <f>I3122-J3122</f>
        <v>7</v>
      </c>
      <c r="L3122" s="3" t="str">
        <f>IF(K3122&lt;-5,"CRÍTICO",IF(K3122&lt;0,"ATENÇÃO",IF(K3122&lt;=5,"OPORTUNO","MUITO BOM")))</f>
        <v>MUITO BOM</v>
      </c>
      <c r="M3122">
        <v>22</v>
      </c>
      <c r="N3122">
        <v>98.02</v>
      </c>
      <c r="O3122">
        <v>23.484848484848481</v>
      </c>
    </row>
    <row r="3123" spans="1:15" hidden="1" x14ac:dyDescent="0.25">
      <c r="A3123" s="11">
        <v>46134</v>
      </c>
      <c r="B3123" t="s">
        <v>22</v>
      </c>
      <c r="C3123" t="s">
        <v>23</v>
      </c>
      <c r="D3123">
        <v>20</v>
      </c>
      <c r="E3123">
        <v>18</v>
      </c>
      <c r="F3123">
        <v>27.29</v>
      </c>
      <c r="G3123">
        <v>0</v>
      </c>
      <c r="H3123">
        <v>0</v>
      </c>
      <c r="I3123" s="3">
        <f>E3123+G3123+H3123</f>
        <v>18</v>
      </c>
      <c r="J3123" s="3">
        <f>ROUND(MIN(IF(C3123="Técnico III",35,IF(C3123="Técnico II",28,IF(C3123="Técnico I",23,IF(C3123="JR",20,IF(C3123="Estágio",10,0))))),IF(C3123="Técnico III",SUMIFS($D:$D,$A:$A,$A3123,$B:$B,"&lt;&gt;Patrícia Karla de Sousa Araújo",$B:$B,"&lt;&gt;Lorena Dias de Araujo",$B:$B,"&lt;&gt;Lucas Luiz Romero")*(35/1083),IF(C3123="Técnico II",SUMIFS($D:$D,$A:$A,$A3123,$B:$B,"&lt;&gt;Patrícia Karla de Sousa Araújo",$B:$B,"&lt;&gt;Lorena Dias de Araujo",$B:$B,"&lt;&gt;Lucas Luiz Romero")*(28/1083),IF(C3123="Técnico I",SUMIFS($D:$D,$A:$A,$A3123,$B:$B,"&lt;&gt;Patrícia Karla de Sousa Araújo",$B:$B,"&lt;&gt;Lorena Dias de Araujo",$B:$B,"&lt;&gt;Lucas Luiz Romero")*(23/1083),IF(C3123="JR",SUMIFS($D:$D,$A:$A,$A3123,$B:$B,"&lt;&gt;Patrícia Karla de Sousa Araújo",$B:$B,"&lt;&gt;Lorena Dias de Araujo",$B:$B,"&lt;&gt;Lucas Luiz Romero")*(20/1083),IF(C3123="Estágio",SUMIFS($D:$D,$A:$A,$A3123,$B:$B,"&lt;&gt;Patrícia Karla de Sousa Araújo",$B:$B,"&lt;&gt;Lorena Dias de Araujo",$B:$B,"&lt;&gt;Lucas Luiz Romero")*(10/1083),0)))))),0)</f>
        <v>15</v>
      </c>
      <c r="K3123" s="3">
        <f>I3123-J3123</f>
        <v>3</v>
      </c>
      <c r="L3123" s="3" t="str">
        <f>IF(K3123&lt;-5,"CRÍTICO",IF(K3123&lt;0,"ATENÇÃO",IF(K3123&lt;=5,"OPORTUNO","MUITO BOM")))</f>
        <v>OPORTUNO</v>
      </c>
      <c r="M3123">
        <v>15</v>
      </c>
      <c r="N3123">
        <v>99.28</v>
      </c>
      <c r="O3123">
        <v>27.689243027888441</v>
      </c>
    </row>
    <row r="3124" spans="1:15" hidden="1" x14ac:dyDescent="0.25">
      <c r="A3124" s="11">
        <v>46099</v>
      </c>
      <c r="B3124" t="s">
        <v>54</v>
      </c>
      <c r="C3124" t="s">
        <v>48</v>
      </c>
      <c r="D3124">
        <v>29</v>
      </c>
      <c r="E3124">
        <v>27</v>
      </c>
      <c r="F3124">
        <v>17.32</v>
      </c>
      <c r="G3124">
        <v>0</v>
      </c>
      <c r="H3124">
        <v>0</v>
      </c>
      <c r="I3124" s="3">
        <f>E3124+G3124+H3124</f>
        <v>27</v>
      </c>
      <c r="J3124" s="3">
        <f>ROUND(MIN(IF(C3124="Técnico III",35,IF(C3124="Técnico II",28,IF(C3124="Técnico I",23,IF(C3124="JR",20,IF(C3124="Estágio",10,0))))),IF(C3124="Técnico III",SUMIFS($D:$D,$A:$A,$A3124,$B:$B,"&lt;&gt;Patrícia Karla de Sousa Araújo",$B:$B,"&lt;&gt;Lorena Dias de Araujo",$B:$B,"&lt;&gt;Lucas Luiz Romero")*(35/1083),IF(C3124="Técnico II",SUMIFS($D:$D,$A:$A,$A3124,$B:$B,"&lt;&gt;Patrícia Karla de Sousa Araújo",$B:$B,"&lt;&gt;Lorena Dias de Araujo",$B:$B,"&lt;&gt;Lucas Luiz Romero")*(28/1083),IF(C3124="Técnico I",SUMIFS($D:$D,$A:$A,$A3124,$B:$B,"&lt;&gt;Patrícia Karla de Sousa Araújo",$B:$B,"&lt;&gt;Lorena Dias de Araujo",$B:$B,"&lt;&gt;Lucas Luiz Romero")*(23/1083),IF(C3124="JR",SUMIFS($D:$D,$A:$A,$A3124,$B:$B,"&lt;&gt;Patrícia Karla de Sousa Araújo",$B:$B,"&lt;&gt;Lorena Dias de Araujo",$B:$B,"&lt;&gt;Lucas Luiz Romero")*(20/1083),IF(C3124="Estágio",SUMIFS($D:$D,$A:$A,$A3124,$B:$B,"&lt;&gt;Patrícia Karla de Sousa Araújo",$B:$B,"&lt;&gt;Lorena Dias de Araujo",$B:$B,"&lt;&gt;Lucas Luiz Romero")*(10/1083),0)))))),0)</f>
        <v>17</v>
      </c>
      <c r="K3124" s="3">
        <f>I3124-J3124</f>
        <v>10</v>
      </c>
      <c r="L3124" s="3" t="str">
        <f>IF(K3124&lt;-5,"CRÍTICO",IF(K3124&lt;0,"ATENÇÃO",IF(K3124&lt;=5,"OPORTUNO","MUITO BOM")))</f>
        <v>MUITO BOM</v>
      </c>
      <c r="M3124">
        <v>24</v>
      </c>
      <c r="N3124">
        <v>100</v>
      </c>
      <c r="O3124">
        <v>27.04918032786885</v>
      </c>
    </row>
    <row r="3125" spans="1:15" hidden="1" x14ac:dyDescent="0.25">
      <c r="A3125" s="11">
        <v>46099</v>
      </c>
      <c r="B3125" t="s">
        <v>37</v>
      </c>
      <c r="C3125" t="s">
        <v>32</v>
      </c>
      <c r="D3125">
        <v>43</v>
      </c>
      <c r="E3125">
        <v>40</v>
      </c>
      <c r="F3125">
        <v>16.5</v>
      </c>
      <c r="G3125">
        <v>0</v>
      </c>
      <c r="H3125">
        <v>0</v>
      </c>
      <c r="I3125" s="3">
        <f>E3125+G3125+H3125</f>
        <v>40</v>
      </c>
      <c r="J3125" s="3">
        <f>ROUND(MIN(IF(C3125="Técnico III",35,IF(C3125="Técnico II",28,IF(C3125="Técnico I",23,IF(C3125="JR",20,IF(C3125="Estágio",10,0))))),IF(C3125="Técnico III",SUMIFS($D:$D,$A:$A,$A3125,$B:$B,"&lt;&gt;Patrícia Karla de Sousa Araújo",$B:$B,"&lt;&gt;Lorena Dias de Araujo",$B:$B,"&lt;&gt;Lucas Luiz Romero")*(35/1083),IF(C3125="Técnico II",SUMIFS($D:$D,$A:$A,$A3125,$B:$B,"&lt;&gt;Patrícia Karla de Sousa Araújo",$B:$B,"&lt;&gt;Lorena Dias de Araujo",$B:$B,"&lt;&gt;Lucas Luiz Romero")*(28/1083),IF(C3125="Técnico I",SUMIFS($D:$D,$A:$A,$A3125,$B:$B,"&lt;&gt;Patrícia Karla de Sousa Araújo",$B:$B,"&lt;&gt;Lorena Dias de Araujo",$B:$B,"&lt;&gt;Lucas Luiz Romero")*(23/1083),IF(C3125="JR",SUMIFS($D:$D,$A:$A,$A3125,$B:$B,"&lt;&gt;Patrícia Karla de Sousa Araújo",$B:$B,"&lt;&gt;Lorena Dias de Araujo",$B:$B,"&lt;&gt;Lucas Luiz Romero")*(20/1083),IF(C3125="Estágio",SUMIFS($D:$D,$A:$A,$A3125,$B:$B,"&lt;&gt;Patrícia Karla de Sousa Araújo",$B:$B,"&lt;&gt;Lorena Dias de Araujo",$B:$B,"&lt;&gt;Lucas Luiz Romero")*(10/1083),0)))))),0)</f>
        <v>22</v>
      </c>
      <c r="K3125" s="3">
        <f>I3125-J3125</f>
        <v>18</v>
      </c>
      <c r="L3125" s="3" t="str">
        <f>IF(K3125&lt;-5,"CRÍTICO",IF(K3125&lt;0,"ATENÇÃO",IF(K3125&lt;=5,"OPORTUNO","MUITO BOM")))</f>
        <v>MUITO BOM</v>
      </c>
      <c r="M3125">
        <v>35</v>
      </c>
      <c r="N3125">
        <v>97.83</v>
      </c>
      <c r="O3125">
        <v>26.315789473684209</v>
      </c>
    </row>
    <row r="3126" spans="1:15" hidden="1" x14ac:dyDescent="0.25">
      <c r="A3126" s="11">
        <v>46099</v>
      </c>
      <c r="B3126" t="s">
        <v>38</v>
      </c>
      <c r="C3126" t="s">
        <v>32</v>
      </c>
      <c r="D3126">
        <v>0</v>
      </c>
      <c r="E3126">
        <v>0</v>
      </c>
      <c r="F3126">
        <v>0</v>
      </c>
      <c r="G3126">
        <v>0</v>
      </c>
      <c r="H3126">
        <v>0</v>
      </c>
      <c r="I3126" s="3">
        <v>0</v>
      </c>
      <c r="J3126" s="3">
        <v>0</v>
      </c>
      <c r="K3126" s="3">
        <v>0</v>
      </c>
      <c r="L3126" s="3" t="str">
        <f>IF(K3126&lt;-5,"CRÍTICO",IF(K3126&lt;0,"ATENÇÃO",IF(K3126&lt;=5,"OPORTUNO","MUITO BOM")))</f>
        <v>OPORTUNO</v>
      </c>
      <c r="M3126">
        <v>7</v>
      </c>
      <c r="N3126">
        <v>100</v>
      </c>
      <c r="O3126">
        <v>26.701570680628269</v>
      </c>
    </row>
    <row r="3127" spans="1:15" hidden="1" x14ac:dyDescent="0.25">
      <c r="A3127" s="11">
        <v>46099</v>
      </c>
      <c r="B3127" t="s">
        <v>55</v>
      </c>
      <c r="C3127" t="s">
        <v>48</v>
      </c>
      <c r="D3127">
        <v>19</v>
      </c>
      <c r="E3127">
        <v>16</v>
      </c>
      <c r="F3127">
        <v>32.33</v>
      </c>
      <c r="G3127">
        <v>0</v>
      </c>
      <c r="H3127">
        <v>0</v>
      </c>
      <c r="I3127" s="3">
        <f>E3127+G3127+H3127</f>
        <v>16</v>
      </c>
      <c r="J3127" s="3">
        <f>ROUND(MIN(IF(C3127="Técnico III",35,IF(C3127="Técnico II",28,IF(C3127="Técnico I",23,IF(C3127="JR",20,IF(C3127="Estágio",10,0))))),IF(C3127="Técnico III",SUMIFS($D:$D,$A:$A,$A3127,$B:$B,"&lt;&gt;Patrícia Karla de Sousa Araújo",$B:$B,"&lt;&gt;Lorena Dias de Araujo",$B:$B,"&lt;&gt;Lucas Luiz Romero")*(35/1083),IF(C3127="Técnico II",SUMIFS($D:$D,$A:$A,$A3127,$B:$B,"&lt;&gt;Patrícia Karla de Sousa Araújo",$B:$B,"&lt;&gt;Lorena Dias de Araujo",$B:$B,"&lt;&gt;Lucas Luiz Romero")*(28/1083),IF(C3127="Técnico I",SUMIFS($D:$D,$A:$A,$A3127,$B:$B,"&lt;&gt;Patrícia Karla de Sousa Araújo",$B:$B,"&lt;&gt;Lorena Dias de Araujo",$B:$B,"&lt;&gt;Lucas Luiz Romero")*(23/1083),IF(C3127="JR",SUMIFS($D:$D,$A:$A,$A3127,$B:$B,"&lt;&gt;Patrícia Karla de Sousa Araújo",$B:$B,"&lt;&gt;Lorena Dias de Araujo",$B:$B,"&lt;&gt;Lucas Luiz Romero")*(20/1083),IF(C3127="Estágio",SUMIFS($D:$D,$A:$A,$A3127,$B:$B,"&lt;&gt;Patrícia Karla de Sousa Araújo",$B:$B,"&lt;&gt;Lorena Dias de Araujo",$B:$B,"&lt;&gt;Lucas Luiz Romero")*(10/1083),0)))))),0)</f>
        <v>17</v>
      </c>
      <c r="K3127" s="3">
        <f>I3127-J3127</f>
        <v>-1</v>
      </c>
      <c r="L3127" s="3" t="str">
        <f>IF(K3127&lt;-5,"CRÍTICO",IF(K3127&lt;0,"ATENÇÃO",IF(K3127&lt;=5,"OPORTUNO","MUITO BOM")))</f>
        <v>ATENÇÃO</v>
      </c>
      <c r="M3127">
        <v>16</v>
      </c>
      <c r="N3127">
        <v>97.47</v>
      </c>
      <c r="O3127">
        <v>22.887323943661968</v>
      </c>
    </row>
    <row r="3128" spans="1:15" hidden="1" x14ac:dyDescent="0.25">
      <c r="A3128" s="11">
        <v>46099</v>
      </c>
      <c r="B3128" t="s">
        <v>39</v>
      </c>
      <c r="C3128" t="s">
        <v>32</v>
      </c>
      <c r="D3128">
        <v>0</v>
      </c>
      <c r="E3128">
        <v>0</v>
      </c>
      <c r="F3128">
        <v>0</v>
      </c>
      <c r="G3128">
        <v>0</v>
      </c>
      <c r="H3128">
        <v>0</v>
      </c>
      <c r="I3128" s="3">
        <v>0</v>
      </c>
      <c r="J3128" s="3">
        <v>0</v>
      </c>
      <c r="K3128" s="3">
        <v>0</v>
      </c>
      <c r="L3128" s="3" t="str">
        <f>IF(K3128&lt;-5,"CRÍTICO",IF(K3128&lt;0,"ATENÇÃO",IF(K3128&lt;=5,"OPORTUNO","MUITO BOM")))</f>
        <v>OPORTUNO</v>
      </c>
      <c r="M3128">
        <v>0</v>
      </c>
      <c r="N3128">
        <v>0</v>
      </c>
      <c r="O3128">
        <v>0</v>
      </c>
    </row>
    <row r="3129" spans="1:15" hidden="1" x14ac:dyDescent="0.25">
      <c r="A3129" s="11">
        <v>46099</v>
      </c>
      <c r="B3129" t="s">
        <v>25</v>
      </c>
      <c r="C3129" t="s">
        <v>26</v>
      </c>
      <c r="D3129">
        <v>19</v>
      </c>
      <c r="E3129">
        <v>18</v>
      </c>
      <c r="F3129">
        <v>30.2</v>
      </c>
      <c r="G3129">
        <v>0</v>
      </c>
      <c r="H3129">
        <v>0</v>
      </c>
      <c r="I3129" s="3">
        <f>E3129+G3129+H3129</f>
        <v>18</v>
      </c>
      <c r="J3129" s="3">
        <f>ROUND(MIN(IF(C3129="Técnico III",35,IF(C3129="Técnico II",28,IF(C3129="Técnico I",23,IF(C3129="JR",20,IF(C3129="Estágio",10,0))))),IF(C3129="Técnico III",SUMIFS($D:$D,$A:$A,$A3129,$B:$B,"&lt;&gt;Patrícia Karla de Sousa Araújo",$B:$B,"&lt;&gt;Lorena Dias de Araujo",$B:$B,"&lt;&gt;Lucas Luiz Romero")*(35/1083),IF(C3129="Técnico II",SUMIFS($D:$D,$A:$A,$A3129,$B:$B,"&lt;&gt;Patrícia Karla de Sousa Araújo",$B:$B,"&lt;&gt;Lorena Dias de Araujo",$B:$B,"&lt;&gt;Lucas Luiz Romero")*(28/1083),IF(C3129="Técnico I",SUMIFS($D:$D,$A:$A,$A3129,$B:$B,"&lt;&gt;Patrícia Karla de Sousa Araújo",$B:$B,"&lt;&gt;Lorena Dias de Araujo",$B:$B,"&lt;&gt;Lucas Luiz Romero")*(23/1083),IF(C3129="JR",SUMIFS($D:$D,$A:$A,$A3129,$B:$B,"&lt;&gt;Patrícia Karla de Sousa Araújo",$B:$B,"&lt;&gt;Lorena Dias de Araujo",$B:$B,"&lt;&gt;Lucas Luiz Romero")*(20/1083),IF(C3129="Estágio",SUMIFS($D:$D,$A:$A,$A3129,$B:$B,"&lt;&gt;Patrícia Karla de Sousa Araújo",$B:$B,"&lt;&gt;Lorena Dias de Araujo",$B:$B,"&lt;&gt;Lucas Luiz Romero")*(10/1083),0)))))),0)</f>
        <v>12</v>
      </c>
      <c r="K3129" s="3">
        <f>I3129-J3129</f>
        <v>6</v>
      </c>
      <c r="L3129" s="3" t="str">
        <f>IF(K3129&lt;-5,"CRÍTICO",IF(K3129&lt;0,"ATENÇÃO",IF(K3129&lt;=5,"OPORTUNO","MUITO BOM")))</f>
        <v>MUITO BOM</v>
      </c>
      <c r="M3129">
        <v>14</v>
      </c>
      <c r="N3129">
        <v>98.31</v>
      </c>
      <c r="O3129">
        <v>24.920127795527151</v>
      </c>
    </row>
    <row r="3130" spans="1:15" hidden="1" x14ac:dyDescent="0.25">
      <c r="A3130" s="11">
        <v>46099</v>
      </c>
      <c r="B3130" t="s">
        <v>40</v>
      </c>
      <c r="C3130" t="s">
        <v>32</v>
      </c>
      <c r="D3130">
        <v>11</v>
      </c>
      <c r="E3130">
        <v>7</v>
      </c>
      <c r="F3130">
        <v>14</v>
      </c>
      <c r="G3130">
        <v>0</v>
      </c>
      <c r="H3130">
        <v>0</v>
      </c>
      <c r="I3130" s="3">
        <f>E3130+G3130+H3130</f>
        <v>7</v>
      </c>
      <c r="J3130" s="3">
        <f>ROUND(MIN(IF(C3130="Técnico III",35,IF(C3130="Técnico II",28,IF(C3130="Técnico I",23,IF(C3130="JR",20,IF(C3130="Estágio",10,0))))),IF(C3130="Técnico III",SUMIFS($D:$D,$A:$A,$A3130,$B:$B,"&lt;&gt;Patrícia Karla de Sousa Araújo",$B:$B,"&lt;&gt;Lorena Dias de Araujo",$B:$B,"&lt;&gt;Lucas Luiz Romero")*(35/1083),IF(C3130="Técnico II",SUMIFS($D:$D,$A:$A,$A3130,$B:$B,"&lt;&gt;Patrícia Karla de Sousa Araújo",$B:$B,"&lt;&gt;Lorena Dias de Araujo",$B:$B,"&lt;&gt;Lucas Luiz Romero")*(28/1083),IF(C3130="Técnico I",SUMIFS($D:$D,$A:$A,$A3130,$B:$B,"&lt;&gt;Patrícia Karla de Sousa Araújo",$B:$B,"&lt;&gt;Lorena Dias de Araujo",$B:$B,"&lt;&gt;Lucas Luiz Romero")*(23/1083),IF(C3130="JR",SUMIFS($D:$D,$A:$A,$A3130,$B:$B,"&lt;&gt;Patrícia Karla de Sousa Araújo",$B:$B,"&lt;&gt;Lorena Dias de Araujo",$B:$B,"&lt;&gt;Lucas Luiz Romero")*(20/1083),IF(C3130="Estágio",SUMIFS($D:$D,$A:$A,$A3130,$B:$B,"&lt;&gt;Patrícia Karla de Sousa Araújo",$B:$B,"&lt;&gt;Lorena Dias de Araujo",$B:$B,"&lt;&gt;Lucas Luiz Romero")*(10/1083),0)))))),0)</f>
        <v>22</v>
      </c>
      <c r="K3130" s="3">
        <f>I3130-J3130</f>
        <v>-15</v>
      </c>
      <c r="L3130" s="3" t="str">
        <f>IF(K3130&lt;-5,"CRÍTICO",IF(K3130&lt;0,"ATENÇÃO",IF(K3130&lt;=5,"OPORTUNO","MUITO BOM")))</f>
        <v>CRÍTICO</v>
      </c>
      <c r="M3130">
        <v>8</v>
      </c>
      <c r="N3130">
        <v>96.81</v>
      </c>
      <c r="O3130">
        <v>32.365145228215773</v>
      </c>
    </row>
    <row r="3131" spans="1:15" hidden="1" x14ac:dyDescent="0.25">
      <c r="A3131" s="11">
        <v>46099</v>
      </c>
      <c r="B3131" t="s">
        <v>27</v>
      </c>
      <c r="C3131" t="s">
        <v>26</v>
      </c>
      <c r="D3131">
        <v>16</v>
      </c>
      <c r="E3131">
        <v>16</v>
      </c>
      <c r="F3131">
        <v>24.14</v>
      </c>
      <c r="G3131">
        <v>0</v>
      </c>
      <c r="H3131">
        <v>0</v>
      </c>
      <c r="I3131" s="3">
        <f>E3131+G3131+H3131</f>
        <v>16</v>
      </c>
      <c r="J3131" s="3">
        <f>ROUND(MIN(IF(C3131="Técnico III",35,IF(C3131="Técnico II",28,IF(C3131="Técnico I",23,IF(C3131="JR",20,IF(C3131="Estágio",10,0))))),IF(C3131="Técnico III",SUMIFS($D:$D,$A:$A,$A3131,$B:$B,"&lt;&gt;Patrícia Karla de Sousa Araújo",$B:$B,"&lt;&gt;Lorena Dias de Araujo",$B:$B,"&lt;&gt;Lucas Luiz Romero")*(35/1083),IF(C3131="Técnico II",SUMIFS($D:$D,$A:$A,$A3131,$B:$B,"&lt;&gt;Patrícia Karla de Sousa Araújo",$B:$B,"&lt;&gt;Lorena Dias de Araujo",$B:$B,"&lt;&gt;Lucas Luiz Romero")*(28/1083),IF(C3131="Técnico I",SUMIFS($D:$D,$A:$A,$A3131,$B:$B,"&lt;&gt;Patrícia Karla de Sousa Araújo",$B:$B,"&lt;&gt;Lorena Dias de Araujo",$B:$B,"&lt;&gt;Lucas Luiz Romero")*(23/1083),IF(C3131="JR",SUMIFS($D:$D,$A:$A,$A3131,$B:$B,"&lt;&gt;Patrícia Karla de Sousa Araújo",$B:$B,"&lt;&gt;Lorena Dias de Araujo",$B:$B,"&lt;&gt;Lucas Luiz Romero")*(20/1083),IF(C3131="Estágio",SUMIFS($D:$D,$A:$A,$A3131,$B:$B,"&lt;&gt;Patrícia Karla de Sousa Araújo",$B:$B,"&lt;&gt;Lorena Dias de Araujo",$B:$B,"&lt;&gt;Lucas Luiz Romero")*(10/1083),0)))))),0)</f>
        <v>12</v>
      </c>
      <c r="K3131" s="3">
        <f>I3131-J3131</f>
        <v>4</v>
      </c>
      <c r="L3131" s="3" t="str">
        <f>IF(K3131&lt;-5,"CRÍTICO",IF(K3131&lt;0,"ATENÇÃO",IF(K3131&lt;=5,"OPORTUNO","MUITO BOM")))</f>
        <v>OPORTUNO</v>
      </c>
      <c r="M3131">
        <v>7</v>
      </c>
      <c r="N3131">
        <v>100</v>
      </c>
      <c r="O3131">
        <v>26.47058823529412</v>
      </c>
    </row>
    <row r="3132" spans="1:15" hidden="1" x14ac:dyDescent="0.25">
      <c r="A3132" s="11">
        <v>46099</v>
      </c>
      <c r="B3132" t="s">
        <v>41</v>
      </c>
      <c r="C3132" t="s">
        <v>32</v>
      </c>
      <c r="D3132">
        <v>18</v>
      </c>
      <c r="E3132">
        <v>18</v>
      </c>
      <c r="F3132">
        <v>30.43</v>
      </c>
      <c r="G3132">
        <v>0</v>
      </c>
      <c r="H3132">
        <v>0</v>
      </c>
      <c r="I3132" s="3">
        <f>E3132+G3132+H3132</f>
        <v>18</v>
      </c>
      <c r="J3132" s="3">
        <f>ROUND(MIN(IF(C3132="Técnico III",35,IF(C3132="Técnico II",28,IF(C3132="Técnico I",23,IF(C3132="JR",20,IF(C3132="Estágio",10,0))))),IF(C3132="Técnico III",SUMIFS($D:$D,$A:$A,$A3132,$B:$B,"&lt;&gt;Patrícia Karla de Sousa Araújo",$B:$B,"&lt;&gt;Lorena Dias de Araujo",$B:$B,"&lt;&gt;Lucas Luiz Romero")*(35/1083),IF(C3132="Técnico II",SUMIFS($D:$D,$A:$A,$A3132,$B:$B,"&lt;&gt;Patrícia Karla de Sousa Araújo",$B:$B,"&lt;&gt;Lorena Dias de Araujo",$B:$B,"&lt;&gt;Lucas Luiz Romero")*(28/1083),IF(C3132="Técnico I",SUMIFS($D:$D,$A:$A,$A3132,$B:$B,"&lt;&gt;Patrícia Karla de Sousa Araújo",$B:$B,"&lt;&gt;Lorena Dias de Araujo",$B:$B,"&lt;&gt;Lucas Luiz Romero")*(23/1083),IF(C3132="JR",SUMIFS($D:$D,$A:$A,$A3132,$B:$B,"&lt;&gt;Patrícia Karla de Sousa Araújo",$B:$B,"&lt;&gt;Lorena Dias de Araujo",$B:$B,"&lt;&gt;Lucas Luiz Romero")*(20/1083),IF(C3132="Estágio",SUMIFS($D:$D,$A:$A,$A3132,$B:$B,"&lt;&gt;Patrícia Karla de Sousa Araújo",$B:$B,"&lt;&gt;Lorena Dias de Araujo",$B:$B,"&lt;&gt;Lucas Luiz Romero")*(10/1083),0)))))),0)</f>
        <v>22</v>
      </c>
      <c r="K3132" s="3">
        <f>I3132-J3132</f>
        <v>-4</v>
      </c>
      <c r="L3132" s="3" t="str">
        <f>IF(K3132&lt;-5,"CRÍTICO",IF(K3132&lt;0,"ATENÇÃO",IF(K3132&lt;=5,"OPORTUNO","MUITO BOM")))</f>
        <v>ATENÇÃO</v>
      </c>
      <c r="M3132">
        <v>16</v>
      </c>
      <c r="N3132">
        <v>100</v>
      </c>
      <c r="O3132">
        <v>28.490028490028489</v>
      </c>
    </row>
    <row r="3133" spans="1:15" hidden="1" x14ac:dyDescent="0.25">
      <c r="A3133" s="11">
        <v>46099</v>
      </c>
      <c r="B3133" t="s">
        <v>56</v>
      </c>
      <c r="C3133" t="s">
        <v>48</v>
      </c>
      <c r="D3133">
        <v>29</v>
      </c>
      <c r="E3133">
        <v>29</v>
      </c>
      <c r="F3133">
        <v>23.43</v>
      </c>
      <c r="G3133">
        <v>0</v>
      </c>
      <c r="H3133">
        <v>0</v>
      </c>
      <c r="I3133" s="3">
        <f>E3133+G3133+H3133</f>
        <v>29</v>
      </c>
      <c r="J3133" s="3">
        <f>ROUND(MIN(IF(C3133="Técnico III",35,IF(C3133="Técnico II",28,IF(C3133="Técnico I",23,IF(C3133="JR",20,IF(C3133="Estágio",10,0))))),IF(C3133="Técnico III",SUMIFS($D:$D,$A:$A,$A3133,$B:$B,"&lt;&gt;Patrícia Karla de Sousa Araújo",$B:$B,"&lt;&gt;Lorena Dias de Araujo",$B:$B,"&lt;&gt;Lucas Luiz Romero")*(35/1083),IF(C3133="Técnico II",SUMIFS($D:$D,$A:$A,$A3133,$B:$B,"&lt;&gt;Patrícia Karla de Sousa Araújo",$B:$B,"&lt;&gt;Lorena Dias de Araujo",$B:$B,"&lt;&gt;Lucas Luiz Romero")*(28/1083),IF(C3133="Técnico I",SUMIFS($D:$D,$A:$A,$A3133,$B:$B,"&lt;&gt;Patrícia Karla de Sousa Araújo",$B:$B,"&lt;&gt;Lorena Dias de Araujo",$B:$B,"&lt;&gt;Lucas Luiz Romero")*(23/1083),IF(C3133="JR",SUMIFS($D:$D,$A:$A,$A3133,$B:$B,"&lt;&gt;Patrícia Karla de Sousa Araújo",$B:$B,"&lt;&gt;Lorena Dias de Araujo",$B:$B,"&lt;&gt;Lucas Luiz Romero")*(20/1083),IF(C3133="Estágio",SUMIFS($D:$D,$A:$A,$A3133,$B:$B,"&lt;&gt;Patrícia Karla de Sousa Araújo",$B:$B,"&lt;&gt;Lorena Dias de Araujo",$B:$B,"&lt;&gt;Lucas Luiz Romero")*(10/1083),0)))))),0)</f>
        <v>17</v>
      </c>
      <c r="K3133" s="3">
        <f>I3133-J3133</f>
        <v>12</v>
      </c>
      <c r="L3133" s="3" t="str">
        <f>IF(K3133&lt;-5,"CRÍTICO",IF(K3133&lt;0,"ATENÇÃO",IF(K3133&lt;=5,"OPORTUNO","MUITO BOM")))</f>
        <v>MUITO BOM</v>
      </c>
      <c r="M3133">
        <v>31</v>
      </c>
      <c r="N3133">
        <v>99.14</v>
      </c>
      <c r="O3133">
        <v>27.2289156626506</v>
      </c>
    </row>
    <row r="3134" spans="1:15" hidden="1" x14ac:dyDescent="0.25">
      <c r="A3134" s="11">
        <v>46099</v>
      </c>
      <c r="B3134" t="s">
        <v>57</v>
      </c>
      <c r="C3134" t="s">
        <v>48</v>
      </c>
      <c r="D3134">
        <v>34</v>
      </c>
      <c r="E3134">
        <v>31</v>
      </c>
      <c r="F3134">
        <v>23.5</v>
      </c>
      <c r="G3134">
        <v>0</v>
      </c>
      <c r="H3134">
        <v>0</v>
      </c>
      <c r="I3134" s="3">
        <v>0</v>
      </c>
      <c r="J3134" s="3">
        <v>0</v>
      </c>
      <c r="K3134" s="3">
        <v>0</v>
      </c>
      <c r="L3134" s="3" t="str">
        <f>IF(K3134&lt;-5,"CRÍTICO",IF(K3134&lt;0,"ATENÇÃO",IF(K3134&lt;=5,"OPORTUNO","MUITO BOM")))</f>
        <v>OPORTUNO</v>
      </c>
      <c r="M3134">
        <v>26</v>
      </c>
      <c r="N3134">
        <v>97.52</v>
      </c>
      <c r="O3134">
        <v>28.205128205128201</v>
      </c>
    </row>
    <row r="3135" spans="1:15" hidden="1" x14ac:dyDescent="0.25">
      <c r="A3135" s="11">
        <v>46099</v>
      </c>
      <c r="B3135" t="s">
        <v>42</v>
      </c>
      <c r="C3135" t="s">
        <v>32</v>
      </c>
      <c r="D3135">
        <v>0</v>
      </c>
      <c r="E3135">
        <v>0</v>
      </c>
      <c r="F3135">
        <v>0</v>
      </c>
      <c r="G3135">
        <v>0</v>
      </c>
      <c r="H3135">
        <v>0</v>
      </c>
      <c r="I3135" s="3">
        <v>0</v>
      </c>
      <c r="J3135" s="3">
        <v>0</v>
      </c>
      <c r="K3135" s="3">
        <v>0</v>
      </c>
      <c r="L3135" s="3" t="str">
        <f>IF(K3135&lt;-5,"CRÍTICO",IF(K3135&lt;0,"ATENÇÃO",IF(K3135&lt;=5,"OPORTUNO","MUITO BOM")))</f>
        <v>OPORTUNO</v>
      </c>
      <c r="M3135">
        <v>0</v>
      </c>
      <c r="N3135">
        <v>90</v>
      </c>
      <c r="O3135">
        <v>24.186046511627911</v>
      </c>
    </row>
    <row r="3136" spans="1:15" hidden="1" x14ac:dyDescent="0.25">
      <c r="A3136" s="11">
        <v>46099</v>
      </c>
      <c r="B3136" t="s">
        <v>62</v>
      </c>
      <c r="C3136" t="s">
        <v>23</v>
      </c>
      <c r="D3136">
        <v>19</v>
      </c>
      <c r="E3136">
        <v>19</v>
      </c>
      <c r="F3136">
        <v>24.11</v>
      </c>
      <c r="G3136">
        <v>0</v>
      </c>
      <c r="H3136">
        <v>0</v>
      </c>
      <c r="I3136" s="3">
        <f>E3136+G3136+H3136</f>
        <v>19</v>
      </c>
      <c r="J3136" s="3">
        <f>ROUND(MIN(IF(C3136="Técnico III",35,IF(C3136="Técnico II",28,IF(C3136="Técnico I",23,IF(C3136="JR",20,IF(C3136="Estágio",10,0))))),IF(C3136="Técnico III",SUMIFS($D:$D,$A:$A,$A3136,$B:$B,"&lt;&gt;Patrícia Karla de Sousa Araújo",$B:$B,"&lt;&gt;Lorena Dias de Araujo",$B:$B,"&lt;&gt;Lucas Luiz Romero")*(35/1083),IF(C3136="Técnico II",SUMIFS($D:$D,$A:$A,$A3136,$B:$B,"&lt;&gt;Patrícia Karla de Sousa Araújo",$B:$B,"&lt;&gt;Lorena Dias de Araujo",$B:$B,"&lt;&gt;Lucas Luiz Romero")*(28/1083),IF(C3136="Técnico I",SUMIFS($D:$D,$A:$A,$A3136,$B:$B,"&lt;&gt;Patrícia Karla de Sousa Araújo",$B:$B,"&lt;&gt;Lorena Dias de Araujo",$B:$B,"&lt;&gt;Lucas Luiz Romero")*(23/1083),IF(C3136="JR",SUMIFS($D:$D,$A:$A,$A3136,$B:$B,"&lt;&gt;Patrícia Karla de Sousa Araújo",$B:$B,"&lt;&gt;Lorena Dias de Araujo",$B:$B,"&lt;&gt;Lucas Luiz Romero")*(20/1083),IF(C3136="Estágio",SUMIFS($D:$D,$A:$A,$A3136,$B:$B,"&lt;&gt;Patrícia Karla de Sousa Araújo",$B:$B,"&lt;&gt;Lorena Dias de Araujo",$B:$B,"&lt;&gt;Lucas Luiz Romero")*(10/1083),0)))))),0)</f>
        <v>14</v>
      </c>
      <c r="K3136" s="3">
        <f>I3136-J3136</f>
        <v>5</v>
      </c>
      <c r="L3136" s="3" t="str">
        <f>IF(K3136&lt;-5,"CRÍTICO",IF(K3136&lt;0,"ATENÇÃO",IF(K3136&lt;=5,"OPORTUNO","MUITO BOM")))</f>
        <v>OPORTUNO</v>
      </c>
      <c r="M3136">
        <v>17</v>
      </c>
      <c r="N3136">
        <v>98.9</v>
      </c>
      <c r="O3136">
        <v>26.763990267639901</v>
      </c>
    </row>
    <row r="3137" spans="1:15" hidden="1" x14ac:dyDescent="0.25">
      <c r="A3137" s="11">
        <v>46099</v>
      </c>
      <c r="B3137" t="s">
        <v>19</v>
      </c>
      <c r="C3137" t="s">
        <v>16</v>
      </c>
      <c r="D3137">
        <v>4</v>
      </c>
      <c r="E3137">
        <v>4</v>
      </c>
      <c r="F3137">
        <v>67.319999999999993</v>
      </c>
      <c r="G3137">
        <v>0</v>
      </c>
      <c r="H3137">
        <v>0</v>
      </c>
      <c r="I3137" s="3">
        <f>E3137+G3137+H3137</f>
        <v>4</v>
      </c>
      <c r="J3137" s="3">
        <f>ROUND(MIN(IF(C3137="Técnico III",35,IF(C3137="Técnico II",28,IF(C3137="Técnico I",23,IF(C3137="JR",20,IF(C3137="Estágio",10,0))))),IF(C3137="Técnico III",SUMIFS($D:$D,$A:$A,$A3137,$B:$B,"&lt;&gt;Patrícia Karla de Sousa Araújo",$B:$B,"&lt;&gt;Lorena Dias de Araujo",$B:$B,"&lt;&gt;Lucas Luiz Romero")*(35/1083),IF(C3137="Técnico II",SUMIFS($D:$D,$A:$A,$A3137,$B:$B,"&lt;&gt;Patrícia Karla de Sousa Araújo",$B:$B,"&lt;&gt;Lorena Dias de Araujo",$B:$B,"&lt;&gt;Lucas Luiz Romero")*(28/1083),IF(C3137="Técnico I",SUMIFS($D:$D,$A:$A,$A3137,$B:$B,"&lt;&gt;Patrícia Karla de Sousa Araújo",$B:$B,"&lt;&gt;Lorena Dias de Araujo",$B:$B,"&lt;&gt;Lucas Luiz Romero")*(23/1083),IF(C3137="JR",SUMIFS($D:$D,$A:$A,$A3137,$B:$B,"&lt;&gt;Patrícia Karla de Sousa Araújo",$B:$B,"&lt;&gt;Lorena Dias de Araujo",$B:$B,"&lt;&gt;Lucas Luiz Romero")*(20/1083),IF(C3137="Estágio",SUMIFS($D:$D,$A:$A,$A3137,$B:$B,"&lt;&gt;Patrícia Karla de Sousa Araújo",$B:$B,"&lt;&gt;Lorena Dias de Araujo",$B:$B,"&lt;&gt;Lucas Luiz Romero")*(10/1083),0)))))),0)</f>
        <v>6</v>
      </c>
      <c r="K3137" s="3">
        <f>I3137-J3137</f>
        <v>-2</v>
      </c>
      <c r="L3137" s="3" t="str">
        <f>IF(K3137&lt;-5,"CRÍTICO",IF(K3137&lt;0,"ATENÇÃO",IF(K3137&lt;=5,"OPORTUNO","MUITO BOM")))</f>
        <v>ATENÇÃO</v>
      </c>
      <c r="M3137">
        <v>4</v>
      </c>
      <c r="N3137">
        <v>88.89</v>
      </c>
      <c r="O3137">
        <v>25.263157894736839</v>
      </c>
    </row>
    <row r="3138" spans="1:15" hidden="1" x14ac:dyDescent="0.25">
      <c r="A3138" s="11">
        <v>46099</v>
      </c>
      <c r="B3138" t="s">
        <v>43</v>
      </c>
      <c r="C3138" t="s">
        <v>32</v>
      </c>
      <c r="D3138">
        <v>32</v>
      </c>
      <c r="E3138">
        <v>31</v>
      </c>
      <c r="F3138">
        <v>17.18</v>
      </c>
      <c r="G3138">
        <v>0</v>
      </c>
      <c r="H3138">
        <v>0</v>
      </c>
      <c r="I3138" s="3">
        <f>E3138+G3138+H3138</f>
        <v>31</v>
      </c>
      <c r="J3138" s="3">
        <f>ROUND(MIN(IF(C3138="Técnico III",35,IF(C3138="Técnico II",28,IF(C3138="Técnico I",23,IF(C3138="JR",20,IF(C3138="Estágio",10,0))))),IF(C3138="Técnico III",SUMIFS($D:$D,$A:$A,$A3138,$B:$B,"&lt;&gt;Patrícia Karla de Sousa Araújo",$B:$B,"&lt;&gt;Lorena Dias de Araujo",$B:$B,"&lt;&gt;Lucas Luiz Romero")*(35/1083),IF(C3138="Técnico II",SUMIFS($D:$D,$A:$A,$A3138,$B:$B,"&lt;&gt;Patrícia Karla de Sousa Araújo",$B:$B,"&lt;&gt;Lorena Dias de Araujo",$B:$B,"&lt;&gt;Lucas Luiz Romero")*(28/1083),IF(C3138="Técnico I",SUMIFS($D:$D,$A:$A,$A3138,$B:$B,"&lt;&gt;Patrícia Karla de Sousa Araújo",$B:$B,"&lt;&gt;Lorena Dias de Araujo",$B:$B,"&lt;&gt;Lucas Luiz Romero")*(23/1083),IF(C3138="JR",SUMIFS($D:$D,$A:$A,$A3138,$B:$B,"&lt;&gt;Patrícia Karla de Sousa Araújo",$B:$B,"&lt;&gt;Lorena Dias de Araujo",$B:$B,"&lt;&gt;Lucas Luiz Romero")*(20/1083),IF(C3138="Estágio",SUMIFS($D:$D,$A:$A,$A3138,$B:$B,"&lt;&gt;Patrícia Karla de Sousa Araújo",$B:$B,"&lt;&gt;Lorena Dias de Araujo",$B:$B,"&lt;&gt;Lucas Luiz Romero")*(10/1083),0)))))),0)</f>
        <v>22</v>
      </c>
      <c r="K3138" s="3">
        <f>I3138-J3138</f>
        <v>9</v>
      </c>
      <c r="L3138" s="3" t="str">
        <f>IF(K3138&lt;-5,"CRÍTICO",IF(K3138&lt;0,"ATENÇÃO",IF(K3138&lt;=5,"OPORTUNO","MUITO BOM")))</f>
        <v>MUITO BOM</v>
      </c>
      <c r="M3138">
        <v>33</v>
      </c>
      <c r="N3138">
        <v>98.86</v>
      </c>
      <c r="O3138">
        <v>28.959276018099551</v>
      </c>
    </row>
    <row r="3139" spans="1:15" hidden="1" x14ac:dyDescent="0.25">
      <c r="A3139" s="11">
        <v>46099</v>
      </c>
      <c r="B3139" t="s">
        <v>44</v>
      </c>
      <c r="C3139" t="s">
        <v>32</v>
      </c>
      <c r="D3139">
        <v>4</v>
      </c>
      <c r="E3139">
        <v>3</v>
      </c>
      <c r="F3139">
        <v>66.430000000000007</v>
      </c>
      <c r="G3139">
        <v>0</v>
      </c>
      <c r="H3139">
        <v>0</v>
      </c>
      <c r="I3139" s="3">
        <f>E3139+G3139+H3139</f>
        <v>3</v>
      </c>
      <c r="J3139" s="3">
        <f>ROUND(MIN(IF(C3139="Técnico III",35,IF(C3139="Técnico II",28,IF(C3139="Técnico I",23,IF(C3139="JR",20,IF(C3139="Estágio",10,0))))),IF(C3139="Técnico III",SUMIFS($D:$D,$A:$A,$A3139,$B:$B,"&lt;&gt;Patrícia Karla de Sousa Araújo",$B:$B,"&lt;&gt;Lorena Dias de Araujo",$B:$B,"&lt;&gt;Lucas Luiz Romero")*(35/1083),IF(C3139="Técnico II",SUMIFS($D:$D,$A:$A,$A3139,$B:$B,"&lt;&gt;Patrícia Karla de Sousa Araújo",$B:$B,"&lt;&gt;Lorena Dias de Araujo",$B:$B,"&lt;&gt;Lucas Luiz Romero")*(28/1083),IF(C3139="Técnico I",SUMIFS($D:$D,$A:$A,$A3139,$B:$B,"&lt;&gt;Patrícia Karla de Sousa Araújo",$B:$B,"&lt;&gt;Lorena Dias de Araujo",$B:$B,"&lt;&gt;Lucas Luiz Romero")*(23/1083),IF(C3139="JR",SUMIFS($D:$D,$A:$A,$A3139,$B:$B,"&lt;&gt;Patrícia Karla de Sousa Araújo",$B:$B,"&lt;&gt;Lorena Dias de Araujo",$B:$B,"&lt;&gt;Lucas Luiz Romero")*(20/1083),IF(C3139="Estágio",SUMIFS($D:$D,$A:$A,$A3139,$B:$B,"&lt;&gt;Patrícia Karla de Sousa Araújo",$B:$B,"&lt;&gt;Lorena Dias de Araujo",$B:$B,"&lt;&gt;Lucas Luiz Romero")*(10/1083),0)))))),0)</f>
        <v>22</v>
      </c>
      <c r="K3139" s="3">
        <f>I3139-J3139</f>
        <v>-19</v>
      </c>
      <c r="L3139" s="3" t="str">
        <f>IF(K3139&lt;-5,"CRÍTICO",IF(K3139&lt;0,"ATENÇÃO",IF(K3139&lt;=5,"OPORTUNO","MUITO BOM")))</f>
        <v>CRÍTICO</v>
      </c>
      <c r="M3139">
        <v>3</v>
      </c>
      <c r="N3139">
        <v>98.06</v>
      </c>
      <c r="O3139">
        <v>22.40566037735849</v>
      </c>
    </row>
    <row r="3140" spans="1:15" hidden="1" x14ac:dyDescent="0.25">
      <c r="A3140" s="11">
        <v>46099</v>
      </c>
      <c r="B3140" t="s">
        <v>20</v>
      </c>
      <c r="C3140" t="s">
        <v>16</v>
      </c>
      <c r="D3140">
        <v>6</v>
      </c>
      <c r="E3140">
        <v>6</v>
      </c>
      <c r="F3140">
        <v>94.02</v>
      </c>
      <c r="G3140">
        <v>0</v>
      </c>
      <c r="H3140">
        <v>0</v>
      </c>
      <c r="I3140" s="3">
        <f>E3140+G3140+H3140</f>
        <v>6</v>
      </c>
      <c r="J3140" s="3">
        <f>ROUND(MIN(IF(C3140="Técnico III",35,IF(C3140="Técnico II",28,IF(C3140="Técnico I",23,IF(C3140="JR",20,IF(C3140="Estágio",10,0))))),IF(C3140="Técnico III",SUMIFS($D:$D,$A:$A,$A3140,$B:$B,"&lt;&gt;Patrícia Karla de Sousa Araújo",$B:$B,"&lt;&gt;Lorena Dias de Araujo",$B:$B,"&lt;&gt;Lucas Luiz Romero")*(35/1083),IF(C3140="Técnico II",SUMIFS($D:$D,$A:$A,$A3140,$B:$B,"&lt;&gt;Patrícia Karla de Sousa Araújo",$B:$B,"&lt;&gt;Lorena Dias de Araujo",$B:$B,"&lt;&gt;Lucas Luiz Romero")*(28/1083),IF(C3140="Técnico I",SUMIFS($D:$D,$A:$A,$A3140,$B:$B,"&lt;&gt;Patrícia Karla de Sousa Araújo",$B:$B,"&lt;&gt;Lorena Dias de Araujo",$B:$B,"&lt;&gt;Lucas Luiz Romero")*(23/1083),IF(C3140="JR",SUMIFS($D:$D,$A:$A,$A3140,$B:$B,"&lt;&gt;Patrícia Karla de Sousa Araújo",$B:$B,"&lt;&gt;Lorena Dias de Araujo",$B:$B,"&lt;&gt;Lucas Luiz Romero")*(20/1083),IF(C3140="Estágio",SUMIFS($D:$D,$A:$A,$A3140,$B:$B,"&lt;&gt;Patrícia Karla de Sousa Araújo",$B:$B,"&lt;&gt;Lorena Dias de Araujo",$B:$B,"&lt;&gt;Lucas Luiz Romero")*(10/1083),0)))))),0)</f>
        <v>6</v>
      </c>
      <c r="K3140" s="3">
        <f>I3140-J3140</f>
        <v>0</v>
      </c>
      <c r="L3140" s="3" t="str">
        <f>IF(K3140&lt;-5,"CRÍTICO",IF(K3140&lt;0,"ATENÇÃO",IF(K3140&lt;=5,"OPORTUNO","MUITO BOM")))</f>
        <v>OPORTUNO</v>
      </c>
      <c r="M3140">
        <v>3</v>
      </c>
      <c r="N3140">
        <v>95.83</v>
      </c>
      <c r="O3140">
        <v>25.773195876288661</v>
      </c>
    </row>
    <row r="3141" spans="1:15" hidden="1" x14ac:dyDescent="0.25">
      <c r="A3141" s="11">
        <v>46099</v>
      </c>
      <c r="B3141" t="s">
        <v>28</v>
      </c>
      <c r="C3141" t="s">
        <v>26</v>
      </c>
      <c r="D3141">
        <v>0</v>
      </c>
      <c r="E3141">
        <v>0</v>
      </c>
      <c r="F3141">
        <v>0</v>
      </c>
      <c r="G3141">
        <v>0</v>
      </c>
      <c r="H3141">
        <v>0</v>
      </c>
      <c r="I3141" s="3">
        <v>0</v>
      </c>
      <c r="J3141" s="3">
        <v>0</v>
      </c>
      <c r="K3141" s="3">
        <v>0</v>
      </c>
      <c r="L3141" s="3" t="str">
        <f>IF(K3141&lt;-5,"CRÍTICO",IF(K3141&lt;0,"ATENÇÃO",IF(K3141&lt;=5,"OPORTUNO","MUITO BOM")))</f>
        <v>OPORTUNO</v>
      </c>
      <c r="M3141">
        <v>0</v>
      </c>
      <c r="N3141">
        <v>100</v>
      </c>
      <c r="O3141">
        <v>15.38461538461539</v>
      </c>
    </row>
    <row r="3142" spans="1:15" hidden="1" x14ac:dyDescent="0.25">
      <c r="A3142" s="11">
        <v>46099</v>
      </c>
      <c r="B3142" t="s">
        <v>58</v>
      </c>
      <c r="C3142" t="s">
        <v>48</v>
      </c>
      <c r="D3142">
        <v>16</v>
      </c>
      <c r="E3142">
        <v>12</v>
      </c>
      <c r="F3142">
        <v>16.43</v>
      </c>
      <c r="G3142">
        <v>0</v>
      </c>
      <c r="H3142">
        <v>0</v>
      </c>
      <c r="I3142" s="3">
        <f>E3142+G3142+H3142</f>
        <v>12</v>
      </c>
      <c r="J3142" s="3">
        <f>ROUND(MIN(IF(C3142="Técnico III",35,IF(C3142="Técnico II",28,IF(C3142="Técnico I",23,IF(C3142="JR",20,IF(C3142="Estágio",10,0))))),IF(C3142="Técnico III",SUMIFS($D:$D,$A:$A,$A3142,$B:$B,"&lt;&gt;Patrícia Karla de Sousa Araújo",$B:$B,"&lt;&gt;Lorena Dias de Araujo",$B:$B,"&lt;&gt;Lucas Luiz Romero")*(35/1083),IF(C3142="Técnico II",SUMIFS($D:$D,$A:$A,$A3142,$B:$B,"&lt;&gt;Patrícia Karla de Sousa Araújo",$B:$B,"&lt;&gt;Lorena Dias de Araujo",$B:$B,"&lt;&gt;Lucas Luiz Romero")*(28/1083),IF(C3142="Técnico I",SUMIFS($D:$D,$A:$A,$A3142,$B:$B,"&lt;&gt;Patrícia Karla de Sousa Araújo",$B:$B,"&lt;&gt;Lorena Dias de Araujo",$B:$B,"&lt;&gt;Lucas Luiz Romero")*(23/1083),IF(C3142="JR",SUMIFS($D:$D,$A:$A,$A3142,$B:$B,"&lt;&gt;Patrícia Karla de Sousa Araújo",$B:$B,"&lt;&gt;Lorena Dias de Araujo",$B:$B,"&lt;&gt;Lucas Luiz Romero")*(20/1083),IF(C3142="Estágio",SUMIFS($D:$D,$A:$A,$A3142,$B:$B,"&lt;&gt;Patrícia Karla de Sousa Araújo",$B:$B,"&lt;&gt;Lorena Dias de Araujo",$B:$B,"&lt;&gt;Lucas Luiz Romero")*(10/1083),0)))))),0)</f>
        <v>17</v>
      </c>
      <c r="K3142" s="3">
        <f>I3142-J3142</f>
        <v>-5</v>
      </c>
      <c r="L3142" s="3" t="str">
        <f>IF(K3142&lt;-5,"CRÍTICO",IF(K3142&lt;0,"ATENÇÃO",IF(K3142&lt;=5,"OPORTUNO","MUITO BOM")))</f>
        <v>ATENÇÃO</v>
      </c>
      <c r="M3142">
        <v>10</v>
      </c>
      <c r="N3142">
        <v>100</v>
      </c>
      <c r="O3142">
        <v>27.514792899408281</v>
      </c>
    </row>
    <row r="3143" spans="1:15" hidden="1" x14ac:dyDescent="0.25">
      <c r="A3143" s="11">
        <v>46099</v>
      </c>
      <c r="B3143" t="s">
        <v>29</v>
      </c>
      <c r="C3143" t="s">
        <v>26</v>
      </c>
      <c r="D3143">
        <v>12</v>
      </c>
      <c r="E3143">
        <v>12</v>
      </c>
      <c r="F3143">
        <v>25.18</v>
      </c>
      <c r="G3143">
        <v>0</v>
      </c>
      <c r="H3143">
        <v>0</v>
      </c>
      <c r="I3143" s="3">
        <f>E3143+G3143+H3143</f>
        <v>12</v>
      </c>
      <c r="J3143" s="3">
        <f>ROUND(MIN(IF(C3143="Técnico III",35,IF(C3143="Técnico II",28,IF(C3143="Técnico I",23,IF(C3143="JR",20,IF(C3143="Estágio",10,0))))),IF(C3143="Técnico III",SUMIFS($D:$D,$A:$A,$A3143,$B:$B,"&lt;&gt;Patrícia Karla de Sousa Araújo",$B:$B,"&lt;&gt;Lorena Dias de Araujo",$B:$B,"&lt;&gt;Lucas Luiz Romero")*(35/1083),IF(C3143="Técnico II",SUMIFS($D:$D,$A:$A,$A3143,$B:$B,"&lt;&gt;Patrícia Karla de Sousa Araújo",$B:$B,"&lt;&gt;Lorena Dias de Araujo",$B:$B,"&lt;&gt;Lucas Luiz Romero")*(28/1083),IF(C3143="Técnico I",SUMIFS($D:$D,$A:$A,$A3143,$B:$B,"&lt;&gt;Patrícia Karla de Sousa Araújo",$B:$B,"&lt;&gt;Lorena Dias de Araujo",$B:$B,"&lt;&gt;Lucas Luiz Romero")*(23/1083),IF(C3143="JR",SUMIFS($D:$D,$A:$A,$A3143,$B:$B,"&lt;&gt;Patrícia Karla de Sousa Araújo",$B:$B,"&lt;&gt;Lorena Dias de Araujo",$B:$B,"&lt;&gt;Lucas Luiz Romero")*(20/1083),IF(C3143="Estágio",SUMIFS($D:$D,$A:$A,$A3143,$B:$B,"&lt;&gt;Patrícia Karla de Sousa Araújo",$B:$B,"&lt;&gt;Lorena Dias de Araujo",$B:$B,"&lt;&gt;Lucas Luiz Romero")*(10/1083),0)))))),0)</f>
        <v>12</v>
      </c>
      <c r="K3143" s="3">
        <f>I3143-J3143</f>
        <v>0</v>
      </c>
      <c r="L3143" s="3" t="str">
        <f>IF(K3143&lt;-5,"CRÍTICO",IF(K3143&lt;0,"ATENÇÃO",IF(K3143&lt;=5,"OPORTUNO","MUITO BOM")))</f>
        <v>OPORTUNO</v>
      </c>
      <c r="M3143">
        <v>9</v>
      </c>
      <c r="N3143">
        <v>100</v>
      </c>
      <c r="O3143">
        <v>24.875621890547269</v>
      </c>
    </row>
    <row r="3144" spans="1:15" hidden="1" x14ac:dyDescent="0.25">
      <c r="A3144" s="11">
        <v>46099</v>
      </c>
      <c r="B3144" t="s">
        <v>30</v>
      </c>
      <c r="C3144" t="s">
        <v>26</v>
      </c>
      <c r="D3144">
        <v>11</v>
      </c>
      <c r="E3144">
        <v>11</v>
      </c>
      <c r="F3144">
        <v>42.15</v>
      </c>
      <c r="G3144">
        <v>0</v>
      </c>
      <c r="H3144">
        <v>0</v>
      </c>
      <c r="I3144" s="3">
        <f>E3144+G3144+H3144</f>
        <v>11</v>
      </c>
      <c r="J3144" s="3">
        <f>ROUND(MIN(IF(C3144="Técnico III",35,IF(C3144="Técnico II",28,IF(C3144="Técnico I",23,IF(C3144="JR",20,IF(C3144="Estágio",10,0))))),IF(C3144="Técnico III",SUMIFS($D:$D,$A:$A,$A3144,$B:$B,"&lt;&gt;Patrícia Karla de Sousa Araújo",$B:$B,"&lt;&gt;Lorena Dias de Araujo",$B:$B,"&lt;&gt;Lucas Luiz Romero")*(35/1083),IF(C3144="Técnico II",SUMIFS($D:$D,$A:$A,$A3144,$B:$B,"&lt;&gt;Patrícia Karla de Sousa Araújo",$B:$B,"&lt;&gt;Lorena Dias de Araujo",$B:$B,"&lt;&gt;Lucas Luiz Romero")*(28/1083),IF(C3144="Técnico I",SUMIFS($D:$D,$A:$A,$A3144,$B:$B,"&lt;&gt;Patrícia Karla de Sousa Araújo",$B:$B,"&lt;&gt;Lorena Dias de Araujo",$B:$B,"&lt;&gt;Lucas Luiz Romero")*(23/1083),IF(C3144="JR",SUMIFS($D:$D,$A:$A,$A3144,$B:$B,"&lt;&gt;Patrícia Karla de Sousa Araújo",$B:$B,"&lt;&gt;Lorena Dias de Araujo",$B:$B,"&lt;&gt;Lucas Luiz Romero")*(20/1083),IF(C3144="Estágio",SUMIFS($D:$D,$A:$A,$A3144,$B:$B,"&lt;&gt;Patrícia Karla de Sousa Araújo",$B:$B,"&lt;&gt;Lorena Dias de Araujo",$B:$B,"&lt;&gt;Lucas Luiz Romero")*(10/1083),0)))))),0)</f>
        <v>12</v>
      </c>
      <c r="K3144" s="3">
        <f>I3144-J3144</f>
        <v>-1</v>
      </c>
      <c r="L3144" s="3" t="str">
        <f>IF(K3144&lt;-5,"CRÍTICO",IF(K3144&lt;0,"ATENÇÃO",IF(K3144&lt;=5,"OPORTUNO","MUITO BOM")))</f>
        <v>ATENÇÃO</v>
      </c>
      <c r="M3144">
        <v>10</v>
      </c>
      <c r="N3144">
        <v>100</v>
      </c>
      <c r="O3144">
        <v>28.108108108108109</v>
      </c>
    </row>
    <row r="3145" spans="1:15" hidden="1" x14ac:dyDescent="0.25">
      <c r="A3145" s="11">
        <v>46099</v>
      </c>
      <c r="B3145" t="s">
        <v>21</v>
      </c>
      <c r="C3145" t="s">
        <v>16</v>
      </c>
      <c r="D3145">
        <v>0</v>
      </c>
      <c r="E3145">
        <v>0</v>
      </c>
      <c r="F3145">
        <v>0</v>
      </c>
      <c r="G3145">
        <v>0</v>
      </c>
      <c r="H3145">
        <v>0</v>
      </c>
      <c r="I3145" s="3">
        <v>0</v>
      </c>
      <c r="J3145" s="3">
        <v>0</v>
      </c>
      <c r="K3145" s="3">
        <v>0</v>
      </c>
      <c r="L3145" s="3" t="str">
        <f>IF(K3145&lt;-5,"CRÍTICO",IF(K3145&lt;0,"ATENÇÃO",IF(K3145&lt;=5,"OPORTUNO","MUITO BOM")))</f>
        <v>OPORTUNO</v>
      </c>
      <c r="M3145">
        <v>0</v>
      </c>
      <c r="N3145">
        <v>100</v>
      </c>
      <c r="O3145">
        <v>35</v>
      </c>
    </row>
    <row r="3146" spans="1:15" hidden="1" x14ac:dyDescent="0.25">
      <c r="A3146" s="11">
        <v>46099</v>
      </c>
      <c r="B3146" t="s">
        <v>63</v>
      </c>
      <c r="C3146" t="s">
        <v>23</v>
      </c>
      <c r="D3146">
        <v>18</v>
      </c>
      <c r="E3146">
        <v>18</v>
      </c>
      <c r="F3146">
        <v>36.409999999999997</v>
      </c>
      <c r="G3146">
        <v>0</v>
      </c>
      <c r="H3146">
        <v>0</v>
      </c>
      <c r="I3146" s="3">
        <f>E3146+G3146+H3146</f>
        <v>18</v>
      </c>
      <c r="J3146" s="3">
        <f>ROUND(MIN(IF(C3146="Técnico III",35,IF(C3146="Técnico II",28,IF(C3146="Técnico I",23,IF(C3146="JR",20,IF(C3146="Estágio",10,0))))),IF(C3146="Técnico III",SUMIFS($D:$D,$A:$A,$A3146,$B:$B,"&lt;&gt;Patrícia Karla de Sousa Araújo",$B:$B,"&lt;&gt;Lorena Dias de Araujo",$B:$B,"&lt;&gt;Lucas Luiz Romero")*(35/1083),IF(C3146="Técnico II",SUMIFS($D:$D,$A:$A,$A3146,$B:$B,"&lt;&gt;Patrícia Karla de Sousa Araújo",$B:$B,"&lt;&gt;Lorena Dias de Araujo",$B:$B,"&lt;&gt;Lucas Luiz Romero")*(28/1083),IF(C3146="Técnico I",SUMIFS($D:$D,$A:$A,$A3146,$B:$B,"&lt;&gt;Patrícia Karla de Sousa Araújo",$B:$B,"&lt;&gt;Lorena Dias de Araujo",$B:$B,"&lt;&gt;Lucas Luiz Romero")*(23/1083),IF(C3146="JR",SUMIFS($D:$D,$A:$A,$A3146,$B:$B,"&lt;&gt;Patrícia Karla de Sousa Araújo",$B:$B,"&lt;&gt;Lorena Dias de Araujo",$B:$B,"&lt;&gt;Lucas Luiz Romero")*(20/1083),IF(C3146="Estágio",SUMIFS($D:$D,$A:$A,$A3146,$B:$B,"&lt;&gt;Patrícia Karla de Sousa Araújo",$B:$B,"&lt;&gt;Lorena Dias de Araujo",$B:$B,"&lt;&gt;Lucas Luiz Romero")*(10/1083),0)))))),0)</f>
        <v>14</v>
      </c>
      <c r="K3146" s="3">
        <f>I3146-J3146</f>
        <v>4</v>
      </c>
      <c r="L3146" s="3" t="str">
        <f>IF(K3146&lt;-5,"CRÍTICO",IF(K3146&lt;0,"ATENÇÃO",IF(K3146&lt;=5,"OPORTUNO","MUITO BOM")))</f>
        <v>OPORTUNO</v>
      </c>
      <c r="M3146">
        <v>13</v>
      </c>
      <c r="N3146">
        <v>95.35</v>
      </c>
      <c r="O3146">
        <v>28.61538461538461</v>
      </c>
    </row>
    <row r="3147" spans="1:15" hidden="1" x14ac:dyDescent="0.25">
      <c r="A3147" s="11">
        <v>46099</v>
      </c>
      <c r="B3147" t="s">
        <v>45</v>
      </c>
      <c r="C3147" t="s">
        <v>32</v>
      </c>
      <c r="D3147">
        <v>35</v>
      </c>
      <c r="E3147">
        <v>34</v>
      </c>
      <c r="F3147">
        <v>14.11</v>
      </c>
      <c r="G3147">
        <v>0</v>
      </c>
      <c r="H3147">
        <v>0</v>
      </c>
      <c r="I3147" s="3">
        <f>E3147+G3147+H3147</f>
        <v>34</v>
      </c>
      <c r="J3147" s="3">
        <f>ROUND(MIN(IF(C3147="Técnico III",35,IF(C3147="Técnico II",28,IF(C3147="Técnico I",23,IF(C3147="JR",20,IF(C3147="Estágio",10,0))))),IF(C3147="Técnico III",SUMIFS($D:$D,$A:$A,$A3147,$B:$B,"&lt;&gt;Patrícia Karla de Sousa Araújo",$B:$B,"&lt;&gt;Lorena Dias de Araujo",$B:$B,"&lt;&gt;Lucas Luiz Romero")*(35/1083),IF(C3147="Técnico II",SUMIFS($D:$D,$A:$A,$A3147,$B:$B,"&lt;&gt;Patrícia Karla de Sousa Araújo",$B:$B,"&lt;&gt;Lorena Dias de Araujo",$B:$B,"&lt;&gt;Lucas Luiz Romero")*(28/1083),IF(C3147="Técnico I",SUMIFS($D:$D,$A:$A,$A3147,$B:$B,"&lt;&gt;Patrícia Karla de Sousa Araújo",$B:$B,"&lt;&gt;Lorena Dias de Araujo",$B:$B,"&lt;&gt;Lucas Luiz Romero")*(23/1083),IF(C3147="JR",SUMIFS($D:$D,$A:$A,$A3147,$B:$B,"&lt;&gt;Patrícia Karla de Sousa Araújo",$B:$B,"&lt;&gt;Lorena Dias de Araujo",$B:$B,"&lt;&gt;Lucas Luiz Romero")*(20/1083),IF(C3147="Estágio",SUMIFS($D:$D,$A:$A,$A3147,$B:$B,"&lt;&gt;Patrícia Karla de Sousa Araújo",$B:$B,"&lt;&gt;Lorena Dias de Araujo",$B:$B,"&lt;&gt;Lucas Luiz Romero")*(10/1083),0)))))),0)</f>
        <v>22</v>
      </c>
      <c r="K3147" s="3">
        <f>I3147-J3147</f>
        <v>12</v>
      </c>
      <c r="L3147" s="3" t="str">
        <f>IF(K3147&lt;-5,"CRÍTICO",IF(K3147&lt;0,"ATENÇÃO",IF(K3147&lt;=5,"OPORTUNO","MUITO BOM")))</f>
        <v>MUITO BOM</v>
      </c>
      <c r="M3147">
        <v>32</v>
      </c>
      <c r="N3147">
        <v>98.26</v>
      </c>
      <c r="O3147">
        <v>27.54491017964072</v>
      </c>
    </row>
    <row r="3148" spans="1:15" hidden="1" x14ac:dyDescent="0.25">
      <c r="A3148" s="11">
        <v>46099</v>
      </c>
      <c r="B3148" t="s">
        <v>64</v>
      </c>
      <c r="C3148" t="s">
        <v>23</v>
      </c>
      <c r="D3148">
        <v>12</v>
      </c>
      <c r="E3148">
        <v>12</v>
      </c>
      <c r="F3148">
        <v>38.479999999999997</v>
      </c>
      <c r="G3148">
        <v>0</v>
      </c>
      <c r="H3148">
        <v>0</v>
      </c>
      <c r="I3148" s="3">
        <f>E3148+G3148+H3148</f>
        <v>12</v>
      </c>
      <c r="J3148" s="3">
        <f>ROUND(MIN(IF(C3148="Técnico III",35,IF(C3148="Técnico II",28,IF(C3148="Técnico I",23,IF(C3148="JR",20,IF(C3148="Estágio",10,0))))),IF(C3148="Técnico III",SUMIFS($D:$D,$A:$A,$A3148,$B:$B,"&lt;&gt;Patrícia Karla de Sousa Araújo",$B:$B,"&lt;&gt;Lorena Dias de Araujo",$B:$B,"&lt;&gt;Lucas Luiz Romero")*(35/1083),IF(C3148="Técnico II",SUMIFS($D:$D,$A:$A,$A3148,$B:$B,"&lt;&gt;Patrícia Karla de Sousa Araújo",$B:$B,"&lt;&gt;Lorena Dias de Araujo",$B:$B,"&lt;&gt;Lucas Luiz Romero")*(28/1083),IF(C3148="Técnico I",SUMIFS($D:$D,$A:$A,$A3148,$B:$B,"&lt;&gt;Patrícia Karla de Sousa Araújo",$B:$B,"&lt;&gt;Lorena Dias de Araujo",$B:$B,"&lt;&gt;Lucas Luiz Romero")*(23/1083),IF(C3148="JR",SUMIFS($D:$D,$A:$A,$A3148,$B:$B,"&lt;&gt;Patrícia Karla de Sousa Araújo",$B:$B,"&lt;&gt;Lorena Dias de Araujo",$B:$B,"&lt;&gt;Lucas Luiz Romero")*(20/1083),IF(C3148="Estágio",SUMIFS($D:$D,$A:$A,$A3148,$B:$B,"&lt;&gt;Patrícia Karla de Sousa Araújo",$B:$B,"&lt;&gt;Lorena Dias de Araujo",$B:$B,"&lt;&gt;Lucas Luiz Romero")*(10/1083),0)))))),0)</f>
        <v>14</v>
      </c>
      <c r="K3148" s="3">
        <f>I3148-J3148</f>
        <v>-2</v>
      </c>
      <c r="L3148" s="3" t="str">
        <f>IF(K3148&lt;-5,"CRÍTICO",IF(K3148&lt;0,"ATENÇÃO",IF(K3148&lt;=5,"OPORTUNO","MUITO BOM")))</f>
        <v>ATENÇÃO</v>
      </c>
      <c r="M3148">
        <v>10</v>
      </c>
      <c r="N3148">
        <v>98.55</v>
      </c>
      <c r="O3148">
        <v>25.337837837837839</v>
      </c>
    </row>
    <row r="3149" spans="1:15" hidden="1" x14ac:dyDescent="0.25">
      <c r="A3149" s="11">
        <v>46099</v>
      </c>
      <c r="B3149" t="s">
        <v>46</v>
      </c>
      <c r="C3149" t="s">
        <v>32</v>
      </c>
      <c r="D3149">
        <v>27</v>
      </c>
      <c r="E3149">
        <v>27</v>
      </c>
      <c r="F3149">
        <v>17.32</v>
      </c>
      <c r="G3149">
        <v>0</v>
      </c>
      <c r="H3149">
        <v>0</v>
      </c>
      <c r="I3149" s="3">
        <f>E3149+G3149+H3149</f>
        <v>27</v>
      </c>
      <c r="J3149" s="3">
        <f>ROUND(MIN(IF(C3149="Técnico III",35,IF(C3149="Técnico II",28,IF(C3149="Técnico I",23,IF(C3149="JR",20,IF(C3149="Estágio",10,0))))),IF(C3149="Técnico III",SUMIFS($D:$D,$A:$A,$A3149,$B:$B,"&lt;&gt;Patrícia Karla de Sousa Araújo",$B:$B,"&lt;&gt;Lorena Dias de Araujo",$B:$B,"&lt;&gt;Lucas Luiz Romero")*(35/1083),IF(C3149="Técnico II",SUMIFS($D:$D,$A:$A,$A3149,$B:$B,"&lt;&gt;Patrícia Karla de Sousa Araújo",$B:$B,"&lt;&gt;Lorena Dias de Araujo",$B:$B,"&lt;&gt;Lucas Luiz Romero")*(28/1083),IF(C3149="Técnico I",SUMIFS($D:$D,$A:$A,$A3149,$B:$B,"&lt;&gt;Patrícia Karla de Sousa Araújo",$B:$B,"&lt;&gt;Lorena Dias de Araujo",$B:$B,"&lt;&gt;Lucas Luiz Romero")*(23/1083),IF(C3149="JR",SUMIFS($D:$D,$A:$A,$A3149,$B:$B,"&lt;&gt;Patrícia Karla de Sousa Araújo",$B:$B,"&lt;&gt;Lorena Dias de Araujo",$B:$B,"&lt;&gt;Lucas Luiz Romero")*(20/1083),IF(C3149="Estágio",SUMIFS($D:$D,$A:$A,$A3149,$B:$B,"&lt;&gt;Patrícia Karla de Sousa Araújo",$B:$B,"&lt;&gt;Lorena Dias de Araujo",$B:$B,"&lt;&gt;Lucas Luiz Romero")*(10/1083),0)))))),0)</f>
        <v>22</v>
      </c>
      <c r="K3149" s="3">
        <f>I3149-J3149</f>
        <v>5</v>
      </c>
      <c r="L3149" s="3" t="str">
        <f>IF(K3149&lt;-5,"CRÍTICO",IF(K3149&lt;0,"ATENÇÃO",IF(K3149&lt;=5,"OPORTUNO","MUITO BOM")))</f>
        <v>OPORTUNO</v>
      </c>
      <c r="M3149">
        <v>22</v>
      </c>
      <c r="N3149">
        <v>98.39</v>
      </c>
      <c r="O3149">
        <v>25.563909774436091</v>
      </c>
    </row>
    <row r="3150" spans="1:15" hidden="1" x14ac:dyDescent="0.25">
      <c r="A3150" s="11">
        <v>46100</v>
      </c>
      <c r="B3150" t="s">
        <v>47</v>
      </c>
      <c r="C3150" t="s">
        <v>48</v>
      </c>
      <c r="D3150">
        <v>24</v>
      </c>
      <c r="E3150">
        <v>20</v>
      </c>
      <c r="F3150">
        <v>20.02</v>
      </c>
      <c r="G3150">
        <v>0</v>
      </c>
      <c r="H3150">
        <v>0</v>
      </c>
      <c r="I3150" s="3">
        <f>E3150+G3150+H3150</f>
        <v>20</v>
      </c>
      <c r="J3150" s="3">
        <f>ROUND(MIN(IF(C3150="Técnico III",35,IF(C3150="Técnico II",28,IF(C3150="Técnico I",23,IF(C3150="JR",20,IF(C3150="Estágio",10,0))))),IF(C3150="Técnico III",SUMIFS($D:$D,$A:$A,$A3150,$B:$B,"&lt;&gt;Patrícia Karla de Sousa Araújo",$B:$B,"&lt;&gt;Lorena Dias de Araujo",$B:$B,"&lt;&gt;Lucas Luiz Romero")*(35/1083),IF(C3150="Técnico II",SUMIFS($D:$D,$A:$A,$A3150,$B:$B,"&lt;&gt;Patrícia Karla de Sousa Araújo",$B:$B,"&lt;&gt;Lorena Dias de Araujo",$B:$B,"&lt;&gt;Lucas Luiz Romero")*(28/1083),IF(C3150="Técnico I",SUMIFS($D:$D,$A:$A,$A3150,$B:$B,"&lt;&gt;Patrícia Karla de Sousa Araújo",$B:$B,"&lt;&gt;Lorena Dias de Araujo",$B:$B,"&lt;&gt;Lucas Luiz Romero")*(23/1083),IF(C3150="JR",SUMIFS($D:$D,$A:$A,$A3150,$B:$B,"&lt;&gt;Patrícia Karla de Sousa Araújo",$B:$B,"&lt;&gt;Lorena Dias de Araujo",$B:$B,"&lt;&gt;Lucas Luiz Romero")*(20/1083),IF(C3150="Estágio",SUMIFS($D:$D,$A:$A,$A3150,$B:$B,"&lt;&gt;Patrícia Karla de Sousa Araújo",$B:$B,"&lt;&gt;Lorena Dias de Araujo",$B:$B,"&lt;&gt;Lucas Luiz Romero")*(10/1083),0)))))),0)</f>
        <v>18</v>
      </c>
      <c r="K3150" s="3">
        <f>I3150-J3150</f>
        <v>2</v>
      </c>
      <c r="L3150" s="3" t="str">
        <f>IF(K3150&lt;-5,"CRÍTICO",IF(K3150&lt;0,"ATENÇÃO",IF(K3150&lt;=5,"OPORTUNO","MUITO BOM")))</f>
        <v>OPORTUNO</v>
      </c>
      <c r="M3150">
        <v>12</v>
      </c>
      <c r="N3150">
        <v>94.29</v>
      </c>
      <c r="O3150">
        <v>25.647668393782389</v>
      </c>
    </row>
    <row r="3151" spans="1:15" hidden="1" x14ac:dyDescent="0.25">
      <c r="A3151" s="11">
        <v>46100</v>
      </c>
      <c r="B3151" t="s">
        <v>31</v>
      </c>
      <c r="C3151" t="s">
        <v>32</v>
      </c>
      <c r="D3151">
        <v>0</v>
      </c>
      <c r="E3151">
        <v>0</v>
      </c>
      <c r="F3151">
        <v>0</v>
      </c>
      <c r="G3151">
        <v>0</v>
      </c>
      <c r="H3151">
        <v>0</v>
      </c>
      <c r="I3151" s="3">
        <v>0</v>
      </c>
      <c r="J3151" s="3">
        <v>0</v>
      </c>
      <c r="K3151" s="3">
        <v>0</v>
      </c>
      <c r="L3151" s="3" t="str">
        <f>IF(K3151&lt;-5,"CRÍTICO",IF(K3151&lt;0,"ATENÇÃO",IF(K3151&lt;=5,"OPORTUNO","MUITO BOM")))</f>
        <v>OPORTUNO</v>
      </c>
      <c r="M3151">
        <v>10</v>
      </c>
      <c r="N3151">
        <v>98.26</v>
      </c>
      <c r="O3151">
        <v>26.666666666666671</v>
      </c>
    </row>
    <row r="3152" spans="1:15" hidden="1" x14ac:dyDescent="0.25">
      <c r="A3152" s="11">
        <v>46100</v>
      </c>
      <c r="B3152" t="s">
        <v>59</v>
      </c>
      <c r="C3152" t="s">
        <v>23</v>
      </c>
      <c r="D3152">
        <v>43</v>
      </c>
      <c r="E3152">
        <v>40</v>
      </c>
      <c r="F3152">
        <v>13.56</v>
      </c>
      <c r="G3152">
        <v>0</v>
      </c>
      <c r="H3152">
        <v>0</v>
      </c>
      <c r="I3152" s="3">
        <f>E3152+G3152+H3152</f>
        <v>40</v>
      </c>
      <c r="J3152" s="3">
        <f>ROUND(MIN(IF(C3152="Técnico III",35,IF(C3152="Técnico II",28,IF(C3152="Técnico I",23,IF(C3152="JR",20,IF(C3152="Estágio",10,0))))),IF(C3152="Técnico III",SUMIFS($D:$D,$A:$A,$A3152,$B:$B,"&lt;&gt;Patrícia Karla de Sousa Araújo",$B:$B,"&lt;&gt;Lorena Dias de Araujo",$B:$B,"&lt;&gt;Lucas Luiz Romero")*(35/1083),IF(C3152="Técnico II",SUMIFS($D:$D,$A:$A,$A3152,$B:$B,"&lt;&gt;Patrícia Karla de Sousa Araújo",$B:$B,"&lt;&gt;Lorena Dias de Araujo",$B:$B,"&lt;&gt;Lucas Luiz Romero")*(28/1083),IF(C3152="Técnico I",SUMIFS($D:$D,$A:$A,$A3152,$B:$B,"&lt;&gt;Patrícia Karla de Sousa Araújo",$B:$B,"&lt;&gt;Lorena Dias de Araujo",$B:$B,"&lt;&gt;Lucas Luiz Romero")*(23/1083),IF(C3152="JR",SUMIFS($D:$D,$A:$A,$A3152,$B:$B,"&lt;&gt;Patrícia Karla de Sousa Araújo",$B:$B,"&lt;&gt;Lorena Dias de Araujo",$B:$B,"&lt;&gt;Lucas Luiz Romero")*(20/1083),IF(C3152="Estágio",SUMIFS($D:$D,$A:$A,$A3152,$B:$B,"&lt;&gt;Patrícia Karla de Sousa Araújo",$B:$B,"&lt;&gt;Lorena Dias de Araujo",$B:$B,"&lt;&gt;Lucas Luiz Romero")*(10/1083),0)))))),0)</f>
        <v>14</v>
      </c>
      <c r="K3152" s="3">
        <f>I3152-J3152</f>
        <v>26</v>
      </c>
      <c r="L3152" s="3" t="str">
        <f>IF(K3152&lt;-5,"CRÍTICO",IF(K3152&lt;0,"ATENÇÃO",IF(K3152&lt;=5,"OPORTUNO","MUITO BOM")))</f>
        <v>MUITO BOM</v>
      </c>
      <c r="M3152">
        <v>39</v>
      </c>
      <c r="N3152">
        <v>98.2</v>
      </c>
      <c r="O3152">
        <v>23.37962962962963</v>
      </c>
    </row>
    <row r="3153" spans="1:15" hidden="1" x14ac:dyDescent="0.25">
      <c r="A3153" s="11">
        <v>46100</v>
      </c>
      <c r="B3153" t="s">
        <v>33</v>
      </c>
      <c r="C3153" t="s">
        <v>32</v>
      </c>
      <c r="D3153">
        <v>9</v>
      </c>
      <c r="E3153">
        <v>8</v>
      </c>
      <c r="F3153">
        <v>18.37</v>
      </c>
      <c r="G3153">
        <v>0</v>
      </c>
      <c r="H3153">
        <v>0</v>
      </c>
      <c r="I3153" s="3">
        <f>E3153+G3153+H3153</f>
        <v>8</v>
      </c>
      <c r="J3153" s="3">
        <f>ROUND(MIN(IF(C3153="Técnico III",35,IF(C3153="Técnico II",28,IF(C3153="Técnico I",23,IF(C3153="JR",20,IF(C3153="Estágio",10,0))))),IF(C3153="Técnico III",SUMIFS($D:$D,$A:$A,$A3153,$B:$B,"&lt;&gt;Patrícia Karla de Sousa Araújo",$B:$B,"&lt;&gt;Lorena Dias de Araujo",$B:$B,"&lt;&gt;Lucas Luiz Romero")*(35/1083),IF(C3153="Técnico II",SUMIFS($D:$D,$A:$A,$A3153,$B:$B,"&lt;&gt;Patrícia Karla de Sousa Araújo",$B:$B,"&lt;&gt;Lorena Dias de Araujo",$B:$B,"&lt;&gt;Lucas Luiz Romero")*(28/1083),IF(C3153="Técnico I",SUMIFS($D:$D,$A:$A,$A3153,$B:$B,"&lt;&gt;Patrícia Karla de Sousa Araújo",$B:$B,"&lt;&gt;Lorena Dias de Araujo",$B:$B,"&lt;&gt;Lucas Luiz Romero")*(23/1083),IF(C3153="JR",SUMIFS($D:$D,$A:$A,$A3153,$B:$B,"&lt;&gt;Patrícia Karla de Sousa Araújo",$B:$B,"&lt;&gt;Lorena Dias de Araujo",$B:$B,"&lt;&gt;Lucas Luiz Romero")*(20/1083),IF(C3153="Estágio",SUMIFS($D:$D,$A:$A,$A3153,$B:$B,"&lt;&gt;Patrícia Karla de Sousa Araújo",$B:$B,"&lt;&gt;Lorena Dias de Araujo",$B:$B,"&lt;&gt;Lucas Luiz Romero")*(10/1083),0)))))),0)</f>
        <v>22</v>
      </c>
      <c r="K3153" s="3">
        <f>I3153-J3153</f>
        <v>-14</v>
      </c>
      <c r="L3153" s="3" t="str">
        <f>IF(K3153&lt;-5,"CRÍTICO",IF(K3153&lt;0,"ATENÇÃO",IF(K3153&lt;=5,"OPORTUNO","MUITO BOM")))</f>
        <v>CRÍTICO</v>
      </c>
      <c r="M3153">
        <v>9</v>
      </c>
      <c r="N3153">
        <v>97.3</v>
      </c>
      <c r="O3153">
        <v>23.84769539078156</v>
      </c>
    </row>
    <row r="3154" spans="1:15" hidden="1" x14ac:dyDescent="0.25">
      <c r="A3154" s="11">
        <v>46100</v>
      </c>
      <c r="B3154" t="s">
        <v>15</v>
      </c>
      <c r="C3154" t="s">
        <v>16</v>
      </c>
      <c r="D3154">
        <v>15</v>
      </c>
      <c r="E3154">
        <v>15</v>
      </c>
      <c r="F3154">
        <v>25.19</v>
      </c>
      <c r="G3154">
        <v>0</v>
      </c>
      <c r="H3154">
        <v>0</v>
      </c>
      <c r="I3154" s="3">
        <f>E3154+G3154+H3154</f>
        <v>15</v>
      </c>
      <c r="J3154" s="3">
        <f>ROUND(MIN(IF(C3154="Técnico III",35,IF(C3154="Técnico II",28,IF(C3154="Técnico I",23,IF(C3154="JR",20,IF(C3154="Estágio",10,0))))),IF(C3154="Técnico III",SUMIFS($D:$D,$A:$A,$A3154,$B:$B,"&lt;&gt;Patrícia Karla de Sousa Araújo",$B:$B,"&lt;&gt;Lorena Dias de Araujo",$B:$B,"&lt;&gt;Lucas Luiz Romero")*(35/1083),IF(C3154="Técnico II",SUMIFS($D:$D,$A:$A,$A3154,$B:$B,"&lt;&gt;Patrícia Karla de Sousa Araújo",$B:$B,"&lt;&gt;Lorena Dias de Araujo",$B:$B,"&lt;&gt;Lucas Luiz Romero")*(28/1083),IF(C3154="Técnico I",SUMIFS($D:$D,$A:$A,$A3154,$B:$B,"&lt;&gt;Patrícia Karla de Sousa Araújo",$B:$B,"&lt;&gt;Lorena Dias de Araujo",$B:$B,"&lt;&gt;Lucas Luiz Romero")*(23/1083),IF(C3154="JR",SUMIFS($D:$D,$A:$A,$A3154,$B:$B,"&lt;&gt;Patrícia Karla de Sousa Araújo",$B:$B,"&lt;&gt;Lorena Dias de Araujo",$B:$B,"&lt;&gt;Lucas Luiz Romero")*(20/1083),IF(C3154="Estágio",SUMIFS($D:$D,$A:$A,$A3154,$B:$B,"&lt;&gt;Patrícia Karla de Sousa Araújo",$B:$B,"&lt;&gt;Lorena Dias de Araujo",$B:$B,"&lt;&gt;Lucas Luiz Romero")*(10/1083),0)))))),0)</f>
        <v>6</v>
      </c>
      <c r="K3154" s="3">
        <f>I3154-J3154</f>
        <v>9</v>
      </c>
      <c r="L3154" s="3" t="str">
        <f>IF(K3154&lt;-5,"CRÍTICO",IF(K3154&lt;0,"ATENÇÃO",IF(K3154&lt;=5,"OPORTUNO","MUITO BOM")))</f>
        <v>MUITO BOM</v>
      </c>
      <c r="M3154">
        <v>11</v>
      </c>
      <c r="N3154">
        <v>100</v>
      </c>
      <c r="O3154">
        <v>25.268817204301079</v>
      </c>
    </row>
    <row r="3155" spans="1:15" hidden="1" x14ac:dyDescent="0.25">
      <c r="A3155" s="11">
        <v>46100</v>
      </c>
      <c r="B3155" t="s">
        <v>49</v>
      </c>
      <c r="C3155" t="s">
        <v>48</v>
      </c>
      <c r="D3155">
        <v>27</v>
      </c>
      <c r="E3155">
        <v>22</v>
      </c>
      <c r="F3155">
        <v>15.16</v>
      </c>
      <c r="G3155">
        <v>0</v>
      </c>
      <c r="H3155">
        <v>0</v>
      </c>
      <c r="I3155" s="3">
        <f>E3155+G3155+H3155</f>
        <v>22</v>
      </c>
      <c r="J3155" s="3">
        <f>ROUND(MIN(IF(C3155="Técnico III",35,IF(C3155="Técnico II",28,IF(C3155="Técnico I",23,IF(C3155="JR",20,IF(C3155="Estágio",10,0))))),IF(C3155="Técnico III",SUMIFS($D:$D,$A:$A,$A3155,$B:$B,"&lt;&gt;Patrícia Karla de Sousa Araújo",$B:$B,"&lt;&gt;Lorena Dias de Araujo",$B:$B,"&lt;&gt;Lucas Luiz Romero")*(35/1083),IF(C3155="Técnico II",SUMIFS($D:$D,$A:$A,$A3155,$B:$B,"&lt;&gt;Patrícia Karla de Sousa Araújo",$B:$B,"&lt;&gt;Lorena Dias de Araujo",$B:$B,"&lt;&gt;Lucas Luiz Romero")*(28/1083),IF(C3155="Técnico I",SUMIFS($D:$D,$A:$A,$A3155,$B:$B,"&lt;&gt;Patrícia Karla de Sousa Araújo",$B:$B,"&lt;&gt;Lorena Dias de Araujo",$B:$B,"&lt;&gt;Lucas Luiz Romero")*(23/1083),IF(C3155="JR",SUMIFS($D:$D,$A:$A,$A3155,$B:$B,"&lt;&gt;Patrícia Karla de Sousa Araújo",$B:$B,"&lt;&gt;Lorena Dias de Araujo",$B:$B,"&lt;&gt;Lucas Luiz Romero")*(20/1083),IF(C3155="Estágio",SUMIFS($D:$D,$A:$A,$A3155,$B:$B,"&lt;&gt;Patrícia Karla de Sousa Araújo",$B:$B,"&lt;&gt;Lorena Dias de Araujo",$B:$B,"&lt;&gt;Lucas Luiz Romero")*(10/1083),0)))))),0)</f>
        <v>18</v>
      </c>
      <c r="K3155" s="3">
        <f>I3155-J3155</f>
        <v>4</v>
      </c>
      <c r="L3155" s="3" t="str">
        <f>IF(K3155&lt;-5,"CRÍTICO",IF(K3155&lt;0,"ATENÇÃO",IF(K3155&lt;=5,"OPORTUNO","MUITO BOM")))</f>
        <v>OPORTUNO</v>
      </c>
      <c r="M3155">
        <v>22</v>
      </c>
      <c r="N3155">
        <v>99.32</v>
      </c>
      <c r="O3155">
        <v>22.822822822822818</v>
      </c>
    </row>
    <row r="3156" spans="1:15" hidden="1" x14ac:dyDescent="0.25">
      <c r="A3156" s="11">
        <v>46100</v>
      </c>
      <c r="B3156" t="s">
        <v>50</v>
      </c>
      <c r="C3156" t="s">
        <v>48</v>
      </c>
      <c r="D3156">
        <v>27</v>
      </c>
      <c r="E3156">
        <v>24</v>
      </c>
      <c r="F3156">
        <v>25.5</v>
      </c>
      <c r="G3156">
        <v>0</v>
      </c>
      <c r="H3156">
        <v>0</v>
      </c>
      <c r="I3156" s="3">
        <f>E3156+G3156+H3156</f>
        <v>24</v>
      </c>
      <c r="J3156" s="3">
        <f>ROUND(MIN(IF(C3156="Técnico III",35,IF(C3156="Técnico II",28,IF(C3156="Técnico I",23,IF(C3156="JR",20,IF(C3156="Estágio",10,0))))),IF(C3156="Técnico III",SUMIFS($D:$D,$A:$A,$A3156,$B:$B,"&lt;&gt;Patrícia Karla de Sousa Araújo",$B:$B,"&lt;&gt;Lorena Dias de Araujo",$B:$B,"&lt;&gt;Lucas Luiz Romero")*(35/1083),IF(C3156="Técnico II",SUMIFS($D:$D,$A:$A,$A3156,$B:$B,"&lt;&gt;Patrícia Karla de Sousa Araújo",$B:$B,"&lt;&gt;Lorena Dias de Araujo",$B:$B,"&lt;&gt;Lucas Luiz Romero")*(28/1083),IF(C3156="Técnico I",SUMIFS($D:$D,$A:$A,$A3156,$B:$B,"&lt;&gt;Patrícia Karla de Sousa Araújo",$B:$B,"&lt;&gt;Lorena Dias de Araujo",$B:$B,"&lt;&gt;Lucas Luiz Romero")*(23/1083),IF(C3156="JR",SUMIFS($D:$D,$A:$A,$A3156,$B:$B,"&lt;&gt;Patrícia Karla de Sousa Araújo",$B:$B,"&lt;&gt;Lorena Dias de Araujo",$B:$B,"&lt;&gt;Lucas Luiz Romero")*(20/1083),IF(C3156="Estágio",SUMIFS($D:$D,$A:$A,$A3156,$B:$B,"&lt;&gt;Patrícia Karla de Sousa Araújo",$B:$B,"&lt;&gt;Lorena Dias de Araujo",$B:$B,"&lt;&gt;Lucas Luiz Romero")*(10/1083),0)))))),0)</f>
        <v>18</v>
      </c>
      <c r="K3156" s="3">
        <f>I3156-J3156</f>
        <v>6</v>
      </c>
      <c r="L3156" s="3" t="str">
        <f>IF(K3156&lt;-5,"CRÍTICO",IF(K3156&lt;0,"ATENÇÃO",IF(K3156&lt;=5,"OPORTUNO","MUITO BOM")))</f>
        <v>MUITO BOM</v>
      </c>
      <c r="M3156">
        <v>24</v>
      </c>
      <c r="N3156">
        <v>100</v>
      </c>
      <c r="O3156">
        <v>27.966101694915249</v>
      </c>
    </row>
    <row r="3157" spans="1:15" hidden="1" x14ac:dyDescent="0.25">
      <c r="A3157" s="11">
        <v>46100</v>
      </c>
      <c r="B3157" t="s">
        <v>17</v>
      </c>
      <c r="C3157" t="s">
        <v>16</v>
      </c>
      <c r="D3157">
        <v>0</v>
      </c>
      <c r="E3157">
        <v>0</v>
      </c>
      <c r="F3157">
        <v>0</v>
      </c>
      <c r="G3157">
        <v>0</v>
      </c>
      <c r="H3157">
        <v>0</v>
      </c>
      <c r="I3157" s="3">
        <v>0</v>
      </c>
      <c r="J3157" s="3">
        <v>0</v>
      </c>
      <c r="K3157" s="3">
        <v>0</v>
      </c>
      <c r="L3157" s="3" t="str">
        <f>IF(K3157&lt;-5,"CRÍTICO",IF(K3157&lt;0,"ATENÇÃO",IF(K3157&lt;=5,"OPORTUNO","MUITO BOM")))</f>
        <v>OPORTUNO</v>
      </c>
      <c r="M3157">
        <v>0</v>
      </c>
      <c r="N3157">
        <v>100</v>
      </c>
      <c r="O3157">
        <v>30.434782608695659</v>
      </c>
    </row>
    <row r="3158" spans="1:15" hidden="1" x14ac:dyDescent="0.25">
      <c r="A3158" s="11">
        <v>46100</v>
      </c>
      <c r="B3158" t="s">
        <v>60</v>
      </c>
      <c r="C3158" t="s">
        <v>23</v>
      </c>
      <c r="D3158">
        <v>32</v>
      </c>
      <c r="E3158">
        <v>28</v>
      </c>
      <c r="F3158">
        <v>20.14</v>
      </c>
      <c r="G3158">
        <v>0</v>
      </c>
      <c r="H3158">
        <v>0</v>
      </c>
      <c r="I3158" s="3">
        <f>E3158+G3158+H3158</f>
        <v>28</v>
      </c>
      <c r="J3158" s="3">
        <f>ROUND(MIN(IF(C3158="Técnico III",35,IF(C3158="Técnico II",28,IF(C3158="Técnico I",23,IF(C3158="JR",20,IF(C3158="Estágio",10,0))))),IF(C3158="Técnico III",SUMIFS($D:$D,$A:$A,$A3158,$B:$B,"&lt;&gt;Patrícia Karla de Sousa Araújo",$B:$B,"&lt;&gt;Lorena Dias de Araujo",$B:$B,"&lt;&gt;Lucas Luiz Romero")*(35/1083),IF(C3158="Técnico II",SUMIFS($D:$D,$A:$A,$A3158,$B:$B,"&lt;&gt;Patrícia Karla de Sousa Araújo",$B:$B,"&lt;&gt;Lorena Dias de Araujo",$B:$B,"&lt;&gt;Lucas Luiz Romero")*(28/1083),IF(C3158="Técnico I",SUMIFS($D:$D,$A:$A,$A3158,$B:$B,"&lt;&gt;Patrícia Karla de Sousa Araújo",$B:$B,"&lt;&gt;Lorena Dias de Araujo",$B:$B,"&lt;&gt;Lucas Luiz Romero")*(23/1083),IF(C3158="JR",SUMIFS($D:$D,$A:$A,$A3158,$B:$B,"&lt;&gt;Patrícia Karla de Sousa Araújo",$B:$B,"&lt;&gt;Lorena Dias de Araujo",$B:$B,"&lt;&gt;Lucas Luiz Romero")*(20/1083),IF(C3158="Estágio",SUMIFS($D:$D,$A:$A,$A3158,$B:$B,"&lt;&gt;Patrícia Karla de Sousa Araújo",$B:$B,"&lt;&gt;Lorena Dias de Araujo",$B:$B,"&lt;&gt;Lucas Luiz Romero")*(10/1083),0)))))),0)</f>
        <v>14</v>
      </c>
      <c r="K3158" s="3">
        <f>I3158-J3158</f>
        <v>14</v>
      </c>
      <c r="L3158" s="3" t="str">
        <f>IF(K3158&lt;-5,"CRÍTICO",IF(K3158&lt;0,"ATENÇÃO",IF(K3158&lt;=5,"OPORTUNO","MUITO BOM")))</f>
        <v>MUITO BOM</v>
      </c>
      <c r="M3158">
        <v>26</v>
      </c>
      <c r="N3158">
        <v>96.51</v>
      </c>
      <c r="O3158">
        <v>22.802850356294542</v>
      </c>
    </row>
    <row r="3159" spans="1:15" hidden="1" x14ac:dyDescent="0.25">
      <c r="A3159" s="11">
        <v>46100</v>
      </c>
      <c r="B3159" t="s">
        <v>34</v>
      </c>
      <c r="C3159" t="s">
        <v>32</v>
      </c>
      <c r="D3159">
        <v>0</v>
      </c>
      <c r="E3159">
        <v>0</v>
      </c>
      <c r="F3159">
        <v>0</v>
      </c>
      <c r="G3159">
        <v>0</v>
      </c>
      <c r="H3159">
        <v>0</v>
      </c>
      <c r="I3159" s="3">
        <v>0</v>
      </c>
      <c r="J3159" s="3">
        <v>0</v>
      </c>
      <c r="K3159" s="3">
        <v>0</v>
      </c>
      <c r="L3159" s="3" t="str">
        <f>IF(K3159&lt;-5,"CRÍTICO",IF(K3159&lt;0,"ATENÇÃO",IF(K3159&lt;=5,"OPORTUNO","MUITO BOM")))</f>
        <v>OPORTUNO</v>
      </c>
      <c r="M3159">
        <v>10</v>
      </c>
      <c r="N3159">
        <v>92.68</v>
      </c>
      <c r="O3159">
        <v>27.777777777777779</v>
      </c>
    </row>
    <row r="3160" spans="1:15" hidden="1" x14ac:dyDescent="0.25">
      <c r="A3160" s="11">
        <v>46100</v>
      </c>
      <c r="B3160" t="s">
        <v>51</v>
      </c>
      <c r="C3160" t="s">
        <v>48</v>
      </c>
      <c r="D3160">
        <v>20</v>
      </c>
      <c r="E3160">
        <v>19</v>
      </c>
      <c r="F3160">
        <v>21.43</v>
      </c>
      <c r="G3160">
        <v>0</v>
      </c>
      <c r="H3160">
        <v>0</v>
      </c>
      <c r="I3160" s="3">
        <v>0</v>
      </c>
      <c r="J3160" s="3">
        <v>0</v>
      </c>
      <c r="K3160" s="3">
        <v>0</v>
      </c>
      <c r="L3160" s="3" t="str">
        <f>IF(K3160&lt;-5,"CRÍTICO",IF(K3160&lt;0,"ATENÇÃO",IF(K3160&lt;=5,"OPORTUNO","MUITO BOM")))</f>
        <v>OPORTUNO</v>
      </c>
      <c r="M3160">
        <v>17</v>
      </c>
      <c r="N3160">
        <v>99.03</v>
      </c>
      <c r="O3160">
        <v>23.991507430997881</v>
      </c>
    </row>
    <row r="3161" spans="1:15" hidden="1" x14ac:dyDescent="0.25">
      <c r="A3161" s="11">
        <v>46100</v>
      </c>
      <c r="B3161" t="s">
        <v>61</v>
      </c>
      <c r="C3161" t="s">
        <v>23</v>
      </c>
      <c r="D3161">
        <v>21</v>
      </c>
      <c r="E3161">
        <v>21</v>
      </c>
      <c r="F3161">
        <v>27.08</v>
      </c>
      <c r="G3161">
        <v>0</v>
      </c>
      <c r="H3161">
        <v>0</v>
      </c>
      <c r="I3161" s="3">
        <f>E3161+G3161+H3161</f>
        <v>21</v>
      </c>
      <c r="J3161" s="3">
        <f>ROUND(MIN(IF(C3161="Técnico III",35,IF(C3161="Técnico II",28,IF(C3161="Técnico I",23,IF(C3161="JR",20,IF(C3161="Estágio",10,0))))),IF(C3161="Técnico III",SUMIFS($D:$D,$A:$A,$A3161,$B:$B,"&lt;&gt;Patrícia Karla de Sousa Araújo",$B:$B,"&lt;&gt;Lorena Dias de Araujo",$B:$B,"&lt;&gt;Lucas Luiz Romero")*(35/1083),IF(C3161="Técnico II",SUMIFS($D:$D,$A:$A,$A3161,$B:$B,"&lt;&gt;Patrícia Karla de Sousa Araújo",$B:$B,"&lt;&gt;Lorena Dias de Araujo",$B:$B,"&lt;&gt;Lucas Luiz Romero")*(28/1083),IF(C3161="Técnico I",SUMIFS($D:$D,$A:$A,$A3161,$B:$B,"&lt;&gt;Patrícia Karla de Sousa Araújo",$B:$B,"&lt;&gt;Lorena Dias de Araujo",$B:$B,"&lt;&gt;Lucas Luiz Romero")*(23/1083),IF(C3161="JR",SUMIFS($D:$D,$A:$A,$A3161,$B:$B,"&lt;&gt;Patrícia Karla de Sousa Araújo",$B:$B,"&lt;&gt;Lorena Dias de Araujo",$B:$B,"&lt;&gt;Lucas Luiz Romero")*(20/1083),IF(C3161="Estágio",SUMIFS($D:$D,$A:$A,$A3161,$B:$B,"&lt;&gt;Patrícia Karla de Sousa Araújo",$B:$B,"&lt;&gt;Lorena Dias de Araujo",$B:$B,"&lt;&gt;Lucas Luiz Romero")*(10/1083),0)))))),0)</f>
        <v>14</v>
      </c>
      <c r="K3161" s="3">
        <f>I3161-J3161</f>
        <v>7</v>
      </c>
      <c r="L3161" s="3" t="str">
        <f>IF(K3161&lt;-5,"CRÍTICO",IF(K3161&lt;0,"ATENÇÃO",IF(K3161&lt;=5,"OPORTUNO","MUITO BOM")))</f>
        <v>MUITO BOM</v>
      </c>
      <c r="M3161">
        <v>9</v>
      </c>
      <c r="N3161">
        <v>98.41</v>
      </c>
      <c r="O3161">
        <v>28.138528138528141</v>
      </c>
    </row>
    <row r="3162" spans="1:15" hidden="1" x14ac:dyDescent="0.25">
      <c r="A3162" s="11">
        <v>46100</v>
      </c>
      <c r="B3162" t="s">
        <v>35</v>
      </c>
      <c r="C3162" t="s">
        <v>32</v>
      </c>
      <c r="D3162">
        <v>22</v>
      </c>
      <c r="E3162">
        <v>21</v>
      </c>
      <c r="F3162">
        <v>30.31</v>
      </c>
      <c r="G3162">
        <v>0</v>
      </c>
      <c r="H3162">
        <v>0</v>
      </c>
      <c r="I3162" s="3">
        <v>0</v>
      </c>
      <c r="J3162" s="3">
        <v>0</v>
      </c>
      <c r="K3162" s="3">
        <v>0</v>
      </c>
      <c r="L3162" s="3" t="str">
        <f>IF(K3162&lt;-5,"CRÍTICO",IF(K3162&lt;0,"ATENÇÃO",IF(K3162&lt;=5,"OPORTUNO","MUITO BOM")))</f>
        <v>OPORTUNO</v>
      </c>
      <c r="M3162">
        <v>22</v>
      </c>
      <c r="N3162">
        <v>98.73</v>
      </c>
      <c r="O3162">
        <v>29.142857142857139</v>
      </c>
    </row>
    <row r="3163" spans="1:15" hidden="1" x14ac:dyDescent="0.25">
      <c r="A3163" s="11">
        <v>46100</v>
      </c>
      <c r="B3163" t="s">
        <v>18</v>
      </c>
      <c r="C3163" t="s">
        <v>16</v>
      </c>
      <c r="D3163">
        <v>8</v>
      </c>
      <c r="E3163">
        <v>8</v>
      </c>
      <c r="F3163">
        <v>46.58</v>
      </c>
      <c r="G3163">
        <v>0</v>
      </c>
      <c r="H3163">
        <v>0</v>
      </c>
      <c r="I3163" s="3">
        <f>E3163+G3163+H3163</f>
        <v>8</v>
      </c>
      <c r="J3163" s="3">
        <f>ROUND(MIN(IF(C3163="Técnico III",35,IF(C3163="Técnico II",28,IF(C3163="Técnico I",23,IF(C3163="JR",20,IF(C3163="Estágio",10,0))))),IF(C3163="Técnico III",SUMIFS($D:$D,$A:$A,$A3163,$B:$B,"&lt;&gt;Patrícia Karla de Sousa Araújo",$B:$B,"&lt;&gt;Lorena Dias de Araujo",$B:$B,"&lt;&gt;Lucas Luiz Romero")*(35/1083),IF(C3163="Técnico II",SUMIFS($D:$D,$A:$A,$A3163,$B:$B,"&lt;&gt;Patrícia Karla de Sousa Araújo",$B:$B,"&lt;&gt;Lorena Dias de Araujo",$B:$B,"&lt;&gt;Lucas Luiz Romero")*(28/1083),IF(C3163="Técnico I",SUMIFS($D:$D,$A:$A,$A3163,$B:$B,"&lt;&gt;Patrícia Karla de Sousa Araújo",$B:$B,"&lt;&gt;Lorena Dias de Araujo",$B:$B,"&lt;&gt;Lucas Luiz Romero")*(23/1083),IF(C3163="JR",SUMIFS($D:$D,$A:$A,$A3163,$B:$B,"&lt;&gt;Patrícia Karla de Sousa Araújo",$B:$B,"&lt;&gt;Lorena Dias de Araujo",$B:$B,"&lt;&gt;Lucas Luiz Romero")*(20/1083),IF(C3163="Estágio",SUMIFS($D:$D,$A:$A,$A3163,$B:$B,"&lt;&gt;Patrícia Karla de Sousa Araújo",$B:$B,"&lt;&gt;Lorena Dias de Araujo",$B:$B,"&lt;&gt;Lucas Luiz Romero")*(10/1083),0)))))),0)</f>
        <v>6</v>
      </c>
      <c r="K3163" s="3">
        <f>I3163-J3163</f>
        <v>2</v>
      </c>
      <c r="L3163" s="3" t="str">
        <f>IF(K3163&lt;-5,"CRÍTICO",IF(K3163&lt;0,"ATENÇÃO",IF(K3163&lt;=5,"OPORTUNO","MUITO BOM")))</f>
        <v>OPORTUNO</v>
      </c>
      <c r="M3163">
        <v>6</v>
      </c>
      <c r="N3163">
        <v>90.48</v>
      </c>
      <c r="O3163">
        <v>20.68965517241379</v>
      </c>
    </row>
    <row r="3164" spans="1:15" hidden="1" x14ac:dyDescent="0.25">
      <c r="A3164" s="11">
        <v>46100</v>
      </c>
      <c r="B3164" t="s">
        <v>52</v>
      </c>
      <c r="C3164" t="s">
        <v>48</v>
      </c>
      <c r="D3164">
        <v>21</v>
      </c>
      <c r="E3164">
        <v>19</v>
      </c>
      <c r="F3164">
        <v>15.13</v>
      </c>
      <c r="G3164">
        <v>0</v>
      </c>
      <c r="H3164">
        <v>0</v>
      </c>
      <c r="I3164" s="3">
        <f>E3164+G3164+H3164</f>
        <v>19</v>
      </c>
      <c r="J3164" s="3">
        <f>ROUND(MIN(IF(C3164="Técnico III",35,IF(C3164="Técnico II",28,IF(C3164="Técnico I",23,IF(C3164="JR",20,IF(C3164="Estágio",10,0))))),IF(C3164="Técnico III",SUMIFS($D:$D,$A:$A,$A3164,$B:$B,"&lt;&gt;Patrícia Karla de Sousa Araújo",$B:$B,"&lt;&gt;Lorena Dias de Araujo",$B:$B,"&lt;&gt;Lucas Luiz Romero")*(35/1083),IF(C3164="Técnico II",SUMIFS($D:$D,$A:$A,$A3164,$B:$B,"&lt;&gt;Patrícia Karla de Sousa Araújo",$B:$B,"&lt;&gt;Lorena Dias de Araujo",$B:$B,"&lt;&gt;Lucas Luiz Romero")*(28/1083),IF(C3164="Técnico I",SUMIFS($D:$D,$A:$A,$A3164,$B:$B,"&lt;&gt;Patrícia Karla de Sousa Araújo",$B:$B,"&lt;&gt;Lorena Dias de Araujo",$B:$B,"&lt;&gt;Lucas Luiz Romero")*(23/1083),IF(C3164="JR",SUMIFS($D:$D,$A:$A,$A3164,$B:$B,"&lt;&gt;Patrícia Karla de Sousa Araújo",$B:$B,"&lt;&gt;Lorena Dias de Araujo",$B:$B,"&lt;&gt;Lucas Luiz Romero")*(20/1083),IF(C3164="Estágio",SUMIFS($D:$D,$A:$A,$A3164,$B:$B,"&lt;&gt;Patrícia Karla de Sousa Araújo",$B:$B,"&lt;&gt;Lorena Dias de Araujo",$B:$B,"&lt;&gt;Lucas Luiz Romero")*(10/1083),0)))))),0)</f>
        <v>18</v>
      </c>
      <c r="K3164" s="3">
        <f>I3164-J3164</f>
        <v>1</v>
      </c>
      <c r="L3164" s="3" t="str">
        <f>IF(K3164&lt;-5,"CRÍTICO",IF(K3164&lt;0,"ATENÇÃO",IF(K3164&lt;=5,"OPORTUNO","MUITO BOM")))</f>
        <v>OPORTUNO</v>
      </c>
      <c r="M3164">
        <v>16</v>
      </c>
      <c r="N3164">
        <v>98.06</v>
      </c>
      <c r="O3164">
        <v>24.789915966386559</v>
      </c>
    </row>
    <row r="3165" spans="1:15" hidden="1" x14ac:dyDescent="0.25">
      <c r="A3165" s="11">
        <v>46100</v>
      </c>
      <c r="B3165" t="s">
        <v>36</v>
      </c>
      <c r="C3165" t="s">
        <v>32</v>
      </c>
      <c r="D3165">
        <v>29</v>
      </c>
      <c r="E3165">
        <v>27</v>
      </c>
      <c r="F3165">
        <v>17.38</v>
      </c>
      <c r="G3165">
        <v>0</v>
      </c>
      <c r="H3165">
        <v>0</v>
      </c>
      <c r="I3165" s="3">
        <f>E3165+G3165+H3165</f>
        <v>27</v>
      </c>
      <c r="J3165" s="3">
        <f>ROUND(MIN(IF(C3165="Técnico III",35,IF(C3165="Técnico II",28,IF(C3165="Técnico I",23,IF(C3165="JR",20,IF(C3165="Estágio",10,0))))),IF(C3165="Técnico III",SUMIFS($D:$D,$A:$A,$A3165,$B:$B,"&lt;&gt;Patrícia Karla de Sousa Araújo",$B:$B,"&lt;&gt;Lorena Dias de Araujo",$B:$B,"&lt;&gt;Lucas Luiz Romero")*(35/1083),IF(C3165="Técnico II",SUMIFS($D:$D,$A:$A,$A3165,$B:$B,"&lt;&gt;Patrícia Karla de Sousa Araújo",$B:$B,"&lt;&gt;Lorena Dias de Araujo",$B:$B,"&lt;&gt;Lucas Luiz Romero")*(28/1083),IF(C3165="Técnico I",SUMIFS($D:$D,$A:$A,$A3165,$B:$B,"&lt;&gt;Patrícia Karla de Sousa Araújo",$B:$B,"&lt;&gt;Lorena Dias de Araujo",$B:$B,"&lt;&gt;Lucas Luiz Romero")*(23/1083),IF(C3165="JR",SUMIFS($D:$D,$A:$A,$A3165,$B:$B,"&lt;&gt;Patrícia Karla de Sousa Araújo",$B:$B,"&lt;&gt;Lorena Dias de Araujo",$B:$B,"&lt;&gt;Lucas Luiz Romero")*(20/1083),IF(C3165="Estágio",SUMIFS($D:$D,$A:$A,$A3165,$B:$B,"&lt;&gt;Patrícia Karla de Sousa Araújo",$B:$B,"&lt;&gt;Lorena Dias de Araujo",$B:$B,"&lt;&gt;Lucas Luiz Romero")*(10/1083),0)))))),0)</f>
        <v>22</v>
      </c>
      <c r="K3165" s="3">
        <f>I3165-J3165</f>
        <v>5</v>
      </c>
      <c r="L3165" s="3" t="str">
        <f>IF(K3165&lt;-5,"CRÍTICO",IF(K3165&lt;0,"ATENÇÃO",IF(K3165&lt;=5,"OPORTUNO","MUITO BOM")))</f>
        <v>OPORTUNO</v>
      </c>
      <c r="M3165">
        <v>23</v>
      </c>
      <c r="N3165">
        <v>97.78</v>
      </c>
      <c r="O3165">
        <v>25.494071146245059</v>
      </c>
    </row>
    <row r="3166" spans="1:15" hidden="1" x14ac:dyDescent="0.25">
      <c r="A3166" s="11">
        <v>46100</v>
      </c>
      <c r="B3166" t="s">
        <v>53</v>
      </c>
      <c r="C3166" t="s">
        <v>48</v>
      </c>
      <c r="D3166">
        <v>17</v>
      </c>
      <c r="E3166">
        <v>15</v>
      </c>
      <c r="F3166">
        <v>22</v>
      </c>
      <c r="G3166">
        <v>0</v>
      </c>
      <c r="H3166">
        <v>0</v>
      </c>
      <c r="I3166" s="3">
        <f>E3166+G3166+H3166</f>
        <v>15</v>
      </c>
      <c r="J3166" s="3">
        <f>ROUND(MIN(IF(C3166="Técnico III",35,IF(C3166="Técnico II",28,IF(C3166="Técnico I",23,IF(C3166="JR",20,IF(C3166="Estágio",10,0))))),IF(C3166="Técnico III",SUMIFS($D:$D,$A:$A,$A3166,$B:$B,"&lt;&gt;Patrícia Karla de Sousa Araújo",$B:$B,"&lt;&gt;Lorena Dias de Araujo",$B:$B,"&lt;&gt;Lucas Luiz Romero")*(35/1083),IF(C3166="Técnico II",SUMIFS($D:$D,$A:$A,$A3166,$B:$B,"&lt;&gt;Patrícia Karla de Sousa Araújo",$B:$B,"&lt;&gt;Lorena Dias de Araujo",$B:$B,"&lt;&gt;Lucas Luiz Romero")*(28/1083),IF(C3166="Técnico I",SUMIFS($D:$D,$A:$A,$A3166,$B:$B,"&lt;&gt;Patrícia Karla de Sousa Araújo",$B:$B,"&lt;&gt;Lorena Dias de Araujo",$B:$B,"&lt;&gt;Lucas Luiz Romero")*(23/1083),IF(C3166="JR",SUMIFS($D:$D,$A:$A,$A3166,$B:$B,"&lt;&gt;Patrícia Karla de Sousa Araújo",$B:$B,"&lt;&gt;Lorena Dias de Araujo",$B:$B,"&lt;&gt;Lucas Luiz Romero")*(20/1083),IF(C3166="Estágio",SUMIFS($D:$D,$A:$A,$A3166,$B:$B,"&lt;&gt;Patrícia Karla de Sousa Araújo",$B:$B,"&lt;&gt;Lorena Dias de Araujo",$B:$B,"&lt;&gt;Lucas Luiz Romero")*(10/1083),0)))))),0)</f>
        <v>18</v>
      </c>
      <c r="K3166" s="3">
        <f>I3166-J3166</f>
        <v>-3</v>
      </c>
      <c r="L3166" s="3" t="str">
        <f>IF(K3166&lt;-5,"CRÍTICO",IF(K3166&lt;0,"ATENÇÃO",IF(K3166&lt;=5,"OPORTUNO","MUITO BOM")))</f>
        <v>ATENÇÃO</v>
      </c>
      <c r="M3166">
        <v>10</v>
      </c>
      <c r="N3166">
        <v>98.02</v>
      </c>
      <c r="O3166">
        <v>23.484848484848481</v>
      </c>
    </row>
    <row r="3167" spans="1:15" hidden="1" x14ac:dyDescent="0.25">
      <c r="A3167" s="11">
        <v>46135</v>
      </c>
      <c r="B3167" t="s">
        <v>22</v>
      </c>
      <c r="C3167" t="s">
        <v>23</v>
      </c>
      <c r="D3167">
        <v>23</v>
      </c>
      <c r="E3167">
        <v>21</v>
      </c>
      <c r="F3167">
        <v>17.05</v>
      </c>
      <c r="G3167">
        <v>0</v>
      </c>
      <c r="H3167">
        <v>0</v>
      </c>
      <c r="I3167" s="3">
        <f>E3167+G3167+H3167</f>
        <v>21</v>
      </c>
      <c r="J3167" s="3">
        <f>ROUND(MIN(IF(C3167="Técnico III",35,IF(C3167="Técnico II",28,IF(C3167="Técnico I",23,IF(C3167="JR",20,IF(C3167="Estágio",10,0))))),IF(C3167="Técnico III",SUMIFS($D:$D,$A:$A,$A3167,$B:$B,"&lt;&gt;Patrícia Karla de Sousa Araújo",$B:$B,"&lt;&gt;Lorena Dias de Araujo",$B:$B,"&lt;&gt;Lucas Luiz Romero")*(35/1083),IF(C3167="Técnico II",SUMIFS($D:$D,$A:$A,$A3167,$B:$B,"&lt;&gt;Patrícia Karla de Sousa Araújo",$B:$B,"&lt;&gt;Lorena Dias de Araujo",$B:$B,"&lt;&gt;Lucas Luiz Romero")*(28/1083),IF(C3167="Técnico I",SUMIFS($D:$D,$A:$A,$A3167,$B:$B,"&lt;&gt;Patrícia Karla de Sousa Araújo",$B:$B,"&lt;&gt;Lorena Dias de Araujo",$B:$B,"&lt;&gt;Lucas Luiz Romero")*(23/1083),IF(C3167="JR",SUMIFS($D:$D,$A:$A,$A3167,$B:$B,"&lt;&gt;Patrícia Karla de Sousa Araújo",$B:$B,"&lt;&gt;Lorena Dias de Araujo",$B:$B,"&lt;&gt;Lucas Luiz Romero")*(20/1083),IF(C3167="Estágio",SUMIFS($D:$D,$A:$A,$A3167,$B:$B,"&lt;&gt;Patrícia Karla de Sousa Araújo",$B:$B,"&lt;&gt;Lorena Dias de Araujo",$B:$B,"&lt;&gt;Lucas Luiz Romero")*(10/1083),0)))))),0)</f>
        <v>16</v>
      </c>
      <c r="K3167" s="3">
        <f>I3167-J3167</f>
        <v>5</v>
      </c>
      <c r="L3167" s="3" t="str">
        <f>IF(K3167&lt;-5,"CRÍTICO",IF(K3167&lt;0,"ATENÇÃO",IF(K3167&lt;=5,"OPORTUNO","MUITO BOM")))</f>
        <v>OPORTUNO</v>
      </c>
      <c r="M3167">
        <v>18</v>
      </c>
      <c r="N3167">
        <v>99.28</v>
      </c>
      <c r="O3167">
        <v>27.689243027888441</v>
      </c>
    </row>
    <row r="3168" spans="1:15" hidden="1" x14ac:dyDescent="0.25">
      <c r="A3168" s="11">
        <v>46100</v>
      </c>
      <c r="B3168" t="s">
        <v>54</v>
      </c>
      <c r="C3168" t="s">
        <v>48</v>
      </c>
      <c r="D3168">
        <v>23</v>
      </c>
      <c r="E3168">
        <v>22</v>
      </c>
      <c r="F3168">
        <v>27.1</v>
      </c>
      <c r="G3168">
        <v>0</v>
      </c>
      <c r="H3168">
        <v>0</v>
      </c>
      <c r="I3168" s="3">
        <f>E3168+G3168+H3168</f>
        <v>22</v>
      </c>
      <c r="J3168" s="3">
        <f>ROUND(MIN(IF(C3168="Técnico III",35,IF(C3168="Técnico II",28,IF(C3168="Técnico I",23,IF(C3168="JR",20,IF(C3168="Estágio",10,0))))),IF(C3168="Técnico III",SUMIFS($D:$D,$A:$A,$A3168,$B:$B,"&lt;&gt;Patrícia Karla de Sousa Araújo",$B:$B,"&lt;&gt;Lorena Dias de Araujo",$B:$B,"&lt;&gt;Lucas Luiz Romero")*(35/1083),IF(C3168="Técnico II",SUMIFS($D:$D,$A:$A,$A3168,$B:$B,"&lt;&gt;Patrícia Karla de Sousa Araújo",$B:$B,"&lt;&gt;Lorena Dias de Araujo",$B:$B,"&lt;&gt;Lucas Luiz Romero")*(28/1083),IF(C3168="Técnico I",SUMIFS($D:$D,$A:$A,$A3168,$B:$B,"&lt;&gt;Patrícia Karla de Sousa Araújo",$B:$B,"&lt;&gt;Lorena Dias de Araujo",$B:$B,"&lt;&gt;Lucas Luiz Romero")*(23/1083),IF(C3168="JR",SUMIFS($D:$D,$A:$A,$A3168,$B:$B,"&lt;&gt;Patrícia Karla de Sousa Araújo",$B:$B,"&lt;&gt;Lorena Dias de Araujo",$B:$B,"&lt;&gt;Lucas Luiz Romero")*(20/1083),IF(C3168="Estágio",SUMIFS($D:$D,$A:$A,$A3168,$B:$B,"&lt;&gt;Patrícia Karla de Sousa Araújo",$B:$B,"&lt;&gt;Lorena Dias de Araujo",$B:$B,"&lt;&gt;Lucas Luiz Romero")*(10/1083),0)))))),0)</f>
        <v>18</v>
      </c>
      <c r="K3168" s="3">
        <f>I3168-J3168</f>
        <v>4</v>
      </c>
      <c r="L3168" s="3" t="str">
        <f>IF(K3168&lt;-5,"CRÍTICO",IF(K3168&lt;0,"ATENÇÃO",IF(K3168&lt;=5,"OPORTUNO","MUITO BOM")))</f>
        <v>OPORTUNO</v>
      </c>
      <c r="M3168">
        <v>18</v>
      </c>
      <c r="N3168">
        <v>100</v>
      </c>
      <c r="O3168">
        <v>27.04918032786885</v>
      </c>
    </row>
    <row r="3169" spans="1:15" hidden="1" x14ac:dyDescent="0.25">
      <c r="A3169" s="11">
        <v>46100</v>
      </c>
      <c r="B3169" t="s">
        <v>37</v>
      </c>
      <c r="C3169" t="s">
        <v>32</v>
      </c>
      <c r="D3169">
        <v>45</v>
      </c>
      <c r="E3169">
        <v>41</v>
      </c>
      <c r="F3169">
        <v>14</v>
      </c>
      <c r="G3169">
        <v>0</v>
      </c>
      <c r="H3169">
        <v>0</v>
      </c>
      <c r="I3169" s="3">
        <f>E3169+G3169+H3169</f>
        <v>41</v>
      </c>
      <c r="J3169" s="3">
        <f>ROUND(MIN(IF(C3169="Técnico III",35,IF(C3169="Técnico II",28,IF(C3169="Técnico I",23,IF(C3169="JR",20,IF(C3169="Estágio",10,0))))),IF(C3169="Técnico III",SUMIFS($D:$D,$A:$A,$A3169,$B:$B,"&lt;&gt;Patrícia Karla de Sousa Araújo",$B:$B,"&lt;&gt;Lorena Dias de Araujo",$B:$B,"&lt;&gt;Lucas Luiz Romero")*(35/1083),IF(C3169="Técnico II",SUMIFS($D:$D,$A:$A,$A3169,$B:$B,"&lt;&gt;Patrícia Karla de Sousa Araújo",$B:$B,"&lt;&gt;Lorena Dias de Araujo",$B:$B,"&lt;&gt;Lucas Luiz Romero")*(28/1083),IF(C3169="Técnico I",SUMIFS($D:$D,$A:$A,$A3169,$B:$B,"&lt;&gt;Patrícia Karla de Sousa Araújo",$B:$B,"&lt;&gt;Lorena Dias de Araujo",$B:$B,"&lt;&gt;Lucas Luiz Romero")*(23/1083),IF(C3169="JR",SUMIFS($D:$D,$A:$A,$A3169,$B:$B,"&lt;&gt;Patrícia Karla de Sousa Araújo",$B:$B,"&lt;&gt;Lorena Dias de Araujo",$B:$B,"&lt;&gt;Lucas Luiz Romero")*(20/1083),IF(C3169="Estágio",SUMIFS($D:$D,$A:$A,$A3169,$B:$B,"&lt;&gt;Patrícia Karla de Sousa Araújo",$B:$B,"&lt;&gt;Lorena Dias de Araujo",$B:$B,"&lt;&gt;Lucas Luiz Romero")*(10/1083),0)))))),0)</f>
        <v>22</v>
      </c>
      <c r="K3169" s="3">
        <f>I3169-J3169</f>
        <v>19</v>
      </c>
      <c r="L3169" s="3" t="str">
        <f>IF(K3169&lt;-5,"CRÍTICO",IF(K3169&lt;0,"ATENÇÃO",IF(K3169&lt;=5,"OPORTUNO","MUITO BOM")))</f>
        <v>MUITO BOM</v>
      </c>
      <c r="M3169">
        <v>33</v>
      </c>
      <c r="N3169">
        <v>97.83</v>
      </c>
      <c r="O3169">
        <v>26.315789473684209</v>
      </c>
    </row>
    <row r="3170" spans="1:15" hidden="1" x14ac:dyDescent="0.25">
      <c r="A3170" s="11">
        <v>46100</v>
      </c>
      <c r="B3170" t="s">
        <v>38</v>
      </c>
      <c r="C3170" t="s">
        <v>32</v>
      </c>
      <c r="D3170">
        <v>1</v>
      </c>
      <c r="E3170">
        <v>1</v>
      </c>
      <c r="F3170">
        <v>20.21</v>
      </c>
      <c r="G3170">
        <v>0</v>
      </c>
      <c r="H3170">
        <v>0</v>
      </c>
      <c r="I3170" s="3">
        <f>E3170+G3170+H3170</f>
        <v>1</v>
      </c>
      <c r="J3170" s="3">
        <f>ROUND(MIN(IF(C3170="Técnico III",35,IF(C3170="Técnico II",28,IF(C3170="Técnico I",23,IF(C3170="JR",20,IF(C3170="Estágio",10,0))))),IF(C3170="Técnico III",SUMIFS($D:$D,$A:$A,$A3170,$B:$B,"&lt;&gt;Patrícia Karla de Sousa Araújo",$B:$B,"&lt;&gt;Lorena Dias de Araujo",$B:$B,"&lt;&gt;Lucas Luiz Romero")*(35/1083),IF(C3170="Técnico II",SUMIFS($D:$D,$A:$A,$A3170,$B:$B,"&lt;&gt;Patrícia Karla de Sousa Araújo",$B:$B,"&lt;&gt;Lorena Dias de Araujo",$B:$B,"&lt;&gt;Lucas Luiz Romero")*(28/1083),IF(C3170="Técnico I",SUMIFS($D:$D,$A:$A,$A3170,$B:$B,"&lt;&gt;Patrícia Karla de Sousa Araújo",$B:$B,"&lt;&gt;Lorena Dias de Araujo",$B:$B,"&lt;&gt;Lucas Luiz Romero")*(23/1083),IF(C3170="JR",SUMIFS($D:$D,$A:$A,$A3170,$B:$B,"&lt;&gt;Patrícia Karla de Sousa Araújo",$B:$B,"&lt;&gt;Lorena Dias de Araujo",$B:$B,"&lt;&gt;Lucas Luiz Romero")*(20/1083),IF(C3170="Estágio",SUMIFS($D:$D,$A:$A,$A3170,$B:$B,"&lt;&gt;Patrícia Karla de Sousa Araújo",$B:$B,"&lt;&gt;Lorena Dias de Araujo",$B:$B,"&lt;&gt;Lucas Luiz Romero")*(10/1083),0)))))),0)</f>
        <v>22</v>
      </c>
      <c r="K3170" s="3">
        <f>I3170-J3170</f>
        <v>-21</v>
      </c>
      <c r="L3170" s="3" t="str">
        <f>IF(K3170&lt;-5,"CRÍTICO",IF(K3170&lt;0,"ATENÇÃO",IF(K3170&lt;=5,"OPORTUNO","MUITO BOM")))</f>
        <v>CRÍTICO</v>
      </c>
      <c r="M3170">
        <v>8</v>
      </c>
      <c r="N3170">
        <v>100</v>
      </c>
      <c r="O3170">
        <v>26.701570680628269</v>
      </c>
    </row>
    <row r="3171" spans="1:15" hidden="1" x14ac:dyDescent="0.25">
      <c r="A3171" s="11">
        <v>46100</v>
      </c>
      <c r="B3171" t="s">
        <v>55</v>
      </c>
      <c r="C3171" t="s">
        <v>48</v>
      </c>
      <c r="D3171">
        <v>2</v>
      </c>
      <c r="E3171">
        <v>2</v>
      </c>
      <c r="F3171">
        <v>20.13</v>
      </c>
      <c r="G3171">
        <v>0</v>
      </c>
      <c r="H3171">
        <v>0</v>
      </c>
      <c r="I3171" s="3">
        <f>E3171+G3171+H3171</f>
        <v>2</v>
      </c>
      <c r="J3171" s="3">
        <f>ROUND(MIN(IF(C3171="Técnico III",35,IF(C3171="Técnico II",28,IF(C3171="Técnico I",23,IF(C3171="JR",20,IF(C3171="Estágio",10,0))))),IF(C3171="Técnico III",SUMIFS($D:$D,$A:$A,$A3171,$B:$B,"&lt;&gt;Patrícia Karla de Sousa Araújo",$B:$B,"&lt;&gt;Lorena Dias de Araujo",$B:$B,"&lt;&gt;Lucas Luiz Romero")*(35/1083),IF(C3171="Técnico II",SUMIFS($D:$D,$A:$A,$A3171,$B:$B,"&lt;&gt;Patrícia Karla de Sousa Araújo",$B:$B,"&lt;&gt;Lorena Dias de Araujo",$B:$B,"&lt;&gt;Lucas Luiz Romero")*(28/1083),IF(C3171="Técnico I",SUMIFS($D:$D,$A:$A,$A3171,$B:$B,"&lt;&gt;Patrícia Karla de Sousa Araújo",$B:$B,"&lt;&gt;Lorena Dias de Araujo",$B:$B,"&lt;&gt;Lucas Luiz Romero")*(23/1083),IF(C3171="JR",SUMIFS($D:$D,$A:$A,$A3171,$B:$B,"&lt;&gt;Patrícia Karla de Sousa Araújo",$B:$B,"&lt;&gt;Lorena Dias de Araujo",$B:$B,"&lt;&gt;Lucas Luiz Romero")*(20/1083),IF(C3171="Estágio",SUMIFS($D:$D,$A:$A,$A3171,$B:$B,"&lt;&gt;Patrícia Karla de Sousa Araújo",$B:$B,"&lt;&gt;Lorena Dias de Araujo",$B:$B,"&lt;&gt;Lucas Luiz Romero")*(10/1083),0)))))),0)</f>
        <v>18</v>
      </c>
      <c r="K3171" s="3">
        <f>I3171-J3171</f>
        <v>-16</v>
      </c>
      <c r="L3171" s="3" t="str">
        <f>IF(K3171&lt;-5,"CRÍTICO",IF(K3171&lt;0,"ATENÇÃO",IF(K3171&lt;=5,"OPORTUNO","MUITO BOM")))</f>
        <v>CRÍTICO</v>
      </c>
      <c r="M3171">
        <v>1</v>
      </c>
      <c r="N3171">
        <v>97.47</v>
      </c>
      <c r="O3171">
        <v>22.887323943661968</v>
      </c>
    </row>
    <row r="3172" spans="1:15" hidden="1" x14ac:dyDescent="0.25">
      <c r="A3172" s="11">
        <v>46100</v>
      </c>
      <c r="B3172" t="s">
        <v>39</v>
      </c>
      <c r="C3172" t="s">
        <v>32</v>
      </c>
      <c r="D3172">
        <v>0</v>
      </c>
      <c r="E3172">
        <v>0</v>
      </c>
      <c r="F3172">
        <v>0</v>
      </c>
      <c r="G3172">
        <v>0</v>
      </c>
      <c r="H3172">
        <v>0</v>
      </c>
      <c r="I3172" s="3">
        <v>0</v>
      </c>
      <c r="J3172" s="3">
        <v>0</v>
      </c>
      <c r="K3172" s="3">
        <v>0</v>
      </c>
      <c r="L3172" s="3" t="str">
        <f>IF(K3172&lt;-5,"CRÍTICO",IF(K3172&lt;0,"ATENÇÃO",IF(K3172&lt;=5,"OPORTUNO","MUITO BOM")))</f>
        <v>OPORTUNO</v>
      </c>
      <c r="M3172">
        <v>0</v>
      </c>
      <c r="N3172">
        <v>0</v>
      </c>
      <c r="O3172">
        <v>0</v>
      </c>
    </row>
    <row r="3173" spans="1:15" hidden="1" x14ac:dyDescent="0.25">
      <c r="A3173" s="11">
        <v>46100</v>
      </c>
      <c r="B3173" t="s">
        <v>25</v>
      </c>
      <c r="C3173" t="s">
        <v>26</v>
      </c>
      <c r="D3173">
        <v>20</v>
      </c>
      <c r="E3173">
        <v>19</v>
      </c>
      <c r="F3173">
        <v>33.43</v>
      </c>
      <c r="G3173">
        <v>0</v>
      </c>
      <c r="H3173">
        <v>0</v>
      </c>
      <c r="I3173" s="3">
        <f>E3173+G3173+H3173</f>
        <v>19</v>
      </c>
      <c r="J3173" s="3">
        <f>ROUND(MIN(IF(C3173="Técnico III",35,IF(C3173="Técnico II",28,IF(C3173="Técnico I",23,IF(C3173="JR",20,IF(C3173="Estágio",10,0))))),IF(C3173="Técnico III",SUMIFS($D:$D,$A:$A,$A3173,$B:$B,"&lt;&gt;Patrícia Karla de Sousa Araújo",$B:$B,"&lt;&gt;Lorena Dias de Araujo",$B:$B,"&lt;&gt;Lucas Luiz Romero")*(35/1083),IF(C3173="Técnico II",SUMIFS($D:$D,$A:$A,$A3173,$B:$B,"&lt;&gt;Patrícia Karla de Sousa Araújo",$B:$B,"&lt;&gt;Lorena Dias de Araujo",$B:$B,"&lt;&gt;Lucas Luiz Romero")*(28/1083),IF(C3173="Técnico I",SUMIFS($D:$D,$A:$A,$A3173,$B:$B,"&lt;&gt;Patrícia Karla de Sousa Araújo",$B:$B,"&lt;&gt;Lorena Dias de Araujo",$B:$B,"&lt;&gt;Lucas Luiz Romero")*(23/1083),IF(C3173="JR",SUMIFS($D:$D,$A:$A,$A3173,$B:$B,"&lt;&gt;Patrícia Karla de Sousa Araújo",$B:$B,"&lt;&gt;Lorena Dias de Araujo",$B:$B,"&lt;&gt;Lucas Luiz Romero")*(20/1083),IF(C3173="Estágio",SUMIFS($D:$D,$A:$A,$A3173,$B:$B,"&lt;&gt;Patrícia Karla de Sousa Araújo",$B:$B,"&lt;&gt;Lorena Dias de Araujo",$B:$B,"&lt;&gt;Lucas Luiz Romero")*(10/1083),0)))))),0)</f>
        <v>13</v>
      </c>
      <c r="K3173" s="3">
        <f>I3173-J3173</f>
        <v>6</v>
      </c>
      <c r="L3173" s="3" t="str">
        <f>IF(K3173&lt;-5,"CRÍTICO",IF(K3173&lt;0,"ATENÇÃO",IF(K3173&lt;=5,"OPORTUNO","MUITO BOM")))</f>
        <v>MUITO BOM</v>
      </c>
      <c r="M3173">
        <v>18</v>
      </c>
      <c r="N3173">
        <v>98.31</v>
      </c>
      <c r="O3173">
        <v>24.920127795527151</v>
      </c>
    </row>
    <row r="3174" spans="1:15" hidden="1" x14ac:dyDescent="0.25">
      <c r="A3174" s="11">
        <v>46100</v>
      </c>
      <c r="B3174" t="s">
        <v>40</v>
      </c>
      <c r="C3174" t="s">
        <v>32</v>
      </c>
      <c r="D3174">
        <v>19</v>
      </c>
      <c r="E3174">
        <v>18</v>
      </c>
      <c r="F3174">
        <v>31.46</v>
      </c>
      <c r="G3174">
        <v>0</v>
      </c>
      <c r="H3174">
        <v>0</v>
      </c>
      <c r="I3174" s="3">
        <f>E3174+G3174+H3174</f>
        <v>18</v>
      </c>
      <c r="J3174" s="3">
        <f>ROUND(MIN(IF(C3174="Técnico III",35,IF(C3174="Técnico II",28,IF(C3174="Técnico I",23,IF(C3174="JR",20,IF(C3174="Estágio",10,0))))),IF(C3174="Técnico III",SUMIFS($D:$D,$A:$A,$A3174,$B:$B,"&lt;&gt;Patrícia Karla de Sousa Araújo",$B:$B,"&lt;&gt;Lorena Dias de Araujo",$B:$B,"&lt;&gt;Lucas Luiz Romero")*(35/1083),IF(C3174="Técnico II",SUMIFS($D:$D,$A:$A,$A3174,$B:$B,"&lt;&gt;Patrícia Karla de Sousa Araújo",$B:$B,"&lt;&gt;Lorena Dias de Araujo",$B:$B,"&lt;&gt;Lucas Luiz Romero")*(28/1083),IF(C3174="Técnico I",SUMIFS($D:$D,$A:$A,$A3174,$B:$B,"&lt;&gt;Patrícia Karla de Sousa Araújo",$B:$B,"&lt;&gt;Lorena Dias de Araujo",$B:$B,"&lt;&gt;Lucas Luiz Romero")*(23/1083),IF(C3174="JR",SUMIFS($D:$D,$A:$A,$A3174,$B:$B,"&lt;&gt;Patrícia Karla de Sousa Araújo",$B:$B,"&lt;&gt;Lorena Dias de Araujo",$B:$B,"&lt;&gt;Lucas Luiz Romero")*(20/1083),IF(C3174="Estágio",SUMIFS($D:$D,$A:$A,$A3174,$B:$B,"&lt;&gt;Patrícia Karla de Sousa Araújo",$B:$B,"&lt;&gt;Lorena Dias de Araujo",$B:$B,"&lt;&gt;Lucas Luiz Romero")*(10/1083),0)))))),0)</f>
        <v>22</v>
      </c>
      <c r="K3174" s="3">
        <f>I3174-J3174</f>
        <v>-4</v>
      </c>
      <c r="L3174" s="3" t="str">
        <f>IF(K3174&lt;-5,"CRÍTICO",IF(K3174&lt;0,"ATENÇÃO",IF(K3174&lt;=5,"OPORTUNO","MUITO BOM")))</f>
        <v>ATENÇÃO</v>
      </c>
      <c r="M3174">
        <v>18</v>
      </c>
      <c r="N3174">
        <v>96.81</v>
      </c>
      <c r="O3174">
        <v>32.365145228215773</v>
      </c>
    </row>
    <row r="3175" spans="1:15" hidden="1" x14ac:dyDescent="0.25">
      <c r="A3175" s="11">
        <v>46100</v>
      </c>
      <c r="B3175" t="s">
        <v>27</v>
      </c>
      <c r="C3175" t="s">
        <v>26</v>
      </c>
      <c r="D3175">
        <v>13</v>
      </c>
      <c r="E3175">
        <v>13</v>
      </c>
      <c r="F3175">
        <v>40.06</v>
      </c>
      <c r="G3175">
        <v>0</v>
      </c>
      <c r="H3175">
        <v>0</v>
      </c>
      <c r="I3175" s="3">
        <f>E3175+G3175+H3175</f>
        <v>13</v>
      </c>
      <c r="J3175" s="3">
        <f>ROUND(MIN(IF(C3175="Técnico III",35,IF(C3175="Técnico II",28,IF(C3175="Técnico I",23,IF(C3175="JR",20,IF(C3175="Estágio",10,0))))),IF(C3175="Técnico III",SUMIFS($D:$D,$A:$A,$A3175,$B:$B,"&lt;&gt;Patrícia Karla de Sousa Araújo",$B:$B,"&lt;&gt;Lorena Dias de Araujo",$B:$B,"&lt;&gt;Lucas Luiz Romero")*(35/1083),IF(C3175="Técnico II",SUMIFS($D:$D,$A:$A,$A3175,$B:$B,"&lt;&gt;Patrícia Karla de Sousa Araújo",$B:$B,"&lt;&gt;Lorena Dias de Araujo",$B:$B,"&lt;&gt;Lucas Luiz Romero")*(28/1083),IF(C3175="Técnico I",SUMIFS($D:$D,$A:$A,$A3175,$B:$B,"&lt;&gt;Patrícia Karla de Sousa Araújo",$B:$B,"&lt;&gt;Lorena Dias de Araujo",$B:$B,"&lt;&gt;Lucas Luiz Romero")*(23/1083),IF(C3175="JR",SUMIFS($D:$D,$A:$A,$A3175,$B:$B,"&lt;&gt;Patrícia Karla de Sousa Araújo",$B:$B,"&lt;&gt;Lorena Dias de Araujo",$B:$B,"&lt;&gt;Lucas Luiz Romero")*(20/1083),IF(C3175="Estágio",SUMIFS($D:$D,$A:$A,$A3175,$B:$B,"&lt;&gt;Patrícia Karla de Sousa Araújo",$B:$B,"&lt;&gt;Lorena Dias de Araujo",$B:$B,"&lt;&gt;Lucas Luiz Romero")*(10/1083),0)))))),0)</f>
        <v>13</v>
      </c>
      <c r="K3175" s="3">
        <f>I3175-J3175</f>
        <v>0</v>
      </c>
      <c r="L3175" s="3" t="str">
        <f>IF(K3175&lt;-5,"CRÍTICO",IF(K3175&lt;0,"ATENÇÃO",IF(K3175&lt;=5,"OPORTUNO","MUITO BOM")))</f>
        <v>OPORTUNO</v>
      </c>
      <c r="M3175">
        <v>8</v>
      </c>
      <c r="N3175">
        <v>100</v>
      </c>
      <c r="O3175">
        <v>26.47058823529412</v>
      </c>
    </row>
    <row r="3176" spans="1:15" hidden="1" x14ac:dyDescent="0.25">
      <c r="A3176" s="11">
        <v>46100</v>
      </c>
      <c r="B3176" t="s">
        <v>41</v>
      </c>
      <c r="C3176" t="s">
        <v>32</v>
      </c>
      <c r="D3176">
        <v>15</v>
      </c>
      <c r="E3176">
        <v>14</v>
      </c>
      <c r="F3176">
        <v>30.42</v>
      </c>
      <c r="G3176">
        <v>0</v>
      </c>
      <c r="H3176">
        <v>0</v>
      </c>
      <c r="I3176" s="3">
        <f>E3176+G3176+H3176</f>
        <v>14</v>
      </c>
      <c r="J3176" s="3">
        <f>ROUND(MIN(IF(C3176="Técnico III",35,IF(C3176="Técnico II",28,IF(C3176="Técnico I",23,IF(C3176="JR",20,IF(C3176="Estágio",10,0))))),IF(C3176="Técnico III",SUMIFS($D:$D,$A:$A,$A3176,$B:$B,"&lt;&gt;Patrícia Karla de Sousa Araújo",$B:$B,"&lt;&gt;Lorena Dias de Araujo",$B:$B,"&lt;&gt;Lucas Luiz Romero")*(35/1083),IF(C3176="Técnico II",SUMIFS($D:$D,$A:$A,$A3176,$B:$B,"&lt;&gt;Patrícia Karla de Sousa Araújo",$B:$B,"&lt;&gt;Lorena Dias de Araujo",$B:$B,"&lt;&gt;Lucas Luiz Romero")*(28/1083),IF(C3176="Técnico I",SUMIFS($D:$D,$A:$A,$A3176,$B:$B,"&lt;&gt;Patrícia Karla de Sousa Araújo",$B:$B,"&lt;&gt;Lorena Dias de Araujo",$B:$B,"&lt;&gt;Lucas Luiz Romero")*(23/1083),IF(C3176="JR",SUMIFS($D:$D,$A:$A,$A3176,$B:$B,"&lt;&gt;Patrícia Karla de Sousa Araújo",$B:$B,"&lt;&gt;Lorena Dias de Araujo",$B:$B,"&lt;&gt;Lucas Luiz Romero")*(20/1083),IF(C3176="Estágio",SUMIFS($D:$D,$A:$A,$A3176,$B:$B,"&lt;&gt;Patrícia Karla de Sousa Araújo",$B:$B,"&lt;&gt;Lorena Dias de Araujo",$B:$B,"&lt;&gt;Lucas Luiz Romero")*(10/1083),0)))))),0)</f>
        <v>22</v>
      </c>
      <c r="K3176" s="3">
        <f>I3176-J3176</f>
        <v>-8</v>
      </c>
      <c r="L3176" s="3" t="str">
        <f>IF(K3176&lt;-5,"CRÍTICO",IF(K3176&lt;0,"ATENÇÃO",IF(K3176&lt;=5,"OPORTUNO","MUITO BOM")))</f>
        <v>CRÍTICO</v>
      </c>
      <c r="M3176">
        <v>13</v>
      </c>
      <c r="N3176">
        <v>100</v>
      </c>
      <c r="O3176">
        <v>28.490028490028489</v>
      </c>
    </row>
    <row r="3177" spans="1:15" hidden="1" x14ac:dyDescent="0.25">
      <c r="A3177" s="11">
        <v>46100</v>
      </c>
      <c r="B3177" t="s">
        <v>56</v>
      </c>
      <c r="C3177" t="s">
        <v>48</v>
      </c>
      <c r="D3177">
        <v>19</v>
      </c>
      <c r="E3177">
        <v>18</v>
      </c>
      <c r="F3177">
        <v>32.369999999999997</v>
      </c>
      <c r="G3177">
        <v>0</v>
      </c>
      <c r="H3177">
        <v>0</v>
      </c>
      <c r="I3177" s="3">
        <f>E3177+G3177+H3177</f>
        <v>18</v>
      </c>
      <c r="J3177" s="3">
        <f>ROUND(MIN(IF(C3177="Técnico III",35,IF(C3177="Técnico II",28,IF(C3177="Técnico I",23,IF(C3177="JR",20,IF(C3177="Estágio",10,0))))),IF(C3177="Técnico III",SUMIFS($D:$D,$A:$A,$A3177,$B:$B,"&lt;&gt;Patrícia Karla de Sousa Araújo",$B:$B,"&lt;&gt;Lorena Dias de Araujo",$B:$B,"&lt;&gt;Lucas Luiz Romero")*(35/1083),IF(C3177="Técnico II",SUMIFS($D:$D,$A:$A,$A3177,$B:$B,"&lt;&gt;Patrícia Karla de Sousa Araújo",$B:$B,"&lt;&gt;Lorena Dias de Araujo",$B:$B,"&lt;&gt;Lucas Luiz Romero")*(28/1083),IF(C3177="Técnico I",SUMIFS($D:$D,$A:$A,$A3177,$B:$B,"&lt;&gt;Patrícia Karla de Sousa Araújo",$B:$B,"&lt;&gt;Lorena Dias de Araujo",$B:$B,"&lt;&gt;Lucas Luiz Romero")*(23/1083),IF(C3177="JR",SUMIFS($D:$D,$A:$A,$A3177,$B:$B,"&lt;&gt;Patrícia Karla de Sousa Araújo",$B:$B,"&lt;&gt;Lorena Dias de Araujo",$B:$B,"&lt;&gt;Lucas Luiz Romero")*(20/1083),IF(C3177="Estágio",SUMIFS($D:$D,$A:$A,$A3177,$B:$B,"&lt;&gt;Patrícia Karla de Sousa Araújo",$B:$B,"&lt;&gt;Lorena Dias de Araujo",$B:$B,"&lt;&gt;Lucas Luiz Romero")*(10/1083),0)))))),0)</f>
        <v>18</v>
      </c>
      <c r="K3177" s="3">
        <f>I3177-J3177</f>
        <v>0</v>
      </c>
      <c r="L3177" s="3" t="str">
        <f>IF(K3177&lt;-5,"CRÍTICO",IF(K3177&lt;0,"ATENÇÃO",IF(K3177&lt;=5,"OPORTUNO","MUITO BOM")))</f>
        <v>OPORTUNO</v>
      </c>
      <c r="M3177">
        <v>10</v>
      </c>
      <c r="N3177">
        <v>99.14</v>
      </c>
      <c r="O3177">
        <v>27.2289156626506</v>
      </c>
    </row>
    <row r="3178" spans="1:15" hidden="1" x14ac:dyDescent="0.25">
      <c r="A3178" s="11">
        <v>46100</v>
      </c>
      <c r="B3178" t="s">
        <v>57</v>
      </c>
      <c r="C3178" t="s">
        <v>48</v>
      </c>
      <c r="D3178">
        <v>25</v>
      </c>
      <c r="E3178">
        <v>24</v>
      </c>
      <c r="F3178">
        <v>25.3</v>
      </c>
      <c r="G3178">
        <v>0</v>
      </c>
      <c r="H3178">
        <v>0</v>
      </c>
      <c r="I3178" s="3">
        <v>0</v>
      </c>
      <c r="J3178" s="3">
        <v>0</v>
      </c>
      <c r="K3178" s="3">
        <v>0</v>
      </c>
      <c r="L3178" s="3" t="str">
        <f>IF(K3178&lt;-5,"CRÍTICO",IF(K3178&lt;0,"ATENÇÃO",IF(K3178&lt;=5,"OPORTUNO","MUITO BOM")))</f>
        <v>OPORTUNO</v>
      </c>
      <c r="M3178">
        <v>20</v>
      </c>
      <c r="N3178">
        <v>97.52</v>
      </c>
      <c r="O3178">
        <v>28.205128205128201</v>
      </c>
    </row>
    <row r="3179" spans="1:15" hidden="1" x14ac:dyDescent="0.25">
      <c r="A3179" s="11">
        <v>46100</v>
      </c>
      <c r="B3179" t="s">
        <v>42</v>
      </c>
      <c r="C3179" t="s">
        <v>32</v>
      </c>
      <c r="D3179">
        <v>0</v>
      </c>
      <c r="E3179">
        <v>0</v>
      </c>
      <c r="F3179">
        <v>0</v>
      </c>
      <c r="G3179">
        <v>0</v>
      </c>
      <c r="H3179">
        <v>0</v>
      </c>
      <c r="I3179" s="3">
        <v>0</v>
      </c>
      <c r="J3179" s="3">
        <v>0</v>
      </c>
      <c r="K3179" s="3">
        <v>0</v>
      </c>
      <c r="L3179" s="3" t="str">
        <f>IF(K3179&lt;-5,"CRÍTICO",IF(K3179&lt;0,"ATENÇÃO",IF(K3179&lt;=5,"OPORTUNO","MUITO BOM")))</f>
        <v>OPORTUNO</v>
      </c>
      <c r="M3179">
        <v>0</v>
      </c>
      <c r="N3179">
        <v>90</v>
      </c>
      <c r="O3179">
        <v>24.186046511627911</v>
      </c>
    </row>
    <row r="3180" spans="1:15" hidden="1" x14ac:dyDescent="0.25">
      <c r="A3180" s="11">
        <v>46100</v>
      </c>
      <c r="B3180" t="s">
        <v>62</v>
      </c>
      <c r="C3180" t="s">
        <v>23</v>
      </c>
      <c r="D3180">
        <v>18</v>
      </c>
      <c r="E3180">
        <v>17</v>
      </c>
      <c r="F3180">
        <v>25.47</v>
      </c>
      <c r="G3180">
        <v>0</v>
      </c>
      <c r="H3180">
        <v>0</v>
      </c>
      <c r="I3180" s="3">
        <f>E3180+G3180+H3180</f>
        <v>17</v>
      </c>
      <c r="J3180" s="3">
        <f>ROUND(MIN(IF(C3180="Técnico III",35,IF(C3180="Técnico II",28,IF(C3180="Técnico I",23,IF(C3180="JR",20,IF(C3180="Estágio",10,0))))),IF(C3180="Técnico III",SUMIFS($D:$D,$A:$A,$A3180,$B:$B,"&lt;&gt;Patrícia Karla de Sousa Araújo",$B:$B,"&lt;&gt;Lorena Dias de Araujo",$B:$B,"&lt;&gt;Lucas Luiz Romero")*(35/1083),IF(C3180="Técnico II",SUMIFS($D:$D,$A:$A,$A3180,$B:$B,"&lt;&gt;Patrícia Karla de Sousa Araújo",$B:$B,"&lt;&gt;Lorena Dias de Araujo",$B:$B,"&lt;&gt;Lucas Luiz Romero")*(28/1083),IF(C3180="Técnico I",SUMIFS($D:$D,$A:$A,$A3180,$B:$B,"&lt;&gt;Patrícia Karla de Sousa Araújo",$B:$B,"&lt;&gt;Lorena Dias de Araujo",$B:$B,"&lt;&gt;Lucas Luiz Romero")*(23/1083),IF(C3180="JR",SUMIFS($D:$D,$A:$A,$A3180,$B:$B,"&lt;&gt;Patrícia Karla de Sousa Araújo",$B:$B,"&lt;&gt;Lorena Dias de Araujo",$B:$B,"&lt;&gt;Lucas Luiz Romero")*(20/1083),IF(C3180="Estágio",SUMIFS($D:$D,$A:$A,$A3180,$B:$B,"&lt;&gt;Patrícia Karla de Sousa Araújo",$B:$B,"&lt;&gt;Lorena Dias de Araujo",$B:$B,"&lt;&gt;Lucas Luiz Romero")*(10/1083),0)))))),0)</f>
        <v>14</v>
      </c>
      <c r="K3180" s="3">
        <f>I3180-J3180</f>
        <v>3</v>
      </c>
      <c r="L3180" s="3" t="str">
        <f>IF(K3180&lt;-5,"CRÍTICO",IF(K3180&lt;0,"ATENÇÃO",IF(K3180&lt;=5,"OPORTUNO","MUITO BOM")))</f>
        <v>OPORTUNO</v>
      </c>
      <c r="M3180">
        <v>12</v>
      </c>
      <c r="N3180">
        <v>98.9</v>
      </c>
      <c r="O3180">
        <v>26.763990267639901</v>
      </c>
    </row>
    <row r="3181" spans="1:15" hidden="1" x14ac:dyDescent="0.25">
      <c r="A3181" s="11">
        <v>46100</v>
      </c>
      <c r="B3181" t="s">
        <v>19</v>
      </c>
      <c r="C3181" t="s">
        <v>16</v>
      </c>
      <c r="D3181">
        <v>0</v>
      </c>
      <c r="E3181">
        <v>0</v>
      </c>
      <c r="F3181">
        <v>0</v>
      </c>
      <c r="G3181">
        <v>0</v>
      </c>
      <c r="H3181">
        <v>0</v>
      </c>
      <c r="I3181" s="3">
        <v>0</v>
      </c>
      <c r="J3181" s="3">
        <v>0</v>
      </c>
      <c r="K3181" s="3">
        <v>0</v>
      </c>
      <c r="L3181" s="3" t="str">
        <f>IF(K3181&lt;-5,"CRÍTICO",IF(K3181&lt;0,"ATENÇÃO",IF(K3181&lt;=5,"OPORTUNO","MUITO BOM")))</f>
        <v>OPORTUNO</v>
      </c>
      <c r="M3181">
        <v>0</v>
      </c>
      <c r="N3181">
        <v>88.89</v>
      </c>
      <c r="O3181">
        <v>25.263157894736839</v>
      </c>
    </row>
    <row r="3182" spans="1:15" hidden="1" x14ac:dyDescent="0.25">
      <c r="A3182" s="11">
        <v>46100</v>
      </c>
      <c r="B3182" t="s">
        <v>43</v>
      </c>
      <c r="C3182" t="s">
        <v>32</v>
      </c>
      <c r="D3182">
        <v>34</v>
      </c>
      <c r="E3182">
        <v>30</v>
      </c>
      <c r="F3182">
        <v>20.07</v>
      </c>
      <c r="G3182">
        <v>0</v>
      </c>
      <c r="H3182">
        <v>0</v>
      </c>
      <c r="I3182" s="3">
        <f>E3182+G3182+H3182</f>
        <v>30</v>
      </c>
      <c r="J3182" s="3">
        <f>ROUND(MIN(IF(C3182="Técnico III",35,IF(C3182="Técnico II",28,IF(C3182="Técnico I",23,IF(C3182="JR",20,IF(C3182="Estágio",10,0))))),IF(C3182="Técnico III",SUMIFS($D:$D,$A:$A,$A3182,$B:$B,"&lt;&gt;Patrícia Karla de Sousa Araújo",$B:$B,"&lt;&gt;Lorena Dias de Araujo",$B:$B,"&lt;&gt;Lucas Luiz Romero")*(35/1083),IF(C3182="Técnico II",SUMIFS($D:$D,$A:$A,$A3182,$B:$B,"&lt;&gt;Patrícia Karla de Sousa Araújo",$B:$B,"&lt;&gt;Lorena Dias de Araujo",$B:$B,"&lt;&gt;Lucas Luiz Romero")*(28/1083),IF(C3182="Técnico I",SUMIFS($D:$D,$A:$A,$A3182,$B:$B,"&lt;&gt;Patrícia Karla de Sousa Araújo",$B:$B,"&lt;&gt;Lorena Dias de Araujo",$B:$B,"&lt;&gt;Lucas Luiz Romero")*(23/1083),IF(C3182="JR",SUMIFS($D:$D,$A:$A,$A3182,$B:$B,"&lt;&gt;Patrícia Karla de Sousa Araújo",$B:$B,"&lt;&gt;Lorena Dias de Araujo",$B:$B,"&lt;&gt;Lucas Luiz Romero")*(20/1083),IF(C3182="Estágio",SUMIFS($D:$D,$A:$A,$A3182,$B:$B,"&lt;&gt;Patrícia Karla de Sousa Araújo",$B:$B,"&lt;&gt;Lorena Dias de Araujo",$B:$B,"&lt;&gt;Lucas Luiz Romero")*(10/1083),0)))))),0)</f>
        <v>22</v>
      </c>
      <c r="K3182" s="3">
        <f>I3182-J3182</f>
        <v>8</v>
      </c>
      <c r="L3182" s="3" t="str">
        <f>IF(K3182&lt;-5,"CRÍTICO",IF(K3182&lt;0,"ATENÇÃO",IF(K3182&lt;=5,"OPORTUNO","MUITO BOM")))</f>
        <v>MUITO BOM</v>
      </c>
      <c r="M3182">
        <v>28</v>
      </c>
      <c r="N3182">
        <v>98.86</v>
      </c>
      <c r="O3182">
        <v>28.959276018099551</v>
      </c>
    </row>
    <row r="3183" spans="1:15" hidden="1" x14ac:dyDescent="0.25">
      <c r="A3183" s="11">
        <v>46100</v>
      </c>
      <c r="B3183" t="s">
        <v>44</v>
      </c>
      <c r="C3183" t="s">
        <v>32</v>
      </c>
      <c r="D3183">
        <v>0</v>
      </c>
      <c r="E3183">
        <v>0</v>
      </c>
      <c r="F3183">
        <v>0</v>
      </c>
      <c r="G3183">
        <v>0</v>
      </c>
      <c r="H3183">
        <v>0</v>
      </c>
      <c r="I3183" s="3">
        <v>0</v>
      </c>
      <c r="J3183" s="3">
        <v>0</v>
      </c>
      <c r="K3183" s="3">
        <v>0</v>
      </c>
      <c r="L3183" s="3" t="str">
        <f>IF(K3183&lt;-5,"CRÍTICO",IF(K3183&lt;0,"ATENÇÃO",IF(K3183&lt;=5,"OPORTUNO","MUITO BOM")))</f>
        <v>OPORTUNO</v>
      </c>
      <c r="M3183">
        <v>0</v>
      </c>
      <c r="N3183">
        <v>98.06</v>
      </c>
      <c r="O3183">
        <v>22.40566037735849</v>
      </c>
    </row>
    <row r="3184" spans="1:15" hidden="1" x14ac:dyDescent="0.25">
      <c r="A3184" s="11">
        <v>46100</v>
      </c>
      <c r="B3184" t="s">
        <v>20</v>
      </c>
      <c r="C3184" t="s">
        <v>16</v>
      </c>
      <c r="D3184">
        <v>6</v>
      </c>
      <c r="E3184">
        <v>6</v>
      </c>
      <c r="F3184">
        <v>48.35</v>
      </c>
      <c r="G3184">
        <v>0</v>
      </c>
      <c r="H3184">
        <v>0</v>
      </c>
      <c r="I3184" s="3">
        <f>E3184+G3184+H3184</f>
        <v>6</v>
      </c>
      <c r="J3184" s="3">
        <f>ROUND(MIN(IF(C3184="Técnico III",35,IF(C3184="Técnico II",28,IF(C3184="Técnico I",23,IF(C3184="JR",20,IF(C3184="Estágio",10,0))))),IF(C3184="Técnico III",SUMIFS($D:$D,$A:$A,$A3184,$B:$B,"&lt;&gt;Patrícia Karla de Sousa Araújo",$B:$B,"&lt;&gt;Lorena Dias de Araujo",$B:$B,"&lt;&gt;Lucas Luiz Romero")*(35/1083),IF(C3184="Técnico II",SUMIFS($D:$D,$A:$A,$A3184,$B:$B,"&lt;&gt;Patrícia Karla de Sousa Araújo",$B:$B,"&lt;&gt;Lorena Dias de Araujo",$B:$B,"&lt;&gt;Lucas Luiz Romero")*(28/1083),IF(C3184="Técnico I",SUMIFS($D:$D,$A:$A,$A3184,$B:$B,"&lt;&gt;Patrícia Karla de Sousa Araújo",$B:$B,"&lt;&gt;Lorena Dias de Araujo",$B:$B,"&lt;&gt;Lucas Luiz Romero")*(23/1083),IF(C3184="JR",SUMIFS($D:$D,$A:$A,$A3184,$B:$B,"&lt;&gt;Patrícia Karla de Sousa Araújo",$B:$B,"&lt;&gt;Lorena Dias de Araujo",$B:$B,"&lt;&gt;Lucas Luiz Romero")*(20/1083),IF(C3184="Estágio",SUMIFS($D:$D,$A:$A,$A3184,$B:$B,"&lt;&gt;Patrícia Karla de Sousa Araújo",$B:$B,"&lt;&gt;Lorena Dias de Araujo",$B:$B,"&lt;&gt;Lucas Luiz Romero")*(10/1083),0)))))),0)</f>
        <v>6</v>
      </c>
      <c r="K3184" s="3">
        <f>I3184-J3184</f>
        <v>0</v>
      </c>
      <c r="L3184" s="3" t="str">
        <f>IF(K3184&lt;-5,"CRÍTICO",IF(K3184&lt;0,"ATENÇÃO",IF(K3184&lt;=5,"OPORTUNO","MUITO BOM")))</f>
        <v>OPORTUNO</v>
      </c>
      <c r="M3184">
        <v>4</v>
      </c>
      <c r="N3184">
        <v>95.83</v>
      </c>
      <c r="O3184">
        <v>25.773195876288661</v>
      </c>
    </row>
    <row r="3185" spans="1:15" hidden="1" x14ac:dyDescent="0.25">
      <c r="A3185" s="11">
        <v>46100</v>
      </c>
      <c r="B3185" t="s">
        <v>28</v>
      </c>
      <c r="C3185" t="s">
        <v>26</v>
      </c>
      <c r="D3185">
        <v>0</v>
      </c>
      <c r="E3185">
        <v>0</v>
      </c>
      <c r="F3185">
        <v>0</v>
      </c>
      <c r="G3185">
        <v>0</v>
      </c>
      <c r="H3185">
        <v>0</v>
      </c>
      <c r="I3185" s="3">
        <v>0</v>
      </c>
      <c r="J3185" s="3">
        <v>0</v>
      </c>
      <c r="K3185" s="3">
        <v>0</v>
      </c>
      <c r="L3185" s="3" t="str">
        <f>IF(K3185&lt;-5,"CRÍTICO",IF(K3185&lt;0,"ATENÇÃO",IF(K3185&lt;=5,"OPORTUNO","MUITO BOM")))</f>
        <v>OPORTUNO</v>
      </c>
      <c r="M3185">
        <v>0</v>
      </c>
      <c r="N3185">
        <v>100</v>
      </c>
      <c r="O3185">
        <v>15.38461538461539</v>
      </c>
    </row>
    <row r="3186" spans="1:15" hidden="1" x14ac:dyDescent="0.25">
      <c r="A3186" s="11">
        <v>46100</v>
      </c>
      <c r="B3186" t="s">
        <v>58</v>
      </c>
      <c r="C3186" t="s">
        <v>48</v>
      </c>
      <c r="D3186">
        <v>0</v>
      </c>
      <c r="E3186">
        <v>0</v>
      </c>
      <c r="F3186">
        <v>0</v>
      </c>
      <c r="G3186">
        <v>0</v>
      </c>
      <c r="H3186">
        <v>0</v>
      </c>
      <c r="I3186" s="3">
        <v>0</v>
      </c>
      <c r="J3186" s="3">
        <v>0</v>
      </c>
      <c r="K3186" s="3">
        <v>0</v>
      </c>
      <c r="L3186" s="3" t="str">
        <f>IF(K3186&lt;-5,"CRÍTICO",IF(K3186&lt;0,"ATENÇÃO",IF(K3186&lt;=5,"OPORTUNO","MUITO BOM")))</f>
        <v>OPORTUNO</v>
      </c>
      <c r="M3186">
        <v>0</v>
      </c>
      <c r="N3186">
        <v>100</v>
      </c>
      <c r="O3186">
        <v>27.514792899408281</v>
      </c>
    </row>
    <row r="3187" spans="1:15" hidden="1" x14ac:dyDescent="0.25">
      <c r="A3187" s="11">
        <v>46100</v>
      </c>
      <c r="B3187" t="s">
        <v>29</v>
      </c>
      <c r="C3187" t="s">
        <v>26</v>
      </c>
      <c r="D3187">
        <v>12</v>
      </c>
      <c r="E3187">
        <v>12</v>
      </c>
      <c r="F3187">
        <v>27.16</v>
      </c>
      <c r="G3187">
        <v>0</v>
      </c>
      <c r="H3187">
        <v>0</v>
      </c>
      <c r="I3187" s="3">
        <f>E3187+G3187+H3187</f>
        <v>12</v>
      </c>
      <c r="J3187" s="3">
        <f>ROUND(MIN(IF(C3187="Técnico III",35,IF(C3187="Técnico II",28,IF(C3187="Técnico I",23,IF(C3187="JR",20,IF(C3187="Estágio",10,0))))),IF(C3187="Técnico III",SUMIFS($D:$D,$A:$A,$A3187,$B:$B,"&lt;&gt;Patrícia Karla de Sousa Araújo",$B:$B,"&lt;&gt;Lorena Dias de Araujo",$B:$B,"&lt;&gt;Lucas Luiz Romero")*(35/1083),IF(C3187="Técnico II",SUMIFS($D:$D,$A:$A,$A3187,$B:$B,"&lt;&gt;Patrícia Karla de Sousa Araújo",$B:$B,"&lt;&gt;Lorena Dias de Araujo",$B:$B,"&lt;&gt;Lucas Luiz Romero")*(28/1083),IF(C3187="Técnico I",SUMIFS($D:$D,$A:$A,$A3187,$B:$B,"&lt;&gt;Patrícia Karla de Sousa Araújo",$B:$B,"&lt;&gt;Lorena Dias de Araujo",$B:$B,"&lt;&gt;Lucas Luiz Romero")*(23/1083),IF(C3187="JR",SUMIFS($D:$D,$A:$A,$A3187,$B:$B,"&lt;&gt;Patrícia Karla de Sousa Araújo",$B:$B,"&lt;&gt;Lorena Dias de Araujo",$B:$B,"&lt;&gt;Lucas Luiz Romero")*(20/1083),IF(C3187="Estágio",SUMIFS($D:$D,$A:$A,$A3187,$B:$B,"&lt;&gt;Patrícia Karla de Sousa Araújo",$B:$B,"&lt;&gt;Lorena Dias de Araujo",$B:$B,"&lt;&gt;Lucas Luiz Romero")*(10/1083),0)))))),0)</f>
        <v>13</v>
      </c>
      <c r="K3187" s="3">
        <f>I3187-J3187</f>
        <v>-1</v>
      </c>
      <c r="L3187" s="3" t="str">
        <f>IF(K3187&lt;-5,"CRÍTICO",IF(K3187&lt;0,"ATENÇÃO",IF(K3187&lt;=5,"OPORTUNO","MUITO BOM")))</f>
        <v>ATENÇÃO</v>
      </c>
      <c r="M3187">
        <v>9</v>
      </c>
      <c r="N3187">
        <v>100</v>
      </c>
      <c r="O3187">
        <v>24.875621890547269</v>
      </c>
    </row>
    <row r="3188" spans="1:15" hidden="1" x14ac:dyDescent="0.25">
      <c r="A3188" s="11">
        <v>46100</v>
      </c>
      <c r="B3188" t="s">
        <v>30</v>
      </c>
      <c r="C3188" t="s">
        <v>26</v>
      </c>
      <c r="D3188">
        <v>8</v>
      </c>
      <c r="E3188">
        <v>8</v>
      </c>
      <c r="F3188">
        <v>52.08</v>
      </c>
      <c r="G3188">
        <v>0</v>
      </c>
      <c r="H3188">
        <v>0</v>
      </c>
      <c r="I3188" s="3">
        <f>E3188+G3188+H3188</f>
        <v>8</v>
      </c>
      <c r="J3188" s="3">
        <f>ROUND(MIN(IF(C3188="Técnico III",35,IF(C3188="Técnico II",28,IF(C3188="Técnico I",23,IF(C3188="JR",20,IF(C3188="Estágio",10,0))))),IF(C3188="Técnico III",SUMIFS($D:$D,$A:$A,$A3188,$B:$B,"&lt;&gt;Patrícia Karla de Sousa Araújo",$B:$B,"&lt;&gt;Lorena Dias de Araujo",$B:$B,"&lt;&gt;Lucas Luiz Romero")*(35/1083),IF(C3188="Técnico II",SUMIFS($D:$D,$A:$A,$A3188,$B:$B,"&lt;&gt;Patrícia Karla de Sousa Araújo",$B:$B,"&lt;&gt;Lorena Dias de Araujo",$B:$B,"&lt;&gt;Lucas Luiz Romero")*(28/1083),IF(C3188="Técnico I",SUMIFS($D:$D,$A:$A,$A3188,$B:$B,"&lt;&gt;Patrícia Karla de Sousa Araújo",$B:$B,"&lt;&gt;Lorena Dias de Araujo",$B:$B,"&lt;&gt;Lucas Luiz Romero")*(23/1083),IF(C3188="JR",SUMIFS($D:$D,$A:$A,$A3188,$B:$B,"&lt;&gt;Patrícia Karla de Sousa Araújo",$B:$B,"&lt;&gt;Lorena Dias de Araujo",$B:$B,"&lt;&gt;Lucas Luiz Romero")*(20/1083),IF(C3188="Estágio",SUMIFS($D:$D,$A:$A,$A3188,$B:$B,"&lt;&gt;Patrícia Karla de Sousa Araújo",$B:$B,"&lt;&gt;Lorena Dias de Araujo",$B:$B,"&lt;&gt;Lucas Luiz Romero")*(10/1083),0)))))),0)</f>
        <v>13</v>
      </c>
      <c r="K3188" s="3">
        <f>I3188-J3188</f>
        <v>-5</v>
      </c>
      <c r="L3188" s="3" t="str">
        <f>IF(K3188&lt;-5,"CRÍTICO",IF(K3188&lt;0,"ATENÇÃO",IF(K3188&lt;=5,"OPORTUNO","MUITO BOM")))</f>
        <v>ATENÇÃO</v>
      </c>
      <c r="M3188">
        <v>7</v>
      </c>
      <c r="N3188">
        <v>100</v>
      </c>
      <c r="O3188">
        <v>28.108108108108109</v>
      </c>
    </row>
    <row r="3189" spans="1:15" hidden="1" x14ac:dyDescent="0.25">
      <c r="A3189" s="11">
        <v>46100</v>
      </c>
      <c r="B3189" t="s">
        <v>21</v>
      </c>
      <c r="C3189" t="s">
        <v>16</v>
      </c>
      <c r="D3189">
        <v>0</v>
      </c>
      <c r="E3189">
        <v>0</v>
      </c>
      <c r="F3189">
        <v>0</v>
      </c>
      <c r="G3189">
        <v>0</v>
      </c>
      <c r="H3189">
        <v>0</v>
      </c>
      <c r="I3189" s="3">
        <v>0</v>
      </c>
      <c r="J3189" s="3">
        <v>0</v>
      </c>
      <c r="K3189" s="3">
        <v>0</v>
      </c>
      <c r="L3189" s="3" t="str">
        <f>IF(K3189&lt;-5,"CRÍTICO",IF(K3189&lt;0,"ATENÇÃO",IF(K3189&lt;=5,"OPORTUNO","MUITO BOM")))</f>
        <v>OPORTUNO</v>
      </c>
      <c r="M3189">
        <v>0</v>
      </c>
      <c r="N3189">
        <v>100</v>
      </c>
      <c r="O3189">
        <v>35</v>
      </c>
    </row>
    <row r="3190" spans="1:15" hidden="1" x14ac:dyDescent="0.25">
      <c r="A3190" s="11">
        <v>46100</v>
      </c>
      <c r="B3190" t="s">
        <v>63</v>
      </c>
      <c r="C3190" t="s">
        <v>23</v>
      </c>
      <c r="D3190">
        <v>26</v>
      </c>
      <c r="E3190">
        <v>25</v>
      </c>
      <c r="F3190">
        <v>25.22</v>
      </c>
      <c r="G3190">
        <v>0</v>
      </c>
      <c r="H3190">
        <v>0</v>
      </c>
      <c r="I3190" s="3">
        <f>E3190+G3190+H3190</f>
        <v>25</v>
      </c>
      <c r="J3190" s="3">
        <f>ROUND(MIN(IF(C3190="Técnico III",35,IF(C3190="Técnico II",28,IF(C3190="Técnico I",23,IF(C3190="JR",20,IF(C3190="Estágio",10,0))))),IF(C3190="Técnico III",SUMIFS($D:$D,$A:$A,$A3190,$B:$B,"&lt;&gt;Patrícia Karla de Sousa Araújo",$B:$B,"&lt;&gt;Lorena Dias de Araujo",$B:$B,"&lt;&gt;Lucas Luiz Romero")*(35/1083),IF(C3190="Técnico II",SUMIFS($D:$D,$A:$A,$A3190,$B:$B,"&lt;&gt;Patrícia Karla de Sousa Araújo",$B:$B,"&lt;&gt;Lorena Dias de Araujo",$B:$B,"&lt;&gt;Lucas Luiz Romero")*(28/1083),IF(C3190="Técnico I",SUMIFS($D:$D,$A:$A,$A3190,$B:$B,"&lt;&gt;Patrícia Karla de Sousa Araújo",$B:$B,"&lt;&gt;Lorena Dias de Araujo",$B:$B,"&lt;&gt;Lucas Luiz Romero")*(23/1083),IF(C3190="JR",SUMIFS($D:$D,$A:$A,$A3190,$B:$B,"&lt;&gt;Patrícia Karla de Sousa Araújo",$B:$B,"&lt;&gt;Lorena Dias de Araujo",$B:$B,"&lt;&gt;Lucas Luiz Romero")*(20/1083),IF(C3190="Estágio",SUMIFS($D:$D,$A:$A,$A3190,$B:$B,"&lt;&gt;Patrícia Karla de Sousa Araújo",$B:$B,"&lt;&gt;Lorena Dias de Araujo",$B:$B,"&lt;&gt;Lucas Luiz Romero")*(10/1083),0)))))),0)</f>
        <v>14</v>
      </c>
      <c r="K3190" s="3">
        <f>I3190-J3190</f>
        <v>11</v>
      </c>
      <c r="L3190" s="3" t="str">
        <f>IF(K3190&lt;-5,"CRÍTICO",IF(K3190&lt;0,"ATENÇÃO",IF(K3190&lt;=5,"OPORTUNO","MUITO BOM")))</f>
        <v>MUITO BOM</v>
      </c>
      <c r="M3190">
        <v>21</v>
      </c>
      <c r="N3190">
        <v>95.35</v>
      </c>
      <c r="O3190">
        <v>28.61538461538461</v>
      </c>
    </row>
    <row r="3191" spans="1:15" hidden="1" x14ac:dyDescent="0.25">
      <c r="A3191" s="11">
        <v>46100</v>
      </c>
      <c r="B3191" t="s">
        <v>45</v>
      </c>
      <c r="C3191" t="s">
        <v>32</v>
      </c>
      <c r="D3191">
        <v>43</v>
      </c>
      <c r="E3191">
        <v>38</v>
      </c>
      <c r="F3191">
        <v>12.18</v>
      </c>
      <c r="G3191">
        <v>0</v>
      </c>
      <c r="H3191">
        <v>0</v>
      </c>
      <c r="I3191" s="3">
        <f>E3191+G3191+H3191</f>
        <v>38</v>
      </c>
      <c r="J3191" s="3">
        <f>ROUND(MIN(IF(C3191="Técnico III",35,IF(C3191="Técnico II",28,IF(C3191="Técnico I",23,IF(C3191="JR",20,IF(C3191="Estágio",10,0))))),IF(C3191="Técnico III",SUMIFS($D:$D,$A:$A,$A3191,$B:$B,"&lt;&gt;Patrícia Karla de Sousa Araújo",$B:$B,"&lt;&gt;Lorena Dias de Araujo",$B:$B,"&lt;&gt;Lucas Luiz Romero")*(35/1083),IF(C3191="Técnico II",SUMIFS($D:$D,$A:$A,$A3191,$B:$B,"&lt;&gt;Patrícia Karla de Sousa Araújo",$B:$B,"&lt;&gt;Lorena Dias de Araujo",$B:$B,"&lt;&gt;Lucas Luiz Romero")*(28/1083),IF(C3191="Técnico I",SUMIFS($D:$D,$A:$A,$A3191,$B:$B,"&lt;&gt;Patrícia Karla de Sousa Araújo",$B:$B,"&lt;&gt;Lorena Dias de Araujo",$B:$B,"&lt;&gt;Lucas Luiz Romero")*(23/1083),IF(C3191="JR",SUMIFS($D:$D,$A:$A,$A3191,$B:$B,"&lt;&gt;Patrícia Karla de Sousa Araújo",$B:$B,"&lt;&gt;Lorena Dias de Araujo",$B:$B,"&lt;&gt;Lucas Luiz Romero")*(20/1083),IF(C3191="Estágio",SUMIFS($D:$D,$A:$A,$A3191,$B:$B,"&lt;&gt;Patrícia Karla de Sousa Araújo",$B:$B,"&lt;&gt;Lorena Dias de Araujo",$B:$B,"&lt;&gt;Lucas Luiz Romero")*(10/1083),0)))))),0)</f>
        <v>22</v>
      </c>
      <c r="K3191" s="3">
        <f>I3191-J3191</f>
        <v>16</v>
      </c>
      <c r="L3191" s="3" t="str">
        <f>IF(K3191&lt;-5,"CRÍTICO",IF(K3191&lt;0,"ATENÇÃO",IF(K3191&lt;=5,"OPORTUNO","MUITO BOM")))</f>
        <v>MUITO BOM</v>
      </c>
      <c r="M3191">
        <v>33</v>
      </c>
      <c r="N3191">
        <v>98.26</v>
      </c>
      <c r="O3191">
        <v>27.54491017964072</v>
      </c>
    </row>
    <row r="3192" spans="1:15" hidden="1" x14ac:dyDescent="0.25">
      <c r="A3192" s="11">
        <v>46100</v>
      </c>
      <c r="B3192" t="s">
        <v>64</v>
      </c>
      <c r="C3192" t="s">
        <v>23</v>
      </c>
      <c r="D3192">
        <v>17</v>
      </c>
      <c r="E3192">
        <v>17</v>
      </c>
      <c r="F3192">
        <v>32.04</v>
      </c>
      <c r="G3192">
        <v>0</v>
      </c>
      <c r="H3192">
        <v>0</v>
      </c>
      <c r="I3192" s="3">
        <f>E3192+G3192+H3192</f>
        <v>17</v>
      </c>
      <c r="J3192" s="3">
        <f>ROUND(MIN(IF(C3192="Técnico III",35,IF(C3192="Técnico II",28,IF(C3192="Técnico I",23,IF(C3192="JR",20,IF(C3192="Estágio",10,0))))),IF(C3192="Técnico III",SUMIFS($D:$D,$A:$A,$A3192,$B:$B,"&lt;&gt;Patrícia Karla de Sousa Araújo",$B:$B,"&lt;&gt;Lorena Dias de Araujo",$B:$B,"&lt;&gt;Lucas Luiz Romero")*(35/1083),IF(C3192="Técnico II",SUMIFS($D:$D,$A:$A,$A3192,$B:$B,"&lt;&gt;Patrícia Karla de Sousa Araújo",$B:$B,"&lt;&gt;Lorena Dias de Araujo",$B:$B,"&lt;&gt;Lucas Luiz Romero")*(28/1083),IF(C3192="Técnico I",SUMIFS($D:$D,$A:$A,$A3192,$B:$B,"&lt;&gt;Patrícia Karla de Sousa Araújo",$B:$B,"&lt;&gt;Lorena Dias de Araujo",$B:$B,"&lt;&gt;Lucas Luiz Romero")*(23/1083),IF(C3192="JR",SUMIFS($D:$D,$A:$A,$A3192,$B:$B,"&lt;&gt;Patrícia Karla de Sousa Araújo",$B:$B,"&lt;&gt;Lorena Dias de Araujo",$B:$B,"&lt;&gt;Lucas Luiz Romero")*(20/1083),IF(C3192="Estágio",SUMIFS($D:$D,$A:$A,$A3192,$B:$B,"&lt;&gt;Patrícia Karla de Sousa Araújo",$B:$B,"&lt;&gt;Lorena Dias de Araujo",$B:$B,"&lt;&gt;Lucas Luiz Romero")*(10/1083),0)))))),0)</f>
        <v>14</v>
      </c>
      <c r="K3192" s="3">
        <f>I3192-J3192</f>
        <v>3</v>
      </c>
      <c r="L3192" s="3" t="str">
        <f>IF(K3192&lt;-5,"CRÍTICO",IF(K3192&lt;0,"ATENÇÃO",IF(K3192&lt;=5,"OPORTUNO","MUITO BOM")))</f>
        <v>OPORTUNO</v>
      </c>
      <c r="M3192">
        <v>18</v>
      </c>
      <c r="N3192">
        <v>98.55</v>
      </c>
      <c r="O3192">
        <v>25.337837837837839</v>
      </c>
    </row>
    <row r="3193" spans="1:15" hidden="1" x14ac:dyDescent="0.25">
      <c r="A3193" s="11">
        <v>46100</v>
      </c>
      <c r="B3193" t="s">
        <v>46</v>
      </c>
      <c r="C3193" t="s">
        <v>32</v>
      </c>
      <c r="D3193">
        <v>29</v>
      </c>
      <c r="E3193">
        <v>27</v>
      </c>
      <c r="F3193">
        <v>22.19</v>
      </c>
      <c r="G3193">
        <v>0</v>
      </c>
      <c r="H3193">
        <v>0</v>
      </c>
      <c r="I3193" s="3">
        <f>E3193+G3193+H3193</f>
        <v>27</v>
      </c>
      <c r="J3193" s="3">
        <f>ROUND(MIN(IF(C3193="Técnico III",35,IF(C3193="Técnico II",28,IF(C3193="Técnico I",23,IF(C3193="JR",20,IF(C3193="Estágio",10,0))))),IF(C3193="Técnico III",SUMIFS($D:$D,$A:$A,$A3193,$B:$B,"&lt;&gt;Patrícia Karla de Sousa Araújo",$B:$B,"&lt;&gt;Lorena Dias de Araujo",$B:$B,"&lt;&gt;Lucas Luiz Romero")*(35/1083),IF(C3193="Técnico II",SUMIFS($D:$D,$A:$A,$A3193,$B:$B,"&lt;&gt;Patrícia Karla de Sousa Araújo",$B:$B,"&lt;&gt;Lorena Dias de Araujo",$B:$B,"&lt;&gt;Lucas Luiz Romero")*(28/1083),IF(C3193="Técnico I",SUMIFS($D:$D,$A:$A,$A3193,$B:$B,"&lt;&gt;Patrícia Karla de Sousa Araújo",$B:$B,"&lt;&gt;Lorena Dias de Araujo",$B:$B,"&lt;&gt;Lucas Luiz Romero")*(23/1083),IF(C3193="JR",SUMIFS($D:$D,$A:$A,$A3193,$B:$B,"&lt;&gt;Patrícia Karla de Sousa Araújo",$B:$B,"&lt;&gt;Lorena Dias de Araujo",$B:$B,"&lt;&gt;Lucas Luiz Romero")*(20/1083),IF(C3193="Estágio",SUMIFS($D:$D,$A:$A,$A3193,$B:$B,"&lt;&gt;Patrícia Karla de Sousa Araújo",$B:$B,"&lt;&gt;Lorena Dias de Araujo",$B:$B,"&lt;&gt;Lucas Luiz Romero")*(10/1083),0)))))),0)</f>
        <v>22</v>
      </c>
      <c r="K3193" s="3">
        <f>I3193-J3193</f>
        <v>5</v>
      </c>
      <c r="L3193" s="3" t="str">
        <f>IF(K3193&lt;-5,"CRÍTICO",IF(K3193&lt;0,"ATENÇÃO",IF(K3193&lt;=5,"OPORTUNO","MUITO BOM")))</f>
        <v>OPORTUNO</v>
      </c>
      <c r="M3193">
        <v>20</v>
      </c>
      <c r="N3193">
        <v>98.39</v>
      </c>
      <c r="O3193">
        <v>25.563909774436091</v>
      </c>
    </row>
    <row r="3194" spans="1:15" hidden="1" x14ac:dyDescent="0.25">
      <c r="A3194" s="11">
        <v>46101</v>
      </c>
      <c r="B3194" t="s">
        <v>47</v>
      </c>
      <c r="C3194" t="s">
        <v>48</v>
      </c>
      <c r="D3194">
        <v>18</v>
      </c>
      <c r="E3194">
        <v>12</v>
      </c>
      <c r="F3194">
        <v>15.4</v>
      </c>
      <c r="G3194">
        <v>0</v>
      </c>
      <c r="H3194">
        <v>0</v>
      </c>
      <c r="I3194" s="3">
        <f>E3194+G3194+H3194</f>
        <v>12</v>
      </c>
      <c r="J3194" s="3">
        <f>ROUND(MIN(IF(C3194="Técnico III",35,IF(C3194="Técnico II",28,IF(C3194="Técnico I",23,IF(C3194="JR",20,IF(C3194="Estágio",10,0))))),IF(C3194="Técnico III",SUMIFS($D:$D,$A:$A,$A3194,$B:$B,"&lt;&gt;Patrícia Karla de Sousa Araújo",$B:$B,"&lt;&gt;Lorena Dias de Araujo",$B:$B,"&lt;&gt;Lucas Luiz Romero")*(35/1083),IF(C3194="Técnico II",SUMIFS($D:$D,$A:$A,$A3194,$B:$B,"&lt;&gt;Patrícia Karla de Sousa Araújo",$B:$B,"&lt;&gt;Lorena Dias de Araujo",$B:$B,"&lt;&gt;Lucas Luiz Romero")*(28/1083),IF(C3194="Técnico I",SUMIFS($D:$D,$A:$A,$A3194,$B:$B,"&lt;&gt;Patrícia Karla de Sousa Araújo",$B:$B,"&lt;&gt;Lorena Dias de Araujo",$B:$B,"&lt;&gt;Lucas Luiz Romero")*(23/1083),IF(C3194="JR",SUMIFS($D:$D,$A:$A,$A3194,$B:$B,"&lt;&gt;Patrícia Karla de Sousa Araújo",$B:$B,"&lt;&gt;Lorena Dias de Araujo",$B:$B,"&lt;&gt;Lucas Luiz Romero")*(20/1083),IF(C3194="Estágio",SUMIFS($D:$D,$A:$A,$A3194,$B:$B,"&lt;&gt;Patrícia Karla de Sousa Araújo",$B:$B,"&lt;&gt;Lorena Dias de Araujo",$B:$B,"&lt;&gt;Lucas Luiz Romero")*(10/1083),0)))))),0)</f>
        <v>17</v>
      </c>
      <c r="K3194" s="3">
        <f>I3194-J3194</f>
        <v>-5</v>
      </c>
      <c r="L3194" s="3" t="str">
        <f>IF(K3194&lt;-5,"CRÍTICO",IF(K3194&lt;0,"ATENÇÃO",IF(K3194&lt;=5,"OPORTUNO","MUITO BOM")))</f>
        <v>ATENÇÃO</v>
      </c>
      <c r="M3194">
        <v>14</v>
      </c>
      <c r="N3194">
        <v>94.29</v>
      </c>
      <c r="O3194">
        <v>25.647668393782389</v>
      </c>
    </row>
    <row r="3195" spans="1:15" hidden="1" x14ac:dyDescent="0.25">
      <c r="A3195" s="11">
        <v>46101</v>
      </c>
      <c r="B3195" t="s">
        <v>31</v>
      </c>
      <c r="C3195" t="s">
        <v>32</v>
      </c>
      <c r="D3195">
        <v>0</v>
      </c>
      <c r="E3195">
        <v>0</v>
      </c>
      <c r="F3195">
        <v>0</v>
      </c>
      <c r="G3195">
        <v>0</v>
      </c>
      <c r="H3195">
        <v>0</v>
      </c>
      <c r="I3195" s="3">
        <v>0</v>
      </c>
      <c r="J3195" s="3">
        <v>0</v>
      </c>
      <c r="K3195" s="3">
        <v>0</v>
      </c>
      <c r="L3195" s="3" t="str">
        <f>IF(K3195&lt;-5,"CRÍTICO",IF(K3195&lt;0,"ATENÇÃO",IF(K3195&lt;=5,"OPORTUNO","MUITO BOM")))</f>
        <v>OPORTUNO</v>
      </c>
      <c r="M3195">
        <v>7</v>
      </c>
      <c r="N3195">
        <v>98.26</v>
      </c>
      <c r="O3195">
        <v>26.666666666666671</v>
      </c>
    </row>
    <row r="3196" spans="1:15" hidden="1" x14ac:dyDescent="0.25">
      <c r="A3196" s="11">
        <v>46101</v>
      </c>
      <c r="B3196" t="s">
        <v>59</v>
      </c>
      <c r="C3196" t="s">
        <v>23</v>
      </c>
      <c r="D3196">
        <v>18</v>
      </c>
      <c r="E3196">
        <v>18</v>
      </c>
      <c r="F3196">
        <v>20.48</v>
      </c>
      <c r="G3196">
        <v>0</v>
      </c>
      <c r="H3196">
        <v>0</v>
      </c>
      <c r="I3196" s="3">
        <f>E3196+G3196+H3196</f>
        <v>18</v>
      </c>
      <c r="J3196" s="3">
        <f>ROUND(MIN(IF(C3196="Técnico III",35,IF(C3196="Técnico II",28,IF(C3196="Técnico I",23,IF(C3196="JR",20,IF(C3196="Estágio",10,0))))),IF(C3196="Técnico III",SUMIFS($D:$D,$A:$A,$A3196,$B:$B,"&lt;&gt;Patrícia Karla de Sousa Araújo",$B:$B,"&lt;&gt;Lorena Dias de Araujo",$B:$B,"&lt;&gt;Lucas Luiz Romero")*(35/1083),IF(C3196="Técnico II",SUMIFS($D:$D,$A:$A,$A3196,$B:$B,"&lt;&gt;Patrícia Karla de Sousa Araújo",$B:$B,"&lt;&gt;Lorena Dias de Araujo",$B:$B,"&lt;&gt;Lucas Luiz Romero")*(28/1083),IF(C3196="Técnico I",SUMIFS($D:$D,$A:$A,$A3196,$B:$B,"&lt;&gt;Patrícia Karla de Sousa Araújo",$B:$B,"&lt;&gt;Lorena Dias de Araujo",$B:$B,"&lt;&gt;Lucas Luiz Romero")*(23/1083),IF(C3196="JR",SUMIFS($D:$D,$A:$A,$A3196,$B:$B,"&lt;&gt;Patrícia Karla de Sousa Araújo",$B:$B,"&lt;&gt;Lorena Dias de Araujo",$B:$B,"&lt;&gt;Lucas Luiz Romero")*(20/1083),IF(C3196="Estágio",SUMIFS($D:$D,$A:$A,$A3196,$B:$B,"&lt;&gt;Patrícia Karla de Sousa Araújo",$B:$B,"&lt;&gt;Lorena Dias de Araujo",$B:$B,"&lt;&gt;Lucas Luiz Romero")*(10/1083),0)))))),0)</f>
        <v>14</v>
      </c>
      <c r="K3196" s="3">
        <f>I3196-J3196</f>
        <v>4</v>
      </c>
      <c r="L3196" s="3" t="str">
        <f>IF(K3196&lt;-5,"CRÍTICO",IF(K3196&lt;0,"ATENÇÃO",IF(K3196&lt;=5,"OPORTUNO","MUITO BOM")))</f>
        <v>OPORTUNO</v>
      </c>
      <c r="M3196">
        <v>14</v>
      </c>
      <c r="N3196">
        <v>98.2</v>
      </c>
      <c r="O3196">
        <v>23.37962962962963</v>
      </c>
    </row>
    <row r="3197" spans="1:15" hidden="1" x14ac:dyDescent="0.25">
      <c r="A3197" s="11">
        <v>46101</v>
      </c>
      <c r="B3197" t="s">
        <v>33</v>
      </c>
      <c r="C3197" t="s">
        <v>32</v>
      </c>
      <c r="D3197">
        <v>22</v>
      </c>
      <c r="E3197">
        <v>21</v>
      </c>
      <c r="F3197">
        <v>23.54</v>
      </c>
      <c r="G3197">
        <v>0</v>
      </c>
      <c r="H3197">
        <v>0</v>
      </c>
      <c r="I3197" s="3">
        <f>E3197+G3197+H3197</f>
        <v>21</v>
      </c>
      <c r="J3197" s="3">
        <f>ROUND(MIN(IF(C3197="Técnico III",35,IF(C3197="Técnico II",28,IF(C3197="Técnico I",23,IF(C3197="JR",20,IF(C3197="Estágio",10,0))))),IF(C3197="Técnico III",SUMIFS($D:$D,$A:$A,$A3197,$B:$B,"&lt;&gt;Patrícia Karla de Sousa Araújo",$B:$B,"&lt;&gt;Lorena Dias de Araujo",$B:$B,"&lt;&gt;Lucas Luiz Romero")*(35/1083),IF(C3197="Técnico II",SUMIFS($D:$D,$A:$A,$A3197,$B:$B,"&lt;&gt;Patrícia Karla de Sousa Araújo",$B:$B,"&lt;&gt;Lorena Dias de Araujo",$B:$B,"&lt;&gt;Lucas Luiz Romero")*(28/1083),IF(C3197="Técnico I",SUMIFS($D:$D,$A:$A,$A3197,$B:$B,"&lt;&gt;Patrícia Karla de Sousa Araújo",$B:$B,"&lt;&gt;Lorena Dias de Araujo",$B:$B,"&lt;&gt;Lucas Luiz Romero")*(23/1083),IF(C3197="JR",SUMIFS($D:$D,$A:$A,$A3197,$B:$B,"&lt;&gt;Patrícia Karla de Sousa Araújo",$B:$B,"&lt;&gt;Lorena Dias de Araujo",$B:$B,"&lt;&gt;Lucas Luiz Romero")*(20/1083),IF(C3197="Estágio",SUMIFS($D:$D,$A:$A,$A3197,$B:$B,"&lt;&gt;Patrícia Karla de Sousa Araújo",$B:$B,"&lt;&gt;Lorena Dias de Araujo",$B:$B,"&lt;&gt;Lucas Luiz Romero")*(10/1083),0)))))),0)</f>
        <v>22</v>
      </c>
      <c r="K3197" s="3">
        <f>I3197-J3197</f>
        <v>-1</v>
      </c>
      <c r="L3197" s="3" t="str">
        <f>IF(K3197&lt;-5,"CRÍTICO",IF(K3197&lt;0,"ATENÇÃO",IF(K3197&lt;=5,"OPORTUNO","MUITO BOM")))</f>
        <v>ATENÇÃO</v>
      </c>
      <c r="M3197">
        <v>17</v>
      </c>
      <c r="N3197">
        <v>97.3</v>
      </c>
      <c r="O3197">
        <v>23.84769539078156</v>
      </c>
    </row>
    <row r="3198" spans="1:15" hidden="1" x14ac:dyDescent="0.25">
      <c r="A3198" s="11">
        <v>46101</v>
      </c>
      <c r="B3198" t="s">
        <v>15</v>
      </c>
      <c r="C3198" t="s">
        <v>16</v>
      </c>
      <c r="D3198">
        <v>10</v>
      </c>
      <c r="E3198">
        <v>10</v>
      </c>
      <c r="F3198">
        <v>32.380000000000003</v>
      </c>
      <c r="G3198">
        <v>0</v>
      </c>
      <c r="H3198">
        <v>0</v>
      </c>
      <c r="I3198" s="3">
        <f>E3198+G3198+H3198</f>
        <v>10</v>
      </c>
      <c r="J3198" s="3">
        <f>ROUND(MIN(IF(C3198="Técnico III",35,IF(C3198="Técnico II",28,IF(C3198="Técnico I",23,IF(C3198="JR",20,IF(C3198="Estágio",10,0))))),IF(C3198="Técnico III",SUMIFS($D:$D,$A:$A,$A3198,$B:$B,"&lt;&gt;Patrícia Karla de Sousa Araújo",$B:$B,"&lt;&gt;Lorena Dias de Araujo",$B:$B,"&lt;&gt;Lucas Luiz Romero")*(35/1083),IF(C3198="Técnico II",SUMIFS($D:$D,$A:$A,$A3198,$B:$B,"&lt;&gt;Patrícia Karla de Sousa Araújo",$B:$B,"&lt;&gt;Lorena Dias de Araujo",$B:$B,"&lt;&gt;Lucas Luiz Romero")*(28/1083),IF(C3198="Técnico I",SUMIFS($D:$D,$A:$A,$A3198,$B:$B,"&lt;&gt;Patrícia Karla de Sousa Araújo",$B:$B,"&lt;&gt;Lorena Dias de Araujo",$B:$B,"&lt;&gt;Lucas Luiz Romero")*(23/1083),IF(C3198="JR",SUMIFS($D:$D,$A:$A,$A3198,$B:$B,"&lt;&gt;Patrícia Karla de Sousa Araújo",$B:$B,"&lt;&gt;Lorena Dias de Araujo",$B:$B,"&lt;&gt;Lucas Luiz Romero")*(20/1083),IF(C3198="Estágio",SUMIFS($D:$D,$A:$A,$A3198,$B:$B,"&lt;&gt;Patrícia Karla de Sousa Araújo",$B:$B,"&lt;&gt;Lorena Dias de Araujo",$B:$B,"&lt;&gt;Lucas Luiz Romero")*(10/1083),0)))))),0)</f>
        <v>6</v>
      </c>
      <c r="K3198" s="3">
        <f>I3198-J3198</f>
        <v>4</v>
      </c>
      <c r="L3198" s="3" t="str">
        <f>IF(K3198&lt;-5,"CRÍTICO",IF(K3198&lt;0,"ATENÇÃO",IF(K3198&lt;=5,"OPORTUNO","MUITO BOM")))</f>
        <v>OPORTUNO</v>
      </c>
      <c r="M3198">
        <v>9</v>
      </c>
      <c r="N3198">
        <v>100</v>
      </c>
      <c r="O3198">
        <v>25.268817204301079</v>
      </c>
    </row>
    <row r="3199" spans="1:15" hidden="1" x14ac:dyDescent="0.25">
      <c r="A3199" s="11">
        <v>46101</v>
      </c>
      <c r="B3199" t="s">
        <v>49</v>
      </c>
      <c r="C3199" t="s">
        <v>48</v>
      </c>
      <c r="D3199">
        <v>14</v>
      </c>
      <c r="E3199">
        <v>12</v>
      </c>
      <c r="F3199">
        <v>24.18</v>
      </c>
      <c r="G3199">
        <v>0</v>
      </c>
      <c r="H3199">
        <v>0</v>
      </c>
      <c r="I3199" s="3">
        <f>E3199+G3199+H3199</f>
        <v>12</v>
      </c>
      <c r="J3199" s="3">
        <f>ROUND(MIN(IF(C3199="Técnico III",35,IF(C3199="Técnico II",28,IF(C3199="Técnico I",23,IF(C3199="JR",20,IF(C3199="Estágio",10,0))))),IF(C3199="Técnico III",SUMIFS($D:$D,$A:$A,$A3199,$B:$B,"&lt;&gt;Patrícia Karla de Sousa Araújo",$B:$B,"&lt;&gt;Lorena Dias de Araujo",$B:$B,"&lt;&gt;Lucas Luiz Romero")*(35/1083),IF(C3199="Técnico II",SUMIFS($D:$D,$A:$A,$A3199,$B:$B,"&lt;&gt;Patrícia Karla de Sousa Araújo",$B:$B,"&lt;&gt;Lorena Dias de Araujo",$B:$B,"&lt;&gt;Lucas Luiz Romero")*(28/1083),IF(C3199="Técnico I",SUMIFS($D:$D,$A:$A,$A3199,$B:$B,"&lt;&gt;Patrícia Karla de Sousa Araújo",$B:$B,"&lt;&gt;Lorena Dias de Araujo",$B:$B,"&lt;&gt;Lucas Luiz Romero")*(23/1083),IF(C3199="JR",SUMIFS($D:$D,$A:$A,$A3199,$B:$B,"&lt;&gt;Patrícia Karla de Sousa Araújo",$B:$B,"&lt;&gt;Lorena Dias de Araujo",$B:$B,"&lt;&gt;Lucas Luiz Romero")*(20/1083),IF(C3199="Estágio",SUMIFS($D:$D,$A:$A,$A3199,$B:$B,"&lt;&gt;Patrícia Karla de Sousa Araújo",$B:$B,"&lt;&gt;Lorena Dias de Araujo",$B:$B,"&lt;&gt;Lucas Luiz Romero")*(10/1083),0)))))),0)</f>
        <v>17</v>
      </c>
      <c r="K3199" s="3">
        <f>I3199-J3199</f>
        <v>-5</v>
      </c>
      <c r="L3199" s="3" t="str">
        <f>IF(K3199&lt;-5,"CRÍTICO",IF(K3199&lt;0,"ATENÇÃO",IF(K3199&lt;=5,"OPORTUNO","MUITO BOM")))</f>
        <v>ATENÇÃO</v>
      </c>
      <c r="M3199">
        <v>12</v>
      </c>
      <c r="N3199">
        <v>99.32</v>
      </c>
      <c r="O3199">
        <v>22.822822822822818</v>
      </c>
    </row>
    <row r="3200" spans="1:15" hidden="1" x14ac:dyDescent="0.25">
      <c r="A3200" s="11">
        <v>46101</v>
      </c>
      <c r="B3200" t="s">
        <v>50</v>
      </c>
      <c r="C3200" t="s">
        <v>48</v>
      </c>
      <c r="D3200">
        <v>25</v>
      </c>
      <c r="E3200">
        <v>24</v>
      </c>
      <c r="F3200">
        <v>29.11</v>
      </c>
      <c r="G3200">
        <v>0</v>
      </c>
      <c r="H3200">
        <v>0</v>
      </c>
      <c r="I3200" s="3">
        <f>E3200+G3200+H3200</f>
        <v>24</v>
      </c>
      <c r="J3200" s="3">
        <f>ROUND(MIN(IF(C3200="Técnico III",35,IF(C3200="Técnico II",28,IF(C3200="Técnico I",23,IF(C3200="JR",20,IF(C3200="Estágio",10,0))))),IF(C3200="Técnico III",SUMIFS($D:$D,$A:$A,$A3200,$B:$B,"&lt;&gt;Patrícia Karla de Sousa Araújo",$B:$B,"&lt;&gt;Lorena Dias de Araujo",$B:$B,"&lt;&gt;Lucas Luiz Romero")*(35/1083),IF(C3200="Técnico II",SUMIFS($D:$D,$A:$A,$A3200,$B:$B,"&lt;&gt;Patrícia Karla de Sousa Araújo",$B:$B,"&lt;&gt;Lorena Dias de Araujo",$B:$B,"&lt;&gt;Lucas Luiz Romero")*(28/1083),IF(C3200="Técnico I",SUMIFS($D:$D,$A:$A,$A3200,$B:$B,"&lt;&gt;Patrícia Karla de Sousa Araújo",$B:$B,"&lt;&gt;Lorena Dias de Araujo",$B:$B,"&lt;&gt;Lucas Luiz Romero")*(23/1083),IF(C3200="JR",SUMIFS($D:$D,$A:$A,$A3200,$B:$B,"&lt;&gt;Patrícia Karla de Sousa Araújo",$B:$B,"&lt;&gt;Lorena Dias de Araujo",$B:$B,"&lt;&gt;Lucas Luiz Romero")*(20/1083),IF(C3200="Estágio",SUMIFS($D:$D,$A:$A,$A3200,$B:$B,"&lt;&gt;Patrícia Karla de Sousa Araújo",$B:$B,"&lt;&gt;Lorena Dias de Araujo",$B:$B,"&lt;&gt;Lucas Luiz Romero")*(10/1083),0)))))),0)</f>
        <v>17</v>
      </c>
      <c r="K3200" s="3">
        <f>I3200-J3200</f>
        <v>7</v>
      </c>
      <c r="L3200" s="3" t="str">
        <f>IF(K3200&lt;-5,"CRÍTICO",IF(K3200&lt;0,"ATENÇÃO",IF(K3200&lt;=5,"OPORTUNO","MUITO BOM")))</f>
        <v>MUITO BOM</v>
      </c>
      <c r="M3200">
        <v>23</v>
      </c>
      <c r="N3200">
        <v>100</v>
      </c>
      <c r="O3200">
        <v>27.966101694915249</v>
      </c>
    </row>
    <row r="3201" spans="1:15" hidden="1" x14ac:dyDescent="0.25">
      <c r="A3201" s="11">
        <v>46101</v>
      </c>
      <c r="B3201" t="s">
        <v>17</v>
      </c>
      <c r="C3201" t="s">
        <v>16</v>
      </c>
      <c r="D3201">
        <v>0</v>
      </c>
      <c r="E3201">
        <v>0</v>
      </c>
      <c r="F3201">
        <v>0</v>
      </c>
      <c r="G3201">
        <v>0</v>
      </c>
      <c r="H3201">
        <v>0</v>
      </c>
      <c r="I3201" s="3">
        <v>0</v>
      </c>
      <c r="J3201" s="3">
        <v>0</v>
      </c>
      <c r="K3201" s="3">
        <v>0</v>
      </c>
      <c r="L3201" s="3" t="str">
        <f>IF(K3201&lt;-5,"CRÍTICO",IF(K3201&lt;0,"ATENÇÃO",IF(K3201&lt;=5,"OPORTUNO","MUITO BOM")))</f>
        <v>OPORTUNO</v>
      </c>
      <c r="M3201">
        <v>0</v>
      </c>
      <c r="N3201">
        <v>100</v>
      </c>
      <c r="O3201">
        <v>30.434782608695659</v>
      </c>
    </row>
    <row r="3202" spans="1:15" hidden="1" x14ac:dyDescent="0.25">
      <c r="A3202" s="11">
        <v>46101</v>
      </c>
      <c r="B3202" t="s">
        <v>60</v>
      </c>
      <c r="C3202" t="s">
        <v>23</v>
      </c>
      <c r="D3202">
        <v>25</v>
      </c>
      <c r="E3202">
        <v>23</v>
      </c>
      <c r="F3202">
        <v>20.239999999999998</v>
      </c>
      <c r="G3202">
        <v>0</v>
      </c>
      <c r="H3202">
        <v>0</v>
      </c>
      <c r="I3202" s="3">
        <f>E3202+G3202+H3202</f>
        <v>23</v>
      </c>
      <c r="J3202" s="3">
        <f>ROUND(MIN(IF(C3202="Técnico III",35,IF(C3202="Técnico II",28,IF(C3202="Técnico I",23,IF(C3202="JR",20,IF(C3202="Estágio",10,0))))),IF(C3202="Técnico III",SUMIFS($D:$D,$A:$A,$A3202,$B:$B,"&lt;&gt;Patrícia Karla de Sousa Araújo",$B:$B,"&lt;&gt;Lorena Dias de Araujo",$B:$B,"&lt;&gt;Lucas Luiz Romero")*(35/1083),IF(C3202="Técnico II",SUMIFS($D:$D,$A:$A,$A3202,$B:$B,"&lt;&gt;Patrícia Karla de Sousa Araújo",$B:$B,"&lt;&gt;Lorena Dias de Araujo",$B:$B,"&lt;&gt;Lucas Luiz Romero")*(28/1083),IF(C3202="Técnico I",SUMIFS($D:$D,$A:$A,$A3202,$B:$B,"&lt;&gt;Patrícia Karla de Sousa Araújo",$B:$B,"&lt;&gt;Lorena Dias de Araujo",$B:$B,"&lt;&gt;Lucas Luiz Romero")*(23/1083),IF(C3202="JR",SUMIFS($D:$D,$A:$A,$A3202,$B:$B,"&lt;&gt;Patrícia Karla de Sousa Araújo",$B:$B,"&lt;&gt;Lorena Dias de Araujo",$B:$B,"&lt;&gt;Lucas Luiz Romero")*(20/1083),IF(C3202="Estágio",SUMIFS($D:$D,$A:$A,$A3202,$B:$B,"&lt;&gt;Patrícia Karla de Sousa Araújo",$B:$B,"&lt;&gt;Lorena Dias de Araujo",$B:$B,"&lt;&gt;Lucas Luiz Romero")*(10/1083),0)))))),0)</f>
        <v>14</v>
      </c>
      <c r="K3202" s="3">
        <f>I3202-J3202</f>
        <v>9</v>
      </c>
      <c r="L3202" s="3" t="str">
        <f>IF(K3202&lt;-5,"CRÍTICO",IF(K3202&lt;0,"ATENÇÃO",IF(K3202&lt;=5,"OPORTUNO","MUITO BOM")))</f>
        <v>MUITO BOM</v>
      </c>
      <c r="M3202">
        <v>20</v>
      </c>
      <c r="N3202">
        <v>96.51</v>
      </c>
      <c r="O3202">
        <v>22.802850356294542</v>
      </c>
    </row>
    <row r="3203" spans="1:15" hidden="1" x14ac:dyDescent="0.25">
      <c r="A3203" s="11">
        <v>46101</v>
      </c>
      <c r="B3203" t="s">
        <v>34</v>
      </c>
      <c r="C3203" t="s">
        <v>32</v>
      </c>
      <c r="D3203">
        <v>0</v>
      </c>
      <c r="E3203">
        <v>0</v>
      </c>
      <c r="F3203">
        <v>0</v>
      </c>
      <c r="G3203">
        <v>0</v>
      </c>
      <c r="H3203">
        <v>0</v>
      </c>
      <c r="I3203" s="3">
        <v>0</v>
      </c>
      <c r="J3203" s="3">
        <v>0</v>
      </c>
      <c r="K3203" s="3">
        <v>0</v>
      </c>
      <c r="L3203" s="3" t="str">
        <f>IF(K3203&lt;-5,"CRÍTICO",IF(K3203&lt;0,"ATENÇÃO",IF(K3203&lt;=5,"OPORTUNO","MUITO BOM")))</f>
        <v>OPORTUNO</v>
      </c>
      <c r="M3203">
        <v>0</v>
      </c>
      <c r="N3203">
        <v>92.68</v>
      </c>
      <c r="O3203">
        <v>27.777777777777779</v>
      </c>
    </row>
    <row r="3204" spans="1:15" hidden="1" x14ac:dyDescent="0.25">
      <c r="A3204" s="11">
        <v>46101</v>
      </c>
      <c r="B3204" t="s">
        <v>51</v>
      </c>
      <c r="C3204" t="s">
        <v>48</v>
      </c>
      <c r="D3204">
        <v>30</v>
      </c>
      <c r="E3204">
        <v>27</v>
      </c>
      <c r="F3204">
        <v>22.12</v>
      </c>
      <c r="G3204">
        <v>0</v>
      </c>
      <c r="H3204">
        <v>0</v>
      </c>
      <c r="I3204" s="3">
        <v>0</v>
      </c>
      <c r="J3204" s="3">
        <v>0</v>
      </c>
      <c r="K3204" s="3">
        <v>0</v>
      </c>
      <c r="L3204" s="3" t="str">
        <f>IF(K3204&lt;-5,"CRÍTICO",IF(K3204&lt;0,"ATENÇÃO",IF(K3204&lt;=5,"OPORTUNO","MUITO BOM")))</f>
        <v>OPORTUNO</v>
      </c>
      <c r="M3204">
        <v>24</v>
      </c>
      <c r="N3204">
        <v>99.03</v>
      </c>
      <c r="O3204">
        <v>23.991507430997881</v>
      </c>
    </row>
    <row r="3205" spans="1:15" hidden="1" x14ac:dyDescent="0.25">
      <c r="A3205" s="11">
        <v>46101</v>
      </c>
      <c r="B3205" t="s">
        <v>61</v>
      </c>
      <c r="C3205" t="s">
        <v>23</v>
      </c>
      <c r="D3205">
        <v>24</v>
      </c>
      <c r="E3205">
        <v>22</v>
      </c>
      <c r="F3205">
        <v>24.01</v>
      </c>
      <c r="G3205">
        <v>0</v>
      </c>
      <c r="H3205">
        <v>0</v>
      </c>
      <c r="I3205" s="3">
        <f>E3205+G3205+H3205</f>
        <v>22</v>
      </c>
      <c r="J3205" s="3">
        <f>ROUND(MIN(IF(C3205="Técnico III",35,IF(C3205="Técnico II",28,IF(C3205="Técnico I",23,IF(C3205="JR",20,IF(C3205="Estágio",10,0))))),IF(C3205="Técnico III",SUMIFS($D:$D,$A:$A,$A3205,$B:$B,"&lt;&gt;Patrícia Karla de Sousa Araújo",$B:$B,"&lt;&gt;Lorena Dias de Araujo",$B:$B,"&lt;&gt;Lucas Luiz Romero")*(35/1083),IF(C3205="Técnico II",SUMIFS($D:$D,$A:$A,$A3205,$B:$B,"&lt;&gt;Patrícia Karla de Sousa Araújo",$B:$B,"&lt;&gt;Lorena Dias de Araujo",$B:$B,"&lt;&gt;Lucas Luiz Romero")*(28/1083),IF(C3205="Técnico I",SUMIFS($D:$D,$A:$A,$A3205,$B:$B,"&lt;&gt;Patrícia Karla de Sousa Araújo",$B:$B,"&lt;&gt;Lorena Dias de Araujo",$B:$B,"&lt;&gt;Lucas Luiz Romero")*(23/1083),IF(C3205="JR",SUMIFS($D:$D,$A:$A,$A3205,$B:$B,"&lt;&gt;Patrícia Karla de Sousa Araújo",$B:$B,"&lt;&gt;Lorena Dias de Araujo",$B:$B,"&lt;&gt;Lucas Luiz Romero")*(20/1083),IF(C3205="Estágio",SUMIFS($D:$D,$A:$A,$A3205,$B:$B,"&lt;&gt;Patrícia Karla de Sousa Araújo",$B:$B,"&lt;&gt;Lorena Dias de Araujo",$B:$B,"&lt;&gt;Lucas Luiz Romero")*(10/1083),0)))))),0)</f>
        <v>14</v>
      </c>
      <c r="K3205" s="3">
        <f>I3205-J3205</f>
        <v>8</v>
      </c>
      <c r="L3205" s="3" t="str">
        <f>IF(K3205&lt;-5,"CRÍTICO",IF(K3205&lt;0,"ATENÇÃO",IF(K3205&lt;=5,"OPORTUNO","MUITO BOM")))</f>
        <v>MUITO BOM</v>
      </c>
      <c r="M3205">
        <v>12</v>
      </c>
      <c r="N3205">
        <v>98.41</v>
      </c>
      <c r="O3205">
        <v>28.138528138528141</v>
      </c>
    </row>
    <row r="3206" spans="1:15" hidden="1" x14ac:dyDescent="0.25">
      <c r="A3206" s="11">
        <v>46101</v>
      </c>
      <c r="B3206" t="s">
        <v>35</v>
      </c>
      <c r="C3206" t="s">
        <v>32</v>
      </c>
      <c r="D3206">
        <v>18</v>
      </c>
      <c r="E3206">
        <v>18</v>
      </c>
      <c r="F3206">
        <v>30.39</v>
      </c>
      <c r="G3206">
        <v>0</v>
      </c>
      <c r="H3206">
        <v>0</v>
      </c>
      <c r="I3206" s="3">
        <v>0</v>
      </c>
      <c r="J3206" s="3">
        <v>0</v>
      </c>
      <c r="K3206" s="3">
        <v>0</v>
      </c>
      <c r="L3206" s="3" t="str">
        <f>IF(K3206&lt;-5,"CRÍTICO",IF(K3206&lt;0,"ATENÇÃO",IF(K3206&lt;=5,"OPORTUNO","MUITO BOM")))</f>
        <v>OPORTUNO</v>
      </c>
      <c r="M3206">
        <v>22</v>
      </c>
      <c r="N3206">
        <v>98.73</v>
      </c>
      <c r="O3206">
        <v>29.142857142857139</v>
      </c>
    </row>
    <row r="3207" spans="1:15" hidden="1" x14ac:dyDescent="0.25">
      <c r="A3207" s="11">
        <v>46101</v>
      </c>
      <c r="B3207" t="s">
        <v>18</v>
      </c>
      <c r="C3207" t="s">
        <v>16</v>
      </c>
      <c r="D3207">
        <v>8</v>
      </c>
      <c r="E3207">
        <v>8</v>
      </c>
      <c r="F3207">
        <v>44.17</v>
      </c>
      <c r="G3207">
        <v>0</v>
      </c>
      <c r="H3207">
        <v>0</v>
      </c>
      <c r="I3207" s="3">
        <f>E3207+G3207+H3207</f>
        <v>8</v>
      </c>
      <c r="J3207" s="3">
        <f>ROUND(MIN(IF(C3207="Técnico III",35,IF(C3207="Técnico II",28,IF(C3207="Técnico I",23,IF(C3207="JR",20,IF(C3207="Estágio",10,0))))),IF(C3207="Técnico III",SUMIFS($D:$D,$A:$A,$A3207,$B:$B,"&lt;&gt;Patrícia Karla de Sousa Araújo",$B:$B,"&lt;&gt;Lorena Dias de Araujo",$B:$B,"&lt;&gt;Lucas Luiz Romero")*(35/1083),IF(C3207="Técnico II",SUMIFS($D:$D,$A:$A,$A3207,$B:$B,"&lt;&gt;Patrícia Karla de Sousa Araújo",$B:$B,"&lt;&gt;Lorena Dias de Araujo",$B:$B,"&lt;&gt;Lucas Luiz Romero")*(28/1083),IF(C3207="Técnico I",SUMIFS($D:$D,$A:$A,$A3207,$B:$B,"&lt;&gt;Patrícia Karla de Sousa Araújo",$B:$B,"&lt;&gt;Lorena Dias de Araujo",$B:$B,"&lt;&gt;Lucas Luiz Romero")*(23/1083),IF(C3207="JR",SUMIFS($D:$D,$A:$A,$A3207,$B:$B,"&lt;&gt;Patrícia Karla de Sousa Araújo",$B:$B,"&lt;&gt;Lorena Dias de Araujo",$B:$B,"&lt;&gt;Lucas Luiz Romero")*(20/1083),IF(C3207="Estágio",SUMIFS($D:$D,$A:$A,$A3207,$B:$B,"&lt;&gt;Patrícia Karla de Sousa Araújo",$B:$B,"&lt;&gt;Lorena Dias de Araujo",$B:$B,"&lt;&gt;Lucas Luiz Romero")*(10/1083),0)))))),0)</f>
        <v>6</v>
      </c>
      <c r="K3207" s="3">
        <f>I3207-J3207</f>
        <v>2</v>
      </c>
      <c r="L3207" s="3" t="str">
        <f>IF(K3207&lt;-5,"CRÍTICO",IF(K3207&lt;0,"ATENÇÃO",IF(K3207&lt;=5,"OPORTUNO","MUITO BOM")))</f>
        <v>OPORTUNO</v>
      </c>
      <c r="M3207">
        <v>7</v>
      </c>
      <c r="N3207">
        <v>90.48</v>
      </c>
      <c r="O3207">
        <v>20.68965517241379</v>
      </c>
    </row>
    <row r="3208" spans="1:15" hidden="1" x14ac:dyDescent="0.25">
      <c r="A3208" s="11">
        <v>46101</v>
      </c>
      <c r="B3208" t="s">
        <v>52</v>
      </c>
      <c r="C3208" t="s">
        <v>48</v>
      </c>
      <c r="D3208">
        <v>17</v>
      </c>
      <c r="E3208">
        <v>15</v>
      </c>
      <c r="F3208">
        <v>25.32</v>
      </c>
      <c r="G3208">
        <v>0</v>
      </c>
      <c r="H3208">
        <v>0</v>
      </c>
      <c r="I3208" s="3">
        <f>E3208+G3208+H3208</f>
        <v>15</v>
      </c>
      <c r="J3208" s="3">
        <f>ROUND(MIN(IF(C3208="Técnico III",35,IF(C3208="Técnico II",28,IF(C3208="Técnico I",23,IF(C3208="JR",20,IF(C3208="Estágio",10,0))))),IF(C3208="Técnico III",SUMIFS($D:$D,$A:$A,$A3208,$B:$B,"&lt;&gt;Patrícia Karla de Sousa Araújo",$B:$B,"&lt;&gt;Lorena Dias de Araujo",$B:$B,"&lt;&gt;Lucas Luiz Romero")*(35/1083),IF(C3208="Técnico II",SUMIFS($D:$D,$A:$A,$A3208,$B:$B,"&lt;&gt;Patrícia Karla de Sousa Araújo",$B:$B,"&lt;&gt;Lorena Dias de Araujo",$B:$B,"&lt;&gt;Lucas Luiz Romero")*(28/1083),IF(C3208="Técnico I",SUMIFS($D:$D,$A:$A,$A3208,$B:$B,"&lt;&gt;Patrícia Karla de Sousa Araújo",$B:$B,"&lt;&gt;Lorena Dias de Araujo",$B:$B,"&lt;&gt;Lucas Luiz Romero")*(23/1083),IF(C3208="JR",SUMIFS($D:$D,$A:$A,$A3208,$B:$B,"&lt;&gt;Patrícia Karla de Sousa Araújo",$B:$B,"&lt;&gt;Lorena Dias de Araujo",$B:$B,"&lt;&gt;Lucas Luiz Romero")*(20/1083),IF(C3208="Estágio",SUMIFS($D:$D,$A:$A,$A3208,$B:$B,"&lt;&gt;Patrícia Karla de Sousa Araújo",$B:$B,"&lt;&gt;Lorena Dias de Araujo",$B:$B,"&lt;&gt;Lucas Luiz Romero")*(10/1083),0)))))),0)</f>
        <v>17</v>
      </c>
      <c r="K3208" s="3">
        <f>I3208-J3208</f>
        <v>-2</v>
      </c>
      <c r="L3208" s="3" t="str">
        <f>IF(K3208&lt;-5,"CRÍTICO",IF(K3208&lt;0,"ATENÇÃO",IF(K3208&lt;=5,"OPORTUNO","MUITO BOM")))</f>
        <v>ATENÇÃO</v>
      </c>
      <c r="M3208">
        <v>11</v>
      </c>
      <c r="N3208">
        <v>98.06</v>
      </c>
      <c r="O3208">
        <v>24.789915966386559</v>
      </c>
    </row>
    <row r="3209" spans="1:15" hidden="1" x14ac:dyDescent="0.25">
      <c r="A3209" s="11">
        <v>46101</v>
      </c>
      <c r="B3209" t="s">
        <v>36</v>
      </c>
      <c r="C3209" t="s">
        <v>32</v>
      </c>
      <c r="D3209">
        <v>27</v>
      </c>
      <c r="E3209">
        <v>27</v>
      </c>
      <c r="F3209">
        <v>18.399999999999999</v>
      </c>
      <c r="G3209">
        <v>0</v>
      </c>
      <c r="H3209">
        <v>0</v>
      </c>
      <c r="I3209" s="3">
        <f>E3209+G3209+H3209</f>
        <v>27</v>
      </c>
      <c r="J3209" s="3">
        <f>ROUND(MIN(IF(C3209="Técnico III",35,IF(C3209="Técnico II",28,IF(C3209="Técnico I",23,IF(C3209="JR",20,IF(C3209="Estágio",10,0))))),IF(C3209="Técnico III",SUMIFS($D:$D,$A:$A,$A3209,$B:$B,"&lt;&gt;Patrícia Karla de Sousa Araújo",$B:$B,"&lt;&gt;Lorena Dias de Araujo",$B:$B,"&lt;&gt;Lucas Luiz Romero")*(35/1083),IF(C3209="Técnico II",SUMIFS($D:$D,$A:$A,$A3209,$B:$B,"&lt;&gt;Patrícia Karla de Sousa Araújo",$B:$B,"&lt;&gt;Lorena Dias de Araujo",$B:$B,"&lt;&gt;Lucas Luiz Romero")*(28/1083),IF(C3209="Técnico I",SUMIFS($D:$D,$A:$A,$A3209,$B:$B,"&lt;&gt;Patrícia Karla de Sousa Araújo",$B:$B,"&lt;&gt;Lorena Dias de Araujo",$B:$B,"&lt;&gt;Lucas Luiz Romero")*(23/1083),IF(C3209="JR",SUMIFS($D:$D,$A:$A,$A3209,$B:$B,"&lt;&gt;Patrícia Karla de Sousa Araújo",$B:$B,"&lt;&gt;Lorena Dias de Araujo",$B:$B,"&lt;&gt;Lucas Luiz Romero")*(20/1083),IF(C3209="Estágio",SUMIFS($D:$D,$A:$A,$A3209,$B:$B,"&lt;&gt;Patrícia Karla de Sousa Araújo",$B:$B,"&lt;&gt;Lorena Dias de Araujo",$B:$B,"&lt;&gt;Lucas Luiz Romero")*(10/1083),0)))))),0)</f>
        <v>22</v>
      </c>
      <c r="K3209" s="3">
        <f>I3209-J3209</f>
        <v>5</v>
      </c>
      <c r="L3209" s="3" t="str">
        <f>IF(K3209&lt;-5,"CRÍTICO",IF(K3209&lt;0,"ATENÇÃO",IF(K3209&lt;=5,"OPORTUNO","MUITO BOM")))</f>
        <v>OPORTUNO</v>
      </c>
      <c r="M3209">
        <v>28</v>
      </c>
      <c r="N3209">
        <v>97.78</v>
      </c>
      <c r="O3209">
        <v>25.494071146245059</v>
      </c>
    </row>
    <row r="3210" spans="1:15" hidden="1" x14ac:dyDescent="0.25">
      <c r="A3210" s="11">
        <v>46101</v>
      </c>
      <c r="B3210" t="s">
        <v>53</v>
      </c>
      <c r="C3210" t="s">
        <v>48</v>
      </c>
      <c r="D3210">
        <v>12</v>
      </c>
      <c r="E3210">
        <v>10</v>
      </c>
      <c r="F3210">
        <v>35.19</v>
      </c>
      <c r="G3210">
        <v>0</v>
      </c>
      <c r="H3210">
        <v>0</v>
      </c>
      <c r="I3210" s="3">
        <f>E3210+G3210+H3210</f>
        <v>10</v>
      </c>
      <c r="J3210" s="3">
        <f>ROUND(MIN(IF(C3210="Técnico III",35,IF(C3210="Técnico II",28,IF(C3210="Técnico I",23,IF(C3210="JR",20,IF(C3210="Estágio",10,0))))),IF(C3210="Técnico III",SUMIFS($D:$D,$A:$A,$A3210,$B:$B,"&lt;&gt;Patrícia Karla de Sousa Araújo",$B:$B,"&lt;&gt;Lorena Dias de Araujo",$B:$B,"&lt;&gt;Lucas Luiz Romero")*(35/1083),IF(C3210="Técnico II",SUMIFS($D:$D,$A:$A,$A3210,$B:$B,"&lt;&gt;Patrícia Karla de Sousa Araújo",$B:$B,"&lt;&gt;Lorena Dias de Araujo",$B:$B,"&lt;&gt;Lucas Luiz Romero")*(28/1083),IF(C3210="Técnico I",SUMIFS($D:$D,$A:$A,$A3210,$B:$B,"&lt;&gt;Patrícia Karla de Sousa Araújo",$B:$B,"&lt;&gt;Lorena Dias de Araujo",$B:$B,"&lt;&gt;Lucas Luiz Romero")*(23/1083),IF(C3210="JR",SUMIFS($D:$D,$A:$A,$A3210,$B:$B,"&lt;&gt;Patrícia Karla de Sousa Araújo",$B:$B,"&lt;&gt;Lorena Dias de Araujo",$B:$B,"&lt;&gt;Lucas Luiz Romero")*(20/1083),IF(C3210="Estágio",SUMIFS($D:$D,$A:$A,$A3210,$B:$B,"&lt;&gt;Patrícia Karla de Sousa Araújo",$B:$B,"&lt;&gt;Lorena Dias de Araujo",$B:$B,"&lt;&gt;Lucas Luiz Romero")*(10/1083),0)))))),0)</f>
        <v>17</v>
      </c>
      <c r="K3210" s="3">
        <f>I3210-J3210</f>
        <v>-7</v>
      </c>
      <c r="L3210" s="3" t="str">
        <f>IF(K3210&lt;-5,"CRÍTICO",IF(K3210&lt;0,"ATENÇÃO",IF(K3210&lt;=5,"OPORTUNO","MUITO BOM")))</f>
        <v>CRÍTICO</v>
      </c>
      <c r="M3210">
        <v>10</v>
      </c>
      <c r="N3210">
        <v>98.02</v>
      </c>
      <c r="O3210">
        <v>23.484848484848481</v>
      </c>
    </row>
    <row r="3211" spans="1:15" hidden="1" x14ac:dyDescent="0.25">
      <c r="A3211" s="11">
        <v>46136</v>
      </c>
      <c r="B3211" t="s">
        <v>22</v>
      </c>
      <c r="C3211" t="s">
        <v>23</v>
      </c>
      <c r="D3211">
        <v>16</v>
      </c>
      <c r="E3211">
        <v>15</v>
      </c>
      <c r="F3211">
        <v>24.14</v>
      </c>
      <c r="G3211">
        <v>0</v>
      </c>
      <c r="H3211">
        <v>0</v>
      </c>
      <c r="I3211" s="3">
        <f>E3211+G3211+H3211</f>
        <v>15</v>
      </c>
      <c r="J3211" s="3">
        <f>ROUND(MIN(IF(C3211="Técnico III",35,IF(C3211="Técnico II",28,IF(C3211="Técnico I",23,IF(C3211="JR",20,IF(C3211="Estágio",10,0))))),IF(C3211="Técnico III",SUMIFS($D:$D,$A:$A,$A3211,$B:$B,"&lt;&gt;Patrícia Karla de Sousa Araújo",$B:$B,"&lt;&gt;Lorena Dias de Araujo",$B:$B,"&lt;&gt;Lucas Luiz Romero")*(35/1083),IF(C3211="Técnico II",SUMIFS($D:$D,$A:$A,$A3211,$B:$B,"&lt;&gt;Patrícia Karla de Sousa Araújo",$B:$B,"&lt;&gt;Lorena Dias de Araujo",$B:$B,"&lt;&gt;Lucas Luiz Romero")*(28/1083),IF(C3211="Técnico I",SUMIFS($D:$D,$A:$A,$A3211,$B:$B,"&lt;&gt;Patrícia Karla de Sousa Araújo",$B:$B,"&lt;&gt;Lorena Dias de Araujo",$B:$B,"&lt;&gt;Lucas Luiz Romero")*(23/1083),IF(C3211="JR",SUMIFS($D:$D,$A:$A,$A3211,$B:$B,"&lt;&gt;Patrícia Karla de Sousa Araújo",$B:$B,"&lt;&gt;Lorena Dias de Araujo",$B:$B,"&lt;&gt;Lucas Luiz Romero")*(20/1083),IF(C3211="Estágio",SUMIFS($D:$D,$A:$A,$A3211,$B:$B,"&lt;&gt;Patrícia Karla de Sousa Araújo",$B:$B,"&lt;&gt;Lorena Dias de Araujo",$B:$B,"&lt;&gt;Lucas Luiz Romero")*(10/1083),0)))))),0)</f>
        <v>15</v>
      </c>
      <c r="K3211" s="3">
        <f>I3211-J3211</f>
        <v>0</v>
      </c>
      <c r="L3211" s="3" t="str">
        <f>IF(K3211&lt;-5,"CRÍTICO",IF(K3211&lt;0,"ATENÇÃO",IF(K3211&lt;=5,"OPORTUNO","MUITO BOM")))</f>
        <v>OPORTUNO</v>
      </c>
      <c r="M3211">
        <v>21</v>
      </c>
      <c r="N3211">
        <v>99.28</v>
      </c>
      <c r="O3211">
        <v>27.689243027888441</v>
      </c>
    </row>
    <row r="3212" spans="1:15" hidden="1" x14ac:dyDescent="0.25">
      <c r="A3212" s="11">
        <v>46101</v>
      </c>
      <c r="B3212" t="s">
        <v>54</v>
      </c>
      <c r="C3212" t="s">
        <v>48</v>
      </c>
      <c r="D3212">
        <v>29</v>
      </c>
      <c r="E3212">
        <v>28</v>
      </c>
      <c r="F3212">
        <v>20.32</v>
      </c>
      <c r="G3212">
        <v>0</v>
      </c>
      <c r="H3212">
        <v>0</v>
      </c>
      <c r="I3212" s="3">
        <f>E3212+G3212+H3212</f>
        <v>28</v>
      </c>
      <c r="J3212" s="3">
        <f>ROUND(MIN(IF(C3212="Técnico III",35,IF(C3212="Técnico II",28,IF(C3212="Técnico I",23,IF(C3212="JR",20,IF(C3212="Estágio",10,0))))),IF(C3212="Técnico III",SUMIFS($D:$D,$A:$A,$A3212,$B:$B,"&lt;&gt;Patrícia Karla de Sousa Araújo",$B:$B,"&lt;&gt;Lorena Dias de Araujo",$B:$B,"&lt;&gt;Lucas Luiz Romero")*(35/1083),IF(C3212="Técnico II",SUMIFS($D:$D,$A:$A,$A3212,$B:$B,"&lt;&gt;Patrícia Karla de Sousa Araújo",$B:$B,"&lt;&gt;Lorena Dias de Araujo",$B:$B,"&lt;&gt;Lucas Luiz Romero")*(28/1083),IF(C3212="Técnico I",SUMIFS($D:$D,$A:$A,$A3212,$B:$B,"&lt;&gt;Patrícia Karla de Sousa Araújo",$B:$B,"&lt;&gt;Lorena Dias de Araujo",$B:$B,"&lt;&gt;Lucas Luiz Romero")*(23/1083),IF(C3212="JR",SUMIFS($D:$D,$A:$A,$A3212,$B:$B,"&lt;&gt;Patrícia Karla de Sousa Araújo",$B:$B,"&lt;&gt;Lorena Dias de Araujo",$B:$B,"&lt;&gt;Lucas Luiz Romero")*(20/1083),IF(C3212="Estágio",SUMIFS($D:$D,$A:$A,$A3212,$B:$B,"&lt;&gt;Patrícia Karla de Sousa Araújo",$B:$B,"&lt;&gt;Lorena Dias de Araujo",$B:$B,"&lt;&gt;Lucas Luiz Romero")*(10/1083),0)))))),0)</f>
        <v>17</v>
      </c>
      <c r="K3212" s="3">
        <f>I3212-J3212</f>
        <v>11</v>
      </c>
      <c r="L3212" s="3" t="str">
        <f>IF(K3212&lt;-5,"CRÍTICO",IF(K3212&lt;0,"ATENÇÃO",IF(K3212&lt;=5,"OPORTUNO","MUITO BOM")))</f>
        <v>MUITO BOM</v>
      </c>
      <c r="M3212">
        <v>27</v>
      </c>
      <c r="N3212">
        <v>100</v>
      </c>
      <c r="O3212">
        <v>27.04918032786885</v>
      </c>
    </row>
    <row r="3213" spans="1:15" hidden="1" x14ac:dyDescent="0.25">
      <c r="A3213" s="11">
        <v>46101</v>
      </c>
      <c r="B3213" t="s">
        <v>37</v>
      </c>
      <c r="C3213" t="s">
        <v>32</v>
      </c>
      <c r="D3213">
        <v>39</v>
      </c>
      <c r="E3213">
        <v>38</v>
      </c>
      <c r="F3213">
        <v>16.5</v>
      </c>
      <c r="G3213">
        <v>0</v>
      </c>
      <c r="H3213">
        <v>0</v>
      </c>
      <c r="I3213" s="3">
        <f>E3213+G3213+H3213</f>
        <v>38</v>
      </c>
      <c r="J3213" s="3">
        <f>ROUND(MIN(IF(C3213="Técnico III",35,IF(C3213="Técnico II",28,IF(C3213="Técnico I",23,IF(C3213="JR",20,IF(C3213="Estágio",10,0))))),IF(C3213="Técnico III",SUMIFS($D:$D,$A:$A,$A3213,$B:$B,"&lt;&gt;Patrícia Karla de Sousa Araújo",$B:$B,"&lt;&gt;Lorena Dias de Araujo",$B:$B,"&lt;&gt;Lucas Luiz Romero")*(35/1083),IF(C3213="Técnico II",SUMIFS($D:$D,$A:$A,$A3213,$B:$B,"&lt;&gt;Patrícia Karla de Sousa Araújo",$B:$B,"&lt;&gt;Lorena Dias de Araujo",$B:$B,"&lt;&gt;Lucas Luiz Romero")*(28/1083),IF(C3213="Técnico I",SUMIFS($D:$D,$A:$A,$A3213,$B:$B,"&lt;&gt;Patrícia Karla de Sousa Araújo",$B:$B,"&lt;&gt;Lorena Dias de Araujo",$B:$B,"&lt;&gt;Lucas Luiz Romero")*(23/1083),IF(C3213="JR",SUMIFS($D:$D,$A:$A,$A3213,$B:$B,"&lt;&gt;Patrícia Karla de Sousa Araújo",$B:$B,"&lt;&gt;Lorena Dias de Araujo",$B:$B,"&lt;&gt;Lucas Luiz Romero")*(20/1083),IF(C3213="Estágio",SUMIFS($D:$D,$A:$A,$A3213,$B:$B,"&lt;&gt;Patrícia Karla de Sousa Araújo",$B:$B,"&lt;&gt;Lorena Dias de Araujo",$B:$B,"&lt;&gt;Lucas Luiz Romero")*(10/1083),0)))))),0)</f>
        <v>22</v>
      </c>
      <c r="K3213" s="3">
        <f>I3213-J3213</f>
        <v>16</v>
      </c>
      <c r="L3213" s="3" t="str">
        <f>IF(K3213&lt;-5,"CRÍTICO",IF(K3213&lt;0,"ATENÇÃO",IF(K3213&lt;=5,"OPORTUNO","MUITO BOM")))</f>
        <v>MUITO BOM</v>
      </c>
      <c r="M3213">
        <v>33</v>
      </c>
      <c r="N3213">
        <v>97.83</v>
      </c>
      <c r="O3213">
        <v>26.315789473684209</v>
      </c>
    </row>
    <row r="3214" spans="1:15" hidden="1" x14ac:dyDescent="0.25">
      <c r="A3214" s="11">
        <v>46101</v>
      </c>
      <c r="B3214" t="s">
        <v>38</v>
      </c>
      <c r="C3214" t="s">
        <v>32</v>
      </c>
      <c r="D3214">
        <v>3</v>
      </c>
      <c r="E3214">
        <v>3</v>
      </c>
      <c r="F3214">
        <v>4.0199999999999996</v>
      </c>
      <c r="G3214">
        <v>0</v>
      </c>
      <c r="H3214">
        <v>0</v>
      </c>
      <c r="I3214" s="3">
        <f>E3214+G3214+H3214</f>
        <v>3</v>
      </c>
      <c r="J3214" s="3">
        <f>ROUND(MIN(IF(C3214="Técnico III",35,IF(C3214="Técnico II",28,IF(C3214="Técnico I",23,IF(C3214="JR",20,IF(C3214="Estágio",10,0))))),IF(C3214="Técnico III",SUMIFS($D:$D,$A:$A,$A3214,$B:$B,"&lt;&gt;Patrícia Karla de Sousa Araújo",$B:$B,"&lt;&gt;Lorena Dias de Araujo",$B:$B,"&lt;&gt;Lucas Luiz Romero")*(35/1083),IF(C3214="Técnico II",SUMIFS($D:$D,$A:$A,$A3214,$B:$B,"&lt;&gt;Patrícia Karla de Sousa Araújo",$B:$B,"&lt;&gt;Lorena Dias de Araujo",$B:$B,"&lt;&gt;Lucas Luiz Romero")*(28/1083),IF(C3214="Técnico I",SUMIFS($D:$D,$A:$A,$A3214,$B:$B,"&lt;&gt;Patrícia Karla de Sousa Araújo",$B:$B,"&lt;&gt;Lorena Dias de Araujo",$B:$B,"&lt;&gt;Lucas Luiz Romero")*(23/1083),IF(C3214="JR",SUMIFS($D:$D,$A:$A,$A3214,$B:$B,"&lt;&gt;Patrícia Karla de Sousa Araújo",$B:$B,"&lt;&gt;Lorena Dias de Araujo",$B:$B,"&lt;&gt;Lucas Luiz Romero")*(20/1083),IF(C3214="Estágio",SUMIFS($D:$D,$A:$A,$A3214,$B:$B,"&lt;&gt;Patrícia Karla de Sousa Araújo",$B:$B,"&lt;&gt;Lorena Dias de Araujo",$B:$B,"&lt;&gt;Lucas Luiz Romero")*(10/1083),0)))))),0)</f>
        <v>22</v>
      </c>
      <c r="K3214" s="3">
        <f>I3214-J3214</f>
        <v>-19</v>
      </c>
      <c r="L3214" s="3" t="str">
        <f>IF(K3214&lt;-5,"CRÍTICO",IF(K3214&lt;0,"ATENÇÃO",IF(K3214&lt;=5,"OPORTUNO","MUITO BOM")))</f>
        <v>CRÍTICO</v>
      </c>
      <c r="M3214">
        <v>9</v>
      </c>
      <c r="N3214">
        <v>100</v>
      </c>
      <c r="O3214">
        <v>26.701570680628269</v>
      </c>
    </row>
    <row r="3215" spans="1:15" hidden="1" x14ac:dyDescent="0.25">
      <c r="A3215" s="11">
        <v>46101</v>
      </c>
      <c r="B3215" t="s">
        <v>55</v>
      </c>
      <c r="C3215" t="s">
        <v>48</v>
      </c>
      <c r="D3215">
        <v>0</v>
      </c>
      <c r="E3215">
        <v>0</v>
      </c>
      <c r="F3215">
        <v>0</v>
      </c>
      <c r="G3215">
        <v>0</v>
      </c>
      <c r="H3215">
        <v>0</v>
      </c>
      <c r="I3215" s="3">
        <v>0</v>
      </c>
      <c r="J3215" s="3">
        <v>0</v>
      </c>
      <c r="K3215" s="3">
        <v>0</v>
      </c>
      <c r="L3215" s="3" t="str">
        <f>IF(K3215&lt;-5,"CRÍTICO",IF(K3215&lt;0,"ATENÇÃO",IF(K3215&lt;=5,"OPORTUNO","MUITO BOM")))</f>
        <v>OPORTUNO</v>
      </c>
      <c r="M3215">
        <v>0</v>
      </c>
      <c r="N3215">
        <v>97.47</v>
      </c>
      <c r="O3215">
        <v>22.887323943661968</v>
      </c>
    </row>
    <row r="3216" spans="1:15" hidden="1" x14ac:dyDescent="0.25">
      <c r="A3216" s="11">
        <v>46101</v>
      </c>
      <c r="B3216" t="s">
        <v>39</v>
      </c>
      <c r="C3216" t="s">
        <v>32</v>
      </c>
      <c r="D3216">
        <v>0</v>
      </c>
      <c r="E3216">
        <v>0</v>
      </c>
      <c r="F3216">
        <v>0</v>
      </c>
      <c r="G3216">
        <v>0</v>
      </c>
      <c r="H3216">
        <v>0</v>
      </c>
      <c r="I3216" s="3">
        <v>0</v>
      </c>
      <c r="J3216" s="3">
        <v>0</v>
      </c>
      <c r="K3216" s="3">
        <v>0</v>
      </c>
      <c r="L3216" s="3" t="str">
        <f>IF(K3216&lt;-5,"CRÍTICO",IF(K3216&lt;0,"ATENÇÃO",IF(K3216&lt;=5,"OPORTUNO","MUITO BOM")))</f>
        <v>OPORTUNO</v>
      </c>
      <c r="M3216">
        <v>0</v>
      </c>
      <c r="N3216">
        <v>0</v>
      </c>
      <c r="O3216">
        <v>0</v>
      </c>
    </row>
    <row r="3217" spans="1:15" hidden="1" x14ac:dyDescent="0.25">
      <c r="A3217" s="11">
        <v>46101</v>
      </c>
      <c r="B3217" t="s">
        <v>25</v>
      </c>
      <c r="C3217" t="s">
        <v>26</v>
      </c>
      <c r="D3217">
        <v>23</v>
      </c>
      <c r="E3217">
        <v>22</v>
      </c>
      <c r="F3217">
        <v>26.4</v>
      </c>
      <c r="G3217">
        <v>0</v>
      </c>
      <c r="H3217">
        <v>0</v>
      </c>
      <c r="I3217" s="3">
        <f>E3217+G3217+H3217</f>
        <v>22</v>
      </c>
      <c r="J3217" s="3">
        <f>ROUND(MIN(IF(C3217="Técnico III",35,IF(C3217="Técnico II",28,IF(C3217="Técnico I",23,IF(C3217="JR",20,IF(C3217="Estágio",10,0))))),IF(C3217="Técnico III",SUMIFS($D:$D,$A:$A,$A3217,$B:$B,"&lt;&gt;Patrícia Karla de Sousa Araújo",$B:$B,"&lt;&gt;Lorena Dias de Araujo",$B:$B,"&lt;&gt;Lucas Luiz Romero")*(35/1083),IF(C3217="Técnico II",SUMIFS($D:$D,$A:$A,$A3217,$B:$B,"&lt;&gt;Patrícia Karla de Sousa Araújo",$B:$B,"&lt;&gt;Lorena Dias de Araujo",$B:$B,"&lt;&gt;Lucas Luiz Romero")*(28/1083),IF(C3217="Técnico I",SUMIFS($D:$D,$A:$A,$A3217,$B:$B,"&lt;&gt;Patrícia Karla de Sousa Araújo",$B:$B,"&lt;&gt;Lorena Dias de Araujo",$B:$B,"&lt;&gt;Lucas Luiz Romero")*(23/1083),IF(C3217="JR",SUMIFS($D:$D,$A:$A,$A3217,$B:$B,"&lt;&gt;Patrícia Karla de Sousa Araújo",$B:$B,"&lt;&gt;Lorena Dias de Araujo",$B:$B,"&lt;&gt;Lucas Luiz Romero")*(20/1083),IF(C3217="Estágio",SUMIFS($D:$D,$A:$A,$A3217,$B:$B,"&lt;&gt;Patrícia Karla de Sousa Araújo",$B:$B,"&lt;&gt;Lorena Dias de Araujo",$B:$B,"&lt;&gt;Lucas Luiz Romero")*(10/1083),0)))))),0)</f>
        <v>12</v>
      </c>
      <c r="K3217" s="3">
        <f>I3217-J3217</f>
        <v>10</v>
      </c>
      <c r="L3217" s="3" t="str">
        <f>IF(K3217&lt;-5,"CRÍTICO",IF(K3217&lt;0,"ATENÇÃO",IF(K3217&lt;=5,"OPORTUNO","MUITO BOM")))</f>
        <v>MUITO BOM</v>
      </c>
      <c r="M3217">
        <v>23</v>
      </c>
      <c r="N3217">
        <v>98.31</v>
      </c>
      <c r="O3217">
        <v>24.920127795527151</v>
      </c>
    </row>
    <row r="3218" spans="1:15" hidden="1" x14ac:dyDescent="0.25">
      <c r="A3218" s="11">
        <v>46101</v>
      </c>
      <c r="B3218" t="s">
        <v>40</v>
      </c>
      <c r="C3218" t="s">
        <v>32</v>
      </c>
      <c r="D3218">
        <v>5</v>
      </c>
      <c r="E3218">
        <v>5</v>
      </c>
      <c r="F3218">
        <v>44.14</v>
      </c>
      <c r="G3218">
        <v>0</v>
      </c>
      <c r="H3218">
        <v>0</v>
      </c>
      <c r="I3218" s="3">
        <f>E3218+G3218+H3218</f>
        <v>5</v>
      </c>
      <c r="J3218" s="3">
        <f>ROUND(MIN(IF(C3218="Técnico III",35,IF(C3218="Técnico II",28,IF(C3218="Técnico I",23,IF(C3218="JR",20,IF(C3218="Estágio",10,0))))),IF(C3218="Técnico III",SUMIFS($D:$D,$A:$A,$A3218,$B:$B,"&lt;&gt;Patrícia Karla de Sousa Araújo",$B:$B,"&lt;&gt;Lorena Dias de Araujo",$B:$B,"&lt;&gt;Lucas Luiz Romero")*(35/1083),IF(C3218="Técnico II",SUMIFS($D:$D,$A:$A,$A3218,$B:$B,"&lt;&gt;Patrícia Karla de Sousa Araújo",$B:$B,"&lt;&gt;Lorena Dias de Araujo",$B:$B,"&lt;&gt;Lucas Luiz Romero")*(28/1083),IF(C3218="Técnico I",SUMIFS($D:$D,$A:$A,$A3218,$B:$B,"&lt;&gt;Patrícia Karla de Sousa Araújo",$B:$B,"&lt;&gt;Lorena Dias de Araujo",$B:$B,"&lt;&gt;Lucas Luiz Romero")*(23/1083),IF(C3218="JR",SUMIFS($D:$D,$A:$A,$A3218,$B:$B,"&lt;&gt;Patrícia Karla de Sousa Araújo",$B:$B,"&lt;&gt;Lorena Dias de Araujo",$B:$B,"&lt;&gt;Lucas Luiz Romero")*(20/1083),IF(C3218="Estágio",SUMIFS($D:$D,$A:$A,$A3218,$B:$B,"&lt;&gt;Patrícia Karla de Sousa Araújo",$B:$B,"&lt;&gt;Lorena Dias de Araujo",$B:$B,"&lt;&gt;Lucas Luiz Romero")*(10/1083),0)))))),0)</f>
        <v>22</v>
      </c>
      <c r="K3218" s="3">
        <f>I3218-J3218</f>
        <v>-17</v>
      </c>
      <c r="L3218" s="3" t="str">
        <f>IF(K3218&lt;-5,"CRÍTICO",IF(K3218&lt;0,"ATENÇÃO",IF(K3218&lt;=5,"OPORTUNO","MUITO BOM")))</f>
        <v>CRÍTICO</v>
      </c>
      <c r="M3218">
        <v>5</v>
      </c>
      <c r="N3218">
        <v>96.81</v>
      </c>
      <c r="O3218">
        <v>32.365145228215773</v>
      </c>
    </row>
    <row r="3219" spans="1:15" hidden="1" x14ac:dyDescent="0.25">
      <c r="A3219" s="11">
        <v>46101</v>
      </c>
      <c r="B3219" t="s">
        <v>27</v>
      </c>
      <c r="C3219" t="s">
        <v>26</v>
      </c>
      <c r="D3219">
        <v>15</v>
      </c>
      <c r="E3219">
        <v>12</v>
      </c>
      <c r="F3219">
        <v>32.020000000000003</v>
      </c>
      <c r="G3219">
        <v>0</v>
      </c>
      <c r="H3219">
        <v>0</v>
      </c>
      <c r="I3219" s="3">
        <f>E3219+G3219+H3219</f>
        <v>12</v>
      </c>
      <c r="J3219" s="3">
        <f>ROUND(MIN(IF(C3219="Técnico III",35,IF(C3219="Técnico II",28,IF(C3219="Técnico I",23,IF(C3219="JR",20,IF(C3219="Estágio",10,0))))),IF(C3219="Técnico III",SUMIFS($D:$D,$A:$A,$A3219,$B:$B,"&lt;&gt;Patrícia Karla de Sousa Araújo",$B:$B,"&lt;&gt;Lorena Dias de Araujo",$B:$B,"&lt;&gt;Lucas Luiz Romero")*(35/1083),IF(C3219="Técnico II",SUMIFS($D:$D,$A:$A,$A3219,$B:$B,"&lt;&gt;Patrícia Karla de Sousa Araújo",$B:$B,"&lt;&gt;Lorena Dias de Araujo",$B:$B,"&lt;&gt;Lucas Luiz Romero")*(28/1083),IF(C3219="Técnico I",SUMIFS($D:$D,$A:$A,$A3219,$B:$B,"&lt;&gt;Patrícia Karla de Sousa Araújo",$B:$B,"&lt;&gt;Lorena Dias de Araujo",$B:$B,"&lt;&gt;Lucas Luiz Romero")*(23/1083),IF(C3219="JR",SUMIFS($D:$D,$A:$A,$A3219,$B:$B,"&lt;&gt;Patrícia Karla de Sousa Araújo",$B:$B,"&lt;&gt;Lorena Dias de Araujo",$B:$B,"&lt;&gt;Lucas Luiz Romero")*(20/1083),IF(C3219="Estágio",SUMIFS($D:$D,$A:$A,$A3219,$B:$B,"&lt;&gt;Patrícia Karla de Sousa Araújo",$B:$B,"&lt;&gt;Lorena Dias de Araujo",$B:$B,"&lt;&gt;Lucas Luiz Romero")*(10/1083),0)))))),0)</f>
        <v>12</v>
      </c>
      <c r="K3219" s="3">
        <f>I3219-J3219</f>
        <v>0</v>
      </c>
      <c r="L3219" s="3" t="str">
        <f>IF(K3219&lt;-5,"CRÍTICO",IF(K3219&lt;0,"ATENÇÃO",IF(K3219&lt;=5,"OPORTUNO","MUITO BOM")))</f>
        <v>OPORTUNO</v>
      </c>
      <c r="M3219">
        <v>6</v>
      </c>
      <c r="N3219">
        <v>100</v>
      </c>
      <c r="O3219">
        <v>26.47058823529412</v>
      </c>
    </row>
    <row r="3220" spans="1:15" hidden="1" x14ac:dyDescent="0.25">
      <c r="A3220" s="11">
        <v>46101</v>
      </c>
      <c r="B3220" t="s">
        <v>41</v>
      </c>
      <c r="C3220" t="s">
        <v>32</v>
      </c>
      <c r="D3220">
        <v>21</v>
      </c>
      <c r="E3220">
        <v>19</v>
      </c>
      <c r="F3220">
        <v>30.07</v>
      </c>
      <c r="G3220">
        <v>0</v>
      </c>
      <c r="H3220">
        <v>0</v>
      </c>
      <c r="I3220" s="3">
        <f>E3220+G3220+H3220</f>
        <v>19</v>
      </c>
      <c r="J3220" s="3">
        <f>ROUND(MIN(IF(C3220="Técnico III",35,IF(C3220="Técnico II",28,IF(C3220="Técnico I",23,IF(C3220="JR",20,IF(C3220="Estágio",10,0))))),IF(C3220="Técnico III",SUMIFS($D:$D,$A:$A,$A3220,$B:$B,"&lt;&gt;Patrícia Karla de Sousa Araújo",$B:$B,"&lt;&gt;Lorena Dias de Araujo",$B:$B,"&lt;&gt;Lucas Luiz Romero")*(35/1083),IF(C3220="Técnico II",SUMIFS($D:$D,$A:$A,$A3220,$B:$B,"&lt;&gt;Patrícia Karla de Sousa Araújo",$B:$B,"&lt;&gt;Lorena Dias de Araujo",$B:$B,"&lt;&gt;Lucas Luiz Romero")*(28/1083),IF(C3220="Técnico I",SUMIFS($D:$D,$A:$A,$A3220,$B:$B,"&lt;&gt;Patrícia Karla de Sousa Araújo",$B:$B,"&lt;&gt;Lorena Dias de Araujo",$B:$B,"&lt;&gt;Lucas Luiz Romero")*(23/1083),IF(C3220="JR",SUMIFS($D:$D,$A:$A,$A3220,$B:$B,"&lt;&gt;Patrícia Karla de Sousa Araújo",$B:$B,"&lt;&gt;Lorena Dias de Araujo",$B:$B,"&lt;&gt;Lucas Luiz Romero")*(20/1083),IF(C3220="Estágio",SUMIFS($D:$D,$A:$A,$A3220,$B:$B,"&lt;&gt;Patrícia Karla de Sousa Araújo",$B:$B,"&lt;&gt;Lorena Dias de Araujo",$B:$B,"&lt;&gt;Lucas Luiz Romero")*(10/1083),0)))))),0)</f>
        <v>22</v>
      </c>
      <c r="K3220" s="3">
        <f>I3220-J3220</f>
        <v>-3</v>
      </c>
      <c r="L3220" s="3" t="str">
        <f>IF(K3220&lt;-5,"CRÍTICO",IF(K3220&lt;0,"ATENÇÃO",IF(K3220&lt;=5,"OPORTUNO","MUITO BOM")))</f>
        <v>ATENÇÃO</v>
      </c>
      <c r="M3220">
        <v>22</v>
      </c>
      <c r="N3220">
        <v>100</v>
      </c>
      <c r="O3220">
        <v>28.490028490028489</v>
      </c>
    </row>
    <row r="3221" spans="1:15" hidden="1" x14ac:dyDescent="0.25">
      <c r="A3221" s="11">
        <v>46101</v>
      </c>
      <c r="B3221" t="s">
        <v>56</v>
      </c>
      <c r="C3221" t="s">
        <v>48</v>
      </c>
      <c r="D3221">
        <v>26</v>
      </c>
      <c r="E3221">
        <v>23</v>
      </c>
      <c r="F3221">
        <v>24.09</v>
      </c>
      <c r="G3221">
        <v>0</v>
      </c>
      <c r="H3221">
        <v>0</v>
      </c>
      <c r="I3221" s="3">
        <f>E3221+G3221+H3221</f>
        <v>23</v>
      </c>
      <c r="J3221" s="3">
        <f>ROUND(MIN(IF(C3221="Técnico III",35,IF(C3221="Técnico II",28,IF(C3221="Técnico I",23,IF(C3221="JR",20,IF(C3221="Estágio",10,0))))),IF(C3221="Técnico III",SUMIFS($D:$D,$A:$A,$A3221,$B:$B,"&lt;&gt;Patrícia Karla de Sousa Araújo",$B:$B,"&lt;&gt;Lorena Dias de Araujo",$B:$B,"&lt;&gt;Lucas Luiz Romero")*(35/1083),IF(C3221="Técnico II",SUMIFS($D:$D,$A:$A,$A3221,$B:$B,"&lt;&gt;Patrícia Karla de Sousa Araújo",$B:$B,"&lt;&gt;Lorena Dias de Araujo",$B:$B,"&lt;&gt;Lucas Luiz Romero")*(28/1083),IF(C3221="Técnico I",SUMIFS($D:$D,$A:$A,$A3221,$B:$B,"&lt;&gt;Patrícia Karla de Sousa Araújo",$B:$B,"&lt;&gt;Lorena Dias de Araujo",$B:$B,"&lt;&gt;Lucas Luiz Romero")*(23/1083),IF(C3221="JR",SUMIFS($D:$D,$A:$A,$A3221,$B:$B,"&lt;&gt;Patrícia Karla de Sousa Araújo",$B:$B,"&lt;&gt;Lorena Dias de Araujo",$B:$B,"&lt;&gt;Lucas Luiz Romero")*(20/1083),IF(C3221="Estágio",SUMIFS($D:$D,$A:$A,$A3221,$B:$B,"&lt;&gt;Patrícia Karla de Sousa Araújo",$B:$B,"&lt;&gt;Lorena Dias de Araujo",$B:$B,"&lt;&gt;Lucas Luiz Romero")*(10/1083),0)))))),0)</f>
        <v>17</v>
      </c>
      <c r="K3221" s="3">
        <f>I3221-J3221</f>
        <v>6</v>
      </c>
      <c r="L3221" s="3" t="str">
        <f>IF(K3221&lt;-5,"CRÍTICO",IF(K3221&lt;0,"ATENÇÃO",IF(K3221&lt;=5,"OPORTUNO","MUITO BOM")))</f>
        <v>MUITO BOM</v>
      </c>
      <c r="M3221">
        <v>22</v>
      </c>
      <c r="N3221">
        <v>99.14</v>
      </c>
      <c r="O3221">
        <v>27.2289156626506</v>
      </c>
    </row>
    <row r="3222" spans="1:15" hidden="1" x14ac:dyDescent="0.25">
      <c r="A3222" s="11">
        <v>46101</v>
      </c>
      <c r="B3222" t="s">
        <v>57</v>
      </c>
      <c r="C3222" t="s">
        <v>48</v>
      </c>
      <c r="D3222">
        <v>32</v>
      </c>
      <c r="E3222">
        <v>29</v>
      </c>
      <c r="F3222">
        <v>15.52</v>
      </c>
      <c r="G3222">
        <v>0</v>
      </c>
      <c r="H3222">
        <v>0</v>
      </c>
      <c r="I3222" s="3">
        <v>0</v>
      </c>
      <c r="J3222" s="3">
        <v>0</v>
      </c>
      <c r="K3222" s="3">
        <v>0</v>
      </c>
      <c r="L3222" s="3" t="str">
        <f>IF(K3222&lt;-5,"CRÍTICO",IF(K3222&lt;0,"ATENÇÃO",IF(K3222&lt;=5,"OPORTUNO","MUITO BOM")))</f>
        <v>OPORTUNO</v>
      </c>
      <c r="M3222">
        <v>26</v>
      </c>
      <c r="N3222">
        <v>97.52</v>
      </c>
      <c r="O3222">
        <v>28.205128205128201</v>
      </c>
    </row>
    <row r="3223" spans="1:15" hidden="1" x14ac:dyDescent="0.25">
      <c r="A3223" s="11">
        <v>46101</v>
      </c>
      <c r="B3223" t="s">
        <v>42</v>
      </c>
      <c r="C3223" t="s">
        <v>32</v>
      </c>
      <c r="D3223">
        <v>0</v>
      </c>
      <c r="E3223">
        <v>0</v>
      </c>
      <c r="F3223">
        <v>0</v>
      </c>
      <c r="G3223">
        <v>0</v>
      </c>
      <c r="H3223">
        <v>0</v>
      </c>
      <c r="I3223" s="3">
        <v>0</v>
      </c>
      <c r="J3223" s="3">
        <v>0</v>
      </c>
      <c r="K3223" s="3">
        <v>0</v>
      </c>
      <c r="L3223" s="3" t="str">
        <f>IF(K3223&lt;-5,"CRÍTICO",IF(K3223&lt;0,"ATENÇÃO",IF(K3223&lt;=5,"OPORTUNO","MUITO BOM")))</f>
        <v>OPORTUNO</v>
      </c>
      <c r="M3223">
        <v>0</v>
      </c>
      <c r="N3223">
        <v>90</v>
      </c>
      <c r="O3223">
        <v>24.186046511627911</v>
      </c>
    </row>
    <row r="3224" spans="1:15" hidden="1" x14ac:dyDescent="0.25">
      <c r="A3224" s="11">
        <v>46101</v>
      </c>
      <c r="B3224" t="s">
        <v>62</v>
      </c>
      <c r="C3224" t="s">
        <v>23</v>
      </c>
      <c r="D3224">
        <v>27</v>
      </c>
      <c r="E3224">
        <v>25</v>
      </c>
      <c r="F3224">
        <v>22.33</v>
      </c>
      <c r="G3224">
        <v>0</v>
      </c>
      <c r="H3224">
        <v>0</v>
      </c>
      <c r="I3224" s="3">
        <f>E3224+G3224+H3224</f>
        <v>25</v>
      </c>
      <c r="J3224" s="3">
        <f>ROUND(MIN(IF(C3224="Técnico III",35,IF(C3224="Técnico II",28,IF(C3224="Técnico I",23,IF(C3224="JR",20,IF(C3224="Estágio",10,0))))),IF(C3224="Técnico III",SUMIFS($D:$D,$A:$A,$A3224,$B:$B,"&lt;&gt;Patrícia Karla de Sousa Araújo",$B:$B,"&lt;&gt;Lorena Dias de Araujo",$B:$B,"&lt;&gt;Lucas Luiz Romero")*(35/1083),IF(C3224="Técnico II",SUMIFS($D:$D,$A:$A,$A3224,$B:$B,"&lt;&gt;Patrícia Karla de Sousa Araújo",$B:$B,"&lt;&gt;Lorena Dias de Araujo",$B:$B,"&lt;&gt;Lucas Luiz Romero")*(28/1083),IF(C3224="Técnico I",SUMIFS($D:$D,$A:$A,$A3224,$B:$B,"&lt;&gt;Patrícia Karla de Sousa Araújo",$B:$B,"&lt;&gt;Lorena Dias de Araujo",$B:$B,"&lt;&gt;Lucas Luiz Romero")*(23/1083),IF(C3224="JR",SUMIFS($D:$D,$A:$A,$A3224,$B:$B,"&lt;&gt;Patrícia Karla de Sousa Araújo",$B:$B,"&lt;&gt;Lorena Dias de Araujo",$B:$B,"&lt;&gt;Lucas Luiz Romero")*(20/1083),IF(C3224="Estágio",SUMIFS($D:$D,$A:$A,$A3224,$B:$B,"&lt;&gt;Patrícia Karla de Sousa Araújo",$B:$B,"&lt;&gt;Lorena Dias de Araujo",$B:$B,"&lt;&gt;Lucas Luiz Romero")*(10/1083),0)))))),0)</f>
        <v>14</v>
      </c>
      <c r="K3224" s="3">
        <f>I3224-J3224</f>
        <v>11</v>
      </c>
      <c r="L3224" s="3" t="str">
        <f>IF(K3224&lt;-5,"CRÍTICO",IF(K3224&lt;0,"ATENÇÃO",IF(K3224&lt;=5,"OPORTUNO","MUITO BOM")))</f>
        <v>MUITO BOM</v>
      </c>
      <c r="M3224">
        <v>23</v>
      </c>
      <c r="N3224">
        <v>98.9</v>
      </c>
      <c r="O3224">
        <v>26.763990267639901</v>
      </c>
    </row>
    <row r="3225" spans="1:15" hidden="1" x14ac:dyDescent="0.25">
      <c r="A3225" s="11">
        <v>46101</v>
      </c>
      <c r="B3225" t="s">
        <v>19</v>
      </c>
      <c r="C3225" t="s">
        <v>16</v>
      </c>
      <c r="D3225">
        <v>9</v>
      </c>
      <c r="E3225">
        <v>7</v>
      </c>
      <c r="F3225">
        <v>38.369999999999997</v>
      </c>
      <c r="G3225">
        <v>0</v>
      </c>
      <c r="H3225">
        <v>0</v>
      </c>
      <c r="I3225" s="3">
        <f>E3225+G3225+H3225</f>
        <v>7</v>
      </c>
      <c r="J3225" s="3">
        <f>ROUND(MIN(IF(C3225="Técnico III",35,IF(C3225="Técnico II",28,IF(C3225="Técnico I",23,IF(C3225="JR",20,IF(C3225="Estágio",10,0))))),IF(C3225="Técnico III",SUMIFS($D:$D,$A:$A,$A3225,$B:$B,"&lt;&gt;Patrícia Karla de Sousa Araújo",$B:$B,"&lt;&gt;Lorena Dias de Araujo",$B:$B,"&lt;&gt;Lucas Luiz Romero")*(35/1083),IF(C3225="Técnico II",SUMIFS($D:$D,$A:$A,$A3225,$B:$B,"&lt;&gt;Patrícia Karla de Sousa Araújo",$B:$B,"&lt;&gt;Lorena Dias de Araujo",$B:$B,"&lt;&gt;Lucas Luiz Romero")*(28/1083),IF(C3225="Técnico I",SUMIFS($D:$D,$A:$A,$A3225,$B:$B,"&lt;&gt;Patrícia Karla de Sousa Araújo",$B:$B,"&lt;&gt;Lorena Dias de Araujo",$B:$B,"&lt;&gt;Lucas Luiz Romero")*(23/1083),IF(C3225="JR",SUMIFS($D:$D,$A:$A,$A3225,$B:$B,"&lt;&gt;Patrícia Karla de Sousa Araújo",$B:$B,"&lt;&gt;Lorena Dias de Araujo",$B:$B,"&lt;&gt;Lucas Luiz Romero")*(20/1083),IF(C3225="Estágio",SUMIFS($D:$D,$A:$A,$A3225,$B:$B,"&lt;&gt;Patrícia Karla de Sousa Araújo",$B:$B,"&lt;&gt;Lorena Dias de Araujo",$B:$B,"&lt;&gt;Lucas Luiz Romero")*(10/1083),0)))))),0)</f>
        <v>6</v>
      </c>
      <c r="K3225" s="3">
        <f>I3225-J3225</f>
        <v>1</v>
      </c>
      <c r="L3225" s="3" t="str">
        <f>IF(K3225&lt;-5,"CRÍTICO",IF(K3225&lt;0,"ATENÇÃO",IF(K3225&lt;=5,"OPORTUNO","MUITO BOM")))</f>
        <v>OPORTUNO</v>
      </c>
      <c r="M3225">
        <v>7</v>
      </c>
      <c r="N3225">
        <v>88.89</v>
      </c>
      <c r="O3225">
        <v>25.263157894736839</v>
      </c>
    </row>
    <row r="3226" spans="1:15" hidden="1" x14ac:dyDescent="0.25">
      <c r="A3226" s="11">
        <v>46101</v>
      </c>
      <c r="B3226" t="s">
        <v>43</v>
      </c>
      <c r="C3226" t="s">
        <v>32</v>
      </c>
      <c r="D3226">
        <v>42</v>
      </c>
      <c r="E3226">
        <v>40</v>
      </c>
      <c r="F3226">
        <v>13.39</v>
      </c>
      <c r="G3226">
        <v>0</v>
      </c>
      <c r="H3226">
        <v>0</v>
      </c>
      <c r="I3226" s="3">
        <f>E3226+G3226+H3226</f>
        <v>40</v>
      </c>
      <c r="J3226" s="3">
        <f>ROUND(MIN(IF(C3226="Técnico III",35,IF(C3226="Técnico II",28,IF(C3226="Técnico I",23,IF(C3226="JR",20,IF(C3226="Estágio",10,0))))),IF(C3226="Técnico III",SUMIFS($D:$D,$A:$A,$A3226,$B:$B,"&lt;&gt;Patrícia Karla de Sousa Araújo",$B:$B,"&lt;&gt;Lorena Dias de Araujo",$B:$B,"&lt;&gt;Lucas Luiz Romero")*(35/1083),IF(C3226="Técnico II",SUMIFS($D:$D,$A:$A,$A3226,$B:$B,"&lt;&gt;Patrícia Karla de Sousa Araújo",$B:$B,"&lt;&gt;Lorena Dias de Araujo",$B:$B,"&lt;&gt;Lucas Luiz Romero")*(28/1083),IF(C3226="Técnico I",SUMIFS($D:$D,$A:$A,$A3226,$B:$B,"&lt;&gt;Patrícia Karla de Sousa Araújo",$B:$B,"&lt;&gt;Lorena Dias de Araujo",$B:$B,"&lt;&gt;Lucas Luiz Romero")*(23/1083),IF(C3226="JR",SUMIFS($D:$D,$A:$A,$A3226,$B:$B,"&lt;&gt;Patrícia Karla de Sousa Araújo",$B:$B,"&lt;&gt;Lorena Dias de Araujo",$B:$B,"&lt;&gt;Lucas Luiz Romero")*(20/1083),IF(C3226="Estágio",SUMIFS($D:$D,$A:$A,$A3226,$B:$B,"&lt;&gt;Patrícia Karla de Sousa Araújo",$B:$B,"&lt;&gt;Lorena Dias de Araujo",$B:$B,"&lt;&gt;Lucas Luiz Romero")*(10/1083),0)))))),0)</f>
        <v>22</v>
      </c>
      <c r="K3226" s="3">
        <f>I3226-J3226</f>
        <v>18</v>
      </c>
      <c r="L3226" s="3" t="str">
        <f>IF(K3226&lt;-5,"CRÍTICO",IF(K3226&lt;0,"ATENÇÃO",IF(K3226&lt;=5,"OPORTUNO","MUITO BOM")))</f>
        <v>MUITO BOM</v>
      </c>
      <c r="M3226">
        <v>32</v>
      </c>
      <c r="N3226">
        <v>98.86</v>
      </c>
      <c r="O3226">
        <v>28.959276018099551</v>
      </c>
    </row>
    <row r="3227" spans="1:15" hidden="1" x14ac:dyDescent="0.25">
      <c r="A3227" s="11">
        <v>46101</v>
      </c>
      <c r="B3227" t="s">
        <v>44</v>
      </c>
      <c r="C3227" t="s">
        <v>32</v>
      </c>
      <c r="D3227">
        <v>0</v>
      </c>
      <c r="E3227">
        <v>0</v>
      </c>
      <c r="F3227">
        <v>0</v>
      </c>
      <c r="G3227">
        <v>0</v>
      </c>
      <c r="H3227">
        <v>0</v>
      </c>
      <c r="I3227" s="3">
        <v>0</v>
      </c>
      <c r="J3227" s="3">
        <v>0</v>
      </c>
      <c r="K3227" s="3">
        <v>0</v>
      </c>
      <c r="L3227" s="3" t="str">
        <f>IF(K3227&lt;-5,"CRÍTICO",IF(K3227&lt;0,"ATENÇÃO",IF(K3227&lt;=5,"OPORTUNO","MUITO BOM")))</f>
        <v>OPORTUNO</v>
      </c>
      <c r="M3227">
        <v>0</v>
      </c>
      <c r="N3227">
        <v>98.06</v>
      </c>
      <c r="O3227">
        <v>22.40566037735849</v>
      </c>
    </row>
    <row r="3228" spans="1:15" hidden="1" x14ac:dyDescent="0.25">
      <c r="A3228" s="11">
        <v>46101</v>
      </c>
      <c r="B3228" t="s">
        <v>20</v>
      </c>
      <c r="C3228" t="s">
        <v>16</v>
      </c>
      <c r="D3228">
        <v>4</v>
      </c>
      <c r="E3228">
        <v>4</v>
      </c>
      <c r="F3228">
        <v>63.47</v>
      </c>
      <c r="G3228">
        <v>0</v>
      </c>
      <c r="H3228">
        <v>0</v>
      </c>
      <c r="I3228" s="3">
        <f>E3228+G3228+H3228</f>
        <v>4</v>
      </c>
      <c r="J3228" s="3">
        <f>ROUND(MIN(IF(C3228="Técnico III",35,IF(C3228="Técnico II",28,IF(C3228="Técnico I",23,IF(C3228="JR",20,IF(C3228="Estágio",10,0))))),IF(C3228="Técnico III",SUMIFS($D:$D,$A:$A,$A3228,$B:$B,"&lt;&gt;Patrícia Karla de Sousa Araújo",$B:$B,"&lt;&gt;Lorena Dias de Araujo",$B:$B,"&lt;&gt;Lucas Luiz Romero")*(35/1083),IF(C3228="Técnico II",SUMIFS($D:$D,$A:$A,$A3228,$B:$B,"&lt;&gt;Patrícia Karla de Sousa Araújo",$B:$B,"&lt;&gt;Lorena Dias de Araujo",$B:$B,"&lt;&gt;Lucas Luiz Romero")*(28/1083),IF(C3228="Técnico I",SUMIFS($D:$D,$A:$A,$A3228,$B:$B,"&lt;&gt;Patrícia Karla de Sousa Araújo",$B:$B,"&lt;&gt;Lorena Dias de Araujo",$B:$B,"&lt;&gt;Lucas Luiz Romero")*(23/1083),IF(C3228="JR",SUMIFS($D:$D,$A:$A,$A3228,$B:$B,"&lt;&gt;Patrícia Karla de Sousa Araújo",$B:$B,"&lt;&gt;Lorena Dias de Araujo",$B:$B,"&lt;&gt;Lucas Luiz Romero")*(20/1083),IF(C3228="Estágio",SUMIFS($D:$D,$A:$A,$A3228,$B:$B,"&lt;&gt;Patrícia Karla de Sousa Araújo",$B:$B,"&lt;&gt;Lorena Dias de Araujo",$B:$B,"&lt;&gt;Lucas Luiz Romero")*(10/1083),0)))))),0)</f>
        <v>6</v>
      </c>
      <c r="K3228" s="3">
        <f>I3228-J3228</f>
        <v>-2</v>
      </c>
      <c r="L3228" s="3" t="str">
        <f>IF(K3228&lt;-5,"CRÍTICO",IF(K3228&lt;0,"ATENÇÃO",IF(K3228&lt;=5,"OPORTUNO","MUITO BOM")))</f>
        <v>ATENÇÃO</v>
      </c>
      <c r="M3228">
        <v>1</v>
      </c>
      <c r="N3228">
        <v>95.83</v>
      </c>
      <c r="O3228">
        <v>25.773195876288661</v>
      </c>
    </row>
    <row r="3229" spans="1:15" hidden="1" x14ac:dyDescent="0.25">
      <c r="A3229" s="11">
        <v>46101</v>
      </c>
      <c r="B3229" t="s">
        <v>28</v>
      </c>
      <c r="C3229" t="s">
        <v>26</v>
      </c>
      <c r="D3229">
        <v>0</v>
      </c>
      <c r="E3229">
        <v>0</v>
      </c>
      <c r="F3229">
        <v>0</v>
      </c>
      <c r="G3229">
        <v>0</v>
      </c>
      <c r="H3229">
        <v>0</v>
      </c>
      <c r="I3229" s="3">
        <v>0</v>
      </c>
      <c r="J3229" s="3">
        <v>0</v>
      </c>
      <c r="K3229" s="3">
        <v>0</v>
      </c>
      <c r="L3229" s="3" t="str">
        <f>IF(K3229&lt;-5,"CRÍTICO",IF(K3229&lt;0,"ATENÇÃO",IF(K3229&lt;=5,"OPORTUNO","MUITO BOM")))</f>
        <v>OPORTUNO</v>
      </c>
      <c r="M3229">
        <v>0</v>
      </c>
      <c r="N3229">
        <v>100</v>
      </c>
      <c r="O3229">
        <v>15.38461538461539</v>
      </c>
    </row>
    <row r="3230" spans="1:15" hidden="1" x14ac:dyDescent="0.25">
      <c r="A3230" s="11">
        <v>46101</v>
      </c>
      <c r="B3230" t="s">
        <v>58</v>
      </c>
      <c r="C3230" t="s">
        <v>48</v>
      </c>
      <c r="D3230">
        <v>36</v>
      </c>
      <c r="E3230">
        <v>34</v>
      </c>
      <c r="F3230">
        <v>17.149999999999999</v>
      </c>
      <c r="G3230">
        <v>0</v>
      </c>
      <c r="H3230">
        <v>0</v>
      </c>
      <c r="I3230" s="3">
        <f>E3230+G3230+H3230</f>
        <v>34</v>
      </c>
      <c r="J3230" s="3">
        <f>ROUND(MIN(IF(C3230="Técnico III",35,IF(C3230="Técnico II",28,IF(C3230="Técnico I",23,IF(C3230="JR",20,IF(C3230="Estágio",10,0))))),IF(C3230="Técnico III",SUMIFS($D:$D,$A:$A,$A3230,$B:$B,"&lt;&gt;Patrícia Karla de Sousa Araújo",$B:$B,"&lt;&gt;Lorena Dias de Araujo",$B:$B,"&lt;&gt;Lucas Luiz Romero")*(35/1083),IF(C3230="Técnico II",SUMIFS($D:$D,$A:$A,$A3230,$B:$B,"&lt;&gt;Patrícia Karla de Sousa Araújo",$B:$B,"&lt;&gt;Lorena Dias de Araujo",$B:$B,"&lt;&gt;Lucas Luiz Romero")*(28/1083),IF(C3230="Técnico I",SUMIFS($D:$D,$A:$A,$A3230,$B:$B,"&lt;&gt;Patrícia Karla de Sousa Araújo",$B:$B,"&lt;&gt;Lorena Dias de Araujo",$B:$B,"&lt;&gt;Lucas Luiz Romero")*(23/1083),IF(C3230="JR",SUMIFS($D:$D,$A:$A,$A3230,$B:$B,"&lt;&gt;Patrícia Karla de Sousa Araújo",$B:$B,"&lt;&gt;Lorena Dias de Araujo",$B:$B,"&lt;&gt;Lucas Luiz Romero")*(20/1083),IF(C3230="Estágio",SUMIFS($D:$D,$A:$A,$A3230,$B:$B,"&lt;&gt;Patrícia Karla de Sousa Araújo",$B:$B,"&lt;&gt;Lorena Dias de Araujo",$B:$B,"&lt;&gt;Lucas Luiz Romero")*(10/1083),0)))))),0)</f>
        <v>17</v>
      </c>
      <c r="K3230" s="3">
        <f>I3230-J3230</f>
        <v>17</v>
      </c>
      <c r="L3230" s="3" t="str">
        <f>IF(K3230&lt;-5,"CRÍTICO",IF(K3230&lt;0,"ATENÇÃO",IF(K3230&lt;=5,"OPORTUNO","MUITO BOM")))</f>
        <v>MUITO BOM</v>
      </c>
      <c r="M3230">
        <v>27</v>
      </c>
      <c r="N3230">
        <v>100</v>
      </c>
      <c r="O3230">
        <v>27.514792899408281</v>
      </c>
    </row>
    <row r="3231" spans="1:15" hidden="1" x14ac:dyDescent="0.25">
      <c r="A3231" s="11">
        <v>46101</v>
      </c>
      <c r="B3231" t="s">
        <v>29</v>
      </c>
      <c r="C3231" t="s">
        <v>26</v>
      </c>
      <c r="D3231">
        <v>14</v>
      </c>
      <c r="E3231">
        <v>13</v>
      </c>
      <c r="F3231">
        <v>38.42</v>
      </c>
      <c r="G3231">
        <v>0</v>
      </c>
      <c r="H3231">
        <v>0</v>
      </c>
      <c r="I3231" s="3">
        <f>E3231+G3231+H3231</f>
        <v>13</v>
      </c>
      <c r="J3231" s="3">
        <f>ROUND(MIN(IF(C3231="Técnico III",35,IF(C3231="Técnico II",28,IF(C3231="Técnico I",23,IF(C3231="JR",20,IF(C3231="Estágio",10,0))))),IF(C3231="Técnico III",SUMIFS($D:$D,$A:$A,$A3231,$B:$B,"&lt;&gt;Patrícia Karla de Sousa Araújo",$B:$B,"&lt;&gt;Lorena Dias de Araujo",$B:$B,"&lt;&gt;Lucas Luiz Romero")*(35/1083),IF(C3231="Técnico II",SUMIFS($D:$D,$A:$A,$A3231,$B:$B,"&lt;&gt;Patrícia Karla de Sousa Araújo",$B:$B,"&lt;&gt;Lorena Dias de Araujo",$B:$B,"&lt;&gt;Lucas Luiz Romero")*(28/1083),IF(C3231="Técnico I",SUMIFS($D:$D,$A:$A,$A3231,$B:$B,"&lt;&gt;Patrícia Karla de Sousa Araújo",$B:$B,"&lt;&gt;Lorena Dias de Araujo",$B:$B,"&lt;&gt;Lucas Luiz Romero")*(23/1083),IF(C3231="JR",SUMIFS($D:$D,$A:$A,$A3231,$B:$B,"&lt;&gt;Patrícia Karla de Sousa Araújo",$B:$B,"&lt;&gt;Lorena Dias de Araujo",$B:$B,"&lt;&gt;Lucas Luiz Romero")*(20/1083),IF(C3231="Estágio",SUMIFS($D:$D,$A:$A,$A3231,$B:$B,"&lt;&gt;Patrícia Karla de Sousa Araújo",$B:$B,"&lt;&gt;Lorena Dias de Araujo",$B:$B,"&lt;&gt;Lucas Luiz Romero")*(10/1083),0)))))),0)</f>
        <v>12</v>
      </c>
      <c r="K3231" s="3">
        <f>I3231-J3231</f>
        <v>1</v>
      </c>
      <c r="L3231" s="3" t="str">
        <f>IF(K3231&lt;-5,"CRÍTICO",IF(K3231&lt;0,"ATENÇÃO",IF(K3231&lt;=5,"OPORTUNO","MUITO BOM")))</f>
        <v>OPORTUNO</v>
      </c>
      <c r="M3231">
        <v>12</v>
      </c>
      <c r="N3231">
        <v>100</v>
      </c>
      <c r="O3231">
        <v>24.875621890547269</v>
      </c>
    </row>
    <row r="3232" spans="1:15" hidden="1" x14ac:dyDescent="0.25">
      <c r="A3232" s="11">
        <v>46101</v>
      </c>
      <c r="B3232" t="s">
        <v>30</v>
      </c>
      <c r="C3232" t="s">
        <v>26</v>
      </c>
      <c r="D3232">
        <v>16</v>
      </c>
      <c r="E3232">
        <v>16</v>
      </c>
      <c r="F3232">
        <v>33.32</v>
      </c>
      <c r="G3232">
        <v>0</v>
      </c>
      <c r="H3232">
        <v>0</v>
      </c>
      <c r="I3232" s="3">
        <f>E3232+G3232+H3232</f>
        <v>16</v>
      </c>
      <c r="J3232" s="3">
        <f>ROUND(MIN(IF(C3232="Técnico III",35,IF(C3232="Técnico II",28,IF(C3232="Técnico I",23,IF(C3232="JR",20,IF(C3232="Estágio",10,0))))),IF(C3232="Técnico III",SUMIFS($D:$D,$A:$A,$A3232,$B:$B,"&lt;&gt;Patrícia Karla de Sousa Araújo",$B:$B,"&lt;&gt;Lorena Dias de Araujo",$B:$B,"&lt;&gt;Lucas Luiz Romero")*(35/1083),IF(C3232="Técnico II",SUMIFS($D:$D,$A:$A,$A3232,$B:$B,"&lt;&gt;Patrícia Karla de Sousa Araújo",$B:$B,"&lt;&gt;Lorena Dias de Araujo",$B:$B,"&lt;&gt;Lucas Luiz Romero")*(28/1083),IF(C3232="Técnico I",SUMIFS($D:$D,$A:$A,$A3232,$B:$B,"&lt;&gt;Patrícia Karla de Sousa Araújo",$B:$B,"&lt;&gt;Lorena Dias de Araujo",$B:$B,"&lt;&gt;Lucas Luiz Romero")*(23/1083),IF(C3232="JR",SUMIFS($D:$D,$A:$A,$A3232,$B:$B,"&lt;&gt;Patrícia Karla de Sousa Araújo",$B:$B,"&lt;&gt;Lorena Dias de Araujo",$B:$B,"&lt;&gt;Lucas Luiz Romero")*(20/1083),IF(C3232="Estágio",SUMIFS($D:$D,$A:$A,$A3232,$B:$B,"&lt;&gt;Patrícia Karla de Sousa Araújo",$B:$B,"&lt;&gt;Lorena Dias de Araujo",$B:$B,"&lt;&gt;Lucas Luiz Romero")*(10/1083),0)))))),0)</f>
        <v>12</v>
      </c>
      <c r="K3232" s="3">
        <f>I3232-J3232</f>
        <v>4</v>
      </c>
      <c r="L3232" s="3" t="str">
        <f>IF(K3232&lt;-5,"CRÍTICO",IF(K3232&lt;0,"ATENÇÃO",IF(K3232&lt;=5,"OPORTUNO","MUITO BOM")))</f>
        <v>OPORTUNO</v>
      </c>
      <c r="M3232">
        <v>9</v>
      </c>
      <c r="N3232">
        <v>100</v>
      </c>
      <c r="O3232">
        <v>28.108108108108109</v>
      </c>
    </row>
    <row r="3233" spans="1:15" hidden="1" x14ac:dyDescent="0.25">
      <c r="A3233" s="11">
        <v>46101</v>
      </c>
      <c r="B3233" t="s">
        <v>21</v>
      </c>
      <c r="C3233" t="s">
        <v>16</v>
      </c>
      <c r="D3233">
        <v>0</v>
      </c>
      <c r="E3233">
        <v>0</v>
      </c>
      <c r="F3233">
        <v>0</v>
      </c>
      <c r="G3233">
        <v>0</v>
      </c>
      <c r="H3233">
        <v>0</v>
      </c>
      <c r="I3233" s="3">
        <v>0</v>
      </c>
      <c r="J3233" s="3">
        <v>0</v>
      </c>
      <c r="K3233" s="3">
        <v>0</v>
      </c>
      <c r="L3233" s="3" t="str">
        <f>IF(K3233&lt;-5,"CRÍTICO",IF(K3233&lt;0,"ATENÇÃO",IF(K3233&lt;=5,"OPORTUNO","MUITO BOM")))</f>
        <v>OPORTUNO</v>
      </c>
      <c r="M3233">
        <v>0</v>
      </c>
      <c r="N3233">
        <v>100</v>
      </c>
      <c r="O3233">
        <v>35</v>
      </c>
    </row>
    <row r="3234" spans="1:15" hidden="1" x14ac:dyDescent="0.25">
      <c r="A3234" s="11">
        <v>46101</v>
      </c>
      <c r="B3234" t="s">
        <v>63</v>
      </c>
      <c r="C3234" t="s">
        <v>23</v>
      </c>
      <c r="D3234">
        <v>21</v>
      </c>
      <c r="E3234">
        <v>20</v>
      </c>
      <c r="F3234">
        <v>29.14</v>
      </c>
      <c r="G3234">
        <v>0</v>
      </c>
      <c r="H3234">
        <v>0</v>
      </c>
      <c r="I3234" s="3">
        <f>E3234+G3234+H3234</f>
        <v>20</v>
      </c>
      <c r="J3234" s="3">
        <f>ROUND(MIN(IF(C3234="Técnico III",35,IF(C3234="Técnico II",28,IF(C3234="Técnico I",23,IF(C3234="JR",20,IF(C3234="Estágio",10,0))))),IF(C3234="Técnico III",SUMIFS($D:$D,$A:$A,$A3234,$B:$B,"&lt;&gt;Patrícia Karla de Sousa Araújo",$B:$B,"&lt;&gt;Lorena Dias de Araujo",$B:$B,"&lt;&gt;Lucas Luiz Romero")*(35/1083),IF(C3234="Técnico II",SUMIFS($D:$D,$A:$A,$A3234,$B:$B,"&lt;&gt;Patrícia Karla de Sousa Araújo",$B:$B,"&lt;&gt;Lorena Dias de Araujo",$B:$B,"&lt;&gt;Lucas Luiz Romero")*(28/1083),IF(C3234="Técnico I",SUMIFS($D:$D,$A:$A,$A3234,$B:$B,"&lt;&gt;Patrícia Karla de Sousa Araújo",$B:$B,"&lt;&gt;Lorena Dias de Araujo",$B:$B,"&lt;&gt;Lucas Luiz Romero")*(23/1083),IF(C3234="JR",SUMIFS($D:$D,$A:$A,$A3234,$B:$B,"&lt;&gt;Patrícia Karla de Sousa Araújo",$B:$B,"&lt;&gt;Lorena Dias de Araujo",$B:$B,"&lt;&gt;Lucas Luiz Romero")*(20/1083),IF(C3234="Estágio",SUMIFS($D:$D,$A:$A,$A3234,$B:$B,"&lt;&gt;Patrícia Karla de Sousa Araújo",$B:$B,"&lt;&gt;Lorena Dias de Araujo",$B:$B,"&lt;&gt;Lucas Luiz Romero")*(10/1083),0)))))),0)</f>
        <v>14</v>
      </c>
      <c r="K3234" s="3">
        <f>I3234-J3234</f>
        <v>6</v>
      </c>
      <c r="L3234" s="3" t="str">
        <f>IF(K3234&lt;-5,"CRÍTICO",IF(K3234&lt;0,"ATENÇÃO",IF(K3234&lt;=5,"OPORTUNO","MUITO BOM")))</f>
        <v>MUITO BOM</v>
      </c>
      <c r="M3234">
        <v>12</v>
      </c>
      <c r="N3234">
        <v>95.35</v>
      </c>
      <c r="O3234">
        <v>28.61538461538461</v>
      </c>
    </row>
    <row r="3235" spans="1:15" hidden="1" x14ac:dyDescent="0.25">
      <c r="A3235" s="11">
        <v>46101</v>
      </c>
      <c r="B3235" t="s">
        <v>45</v>
      </c>
      <c r="C3235" t="s">
        <v>32</v>
      </c>
      <c r="D3235">
        <v>34</v>
      </c>
      <c r="E3235">
        <v>34</v>
      </c>
      <c r="F3235">
        <v>15.17</v>
      </c>
      <c r="G3235">
        <v>0</v>
      </c>
      <c r="H3235">
        <v>0</v>
      </c>
      <c r="I3235" s="3">
        <f>E3235+G3235+H3235</f>
        <v>34</v>
      </c>
      <c r="J3235" s="3">
        <f>ROUND(MIN(IF(C3235="Técnico III",35,IF(C3235="Técnico II",28,IF(C3235="Técnico I",23,IF(C3235="JR",20,IF(C3235="Estágio",10,0))))),IF(C3235="Técnico III",SUMIFS($D:$D,$A:$A,$A3235,$B:$B,"&lt;&gt;Patrícia Karla de Sousa Araújo",$B:$B,"&lt;&gt;Lorena Dias de Araujo",$B:$B,"&lt;&gt;Lucas Luiz Romero")*(35/1083),IF(C3235="Técnico II",SUMIFS($D:$D,$A:$A,$A3235,$B:$B,"&lt;&gt;Patrícia Karla de Sousa Araújo",$B:$B,"&lt;&gt;Lorena Dias de Araujo",$B:$B,"&lt;&gt;Lucas Luiz Romero")*(28/1083),IF(C3235="Técnico I",SUMIFS($D:$D,$A:$A,$A3235,$B:$B,"&lt;&gt;Patrícia Karla de Sousa Araújo",$B:$B,"&lt;&gt;Lorena Dias de Araujo",$B:$B,"&lt;&gt;Lucas Luiz Romero")*(23/1083),IF(C3235="JR",SUMIFS($D:$D,$A:$A,$A3235,$B:$B,"&lt;&gt;Patrícia Karla de Sousa Araújo",$B:$B,"&lt;&gt;Lorena Dias de Araujo",$B:$B,"&lt;&gt;Lucas Luiz Romero")*(20/1083),IF(C3235="Estágio",SUMIFS($D:$D,$A:$A,$A3235,$B:$B,"&lt;&gt;Patrícia Karla de Sousa Araújo",$B:$B,"&lt;&gt;Lorena Dias de Araujo",$B:$B,"&lt;&gt;Lucas Luiz Romero")*(10/1083),0)))))),0)</f>
        <v>22</v>
      </c>
      <c r="K3235" s="3">
        <f>I3235-J3235</f>
        <v>12</v>
      </c>
      <c r="L3235" s="3" t="str">
        <f>IF(K3235&lt;-5,"CRÍTICO",IF(K3235&lt;0,"ATENÇÃO",IF(K3235&lt;=5,"OPORTUNO","MUITO BOM")))</f>
        <v>MUITO BOM</v>
      </c>
      <c r="M3235">
        <v>32</v>
      </c>
      <c r="N3235">
        <v>98.26</v>
      </c>
      <c r="O3235">
        <v>27.54491017964072</v>
      </c>
    </row>
    <row r="3236" spans="1:15" hidden="1" x14ac:dyDescent="0.25">
      <c r="A3236" s="11">
        <v>46101</v>
      </c>
      <c r="B3236" t="s">
        <v>64</v>
      </c>
      <c r="C3236" t="s">
        <v>23</v>
      </c>
      <c r="D3236">
        <v>19</v>
      </c>
      <c r="E3236">
        <v>18</v>
      </c>
      <c r="F3236">
        <v>24.03</v>
      </c>
      <c r="G3236">
        <v>0</v>
      </c>
      <c r="H3236">
        <v>0</v>
      </c>
      <c r="I3236" s="3">
        <f>E3236+G3236+H3236</f>
        <v>18</v>
      </c>
      <c r="J3236" s="3">
        <f>ROUND(MIN(IF(C3236="Técnico III",35,IF(C3236="Técnico II",28,IF(C3236="Técnico I",23,IF(C3236="JR",20,IF(C3236="Estágio",10,0))))),IF(C3236="Técnico III",SUMIFS($D:$D,$A:$A,$A3236,$B:$B,"&lt;&gt;Patrícia Karla de Sousa Araújo",$B:$B,"&lt;&gt;Lorena Dias de Araujo",$B:$B,"&lt;&gt;Lucas Luiz Romero")*(35/1083),IF(C3236="Técnico II",SUMIFS($D:$D,$A:$A,$A3236,$B:$B,"&lt;&gt;Patrícia Karla de Sousa Araújo",$B:$B,"&lt;&gt;Lorena Dias de Araujo",$B:$B,"&lt;&gt;Lucas Luiz Romero")*(28/1083),IF(C3236="Técnico I",SUMIFS($D:$D,$A:$A,$A3236,$B:$B,"&lt;&gt;Patrícia Karla de Sousa Araújo",$B:$B,"&lt;&gt;Lorena Dias de Araujo",$B:$B,"&lt;&gt;Lucas Luiz Romero")*(23/1083),IF(C3236="JR",SUMIFS($D:$D,$A:$A,$A3236,$B:$B,"&lt;&gt;Patrícia Karla de Sousa Araújo",$B:$B,"&lt;&gt;Lorena Dias de Araujo",$B:$B,"&lt;&gt;Lucas Luiz Romero")*(20/1083),IF(C3236="Estágio",SUMIFS($D:$D,$A:$A,$A3236,$B:$B,"&lt;&gt;Patrícia Karla de Sousa Araújo",$B:$B,"&lt;&gt;Lorena Dias de Araujo",$B:$B,"&lt;&gt;Lucas Luiz Romero")*(10/1083),0)))))),0)</f>
        <v>14</v>
      </c>
      <c r="K3236" s="3">
        <f>I3236-J3236</f>
        <v>4</v>
      </c>
      <c r="L3236" s="3" t="str">
        <f>IF(K3236&lt;-5,"CRÍTICO",IF(K3236&lt;0,"ATENÇÃO",IF(K3236&lt;=5,"OPORTUNO","MUITO BOM")))</f>
        <v>OPORTUNO</v>
      </c>
      <c r="M3236">
        <v>16</v>
      </c>
      <c r="N3236">
        <v>98.55</v>
      </c>
      <c r="O3236">
        <v>25.337837837837839</v>
      </c>
    </row>
    <row r="3237" spans="1:15" hidden="1" x14ac:dyDescent="0.25">
      <c r="A3237" s="11">
        <v>46101</v>
      </c>
      <c r="B3237" t="s">
        <v>46</v>
      </c>
      <c r="C3237" t="s">
        <v>32</v>
      </c>
      <c r="D3237">
        <v>33</v>
      </c>
      <c r="E3237">
        <v>32</v>
      </c>
      <c r="F3237">
        <v>19.05</v>
      </c>
      <c r="G3237">
        <v>0</v>
      </c>
      <c r="H3237">
        <v>0</v>
      </c>
      <c r="I3237" s="3">
        <f>E3237+G3237+H3237</f>
        <v>32</v>
      </c>
      <c r="J3237" s="3">
        <f>ROUND(MIN(IF(C3237="Técnico III",35,IF(C3237="Técnico II",28,IF(C3237="Técnico I",23,IF(C3237="JR",20,IF(C3237="Estágio",10,0))))),IF(C3237="Técnico III",SUMIFS($D:$D,$A:$A,$A3237,$B:$B,"&lt;&gt;Patrícia Karla de Sousa Araújo",$B:$B,"&lt;&gt;Lorena Dias de Araujo",$B:$B,"&lt;&gt;Lucas Luiz Romero")*(35/1083),IF(C3237="Técnico II",SUMIFS($D:$D,$A:$A,$A3237,$B:$B,"&lt;&gt;Patrícia Karla de Sousa Araújo",$B:$B,"&lt;&gt;Lorena Dias de Araujo",$B:$B,"&lt;&gt;Lucas Luiz Romero")*(28/1083),IF(C3237="Técnico I",SUMIFS($D:$D,$A:$A,$A3237,$B:$B,"&lt;&gt;Patrícia Karla de Sousa Araújo",$B:$B,"&lt;&gt;Lorena Dias de Araujo",$B:$B,"&lt;&gt;Lucas Luiz Romero")*(23/1083),IF(C3237="JR",SUMIFS($D:$D,$A:$A,$A3237,$B:$B,"&lt;&gt;Patrícia Karla de Sousa Araújo",$B:$B,"&lt;&gt;Lorena Dias de Araujo",$B:$B,"&lt;&gt;Lucas Luiz Romero")*(20/1083),IF(C3237="Estágio",SUMIFS($D:$D,$A:$A,$A3237,$B:$B,"&lt;&gt;Patrícia Karla de Sousa Araújo",$B:$B,"&lt;&gt;Lorena Dias de Araujo",$B:$B,"&lt;&gt;Lucas Luiz Romero")*(10/1083),0)))))),0)</f>
        <v>22</v>
      </c>
      <c r="K3237" s="3">
        <f>I3237-J3237</f>
        <v>10</v>
      </c>
      <c r="L3237" s="3" t="str">
        <f>IF(K3237&lt;-5,"CRÍTICO",IF(K3237&lt;0,"ATENÇÃO",IF(K3237&lt;=5,"OPORTUNO","MUITO BOM")))</f>
        <v>MUITO BOM</v>
      </c>
      <c r="M3237">
        <v>26</v>
      </c>
      <c r="N3237">
        <v>98.39</v>
      </c>
      <c r="O3237">
        <v>25.563909774436091</v>
      </c>
    </row>
    <row r="3238" spans="1:15" hidden="1" x14ac:dyDescent="0.25">
      <c r="A3238" s="11">
        <v>46104</v>
      </c>
      <c r="B3238" t="s">
        <v>47</v>
      </c>
      <c r="C3238" t="s">
        <v>48</v>
      </c>
      <c r="D3238">
        <v>28</v>
      </c>
      <c r="E3238">
        <v>25</v>
      </c>
      <c r="F3238">
        <v>13.45</v>
      </c>
      <c r="G3238">
        <v>0</v>
      </c>
      <c r="H3238">
        <v>0</v>
      </c>
      <c r="I3238" s="3">
        <f>E3238+G3238+H3238</f>
        <v>25</v>
      </c>
      <c r="J3238" s="3">
        <f>ROUND(MIN(IF(C3238="Técnico III",35,IF(C3238="Técnico II",28,IF(C3238="Técnico I",23,IF(C3238="JR",20,IF(C3238="Estágio",10,0))))),IF(C3238="Técnico III",SUMIFS($D:$D,$A:$A,$A3238,$B:$B,"&lt;&gt;Patrícia Karla de Sousa Araújo",$B:$B,"&lt;&gt;Lorena Dias de Araujo",$B:$B,"&lt;&gt;Lucas Luiz Romero")*(35/1083),IF(C3238="Técnico II",SUMIFS($D:$D,$A:$A,$A3238,$B:$B,"&lt;&gt;Patrícia Karla de Sousa Araújo",$B:$B,"&lt;&gt;Lorena Dias de Araujo",$B:$B,"&lt;&gt;Lucas Luiz Romero")*(28/1083),IF(C3238="Técnico I",SUMIFS($D:$D,$A:$A,$A3238,$B:$B,"&lt;&gt;Patrícia Karla de Sousa Araújo",$B:$B,"&lt;&gt;Lorena Dias de Araujo",$B:$B,"&lt;&gt;Lucas Luiz Romero")*(23/1083),IF(C3238="JR",SUMIFS($D:$D,$A:$A,$A3238,$B:$B,"&lt;&gt;Patrícia Karla de Sousa Araújo",$B:$B,"&lt;&gt;Lorena Dias de Araujo",$B:$B,"&lt;&gt;Lucas Luiz Romero")*(20/1083),IF(C3238="Estágio",SUMIFS($D:$D,$A:$A,$A3238,$B:$B,"&lt;&gt;Patrícia Karla de Sousa Araújo",$B:$B,"&lt;&gt;Lorena Dias de Araujo",$B:$B,"&lt;&gt;Lucas Luiz Romero")*(10/1083),0)))))),0)</f>
        <v>18</v>
      </c>
      <c r="K3238" s="3">
        <f>I3238-J3238</f>
        <v>7</v>
      </c>
      <c r="L3238" s="3" t="str">
        <f>IF(K3238&lt;-5,"CRÍTICO",IF(K3238&lt;0,"ATENÇÃO",IF(K3238&lt;=5,"OPORTUNO","MUITO BOM")))</f>
        <v>MUITO BOM</v>
      </c>
      <c r="M3238">
        <v>17</v>
      </c>
      <c r="N3238">
        <v>94.29</v>
      </c>
      <c r="O3238">
        <v>25.647668393782389</v>
      </c>
    </row>
    <row r="3239" spans="1:15" hidden="1" x14ac:dyDescent="0.25">
      <c r="A3239" s="11">
        <v>46104</v>
      </c>
      <c r="B3239" t="s">
        <v>31</v>
      </c>
      <c r="C3239" t="s">
        <v>32</v>
      </c>
      <c r="D3239">
        <v>0</v>
      </c>
      <c r="E3239">
        <v>0</v>
      </c>
      <c r="F3239">
        <v>0</v>
      </c>
      <c r="G3239">
        <v>0</v>
      </c>
      <c r="H3239">
        <v>0</v>
      </c>
      <c r="I3239" s="3">
        <v>0</v>
      </c>
      <c r="J3239" s="3">
        <v>0</v>
      </c>
      <c r="K3239" s="3">
        <v>0</v>
      </c>
      <c r="L3239" s="3" t="str">
        <f>IF(K3239&lt;-5,"CRÍTICO",IF(K3239&lt;0,"ATENÇÃO",IF(K3239&lt;=5,"OPORTUNO","MUITO BOM")))</f>
        <v>OPORTUNO</v>
      </c>
      <c r="M3239">
        <v>20</v>
      </c>
      <c r="N3239">
        <v>98.26</v>
      </c>
      <c r="O3239">
        <v>26.666666666666671</v>
      </c>
    </row>
    <row r="3240" spans="1:15" hidden="1" x14ac:dyDescent="0.25">
      <c r="A3240" s="11">
        <v>46104</v>
      </c>
      <c r="B3240" t="s">
        <v>59</v>
      </c>
      <c r="C3240" t="s">
        <v>23</v>
      </c>
      <c r="D3240">
        <v>24</v>
      </c>
      <c r="E3240">
        <v>22</v>
      </c>
      <c r="F3240">
        <v>23.59</v>
      </c>
      <c r="G3240">
        <v>0</v>
      </c>
      <c r="H3240">
        <v>0</v>
      </c>
      <c r="I3240" s="3">
        <f>E3240+G3240+H3240</f>
        <v>22</v>
      </c>
      <c r="J3240" s="3">
        <f>ROUND(MIN(IF(C3240="Técnico III",35,IF(C3240="Técnico II",28,IF(C3240="Técnico I",23,IF(C3240="JR",20,IF(C3240="Estágio",10,0))))),IF(C3240="Técnico III",SUMIFS($D:$D,$A:$A,$A3240,$B:$B,"&lt;&gt;Patrícia Karla de Sousa Araújo",$B:$B,"&lt;&gt;Lorena Dias de Araujo",$B:$B,"&lt;&gt;Lucas Luiz Romero")*(35/1083),IF(C3240="Técnico II",SUMIFS($D:$D,$A:$A,$A3240,$B:$B,"&lt;&gt;Patrícia Karla de Sousa Araújo",$B:$B,"&lt;&gt;Lorena Dias de Araujo",$B:$B,"&lt;&gt;Lucas Luiz Romero")*(28/1083),IF(C3240="Técnico I",SUMIFS($D:$D,$A:$A,$A3240,$B:$B,"&lt;&gt;Patrícia Karla de Sousa Araújo",$B:$B,"&lt;&gt;Lorena Dias de Araujo",$B:$B,"&lt;&gt;Lucas Luiz Romero")*(23/1083),IF(C3240="JR",SUMIFS($D:$D,$A:$A,$A3240,$B:$B,"&lt;&gt;Patrícia Karla de Sousa Araújo",$B:$B,"&lt;&gt;Lorena Dias de Araujo",$B:$B,"&lt;&gt;Lucas Luiz Romero")*(20/1083),IF(C3240="Estágio",SUMIFS($D:$D,$A:$A,$A3240,$B:$B,"&lt;&gt;Patrícia Karla de Sousa Araújo",$B:$B,"&lt;&gt;Lorena Dias de Araujo",$B:$B,"&lt;&gt;Lucas Luiz Romero")*(10/1083),0)))))),0)</f>
        <v>14</v>
      </c>
      <c r="K3240" s="3">
        <f>I3240-J3240</f>
        <v>8</v>
      </c>
      <c r="L3240" s="3" t="str">
        <f>IF(K3240&lt;-5,"CRÍTICO",IF(K3240&lt;0,"ATENÇÃO",IF(K3240&lt;=5,"OPORTUNO","MUITO BOM")))</f>
        <v>MUITO BOM</v>
      </c>
      <c r="M3240">
        <v>20</v>
      </c>
      <c r="N3240">
        <v>98.2</v>
      </c>
      <c r="O3240">
        <v>23.37962962962963</v>
      </c>
    </row>
    <row r="3241" spans="1:15" hidden="1" x14ac:dyDescent="0.25">
      <c r="A3241" s="11">
        <v>46104</v>
      </c>
      <c r="B3241" t="s">
        <v>33</v>
      </c>
      <c r="C3241" t="s">
        <v>32</v>
      </c>
      <c r="D3241">
        <v>21</v>
      </c>
      <c r="E3241">
        <v>18</v>
      </c>
      <c r="F3241">
        <v>18.25</v>
      </c>
      <c r="G3241">
        <v>0</v>
      </c>
      <c r="H3241">
        <v>0</v>
      </c>
      <c r="I3241" s="3">
        <f>E3241+G3241+H3241</f>
        <v>18</v>
      </c>
      <c r="J3241" s="3">
        <f>ROUND(MIN(IF(C3241="Técnico III",35,IF(C3241="Técnico II",28,IF(C3241="Técnico I",23,IF(C3241="JR",20,IF(C3241="Estágio",10,0))))),IF(C3241="Técnico III",SUMIFS($D:$D,$A:$A,$A3241,$B:$B,"&lt;&gt;Patrícia Karla de Sousa Araújo",$B:$B,"&lt;&gt;Lorena Dias de Araujo",$B:$B,"&lt;&gt;Lucas Luiz Romero")*(35/1083),IF(C3241="Técnico II",SUMIFS($D:$D,$A:$A,$A3241,$B:$B,"&lt;&gt;Patrícia Karla de Sousa Araújo",$B:$B,"&lt;&gt;Lorena Dias de Araujo",$B:$B,"&lt;&gt;Lucas Luiz Romero")*(28/1083),IF(C3241="Técnico I",SUMIFS($D:$D,$A:$A,$A3241,$B:$B,"&lt;&gt;Patrícia Karla de Sousa Araújo",$B:$B,"&lt;&gt;Lorena Dias de Araujo",$B:$B,"&lt;&gt;Lucas Luiz Romero")*(23/1083),IF(C3241="JR",SUMIFS($D:$D,$A:$A,$A3241,$B:$B,"&lt;&gt;Patrícia Karla de Sousa Araújo",$B:$B,"&lt;&gt;Lorena Dias de Araujo",$B:$B,"&lt;&gt;Lucas Luiz Romero")*(20/1083),IF(C3241="Estágio",SUMIFS($D:$D,$A:$A,$A3241,$B:$B,"&lt;&gt;Patrícia Karla de Sousa Araújo",$B:$B,"&lt;&gt;Lorena Dias de Araujo",$B:$B,"&lt;&gt;Lucas Luiz Romero")*(10/1083),0)))))),0)</f>
        <v>22</v>
      </c>
      <c r="K3241" s="3">
        <f>I3241-J3241</f>
        <v>-4</v>
      </c>
      <c r="L3241" s="3" t="str">
        <f>IF(K3241&lt;-5,"CRÍTICO",IF(K3241&lt;0,"ATENÇÃO",IF(K3241&lt;=5,"OPORTUNO","MUITO BOM")))</f>
        <v>ATENÇÃO</v>
      </c>
      <c r="M3241">
        <v>19</v>
      </c>
      <c r="N3241">
        <v>97.3</v>
      </c>
      <c r="O3241">
        <v>23.84769539078156</v>
      </c>
    </row>
    <row r="3242" spans="1:15" hidden="1" x14ac:dyDescent="0.25">
      <c r="A3242" s="11">
        <v>46104</v>
      </c>
      <c r="B3242" t="s">
        <v>15</v>
      </c>
      <c r="C3242" t="s">
        <v>16</v>
      </c>
      <c r="D3242">
        <v>12</v>
      </c>
      <c r="E3242">
        <v>10</v>
      </c>
      <c r="F3242">
        <v>33.47</v>
      </c>
      <c r="G3242">
        <v>0</v>
      </c>
      <c r="H3242">
        <v>0</v>
      </c>
      <c r="I3242" s="3">
        <f>E3242+G3242+H3242</f>
        <v>10</v>
      </c>
      <c r="J3242" s="3">
        <f>ROUND(MIN(IF(C3242="Técnico III",35,IF(C3242="Técnico II",28,IF(C3242="Técnico I",23,IF(C3242="JR",20,IF(C3242="Estágio",10,0))))),IF(C3242="Técnico III",SUMIFS($D:$D,$A:$A,$A3242,$B:$B,"&lt;&gt;Patrícia Karla de Sousa Araújo",$B:$B,"&lt;&gt;Lorena Dias de Araujo",$B:$B,"&lt;&gt;Lucas Luiz Romero")*(35/1083),IF(C3242="Técnico II",SUMIFS($D:$D,$A:$A,$A3242,$B:$B,"&lt;&gt;Patrícia Karla de Sousa Araújo",$B:$B,"&lt;&gt;Lorena Dias de Araujo",$B:$B,"&lt;&gt;Lucas Luiz Romero")*(28/1083),IF(C3242="Técnico I",SUMIFS($D:$D,$A:$A,$A3242,$B:$B,"&lt;&gt;Patrícia Karla de Sousa Araújo",$B:$B,"&lt;&gt;Lorena Dias de Araujo",$B:$B,"&lt;&gt;Lucas Luiz Romero")*(23/1083),IF(C3242="JR",SUMIFS($D:$D,$A:$A,$A3242,$B:$B,"&lt;&gt;Patrícia Karla de Sousa Araújo",$B:$B,"&lt;&gt;Lorena Dias de Araujo",$B:$B,"&lt;&gt;Lucas Luiz Romero")*(20/1083),IF(C3242="Estágio",SUMIFS($D:$D,$A:$A,$A3242,$B:$B,"&lt;&gt;Patrícia Karla de Sousa Araújo",$B:$B,"&lt;&gt;Lorena Dias de Araujo",$B:$B,"&lt;&gt;Lucas Luiz Romero")*(10/1083),0)))))),0)</f>
        <v>6</v>
      </c>
      <c r="K3242" s="3">
        <f>I3242-J3242</f>
        <v>4</v>
      </c>
      <c r="L3242" s="3" t="str">
        <f>IF(K3242&lt;-5,"CRÍTICO",IF(K3242&lt;0,"ATENÇÃO",IF(K3242&lt;=5,"OPORTUNO","MUITO BOM")))</f>
        <v>OPORTUNO</v>
      </c>
      <c r="M3242">
        <v>10</v>
      </c>
      <c r="N3242">
        <v>100</v>
      </c>
      <c r="O3242">
        <v>25.268817204301079</v>
      </c>
    </row>
    <row r="3243" spans="1:15" hidden="1" x14ac:dyDescent="0.25">
      <c r="A3243" s="11">
        <v>46104</v>
      </c>
      <c r="B3243" t="s">
        <v>49</v>
      </c>
      <c r="C3243" t="s">
        <v>48</v>
      </c>
      <c r="D3243">
        <v>24</v>
      </c>
      <c r="E3243">
        <v>21</v>
      </c>
      <c r="F3243">
        <v>12.05</v>
      </c>
      <c r="G3243">
        <v>0</v>
      </c>
      <c r="H3243">
        <v>0</v>
      </c>
      <c r="I3243" s="3">
        <f>E3243+G3243+H3243</f>
        <v>21</v>
      </c>
      <c r="J3243" s="3">
        <f>ROUND(MIN(IF(C3243="Técnico III",35,IF(C3243="Técnico II",28,IF(C3243="Técnico I",23,IF(C3243="JR",20,IF(C3243="Estágio",10,0))))),IF(C3243="Técnico III",SUMIFS($D:$D,$A:$A,$A3243,$B:$B,"&lt;&gt;Patrícia Karla de Sousa Araújo",$B:$B,"&lt;&gt;Lorena Dias de Araujo",$B:$B,"&lt;&gt;Lucas Luiz Romero")*(35/1083),IF(C3243="Técnico II",SUMIFS($D:$D,$A:$A,$A3243,$B:$B,"&lt;&gt;Patrícia Karla de Sousa Araújo",$B:$B,"&lt;&gt;Lorena Dias de Araujo",$B:$B,"&lt;&gt;Lucas Luiz Romero")*(28/1083),IF(C3243="Técnico I",SUMIFS($D:$D,$A:$A,$A3243,$B:$B,"&lt;&gt;Patrícia Karla de Sousa Araújo",$B:$B,"&lt;&gt;Lorena Dias de Araujo",$B:$B,"&lt;&gt;Lucas Luiz Romero")*(23/1083),IF(C3243="JR",SUMIFS($D:$D,$A:$A,$A3243,$B:$B,"&lt;&gt;Patrícia Karla de Sousa Araújo",$B:$B,"&lt;&gt;Lorena Dias de Araujo",$B:$B,"&lt;&gt;Lucas Luiz Romero")*(20/1083),IF(C3243="Estágio",SUMIFS($D:$D,$A:$A,$A3243,$B:$B,"&lt;&gt;Patrícia Karla de Sousa Araújo",$B:$B,"&lt;&gt;Lorena Dias de Araujo",$B:$B,"&lt;&gt;Lucas Luiz Romero")*(10/1083),0)))))),0)</f>
        <v>18</v>
      </c>
      <c r="K3243" s="3">
        <f>I3243-J3243</f>
        <v>3</v>
      </c>
      <c r="L3243" s="3" t="str">
        <f>IF(K3243&lt;-5,"CRÍTICO",IF(K3243&lt;0,"ATENÇÃO",IF(K3243&lt;=5,"OPORTUNO","MUITO BOM")))</f>
        <v>OPORTUNO</v>
      </c>
      <c r="M3243">
        <v>22</v>
      </c>
      <c r="N3243">
        <v>99.32</v>
      </c>
      <c r="O3243">
        <v>22.822822822822818</v>
      </c>
    </row>
    <row r="3244" spans="1:15" hidden="1" x14ac:dyDescent="0.25">
      <c r="A3244" s="11">
        <v>46104</v>
      </c>
      <c r="B3244" t="s">
        <v>50</v>
      </c>
      <c r="C3244" t="s">
        <v>48</v>
      </c>
      <c r="D3244">
        <v>18</v>
      </c>
      <c r="E3244">
        <v>17</v>
      </c>
      <c r="F3244">
        <v>25.42</v>
      </c>
      <c r="G3244">
        <v>0</v>
      </c>
      <c r="H3244">
        <v>0</v>
      </c>
      <c r="I3244" s="3">
        <f>E3244+G3244+H3244</f>
        <v>17</v>
      </c>
      <c r="J3244" s="3">
        <f>ROUND(MIN(IF(C3244="Técnico III",35,IF(C3244="Técnico II",28,IF(C3244="Técnico I",23,IF(C3244="JR",20,IF(C3244="Estágio",10,0))))),IF(C3244="Técnico III",SUMIFS($D:$D,$A:$A,$A3244,$B:$B,"&lt;&gt;Patrícia Karla de Sousa Araújo",$B:$B,"&lt;&gt;Lorena Dias de Araujo",$B:$B,"&lt;&gt;Lucas Luiz Romero")*(35/1083),IF(C3244="Técnico II",SUMIFS($D:$D,$A:$A,$A3244,$B:$B,"&lt;&gt;Patrícia Karla de Sousa Araújo",$B:$B,"&lt;&gt;Lorena Dias de Araujo",$B:$B,"&lt;&gt;Lucas Luiz Romero")*(28/1083),IF(C3244="Técnico I",SUMIFS($D:$D,$A:$A,$A3244,$B:$B,"&lt;&gt;Patrícia Karla de Sousa Araújo",$B:$B,"&lt;&gt;Lorena Dias de Araujo",$B:$B,"&lt;&gt;Lucas Luiz Romero")*(23/1083),IF(C3244="JR",SUMIFS($D:$D,$A:$A,$A3244,$B:$B,"&lt;&gt;Patrícia Karla de Sousa Araújo",$B:$B,"&lt;&gt;Lorena Dias de Araujo",$B:$B,"&lt;&gt;Lucas Luiz Romero")*(20/1083),IF(C3244="Estágio",SUMIFS($D:$D,$A:$A,$A3244,$B:$B,"&lt;&gt;Patrícia Karla de Sousa Araújo",$B:$B,"&lt;&gt;Lorena Dias de Araujo",$B:$B,"&lt;&gt;Lucas Luiz Romero")*(10/1083),0)))))),0)</f>
        <v>18</v>
      </c>
      <c r="K3244" s="3">
        <f>I3244-J3244</f>
        <v>-1</v>
      </c>
      <c r="L3244" s="3" t="str">
        <f>IF(K3244&lt;-5,"CRÍTICO",IF(K3244&lt;0,"ATENÇÃO",IF(K3244&lt;=5,"OPORTUNO","MUITO BOM")))</f>
        <v>ATENÇÃO</v>
      </c>
      <c r="M3244">
        <v>14</v>
      </c>
      <c r="N3244">
        <v>100</v>
      </c>
      <c r="O3244">
        <v>27.966101694915249</v>
      </c>
    </row>
    <row r="3245" spans="1:15" hidden="1" x14ac:dyDescent="0.25">
      <c r="A3245" s="11">
        <v>46104</v>
      </c>
      <c r="B3245" t="s">
        <v>17</v>
      </c>
      <c r="C3245" t="s">
        <v>16</v>
      </c>
      <c r="D3245">
        <v>0</v>
      </c>
      <c r="E3245">
        <v>0</v>
      </c>
      <c r="F3245">
        <v>0</v>
      </c>
      <c r="G3245">
        <v>0</v>
      </c>
      <c r="H3245">
        <v>0</v>
      </c>
      <c r="I3245" s="3">
        <v>0</v>
      </c>
      <c r="J3245" s="3">
        <v>0</v>
      </c>
      <c r="K3245" s="3">
        <v>0</v>
      </c>
      <c r="L3245" s="3" t="str">
        <f>IF(K3245&lt;-5,"CRÍTICO",IF(K3245&lt;0,"ATENÇÃO",IF(K3245&lt;=5,"OPORTUNO","MUITO BOM")))</f>
        <v>OPORTUNO</v>
      </c>
      <c r="M3245">
        <v>0</v>
      </c>
      <c r="N3245">
        <v>100</v>
      </c>
      <c r="O3245">
        <v>30.434782608695659</v>
      </c>
    </row>
    <row r="3246" spans="1:15" hidden="1" x14ac:dyDescent="0.25">
      <c r="A3246" s="11">
        <v>46104</v>
      </c>
      <c r="B3246" t="s">
        <v>60</v>
      </c>
      <c r="C3246" t="s">
        <v>23</v>
      </c>
      <c r="D3246">
        <v>25</v>
      </c>
      <c r="E3246">
        <v>22</v>
      </c>
      <c r="F3246">
        <v>21.53</v>
      </c>
      <c r="G3246">
        <v>0</v>
      </c>
      <c r="H3246">
        <v>0</v>
      </c>
      <c r="I3246" s="3">
        <f>E3246+G3246+H3246</f>
        <v>22</v>
      </c>
      <c r="J3246" s="3">
        <f>ROUND(MIN(IF(C3246="Técnico III",35,IF(C3246="Técnico II",28,IF(C3246="Técnico I",23,IF(C3246="JR",20,IF(C3246="Estágio",10,0))))),IF(C3246="Técnico III",SUMIFS($D:$D,$A:$A,$A3246,$B:$B,"&lt;&gt;Patrícia Karla de Sousa Araújo",$B:$B,"&lt;&gt;Lorena Dias de Araujo",$B:$B,"&lt;&gt;Lucas Luiz Romero")*(35/1083),IF(C3246="Técnico II",SUMIFS($D:$D,$A:$A,$A3246,$B:$B,"&lt;&gt;Patrícia Karla de Sousa Araújo",$B:$B,"&lt;&gt;Lorena Dias de Araujo",$B:$B,"&lt;&gt;Lucas Luiz Romero")*(28/1083),IF(C3246="Técnico I",SUMIFS($D:$D,$A:$A,$A3246,$B:$B,"&lt;&gt;Patrícia Karla de Sousa Araújo",$B:$B,"&lt;&gt;Lorena Dias de Araujo",$B:$B,"&lt;&gt;Lucas Luiz Romero")*(23/1083),IF(C3246="JR",SUMIFS($D:$D,$A:$A,$A3246,$B:$B,"&lt;&gt;Patrícia Karla de Sousa Araújo",$B:$B,"&lt;&gt;Lorena Dias de Araujo",$B:$B,"&lt;&gt;Lucas Luiz Romero")*(20/1083),IF(C3246="Estágio",SUMIFS($D:$D,$A:$A,$A3246,$B:$B,"&lt;&gt;Patrícia Karla de Sousa Araújo",$B:$B,"&lt;&gt;Lorena Dias de Araujo",$B:$B,"&lt;&gt;Lucas Luiz Romero")*(10/1083),0)))))),0)</f>
        <v>14</v>
      </c>
      <c r="K3246" s="3">
        <f>I3246-J3246</f>
        <v>8</v>
      </c>
      <c r="L3246" s="3" t="str">
        <f>IF(K3246&lt;-5,"CRÍTICO",IF(K3246&lt;0,"ATENÇÃO",IF(K3246&lt;=5,"OPORTUNO","MUITO BOM")))</f>
        <v>MUITO BOM</v>
      </c>
      <c r="M3246">
        <v>20</v>
      </c>
      <c r="N3246">
        <v>96.51</v>
      </c>
      <c r="O3246">
        <v>22.802850356294542</v>
      </c>
    </row>
    <row r="3247" spans="1:15" hidden="1" x14ac:dyDescent="0.25">
      <c r="A3247" s="11">
        <v>46104</v>
      </c>
      <c r="B3247" t="s">
        <v>34</v>
      </c>
      <c r="C3247" t="s">
        <v>32</v>
      </c>
      <c r="D3247">
        <v>6</v>
      </c>
      <c r="E3247">
        <v>6</v>
      </c>
      <c r="F3247">
        <v>25.29</v>
      </c>
      <c r="G3247">
        <v>0</v>
      </c>
      <c r="H3247">
        <v>0</v>
      </c>
      <c r="I3247" s="3">
        <f>E3247+G3247+H3247</f>
        <v>6</v>
      </c>
      <c r="J3247" s="3">
        <f>ROUND(MIN(IF(C3247="Técnico III",35,IF(C3247="Técnico II",28,IF(C3247="Técnico I",23,IF(C3247="JR",20,IF(C3247="Estágio",10,0))))),IF(C3247="Técnico III",SUMIFS($D:$D,$A:$A,$A3247,$B:$B,"&lt;&gt;Patrícia Karla de Sousa Araújo",$B:$B,"&lt;&gt;Lorena Dias de Araujo",$B:$B,"&lt;&gt;Lucas Luiz Romero")*(35/1083),IF(C3247="Técnico II",SUMIFS($D:$D,$A:$A,$A3247,$B:$B,"&lt;&gt;Patrícia Karla de Sousa Araújo",$B:$B,"&lt;&gt;Lorena Dias de Araujo",$B:$B,"&lt;&gt;Lucas Luiz Romero")*(28/1083),IF(C3247="Técnico I",SUMIFS($D:$D,$A:$A,$A3247,$B:$B,"&lt;&gt;Patrícia Karla de Sousa Araújo",$B:$B,"&lt;&gt;Lorena Dias de Araujo",$B:$B,"&lt;&gt;Lucas Luiz Romero")*(23/1083),IF(C3247="JR",SUMIFS($D:$D,$A:$A,$A3247,$B:$B,"&lt;&gt;Patrícia Karla de Sousa Araújo",$B:$B,"&lt;&gt;Lorena Dias de Araujo",$B:$B,"&lt;&gt;Lucas Luiz Romero")*(20/1083),IF(C3247="Estágio",SUMIFS($D:$D,$A:$A,$A3247,$B:$B,"&lt;&gt;Patrícia Karla de Sousa Araújo",$B:$B,"&lt;&gt;Lorena Dias de Araujo",$B:$B,"&lt;&gt;Lucas Luiz Romero")*(10/1083),0)))))),0)</f>
        <v>22</v>
      </c>
      <c r="K3247" s="3">
        <f>I3247-J3247</f>
        <v>-16</v>
      </c>
      <c r="L3247" s="3" t="str">
        <f>IF(K3247&lt;-5,"CRÍTICO",IF(K3247&lt;0,"ATENÇÃO",IF(K3247&lt;=5,"OPORTUNO","MUITO BOM")))</f>
        <v>CRÍTICO</v>
      </c>
      <c r="M3247">
        <v>7</v>
      </c>
      <c r="N3247">
        <v>92.68</v>
      </c>
      <c r="O3247">
        <v>27.777777777777779</v>
      </c>
    </row>
    <row r="3248" spans="1:15" hidden="1" x14ac:dyDescent="0.25">
      <c r="A3248" s="11">
        <v>46104</v>
      </c>
      <c r="B3248" t="s">
        <v>51</v>
      </c>
      <c r="C3248" t="s">
        <v>48</v>
      </c>
      <c r="D3248">
        <v>29</v>
      </c>
      <c r="E3248">
        <v>20</v>
      </c>
      <c r="F3248">
        <v>27.17</v>
      </c>
      <c r="G3248">
        <v>0</v>
      </c>
      <c r="H3248">
        <v>0</v>
      </c>
      <c r="I3248" s="3">
        <v>0</v>
      </c>
      <c r="J3248" s="3">
        <v>0</v>
      </c>
      <c r="K3248" s="3">
        <v>0</v>
      </c>
      <c r="L3248" s="3" t="str">
        <f>IF(K3248&lt;-5,"CRÍTICO",IF(K3248&lt;0,"ATENÇÃO",IF(K3248&lt;=5,"OPORTUNO","MUITO BOM")))</f>
        <v>OPORTUNO</v>
      </c>
      <c r="M3248">
        <v>17</v>
      </c>
      <c r="N3248">
        <v>99.03</v>
      </c>
      <c r="O3248">
        <v>23.991507430997881</v>
      </c>
    </row>
    <row r="3249" spans="1:15" hidden="1" x14ac:dyDescent="0.25">
      <c r="A3249" s="11">
        <v>46104</v>
      </c>
      <c r="B3249" t="s">
        <v>61</v>
      </c>
      <c r="C3249" t="s">
        <v>23</v>
      </c>
      <c r="D3249">
        <v>18</v>
      </c>
      <c r="E3249">
        <v>18</v>
      </c>
      <c r="F3249">
        <v>21.48</v>
      </c>
      <c r="G3249">
        <v>0</v>
      </c>
      <c r="H3249">
        <v>0</v>
      </c>
      <c r="I3249" s="3">
        <f>E3249+G3249+H3249</f>
        <v>18</v>
      </c>
      <c r="J3249" s="3">
        <f>ROUND(MIN(IF(C3249="Técnico III",35,IF(C3249="Técnico II",28,IF(C3249="Técnico I",23,IF(C3249="JR",20,IF(C3249="Estágio",10,0))))),IF(C3249="Técnico III",SUMIFS($D:$D,$A:$A,$A3249,$B:$B,"&lt;&gt;Patrícia Karla de Sousa Araújo",$B:$B,"&lt;&gt;Lorena Dias de Araujo",$B:$B,"&lt;&gt;Lucas Luiz Romero")*(35/1083),IF(C3249="Técnico II",SUMIFS($D:$D,$A:$A,$A3249,$B:$B,"&lt;&gt;Patrícia Karla de Sousa Araújo",$B:$B,"&lt;&gt;Lorena Dias de Araujo",$B:$B,"&lt;&gt;Lucas Luiz Romero")*(28/1083),IF(C3249="Técnico I",SUMIFS($D:$D,$A:$A,$A3249,$B:$B,"&lt;&gt;Patrícia Karla de Sousa Araújo",$B:$B,"&lt;&gt;Lorena Dias de Araujo",$B:$B,"&lt;&gt;Lucas Luiz Romero")*(23/1083),IF(C3249="JR",SUMIFS($D:$D,$A:$A,$A3249,$B:$B,"&lt;&gt;Patrícia Karla de Sousa Araújo",$B:$B,"&lt;&gt;Lorena Dias de Araujo",$B:$B,"&lt;&gt;Lucas Luiz Romero")*(20/1083),IF(C3249="Estágio",SUMIFS($D:$D,$A:$A,$A3249,$B:$B,"&lt;&gt;Patrícia Karla de Sousa Araújo",$B:$B,"&lt;&gt;Lorena Dias de Araujo",$B:$B,"&lt;&gt;Lucas Luiz Romero")*(10/1083),0)))))),0)</f>
        <v>14</v>
      </c>
      <c r="K3249" s="3">
        <f>I3249-J3249</f>
        <v>4</v>
      </c>
      <c r="L3249" s="3" t="str">
        <f>IF(K3249&lt;-5,"CRÍTICO",IF(K3249&lt;0,"ATENÇÃO",IF(K3249&lt;=5,"OPORTUNO","MUITO BOM")))</f>
        <v>OPORTUNO</v>
      </c>
      <c r="M3249">
        <v>6</v>
      </c>
      <c r="N3249">
        <v>98.41</v>
      </c>
      <c r="O3249">
        <v>28.138528138528141</v>
      </c>
    </row>
    <row r="3250" spans="1:15" hidden="1" x14ac:dyDescent="0.25">
      <c r="A3250" s="11">
        <v>46104</v>
      </c>
      <c r="B3250" t="s">
        <v>35</v>
      </c>
      <c r="C3250" t="s">
        <v>32</v>
      </c>
      <c r="D3250">
        <v>18</v>
      </c>
      <c r="E3250">
        <v>17</v>
      </c>
      <c r="F3250">
        <v>25.34</v>
      </c>
      <c r="G3250">
        <v>0</v>
      </c>
      <c r="H3250">
        <v>0</v>
      </c>
      <c r="I3250" s="3">
        <v>0</v>
      </c>
      <c r="J3250" s="3">
        <v>0</v>
      </c>
      <c r="K3250" s="3">
        <v>0</v>
      </c>
      <c r="L3250" s="3" t="str">
        <f>IF(K3250&lt;-5,"CRÍTICO",IF(K3250&lt;0,"ATENÇÃO",IF(K3250&lt;=5,"OPORTUNO","MUITO BOM")))</f>
        <v>OPORTUNO</v>
      </c>
      <c r="M3250">
        <v>19</v>
      </c>
      <c r="N3250">
        <v>98.73</v>
      </c>
      <c r="O3250">
        <v>29.142857142857139</v>
      </c>
    </row>
    <row r="3251" spans="1:15" hidden="1" x14ac:dyDescent="0.25">
      <c r="A3251" s="11">
        <v>46104</v>
      </c>
      <c r="B3251" t="s">
        <v>18</v>
      </c>
      <c r="C3251" t="s">
        <v>16</v>
      </c>
      <c r="D3251">
        <v>6</v>
      </c>
      <c r="E3251">
        <v>6</v>
      </c>
      <c r="F3251">
        <v>42.25</v>
      </c>
      <c r="G3251">
        <v>0</v>
      </c>
      <c r="H3251">
        <v>0</v>
      </c>
      <c r="I3251" s="3">
        <f>E3251+G3251+H3251</f>
        <v>6</v>
      </c>
      <c r="J3251" s="3">
        <f>ROUND(MIN(IF(C3251="Técnico III",35,IF(C3251="Técnico II",28,IF(C3251="Técnico I",23,IF(C3251="JR",20,IF(C3251="Estágio",10,0))))),IF(C3251="Técnico III",SUMIFS($D:$D,$A:$A,$A3251,$B:$B,"&lt;&gt;Patrícia Karla de Sousa Araújo",$B:$B,"&lt;&gt;Lorena Dias de Araujo",$B:$B,"&lt;&gt;Lucas Luiz Romero")*(35/1083),IF(C3251="Técnico II",SUMIFS($D:$D,$A:$A,$A3251,$B:$B,"&lt;&gt;Patrícia Karla de Sousa Araújo",$B:$B,"&lt;&gt;Lorena Dias de Araujo",$B:$B,"&lt;&gt;Lucas Luiz Romero")*(28/1083),IF(C3251="Técnico I",SUMIFS($D:$D,$A:$A,$A3251,$B:$B,"&lt;&gt;Patrícia Karla de Sousa Araújo",$B:$B,"&lt;&gt;Lorena Dias de Araujo",$B:$B,"&lt;&gt;Lucas Luiz Romero")*(23/1083),IF(C3251="JR",SUMIFS($D:$D,$A:$A,$A3251,$B:$B,"&lt;&gt;Patrícia Karla de Sousa Araújo",$B:$B,"&lt;&gt;Lorena Dias de Araujo",$B:$B,"&lt;&gt;Lucas Luiz Romero")*(20/1083),IF(C3251="Estágio",SUMIFS($D:$D,$A:$A,$A3251,$B:$B,"&lt;&gt;Patrícia Karla de Sousa Araújo",$B:$B,"&lt;&gt;Lorena Dias de Araujo",$B:$B,"&lt;&gt;Lucas Luiz Romero")*(10/1083),0)))))),0)</f>
        <v>6</v>
      </c>
      <c r="K3251" s="3">
        <f>I3251-J3251</f>
        <v>0</v>
      </c>
      <c r="L3251" s="3" t="str">
        <f>IF(K3251&lt;-5,"CRÍTICO",IF(K3251&lt;0,"ATENÇÃO",IF(K3251&lt;=5,"OPORTUNO","MUITO BOM")))</f>
        <v>OPORTUNO</v>
      </c>
      <c r="M3251">
        <v>5</v>
      </c>
      <c r="N3251">
        <v>90.48</v>
      </c>
      <c r="O3251">
        <v>20.68965517241379</v>
      </c>
    </row>
    <row r="3252" spans="1:15" hidden="1" x14ac:dyDescent="0.25">
      <c r="A3252" s="11">
        <v>46104</v>
      </c>
      <c r="B3252" t="s">
        <v>52</v>
      </c>
      <c r="C3252" t="s">
        <v>48</v>
      </c>
      <c r="D3252">
        <v>26</v>
      </c>
      <c r="E3252">
        <v>25</v>
      </c>
      <c r="F3252">
        <v>17.309999999999999</v>
      </c>
      <c r="G3252">
        <v>0</v>
      </c>
      <c r="H3252">
        <v>0</v>
      </c>
      <c r="I3252" s="3">
        <f>E3252+G3252+H3252</f>
        <v>25</v>
      </c>
      <c r="J3252" s="3">
        <f>ROUND(MIN(IF(C3252="Técnico III",35,IF(C3252="Técnico II",28,IF(C3252="Técnico I",23,IF(C3252="JR",20,IF(C3252="Estágio",10,0))))),IF(C3252="Técnico III",SUMIFS($D:$D,$A:$A,$A3252,$B:$B,"&lt;&gt;Patrícia Karla de Sousa Araújo",$B:$B,"&lt;&gt;Lorena Dias de Araujo",$B:$B,"&lt;&gt;Lucas Luiz Romero")*(35/1083),IF(C3252="Técnico II",SUMIFS($D:$D,$A:$A,$A3252,$B:$B,"&lt;&gt;Patrícia Karla de Sousa Araújo",$B:$B,"&lt;&gt;Lorena Dias de Araujo",$B:$B,"&lt;&gt;Lucas Luiz Romero")*(28/1083),IF(C3252="Técnico I",SUMIFS($D:$D,$A:$A,$A3252,$B:$B,"&lt;&gt;Patrícia Karla de Sousa Araújo",$B:$B,"&lt;&gt;Lorena Dias de Araujo",$B:$B,"&lt;&gt;Lucas Luiz Romero")*(23/1083),IF(C3252="JR",SUMIFS($D:$D,$A:$A,$A3252,$B:$B,"&lt;&gt;Patrícia Karla de Sousa Araújo",$B:$B,"&lt;&gt;Lorena Dias de Araujo",$B:$B,"&lt;&gt;Lucas Luiz Romero")*(20/1083),IF(C3252="Estágio",SUMIFS($D:$D,$A:$A,$A3252,$B:$B,"&lt;&gt;Patrícia Karla de Sousa Araújo",$B:$B,"&lt;&gt;Lorena Dias de Araujo",$B:$B,"&lt;&gt;Lucas Luiz Romero")*(10/1083),0)))))),0)</f>
        <v>18</v>
      </c>
      <c r="K3252" s="3">
        <f>I3252-J3252</f>
        <v>7</v>
      </c>
      <c r="L3252" s="3" t="str">
        <f>IF(K3252&lt;-5,"CRÍTICO",IF(K3252&lt;0,"ATENÇÃO",IF(K3252&lt;=5,"OPORTUNO","MUITO BOM")))</f>
        <v>MUITO BOM</v>
      </c>
      <c r="M3252">
        <v>22</v>
      </c>
      <c r="N3252">
        <v>98.06</v>
      </c>
      <c r="O3252">
        <v>24.789915966386559</v>
      </c>
    </row>
    <row r="3253" spans="1:15" hidden="1" x14ac:dyDescent="0.25">
      <c r="A3253" s="11">
        <v>46104</v>
      </c>
      <c r="B3253" t="s">
        <v>36</v>
      </c>
      <c r="C3253" t="s">
        <v>32</v>
      </c>
      <c r="D3253">
        <v>27</v>
      </c>
      <c r="E3253">
        <v>27</v>
      </c>
      <c r="F3253">
        <v>15.59</v>
      </c>
      <c r="G3253">
        <v>0</v>
      </c>
      <c r="H3253">
        <v>0</v>
      </c>
      <c r="I3253" s="3">
        <f>E3253+G3253+H3253</f>
        <v>27</v>
      </c>
      <c r="J3253" s="3">
        <f>ROUND(MIN(IF(C3253="Técnico III",35,IF(C3253="Técnico II",28,IF(C3253="Técnico I",23,IF(C3253="JR",20,IF(C3253="Estágio",10,0))))),IF(C3253="Técnico III",SUMIFS($D:$D,$A:$A,$A3253,$B:$B,"&lt;&gt;Patrícia Karla de Sousa Araújo",$B:$B,"&lt;&gt;Lorena Dias de Araujo",$B:$B,"&lt;&gt;Lucas Luiz Romero")*(35/1083),IF(C3253="Técnico II",SUMIFS($D:$D,$A:$A,$A3253,$B:$B,"&lt;&gt;Patrícia Karla de Sousa Araújo",$B:$B,"&lt;&gt;Lorena Dias de Araujo",$B:$B,"&lt;&gt;Lucas Luiz Romero")*(28/1083),IF(C3253="Técnico I",SUMIFS($D:$D,$A:$A,$A3253,$B:$B,"&lt;&gt;Patrícia Karla de Sousa Araújo",$B:$B,"&lt;&gt;Lorena Dias de Araujo",$B:$B,"&lt;&gt;Lucas Luiz Romero")*(23/1083),IF(C3253="JR",SUMIFS($D:$D,$A:$A,$A3253,$B:$B,"&lt;&gt;Patrícia Karla de Sousa Araújo",$B:$B,"&lt;&gt;Lorena Dias de Araujo",$B:$B,"&lt;&gt;Lucas Luiz Romero")*(20/1083),IF(C3253="Estágio",SUMIFS($D:$D,$A:$A,$A3253,$B:$B,"&lt;&gt;Patrícia Karla de Sousa Araújo",$B:$B,"&lt;&gt;Lorena Dias de Araujo",$B:$B,"&lt;&gt;Lucas Luiz Romero")*(10/1083),0)))))),0)</f>
        <v>22</v>
      </c>
      <c r="K3253" s="3">
        <f>I3253-J3253</f>
        <v>5</v>
      </c>
      <c r="L3253" s="3" t="str">
        <f>IF(K3253&lt;-5,"CRÍTICO",IF(K3253&lt;0,"ATENÇÃO",IF(K3253&lt;=5,"OPORTUNO","MUITO BOM")))</f>
        <v>OPORTUNO</v>
      </c>
      <c r="M3253">
        <v>27</v>
      </c>
      <c r="N3253">
        <v>97.78</v>
      </c>
      <c r="O3253">
        <v>25.494071146245059</v>
      </c>
    </row>
    <row r="3254" spans="1:15" hidden="1" x14ac:dyDescent="0.25">
      <c r="A3254" s="11">
        <v>46104</v>
      </c>
      <c r="B3254" t="s">
        <v>53</v>
      </c>
      <c r="C3254" t="s">
        <v>48</v>
      </c>
      <c r="D3254">
        <v>28</v>
      </c>
      <c r="E3254">
        <v>26</v>
      </c>
      <c r="F3254">
        <v>20.49</v>
      </c>
      <c r="G3254">
        <v>0</v>
      </c>
      <c r="H3254">
        <v>0</v>
      </c>
      <c r="I3254" s="3">
        <f>E3254+G3254+H3254</f>
        <v>26</v>
      </c>
      <c r="J3254" s="3">
        <f>ROUND(MIN(IF(C3254="Técnico III",35,IF(C3254="Técnico II",28,IF(C3254="Técnico I",23,IF(C3254="JR",20,IF(C3254="Estágio",10,0))))),IF(C3254="Técnico III",SUMIFS($D:$D,$A:$A,$A3254,$B:$B,"&lt;&gt;Patrícia Karla de Sousa Araújo",$B:$B,"&lt;&gt;Lorena Dias de Araujo",$B:$B,"&lt;&gt;Lucas Luiz Romero")*(35/1083),IF(C3254="Técnico II",SUMIFS($D:$D,$A:$A,$A3254,$B:$B,"&lt;&gt;Patrícia Karla de Sousa Araújo",$B:$B,"&lt;&gt;Lorena Dias de Araujo",$B:$B,"&lt;&gt;Lucas Luiz Romero")*(28/1083),IF(C3254="Técnico I",SUMIFS($D:$D,$A:$A,$A3254,$B:$B,"&lt;&gt;Patrícia Karla de Sousa Araújo",$B:$B,"&lt;&gt;Lorena Dias de Araujo",$B:$B,"&lt;&gt;Lucas Luiz Romero")*(23/1083),IF(C3254="JR",SUMIFS($D:$D,$A:$A,$A3254,$B:$B,"&lt;&gt;Patrícia Karla de Sousa Araújo",$B:$B,"&lt;&gt;Lorena Dias de Araujo",$B:$B,"&lt;&gt;Lucas Luiz Romero")*(20/1083),IF(C3254="Estágio",SUMIFS($D:$D,$A:$A,$A3254,$B:$B,"&lt;&gt;Patrícia Karla de Sousa Araújo",$B:$B,"&lt;&gt;Lorena Dias de Araujo",$B:$B,"&lt;&gt;Lucas Luiz Romero")*(10/1083),0)))))),0)</f>
        <v>18</v>
      </c>
      <c r="K3254" s="3">
        <f>I3254-J3254</f>
        <v>8</v>
      </c>
      <c r="L3254" s="3" t="str">
        <f>IF(K3254&lt;-5,"CRÍTICO",IF(K3254&lt;0,"ATENÇÃO",IF(K3254&lt;=5,"OPORTUNO","MUITO BOM")))</f>
        <v>MUITO BOM</v>
      </c>
      <c r="M3254">
        <v>23</v>
      </c>
      <c r="N3254">
        <v>98.02</v>
      </c>
      <c r="O3254">
        <v>23.484848484848481</v>
      </c>
    </row>
    <row r="3255" spans="1:15" hidden="1" x14ac:dyDescent="0.25">
      <c r="A3255" s="11">
        <v>46139</v>
      </c>
      <c r="B3255" t="s">
        <v>22</v>
      </c>
      <c r="C3255" t="s">
        <v>23</v>
      </c>
      <c r="D3255">
        <v>13</v>
      </c>
      <c r="E3255">
        <v>12</v>
      </c>
      <c r="F3255">
        <v>13.29</v>
      </c>
      <c r="G3255">
        <v>0</v>
      </c>
      <c r="H3255">
        <v>0</v>
      </c>
      <c r="I3255" s="3">
        <f>E3255+G3255+H3255</f>
        <v>12</v>
      </c>
      <c r="J3255" s="3">
        <f>ROUND(MIN(IF(C3255="Técnico III",35,IF(C3255="Técnico II",28,IF(C3255="Técnico I",23,IF(C3255="JR",20,IF(C3255="Estágio",10,0))))),IF(C3255="Técnico III",SUMIFS($D:$D,$A:$A,$A3255,$B:$B,"&lt;&gt;Patrícia Karla de Sousa Araújo",$B:$B,"&lt;&gt;Lorena Dias de Araujo",$B:$B,"&lt;&gt;Lucas Luiz Romero")*(35/1083),IF(C3255="Técnico II",SUMIFS($D:$D,$A:$A,$A3255,$B:$B,"&lt;&gt;Patrícia Karla de Sousa Araújo",$B:$B,"&lt;&gt;Lorena Dias de Araujo",$B:$B,"&lt;&gt;Lucas Luiz Romero")*(28/1083),IF(C3255="Técnico I",SUMIFS($D:$D,$A:$A,$A3255,$B:$B,"&lt;&gt;Patrícia Karla de Sousa Araújo",$B:$B,"&lt;&gt;Lorena Dias de Araujo",$B:$B,"&lt;&gt;Lucas Luiz Romero")*(23/1083),IF(C3255="JR",SUMIFS($D:$D,$A:$A,$A3255,$B:$B,"&lt;&gt;Patrícia Karla de Sousa Araújo",$B:$B,"&lt;&gt;Lorena Dias de Araujo",$B:$B,"&lt;&gt;Lucas Luiz Romero")*(20/1083),IF(C3255="Estágio",SUMIFS($D:$D,$A:$A,$A3255,$B:$B,"&lt;&gt;Patrícia Karla de Sousa Araújo",$B:$B,"&lt;&gt;Lorena Dias de Araujo",$B:$B,"&lt;&gt;Lucas Luiz Romero")*(10/1083),0)))))),0)</f>
        <v>9</v>
      </c>
      <c r="K3255" s="3">
        <f>I3255-J3255</f>
        <v>3</v>
      </c>
      <c r="L3255" s="3" t="str">
        <f>IF(K3255&lt;-5,"CRÍTICO",IF(K3255&lt;0,"ATENÇÃO",IF(K3255&lt;=5,"OPORTUNO","MUITO BOM")))</f>
        <v>OPORTUNO</v>
      </c>
      <c r="M3255">
        <v>10</v>
      </c>
      <c r="N3255">
        <v>99.28</v>
      </c>
      <c r="O3255">
        <v>27.689243027888441</v>
      </c>
    </row>
    <row r="3256" spans="1:15" hidden="1" x14ac:dyDescent="0.25">
      <c r="A3256" s="11">
        <v>46104</v>
      </c>
      <c r="B3256" t="s">
        <v>54</v>
      </c>
      <c r="C3256" t="s">
        <v>48</v>
      </c>
      <c r="D3256">
        <v>32</v>
      </c>
      <c r="E3256">
        <v>29</v>
      </c>
      <c r="F3256">
        <v>20.14</v>
      </c>
      <c r="G3256">
        <v>0</v>
      </c>
      <c r="H3256">
        <v>0</v>
      </c>
      <c r="I3256" s="3">
        <f>E3256+G3256+H3256</f>
        <v>29</v>
      </c>
      <c r="J3256" s="3">
        <f>ROUND(MIN(IF(C3256="Técnico III",35,IF(C3256="Técnico II",28,IF(C3256="Técnico I",23,IF(C3256="JR",20,IF(C3256="Estágio",10,0))))),IF(C3256="Técnico III",SUMIFS($D:$D,$A:$A,$A3256,$B:$B,"&lt;&gt;Patrícia Karla de Sousa Araújo",$B:$B,"&lt;&gt;Lorena Dias de Araujo",$B:$B,"&lt;&gt;Lucas Luiz Romero")*(35/1083),IF(C3256="Técnico II",SUMIFS($D:$D,$A:$A,$A3256,$B:$B,"&lt;&gt;Patrícia Karla de Sousa Araújo",$B:$B,"&lt;&gt;Lorena Dias de Araujo",$B:$B,"&lt;&gt;Lucas Luiz Romero")*(28/1083),IF(C3256="Técnico I",SUMIFS($D:$D,$A:$A,$A3256,$B:$B,"&lt;&gt;Patrícia Karla de Sousa Araújo",$B:$B,"&lt;&gt;Lorena Dias de Araujo",$B:$B,"&lt;&gt;Lucas Luiz Romero")*(23/1083),IF(C3256="JR",SUMIFS($D:$D,$A:$A,$A3256,$B:$B,"&lt;&gt;Patrícia Karla de Sousa Araújo",$B:$B,"&lt;&gt;Lorena Dias de Araujo",$B:$B,"&lt;&gt;Lucas Luiz Romero")*(20/1083),IF(C3256="Estágio",SUMIFS($D:$D,$A:$A,$A3256,$B:$B,"&lt;&gt;Patrícia Karla de Sousa Araújo",$B:$B,"&lt;&gt;Lorena Dias de Araujo",$B:$B,"&lt;&gt;Lucas Luiz Romero")*(10/1083),0)))))),0)</f>
        <v>18</v>
      </c>
      <c r="K3256" s="3">
        <f>I3256-J3256</f>
        <v>11</v>
      </c>
      <c r="L3256" s="3" t="str">
        <f>IF(K3256&lt;-5,"CRÍTICO",IF(K3256&lt;0,"ATENÇÃO",IF(K3256&lt;=5,"OPORTUNO","MUITO BOM")))</f>
        <v>MUITO BOM</v>
      </c>
      <c r="M3256">
        <v>27</v>
      </c>
      <c r="N3256">
        <v>100</v>
      </c>
      <c r="O3256">
        <v>27.04918032786885</v>
      </c>
    </row>
    <row r="3257" spans="1:15" hidden="1" x14ac:dyDescent="0.25">
      <c r="A3257" s="11">
        <v>46104</v>
      </c>
      <c r="B3257" t="s">
        <v>37</v>
      </c>
      <c r="C3257" t="s">
        <v>32</v>
      </c>
      <c r="D3257">
        <v>32</v>
      </c>
      <c r="E3257">
        <v>30</v>
      </c>
      <c r="F3257">
        <v>16.420000000000002</v>
      </c>
      <c r="G3257">
        <v>0</v>
      </c>
      <c r="H3257">
        <v>0</v>
      </c>
      <c r="I3257" s="3">
        <f>E3257+G3257+H3257</f>
        <v>30</v>
      </c>
      <c r="J3257" s="3">
        <f>ROUND(MIN(IF(C3257="Técnico III",35,IF(C3257="Técnico II",28,IF(C3257="Técnico I",23,IF(C3257="JR",20,IF(C3257="Estágio",10,0))))),IF(C3257="Técnico III",SUMIFS($D:$D,$A:$A,$A3257,$B:$B,"&lt;&gt;Patrícia Karla de Sousa Araújo",$B:$B,"&lt;&gt;Lorena Dias de Araujo",$B:$B,"&lt;&gt;Lucas Luiz Romero")*(35/1083),IF(C3257="Técnico II",SUMIFS($D:$D,$A:$A,$A3257,$B:$B,"&lt;&gt;Patrícia Karla de Sousa Araújo",$B:$B,"&lt;&gt;Lorena Dias de Araujo",$B:$B,"&lt;&gt;Lucas Luiz Romero")*(28/1083),IF(C3257="Técnico I",SUMIFS($D:$D,$A:$A,$A3257,$B:$B,"&lt;&gt;Patrícia Karla de Sousa Araújo",$B:$B,"&lt;&gt;Lorena Dias de Araujo",$B:$B,"&lt;&gt;Lucas Luiz Romero")*(23/1083),IF(C3257="JR",SUMIFS($D:$D,$A:$A,$A3257,$B:$B,"&lt;&gt;Patrícia Karla de Sousa Araújo",$B:$B,"&lt;&gt;Lorena Dias de Araujo",$B:$B,"&lt;&gt;Lucas Luiz Romero")*(20/1083),IF(C3257="Estágio",SUMIFS($D:$D,$A:$A,$A3257,$B:$B,"&lt;&gt;Patrícia Karla de Sousa Araújo",$B:$B,"&lt;&gt;Lorena Dias de Araujo",$B:$B,"&lt;&gt;Lucas Luiz Romero")*(10/1083),0)))))),0)</f>
        <v>22</v>
      </c>
      <c r="K3257" s="3">
        <f>I3257-J3257</f>
        <v>8</v>
      </c>
      <c r="L3257" s="3" t="str">
        <f>IF(K3257&lt;-5,"CRÍTICO",IF(K3257&lt;0,"ATENÇÃO",IF(K3257&lt;=5,"OPORTUNO","MUITO BOM")))</f>
        <v>MUITO BOM</v>
      </c>
      <c r="M3257">
        <v>26</v>
      </c>
      <c r="N3257">
        <v>97.83</v>
      </c>
      <c r="O3257">
        <v>26.315789473684209</v>
      </c>
    </row>
    <row r="3258" spans="1:15" hidden="1" x14ac:dyDescent="0.25">
      <c r="A3258" s="11">
        <v>46104</v>
      </c>
      <c r="B3258" t="s">
        <v>38</v>
      </c>
      <c r="C3258" t="s">
        <v>32</v>
      </c>
      <c r="D3258">
        <v>7</v>
      </c>
      <c r="E3258">
        <v>6</v>
      </c>
      <c r="F3258">
        <v>15.49</v>
      </c>
      <c r="G3258">
        <v>0</v>
      </c>
      <c r="H3258">
        <v>0</v>
      </c>
      <c r="I3258" s="3">
        <f>E3258+G3258+H3258</f>
        <v>6</v>
      </c>
      <c r="J3258" s="3">
        <f>ROUND(MIN(IF(C3258="Técnico III",35,IF(C3258="Técnico II",28,IF(C3258="Técnico I",23,IF(C3258="JR",20,IF(C3258="Estágio",10,0))))),IF(C3258="Técnico III",SUMIFS($D:$D,$A:$A,$A3258,$B:$B,"&lt;&gt;Patrícia Karla de Sousa Araújo",$B:$B,"&lt;&gt;Lorena Dias de Araujo",$B:$B,"&lt;&gt;Lucas Luiz Romero")*(35/1083),IF(C3258="Técnico II",SUMIFS($D:$D,$A:$A,$A3258,$B:$B,"&lt;&gt;Patrícia Karla de Sousa Araújo",$B:$B,"&lt;&gt;Lorena Dias de Araujo",$B:$B,"&lt;&gt;Lucas Luiz Romero")*(28/1083),IF(C3258="Técnico I",SUMIFS($D:$D,$A:$A,$A3258,$B:$B,"&lt;&gt;Patrícia Karla de Sousa Araújo",$B:$B,"&lt;&gt;Lorena Dias de Araujo",$B:$B,"&lt;&gt;Lucas Luiz Romero")*(23/1083),IF(C3258="JR",SUMIFS($D:$D,$A:$A,$A3258,$B:$B,"&lt;&gt;Patrícia Karla de Sousa Araújo",$B:$B,"&lt;&gt;Lorena Dias de Araujo",$B:$B,"&lt;&gt;Lucas Luiz Romero")*(20/1083),IF(C3258="Estágio",SUMIFS($D:$D,$A:$A,$A3258,$B:$B,"&lt;&gt;Patrícia Karla de Sousa Araújo",$B:$B,"&lt;&gt;Lorena Dias de Araujo",$B:$B,"&lt;&gt;Lucas Luiz Romero")*(10/1083),0)))))),0)</f>
        <v>22</v>
      </c>
      <c r="K3258" s="3">
        <f>I3258-J3258</f>
        <v>-16</v>
      </c>
      <c r="L3258" s="3" t="str">
        <f>IF(K3258&lt;-5,"CRÍTICO",IF(K3258&lt;0,"ATENÇÃO",IF(K3258&lt;=5,"OPORTUNO","MUITO BOM")))</f>
        <v>CRÍTICO</v>
      </c>
      <c r="M3258">
        <v>6</v>
      </c>
      <c r="N3258">
        <v>100</v>
      </c>
      <c r="O3258">
        <v>26.701570680628269</v>
      </c>
    </row>
    <row r="3259" spans="1:15" hidden="1" x14ac:dyDescent="0.25">
      <c r="A3259" s="11">
        <v>46104</v>
      </c>
      <c r="B3259" t="s">
        <v>55</v>
      </c>
      <c r="C3259" t="s">
        <v>48</v>
      </c>
      <c r="D3259">
        <v>0</v>
      </c>
      <c r="E3259">
        <v>0</v>
      </c>
      <c r="F3259">
        <v>0</v>
      </c>
      <c r="G3259">
        <v>0</v>
      </c>
      <c r="H3259">
        <v>0</v>
      </c>
      <c r="I3259" s="3">
        <v>0</v>
      </c>
      <c r="J3259" s="3">
        <v>0</v>
      </c>
      <c r="K3259" s="3">
        <v>0</v>
      </c>
      <c r="L3259" s="3" t="str">
        <f>IF(K3259&lt;-5,"CRÍTICO",IF(K3259&lt;0,"ATENÇÃO",IF(K3259&lt;=5,"OPORTUNO","MUITO BOM")))</f>
        <v>OPORTUNO</v>
      </c>
      <c r="M3259">
        <v>0</v>
      </c>
      <c r="N3259">
        <v>97.47</v>
      </c>
      <c r="O3259">
        <v>22.887323943661968</v>
      </c>
    </row>
    <row r="3260" spans="1:15" hidden="1" x14ac:dyDescent="0.25">
      <c r="A3260" s="11">
        <v>46104</v>
      </c>
      <c r="B3260" t="s">
        <v>39</v>
      </c>
      <c r="C3260" t="s">
        <v>32</v>
      </c>
      <c r="D3260">
        <v>0</v>
      </c>
      <c r="E3260">
        <v>0</v>
      </c>
      <c r="F3260">
        <v>0</v>
      </c>
      <c r="G3260">
        <v>0</v>
      </c>
      <c r="H3260">
        <v>0</v>
      </c>
      <c r="I3260" s="3">
        <v>0</v>
      </c>
      <c r="J3260" s="3">
        <v>0</v>
      </c>
      <c r="K3260" s="3">
        <v>0</v>
      </c>
      <c r="L3260" s="3" t="str">
        <f>IF(K3260&lt;-5,"CRÍTICO",IF(K3260&lt;0,"ATENÇÃO",IF(K3260&lt;=5,"OPORTUNO","MUITO BOM")))</f>
        <v>OPORTUNO</v>
      </c>
      <c r="M3260">
        <v>0</v>
      </c>
      <c r="N3260">
        <v>0</v>
      </c>
      <c r="O3260">
        <v>0</v>
      </c>
    </row>
    <row r="3261" spans="1:15" hidden="1" x14ac:dyDescent="0.25">
      <c r="A3261" s="11">
        <v>46104</v>
      </c>
      <c r="B3261" t="s">
        <v>25</v>
      </c>
      <c r="C3261" t="s">
        <v>26</v>
      </c>
      <c r="D3261">
        <v>10</v>
      </c>
      <c r="E3261">
        <v>9</v>
      </c>
      <c r="F3261">
        <v>42.22</v>
      </c>
      <c r="G3261">
        <v>0</v>
      </c>
      <c r="H3261">
        <v>0</v>
      </c>
      <c r="I3261" s="3">
        <f>E3261+G3261+H3261</f>
        <v>9</v>
      </c>
      <c r="J3261" s="3">
        <f>ROUND(MIN(IF(C3261="Técnico III",35,IF(C3261="Técnico II",28,IF(C3261="Técnico I",23,IF(C3261="JR",20,IF(C3261="Estágio",10,0))))),IF(C3261="Técnico III",SUMIFS($D:$D,$A:$A,$A3261,$B:$B,"&lt;&gt;Patrícia Karla de Sousa Araújo",$B:$B,"&lt;&gt;Lorena Dias de Araujo",$B:$B,"&lt;&gt;Lucas Luiz Romero")*(35/1083),IF(C3261="Técnico II",SUMIFS($D:$D,$A:$A,$A3261,$B:$B,"&lt;&gt;Patrícia Karla de Sousa Araújo",$B:$B,"&lt;&gt;Lorena Dias de Araujo",$B:$B,"&lt;&gt;Lucas Luiz Romero")*(28/1083),IF(C3261="Técnico I",SUMIFS($D:$D,$A:$A,$A3261,$B:$B,"&lt;&gt;Patrícia Karla de Sousa Araújo",$B:$B,"&lt;&gt;Lorena Dias de Araujo",$B:$B,"&lt;&gt;Lucas Luiz Romero")*(23/1083),IF(C3261="JR",SUMIFS($D:$D,$A:$A,$A3261,$B:$B,"&lt;&gt;Patrícia Karla de Sousa Araújo",$B:$B,"&lt;&gt;Lorena Dias de Araujo",$B:$B,"&lt;&gt;Lucas Luiz Romero")*(20/1083),IF(C3261="Estágio",SUMIFS($D:$D,$A:$A,$A3261,$B:$B,"&lt;&gt;Patrícia Karla de Sousa Araújo",$B:$B,"&lt;&gt;Lorena Dias de Araujo",$B:$B,"&lt;&gt;Lucas Luiz Romero")*(10/1083),0)))))),0)</f>
        <v>13</v>
      </c>
      <c r="K3261" s="3">
        <f>I3261-J3261</f>
        <v>-4</v>
      </c>
      <c r="L3261" s="3" t="str">
        <f>IF(K3261&lt;-5,"CRÍTICO",IF(K3261&lt;0,"ATENÇÃO",IF(K3261&lt;=5,"OPORTUNO","MUITO BOM")))</f>
        <v>ATENÇÃO</v>
      </c>
      <c r="M3261">
        <v>8</v>
      </c>
      <c r="N3261">
        <v>98.31</v>
      </c>
      <c r="O3261">
        <v>24.920127795527151</v>
      </c>
    </row>
    <row r="3262" spans="1:15" hidden="1" x14ac:dyDescent="0.25">
      <c r="A3262" s="11">
        <v>46104</v>
      </c>
      <c r="B3262" t="s">
        <v>40</v>
      </c>
      <c r="C3262" t="s">
        <v>32</v>
      </c>
      <c r="D3262">
        <v>13</v>
      </c>
      <c r="E3262">
        <v>13</v>
      </c>
      <c r="F3262">
        <v>27.29</v>
      </c>
      <c r="G3262">
        <v>0</v>
      </c>
      <c r="H3262">
        <v>0</v>
      </c>
      <c r="I3262" s="3">
        <f>E3262+G3262+H3262</f>
        <v>13</v>
      </c>
      <c r="J3262" s="3">
        <f>ROUND(MIN(IF(C3262="Técnico III",35,IF(C3262="Técnico II",28,IF(C3262="Técnico I",23,IF(C3262="JR",20,IF(C3262="Estágio",10,0))))),IF(C3262="Técnico III",SUMIFS($D:$D,$A:$A,$A3262,$B:$B,"&lt;&gt;Patrícia Karla de Sousa Araújo",$B:$B,"&lt;&gt;Lorena Dias de Araujo",$B:$B,"&lt;&gt;Lucas Luiz Romero")*(35/1083),IF(C3262="Técnico II",SUMIFS($D:$D,$A:$A,$A3262,$B:$B,"&lt;&gt;Patrícia Karla de Sousa Araújo",$B:$B,"&lt;&gt;Lorena Dias de Araujo",$B:$B,"&lt;&gt;Lucas Luiz Romero")*(28/1083),IF(C3262="Técnico I",SUMIFS($D:$D,$A:$A,$A3262,$B:$B,"&lt;&gt;Patrícia Karla de Sousa Araújo",$B:$B,"&lt;&gt;Lorena Dias de Araujo",$B:$B,"&lt;&gt;Lucas Luiz Romero")*(23/1083),IF(C3262="JR",SUMIFS($D:$D,$A:$A,$A3262,$B:$B,"&lt;&gt;Patrícia Karla de Sousa Araújo",$B:$B,"&lt;&gt;Lorena Dias de Araujo",$B:$B,"&lt;&gt;Lucas Luiz Romero")*(20/1083),IF(C3262="Estágio",SUMIFS($D:$D,$A:$A,$A3262,$B:$B,"&lt;&gt;Patrícia Karla de Sousa Araújo",$B:$B,"&lt;&gt;Lorena Dias de Araujo",$B:$B,"&lt;&gt;Lucas Luiz Romero")*(10/1083),0)))))),0)</f>
        <v>22</v>
      </c>
      <c r="K3262" s="3">
        <f>I3262-J3262</f>
        <v>-9</v>
      </c>
      <c r="L3262" s="3" t="str">
        <f>IF(K3262&lt;-5,"CRÍTICO",IF(K3262&lt;0,"ATENÇÃO",IF(K3262&lt;=5,"OPORTUNO","MUITO BOM")))</f>
        <v>CRÍTICO</v>
      </c>
      <c r="M3262">
        <v>13</v>
      </c>
      <c r="N3262">
        <v>96.81</v>
      </c>
      <c r="O3262">
        <v>32.365145228215773</v>
      </c>
    </row>
    <row r="3263" spans="1:15" hidden="1" x14ac:dyDescent="0.25">
      <c r="A3263" s="11">
        <v>46104</v>
      </c>
      <c r="B3263" t="s">
        <v>27</v>
      </c>
      <c r="C3263" t="s">
        <v>26</v>
      </c>
      <c r="D3263">
        <v>17</v>
      </c>
      <c r="E3263">
        <v>16</v>
      </c>
      <c r="F3263">
        <v>22.37</v>
      </c>
      <c r="G3263">
        <v>0</v>
      </c>
      <c r="H3263">
        <v>0</v>
      </c>
      <c r="I3263" s="3">
        <f>E3263+G3263+H3263</f>
        <v>16</v>
      </c>
      <c r="J3263" s="3">
        <f>ROUND(MIN(IF(C3263="Técnico III",35,IF(C3263="Técnico II",28,IF(C3263="Técnico I",23,IF(C3263="JR",20,IF(C3263="Estágio",10,0))))),IF(C3263="Técnico III",SUMIFS($D:$D,$A:$A,$A3263,$B:$B,"&lt;&gt;Patrícia Karla de Sousa Araújo",$B:$B,"&lt;&gt;Lorena Dias de Araujo",$B:$B,"&lt;&gt;Lucas Luiz Romero")*(35/1083),IF(C3263="Técnico II",SUMIFS($D:$D,$A:$A,$A3263,$B:$B,"&lt;&gt;Patrícia Karla de Sousa Araújo",$B:$B,"&lt;&gt;Lorena Dias de Araujo",$B:$B,"&lt;&gt;Lucas Luiz Romero")*(28/1083),IF(C3263="Técnico I",SUMIFS($D:$D,$A:$A,$A3263,$B:$B,"&lt;&gt;Patrícia Karla de Sousa Araújo",$B:$B,"&lt;&gt;Lorena Dias de Araujo",$B:$B,"&lt;&gt;Lucas Luiz Romero")*(23/1083),IF(C3263="JR",SUMIFS($D:$D,$A:$A,$A3263,$B:$B,"&lt;&gt;Patrícia Karla de Sousa Araújo",$B:$B,"&lt;&gt;Lorena Dias de Araujo",$B:$B,"&lt;&gt;Lucas Luiz Romero")*(20/1083),IF(C3263="Estágio",SUMIFS($D:$D,$A:$A,$A3263,$B:$B,"&lt;&gt;Patrícia Karla de Sousa Araújo",$B:$B,"&lt;&gt;Lorena Dias de Araujo",$B:$B,"&lt;&gt;Lucas Luiz Romero")*(10/1083),0)))))),0)</f>
        <v>13</v>
      </c>
      <c r="K3263" s="3">
        <f>I3263-J3263</f>
        <v>3</v>
      </c>
      <c r="L3263" s="3" t="str">
        <f>IF(K3263&lt;-5,"CRÍTICO",IF(K3263&lt;0,"ATENÇÃO",IF(K3263&lt;=5,"OPORTUNO","MUITO BOM")))</f>
        <v>OPORTUNO</v>
      </c>
      <c r="M3263">
        <v>12</v>
      </c>
      <c r="N3263">
        <v>100</v>
      </c>
      <c r="O3263">
        <v>26.47058823529412</v>
      </c>
    </row>
    <row r="3264" spans="1:15" hidden="1" x14ac:dyDescent="0.25">
      <c r="A3264" s="11">
        <v>46104</v>
      </c>
      <c r="B3264" t="s">
        <v>41</v>
      </c>
      <c r="C3264" t="s">
        <v>32</v>
      </c>
      <c r="D3264">
        <v>15</v>
      </c>
      <c r="E3264">
        <v>15</v>
      </c>
      <c r="F3264">
        <v>22.15</v>
      </c>
      <c r="G3264">
        <v>0</v>
      </c>
      <c r="H3264">
        <v>0</v>
      </c>
      <c r="I3264" s="3">
        <f>E3264+G3264+H3264</f>
        <v>15</v>
      </c>
      <c r="J3264" s="3">
        <f>ROUND(MIN(IF(C3264="Técnico III",35,IF(C3264="Técnico II",28,IF(C3264="Técnico I",23,IF(C3264="JR",20,IF(C3264="Estágio",10,0))))),IF(C3264="Técnico III",SUMIFS($D:$D,$A:$A,$A3264,$B:$B,"&lt;&gt;Patrícia Karla de Sousa Araújo",$B:$B,"&lt;&gt;Lorena Dias de Araujo",$B:$B,"&lt;&gt;Lucas Luiz Romero")*(35/1083),IF(C3264="Técnico II",SUMIFS($D:$D,$A:$A,$A3264,$B:$B,"&lt;&gt;Patrícia Karla de Sousa Araújo",$B:$B,"&lt;&gt;Lorena Dias de Araujo",$B:$B,"&lt;&gt;Lucas Luiz Romero")*(28/1083),IF(C3264="Técnico I",SUMIFS($D:$D,$A:$A,$A3264,$B:$B,"&lt;&gt;Patrícia Karla de Sousa Araújo",$B:$B,"&lt;&gt;Lorena Dias de Araujo",$B:$B,"&lt;&gt;Lucas Luiz Romero")*(23/1083),IF(C3264="JR",SUMIFS($D:$D,$A:$A,$A3264,$B:$B,"&lt;&gt;Patrícia Karla de Sousa Araújo",$B:$B,"&lt;&gt;Lorena Dias de Araujo",$B:$B,"&lt;&gt;Lucas Luiz Romero")*(20/1083),IF(C3264="Estágio",SUMIFS($D:$D,$A:$A,$A3264,$B:$B,"&lt;&gt;Patrícia Karla de Sousa Araújo",$B:$B,"&lt;&gt;Lorena Dias de Araujo",$B:$B,"&lt;&gt;Lucas Luiz Romero")*(10/1083),0)))))),0)</f>
        <v>22</v>
      </c>
      <c r="K3264" s="3">
        <f>I3264-J3264</f>
        <v>-7</v>
      </c>
      <c r="L3264" s="3" t="str">
        <f>IF(K3264&lt;-5,"CRÍTICO",IF(K3264&lt;0,"ATENÇÃO",IF(K3264&lt;=5,"OPORTUNO","MUITO BOM")))</f>
        <v>CRÍTICO</v>
      </c>
      <c r="M3264">
        <v>14</v>
      </c>
      <c r="N3264">
        <v>100</v>
      </c>
      <c r="O3264">
        <v>28.490028490028489</v>
      </c>
    </row>
    <row r="3265" spans="1:15" hidden="1" x14ac:dyDescent="0.25">
      <c r="A3265" s="11">
        <v>46104</v>
      </c>
      <c r="B3265" t="s">
        <v>56</v>
      </c>
      <c r="C3265" t="s">
        <v>48</v>
      </c>
      <c r="D3265">
        <v>20</v>
      </c>
      <c r="E3265">
        <v>19</v>
      </c>
      <c r="F3265">
        <v>21.56</v>
      </c>
      <c r="G3265">
        <v>0</v>
      </c>
      <c r="H3265">
        <v>0</v>
      </c>
      <c r="I3265" s="3">
        <f>E3265+G3265+H3265</f>
        <v>19</v>
      </c>
      <c r="J3265" s="3">
        <f>ROUND(MIN(IF(C3265="Técnico III",35,IF(C3265="Técnico II",28,IF(C3265="Técnico I",23,IF(C3265="JR",20,IF(C3265="Estágio",10,0))))),IF(C3265="Técnico III",SUMIFS($D:$D,$A:$A,$A3265,$B:$B,"&lt;&gt;Patrícia Karla de Sousa Araújo",$B:$B,"&lt;&gt;Lorena Dias de Araujo",$B:$B,"&lt;&gt;Lucas Luiz Romero")*(35/1083),IF(C3265="Técnico II",SUMIFS($D:$D,$A:$A,$A3265,$B:$B,"&lt;&gt;Patrícia Karla de Sousa Araújo",$B:$B,"&lt;&gt;Lorena Dias de Araujo",$B:$B,"&lt;&gt;Lucas Luiz Romero")*(28/1083),IF(C3265="Técnico I",SUMIFS($D:$D,$A:$A,$A3265,$B:$B,"&lt;&gt;Patrícia Karla de Sousa Araújo",$B:$B,"&lt;&gt;Lorena Dias de Araujo",$B:$B,"&lt;&gt;Lucas Luiz Romero")*(23/1083),IF(C3265="JR",SUMIFS($D:$D,$A:$A,$A3265,$B:$B,"&lt;&gt;Patrícia Karla de Sousa Araújo",$B:$B,"&lt;&gt;Lorena Dias de Araujo",$B:$B,"&lt;&gt;Lucas Luiz Romero")*(20/1083),IF(C3265="Estágio",SUMIFS($D:$D,$A:$A,$A3265,$B:$B,"&lt;&gt;Patrícia Karla de Sousa Araújo",$B:$B,"&lt;&gt;Lorena Dias de Araujo",$B:$B,"&lt;&gt;Lucas Luiz Romero")*(10/1083),0)))))),0)</f>
        <v>18</v>
      </c>
      <c r="K3265" s="3">
        <f>I3265-J3265</f>
        <v>1</v>
      </c>
      <c r="L3265" s="3" t="str">
        <f>IF(K3265&lt;-5,"CRÍTICO",IF(K3265&lt;0,"ATENÇÃO",IF(K3265&lt;=5,"OPORTUNO","MUITO BOM")))</f>
        <v>OPORTUNO</v>
      </c>
      <c r="M3265">
        <v>32</v>
      </c>
      <c r="N3265">
        <v>99.14</v>
      </c>
      <c r="O3265">
        <v>27.2289156626506</v>
      </c>
    </row>
    <row r="3266" spans="1:15" hidden="1" x14ac:dyDescent="0.25">
      <c r="A3266" s="11">
        <v>46104</v>
      </c>
      <c r="B3266" t="s">
        <v>57</v>
      </c>
      <c r="C3266" t="s">
        <v>48</v>
      </c>
      <c r="D3266">
        <v>27</v>
      </c>
      <c r="E3266">
        <v>26</v>
      </c>
      <c r="F3266">
        <v>15.59</v>
      </c>
      <c r="G3266">
        <v>0</v>
      </c>
      <c r="H3266">
        <v>0</v>
      </c>
      <c r="I3266" s="3">
        <v>0</v>
      </c>
      <c r="J3266" s="3">
        <v>0</v>
      </c>
      <c r="K3266" s="3">
        <v>0</v>
      </c>
      <c r="L3266" s="3" t="str">
        <f>IF(K3266&lt;-5,"CRÍTICO",IF(K3266&lt;0,"ATENÇÃO",IF(K3266&lt;=5,"OPORTUNO","MUITO BOM")))</f>
        <v>OPORTUNO</v>
      </c>
      <c r="M3266">
        <v>22</v>
      </c>
      <c r="N3266">
        <v>97.52</v>
      </c>
      <c r="O3266">
        <v>28.205128205128201</v>
      </c>
    </row>
    <row r="3267" spans="1:15" hidden="1" x14ac:dyDescent="0.25">
      <c r="A3267" s="11">
        <v>46104</v>
      </c>
      <c r="B3267" t="s">
        <v>42</v>
      </c>
      <c r="C3267" t="s">
        <v>32</v>
      </c>
      <c r="D3267">
        <v>0</v>
      </c>
      <c r="E3267">
        <v>0</v>
      </c>
      <c r="F3267">
        <v>0</v>
      </c>
      <c r="G3267">
        <v>0</v>
      </c>
      <c r="H3267">
        <v>0</v>
      </c>
      <c r="I3267" s="3">
        <v>0</v>
      </c>
      <c r="J3267" s="3">
        <v>0</v>
      </c>
      <c r="K3267" s="3">
        <v>0</v>
      </c>
      <c r="L3267" s="3" t="str">
        <f>IF(K3267&lt;-5,"CRÍTICO",IF(K3267&lt;0,"ATENÇÃO",IF(K3267&lt;=5,"OPORTUNO","MUITO BOM")))</f>
        <v>OPORTUNO</v>
      </c>
      <c r="M3267">
        <v>0</v>
      </c>
      <c r="N3267">
        <v>90</v>
      </c>
      <c r="O3267">
        <v>24.186046511627911</v>
      </c>
    </row>
    <row r="3268" spans="1:15" hidden="1" x14ac:dyDescent="0.25">
      <c r="A3268" s="11">
        <v>46104</v>
      </c>
      <c r="B3268" t="s">
        <v>62</v>
      </c>
      <c r="C3268" t="s">
        <v>23</v>
      </c>
      <c r="D3268">
        <v>21</v>
      </c>
      <c r="E3268">
        <v>21</v>
      </c>
      <c r="F3268">
        <v>23.4</v>
      </c>
      <c r="G3268">
        <v>0</v>
      </c>
      <c r="H3268">
        <v>0</v>
      </c>
      <c r="I3268" s="3">
        <f>E3268+G3268+H3268</f>
        <v>21</v>
      </c>
      <c r="J3268" s="3">
        <f>ROUND(MIN(IF(C3268="Técnico III",35,IF(C3268="Técnico II",28,IF(C3268="Técnico I",23,IF(C3268="JR",20,IF(C3268="Estágio",10,0))))),IF(C3268="Técnico III",SUMIFS($D:$D,$A:$A,$A3268,$B:$B,"&lt;&gt;Patrícia Karla de Sousa Araújo",$B:$B,"&lt;&gt;Lorena Dias de Araujo",$B:$B,"&lt;&gt;Lucas Luiz Romero")*(35/1083),IF(C3268="Técnico II",SUMIFS($D:$D,$A:$A,$A3268,$B:$B,"&lt;&gt;Patrícia Karla de Sousa Araújo",$B:$B,"&lt;&gt;Lorena Dias de Araujo",$B:$B,"&lt;&gt;Lucas Luiz Romero")*(28/1083),IF(C3268="Técnico I",SUMIFS($D:$D,$A:$A,$A3268,$B:$B,"&lt;&gt;Patrícia Karla de Sousa Araújo",$B:$B,"&lt;&gt;Lorena Dias de Araujo",$B:$B,"&lt;&gt;Lucas Luiz Romero")*(23/1083),IF(C3268="JR",SUMIFS($D:$D,$A:$A,$A3268,$B:$B,"&lt;&gt;Patrícia Karla de Sousa Araújo",$B:$B,"&lt;&gt;Lorena Dias de Araujo",$B:$B,"&lt;&gt;Lucas Luiz Romero")*(20/1083),IF(C3268="Estágio",SUMIFS($D:$D,$A:$A,$A3268,$B:$B,"&lt;&gt;Patrícia Karla de Sousa Araújo",$B:$B,"&lt;&gt;Lorena Dias de Araujo",$B:$B,"&lt;&gt;Lucas Luiz Romero")*(10/1083),0)))))),0)</f>
        <v>14</v>
      </c>
      <c r="K3268" s="3">
        <f>I3268-J3268</f>
        <v>7</v>
      </c>
      <c r="L3268" s="3" t="str">
        <f>IF(K3268&lt;-5,"CRÍTICO",IF(K3268&lt;0,"ATENÇÃO",IF(K3268&lt;=5,"OPORTUNO","MUITO BOM")))</f>
        <v>MUITO BOM</v>
      </c>
      <c r="M3268">
        <v>16</v>
      </c>
      <c r="N3268">
        <v>98.9</v>
      </c>
      <c r="O3268">
        <v>26.763990267639901</v>
      </c>
    </row>
    <row r="3269" spans="1:15" hidden="1" x14ac:dyDescent="0.25">
      <c r="A3269" s="11">
        <v>46104</v>
      </c>
      <c r="B3269" t="s">
        <v>19</v>
      </c>
      <c r="C3269" t="s">
        <v>16</v>
      </c>
      <c r="D3269">
        <v>8</v>
      </c>
      <c r="E3269">
        <v>8</v>
      </c>
      <c r="F3269">
        <v>42.12</v>
      </c>
      <c r="G3269">
        <v>0</v>
      </c>
      <c r="H3269">
        <v>0</v>
      </c>
      <c r="I3269" s="3">
        <f>E3269+G3269+H3269</f>
        <v>8</v>
      </c>
      <c r="J3269" s="3">
        <f>ROUND(MIN(IF(C3269="Técnico III",35,IF(C3269="Técnico II",28,IF(C3269="Técnico I",23,IF(C3269="JR",20,IF(C3269="Estágio",10,0))))),IF(C3269="Técnico III",SUMIFS($D:$D,$A:$A,$A3269,$B:$B,"&lt;&gt;Patrícia Karla de Sousa Araújo",$B:$B,"&lt;&gt;Lorena Dias de Araujo",$B:$B,"&lt;&gt;Lucas Luiz Romero")*(35/1083),IF(C3269="Técnico II",SUMIFS($D:$D,$A:$A,$A3269,$B:$B,"&lt;&gt;Patrícia Karla de Sousa Araújo",$B:$B,"&lt;&gt;Lorena Dias de Araujo",$B:$B,"&lt;&gt;Lucas Luiz Romero")*(28/1083),IF(C3269="Técnico I",SUMIFS($D:$D,$A:$A,$A3269,$B:$B,"&lt;&gt;Patrícia Karla de Sousa Araújo",$B:$B,"&lt;&gt;Lorena Dias de Araujo",$B:$B,"&lt;&gt;Lucas Luiz Romero")*(23/1083),IF(C3269="JR",SUMIFS($D:$D,$A:$A,$A3269,$B:$B,"&lt;&gt;Patrícia Karla de Sousa Araújo",$B:$B,"&lt;&gt;Lorena Dias de Araujo",$B:$B,"&lt;&gt;Lucas Luiz Romero")*(20/1083),IF(C3269="Estágio",SUMIFS($D:$D,$A:$A,$A3269,$B:$B,"&lt;&gt;Patrícia Karla de Sousa Araújo",$B:$B,"&lt;&gt;Lorena Dias de Araujo",$B:$B,"&lt;&gt;Lucas Luiz Romero")*(10/1083),0)))))),0)</f>
        <v>6</v>
      </c>
      <c r="K3269" s="3">
        <f>I3269-J3269</f>
        <v>2</v>
      </c>
      <c r="L3269" s="3" t="str">
        <f>IF(K3269&lt;-5,"CRÍTICO",IF(K3269&lt;0,"ATENÇÃO",IF(K3269&lt;=5,"OPORTUNO","MUITO BOM")))</f>
        <v>OPORTUNO</v>
      </c>
      <c r="M3269">
        <v>5</v>
      </c>
      <c r="N3269">
        <v>88.89</v>
      </c>
      <c r="O3269">
        <v>25.263157894736839</v>
      </c>
    </row>
    <row r="3270" spans="1:15" hidden="1" x14ac:dyDescent="0.25">
      <c r="A3270" s="11">
        <v>46104</v>
      </c>
      <c r="B3270" t="s">
        <v>43</v>
      </c>
      <c r="C3270" t="s">
        <v>32</v>
      </c>
      <c r="D3270">
        <v>21</v>
      </c>
      <c r="E3270">
        <v>20</v>
      </c>
      <c r="F3270">
        <v>19.079999999999998</v>
      </c>
      <c r="G3270">
        <v>0</v>
      </c>
      <c r="H3270">
        <v>0</v>
      </c>
      <c r="I3270" s="3">
        <f>E3270+G3270+H3270</f>
        <v>20</v>
      </c>
      <c r="J3270" s="3">
        <f>ROUND(MIN(IF(C3270="Técnico III",35,IF(C3270="Técnico II",28,IF(C3270="Técnico I",23,IF(C3270="JR",20,IF(C3270="Estágio",10,0))))),IF(C3270="Técnico III",SUMIFS($D:$D,$A:$A,$A3270,$B:$B,"&lt;&gt;Patrícia Karla de Sousa Araújo",$B:$B,"&lt;&gt;Lorena Dias de Araujo",$B:$B,"&lt;&gt;Lucas Luiz Romero")*(35/1083),IF(C3270="Técnico II",SUMIFS($D:$D,$A:$A,$A3270,$B:$B,"&lt;&gt;Patrícia Karla de Sousa Araújo",$B:$B,"&lt;&gt;Lorena Dias de Araujo",$B:$B,"&lt;&gt;Lucas Luiz Romero")*(28/1083),IF(C3270="Técnico I",SUMIFS($D:$D,$A:$A,$A3270,$B:$B,"&lt;&gt;Patrícia Karla de Sousa Araújo",$B:$B,"&lt;&gt;Lorena Dias de Araujo",$B:$B,"&lt;&gt;Lucas Luiz Romero")*(23/1083),IF(C3270="JR",SUMIFS($D:$D,$A:$A,$A3270,$B:$B,"&lt;&gt;Patrícia Karla de Sousa Araújo",$B:$B,"&lt;&gt;Lorena Dias de Araujo",$B:$B,"&lt;&gt;Lucas Luiz Romero")*(20/1083),IF(C3270="Estágio",SUMIFS($D:$D,$A:$A,$A3270,$B:$B,"&lt;&gt;Patrícia Karla de Sousa Araújo",$B:$B,"&lt;&gt;Lorena Dias de Araujo",$B:$B,"&lt;&gt;Lucas Luiz Romero")*(10/1083),0)))))),0)</f>
        <v>22</v>
      </c>
      <c r="K3270" s="3">
        <f>I3270-J3270</f>
        <v>-2</v>
      </c>
      <c r="L3270" s="3" t="str">
        <f>IF(K3270&lt;-5,"CRÍTICO",IF(K3270&lt;0,"ATENÇÃO",IF(K3270&lt;=5,"OPORTUNO","MUITO BOM")))</f>
        <v>ATENÇÃO</v>
      </c>
      <c r="M3270">
        <v>19</v>
      </c>
      <c r="N3270">
        <v>98.86</v>
      </c>
      <c r="O3270">
        <v>28.959276018099551</v>
      </c>
    </row>
    <row r="3271" spans="1:15" hidden="1" x14ac:dyDescent="0.25">
      <c r="A3271" s="11">
        <v>46104</v>
      </c>
      <c r="B3271" t="s">
        <v>44</v>
      </c>
      <c r="C3271" t="s">
        <v>32</v>
      </c>
      <c r="D3271">
        <v>33</v>
      </c>
      <c r="E3271">
        <v>30</v>
      </c>
      <c r="F3271">
        <v>10.43</v>
      </c>
      <c r="G3271">
        <v>0</v>
      </c>
      <c r="H3271">
        <v>0</v>
      </c>
      <c r="I3271" s="3">
        <f>E3271+G3271+H3271</f>
        <v>30</v>
      </c>
      <c r="J3271" s="3">
        <f>ROUND(MIN(IF(C3271="Técnico III",35,IF(C3271="Técnico II",28,IF(C3271="Técnico I",23,IF(C3271="JR",20,IF(C3271="Estágio",10,0))))),IF(C3271="Técnico III",SUMIFS($D:$D,$A:$A,$A3271,$B:$B,"&lt;&gt;Patrícia Karla de Sousa Araújo",$B:$B,"&lt;&gt;Lorena Dias de Araujo",$B:$B,"&lt;&gt;Lucas Luiz Romero")*(35/1083),IF(C3271="Técnico II",SUMIFS($D:$D,$A:$A,$A3271,$B:$B,"&lt;&gt;Patrícia Karla de Sousa Araújo",$B:$B,"&lt;&gt;Lorena Dias de Araujo",$B:$B,"&lt;&gt;Lucas Luiz Romero")*(28/1083),IF(C3271="Técnico I",SUMIFS($D:$D,$A:$A,$A3271,$B:$B,"&lt;&gt;Patrícia Karla de Sousa Araújo",$B:$B,"&lt;&gt;Lorena Dias de Araujo",$B:$B,"&lt;&gt;Lucas Luiz Romero")*(23/1083),IF(C3271="JR",SUMIFS($D:$D,$A:$A,$A3271,$B:$B,"&lt;&gt;Patrícia Karla de Sousa Araújo",$B:$B,"&lt;&gt;Lorena Dias de Araujo",$B:$B,"&lt;&gt;Lucas Luiz Romero")*(20/1083),IF(C3271="Estágio",SUMIFS($D:$D,$A:$A,$A3271,$B:$B,"&lt;&gt;Patrícia Karla de Sousa Araújo",$B:$B,"&lt;&gt;Lorena Dias de Araujo",$B:$B,"&lt;&gt;Lucas Luiz Romero")*(10/1083),0)))))),0)</f>
        <v>22</v>
      </c>
      <c r="K3271" s="3">
        <f>I3271-J3271</f>
        <v>8</v>
      </c>
      <c r="L3271" s="3" t="str">
        <f>IF(K3271&lt;-5,"CRÍTICO",IF(K3271&lt;0,"ATENÇÃO",IF(K3271&lt;=5,"OPORTUNO","MUITO BOM")))</f>
        <v>MUITO BOM</v>
      </c>
      <c r="M3271">
        <v>27</v>
      </c>
      <c r="N3271">
        <v>98.06</v>
      </c>
      <c r="O3271">
        <v>22.40566037735849</v>
      </c>
    </row>
    <row r="3272" spans="1:15" hidden="1" x14ac:dyDescent="0.25">
      <c r="A3272" s="11">
        <v>46104</v>
      </c>
      <c r="B3272" t="s">
        <v>20</v>
      </c>
      <c r="C3272" t="s">
        <v>16</v>
      </c>
      <c r="D3272">
        <v>4</v>
      </c>
      <c r="E3272">
        <v>4</v>
      </c>
      <c r="F3272">
        <v>60.03</v>
      </c>
      <c r="G3272">
        <v>0</v>
      </c>
      <c r="H3272">
        <v>0</v>
      </c>
      <c r="I3272" s="3">
        <f>E3272+G3272+H3272</f>
        <v>4</v>
      </c>
      <c r="J3272" s="3">
        <f>ROUND(MIN(IF(C3272="Técnico III",35,IF(C3272="Técnico II",28,IF(C3272="Técnico I",23,IF(C3272="JR",20,IF(C3272="Estágio",10,0))))),IF(C3272="Técnico III",SUMIFS($D:$D,$A:$A,$A3272,$B:$B,"&lt;&gt;Patrícia Karla de Sousa Araújo",$B:$B,"&lt;&gt;Lorena Dias de Araujo",$B:$B,"&lt;&gt;Lucas Luiz Romero")*(35/1083),IF(C3272="Técnico II",SUMIFS($D:$D,$A:$A,$A3272,$B:$B,"&lt;&gt;Patrícia Karla de Sousa Araújo",$B:$B,"&lt;&gt;Lorena Dias de Araujo",$B:$B,"&lt;&gt;Lucas Luiz Romero")*(28/1083),IF(C3272="Técnico I",SUMIFS($D:$D,$A:$A,$A3272,$B:$B,"&lt;&gt;Patrícia Karla de Sousa Araújo",$B:$B,"&lt;&gt;Lorena Dias de Araujo",$B:$B,"&lt;&gt;Lucas Luiz Romero")*(23/1083),IF(C3272="JR",SUMIFS($D:$D,$A:$A,$A3272,$B:$B,"&lt;&gt;Patrícia Karla de Sousa Araújo",$B:$B,"&lt;&gt;Lorena Dias de Araujo",$B:$B,"&lt;&gt;Lucas Luiz Romero")*(20/1083),IF(C3272="Estágio",SUMIFS($D:$D,$A:$A,$A3272,$B:$B,"&lt;&gt;Patrícia Karla de Sousa Araújo",$B:$B,"&lt;&gt;Lorena Dias de Araujo",$B:$B,"&lt;&gt;Lucas Luiz Romero")*(10/1083),0)))))),0)</f>
        <v>6</v>
      </c>
      <c r="K3272" s="3">
        <f>I3272-J3272</f>
        <v>-2</v>
      </c>
      <c r="L3272" s="3" t="str">
        <f>IF(K3272&lt;-5,"CRÍTICO",IF(K3272&lt;0,"ATENÇÃO",IF(K3272&lt;=5,"OPORTUNO","MUITO BOM")))</f>
        <v>ATENÇÃO</v>
      </c>
      <c r="M3272">
        <v>3</v>
      </c>
      <c r="N3272">
        <v>95.83</v>
      </c>
      <c r="O3272">
        <v>25.773195876288661</v>
      </c>
    </row>
    <row r="3273" spans="1:15" hidden="1" x14ac:dyDescent="0.25">
      <c r="A3273" s="11">
        <v>46104</v>
      </c>
      <c r="B3273" t="s">
        <v>28</v>
      </c>
      <c r="C3273" t="s">
        <v>26</v>
      </c>
      <c r="D3273">
        <v>0</v>
      </c>
      <c r="E3273">
        <v>0</v>
      </c>
      <c r="F3273">
        <v>0</v>
      </c>
      <c r="G3273">
        <v>0</v>
      </c>
      <c r="H3273">
        <v>0</v>
      </c>
      <c r="I3273" s="3">
        <v>0</v>
      </c>
      <c r="J3273" s="3">
        <v>0</v>
      </c>
      <c r="K3273" s="3">
        <v>0</v>
      </c>
      <c r="L3273" s="3" t="str">
        <f>IF(K3273&lt;-5,"CRÍTICO",IF(K3273&lt;0,"ATENÇÃO",IF(K3273&lt;=5,"OPORTUNO","MUITO BOM")))</f>
        <v>OPORTUNO</v>
      </c>
      <c r="M3273">
        <v>0</v>
      </c>
      <c r="N3273">
        <v>100</v>
      </c>
      <c r="O3273">
        <v>15.38461538461539</v>
      </c>
    </row>
    <row r="3274" spans="1:15" hidden="1" x14ac:dyDescent="0.25">
      <c r="A3274" s="11">
        <v>46104</v>
      </c>
      <c r="B3274" t="s">
        <v>58</v>
      </c>
      <c r="C3274" t="s">
        <v>48</v>
      </c>
      <c r="D3274">
        <v>21</v>
      </c>
      <c r="E3274">
        <v>20</v>
      </c>
      <c r="F3274">
        <v>22.12</v>
      </c>
      <c r="G3274">
        <v>0</v>
      </c>
      <c r="H3274">
        <v>0</v>
      </c>
      <c r="I3274" s="3">
        <f>E3274+G3274+H3274</f>
        <v>20</v>
      </c>
      <c r="J3274" s="3">
        <f>ROUND(MIN(IF(C3274="Técnico III",35,IF(C3274="Técnico II",28,IF(C3274="Técnico I",23,IF(C3274="JR",20,IF(C3274="Estágio",10,0))))),IF(C3274="Técnico III",SUMIFS($D:$D,$A:$A,$A3274,$B:$B,"&lt;&gt;Patrícia Karla de Sousa Araújo",$B:$B,"&lt;&gt;Lorena Dias de Araujo",$B:$B,"&lt;&gt;Lucas Luiz Romero")*(35/1083),IF(C3274="Técnico II",SUMIFS($D:$D,$A:$A,$A3274,$B:$B,"&lt;&gt;Patrícia Karla de Sousa Araújo",$B:$B,"&lt;&gt;Lorena Dias de Araujo",$B:$B,"&lt;&gt;Lucas Luiz Romero")*(28/1083),IF(C3274="Técnico I",SUMIFS($D:$D,$A:$A,$A3274,$B:$B,"&lt;&gt;Patrícia Karla de Sousa Araújo",$B:$B,"&lt;&gt;Lorena Dias de Araujo",$B:$B,"&lt;&gt;Lucas Luiz Romero")*(23/1083),IF(C3274="JR",SUMIFS($D:$D,$A:$A,$A3274,$B:$B,"&lt;&gt;Patrícia Karla de Sousa Araújo",$B:$B,"&lt;&gt;Lorena Dias de Araujo",$B:$B,"&lt;&gt;Lucas Luiz Romero")*(20/1083),IF(C3274="Estágio",SUMIFS($D:$D,$A:$A,$A3274,$B:$B,"&lt;&gt;Patrícia Karla de Sousa Araújo",$B:$B,"&lt;&gt;Lorena Dias de Araujo",$B:$B,"&lt;&gt;Lucas Luiz Romero")*(10/1083),0)))))),0)</f>
        <v>18</v>
      </c>
      <c r="K3274" s="3">
        <f>I3274-J3274</f>
        <v>2</v>
      </c>
      <c r="L3274" s="3" t="str">
        <f>IF(K3274&lt;-5,"CRÍTICO",IF(K3274&lt;0,"ATENÇÃO",IF(K3274&lt;=5,"OPORTUNO","MUITO BOM")))</f>
        <v>OPORTUNO</v>
      </c>
      <c r="M3274">
        <v>17</v>
      </c>
      <c r="N3274">
        <v>100</v>
      </c>
      <c r="O3274">
        <v>27.514792899408281</v>
      </c>
    </row>
    <row r="3275" spans="1:15" hidden="1" x14ac:dyDescent="0.25">
      <c r="A3275" s="11">
        <v>46104</v>
      </c>
      <c r="B3275" t="s">
        <v>29</v>
      </c>
      <c r="C3275" t="s">
        <v>26</v>
      </c>
      <c r="D3275">
        <v>18</v>
      </c>
      <c r="E3275">
        <v>16</v>
      </c>
      <c r="F3275">
        <v>19.04</v>
      </c>
      <c r="G3275">
        <v>0</v>
      </c>
      <c r="H3275">
        <v>0</v>
      </c>
      <c r="I3275" s="3">
        <f>E3275+G3275+H3275</f>
        <v>16</v>
      </c>
      <c r="J3275" s="3">
        <f>ROUND(MIN(IF(C3275="Técnico III",35,IF(C3275="Técnico II",28,IF(C3275="Técnico I",23,IF(C3275="JR",20,IF(C3275="Estágio",10,0))))),IF(C3275="Técnico III",SUMIFS($D:$D,$A:$A,$A3275,$B:$B,"&lt;&gt;Patrícia Karla de Sousa Araújo",$B:$B,"&lt;&gt;Lorena Dias de Araujo",$B:$B,"&lt;&gt;Lucas Luiz Romero")*(35/1083),IF(C3275="Técnico II",SUMIFS($D:$D,$A:$A,$A3275,$B:$B,"&lt;&gt;Patrícia Karla de Sousa Araújo",$B:$B,"&lt;&gt;Lorena Dias de Araujo",$B:$B,"&lt;&gt;Lucas Luiz Romero")*(28/1083),IF(C3275="Técnico I",SUMIFS($D:$D,$A:$A,$A3275,$B:$B,"&lt;&gt;Patrícia Karla de Sousa Araújo",$B:$B,"&lt;&gt;Lorena Dias de Araujo",$B:$B,"&lt;&gt;Lucas Luiz Romero")*(23/1083),IF(C3275="JR",SUMIFS($D:$D,$A:$A,$A3275,$B:$B,"&lt;&gt;Patrícia Karla de Sousa Araújo",$B:$B,"&lt;&gt;Lorena Dias de Araujo",$B:$B,"&lt;&gt;Lucas Luiz Romero")*(20/1083),IF(C3275="Estágio",SUMIFS($D:$D,$A:$A,$A3275,$B:$B,"&lt;&gt;Patrícia Karla de Sousa Araújo",$B:$B,"&lt;&gt;Lorena Dias de Araujo",$B:$B,"&lt;&gt;Lucas Luiz Romero")*(10/1083),0)))))),0)</f>
        <v>13</v>
      </c>
      <c r="K3275" s="3">
        <f>I3275-J3275</f>
        <v>3</v>
      </c>
      <c r="L3275" s="3" t="str">
        <f>IF(K3275&lt;-5,"CRÍTICO",IF(K3275&lt;0,"ATENÇÃO",IF(K3275&lt;=5,"OPORTUNO","MUITO BOM")))</f>
        <v>OPORTUNO</v>
      </c>
      <c r="M3275">
        <v>25</v>
      </c>
      <c r="N3275">
        <v>100</v>
      </c>
      <c r="O3275">
        <v>24.875621890547269</v>
      </c>
    </row>
    <row r="3276" spans="1:15" hidden="1" x14ac:dyDescent="0.25">
      <c r="A3276" s="11">
        <v>46104</v>
      </c>
      <c r="B3276" t="s">
        <v>30</v>
      </c>
      <c r="C3276" t="s">
        <v>26</v>
      </c>
      <c r="D3276">
        <v>17</v>
      </c>
      <c r="E3276">
        <v>16</v>
      </c>
      <c r="F3276">
        <v>25.52</v>
      </c>
      <c r="G3276">
        <v>0</v>
      </c>
      <c r="H3276">
        <v>0</v>
      </c>
      <c r="I3276" s="3">
        <f>E3276+G3276+H3276</f>
        <v>16</v>
      </c>
      <c r="J3276" s="3">
        <f>ROUND(MIN(IF(C3276="Técnico III",35,IF(C3276="Técnico II",28,IF(C3276="Técnico I",23,IF(C3276="JR",20,IF(C3276="Estágio",10,0))))),IF(C3276="Técnico III",SUMIFS($D:$D,$A:$A,$A3276,$B:$B,"&lt;&gt;Patrícia Karla de Sousa Araújo",$B:$B,"&lt;&gt;Lorena Dias de Araujo",$B:$B,"&lt;&gt;Lucas Luiz Romero")*(35/1083),IF(C3276="Técnico II",SUMIFS($D:$D,$A:$A,$A3276,$B:$B,"&lt;&gt;Patrícia Karla de Sousa Araújo",$B:$B,"&lt;&gt;Lorena Dias de Araujo",$B:$B,"&lt;&gt;Lucas Luiz Romero")*(28/1083),IF(C3276="Técnico I",SUMIFS($D:$D,$A:$A,$A3276,$B:$B,"&lt;&gt;Patrícia Karla de Sousa Araújo",$B:$B,"&lt;&gt;Lorena Dias de Araujo",$B:$B,"&lt;&gt;Lucas Luiz Romero")*(23/1083),IF(C3276="JR",SUMIFS($D:$D,$A:$A,$A3276,$B:$B,"&lt;&gt;Patrícia Karla de Sousa Araújo",$B:$B,"&lt;&gt;Lorena Dias de Araujo",$B:$B,"&lt;&gt;Lucas Luiz Romero")*(20/1083),IF(C3276="Estágio",SUMIFS($D:$D,$A:$A,$A3276,$B:$B,"&lt;&gt;Patrícia Karla de Sousa Araújo",$B:$B,"&lt;&gt;Lorena Dias de Araujo",$B:$B,"&lt;&gt;Lucas Luiz Romero")*(10/1083),0)))))),0)</f>
        <v>13</v>
      </c>
      <c r="K3276" s="3">
        <f>I3276-J3276</f>
        <v>3</v>
      </c>
      <c r="L3276" s="3" t="str">
        <f>IF(K3276&lt;-5,"CRÍTICO",IF(K3276&lt;0,"ATENÇÃO",IF(K3276&lt;=5,"OPORTUNO","MUITO BOM")))</f>
        <v>OPORTUNO</v>
      </c>
      <c r="M3276">
        <v>11</v>
      </c>
      <c r="N3276">
        <v>100</v>
      </c>
      <c r="O3276">
        <v>28.108108108108109</v>
      </c>
    </row>
    <row r="3277" spans="1:15" hidden="1" x14ac:dyDescent="0.25">
      <c r="A3277" s="11">
        <v>46104</v>
      </c>
      <c r="B3277" t="s">
        <v>21</v>
      </c>
      <c r="C3277" t="s">
        <v>16</v>
      </c>
      <c r="D3277">
        <v>0</v>
      </c>
      <c r="E3277">
        <v>0</v>
      </c>
      <c r="F3277">
        <v>0</v>
      </c>
      <c r="G3277">
        <v>0</v>
      </c>
      <c r="H3277">
        <v>0</v>
      </c>
      <c r="I3277" s="3">
        <v>0</v>
      </c>
      <c r="J3277" s="3">
        <v>0</v>
      </c>
      <c r="K3277" s="3">
        <v>0</v>
      </c>
      <c r="L3277" s="3" t="str">
        <f>IF(K3277&lt;-5,"CRÍTICO",IF(K3277&lt;0,"ATENÇÃO",IF(K3277&lt;=5,"OPORTUNO","MUITO BOM")))</f>
        <v>OPORTUNO</v>
      </c>
      <c r="M3277">
        <v>0</v>
      </c>
      <c r="N3277">
        <v>100</v>
      </c>
      <c r="O3277">
        <v>35</v>
      </c>
    </row>
    <row r="3278" spans="1:15" hidden="1" x14ac:dyDescent="0.25">
      <c r="A3278" s="11">
        <v>46104</v>
      </c>
      <c r="B3278" t="s">
        <v>63</v>
      </c>
      <c r="C3278" t="s">
        <v>23</v>
      </c>
      <c r="D3278">
        <v>21</v>
      </c>
      <c r="E3278">
        <v>19</v>
      </c>
      <c r="F3278">
        <v>25.55</v>
      </c>
      <c r="G3278">
        <v>0</v>
      </c>
      <c r="H3278">
        <v>0</v>
      </c>
      <c r="I3278" s="3">
        <f>E3278+G3278+H3278</f>
        <v>19</v>
      </c>
      <c r="J3278" s="3">
        <f>ROUND(MIN(IF(C3278="Técnico III",35,IF(C3278="Técnico II",28,IF(C3278="Técnico I",23,IF(C3278="JR",20,IF(C3278="Estágio",10,0))))),IF(C3278="Técnico III",SUMIFS($D:$D,$A:$A,$A3278,$B:$B,"&lt;&gt;Patrícia Karla de Sousa Araújo",$B:$B,"&lt;&gt;Lorena Dias de Araujo",$B:$B,"&lt;&gt;Lucas Luiz Romero")*(35/1083),IF(C3278="Técnico II",SUMIFS($D:$D,$A:$A,$A3278,$B:$B,"&lt;&gt;Patrícia Karla de Sousa Araújo",$B:$B,"&lt;&gt;Lorena Dias de Araujo",$B:$B,"&lt;&gt;Lucas Luiz Romero")*(28/1083),IF(C3278="Técnico I",SUMIFS($D:$D,$A:$A,$A3278,$B:$B,"&lt;&gt;Patrícia Karla de Sousa Araújo",$B:$B,"&lt;&gt;Lorena Dias de Araujo",$B:$B,"&lt;&gt;Lucas Luiz Romero")*(23/1083),IF(C3278="JR",SUMIFS($D:$D,$A:$A,$A3278,$B:$B,"&lt;&gt;Patrícia Karla de Sousa Araújo",$B:$B,"&lt;&gt;Lorena Dias de Araujo",$B:$B,"&lt;&gt;Lucas Luiz Romero")*(20/1083),IF(C3278="Estágio",SUMIFS($D:$D,$A:$A,$A3278,$B:$B,"&lt;&gt;Patrícia Karla de Sousa Araújo",$B:$B,"&lt;&gt;Lorena Dias de Araujo",$B:$B,"&lt;&gt;Lucas Luiz Romero")*(10/1083),0)))))),0)</f>
        <v>14</v>
      </c>
      <c r="K3278" s="3">
        <f>I3278-J3278</f>
        <v>5</v>
      </c>
      <c r="L3278" s="3" t="str">
        <f>IF(K3278&lt;-5,"CRÍTICO",IF(K3278&lt;0,"ATENÇÃO",IF(K3278&lt;=5,"OPORTUNO","MUITO BOM")))</f>
        <v>OPORTUNO</v>
      </c>
      <c r="M3278">
        <v>17</v>
      </c>
      <c r="N3278">
        <v>95.35</v>
      </c>
      <c r="O3278">
        <v>28.61538461538461</v>
      </c>
    </row>
    <row r="3279" spans="1:15" hidden="1" x14ac:dyDescent="0.25">
      <c r="A3279" s="11">
        <v>46104</v>
      </c>
      <c r="B3279" t="s">
        <v>45</v>
      </c>
      <c r="C3279" t="s">
        <v>32</v>
      </c>
      <c r="D3279">
        <v>28</v>
      </c>
      <c r="E3279">
        <v>25</v>
      </c>
      <c r="F3279">
        <v>15.07</v>
      </c>
      <c r="G3279">
        <v>0</v>
      </c>
      <c r="H3279">
        <v>0</v>
      </c>
      <c r="I3279" s="3">
        <f>E3279+G3279+H3279</f>
        <v>25</v>
      </c>
      <c r="J3279" s="3">
        <f>ROUND(MIN(IF(C3279="Técnico III",35,IF(C3279="Técnico II",28,IF(C3279="Técnico I",23,IF(C3279="JR",20,IF(C3279="Estágio",10,0))))),IF(C3279="Técnico III",SUMIFS($D:$D,$A:$A,$A3279,$B:$B,"&lt;&gt;Patrícia Karla de Sousa Araújo",$B:$B,"&lt;&gt;Lorena Dias de Araujo",$B:$B,"&lt;&gt;Lucas Luiz Romero")*(35/1083),IF(C3279="Técnico II",SUMIFS($D:$D,$A:$A,$A3279,$B:$B,"&lt;&gt;Patrícia Karla de Sousa Araújo",$B:$B,"&lt;&gt;Lorena Dias de Araujo",$B:$B,"&lt;&gt;Lucas Luiz Romero")*(28/1083),IF(C3279="Técnico I",SUMIFS($D:$D,$A:$A,$A3279,$B:$B,"&lt;&gt;Patrícia Karla de Sousa Araújo",$B:$B,"&lt;&gt;Lorena Dias de Araujo",$B:$B,"&lt;&gt;Lucas Luiz Romero")*(23/1083),IF(C3279="JR",SUMIFS($D:$D,$A:$A,$A3279,$B:$B,"&lt;&gt;Patrícia Karla de Sousa Araújo",$B:$B,"&lt;&gt;Lorena Dias de Araujo",$B:$B,"&lt;&gt;Lucas Luiz Romero")*(20/1083),IF(C3279="Estágio",SUMIFS($D:$D,$A:$A,$A3279,$B:$B,"&lt;&gt;Patrícia Karla de Sousa Araújo",$B:$B,"&lt;&gt;Lorena Dias de Araujo",$B:$B,"&lt;&gt;Lucas Luiz Romero")*(10/1083),0)))))),0)</f>
        <v>22</v>
      </c>
      <c r="K3279" s="3">
        <f>I3279-J3279</f>
        <v>3</v>
      </c>
      <c r="L3279" s="3" t="str">
        <f>IF(K3279&lt;-5,"CRÍTICO",IF(K3279&lt;0,"ATENÇÃO",IF(K3279&lt;=5,"OPORTUNO","MUITO BOM")))</f>
        <v>OPORTUNO</v>
      </c>
      <c r="M3279">
        <v>21</v>
      </c>
      <c r="N3279">
        <v>98.26</v>
      </c>
      <c r="O3279">
        <v>27.54491017964072</v>
      </c>
    </row>
    <row r="3280" spans="1:15" hidden="1" x14ac:dyDescent="0.25">
      <c r="A3280" s="11">
        <v>46104</v>
      </c>
      <c r="B3280" t="s">
        <v>64</v>
      </c>
      <c r="C3280" t="s">
        <v>23</v>
      </c>
      <c r="D3280">
        <v>10</v>
      </c>
      <c r="E3280">
        <v>10</v>
      </c>
      <c r="F3280">
        <v>48.41</v>
      </c>
      <c r="G3280">
        <v>0</v>
      </c>
      <c r="H3280">
        <v>0</v>
      </c>
      <c r="I3280" s="3">
        <f>E3280+G3280+H3280</f>
        <v>10</v>
      </c>
      <c r="J3280" s="3">
        <f>ROUND(MIN(IF(C3280="Técnico III",35,IF(C3280="Técnico II",28,IF(C3280="Técnico I",23,IF(C3280="JR",20,IF(C3280="Estágio",10,0))))),IF(C3280="Técnico III",SUMIFS($D:$D,$A:$A,$A3280,$B:$B,"&lt;&gt;Patrícia Karla de Sousa Araújo",$B:$B,"&lt;&gt;Lorena Dias de Araujo",$B:$B,"&lt;&gt;Lucas Luiz Romero")*(35/1083),IF(C3280="Técnico II",SUMIFS($D:$D,$A:$A,$A3280,$B:$B,"&lt;&gt;Patrícia Karla de Sousa Araújo",$B:$B,"&lt;&gt;Lorena Dias de Araujo",$B:$B,"&lt;&gt;Lucas Luiz Romero")*(28/1083),IF(C3280="Técnico I",SUMIFS($D:$D,$A:$A,$A3280,$B:$B,"&lt;&gt;Patrícia Karla de Sousa Araújo",$B:$B,"&lt;&gt;Lorena Dias de Araujo",$B:$B,"&lt;&gt;Lucas Luiz Romero")*(23/1083),IF(C3280="JR",SUMIFS($D:$D,$A:$A,$A3280,$B:$B,"&lt;&gt;Patrícia Karla de Sousa Araújo",$B:$B,"&lt;&gt;Lorena Dias de Araujo",$B:$B,"&lt;&gt;Lucas Luiz Romero")*(20/1083),IF(C3280="Estágio",SUMIFS($D:$D,$A:$A,$A3280,$B:$B,"&lt;&gt;Patrícia Karla de Sousa Araújo",$B:$B,"&lt;&gt;Lorena Dias de Araujo",$B:$B,"&lt;&gt;Lucas Luiz Romero")*(10/1083),0)))))),0)</f>
        <v>14</v>
      </c>
      <c r="K3280" s="3">
        <f>I3280-J3280</f>
        <v>-4</v>
      </c>
      <c r="L3280" s="3" t="str">
        <f>IF(K3280&lt;-5,"CRÍTICO",IF(K3280&lt;0,"ATENÇÃO",IF(K3280&lt;=5,"OPORTUNO","MUITO BOM")))</f>
        <v>ATENÇÃO</v>
      </c>
      <c r="M3280">
        <v>12</v>
      </c>
      <c r="N3280">
        <v>98.55</v>
      </c>
      <c r="O3280">
        <v>25.337837837837839</v>
      </c>
    </row>
    <row r="3281" spans="1:15" hidden="1" x14ac:dyDescent="0.25">
      <c r="A3281" s="11">
        <v>46104</v>
      </c>
      <c r="B3281" t="s">
        <v>46</v>
      </c>
      <c r="C3281" t="s">
        <v>32</v>
      </c>
      <c r="D3281">
        <v>25</v>
      </c>
      <c r="E3281">
        <v>24</v>
      </c>
      <c r="F3281">
        <v>17.36</v>
      </c>
      <c r="G3281">
        <v>0</v>
      </c>
      <c r="H3281">
        <v>0</v>
      </c>
      <c r="I3281" s="3">
        <f>E3281+G3281+H3281</f>
        <v>24</v>
      </c>
      <c r="J3281" s="3">
        <f>ROUND(MIN(IF(C3281="Técnico III",35,IF(C3281="Técnico II",28,IF(C3281="Técnico I",23,IF(C3281="JR",20,IF(C3281="Estágio",10,0))))),IF(C3281="Técnico III",SUMIFS($D:$D,$A:$A,$A3281,$B:$B,"&lt;&gt;Patrícia Karla de Sousa Araújo",$B:$B,"&lt;&gt;Lorena Dias de Araujo",$B:$B,"&lt;&gt;Lucas Luiz Romero")*(35/1083),IF(C3281="Técnico II",SUMIFS($D:$D,$A:$A,$A3281,$B:$B,"&lt;&gt;Patrícia Karla de Sousa Araújo",$B:$B,"&lt;&gt;Lorena Dias de Araujo",$B:$B,"&lt;&gt;Lucas Luiz Romero")*(28/1083),IF(C3281="Técnico I",SUMIFS($D:$D,$A:$A,$A3281,$B:$B,"&lt;&gt;Patrícia Karla de Sousa Araújo",$B:$B,"&lt;&gt;Lorena Dias de Araujo",$B:$B,"&lt;&gt;Lucas Luiz Romero")*(23/1083),IF(C3281="JR",SUMIFS($D:$D,$A:$A,$A3281,$B:$B,"&lt;&gt;Patrícia Karla de Sousa Araújo",$B:$B,"&lt;&gt;Lorena Dias de Araujo",$B:$B,"&lt;&gt;Lucas Luiz Romero")*(20/1083),IF(C3281="Estágio",SUMIFS($D:$D,$A:$A,$A3281,$B:$B,"&lt;&gt;Patrícia Karla de Sousa Araújo",$B:$B,"&lt;&gt;Lorena Dias de Araujo",$B:$B,"&lt;&gt;Lucas Luiz Romero")*(10/1083),0)))))),0)</f>
        <v>22</v>
      </c>
      <c r="K3281" s="3">
        <f>I3281-J3281</f>
        <v>2</v>
      </c>
      <c r="L3281" s="3" t="str">
        <f>IF(K3281&lt;-5,"CRÍTICO",IF(K3281&lt;0,"ATENÇÃO",IF(K3281&lt;=5,"OPORTUNO","MUITO BOM")))</f>
        <v>OPORTUNO</v>
      </c>
      <c r="M3281">
        <v>18</v>
      </c>
      <c r="N3281">
        <v>98.39</v>
      </c>
      <c r="O3281">
        <v>25.563909774436091</v>
      </c>
    </row>
    <row r="3282" spans="1:15" hidden="1" x14ac:dyDescent="0.25">
      <c r="A3282" s="11">
        <v>46105</v>
      </c>
      <c r="B3282" t="s">
        <v>47</v>
      </c>
      <c r="C3282" t="s">
        <v>48</v>
      </c>
      <c r="D3282">
        <v>28</v>
      </c>
      <c r="E3282">
        <v>21</v>
      </c>
      <c r="F3282">
        <v>12.34</v>
      </c>
      <c r="G3282">
        <v>0</v>
      </c>
      <c r="H3282">
        <v>0</v>
      </c>
      <c r="I3282" s="3">
        <f>E3282+G3282+H3282</f>
        <v>21</v>
      </c>
      <c r="J3282" s="3">
        <f>ROUND(MIN(IF(C3282="Técnico III",35,IF(C3282="Técnico II",28,IF(C3282="Técnico I",23,IF(C3282="JR",20,IF(C3282="Estágio",10,0))))),IF(C3282="Técnico III",SUMIFS($D:$D,$A:$A,$A3282,$B:$B,"&lt;&gt;Patrícia Karla de Sousa Araújo",$B:$B,"&lt;&gt;Lorena Dias de Araujo",$B:$B,"&lt;&gt;Lucas Luiz Romero")*(35/1083),IF(C3282="Técnico II",SUMIFS($D:$D,$A:$A,$A3282,$B:$B,"&lt;&gt;Patrícia Karla de Sousa Araújo",$B:$B,"&lt;&gt;Lorena Dias de Araujo",$B:$B,"&lt;&gt;Lucas Luiz Romero")*(28/1083),IF(C3282="Técnico I",SUMIFS($D:$D,$A:$A,$A3282,$B:$B,"&lt;&gt;Patrícia Karla de Sousa Araújo",$B:$B,"&lt;&gt;Lorena Dias de Araujo",$B:$B,"&lt;&gt;Lucas Luiz Romero")*(23/1083),IF(C3282="JR",SUMIFS($D:$D,$A:$A,$A3282,$B:$B,"&lt;&gt;Patrícia Karla de Sousa Araújo",$B:$B,"&lt;&gt;Lorena Dias de Araujo",$B:$B,"&lt;&gt;Lucas Luiz Romero")*(20/1083),IF(C3282="Estágio",SUMIFS($D:$D,$A:$A,$A3282,$B:$B,"&lt;&gt;Patrícia Karla de Sousa Araújo",$B:$B,"&lt;&gt;Lorena Dias de Araujo",$B:$B,"&lt;&gt;Lucas Luiz Romero")*(10/1083),0)))))),0)</f>
        <v>21</v>
      </c>
      <c r="K3282" s="3">
        <f>I3282-J3282</f>
        <v>0</v>
      </c>
      <c r="L3282" s="3" t="str">
        <f>IF(K3282&lt;-5,"CRÍTICO",IF(K3282&lt;0,"ATENÇÃO",IF(K3282&lt;=5,"OPORTUNO","MUITO BOM")))</f>
        <v>OPORTUNO</v>
      </c>
      <c r="M3282">
        <v>19</v>
      </c>
      <c r="N3282">
        <v>94.29</v>
      </c>
      <c r="O3282">
        <v>25.647668393782389</v>
      </c>
    </row>
    <row r="3283" spans="1:15" hidden="1" x14ac:dyDescent="0.25">
      <c r="A3283" s="11">
        <v>46105</v>
      </c>
      <c r="B3283" t="s">
        <v>31</v>
      </c>
      <c r="C3283" t="s">
        <v>32</v>
      </c>
      <c r="D3283">
        <v>0</v>
      </c>
      <c r="E3283">
        <v>0</v>
      </c>
      <c r="F3283">
        <v>0</v>
      </c>
      <c r="G3283">
        <v>0</v>
      </c>
      <c r="H3283">
        <v>0</v>
      </c>
      <c r="I3283" s="3">
        <v>0</v>
      </c>
      <c r="J3283" s="3">
        <v>0</v>
      </c>
      <c r="K3283" s="3">
        <v>0</v>
      </c>
      <c r="L3283" s="3" t="str">
        <f>IF(K3283&lt;-5,"CRÍTICO",IF(K3283&lt;0,"ATENÇÃO",IF(K3283&lt;=5,"OPORTUNO","MUITO BOM")))</f>
        <v>OPORTUNO</v>
      </c>
      <c r="M3283">
        <v>23</v>
      </c>
      <c r="N3283">
        <v>98.26</v>
      </c>
      <c r="O3283">
        <v>26.666666666666671</v>
      </c>
    </row>
    <row r="3284" spans="1:15" hidden="1" x14ac:dyDescent="0.25">
      <c r="A3284" s="11">
        <v>46105</v>
      </c>
      <c r="B3284" t="s">
        <v>59</v>
      </c>
      <c r="C3284" t="s">
        <v>23</v>
      </c>
      <c r="D3284">
        <v>28</v>
      </c>
      <c r="E3284">
        <v>26</v>
      </c>
      <c r="F3284">
        <v>17.239999999999998</v>
      </c>
      <c r="G3284">
        <v>0</v>
      </c>
      <c r="H3284">
        <v>0</v>
      </c>
      <c r="I3284" s="3">
        <f>E3284+G3284+H3284</f>
        <v>26</v>
      </c>
      <c r="J3284" s="3">
        <f>ROUND(MIN(IF(C3284="Técnico III",35,IF(C3284="Técnico II",28,IF(C3284="Técnico I",23,IF(C3284="JR",20,IF(C3284="Estágio",10,0))))),IF(C3284="Técnico III",SUMIFS($D:$D,$A:$A,$A3284,$B:$B,"&lt;&gt;Patrícia Karla de Sousa Araújo",$B:$B,"&lt;&gt;Lorena Dias de Araujo",$B:$B,"&lt;&gt;Lucas Luiz Romero")*(35/1083),IF(C3284="Técnico II",SUMIFS($D:$D,$A:$A,$A3284,$B:$B,"&lt;&gt;Patrícia Karla de Sousa Araújo",$B:$B,"&lt;&gt;Lorena Dias de Araujo",$B:$B,"&lt;&gt;Lucas Luiz Romero")*(28/1083),IF(C3284="Técnico I",SUMIFS($D:$D,$A:$A,$A3284,$B:$B,"&lt;&gt;Patrícia Karla de Sousa Araújo",$B:$B,"&lt;&gt;Lorena Dias de Araujo",$B:$B,"&lt;&gt;Lucas Luiz Romero")*(23/1083),IF(C3284="JR",SUMIFS($D:$D,$A:$A,$A3284,$B:$B,"&lt;&gt;Patrícia Karla de Sousa Araújo",$B:$B,"&lt;&gt;Lorena Dias de Araujo",$B:$B,"&lt;&gt;Lucas Luiz Romero")*(20/1083),IF(C3284="Estágio",SUMIFS($D:$D,$A:$A,$A3284,$B:$B,"&lt;&gt;Patrícia Karla de Sousa Araújo",$B:$B,"&lt;&gt;Lorena Dias de Araujo",$B:$B,"&lt;&gt;Lucas Luiz Romero")*(10/1083),0)))))),0)</f>
        <v>17</v>
      </c>
      <c r="K3284" s="3">
        <f>I3284-J3284</f>
        <v>9</v>
      </c>
      <c r="L3284" s="3" t="str">
        <f>IF(K3284&lt;-5,"CRÍTICO",IF(K3284&lt;0,"ATENÇÃO",IF(K3284&lt;=5,"OPORTUNO","MUITO BOM")))</f>
        <v>MUITO BOM</v>
      </c>
      <c r="M3284">
        <v>26</v>
      </c>
      <c r="N3284">
        <v>98.2</v>
      </c>
      <c r="O3284">
        <v>23.37962962962963</v>
      </c>
    </row>
    <row r="3285" spans="1:15" hidden="1" x14ac:dyDescent="0.25">
      <c r="A3285" s="11">
        <v>46105</v>
      </c>
      <c r="B3285" t="s">
        <v>33</v>
      </c>
      <c r="C3285" t="s">
        <v>32</v>
      </c>
      <c r="D3285">
        <v>36</v>
      </c>
      <c r="E3285">
        <v>34</v>
      </c>
      <c r="F3285">
        <v>17.36</v>
      </c>
      <c r="G3285">
        <v>0</v>
      </c>
      <c r="H3285">
        <v>0</v>
      </c>
      <c r="I3285" s="3">
        <f>E3285+G3285+H3285</f>
        <v>34</v>
      </c>
      <c r="J3285" s="3">
        <f>ROUND(MIN(IF(C3285="Técnico III",35,IF(C3285="Técnico II",28,IF(C3285="Técnico I",23,IF(C3285="JR",20,IF(C3285="Estágio",10,0))))),IF(C3285="Técnico III",SUMIFS($D:$D,$A:$A,$A3285,$B:$B,"&lt;&gt;Patrícia Karla de Sousa Araújo",$B:$B,"&lt;&gt;Lorena Dias de Araujo",$B:$B,"&lt;&gt;Lucas Luiz Romero")*(35/1083),IF(C3285="Técnico II",SUMIFS($D:$D,$A:$A,$A3285,$B:$B,"&lt;&gt;Patrícia Karla de Sousa Araújo",$B:$B,"&lt;&gt;Lorena Dias de Araujo",$B:$B,"&lt;&gt;Lucas Luiz Romero")*(28/1083),IF(C3285="Técnico I",SUMIFS($D:$D,$A:$A,$A3285,$B:$B,"&lt;&gt;Patrícia Karla de Sousa Araújo",$B:$B,"&lt;&gt;Lorena Dias de Araujo",$B:$B,"&lt;&gt;Lucas Luiz Romero")*(23/1083),IF(C3285="JR",SUMIFS($D:$D,$A:$A,$A3285,$B:$B,"&lt;&gt;Patrícia Karla de Sousa Araújo",$B:$B,"&lt;&gt;Lorena Dias de Araujo",$B:$B,"&lt;&gt;Lucas Luiz Romero")*(20/1083),IF(C3285="Estágio",SUMIFS($D:$D,$A:$A,$A3285,$B:$B,"&lt;&gt;Patrícia Karla de Sousa Araújo",$B:$B,"&lt;&gt;Lorena Dias de Araujo",$B:$B,"&lt;&gt;Lucas Luiz Romero")*(10/1083),0)))))),0)</f>
        <v>27</v>
      </c>
      <c r="K3285" s="3">
        <f>I3285-J3285</f>
        <v>7</v>
      </c>
      <c r="L3285" s="3" t="str">
        <f>IF(K3285&lt;-5,"CRÍTICO",IF(K3285&lt;0,"ATENÇÃO",IF(K3285&lt;=5,"OPORTUNO","MUITO BOM")))</f>
        <v>MUITO BOM</v>
      </c>
      <c r="M3285">
        <v>25</v>
      </c>
      <c r="N3285">
        <v>97.3</v>
      </c>
      <c r="O3285">
        <v>23.84769539078156</v>
      </c>
    </row>
    <row r="3286" spans="1:15" hidden="1" x14ac:dyDescent="0.25">
      <c r="A3286" s="11">
        <v>46105</v>
      </c>
      <c r="B3286" t="s">
        <v>15</v>
      </c>
      <c r="C3286" t="s">
        <v>16</v>
      </c>
      <c r="D3286">
        <v>10</v>
      </c>
      <c r="E3286">
        <v>9</v>
      </c>
      <c r="F3286">
        <v>19.059999999999999</v>
      </c>
      <c r="G3286">
        <v>0</v>
      </c>
      <c r="H3286">
        <v>0</v>
      </c>
      <c r="I3286" s="3">
        <f>E3286+G3286+H3286</f>
        <v>9</v>
      </c>
      <c r="J3286" s="3">
        <f>ROUND(MIN(IF(C3286="Técnico III",35,IF(C3286="Técnico II",28,IF(C3286="Técnico I",23,IF(C3286="JR",20,IF(C3286="Estágio",10,0))))),IF(C3286="Técnico III",SUMIFS($D:$D,$A:$A,$A3286,$B:$B,"&lt;&gt;Patrícia Karla de Sousa Araújo",$B:$B,"&lt;&gt;Lorena Dias de Araujo",$B:$B,"&lt;&gt;Lucas Luiz Romero")*(35/1083),IF(C3286="Técnico II",SUMIFS($D:$D,$A:$A,$A3286,$B:$B,"&lt;&gt;Patrícia Karla de Sousa Araújo",$B:$B,"&lt;&gt;Lorena Dias de Araujo",$B:$B,"&lt;&gt;Lucas Luiz Romero")*(28/1083),IF(C3286="Técnico I",SUMIFS($D:$D,$A:$A,$A3286,$B:$B,"&lt;&gt;Patrícia Karla de Sousa Araújo",$B:$B,"&lt;&gt;Lorena Dias de Araujo",$B:$B,"&lt;&gt;Lucas Luiz Romero")*(23/1083),IF(C3286="JR",SUMIFS($D:$D,$A:$A,$A3286,$B:$B,"&lt;&gt;Patrícia Karla de Sousa Araújo",$B:$B,"&lt;&gt;Lorena Dias de Araujo",$B:$B,"&lt;&gt;Lucas Luiz Romero")*(20/1083),IF(C3286="Estágio",SUMIFS($D:$D,$A:$A,$A3286,$B:$B,"&lt;&gt;Patrícia Karla de Sousa Araújo",$B:$B,"&lt;&gt;Lorena Dias de Araujo",$B:$B,"&lt;&gt;Lucas Luiz Romero")*(10/1083),0)))))),0)</f>
        <v>8</v>
      </c>
      <c r="K3286" s="3">
        <f>I3286-J3286</f>
        <v>1</v>
      </c>
      <c r="L3286" s="3" t="str">
        <f>IF(K3286&lt;-5,"CRÍTICO",IF(K3286&lt;0,"ATENÇÃO",IF(K3286&lt;=5,"OPORTUNO","MUITO BOM")))</f>
        <v>OPORTUNO</v>
      </c>
      <c r="M3286">
        <v>7</v>
      </c>
      <c r="N3286">
        <v>100</v>
      </c>
      <c r="O3286">
        <v>25.268817204301079</v>
      </c>
    </row>
    <row r="3287" spans="1:15" hidden="1" x14ac:dyDescent="0.25">
      <c r="A3287" s="11">
        <v>46105</v>
      </c>
      <c r="B3287" t="s">
        <v>49</v>
      </c>
      <c r="C3287" t="s">
        <v>48</v>
      </c>
      <c r="D3287">
        <v>37</v>
      </c>
      <c r="E3287">
        <v>32</v>
      </c>
      <c r="F3287">
        <v>12.22</v>
      </c>
      <c r="G3287">
        <v>0</v>
      </c>
      <c r="H3287">
        <v>0</v>
      </c>
      <c r="I3287" s="3">
        <f>E3287+G3287+H3287</f>
        <v>32</v>
      </c>
      <c r="J3287" s="3">
        <f>ROUND(MIN(IF(C3287="Técnico III",35,IF(C3287="Técnico II",28,IF(C3287="Técnico I",23,IF(C3287="JR",20,IF(C3287="Estágio",10,0))))),IF(C3287="Técnico III",SUMIFS($D:$D,$A:$A,$A3287,$B:$B,"&lt;&gt;Patrícia Karla de Sousa Araújo",$B:$B,"&lt;&gt;Lorena Dias de Araujo",$B:$B,"&lt;&gt;Lucas Luiz Romero")*(35/1083),IF(C3287="Técnico II",SUMIFS($D:$D,$A:$A,$A3287,$B:$B,"&lt;&gt;Patrícia Karla de Sousa Araújo",$B:$B,"&lt;&gt;Lorena Dias de Araujo",$B:$B,"&lt;&gt;Lucas Luiz Romero")*(28/1083),IF(C3287="Técnico I",SUMIFS($D:$D,$A:$A,$A3287,$B:$B,"&lt;&gt;Patrícia Karla de Sousa Araújo",$B:$B,"&lt;&gt;Lorena Dias de Araujo",$B:$B,"&lt;&gt;Lucas Luiz Romero")*(23/1083),IF(C3287="JR",SUMIFS($D:$D,$A:$A,$A3287,$B:$B,"&lt;&gt;Patrícia Karla de Sousa Araújo",$B:$B,"&lt;&gt;Lorena Dias de Araujo",$B:$B,"&lt;&gt;Lucas Luiz Romero")*(20/1083),IF(C3287="Estágio",SUMIFS($D:$D,$A:$A,$A3287,$B:$B,"&lt;&gt;Patrícia Karla de Sousa Araújo",$B:$B,"&lt;&gt;Lorena Dias de Araujo",$B:$B,"&lt;&gt;Lucas Luiz Romero")*(10/1083),0)))))),0)</f>
        <v>21</v>
      </c>
      <c r="K3287" s="3">
        <f>I3287-J3287</f>
        <v>11</v>
      </c>
      <c r="L3287" s="3" t="str">
        <f>IF(K3287&lt;-5,"CRÍTICO",IF(K3287&lt;0,"ATENÇÃO",IF(K3287&lt;=5,"OPORTUNO","MUITO BOM")))</f>
        <v>MUITO BOM</v>
      </c>
      <c r="M3287">
        <v>34</v>
      </c>
      <c r="N3287">
        <v>99.32</v>
      </c>
      <c r="O3287">
        <v>22.822822822822818</v>
      </c>
    </row>
    <row r="3288" spans="1:15" hidden="1" x14ac:dyDescent="0.25">
      <c r="A3288" s="11">
        <v>46105</v>
      </c>
      <c r="B3288" t="s">
        <v>50</v>
      </c>
      <c r="C3288" t="s">
        <v>48</v>
      </c>
      <c r="D3288">
        <v>23</v>
      </c>
      <c r="E3288">
        <v>22</v>
      </c>
      <c r="F3288">
        <v>23.4</v>
      </c>
      <c r="G3288">
        <v>0</v>
      </c>
      <c r="H3288">
        <v>0</v>
      </c>
      <c r="I3288" s="3">
        <f>E3288+G3288+H3288</f>
        <v>22</v>
      </c>
      <c r="J3288" s="3">
        <f>ROUND(MIN(IF(C3288="Técnico III",35,IF(C3288="Técnico II",28,IF(C3288="Técnico I",23,IF(C3288="JR",20,IF(C3288="Estágio",10,0))))),IF(C3288="Técnico III",SUMIFS($D:$D,$A:$A,$A3288,$B:$B,"&lt;&gt;Patrícia Karla de Sousa Araújo",$B:$B,"&lt;&gt;Lorena Dias de Araujo",$B:$B,"&lt;&gt;Lucas Luiz Romero")*(35/1083),IF(C3288="Técnico II",SUMIFS($D:$D,$A:$A,$A3288,$B:$B,"&lt;&gt;Patrícia Karla de Sousa Araújo",$B:$B,"&lt;&gt;Lorena Dias de Araujo",$B:$B,"&lt;&gt;Lucas Luiz Romero")*(28/1083),IF(C3288="Técnico I",SUMIFS($D:$D,$A:$A,$A3288,$B:$B,"&lt;&gt;Patrícia Karla de Sousa Araújo",$B:$B,"&lt;&gt;Lorena Dias de Araujo",$B:$B,"&lt;&gt;Lucas Luiz Romero")*(23/1083),IF(C3288="JR",SUMIFS($D:$D,$A:$A,$A3288,$B:$B,"&lt;&gt;Patrícia Karla de Sousa Araújo",$B:$B,"&lt;&gt;Lorena Dias de Araujo",$B:$B,"&lt;&gt;Lucas Luiz Romero")*(20/1083),IF(C3288="Estágio",SUMIFS($D:$D,$A:$A,$A3288,$B:$B,"&lt;&gt;Patrícia Karla de Sousa Araújo",$B:$B,"&lt;&gt;Lorena Dias de Araujo",$B:$B,"&lt;&gt;Lucas Luiz Romero")*(10/1083),0)))))),0)</f>
        <v>21</v>
      </c>
      <c r="K3288" s="3">
        <f>I3288-J3288</f>
        <v>1</v>
      </c>
      <c r="L3288" s="3" t="str">
        <f>IF(K3288&lt;-5,"CRÍTICO",IF(K3288&lt;0,"ATENÇÃO",IF(K3288&lt;=5,"OPORTUNO","MUITO BOM")))</f>
        <v>OPORTUNO</v>
      </c>
      <c r="M3288">
        <v>21</v>
      </c>
      <c r="N3288">
        <v>100</v>
      </c>
      <c r="O3288">
        <v>27.966101694915249</v>
      </c>
    </row>
    <row r="3289" spans="1:15" hidden="1" x14ac:dyDescent="0.25">
      <c r="A3289" s="11">
        <v>46105</v>
      </c>
      <c r="B3289" t="s">
        <v>17</v>
      </c>
      <c r="C3289" t="s">
        <v>16</v>
      </c>
      <c r="D3289">
        <v>4</v>
      </c>
      <c r="E3289">
        <v>4</v>
      </c>
      <c r="F3289">
        <v>16.420000000000002</v>
      </c>
      <c r="G3289">
        <v>0</v>
      </c>
      <c r="H3289">
        <v>0</v>
      </c>
      <c r="I3289" s="3">
        <f>E3289+G3289+H3289</f>
        <v>4</v>
      </c>
      <c r="J3289" s="3">
        <f>ROUND(MIN(IF(C3289="Técnico III",35,IF(C3289="Técnico II",28,IF(C3289="Técnico I",23,IF(C3289="JR",20,IF(C3289="Estágio",10,0))))),IF(C3289="Técnico III",SUMIFS($D:$D,$A:$A,$A3289,$B:$B,"&lt;&gt;Patrícia Karla de Sousa Araújo",$B:$B,"&lt;&gt;Lorena Dias de Araujo",$B:$B,"&lt;&gt;Lucas Luiz Romero")*(35/1083),IF(C3289="Técnico II",SUMIFS($D:$D,$A:$A,$A3289,$B:$B,"&lt;&gt;Patrícia Karla de Sousa Araújo",$B:$B,"&lt;&gt;Lorena Dias de Araujo",$B:$B,"&lt;&gt;Lucas Luiz Romero")*(28/1083),IF(C3289="Técnico I",SUMIFS($D:$D,$A:$A,$A3289,$B:$B,"&lt;&gt;Patrícia Karla de Sousa Araújo",$B:$B,"&lt;&gt;Lorena Dias de Araujo",$B:$B,"&lt;&gt;Lucas Luiz Romero")*(23/1083),IF(C3289="JR",SUMIFS($D:$D,$A:$A,$A3289,$B:$B,"&lt;&gt;Patrícia Karla de Sousa Araújo",$B:$B,"&lt;&gt;Lorena Dias de Araujo",$B:$B,"&lt;&gt;Lucas Luiz Romero")*(20/1083),IF(C3289="Estágio",SUMIFS($D:$D,$A:$A,$A3289,$B:$B,"&lt;&gt;Patrícia Karla de Sousa Araújo",$B:$B,"&lt;&gt;Lorena Dias de Araujo",$B:$B,"&lt;&gt;Lucas Luiz Romero")*(10/1083),0)))))),0)</f>
        <v>8</v>
      </c>
      <c r="K3289" s="3">
        <f>I3289-J3289</f>
        <v>-4</v>
      </c>
      <c r="L3289" s="3" t="str">
        <f>IF(K3289&lt;-5,"CRÍTICO",IF(K3289&lt;0,"ATENÇÃO",IF(K3289&lt;=5,"OPORTUNO","MUITO BOM")))</f>
        <v>ATENÇÃO</v>
      </c>
      <c r="M3289">
        <v>3</v>
      </c>
      <c r="N3289">
        <v>100</v>
      </c>
      <c r="O3289">
        <v>30.434782608695659</v>
      </c>
    </row>
    <row r="3290" spans="1:15" hidden="1" x14ac:dyDescent="0.25">
      <c r="A3290" s="11">
        <v>46105</v>
      </c>
      <c r="B3290" t="s">
        <v>60</v>
      </c>
      <c r="C3290" t="s">
        <v>23</v>
      </c>
      <c r="D3290">
        <v>29</v>
      </c>
      <c r="E3290">
        <v>28</v>
      </c>
      <c r="F3290">
        <v>18.55</v>
      </c>
      <c r="G3290">
        <v>0</v>
      </c>
      <c r="H3290">
        <v>0</v>
      </c>
      <c r="I3290" s="3">
        <f>E3290+G3290+H3290</f>
        <v>28</v>
      </c>
      <c r="J3290" s="3">
        <f>ROUND(MIN(IF(C3290="Técnico III",35,IF(C3290="Técnico II",28,IF(C3290="Técnico I",23,IF(C3290="JR",20,IF(C3290="Estágio",10,0))))),IF(C3290="Técnico III",SUMIFS($D:$D,$A:$A,$A3290,$B:$B,"&lt;&gt;Patrícia Karla de Sousa Araújo",$B:$B,"&lt;&gt;Lorena Dias de Araujo",$B:$B,"&lt;&gt;Lucas Luiz Romero")*(35/1083),IF(C3290="Técnico II",SUMIFS($D:$D,$A:$A,$A3290,$B:$B,"&lt;&gt;Patrícia Karla de Sousa Araújo",$B:$B,"&lt;&gt;Lorena Dias de Araujo",$B:$B,"&lt;&gt;Lucas Luiz Romero")*(28/1083),IF(C3290="Técnico I",SUMIFS($D:$D,$A:$A,$A3290,$B:$B,"&lt;&gt;Patrícia Karla de Sousa Araújo",$B:$B,"&lt;&gt;Lorena Dias de Araujo",$B:$B,"&lt;&gt;Lucas Luiz Romero")*(23/1083),IF(C3290="JR",SUMIFS($D:$D,$A:$A,$A3290,$B:$B,"&lt;&gt;Patrícia Karla de Sousa Araújo",$B:$B,"&lt;&gt;Lorena Dias de Araujo",$B:$B,"&lt;&gt;Lucas Luiz Romero")*(20/1083),IF(C3290="Estágio",SUMIFS($D:$D,$A:$A,$A3290,$B:$B,"&lt;&gt;Patrícia Karla de Sousa Araújo",$B:$B,"&lt;&gt;Lorena Dias de Araujo",$B:$B,"&lt;&gt;Lucas Luiz Romero")*(10/1083),0)))))),0)</f>
        <v>17</v>
      </c>
      <c r="K3290" s="3">
        <f>I3290-J3290</f>
        <v>11</v>
      </c>
      <c r="L3290" s="3" t="str">
        <f>IF(K3290&lt;-5,"CRÍTICO",IF(K3290&lt;0,"ATENÇÃO",IF(K3290&lt;=5,"OPORTUNO","MUITO BOM")))</f>
        <v>MUITO BOM</v>
      </c>
      <c r="M3290">
        <v>24</v>
      </c>
      <c r="N3290">
        <v>96.51</v>
      </c>
      <c r="O3290">
        <v>22.802850356294542</v>
      </c>
    </row>
    <row r="3291" spans="1:15" hidden="1" x14ac:dyDescent="0.25">
      <c r="A3291" s="11">
        <v>46105</v>
      </c>
      <c r="B3291" t="s">
        <v>34</v>
      </c>
      <c r="C3291" t="s">
        <v>32</v>
      </c>
      <c r="D3291">
        <v>36</v>
      </c>
      <c r="E3291">
        <v>33</v>
      </c>
      <c r="F3291">
        <v>13.28</v>
      </c>
      <c r="G3291">
        <v>0</v>
      </c>
      <c r="H3291">
        <v>0</v>
      </c>
      <c r="I3291" s="3">
        <f>E3291+G3291+H3291</f>
        <v>33</v>
      </c>
      <c r="J3291" s="3">
        <f>ROUND(MIN(IF(C3291="Técnico III",35,IF(C3291="Técnico II",28,IF(C3291="Técnico I",23,IF(C3291="JR",20,IF(C3291="Estágio",10,0))))),IF(C3291="Técnico III",SUMIFS($D:$D,$A:$A,$A3291,$B:$B,"&lt;&gt;Patrícia Karla de Sousa Araújo",$B:$B,"&lt;&gt;Lorena Dias de Araujo",$B:$B,"&lt;&gt;Lucas Luiz Romero")*(35/1083),IF(C3291="Técnico II",SUMIFS($D:$D,$A:$A,$A3291,$B:$B,"&lt;&gt;Patrícia Karla de Sousa Araújo",$B:$B,"&lt;&gt;Lorena Dias de Araujo",$B:$B,"&lt;&gt;Lucas Luiz Romero")*(28/1083),IF(C3291="Técnico I",SUMIFS($D:$D,$A:$A,$A3291,$B:$B,"&lt;&gt;Patrícia Karla de Sousa Araújo",$B:$B,"&lt;&gt;Lorena Dias de Araujo",$B:$B,"&lt;&gt;Lucas Luiz Romero")*(23/1083),IF(C3291="JR",SUMIFS($D:$D,$A:$A,$A3291,$B:$B,"&lt;&gt;Patrícia Karla de Sousa Araújo",$B:$B,"&lt;&gt;Lorena Dias de Araujo",$B:$B,"&lt;&gt;Lucas Luiz Romero")*(20/1083),IF(C3291="Estágio",SUMIFS($D:$D,$A:$A,$A3291,$B:$B,"&lt;&gt;Patrícia Karla de Sousa Araújo",$B:$B,"&lt;&gt;Lorena Dias de Araujo",$B:$B,"&lt;&gt;Lucas Luiz Romero")*(10/1083),0)))))),0)</f>
        <v>27</v>
      </c>
      <c r="K3291" s="3">
        <f>I3291-J3291</f>
        <v>6</v>
      </c>
      <c r="L3291" s="3" t="str">
        <f>IF(K3291&lt;-5,"CRÍTICO",IF(K3291&lt;0,"ATENÇÃO",IF(K3291&lt;=5,"OPORTUNO","MUITO BOM")))</f>
        <v>MUITO BOM</v>
      </c>
      <c r="M3291">
        <v>27</v>
      </c>
      <c r="N3291">
        <v>92.68</v>
      </c>
      <c r="O3291">
        <v>27.777777777777779</v>
      </c>
    </row>
    <row r="3292" spans="1:15" hidden="1" x14ac:dyDescent="0.25">
      <c r="A3292" s="11">
        <v>46105</v>
      </c>
      <c r="B3292" t="s">
        <v>51</v>
      </c>
      <c r="C3292" t="s">
        <v>48</v>
      </c>
      <c r="D3292">
        <v>25</v>
      </c>
      <c r="E3292">
        <v>21</v>
      </c>
      <c r="F3292">
        <v>21.59</v>
      </c>
      <c r="G3292">
        <v>0</v>
      </c>
      <c r="H3292">
        <v>0</v>
      </c>
      <c r="I3292" s="3">
        <v>0</v>
      </c>
      <c r="J3292" s="3">
        <v>0</v>
      </c>
      <c r="K3292" s="3">
        <v>0</v>
      </c>
      <c r="L3292" s="3" t="str">
        <f>IF(K3292&lt;-5,"CRÍTICO",IF(K3292&lt;0,"ATENÇÃO",IF(K3292&lt;=5,"OPORTUNO","MUITO BOM")))</f>
        <v>OPORTUNO</v>
      </c>
      <c r="M3292">
        <v>17</v>
      </c>
      <c r="N3292">
        <v>99.03</v>
      </c>
      <c r="O3292">
        <v>23.991507430997881</v>
      </c>
    </row>
    <row r="3293" spans="1:15" hidden="1" x14ac:dyDescent="0.25">
      <c r="A3293" s="11">
        <v>46105</v>
      </c>
      <c r="B3293" t="s">
        <v>61</v>
      </c>
      <c r="C3293" t="s">
        <v>23</v>
      </c>
      <c r="D3293">
        <v>22</v>
      </c>
      <c r="E3293">
        <v>21</v>
      </c>
      <c r="F3293">
        <v>23.52</v>
      </c>
      <c r="G3293">
        <v>0</v>
      </c>
      <c r="H3293">
        <v>0</v>
      </c>
      <c r="I3293" s="3">
        <f>E3293+G3293+H3293</f>
        <v>21</v>
      </c>
      <c r="J3293" s="3">
        <f>ROUND(MIN(IF(C3293="Técnico III",35,IF(C3293="Técnico II",28,IF(C3293="Técnico I",23,IF(C3293="JR",20,IF(C3293="Estágio",10,0))))),IF(C3293="Técnico III",SUMIFS($D:$D,$A:$A,$A3293,$B:$B,"&lt;&gt;Patrícia Karla de Sousa Araújo",$B:$B,"&lt;&gt;Lorena Dias de Araujo",$B:$B,"&lt;&gt;Lucas Luiz Romero")*(35/1083),IF(C3293="Técnico II",SUMIFS($D:$D,$A:$A,$A3293,$B:$B,"&lt;&gt;Patrícia Karla de Sousa Araújo",$B:$B,"&lt;&gt;Lorena Dias de Araujo",$B:$B,"&lt;&gt;Lucas Luiz Romero")*(28/1083),IF(C3293="Técnico I",SUMIFS($D:$D,$A:$A,$A3293,$B:$B,"&lt;&gt;Patrícia Karla de Sousa Araújo",$B:$B,"&lt;&gt;Lorena Dias de Araujo",$B:$B,"&lt;&gt;Lucas Luiz Romero")*(23/1083),IF(C3293="JR",SUMIFS($D:$D,$A:$A,$A3293,$B:$B,"&lt;&gt;Patrícia Karla de Sousa Araújo",$B:$B,"&lt;&gt;Lorena Dias de Araujo",$B:$B,"&lt;&gt;Lucas Luiz Romero")*(20/1083),IF(C3293="Estágio",SUMIFS($D:$D,$A:$A,$A3293,$B:$B,"&lt;&gt;Patrícia Karla de Sousa Araújo",$B:$B,"&lt;&gt;Lorena Dias de Araujo",$B:$B,"&lt;&gt;Lucas Luiz Romero")*(10/1083),0)))))),0)</f>
        <v>17</v>
      </c>
      <c r="K3293" s="3">
        <f>I3293-J3293</f>
        <v>4</v>
      </c>
      <c r="L3293" s="3" t="str">
        <f>IF(K3293&lt;-5,"CRÍTICO",IF(K3293&lt;0,"ATENÇÃO",IF(K3293&lt;=5,"OPORTUNO","MUITO BOM")))</f>
        <v>OPORTUNO</v>
      </c>
      <c r="M3293">
        <v>10</v>
      </c>
      <c r="N3293">
        <v>98.41</v>
      </c>
      <c r="O3293">
        <v>28.138528138528141</v>
      </c>
    </row>
    <row r="3294" spans="1:15" hidden="1" x14ac:dyDescent="0.25">
      <c r="A3294" s="11">
        <v>46105</v>
      </c>
      <c r="B3294" t="s">
        <v>35</v>
      </c>
      <c r="C3294" t="s">
        <v>32</v>
      </c>
      <c r="D3294">
        <v>12</v>
      </c>
      <c r="E3294">
        <v>12</v>
      </c>
      <c r="F3294">
        <v>37.380000000000003</v>
      </c>
      <c r="G3294">
        <v>0</v>
      </c>
      <c r="H3294">
        <v>0</v>
      </c>
      <c r="I3294" s="3">
        <v>0</v>
      </c>
      <c r="J3294" s="3">
        <v>0</v>
      </c>
      <c r="K3294" s="3">
        <v>0</v>
      </c>
      <c r="L3294" s="3" t="str">
        <f>IF(K3294&lt;-5,"CRÍTICO",IF(K3294&lt;0,"ATENÇÃO",IF(K3294&lt;=5,"OPORTUNO","MUITO BOM")))</f>
        <v>OPORTUNO</v>
      </c>
      <c r="M3294">
        <v>10</v>
      </c>
      <c r="N3294">
        <v>98.73</v>
      </c>
      <c r="O3294">
        <v>29.142857142857139</v>
      </c>
    </row>
    <row r="3295" spans="1:15" hidden="1" x14ac:dyDescent="0.25">
      <c r="A3295" s="11">
        <v>46105</v>
      </c>
      <c r="B3295" t="s">
        <v>18</v>
      </c>
      <c r="C3295" t="s">
        <v>16</v>
      </c>
      <c r="D3295">
        <v>4</v>
      </c>
      <c r="E3295">
        <v>4</v>
      </c>
      <c r="F3295">
        <v>82.38</v>
      </c>
      <c r="G3295">
        <v>0</v>
      </c>
      <c r="H3295">
        <v>0</v>
      </c>
      <c r="I3295" s="3">
        <f>E3295+G3295+H3295</f>
        <v>4</v>
      </c>
      <c r="J3295" s="3">
        <f>ROUND(MIN(IF(C3295="Técnico III",35,IF(C3295="Técnico II",28,IF(C3295="Técnico I",23,IF(C3295="JR",20,IF(C3295="Estágio",10,0))))),IF(C3295="Técnico III",SUMIFS($D:$D,$A:$A,$A3295,$B:$B,"&lt;&gt;Patrícia Karla de Sousa Araújo",$B:$B,"&lt;&gt;Lorena Dias de Araujo",$B:$B,"&lt;&gt;Lucas Luiz Romero")*(35/1083),IF(C3295="Técnico II",SUMIFS($D:$D,$A:$A,$A3295,$B:$B,"&lt;&gt;Patrícia Karla de Sousa Araújo",$B:$B,"&lt;&gt;Lorena Dias de Araujo",$B:$B,"&lt;&gt;Lucas Luiz Romero")*(28/1083),IF(C3295="Técnico I",SUMIFS($D:$D,$A:$A,$A3295,$B:$B,"&lt;&gt;Patrícia Karla de Sousa Araújo",$B:$B,"&lt;&gt;Lorena Dias de Araujo",$B:$B,"&lt;&gt;Lucas Luiz Romero")*(23/1083),IF(C3295="JR",SUMIFS($D:$D,$A:$A,$A3295,$B:$B,"&lt;&gt;Patrícia Karla de Sousa Araújo",$B:$B,"&lt;&gt;Lorena Dias de Araujo",$B:$B,"&lt;&gt;Lucas Luiz Romero")*(20/1083),IF(C3295="Estágio",SUMIFS($D:$D,$A:$A,$A3295,$B:$B,"&lt;&gt;Patrícia Karla de Sousa Araújo",$B:$B,"&lt;&gt;Lorena Dias de Araujo",$B:$B,"&lt;&gt;Lucas Luiz Romero")*(10/1083),0)))))),0)</f>
        <v>8</v>
      </c>
      <c r="K3295" s="3">
        <f>I3295-J3295</f>
        <v>-4</v>
      </c>
      <c r="L3295" s="3" t="str">
        <f>IF(K3295&lt;-5,"CRÍTICO",IF(K3295&lt;0,"ATENÇÃO",IF(K3295&lt;=5,"OPORTUNO","MUITO BOM")))</f>
        <v>ATENÇÃO</v>
      </c>
      <c r="M3295">
        <v>4</v>
      </c>
      <c r="N3295">
        <v>90.48</v>
      </c>
      <c r="O3295">
        <v>20.68965517241379</v>
      </c>
    </row>
    <row r="3296" spans="1:15" hidden="1" x14ac:dyDescent="0.25">
      <c r="A3296" s="11">
        <v>46105</v>
      </c>
      <c r="B3296" t="s">
        <v>52</v>
      </c>
      <c r="C3296" t="s">
        <v>48</v>
      </c>
      <c r="D3296">
        <v>15</v>
      </c>
      <c r="E3296">
        <v>14</v>
      </c>
      <c r="F3296">
        <v>22.39</v>
      </c>
      <c r="G3296">
        <v>0</v>
      </c>
      <c r="H3296">
        <v>0</v>
      </c>
      <c r="I3296" s="3">
        <f>E3296+G3296+H3296</f>
        <v>14</v>
      </c>
      <c r="J3296" s="3">
        <f>ROUND(MIN(IF(C3296="Técnico III",35,IF(C3296="Técnico II",28,IF(C3296="Técnico I",23,IF(C3296="JR",20,IF(C3296="Estágio",10,0))))),IF(C3296="Técnico III",SUMIFS($D:$D,$A:$A,$A3296,$B:$B,"&lt;&gt;Patrícia Karla de Sousa Araújo",$B:$B,"&lt;&gt;Lorena Dias de Araujo",$B:$B,"&lt;&gt;Lucas Luiz Romero")*(35/1083),IF(C3296="Técnico II",SUMIFS($D:$D,$A:$A,$A3296,$B:$B,"&lt;&gt;Patrícia Karla de Sousa Araújo",$B:$B,"&lt;&gt;Lorena Dias de Araujo",$B:$B,"&lt;&gt;Lucas Luiz Romero")*(28/1083),IF(C3296="Técnico I",SUMIFS($D:$D,$A:$A,$A3296,$B:$B,"&lt;&gt;Patrícia Karla de Sousa Araújo",$B:$B,"&lt;&gt;Lorena Dias de Araujo",$B:$B,"&lt;&gt;Lucas Luiz Romero")*(23/1083),IF(C3296="JR",SUMIFS($D:$D,$A:$A,$A3296,$B:$B,"&lt;&gt;Patrícia Karla de Sousa Araújo",$B:$B,"&lt;&gt;Lorena Dias de Araujo",$B:$B,"&lt;&gt;Lucas Luiz Romero")*(20/1083),IF(C3296="Estágio",SUMIFS($D:$D,$A:$A,$A3296,$B:$B,"&lt;&gt;Patrícia Karla de Sousa Araújo",$B:$B,"&lt;&gt;Lorena Dias de Araujo",$B:$B,"&lt;&gt;Lucas Luiz Romero")*(10/1083),0)))))),0)</f>
        <v>21</v>
      </c>
      <c r="K3296" s="3">
        <f>I3296-J3296</f>
        <v>-7</v>
      </c>
      <c r="L3296" s="3" t="str">
        <f>IF(K3296&lt;-5,"CRÍTICO",IF(K3296&lt;0,"ATENÇÃO",IF(K3296&lt;=5,"OPORTUNO","MUITO BOM")))</f>
        <v>CRÍTICO</v>
      </c>
      <c r="M3296">
        <v>15</v>
      </c>
      <c r="N3296">
        <v>98.06</v>
      </c>
      <c r="O3296">
        <v>24.789915966386559</v>
      </c>
    </row>
    <row r="3297" spans="1:15" hidden="1" x14ac:dyDescent="0.25">
      <c r="A3297" s="11">
        <v>46105</v>
      </c>
      <c r="B3297" t="s">
        <v>36</v>
      </c>
      <c r="C3297" t="s">
        <v>32</v>
      </c>
      <c r="D3297">
        <v>25</v>
      </c>
      <c r="E3297">
        <v>24</v>
      </c>
      <c r="F3297">
        <v>20.51</v>
      </c>
      <c r="G3297">
        <v>0</v>
      </c>
      <c r="H3297">
        <v>0</v>
      </c>
      <c r="I3297" s="3">
        <f>E3297+G3297+H3297</f>
        <v>24</v>
      </c>
      <c r="J3297" s="3">
        <f>ROUND(MIN(IF(C3297="Técnico III",35,IF(C3297="Técnico II",28,IF(C3297="Técnico I",23,IF(C3297="JR",20,IF(C3297="Estágio",10,0))))),IF(C3297="Técnico III",SUMIFS($D:$D,$A:$A,$A3297,$B:$B,"&lt;&gt;Patrícia Karla de Sousa Araújo",$B:$B,"&lt;&gt;Lorena Dias de Araujo",$B:$B,"&lt;&gt;Lucas Luiz Romero")*(35/1083),IF(C3297="Técnico II",SUMIFS($D:$D,$A:$A,$A3297,$B:$B,"&lt;&gt;Patrícia Karla de Sousa Araújo",$B:$B,"&lt;&gt;Lorena Dias de Araujo",$B:$B,"&lt;&gt;Lucas Luiz Romero")*(28/1083),IF(C3297="Técnico I",SUMIFS($D:$D,$A:$A,$A3297,$B:$B,"&lt;&gt;Patrícia Karla de Sousa Araújo",$B:$B,"&lt;&gt;Lorena Dias de Araujo",$B:$B,"&lt;&gt;Lucas Luiz Romero")*(23/1083),IF(C3297="JR",SUMIFS($D:$D,$A:$A,$A3297,$B:$B,"&lt;&gt;Patrícia Karla de Sousa Araújo",$B:$B,"&lt;&gt;Lorena Dias de Araujo",$B:$B,"&lt;&gt;Lucas Luiz Romero")*(20/1083),IF(C3297="Estágio",SUMIFS($D:$D,$A:$A,$A3297,$B:$B,"&lt;&gt;Patrícia Karla de Sousa Araújo",$B:$B,"&lt;&gt;Lorena Dias de Araujo",$B:$B,"&lt;&gt;Lucas Luiz Romero")*(10/1083),0)))))),0)</f>
        <v>27</v>
      </c>
      <c r="K3297" s="3">
        <f>I3297-J3297</f>
        <v>-3</v>
      </c>
      <c r="L3297" s="3" t="str">
        <f>IF(K3297&lt;-5,"CRÍTICO",IF(K3297&lt;0,"ATENÇÃO",IF(K3297&lt;=5,"OPORTUNO","MUITO BOM")))</f>
        <v>ATENÇÃO</v>
      </c>
      <c r="M3297">
        <v>26</v>
      </c>
      <c r="N3297">
        <v>97.78</v>
      </c>
      <c r="O3297">
        <v>25.494071146245059</v>
      </c>
    </row>
    <row r="3298" spans="1:15" hidden="1" x14ac:dyDescent="0.25">
      <c r="A3298" s="11">
        <v>46105</v>
      </c>
      <c r="B3298" t="s">
        <v>53</v>
      </c>
      <c r="C3298" t="s">
        <v>48</v>
      </c>
      <c r="D3298">
        <v>25</v>
      </c>
      <c r="E3298">
        <v>22</v>
      </c>
      <c r="F3298">
        <v>18.2</v>
      </c>
      <c r="G3298">
        <v>0</v>
      </c>
      <c r="H3298">
        <v>0</v>
      </c>
      <c r="I3298" s="3">
        <f>E3298+G3298+H3298</f>
        <v>22</v>
      </c>
      <c r="J3298" s="3">
        <f>ROUND(MIN(IF(C3298="Técnico III",35,IF(C3298="Técnico II",28,IF(C3298="Técnico I",23,IF(C3298="JR",20,IF(C3298="Estágio",10,0))))),IF(C3298="Técnico III",SUMIFS($D:$D,$A:$A,$A3298,$B:$B,"&lt;&gt;Patrícia Karla de Sousa Araújo",$B:$B,"&lt;&gt;Lorena Dias de Araujo",$B:$B,"&lt;&gt;Lucas Luiz Romero")*(35/1083),IF(C3298="Técnico II",SUMIFS($D:$D,$A:$A,$A3298,$B:$B,"&lt;&gt;Patrícia Karla de Sousa Araújo",$B:$B,"&lt;&gt;Lorena Dias de Araujo",$B:$B,"&lt;&gt;Lucas Luiz Romero")*(28/1083),IF(C3298="Técnico I",SUMIFS($D:$D,$A:$A,$A3298,$B:$B,"&lt;&gt;Patrícia Karla de Sousa Araújo",$B:$B,"&lt;&gt;Lorena Dias de Araujo",$B:$B,"&lt;&gt;Lucas Luiz Romero")*(23/1083),IF(C3298="JR",SUMIFS($D:$D,$A:$A,$A3298,$B:$B,"&lt;&gt;Patrícia Karla de Sousa Araújo",$B:$B,"&lt;&gt;Lorena Dias de Araujo",$B:$B,"&lt;&gt;Lucas Luiz Romero")*(20/1083),IF(C3298="Estágio",SUMIFS($D:$D,$A:$A,$A3298,$B:$B,"&lt;&gt;Patrícia Karla de Sousa Araújo",$B:$B,"&lt;&gt;Lorena Dias de Araujo",$B:$B,"&lt;&gt;Lucas Luiz Romero")*(10/1083),0)))))),0)</f>
        <v>21</v>
      </c>
      <c r="K3298" s="3">
        <f>I3298-J3298</f>
        <v>1</v>
      </c>
      <c r="L3298" s="3" t="str">
        <f>IF(K3298&lt;-5,"CRÍTICO",IF(K3298&lt;0,"ATENÇÃO",IF(K3298&lt;=5,"OPORTUNO","MUITO BOM")))</f>
        <v>OPORTUNO</v>
      </c>
      <c r="M3298">
        <v>21</v>
      </c>
      <c r="N3298">
        <v>98.02</v>
      </c>
      <c r="O3298">
        <v>23.484848484848481</v>
      </c>
    </row>
    <row r="3299" spans="1:15" hidden="1" x14ac:dyDescent="0.25">
      <c r="A3299" s="5">
        <v>46160</v>
      </c>
      <c r="B3299" s="6" t="s">
        <v>62</v>
      </c>
      <c r="C3299" s="1" t="s">
        <v>23</v>
      </c>
      <c r="D3299" s="3">
        <v>21</v>
      </c>
      <c r="E3299" s="3">
        <v>20</v>
      </c>
      <c r="F3299" s="3">
        <v>17.02</v>
      </c>
      <c r="G3299" s="3">
        <v>2</v>
      </c>
      <c r="H3299" s="3">
        <v>0</v>
      </c>
      <c r="I3299" s="3">
        <f>E3299+G3299+H3299</f>
        <v>22</v>
      </c>
      <c r="J3299" s="3">
        <f>ROUND(MIN(IF(C3299="Técnico III",35,IF(C3299="Técnico II",28,IF(C3299="Técnico I",23,IF(C3299="JR",20,IF(C3299="Estágio",10,0))))),IF(C3299="Técnico III",SUMIFS($D:$D,$A:$A,$A3299,$B:$B,"&lt;&gt;Patrícia Karla de Sousa Araújo",$B:$B,"&lt;&gt;Lorena Dias de Araujo",$B:$B,"&lt;&gt;Lucas Luiz Romero")*(35/1083),IF(C3299="Técnico II",SUMIFS($D:$D,$A:$A,$A3299,$B:$B,"&lt;&gt;Patrícia Karla de Sousa Araújo",$B:$B,"&lt;&gt;Lorena Dias de Araujo",$B:$B,"&lt;&gt;Lucas Luiz Romero")*(28/1083),IF(C3299="Técnico I",SUMIFS($D:$D,$A:$A,$A3299,$B:$B,"&lt;&gt;Patrícia Karla de Sousa Araújo",$B:$B,"&lt;&gt;Lorena Dias de Araujo",$B:$B,"&lt;&gt;Lucas Luiz Romero")*(23/1083),IF(C3299="JR",SUMIFS($D:$D,$A:$A,$A3299,$B:$B,"&lt;&gt;Patrícia Karla de Sousa Araújo",$B:$B,"&lt;&gt;Lorena Dias de Araujo",$B:$B,"&lt;&gt;Lucas Luiz Romero")*(20/1083),IF(C3299="Estágio",SUMIFS($D:$D,$A:$A,$A3299,$B:$B,"&lt;&gt;Patrícia Karla de Sousa Araújo",$B:$B,"&lt;&gt;Lorena Dias de Araujo",$B:$B,"&lt;&gt;Lucas Luiz Romero")*(10/1083),0)))))),0)</f>
        <v>17</v>
      </c>
      <c r="K3299" s="3">
        <f>I3299-J3299</f>
        <v>5</v>
      </c>
      <c r="L3299" s="3" t="str">
        <f>IF(K3299&lt;-5,"CRÍTICO",IF(K3299&lt;0,"ATENÇÃO",IF(K3299&lt;=5,"OPORTUNO","MUITO BOM")))</f>
        <v>OPORTUNO</v>
      </c>
      <c r="M3299" s="3">
        <v>20</v>
      </c>
      <c r="N3299" s="3">
        <v>94.55</v>
      </c>
      <c r="O3299" s="3">
        <v>23.450134770889491</v>
      </c>
    </row>
    <row r="3300" spans="1:15" hidden="1" x14ac:dyDescent="0.25">
      <c r="A3300" s="11">
        <v>46105</v>
      </c>
      <c r="B3300" t="s">
        <v>54</v>
      </c>
      <c r="C3300" t="s">
        <v>48</v>
      </c>
      <c r="D3300">
        <v>25</v>
      </c>
      <c r="E3300">
        <v>23</v>
      </c>
      <c r="F3300">
        <v>25.13</v>
      </c>
      <c r="G3300">
        <v>0</v>
      </c>
      <c r="H3300">
        <v>0</v>
      </c>
      <c r="I3300" s="3">
        <f>E3300+G3300+H3300</f>
        <v>23</v>
      </c>
      <c r="J3300" s="3">
        <f>ROUND(MIN(IF(C3300="Técnico III",35,IF(C3300="Técnico II",28,IF(C3300="Técnico I",23,IF(C3300="JR",20,IF(C3300="Estágio",10,0))))),IF(C3300="Técnico III",SUMIFS($D:$D,$A:$A,$A3300,$B:$B,"&lt;&gt;Patrícia Karla de Sousa Araújo",$B:$B,"&lt;&gt;Lorena Dias de Araujo",$B:$B,"&lt;&gt;Lucas Luiz Romero")*(35/1083),IF(C3300="Técnico II",SUMIFS($D:$D,$A:$A,$A3300,$B:$B,"&lt;&gt;Patrícia Karla de Sousa Araújo",$B:$B,"&lt;&gt;Lorena Dias de Araujo",$B:$B,"&lt;&gt;Lucas Luiz Romero")*(28/1083),IF(C3300="Técnico I",SUMIFS($D:$D,$A:$A,$A3300,$B:$B,"&lt;&gt;Patrícia Karla de Sousa Araújo",$B:$B,"&lt;&gt;Lorena Dias de Araujo",$B:$B,"&lt;&gt;Lucas Luiz Romero")*(23/1083),IF(C3300="JR",SUMIFS($D:$D,$A:$A,$A3300,$B:$B,"&lt;&gt;Patrícia Karla de Sousa Araújo",$B:$B,"&lt;&gt;Lorena Dias de Araujo",$B:$B,"&lt;&gt;Lucas Luiz Romero")*(20/1083),IF(C3300="Estágio",SUMIFS($D:$D,$A:$A,$A3300,$B:$B,"&lt;&gt;Patrícia Karla de Sousa Araújo",$B:$B,"&lt;&gt;Lorena Dias de Araujo",$B:$B,"&lt;&gt;Lucas Luiz Romero")*(10/1083),0)))))),0)</f>
        <v>21</v>
      </c>
      <c r="K3300" s="3">
        <f>I3300-J3300</f>
        <v>2</v>
      </c>
      <c r="L3300" s="3" t="str">
        <f>IF(K3300&lt;-5,"CRÍTICO",IF(K3300&lt;0,"ATENÇÃO",IF(K3300&lt;=5,"OPORTUNO","MUITO BOM")))</f>
        <v>OPORTUNO</v>
      </c>
      <c r="M3300">
        <v>24</v>
      </c>
      <c r="N3300">
        <v>100</v>
      </c>
      <c r="O3300">
        <v>27.04918032786885</v>
      </c>
    </row>
    <row r="3301" spans="1:15" hidden="1" x14ac:dyDescent="0.25">
      <c r="A3301" s="11">
        <v>46105</v>
      </c>
      <c r="B3301" t="s">
        <v>37</v>
      </c>
      <c r="C3301" t="s">
        <v>32</v>
      </c>
      <c r="D3301">
        <v>36</v>
      </c>
      <c r="E3301">
        <v>32</v>
      </c>
      <c r="F3301">
        <v>12.15</v>
      </c>
      <c r="G3301">
        <v>0</v>
      </c>
      <c r="H3301">
        <v>0</v>
      </c>
      <c r="I3301" s="3">
        <f>E3301+G3301+H3301</f>
        <v>32</v>
      </c>
      <c r="J3301" s="3">
        <f>ROUND(MIN(IF(C3301="Técnico III",35,IF(C3301="Técnico II",28,IF(C3301="Técnico I",23,IF(C3301="JR",20,IF(C3301="Estágio",10,0))))),IF(C3301="Técnico III",SUMIFS($D:$D,$A:$A,$A3301,$B:$B,"&lt;&gt;Patrícia Karla de Sousa Araújo",$B:$B,"&lt;&gt;Lorena Dias de Araujo",$B:$B,"&lt;&gt;Lucas Luiz Romero")*(35/1083),IF(C3301="Técnico II",SUMIFS($D:$D,$A:$A,$A3301,$B:$B,"&lt;&gt;Patrícia Karla de Sousa Araújo",$B:$B,"&lt;&gt;Lorena Dias de Araujo",$B:$B,"&lt;&gt;Lucas Luiz Romero")*(28/1083),IF(C3301="Técnico I",SUMIFS($D:$D,$A:$A,$A3301,$B:$B,"&lt;&gt;Patrícia Karla de Sousa Araújo",$B:$B,"&lt;&gt;Lorena Dias de Araujo",$B:$B,"&lt;&gt;Lucas Luiz Romero")*(23/1083),IF(C3301="JR",SUMIFS($D:$D,$A:$A,$A3301,$B:$B,"&lt;&gt;Patrícia Karla de Sousa Araújo",$B:$B,"&lt;&gt;Lorena Dias de Araujo",$B:$B,"&lt;&gt;Lucas Luiz Romero")*(20/1083),IF(C3301="Estágio",SUMIFS($D:$D,$A:$A,$A3301,$B:$B,"&lt;&gt;Patrícia Karla de Sousa Araújo",$B:$B,"&lt;&gt;Lorena Dias de Araujo",$B:$B,"&lt;&gt;Lucas Luiz Romero")*(10/1083),0)))))),0)</f>
        <v>27</v>
      </c>
      <c r="K3301" s="3">
        <f>I3301-J3301</f>
        <v>5</v>
      </c>
      <c r="L3301" s="3" t="str">
        <f>IF(K3301&lt;-5,"CRÍTICO",IF(K3301&lt;0,"ATENÇÃO",IF(K3301&lt;=5,"OPORTUNO","MUITO BOM")))</f>
        <v>OPORTUNO</v>
      </c>
      <c r="M3301">
        <v>31</v>
      </c>
      <c r="N3301">
        <v>97.83</v>
      </c>
      <c r="O3301">
        <v>26.315789473684209</v>
      </c>
    </row>
    <row r="3302" spans="1:15" hidden="1" x14ac:dyDescent="0.25">
      <c r="A3302" s="11">
        <v>46105</v>
      </c>
      <c r="B3302" t="s">
        <v>38</v>
      </c>
      <c r="C3302" t="s">
        <v>32</v>
      </c>
      <c r="D3302">
        <v>25</v>
      </c>
      <c r="E3302">
        <v>24</v>
      </c>
      <c r="F3302">
        <v>14.07</v>
      </c>
      <c r="G3302">
        <v>0</v>
      </c>
      <c r="H3302">
        <v>0</v>
      </c>
      <c r="I3302" s="3">
        <f>E3302+G3302+H3302</f>
        <v>24</v>
      </c>
      <c r="J3302" s="3">
        <f>ROUND(MIN(IF(C3302="Técnico III",35,IF(C3302="Técnico II",28,IF(C3302="Técnico I",23,IF(C3302="JR",20,IF(C3302="Estágio",10,0))))),IF(C3302="Técnico III",SUMIFS($D:$D,$A:$A,$A3302,$B:$B,"&lt;&gt;Patrícia Karla de Sousa Araújo",$B:$B,"&lt;&gt;Lorena Dias de Araujo",$B:$B,"&lt;&gt;Lucas Luiz Romero")*(35/1083),IF(C3302="Técnico II",SUMIFS($D:$D,$A:$A,$A3302,$B:$B,"&lt;&gt;Patrícia Karla de Sousa Araújo",$B:$B,"&lt;&gt;Lorena Dias de Araujo",$B:$B,"&lt;&gt;Lucas Luiz Romero")*(28/1083),IF(C3302="Técnico I",SUMIFS($D:$D,$A:$A,$A3302,$B:$B,"&lt;&gt;Patrícia Karla de Sousa Araújo",$B:$B,"&lt;&gt;Lorena Dias de Araujo",$B:$B,"&lt;&gt;Lucas Luiz Romero")*(23/1083),IF(C3302="JR",SUMIFS($D:$D,$A:$A,$A3302,$B:$B,"&lt;&gt;Patrícia Karla de Sousa Araújo",$B:$B,"&lt;&gt;Lorena Dias de Araujo",$B:$B,"&lt;&gt;Lucas Luiz Romero")*(20/1083),IF(C3302="Estágio",SUMIFS($D:$D,$A:$A,$A3302,$B:$B,"&lt;&gt;Patrícia Karla de Sousa Araújo",$B:$B,"&lt;&gt;Lorena Dias de Araujo",$B:$B,"&lt;&gt;Lucas Luiz Romero")*(10/1083),0)))))),0)</f>
        <v>27</v>
      </c>
      <c r="K3302" s="3">
        <f>I3302-J3302</f>
        <v>-3</v>
      </c>
      <c r="L3302" s="3" t="str">
        <f>IF(K3302&lt;-5,"CRÍTICO",IF(K3302&lt;0,"ATENÇÃO",IF(K3302&lt;=5,"OPORTUNO","MUITO BOM")))</f>
        <v>ATENÇÃO</v>
      </c>
      <c r="M3302">
        <v>21</v>
      </c>
      <c r="N3302">
        <v>100</v>
      </c>
      <c r="O3302">
        <v>26.701570680628269</v>
      </c>
    </row>
    <row r="3303" spans="1:15" hidden="1" x14ac:dyDescent="0.25">
      <c r="A3303" s="11">
        <v>46105</v>
      </c>
      <c r="B3303" t="s">
        <v>55</v>
      </c>
      <c r="C3303" t="s">
        <v>48</v>
      </c>
      <c r="D3303">
        <v>0</v>
      </c>
      <c r="E3303">
        <v>0</v>
      </c>
      <c r="F3303">
        <v>0</v>
      </c>
      <c r="G3303">
        <v>0</v>
      </c>
      <c r="H3303">
        <v>0</v>
      </c>
      <c r="I3303" s="3">
        <v>0</v>
      </c>
      <c r="J3303" s="3">
        <v>0</v>
      </c>
      <c r="K3303" s="3">
        <v>0</v>
      </c>
      <c r="L3303" s="3" t="str">
        <f>IF(K3303&lt;-5,"CRÍTICO",IF(K3303&lt;0,"ATENÇÃO",IF(K3303&lt;=5,"OPORTUNO","MUITO BOM")))</f>
        <v>OPORTUNO</v>
      </c>
      <c r="M3303">
        <v>0</v>
      </c>
      <c r="N3303">
        <v>97.47</v>
      </c>
      <c r="O3303">
        <v>22.887323943661968</v>
      </c>
    </row>
    <row r="3304" spans="1:15" hidden="1" x14ac:dyDescent="0.25">
      <c r="A3304" s="11">
        <v>46105</v>
      </c>
      <c r="B3304" t="s">
        <v>39</v>
      </c>
      <c r="C3304" t="s">
        <v>32</v>
      </c>
      <c r="D3304">
        <v>0</v>
      </c>
      <c r="E3304">
        <v>0</v>
      </c>
      <c r="F3304">
        <v>0</v>
      </c>
      <c r="G3304">
        <v>0</v>
      </c>
      <c r="H3304">
        <v>0</v>
      </c>
      <c r="I3304" s="3">
        <v>0</v>
      </c>
      <c r="J3304" s="3">
        <v>0</v>
      </c>
      <c r="K3304" s="3">
        <v>0</v>
      </c>
      <c r="L3304" s="3" t="str">
        <f>IF(K3304&lt;-5,"CRÍTICO",IF(K3304&lt;0,"ATENÇÃO",IF(K3304&lt;=5,"OPORTUNO","MUITO BOM")))</f>
        <v>OPORTUNO</v>
      </c>
      <c r="M3304">
        <v>0</v>
      </c>
      <c r="N3304">
        <v>0</v>
      </c>
      <c r="O3304">
        <v>0</v>
      </c>
    </row>
    <row r="3305" spans="1:15" hidden="1" x14ac:dyDescent="0.25">
      <c r="A3305" s="11">
        <v>46105</v>
      </c>
      <c r="B3305" t="s">
        <v>25</v>
      </c>
      <c r="C3305" t="s">
        <v>26</v>
      </c>
      <c r="D3305">
        <v>25</v>
      </c>
      <c r="E3305">
        <v>24</v>
      </c>
      <c r="F3305">
        <v>23.34</v>
      </c>
      <c r="G3305">
        <v>0</v>
      </c>
      <c r="H3305">
        <v>0</v>
      </c>
      <c r="I3305" s="3">
        <f>E3305+G3305+H3305</f>
        <v>24</v>
      </c>
      <c r="J3305" s="3">
        <f>ROUND(MIN(IF(C3305="Técnico III",35,IF(C3305="Técnico II",28,IF(C3305="Técnico I",23,IF(C3305="JR",20,IF(C3305="Estágio",10,0))))),IF(C3305="Técnico III",SUMIFS($D:$D,$A:$A,$A3305,$B:$B,"&lt;&gt;Patrícia Karla de Sousa Araújo",$B:$B,"&lt;&gt;Lorena Dias de Araujo",$B:$B,"&lt;&gt;Lucas Luiz Romero")*(35/1083),IF(C3305="Técnico II",SUMIFS($D:$D,$A:$A,$A3305,$B:$B,"&lt;&gt;Patrícia Karla de Sousa Araújo",$B:$B,"&lt;&gt;Lorena Dias de Araujo",$B:$B,"&lt;&gt;Lucas Luiz Romero")*(28/1083),IF(C3305="Técnico I",SUMIFS($D:$D,$A:$A,$A3305,$B:$B,"&lt;&gt;Patrícia Karla de Sousa Araújo",$B:$B,"&lt;&gt;Lorena Dias de Araujo",$B:$B,"&lt;&gt;Lucas Luiz Romero")*(23/1083),IF(C3305="JR",SUMIFS($D:$D,$A:$A,$A3305,$B:$B,"&lt;&gt;Patrícia Karla de Sousa Araújo",$B:$B,"&lt;&gt;Lorena Dias de Araujo",$B:$B,"&lt;&gt;Lucas Luiz Romero")*(20/1083),IF(C3305="Estágio",SUMIFS($D:$D,$A:$A,$A3305,$B:$B,"&lt;&gt;Patrícia Karla de Sousa Araújo",$B:$B,"&lt;&gt;Lorena Dias de Araujo",$B:$B,"&lt;&gt;Lucas Luiz Romero")*(10/1083),0)))))),0)</f>
        <v>15</v>
      </c>
      <c r="K3305" s="3">
        <f>I3305-J3305</f>
        <v>9</v>
      </c>
      <c r="L3305" s="3" t="str">
        <f>IF(K3305&lt;-5,"CRÍTICO",IF(K3305&lt;0,"ATENÇÃO",IF(K3305&lt;=5,"OPORTUNO","MUITO BOM")))</f>
        <v>MUITO BOM</v>
      </c>
      <c r="M3305">
        <v>22</v>
      </c>
      <c r="N3305">
        <v>98.31</v>
      </c>
      <c r="O3305">
        <v>24.920127795527151</v>
      </c>
    </row>
    <row r="3306" spans="1:15" hidden="1" x14ac:dyDescent="0.25">
      <c r="A3306" s="11">
        <v>46105</v>
      </c>
      <c r="B3306" t="s">
        <v>40</v>
      </c>
      <c r="C3306" t="s">
        <v>32</v>
      </c>
      <c r="D3306">
        <v>21</v>
      </c>
      <c r="E3306">
        <v>20</v>
      </c>
      <c r="F3306">
        <v>23.31</v>
      </c>
      <c r="G3306">
        <v>0</v>
      </c>
      <c r="H3306">
        <v>0</v>
      </c>
      <c r="I3306" s="3">
        <f>E3306+G3306+H3306</f>
        <v>20</v>
      </c>
      <c r="J3306" s="3">
        <f>ROUND(MIN(IF(C3306="Técnico III",35,IF(C3306="Técnico II",28,IF(C3306="Técnico I",23,IF(C3306="JR",20,IF(C3306="Estágio",10,0))))),IF(C3306="Técnico III",SUMIFS($D:$D,$A:$A,$A3306,$B:$B,"&lt;&gt;Patrícia Karla de Sousa Araújo",$B:$B,"&lt;&gt;Lorena Dias de Araujo",$B:$B,"&lt;&gt;Lucas Luiz Romero")*(35/1083),IF(C3306="Técnico II",SUMIFS($D:$D,$A:$A,$A3306,$B:$B,"&lt;&gt;Patrícia Karla de Sousa Araújo",$B:$B,"&lt;&gt;Lorena Dias de Araujo",$B:$B,"&lt;&gt;Lucas Luiz Romero")*(28/1083),IF(C3306="Técnico I",SUMIFS($D:$D,$A:$A,$A3306,$B:$B,"&lt;&gt;Patrícia Karla de Sousa Araújo",$B:$B,"&lt;&gt;Lorena Dias de Araujo",$B:$B,"&lt;&gt;Lucas Luiz Romero")*(23/1083),IF(C3306="JR",SUMIFS($D:$D,$A:$A,$A3306,$B:$B,"&lt;&gt;Patrícia Karla de Sousa Araújo",$B:$B,"&lt;&gt;Lorena Dias de Araujo",$B:$B,"&lt;&gt;Lucas Luiz Romero")*(20/1083),IF(C3306="Estágio",SUMIFS($D:$D,$A:$A,$A3306,$B:$B,"&lt;&gt;Patrícia Karla de Sousa Araújo",$B:$B,"&lt;&gt;Lorena Dias de Araujo",$B:$B,"&lt;&gt;Lucas Luiz Romero")*(10/1083),0)))))),0)</f>
        <v>27</v>
      </c>
      <c r="K3306" s="3">
        <f>I3306-J3306</f>
        <v>-7</v>
      </c>
      <c r="L3306" s="3" t="str">
        <f>IF(K3306&lt;-5,"CRÍTICO",IF(K3306&lt;0,"ATENÇÃO",IF(K3306&lt;=5,"OPORTUNO","MUITO BOM")))</f>
        <v>CRÍTICO</v>
      </c>
      <c r="M3306">
        <v>19</v>
      </c>
      <c r="N3306">
        <v>96.81</v>
      </c>
      <c r="O3306">
        <v>32.365145228215773</v>
      </c>
    </row>
    <row r="3307" spans="1:15" hidden="1" x14ac:dyDescent="0.25">
      <c r="A3307" s="11">
        <v>46105</v>
      </c>
      <c r="B3307" t="s">
        <v>27</v>
      </c>
      <c r="C3307" t="s">
        <v>26</v>
      </c>
      <c r="D3307">
        <v>18</v>
      </c>
      <c r="E3307">
        <v>14</v>
      </c>
      <c r="F3307">
        <v>22.21</v>
      </c>
      <c r="G3307">
        <v>0</v>
      </c>
      <c r="H3307">
        <v>0</v>
      </c>
      <c r="I3307" s="3">
        <f>E3307+G3307+H3307</f>
        <v>14</v>
      </c>
      <c r="J3307" s="3">
        <f>ROUND(MIN(IF(C3307="Técnico III",35,IF(C3307="Técnico II",28,IF(C3307="Técnico I",23,IF(C3307="JR",20,IF(C3307="Estágio",10,0))))),IF(C3307="Técnico III",SUMIFS($D:$D,$A:$A,$A3307,$B:$B,"&lt;&gt;Patrícia Karla de Sousa Araújo",$B:$B,"&lt;&gt;Lorena Dias de Araujo",$B:$B,"&lt;&gt;Lucas Luiz Romero")*(35/1083),IF(C3307="Técnico II",SUMIFS($D:$D,$A:$A,$A3307,$B:$B,"&lt;&gt;Patrícia Karla de Sousa Araújo",$B:$B,"&lt;&gt;Lorena Dias de Araujo",$B:$B,"&lt;&gt;Lucas Luiz Romero")*(28/1083),IF(C3307="Técnico I",SUMIFS($D:$D,$A:$A,$A3307,$B:$B,"&lt;&gt;Patrícia Karla de Sousa Araújo",$B:$B,"&lt;&gt;Lorena Dias de Araujo",$B:$B,"&lt;&gt;Lucas Luiz Romero")*(23/1083),IF(C3307="JR",SUMIFS($D:$D,$A:$A,$A3307,$B:$B,"&lt;&gt;Patrícia Karla de Sousa Araújo",$B:$B,"&lt;&gt;Lorena Dias de Araujo",$B:$B,"&lt;&gt;Lucas Luiz Romero")*(20/1083),IF(C3307="Estágio",SUMIFS($D:$D,$A:$A,$A3307,$B:$B,"&lt;&gt;Patrícia Karla de Sousa Araújo",$B:$B,"&lt;&gt;Lorena Dias de Araujo",$B:$B,"&lt;&gt;Lucas Luiz Romero")*(10/1083),0)))))),0)</f>
        <v>15</v>
      </c>
      <c r="K3307" s="3">
        <f>I3307-J3307</f>
        <v>-1</v>
      </c>
      <c r="L3307" s="3" t="str">
        <f>IF(K3307&lt;-5,"CRÍTICO",IF(K3307&lt;0,"ATENÇÃO",IF(K3307&lt;=5,"OPORTUNO","MUITO BOM")))</f>
        <v>ATENÇÃO</v>
      </c>
      <c r="M3307">
        <v>10</v>
      </c>
      <c r="N3307">
        <v>100</v>
      </c>
      <c r="O3307">
        <v>26.47058823529412</v>
      </c>
    </row>
    <row r="3308" spans="1:15" hidden="1" x14ac:dyDescent="0.25">
      <c r="A3308" s="11">
        <v>46105</v>
      </c>
      <c r="B3308" t="s">
        <v>41</v>
      </c>
      <c r="C3308" t="s">
        <v>32</v>
      </c>
      <c r="D3308">
        <v>30</v>
      </c>
      <c r="E3308">
        <v>25</v>
      </c>
      <c r="F3308">
        <v>15.51</v>
      </c>
      <c r="G3308">
        <v>0</v>
      </c>
      <c r="H3308">
        <v>0</v>
      </c>
      <c r="I3308" s="3">
        <f>E3308+G3308+H3308</f>
        <v>25</v>
      </c>
      <c r="J3308" s="3">
        <f>ROUND(MIN(IF(C3308="Técnico III",35,IF(C3308="Técnico II",28,IF(C3308="Técnico I",23,IF(C3308="JR",20,IF(C3308="Estágio",10,0))))),IF(C3308="Técnico III",SUMIFS($D:$D,$A:$A,$A3308,$B:$B,"&lt;&gt;Patrícia Karla de Sousa Araújo",$B:$B,"&lt;&gt;Lorena Dias de Araujo",$B:$B,"&lt;&gt;Lucas Luiz Romero")*(35/1083),IF(C3308="Técnico II",SUMIFS($D:$D,$A:$A,$A3308,$B:$B,"&lt;&gt;Patrícia Karla de Sousa Araújo",$B:$B,"&lt;&gt;Lorena Dias de Araujo",$B:$B,"&lt;&gt;Lucas Luiz Romero")*(28/1083),IF(C3308="Técnico I",SUMIFS($D:$D,$A:$A,$A3308,$B:$B,"&lt;&gt;Patrícia Karla de Sousa Araújo",$B:$B,"&lt;&gt;Lorena Dias de Araujo",$B:$B,"&lt;&gt;Lucas Luiz Romero")*(23/1083),IF(C3308="JR",SUMIFS($D:$D,$A:$A,$A3308,$B:$B,"&lt;&gt;Patrícia Karla de Sousa Araújo",$B:$B,"&lt;&gt;Lorena Dias de Araujo",$B:$B,"&lt;&gt;Lucas Luiz Romero")*(20/1083),IF(C3308="Estágio",SUMIFS($D:$D,$A:$A,$A3308,$B:$B,"&lt;&gt;Patrícia Karla de Sousa Araújo",$B:$B,"&lt;&gt;Lorena Dias de Araujo",$B:$B,"&lt;&gt;Lucas Luiz Romero")*(10/1083),0)))))),0)</f>
        <v>27</v>
      </c>
      <c r="K3308" s="3">
        <f>I3308-J3308</f>
        <v>-2</v>
      </c>
      <c r="L3308" s="3" t="str">
        <f>IF(K3308&lt;-5,"CRÍTICO",IF(K3308&lt;0,"ATENÇÃO",IF(K3308&lt;=5,"OPORTUNO","MUITO BOM")))</f>
        <v>ATENÇÃO</v>
      </c>
      <c r="M3308">
        <v>28</v>
      </c>
      <c r="N3308">
        <v>100</v>
      </c>
      <c r="O3308">
        <v>28.490028490028489</v>
      </c>
    </row>
    <row r="3309" spans="1:15" hidden="1" x14ac:dyDescent="0.25">
      <c r="A3309" s="11">
        <v>46105</v>
      </c>
      <c r="B3309" t="s">
        <v>56</v>
      </c>
      <c r="C3309" t="s">
        <v>48</v>
      </c>
      <c r="D3309">
        <v>18</v>
      </c>
      <c r="E3309">
        <v>18</v>
      </c>
      <c r="F3309">
        <v>24.18</v>
      </c>
      <c r="G3309">
        <v>0</v>
      </c>
      <c r="H3309">
        <v>0</v>
      </c>
      <c r="I3309" s="3">
        <f>E3309+G3309+H3309</f>
        <v>18</v>
      </c>
      <c r="J3309" s="3">
        <f>ROUND(MIN(IF(C3309="Técnico III",35,IF(C3309="Técnico II",28,IF(C3309="Técnico I",23,IF(C3309="JR",20,IF(C3309="Estágio",10,0))))),IF(C3309="Técnico III",SUMIFS($D:$D,$A:$A,$A3309,$B:$B,"&lt;&gt;Patrícia Karla de Sousa Araújo",$B:$B,"&lt;&gt;Lorena Dias de Araujo",$B:$B,"&lt;&gt;Lucas Luiz Romero")*(35/1083),IF(C3309="Técnico II",SUMIFS($D:$D,$A:$A,$A3309,$B:$B,"&lt;&gt;Patrícia Karla de Sousa Araújo",$B:$B,"&lt;&gt;Lorena Dias de Araujo",$B:$B,"&lt;&gt;Lucas Luiz Romero")*(28/1083),IF(C3309="Técnico I",SUMIFS($D:$D,$A:$A,$A3309,$B:$B,"&lt;&gt;Patrícia Karla de Sousa Araújo",$B:$B,"&lt;&gt;Lorena Dias de Araujo",$B:$B,"&lt;&gt;Lucas Luiz Romero")*(23/1083),IF(C3309="JR",SUMIFS($D:$D,$A:$A,$A3309,$B:$B,"&lt;&gt;Patrícia Karla de Sousa Araújo",$B:$B,"&lt;&gt;Lorena Dias de Araujo",$B:$B,"&lt;&gt;Lucas Luiz Romero")*(20/1083),IF(C3309="Estágio",SUMIFS($D:$D,$A:$A,$A3309,$B:$B,"&lt;&gt;Patrícia Karla de Sousa Araújo",$B:$B,"&lt;&gt;Lorena Dias de Araujo",$B:$B,"&lt;&gt;Lucas Luiz Romero")*(10/1083),0)))))),0)</f>
        <v>21</v>
      </c>
      <c r="K3309" s="3">
        <f>I3309-J3309</f>
        <v>-3</v>
      </c>
      <c r="L3309" s="3" t="str">
        <f>IF(K3309&lt;-5,"CRÍTICO",IF(K3309&lt;0,"ATENÇÃO",IF(K3309&lt;=5,"OPORTUNO","MUITO BOM")))</f>
        <v>ATENÇÃO</v>
      </c>
      <c r="M3309">
        <v>14</v>
      </c>
      <c r="N3309">
        <v>99.14</v>
      </c>
      <c r="O3309">
        <v>27.2289156626506</v>
      </c>
    </row>
    <row r="3310" spans="1:15" hidden="1" x14ac:dyDescent="0.25">
      <c r="A3310" s="11">
        <v>46105</v>
      </c>
      <c r="B3310" t="s">
        <v>57</v>
      </c>
      <c r="C3310" t="s">
        <v>48</v>
      </c>
      <c r="D3310">
        <v>21</v>
      </c>
      <c r="E3310">
        <v>20</v>
      </c>
      <c r="F3310">
        <v>19.07</v>
      </c>
      <c r="G3310">
        <v>0</v>
      </c>
      <c r="H3310">
        <v>0</v>
      </c>
      <c r="I3310" s="3">
        <v>0</v>
      </c>
      <c r="J3310" s="3">
        <v>0</v>
      </c>
      <c r="K3310" s="3">
        <v>0</v>
      </c>
      <c r="L3310" s="3" t="str">
        <f>IF(K3310&lt;-5,"CRÍTICO",IF(K3310&lt;0,"ATENÇÃO",IF(K3310&lt;=5,"OPORTUNO","MUITO BOM")))</f>
        <v>OPORTUNO</v>
      </c>
      <c r="M3310">
        <v>16</v>
      </c>
      <c r="N3310">
        <v>97.52</v>
      </c>
      <c r="O3310">
        <v>28.205128205128201</v>
      </c>
    </row>
    <row r="3311" spans="1:15" hidden="1" x14ac:dyDescent="0.25">
      <c r="A3311" s="11">
        <v>46105</v>
      </c>
      <c r="B3311" t="s">
        <v>42</v>
      </c>
      <c r="C3311" t="s">
        <v>32</v>
      </c>
      <c r="D3311">
        <v>0</v>
      </c>
      <c r="E3311">
        <v>0</v>
      </c>
      <c r="F3311">
        <v>0</v>
      </c>
      <c r="G3311">
        <v>0</v>
      </c>
      <c r="H3311">
        <v>0</v>
      </c>
      <c r="I3311" s="3">
        <v>0</v>
      </c>
      <c r="J3311" s="3">
        <v>0</v>
      </c>
      <c r="K3311" s="3">
        <v>0</v>
      </c>
      <c r="L3311" s="3" t="str">
        <f>IF(K3311&lt;-5,"CRÍTICO",IF(K3311&lt;0,"ATENÇÃO",IF(K3311&lt;=5,"OPORTUNO","MUITO BOM")))</f>
        <v>OPORTUNO</v>
      </c>
      <c r="M3311">
        <v>0</v>
      </c>
      <c r="N3311">
        <v>90</v>
      </c>
      <c r="O3311">
        <v>24.186046511627911</v>
      </c>
    </row>
    <row r="3312" spans="1:15" hidden="1" x14ac:dyDescent="0.25">
      <c r="A3312" s="11">
        <v>46105</v>
      </c>
      <c r="B3312" t="s">
        <v>62</v>
      </c>
      <c r="C3312" t="s">
        <v>23</v>
      </c>
      <c r="D3312">
        <v>26</v>
      </c>
      <c r="E3312">
        <v>25</v>
      </c>
      <c r="F3312">
        <v>18.21</v>
      </c>
      <c r="G3312">
        <v>0</v>
      </c>
      <c r="H3312">
        <v>0</v>
      </c>
      <c r="I3312" s="3">
        <f>E3312+G3312+H3312</f>
        <v>25</v>
      </c>
      <c r="J3312" s="3">
        <f>ROUND(MIN(IF(C3312="Técnico III",35,IF(C3312="Técnico II",28,IF(C3312="Técnico I",23,IF(C3312="JR",20,IF(C3312="Estágio",10,0))))),IF(C3312="Técnico III",SUMIFS($D:$D,$A:$A,$A3312,$B:$B,"&lt;&gt;Patrícia Karla de Sousa Araújo",$B:$B,"&lt;&gt;Lorena Dias de Araujo",$B:$B,"&lt;&gt;Lucas Luiz Romero")*(35/1083),IF(C3312="Técnico II",SUMIFS($D:$D,$A:$A,$A3312,$B:$B,"&lt;&gt;Patrícia Karla de Sousa Araújo",$B:$B,"&lt;&gt;Lorena Dias de Araujo",$B:$B,"&lt;&gt;Lucas Luiz Romero")*(28/1083),IF(C3312="Técnico I",SUMIFS($D:$D,$A:$A,$A3312,$B:$B,"&lt;&gt;Patrícia Karla de Sousa Araújo",$B:$B,"&lt;&gt;Lorena Dias de Araujo",$B:$B,"&lt;&gt;Lucas Luiz Romero")*(23/1083),IF(C3312="JR",SUMIFS($D:$D,$A:$A,$A3312,$B:$B,"&lt;&gt;Patrícia Karla de Sousa Araújo",$B:$B,"&lt;&gt;Lorena Dias de Araujo",$B:$B,"&lt;&gt;Lucas Luiz Romero")*(20/1083),IF(C3312="Estágio",SUMIFS($D:$D,$A:$A,$A3312,$B:$B,"&lt;&gt;Patrícia Karla de Sousa Araújo",$B:$B,"&lt;&gt;Lorena Dias de Araujo",$B:$B,"&lt;&gt;Lucas Luiz Romero")*(10/1083),0)))))),0)</f>
        <v>17</v>
      </c>
      <c r="K3312" s="3">
        <f>I3312-J3312</f>
        <v>8</v>
      </c>
      <c r="L3312" s="3" t="str">
        <f>IF(K3312&lt;-5,"CRÍTICO",IF(K3312&lt;0,"ATENÇÃO",IF(K3312&lt;=5,"OPORTUNO","MUITO BOM")))</f>
        <v>MUITO BOM</v>
      </c>
      <c r="M3312">
        <v>23</v>
      </c>
      <c r="N3312">
        <v>98.9</v>
      </c>
      <c r="O3312">
        <v>26.763990267639901</v>
      </c>
    </row>
    <row r="3313" spans="1:15" hidden="1" x14ac:dyDescent="0.25">
      <c r="A3313" s="11">
        <v>46105</v>
      </c>
      <c r="B3313" t="s">
        <v>19</v>
      </c>
      <c r="C3313" t="s">
        <v>16</v>
      </c>
      <c r="D3313">
        <v>6</v>
      </c>
      <c r="E3313">
        <v>6</v>
      </c>
      <c r="F3313">
        <v>50.07</v>
      </c>
      <c r="G3313">
        <v>0</v>
      </c>
      <c r="H3313">
        <v>0</v>
      </c>
      <c r="I3313" s="3">
        <f>E3313+G3313+H3313</f>
        <v>6</v>
      </c>
      <c r="J3313" s="3">
        <f>ROUND(MIN(IF(C3313="Técnico III",35,IF(C3313="Técnico II",28,IF(C3313="Técnico I",23,IF(C3313="JR",20,IF(C3313="Estágio",10,0))))),IF(C3313="Técnico III",SUMIFS($D:$D,$A:$A,$A3313,$B:$B,"&lt;&gt;Patrícia Karla de Sousa Araújo",$B:$B,"&lt;&gt;Lorena Dias de Araujo",$B:$B,"&lt;&gt;Lucas Luiz Romero")*(35/1083),IF(C3313="Técnico II",SUMIFS($D:$D,$A:$A,$A3313,$B:$B,"&lt;&gt;Patrícia Karla de Sousa Araújo",$B:$B,"&lt;&gt;Lorena Dias de Araujo",$B:$B,"&lt;&gt;Lucas Luiz Romero")*(28/1083),IF(C3313="Técnico I",SUMIFS($D:$D,$A:$A,$A3313,$B:$B,"&lt;&gt;Patrícia Karla de Sousa Araújo",$B:$B,"&lt;&gt;Lorena Dias de Araujo",$B:$B,"&lt;&gt;Lucas Luiz Romero")*(23/1083),IF(C3313="JR",SUMIFS($D:$D,$A:$A,$A3313,$B:$B,"&lt;&gt;Patrícia Karla de Sousa Araújo",$B:$B,"&lt;&gt;Lorena Dias de Araujo",$B:$B,"&lt;&gt;Lucas Luiz Romero")*(20/1083),IF(C3313="Estágio",SUMIFS($D:$D,$A:$A,$A3313,$B:$B,"&lt;&gt;Patrícia Karla de Sousa Araújo",$B:$B,"&lt;&gt;Lorena Dias de Araujo",$B:$B,"&lt;&gt;Lucas Luiz Romero")*(10/1083),0)))))),0)</f>
        <v>8</v>
      </c>
      <c r="K3313" s="3">
        <f>I3313-J3313</f>
        <v>-2</v>
      </c>
      <c r="L3313" s="3" t="str">
        <f>IF(K3313&lt;-5,"CRÍTICO",IF(K3313&lt;0,"ATENÇÃO",IF(K3313&lt;=5,"OPORTUNO","MUITO BOM")))</f>
        <v>ATENÇÃO</v>
      </c>
      <c r="M3313">
        <v>5</v>
      </c>
      <c r="N3313">
        <v>88.89</v>
      </c>
      <c r="O3313">
        <v>25.263157894736839</v>
      </c>
    </row>
    <row r="3314" spans="1:15" hidden="1" x14ac:dyDescent="0.25">
      <c r="A3314" s="11">
        <v>46105</v>
      </c>
      <c r="B3314" t="s">
        <v>43</v>
      </c>
      <c r="C3314" t="s">
        <v>32</v>
      </c>
      <c r="D3314">
        <v>24</v>
      </c>
      <c r="E3314">
        <v>22</v>
      </c>
      <c r="F3314">
        <v>15.5</v>
      </c>
      <c r="G3314">
        <v>0</v>
      </c>
      <c r="H3314">
        <v>0</v>
      </c>
      <c r="I3314" s="3">
        <f>E3314+G3314+H3314</f>
        <v>22</v>
      </c>
      <c r="J3314" s="3">
        <f>ROUND(MIN(IF(C3314="Técnico III",35,IF(C3314="Técnico II",28,IF(C3314="Técnico I",23,IF(C3314="JR",20,IF(C3314="Estágio",10,0))))),IF(C3314="Técnico III",SUMIFS($D:$D,$A:$A,$A3314,$B:$B,"&lt;&gt;Patrícia Karla de Sousa Araújo",$B:$B,"&lt;&gt;Lorena Dias de Araujo",$B:$B,"&lt;&gt;Lucas Luiz Romero")*(35/1083),IF(C3314="Técnico II",SUMIFS($D:$D,$A:$A,$A3314,$B:$B,"&lt;&gt;Patrícia Karla de Sousa Araújo",$B:$B,"&lt;&gt;Lorena Dias de Araujo",$B:$B,"&lt;&gt;Lucas Luiz Romero")*(28/1083),IF(C3314="Técnico I",SUMIFS($D:$D,$A:$A,$A3314,$B:$B,"&lt;&gt;Patrícia Karla de Sousa Araújo",$B:$B,"&lt;&gt;Lorena Dias de Araujo",$B:$B,"&lt;&gt;Lucas Luiz Romero")*(23/1083),IF(C3314="JR",SUMIFS($D:$D,$A:$A,$A3314,$B:$B,"&lt;&gt;Patrícia Karla de Sousa Araújo",$B:$B,"&lt;&gt;Lorena Dias de Araujo",$B:$B,"&lt;&gt;Lucas Luiz Romero")*(20/1083),IF(C3314="Estágio",SUMIFS($D:$D,$A:$A,$A3314,$B:$B,"&lt;&gt;Patrícia Karla de Sousa Araújo",$B:$B,"&lt;&gt;Lorena Dias de Araujo",$B:$B,"&lt;&gt;Lucas Luiz Romero")*(10/1083),0)))))),0)</f>
        <v>27</v>
      </c>
      <c r="K3314" s="3">
        <f>I3314-J3314</f>
        <v>-5</v>
      </c>
      <c r="L3314" s="3" t="str">
        <f>IF(K3314&lt;-5,"CRÍTICO",IF(K3314&lt;0,"ATENÇÃO",IF(K3314&lt;=5,"OPORTUNO","MUITO BOM")))</f>
        <v>ATENÇÃO</v>
      </c>
      <c r="M3314">
        <v>19</v>
      </c>
      <c r="N3314">
        <v>98.86</v>
      </c>
      <c r="O3314">
        <v>28.959276018099551</v>
      </c>
    </row>
    <row r="3315" spans="1:15" hidden="1" x14ac:dyDescent="0.25">
      <c r="A3315" s="11">
        <v>46105</v>
      </c>
      <c r="B3315" t="s">
        <v>44</v>
      </c>
      <c r="C3315" t="s">
        <v>32</v>
      </c>
      <c r="D3315">
        <v>26</v>
      </c>
      <c r="E3315">
        <v>23</v>
      </c>
      <c r="F3315">
        <v>15.14</v>
      </c>
      <c r="G3315">
        <v>0</v>
      </c>
      <c r="H3315">
        <v>0</v>
      </c>
      <c r="I3315" s="3">
        <f>E3315+G3315+H3315</f>
        <v>23</v>
      </c>
      <c r="J3315" s="3">
        <f>ROUND(MIN(IF(C3315="Técnico III",35,IF(C3315="Técnico II",28,IF(C3315="Técnico I",23,IF(C3315="JR",20,IF(C3315="Estágio",10,0))))),IF(C3315="Técnico III",SUMIFS($D:$D,$A:$A,$A3315,$B:$B,"&lt;&gt;Patrícia Karla de Sousa Araújo",$B:$B,"&lt;&gt;Lorena Dias de Araujo",$B:$B,"&lt;&gt;Lucas Luiz Romero")*(35/1083),IF(C3315="Técnico II",SUMIFS($D:$D,$A:$A,$A3315,$B:$B,"&lt;&gt;Patrícia Karla de Sousa Araújo",$B:$B,"&lt;&gt;Lorena Dias de Araujo",$B:$B,"&lt;&gt;Lucas Luiz Romero")*(28/1083),IF(C3315="Técnico I",SUMIFS($D:$D,$A:$A,$A3315,$B:$B,"&lt;&gt;Patrícia Karla de Sousa Araújo",$B:$B,"&lt;&gt;Lorena Dias de Araujo",$B:$B,"&lt;&gt;Lucas Luiz Romero")*(23/1083),IF(C3315="JR",SUMIFS($D:$D,$A:$A,$A3315,$B:$B,"&lt;&gt;Patrícia Karla de Sousa Araújo",$B:$B,"&lt;&gt;Lorena Dias de Araujo",$B:$B,"&lt;&gt;Lucas Luiz Romero")*(20/1083),IF(C3315="Estágio",SUMIFS($D:$D,$A:$A,$A3315,$B:$B,"&lt;&gt;Patrícia Karla de Sousa Araújo",$B:$B,"&lt;&gt;Lorena Dias de Araujo",$B:$B,"&lt;&gt;Lucas Luiz Romero")*(10/1083),0)))))),0)</f>
        <v>27</v>
      </c>
      <c r="K3315" s="3">
        <f>I3315-J3315</f>
        <v>-4</v>
      </c>
      <c r="L3315" s="3" t="str">
        <f>IF(K3315&lt;-5,"CRÍTICO",IF(K3315&lt;0,"ATENÇÃO",IF(K3315&lt;=5,"OPORTUNO","MUITO BOM")))</f>
        <v>ATENÇÃO</v>
      </c>
      <c r="M3315">
        <v>23</v>
      </c>
      <c r="N3315">
        <v>98.06</v>
      </c>
      <c r="O3315">
        <v>22.40566037735849</v>
      </c>
    </row>
    <row r="3316" spans="1:15" hidden="1" x14ac:dyDescent="0.25">
      <c r="A3316" s="11">
        <v>46105</v>
      </c>
      <c r="B3316" t="s">
        <v>20</v>
      </c>
      <c r="C3316" t="s">
        <v>16</v>
      </c>
      <c r="D3316">
        <v>17</v>
      </c>
      <c r="E3316">
        <v>16</v>
      </c>
      <c r="F3316">
        <v>23.5</v>
      </c>
      <c r="G3316">
        <v>0</v>
      </c>
      <c r="H3316">
        <v>0</v>
      </c>
      <c r="I3316" s="3">
        <f>E3316+G3316+H3316</f>
        <v>16</v>
      </c>
      <c r="J3316" s="3">
        <f>ROUND(MIN(IF(C3316="Técnico III",35,IF(C3316="Técnico II",28,IF(C3316="Técnico I",23,IF(C3316="JR",20,IF(C3316="Estágio",10,0))))),IF(C3316="Técnico III",SUMIFS($D:$D,$A:$A,$A3316,$B:$B,"&lt;&gt;Patrícia Karla de Sousa Araújo",$B:$B,"&lt;&gt;Lorena Dias de Araujo",$B:$B,"&lt;&gt;Lucas Luiz Romero")*(35/1083),IF(C3316="Técnico II",SUMIFS($D:$D,$A:$A,$A3316,$B:$B,"&lt;&gt;Patrícia Karla de Sousa Araújo",$B:$B,"&lt;&gt;Lorena Dias de Araujo",$B:$B,"&lt;&gt;Lucas Luiz Romero")*(28/1083),IF(C3316="Técnico I",SUMIFS($D:$D,$A:$A,$A3316,$B:$B,"&lt;&gt;Patrícia Karla de Sousa Araújo",$B:$B,"&lt;&gt;Lorena Dias de Araujo",$B:$B,"&lt;&gt;Lucas Luiz Romero")*(23/1083),IF(C3316="JR",SUMIFS($D:$D,$A:$A,$A3316,$B:$B,"&lt;&gt;Patrícia Karla de Sousa Araújo",$B:$B,"&lt;&gt;Lorena Dias de Araujo",$B:$B,"&lt;&gt;Lucas Luiz Romero")*(20/1083),IF(C3316="Estágio",SUMIFS($D:$D,$A:$A,$A3316,$B:$B,"&lt;&gt;Patrícia Karla de Sousa Araújo",$B:$B,"&lt;&gt;Lorena Dias de Araujo",$B:$B,"&lt;&gt;Lucas Luiz Romero")*(10/1083),0)))))),0)</f>
        <v>8</v>
      </c>
      <c r="K3316" s="3">
        <f>I3316-J3316</f>
        <v>8</v>
      </c>
      <c r="L3316" s="3" t="str">
        <f>IF(K3316&lt;-5,"CRÍTICO",IF(K3316&lt;0,"ATENÇÃO",IF(K3316&lt;=5,"OPORTUNO","MUITO BOM")))</f>
        <v>MUITO BOM</v>
      </c>
      <c r="M3316">
        <v>8</v>
      </c>
      <c r="N3316">
        <v>95.83</v>
      </c>
      <c r="O3316">
        <v>25.773195876288661</v>
      </c>
    </row>
    <row r="3317" spans="1:15" hidden="1" x14ac:dyDescent="0.25">
      <c r="A3317" s="11">
        <v>46105</v>
      </c>
      <c r="B3317" t="s">
        <v>28</v>
      </c>
      <c r="C3317" t="s">
        <v>26</v>
      </c>
      <c r="D3317">
        <v>0</v>
      </c>
      <c r="E3317">
        <v>0</v>
      </c>
      <c r="F3317">
        <v>0</v>
      </c>
      <c r="G3317">
        <v>0</v>
      </c>
      <c r="H3317">
        <v>0</v>
      </c>
      <c r="I3317" s="3">
        <v>0</v>
      </c>
      <c r="J3317" s="3">
        <v>0</v>
      </c>
      <c r="K3317" s="3">
        <v>0</v>
      </c>
      <c r="L3317" s="3" t="str">
        <f>IF(K3317&lt;-5,"CRÍTICO",IF(K3317&lt;0,"ATENÇÃO",IF(K3317&lt;=5,"OPORTUNO","MUITO BOM")))</f>
        <v>OPORTUNO</v>
      </c>
      <c r="M3317">
        <v>0</v>
      </c>
      <c r="N3317">
        <v>100</v>
      </c>
      <c r="O3317">
        <v>15.38461538461539</v>
      </c>
    </row>
    <row r="3318" spans="1:15" hidden="1" x14ac:dyDescent="0.25">
      <c r="A3318" s="11">
        <v>46105</v>
      </c>
      <c r="B3318" t="s">
        <v>58</v>
      </c>
      <c r="C3318" t="s">
        <v>48</v>
      </c>
      <c r="D3318">
        <v>25</v>
      </c>
      <c r="E3318">
        <v>21</v>
      </c>
      <c r="F3318">
        <v>15</v>
      </c>
      <c r="G3318">
        <v>0</v>
      </c>
      <c r="H3318">
        <v>0</v>
      </c>
      <c r="I3318" s="3">
        <f>E3318+G3318+H3318</f>
        <v>21</v>
      </c>
      <c r="J3318" s="3">
        <f>ROUND(MIN(IF(C3318="Técnico III",35,IF(C3318="Técnico II",28,IF(C3318="Técnico I",23,IF(C3318="JR",20,IF(C3318="Estágio",10,0))))),IF(C3318="Técnico III",SUMIFS($D:$D,$A:$A,$A3318,$B:$B,"&lt;&gt;Patrícia Karla de Sousa Araújo",$B:$B,"&lt;&gt;Lorena Dias de Araujo",$B:$B,"&lt;&gt;Lucas Luiz Romero")*(35/1083),IF(C3318="Técnico II",SUMIFS($D:$D,$A:$A,$A3318,$B:$B,"&lt;&gt;Patrícia Karla de Sousa Araújo",$B:$B,"&lt;&gt;Lorena Dias de Araujo",$B:$B,"&lt;&gt;Lucas Luiz Romero")*(28/1083),IF(C3318="Técnico I",SUMIFS($D:$D,$A:$A,$A3318,$B:$B,"&lt;&gt;Patrícia Karla de Sousa Araújo",$B:$B,"&lt;&gt;Lorena Dias de Araujo",$B:$B,"&lt;&gt;Lucas Luiz Romero")*(23/1083),IF(C3318="JR",SUMIFS($D:$D,$A:$A,$A3318,$B:$B,"&lt;&gt;Patrícia Karla de Sousa Araújo",$B:$B,"&lt;&gt;Lorena Dias de Araujo",$B:$B,"&lt;&gt;Lucas Luiz Romero")*(20/1083),IF(C3318="Estágio",SUMIFS($D:$D,$A:$A,$A3318,$B:$B,"&lt;&gt;Patrícia Karla de Sousa Araújo",$B:$B,"&lt;&gt;Lorena Dias de Araujo",$B:$B,"&lt;&gt;Lucas Luiz Romero")*(10/1083),0)))))),0)</f>
        <v>21</v>
      </c>
      <c r="K3318" s="3">
        <f>I3318-J3318</f>
        <v>0</v>
      </c>
      <c r="L3318" s="3" t="str">
        <f>IF(K3318&lt;-5,"CRÍTICO",IF(K3318&lt;0,"ATENÇÃO",IF(K3318&lt;=5,"OPORTUNO","MUITO BOM")))</f>
        <v>OPORTUNO</v>
      </c>
      <c r="M3318">
        <v>20</v>
      </c>
      <c r="N3318">
        <v>100</v>
      </c>
      <c r="O3318">
        <v>27.514792899408281</v>
      </c>
    </row>
    <row r="3319" spans="1:15" hidden="1" x14ac:dyDescent="0.25">
      <c r="A3319" s="11">
        <v>46105</v>
      </c>
      <c r="B3319" t="s">
        <v>29</v>
      </c>
      <c r="C3319" t="s">
        <v>26</v>
      </c>
      <c r="D3319">
        <v>14</v>
      </c>
      <c r="E3319">
        <v>13</v>
      </c>
      <c r="F3319">
        <v>30.32</v>
      </c>
      <c r="G3319">
        <v>0</v>
      </c>
      <c r="H3319">
        <v>0</v>
      </c>
      <c r="I3319" s="3">
        <f>E3319+G3319+H3319</f>
        <v>13</v>
      </c>
      <c r="J3319" s="3">
        <f>ROUND(MIN(IF(C3319="Técnico III",35,IF(C3319="Técnico II",28,IF(C3319="Técnico I",23,IF(C3319="JR",20,IF(C3319="Estágio",10,0))))),IF(C3319="Técnico III",SUMIFS($D:$D,$A:$A,$A3319,$B:$B,"&lt;&gt;Patrícia Karla de Sousa Araújo",$B:$B,"&lt;&gt;Lorena Dias de Araujo",$B:$B,"&lt;&gt;Lucas Luiz Romero")*(35/1083),IF(C3319="Técnico II",SUMIFS($D:$D,$A:$A,$A3319,$B:$B,"&lt;&gt;Patrícia Karla de Sousa Araújo",$B:$B,"&lt;&gt;Lorena Dias de Araujo",$B:$B,"&lt;&gt;Lucas Luiz Romero")*(28/1083),IF(C3319="Técnico I",SUMIFS($D:$D,$A:$A,$A3319,$B:$B,"&lt;&gt;Patrícia Karla de Sousa Araújo",$B:$B,"&lt;&gt;Lorena Dias de Araujo",$B:$B,"&lt;&gt;Lucas Luiz Romero")*(23/1083),IF(C3319="JR",SUMIFS($D:$D,$A:$A,$A3319,$B:$B,"&lt;&gt;Patrícia Karla de Sousa Araújo",$B:$B,"&lt;&gt;Lorena Dias de Araujo",$B:$B,"&lt;&gt;Lucas Luiz Romero")*(20/1083),IF(C3319="Estágio",SUMIFS($D:$D,$A:$A,$A3319,$B:$B,"&lt;&gt;Patrícia Karla de Sousa Araújo",$B:$B,"&lt;&gt;Lorena Dias de Araujo",$B:$B,"&lt;&gt;Lucas Luiz Romero")*(10/1083),0)))))),0)</f>
        <v>15</v>
      </c>
      <c r="K3319" s="3">
        <f>I3319-J3319</f>
        <v>-2</v>
      </c>
      <c r="L3319" s="3" t="str">
        <f>IF(K3319&lt;-5,"CRÍTICO",IF(K3319&lt;0,"ATENÇÃO",IF(K3319&lt;=5,"OPORTUNO","MUITO BOM")))</f>
        <v>ATENÇÃO</v>
      </c>
      <c r="M3319">
        <v>12</v>
      </c>
      <c r="N3319">
        <v>100</v>
      </c>
      <c r="O3319">
        <v>24.875621890547269</v>
      </c>
    </row>
    <row r="3320" spans="1:15" hidden="1" x14ac:dyDescent="0.25">
      <c r="A3320" s="11">
        <v>46105</v>
      </c>
      <c r="B3320" t="s">
        <v>30</v>
      </c>
      <c r="C3320" t="s">
        <v>26</v>
      </c>
      <c r="D3320">
        <v>13</v>
      </c>
      <c r="E3320">
        <v>12</v>
      </c>
      <c r="F3320">
        <v>36.520000000000003</v>
      </c>
      <c r="G3320">
        <v>0</v>
      </c>
      <c r="H3320">
        <v>0</v>
      </c>
      <c r="I3320" s="3">
        <f>E3320+G3320+H3320</f>
        <v>12</v>
      </c>
      <c r="J3320" s="3">
        <f>ROUND(MIN(IF(C3320="Técnico III",35,IF(C3320="Técnico II",28,IF(C3320="Técnico I",23,IF(C3320="JR",20,IF(C3320="Estágio",10,0))))),IF(C3320="Técnico III",SUMIFS($D:$D,$A:$A,$A3320,$B:$B,"&lt;&gt;Patrícia Karla de Sousa Araújo",$B:$B,"&lt;&gt;Lorena Dias de Araujo",$B:$B,"&lt;&gt;Lucas Luiz Romero")*(35/1083),IF(C3320="Técnico II",SUMIFS($D:$D,$A:$A,$A3320,$B:$B,"&lt;&gt;Patrícia Karla de Sousa Araújo",$B:$B,"&lt;&gt;Lorena Dias de Araujo",$B:$B,"&lt;&gt;Lucas Luiz Romero")*(28/1083),IF(C3320="Técnico I",SUMIFS($D:$D,$A:$A,$A3320,$B:$B,"&lt;&gt;Patrícia Karla de Sousa Araújo",$B:$B,"&lt;&gt;Lorena Dias de Araujo",$B:$B,"&lt;&gt;Lucas Luiz Romero")*(23/1083),IF(C3320="JR",SUMIFS($D:$D,$A:$A,$A3320,$B:$B,"&lt;&gt;Patrícia Karla de Sousa Araújo",$B:$B,"&lt;&gt;Lorena Dias de Araujo",$B:$B,"&lt;&gt;Lucas Luiz Romero")*(20/1083),IF(C3320="Estágio",SUMIFS($D:$D,$A:$A,$A3320,$B:$B,"&lt;&gt;Patrícia Karla de Sousa Araújo",$B:$B,"&lt;&gt;Lorena Dias de Araujo",$B:$B,"&lt;&gt;Lucas Luiz Romero")*(10/1083),0)))))),0)</f>
        <v>15</v>
      </c>
      <c r="K3320" s="3">
        <f>I3320-J3320</f>
        <v>-3</v>
      </c>
      <c r="L3320" s="3" t="str">
        <f>IF(K3320&lt;-5,"CRÍTICO",IF(K3320&lt;0,"ATENÇÃO",IF(K3320&lt;=5,"OPORTUNO","MUITO BOM")))</f>
        <v>ATENÇÃO</v>
      </c>
      <c r="M3320">
        <v>8</v>
      </c>
      <c r="N3320">
        <v>100</v>
      </c>
      <c r="O3320">
        <v>28.108108108108109</v>
      </c>
    </row>
    <row r="3321" spans="1:15" hidden="1" x14ac:dyDescent="0.25">
      <c r="A3321" s="11">
        <v>46105</v>
      </c>
      <c r="B3321" t="s">
        <v>21</v>
      </c>
      <c r="C3321" t="s">
        <v>16</v>
      </c>
      <c r="D3321">
        <v>3</v>
      </c>
      <c r="E3321">
        <v>3</v>
      </c>
      <c r="F3321">
        <v>23.28</v>
      </c>
      <c r="G3321">
        <v>0</v>
      </c>
      <c r="H3321">
        <v>0</v>
      </c>
      <c r="I3321" s="3">
        <f>E3321+G3321+H3321</f>
        <v>3</v>
      </c>
      <c r="J3321" s="3">
        <f>ROUND(MIN(IF(C3321="Técnico III",35,IF(C3321="Técnico II",28,IF(C3321="Técnico I",23,IF(C3321="JR",20,IF(C3321="Estágio",10,0))))),IF(C3321="Técnico III",SUMIFS($D:$D,$A:$A,$A3321,$B:$B,"&lt;&gt;Patrícia Karla de Sousa Araújo",$B:$B,"&lt;&gt;Lorena Dias de Araujo",$B:$B,"&lt;&gt;Lucas Luiz Romero")*(35/1083),IF(C3321="Técnico II",SUMIFS($D:$D,$A:$A,$A3321,$B:$B,"&lt;&gt;Patrícia Karla de Sousa Araújo",$B:$B,"&lt;&gt;Lorena Dias de Araujo",$B:$B,"&lt;&gt;Lucas Luiz Romero")*(28/1083),IF(C3321="Técnico I",SUMIFS($D:$D,$A:$A,$A3321,$B:$B,"&lt;&gt;Patrícia Karla de Sousa Araújo",$B:$B,"&lt;&gt;Lorena Dias de Araujo",$B:$B,"&lt;&gt;Lucas Luiz Romero")*(23/1083),IF(C3321="JR",SUMIFS($D:$D,$A:$A,$A3321,$B:$B,"&lt;&gt;Patrícia Karla de Sousa Araújo",$B:$B,"&lt;&gt;Lorena Dias de Araujo",$B:$B,"&lt;&gt;Lucas Luiz Romero")*(20/1083),IF(C3321="Estágio",SUMIFS($D:$D,$A:$A,$A3321,$B:$B,"&lt;&gt;Patrícia Karla de Sousa Araújo",$B:$B,"&lt;&gt;Lorena Dias de Araujo",$B:$B,"&lt;&gt;Lucas Luiz Romero")*(10/1083),0)))))),0)</f>
        <v>8</v>
      </c>
      <c r="K3321" s="3">
        <f>I3321-J3321</f>
        <v>-5</v>
      </c>
      <c r="L3321" s="3" t="str">
        <f>IF(K3321&lt;-5,"CRÍTICO",IF(K3321&lt;0,"ATENÇÃO",IF(K3321&lt;=5,"OPORTUNO","MUITO BOM")))</f>
        <v>ATENÇÃO</v>
      </c>
      <c r="M3321">
        <v>2</v>
      </c>
      <c r="N3321">
        <v>100</v>
      </c>
      <c r="O3321">
        <v>35</v>
      </c>
    </row>
    <row r="3322" spans="1:15" hidden="1" x14ac:dyDescent="0.25">
      <c r="A3322" s="11">
        <v>46105</v>
      </c>
      <c r="B3322" t="s">
        <v>63</v>
      </c>
      <c r="C3322" t="s">
        <v>23</v>
      </c>
      <c r="D3322">
        <v>30</v>
      </c>
      <c r="E3322">
        <v>25</v>
      </c>
      <c r="F3322">
        <v>20.05</v>
      </c>
      <c r="G3322">
        <v>0</v>
      </c>
      <c r="H3322">
        <v>0</v>
      </c>
      <c r="I3322" s="3">
        <f>E3322+G3322+H3322</f>
        <v>25</v>
      </c>
      <c r="J3322" s="3">
        <f>ROUND(MIN(IF(C3322="Técnico III",35,IF(C3322="Técnico II",28,IF(C3322="Técnico I",23,IF(C3322="JR",20,IF(C3322="Estágio",10,0))))),IF(C3322="Técnico III",SUMIFS($D:$D,$A:$A,$A3322,$B:$B,"&lt;&gt;Patrícia Karla de Sousa Araújo",$B:$B,"&lt;&gt;Lorena Dias de Araujo",$B:$B,"&lt;&gt;Lucas Luiz Romero")*(35/1083),IF(C3322="Técnico II",SUMIFS($D:$D,$A:$A,$A3322,$B:$B,"&lt;&gt;Patrícia Karla de Sousa Araújo",$B:$B,"&lt;&gt;Lorena Dias de Araujo",$B:$B,"&lt;&gt;Lucas Luiz Romero")*(28/1083),IF(C3322="Técnico I",SUMIFS($D:$D,$A:$A,$A3322,$B:$B,"&lt;&gt;Patrícia Karla de Sousa Araújo",$B:$B,"&lt;&gt;Lorena Dias de Araujo",$B:$B,"&lt;&gt;Lucas Luiz Romero")*(23/1083),IF(C3322="JR",SUMIFS($D:$D,$A:$A,$A3322,$B:$B,"&lt;&gt;Patrícia Karla de Sousa Araújo",$B:$B,"&lt;&gt;Lorena Dias de Araujo",$B:$B,"&lt;&gt;Lucas Luiz Romero")*(20/1083),IF(C3322="Estágio",SUMIFS($D:$D,$A:$A,$A3322,$B:$B,"&lt;&gt;Patrícia Karla de Sousa Araújo",$B:$B,"&lt;&gt;Lorena Dias de Araujo",$B:$B,"&lt;&gt;Lucas Luiz Romero")*(10/1083),0)))))),0)</f>
        <v>17</v>
      </c>
      <c r="K3322" s="3">
        <f>I3322-J3322</f>
        <v>8</v>
      </c>
      <c r="L3322" s="3" t="str">
        <f>IF(K3322&lt;-5,"CRÍTICO",IF(K3322&lt;0,"ATENÇÃO",IF(K3322&lt;=5,"OPORTUNO","MUITO BOM")))</f>
        <v>MUITO BOM</v>
      </c>
      <c r="M3322">
        <v>18</v>
      </c>
      <c r="N3322">
        <v>95.35</v>
      </c>
      <c r="O3322">
        <v>28.61538461538461</v>
      </c>
    </row>
    <row r="3323" spans="1:15" hidden="1" x14ac:dyDescent="0.25">
      <c r="A3323" s="11">
        <v>46105</v>
      </c>
      <c r="B3323" t="s">
        <v>45</v>
      </c>
      <c r="C3323" t="s">
        <v>32</v>
      </c>
      <c r="D3323">
        <v>37</v>
      </c>
      <c r="E3323">
        <v>34</v>
      </c>
      <c r="F3323">
        <v>15.27</v>
      </c>
      <c r="G3323">
        <v>0</v>
      </c>
      <c r="H3323">
        <v>0</v>
      </c>
      <c r="I3323" s="3">
        <f>E3323+G3323+H3323</f>
        <v>34</v>
      </c>
      <c r="J3323" s="3">
        <f>ROUND(MIN(IF(C3323="Técnico III",35,IF(C3323="Técnico II",28,IF(C3323="Técnico I",23,IF(C3323="JR",20,IF(C3323="Estágio",10,0))))),IF(C3323="Técnico III",SUMIFS($D:$D,$A:$A,$A3323,$B:$B,"&lt;&gt;Patrícia Karla de Sousa Araújo",$B:$B,"&lt;&gt;Lorena Dias de Araujo",$B:$B,"&lt;&gt;Lucas Luiz Romero")*(35/1083),IF(C3323="Técnico II",SUMIFS($D:$D,$A:$A,$A3323,$B:$B,"&lt;&gt;Patrícia Karla de Sousa Araújo",$B:$B,"&lt;&gt;Lorena Dias de Araujo",$B:$B,"&lt;&gt;Lucas Luiz Romero")*(28/1083),IF(C3323="Técnico I",SUMIFS($D:$D,$A:$A,$A3323,$B:$B,"&lt;&gt;Patrícia Karla de Sousa Araújo",$B:$B,"&lt;&gt;Lorena Dias de Araujo",$B:$B,"&lt;&gt;Lucas Luiz Romero")*(23/1083),IF(C3323="JR",SUMIFS($D:$D,$A:$A,$A3323,$B:$B,"&lt;&gt;Patrícia Karla de Sousa Araújo",$B:$B,"&lt;&gt;Lorena Dias de Araujo",$B:$B,"&lt;&gt;Lucas Luiz Romero")*(20/1083),IF(C3323="Estágio",SUMIFS($D:$D,$A:$A,$A3323,$B:$B,"&lt;&gt;Patrícia Karla de Sousa Araújo",$B:$B,"&lt;&gt;Lorena Dias de Araujo",$B:$B,"&lt;&gt;Lucas Luiz Romero")*(10/1083),0)))))),0)</f>
        <v>27</v>
      </c>
      <c r="K3323" s="3">
        <f>I3323-J3323</f>
        <v>7</v>
      </c>
      <c r="L3323" s="3" t="str">
        <f>IF(K3323&lt;-5,"CRÍTICO",IF(K3323&lt;0,"ATENÇÃO",IF(K3323&lt;=5,"OPORTUNO","MUITO BOM")))</f>
        <v>MUITO BOM</v>
      </c>
      <c r="M3323">
        <v>25</v>
      </c>
      <c r="N3323">
        <v>98.26</v>
      </c>
      <c r="O3323">
        <v>27.54491017964072</v>
      </c>
    </row>
    <row r="3324" spans="1:15" hidden="1" x14ac:dyDescent="0.25">
      <c r="A3324" s="11">
        <v>46105</v>
      </c>
      <c r="B3324" t="s">
        <v>64</v>
      </c>
      <c r="C3324" t="s">
        <v>23</v>
      </c>
      <c r="D3324">
        <v>12</v>
      </c>
      <c r="E3324">
        <v>11</v>
      </c>
      <c r="F3324">
        <v>37.35</v>
      </c>
      <c r="G3324">
        <v>0</v>
      </c>
      <c r="H3324">
        <v>0</v>
      </c>
      <c r="I3324" s="3">
        <f>E3324+G3324+H3324</f>
        <v>11</v>
      </c>
      <c r="J3324" s="3">
        <f>ROUND(MIN(IF(C3324="Técnico III",35,IF(C3324="Técnico II",28,IF(C3324="Técnico I",23,IF(C3324="JR",20,IF(C3324="Estágio",10,0))))),IF(C3324="Técnico III",SUMIFS($D:$D,$A:$A,$A3324,$B:$B,"&lt;&gt;Patrícia Karla de Sousa Araújo",$B:$B,"&lt;&gt;Lorena Dias de Araujo",$B:$B,"&lt;&gt;Lucas Luiz Romero")*(35/1083),IF(C3324="Técnico II",SUMIFS($D:$D,$A:$A,$A3324,$B:$B,"&lt;&gt;Patrícia Karla de Sousa Araújo",$B:$B,"&lt;&gt;Lorena Dias de Araujo",$B:$B,"&lt;&gt;Lucas Luiz Romero")*(28/1083),IF(C3324="Técnico I",SUMIFS($D:$D,$A:$A,$A3324,$B:$B,"&lt;&gt;Patrícia Karla de Sousa Araújo",$B:$B,"&lt;&gt;Lorena Dias de Araujo",$B:$B,"&lt;&gt;Lucas Luiz Romero")*(23/1083),IF(C3324="JR",SUMIFS($D:$D,$A:$A,$A3324,$B:$B,"&lt;&gt;Patrícia Karla de Sousa Araújo",$B:$B,"&lt;&gt;Lorena Dias de Araujo",$B:$B,"&lt;&gt;Lucas Luiz Romero")*(20/1083),IF(C3324="Estágio",SUMIFS($D:$D,$A:$A,$A3324,$B:$B,"&lt;&gt;Patrícia Karla de Sousa Araújo",$B:$B,"&lt;&gt;Lorena Dias de Araujo",$B:$B,"&lt;&gt;Lucas Luiz Romero")*(10/1083),0)))))),0)</f>
        <v>17</v>
      </c>
      <c r="K3324" s="3">
        <f>I3324-J3324</f>
        <v>-6</v>
      </c>
      <c r="L3324" s="3" t="str">
        <f>IF(K3324&lt;-5,"CRÍTICO",IF(K3324&lt;0,"ATENÇÃO",IF(K3324&lt;=5,"OPORTUNO","MUITO BOM")))</f>
        <v>CRÍTICO</v>
      </c>
      <c r="M3324">
        <v>12</v>
      </c>
      <c r="N3324">
        <v>98.55</v>
      </c>
      <c r="O3324">
        <v>25.337837837837839</v>
      </c>
    </row>
    <row r="3325" spans="1:15" hidden="1" x14ac:dyDescent="0.25">
      <c r="A3325" s="11">
        <v>46105</v>
      </c>
      <c r="B3325" t="s">
        <v>46</v>
      </c>
      <c r="C3325" t="s">
        <v>32</v>
      </c>
      <c r="D3325">
        <v>28</v>
      </c>
      <c r="E3325">
        <v>27</v>
      </c>
      <c r="F3325">
        <v>15.34</v>
      </c>
      <c r="G3325">
        <v>0</v>
      </c>
      <c r="H3325">
        <v>0</v>
      </c>
      <c r="I3325" s="3">
        <f>E3325+G3325+H3325</f>
        <v>27</v>
      </c>
      <c r="J3325" s="3">
        <f>ROUND(MIN(IF(C3325="Técnico III",35,IF(C3325="Técnico II",28,IF(C3325="Técnico I",23,IF(C3325="JR",20,IF(C3325="Estágio",10,0))))),IF(C3325="Técnico III",SUMIFS($D:$D,$A:$A,$A3325,$B:$B,"&lt;&gt;Patrícia Karla de Sousa Araújo",$B:$B,"&lt;&gt;Lorena Dias de Araujo",$B:$B,"&lt;&gt;Lucas Luiz Romero")*(35/1083),IF(C3325="Técnico II",SUMIFS($D:$D,$A:$A,$A3325,$B:$B,"&lt;&gt;Patrícia Karla de Sousa Araújo",$B:$B,"&lt;&gt;Lorena Dias de Araujo",$B:$B,"&lt;&gt;Lucas Luiz Romero")*(28/1083),IF(C3325="Técnico I",SUMIFS($D:$D,$A:$A,$A3325,$B:$B,"&lt;&gt;Patrícia Karla de Sousa Araújo",$B:$B,"&lt;&gt;Lorena Dias de Araujo",$B:$B,"&lt;&gt;Lucas Luiz Romero")*(23/1083),IF(C3325="JR",SUMIFS($D:$D,$A:$A,$A3325,$B:$B,"&lt;&gt;Patrícia Karla de Sousa Araújo",$B:$B,"&lt;&gt;Lorena Dias de Araujo",$B:$B,"&lt;&gt;Lucas Luiz Romero")*(20/1083),IF(C3325="Estágio",SUMIFS($D:$D,$A:$A,$A3325,$B:$B,"&lt;&gt;Patrícia Karla de Sousa Araújo",$B:$B,"&lt;&gt;Lorena Dias de Araujo",$B:$B,"&lt;&gt;Lucas Luiz Romero")*(10/1083),0)))))),0)</f>
        <v>27</v>
      </c>
      <c r="K3325" s="3">
        <f>I3325-J3325</f>
        <v>0</v>
      </c>
      <c r="L3325" s="3" t="str">
        <f>IF(K3325&lt;-5,"CRÍTICO",IF(K3325&lt;0,"ATENÇÃO",IF(K3325&lt;=5,"OPORTUNO","MUITO BOM")))</f>
        <v>OPORTUNO</v>
      </c>
      <c r="M3325">
        <v>26</v>
      </c>
      <c r="N3325">
        <v>98.39</v>
      </c>
      <c r="O3325">
        <v>25.563909774436091</v>
      </c>
    </row>
    <row r="3326" spans="1:15" hidden="1" x14ac:dyDescent="0.25">
      <c r="A3326" s="11">
        <v>46106</v>
      </c>
      <c r="B3326" t="s">
        <v>47</v>
      </c>
      <c r="C3326" t="s">
        <v>48</v>
      </c>
      <c r="D3326">
        <v>26</v>
      </c>
      <c r="E3326">
        <v>18</v>
      </c>
      <c r="F3326">
        <v>10.199999999999999</v>
      </c>
      <c r="G3326">
        <v>0</v>
      </c>
      <c r="H3326">
        <v>0</v>
      </c>
      <c r="I3326" s="3">
        <f>E3326+G3326+H3326</f>
        <v>18</v>
      </c>
      <c r="J3326" s="3">
        <f>ROUND(MIN(IF(C3326="Técnico III",35,IF(C3326="Técnico II",28,IF(C3326="Técnico I",23,IF(C3326="JR",20,IF(C3326="Estágio",10,0))))),IF(C3326="Técnico III",SUMIFS($D:$D,$A:$A,$A3326,$B:$B,"&lt;&gt;Patrícia Karla de Sousa Araújo",$B:$B,"&lt;&gt;Lorena Dias de Araujo",$B:$B,"&lt;&gt;Lucas Luiz Romero")*(35/1083),IF(C3326="Técnico II",SUMIFS($D:$D,$A:$A,$A3326,$B:$B,"&lt;&gt;Patrícia Karla de Sousa Araújo",$B:$B,"&lt;&gt;Lorena Dias de Araujo",$B:$B,"&lt;&gt;Lucas Luiz Romero")*(28/1083),IF(C3326="Técnico I",SUMIFS($D:$D,$A:$A,$A3326,$B:$B,"&lt;&gt;Patrícia Karla de Sousa Araújo",$B:$B,"&lt;&gt;Lorena Dias de Araujo",$B:$B,"&lt;&gt;Lucas Luiz Romero")*(23/1083),IF(C3326="JR",SUMIFS($D:$D,$A:$A,$A3326,$B:$B,"&lt;&gt;Patrícia Karla de Sousa Araújo",$B:$B,"&lt;&gt;Lorena Dias de Araujo",$B:$B,"&lt;&gt;Lucas Luiz Romero")*(20/1083),IF(C3326="Estágio",SUMIFS($D:$D,$A:$A,$A3326,$B:$B,"&lt;&gt;Patrícia Karla de Sousa Araújo",$B:$B,"&lt;&gt;Lorena Dias de Araujo",$B:$B,"&lt;&gt;Lucas Luiz Romero")*(10/1083),0)))))),0)</f>
        <v>19</v>
      </c>
      <c r="K3326" s="3">
        <f>I3326-J3326</f>
        <v>-1</v>
      </c>
      <c r="L3326" s="3" t="str">
        <f>IF(K3326&lt;-5,"CRÍTICO",IF(K3326&lt;0,"ATENÇÃO",IF(K3326&lt;=5,"OPORTUNO","MUITO BOM")))</f>
        <v>ATENÇÃO</v>
      </c>
      <c r="M3326">
        <v>13</v>
      </c>
      <c r="N3326">
        <v>94.29</v>
      </c>
      <c r="O3326">
        <v>25.647668393782389</v>
      </c>
    </row>
    <row r="3327" spans="1:15" hidden="1" x14ac:dyDescent="0.25">
      <c r="A3327" s="11">
        <v>46106</v>
      </c>
      <c r="B3327" t="s">
        <v>31</v>
      </c>
      <c r="C3327" t="s">
        <v>32</v>
      </c>
      <c r="D3327">
        <v>0</v>
      </c>
      <c r="E3327">
        <v>0</v>
      </c>
      <c r="F3327">
        <v>0</v>
      </c>
      <c r="G3327">
        <v>0</v>
      </c>
      <c r="H3327">
        <v>0</v>
      </c>
      <c r="I3327" s="3">
        <v>0</v>
      </c>
      <c r="J3327" s="3">
        <v>0</v>
      </c>
      <c r="K3327" s="3">
        <v>0</v>
      </c>
      <c r="L3327" s="3" t="str">
        <f>IF(K3327&lt;-5,"CRÍTICO",IF(K3327&lt;0,"ATENÇÃO",IF(K3327&lt;=5,"OPORTUNO","MUITO BOM")))</f>
        <v>OPORTUNO</v>
      </c>
      <c r="M3327">
        <v>18</v>
      </c>
      <c r="N3327">
        <v>98.26</v>
      </c>
      <c r="O3327">
        <v>26.666666666666671</v>
      </c>
    </row>
    <row r="3328" spans="1:15" hidden="1" x14ac:dyDescent="0.25">
      <c r="A3328" s="11">
        <v>46106</v>
      </c>
      <c r="B3328" t="s">
        <v>59</v>
      </c>
      <c r="C3328" t="s">
        <v>23</v>
      </c>
      <c r="D3328">
        <v>18</v>
      </c>
      <c r="E3328">
        <v>18</v>
      </c>
      <c r="F3328">
        <v>25.31</v>
      </c>
      <c r="G3328">
        <v>0</v>
      </c>
      <c r="H3328">
        <v>0</v>
      </c>
      <c r="I3328" s="3">
        <f>E3328+G3328+H3328</f>
        <v>18</v>
      </c>
      <c r="J3328" s="3">
        <f>ROUND(MIN(IF(C3328="Técnico III",35,IF(C3328="Técnico II",28,IF(C3328="Técnico I",23,IF(C3328="JR",20,IF(C3328="Estágio",10,0))))),IF(C3328="Técnico III",SUMIFS($D:$D,$A:$A,$A3328,$B:$B,"&lt;&gt;Patrícia Karla de Sousa Araújo",$B:$B,"&lt;&gt;Lorena Dias de Araujo",$B:$B,"&lt;&gt;Lucas Luiz Romero")*(35/1083),IF(C3328="Técnico II",SUMIFS($D:$D,$A:$A,$A3328,$B:$B,"&lt;&gt;Patrícia Karla de Sousa Araújo",$B:$B,"&lt;&gt;Lorena Dias de Araujo",$B:$B,"&lt;&gt;Lucas Luiz Romero")*(28/1083),IF(C3328="Técnico I",SUMIFS($D:$D,$A:$A,$A3328,$B:$B,"&lt;&gt;Patrícia Karla de Sousa Araújo",$B:$B,"&lt;&gt;Lorena Dias de Araujo",$B:$B,"&lt;&gt;Lucas Luiz Romero")*(23/1083),IF(C3328="JR",SUMIFS($D:$D,$A:$A,$A3328,$B:$B,"&lt;&gt;Patrícia Karla de Sousa Araújo",$B:$B,"&lt;&gt;Lorena Dias de Araujo",$B:$B,"&lt;&gt;Lucas Luiz Romero")*(20/1083),IF(C3328="Estágio",SUMIFS($D:$D,$A:$A,$A3328,$B:$B,"&lt;&gt;Patrícia Karla de Sousa Araújo",$B:$B,"&lt;&gt;Lorena Dias de Araujo",$B:$B,"&lt;&gt;Lucas Luiz Romero")*(10/1083),0)))))),0)</f>
        <v>16</v>
      </c>
      <c r="K3328" s="3">
        <f>I3328-J3328</f>
        <v>2</v>
      </c>
      <c r="L3328" s="3" t="str">
        <f>IF(K3328&lt;-5,"CRÍTICO",IF(K3328&lt;0,"ATENÇÃO",IF(K3328&lt;=5,"OPORTUNO","MUITO BOM")))</f>
        <v>OPORTUNO</v>
      </c>
      <c r="M3328">
        <v>16</v>
      </c>
      <c r="N3328">
        <v>98.2</v>
      </c>
      <c r="O3328">
        <v>23.37962962962963</v>
      </c>
    </row>
    <row r="3329" spans="1:15" hidden="1" x14ac:dyDescent="0.25">
      <c r="A3329" s="11">
        <v>46106</v>
      </c>
      <c r="B3329" t="s">
        <v>33</v>
      </c>
      <c r="C3329" t="s">
        <v>32</v>
      </c>
      <c r="D3329">
        <v>23</v>
      </c>
      <c r="E3329">
        <v>22</v>
      </c>
      <c r="F3329">
        <v>22.37</v>
      </c>
      <c r="G3329">
        <v>0</v>
      </c>
      <c r="H3329">
        <v>0</v>
      </c>
      <c r="I3329" s="3">
        <f>E3329+G3329+H3329</f>
        <v>22</v>
      </c>
      <c r="J3329" s="3">
        <f>ROUND(MIN(IF(C3329="Técnico III",35,IF(C3329="Técnico II",28,IF(C3329="Técnico I",23,IF(C3329="JR",20,IF(C3329="Estágio",10,0))))),IF(C3329="Técnico III",SUMIFS($D:$D,$A:$A,$A3329,$B:$B,"&lt;&gt;Patrícia Karla de Sousa Araújo",$B:$B,"&lt;&gt;Lorena Dias de Araujo",$B:$B,"&lt;&gt;Lucas Luiz Romero")*(35/1083),IF(C3329="Técnico II",SUMIFS($D:$D,$A:$A,$A3329,$B:$B,"&lt;&gt;Patrícia Karla de Sousa Araújo",$B:$B,"&lt;&gt;Lorena Dias de Araujo",$B:$B,"&lt;&gt;Lucas Luiz Romero")*(28/1083),IF(C3329="Técnico I",SUMIFS($D:$D,$A:$A,$A3329,$B:$B,"&lt;&gt;Patrícia Karla de Sousa Araújo",$B:$B,"&lt;&gt;Lorena Dias de Araujo",$B:$B,"&lt;&gt;Lucas Luiz Romero")*(23/1083),IF(C3329="JR",SUMIFS($D:$D,$A:$A,$A3329,$B:$B,"&lt;&gt;Patrícia Karla de Sousa Araújo",$B:$B,"&lt;&gt;Lorena Dias de Araujo",$B:$B,"&lt;&gt;Lucas Luiz Romero")*(20/1083),IF(C3329="Estágio",SUMIFS($D:$D,$A:$A,$A3329,$B:$B,"&lt;&gt;Patrícia Karla de Sousa Araújo",$B:$B,"&lt;&gt;Lorena Dias de Araujo",$B:$B,"&lt;&gt;Lucas Luiz Romero")*(10/1083),0)))))),0)</f>
        <v>24</v>
      </c>
      <c r="K3329" s="3">
        <f>I3329-J3329</f>
        <v>-2</v>
      </c>
      <c r="L3329" s="3" t="str">
        <f>IF(K3329&lt;-5,"CRÍTICO",IF(K3329&lt;0,"ATENÇÃO",IF(K3329&lt;=5,"OPORTUNO","MUITO BOM")))</f>
        <v>ATENÇÃO</v>
      </c>
      <c r="M3329">
        <v>23</v>
      </c>
      <c r="N3329">
        <v>97.3</v>
      </c>
      <c r="O3329">
        <v>23.84769539078156</v>
      </c>
    </row>
    <row r="3330" spans="1:15" hidden="1" x14ac:dyDescent="0.25">
      <c r="A3330" s="11">
        <v>46106</v>
      </c>
      <c r="B3330" t="s">
        <v>15</v>
      </c>
      <c r="C3330" t="s">
        <v>16</v>
      </c>
      <c r="D3330">
        <v>10</v>
      </c>
      <c r="E3330">
        <v>9</v>
      </c>
      <c r="F3330">
        <v>33.36</v>
      </c>
      <c r="G3330">
        <v>0</v>
      </c>
      <c r="H3330">
        <v>0</v>
      </c>
      <c r="I3330" s="3">
        <f>E3330+G3330+H3330</f>
        <v>9</v>
      </c>
      <c r="J3330" s="3">
        <f>ROUND(MIN(IF(C3330="Técnico III",35,IF(C3330="Técnico II",28,IF(C3330="Técnico I",23,IF(C3330="JR",20,IF(C3330="Estágio",10,0))))),IF(C3330="Técnico III",SUMIFS($D:$D,$A:$A,$A3330,$B:$B,"&lt;&gt;Patrícia Karla de Sousa Araújo",$B:$B,"&lt;&gt;Lorena Dias de Araujo",$B:$B,"&lt;&gt;Lucas Luiz Romero")*(35/1083),IF(C3330="Técnico II",SUMIFS($D:$D,$A:$A,$A3330,$B:$B,"&lt;&gt;Patrícia Karla de Sousa Araújo",$B:$B,"&lt;&gt;Lorena Dias de Araujo",$B:$B,"&lt;&gt;Lucas Luiz Romero")*(28/1083),IF(C3330="Técnico I",SUMIFS($D:$D,$A:$A,$A3330,$B:$B,"&lt;&gt;Patrícia Karla de Sousa Araújo",$B:$B,"&lt;&gt;Lorena Dias de Araujo",$B:$B,"&lt;&gt;Lucas Luiz Romero")*(23/1083),IF(C3330="JR",SUMIFS($D:$D,$A:$A,$A3330,$B:$B,"&lt;&gt;Patrícia Karla de Sousa Araújo",$B:$B,"&lt;&gt;Lorena Dias de Araujo",$B:$B,"&lt;&gt;Lucas Luiz Romero")*(20/1083),IF(C3330="Estágio",SUMIFS($D:$D,$A:$A,$A3330,$B:$B,"&lt;&gt;Patrícia Karla de Sousa Araújo",$B:$B,"&lt;&gt;Lorena Dias de Araujo",$B:$B,"&lt;&gt;Lucas Luiz Romero")*(10/1083),0)))))),0)</f>
        <v>7</v>
      </c>
      <c r="K3330" s="3">
        <f>I3330-J3330</f>
        <v>2</v>
      </c>
      <c r="L3330" s="3" t="str">
        <f>IF(K3330&lt;-5,"CRÍTICO",IF(K3330&lt;0,"ATENÇÃO",IF(K3330&lt;=5,"OPORTUNO","MUITO BOM")))</f>
        <v>OPORTUNO</v>
      </c>
      <c r="M3330">
        <v>8</v>
      </c>
      <c r="N3330">
        <v>100</v>
      </c>
      <c r="O3330">
        <v>25.268817204301079</v>
      </c>
    </row>
    <row r="3331" spans="1:15" hidden="1" x14ac:dyDescent="0.25">
      <c r="A3331" s="11">
        <v>46106</v>
      </c>
      <c r="B3331" t="s">
        <v>49</v>
      </c>
      <c r="C3331" t="s">
        <v>48</v>
      </c>
      <c r="D3331">
        <v>32</v>
      </c>
      <c r="E3331">
        <v>29</v>
      </c>
      <c r="F3331">
        <v>10.56</v>
      </c>
      <c r="G3331">
        <v>0</v>
      </c>
      <c r="H3331">
        <v>0</v>
      </c>
      <c r="I3331" s="3">
        <f>E3331+G3331+H3331</f>
        <v>29</v>
      </c>
      <c r="J3331" s="3">
        <f>ROUND(MIN(IF(C3331="Técnico III",35,IF(C3331="Técnico II",28,IF(C3331="Técnico I",23,IF(C3331="JR",20,IF(C3331="Estágio",10,0))))),IF(C3331="Técnico III",SUMIFS($D:$D,$A:$A,$A3331,$B:$B,"&lt;&gt;Patrícia Karla de Sousa Araújo",$B:$B,"&lt;&gt;Lorena Dias de Araujo",$B:$B,"&lt;&gt;Lucas Luiz Romero")*(35/1083),IF(C3331="Técnico II",SUMIFS($D:$D,$A:$A,$A3331,$B:$B,"&lt;&gt;Patrícia Karla de Sousa Araújo",$B:$B,"&lt;&gt;Lorena Dias de Araujo",$B:$B,"&lt;&gt;Lucas Luiz Romero")*(28/1083),IF(C3331="Técnico I",SUMIFS($D:$D,$A:$A,$A3331,$B:$B,"&lt;&gt;Patrícia Karla de Sousa Araújo",$B:$B,"&lt;&gt;Lorena Dias de Araujo",$B:$B,"&lt;&gt;Lucas Luiz Romero")*(23/1083),IF(C3331="JR",SUMIFS($D:$D,$A:$A,$A3331,$B:$B,"&lt;&gt;Patrícia Karla de Sousa Araújo",$B:$B,"&lt;&gt;Lorena Dias de Araujo",$B:$B,"&lt;&gt;Lucas Luiz Romero")*(20/1083),IF(C3331="Estágio",SUMIFS($D:$D,$A:$A,$A3331,$B:$B,"&lt;&gt;Patrícia Karla de Sousa Araújo",$B:$B,"&lt;&gt;Lorena Dias de Araujo",$B:$B,"&lt;&gt;Lucas Luiz Romero")*(10/1083),0)))))),0)</f>
        <v>19</v>
      </c>
      <c r="K3331" s="3">
        <f>I3331-J3331</f>
        <v>10</v>
      </c>
      <c r="L3331" s="3" t="str">
        <f>IF(K3331&lt;-5,"CRÍTICO",IF(K3331&lt;0,"ATENÇÃO",IF(K3331&lt;=5,"OPORTUNO","MUITO BOM")))</f>
        <v>MUITO BOM</v>
      </c>
      <c r="M3331">
        <v>32</v>
      </c>
      <c r="N3331">
        <v>99.32</v>
      </c>
      <c r="O3331">
        <v>22.822822822822818</v>
      </c>
    </row>
    <row r="3332" spans="1:15" hidden="1" x14ac:dyDescent="0.25">
      <c r="A3332" s="11">
        <v>46106</v>
      </c>
      <c r="B3332" t="s">
        <v>50</v>
      </c>
      <c r="C3332" t="s">
        <v>48</v>
      </c>
      <c r="D3332">
        <v>18</v>
      </c>
      <c r="E3332">
        <v>18</v>
      </c>
      <c r="F3332">
        <v>27.36</v>
      </c>
      <c r="G3332">
        <v>0</v>
      </c>
      <c r="H3332">
        <v>0</v>
      </c>
      <c r="I3332" s="3">
        <f>E3332+G3332+H3332</f>
        <v>18</v>
      </c>
      <c r="J3332" s="3">
        <f>ROUND(MIN(IF(C3332="Técnico III",35,IF(C3332="Técnico II",28,IF(C3332="Técnico I",23,IF(C3332="JR",20,IF(C3332="Estágio",10,0))))),IF(C3332="Técnico III",SUMIFS($D:$D,$A:$A,$A3332,$B:$B,"&lt;&gt;Patrícia Karla de Sousa Araújo",$B:$B,"&lt;&gt;Lorena Dias de Araujo",$B:$B,"&lt;&gt;Lucas Luiz Romero")*(35/1083),IF(C3332="Técnico II",SUMIFS($D:$D,$A:$A,$A3332,$B:$B,"&lt;&gt;Patrícia Karla de Sousa Araújo",$B:$B,"&lt;&gt;Lorena Dias de Araujo",$B:$B,"&lt;&gt;Lucas Luiz Romero")*(28/1083),IF(C3332="Técnico I",SUMIFS($D:$D,$A:$A,$A3332,$B:$B,"&lt;&gt;Patrícia Karla de Sousa Araújo",$B:$B,"&lt;&gt;Lorena Dias de Araujo",$B:$B,"&lt;&gt;Lucas Luiz Romero")*(23/1083),IF(C3332="JR",SUMIFS($D:$D,$A:$A,$A3332,$B:$B,"&lt;&gt;Patrícia Karla de Sousa Araújo",$B:$B,"&lt;&gt;Lorena Dias de Araujo",$B:$B,"&lt;&gt;Lucas Luiz Romero")*(20/1083),IF(C3332="Estágio",SUMIFS($D:$D,$A:$A,$A3332,$B:$B,"&lt;&gt;Patrícia Karla de Sousa Araújo",$B:$B,"&lt;&gt;Lorena Dias de Araujo",$B:$B,"&lt;&gt;Lucas Luiz Romero")*(10/1083),0)))))),0)</f>
        <v>19</v>
      </c>
      <c r="K3332" s="3">
        <f>I3332-J3332</f>
        <v>-1</v>
      </c>
      <c r="L3332" s="3" t="str">
        <f>IF(K3332&lt;-5,"CRÍTICO",IF(K3332&lt;0,"ATENÇÃO",IF(K3332&lt;=5,"OPORTUNO","MUITO BOM")))</f>
        <v>ATENÇÃO</v>
      </c>
      <c r="M3332">
        <v>20</v>
      </c>
      <c r="N3332">
        <v>100</v>
      </c>
      <c r="O3332">
        <v>27.966101694915249</v>
      </c>
    </row>
    <row r="3333" spans="1:15" hidden="1" x14ac:dyDescent="0.25">
      <c r="A3333" s="11">
        <v>46106</v>
      </c>
      <c r="B3333" t="s">
        <v>17</v>
      </c>
      <c r="C3333" t="s">
        <v>16</v>
      </c>
      <c r="D3333">
        <v>4</v>
      </c>
      <c r="E3333">
        <v>4</v>
      </c>
      <c r="F3333">
        <v>24.17</v>
      </c>
      <c r="G3333">
        <v>0</v>
      </c>
      <c r="H3333">
        <v>0</v>
      </c>
      <c r="I3333" s="3">
        <f>E3333+G3333+H3333</f>
        <v>4</v>
      </c>
      <c r="J3333" s="3">
        <f>ROUND(MIN(IF(C3333="Técnico III",35,IF(C3333="Técnico II",28,IF(C3333="Técnico I",23,IF(C3333="JR",20,IF(C3333="Estágio",10,0))))),IF(C3333="Técnico III",SUMIFS($D:$D,$A:$A,$A3333,$B:$B,"&lt;&gt;Patrícia Karla de Sousa Araújo",$B:$B,"&lt;&gt;Lorena Dias de Araujo",$B:$B,"&lt;&gt;Lucas Luiz Romero")*(35/1083),IF(C3333="Técnico II",SUMIFS($D:$D,$A:$A,$A3333,$B:$B,"&lt;&gt;Patrícia Karla de Sousa Araújo",$B:$B,"&lt;&gt;Lorena Dias de Araujo",$B:$B,"&lt;&gt;Lucas Luiz Romero")*(28/1083),IF(C3333="Técnico I",SUMIFS($D:$D,$A:$A,$A3333,$B:$B,"&lt;&gt;Patrícia Karla de Sousa Araújo",$B:$B,"&lt;&gt;Lorena Dias de Araujo",$B:$B,"&lt;&gt;Lucas Luiz Romero")*(23/1083),IF(C3333="JR",SUMIFS($D:$D,$A:$A,$A3333,$B:$B,"&lt;&gt;Patrícia Karla de Sousa Araújo",$B:$B,"&lt;&gt;Lorena Dias de Araujo",$B:$B,"&lt;&gt;Lucas Luiz Romero")*(20/1083),IF(C3333="Estágio",SUMIFS($D:$D,$A:$A,$A3333,$B:$B,"&lt;&gt;Patrícia Karla de Sousa Araújo",$B:$B,"&lt;&gt;Lorena Dias de Araujo",$B:$B,"&lt;&gt;Lucas Luiz Romero")*(10/1083),0)))))),0)</f>
        <v>7</v>
      </c>
      <c r="K3333" s="3">
        <f>I3333-J3333</f>
        <v>-3</v>
      </c>
      <c r="L3333" s="3" t="str">
        <f>IF(K3333&lt;-5,"CRÍTICO",IF(K3333&lt;0,"ATENÇÃO",IF(K3333&lt;=5,"OPORTUNO","MUITO BOM")))</f>
        <v>ATENÇÃO</v>
      </c>
      <c r="M3333">
        <v>2</v>
      </c>
      <c r="N3333">
        <v>100</v>
      </c>
      <c r="O3333">
        <v>30.434782608695659</v>
      </c>
    </row>
    <row r="3334" spans="1:15" hidden="1" x14ac:dyDescent="0.25">
      <c r="A3334" s="11">
        <v>46106</v>
      </c>
      <c r="B3334" t="s">
        <v>60</v>
      </c>
      <c r="C3334" t="s">
        <v>23</v>
      </c>
      <c r="D3334">
        <v>20</v>
      </c>
      <c r="E3334">
        <v>20</v>
      </c>
      <c r="F3334">
        <v>21.42</v>
      </c>
      <c r="G3334">
        <v>0</v>
      </c>
      <c r="H3334">
        <v>0</v>
      </c>
      <c r="I3334" s="3">
        <f>E3334+G3334+H3334</f>
        <v>20</v>
      </c>
      <c r="J3334" s="3">
        <f>ROUND(MIN(IF(C3334="Técnico III",35,IF(C3334="Técnico II",28,IF(C3334="Técnico I",23,IF(C3334="JR",20,IF(C3334="Estágio",10,0))))),IF(C3334="Técnico III",SUMIFS($D:$D,$A:$A,$A3334,$B:$B,"&lt;&gt;Patrícia Karla de Sousa Araújo",$B:$B,"&lt;&gt;Lorena Dias de Araujo",$B:$B,"&lt;&gt;Lucas Luiz Romero")*(35/1083),IF(C3334="Técnico II",SUMIFS($D:$D,$A:$A,$A3334,$B:$B,"&lt;&gt;Patrícia Karla de Sousa Araújo",$B:$B,"&lt;&gt;Lorena Dias de Araujo",$B:$B,"&lt;&gt;Lucas Luiz Romero")*(28/1083),IF(C3334="Técnico I",SUMIFS($D:$D,$A:$A,$A3334,$B:$B,"&lt;&gt;Patrícia Karla de Sousa Araújo",$B:$B,"&lt;&gt;Lorena Dias de Araujo",$B:$B,"&lt;&gt;Lucas Luiz Romero")*(23/1083),IF(C3334="JR",SUMIFS($D:$D,$A:$A,$A3334,$B:$B,"&lt;&gt;Patrícia Karla de Sousa Araújo",$B:$B,"&lt;&gt;Lorena Dias de Araujo",$B:$B,"&lt;&gt;Lucas Luiz Romero")*(20/1083),IF(C3334="Estágio",SUMIFS($D:$D,$A:$A,$A3334,$B:$B,"&lt;&gt;Patrícia Karla de Sousa Araújo",$B:$B,"&lt;&gt;Lorena Dias de Araujo",$B:$B,"&lt;&gt;Lucas Luiz Romero")*(10/1083),0)))))),0)</f>
        <v>16</v>
      </c>
      <c r="K3334" s="3">
        <f>I3334-J3334</f>
        <v>4</v>
      </c>
      <c r="L3334" s="3" t="str">
        <f>IF(K3334&lt;-5,"CRÍTICO",IF(K3334&lt;0,"ATENÇÃO",IF(K3334&lt;=5,"OPORTUNO","MUITO BOM")))</f>
        <v>OPORTUNO</v>
      </c>
      <c r="M3334">
        <v>15</v>
      </c>
      <c r="N3334">
        <v>96.51</v>
      </c>
      <c r="O3334">
        <v>22.802850356294542</v>
      </c>
    </row>
    <row r="3335" spans="1:15" hidden="1" x14ac:dyDescent="0.25">
      <c r="A3335" s="11">
        <v>46106</v>
      </c>
      <c r="B3335" t="s">
        <v>34</v>
      </c>
      <c r="C3335" t="s">
        <v>32</v>
      </c>
      <c r="D3335">
        <v>30</v>
      </c>
      <c r="E3335">
        <v>27</v>
      </c>
      <c r="F3335">
        <v>12.2</v>
      </c>
      <c r="G3335">
        <v>0</v>
      </c>
      <c r="H3335">
        <v>0</v>
      </c>
      <c r="I3335" s="3">
        <f>E3335+G3335+H3335</f>
        <v>27</v>
      </c>
      <c r="J3335" s="3">
        <f>ROUND(MIN(IF(C3335="Técnico III",35,IF(C3335="Técnico II",28,IF(C3335="Técnico I",23,IF(C3335="JR",20,IF(C3335="Estágio",10,0))))),IF(C3335="Técnico III",SUMIFS($D:$D,$A:$A,$A3335,$B:$B,"&lt;&gt;Patrícia Karla de Sousa Araújo",$B:$B,"&lt;&gt;Lorena Dias de Araujo",$B:$B,"&lt;&gt;Lucas Luiz Romero")*(35/1083),IF(C3335="Técnico II",SUMIFS($D:$D,$A:$A,$A3335,$B:$B,"&lt;&gt;Patrícia Karla de Sousa Araújo",$B:$B,"&lt;&gt;Lorena Dias de Araujo",$B:$B,"&lt;&gt;Lucas Luiz Romero")*(28/1083),IF(C3335="Técnico I",SUMIFS($D:$D,$A:$A,$A3335,$B:$B,"&lt;&gt;Patrícia Karla de Sousa Araújo",$B:$B,"&lt;&gt;Lorena Dias de Araujo",$B:$B,"&lt;&gt;Lucas Luiz Romero")*(23/1083),IF(C3335="JR",SUMIFS($D:$D,$A:$A,$A3335,$B:$B,"&lt;&gt;Patrícia Karla de Sousa Araújo",$B:$B,"&lt;&gt;Lorena Dias de Araujo",$B:$B,"&lt;&gt;Lucas Luiz Romero")*(20/1083),IF(C3335="Estágio",SUMIFS($D:$D,$A:$A,$A3335,$B:$B,"&lt;&gt;Patrícia Karla de Sousa Araújo",$B:$B,"&lt;&gt;Lorena Dias de Araujo",$B:$B,"&lt;&gt;Lucas Luiz Romero")*(10/1083),0)))))),0)</f>
        <v>24</v>
      </c>
      <c r="K3335" s="3">
        <f>I3335-J3335</f>
        <v>3</v>
      </c>
      <c r="L3335" s="3" t="str">
        <f>IF(K3335&lt;-5,"CRÍTICO",IF(K3335&lt;0,"ATENÇÃO",IF(K3335&lt;=5,"OPORTUNO","MUITO BOM")))</f>
        <v>OPORTUNO</v>
      </c>
      <c r="M3335">
        <v>24</v>
      </c>
      <c r="N3335">
        <v>92.68</v>
      </c>
      <c r="O3335">
        <v>27.777777777777779</v>
      </c>
    </row>
    <row r="3336" spans="1:15" hidden="1" x14ac:dyDescent="0.25">
      <c r="A3336" s="11">
        <v>46106</v>
      </c>
      <c r="B3336" t="s">
        <v>51</v>
      </c>
      <c r="C3336" t="s">
        <v>48</v>
      </c>
      <c r="D3336">
        <v>31</v>
      </c>
      <c r="E3336">
        <v>26</v>
      </c>
      <c r="F3336">
        <v>15.43</v>
      </c>
      <c r="G3336">
        <v>0</v>
      </c>
      <c r="H3336">
        <v>0</v>
      </c>
      <c r="I3336" s="3">
        <v>0</v>
      </c>
      <c r="J3336" s="3">
        <v>0</v>
      </c>
      <c r="K3336" s="3">
        <v>0</v>
      </c>
      <c r="L3336" s="3" t="str">
        <f>IF(K3336&lt;-5,"CRÍTICO",IF(K3336&lt;0,"ATENÇÃO",IF(K3336&lt;=5,"OPORTUNO","MUITO BOM")))</f>
        <v>OPORTUNO</v>
      </c>
      <c r="M3336">
        <v>23</v>
      </c>
      <c r="N3336">
        <v>99.03</v>
      </c>
      <c r="O3336">
        <v>23.991507430997881</v>
      </c>
    </row>
    <row r="3337" spans="1:15" hidden="1" x14ac:dyDescent="0.25">
      <c r="A3337" s="11">
        <v>46106</v>
      </c>
      <c r="B3337" t="s">
        <v>61</v>
      </c>
      <c r="C3337" t="s">
        <v>23</v>
      </c>
      <c r="D3337">
        <v>20</v>
      </c>
      <c r="E3337">
        <v>20</v>
      </c>
      <c r="F3337">
        <v>23.46</v>
      </c>
      <c r="G3337">
        <v>0</v>
      </c>
      <c r="H3337">
        <v>0</v>
      </c>
      <c r="I3337" s="3">
        <f>E3337+G3337+H3337</f>
        <v>20</v>
      </c>
      <c r="J3337" s="3">
        <f>ROUND(MIN(IF(C3337="Técnico III",35,IF(C3337="Técnico II",28,IF(C3337="Técnico I",23,IF(C3337="JR",20,IF(C3337="Estágio",10,0))))),IF(C3337="Técnico III",SUMIFS($D:$D,$A:$A,$A3337,$B:$B,"&lt;&gt;Patrícia Karla de Sousa Araújo",$B:$B,"&lt;&gt;Lorena Dias de Araujo",$B:$B,"&lt;&gt;Lucas Luiz Romero")*(35/1083),IF(C3337="Técnico II",SUMIFS($D:$D,$A:$A,$A3337,$B:$B,"&lt;&gt;Patrícia Karla de Sousa Araújo",$B:$B,"&lt;&gt;Lorena Dias de Araujo",$B:$B,"&lt;&gt;Lucas Luiz Romero")*(28/1083),IF(C3337="Técnico I",SUMIFS($D:$D,$A:$A,$A3337,$B:$B,"&lt;&gt;Patrícia Karla de Sousa Araújo",$B:$B,"&lt;&gt;Lorena Dias de Araujo",$B:$B,"&lt;&gt;Lucas Luiz Romero")*(23/1083),IF(C3337="JR",SUMIFS($D:$D,$A:$A,$A3337,$B:$B,"&lt;&gt;Patrícia Karla de Sousa Araújo",$B:$B,"&lt;&gt;Lorena Dias de Araujo",$B:$B,"&lt;&gt;Lucas Luiz Romero")*(20/1083),IF(C3337="Estágio",SUMIFS($D:$D,$A:$A,$A3337,$B:$B,"&lt;&gt;Patrícia Karla de Sousa Araújo",$B:$B,"&lt;&gt;Lorena Dias de Araujo",$B:$B,"&lt;&gt;Lucas Luiz Romero")*(10/1083),0)))))),0)</f>
        <v>16</v>
      </c>
      <c r="K3337" s="3">
        <f>I3337-J3337</f>
        <v>4</v>
      </c>
      <c r="L3337" s="3" t="str">
        <f>IF(K3337&lt;-5,"CRÍTICO",IF(K3337&lt;0,"ATENÇÃO",IF(K3337&lt;=5,"OPORTUNO","MUITO BOM")))</f>
        <v>OPORTUNO</v>
      </c>
      <c r="M3337">
        <v>7</v>
      </c>
      <c r="N3337">
        <v>98.41</v>
      </c>
      <c r="O3337">
        <v>28.138528138528141</v>
      </c>
    </row>
    <row r="3338" spans="1:15" hidden="1" x14ac:dyDescent="0.25">
      <c r="A3338" s="11">
        <v>46106</v>
      </c>
      <c r="B3338" t="s">
        <v>35</v>
      </c>
      <c r="C3338" t="s">
        <v>32</v>
      </c>
      <c r="D3338">
        <v>15</v>
      </c>
      <c r="E3338">
        <v>14</v>
      </c>
      <c r="F3338">
        <v>33.35</v>
      </c>
      <c r="G3338">
        <v>0</v>
      </c>
      <c r="H3338">
        <v>0</v>
      </c>
      <c r="I3338" s="3">
        <v>0</v>
      </c>
      <c r="J3338" s="3">
        <v>0</v>
      </c>
      <c r="K3338" s="3">
        <v>0</v>
      </c>
      <c r="L3338" s="3" t="str">
        <f>IF(K3338&lt;-5,"CRÍTICO",IF(K3338&lt;0,"ATENÇÃO",IF(K3338&lt;=5,"OPORTUNO","MUITO BOM")))</f>
        <v>OPORTUNO</v>
      </c>
      <c r="M3338">
        <v>14</v>
      </c>
      <c r="N3338">
        <v>98.73</v>
      </c>
      <c r="O3338">
        <v>29.142857142857139</v>
      </c>
    </row>
    <row r="3339" spans="1:15" hidden="1" x14ac:dyDescent="0.25">
      <c r="A3339" s="11">
        <v>46106</v>
      </c>
      <c r="B3339" t="s">
        <v>18</v>
      </c>
      <c r="C3339" t="s">
        <v>16</v>
      </c>
      <c r="D3339">
        <v>7</v>
      </c>
      <c r="E3339">
        <v>7</v>
      </c>
      <c r="F3339">
        <v>43.54</v>
      </c>
      <c r="G3339">
        <v>0</v>
      </c>
      <c r="H3339">
        <v>0</v>
      </c>
      <c r="I3339" s="3">
        <f>E3339+G3339+H3339</f>
        <v>7</v>
      </c>
      <c r="J3339" s="3">
        <f>ROUND(MIN(IF(C3339="Técnico III",35,IF(C3339="Técnico II",28,IF(C3339="Técnico I",23,IF(C3339="JR",20,IF(C3339="Estágio",10,0))))),IF(C3339="Técnico III",SUMIFS($D:$D,$A:$A,$A3339,$B:$B,"&lt;&gt;Patrícia Karla de Sousa Araújo",$B:$B,"&lt;&gt;Lorena Dias de Araujo",$B:$B,"&lt;&gt;Lucas Luiz Romero")*(35/1083),IF(C3339="Técnico II",SUMIFS($D:$D,$A:$A,$A3339,$B:$B,"&lt;&gt;Patrícia Karla de Sousa Araújo",$B:$B,"&lt;&gt;Lorena Dias de Araujo",$B:$B,"&lt;&gt;Lucas Luiz Romero")*(28/1083),IF(C3339="Técnico I",SUMIFS($D:$D,$A:$A,$A3339,$B:$B,"&lt;&gt;Patrícia Karla de Sousa Araújo",$B:$B,"&lt;&gt;Lorena Dias de Araujo",$B:$B,"&lt;&gt;Lucas Luiz Romero")*(23/1083),IF(C3339="JR",SUMIFS($D:$D,$A:$A,$A3339,$B:$B,"&lt;&gt;Patrícia Karla de Sousa Araújo",$B:$B,"&lt;&gt;Lorena Dias de Araujo",$B:$B,"&lt;&gt;Lucas Luiz Romero")*(20/1083),IF(C3339="Estágio",SUMIFS($D:$D,$A:$A,$A3339,$B:$B,"&lt;&gt;Patrícia Karla de Sousa Araújo",$B:$B,"&lt;&gt;Lorena Dias de Araujo",$B:$B,"&lt;&gt;Lucas Luiz Romero")*(10/1083),0)))))),0)</f>
        <v>7</v>
      </c>
      <c r="K3339" s="3">
        <f>I3339-J3339</f>
        <v>0</v>
      </c>
      <c r="L3339" s="3" t="str">
        <f>IF(K3339&lt;-5,"CRÍTICO",IF(K3339&lt;0,"ATENÇÃO",IF(K3339&lt;=5,"OPORTUNO","MUITO BOM")))</f>
        <v>OPORTUNO</v>
      </c>
      <c r="M3339">
        <v>7</v>
      </c>
      <c r="N3339">
        <v>90.48</v>
      </c>
      <c r="O3339">
        <v>20.68965517241379</v>
      </c>
    </row>
    <row r="3340" spans="1:15" hidden="1" x14ac:dyDescent="0.25">
      <c r="A3340" s="11">
        <v>46106</v>
      </c>
      <c r="B3340" t="s">
        <v>52</v>
      </c>
      <c r="C3340" t="s">
        <v>48</v>
      </c>
      <c r="D3340">
        <v>23</v>
      </c>
      <c r="E3340">
        <v>23</v>
      </c>
      <c r="F3340">
        <v>20.329999999999998</v>
      </c>
      <c r="G3340">
        <v>0</v>
      </c>
      <c r="H3340">
        <v>0</v>
      </c>
      <c r="I3340" s="3">
        <f>E3340+G3340+H3340</f>
        <v>23</v>
      </c>
      <c r="J3340" s="3">
        <f>ROUND(MIN(IF(C3340="Técnico III",35,IF(C3340="Técnico II",28,IF(C3340="Técnico I",23,IF(C3340="JR",20,IF(C3340="Estágio",10,0))))),IF(C3340="Técnico III",SUMIFS($D:$D,$A:$A,$A3340,$B:$B,"&lt;&gt;Patrícia Karla de Sousa Araújo",$B:$B,"&lt;&gt;Lorena Dias de Araujo",$B:$B,"&lt;&gt;Lucas Luiz Romero")*(35/1083),IF(C3340="Técnico II",SUMIFS($D:$D,$A:$A,$A3340,$B:$B,"&lt;&gt;Patrícia Karla de Sousa Araújo",$B:$B,"&lt;&gt;Lorena Dias de Araujo",$B:$B,"&lt;&gt;Lucas Luiz Romero")*(28/1083),IF(C3340="Técnico I",SUMIFS($D:$D,$A:$A,$A3340,$B:$B,"&lt;&gt;Patrícia Karla de Sousa Araújo",$B:$B,"&lt;&gt;Lorena Dias de Araujo",$B:$B,"&lt;&gt;Lucas Luiz Romero")*(23/1083),IF(C3340="JR",SUMIFS($D:$D,$A:$A,$A3340,$B:$B,"&lt;&gt;Patrícia Karla de Sousa Araújo",$B:$B,"&lt;&gt;Lorena Dias de Araujo",$B:$B,"&lt;&gt;Lucas Luiz Romero")*(20/1083),IF(C3340="Estágio",SUMIFS($D:$D,$A:$A,$A3340,$B:$B,"&lt;&gt;Patrícia Karla de Sousa Araújo",$B:$B,"&lt;&gt;Lorena Dias de Araujo",$B:$B,"&lt;&gt;Lucas Luiz Romero")*(10/1083),0)))))),0)</f>
        <v>19</v>
      </c>
      <c r="K3340" s="3">
        <f>I3340-J3340</f>
        <v>4</v>
      </c>
      <c r="L3340" s="3" t="str">
        <f>IF(K3340&lt;-5,"CRÍTICO",IF(K3340&lt;0,"ATENÇÃO",IF(K3340&lt;=5,"OPORTUNO","MUITO BOM")))</f>
        <v>OPORTUNO</v>
      </c>
      <c r="M3340">
        <v>23</v>
      </c>
      <c r="N3340">
        <v>98.06</v>
      </c>
      <c r="O3340">
        <v>24.789915966386559</v>
      </c>
    </row>
    <row r="3341" spans="1:15" hidden="1" x14ac:dyDescent="0.25">
      <c r="A3341" s="11">
        <v>46106</v>
      </c>
      <c r="B3341" t="s">
        <v>36</v>
      </c>
      <c r="C3341" t="s">
        <v>32</v>
      </c>
      <c r="D3341">
        <v>20</v>
      </c>
      <c r="E3341">
        <v>19</v>
      </c>
      <c r="F3341">
        <v>18.57</v>
      </c>
      <c r="G3341">
        <v>0</v>
      </c>
      <c r="H3341">
        <v>0</v>
      </c>
      <c r="I3341" s="3">
        <f>E3341+G3341+H3341</f>
        <v>19</v>
      </c>
      <c r="J3341" s="3">
        <f>ROUND(MIN(IF(C3341="Técnico III",35,IF(C3341="Técnico II",28,IF(C3341="Técnico I",23,IF(C3341="JR",20,IF(C3341="Estágio",10,0))))),IF(C3341="Técnico III",SUMIFS($D:$D,$A:$A,$A3341,$B:$B,"&lt;&gt;Patrícia Karla de Sousa Araújo",$B:$B,"&lt;&gt;Lorena Dias de Araujo",$B:$B,"&lt;&gt;Lucas Luiz Romero")*(35/1083),IF(C3341="Técnico II",SUMIFS($D:$D,$A:$A,$A3341,$B:$B,"&lt;&gt;Patrícia Karla de Sousa Araújo",$B:$B,"&lt;&gt;Lorena Dias de Araujo",$B:$B,"&lt;&gt;Lucas Luiz Romero")*(28/1083),IF(C3341="Técnico I",SUMIFS($D:$D,$A:$A,$A3341,$B:$B,"&lt;&gt;Patrícia Karla de Sousa Araújo",$B:$B,"&lt;&gt;Lorena Dias de Araujo",$B:$B,"&lt;&gt;Lucas Luiz Romero")*(23/1083),IF(C3341="JR",SUMIFS($D:$D,$A:$A,$A3341,$B:$B,"&lt;&gt;Patrícia Karla de Sousa Araújo",$B:$B,"&lt;&gt;Lorena Dias de Araujo",$B:$B,"&lt;&gt;Lucas Luiz Romero")*(20/1083),IF(C3341="Estágio",SUMIFS($D:$D,$A:$A,$A3341,$B:$B,"&lt;&gt;Patrícia Karla de Sousa Araújo",$B:$B,"&lt;&gt;Lorena Dias de Araujo",$B:$B,"&lt;&gt;Lucas Luiz Romero")*(10/1083),0)))))),0)</f>
        <v>24</v>
      </c>
      <c r="K3341" s="3">
        <f>I3341-J3341</f>
        <v>-5</v>
      </c>
      <c r="L3341" s="3" t="str">
        <f>IF(K3341&lt;-5,"CRÍTICO",IF(K3341&lt;0,"ATENÇÃO",IF(K3341&lt;=5,"OPORTUNO","MUITO BOM")))</f>
        <v>ATENÇÃO</v>
      </c>
      <c r="M3341">
        <v>16</v>
      </c>
      <c r="N3341">
        <v>97.78</v>
      </c>
      <c r="O3341">
        <v>25.494071146245059</v>
      </c>
    </row>
    <row r="3342" spans="1:15" hidden="1" x14ac:dyDescent="0.25">
      <c r="A3342" s="11">
        <v>46106</v>
      </c>
      <c r="B3342" t="s">
        <v>53</v>
      </c>
      <c r="C3342" t="s">
        <v>48</v>
      </c>
      <c r="D3342">
        <v>19</v>
      </c>
      <c r="E3342">
        <v>17</v>
      </c>
      <c r="F3342">
        <v>23.57</v>
      </c>
      <c r="G3342">
        <v>0</v>
      </c>
      <c r="H3342">
        <v>0</v>
      </c>
      <c r="I3342" s="3">
        <f>E3342+G3342+H3342</f>
        <v>17</v>
      </c>
      <c r="J3342" s="3">
        <f>ROUND(MIN(IF(C3342="Técnico III",35,IF(C3342="Técnico II",28,IF(C3342="Técnico I",23,IF(C3342="JR",20,IF(C3342="Estágio",10,0))))),IF(C3342="Técnico III",SUMIFS($D:$D,$A:$A,$A3342,$B:$B,"&lt;&gt;Patrícia Karla de Sousa Araújo",$B:$B,"&lt;&gt;Lorena Dias de Araujo",$B:$B,"&lt;&gt;Lucas Luiz Romero")*(35/1083),IF(C3342="Técnico II",SUMIFS($D:$D,$A:$A,$A3342,$B:$B,"&lt;&gt;Patrícia Karla de Sousa Araújo",$B:$B,"&lt;&gt;Lorena Dias de Araujo",$B:$B,"&lt;&gt;Lucas Luiz Romero")*(28/1083),IF(C3342="Técnico I",SUMIFS($D:$D,$A:$A,$A3342,$B:$B,"&lt;&gt;Patrícia Karla de Sousa Araújo",$B:$B,"&lt;&gt;Lorena Dias de Araujo",$B:$B,"&lt;&gt;Lucas Luiz Romero")*(23/1083),IF(C3342="JR",SUMIFS($D:$D,$A:$A,$A3342,$B:$B,"&lt;&gt;Patrícia Karla de Sousa Araújo",$B:$B,"&lt;&gt;Lorena Dias de Araujo",$B:$B,"&lt;&gt;Lucas Luiz Romero")*(20/1083),IF(C3342="Estágio",SUMIFS($D:$D,$A:$A,$A3342,$B:$B,"&lt;&gt;Patrícia Karla de Sousa Araújo",$B:$B,"&lt;&gt;Lorena Dias de Araujo",$B:$B,"&lt;&gt;Lucas Luiz Romero")*(10/1083),0)))))),0)</f>
        <v>19</v>
      </c>
      <c r="K3342" s="3">
        <f>I3342-J3342</f>
        <v>-2</v>
      </c>
      <c r="L3342" s="3" t="str">
        <f>IF(K3342&lt;-5,"CRÍTICO",IF(K3342&lt;0,"ATENÇÃO",IF(K3342&lt;=5,"OPORTUNO","MUITO BOM")))</f>
        <v>ATENÇÃO</v>
      </c>
      <c r="M3342">
        <v>19</v>
      </c>
      <c r="N3342">
        <v>98.02</v>
      </c>
      <c r="O3342">
        <v>23.484848484848481</v>
      </c>
    </row>
    <row r="3343" spans="1:15" hidden="1" x14ac:dyDescent="0.25">
      <c r="A3343" s="5">
        <v>46160</v>
      </c>
      <c r="B3343" s="6" t="s">
        <v>63</v>
      </c>
      <c r="C3343" s="1" t="s">
        <v>23</v>
      </c>
      <c r="D3343" s="3">
        <v>28</v>
      </c>
      <c r="E3343" s="3">
        <v>25</v>
      </c>
      <c r="F3343" s="3">
        <v>14.02</v>
      </c>
      <c r="G3343" s="3">
        <v>1</v>
      </c>
      <c r="H3343" s="3">
        <v>0</v>
      </c>
      <c r="I3343" s="3">
        <f>E3343+G3343+H3343</f>
        <v>26</v>
      </c>
      <c r="J3343" s="3">
        <f>ROUND(MIN(IF(C3343="Técnico III",35,IF(C3343="Técnico II",28,IF(C3343="Técnico I",23,IF(C3343="JR",20,IF(C3343="Estágio",10,0))))),IF(C3343="Técnico III",SUMIFS($D:$D,$A:$A,$A3343,$B:$B,"&lt;&gt;Patrícia Karla de Sousa Araújo",$B:$B,"&lt;&gt;Lorena Dias de Araujo",$B:$B,"&lt;&gt;Lucas Luiz Romero")*(35/1083),IF(C3343="Técnico II",SUMIFS($D:$D,$A:$A,$A3343,$B:$B,"&lt;&gt;Patrícia Karla de Sousa Araújo",$B:$B,"&lt;&gt;Lorena Dias de Araujo",$B:$B,"&lt;&gt;Lucas Luiz Romero")*(28/1083),IF(C3343="Técnico I",SUMIFS($D:$D,$A:$A,$A3343,$B:$B,"&lt;&gt;Patrícia Karla de Sousa Araújo",$B:$B,"&lt;&gt;Lorena Dias de Araujo",$B:$B,"&lt;&gt;Lucas Luiz Romero")*(23/1083),IF(C3343="JR",SUMIFS($D:$D,$A:$A,$A3343,$B:$B,"&lt;&gt;Patrícia Karla de Sousa Araújo",$B:$B,"&lt;&gt;Lorena Dias de Araujo",$B:$B,"&lt;&gt;Lucas Luiz Romero")*(20/1083),IF(C3343="Estágio",SUMIFS($D:$D,$A:$A,$A3343,$B:$B,"&lt;&gt;Patrícia Karla de Sousa Araújo",$B:$B,"&lt;&gt;Lorena Dias de Araujo",$B:$B,"&lt;&gt;Lucas Luiz Romero")*(10/1083),0)))))),0)</f>
        <v>17</v>
      </c>
      <c r="K3343" s="3">
        <f>I3343-J3343</f>
        <v>9</v>
      </c>
      <c r="L3343" s="3" t="str">
        <f>IF(K3343&lt;-5,"CRÍTICO",IF(K3343&lt;0,"ATENÇÃO",IF(K3343&lt;=5,"OPORTUNO","MUITO BOM")))</f>
        <v>MUITO BOM</v>
      </c>
      <c r="M3343" s="3">
        <v>20</v>
      </c>
      <c r="N3343" s="3">
        <v>98</v>
      </c>
      <c r="O3343" s="3">
        <v>20.73490813648294</v>
      </c>
    </row>
    <row r="3344" spans="1:15" hidden="1" x14ac:dyDescent="0.25">
      <c r="A3344" s="11">
        <v>46106</v>
      </c>
      <c r="B3344" t="s">
        <v>54</v>
      </c>
      <c r="C3344" t="s">
        <v>48</v>
      </c>
      <c r="D3344">
        <v>23</v>
      </c>
      <c r="E3344">
        <v>20</v>
      </c>
      <c r="F3344">
        <v>23.53</v>
      </c>
      <c r="G3344">
        <v>0</v>
      </c>
      <c r="H3344">
        <v>0</v>
      </c>
      <c r="I3344" s="3">
        <f>E3344+G3344+H3344</f>
        <v>20</v>
      </c>
      <c r="J3344" s="3">
        <f>ROUND(MIN(IF(C3344="Técnico III",35,IF(C3344="Técnico II",28,IF(C3344="Técnico I",23,IF(C3344="JR",20,IF(C3344="Estágio",10,0))))),IF(C3344="Técnico III",SUMIFS($D:$D,$A:$A,$A3344,$B:$B,"&lt;&gt;Patrícia Karla de Sousa Araújo",$B:$B,"&lt;&gt;Lorena Dias de Araujo",$B:$B,"&lt;&gt;Lucas Luiz Romero")*(35/1083),IF(C3344="Técnico II",SUMIFS($D:$D,$A:$A,$A3344,$B:$B,"&lt;&gt;Patrícia Karla de Sousa Araújo",$B:$B,"&lt;&gt;Lorena Dias de Araujo",$B:$B,"&lt;&gt;Lucas Luiz Romero")*(28/1083),IF(C3344="Técnico I",SUMIFS($D:$D,$A:$A,$A3344,$B:$B,"&lt;&gt;Patrícia Karla de Sousa Araújo",$B:$B,"&lt;&gt;Lorena Dias de Araujo",$B:$B,"&lt;&gt;Lucas Luiz Romero")*(23/1083),IF(C3344="JR",SUMIFS($D:$D,$A:$A,$A3344,$B:$B,"&lt;&gt;Patrícia Karla de Sousa Araújo",$B:$B,"&lt;&gt;Lorena Dias de Araujo",$B:$B,"&lt;&gt;Lucas Luiz Romero")*(20/1083),IF(C3344="Estágio",SUMIFS($D:$D,$A:$A,$A3344,$B:$B,"&lt;&gt;Patrícia Karla de Sousa Araújo",$B:$B,"&lt;&gt;Lorena Dias de Araujo",$B:$B,"&lt;&gt;Lucas Luiz Romero")*(10/1083),0)))))),0)</f>
        <v>19</v>
      </c>
      <c r="K3344" s="3">
        <f>I3344-J3344</f>
        <v>1</v>
      </c>
      <c r="L3344" s="3" t="str">
        <f>IF(K3344&lt;-5,"CRÍTICO",IF(K3344&lt;0,"ATENÇÃO",IF(K3344&lt;=5,"OPORTUNO","MUITO BOM")))</f>
        <v>OPORTUNO</v>
      </c>
      <c r="M3344">
        <v>17</v>
      </c>
      <c r="N3344">
        <v>100</v>
      </c>
      <c r="O3344">
        <v>27.04918032786885</v>
      </c>
    </row>
    <row r="3345" spans="1:15" hidden="1" x14ac:dyDescent="0.25">
      <c r="A3345" s="11">
        <v>46106</v>
      </c>
      <c r="B3345" t="s">
        <v>37</v>
      </c>
      <c r="C3345" t="s">
        <v>32</v>
      </c>
      <c r="D3345">
        <v>34</v>
      </c>
      <c r="E3345">
        <v>29</v>
      </c>
      <c r="F3345">
        <v>13.28</v>
      </c>
      <c r="G3345">
        <v>0</v>
      </c>
      <c r="H3345">
        <v>0</v>
      </c>
      <c r="I3345" s="3">
        <f>E3345+G3345+H3345</f>
        <v>29</v>
      </c>
      <c r="J3345" s="3">
        <f>ROUND(MIN(IF(C3345="Técnico III",35,IF(C3345="Técnico II",28,IF(C3345="Técnico I",23,IF(C3345="JR",20,IF(C3345="Estágio",10,0))))),IF(C3345="Técnico III",SUMIFS($D:$D,$A:$A,$A3345,$B:$B,"&lt;&gt;Patrícia Karla de Sousa Araújo",$B:$B,"&lt;&gt;Lorena Dias de Araujo",$B:$B,"&lt;&gt;Lucas Luiz Romero")*(35/1083),IF(C3345="Técnico II",SUMIFS($D:$D,$A:$A,$A3345,$B:$B,"&lt;&gt;Patrícia Karla de Sousa Araújo",$B:$B,"&lt;&gt;Lorena Dias de Araujo",$B:$B,"&lt;&gt;Lucas Luiz Romero")*(28/1083),IF(C3345="Técnico I",SUMIFS($D:$D,$A:$A,$A3345,$B:$B,"&lt;&gt;Patrícia Karla de Sousa Araújo",$B:$B,"&lt;&gt;Lorena Dias de Araujo",$B:$B,"&lt;&gt;Lucas Luiz Romero")*(23/1083),IF(C3345="JR",SUMIFS($D:$D,$A:$A,$A3345,$B:$B,"&lt;&gt;Patrícia Karla de Sousa Araújo",$B:$B,"&lt;&gt;Lorena Dias de Araujo",$B:$B,"&lt;&gt;Lucas Luiz Romero")*(20/1083),IF(C3345="Estágio",SUMIFS($D:$D,$A:$A,$A3345,$B:$B,"&lt;&gt;Patrícia Karla de Sousa Araújo",$B:$B,"&lt;&gt;Lorena Dias de Araujo",$B:$B,"&lt;&gt;Lucas Luiz Romero")*(10/1083),0)))))),0)</f>
        <v>24</v>
      </c>
      <c r="K3345" s="3">
        <f>I3345-J3345</f>
        <v>5</v>
      </c>
      <c r="L3345" s="3" t="str">
        <f>IF(K3345&lt;-5,"CRÍTICO",IF(K3345&lt;0,"ATENÇÃO",IF(K3345&lt;=5,"OPORTUNO","MUITO BOM")))</f>
        <v>OPORTUNO</v>
      </c>
      <c r="M3345">
        <v>28</v>
      </c>
      <c r="N3345">
        <v>97.83</v>
      </c>
      <c r="O3345">
        <v>26.315789473684209</v>
      </c>
    </row>
    <row r="3346" spans="1:15" hidden="1" x14ac:dyDescent="0.25">
      <c r="A3346" s="11">
        <v>46106</v>
      </c>
      <c r="B3346" t="s">
        <v>38</v>
      </c>
      <c r="C3346" t="s">
        <v>32</v>
      </c>
      <c r="D3346">
        <v>16</v>
      </c>
      <c r="E3346">
        <v>15</v>
      </c>
      <c r="F3346">
        <v>18.52</v>
      </c>
      <c r="G3346">
        <v>0</v>
      </c>
      <c r="H3346">
        <v>0</v>
      </c>
      <c r="I3346" s="3">
        <f>E3346+G3346+H3346</f>
        <v>15</v>
      </c>
      <c r="J3346" s="3">
        <f>ROUND(MIN(IF(C3346="Técnico III",35,IF(C3346="Técnico II",28,IF(C3346="Técnico I",23,IF(C3346="JR",20,IF(C3346="Estágio",10,0))))),IF(C3346="Técnico III",SUMIFS($D:$D,$A:$A,$A3346,$B:$B,"&lt;&gt;Patrícia Karla de Sousa Araújo",$B:$B,"&lt;&gt;Lorena Dias de Araujo",$B:$B,"&lt;&gt;Lucas Luiz Romero")*(35/1083),IF(C3346="Técnico II",SUMIFS($D:$D,$A:$A,$A3346,$B:$B,"&lt;&gt;Patrícia Karla de Sousa Araújo",$B:$B,"&lt;&gt;Lorena Dias de Araujo",$B:$B,"&lt;&gt;Lucas Luiz Romero")*(28/1083),IF(C3346="Técnico I",SUMIFS($D:$D,$A:$A,$A3346,$B:$B,"&lt;&gt;Patrícia Karla de Sousa Araújo",$B:$B,"&lt;&gt;Lorena Dias de Araujo",$B:$B,"&lt;&gt;Lucas Luiz Romero")*(23/1083),IF(C3346="JR",SUMIFS($D:$D,$A:$A,$A3346,$B:$B,"&lt;&gt;Patrícia Karla de Sousa Araújo",$B:$B,"&lt;&gt;Lorena Dias de Araujo",$B:$B,"&lt;&gt;Lucas Luiz Romero")*(20/1083),IF(C3346="Estágio",SUMIFS($D:$D,$A:$A,$A3346,$B:$B,"&lt;&gt;Patrícia Karla de Sousa Araújo",$B:$B,"&lt;&gt;Lorena Dias de Araujo",$B:$B,"&lt;&gt;Lucas Luiz Romero")*(10/1083),0)))))),0)</f>
        <v>24</v>
      </c>
      <c r="K3346" s="3">
        <f>I3346-J3346</f>
        <v>-9</v>
      </c>
      <c r="L3346" s="3" t="str">
        <f>IF(K3346&lt;-5,"CRÍTICO",IF(K3346&lt;0,"ATENÇÃO",IF(K3346&lt;=5,"OPORTUNO","MUITO BOM")))</f>
        <v>CRÍTICO</v>
      </c>
      <c r="M3346">
        <v>14</v>
      </c>
      <c r="N3346">
        <v>100</v>
      </c>
      <c r="O3346">
        <v>26.701570680628269</v>
      </c>
    </row>
    <row r="3347" spans="1:15" hidden="1" x14ac:dyDescent="0.25">
      <c r="A3347" s="11">
        <v>46106</v>
      </c>
      <c r="B3347" t="s">
        <v>55</v>
      </c>
      <c r="C3347" t="s">
        <v>48</v>
      </c>
      <c r="D3347">
        <v>0</v>
      </c>
      <c r="E3347">
        <v>0</v>
      </c>
      <c r="F3347">
        <v>0</v>
      </c>
      <c r="G3347">
        <v>0</v>
      </c>
      <c r="H3347">
        <v>0</v>
      </c>
      <c r="I3347" s="3">
        <v>0</v>
      </c>
      <c r="J3347" s="3">
        <v>0</v>
      </c>
      <c r="K3347" s="3">
        <v>0</v>
      </c>
      <c r="L3347" s="3" t="str">
        <f>IF(K3347&lt;-5,"CRÍTICO",IF(K3347&lt;0,"ATENÇÃO",IF(K3347&lt;=5,"OPORTUNO","MUITO BOM")))</f>
        <v>OPORTUNO</v>
      </c>
      <c r="M3347">
        <v>0</v>
      </c>
      <c r="N3347">
        <v>97.47</v>
      </c>
      <c r="O3347">
        <v>22.887323943661968</v>
      </c>
    </row>
    <row r="3348" spans="1:15" hidden="1" x14ac:dyDescent="0.25">
      <c r="A3348" s="11">
        <v>46106</v>
      </c>
      <c r="B3348" t="s">
        <v>39</v>
      </c>
      <c r="C3348" t="s">
        <v>32</v>
      </c>
      <c r="D3348">
        <v>0</v>
      </c>
      <c r="E3348">
        <v>0</v>
      </c>
      <c r="F3348">
        <v>0</v>
      </c>
      <c r="G3348">
        <v>0</v>
      </c>
      <c r="H3348">
        <v>0</v>
      </c>
      <c r="I3348" s="3">
        <v>0</v>
      </c>
      <c r="J3348" s="3">
        <v>0</v>
      </c>
      <c r="K3348" s="3">
        <v>0</v>
      </c>
      <c r="L3348" s="3" t="str">
        <f>IF(K3348&lt;-5,"CRÍTICO",IF(K3348&lt;0,"ATENÇÃO",IF(K3348&lt;=5,"OPORTUNO","MUITO BOM")))</f>
        <v>OPORTUNO</v>
      </c>
      <c r="M3348">
        <v>0</v>
      </c>
      <c r="N3348">
        <v>0</v>
      </c>
      <c r="O3348">
        <v>0</v>
      </c>
    </row>
    <row r="3349" spans="1:15" hidden="1" x14ac:dyDescent="0.25">
      <c r="A3349" s="11">
        <v>46106</v>
      </c>
      <c r="B3349" t="s">
        <v>25</v>
      </c>
      <c r="C3349" t="s">
        <v>26</v>
      </c>
      <c r="D3349">
        <v>15</v>
      </c>
      <c r="E3349">
        <v>14</v>
      </c>
      <c r="F3349">
        <v>21.47</v>
      </c>
      <c r="G3349">
        <v>0</v>
      </c>
      <c r="H3349">
        <v>0</v>
      </c>
      <c r="I3349" s="3">
        <f>E3349+G3349+H3349</f>
        <v>14</v>
      </c>
      <c r="J3349" s="3">
        <f>ROUND(MIN(IF(C3349="Técnico III",35,IF(C3349="Técnico II",28,IF(C3349="Técnico I",23,IF(C3349="JR",20,IF(C3349="Estágio",10,0))))),IF(C3349="Técnico III",SUMIFS($D:$D,$A:$A,$A3349,$B:$B,"&lt;&gt;Patrícia Karla de Sousa Araújo",$B:$B,"&lt;&gt;Lorena Dias de Araujo",$B:$B,"&lt;&gt;Lucas Luiz Romero")*(35/1083),IF(C3349="Técnico II",SUMIFS($D:$D,$A:$A,$A3349,$B:$B,"&lt;&gt;Patrícia Karla de Sousa Araújo",$B:$B,"&lt;&gt;Lorena Dias de Araujo",$B:$B,"&lt;&gt;Lucas Luiz Romero")*(28/1083),IF(C3349="Técnico I",SUMIFS($D:$D,$A:$A,$A3349,$B:$B,"&lt;&gt;Patrícia Karla de Sousa Araújo",$B:$B,"&lt;&gt;Lorena Dias de Araujo",$B:$B,"&lt;&gt;Lucas Luiz Romero")*(23/1083),IF(C3349="JR",SUMIFS($D:$D,$A:$A,$A3349,$B:$B,"&lt;&gt;Patrícia Karla de Sousa Araújo",$B:$B,"&lt;&gt;Lorena Dias de Araujo",$B:$B,"&lt;&gt;Lucas Luiz Romero")*(20/1083),IF(C3349="Estágio",SUMIFS($D:$D,$A:$A,$A3349,$B:$B,"&lt;&gt;Patrícia Karla de Sousa Araújo",$B:$B,"&lt;&gt;Lorena Dias de Araujo",$B:$B,"&lt;&gt;Lucas Luiz Romero")*(10/1083),0)))))),0)</f>
        <v>14</v>
      </c>
      <c r="K3349" s="3">
        <f>I3349-J3349</f>
        <v>0</v>
      </c>
      <c r="L3349" s="3" t="str">
        <f>IF(K3349&lt;-5,"CRÍTICO",IF(K3349&lt;0,"ATENÇÃO",IF(K3349&lt;=5,"OPORTUNO","MUITO BOM")))</f>
        <v>OPORTUNO</v>
      </c>
      <c r="M3349">
        <v>14</v>
      </c>
      <c r="N3349">
        <v>98.31</v>
      </c>
      <c r="O3349">
        <v>24.920127795527151</v>
      </c>
    </row>
    <row r="3350" spans="1:15" hidden="1" x14ac:dyDescent="0.25">
      <c r="A3350" s="11">
        <v>46106</v>
      </c>
      <c r="B3350" t="s">
        <v>40</v>
      </c>
      <c r="C3350" t="s">
        <v>32</v>
      </c>
      <c r="D3350">
        <v>19</v>
      </c>
      <c r="E3350">
        <v>18</v>
      </c>
      <c r="F3350">
        <v>20.45</v>
      </c>
      <c r="G3350">
        <v>0</v>
      </c>
      <c r="H3350">
        <v>0</v>
      </c>
      <c r="I3350" s="3">
        <f>E3350+G3350+H3350</f>
        <v>18</v>
      </c>
      <c r="J3350" s="3">
        <f>ROUND(MIN(IF(C3350="Técnico III",35,IF(C3350="Técnico II",28,IF(C3350="Técnico I",23,IF(C3350="JR",20,IF(C3350="Estágio",10,0))))),IF(C3350="Técnico III",SUMIFS($D:$D,$A:$A,$A3350,$B:$B,"&lt;&gt;Patrícia Karla de Sousa Araújo",$B:$B,"&lt;&gt;Lorena Dias de Araujo",$B:$B,"&lt;&gt;Lucas Luiz Romero")*(35/1083),IF(C3350="Técnico II",SUMIFS($D:$D,$A:$A,$A3350,$B:$B,"&lt;&gt;Patrícia Karla de Sousa Araújo",$B:$B,"&lt;&gt;Lorena Dias de Araujo",$B:$B,"&lt;&gt;Lucas Luiz Romero")*(28/1083),IF(C3350="Técnico I",SUMIFS($D:$D,$A:$A,$A3350,$B:$B,"&lt;&gt;Patrícia Karla de Sousa Araújo",$B:$B,"&lt;&gt;Lorena Dias de Araujo",$B:$B,"&lt;&gt;Lucas Luiz Romero")*(23/1083),IF(C3350="JR",SUMIFS($D:$D,$A:$A,$A3350,$B:$B,"&lt;&gt;Patrícia Karla de Sousa Araújo",$B:$B,"&lt;&gt;Lorena Dias de Araujo",$B:$B,"&lt;&gt;Lucas Luiz Romero")*(20/1083),IF(C3350="Estágio",SUMIFS($D:$D,$A:$A,$A3350,$B:$B,"&lt;&gt;Patrícia Karla de Sousa Araújo",$B:$B,"&lt;&gt;Lorena Dias de Araujo",$B:$B,"&lt;&gt;Lucas Luiz Romero")*(10/1083),0)))))),0)</f>
        <v>24</v>
      </c>
      <c r="K3350" s="3">
        <f>I3350-J3350</f>
        <v>-6</v>
      </c>
      <c r="L3350" s="3" t="str">
        <f>IF(K3350&lt;-5,"CRÍTICO",IF(K3350&lt;0,"ATENÇÃO",IF(K3350&lt;=5,"OPORTUNO","MUITO BOM")))</f>
        <v>CRÍTICO</v>
      </c>
      <c r="M3350">
        <v>19</v>
      </c>
      <c r="N3350">
        <v>96.81</v>
      </c>
      <c r="O3350">
        <v>32.365145228215773</v>
      </c>
    </row>
    <row r="3351" spans="1:15" hidden="1" x14ac:dyDescent="0.25">
      <c r="A3351" s="11">
        <v>46106</v>
      </c>
      <c r="B3351" t="s">
        <v>27</v>
      </c>
      <c r="C3351" t="s">
        <v>26</v>
      </c>
      <c r="D3351">
        <v>15</v>
      </c>
      <c r="E3351">
        <v>15</v>
      </c>
      <c r="F3351">
        <v>21.58</v>
      </c>
      <c r="G3351">
        <v>0</v>
      </c>
      <c r="H3351">
        <v>0</v>
      </c>
      <c r="I3351" s="3">
        <f>E3351+G3351+H3351</f>
        <v>15</v>
      </c>
      <c r="J3351" s="3">
        <f>ROUND(MIN(IF(C3351="Técnico III",35,IF(C3351="Técnico II",28,IF(C3351="Técnico I",23,IF(C3351="JR",20,IF(C3351="Estágio",10,0))))),IF(C3351="Técnico III",SUMIFS($D:$D,$A:$A,$A3351,$B:$B,"&lt;&gt;Patrícia Karla de Sousa Araújo",$B:$B,"&lt;&gt;Lorena Dias de Araujo",$B:$B,"&lt;&gt;Lucas Luiz Romero")*(35/1083),IF(C3351="Técnico II",SUMIFS($D:$D,$A:$A,$A3351,$B:$B,"&lt;&gt;Patrícia Karla de Sousa Araújo",$B:$B,"&lt;&gt;Lorena Dias de Araujo",$B:$B,"&lt;&gt;Lucas Luiz Romero")*(28/1083),IF(C3351="Técnico I",SUMIFS($D:$D,$A:$A,$A3351,$B:$B,"&lt;&gt;Patrícia Karla de Sousa Araújo",$B:$B,"&lt;&gt;Lorena Dias de Araujo",$B:$B,"&lt;&gt;Lucas Luiz Romero")*(23/1083),IF(C3351="JR",SUMIFS($D:$D,$A:$A,$A3351,$B:$B,"&lt;&gt;Patrícia Karla de Sousa Araújo",$B:$B,"&lt;&gt;Lorena Dias de Araujo",$B:$B,"&lt;&gt;Lucas Luiz Romero")*(20/1083),IF(C3351="Estágio",SUMIFS($D:$D,$A:$A,$A3351,$B:$B,"&lt;&gt;Patrícia Karla de Sousa Araújo",$B:$B,"&lt;&gt;Lorena Dias de Araujo",$B:$B,"&lt;&gt;Lucas Luiz Romero")*(10/1083),0)))))),0)</f>
        <v>14</v>
      </c>
      <c r="K3351" s="3">
        <f>I3351-J3351</f>
        <v>1</v>
      </c>
      <c r="L3351" s="3" t="str">
        <f>IF(K3351&lt;-5,"CRÍTICO",IF(K3351&lt;0,"ATENÇÃO",IF(K3351&lt;=5,"OPORTUNO","MUITO BOM")))</f>
        <v>OPORTUNO</v>
      </c>
      <c r="M3351">
        <v>8</v>
      </c>
      <c r="N3351">
        <v>100</v>
      </c>
      <c r="O3351">
        <v>26.47058823529412</v>
      </c>
    </row>
    <row r="3352" spans="1:15" hidden="1" x14ac:dyDescent="0.25">
      <c r="A3352" s="11">
        <v>46106</v>
      </c>
      <c r="B3352" t="s">
        <v>41</v>
      </c>
      <c r="C3352" t="s">
        <v>32</v>
      </c>
      <c r="D3352">
        <v>28</v>
      </c>
      <c r="E3352">
        <v>24</v>
      </c>
      <c r="F3352">
        <v>15.3</v>
      </c>
      <c r="G3352">
        <v>0</v>
      </c>
      <c r="H3352">
        <v>0</v>
      </c>
      <c r="I3352" s="3">
        <f>E3352+G3352+H3352</f>
        <v>24</v>
      </c>
      <c r="J3352" s="3">
        <f>ROUND(MIN(IF(C3352="Técnico III",35,IF(C3352="Técnico II",28,IF(C3352="Técnico I",23,IF(C3352="JR",20,IF(C3352="Estágio",10,0))))),IF(C3352="Técnico III",SUMIFS($D:$D,$A:$A,$A3352,$B:$B,"&lt;&gt;Patrícia Karla de Sousa Araújo",$B:$B,"&lt;&gt;Lorena Dias de Araujo",$B:$B,"&lt;&gt;Lucas Luiz Romero")*(35/1083),IF(C3352="Técnico II",SUMIFS($D:$D,$A:$A,$A3352,$B:$B,"&lt;&gt;Patrícia Karla de Sousa Araújo",$B:$B,"&lt;&gt;Lorena Dias de Araujo",$B:$B,"&lt;&gt;Lucas Luiz Romero")*(28/1083),IF(C3352="Técnico I",SUMIFS($D:$D,$A:$A,$A3352,$B:$B,"&lt;&gt;Patrícia Karla de Sousa Araújo",$B:$B,"&lt;&gt;Lorena Dias de Araujo",$B:$B,"&lt;&gt;Lucas Luiz Romero")*(23/1083),IF(C3352="JR",SUMIFS($D:$D,$A:$A,$A3352,$B:$B,"&lt;&gt;Patrícia Karla de Sousa Araújo",$B:$B,"&lt;&gt;Lorena Dias de Araujo",$B:$B,"&lt;&gt;Lucas Luiz Romero")*(20/1083),IF(C3352="Estágio",SUMIFS($D:$D,$A:$A,$A3352,$B:$B,"&lt;&gt;Patrícia Karla de Sousa Araújo",$B:$B,"&lt;&gt;Lorena Dias de Araujo",$B:$B,"&lt;&gt;Lucas Luiz Romero")*(10/1083),0)))))),0)</f>
        <v>24</v>
      </c>
      <c r="K3352" s="3">
        <f>I3352-J3352</f>
        <v>0</v>
      </c>
      <c r="L3352" s="3" t="str">
        <f>IF(K3352&lt;-5,"CRÍTICO",IF(K3352&lt;0,"ATENÇÃO",IF(K3352&lt;=5,"OPORTUNO","MUITO BOM")))</f>
        <v>OPORTUNO</v>
      </c>
      <c r="M3352">
        <v>22</v>
      </c>
      <c r="N3352">
        <v>100</v>
      </c>
      <c r="O3352">
        <v>28.490028490028489</v>
      </c>
    </row>
    <row r="3353" spans="1:15" hidden="1" x14ac:dyDescent="0.25">
      <c r="A3353" s="11">
        <v>46106</v>
      </c>
      <c r="B3353" t="s">
        <v>56</v>
      </c>
      <c r="C3353" t="s">
        <v>48</v>
      </c>
      <c r="D3353">
        <v>24</v>
      </c>
      <c r="E3353">
        <v>23</v>
      </c>
      <c r="F3353">
        <v>21.48</v>
      </c>
      <c r="G3353">
        <v>0</v>
      </c>
      <c r="H3353">
        <v>0</v>
      </c>
      <c r="I3353" s="3">
        <f>E3353+G3353+H3353</f>
        <v>23</v>
      </c>
      <c r="J3353" s="3">
        <f>ROUND(MIN(IF(C3353="Técnico III",35,IF(C3353="Técnico II",28,IF(C3353="Técnico I",23,IF(C3353="JR",20,IF(C3353="Estágio",10,0))))),IF(C3353="Técnico III",SUMIFS($D:$D,$A:$A,$A3353,$B:$B,"&lt;&gt;Patrícia Karla de Sousa Araújo",$B:$B,"&lt;&gt;Lorena Dias de Araujo",$B:$B,"&lt;&gt;Lucas Luiz Romero")*(35/1083),IF(C3353="Técnico II",SUMIFS($D:$D,$A:$A,$A3353,$B:$B,"&lt;&gt;Patrícia Karla de Sousa Araújo",$B:$B,"&lt;&gt;Lorena Dias de Araujo",$B:$B,"&lt;&gt;Lucas Luiz Romero")*(28/1083),IF(C3353="Técnico I",SUMIFS($D:$D,$A:$A,$A3353,$B:$B,"&lt;&gt;Patrícia Karla de Sousa Araújo",$B:$B,"&lt;&gt;Lorena Dias de Araujo",$B:$B,"&lt;&gt;Lucas Luiz Romero")*(23/1083),IF(C3353="JR",SUMIFS($D:$D,$A:$A,$A3353,$B:$B,"&lt;&gt;Patrícia Karla de Sousa Araújo",$B:$B,"&lt;&gt;Lorena Dias de Araujo",$B:$B,"&lt;&gt;Lucas Luiz Romero")*(20/1083),IF(C3353="Estágio",SUMIFS($D:$D,$A:$A,$A3353,$B:$B,"&lt;&gt;Patrícia Karla de Sousa Araújo",$B:$B,"&lt;&gt;Lorena Dias de Araujo",$B:$B,"&lt;&gt;Lucas Luiz Romero")*(10/1083),0)))))),0)</f>
        <v>19</v>
      </c>
      <c r="K3353" s="3">
        <f>I3353-J3353</f>
        <v>4</v>
      </c>
      <c r="L3353" s="3" t="str">
        <f>IF(K3353&lt;-5,"CRÍTICO",IF(K3353&lt;0,"ATENÇÃO",IF(K3353&lt;=5,"OPORTUNO","MUITO BOM")))</f>
        <v>OPORTUNO</v>
      </c>
      <c r="M3353">
        <v>18</v>
      </c>
      <c r="N3353">
        <v>99.14</v>
      </c>
      <c r="O3353">
        <v>27.2289156626506</v>
      </c>
    </row>
    <row r="3354" spans="1:15" hidden="1" x14ac:dyDescent="0.25">
      <c r="A3354" s="11">
        <v>46106</v>
      </c>
      <c r="B3354" t="s">
        <v>57</v>
      </c>
      <c r="C3354" t="s">
        <v>48</v>
      </c>
      <c r="D3354">
        <v>12</v>
      </c>
      <c r="E3354">
        <v>12</v>
      </c>
      <c r="F3354">
        <v>27.1</v>
      </c>
      <c r="G3354">
        <v>0</v>
      </c>
      <c r="H3354">
        <v>0</v>
      </c>
      <c r="I3354" s="3">
        <v>0</v>
      </c>
      <c r="J3354" s="3">
        <v>0</v>
      </c>
      <c r="K3354" s="3">
        <v>0</v>
      </c>
      <c r="L3354" s="3" t="str">
        <f>IF(K3354&lt;-5,"CRÍTICO",IF(K3354&lt;0,"ATENÇÃO",IF(K3354&lt;=5,"OPORTUNO","MUITO BOM")))</f>
        <v>OPORTUNO</v>
      </c>
      <c r="M3354">
        <v>9</v>
      </c>
      <c r="N3354">
        <v>97.52</v>
      </c>
      <c r="O3354">
        <v>28.205128205128201</v>
      </c>
    </row>
    <row r="3355" spans="1:15" hidden="1" x14ac:dyDescent="0.25">
      <c r="A3355" s="11">
        <v>46106</v>
      </c>
      <c r="B3355" t="s">
        <v>42</v>
      </c>
      <c r="C3355" t="s">
        <v>32</v>
      </c>
      <c r="D3355">
        <v>0</v>
      </c>
      <c r="E3355">
        <v>0</v>
      </c>
      <c r="F3355">
        <v>0</v>
      </c>
      <c r="G3355">
        <v>0</v>
      </c>
      <c r="H3355">
        <v>0</v>
      </c>
      <c r="I3355" s="3">
        <v>0</v>
      </c>
      <c r="J3355" s="3">
        <v>0</v>
      </c>
      <c r="K3355" s="3">
        <v>0</v>
      </c>
      <c r="L3355" s="3" t="str">
        <f>IF(K3355&lt;-5,"CRÍTICO",IF(K3355&lt;0,"ATENÇÃO",IF(K3355&lt;=5,"OPORTUNO","MUITO BOM")))</f>
        <v>OPORTUNO</v>
      </c>
      <c r="M3355">
        <v>0</v>
      </c>
      <c r="N3355">
        <v>90</v>
      </c>
      <c r="O3355">
        <v>24.186046511627911</v>
      </c>
    </row>
    <row r="3356" spans="1:15" hidden="1" x14ac:dyDescent="0.25">
      <c r="A3356" s="11">
        <v>46106</v>
      </c>
      <c r="B3356" t="s">
        <v>62</v>
      </c>
      <c r="C3356" t="s">
        <v>23</v>
      </c>
      <c r="D3356">
        <v>19</v>
      </c>
      <c r="E3356">
        <v>17</v>
      </c>
      <c r="F3356">
        <v>27.37</v>
      </c>
      <c r="G3356">
        <v>0</v>
      </c>
      <c r="H3356">
        <v>0</v>
      </c>
      <c r="I3356" s="3">
        <f>E3356+G3356+H3356</f>
        <v>17</v>
      </c>
      <c r="J3356" s="3">
        <f>ROUND(MIN(IF(C3356="Técnico III",35,IF(C3356="Técnico II",28,IF(C3356="Técnico I",23,IF(C3356="JR",20,IF(C3356="Estágio",10,0))))),IF(C3356="Técnico III",SUMIFS($D:$D,$A:$A,$A3356,$B:$B,"&lt;&gt;Patrícia Karla de Sousa Araújo",$B:$B,"&lt;&gt;Lorena Dias de Araujo",$B:$B,"&lt;&gt;Lucas Luiz Romero")*(35/1083),IF(C3356="Técnico II",SUMIFS($D:$D,$A:$A,$A3356,$B:$B,"&lt;&gt;Patrícia Karla de Sousa Araújo",$B:$B,"&lt;&gt;Lorena Dias de Araujo",$B:$B,"&lt;&gt;Lucas Luiz Romero")*(28/1083),IF(C3356="Técnico I",SUMIFS($D:$D,$A:$A,$A3356,$B:$B,"&lt;&gt;Patrícia Karla de Sousa Araújo",$B:$B,"&lt;&gt;Lorena Dias de Araujo",$B:$B,"&lt;&gt;Lucas Luiz Romero")*(23/1083),IF(C3356="JR",SUMIFS($D:$D,$A:$A,$A3356,$B:$B,"&lt;&gt;Patrícia Karla de Sousa Araújo",$B:$B,"&lt;&gt;Lorena Dias de Araujo",$B:$B,"&lt;&gt;Lucas Luiz Romero")*(20/1083),IF(C3356="Estágio",SUMIFS($D:$D,$A:$A,$A3356,$B:$B,"&lt;&gt;Patrícia Karla de Sousa Araújo",$B:$B,"&lt;&gt;Lorena Dias de Araujo",$B:$B,"&lt;&gt;Lucas Luiz Romero")*(10/1083),0)))))),0)</f>
        <v>16</v>
      </c>
      <c r="K3356" s="3">
        <f>I3356-J3356</f>
        <v>1</v>
      </c>
      <c r="L3356" s="3" t="str">
        <f>IF(K3356&lt;-5,"CRÍTICO",IF(K3356&lt;0,"ATENÇÃO",IF(K3356&lt;=5,"OPORTUNO","MUITO BOM")))</f>
        <v>OPORTUNO</v>
      </c>
      <c r="M3356">
        <v>14</v>
      </c>
      <c r="N3356">
        <v>98.9</v>
      </c>
      <c r="O3356">
        <v>26.763990267639901</v>
      </c>
    </row>
    <row r="3357" spans="1:15" hidden="1" x14ac:dyDescent="0.25">
      <c r="A3357" s="11">
        <v>46106</v>
      </c>
      <c r="B3357" t="s">
        <v>19</v>
      </c>
      <c r="C3357" t="s">
        <v>16</v>
      </c>
      <c r="D3357">
        <v>8</v>
      </c>
      <c r="E3357">
        <v>7</v>
      </c>
      <c r="F3357">
        <v>40.06</v>
      </c>
      <c r="G3357">
        <v>0</v>
      </c>
      <c r="H3357">
        <v>0</v>
      </c>
      <c r="I3357" s="3">
        <f>E3357+G3357+H3357</f>
        <v>7</v>
      </c>
      <c r="J3357" s="3">
        <f>ROUND(MIN(IF(C3357="Técnico III",35,IF(C3357="Técnico II",28,IF(C3357="Técnico I",23,IF(C3357="JR",20,IF(C3357="Estágio",10,0))))),IF(C3357="Técnico III",SUMIFS($D:$D,$A:$A,$A3357,$B:$B,"&lt;&gt;Patrícia Karla de Sousa Araújo",$B:$B,"&lt;&gt;Lorena Dias de Araujo",$B:$B,"&lt;&gt;Lucas Luiz Romero")*(35/1083),IF(C3357="Técnico II",SUMIFS($D:$D,$A:$A,$A3357,$B:$B,"&lt;&gt;Patrícia Karla de Sousa Araújo",$B:$B,"&lt;&gt;Lorena Dias de Araujo",$B:$B,"&lt;&gt;Lucas Luiz Romero")*(28/1083),IF(C3357="Técnico I",SUMIFS($D:$D,$A:$A,$A3357,$B:$B,"&lt;&gt;Patrícia Karla de Sousa Araújo",$B:$B,"&lt;&gt;Lorena Dias de Araujo",$B:$B,"&lt;&gt;Lucas Luiz Romero")*(23/1083),IF(C3357="JR",SUMIFS($D:$D,$A:$A,$A3357,$B:$B,"&lt;&gt;Patrícia Karla de Sousa Araújo",$B:$B,"&lt;&gt;Lorena Dias de Araujo",$B:$B,"&lt;&gt;Lucas Luiz Romero")*(20/1083),IF(C3357="Estágio",SUMIFS($D:$D,$A:$A,$A3357,$B:$B,"&lt;&gt;Patrícia Karla de Sousa Araújo",$B:$B,"&lt;&gt;Lorena Dias de Araujo",$B:$B,"&lt;&gt;Lucas Luiz Romero")*(10/1083),0)))))),0)</f>
        <v>7</v>
      </c>
      <c r="K3357" s="3">
        <f>I3357-J3357</f>
        <v>0</v>
      </c>
      <c r="L3357" s="3" t="str">
        <f>IF(K3357&lt;-5,"CRÍTICO",IF(K3357&lt;0,"ATENÇÃO",IF(K3357&lt;=5,"OPORTUNO","MUITO BOM")))</f>
        <v>OPORTUNO</v>
      </c>
      <c r="M3357">
        <v>6</v>
      </c>
      <c r="N3357">
        <v>88.89</v>
      </c>
      <c r="O3357">
        <v>25.263157894736839</v>
      </c>
    </row>
    <row r="3358" spans="1:15" hidden="1" x14ac:dyDescent="0.25">
      <c r="A3358" s="11">
        <v>46106</v>
      </c>
      <c r="B3358" t="s">
        <v>43</v>
      </c>
      <c r="C3358" t="s">
        <v>32</v>
      </c>
      <c r="D3358">
        <v>32</v>
      </c>
      <c r="E3358">
        <v>30</v>
      </c>
      <c r="F3358">
        <v>14</v>
      </c>
      <c r="G3358">
        <v>0</v>
      </c>
      <c r="H3358">
        <v>0</v>
      </c>
      <c r="I3358" s="3">
        <f>E3358+G3358+H3358</f>
        <v>30</v>
      </c>
      <c r="J3358" s="3">
        <f>ROUND(MIN(IF(C3358="Técnico III",35,IF(C3358="Técnico II",28,IF(C3358="Técnico I",23,IF(C3358="JR",20,IF(C3358="Estágio",10,0))))),IF(C3358="Técnico III",SUMIFS($D:$D,$A:$A,$A3358,$B:$B,"&lt;&gt;Patrícia Karla de Sousa Araújo",$B:$B,"&lt;&gt;Lorena Dias de Araujo",$B:$B,"&lt;&gt;Lucas Luiz Romero")*(35/1083),IF(C3358="Técnico II",SUMIFS($D:$D,$A:$A,$A3358,$B:$B,"&lt;&gt;Patrícia Karla de Sousa Araújo",$B:$B,"&lt;&gt;Lorena Dias de Araujo",$B:$B,"&lt;&gt;Lucas Luiz Romero")*(28/1083),IF(C3358="Técnico I",SUMIFS($D:$D,$A:$A,$A3358,$B:$B,"&lt;&gt;Patrícia Karla de Sousa Araújo",$B:$B,"&lt;&gt;Lorena Dias de Araujo",$B:$B,"&lt;&gt;Lucas Luiz Romero")*(23/1083),IF(C3358="JR",SUMIFS($D:$D,$A:$A,$A3358,$B:$B,"&lt;&gt;Patrícia Karla de Sousa Araújo",$B:$B,"&lt;&gt;Lorena Dias de Araujo",$B:$B,"&lt;&gt;Lucas Luiz Romero")*(20/1083),IF(C3358="Estágio",SUMIFS($D:$D,$A:$A,$A3358,$B:$B,"&lt;&gt;Patrícia Karla de Sousa Araújo",$B:$B,"&lt;&gt;Lorena Dias de Araujo",$B:$B,"&lt;&gt;Lucas Luiz Romero")*(10/1083),0)))))),0)</f>
        <v>24</v>
      </c>
      <c r="K3358" s="3">
        <f>I3358-J3358</f>
        <v>6</v>
      </c>
      <c r="L3358" s="3" t="str">
        <f>IF(K3358&lt;-5,"CRÍTICO",IF(K3358&lt;0,"ATENÇÃO",IF(K3358&lt;=5,"OPORTUNO","MUITO BOM")))</f>
        <v>MUITO BOM</v>
      </c>
      <c r="M3358">
        <v>27</v>
      </c>
      <c r="N3358">
        <v>98.86</v>
      </c>
      <c r="O3358">
        <v>28.959276018099551</v>
      </c>
    </row>
    <row r="3359" spans="1:15" hidden="1" x14ac:dyDescent="0.25">
      <c r="A3359" s="11">
        <v>46106</v>
      </c>
      <c r="B3359" t="s">
        <v>44</v>
      </c>
      <c r="C3359" t="s">
        <v>32</v>
      </c>
      <c r="D3359">
        <v>26</v>
      </c>
      <c r="E3359">
        <v>24</v>
      </c>
      <c r="F3359">
        <v>13.36</v>
      </c>
      <c r="G3359">
        <v>0</v>
      </c>
      <c r="H3359">
        <v>0</v>
      </c>
      <c r="I3359" s="3">
        <f>E3359+G3359+H3359</f>
        <v>24</v>
      </c>
      <c r="J3359" s="3">
        <f>ROUND(MIN(IF(C3359="Técnico III",35,IF(C3359="Técnico II",28,IF(C3359="Técnico I",23,IF(C3359="JR",20,IF(C3359="Estágio",10,0))))),IF(C3359="Técnico III",SUMIFS($D:$D,$A:$A,$A3359,$B:$B,"&lt;&gt;Patrícia Karla de Sousa Araújo",$B:$B,"&lt;&gt;Lorena Dias de Araujo",$B:$B,"&lt;&gt;Lucas Luiz Romero")*(35/1083),IF(C3359="Técnico II",SUMIFS($D:$D,$A:$A,$A3359,$B:$B,"&lt;&gt;Patrícia Karla de Sousa Araújo",$B:$B,"&lt;&gt;Lorena Dias de Araujo",$B:$B,"&lt;&gt;Lucas Luiz Romero")*(28/1083),IF(C3359="Técnico I",SUMIFS($D:$D,$A:$A,$A3359,$B:$B,"&lt;&gt;Patrícia Karla de Sousa Araújo",$B:$B,"&lt;&gt;Lorena Dias de Araujo",$B:$B,"&lt;&gt;Lucas Luiz Romero")*(23/1083),IF(C3359="JR",SUMIFS($D:$D,$A:$A,$A3359,$B:$B,"&lt;&gt;Patrícia Karla de Sousa Araújo",$B:$B,"&lt;&gt;Lorena Dias de Araujo",$B:$B,"&lt;&gt;Lucas Luiz Romero")*(20/1083),IF(C3359="Estágio",SUMIFS($D:$D,$A:$A,$A3359,$B:$B,"&lt;&gt;Patrícia Karla de Sousa Araújo",$B:$B,"&lt;&gt;Lorena Dias de Araujo",$B:$B,"&lt;&gt;Lucas Luiz Romero")*(10/1083),0)))))),0)</f>
        <v>24</v>
      </c>
      <c r="K3359" s="3">
        <f>I3359-J3359</f>
        <v>0</v>
      </c>
      <c r="L3359" s="3" t="str">
        <f>IF(K3359&lt;-5,"CRÍTICO",IF(K3359&lt;0,"ATENÇÃO",IF(K3359&lt;=5,"OPORTUNO","MUITO BOM")))</f>
        <v>OPORTUNO</v>
      </c>
      <c r="M3359">
        <v>19</v>
      </c>
      <c r="N3359">
        <v>98.06</v>
      </c>
      <c r="O3359">
        <v>22.40566037735849</v>
      </c>
    </row>
    <row r="3360" spans="1:15" hidden="1" x14ac:dyDescent="0.25">
      <c r="A3360" s="11">
        <v>46106</v>
      </c>
      <c r="B3360" t="s">
        <v>20</v>
      </c>
      <c r="C3360" t="s">
        <v>16</v>
      </c>
      <c r="D3360">
        <v>13</v>
      </c>
      <c r="E3360">
        <v>13</v>
      </c>
      <c r="F3360">
        <v>38.44</v>
      </c>
      <c r="G3360">
        <v>0</v>
      </c>
      <c r="H3360">
        <v>0</v>
      </c>
      <c r="I3360" s="3">
        <f>E3360+G3360+H3360</f>
        <v>13</v>
      </c>
      <c r="J3360" s="3">
        <f>ROUND(MIN(IF(C3360="Técnico III",35,IF(C3360="Técnico II",28,IF(C3360="Técnico I",23,IF(C3360="JR",20,IF(C3360="Estágio",10,0))))),IF(C3360="Técnico III",SUMIFS($D:$D,$A:$A,$A3360,$B:$B,"&lt;&gt;Patrícia Karla de Sousa Araújo",$B:$B,"&lt;&gt;Lorena Dias de Araujo",$B:$B,"&lt;&gt;Lucas Luiz Romero")*(35/1083),IF(C3360="Técnico II",SUMIFS($D:$D,$A:$A,$A3360,$B:$B,"&lt;&gt;Patrícia Karla de Sousa Araújo",$B:$B,"&lt;&gt;Lorena Dias de Araujo",$B:$B,"&lt;&gt;Lucas Luiz Romero")*(28/1083),IF(C3360="Técnico I",SUMIFS($D:$D,$A:$A,$A3360,$B:$B,"&lt;&gt;Patrícia Karla de Sousa Araújo",$B:$B,"&lt;&gt;Lorena Dias de Araujo",$B:$B,"&lt;&gt;Lucas Luiz Romero")*(23/1083),IF(C3360="JR",SUMIFS($D:$D,$A:$A,$A3360,$B:$B,"&lt;&gt;Patrícia Karla de Sousa Araújo",$B:$B,"&lt;&gt;Lorena Dias de Araujo",$B:$B,"&lt;&gt;Lucas Luiz Romero")*(20/1083),IF(C3360="Estágio",SUMIFS($D:$D,$A:$A,$A3360,$B:$B,"&lt;&gt;Patrícia Karla de Sousa Araújo",$B:$B,"&lt;&gt;Lorena Dias de Araujo",$B:$B,"&lt;&gt;Lucas Luiz Romero")*(10/1083),0)))))),0)</f>
        <v>7</v>
      </c>
      <c r="K3360" s="3">
        <f>I3360-J3360</f>
        <v>6</v>
      </c>
      <c r="L3360" s="3" t="str">
        <f>IF(K3360&lt;-5,"CRÍTICO",IF(K3360&lt;0,"ATENÇÃO",IF(K3360&lt;=5,"OPORTUNO","MUITO BOM")))</f>
        <v>MUITO BOM</v>
      </c>
      <c r="M3360">
        <v>9</v>
      </c>
      <c r="N3360">
        <v>95.83</v>
      </c>
      <c r="O3360">
        <v>25.773195876288661</v>
      </c>
    </row>
    <row r="3361" spans="1:15" hidden="1" x14ac:dyDescent="0.25">
      <c r="A3361" s="11">
        <v>46106</v>
      </c>
      <c r="B3361" t="s">
        <v>28</v>
      </c>
      <c r="C3361" t="s">
        <v>26</v>
      </c>
      <c r="D3361">
        <v>0</v>
      </c>
      <c r="E3361">
        <v>0</v>
      </c>
      <c r="F3361">
        <v>0</v>
      </c>
      <c r="G3361">
        <v>0</v>
      </c>
      <c r="H3361">
        <v>0</v>
      </c>
      <c r="I3361" s="3">
        <v>0</v>
      </c>
      <c r="J3361" s="3">
        <v>0</v>
      </c>
      <c r="K3361" s="3">
        <v>0</v>
      </c>
      <c r="L3361" s="3" t="str">
        <f>IF(K3361&lt;-5,"CRÍTICO",IF(K3361&lt;0,"ATENÇÃO",IF(K3361&lt;=5,"OPORTUNO","MUITO BOM")))</f>
        <v>OPORTUNO</v>
      </c>
      <c r="M3361">
        <v>0</v>
      </c>
      <c r="N3361">
        <v>100</v>
      </c>
      <c r="O3361">
        <v>15.38461538461539</v>
      </c>
    </row>
    <row r="3362" spans="1:15" hidden="1" x14ac:dyDescent="0.25">
      <c r="A3362" s="11">
        <v>46106</v>
      </c>
      <c r="B3362" t="s">
        <v>58</v>
      </c>
      <c r="C3362" t="s">
        <v>48</v>
      </c>
      <c r="D3362">
        <v>6</v>
      </c>
      <c r="E3362">
        <v>5</v>
      </c>
      <c r="F3362">
        <v>27.19</v>
      </c>
      <c r="G3362">
        <v>0</v>
      </c>
      <c r="H3362">
        <v>0</v>
      </c>
      <c r="I3362" s="3">
        <f>E3362+G3362+H3362</f>
        <v>5</v>
      </c>
      <c r="J3362" s="3">
        <f>ROUND(MIN(IF(C3362="Técnico III",35,IF(C3362="Técnico II",28,IF(C3362="Técnico I",23,IF(C3362="JR",20,IF(C3362="Estágio",10,0))))),IF(C3362="Técnico III",SUMIFS($D:$D,$A:$A,$A3362,$B:$B,"&lt;&gt;Patrícia Karla de Sousa Araújo",$B:$B,"&lt;&gt;Lorena Dias de Araujo",$B:$B,"&lt;&gt;Lucas Luiz Romero")*(35/1083),IF(C3362="Técnico II",SUMIFS($D:$D,$A:$A,$A3362,$B:$B,"&lt;&gt;Patrícia Karla de Sousa Araújo",$B:$B,"&lt;&gt;Lorena Dias de Araujo",$B:$B,"&lt;&gt;Lucas Luiz Romero")*(28/1083),IF(C3362="Técnico I",SUMIFS($D:$D,$A:$A,$A3362,$B:$B,"&lt;&gt;Patrícia Karla de Sousa Araújo",$B:$B,"&lt;&gt;Lorena Dias de Araujo",$B:$B,"&lt;&gt;Lucas Luiz Romero")*(23/1083),IF(C3362="JR",SUMIFS($D:$D,$A:$A,$A3362,$B:$B,"&lt;&gt;Patrícia Karla de Sousa Araújo",$B:$B,"&lt;&gt;Lorena Dias de Araujo",$B:$B,"&lt;&gt;Lucas Luiz Romero")*(20/1083),IF(C3362="Estágio",SUMIFS($D:$D,$A:$A,$A3362,$B:$B,"&lt;&gt;Patrícia Karla de Sousa Araújo",$B:$B,"&lt;&gt;Lorena Dias de Araujo",$B:$B,"&lt;&gt;Lucas Luiz Romero")*(10/1083),0)))))),0)</f>
        <v>19</v>
      </c>
      <c r="K3362" s="3">
        <f>I3362-J3362</f>
        <v>-14</v>
      </c>
      <c r="L3362" s="3" t="str">
        <f>IF(K3362&lt;-5,"CRÍTICO",IF(K3362&lt;0,"ATENÇÃO",IF(K3362&lt;=5,"OPORTUNO","MUITO BOM")))</f>
        <v>CRÍTICO</v>
      </c>
      <c r="M3362">
        <v>4</v>
      </c>
      <c r="N3362">
        <v>100</v>
      </c>
      <c r="O3362">
        <v>27.514792899408281</v>
      </c>
    </row>
    <row r="3363" spans="1:15" hidden="1" x14ac:dyDescent="0.25">
      <c r="A3363" s="11">
        <v>46106</v>
      </c>
      <c r="B3363" t="s">
        <v>29</v>
      </c>
      <c r="C3363" t="s">
        <v>26</v>
      </c>
      <c r="D3363">
        <v>17</v>
      </c>
      <c r="E3363">
        <v>16</v>
      </c>
      <c r="F3363">
        <v>23.21</v>
      </c>
      <c r="G3363">
        <v>0</v>
      </c>
      <c r="H3363">
        <v>0</v>
      </c>
      <c r="I3363" s="3">
        <f>E3363+G3363+H3363</f>
        <v>16</v>
      </c>
      <c r="J3363" s="3">
        <f>ROUND(MIN(IF(C3363="Técnico III",35,IF(C3363="Técnico II",28,IF(C3363="Técnico I",23,IF(C3363="JR",20,IF(C3363="Estágio",10,0))))),IF(C3363="Técnico III",SUMIFS($D:$D,$A:$A,$A3363,$B:$B,"&lt;&gt;Patrícia Karla de Sousa Araújo",$B:$B,"&lt;&gt;Lorena Dias de Araujo",$B:$B,"&lt;&gt;Lucas Luiz Romero")*(35/1083),IF(C3363="Técnico II",SUMIFS($D:$D,$A:$A,$A3363,$B:$B,"&lt;&gt;Patrícia Karla de Sousa Araújo",$B:$B,"&lt;&gt;Lorena Dias de Araujo",$B:$B,"&lt;&gt;Lucas Luiz Romero")*(28/1083),IF(C3363="Técnico I",SUMIFS($D:$D,$A:$A,$A3363,$B:$B,"&lt;&gt;Patrícia Karla de Sousa Araújo",$B:$B,"&lt;&gt;Lorena Dias de Araujo",$B:$B,"&lt;&gt;Lucas Luiz Romero")*(23/1083),IF(C3363="JR",SUMIFS($D:$D,$A:$A,$A3363,$B:$B,"&lt;&gt;Patrícia Karla de Sousa Araújo",$B:$B,"&lt;&gt;Lorena Dias de Araujo",$B:$B,"&lt;&gt;Lucas Luiz Romero")*(20/1083),IF(C3363="Estágio",SUMIFS($D:$D,$A:$A,$A3363,$B:$B,"&lt;&gt;Patrícia Karla de Sousa Araújo",$B:$B,"&lt;&gt;Lorena Dias de Araujo",$B:$B,"&lt;&gt;Lucas Luiz Romero")*(10/1083),0)))))),0)</f>
        <v>14</v>
      </c>
      <c r="K3363" s="3">
        <f>I3363-J3363</f>
        <v>2</v>
      </c>
      <c r="L3363" s="3" t="str">
        <f>IF(K3363&lt;-5,"CRÍTICO",IF(K3363&lt;0,"ATENÇÃO",IF(K3363&lt;=5,"OPORTUNO","MUITO BOM")))</f>
        <v>OPORTUNO</v>
      </c>
      <c r="M3363">
        <v>15</v>
      </c>
      <c r="N3363">
        <v>100</v>
      </c>
      <c r="O3363">
        <v>24.875621890547269</v>
      </c>
    </row>
    <row r="3364" spans="1:15" hidden="1" x14ac:dyDescent="0.25">
      <c r="A3364" s="11">
        <v>46106</v>
      </c>
      <c r="B3364" t="s">
        <v>30</v>
      </c>
      <c r="C3364" t="s">
        <v>26</v>
      </c>
      <c r="D3364">
        <v>16</v>
      </c>
      <c r="E3364">
        <v>16</v>
      </c>
      <c r="F3364">
        <v>32.090000000000003</v>
      </c>
      <c r="G3364">
        <v>0</v>
      </c>
      <c r="H3364">
        <v>0</v>
      </c>
      <c r="I3364" s="3">
        <f>E3364+G3364+H3364</f>
        <v>16</v>
      </c>
      <c r="J3364" s="3">
        <f>ROUND(MIN(IF(C3364="Técnico III",35,IF(C3364="Técnico II",28,IF(C3364="Técnico I",23,IF(C3364="JR",20,IF(C3364="Estágio",10,0))))),IF(C3364="Técnico III",SUMIFS($D:$D,$A:$A,$A3364,$B:$B,"&lt;&gt;Patrícia Karla de Sousa Araújo",$B:$B,"&lt;&gt;Lorena Dias de Araujo",$B:$B,"&lt;&gt;Lucas Luiz Romero")*(35/1083),IF(C3364="Técnico II",SUMIFS($D:$D,$A:$A,$A3364,$B:$B,"&lt;&gt;Patrícia Karla de Sousa Araújo",$B:$B,"&lt;&gt;Lorena Dias de Araujo",$B:$B,"&lt;&gt;Lucas Luiz Romero")*(28/1083),IF(C3364="Técnico I",SUMIFS($D:$D,$A:$A,$A3364,$B:$B,"&lt;&gt;Patrícia Karla de Sousa Araújo",$B:$B,"&lt;&gt;Lorena Dias de Araujo",$B:$B,"&lt;&gt;Lucas Luiz Romero")*(23/1083),IF(C3364="JR",SUMIFS($D:$D,$A:$A,$A3364,$B:$B,"&lt;&gt;Patrícia Karla de Sousa Araújo",$B:$B,"&lt;&gt;Lorena Dias de Araujo",$B:$B,"&lt;&gt;Lucas Luiz Romero")*(20/1083),IF(C3364="Estágio",SUMIFS($D:$D,$A:$A,$A3364,$B:$B,"&lt;&gt;Patrícia Karla de Sousa Araújo",$B:$B,"&lt;&gt;Lorena Dias de Araujo",$B:$B,"&lt;&gt;Lucas Luiz Romero")*(10/1083),0)))))),0)</f>
        <v>14</v>
      </c>
      <c r="K3364" s="3">
        <f>I3364-J3364</f>
        <v>2</v>
      </c>
      <c r="L3364" s="3" t="str">
        <f>IF(K3364&lt;-5,"CRÍTICO",IF(K3364&lt;0,"ATENÇÃO",IF(K3364&lt;=5,"OPORTUNO","MUITO BOM")))</f>
        <v>OPORTUNO</v>
      </c>
      <c r="M3364">
        <v>12</v>
      </c>
      <c r="N3364">
        <v>100</v>
      </c>
      <c r="O3364">
        <v>28.108108108108109</v>
      </c>
    </row>
    <row r="3365" spans="1:15" hidden="1" x14ac:dyDescent="0.25">
      <c r="A3365" s="11">
        <v>46106</v>
      </c>
      <c r="B3365" t="s">
        <v>21</v>
      </c>
      <c r="C3365" t="s">
        <v>16</v>
      </c>
      <c r="D3365">
        <v>5</v>
      </c>
      <c r="E3365">
        <v>5</v>
      </c>
      <c r="F3365">
        <v>17.02</v>
      </c>
      <c r="G3365">
        <v>0</v>
      </c>
      <c r="H3365">
        <v>0</v>
      </c>
      <c r="I3365" s="3">
        <f>E3365+G3365+H3365</f>
        <v>5</v>
      </c>
      <c r="J3365" s="3">
        <f>ROUND(MIN(IF(C3365="Técnico III",35,IF(C3365="Técnico II",28,IF(C3365="Técnico I",23,IF(C3365="JR",20,IF(C3365="Estágio",10,0))))),IF(C3365="Técnico III",SUMIFS($D:$D,$A:$A,$A3365,$B:$B,"&lt;&gt;Patrícia Karla de Sousa Araújo",$B:$B,"&lt;&gt;Lorena Dias de Araujo",$B:$B,"&lt;&gt;Lucas Luiz Romero")*(35/1083),IF(C3365="Técnico II",SUMIFS($D:$D,$A:$A,$A3365,$B:$B,"&lt;&gt;Patrícia Karla de Sousa Araújo",$B:$B,"&lt;&gt;Lorena Dias de Araujo",$B:$B,"&lt;&gt;Lucas Luiz Romero")*(28/1083),IF(C3365="Técnico I",SUMIFS($D:$D,$A:$A,$A3365,$B:$B,"&lt;&gt;Patrícia Karla de Sousa Araújo",$B:$B,"&lt;&gt;Lorena Dias de Araujo",$B:$B,"&lt;&gt;Lucas Luiz Romero")*(23/1083),IF(C3365="JR",SUMIFS($D:$D,$A:$A,$A3365,$B:$B,"&lt;&gt;Patrícia Karla de Sousa Araújo",$B:$B,"&lt;&gt;Lorena Dias de Araujo",$B:$B,"&lt;&gt;Lucas Luiz Romero")*(20/1083),IF(C3365="Estágio",SUMIFS($D:$D,$A:$A,$A3365,$B:$B,"&lt;&gt;Patrícia Karla de Sousa Araújo",$B:$B,"&lt;&gt;Lorena Dias de Araujo",$B:$B,"&lt;&gt;Lucas Luiz Romero")*(10/1083),0)))))),0)</f>
        <v>7</v>
      </c>
      <c r="K3365" s="3">
        <f>I3365-J3365</f>
        <v>-2</v>
      </c>
      <c r="L3365" s="3" t="str">
        <f>IF(K3365&lt;-5,"CRÍTICO",IF(K3365&lt;0,"ATENÇÃO",IF(K3365&lt;=5,"OPORTUNO","MUITO BOM")))</f>
        <v>ATENÇÃO</v>
      </c>
      <c r="M3365">
        <v>3</v>
      </c>
      <c r="N3365">
        <v>100</v>
      </c>
      <c r="O3365">
        <v>35</v>
      </c>
    </row>
    <row r="3366" spans="1:15" hidden="1" x14ac:dyDescent="0.25">
      <c r="A3366" s="11">
        <v>46106</v>
      </c>
      <c r="B3366" t="s">
        <v>63</v>
      </c>
      <c r="C3366" t="s">
        <v>23</v>
      </c>
      <c r="D3366">
        <v>20</v>
      </c>
      <c r="E3366">
        <v>17</v>
      </c>
      <c r="F3366">
        <v>22.17</v>
      </c>
      <c r="G3366">
        <v>0</v>
      </c>
      <c r="H3366">
        <v>0</v>
      </c>
      <c r="I3366" s="3">
        <f>E3366+G3366+H3366</f>
        <v>17</v>
      </c>
      <c r="J3366" s="3">
        <f>ROUND(MIN(IF(C3366="Técnico III",35,IF(C3366="Técnico II",28,IF(C3366="Técnico I",23,IF(C3366="JR",20,IF(C3366="Estágio",10,0))))),IF(C3366="Técnico III",SUMIFS($D:$D,$A:$A,$A3366,$B:$B,"&lt;&gt;Patrícia Karla de Sousa Araújo",$B:$B,"&lt;&gt;Lorena Dias de Araujo",$B:$B,"&lt;&gt;Lucas Luiz Romero")*(35/1083),IF(C3366="Técnico II",SUMIFS($D:$D,$A:$A,$A3366,$B:$B,"&lt;&gt;Patrícia Karla de Sousa Araújo",$B:$B,"&lt;&gt;Lorena Dias de Araujo",$B:$B,"&lt;&gt;Lucas Luiz Romero")*(28/1083),IF(C3366="Técnico I",SUMIFS($D:$D,$A:$A,$A3366,$B:$B,"&lt;&gt;Patrícia Karla de Sousa Araújo",$B:$B,"&lt;&gt;Lorena Dias de Araujo",$B:$B,"&lt;&gt;Lucas Luiz Romero")*(23/1083),IF(C3366="JR",SUMIFS($D:$D,$A:$A,$A3366,$B:$B,"&lt;&gt;Patrícia Karla de Sousa Araújo",$B:$B,"&lt;&gt;Lorena Dias de Araujo",$B:$B,"&lt;&gt;Lucas Luiz Romero")*(20/1083),IF(C3366="Estágio",SUMIFS($D:$D,$A:$A,$A3366,$B:$B,"&lt;&gt;Patrícia Karla de Sousa Araújo",$B:$B,"&lt;&gt;Lorena Dias de Araujo",$B:$B,"&lt;&gt;Lucas Luiz Romero")*(10/1083),0)))))),0)</f>
        <v>16</v>
      </c>
      <c r="K3366" s="3">
        <f>I3366-J3366</f>
        <v>1</v>
      </c>
      <c r="L3366" s="3" t="str">
        <f>IF(K3366&lt;-5,"CRÍTICO",IF(K3366&lt;0,"ATENÇÃO",IF(K3366&lt;=5,"OPORTUNO","MUITO BOM")))</f>
        <v>OPORTUNO</v>
      </c>
      <c r="M3366">
        <v>10</v>
      </c>
      <c r="N3366">
        <v>95.35</v>
      </c>
      <c r="O3366">
        <v>28.61538461538461</v>
      </c>
    </row>
    <row r="3367" spans="1:15" hidden="1" x14ac:dyDescent="0.25">
      <c r="A3367" s="11">
        <v>46106</v>
      </c>
      <c r="B3367" t="s">
        <v>45</v>
      </c>
      <c r="C3367" t="s">
        <v>32</v>
      </c>
      <c r="D3367">
        <v>33</v>
      </c>
      <c r="E3367">
        <v>31</v>
      </c>
      <c r="F3367">
        <v>10.58</v>
      </c>
      <c r="G3367">
        <v>0</v>
      </c>
      <c r="H3367">
        <v>0</v>
      </c>
      <c r="I3367" s="3">
        <f>E3367+G3367+H3367</f>
        <v>31</v>
      </c>
      <c r="J3367" s="3">
        <f>ROUND(MIN(IF(C3367="Técnico III",35,IF(C3367="Técnico II",28,IF(C3367="Técnico I",23,IF(C3367="JR",20,IF(C3367="Estágio",10,0))))),IF(C3367="Técnico III",SUMIFS($D:$D,$A:$A,$A3367,$B:$B,"&lt;&gt;Patrícia Karla de Sousa Araújo",$B:$B,"&lt;&gt;Lorena Dias de Araujo",$B:$B,"&lt;&gt;Lucas Luiz Romero")*(35/1083),IF(C3367="Técnico II",SUMIFS($D:$D,$A:$A,$A3367,$B:$B,"&lt;&gt;Patrícia Karla de Sousa Araújo",$B:$B,"&lt;&gt;Lorena Dias de Araujo",$B:$B,"&lt;&gt;Lucas Luiz Romero")*(28/1083),IF(C3367="Técnico I",SUMIFS($D:$D,$A:$A,$A3367,$B:$B,"&lt;&gt;Patrícia Karla de Sousa Araújo",$B:$B,"&lt;&gt;Lorena Dias de Araujo",$B:$B,"&lt;&gt;Lucas Luiz Romero")*(23/1083),IF(C3367="JR",SUMIFS($D:$D,$A:$A,$A3367,$B:$B,"&lt;&gt;Patrícia Karla de Sousa Araújo",$B:$B,"&lt;&gt;Lorena Dias de Araujo",$B:$B,"&lt;&gt;Lucas Luiz Romero")*(20/1083),IF(C3367="Estágio",SUMIFS($D:$D,$A:$A,$A3367,$B:$B,"&lt;&gt;Patrícia Karla de Sousa Araújo",$B:$B,"&lt;&gt;Lorena Dias de Araujo",$B:$B,"&lt;&gt;Lucas Luiz Romero")*(10/1083),0)))))),0)</f>
        <v>24</v>
      </c>
      <c r="K3367" s="3">
        <f>I3367-J3367</f>
        <v>7</v>
      </c>
      <c r="L3367" s="3" t="str">
        <f>IF(K3367&lt;-5,"CRÍTICO",IF(K3367&lt;0,"ATENÇÃO",IF(K3367&lt;=5,"OPORTUNO","MUITO BOM")))</f>
        <v>MUITO BOM</v>
      </c>
      <c r="M3367">
        <v>20</v>
      </c>
      <c r="N3367">
        <v>98.26</v>
      </c>
      <c r="O3367">
        <v>27.54491017964072</v>
      </c>
    </row>
    <row r="3368" spans="1:15" hidden="1" x14ac:dyDescent="0.25">
      <c r="A3368" s="11">
        <v>46106</v>
      </c>
      <c r="B3368" t="s">
        <v>64</v>
      </c>
      <c r="C3368" t="s">
        <v>23</v>
      </c>
      <c r="D3368">
        <v>12</v>
      </c>
      <c r="E3368">
        <v>12</v>
      </c>
      <c r="F3368">
        <v>46.5</v>
      </c>
      <c r="G3368">
        <v>0</v>
      </c>
      <c r="H3368">
        <v>0</v>
      </c>
      <c r="I3368" s="3">
        <f>E3368+G3368+H3368</f>
        <v>12</v>
      </c>
      <c r="J3368" s="3">
        <f>ROUND(MIN(IF(C3368="Técnico III",35,IF(C3368="Técnico II",28,IF(C3368="Técnico I",23,IF(C3368="JR",20,IF(C3368="Estágio",10,0))))),IF(C3368="Técnico III",SUMIFS($D:$D,$A:$A,$A3368,$B:$B,"&lt;&gt;Patrícia Karla de Sousa Araújo",$B:$B,"&lt;&gt;Lorena Dias de Araujo",$B:$B,"&lt;&gt;Lucas Luiz Romero")*(35/1083),IF(C3368="Técnico II",SUMIFS($D:$D,$A:$A,$A3368,$B:$B,"&lt;&gt;Patrícia Karla de Sousa Araújo",$B:$B,"&lt;&gt;Lorena Dias de Araujo",$B:$B,"&lt;&gt;Lucas Luiz Romero")*(28/1083),IF(C3368="Técnico I",SUMIFS($D:$D,$A:$A,$A3368,$B:$B,"&lt;&gt;Patrícia Karla de Sousa Araújo",$B:$B,"&lt;&gt;Lorena Dias de Araujo",$B:$B,"&lt;&gt;Lucas Luiz Romero")*(23/1083),IF(C3368="JR",SUMIFS($D:$D,$A:$A,$A3368,$B:$B,"&lt;&gt;Patrícia Karla de Sousa Araújo",$B:$B,"&lt;&gt;Lorena Dias de Araujo",$B:$B,"&lt;&gt;Lucas Luiz Romero")*(20/1083),IF(C3368="Estágio",SUMIFS($D:$D,$A:$A,$A3368,$B:$B,"&lt;&gt;Patrícia Karla de Sousa Araújo",$B:$B,"&lt;&gt;Lorena Dias de Araujo",$B:$B,"&lt;&gt;Lucas Luiz Romero")*(10/1083),0)))))),0)</f>
        <v>16</v>
      </c>
      <c r="K3368" s="3">
        <f>I3368-J3368</f>
        <v>-4</v>
      </c>
      <c r="L3368" s="3" t="str">
        <f>IF(K3368&lt;-5,"CRÍTICO",IF(K3368&lt;0,"ATENÇÃO",IF(K3368&lt;=5,"OPORTUNO","MUITO BOM")))</f>
        <v>ATENÇÃO</v>
      </c>
      <c r="M3368">
        <v>9</v>
      </c>
      <c r="N3368">
        <v>98.55</v>
      </c>
      <c r="O3368">
        <v>25.337837837837839</v>
      </c>
    </row>
    <row r="3369" spans="1:15" hidden="1" x14ac:dyDescent="0.25">
      <c r="A3369" s="11">
        <v>46106</v>
      </c>
      <c r="B3369" t="s">
        <v>46</v>
      </c>
      <c r="C3369" t="s">
        <v>32</v>
      </c>
      <c r="D3369">
        <v>25</v>
      </c>
      <c r="E3369">
        <v>21</v>
      </c>
      <c r="F3369">
        <v>13.43</v>
      </c>
      <c r="G3369">
        <v>0</v>
      </c>
      <c r="H3369">
        <v>0</v>
      </c>
      <c r="I3369" s="3">
        <f>E3369+G3369+H3369</f>
        <v>21</v>
      </c>
      <c r="J3369" s="3">
        <f>ROUND(MIN(IF(C3369="Técnico III",35,IF(C3369="Técnico II",28,IF(C3369="Técnico I",23,IF(C3369="JR",20,IF(C3369="Estágio",10,0))))),IF(C3369="Técnico III",SUMIFS($D:$D,$A:$A,$A3369,$B:$B,"&lt;&gt;Patrícia Karla de Sousa Araújo",$B:$B,"&lt;&gt;Lorena Dias de Araujo",$B:$B,"&lt;&gt;Lucas Luiz Romero")*(35/1083),IF(C3369="Técnico II",SUMIFS($D:$D,$A:$A,$A3369,$B:$B,"&lt;&gt;Patrícia Karla de Sousa Araújo",$B:$B,"&lt;&gt;Lorena Dias de Araujo",$B:$B,"&lt;&gt;Lucas Luiz Romero")*(28/1083),IF(C3369="Técnico I",SUMIFS($D:$D,$A:$A,$A3369,$B:$B,"&lt;&gt;Patrícia Karla de Sousa Araújo",$B:$B,"&lt;&gt;Lorena Dias de Araujo",$B:$B,"&lt;&gt;Lucas Luiz Romero")*(23/1083),IF(C3369="JR",SUMIFS($D:$D,$A:$A,$A3369,$B:$B,"&lt;&gt;Patrícia Karla de Sousa Araújo",$B:$B,"&lt;&gt;Lorena Dias de Araujo",$B:$B,"&lt;&gt;Lucas Luiz Romero")*(20/1083),IF(C3369="Estágio",SUMIFS($D:$D,$A:$A,$A3369,$B:$B,"&lt;&gt;Patrícia Karla de Sousa Araújo",$B:$B,"&lt;&gt;Lorena Dias de Araujo",$B:$B,"&lt;&gt;Lucas Luiz Romero")*(10/1083),0)))))),0)</f>
        <v>24</v>
      </c>
      <c r="K3369" s="3">
        <f>I3369-J3369</f>
        <v>-3</v>
      </c>
      <c r="L3369" s="3" t="str">
        <f>IF(K3369&lt;-5,"CRÍTICO",IF(K3369&lt;0,"ATENÇÃO",IF(K3369&lt;=5,"OPORTUNO","MUITO BOM")))</f>
        <v>ATENÇÃO</v>
      </c>
      <c r="M3369">
        <v>17</v>
      </c>
      <c r="N3369">
        <v>98.39</v>
      </c>
      <c r="O3369">
        <v>25.563909774436091</v>
      </c>
    </row>
    <row r="3370" spans="1:15" hidden="1" x14ac:dyDescent="0.25">
      <c r="A3370" s="11">
        <v>46107</v>
      </c>
      <c r="B3370" t="s">
        <v>47</v>
      </c>
      <c r="C3370" t="s">
        <v>48</v>
      </c>
      <c r="D3370">
        <v>33</v>
      </c>
      <c r="E3370">
        <v>28</v>
      </c>
      <c r="F3370">
        <v>14.09</v>
      </c>
      <c r="G3370">
        <v>0</v>
      </c>
      <c r="H3370">
        <v>0</v>
      </c>
      <c r="I3370" s="3">
        <f>E3370+G3370+H3370</f>
        <v>28</v>
      </c>
      <c r="J3370" s="3">
        <f>ROUND(MIN(IF(C3370="Técnico III",35,IF(C3370="Técnico II",28,IF(C3370="Técnico I",23,IF(C3370="JR",20,IF(C3370="Estágio",10,0))))),IF(C3370="Técnico III",SUMIFS($D:$D,$A:$A,$A3370,$B:$B,"&lt;&gt;Patrícia Karla de Sousa Araújo",$B:$B,"&lt;&gt;Lorena Dias de Araujo",$B:$B,"&lt;&gt;Lucas Luiz Romero")*(35/1083),IF(C3370="Técnico II",SUMIFS($D:$D,$A:$A,$A3370,$B:$B,"&lt;&gt;Patrícia Karla de Sousa Araújo",$B:$B,"&lt;&gt;Lorena Dias de Araujo",$B:$B,"&lt;&gt;Lucas Luiz Romero")*(28/1083),IF(C3370="Técnico I",SUMIFS($D:$D,$A:$A,$A3370,$B:$B,"&lt;&gt;Patrícia Karla de Sousa Araújo",$B:$B,"&lt;&gt;Lorena Dias de Araujo",$B:$B,"&lt;&gt;Lucas Luiz Romero")*(23/1083),IF(C3370="JR",SUMIFS($D:$D,$A:$A,$A3370,$B:$B,"&lt;&gt;Patrícia Karla de Sousa Araújo",$B:$B,"&lt;&gt;Lorena Dias de Araujo",$B:$B,"&lt;&gt;Lucas Luiz Romero")*(20/1083),IF(C3370="Estágio",SUMIFS($D:$D,$A:$A,$A3370,$B:$B,"&lt;&gt;Patrícia Karla de Sousa Araújo",$B:$B,"&lt;&gt;Lorena Dias de Araujo",$B:$B,"&lt;&gt;Lucas Luiz Romero")*(10/1083),0)))))),0)</f>
        <v>22</v>
      </c>
      <c r="K3370" s="3">
        <f>I3370-J3370</f>
        <v>6</v>
      </c>
      <c r="L3370" s="3" t="str">
        <f>IF(K3370&lt;-5,"CRÍTICO",IF(K3370&lt;0,"ATENÇÃO",IF(K3370&lt;=5,"OPORTUNO","MUITO BOM")))</f>
        <v>MUITO BOM</v>
      </c>
      <c r="M3370">
        <v>23</v>
      </c>
      <c r="N3370">
        <v>94.29</v>
      </c>
      <c r="O3370">
        <v>25.647668393782389</v>
      </c>
    </row>
    <row r="3371" spans="1:15" hidden="1" x14ac:dyDescent="0.25">
      <c r="A3371" s="11">
        <v>46107</v>
      </c>
      <c r="B3371" t="s">
        <v>31</v>
      </c>
      <c r="C3371" t="s">
        <v>32</v>
      </c>
      <c r="D3371">
        <v>0</v>
      </c>
      <c r="E3371">
        <v>0</v>
      </c>
      <c r="F3371">
        <v>0</v>
      </c>
      <c r="G3371">
        <v>0</v>
      </c>
      <c r="H3371">
        <v>0</v>
      </c>
      <c r="I3371" s="3">
        <v>0</v>
      </c>
      <c r="J3371" s="3">
        <v>0</v>
      </c>
      <c r="K3371" s="3">
        <v>0</v>
      </c>
      <c r="L3371" s="3" t="str">
        <f>IF(K3371&lt;-5,"CRÍTICO",IF(K3371&lt;0,"ATENÇÃO",IF(K3371&lt;=5,"OPORTUNO","MUITO BOM")))</f>
        <v>OPORTUNO</v>
      </c>
      <c r="M3371">
        <v>30</v>
      </c>
      <c r="N3371">
        <v>98.26</v>
      </c>
      <c r="O3371">
        <v>26.666666666666671</v>
      </c>
    </row>
    <row r="3372" spans="1:15" hidden="1" x14ac:dyDescent="0.25">
      <c r="A3372" s="11">
        <v>46107</v>
      </c>
      <c r="B3372" t="s">
        <v>59</v>
      </c>
      <c r="C3372" t="s">
        <v>23</v>
      </c>
      <c r="D3372">
        <v>21</v>
      </c>
      <c r="E3372">
        <v>21</v>
      </c>
      <c r="F3372">
        <v>23.32</v>
      </c>
      <c r="G3372">
        <v>0</v>
      </c>
      <c r="H3372">
        <v>0</v>
      </c>
      <c r="I3372" s="3">
        <f>E3372+G3372+H3372</f>
        <v>21</v>
      </c>
      <c r="J3372" s="3">
        <f>ROUND(MIN(IF(C3372="Técnico III",35,IF(C3372="Técnico II",28,IF(C3372="Técnico I",23,IF(C3372="JR",20,IF(C3372="Estágio",10,0))))),IF(C3372="Técnico III",SUMIFS($D:$D,$A:$A,$A3372,$B:$B,"&lt;&gt;Patrícia Karla de Sousa Araújo",$B:$B,"&lt;&gt;Lorena Dias de Araujo",$B:$B,"&lt;&gt;Lucas Luiz Romero")*(35/1083),IF(C3372="Técnico II",SUMIFS($D:$D,$A:$A,$A3372,$B:$B,"&lt;&gt;Patrícia Karla de Sousa Araújo",$B:$B,"&lt;&gt;Lorena Dias de Araujo",$B:$B,"&lt;&gt;Lucas Luiz Romero")*(28/1083),IF(C3372="Técnico I",SUMIFS($D:$D,$A:$A,$A3372,$B:$B,"&lt;&gt;Patrícia Karla de Sousa Araújo",$B:$B,"&lt;&gt;Lorena Dias de Araujo",$B:$B,"&lt;&gt;Lucas Luiz Romero")*(23/1083),IF(C3372="JR",SUMIFS($D:$D,$A:$A,$A3372,$B:$B,"&lt;&gt;Patrícia Karla de Sousa Araújo",$B:$B,"&lt;&gt;Lorena Dias de Araujo",$B:$B,"&lt;&gt;Lucas Luiz Romero")*(20/1083),IF(C3372="Estágio",SUMIFS($D:$D,$A:$A,$A3372,$B:$B,"&lt;&gt;Patrícia Karla de Sousa Araújo",$B:$B,"&lt;&gt;Lorena Dias de Araujo",$B:$B,"&lt;&gt;Lucas Luiz Romero")*(10/1083),0)))))),0)</f>
        <v>18</v>
      </c>
      <c r="K3372" s="3">
        <f>I3372-J3372</f>
        <v>3</v>
      </c>
      <c r="L3372" s="3" t="str">
        <f>IF(K3372&lt;-5,"CRÍTICO",IF(K3372&lt;0,"ATENÇÃO",IF(K3372&lt;=5,"OPORTUNO","MUITO BOM")))</f>
        <v>OPORTUNO</v>
      </c>
      <c r="M3372">
        <v>16</v>
      </c>
      <c r="N3372">
        <v>98.2</v>
      </c>
      <c r="O3372">
        <v>23.37962962962963</v>
      </c>
    </row>
    <row r="3373" spans="1:15" hidden="1" x14ac:dyDescent="0.25">
      <c r="A3373" s="11">
        <v>46107</v>
      </c>
      <c r="B3373" t="s">
        <v>33</v>
      </c>
      <c r="C3373" t="s">
        <v>32</v>
      </c>
      <c r="D3373">
        <v>35</v>
      </c>
      <c r="E3373">
        <v>32</v>
      </c>
      <c r="F3373">
        <v>15.52</v>
      </c>
      <c r="G3373">
        <v>0</v>
      </c>
      <c r="H3373">
        <v>0</v>
      </c>
      <c r="I3373" s="3">
        <f>E3373+G3373+H3373</f>
        <v>32</v>
      </c>
      <c r="J3373" s="3">
        <f>ROUND(MIN(IF(C3373="Técnico III",35,IF(C3373="Técnico II",28,IF(C3373="Técnico I",23,IF(C3373="JR",20,IF(C3373="Estágio",10,0))))),IF(C3373="Técnico III",SUMIFS($D:$D,$A:$A,$A3373,$B:$B,"&lt;&gt;Patrícia Karla de Sousa Araújo",$B:$B,"&lt;&gt;Lorena Dias de Araujo",$B:$B,"&lt;&gt;Lucas Luiz Romero")*(35/1083),IF(C3373="Técnico II",SUMIFS($D:$D,$A:$A,$A3373,$B:$B,"&lt;&gt;Patrícia Karla de Sousa Araújo",$B:$B,"&lt;&gt;Lorena Dias de Araujo",$B:$B,"&lt;&gt;Lucas Luiz Romero")*(28/1083),IF(C3373="Técnico I",SUMIFS($D:$D,$A:$A,$A3373,$B:$B,"&lt;&gt;Patrícia Karla de Sousa Araújo",$B:$B,"&lt;&gt;Lorena Dias de Araujo",$B:$B,"&lt;&gt;Lucas Luiz Romero")*(23/1083),IF(C3373="JR",SUMIFS($D:$D,$A:$A,$A3373,$B:$B,"&lt;&gt;Patrícia Karla de Sousa Araújo",$B:$B,"&lt;&gt;Lorena Dias de Araujo",$B:$B,"&lt;&gt;Lucas Luiz Romero")*(20/1083),IF(C3373="Estágio",SUMIFS($D:$D,$A:$A,$A3373,$B:$B,"&lt;&gt;Patrícia Karla de Sousa Araújo",$B:$B,"&lt;&gt;Lorena Dias de Araujo",$B:$B,"&lt;&gt;Lucas Luiz Romero")*(10/1083),0)))))),0)</f>
        <v>28</v>
      </c>
      <c r="K3373" s="3">
        <f>I3373-J3373</f>
        <v>4</v>
      </c>
      <c r="L3373" s="3" t="str">
        <f>IF(K3373&lt;-5,"CRÍTICO",IF(K3373&lt;0,"ATENÇÃO",IF(K3373&lt;=5,"OPORTUNO","MUITO BOM")))</f>
        <v>OPORTUNO</v>
      </c>
      <c r="M3373">
        <v>29</v>
      </c>
      <c r="N3373">
        <v>97.3</v>
      </c>
      <c r="O3373">
        <v>23.84769539078156</v>
      </c>
    </row>
    <row r="3374" spans="1:15" hidden="1" x14ac:dyDescent="0.25">
      <c r="A3374" s="11">
        <v>46107</v>
      </c>
      <c r="B3374" t="s">
        <v>15</v>
      </c>
      <c r="C3374" t="s">
        <v>16</v>
      </c>
      <c r="D3374">
        <v>21</v>
      </c>
      <c r="E3374">
        <v>20</v>
      </c>
      <c r="F3374">
        <v>15.55</v>
      </c>
      <c r="G3374">
        <v>0</v>
      </c>
      <c r="H3374">
        <v>0</v>
      </c>
      <c r="I3374" s="3">
        <f>E3374+G3374+H3374</f>
        <v>20</v>
      </c>
      <c r="J3374" s="3">
        <f>ROUND(MIN(IF(C3374="Técnico III",35,IF(C3374="Técnico II",28,IF(C3374="Técnico I",23,IF(C3374="JR",20,IF(C3374="Estágio",10,0))))),IF(C3374="Técnico III",SUMIFS($D:$D,$A:$A,$A3374,$B:$B,"&lt;&gt;Patrícia Karla de Sousa Araújo",$B:$B,"&lt;&gt;Lorena Dias de Araujo",$B:$B,"&lt;&gt;Lucas Luiz Romero")*(35/1083),IF(C3374="Técnico II",SUMIFS($D:$D,$A:$A,$A3374,$B:$B,"&lt;&gt;Patrícia Karla de Sousa Araújo",$B:$B,"&lt;&gt;Lorena Dias de Araujo",$B:$B,"&lt;&gt;Lucas Luiz Romero")*(28/1083),IF(C3374="Técnico I",SUMIFS($D:$D,$A:$A,$A3374,$B:$B,"&lt;&gt;Patrícia Karla de Sousa Araújo",$B:$B,"&lt;&gt;Lorena Dias de Araujo",$B:$B,"&lt;&gt;Lucas Luiz Romero")*(23/1083),IF(C3374="JR",SUMIFS($D:$D,$A:$A,$A3374,$B:$B,"&lt;&gt;Patrícia Karla de Sousa Araújo",$B:$B,"&lt;&gt;Lorena Dias de Araujo",$B:$B,"&lt;&gt;Lucas Luiz Romero")*(20/1083),IF(C3374="Estágio",SUMIFS($D:$D,$A:$A,$A3374,$B:$B,"&lt;&gt;Patrícia Karla de Sousa Araújo",$B:$B,"&lt;&gt;Lorena Dias de Araujo",$B:$B,"&lt;&gt;Lucas Luiz Romero")*(10/1083),0)))))),0)</f>
        <v>8</v>
      </c>
      <c r="K3374" s="3">
        <f>I3374-J3374</f>
        <v>12</v>
      </c>
      <c r="L3374" s="3" t="str">
        <f>IF(K3374&lt;-5,"CRÍTICO",IF(K3374&lt;0,"ATENÇÃO",IF(K3374&lt;=5,"OPORTUNO","MUITO BOM")))</f>
        <v>MUITO BOM</v>
      </c>
      <c r="M3374">
        <v>16</v>
      </c>
      <c r="N3374">
        <v>100</v>
      </c>
      <c r="O3374">
        <v>25.268817204301079</v>
      </c>
    </row>
    <row r="3375" spans="1:15" hidden="1" x14ac:dyDescent="0.25">
      <c r="A3375" s="11">
        <v>46107</v>
      </c>
      <c r="B3375" t="s">
        <v>49</v>
      </c>
      <c r="C3375" t="s">
        <v>48</v>
      </c>
      <c r="D3375">
        <v>35</v>
      </c>
      <c r="E3375">
        <v>31</v>
      </c>
      <c r="F3375">
        <v>15.38</v>
      </c>
      <c r="G3375">
        <v>0</v>
      </c>
      <c r="H3375">
        <v>0</v>
      </c>
      <c r="I3375" s="3">
        <f>E3375+G3375+H3375</f>
        <v>31</v>
      </c>
      <c r="J3375" s="3">
        <f>ROUND(MIN(IF(C3375="Técnico III",35,IF(C3375="Técnico II",28,IF(C3375="Técnico I",23,IF(C3375="JR",20,IF(C3375="Estágio",10,0))))),IF(C3375="Técnico III",SUMIFS($D:$D,$A:$A,$A3375,$B:$B,"&lt;&gt;Patrícia Karla de Sousa Araújo",$B:$B,"&lt;&gt;Lorena Dias de Araujo",$B:$B,"&lt;&gt;Lucas Luiz Romero")*(35/1083),IF(C3375="Técnico II",SUMIFS($D:$D,$A:$A,$A3375,$B:$B,"&lt;&gt;Patrícia Karla de Sousa Araújo",$B:$B,"&lt;&gt;Lorena Dias de Araujo",$B:$B,"&lt;&gt;Lucas Luiz Romero")*(28/1083),IF(C3375="Técnico I",SUMIFS($D:$D,$A:$A,$A3375,$B:$B,"&lt;&gt;Patrícia Karla de Sousa Araújo",$B:$B,"&lt;&gt;Lorena Dias de Araujo",$B:$B,"&lt;&gt;Lucas Luiz Romero")*(23/1083),IF(C3375="JR",SUMIFS($D:$D,$A:$A,$A3375,$B:$B,"&lt;&gt;Patrícia Karla de Sousa Araújo",$B:$B,"&lt;&gt;Lorena Dias de Araujo",$B:$B,"&lt;&gt;Lucas Luiz Romero")*(20/1083),IF(C3375="Estágio",SUMIFS($D:$D,$A:$A,$A3375,$B:$B,"&lt;&gt;Patrícia Karla de Sousa Araújo",$B:$B,"&lt;&gt;Lorena Dias de Araujo",$B:$B,"&lt;&gt;Lucas Luiz Romero")*(10/1083),0)))))),0)</f>
        <v>22</v>
      </c>
      <c r="K3375" s="3">
        <f>I3375-J3375</f>
        <v>9</v>
      </c>
      <c r="L3375" s="3" t="str">
        <f>IF(K3375&lt;-5,"CRÍTICO",IF(K3375&lt;0,"ATENÇÃO",IF(K3375&lt;=5,"OPORTUNO","MUITO BOM")))</f>
        <v>MUITO BOM</v>
      </c>
      <c r="M3375">
        <v>33</v>
      </c>
      <c r="N3375">
        <v>99.32</v>
      </c>
      <c r="O3375">
        <v>22.822822822822818</v>
      </c>
    </row>
    <row r="3376" spans="1:15" hidden="1" x14ac:dyDescent="0.25">
      <c r="A3376" s="11">
        <v>46107</v>
      </c>
      <c r="B3376" t="s">
        <v>50</v>
      </c>
      <c r="C3376" t="s">
        <v>48</v>
      </c>
      <c r="D3376">
        <v>18</v>
      </c>
      <c r="E3376">
        <v>18</v>
      </c>
      <c r="F3376">
        <v>27</v>
      </c>
      <c r="G3376">
        <v>0</v>
      </c>
      <c r="H3376">
        <v>0</v>
      </c>
      <c r="I3376" s="3">
        <f>E3376+G3376+H3376</f>
        <v>18</v>
      </c>
      <c r="J3376" s="3">
        <f>ROUND(MIN(IF(C3376="Técnico III",35,IF(C3376="Técnico II",28,IF(C3376="Técnico I",23,IF(C3376="JR",20,IF(C3376="Estágio",10,0))))),IF(C3376="Técnico III",SUMIFS($D:$D,$A:$A,$A3376,$B:$B,"&lt;&gt;Patrícia Karla de Sousa Araújo",$B:$B,"&lt;&gt;Lorena Dias de Araujo",$B:$B,"&lt;&gt;Lucas Luiz Romero")*(35/1083),IF(C3376="Técnico II",SUMIFS($D:$D,$A:$A,$A3376,$B:$B,"&lt;&gt;Patrícia Karla de Sousa Araújo",$B:$B,"&lt;&gt;Lorena Dias de Araujo",$B:$B,"&lt;&gt;Lucas Luiz Romero")*(28/1083),IF(C3376="Técnico I",SUMIFS($D:$D,$A:$A,$A3376,$B:$B,"&lt;&gt;Patrícia Karla de Sousa Araújo",$B:$B,"&lt;&gt;Lorena Dias de Araujo",$B:$B,"&lt;&gt;Lucas Luiz Romero")*(23/1083),IF(C3376="JR",SUMIFS($D:$D,$A:$A,$A3376,$B:$B,"&lt;&gt;Patrícia Karla de Sousa Araújo",$B:$B,"&lt;&gt;Lorena Dias de Araujo",$B:$B,"&lt;&gt;Lucas Luiz Romero")*(20/1083),IF(C3376="Estágio",SUMIFS($D:$D,$A:$A,$A3376,$B:$B,"&lt;&gt;Patrícia Karla de Sousa Araújo",$B:$B,"&lt;&gt;Lorena Dias de Araujo",$B:$B,"&lt;&gt;Lucas Luiz Romero")*(10/1083),0)))))),0)</f>
        <v>22</v>
      </c>
      <c r="K3376" s="3">
        <f>I3376-J3376</f>
        <v>-4</v>
      </c>
      <c r="L3376" s="3" t="str">
        <f>IF(K3376&lt;-5,"CRÍTICO",IF(K3376&lt;0,"ATENÇÃO",IF(K3376&lt;=5,"OPORTUNO","MUITO BOM")))</f>
        <v>ATENÇÃO</v>
      </c>
      <c r="M3376">
        <v>18</v>
      </c>
      <c r="N3376">
        <v>100</v>
      </c>
      <c r="O3376">
        <v>27.966101694915249</v>
      </c>
    </row>
    <row r="3377" spans="1:15" hidden="1" x14ac:dyDescent="0.25">
      <c r="A3377" s="11">
        <v>46107</v>
      </c>
      <c r="B3377" t="s">
        <v>17</v>
      </c>
      <c r="C3377" t="s">
        <v>16</v>
      </c>
      <c r="D3377">
        <v>8</v>
      </c>
      <c r="E3377">
        <v>7</v>
      </c>
      <c r="F3377">
        <v>25.28</v>
      </c>
      <c r="G3377">
        <v>0</v>
      </c>
      <c r="H3377">
        <v>0</v>
      </c>
      <c r="I3377" s="3">
        <f>E3377+G3377+H3377</f>
        <v>7</v>
      </c>
      <c r="J3377" s="3">
        <f>ROUND(MIN(IF(C3377="Técnico III",35,IF(C3377="Técnico II",28,IF(C3377="Técnico I",23,IF(C3377="JR",20,IF(C3377="Estágio",10,0))))),IF(C3377="Técnico III",SUMIFS($D:$D,$A:$A,$A3377,$B:$B,"&lt;&gt;Patrícia Karla de Sousa Araújo",$B:$B,"&lt;&gt;Lorena Dias de Araujo",$B:$B,"&lt;&gt;Lucas Luiz Romero")*(35/1083),IF(C3377="Técnico II",SUMIFS($D:$D,$A:$A,$A3377,$B:$B,"&lt;&gt;Patrícia Karla de Sousa Araújo",$B:$B,"&lt;&gt;Lorena Dias de Araujo",$B:$B,"&lt;&gt;Lucas Luiz Romero")*(28/1083),IF(C3377="Técnico I",SUMIFS($D:$D,$A:$A,$A3377,$B:$B,"&lt;&gt;Patrícia Karla de Sousa Araújo",$B:$B,"&lt;&gt;Lorena Dias de Araujo",$B:$B,"&lt;&gt;Lucas Luiz Romero")*(23/1083),IF(C3377="JR",SUMIFS($D:$D,$A:$A,$A3377,$B:$B,"&lt;&gt;Patrícia Karla de Sousa Araújo",$B:$B,"&lt;&gt;Lorena Dias de Araujo",$B:$B,"&lt;&gt;Lucas Luiz Romero")*(20/1083),IF(C3377="Estágio",SUMIFS($D:$D,$A:$A,$A3377,$B:$B,"&lt;&gt;Patrícia Karla de Sousa Araújo",$B:$B,"&lt;&gt;Lorena Dias de Araujo",$B:$B,"&lt;&gt;Lucas Luiz Romero")*(10/1083),0)))))),0)</f>
        <v>8</v>
      </c>
      <c r="K3377" s="3">
        <f>I3377-J3377</f>
        <v>-1</v>
      </c>
      <c r="L3377" s="3" t="str">
        <f>IF(K3377&lt;-5,"CRÍTICO",IF(K3377&lt;0,"ATENÇÃO",IF(K3377&lt;=5,"OPORTUNO","MUITO BOM")))</f>
        <v>ATENÇÃO</v>
      </c>
      <c r="M3377">
        <v>4</v>
      </c>
      <c r="N3377">
        <v>100</v>
      </c>
      <c r="O3377">
        <v>30.434782608695659</v>
      </c>
    </row>
    <row r="3378" spans="1:15" hidden="1" x14ac:dyDescent="0.25">
      <c r="A3378" s="11">
        <v>46107</v>
      </c>
      <c r="B3378" t="s">
        <v>60</v>
      </c>
      <c r="C3378" t="s">
        <v>23</v>
      </c>
      <c r="D3378">
        <v>22</v>
      </c>
      <c r="E3378">
        <v>22</v>
      </c>
      <c r="F3378">
        <v>21.58</v>
      </c>
      <c r="G3378">
        <v>0</v>
      </c>
      <c r="H3378">
        <v>0</v>
      </c>
      <c r="I3378" s="3">
        <f>E3378+G3378+H3378</f>
        <v>22</v>
      </c>
      <c r="J3378" s="3">
        <f>ROUND(MIN(IF(C3378="Técnico III",35,IF(C3378="Técnico II",28,IF(C3378="Técnico I",23,IF(C3378="JR",20,IF(C3378="Estágio",10,0))))),IF(C3378="Técnico III",SUMIFS($D:$D,$A:$A,$A3378,$B:$B,"&lt;&gt;Patrícia Karla de Sousa Araújo",$B:$B,"&lt;&gt;Lorena Dias de Araujo",$B:$B,"&lt;&gt;Lucas Luiz Romero")*(35/1083),IF(C3378="Técnico II",SUMIFS($D:$D,$A:$A,$A3378,$B:$B,"&lt;&gt;Patrícia Karla de Sousa Araújo",$B:$B,"&lt;&gt;Lorena Dias de Araujo",$B:$B,"&lt;&gt;Lucas Luiz Romero")*(28/1083),IF(C3378="Técnico I",SUMIFS($D:$D,$A:$A,$A3378,$B:$B,"&lt;&gt;Patrícia Karla de Sousa Araújo",$B:$B,"&lt;&gt;Lorena Dias de Araujo",$B:$B,"&lt;&gt;Lucas Luiz Romero")*(23/1083),IF(C3378="JR",SUMIFS($D:$D,$A:$A,$A3378,$B:$B,"&lt;&gt;Patrícia Karla de Sousa Araújo",$B:$B,"&lt;&gt;Lorena Dias de Araujo",$B:$B,"&lt;&gt;Lucas Luiz Romero")*(20/1083),IF(C3378="Estágio",SUMIFS($D:$D,$A:$A,$A3378,$B:$B,"&lt;&gt;Patrícia Karla de Sousa Araújo",$B:$B,"&lt;&gt;Lorena Dias de Araujo",$B:$B,"&lt;&gt;Lucas Luiz Romero")*(10/1083),0)))))),0)</f>
        <v>18</v>
      </c>
      <c r="K3378" s="3">
        <f>I3378-J3378</f>
        <v>4</v>
      </c>
      <c r="L3378" s="3" t="str">
        <f>IF(K3378&lt;-5,"CRÍTICO",IF(K3378&lt;0,"ATENÇÃO",IF(K3378&lt;=5,"OPORTUNO","MUITO BOM")))</f>
        <v>OPORTUNO</v>
      </c>
      <c r="M3378">
        <v>17</v>
      </c>
      <c r="N3378">
        <v>96.51</v>
      </c>
      <c r="O3378">
        <v>22.802850356294542</v>
      </c>
    </row>
    <row r="3379" spans="1:15" hidden="1" x14ac:dyDescent="0.25">
      <c r="A3379" s="11">
        <v>46107</v>
      </c>
      <c r="B3379" t="s">
        <v>34</v>
      </c>
      <c r="C3379" t="s">
        <v>32</v>
      </c>
      <c r="D3379">
        <v>36</v>
      </c>
      <c r="E3379">
        <v>33</v>
      </c>
      <c r="F3379">
        <v>13.27</v>
      </c>
      <c r="G3379">
        <v>0</v>
      </c>
      <c r="H3379">
        <v>0</v>
      </c>
      <c r="I3379" s="3">
        <f>E3379+G3379+H3379</f>
        <v>33</v>
      </c>
      <c r="J3379" s="3">
        <f>ROUND(MIN(IF(C3379="Técnico III",35,IF(C3379="Técnico II",28,IF(C3379="Técnico I",23,IF(C3379="JR",20,IF(C3379="Estágio",10,0))))),IF(C3379="Técnico III",SUMIFS($D:$D,$A:$A,$A3379,$B:$B,"&lt;&gt;Patrícia Karla de Sousa Araújo",$B:$B,"&lt;&gt;Lorena Dias de Araujo",$B:$B,"&lt;&gt;Lucas Luiz Romero")*(35/1083),IF(C3379="Técnico II",SUMIFS($D:$D,$A:$A,$A3379,$B:$B,"&lt;&gt;Patrícia Karla de Sousa Araújo",$B:$B,"&lt;&gt;Lorena Dias de Araujo",$B:$B,"&lt;&gt;Lucas Luiz Romero")*(28/1083),IF(C3379="Técnico I",SUMIFS($D:$D,$A:$A,$A3379,$B:$B,"&lt;&gt;Patrícia Karla de Sousa Araújo",$B:$B,"&lt;&gt;Lorena Dias de Araujo",$B:$B,"&lt;&gt;Lucas Luiz Romero")*(23/1083),IF(C3379="JR",SUMIFS($D:$D,$A:$A,$A3379,$B:$B,"&lt;&gt;Patrícia Karla de Sousa Araújo",$B:$B,"&lt;&gt;Lorena Dias de Araujo",$B:$B,"&lt;&gt;Lucas Luiz Romero")*(20/1083),IF(C3379="Estágio",SUMIFS($D:$D,$A:$A,$A3379,$B:$B,"&lt;&gt;Patrícia Karla de Sousa Araújo",$B:$B,"&lt;&gt;Lorena Dias de Araujo",$B:$B,"&lt;&gt;Lucas Luiz Romero")*(10/1083),0)))))),0)</f>
        <v>28</v>
      </c>
      <c r="K3379" s="3">
        <f>I3379-J3379</f>
        <v>5</v>
      </c>
      <c r="L3379" s="3" t="str">
        <f>IF(K3379&lt;-5,"CRÍTICO",IF(K3379&lt;0,"ATENÇÃO",IF(K3379&lt;=5,"OPORTUNO","MUITO BOM")))</f>
        <v>OPORTUNO</v>
      </c>
      <c r="M3379">
        <v>28</v>
      </c>
      <c r="N3379">
        <v>92.68</v>
      </c>
      <c r="O3379">
        <v>27.777777777777779</v>
      </c>
    </row>
    <row r="3380" spans="1:15" hidden="1" x14ac:dyDescent="0.25">
      <c r="A3380" s="11">
        <v>46107</v>
      </c>
      <c r="B3380" t="s">
        <v>51</v>
      </c>
      <c r="C3380" t="s">
        <v>48</v>
      </c>
      <c r="D3380">
        <v>40</v>
      </c>
      <c r="E3380">
        <v>35</v>
      </c>
      <c r="F3380">
        <v>14.12</v>
      </c>
      <c r="G3380">
        <v>0</v>
      </c>
      <c r="H3380">
        <v>0</v>
      </c>
      <c r="I3380" s="3">
        <v>0</v>
      </c>
      <c r="J3380" s="3">
        <v>0</v>
      </c>
      <c r="K3380" s="3">
        <v>0</v>
      </c>
      <c r="L3380" s="3" t="str">
        <f>IF(K3380&lt;-5,"CRÍTICO",IF(K3380&lt;0,"ATENÇÃO",IF(K3380&lt;=5,"OPORTUNO","MUITO BOM")))</f>
        <v>OPORTUNO</v>
      </c>
      <c r="M3380">
        <v>32</v>
      </c>
      <c r="N3380">
        <v>99.03</v>
      </c>
      <c r="O3380">
        <v>23.991507430997881</v>
      </c>
    </row>
    <row r="3381" spans="1:15" hidden="1" x14ac:dyDescent="0.25">
      <c r="A3381" s="11">
        <v>46107</v>
      </c>
      <c r="B3381" t="s">
        <v>61</v>
      </c>
      <c r="C3381" t="s">
        <v>23</v>
      </c>
      <c r="D3381">
        <v>17</v>
      </c>
      <c r="E3381">
        <v>17</v>
      </c>
      <c r="F3381">
        <v>25.03</v>
      </c>
      <c r="G3381">
        <v>0</v>
      </c>
      <c r="H3381">
        <v>0</v>
      </c>
      <c r="I3381" s="3">
        <f>E3381+G3381+H3381</f>
        <v>17</v>
      </c>
      <c r="J3381" s="3">
        <f>ROUND(MIN(IF(C3381="Técnico III",35,IF(C3381="Técnico II",28,IF(C3381="Técnico I",23,IF(C3381="JR",20,IF(C3381="Estágio",10,0))))),IF(C3381="Técnico III",SUMIFS($D:$D,$A:$A,$A3381,$B:$B,"&lt;&gt;Patrícia Karla de Sousa Araújo",$B:$B,"&lt;&gt;Lorena Dias de Araujo",$B:$B,"&lt;&gt;Lucas Luiz Romero")*(35/1083),IF(C3381="Técnico II",SUMIFS($D:$D,$A:$A,$A3381,$B:$B,"&lt;&gt;Patrícia Karla de Sousa Araújo",$B:$B,"&lt;&gt;Lorena Dias de Araujo",$B:$B,"&lt;&gt;Lucas Luiz Romero")*(28/1083),IF(C3381="Técnico I",SUMIFS($D:$D,$A:$A,$A3381,$B:$B,"&lt;&gt;Patrícia Karla de Sousa Araújo",$B:$B,"&lt;&gt;Lorena Dias de Araujo",$B:$B,"&lt;&gt;Lucas Luiz Romero")*(23/1083),IF(C3381="JR",SUMIFS($D:$D,$A:$A,$A3381,$B:$B,"&lt;&gt;Patrícia Karla de Sousa Araújo",$B:$B,"&lt;&gt;Lorena Dias de Araujo",$B:$B,"&lt;&gt;Lucas Luiz Romero")*(20/1083),IF(C3381="Estágio",SUMIFS($D:$D,$A:$A,$A3381,$B:$B,"&lt;&gt;Patrícia Karla de Sousa Araújo",$B:$B,"&lt;&gt;Lorena Dias de Araujo",$B:$B,"&lt;&gt;Lucas Luiz Romero")*(10/1083),0)))))),0)</f>
        <v>18</v>
      </c>
      <c r="K3381" s="3">
        <f>I3381-J3381</f>
        <v>-1</v>
      </c>
      <c r="L3381" s="3" t="str">
        <f>IF(K3381&lt;-5,"CRÍTICO",IF(K3381&lt;0,"ATENÇÃO",IF(K3381&lt;=5,"OPORTUNO","MUITO BOM")))</f>
        <v>ATENÇÃO</v>
      </c>
      <c r="M3381">
        <v>8</v>
      </c>
      <c r="N3381">
        <v>98.41</v>
      </c>
      <c r="O3381">
        <v>28.138528138528141</v>
      </c>
    </row>
    <row r="3382" spans="1:15" hidden="1" x14ac:dyDescent="0.25">
      <c r="A3382" s="11">
        <v>46107</v>
      </c>
      <c r="B3382" t="s">
        <v>35</v>
      </c>
      <c r="C3382" t="s">
        <v>32</v>
      </c>
      <c r="D3382">
        <v>21</v>
      </c>
      <c r="E3382">
        <v>21</v>
      </c>
      <c r="F3382">
        <v>26.42</v>
      </c>
      <c r="G3382">
        <v>0</v>
      </c>
      <c r="H3382">
        <v>0</v>
      </c>
      <c r="I3382" s="3">
        <v>0</v>
      </c>
      <c r="J3382" s="3">
        <v>0</v>
      </c>
      <c r="K3382" s="3">
        <v>0</v>
      </c>
      <c r="L3382" s="3" t="str">
        <f>IF(K3382&lt;-5,"CRÍTICO",IF(K3382&lt;0,"ATENÇÃO",IF(K3382&lt;=5,"OPORTUNO","MUITO BOM")))</f>
        <v>OPORTUNO</v>
      </c>
      <c r="M3382">
        <v>22</v>
      </c>
      <c r="N3382">
        <v>98.73</v>
      </c>
      <c r="O3382">
        <v>29.142857142857139</v>
      </c>
    </row>
    <row r="3383" spans="1:15" hidden="1" x14ac:dyDescent="0.25">
      <c r="A3383" s="11">
        <v>46107</v>
      </c>
      <c r="B3383" t="s">
        <v>18</v>
      </c>
      <c r="C3383" t="s">
        <v>16</v>
      </c>
      <c r="D3383">
        <v>15</v>
      </c>
      <c r="E3383">
        <v>13</v>
      </c>
      <c r="F3383">
        <v>20.47</v>
      </c>
      <c r="G3383">
        <v>0</v>
      </c>
      <c r="H3383">
        <v>0</v>
      </c>
      <c r="I3383" s="3">
        <f>E3383+G3383+H3383</f>
        <v>13</v>
      </c>
      <c r="J3383" s="3">
        <f>ROUND(MIN(IF(C3383="Técnico III",35,IF(C3383="Técnico II",28,IF(C3383="Técnico I",23,IF(C3383="JR",20,IF(C3383="Estágio",10,0))))),IF(C3383="Técnico III",SUMIFS($D:$D,$A:$A,$A3383,$B:$B,"&lt;&gt;Patrícia Karla de Sousa Araújo",$B:$B,"&lt;&gt;Lorena Dias de Araujo",$B:$B,"&lt;&gt;Lucas Luiz Romero")*(35/1083),IF(C3383="Técnico II",SUMIFS($D:$D,$A:$A,$A3383,$B:$B,"&lt;&gt;Patrícia Karla de Sousa Araújo",$B:$B,"&lt;&gt;Lorena Dias de Araujo",$B:$B,"&lt;&gt;Lucas Luiz Romero")*(28/1083),IF(C3383="Técnico I",SUMIFS($D:$D,$A:$A,$A3383,$B:$B,"&lt;&gt;Patrícia Karla de Sousa Araújo",$B:$B,"&lt;&gt;Lorena Dias de Araujo",$B:$B,"&lt;&gt;Lucas Luiz Romero")*(23/1083),IF(C3383="JR",SUMIFS($D:$D,$A:$A,$A3383,$B:$B,"&lt;&gt;Patrícia Karla de Sousa Araújo",$B:$B,"&lt;&gt;Lorena Dias de Araujo",$B:$B,"&lt;&gt;Lucas Luiz Romero")*(20/1083),IF(C3383="Estágio",SUMIFS($D:$D,$A:$A,$A3383,$B:$B,"&lt;&gt;Patrícia Karla de Sousa Araújo",$B:$B,"&lt;&gt;Lorena Dias de Araujo",$B:$B,"&lt;&gt;Lucas Luiz Romero")*(10/1083),0)))))),0)</f>
        <v>8</v>
      </c>
      <c r="K3383" s="3">
        <f>I3383-J3383</f>
        <v>5</v>
      </c>
      <c r="L3383" s="3" t="str">
        <f>IF(K3383&lt;-5,"CRÍTICO",IF(K3383&lt;0,"ATENÇÃO",IF(K3383&lt;=5,"OPORTUNO","MUITO BOM")))</f>
        <v>OPORTUNO</v>
      </c>
      <c r="M3383">
        <v>9</v>
      </c>
      <c r="N3383">
        <v>90.48</v>
      </c>
      <c r="O3383">
        <v>20.68965517241379</v>
      </c>
    </row>
    <row r="3384" spans="1:15" hidden="1" x14ac:dyDescent="0.25">
      <c r="A3384" s="11">
        <v>46107</v>
      </c>
      <c r="B3384" t="s">
        <v>52</v>
      </c>
      <c r="C3384" t="s">
        <v>48</v>
      </c>
      <c r="D3384">
        <v>29</v>
      </c>
      <c r="E3384">
        <v>26</v>
      </c>
      <c r="F3384">
        <v>16.440000000000001</v>
      </c>
      <c r="G3384">
        <v>0</v>
      </c>
      <c r="H3384">
        <v>0</v>
      </c>
      <c r="I3384" s="3">
        <f>E3384+G3384+H3384</f>
        <v>26</v>
      </c>
      <c r="J3384" s="3">
        <f>ROUND(MIN(IF(C3384="Técnico III",35,IF(C3384="Técnico II",28,IF(C3384="Técnico I",23,IF(C3384="JR",20,IF(C3384="Estágio",10,0))))),IF(C3384="Técnico III",SUMIFS($D:$D,$A:$A,$A3384,$B:$B,"&lt;&gt;Patrícia Karla de Sousa Araújo",$B:$B,"&lt;&gt;Lorena Dias de Araujo",$B:$B,"&lt;&gt;Lucas Luiz Romero")*(35/1083),IF(C3384="Técnico II",SUMIFS($D:$D,$A:$A,$A3384,$B:$B,"&lt;&gt;Patrícia Karla de Sousa Araújo",$B:$B,"&lt;&gt;Lorena Dias de Araujo",$B:$B,"&lt;&gt;Lucas Luiz Romero")*(28/1083),IF(C3384="Técnico I",SUMIFS($D:$D,$A:$A,$A3384,$B:$B,"&lt;&gt;Patrícia Karla de Sousa Araújo",$B:$B,"&lt;&gt;Lorena Dias de Araujo",$B:$B,"&lt;&gt;Lucas Luiz Romero")*(23/1083),IF(C3384="JR",SUMIFS($D:$D,$A:$A,$A3384,$B:$B,"&lt;&gt;Patrícia Karla de Sousa Araújo",$B:$B,"&lt;&gt;Lorena Dias de Araujo",$B:$B,"&lt;&gt;Lucas Luiz Romero")*(20/1083),IF(C3384="Estágio",SUMIFS($D:$D,$A:$A,$A3384,$B:$B,"&lt;&gt;Patrícia Karla de Sousa Araújo",$B:$B,"&lt;&gt;Lorena Dias de Araujo",$B:$B,"&lt;&gt;Lucas Luiz Romero")*(10/1083),0)))))),0)</f>
        <v>22</v>
      </c>
      <c r="K3384" s="3">
        <f>I3384-J3384</f>
        <v>4</v>
      </c>
      <c r="L3384" s="3" t="str">
        <f>IF(K3384&lt;-5,"CRÍTICO",IF(K3384&lt;0,"ATENÇÃO",IF(K3384&lt;=5,"OPORTUNO","MUITO BOM")))</f>
        <v>OPORTUNO</v>
      </c>
      <c r="M3384">
        <v>23</v>
      </c>
      <c r="N3384">
        <v>98.06</v>
      </c>
      <c r="O3384">
        <v>24.789915966386559</v>
      </c>
    </row>
    <row r="3385" spans="1:15" hidden="1" x14ac:dyDescent="0.25">
      <c r="A3385" s="11">
        <v>46107</v>
      </c>
      <c r="B3385" t="s">
        <v>36</v>
      </c>
      <c r="C3385" t="s">
        <v>32</v>
      </c>
      <c r="D3385">
        <v>31</v>
      </c>
      <c r="E3385">
        <v>30</v>
      </c>
      <c r="F3385">
        <v>18.32</v>
      </c>
      <c r="G3385">
        <v>0</v>
      </c>
      <c r="H3385">
        <v>0</v>
      </c>
      <c r="I3385" s="3">
        <f>E3385+G3385+H3385</f>
        <v>30</v>
      </c>
      <c r="J3385" s="3">
        <f>ROUND(MIN(IF(C3385="Técnico III",35,IF(C3385="Técnico II",28,IF(C3385="Técnico I",23,IF(C3385="JR",20,IF(C3385="Estágio",10,0))))),IF(C3385="Técnico III",SUMIFS($D:$D,$A:$A,$A3385,$B:$B,"&lt;&gt;Patrícia Karla de Sousa Araújo",$B:$B,"&lt;&gt;Lorena Dias de Araujo",$B:$B,"&lt;&gt;Lucas Luiz Romero")*(35/1083),IF(C3385="Técnico II",SUMIFS($D:$D,$A:$A,$A3385,$B:$B,"&lt;&gt;Patrícia Karla de Sousa Araújo",$B:$B,"&lt;&gt;Lorena Dias de Araujo",$B:$B,"&lt;&gt;Lucas Luiz Romero")*(28/1083),IF(C3385="Técnico I",SUMIFS($D:$D,$A:$A,$A3385,$B:$B,"&lt;&gt;Patrícia Karla de Sousa Araújo",$B:$B,"&lt;&gt;Lorena Dias de Araujo",$B:$B,"&lt;&gt;Lucas Luiz Romero")*(23/1083),IF(C3385="JR",SUMIFS($D:$D,$A:$A,$A3385,$B:$B,"&lt;&gt;Patrícia Karla de Sousa Araújo",$B:$B,"&lt;&gt;Lorena Dias de Araujo",$B:$B,"&lt;&gt;Lucas Luiz Romero")*(20/1083),IF(C3385="Estágio",SUMIFS($D:$D,$A:$A,$A3385,$B:$B,"&lt;&gt;Patrícia Karla de Sousa Araújo",$B:$B,"&lt;&gt;Lorena Dias de Araujo",$B:$B,"&lt;&gt;Lucas Luiz Romero")*(10/1083),0)))))),0)</f>
        <v>28</v>
      </c>
      <c r="K3385" s="3">
        <f>I3385-J3385</f>
        <v>2</v>
      </c>
      <c r="L3385" s="3" t="str">
        <f>IF(K3385&lt;-5,"CRÍTICO",IF(K3385&lt;0,"ATENÇÃO",IF(K3385&lt;=5,"OPORTUNO","MUITO BOM")))</f>
        <v>OPORTUNO</v>
      </c>
      <c r="M3385">
        <v>30</v>
      </c>
      <c r="N3385">
        <v>97.78</v>
      </c>
      <c r="O3385">
        <v>25.494071146245059</v>
      </c>
    </row>
    <row r="3386" spans="1:15" hidden="1" x14ac:dyDescent="0.25">
      <c r="A3386" s="11">
        <v>46107</v>
      </c>
      <c r="B3386" t="s">
        <v>53</v>
      </c>
      <c r="C3386" t="s">
        <v>48</v>
      </c>
      <c r="D3386">
        <v>23</v>
      </c>
      <c r="E3386">
        <v>23</v>
      </c>
      <c r="F3386">
        <v>24.1</v>
      </c>
      <c r="G3386">
        <v>0</v>
      </c>
      <c r="H3386">
        <v>0</v>
      </c>
      <c r="I3386" s="3">
        <f>E3386+G3386+H3386</f>
        <v>23</v>
      </c>
      <c r="J3386" s="3">
        <f>ROUND(MIN(IF(C3386="Técnico III",35,IF(C3386="Técnico II",28,IF(C3386="Técnico I",23,IF(C3386="JR",20,IF(C3386="Estágio",10,0))))),IF(C3386="Técnico III",SUMIFS($D:$D,$A:$A,$A3386,$B:$B,"&lt;&gt;Patrícia Karla de Sousa Araújo",$B:$B,"&lt;&gt;Lorena Dias de Araujo",$B:$B,"&lt;&gt;Lucas Luiz Romero")*(35/1083),IF(C3386="Técnico II",SUMIFS($D:$D,$A:$A,$A3386,$B:$B,"&lt;&gt;Patrícia Karla de Sousa Araújo",$B:$B,"&lt;&gt;Lorena Dias de Araujo",$B:$B,"&lt;&gt;Lucas Luiz Romero")*(28/1083),IF(C3386="Técnico I",SUMIFS($D:$D,$A:$A,$A3386,$B:$B,"&lt;&gt;Patrícia Karla de Sousa Araújo",$B:$B,"&lt;&gt;Lorena Dias de Araujo",$B:$B,"&lt;&gt;Lucas Luiz Romero")*(23/1083),IF(C3386="JR",SUMIFS($D:$D,$A:$A,$A3386,$B:$B,"&lt;&gt;Patrícia Karla de Sousa Araújo",$B:$B,"&lt;&gt;Lorena Dias de Araujo",$B:$B,"&lt;&gt;Lucas Luiz Romero")*(20/1083),IF(C3386="Estágio",SUMIFS($D:$D,$A:$A,$A3386,$B:$B,"&lt;&gt;Patrícia Karla de Sousa Araújo",$B:$B,"&lt;&gt;Lorena Dias de Araujo",$B:$B,"&lt;&gt;Lucas Luiz Romero")*(10/1083),0)))))),0)</f>
        <v>22</v>
      </c>
      <c r="K3386" s="3">
        <f>I3386-J3386</f>
        <v>1</v>
      </c>
      <c r="L3386" s="3" t="str">
        <f>IF(K3386&lt;-5,"CRÍTICO",IF(K3386&lt;0,"ATENÇÃO",IF(K3386&lt;=5,"OPORTUNO","MUITO BOM")))</f>
        <v>OPORTUNO</v>
      </c>
      <c r="M3386">
        <v>22</v>
      </c>
      <c r="N3386">
        <v>98.02</v>
      </c>
      <c r="O3386">
        <v>23.484848484848481</v>
      </c>
    </row>
    <row r="3387" spans="1:15" hidden="1" x14ac:dyDescent="0.25">
      <c r="A3387" s="5">
        <v>46160</v>
      </c>
      <c r="B3387" s="6" t="s">
        <v>64</v>
      </c>
      <c r="C3387" s="1" t="s">
        <v>23</v>
      </c>
      <c r="D3387" s="3">
        <v>23</v>
      </c>
      <c r="E3387" s="3">
        <v>19</v>
      </c>
      <c r="F3387" s="3">
        <v>23.58</v>
      </c>
      <c r="G3387" s="3">
        <v>3</v>
      </c>
      <c r="H3387" s="3">
        <v>0</v>
      </c>
      <c r="I3387" s="3">
        <f>E3387+G3387+H3387</f>
        <v>22</v>
      </c>
      <c r="J3387" s="3">
        <f>ROUND(MIN(IF(C3387="Técnico III",35,IF(C3387="Técnico II",28,IF(C3387="Técnico I",23,IF(C3387="JR",20,IF(C3387="Estágio",10,0))))),IF(C3387="Técnico III",SUMIFS($D:$D,$A:$A,$A3387,$B:$B,"&lt;&gt;Patrícia Karla de Sousa Araújo",$B:$B,"&lt;&gt;Lorena Dias de Araujo",$B:$B,"&lt;&gt;Lucas Luiz Romero")*(35/1083),IF(C3387="Técnico II",SUMIFS($D:$D,$A:$A,$A3387,$B:$B,"&lt;&gt;Patrícia Karla de Sousa Araújo",$B:$B,"&lt;&gt;Lorena Dias de Araujo",$B:$B,"&lt;&gt;Lucas Luiz Romero")*(28/1083),IF(C3387="Técnico I",SUMIFS($D:$D,$A:$A,$A3387,$B:$B,"&lt;&gt;Patrícia Karla de Sousa Araújo",$B:$B,"&lt;&gt;Lorena Dias de Araujo",$B:$B,"&lt;&gt;Lucas Luiz Romero")*(23/1083),IF(C3387="JR",SUMIFS($D:$D,$A:$A,$A3387,$B:$B,"&lt;&gt;Patrícia Karla de Sousa Araújo",$B:$B,"&lt;&gt;Lorena Dias de Araujo",$B:$B,"&lt;&gt;Lucas Luiz Romero")*(20/1083),IF(C3387="Estágio",SUMIFS($D:$D,$A:$A,$A3387,$B:$B,"&lt;&gt;Patrícia Karla de Sousa Araújo",$B:$B,"&lt;&gt;Lorena Dias de Araujo",$B:$B,"&lt;&gt;Lucas Luiz Romero")*(10/1083),0)))))),0)</f>
        <v>17</v>
      </c>
      <c r="K3387" s="3">
        <f>I3387-J3387</f>
        <v>5</v>
      </c>
      <c r="L3387" s="3" t="str">
        <f>IF(K3387&lt;-5,"CRÍTICO",IF(K3387&lt;0,"ATENÇÃO",IF(K3387&lt;=5,"OPORTUNO","MUITO BOM")))</f>
        <v>OPORTUNO</v>
      </c>
      <c r="M3387" s="3">
        <v>18</v>
      </c>
      <c r="N3387" s="3">
        <v>100</v>
      </c>
      <c r="O3387" s="3">
        <v>18</v>
      </c>
    </row>
    <row r="3388" spans="1:15" hidden="1" x14ac:dyDescent="0.25">
      <c r="A3388" s="11">
        <v>46107</v>
      </c>
      <c r="B3388" t="s">
        <v>54</v>
      </c>
      <c r="C3388" t="s">
        <v>48</v>
      </c>
      <c r="D3388">
        <v>25</v>
      </c>
      <c r="E3388">
        <v>23</v>
      </c>
      <c r="F3388">
        <v>20.399999999999999</v>
      </c>
      <c r="G3388">
        <v>0</v>
      </c>
      <c r="H3388">
        <v>0</v>
      </c>
      <c r="I3388" s="3">
        <f>E3388+G3388+H3388</f>
        <v>23</v>
      </c>
      <c r="J3388" s="3">
        <f>ROUND(MIN(IF(C3388="Técnico III",35,IF(C3388="Técnico II",28,IF(C3388="Técnico I",23,IF(C3388="JR",20,IF(C3388="Estágio",10,0))))),IF(C3388="Técnico III",SUMIFS($D:$D,$A:$A,$A3388,$B:$B,"&lt;&gt;Patrícia Karla de Sousa Araújo",$B:$B,"&lt;&gt;Lorena Dias de Araujo",$B:$B,"&lt;&gt;Lucas Luiz Romero")*(35/1083),IF(C3388="Técnico II",SUMIFS($D:$D,$A:$A,$A3388,$B:$B,"&lt;&gt;Patrícia Karla de Sousa Araújo",$B:$B,"&lt;&gt;Lorena Dias de Araujo",$B:$B,"&lt;&gt;Lucas Luiz Romero")*(28/1083),IF(C3388="Técnico I",SUMIFS($D:$D,$A:$A,$A3388,$B:$B,"&lt;&gt;Patrícia Karla de Sousa Araújo",$B:$B,"&lt;&gt;Lorena Dias de Araujo",$B:$B,"&lt;&gt;Lucas Luiz Romero")*(23/1083),IF(C3388="JR",SUMIFS($D:$D,$A:$A,$A3388,$B:$B,"&lt;&gt;Patrícia Karla de Sousa Araújo",$B:$B,"&lt;&gt;Lorena Dias de Araujo",$B:$B,"&lt;&gt;Lucas Luiz Romero")*(20/1083),IF(C3388="Estágio",SUMIFS($D:$D,$A:$A,$A3388,$B:$B,"&lt;&gt;Patrícia Karla de Sousa Araújo",$B:$B,"&lt;&gt;Lorena Dias de Araujo",$B:$B,"&lt;&gt;Lucas Luiz Romero")*(10/1083),0)))))),0)</f>
        <v>22</v>
      </c>
      <c r="K3388" s="3">
        <f>I3388-J3388</f>
        <v>1</v>
      </c>
      <c r="L3388" s="3" t="str">
        <f>IF(K3388&lt;-5,"CRÍTICO",IF(K3388&lt;0,"ATENÇÃO",IF(K3388&lt;=5,"OPORTUNO","MUITO BOM")))</f>
        <v>OPORTUNO</v>
      </c>
      <c r="M3388">
        <v>21</v>
      </c>
      <c r="N3388">
        <v>100</v>
      </c>
      <c r="O3388">
        <v>27.04918032786885</v>
      </c>
    </row>
    <row r="3389" spans="1:15" hidden="1" x14ac:dyDescent="0.25">
      <c r="A3389" s="11">
        <v>46107</v>
      </c>
      <c r="B3389" t="s">
        <v>37</v>
      </c>
      <c r="C3389" t="s">
        <v>32</v>
      </c>
      <c r="D3389">
        <v>40</v>
      </c>
      <c r="E3389">
        <v>38</v>
      </c>
      <c r="F3389">
        <v>14.19</v>
      </c>
      <c r="G3389">
        <v>0</v>
      </c>
      <c r="H3389">
        <v>0</v>
      </c>
      <c r="I3389" s="3">
        <f>E3389+G3389+H3389</f>
        <v>38</v>
      </c>
      <c r="J3389" s="3">
        <f>ROUND(MIN(IF(C3389="Técnico III",35,IF(C3389="Técnico II",28,IF(C3389="Técnico I",23,IF(C3389="JR",20,IF(C3389="Estágio",10,0))))),IF(C3389="Técnico III",SUMIFS($D:$D,$A:$A,$A3389,$B:$B,"&lt;&gt;Patrícia Karla de Sousa Araújo",$B:$B,"&lt;&gt;Lorena Dias de Araujo",$B:$B,"&lt;&gt;Lucas Luiz Romero")*(35/1083),IF(C3389="Técnico II",SUMIFS($D:$D,$A:$A,$A3389,$B:$B,"&lt;&gt;Patrícia Karla de Sousa Araújo",$B:$B,"&lt;&gt;Lorena Dias de Araujo",$B:$B,"&lt;&gt;Lucas Luiz Romero")*(28/1083),IF(C3389="Técnico I",SUMIFS($D:$D,$A:$A,$A3389,$B:$B,"&lt;&gt;Patrícia Karla de Sousa Araújo",$B:$B,"&lt;&gt;Lorena Dias de Araujo",$B:$B,"&lt;&gt;Lucas Luiz Romero")*(23/1083),IF(C3389="JR",SUMIFS($D:$D,$A:$A,$A3389,$B:$B,"&lt;&gt;Patrícia Karla de Sousa Araújo",$B:$B,"&lt;&gt;Lorena Dias de Araujo",$B:$B,"&lt;&gt;Lucas Luiz Romero")*(20/1083),IF(C3389="Estágio",SUMIFS($D:$D,$A:$A,$A3389,$B:$B,"&lt;&gt;Patrícia Karla de Sousa Araújo",$B:$B,"&lt;&gt;Lorena Dias de Araujo",$B:$B,"&lt;&gt;Lucas Luiz Romero")*(10/1083),0)))))),0)</f>
        <v>28</v>
      </c>
      <c r="K3389" s="3">
        <f>I3389-J3389</f>
        <v>10</v>
      </c>
      <c r="L3389" s="3" t="str">
        <f>IF(K3389&lt;-5,"CRÍTICO",IF(K3389&lt;0,"ATENÇÃO",IF(K3389&lt;=5,"OPORTUNO","MUITO BOM")))</f>
        <v>MUITO BOM</v>
      </c>
      <c r="M3389">
        <v>34</v>
      </c>
      <c r="N3389">
        <v>97.83</v>
      </c>
      <c r="O3389">
        <v>26.315789473684209</v>
      </c>
    </row>
    <row r="3390" spans="1:15" hidden="1" x14ac:dyDescent="0.25">
      <c r="A3390" s="11">
        <v>46107</v>
      </c>
      <c r="B3390" t="s">
        <v>38</v>
      </c>
      <c r="C3390" t="s">
        <v>32</v>
      </c>
      <c r="D3390">
        <v>24</v>
      </c>
      <c r="E3390">
        <v>21</v>
      </c>
      <c r="F3390">
        <v>13.26</v>
      </c>
      <c r="G3390">
        <v>0</v>
      </c>
      <c r="H3390">
        <v>0</v>
      </c>
      <c r="I3390" s="3">
        <f>E3390+G3390+H3390</f>
        <v>21</v>
      </c>
      <c r="J3390" s="3">
        <f>ROUND(MIN(IF(C3390="Técnico III",35,IF(C3390="Técnico II",28,IF(C3390="Técnico I",23,IF(C3390="JR",20,IF(C3390="Estágio",10,0))))),IF(C3390="Técnico III",SUMIFS($D:$D,$A:$A,$A3390,$B:$B,"&lt;&gt;Patrícia Karla de Sousa Araújo",$B:$B,"&lt;&gt;Lorena Dias de Araujo",$B:$B,"&lt;&gt;Lucas Luiz Romero")*(35/1083),IF(C3390="Técnico II",SUMIFS($D:$D,$A:$A,$A3390,$B:$B,"&lt;&gt;Patrícia Karla de Sousa Araújo",$B:$B,"&lt;&gt;Lorena Dias de Araujo",$B:$B,"&lt;&gt;Lucas Luiz Romero")*(28/1083),IF(C3390="Técnico I",SUMIFS($D:$D,$A:$A,$A3390,$B:$B,"&lt;&gt;Patrícia Karla de Sousa Araújo",$B:$B,"&lt;&gt;Lorena Dias de Araujo",$B:$B,"&lt;&gt;Lucas Luiz Romero")*(23/1083),IF(C3390="JR",SUMIFS($D:$D,$A:$A,$A3390,$B:$B,"&lt;&gt;Patrícia Karla de Sousa Araújo",$B:$B,"&lt;&gt;Lorena Dias de Araujo",$B:$B,"&lt;&gt;Lucas Luiz Romero")*(20/1083),IF(C3390="Estágio",SUMIFS($D:$D,$A:$A,$A3390,$B:$B,"&lt;&gt;Patrícia Karla de Sousa Araújo",$B:$B,"&lt;&gt;Lorena Dias de Araujo",$B:$B,"&lt;&gt;Lucas Luiz Romero")*(10/1083),0)))))),0)</f>
        <v>28</v>
      </c>
      <c r="K3390" s="3">
        <f>I3390-J3390</f>
        <v>-7</v>
      </c>
      <c r="L3390" s="3" t="str">
        <f>IF(K3390&lt;-5,"CRÍTICO",IF(K3390&lt;0,"ATENÇÃO",IF(K3390&lt;=5,"OPORTUNO","MUITO BOM")))</f>
        <v>CRÍTICO</v>
      </c>
      <c r="M3390">
        <v>18</v>
      </c>
      <c r="N3390">
        <v>100</v>
      </c>
      <c r="O3390">
        <v>26.701570680628269</v>
      </c>
    </row>
    <row r="3391" spans="1:15" hidden="1" x14ac:dyDescent="0.25">
      <c r="A3391" s="11">
        <v>46107</v>
      </c>
      <c r="B3391" t="s">
        <v>55</v>
      </c>
      <c r="C3391" t="s">
        <v>48</v>
      </c>
      <c r="D3391">
        <v>0</v>
      </c>
      <c r="E3391">
        <v>0</v>
      </c>
      <c r="F3391">
        <v>0</v>
      </c>
      <c r="G3391">
        <v>0</v>
      </c>
      <c r="H3391">
        <v>0</v>
      </c>
      <c r="I3391" s="3">
        <v>0</v>
      </c>
      <c r="J3391" s="3">
        <v>0</v>
      </c>
      <c r="K3391" s="3">
        <v>0</v>
      </c>
      <c r="L3391" s="3" t="str">
        <f>IF(K3391&lt;-5,"CRÍTICO",IF(K3391&lt;0,"ATENÇÃO",IF(K3391&lt;=5,"OPORTUNO","MUITO BOM")))</f>
        <v>OPORTUNO</v>
      </c>
      <c r="M3391">
        <v>0</v>
      </c>
      <c r="N3391">
        <v>97.47</v>
      </c>
      <c r="O3391">
        <v>22.887323943661968</v>
      </c>
    </row>
    <row r="3392" spans="1:15" hidden="1" x14ac:dyDescent="0.25">
      <c r="A3392" s="11">
        <v>46107</v>
      </c>
      <c r="B3392" t="s">
        <v>39</v>
      </c>
      <c r="C3392" t="s">
        <v>32</v>
      </c>
      <c r="D3392">
        <v>0</v>
      </c>
      <c r="E3392">
        <v>0</v>
      </c>
      <c r="F3392">
        <v>0</v>
      </c>
      <c r="G3392">
        <v>0</v>
      </c>
      <c r="H3392">
        <v>0</v>
      </c>
      <c r="I3392" s="3">
        <v>0</v>
      </c>
      <c r="J3392" s="3">
        <v>0</v>
      </c>
      <c r="K3392" s="3">
        <v>0</v>
      </c>
      <c r="L3392" s="3" t="str">
        <f>IF(K3392&lt;-5,"CRÍTICO",IF(K3392&lt;0,"ATENÇÃO",IF(K3392&lt;=5,"OPORTUNO","MUITO BOM")))</f>
        <v>OPORTUNO</v>
      </c>
      <c r="M3392">
        <v>0</v>
      </c>
      <c r="N3392">
        <v>0</v>
      </c>
      <c r="O3392">
        <v>0</v>
      </c>
    </row>
    <row r="3393" spans="1:15" hidden="1" x14ac:dyDescent="0.25">
      <c r="A3393" s="11">
        <v>46107</v>
      </c>
      <c r="B3393" t="s">
        <v>25</v>
      </c>
      <c r="C3393" t="s">
        <v>26</v>
      </c>
      <c r="D3393">
        <v>23</v>
      </c>
      <c r="E3393">
        <v>22</v>
      </c>
      <c r="F3393">
        <v>24.15</v>
      </c>
      <c r="G3393">
        <v>0</v>
      </c>
      <c r="H3393">
        <v>0</v>
      </c>
      <c r="I3393" s="3">
        <f>E3393+G3393+H3393</f>
        <v>22</v>
      </c>
      <c r="J3393" s="3">
        <f>ROUND(MIN(IF(C3393="Técnico III",35,IF(C3393="Técnico II",28,IF(C3393="Técnico I",23,IF(C3393="JR",20,IF(C3393="Estágio",10,0))))),IF(C3393="Técnico III",SUMIFS($D:$D,$A:$A,$A3393,$B:$B,"&lt;&gt;Patrícia Karla de Sousa Araújo",$B:$B,"&lt;&gt;Lorena Dias de Araujo",$B:$B,"&lt;&gt;Lucas Luiz Romero")*(35/1083),IF(C3393="Técnico II",SUMIFS($D:$D,$A:$A,$A3393,$B:$B,"&lt;&gt;Patrícia Karla de Sousa Araújo",$B:$B,"&lt;&gt;Lorena Dias de Araujo",$B:$B,"&lt;&gt;Lucas Luiz Romero")*(28/1083),IF(C3393="Técnico I",SUMIFS($D:$D,$A:$A,$A3393,$B:$B,"&lt;&gt;Patrícia Karla de Sousa Araújo",$B:$B,"&lt;&gt;Lorena Dias de Araujo",$B:$B,"&lt;&gt;Lucas Luiz Romero")*(23/1083),IF(C3393="JR",SUMIFS($D:$D,$A:$A,$A3393,$B:$B,"&lt;&gt;Patrícia Karla de Sousa Araújo",$B:$B,"&lt;&gt;Lorena Dias de Araujo",$B:$B,"&lt;&gt;Lucas Luiz Romero")*(20/1083),IF(C3393="Estágio",SUMIFS($D:$D,$A:$A,$A3393,$B:$B,"&lt;&gt;Patrícia Karla de Sousa Araújo",$B:$B,"&lt;&gt;Lorena Dias de Araujo",$B:$B,"&lt;&gt;Lucas Luiz Romero")*(10/1083),0)))))),0)</f>
        <v>16</v>
      </c>
      <c r="K3393" s="3">
        <f>I3393-J3393</f>
        <v>6</v>
      </c>
      <c r="L3393" s="3" t="str">
        <f>IF(K3393&lt;-5,"CRÍTICO",IF(K3393&lt;0,"ATENÇÃO",IF(K3393&lt;=5,"OPORTUNO","MUITO BOM")))</f>
        <v>MUITO BOM</v>
      </c>
      <c r="M3393">
        <v>20</v>
      </c>
      <c r="N3393">
        <v>98.31</v>
      </c>
      <c r="O3393">
        <v>24.920127795527151</v>
      </c>
    </row>
    <row r="3394" spans="1:15" hidden="1" x14ac:dyDescent="0.25">
      <c r="A3394" s="11">
        <v>46107</v>
      </c>
      <c r="B3394" t="s">
        <v>40</v>
      </c>
      <c r="C3394" t="s">
        <v>32</v>
      </c>
      <c r="D3394">
        <v>18</v>
      </c>
      <c r="E3394">
        <v>18</v>
      </c>
      <c r="F3394">
        <v>27.37</v>
      </c>
      <c r="G3394">
        <v>0</v>
      </c>
      <c r="H3394">
        <v>0</v>
      </c>
      <c r="I3394" s="3">
        <f>E3394+G3394+H3394</f>
        <v>18</v>
      </c>
      <c r="J3394" s="3">
        <f>ROUND(MIN(IF(C3394="Técnico III",35,IF(C3394="Técnico II",28,IF(C3394="Técnico I",23,IF(C3394="JR",20,IF(C3394="Estágio",10,0))))),IF(C3394="Técnico III",SUMIFS($D:$D,$A:$A,$A3394,$B:$B,"&lt;&gt;Patrícia Karla de Sousa Araújo",$B:$B,"&lt;&gt;Lorena Dias de Araujo",$B:$B,"&lt;&gt;Lucas Luiz Romero")*(35/1083),IF(C3394="Técnico II",SUMIFS($D:$D,$A:$A,$A3394,$B:$B,"&lt;&gt;Patrícia Karla de Sousa Araújo",$B:$B,"&lt;&gt;Lorena Dias de Araujo",$B:$B,"&lt;&gt;Lucas Luiz Romero")*(28/1083),IF(C3394="Técnico I",SUMIFS($D:$D,$A:$A,$A3394,$B:$B,"&lt;&gt;Patrícia Karla de Sousa Araújo",$B:$B,"&lt;&gt;Lorena Dias de Araujo",$B:$B,"&lt;&gt;Lucas Luiz Romero")*(23/1083),IF(C3394="JR",SUMIFS($D:$D,$A:$A,$A3394,$B:$B,"&lt;&gt;Patrícia Karla de Sousa Araújo",$B:$B,"&lt;&gt;Lorena Dias de Araujo",$B:$B,"&lt;&gt;Lucas Luiz Romero")*(20/1083),IF(C3394="Estágio",SUMIFS($D:$D,$A:$A,$A3394,$B:$B,"&lt;&gt;Patrícia Karla de Sousa Araújo",$B:$B,"&lt;&gt;Lorena Dias de Araujo",$B:$B,"&lt;&gt;Lucas Luiz Romero")*(10/1083),0)))))),0)</f>
        <v>28</v>
      </c>
      <c r="K3394" s="3">
        <f>I3394-J3394</f>
        <v>-10</v>
      </c>
      <c r="L3394" s="3" t="str">
        <f>IF(K3394&lt;-5,"CRÍTICO",IF(K3394&lt;0,"ATENÇÃO",IF(K3394&lt;=5,"OPORTUNO","MUITO BOM")))</f>
        <v>CRÍTICO</v>
      </c>
      <c r="M3394">
        <v>19</v>
      </c>
      <c r="N3394">
        <v>96.81</v>
      </c>
      <c r="O3394">
        <v>32.365145228215773</v>
      </c>
    </row>
    <row r="3395" spans="1:15" hidden="1" x14ac:dyDescent="0.25">
      <c r="A3395" s="11">
        <v>46107</v>
      </c>
      <c r="B3395" t="s">
        <v>27</v>
      </c>
      <c r="C3395" t="s">
        <v>26</v>
      </c>
      <c r="D3395">
        <v>23</v>
      </c>
      <c r="E3395">
        <v>16</v>
      </c>
      <c r="F3395">
        <v>20.43</v>
      </c>
      <c r="G3395">
        <v>0</v>
      </c>
      <c r="H3395">
        <v>0</v>
      </c>
      <c r="I3395" s="3">
        <f>E3395+G3395+H3395</f>
        <v>16</v>
      </c>
      <c r="J3395" s="3">
        <f>ROUND(MIN(IF(C3395="Técnico III",35,IF(C3395="Técnico II",28,IF(C3395="Técnico I",23,IF(C3395="JR",20,IF(C3395="Estágio",10,0))))),IF(C3395="Técnico III",SUMIFS($D:$D,$A:$A,$A3395,$B:$B,"&lt;&gt;Patrícia Karla de Sousa Araújo",$B:$B,"&lt;&gt;Lorena Dias de Araujo",$B:$B,"&lt;&gt;Lucas Luiz Romero")*(35/1083),IF(C3395="Técnico II",SUMIFS($D:$D,$A:$A,$A3395,$B:$B,"&lt;&gt;Patrícia Karla de Sousa Araújo",$B:$B,"&lt;&gt;Lorena Dias de Araujo",$B:$B,"&lt;&gt;Lucas Luiz Romero")*(28/1083),IF(C3395="Técnico I",SUMIFS($D:$D,$A:$A,$A3395,$B:$B,"&lt;&gt;Patrícia Karla de Sousa Araújo",$B:$B,"&lt;&gt;Lorena Dias de Araujo",$B:$B,"&lt;&gt;Lucas Luiz Romero")*(23/1083),IF(C3395="JR",SUMIFS($D:$D,$A:$A,$A3395,$B:$B,"&lt;&gt;Patrícia Karla de Sousa Araújo",$B:$B,"&lt;&gt;Lorena Dias de Araujo",$B:$B,"&lt;&gt;Lucas Luiz Romero")*(20/1083),IF(C3395="Estágio",SUMIFS($D:$D,$A:$A,$A3395,$B:$B,"&lt;&gt;Patrícia Karla de Sousa Araújo",$B:$B,"&lt;&gt;Lorena Dias de Araujo",$B:$B,"&lt;&gt;Lucas Luiz Romero")*(10/1083),0)))))),0)</f>
        <v>16</v>
      </c>
      <c r="K3395" s="3">
        <f>I3395-J3395</f>
        <v>0</v>
      </c>
      <c r="L3395" s="3" t="str">
        <f>IF(K3395&lt;-5,"CRÍTICO",IF(K3395&lt;0,"ATENÇÃO",IF(K3395&lt;=5,"OPORTUNO","MUITO BOM")))</f>
        <v>OPORTUNO</v>
      </c>
      <c r="M3395">
        <v>12</v>
      </c>
      <c r="N3395">
        <v>100</v>
      </c>
      <c r="O3395">
        <v>26.47058823529412</v>
      </c>
    </row>
    <row r="3396" spans="1:15" hidden="1" x14ac:dyDescent="0.25">
      <c r="A3396" s="11">
        <v>46107</v>
      </c>
      <c r="B3396" t="s">
        <v>41</v>
      </c>
      <c r="C3396" t="s">
        <v>32</v>
      </c>
      <c r="D3396">
        <v>27</v>
      </c>
      <c r="E3396">
        <v>24</v>
      </c>
      <c r="F3396">
        <v>18.47</v>
      </c>
      <c r="G3396">
        <v>0</v>
      </c>
      <c r="H3396">
        <v>0</v>
      </c>
      <c r="I3396" s="3">
        <f>E3396+G3396+H3396</f>
        <v>24</v>
      </c>
      <c r="J3396" s="3">
        <f>ROUND(MIN(IF(C3396="Técnico III",35,IF(C3396="Técnico II",28,IF(C3396="Técnico I",23,IF(C3396="JR",20,IF(C3396="Estágio",10,0))))),IF(C3396="Técnico III",SUMIFS($D:$D,$A:$A,$A3396,$B:$B,"&lt;&gt;Patrícia Karla de Sousa Araújo",$B:$B,"&lt;&gt;Lorena Dias de Araujo",$B:$B,"&lt;&gt;Lucas Luiz Romero")*(35/1083),IF(C3396="Técnico II",SUMIFS($D:$D,$A:$A,$A3396,$B:$B,"&lt;&gt;Patrícia Karla de Sousa Araújo",$B:$B,"&lt;&gt;Lorena Dias de Araujo",$B:$B,"&lt;&gt;Lucas Luiz Romero")*(28/1083),IF(C3396="Técnico I",SUMIFS($D:$D,$A:$A,$A3396,$B:$B,"&lt;&gt;Patrícia Karla de Sousa Araújo",$B:$B,"&lt;&gt;Lorena Dias de Araujo",$B:$B,"&lt;&gt;Lucas Luiz Romero")*(23/1083),IF(C3396="JR",SUMIFS($D:$D,$A:$A,$A3396,$B:$B,"&lt;&gt;Patrícia Karla de Sousa Araújo",$B:$B,"&lt;&gt;Lorena Dias de Araujo",$B:$B,"&lt;&gt;Lucas Luiz Romero")*(20/1083),IF(C3396="Estágio",SUMIFS($D:$D,$A:$A,$A3396,$B:$B,"&lt;&gt;Patrícia Karla de Sousa Araújo",$B:$B,"&lt;&gt;Lorena Dias de Araujo",$B:$B,"&lt;&gt;Lucas Luiz Romero")*(10/1083),0)))))),0)</f>
        <v>28</v>
      </c>
      <c r="K3396" s="3">
        <f>I3396-J3396</f>
        <v>-4</v>
      </c>
      <c r="L3396" s="3" t="str">
        <f>IF(K3396&lt;-5,"CRÍTICO",IF(K3396&lt;0,"ATENÇÃO",IF(K3396&lt;=5,"OPORTUNO","MUITO BOM")))</f>
        <v>ATENÇÃO</v>
      </c>
      <c r="M3396">
        <v>23</v>
      </c>
      <c r="N3396">
        <v>100</v>
      </c>
      <c r="O3396">
        <v>28.490028490028489</v>
      </c>
    </row>
    <row r="3397" spans="1:15" hidden="1" x14ac:dyDescent="0.25">
      <c r="A3397" s="11">
        <v>46107</v>
      </c>
      <c r="B3397" t="s">
        <v>56</v>
      </c>
      <c r="C3397" t="s">
        <v>48</v>
      </c>
      <c r="D3397">
        <v>30</v>
      </c>
      <c r="E3397">
        <v>29</v>
      </c>
      <c r="F3397">
        <v>25.31</v>
      </c>
      <c r="G3397">
        <v>0</v>
      </c>
      <c r="H3397">
        <v>0</v>
      </c>
      <c r="I3397" s="3">
        <f>E3397+G3397+H3397</f>
        <v>29</v>
      </c>
      <c r="J3397" s="3">
        <f>ROUND(MIN(IF(C3397="Técnico III",35,IF(C3397="Técnico II",28,IF(C3397="Técnico I",23,IF(C3397="JR",20,IF(C3397="Estágio",10,0))))),IF(C3397="Técnico III",SUMIFS($D:$D,$A:$A,$A3397,$B:$B,"&lt;&gt;Patrícia Karla de Sousa Araújo",$B:$B,"&lt;&gt;Lorena Dias de Araujo",$B:$B,"&lt;&gt;Lucas Luiz Romero")*(35/1083),IF(C3397="Técnico II",SUMIFS($D:$D,$A:$A,$A3397,$B:$B,"&lt;&gt;Patrícia Karla de Sousa Araújo",$B:$B,"&lt;&gt;Lorena Dias de Araujo",$B:$B,"&lt;&gt;Lucas Luiz Romero")*(28/1083),IF(C3397="Técnico I",SUMIFS($D:$D,$A:$A,$A3397,$B:$B,"&lt;&gt;Patrícia Karla de Sousa Araújo",$B:$B,"&lt;&gt;Lorena Dias de Araujo",$B:$B,"&lt;&gt;Lucas Luiz Romero")*(23/1083),IF(C3397="JR",SUMIFS($D:$D,$A:$A,$A3397,$B:$B,"&lt;&gt;Patrícia Karla de Sousa Araújo",$B:$B,"&lt;&gt;Lorena Dias de Araujo",$B:$B,"&lt;&gt;Lucas Luiz Romero")*(20/1083),IF(C3397="Estágio",SUMIFS($D:$D,$A:$A,$A3397,$B:$B,"&lt;&gt;Patrícia Karla de Sousa Araújo",$B:$B,"&lt;&gt;Lorena Dias de Araujo",$B:$B,"&lt;&gt;Lucas Luiz Romero")*(10/1083),0)))))),0)</f>
        <v>22</v>
      </c>
      <c r="K3397" s="3">
        <f>I3397-J3397</f>
        <v>7</v>
      </c>
      <c r="L3397" s="3" t="str">
        <f>IF(K3397&lt;-5,"CRÍTICO",IF(K3397&lt;0,"ATENÇÃO",IF(K3397&lt;=5,"OPORTUNO","MUITO BOM")))</f>
        <v>MUITO BOM</v>
      </c>
      <c r="M3397">
        <v>11</v>
      </c>
      <c r="N3397">
        <v>99.14</v>
      </c>
      <c r="O3397">
        <v>27.2289156626506</v>
      </c>
    </row>
    <row r="3398" spans="1:15" hidden="1" x14ac:dyDescent="0.25">
      <c r="A3398" s="11">
        <v>46107</v>
      </c>
      <c r="B3398" t="s">
        <v>57</v>
      </c>
      <c r="C3398" t="s">
        <v>48</v>
      </c>
      <c r="D3398">
        <v>30</v>
      </c>
      <c r="E3398">
        <v>28</v>
      </c>
      <c r="F3398">
        <v>15.35</v>
      </c>
      <c r="G3398">
        <v>0</v>
      </c>
      <c r="H3398">
        <v>0</v>
      </c>
      <c r="I3398" s="3">
        <v>0</v>
      </c>
      <c r="J3398" s="3">
        <v>0</v>
      </c>
      <c r="K3398" s="3">
        <v>0</v>
      </c>
      <c r="L3398" s="3" t="str">
        <f>IF(K3398&lt;-5,"CRÍTICO",IF(K3398&lt;0,"ATENÇÃO",IF(K3398&lt;=5,"OPORTUNO","MUITO BOM")))</f>
        <v>OPORTUNO</v>
      </c>
      <c r="M3398">
        <v>25</v>
      </c>
      <c r="N3398">
        <v>97.52</v>
      </c>
      <c r="O3398">
        <v>28.205128205128201</v>
      </c>
    </row>
    <row r="3399" spans="1:15" hidden="1" x14ac:dyDescent="0.25">
      <c r="A3399" s="11">
        <v>46107</v>
      </c>
      <c r="B3399" t="s">
        <v>42</v>
      </c>
      <c r="C3399" t="s">
        <v>32</v>
      </c>
      <c r="D3399">
        <v>0</v>
      </c>
      <c r="E3399">
        <v>0</v>
      </c>
      <c r="F3399">
        <v>0</v>
      </c>
      <c r="G3399">
        <v>0</v>
      </c>
      <c r="H3399">
        <v>0</v>
      </c>
      <c r="I3399" s="3">
        <v>0</v>
      </c>
      <c r="J3399" s="3">
        <v>0</v>
      </c>
      <c r="K3399" s="3">
        <v>0</v>
      </c>
      <c r="L3399" s="3" t="str">
        <f>IF(K3399&lt;-5,"CRÍTICO",IF(K3399&lt;0,"ATENÇÃO",IF(K3399&lt;=5,"OPORTUNO","MUITO BOM")))</f>
        <v>OPORTUNO</v>
      </c>
      <c r="M3399">
        <v>0</v>
      </c>
      <c r="N3399">
        <v>90</v>
      </c>
      <c r="O3399">
        <v>24.186046511627911</v>
      </c>
    </row>
    <row r="3400" spans="1:15" hidden="1" x14ac:dyDescent="0.25">
      <c r="A3400" s="11">
        <v>46107</v>
      </c>
      <c r="B3400" t="s">
        <v>62</v>
      </c>
      <c r="C3400" t="s">
        <v>23</v>
      </c>
      <c r="D3400">
        <v>32</v>
      </c>
      <c r="E3400">
        <v>31</v>
      </c>
      <c r="F3400">
        <v>18.53</v>
      </c>
      <c r="G3400">
        <v>0</v>
      </c>
      <c r="H3400">
        <v>0</v>
      </c>
      <c r="I3400" s="3">
        <f>E3400+G3400+H3400</f>
        <v>31</v>
      </c>
      <c r="J3400" s="3">
        <f>ROUND(MIN(IF(C3400="Técnico III",35,IF(C3400="Técnico II",28,IF(C3400="Técnico I",23,IF(C3400="JR",20,IF(C3400="Estágio",10,0))))),IF(C3400="Técnico III",SUMIFS($D:$D,$A:$A,$A3400,$B:$B,"&lt;&gt;Patrícia Karla de Sousa Araújo",$B:$B,"&lt;&gt;Lorena Dias de Araujo",$B:$B,"&lt;&gt;Lucas Luiz Romero")*(35/1083),IF(C3400="Técnico II",SUMIFS($D:$D,$A:$A,$A3400,$B:$B,"&lt;&gt;Patrícia Karla de Sousa Araújo",$B:$B,"&lt;&gt;Lorena Dias de Araujo",$B:$B,"&lt;&gt;Lucas Luiz Romero")*(28/1083),IF(C3400="Técnico I",SUMIFS($D:$D,$A:$A,$A3400,$B:$B,"&lt;&gt;Patrícia Karla de Sousa Araújo",$B:$B,"&lt;&gt;Lorena Dias de Araujo",$B:$B,"&lt;&gt;Lucas Luiz Romero")*(23/1083),IF(C3400="JR",SUMIFS($D:$D,$A:$A,$A3400,$B:$B,"&lt;&gt;Patrícia Karla de Sousa Araújo",$B:$B,"&lt;&gt;Lorena Dias de Araujo",$B:$B,"&lt;&gt;Lucas Luiz Romero")*(20/1083),IF(C3400="Estágio",SUMIFS($D:$D,$A:$A,$A3400,$B:$B,"&lt;&gt;Patrícia Karla de Sousa Araújo",$B:$B,"&lt;&gt;Lorena Dias de Araujo",$B:$B,"&lt;&gt;Lucas Luiz Romero")*(10/1083),0)))))),0)</f>
        <v>18</v>
      </c>
      <c r="K3400" s="3">
        <f>I3400-J3400</f>
        <v>13</v>
      </c>
      <c r="L3400" s="3" t="str">
        <f>IF(K3400&lt;-5,"CRÍTICO",IF(K3400&lt;0,"ATENÇÃO",IF(K3400&lt;=5,"OPORTUNO","MUITO BOM")))</f>
        <v>MUITO BOM</v>
      </c>
      <c r="M3400">
        <v>24</v>
      </c>
      <c r="N3400">
        <v>98.9</v>
      </c>
      <c r="O3400">
        <v>26.763990267639901</v>
      </c>
    </row>
    <row r="3401" spans="1:15" hidden="1" x14ac:dyDescent="0.25">
      <c r="A3401" s="11">
        <v>46107</v>
      </c>
      <c r="B3401" t="s">
        <v>19</v>
      </c>
      <c r="C3401" t="s">
        <v>16</v>
      </c>
      <c r="D3401">
        <v>8</v>
      </c>
      <c r="E3401">
        <v>7</v>
      </c>
      <c r="F3401">
        <v>42.36</v>
      </c>
      <c r="G3401">
        <v>0</v>
      </c>
      <c r="H3401">
        <v>0</v>
      </c>
      <c r="I3401" s="3">
        <f>E3401+G3401+H3401</f>
        <v>7</v>
      </c>
      <c r="J3401" s="3">
        <f>ROUND(MIN(IF(C3401="Técnico III",35,IF(C3401="Técnico II",28,IF(C3401="Técnico I",23,IF(C3401="JR",20,IF(C3401="Estágio",10,0))))),IF(C3401="Técnico III",SUMIFS($D:$D,$A:$A,$A3401,$B:$B,"&lt;&gt;Patrícia Karla de Sousa Araújo",$B:$B,"&lt;&gt;Lorena Dias de Araujo",$B:$B,"&lt;&gt;Lucas Luiz Romero")*(35/1083),IF(C3401="Técnico II",SUMIFS($D:$D,$A:$A,$A3401,$B:$B,"&lt;&gt;Patrícia Karla de Sousa Araújo",$B:$B,"&lt;&gt;Lorena Dias de Araujo",$B:$B,"&lt;&gt;Lucas Luiz Romero")*(28/1083),IF(C3401="Técnico I",SUMIFS($D:$D,$A:$A,$A3401,$B:$B,"&lt;&gt;Patrícia Karla de Sousa Araújo",$B:$B,"&lt;&gt;Lorena Dias de Araujo",$B:$B,"&lt;&gt;Lucas Luiz Romero")*(23/1083),IF(C3401="JR",SUMIFS($D:$D,$A:$A,$A3401,$B:$B,"&lt;&gt;Patrícia Karla de Sousa Araújo",$B:$B,"&lt;&gt;Lorena Dias de Araujo",$B:$B,"&lt;&gt;Lucas Luiz Romero")*(20/1083),IF(C3401="Estágio",SUMIFS($D:$D,$A:$A,$A3401,$B:$B,"&lt;&gt;Patrícia Karla de Sousa Araújo",$B:$B,"&lt;&gt;Lorena Dias de Araujo",$B:$B,"&lt;&gt;Lucas Luiz Romero")*(10/1083),0)))))),0)</f>
        <v>8</v>
      </c>
      <c r="K3401" s="3">
        <f>I3401-J3401</f>
        <v>-1</v>
      </c>
      <c r="L3401" s="3" t="str">
        <f>IF(K3401&lt;-5,"CRÍTICO",IF(K3401&lt;0,"ATENÇÃO",IF(K3401&lt;=5,"OPORTUNO","MUITO BOM")))</f>
        <v>ATENÇÃO</v>
      </c>
      <c r="M3401">
        <v>6</v>
      </c>
      <c r="N3401">
        <v>88.89</v>
      </c>
      <c r="O3401">
        <v>25.263157894736839</v>
      </c>
    </row>
    <row r="3402" spans="1:15" hidden="1" x14ac:dyDescent="0.25">
      <c r="A3402" s="11">
        <v>46107</v>
      </c>
      <c r="B3402" t="s">
        <v>43</v>
      </c>
      <c r="C3402" t="s">
        <v>32</v>
      </c>
      <c r="D3402">
        <v>23</v>
      </c>
      <c r="E3402">
        <v>22</v>
      </c>
      <c r="F3402">
        <v>17.34</v>
      </c>
      <c r="G3402">
        <v>0</v>
      </c>
      <c r="H3402">
        <v>0</v>
      </c>
      <c r="I3402" s="3">
        <f>E3402+G3402+H3402</f>
        <v>22</v>
      </c>
      <c r="J3402" s="3">
        <f>ROUND(MIN(IF(C3402="Técnico III",35,IF(C3402="Técnico II",28,IF(C3402="Técnico I",23,IF(C3402="JR",20,IF(C3402="Estágio",10,0))))),IF(C3402="Técnico III",SUMIFS($D:$D,$A:$A,$A3402,$B:$B,"&lt;&gt;Patrícia Karla de Sousa Araújo",$B:$B,"&lt;&gt;Lorena Dias de Araujo",$B:$B,"&lt;&gt;Lucas Luiz Romero")*(35/1083),IF(C3402="Técnico II",SUMIFS($D:$D,$A:$A,$A3402,$B:$B,"&lt;&gt;Patrícia Karla de Sousa Araújo",$B:$B,"&lt;&gt;Lorena Dias de Araujo",$B:$B,"&lt;&gt;Lucas Luiz Romero")*(28/1083),IF(C3402="Técnico I",SUMIFS($D:$D,$A:$A,$A3402,$B:$B,"&lt;&gt;Patrícia Karla de Sousa Araújo",$B:$B,"&lt;&gt;Lorena Dias de Araujo",$B:$B,"&lt;&gt;Lucas Luiz Romero")*(23/1083),IF(C3402="JR",SUMIFS($D:$D,$A:$A,$A3402,$B:$B,"&lt;&gt;Patrícia Karla de Sousa Araújo",$B:$B,"&lt;&gt;Lorena Dias de Araujo",$B:$B,"&lt;&gt;Lucas Luiz Romero")*(20/1083),IF(C3402="Estágio",SUMIFS($D:$D,$A:$A,$A3402,$B:$B,"&lt;&gt;Patrícia Karla de Sousa Araújo",$B:$B,"&lt;&gt;Lorena Dias de Araujo",$B:$B,"&lt;&gt;Lucas Luiz Romero")*(10/1083),0)))))),0)</f>
        <v>28</v>
      </c>
      <c r="K3402" s="3">
        <f>I3402-J3402</f>
        <v>-6</v>
      </c>
      <c r="L3402" s="3" t="str">
        <f>IF(K3402&lt;-5,"CRÍTICO",IF(K3402&lt;0,"ATENÇÃO",IF(K3402&lt;=5,"OPORTUNO","MUITO BOM")))</f>
        <v>CRÍTICO</v>
      </c>
      <c r="M3402">
        <v>23</v>
      </c>
      <c r="N3402">
        <v>98.86</v>
      </c>
      <c r="O3402">
        <v>28.959276018099551</v>
      </c>
    </row>
    <row r="3403" spans="1:15" hidden="1" x14ac:dyDescent="0.25">
      <c r="A3403" s="11">
        <v>46107</v>
      </c>
      <c r="B3403" t="s">
        <v>44</v>
      </c>
      <c r="C3403" t="s">
        <v>32</v>
      </c>
      <c r="D3403">
        <v>15</v>
      </c>
      <c r="E3403">
        <v>13</v>
      </c>
      <c r="F3403">
        <v>16.53</v>
      </c>
      <c r="G3403">
        <v>0</v>
      </c>
      <c r="H3403">
        <v>0</v>
      </c>
      <c r="I3403" s="3">
        <f>E3403+G3403+H3403</f>
        <v>13</v>
      </c>
      <c r="J3403" s="3">
        <f>ROUND(MIN(IF(C3403="Técnico III",35,IF(C3403="Técnico II",28,IF(C3403="Técnico I",23,IF(C3403="JR",20,IF(C3403="Estágio",10,0))))),IF(C3403="Técnico III",SUMIFS($D:$D,$A:$A,$A3403,$B:$B,"&lt;&gt;Patrícia Karla de Sousa Araújo",$B:$B,"&lt;&gt;Lorena Dias de Araujo",$B:$B,"&lt;&gt;Lucas Luiz Romero")*(35/1083),IF(C3403="Técnico II",SUMIFS($D:$D,$A:$A,$A3403,$B:$B,"&lt;&gt;Patrícia Karla de Sousa Araújo",$B:$B,"&lt;&gt;Lorena Dias de Araujo",$B:$B,"&lt;&gt;Lucas Luiz Romero")*(28/1083),IF(C3403="Técnico I",SUMIFS($D:$D,$A:$A,$A3403,$B:$B,"&lt;&gt;Patrícia Karla de Sousa Araújo",$B:$B,"&lt;&gt;Lorena Dias de Araujo",$B:$B,"&lt;&gt;Lucas Luiz Romero")*(23/1083),IF(C3403="JR",SUMIFS($D:$D,$A:$A,$A3403,$B:$B,"&lt;&gt;Patrícia Karla de Sousa Araújo",$B:$B,"&lt;&gt;Lorena Dias de Araujo",$B:$B,"&lt;&gt;Lucas Luiz Romero")*(20/1083),IF(C3403="Estágio",SUMIFS($D:$D,$A:$A,$A3403,$B:$B,"&lt;&gt;Patrícia Karla de Sousa Araújo",$B:$B,"&lt;&gt;Lorena Dias de Araujo",$B:$B,"&lt;&gt;Lucas Luiz Romero")*(10/1083),0)))))),0)</f>
        <v>28</v>
      </c>
      <c r="K3403" s="3">
        <f>I3403-J3403</f>
        <v>-15</v>
      </c>
      <c r="L3403" s="3" t="str">
        <f>IF(K3403&lt;-5,"CRÍTICO",IF(K3403&lt;0,"ATENÇÃO",IF(K3403&lt;=5,"OPORTUNO","MUITO BOM")))</f>
        <v>CRÍTICO</v>
      </c>
      <c r="M3403">
        <v>12</v>
      </c>
      <c r="N3403">
        <v>98.06</v>
      </c>
      <c r="O3403">
        <v>22.40566037735849</v>
      </c>
    </row>
    <row r="3404" spans="1:15" hidden="1" x14ac:dyDescent="0.25">
      <c r="A3404" s="11">
        <v>46107</v>
      </c>
      <c r="B3404" t="s">
        <v>20</v>
      </c>
      <c r="C3404" t="s">
        <v>16</v>
      </c>
      <c r="D3404">
        <v>7</v>
      </c>
      <c r="E3404">
        <v>7</v>
      </c>
      <c r="F3404">
        <v>35.380000000000003</v>
      </c>
      <c r="G3404">
        <v>0</v>
      </c>
      <c r="H3404">
        <v>0</v>
      </c>
      <c r="I3404" s="3">
        <f>E3404+G3404+H3404</f>
        <v>7</v>
      </c>
      <c r="J3404" s="3">
        <f>ROUND(MIN(IF(C3404="Técnico III",35,IF(C3404="Técnico II",28,IF(C3404="Técnico I",23,IF(C3404="JR",20,IF(C3404="Estágio",10,0))))),IF(C3404="Técnico III",SUMIFS($D:$D,$A:$A,$A3404,$B:$B,"&lt;&gt;Patrícia Karla de Sousa Araújo",$B:$B,"&lt;&gt;Lorena Dias de Araujo",$B:$B,"&lt;&gt;Lucas Luiz Romero")*(35/1083),IF(C3404="Técnico II",SUMIFS($D:$D,$A:$A,$A3404,$B:$B,"&lt;&gt;Patrícia Karla de Sousa Araújo",$B:$B,"&lt;&gt;Lorena Dias de Araujo",$B:$B,"&lt;&gt;Lucas Luiz Romero")*(28/1083),IF(C3404="Técnico I",SUMIFS($D:$D,$A:$A,$A3404,$B:$B,"&lt;&gt;Patrícia Karla de Sousa Araújo",$B:$B,"&lt;&gt;Lorena Dias de Araujo",$B:$B,"&lt;&gt;Lucas Luiz Romero")*(23/1083),IF(C3404="JR",SUMIFS($D:$D,$A:$A,$A3404,$B:$B,"&lt;&gt;Patrícia Karla de Sousa Araújo",$B:$B,"&lt;&gt;Lorena Dias de Araujo",$B:$B,"&lt;&gt;Lucas Luiz Romero")*(20/1083),IF(C3404="Estágio",SUMIFS($D:$D,$A:$A,$A3404,$B:$B,"&lt;&gt;Patrícia Karla de Sousa Araújo",$B:$B,"&lt;&gt;Lorena Dias de Araujo",$B:$B,"&lt;&gt;Lucas Luiz Romero")*(10/1083),0)))))),0)</f>
        <v>8</v>
      </c>
      <c r="K3404" s="3">
        <f>I3404-J3404</f>
        <v>-1</v>
      </c>
      <c r="L3404" s="3" t="str">
        <f>IF(K3404&lt;-5,"CRÍTICO",IF(K3404&lt;0,"ATENÇÃO",IF(K3404&lt;=5,"OPORTUNO","MUITO BOM")))</f>
        <v>ATENÇÃO</v>
      </c>
      <c r="M3404">
        <v>4</v>
      </c>
      <c r="N3404">
        <v>95.83</v>
      </c>
      <c r="O3404">
        <v>25.773195876288661</v>
      </c>
    </row>
    <row r="3405" spans="1:15" hidden="1" x14ac:dyDescent="0.25">
      <c r="A3405" s="11">
        <v>46107</v>
      </c>
      <c r="B3405" t="s">
        <v>28</v>
      </c>
      <c r="C3405" t="s">
        <v>26</v>
      </c>
      <c r="D3405">
        <v>0</v>
      </c>
      <c r="E3405">
        <v>0</v>
      </c>
      <c r="F3405">
        <v>0</v>
      </c>
      <c r="G3405">
        <v>0</v>
      </c>
      <c r="H3405">
        <v>0</v>
      </c>
      <c r="I3405" s="3">
        <v>0</v>
      </c>
      <c r="J3405" s="3">
        <v>0</v>
      </c>
      <c r="K3405" s="3">
        <v>0</v>
      </c>
      <c r="L3405" s="3" t="str">
        <f>IF(K3405&lt;-5,"CRÍTICO",IF(K3405&lt;0,"ATENÇÃO",IF(K3405&lt;=5,"OPORTUNO","MUITO BOM")))</f>
        <v>OPORTUNO</v>
      </c>
      <c r="M3405">
        <v>0</v>
      </c>
      <c r="N3405">
        <v>100</v>
      </c>
      <c r="O3405">
        <v>15.38461538461539</v>
      </c>
    </row>
    <row r="3406" spans="1:15" hidden="1" x14ac:dyDescent="0.25">
      <c r="A3406" s="11">
        <v>46107</v>
      </c>
      <c r="B3406" t="s">
        <v>58</v>
      </c>
      <c r="C3406" t="s">
        <v>48</v>
      </c>
      <c r="D3406">
        <v>7</v>
      </c>
      <c r="E3406">
        <v>6</v>
      </c>
      <c r="F3406">
        <v>8.5</v>
      </c>
      <c r="G3406">
        <v>0</v>
      </c>
      <c r="H3406">
        <v>0</v>
      </c>
      <c r="I3406" s="3">
        <f>E3406+G3406+H3406</f>
        <v>6</v>
      </c>
      <c r="J3406" s="3">
        <f>ROUND(MIN(IF(C3406="Técnico III",35,IF(C3406="Técnico II",28,IF(C3406="Técnico I",23,IF(C3406="JR",20,IF(C3406="Estágio",10,0))))),IF(C3406="Técnico III",SUMIFS($D:$D,$A:$A,$A3406,$B:$B,"&lt;&gt;Patrícia Karla de Sousa Araújo",$B:$B,"&lt;&gt;Lorena Dias de Araujo",$B:$B,"&lt;&gt;Lucas Luiz Romero")*(35/1083),IF(C3406="Técnico II",SUMIFS($D:$D,$A:$A,$A3406,$B:$B,"&lt;&gt;Patrícia Karla de Sousa Araújo",$B:$B,"&lt;&gt;Lorena Dias de Araujo",$B:$B,"&lt;&gt;Lucas Luiz Romero")*(28/1083),IF(C3406="Técnico I",SUMIFS($D:$D,$A:$A,$A3406,$B:$B,"&lt;&gt;Patrícia Karla de Sousa Araújo",$B:$B,"&lt;&gt;Lorena Dias de Araujo",$B:$B,"&lt;&gt;Lucas Luiz Romero")*(23/1083),IF(C3406="JR",SUMIFS($D:$D,$A:$A,$A3406,$B:$B,"&lt;&gt;Patrícia Karla de Sousa Araújo",$B:$B,"&lt;&gt;Lorena Dias de Araujo",$B:$B,"&lt;&gt;Lucas Luiz Romero")*(20/1083),IF(C3406="Estágio",SUMIFS($D:$D,$A:$A,$A3406,$B:$B,"&lt;&gt;Patrícia Karla de Sousa Araújo",$B:$B,"&lt;&gt;Lorena Dias de Araujo",$B:$B,"&lt;&gt;Lucas Luiz Romero")*(10/1083),0)))))),0)</f>
        <v>22</v>
      </c>
      <c r="K3406" s="3">
        <f>I3406-J3406</f>
        <v>-16</v>
      </c>
      <c r="L3406" s="3" t="str">
        <f>IF(K3406&lt;-5,"CRÍTICO",IF(K3406&lt;0,"ATENÇÃO",IF(K3406&lt;=5,"OPORTUNO","MUITO BOM")))</f>
        <v>CRÍTICO</v>
      </c>
      <c r="M3406">
        <v>5</v>
      </c>
      <c r="N3406">
        <v>100</v>
      </c>
      <c r="O3406">
        <v>27.514792899408281</v>
      </c>
    </row>
    <row r="3407" spans="1:15" hidden="1" x14ac:dyDescent="0.25">
      <c r="A3407" s="11">
        <v>46107</v>
      </c>
      <c r="B3407" t="s">
        <v>29</v>
      </c>
      <c r="C3407" t="s">
        <v>26</v>
      </c>
      <c r="D3407">
        <v>20</v>
      </c>
      <c r="E3407">
        <v>20</v>
      </c>
      <c r="F3407">
        <v>18.29</v>
      </c>
      <c r="G3407">
        <v>0</v>
      </c>
      <c r="H3407">
        <v>0</v>
      </c>
      <c r="I3407" s="3">
        <f>E3407+G3407+H3407</f>
        <v>20</v>
      </c>
      <c r="J3407" s="3">
        <f>ROUND(MIN(IF(C3407="Técnico III",35,IF(C3407="Técnico II",28,IF(C3407="Técnico I",23,IF(C3407="JR",20,IF(C3407="Estágio",10,0))))),IF(C3407="Técnico III",SUMIFS($D:$D,$A:$A,$A3407,$B:$B,"&lt;&gt;Patrícia Karla de Sousa Araújo",$B:$B,"&lt;&gt;Lorena Dias de Araujo",$B:$B,"&lt;&gt;Lucas Luiz Romero")*(35/1083),IF(C3407="Técnico II",SUMIFS($D:$D,$A:$A,$A3407,$B:$B,"&lt;&gt;Patrícia Karla de Sousa Araújo",$B:$B,"&lt;&gt;Lorena Dias de Araujo",$B:$B,"&lt;&gt;Lucas Luiz Romero")*(28/1083),IF(C3407="Técnico I",SUMIFS($D:$D,$A:$A,$A3407,$B:$B,"&lt;&gt;Patrícia Karla de Sousa Araújo",$B:$B,"&lt;&gt;Lorena Dias de Araujo",$B:$B,"&lt;&gt;Lucas Luiz Romero")*(23/1083),IF(C3407="JR",SUMIFS($D:$D,$A:$A,$A3407,$B:$B,"&lt;&gt;Patrícia Karla de Sousa Araújo",$B:$B,"&lt;&gt;Lorena Dias de Araujo",$B:$B,"&lt;&gt;Lucas Luiz Romero")*(20/1083),IF(C3407="Estágio",SUMIFS($D:$D,$A:$A,$A3407,$B:$B,"&lt;&gt;Patrícia Karla de Sousa Araújo",$B:$B,"&lt;&gt;Lorena Dias de Araujo",$B:$B,"&lt;&gt;Lucas Luiz Romero")*(10/1083),0)))))),0)</f>
        <v>16</v>
      </c>
      <c r="K3407" s="3">
        <f>I3407-J3407</f>
        <v>4</v>
      </c>
      <c r="L3407" s="3" t="str">
        <f>IF(K3407&lt;-5,"CRÍTICO",IF(K3407&lt;0,"ATENÇÃO",IF(K3407&lt;=5,"OPORTUNO","MUITO BOM")))</f>
        <v>OPORTUNO</v>
      </c>
      <c r="M3407">
        <v>14</v>
      </c>
      <c r="N3407">
        <v>100</v>
      </c>
      <c r="O3407">
        <v>24.875621890547269</v>
      </c>
    </row>
    <row r="3408" spans="1:15" hidden="1" x14ac:dyDescent="0.25">
      <c r="A3408" s="11">
        <v>46107</v>
      </c>
      <c r="B3408" t="s">
        <v>30</v>
      </c>
      <c r="C3408" t="s">
        <v>26</v>
      </c>
      <c r="D3408">
        <v>11</v>
      </c>
      <c r="E3408">
        <v>11</v>
      </c>
      <c r="F3408">
        <v>42.36</v>
      </c>
      <c r="G3408">
        <v>0</v>
      </c>
      <c r="H3408">
        <v>0</v>
      </c>
      <c r="I3408" s="3">
        <f>E3408+G3408+H3408</f>
        <v>11</v>
      </c>
      <c r="J3408" s="3">
        <f>ROUND(MIN(IF(C3408="Técnico III",35,IF(C3408="Técnico II",28,IF(C3408="Técnico I",23,IF(C3408="JR",20,IF(C3408="Estágio",10,0))))),IF(C3408="Técnico III",SUMIFS($D:$D,$A:$A,$A3408,$B:$B,"&lt;&gt;Patrícia Karla de Sousa Araújo",$B:$B,"&lt;&gt;Lorena Dias de Araujo",$B:$B,"&lt;&gt;Lucas Luiz Romero")*(35/1083),IF(C3408="Técnico II",SUMIFS($D:$D,$A:$A,$A3408,$B:$B,"&lt;&gt;Patrícia Karla de Sousa Araújo",$B:$B,"&lt;&gt;Lorena Dias de Araujo",$B:$B,"&lt;&gt;Lucas Luiz Romero")*(28/1083),IF(C3408="Técnico I",SUMIFS($D:$D,$A:$A,$A3408,$B:$B,"&lt;&gt;Patrícia Karla de Sousa Araújo",$B:$B,"&lt;&gt;Lorena Dias de Araujo",$B:$B,"&lt;&gt;Lucas Luiz Romero")*(23/1083),IF(C3408="JR",SUMIFS($D:$D,$A:$A,$A3408,$B:$B,"&lt;&gt;Patrícia Karla de Sousa Araújo",$B:$B,"&lt;&gt;Lorena Dias de Araujo",$B:$B,"&lt;&gt;Lucas Luiz Romero")*(20/1083),IF(C3408="Estágio",SUMIFS($D:$D,$A:$A,$A3408,$B:$B,"&lt;&gt;Patrícia Karla de Sousa Araújo",$B:$B,"&lt;&gt;Lorena Dias de Araujo",$B:$B,"&lt;&gt;Lucas Luiz Romero")*(10/1083),0)))))),0)</f>
        <v>16</v>
      </c>
      <c r="K3408" s="3">
        <f>I3408-J3408</f>
        <v>-5</v>
      </c>
      <c r="L3408" s="3" t="str">
        <f>IF(K3408&lt;-5,"CRÍTICO",IF(K3408&lt;0,"ATENÇÃO",IF(K3408&lt;=5,"OPORTUNO","MUITO BOM")))</f>
        <v>ATENÇÃO</v>
      </c>
      <c r="M3408">
        <v>9</v>
      </c>
      <c r="N3408">
        <v>100</v>
      </c>
      <c r="O3408">
        <v>28.108108108108109</v>
      </c>
    </row>
    <row r="3409" spans="1:15" hidden="1" x14ac:dyDescent="0.25">
      <c r="A3409" s="11">
        <v>46107</v>
      </c>
      <c r="B3409" t="s">
        <v>21</v>
      </c>
      <c r="C3409" t="s">
        <v>16</v>
      </c>
      <c r="D3409">
        <v>5</v>
      </c>
      <c r="E3409">
        <v>5</v>
      </c>
      <c r="F3409">
        <v>29.06</v>
      </c>
      <c r="G3409">
        <v>0</v>
      </c>
      <c r="H3409">
        <v>0</v>
      </c>
      <c r="I3409" s="3">
        <f>E3409+G3409+H3409</f>
        <v>5</v>
      </c>
      <c r="J3409" s="3">
        <f>ROUND(MIN(IF(C3409="Técnico III",35,IF(C3409="Técnico II",28,IF(C3409="Técnico I",23,IF(C3409="JR",20,IF(C3409="Estágio",10,0))))),IF(C3409="Técnico III",SUMIFS($D:$D,$A:$A,$A3409,$B:$B,"&lt;&gt;Patrícia Karla de Sousa Araújo",$B:$B,"&lt;&gt;Lorena Dias de Araujo",$B:$B,"&lt;&gt;Lucas Luiz Romero")*(35/1083),IF(C3409="Técnico II",SUMIFS($D:$D,$A:$A,$A3409,$B:$B,"&lt;&gt;Patrícia Karla de Sousa Araújo",$B:$B,"&lt;&gt;Lorena Dias de Araujo",$B:$B,"&lt;&gt;Lucas Luiz Romero")*(28/1083),IF(C3409="Técnico I",SUMIFS($D:$D,$A:$A,$A3409,$B:$B,"&lt;&gt;Patrícia Karla de Sousa Araújo",$B:$B,"&lt;&gt;Lorena Dias de Araujo",$B:$B,"&lt;&gt;Lucas Luiz Romero")*(23/1083),IF(C3409="JR",SUMIFS($D:$D,$A:$A,$A3409,$B:$B,"&lt;&gt;Patrícia Karla de Sousa Araújo",$B:$B,"&lt;&gt;Lorena Dias de Araujo",$B:$B,"&lt;&gt;Lucas Luiz Romero")*(20/1083),IF(C3409="Estágio",SUMIFS($D:$D,$A:$A,$A3409,$B:$B,"&lt;&gt;Patrícia Karla de Sousa Araújo",$B:$B,"&lt;&gt;Lorena Dias de Araujo",$B:$B,"&lt;&gt;Lucas Luiz Romero")*(10/1083),0)))))),0)</f>
        <v>8</v>
      </c>
      <c r="K3409" s="3">
        <f>I3409-J3409</f>
        <v>-3</v>
      </c>
      <c r="L3409" s="3" t="str">
        <f>IF(K3409&lt;-5,"CRÍTICO",IF(K3409&lt;0,"ATENÇÃO",IF(K3409&lt;=5,"OPORTUNO","MUITO BOM")))</f>
        <v>ATENÇÃO</v>
      </c>
      <c r="M3409">
        <v>4</v>
      </c>
      <c r="N3409">
        <v>100</v>
      </c>
      <c r="O3409">
        <v>35</v>
      </c>
    </row>
    <row r="3410" spans="1:15" hidden="1" x14ac:dyDescent="0.25">
      <c r="A3410" s="11">
        <v>46107</v>
      </c>
      <c r="B3410" t="s">
        <v>63</v>
      </c>
      <c r="C3410" t="s">
        <v>23</v>
      </c>
      <c r="D3410">
        <v>24</v>
      </c>
      <c r="E3410">
        <v>20</v>
      </c>
      <c r="F3410">
        <v>20.399999999999999</v>
      </c>
      <c r="G3410">
        <v>0</v>
      </c>
      <c r="H3410">
        <v>0</v>
      </c>
      <c r="I3410" s="3">
        <f>E3410+G3410+H3410</f>
        <v>20</v>
      </c>
      <c r="J3410" s="3">
        <f>ROUND(MIN(IF(C3410="Técnico III",35,IF(C3410="Técnico II",28,IF(C3410="Técnico I",23,IF(C3410="JR",20,IF(C3410="Estágio",10,0))))),IF(C3410="Técnico III",SUMIFS($D:$D,$A:$A,$A3410,$B:$B,"&lt;&gt;Patrícia Karla de Sousa Araújo",$B:$B,"&lt;&gt;Lorena Dias de Araujo",$B:$B,"&lt;&gt;Lucas Luiz Romero")*(35/1083),IF(C3410="Técnico II",SUMIFS($D:$D,$A:$A,$A3410,$B:$B,"&lt;&gt;Patrícia Karla de Sousa Araújo",$B:$B,"&lt;&gt;Lorena Dias de Araujo",$B:$B,"&lt;&gt;Lucas Luiz Romero")*(28/1083),IF(C3410="Técnico I",SUMIFS($D:$D,$A:$A,$A3410,$B:$B,"&lt;&gt;Patrícia Karla de Sousa Araújo",$B:$B,"&lt;&gt;Lorena Dias de Araujo",$B:$B,"&lt;&gt;Lucas Luiz Romero")*(23/1083),IF(C3410="JR",SUMIFS($D:$D,$A:$A,$A3410,$B:$B,"&lt;&gt;Patrícia Karla de Sousa Araújo",$B:$B,"&lt;&gt;Lorena Dias de Araujo",$B:$B,"&lt;&gt;Lucas Luiz Romero")*(20/1083),IF(C3410="Estágio",SUMIFS($D:$D,$A:$A,$A3410,$B:$B,"&lt;&gt;Patrícia Karla de Sousa Araújo",$B:$B,"&lt;&gt;Lorena Dias de Araujo",$B:$B,"&lt;&gt;Lucas Luiz Romero")*(10/1083),0)))))),0)</f>
        <v>18</v>
      </c>
      <c r="K3410" s="3">
        <f>I3410-J3410</f>
        <v>2</v>
      </c>
      <c r="L3410" s="3" t="str">
        <f>IF(K3410&lt;-5,"CRÍTICO",IF(K3410&lt;0,"ATENÇÃO",IF(K3410&lt;=5,"OPORTUNO","MUITO BOM")))</f>
        <v>OPORTUNO</v>
      </c>
      <c r="M3410">
        <v>15</v>
      </c>
      <c r="N3410">
        <v>95.35</v>
      </c>
      <c r="O3410">
        <v>28.61538461538461</v>
      </c>
    </row>
    <row r="3411" spans="1:15" hidden="1" x14ac:dyDescent="0.25">
      <c r="A3411" s="11">
        <v>46107</v>
      </c>
      <c r="B3411" t="s">
        <v>45</v>
      </c>
      <c r="C3411" t="s">
        <v>32</v>
      </c>
      <c r="D3411">
        <v>27</v>
      </c>
      <c r="E3411">
        <v>25</v>
      </c>
      <c r="F3411">
        <v>18.27</v>
      </c>
      <c r="G3411">
        <v>0</v>
      </c>
      <c r="H3411">
        <v>0</v>
      </c>
      <c r="I3411" s="3">
        <f>E3411+G3411+H3411</f>
        <v>25</v>
      </c>
      <c r="J3411" s="3">
        <f>ROUND(MIN(IF(C3411="Técnico III",35,IF(C3411="Técnico II",28,IF(C3411="Técnico I",23,IF(C3411="JR",20,IF(C3411="Estágio",10,0))))),IF(C3411="Técnico III",SUMIFS($D:$D,$A:$A,$A3411,$B:$B,"&lt;&gt;Patrícia Karla de Sousa Araújo",$B:$B,"&lt;&gt;Lorena Dias de Araujo",$B:$B,"&lt;&gt;Lucas Luiz Romero")*(35/1083),IF(C3411="Técnico II",SUMIFS($D:$D,$A:$A,$A3411,$B:$B,"&lt;&gt;Patrícia Karla de Sousa Araújo",$B:$B,"&lt;&gt;Lorena Dias de Araujo",$B:$B,"&lt;&gt;Lucas Luiz Romero")*(28/1083),IF(C3411="Técnico I",SUMIFS($D:$D,$A:$A,$A3411,$B:$B,"&lt;&gt;Patrícia Karla de Sousa Araújo",$B:$B,"&lt;&gt;Lorena Dias de Araujo",$B:$B,"&lt;&gt;Lucas Luiz Romero")*(23/1083),IF(C3411="JR",SUMIFS($D:$D,$A:$A,$A3411,$B:$B,"&lt;&gt;Patrícia Karla de Sousa Araújo",$B:$B,"&lt;&gt;Lorena Dias de Araujo",$B:$B,"&lt;&gt;Lucas Luiz Romero")*(20/1083),IF(C3411="Estágio",SUMIFS($D:$D,$A:$A,$A3411,$B:$B,"&lt;&gt;Patrícia Karla de Sousa Araújo",$B:$B,"&lt;&gt;Lorena Dias de Araujo",$B:$B,"&lt;&gt;Lucas Luiz Romero")*(10/1083),0)))))),0)</f>
        <v>28</v>
      </c>
      <c r="K3411" s="3">
        <f>I3411-J3411</f>
        <v>-3</v>
      </c>
      <c r="L3411" s="3" t="str">
        <f>IF(K3411&lt;-5,"CRÍTICO",IF(K3411&lt;0,"ATENÇÃO",IF(K3411&lt;=5,"OPORTUNO","MUITO BOM")))</f>
        <v>ATENÇÃO</v>
      </c>
      <c r="M3411">
        <v>25</v>
      </c>
      <c r="N3411">
        <v>98.26</v>
      </c>
      <c r="O3411">
        <v>27.54491017964072</v>
      </c>
    </row>
    <row r="3412" spans="1:15" hidden="1" x14ac:dyDescent="0.25">
      <c r="A3412" s="11">
        <v>46107</v>
      </c>
      <c r="B3412" t="s">
        <v>64</v>
      </c>
      <c r="C3412" t="s">
        <v>23</v>
      </c>
      <c r="D3412">
        <v>11</v>
      </c>
      <c r="E3412">
        <v>11</v>
      </c>
      <c r="F3412">
        <v>35.36</v>
      </c>
      <c r="G3412">
        <v>0</v>
      </c>
      <c r="H3412">
        <v>0</v>
      </c>
      <c r="I3412" s="3">
        <f>E3412+G3412+H3412</f>
        <v>11</v>
      </c>
      <c r="J3412" s="3">
        <f>ROUND(MIN(IF(C3412="Técnico III",35,IF(C3412="Técnico II",28,IF(C3412="Técnico I",23,IF(C3412="JR",20,IF(C3412="Estágio",10,0))))),IF(C3412="Técnico III",SUMIFS($D:$D,$A:$A,$A3412,$B:$B,"&lt;&gt;Patrícia Karla de Sousa Araújo",$B:$B,"&lt;&gt;Lorena Dias de Araujo",$B:$B,"&lt;&gt;Lucas Luiz Romero")*(35/1083),IF(C3412="Técnico II",SUMIFS($D:$D,$A:$A,$A3412,$B:$B,"&lt;&gt;Patrícia Karla de Sousa Araújo",$B:$B,"&lt;&gt;Lorena Dias de Araujo",$B:$B,"&lt;&gt;Lucas Luiz Romero")*(28/1083),IF(C3412="Técnico I",SUMIFS($D:$D,$A:$A,$A3412,$B:$B,"&lt;&gt;Patrícia Karla de Sousa Araújo",$B:$B,"&lt;&gt;Lorena Dias de Araujo",$B:$B,"&lt;&gt;Lucas Luiz Romero")*(23/1083),IF(C3412="JR",SUMIFS($D:$D,$A:$A,$A3412,$B:$B,"&lt;&gt;Patrícia Karla de Sousa Araújo",$B:$B,"&lt;&gt;Lorena Dias de Araujo",$B:$B,"&lt;&gt;Lucas Luiz Romero")*(20/1083),IF(C3412="Estágio",SUMIFS($D:$D,$A:$A,$A3412,$B:$B,"&lt;&gt;Patrícia Karla de Sousa Araújo",$B:$B,"&lt;&gt;Lorena Dias de Araujo",$B:$B,"&lt;&gt;Lucas Luiz Romero")*(10/1083),0)))))),0)</f>
        <v>18</v>
      </c>
      <c r="K3412" s="3">
        <f>I3412-J3412</f>
        <v>-7</v>
      </c>
      <c r="L3412" s="3" t="str">
        <f>IF(K3412&lt;-5,"CRÍTICO",IF(K3412&lt;0,"ATENÇÃO",IF(K3412&lt;=5,"OPORTUNO","MUITO BOM")))</f>
        <v>CRÍTICO</v>
      </c>
      <c r="M3412">
        <v>9</v>
      </c>
      <c r="N3412">
        <v>98.55</v>
      </c>
      <c r="O3412">
        <v>25.337837837837839</v>
      </c>
    </row>
    <row r="3413" spans="1:15" hidden="1" x14ac:dyDescent="0.25">
      <c r="A3413" s="11">
        <v>46107</v>
      </c>
      <c r="B3413" t="s">
        <v>46</v>
      </c>
      <c r="C3413" t="s">
        <v>32</v>
      </c>
      <c r="D3413">
        <v>28</v>
      </c>
      <c r="E3413">
        <v>27</v>
      </c>
      <c r="F3413">
        <v>17.03</v>
      </c>
      <c r="G3413">
        <v>0</v>
      </c>
      <c r="H3413">
        <v>0</v>
      </c>
      <c r="I3413" s="3">
        <f>E3413+G3413+H3413</f>
        <v>27</v>
      </c>
      <c r="J3413" s="3">
        <f>ROUND(MIN(IF(C3413="Técnico III",35,IF(C3413="Técnico II",28,IF(C3413="Técnico I",23,IF(C3413="JR",20,IF(C3413="Estágio",10,0))))),IF(C3413="Técnico III",SUMIFS($D:$D,$A:$A,$A3413,$B:$B,"&lt;&gt;Patrícia Karla de Sousa Araújo",$B:$B,"&lt;&gt;Lorena Dias de Araujo",$B:$B,"&lt;&gt;Lucas Luiz Romero")*(35/1083),IF(C3413="Técnico II",SUMIFS($D:$D,$A:$A,$A3413,$B:$B,"&lt;&gt;Patrícia Karla de Sousa Araújo",$B:$B,"&lt;&gt;Lorena Dias de Araujo",$B:$B,"&lt;&gt;Lucas Luiz Romero")*(28/1083),IF(C3413="Técnico I",SUMIFS($D:$D,$A:$A,$A3413,$B:$B,"&lt;&gt;Patrícia Karla de Sousa Araújo",$B:$B,"&lt;&gt;Lorena Dias de Araujo",$B:$B,"&lt;&gt;Lucas Luiz Romero")*(23/1083),IF(C3413="JR",SUMIFS($D:$D,$A:$A,$A3413,$B:$B,"&lt;&gt;Patrícia Karla de Sousa Araújo",$B:$B,"&lt;&gt;Lorena Dias de Araujo",$B:$B,"&lt;&gt;Lucas Luiz Romero")*(20/1083),IF(C3413="Estágio",SUMIFS($D:$D,$A:$A,$A3413,$B:$B,"&lt;&gt;Patrícia Karla de Sousa Araújo",$B:$B,"&lt;&gt;Lorena Dias de Araujo",$B:$B,"&lt;&gt;Lucas Luiz Romero")*(10/1083),0)))))),0)</f>
        <v>28</v>
      </c>
      <c r="K3413" s="3">
        <f>I3413-J3413</f>
        <v>-1</v>
      </c>
      <c r="L3413" s="3" t="str">
        <f>IF(K3413&lt;-5,"CRÍTICO",IF(K3413&lt;0,"ATENÇÃO",IF(K3413&lt;=5,"OPORTUNO","MUITO BOM")))</f>
        <v>ATENÇÃO</v>
      </c>
      <c r="M3413">
        <v>26</v>
      </c>
      <c r="N3413">
        <v>98.39</v>
      </c>
      <c r="O3413">
        <v>25.563909774436091</v>
      </c>
    </row>
    <row r="3414" spans="1:15" hidden="1" x14ac:dyDescent="0.25">
      <c r="A3414" s="11">
        <v>46108</v>
      </c>
      <c r="B3414" t="s">
        <v>47</v>
      </c>
      <c r="C3414" t="s">
        <v>48</v>
      </c>
      <c r="D3414">
        <v>25</v>
      </c>
      <c r="E3414">
        <v>22</v>
      </c>
      <c r="F3414">
        <v>13.53</v>
      </c>
      <c r="G3414">
        <v>0</v>
      </c>
      <c r="H3414">
        <v>0</v>
      </c>
      <c r="I3414" s="3">
        <f>E3414+G3414+H3414</f>
        <v>22</v>
      </c>
      <c r="J3414" s="3">
        <f>ROUND(MIN(IF(C3414="Técnico III",35,IF(C3414="Técnico II",28,IF(C3414="Técnico I",23,IF(C3414="JR",20,IF(C3414="Estágio",10,0))))),IF(C3414="Técnico III",SUMIFS($D:$D,$A:$A,$A3414,$B:$B,"&lt;&gt;Patrícia Karla de Sousa Araújo",$B:$B,"&lt;&gt;Lorena Dias de Araujo",$B:$B,"&lt;&gt;Lucas Luiz Romero")*(35/1083),IF(C3414="Técnico II",SUMIFS($D:$D,$A:$A,$A3414,$B:$B,"&lt;&gt;Patrícia Karla de Sousa Araújo",$B:$B,"&lt;&gt;Lorena Dias de Araujo",$B:$B,"&lt;&gt;Lucas Luiz Romero")*(28/1083),IF(C3414="Técnico I",SUMIFS($D:$D,$A:$A,$A3414,$B:$B,"&lt;&gt;Patrícia Karla de Sousa Araújo",$B:$B,"&lt;&gt;Lorena Dias de Araujo",$B:$B,"&lt;&gt;Lucas Luiz Romero")*(23/1083),IF(C3414="JR",SUMIFS($D:$D,$A:$A,$A3414,$B:$B,"&lt;&gt;Patrícia Karla de Sousa Araújo",$B:$B,"&lt;&gt;Lorena Dias de Araujo",$B:$B,"&lt;&gt;Lucas Luiz Romero")*(20/1083),IF(C3414="Estágio",SUMIFS($D:$D,$A:$A,$A3414,$B:$B,"&lt;&gt;Patrícia Karla de Sousa Araújo",$B:$B,"&lt;&gt;Lorena Dias de Araujo",$B:$B,"&lt;&gt;Lucas Luiz Romero")*(10/1083),0)))))),0)</f>
        <v>21</v>
      </c>
      <c r="K3414" s="3">
        <f>I3414-J3414</f>
        <v>1</v>
      </c>
      <c r="L3414" s="3" t="str">
        <f>IF(K3414&lt;-5,"CRÍTICO",IF(K3414&lt;0,"ATENÇÃO",IF(K3414&lt;=5,"OPORTUNO","MUITO BOM")))</f>
        <v>OPORTUNO</v>
      </c>
      <c r="M3414">
        <v>19</v>
      </c>
      <c r="N3414">
        <v>94.29</v>
      </c>
      <c r="O3414">
        <v>25.647668393782389</v>
      </c>
    </row>
    <row r="3415" spans="1:15" hidden="1" x14ac:dyDescent="0.25">
      <c r="A3415" s="11">
        <v>46108</v>
      </c>
      <c r="B3415" t="s">
        <v>31</v>
      </c>
      <c r="C3415" t="s">
        <v>32</v>
      </c>
      <c r="D3415">
        <v>0</v>
      </c>
      <c r="E3415">
        <v>0</v>
      </c>
      <c r="F3415">
        <v>0</v>
      </c>
      <c r="G3415">
        <v>0</v>
      </c>
      <c r="H3415">
        <v>0</v>
      </c>
      <c r="I3415" s="3">
        <v>0</v>
      </c>
      <c r="J3415" s="3">
        <v>0</v>
      </c>
      <c r="K3415" s="3">
        <v>0</v>
      </c>
      <c r="L3415" s="3" t="str">
        <f>IF(K3415&lt;-5,"CRÍTICO",IF(K3415&lt;0,"ATENÇÃO",IF(K3415&lt;=5,"OPORTUNO","MUITO BOM")))</f>
        <v>OPORTUNO</v>
      </c>
      <c r="M3415">
        <v>24</v>
      </c>
      <c r="N3415">
        <v>98.26</v>
      </c>
      <c r="O3415">
        <v>26.666666666666671</v>
      </c>
    </row>
    <row r="3416" spans="1:15" hidden="1" x14ac:dyDescent="0.25">
      <c r="A3416" s="11">
        <v>46108</v>
      </c>
      <c r="B3416" t="s">
        <v>59</v>
      </c>
      <c r="C3416" t="s">
        <v>23</v>
      </c>
      <c r="D3416">
        <v>30</v>
      </c>
      <c r="E3416">
        <v>29</v>
      </c>
      <c r="F3416">
        <v>15.25</v>
      </c>
      <c r="G3416">
        <v>0</v>
      </c>
      <c r="H3416">
        <v>0</v>
      </c>
      <c r="I3416" s="3">
        <f>E3416+G3416+H3416</f>
        <v>29</v>
      </c>
      <c r="J3416" s="3">
        <f>ROUND(MIN(IF(C3416="Técnico III",35,IF(C3416="Técnico II",28,IF(C3416="Técnico I",23,IF(C3416="JR",20,IF(C3416="Estágio",10,0))))),IF(C3416="Técnico III",SUMIFS($D:$D,$A:$A,$A3416,$B:$B,"&lt;&gt;Patrícia Karla de Sousa Araújo",$B:$B,"&lt;&gt;Lorena Dias de Araujo",$B:$B,"&lt;&gt;Lucas Luiz Romero")*(35/1083),IF(C3416="Técnico II",SUMIFS($D:$D,$A:$A,$A3416,$B:$B,"&lt;&gt;Patrícia Karla de Sousa Araújo",$B:$B,"&lt;&gt;Lorena Dias de Araujo",$B:$B,"&lt;&gt;Lucas Luiz Romero")*(28/1083),IF(C3416="Técnico I",SUMIFS($D:$D,$A:$A,$A3416,$B:$B,"&lt;&gt;Patrícia Karla de Sousa Araújo",$B:$B,"&lt;&gt;Lorena Dias de Araujo",$B:$B,"&lt;&gt;Lucas Luiz Romero")*(23/1083),IF(C3416="JR",SUMIFS($D:$D,$A:$A,$A3416,$B:$B,"&lt;&gt;Patrícia Karla de Sousa Araújo",$B:$B,"&lt;&gt;Lorena Dias de Araujo",$B:$B,"&lt;&gt;Lucas Luiz Romero")*(20/1083),IF(C3416="Estágio",SUMIFS($D:$D,$A:$A,$A3416,$B:$B,"&lt;&gt;Patrícia Karla de Sousa Araújo",$B:$B,"&lt;&gt;Lorena Dias de Araujo",$B:$B,"&lt;&gt;Lucas Luiz Romero")*(10/1083),0)))))),0)</f>
        <v>17</v>
      </c>
      <c r="K3416" s="3">
        <f>I3416-J3416</f>
        <v>12</v>
      </c>
      <c r="L3416" s="3" t="str">
        <f>IF(K3416&lt;-5,"CRÍTICO",IF(K3416&lt;0,"ATENÇÃO",IF(K3416&lt;=5,"OPORTUNO","MUITO BOM")))</f>
        <v>MUITO BOM</v>
      </c>
      <c r="M3416">
        <v>26</v>
      </c>
      <c r="N3416">
        <v>98.2</v>
      </c>
      <c r="O3416">
        <v>23.37962962962963</v>
      </c>
    </row>
    <row r="3417" spans="1:15" hidden="1" x14ac:dyDescent="0.25">
      <c r="A3417" s="11">
        <v>46108</v>
      </c>
      <c r="B3417" t="s">
        <v>33</v>
      </c>
      <c r="C3417" t="s">
        <v>32</v>
      </c>
      <c r="D3417">
        <v>26</v>
      </c>
      <c r="E3417">
        <v>22</v>
      </c>
      <c r="F3417">
        <v>16.579999999999998</v>
      </c>
      <c r="G3417">
        <v>0</v>
      </c>
      <c r="H3417">
        <v>0</v>
      </c>
      <c r="I3417" s="3">
        <f>E3417+G3417+H3417</f>
        <v>22</v>
      </c>
      <c r="J3417" s="3">
        <f>ROUND(MIN(IF(C3417="Técnico III",35,IF(C3417="Técnico II",28,IF(C3417="Técnico I",23,IF(C3417="JR",20,IF(C3417="Estágio",10,0))))),IF(C3417="Técnico III",SUMIFS($D:$D,$A:$A,$A3417,$B:$B,"&lt;&gt;Patrícia Karla de Sousa Araújo",$B:$B,"&lt;&gt;Lorena Dias de Araujo",$B:$B,"&lt;&gt;Lucas Luiz Romero")*(35/1083),IF(C3417="Técnico II",SUMIFS($D:$D,$A:$A,$A3417,$B:$B,"&lt;&gt;Patrícia Karla de Sousa Araújo",$B:$B,"&lt;&gt;Lorena Dias de Araujo",$B:$B,"&lt;&gt;Lucas Luiz Romero")*(28/1083),IF(C3417="Técnico I",SUMIFS($D:$D,$A:$A,$A3417,$B:$B,"&lt;&gt;Patrícia Karla de Sousa Araújo",$B:$B,"&lt;&gt;Lorena Dias de Araujo",$B:$B,"&lt;&gt;Lucas Luiz Romero")*(23/1083),IF(C3417="JR",SUMIFS($D:$D,$A:$A,$A3417,$B:$B,"&lt;&gt;Patrícia Karla de Sousa Araújo",$B:$B,"&lt;&gt;Lorena Dias de Araujo",$B:$B,"&lt;&gt;Lucas Luiz Romero")*(20/1083),IF(C3417="Estágio",SUMIFS($D:$D,$A:$A,$A3417,$B:$B,"&lt;&gt;Patrícia Karla de Sousa Araújo",$B:$B,"&lt;&gt;Lorena Dias de Araujo",$B:$B,"&lt;&gt;Lucas Luiz Romero")*(10/1083),0)))))),0)</f>
        <v>26</v>
      </c>
      <c r="K3417" s="3">
        <f>I3417-J3417</f>
        <v>-4</v>
      </c>
      <c r="L3417" s="3" t="str">
        <f>IF(K3417&lt;-5,"CRÍTICO",IF(K3417&lt;0,"ATENÇÃO",IF(K3417&lt;=5,"OPORTUNO","MUITO BOM")))</f>
        <v>ATENÇÃO</v>
      </c>
      <c r="M3417">
        <v>19</v>
      </c>
      <c r="N3417">
        <v>97.3</v>
      </c>
      <c r="O3417">
        <v>23.84769539078156</v>
      </c>
    </row>
    <row r="3418" spans="1:15" hidden="1" x14ac:dyDescent="0.25">
      <c r="A3418" s="11">
        <v>46108</v>
      </c>
      <c r="B3418" t="s">
        <v>15</v>
      </c>
      <c r="C3418" t="s">
        <v>16</v>
      </c>
      <c r="D3418">
        <v>16</v>
      </c>
      <c r="E3418">
        <v>16</v>
      </c>
      <c r="F3418">
        <v>20.28</v>
      </c>
      <c r="G3418">
        <v>0</v>
      </c>
      <c r="H3418">
        <v>0</v>
      </c>
      <c r="I3418" s="3">
        <f>E3418+G3418+H3418</f>
        <v>16</v>
      </c>
      <c r="J3418" s="3">
        <f>ROUND(MIN(IF(C3418="Técnico III",35,IF(C3418="Técnico II",28,IF(C3418="Técnico I",23,IF(C3418="JR",20,IF(C3418="Estágio",10,0))))),IF(C3418="Técnico III",SUMIFS($D:$D,$A:$A,$A3418,$B:$B,"&lt;&gt;Patrícia Karla de Sousa Araújo",$B:$B,"&lt;&gt;Lorena Dias de Araujo",$B:$B,"&lt;&gt;Lucas Luiz Romero")*(35/1083),IF(C3418="Técnico II",SUMIFS($D:$D,$A:$A,$A3418,$B:$B,"&lt;&gt;Patrícia Karla de Sousa Araújo",$B:$B,"&lt;&gt;Lorena Dias de Araujo",$B:$B,"&lt;&gt;Lucas Luiz Romero")*(28/1083),IF(C3418="Técnico I",SUMIFS($D:$D,$A:$A,$A3418,$B:$B,"&lt;&gt;Patrícia Karla de Sousa Araújo",$B:$B,"&lt;&gt;Lorena Dias de Araujo",$B:$B,"&lt;&gt;Lucas Luiz Romero")*(23/1083),IF(C3418="JR",SUMIFS($D:$D,$A:$A,$A3418,$B:$B,"&lt;&gt;Patrícia Karla de Sousa Araújo",$B:$B,"&lt;&gt;Lorena Dias de Araujo",$B:$B,"&lt;&gt;Lucas Luiz Romero")*(20/1083),IF(C3418="Estágio",SUMIFS($D:$D,$A:$A,$A3418,$B:$B,"&lt;&gt;Patrícia Karla de Sousa Araújo",$B:$B,"&lt;&gt;Lorena Dias de Araujo",$B:$B,"&lt;&gt;Lucas Luiz Romero")*(10/1083),0)))))),0)</f>
        <v>7</v>
      </c>
      <c r="K3418" s="3">
        <f>I3418-J3418</f>
        <v>9</v>
      </c>
      <c r="L3418" s="3" t="str">
        <f>IF(K3418&lt;-5,"CRÍTICO",IF(K3418&lt;0,"ATENÇÃO",IF(K3418&lt;=5,"OPORTUNO","MUITO BOM")))</f>
        <v>MUITO BOM</v>
      </c>
      <c r="M3418">
        <v>15</v>
      </c>
      <c r="N3418">
        <v>100</v>
      </c>
      <c r="O3418">
        <v>25.268817204301079</v>
      </c>
    </row>
    <row r="3419" spans="1:15" hidden="1" x14ac:dyDescent="0.25">
      <c r="A3419" s="11">
        <v>46108</v>
      </c>
      <c r="B3419" t="s">
        <v>49</v>
      </c>
      <c r="C3419" t="s">
        <v>48</v>
      </c>
      <c r="D3419">
        <v>32</v>
      </c>
      <c r="E3419">
        <v>29</v>
      </c>
      <c r="F3419">
        <v>17.32</v>
      </c>
      <c r="G3419">
        <v>0</v>
      </c>
      <c r="H3419">
        <v>0</v>
      </c>
      <c r="I3419" s="3">
        <f>E3419+G3419+H3419</f>
        <v>29</v>
      </c>
      <c r="J3419" s="3">
        <f>ROUND(MIN(IF(C3419="Técnico III",35,IF(C3419="Técnico II",28,IF(C3419="Técnico I",23,IF(C3419="JR",20,IF(C3419="Estágio",10,0))))),IF(C3419="Técnico III",SUMIFS($D:$D,$A:$A,$A3419,$B:$B,"&lt;&gt;Patrícia Karla de Sousa Araújo",$B:$B,"&lt;&gt;Lorena Dias de Araujo",$B:$B,"&lt;&gt;Lucas Luiz Romero")*(35/1083),IF(C3419="Técnico II",SUMIFS($D:$D,$A:$A,$A3419,$B:$B,"&lt;&gt;Patrícia Karla de Sousa Araújo",$B:$B,"&lt;&gt;Lorena Dias de Araujo",$B:$B,"&lt;&gt;Lucas Luiz Romero")*(28/1083),IF(C3419="Técnico I",SUMIFS($D:$D,$A:$A,$A3419,$B:$B,"&lt;&gt;Patrícia Karla de Sousa Araújo",$B:$B,"&lt;&gt;Lorena Dias de Araujo",$B:$B,"&lt;&gt;Lucas Luiz Romero")*(23/1083),IF(C3419="JR",SUMIFS($D:$D,$A:$A,$A3419,$B:$B,"&lt;&gt;Patrícia Karla de Sousa Araújo",$B:$B,"&lt;&gt;Lorena Dias de Araujo",$B:$B,"&lt;&gt;Lucas Luiz Romero")*(20/1083),IF(C3419="Estágio",SUMIFS($D:$D,$A:$A,$A3419,$B:$B,"&lt;&gt;Patrícia Karla de Sousa Araújo",$B:$B,"&lt;&gt;Lorena Dias de Araujo",$B:$B,"&lt;&gt;Lucas Luiz Romero")*(10/1083),0)))))),0)</f>
        <v>21</v>
      </c>
      <c r="K3419" s="3">
        <f>I3419-J3419</f>
        <v>8</v>
      </c>
      <c r="L3419" s="3" t="str">
        <f>IF(K3419&lt;-5,"CRÍTICO",IF(K3419&lt;0,"ATENÇÃO",IF(K3419&lt;=5,"OPORTUNO","MUITO BOM")))</f>
        <v>MUITO BOM</v>
      </c>
      <c r="M3419">
        <v>28</v>
      </c>
      <c r="N3419">
        <v>99.32</v>
      </c>
      <c r="O3419">
        <v>22.822822822822818</v>
      </c>
    </row>
    <row r="3420" spans="1:15" hidden="1" x14ac:dyDescent="0.25">
      <c r="A3420" s="11">
        <v>46108</v>
      </c>
      <c r="B3420" t="s">
        <v>50</v>
      </c>
      <c r="C3420" t="s">
        <v>48</v>
      </c>
      <c r="D3420">
        <v>19</v>
      </c>
      <c r="E3420">
        <v>17</v>
      </c>
      <c r="F3420">
        <v>23.48</v>
      </c>
      <c r="G3420">
        <v>0</v>
      </c>
      <c r="H3420">
        <v>0</v>
      </c>
      <c r="I3420" s="3">
        <f>E3420+G3420+H3420</f>
        <v>17</v>
      </c>
      <c r="J3420" s="3">
        <f>ROUND(MIN(IF(C3420="Técnico III",35,IF(C3420="Técnico II",28,IF(C3420="Técnico I",23,IF(C3420="JR",20,IF(C3420="Estágio",10,0))))),IF(C3420="Técnico III",SUMIFS($D:$D,$A:$A,$A3420,$B:$B,"&lt;&gt;Patrícia Karla de Sousa Araújo",$B:$B,"&lt;&gt;Lorena Dias de Araujo",$B:$B,"&lt;&gt;Lucas Luiz Romero")*(35/1083),IF(C3420="Técnico II",SUMIFS($D:$D,$A:$A,$A3420,$B:$B,"&lt;&gt;Patrícia Karla de Sousa Araújo",$B:$B,"&lt;&gt;Lorena Dias de Araujo",$B:$B,"&lt;&gt;Lucas Luiz Romero")*(28/1083),IF(C3420="Técnico I",SUMIFS($D:$D,$A:$A,$A3420,$B:$B,"&lt;&gt;Patrícia Karla de Sousa Araújo",$B:$B,"&lt;&gt;Lorena Dias de Araujo",$B:$B,"&lt;&gt;Lucas Luiz Romero")*(23/1083),IF(C3420="JR",SUMIFS($D:$D,$A:$A,$A3420,$B:$B,"&lt;&gt;Patrícia Karla de Sousa Araújo",$B:$B,"&lt;&gt;Lorena Dias de Araujo",$B:$B,"&lt;&gt;Lucas Luiz Romero")*(20/1083),IF(C3420="Estágio",SUMIFS($D:$D,$A:$A,$A3420,$B:$B,"&lt;&gt;Patrícia Karla de Sousa Araújo",$B:$B,"&lt;&gt;Lorena Dias de Araujo",$B:$B,"&lt;&gt;Lucas Luiz Romero")*(10/1083),0)))))),0)</f>
        <v>21</v>
      </c>
      <c r="K3420" s="3">
        <f>I3420-J3420</f>
        <v>-4</v>
      </c>
      <c r="L3420" s="3" t="str">
        <f>IF(K3420&lt;-5,"CRÍTICO",IF(K3420&lt;0,"ATENÇÃO",IF(K3420&lt;=5,"OPORTUNO","MUITO BOM")))</f>
        <v>ATENÇÃO</v>
      </c>
      <c r="M3420">
        <v>18</v>
      </c>
      <c r="N3420">
        <v>100</v>
      </c>
      <c r="O3420">
        <v>27.966101694915249</v>
      </c>
    </row>
    <row r="3421" spans="1:15" hidden="1" x14ac:dyDescent="0.25">
      <c r="A3421" s="11">
        <v>46108</v>
      </c>
      <c r="B3421" t="s">
        <v>17</v>
      </c>
      <c r="C3421" t="s">
        <v>16</v>
      </c>
      <c r="D3421">
        <v>10</v>
      </c>
      <c r="E3421">
        <v>10</v>
      </c>
      <c r="F3421">
        <v>15.45</v>
      </c>
      <c r="G3421">
        <v>0</v>
      </c>
      <c r="H3421">
        <v>0</v>
      </c>
      <c r="I3421" s="3">
        <f>E3421+G3421+H3421</f>
        <v>10</v>
      </c>
      <c r="J3421" s="3">
        <f>ROUND(MIN(IF(C3421="Técnico III",35,IF(C3421="Técnico II",28,IF(C3421="Técnico I",23,IF(C3421="JR",20,IF(C3421="Estágio",10,0))))),IF(C3421="Técnico III",SUMIFS($D:$D,$A:$A,$A3421,$B:$B,"&lt;&gt;Patrícia Karla de Sousa Araújo",$B:$B,"&lt;&gt;Lorena Dias de Araujo",$B:$B,"&lt;&gt;Lucas Luiz Romero")*(35/1083),IF(C3421="Técnico II",SUMIFS($D:$D,$A:$A,$A3421,$B:$B,"&lt;&gt;Patrícia Karla de Sousa Araújo",$B:$B,"&lt;&gt;Lorena Dias de Araujo",$B:$B,"&lt;&gt;Lucas Luiz Romero")*(28/1083),IF(C3421="Técnico I",SUMIFS($D:$D,$A:$A,$A3421,$B:$B,"&lt;&gt;Patrícia Karla de Sousa Araújo",$B:$B,"&lt;&gt;Lorena Dias de Araujo",$B:$B,"&lt;&gt;Lucas Luiz Romero")*(23/1083),IF(C3421="JR",SUMIFS($D:$D,$A:$A,$A3421,$B:$B,"&lt;&gt;Patrícia Karla de Sousa Araújo",$B:$B,"&lt;&gt;Lorena Dias de Araujo",$B:$B,"&lt;&gt;Lucas Luiz Romero")*(20/1083),IF(C3421="Estágio",SUMIFS($D:$D,$A:$A,$A3421,$B:$B,"&lt;&gt;Patrícia Karla de Sousa Araújo",$B:$B,"&lt;&gt;Lorena Dias de Araujo",$B:$B,"&lt;&gt;Lucas Luiz Romero")*(10/1083),0)))))),0)</f>
        <v>7</v>
      </c>
      <c r="K3421" s="3">
        <f>I3421-J3421</f>
        <v>3</v>
      </c>
      <c r="L3421" s="3" t="str">
        <f>IF(K3421&lt;-5,"CRÍTICO",IF(K3421&lt;0,"ATENÇÃO",IF(K3421&lt;=5,"OPORTUNO","MUITO BOM")))</f>
        <v>OPORTUNO</v>
      </c>
      <c r="M3421">
        <v>6</v>
      </c>
      <c r="N3421">
        <v>100</v>
      </c>
      <c r="O3421">
        <v>30.434782608695659</v>
      </c>
    </row>
    <row r="3422" spans="1:15" hidden="1" x14ac:dyDescent="0.25">
      <c r="A3422" s="11">
        <v>46108</v>
      </c>
      <c r="B3422" t="s">
        <v>60</v>
      </c>
      <c r="C3422" t="s">
        <v>23</v>
      </c>
      <c r="D3422">
        <v>31</v>
      </c>
      <c r="E3422">
        <v>30</v>
      </c>
      <c r="F3422">
        <v>21.45</v>
      </c>
      <c r="G3422">
        <v>0</v>
      </c>
      <c r="H3422">
        <v>0</v>
      </c>
      <c r="I3422" s="3">
        <f>E3422+G3422+H3422</f>
        <v>30</v>
      </c>
      <c r="J3422" s="3">
        <f>ROUND(MIN(IF(C3422="Técnico III",35,IF(C3422="Técnico II",28,IF(C3422="Técnico I",23,IF(C3422="JR",20,IF(C3422="Estágio",10,0))))),IF(C3422="Técnico III",SUMIFS($D:$D,$A:$A,$A3422,$B:$B,"&lt;&gt;Patrícia Karla de Sousa Araújo",$B:$B,"&lt;&gt;Lorena Dias de Araujo",$B:$B,"&lt;&gt;Lucas Luiz Romero")*(35/1083),IF(C3422="Técnico II",SUMIFS($D:$D,$A:$A,$A3422,$B:$B,"&lt;&gt;Patrícia Karla de Sousa Araújo",$B:$B,"&lt;&gt;Lorena Dias de Araujo",$B:$B,"&lt;&gt;Lucas Luiz Romero")*(28/1083),IF(C3422="Técnico I",SUMIFS($D:$D,$A:$A,$A3422,$B:$B,"&lt;&gt;Patrícia Karla de Sousa Araújo",$B:$B,"&lt;&gt;Lorena Dias de Araujo",$B:$B,"&lt;&gt;Lucas Luiz Romero")*(23/1083),IF(C3422="JR",SUMIFS($D:$D,$A:$A,$A3422,$B:$B,"&lt;&gt;Patrícia Karla de Sousa Araújo",$B:$B,"&lt;&gt;Lorena Dias de Araujo",$B:$B,"&lt;&gt;Lucas Luiz Romero")*(20/1083),IF(C3422="Estágio",SUMIFS($D:$D,$A:$A,$A3422,$B:$B,"&lt;&gt;Patrícia Karla de Sousa Araújo",$B:$B,"&lt;&gt;Lorena Dias de Araujo",$B:$B,"&lt;&gt;Lucas Luiz Romero")*(10/1083),0)))))),0)</f>
        <v>17</v>
      </c>
      <c r="K3422" s="3">
        <f>I3422-J3422</f>
        <v>13</v>
      </c>
      <c r="L3422" s="3" t="str">
        <f>IF(K3422&lt;-5,"CRÍTICO",IF(K3422&lt;0,"ATENÇÃO",IF(K3422&lt;=5,"OPORTUNO","MUITO BOM")))</f>
        <v>MUITO BOM</v>
      </c>
      <c r="M3422">
        <v>31</v>
      </c>
      <c r="N3422">
        <v>96.51</v>
      </c>
      <c r="O3422">
        <v>22.802850356294542</v>
      </c>
    </row>
    <row r="3423" spans="1:15" hidden="1" x14ac:dyDescent="0.25">
      <c r="A3423" s="11">
        <v>46108</v>
      </c>
      <c r="B3423" t="s">
        <v>34</v>
      </c>
      <c r="C3423" t="s">
        <v>32</v>
      </c>
      <c r="D3423">
        <v>29</v>
      </c>
      <c r="E3423">
        <v>25</v>
      </c>
      <c r="F3423">
        <v>10.48</v>
      </c>
      <c r="G3423">
        <v>0</v>
      </c>
      <c r="H3423">
        <v>0</v>
      </c>
      <c r="I3423" s="3">
        <f>E3423+G3423+H3423</f>
        <v>25</v>
      </c>
      <c r="J3423" s="3">
        <f>ROUND(MIN(IF(C3423="Técnico III",35,IF(C3423="Técnico II",28,IF(C3423="Técnico I",23,IF(C3423="JR",20,IF(C3423="Estágio",10,0))))),IF(C3423="Técnico III",SUMIFS($D:$D,$A:$A,$A3423,$B:$B,"&lt;&gt;Patrícia Karla de Sousa Araújo",$B:$B,"&lt;&gt;Lorena Dias de Araujo",$B:$B,"&lt;&gt;Lucas Luiz Romero")*(35/1083),IF(C3423="Técnico II",SUMIFS($D:$D,$A:$A,$A3423,$B:$B,"&lt;&gt;Patrícia Karla de Sousa Araújo",$B:$B,"&lt;&gt;Lorena Dias de Araujo",$B:$B,"&lt;&gt;Lucas Luiz Romero")*(28/1083),IF(C3423="Técnico I",SUMIFS($D:$D,$A:$A,$A3423,$B:$B,"&lt;&gt;Patrícia Karla de Sousa Araújo",$B:$B,"&lt;&gt;Lorena Dias de Araujo",$B:$B,"&lt;&gt;Lucas Luiz Romero")*(23/1083),IF(C3423="JR",SUMIFS($D:$D,$A:$A,$A3423,$B:$B,"&lt;&gt;Patrícia Karla de Sousa Araújo",$B:$B,"&lt;&gt;Lorena Dias de Araujo",$B:$B,"&lt;&gt;Lucas Luiz Romero")*(20/1083),IF(C3423="Estágio",SUMIFS($D:$D,$A:$A,$A3423,$B:$B,"&lt;&gt;Patrícia Karla de Sousa Araújo",$B:$B,"&lt;&gt;Lorena Dias de Araujo",$B:$B,"&lt;&gt;Lucas Luiz Romero")*(10/1083),0)))))),0)</f>
        <v>26</v>
      </c>
      <c r="K3423" s="3">
        <f>I3423-J3423</f>
        <v>-1</v>
      </c>
      <c r="L3423" s="3" t="str">
        <f>IF(K3423&lt;-5,"CRÍTICO",IF(K3423&lt;0,"ATENÇÃO",IF(K3423&lt;=5,"OPORTUNO","MUITO BOM")))</f>
        <v>ATENÇÃO</v>
      </c>
      <c r="M3423">
        <v>22</v>
      </c>
      <c r="N3423">
        <v>92.68</v>
      </c>
      <c r="O3423">
        <v>27.777777777777779</v>
      </c>
    </row>
    <row r="3424" spans="1:15" hidden="1" x14ac:dyDescent="0.25">
      <c r="A3424" s="11">
        <v>46108</v>
      </c>
      <c r="B3424" t="s">
        <v>51</v>
      </c>
      <c r="C3424" t="s">
        <v>48</v>
      </c>
      <c r="D3424">
        <v>16</v>
      </c>
      <c r="E3424">
        <v>13</v>
      </c>
      <c r="F3424">
        <v>10.34</v>
      </c>
      <c r="G3424">
        <v>0</v>
      </c>
      <c r="H3424">
        <v>0</v>
      </c>
      <c r="I3424" s="3">
        <v>0</v>
      </c>
      <c r="J3424" s="3">
        <v>0</v>
      </c>
      <c r="K3424" s="3">
        <v>0</v>
      </c>
      <c r="L3424" s="3" t="str">
        <f>IF(K3424&lt;-5,"CRÍTICO",IF(K3424&lt;0,"ATENÇÃO",IF(K3424&lt;=5,"OPORTUNO","MUITO BOM")))</f>
        <v>OPORTUNO</v>
      </c>
      <c r="M3424">
        <v>12</v>
      </c>
      <c r="N3424">
        <v>99.03</v>
      </c>
      <c r="O3424">
        <v>23.991507430997881</v>
      </c>
    </row>
    <row r="3425" spans="1:15" hidden="1" x14ac:dyDescent="0.25">
      <c r="A3425" s="11">
        <v>46108</v>
      </c>
      <c r="B3425" t="s">
        <v>61</v>
      </c>
      <c r="C3425" t="s">
        <v>23</v>
      </c>
      <c r="D3425">
        <v>19</v>
      </c>
      <c r="E3425">
        <v>17</v>
      </c>
      <c r="F3425">
        <v>20.48</v>
      </c>
      <c r="G3425">
        <v>0</v>
      </c>
      <c r="H3425">
        <v>0</v>
      </c>
      <c r="I3425" s="3">
        <f>E3425+G3425+H3425</f>
        <v>17</v>
      </c>
      <c r="J3425" s="3">
        <f>ROUND(MIN(IF(C3425="Técnico III",35,IF(C3425="Técnico II",28,IF(C3425="Técnico I",23,IF(C3425="JR",20,IF(C3425="Estágio",10,0))))),IF(C3425="Técnico III",SUMIFS($D:$D,$A:$A,$A3425,$B:$B,"&lt;&gt;Patrícia Karla de Sousa Araújo",$B:$B,"&lt;&gt;Lorena Dias de Araujo",$B:$B,"&lt;&gt;Lucas Luiz Romero")*(35/1083),IF(C3425="Técnico II",SUMIFS($D:$D,$A:$A,$A3425,$B:$B,"&lt;&gt;Patrícia Karla de Sousa Araújo",$B:$B,"&lt;&gt;Lorena Dias de Araujo",$B:$B,"&lt;&gt;Lucas Luiz Romero")*(28/1083),IF(C3425="Técnico I",SUMIFS($D:$D,$A:$A,$A3425,$B:$B,"&lt;&gt;Patrícia Karla de Sousa Araújo",$B:$B,"&lt;&gt;Lorena Dias de Araujo",$B:$B,"&lt;&gt;Lucas Luiz Romero")*(23/1083),IF(C3425="JR",SUMIFS($D:$D,$A:$A,$A3425,$B:$B,"&lt;&gt;Patrícia Karla de Sousa Araújo",$B:$B,"&lt;&gt;Lorena Dias de Araujo",$B:$B,"&lt;&gt;Lucas Luiz Romero")*(20/1083),IF(C3425="Estágio",SUMIFS($D:$D,$A:$A,$A3425,$B:$B,"&lt;&gt;Patrícia Karla de Sousa Araújo",$B:$B,"&lt;&gt;Lorena Dias de Araujo",$B:$B,"&lt;&gt;Lucas Luiz Romero")*(10/1083),0)))))),0)</f>
        <v>17</v>
      </c>
      <c r="K3425" s="3">
        <f>I3425-J3425</f>
        <v>0</v>
      </c>
      <c r="L3425" s="3" t="str">
        <f>IF(K3425&lt;-5,"CRÍTICO",IF(K3425&lt;0,"ATENÇÃO",IF(K3425&lt;=5,"OPORTUNO","MUITO BOM")))</f>
        <v>OPORTUNO</v>
      </c>
      <c r="M3425">
        <v>6</v>
      </c>
      <c r="N3425">
        <v>98.41</v>
      </c>
      <c r="O3425">
        <v>28.138528138528141</v>
      </c>
    </row>
    <row r="3426" spans="1:15" hidden="1" x14ac:dyDescent="0.25">
      <c r="A3426" s="11">
        <v>46108</v>
      </c>
      <c r="B3426" t="s">
        <v>35</v>
      </c>
      <c r="C3426" t="s">
        <v>32</v>
      </c>
      <c r="D3426">
        <v>17</v>
      </c>
      <c r="E3426">
        <v>17</v>
      </c>
      <c r="F3426">
        <v>33.450000000000003</v>
      </c>
      <c r="G3426">
        <v>0</v>
      </c>
      <c r="H3426">
        <v>0</v>
      </c>
      <c r="I3426" s="3">
        <v>0</v>
      </c>
      <c r="J3426" s="3">
        <v>0</v>
      </c>
      <c r="K3426" s="3">
        <v>0</v>
      </c>
      <c r="L3426" s="3" t="str">
        <f>IF(K3426&lt;-5,"CRÍTICO",IF(K3426&lt;0,"ATENÇÃO",IF(K3426&lt;=5,"OPORTUNO","MUITO BOM")))</f>
        <v>OPORTUNO</v>
      </c>
      <c r="M3426">
        <v>18</v>
      </c>
      <c r="N3426">
        <v>98.73</v>
      </c>
      <c r="O3426">
        <v>29.142857142857139</v>
      </c>
    </row>
    <row r="3427" spans="1:15" hidden="1" x14ac:dyDescent="0.25">
      <c r="A3427" s="11">
        <v>46108</v>
      </c>
      <c r="B3427" t="s">
        <v>18</v>
      </c>
      <c r="C3427" t="s">
        <v>16</v>
      </c>
      <c r="D3427">
        <v>10</v>
      </c>
      <c r="E3427">
        <v>8</v>
      </c>
      <c r="F3427">
        <v>27.39</v>
      </c>
      <c r="G3427">
        <v>0</v>
      </c>
      <c r="H3427">
        <v>0</v>
      </c>
      <c r="I3427" s="3">
        <f>E3427+G3427+H3427</f>
        <v>8</v>
      </c>
      <c r="J3427" s="3">
        <f>ROUND(MIN(IF(C3427="Técnico III",35,IF(C3427="Técnico II",28,IF(C3427="Técnico I",23,IF(C3427="JR",20,IF(C3427="Estágio",10,0))))),IF(C3427="Técnico III",SUMIFS($D:$D,$A:$A,$A3427,$B:$B,"&lt;&gt;Patrícia Karla de Sousa Araújo",$B:$B,"&lt;&gt;Lorena Dias de Araujo",$B:$B,"&lt;&gt;Lucas Luiz Romero")*(35/1083),IF(C3427="Técnico II",SUMIFS($D:$D,$A:$A,$A3427,$B:$B,"&lt;&gt;Patrícia Karla de Sousa Araújo",$B:$B,"&lt;&gt;Lorena Dias de Araujo",$B:$B,"&lt;&gt;Lucas Luiz Romero")*(28/1083),IF(C3427="Técnico I",SUMIFS($D:$D,$A:$A,$A3427,$B:$B,"&lt;&gt;Patrícia Karla de Sousa Araújo",$B:$B,"&lt;&gt;Lorena Dias de Araujo",$B:$B,"&lt;&gt;Lucas Luiz Romero")*(23/1083),IF(C3427="JR",SUMIFS($D:$D,$A:$A,$A3427,$B:$B,"&lt;&gt;Patrícia Karla de Sousa Araújo",$B:$B,"&lt;&gt;Lorena Dias de Araujo",$B:$B,"&lt;&gt;Lucas Luiz Romero")*(20/1083),IF(C3427="Estágio",SUMIFS($D:$D,$A:$A,$A3427,$B:$B,"&lt;&gt;Patrícia Karla de Sousa Araújo",$B:$B,"&lt;&gt;Lorena Dias de Araujo",$B:$B,"&lt;&gt;Lucas Luiz Romero")*(10/1083),0)))))),0)</f>
        <v>7</v>
      </c>
      <c r="K3427" s="3">
        <f>I3427-J3427</f>
        <v>1</v>
      </c>
      <c r="L3427" s="3" t="str">
        <f>IF(K3427&lt;-5,"CRÍTICO",IF(K3427&lt;0,"ATENÇÃO",IF(K3427&lt;=5,"OPORTUNO","MUITO BOM")))</f>
        <v>OPORTUNO</v>
      </c>
      <c r="M3427">
        <v>8</v>
      </c>
      <c r="N3427">
        <v>90.48</v>
      </c>
      <c r="O3427">
        <v>20.68965517241379</v>
      </c>
    </row>
    <row r="3428" spans="1:15" hidden="1" x14ac:dyDescent="0.25">
      <c r="A3428" s="11">
        <v>46108</v>
      </c>
      <c r="B3428" t="s">
        <v>52</v>
      </c>
      <c r="C3428" t="s">
        <v>48</v>
      </c>
      <c r="D3428">
        <v>23</v>
      </c>
      <c r="E3428">
        <v>23</v>
      </c>
      <c r="F3428">
        <v>16.47</v>
      </c>
      <c r="G3428">
        <v>0</v>
      </c>
      <c r="H3428">
        <v>0</v>
      </c>
      <c r="I3428" s="3">
        <f>E3428+G3428+H3428</f>
        <v>23</v>
      </c>
      <c r="J3428" s="3">
        <f>ROUND(MIN(IF(C3428="Técnico III",35,IF(C3428="Técnico II",28,IF(C3428="Técnico I",23,IF(C3428="JR",20,IF(C3428="Estágio",10,0))))),IF(C3428="Técnico III",SUMIFS($D:$D,$A:$A,$A3428,$B:$B,"&lt;&gt;Patrícia Karla de Sousa Araújo",$B:$B,"&lt;&gt;Lorena Dias de Araujo",$B:$B,"&lt;&gt;Lucas Luiz Romero")*(35/1083),IF(C3428="Técnico II",SUMIFS($D:$D,$A:$A,$A3428,$B:$B,"&lt;&gt;Patrícia Karla de Sousa Araújo",$B:$B,"&lt;&gt;Lorena Dias de Araujo",$B:$B,"&lt;&gt;Lucas Luiz Romero")*(28/1083),IF(C3428="Técnico I",SUMIFS($D:$D,$A:$A,$A3428,$B:$B,"&lt;&gt;Patrícia Karla de Sousa Araújo",$B:$B,"&lt;&gt;Lorena Dias de Araujo",$B:$B,"&lt;&gt;Lucas Luiz Romero")*(23/1083),IF(C3428="JR",SUMIFS($D:$D,$A:$A,$A3428,$B:$B,"&lt;&gt;Patrícia Karla de Sousa Araújo",$B:$B,"&lt;&gt;Lorena Dias de Araujo",$B:$B,"&lt;&gt;Lucas Luiz Romero")*(20/1083),IF(C3428="Estágio",SUMIFS($D:$D,$A:$A,$A3428,$B:$B,"&lt;&gt;Patrícia Karla de Sousa Araújo",$B:$B,"&lt;&gt;Lorena Dias de Araujo",$B:$B,"&lt;&gt;Lucas Luiz Romero")*(10/1083),0)))))),0)</f>
        <v>21</v>
      </c>
      <c r="K3428" s="3">
        <f>I3428-J3428</f>
        <v>2</v>
      </c>
      <c r="L3428" s="3" t="str">
        <f>IF(K3428&lt;-5,"CRÍTICO",IF(K3428&lt;0,"ATENÇÃO",IF(K3428&lt;=5,"OPORTUNO","MUITO BOM")))</f>
        <v>OPORTUNO</v>
      </c>
      <c r="M3428">
        <v>21</v>
      </c>
      <c r="N3428">
        <v>98.06</v>
      </c>
      <c r="O3428">
        <v>24.789915966386559</v>
      </c>
    </row>
    <row r="3429" spans="1:15" hidden="1" x14ac:dyDescent="0.25">
      <c r="A3429" s="11">
        <v>46108</v>
      </c>
      <c r="B3429" t="s">
        <v>36</v>
      </c>
      <c r="C3429" t="s">
        <v>32</v>
      </c>
      <c r="D3429">
        <v>20</v>
      </c>
      <c r="E3429">
        <v>19</v>
      </c>
      <c r="F3429">
        <v>16.399999999999999</v>
      </c>
      <c r="G3429">
        <v>0</v>
      </c>
      <c r="H3429">
        <v>0</v>
      </c>
      <c r="I3429" s="3">
        <f>E3429+G3429+H3429</f>
        <v>19</v>
      </c>
      <c r="J3429" s="3">
        <f>ROUND(MIN(IF(C3429="Técnico III",35,IF(C3429="Técnico II",28,IF(C3429="Técnico I",23,IF(C3429="JR",20,IF(C3429="Estágio",10,0))))),IF(C3429="Técnico III",SUMIFS($D:$D,$A:$A,$A3429,$B:$B,"&lt;&gt;Patrícia Karla de Sousa Araújo",$B:$B,"&lt;&gt;Lorena Dias de Araujo",$B:$B,"&lt;&gt;Lucas Luiz Romero")*(35/1083),IF(C3429="Técnico II",SUMIFS($D:$D,$A:$A,$A3429,$B:$B,"&lt;&gt;Patrícia Karla de Sousa Araújo",$B:$B,"&lt;&gt;Lorena Dias de Araujo",$B:$B,"&lt;&gt;Lucas Luiz Romero")*(28/1083),IF(C3429="Técnico I",SUMIFS($D:$D,$A:$A,$A3429,$B:$B,"&lt;&gt;Patrícia Karla de Sousa Araújo",$B:$B,"&lt;&gt;Lorena Dias de Araujo",$B:$B,"&lt;&gt;Lucas Luiz Romero")*(23/1083),IF(C3429="JR",SUMIFS($D:$D,$A:$A,$A3429,$B:$B,"&lt;&gt;Patrícia Karla de Sousa Araújo",$B:$B,"&lt;&gt;Lorena Dias de Araujo",$B:$B,"&lt;&gt;Lucas Luiz Romero")*(20/1083),IF(C3429="Estágio",SUMIFS($D:$D,$A:$A,$A3429,$B:$B,"&lt;&gt;Patrícia Karla de Sousa Araújo",$B:$B,"&lt;&gt;Lorena Dias de Araujo",$B:$B,"&lt;&gt;Lucas Luiz Romero")*(10/1083),0)))))),0)</f>
        <v>26</v>
      </c>
      <c r="K3429" s="3">
        <f>I3429-J3429</f>
        <v>-7</v>
      </c>
      <c r="L3429" s="3" t="str">
        <f>IF(K3429&lt;-5,"CRÍTICO",IF(K3429&lt;0,"ATENÇÃO",IF(K3429&lt;=5,"OPORTUNO","MUITO BOM")))</f>
        <v>CRÍTICO</v>
      </c>
      <c r="M3429">
        <v>20</v>
      </c>
      <c r="N3429">
        <v>97.78</v>
      </c>
      <c r="O3429">
        <v>25.494071146245059</v>
      </c>
    </row>
    <row r="3430" spans="1:15" hidden="1" x14ac:dyDescent="0.25">
      <c r="A3430" s="11">
        <v>46108</v>
      </c>
      <c r="B3430" t="s">
        <v>53</v>
      </c>
      <c r="C3430" t="s">
        <v>48</v>
      </c>
      <c r="D3430">
        <v>25</v>
      </c>
      <c r="E3430">
        <v>20</v>
      </c>
      <c r="F3430">
        <v>23.59</v>
      </c>
      <c r="G3430">
        <v>0</v>
      </c>
      <c r="H3430">
        <v>0</v>
      </c>
      <c r="I3430" s="3">
        <f>E3430+G3430+H3430</f>
        <v>20</v>
      </c>
      <c r="J3430" s="3">
        <f>ROUND(MIN(IF(C3430="Técnico III",35,IF(C3430="Técnico II",28,IF(C3430="Técnico I",23,IF(C3430="JR",20,IF(C3430="Estágio",10,0))))),IF(C3430="Técnico III",SUMIFS($D:$D,$A:$A,$A3430,$B:$B,"&lt;&gt;Patrícia Karla de Sousa Araújo",$B:$B,"&lt;&gt;Lorena Dias de Araujo",$B:$B,"&lt;&gt;Lucas Luiz Romero")*(35/1083),IF(C3430="Técnico II",SUMIFS($D:$D,$A:$A,$A3430,$B:$B,"&lt;&gt;Patrícia Karla de Sousa Araújo",$B:$B,"&lt;&gt;Lorena Dias de Araujo",$B:$B,"&lt;&gt;Lucas Luiz Romero")*(28/1083),IF(C3430="Técnico I",SUMIFS($D:$D,$A:$A,$A3430,$B:$B,"&lt;&gt;Patrícia Karla de Sousa Araújo",$B:$B,"&lt;&gt;Lorena Dias de Araujo",$B:$B,"&lt;&gt;Lucas Luiz Romero")*(23/1083),IF(C3430="JR",SUMIFS($D:$D,$A:$A,$A3430,$B:$B,"&lt;&gt;Patrícia Karla de Sousa Araújo",$B:$B,"&lt;&gt;Lorena Dias de Araujo",$B:$B,"&lt;&gt;Lucas Luiz Romero")*(20/1083),IF(C3430="Estágio",SUMIFS($D:$D,$A:$A,$A3430,$B:$B,"&lt;&gt;Patrícia Karla de Sousa Araújo",$B:$B,"&lt;&gt;Lorena Dias de Araujo",$B:$B,"&lt;&gt;Lucas Luiz Romero")*(10/1083),0)))))),0)</f>
        <v>21</v>
      </c>
      <c r="K3430" s="3">
        <f>I3430-J3430</f>
        <v>-1</v>
      </c>
      <c r="L3430" s="3" t="str">
        <f>IF(K3430&lt;-5,"CRÍTICO",IF(K3430&lt;0,"ATENÇÃO",IF(K3430&lt;=5,"OPORTUNO","MUITO BOM")))</f>
        <v>ATENÇÃO</v>
      </c>
      <c r="M3430">
        <v>18</v>
      </c>
      <c r="N3430">
        <v>98.02</v>
      </c>
      <c r="O3430">
        <v>23.484848484848481</v>
      </c>
    </row>
    <row r="3431" spans="1:15" hidden="1" x14ac:dyDescent="0.25">
      <c r="A3431" s="5">
        <v>46160</v>
      </c>
      <c r="B3431" s="6" t="s">
        <v>22</v>
      </c>
      <c r="C3431" s="1" t="s">
        <v>23</v>
      </c>
      <c r="D3431" s="3">
        <v>21</v>
      </c>
      <c r="E3431" s="3">
        <v>18</v>
      </c>
      <c r="F3431" s="3">
        <v>20.22</v>
      </c>
      <c r="G3431" s="3">
        <v>6</v>
      </c>
      <c r="H3431" s="3">
        <v>1</v>
      </c>
      <c r="I3431" s="3">
        <f>E3431+G3431+H3431</f>
        <v>25</v>
      </c>
      <c r="J3431" s="3">
        <f>ROUND(MIN(IF(C3431="Técnico III",35,IF(C3431="Técnico II",28,IF(C3431="Técnico I",23,IF(C3431="JR",20,IF(C3431="Estágio",10,0))))),IF(C3431="Técnico III",SUMIFS($D:$D,$A:$A,$A3431,$B:$B,"&lt;&gt;Patrícia Karla de Sousa Araújo",$B:$B,"&lt;&gt;Lorena Dias de Araujo",$B:$B,"&lt;&gt;Lucas Luiz Romero")*(35/1083),IF(C3431="Técnico II",SUMIFS($D:$D,$A:$A,$A3431,$B:$B,"&lt;&gt;Patrícia Karla de Sousa Araújo",$B:$B,"&lt;&gt;Lorena Dias de Araujo",$B:$B,"&lt;&gt;Lucas Luiz Romero")*(28/1083),IF(C3431="Técnico I",SUMIFS($D:$D,$A:$A,$A3431,$B:$B,"&lt;&gt;Patrícia Karla de Sousa Araújo",$B:$B,"&lt;&gt;Lorena Dias de Araujo",$B:$B,"&lt;&gt;Lucas Luiz Romero")*(23/1083),IF(C3431="JR",SUMIFS($D:$D,$A:$A,$A3431,$B:$B,"&lt;&gt;Patrícia Karla de Sousa Araújo",$B:$B,"&lt;&gt;Lorena Dias de Araujo",$B:$B,"&lt;&gt;Lucas Luiz Romero")*(20/1083),IF(C3431="Estágio",SUMIFS($D:$D,$A:$A,$A3431,$B:$B,"&lt;&gt;Patrícia Karla de Sousa Araújo",$B:$B,"&lt;&gt;Lorena Dias de Araujo",$B:$B,"&lt;&gt;Lucas Luiz Romero")*(10/1083),0)))))),0)</f>
        <v>17</v>
      </c>
      <c r="K3431" s="3">
        <f>I3431-J3431</f>
        <v>8</v>
      </c>
      <c r="L3431" s="3" t="str">
        <f>IF(K3431&lt;-5,"CRÍTICO",IF(K3431&lt;0,"ATENÇÃO",IF(K3431&lt;=5,"OPORTUNO","MUITO BOM")))</f>
        <v>MUITO BOM</v>
      </c>
      <c r="M3431" s="3">
        <v>18</v>
      </c>
      <c r="N3431" s="3">
        <v>99.06</v>
      </c>
      <c r="O3431" s="3">
        <v>19.417475728155338</v>
      </c>
    </row>
    <row r="3432" spans="1:15" hidden="1" x14ac:dyDescent="0.25">
      <c r="A3432" s="11">
        <v>46108</v>
      </c>
      <c r="B3432" t="s">
        <v>54</v>
      </c>
      <c r="C3432" t="s">
        <v>48</v>
      </c>
      <c r="D3432">
        <v>22</v>
      </c>
      <c r="E3432">
        <v>22</v>
      </c>
      <c r="F3432">
        <v>20.03</v>
      </c>
      <c r="G3432">
        <v>0</v>
      </c>
      <c r="H3432">
        <v>0</v>
      </c>
      <c r="I3432" s="3">
        <f>E3432+G3432+H3432</f>
        <v>22</v>
      </c>
      <c r="J3432" s="3">
        <f>ROUND(MIN(IF(C3432="Técnico III",35,IF(C3432="Técnico II",28,IF(C3432="Técnico I",23,IF(C3432="JR",20,IF(C3432="Estágio",10,0))))),IF(C3432="Técnico III",SUMIFS($D:$D,$A:$A,$A3432,$B:$B,"&lt;&gt;Patrícia Karla de Sousa Araújo",$B:$B,"&lt;&gt;Lorena Dias de Araujo",$B:$B,"&lt;&gt;Lucas Luiz Romero")*(35/1083),IF(C3432="Técnico II",SUMIFS($D:$D,$A:$A,$A3432,$B:$B,"&lt;&gt;Patrícia Karla de Sousa Araújo",$B:$B,"&lt;&gt;Lorena Dias de Araujo",$B:$B,"&lt;&gt;Lucas Luiz Romero")*(28/1083),IF(C3432="Técnico I",SUMIFS($D:$D,$A:$A,$A3432,$B:$B,"&lt;&gt;Patrícia Karla de Sousa Araújo",$B:$B,"&lt;&gt;Lorena Dias de Araujo",$B:$B,"&lt;&gt;Lucas Luiz Romero")*(23/1083),IF(C3432="JR",SUMIFS($D:$D,$A:$A,$A3432,$B:$B,"&lt;&gt;Patrícia Karla de Sousa Araújo",$B:$B,"&lt;&gt;Lorena Dias de Araujo",$B:$B,"&lt;&gt;Lucas Luiz Romero")*(20/1083),IF(C3432="Estágio",SUMIFS($D:$D,$A:$A,$A3432,$B:$B,"&lt;&gt;Patrícia Karla de Sousa Araújo",$B:$B,"&lt;&gt;Lorena Dias de Araujo",$B:$B,"&lt;&gt;Lucas Luiz Romero")*(10/1083),0)))))),0)</f>
        <v>21</v>
      </c>
      <c r="K3432" s="3">
        <f>I3432-J3432</f>
        <v>1</v>
      </c>
      <c r="L3432" s="3" t="str">
        <f>IF(K3432&lt;-5,"CRÍTICO",IF(K3432&lt;0,"ATENÇÃO",IF(K3432&lt;=5,"OPORTUNO","MUITO BOM")))</f>
        <v>OPORTUNO</v>
      </c>
      <c r="M3432">
        <v>14</v>
      </c>
      <c r="N3432">
        <v>100</v>
      </c>
      <c r="O3432">
        <v>27.04918032786885</v>
      </c>
    </row>
    <row r="3433" spans="1:15" hidden="1" x14ac:dyDescent="0.25">
      <c r="A3433" s="11">
        <v>46108</v>
      </c>
      <c r="B3433" t="s">
        <v>37</v>
      </c>
      <c r="C3433" t="s">
        <v>32</v>
      </c>
      <c r="D3433">
        <v>42</v>
      </c>
      <c r="E3433">
        <v>39</v>
      </c>
      <c r="F3433">
        <v>14.16</v>
      </c>
      <c r="G3433">
        <v>0</v>
      </c>
      <c r="H3433">
        <v>0</v>
      </c>
      <c r="I3433" s="3">
        <f>E3433+G3433+H3433</f>
        <v>39</v>
      </c>
      <c r="J3433" s="3">
        <f>ROUND(MIN(IF(C3433="Técnico III",35,IF(C3433="Técnico II",28,IF(C3433="Técnico I",23,IF(C3433="JR",20,IF(C3433="Estágio",10,0))))),IF(C3433="Técnico III",SUMIFS($D:$D,$A:$A,$A3433,$B:$B,"&lt;&gt;Patrícia Karla de Sousa Araújo",$B:$B,"&lt;&gt;Lorena Dias de Araujo",$B:$B,"&lt;&gt;Lucas Luiz Romero")*(35/1083),IF(C3433="Técnico II",SUMIFS($D:$D,$A:$A,$A3433,$B:$B,"&lt;&gt;Patrícia Karla de Sousa Araújo",$B:$B,"&lt;&gt;Lorena Dias de Araujo",$B:$B,"&lt;&gt;Lucas Luiz Romero")*(28/1083),IF(C3433="Técnico I",SUMIFS($D:$D,$A:$A,$A3433,$B:$B,"&lt;&gt;Patrícia Karla de Sousa Araújo",$B:$B,"&lt;&gt;Lorena Dias de Araujo",$B:$B,"&lt;&gt;Lucas Luiz Romero")*(23/1083),IF(C3433="JR",SUMIFS($D:$D,$A:$A,$A3433,$B:$B,"&lt;&gt;Patrícia Karla de Sousa Araújo",$B:$B,"&lt;&gt;Lorena Dias de Araujo",$B:$B,"&lt;&gt;Lucas Luiz Romero")*(20/1083),IF(C3433="Estágio",SUMIFS($D:$D,$A:$A,$A3433,$B:$B,"&lt;&gt;Patrícia Karla de Sousa Araújo",$B:$B,"&lt;&gt;Lorena Dias de Araujo",$B:$B,"&lt;&gt;Lucas Luiz Romero")*(10/1083),0)))))),0)</f>
        <v>26</v>
      </c>
      <c r="K3433" s="3">
        <f>I3433-J3433</f>
        <v>13</v>
      </c>
      <c r="L3433" s="3" t="str">
        <f>IF(K3433&lt;-5,"CRÍTICO",IF(K3433&lt;0,"ATENÇÃO",IF(K3433&lt;=5,"OPORTUNO","MUITO BOM")))</f>
        <v>MUITO BOM</v>
      </c>
      <c r="M3433">
        <v>38</v>
      </c>
      <c r="N3433">
        <v>97.83</v>
      </c>
      <c r="O3433">
        <v>26.315789473684209</v>
      </c>
    </row>
    <row r="3434" spans="1:15" hidden="1" x14ac:dyDescent="0.25">
      <c r="A3434" s="11">
        <v>46108</v>
      </c>
      <c r="B3434" t="s">
        <v>38</v>
      </c>
      <c r="C3434" t="s">
        <v>32</v>
      </c>
      <c r="D3434">
        <v>6</v>
      </c>
      <c r="E3434">
        <v>6</v>
      </c>
      <c r="F3434">
        <v>13.41</v>
      </c>
      <c r="G3434">
        <v>0</v>
      </c>
      <c r="H3434">
        <v>0</v>
      </c>
      <c r="I3434" s="3">
        <f>E3434+G3434+H3434</f>
        <v>6</v>
      </c>
      <c r="J3434" s="3">
        <f>ROUND(MIN(IF(C3434="Técnico III",35,IF(C3434="Técnico II",28,IF(C3434="Técnico I",23,IF(C3434="JR",20,IF(C3434="Estágio",10,0))))),IF(C3434="Técnico III",SUMIFS($D:$D,$A:$A,$A3434,$B:$B,"&lt;&gt;Patrícia Karla de Sousa Araújo",$B:$B,"&lt;&gt;Lorena Dias de Araujo",$B:$B,"&lt;&gt;Lucas Luiz Romero")*(35/1083),IF(C3434="Técnico II",SUMIFS($D:$D,$A:$A,$A3434,$B:$B,"&lt;&gt;Patrícia Karla de Sousa Araújo",$B:$B,"&lt;&gt;Lorena Dias de Araujo",$B:$B,"&lt;&gt;Lucas Luiz Romero")*(28/1083),IF(C3434="Técnico I",SUMIFS($D:$D,$A:$A,$A3434,$B:$B,"&lt;&gt;Patrícia Karla de Sousa Araújo",$B:$B,"&lt;&gt;Lorena Dias de Araujo",$B:$B,"&lt;&gt;Lucas Luiz Romero")*(23/1083),IF(C3434="JR",SUMIFS($D:$D,$A:$A,$A3434,$B:$B,"&lt;&gt;Patrícia Karla de Sousa Araújo",$B:$B,"&lt;&gt;Lorena Dias de Araujo",$B:$B,"&lt;&gt;Lucas Luiz Romero")*(20/1083),IF(C3434="Estágio",SUMIFS($D:$D,$A:$A,$A3434,$B:$B,"&lt;&gt;Patrícia Karla de Sousa Araújo",$B:$B,"&lt;&gt;Lorena Dias de Araujo",$B:$B,"&lt;&gt;Lucas Luiz Romero")*(10/1083),0)))))),0)</f>
        <v>26</v>
      </c>
      <c r="K3434" s="3">
        <f>I3434-J3434</f>
        <v>-20</v>
      </c>
      <c r="L3434" s="3" t="str">
        <f>IF(K3434&lt;-5,"CRÍTICO",IF(K3434&lt;0,"ATENÇÃO",IF(K3434&lt;=5,"OPORTUNO","MUITO BOM")))</f>
        <v>CRÍTICO</v>
      </c>
      <c r="M3434">
        <v>5</v>
      </c>
      <c r="N3434">
        <v>100</v>
      </c>
      <c r="O3434">
        <v>26.701570680628269</v>
      </c>
    </row>
    <row r="3435" spans="1:15" hidden="1" x14ac:dyDescent="0.25">
      <c r="A3435" s="11">
        <v>46108</v>
      </c>
      <c r="B3435" t="s">
        <v>55</v>
      </c>
      <c r="C3435" t="s">
        <v>48</v>
      </c>
      <c r="D3435">
        <v>0</v>
      </c>
      <c r="E3435">
        <v>0</v>
      </c>
      <c r="F3435">
        <v>0</v>
      </c>
      <c r="G3435">
        <v>0</v>
      </c>
      <c r="H3435">
        <v>0</v>
      </c>
      <c r="I3435" s="3">
        <v>0</v>
      </c>
      <c r="J3435" s="3">
        <v>0</v>
      </c>
      <c r="K3435" s="3">
        <v>0</v>
      </c>
      <c r="L3435" s="3" t="str">
        <f>IF(K3435&lt;-5,"CRÍTICO",IF(K3435&lt;0,"ATENÇÃO",IF(K3435&lt;=5,"OPORTUNO","MUITO BOM")))</f>
        <v>OPORTUNO</v>
      </c>
      <c r="M3435">
        <v>0</v>
      </c>
      <c r="N3435">
        <v>97.47</v>
      </c>
      <c r="O3435">
        <v>22.887323943661968</v>
      </c>
    </row>
    <row r="3436" spans="1:15" hidden="1" x14ac:dyDescent="0.25">
      <c r="A3436" s="11">
        <v>46108</v>
      </c>
      <c r="B3436" t="s">
        <v>39</v>
      </c>
      <c r="C3436" t="s">
        <v>32</v>
      </c>
      <c r="D3436">
        <v>0</v>
      </c>
      <c r="E3436">
        <v>0</v>
      </c>
      <c r="F3436">
        <v>0</v>
      </c>
      <c r="G3436">
        <v>0</v>
      </c>
      <c r="H3436">
        <v>0</v>
      </c>
      <c r="I3436" s="3">
        <v>0</v>
      </c>
      <c r="J3436" s="3">
        <v>0</v>
      </c>
      <c r="K3436" s="3">
        <v>0</v>
      </c>
      <c r="L3436" s="3" t="str">
        <f>IF(K3436&lt;-5,"CRÍTICO",IF(K3436&lt;0,"ATENÇÃO",IF(K3436&lt;=5,"OPORTUNO","MUITO BOM")))</f>
        <v>OPORTUNO</v>
      </c>
      <c r="M3436">
        <v>0</v>
      </c>
      <c r="N3436">
        <v>0</v>
      </c>
      <c r="O3436">
        <v>0</v>
      </c>
    </row>
    <row r="3437" spans="1:15" hidden="1" x14ac:dyDescent="0.25">
      <c r="A3437" s="11">
        <v>46108</v>
      </c>
      <c r="B3437" t="s">
        <v>25</v>
      </c>
      <c r="C3437" t="s">
        <v>26</v>
      </c>
      <c r="D3437">
        <v>24</v>
      </c>
      <c r="E3437">
        <v>24</v>
      </c>
      <c r="F3437">
        <v>24.03</v>
      </c>
      <c r="G3437">
        <v>0</v>
      </c>
      <c r="H3437">
        <v>0</v>
      </c>
      <c r="I3437" s="3">
        <f>E3437+G3437+H3437</f>
        <v>24</v>
      </c>
      <c r="J3437" s="3">
        <f>ROUND(MIN(IF(C3437="Técnico III",35,IF(C3437="Técnico II",28,IF(C3437="Técnico I",23,IF(C3437="JR",20,IF(C3437="Estágio",10,0))))),IF(C3437="Técnico III",SUMIFS($D:$D,$A:$A,$A3437,$B:$B,"&lt;&gt;Patrícia Karla de Sousa Araújo",$B:$B,"&lt;&gt;Lorena Dias de Araujo",$B:$B,"&lt;&gt;Lucas Luiz Romero")*(35/1083),IF(C3437="Técnico II",SUMIFS($D:$D,$A:$A,$A3437,$B:$B,"&lt;&gt;Patrícia Karla de Sousa Araújo",$B:$B,"&lt;&gt;Lorena Dias de Araujo",$B:$B,"&lt;&gt;Lucas Luiz Romero")*(28/1083),IF(C3437="Técnico I",SUMIFS($D:$D,$A:$A,$A3437,$B:$B,"&lt;&gt;Patrícia Karla de Sousa Araújo",$B:$B,"&lt;&gt;Lorena Dias de Araujo",$B:$B,"&lt;&gt;Lucas Luiz Romero")*(23/1083),IF(C3437="JR",SUMIFS($D:$D,$A:$A,$A3437,$B:$B,"&lt;&gt;Patrícia Karla de Sousa Araújo",$B:$B,"&lt;&gt;Lorena Dias de Araujo",$B:$B,"&lt;&gt;Lucas Luiz Romero")*(20/1083),IF(C3437="Estágio",SUMIFS($D:$D,$A:$A,$A3437,$B:$B,"&lt;&gt;Patrícia Karla de Sousa Araújo",$B:$B,"&lt;&gt;Lorena Dias de Araujo",$B:$B,"&lt;&gt;Lucas Luiz Romero")*(10/1083),0)))))),0)</f>
        <v>15</v>
      </c>
      <c r="K3437" s="3">
        <f>I3437-J3437</f>
        <v>9</v>
      </c>
      <c r="L3437" s="3" t="str">
        <f>IF(K3437&lt;-5,"CRÍTICO",IF(K3437&lt;0,"ATENÇÃO",IF(K3437&lt;=5,"OPORTUNO","MUITO BOM")))</f>
        <v>MUITO BOM</v>
      </c>
      <c r="M3437">
        <v>23</v>
      </c>
      <c r="N3437">
        <v>98.31</v>
      </c>
      <c r="O3437">
        <v>24.920127795527151</v>
      </c>
    </row>
    <row r="3438" spans="1:15" hidden="1" x14ac:dyDescent="0.25">
      <c r="A3438" s="11">
        <v>46108</v>
      </c>
      <c r="B3438" t="s">
        <v>40</v>
      </c>
      <c r="C3438" t="s">
        <v>32</v>
      </c>
      <c r="D3438">
        <v>27</v>
      </c>
      <c r="E3438">
        <v>25</v>
      </c>
      <c r="F3438">
        <v>16.43</v>
      </c>
      <c r="G3438">
        <v>0</v>
      </c>
      <c r="H3438">
        <v>0</v>
      </c>
      <c r="I3438" s="3">
        <f>E3438+G3438+H3438</f>
        <v>25</v>
      </c>
      <c r="J3438" s="3">
        <f>ROUND(MIN(IF(C3438="Técnico III",35,IF(C3438="Técnico II",28,IF(C3438="Técnico I",23,IF(C3438="JR",20,IF(C3438="Estágio",10,0))))),IF(C3438="Técnico III",SUMIFS($D:$D,$A:$A,$A3438,$B:$B,"&lt;&gt;Patrícia Karla de Sousa Araújo",$B:$B,"&lt;&gt;Lorena Dias de Araujo",$B:$B,"&lt;&gt;Lucas Luiz Romero")*(35/1083),IF(C3438="Técnico II",SUMIFS($D:$D,$A:$A,$A3438,$B:$B,"&lt;&gt;Patrícia Karla de Sousa Araújo",$B:$B,"&lt;&gt;Lorena Dias de Araujo",$B:$B,"&lt;&gt;Lucas Luiz Romero")*(28/1083),IF(C3438="Técnico I",SUMIFS($D:$D,$A:$A,$A3438,$B:$B,"&lt;&gt;Patrícia Karla de Sousa Araújo",$B:$B,"&lt;&gt;Lorena Dias de Araujo",$B:$B,"&lt;&gt;Lucas Luiz Romero")*(23/1083),IF(C3438="JR",SUMIFS($D:$D,$A:$A,$A3438,$B:$B,"&lt;&gt;Patrícia Karla de Sousa Araújo",$B:$B,"&lt;&gt;Lorena Dias de Araujo",$B:$B,"&lt;&gt;Lucas Luiz Romero")*(20/1083),IF(C3438="Estágio",SUMIFS($D:$D,$A:$A,$A3438,$B:$B,"&lt;&gt;Patrícia Karla de Sousa Araújo",$B:$B,"&lt;&gt;Lorena Dias de Araujo",$B:$B,"&lt;&gt;Lucas Luiz Romero")*(10/1083),0)))))),0)</f>
        <v>26</v>
      </c>
      <c r="K3438" s="3">
        <f>I3438-J3438</f>
        <v>-1</v>
      </c>
      <c r="L3438" s="3" t="str">
        <f>IF(K3438&lt;-5,"CRÍTICO",IF(K3438&lt;0,"ATENÇÃO",IF(K3438&lt;=5,"OPORTUNO","MUITO BOM")))</f>
        <v>ATENÇÃO</v>
      </c>
      <c r="M3438">
        <v>25</v>
      </c>
      <c r="N3438">
        <v>96.81</v>
      </c>
      <c r="O3438">
        <v>32.365145228215773</v>
      </c>
    </row>
    <row r="3439" spans="1:15" hidden="1" x14ac:dyDescent="0.25">
      <c r="A3439" s="11">
        <v>46108</v>
      </c>
      <c r="B3439" t="s">
        <v>27</v>
      </c>
      <c r="C3439" t="s">
        <v>26</v>
      </c>
      <c r="D3439">
        <v>14</v>
      </c>
      <c r="E3439">
        <v>11</v>
      </c>
      <c r="F3439">
        <v>34.020000000000003</v>
      </c>
      <c r="G3439">
        <v>0</v>
      </c>
      <c r="H3439">
        <v>0</v>
      </c>
      <c r="I3439" s="3">
        <f>E3439+G3439+H3439</f>
        <v>11</v>
      </c>
      <c r="J3439" s="3">
        <f>ROUND(MIN(IF(C3439="Técnico III",35,IF(C3439="Técnico II",28,IF(C3439="Técnico I",23,IF(C3439="JR",20,IF(C3439="Estágio",10,0))))),IF(C3439="Técnico III",SUMIFS($D:$D,$A:$A,$A3439,$B:$B,"&lt;&gt;Patrícia Karla de Sousa Araújo",$B:$B,"&lt;&gt;Lorena Dias de Araujo",$B:$B,"&lt;&gt;Lucas Luiz Romero")*(35/1083),IF(C3439="Técnico II",SUMIFS($D:$D,$A:$A,$A3439,$B:$B,"&lt;&gt;Patrícia Karla de Sousa Araújo",$B:$B,"&lt;&gt;Lorena Dias de Araujo",$B:$B,"&lt;&gt;Lucas Luiz Romero")*(28/1083),IF(C3439="Técnico I",SUMIFS($D:$D,$A:$A,$A3439,$B:$B,"&lt;&gt;Patrícia Karla de Sousa Araújo",$B:$B,"&lt;&gt;Lorena Dias de Araujo",$B:$B,"&lt;&gt;Lucas Luiz Romero")*(23/1083),IF(C3439="JR",SUMIFS($D:$D,$A:$A,$A3439,$B:$B,"&lt;&gt;Patrícia Karla de Sousa Araújo",$B:$B,"&lt;&gt;Lorena Dias de Araujo",$B:$B,"&lt;&gt;Lucas Luiz Romero")*(20/1083),IF(C3439="Estágio",SUMIFS($D:$D,$A:$A,$A3439,$B:$B,"&lt;&gt;Patrícia Karla de Sousa Araújo",$B:$B,"&lt;&gt;Lorena Dias de Araujo",$B:$B,"&lt;&gt;Lucas Luiz Romero")*(10/1083),0)))))),0)</f>
        <v>15</v>
      </c>
      <c r="K3439" s="3">
        <f>I3439-J3439</f>
        <v>-4</v>
      </c>
      <c r="L3439" s="3" t="str">
        <f>IF(K3439&lt;-5,"CRÍTICO",IF(K3439&lt;0,"ATENÇÃO",IF(K3439&lt;=5,"OPORTUNO","MUITO BOM")))</f>
        <v>ATENÇÃO</v>
      </c>
      <c r="M3439">
        <v>9</v>
      </c>
      <c r="N3439">
        <v>100</v>
      </c>
      <c r="O3439">
        <v>26.47058823529412</v>
      </c>
    </row>
    <row r="3440" spans="1:15" hidden="1" x14ac:dyDescent="0.25">
      <c r="A3440" s="11">
        <v>46108</v>
      </c>
      <c r="B3440" t="s">
        <v>41</v>
      </c>
      <c r="C3440" t="s">
        <v>32</v>
      </c>
      <c r="D3440">
        <v>30</v>
      </c>
      <c r="E3440">
        <v>28</v>
      </c>
      <c r="F3440">
        <v>20.5</v>
      </c>
      <c r="G3440">
        <v>0</v>
      </c>
      <c r="H3440">
        <v>0</v>
      </c>
      <c r="I3440" s="3">
        <f>E3440+G3440+H3440</f>
        <v>28</v>
      </c>
      <c r="J3440" s="3">
        <f>ROUND(MIN(IF(C3440="Técnico III",35,IF(C3440="Técnico II",28,IF(C3440="Técnico I",23,IF(C3440="JR",20,IF(C3440="Estágio",10,0))))),IF(C3440="Técnico III",SUMIFS($D:$D,$A:$A,$A3440,$B:$B,"&lt;&gt;Patrícia Karla de Sousa Araújo",$B:$B,"&lt;&gt;Lorena Dias de Araujo",$B:$B,"&lt;&gt;Lucas Luiz Romero")*(35/1083),IF(C3440="Técnico II",SUMIFS($D:$D,$A:$A,$A3440,$B:$B,"&lt;&gt;Patrícia Karla de Sousa Araújo",$B:$B,"&lt;&gt;Lorena Dias de Araujo",$B:$B,"&lt;&gt;Lucas Luiz Romero")*(28/1083),IF(C3440="Técnico I",SUMIFS($D:$D,$A:$A,$A3440,$B:$B,"&lt;&gt;Patrícia Karla de Sousa Araújo",$B:$B,"&lt;&gt;Lorena Dias de Araujo",$B:$B,"&lt;&gt;Lucas Luiz Romero")*(23/1083),IF(C3440="JR",SUMIFS($D:$D,$A:$A,$A3440,$B:$B,"&lt;&gt;Patrícia Karla de Sousa Araújo",$B:$B,"&lt;&gt;Lorena Dias de Araujo",$B:$B,"&lt;&gt;Lucas Luiz Romero")*(20/1083),IF(C3440="Estágio",SUMIFS($D:$D,$A:$A,$A3440,$B:$B,"&lt;&gt;Patrícia Karla de Sousa Araújo",$B:$B,"&lt;&gt;Lorena Dias de Araujo",$B:$B,"&lt;&gt;Lucas Luiz Romero")*(10/1083),0)))))),0)</f>
        <v>26</v>
      </c>
      <c r="K3440" s="3">
        <f>I3440-J3440</f>
        <v>2</v>
      </c>
      <c r="L3440" s="3" t="str">
        <f>IF(K3440&lt;-5,"CRÍTICO",IF(K3440&lt;0,"ATENÇÃO",IF(K3440&lt;=5,"OPORTUNO","MUITO BOM")))</f>
        <v>OPORTUNO</v>
      </c>
      <c r="M3440">
        <v>26</v>
      </c>
      <c r="N3440">
        <v>100</v>
      </c>
      <c r="O3440">
        <v>28.490028490028489</v>
      </c>
    </row>
    <row r="3441" spans="1:15" hidden="1" x14ac:dyDescent="0.25">
      <c r="A3441" s="11">
        <v>46108</v>
      </c>
      <c r="B3441" t="s">
        <v>56</v>
      </c>
      <c r="C3441" t="s">
        <v>48</v>
      </c>
      <c r="D3441">
        <v>34</v>
      </c>
      <c r="E3441">
        <v>30</v>
      </c>
      <c r="F3441">
        <v>20.05</v>
      </c>
      <c r="G3441">
        <v>0</v>
      </c>
      <c r="H3441">
        <v>0</v>
      </c>
      <c r="I3441" s="3">
        <f>E3441+G3441+H3441</f>
        <v>30</v>
      </c>
      <c r="J3441" s="3">
        <f>ROUND(MIN(IF(C3441="Técnico III",35,IF(C3441="Técnico II",28,IF(C3441="Técnico I",23,IF(C3441="JR",20,IF(C3441="Estágio",10,0))))),IF(C3441="Técnico III",SUMIFS($D:$D,$A:$A,$A3441,$B:$B,"&lt;&gt;Patrícia Karla de Sousa Araújo",$B:$B,"&lt;&gt;Lorena Dias de Araujo",$B:$B,"&lt;&gt;Lucas Luiz Romero")*(35/1083),IF(C3441="Técnico II",SUMIFS($D:$D,$A:$A,$A3441,$B:$B,"&lt;&gt;Patrícia Karla de Sousa Araújo",$B:$B,"&lt;&gt;Lorena Dias de Araujo",$B:$B,"&lt;&gt;Lucas Luiz Romero")*(28/1083),IF(C3441="Técnico I",SUMIFS($D:$D,$A:$A,$A3441,$B:$B,"&lt;&gt;Patrícia Karla de Sousa Araújo",$B:$B,"&lt;&gt;Lorena Dias de Araujo",$B:$B,"&lt;&gt;Lucas Luiz Romero")*(23/1083),IF(C3441="JR",SUMIFS($D:$D,$A:$A,$A3441,$B:$B,"&lt;&gt;Patrícia Karla de Sousa Araújo",$B:$B,"&lt;&gt;Lorena Dias de Araujo",$B:$B,"&lt;&gt;Lucas Luiz Romero")*(20/1083),IF(C3441="Estágio",SUMIFS($D:$D,$A:$A,$A3441,$B:$B,"&lt;&gt;Patrícia Karla de Sousa Araújo",$B:$B,"&lt;&gt;Lorena Dias de Araujo",$B:$B,"&lt;&gt;Lucas Luiz Romero")*(10/1083),0)))))),0)</f>
        <v>21</v>
      </c>
      <c r="K3441" s="3">
        <f>I3441-J3441</f>
        <v>9</v>
      </c>
      <c r="L3441" s="3" t="str">
        <f>IF(K3441&lt;-5,"CRÍTICO",IF(K3441&lt;0,"ATENÇÃO",IF(K3441&lt;=5,"OPORTUNO","MUITO BOM")))</f>
        <v>MUITO BOM</v>
      </c>
      <c r="M3441">
        <v>15</v>
      </c>
      <c r="N3441">
        <v>99.14</v>
      </c>
      <c r="O3441">
        <v>27.2289156626506</v>
      </c>
    </row>
    <row r="3442" spans="1:15" hidden="1" x14ac:dyDescent="0.25">
      <c r="A3442" s="11">
        <v>46108</v>
      </c>
      <c r="B3442" t="s">
        <v>57</v>
      </c>
      <c r="C3442" t="s">
        <v>48</v>
      </c>
      <c r="D3442">
        <v>21</v>
      </c>
      <c r="E3442">
        <v>19</v>
      </c>
      <c r="F3442">
        <v>21.46</v>
      </c>
      <c r="G3442">
        <v>0</v>
      </c>
      <c r="H3442">
        <v>0</v>
      </c>
      <c r="I3442" s="3">
        <v>0</v>
      </c>
      <c r="J3442" s="3">
        <v>0</v>
      </c>
      <c r="K3442" s="3">
        <v>0</v>
      </c>
      <c r="L3442" s="3" t="str">
        <f>IF(K3442&lt;-5,"CRÍTICO",IF(K3442&lt;0,"ATENÇÃO",IF(K3442&lt;=5,"OPORTUNO","MUITO BOM")))</f>
        <v>OPORTUNO</v>
      </c>
      <c r="M3442">
        <v>18</v>
      </c>
      <c r="N3442">
        <v>97.52</v>
      </c>
      <c r="O3442">
        <v>28.205128205128201</v>
      </c>
    </row>
    <row r="3443" spans="1:15" hidden="1" x14ac:dyDescent="0.25">
      <c r="A3443" s="11">
        <v>46108</v>
      </c>
      <c r="B3443" t="s">
        <v>42</v>
      </c>
      <c r="C3443" t="s">
        <v>32</v>
      </c>
      <c r="D3443">
        <v>0</v>
      </c>
      <c r="E3443">
        <v>0</v>
      </c>
      <c r="F3443">
        <v>0</v>
      </c>
      <c r="G3443">
        <v>0</v>
      </c>
      <c r="H3443">
        <v>0</v>
      </c>
      <c r="I3443" s="3">
        <v>0</v>
      </c>
      <c r="J3443" s="3">
        <v>0</v>
      </c>
      <c r="K3443" s="3">
        <v>0</v>
      </c>
      <c r="L3443" s="3" t="str">
        <f>IF(K3443&lt;-5,"CRÍTICO",IF(K3443&lt;0,"ATENÇÃO",IF(K3443&lt;=5,"OPORTUNO","MUITO BOM")))</f>
        <v>OPORTUNO</v>
      </c>
      <c r="M3443">
        <v>0</v>
      </c>
      <c r="N3443">
        <v>90</v>
      </c>
      <c r="O3443">
        <v>24.186046511627911</v>
      </c>
    </row>
    <row r="3444" spans="1:15" hidden="1" x14ac:dyDescent="0.25">
      <c r="A3444" s="11">
        <v>46108</v>
      </c>
      <c r="B3444" t="s">
        <v>62</v>
      </c>
      <c r="C3444" t="s">
        <v>23</v>
      </c>
      <c r="D3444">
        <v>25</v>
      </c>
      <c r="E3444">
        <v>23</v>
      </c>
      <c r="F3444">
        <v>20.170000000000002</v>
      </c>
      <c r="G3444">
        <v>0</v>
      </c>
      <c r="H3444">
        <v>0</v>
      </c>
      <c r="I3444" s="3">
        <f>E3444+G3444+H3444</f>
        <v>23</v>
      </c>
      <c r="J3444" s="3">
        <f>ROUND(MIN(IF(C3444="Técnico III",35,IF(C3444="Técnico II",28,IF(C3444="Técnico I",23,IF(C3444="JR",20,IF(C3444="Estágio",10,0))))),IF(C3444="Técnico III",SUMIFS($D:$D,$A:$A,$A3444,$B:$B,"&lt;&gt;Patrícia Karla de Sousa Araújo",$B:$B,"&lt;&gt;Lorena Dias de Araujo",$B:$B,"&lt;&gt;Lucas Luiz Romero")*(35/1083),IF(C3444="Técnico II",SUMIFS($D:$D,$A:$A,$A3444,$B:$B,"&lt;&gt;Patrícia Karla de Sousa Araújo",$B:$B,"&lt;&gt;Lorena Dias de Araujo",$B:$B,"&lt;&gt;Lucas Luiz Romero")*(28/1083),IF(C3444="Técnico I",SUMIFS($D:$D,$A:$A,$A3444,$B:$B,"&lt;&gt;Patrícia Karla de Sousa Araújo",$B:$B,"&lt;&gt;Lorena Dias de Araujo",$B:$B,"&lt;&gt;Lucas Luiz Romero")*(23/1083),IF(C3444="JR",SUMIFS($D:$D,$A:$A,$A3444,$B:$B,"&lt;&gt;Patrícia Karla de Sousa Araújo",$B:$B,"&lt;&gt;Lorena Dias de Araujo",$B:$B,"&lt;&gt;Lucas Luiz Romero")*(20/1083),IF(C3444="Estágio",SUMIFS($D:$D,$A:$A,$A3444,$B:$B,"&lt;&gt;Patrícia Karla de Sousa Araújo",$B:$B,"&lt;&gt;Lorena Dias de Araujo",$B:$B,"&lt;&gt;Lucas Luiz Romero")*(10/1083),0)))))),0)</f>
        <v>17</v>
      </c>
      <c r="K3444" s="3">
        <f>I3444-J3444</f>
        <v>6</v>
      </c>
      <c r="L3444" s="3" t="str">
        <f>IF(K3444&lt;-5,"CRÍTICO",IF(K3444&lt;0,"ATENÇÃO",IF(K3444&lt;=5,"OPORTUNO","MUITO BOM")))</f>
        <v>MUITO BOM</v>
      </c>
      <c r="M3444">
        <v>20</v>
      </c>
      <c r="N3444">
        <v>98.9</v>
      </c>
      <c r="O3444">
        <v>26.763990267639901</v>
      </c>
    </row>
    <row r="3445" spans="1:15" hidden="1" x14ac:dyDescent="0.25">
      <c r="A3445" s="11">
        <v>46108</v>
      </c>
      <c r="B3445" t="s">
        <v>19</v>
      </c>
      <c r="C3445" t="s">
        <v>16</v>
      </c>
      <c r="D3445">
        <v>8</v>
      </c>
      <c r="E3445">
        <v>7</v>
      </c>
      <c r="F3445">
        <v>33.32</v>
      </c>
      <c r="G3445">
        <v>0</v>
      </c>
      <c r="H3445">
        <v>0</v>
      </c>
      <c r="I3445" s="3">
        <f>E3445+G3445+H3445</f>
        <v>7</v>
      </c>
      <c r="J3445" s="3">
        <f>ROUND(MIN(IF(C3445="Técnico III",35,IF(C3445="Técnico II",28,IF(C3445="Técnico I",23,IF(C3445="JR",20,IF(C3445="Estágio",10,0))))),IF(C3445="Técnico III",SUMIFS($D:$D,$A:$A,$A3445,$B:$B,"&lt;&gt;Patrícia Karla de Sousa Araújo",$B:$B,"&lt;&gt;Lorena Dias de Araujo",$B:$B,"&lt;&gt;Lucas Luiz Romero")*(35/1083),IF(C3445="Técnico II",SUMIFS($D:$D,$A:$A,$A3445,$B:$B,"&lt;&gt;Patrícia Karla de Sousa Araújo",$B:$B,"&lt;&gt;Lorena Dias de Araujo",$B:$B,"&lt;&gt;Lucas Luiz Romero")*(28/1083),IF(C3445="Técnico I",SUMIFS($D:$D,$A:$A,$A3445,$B:$B,"&lt;&gt;Patrícia Karla de Sousa Araújo",$B:$B,"&lt;&gt;Lorena Dias de Araujo",$B:$B,"&lt;&gt;Lucas Luiz Romero")*(23/1083),IF(C3445="JR",SUMIFS($D:$D,$A:$A,$A3445,$B:$B,"&lt;&gt;Patrícia Karla de Sousa Araújo",$B:$B,"&lt;&gt;Lorena Dias de Araujo",$B:$B,"&lt;&gt;Lucas Luiz Romero")*(20/1083),IF(C3445="Estágio",SUMIFS($D:$D,$A:$A,$A3445,$B:$B,"&lt;&gt;Patrícia Karla de Sousa Araújo",$B:$B,"&lt;&gt;Lorena Dias de Araujo",$B:$B,"&lt;&gt;Lucas Luiz Romero")*(10/1083),0)))))),0)</f>
        <v>7</v>
      </c>
      <c r="K3445" s="3">
        <f>I3445-J3445</f>
        <v>0</v>
      </c>
      <c r="L3445" s="3" t="str">
        <f>IF(K3445&lt;-5,"CRÍTICO",IF(K3445&lt;0,"ATENÇÃO",IF(K3445&lt;=5,"OPORTUNO","MUITO BOM")))</f>
        <v>OPORTUNO</v>
      </c>
      <c r="M3445">
        <v>5</v>
      </c>
      <c r="N3445">
        <v>88.89</v>
      </c>
      <c r="O3445">
        <v>25.263157894736839</v>
      </c>
    </row>
    <row r="3446" spans="1:15" hidden="1" x14ac:dyDescent="0.25">
      <c r="A3446" s="11">
        <v>46108</v>
      </c>
      <c r="B3446" t="s">
        <v>43</v>
      </c>
      <c r="C3446" t="s">
        <v>32</v>
      </c>
      <c r="D3446">
        <v>29</v>
      </c>
      <c r="E3446">
        <v>27</v>
      </c>
      <c r="F3446">
        <v>14.01</v>
      </c>
      <c r="G3446">
        <v>0</v>
      </c>
      <c r="H3446">
        <v>0</v>
      </c>
      <c r="I3446" s="3">
        <f>E3446+G3446+H3446</f>
        <v>27</v>
      </c>
      <c r="J3446" s="3">
        <f>ROUND(MIN(IF(C3446="Técnico III",35,IF(C3446="Técnico II",28,IF(C3446="Técnico I",23,IF(C3446="JR",20,IF(C3446="Estágio",10,0))))),IF(C3446="Técnico III",SUMIFS($D:$D,$A:$A,$A3446,$B:$B,"&lt;&gt;Patrícia Karla de Sousa Araújo",$B:$B,"&lt;&gt;Lorena Dias de Araujo",$B:$B,"&lt;&gt;Lucas Luiz Romero")*(35/1083),IF(C3446="Técnico II",SUMIFS($D:$D,$A:$A,$A3446,$B:$B,"&lt;&gt;Patrícia Karla de Sousa Araújo",$B:$B,"&lt;&gt;Lorena Dias de Araujo",$B:$B,"&lt;&gt;Lucas Luiz Romero")*(28/1083),IF(C3446="Técnico I",SUMIFS($D:$D,$A:$A,$A3446,$B:$B,"&lt;&gt;Patrícia Karla de Sousa Araújo",$B:$B,"&lt;&gt;Lorena Dias de Araujo",$B:$B,"&lt;&gt;Lucas Luiz Romero")*(23/1083),IF(C3446="JR",SUMIFS($D:$D,$A:$A,$A3446,$B:$B,"&lt;&gt;Patrícia Karla de Sousa Araújo",$B:$B,"&lt;&gt;Lorena Dias de Araujo",$B:$B,"&lt;&gt;Lucas Luiz Romero")*(20/1083),IF(C3446="Estágio",SUMIFS($D:$D,$A:$A,$A3446,$B:$B,"&lt;&gt;Patrícia Karla de Sousa Araújo",$B:$B,"&lt;&gt;Lorena Dias de Araujo",$B:$B,"&lt;&gt;Lucas Luiz Romero")*(10/1083),0)))))),0)</f>
        <v>26</v>
      </c>
      <c r="K3446" s="3">
        <f>I3446-J3446</f>
        <v>1</v>
      </c>
      <c r="L3446" s="3" t="str">
        <f>IF(K3446&lt;-5,"CRÍTICO",IF(K3446&lt;0,"ATENÇÃO",IF(K3446&lt;=5,"OPORTUNO","MUITO BOM")))</f>
        <v>OPORTUNO</v>
      </c>
      <c r="M3446">
        <v>24</v>
      </c>
      <c r="N3446">
        <v>98.86</v>
      </c>
      <c r="O3446">
        <v>28.959276018099551</v>
      </c>
    </row>
    <row r="3447" spans="1:15" hidden="1" x14ac:dyDescent="0.25">
      <c r="A3447" s="11">
        <v>46108</v>
      </c>
      <c r="B3447" t="s">
        <v>44</v>
      </c>
      <c r="C3447" t="s">
        <v>32</v>
      </c>
      <c r="D3447">
        <v>0</v>
      </c>
      <c r="E3447">
        <v>0</v>
      </c>
      <c r="F3447">
        <v>0</v>
      </c>
      <c r="G3447">
        <v>0</v>
      </c>
      <c r="H3447">
        <v>0</v>
      </c>
      <c r="I3447" s="3">
        <v>0</v>
      </c>
      <c r="J3447" s="3">
        <v>0</v>
      </c>
      <c r="K3447" s="3">
        <v>0</v>
      </c>
      <c r="L3447" s="3" t="str">
        <f>IF(K3447&lt;-5,"CRÍTICO",IF(K3447&lt;0,"ATENÇÃO",IF(K3447&lt;=5,"OPORTUNO","MUITO BOM")))</f>
        <v>OPORTUNO</v>
      </c>
      <c r="M3447">
        <v>0</v>
      </c>
      <c r="N3447">
        <v>98.06</v>
      </c>
      <c r="O3447">
        <v>22.40566037735849</v>
      </c>
    </row>
    <row r="3448" spans="1:15" hidden="1" x14ac:dyDescent="0.25">
      <c r="A3448" s="11">
        <v>46108</v>
      </c>
      <c r="B3448" t="s">
        <v>20</v>
      </c>
      <c r="C3448" t="s">
        <v>16</v>
      </c>
      <c r="D3448">
        <v>9</v>
      </c>
      <c r="E3448">
        <v>9</v>
      </c>
      <c r="F3448">
        <v>27.12</v>
      </c>
      <c r="G3448">
        <v>0</v>
      </c>
      <c r="H3448">
        <v>0</v>
      </c>
      <c r="I3448" s="3">
        <f>E3448+G3448+H3448</f>
        <v>9</v>
      </c>
      <c r="J3448" s="3">
        <f>ROUND(MIN(IF(C3448="Técnico III",35,IF(C3448="Técnico II",28,IF(C3448="Técnico I",23,IF(C3448="JR",20,IF(C3448="Estágio",10,0))))),IF(C3448="Técnico III",SUMIFS($D:$D,$A:$A,$A3448,$B:$B,"&lt;&gt;Patrícia Karla de Sousa Araújo",$B:$B,"&lt;&gt;Lorena Dias de Araujo",$B:$B,"&lt;&gt;Lucas Luiz Romero")*(35/1083),IF(C3448="Técnico II",SUMIFS($D:$D,$A:$A,$A3448,$B:$B,"&lt;&gt;Patrícia Karla de Sousa Araújo",$B:$B,"&lt;&gt;Lorena Dias de Araujo",$B:$B,"&lt;&gt;Lucas Luiz Romero")*(28/1083),IF(C3448="Técnico I",SUMIFS($D:$D,$A:$A,$A3448,$B:$B,"&lt;&gt;Patrícia Karla de Sousa Araújo",$B:$B,"&lt;&gt;Lorena Dias de Araujo",$B:$B,"&lt;&gt;Lucas Luiz Romero")*(23/1083),IF(C3448="JR",SUMIFS($D:$D,$A:$A,$A3448,$B:$B,"&lt;&gt;Patrícia Karla de Sousa Araújo",$B:$B,"&lt;&gt;Lorena Dias de Araujo",$B:$B,"&lt;&gt;Lucas Luiz Romero")*(20/1083),IF(C3448="Estágio",SUMIFS($D:$D,$A:$A,$A3448,$B:$B,"&lt;&gt;Patrícia Karla de Sousa Araújo",$B:$B,"&lt;&gt;Lorena Dias de Araujo",$B:$B,"&lt;&gt;Lucas Luiz Romero")*(10/1083),0)))))),0)</f>
        <v>7</v>
      </c>
      <c r="K3448" s="3">
        <f>I3448-J3448</f>
        <v>2</v>
      </c>
      <c r="L3448" s="3" t="str">
        <f>IF(K3448&lt;-5,"CRÍTICO",IF(K3448&lt;0,"ATENÇÃO",IF(K3448&lt;=5,"OPORTUNO","MUITO BOM")))</f>
        <v>OPORTUNO</v>
      </c>
      <c r="M3448">
        <v>4</v>
      </c>
      <c r="N3448">
        <v>95.83</v>
      </c>
      <c r="O3448">
        <v>25.773195876288661</v>
      </c>
    </row>
    <row r="3449" spans="1:15" hidden="1" x14ac:dyDescent="0.25">
      <c r="A3449" s="11">
        <v>46108</v>
      </c>
      <c r="B3449" t="s">
        <v>28</v>
      </c>
      <c r="C3449" t="s">
        <v>26</v>
      </c>
      <c r="D3449">
        <v>0</v>
      </c>
      <c r="E3449">
        <v>0</v>
      </c>
      <c r="F3449">
        <v>0</v>
      </c>
      <c r="G3449">
        <v>0</v>
      </c>
      <c r="H3449">
        <v>0</v>
      </c>
      <c r="I3449" s="3">
        <v>0</v>
      </c>
      <c r="J3449" s="3">
        <v>0</v>
      </c>
      <c r="K3449" s="3">
        <v>0</v>
      </c>
      <c r="L3449" s="3" t="str">
        <f>IF(K3449&lt;-5,"CRÍTICO",IF(K3449&lt;0,"ATENÇÃO",IF(K3449&lt;=5,"OPORTUNO","MUITO BOM")))</f>
        <v>OPORTUNO</v>
      </c>
      <c r="M3449">
        <v>1</v>
      </c>
      <c r="N3449">
        <v>100</v>
      </c>
      <c r="O3449">
        <v>15.38461538461539</v>
      </c>
    </row>
    <row r="3450" spans="1:15" hidden="1" x14ac:dyDescent="0.25">
      <c r="A3450" s="11">
        <v>46108</v>
      </c>
      <c r="B3450" t="s">
        <v>58</v>
      </c>
      <c r="C3450" t="s">
        <v>48</v>
      </c>
      <c r="D3450">
        <v>0</v>
      </c>
      <c r="E3450">
        <v>0</v>
      </c>
      <c r="F3450">
        <v>0</v>
      </c>
      <c r="G3450">
        <v>0</v>
      </c>
      <c r="H3450">
        <v>0</v>
      </c>
      <c r="I3450" s="3">
        <v>0</v>
      </c>
      <c r="J3450" s="3">
        <v>0</v>
      </c>
      <c r="K3450" s="3">
        <v>0</v>
      </c>
      <c r="L3450" s="3" t="str">
        <f>IF(K3450&lt;-5,"CRÍTICO",IF(K3450&lt;0,"ATENÇÃO",IF(K3450&lt;=5,"OPORTUNO","MUITO BOM")))</f>
        <v>OPORTUNO</v>
      </c>
      <c r="M3450">
        <v>0</v>
      </c>
      <c r="N3450">
        <v>100</v>
      </c>
      <c r="O3450">
        <v>27.514792899408281</v>
      </c>
    </row>
    <row r="3451" spans="1:15" hidden="1" x14ac:dyDescent="0.25">
      <c r="A3451" s="11">
        <v>46108</v>
      </c>
      <c r="B3451" t="s">
        <v>29</v>
      </c>
      <c r="C3451" t="s">
        <v>26</v>
      </c>
      <c r="D3451">
        <v>16</v>
      </c>
      <c r="E3451">
        <v>15</v>
      </c>
      <c r="F3451">
        <v>22.04</v>
      </c>
      <c r="G3451">
        <v>0</v>
      </c>
      <c r="H3451">
        <v>0</v>
      </c>
      <c r="I3451" s="3">
        <f>E3451+G3451+H3451</f>
        <v>15</v>
      </c>
      <c r="J3451" s="3">
        <f>ROUND(MIN(IF(C3451="Técnico III",35,IF(C3451="Técnico II",28,IF(C3451="Técnico I",23,IF(C3451="JR",20,IF(C3451="Estágio",10,0))))),IF(C3451="Técnico III",SUMIFS($D:$D,$A:$A,$A3451,$B:$B,"&lt;&gt;Patrícia Karla de Sousa Araújo",$B:$B,"&lt;&gt;Lorena Dias de Araujo",$B:$B,"&lt;&gt;Lucas Luiz Romero")*(35/1083),IF(C3451="Técnico II",SUMIFS($D:$D,$A:$A,$A3451,$B:$B,"&lt;&gt;Patrícia Karla de Sousa Araújo",$B:$B,"&lt;&gt;Lorena Dias de Araujo",$B:$B,"&lt;&gt;Lucas Luiz Romero")*(28/1083),IF(C3451="Técnico I",SUMIFS($D:$D,$A:$A,$A3451,$B:$B,"&lt;&gt;Patrícia Karla de Sousa Araújo",$B:$B,"&lt;&gt;Lorena Dias de Araujo",$B:$B,"&lt;&gt;Lucas Luiz Romero")*(23/1083),IF(C3451="JR",SUMIFS($D:$D,$A:$A,$A3451,$B:$B,"&lt;&gt;Patrícia Karla de Sousa Araújo",$B:$B,"&lt;&gt;Lorena Dias de Araujo",$B:$B,"&lt;&gt;Lucas Luiz Romero")*(20/1083),IF(C3451="Estágio",SUMIFS($D:$D,$A:$A,$A3451,$B:$B,"&lt;&gt;Patrícia Karla de Sousa Araújo",$B:$B,"&lt;&gt;Lorena Dias de Araujo",$B:$B,"&lt;&gt;Lucas Luiz Romero")*(10/1083),0)))))),0)</f>
        <v>15</v>
      </c>
      <c r="K3451" s="3">
        <f>I3451-J3451</f>
        <v>0</v>
      </c>
      <c r="L3451" s="3" t="str">
        <f>IF(K3451&lt;-5,"CRÍTICO",IF(K3451&lt;0,"ATENÇÃO",IF(K3451&lt;=5,"OPORTUNO","MUITO BOM")))</f>
        <v>OPORTUNO</v>
      </c>
      <c r="M3451">
        <v>12</v>
      </c>
      <c r="N3451">
        <v>100</v>
      </c>
      <c r="O3451">
        <v>24.875621890547269</v>
      </c>
    </row>
    <row r="3452" spans="1:15" hidden="1" x14ac:dyDescent="0.25">
      <c r="A3452" s="11">
        <v>46108</v>
      </c>
      <c r="B3452" t="s">
        <v>30</v>
      </c>
      <c r="C3452" t="s">
        <v>26</v>
      </c>
      <c r="D3452">
        <v>21</v>
      </c>
      <c r="E3452">
        <v>21</v>
      </c>
      <c r="F3452">
        <v>27.23</v>
      </c>
      <c r="G3452">
        <v>0</v>
      </c>
      <c r="H3452">
        <v>0</v>
      </c>
      <c r="I3452" s="3">
        <f>E3452+G3452+H3452</f>
        <v>21</v>
      </c>
      <c r="J3452" s="3">
        <f>ROUND(MIN(IF(C3452="Técnico III",35,IF(C3452="Técnico II",28,IF(C3452="Técnico I",23,IF(C3452="JR",20,IF(C3452="Estágio",10,0))))),IF(C3452="Técnico III",SUMIFS($D:$D,$A:$A,$A3452,$B:$B,"&lt;&gt;Patrícia Karla de Sousa Araújo",$B:$B,"&lt;&gt;Lorena Dias de Araujo",$B:$B,"&lt;&gt;Lucas Luiz Romero")*(35/1083),IF(C3452="Técnico II",SUMIFS($D:$D,$A:$A,$A3452,$B:$B,"&lt;&gt;Patrícia Karla de Sousa Araújo",$B:$B,"&lt;&gt;Lorena Dias de Araujo",$B:$B,"&lt;&gt;Lucas Luiz Romero")*(28/1083),IF(C3452="Técnico I",SUMIFS($D:$D,$A:$A,$A3452,$B:$B,"&lt;&gt;Patrícia Karla de Sousa Araújo",$B:$B,"&lt;&gt;Lorena Dias de Araujo",$B:$B,"&lt;&gt;Lucas Luiz Romero")*(23/1083),IF(C3452="JR",SUMIFS($D:$D,$A:$A,$A3452,$B:$B,"&lt;&gt;Patrícia Karla de Sousa Araújo",$B:$B,"&lt;&gt;Lorena Dias de Araujo",$B:$B,"&lt;&gt;Lucas Luiz Romero")*(20/1083),IF(C3452="Estágio",SUMIFS($D:$D,$A:$A,$A3452,$B:$B,"&lt;&gt;Patrícia Karla de Sousa Araújo",$B:$B,"&lt;&gt;Lorena Dias de Araujo",$B:$B,"&lt;&gt;Lucas Luiz Romero")*(10/1083),0)))))),0)</f>
        <v>15</v>
      </c>
      <c r="K3452" s="3">
        <f>I3452-J3452</f>
        <v>6</v>
      </c>
      <c r="L3452" s="3" t="str">
        <f>IF(K3452&lt;-5,"CRÍTICO",IF(K3452&lt;0,"ATENÇÃO",IF(K3452&lt;=5,"OPORTUNO","MUITO BOM")))</f>
        <v>MUITO BOM</v>
      </c>
      <c r="M3452">
        <v>18</v>
      </c>
      <c r="N3452">
        <v>100</v>
      </c>
      <c r="O3452">
        <v>28.108108108108109</v>
      </c>
    </row>
    <row r="3453" spans="1:15" hidden="1" x14ac:dyDescent="0.25">
      <c r="A3453" s="11">
        <v>46108</v>
      </c>
      <c r="B3453" t="s">
        <v>21</v>
      </c>
      <c r="C3453" t="s">
        <v>16</v>
      </c>
      <c r="D3453">
        <v>6</v>
      </c>
      <c r="E3453">
        <v>6</v>
      </c>
      <c r="F3453">
        <v>32.29</v>
      </c>
      <c r="G3453">
        <v>0</v>
      </c>
      <c r="H3453">
        <v>0</v>
      </c>
      <c r="I3453" s="3">
        <f>E3453+G3453+H3453</f>
        <v>6</v>
      </c>
      <c r="J3453" s="3">
        <f>ROUND(MIN(IF(C3453="Técnico III",35,IF(C3453="Técnico II",28,IF(C3453="Técnico I",23,IF(C3453="JR",20,IF(C3453="Estágio",10,0))))),IF(C3453="Técnico III",SUMIFS($D:$D,$A:$A,$A3453,$B:$B,"&lt;&gt;Patrícia Karla de Sousa Araújo",$B:$B,"&lt;&gt;Lorena Dias de Araujo",$B:$B,"&lt;&gt;Lucas Luiz Romero")*(35/1083),IF(C3453="Técnico II",SUMIFS($D:$D,$A:$A,$A3453,$B:$B,"&lt;&gt;Patrícia Karla de Sousa Araújo",$B:$B,"&lt;&gt;Lorena Dias de Araujo",$B:$B,"&lt;&gt;Lucas Luiz Romero")*(28/1083),IF(C3453="Técnico I",SUMIFS($D:$D,$A:$A,$A3453,$B:$B,"&lt;&gt;Patrícia Karla de Sousa Araújo",$B:$B,"&lt;&gt;Lorena Dias de Araujo",$B:$B,"&lt;&gt;Lucas Luiz Romero")*(23/1083),IF(C3453="JR",SUMIFS($D:$D,$A:$A,$A3453,$B:$B,"&lt;&gt;Patrícia Karla de Sousa Araújo",$B:$B,"&lt;&gt;Lorena Dias de Araujo",$B:$B,"&lt;&gt;Lucas Luiz Romero")*(20/1083),IF(C3453="Estágio",SUMIFS($D:$D,$A:$A,$A3453,$B:$B,"&lt;&gt;Patrícia Karla de Sousa Araújo",$B:$B,"&lt;&gt;Lorena Dias de Araujo",$B:$B,"&lt;&gt;Lucas Luiz Romero")*(10/1083),0)))))),0)</f>
        <v>7</v>
      </c>
      <c r="K3453" s="3">
        <f>I3453-J3453</f>
        <v>-1</v>
      </c>
      <c r="L3453" s="3" t="str">
        <f>IF(K3453&lt;-5,"CRÍTICO",IF(K3453&lt;0,"ATENÇÃO",IF(K3453&lt;=5,"OPORTUNO","MUITO BOM")))</f>
        <v>ATENÇÃO</v>
      </c>
      <c r="M3453">
        <v>4</v>
      </c>
      <c r="N3453">
        <v>100</v>
      </c>
      <c r="O3453">
        <v>35</v>
      </c>
    </row>
    <row r="3454" spans="1:15" hidden="1" x14ac:dyDescent="0.25">
      <c r="A3454" s="11">
        <v>46108</v>
      </c>
      <c r="B3454" t="s">
        <v>63</v>
      </c>
      <c r="C3454" t="s">
        <v>23</v>
      </c>
      <c r="D3454">
        <v>22</v>
      </c>
      <c r="E3454">
        <v>21</v>
      </c>
      <c r="F3454">
        <v>18.28</v>
      </c>
      <c r="G3454">
        <v>0</v>
      </c>
      <c r="H3454">
        <v>0</v>
      </c>
      <c r="I3454" s="3">
        <f>E3454+G3454+H3454</f>
        <v>21</v>
      </c>
      <c r="J3454" s="3">
        <f>ROUND(MIN(IF(C3454="Técnico III",35,IF(C3454="Técnico II",28,IF(C3454="Técnico I",23,IF(C3454="JR",20,IF(C3454="Estágio",10,0))))),IF(C3454="Técnico III",SUMIFS($D:$D,$A:$A,$A3454,$B:$B,"&lt;&gt;Patrícia Karla de Sousa Araújo",$B:$B,"&lt;&gt;Lorena Dias de Araujo",$B:$B,"&lt;&gt;Lucas Luiz Romero")*(35/1083),IF(C3454="Técnico II",SUMIFS($D:$D,$A:$A,$A3454,$B:$B,"&lt;&gt;Patrícia Karla de Sousa Araújo",$B:$B,"&lt;&gt;Lorena Dias de Araujo",$B:$B,"&lt;&gt;Lucas Luiz Romero")*(28/1083),IF(C3454="Técnico I",SUMIFS($D:$D,$A:$A,$A3454,$B:$B,"&lt;&gt;Patrícia Karla de Sousa Araújo",$B:$B,"&lt;&gt;Lorena Dias de Araujo",$B:$B,"&lt;&gt;Lucas Luiz Romero")*(23/1083),IF(C3454="JR",SUMIFS($D:$D,$A:$A,$A3454,$B:$B,"&lt;&gt;Patrícia Karla de Sousa Araújo",$B:$B,"&lt;&gt;Lorena Dias de Araujo",$B:$B,"&lt;&gt;Lucas Luiz Romero")*(20/1083),IF(C3454="Estágio",SUMIFS($D:$D,$A:$A,$A3454,$B:$B,"&lt;&gt;Patrícia Karla de Sousa Araújo",$B:$B,"&lt;&gt;Lorena Dias de Araujo",$B:$B,"&lt;&gt;Lucas Luiz Romero")*(10/1083),0)))))),0)</f>
        <v>17</v>
      </c>
      <c r="K3454" s="3">
        <f>I3454-J3454</f>
        <v>4</v>
      </c>
      <c r="L3454" s="3" t="str">
        <f>IF(K3454&lt;-5,"CRÍTICO",IF(K3454&lt;0,"ATENÇÃO",IF(K3454&lt;=5,"OPORTUNO","MUITO BOM")))</f>
        <v>OPORTUNO</v>
      </c>
      <c r="M3454">
        <v>18</v>
      </c>
      <c r="N3454">
        <v>95.35</v>
      </c>
      <c r="O3454">
        <v>28.61538461538461</v>
      </c>
    </row>
    <row r="3455" spans="1:15" hidden="1" x14ac:dyDescent="0.25">
      <c r="A3455" s="11">
        <v>46108</v>
      </c>
      <c r="B3455" t="s">
        <v>45</v>
      </c>
      <c r="C3455" t="s">
        <v>32</v>
      </c>
      <c r="D3455">
        <v>31</v>
      </c>
      <c r="E3455">
        <v>31</v>
      </c>
      <c r="F3455">
        <v>17.07</v>
      </c>
      <c r="G3455">
        <v>0</v>
      </c>
      <c r="H3455">
        <v>0</v>
      </c>
      <c r="I3455" s="3">
        <f>E3455+G3455+H3455</f>
        <v>31</v>
      </c>
      <c r="J3455" s="3">
        <f>ROUND(MIN(IF(C3455="Técnico III",35,IF(C3455="Técnico II",28,IF(C3455="Técnico I",23,IF(C3455="JR",20,IF(C3455="Estágio",10,0))))),IF(C3455="Técnico III",SUMIFS($D:$D,$A:$A,$A3455,$B:$B,"&lt;&gt;Patrícia Karla de Sousa Araújo",$B:$B,"&lt;&gt;Lorena Dias de Araujo",$B:$B,"&lt;&gt;Lucas Luiz Romero")*(35/1083),IF(C3455="Técnico II",SUMIFS($D:$D,$A:$A,$A3455,$B:$B,"&lt;&gt;Patrícia Karla de Sousa Araújo",$B:$B,"&lt;&gt;Lorena Dias de Araujo",$B:$B,"&lt;&gt;Lucas Luiz Romero")*(28/1083),IF(C3455="Técnico I",SUMIFS($D:$D,$A:$A,$A3455,$B:$B,"&lt;&gt;Patrícia Karla de Sousa Araújo",$B:$B,"&lt;&gt;Lorena Dias de Araujo",$B:$B,"&lt;&gt;Lucas Luiz Romero")*(23/1083),IF(C3455="JR",SUMIFS($D:$D,$A:$A,$A3455,$B:$B,"&lt;&gt;Patrícia Karla de Sousa Araújo",$B:$B,"&lt;&gt;Lorena Dias de Araujo",$B:$B,"&lt;&gt;Lucas Luiz Romero")*(20/1083),IF(C3455="Estágio",SUMIFS($D:$D,$A:$A,$A3455,$B:$B,"&lt;&gt;Patrícia Karla de Sousa Araújo",$B:$B,"&lt;&gt;Lorena Dias de Araujo",$B:$B,"&lt;&gt;Lucas Luiz Romero")*(10/1083),0)))))),0)</f>
        <v>26</v>
      </c>
      <c r="K3455" s="3">
        <f>I3455-J3455</f>
        <v>5</v>
      </c>
      <c r="L3455" s="3" t="str">
        <f>IF(K3455&lt;-5,"CRÍTICO",IF(K3455&lt;0,"ATENÇÃO",IF(K3455&lt;=5,"OPORTUNO","MUITO BOM")))</f>
        <v>OPORTUNO</v>
      </c>
      <c r="M3455">
        <v>30</v>
      </c>
      <c r="N3455">
        <v>98.26</v>
      </c>
      <c r="O3455">
        <v>27.54491017964072</v>
      </c>
    </row>
    <row r="3456" spans="1:15" hidden="1" x14ac:dyDescent="0.25">
      <c r="A3456" s="11">
        <v>46108</v>
      </c>
      <c r="B3456" t="s">
        <v>64</v>
      </c>
      <c r="C3456" t="s">
        <v>23</v>
      </c>
      <c r="D3456">
        <v>18</v>
      </c>
      <c r="E3456">
        <v>17</v>
      </c>
      <c r="F3456">
        <v>29</v>
      </c>
      <c r="G3456">
        <v>0</v>
      </c>
      <c r="H3456">
        <v>0</v>
      </c>
      <c r="I3456" s="3">
        <f>E3456+G3456+H3456</f>
        <v>17</v>
      </c>
      <c r="J3456" s="3">
        <f>ROUND(MIN(IF(C3456="Técnico III",35,IF(C3456="Técnico II",28,IF(C3456="Técnico I",23,IF(C3456="JR",20,IF(C3456="Estágio",10,0))))),IF(C3456="Técnico III",SUMIFS($D:$D,$A:$A,$A3456,$B:$B,"&lt;&gt;Patrícia Karla de Sousa Araújo",$B:$B,"&lt;&gt;Lorena Dias de Araujo",$B:$B,"&lt;&gt;Lucas Luiz Romero")*(35/1083),IF(C3456="Técnico II",SUMIFS($D:$D,$A:$A,$A3456,$B:$B,"&lt;&gt;Patrícia Karla de Sousa Araújo",$B:$B,"&lt;&gt;Lorena Dias de Araujo",$B:$B,"&lt;&gt;Lucas Luiz Romero")*(28/1083),IF(C3456="Técnico I",SUMIFS($D:$D,$A:$A,$A3456,$B:$B,"&lt;&gt;Patrícia Karla de Sousa Araújo",$B:$B,"&lt;&gt;Lorena Dias de Araujo",$B:$B,"&lt;&gt;Lucas Luiz Romero")*(23/1083),IF(C3456="JR",SUMIFS($D:$D,$A:$A,$A3456,$B:$B,"&lt;&gt;Patrícia Karla de Sousa Araújo",$B:$B,"&lt;&gt;Lorena Dias de Araujo",$B:$B,"&lt;&gt;Lucas Luiz Romero")*(20/1083),IF(C3456="Estágio",SUMIFS($D:$D,$A:$A,$A3456,$B:$B,"&lt;&gt;Patrícia Karla de Sousa Araújo",$B:$B,"&lt;&gt;Lorena Dias de Araujo",$B:$B,"&lt;&gt;Lucas Luiz Romero")*(10/1083),0)))))),0)</f>
        <v>17</v>
      </c>
      <c r="K3456" s="3">
        <f>I3456-J3456</f>
        <v>0</v>
      </c>
      <c r="L3456" s="3" t="str">
        <f>IF(K3456&lt;-5,"CRÍTICO",IF(K3456&lt;0,"ATENÇÃO",IF(K3456&lt;=5,"OPORTUNO","MUITO BOM")))</f>
        <v>OPORTUNO</v>
      </c>
      <c r="M3456">
        <v>14</v>
      </c>
      <c r="N3456">
        <v>98.55</v>
      </c>
      <c r="O3456">
        <v>25.337837837837839</v>
      </c>
    </row>
    <row r="3457" spans="1:15" hidden="1" x14ac:dyDescent="0.25">
      <c r="A3457" s="11">
        <v>46108</v>
      </c>
      <c r="B3457" t="s">
        <v>46</v>
      </c>
      <c r="C3457" t="s">
        <v>32</v>
      </c>
      <c r="D3457">
        <v>31</v>
      </c>
      <c r="E3457">
        <v>30</v>
      </c>
      <c r="F3457">
        <v>17.09</v>
      </c>
      <c r="G3457">
        <v>0</v>
      </c>
      <c r="H3457">
        <v>0</v>
      </c>
      <c r="I3457" s="3">
        <f>E3457+G3457+H3457</f>
        <v>30</v>
      </c>
      <c r="J3457" s="3">
        <f>ROUND(MIN(IF(C3457="Técnico III",35,IF(C3457="Técnico II",28,IF(C3457="Técnico I",23,IF(C3457="JR",20,IF(C3457="Estágio",10,0))))),IF(C3457="Técnico III",SUMIFS($D:$D,$A:$A,$A3457,$B:$B,"&lt;&gt;Patrícia Karla de Sousa Araújo",$B:$B,"&lt;&gt;Lorena Dias de Araujo",$B:$B,"&lt;&gt;Lucas Luiz Romero")*(35/1083),IF(C3457="Técnico II",SUMIFS($D:$D,$A:$A,$A3457,$B:$B,"&lt;&gt;Patrícia Karla de Sousa Araújo",$B:$B,"&lt;&gt;Lorena Dias de Araujo",$B:$B,"&lt;&gt;Lucas Luiz Romero")*(28/1083),IF(C3457="Técnico I",SUMIFS($D:$D,$A:$A,$A3457,$B:$B,"&lt;&gt;Patrícia Karla de Sousa Araújo",$B:$B,"&lt;&gt;Lorena Dias de Araujo",$B:$B,"&lt;&gt;Lucas Luiz Romero")*(23/1083),IF(C3457="JR",SUMIFS($D:$D,$A:$A,$A3457,$B:$B,"&lt;&gt;Patrícia Karla de Sousa Araújo",$B:$B,"&lt;&gt;Lorena Dias de Araujo",$B:$B,"&lt;&gt;Lucas Luiz Romero")*(20/1083),IF(C3457="Estágio",SUMIFS($D:$D,$A:$A,$A3457,$B:$B,"&lt;&gt;Patrícia Karla de Sousa Araújo",$B:$B,"&lt;&gt;Lorena Dias de Araujo",$B:$B,"&lt;&gt;Lucas Luiz Romero")*(10/1083),0)))))),0)</f>
        <v>26</v>
      </c>
      <c r="K3457" s="3">
        <f>I3457-J3457</f>
        <v>4</v>
      </c>
      <c r="L3457" s="3" t="str">
        <f>IF(K3457&lt;-5,"CRÍTICO",IF(K3457&lt;0,"ATENÇÃO",IF(K3457&lt;=5,"OPORTUNO","MUITO BOM")))</f>
        <v>OPORTUNO</v>
      </c>
      <c r="M3457">
        <v>22</v>
      </c>
      <c r="N3457">
        <v>98.39</v>
      </c>
      <c r="O3457">
        <v>25.563909774436091</v>
      </c>
    </row>
    <row r="3458" spans="1:15" hidden="1" x14ac:dyDescent="0.25">
      <c r="A3458" s="11">
        <v>46111</v>
      </c>
      <c r="B3458" t="s">
        <v>47</v>
      </c>
      <c r="C3458" t="s">
        <v>48</v>
      </c>
      <c r="D3458">
        <v>31</v>
      </c>
      <c r="E3458">
        <v>25</v>
      </c>
      <c r="F3458">
        <v>10.42</v>
      </c>
      <c r="G3458">
        <v>0</v>
      </c>
      <c r="H3458">
        <v>0</v>
      </c>
      <c r="I3458" s="3">
        <f>E3458+G3458+H3458</f>
        <v>25</v>
      </c>
      <c r="J3458" s="3">
        <f>ROUND(MIN(IF(C3458="Técnico III",35,IF(C3458="Técnico II",28,IF(C3458="Técnico I",23,IF(C3458="JR",20,IF(C3458="Estágio",10,0))))),IF(C3458="Técnico III",SUMIFS($D:$D,$A:$A,$A3458,$B:$B,"&lt;&gt;Patrícia Karla de Sousa Araújo",$B:$B,"&lt;&gt;Lorena Dias de Araujo",$B:$B,"&lt;&gt;Lucas Luiz Romero")*(35/1083),IF(C3458="Técnico II",SUMIFS($D:$D,$A:$A,$A3458,$B:$B,"&lt;&gt;Patrícia Karla de Sousa Araújo",$B:$B,"&lt;&gt;Lorena Dias de Araujo",$B:$B,"&lt;&gt;Lucas Luiz Romero")*(28/1083),IF(C3458="Técnico I",SUMIFS($D:$D,$A:$A,$A3458,$B:$B,"&lt;&gt;Patrícia Karla de Sousa Araújo",$B:$B,"&lt;&gt;Lorena Dias de Araujo",$B:$B,"&lt;&gt;Lucas Luiz Romero")*(23/1083),IF(C3458="JR",SUMIFS($D:$D,$A:$A,$A3458,$B:$B,"&lt;&gt;Patrícia Karla de Sousa Araújo",$B:$B,"&lt;&gt;Lorena Dias de Araujo",$B:$B,"&lt;&gt;Lucas Luiz Romero")*(20/1083),IF(C3458="Estágio",SUMIFS($D:$D,$A:$A,$A3458,$B:$B,"&lt;&gt;Patrícia Karla de Sousa Araújo",$B:$B,"&lt;&gt;Lorena Dias de Araujo",$B:$B,"&lt;&gt;Lucas Luiz Romero")*(10/1083),0)))))),0)</f>
        <v>22</v>
      </c>
      <c r="K3458" s="3">
        <f>I3458-J3458</f>
        <v>3</v>
      </c>
      <c r="L3458" s="3" t="str">
        <f>IF(K3458&lt;-5,"CRÍTICO",IF(K3458&lt;0,"ATENÇÃO",IF(K3458&lt;=5,"OPORTUNO","MUITO BOM")))</f>
        <v>OPORTUNO</v>
      </c>
      <c r="M3458">
        <v>20</v>
      </c>
      <c r="N3458">
        <v>94.29</v>
      </c>
      <c r="O3458">
        <v>25.647668393782389</v>
      </c>
    </row>
    <row r="3459" spans="1:15" hidden="1" x14ac:dyDescent="0.25">
      <c r="A3459" s="11">
        <v>46111</v>
      </c>
      <c r="B3459" t="s">
        <v>31</v>
      </c>
      <c r="C3459" t="s">
        <v>32</v>
      </c>
      <c r="D3459">
        <v>0</v>
      </c>
      <c r="E3459">
        <v>0</v>
      </c>
      <c r="F3459">
        <v>0</v>
      </c>
      <c r="G3459">
        <v>0</v>
      </c>
      <c r="H3459">
        <v>0</v>
      </c>
      <c r="I3459" s="3">
        <v>0</v>
      </c>
      <c r="J3459" s="3">
        <v>0</v>
      </c>
      <c r="K3459" s="3">
        <v>0</v>
      </c>
      <c r="L3459" s="3" t="str">
        <f>IF(K3459&lt;-5,"CRÍTICO",IF(K3459&lt;0,"ATENÇÃO",IF(K3459&lt;=5,"OPORTUNO","MUITO BOM")))</f>
        <v>OPORTUNO</v>
      </c>
      <c r="M3459">
        <v>25</v>
      </c>
      <c r="N3459">
        <v>98.26</v>
      </c>
      <c r="O3459">
        <v>26.666666666666671</v>
      </c>
    </row>
    <row r="3460" spans="1:15" hidden="1" x14ac:dyDescent="0.25">
      <c r="A3460" s="11">
        <v>46111</v>
      </c>
      <c r="B3460" t="s">
        <v>59</v>
      </c>
      <c r="C3460" t="s">
        <v>23</v>
      </c>
      <c r="D3460">
        <v>18</v>
      </c>
      <c r="E3460">
        <v>18</v>
      </c>
      <c r="F3460">
        <v>25.13</v>
      </c>
      <c r="G3460">
        <v>0</v>
      </c>
      <c r="H3460">
        <v>0</v>
      </c>
      <c r="I3460" s="3">
        <f>E3460+G3460+H3460</f>
        <v>18</v>
      </c>
      <c r="J3460" s="3">
        <f>ROUND(MIN(IF(C3460="Técnico III",35,IF(C3460="Técnico II",28,IF(C3460="Técnico I",23,IF(C3460="JR",20,IF(C3460="Estágio",10,0))))),IF(C3460="Técnico III",SUMIFS($D:$D,$A:$A,$A3460,$B:$B,"&lt;&gt;Patrícia Karla de Sousa Araújo",$B:$B,"&lt;&gt;Lorena Dias de Araujo",$B:$B,"&lt;&gt;Lucas Luiz Romero")*(35/1083),IF(C3460="Técnico II",SUMIFS($D:$D,$A:$A,$A3460,$B:$B,"&lt;&gt;Patrícia Karla de Sousa Araújo",$B:$B,"&lt;&gt;Lorena Dias de Araujo",$B:$B,"&lt;&gt;Lucas Luiz Romero")*(28/1083),IF(C3460="Técnico I",SUMIFS($D:$D,$A:$A,$A3460,$B:$B,"&lt;&gt;Patrícia Karla de Sousa Araújo",$B:$B,"&lt;&gt;Lorena Dias de Araujo",$B:$B,"&lt;&gt;Lucas Luiz Romero")*(23/1083),IF(C3460="JR",SUMIFS($D:$D,$A:$A,$A3460,$B:$B,"&lt;&gt;Patrícia Karla de Sousa Araújo",$B:$B,"&lt;&gt;Lorena Dias de Araujo",$B:$B,"&lt;&gt;Lucas Luiz Romero")*(20/1083),IF(C3460="Estágio",SUMIFS($D:$D,$A:$A,$A3460,$B:$B,"&lt;&gt;Patrícia Karla de Sousa Araújo",$B:$B,"&lt;&gt;Lorena Dias de Araujo",$B:$B,"&lt;&gt;Lucas Luiz Romero")*(10/1083),0)))))),0)</f>
        <v>18</v>
      </c>
      <c r="K3460" s="3">
        <f>I3460-J3460</f>
        <v>0</v>
      </c>
      <c r="L3460" s="3" t="str">
        <f>IF(K3460&lt;-5,"CRÍTICO",IF(K3460&lt;0,"ATENÇÃO",IF(K3460&lt;=5,"OPORTUNO","MUITO BOM")))</f>
        <v>OPORTUNO</v>
      </c>
      <c r="M3460">
        <v>18</v>
      </c>
      <c r="N3460">
        <v>98.2</v>
      </c>
      <c r="O3460">
        <v>23.37962962962963</v>
      </c>
    </row>
    <row r="3461" spans="1:15" hidden="1" x14ac:dyDescent="0.25">
      <c r="A3461" s="11">
        <v>46111</v>
      </c>
      <c r="B3461" t="s">
        <v>33</v>
      </c>
      <c r="C3461" t="s">
        <v>32</v>
      </c>
      <c r="D3461">
        <v>38</v>
      </c>
      <c r="E3461">
        <v>35</v>
      </c>
      <c r="F3461">
        <v>15.11</v>
      </c>
      <c r="G3461">
        <v>0</v>
      </c>
      <c r="H3461">
        <v>0</v>
      </c>
      <c r="I3461" s="3">
        <f>E3461+G3461+H3461</f>
        <v>35</v>
      </c>
      <c r="J3461" s="3">
        <f>ROUND(MIN(IF(C3461="Técnico III",35,IF(C3461="Técnico II",28,IF(C3461="Técnico I",23,IF(C3461="JR",20,IF(C3461="Estágio",10,0))))),IF(C3461="Técnico III",SUMIFS($D:$D,$A:$A,$A3461,$B:$B,"&lt;&gt;Patrícia Karla de Sousa Araújo",$B:$B,"&lt;&gt;Lorena Dias de Araujo",$B:$B,"&lt;&gt;Lucas Luiz Romero")*(35/1083),IF(C3461="Técnico II",SUMIFS($D:$D,$A:$A,$A3461,$B:$B,"&lt;&gt;Patrícia Karla de Sousa Araújo",$B:$B,"&lt;&gt;Lorena Dias de Araujo",$B:$B,"&lt;&gt;Lucas Luiz Romero")*(28/1083),IF(C3461="Técnico I",SUMIFS($D:$D,$A:$A,$A3461,$B:$B,"&lt;&gt;Patrícia Karla de Sousa Araújo",$B:$B,"&lt;&gt;Lorena Dias de Araujo",$B:$B,"&lt;&gt;Lucas Luiz Romero")*(23/1083),IF(C3461="JR",SUMIFS($D:$D,$A:$A,$A3461,$B:$B,"&lt;&gt;Patrícia Karla de Sousa Araújo",$B:$B,"&lt;&gt;Lorena Dias de Araujo",$B:$B,"&lt;&gt;Lucas Luiz Romero")*(20/1083),IF(C3461="Estágio",SUMIFS($D:$D,$A:$A,$A3461,$B:$B,"&lt;&gt;Patrícia Karla de Sousa Araújo",$B:$B,"&lt;&gt;Lorena Dias de Araujo",$B:$B,"&lt;&gt;Lucas Luiz Romero")*(10/1083),0)))))),0)</f>
        <v>27</v>
      </c>
      <c r="K3461" s="3">
        <f>I3461-J3461</f>
        <v>8</v>
      </c>
      <c r="L3461" s="3" t="str">
        <f>IF(K3461&lt;-5,"CRÍTICO",IF(K3461&lt;0,"ATENÇÃO",IF(K3461&lt;=5,"OPORTUNO","MUITO BOM")))</f>
        <v>MUITO BOM</v>
      </c>
      <c r="M3461">
        <v>31</v>
      </c>
      <c r="N3461">
        <v>97.3</v>
      </c>
      <c r="O3461">
        <v>23.84769539078156</v>
      </c>
    </row>
    <row r="3462" spans="1:15" hidden="1" x14ac:dyDescent="0.25">
      <c r="A3462" s="11">
        <v>46111</v>
      </c>
      <c r="B3462" t="s">
        <v>15</v>
      </c>
      <c r="C3462" t="s">
        <v>16</v>
      </c>
      <c r="D3462">
        <v>16</v>
      </c>
      <c r="E3462">
        <v>15</v>
      </c>
      <c r="F3462">
        <v>20.52</v>
      </c>
      <c r="G3462">
        <v>0</v>
      </c>
      <c r="H3462">
        <v>0</v>
      </c>
      <c r="I3462" s="3">
        <f>E3462+G3462+H3462</f>
        <v>15</v>
      </c>
      <c r="J3462" s="3">
        <f>ROUND(MIN(IF(C3462="Técnico III",35,IF(C3462="Técnico II",28,IF(C3462="Técnico I",23,IF(C3462="JR",20,IF(C3462="Estágio",10,0))))),IF(C3462="Técnico III",SUMIFS($D:$D,$A:$A,$A3462,$B:$B,"&lt;&gt;Patrícia Karla de Sousa Araújo",$B:$B,"&lt;&gt;Lorena Dias de Araujo",$B:$B,"&lt;&gt;Lucas Luiz Romero")*(35/1083),IF(C3462="Técnico II",SUMIFS($D:$D,$A:$A,$A3462,$B:$B,"&lt;&gt;Patrícia Karla de Sousa Araújo",$B:$B,"&lt;&gt;Lorena Dias de Araujo",$B:$B,"&lt;&gt;Lucas Luiz Romero")*(28/1083),IF(C3462="Técnico I",SUMIFS($D:$D,$A:$A,$A3462,$B:$B,"&lt;&gt;Patrícia Karla de Sousa Araújo",$B:$B,"&lt;&gt;Lorena Dias de Araujo",$B:$B,"&lt;&gt;Lucas Luiz Romero")*(23/1083),IF(C3462="JR",SUMIFS($D:$D,$A:$A,$A3462,$B:$B,"&lt;&gt;Patrícia Karla de Sousa Araújo",$B:$B,"&lt;&gt;Lorena Dias de Araujo",$B:$B,"&lt;&gt;Lucas Luiz Romero")*(20/1083),IF(C3462="Estágio",SUMIFS($D:$D,$A:$A,$A3462,$B:$B,"&lt;&gt;Patrícia Karla de Sousa Araújo",$B:$B,"&lt;&gt;Lorena Dias de Araujo",$B:$B,"&lt;&gt;Lucas Luiz Romero")*(10/1083),0)))))),0)</f>
        <v>8</v>
      </c>
      <c r="K3462" s="3">
        <f>I3462-J3462</f>
        <v>7</v>
      </c>
      <c r="L3462" s="3" t="str">
        <f>IF(K3462&lt;-5,"CRÍTICO",IF(K3462&lt;0,"ATENÇÃO",IF(K3462&lt;=5,"OPORTUNO","MUITO BOM")))</f>
        <v>MUITO BOM</v>
      </c>
      <c r="M3462">
        <v>13</v>
      </c>
      <c r="N3462">
        <v>100</v>
      </c>
      <c r="O3462">
        <v>25.268817204301079</v>
      </c>
    </row>
    <row r="3463" spans="1:15" hidden="1" x14ac:dyDescent="0.25">
      <c r="A3463" s="11">
        <v>46111</v>
      </c>
      <c r="B3463" t="s">
        <v>49</v>
      </c>
      <c r="C3463" t="s">
        <v>48</v>
      </c>
      <c r="D3463">
        <v>35</v>
      </c>
      <c r="E3463">
        <v>33</v>
      </c>
      <c r="F3463">
        <v>15.14</v>
      </c>
      <c r="G3463">
        <v>0</v>
      </c>
      <c r="H3463">
        <v>0</v>
      </c>
      <c r="I3463" s="3">
        <f>E3463+G3463+H3463</f>
        <v>33</v>
      </c>
      <c r="J3463" s="3">
        <f>ROUND(MIN(IF(C3463="Técnico III",35,IF(C3463="Técnico II",28,IF(C3463="Técnico I",23,IF(C3463="JR",20,IF(C3463="Estágio",10,0))))),IF(C3463="Técnico III",SUMIFS($D:$D,$A:$A,$A3463,$B:$B,"&lt;&gt;Patrícia Karla de Sousa Araújo",$B:$B,"&lt;&gt;Lorena Dias de Araujo",$B:$B,"&lt;&gt;Lucas Luiz Romero")*(35/1083),IF(C3463="Técnico II",SUMIFS($D:$D,$A:$A,$A3463,$B:$B,"&lt;&gt;Patrícia Karla de Sousa Araújo",$B:$B,"&lt;&gt;Lorena Dias de Araujo",$B:$B,"&lt;&gt;Lucas Luiz Romero")*(28/1083),IF(C3463="Técnico I",SUMIFS($D:$D,$A:$A,$A3463,$B:$B,"&lt;&gt;Patrícia Karla de Sousa Araújo",$B:$B,"&lt;&gt;Lorena Dias de Araujo",$B:$B,"&lt;&gt;Lucas Luiz Romero")*(23/1083),IF(C3463="JR",SUMIFS($D:$D,$A:$A,$A3463,$B:$B,"&lt;&gt;Patrícia Karla de Sousa Araújo",$B:$B,"&lt;&gt;Lorena Dias de Araujo",$B:$B,"&lt;&gt;Lucas Luiz Romero")*(20/1083),IF(C3463="Estágio",SUMIFS($D:$D,$A:$A,$A3463,$B:$B,"&lt;&gt;Patrícia Karla de Sousa Araújo",$B:$B,"&lt;&gt;Lorena Dias de Araujo",$B:$B,"&lt;&gt;Lucas Luiz Romero")*(10/1083),0)))))),0)</f>
        <v>22</v>
      </c>
      <c r="K3463" s="3">
        <f>I3463-J3463</f>
        <v>11</v>
      </c>
      <c r="L3463" s="3" t="str">
        <f>IF(K3463&lt;-5,"CRÍTICO",IF(K3463&lt;0,"ATENÇÃO",IF(K3463&lt;=5,"OPORTUNO","MUITO BOM")))</f>
        <v>MUITO BOM</v>
      </c>
      <c r="M3463">
        <v>32</v>
      </c>
      <c r="N3463">
        <v>99.32</v>
      </c>
      <c r="O3463">
        <v>22.822822822822818</v>
      </c>
    </row>
    <row r="3464" spans="1:15" hidden="1" x14ac:dyDescent="0.25">
      <c r="A3464" s="11">
        <v>46111</v>
      </c>
      <c r="B3464" t="s">
        <v>50</v>
      </c>
      <c r="C3464" t="s">
        <v>48</v>
      </c>
      <c r="D3464">
        <v>26</v>
      </c>
      <c r="E3464">
        <v>24</v>
      </c>
      <c r="F3464">
        <v>21.53</v>
      </c>
      <c r="G3464">
        <v>0</v>
      </c>
      <c r="H3464">
        <v>0</v>
      </c>
      <c r="I3464" s="3">
        <f>E3464+G3464+H3464</f>
        <v>24</v>
      </c>
      <c r="J3464" s="3">
        <f>ROUND(MIN(IF(C3464="Técnico III",35,IF(C3464="Técnico II",28,IF(C3464="Técnico I",23,IF(C3464="JR",20,IF(C3464="Estágio",10,0))))),IF(C3464="Técnico III",SUMIFS($D:$D,$A:$A,$A3464,$B:$B,"&lt;&gt;Patrícia Karla de Sousa Araújo",$B:$B,"&lt;&gt;Lorena Dias de Araujo",$B:$B,"&lt;&gt;Lucas Luiz Romero")*(35/1083),IF(C3464="Técnico II",SUMIFS($D:$D,$A:$A,$A3464,$B:$B,"&lt;&gt;Patrícia Karla de Sousa Araújo",$B:$B,"&lt;&gt;Lorena Dias de Araujo",$B:$B,"&lt;&gt;Lucas Luiz Romero")*(28/1083),IF(C3464="Técnico I",SUMIFS($D:$D,$A:$A,$A3464,$B:$B,"&lt;&gt;Patrícia Karla de Sousa Araújo",$B:$B,"&lt;&gt;Lorena Dias de Araujo",$B:$B,"&lt;&gt;Lucas Luiz Romero")*(23/1083),IF(C3464="JR",SUMIFS($D:$D,$A:$A,$A3464,$B:$B,"&lt;&gt;Patrícia Karla de Sousa Araújo",$B:$B,"&lt;&gt;Lorena Dias de Araujo",$B:$B,"&lt;&gt;Lucas Luiz Romero")*(20/1083),IF(C3464="Estágio",SUMIFS($D:$D,$A:$A,$A3464,$B:$B,"&lt;&gt;Patrícia Karla de Sousa Araújo",$B:$B,"&lt;&gt;Lorena Dias de Araujo",$B:$B,"&lt;&gt;Lucas Luiz Romero")*(10/1083),0)))))),0)</f>
        <v>22</v>
      </c>
      <c r="K3464" s="3">
        <f>I3464-J3464</f>
        <v>2</v>
      </c>
      <c r="L3464" s="3" t="str">
        <f>IF(K3464&lt;-5,"CRÍTICO",IF(K3464&lt;0,"ATENÇÃO",IF(K3464&lt;=5,"OPORTUNO","MUITO BOM")))</f>
        <v>OPORTUNO</v>
      </c>
      <c r="M3464">
        <v>22</v>
      </c>
      <c r="N3464">
        <v>100</v>
      </c>
      <c r="O3464">
        <v>27.966101694915249</v>
      </c>
    </row>
    <row r="3465" spans="1:15" hidden="1" x14ac:dyDescent="0.25">
      <c r="A3465" s="11">
        <v>46111</v>
      </c>
      <c r="B3465" t="s">
        <v>17</v>
      </c>
      <c r="C3465" t="s">
        <v>16</v>
      </c>
      <c r="D3465">
        <v>2</v>
      </c>
      <c r="E3465">
        <v>2</v>
      </c>
      <c r="F3465">
        <v>35.36</v>
      </c>
      <c r="G3465">
        <v>0</v>
      </c>
      <c r="H3465">
        <v>0</v>
      </c>
      <c r="I3465" s="3">
        <f>E3465+G3465+H3465</f>
        <v>2</v>
      </c>
      <c r="J3465" s="3">
        <f>ROUND(MIN(IF(C3465="Técnico III",35,IF(C3465="Técnico II",28,IF(C3465="Técnico I",23,IF(C3465="JR",20,IF(C3465="Estágio",10,0))))),IF(C3465="Técnico III",SUMIFS($D:$D,$A:$A,$A3465,$B:$B,"&lt;&gt;Patrícia Karla de Sousa Araújo",$B:$B,"&lt;&gt;Lorena Dias de Araujo",$B:$B,"&lt;&gt;Lucas Luiz Romero")*(35/1083),IF(C3465="Técnico II",SUMIFS($D:$D,$A:$A,$A3465,$B:$B,"&lt;&gt;Patrícia Karla de Sousa Araújo",$B:$B,"&lt;&gt;Lorena Dias de Araujo",$B:$B,"&lt;&gt;Lucas Luiz Romero")*(28/1083),IF(C3465="Técnico I",SUMIFS($D:$D,$A:$A,$A3465,$B:$B,"&lt;&gt;Patrícia Karla de Sousa Araújo",$B:$B,"&lt;&gt;Lorena Dias de Araujo",$B:$B,"&lt;&gt;Lucas Luiz Romero")*(23/1083),IF(C3465="JR",SUMIFS($D:$D,$A:$A,$A3465,$B:$B,"&lt;&gt;Patrícia Karla de Sousa Araújo",$B:$B,"&lt;&gt;Lorena Dias de Araujo",$B:$B,"&lt;&gt;Lucas Luiz Romero")*(20/1083),IF(C3465="Estágio",SUMIFS($D:$D,$A:$A,$A3465,$B:$B,"&lt;&gt;Patrícia Karla de Sousa Araújo",$B:$B,"&lt;&gt;Lorena Dias de Araujo",$B:$B,"&lt;&gt;Lucas Luiz Romero")*(10/1083),0)))))),0)</f>
        <v>8</v>
      </c>
      <c r="K3465" s="3">
        <f>I3465-J3465</f>
        <v>-6</v>
      </c>
      <c r="L3465" s="3" t="str">
        <f>IF(K3465&lt;-5,"CRÍTICO",IF(K3465&lt;0,"ATENÇÃO",IF(K3465&lt;=5,"OPORTUNO","MUITO BOM")))</f>
        <v>CRÍTICO</v>
      </c>
      <c r="M3465">
        <v>2</v>
      </c>
      <c r="N3465">
        <v>100</v>
      </c>
      <c r="O3465">
        <v>30.434782608695659</v>
      </c>
    </row>
    <row r="3466" spans="1:15" hidden="1" x14ac:dyDescent="0.25">
      <c r="A3466" s="11">
        <v>46111</v>
      </c>
      <c r="B3466" t="s">
        <v>60</v>
      </c>
      <c r="C3466" t="s">
        <v>23</v>
      </c>
      <c r="D3466">
        <v>28</v>
      </c>
      <c r="E3466">
        <v>25</v>
      </c>
      <c r="F3466">
        <v>18.489999999999998</v>
      </c>
      <c r="G3466">
        <v>0</v>
      </c>
      <c r="H3466">
        <v>0</v>
      </c>
      <c r="I3466" s="3">
        <f>E3466+G3466+H3466</f>
        <v>25</v>
      </c>
      <c r="J3466" s="3">
        <f>ROUND(MIN(IF(C3466="Técnico III",35,IF(C3466="Técnico II",28,IF(C3466="Técnico I",23,IF(C3466="JR",20,IF(C3466="Estágio",10,0))))),IF(C3466="Técnico III",SUMIFS($D:$D,$A:$A,$A3466,$B:$B,"&lt;&gt;Patrícia Karla de Sousa Araújo",$B:$B,"&lt;&gt;Lorena Dias de Araujo",$B:$B,"&lt;&gt;Lucas Luiz Romero")*(35/1083),IF(C3466="Técnico II",SUMIFS($D:$D,$A:$A,$A3466,$B:$B,"&lt;&gt;Patrícia Karla de Sousa Araújo",$B:$B,"&lt;&gt;Lorena Dias de Araujo",$B:$B,"&lt;&gt;Lucas Luiz Romero")*(28/1083),IF(C3466="Técnico I",SUMIFS($D:$D,$A:$A,$A3466,$B:$B,"&lt;&gt;Patrícia Karla de Sousa Araújo",$B:$B,"&lt;&gt;Lorena Dias de Araujo",$B:$B,"&lt;&gt;Lucas Luiz Romero")*(23/1083),IF(C3466="JR",SUMIFS($D:$D,$A:$A,$A3466,$B:$B,"&lt;&gt;Patrícia Karla de Sousa Araújo",$B:$B,"&lt;&gt;Lorena Dias de Araujo",$B:$B,"&lt;&gt;Lucas Luiz Romero")*(20/1083),IF(C3466="Estágio",SUMIFS($D:$D,$A:$A,$A3466,$B:$B,"&lt;&gt;Patrícia Karla de Sousa Araújo",$B:$B,"&lt;&gt;Lorena Dias de Araujo",$B:$B,"&lt;&gt;Lucas Luiz Romero")*(10/1083),0)))))),0)</f>
        <v>18</v>
      </c>
      <c r="K3466" s="3">
        <f>I3466-J3466</f>
        <v>7</v>
      </c>
      <c r="L3466" s="3" t="str">
        <f>IF(K3466&lt;-5,"CRÍTICO",IF(K3466&lt;0,"ATENÇÃO",IF(K3466&lt;=5,"OPORTUNO","MUITO BOM")))</f>
        <v>MUITO BOM</v>
      </c>
      <c r="M3466">
        <v>21</v>
      </c>
      <c r="N3466">
        <v>96.51</v>
      </c>
      <c r="O3466">
        <v>22.802850356294542</v>
      </c>
    </row>
    <row r="3467" spans="1:15" hidden="1" x14ac:dyDescent="0.25">
      <c r="A3467" s="11">
        <v>46111</v>
      </c>
      <c r="B3467" t="s">
        <v>34</v>
      </c>
      <c r="C3467" t="s">
        <v>32</v>
      </c>
      <c r="D3467">
        <v>0</v>
      </c>
      <c r="E3467">
        <v>0</v>
      </c>
      <c r="F3467">
        <v>0</v>
      </c>
      <c r="G3467">
        <v>0</v>
      </c>
      <c r="H3467">
        <v>0</v>
      </c>
      <c r="I3467" s="3">
        <v>0</v>
      </c>
      <c r="J3467" s="3">
        <v>0</v>
      </c>
      <c r="K3467" s="3">
        <v>0</v>
      </c>
      <c r="L3467" s="3" t="str">
        <f>IF(K3467&lt;-5,"CRÍTICO",IF(K3467&lt;0,"ATENÇÃO",IF(K3467&lt;=5,"OPORTUNO","MUITO BOM")))</f>
        <v>OPORTUNO</v>
      </c>
      <c r="M3467">
        <v>0</v>
      </c>
      <c r="N3467">
        <v>92.68</v>
      </c>
      <c r="O3467">
        <v>27.777777777777779</v>
      </c>
    </row>
    <row r="3468" spans="1:15" hidden="1" x14ac:dyDescent="0.25">
      <c r="A3468" s="11">
        <v>46111</v>
      </c>
      <c r="B3468" t="s">
        <v>51</v>
      </c>
      <c r="C3468" t="s">
        <v>48</v>
      </c>
      <c r="D3468">
        <v>38</v>
      </c>
      <c r="E3468">
        <v>33</v>
      </c>
      <c r="F3468">
        <v>14</v>
      </c>
      <c r="G3468">
        <v>0</v>
      </c>
      <c r="H3468">
        <v>0</v>
      </c>
      <c r="I3468" s="3">
        <v>0</v>
      </c>
      <c r="J3468" s="3">
        <v>0</v>
      </c>
      <c r="K3468" s="3">
        <v>0</v>
      </c>
      <c r="L3468" s="3" t="str">
        <f>IF(K3468&lt;-5,"CRÍTICO",IF(K3468&lt;0,"ATENÇÃO",IF(K3468&lt;=5,"OPORTUNO","MUITO BOM")))</f>
        <v>OPORTUNO</v>
      </c>
      <c r="M3468">
        <v>27</v>
      </c>
      <c r="N3468">
        <v>99.03</v>
      </c>
      <c r="O3468">
        <v>23.991507430997881</v>
      </c>
    </row>
    <row r="3469" spans="1:15" hidden="1" x14ac:dyDescent="0.25">
      <c r="A3469" s="11">
        <v>46111</v>
      </c>
      <c r="B3469" t="s">
        <v>61</v>
      </c>
      <c r="C3469" t="s">
        <v>23</v>
      </c>
      <c r="D3469">
        <v>19</v>
      </c>
      <c r="E3469">
        <v>19</v>
      </c>
      <c r="F3469">
        <v>25.08</v>
      </c>
      <c r="G3469">
        <v>0</v>
      </c>
      <c r="H3469">
        <v>0</v>
      </c>
      <c r="I3469" s="3">
        <f>E3469+G3469+H3469</f>
        <v>19</v>
      </c>
      <c r="J3469" s="3">
        <f>ROUND(MIN(IF(C3469="Técnico III",35,IF(C3469="Técnico II",28,IF(C3469="Técnico I",23,IF(C3469="JR",20,IF(C3469="Estágio",10,0))))),IF(C3469="Técnico III",SUMIFS($D:$D,$A:$A,$A3469,$B:$B,"&lt;&gt;Patrícia Karla de Sousa Araújo",$B:$B,"&lt;&gt;Lorena Dias de Araujo",$B:$B,"&lt;&gt;Lucas Luiz Romero")*(35/1083),IF(C3469="Técnico II",SUMIFS($D:$D,$A:$A,$A3469,$B:$B,"&lt;&gt;Patrícia Karla de Sousa Araújo",$B:$B,"&lt;&gt;Lorena Dias de Araujo",$B:$B,"&lt;&gt;Lucas Luiz Romero")*(28/1083),IF(C3469="Técnico I",SUMIFS($D:$D,$A:$A,$A3469,$B:$B,"&lt;&gt;Patrícia Karla de Sousa Araújo",$B:$B,"&lt;&gt;Lorena Dias de Araujo",$B:$B,"&lt;&gt;Lucas Luiz Romero")*(23/1083),IF(C3469="JR",SUMIFS($D:$D,$A:$A,$A3469,$B:$B,"&lt;&gt;Patrícia Karla de Sousa Araújo",$B:$B,"&lt;&gt;Lorena Dias de Araujo",$B:$B,"&lt;&gt;Lucas Luiz Romero")*(20/1083),IF(C3469="Estágio",SUMIFS($D:$D,$A:$A,$A3469,$B:$B,"&lt;&gt;Patrícia Karla de Sousa Araújo",$B:$B,"&lt;&gt;Lorena Dias de Araujo",$B:$B,"&lt;&gt;Lucas Luiz Romero")*(10/1083),0)))))),0)</f>
        <v>18</v>
      </c>
      <c r="K3469" s="3">
        <f>I3469-J3469</f>
        <v>1</v>
      </c>
      <c r="L3469" s="3" t="str">
        <f>IF(K3469&lt;-5,"CRÍTICO",IF(K3469&lt;0,"ATENÇÃO",IF(K3469&lt;=5,"OPORTUNO","MUITO BOM")))</f>
        <v>OPORTUNO</v>
      </c>
      <c r="M3469">
        <v>10</v>
      </c>
      <c r="N3469">
        <v>98.41</v>
      </c>
      <c r="O3469">
        <v>28.138528138528141</v>
      </c>
    </row>
    <row r="3470" spans="1:15" hidden="1" x14ac:dyDescent="0.25">
      <c r="A3470" s="11">
        <v>46111</v>
      </c>
      <c r="B3470" t="s">
        <v>35</v>
      </c>
      <c r="C3470" t="s">
        <v>32</v>
      </c>
      <c r="D3470">
        <v>30</v>
      </c>
      <c r="E3470">
        <v>30</v>
      </c>
      <c r="F3470">
        <v>20.23</v>
      </c>
      <c r="G3470">
        <v>0</v>
      </c>
      <c r="H3470">
        <v>0</v>
      </c>
      <c r="I3470" s="3">
        <v>0</v>
      </c>
      <c r="J3470" s="3">
        <v>0</v>
      </c>
      <c r="K3470" s="3">
        <v>0</v>
      </c>
      <c r="L3470" s="3" t="str">
        <f>IF(K3470&lt;-5,"CRÍTICO",IF(K3470&lt;0,"ATENÇÃO",IF(K3470&lt;=5,"OPORTUNO","MUITO BOM")))</f>
        <v>OPORTUNO</v>
      </c>
      <c r="M3470">
        <v>31</v>
      </c>
      <c r="N3470">
        <v>98.73</v>
      </c>
      <c r="O3470">
        <v>29.142857142857139</v>
      </c>
    </row>
    <row r="3471" spans="1:15" hidden="1" x14ac:dyDescent="0.25">
      <c r="A3471" s="11">
        <v>46111</v>
      </c>
      <c r="B3471" t="s">
        <v>18</v>
      </c>
      <c r="C3471" t="s">
        <v>16</v>
      </c>
      <c r="D3471">
        <v>11</v>
      </c>
      <c r="E3471">
        <v>10</v>
      </c>
      <c r="F3471">
        <v>26.5</v>
      </c>
      <c r="G3471">
        <v>0</v>
      </c>
      <c r="H3471">
        <v>0</v>
      </c>
      <c r="I3471" s="3">
        <f>E3471+G3471+H3471</f>
        <v>10</v>
      </c>
      <c r="J3471" s="3">
        <f>ROUND(MIN(IF(C3471="Técnico III",35,IF(C3471="Técnico II",28,IF(C3471="Técnico I",23,IF(C3471="JR",20,IF(C3471="Estágio",10,0))))),IF(C3471="Técnico III",SUMIFS($D:$D,$A:$A,$A3471,$B:$B,"&lt;&gt;Patrícia Karla de Sousa Araújo",$B:$B,"&lt;&gt;Lorena Dias de Araujo",$B:$B,"&lt;&gt;Lucas Luiz Romero")*(35/1083),IF(C3471="Técnico II",SUMIFS($D:$D,$A:$A,$A3471,$B:$B,"&lt;&gt;Patrícia Karla de Sousa Araújo",$B:$B,"&lt;&gt;Lorena Dias de Araujo",$B:$B,"&lt;&gt;Lucas Luiz Romero")*(28/1083),IF(C3471="Técnico I",SUMIFS($D:$D,$A:$A,$A3471,$B:$B,"&lt;&gt;Patrícia Karla de Sousa Araújo",$B:$B,"&lt;&gt;Lorena Dias de Araujo",$B:$B,"&lt;&gt;Lucas Luiz Romero")*(23/1083),IF(C3471="JR",SUMIFS($D:$D,$A:$A,$A3471,$B:$B,"&lt;&gt;Patrícia Karla de Sousa Araújo",$B:$B,"&lt;&gt;Lorena Dias de Araujo",$B:$B,"&lt;&gt;Lucas Luiz Romero")*(20/1083),IF(C3471="Estágio",SUMIFS($D:$D,$A:$A,$A3471,$B:$B,"&lt;&gt;Patrícia Karla de Sousa Araújo",$B:$B,"&lt;&gt;Lorena Dias de Araujo",$B:$B,"&lt;&gt;Lucas Luiz Romero")*(10/1083),0)))))),0)</f>
        <v>8</v>
      </c>
      <c r="K3471" s="3">
        <f>I3471-J3471</f>
        <v>2</v>
      </c>
      <c r="L3471" s="3" t="str">
        <f>IF(K3471&lt;-5,"CRÍTICO",IF(K3471&lt;0,"ATENÇÃO",IF(K3471&lt;=5,"OPORTUNO","MUITO BOM")))</f>
        <v>OPORTUNO</v>
      </c>
      <c r="M3471">
        <v>7</v>
      </c>
      <c r="N3471">
        <v>90.48</v>
      </c>
      <c r="O3471">
        <v>20.68965517241379</v>
      </c>
    </row>
    <row r="3472" spans="1:15" hidden="1" x14ac:dyDescent="0.25">
      <c r="A3472" s="11">
        <v>46111</v>
      </c>
      <c r="B3472" t="s">
        <v>52</v>
      </c>
      <c r="C3472" t="s">
        <v>48</v>
      </c>
      <c r="D3472">
        <v>32</v>
      </c>
      <c r="E3472">
        <v>31</v>
      </c>
      <c r="F3472">
        <v>16.43</v>
      </c>
      <c r="G3472">
        <v>0</v>
      </c>
      <c r="H3472">
        <v>0</v>
      </c>
      <c r="I3472" s="3">
        <f>E3472+G3472+H3472</f>
        <v>31</v>
      </c>
      <c r="J3472" s="3">
        <f>ROUND(MIN(IF(C3472="Técnico III",35,IF(C3472="Técnico II",28,IF(C3472="Técnico I",23,IF(C3472="JR",20,IF(C3472="Estágio",10,0))))),IF(C3472="Técnico III",SUMIFS($D:$D,$A:$A,$A3472,$B:$B,"&lt;&gt;Patrícia Karla de Sousa Araújo",$B:$B,"&lt;&gt;Lorena Dias de Araujo",$B:$B,"&lt;&gt;Lucas Luiz Romero")*(35/1083),IF(C3472="Técnico II",SUMIFS($D:$D,$A:$A,$A3472,$B:$B,"&lt;&gt;Patrícia Karla de Sousa Araújo",$B:$B,"&lt;&gt;Lorena Dias de Araujo",$B:$B,"&lt;&gt;Lucas Luiz Romero")*(28/1083),IF(C3472="Técnico I",SUMIFS($D:$D,$A:$A,$A3472,$B:$B,"&lt;&gt;Patrícia Karla de Sousa Araújo",$B:$B,"&lt;&gt;Lorena Dias de Araujo",$B:$B,"&lt;&gt;Lucas Luiz Romero")*(23/1083),IF(C3472="JR",SUMIFS($D:$D,$A:$A,$A3472,$B:$B,"&lt;&gt;Patrícia Karla de Sousa Araújo",$B:$B,"&lt;&gt;Lorena Dias de Araujo",$B:$B,"&lt;&gt;Lucas Luiz Romero")*(20/1083),IF(C3472="Estágio",SUMIFS($D:$D,$A:$A,$A3472,$B:$B,"&lt;&gt;Patrícia Karla de Sousa Araújo",$B:$B,"&lt;&gt;Lorena Dias de Araujo",$B:$B,"&lt;&gt;Lucas Luiz Romero")*(10/1083),0)))))),0)</f>
        <v>22</v>
      </c>
      <c r="K3472" s="3">
        <f>I3472-J3472</f>
        <v>9</v>
      </c>
      <c r="L3472" s="3" t="str">
        <f>IF(K3472&lt;-5,"CRÍTICO",IF(K3472&lt;0,"ATENÇÃO",IF(K3472&lt;=5,"OPORTUNO","MUITO BOM")))</f>
        <v>MUITO BOM</v>
      </c>
      <c r="M3472">
        <v>27</v>
      </c>
      <c r="N3472">
        <v>98.06</v>
      </c>
      <c r="O3472">
        <v>24.789915966386559</v>
      </c>
    </row>
    <row r="3473" spans="1:15" hidden="1" x14ac:dyDescent="0.25">
      <c r="A3473" s="11">
        <v>46111</v>
      </c>
      <c r="B3473" t="s">
        <v>36</v>
      </c>
      <c r="C3473" t="s">
        <v>32</v>
      </c>
      <c r="D3473">
        <v>0</v>
      </c>
      <c r="E3473">
        <v>0</v>
      </c>
      <c r="F3473">
        <v>0</v>
      </c>
      <c r="G3473">
        <v>0</v>
      </c>
      <c r="H3473">
        <v>0</v>
      </c>
      <c r="I3473" s="3">
        <v>0</v>
      </c>
      <c r="J3473" s="3">
        <v>0</v>
      </c>
      <c r="K3473" s="3">
        <v>0</v>
      </c>
      <c r="L3473" s="3" t="str">
        <f>IF(K3473&lt;-5,"CRÍTICO",IF(K3473&lt;0,"ATENÇÃO",IF(K3473&lt;=5,"OPORTUNO","MUITO BOM")))</f>
        <v>OPORTUNO</v>
      </c>
      <c r="M3473">
        <v>0</v>
      </c>
      <c r="N3473">
        <v>97.78</v>
      </c>
      <c r="O3473">
        <v>25.494071146245059</v>
      </c>
    </row>
    <row r="3474" spans="1:15" hidden="1" x14ac:dyDescent="0.25">
      <c r="A3474" s="11">
        <v>46111</v>
      </c>
      <c r="B3474" t="s">
        <v>53</v>
      </c>
      <c r="C3474" t="s">
        <v>48</v>
      </c>
      <c r="D3474">
        <v>0</v>
      </c>
      <c r="E3474">
        <v>0</v>
      </c>
      <c r="F3474">
        <v>0</v>
      </c>
      <c r="G3474">
        <v>0</v>
      </c>
      <c r="H3474">
        <v>0</v>
      </c>
      <c r="I3474" s="3">
        <v>0</v>
      </c>
      <c r="J3474" s="3">
        <v>0</v>
      </c>
      <c r="K3474" s="3">
        <v>0</v>
      </c>
      <c r="L3474" s="3" t="str">
        <f>IF(K3474&lt;-5,"CRÍTICO",IF(K3474&lt;0,"ATENÇÃO",IF(K3474&lt;=5,"OPORTUNO","MUITO BOM")))</f>
        <v>OPORTUNO</v>
      </c>
      <c r="M3474">
        <v>0</v>
      </c>
      <c r="N3474">
        <v>98.02</v>
      </c>
      <c r="O3474">
        <v>23.484848484848481</v>
      </c>
    </row>
    <row r="3475" spans="1:15" hidden="1" x14ac:dyDescent="0.25">
      <c r="A3475" s="7">
        <v>46161</v>
      </c>
      <c r="B3475" s="8" t="s">
        <v>31</v>
      </c>
      <c r="C3475" s="14" t="s">
        <v>32</v>
      </c>
      <c r="D3475" s="3">
        <v>0</v>
      </c>
      <c r="E3475" s="3">
        <v>0</v>
      </c>
      <c r="F3475" s="3">
        <v>0</v>
      </c>
      <c r="G3475" s="3">
        <v>0</v>
      </c>
      <c r="H3475" s="3">
        <v>0</v>
      </c>
      <c r="I3475" s="3">
        <f>E3475+G3475+H3475</f>
        <v>0</v>
      </c>
      <c r="J3475" s="3">
        <f>ROUND(MIN(IF(C3475="Técnico III",35,IF(C3475="Técnico II",28,IF(C3475="Técnico I",23,IF(C3475="JR",20,IF(C3475="Estágio",10,0))))),IF(C3475="Técnico III",SUMIFS($D:$D,$A:$A,$A3475,$B:$B,"&lt;&gt;Patrícia Karla de Sousa Araújo",$B:$B,"&lt;&gt;Lorena Dias de Araujo",$B:$B,"&lt;&gt;Lucas Luiz Romero")*(35/1083),IF(C3475="Técnico II",SUMIFS($D:$D,$A:$A,$A3475,$B:$B,"&lt;&gt;Patrícia Karla de Sousa Araújo",$B:$B,"&lt;&gt;Lorena Dias de Araujo",$B:$B,"&lt;&gt;Lucas Luiz Romero")*(28/1083),IF(C3475="Técnico I",SUMIFS($D:$D,$A:$A,$A3475,$B:$B,"&lt;&gt;Patrícia Karla de Sousa Araújo",$B:$B,"&lt;&gt;Lorena Dias de Araujo",$B:$B,"&lt;&gt;Lucas Luiz Romero")*(23/1083),IF(C3475="JR",SUMIFS($D:$D,$A:$A,$A3475,$B:$B,"&lt;&gt;Patrícia Karla de Sousa Araújo",$B:$B,"&lt;&gt;Lorena Dias de Araujo",$B:$B,"&lt;&gt;Lucas Luiz Romero")*(20/1083),IF(C3475="Estágio",SUMIFS($D:$D,$A:$A,$A3475,$B:$B,"&lt;&gt;Patrícia Karla de Sousa Araújo",$B:$B,"&lt;&gt;Lorena Dias de Araujo",$B:$B,"&lt;&gt;Lucas Luiz Romero")*(10/1083),0)))))),0)</f>
        <v>29</v>
      </c>
      <c r="K3475" s="3">
        <f>I3475-J3475</f>
        <v>-29</v>
      </c>
      <c r="L3475" s="3" t="str">
        <f>IF(K3475&lt;-5,"CRÍTICO",IF(K3475&lt;0,"ATENÇÃO",IF(K3475&lt;=5,"OPORTUNO","MUITO BOM")))</f>
        <v>CRÍTICO</v>
      </c>
      <c r="M3475" s="3">
        <v>0</v>
      </c>
      <c r="N3475" s="3">
        <v>100</v>
      </c>
      <c r="O3475" s="3">
        <v>0</v>
      </c>
    </row>
    <row r="3476" spans="1:15" hidden="1" x14ac:dyDescent="0.25">
      <c r="A3476" s="11">
        <v>46111</v>
      </c>
      <c r="B3476" t="s">
        <v>54</v>
      </c>
      <c r="C3476" t="s">
        <v>48</v>
      </c>
      <c r="D3476">
        <v>31</v>
      </c>
      <c r="E3476">
        <v>28</v>
      </c>
      <c r="F3476">
        <v>19.170000000000002</v>
      </c>
      <c r="G3476">
        <v>0</v>
      </c>
      <c r="H3476">
        <v>0</v>
      </c>
      <c r="I3476" s="3">
        <f>E3476+G3476+H3476</f>
        <v>28</v>
      </c>
      <c r="J3476" s="3">
        <f>ROUND(MIN(IF(C3476="Técnico III",35,IF(C3476="Técnico II",28,IF(C3476="Técnico I",23,IF(C3476="JR",20,IF(C3476="Estágio",10,0))))),IF(C3476="Técnico III",SUMIFS($D:$D,$A:$A,$A3476,$B:$B,"&lt;&gt;Patrícia Karla de Sousa Araújo",$B:$B,"&lt;&gt;Lorena Dias de Araujo",$B:$B,"&lt;&gt;Lucas Luiz Romero")*(35/1083),IF(C3476="Técnico II",SUMIFS($D:$D,$A:$A,$A3476,$B:$B,"&lt;&gt;Patrícia Karla de Sousa Araújo",$B:$B,"&lt;&gt;Lorena Dias de Araujo",$B:$B,"&lt;&gt;Lucas Luiz Romero")*(28/1083),IF(C3476="Técnico I",SUMIFS($D:$D,$A:$A,$A3476,$B:$B,"&lt;&gt;Patrícia Karla de Sousa Araújo",$B:$B,"&lt;&gt;Lorena Dias de Araujo",$B:$B,"&lt;&gt;Lucas Luiz Romero")*(23/1083),IF(C3476="JR",SUMIFS($D:$D,$A:$A,$A3476,$B:$B,"&lt;&gt;Patrícia Karla de Sousa Araújo",$B:$B,"&lt;&gt;Lorena Dias de Araujo",$B:$B,"&lt;&gt;Lucas Luiz Romero")*(20/1083),IF(C3476="Estágio",SUMIFS($D:$D,$A:$A,$A3476,$B:$B,"&lt;&gt;Patrícia Karla de Sousa Araújo",$B:$B,"&lt;&gt;Lorena Dias de Araujo",$B:$B,"&lt;&gt;Lucas Luiz Romero")*(10/1083),0)))))),0)</f>
        <v>22</v>
      </c>
      <c r="K3476" s="3">
        <f>I3476-J3476</f>
        <v>6</v>
      </c>
      <c r="L3476" s="3" t="str">
        <f>IF(K3476&lt;-5,"CRÍTICO",IF(K3476&lt;0,"ATENÇÃO",IF(K3476&lt;=5,"OPORTUNO","MUITO BOM")))</f>
        <v>MUITO BOM</v>
      </c>
      <c r="M3476">
        <v>26</v>
      </c>
      <c r="N3476">
        <v>100</v>
      </c>
      <c r="O3476">
        <v>27.04918032786885</v>
      </c>
    </row>
    <row r="3477" spans="1:15" hidden="1" x14ac:dyDescent="0.25">
      <c r="A3477" s="11">
        <v>46111</v>
      </c>
      <c r="B3477" t="s">
        <v>37</v>
      </c>
      <c r="C3477" t="s">
        <v>32</v>
      </c>
      <c r="D3477">
        <v>44</v>
      </c>
      <c r="E3477">
        <v>40</v>
      </c>
      <c r="F3477">
        <v>17.170000000000002</v>
      </c>
      <c r="G3477">
        <v>0</v>
      </c>
      <c r="H3477">
        <v>0</v>
      </c>
      <c r="I3477" s="3">
        <f>E3477+G3477+H3477</f>
        <v>40</v>
      </c>
      <c r="J3477" s="3">
        <f>ROUND(MIN(IF(C3477="Técnico III",35,IF(C3477="Técnico II",28,IF(C3477="Técnico I",23,IF(C3477="JR",20,IF(C3477="Estágio",10,0))))),IF(C3477="Técnico III",SUMIFS($D:$D,$A:$A,$A3477,$B:$B,"&lt;&gt;Patrícia Karla de Sousa Araújo",$B:$B,"&lt;&gt;Lorena Dias de Araujo",$B:$B,"&lt;&gt;Lucas Luiz Romero")*(35/1083),IF(C3477="Técnico II",SUMIFS($D:$D,$A:$A,$A3477,$B:$B,"&lt;&gt;Patrícia Karla de Sousa Araújo",$B:$B,"&lt;&gt;Lorena Dias de Araujo",$B:$B,"&lt;&gt;Lucas Luiz Romero")*(28/1083),IF(C3477="Técnico I",SUMIFS($D:$D,$A:$A,$A3477,$B:$B,"&lt;&gt;Patrícia Karla de Sousa Araújo",$B:$B,"&lt;&gt;Lorena Dias de Araujo",$B:$B,"&lt;&gt;Lucas Luiz Romero")*(23/1083),IF(C3477="JR",SUMIFS($D:$D,$A:$A,$A3477,$B:$B,"&lt;&gt;Patrícia Karla de Sousa Araújo",$B:$B,"&lt;&gt;Lorena Dias de Araujo",$B:$B,"&lt;&gt;Lucas Luiz Romero")*(20/1083),IF(C3477="Estágio",SUMIFS($D:$D,$A:$A,$A3477,$B:$B,"&lt;&gt;Patrícia Karla de Sousa Araújo",$B:$B,"&lt;&gt;Lorena Dias de Araujo",$B:$B,"&lt;&gt;Lucas Luiz Romero")*(10/1083),0)))))),0)</f>
        <v>27</v>
      </c>
      <c r="K3477" s="3">
        <f>I3477-J3477</f>
        <v>13</v>
      </c>
      <c r="L3477" s="3" t="str">
        <f>IF(K3477&lt;-5,"CRÍTICO",IF(K3477&lt;0,"ATENÇÃO",IF(K3477&lt;=5,"OPORTUNO","MUITO BOM")))</f>
        <v>MUITO BOM</v>
      </c>
      <c r="M3477">
        <v>37</v>
      </c>
      <c r="N3477">
        <v>97.83</v>
      </c>
      <c r="O3477">
        <v>26.315789473684209</v>
      </c>
    </row>
    <row r="3478" spans="1:15" hidden="1" x14ac:dyDescent="0.25">
      <c r="A3478" s="11">
        <v>46111</v>
      </c>
      <c r="B3478" t="s">
        <v>38</v>
      </c>
      <c r="C3478" t="s">
        <v>32</v>
      </c>
      <c r="D3478">
        <v>8</v>
      </c>
      <c r="E3478">
        <v>8</v>
      </c>
      <c r="F3478">
        <v>23.44</v>
      </c>
      <c r="G3478">
        <v>0</v>
      </c>
      <c r="H3478">
        <v>0</v>
      </c>
      <c r="I3478" s="3">
        <f>E3478+G3478+H3478</f>
        <v>8</v>
      </c>
      <c r="J3478" s="3">
        <f>ROUND(MIN(IF(C3478="Técnico III",35,IF(C3478="Técnico II",28,IF(C3478="Técnico I",23,IF(C3478="JR",20,IF(C3478="Estágio",10,0))))),IF(C3478="Técnico III",SUMIFS($D:$D,$A:$A,$A3478,$B:$B,"&lt;&gt;Patrícia Karla de Sousa Araújo",$B:$B,"&lt;&gt;Lorena Dias de Araujo",$B:$B,"&lt;&gt;Lucas Luiz Romero")*(35/1083),IF(C3478="Técnico II",SUMIFS($D:$D,$A:$A,$A3478,$B:$B,"&lt;&gt;Patrícia Karla de Sousa Araújo",$B:$B,"&lt;&gt;Lorena Dias de Araujo",$B:$B,"&lt;&gt;Lucas Luiz Romero")*(28/1083),IF(C3478="Técnico I",SUMIFS($D:$D,$A:$A,$A3478,$B:$B,"&lt;&gt;Patrícia Karla de Sousa Araújo",$B:$B,"&lt;&gt;Lorena Dias de Araujo",$B:$B,"&lt;&gt;Lucas Luiz Romero")*(23/1083),IF(C3478="JR",SUMIFS($D:$D,$A:$A,$A3478,$B:$B,"&lt;&gt;Patrícia Karla de Sousa Araújo",$B:$B,"&lt;&gt;Lorena Dias de Araujo",$B:$B,"&lt;&gt;Lucas Luiz Romero")*(20/1083),IF(C3478="Estágio",SUMIFS($D:$D,$A:$A,$A3478,$B:$B,"&lt;&gt;Patrícia Karla de Sousa Araújo",$B:$B,"&lt;&gt;Lorena Dias de Araujo",$B:$B,"&lt;&gt;Lucas Luiz Romero")*(10/1083),0)))))),0)</f>
        <v>27</v>
      </c>
      <c r="K3478" s="3">
        <f>I3478-J3478</f>
        <v>-19</v>
      </c>
      <c r="L3478" s="3" t="str">
        <f>IF(K3478&lt;-5,"CRÍTICO",IF(K3478&lt;0,"ATENÇÃO",IF(K3478&lt;=5,"OPORTUNO","MUITO BOM")))</f>
        <v>CRÍTICO</v>
      </c>
      <c r="M3478">
        <v>8</v>
      </c>
      <c r="N3478">
        <v>100</v>
      </c>
      <c r="O3478">
        <v>26.701570680628269</v>
      </c>
    </row>
    <row r="3479" spans="1:15" hidden="1" x14ac:dyDescent="0.25">
      <c r="A3479" s="11">
        <v>46111</v>
      </c>
      <c r="B3479" t="s">
        <v>55</v>
      </c>
      <c r="C3479" t="s">
        <v>48</v>
      </c>
      <c r="D3479">
        <v>0</v>
      </c>
      <c r="E3479">
        <v>0</v>
      </c>
      <c r="F3479">
        <v>0</v>
      </c>
      <c r="G3479">
        <v>0</v>
      </c>
      <c r="H3479">
        <v>0</v>
      </c>
      <c r="I3479" s="3">
        <v>0</v>
      </c>
      <c r="J3479" s="3">
        <v>0</v>
      </c>
      <c r="K3479" s="3">
        <v>0</v>
      </c>
      <c r="L3479" s="3" t="str">
        <f>IF(K3479&lt;-5,"CRÍTICO",IF(K3479&lt;0,"ATENÇÃO",IF(K3479&lt;=5,"OPORTUNO","MUITO BOM")))</f>
        <v>OPORTUNO</v>
      </c>
      <c r="M3479">
        <v>0</v>
      </c>
      <c r="N3479">
        <v>97.47</v>
      </c>
      <c r="O3479">
        <v>22.887323943661968</v>
      </c>
    </row>
    <row r="3480" spans="1:15" hidden="1" x14ac:dyDescent="0.25">
      <c r="A3480" s="11">
        <v>46111</v>
      </c>
      <c r="B3480" t="s">
        <v>39</v>
      </c>
      <c r="C3480" t="s">
        <v>32</v>
      </c>
      <c r="D3480">
        <v>0</v>
      </c>
      <c r="E3480">
        <v>0</v>
      </c>
      <c r="F3480">
        <v>0</v>
      </c>
      <c r="G3480">
        <v>0</v>
      </c>
      <c r="H3480">
        <v>0</v>
      </c>
      <c r="I3480" s="3">
        <v>0</v>
      </c>
      <c r="J3480" s="3">
        <v>0</v>
      </c>
      <c r="K3480" s="3">
        <v>0</v>
      </c>
      <c r="L3480" s="3" t="str">
        <f>IF(K3480&lt;-5,"CRÍTICO",IF(K3480&lt;0,"ATENÇÃO",IF(K3480&lt;=5,"OPORTUNO","MUITO BOM")))</f>
        <v>OPORTUNO</v>
      </c>
      <c r="M3480">
        <v>0</v>
      </c>
      <c r="N3480">
        <v>0</v>
      </c>
      <c r="O3480">
        <v>0</v>
      </c>
    </row>
    <row r="3481" spans="1:15" hidden="1" x14ac:dyDescent="0.25">
      <c r="A3481" s="11">
        <v>46111</v>
      </c>
      <c r="B3481" t="s">
        <v>25</v>
      </c>
      <c r="C3481" t="s">
        <v>26</v>
      </c>
      <c r="D3481">
        <v>19</v>
      </c>
      <c r="E3481">
        <v>19</v>
      </c>
      <c r="F3481">
        <v>29.13</v>
      </c>
      <c r="G3481">
        <v>0</v>
      </c>
      <c r="H3481">
        <v>0</v>
      </c>
      <c r="I3481" s="3">
        <f>E3481+G3481+H3481</f>
        <v>19</v>
      </c>
      <c r="J3481" s="3">
        <f>ROUND(MIN(IF(C3481="Técnico III",35,IF(C3481="Técnico II",28,IF(C3481="Técnico I",23,IF(C3481="JR",20,IF(C3481="Estágio",10,0))))),IF(C3481="Técnico III",SUMIFS($D:$D,$A:$A,$A3481,$B:$B,"&lt;&gt;Patrícia Karla de Sousa Araújo",$B:$B,"&lt;&gt;Lorena Dias de Araujo",$B:$B,"&lt;&gt;Lucas Luiz Romero")*(35/1083),IF(C3481="Técnico II",SUMIFS($D:$D,$A:$A,$A3481,$B:$B,"&lt;&gt;Patrícia Karla de Sousa Araújo",$B:$B,"&lt;&gt;Lorena Dias de Araujo",$B:$B,"&lt;&gt;Lucas Luiz Romero")*(28/1083),IF(C3481="Técnico I",SUMIFS($D:$D,$A:$A,$A3481,$B:$B,"&lt;&gt;Patrícia Karla de Sousa Araújo",$B:$B,"&lt;&gt;Lorena Dias de Araujo",$B:$B,"&lt;&gt;Lucas Luiz Romero")*(23/1083),IF(C3481="JR",SUMIFS($D:$D,$A:$A,$A3481,$B:$B,"&lt;&gt;Patrícia Karla de Sousa Araújo",$B:$B,"&lt;&gt;Lorena Dias de Araujo",$B:$B,"&lt;&gt;Lucas Luiz Romero")*(20/1083),IF(C3481="Estágio",SUMIFS($D:$D,$A:$A,$A3481,$B:$B,"&lt;&gt;Patrícia Karla de Sousa Araújo",$B:$B,"&lt;&gt;Lorena Dias de Araujo",$B:$B,"&lt;&gt;Lucas Luiz Romero")*(10/1083),0)))))),0)</f>
        <v>15</v>
      </c>
      <c r="K3481" s="3">
        <f>I3481-J3481</f>
        <v>4</v>
      </c>
      <c r="L3481" s="3" t="str">
        <f>IF(K3481&lt;-5,"CRÍTICO",IF(K3481&lt;0,"ATENÇÃO",IF(K3481&lt;=5,"OPORTUNO","MUITO BOM")))</f>
        <v>OPORTUNO</v>
      </c>
      <c r="M3481">
        <v>17</v>
      </c>
      <c r="N3481">
        <v>98.31</v>
      </c>
      <c r="O3481">
        <v>24.920127795527151</v>
      </c>
    </row>
    <row r="3482" spans="1:15" hidden="1" x14ac:dyDescent="0.25">
      <c r="A3482" s="11">
        <v>46111</v>
      </c>
      <c r="B3482" t="s">
        <v>40</v>
      </c>
      <c r="C3482" t="s">
        <v>32</v>
      </c>
      <c r="D3482">
        <v>4</v>
      </c>
      <c r="E3482">
        <v>4</v>
      </c>
      <c r="F3482">
        <v>35.58</v>
      </c>
      <c r="G3482">
        <v>0</v>
      </c>
      <c r="H3482">
        <v>0</v>
      </c>
      <c r="I3482" s="3">
        <f>E3482+G3482+H3482</f>
        <v>4</v>
      </c>
      <c r="J3482" s="3">
        <f>ROUND(MIN(IF(C3482="Técnico III",35,IF(C3482="Técnico II",28,IF(C3482="Técnico I",23,IF(C3482="JR",20,IF(C3482="Estágio",10,0))))),IF(C3482="Técnico III",SUMIFS($D:$D,$A:$A,$A3482,$B:$B,"&lt;&gt;Patrícia Karla de Sousa Araújo",$B:$B,"&lt;&gt;Lorena Dias de Araujo",$B:$B,"&lt;&gt;Lucas Luiz Romero")*(35/1083),IF(C3482="Técnico II",SUMIFS($D:$D,$A:$A,$A3482,$B:$B,"&lt;&gt;Patrícia Karla de Sousa Araújo",$B:$B,"&lt;&gt;Lorena Dias de Araujo",$B:$B,"&lt;&gt;Lucas Luiz Romero")*(28/1083),IF(C3482="Técnico I",SUMIFS($D:$D,$A:$A,$A3482,$B:$B,"&lt;&gt;Patrícia Karla de Sousa Araújo",$B:$B,"&lt;&gt;Lorena Dias de Araujo",$B:$B,"&lt;&gt;Lucas Luiz Romero")*(23/1083),IF(C3482="JR",SUMIFS($D:$D,$A:$A,$A3482,$B:$B,"&lt;&gt;Patrícia Karla de Sousa Araújo",$B:$B,"&lt;&gt;Lorena Dias de Araujo",$B:$B,"&lt;&gt;Lucas Luiz Romero")*(20/1083),IF(C3482="Estágio",SUMIFS($D:$D,$A:$A,$A3482,$B:$B,"&lt;&gt;Patrícia Karla de Sousa Araújo",$B:$B,"&lt;&gt;Lorena Dias de Araujo",$B:$B,"&lt;&gt;Lucas Luiz Romero")*(10/1083),0)))))),0)</f>
        <v>27</v>
      </c>
      <c r="K3482" s="3">
        <f>I3482-J3482</f>
        <v>-23</v>
      </c>
      <c r="L3482" s="3" t="str">
        <f>IF(K3482&lt;-5,"CRÍTICO",IF(K3482&lt;0,"ATENÇÃO",IF(K3482&lt;=5,"OPORTUNO","MUITO BOM")))</f>
        <v>CRÍTICO</v>
      </c>
      <c r="M3482">
        <v>17</v>
      </c>
      <c r="N3482">
        <v>96.81</v>
      </c>
      <c r="O3482">
        <v>32.365145228215773</v>
      </c>
    </row>
    <row r="3483" spans="1:15" hidden="1" x14ac:dyDescent="0.25">
      <c r="A3483" s="11">
        <v>46111</v>
      </c>
      <c r="B3483" t="s">
        <v>27</v>
      </c>
      <c r="C3483" t="s">
        <v>26</v>
      </c>
      <c r="D3483">
        <v>18</v>
      </c>
      <c r="E3483">
        <v>14</v>
      </c>
      <c r="F3483">
        <v>32.35</v>
      </c>
      <c r="G3483">
        <v>0</v>
      </c>
      <c r="H3483">
        <v>0</v>
      </c>
      <c r="I3483" s="3">
        <f>E3483+G3483+H3483</f>
        <v>14</v>
      </c>
      <c r="J3483" s="3">
        <f>ROUND(MIN(IF(C3483="Técnico III",35,IF(C3483="Técnico II",28,IF(C3483="Técnico I",23,IF(C3483="JR",20,IF(C3483="Estágio",10,0))))),IF(C3483="Técnico III",SUMIFS($D:$D,$A:$A,$A3483,$B:$B,"&lt;&gt;Patrícia Karla de Sousa Araújo",$B:$B,"&lt;&gt;Lorena Dias de Araujo",$B:$B,"&lt;&gt;Lucas Luiz Romero")*(35/1083),IF(C3483="Técnico II",SUMIFS($D:$D,$A:$A,$A3483,$B:$B,"&lt;&gt;Patrícia Karla de Sousa Araújo",$B:$B,"&lt;&gt;Lorena Dias de Araujo",$B:$B,"&lt;&gt;Lucas Luiz Romero")*(28/1083),IF(C3483="Técnico I",SUMIFS($D:$D,$A:$A,$A3483,$B:$B,"&lt;&gt;Patrícia Karla de Sousa Araújo",$B:$B,"&lt;&gt;Lorena Dias de Araujo",$B:$B,"&lt;&gt;Lucas Luiz Romero")*(23/1083),IF(C3483="JR",SUMIFS($D:$D,$A:$A,$A3483,$B:$B,"&lt;&gt;Patrícia Karla de Sousa Araújo",$B:$B,"&lt;&gt;Lorena Dias de Araujo",$B:$B,"&lt;&gt;Lucas Luiz Romero")*(20/1083),IF(C3483="Estágio",SUMIFS($D:$D,$A:$A,$A3483,$B:$B,"&lt;&gt;Patrícia Karla de Sousa Araújo",$B:$B,"&lt;&gt;Lorena Dias de Araujo",$B:$B,"&lt;&gt;Lucas Luiz Romero")*(10/1083),0)))))),0)</f>
        <v>15</v>
      </c>
      <c r="K3483" s="3">
        <f>I3483-J3483</f>
        <v>-1</v>
      </c>
      <c r="L3483" s="3" t="str">
        <f>IF(K3483&lt;-5,"CRÍTICO",IF(K3483&lt;0,"ATENÇÃO",IF(K3483&lt;=5,"OPORTUNO","MUITO BOM")))</f>
        <v>ATENÇÃO</v>
      </c>
      <c r="M3483">
        <v>14</v>
      </c>
      <c r="N3483">
        <v>100</v>
      </c>
      <c r="O3483">
        <v>26.47058823529412</v>
      </c>
    </row>
    <row r="3484" spans="1:15" hidden="1" x14ac:dyDescent="0.25">
      <c r="A3484" s="11">
        <v>46111</v>
      </c>
      <c r="B3484" t="s">
        <v>41</v>
      </c>
      <c r="C3484" t="s">
        <v>32</v>
      </c>
      <c r="D3484">
        <v>28</v>
      </c>
      <c r="E3484">
        <v>28</v>
      </c>
      <c r="F3484">
        <v>21.53</v>
      </c>
      <c r="G3484">
        <v>0</v>
      </c>
      <c r="H3484">
        <v>0</v>
      </c>
      <c r="I3484" s="3">
        <f>E3484+G3484+H3484</f>
        <v>28</v>
      </c>
      <c r="J3484" s="3">
        <f>ROUND(MIN(IF(C3484="Técnico III",35,IF(C3484="Técnico II",28,IF(C3484="Técnico I",23,IF(C3484="JR",20,IF(C3484="Estágio",10,0))))),IF(C3484="Técnico III",SUMIFS($D:$D,$A:$A,$A3484,$B:$B,"&lt;&gt;Patrícia Karla de Sousa Araújo",$B:$B,"&lt;&gt;Lorena Dias de Araujo",$B:$B,"&lt;&gt;Lucas Luiz Romero")*(35/1083),IF(C3484="Técnico II",SUMIFS($D:$D,$A:$A,$A3484,$B:$B,"&lt;&gt;Patrícia Karla de Sousa Araújo",$B:$B,"&lt;&gt;Lorena Dias de Araujo",$B:$B,"&lt;&gt;Lucas Luiz Romero")*(28/1083),IF(C3484="Técnico I",SUMIFS($D:$D,$A:$A,$A3484,$B:$B,"&lt;&gt;Patrícia Karla de Sousa Araújo",$B:$B,"&lt;&gt;Lorena Dias de Araujo",$B:$B,"&lt;&gt;Lucas Luiz Romero")*(23/1083),IF(C3484="JR",SUMIFS($D:$D,$A:$A,$A3484,$B:$B,"&lt;&gt;Patrícia Karla de Sousa Araújo",$B:$B,"&lt;&gt;Lorena Dias de Araujo",$B:$B,"&lt;&gt;Lucas Luiz Romero")*(20/1083),IF(C3484="Estágio",SUMIFS($D:$D,$A:$A,$A3484,$B:$B,"&lt;&gt;Patrícia Karla de Sousa Araújo",$B:$B,"&lt;&gt;Lorena Dias de Araujo",$B:$B,"&lt;&gt;Lucas Luiz Romero")*(10/1083),0)))))),0)</f>
        <v>27</v>
      </c>
      <c r="K3484" s="3">
        <f>I3484-J3484</f>
        <v>1</v>
      </c>
      <c r="L3484" s="3" t="str">
        <f>IF(K3484&lt;-5,"CRÍTICO",IF(K3484&lt;0,"ATENÇÃO",IF(K3484&lt;=5,"OPORTUNO","MUITO BOM")))</f>
        <v>OPORTUNO</v>
      </c>
      <c r="M3484">
        <v>26</v>
      </c>
      <c r="N3484">
        <v>100</v>
      </c>
      <c r="O3484">
        <v>28.490028490028489</v>
      </c>
    </row>
    <row r="3485" spans="1:15" hidden="1" x14ac:dyDescent="0.25">
      <c r="A3485" s="11">
        <v>46111</v>
      </c>
      <c r="B3485" t="s">
        <v>56</v>
      </c>
      <c r="C3485" t="s">
        <v>48</v>
      </c>
      <c r="D3485">
        <v>21</v>
      </c>
      <c r="E3485">
        <v>20</v>
      </c>
      <c r="F3485">
        <v>22.04</v>
      </c>
      <c r="G3485">
        <v>0</v>
      </c>
      <c r="H3485">
        <v>0</v>
      </c>
      <c r="I3485" s="3">
        <f>E3485+G3485+H3485</f>
        <v>20</v>
      </c>
      <c r="J3485" s="3">
        <f>ROUND(MIN(IF(C3485="Técnico III",35,IF(C3485="Técnico II",28,IF(C3485="Técnico I",23,IF(C3485="JR",20,IF(C3485="Estágio",10,0))))),IF(C3485="Técnico III",SUMIFS($D:$D,$A:$A,$A3485,$B:$B,"&lt;&gt;Patrícia Karla de Sousa Araújo",$B:$B,"&lt;&gt;Lorena Dias de Araujo",$B:$B,"&lt;&gt;Lucas Luiz Romero")*(35/1083),IF(C3485="Técnico II",SUMIFS($D:$D,$A:$A,$A3485,$B:$B,"&lt;&gt;Patrícia Karla de Sousa Araújo",$B:$B,"&lt;&gt;Lorena Dias de Araujo",$B:$B,"&lt;&gt;Lucas Luiz Romero")*(28/1083),IF(C3485="Técnico I",SUMIFS($D:$D,$A:$A,$A3485,$B:$B,"&lt;&gt;Patrícia Karla de Sousa Araújo",$B:$B,"&lt;&gt;Lorena Dias de Araujo",$B:$B,"&lt;&gt;Lucas Luiz Romero")*(23/1083),IF(C3485="JR",SUMIFS($D:$D,$A:$A,$A3485,$B:$B,"&lt;&gt;Patrícia Karla de Sousa Araújo",$B:$B,"&lt;&gt;Lorena Dias de Araujo",$B:$B,"&lt;&gt;Lucas Luiz Romero")*(20/1083),IF(C3485="Estágio",SUMIFS($D:$D,$A:$A,$A3485,$B:$B,"&lt;&gt;Patrícia Karla de Sousa Araújo",$B:$B,"&lt;&gt;Lorena Dias de Araujo",$B:$B,"&lt;&gt;Lucas Luiz Romero")*(10/1083),0)))))),0)</f>
        <v>22</v>
      </c>
      <c r="K3485" s="3">
        <f>I3485-J3485</f>
        <v>-2</v>
      </c>
      <c r="L3485" s="3" t="str">
        <f>IF(K3485&lt;-5,"CRÍTICO",IF(K3485&lt;0,"ATENÇÃO",IF(K3485&lt;=5,"OPORTUNO","MUITO BOM")))</f>
        <v>ATENÇÃO</v>
      </c>
      <c r="M3485">
        <v>25</v>
      </c>
      <c r="N3485">
        <v>99.14</v>
      </c>
      <c r="O3485">
        <v>27.2289156626506</v>
      </c>
    </row>
    <row r="3486" spans="1:15" hidden="1" x14ac:dyDescent="0.25">
      <c r="A3486" s="11">
        <v>46111</v>
      </c>
      <c r="B3486" t="s">
        <v>57</v>
      </c>
      <c r="C3486" t="s">
        <v>48</v>
      </c>
      <c r="D3486">
        <v>2</v>
      </c>
      <c r="E3486">
        <v>2</v>
      </c>
      <c r="F3486">
        <v>27.03</v>
      </c>
      <c r="G3486">
        <v>0</v>
      </c>
      <c r="H3486">
        <v>0</v>
      </c>
      <c r="I3486" s="3">
        <v>0</v>
      </c>
      <c r="J3486" s="3">
        <v>0</v>
      </c>
      <c r="K3486" s="3">
        <v>0</v>
      </c>
      <c r="L3486" s="3" t="str">
        <f>IF(K3486&lt;-5,"CRÍTICO",IF(K3486&lt;0,"ATENÇÃO",IF(K3486&lt;=5,"OPORTUNO","MUITO BOM")))</f>
        <v>OPORTUNO</v>
      </c>
      <c r="M3486">
        <v>1</v>
      </c>
      <c r="N3486">
        <v>97.52</v>
      </c>
      <c r="O3486">
        <v>28.205128205128201</v>
      </c>
    </row>
    <row r="3487" spans="1:15" hidden="1" x14ac:dyDescent="0.25">
      <c r="A3487" s="11">
        <v>46111</v>
      </c>
      <c r="B3487" t="s">
        <v>42</v>
      </c>
      <c r="C3487" t="s">
        <v>32</v>
      </c>
      <c r="D3487">
        <v>0</v>
      </c>
      <c r="E3487">
        <v>0</v>
      </c>
      <c r="F3487">
        <v>0</v>
      </c>
      <c r="G3487">
        <v>0</v>
      </c>
      <c r="H3487">
        <v>0</v>
      </c>
      <c r="I3487" s="3">
        <v>0</v>
      </c>
      <c r="J3487" s="3">
        <v>0</v>
      </c>
      <c r="K3487" s="3">
        <v>0</v>
      </c>
      <c r="L3487" s="3" t="str">
        <f>IF(K3487&lt;-5,"CRÍTICO",IF(K3487&lt;0,"ATENÇÃO",IF(K3487&lt;=5,"OPORTUNO","MUITO BOM")))</f>
        <v>OPORTUNO</v>
      </c>
      <c r="M3487">
        <v>0</v>
      </c>
      <c r="N3487">
        <v>90</v>
      </c>
      <c r="O3487">
        <v>24.186046511627911</v>
      </c>
    </row>
    <row r="3488" spans="1:15" hidden="1" x14ac:dyDescent="0.25">
      <c r="A3488" s="11">
        <v>46111</v>
      </c>
      <c r="B3488" t="s">
        <v>62</v>
      </c>
      <c r="C3488" t="s">
        <v>23</v>
      </c>
      <c r="D3488">
        <v>28</v>
      </c>
      <c r="E3488">
        <v>27</v>
      </c>
      <c r="F3488">
        <v>20.05</v>
      </c>
      <c r="G3488">
        <v>0</v>
      </c>
      <c r="H3488">
        <v>0</v>
      </c>
      <c r="I3488" s="3">
        <f>E3488+G3488+H3488</f>
        <v>27</v>
      </c>
      <c r="J3488" s="3">
        <f>ROUND(MIN(IF(C3488="Técnico III",35,IF(C3488="Técnico II",28,IF(C3488="Técnico I",23,IF(C3488="JR",20,IF(C3488="Estágio",10,0))))),IF(C3488="Técnico III",SUMIFS($D:$D,$A:$A,$A3488,$B:$B,"&lt;&gt;Patrícia Karla de Sousa Araújo",$B:$B,"&lt;&gt;Lorena Dias de Araujo",$B:$B,"&lt;&gt;Lucas Luiz Romero")*(35/1083),IF(C3488="Técnico II",SUMIFS($D:$D,$A:$A,$A3488,$B:$B,"&lt;&gt;Patrícia Karla de Sousa Araújo",$B:$B,"&lt;&gt;Lorena Dias de Araujo",$B:$B,"&lt;&gt;Lucas Luiz Romero")*(28/1083),IF(C3488="Técnico I",SUMIFS($D:$D,$A:$A,$A3488,$B:$B,"&lt;&gt;Patrícia Karla de Sousa Araújo",$B:$B,"&lt;&gt;Lorena Dias de Araujo",$B:$B,"&lt;&gt;Lucas Luiz Romero")*(23/1083),IF(C3488="JR",SUMIFS($D:$D,$A:$A,$A3488,$B:$B,"&lt;&gt;Patrícia Karla de Sousa Araújo",$B:$B,"&lt;&gt;Lorena Dias de Araujo",$B:$B,"&lt;&gt;Lucas Luiz Romero")*(20/1083),IF(C3488="Estágio",SUMIFS($D:$D,$A:$A,$A3488,$B:$B,"&lt;&gt;Patrícia Karla de Sousa Araújo",$B:$B,"&lt;&gt;Lorena Dias de Araujo",$B:$B,"&lt;&gt;Lucas Luiz Romero")*(10/1083),0)))))),0)</f>
        <v>18</v>
      </c>
      <c r="K3488" s="3">
        <f>I3488-J3488</f>
        <v>9</v>
      </c>
      <c r="L3488" s="3" t="str">
        <f>IF(K3488&lt;-5,"CRÍTICO",IF(K3488&lt;0,"ATENÇÃO",IF(K3488&lt;=5,"OPORTUNO","MUITO BOM")))</f>
        <v>MUITO BOM</v>
      </c>
      <c r="M3488">
        <v>23</v>
      </c>
      <c r="N3488">
        <v>98.9</v>
      </c>
      <c r="O3488">
        <v>26.763990267639901</v>
      </c>
    </row>
    <row r="3489" spans="1:15" hidden="1" x14ac:dyDescent="0.25">
      <c r="A3489" s="11">
        <v>46111</v>
      </c>
      <c r="B3489" t="s">
        <v>19</v>
      </c>
      <c r="C3489" t="s">
        <v>16</v>
      </c>
      <c r="D3489">
        <v>10</v>
      </c>
      <c r="E3489">
        <v>10</v>
      </c>
      <c r="F3489">
        <v>33.49</v>
      </c>
      <c r="G3489">
        <v>0</v>
      </c>
      <c r="H3489">
        <v>0</v>
      </c>
      <c r="I3489" s="3">
        <f>E3489+G3489+H3489</f>
        <v>10</v>
      </c>
      <c r="J3489" s="3">
        <f>ROUND(MIN(IF(C3489="Técnico III",35,IF(C3489="Técnico II",28,IF(C3489="Técnico I",23,IF(C3489="JR",20,IF(C3489="Estágio",10,0))))),IF(C3489="Técnico III",SUMIFS($D:$D,$A:$A,$A3489,$B:$B,"&lt;&gt;Patrícia Karla de Sousa Araújo",$B:$B,"&lt;&gt;Lorena Dias de Araujo",$B:$B,"&lt;&gt;Lucas Luiz Romero")*(35/1083),IF(C3489="Técnico II",SUMIFS($D:$D,$A:$A,$A3489,$B:$B,"&lt;&gt;Patrícia Karla de Sousa Araújo",$B:$B,"&lt;&gt;Lorena Dias de Araujo",$B:$B,"&lt;&gt;Lucas Luiz Romero")*(28/1083),IF(C3489="Técnico I",SUMIFS($D:$D,$A:$A,$A3489,$B:$B,"&lt;&gt;Patrícia Karla de Sousa Araújo",$B:$B,"&lt;&gt;Lorena Dias de Araujo",$B:$B,"&lt;&gt;Lucas Luiz Romero")*(23/1083),IF(C3489="JR",SUMIFS($D:$D,$A:$A,$A3489,$B:$B,"&lt;&gt;Patrícia Karla de Sousa Araújo",$B:$B,"&lt;&gt;Lorena Dias de Araujo",$B:$B,"&lt;&gt;Lucas Luiz Romero")*(20/1083),IF(C3489="Estágio",SUMIFS($D:$D,$A:$A,$A3489,$B:$B,"&lt;&gt;Patrícia Karla de Sousa Araújo",$B:$B,"&lt;&gt;Lorena Dias de Araujo",$B:$B,"&lt;&gt;Lucas Luiz Romero")*(10/1083),0)))))),0)</f>
        <v>8</v>
      </c>
      <c r="K3489" s="3">
        <f>I3489-J3489</f>
        <v>2</v>
      </c>
      <c r="L3489" s="3" t="str">
        <f>IF(K3489&lt;-5,"CRÍTICO",IF(K3489&lt;0,"ATENÇÃO",IF(K3489&lt;=5,"OPORTUNO","MUITO BOM")))</f>
        <v>OPORTUNO</v>
      </c>
      <c r="M3489">
        <v>8</v>
      </c>
      <c r="N3489">
        <v>88.89</v>
      </c>
      <c r="O3489">
        <v>25.263157894736839</v>
      </c>
    </row>
    <row r="3490" spans="1:15" hidden="1" x14ac:dyDescent="0.25">
      <c r="A3490" s="11">
        <v>46111</v>
      </c>
      <c r="B3490" t="s">
        <v>43</v>
      </c>
      <c r="C3490" t="s">
        <v>32</v>
      </c>
      <c r="D3490">
        <v>35</v>
      </c>
      <c r="E3490">
        <v>31</v>
      </c>
      <c r="F3490">
        <v>15.5</v>
      </c>
      <c r="G3490">
        <v>0</v>
      </c>
      <c r="H3490">
        <v>0</v>
      </c>
      <c r="I3490" s="3">
        <f>E3490+G3490+H3490</f>
        <v>31</v>
      </c>
      <c r="J3490" s="3">
        <f>ROUND(MIN(IF(C3490="Técnico III",35,IF(C3490="Técnico II",28,IF(C3490="Técnico I",23,IF(C3490="JR",20,IF(C3490="Estágio",10,0))))),IF(C3490="Técnico III",SUMIFS($D:$D,$A:$A,$A3490,$B:$B,"&lt;&gt;Patrícia Karla de Sousa Araújo",$B:$B,"&lt;&gt;Lorena Dias de Araujo",$B:$B,"&lt;&gt;Lucas Luiz Romero")*(35/1083),IF(C3490="Técnico II",SUMIFS($D:$D,$A:$A,$A3490,$B:$B,"&lt;&gt;Patrícia Karla de Sousa Araújo",$B:$B,"&lt;&gt;Lorena Dias de Araujo",$B:$B,"&lt;&gt;Lucas Luiz Romero")*(28/1083),IF(C3490="Técnico I",SUMIFS($D:$D,$A:$A,$A3490,$B:$B,"&lt;&gt;Patrícia Karla de Sousa Araújo",$B:$B,"&lt;&gt;Lorena Dias de Araujo",$B:$B,"&lt;&gt;Lucas Luiz Romero")*(23/1083),IF(C3490="JR",SUMIFS($D:$D,$A:$A,$A3490,$B:$B,"&lt;&gt;Patrícia Karla de Sousa Araújo",$B:$B,"&lt;&gt;Lorena Dias de Araujo",$B:$B,"&lt;&gt;Lucas Luiz Romero")*(20/1083),IF(C3490="Estágio",SUMIFS($D:$D,$A:$A,$A3490,$B:$B,"&lt;&gt;Patrícia Karla de Sousa Araújo",$B:$B,"&lt;&gt;Lorena Dias de Araujo",$B:$B,"&lt;&gt;Lucas Luiz Romero")*(10/1083),0)))))),0)</f>
        <v>27</v>
      </c>
      <c r="K3490" s="3">
        <f>I3490-J3490</f>
        <v>4</v>
      </c>
      <c r="L3490" s="3" t="str">
        <f>IF(K3490&lt;-5,"CRÍTICO",IF(K3490&lt;0,"ATENÇÃO",IF(K3490&lt;=5,"OPORTUNO","MUITO BOM")))</f>
        <v>OPORTUNO</v>
      </c>
      <c r="M3490">
        <v>33</v>
      </c>
      <c r="N3490">
        <v>98.86</v>
      </c>
      <c r="O3490">
        <v>28.959276018099551</v>
      </c>
    </row>
    <row r="3491" spans="1:15" hidden="1" x14ac:dyDescent="0.25">
      <c r="A3491" s="11">
        <v>46111</v>
      </c>
      <c r="B3491" t="s">
        <v>44</v>
      </c>
      <c r="C3491" t="s">
        <v>32</v>
      </c>
      <c r="D3491">
        <v>32</v>
      </c>
      <c r="E3491">
        <v>29</v>
      </c>
      <c r="F3491">
        <v>13.31</v>
      </c>
      <c r="G3491">
        <v>0</v>
      </c>
      <c r="H3491">
        <v>0</v>
      </c>
      <c r="I3491" s="3">
        <f>E3491+G3491+H3491</f>
        <v>29</v>
      </c>
      <c r="J3491" s="3">
        <f>ROUND(MIN(IF(C3491="Técnico III",35,IF(C3491="Técnico II",28,IF(C3491="Técnico I",23,IF(C3491="JR",20,IF(C3491="Estágio",10,0))))),IF(C3491="Técnico III",SUMIFS($D:$D,$A:$A,$A3491,$B:$B,"&lt;&gt;Patrícia Karla de Sousa Araújo",$B:$B,"&lt;&gt;Lorena Dias de Araujo",$B:$B,"&lt;&gt;Lucas Luiz Romero")*(35/1083),IF(C3491="Técnico II",SUMIFS($D:$D,$A:$A,$A3491,$B:$B,"&lt;&gt;Patrícia Karla de Sousa Araújo",$B:$B,"&lt;&gt;Lorena Dias de Araujo",$B:$B,"&lt;&gt;Lucas Luiz Romero")*(28/1083),IF(C3491="Técnico I",SUMIFS($D:$D,$A:$A,$A3491,$B:$B,"&lt;&gt;Patrícia Karla de Sousa Araújo",$B:$B,"&lt;&gt;Lorena Dias de Araujo",$B:$B,"&lt;&gt;Lucas Luiz Romero")*(23/1083),IF(C3491="JR",SUMIFS($D:$D,$A:$A,$A3491,$B:$B,"&lt;&gt;Patrícia Karla de Sousa Araújo",$B:$B,"&lt;&gt;Lorena Dias de Araujo",$B:$B,"&lt;&gt;Lucas Luiz Romero")*(20/1083),IF(C3491="Estágio",SUMIFS($D:$D,$A:$A,$A3491,$B:$B,"&lt;&gt;Patrícia Karla de Sousa Araújo",$B:$B,"&lt;&gt;Lorena Dias de Araujo",$B:$B,"&lt;&gt;Lucas Luiz Romero")*(10/1083),0)))))),0)</f>
        <v>27</v>
      </c>
      <c r="K3491" s="3">
        <f>I3491-J3491</f>
        <v>2</v>
      </c>
      <c r="L3491" s="3" t="str">
        <f>IF(K3491&lt;-5,"CRÍTICO",IF(K3491&lt;0,"ATENÇÃO",IF(K3491&lt;=5,"OPORTUNO","MUITO BOM")))</f>
        <v>OPORTUNO</v>
      </c>
      <c r="M3491">
        <v>23</v>
      </c>
      <c r="N3491">
        <v>98.06</v>
      </c>
      <c r="O3491">
        <v>22.40566037735849</v>
      </c>
    </row>
    <row r="3492" spans="1:15" hidden="1" x14ac:dyDescent="0.25">
      <c r="A3492" s="11">
        <v>46111</v>
      </c>
      <c r="B3492" t="s">
        <v>20</v>
      </c>
      <c r="C3492" t="s">
        <v>16</v>
      </c>
      <c r="D3492">
        <v>17</v>
      </c>
      <c r="E3492">
        <v>17</v>
      </c>
      <c r="F3492">
        <v>30.36</v>
      </c>
      <c r="G3492">
        <v>0</v>
      </c>
      <c r="H3492">
        <v>0</v>
      </c>
      <c r="I3492" s="3">
        <f>E3492+G3492+H3492</f>
        <v>17</v>
      </c>
      <c r="J3492" s="3">
        <f>ROUND(MIN(IF(C3492="Técnico III",35,IF(C3492="Técnico II",28,IF(C3492="Técnico I",23,IF(C3492="JR",20,IF(C3492="Estágio",10,0))))),IF(C3492="Técnico III",SUMIFS($D:$D,$A:$A,$A3492,$B:$B,"&lt;&gt;Patrícia Karla de Sousa Araújo",$B:$B,"&lt;&gt;Lorena Dias de Araujo",$B:$B,"&lt;&gt;Lucas Luiz Romero")*(35/1083),IF(C3492="Técnico II",SUMIFS($D:$D,$A:$A,$A3492,$B:$B,"&lt;&gt;Patrícia Karla de Sousa Araújo",$B:$B,"&lt;&gt;Lorena Dias de Araujo",$B:$B,"&lt;&gt;Lucas Luiz Romero")*(28/1083),IF(C3492="Técnico I",SUMIFS($D:$D,$A:$A,$A3492,$B:$B,"&lt;&gt;Patrícia Karla de Sousa Araújo",$B:$B,"&lt;&gt;Lorena Dias de Araujo",$B:$B,"&lt;&gt;Lucas Luiz Romero")*(23/1083),IF(C3492="JR",SUMIFS($D:$D,$A:$A,$A3492,$B:$B,"&lt;&gt;Patrícia Karla de Sousa Araújo",$B:$B,"&lt;&gt;Lorena Dias de Araujo",$B:$B,"&lt;&gt;Lucas Luiz Romero")*(20/1083),IF(C3492="Estágio",SUMIFS($D:$D,$A:$A,$A3492,$B:$B,"&lt;&gt;Patrícia Karla de Sousa Araújo",$B:$B,"&lt;&gt;Lorena Dias de Araujo",$B:$B,"&lt;&gt;Lucas Luiz Romero")*(10/1083),0)))))),0)</f>
        <v>8</v>
      </c>
      <c r="K3492" s="3">
        <f>I3492-J3492</f>
        <v>9</v>
      </c>
      <c r="L3492" s="3" t="str">
        <f>IF(K3492&lt;-5,"CRÍTICO",IF(K3492&lt;0,"ATENÇÃO",IF(K3492&lt;=5,"OPORTUNO","MUITO BOM")))</f>
        <v>MUITO BOM</v>
      </c>
      <c r="M3492">
        <v>8</v>
      </c>
      <c r="N3492">
        <v>95.83</v>
      </c>
      <c r="O3492">
        <v>25.773195876288661</v>
      </c>
    </row>
    <row r="3493" spans="1:15" hidden="1" x14ac:dyDescent="0.25">
      <c r="A3493" s="11">
        <v>46111</v>
      </c>
      <c r="B3493" t="s">
        <v>28</v>
      </c>
      <c r="C3493" t="s">
        <v>26</v>
      </c>
      <c r="D3493">
        <v>24</v>
      </c>
      <c r="E3493">
        <v>23</v>
      </c>
      <c r="F3493">
        <v>27.17</v>
      </c>
      <c r="G3493">
        <v>0</v>
      </c>
      <c r="H3493">
        <v>0</v>
      </c>
      <c r="I3493" s="3">
        <f>E3493+G3493+H3493</f>
        <v>23</v>
      </c>
      <c r="J3493" s="3">
        <f>ROUND(MIN(IF(C3493="Técnico III",35,IF(C3493="Técnico II",28,IF(C3493="Técnico I",23,IF(C3493="JR",20,IF(C3493="Estágio",10,0))))),IF(C3493="Técnico III",SUMIFS($D:$D,$A:$A,$A3493,$B:$B,"&lt;&gt;Patrícia Karla de Sousa Araújo",$B:$B,"&lt;&gt;Lorena Dias de Araujo",$B:$B,"&lt;&gt;Lucas Luiz Romero")*(35/1083),IF(C3493="Técnico II",SUMIFS($D:$D,$A:$A,$A3493,$B:$B,"&lt;&gt;Patrícia Karla de Sousa Araújo",$B:$B,"&lt;&gt;Lorena Dias de Araujo",$B:$B,"&lt;&gt;Lucas Luiz Romero")*(28/1083),IF(C3493="Técnico I",SUMIFS($D:$D,$A:$A,$A3493,$B:$B,"&lt;&gt;Patrícia Karla de Sousa Araújo",$B:$B,"&lt;&gt;Lorena Dias de Araujo",$B:$B,"&lt;&gt;Lucas Luiz Romero")*(23/1083),IF(C3493="JR",SUMIFS($D:$D,$A:$A,$A3493,$B:$B,"&lt;&gt;Patrícia Karla de Sousa Araújo",$B:$B,"&lt;&gt;Lorena Dias de Araujo",$B:$B,"&lt;&gt;Lucas Luiz Romero")*(20/1083),IF(C3493="Estágio",SUMIFS($D:$D,$A:$A,$A3493,$B:$B,"&lt;&gt;Patrícia Karla de Sousa Araújo",$B:$B,"&lt;&gt;Lorena Dias de Araujo",$B:$B,"&lt;&gt;Lucas Luiz Romero")*(10/1083),0)))))),0)</f>
        <v>15</v>
      </c>
      <c r="K3493" s="3">
        <f>I3493-J3493</f>
        <v>8</v>
      </c>
      <c r="L3493" s="3" t="str">
        <f>IF(K3493&lt;-5,"CRÍTICO",IF(K3493&lt;0,"ATENÇÃO",IF(K3493&lt;=5,"OPORTUNO","MUITO BOM")))</f>
        <v>MUITO BOM</v>
      </c>
      <c r="M3493">
        <v>11</v>
      </c>
      <c r="N3493">
        <v>100</v>
      </c>
      <c r="O3493">
        <v>15.38461538461539</v>
      </c>
    </row>
    <row r="3494" spans="1:15" hidden="1" x14ac:dyDescent="0.25">
      <c r="A3494" s="11">
        <v>46111</v>
      </c>
      <c r="B3494" t="s">
        <v>58</v>
      </c>
      <c r="C3494" t="s">
        <v>48</v>
      </c>
      <c r="D3494">
        <v>38</v>
      </c>
      <c r="E3494">
        <v>33</v>
      </c>
      <c r="F3494">
        <v>12.27</v>
      </c>
      <c r="G3494">
        <v>0</v>
      </c>
      <c r="H3494">
        <v>0</v>
      </c>
      <c r="I3494" s="3">
        <f>E3494+G3494+H3494</f>
        <v>33</v>
      </c>
      <c r="J3494" s="3">
        <f>ROUND(MIN(IF(C3494="Técnico III",35,IF(C3494="Técnico II",28,IF(C3494="Técnico I",23,IF(C3494="JR",20,IF(C3494="Estágio",10,0))))),IF(C3494="Técnico III",SUMIFS($D:$D,$A:$A,$A3494,$B:$B,"&lt;&gt;Patrícia Karla de Sousa Araújo",$B:$B,"&lt;&gt;Lorena Dias de Araujo",$B:$B,"&lt;&gt;Lucas Luiz Romero")*(35/1083),IF(C3494="Técnico II",SUMIFS($D:$D,$A:$A,$A3494,$B:$B,"&lt;&gt;Patrícia Karla de Sousa Araújo",$B:$B,"&lt;&gt;Lorena Dias de Araujo",$B:$B,"&lt;&gt;Lucas Luiz Romero")*(28/1083),IF(C3494="Técnico I",SUMIFS($D:$D,$A:$A,$A3494,$B:$B,"&lt;&gt;Patrícia Karla de Sousa Araújo",$B:$B,"&lt;&gt;Lorena Dias de Araujo",$B:$B,"&lt;&gt;Lucas Luiz Romero")*(23/1083),IF(C3494="JR",SUMIFS($D:$D,$A:$A,$A3494,$B:$B,"&lt;&gt;Patrícia Karla de Sousa Araújo",$B:$B,"&lt;&gt;Lorena Dias de Araujo",$B:$B,"&lt;&gt;Lucas Luiz Romero")*(20/1083),IF(C3494="Estágio",SUMIFS($D:$D,$A:$A,$A3494,$B:$B,"&lt;&gt;Patrícia Karla de Sousa Araújo",$B:$B,"&lt;&gt;Lorena Dias de Araujo",$B:$B,"&lt;&gt;Lucas Luiz Romero")*(10/1083),0)))))),0)</f>
        <v>22</v>
      </c>
      <c r="K3494" s="3">
        <f>I3494-J3494</f>
        <v>11</v>
      </c>
      <c r="L3494" s="3" t="str">
        <f>IF(K3494&lt;-5,"CRÍTICO",IF(K3494&lt;0,"ATENÇÃO",IF(K3494&lt;=5,"OPORTUNO","MUITO BOM")))</f>
        <v>MUITO BOM</v>
      </c>
      <c r="M3494">
        <v>32</v>
      </c>
      <c r="N3494">
        <v>100</v>
      </c>
      <c r="O3494">
        <v>27.514792899408281</v>
      </c>
    </row>
    <row r="3495" spans="1:15" hidden="1" x14ac:dyDescent="0.25">
      <c r="A3495" s="11">
        <v>46111</v>
      </c>
      <c r="B3495" t="s">
        <v>29</v>
      </c>
      <c r="C3495" t="s">
        <v>26</v>
      </c>
      <c r="D3495">
        <v>14</v>
      </c>
      <c r="E3495">
        <v>14</v>
      </c>
      <c r="F3495">
        <v>30.56</v>
      </c>
      <c r="G3495">
        <v>0</v>
      </c>
      <c r="H3495">
        <v>0</v>
      </c>
      <c r="I3495" s="3">
        <f>E3495+G3495+H3495</f>
        <v>14</v>
      </c>
      <c r="J3495" s="3">
        <f>ROUND(MIN(IF(C3495="Técnico III",35,IF(C3495="Técnico II",28,IF(C3495="Técnico I",23,IF(C3495="JR",20,IF(C3495="Estágio",10,0))))),IF(C3495="Técnico III",SUMIFS($D:$D,$A:$A,$A3495,$B:$B,"&lt;&gt;Patrícia Karla de Sousa Araújo",$B:$B,"&lt;&gt;Lorena Dias de Araujo",$B:$B,"&lt;&gt;Lucas Luiz Romero")*(35/1083),IF(C3495="Técnico II",SUMIFS($D:$D,$A:$A,$A3495,$B:$B,"&lt;&gt;Patrícia Karla de Sousa Araújo",$B:$B,"&lt;&gt;Lorena Dias de Araujo",$B:$B,"&lt;&gt;Lucas Luiz Romero")*(28/1083),IF(C3495="Técnico I",SUMIFS($D:$D,$A:$A,$A3495,$B:$B,"&lt;&gt;Patrícia Karla de Sousa Araújo",$B:$B,"&lt;&gt;Lorena Dias de Araujo",$B:$B,"&lt;&gt;Lucas Luiz Romero")*(23/1083),IF(C3495="JR",SUMIFS($D:$D,$A:$A,$A3495,$B:$B,"&lt;&gt;Patrícia Karla de Sousa Araújo",$B:$B,"&lt;&gt;Lorena Dias de Araujo",$B:$B,"&lt;&gt;Lucas Luiz Romero")*(20/1083),IF(C3495="Estágio",SUMIFS($D:$D,$A:$A,$A3495,$B:$B,"&lt;&gt;Patrícia Karla de Sousa Araújo",$B:$B,"&lt;&gt;Lorena Dias de Araujo",$B:$B,"&lt;&gt;Lucas Luiz Romero")*(10/1083),0)))))),0)</f>
        <v>15</v>
      </c>
      <c r="K3495" s="3">
        <f>I3495-J3495</f>
        <v>-1</v>
      </c>
      <c r="L3495" s="3" t="str">
        <f>IF(K3495&lt;-5,"CRÍTICO",IF(K3495&lt;0,"ATENÇÃO",IF(K3495&lt;=5,"OPORTUNO","MUITO BOM")))</f>
        <v>ATENÇÃO</v>
      </c>
      <c r="M3495">
        <v>12</v>
      </c>
      <c r="N3495">
        <v>100</v>
      </c>
      <c r="O3495">
        <v>24.875621890547269</v>
      </c>
    </row>
    <row r="3496" spans="1:15" hidden="1" x14ac:dyDescent="0.25">
      <c r="A3496" s="11">
        <v>46111</v>
      </c>
      <c r="B3496" t="s">
        <v>30</v>
      </c>
      <c r="C3496" t="s">
        <v>26</v>
      </c>
      <c r="D3496">
        <v>25</v>
      </c>
      <c r="E3496">
        <v>22</v>
      </c>
      <c r="F3496">
        <v>23.45</v>
      </c>
      <c r="G3496">
        <v>0</v>
      </c>
      <c r="H3496">
        <v>0</v>
      </c>
      <c r="I3496" s="3">
        <f>E3496+G3496+H3496</f>
        <v>22</v>
      </c>
      <c r="J3496" s="3">
        <f>ROUND(MIN(IF(C3496="Técnico III",35,IF(C3496="Técnico II",28,IF(C3496="Técnico I",23,IF(C3496="JR",20,IF(C3496="Estágio",10,0))))),IF(C3496="Técnico III",SUMIFS($D:$D,$A:$A,$A3496,$B:$B,"&lt;&gt;Patrícia Karla de Sousa Araújo",$B:$B,"&lt;&gt;Lorena Dias de Araujo",$B:$B,"&lt;&gt;Lucas Luiz Romero")*(35/1083),IF(C3496="Técnico II",SUMIFS($D:$D,$A:$A,$A3496,$B:$B,"&lt;&gt;Patrícia Karla de Sousa Araújo",$B:$B,"&lt;&gt;Lorena Dias de Araujo",$B:$B,"&lt;&gt;Lucas Luiz Romero")*(28/1083),IF(C3496="Técnico I",SUMIFS($D:$D,$A:$A,$A3496,$B:$B,"&lt;&gt;Patrícia Karla de Sousa Araújo",$B:$B,"&lt;&gt;Lorena Dias de Araujo",$B:$B,"&lt;&gt;Lucas Luiz Romero")*(23/1083),IF(C3496="JR",SUMIFS($D:$D,$A:$A,$A3496,$B:$B,"&lt;&gt;Patrícia Karla de Sousa Araújo",$B:$B,"&lt;&gt;Lorena Dias de Araujo",$B:$B,"&lt;&gt;Lucas Luiz Romero")*(20/1083),IF(C3496="Estágio",SUMIFS($D:$D,$A:$A,$A3496,$B:$B,"&lt;&gt;Patrícia Karla de Sousa Araújo",$B:$B,"&lt;&gt;Lorena Dias de Araujo",$B:$B,"&lt;&gt;Lucas Luiz Romero")*(10/1083),0)))))),0)</f>
        <v>15</v>
      </c>
      <c r="K3496" s="3">
        <f>I3496-J3496</f>
        <v>7</v>
      </c>
      <c r="L3496" s="3" t="str">
        <f>IF(K3496&lt;-5,"CRÍTICO",IF(K3496&lt;0,"ATENÇÃO",IF(K3496&lt;=5,"OPORTUNO","MUITO BOM")))</f>
        <v>MUITO BOM</v>
      </c>
      <c r="M3496">
        <v>17</v>
      </c>
      <c r="N3496">
        <v>100</v>
      </c>
      <c r="O3496">
        <v>28.108108108108109</v>
      </c>
    </row>
    <row r="3497" spans="1:15" hidden="1" x14ac:dyDescent="0.25">
      <c r="A3497" s="11">
        <v>46111</v>
      </c>
      <c r="B3497" t="s">
        <v>21</v>
      </c>
      <c r="C3497" t="s">
        <v>16</v>
      </c>
      <c r="D3497">
        <v>4</v>
      </c>
      <c r="E3497">
        <v>4</v>
      </c>
      <c r="F3497">
        <v>24.03</v>
      </c>
      <c r="G3497">
        <v>0</v>
      </c>
      <c r="H3497">
        <v>0</v>
      </c>
      <c r="I3497" s="3">
        <f>E3497+G3497+H3497</f>
        <v>4</v>
      </c>
      <c r="J3497" s="3">
        <f>ROUND(MIN(IF(C3497="Técnico III",35,IF(C3497="Técnico II",28,IF(C3497="Técnico I",23,IF(C3497="JR",20,IF(C3497="Estágio",10,0))))),IF(C3497="Técnico III",SUMIFS($D:$D,$A:$A,$A3497,$B:$B,"&lt;&gt;Patrícia Karla de Sousa Araújo",$B:$B,"&lt;&gt;Lorena Dias de Araujo",$B:$B,"&lt;&gt;Lucas Luiz Romero")*(35/1083),IF(C3497="Técnico II",SUMIFS($D:$D,$A:$A,$A3497,$B:$B,"&lt;&gt;Patrícia Karla de Sousa Araújo",$B:$B,"&lt;&gt;Lorena Dias de Araujo",$B:$B,"&lt;&gt;Lucas Luiz Romero")*(28/1083),IF(C3497="Técnico I",SUMIFS($D:$D,$A:$A,$A3497,$B:$B,"&lt;&gt;Patrícia Karla de Sousa Araújo",$B:$B,"&lt;&gt;Lorena Dias de Araujo",$B:$B,"&lt;&gt;Lucas Luiz Romero")*(23/1083),IF(C3497="JR",SUMIFS($D:$D,$A:$A,$A3497,$B:$B,"&lt;&gt;Patrícia Karla de Sousa Araújo",$B:$B,"&lt;&gt;Lorena Dias de Araujo",$B:$B,"&lt;&gt;Lucas Luiz Romero")*(20/1083),IF(C3497="Estágio",SUMIFS($D:$D,$A:$A,$A3497,$B:$B,"&lt;&gt;Patrícia Karla de Sousa Araújo",$B:$B,"&lt;&gt;Lorena Dias de Araujo",$B:$B,"&lt;&gt;Lucas Luiz Romero")*(10/1083),0)))))),0)</f>
        <v>8</v>
      </c>
      <c r="K3497" s="3">
        <f>I3497-J3497</f>
        <v>-4</v>
      </c>
      <c r="L3497" s="3" t="str">
        <f>IF(K3497&lt;-5,"CRÍTICO",IF(K3497&lt;0,"ATENÇÃO",IF(K3497&lt;=5,"OPORTUNO","MUITO BOM")))</f>
        <v>ATENÇÃO</v>
      </c>
      <c r="M3497">
        <v>4</v>
      </c>
      <c r="N3497">
        <v>100</v>
      </c>
      <c r="O3497">
        <v>35</v>
      </c>
    </row>
    <row r="3498" spans="1:15" hidden="1" x14ac:dyDescent="0.25">
      <c r="A3498" s="11">
        <v>46111</v>
      </c>
      <c r="B3498" t="s">
        <v>63</v>
      </c>
      <c r="C3498" t="s">
        <v>23</v>
      </c>
      <c r="D3498">
        <v>24</v>
      </c>
      <c r="E3498">
        <v>23</v>
      </c>
      <c r="F3498">
        <v>26.57</v>
      </c>
      <c r="G3498">
        <v>0</v>
      </c>
      <c r="H3498">
        <v>0</v>
      </c>
      <c r="I3498" s="3">
        <f>E3498+G3498+H3498</f>
        <v>23</v>
      </c>
      <c r="J3498" s="3">
        <f>ROUND(MIN(IF(C3498="Técnico III",35,IF(C3498="Técnico II",28,IF(C3498="Técnico I",23,IF(C3498="JR",20,IF(C3498="Estágio",10,0))))),IF(C3498="Técnico III",SUMIFS($D:$D,$A:$A,$A3498,$B:$B,"&lt;&gt;Patrícia Karla de Sousa Araújo",$B:$B,"&lt;&gt;Lorena Dias de Araujo",$B:$B,"&lt;&gt;Lucas Luiz Romero")*(35/1083),IF(C3498="Técnico II",SUMIFS($D:$D,$A:$A,$A3498,$B:$B,"&lt;&gt;Patrícia Karla de Sousa Araújo",$B:$B,"&lt;&gt;Lorena Dias de Araujo",$B:$B,"&lt;&gt;Lucas Luiz Romero")*(28/1083),IF(C3498="Técnico I",SUMIFS($D:$D,$A:$A,$A3498,$B:$B,"&lt;&gt;Patrícia Karla de Sousa Araújo",$B:$B,"&lt;&gt;Lorena Dias de Araujo",$B:$B,"&lt;&gt;Lucas Luiz Romero")*(23/1083),IF(C3498="JR",SUMIFS($D:$D,$A:$A,$A3498,$B:$B,"&lt;&gt;Patrícia Karla de Sousa Araújo",$B:$B,"&lt;&gt;Lorena Dias de Araujo",$B:$B,"&lt;&gt;Lucas Luiz Romero")*(20/1083),IF(C3498="Estágio",SUMIFS($D:$D,$A:$A,$A3498,$B:$B,"&lt;&gt;Patrícia Karla de Sousa Araújo",$B:$B,"&lt;&gt;Lorena Dias de Araujo",$B:$B,"&lt;&gt;Lucas Luiz Romero")*(10/1083),0)))))),0)</f>
        <v>18</v>
      </c>
      <c r="K3498" s="3">
        <f>I3498-J3498</f>
        <v>5</v>
      </c>
      <c r="L3498" s="3" t="str">
        <f>IF(K3498&lt;-5,"CRÍTICO",IF(K3498&lt;0,"ATENÇÃO",IF(K3498&lt;=5,"OPORTUNO","MUITO BOM")))</f>
        <v>OPORTUNO</v>
      </c>
      <c r="M3498">
        <v>14</v>
      </c>
      <c r="N3498">
        <v>95.35</v>
      </c>
      <c r="O3498">
        <v>28.61538461538461</v>
      </c>
    </row>
    <row r="3499" spans="1:15" hidden="1" x14ac:dyDescent="0.25">
      <c r="A3499" s="11">
        <v>46111</v>
      </c>
      <c r="B3499" t="s">
        <v>45</v>
      </c>
      <c r="C3499" t="s">
        <v>32</v>
      </c>
      <c r="D3499">
        <v>41</v>
      </c>
      <c r="E3499">
        <v>38</v>
      </c>
      <c r="F3499">
        <v>12.28</v>
      </c>
      <c r="G3499">
        <v>0</v>
      </c>
      <c r="H3499">
        <v>0</v>
      </c>
      <c r="I3499" s="3">
        <f>E3499+G3499+H3499</f>
        <v>38</v>
      </c>
      <c r="J3499" s="3">
        <f>ROUND(MIN(IF(C3499="Técnico III",35,IF(C3499="Técnico II",28,IF(C3499="Técnico I",23,IF(C3499="JR",20,IF(C3499="Estágio",10,0))))),IF(C3499="Técnico III",SUMIFS($D:$D,$A:$A,$A3499,$B:$B,"&lt;&gt;Patrícia Karla de Sousa Araújo",$B:$B,"&lt;&gt;Lorena Dias de Araujo",$B:$B,"&lt;&gt;Lucas Luiz Romero")*(35/1083),IF(C3499="Técnico II",SUMIFS($D:$D,$A:$A,$A3499,$B:$B,"&lt;&gt;Patrícia Karla de Sousa Araújo",$B:$B,"&lt;&gt;Lorena Dias de Araujo",$B:$B,"&lt;&gt;Lucas Luiz Romero")*(28/1083),IF(C3499="Técnico I",SUMIFS($D:$D,$A:$A,$A3499,$B:$B,"&lt;&gt;Patrícia Karla de Sousa Araújo",$B:$B,"&lt;&gt;Lorena Dias de Araujo",$B:$B,"&lt;&gt;Lucas Luiz Romero")*(23/1083),IF(C3499="JR",SUMIFS($D:$D,$A:$A,$A3499,$B:$B,"&lt;&gt;Patrícia Karla de Sousa Araújo",$B:$B,"&lt;&gt;Lorena Dias de Araujo",$B:$B,"&lt;&gt;Lucas Luiz Romero")*(20/1083),IF(C3499="Estágio",SUMIFS($D:$D,$A:$A,$A3499,$B:$B,"&lt;&gt;Patrícia Karla de Sousa Araújo",$B:$B,"&lt;&gt;Lorena Dias de Araujo",$B:$B,"&lt;&gt;Lucas Luiz Romero")*(10/1083),0)))))),0)</f>
        <v>27</v>
      </c>
      <c r="K3499" s="3">
        <f>I3499-J3499</f>
        <v>11</v>
      </c>
      <c r="L3499" s="3" t="str">
        <f>IF(K3499&lt;-5,"CRÍTICO",IF(K3499&lt;0,"ATENÇÃO",IF(K3499&lt;=5,"OPORTUNO","MUITO BOM")))</f>
        <v>MUITO BOM</v>
      </c>
      <c r="M3499">
        <v>32</v>
      </c>
      <c r="N3499">
        <v>98.26</v>
      </c>
      <c r="O3499">
        <v>27.54491017964072</v>
      </c>
    </row>
    <row r="3500" spans="1:15" hidden="1" x14ac:dyDescent="0.25">
      <c r="A3500" s="11">
        <v>46111</v>
      </c>
      <c r="B3500" t="s">
        <v>64</v>
      </c>
      <c r="C3500" t="s">
        <v>23</v>
      </c>
      <c r="D3500">
        <v>23</v>
      </c>
      <c r="E3500">
        <v>21</v>
      </c>
      <c r="F3500">
        <v>22.23</v>
      </c>
      <c r="G3500">
        <v>0</v>
      </c>
      <c r="H3500">
        <v>0</v>
      </c>
      <c r="I3500" s="3">
        <f>E3500+G3500+H3500</f>
        <v>21</v>
      </c>
      <c r="J3500" s="3">
        <f>ROUND(MIN(IF(C3500="Técnico III",35,IF(C3500="Técnico II",28,IF(C3500="Técnico I",23,IF(C3500="JR",20,IF(C3500="Estágio",10,0))))),IF(C3500="Técnico III",SUMIFS($D:$D,$A:$A,$A3500,$B:$B,"&lt;&gt;Patrícia Karla de Sousa Araújo",$B:$B,"&lt;&gt;Lorena Dias de Araujo",$B:$B,"&lt;&gt;Lucas Luiz Romero")*(35/1083),IF(C3500="Técnico II",SUMIFS($D:$D,$A:$A,$A3500,$B:$B,"&lt;&gt;Patrícia Karla de Sousa Araújo",$B:$B,"&lt;&gt;Lorena Dias de Araujo",$B:$B,"&lt;&gt;Lucas Luiz Romero")*(28/1083),IF(C3500="Técnico I",SUMIFS($D:$D,$A:$A,$A3500,$B:$B,"&lt;&gt;Patrícia Karla de Sousa Araújo",$B:$B,"&lt;&gt;Lorena Dias de Araujo",$B:$B,"&lt;&gt;Lucas Luiz Romero")*(23/1083),IF(C3500="JR",SUMIFS($D:$D,$A:$A,$A3500,$B:$B,"&lt;&gt;Patrícia Karla de Sousa Araújo",$B:$B,"&lt;&gt;Lorena Dias de Araujo",$B:$B,"&lt;&gt;Lucas Luiz Romero")*(20/1083),IF(C3500="Estágio",SUMIFS($D:$D,$A:$A,$A3500,$B:$B,"&lt;&gt;Patrícia Karla de Sousa Araújo",$B:$B,"&lt;&gt;Lorena Dias de Araujo",$B:$B,"&lt;&gt;Lucas Luiz Romero")*(10/1083),0)))))),0)</f>
        <v>18</v>
      </c>
      <c r="K3500" s="3">
        <f>I3500-J3500</f>
        <v>3</v>
      </c>
      <c r="L3500" s="3" t="str">
        <f>IF(K3500&lt;-5,"CRÍTICO",IF(K3500&lt;0,"ATENÇÃO",IF(K3500&lt;=5,"OPORTUNO","MUITO BOM")))</f>
        <v>OPORTUNO</v>
      </c>
      <c r="M3500">
        <v>19</v>
      </c>
      <c r="N3500">
        <v>98.55</v>
      </c>
      <c r="O3500">
        <v>25.337837837837839</v>
      </c>
    </row>
    <row r="3501" spans="1:15" hidden="1" x14ac:dyDescent="0.25">
      <c r="A3501" s="11">
        <v>46111</v>
      </c>
      <c r="B3501" t="s">
        <v>46</v>
      </c>
      <c r="C3501" t="s">
        <v>32</v>
      </c>
      <c r="D3501">
        <v>36</v>
      </c>
      <c r="E3501">
        <v>36</v>
      </c>
      <c r="F3501">
        <v>13.37</v>
      </c>
      <c r="G3501">
        <v>0</v>
      </c>
      <c r="H3501">
        <v>0</v>
      </c>
      <c r="I3501" s="3">
        <f>E3501+G3501+H3501</f>
        <v>36</v>
      </c>
      <c r="J3501" s="3">
        <f>ROUND(MIN(IF(C3501="Técnico III",35,IF(C3501="Técnico II",28,IF(C3501="Técnico I",23,IF(C3501="JR",20,IF(C3501="Estágio",10,0))))),IF(C3501="Técnico III",SUMIFS($D:$D,$A:$A,$A3501,$B:$B,"&lt;&gt;Patrícia Karla de Sousa Araújo",$B:$B,"&lt;&gt;Lorena Dias de Araujo",$B:$B,"&lt;&gt;Lucas Luiz Romero")*(35/1083),IF(C3501="Técnico II",SUMIFS($D:$D,$A:$A,$A3501,$B:$B,"&lt;&gt;Patrícia Karla de Sousa Araújo",$B:$B,"&lt;&gt;Lorena Dias de Araujo",$B:$B,"&lt;&gt;Lucas Luiz Romero")*(28/1083),IF(C3501="Técnico I",SUMIFS($D:$D,$A:$A,$A3501,$B:$B,"&lt;&gt;Patrícia Karla de Sousa Araújo",$B:$B,"&lt;&gt;Lorena Dias de Araujo",$B:$B,"&lt;&gt;Lucas Luiz Romero")*(23/1083),IF(C3501="JR",SUMIFS($D:$D,$A:$A,$A3501,$B:$B,"&lt;&gt;Patrícia Karla de Sousa Araújo",$B:$B,"&lt;&gt;Lorena Dias de Araujo",$B:$B,"&lt;&gt;Lucas Luiz Romero")*(20/1083),IF(C3501="Estágio",SUMIFS($D:$D,$A:$A,$A3501,$B:$B,"&lt;&gt;Patrícia Karla de Sousa Araújo",$B:$B,"&lt;&gt;Lorena Dias de Araujo",$B:$B,"&lt;&gt;Lucas Luiz Romero")*(10/1083),0)))))),0)</f>
        <v>27</v>
      </c>
      <c r="K3501" s="3">
        <f>I3501-J3501</f>
        <v>9</v>
      </c>
      <c r="L3501" s="3" t="str">
        <f>IF(K3501&lt;-5,"CRÍTICO",IF(K3501&lt;0,"ATENÇÃO",IF(K3501&lt;=5,"OPORTUNO","MUITO BOM")))</f>
        <v>MUITO BOM</v>
      </c>
      <c r="M3501">
        <v>30</v>
      </c>
      <c r="N3501">
        <v>98.39</v>
      </c>
      <c r="O3501">
        <v>25.563909774436091</v>
      </c>
    </row>
    <row r="3502" spans="1:15" hidden="1" x14ac:dyDescent="0.25">
      <c r="A3502" s="11">
        <v>46112</v>
      </c>
      <c r="B3502" t="s">
        <v>47</v>
      </c>
      <c r="C3502" t="s">
        <v>48</v>
      </c>
      <c r="D3502">
        <v>28</v>
      </c>
      <c r="E3502">
        <v>20</v>
      </c>
      <c r="F3502">
        <v>13.26</v>
      </c>
      <c r="G3502">
        <v>0</v>
      </c>
      <c r="H3502">
        <v>0</v>
      </c>
      <c r="I3502" s="3">
        <f>E3502+G3502+H3502</f>
        <v>20</v>
      </c>
      <c r="J3502" s="3">
        <f>ROUND(MIN(IF(C3502="Técnico III",35,IF(C3502="Técnico II",28,IF(C3502="Técnico I",23,IF(C3502="JR",20,IF(C3502="Estágio",10,0))))),IF(C3502="Técnico III",SUMIFS($D:$D,$A:$A,$A3502,$B:$B,"&lt;&gt;Patrícia Karla de Sousa Araújo",$B:$B,"&lt;&gt;Lorena Dias de Araujo",$B:$B,"&lt;&gt;Lucas Luiz Romero")*(35/1083),IF(C3502="Técnico II",SUMIFS($D:$D,$A:$A,$A3502,$B:$B,"&lt;&gt;Patrícia Karla de Sousa Araújo",$B:$B,"&lt;&gt;Lorena Dias de Araujo",$B:$B,"&lt;&gt;Lucas Luiz Romero")*(28/1083),IF(C3502="Técnico I",SUMIFS($D:$D,$A:$A,$A3502,$B:$B,"&lt;&gt;Patrícia Karla de Sousa Araújo",$B:$B,"&lt;&gt;Lorena Dias de Araujo",$B:$B,"&lt;&gt;Lucas Luiz Romero")*(23/1083),IF(C3502="JR",SUMIFS($D:$D,$A:$A,$A3502,$B:$B,"&lt;&gt;Patrícia Karla de Sousa Araújo",$B:$B,"&lt;&gt;Lorena Dias de Araujo",$B:$B,"&lt;&gt;Lucas Luiz Romero")*(20/1083),IF(C3502="Estágio",SUMIFS($D:$D,$A:$A,$A3502,$B:$B,"&lt;&gt;Patrícia Karla de Sousa Araújo",$B:$B,"&lt;&gt;Lorena Dias de Araujo",$B:$B,"&lt;&gt;Lucas Luiz Romero")*(10/1083),0)))))),0)</f>
        <v>24</v>
      </c>
      <c r="K3502" s="3">
        <f>I3502-J3502</f>
        <v>-4</v>
      </c>
      <c r="L3502" s="3" t="str">
        <f>IF(K3502&lt;-5,"CRÍTICO",IF(K3502&lt;0,"ATENÇÃO",IF(K3502&lt;=5,"OPORTUNO","MUITO BOM")))</f>
        <v>ATENÇÃO</v>
      </c>
      <c r="M3502">
        <v>10</v>
      </c>
      <c r="N3502">
        <v>94.29</v>
      </c>
      <c r="O3502">
        <v>25.647668393782389</v>
      </c>
    </row>
    <row r="3503" spans="1:15" hidden="1" x14ac:dyDescent="0.25">
      <c r="A3503" s="11">
        <v>46112</v>
      </c>
      <c r="B3503" t="s">
        <v>31</v>
      </c>
      <c r="C3503" t="s">
        <v>32</v>
      </c>
      <c r="D3503">
        <v>0</v>
      </c>
      <c r="E3503">
        <v>0</v>
      </c>
      <c r="F3503">
        <v>0</v>
      </c>
      <c r="G3503">
        <v>0</v>
      </c>
      <c r="H3503">
        <v>0</v>
      </c>
      <c r="I3503" s="3">
        <v>0</v>
      </c>
      <c r="J3503" s="3">
        <v>0</v>
      </c>
      <c r="K3503" s="3">
        <v>0</v>
      </c>
      <c r="L3503" s="3" t="str">
        <f>IF(K3503&lt;-5,"CRÍTICO",IF(K3503&lt;0,"ATENÇÃO",IF(K3503&lt;=5,"OPORTUNO","MUITO BOM")))</f>
        <v>OPORTUNO</v>
      </c>
      <c r="M3503">
        <v>23</v>
      </c>
      <c r="N3503">
        <v>98.26</v>
      </c>
      <c r="O3503">
        <v>26.666666666666671</v>
      </c>
    </row>
    <row r="3504" spans="1:15" hidden="1" x14ac:dyDescent="0.25">
      <c r="A3504" s="11">
        <v>46112</v>
      </c>
      <c r="B3504" t="s">
        <v>59</v>
      </c>
      <c r="C3504" t="s">
        <v>23</v>
      </c>
      <c r="D3504">
        <v>26</v>
      </c>
      <c r="E3504">
        <v>22</v>
      </c>
      <c r="F3504">
        <v>15.31</v>
      </c>
      <c r="G3504">
        <v>0</v>
      </c>
      <c r="H3504">
        <v>0</v>
      </c>
      <c r="I3504" s="3">
        <f>E3504+G3504+H3504</f>
        <v>22</v>
      </c>
      <c r="J3504" s="3">
        <f>ROUND(MIN(IF(C3504="Técnico III",35,IF(C3504="Técnico II",28,IF(C3504="Técnico I",23,IF(C3504="JR",20,IF(C3504="Estágio",10,0))))),IF(C3504="Técnico III",SUMIFS($D:$D,$A:$A,$A3504,$B:$B,"&lt;&gt;Patrícia Karla de Sousa Araújo",$B:$B,"&lt;&gt;Lorena Dias de Araujo",$B:$B,"&lt;&gt;Lucas Luiz Romero")*(35/1083),IF(C3504="Técnico II",SUMIFS($D:$D,$A:$A,$A3504,$B:$B,"&lt;&gt;Patrícia Karla de Sousa Araújo",$B:$B,"&lt;&gt;Lorena Dias de Araujo",$B:$B,"&lt;&gt;Lucas Luiz Romero")*(28/1083),IF(C3504="Técnico I",SUMIFS($D:$D,$A:$A,$A3504,$B:$B,"&lt;&gt;Patrícia Karla de Sousa Araújo",$B:$B,"&lt;&gt;Lorena Dias de Araujo",$B:$B,"&lt;&gt;Lucas Luiz Romero")*(23/1083),IF(C3504="JR",SUMIFS($D:$D,$A:$A,$A3504,$B:$B,"&lt;&gt;Patrícia Karla de Sousa Araújo",$B:$B,"&lt;&gt;Lorena Dias de Araujo",$B:$B,"&lt;&gt;Lucas Luiz Romero")*(20/1083),IF(C3504="Estágio",SUMIFS($D:$D,$A:$A,$A3504,$B:$B,"&lt;&gt;Patrícia Karla de Sousa Araújo",$B:$B,"&lt;&gt;Lorena Dias de Araujo",$B:$B,"&lt;&gt;Lucas Luiz Romero")*(10/1083),0)))))),0)</f>
        <v>20</v>
      </c>
      <c r="K3504" s="3">
        <f>I3504-J3504</f>
        <v>2</v>
      </c>
      <c r="L3504" s="3" t="str">
        <f>IF(K3504&lt;-5,"CRÍTICO",IF(K3504&lt;0,"ATENÇÃO",IF(K3504&lt;=5,"OPORTUNO","MUITO BOM")))</f>
        <v>OPORTUNO</v>
      </c>
      <c r="M3504">
        <v>20</v>
      </c>
      <c r="N3504">
        <v>98.2</v>
      </c>
      <c r="O3504">
        <v>23.37962962962963</v>
      </c>
    </row>
    <row r="3505" spans="1:15" hidden="1" x14ac:dyDescent="0.25">
      <c r="A3505" s="11">
        <v>46112</v>
      </c>
      <c r="B3505" t="s">
        <v>33</v>
      </c>
      <c r="C3505" t="s">
        <v>32</v>
      </c>
      <c r="D3505">
        <v>30</v>
      </c>
      <c r="E3505">
        <v>27</v>
      </c>
      <c r="F3505">
        <v>15.15</v>
      </c>
      <c r="G3505">
        <v>0</v>
      </c>
      <c r="H3505">
        <v>0</v>
      </c>
      <c r="I3505" s="3">
        <f>E3505+G3505+H3505</f>
        <v>27</v>
      </c>
      <c r="J3505" s="3">
        <f>ROUND(MIN(IF(C3505="Técnico III",35,IF(C3505="Técnico II",28,IF(C3505="Técnico I",23,IF(C3505="JR",20,IF(C3505="Estágio",10,0))))),IF(C3505="Técnico III",SUMIFS($D:$D,$A:$A,$A3505,$B:$B,"&lt;&gt;Patrícia Karla de Sousa Araújo",$B:$B,"&lt;&gt;Lorena Dias de Araujo",$B:$B,"&lt;&gt;Lucas Luiz Romero")*(35/1083),IF(C3505="Técnico II",SUMIFS($D:$D,$A:$A,$A3505,$B:$B,"&lt;&gt;Patrícia Karla de Sousa Araújo",$B:$B,"&lt;&gt;Lorena Dias de Araujo",$B:$B,"&lt;&gt;Lucas Luiz Romero")*(28/1083),IF(C3505="Técnico I",SUMIFS($D:$D,$A:$A,$A3505,$B:$B,"&lt;&gt;Patrícia Karla de Sousa Araújo",$B:$B,"&lt;&gt;Lorena Dias de Araujo",$B:$B,"&lt;&gt;Lucas Luiz Romero")*(23/1083),IF(C3505="JR",SUMIFS($D:$D,$A:$A,$A3505,$B:$B,"&lt;&gt;Patrícia Karla de Sousa Araújo",$B:$B,"&lt;&gt;Lorena Dias de Araujo",$B:$B,"&lt;&gt;Lucas Luiz Romero")*(20/1083),IF(C3505="Estágio",SUMIFS($D:$D,$A:$A,$A3505,$B:$B,"&lt;&gt;Patrícia Karla de Sousa Araújo",$B:$B,"&lt;&gt;Lorena Dias de Araujo",$B:$B,"&lt;&gt;Lucas Luiz Romero")*(10/1083),0)))))),0)</f>
        <v>30</v>
      </c>
      <c r="K3505" s="3">
        <f>I3505-J3505</f>
        <v>-3</v>
      </c>
      <c r="L3505" s="3" t="str">
        <f>IF(K3505&lt;-5,"CRÍTICO",IF(K3505&lt;0,"ATENÇÃO",IF(K3505&lt;=5,"OPORTUNO","MUITO BOM")))</f>
        <v>ATENÇÃO</v>
      </c>
      <c r="M3505">
        <v>23</v>
      </c>
      <c r="N3505">
        <v>97.3</v>
      </c>
      <c r="O3505">
        <v>23.84769539078156</v>
      </c>
    </row>
    <row r="3506" spans="1:15" hidden="1" x14ac:dyDescent="0.25">
      <c r="A3506" s="11">
        <v>46112</v>
      </c>
      <c r="B3506" t="s">
        <v>15</v>
      </c>
      <c r="C3506" t="s">
        <v>16</v>
      </c>
      <c r="D3506">
        <v>21</v>
      </c>
      <c r="E3506">
        <v>21</v>
      </c>
      <c r="F3506">
        <v>15.48</v>
      </c>
      <c r="G3506">
        <v>0</v>
      </c>
      <c r="H3506">
        <v>0</v>
      </c>
      <c r="I3506" s="3">
        <f>E3506+G3506+H3506</f>
        <v>21</v>
      </c>
      <c r="J3506" s="3">
        <f>ROUND(MIN(IF(C3506="Técnico III",35,IF(C3506="Técnico II",28,IF(C3506="Técnico I",23,IF(C3506="JR",20,IF(C3506="Estágio",10,0))))),IF(C3506="Técnico III",SUMIFS($D:$D,$A:$A,$A3506,$B:$B,"&lt;&gt;Patrícia Karla de Sousa Araújo",$B:$B,"&lt;&gt;Lorena Dias de Araujo",$B:$B,"&lt;&gt;Lucas Luiz Romero")*(35/1083),IF(C3506="Técnico II",SUMIFS($D:$D,$A:$A,$A3506,$B:$B,"&lt;&gt;Patrícia Karla de Sousa Araújo",$B:$B,"&lt;&gt;Lorena Dias de Araujo",$B:$B,"&lt;&gt;Lucas Luiz Romero")*(28/1083),IF(C3506="Técnico I",SUMIFS($D:$D,$A:$A,$A3506,$B:$B,"&lt;&gt;Patrícia Karla de Sousa Araújo",$B:$B,"&lt;&gt;Lorena Dias de Araujo",$B:$B,"&lt;&gt;Lucas Luiz Romero")*(23/1083),IF(C3506="JR",SUMIFS($D:$D,$A:$A,$A3506,$B:$B,"&lt;&gt;Patrícia Karla de Sousa Araújo",$B:$B,"&lt;&gt;Lorena Dias de Araujo",$B:$B,"&lt;&gt;Lucas Luiz Romero")*(20/1083),IF(C3506="Estágio",SUMIFS($D:$D,$A:$A,$A3506,$B:$B,"&lt;&gt;Patrícia Karla de Sousa Araújo",$B:$B,"&lt;&gt;Lorena Dias de Araujo",$B:$B,"&lt;&gt;Lucas Luiz Romero")*(10/1083),0)))))),0)</f>
        <v>8</v>
      </c>
      <c r="K3506" s="3">
        <f>I3506-J3506</f>
        <v>13</v>
      </c>
      <c r="L3506" s="3" t="str">
        <f>IF(K3506&lt;-5,"CRÍTICO",IF(K3506&lt;0,"ATENÇÃO",IF(K3506&lt;=5,"OPORTUNO","MUITO BOM")))</f>
        <v>MUITO BOM</v>
      </c>
      <c r="M3506">
        <v>16</v>
      </c>
      <c r="N3506">
        <v>100</v>
      </c>
      <c r="O3506">
        <v>25.268817204301079</v>
      </c>
    </row>
    <row r="3507" spans="1:15" hidden="1" x14ac:dyDescent="0.25">
      <c r="A3507" s="11">
        <v>46112</v>
      </c>
      <c r="B3507" t="s">
        <v>49</v>
      </c>
      <c r="C3507" t="s">
        <v>48</v>
      </c>
      <c r="D3507">
        <v>31</v>
      </c>
      <c r="E3507">
        <v>27</v>
      </c>
      <c r="F3507">
        <v>19.02</v>
      </c>
      <c r="G3507">
        <v>0</v>
      </c>
      <c r="H3507">
        <v>0</v>
      </c>
      <c r="I3507" s="3">
        <f>E3507+G3507+H3507</f>
        <v>27</v>
      </c>
      <c r="J3507" s="3">
        <f>ROUND(MIN(IF(C3507="Técnico III",35,IF(C3507="Técnico II",28,IF(C3507="Técnico I",23,IF(C3507="JR",20,IF(C3507="Estágio",10,0))))),IF(C3507="Técnico III",SUMIFS($D:$D,$A:$A,$A3507,$B:$B,"&lt;&gt;Patrícia Karla de Sousa Araújo",$B:$B,"&lt;&gt;Lorena Dias de Araujo",$B:$B,"&lt;&gt;Lucas Luiz Romero")*(35/1083),IF(C3507="Técnico II",SUMIFS($D:$D,$A:$A,$A3507,$B:$B,"&lt;&gt;Patrícia Karla de Sousa Araújo",$B:$B,"&lt;&gt;Lorena Dias de Araujo",$B:$B,"&lt;&gt;Lucas Luiz Romero")*(28/1083),IF(C3507="Técnico I",SUMIFS($D:$D,$A:$A,$A3507,$B:$B,"&lt;&gt;Patrícia Karla de Sousa Araújo",$B:$B,"&lt;&gt;Lorena Dias de Araujo",$B:$B,"&lt;&gt;Lucas Luiz Romero")*(23/1083),IF(C3507="JR",SUMIFS($D:$D,$A:$A,$A3507,$B:$B,"&lt;&gt;Patrícia Karla de Sousa Araújo",$B:$B,"&lt;&gt;Lorena Dias de Araujo",$B:$B,"&lt;&gt;Lucas Luiz Romero")*(20/1083),IF(C3507="Estágio",SUMIFS($D:$D,$A:$A,$A3507,$B:$B,"&lt;&gt;Patrícia Karla de Sousa Araújo",$B:$B,"&lt;&gt;Lorena Dias de Araujo",$B:$B,"&lt;&gt;Lucas Luiz Romero")*(10/1083),0)))))),0)</f>
        <v>24</v>
      </c>
      <c r="K3507" s="3">
        <f>I3507-J3507</f>
        <v>3</v>
      </c>
      <c r="L3507" s="3" t="str">
        <f>IF(K3507&lt;-5,"CRÍTICO",IF(K3507&lt;0,"ATENÇÃO",IF(K3507&lt;=5,"OPORTUNO","MUITO BOM")))</f>
        <v>OPORTUNO</v>
      </c>
      <c r="M3507">
        <v>30</v>
      </c>
      <c r="N3507">
        <v>99.32</v>
      </c>
      <c r="O3507">
        <v>22.822822822822818</v>
      </c>
    </row>
    <row r="3508" spans="1:15" hidden="1" x14ac:dyDescent="0.25">
      <c r="A3508" s="11">
        <v>46112</v>
      </c>
      <c r="B3508" t="s">
        <v>50</v>
      </c>
      <c r="C3508" t="s">
        <v>48</v>
      </c>
      <c r="D3508">
        <v>28</v>
      </c>
      <c r="E3508">
        <v>27</v>
      </c>
      <c r="F3508">
        <v>21.4</v>
      </c>
      <c r="G3508">
        <v>0</v>
      </c>
      <c r="H3508">
        <v>0</v>
      </c>
      <c r="I3508" s="3">
        <f>E3508+G3508+H3508</f>
        <v>27</v>
      </c>
      <c r="J3508" s="3">
        <f>ROUND(MIN(IF(C3508="Técnico III",35,IF(C3508="Técnico II",28,IF(C3508="Técnico I",23,IF(C3508="JR",20,IF(C3508="Estágio",10,0))))),IF(C3508="Técnico III",SUMIFS($D:$D,$A:$A,$A3508,$B:$B,"&lt;&gt;Patrícia Karla de Sousa Araújo",$B:$B,"&lt;&gt;Lorena Dias de Araujo",$B:$B,"&lt;&gt;Lucas Luiz Romero")*(35/1083),IF(C3508="Técnico II",SUMIFS($D:$D,$A:$A,$A3508,$B:$B,"&lt;&gt;Patrícia Karla de Sousa Araújo",$B:$B,"&lt;&gt;Lorena Dias de Araujo",$B:$B,"&lt;&gt;Lucas Luiz Romero")*(28/1083),IF(C3508="Técnico I",SUMIFS($D:$D,$A:$A,$A3508,$B:$B,"&lt;&gt;Patrícia Karla de Sousa Araújo",$B:$B,"&lt;&gt;Lorena Dias de Araujo",$B:$B,"&lt;&gt;Lucas Luiz Romero")*(23/1083),IF(C3508="JR",SUMIFS($D:$D,$A:$A,$A3508,$B:$B,"&lt;&gt;Patrícia Karla de Sousa Araújo",$B:$B,"&lt;&gt;Lorena Dias de Araujo",$B:$B,"&lt;&gt;Lucas Luiz Romero")*(20/1083),IF(C3508="Estágio",SUMIFS($D:$D,$A:$A,$A3508,$B:$B,"&lt;&gt;Patrícia Karla de Sousa Araújo",$B:$B,"&lt;&gt;Lorena Dias de Araujo",$B:$B,"&lt;&gt;Lucas Luiz Romero")*(10/1083),0)))))),0)</f>
        <v>24</v>
      </c>
      <c r="K3508" s="3">
        <f>I3508-J3508</f>
        <v>3</v>
      </c>
      <c r="L3508" s="3" t="str">
        <f>IF(K3508&lt;-5,"CRÍTICO",IF(K3508&lt;0,"ATENÇÃO",IF(K3508&lt;=5,"OPORTUNO","MUITO BOM")))</f>
        <v>OPORTUNO</v>
      </c>
      <c r="M3508">
        <v>26</v>
      </c>
      <c r="N3508">
        <v>100</v>
      </c>
      <c r="O3508">
        <v>27.966101694915249</v>
      </c>
    </row>
    <row r="3509" spans="1:15" hidden="1" x14ac:dyDescent="0.25">
      <c r="A3509" s="11">
        <v>46112</v>
      </c>
      <c r="B3509" t="s">
        <v>17</v>
      </c>
      <c r="C3509" t="s">
        <v>16</v>
      </c>
      <c r="D3509">
        <v>10</v>
      </c>
      <c r="E3509">
        <v>10</v>
      </c>
      <c r="F3509">
        <v>25.03</v>
      </c>
      <c r="G3509">
        <v>0</v>
      </c>
      <c r="H3509">
        <v>0</v>
      </c>
      <c r="I3509" s="3">
        <f>E3509+G3509+H3509</f>
        <v>10</v>
      </c>
      <c r="J3509" s="3">
        <f>ROUND(MIN(IF(C3509="Técnico III",35,IF(C3509="Técnico II",28,IF(C3509="Técnico I",23,IF(C3509="JR",20,IF(C3509="Estágio",10,0))))),IF(C3509="Técnico III",SUMIFS($D:$D,$A:$A,$A3509,$B:$B,"&lt;&gt;Patrícia Karla de Sousa Araújo",$B:$B,"&lt;&gt;Lorena Dias de Araujo",$B:$B,"&lt;&gt;Lucas Luiz Romero")*(35/1083),IF(C3509="Técnico II",SUMIFS($D:$D,$A:$A,$A3509,$B:$B,"&lt;&gt;Patrícia Karla de Sousa Araújo",$B:$B,"&lt;&gt;Lorena Dias de Araujo",$B:$B,"&lt;&gt;Lucas Luiz Romero")*(28/1083),IF(C3509="Técnico I",SUMIFS($D:$D,$A:$A,$A3509,$B:$B,"&lt;&gt;Patrícia Karla de Sousa Araújo",$B:$B,"&lt;&gt;Lorena Dias de Araujo",$B:$B,"&lt;&gt;Lucas Luiz Romero")*(23/1083),IF(C3509="JR",SUMIFS($D:$D,$A:$A,$A3509,$B:$B,"&lt;&gt;Patrícia Karla de Sousa Araújo",$B:$B,"&lt;&gt;Lorena Dias de Araujo",$B:$B,"&lt;&gt;Lucas Luiz Romero")*(20/1083),IF(C3509="Estágio",SUMIFS($D:$D,$A:$A,$A3509,$B:$B,"&lt;&gt;Patrícia Karla de Sousa Araújo",$B:$B,"&lt;&gt;Lorena Dias de Araujo",$B:$B,"&lt;&gt;Lucas Luiz Romero")*(10/1083),0)))))),0)</f>
        <v>8</v>
      </c>
      <c r="K3509" s="3">
        <f>I3509-J3509</f>
        <v>2</v>
      </c>
      <c r="L3509" s="3" t="str">
        <f>IF(K3509&lt;-5,"CRÍTICO",IF(K3509&lt;0,"ATENÇÃO",IF(K3509&lt;=5,"OPORTUNO","MUITO BOM")))</f>
        <v>OPORTUNO</v>
      </c>
      <c r="M3509">
        <v>6</v>
      </c>
      <c r="N3509">
        <v>100</v>
      </c>
      <c r="O3509">
        <v>30.434782608695659</v>
      </c>
    </row>
    <row r="3510" spans="1:15" hidden="1" x14ac:dyDescent="0.25">
      <c r="A3510" s="11">
        <v>46112</v>
      </c>
      <c r="B3510" t="s">
        <v>60</v>
      </c>
      <c r="C3510" t="s">
        <v>23</v>
      </c>
      <c r="D3510">
        <v>12</v>
      </c>
      <c r="E3510">
        <v>12</v>
      </c>
      <c r="F3510">
        <v>18.3</v>
      </c>
      <c r="G3510">
        <v>0</v>
      </c>
      <c r="H3510">
        <v>0</v>
      </c>
      <c r="I3510" s="3">
        <f>E3510+G3510+H3510</f>
        <v>12</v>
      </c>
      <c r="J3510" s="3">
        <f>ROUND(MIN(IF(C3510="Técnico III",35,IF(C3510="Técnico II",28,IF(C3510="Técnico I",23,IF(C3510="JR",20,IF(C3510="Estágio",10,0))))),IF(C3510="Técnico III",SUMIFS($D:$D,$A:$A,$A3510,$B:$B,"&lt;&gt;Patrícia Karla de Sousa Araújo",$B:$B,"&lt;&gt;Lorena Dias de Araujo",$B:$B,"&lt;&gt;Lucas Luiz Romero")*(35/1083),IF(C3510="Técnico II",SUMIFS($D:$D,$A:$A,$A3510,$B:$B,"&lt;&gt;Patrícia Karla de Sousa Araújo",$B:$B,"&lt;&gt;Lorena Dias de Araujo",$B:$B,"&lt;&gt;Lucas Luiz Romero")*(28/1083),IF(C3510="Técnico I",SUMIFS($D:$D,$A:$A,$A3510,$B:$B,"&lt;&gt;Patrícia Karla de Sousa Araújo",$B:$B,"&lt;&gt;Lorena Dias de Araujo",$B:$B,"&lt;&gt;Lucas Luiz Romero")*(23/1083),IF(C3510="JR",SUMIFS($D:$D,$A:$A,$A3510,$B:$B,"&lt;&gt;Patrícia Karla de Sousa Araújo",$B:$B,"&lt;&gt;Lorena Dias de Araujo",$B:$B,"&lt;&gt;Lucas Luiz Romero")*(20/1083),IF(C3510="Estágio",SUMIFS($D:$D,$A:$A,$A3510,$B:$B,"&lt;&gt;Patrícia Karla de Sousa Araújo",$B:$B,"&lt;&gt;Lorena Dias de Araujo",$B:$B,"&lt;&gt;Lucas Luiz Romero")*(10/1083),0)))))),0)</f>
        <v>20</v>
      </c>
      <c r="K3510" s="3">
        <f>I3510-J3510</f>
        <v>-8</v>
      </c>
      <c r="L3510" s="3" t="str">
        <f>IF(K3510&lt;-5,"CRÍTICO",IF(K3510&lt;0,"ATENÇÃO",IF(K3510&lt;=5,"OPORTUNO","MUITO BOM")))</f>
        <v>CRÍTICO</v>
      </c>
      <c r="M3510">
        <v>10</v>
      </c>
      <c r="N3510">
        <v>96.51</v>
      </c>
      <c r="O3510">
        <v>22.802850356294542</v>
      </c>
    </row>
    <row r="3511" spans="1:15" hidden="1" x14ac:dyDescent="0.25">
      <c r="A3511" s="11">
        <v>46112</v>
      </c>
      <c r="B3511" t="s">
        <v>34</v>
      </c>
      <c r="C3511" t="s">
        <v>32</v>
      </c>
      <c r="D3511">
        <v>33</v>
      </c>
      <c r="E3511">
        <v>30</v>
      </c>
      <c r="F3511">
        <v>12.05</v>
      </c>
      <c r="G3511">
        <v>0</v>
      </c>
      <c r="H3511">
        <v>0</v>
      </c>
      <c r="I3511" s="3">
        <f>E3511+G3511+H3511</f>
        <v>30</v>
      </c>
      <c r="J3511" s="3">
        <f>ROUND(MIN(IF(C3511="Técnico III",35,IF(C3511="Técnico II",28,IF(C3511="Técnico I",23,IF(C3511="JR",20,IF(C3511="Estágio",10,0))))),IF(C3511="Técnico III",SUMIFS($D:$D,$A:$A,$A3511,$B:$B,"&lt;&gt;Patrícia Karla de Sousa Araújo",$B:$B,"&lt;&gt;Lorena Dias de Araujo",$B:$B,"&lt;&gt;Lucas Luiz Romero")*(35/1083),IF(C3511="Técnico II",SUMIFS($D:$D,$A:$A,$A3511,$B:$B,"&lt;&gt;Patrícia Karla de Sousa Araújo",$B:$B,"&lt;&gt;Lorena Dias de Araujo",$B:$B,"&lt;&gt;Lucas Luiz Romero")*(28/1083),IF(C3511="Técnico I",SUMIFS($D:$D,$A:$A,$A3511,$B:$B,"&lt;&gt;Patrícia Karla de Sousa Araújo",$B:$B,"&lt;&gt;Lorena Dias de Araujo",$B:$B,"&lt;&gt;Lucas Luiz Romero")*(23/1083),IF(C3511="JR",SUMIFS($D:$D,$A:$A,$A3511,$B:$B,"&lt;&gt;Patrícia Karla de Sousa Araújo",$B:$B,"&lt;&gt;Lorena Dias de Araujo",$B:$B,"&lt;&gt;Lucas Luiz Romero")*(20/1083),IF(C3511="Estágio",SUMIFS($D:$D,$A:$A,$A3511,$B:$B,"&lt;&gt;Patrícia Karla de Sousa Araújo",$B:$B,"&lt;&gt;Lorena Dias de Araujo",$B:$B,"&lt;&gt;Lucas Luiz Romero")*(10/1083),0)))))),0)</f>
        <v>30</v>
      </c>
      <c r="K3511" s="3">
        <f>I3511-J3511</f>
        <v>0</v>
      </c>
      <c r="L3511" s="3" t="str">
        <f>IF(K3511&lt;-5,"CRÍTICO",IF(K3511&lt;0,"ATENÇÃO",IF(K3511&lt;=5,"OPORTUNO","MUITO BOM")))</f>
        <v>OPORTUNO</v>
      </c>
      <c r="M3511">
        <v>26</v>
      </c>
      <c r="N3511">
        <v>92.68</v>
      </c>
      <c r="O3511">
        <v>27.777777777777779</v>
      </c>
    </row>
    <row r="3512" spans="1:15" hidden="1" x14ac:dyDescent="0.25">
      <c r="A3512" s="11">
        <v>46112</v>
      </c>
      <c r="B3512" t="s">
        <v>51</v>
      </c>
      <c r="C3512" t="s">
        <v>48</v>
      </c>
      <c r="D3512">
        <v>14</v>
      </c>
      <c r="E3512">
        <v>12</v>
      </c>
      <c r="F3512">
        <v>16.420000000000002</v>
      </c>
      <c r="G3512">
        <v>0</v>
      </c>
      <c r="H3512">
        <v>0</v>
      </c>
      <c r="I3512" s="3">
        <v>0</v>
      </c>
      <c r="J3512" s="3">
        <v>0</v>
      </c>
      <c r="K3512" s="3">
        <v>0</v>
      </c>
      <c r="L3512" s="3" t="str">
        <f>IF(K3512&lt;-5,"CRÍTICO",IF(K3512&lt;0,"ATENÇÃO",IF(K3512&lt;=5,"OPORTUNO","MUITO BOM")))</f>
        <v>OPORTUNO</v>
      </c>
      <c r="M3512">
        <v>11</v>
      </c>
      <c r="N3512">
        <v>99.03</v>
      </c>
      <c r="O3512">
        <v>23.991507430997881</v>
      </c>
    </row>
    <row r="3513" spans="1:15" hidden="1" x14ac:dyDescent="0.25">
      <c r="A3513" s="11">
        <v>46112</v>
      </c>
      <c r="B3513" t="s">
        <v>61</v>
      </c>
      <c r="C3513" t="s">
        <v>23</v>
      </c>
      <c r="D3513">
        <v>19</v>
      </c>
      <c r="E3513">
        <v>18</v>
      </c>
      <c r="F3513">
        <v>23.52</v>
      </c>
      <c r="G3513">
        <v>0</v>
      </c>
      <c r="H3513">
        <v>0</v>
      </c>
      <c r="I3513" s="3">
        <f>E3513+G3513+H3513</f>
        <v>18</v>
      </c>
      <c r="J3513" s="3">
        <f>ROUND(MIN(IF(C3513="Técnico III",35,IF(C3513="Técnico II",28,IF(C3513="Técnico I",23,IF(C3513="JR",20,IF(C3513="Estágio",10,0))))),IF(C3513="Técnico III",SUMIFS($D:$D,$A:$A,$A3513,$B:$B,"&lt;&gt;Patrícia Karla de Sousa Araújo",$B:$B,"&lt;&gt;Lorena Dias de Araujo",$B:$B,"&lt;&gt;Lucas Luiz Romero")*(35/1083),IF(C3513="Técnico II",SUMIFS($D:$D,$A:$A,$A3513,$B:$B,"&lt;&gt;Patrícia Karla de Sousa Araújo",$B:$B,"&lt;&gt;Lorena Dias de Araujo",$B:$B,"&lt;&gt;Lucas Luiz Romero")*(28/1083),IF(C3513="Técnico I",SUMIFS($D:$D,$A:$A,$A3513,$B:$B,"&lt;&gt;Patrícia Karla de Sousa Araújo",$B:$B,"&lt;&gt;Lorena Dias de Araujo",$B:$B,"&lt;&gt;Lucas Luiz Romero")*(23/1083),IF(C3513="JR",SUMIFS($D:$D,$A:$A,$A3513,$B:$B,"&lt;&gt;Patrícia Karla de Sousa Araújo",$B:$B,"&lt;&gt;Lorena Dias de Araujo",$B:$B,"&lt;&gt;Lucas Luiz Romero")*(20/1083),IF(C3513="Estágio",SUMIFS($D:$D,$A:$A,$A3513,$B:$B,"&lt;&gt;Patrícia Karla de Sousa Araújo",$B:$B,"&lt;&gt;Lorena Dias de Araujo",$B:$B,"&lt;&gt;Lucas Luiz Romero")*(10/1083),0)))))),0)</f>
        <v>20</v>
      </c>
      <c r="K3513" s="3">
        <f>I3513-J3513</f>
        <v>-2</v>
      </c>
      <c r="L3513" s="3" t="str">
        <f>IF(K3513&lt;-5,"CRÍTICO",IF(K3513&lt;0,"ATENÇÃO",IF(K3513&lt;=5,"OPORTUNO","MUITO BOM")))</f>
        <v>ATENÇÃO</v>
      </c>
      <c r="M3513">
        <v>8</v>
      </c>
      <c r="N3513">
        <v>98.41</v>
      </c>
      <c r="O3513">
        <v>28.138528138528141</v>
      </c>
    </row>
    <row r="3514" spans="1:15" hidden="1" x14ac:dyDescent="0.25">
      <c r="A3514" s="11">
        <v>46112</v>
      </c>
      <c r="B3514" t="s">
        <v>35</v>
      </c>
      <c r="C3514" t="s">
        <v>32</v>
      </c>
      <c r="D3514">
        <v>37</v>
      </c>
      <c r="E3514">
        <v>35</v>
      </c>
      <c r="F3514">
        <v>17.059999999999999</v>
      </c>
      <c r="G3514">
        <v>0</v>
      </c>
      <c r="H3514">
        <v>0</v>
      </c>
      <c r="I3514" s="3">
        <v>0</v>
      </c>
      <c r="J3514" s="3">
        <v>0</v>
      </c>
      <c r="K3514" s="3">
        <v>0</v>
      </c>
      <c r="L3514" s="3" t="str">
        <f>IF(K3514&lt;-5,"CRÍTICO",IF(K3514&lt;0,"ATENÇÃO",IF(K3514&lt;=5,"OPORTUNO","MUITO BOM")))</f>
        <v>OPORTUNO</v>
      </c>
      <c r="M3514">
        <v>35</v>
      </c>
      <c r="N3514">
        <v>98.73</v>
      </c>
      <c r="O3514">
        <v>29.142857142857139</v>
      </c>
    </row>
    <row r="3515" spans="1:15" hidden="1" x14ac:dyDescent="0.25">
      <c r="A3515" s="11">
        <v>46112</v>
      </c>
      <c r="B3515" t="s">
        <v>18</v>
      </c>
      <c r="C3515" t="s">
        <v>16</v>
      </c>
      <c r="D3515">
        <v>8</v>
      </c>
      <c r="E3515">
        <v>5</v>
      </c>
      <c r="F3515">
        <v>35.32</v>
      </c>
      <c r="G3515">
        <v>0</v>
      </c>
      <c r="H3515">
        <v>0</v>
      </c>
      <c r="I3515" s="3">
        <f>E3515+G3515+H3515</f>
        <v>5</v>
      </c>
      <c r="J3515" s="3">
        <f>ROUND(MIN(IF(C3515="Técnico III",35,IF(C3515="Técnico II",28,IF(C3515="Técnico I",23,IF(C3515="JR",20,IF(C3515="Estágio",10,0))))),IF(C3515="Técnico III",SUMIFS($D:$D,$A:$A,$A3515,$B:$B,"&lt;&gt;Patrícia Karla de Sousa Araújo",$B:$B,"&lt;&gt;Lorena Dias de Araujo",$B:$B,"&lt;&gt;Lucas Luiz Romero")*(35/1083),IF(C3515="Técnico II",SUMIFS($D:$D,$A:$A,$A3515,$B:$B,"&lt;&gt;Patrícia Karla de Sousa Araújo",$B:$B,"&lt;&gt;Lorena Dias de Araujo",$B:$B,"&lt;&gt;Lucas Luiz Romero")*(28/1083),IF(C3515="Técnico I",SUMIFS($D:$D,$A:$A,$A3515,$B:$B,"&lt;&gt;Patrícia Karla de Sousa Araújo",$B:$B,"&lt;&gt;Lorena Dias de Araujo",$B:$B,"&lt;&gt;Lucas Luiz Romero")*(23/1083),IF(C3515="JR",SUMIFS($D:$D,$A:$A,$A3515,$B:$B,"&lt;&gt;Patrícia Karla de Sousa Araújo",$B:$B,"&lt;&gt;Lorena Dias de Araujo",$B:$B,"&lt;&gt;Lucas Luiz Romero")*(20/1083),IF(C3515="Estágio",SUMIFS($D:$D,$A:$A,$A3515,$B:$B,"&lt;&gt;Patrícia Karla de Sousa Araújo",$B:$B,"&lt;&gt;Lorena Dias de Araujo",$B:$B,"&lt;&gt;Lucas Luiz Romero")*(10/1083),0)))))),0)</f>
        <v>8</v>
      </c>
      <c r="K3515" s="3">
        <f>I3515-J3515</f>
        <v>-3</v>
      </c>
      <c r="L3515" s="3" t="str">
        <f>IF(K3515&lt;-5,"CRÍTICO",IF(K3515&lt;0,"ATENÇÃO",IF(K3515&lt;=5,"OPORTUNO","MUITO BOM")))</f>
        <v>ATENÇÃO</v>
      </c>
      <c r="M3515">
        <v>3</v>
      </c>
      <c r="N3515">
        <v>90.48</v>
      </c>
      <c r="O3515">
        <v>20.68965517241379</v>
      </c>
    </row>
    <row r="3516" spans="1:15" hidden="1" x14ac:dyDescent="0.25">
      <c r="A3516" s="11">
        <v>46112</v>
      </c>
      <c r="B3516" t="s">
        <v>52</v>
      </c>
      <c r="C3516" t="s">
        <v>48</v>
      </c>
      <c r="D3516">
        <v>22</v>
      </c>
      <c r="E3516">
        <v>21</v>
      </c>
      <c r="F3516">
        <v>17.350000000000001</v>
      </c>
      <c r="G3516">
        <v>0</v>
      </c>
      <c r="H3516">
        <v>0</v>
      </c>
      <c r="I3516" s="3">
        <f>E3516+G3516+H3516</f>
        <v>21</v>
      </c>
      <c r="J3516" s="3">
        <f>ROUND(MIN(IF(C3516="Técnico III",35,IF(C3516="Técnico II",28,IF(C3516="Técnico I",23,IF(C3516="JR",20,IF(C3516="Estágio",10,0))))),IF(C3516="Técnico III",SUMIFS($D:$D,$A:$A,$A3516,$B:$B,"&lt;&gt;Patrícia Karla de Sousa Araújo",$B:$B,"&lt;&gt;Lorena Dias de Araujo",$B:$B,"&lt;&gt;Lucas Luiz Romero")*(35/1083),IF(C3516="Técnico II",SUMIFS($D:$D,$A:$A,$A3516,$B:$B,"&lt;&gt;Patrícia Karla de Sousa Araújo",$B:$B,"&lt;&gt;Lorena Dias de Araujo",$B:$B,"&lt;&gt;Lucas Luiz Romero")*(28/1083),IF(C3516="Técnico I",SUMIFS($D:$D,$A:$A,$A3516,$B:$B,"&lt;&gt;Patrícia Karla de Sousa Araújo",$B:$B,"&lt;&gt;Lorena Dias de Araujo",$B:$B,"&lt;&gt;Lucas Luiz Romero")*(23/1083),IF(C3516="JR",SUMIFS($D:$D,$A:$A,$A3516,$B:$B,"&lt;&gt;Patrícia Karla de Sousa Araújo",$B:$B,"&lt;&gt;Lorena Dias de Araujo",$B:$B,"&lt;&gt;Lucas Luiz Romero")*(20/1083),IF(C3516="Estágio",SUMIFS($D:$D,$A:$A,$A3516,$B:$B,"&lt;&gt;Patrícia Karla de Sousa Araújo",$B:$B,"&lt;&gt;Lorena Dias de Araujo",$B:$B,"&lt;&gt;Lucas Luiz Romero")*(10/1083),0)))))),0)</f>
        <v>24</v>
      </c>
      <c r="K3516" s="3">
        <f>I3516-J3516</f>
        <v>-3</v>
      </c>
      <c r="L3516" s="3" t="str">
        <f>IF(K3516&lt;-5,"CRÍTICO",IF(K3516&lt;0,"ATENÇÃO",IF(K3516&lt;=5,"OPORTUNO","MUITO BOM")))</f>
        <v>ATENÇÃO</v>
      </c>
      <c r="M3516">
        <v>18</v>
      </c>
      <c r="N3516">
        <v>98.06</v>
      </c>
      <c r="O3516">
        <v>24.789915966386559</v>
      </c>
    </row>
    <row r="3517" spans="1:15" hidden="1" x14ac:dyDescent="0.25">
      <c r="A3517" s="11">
        <v>46112</v>
      </c>
      <c r="B3517" t="s">
        <v>36</v>
      </c>
      <c r="C3517" t="s">
        <v>32</v>
      </c>
      <c r="D3517">
        <v>0</v>
      </c>
      <c r="E3517">
        <v>0</v>
      </c>
      <c r="F3517">
        <v>0</v>
      </c>
      <c r="G3517">
        <v>0</v>
      </c>
      <c r="H3517">
        <v>0</v>
      </c>
      <c r="I3517" s="3">
        <v>0</v>
      </c>
      <c r="J3517" s="3">
        <v>0</v>
      </c>
      <c r="K3517" s="3">
        <v>0</v>
      </c>
      <c r="L3517" s="3" t="str">
        <f>IF(K3517&lt;-5,"CRÍTICO",IF(K3517&lt;0,"ATENÇÃO",IF(K3517&lt;=5,"OPORTUNO","MUITO BOM")))</f>
        <v>OPORTUNO</v>
      </c>
      <c r="M3517">
        <v>0</v>
      </c>
      <c r="N3517">
        <v>97.78</v>
      </c>
      <c r="O3517">
        <v>25.494071146245059</v>
      </c>
    </row>
    <row r="3518" spans="1:15" hidden="1" x14ac:dyDescent="0.25">
      <c r="A3518" s="11">
        <v>46112</v>
      </c>
      <c r="B3518" t="s">
        <v>53</v>
      </c>
      <c r="C3518" t="s">
        <v>48</v>
      </c>
      <c r="D3518">
        <v>29</v>
      </c>
      <c r="E3518">
        <v>26</v>
      </c>
      <c r="F3518">
        <v>17.36</v>
      </c>
      <c r="G3518">
        <v>0</v>
      </c>
      <c r="H3518">
        <v>0</v>
      </c>
      <c r="I3518" s="3">
        <f>E3518+G3518+H3518</f>
        <v>26</v>
      </c>
      <c r="J3518" s="3">
        <f>ROUND(MIN(IF(C3518="Técnico III",35,IF(C3518="Técnico II",28,IF(C3518="Técnico I",23,IF(C3518="JR",20,IF(C3518="Estágio",10,0))))),IF(C3518="Técnico III",SUMIFS($D:$D,$A:$A,$A3518,$B:$B,"&lt;&gt;Patrícia Karla de Sousa Araújo",$B:$B,"&lt;&gt;Lorena Dias de Araujo",$B:$B,"&lt;&gt;Lucas Luiz Romero")*(35/1083),IF(C3518="Técnico II",SUMIFS($D:$D,$A:$A,$A3518,$B:$B,"&lt;&gt;Patrícia Karla de Sousa Araújo",$B:$B,"&lt;&gt;Lorena Dias de Araujo",$B:$B,"&lt;&gt;Lucas Luiz Romero")*(28/1083),IF(C3518="Técnico I",SUMIFS($D:$D,$A:$A,$A3518,$B:$B,"&lt;&gt;Patrícia Karla de Sousa Araújo",$B:$B,"&lt;&gt;Lorena Dias de Araujo",$B:$B,"&lt;&gt;Lucas Luiz Romero")*(23/1083),IF(C3518="JR",SUMIFS($D:$D,$A:$A,$A3518,$B:$B,"&lt;&gt;Patrícia Karla de Sousa Araújo",$B:$B,"&lt;&gt;Lorena Dias de Araujo",$B:$B,"&lt;&gt;Lucas Luiz Romero")*(20/1083),IF(C3518="Estágio",SUMIFS($D:$D,$A:$A,$A3518,$B:$B,"&lt;&gt;Patrícia Karla de Sousa Araújo",$B:$B,"&lt;&gt;Lorena Dias de Araujo",$B:$B,"&lt;&gt;Lucas Luiz Romero")*(10/1083),0)))))),0)</f>
        <v>24</v>
      </c>
      <c r="K3518" s="3">
        <f>I3518-J3518</f>
        <v>2</v>
      </c>
      <c r="L3518" s="3" t="str">
        <f>IF(K3518&lt;-5,"CRÍTICO",IF(K3518&lt;0,"ATENÇÃO",IF(K3518&lt;=5,"OPORTUNO","MUITO BOM")))</f>
        <v>OPORTUNO</v>
      </c>
      <c r="M3518">
        <v>22</v>
      </c>
      <c r="N3518">
        <v>98.02</v>
      </c>
      <c r="O3518">
        <v>23.484848484848481</v>
      </c>
    </row>
    <row r="3519" spans="1:15" hidden="1" x14ac:dyDescent="0.25">
      <c r="A3519" s="7">
        <v>46161</v>
      </c>
      <c r="B3519" s="8" t="s">
        <v>33</v>
      </c>
      <c r="C3519" s="14" t="s">
        <v>32</v>
      </c>
      <c r="D3519" s="3">
        <v>22</v>
      </c>
      <c r="E3519" s="3">
        <v>19</v>
      </c>
      <c r="F3519" s="3">
        <v>20.440000000000001</v>
      </c>
      <c r="G3519" s="3">
        <v>1</v>
      </c>
      <c r="H3519" s="3">
        <v>0</v>
      </c>
      <c r="I3519" s="3">
        <f>E3519+G3519+H3519</f>
        <v>20</v>
      </c>
      <c r="J3519" s="3">
        <f>ROUND(MIN(IF(C3519="Técnico III",35,IF(C3519="Técnico II",28,IF(C3519="Técnico I",23,IF(C3519="JR",20,IF(C3519="Estágio",10,0))))),IF(C3519="Técnico III",SUMIFS($D:$D,$A:$A,$A3519,$B:$B,"&lt;&gt;Patrícia Karla de Sousa Araújo",$B:$B,"&lt;&gt;Lorena Dias de Araujo",$B:$B,"&lt;&gt;Lucas Luiz Romero")*(35/1083),IF(C3519="Técnico II",SUMIFS($D:$D,$A:$A,$A3519,$B:$B,"&lt;&gt;Patrícia Karla de Sousa Araújo",$B:$B,"&lt;&gt;Lorena Dias de Araujo",$B:$B,"&lt;&gt;Lucas Luiz Romero")*(28/1083),IF(C3519="Técnico I",SUMIFS($D:$D,$A:$A,$A3519,$B:$B,"&lt;&gt;Patrícia Karla de Sousa Araújo",$B:$B,"&lt;&gt;Lorena Dias de Araujo",$B:$B,"&lt;&gt;Lucas Luiz Romero")*(23/1083),IF(C3519="JR",SUMIFS($D:$D,$A:$A,$A3519,$B:$B,"&lt;&gt;Patrícia Karla de Sousa Araújo",$B:$B,"&lt;&gt;Lorena Dias de Araujo",$B:$B,"&lt;&gt;Lucas Luiz Romero")*(20/1083),IF(C3519="Estágio",SUMIFS($D:$D,$A:$A,$A3519,$B:$B,"&lt;&gt;Patrícia Karla de Sousa Araújo",$B:$B,"&lt;&gt;Lorena Dias de Araujo",$B:$B,"&lt;&gt;Lucas Luiz Romero")*(10/1083),0)))))),0)</f>
        <v>29</v>
      </c>
      <c r="K3519" s="3">
        <f>I3519-J3519</f>
        <v>-9</v>
      </c>
      <c r="L3519" s="3" t="str">
        <f>IF(K3519&lt;-5,"CRÍTICO",IF(K3519&lt;0,"ATENÇÃO",IF(K3519&lt;=5,"OPORTUNO","MUITO BOM")))</f>
        <v>CRÍTICO</v>
      </c>
      <c r="M3519" s="3">
        <v>16</v>
      </c>
      <c r="N3519" s="3">
        <v>96.94</v>
      </c>
      <c r="O3519" s="3">
        <v>19.613259668508292</v>
      </c>
    </row>
    <row r="3520" spans="1:15" hidden="1" x14ac:dyDescent="0.25">
      <c r="A3520" s="11">
        <v>46112</v>
      </c>
      <c r="B3520" t="s">
        <v>54</v>
      </c>
      <c r="C3520" t="s">
        <v>48</v>
      </c>
      <c r="D3520">
        <v>30</v>
      </c>
      <c r="E3520">
        <v>29</v>
      </c>
      <c r="F3520">
        <v>19.11</v>
      </c>
      <c r="G3520">
        <v>0</v>
      </c>
      <c r="H3520">
        <v>0</v>
      </c>
      <c r="I3520" s="3">
        <f>E3520+G3520+H3520</f>
        <v>29</v>
      </c>
      <c r="J3520" s="3">
        <f>ROUND(MIN(IF(C3520="Técnico III",35,IF(C3520="Técnico II",28,IF(C3520="Técnico I",23,IF(C3520="JR",20,IF(C3520="Estágio",10,0))))),IF(C3520="Técnico III",SUMIFS($D:$D,$A:$A,$A3520,$B:$B,"&lt;&gt;Patrícia Karla de Sousa Araújo",$B:$B,"&lt;&gt;Lorena Dias de Araujo",$B:$B,"&lt;&gt;Lucas Luiz Romero")*(35/1083),IF(C3520="Técnico II",SUMIFS($D:$D,$A:$A,$A3520,$B:$B,"&lt;&gt;Patrícia Karla de Sousa Araújo",$B:$B,"&lt;&gt;Lorena Dias de Araujo",$B:$B,"&lt;&gt;Lucas Luiz Romero")*(28/1083),IF(C3520="Técnico I",SUMIFS($D:$D,$A:$A,$A3520,$B:$B,"&lt;&gt;Patrícia Karla de Sousa Araújo",$B:$B,"&lt;&gt;Lorena Dias de Araujo",$B:$B,"&lt;&gt;Lucas Luiz Romero")*(23/1083),IF(C3520="JR",SUMIFS($D:$D,$A:$A,$A3520,$B:$B,"&lt;&gt;Patrícia Karla de Sousa Araújo",$B:$B,"&lt;&gt;Lorena Dias de Araujo",$B:$B,"&lt;&gt;Lucas Luiz Romero")*(20/1083),IF(C3520="Estágio",SUMIFS($D:$D,$A:$A,$A3520,$B:$B,"&lt;&gt;Patrícia Karla de Sousa Araújo",$B:$B,"&lt;&gt;Lorena Dias de Araujo",$B:$B,"&lt;&gt;Lucas Luiz Romero")*(10/1083),0)))))),0)</f>
        <v>24</v>
      </c>
      <c r="K3520" s="3">
        <f>I3520-J3520</f>
        <v>5</v>
      </c>
      <c r="L3520" s="3" t="str">
        <f>IF(K3520&lt;-5,"CRÍTICO",IF(K3520&lt;0,"ATENÇÃO",IF(K3520&lt;=5,"OPORTUNO","MUITO BOM")))</f>
        <v>OPORTUNO</v>
      </c>
      <c r="M3520">
        <v>29</v>
      </c>
      <c r="N3520">
        <v>100</v>
      </c>
      <c r="O3520">
        <v>27.04918032786885</v>
      </c>
    </row>
    <row r="3521" spans="1:15" hidden="1" x14ac:dyDescent="0.25">
      <c r="A3521" s="11">
        <v>46112</v>
      </c>
      <c r="B3521" t="s">
        <v>37</v>
      </c>
      <c r="C3521" t="s">
        <v>32</v>
      </c>
      <c r="D3521">
        <v>51</v>
      </c>
      <c r="E3521">
        <v>42</v>
      </c>
      <c r="F3521">
        <v>13.24</v>
      </c>
      <c r="G3521">
        <v>0</v>
      </c>
      <c r="H3521">
        <v>0</v>
      </c>
      <c r="I3521" s="3">
        <f>E3521+G3521+H3521</f>
        <v>42</v>
      </c>
      <c r="J3521" s="3">
        <f>ROUND(MIN(IF(C3521="Técnico III",35,IF(C3521="Técnico II",28,IF(C3521="Técnico I",23,IF(C3521="JR",20,IF(C3521="Estágio",10,0))))),IF(C3521="Técnico III",SUMIFS($D:$D,$A:$A,$A3521,$B:$B,"&lt;&gt;Patrícia Karla de Sousa Araújo",$B:$B,"&lt;&gt;Lorena Dias de Araujo",$B:$B,"&lt;&gt;Lucas Luiz Romero")*(35/1083),IF(C3521="Técnico II",SUMIFS($D:$D,$A:$A,$A3521,$B:$B,"&lt;&gt;Patrícia Karla de Sousa Araújo",$B:$B,"&lt;&gt;Lorena Dias de Araujo",$B:$B,"&lt;&gt;Lucas Luiz Romero")*(28/1083),IF(C3521="Técnico I",SUMIFS($D:$D,$A:$A,$A3521,$B:$B,"&lt;&gt;Patrícia Karla de Sousa Araújo",$B:$B,"&lt;&gt;Lorena Dias de Araujo",$B:$B,"&lt;&gt;Lucas Luiz Romero")*(23/1083),IF(C3521="JR",SUMIFS($D:$D,$A:$A,$A3521,$B:$B,"&lt;&gt;Patrícia Karla de Sousa Araújo",$B:$B,"&lt;&gt;Lorena Dias de Araujo",$B:$B,"&lt;&gt;Lucas Luiz Romero")*(20/1083),IF(C3521="Estágio",SUMIFS($D:$D,$A:$A,$A3521,$B:$B,"&lt;&gt;Patrícia Karla de Sousa Araújo",$B:$B,"&lt;&gt;Lorena Dias de Araujo",$B:$B,"&lt;&gt;Lucas Luiz Romero")*(10/1083),0)))))),0)</f>
        <v>30</v>
      </c>
      <c r="K3521" s="3">
        <f>I3521-J3521</f>
        <v>12</v>
      </c>
      <c r="L3521" s="3" t="str">
        <f>IF(K3521&lt;-5,"CRÍTICO",IF(K3521&lt;0,"ATENÇÃO",IF(K3521&lt;=5,"OPORTUNO","MUITO BOM")))</f>
        <v>MUITO BOM</v>
      </c>
      <c r="M3521">
        <v>45</v>
      </c>
      <c r="N3521">
        <v>97.83</v>
      </c>
      <c r="O3521">
        <v>26.315789473684209</v>
      </c>
    </row>
    <row r="3522" spans="1:15" hidden="1" x14ac:dyDescent="0.25">
      <c r="A3522" s="11">
        <v>46112</v>
      </c>
      <c r="B3522" t="s">
        <v>38</v>
      </c>
      <c r="C3522" t="s">
        <v>32</v>
      </c>
      <c r="D3522">
        <v>0</v>
      </c>
      <c r="E3522">
        <v>0</v>
      </c>
      <c r="F3522">
        <v>0</v>
      </c>
      <c r="G3522">
        <v>0</v>
      </c>
      <c r="H3522">
        <v>0</v>
      </c>
      <c r="I3522" s="3">
        <v>0</v>
      </c>
      <c r="J3522" s="3">
        <v>0</v>
      </c>
      <c r="K3522" s="3">
        <v>0</v>
      </c>
      <c r="L3522" s="3" t="str">
        <f>IF(K3522&lt;-5,"CRÍTICO",IF(K3522&lt;0,"ATENÇÃO",IF(K3522&lt;=5,"OPORTUNO","MUITO BOM")))</f>
        <v>OPORTUNO</v>
      </c>
      <c r="M3522">
        <v>0</v>
      </c>
      <c r="N3522">
        <v>100</v>
      </c>
      <c r="O3522">
        <v>26.701570680628269</v>
      </c>
    </row>
    <row r="3523" spans="1:15" hidden="1" x14ac:dyDescent="0.25">
      <c r="A3523" s="11">
        <v>46112</v>
      </c>
      <c r="B3523" t="s">
        <v>55</v>
      </c>
      <c r="C3523" t="s">
        <v>48</v>
      </c>
      <c r="D3523">
        <v>18</v>
      </c>
      <c r="E3523">
        <v>14</v>
      </c>
      <c r="F3523">
        <v>14.11</v>
      </c>
      <c r="G3523">
        <v>0</v>
      </c>
      <c r="H3523">
        <v>0</v>
      </c>
      <c r="I3523" s="3">
        <f>E3523+G3523+H3523</f>
        <v>14</v>
      </c>
      <c r="J3523" s="3">
        <f>ROUND(MIN(IF(C3523="Técnico III",35,IF(C3523="Técnico II",28,IF(C3523="Técnico I",23,IF(C3523="JR",20,IF(C3523="Estágio",10,0))))),IF(C3523="Técnico III",SUMIFS($D:$D,$A:$A,$A3523,$B:$B,"&lt;&gt;Patrícia Karla de Sousa Araújo",$B:$B,"&lt;&gt;Lorena Dias de Araujo",$B:$B,"&lt;&gt;Lucas Luiz Romero")*(35/1083),IF(C3523="Técnico II",SUMIFS($D:$D,$A:$A,$A3523,$B:$B,"&lt;&gt;Patrícia Karla de Sousa Araújo",$B:$B,"&lt;&gt;Lorena Dias de Araujo",$B:$B,"&lt;&gt;Lucas Luiz Romero")*(28/1083),IF(C3523="Técnico I",SUMIFS($D:$D,$A:$A,$A3523,$B:$B,"&lt;&gt;Patrícia Karla de Sousa Araújo",$B:$B,"&lt;&gt;Lorena Dias de Araujo",$B:$B,"&lt;&gt;Lucas Luiz Romero")*(23/1083),IF(C3523="JR",SUMIFS($D:$D,$A:$A,$A3523,$B:$B,"&lt;&gt;Patrícia Karla de Sousa Araújo",$B:$B,"&lt;&gt;Lorena Dias de Araujo",$B:$B,"&lt;&gt;Lucas Luiz Romero")*(20/1083),IF(C3523="Estágio",SUMIFS($D:$D,$A:$A,$A3523,$B:$B,"&lt;&gt;Patrícia Karla de Sousa Araújo",$B:$B,"&lt;&gt;Lorena Dias de Araujo",$B:$B,"&lt;&gt;Lucas Luiz Romero")*(10/1083),0)))))),0)</f>
        <v>24</v>
      </c>
      <c r="K3523" s="3">
        <f>I3523-J3523</f>
        <v>-10</v>
      </c>
      <c r="L3523" s="3" t="str">
        <f>IF(K3523&lt;-5,"CRÍTICO",IF(K3523&lt;0,"ATENÇÃO",IF(K3523&lt;=5,"OPORTUNO","MUITO BOM")))</f>
        <v>CRÍTICO</v>
      </c>
      <c r="M3523">
        <v>13</v>
      </c>
      <c r="N3523">
        <v>97.47</v>
      </c>
      <c r="O3523">
        <v>22.887323943661968</v>
      </c>
    </row>
    <row r="3524" spans="1:15" hidden="1" x14ac:dyDescent="0.25">
      <c r="A3524" s="11">
        <v>46112</v>
      </c>
      <c r="B3524" t="s">
        <v>39</v>
      </c>
      <c r="C3524" t="s">
        <v>32</v>
      </c>
      <c r="D3524">
        <v>0</v>
      </c>
      <c r="E3524">
        <v>0</v>
      </c>
      <c r="F3524">
        <v>0</v>
      </c>
      <c r="G3524">
        <v>0</v>
      </c>
      <c r="H3524">
        <v>0</v>
      </c>
      <c r="I3524" s="3">
        <v>0</v>
      </c>
      <c r="J3524" s="3">
        <v>0</v>
      </c>
      <c r="K3524" s="3">
        <v>0</v>
      </c>
      <c r="L3524" s="3" t="str">
        <f>IF(K3524&lt;-5,"CRÍTICO",IF(K3524&lt;0,"ATENÇÃO",IF(K3524&lt;=5,"OPORTUNO","MUITO BOM")))</f>
        <v>OPORTUNO</v>
      </c>
      <c r="M3524">
        <v>0</v>
      </c>
      <c r="N3524">
        <v>0</v>
      </c>
      <c r="O3524">
        <v>0</v>
      </c>
    </row>
    <row r="3525" spans="1:15" hidden="1" x14ac:dyDescent="0.25">
      <c r="A3525" s="11">
        <v>46112</v>
      </c>
      <c r="B3525" t="s">
        <v>25</v>
      </c>
      <c r="C3525" t="s">
        <v>26</v>
      </c>
      <c r="D3525">
        <v>23</v>
      </c>
      <c r="E3525">
        <v>21</v>
      </c>
      <c r="F3525">
        <v>21.5</v>
      </c>
      <c r="G3525">
        <v>0</v>
      </c>
      <c r="H3525">
        <v>0</v>
      </c>
      <c r="I3525" s="3">
        <f>E3525+G3525+H3525</f>
        <v>21</v>
      </c>
      <c r="J3525" s="3">
        <f>ROUND(MIN(IF(C3525="Técnico III",35,IF(C3525="Técnico II",28,IF(C3525="Técnico I",23,IF(C3525="JR",20,IF(C3525="Estágio",10,0))))),IF(C3525="Técnico III",SUMIFS($D:$D,$A:$A,$A3525,$B:$B,"&lt;&gt;Patrícia Karla de Sousa Araújo",$B:$B,"&lt;&gt;Lorena Dias de Araujo",$B:$B,"&lt;&gt;Lucas Luiz Romero")*(35/1083),IF(C3525="Técnico II",SUMIFS($D:$D,$A:$A,$A3525,$B:$B,"&lt;&gt;Patrícia Karla de Sousa Araújo",$B:$B,"&lt;&gt;Lorena Dias de Araujo",$B:$B,"&lt;&gt;Lucas Luiz Romero")*(28/1083),IF(C3525="Técnico I",SUMIFS($D:$D,$A:$A,$A3525,$B:$B,"&lt;&gt;Patrícia Karla de Sousa Araújo",$B:$B,"&lt;&gt;Lorena Dias de Araujo",$B:$B,"&lt;&gt;Lucas Luiz Romero")*(23/1083),IF(C3525="JR",SUMIFS($D:$D,$A:$A,$A3525,$B:$B,"&lt;&gt;Patrícia Karla de Sousa Araújo",$B:$B,"&lt;&gt;Lorena Dias de Araujo",$B:$B,"&lt;&gt;Lucas Luiz Romero")*(20/1083),IF(C3525="Estágio",SUMIFS($D:$D,$A:$A,$A3525,$B:$B,"&lt;&gt;Patrícia Karla de Sousa Araújo",$B:$B,"&lt;&gt;Lorena Dias de Araujo",$B:$B,"&lt;&gt;Lucas Luiz Romero")*(10/1083),0)))))),0)</f>
        <v>17</v>
      </c>
      <c r="K3525" s="3">
        <f>I3525-J3525</f>
        <v>4</v>
      </c>
      <c r="L3525" s="3" t="str">
        <f>IF(K3525&lt;-5,"CRÍTICO",IF(K3525&lt;0,"ATENÇÃO",IF(K3525&lt;=5,"OPORTUNO","MUITO BOM")))</f>
        <v>OPORTUNO</v>
      </c>
      <c r="M3525">
        <v>19</v>
      </c>
      <c r="N3525">
        <v>98.31</v>
      </c>
      <c r="O3525">
        <v>24.920127795527151</v>
      </c>
    </row>
    <row r="3526" spans="1:15" hidden="1" x14ac:dyDescent="0.25">
      <c r="A3526" s="11">
        <v>46112</v>
      </c>
      <c r="B3526" t="s">
        <v>40</v>
      </c>
      <c r="C3526" t="s">
        <v>32</v>
      </c>
      <c r="D3526">
        <v>6</v>
      </c>
      <c r="E3526">
        <v>6</v>
      </c>
      <c r="F3526">
        <v>53.36</v>
      </c>
      <c r="G3526">
        <v>0</v>
      </c>
      <c r="H3526">
        <v>0</v>
      </c>
      <c r="I3526" s="3">
        <f>E3526+G3526+H3526</f>
        <v>6</v>
      </c>
      <c r="J3526" s="3">
        <f>ROUND(MIN(IF(C3526="Técnico III",35,IF(C3526="Técnico II",28,IF(C3526="Técnico I",23,IF(C3526="JR",20,IF(C3526="Estágio",10,0))))),IF(C3526="Técnico III",SUMIFS($D:$D,$A:$A,$A3526,$B:$B,"&lt;&gt;Patrícia Karla de Sousa Araújo",$B:$B,"&lt;&gt;Lorena Dias de Araujo",$B:$B,"&lt;&gt;Lucas Luiz Romero")*(35/1083),IF(C3526="Técnico II",SUMIFS($D:$D,$A:$A,$A3526,$B:$B,"&lt;&gt;Patrícia Karla de Sousa Araújo",$B:$B,"&lt;&gt;Lorena Dias de Araujo",$B:$B,"&lt;&gt;Lucas Luiz Romero")*(28/1083),IF(C3526="Técnico I",SUMIFS($D:$D,$A:$A,$A3526,$B:$B,"&lt;&gt;Patrícia Karla de Sousa Araújo",$B:$B,"&lt;&gt;Lorena Dias de Araujo",$B:$B,"&lt;&gt;Lucas Luiz Romero")*(23/1083),IF(C3526="JR",SUMIFS($D:$D,$A:$A,$A3526,$B:$B,"&lt;&gt;Patrícia Karla de Sousa Araújo",$B:$B,"&lt;&gt;Lorena Dias de Araujo",$B:$B,"&lt;&gt;Lucas Luiz Romero")*(20/1083),IF(C3526="Estágio",SUMIFS($D:$D,$A:$A,$A3526,$B:$B,"&lt;&gt;Patrícia Karla de Sousa Araújo",$B:$B,"&lt;&gt;Lorena Dias de Araujo",$B:$B,"&lt;&gt;Lucas Luiz Romero")*(10/1083),0)))))),0)</f>
        <v>30</v>
      </c>
      <c r="K3526" s="3">
        <f>I3526-J3526</f>
        <v>-24</v>
      </c>
      <c r="L3526" s="3" t="str">
        <f>IF(K3526&lt;-5,"CRÍTICO",IF(K3526&lt;0,"ATENÇÃO",IF(K3526&lt;=5,"OPORTUNO","MUITO BOM")))</f>
        <v>CRÍTICO</v>
      </c>
      <c r="M3526">
        <v>7</v>
      </c>
      <c r="N3526">
        <v>96.81</v>
      </c>
      <c r="O3526">
        <v>32.365145228215773</v>
      </c>
    </row>
    <row r="3527" spans="1:15" hidden="1" x14ac:dyDescent="0.25">
      <c r="A3527" s="11">
        <v>46112</v>
      </c>
      <c r="B3527" t="s">
        <v>27</v>
      </c>
      <c r="C3527" t="s">
        <v>26</v>
      </c>
      <c r="D3527">
        <v>18</v>
      </c>
      <c r="E3527">
        <v>18</v>
      </c>
      <c r="F3527">
        <v>18.420000000000002</v>
      </c>
      <c r="G3527">
        <v>0</v>
      </c>
      <c r="H3527">
        <v>0</v>
      </c>
      <c r="I3527" s="3">
        <f>E3527+G3527+H3527</f>
        <v>18</v>
      </c>
      <c r="J3527" s="3">
        <f>ROUND(MIN(IF(C3527="Técnico III",35,IF(C3527="Técnico II",28,IF(C3527="Técnico I",23,IF(C3527="JR",20,IF(C3527="Estágio",10,0))))),IF(C3527="Técnico III",SUMIFS($D:$D,$A:$A,$A3527,$B:$B,"&lt;&gt;Patrícia Karla de Sousa Araújo",$B:$B,"&lt;&gt;Lorena Dias de Araujo",$B:$B,"&lt;&gt;Lucas Luiz Romero")*(35/1083),IF(C3527="Técnico II",SUMIFS($D:$D,$A:$A,$A3527,$B:$B,"&lt;&gt;Patrícia Karla de Sousa Araújo",$B:$B,"&lt;&gt;Lorena Dias de Araujo",$B:$B,"&lt;&gt;Lucas Luiz Romero")*(28/1083),IF(C3527="Técnico I",SUMIFS($D:$D,$A:$A,$A3527,$B:$B,"&lt;&gt;Patrícia Karla de Sousa Araújo",$B:$B,"&lt;&gt;Lorena Dias de Araujo",$B:$B,"&lt;&gt;Lucas Luiz Romero")*(23/1083),IF(C3527="JR",SUMIFS($D:$D,$A:$A,$A3527,$B:$B,"&lt;&gt;Patrícia Karla de Sousa Araújo",$B:$B,"&lt;&gt;Lorena Dias de Araujo",$B:$B,"&lt;&gt;Lucas Luiz Romero")*(20/1083),IF(C3527="Estágio",SUMIFS($D:$D,$A:$A,$A3527,$B:$B,"&lt;&gt;Patrícia Karla de Sousa Araújo",$B:$B,"&lt;&gt;Lorena Dias de Araujo",$B:$B,"&lt;&gt;Lucas Luiz Romero")*(10/1083),0)))))),0)</f>
        <v>17</v>
      </c>
      <c r="K3527" s="3">
        <f>I3527-J3527</f>
        <v>1</v>
      </c>
      <c r="L3527" s="3" t="str">
        <f>IF(K3527&lt;-5,"CRÍTICO",IF(K3527&lt;0,"ATENÇÃO",IF(K3527&lt;=5,"OPORTUNO","MUITO BOM")))</f>
        <v>OPORTUNO</v>
      </c>
      <c r="M3527">
        <v>16</v>
      </c>
      <c r="N3527">
        <v>100</v>
      </c>
      <c r="O3527">
        <v>26.47058823529412</v>
      </c>
    </row>
    <row r="3528" spans="1:15" hidden="1" x14ac:dyDescent="0.25">
      <c r="A3528" s="11">
        <v>46112</v>
      </c>
      <c r="B3528" t="s">
        <v>41</v>
      </c>
      <c r="C3528" t="s">
        <v>32</v>
      </c>
      <c r="D3528">
        <v>33</v>
      </c>
      <c r="E3528">
        <v>29</v>
      </c>
      <c r="F3528">
        <v>15.08</v>
      </c>
      <c r="G3528">
        <v>0</v>
      </c>
      <c r="H3528">
        <v>0</v>
      </c>
      <c r="I3528" s="3">
        <f>E3528+G3528+H3528</f>
        <v>29</v>
      </c>
      <c r="J3528" s="3">
        <f>ROUND(MIN(IF(C3528="Técnico III",35,IF(C3528="Técnico II",28,IF(C3528="Técnico I",23,IF(C3528="JR",20,IF(C3528="Estágio",10,0))))),IF(C3528="Técnico III",SUMIFS($D:$D,$A:$A,$A3528,$B:$B,"&lt;&gt;Patrícia Karla de Sousa Araújo",$B:$B,"&lt;&gt;Lorena Dias de Araujo",$B:$B,"&lt;&gt;Lucas Luiz Romero")*(35/1083),IF(C3528="Técnico II",SUMIFS($D:$D,$A:$A,$A3528,$B:$B,"&lt;&gt;Patrícia Karla de Sousa Araújo",$B:$B,"&lt;&gt;Lorena Dias de Araujo",$B:$B,"&lt;&gt;Lucas Luiz Romero")*(28/1083),IF(C3528="Técnico I",SUMIFS($D:$D,$A:$A,$A3528,$B:$B,"&lt;&gt;Patrícia Karla de Sousa Araújo",$B:$B,"&lt;&gt;Lorena Dias de Araujo",$B:$B,"&lt;&gt;Lucas Luiz Romero")*(23/1083),IF(C3528="JR",SUMIFS($D:$D,$A:$A,$A3528,$B:$B,"&lt;&gt;Patrícia Karla de Sousa Araújo",$B:$B,"&lt;&gt;Lorena Dias de Araujo",$B:$B,"&lt;&gt;Lucas Luiz Romero")*(20/1083),IF(C3528="Estágio",SUMIFS($D:$D,$A:$A,$A3528,$B:$B,"&lt;&gt;Patrícia Karla de Sousa Araújo",$B:$B,"&lt;&gt;Lorena Dias de Araujo",$B:$B,"&lt;&gt;Lucas Luiz Romero")*(10/1083),0)))))),0)</f>
        <v>30</v>
      </c>
      <c r="K3528" s="3">
        <f>I3528-J3528</f>
        <v>-1</v>
      </c>
      <c r="L3528" s="3" t="str">
        <f>IF(K3528&lt;-5,"CRÍTICO",IF(K3528&lt;0,"ATENÇÃO",IF(K3528&lt;=5,"OPORTUNO","MUITO BOM")))</f>
        <v>ATENÇÃO</v>
      </c>
      <c r="M3528">
        <v>28</v>
      </c>
      <c r="N3528">
        <v>100</v>
      </c>
      <c r="O3528">
        <v>28.490028490028489</v>
      </c>
    </row>
    <row r="3529" spans="1:15" hidden="1" x14ac:dyDescent="0.25">
      <c r="A3529" s="11">
        <v>46112</v>
      </c>
      <c r="B3529" t="s">
        <v>56</v>
      </c>
      <c r="C3529" t="s">
        <v>48</v>
      </c>
      <c r="D3529">
        <v>26</v>
      </c>
      <c r="E3529">
        <v>23</v>
      </c>
      <c r="F3529">
        <v>20.36</v>
      </c>
      <c r="G3529">
        <v>0</v>
      </c>
      <c r="H3529">
        <v>0</v>
      </c>
      <c r="I3529" s="3">
        <f>E3529+G3529+H3529</f>
        <v>23</v>
      </c>
      <c r="J3529" s="3">
        <f>ROUND(MIN(IF(C3529="Técnico III",35,IF(C3529="Técnico II",28,IF(C3529="Técnico I",23,IF(C3529="JR",20,IF(C3529="Estágio",10,0))))),IF(C3529="Técnico III",SUMIFS($D:$D,$A:$A,$A3529,$B:$B,"&lt;&gt;Patrícia Karla de Sousa Araújo",$B:$B,"&lt;&gt;Lorena Dias de Araujo",$B:$B,"&lt;&gt;Lucas Luiz Romero")*(35/1083),IF(C3529="Técnico II",SUMIFS($D:$D,$A:$A,$A3529,$B:$B,"&lt;&gt;Patrícia Karla de Sousa Araújo",$B:$B,"&lt;&gt;Lorena Dias de Araujo",$B:$B,"&lt;&gt;Lucas Luiz Romero")*(28/1083),IF(C3529="Técnico I",SUMIFS($D:$D,$A:$A,$A3529,$B:$B,"&lt;&gt;Patrícia Karla de Sousa Araújo",$B:$B,"&lt;&gt;Lorena Dias de Araujo",$B:$B,"&lt;&gt;Lucas Luiz Romero")*(23/1083),IF(C3529="JR",SUMIFS($D:$D,$A:$A,$A3529,$B:$B,"&lt;&gt;Patrícia Karla de Sousa Araújo",$B:$B,"&lt;&gt;Lorena Dias de Araujo",$B:$B,"&lt;&gt;Lucas Luiz Romero")*(20/1083),IF(C3529="Estágio",SUMIFS($D:$D,$A:$A,$A3529,$B:$B,"&lt;&gt;Patrícia Karla de Sousa Araújo",$B:$B,"&lt;&gt;Lorena Dias de Araujo",$B:$B,"&lt;&gt;Lucas Luiz Romero")*(10/1083),0)))))),0)</f>
        <v>24</v>
      </c>
      <c r="K3529" s="3">
        <f>I3529-J3529</f>
        <v>-1</v>
      </c>
      <c r="L3529" s="3" t="str">
        <f>IF(K3529&lt;-5,"CRÍTICO",IF(K3529&lt;0,"ATENÇÃO",IF(K3529&lt;=5,"OPORTUNO","MUITO BOM")))</f>
        <v>ATENÇÃO</v>
      </c>
      <c r="M3529">
        <v>9</v>
      </c>
      <c r="N3529">
        <v>99.14</v>
      </c>
      <c r="O3529">
        <v>27.2289156626506</v>
      </c>
    </row>
    <row r="3530" spans="1:15" hidden="1" x14ac:dyDescent="0.25">
      <c r="A3530" s="11">
        <v>46112</v>
      </c>
      <c r="B3530" t="s">
        <v>57</v>
      </c>
      <c r="C3530" t="s">
        <v>48</v>
      </c>
      <c r="D3530">
        <v>6</v>
      </c>
      <c r="E3530">
        <v>6</v>
      </c>
      <c r="F3530">
        <v>16.47</v>
      </c>
      <c r="G3530">
        <v>0</v>
      </c>
      <c r="H3530">
        <v>0</v>
      </c>
      <c r="I3530" s="3">
        <v>0</v>
      </c>
      <c r="J3530" s="3">
        <v>0</v>
      </c>
      <c r="K3530" s="3">
        <v>0</v>
      </c>
      <c r="L3530" s="3" t="str">
        <f>IF(K3530&lt;-5,"CRÍTICO",IF(K3530&lt;0,"ATENÇÃO",IF(K3530&lt;=5,"OPORTUNO","MUITO BOM")))</f>
        <v>OPORTUNO</v>
      </c>
      <c r="M3530">
        <v>3</v>
      </c>
      <c r="N3530">
        <v>97.52</v>
      </c>
      <c r="O3530">
        <v>28.205128205128201</v>
      </c>
    </row>
    <row r="3531" spans="1:15" hidden="1" x14ac:dyDescent="0.25">
      <c r="A3531" s="11">
        <v>46112</v>
      </c>
      <c r="B3531" t="s">
        <v>42</v>
      </c>
      <c r="C3531" t="s">
        <v>32</v>
      </c>
      <c r="D3531">
        <v>41</v>
      </c>
      <c r="E3531">
        <v>36</v>
      </c>
      <c r="F3531">
        <v>17.23</v>
      </c>
      <c r="G3531">
        <v>0</v>
      </c>
      <c r="H3531">
        <v>0</v>
      </c>
      <c r="I3531" s="3">
        <f>E3531+G3531+H3531</f>
        <v>36</v>
      </c>
      <c r="J3531" s="3">
        <f>ROUND(MIN(IF(C3531="Técnico III",35,IF(C3531="Técnico II",28,IF(C3531="Técnico I",23,IF(C3531="JR",20,IF(C3531="Estágio",10,0))))),IF(C3531="Técnico III",SUMIFS($D:$D,$A:$A,$A3531,$B:$B,"&lt;&gt;Patrícia Karla de Sousa Araújo",$B:$B,"&lt;&gt;Lorena Dias de Araujo",$B:$B,"&lt;&gt;Lucas Luiz Romero")*(35/1083),IF(C3531="Técnico II",SUMIFS($D:$D,$A:$A,$A3531,$B:$B,"&lt;&gt;Patrícia Karla de Sousa Araújo",$B:$B,"&lt;&gt;Lorena Dias de Araujo",$B:$B,"&lt;&gt;Lucas Luiz Romero")*(28/1083),IF(C3531="Técnico I",SUMIFS($D:$D,$A:$A,$A3531,$B:$B,"&lt;&gt;Patrícia Karla de Sousa Araújo",$B:$B,"&lt;&gt;Lorena Dias de Araujo",$B:$B,"&lt;&gt;Lucas Luiz Romero")*(23/1083),IF(C3531="JR",SUMIFS($D:$D,$A:$A,$A3531,$B:$B,"&lt;&gt;Patrícia Karla de Sousa Araújo",$B:$B,"&lt;&gt;Lorena Dias de Araujo",$B:$B,"&lt;&gt;Lucas Luiz Romero")*(20/1083),IF(C3531="Estágio",SUMIFS($D:$D,$A:$A,$A3531,$B:$B,"&lt;&gt;Patrícia Karla de Sousa Araújo",$B:$B,"&lt;&gt;Lorena Dias de Araujo",$B:$B,"&lt;&gt;Lucas Luiz Romero")*(10/1083),0)))))),0)</f>
        <v>30</v>
      </c>
      <c r="K3531" s="3">
        <f>I3531-J3531</f>
        <v>6</v>
      </c>
      <c r="L3531" s="3" t="str">
        <f>IF(K3531&lt;-5,"CRÍTICO",IF(K3531&lt;0,"ATENÇÃO",IF(K3531&lt;=5,"OPORTUNO","MUITO BOM")))</f>
        <v>MUITO BOM</v>
      </c>
      <c r="M3531">
        <v>26</v>
      </c>
      <c r="N3531">
        <v>90</v>
      </c>
      <c r="O3531">
        <v>24.186046511627911</v>
      </c>
    </row>
    <row r="3532" spans="1:15" hidden="1" x14ac:dyDescent="0.25">
      <c r="A3532" s="11">
        <v>46112</v>
      </c>
      <c r="B3532" t="s">
        <v>62</v>
      </c>
      <c r="C3532" t="s">
        <v>23</v>
      </c>
      <c r="D3532">
        <v>29</v>
      </c>
      <c r="E3532">
        <v>28</v>
      </c>
      <c r="F3532">
        <v>15.59</v>
      </c>
      <c r="G3532">
        <v>0</v>
      </c>
      <c r="H3532">
        <v>0</v>
      </c>
      <c r="I3532" s="3">
        <f>E3532+G3532+H3532</f>
        <v>28</v>
      </c>
      <c r="J3532" s="3">
        <f>ROUND(MIN(IF(C3532="Técnico III",35,IF(C3532="Técnico II",28,IF(C3532="Técnico I",23,IF(C3532="JR",20,IF(C3532="Estágio",10,0))))),IF(C3532="Técnico III",SUMIFS($D:$D,$A:$A,$A3532,$B:$B,"&lt;&gt;Patrícia Karla de Sousa Araújo",$B:$B,"&lt;&gt;Lorena Dias de Araujo",$B:$B,"&lt;&gt;Lucas Luiz Romero")*(35/1083),IF(C3532="Técnico II",SUMIFS($D:$D,$A:$A,$A3532,$B:$B,"&lt;&gt;Patrícia Karla de Sousa Araújo",$B:$B,"&lt;&gt;Lorena Dias de Araujo",$B:$B,"&lt;&gt;Lucas Luiz Romero")*(28/1083),IF(C3532="Técnico I",SUMIFS($D:$D,$A:$A,$A3532,$B:$B,"&lt;&gt;Patrícia Karla de Sousa Araújo",$B:$B,"&lt;&gt;Lorena Dias de Araujo",$B:$B,"&lt;&gt;Lucas Luiz Romero")*(23/1083),IF(C3532="JR",SUMIFS($D:$D,$A:$A,$A3532,$B:$B,"&lt;&gt;Patrícia Karla de Sousa Araújo",$B:$B,"&lt;&gt;Lorena Dias de Araujo",$B:$B,"&lt;&gt;Lucas Luiz Romero")*(20/1083),IF(C3532="Estágio",SUMIFS($D:$D,$A:$A,$A3532,$B:$B,"&lt;&gt;Patrícia Karla de Sousa Araújo",$B:$B,"&lt;&gt;Lorena Dias de Araujo",$B:$B,"&lt;&gt;Lucas Luiz Romero")*(10/1083),0)))))),0)</f>
        <v>20</v>
      </c>
      <c r="K3532" s="3">
        <f>I3532-J3532</f>
        <v>8</v>
      </c>
      <c r="L3532" s="3" t="str">
        <f>IF(K3532&lt;-5,"CRÍTICO",IF(K3532&lt;0,"ATENÇÃO",IF(K3532&lt;=5,"OPORTUNO","MUITO BOM")))</f>
        <v>MUITO BOM</v>
      </c>
      <c r="M3532">
        <v>28</v>
      </c>
      <c r="N3532">
        <v>98.9</v>
      </c>
      <c r="O3532">
        <v>26.763990267639901</v>
      </c>
    </row>
    <row r="3533" spans="1:15" hidden="1" x14ac:dyDescent="0.25">
      <c r="A3533" s="11">
        <v>46112</v>
      </c>
      <c r="B3533" t="s">
        <v>19</v>
      </c>
      <c r="C3533" t="s">
        <v>16</v>
      </c>
      <c r="D3533">
        <v>8</v>
      </c>
      <c r="E3533">
        <v>8</v>
      </c>
      <c r="F3533">
        <v>40.1</v>
      </c>
      <c r="G3533">
        <v>0</v>
      </c>
      <c r="H3533">
        <v>0</v>
      </c>
      <c r="I3533" s="3">
        <f>E3533+G3533+H3533</f>
        <v>8</v>
      </c>
      <c r="J3533" s="3">
        <f>ROUND(MIN(IF(C3533="Técnico III",35,IF(C3533="Técnico II",28,IF(C3533="Técnico I",23,IF(C3533="JR",20,IF(C3533="Estágio",10,0))))),IF(C3533="Técnico III",SUMIFS($D:$D,$A:$A,$A3533,$B:$B,"&lt;&gt;Patrícia Karla de Sousa Araújo",$B:$B,"&lt;&gt;Lorena Dias de Araujo",$B:$B,"&lt;&gt;Lucas Luiz Romero")*(35/1083),IF(C3533="Técnico II",SUMIFS($D:$D,$A:$A,$A3533,$B:$B,"&lt;&gt;Patrícia Karla de Sousa Araújo",$B:$B,"&lt;&gt;Lorena Dias de Araujo",$B:$B,"&lt;&gt;Lucas Luiz Romero")*(28/1083),IF(C3533="Técnico I",SUMIFS($D:$D,$A:$A,$A3533,$B:$B,"&lt;&gt;Patrícia Karla de Sousa Araújo",$B:$B,"&lt;&gt;Lorena Dias de Araujo",$B:$B,"&lt;&gt;Lucas Luiz Romero")*(23/1083),IF(C3533="JR",SUMIFS($D:$D,$A:$A,$A3533,$B:$B,"&lt;&gt;Patrícia Karla de Sousa Araújo",$B:$B,"&lt;&gt;Lorena Dias de Araujo",$B:$B,"&lt;&gt;Lucas Luiz Romero")*(20/1083),IF(C3533="Estágio",SUMIFS($D:$D,$A:$A,$A3533,$B:$B,"&lt;&gt;Patrícia Karla de Sousa Araújo",$B:$B,"&lt;&gt;Lorena Dias de Araujo",$B:$B,"&lt;&gt;Lucas Luiz Romero")*(10/1083),0)))))),0)</f>
        <v>8</v>
      </c>
      <c r="K3533" s="3">
        <f>I3533-J3533</f>
        <v>0</v>
      </c>
      <c r="L3533" s="3" t="str">
        <f>IF(K3533&lt;-5,"CRÍTICO",IF(K3533&lt;0,"ATENÇÃO",IF(K3533&lt;=5,"OPORTUNO","MUITO BOM")))</f>
        <v>OPORTUNO</v>
      </c>
      <c r="M3533">
        <v>7</v>
      </c>
      <c r="N3533">
        <v>88.89</v>
      </c>
      <c r="O3533">
        <v>25.263157894736839</v>
      </c>
    </row>
    <row r="3534" spans="1:15" hidden="1" x14ac:dyDescent="0.25">
      <c r="A3534" s="11">
        <v>46112</v>
      </c>
      <c r="B3534" t="s">
        <v>43</v>
      </c>
      <c r="C3534" t="s">
        <v>32</v>
      </c>
      <c r="D3534">
        <v>34</v>
      </c>
      <c r="E3534">
        <v>30</v>
      </c>
      <c r="F3534">
        <v>15.39</v>
      </c>
      <c r="G3534">
        <v>0</v>
      </c>
      <c r="H3534">
        <v>0</v>
      </c>
      <c r="I3534" s="3">
        <f>E3534+G3534+H3534</f>
        <v>30</v>
      </c>
      <c r="J3534" s="3">
        <f>ROUND(MIN(IF(C3534="Técnico III",35,IF(C3534="Técnico II",28,IF(C3534="Técnico I",23,IF(C3534="JR",20,IF(C3534="Estágio",10,0))))),IF(C3534="Técnico III",SUMIFS($D:$D,$A:$A,$A3534,$B:$B,"&lt;&gt;Patrícia Karla de Sousa Araújo",$B:$B,"&lt;&gt;Lorena Dias de Araujo",$B:$B,"&lt;&gt;Lucas Luiz Romero")*(35/1083),IF(C3534="Técnico II",SUMIFS($D:$D,$A:$A,$A3534,$B:$B,"&lt;&gt;Patrícia Karla de Sousa Araújo",$B:$B,"&lt;&gt;Lorena Dias de Araujo",$B:$B,"&lt;&gt;Lucas Luiz Romero")*(28/1083),IF(C3534="Técnico I",SUMIFS($D:$D,$A:$A,$A3534,$B:$B,"&lt;&gt;Patrícia Karla de Sousa Araújo",$B:$B,"&lt;&gt;Lorena Dias de Araujo",$B:$B,"&lt;&gt;Lucas Luiz Romero")*(23/1083),IF(C3534="JR",SUMIFS($D:$D,$A:$A,$A3534,$B:$B,"&lt;&gt;Patrícia Karla de Sousa Araújo",$B:$B,"&lt;&gt;Lorena Dias de Araujo",$B:$B,"&lt;&gt;Lucas Luiz Romero")*(20/1083),IF(C3534="Estágio",SUMIFS($D:$D,$A:$A,$A3534,$B:$B,"&lt;&gt;Patrícia Karla de Sousa Araújo",$B:$B,"&lt;&gt;Lorena Dias de Araujo",$B:$B,"&lt;&gt;Lucas Luiz Romero")*(10/1083),0)))))),0)</f>
        <v>30</v>
      </c>
      <c r="K3534" s="3">
        <f>I3534-J3534</f>
        <v>0</v>
      </c>
      <c r="L3534" s="3" t="str">
        <f>IF(K3534&lt;-5,"CRÍTICO",IF(K3534&lt;0,"ATENÇÃO",IF(K3534&lt;=5,"OPORTUNO","MUITO BOM")))</f>
        <v>OPORTUNO</v>
      </c>
      <c r="M3534">
        <v>28</v>
      </c>
      <c r="N3534">
        <v>98.86</v>
      </c>
      <c r="O3534">
        <v>28.959276018099551</v>
      </c>
    </row>
    <row r="3535" spans="1:15" hidden="1" x14ac:dyDescent="0.25">
      <c r="A3535" s="11">
        <v>46112</v>
      </c>
      <c r="B3535" t="s">
        <v>44</v>
      </c>
      <c r="C3535" t="s">
        <v>32</v>
      </c>
      <c r="D3535">
        <v>40</v>
      </c>
      <c r="E3535">
        <v>37</v>
      </c>
      <c r="F3535">
        <v>11.53</v>
      </c>
      <c r="G3535">
        <v>0</v>
      </c>
      <c r="H3535">
        <v>0</v>
      </c>
      <c r="I3535" s="3">
        <f>E3535+G3535+H3535</f>
        <v>37</v>
      </c>
      <c r="J3535" s="3">
        <f>ROUND(MIN(IF(C3535="Técnico III",35,IF(C3535="Técnico II",28,IF(C3535="Técnico I",23,IF(C3535="JR",20,IF(C3535="Estágio",10,0))))),IF(C3535="Técnico III",SUMIFS($D:$D,$A:$A,$A3535,$B:$B,"&lt;&gt;Patrícia Karla de Sousa Araújo",$B:$B,"&lt;&gt;Lorena Dias de Araujo",$B:$B,"&lt;&gt;Lucas Luiz Romero")*(35/1083),IF(C3535="Técnico II",SUMIFS($D:$D,$A:$A,$A3535,$B:$B,"&lt;&gt;Patrícia Karla de Sousa Araújo",$B:$B,"&lt;&gt;Lorena Dias de Araujo",$B:$B,"&lt;&gt;Lucas Luiz Romero")*(28/1083),IF(C3535="Técnico I",SUMIFS($D:$D,$A:$A,$A3535,$B:$B,"&lt;&gt;Patrícia Karla de Sousa Araújo",$B:$B,"&lt;&gt;Lorena Dias de Araujo",$B:$B,"&lt;&gt;Lucas Luiz Romero")*(23/1083),IF(C3535="JR",SUMIFS($D:$D,$A:$A,$A3535,$B:$B,"&lt;&gt;Patrícia Karla de Sousa Araújo",$B:$B,"&lt;&gt;Lorena Dias de Araujo",$B:$B,"&lt;&gt;Lucas Luiz Romero")*(20/1083),IF(C3535="Estágio",SUMIFS($D:$D,$A:$A,$A3535,$B:$B,"&lt;&gt;Patrícia Karla de Sousa Araújo",$B:$B,"&lt;&gt;Lorena Dias de Araujo",$B:$B,"&lt;&gt;Lucas Luiz Romero")*(10/1083),0)))))),0)</f>
        <v>30</v>
      </c>
      <c r="K3535" s="3">
        <f>I3535-J3535</f>
        <v>7</v>
      </c>
      <c r="L3535" s="3" t="str">
        <f>IF(K3535&lt;-5,"CRÍTICO",IF(K3535&lt;0,"ATENÇÃO",IF(K3535&lt;=5,"OPORTUNO","MUITO BOM")))</f>
        <v>MUITO BOM</v>
      </c>
      <c r="M3535">
        <v>25</v>
      </c>
      <c r="N3535">
        <v>98.06</v>
      </c>
      <c r="O3535">
        <v>22.40566037735849</v>
      </c>
    </row>
    <row r="3536" spans="1:15" hidden="1" x14ac:dyDescent="0.25">
      <c r="A3536" s="11">
        <v>46112</v>
      </c>
      <c r="B3536" t="s">
        <v>20</v>
      </c>
      <c r="C3536" t="s">
        <v>16</v>
      </c>
      <c r="D3536">
        <v>20</v>
      </c>
      <c r="E3536">
        <v>19</v>
      </c>
      <c r="F3536">
        <v>27.18</v>
      </c>
      <c r="G3536">
        <v>0</v>
      </c>
      <c r="H3536">
        <v>0</v>
      </c>
      <c r="I3536" s="3">
        <f>E3536+G3536+H3536</f>
        <v>19</v>
      </c>
      <c r="J3536" s="3">
        <f>ROUND(MIN(IF(C3536="Técnico III",35,IF(C3536="Técnico II",28,IF(C3536="Técnico I",23,IF(C3536="JR",20,IF(C3536="Estágio",10,0))))),IF(C3536="Técnico III",SUMIFS($D:$D,$A:$A,$A3536,$B:$B,"&lt;&gt;Patrícia Karla de Sousa Araújo",$B:$B,"&lt;&gt;Lorena Dias de Araujo",$B:$B,"&lt;&gt;Lucas Luiz Romero")*(35/1083),IF(C3536="Técnico II",SUMIFS($D:$D,$A:$A,$A3536,$B:$B,"&lt;&gt;Patrícia Karla de Sousa Araújo",$B:$B,"&lt;&gt;Lorena Dias de Araujo",$B:$B,"&lt;&gt;Lucas Luiz Romero")*(28/1083),IF(C3536="Técnico I",SUMIFS($D:$D,$A:$A,$A3536,$B:$B,"&lt;&gt;Patrícia Karla de Sousa Araújo",$B:$B,"&lt;&gt;Lorena Dias de Araujo",$B:$B,"&lt;&gt;Lucas Luiz Romero")*(23/1083),IF(C3536="JR",SUMIFS($D:$D,$A:$A,$A3536,$B:$B,"&lt;&gt;Patrícia Karla de Sousa Araújo",$B:$B,"&lt;&gt;Lorena Dias de Araujo",$B:$B,"&lt;&gt;Lucas Luiz Romero")*(20/1083),IF(C3536="Estágio",SUMIFS($D:$D,$A:$A,$A3536,$B:$B,"&lt;&gt;Patrícia Karla de Sousa Araújo",$B:$B,"&lt;&gt;Lorena Dias de Araujo",$B:$B,"&lt;&gt;Lucas Luiz Romero")*(10/1083),0)))))),0)</f>
        <v>8</v>
      </c>
      <c r="K3536" s="3">
        <f>I3536-J3536</f>
        <v>11</v>
      </c>
      <c r="L3536" s="3" t="str">
        <f>IF(K3536&lt;-5,"CRÍTICO",IF(K3536&lt;0,"ATENÇÃO",IF(K3536&lt;=5,"OPORTUNO","MUITO BOM")))</f>
        <v>MUITO BOM</v>
      </c>
      <c r="M3536">
        <v>7</v>
      </c>
      <c r="N3536">
        <v>95.83</v>
      </c>
      <c r="O3536">
        <v>25.773195876288661</v>
      </c>
    </row>
    <row r="3537" spans="1:15" hidden="1" x14ac:dyDescent="0.25">
      <c r="A3537" s="11">
        <v>46112</v>
      </c>
      <c r="B3537" t="s">
        <v>28</v>
      </c>
      <c r="C3537" t="s">
        <v>26</v>
      </c>
      <c r="D3537">
        <v>22</v>
      </c>
      <c r="E3537">
        <v>17</v>
      </c>
      <c r="F3537">
        <v>20.21</v>
      </c>
      <c r="G3537">
        <v>0</v>
      </c>
      <c r="H3537">
        <v>0</v>
      </c>
      <c r="I3537" s="3">
        <f>E3537+G3537+H3537</f>
        <v>17</v>
      </c>
      <c r="J3537" s="3">
        <f>ROUND(MIN(IF(C3537="Técnico III",35,IF(C3537="Técnico II",28,IF(C3537="Técnico I",23,IF(C3537="JR",20,IF(C3537="Estágio",10,0))))),IF(C3537="Técnico III",SUMIFS($D:$D,$A:$A,$A3537,$B:$B,"&lt;&gt;Patrícia Karla de Sousa Araújo",$B:$B,"&lt;&gt;Lorena Dias de Araujo",$B:$B,"&lt;&gt;Lucas Luiz Romero")*(35/1083),IF(C3537="Técnico II",SUMIFS($D:$D,$A:$A,$A3537,$B:$B,"&lt;&gt;Patrícia Karla de Sousa Araújo",$B:$B,"&lt;&gt;Lorena Dias de Araujo",$B:$B,"&lt;&gt;Lucas Luiz Romero")*(28/1083),IF(C3537="Técnico I",SUMIFS($D:$D,$A:$A,$A3537,$B:$B,"&lt;&gt;Patrícia Karla de Sousa Araújo",$B:$B,"&lt;&gt;Lorena Dias de Araujo",$B:$B,"&lt;&gt;Lucas Luiz Romero")*(23/1083),IF(C3537="JR",SUMIFS($D:$D,$A:$A,$A3537,$B:$B,"&lt;&gt;Patrícia Karla de Sousa Araújo",$B:$B,"&lt;&gt;Lorena Dias de Araujo",$B:$B,"&lt;&gt;Lucas Luiz Romero")*(20/1083),IF(C3537="Estágio",SUMIFS($D:$D,$A:$A,$A3537,$B:$B,"&lt;&gt;Patrícia Karla de Sousa Araújo",$B:$B,"&lt;&gt;Lorena Dias de Araujo",$B:$B,"&lt;&gt;Lucas Luiz Romero")*(10/1083),0)))))),0)</f>
        <v>17</v>
      </c>
      <c r="K3537" s="3">
        <f>I3537-J3537</f>
        <v>0</v>
      </c>
      <c r="L3537" s="3" t="str">
        <f>IF(K3537&lt;-5,"CRÍTICO",IF(K3537&lt;0,"ATENÇÃO",IF(K3537&lt;=5,"OPORTUNO","MUITO BOM")))</f>
        <v>OPORTUNO</v>
      </c>
      <c r="M3537">
        <v>14</v>
      </c>
      <c r="N3537">
        <v>100</v>
      </c>
      <c r="O3537">
        <v>15.38461538461539</v>
      </c>
    </row>
    <row r="3538" spans="1:15" hidden="1" x14ac:dyDescent="0.25">
      <c r="A3538" s="11">
        <v>46112</v>
      </c>
      <c r="B3538" t="s">
        <v>58</v>
      </c>
      <c r="C3538" t="s">
        <v>48</v>
      </c>
      <c r="D3538">
        <v>32</v>
      </c>
      <c r="E3538">
        <v>30</v>
      </c>
      <c r="F3538">
        <v>18.39</v>
      </c>
      <c r="G3538">
        <v>0</v>
      </c>
      <c r="H3538">
        <v>0</v>
      </c>
      <c r="I3538" s="3">
        <f>E3538+G3538+H3538</f>
        <v>30</v>
      </c>
      <c r="J3538" s="3">
        <f>ROUND(MIN(IF(C3538="Técnico III",35,IF(C3538="Técnico II",28,IF(C3538="Técnico I",23,IF(C3538="JR",20,IF(C3538="Estágio",10,0))))),IF(C3538="Técnico III",SUMIFS($D:$D,$A:$A,$A3538,$B:$B,"&lt;&gt;Patrícia Karla de Sousa Araújo",$B:$B,"&lt;&gt;Lorena Dias de Araujo",$B:$B,"&lt;&gt;Lucas Luiz Romero")*(35/1083),IF(C3538="Técnico II",SUMIFS($D:$D,$A:$A,$A3538,$B:$B,"&lt;&gt;Patrícia Karla de Sousa Araújo",$B:$B,"&lt;&gt;Lorena Dias de Araujo",$B:$B,"&lt;&gt;Lucas Luiz Romero")*(28/1083),IF(C3538="Técnico I",SUMIFS($D:$D,$A:$A,$A3538,$B:$B,"&lt;&gt;Patrícia Karla de Sousa Araújo",$B:$B,"&lt;&gt;Lorena Dias de Araujo",$B:$B,"&lt;&gt;Lucas Luiz Romero")*(23/1083),IF(C3538="JR",SUMIFS($D:$D,$A:$A,$A3538,$B:$B,"&lt;&gt;Patrícia Karla de Sousa Araújo",$B:$B,"&lt;&gt;Lorena Dias de Araujo",$B:$B,"&lt;&gt;Lucas Luiz Romero")*(20/1083),IF(C3538="Estágio",SUMIFS($D:$D,$A:$A,$A3538,$B:$B,"&lt;&gt;Patrícia Karla de Sousa Araújo",$B:$B,"&lt;&gt;Lorena Dias de Araujo",$B:$B,"&lt;&gt;Lucas Luiz Romero")*(10/1083),0)))))),0)</f>
        <v>24</v>
      </c>
      <c r="K3538" s="3">
        <f>I3538-J3538</f>
        <v>6</v>
      </c>
      <c r="L3538" s="3" t="str">
        <f>IF(K3538&lt;-5,"CRÍTICO",IF(K3538&lt;0,"ATENÇÃO",IF(K3538&lt;=5,"OPORTUNO","MUITO BOM")))</f>
        <v>MUITO BOM</v>
      </c>
      <c r="M3538">
        <v>20</v>
      </c>
      <c r="N3538">
        <v>100</v>
      </c>
      <c r="O3538">
        <v>27.514792899408281</v>
      </c>
    </row>
    <row r="3539" spans="1:15" hidden="1" x14ac:dyDescent="0.25">
      <c r="A3539" s="11">
        <v>46112</v>
      </c>
      <c r="B3539" t="s">
        <v>29</v>
      </c>
      <c r="C3539" t="s">
        <v>26</v>
      </c>
      <c r="D3539">
        <v>21</v>
      </c>
      <c r="E3539">
        <v>19</v>
      </c>
      <c r="F3539">
        <v>18.510000000000002</v>
      </c>
      <c r="G3539">
        <v>0</v>
      </c>
      <c r="H3539">
        <v>0</v>
      </c>
      <c r="I3539" s="3">
        <f>E3539+G3539+H3539</f>
        <v>19</v>
      </c>
      <c r="J3539" s="3">
        <f>ROUND(MIN(IF(C3539="Técnico III",35,IF(C3539="Técnico II",28,IF(C3539="Técnico I",23,IF(C3539="JR",20,IF(C3539="Estágio",10,0))))),IF(C3539="Técnico III",SUMIFS($D:$D,$A:$A,$A3539,$B:$B,"&lt;&gt;Patrícia Karla de Sousa Araújo",$B:$B,"&lt;&gt;Lorena Dias de Araujo",$B:$B,"&lt;&gt;Lucas Luiz Romero")*(35/1083),IF(C3539="Técnico II",SUMIFS($D:$D,$A:$A,$A3539,$B:$B,"&lt;&gt;Patrícia Karla de Sousa Araújo",$B:$B,"&lt;&gt;Lorena Dias de Araujo",$B:$B,"&lt;&gt;Lucas Luiz Romero")*(28/1083),IF(C3539="Técnico I",SUMIFS($D:$D,$A:$A,$A3539,$B:$B,"&lt;&gt;Patrícia Karla de Sousa Araújo",$B:$B,"&lt;&gt;Lorena Dias de Araujo",$B:$B,"&lt;&gt;Lucas Luiz Romero")*(23/1083),IF(C3539="JR",SUMIFS($D:$D,$A:$A,$A3539,$B:$B,"&lt;&gt;Patrícia Karla de Sousa Araújo",$B:$B,"&lt;&gt;Lorena Dias de Araujo",$B:$B,"&lt;&gt;Lucas Luiz Romero")*(20/1083),IF(C3539="Estágio",SUMIFS($D:$D,$A:$A,$A3539,$B:$B,"&lt;&gt;Patrícia Karla de Sousa Araújo",$B:$B,"&lt;&gt;Lorena Dias de Araujo",$B:$B,"&lt;&gt;Lucas Luiz Romero")*(10/1083),0)))))),0)</f>
        <v>17</v>
      </c>
      <c r="K3539" s="3">
        <f>I3539-J3539</f>
        <v>2</v>
      </c>
      <c r="L3539" s="3" t="str">
        <f>IF(K3539&lt;-5,"CRÍTICO",IF(K3539&lt;0,"ATENÇÃO",IF(K3539&lt;=5,"OPORTUNO","MUITO BOM")))</f>
        <v>OPORTUNO</v>
      </c>
      <c r="M3539">
        <v>12</v>
      </c>
      <c r="N3539">
        <v>100</v>
      </c>
      <c r="O3539">
        <v>24.875621890547269</v>
      </c>
    </row>
    <row r="3540" spans="1:15" hidden="1" x14ac:dyDescent="0.25">
      <c r="A3540" s="11">
        <v>46112</v>
      </c>
      <c r="B3540" t="s">
        <v>30</v>
      </c>
      <c r="C3540" t="s">
        <v>26</v>
      </c>
      <c r="D3540">
        <v>27</v>
      </c>
      <c r="E3540">
        <v>25</v>
      </c>
      <c r="F3540">
        <v>22.34</v>
      </c>
      <c r="G3540">
        <v>0</v>
      </c>
      <c r="H3540">
        <v>0</v>
      </c>
      <c r="I3540" s="3">
        <f>E3540+G3540+H3540</f>
        <v>25</v>
      </c>
      <c r="J3540" s="3">
        <f>ROUND(MIN(IF(C3540="Técnico III",35,IF(C3540="Técnico II",28,IF(C3540="Técnico I",23,IF(C3540="JR",20,IF(C3540="Estágio",10,0))))),IF(C3540="Técnico III",SUMIFS($D:$D,$A:$A,$A3540,$B:$B,"&lt;&gt;Patrícia Karla de Sousa Araújo",$B:$B,"&lt;&gt;Lorena Dias de Araujo",$B:$B,"&lt;&gt;Lucas Luiz Romero")*(35/1083),IF(C3540="Técnico II",SUMIFS($D:$D,$A:$A,$A3540,$B:$B,"&lt;&gt;Patrícia Karla de Sousa Araújo",$B:$B,"&lt;&gt;Lorena Dias de Araujo",$B:$B,"&lt;&gt;Lucas Luiz Romero")*(28/1083),IF(C3540="Técnico I",SUMIFS($D:$D,$A:$A,$A3540,$B:$B,"&lt;&gt;Patrícia Karla de Sousa Araújo",$B:$B,"&lt;&gt;Lorena Dias de Araujo",$B:$B,"&lt;&gt;Lucas Luiz Romero")*(23/1083),IF(C3540="JR",SUMIFS($D:$D,$A:$A,$A3540,$B:$B,"&lt;&gt;Patrícia Karla de Sousa Araújo",$B:$B,"&lt;&gt;Lorena Dias de Araujo",$B:$B,"&lt;&gt;Lucas Luiz Romero")*(20/1083),IF(C3540="Estágio",SUMIFS($D:$D,$A:$A,$A3540,$B:$B,"&lt;&gt;Patrícia Karla de Sousa Araújo",$B:$B,"&lt;&gt;Lorena Dias de Araujo",$B:$B,"&lt;&gt;Lucas Luiz Romero")*(10/1083),0)))))),0)</f>
        <v>17</v>
      </c>
      <c r="K3540" s="3">
        <f>I3540-J3540</f>
        <v>8</v>
      </c>
      <c r="L3540" s="3" t="str">
        <f>IF(K3540&lt;-5,"CRÍTICO",IF(K3540&lt;0,"ATENÇÃO",IF(K3540&lt;=5,"OPORTUNO","MUITO BOM")))</f>
        <v>MUITO BOM</v>
      </c>
      <c r="M3540">
        <v>19</v>
      </c>
      <c r="N3540">
        <v>100</v>
      </c>
      <c r="O3540">
        <v>28.108108108108109</v>
      </c>
    </row>
    <row r="3541" spans="1:15" hidden="1" x14ac:dyDescent="0.25">
      <c r="A3541" s="11">
        <v>46112</v>
      </c>
      <c r="B3541" t="s">
        <v>21</v>
      </c>
      <c r="C3541" t="s">
        <v>16</v>
      </c>
      <c r="D3541">
        <v>8</v>
      </c>
      <c r="E3541">
        <v>6</v>
      </c>
      <c r="F3541">
        <v>34.04</v>
      </c>
      <c r="G3541">
        <v>0</v>
      </c>
      <c r="H3541">
        <v>0</v>
      </c>
      <c r="I3541" s="3">
        <f>E3541+G3541+H3541</f>
        <v>6</v>
      </c>
      <c r="J3541" s="3">
        <f>ROUND(MIN(IF(C3541="Técnico III",35,IF(C3541="Técnico II",28,IF(C3541="Técnico I",23,IF(C3541="JR",20,IF(C3541="Estágio",10,0))))),IF(C3541="Técnico III",SUMIFS($D:$D,$A:$A,$A3541,$B:$B,"&lt;&gt;Patrícia Karla de Sousa Araújo",$B:$B,"&lt;&gt;Lorena Dias de Araujo",$B:$B,"&lt;&gt;Lucas Luiz Romero")*(35/1083),IF(C3541="Técnico II",SUMIFS($D:$D,$A:$A,$A3541,$B:$B,"&lt;&gt;Patrícia Karla de Sousa Araújo",$B:$B,"&lt;&gt;Lorena Dias de Araujo",$B:$B,"&lt;&gt;Lucas Luiz Romero")*(28/1083),IF(C3541="Técnico I",SUMIFS($D:$D,$A:$A,$A3541,$B:$B,"&lt;&gt;Patrícia Karla de Sousa Araújo",$B:$B,"&lt;&gt;Lorena Dias de Araujo",$B:$B,"&lt;&gt;Lucas Luiz Romero")*(23/1083),IF(C3541="JR",SUMIFS($D:$D,$A:$A,$A3541,$B:$B,"&lt;&gt;Patrícia Karla de Sousa Araújo",$B:$B,"&lt;&gt;Lorena Dias de Araujo",$B:$B,"&lt;&gt;Lucas Luiz Romero")*(20/1083),IF(C3541="Estágio",SUMIFS($D:$D,$A:$A,$A3541,$B:$B,"&lt;&gt;Patrícia Karla de Sousa Araújo",$B:$B,"&lt;&gt;Lorena Dias de Araujo",$B:$B,"&lt;&gt;Lucas Luiz Romero")*(10/1083),0)))))),0)</f>
        <v>8</v>
      </c>
      <c r="K3541" s="3">
        <f>I3541-J3541</f>
        <v>-2</v>
      </c>
      <c r="L3541" s="3" t="str">
        <f>IF(K3541&lt;-5,"CRÍTICO",IF(K3541&lt;0,"ATENÇÃO",IF(K3541&lt;=5,"OPORTUNO","MUITO BOM")))</f>
        <v>ATENÇÃO</v>
      </c>
      <c r="M3541">
        <v>3</v>
      </c>
      <c r="N3541">
        <v>100</v>
      </c>
      <c r="O3541">
        <v>35</v>
      </c>
    </row>
    <row r="3542" spans="1:15" hidden="1" x14ac:dyDescent="0.25">
      <c r="A3542" s="11">
        <v>46112</v>
      </c>
      <c r="B3542" t="s">
        <v>63</v>
      </c>
      <c r="C3542" t="s">
        <v>23</v>
      </c>
      <c r="D3542">
        <v>29</v>
      </c>
      <c r="E3542">
        <v>28</v>
      </c>
      <c r="F3542">
        <v>18.54</v>
      </c>
      <c r="G3542">
        <v>0</v>
      </c>
      <c r="H3542">
        <v>0</v>
      </c>
      <c r="I3542" s="3">
        <f>E3542+G3542+H3542</f>
        <v>28</v>
      </c>
      <c r="J3542" s="3">
        <f>ROUND(MIN(IF(C3542="Técnico III",35,IF(C3542="Técnico II",28,IF(C3542="Técnico I",23,IF(C3542="JR",20,IF(C3542="Estágio",10,0))))),IF(C3542="Técnico III",SUMIFS($D:$D,$A:$A,$A3542,$B:$B,"&lt;&gt;Patrícia Karla de Sousa Araújo",$B:$B,"&lt;&gt;Lorena Dias de Araujo",$B:$B,"&lt;&gt;Lucas Luiz Romero")*(35/1083),IF(C3542="Técnico II",SUMIFS($D:$D,$A:$A,$A3542,$B:$B,"&lt;&gt;Patrícia Karla de Sousa Araújo",$B:$B,"&lt;&gt;Lorena Dias de Araujo",$B:$B,"&lt;&gt;Lucas Luiz Romero")*(28/1083),IF(C3542="Técnico I",SUMIFS($D:$D,$A:$A,$A3542,$B:$B,"&lt;&gt;Patrícia Karla de Sousa Araújo",$B:$B,"&lt;&gt;Lorena Dias de Araujo",$B:$B,"&lt;&gt;Lucas Luiz Romero")*(23/1083),IF(C3542="JR",SUMIFS($D:$D,$A:$A,$A3542,$B:$B,"&lt;&gt;Patrícia Karla de Sousa Araújo",$B:$B,"&lt;&gt;Lorena Dias de Araujo",$B:$B,"&lt;&gt;Lucas Luiz Romero")*(20/1083),IF(C3542="Estágio",SUMIFS($D:$D,$A:$A,$A3542,$B:$B,"&lt;&gt;Patrícia Karla de Sousa Araújo",$B:$B,"&lt;&gt;Lorena Dias de Araujo",$B:$B,"&lt;&gt;Lucas Luiz Romero")*(10/1083),0)))))),0)</f>
        <v>20</v>
      </c>
      <c r="K3542" s="3">
        <f>I3542-J3542</f>
        <v>8</v>
      </c>
      <c r="L3542" s="3" t="str">
        <f>IF(K3542&lt;-5,"CRÍTICO",IF(K3542&lt;0,"ATENÇÃO",IF(K3542&lt;=5,"OPORTUNO","MUITO BOM")))</f>
        <v>MUITO BOM</v>
      </c>
      <c r="M3542">
        <v>17</v>
      </c>
      <c r="N3542">
        <v>95.35</v>
      </c>
      <c r="O3542">
        <v>28.61538461538461</v>
      </c>
    </row>
    <row r="3543" spans="1:15" hidden="1" x14ac:dyDescent="0.25">
      <c r="A3543" s="11">
        <v>46112</v>
      </c>
      <c r="B3543" t="s">
        <v>45</v>
      </c>
      <c r="C3543" t="s">
        <v>32</v>
      </c>
      <c r="D3543">
        <v>47</v>
      </c>
      <c r="E3543">
        <v>42</v>
      </c>
      <c r="F3543">
        <v>12.22</v>
      </c>
      <c r="G3543">
        <v>0</v>
      </c>
      <c r="H3543">
        <v>0</v>
      </c>
      <c r="I3543" s="3">
        <f>E3543+G3543+H3543</f>
        <v>42</v>
      </c>
      <c r="J3543" s="3">
        <f>ROUND(MIN(IF(C3543="Técnico III",35,IF(C3543="Técnico II",28,IF(C3543="Técnico I",23,IF(C3543="JR",20,IF(C3543="Estágio",10,0))))),IF(C3543="Técnico III",SUMIFS($D:$D,$A:$A,$A3543,$B:$B,"&lt;&gt;Patrícia Karla de Sousa Araújo",$B:$B,"&lt;&gt;Lorena Dias de Araujo",$B:$B,"&lt;&gt;Lucas Luiz Romero")*(35/1083),IF(C3543="Técnico II",SUMIFS($D:$D,$A:$A,$A3543,$B:$B,"&lt;&gt;Patrícia Karla de Sousa Araújo",$B:$B,"&lt;&gt;Lorena Dias de Araujo",$B:$B,"&lt;&gt;Lucas Luiz Romero")*(28/1083),IF(C3543="Técnico I",SUMIFS($D:$D,$A:$A,$A3543,$B:$B,"&lt;&gt;Patrícia Karla de Sousa Araújo",$B:$B,"&lt;&gt;Lorena Dias de Araujo",$B:$B,"&lt;&gt;Lucas Luiz Romero")*(23/1083),IF(C3543="JR",SUMIFS($D:$D,$A:$A,$A3543,$B:$B,"&lt;&gt;Patrícia Karla de Sousa Araújo",$B:$B,"&lt;&gt;Lorena Dias de Araujo",$B:$B,"&lt;&gt;Lucas Luiz Romero")*(20/1083),IF(C3543="Estágio",SUMIFS($D:$D,$A:$A,$A3543,$B:$B,"&lt;&gt;Patrícia Karla de Sousa Araújo",$B:$B,"&lt;&gt;Lorena Dias de Araujo",$B:$B,"&lt;&gt;Lucas Luiz Romero")*(10/1083),0)))))),0)</f>
        <v>30</v>
      </c>
      <c r="K3543" s="3">
        <f>I3543-J3543</f>
        <v>12</v>
      </c>
      <c r="L3543" s="3" t="str">
        <f>IF(K3543&lt;-5,"CRÍTICO",IF(K3543&lt;0,"ATENÇÃO",IF(K3543&lt;=5,"OPORTUNO","MUITO BOM")))</f>
        <v>MUITO BOM</v>
      </c>
      <c r="M3543">
        <v>35</v>
      </c>
      <c r="N3543">
        <v>98.26</v>
      </c>
      <c r="O3543">
        <v>27.54491017964072</v>
      </c>
    </row>
    <row r="3544" spans="1:15" hidden="1" x14ac:dyDescent="0.25">
      <c r="A3544" s="11">
        <v>46112</v>
      </c>
      <c r="B3544" t="s">
        <v>64</v>
      </c>
      <c r="C3544" t="s">
        <v>23</v>
      </c>
      <c r="D3544">
        <v>17</v>
      </c>
      <c r="E3544">
        <v>16</v>
      </c>
      <c r="F3544">
        <v>33.590000000000003</v>
      </c>
      <c r="G3544">
        <v>0</v>
      </c>
      <c r="H3544">
        <v>0</v>
      </c>
      <c r="I3544" s="3">
        <f>E3544+G3544+H3544</f>
        <v>16</v>
      </c>
      <c r="J3544" s="3">
        <f>ROUND(MIN(IF(C3544="Técnico III",35,IF(C3544="Técnico II",28,IF(C3544="Técnico I",23,IF(C3544="JR",20,IF(C3544="Estágio",10,0))))),IF(C3544="Técnico III",SUMIFS($D:$D,$A:$A,$A3544,$B:$B,"&lt;&gt;Patrícia Karla de Sousa Araújo",$B:$B,"&lt;&gt;Lorena Dias de Araujo",$B:$B,"&lt;&gt;Lucas Luiz Romero")*(35/1083),IF(C3544="Técnico II",SUMIFS($D:$D,$A:$A,$A3544,$B:$B,"&lt;&gt;Patrícia Karla de Sousa Araújo",$B:$B,"&lt;&gt;Lorena Dias de Araujo",$B:$B,"&lt;&gt;Lucas Luiz Romero")*(28/1083),IF(C3544="Técnico I",SUMIFS($D:$D,$A:$A,$A3544,$B:$B,"&lt;&gt;Patrícia Karla de Sousa Araújo",$B:$B,"&lt;&gt;Lorena Dias de Araujo",$B:$B,"&lt;&gt;Lucas Luiz Romero")*(23/1083),IF(C3544="JR",SUMIFS($D:$D,$A:$A,$A3544,$B:$B,"&lt;&gt;Patrícia Karla de Sousa Araújo",$B:$B,"&lt;&gt;Lorena Dias de Araujo",$B:$B,"&lt;&gt;Lucas Luiz Romero")*(20/1083),IF(C3544="Estágio",SUMIFS($D:$D,$A:$A,$A3544,$B:$B,"&lt;&gt;Patrícia Karla de Sousa Araújo",$B:$B,"&lt;&gt;Lorena Dias de Araujo",$B:$B,"&lt;&gt;Lucas Luiz Romero")*(10/1083),0)))))),0)</f>
        <v>20</v>
      </c>
      <c r="K3544" s="3">
        <f>I3544-J3544</f>
        <v>-4</v>
      </c>
      <c r="L3544" s="3" t="str">
        <f>IF(K3544&lt;-5,"CRÍTICO",IF(K3544&lt;0,"ATENÇÃO",IF(K3544&lt;=5,"OPORTUNO","MUITO BOM")))</f>
        <v>ATENÇÃO</v>
      </c>
      <c r="M3544">
        <v>14</v>
      </c>
      <c r="N3544">
        <v>98.55</v>
      </c>
      <c r="O3544">
        <v>25.337837837837839</v>
      </c>
    </row>
    <row r="3545" spans="1:15" hidden="1" x14ac:dyDescent="0.25">
      <c r="A3545" s="11">
        <v>46112</v>
      </c>
      <c r="B3545" t="s">
        <v>46</v>
      </c>
      <c r="C3545" t="s">
        <v>32</v>
      </c>
      <c r="D3545">
        <v>35</v>
      </c>
      <c r="E3545">
        <v>33</v>
      </c>
      <c r="F3545">
        <v>15.24</v>
      </c>
      <c r="G3545">
        <v>0</v>
      </c>
      <c r="H3545">
        <v>0</v>
      </c>
      <c r="I3545" s="3">
        <f>E3545+G3545+H3545</f>
        <v>33</v>
      </c>
      <c r="J3545" s="3">
        <f>ROUND(MIN(IF(C3545="Técnico III",35,IF(C3545="Técnico II",28,IF(C3545="Técnico I",23,IF(C3545="JR",20,IF(C3545="Estágio",10,0))))),IF(C3545="Técnico III",SUMIFS($D:$D,$A:$A,$A3545,$B:$B,"&lt;&gt;Patrícia Karla de Sousa Araújo",$B:$B,"&lt;&gt;Lorena Dias de Araujo",$B:$B,"&lt;&gt;Lucas Luiz Romero")*(35/1083),IF(C3545="Técnico II",SUMIFS($D:$D,$A:$A,$A3545,$B:$B,"&lt;&gt;Patrícia Karla de Sousa Araújo",$B:$B,"&lt;&gt;Lorena Dias de Araujo",$B:$B,"&lt;&gt;Lucas Luiz Romero")*(28/1083),IF(C3545="Técnico I",SUMIFS($D:$D,$A:$A,$A3545,$B:$B,"&lt;&gt;Patrícia Karla de Sousa Araújo",$B:$B,"&lt;&gt;Lorena Dias de Araujo",$B:$B,"&lt;&gt;Lucas Luiz Romero")*(23/1083),IF(C3545="JR",SUMIFS($D:$D,$A:$A,$A3545,$B:$B,"&lt;&gt;Patrícia Karla de Sousa Araújo",$B:$B,"&lt;&gt;Lorena Dias de Araujo",$B:$B,"&lt;&gt;Lucas Luiz Romero")*(20/1083),IF(C3545="Estágio",SUMIFS($D:$D,$A:$A,$A3545,$B:$B,"&lt;&gt;Patrícia Karla de Sousa Araújo",$B:$B,"&lt;&gt;Lorena Dias de Araujo",$B:$B,"&lt;&gt;Lucas Luiz Romero")*(10/1083),0)))))),0)</f>
        <v>30</v>
      </c>
      <c r="K3545" s="3">
        <f>I3545-J3545</f>
        <v>3</v>
      </c>
      <c r="L3545" s="3" t="str">
        <f>IF(K3545&lt;-5,"CRÍTICO",IF(K3545&lt;0,"ATENÇÃO",IF(K3545&lt;=5,"OPORTUNO","MUITO BOM")))</f>
        <v>OPORTUNO</v>
      </c>
      <c r="M3545">
        <v>27</v>
      </c>
      <c r="N3545">
        <v>98.39</v>
      </c>
      <c r="O3545">
        <v>25.563909774436091</v>
      </c>
    </row>
    <row r="3546" spans="1:15" hidden="1" x14ac:dyDescent="0.25">
      <c r="A3546" s="11">
        <v>46113</v>
      </c>
      <c r="B3546" t="s">
        <v>47</v>
      </c>
      <c r="C3546" t="s">
        <v>48</v>
      </c>
      <c r="D3546">
        <v>17</v>
      </c>
      <c r="E3546">
        <v>15</v>
      </c>
      <c r="F3546">
        <v>18.22</v>
      </c>
      <c r="G3546">
        <v>0</v>
      </c>
      <c r="H3546">
        <v>0</v>
      </c>
      <c r="I3546" s="3">
        <f>E3546+G3546+H3546</f>
        <v>15</v>
      </c>
      <c r="J3546" s="3">
        <f>ROUND(MIN(IF(C3546="Técnico III",35,IF(C3546="Técnico II",28,IF(C3546="Técnico I",23,IF(C3546="JR",20,IF(C3546="Estágio",10,0))))),IF(C3546="Técnico III",SUMIFS($D:$D,$A:$A,$A3546,$B:$B,"&lt;&gt;Patrícia Karla de Sousa Araújo",$B:$B,"&lt;&gt;Lorena Dias de Araujo",$B:$B,"&lt;&gt;Lucas Luiz Romero")*(35/1083),IF(C3546="Técnico II",SUMIFS($D:$D,$A:$A,$A3546,$B:$B,"&lt;&gt;Patrícia Karla de Sousa Araújo",$B:$B,"&lt;&gt;Lorena Dias de Araujo",$B:$B,"&lt;&gt;Lucas Luiz Romero")*(28/1083),IF(C3546="Técnico I",SUMIFS($D:$D,$A:$A,$A3546,$B:$B,"&lt;&gt;Patrícia Karla de Sousa Araújo",$B:$B,"&lt;&gt;Lorena Dias de Araujo",$B:$B,"&lt;&gt;Lucas Luiz Romero")*(23/1083),IF(C3546="JR",SUMIFS($D:$D,$A:$A,$A3546,$B:$B,"&lt;&gt;Patrícia Karla de Sousa Araújo",$B:$B,"&lt;&gt;Lorena Dias de Araujo",$B:$B,"&lt;&gt;Lucas Luiz Romero")*(20/1083),IF(C3546="Estágio",SUMIFS($D:$D,$A:$A,$A3546,$B:$B,"&lt;&gt;Patrícia Karla de Sousa Araújo",$B:$B,"&lt;&gt;Lorena Dias de Araujo",$B:$B,"&lt;&gt;Lucas Luiz Romero")*(10/1083),0)))))),0)</f>
        <v>25</v>
      </c>
      <c r="K3546" s="3">
        <f>I3546-J3546</f>
        <v>-10</v>
      </c>
      <c r="L3546" s="3" t="str">
        <f>IF(K3546&lt;-5,"CRÍTICO",IF(K3546&lt;0,"ATENÇÃO",IF(K3546&lt;=5,"OPORTUNO","MUITO BOM")))</f>
        <v>CRÍTICO</v>
      </c>
      <c r="M3546">
        <v>13</v>
      </c>
      <c r="N3546">
        <v>100</v>
      </c>
      <c r="O3546">
        <v>32.764505119453922</v>
      </c>
    </row>
    <row r="3547" spans="1:15" hidden="1" x14ac:dyDescent="0.25">
      <c r="A3547" s="11">
        <v>46113</v>
      </c>
      <c r="B3547" t="s">
        <v>31</v>
      </c>
      <c r="C3547" t="s">
        <v>32</v>
      </c>
      <c r="D3547">
        <v>0</v>
      </c>
      <c r="E3547">
        <v>0</v>
      </c>
      <c r="F3547">
        <v>0</v>
      </c>
      <c r="G3547">
        <v>0</v>
      </c>
      <c r="H3547">
        <v>0</v>
      </c>
      <c r="I3547" s="3">
        <v>0</v>
      </c>
      <c r="J3547" s="3">
        <v>0</v>
      </c>
      <c r="K3547" s="3">
        <v>0</v>
      </c>
      <c r="L3547" s="3" t="str">
        <f>IF(K3547&lt;-5,"CRÍTICO",IF(K3547&lt;0,"ATENÇÃO",IF(K3547&lt;=5,"OPORTUNO","MUITO BOM")))</f>
        <v>OPORTUNO</v>
      </c>
      <c r="M3547">
        <v>24</v>
      </c>
      <c r="N3547">
        <v>98.66</v>
      </c>
      <c r="O3547">
        <v>35.416666666666671</v>
      </c>
    </row>
    <row r="3548" spans="1:15" hidden="1" x14ac:dyDescent="0.25">
      <c r="A3548" s="11">
        <v>46113</v>
      </c>
      <c r="B3548" t="s">
        <v>59</v>
      </c>
      <c r="C3548" t="s">
        <v>23</v>
      </c>
      <c r="D3548">
        <v>26</v>
      </c>
      <c r="E3548">
        <v>26</v>
      </c>
      <c r="F3548">
        <v>21.52</v>
      </c>
      <c r="G3548">
        <v>0</v>
      </c>
      <c r="H3548">
        <v>0</v>
      </c>
      <c r="I3548" s="3">
        <f>E3548+G3548+H3548</f>
        <v>26</v>
      </c>
      <c r="J3548" s="3">
        <f>ROUND(MIN(IF(C3548="Técnico III",35,IF(C3548="Técnico II",28,IF(C3548="Técnico I",23,IF(C3548="JR",20,IF(C3548="Estágio",10,0))))),IF(C3548="Técnico III",SUMIFS($D:$D,$A:$A,$A3548,$B:$B,"&lt;&gt;Patrícia Karla de Sousa Araújo",$B:$B,"&lt;&gt;Lorena Dias de Araujo",$B:$B,"&lt;&gt;Lucas Luiz Romero")*(35/1083),IF(C3548="Técnico II",SUMIFS($D:$D,$A:$A,$A3548,$B:$B,"&lt;&gt;Patrícia Karla de Sousa Araújo",$B:$B,"&lt;&gt;Lorena Dias de Araujo",$B:$B,"&lt;&gt;Lucas Luiz Romero")*(28/1083),IF(C3548="Técnico I",SUMIFS($D:$D,$A:$A,$A3548,$B:$B,"&lt;&gt;Patrícia Karla de Sousa Araújo",$B:$B,"&lt;&gt;Lorena Dias de Araujo",$B:$B,"&lt;&gt;Lucas Luiz Romero")*(23/1083),IF(C3548="JR",SUMIFS($D:$D,$A:$A,$A3548,$B:$B,"&lt;&gt;Patrícia Karla de Sousa Araújo",$B:$B,"&lt;&gt;Lorena Dias de Araujo",$B:$B,"&lt;&gt;Lucas Luiz Romero")*(20/1083),IF(C3548="Estágio",SUMIFS($D:$D,$A:$A,$A3548,$B:$B,"&lt;&gt;Patrícia Karla de Sousa Araújo",$B:$B,"&lt;&gt;Lorena Dias de Araujo",$B:$B,"&lt;&gt;Lucas Luiz Romero")*(10/1083),0)))))),0)</f>
        <v>21</v>
      </c>
      <c r="K3548" s="3">
        <f>I3548-J3548</f>
        <v>5</v>
      </c>
      <c r="L3548" s="3" t="str">
        <f>IF(K3548&lt;-5,"CRÍTICO",IF(K3548&lt;0,"ATENÇÃO",IF(K3548&lt;=5,"OPORTUNO","MUITO BOM")))</f>
        <v>OPORTUNO</v>
      </c>
      <c r="M3548">
        <v>26</v>
      </c>
      <c r="N3548">
        <v>99.32</v>
      </c>
      <c r="O3548">
        <v>30.648330058939099</v>
      </c>
    </row>
    <row r="3549" spans="1:15" hidden="1" x14ac:dyDescent="0.25">
      <c r="A3549" s="11">
        <v>46113</v>
      </c>
      <c r="B3549" t="s">
        <v>33</v>
      </c>
      <c r="C3549" t="s">
        <v>32</v>
      </c>
      <c r="D3549">
        <v>22</v>
      </c>
      <c r="E3549">
        <v>21</v>
      </c>
      <c r="F3549">
        <v>26.55</v>
      </c>
      <c r="G3549">
        <v>0</v>
      </c>
      <c r="H3549">
        <v>0</v>
      </c>
      <c r="I3549" s="3">
        <f>E3549+G3549+H3549</f>
        <v>21</v>
      </c>
      <c r="J3549" s="3">
        <f>ROUND(MIN(IF(C3549="Técnico III",35,IF(C3549="Técnico II",28,IF(C3549="Técnico I",23,IF(C3549="JR",20,IF(C3549="Estágio",10,0))))),IF(C3549="Técnico III",SUMIFS($D:$D,$A:$A,$A3549,$B:$B,"&lt;&gt;Patrícia Karla de Sousa Araújo",$B:$B,"&lt;&gt;Lorena Dias de Araujo",$B:$B,"&lt;&gt;Lucas Luiz Romero")*(35/1083),IF(C3549="Técnico II",SUMIFS($D:$D,$A:$A,$A3549,$B:$B,"&lt;&gt;Patrícia Karla de Sousa Araújo",$B:$B,"&lt;&gt;Lorena Dias de Araujo",$B:$B,"&lt;&gt;Lucas Luiz Romero")*(28/1083),IF(C3549="Técnico I",SUMIFS($D:$D,$A:$A,$A3549,$B:$B,"&lt;&gt;Patrícia Karla de Sousa Araújo",$B:$B,"&lt;&gt;Lorena Dias de Araujo",$B:$B,"&lt;&gt;Lucas Luiz Romero")*(23/1083),IF(C3549="JR",SUMIFS($D:$D,$A:$A,$A3549,$B:$B,"&lt;&gt;Patrícia Karla de Sousa Araújo",$B:$B,"&lt;&gt;Lorena Dias de Araujo",$B:$B,"&lt;&gt;Lucas Luiz Romero")*(20/1083),IF(C3549="Estágio",SUMIFS($D:$D,$A:$A,$A3549,$B:$B,"&lt;&gt;Patrícia Karla de Sousa Araújo",$B:$B,"&lt;&gt;Lorena Dias de Araujo",$B:$B,"&lt;&gt;Lucas Luiz Romero")*(10/1083),0)))))),0)</f>
        <v>32</v>
      </c>
      <c r="K3549" s="3">
        <f>I3549-J3549</f>
        <v>-11</v>
      </c>
      <c r="L3549" s="3" t="str">
        <f>IF(K3549&lt;-5,"CRÍTICO",IF(K3549&lt;0,"ATENÇÃO",IF(K3549&lt;=5,"OPORTUNO","MUITO BOM")))</f>
        <v>CRÍTICO</v>
      </c>
      <c r="M3549">
        <v>20</v>
      </c>
      <c r="N3549">
        <v>100</v>
      </c>
      <c r="O3549">
        <v>27.803738317757009</v>
      </c>
    </row>
    <row r="3550" spans="1:15" hidden="1" x14ac:dyDescent="0.25">
      <c r="A3550" s="11">
        <v>46113</v>
      </c>
      <c r="B3550" t="s">
        <v>15</v>
      </c>
      <c r="C3550" t="s">
        <v>16</v>
      </c>
      <c r="D3550">
        <v>17</v>
      </c>
      <c r="E3550">
        <v>16</v>
      </c>
      <c r="F3550">
        <v>20.010000000000002</v>
      </c>
      <c r="G3550">
        <v>0</v>
      </c>
      <c r="H3550">
        <v>0</v>
      </c>
      <c r="I3550" s="3">
        <f>E3550+G3550+H3550</f>
        <v>16</v>
      </c>
      <c r="J3550" s="3">
        <f>ROUND(MIN(IF(C3550="Técnico III",35,IF(C3550="Técnico II",28,IF(C3550="Técnico I",23,IF(C3550="JR",20,IF(C3550="Estágio",10,0))))),IF(C3550="Técnico III",SUMIFS($D:$D,$A:$A,$A3550,$B:$B,"&lt;&gt;Patrícia Karla de Sousa Araújo",$B:$B,"&lt;&gt;Lorena Dias de Araujo",$B:$B,"&lt;&gt;Lucas Luiz Romero")*(35/1083),IF(C3550="Técnico II",SUMIFS($D:$D,$A:$A,$A3550,$B:$B,"&lt;&gt;Patrícia Karla de Sousa Araújo",$B:$B,"&lt;&gt;Lorena Dias de Araujo",$B:$B,"&lt;&gt;Lucas Luiz Romero")*(28/1083),IF(C3550="Técnico I",SUMIFS($D:$D,$A:$A,$A3550,$B:$B,"&lt;&gt;Patrícia Karla de Sousa Araújo",$B:$B,"&lt;&gt;Lorena Dias de Araujo",$B:$B,"&lt;&gt;Lucas Luiz Romero")*(23/1083),IF(C3550="JR",SUMIFS($D:$D,$A:$A,$A3550,$B:$B,"&lt;&gt;Patrícia Karla de Sousa Araújo",$B:$B,"&lt;&gt;Lorena Dias de Araujo",$B:$B,"&lt;&gt;Lucas Luiz Romero")*(20/1083),IF(C3550="Estágio",SUMIFS($D:$D,$A:$A,$A3550,$B:$B,"&lt;&gt;Patrícia Karla de Sousa Araújo",$B:$B,"&lt;&gt;Lorena Dias de Araujo",$B:$B,"&lt;&gt;Lucas Luiz Romero")*(10/1083),0)))))),0)</f>
        <v>9</v>
      </c>
      <c r="K3550" s="3">
        <f>I3550-J3550</f>
        <v>7</v>
      </c>
      <c r="L3550" s="3" t="str">
        <f>IF(K3550&lt;-5,"CRÍTICO",IF(K3550&lt;0,"ATENÇÃO",IF(K3550&lt;=5,"OPORTUNO","MUITO BOM")))</f>
        <v>MUITO BOM</v>
      </c>
      <c r="M3550">
        <v>15</v>
      </c>
      <c r="N3550">
        <v>96.74</v>
      </c>
      <c r="O3550">
        <v>28.67647058823529</v>
      </c>
    </row>
    <row r="3551" spans="1:15" hidden="1" x14ac:dyDescent="0.25">
      <c r="A3551" s="11">
        <v>46113</v>
      </c>
      <c r="B3551" t="s">
        <v>49</v>
      </c>
      <c r="C3551" t="s">
        <v>48</v>
      </c>
      <c r="D3551">
        <v>44</v>
      </c>
      <c r="E3551">
        <v>36</v>
      </c>
      <c r="F3551">
        <v>13.25</v>
      </c>
      <c r="G3551">
        <v>0</v>
      </c>
      <c r="H3551">
        <v>0</v>
      </c>
      <c r="I3551" s="3">
        <f>E3551+G3551+H3551</f>
        <v>36</v>
      </c>
      <c r="J3551" s="3">
        <f>ROUND(MIN(IF(C3551="Técnico III",35,IF(C3551="Técnico II",28,IF(C3551="Técnico I",23,IF(C3551="JR",20,IF(C3551="Estágio",10,0))))),IF(C3551="Técnico III",SUMIFS($D:$D,$A:$A,$A3551,$B:$B,"&lt;&gt;Patrícia Karla de Sousa Araújo",$B:$B,"&lt;&gt;Lorena Dias de Araujo",$B:$B,"&lt;&gt;Lucas Luiz Romero")*(35/1083),IF(C3551="Técnico II",SUMIFS($D:$D,$A:$A,$A3551,$B:$B,"&lt;&gt;Patrícia Karla de Sousa Araújo",$B:$B,"&lt;&gt;Lorena Dias de Araujo",$B:$B,"&lt;&gt;Lucas Luiz Romero")*(28/1083),IF(C3551="Técnico I",SUMIFS($D:$D,$A:$A,$A3551,$B:$B,"&lt;&gt;Patrícia Karla de Sousa Araújo",$B:$B,"&lt;&gt;Lorena Dias de Araujo",$B:$B,"&lt;&gt;Lucas Luiz Romero")*(23/1083),IF(C3551="JR",SUMIFS($D:$D,$A:$A,$A3551,$B:$B,"&lt;&gt;Patrícia Karla de Sousa Araújo",$B:$B,"&lt;&gt;Lorena Dias de Araujo",$B:$B,"&lt;&gt;Lucas Luiz Romero")*(20/1083),IF(C3551="Estágio",SUMIFS($D:$D,$A:$A,$A3551,$B:$B,"&lt;&gt;Patrícia Karla de Sousa Araújo",$B:$B,"&lt;&gt;Lorena Dias de Araujo",$B:$B,"&lt;&gt;Lucas Luiz Romero")*(10/1083),0)))))),0)</f>
        <v>25</v>
      </c>
      <c r="K3551" s="3">
        <f>I3551-J3551</f>
        <v>11</v>
      </c>
      <c r="L3551" s="3" t="str">
        <f>IF(K3551&lt;-5,"CRÍTICO",IF(K3551&lt;0,"ATENÇÃO",IF(K3551&lt;=5,"OPORTUNO","MUITO BOM")))</f>
        <v>MUITO BOM</v>
      </c>
      <c r="M3551">
        <v>39</v>
      </c>
      <c r="N3551">
        <v>98.82</v>
      </c>
      <c r="O3551">
        <v>30.741410488245929</v>
      </c>
    </row>
    <row r="3552" spans="1:15" hidden="1" x14ac:dyDescent="0.25">
      <c r="A3552" s="11">
        <v>46113</v>
      </c>
      <c r="B3552" t="s">
        <v>50</v>
      </c>
      <c r="C3552" t="s">
        <v>48</v>
      </c>
      <c r="D3552">
        <v>21</v>
      </c>
      <c r="E3552">
        <v>20</v>
      </c>
      <c r="F3552">
        <v>27.38</v>
      </c>
      <c r="G3552">
        <v>0</v>
      </c>
      <c r="H3552">
        <v>0</v>
      </c>
      <c r="I3552" s="3">
        <f>E3552+G3552+H3552</f>
        <v>20</v>
      </c>
      <c r="J3552" s="3">
        <f>ROUND(MIN(IF(C3552="Técnico III",35,IF(C3552="Técnico II",28,IF(C3552="Técnico I",23,IF(C3552="JR",20,IF(C3552="Estágio",10,0))))),IF(C3552="Técnico III",SUMIFS($D:$D,$A:$A,$A3552,$B:$B,"&lt;&gt;Patrícia Karla de Sousa Araújo",$B:$B,"&lt;&gt;Lorena Dias de Araujo",$B:$B,"&lt;&gt;Lucas Luiz Romero")*(35/1083),IF(C3552="Técnico II",SUMIFS($D:$D,$A:$A,$A3552,$B:$B,"&lt;&gt;Patrícia Karla de Sousa Araújo",$B:$B,"&lt;&gt;Lorena Dias de Araujo",$B:$B,"&lt;&gt;Lucas Luiz Romero")*(28/1083),IF(C3552="Técnico I",SUMIFS($D:$D,$A:$A,$A3552,$B:$B,"&lt;&gt;Patrícia Karla de Sousa Araújo",$B:$B,"&lt;&gt;Lorena Dias de Araujo",$B:$B,"&lt;&gt;Lucas Luiz Romero")*(23/1083),IF(C3552="JR",SUMIFS($D:$D,$A:$A,$A3552,$B:$B,"&lt;&gt;Patrícia Karla de Sousa Araújo",$B:$B,"&lt;&gt;Lorena Dias de Araujo",$B:$B,"&lt;&gt;Lucas Luiz Romero")*(20/1083),IF(C3552="Estágio",SUMIFS($D:$D,$A:$A,$A3552,$B:$B,"&lt;&gt;Patrícia Karla de Sousa Araújo",$B:$B,"&lt;&gt;Lorena Dias de Araujo",$B:$B,"&lt;&gt;Lucas Luiz Romero")*(10/1083),0)))))),0)</f>
        <v>25</v>
      </c>
      <c r="K3552" s="3">
        <f>I3552-J3552</f>
        <v>-5</v>
      </c>
      <c r="L3552" s="3" t="str">
        <f>IF(K3552&lt;-5,"CRÍTICO",IF(K3552&lt;0,"ATENÇÃO",IF(K3552&lt;=5,"OPORTUNO","MUITO BOM")))</f>
        <v>ATENÇÃO</v>
      </c>
      <c r="M3552">
        <v>18</v>
      </c>
      <c r="N3552">
        <v>98.2</v>
      </c>
      <c r="O3552">
        <v>27.170868347338931</v>
      </c>
    </row>
    <row r="3553" spans="1:15" hidden="1" x14ac:dyDescent="0.25">
      <c r="A3553" s="11">
        <v>46113</v>
      </c>
      <c r="B3553" t="s">
        <v>17</v>
      </c>
      <c r="C3553" t="s">
        <v>16</v>
      </c>
      <c r="D3553">
        <v>9</v>
      </c>
      <c r="E3553">
        <v>9</v>
      </c>
      <c r="F3553">
        <v>28.3</v>
      </c>
      <c r="G3553">
        <v>0</v>
      </c>
      <c r="H3553">
        <v>0</v>
      </c>
      <c r="I3553" s="3">
        <f>E3553+G3553+H3553</f>
        <v>9</v>
      </c>
      <c r="J3553" s="3">
        <f>ROUND(MIN(IF(C3553="Técnico III",35,IF(C3553="Técnico II",28,IF(C3553="Técnico I",23,IF(C3553="JR",20,IF(C3553="Estágio",10,0))))),IF(C3553="Técnico III",SUMIFS($D:$D,$A:$A,$A3553,$B:$B,"&lt;&gt;Patrícia Karla de Sousa Araújo",$B:$B,"&lt;&gt;Lorena Dias de Araujo",$B:$B,"&lt;&gt;Lucas Luiz Romero")*(35/1083),IF(C3553="Técnico II",SUMIFS($D:$D,$A:$A,$A3553,$B:$B,"&lt;&gt;Patrícia Karla de Sousa Araújo",$B:$B,"&lt;&gt;Lorena Dias de Araujo",$B:$B,"&lt;&gt;Lucas Luiz Romero")*(28/1083),IF(C3553="Técnico I",SUMIFS($D:$D,$A:$A,$A3553,$B:$B,"&lt;&gt;Patrícia Karla de Sousa Araújo",$B:$B,"&lt;&gt;Lorena Dias de Araujo",$B:$B,"&lt;&gt;Lucas Luiz Romero")*(23/1083),IF(C3553="JR",SUMIFS($D:$D,$A:$A,$A3553,$B:$B,"&lt;&gt;Patrícia Karla de Sousa Araújo",$B:$B,"&lt;&gt;Lorena Dias de Araujo",$B:$B,"&lt;&gt;Lucas Luiz Romero")*(20/1083),IF(C3553="Estágio",SUMIFS($D:$D,$A:$A,$A3553,$B:$B,"&lt;&gt;Patrícia Karla de Sousa Araújo",$B:$B,"&lt;&gt;Lorena Dias de Araujo",$B:$B,"&lt;&gt;Lucas Luiz Romero")*(10/1083),0)))))),0)</f>
        <v>9</v>
      </c>
      <c r="K3553" s="3">
        <f>I3553-J3553</f>
        <v>0</v>
      </c>
      <c r="L3553" s="3" t="str">
        <f>IF(K3553&lt;-5,"CRÍTICO",IF(K3553&lt;0,"ATENÇÃO",IF(K3553&lt;=5,"OPORTUNO","MUITO BOM")))</f>
        <v>OPORTUNO</v>
      </c>
      <c r="M3553">
        <v>9</v>
      </c>
      <c r="N3553">
        <v>100</v>
      </c>
      <c r="O3553">
        <v>23.134328358208951</v>
      </c>
    </row>
    <row r="3554" spans="1:15" hidden="1" x14ac:dyDescent="0.25">
      <c r="A3554" s="11">
        <v>46113</v>
      </c>
      <c r="B3554" t="s">
        <v>60</v>
      </c>
      <c r="C3554" t="s">
        <v>23</v>
      </c>
      <c r="D3554">
        <v>28</v>
      </c>
      <c r="E3554">
        <v>26</v>
      </c>
      <c r="F3554">
        <v>18.22</v>
      </c>
      <c r="G3554">
        <v>0</v>
      </c>
      <c r="H3554">
        <v>0</v>
      </c>
      <c r="I3554" s="3">
        <f>E3554+G3554+H3554</f>
        <v>26</v>
      </c>
      <c r="J3554" s="3">
        <f>ROUND(MIN(IF(C3554="Técnico III",35,IF(C3554="Técnico II",28,IF(C3554="Técnico I",23,IF(C3554="JR",20,IF(C3554="Estágio",10,0))))),IF(C3554="Técnico III",SUMIFS($D:$D,$A:$A,$A3554,$B:$B,"&lt;&gt;Patrícia Karla de Sousa Araújo",$B:$B,"&lt;&gt;Lorena Dias de Araujo",$B:$B,"&lt;&gt;Lucas Luiz Romero")*(35/1083),IF(C3554="Técnico II",SUMIFS($D:$D,$A:$A,$A3554,$B:$B,"&lt;&gt;Patrícia Karla de Sousa Araújo",$B:$B,"&lt;&gt;Lorena Dias de Araujo",$B:$B,"&lt;&gt;Lucas Luiz Romero")*(28/1083),IF(C3554="Técnico I",SUMIFS($D:$D,$A:$A,$A3554,$B:$B,"&lt;&gt;Patrícia Karla de Sousa Araújo",$B:$B,"&lt;&gt;Lorena Dias de Araujo",$B:$B,"&lt;&gt;Lucas Luiz Romero")*(23/1083),IF(C3554="JR",SUMIFS($D:$D,$A:$A,$A3554,$B:$B,"&lt;&gt;Patrícia Karla de Sousa Araújo",$B:$B,"&lt;&gt;Lorena Dias de Araujo",$B:$B,"&lt;&gt;Lucas Luiz Romero")*(20/1083),IF(C3554="Estágio",SUMIFS($D:$D,$A:$A,$A3554,$B:$B,"&lt;&gt;Patrícia Karla de Sousa Araújo",$B:$B,"&lt;&gt;Lorena Dias de Araujo",$B:$B,"&lt;&gt;Lucas Luiz Romero")*(10/1083),0)))))),0)</f>
        <v>21</v>
      </c>
      <c r="K3554" s="3">
        <f>I3554-J3554</f>
        <v>5</v>
      </c>
      <c r="L3554" s="3" t="str">
        <f>IF(K3554&lt;-5,"CRÍTICO",IF(K3554&lt;0,"ATENÇÃO",IF(K3554&lt;=5,"OPORTUNO","MUITO BOM")))</f>
        <v>OPORTUNO</v>
      </c>
      <c r="M3554">
        <v>26</v>
      </c>
      <c r="N3554">
        <v>96.3</v>
      </c>
      <c r="O3554">
        <v>32.219570405727922</v>
      </c>
    </row>
    <row r="3555" spans="1:15" hidden="1" x14ac:dyDescent="0.25">
      <c r="A3555" s="11">
        <v>46113</v>
      </c>
      <c r="B3555" t="s">
        <v>34</v>
      </c>
      <c r="C3555" t="s">
        <v>32</v>
      </c>
      <c r="D3555">
        <v>30</v>
      </c>
      <c r="E3555">
        <v>28</v>
      </c>
      <c r="F3555">
        <v>13.22</v>
      </c>
      <c r="G3555">
        <v>0</v>
      </c>
      <c r="H3555">
        <v>0</v>
      </c>
      <c r="I3555" s="3">
        <f>E3555+G3555+H3555</f>
        <v>28</v>
      </c>
      <c r="J3555" s="3">
        <f>ROUND(MIN(IF(C3555="Técnico III",35,IF(C3555="Técnico II",28,IF(C3555="Técnico I",23,IF(C3555="JR",20,IF(C3555="Estágio",10,0))))),IF(C3555="Técnico III",SUMIFS($D:$D,$A:$A,$A3555,$B:$B,"&lt;&gt;Patrícia Karla de Sousa Araújo",$B:$B,"&lt;&gt;Lorena Dias de Araujo",$B:$B,"&lt;&gt;Lucas Luiz Romero")*(35/1083),IF(C3555="Técnico II",SUMIFS($D:$D,$A:$A,$A3555,$B:$B,"&lt;&gt;Patrícia Karla de Sousa Araújo",$B:$B,"&lt;&gt;Lorena Dias de Araujo",$B:$B,"&lt;&gt;Lucas Luiz Romero")*(28/1083),IF(C3555="Técnico I",SUMIFS($D:$D,$A:$A,$A3555,$B:$B,"&lt;&gt;Patrícia Karla de Sousa Araújo",$B:$B,"&lt;&gt;Lorena Dias de Araujo",$B:$B,"&lt;&gt;Lucas Luiz Romero")*(23/1083),IF(C3555="JR",SUMIFS($D:$D,$A:$A,$A3555,$B:$B,"&lt;&gt;Patrícia Karla de Sousa Araújo",$B:$B,"&lt;&gt;Lorena Dias de Araujo",$B:$B,"&lt;&gt;Lucas Luiz Romero")*(20/1083),IF(C3555="Estágio",SUMIFS($D:$D,$A:$A,$A3555,$B:$B,"&lt;&gt;Patrícia Karla de Sousa Araújo",$B:$B,"&lt;&gt;Lorena Dias de Araujo",$B:$B,"&lt;&gt;Lucas Luiz Romero")*(10/1083),0)))))),0)</f>
        <v>32</v>
      </c>
      <c r="K3555" s="3">
        <f>I3555-J3555</f>
        <v>-4</v>
      </c>
      <c r="L3555" s="3" t="str">
        <f>IF(K3555&lt;-5,"CRÍTICO",IF(K3555&lt;0,"ATENÇÃO",IF(K3555&lt;=5,"OPORTUNO","MUITO BOM")))</f>
        <v>ATENÇÃO</v>
      </c>
      <c r="M3555">
        <v>25</v>
      </c>
      <c r="N3555">
        <v>93.75</v>
      </c>
      <c r="O3555">
        <v>26.819923371647509</v>
      </c>
    </row>
    <row r="3556" spans="1:15" hidden="1" x14ac:dyDescent="0.25">
      <c r="A3556" s="11">
        <v>46113</v>
      </c>
      <c r="B3556" t="s">
        <v>51</v>
      </c>
      <c r="C3556" t="s">
        <v>48</v>
      </c>
      <c r="D3556">
        <v>36</v>
      </c>
      <c r="E3556">
        <v>32</v>
      </c>
      <c r="F3556">
        <v>20.190000000000001</v>
      </c>
      <c r="G3556">
        <v>0</v>
      </c>
      <c r="H3556">
        <v>0</v>
      </c>
      <c r="I3556" s="3">
        <v>0</v>
      </c>
      <c r="J3556" s="3">
        <v>0</v>
      </c>
      <c r="K3556" s="3">
        <v>0</v>
      </c>
      <c r="L3556" s="3" t="str">
        <f>IF(K3556&lt;-5,"CRÍTICO",IF(K3556&lt;0,"ATENÇÃO",IF(K3556&lt;=5,"OPORTUNO","MUITO BOM")))</f>
        <v>OPORTUNO</v>
      </c>
      <c r="M3556">
        <v>28</v>
      </c>
      <c r="N3556">
        <v>97.86</v>
      </c>
      <c r="O3556">
        <v>31.018518518518519</v>
      </c>
    </row>
    <row r="3557" spans="1:15" hidden="1" x14ac:dyDescent="0.25">
      <c r="A3557" s="11">
        <v>46113</v>
      </c>
      <c r="B3557" t="s">
        <v>61</v>
      </c>
      <c r="C3557" t="s">
        <v>23</v>
      </c>
      <c r="D3557">
        <v>25</v>
      </c>
      <c r="E3557">
        <v>25</v>
      </c>
      <c r="F3557">
        <v>16.559999999999999</v>
      </c>
      <c r="G3557">
        <v>0</v>
      </c>
      <c r="H3557">
        <v>0</v>
      </c>
      <c r="I3557" s="3">
        <f>E3557+G3557+H3557</f>
        <v>25</v>
      </c>
      <c r="J3557" s="3">
        <f>ROUND(MIN(IF(C3557="Técnico III",35,IF(C3557="Técnico II",28,IF(C3557="Técnico I",23,IF(C3557="JR",20,IF(C3557="Estágio",10,0))))),IF(C3557="Técnico III",SUMIFS($D:$D,$A:$A,$A3557,$B:$B,"&lt;&gt;Patrícia Karla de Sousa Araújo",$B:$B,"&lt;&gt;Lorena Dias de Araujo",$B:$B,"&lt;&gt;Lucas Luiz Romero")*(35/1083),IF(C3557="Técnico II",SUMIFS($D:$D,$A:$A,$A3557,$B:$B,"&lt;&gt;Patrícia Karla de Sousa Araújo",$B:$B,"&lt;&gt;Lorena Dias de Araujo",$B:$B,"&lt;&gt;Lucas Luiz Romero")*(28/1083),IF(C3557="Técnico I",SUMIFS($D:$D,$A:$A,$A3557,$B:$B,"&lt;&gt;Patrícia Karla de Sousa Araújo",$B:$B,"&lt;&gt;Lorena Dias de Araujo",$B:$B,"&lt;&gt;Lucas Luiz Romero")*(23/1083),IF(C3557="JR",SUMIFS($D:$D,$A:$A,$A3557,$B:$B,"&lt;&gt;Patrícia Karla de Sousa Araújo",$B:$B,"&lt;&gt;Lorena Dias de Araujo",$B:$B,"&lt;&gt;Lucas Luiz Romero")*(20/1083),IF(C3557="Estágio",SUMIFS($D:$D,$A:$A,$A3557,$B:$B,"&lt;&gt;Patrícia Karla de Sousa Araújo",$B:$B,"&lt;&gt;Lorena Dias de Araujo",$B:$B,"&lt;&gt;Lucas Luiz Romero")*(10/1083),0)))))),0)</f>
        <v>21</v>
      </c>
      <c r="K3557" s="3">
        <f>I3557-J3557</f>
        <v>4</v>
      </c>
      <c r="L3557" s="3" t="str">
        <f>IF(K3557&lt;-5,"CRÍTICO",IF(K3557&lt;0,"ATENÇÃO",IF(K3557&lt;=5,"OPORTUNO","MUITO BOM")))</f>
        <v>OPORTUNO</v>
      </c>
      <c r="M3557">
        <v>7</v>
      </c>
      <c r="N3557">
        <v>100</v>
      </c>
      <c r="O3557">
        <v>36.594202898550733</v>
      </c>
    </row>
    <row r="3558" spans="1:15" hidden="1" x14ac:dyDescent="0.25">
      <c r="A3558" s="11">
        <v>46113</v>
      </c>
      <c r="B3558" t="s">
        <v>35</v>
      </c>
      <c r="C3558" t="s">
        <v>32</v>
      </c>
      <c r="D3558">
        <v>26</v>
      </c>
      <c r="E3558">
        <v>25</v>
      </c>
      <c r="F3558">
        <v>22.07</v>
      </c>
      <c r="G3558">
        <v>0</v>
      </c>
      <c r="H3558">
        <v>0</v>
      </c>
      <c r="I3558" s="3">
        <v>0</v>
      </c>
      <c r="J3558" s="3">
        <v>0</v>
      </c>
      <c r="K3558" s="3">
        <v>0</v>
      </c>
      <c r="L3558" s="3" t="str">
        <f>IF(K3558&lt;-5,"CRÍTICO",IF(K3558&lt;0,"ATENÇÃO",IF(K3558&lt;=5,"OPORTUNO","MUITO BOM")))</f>
        <v>OPORTUNO</v>
      </c>
      <c r="M3558">
        <v>25</v>
      </c>
      <c r="N3558">
        <v>100</v>
      </c>
      <c r="O3558">
        <v>38.653846153846153</v>
      </c>
    </row>
    <row r="3559" spans="1:15" hidden="1" x14ac:dyDescent="0.25">
      <c r="A3559" s="11">
        <v>46113</v>
      </c>
      <c r="B3559" t="s">
        <v>18</v>
      </c>
      <c r="C3559" t="s">
        <v>16</v>
      </c>
      <c r="D3559">
        <v>0</v>
      </c>
      <c r="E3559">
        <v>0</v>
      </c>
      <c r="F3559">
        <v>0</v>
      </c>
      <c r="G3559">
        <v>0</v>
      </c>
      <c r="H3559">
        <v>0</v>
      </c>
      <c r="I3559" s="3">
        <v>0</v>
      </c>
      <c r="J3559" s="3">
        <v>0</v>
      </c>
      <c r="K3559" s="3">
        <v>0</v>
      </c>
      <c r="L3559" s="3" t="str">
        <f>IF(K3559&lt;-5,"CRÍTICO",IF(K3559&lt;0,"ATENÇÃO",IF(K3559&lt;=5,"OPORTUNO","MUITO BOM")))</f>
        <v>OPORTUNO</v>
      </c>
      <c r="M3559">
        <v>0</v>
      </c>
      <c r="N3559">
        <v>100</v>
      </c>
      <c r="O3559">
        <v>27.368421052631579</v>
      </c>
    </row>
    <row r="3560" spans="1:15" hidden="1" x14ac:dyDescent="0.25">
      <c r="A3560" s="11">
        <v>46113</v>
      </c>
      <c r="B3560" t="s">
        <v>52</v>
      </c>
      <c r="C3560" t="s">
        <v>48</v>
      </c>
      <c r="D3560">
        <v>23</v>
      </c>
      <c r="E3560">
        <v>21</v>
      </c>
      <c r="F3560">
        <v>18.43</v>
      </c>
      <c r="G3560">
        <v>0</v>
      </c>
      <c r="H3560">
        <v>0</v>
      </c>
      <c r="I3560" s="3">
        <f>E3560+G3560+H3560</f>
        <v>21</v>
      </c>
      <c r="J3560" s="3">
        <f>ROUND(MIN(IF(C3560="Técnico III",35,IF(C3560="Técnico II",28,IF(C3560="Técnico I",23,IF(C3560="JR",20,IF(C3560="Estágio",10,0))))),IF(C3560="Técnico III",SUMIFS($D:$D,$A:$A,$A3560,$B:$B,"&lt;&gt;Patrícia Karla de Sousa Araújo",$B:$B,"&lt;&gt;Lorena Dias de Araujo",$B:$B,"&lt;&gt;Lucas Luiz Romero")*(35/1083),IF(C3560="Técnico II",SUMIFS($D:$D,$A:$A,$A3560,$B:$B,"&lt;&gt;Patrícia Karla de Sousa Araújo",$B:$B,"&lt;&gt;Lorena Dias de Araujo",$B:$B,"&lt;&gt;Lucas Luiz Romero")*(28/1083),IF(C3560="Técnico I",SUMIFS($D:$D,$A:$A,$A3560,$B:$B,"&lt;&gt;Patrícia Karla de Sousa Araújo",$B:$B,"&lt;&gt;Lorena Dias de Araujo",$B:$B,"&lt;&gt;Lucas Luiz Romero")*(23/1083),IF(C3560="JR",SUMIFS($D:$D,$A:$A,$A3560,$B:$B,"&lt;&gt;Patrícia Karla de Sousa Araújo",$B:$B,"&lt;&gt;Lorena Dias de Araujo",$B:$B,"&lt;&gt;Lucas Luiz Romero")*(20/1083),IF(C3560="Estágio",SUMIFS($D:$D,$A:$A,$A3560,$B:$B,"&lt;&gt;Patrícia Karla de Sousa Araújo",$B:$B,"&lt;&gt;Lorena Dias de Araujo",$B:$B,"&lt;&gt;Lucas Luiz Romero")*(10/1083),0)))))),0)</f>
        <v>25</v>
      </c>
      <c r="K3560" s="3">
        <f>I3560-J3560</f>
        <v>-4</v>
      </c>
      <c r="L3560" s="3" t="str">
        <f>IF(K3560&lt;-5,"CRÍTICO",IF(K3560&lt;0,"ATENÇÃO",IF(K3560&lt;=5,"OPORTUNO","MUITO BOM")))</f>
        <v>ATENÇÃO</v>
      </c>
      <c r="M3560">
        <v>22</v>
      </c>
      <c r="N3560">
        <v>97.83</v>
      </c>
      <c r="O3560">
        <v>28.35164835164835</v>
      </c>
    </row>
    <row r="3561" spans="1:15" hidden="1" x14ac:dyDescent="0.25">
      <c r="A3561" s="11">
        <v>46113</v>
      </c>
      <c r="B3561" t="s">
        <v>36</v>
      </c>
      <c r="C3561" t="s">
        <v>32</v>
      </c>
      <c r="D3561">
        <v>30</v>
      </c>
      <c r="E3561">
        <v>25</v>
      </c>
      <c r="F3561">
        <v>12.24</v>
      </c>
      <c r="G3561">
        <v>0</v>
      </c>
      <c r="H3561">
        <v>0</v>
      </c>
      <c r="I3561" s="3">
        <f>E3561+G3561+H3561</f>
        <v>25</v>
      </c>
      <c r="J3561" s="3">
        <f>ROUND(MIN(IF(C3561="Técnico III",35,IF(C3561="Técnico II",28,IF(C3561="Técnico I",23,IF(C3561="JR",20,IF(C3561="Estágio",10,0))))),IF(C3561="Técnico III",SUMIFS($D:$D,$A:$A,$A3561,$B:$B,"&lt;&gt;Patrícia Karla de Sousa Araújo",$B:$B,"&lt;&gt;Lorena Dias de Araujo",$B:$B,"&lt;&gt;Lucas Luiz Romero")*(35/1083),IF(C3561="Técnico II",SUMIFS($D:$D,$A:$A,$A3561,$B:$B,"&lt;&gt;Patrícia Karla de Sousa Araújo",$B:$B,"&lt;&gt;Lorena Dias de Araujo",$B:$B,"&lt;&gt;Lucas Luiz Romero")*(28/1083),IF(C3561="Técnico I",SUMIFS($D:$D,$A:$A,$A3561,$B:$B,"&lt;&gt;Patrícia Karla de Sousa Araújo",$B:$B,"&lt;&gt;Lorena Dias de Araujo",$B:$B,"&lt;&gt;Lucas Luiz Romero")*(23/1083),IF(C3561="JR",SUMIFS($D:$D,$A:$A,$A3561,$B:$B,"&lt;&gt;Patrícia Karla de Sousa Araújo",$B:$B,"&lt;&gt;Lorena Dias de Araujo",$B:$B,"&lt;&gt;Lucas Luiz Romero")*(20/1083),IF(C3561="Estágio",SUMIFS($D:$D,$A:$A,$A3561,$B:$B,"&lt;&gt;Patrícia Karla de Sousa Araújo",$B:$B,"&lt;&gt;Lorena Dias de Araujo",$B:$B,"&lt;&gt;Lucas Luiz Romero")*(10/1083),0)))))),0)</f>
        <v>32</v>
      </c>
      <c r="K3561" s="3">
        <f>I3561-J3561</f>
        <v>-7</v>
      </c>
      <c r="L3561" s="3" t="str">
        <f>IF(K3561&lt;-5,"CRÍTICO",IF(K3561&lt;0,"ATENÇÃO",IF(K3561&lt;=5,"OPORTUNO","MUITO BOM")))</f>
        <v>CRÍTICO</v>
      </c>
      <c r="M3561">
        <v>25</v>
      </c>
      <c r="N3561">
        <v>99.26</v>
      </c>
      <c r="O3561">
        <v>29.766536964980549</v>
      </c>
    </row>
    <row r="3562" spans="1:15" hidden="1" x14ac:dyDescent="0.25">
      <c r="A3562" s="11">
        <v>46113</v>
      </c>
      <c r="B3562" t="s">
        <v>53</v>
      </c>
      <c r="C3562" t="s">
        <v>48</v>
      </c>
      <c r="D3562">
        <v>37</v>
      </c>
      <c r="E3562">
        <v>35</v>
      </c>
      <c r="F3562">
        <v>15.19</v>
      </c>
      <c r="G3562">
        <v>0</v>
      </c>
      <c r="H3562">
        <v>0</v>
      </c>
      <c r="I3562" s="3">
        <f>E3562+G3562+H3562</f>
        <v>35</v>
      </c>
      <c r="J3562" s="3">
        <f>ROUND(MIN(IF(C3562="Técnico III",35,IF(C3562="Técnico II",28,IF(C3562="Técnico I",23,IF(C3562="JR",20,IF(C3562="Estágio",10,0))))),IF(C3562="Técnico III",SUMIFS($D:$D,$A:$A,$A3562,$B:$B,"&lt;&gt;Patrícia Karla de Sousa Araújo",$B:$B,"&lt;&gt;Lorena Dias de Araujo",$B:$B,"&lt;&gt;Lucas Luiz Romero")*(35/1083),IF(C3562="Técnico II",SUMIFS($D:$D,$A:$A,$A3562,$B:$B,"&lt;&gt;Patrícia Karla de Sousa Araújo",$B:$B,"&lt;&gt;Lorena Dias de Araujo",$B:$B,"&lt;&gt;Lucas Luiz Romero")*(28/1083),IF(C3562="Técnico I",SUMIFS($D:$D,$A:$A,$A3562,$B:$B,"&lt;&gt;Patrícia Karla de Sousa Araújo",$B:$B,"&lt;&gt;Lorena Dias de Araujo",$B:$B,"&lt;&gt;Lucas Luiz Romero")*(23/1083),IF(C3562="JR",SUMIFS($D:$D,$A:$A,$A3562,$B:$B,"&lt;&gt;Patrícia Karla de Sousa Araújo",$B:$B,"&lt;&gt;Lorena Dias de Araujo",$B:$B,"&lt;&gt;Lucas Luiz Romero")*(20/1083),IF(C3562="Estágio",SUMIFS($D:$D,$A:$A,$A3562,$B:$B,"&lt;&gt;Patrícia Karla de Sousa Araújo",$B:$B,"&lt;&gt;Lorena Dias de Araujo",$B:$B,"&lt;&gt;Lucas Luiz Romero")*(10/1083),0)))))),0)</f>
        <v>25</v>
      </c>
      <c r="K3562" s="3">
        <f>I3562-J3562</f>
        <v>10</v>
      </c>
      <c r="L3562" s="3" t="str">
        <f>IF(K3562&lt;-5,"CRÍTICO",IF(K3562&lt;0,"ATENÇÃO",IF(K3562&lt;=5,"OPORTUNO","MUITO BOM")))</f>
        <v>MUITO BOM</v>
      </c>
      <c r="M3562">
        <v>37</v>
      </c>
      <c r="N3562">
        <v>99.19</v>
      </c>
      <c r="O3562">
        <v>29.462365591397852</v>
      </c>
    </row>
    <row r="3563" spans="1:15" hidden="1" x14ac:dyDescent="0.25">
      <c r="A3563" s="7">
        <v>46161</v>
      </c>
      <c r="B3563" s="8" t="s">
        <v>34</v>
      </c>
      <c r="C3563" s="14" t="s">
        <v>32</v>
      </c>
      <c r="D3563" s="3">
        <v>33</v>
      </c>
      <c r="E3563" s="3">
        <v>30</v>
      </c>
      <c r="F3563" s="3">
        <v>11.55</v>
      </c>
      <c r="G3563" s="3">
        <v>0</v>
      </c>
      <c r="H3563" s="3">
        <v>0</v>
      </c>
      <c r="I3563" s="3">
        <f>E3563+G3563+H3563</f>
        <v>30</v>
      </c>
      <c r="J3563" s="3">
        <f>ROUND(MIN(IF(C3563="Técnico III",35,IF(C3563="Técnico II",28,IF(C3563="Técnico I",23,IF(C3563="JR",20,IF(C3563="Estágio",10,0))))),IF(C3563="Técnico III",SUMIFS($D:$D,$A:$A,$A3563,$B:$B,"&lt;&gt;Patrícia Karla de Sousa Araújo",$B:$B,"&lt;&gt;Lorena Dias de Araujo",$B:$B,"&lt;&gt;Lucas Luiz Romero")*(35/1083),IF(C3563="Técnico II",SUMIFS($D:$D,$A:$A,$A3563,$B:$B,"&lt;&gt;Patrícia Karla de Sousa Araújo",$B:$B,"&lt;&gt;Lorena Dias de Araujo",$B:$B,"&lt;&gt;Lucas Luiz Romero")*(28/1083),IF(C3563="Técnico I",SUMIFS($D:$D,$A:$A,$A3563,$B:$B,"&lt;&gt;Patrícia Karla de Sousa Araújo",$B:$B,"&lt;&gt;Lorena Dias de Araujo",$B:$B,"&lt;&gt;Lucas Luiz Romero")*(23/1083),IF(C3563="JR",SUMIFS($D:$D,$A:$A,$A3563,$B:$B,"&lt;&gt;Patrícia Karla de Sousa Araújo",$B:$B,"&lt;&gt;Lorena Dias de Araujo",$B:$B,"&lt;&gt;Lucas Luiz Romero")*(20/1083),IF(C3563="Estágio",SUMIFS($D:$D,$A:$A,$A3563,$B:$B,"&lt;&gt;Patrícia Karla de Sousa Araújo",$B:$B,"&lt;&gt;Lorena Dias de Araujo",$B:$B,"&lt;&gt;Lucas Luiz Romero")*(10/1083),0)))))),0)</f>
        <v>29</v>
      </c>
      <c r="K3563" s="3">
        <f>I3563-J3563</f>
        <v>1</v>
      </c>
      <c r="L3563" s="3" t="str">
        <f>IF(K3563&lt;-5,"CRÍTICO",IF(K3563&lt;0,"ATENÇÃO",IF(K3563&lt;=5,"OPORTUNO","MUITO BOM")))</f>
        <v>OPORTUNO</v>
      </c>
      <c r="M3563" s="3">
        <v>30</v>
      </c>
      <c r="N3563" s="3">
        <v>92.81</v>
      </c>
      <c r="O3563" s="3">
        <v>25.477707006369432</v>
      </c>
    </row>
    <row r="3564" spans="1:15" hidden="1" x14ac:dyDescent="0.25">
      <c r="A3564" s="11">
        <v>46113</v>
      </c>
      <c r="B3564" t="s">
        <v>54</v>
      </c>
      <c r="C3564" t="s">
        <v>48</v>
      </c>
      <c r="D3564">
        <v>36</v>
      </c>
      <c r="E3564">
        <v>35</v>
      </c>
      <c r="F3564">
        <v>17.12</v>
      </c>
      <c r="G3564">
        <v>0</v>
      </c>
      <c r="H3564">
        <v>0</v>
      </c>
      <c r="I3564" s="3">
        <f>E3564+G3564+H3564</f>
        <v>35</v>
      </c>
      <c r="J3564" s="3">
        <f>ROUND(MIN(IF(C3564="Técnico III",35,IF(C3564="Técnico II",28,IF(C3564="Técnico I",23,IF(C3564="JR",20,IF(C3564="Estágio",10,0))))),IF(C3564="Técnico III",SUMIFS($D:$D,$A:$A,$A3564,$B:$B,"&lt;&gt;Patrícia Karla de Sousa Araújo",$B:$B,"&lt;&gt;Lorena Dias de Araujo",$B:$B,"&lt;&gt;Lucas Luiz Romero")*(35/1083),IF(C3564="Técnico II",SUMIFS($D:$D,$A:$A,$A3564,$B:$B,"&lt;&gt;Patrícia Karla de Sousa Araújo",$B:$B,"&lt;&gt;Lorena Dias de Araujo",$B:$B,"&lt;&gt;Lucas Luiz Romero")*(28/1083),IF(C3564="Técnico I",SUMIFS($D:$D,$A:$A,$A3564,$B:$B,"&lt;&gt;Patrícia Karla de Sousa Araújo",$B:$B,"&lt;&gt;Lorena Dias de Araujo",$B:$B,"&lt;&gt;Lucas Luiz Romero")*(23/1083),IF(C3564="JR",SUMIFS($D:$D,$A:$A,$A3564,$B:$B,"&lt;&gt;Patrícia Karla de Sousa Araújo",$B:$B,"&lt;&gt;Lorena Dias de Araujo",$B:$B,"&lt;&gt;Lucas Luiz Romero")*(20/1083),IF(C3564="Estágio",SUMIFS($D:$D,$A:$A,$A3564,$B:$B,"&lt;&gt;Patrícia Karla de Sousa Araújo",$B:$B,"&lt;&gt;Lorena Dias de Araujo",$B:$B,"&lt;&gt;Lucas Luiz Romero")*(10/1083),0)))))),0)</f>
        <v>25</v>
      </c>
      <c r="K3564" s="3">
        <f>I3564-J3564</f>
        <v>10</v>
      </c>
      <c r="L3564" s="3" t="str">
        <f>IF(K3564&lt;-5,"CRÍTICO",IF(K3564&lt;0,"ATENÇÃO",IF(K3564&lt;=5,"OPORTUNO","MUITO BOM")))</f>
        <v>MUITO BOM</v>
      </c>
      <c r="M3564">
        <v>32</v>
      </c>
      <c r="N3564">
        <v>100</v>
      </c>
      <c r="O3564">
        <v>28.921568627450981</v>
      </c>
    </row>
    <row r="3565" spans="1:15" hidden="1" x14ac:dyDescent="0.25">
      <c r="A3565" s="11">
        <v>46113</v>
      </c>
      <c r="B3565" t="s">
        <v>37</v>
      </c>
      <c r="C3565" t="s">
        <v>32</v>
      </c>
      <c r="D3565">
        <v>45</v>
      </c>
      <c r="E3565">
        <v>41</v>
      </c>
      <c r="F3565">
        <v>12.26</v>
      </c>
      <c r="G3565">
        <v>0</v>
      </c>
      <c r="H3565">
        <v>0</v>
      </c>
      <c r="I3565" s="3">
        <f>E3565+G3565+H3565</f>
        <v>41</v>
      </c>
      <c r="J3565" s="3">
        <f>ROUND(MIN(IF(C3565="Técnico III",35,IF(C3565="Técnico II",28,IF(C3565="Técnico I",23,IF(C3565="JR",20,IF(C3565="Estágio",10,0))))),IF(C3565="Técnico III",SUMIFS($D:$D,$A:$A,$A3565,$B:$B,"&lt;&gt;Patrícia Karla de Sousa Araújo",$B:$B,"&lt;&gt;Lorena Dias de Araujo",$B:$B,"&lt;&gt;Lucas Luiz Romero")*(35/1083),IF(C3565="Técnico II",SUMIFS($D:$D,$A:$A,$A3565,$B:$B,"&lt;&gt;Patrícia Karla de Sousa Araújo",$B:$B,"&lt;&gt;Lorena Dias de Araujo",$B:$B,"&lt;&gt;Lucas Luiz Romero")*(28/1083),IF(C3565="Técnico I",SUMIFS($D:$D,$A:$A,$A3565,$B:$B,"&lt;&gt;Patrícia Karla de Sousa Araújo",$B:$B,"&lt;&gt;Lorena Dias de Araujo",$B:$B,"&lt;&gt;Lucas Luiz Romero")*(23/1083),IF(C3565="JR",SUMIFS($D:$D,$A:$A,$A3565,$B:$B,"&lt;&gt;Patrícia Karla de Sousa Araújo",$B:$B,"&lt;&gt;Lorena Dias de Araujo",$B:$B,"&lt;&gt;Lucas Luiz Romero")*(20/1083),IF(C3565="Estágio",SUMIFS($D:$D,$A:$A,$A3565,$B:$B,"&lt;&gt;Patrícia Karla de Sousa Araújo",$B:$B,"&lt;&gt;Lorena Dias de Araujo",$B:$B,"&lt;&gt;Lucas Luiz Romero")*(10/1083),0)))))),0)</f>
        <v>32</v>
      </c>
      <c r="K3565" s="3">
        <f>I3565-J3565</f>
        <v>9</v>
      </c>
      <c r="L3565" s="3" t="str">
        <f>IF(K3565&lt;-5,"CRÍTICO",IF(K3565&lt;0,"ATENÇÃO",IF(K3565&lt;=5,"OPORTUNO","MUITO BOM")))</f>
        <v>MUITO BOM</v>
      </c>
      <c r="M3565">
        <v>41</v>
      </c>
      <c r="N3565">
        <v>99.57</v>
      </c>
      <c r="O3565">
        <v>30.635838150289018</v>
      </c>
    </row>
    <row r="3566" spans="1:15" hidden="1" x14ac:dyDescent="0.25">
      <c r="A3566" s="11">
        <v>46113</v>
      </c>
      <c r="B3566" t="s">
        <v>38</v>
      </c>
      <c r="C3566" t="s">
        <v>32</v>
      </c>
      <c r="D3566">
        <v>2</v>
      </c>
      <c r="E3566">
        <v>2</v>
      </c>
      <c r="F3566">
        <v>20.07</v>
      </c>
      <c r="G3566">
        <v>0</v>
      </c>
      <c r="H3566">
        <v>0</v>
      </c>
      <c r="I3566" s="3">
        <f>E3566+G3566+H3566</f>
        <v>2</v>
      </c>
      <c r="J3566" s="3">
        <f>ROUND(MIN(IF(C3566="Técnico III",35,IF(C3566="Técnico II",28,IF(C3566="Técnico I",23,IF(C3566="JR",20,IF(C3566="Estágio",10,0))))),IF(C3566="Técnico III",SUMIFS($D:$D,$A:$A,$A3566,$B:$B,"&lt;&gt;Patrícia Karla de Sousa Araújo",$B:$B,"&lt;&gt;Lorena Dias de Araujo",$B:$B,"&lt;&gt;Lucas Luiz Romero")*(35/1083),IF(C3566="Técnico II",SUMIFS($D:$D,$A:$A,$A3566,$B:$B,"&lt;&gt;Patrícia Karla de Sousa Araújo",$B:$B,"&lt;&gt;Lorena Dias de Araujo",$B:$B,"&lt;&gt;Lucas Luiz Romero")*(28/1083),IF(C3566="Técnico I",SUMIFS($D:$D,$A:$A,$A3566,$B:$B,"&lt;&gt;Patrícia Karla de Sousa Araújo",$B:$B,"&lt;&gt;Lorena Dias de Araujo",$B:$B,"&lt;&gt;Lucas Luiz Romero")*(23/1083),IF(C3566="JR",SUMIFS($D:$D,$A:$A,$A3566,$B:$B,"&lt;&gt;Patrícia Karla de Sousa Araújo",$B:$B,"&lt;&gt;Lorena Dias de Araujo",$B:$B,"&lt;&gt;Lucas Luiz Romero")*(20/1083),IF(C3566="Estágio",SUMIFS($D:$D,$A:$A,$A3566,$B:$B,"&lt;&gt;Patrícia Karla de Sousa Araújo",$B:$B,"&lt;&gt;Lorena Dias de Araujo",$B:$B,"&lt;&gt;Lucas Luiz Romero")*(10/1083),0)))))),0)</f>
        <v>32</v>
      </c>
      <c r="K3566" s="3">
        <f>I3566-J3566</f>
        <v>-30</v>
      </c>
      <c r="L3566" s="3" t="str">
        <f>IF(K3566&lt;-5,"CRÍTICO",IF(K3566&lt;0,"ATENÇÃO",IF(K3566&lt;=5,"OPORTUNO","MUITO BOM")))</f>
        <v>CRÍTICO</v>
      </c>
      <c r="M3566">
        <v>2</v>
      </c>
      <c r="N3566">
        <v>95.65</v>
      </c>
      <c r="O3566">
        <v>32.432432432432442</v>
      </c>
    </row>
    <row r="3567" spans="1:15" hidden="1" x14ac:dyDescent="0.25">
      <c r="A3567" s="11">
        <v>46113</v>
      </c>
      <c r="B3567" t="s">
        <v>55</v>
      </c>
      <c r="C3567" t="s">
        <v>48</v>
      </c>
      <c r="D3567">
        <v>28</v>
      </c>
      <c r="E3567">
        <v>25</v>
      </c>
      <c r="F3567">
        <v>21.55</v>
      </c>
      <c r="G3567">
        <v>0</v>
      </c>
      <c r="H3567">
        <v>0</v>
      </c>
      <c r="I3567" s="3">
        <f>E3567+G3567+H3567</f>
        <v>25</v>
      </c>
      <c r="J3567" s="3">
        <f>ROUND(MIN(IF(C3567="Técnico III",35,IF(C3567="Técnico II",28,IF(C3567="Técnico I",23,IF(C3567="JR",20,IF(C3567="Estágio",10,0))))),IF(C3567="Técnico III",SUMIFS($D:$D,$A:$A,$A3567,$B:$B,"&lt;&gt;Patrícia Karla de Sousa Araújo",$B:$B,"&lt;&gt;Lorena Dias de Araujo",$B:$B,"&lt;&gt;Lucas Luiz Romero")*(35/1083),IF(C3567="Técnico II",SUMIFS($D:$D,$A:$A,$A3567,$B:$B,"&lt;&gt;Patrícia Karla de Sousa Araújo",$B:$B,"&lt;&gt;Lorena Dias de Araujo",$B:$B,"&lt;&gt;Lucas Luiz Romero")*(28/1083),IF(C3567="Técnico I",SUMIFS($D:$D,$A:$A,$A3567,$B:$B,"&lt;&gt;Patrícia Karla de Sousa Araújo",$B:$B,"&lt;&gt;Lorena Dias de Araujo",$B:$B,"&lt;&gt;Lucas Luiz Romero")*(23/1083),IF(C3567="JR",SUMIFS($D:$D,$A:$A,$A3567,$B:$B,"&lt;&gt;Patrícia Karla de Sousa Araújo",$B:$B,"&lt;&gt;Lorena Dias de Araujo",$B:$B,"&lt;&gt;Lucas Luiz Romero")*(20/1083),IF(C3567="Estágio",SUMIFS($D:$D,$A:$A,$A3567,$B:$B,"&lt;&gt;Patrícia Karla de Sousa Araújo",$B:$B,"&lt;&gt;Lorena Dias de Araujo",$B:$B,"&lt;&gt;Lucas Luiz Romero")*(10/1083),0)))))),0)</f>
        <v>25</v>
      </c>
      <c r="K3567" s="3">
        <f>I3567-J3567</f>
        <v>0</v>
      </c>
      <c r="L3567" s="3" t="str">
        <f>IF(K3567&lt;-5,"CRÍTICO",IF(K3567&lt;0,"ATENÇÃO",IF(K3567&lt;=5,"OPORTUNO","MUITO BOM")))</f>
        <v>OPORTUNO</v>
      </c>
      <c r="M3567">
        <v>26</v>
      </c>
      <c r="N3567">
        <v>98.81</v>
      </c>
      <c r="O3567">
        <v>26.256983240223459</v>
      </c>
    </row>
    <row r="3568" spans="1:15" hidden="1" x14ac:dyDescent="0.25">
      <c r="A3568" s="11">
        <v>46113</v>
      </c>
      <c r="B3568" t="s">
        <v>39</v>
      </c>
      <c r="C3568" t="s">
        <v>32</v>
      </c>
      <c r="D3568">
        <v>0</v>
      </c>
      <c r="E3568">
        <v>0</v>
      </c>
      <c r="F3568">
        <v>0</v>
      </c>
      <c r="G3568">
        <v>0</v>
      </c>
      <c r="H3568">
        <v>0</v>
      </c>
      <c r="I3568" s="3">
        <v>0</v>
      </c>
      <c r="J3568" s="3">
        <v>0</v>
      </c>
      <c r="K3568" s="3">
        <v>0</v>
      </c>
      <c r="L3568" s="3" t="str">
        <f>IF(K3568&lt;-5,"CRÍTICO",IF(K3568&lt;0,"ATENÇÃO",IF(K3568&lt;=5,"OPORTUNO","MUITO BOM")))</f>
        <v>OPORTUNO</v>
      </c>
      <c r="M3568">
        <v>0</v>
      </c>
      <c r="N3568">
        <v>0</v>
      </c>
      <c r="O3568">
        <v>0</v>
      </c>
    </row>
    <row r="3569" spans="1:15" hidden="1" x14ac:dyDescent="0.25">
      <c r="A3569" s="11">
        <v>46113</v>
      </c>
      <c r="B3569" t="s">
        <v>25</v>
      </c>
      <c r="C3569" t="s">
        <v>26</v>
      </c>
      <c r="D3569">
        <v>22</v>
      </c>
      <c r="E3569">
        <v>18</v>
      </c>
      <c r="F3569">
        <v>19</v>
      </c>
      <c r="G3569">
        <v>0</v>
      </c>
      <c r="H3569">
        <v>0</v>
      </c>
      <c r="I3569" s="3">
        <f>E3569+G3569+H3569</f>
        <v>18</v>
      </c>
      <c r="J3569" s="3">
        <f>ROUND(MIN(IF(C3569="Técnico III",35,IF(C3569="Técnico II",28,IF(C3569="Técnico I",23,IF(C3569="JR",20,IF(C3569="Estágio",10,0))))),IF(C3569="Técnico III",SUMIFS($D:$D,$A:$A,$A3569,$B:$B,"&lt;&gt;Patrícia Karla de Sousa Araújo",$B:$B,"&lt;&gt;Lorena Dias de Araujo",$B:$B,"&lt;&gt;Lucas Luiz Romero")*(35/1083),IF(C3569="Técnico II",SUMIFS($D:$D,$A:$A,$A3569,$B:$B,"&lt;&gt;Patrícia Karla de Sousa Araújo",$B:$B,"&lt;&gt;Lorena Dias de Araujo",$B:$B,"&lt;&gt;Lucas Luiz Romero")*(28/1083),IF(C3569="Técnico I",SUMIFS($D:$D,$A:$A,$A3569,$B:$B,"&lt;&gt;Patrícia Karla de Sousa Araújo",$B:$B,"&lt;&gt;Lorena Dias de Araujo",$B:$B,"&lt;&gt;Lucas Luiz Romero")*(23/1083),IF(C3569="JR",SUMIFS($D:$D,$A:$A,$A3569,$B:$B,"&lt;&gt;Patrícia Karla de Sousa Araújo",$B:$B,"&lt;&gt;Lorena Dias de Araujo",$B:$B,"&lt;&gt;Lucas Luiz Romero")*(20/1083),IF(C3569="Estágio",SUMIFS($D:$D,$A:$A,$A3569,$B:$B,"&lt;&gt;Patrícia Karla de Sousa Araújo",$B:$B,"&lt;&gt;Lorena Dias de Araujo",$B:$B,"&lt;&gt;Lucas Luiz Romero")*(10/1083),0)))))),0)</f>
        <v>18</v>
      </c>
      <c r="K3569" s="3">
        <f>I3569-J3569</f>
        <v>0</v>
      </c>
      <c r="L3569" s="3" t="str">
        <f>IF(K3569&lt;-5,"CRÍTICO",IF(K3569&lt;0,"ATENÇÃO",IF(K3569&lt;=5,"OPORTUNO","MUITO BOM")))</f>
        <v>OPORTUNO</v>
      </c>
      <c r="M3569">
        <v>19</v>
      </c>
      <c r="N3569">
        <v>97.17</v>
      </c>
      <c r="O3569">
        <v>28.81844380403458</v>
      </c>
    </row>
    <row r="3570" spans="1:15" hidden="1" x14ac:dyDescent="0.25">
      <c r="A3570" s="11">
        <v>46113</v>
      </c>
      <c r="B3570" t="s">
        <v>40</v>
      </c>
      <c r="C3570" t="s">
        <v>32</v>
      </c>
      <c r="D3570">
        <v>19</v>
      </c>
      <c r="E3570">
        <v>19</v>
      </c>
      <c r="F3570">
        <v>12.21</v>
      </c>
      <c r="G3570">
        <v>0</v>
      </c>
      <c r="H3570">
        <v>0</v>
      </c>
      <c r="I3570" s="3">
        <f>E3570+G3570+H3570</f>
        <v>19</v>
      </c>
      <c r="J3570" s="3">
        <f>ROUND(MIN(IF(C3570="Técnico III",35,IF(C3570="Técnico II",28,IF(C3570="Técnico I",23,IF(C3570="JR",20,IF(C3570="Estágio",10,0))))),IF(C3570="Técnico III",SUMIFS($D:$D,$A:$A,$A3570,$B:$B,"&lt;&gt;Patrícia Karla de Sousa Araújo",$B:$B,"&lt;&gt;Lorena Dias de Araujo",$B:$B,"&lt;&gt;Lucas Luiz Romero")*(35/1083),IF(C3570="Técnico II",SUMIFS($D:$D,$A:$A,$A3570,$B:$B,"&lt;&gt;Patrícia Karla de Sousa Araújo",$B:$B,"&lt;&gt;Lorena Dias de Araujo",$B:$B,"&lt;&gt;Lucas Luiz Romero")*(28/1083),IF(C3570="Técnico I",SUMIFS($D:$D,$A:$A,$A3570,$B:$B,"&lt;&gt;Patrícia Karla de Sousa Araújo",$B:$B,"&lt;&gt;Lorena Dias de Araujo",$B:$B,"&lt;&gt;Lucas Luiz Romero")*(23/1083),IF(C3570="JR",SUMIFS($D:$D,$A:$A,$A3570,$B:$B,"&lt;&gt;Patrícia Karla de Sousa Araújo",$B:$B,"&lt;&gt;Lorena Dias de Araujo",$B:$B,"&lt;&gt;Lucas Luiz Romero")*(20/1083),IF(C3570="Estágio",SUMIFS($D:$D,$A:$A,$A3570,$B:$B,"&lt;&gt;Patrícia Karla de Sousa Araújo",$B:$B,"&lt;&gt;Lorena Dias de Araujo",$B:$B,"&lt;&gt;Lucas Luiz Romero")*(10/1083),0)))))),0)</f>
        <v>32</v>
      </c>
      <c r="K3570" s="3">
        <f>I3570-J3570</f>
        <v>-13</v>
      </c>
      <c r="L3570" s="3" t="str">
        <f>IF(K3570&lt;-5,"CRÍTICO",IF(K3570&lt;0,"ATENÇÃO",IF(K3570&lt;=5,"OPORTUNO","MUITO BOM")))</f>
        <v>CRÍTICO</v>
      </c>
      <c r="M3570">
        <v>19</v>
      </c>
      <c r="N3570">
        <v>96.81</v>
      </c>
      <c r="O3570">
        <v>48.018648018648022</v>
      </c>
    </row>
    <row r="3571" spans="1:15" hidden="1" x14ac:dyDescent="0.25">
      <c r="A3571" s="11">
        <v>46113</v>
      </c>
      <c r="B3571" t="s">
        <v>27</v>
      </c>
      <c r="C3571" t="s">
        <v>26</v>
      </c>
      <c r="D3571">
        <v>14</v>
      </c>
      <c r="E3571">
        <v>14</v>
      </c>
      <c r="F3571">
        <v>33.520000000000003</v>
      </c>
      <c r="G3571">
        <v>0</v>
      </c>
      <c r="H3571">
        <v>0</v>
      </c>
      <c r="I3571" s="3">
        <f>E3571+G3571+H3571</f>
        <v>14</v>
      </c>
      <c r="J3571" s="3">
        <f>ROUND(MIN(IF(C3571="Técnico III",35,IF(C3571="Técnico II",28,IF(C3571="Técnico I",23,IF(C3571="JR",20,IF(C3571="Estágio",10,0))))),IF(C3571="Técnico III",SUMIFS($D:$D,$A:$A,$A3571,$B:$B,"&lt;&gt;Patrícia Karla de Sousa Araújo",$B:$B,"&lt;&gt;Lorena Dias de Araujo",$B:$B,"&lt;&gt;Lucas Luiz Romero")*(35/1083),IF(C3571="Técnico II",SUMIFS($D:$D,$A:$A,$A3571,$B:$B,"&lt;&gt;Patrícia Karla de Sousa Araújo",$B:$B,"&lt;&gt;Lorena Dias de Araujo",$B:$B,"&lt;&gt;Lucas Luiz Romero")*(28/1083),IF(C3571="Técnico I",SUMIFS($D:$D,$A:$A,$A3571,$B:$B,"&lt;&gt;Patrícia Karla de Sousa Araújo",$B:$B,"&lt;&gt;Lorena Dias de Araujo",$B:$B,"&lt;&gt;Lucas Luiz Romero")*(23/1083),IF(C3571="JR",SUMIFS($D:$D,$A:$A,$A3571,$B:$B,"&lt;&gt;Patrícia Karla de Sousa Araújo",$B:$B,"&lt;&gt;Lorena Dias de Araujo",$B:$B,"&lt;&gt;Lucas Luiz Romero")*(20/1083),IF(C3571="Estágio",SUMIFS($D:$D,$A:$A,$A3571,$B:$B,"&lt;&gt;Patrícia Karla de Sousa Araújo",$B:$B,"&lt;&gt;Lorena Dias de Araujo",$B:$B,"&lt;&gt;Lucas Luiz Romero")*(10/1083),0)))))),0)</f>
        <v>18</v>
      </c>
      <c r="K3571" s="3">
        <f>I3571-J3571</f>
        <v>-4</v>
      </c>
      <c r="L3571" s="3" t="str">
        <f>IF(K3571&lt;-5,"CRÍTICO",IF(K3571&lt;0,"ATENÇÃO",IF(K3571&lt;=5,"OPORTUNO","MUITO BOM")))</f>
        <v>ATENÇÃO</v>
      </c>
      <c r="M3571">
        <v>11</v>
      </c>
      <c r="N3571">
        <v>98.15</v>
      </c>
      <c r="O3571">
        <v>27.1551724137931</v>
      </c>
    </row>
    <row r="3572" spans="1:15" hidden="1" x14ac:dyDescent="0.25">
      <c r="A3572" s="11">
        <v>46113</v>
      </c>
      <c r="B3572" t="s">
        <v>41</v>
      </c>
      <c r="C3572" t="s">
        <v>32</v>
      </c>
      <c r="D3572">
        <v>24</v>
      </c>
      <c r="E3572">
        <v>24</v>
      </c>
      <c r="F3572">
        <v>21.48</v>
      </c>
      <c r="G3572">
        <v>0</v>
      </c>
      <c r="H3572">
        <v>0</v>
      </c>
      <c r="I3572" s="3">
        <f>E3572+G3572+H3572</f>
        <v>24</v>
      </c>
      <c r="J3572" s="3">
        <f>ROUND(MIN(IF(C3572="Técnico III",35,IF(C3572="Técnico II",28,IF(C3572="Técnico I",23,IF(C3572="JR",20,IF(C3572="Estágio",10,0))))),IF(C3572="Técnico III",SUMIFS($D:$D,$A:$A,$A3572,$B:$B,"&lt;&gt;Patrícia Karla de Sousa Araújo",$B:$B,"&lt;&gt;Lorena Dias de Araujo",$B:$B,"&lt;&gt;Lucas Luiz Romero")*(35/1083),IF(C3572="Técnico II",SUMIFS($D:$D,$A:$A,$A3572,$B:$B,"&lt;&gt;Patrícia Karla de Sousa Araújo",$B:$B,"&lt;&gt;Lorena Dias de Araujo",$B:$B,"&lt;&gt;Lucas Luiz Romero")*(28/1083),IF(C3572="Técnico I",SUMIFS($D:$D,$A:$A,$A3572,$B:$B,"&lt;&gt;Patrícia Karla de Sousa Araújo",$B:$B,"&lt;&gt;Lorena Dias de Araujo",$B:$B,"&lt;&gt;Lucas Luiz Romero")*(23/1083),IF(C3572="JR",SUMIFS($D:$D,$A:$A,$A3572,$B:$B,"&lt;&gt;Patrícia Karla de Sousa Araújo",$B:$B,"&lt;&gt;Lorena Dias de Araujo",$B:$B,"&lt;&gt;Lucas Luiz Romero")*(20/1083),IF(C3572="Estágio",SUMIFS($D:$D,$A:$A,$A3572,$B:$B,"&lt;&gt;Patrícia Karla de Sousa Araújo",$B:$B,"&lt;&gt;Lorena Dias de Araujo",$B:$B,"&lt;&gt;Lucas Luiz Romero")*(10/1083),0)))))),0)</f>
        <v>32</v>
      </c>
      <c r="K3572" s="3">
        <f>I3572-J3572</f>
        <v>-8</v>
      </c>
      <c r="L3572" s="3" t="str">
        <f>IF(K3572&lt;-5,"CRÍTICO",IF(K3572&lt;0,"ATENÇÃO",IF(K3572&lt;=5,"OPORTUNO","MUITO BOM")))</f>
        <v>CRÍTICO</v>
      </c>
      <c r="M3572">
        <v>21</v>
      </c>
      <c r="N3572">
        <v>99.15</v>
      </c>
      <c r="O3572">
        <v>27.586206896551719</v>
      </c>
    </row>
    <row r="3573" spans="1:15" hidden="1" x14ac:dyDescent="0.25">
      <c r="A3573" s="11">
        <v>46113</v>
      </c>
      <c r="B3573" t="s">
        <v>56</v>
      </c>
      <c r="C3573" t="s">
        <v>48</v>
      </c>
      <c r="D3573">
        <v>26</v>
      </c>
      <c r="E3573">
        <v>24</v>
      </c>
      <c r="F3573">
        <v>20.29</v>
      </c>
      <c r="G3573">
        <v>0</v>
      </c>
      <c r="H3573">
        <v>0</v>
      </c>
      <c r="I3573" s="3">
        <f>E3573+G3573+H3573</f>
        <v>24</v>
      </c>
      <c r="J3573" s="3">
        <f>ROUND(MIN(IF(C3573="Técnico III",35,IF(C3573="Técnico II",28,IF(C3573="Técnico I",23,IF(C3573="JR",20,IF(C3573="Estágio",10,0))))),IF(C3573="Técnico III",SUMIFS($D:$D,$A:$A,$A3573,$B:$B,"&lt;&gt;Patrícia Karla de Sousa Araújo",$B:$B,"&lt;&gt;Lorena Dias de Araujo",$B:$B,"&lt;&gt;Lucas Luiz Romero")*(35/1083),IF(C3573="Técnico II",SUMIFS($D:$D,$A:$A,$A3573,$B:$B,"&lt;&gt;Patrícia Karla de Sousa Araújo",$B:$B,"&lt;&gt;Lorena Dias de Araujo",$B:$B,"&lt;&gt;Lucas Luiz Romero")*(28/1083),IF(C3573="Técnico I",SUMIFS($D:$D,$A:$A,$A3573,$B:$B,"&lt;&gt;Patrícia Karla de Sousa Araújo",$B:$B,"&lt;&gt;Lorena Dias de Araujo",$B:$B,"&lt;&gt;Lucas Luiz Romero")*(23/1083),IF(C3573="JR",SUMIFS($D:$D,$A:$A,$A3573,$B:$B,"&lt;&gt;Patrícia Karla de Sousa Araújo",$B:$B,"&lt;&gt;Lorena Dias de Araujo",$B:$B,"&lt;&gt;Lucas Luiz Romero")*(20/1083),IF(C3573="Estágio",SUMIFS($D:$D,$A:$A,$A3573,$B:$B,"&lt;&gt;Patrícia Karla de Sousa Araújo",$B:$B,"&lt;&gt;Lorena Dias de Araujo",$B:$B,"&lt;&gt;Lucas Luiz Romero")*(10/1083),0)))))),0)</f>
        <v>25</v>
      </c>
      <c r="K3573" s="3">
        <f>I3573-J3573</f>
        <v>-1</v>
      </c>
      <c r="L3573" s="3" t="str">
        <f>IF(K3573&lt;-5,"CRÍTICO",IF(K3573&lt;0,"ATENÇÃO",IF(K3573&lt;=5,"OPORTUNO","MUITO BOM")))</f>
        <v>ATENÇÃO</v>
      </c>
      <c r="M3573">
        <v>23</v>
      </c>
      <c r="N3573">
        <v>99.17</v>
      </c>
      <c r="O3573">
        <v>29.75206611570248</v>
      </c>
    </row>
    <row r="3574" spans="1:15" hidden="1" x14ac:dyDescent="0.25">
      <c r="A3574" s="11">
        <v>46113</v>
      </c>
      <c r="B3574" t="s">
        <v>57</v>
      </c>
      <c r="C3574" t="s">
        <v>48</v>
      </c>
      <c r="D3574">
        <v>35</v>
      </c>
      <c r="E3574">
        <v>34</v>
      </c>
      <c r="F3574">
        <v>15.59</v>
      </c>
      <c r="G3574">
        <v>0</v>
      </c>
      <c r="H3574">
        <v>0</v>
      </c>
      <c r="I3574" s="3">
        <v>0</v>
      </c>
      <c r="J3574" s="3">
        <v>0</v>
      </c>
      <c r="K3574" s="3">
        <v>0</v>
      </c>
      <c r="L3574" s="3" t="str">
        <f>IF(K3574&lt;-5,"CRÍTICO",IF(K3574&lt;0,"ATENÇÃO",IF(K3574&lt;=5,"OPORTUNO","MUITO BOM")))</f>
        <v>OPORTUNO</v>
      </c>
      <c r="M3574">
        <v>33</v>
      </c>
      <c r="N3574">
        <v>98.73</v>
      </c>
      <c r="O3574">
        <v>28.961748633879779</v>
      </c>
    </row>
    <row r="3575" spans="1:15" hidden="1" x14ac:dyDescent="0.25">
      <c r="A3575" s="11">
        <v>46113</v>
      </c>
      <c r="B3575" t="s">
        <v>42</v>
      </c>
      <c r="C3575" t="s">
        <v>32</v>
      </c>
      <c r="D3575">
        <v>61</v>
      </c>
      <c r="E3575">
        <v>48</v>
      </c>
      <c r="F3575">
        <v>11.44</v>
      </c>
      <c r="G3575">
        <v>0</v>
      </c>
      <c r="H3575">
        <v>0</v>
      </c>
      <c r="I3575" s="3">
        <f>E3575+G3575+H3575</f>
        <v>48</v>
      </c>
      <c r="J3575" s="3">
        <f>ROUND(MIN(IF(C3575="Técnico III",35,IF(C3575="Técnico II",28,IF(C3575="Técnico I",23,IF(C3575="JR",20,IF(C3575="Estágio",10,0))))),IF(C3575="Técnico III",SUMIFS($D:$D,$A:$A,$A3575,$B:$B,"&lt;&gt;Patrícia Karla de Sousa Araújo",$B:$B,"&lt;&gt;Lorena Dias de Araujo",$B:$B,"&lt;&gt;Lucas Luiz Romero")*(35/1083),IF(C3575="Técnico II",SUMIFS($D:$D,$A:$A,$A3575,$B:$B,"&lt;&gt;Patrícia Karla de Sousa Araújo",$B:$B,"&lt;&gt;Lorena Dias de Araujo",$B:$B,"&lt;&gt;Lucas Luiz Romero")*(28/1083),IF(C3575="Técnico I",SUMIFS($D:$D,$A:$A,$A3575,$B:$B,"&lt;&gt;Patrícia Karla de Sousa Araújo",$B:$B,"&lt;&gt;Lorena Dias de Araujo",$B:$B,"&lt;&gt;Lucas Luiz Romero")*(23/1083),IF(C3575="JR",SUMIFS($D:$D,$A:$A,$A3575,$B:$B,"&lt;&gt;Patrícia Karla de Sousa Araújo",$B:$B,"&lt;&gt;Lorena Dias de Araujo",$B:$B,"&lt;&gt;Lucas Luiz Romero")*(20/1083),IF(C3575="Estágio",SUMIFS($D:$D,$A:$A,$A3575,$B:$B,"&lt;&gt;Patrícia Karla de Sousa Araújo",$B:$B,"&lt;&gt;Lorena Dias de Araujo",$B:$B,"&lt;&gt;Lucas Luiz Romero")*(10/1083),0)))))),0)</f>
        <v>32</v>
      </c>
      <c r="K3575" s="3">
        <f>I3575-J3575</f>
        <v>16</v>
      </c>
      <c r="L3575" s="3" t="str">
        <f>IF(K3575&lt;-5,"CRÍTICO",IF(K3575&lt;0,"ATENÇÃO",IF(K3575&lt;=5,"OPORTUNO","MUITO BOM")))</f>
        <v>MUITO BOM</v>
      </c>
      <c r="M3575">
        <v>39</v>
      </c>
      <c r="N3575">
        <v>88.68</v>
      </c>
      <c r="O3575">
        <v>22.03389830508474</v>
      </c>
    </row>
    <row r="3576" spans="1:15" hidden="1" x14ac:dyDescent="0.25">
      <c r="A3576" s="11">
        <v>46113</v>
      </c>
      <c r="B3576" t="s">
        <v>62</v>
      </c>
      <c r="C3576" t="s">
        <v>23</v>
      </c>
      <c r="D3576">
        <v>28</v>
      </c>
      <c r="E3576">
        <v>24</v>
      </c>
      <c r="F3576">
        <v>20.47</v>
      </c>
      <c r="G3576">
        <v>0</v>
      </c>
      <c r="H3576">
        <v>0</v>
      </c>
      <c r="I3576" s="3">
        <f>E3576+G3576+H3576</f>
        <v>24</v>
      </c>
      <c r="J3576" s="3">
        <f>ROUND(MIN(IF(C3576="Técnico III",35,IF(C3576="Técnico II",28,IF(C3576="Técnico I",23,IF(C3576="JR",20,IF(C3576="Estágio",10,0))))),IF(C3576="Técnico III",SUMIFS($D:$D,$A:$A,$A3576,$B:$B,"&lt;&gt;Patrícia Karla de Sousa Araújo",$B:$B,"&lt;&gt;Lorena Dias de Araujo",$B:$B,"&lt;&gt;Lucas Luiz Romero")*(35/1083),IF(C3576="Técnico II",SUMIFS($D:$D,$A:$A,$A3576,$B:$B,"&lt;&gt;Patrícia Karla de Sousa Araújo",$B:$B,"&lt;&gt;Lorena Dias de Araujo",$B:$B,"&lt;&gt;Lucas Luiz Romero")*(28/1083),IF(C3576="Técnico I",SUMIFS($D:$D,$A:$A,$A3576,$B:$B,"&lt;&gt;Patrícia Karla de Sousa Araújo",$B:$B,"&lt;&gt;Lorena Dias de Araujo",$B:$B,"&lt;&gt;Lucas Luiz Romero")*(23/1083),IF(C3576="JR",SUMIFS($D:$D,$A:$A,$A3576,$B:$B,"&lt;&gt;Patrícia Karla de Sousa Araújo",$B:$B,"&lt;&gt;Lorena Dias de Araujo",$B:$B,"&lt;&gt;Lucas Luiz Romero")*(20/1083),IF(C3576="Estágio",SUMIFS($D:$D,$A:$A,$A3576,$B:$B,"&lt;&gt;Patrícia Karla de Sousa Araújo",$B:$B,"&lt;&gt;Lorena Dias de Araujo",$B:$B,"&lt;&gt;Lucas Luiz Romero")*(10/1083),0)))))),0)</f>
        <v>21</v>
      </c>
      <c r="K3576" s="3">
        <f>I3576-J3576</f>
        <v>3</v>
      </c>
      <c r="L3576" s="3" t="str">
        <f>IF(K3576&lt;-5,"CRÍTICO",IF(K3576&lt;0,"ATENÇÃO",IF(K3576&lt;=5,"OPORTUNO","MUITO BOM")))</f>
        <v>OPORTUNO</v>
      </c>
      <c r="M3576">
        <v>27</v>
      </c>
      <c r="N3576">
        <v>97.37</v>
      </c>
      <c r="O3576">
        <v>25.76530612244898</v>
      </c>
    </row>
    <row r="3577" spans="1:15" hidden="1" x14ac:dyDescent="0.25">
      <c r="A3577" s="11">
        <v>46113</v>
      </c>
      <c r="B3577" t="s">
        <v>19</v>
      </c>
      <c r="C3577" t="s">
        <v>16</v>
      </c>
      <c r="D3577">
        <v>0</v>
      </c>
      <c r="E3577">
        <v>0</v>
      </c>
      <c r="F3577">
        <v>0</v>
      </c>
      <c r="G3577">
        <v>0</v>
      </c>
      <c r="H3577">
        <v>0</v>
      </c>
      <c r="I3577" s="3">
        <v>0</v>
      </c>
      <c r="J3577" s="3">
        <v>0</v>
      </c>
      <c r="K3577" s="3">
        <v>0</v>
      </c>
      <c r="L3577" s="3" t="str">
        <f>IF(K3577&lt;-5,"CRÍTICO",IF(K3577&lt;0,"ATENÇÃO",IF(K3577&lt;=5,"OPORTUNO","MUITO BOM")))</f>
        <v>OPORTUNO</v>
      </c>
      <c r="M3577">
        <v>0</v>
      </c>
      <c r="N3577">
        <v>100</v>
      </c>
      <c r="O3577">
        <v>25</v>
      </c>
    </row>
    <row r="3578" spans="1:15" hidden="1" x14ac:dyDescent="0.25">
      <c r="A3578" s="11">
        <v>46113</v>
      </c>
      <c r="B3578" t="s">
        <v>43</v>
      </c>
      <c r="C3578" t="s">
        <v>32</v>
      </c>
      <c r="D3578">
        <v>50</v>
      </c>
      <c r="E3578">
        <v>48</v>
      </c>
      <c r="F3578">
        <v>12.04</v>
      </c>
      <c r="G3578">
        <v>0</v>
      </c>
      <c r="H3578">
        <v>0</v>
      </c>
      <c r="I3578" s="3">
        <f>E3578+G3578+H3578</f>
        <v>48</v>
      </c>
      <c r="J3578" s="3">
        <f>ROUND(MIN(IF(C3578="Técnico III",35,IF(C3578="Técnico II",28,IF(C3578="Técnico I",23,IF(C3578="JR",20,IF(C3578="Estágio",10,0))))),IF(C3578="Técnico III",SUMIFS($D:$D,$A:$A,$A3578,$B:$B,"&lt;&gt;Patrícia Karla de Sousa Araújo",$B:$B,"&lt;&gt;Lorena Dias de Araujo",$B:$B,"&lt;&gt;Lucas Luiz Romero")*(35/1083),IF(C3578="Técnico II",SUMIFS($D:$D,$A:$A,$A3578,$B:$B,"&lt;&gt;Patrícia Karla de Sousa Araújo",$B:$B,"&lt;&gt;Lorena Dias de Araujo",$B:$B,"&lt;&gt;Lucas Luiz Romero")*(28/1083),IF(C3578="Técnico I",SUMIFS($D:$D,$A:$A,$A3578,$B:$B,"&lt;&gt;Patrícia Karla de Sousa Araújo",$B:$B,"&lt;&gt;Lorena Dias de Araujo",$B:$B,"&lt;&gt;Lucas Luiz Romero")*(23/1083),IF(C3578="JR",SUMIFS($D:$D,$A:$A,$A3578,$B:$B,"&lt;&gt;Patrícia Karla de Sousa Araújo",$B:$B,"&lt;&gt;Lorena Dias de Araujo",$B:$B,"&lt;&gt;Lucas Luiz Romero")*(20/1083),IF(C3578="Estágio",SUMIFS($D:$D,$A:$A,$A3578,$B:$B,"&lt;&gt;Patrícia Karla de Sousa Araújo",$B:$B,"&lt;&gt;Lorena Dias de Araujo",$B:$B,"&lt;&gt;Lucas Luiz Romero")*(10/1083),0)))))),0)</f>
        <v>32</v>
      </c>
      <c r="K3578" s="3">
        <f>I3578-J3578</f>
        <v>16</v>
      </c>
      <c r="L3578" s="3" t="str">
        <f>IF(K3578&lt;-5,"CRÍTICO",IF(K3578&lt;0,"ATENÇÃO",IF(K3578&lt;=5,"OPORTUNO","MUITO BOM")))</f>
        <v>MUITO BOM</v>
      </c>
      <c r="M3578">
        <v>47</v>
      </c>
      <c r="N3578">
        <v>100</v>
      </c>
      <c r="O3578">
        <v>23.9870340356564</v>
      </c>
    </row>
    <row r="3579" spans="1:15" hidden="1" x14ac:dyDescent="0.25">
      <c r="A3579" s="11">
        <v>46113</v>
      </c>
      <c r="B3579" t="s">
        <v>44</v>
      </c>
      <c r="C3579" t="s">
        <v>32</v>
      </c>
      <c r="D3579">
        <v>35</v>
      </c>
      <c r="E3579">
        <v>31</v>
      </c>
      <c r="F3579">
        <v>12.33</v>
      </c>
      <c r="G3579">
        <v>0</v>
      </c>
      <c r="H3579">
        <v>0</v>
      </c>
      <c r="I3579" s="3">
        <f>E3579+G3579+H3579</f>
        <v>31</v>
      </c>
      <c r="J3579" s="3">
        <f>ROUND(MIN(IF(C3579="Técnico III",35,IF(C3579="Técnico II",28,IF(C3579="Técnico I",23,IF(C3579="JR",20,IF(C3579="Estágio",10,0))))),IF(C3579="Técnico III",SUMIFS($D:$D,$A:$A,$A3579,$B:$B,"&lt;&gt;Patrícia Karla de Sousa Araújo",$B:$B,"&lt;&gt;Lorena Dias de Araujo",$B:$B,"&lt;&gt;Lucas Luiz Romero")*(35/1083),IF(C3579="Técnico II",SUMIFS($D:$D,$A:$A,$A3579,$B:$B,"&lt;&gt;Patrícia Karla de Sousa Araújo",$B:$B,"&lt;&gt;Lorena Dias de Araujo",$B:$B,"&lt;&gt;Lucas Luiz Romero")*(28/1083),IF(C3579="Técnico I",SUMIFS($D:$D,$A:$A,$A3579,$B:$B,"&lt;&gt;Patrícia Karla de Sousa Araújo",$B:$B,"&lt;&gt;Lorena Dias de Araujo",$B:$B,"&lt;&gt;Lucas Luiz Romero")*(23/1083),IF(C3579="JR",SUMIFS($D:$D,$A:$A,$A3579,$B:$B,"&lt;&gt;Patrícia Karla de Sousa Araújo",$B:$B,"&lt;&gt;Lorena Dias de Araujo",$B:$B,"&lt;&gt;Lucas Luiz Romero")*(20/1083),IF(C3579="Estágio",SUMIFS($D:$D,$A:$A,$A3579,$B:$B,"&lt;&gt;Patrícia Karla de Sousa Araújo",$B:$B,"&lt;&gt;Lorena Dias de Araujo",$B:$B,"&lt;&gt;Lucas Luiz Romero")*(10/1083),0)))))),0)</f>
        <v>32</v>
      </c>
      <c r="K3579" s="3">
        <f>I3579-J3579</f>
        <v>-1</v>
      </c>
      <c r="L3579" s="3" t="str">
        <f>IF(K3579&lt;-5,"CRÍTICO",IF(K3579&lt;0,"ATENÇÃO",IF(K3579&lt;=5,"OPORTUNO","MUITO BOM")))</f>
        <v>ATENÇÃO</v>
      </c>
      <c r="M3579">
        <v>25</v>
      </c>
      <c r="N3579">
        <v>95.49</v>
      </c>
      <c r="O3579">
        <v>28.370221327967808</v>
      </c>
    </row>
    <row r="3580" spans="1:15" hidden="1" x14ac:dyDescent="0.25">
      <c r="A3580" s="11">
        <v>46113</v>
      </c>
      <c r="B3580" t="s">
        <v>20</v>
      </c>
      <c r="C3580" t="s">
        <v>16</v>
      </c>
      <c r="D3580">
        <v>18</v>
      </c>
      <c r="E3580">
        <v>16</v>
      </c>
      <c r="F3580">
        <v>22.36</v>
      </c>
      <c r="G3580">
        <v>0</v>
      </c>
      <c r="H3580">
        <v>0</v>
      </c>
      <c r="I3580" s="3">
        <f>E3580+G3580+H3580</f>
        <v>16</v>
      </c>
      <c r="J3580" s="3">
        <f>ROUND(MIN(IF(C3580="Técnico III",35,IF(C3580="Técnico II",28,IF(C3580="Técnico I",23,IF(C3580="JR",20,IF(C3580="Estágio",10,0))))),IF(C3580="Técnico III",SUMIFS($D:$D,$A:$A,$A3580,$B:$B,"&lt;&gt;Patrícia Karla de Sousa Araújo",$B:$B,"&lt;&gt;Lorena Dias de Araujo",$B:$B,"&lt;&gt;Lucas Luiz Romero")*(35/1083),IF(C3580="Técnico II",SUMIFS($D:$D,$A:$A,$A3580,$B:$B,"&lt;&gt;Patrícia Karla de Sousa Araújo",$B:$B,"&lt;&gt;Lorena Dias de Araujo",$B:$B,"&lt;&gt;Lucas Luiz Romero")*(28/1083),IF(C3580="Técnico I",SUMIFS($D:$D,$A:$A,$A3580,$B:$B,"&lt;&gt;Patrícia Karla de Sousa Araújo",$B:$B,"&lt;&gt;Lorena Dias de Araujo",$B:$B,"&lt;&gt;Lucas Luiz Romero")*(23/1083),IF(C3580="JR",SUMIFS($D:$D,$A:$A,$A3580,$B:$B,"&lt;&gt;Patrícia Karla de Sousa Araújo",$B:$B,"&lt;&gt;Lorena Dias de Araujo",$B:$B,"&lt;&gt;Lucas Luiz Romero")*(20/1083),IF(C3580="Estágio",SUMIFS($D:$D,$A:$A,$A3580,$B:$B,"&lt;&gt;Patrícia Karla de Sousa Araújo",$B:$B,"&lt;&gt;Lorena Dias de Araujo",$B:$B,"&lt;&gt;Lucas Luiz Romero")*(10/1083),0)))))),0)</f>
        <v>9</v>
      </c>
      <c r="K3580" s="3">
        <f>I3580-J3580</f>
        <v>7</v>
      </c>
      <c r="L3580" s="3" t="str">
        <f>IF(K3580&lt;-5,"CRÍTICO",IF(K3580&lt;0,"ATENÇÃO",IF(K3580&lt;=5,"OPORTUNO","MUITO BOM")))</f>
        <v>MUITO BOM</v>
      </c>
      <c r="M3580">
        <v>9</v>
      </c>
      <c r="N3580">
        <v>100</v>
      </c>
      <c r="O3580">
        <v>23.77622377622378</v>
      </c>
    </row>
    <row r="3581" spans="1:15" hidden="1" x14ac:dyDescent="0.25">
      <c r="A3581" s="11">
        <v>46113</v>
      </c>
      <c r="B3581" t="s">
        <v>28</v>
      </c>
      <c r="C3581" t="s">
        <v>26</v>
      </c>
      <c r="D3581">
        <v>27</v>
      </c>
      <c r="E3581">
        <v>23</v>
      </c>
      <c r="F3581">
        <v>18.55</v>
      </c>
      <c r="G3581">
        <v>0</v>
      </c>
      <c r="H3581">
        <v>0</v>
      </c>
      <c r="I3581" s="3">
        <f>E3581+G3581+H3581</f>
        <v>23</v>
      </c>
      <c r="J3581" s="3">
        <f>ROUND(MIN(IF(C3581="Técnico III",35,IF(C3581="Técnico II",28,IF(C3581="Técnico I",23,IF(C3581="JR",20,IF(C3581="Estágio",10,0))))),IF(C3581="Técnico III",SUMIFS($D:$D,$A:$A,$A3581,$B:$B,"&lt;&gt;Patrícia Karla de Sousa Araújo",$B:$B,"&lt;&gt;Lorena Dias de Araujo",$B:$B,"&lt;&gt;Lucas Luiz Romero")*(35/1083),IF(C3581="Técnico II",SUMIFS($D:$D,$A:$A,$A3581,$B:$B,"&lt;&gt;Patrícia Karla de Sousa Araújo",$B:$B,"&lt;&gt;Lorena Dias de Araujo",$B:$B,"&lt;&gt;Lucas Luiz Romero")*(28/1083),IF(C3581="Técnico I",SUMIFS($D:$D,$A:$A,$A3581,$B:$B,"&lt;&gt;Patrícia Karla de Sousa Araújo",$B:$B,"&lt;&gt;Lorena Dias de Araujo",$B:$B,"&lt;&gt;Lucas Luiz Romero")*(23/1083),IF(C3581="JR",SUMIFS($D:$D,$A:$A,$A3581,$B:$B,"&lt;&gt;Patrícia Karla de Sousa Araújo",$B:$B,"&lt;&gt;Lorena Dias de Araujo",$B:$B,"&lt;&gt;Lucas Luiz Romero")*(20/1083),IF(C3581="Estágio",SUMIFS($D:$D,$A:$A,$A3581,$B:$B,"&lt;&gt;Patrícia Karla de Sousa Araújo",$B:$B,"&lt;&gt;Lorena Dias de Araujo",$B:$B,"&lt;&gt;Lucas Luiz Romero")*(10/1083),0)))))),0)</f>
        <v>18</v>
      </c>
      <c r="K3581" s="3">
        <f>I3581-J3581</f>
        <v>5</v>
      </c>
      <c r="L3581" s="3" t="str">
        <f>IF(K3581&lt;-5,"CRÍTICO",IF(K3581&lt;0,"ATENÇÃO",IF(K3581&lt;=5,"OPORTUNO","MUITO BOM")))</f>
        <v>OPORTUNO</v>
      </c>
      <c r="M3581">
        <v>11</v>
      </c>
      <c r="N3581">
        <v>96.15</v>
      </c>
      <c r="O3581">
        <v>24.045801526717561</v>
      </c>
    </row>
    <row r="3582" spans="1:15" hidden="1" x14ac:dyDescent="0.25">
      <c r="A3582" s="11">
        <v>46113</v>
      </c>
      <c r="B3582" t="s">
        <v>58</v>
      </c>
      <c r="C3582" t="s">
        <v>48</v>
      </c>
      <c r="D3582">
        <v>24</v>
      </c>
      <c r="E3582">
        <v>21</v>
      </c>
      <c r="F3582">
        <v>23.41</v>
      </c>
      <c r="G3582">
        <v>0</v>
      </c>
      <c r="H3582">
        <v>0</v>
      </c>
      <c r="I3582" s="3">
        <f>E3582+G3582+H3582</f>
        <v>21</v>
      </c>
      <c r="J3582" s="3">
        <f>ROUND(MIN(IF(C3582="Técnico III",35,IF(C3582="Técnico II",28,IF(C3582="Técnico I",23,IF(C3582="JR",20,IF(C3582="Estágio",10,0))))),IF(C3582="Técnico III",SUMIFS($D:$D,$A:$A,$A3582,$B:$B,"&lt;&gt;Patrícia Karla de Sousa Araújo",$B:$B,"&lt;&gt;Lorena Dias de Araujo",$B:$B,"&lt;&gt;Lucas Luiz Romero")*(35/1083),IF(C3582="Técnico II",SUMIFS($D:$D,$A:$A,$A3582,$B:$B,"&lt;&gt;Patrícia Karla de Sousa Araújo",$B:$B,"&lt;&gt;Lorena Dias de Araujo",$B:$B,"&lt;&gt;Lucas Luiz Romero")*(28/1083),IF(C3582="Técnico I",SUMIFS($D:$D,$A:$A,$A3582,$B:$B,"&lt;&gt;Patrícia Karla de Sousa Araújo",$B:$B,"&lt;&gt;Lorena Dias de Araujo",$B:$B,"&lt;&gt;Lucas Luiz Romero")*(23/1083),IF(C3582="JR",SUMIFS($D:$D,$A:$A,$A3582,$B:$B,"&lt;&gt;Patrícia Karla de Sousa Araújo",$B:$B,"&lt;&gt;Lorena Dias de Araujo",$B:$B,"&lt;&gt;Lucas Luiz Romero")*(20/1083),IF(C3582="Estágio",SUMIFS($D:$D,$A:$A,$A3582,$B:$B,"&lt;&gt;Patrícia Karla de Sousa Araújo",$B:$B,"&lt;&gt;Lorena Dias de Araujo",$B:$B,"&lt;&gt;Lucas Luiz Romero")*(10/1083),0)))))),0)</f>
        <v>25</v>
      </c>
      <c r="K3582" s="3">
        <f>I3582-J3582</f>
        <v>-4</v>
      </c>
      <c r="L3582" s="3" t="str">
        <f>IF(K3582&lt;-5,"CRÍTICO",IF(K3582&lt;0,"ATENÇÃO",IF(K3582&lt;=5,"OPORTUNO","MUITO BOM")))</f>
        <v>ATENÇÃO</v>
      </c>
      <c r="M3582">
        <v>19</v>
      </c>
      <c r="N3582">
        <v>99.02</v>
      </c>
      <c r="O3582">
        <v>34.797297297297298</v>
      </c>
    </row>
    <row r="3583" spans="1:15" hidden="1" x14ac:dyDescent="0.25">
      <c r="A3583" s="11">
        <v>46113</v>
      </c>
      <c r="B3583" t="s">
        <v>29</v>
      </c>
      <c r="C3583" t="s">
        <v>26</v>
      </c>
      <c r="D3583">
        <v>21</v>
      </c>
      <c r="E3583">
        <v>21</v>
      </c>
      <c r="F3583">
        <v>16.510000000000002</v>
      </c>
      <c r="G3583">
        <v>0</v>
      </c>
      <c r="H3583">
        <v>0</v>
      </c>
      <c r="I3583" s="3">
        <f>E3583+G3583+H3583</f>
        <v>21</v>
      </c>
      <c r="J3583" s="3">
        <f>ROUND(MIN(IF(C3583="Técnico III",35,IF(C3583="Técnico II",28,IF(C3583="Técnico I",23,IF(C3583="JR",20,IF(C3583="Estágio",10,0))))),IF(C3583="Técnico III",SUMIFS($D:$D,$A:$A,$A3583,$B:$B,"&lt;&gt;Patrícia Karla de Sousa Araújo",$B:$B,"&lt;&gt;Lorena Dias de Araujo",$B:$B,"&lt;&gt;Lucas Luiz Romero")*(35/1083),IF(C3583="Técnico II",SUMIFS($D:$D,$A:$A,$A3583,$B:$B,"&lt;&gt;Patrícia Karla de Sousa Araújo",$B:$B,"&lt;&gt;Lorena Dias de Araujo",$B:$B,"&lt;&gt;Lucas Luiz Romero")*(28/1083),IF(C3583="Técnico I",SUMIFS($D:$D,$A:$A,$A3583,$B:$B,"&lt;&gt;Patrícia Karla de Sousa Araújo",$B:$B,"&lt;&gt;Lorena Dias de Araujo",$B:$B,"&lt;&gt;Lucas Luiz Romero")*(23/1083),IF(C3583="JR",SUMIFS($D:$D,$A:$A,$A3583,$B:$B,"&lt;&gt;Patrícia Karla de Sousa Araújo",$B:$B,"&lt;&gt;Lorena Dias de Araujo",$B:$B,"&lt;&gt;Lucas Luiz Romero")*(20/1083),IF(C3583="Estágio",SUMIFS($D:$D,$A:$A,$A3583,$B:$B,"&lt;&gt;Patrícia Karla de Sousa Araújo",$B:$B,"&lt;&gt;Lorena Dias de Araujo",$B:$B,"&lt;&gt;Lucas Luiz Romero")*(10/1083),0)))))),0)</f>
        <v>18</v>
      </c>
      <c r="K3583" s="3">
        <f>I3583-J3583</f>
        <v>3</v>
      </c>
      <c r="L3583" s="3" t="str">
        <f>IF(K3583&lt;-5,"CRÍTICO",IF(K3583&lt;0,"ATENÇÃO",IF(K3583&lt;=5,"OPORTUNO","MUITO BOM")))</f>
        <v>OPORTUNO</v>
      </c>
      <c r="M3583">
        <v>16</v>
      </c>
      <c r="N3583">
        <v>98.84</v>
      </c>
      <c r="O3583">
        <v>31.868131868131869</v>
      </c>
    </row>
    <row r="3584" spans="1:15" hidden="1" x14ac:dyDescent="0.25">
      <c r="A3584" s="11">
        <v>46113</v>
      </c>
      <c r="B3584" t="s">
        <v>30</v>
      </c>
      <c r="C3584" t="s">
        <v>26</v>
      </c>
      <c r="D3584">
        <v>19</v>
      </c>
      <c r="E3584">
        <v>19</v>
      </c>
      <c r="F3584">
        <v>22.12</v>
      </c>
      <c r="G3584">
        <v>0</v>
      </c>
      <c r="H3584">
        <v>0</v>
      </c>
      <c r="I3584" s="3">
        <f>E3584+G3584+H3584</f>
        <v>19</v>
      </c>
      <c r="J3584" s="3">
        <f>ROUND(MIN(IF(C3584="Técnico III",35,IF(C3584="Técnico II",28,IF(C3584="Técnico I",23,IF(C3584="JR",20,IF(C3584="Estágio",10,0))))),IF(C3584="Técnico III",SUMIFS($D:$D,$A:$A,$A3584,$B:$B,"&lt;&gt;Patrícia Karla de Sousa Araújo",$B:$B,"&lt;&gt;Lorena Dias de Araujo",$B:$B,"&lt;&gt;Lucas Luiz Romero")*(35/1083),IF(C3584="Técnico II",SUMIFS($D:$D,$A:$A,$A3584,$B:$B,"&lt;&gt;Patrícia Karla de Sousa Araújo",$B:$B,"&lt;&gt;Lorena Dias de Araujo",$B:$B,"&lt;&gt;Lucas Luiz Romero")*(28/1083),IF(C3584="Técnico I",SUMIFS($D:$D,$A:$A,$A3584,$B:$B,"&lt;&gt;Patrícia Karla de Sousa Araújo",$B:$B,"&lt;&gt;Lorena Dias de Araujo",$B:$B,"&lt;&gt;Lucas Luiz Romero")*(23/1083),IF(C3584="JR",SUMIFS($D:$D,$A:$A,$A3584,$B:$B,"&lt;&gt;Patrícia Karla de Sousa Araújo",$B:$B,"&lt;&gt;Lorena Dias de Araujo",$B:$B,"&lt;&gt;Lucas Luiz Romero")*(20/1083),IF(C3584="Estágio",SUMIFS($D:$D,$A:$A,$A3584,$B:$B,"&lt;&gt;Patrícia Karla de Sousa Araújo",$B:$B,"&lt;&gt;Lorena Dias de Araujo",$B:$B,"&lt;&gt;Lucas Luiz Romero")*(10/1083),0)))))),0)</f>
        <v>18</v>
      </c>
      <c r="K3584" s="3">
        <f>I3584-J3584</f>
        <v>1</v>
      </c>
      <c r="L3584" s="3" t="str">
        <f>IF(K3584&lt;-5,"CRÍTICO",IF(K3584&lt;0,"ATENÇÃO",IF(K3584&lt;=5,"OPORTUNO","MUITO BOM")))</f>
        <v>OPORTUNO</v>
      </c>
      <c r="M3584">
        <v>18</v>
      </c>
      <c r="N3584">
        <v>100</v>
      </c>
      <c r="O3584">
        <v>34.666666666666671</v>
      </c>
    </row>
    <row r="3585" spans="1:15" hidden="1" x14ac:dyDescent="0.25">
      <c r="A3585" s="11">
        <v>46113</v>
      </c>
      <c r="B3585" t="s">
        <v>21</v>
      </c>
      <c r="C3585" t="s">
        <v>16</v>
      </c>
      <c r="D3585">
        <v>10</v>
      </c>
      <c r="E3585">
        <v>10</v>
      </c>
      <c r="F3585">
        <v>25.37</v>
      </c>
      <c r="G3585">
        <v>0</v>
      </c>
      <c r="H3585">
        <v>0</v>
      </c>
      <c r="I3585" s="3">
        <f>E3585+G3585+H3585</f>
        <v>10</v>
      </c>
      <c r="J3585" s="3">
        <f>ROUND(MIN(IF(C3585="Técnico III",35,IF(C3585="Técnico II",28,IF(C3585="Técnico I",23,IF(C3585="JR",20,IF(C3585="Estágio",10,0))))),IF(C3585="Técnico III",SUMIFS($D:$D,$A:$A,$A3585,$B:$B,"&lt;&gt;Patrícia Karla de Sousa Araújo",$B:$B,"&lt;&gt;Lorena Dias de Araujo",$B:$B,"&lt;&gt;Lucas Luiz Romero")*(35/1083),IF(C3585="Técnico II",SUMIFS($D:$D,$A:$A,$A3585,$B:$B,"&lt;&gt;Patrícia Karla de Sousa Araújo",$B:$B,"&lt;&gt;Lorena Dias de Araujo",$B:$B,"&lt;&gt;Lucas Luiz Romero")*(28/1083),IF(C3585="Técnico I",SUMIFS($D:$D,$A:$A,$A3585,$B:$B,"&lt;&gt;Patrícia Karla de Sousa Araújo",$B:$B,"&lt;&gt;Lorena Dias de Araujo",$B:$B,"&lt;&gt;Lucas Luiz Romero")*(23/1083),IF(C3585="JR",SUMIFS($D:$D,$A:$A,$A3585,$B:$B,"&lt;&gt;Patrícia Karla de Sousa Araújo",$B:$B,"&lt;&gt;Lorena Dias de Araujo",$B:$B,"&lt;&gt;Lucas Luiz Romero")*(20/1083),IF(C3585="Estágio",SUMIFS($D:$D,$A:$A,$A3585,$B:$B,"&lt;&gt;Patrícia Karla de Sousa Araújo",$B:$B,"&lt;&gt;Lorena Dias de Araujo",$B:$B,"&lt;&gt;Lucas Luiz Romero")*(10/1083),0)))))),0)</f>
        <v>9</v>
      </c>
      <c r="K3585" s="3">
        <f>I3585-J3585</f>
        <v>1</v>
      </c>
      <c r="L3585" s="3" t="str">
        <f>IF(K3585&lt;-5,"CRÍTICO",IF(K3585&lt;0,"ATENÇÃO",IF(K3585&lt;=5,"OPORTUNO","MUITO BOM")))</f>
        <v>OPORTUNO</v>
      </c>
      <c r="M3585">
        <v>9</v>
      </c>
      <c r="N3585">
        <v>94.12</v>
      </c>
      <c r="O3585">
        <v>32.799999999999997</v>
      </c>
    </row>
    <row r="3586" spans="1:15" hidden="1" x14ac:dyDescent="0.25">
      <c r="A3586" s="11">
        <v>46113</v>
      </c>
      <c r="B3586" t="s">
        <v>63</v>
      </c>
      <c r="C3586" t="s">
        <v>23</v>
      </c>
      <c r="D3586">
        <v>33</v>
      </c>
      <c r="E3586">
        <v>32</v>
      </c>
      <c r="F3586">
        <v>15.14</v>
      </c>
      <c r="G3586">
        <v>0</v>
      </c>
      <c r="H3586">
        <v>0</v>
      </c>
      <c r="I3586" s="3">
        <f>E3586+G3586+H3586</f>
        <v>32</v>
      </c>
      <c r="J3586" s="3">
        <f>ROUND(MIN(IF(C3586="Técnico III",35,IF(C3586="Técnico II",28,IF(C3586="Técnico I",23,IF(C3586="JR",20,IF(C3586="Estágio",10,0))))),IF(C3586="Técnico III",SUMIFS($D:$D,$A:$A,$A3586,$B:$B,"&lt;&gt;Patrícia Karla de Sousa Araújo",$B:$B,"&lt;&gt;Lorena Dias de Araujo",$B:$B,"&lt;&gt;Lucas Luiz Romero")*(35/1083),IF(C3586="Técnico II",SUMIFS($D:$D,$A:$A,$A3586,$B:$B,"&lt;&gt;Patrícia Karla de Sousa Araújo",$B:$B,"&lt;&gt;Lorena Dias de Araujo",$B:$B,"&lt;&gt;Lucas Luiz Romero")*(28/1083),IF(C3586="Técnico I",SUMIFS($D:$D,$A:$A,$A3586,$B:$B,"&lt;&gt;Patrícia Karla de Sousa Araújo",$B:$B,"&lt;&gt;Lorena Dias de Araujo",$B:$B,"&lt;&gt;Lucas Luiz Romero")*(23/1083),IF(C3586="JR",SUMIFS($D:$D,$A:$A,$A3586,$B:$B,"&lt;&gt;Patrícia Karla de Sousa Araújo",$B:$B,"&lt;&gt;Lorena Dias de Araujo",$B:$B,"&lt;&gt;Lucas Luiz Romero")*(20/1083),IF(C3586="Estágio",SUMIFS($D:$D,$A:$A,$A3586,$B:$B,"&lt;&gt;Patrícia Karla de Sousa Araújo",$B:$B,"&lt;&gt;Lorena Dias de Araujo",$B:$B,"&lt;&gt;Lucas Luiz Romero")*(10/1083),0)))))),0)</f>
        <v>21</v>
      </c>
      <c r="K3586" s="3">
        <f>I3586-J3586</f>
        <v>11</v>
      </c>
      <c r="L3586" s="3" t="str">
        <f>IF(K3586&lt;-5,"CRÍTICO",IF(K3586&lt;0,"ATENÇÃO",IF(K3586&lt;=5,"OPORTUNO","MUITO BOM")))</f>
        <v>MUITO BOM</v>
      </c>
      <c r="M3586">
        <v>28</v>
      </c>
      <c r="N3586">
        <v>98.32</v>
      </c>
      <c r="O3586">
        <v>26.858513189448441</v>
      </c>
    </row>
    <row r="3587" spans="1:15" hidden="1" x14ac:dyDescent="0.25">
      <c r="A3587" s="11">
        <v>46113</v>
      </c>
      <c r="B3587" t="s">
        <v>45</v>
      </c>
      <c r="C3587" t="s">
        <v>32</v>
      </c>
      <c r="D3587">
        <v>47</v>
      </c>
      <c r="E3587">
        <v>42</v>
      </c>
      <c r="F3587">
        <v>13.55</v>
      </c>
      <c r="G3587">
        <v>0</v>
      </c>
      <c r="H3587">
        <v>0</v>
      </c>
      <c r="I3587" s="3">
        <f>E3587+G3587+H3587</f>
        <v>42</v>
      </c>
      <c r="J3587" s="3">
        <f>ROUND(MIN(IF(C3587="Técnico III",35,IF(C3587="Técnico II",28,IF(C3587="Técnico I",23,IF(C3587="JR",20,IF(C3587="Estágio",10,0))))),IF(C3587="Técnico III",SUMIFS($D:$D,$A:$A,$A3587,$B:$B,"&lt;&gt;Patrícia Karla de Sousa Araújo",$B:$B,"&lt;&gt;Lorena Dias de Araujo",$B:$B,"&lt;&gt;Lucas Luiz Romero")*(35/1083),IF(C3587="Técnico II",SUMIFS($D:$D,$A:$A,$A3587,$B:$B,"&lt;&gt;Patrícia Karla de Sousa Araújo",$B:$B,"&lt;&gt;Lorena Dias de Araujo",$B:$B,"&lt;&gt;Lucas Luiz Romero")*(28/1083),IF(C3587="Técnico I",SUMIFS($D:$D,$A:$A,$A3587,$B:$B,"&lt;&gt;Patrícia Karla de Sousa Araújo",$B:$B,"&lt;&gt;Lorena Dias de Araujo",$B:$B,"&lt;&gt;Lucas Luiz Romero")*(23/1083),IF(C3587="JR",SUMIFS($D:$D,$A:$A,$A3587,$B:$B,"&lt;&gt;Patrícia Karla de Sousa Araújo",$B:$B,"&lt;&gt;Lorena Dias de Araujo",$B:$B,"&lt;&gt;Lucas Luiz Romero")*(20/1083),IF(C3587="Estágio",SUMIFS($D:$D,$A:$A,$A3587,$B:$B,"&lt;&gt;Patrícia Karla de Sousa Araújo",$B:$B,"&lt;&gt;Lorena Dias de Araujo",$B:$B,"&lt;&gt;Lucas Luiz Romero")*(10/1083),0)))))),0)</f>
        <v>32</v>
      </c>
      <c r="K3587" s="3">
        <f>I3587-J3587</f>
        <v>10</v>
      </c>
      <c r="L3587" s="3" t="str">
        <f>IF(K3587&lt;-5,"CRÍTICO",IF(K3587&lt;0,"ATENÇÃO",IF(K3587&lt;=5,"OPORTUNO","MUITO BOM")))</f>
        <v>MUITO BOM</v>
      </c>
      <c r="M3587">
        <v>37</v>
      </c>
      <c r="N3587">
        <v>100</v>
      </c>
      <c r="O3587">
        <v>31.135531135531139</v>
      </c>
    </row>
    <row r="3588" spans="1:15" hidden="1" x14ac:dyDescent="0.25">
      <c r="A3588" s="11">
        <v>46113</v>
      </c>
      <c r="B3588" t="s">
        <v>64</v>
      </c>
      <c r="C3588" t="s">
        <v>23</v>
      </c>
      <c r="D3588">
        <v>24</v>
      </c>
      <c r="E3588">
        <v>24</v>
      </c>
      <c r="F3588">
        <v>20.54</v>
      </c>
      <c r="G3588">
        <v>0</v>
      </c>
      <c r="H3588">
        <v>0</v>
      </c>
      <c r="I3588" s="3">
        <f>E3588+G3588+H3588</f>
        <v>24</v>
      </c>
      <c r="J3588" s="3">
        <f>ROUND(MIN(IF(C3588="Técnico III",35,IF(C3588="Técnico II",28,IF(C3588="Técnico I",23,IF(C3588="JR",20,IF(C3588="Estágio",10,0))))),IF(C3588="Técnico III",SUMIFS($D:$D,$A:$A,$A3588,$B:$B,"&lt;&gt;Patrícia Karla de Sousa Araújo",$B:$B,"&lt;&gt;Lorena Dias de Araujo",$B:$B,"&lt;&gt;Lucas Luiz Romero")*(35/1083),IF(C3588="Técnico II",SUMIFS($D:$D,$A:$A,$A3588,$B:$B,"&lt;&gt;Patrícia Karla de Sousa Araújo",$B:$B,"&lt;&gt;Lorena Dias de Araujo",$B:$B,"&lt;&gt;Lucas Luiz Romero")*(28/1083),IF(C3588="Técnico I",SUMIFS($D:$D,$A:$A,$A3588,$B:$B,"&lt;&gt;Patrícia Karla de Sousa Araújo",$B:$B,"&lt;&gt;Lorena Dias de Araujo",$B:$B,"&lt;&gt;Lucas Luiz Romero")*(23/1083),IF(C3588="JR",SUMIFS($D:$D,$A:$A,$A3588,$B:$B,"&lt;&gt;Patrícia Karla de Sousa Araújo",$B:$B,"&lt;&gt;Lorena Dias de Araujo",$B:$B,"&lt;&gt;Lucas Luiz Romero")*(20/1083),IF(C3588="Estágio",SUMIFS($D:$D,$A:$A,$A3588,$B:$B,"&lt;&gt;Patrícia Karla de Sousa Araújo",$B:$B,"&lt;&gt;Lorena Dias de Araujo",$B:$B,"&lt;&gt;Lucas Luiz Romero")*(10/1083),0)))))),0)</f>
        <v>21</v>
      </c>
      <c r="K3588" s="3">
        <f>I3588-J3588</f>
        <v>3</v>
      </c>
      <c r="L3588" s="3" t="str">
        <f>IF(K3588&lt;-5,"CRÍTICO",IF(K3588&lt;0,"ATENÇÃO",IF(K3588&lt;=5,"OPORTUNO","MUITO BOM")))</f>
        <v>OPORTUNO</v>
      </c>
      <c r="M3588">
        <v>26</v>
      </c>
      <c r="N3588">
        <v>100</v>
      </c>
      <c r="O3588">
        <v>26.36986301369863</v>
      </c>
    </row>
    <row r="3589" spans="1:15" hidden="1" x14ac:dyDescent="0.25">
      <c r="A3589" s="11">
        <v>46113</v>
      </c>
      <c r="B3589" t="s">
        <v>46</v>
      </c>
      <c r="C3589" t="s">
        <v>32</v>
      </c>
      <c r="D3589">
        <v>34</v>
      </c>
      <c r="E3589">
        <v>31</v>
      </c>
      <c r="F3589">
        <v>13.37</v>
      </c>
      <c r="G3589">
        <v>0</v>
      </c>
      <c r="H3589">
        <v>0</v>
      </c>
      <c r="I3589" s="3">
        <f>E3589+G3589+H3589</f>
        <v>31</v>
      </c>
      <c r="J3589" s="3">
        <f>ROUND(MIN(IF(C3589="Técnico III",35,IF(C3589="Técnico II",28,IF(C3589="Técnico I",23,IF(C3589="JR",20,IF(C3589="Estágio",10,0))))),IF(C3589="Técnico III",SUMIFS($D:$D,$A:$A,$A3589,$B:$B,"&lt;&gt;Patrícia Karla de Sousa Araújo",$B:$B,"&lt;&gt;Lorena Dias de Araujo",$B:$B,"&lt;&gt;Lucas Luiz Romero")*(35/1083),IF(C3589="Técnico II",SUMIFS($D:$D,$A:$A,$A3589,$B:$B,"&lt;&gt;Patrícia Karla de Sousa Araújo",$B:$B,"&lt;&gt;Lorena Dias de Araujo",$B:$B,"&lt;&gt;Lucas Luiz Romero")*(28/1083),IF(C3589="Técnico I",SUMIFS($D:$D,$A:$A,$A3589,$B:$B,"&lt;&gt;Patrícia Karla de Sousa Araújo",$B:$B,"&lt;&gt;Lorena Dias de Araujo",$B:$B,"&lt;&gt;Lucas Luiz Romero")*(23/1083),IF(C3589="JR",SUMIFS($D:$D,$A:$A,$A3589,$B:$B,"&lt;&gt;Patrícia Karla de Sousa Araújo",$B:$B,"&lt;&gt;Lorena Dias de Araujo",$B:$B,"&lt;&gt;Lucas Luiz Romero")*(20/1083),IF(C3589="Estágio",SUMIFS($D:$D,$A:$A,$A3589,$B:$B,"&lt;&gt;Patrícia Karla de Sousa Araújo",$B:$B,"&lt;&gt;Lorena Dias de Araujo",$B:$B,"&lt;&gt;Lucas Luiz Romero")*(10/1083),0)))))),0)</f>
        <v>32</v>
      </c>
      <c r="K3589" s="3">
        <f>I3589-J3589</f>
        <v>-1</v>
      </c>
      <c r="L3589" s="3" t="str">
        <f>IF(K3589&lt;-5,"CRÍTICO",IF(K3589&lt;0,"ATENÇÃO",IF(K3589&lt;=5,"OPORTUNO","MUITO BOM")))</f>
        <v>ATENÇÃO</v>
      </c>
      <c r="M3589">
        <v>31</v>
      </c>
      <c r="N3589">
        <v>99.21</v>
      </c>
      <c r="O3589">
        <v>25.188916876574311</v>
      </c>
    </row>
    <row r="3590" spans="1:15" hidden="1" x14ac:dyDescent="0.25">
      <c r="A3590" s="11">
        <v>46114</v>
      </c>
      <c r="B3590" t="s">
        <v>47</v>
      </c>
      <c r="C3590" t="s">
        <v>48</v>
      </c>
      <c r="D3590">
        <v>10</v>
      </c>
      <c r="E3590">
        <v>8</v>
      </c>
      <c r="F3590">
        <v>16.579999999999998</v>
      </c>
      <c r="G3590">
        <v>0</v>
      </c>
      <c r="H3590">
        <v>0</v>
      </c>
      <c r="I3590" s="3">
        <f>E3590+G3590+H3590</f>
        <v>8</v>
      </c>
      <c r="J3590" s="3">
        <f>ROUND(MIN(IF(C3590="Técnico III",35,IF(C3590="Técnico II",28,IF(C3590="Técnico I",23,IF(C3590="JR",20,IF(C3590="Estágio",10,0))))),IF(C3590="Técnico III",SUMIFS($D:$D,$A:$A,$A3590,$B:$B,"&lt;&gt;Patrícia Karla de Sousa Araújo",$B:$B,"&lt;&gt;Lorena Dias de Araujo",$B:$B,"&lt;&gt;Lucas Luiz Romero")*(35/1083),IF(C3590="Técnico II",SUMIFS($D:$D,$A:$A,$A3590,$B:$B,"&lt;&gt;Patrícia Karla de Sousa Araújo",$B:$B,"&lt;&gt;Lorena Dias de Araujo",$B:$B,"&lt;&gt;Lucas Luiz Romero")*(28/1083),IF(C3590="Técnico I",SUMIFS($D:$D,$A:$A,$A3590,$B:$B,"&lt;&gt;Patrícia Karla de Sousa Araújo",$B:$B,"&lt;&gt;Lorena Dias de Araujo",$B:$B,"&lt;&gt;Lucas Luiz Romero")*(23/1083),IF(C3590="JR",SUMIFS($D:$D,$A:$A,$A3590,$B:$B,"&lt;&gt;Patrícia Karla de Sousa Araújo",$B:$B,"&lt;&gt;Lorena Dias de Araujo",$B:$B,"&lt;&gt;Lucas Luiz Romero")*(20/1083),IF(C3590="Estágio",SUMIFS($D:$D,$A:$A,$A3590,$B:$B,"&lt;&gt;Patrícia Karla de Sousa Araújo",$B:$B,"&lt;&gt;Lorena Dias de Araujo",$B:$B,"&lt;&gt;Lucas Luiz Romero")*(10/1083),0)))))),0)</f>
        <v>27</v>
      </c>
      <c r="K3590" s="3">
        <f>I3590-J3590</f>
        <v>-19</v>
      </c>
      <c r="L3590" s="3" t="str">
        <f>IF(K3590&lt;-5,"CRÍTICO",IF(K3590&lt;0,"ATENÇÃO",IF(K3590&lt;=5,"OPORTUNO","MUITO BOM")))</f>
        <v>CRÍTICO</v>
      </c>
      <c r="M3590">
        <v>4</v>
      </c>
      <c r="N3590">
        <v>100</v>
      </c>
      <c r="O3590">
        <v>32.764505119453922</v>
      </c>
    </row>
    <row r="3591" spans="1:15" hidden="1" x14ac:dyDescent="0.25">
      <c r="A3591" s="11">
        <v>46114</v>
      </c>
      <c r="B3591" t="s">
        <v>31</v>
      </c>
      <c r="C3591" t="s">
        <v>32</v>
      </c>
      <c r="D3591">
        <v>0</v>
      </c>
      <c r="E3591">
        <v>0</v>
      </c>
      <c r="F3591">
        <v>0</v>
      </c>
      <c r="G3591">
        <v>0</v>
      </c>
      <c r="H3591">
        <v>0</v>
      </c>
      <c r="I3591" s="3">
        <v>0</v>
      </c>
      <c r="J3591" s="3">
        <v>0</v>
      </c>
      <c r="K3591" s="3">
        <v>0</v>
      </c>
      <c r="L3591" s="3" t="str">
        <f>IF(K3591&lt;-5,"CRÍTICO",IF(K3591&lt;0,"ATENÇÃO",IF(K3591&lt;=5,"OPORTUNO","MUITO BOM")))</f>
        <v>OPORTUNO</v>
      </c>
      <c r="M3591">
        <v>31</v>
      </c>
      <c r="N3591">
        <v>98.66</v>
      </c>
      <c r="O3591">
        <v>35.416666666666671</v>
      </c>
    </row>
    <row r="3592" spans="1:15" hidden="1" x14ac:dyDescent="0.25">
      <c r="A3592" s="11">
        <v>46114</v>
      </c>
      <c r="B3592" t="s">
        <v>59</v>
      </c>
      <c r="C3592" t="s">
        <v>23</v>
      </c>
      <c r="D3592">
        <v>37</v>
      </c>
      <c r="E3592">
        <v>35</v>
      </c>
      <c r="F3592">
        <v>17</v>
      </c>
      <c r="G3592">
        <v>0</v>
      </c>
      <c r="H3592">
        <v>0</v>
      </c>
      <c r="I3592" s="3">
        <f>E3592+G3592+H3592</f>
        <v>35</v>
      </c>
      <c r="J3592" s="3">
        <f>ROUND(MIN(IF(C3592="Técnico III",35,IF(C3592="Técnico II",28,IF(C3592="Técnico I",23,IF(C3592="JR",20,IF(C3592="Estágio",10,0))))),IF(C3592="Técnico III",SUMIFS($D:$D,$A:$A,$A3592,$B:$B,"&lt;&gt;Patrícia Karla de Sousa Araújo",$B:$B,"&lt;&gt;Lorena Dias de Araujo",$B:$B,"&lt;&gt;Lucas Luiz Romero")*(35/1083),IF(C3592="Técnico II",SUMIFS($D:$D,$A:$A,$A3592,$B:$B,"&lt;&gt;Patrícia Karla de Sousa Araújo",$B:$B,"&lt;&gt;Lorena Dias de Araujo",$B:$B,"&lt;&gt;Lucas Luiz Romero")*(28/1083),IF(C3592="Técnico I",SUMIFS($D:$D,$A:$A,$A3592,$B:$B,"&lt;&gt;Patrícia Karla de Sousa Araújo",$B:$B,"&lt;&gt;Lorena Dias de Araujo",$B:$B,"&lt;&gt;Lucas Luiz Romero")*(23/1083),IF(C3592="JR",SUMIFS($D:$D,$A:$A,$A3592,$B:$B,"&lt;&gt;Patrícia Karla de Sousa Araújo",$B:$B,"&lt;&gt;Lorena Dias de Araujo",$B:$B,"&lt;&gt;Lucas Luiz Romero")*(20/1083),IF(C3592="Estágio",SUMIFS($D:$D,$A:$A,$A3592,$B:$B,"&lt;&gt;Patrícia Karla de Sousa Araújo",$B:$B,"&lt;&gt;Lorena Dias de Araujo",$B:$B,"&lt;&gt;Lucas Luiz Romero")*(10/1083),0)))))),0)</f>
        <v>22</v>
      </c>
      <c r="K3592" s="3">
        <f>I3592-J3592</f>
        <v>13</v>
      </c>
      <c r="L3592" s="3" t="str">
        <f>IF(K3592&lt;-5,"CRÍTICO",IF(K3592&lt;0,"ATENÇÃO",IF(K3592&lt;=5,"OPORTUNO","MUITO BOM")))</f>
        <v>MUITO BOM</v>
      </c>
      <c r="M3592">
        <v>31</v>
      </c>
      <c r="N3592">
        <v>99.32</v>
      </c>
      <c r="O3592">
        <v>30.648330058939099</v>
      </c>
    </row>
    <row r="3593" spans="1:15" hidden="1" x14ac:dyDescent="0.25">
      <c r="A3593" s="11">
        <v>46114</v>
      </c>
      <c r="B3593" t="s">
        <v>33</v>
      </c>
      <c r="C3593" t="s">
        <v>32</v>
      </c>
      <c r="D3593">
        <v>33</v>
      </c>
      <c r="E3593">
        <v>28</v>
      </c>
      <c r="F3593">
        <v>17.02</v>
      </c>
      <c r="G3593">
        <v>0</v>
      </c>
      <c r="H3593">
        <v>0</v>
      </c>
      <c r="I3593" s="3">
        <f>E3593+G3593+H3593</f>
        <v>28</v>
      </c>
      <c r="J3593" s="3">
        <f>ROUND(MIN(IF(C3593="Técnico III",35,IF(C3593="Técnico II",28,IF(C3593="Técnico I",23,IF(C3593="JR",20,IF(C3593="Estágio",10,0))))),IF(C3593="Técnico III",SUMIFS($D:$D,$A:$A,$A3593,$B:$B,"&lt;&gt;Patrícia Karla de Sousa Araújo",$B:$B,"&lt;&gt;Lorena Dias de Araujo",$B:$B,"&lt;&gt;Lucas Luiz Romero")*(35/1083),IF(C3593="Técnico II",SUMIFS($D:$D,$A:$A,$A3593,$B:$B,"&lt;&gt;Patrícia Karla de Sousa Araújo",$B:$B,"&lt;&gt;Lorena Dias de Araujo",$B:$B,"&lt;&gt;Lucas Luiz Romero")*(28/1083),IF(C3593="Técnico I",SUMIFS($D:$D,$A:$A,$A3593,$B:$B,"&lt;&gt;Patrícia Karla de Sousa Araújo",$B:$B,"&lt;&gt;Lorena Dias de Araujo",$B:$B,"&lt;&gt;Lucas Luiz Romero")*(23/1083),IF(C3593="JR",SUMIFS($D:$D,$A:$A,$A3593,$B:$B,"&lt;&gt;Patrícia Karla de Sousa Araújo",$B:$B,"&lt;&gt;Lorena Dias de Araujo",$B:$B,"&lt;&gt;Lucas Luiz Romero")*(20/1083),IF(C3593="Estágio",SUMIFS($D:$D,$A:$A,$A3593,$B:$B,"&lt;&gt;Patrícia Karla de Sousa Araújo",$B:$B,"&lt;&gt;Lorena Dias de Araujo",$B:$B,"&lt;&gt;Lucas Luiz Romero")*(10/1083),0)))))),0)</f>
        <v>34</v>
      </c>
      <c r="K3593" s="3">
        <f>I3593-J3593</f>
        <v>-6</v>
      </c>
      <c r="L3593" s="3" t="str">
        <f>IF(K3593&lt;-5,"CRÍTICO",IF(K3593&lt;0,"ATENÇÃO",IF(K3593&lt;=5,"OPORTUNO","MUITO BOM")))</f>
        <v>CRÍTICO</v>
      </c>
      <c r="M3593">
        <v>32</v>
      </c>
      <c r="N3593">
        <v>100</v>
      </c>
      <c r="O3593">
        <v>27.803738317757009</v>
      </c>
    </row>
    <row r="3594" spans="1:15" hidden="1" x14ac:dyDescent="0.25">
      <c r="A3594" s="11">
        <v>46114</v>
      </c>
      <c r="B3594" t="s">
        <v>15</v>
      </c>
      <c r="C3594" t="s">
        <v>16</v>
      </c>
      <c r="D3594">
        <v>13</v>
      </c>
      <c r="E3594">
        <v>13</v>
      </c>
      <c r="F3594">
        <v>20.260000000000002</v>
      </c>
      <c r="G3594">
        <v>0</v>
      </c>
      <c r="H3594">
        <v>0</v>
      </c>
      <c r="I3594" s="3">
        <f>E3594+G3594+H3594</f>
        <v>13</v>
      </c>
      <c r="J3594" s="3">
        <f>ROUND(MIN(IF(C3594="Técnico III",35,IF(C3594="Técnico II",28,IF(C3594="Técnico I",23,IF(C3594="JR",20,IF(C3594="Estágio",10,0))))),IF(C3594="Técnico III",SUMIFS($D:$D,$A:$A,$A3594,$B:$B,"&lt;&gt;Patrícia Karla de Sousa Araújo",$B:$B,"&lt;&gt;Lorena Dias de Araujo",$B:$B,"&lt;&gt;Lucas Luiz Romero")*(35/1083),IF(C3594="Técnico II",SUMIFS($D:$D,$A:$A,$A3594,$B:$B,"&lt;&gt;Patrícia Karla de Sousa Araújo",$B:$B,"&lt;&gt;Lorena Dias de Araujo",$B:$B,"&lt;&gt;Lucas Luiz Romero")*(28/1083),IF(C3594="Técnico I",SUMIFS($D:$D,$A:$A,$A3594,$B:$B,"&lt;&gt;Patrícia Karla de Sousa Araújo",$B:$B,"&lt;&gt;Lorena Dias de Araujo",$B:$B,"&lt;&gt;Lucas Luiz Romero")*(23/1083),IF(C3594="JR",SUMIFS($D:$D,$A:$A,$A3594,$B:$B,"&lt;&gt;Patrícia Karla de Sousa Araújo",$B:$B,"&lt;&gt;Lorena Dias de Araujo",$B:$B,"&lt;&gt;Lucas Luiz Romero")*(20/1083),IF(C3594="Estágio",SUMIFS($D:$D,$A:$A,$A3594,$B:$B,"&lt;&gt;Patrícia Karla de Sousa Araújo",$B:$B,"&lt;&gt;Lorena Dias de Araujo",$B:$B,"&lt;&gt;Lucas Luiz Romero")*(10/1083),0)))))),0)</f>
        <v>10</v>
      </c>
      <c r="K3594" s="3">
        <f>I3594-J3594</f>
        <v>3</v>
      </c>
      <c r="L3594" s="3" t="str">
        <f>IF(K3594&lt;-5,"CRÍTICO",IF(K3594&lt;0,"ATENÇÃO",IF(K3594&lt;=5,"OPORTUNO","MUITO BOM")))</f>
        <v>OPORTUNO</v>
      </c>
      <c r="M3594">
        <v>12</v>
      </c>
      <c r="N3594">
        <v>96.74</v>
      </c>
      <c r="O3594">
        <v>28.67647058823529</v>
      </c>
    </row>
    <row r="3595" spans="1:15" hidden="1" x14ac:dyDescent="0.25">
      <c r="A3595" s="11">
        <v>46114</v>
      </c>
      <c r="B3595" t="s">
        <v>49</v>
      </c>
      <c r="C3595" t="s">
        <v>48</v>
      </c>
      <c r="D3595">
        <v>38</v>
      </c>
      <c r="E3595">
        <v>31</v>
      </c>
      <c r="F3595">
        <v>12.16</v>
      </c>
      <c r="G3595">
        <v>0</v>
      </c>
      <c r="H3595">
        <v>0</v>
      </c>
      <c r="I3595" s="3">
        <f>E3595+G3595+H3595</f>
        <v>31</v>
      </c>
      <c r="J3595" s="3">
        <f>ROUND(MIN(IF(C3595="Técnico III",35,IF(C3595="Técnico II",28,IF(C3595="Técnico I",23,IF(C3595="JR",20,IF(C3595="Estágio",10,0))))),IF(C3595="Técnico III",SUMIFS($D:$D,$A:$A,$A3595,$B:$B,"&lt;&gt;Patrícia Karla de Sousa Araújo",$B:$B,"&lt;&gt;Lorena Dias de Araujo",$B:$B,"&lt;&gt;Lucas Luiz Romero")*(35/1083),IF(C3595="Técnico II",SUMIFS($D:$D,$A:$A,$A3595,$B:$B,"&lt;&gt;Patrícia Karla de Sousa Araújo",$B:$B,"&lt;&gt;Lorena Dias de Araujo",$B:$B,"&lt;&gt;Lucas Luiz Romero")*(28/1083),IF(C3595="Técnico I",SUMIFS($D:$D,$A:$A,$A3595,$B:$B,"&lt;&gt;Patrícia Karla de Sousa Araújo",$B:$B,"&lt;&gt;Lorena Dias de Araujo",$B:$B,"&lt;&gt;Lucas Luiz Romero")*(23/1083),IF(C3595="JR",SUMIFS($D:$D,$A:$A,$A3595,$B:$B,"&lt;&gt;Patrícia Karla de Sousa Araújo",$B:$B,"&lt;&gt;Lorena Dias de Araujo",$B:$B,"&lt;&gt;Lucas Luiz Romero")*(20/1083),IF(C3595="Estágio",SUMIFS($D:$D,$A:$A,$A3595,$B:$B,"&lt;&gt;Patrícia Karla de Sousa Araújo",$B:$B,"&lt;&gt;Lorena Dias de Araujo",$B:$B,"&lt;&gt;Lucas Luiz Romero")*(10/1083),0)))))),0)</f>
        <v>27</v>
      </c>
      <c r="K3595" s="3">
        <f>I3595-J3595</f>
        <v>4</v>
      </c>
      <c r="L3595" s="3" t="str">
        <f>IF(K3595&lt;-5,"CRÍTICO",IF(K3595&lt;0,"ATENÇÃO",IF(K3595&lt;=5,"OPORTUNO","MUITO BOM")))</f>
        <v>OPORTUNO</v>
      </c>
      <c r="M3595">
        <v>37</v>
      </c>
      <c r="N3595">
        <v>98.82</v>
      </c>
      <c r="O3595">
        <v>30.741410488245929</v>
      </c>
    </row>
    <row r="3596" spans="1:15" hidden="1" x14ac:dyDescent="0.25">
      <c r="A3596" s="11">
        <v>46114</v>
      </c>
      <c r="B3596" t="s">
        <v>50</v>
      </c>
      <c r="C3596" t="s">
        <v>48</v>
      </c>
      <c r="D3596">
        <v>31</v>
      </c>
      <c r="E3596">
        <v>28</v>
      </c>
      <c r="F3596">
        <v>15.36</v>
      </c>
      <c r="G3596">
        <v>0</v>
      </c>
      <c r="H3596">
        <v>0</v>
      </c>
      <c r="I3596" s="3">
        <f>E3596+G3596+H3596</f>
        <v>28</v>
      </c>
      <c r="J3596" s="3">
        <f>ROUND(MIN(IF(C3596="Técnico III",35,IF(C3596="Técnico II",28,IF(C3596="Técnico I",23,IF(C3596="JR",20,IF(C3596="Estágio",10,0))))),IF(C3596="Técnico III",SUMIFS($D:$D,$A:$A,$A3596,$B:$B,"&lt;&gt;Patrícia Karla de Sousa Araújo",$B:$B,"&lt;&gt;Lorena Dias de Araujo",$B:$B,"&lt;&gt;Lucas Luiz Romero")*(35/1083),IF(C3596="Técnico II",SUMIFS($D:$D,$A:$A,$A3596,$B:$B,"&lt;&gt;Patrícia Karla de Sousa Araújo",$B:$B,"&lt;&gt;Lorena Dias de Araujo",$B:$B,"&lt;&gt;Lucas Luiz Romero")*(28/1083),IF(C3596="Técnico I",SUMIFS($D:$D,$A:$A,$A3596,$B:$B,"&lt;&gt;Patrícia Karla de Sousa Araújo",$B:$B,"&lt;&gt;Lorena Dias de Araujo",$B:$B,"&lt;&gt;Lucas Luiz Romero")*(23/1083),IF(C3596="JR",SUMIFS($D:$D,$A:$A,$A3596,$B:$B,"&lt;&gt;Patrícia Karla de Sousa Araújo",$B:$B,"&lt;&gt;Lorena Dias de Araujo",$B:$B,"&lt;&gt;Lucas Luiz Romero")*(20/1083),IF(C3596="Estágio",SUMIFS($D:$D,$A:$A,$A3596,$B:$B,"&lt;&gt;Patrícia Karla de Sousa Araújo",$B:$B,"&lt;&gt;Lorena Dias de Araujo",$B:$B,"&lt;&gt;Lucas Luiz Romero")*(10/1083),0)))))),0)</f>
        <v>27</v>
      </c>
      <c r="K3596" s="3">
        <f>I3596-J3596</f>
        <v>1</v>
      </c>
      <c r="L3596" s="3" t="str">
        <f>IF(K3596&lt;-5,"CRÍTICO",IF(K3596&lt;0,"ATENÇÃO",IF(K3596&lt;=5,"OPORTUNO","MUITO BOM")))</f>
        <v>OPORTUNO</v>
      </c>
      <c r="M3596">
        <v>27</v>
      </c>
      <c r="N3596">
        <v>98.2</v>
      </c>
      <c r="O3596">
        <v>27.170868347338931</v>
      </c>
    </row>
    <row r="3597" spans="1:15" hidden="1" x14ac:dyDescent="0.25">
      <c r="A3597" s="11">
        <v>46114</v>
      </c>
      <c r="B3597" t="s">
        <v>17</v>
      </c>
      <c r="C3597" t="s">
        <v>16</v>
      </c>
      <c r="D3597">
        <v>11</v>
      </c>
      <c r="E3597">
        <v>10</v>
      </c>
      <c r="F3597">
        <v>26.42</v>
      </c>
      <c r="G3597">
        <v>0</v>
      </c>
      <c r="H3597">
        <v>0</v>
      </c>
      <c r="I3597" s="3">
        <f>E3597+G3597+H3597</f>
        <v>10</v>
      </c>
      <c r="J3597" s="3">
        <f>ROUND(MIN(IF(C3597="Técnico III",35,IF(C3597="Técnico II",28,IF(C3597="Técnico I",23,IF(C3597="JR",20,IF(C3597="Estágio",10,0))))),IF(C3597="Técnico III",SUMIFS($D:$D,$A:$A,$A3597,$B:$B,"&lt;&gt;Patrícia Karla de Sousa Araújo",$B:$B,"&lt;&gt;Lorena Dias de Araujo",$B:$B,"&lt;&gt;Lucas Luiz Romero")*(35/1083),IF(C3597="Técnico II",SUMIFS($D:$D,$A:$A,$A3597,$B:$B,"&lt;&gt;Patrícia Karla de Sousa Araújo",$B:$B,"&lt;&gt;Lorena Dias de Araujo",$B:$B,"&lt;&gt;Lucas Luiz Romero")*(28/1083),IF(C3597="Técnico I",SUMIFS($D:$D,$A:$A,$A3597,$B:$B,"&lt;&gt;Patrícia Karla de Sousa Araújo",$B:$B,"&lt;&gt;Lorena Dias de Araujo",$B:$B,"&lt;&gt;Lucas Luiz Romero")*(23/1083),IF(C3597="JR",SUMIFS($D:$D,$A:$A,$A3597,$B:$B,"&lt;&gt;Patrícia Karla de Sousa Araújo",$B:$B,"&lt;&gt;Lorena Dias de Araujo",$B:$B,"&lt;&gt;Lucas Luiz Romero")*(20/1083),IF(C3597="Estágio",SUMIFS($D:$D,$A:$A,$A3597,$B:$B,"&lt;&gt;Patrícia Karla de Sousa Araújo",$B:$B,"&lt;&gt;Lorena Dias de Araujo",$B:$B,"&lt;&gt;Lucas Luiz Romero")*(10/1083),0)))))),0)</f>
        <v>10</v>
      </c>
      <c r="K3597" s="3">
        <f>I3597-J3597</f>
        <v>0</v>
      </c>
      <c r="L3597" s="3" t="str">
        <f>IF(K3597&lt;-5,"CRÍTICO",IF(K3597&lt;0,"ATENÇÃO",IF(K3597&lt;=5,"OPORTUNO","MUITO BOM")))</f>
        <v>OPORTUNO</v>
      </c>
      <c r="M3597">
        <v>10</v>
      </c>
      <c r="N3597">
        <v>100</v>
      </c>
      <c r="O3597">
        <v>23.134328358208951</v>
      </c>
    </row>
    <row r="3598" spans="1:15" hidden="1" x14ac:dyDescent="0.25">
      <c r="A3598" s="11">
        <v>46114</v>
      </c>
      <c r="B3598" t="s">
        <v>60</v>
      </c>
      <c r="C3598" t="s">
        <v>23</v>
      </c>
      <c r="D3598">
        <v>27</v>
      </c>
      <c r="E3598">
        <v>21</v>
      </c>
      <c r="F3598">
        <v>16.45</v>
      </c>
      <c r="G3598">
        <v>0</v>
      </c>
      <c r="H3598">
        <v>0</v>
      </c>
      <c r="I3598" s="3">
        <f>E3598+G3598+H3598</f>
        <v>21</v>
      </c>
      <c r="J3598" s="3">
        <f>ROUND(MIN(IF(C3598="Técnico III",35,IF(C3598="Técnico II",28,IF(C3598="Técnico I",23,IF(C3598="JR",20,IF(C3598="Estágio",10,0))))),IF(C3598="Técnico III",SUMIFS($D:$D,$A:$A,$A3598,$B:$B,"&lt;&gt;Patrícia Karla de Sousa Araújo",$B:$B,"&lt;&gt;Lorena Dias de Araujo",$B:$B,"&lt;&gt;Lucas Luiz Romero")*(35/1083),IF(C3598="Técnico II",SUMIFS($D:$D,$A:$A,$A3598,$B:$B,"&lt;&gt;Patrícia Karla de Sousa Araújo",$B:$B,"&lt;&gt;Lorena Dias de Araujo",$B:$B,"&lt;&gt;Lucas Luiz Romero")*(28/1083),IF(C3598="Técnico I",SUMIFS($D:$D,$A:$A,$A3598,$B:$B,"&lt;&gt;Patrícia Karla de Sousa Araújo",$B:$B,"&lt;&gt;Lorena Dias de Araujo",$B:$B,"&lt;&gt;Lucas Luiz Romero")*(23/1083),IF(C3598="JR",SUMIFS($D:$D,$A:$A,$A3598,$B:$B,"&lt;&gt;Patrícia Karla de Sousa Araújo",$B:$B,"&lt;&gt;Lorena Dias de Araujo",$B:$B,"&lt;&gt;Lucas Luiz Romero")*(20/1083),IF(C3598="Estágio",SUMIFS($D:$D,$A:$A,$A3598,$B:$B,"&lt;&gt;Patrícia Karla de Sousa Araújo",$B:$B,"&lt;&gt;Lorena Dias de Araujo",$B:$B,"&lt;&gt;Lucas Luiz Romero")*(10/1083),0)))))),0)</f>
        <v>22</v>
      </c>
      <c r="K3598" s="3">
        <f>I3598-J3598</f>
        <v>-1</v>
      </c>
      <c r="L3598" s="3" t="str">
        <f>IF(K3598&lt;-5,"CRÍTICO",IF(K3598&lt;0,"ATENÇÃO",IF(K3598&lt;=5,"OPORTUNO","MUITO BOM")))</f>
        <v>ATENÇÃO</v>
      </c>
      <c r="M3598">
        <v>25</v>
      </c>
      <c r="N3598">
        <v>96.3</v>
      </c>
      <c r="O3598">
        <v>32.219570405727922</v>
      </c>
    </row>
    <row r="3599" spans="1:15" hidden="1" x14ac:dyDescent="0.25">
      <c r="A3599" s="11">
        <v>46114</v>
      </c>
      <c r="B3599" t="s">
        <v>34</v>
      </c>
      <c r="C3599" t="s">
        <v>32</v>
      </c>
      <c r="D3599">
        <v>47</v>
      </c>
      <c r="E3599">
        <v>42</v>
      </c>
      <c r="F3599">
        <v>12.35</v>
      </c>
      <c r="G3599">
        <v>0</v>
      </c>
      <c r="H3599">
        <v>0</v>
      </c>
      <c r="I3599" s="3">
        <f>E3599+G3599+H3599</f>
        <v>42</v>
      </c>
      <c r="J3599" s="3">
        <f>ROUND(MIN(IF(C3599="Técnico III",35,IF(C3599="Técnico II",28,IF(C3599="Técnico I",23,IF(C3599="JR",20,IF(C3599="Estágio",10,0))))),IF(C3599="Técnico III",SUMIFS($D:$D,$A:$A,$A3599,$B:$B,"&lt;&gt;Patrícia Karla de Sousa Araújo",$B:$B,"&lt;&gt;Lorena Dias de Araujo",$B:$B,"&lt;&gt;Lucas Luiz Romero")*(35/1083),IF(C3599="Técnico II",SUMIFS($D:$D,$A:$A,$A3599,$B:$B,"&lt;&gt;Patrícia Karla de Sousa Araújo",$B:$B,"&lt;&gt;Lorena Dias de Araujo",$B:$B,"&lt;&gt;Lucas Luiz Romero")*(28/1083),IF(C3599="Técnico I",SUMIFS($D:$D,$A:$A,$A3599,$B:$B,"&lt;&gt;Patrícia Karla de Sousa Araújo",$B:$B,"&lt;&gt;Lorena Dias de Araujo",$B:$B,"&lt;&gt;Lucas Luiz Romero")*(23/1083),IF(C3599="JR",SUMIFS($D:$D,$A:$A,$A3599,$B:$B,"&lt;&gt;Patrícia Karla de Sousa Araújo",$B:$B,"&lt;&gt;Lorena Dias de Araujo",$B:$B,"&lt;&gt;Lucas Luiz Romero")*(20/1083),IF(C3599="Estágio",SUMIFS($D:$D,$A:$A,$A3599,$B:$B,"&lt;&gt;Patrícia Karla de Sousa Araújo",$B:$B,"&lt;&gt;Lorena Dias de Araujo",$B:$B,"&lt;&gt;Lucas Luiz Romero")*(10/1083),0)))))),0)</f>
        <v>34</v>
      </c>
      <c r="K3599" s="3">
        <f>I3599-J3599</f>
        <v>8</v>
      </c>
      <c r="L3599" s="3" t="str">
        <f>IF(K3599&lt;-5,"CRÍTICO",IF(K3599&lt;0,"ATENÇÃO",IF(K3599&lt;=5,"OPORTUNO","MUITO BOM")))</f>
        <v>MUITO BOM</v>
      </c>
      <c r="M3599">
        <v>33</v>
      </c>
      <c r="N3599">
        <v>93.75</v>
      </c>
      <c r="O3599">
        <v>26.819923371647509</v>
      </c>
    </row>
    <row r="3600" spans="1:15" hidden="1" x14ac:dyDescent="0.25">
      <c r="A3600" s="11">
        <v>46114</v>
      </c>
      <c r="B3600" t="s">
        <v>51</v>
      </c>
      <c r="C3600" t="s">
        <v>48</v>
      </c>
      <c r="D3600">
        <v>25</v>
      </c>
      <c r="E3600">
        <v>21</v>
      </c>
      <c r="F3600">
        <v>23.35</v>
      </c>
      <c r="G3600">
        <v>0</v>
      </c>
      <c r="H3600">
        <v>0</v>
      </c>
      <c r="I3600" s="3">
        <v>0</v>
      </c>
      <c r="J3600" s="3">
        <v>0</v>
      </c>
      <c r="K3600" s="3">
        <v>0</v>
      </c>
      <c r="L3600" s="3" t="str">
        <f>IF(K3600&lt;-5,"CRÍTICO",IF(K3600&lt;0,"ATENÇÃO",IF(K3600&lt;=5,"OPORTUNO","MUITO BOM")))</f>
        <v>OPORTUNO</v>
      </c>
      <c r="M3600">
        <v>21</v>
      </c>
      <c r="N3600">
        <v>97.86</v>
      </c>
      <c r="O3600">
        <v>31.018518518518519</v>
      </c>
    </row>
    <row r="3601" spans="1:15" hidden="1" x14ac:dyDescent="0.25">
      <c r="A3601" s="11">
        <v>46114</v>
      </c>
      <c r="B3601" t="s">
        <v>61</v>
      </c>
      <c r="C3601" t="s">
        <v>23</v>
      </c>
      <c r="D3601">
        <v>18</v>
      </c>
      <c r="E3601">
        <v>18</v>
      </c>
      <c r="F3601">
        <v>23.57</v>
      </c>
      <c r="G3601">
        <v>0</v>
      </c>
      <c r="H3601">
        <v>0</v>
      </c>
      <c r="I3601" s="3">
        <f>E3601+G3601+H3601</f>
        <v>18</v>
      </c>
      <c r="J3601" s="3">
        <f>ROUND(MIN(IF(C3601="Técnico III",35,IF(C3601="Técnico II",28,IF(C3601="Técnico I",23,IF(C3601="JR",20,IF(C3601="Estágio",10,0))))),IF(C3601="Técnico III",SUMIFS($D:$D,$A:$A,$A3601,$B:$B,"&lt;&gt;Patrícia Karla de Sousa Araújo",$B:$B,"&lt;&gt;Lorena Dias de Araujo",$B:$B,"&lt;&gt;Lucas Luiz Romero")*(35/1083),IF(C3601="Técnico II",SUMIFS($D:$D,$A:$A,$A3601,$B:$B,"&lt;&gt;Patrícia Karla de Sousa Araújo",$B:$B,"&lt;&gt;Lorena Dias de Araujo",$B:$B,"&lt;&gt;Lucas Luiz Romero")*(28/1083),IF(C3601="Técnico I",SUMIFS($D:$D,$A:$A,$A3601,$B:$B,"&lt;&gt;Patrícia Karla de Sousa Araújo",$B:$B,"&lt;&gt;Lorena Dias de Araujo",$B:$B,"&lt;&gt;Lucas Luiz Romero")*(23/1083),IF(C3601="JR",SUMIFS($D:$D,$A:$A,$A3601,$B:$B,"&lt;&gt;Patrícia Karla de Sousa Araújo",$B:$B,"&lt;&gt;Lorena Dias de Araujo",$B:$B,"&lt;&gt;Lucas Luiz Romero")*(20/1083),IF(C3601="Estágio",SUMIFS($D:$D,$A:$A,$A3601,$B:$B,"&lt;&gt;Patrícia Karla de Sousa Araújo",$B:$B,"&lt;&gt;Lorena Dias de Araujo",$B:$B,"&lt;&gt;Lucas Luiz Romero")*(10/1083),0)))))),0)</f>
        <v>22</v>
      </c>
      <c r="K3601" s="3">
        <f>I3601-J3601</f>
        <v>-4</v>
      </c>
      <c r="L3601" s="3" t="str">
        <f>IF(K3601&lt;-5,"CRÍTICO",IF(K3601&lt;0,"ATENÇÃO",IF(K3601&lt;=5,"OPORTUNO","MUITO BOM")))</f>
        <v>ATENÇÃO</v>
      </c>
      <c r="M3601">
        <v>6</v>
      </c>
      <c r="N3601">
        <v>100</v>
      </c>
      <c r="O3601">
        <v>36.594202898550733</v>
      </c>
    </row>
    <row r="3602" spans="1:15" hidden="1" x14ac:dyDescent="0.25">
      <c r="A3602" s="11">
        <v>46114</v>
      </c>
      <c r="B3602" t="s">
        <v>35</v>
      </c>
      <c r="C3602" t="s">
        <v>32</v>
      </c>
      <c r="D3602">
        <v>35</v>
      </c>
      <c r="E3602">
        <v>33</v>
      </c>
      <c r="F3602">
        <v>18.2</v>
      </c>
      <c r="G3602">
        <v>0</v>
      </c>
      <c r="H3602">
        <v>0</v>
      </c>
      <c r="I3602" s="3">
        <v>0</v>
      </c>
      <c r="J3602" s="3">
        <v>0</v>
      </c>
      <c r="K3602" s="3">
        <v>0</v>
      </c>
      <c r="L3602" s="3" t="str">
        <f>IF(K3602&lt;-5,"CRÍTICO",IF(K3602&lt;0,"ATENÇÃO",IF(K3602&lt;=5,"OPORTUNO","MUITO BOM")))</f>
        <v>OPORTUNO</v>
      </c>
      <c r="M3602">
        <v>33</v>
      </c>
      <c r="N3602">
        <v>100</v>
      </c>
      <c r="O3602">
        <v>38.653846153846153</v>
      </c>
    </row>
    <row r="3603" spans="1:15" hidden="1" x14ac:dyDescent="0.25">
      <c r="A3603" s="11">
        <v>46114</v>
      </c>
      <c r="B3603" t="s">
        <v>18</v>
      </c>
      <c r="C3603" t="s">
        <v>16</v>
      </c>
      <c r="D3603">
        <v>6</v>
      </c>
      <c r="E3603">
        <v>6</v>
      </c>
      <c r="F3603">
        <v>54.12</v>
      </c>
      <c r="G3603">
        <v>0</v>
      </c>
      <c r="H3603">
        <v>0</v>
      </c>
      <c r="I3603" s="3">
        <f>E3603+G3603+H3603</f>
        <v>6</v>
      </c>
      <c r="J3603" s="3">
        <f>ROUND(MIN(IF(C3603="Técnico III",35,IF(C3603="Técnico II",28,IF(C3603="Técnico I",23,IF(C3603="JR",20,IF(C3603="Estágio",10,0))))),IF(C3603="Técnico III",SUMIFS($D:$D,$A:$A,$A3603,$B:$B,"&lt;&gt;Patrícia Karla de Sousa Araújo",$B:$B,"&lt;&gt;Lorena Dias de Araujo",$B:$B,"&lt;&gt;Lucas Luiz Romero")*(35/1083),IF(C3603="Técnico II",SUMIFS($D:$D,$A:$A,$A3603,$B:$B,"&lt;&gt;Patrícia Karla de Sousa Araújo",$B:$B,"&lt;&gt;Lorena Dias de Araujo",$B:$B,"&lt;&gt;Lucas Luiz Romero")*(28/1083),IF(C3603="Técnico I",SUMIFS($D:$D,$A:$A,$A3603,$B:$B,"&lt;&gt;Patrícia Karla de Sousa Araújo",$B:$B,"&lt;&gt;Lorena Dias de Araujo",$B:$B,"&lt;&gt;Lucas Luiz Romero")*(23/1083),IF(C3603="JR",SUMIFS($D:$D,$A:$A,$A3603,$B:$B,"&lt;&gt;Patrícia Karla de Sousa Araújo",$B:$B,"&lt;&gt;Lorena Dias de Araujo",$B:$B,"&lt;&gt;Lucas Luiz Romero")*(20/1083),IF(C3603="Estágio",SUMIFS($D:$D,$A:$A,$A3603,$B:$B,"&lt;&gt;Patrícia Karla de Sousa Araújo",$B:$B,"&lt;&gt;Lorena Dias de Araujo",$B:$B,"&lt;&gt;Lucas Luiz Romero")*(10/1083),0)))))),0)</f>
        <v>10</v>
      </c>
      <c r="K3603" s="3">
        <f>I3603-J3603</f>
        <v>-4</v>
      </c>
      <c r="L3603" s="3" t="str">
        <f>IF(K3603&lt;-5,"CRÍTICO",IF(K3603&lt;0,"ATENÇÃO",IF(K3603&lt;=5,"OPORTUNO","MUITO BOM")))</f>
        <v>ATENÇÃO</v>
      </c>
      <c r="M3603">
        <v>5</v>
      </c>
      <c r="N3603">
        <v>100</v>
      </c>
      <c r="O3603">
        <v>27.368421052631579</v>
      </c>
    </row>
    <row r="3604" spans="1:15" hidden="1" x14ac:dyDescent="0.25">
      <c r="A3604" s="11">
        <v>46114</v>
      </c>
      <c r="B3604" t="s">
        <v>52</v>
      </c>
      <c r="C3604" t="s">
        <v>48</v>
      </c>
      <c r="D3604">
        <v>33</v>
      </c>
      <c r="E3604">
        <v>31</v>
      </c>
      <c r="F3604">
        <v>14.08</v>
      </c>
      <c r="G3604">
        <v>0</v>
      </c>
      <c r="H3604">
        <v>0</v>
      </c>
      <c r="I3604" s="3">
        <f>E3604+G3604+H3604</f>
        <v>31</v>
      </c>
      <c r="J3604" s="3">
        <f>ROUND(MIN(IF(C3604="Técnico III",35,IF(C3604="Técnico II",28,IF(C3604="Técnico I",23,IF(C3604="JR",20,IF(C3604="Estágio",10,0))))),IF(C3604="Técnico III",SUMIFS($D:$D,$A:$A,$A3604,$B:$B,"&lt;&gt;Patrícia Karla de Sousa Araújo",$B:$B,"&lt;&gt;Lorena Dias de Araujo",$B:$B,"&lt;&gt;Lucas Luiz Romero")*(35/1083),IF(C3604="Técnico II",SUMIFS($D:$D,$A:$A,$A3604,$B:$B,"&lt;&gt;Patrícia Karla de Sousa Araújo",$B:$B,"&lt;&gt;Lorena Dias de Araujo",$B:$B,"&lt;&gt;Lucas Luiz Romero")*(28/1083),IF(C3604="Técnico I",SUMIFS($D:$D,$A:$A,$A3604,$B:$B,"&lt;&gt;Patrícia Karla de Sousa Araújo",$B:$B,"&lt;&gt;Lorena Dias de Araujo",$B:$B,"&lt;&gt;Lucas Luiz Romero")*(23/1083),IF(C3604="JR",SUMIFS($D:$D,$A:$A,$A3604,$B:$B,"&lt;&gt;Patrícia Karla de Sousa Araújo",$B:$B,"&lt;&gt;Lorena Dias de Araujo",$B:$B,"&lt;&gt;Lucas Luiz Romero")*(20/1083),IF(C3604="Estágio",SUMIFS($D:$D,$A:$A,$A3604,$B:$B,"&lt;&gt;Patrícia Karla de Sousa Araújo",$B:$B,"&lt;&gt;Lorena Dias de Araujo",$B:$B,"&lt;&gt;Lucas Luiz Romero")*(10/1083),0)))))),0)</f>
        <v>27</v>
      </c>
      <c r="K3604" s="3">
        <f>I3604-J3604</f>
        <v>4</v>
      </c>
      <c r="L3604" s="3" t="str">
        <f>IF(K3604&lt;-5,"CRÍTICO",IF(K3604&lt;0,"ATENÇÃO",IF(K3604&lt;=5,"OPORTUNO","MUITO BOM")))</f>
        <v>OPORTUNO</v>
      </c>
      <c r="M3604">
        <v>24</v>
      </c>
      <c r="N3604">
        <v>97.83</v>
      </c>
      <c r="O3604">
        <v>28.35164835164835</v>
      </c>
    </row>
    <row r="3605" spans="1:15" hidden="1" x14ac:dyDescent="0.25">
      <c r="A3605" s="11">
        <v>46114</v>
      </c>
      <c r="B3605" t="s">
        <v>36</v>
      </c>
      <c r="C3605" t="s">
        <v>32</v>
      </c>
      <c r="D3605">
        <v>26</v>
      </c>
      <c r="E3605">
        <v>26</v>
      </c>
      <c r="F3605">
        <v>16.579999999999998</v>
      </c>
      <c r="G3605">
        <v>0</v>
      </c>
      <c r="H3605">
        <v>0</v>
      </c>
      <c r="I3605" s="3">
        <f>E3605+G3605+H3605</f>
        <v>26</v>
      </c>
      <c r="J3605" s="3">
        <f>ROUND(MIN(IF(C3605="Técnico III",35,IF(C3605="Técnico II",28,IF(C3605="Técnico I",23,IF(C3605="JR",20,IF(C3605="Estágio",10,0))))),IF(C3605="Técnico III",SUMIFS($D:$D,$A:$A,$A3605,$B:$B,"&lt;&gt;Patrícia Karla de Sousa Araújo",$B:$B,"&lt;&gt;Lorena Dias de Araujo",$B:$B,"&lt;&gt;Lucas Luiz Romero")*(35/1083),IF(C3605="Técnico II",SUMIFS($D:$D,$A:$A,$A3605,$B:$B,"&lt;&gt;Patrícia Karla de Sousa Araújo",$B:$B,"&lt;&gt;Lorena Dias de Araujo",$B:$B,"&lt;&gt;Lucas Luiz Romero")*(28/1083),IF(C3605="Técnico I",SUMIFS($D:$D,$A:$A,$A3605,$B:$B,"&lt;&gt;Patrícia Karla de Sousa Araújo",$B:$B,"&lt;&gt;Lorena Dias de Araujo",$B:$B,"&lt;&gt;Lucas Luiz Romero")*(23/1083),IF(C3605="JR",SUMIFS($D:$D,$A:$A,$A3605,$B:$B,"&lt;&gt;Patrícia Karla de Sousa Araújo",$B:$B,"&lt;&gt;Lorena Dias de Araujo",$B:$B,"&lt;&gt;Lucas Luiz Romero")*(20/1083),IF(C3605="Estágio",SUMIFS($D:$D,$A:$A,$A3605,$B:$B,"&lt;&gt;Patrícia Karla de Sousa Araújo",$B:$B,"&lt;&gt;Lorena Dias de Araujo",$B:$B,"&lt;&gt;Lucas Luiz Romero")*(10/1083),0)))))),0)</f>
        <v>34</v>
      </c>
      <c r="K3605" s="3">
        <f>I3605-J3605</f>
        <v>-8</v>
      </c>
      <c r="L3605" s="3" t="str">
        <f>IF(K3605&lt;-5,"CRÍTICO",IF(K3605&lt;0,"ATENÇÃO",IF(K3605&lt;=5,"OPORTUNO","MUITO BOM")))</f>
        <v>CRÍTICO</v>
      </c>
      <c r="M3605">
        <v>26</v>
      </c>
      <c r="N3605">
        <v>99.26</v>
      </c>
      <c r="O3605">
        <v>29.766536964980549</v>
      </c>
    </row>
    <row r="3606" spans="1:15" hidden="1" x14ac:dyDescent="0.25">
      <c r="A3606" s="11">
        <v>46114</v>
      </c>
      <c r="B3606" t="s">
        <v>53</v>
      </c>
      <c r="C3606" t="s">
        <v>48</v>
      </c>
      <c r="D3606">
        <v>33</v>
      </c>
      <c r="E3606">
        <v>33</v>
      </c>
      <c r="F3606">
        <v>20.440000000000001</v>
      </c>
      <c r="G3606">
        <v>0</v>
      </c>
      <c r="H3606">
        <v>0</v>
      </c>
      <c r="I3606" s="3">
        <f>E3606+G3606+H3606</f>
        <v>33</v>
      </c>
      <c r="J3606" s="3">
        <f>ROUND(MIN(IF(C3606="Técnico III",35,IF(C3606="Técnico II",28,IF(C3606="Técnico I",23,IF(C3606="JR",20,IF(C3606="Estágio",10,0))))),IF(C3606="Técnico III",SUMIFS($D:$D,$A:$A,$A3606,$B:$B,"&lt;&gt;Patrícia Karla de Sousa Araújo",$B:$B,"&lt;&gt;Lorena Dias de Araujo",$B:$B,"&lt;&gt;Lucas Luiz Romero")*(35/1083),IF(C3606="Técnico II",SUMIFS($D:$D,$A:$A,$A3606,$B:$B,"&lt;&gt;Patrícia Karla de Sousa Araújo",$B:$B,"&lt;&gt;Lorena Dias de Araujo",$B:$B,"&lt;&gt;Lucas Luiz Romero")*(28/1083),IF(C3606="Técnico I",SUMIFS($D:$D,$A:$A,$A3606,$B:$B,"&lt;&gt;Patrícia Karla de Sousa Araújo",$B:$B,"&lt;&gt;Lorena Dias de Araujo",$B:$B,"&lt;&gt;Lucas Luiz Romero")*(23/1083),IF(C3606="JR",SUMIFS($D:$D,$A:$A,$A3606,$B:$B,"&lt;&gt;Patrícia Karla de Sousa Araújo",$B:$B,"&lt;&gt;Lorena Dias de Araujo",$B:$B,"&lt;&gt;Lucas Luiz Romero")*(20/1083),IF(C3606="Estágio",SUMIFS($D:$D,$A:$A,$A3606,$B:$B,"&lt;&gt;Patrícia Karla de Sousa Araújo",$B:$B,"&lt;&gt;Lorena Dias de Araujo",$B:$B,"&lt;&gt;Lucas Luiz Romero")*(10/1083),0)))))),0)</f>
        <v>27</v>
      </c>
      <c r="K3606" s="3">
        <f>I3606-J3606</f>
        <v>6</v>
      </c>
      <c r="L3606" s="3" t="str">
        <f>IF(K3606&lt;-5,"CRÍTICO",IF(K3606&lt;0,"ATENÇÃO",IF(K3606&lt;=5,"OPORTUNO","MUITO BOM")))</f>
        <v>MUITO BOM</v>
      </c>
      <c r="M3606">
        <v>29</v>
      </c>
      <c r="N3606">
        <v>99.19</v>
      </c>
      <c r="O3606">
        <v>29.462365591397852</v>
      </c>
    </row>
    <row r="3607" spans="1:15" hidden="1" x14ac:dyDescent="0.25">
      <c r="A3607" s="7">
        <v>46161</v>
      </c>
      <c r="B3607" s="8" t="s">
        <v>35</v>
      </c>
      <c r="C3607" s="14" t="s">
        <v>32</v>
      </c>
      <c r="D3607" s="3">
        <v>0</v>
      </c>
      <c r="E3607" s="3">
        <v>0</v>
      </c>
      <c r="F3607" s="3">
        <v>0</v>
      </c>
      <c r="G3607" s="3">
        <v>0</v>
      </c>
      <c r="H3607" s="3">
        <v>0</v>
      </c>
      <c r="I3607" s="3">
        <f>E3607+G3607+H3607</f>
        <v>0</v>
      </c>
      <c r="J3607" s="3">
        <f>ROUND(MIN(IF(C3607="Técnico III",35,IF(C3607="Técnico II",28,IF(C3607="Técnico I",23,IF(C3607="JR",20,IF(C3607="Estágio",10,0))))),IF(C3607="Técnico III",SUMIFS($D:$D,$A:$A,$A3607,$B:$B,"&lt;&gt;Patrícia Karla de Sousa Araújo",$B:$B,"&lt;&gt;Lorena Dias de Araujo",$B:$B,"&lt;&gt;Lucas Luiz Romero")*(35/1083),IF(C3607="Técnico II",SUMIFS($D:$D,$A:$A,$A3607,$B:$B,"&lt;&gt;Patrícia Karla de Sousa Araújo",$B:$B,"&lt;&gt;Lorena Dias de Araujo",$B:$B,"&lt;&gt;Lucas Luiz Romero")*(28/1083),IF(C3607="Técnico I",SUMIFS($D:$D,$A:$A,$A3607,$B:$B,"&lt;&gt;Patrícia Karla de Sousa Araújo",$B:$B,"&lt;&gt;Lorena Dias de Araujo",$B:$B,"&lt;&gt;Lucas Luiz Romero")*(23/1083),IF(C3607="JR",SUMIFS($D:$D,$A:$A,$A3607,$B:$B,"&lt;&gt;Patrícia Karla de Sousa Araújo",$B:$B,"&lt;&gt;Lorena Dias de Araujo",$B:$B,"&lt;&gt;Lucas Luiz Romero")*(20/1083),IF(C3607="Estágio",SUMIFS($D:$D,$A:$A,$A3607,$B:$B,"&lt;&gt;Patrícia Karla de Sousa Araújo",$B:$B,"&lt;&gt;Lorena Dias de Araujo",$B:$B,"&lt;&gt;Lucas Luiz Romero")*(10/1083),0)))))),0)</f>
        <v>29</v>
      </c>
      <c r="K3607" s="3">
        <f>I3607-J3607</f>
        <v>-29</v>
      </c>
      <c r="L3607" s="3" t="str">
        <f>IF(K3607&lt;-5,"CRÍTICO",IF(K3607&lt;0,"ATENÇÃO",IF(K3607&lt;=5,"OPORTUNO","MUITO BOM")))</f>
        <v>CRÍTICO</v>
      </c>
      <c r="M3607" s="3">
        <v>0</v>
      </c>
      <c r="N3607" s="3">
        <v>99.19</v>
      </c>
      <c r="O3607" s="3">
        <v>28.404669260700391</v>
      </c>
    </row>
    <row r="3608" spans="1:15" hidden="1" x14ac:dyDescent="0.25">
      <c r="A3608" s="11">
        <v>46114</v>
      </c>
      <c r="B3608" t="s">
        <v>54</v>
      </c>
      <c r="C3608" t="s">
        <v>48</v>
      </c>
      <c r="D3608">
        <v>36</v>
      </c>
      <c r="E3608">
        <v>34</v>
      </c>
      <c r="F3608">
        <v>16.579999999999998</v>
      </c>
      <c r="G3608">
        <v>0</v>
      </c>
      <c r="H3608">
        <v>0</v>
      </c>
      <c r="I3608" s="3">
        <f>E3608+G3608+H3608</f>
        <v>34</v>
      </c>
      <c r="J3608" s="3">
        <f>ROUND(MIN(IF(C3608="Técnico III",35,IF(C3608="Técnico II",28,IF(C3608="Técnico I",23,IF(C3608="JR",20,IF(C3608="Estágio",10,0))))),IF(C3608="Técnico III",SUMIFS($D:$D,$A:$A,$A3608,$B:$B,"&lt;&gt;Patrícia Karla de Sousa Araújo",$B:$B,"&lt;&gt;Lorena Dias de Araujo",$B:$B,"&lt;&gt;Lucas Luiz Romero")*(35/1083),IF(C3608="Técnico II",SUMIFS($D:$D,$A:$A,$A3608,$B:$B,"&lt;&gt;Patrícia Karla de Sousa Araújo",$B:$B,"&lt;&gt;Lorena Dias de Araujo",$B:$B,"&lt;&gt;Lucas Luiz Romero")*(28/1083),IF(C3608="Técnico I",SUMIFS($D:$D,$A:$A,$A3608,$B:$B,"&lt;&gt;Patrícia Karla de Sousa Araújo",$B:$B,"&lt;&gt;Lorena Dias de Araujo",$B:$B,"&lt;&gt;Lucas Luiz Romero")*(23/1083),IF(C3608="JR",SUMIFS($D:$D,$A:$A,$A3608,$B:$B,"&lt;&gt;Patrícia Karla de Sousa Araújo",$B:$B,"&lt;&gt;Lorena Dias de Araujo",$B:$B,"&lt;&gt;Lucas Luiz Romero")*(20/1083),IF(C3608="Estágio",SUMIFS($D:$D,$A:$A,$A3608,$B:$B,"&lt;&gt;Patrícia Karla de Sousa Araújo",$B:$B,"&lt;&gt;Lorena Dias de Araujo",$B:$B,"&lt;&gt;Lucas Luiz Romero")*(10/1083),0)))))),0)</f>
        <v>27</v>
      </c>
      <c r="K3608" s="3">
        <f>I3608-J3608</f>
        <v>7</v>
      </c>
      <c r="L3608" s="3" t="str">
        <f>IF(K3608&lt;-5,"CRÍTICO",IF(K3608&lt;0,"ATENÇÃO",IF(K3608&lt;=5,"OPORTUNO","MUITO BOM")))</f>
        <v>MUITO BOM</v>
      </c>
      <c r="M3608">
        <v>30</v>
      </c>
      <c r="N3608">
        <v>100</v>
      </c>
      <c r="O3608">
        <v>28.921568627450981</v>
      </c>
    </row>
    <row r="3609" spans="1:15" hidden="1" x14ac:dyDescent="0.25">
      <c r="A3609" s="11">
        <v>46114</v>
      </c>
      <c r="B3609" t="s">
        <v>37</v>
      </c>
      <c r="C3609" t="s">
        <v>32</v>
      </c>
      <c r="D3609">
        <v>56</v>
      </c>
      <c r="E3609">
        <v>50</v>
      </c>
      <c r="F3609">
        <v>12.22</v>
      </c>
      <c r="G3609">
        <v>0</v>
      </c>
      <c r="H3609">
        <v>0</v>
      </c>
      <c r="I3609" s="3">
        <f>E3609+G3609+H3609</f>
        <v>50</v>
      </c>
      <c r="J3609" s="3">
        <f>ROUND(MIN(IF(C3609="Técnico III",35,IF(C3609="Técnico II",28,IF(C3609="Técnico I",23,IF(C3609="JR",20,IF(C3609="Estágio",10,0))))),IF(C3609="Técnico III",SUMIFS($D:$D,$A:$A,$A3609,$B:$B,"&lt;&gt;Patrícia Karla de Sousa Araújo",$B:$B,"&lt;&gt;Lorena Dias de Araujo",$B:$B,"&lt;&gt;Lucas Luiz Romero")*(35/1083),IF(C3609="Técnico II",SUMIFS($D:$D,$A:$A,$A3609,$B:$B,"&lt;&gt;Patrícia Karla de Sousa Araújo",$B:$B,"&lt;&gt;Lorena Dias de Araujo",$B:$B,"&lt;&gt;Lucas Luiz Romero")*(28/1083),IF(C3609="Técnico I",SUMIFS($D:$D,$A:$A,$A3609,$B:$B,"&lt;&gt;Patrícia Karla de Sousa Araújo",$B:$B,"&lt;&gt;Lorena Dias de Araujo",$B:$B,"&lt;&gt;Lucas Luiz Romero")*(23/1083),IF(C3609="JR",SUMIFS($D:$D,$A:$A,$A3609,$B:$B,"&lt;&gt;Patrícia Karla de Sousa Araújo",$B:$B,"&lt;&gt;Lorena Dias de Araujo",$B:$B,"&lt;&gt;Lucas Luiz Romero")*(20/1083),IF(C3609="Estágio",SUMIFS($D:$D,$A:$A,$A3609,$B:$B,"&lt;&gt;Patrícia Karla de Sousa Araújo",$B:$B,"&lt;&gt;Lorena Dias de Araujo",$B:$B,"&lt;&gt;Lucas Luiz Romero")*(10/1083),0)))))),0)</f>
        <v>34</v>
      </c>
      <c r="K3609" s="3">
        <f>I3609-J3609</f>
        <v>16</v>
      </c>
      <c r="L3609" s="3" t="str">
        <f>IF(K3609&lt;-5,"CRÍTICO",IF(K3609&lt;0,"ATENÇÃO",IF(K3609&lt;=5,"OPORTUNO","MUITO BOM")))</f>
        <v>MUITO BOM</v>
      </c>
      <c r="M3609">
        <v>49</v>
      </c>
      <c r="N3609">
        <v>99.57</v>
      </c>
      <c r="O3609">
        <v>30.635838150289018</v>
      </c>
    </row>
    <row r="3610" spans="1:15" hidden="1" x14ac:dyDescent="0.25">
      <c r="A3610" s="11">
        <v>46114</v>
      </c>
      <c r="B3610" t="s">
        <v>38</v>
      </c>
      <c r="C3610" t="s">
        <v>32</v>
      </c>
      <c r="D3610">
        <v>12</v>
      </c>
      <c r="E3610">
        <v>12</v>
      </c>
      <c r="F3610">
        <v>18.309999999999999</v>
      </c>
      <c r="G3610">
        <v>0</v>
      </c>
      <c r="H3610">
        <v>0</v>
      </c>
      <c r="I3610" s="3">
        <f>E3610+G3610+H3610</f>
        <v>12</v>
      </c>
      <c r="J3610" s="3">
        <f>ROUND(MIN(IF(C3610="Técnico III",35,IF(C3610="Técnico II",28,IF(C3610="Técnico I",23,IF(C3610="JR",20,IF(C3610="Estágio",10,0))))),IF(C3610="Técnico III",SUMIFS($D:$D,$A:$A,$A3610,$B:$B,"&lt;&gt;Patrícia Karla de Sousa Araújo",$B:$B,"&lt;&gt;Lorena Dias de Araujo",$B:$B,"&lt;&gt;Lucas Luiz Romero")*(35/1083),IF(C3610="Técnico II",SUMIFS($D:$D,$A:$A,$A3610,$B:$B,"&lt;&gt;Patrícia Karla de Sousa Araújo",$B:$B,"&lt;&gt;Lorena Dias de Araujo",$B:$B,"&lt;&gt;Lucas Luiz Romero")*(28/1083),IF(C3610="Técnico I",SUMIFS($D:$D,$A:$A,$A3610,$B:$B,"&lt;&gt;Patrícia Karla de Sousa Araújo",$B:$B,"&lt;&gt;Lorena Dias de Araujo",$B:$B,"&lt;&gt;Lucas Luiz Romero")*(23/1083),IF(C3610="JR",SUMIFS($D:$D,$A:$A,$A3610,$B:$B,"&lt;&gt;Patrícia Karla de Sousa Araújo",$B:$B,"&lt;&gt;Lorena Dias de Araujo",$B:$B,"&lt;&gt;Lucas Luiz Romero")*(20/1083),IF(C3610="Estágio",SUMIFS($D:$D,$A:$A,$A3610,$B:$B,"&lt;&gt;Patrícia Karla de Sousa Araújo",$B:$B,"&lt;&gt;Lorena Dias de Araujo",$B:$B,"&lt;&gt;Lucas Luiz Romero")*(10/1083),0)))))),0)</f>
        <v>34</v>
      </c>
      <c r="K3610" s="3">
        <f>I3610-J3610</f>
        <v>-22</v>
      </c>
      <c r="L3610" s="3" t="str">
        <f>IF(K3610&lt;-5,"CRÍTICO",IF(K3610&lt;0,"ATENÇÃO",IF(K3610&lt;=5,"OPORTUNO","MUITO BOM")))</f>
        <v>CRÍTICO</v>
      </c>
      <c r="M3610">
        <v>10</v>
      </c>
      <c r="N3610">
        <v>95.65</v>
      </c>
      <c r="O3610">
        <v>32.432432432432442</v>
      </c>
    </row>
    <row r="3611" spans="1:15" hidden="1" x14ac:dyDescent="0.25">
      <c r="A3611" s="11">
        <v>46114</v>
      </c>
      <c r="B3611" t="s">
        <v>55</v>
      </c>
      <c r="C3611" t="s">
        <v>48</v>
      </c>
      <c r="D3611">
        <v>18</v>
      </c>
      <c r="E3611">
        <v>18</v>
      </c>
      <c r="F3611">
        <v>18.350000000000001</v>
      </c>
      <c r="G3611">
        <v>0</v>
      </c>
      <c r="H3611">
        <v>0</v>
      </c>
      <c r="I3611" s="3">
        <f>E3611+G3611+H3611</f>
        <v>18</v>
      </c>
      <c r="J3611" s="3">
        <f>ROUND(MIN(IF(C3611="Técnico III",35,IF(C3611="Técnico II",28,IF(C3611="Técnico I",23,IF(C3611="JR",20,IF(C3611="Estágio",10,0))))),IF(C3611="Técnico III",SUMIFS($D:$D,$A:$A,$A3611,$B:$B,"&lt;&gt;Patrícia Karla de Sousa Araújo",$B:$B,"&lt;&gt;Lorena Dias de Araujo",$B:$B,"&lt;&gt;Lucas Luiz Romero")*(35/1083),IF(C3611="Técnico II",SUMIFS($D:$D,$A:$A,$A3611,$B:$B,"&lt;&gt;Patrícia Karla de Sousa Araújo",$B:$B,"&lt;&gt;Lorena Dias de Araujo",$B:$B,"&lt;&gt;Lucas Luiz Romero")*(28/1083),IF(C3611="Técnico I",SUMIFS($D:$D,$A:$A,$A3611,$B:$B,"&lt;&gt;Patrícia Karla de Sousa Araújo",$B:$B,"&lt;&gt;Lorena Dias de Araujo",$B:$B,"&lt;&gt;Lucas Luiz Romero")*(23/1083),IF(C3611="JR",SUMIFS($D:$D,$A:$A,$A3611,$B:$B,"&lt;&gt;Patrícia Karla de Sousa Araújo",$B:$B,"&lt;&gt;Lorena Dias de Araujo",$B:$B,"&lt;&gt;Lucas Luiz Romero")*(20/1083),IF(C3611="Estágio",SUMIFS($D:$D,$A:$A,$A3611,$B:$B,"&lt;&gt;Patrícia Karla de Sousa Araújo",$B:$B,"&lt;&gt;Lorena Dias de Araujo",$B:$B,"&lt;&gt;Lucas Luiz Romero")*(10/1083),0)))))),0)</f>
        <v>27</v>
      </c>
      <c r="K3611" s="3">
        <f>I3611-J3611</f>
        <v>-9</v>
      </c>
      <c r="L3611" s="3" t="str">
        <f>IF(K3611&lt;-5,"CRÍTICO",IF(K3611&lt;0,"ATENÇÃO",IF(K3611&lt;=5,"OPORTUNO","MUITO BOM")))</f>
        <v>CRÍTICO</v>
      </c>
      <c r="M3611">
        <v>15</v>
      </c>
      <c r="N3611">
        <v>98.81</v>
      </c>
      <c r="O3611">
        <v>26.256983240223459</v>
      </c>
    </row>
    <row r="3612" spans="1:15" hidden="1" x14ac:dyDescent="0.25">
      <c r="A3612" s="11">
        <v>46114</v>
      </c>
      <c r="B3612" t="s">
        <v>39</v>
      </c>
      <c r="C3612" t="s">
        <v>32</v>
      </c>
      <c r="D3612">
        <v>0</v>
      </c>
      <c r="E3612">
        <v>0</v>
      </c>
      <c r="F3612">
        <v>0</v>
      </c>
      <c r="G3612">
        <v>0</v>
      </c>
      <c r="H3612">
        <v>0</v>
      </c>
      <c r="I3612" s="3">
        <v>0</v>
      </c>
      <c r="J3612" s="3">
        <v>0</v>
      </c>
      <c r="K3612" s="3">
        <v>0</v>
      </c>
      <c r="L3612" s="3" t="str">
        <f>IF(K3612&lt;-5,"CRÍTICO",IF(K3612&lt;0,"ATENÇÃO",IF(K3612&lt;=5,"OPORTUNO","MUITO BOM")))</f>
        <v>OPORTUNO</v>
      </c>
      <c r="M3612">
        <v>0</v>
      </c>
      <c r="N3612">
        <v>0</v>
      </c>
      <c r="O3612">
        <v>0</v>
      </c>
    </row>
    <row r="3613" spans="1:15" hidden="1" x14ac:dyDescent="0.25">
      <c r="A3613" s="11">
        <v>46114</v>
      </c>
      <c r="B3613" t="s">
        <v>25</v>
      </c>
      <c r="C3613" t="s">
        <v>26</v>
      </c>
      <c r="D3613">
        <v>22</v>
      </c>
      <c r="E3613">
        <v>22</v>
      </c>
      <c r="F3613">
        <v>18.440000000000001</v>
      </c>
      <c r="G3613">
        <v>0</v>
      </c>
      <c r="H3613">
        <v>0</v>
      </c>
      <c r="I3613" s="3">
        <f>E3613+G3613+H3613</f>
        <v>22</v>
      </c>
      <c r="J3613" s="3">
        <f>ROUND(MIN(IF(C3613="Técnico III",35,IF(C3613="Técnico II",28,IF(C3613="Técnico I",23,IF(C3613="JR",20,IF(C3613="Estágio",10,0))))),IF(C3613="Técnico III",SUMIFS($D:$D,$A:$A,$A3613,$B:$B,"&lt;&gt;Patrícia Karla de Sousa Araújo",$B:$B,"&lt;&gt;Lorena Dias de Araujo",$B:$B,"&lt;&gt;Lucas Luiz Romero")*(35/1083),IF(C3613="Técnico II",SUMIFS($D:$D,$A:$A,$A3613,$B:$B,"&lt;&gt;Patrícia Karla de Sousa Araújo",$B:$B,"&lt;&gt;Lorena Dias de Araujo",$B:$B,"&lt;&gt;Lucas Luiz Romero")*(28/1083),IF(C3613="Técnico I",SUMIFS($D:$D,$A:$A,$A3613,$B:$B,"&lt;&gt;Patrícia Karla de Sousa Araújo",$B:$B,"&lt;&gt;Lorena Dias de Araujo",$B:$B,"&lt;&gt;Lucas Luiz Romero")*(23/1083),IF(C3613="JR",SUMIFS($D:$D,$A:$A,$A3613,$B:$B,"&lt;&gt;Patrícia Karla de Sousa Araújo",$B:$B,"&lt;&gt;Lorena Dias de Araujo",$B:$B,"&lt;&gt;Lucas Luiz Romero")*(20/1083),IF(C3613="Estágio",SUMIFS($D:$D,$A:$A,$A3613,$B:$B,"&lt;&gt;Patrícia Karla de Sousa Araújo",$B:$B,"&lt;&gt;Lorena Dias de Araujo",$B:$B,"&lt;&gt;Lucas Luiz Romero")*(10/1083),0)))))),0)</f>
        <v>19</v>
      </c>
      <c r="K3613" s="3">
        <f>I3613-J3613</f>
        <v>3</v>
      </c>
      <c r="L3613" s="3" t="str">
        <f>IF(K3613&lt;-5,"CRÍTICO",IF(K3613&lt;0,"ATENÇÃO",IF(K3613&lt;=5,"OPORTUNO","MUITO BOM")))</f>
        <v>OPORTUNO</v>
      </c>
      <c r="M3613">
        <v>20</v>
      </c>
      <c r="N3613">
        <v>97.17</v>
      </c>
      <c r="O3613">
        <v>28.81844380403458</v>
      </c>
    </row>
    <row r="3614" spans="1:15" hidden="1" x14ac:dyDescent="0.25">
      <c r="A3614" s="11">
        <v>46114</v>
      </c>
      <c r="B3614" t="s">
        <v>40</v>
      </c>
      <c r="C3614" t="s">
        <v>32</v>
      </c>
      <c r="D3614">
        <v>6</v>
      </c>
      <c r="E3614">
        <v>6</v>
      </c>
      <c r="F3614">
        <v>24.18</v>
      </c>
      <c r="G3614">
        <v>0</v>
      </c>
      <c r="H3614">
        <v>0</v>
      </c>
      <c r="I3614" s="3">
        <f>E3614+G3614+H3614</f>
        <v>6</v>
      </c>
      <c r="J3614" s="3">
        <f>ROUND(MIN(IF(C3614="Técnico III",35,IF(C3614="Técnico II",28,IF(C3614="Técnico I",23,IF(C3614="JR",20,IF(C3614="Estágio",10,0))))),IF(C3614="Técnico III",SUMIFS($D:$D,$A:$A,$A3614,$B:$B,"&lt;&gt;Patrícia Karla de Sousa Araújo",$B:$B,"&lt;&gt;Lorena Dias de Araujo",$B:$B,"&lt;&gt;Lucas Luiz Romero")*(35/1083),IF(C3614="Técnico II",SUMIFS($D:$D,$A:$A,$A3614,$B:$B,"&lt;&gt;Patrícia Karla de Sousa Araújo",$B:$B,"&lt;&gt;Lorena Dias de Araujo",$B:$B,"&lt;&gt;Lucas Luiz Romero")*(28/1083),IF(C3614="Técnico I",SUMIFS($D:$D,$A:$A,$A3614,$B:$B,"&lt;&gt;Patrícia Karla de Sousa Araújo",$B:$B,"&lt;&gt;Lorena Dias de Araujo",$B:$B,"&lt;&gt;Lucas Luiz Romero")*(23/1083),IF(C3614="JR",SUMIFS($D:$D,$A:$A,$A3614,$B:$B,"&lt;&gt;Patrícia Karla de Sousa Araújo",$B:$B,"&lt;&gt;Lorena Dias de Araujo",$B:$B,"&lt;&gt;Lucas Luiz Romero")*(20/1083),IF(C3614="Estágio",SUMIFS($D:$D,$A:$A,$A3614,$B:$B,"&lt;&gt;Patrícia Karla de Sousa Araújo",$B:$B,"&lt;&gt;Lorena Dias de Araujo",$B:$B,"&lt;&gt;Lucas Luiz Romero")*(10/1083),0)))))),0)</f>
        <v>34</v>
      </c>
      <c r="K3614" s="3">
        <f>I3614-J3614</f>
        <v>-28</v>
      </c>
      <c r="L3614" s="3" t="str">
        <f>IF(K3614&lt;-5,"CRÍTICO",IF(K3614&lt;0,"ATENÇÃO",IF(K3614&lt;=5,"OPORTUNO","MUITO BOM")))</f>
        <v>CRÍTICO</v>
      </c>
      <c r="M3614">
        <v>6</v>
      </c>
      <c r="N3614">
        <v>96.81</v>
      </c>
      <c r="O3614">
        <v>48.018648018648022</v>
      </c>
    </row>
    <row r="3615" spans="1:15" hidden="1" x14ac:dyDescent="0.25">
      <c r="A3615" s="11">
        <v>46114</v>
      </c>
      <c r="B3615" t="s">
        <v>27</v>
      </c>
      <c r="C3615" t="s">
        <v>26</v>
      </c>
      <c r="D3615">
        <v>22</v>
      </c>
      <c r="E3615">
        <v>21</v>
      </c>
      <c r="F3615">
        <v>25.36</v>
      </c>
      <c r="G3615">
        <v>0</v>
      </c>
      <c r="H3615">
        <v>0</v>
      </c>
      <c r="I3615" s="3">
        <f>E3615+G3615+H3615</f>
        <v>21</v>
      </c>
      <c r="J3615" s="3">
        <f>ROUND(MIN(IF(C3615="Técnico III",35,IF(C3615="Técnico II",28,IF(C3615="Técnico I",23,IF(C3615="JR",20,IF(C3615="Estágio",10,0))))),IF(C3615="Técnico III",SUMIFS($D:$D,$A:$A,$A3615,$B:$B,"&lt;&gt;Patrícia Karla de Sousa Araújo",$B:$B,"&lt;&gt;Lorena Dias de Araujo",$B:$B,"&lt;&gt;Lucas Luiz Romero")*(35/1083),IF(C3615="Técnico II",SUMIFS($D:$D,$A:$A,$A3615,$B:$B,"&lt;&gt;Patrícia Karla de Sousa Araújo",$B:$B,"&lt;&gt;Lorena Dias de Araujo",$B:$B,"&lt;&gt;Lucas Luiz Romero")*(28/1083),IF(C3615="Técnico I",SUMIFS($D:$D,$A:$A,$A3615,$B:$B,"&lt;&gt;Patrícia Karla de Sousa Araújo",$B:$B,"&lt;&gt;Lorena Dias de Araujo",$B:$B,"&lt;&gt;Lucas Luiz Romero")*(23/1083),IF(C3615="JR",SUMIFS($D:$D,$A:$A,$A3615,$B:$B,"&lt;&gt;Patrícia Karla de Sousa Araújo",$B:$B,"&lt;&gt;Lorena Dias de Araujo",$B:$B,"&lt;&gt;Lucas Luiz Romero")*(20/1083),IF(C3615="Estágio",SUMIFS($D:$D,$A:$A,$A3615,$B:$B,"&lt;&gt;Patrícia Karla de Sousa Araújo",$B:$B,"&lt;&gt;Lorena Dias de Araujo",$B:$B,"&lt;&gt;Lucas Luiz Romero")*(10/1083),0)))))),0)</f>
        <v>19</v>
      </c>
      <c r="K3615" s="3">
        <f>I3615-J3615</f>
        <v>2</v>
      </c>
      <c r="L3615" s="3" t="str">
        <f>IF(K3615&lt;-5,"CRÍTICO",IF(K3615&lt;0,"ATENÇÃO",IF(K3615&lt;=5,"OPORTUNO","MUITO BOM")))</f>
        <v>OPORTUNO</v>
      </c>
      <c r="M3615">
        <v>19</v>
      </c>
      <c r="N3615">
        <v>98.15</v>
      </c>
      <c r="O3615">
        <v>27.1551724137931</v>
      </c>
    </row>
    <row r="3616" spans="1:15" hidden="1" x14ac:dyDescent="0.25">
      <c r="A3616" s="11">
        <v>46114</v>
      </c>
      <c r="B3616" t="s">
        <v>41</v>
      </c>
      <c r="C3616" t="s">
        <v>32</v>
      </c>
      <c r="D3616">
        <v>40</v>
      </c>
      <c r="E3616">
        <v>38</v>
      </c>
      <c r="F3616">
        <v>13.41</v>
      </c>
      <c r="G3616">
        <v>0</v>
      </c>
      <c r="H3616">
        <v>0</v>
      </c>
      <c r="I3616" s="3">
        <f>E3616+G3616+H3616</f>
        <v>38</v>
      </c>
      <c r="J3616" s="3">
        <f>ROUND(MIN(IF(C3616="Técnico III",35,IF(C3616="Técnico II",28,IF(C3616="Técnico I",23,IF(C3616="JR",20,IF(C3616="Estágio",10,0))))),IF(C3616="Técnico III",SUMIFS($D:$D,$A:$A,$A3616,$B:$B,"&lt;&gt;Patrícia Karla de Sousa Araújo",$B:$B,"&lt;&gt;Lorena Dias de Araujo",$B:$B,"&lt;&gt;Lucas Luiz Romero")*(35/1083),IF(C3616="Técnico II",SUMIFS($D:$D,$A:$A,$A3616,$B:$B,"&lt;&gt;Patrícia Karla de Sousa Araújo",$B:$B,"&lt;&gt;Lorena Dias de Araujo",$B:$B,"&lt;&gt;Lucas Luiz Romero")*(28/1083),IF(C3616="Técnico I",SUMIFS($D:$D,$A:$A,$A3616,$B:$B,"&lt;&gt;Patrícia Karla de Sousa Araújo",$B:$B,"&lt;&gt;Lorena Dias de Araujo",$B:$B,"&lt;&gt;Lucas Luiz Romero")*(23/1083),IF(C3616="JR",SUMIFS($D:$D,$A:$A,$A3616,$B:$B,"&lt;&gt;Patrícia Karla de Sousa Araújo",$B:$B,"&lt;&gt;Lorena Dias de Araujo",$B:$B,"&lt;&gt;Lucas Luiz Romero")*(20/1083),IF(C3616="Estágio",SUMIFS($D:$D,$A:$A,$A3616,$B:$B,"&lt;&gt;Patrícia Karla de Sousa Araújo",$B:$B,"&lt;&gt;Lorena Dias de Araujo",$B:$B,"&lt;&gt;Lucas Luiz Romero")*(10/1083),0)))))),0)</f>
        <v>34</v>
      </c>
      <c r="K3616" s="3">
        <f>I3616-J3616</f>
        <v>4</v>
      </c>
      <c r="L3616" s="3" t="str">
        <f>IF(K3616&lt;-5,"CRÍTICO",IF(K3616&lt;0,"ATENÇÃO",IF(K3616&lt;=5,"OPORTUNO","MUITO BOM")))</f>
        <v>OPORTUNO</v>
      </c>
      <c r="M3616">
        <v>35</v>
      </c>
      <c r="N3616">
        <v>99.15</v>
      </c>
      <c r="O3616">
        <v>27.586206896551719</v>
      </c>
    </row>
    <row r="3617" spans="1:15" hidden="1" x14ac:dyDescent="0.25">
      <c r="A3617" s="11">
        <v>46114</v>
      </c>
      <c r="B3617" t="s">
        <v>56</v>
      </c>
      <c r="C3617" t="s">
        <v>48</v>
      </c>
      <c r="D3617">
        <v>37</v>
      </c>
      <c r="E3617">
        <v>35</v>
      </c>
      <c r="F3617">
        <v>20.239999999999998</v>
      </c>
      <c r="G3617">
        <v>0</v>
      </c>
      <c r="H3617">
        <v>0</v>
      </c>
      <c r="I3617" s="3">
        <f>E3617+G3617+H3617</f>
        <v>35</v>
      </c>
      <c r="J3617" s="3">
        <f>ROUND(MIN(IF(C3617="Técnico III",35,IF(C3617="Técnico II",28,IF(C3617="Técnico I",23,IF(C3617="JR",20,IF(C3617="Estágio",10,0))))),IF(C3617="Técnico III",SUMIFS($D:$D,$A:$A,$A3617,$B:$B,"&lt;&gt;Patrícia Karla de Sousa Araújo",$B:$B,"&lt;&gt;Lorena Dias de Araujo",$B:$B,"&lt;&gt;Lucas Luiz Romero")*(35/1083),IF(C3617="Técnico II",SUMIFS($D:$D,$A:$A,$A3617,$B:$B,"&lt;&gt;Patrícia Karla de Sousa Araújo",$B:$B,"&lt;&gt;Lorena Dias de Araujo",$B:$B,"&lt;&gt;Lucas Luiz Romero")*(28/1083),IF(C3617="Técnico I",SUMIFS($D:$D,$A:$A,$A3617,$B:$B,"&lt;&gt;Patrícia Karla de Sousa Araújo",$B:$B,"&lt;&gt;Lorena Dias de Araujo",$B:$B,"&lt;&gt;Lucas Luiz Romero")*(23/1083),IF(C3617="JR",SUMIFS($D:$D,$A:$A,$A3617,$B:$B,"&lt;&gt;Patrícia Karla de Sousa Araújo",$B:$B,"&lt;&gt;Lorena Dias de Araujo",$B:$B,"&lt;&gt;Lucas Luiz Romero")*(20/1083),IF(C3617="Estágio",SUMIFS($D:$D,$A:$A,$A3617,$B:$B,"&lt;&gt;Patrícia Karla de Sousa Araújo",$B:$B,"&lt;&gt;Lorena Dias de Araujo",$B:$B,"&lt;&gt;Lucas Luiz Romero")*(10/1083),0)))))),0)</f>
        <v>27</v>
      </c>
      <c r="K3617" s="3">
        <f>I3617-J3617</f>
        <v>8</v>
      </c>
      <c r="L3617" s="3" t="str">
        <f>IF(K3617&lt;-5,"CRÍTICO",IF(K3617&lt;0,"ATENÇÃO",IF(K3617&lt;=5,"OPORTUNO","MUITO BOM")))</f>
        <v>MUITO BOM</v>
      </c>
      <c r="M3617">
        <v>20</v>
      </c>
      <c r="N3617">
        <v>99.17</v>
      </c>
      <c r="O3617">
        <v>29.75206611570248</v>
      </c>
    </row>
    <row r="3618" spans="1:15" hidden="1" x14ac:dyDescent="0.25">
      <c r="A3618" s="11">
        <v>46114</v>
      </c>
      <c r="B3618" t="s">
        <v>57</v>
      </c>
      <c r="C3618" t="s">
        <v>48</v>
      </c>
      <c r="D3618">
        <v>45</v>
      </c>
      <c r="E3618">
        <v>42</v>
      </c>
      <c r="F3618">
        <v>16.47</v>
      </c>
      <c r="G3618">
        <v>0</v>
      </c>
      <c r="H3618">
        <v>0</v>
      </c>
      <c r="I3618" s="3">
        <v>0</v>
      </c>
      <c r="J3618" s="3">
        <v>0</v>
      </c>
      <c r="K3618" s="3">
        <v>0</v>
      </c>
      <c r="L3618" s="3" t="str">
        <f>IF(K3618&lt;-5,"CRÍTICO",IF(K3618&lt;0,"ATENÇÃO",IF(K3618&lt;=5,"OPORTUNO","MUITO BOM")))</f>
        <v>OPORTUNO</v>
      </c>
      <c r="M3618">
        <v>39</v>
      </c>
      <c r="N3618">
        <v>98.73</v>
      </c>
      <c r="O3618">
        <v>28.961748633879779</v>
      </c>
    </row>
    <row r="3619" spans="1:15" hidden="1" x14ac:dyDescent="0.25">
      <c r="A3619" s="11">
        <v>46114</v>
      </c>
      <c r="B3619" t="s">
        <v>42</v>
      </c>
      <c r="C3619" t="s">
        <v>32</v>
      </c>
      <c r="D3619">
        <v>44</v>
      </c>
      <c r="E3619">
        <v>32</v>
      </c>
      <c r="F3619">
        <v>14.1</v>
      </c>
      <c r="G3619">
        <v>0</v>
      </c>
      <c r="H3619">
        <v>0</v>
      </c>
      <c r="I3619" s="3">
        <f>E3619+G3619+H3619</f>
        <v>32</v>
      </c>
      <c r="J3619" s="3">
        <f>ROUND(MIN(IF(C3619="Técnico III",35,IF(C3619="Técnico II",28,IF(C3619="Técnico I",23,IF(C3619="JR",20,IF(C3619="Estágio",10,0))))),IF(C3619="Técnico III",SUMIFS($D:$D,$A:$A,$A3619,$B:$B,"&lt;&gt;Patrícia Karla de Sousa Araújo",$B:$B,"&lt;&gt;Lorena Dias de Araujo",$B:$B,"&lt;&gt;Lucas Luiz Romero")*(35/1083),IF(C3619="Técnico II",SUMIFS($D:$D,$A:$A,$A3619,$B:$B,"&lt;&gt;Patrícia Karla de Sousa Araújo",$B:$B,"&lt;&gt;Lorena Dias de Araujo",$B:$B,"&lt;&gt;Lucas Luiz Romero")*(28/1083),IF(C3619="Técnico I",SUMIFS($D:$D,$A:$A,$A3619,$B:$B,"&lt;&gt;Patrícia Karla de Sousa Araújo",$B:$B,"&lt;&gt;Lorena Dias de Araujo",$B:$B,"&lt;&gt;Lucas Luiz Romero")*(23/1083),IF(C3619="JR",SUMIFS($D:$D,$A:$A,$A3619,$B:$B,"&lt;&gt;Patrícia Karla de Sousa Araújo",$B:$B,"&lt;&gt;Lorena Dias de Araujo",$B:$B,"&lt;&gt;Lucas Luiz Romero")*(20/1083),IF(C3619="Estágio",SUMIFS($D:$D,$A:$A,$A3619,$B:$B,"&lt;&gt;Patrícia Karla de Sousa Araújo",$B:$B,"&lt;&gt;Lorena Dias de Araujo",$B:$B,"&lt;&gt;Lucas Luiz Romero")*(10/1083),0)))))),0)</f>
        <v>34</v>
      </c>
      <c r="K3619" s="3">
        <f>I3619-J3619</f>
        <v>-2</v>
      </c>
      <c r="L3619" s="3" t="str">
        <f>IF(K3619&lt;-5,"CRÍTICO",IF(K3619&lt;0,"ATENÇÃO",IF(K3619&lt;=5,"OPORTUNO","MUITO BOM")))</f>
        <v>ATENÇÃO</v>
      </c>
      <c r="M3619">
        <v>27</v>
      </c>
      <c r="N3619">
        <v>88.68</v>
      </c>
      <c r="O3619">
        <v>22.03389830508474</v>
      </c>
    </row>
    <row r="3620" spans="1:15" hidden="1" x14ac:dyDescent="0.25">
      <c r="A3620" s="11">
        <v>46114</v>
      </c>
      <c r="B3620" t="s">
        <v>62</v>
      </c>
      <c r="C3620" t="s">
        <v>23</v>
      </c>
      <c r="D3620">
        <v>28</v>
      </c>
      <c r="E3620">
        <v>27</v>
      </c>
      <c r="F3620">
        <v>15.3</v>
      </c>
      <c r="G3620">
        <v>0</v>
      </c>
      <c r="H3620">
        <v>0</v>
      </c>
      <c r="I3620" s="3">
        <f>E3620+G3620+H3620</f>
        <v>27</v>
      </c>
      <c r="J3620" s="3">
        <f>ROUND(MIN(IF(C3620="Técnico III",35,IF(C3620="Técnico II",28,IF(C3620="Técnico I",23,IF(C3620="JR",20,IF(C3620="Estágio",10,0))))),IF(C3620="Técnico III",SUMIFS($D:$D,$A:$A,$A3620,$B:$B,"&lt;&gt;Patrícia Karla de Sousa Araújo",$B:$B,"&lt;&gt;Lorena Dias de Araujo",$B:$B,"&lt;&gt;Lucas Luiz Romero")*(35/1083),IF(C3620="Técnico II",SUMIFS($D:$D,$A:$A,$A3620,$B:$B,"&lt;&gt;Patrícia Karla de Sousa Araújo",$B:$B,"&lt;&gt;Lorena Dias de Araujo",$B:$B,"&lt;&gt;Lucas Luiz Romero")*(28/1083),IF(C3620="Técnico I",SUMIFS($D:$D,$A:$A,$A3620,$B:$B,"&lt;&gt;Patrícia Karla de Sousa Araújo",$B:$B,"&lt;&gt;Lorena Dias de Araujo",$B:$B,"&lt;&gt;Lucas Luiz Romero")*(23/1083),IF(C3620="JR",SUMIFS($D:$D,$A:$A,$A3620,$B:$B,"&lt;&gt;Patrícia Karla de Sousa Araújo",$B:$B,"&lt;&gt;Lorena Dias de Araujo",$B:$B,"&lt;&gt;Lucas Luiz Romero")*(20/1083),IF(C3620="Estágio",SUMIFS($D:$D,$A:$A,$A3620,$B:$B,"&lt;&gt;Patrícia Karla de Sousa Araújo",$B:$B,"&lt;&gt;Lorena Dias de Araujo",$B:$B,"&lt;&gt;Lucas Luiz Romero")*(10/1083),0)))))),0)</f>
        <v>22</v>
      </c>
      <c r="K3620" s="3">
        <f>I3620-J3620</f>
        <v>5</v>
      </c>
      <c r="L3620" s="3" t="str">
        <f>IF(K3620&lt;-5,"CRÍTICO",IF(K3620&lt;0,"ATENÇÃO",IF(K3620&lt;=5,"OPORTUNO","MUITO BOM")))</f>
        <v>OPORTUNO</v>
      </c>
      <c r="M3620">
        <v>28</v>
      </c>
      <c r="N3620">
        <v>97.37</v>
      </c>
      <c r="O3620">
        <v>25.76530612244898</v>
      </c>
    </row>
    <row r="3621" spans="1:15" hidden="1" x14ac:dyDescent="0.25">
      <c r="A3621" s="11">
        <v>46114</v>
      </c>
      <c r="B3621" t="s">
        <v>19</v>
      </c>
      <c r="C3621" t="s">
        <v>16</v>
      </c>
      <c r="D3621">
        <v>10</v>
      </c>
      <c r="E3621">
        <v>10</v>
      </c>
      <c r="F3621">
        <v>23.32</v>
      </c>
      <c r="G3621">
        <v>0</v>
      </c>
      <c r="H3621">
        <v>0</v>
      </c>
      <c r="I3621" s="3">
        <f>E3621+G3621+H3621</f>
        <v>10</v>
      </c>
      <c r="J3621" s="3">
        <f>ROUND(MIN(IF(C3621="Técnico III",35,IF(C3621="Técnico II",28,IF(C3621="Técnico I",23,IF(C3621="JR",20,IF(C3621="Estágio",10,0))))),IF(C3621="Técnico III",SUMIFS($D:$D,$A:$A,$A3621,$B:$B,"&lt;&gt;Patrícia Karla de Sousa Araújo",$B:$B,"&lt;&gt;Lorena Dias de Araujo",$B:$B,"&lt;&gt;Lucas Luiz Romero")*(35/1083),IF(C3621="Técnico II",SUMIFS($D:$D,$A:$A,$A3621,$B:$B,"&lt;&gt;Patrícia Karla de Sousa Araújo",$B:$B,"&lt;&gt;Lorena Dias de Araujo",$B:$B,"&lt;&gt;Lucas Luiz Romero")*(28/1083),IF(C3621="Técnico I",SUMIFS($D:$D,$A:$A,$A3621,$B:$B,"&lt;&gt;Patrícia Karla de Sousa Araújo",$B:$B,"&lt;&gt;Lorena Dias de Araujo",$B:$B,"&lt;&gt;Lucas Luiz Romero")*(23/1083),IF(C3621="JR",SUMIFS($D:$D,$A:$A,$A3621,$B:$B,"&lt;&gt;Patrícia Karla de Sousa Araújo",$B:$B,"&lt;&gt;Lorena Dias de Araujo",$B:$B,"&lt;&gt;Lucas Luiz Romero")*(20/1083),IF(C3621="Estágio",SUMIFS($D:$D,$A:$A,$A3621,$B:$B,"&lt;&gt;Patrícia Karla de Sousa Araújo",$B:$B,"&lt;&gt;Lorena Dias de Araujo",$B:$B,"&lt;&gt;Lucas Luiz Romero")*(10/1083),0)))))),0)</f>
        <v>10</v>
      </c>
      <c r="K3621" s="3">
        <f>I3621-J3621</f>
        <v>0</v>
      </c>
      <c r="L3621" s="3" t="str">
        <f>IF(K3621&lt;-5,"CRÍTICO",IF(K3621&lt;0,"ATENÇÃO",IF(K3621&lt;=5,"OPORTUNO","MUITO BOM")))</f>
        <v>OPORTUNO</v>
      </c>
      <c r="M3621">
        <v>7</v>
      </c>
      <c r="N3621">
        <v>100</v>
      </c>
      <c r="O3621">
        <v>25</v>
      </c>
    </row>
    <row r="3622" spans="1:15" hidden="1" x14ac:dyDescent="0.25">
      <c r="A3622" s="11">
        <v>46114</v>
      </c>
      <c r="B3622" t="s">
        <v>43</v>
      </c>
      <c r="C3622" t="s">
        <v>32</v>
      </c>
      <c r="D3622">
        <v>44</v>
      </c>
      <c r="E3622">
        <v>41</v>
      </c>
      <c r="F3622">
        <v>13.21</v>
      </c>
      <c r="G3622">
        <v>0</v>
      </c>
      <c r="H3622">
        <v>0</v>
      </c>
      <c r="I3622" s="3">
        <f>E3622+G3622+H3622</f>
        <v>41</v>
      </c>
      <c r="J3622" s="3">
        <f>ROUND(MIN(IF(C3622="Técnico III",35,IF(C3622="Técnico II",28,IF(C3622="Técnico I",23,IF(C3622="JR",20,IF(C3622="Estágio",10,0))))),IF(C3622="Técnico III",SUMIFS($D:$D,$A:$A,$A3622,$B:$B,"&lt;&gt;Patrícia Karla de Sousa Araújo",$B:$B,"&lt;&gt;Lorena Dias de Araujo",$B:$B,"&lt;&gt;Lucas Luiz Romero")*(35/1083),IF(C3622="Técnico II",SUMIFS($D:$D,$A:$A,$A3622,$B:$B,"&lt;&gt;Patrícia Karla de Sousa Araújo",$B:$B,"&lt;&gt;Lorena Dias de Araujo",$B:$B,"&lt;&gt;Lucas Luiz Romero")*(28/1083),IF(C3622="Técnico I",SUMIFS($D:$D,$A:$A,$A3622,$B:$B,"&lt;&gt;Patrícia Karla de Sousa Araújo",$B:$B,"&lt;&gt;Lorena Dias de Araujo",$B:$B,"&lt;&gt;Lucas Luiz Romero")*(23/1083),IF(C3622="JR",SUMIFS($D:$D,$A:$A,$A3622,$B:$B,"&lt;&gt;Patrícia Karla de Sousa Araújo",$B:$B,"&lt;&gt;Lorena Dias de Araujo",$B:$B,"&lt;&gt;Lucas Luiz Romero")*(20/1083),IF(C3622="Estágio",SUMIFS($D:$D,$A:$A,$A3622,$B:$B,"&lt;&gt;Patrícia Karla de Sousa Araújo",$B:$B,"&lt;&gt;Lorena Dias de Araujo",$B:$B,"&lt;&gt;Lucas Luiz Romero")*(10/1083),0)))))),0)</f>
        <v>34</v>
      </c>
      <c r="K3622" s="3">
        <f>I3622-J3622</f>
        <v>7</v>
      </c>
      <c r="L3622" s="3" t="str">
        <f>IF(K3622&lt;-5,"CRÍTICO",IF(K3622&lt;0,"ATENÇÃO",IF(K3622&lt;=5,"OPORTUNO","MUITO BOM")))</f>
        <v>MUITO BOM</v>
      </c>
      <c r="M3622">
        <v>37</v>
      </c>
      <c r="N3622">
        <v>100</v>
      </c>
      <c r="O3622">
        <v>23.9870340356564</v>
      </c>
    </row>
    <row r="3623" spans="1:15" hidden="1" x14ac:dyDescent="0.25">
      <c r="A3623" s="11">
        <v>46114</v>
      </c>
      <c r="B3623" t="s">
        <v>44</v>
      </c>
      <c r="C3623" t="s">
        <v>32</v>
      </c>
      <c r="D3623">
        <v>38</v>
      </c>
      <c r="E3623">
        <v>32</v>
      </c>
      <c r="F3623">
        <v>12.01</v>
      </c>
      <c r="G3623">
        <v>0</v>
      </c>
      <c r="H3623">
        <v>0</v>
      </c>
      <c r="I3623" s="3">
        <f>E3623+G3623+H3623</f>
        <v>32</v>
      </c>
      <c r="J3623" s="3">
        <f>ROUND(MIN(IF(C3623="Técnico III",35,IF(C3623="Técnico II",28,IF(C3623="Técnico I",23,IF(C3623="JR",20,IF(C3623="Estágio",10,0))))),IF(C3623="Técnico III",SUMIFS($D:$D,$A:$A,$A3623,$B:$B,"&lt;&gt;Patrícia Karla de Sousa Araújo",$B:$B,"&lt;&gt;Lorena Dias de Araujo",$B:$B,"&lt;&gt;Lucas Luiz Romero")*(35/1083),IF(C3623="Técnico II",SUMIFS($D:$D,$A:$A,$A3623,$B:$B,"&lt;&gt;Patrícia Karla de Sousa Araújo",$B:$B,"&lt;&gt;Lorena Dias de Araujo",$B:$B,"&lt;&gt;Lucas Luiz Romero")*(28/1083),IF(C3623="Técnico I",SUMIFS($D:$D,$A:$A,$A3623,$B:$B,"&lt;&gt;Patrícia Karla de Sousa Araújo",$B:$B,"&lt;&gt;Lorena Dias de Araujo",$B:$B,"&lt;&gt;Lucas Luiz Romero")*(23/1083),IF(C3623="JR",SUMIFS($D:$D,$A:$A,$A3623,$B:$B,"&lt;&gt;Patrícia Karla de Sousa Araújo",$B:$B,"&lt;&gt;Lorena Dias de Araujo",$B:$B,"&lt;&gt;Lucas Luiz Romero")*(20/1083),IF(C3623="Estágio",SUMIFS($D:$D,$A:$A,$A3623,$B:$B,"&lt;&gt;Patrícia Karla de Sousa Araújo",$B:$B,"&lt;&gt;Lorena Dias de Araujo",$B:$B,"&lt;&gt;Lucas Luiz Romero")*(10/1083),0)))))),0)</f>
        <v>34</v>
      </c>
      <c r="K3623" s="3">
        <f>I3623-J3623</f>
        <v>-2</v>
      </c>
      <c r="L3623" s="3" t="str">
        <f>IF(K3623&lt;-5,"CRÍTICO",IF(K3623&lt;0,"ATENÇÃO",IF(K3623&lt;=5,"OPORTUNO","MUITO BOM")))</f>
        <v>ATENÇÃO</v>
      </c>
      <c r="M3623">
        <v>29</v>
      </c>
      <c r="N3623">
        <v>95.49</v>
      </c>
      <c r="O3623">
        <v>28.370221327967808</v>
      </c>
    </row>
    <row r="3624" spans="1:15" hidden="1" x14ac:dyDescent="0.25">
      <c r="A3624" s="11">
        <v>46114</v>
      </c>
      <c r="B3624" t="s">
        <v>20</v>
      </c>
      <c r="C3624" t="s">
        <v>16</v>
      </c>
      <c r="D3624">
        <v>18</v>
      </c>
      <c r="E3624">
        <v>18</v>
      </c>
      <c r="F3624">
        <v>24.05</v>
      </c>
      <c r="G3624">
        <v>0</v>
      </c>
      <c r="H3624">
        <v>0</v>
      </c>
      <c r="I3624" s="3">
        <f>E3624+G3624+H3624</f>
        <v>18</v>
      </c>
      <c r="J3624" s="3">
        <f>ROUND(MIN(IF(C3624="Técnico III",35,IF(C3624="Técnico II",28,IF(C3624="Técnico I",23,IF(C3624="JR",20,IF(C3624="Estágio",10,0))))),IF(C3624="Técnico III",SUMIFS($D:$D,$A:$A,$A3624,$B:$B,"&lt;&gt;Patrícia Karla de Sousa Araújo",$B:$B,"&lt;&gt;Lorena Dias de Araujo",$B:$B,"&lt;&gt;Lucas Luiz Romero")*(35/1083),IF(C3624="Técnico II",SUMIFS($D:$D,$A:$A,$A3624,$B:$B,"&lt;&gt;Patrícia Karla de Sousa Araújo",$B:$B,"&lt;&gt;Lorena Dias de Araujo",$B:$B,"&lt;&gt;Lucas Luiz Romero")*(28/1083),IF(C3624="Técnico I",SUMIFS($D:$D,$A:$A,$A3624,$B:$B,"&lt;&gt;Patrícia Karla de Sousa Araújo",$B:$B,"&lt;&gt;Lorena Dias de Araujo",$B:$B,"&lt;&gt;Lucas Luiz Romero")*(23/1083),IF(C3624="JR",SUMIFS($D:$D,$A:$A,$A3624,$B:$B,"&lt;&gt;Patrícia Karla de Sousa Araújo",$B:$B,"&lt;&gt;Lorena Dias de Araujo",$B:$B,"&lt;&gt;Lucas Luiz Romero")*(20/1083),IF(C3624="Estágio",SUMIFS($D:$D,$A:$A,$A3624,$B:$B,"&lt;&gt;Patrícia Karla de Sousa Araújo",$B:$B,"&lt;&gt;Lorena Dias de Araujo",$B:$B,"&lt;&gt;Lucas Luiz Romero")*(10/1083),0)))))),0)</f>
        <v>10</v>
      </c>
      <c r="K3624" s="3">
        <f>I3624-J3624</f>
        <v>8</v>
      </c>
      <c r="L3624" s="3" t="str">
        <f>IF(K3624&lt;-5,"CRÍTICO",IF(K3624&lt;0,"ATENÇÃO",IF(K3624&lt;=5,"OPORTUNO","MUITO BOM")))</f>
        <v>MUITO BOM</v>
      </c>
      <c r="M3624">
        <v>11</v>
      </c>
      <c r="N3624">
        <v>100</v>
      </c>
      <c r="O3624">
        <v>23.77622377622378</v>
      </c>
    </row>
    <row r="3625" spans="1:15" hidden="1" x14ac:dyDescent="0.25">
      <c r="A3625" s="11">
        <v>46114</v>
      </c>
      <c r="B3625" t="s">
        <v>28</v>
      </c>
      <c r="C3625" t="s">
        <v>26</v>
      </c>
      <c r="D3625">
        <v>21</v>
      </c>
      <c r="E3625">
        <v>17</v>
      </c>
      <c r="F3625">
        <v>20.36</v>
      </c>
      <c r="G3625">
        <v>0</v>
      </c>
      <c r="H3625">
        <v>0</v>
      </c>
      <c r="I3625" s="3">
        <f>E3625+G3625+H3625</f>
        <v>17</v>
      </c>
      <c r="J3625" s="3">
        <f>ROUND(MIN(IF(C3625="Técnico III",35,IF(C3625="Técnico II",28,IF(C3625="Técnico I",23,IF(C3625="JR",20,IF(C3625="Estágio",10,0))))),IF(C3625="Técnico III",SUMIFS($D:$D,$A:$A,$A3625,$B:$B,"&lt;&gt;Patrícia Karla de Sousa Araújo",$B:$B,"&lt;&gt;Lorena Dias de Araujo",$B:$B,"&lt;&gt;Lucas Luiz Romero")*(35/1083),IF(C3625="Técnico II",SUMIFS($D:$D,$A:$A,$A3625,$B:$B,"&lt;&gt;Patrícia Karla de Sousa Araújo",$B:$B,"&lt;&gt;Lorena Dias de Araujo",$B:$B,"&lt;&gt;Lucas Luiz Romero")*(28/1083),IF(C3625="Técnico I",SUMIFS($D:$D,$A:$A,$A3625,$B:$B,"&lt;&gt;Patrícia Karla de Sousa Araújo",$B:$B,"&lt;&gt;Lorena Dias de Araujo",$B:$B,"&lt;&gt;Lucas Luiz Romero")*(23/1083),IF(C3625="JR",SUMIFS($D:$D,$A:$A,$A3625,$B:$B,"&lt;&gt;Patrícia Karla de Sousa Araújo",$B:$B,"&lt;&gt;Lorena Dias de Araujo",$B:$B,"&lt;&gt;Lucas Luiz Romero")*(20/1083),IF(C3625="Estágio",SUMIFS($D:$D,$A:$A,$A3625,$B:$B,"&lt;&gt;Patrícia Karla de Sousa Araújo",$B:$B,"&lt;&gt;Lorena Dias de Araujo",$B:$B,"&lt;&gt;Lucas Luiz Romero")*(10/1083),0)))))),0)</f>
        <v>19</v>
      </c>
      <c r="K3625" s="3">
        <f>I3625-J3625</f>
        <v>-2</v>
      </c>
      <c r="L3625" s="3" t="str">
        <f>IF(K3625&lt;-5,"CRÍTICO",IF(K3625&lt;0,"ATENÇÃO",IF(K3625&lt;=5,"OPORTUNO","MUITO BOM")))</f>
        <v>ATENÇÃO</v>
      </c>
      <c r="M3625">
        <v>16</v>
      </c>
      <c r="N3625">
        <v>96.15</v>
      </c>
      <c r="O3625">
        <v>24.045801526717561</v>
      </c>
    </row>
    <row r="3626" spans="1:15" hidden="1" x14ac:dyDescent="0.25">
      <c r="A3626" s="11">
        <v>46114</v>
      </c>
      <c r="B3626" t="s">
        <v>58</v>
      </c>
      <c r="C3626" t="s">
        <v>48</v>
      </c>
      <c r="D3626">
        <v>19</v>
      </c>
      <c r="E3626">
        <v>18</v>
      </c>
      <c r="F3626">
        <v>14.17</v>
      </c>
      <c r="G3626">
        <v>0</v>
      </c>
      <c r="H3626">
        <v>0</v>
      </c>
      <c r="I3626" s="3">
        <f>E3626+G3626+H3626</f>
        <v>18</v>
      </c>
      <c r="J3626" s="3">
        <f>ROUND(MIN(IF(C3626="Técnico III",35,IF(C3626="Técnico II",28,IF(C3626="Técnico I",23,IF(C3626="JR",20,IF(C3626="Estágio",10,0))))),IF(C3626="Técnico III",SUMIFS($D:$D,$A:$A,$A3626,$B:$B,"&lt;&gt;Patrícia Karla de Sousa Araújo",$B:$B,"&lt;&gt;Lorena Dias de Araujo",$B:$B,"&lt;&gt;Lucas Luiz Romero")*(35/1083),IF(C3626="Técnico II",SUMIFS($D:$D,$A:$A,$A3626,$B:$B,"&lt;&gt;Patrícia Karla de Sousa Araújo",$B:$B,"&lt;&gt;Lorena Dias de Araujo",$B:$B,"&lt;&gt;Lucas Luiz Romero")*(28/1083),IF(C3626="Técnico I",SUMIFS($D:$D,$A:$A,$A3626,$B:$B,"&lt;&gt;Patrícia Karla de Sousa Araújo",$B:$B,"&lt;&gt;Lorena Dias de Araujo",$B:$B,"&lt;&gt;Lucas Luiz Romero")*(23/1083),IF(C3626="JR",SUMIFS($D:$D,$A:$A,$A3626,$B:$B,"&lt;&gt;Patrícia Karla de Sousa Araújo",$B:$B,"&lt;&gt;Lorena Dias de Araujo",$B:$B,"&lt;&gt;Lucas Luiz Romero")*(20/1083),IF(C3626="Estágio",SUMIFS($D:$D,$A:$A,$A3626,$B:$B,"&lt;&gt;Patrícia Karla de Sousa Araújo",$B:$B,"&lt;&gt;Lorena Dias de Araujo",$B:$B,"&lt;&gt;Lucas Luiz Romero")*(10/1083),0)))))),0)</f>
        <v>27</v>
      </c>
      <c r="K3626" s="3">
        <f>I3626-J3626</f>
        <v>-9</v>
      </c>
      <c r="L3626" s="3" t="str">
        <f>IF(K3626&lt;-5,"CRÍTICO",IF(K3626&lt;0,"ATENÇÃO",IF(K3626&lt;=5,"OPORTUNO","MUITO BOM")))</f>
        <v>CRÍTICO</v>
      </c>
      <c r="M3626">
        <v>15</v>
      </c>
      <c r="N3626">
        <v>99.02</v>
      </c>
      <c r="O3626">
        <v>34.797297297297298</v>
      </c>
    </row>
    <row r="3627" spans="1:15" hidden="1" x14ac:dyDescent="0.25">
      <c r="A3627" s="11">
        <v>46114</v>
      </c>
      <c r="B3627" t="s">
        <v>29</v>
      </c>
      <c r="C3627" t="s">
        <v>26</v>
      </c>
      <c r="D3627">
        <v>22</v>
      </c>
      <c r="E3627">
        <v>21</v>
      </c>
      <c r="F3627">
        <v>15.57</v>
      </c>
      <c r="G3627">
        <v>0</v>
      </c>
      <c r="H3627">
        <v>0</v>
      </c>
      <c r="I3627" s="3">
        <f>E3627+G3627+H3627</f>
        <v>21</v>
      </c>
      <c r="J3627" s="3">
        <f>ROUND(MIN(IF(C3627="Técnico III",35,IF(C3627="Técnico II",28,IF(C3627="Técnico I",23,IF(C3627="JR",20,IF(C3627="Estágio",10,0))))),IF(C3627="Técnico III",SUMIFS($D:$D,$A:$A,$A3627,$B:$B,"&lt;&gt;Patrícia Karla de Sousa Araújo",$B:$B,"&lt;&gt;Lorena Dias de Araujo",$B:$B,"&lt;&gt;Lucas Luiz Romero")*(35/1083),IF(C3627="Técnico II",SUMIFS($D:$D,$A:$A,$A3627,$B:$B,"&lt;&gt;Patrícia Karla de Sousa Araújo",$B:$B,"&lt;&gt;Lorena Dias de Araujo",$B:$B,"&lt;&gt;Lucas Luiz Romero")*(28/1083),IF(C3627="Técnico I",SUMIFS($D:$D,$A:$A,$A3627,$B:$B,"&lt;&gt;Patrícia Karla de Sousa Araújo",$B:$B,"&lt;&gt;Lorena Dias de Araujo",$B:$B,"&lt;&gt;Lucas Luiz Romero")*(23/1083),IF(C3627="JR",SUMIFS($D:$D,$A:$A,$A3627,$B:$B,"&lt;&gt;Patrícia Karla de Sousa Araújo",$B:$B,"&lt;&gt;Lorena Dias de Araujo",$B:$B,"&lt;&gt;Lucas Luiz Romero")*(20/1083),IF(C3627="Estágio",SUMIFS($D:$D,$A:$A,$A3627,$B:$B,"&lt;&gt;Patrícia Karla de Sousa Araújo",$B:$B,"&lt;&gt;Lorena Dias de Araujo",$B:$B,"&lt;&gt;Lucas Luiz Romero")*(10/1083),0)))))),0)</f>
        <v>19</v>
      </c>
      <c r="K3627" s="3">
        <f>I3627-J3627</f>
        <v>2</v>
      </c>
      <c r="L3627" s="3" t="str">
        <f>IF(K3627&lt;-5,"CRÍTICO",IF(K3627&lt;0,"ATENÇÃO",IF(K3627&lt;=5,"OPORTUNO","MUITO BOM")))</f>
        <v>OPORTUNO</v>
      </c>
      <c r="M3627">
        <v>18</v>
      </c>
      <c r="N3627">
        <v>98.84</v>
      </c>
      <c r="O3627">
        <v>31.868131868131869</v>
      </c>
    </row>
    <row r="3628" spans="1:15" hidden="1" x14ac:dyDescent="0.25">
      <c r="A3628" s="11">
        <v>46114</v>
      </c>
      <c r="B3628" t="s">
        <v>30</v>
      </c>
      <c r="C3628" t="s">
        <v>26</v>
      </c>
      <c r="D3628">
        <v>17</v>
      </c>
      <c r="E3628">
        <v>17</v>
      </c>
      <c r="F3628">
        <v>24.14</v>
      </c>
      <c r="G3628">
        <v>0</v>
      </c>
      <c r="H3628">
        <v>0</v>
      </c>
      <c r="I3628" s="3">
        <f>E3628+G3628+H3628</f>
        <v>17</v>
      </c>
      <c r="J3628" s="3">
        <f>ROUND(MIN(IF(C3628="Técnico III",35,IF(C3628="Técnico II",28,IF(C3628="Técnico I",23,IF(C3628="JR",20,IF(C3628="Estágio",10,0))))),IF(C3628="Técnico III",SUMIFS($D:$D,$A:$A,$A3628,$B:$B,"&lt;&gt;Patrícia Karla de Sousa Araújo",$B:$B,"&lt;&gt;Lorena Dias de Araujo",$B:$B,"&lt;&gt;Lucas Luiz Romero")*(35/1083),IF(C3628="Técnico II",SUMIFS($D:$D,$A:$A,$A3628,$B:$B,"&lt;&gt;Patrícia Karla de Sousa Araújo",$B:$B,"&lt;&gt;Lorena Dias de Araujo",$B:$B,"&lt;&gt;Lucas Luiz Romero")*(28/1083),IF(C3628="Técnico I",SUMIFS($D:$D,$A:$A,$A3628,$B:$B,"&lt;&gt;Patrícia Karla de Sousa Araújo",$B:$B,"&lt;&gt;Lorena Dias de Araujo",$B:$B,"&lt;&gt;Lucas Luiz Romero")*(23/1083),IF(C3628="JR",SUMIFS($D:$D,$A:$A,$A3628,$B:$B,"&lt;&gt;Patrícia Karla de Sousa Araújo",$B:$B,"&lt;&gt;Lorena Dias de Araujo",$B:$B,"&lt;&gt;Lucas Luiz Romero")*(20/1083),IF(C3628="Estágio",SUMIFS($D:$D,$A:$A,$A3628,$B:$B,"&lt;&gt;Patrícia Karla de Sousa Araújo",$B:$B,"&lt;&gt;Lorena Dias de Araujo",$B:$B,"&lt;&gt;Lucas Luiz Romero")*(10/1083),0)))))),0)</f>
        <v>19</v>
      </c>
      <c r="K3628" s="3">
        <f>I3628-J3628</f>
        <v>-2</v>
      </c>
      <c r="L3628" s="3" t="str">
        <f>IF(K3628&lt;-5,"CRÍTICO",IF(K3628&lt;0,"ATENÇÃO",IF(K3628&lt;=5,"OPORTUNO","MUITO BOM")))</f>
        <v>ATENÇÃO</v>
      </c>
      <c r="M3628">
        <v>15</v>
      </c>
      <c r="N3628">
        <v>100</v>
      </c>
      <c r="O3628">
        <v>34.666666666666671</v>
      </c>
    </row>
    <row r="3629" spans="1:15" hidden="1" x14ac:dyDescent="0.25">
      <c r="A3629" s="11">
        <v>46114</v>
      </c>
      <c r="B3629" t="s">
        <v>21</v>
      </c>
      <c r="C3629" t="s">
        <v>16</v>
      </c>
      <c r="D3629">
        <v>8</v>
      </c>
      <c r="E3629">
        <v>7</v>
      </c>
      <c r="F3629">
        <v>27.17</v>
      </c>
      <c r="G3629">
        <v>0</v>
      </c>
      <c r="H3629">
        <v>0</v>
      </c>
      <c r="I3629" s="3">
        <f>E3629+G3629+H3629</f>
        <v>7</v>
      </c>
      <c r="J3629" s="3">
        <f>ROUND(MIN(IF(C3629="Técnico III",35,IF(C3629="Técnico II",28,IF(C3629="Técnico I",23,IF(C3629="JR",20,IF(C3629="Estágio",10,0))))),IF(C3629="Técnico III",SUMIFS($D:$D,$A:$A,$A3629,$B:$B,"&lt;&gt;Patrícia Karla de Sousa Araújo",$B:$B,"&lt;&gt;Lorena Dias de Araujo",$B:$B,"&lt;&gt;Lucas Luiz Romero")*(35/1083),IF(C3629="Técnico II",SUMIFS($D:$D,$A:$A,$A3629,$B:$B,"&lt;&gt;Patrícia Karla de Sousa Araújo",$B:$B,"&lt;&gt;Lorena Dias de Araujo",$B:$B,"&lt;&gt;Lucas Luiz Romero")*(28/1083),IF(C3629="Técnico I",SUMIFS($D:$D,$A:$A,$A3629,$B:$B,"&lt;&gt;Patrícia Karla de Sousa Araújo",$B:$B,"&lt;&gt;Lorena Dias de Araujo",$B:$B,"&lt;&gt;Lucas Luiz Romero")*(23/1083),IF(C3629="JR",SUMIFS($D:$D,$A:$A,$A3629,$B:$B,"&lt;&gt;Patrícia Karla de Sousa Araújo",$B:$B,"&lt;&gt;Lorena Dias de Araujo",$B:$B,"&lt;&gt;Lucas Luiz Romero")*(20/1083),IF(C3629="Estágio",SUMIFS($D:$D,$A:$A,$A3629,$B:$B,"&lt;&gt;Patrícia Karla de Sousa Araújo",$B:$B,"&lt;&gt;Lorena Dias de Araujo",$B:$B,"&lt;&gt;Lucas Luiz Romero")*(10/1083),0)))))),0)</f>
        <v>10</v>
      </c>
      <c r="K3629" s="3">
        <f>I3629-J3629</f>
        <v>-3</v>
      </c>
      <c r="L3629" s="3" t="str">
        <f>IF(K3629&lt;-5,"CRÍTICO",IF(K3629&lt;0,"ATENÇÃO",IF(K3629&lt;=5,"OPORTUNO","MUITO BOM")))</f>
        <v>ATENÇÃO</v>
      </c>
      <c r="M3629">
        <v>3</v>
      </c>
      <c r="N3629">
        <v>94.12</v>
      </c>
      <c r="O3629">
        <v>32.799999999999997</v>
      </c>
    </row>
    <row r="3630" spans="1:15" hidden="1" x14ac:dyDescent="0.25">
      <c r="A3630" s="11">
        <v>46114</v>
      </c>
      <c r="B3630" t="s">
        <v>63</v>
      </c>
      <c r="C3630" t="s">
        <v>23</v>
      </c>
      <c r="D3630">
        <v>33</v>
      </c>
      <c r="E3630">
        <v>29</v>
      </c>
      <c r="F3630">
        <v>13.5</v>
      </c>
      <c r="G3630">
        <v>0</v>
      </c>
      <c r="H3630">
        <v>0</v>
      </c>
      <c r="I3630" s="3">
        <f>E3630+G3630+H3630</f>
        <v>29</v>
      </c>
      <c r="J3630" s="3">
        <f>ROUND(MIN(IF(C3630="Técnico III",35,IF(C3630="Técnico II",28,IF(C3630="Técnico I",23,IF(C3630="JR",20,IF(C3630="Estágio",10,0))))),IF(C3630="Técnico III",SUMIFS($D:$D,$A:$A,$A3630,$B:$B,"&lt;&gt;Patrícia Karla de Sousa Araújo",$B:$B,"&lt;&gt;Lorena Dias de Araujo",$B:$B,"&lt;&gt;Lucas Luiz Romero")*(35/1083),IF(C3630="Técnico II",SUMIFS($D:$D,$A:$A,$A3630,$B:$B,"&lt;&gt;Patrícia Karla de Sousa Araújo",$B:$B,"&lt;&gt;Lorena Dias de Araujo",$B:$B,"&lt;&gt;Lucas Luiz Romero")*(28/1083),IF(C3630="Técnico I",SUMIFS($D:$D,$A:$A,$A3630,$B:$B,"&lt;&gt;Patrícia Karla de Sousa Araújo",$B:$B,"&lt;&gt;Lorena Dias de Araujo",$B:$B,"&lt;&gt;Lucas Luiz Romero")*(23/1083),IF(C3630="JR",SUMIFS($D:$D,$A:$A,$A3630,$B:$B,"&lt;&gt;Patrícia Karla de Sousa Araújo",$B:$B,"&lt;&gt;Lorena Dias de Araujo",$B:$B,"&lt;&gt;Lucas Luiz Romero")*(20/1083),IF(C3630="Estágio",SUMIFS($D:$D,$A:$A,$A3630,$B:$B,"&lt;&gt;Patrícia Karla de Sousa Araújo",$B:$B,"&lt;&gt;Lorena Dias de Araujo",$B:$B,"&lt;&gt;Lucas Luiz Romero")*(10/1083),0)))))),0)</f>
        <v>22</v>
      </c>
      <c r="K3630" s="3">
        <f>I3630-J3630</f>
        <v>7</v>
      </c>
      <c r="L3630" s="3" t="str">
        <f>IF(K3630&lt;-5,"CRÍTICO",IF(K3630&lt;0,"ATENÇÃO",IF(K3630&lt;=5,"OPORTUNO","MUITO BOM")))</f>
        <v>MUITO BOM</v>
      </c>
      <c r="M3630">
        <v>23</v>
      </c>
      <c r="N3630">
        <v>98.32</v>
      </c>
      <c r="O3630">
        <v>26.858513189448441</v>
      </c>
    </row>
    <row r="3631" spans="1:15" hidden="1" x14ac:dyDescent="0.25">
      <c r="A3631" s="11">
        <v>46114</v>
      </c>
      <c r="B3631" t="s">
        <v>45</v>
      </c>
      <c r="C3631" t="s">
        <v>32</v>
      </c>
      <c r="D3631">
        <v>41</v>
      </c>
      <c r="E3631">
        <v>38</v>
      </c>
      <c r="F3631">
        <v>15.29</v>
      </c>
      <c r="G3631">
        <v>0</v>
      </c>
      <c r="H3631">
        <v>0</v>
      </c>
      <c r="I3631" s="3">
        <f>E3631+G3631+H3631</f>
        <v>38</v>
      </c>
      <c r="J3631" s="3">
        <f>ROUND(MIN(IF(C3631="Técnico III",35,IF(C3631="Técnico II",28,IF(C3631="Técnico I",23,IF(C3631="JR",20,IF(C3631="Estágio",10,0))))),IF(C3631="Técnico III",SUMIFS($D:$D,$A:$A,$A3631,$B:$B,"&lt;&gt;Patrícia Karla de Sousa Araújo",$B:$B,"&lt;&gt;Lorena Dias de Araujo",$B:$B,"&lt;&gt;Lucas Luiz Romero")*(35/1083),IF(C3631="Técnico II",SUMIFS($D:$D,$A:$A,$A3631,$B:$B,"&lt;&gt;Patrícia Karla de Sousa Araújo",$B:$B,"&lt;&gt;Lorena Dias de Araujo",$B:$B,"&lt;&gt;Lucas Luiz Romero")*(28/1083),IF(C3631="Técnico I",SUMIFS($D:$D,$A:$A,$A3631,$B:$B,"&lt;&gt;Patrícia Karla de Sousa Araújo",$B:$B,"&lt;&gt;Lorena Dias de Araujo",$B:$B,"&lt;&gt;Lucas Luiz Romero")*(23/1083),IF(C3631="JR",SUMIFS($D:$D,$A:$A,$A3631,$B:$B,"&lt;&gt;Patrícia Karla de Sousa Araújo",$B:$B,"&lt;&gt;Lorena Dias de Araujo",$B:$B,"&lt;&gt;Lucas Luiz Romero")*(20/1083),IF(C3631="Estágio",SUMIFS($D:$D,$A:$A,$A3631,$B:$B,"&lt;&gt;Patrícia Karla de Sousa Araújo",$B:$B,"&lt;&gt;Lorena Dias de Araujo",$B:$B,"&lt;&gt;Lucas Luiz Romero")*(10/1083),0)))))),0)</f>
        <v>34</v>
      </c>
      <c r="K3631" s="3">
        <f>I3631-J3631</f>
        <v>4</v>
      </c>
      <c r="L3631" s="3" t="str">
        <f>IF(K3631&lt;-5,"CRÍTICO",IF(K3631&lt;0,"ATENÇÃO",IF(K3631&lt;=5,"OPORTUNO","MUITO BOM")))</f>
        <v>OPORTUNO</v>
      </c>
      <c r="M3631">
        <v>35</v>
      </c>
      <c r="N3631">
        <v>100</v>
      </c>
      <c r="O3631">
        <v>31.135531135531139</v>
      </c>
    </row>
    <row r="3632" spans="1:15" hidden="1" x14ac:dyDescent="0.25">
      <c r="A3632" s="11">
        <v>46114</v>
      </c>
      <c r="B3632" t="s">
        <v>64</v>
      </c>
      <c r="C3632" t="s">
        <v>23</v>
      </c>
      <c r="D3632">
        <v>20</v>
      </c>
      <c r="E3632">
        <v>18</v>
      </c>
      <c r="F3632">
        <v>22.3</v>
      </c>
      <c r="G3632">
        <v>0</v>
      </c>
      <c r="H3632">
        <v>0</v>
      </c>
      <c r="I3632" s="3">
        <f>E3632+G3632+H3632</f>
        <v>18</v>
      </c>
      <c r="J3632" s="3">
        <f>ROUND(MIN(IF(C3632="Técnico III",35,IF(C3632="Técnico II",28,IF(C3632="Técnico I",23,IF(C3632="JR",20,IF(C3632="Estágio",10,0))))),IF(C3632="Técnico III",SUMIFS($D:$D,$A:$A,$A3632,$B:$B,"&lt;&gt;Patrícia Karla de Sousa Araújo",$B:$B,"&lt;&gt;Lorena Dias de Araujo",$B:$B,"&lt;&gt;Lucas Luiz Romero")*(35/1083),IF(C3632="Técnico II",SUMIFS($D:$D,$A:$A,$A3632,$B:$B,"&lt;&gt;Patrícia Karla de Sousa Araújo",$B:$B,"&lt;&gt;Lorena Dias de Araujo",$B:$B,"&lt;&gt;Lucas Luiz Romero")*(28/1083),IF(C3632="Técnico I",SUMIFS($D:$D,$A:$A,$A3632,$B:$B,"&lt;&gt;Patrícia Karla de Sousa Araújo",$B:$B,"&lt;&gt;Lorena Dias de Araujo",$B:$B,"&lt;&gt;Lucas Luiz Romero")*(23/1083),IF(C3632="JR",SUMIFS($D:$D,$A:$A,$A3632,$B:$B,"&lt;&gt;Patrícia Karla de Sousa Araújo",$B:$B,"&lt;&gt;Lorena Dias de Araujo",$B:$B,"&lt;&gt;Lucas Luiz Romero")*(20/1083),IF(C3632="Estágio",SUMIFS($D:$D,$A:$A,$A3632,$B:$B,"&lt;&gt;Patrícia Karla de Sousa Araújo",$B:$B,"&lt;&gt;Lorena Dias de Araujo",$B:$B,"&lt;&gt;Lucas Luiz Romero")*(10/1083),0)))))),0)</f>
        <v>22</v>
      </c>
      <c r="K3632" s="3">
        <f>I3632-J3632</f>
        <v>-4</v>
      </c>
      <c r="L3632" s="3" t="str">
        <f>IF(K3632&lt;-5,"CRÍTICO",IF(K3632&lt;0,"ATENÇÃO",IF(K3632&lt;=5,"OPORTUNO","MUITO BOM")))</f>
        <v>ATENÇÃO</v>
      </c>
      <c r="M3632">
        <v>17</v>
      </c>
      <c r="N3632">
        <v>100</v>
      </c>
      <c r="O3632">
        <v>26.36986301369863</v>
      </c>
    </row>
    <row r="3633" spans="1:15" hidden="1" x14ac:dyDescent="0.25">
      <c r="A3633" s="11">
        <v>46114</v>
      </c>
      <c r="B3633" t="s">
        <v>46</v>
      </c>
      <c r="C3633" t="s">
        <v>32</v>
      </c>
      <c r="D3633">
        <v>36</v>
      </c>
      <c r="E3633">
        <v>32</v>
      </c>
      <c r="F3633">
        <v>15.15</v>
      </c>
      <c r="G3633">
        <v>0</v>
      </c>
      <c r="H3633">
        <v>0</v>
      </c>
      <c r="I3633" s="3">
        <f>E3633+G3633+H3633</f>
        <v>32</v>
      </c>
      <c r="J3633" s="3">
        <f>ROUND(MIN(IF(C3633="Técnico III",35,IF(C3633="Técnico II",28,IF(C3633="Técnico I",23,IF(C3633="JR",20,IF(C3633="Estágio",10,0))))),IF(C3633="Técnico III",SUMIFS($D:$D,$A:$A,$A3633,$B:$B,"&lt;&gt;Patrícia Karla de Sousa Araújo",$B:$B,"&lt;&gt;Lorena Dias de Araujo",$B:$B,"&lt;&gt;Lucas Luiz Romero")*(35/1083),IF(C3633="Técnico II",SUMIFS($D:$D,$A:$A,$A3633,$B:$B,"&lt;&gt;Patrícia Karla de Sousa Araújo",$B:$B,"&lt;&gt;Lorena Dias de Araujo",$B:$B,"&lt;&gt;Lucas Luiz Romero")*(28/1083),IF(C3633="Técnico I",SUMIFS($D:$D,$A:$A,$A3633,$B:$B,"&lt;&gt;Patrícia Karla de Sousa Araújo",$B:$B,"&lt;&gt;Lorena Dias de Araujo",$B:$B,"&lt;&gt;Lucas Luiz Romero")*(23/1083),IF(C3633="JR",SUMIFS($D:$D,$A:$A,$A3633,$B:$B,"&lt;&gt;Patrícia Karla de Sousa Araújo",$B:$B,"&lt;&gt;Lorena Dias de Araujo",$B:$B,"&lt;&gt;Lucas Luiz Romero")*(20/1083),IF(C3633="Estágio",SUMIFS($D:$D,$A:$A,$A3633,$B:$B,"&lt;&gt;Patrícia Karla de Sousa Araújo",$B:$B,"&lt;&gt;Lorena Dias de Araujo",$B:$B,"&lt;&gt;Lucas Luiz Romero")*(10/1083),0)))))),0)</f>
        <v>34</v>
      </c>
      <c r="K3633" s="3">
        <f>I3633-J3633</f>
        <v>-2</v>
      </c>
      <c r="L3633" s="3" t="str">
        <f>IF(K3633&lt;-5,"CRÍTICO",IF(K3633&lt;0,"ATENÇÃO",IF(K3633&lt;=5,"OPORTUNO","MUITO BOM")))</f>
        <v>ATENÇÃO</v>
      </c>
      <c r="M3633">
        <v>28</v>
      </c>
      <c r="N3633">
        <v>99.21</v>
      </c>
      <c r="O3633">
        <v>25.188916876574311</v>
      </c>
    </row>
    <row r="3634" spans="1:15" hidden="1" x14ac:dyDescent="0.25">
      <c r="A3634" s="11">
        <v>46115</v>
      </c>
      <c r="B3634" t="s">
        <v>47</v>
      </c>
      <c r="C3634" t="s">
        <v>48</v>
      </c>
      <c r="D3634">
        <v>0</v>
      </c>
      <c r="E3634">
        <v>0</v>
      </c>
      <c r="F3634">
        <v>0</v>
      </c>
      <c r="G3634">
        <v>0</v>
      </c>
      <c r="H3634">
        <v>0</v>
      </c>
      <c r="I3634" s="3">
        <v>0</v>
      </c>
      <c r="J3634" s="3">
        <v>0</v>
      </c>
      <c r="K3634" s="3">
        <v>0</v>
      </c>
      <c r="L3634" s="3" t="str">
        <f>IF(K3634&lt;-5,"CRÍTICO",IF(K3634&lt;0,"ATENÇÃO",IF(K3634&lt;=5,"OPORTUNO","MUITO BOM")))</f>
        <v>OPORTUNO</v>
      </c>
      <c r="M3634">
        <v>0</v>
      </c>
      <c r="N3634">
        <v>100</v>
      </c>
      <c r="O3634">
        <v>32.764505119453922</v>
      </c>
    </row>
    <row r="3635" spans="1:15" hidden="1" x14ac:dyDescent="0.25">
      <c r="A3635" s="11">
        <v>46115</v>
      </c>
      <c r="B3635" t="s">
        <v>31</v>
      </c>
      <c r="C3635" t="s">
        <v>32</v>
      </c>
      <c r="D3635">
        <v>0</v>
      </c>
      <c r="E3635">
        <v>0</v>
      </c>
      <c r="F3635">
        <v>0</v>
      </c>
      <c r="G3635">
        <v>0</v>
      </c>
      <c r="H3635">
        <v>0</v>
      </c>
      <c r="I3635" s="3">
        <v>0</v>
      </c>
      <c r="J3635" s="3">
        <v>0</v>
      </c>
      <c r="K3635" s="3">
        <v>0</v>
      </c>
      <c r="L3635" s="3" t="str">
        <f>IF(K3635&lt;-5,"CRÍTICO",IF(K3635&lt;0,"ATENÇÃO",IF(K3635&lt;=5,"OPORTUNO","MUITO BOM")))</f>
        <v>OPORTUNO</v>
      </c>
      <c r="M3635">
        <v>0</v>
      </c>
      <c r="N3635">
        <v>98.66</v>
      </c>
      <c r="O3635">
        <v>35.416666666666671</v>
      </c>
    </row>
    <row r="3636" spans="1:15" hidden="1" x14ac:dyDescent="0.25">
      <c r="A3636" s="11">
        <v>46115</v>
      </c>
      <c r="B3636" t="s">
        <v>59</v>
      </c>
      <c r="C3636" t="s">
        <v>23</v>
      </c>
      <c r="D3636">
        <v>0</v>
      </c>
      <c r="E3636">
        <v>0</v>
      </c>
      <c r="F3636">
        <v>0</v>
      </c>
      <c r="G3636">
        <v>0</v>
      </c>
      <c r="H3636">
        <v>0</v>
      </c>
      <c r="I3636" s="3">
        <v>0</v>
      </c>
      <c r="J3636" s="3">
        <v>0</v>
      </c>
      <c r="K3636" s="3">
        <v>0</v>
      </c>
      <c r="L3636" s="3" t="str">
        <f>IF(K3636&lt;-5,"CRÍTICO",IF(K3636&lt;0,"ATENÇÃO",IF(K3636&lt;=5,"OPORTUNO","MUITO BOM")))</f>
        <v>OPORTUNO</v>
      </c>
      <c r="M3636">
        <v>0</v>
      </c>
      <c r="N3636">
        <v>99.32</v>
      </c>
      <c r="O3636">
        <v>30.648330058939099</v>
      </c>
    </row>
    <row r="3637" spans="1:15" hidden="1" x14ac:dyDescent="0.25">
      <c r="A3637" s="11">
        <v>46115</v>
      </c>
      <c r="B3637" t="s">
        <v>33</v>
      </c>
      <c r="C3637" t="s">
        <v>32</v>
      </c>
      <c r="D3637">
        <v>0</v>
      </c>
      <c r="E3637">
        <v>0</v>
      </c>
      <c r="F3637">
        <v>0</v>
      </c>
      <c r="G3637">
        <v>0</v>
      </c>
      <c r="H3637">
        <v>0</v>
      </c>
      <c r="I3637" s="3">
        <v>0</v>
      </c>
      <c r="J3637" s="3">
        <v>0</v>
      </c>
      <c r="K3637" s="3">
        <v>0</v>
      </c>
      <c r="L3637" s="3" t="str">
        <f>IF(K3637&lt;-5,"CRÍTICO",IF(K3637&lt;0,"ATENÇÃO",IF(K3637&lt;=5,"OPORTUNO","MUITO BOM")))</f>
        <v>OPORTUNO</v>
      </c>
      <c r="M3637">
        <v>0</v>
      </c>
      <c r="N3637">
        <v>100</v>
      </c>
      <c r="O3637">
        <v>27.803738317757009</v>
      </c>
    </row>
    <row r="3638" spans="1:15" hidden="1" x14ac:dyDescent="0.25">
      <c r="A3638" s="11">
        <v>46115</v>
      </c>
      <c r="B3638" t="s">
        <v>15</v>
      </c>
      <c r="C3638" t="s">
        <v>16</v>
      </c>
      <c r="D3638">
        <v>0</v>
      </c>
      <c r="E3638">
        <v>0</v>
      </c>
      <c r="F3638">
        <v>0</v>
      </c>
      <c r="G3638">
        <v>0</v>
      </c>
      <c r="H3638">
        <v>0</v>
      </c>
      <c r="I3638" s="3">
        <v>0</v>
      </c>
      <c r="J3638" s="3">
        <v>0</v>
      </c>
      <c r="K3638" s="3">
        <v>0</v>
      </c>
      <c r="L3638" s="3" t="str">
        <f>IF(K3638&lt;-5,"CRÍTICO",IF(K3638&lt;0,"ATENÇÃO",IF(K3638&lt;=5,"OPORTUNO","MUITO BOM")))</f>
        <v>OPORTUNO</v>
      </c>
      <c r="M3638">
        <v>0</v>
      </c>
      <c r="N3638">
        <v>96.74</v>
      </c>
      <c r="O3638">
        <v>28.67647058823529</v>
      </c>
    </row>
    <row r="3639" spans="1:15" hidden="1" x14ac:dyDescent="0.25">
      <c r="A3639" s="11">
        <v>46115</v>
      </c>
      <c r="B3639" t="s">
        <v>49</v>
      </c>
      <c r="C3639" t="s">
        <v>48</v>
      </c>
      <c r="D3639">
        <v>0</v>
      </c>
      <c r="E3639">
        <v>0</v>
      </c>
      <c r="F3639">
        <v>0</v>
      </c>
      <c r="G3639">
        <v>0</v>
      </c>
      <c r="H3639">
        <v>0</v>
      </c>
      <c r="I3639" s="3">
        <v>0</v>
      </c>
      <c r="J3639" s="3">
        <v>0</v>
      </c>
      <c r="K3639" s="3">
        <v>0</v>
      </c>
      <c r="L3639" s="3" t="str">
        <f>IF(K3639&lt;-5,"CRÍTICO",IF(K3639&lt;0,"ATENÇÃO",IF(K3639&lt;=5,"OPORTUNO","MUITO BOM")))</f>
        <v>OPORTUNO</v>
      </c>
      <c r="M3639">
        <v>0</v>
      </c>
      <c r="N3639">
        <v>98.82</v>
      </c>
      <c r="O3639">
        <v>30.741410488245929</v>
      </c>
    </row>
    <row r="3640" spans="1:15" hidden="1" x14ac:dyDescent="0.25">
      <c r="A3640" s="11">
        <v>46115</v>
      </c>
      <c r="B3640" t="s">
        <v>50</v>
      </c>
      <c r="C3640" t="s">
        <v>48</v>
      </c>
      <c r="D3640">
        <v>0</v>
      </c>
      <c r="E3640">
        <v>0</v>
      </c>
      <c r="F3640">
        <v>0</v>
      </c>
      <c r="G3640">
        <v>0</v>
      </c>
      <c r="H3640">
        <v>0</v>
      </c>
      <c r="I3640" s="3">
        <v>0</v>
      </c>
      <c r="J3640" s="3">
        <v>0</v>
      </c>
      <c r="K3640" s="3">
        <v>0</v>
      </c>
      <c r="L3640" s="3" t="str">
        <f>IF(K3640&lt;-5,"CRÍTICO",IF(K3640&lt;0,"ATENÇÃO",IF(K3640&lt;=5,"OPORTUNO","MUITO BOM")))</f>
        <v>OPORTUNO</v>
      </c>
      <c r="M3640">
        <v>0</v>
      </c>
      <c r="N3640">
        <v>98.2</v>
      </c>
      <c r="O3640">
        <v>27.170868347338931</v>
      </c>
    </row>
    <row r="3641" spans="1:15" hidden="1" x14ac:dyDescent="0.25">
      <c r="A3641" s="11">
        <v>46115</v>
      </c>
      <c r="B3641" t="s">
        <v>17</v>
      </c>
      <c r="C3641" t="s">
        <v>16</v>
      </c>
      <c r="D3641">
        <v>0</v>
      </c>
      <c r="E3641">
        <v>0</v>
      </c>
      <c r="F3641">
        <v>0</v>
      </c>
      <c r="G3641">
        <v>0</v>
      </c>
      <c r="H3641">
        <v>0</v>
      </c>
      <c r="I3641" s="3">
        <v>0</v>
      </c>
      <c r="J3641" s="3">
        <v>0</v>
      </c>
      <c r="K3641" s="3">
        <v>0</v>
      </c>
      <c r="L3641" s="3" t="str">
        <f>IF(K3641&lt;-5,"CRÍTICO",IF(K3641&lt;0,"ATENÇÃO",IF(K3641&lt;=5,"OPORTUNO","MUITO BOM")))</f>
        <v>OPORTUNO</v>
      </c>
      <c r="M3641">
        <v>0</v>
      </c>
      <c r="N3641">
        <v>100</v>
      </c>
      <c r="O3641">
        <v>23.134328358208951</v>
      </c>
    </row>
    <row r="3642" spans="1:15" hidden="1" x14ac:dyDescent="0.25">
      <c r="A3642" s="11">
        <v>46115</v>
      </c>
      <c r="B3642" t="s">
        <v>60</v>
      </c>
      <c r="C3642" t="s">
        <v>23</v>
      </c>
      <c r="D3642">
        <v>0</v>
      </c>
      <c r="E3642">
        <v>0</v>
      </c>
      <c r="F3642">
        <v>0</v>
      </c>
      <c r="G3642">
        <v>0</v>
      </c>
      <c r="H3642">
        <v>0</v>
      </c>
      <c r="I3642" s="3">
        <v>0</v>
      </c>
      <c r="J3642" s="3">
        <v>0</v>
      </c>
      <c r="K3642" s="3">
        <v>0</v>
      </c>
      <c r="L3642" s="3" t="str">
        <f>IF(K3642&lt;-5,"CRÍTICO",IF(K3642&lt;0,"ATENÇÃO",IF(K3642&lt;=5,"OPORTUNO","MUITO BOM")))</f>
        <v>OPORTUNO</v>
      </c>
      <c r="M3642">
        <v>0</v>
      </c>
      <c r="N3642">
        <v>96.3</v>
      </c>
      <c r="O3642">
        <v>32.219570405727922</v>
      </c>
    </row>
    <row r="3643" spans="1:15" hidden="1" x14ac:dyDescent="0.25">
      <c r="A3643" s="11">
        <v>46115</v>
      </c>
      <c r="B3643" t="s">
        <v>34</v>
      </c>
      <c r="C3643" t="s">
        <v>32</v>
      </c>
      <c r="D3643">
        <v>0</v>
      </c>
      <c r="E3643">
        <v>0</v>
      </c>
      <c r="F3643">
        <v>0</v>
      </c>
      <c r="G3643">
        <v>0</v>
      </c>
      <c r="H3643">
        <v>0</v>
      </c>
      <c r="I3643" s="3">
        <v>0</v>
      </c>
      <c r="J3643" s="3">
        <v>0</v>
      </c>
      <c r="K3643" s="3">
        <v>0</v>
      </c>
      <c r="L3643" s="3" t="str">
        <f>IF(K3643&lt;-5,"CRÍTICO",IF(K3643&lt;0,"ATENÇÃO",IF(K3643&lt;=5,"OPORTUNO","MUITO BOM")))</f>
        <v>OPORTUNO</v>
      </c>
      <c r="M3643">
        <v>0</v>
      </c>
      <c r="N3643">
        <v>93.75</v>
      </c>
      <c r="O3643">
        <v>26.819923371647509</v>
      </c>
    </row>
    <row r="3644" spans="1:15" hidden="1" x14ac:dyDescent="0.25">
      <c r="A3644" s="11">
        <v>46115</v>
      </c>
      <c r="B3644" t="s">
        <v>51</v>
      </c>
      <c r="C3644" t="s">
        <v>48</v>
      </c>
      <c r="D3644">
        <v>0</v>
      </c>
      <c r="E3644">
        <v>0</v>
      </c>
      <c r="F3644">
        <v>0</v>
      </c>
      <c r="G3644">
        <v>0</v>
      </c>
      <c r="H3644">
        <v>0</v>
      </c>
      <c r="I3644" s="3">
        <v>0</v>
      </c>
      <c r="J3644" s="3">
        <v>0</v>
      </c>
      <c r="K3644" s="3">
        <v>0</v>
      </c>
      <c r="L3644" s="3" t="str">
        <f>IF(K3644&lt;-5,"CRÍTICO",IF(K3644&lt;0,"ATENÇÃO",IF(K3644&lt;=5,"OPORTUNO","MUITO BOM")))</f>
        <v>OPORTUNO</v>
      </c>
      <c r="M3644">
        <v>0</v>
      </c>
      <c r="N3644">
        <v>97.86</v>
      </c>
      <c r="O3644">
        <v>31.018518518518519</v>
      </c>
    </row>
    <row r="3645" spans="1:15" hidden="1" x14ac:dyDescent="0.25">
      <c r="A3645" s="11">
        <v>46115</v>
      </c>
      <c r="B3645" t="s">
        <v>61</v>
      </c>
      <c r="C3645" t="s">
        <v>23</v>
      </c>
      <c r="D3645">
        <v>0</v>
      </c>
      <c r="E3645">
        <v>0</v>
      </c>
      <c r="F3645">
        <v>0</v>
      </c>
      <c r="G3645">
        <v>0</v>
      </c>
      <c r="H3645">
        <v>0</v>
      </c>
      <c r="I3645" s="3">
        <v>0</v>
      </c>
      <c r="J3645" s="3">
        <v>0</v>
      </c>
      <c r="K3645" s="3">
        <v>0</v>
      </c>
      <c r="L3645" s="3" t="str">
        <f>IF(K3645&lt;-5,"CRÍTICO",IF(K3645&lt;0,"ATENÇÃO",IF(K3645&lt;=5,"OPORTUNO","MUITO BOM")))</f>
        <v>OPORTUNO</v>
      </c>
      <c r="M3645">
        <v>0</v>
      </c>
      <c r="N3645">
        <v>100</v>
      </c>
      <c r="O3645">
        <v>36.594202898550733</v>
      </c>
    </row>
    <row r="3646" spans="1:15" hidden="1" x14ac:dyDescent="0.25">
      <c r="A3646" s="11">
        <v>46115</v>
      </c>
      <c r="B3646" t="s">
        <v>35</v>
      </c>
      <c r="C3646" t="s">
        <v>32</v>
      </c>
      <c r="D3646">
        <v>0</v>
      </c>
      <c r="E3646">
        <v>0</v>
      </c>
      <c r="F3646">
        <v>0</v>
      </c>
      <c r="G3646">
        <v>0</v>
      </c>
      <c r="H3646">
        <v>0</v>
      </c>
      <c r="I3646" s="3">
        <v>0</v>
      </c>
      <c r="J3646" s="3">
        <v>0</v>
      </c>
      <c r="K3646" s="3">
        <v>0</v>
      </c>
      <c r="L3646" s="3" t="str">
        <f>IF(K3646&lt;-5,"CRÍTICO",IF(K3646&lt;0,"ATENÇÃO",IF(K3646&lt;=5,"OPORTUNO","MUITO BOM")))</f>
        <v>OPORTUNO</v>
      </c>
      <c r="M3646">
        <v>0</v>
      </c>
      <c r="N3646">
        <v>100</v>
      </c>
      <c r="O3646">
        <v>38.653846153846153</v>
      </c>
    </row>
    <row r="3647" spans="1:15" hidden="1" x14ac:dyDescent="0.25">
      <c r="A3647" s="11">
        <v>46115</v>
      </c>
      <c r="B3647" t="s">
        <v>18</v>
      </c>
      <c r="C3647" t="s">
        <v>16</v>
      </c>
      <c r="D3647">
        <v>0</v>
      </c>
      <c r="E3647">
        <v>0</v>
      </c>
      <c r="F3647">
        <v>0</v>
      </c>
      <c r="G3647">
        <v>0</v>
      </c>
      <c r="H3647">
        <v>0</v>
      </c>
      <c r="I3647" s="3">
        <v>0</v>
      </c>
      <c r="J3647" s="3">
        <v>0</v>
      </c>
      <c r="K3647" s="3">
        <v>0</v>
      </c>
      <c r="L3647" s="3" t="str">
        <f>IF(K3647&lt;-5,"CRÍTICO",IF(K3647&lt;0,"ATENÇÃO",IF(K3647&lt;=5,"OPORTUNO","MUITO BOM")))</f>
        <v>OPORTUNO</v>
      </c>
      <c r="M3647">
        <v>0</v>
      </c>
      <c r="N3647">
        <v>100</v>
      </c>
      <c r="O3647">
        <v>27.368421052631579</v>
      </c>
    </row>
    <row r="3648" spans="1:15" hidden="1" x14ac:dyDescent="0.25">
      <c r="A3648" s="11">
        <v>46115</v>
      </c>
      <c r="B3648" t="s">
        <v>52</v>
      </c>
      <c r="C3648" t="s">
        <v>48</v>
      </c>
      <c r="D3648">
        <v>0</v>
      </c>
      <c r="E3648">
        <v>0</v>
      </c>
      <c r="F3648">
        <v>0</v>
      </c>
      <c r="G3648">
        <v>0</v>
      </c>
      <c r="H3648">
        <v>0</v>
      </c>
      <c r="I3648" s="3">
        <v>0</v>
      </c>
      <c r="J3648" s="3">
        <v>0</v>
      </c>
      <c r="K3648" s="3">
        <v>0</v>
      </c>
      <c r="L3648" s="3" t="str">
        <f>IF(K3648&lt;-5,"CRÍTICO",IF(K3648&lt;0,"ATENÇÃO",IF(K3648&lt;=5,"OPORTUNO","MUITO BOM")))</f>
        <v>OPORTUNO</v>
      </c>
      <c r="M3648">
        <v>0</v>
      </c>
      <c r="N3648">
        <v>97.83</v>
      </c>
      <c r="O3648">
        <v>28.35164835164835</v>
      </c>
    </row>
    <row r="3649" spans="1:15" hidden="1" x14ac:dyDescent="0.25">
      <c r="A3649" s="11">
        <v>46115</v>
      </c>
      <c r="B3649" t="s">
        <v>36</v>
      </c>
      <c r="C3649" t="s">
        <v>32</v>
      </c>
      <c r="D3649">
        <v>0</v>
      </c>
      <c r="E3649">
        <v>0</v>
      </c>
      <c r="F3649">
        <v>0</v>
      </c>
      <c r="G3649">
        <v>0</v>
      </c>
      <c r="H3649">
        <v>0</v>
      </c>
      <c r="I3649" s="3">
        <v>0</v>
      </c>
      <c r="J3649" s="3">
        <v>0</v>
      </c>
      <c r="K3649" s="3">
        <v>0</v>
      </c>
      <c r="L3649" s="3" t="str">
        <f>IF(K3649&lt;-5,"CRÍTICO",IF(K3649&lt;0,"ATENÇÃO",IF(K3649&lt;=5,"OPORTUNO","MUITO BOM")))</f>
        <v>OPORTUNO</v>
      </c>
      <c r="M3649">
        <v>0</v>
      </c>
      <c r="N3649">
        <v>99.26</v>
      </c>
      <c r="O3649">
        <v>29.766536964980549</v>
      </c>
    </row>
    <row r="3650" spans="1:15" hidden="1" x14ac:dyDescent="0.25">
      <c r="A3650" s="11">
        <v>46115</v>
      </c>
      <c r="B3650" t="s">
        <v>53</v>
      </c>
      <c r="C3650" t="s">
        <v>48</v>
      </c>
      <c r="D3650">
        <v>0</v>
      </c>
      <c r="E3650">
        <v>0</v>
      </c>
      <c r="F3650">
        <v>0</v>
      </c>
      <c r="G3650">
        <v>0</v>
      </c>
      <c r="H3650">
        <v>0</v>
      </c>
      <c r="I3650" s="3">
        <v>0</v>
      </c>
      <c r="J3650" s="3">
        <v>0</v>
      </c>
      <c r="K3650" s="3">
        <v>0</v>
      </c>
      <c r="L3650" s="3" t="str">
        <f>IF(K3650&lt;-5,"CRÍTICO",IF(K3650&lt;0,"ATENÇÃO",IF(K3650&lt;=5,"OPORTUNO","MUITO BOM")))</f>
        <v>OPORTUNO</v>
      </c>
      <c r="M3650">
        <v>0</v>
      </c>
      <c r="N3650">
        <v>99.19</v>
      </c>
      <c r="O3650">
        <v>29.462365591397852</v>
      </c>
    </row>
    <row r="3651" spans="1:15" hidden="1" x14ac:dyDescent="0.25">
      <c r="A3651" s="7">
        <v>46161</v>
      </c>
      <c r="B3651" s="8" t="s">
        <v>36</v>
      </c>
      <c r="C3651" s="14" t="s">
        <v>32</v>
      </c>
      <c r="D3651" s="3">
        <v>12</v>
      </c>
      <c r="E3651" s="3">
        <v>12</v>
      </c>
      <c r="F3651" s="3">
        <v>18.2</v>
      </c>
      <c r="G3651" s="3">
        <v>0</v>
      </c>
      <c r="H3651" s="3">
        <v>0</v>
      </c>
      <c r="I3651" s="3">
        <f>E3651+G3651+H3651</f>
        <v>12</v>
      </c>
      <c r="J3651" s="3">
        <f>ROUND(MIN(IF(C3651="Técnico III",35,IF(C3651="Técnico II",28,IF(C3651="Técnico I",23,IF(C3651="JR",20,IF(C3651="Estágio",10,0))))),IF(C3651="Técnico III",SUMIFS($D:$D,$A:$A,$A3651,$B:$B,"&lt;&gt;Patrícia Karla de Sousa Araújo",$B:$B,"&lt;&gt;Lorena Dias de Araujo",$B:$B,"&lt;&gt;Lucas Luiz Romero")*(35/1083),IF(C3651="Técnico II",SUMIFS($D:$D,$A:$A,$A3651,$B:$B,"&lt;&gt;Patrícia Karla de Sousa Araújo",$B:$B,"&lt;&gt;Lorena Dias de Araujo",$B:$B,"&lt;&gt;Lucas Luiz Romero")*(28/1083),IF(C3651="Técnico I",SUMIFS($D:$D,$A:$A,$A3651,$B:$B,"&lt;&gt;Patrícia Karla de Sousa Araújo",$B:$B,"&lt;&gt;Lorena Dias de Araujo",$B:$B,"&lt;&gt;Lucas Luiz Romero")*(23/1083),IF(C3651="JR",SUMIFS($D:$D,$A:$A,$A3651,$B:$B,"&lt;&gt;Patrícia Karla de Sousa Araújo",$B:$B,"&lt;&gt;Lorena Dias de Araujo",$B:$B,"&lt;&gt;Lucas Luiz Romero")*(20/1083),IF(C3651="Estágio",SUMIFS($D:$D,$A:$A,$A3651,$B:$B,"&lt;&gt;Patrícia Karla de Sousa Araújo",$B:$B,"&lt;&gt;Lorena Dias de Araujo",$B:$B,"&lt;&gt;Lucas Luiz Romero")*(10/1083),0)))))),0)</f>
        <v>29</v>
      </c>
      <c r="K3651" s="3">
        <f>I3651-J3651</f>
        <v>-17</v>
      </c>
      <c r="L3651" s="3" t="str">
        <f>IF(K3651&lt;-5,"CRÍTICO",IF(K3651&lt;0,"ATENÇÃO",IF(K3651&lt;=5,"OPORTUNO","MUITO BOM")))</f>
        <v>CRÍTICO</v>
      </c>
      <c r="M3651" s="3">
        <v>11</v>
      </c>
      <c r="N3651" s="3">
        <v>100</v>
      </c>
      <c r="O3651" s="3">
        <v>13.51351351351351</v>
      </c>
    </row>
    <row r="3652" spans="1:15" hidden="1" x14ac:dyDescent="0.25">
      <c r="A3652" s="11">
        <v>46115</v>
      </c>
      <c r="B3652" t="s">
        <v>54</v>
      </c>
      <c r="C3652" t="s">
        <v>48</v>
      </c>
      <c r="D3652">
        <v>0</v>
      </c>
      <c r="E3652">
        <v>0</v>
      </c>
      <c r="F3652">
        <v>0</v>
      </c>
      <c r="G3652">
        <v>0</v>
      </c>
      <c r="H3652">
        <v>0</v>
      </c>
      <c r="I3652" s="3">
        <v>0</v>
      </c>
      <c r="J3652" s="3">
        <v>0</v>
      </c>
      <c r="K3652" s="3">
        <v>0</v>
      </c>
      <c r="L3652" s="3" t="str">
        <f>IF(K3652&lt;-5,"CRÍTICO",IF(K3652&lt;0,"ATENÇÃO",IF(K3652&lt;=5,"OPORTUNO","MUITO BOM")))</f>
        <v>OPORTUNO</v>
      </c>
      <c r="M3652">
        <v>0</v>
      </c>
      <c r="N3652">
        <v>100</v>
      </c>
      <c r="O3652">
        <v>28.921568627450981</v>
      </c>
    </row>
    <row r="3653" spans="1:15" hidden="1" x14ac:dyDescent="0.25">
      <c r="A3653" s="11">
        <v>46115</v>
      </c>
      <c r="B3653" t="s">
        <v>37</v>
      </c>
      <c r="C3653" t="s">
        <v>32</v>
      </c>
      <c r="D3653">
        <v>0</v>
      </c>
      <c r="E3653">
        <v>0</v>
      </c>
      <c r="F3653">
        <v>0</v>
      </c>
      <c r="G3653">
        <v>0</v>
      </c>
      <c r="H3653">
        <v>0</v>
      </c>
      <c r="I3653" s="3">
        <v>0</v>
      </c>
      <c r="J3653" s="3">
        <v>0</v>
      </c>
      <c r="K3653" s="3">
        <v>0</v>
      </c>
      <c r="L3653" s="3" t="str">
        <f>IF(K3653&lt;-5,"CRÍTICO",IF(K3653&lt;0,"ATENÇÃO",IF(K3653&lt;=5,"OPORTUNO","MUITO BOM")))</f>
        <v>OPORTUNO</v>
      </c>
      <c r="M3653">
        <v>0</v>
      </c>
      <c r="N3653">
        <v>99.57</v>
      </c>
      <c r="O3653">
        <v>30.635838150289018</v>
      </c>
    </row>
    <row r="3654" spans="1:15" hidden="1" x14ac:dyDescent="0.25">
      <c r="A3654" s="11">
        <v>46115</v>
      </c>
      <c r="B3654" t="s">
        <v>38</v>
      </c>
      <c r="C3654" t="s">
        <v>32</v>
      </c>
      <c r="D3654">
        <v>0</v>
      </c>
      <c r="E3654">
        <v>0</v>
      </c>
      <c r="F3654">
        <v>0</v>
      </c>
      <c r="G3654">
        <v>0</v>
      </c>
      <c r="H3654">
        <v>0</v>
      </c>
      <c r="I3654" s="3">
        <v>0</v>
      </c>
      <c r="J3654" s="3">
        <v>0</v>
      </c>
      <c r="K3654" s="3">
        <v>0</v>
      </c>
      <c r="L3654" s="3" t="str">
        <f>IF(K3654&lt;-5,"CRÍTICO",IF(K3654&lt;0,"ATENÇÃO",IF(K3654&lt;=5,"OPORTUNO","MUITO BOM")))</f>
        <v>OPORTUNO</v>
      </c>
      <c r="M3654">
        <v>0</v>
      </c>
      <c r="N3654">
        <v>95.65</v>
      </c>
      <c r="O3654">
        <v>32.432432432432442</v>
      </c>
    </row>
    <row r="3655" spans="1:15" hidden="1" x14ac:dyDescent="0.25">
      <c r="A3655" s="11">
        <v>46115</v>
      </c>
      <c r="B3655" t="s">
        <v>55</v>
      </c>
      <c r="C3655" t="s">
        <v>48</v>
      </c>
      <c r="D3655">
        <v>0</v>
      </c>
      <c r="E3655">
        <v>0</v>
      </c>
      <c r="F3655">
        <v>0</v>
      </c>
      <c r="G3655">
        <v>0</v>
      </c>
      <c r="H3655">
        <v>0</v>
      </c>
      <c r="I3655" s="3">
        <v>0</v>
      </c>
      <c r="J3655" s="3">
        <v>0</v>
      </c>
      <c r="K3655" s="3">
        <v>0</v>
      </c>
      <c r="L3655" s="3" t="str">
        <f>IF(K3655&lt;-5,"CRÍTICO",IF(K3655&lt;0,"ATENÇÃO",IF(K3655&lt;=5,"OPORTUNO","MUITO BOM")))</f>
        <v>OPORTUNO</v>
      </c>
      <c r="M3655">
        <v>0</v>
      </c>
      <c r="N3655">
        <v>98.81</v>
      </c>
      <c r="O3655">
        <v>26.256983240223459</v>
      </c>
    </row>
    <row r="3656" spans="1:15" hidden="1" x14ac:dyDescent="0.25">
      <c r="A3656" s="11">
        <v>46115</v>
      </c>
      <c r="B3656" t="s">
        <v>39</v>
      </c>
      <c r="C3656" t="s">
        <v>32</v>
      </c>
      <c r="D3656">
        <v>0</v>
      </c>
      <c r="E3656">
        <v>0</v>
      </c>
      <c r="F3656">
        <v>0</v>
      </c>
      <c r="G3656">
        <v>0</v>
      </c>
      <c r="H3656">
        <v>0</v>
      </c>
      <c r="I3656" s="3">
        <v>0</v>
      </c>
      <c r="J3656" s="3">
        <v>0</v>
      </c>
      <c r="K3656" s="3">
        <v>0</v>
      </c>
      <c r="L3656" s="3" t="str">
        <f>IF(K3656&lt;-5,"CRÍTICO",IF(K3656&lt;0,"ATENÇÃO",IF(K3656&lt;=5,"OPORTUNO","MUITO BOM")))</f>
        <v>OPORTUNO</v>
      </c>
      <c r="M3656">
        <v>0</v>
      </c>
      <c r="N3656">
        <v>0</v>
      </c>
      <c r="O3656">
        <v>0</v>
      </c>
    </row>
    <row r="3657" spans="1:15" hidden="1" x14ac:dyDescent="0.25">
      <c r="A3657" s="11">
        <v>46115</v>
      </c>
      <c r="B3657" t="s">
        <v>25</v>
      </c>
      <c r="C3657" t="s">
        <v>26</v>
      </c>
      <c r="D3657">
        <v>0</v>
      </c>
      <c r="E3657">
        <v>0</v>
      </c>
      <c r="F3657">
        <v>0</v>
      </c>
      <c r="G3657">
        <v>0</v>
      </c>
      <c r="H3657">
        <v>0</v>
      </c>
      <c r="I3657" s="3">
        <v>0</v>
      </c>
      <c r="J3657" s="3">
        <v>0</v>
      </c>
      <c r="K3657" s="3">
        <v>0</v>
      </c>
      <c r="L3657" s="3" t="str">
        <f>IF(K3657&lt;-5,"CRÍTICO",IF(K3657&lt;0,"ATENÇÃO",IF(K3657&lt;=5,"OPORTUNO","MUITO BOM")))</f>
        <v>OPORTUNO</v>
      </c>
      <c r="M3657">
        <v>0</v>
      </c>
      <c r="N3657">
        <v>97.17</v>
      </c>
      <c r="O3657">
        <v>28.81844380403458</v>
      </c>
    </row>
    <row r="3658" spans="1:15" hidden="1" x14ac:dyDescent="0.25">
      <c r="A3658" s="11">
        <v>46115</v>
      </c>
      <c r="B3658" t="s">
        <v>40</v>
      </c>
      <c r="C3658" t="s">
        <v>32</v>
      </c>
      <c r="D3658">
        <v>0</v>
      </c>
      <c r="E3658">
        <v>0</v>
      </c>
      <c r="F3658">
        <v>0</v>
      </c>
      <c r="G3658">
        <v>0</v>
      </c>
      <c r="H3658">
        <v>0</v>
      </c>
      <c r="I3658" s="3">
        <v>0</v>
      </c>
      <c r="J3658" s="3">
        <v>0</v>
      </c>
      <c r="K3658" s="3">
        <v>0</v>
      </c>
      <c r="L3658" s="3" t="str">
        <f>IF(K3658&lt;-5,"CRÍTICO",IF(K3658&lt;0,"ATENÇÃO",IF(K3658&lt;=5,"OPORTUNO","MUITO BOM")))</f>
        <v>OPORTUNO</v>
      </c>
      <c r="M3658">
        <v>0</v>
      </c>
      <c r="N3658">
        <v>96.81</v>
      </c>
      <c r="O3658">
        <v>48.018648018648022</v>
      </c>
    </row>
    <row r="3659" spans="1:15" hidden="1" x14ac:dyDescent="0.25">
      <c r="A3659" s="11">
        <v>46115</v>
      </c>
      <c r="B3659" t="s">
        <v>27</v>
      </c>
      <c r="C3659" t="s">
        <v>26</v>
      </c>
      <c r="D3659">
        <v>0</v>
      </c>
      <c r="E3659">
        <v>0</v>
      </c>
      <c r="F3659">
        <v>0</v>
      </c>
      <c r="G3659">
        <v>0</v>
      </c>
      <c r="H3659">
        <v>0</v>
      </c>
      <c r="I3659" s="3">
        <v>0</v>
      </c>
      <c r="J3659" s="3">
        <v>0</v>
      </c>
      <c r="K3659" s="3">
        <v>0</v>
      </c>
      <c r="L3659" s="3" t="str">
        <f>IF(K3659&lt;-5,"CRÍTICO",IF(K3659&lt;0,"ATENÇÃO",IF(K3659&lt;=5,"OPORTUNO","MUITO BOM")))</f>
        <v>OPORTUNO</v>
      </c>
      <c r="M3659">
        <v>0</v>
      </c>
      <c r="N3659">
        <v>98.15</v>
      </c>
      <c r="O3659">
        <v>27.1551724137931</v>
      </c>
    </row>
    <row r="3660" spans="1:15" hidden="1" x14ac:dyDescent="0.25">
      <c r="A3660" s="11">
        <v>46115</v>
      </c>
      <c r="B3660" t="s">
        <v>41</v>
      </c>
      <c r="C3660" t="s">
        <v>32</v>
      </c>
      <c r="D3660">
        <v>0</v>
      </c>
      <c r="E3660">
        <v>0</v>
      </c>
      <c r="F3660">
        <v>0</v>
      </c>
      <c r="G3660">
        <v>0</v>
      </c>
      <c r="H3660">
        <v>0</v>
      </c>
      <c r="I3660" s="3">
        <v>0</v>
      </c>
      <c r="J3660" s="3">
        <v>0</v>
      </c>
      <c r="K3660" s="3">
        <v>0</v>
      </c>
      <c r="L3660" s="3" t="str">
        <f>IF(K3660&lt;-5,"CRÍTICO",IF(K3660&lt;0,"ATENÇÃO",IF(K3660&lt;=5,"OPORTUNO","MUITO BOM")))</f>
        <v>OPORTUNO</v>
      </c>
      <c r="M3660">
        <v>0</v>
      </c>
      <c r="N3660">
        <v>99.15</v>
      </c>
      <c r="O3660">
        <v>27.586206896551719</v>
      </c>
    </row>
    <row r="3661" spans="1:15" hidden="1" x14ac:dyDescent="0.25">
      <c r="A3661" s="11">
        <v>46115</v>
      </c>
      <c r="B3661" t="s">
        <v>56</v>
      </c>
      <c r="C3661" t="s">
        <v>48</v>
      </c>
      <c r="D3661">
        <v>0</v>
      </c>
      <c r="E3661">
        <v>0</v>
      </c>
      <c r="F3661">
        <v>0</v>
      </c>
      <c r="G3661">
        <v>0</v>
      </c>
      <c r="H3661">
        <v>0</v>
      </c>
      <c r="I3661" s="3">
        <v>0</v>
      </c>
      <c r="J3661" s="3">
        <v>0</v>
      </c>
      <c r="K3661" s="3">
        <v>0</v>
      </c>
      <c r="L3661" s="3" t="str">
        <f>IF(K3661&lt;-5,"CRÍTICO",IF(K3661&lt;0,"ATENÇÃO",IF(K3661&lt;=5,"OPORTUNO","MUITO BOM")))</f>
        <v>OPORTUNO</v>
      </c>
      <c r="M3661">
        <v>10</v>
      </c>
      <c r="N3661">
        <v>99.17</v>
      </c>
      <c r="O3661">
        <v>29.75206611570248</v>
      </c>
    </row>
    <row r="3662" spans="1:15" hidden="1" x14ac:dyDescent="0.25">
      <c r="A3662" s="11">
        <v>46115</v>
      </c>
      <c r="B3662" t="s">
        <v>57</v>
      </c>
      <c r="C3662" t="s">
        <v>48</v>
      </c>
      <c r="D3662">
        <v>0</v>
      </c>
      <c r="E3662">
        <v>0</v>
      </c>
      <c r="F3662">
        <v>0</v>
      </c>
      <c r="G3662">
        <v>0</v>
      </c>
      <c r="H3662">
        <v>0</v>
      </c>
      <c r="I3662" s="3">
        <v>0</v>
      </c>
      <c r="J3662" s="3">
        <v>0</v>
      </c>
      <c r="K3662" s="3">
        <v>0</v>
      </c>
      <c r="L3662" s="3" t="str">
        <f>IF(K3662&lt;-5,"CRÍTICO",IF(K3662&lt;0,"ATENÇÃO",IF(K3662&lt;=5,"OPORTUNO","MUITO BOM")))</f>
        <v>OPORTUNO</v>
      </c>
      <c r="M3662">
        <v>0</v>
      </c>
      <c r="N3662">
        <v>98.73</v>
      </c>
      <c r="O3662">
        <v>28.961748633879779</v>
      </c>
    </row>
    <row r="3663" spans="1:15" hidden="1" x14ac:dyDescent="0.25">
      <c r="A3663" s="11">
        <v>46115</v>
      </c>
      <c r="B3663" t="s">
        <v>42</v>
      </c>
      <c r="C3663" t="s">
        <v>32</v>
      </c>
      <c r="D3663">
        <v>0</v>
      </c>
      <c r="E3663">
        <v>0</v>
      </c>
      <c r="F3663">
        <v>0</v>
      </c>
      <c r="G3663">
        <v>0</v>
      </c>
      <c r="H3663">
        <v>0</v>
      </c>
      <c r="I3663" s="3">
        <v>0</v>
      </c>
      <c r="J3663" s="3">
        <v>0</v>
      </c>
      <c r="K3663" s="3">
        <v>0</v>
      </c>
      <c r="L3663" s="3" t="str">
        <f>IF(K3663&lt;-5,"CRÍTICO",IF(K3663&lt;0,"ATENÇÃO",IF(K3663&lt;=5,"OPORTUNO","MUITO BOM")))</f>
        <v>OPORTUNO</v>
      </c>
      <c r="M3663">
        <v>0</v>
      </c>
      <c r="N3663">
        <v>88.68</v>
      </c>
      <c r="O3663">
        <v>22.03389830508474</v>
      </c>
    </row>
    <row r="3664" spans="1:15" hidden="1" x14ac:dyDescent="0.25">
      <c r="A3664" s="11">
        <v>46115</v>
      </c>
      <c r="B3664" t="s">
        <v>62</v>
      </c>
      <c r="C3664" t="s">
        <v>23</v>
      </c>
      <c r="D3664">
        <v>0</v>
      </c>
      <c r="E3664">
        <v>0</v>
      </c>
      <c r="F3664">
        <v>0</v>
      </c>
      <c r="G3664">
        <v>0</v>
      </c>
      <c r="H3664">
        <v>0</v>
      </c>
      <c r="I3664" s="3">
        <v>0</v>
      </c>
      <c r="J3664" s="3">
        <v>0</v>
      </c>
      <c r="K3664" s="3">
        <v>0</v>
      </c>
      <c r="L3664" s="3" t="str">
        <f>IF(K3664&lt;-5,"CRÍTICO",IF(K3664&lt;0,"ATENÇÃO",IF(K3664&lt;=5,"OPORTUNO","MUITO BOM")))</f>
        <v>OPORTUNO</v>
      </c>
      <c r="M3664">
        <v>0</v>
      </c>
      <c r="N3664">
        <v>97.37</v>
      </c>
      <c r="O3664">
        <v>25.76530612244898</v>
      </c>
    </row>
    <row r="3665" spans="1:15" hidden="1" x14ac:dyDescent="0.25">
      <c r="A3665" s="11">
        <v>46115</v>
      </c>
      <c r="B3665" t="s">
        <v>19</v>
      </c>
      <c r="C3665" t="s">
        <v>16</v>
      </c>
      <c r="D3665">
        <v>0</v>
      </c>
      <c r="E3665">
        <v>0</v>
      </c>
      <c r="F3665">
        <v>0</v>
      </c>
      <c r="G3665">
        <v>0</v>
      </c>
      <c r="H3665">
        <v>0</v>
      </c>
      <c r="I3665" s="3">
        <v>0</v>
      </c>
      <c r="J3665" s="3">
        <v>0</v>
      </c>
      <c r="K3665" s="3">
        <v>0</v>
      </c>
      <c r="L3665" s="3" t="str">
        <f>IF(K3665&lt;-5,"CRÍTICO",IF(K3665&lt;0,"ATENÇÃO",IF(K3665&lt;=5,"OPORTUNO","MUITO BOM")))</f>
        <v>OPORTUNO</v>
      </c>
      <c r="M3665">
        <v>0</v>
      </c>
      <c r="N3665">
        <v>100</v>
      </c>
      <c r="O3665">
        <v>25</v>
      </c>
    </row>
    <row r="3666" spans="1:15" hidden="1" x14ac:dyDescent="0.25">
      <c r="A3666" s="11">
        <v>46115</v>
      </c>
      <c r="B3666" t="s">
        <v>43</v>
      </c>
      <c r="C3666" t="s">
        <v>32</v>
      </c>
      <c r="D3666">
        <v>0</v>
      </c>
      <c r="E3666">
        <v>0</v>
      </c>
      <c r="F3666">
        <v>0</v>
      </c>
      <c r="G3666">
        <v>0</v>
      </c>
      <c r="H3666">
        <v>0</v>
      </c>
      <c r="I3666" s="3">
        <v>0</v>
      </c>
      <c r="J3666" s="3">
        <v>0</v>
      </c>
      <c r="K3666" s="3">
        <v>0</v>
      </c>
      <c r="L3666" s="3" t="str">
        <f>IF(K3666&lt;-5,"CRÍTICO",IF(K3666&lt;0,"ATENÇÃO",IF(K3666&lt;=5,"OPORTUNO","MUITO BOM")))</f>
        <v>OPORTUNO</v>
      </c>
      <c r="M3666">
        <v>0</v>
      </c>
      <c r="N3666">
        <v>100</v>
      </c>
      <c r="O3666">
        <v>23.9870340356564</v>
      </c>
    </row>
    <row r="3667" spans="1:15" hidden="1" x14ac:dyDescent="0.25">
      <c r="A3667" s="11">
        <v>46115</v>
      </c>
      <c r="B3667" t="s">
        <v>44</v>
      </c>
      <c r="C3667" t="s">
        <v>32</v>
      </c>
      <c r="D3667">
        <v>0</v>
      </c>
      <c r="E3667">
        <v>0</v>
      </c>
      <c r="F3667">
        <v>0</v>
      </c>
      <c r="G3667">
        <v>0</v>
      </c>
      <c r="H3667">
        <v>0</v>
      </c>
      <c r="I3667" s="3">
        <v>0</v>
      </c>
      <c r="J3667" s="3">
        <v>0</v>
      </c>
      <c r="K3667" s="3">
        <v>0</v>
      </c>
      <c r="L3667" s="3" t="str">
        <f>IF(K3667&lt;-5,"CRÍTICO",IF(K3667&lt;0,"ATENÇÃO",IF(K3667&lt;=5,"OPORTUNO","MUITO BOM")))</f>
        <v>OPORTUNO</v>
      </c>
      <c r="M3667">
        <v>0</v>
      </c>
      <c r="N3667">
        <v>95.49</v>
      </c>
      <c r="O3667">
        <v>28.370221327967808</v>
      </c>
    </row>
    <row r="3668" spans="1:15" hidden="1" x14ac:dyDescent="0.25">
      <c r="A3668" s="11">
        <v>46115</v>
      </c>
      <c r="B3668" t="s">
        <v>20</v>
      </c>
      <c r="C3668" t="s">
        <v>16</v>
      </c>
      <c r="D3668">
        <v>0</v>
      </c>
      <c r="E3668">
        <v>0</v>
      </c>
      <c r="F3668">
        <v>0</v>
      </c>
      <c r="G3668">
        <v>0</v>
      </c>
      <c r="H3668">
        <v>0</v>
      </c>
      <c r="I3668" s="3">
        <v>0</v>
      </c>
      <c r="J3668" s="3">
        <v>0</v>
      </c>
      <c r="K3668" s="3">
        <v>0</v>
      </c>
      <c r="L3668" s="3" t="str">
        <f>IF(K3668&lt;-5,"CRÍTICO",IF(K3668&lt;0,"ATENÇÃO",IF(K3668&lt;=5,"OPORTUNO","MUITO BOM")))</f>
        <v>OPORTUNO</v>
      </c>
      <c r="M3668">
        <v>0</v>
      </c>
      <c r="N3668">
        <v>100</v>
      </c>
      <c r="O3668">
        <v>23.77622377622378</v>
      </c>
    </row>
    <row r="3669" spans="1:15" hidden="1" x14ac:dyDescent="0.25">
      <c r="A3669" s="11">
        <v>46115</v>
      </c>
      <c r="B3669" t="s">
        <v>28</v>
      </c>
      <c r="C3669" t="s">
        <v>26</v>
      </c>
      <c r="D3669">
        <v>0</v>
      </c>
      <c r="E3669">
        <v>0</v>
      </c>
      <c r="F3669">
        <v>0</v>
      </c>
      <c r="G3669">
        <v>0</v>
      </c>
      <c r="H3669">
        <v>0</v>
      </c>
      <c r="I3669" s="3">
        <v>0</v>
      </c>
      <c r="J3669" s="3">
        <v>0</v>
      </c>
      <c r="K3669" s="3">
        <v>0</v>
      </c>
      <c r="L3669" s="3" t="str">
        <f>IF(K3669&lt;-5,"CRÍTICO",IF(K3669&lt;0,"ATENÇÃO",IF(K3669&lt;=5,"OPORTUNO","MUITO BOM")))</f>
        <v>OPORTUNO</v>
      </c>
      <c r="M3669">
        <v>0</v>
      </c>
      <c r="N3669">
        <v>96.15</v>
      </c>
      <c r="O3669">
        <v>24.045801526717561</v>
      </c>
    </row>
    <row r="3670" spans="1:15" hidden="1" x14ac:dyDescent="0.25">
      <c r="A3670" s="11">
        <v>46115</v>
      </c>
      <c r="B3670" t="s">
        <v>58</v>
      </c>
      <c r="C3670" t="s">
        <v>48</v>
      </c>
      <c r="D3670">
        <v>0</v>
      </c>
      <c r="E3670">
        <v>0</v>
      </c>
      <c r="F3670">
        <v>0</v>
      </c>
      <c r="G3670">
        <v>0</v>
      </c>
      <c r="H3670">
        <v>0</v>
      </c>
      <c r="I3670" s="3">
        <v>0</v>
      </c>
      <c r="J3670" s="3">
        <v>0</v>
      </c>
      <c r="K3670" s="3">
        <v>0</v>
      </c>
      <c r="L3670" s="3" t="str">
        <f>IF(K3670&lt;-5,"CRÍTICO",IF(K3670&lt;0,"ATENÇÃO",IF(K3670&lt;=5,"OPORTUNO","MUITO BOM")))</f>
        <v>OPORTUNO</v>
      </c>
      <c r="M3670">
        <v>0</v>
      </c>
      <c r="N3670">
        <v>99.02</v>
      </c>
      <c r="O3670">
        <v>34.797297297297298</v>
      </c>
    </row>
    <row r="3671" spans="1:15" hidden="1" x14ac:dyDescent="0.25">
      <c r="A3671" s="11">
        <v>46115</v>
      </c>
      <c r="B3671" t="s">
        <v>29</v>
      </c>
      <c r="C3671" t="s">
        <v>26</v>
      </c>
      <c r="D3671">
        <v>0</v>
      </c>
      <c r="E3671">
        <v>0</v>
      </c>
      <c r="F3671">
        <v>0</v>
      </c>
      <c r="G3671">
        <v>0</v>
      </c>
      <c r="H3671">
        <v>0</v>
      </c>
      <c r="I3671" s="3">
        <v>0</v>
      </c>
      <c r="J3671" s="3">
        <v>0</v>
      </c>
      <c r="K3671" s="3">
        <v>0</v>
      </c>
      <c r="L3671" s="3" t="str">
        <f>IF(K3671&lt;-5,"CRÍTICO",IF(K3671&lt;0,"ATENÇÃO",IF(K3671&lt;=5,"OPORTUNO","MUITO BOM")))</f>
        <v>OPORTUNO</v>
      </c>
      <c r="M3671">
        <v>0</v>
      </c>
      <c r="N3671">
        <v>98.84</v>
      </c>
      <c r="O3671">
        <v>31.868131868131869</v>
      </c>
    </row>
    <row r="3672" spans="1:15" hidden="1" x14ac:dyDescent="0.25">
      <c r="A3672" s="11">
        <v>46115</v>
      </c>
      <c r="B3672" t="s">
        <v>30</v>
      </c>
      <c r="C3672" t="s">
        <v>26</v>
      </c>
      <c r="D3672">
        <v>0</v>
      </c>
      <c r="E3672">
        <v>0</v>
      </c>
      <c r="F3672">
        <v>0</v>
      </c>
      <c r="G3672">
        <v>0</v>
      </c>
      <c r="H3672">
        <v>0</v>
      </c>
      <c r="I3672" s="3">
        <v>0</v>
      </c>
      <c r="J3672" s="3">
        <v>0</v>
      </c>
      <c r="K3672" s="3">
        <v>0</v>
      </c>
      <c r="L3672" s="3" t="str">
        <f>IF(K3672&lt;-5,"CRÍTICO",IF(K3672&lt;0,"ATENÇÃO",IF(K3672&lt;=5,"OPORTUNO","MUITO BOM")))</f>
        <v>OPORTUNO</v>
      </c>
      <c r="M3672">
        <v>0</v>
      </c>
      <c r="N3672">
        <v>100</v>
      </c>
      <c r="O3672">
        <v>34.666666666666671</v>
      </c>
    </row>
    <row r="3673" spans="1:15" hidden="1" x14ac:dyDescent="0.25">
      <c r="A3673" s="11">
        <v>46115</v>
      </c>
      <c r="B3673" t="s">
        <v>21</v>
      </c>
      <c r="C3673" t="s">
        <v>16</v>
      </c>
      <c r="D3673">
        <v>0</v>
      </c>
      <c r="E3673">
        <v>0</v>
      </c>
      <c r="F3673">
        <v>0</v>
      </c>
      <c r="G3673">
        <v>0</v>
      </c>
      <c r="H3673">
        <v>0</v>
      </c>
      <c r="I3673" s="3">
        <v>0</v>
      </c>
      <c r="J3673" s="3">
        <v>0</v>
      </c>
      <c r="K3673" s="3">
        <v>0</v>
      </c>
      <c r="L3673" s="3" t="str">
        <f>IF(K3673&lt;-5,"CRÍTICO",IF(K3673&lt;0,"ATENÇÃO",IF(K3673&lt;=5,"OPORTUNO","MUITO BOM")))</f>
        <v>OPORTUNO</v>
      </c>
      <c r="M3673">
        <v>0</v>
      </c>
      <c r="N3673">
        <v>94.12</v>
      </c>
      <c r="O3673">
        <v>32.799999999999997</v>
      </c>
    </row>
    <row r="3674" spans="1:15" hidden="1" x14ac:dyDescent="0.25">
      <c r="A3674" s="11">
        <v>46115</v>
      </c>
      <c r="B3674" t="s">
        <v>63</v>
      </c>
      <c r="C3674" t="s">
        <v>23</v>
      </c>
      <c r="D3674">
        <v>0</v>
      </c>
      <c r="E3674">
        <v>0</v>
      </c>
      <c r="F3674">
        <v>0</v>
      </c>
      <c r="G3674">
        <v>0</v>
      </c>
      <c r="H3674">
        <v>0</v>
      </c>
      <c r="I3674" s="3">
        <v>0</v>
      </c>
      <c r="J3674" s="3">
        <v>0</v>
      </c>
      <c r="K3674" s="3">
        <v>0</v>
      </c>
      <c r="L3674" s="3" t="str">
        <f>IF(K3674&lt;-5,"CRÍTICO",IF(K3674&lt;0,"ATENÇÃO",IF(K3674&lt;=5,"OPORTUNO","MUITO BOM")))</f>
        <v>OPORTUNO</v>
      </c>
      <c r="M3674">
        <v>0</v>
      </c>
      <c r="N3674">
        <v>98.32</v>
      </c>
      <c r="O3674">
        <v>26.858513189448441</v>
      </c>
    </row>
    <row r="3675" spans="1:15" hidden="1" x14ac:dyDescent="0.25">
      <c r="A3675" s="11">
        <v>46115</v>
      </c>
      <c r="B3675" t="s">
        <v>45</v>
      </c>
      <c r="C3675" t="s">
        <v>32</v>
      </c>
      <c r="D3675">
        <v>0</v>
      </c>
      <c r="E3675">
        <v>0</v>
      </c>
      <c r="F3675">
        <v>0</v>
      </c>
      <c r="G3675">
        <v>0</v>
      </c>
      <c r="H3675">
        <v>0</v>
      </c>
      <c r="I3675" s="3">
        <v>0</v>
      </c>
      <c r="J3675" s="3">
        <v>0</v>
      </c>
      <c r="K3675" s="3">
        <v>0</v>
      </c>
      <c r="L3675" s="3" t="str">
        <f>IF(K3675&lt;-5,"CRÍTICO",IF(K3675&lt;0,"ATENÇÃO",IF(K3675&lt;=5,"OPORTUNO","MUITO BOM")))</f>
        <v>OPORTUNO</v>
      </c>
      <c r="M3675">
        <v>0</v>
      </c>
      <c r="N3675">
        <v>100</v>
      </c>
      <c r="O3675">
        <v>31.135531135531139</v>
      </c>
    </row>
    <row r="3676" spans="1:15" hidden="1" x14ac:dyDescent="0.25">
      <c r="A3676" s="11">
        <v>46115</v>
      </c>
      <c r="B3676" t="s">
        <v>64</v>
      </c>
      <c r="C3676" t="s">
        <v>23</v>
      </c>
      <c r="D3676">
        <v>0</v>
      </c>
      <c r="E3676">
        <v>0</v>
      </c>
      <c r="F3676">
        <v>0</v>
      </c>
      <c r="G3676">
        <v>0</v>
      </c>
      <c r="H3676">
        <v>0</v>
      </c>
      <c r="I3676" s="3">
        <v>0</v>
      </c>
      <c r="J3676" s="3">
        <v>0</v>
      </c>
      <c r="K3676" s="3">
        <v>0</v>
      </c>
      <c r="L3676" s="3" t="str">
        <f>IF(K3676&lt;-5,"CRÍTICO",IF(K3676&lt;0,"ATENÇÃO",IF(K3676&lt;=5,"OPORTUNO","MUITO BOM")))</f>
        <v>OPORTUNO</v>
      </c>
      <c r="M3676">
        <v>0</v>
      </c>
      <c r="N3676">
        <v>100</v>
      </c>
      <c r="O3676">
        <v>26.36986301369863</v>
      </c>
    </row>
    <row r="3677" spans="1:15" hidden="1" x14ac:dyDescent="0.25">
      <c r="A3677" s="11">
        <v>46115</v>
      </c>
      <c r="B3677" t="s">
        <v>46</v>
      </c>
      <c r="C3677" t="s">
        <v>32</v>
      </c>
      <c r="D3677">
        <v>0</v>
      </c>
      <c r="E3677">
        <v>0</v>
      </c>
      <c r="F3677">
        <v>0</v>
      </c>
      <c r="G3677">
        <v>0</v>
      </c>
      <c r="H3677">
        <v>0</v>
      </c>
      <c r="I3677" s="3">
        <v>0</v>
      </c>
      <c r="J3677" s="3">
        <v>0</v>
      </c>
      <c r="K3677" s="3">
        <v>0</v>
      </c>
      <c r="L3677" s="3" t="str">
        <f>IF(K3677&lt;-5,"CRÍTICO",IF(K3677&lt;0,"ATENÇÃO",IF(K3677&lt;=5,"OPORTUNO","MUITO BOM")))</f>
        <v>OPORTUNO</v>
      </c>
      <c r="M3677">
        <v>0</v>
      </c>
      <c r="N3677">
        <v>99.21</v>
      </c>
      <c r="O3677">
        <v>25.188916876574311</v>
      </c>
    </row>
    <row r="3678" spans="1:15" hidden="1" x14ac:dyDescent="0.25">
      <c r="A3678" s="11">
        <v>46118</v>
      </c>
      <c r="B3678" t="s">
        <v>47</v>
      </c>
      <c r="C3678" t="s">
        <v>48</v>
      </c>
      <c r="D3678">
        <v>18</v>
      </c>
      <c r="E3678">
        <v>14</v>
      </c>
      <c r="F3678">
        <v>20.28</v>
      </c>
      <c r="G3678">
        <v>0</v>
      </c>
      <c r="H3678">
        <v>0</v>
      </c>
      <c r="I3678" s="3">
        <f>E3678+G3678+H3678</f>
        <v>14</v>
      </c>
      <c r="J3678" s="3">
        <f>ROUND(MIN(IF(C3678="Técnico III",35,IF(C3678="Técnico II",28,IF(C3678="Técnico I",23,IF(C3678="JR",20,IF(C3678="Estágio",10,0))))),IF(C3678="Técnico III",SUMIFS($D:$D,$A:$A,$A3678,$B:$B,"&lt;&gt;Patrícia Karla de Sousa Araújo",$B:$B,"&lt;&gt;Lorena Dias de Araujo",$B:$B,"&lt;&gt;Lucas Luiz Romero")*(35/1083),IF(C3678="Técnico II",SUMIFS($D:$D,$A:$A,$A3678,$B:$B,"&lt;&gt;Patrícia Karla de Sousa Araújo",$B:$B,"&lt;&gt;Lorena Dias de Araujo",$B:$B,"&lt;&gt;Lucas Luiz Romero")*(28/1083),IF(C3678="Técnico I",SUMIFS($D:$D,$A:$A,$A3678,$B:$B,"&lt;&gt;Patrícia Karla de Sousa Araújo",$B:$B,"&lt;&gt;Lorena Dias de Araujo",$B:$B,"&lt;&gt;Lucas Luiz Romero")*(23/1083),IF(C3678="JR",SUMIFS($D:$D,$A:$A,$A3678,$B:$B,"&lt;&gt;Patrícia Karla de Sousa Araújo",$B:$B,"&lt;&gt;Lorena Dias de Araujo",$B:$B,"&lt;&gt;Lucas Luiz Romero")*(20/1083),IF(C3678="Estágio",SUMIFS($D:$D,$A:$A,$A3678,$B:$B,"&lt;&gt;Patrícia Karla de Sousa Araújo",$B:$B,"&lt;&gt;Lorena Dias de Araujo",$B:$B,"&lt;&gt;Lucas Luiz Romero")*(10/1083),0)))))),0)</f>
        <v>25</v>
      </c>
      <c r="K3678" s="3">
        <f>I3678-J3678</f>
        <v>-11</v>
      </c>
      <c r="L3678" s="3" t="str">
        <f>IF(K3678&lt;-5,"CRÍTICO",IF(K3678&lt;0,"ATENÇÃO",IF(K3678&lt;=5,"OPORTUNO","MUITO BOM")))</f>
        <v>CRÍTICO</v>
      </c>
      <c r="M3678">
        <v>14</v>
      </c>
      <c r="N3678">
        <v>100</v>
      </c>
      <c r="O3678">
        <v>32.764505119453922</v>
      </c>
    </row>
    <row r="3679" spans="1:15" hidden="1" x14ac:dyDescent="0.25">
      <c r="A3679" s="11">
        <v>46118</v>
      </c>
      <c r="B3679" t="s">
        <v>31</v>
      </c>
      <c r="C3679" t="s">
        <v>32</v>
      </c>
      <c r="D3679">
        <v>0</v>
      </c>
      <c r="E3679">
        <v>0</v>
      </c>
      <c r="F3679">
        <v>0</v>
      </c>
      <c r="G3679">
        <v>0</v>
      </c>
      <c r="H3679">
        <v>0</v>
      </c>
      <c r="I3679" s="3">
        <v>0</v>
      </c>
      <c r="J3679" s="3">
        <v>0</v>
      </c>
      <c r="K3679" s="3">
        <v>0</v>
      </c>
      <c r="L3679" s="3" t="str">
        <f>IF(K3679&lt;-5,"CRÍTICO",IF(K3679&lt;0,"ATENÇÃO",IF(K3679&lt;=5,"OPORTUNO","MUITO BOM")))</f>
        <v>OPORTUNO</v>
      </c>
      <c r="M3679">
        <v>32</v>
      </c>
      <c r="N3679">
        <v>98.66</v>
      </c>
      <c r="O3679">
        <v>35.416666666666671</v>
      </c>
    </row>
    <row r="3680" spans="1:15" hidden="1" x14ac:dyDescent="0.25">
      <c r="A3680" s="11">
        <v>46118</v>
      </c>
      <c r="B3680" t="s">
        <v>59</v>
      </c>
      <c r="C3680" t="s">
        <v>23</v>
      </c>
      <c r="D3680">
        <v>29</v>
      </c>
      <c r="E3680">
        <v>25</v>
      </c>
      <c r="F3680">
        <v>17.36</v>
      </c>
      <c r="G3680">
        <v>0</v>
      </c>
      <c r="H3680">
        <v>0</v>
      </c>
      <c r="I3680" s="3">
        <f>E3680+G3680+H3680</f>
        <v>25</v>
      </c>
      <c r="J3680" s="3">
        <f>ROUND(MIN(IF(C3680="Técnico III",35,IF(C3680="Técnico II",28,IF(C3680="Técnico I",23,IF(C3680="JR",20,IF(C3680="Estágio",10,0))))),IF(C3680="Técnico III",SUMIFS($D:$D,$A:$A,$A3680,$B:$B,"&lt;&gt;Patrícia Karla de Sousa Araújo",$B:$B,"&lt;&gt;Lorena Dias de Araujo",$B:$B,"&lt;&gt;Lucas Luiz Romero")*(35/1083),IF(C3680="Técnico II",SUMIFS($D:$D,$A:$A,$A3680,$B:$B,"&lt;&gt;Patrícia Karla de Sousa Araújo",$B:$B,"&lt;&gt;Lorena Dias de Araujo",$B:$B,"&lt;&gt;Lucas Luiz Romero")*(28/1083),IF(C3680="Técnico I",SUMIFS($D:$D,$A:$A,$A3680,$B:$B,"&lt;&gt;Patrícia Karla de Sousa Araújo",$B:$B,"&lt;&gt;Lorena Dias de Araujo",$B:$B,"&lt;&gt;Lucas Luiz Romero")*(23/1083),IF(C3680="JR",SUMIFS($D:$D,$A:$A,$A3680,$B:$B,"&lt;&gt;Patrícia Karla de Sousa Araújo",$B:$B,"&lt;&gt;Lorena Dias de Araujo",$B:$B,"&lt;&gt;Lucas Luiz Romero")*(20/1083),IF(C3680="Estágio",SUMIFS($D:$D,$A:$A,$A3680,$B:$B,"&lt;&gt;Patrícia Karla de Sousa Araújo",$B:$B,"&lt;&gt;Lorena Dias de Araujo",$B:$B,"&lt;&gt;Lucas Luiz Romero")*(10/1083),0)))))),0)</f>
        <v>20</v>
      </c>
      <c r="K3680" s="3">
        <f>I3680-J3680</f>
        <v>5</v>
      </c>
      <c r="L3680" s="3" t="str">
        <f>IF(K3680&lt;-5,"CRÍTICO",IF(K3680&lt;0,"ATENÇÃO",IF(K3680&lt;=5,"OPORTUNO","MUITO BOM")))</f>
        <v>OPORTUNO</v>
      </c>
      <c r="M3680">
        <v>31</v>
      </c>
      <c r="N3680">
        <v>99.32</v>
      </c>
      <c r="O3680">
        <v>30.648330058939099</v>
      </c>
    </row>
    <row r="3681" spans="1:15" hidden="1" x14ac:dyDescent="0.25">
      <c r="A3681" s="11">
        <v>46118</v>
      </c>
      <c r="B3681" t="s">
        <v>33</v>
      </c>
      <c r="C3681" t="s">
        <v>32</v>
      </c>
      <c r="D3681">
        <v>49</v>
      </c>
      <c r="E3681">
        <v>41</v>
      </c>
      <c r="F3681">
        <v>12.04</v>
      </c>
      <c r="G3681">
        <v>0</v>
      </c>
      <c r="H3681">
        <v>0</v>
      </c>
      <c r="I3681" s="3">
        <f>E3681+G3681+H3681</f>
        <v>41</v>
      </c>
      <c r="J3681" s="3">
        <f>ROUND(MIN(IF(C3681="Técnico III",35,IF(C3681="Técnico II",28,IF(C3681="Técnico I",23,IF(C3681="JR",20,IF(C3681="Estágio",10,0))))),IF(C3681="Técnico III",SUMIFS($D:$D,$A:$A,$A3681,$B:$B,"&lt;&gt;Patrícia Karla de Sousa Araújo",$B:$B,"&lt;&gt;Lorena Dias de Araujo",$B:$B,"&lt;&gt;Lucas Luiz Romero")*(35/1083),IF(C3681="Técnico II",SUMIFS($D:$D,$A:$A,$A3681,$B:$B,"&lt;&gt;Patrícia Karla de Sousa Araújo",$B:$B,"&lt;&gt;Lorena Dias de Araujo",$B:$B,"&lt;&gt;Lucas Luiz Romero")*(28/1083),IF(C3681="Técnico I",SUMIFS($D:$D,$A:$A,$A3681,$B:$B,"&lt;&gt;Patrícia Karla de Sousa Araújo",$B:$B,"&lt;&gt;Lorena Dias de Araujo",$B:$B,"&lt;&gt;Lucas Luiz Romero")*(23/1083),IF(C3681="JR",SUMIFS($D:$D,$A:$A,$A3681,$B:$B,"&lt;&gt;Patrícia Karla de Sousa Araújo",$B:$B,"&lt;&gt;Lorena Dias de Araujo",$B:$B,"&lt;&gt;Lucas Luiz Romero")*(20/1083),IF(C3681="Estágio",SUMIFS($D:$D,$A:$A,$A3681,$B:$B,"&lt;&gt;Patrícia Karla de Sousa Araújo",$B:$B,"&lt;&gt;Lorena Dias de Araujo",$B:$B,"&lt;&gt;Lucas Luiz Romero")*(10/1083),0)))))),0)</f>
        <v>31</v>
      </c>
      <c r="K3681" s="3">
        <f>I3681-J3681</f>
        <v>10</v>
      </c>
      <c r="L3681" s="3" t="str">
        <f>IF(K3681&lt;-5,"CRÍTICO",IF(K3681&lt;0,"ATENÇÃO",IF(K3681&lt;=5,"OPORTUNO","MUITO BOM")))</f>
        <v>MUITO BOM</v>
      </c>
      <c r="M3681">
        <v>40</v>
      </c>
      <c r="N3681">
        <v>100</v>
      </c>
      <c r="O3681">
        <v>27.803738317757009</v>
      </c>
    </row>
    <row r="3682" spans="1:15" hidden="1" x14ac:dyDescent="0.25">
      <c r="A3682" s="11">
        <v>46118</v>
      </c>
      <c r="B3682" t="s">
        <v>15</v>
      </c>
      <c r="C3682" t="s">
        <v>16</v>
      </c>
      <c r="D3682">
        <v>25</v>
      </c>
      <c r="E3682">
        <v>21</v>
      </c>
      <c r="F3682">
        <v>12.25</v>
      </c>
      <c r="G3682">
        <v>0</v>
      </c>
      <c r="H3682">
        <v>0</v>
      </c>
      <c r="I3682" s="3">
        <f>E3682+G3682+H3682</f>
        <v>21</v>
      </c>
      <c r="J3682" s="3">
        <f>ROUND(MIN(IF(C3682="Técnico III",35,IF(C3682="Técnico II",28,IF(C3682="Técnico I",23,IF(C3682="JR",20,IF(C3682="Estágio",10,0))))),IF(C3682="Técnico III",SUMIFS($D:$D,$A:$A,$A3682,$B:$B,"&lt;&gt;Patrícia Karla de Sousa Araújo",$B:$B,"&lt;&gt;Lorena Dias de Araujo",$B:$B,"&lt;&gt;Lucas Luiz Romero")*(35/1083),IF(C3682="Técnico II",SUMIFS($D:$D,$A:$A,$A3682,$B:$B,"&lt;&gt;Patrícia Karla de Sousa Araújo",$B:$B,"&lt;&gt;Lorena Dias de Araujo",$B:$B,"&lt;&gt;Lucas Luiz Romero")*(28/1083),IF(C3682="Técnico I",SUMIFS($D:$D,$A:$A,$A3682,$B:$B,"&lt;&gt;Patrícia Karla de Sousa Araújo",$B:$B,"&lt;&gt;Lorena Dias de Araujo",$B:$B,"&lt;&gt;Lucas Luiz Romero")*(23/1083),IF(C3682="JR",SUMIFS($D:$D,$A:$A,$A3682,$B:$B,"&lt;&gt;Patrícia Karla de Sousa Araújo",$B:$B,"&lt;&gt;Lorena Dias de Araujo",$B:$B,"&lt;&gt;Lucas Luiz Romero")*(20/1083),IF(C3682="Estágio",SUMIFS($D:$D,$A:$A,$A3682,$B:$B,"&lt;&gt;Patrícia Karla de Sousa Araújo",$B:$B,"&lt;&gt;Lorena Dias de Araujo",$B:$B,"&lt;&gt;Lucas Luiz Romero")*(10/1083),0)))))),0)</f>
        <v>9</v>
      </c>
      <c r="K3682" s="3">
        <f>I3682-J3682</f>
        <v>12</v>
      </c>
      <c r="L3682" s="3" t="str">
        <f>IF(K3682&lt;-5,"CRÍTICO",IF(K3682&lt;0,"ATENÇÃO",IF(K3682&lt;=5,"OPORTUNO","MUITO BOM")))</f>
        <v>MUITO BOM</v>
      </c>
      <c r="M3682">
        <v>20</v>
      </c>
      <c r="N3682">
        <v>96.74</v>
      </c>
      <c r="O3682">
        <v>28.67647058823529</v>
      </c>
    </row>
    <row r="3683" spans="1:15" hidden="1" x14ac:dyDescent="0.25">
      <c r="A3683" s="11">
        <v>46118</v>
      </c>
      <c r="B3683" t="s">
        <v>49</v>
      </c>
      <c r="C3683" t="s">
        <v>48</v>
      </c>
      <c r="D3683">
        <v>42</v>
      </c>
      <c r="E3683">
        <v>36</v>
      </c>
      <c r="F3683">
        <v>15.1</v>
      </c>
      <c r="G3683">
        <v>0</v>
      </c>
      <c r="H3683">
        <v>0</v>
      </c>
      <c r="I3683" s="3">
        <f>E3683+G3683+H3683</f>
        <v>36</v>
      </c>
      <c r="J3683" s="3">
        <f>ROUND(MIN(IF(C3683="Técnico III",35,IF(C3683="Técnico II",28,IF(C3683="Técnico I",23,IF(C3683="JR",20,IF(C3683="Estágio",10,0))))),IF(C3683="Técnico III",SUMIFS($D:$D,$A:$A,$A3683,$B:$B,"&lt;&gt;Patrícia Karla de Sousa Araújo",$B:$B,"&lt;&gt;Lorena Dias de Araujo",$B:$B,"&lt;&gt;Lucas Luiz Romero")*(35/1083),IF(C3683="Técnico II",SUMIFS($D:$D,$A:$A,$A3683,$B:$B,"&lt;&gt;Patrícia Karla de Sousa Araújo",$B:$B,"&lt;&gt;Lorena Dias de Araujo",$B:$B,"&lt;&gt;Lucas Luiz Romero")*(28/1083),IF(C3683="Técnico I",SUMIFS($D:$D,$A:$A,$A3683,$B:$B,"&lt;&gt;Patrícia Karla de Sousa Araújo",$B:$B,"&lt;&gt;Lorena Dias de Araujo",$B:$B,"&lt;&gt;Lucas Luiz Romero")*(23/1083),IF(C3683="JR",SUMIFS($D:$D,$A:$A,$A3683,$B:$B,"&lt;&gt;Patrícia Karla de Sousa Araújo",$B:$B,"&lt;&gt;Lorena Dias de Araujo",$B:$B,"&lt;&gt;Lucas Luiz Romero")*(20/1083),IF(C3683="Estágio",SUMIFS($D:$D,$A:$A,$A3683,$B:$B,"&lt;&gt;Patrícia Karla de Sousa Araújo",$B:$B,"&lt;&gt;Lorena Dias de Araujo",$B:$B,"&lt;&gt;Lucas Luiz Romero")*(10/1083),0)))))),0)</f>
        <v>25</v>
      </c>
      <c r="K3683" s="3">
        <f>I3683-J3683</f>
        <v>11</v>
      </c>
      <c r="L3683" s="3" t="str">
        <f>IF(K3683&lt;-5,"CRÍTICO",IF(K3683&lt;0,"ATENÇÃO",IF(K3683&lt;=5,"OPORTUNO","MUITO BOM")))</f>
        <v>MUITO BOM</v>
      </c>
      <c r="M3683">
        <v>38</v>
      </c>
      <c r="N3683">
        <v>98.82</v>
      </c>
      <c r="O3683">
        <v>30.741410488245929</v>
      </c>
    </row>
    <row r="3684" spans="1:15" hidden="1" x14ac:dyDescent="0.25">
      <c r="A3684" s="11">
        <v>46118</v>
      </c>
      <c r="B3684" t="s">
        <v>50</v>
      </c>
      <c r="C3684" t="s">
        <v>48</v>
      </c>
      <c r="D3684">
        <v>33</v>
      </c>
      <c r="E3684">
        <v>31</v>
      </c>
      <c r="F3684">
        <v>19.059999999999999</v>
      </c>
      <c r="G3684">
        <v>0</v>
      </c>
      <c r="H3684">
        <v>0</v>
      </c>
      <c r="I3684" s="3">
        <f>E3684+G3684+H3684</f>
        <v>31</v>
      </c>
      <c r="J3684" s="3">
        <f>ROUND(MIN(IF(C3684="Técnico III",35,IF(C3684="Técnico II",28,IF(C3684="Técnico I",23,IF(C3684="JR",20,IF(C3684="Estágio",10,0))))),IF(C3684="Técnico III",SUMIFS($D:$D,$A:$A,$A3684,$B:$B,"&lt;&gt;Patrícia Karla de Sousa Araújo",$B:$B,"&lt;&gt;Lorena Dias de Araujo",$B:$B,"&lt;&gt;Lucas Luiz Romero")*(35/1083),IF(C3684="Técnico II",SUMIFS($D:$D,$A:$A,$A3684,$B:$B,"&lt;&gt;Patrícia Karla de Sousa Araújo",$B:$B,"&lt;&gt;Lorena Dias de Araujo",$B:$B,"&lt;&gt;Lucas Luiz Romero")*(28/1083),IF(C3684="Técnico I",SUMIFS($D:$D,$A:$A,$A3684,$B:$B,"&lt;&gt;Patrícia Karla de Sousa Araújo",$B:$B,"&lt;&gt;Lorena Dias de Araujo",$B:$B,"&lt;&gt;Lucas Luiz Romero")*(23/1083),IF(C3684="JR",SUMIFS($D:$D,$A:$A,$A3684,$B:$B,"&lt;&gt;Patrícia Karla de Sousa Araújo",$B:$B,"&lt;&gt;Lorena Dias de Araujo",$B:$B,"&lt;&gt;Lucas Luiz Romero")*(20/1083),IF(C3684="Estágio",SUMIFS($D:$D,$A:$A,$A3684,$B:$B,"&lt;&gt;Patrícia Karla de Sousa Araújo",$B:$B,"&lt;&gt;Lorena Dias de Araujo",$B:$B,"&lt;&gt;Lucas Luiz Romero")*(10/1083),0)))))),0)</f>
        <v>25</v>
      </c>
      <c r="K3684" s="3">
        <f>I3684-J3684</f>
        <v>6</v>
      </c>
      <c r="L3684" s="3" t="str">
        <f>IF(K3684&lt;-5,"CRÍTICO",IF(K3684&lt;0,"ATENÇÃO",IF(K3684&lt;=5,"OPORTUNO","MUITO BOM")))</f>
        <v>MUITO BOM</v>
      </c>
      <c r="M3684">
        <v>28</v>
      </c>
      <c r="N3684">
        <v>98.2</v>
      </c>
      <c r="O3684">
        <v>27.170868347338931</v>
      </c>
    </row>
    <row r="3685" spans="1:15" hidden="1" x14ac:dyDescent="0.25">
      <c r="A3685" s="11">
        <v>46118</v>
      </c>
      <c r="B3685" t="s">
        <v>17</v>
      </c>
      <c r="C3685" t="s">
        <v>16</v>
      </c>
      <c r="D3685">
        <v>12</v>
      </c>
      <c r="E3685">
        <v>11</v>
      </c>
      <c r="F3685">
        <v>22.04</v>
      </c>
      <c r="G3685">
        <v>0</v>
      </c>
      <c r="H3685">
        <v>0</v>
      </c>
      <c r="I3685" s="3">
        <f>E3685+G3685+H3685</f>
        <v>11</v>
      </c>
      <c r="J3685" s="3">
        <f>ROUND(MIN(IF(C3685="Técnico III",35,IF(C3685="Técnico II",28,IF(C3685="Técnico I",23,IF(C3685="JR",20,IF(C3685="Estágio",10,0))))),IF(C3685="Técnico III",SUMIFS($D:$D,$A:$A,$A3685,$B:$B,"&lt;&gt;Patrícia Karla de Sousa Araújo",$B:$B,"&lt;&gt;Lorena Dias de Araujo",$B:$B,"&lt;&gt;Lucas Luiz Romero")*(35/1083),IF(C3685="Técnico II",SUMIFS($D:$D,$A:$A,$A3685,$B:$B,"&lt;&gt;Patrícia Karla de Sousa Araújo",$B:$B,"&lt;&gt;Lorena Dias de Araujo",$B:$B,"&lt;&gt;Lucas Luiz Romero")*(28/1083),IF(C3685="Técnico I",SUMIFS($D:$D,$A:$A,$A3685,$B:$B,"&lt;&gt;Patrícia Karla de Sousa Araújo",$B:$B,"&lt;&gt;Lorena Dias de Araujo",$B:$B,"&lt;&gt;Lucas Luiz Romero")*(23/1083),IF(C3685="JR",SUMIFS($D:$D,$A:$A,$A3685,$B:$B,"&lt;&gt;Patrícia Karla de Sousa Araújo",$B:$B,"&lt;&gt;Lorena Dias de Araujo",$B:$B,"&lt;&gt;Lucas Luiz Romero")*(20/1083),IF(C3685="Estágio",SUMIFS($D:$D,$A:$A,$A3685,$B:$B,"&lt;&gt;Patrícia Karla de Sousa Araújo",$B:$B,"&lt;&gt;Lorena Dias de Araujo",$B:$B,"&lt;&gt;Lucas Luiz Romero")*(10/1083),0)))))),0)</f>
        <v>9</v>
      </c>
      <c r="K3685" s="3">
        <f>I3685-J3685</f>
        <v>2</v>
      </c>
      <c r="L3685" s="3" t="str">
        <f>IF(K3685&lt;-5,"CRÍTICO",IF(K3685&lt;0,"ATENÇÃO",IF(K3685&lt;=5,"OPORTUNO","MUITO BOM")))</f>
        <v>OPORTUNO</v>
      </c>
      <c r="M3685">
        <v>11</v>
      </c>
      <c r="N3685">
        <v>100</v>
      </c>
      <c r="O3685">
        <v>23.134328358208951</v>
      </c>
    </row>
    <row r="3686" spans="1:15" hidden="1" x14ac:dyDescent="0.25">
      <c r="A3686" s="11">
        <v>46118</v>
      </c>
      <c r="B3686" t="s">
        <v>60</v>
      </c>
      <c r="C3686" t="s">
        <v>23</v>
      </c>
      <c r="D3686">
        <v>34</v>
      </c>
      <c r="E3686">
        <v>32</v>
      </c>
      <c r="F3686">
        <v>14.14</v>
      </c>
      <c r="G3686">
        <v>0</v>
      </c>
      <c r="H3686">
        <v>0</v>
      </c>
      <c r="I3686" s="3">
        <f>E3686+G3686+H3686</f>
        <v>32</v>
      </c>
      <c r="J3686" s="3">
        <f>ROUND(MIN(IF(C3686="Técnico III",35,IF(C3686="Técnico II",28,IF(C3686="Técnico I",23,IF(C3686="JR",20,IF(C3686="Estágio",10,0))))),IF(C3686="Técnico III",SUMIFS($D:$D,$A:$A,$A3686,$B:$B,"&lt;&gt;Patrícia Karla de Sousa Araújo",$B:$B,"&lt;&gt;Lorena Dias de Araujo",$B:$B,"&lt;&gt;Lucas Luiz Romero")*(35/1083),IF(C3686="Técnico II",SUMIFS($D:$D,$A:$A,$A3686,$B:$B,"&lt;&gt;Patrícia Karla de Sousa Araújo",$B:$B,"&lt;&gt;Lorena Dias de Araujo",$B:$B,"&lt;&gt;Lucas Luiz Romero")*(28/1083),IF(C3686="Técnico I",SUMIFS($D:$D,$A:$A,$A3686,$B:$B,"&lt;&gt;Patrícia Karla de Sousa Araújo",$B:$B,"&lt;&gt;Lorena Dias de Araujo",$B:$B,"&lt;&gt;Lucas Luiz Romero")*(23/1083),IF(C3686="JR",SUMIFS($D:$D,$A:$A,$A3686,$B:$B,"&lt;&gt;Patrícia Karla de Sousa Araújo",$B:$B,"&lt;&gt;Lorena Dias de Araujo",$B:$B,"&lt;&gt;Lucas Luiz Romero")*(20/1083),IF(C3686="Estágio",SUMIFS($D:$D,$A:$A,$A3686,$B:$B,"&lt;&gt;Patrícia Karla de Sousa Araújo",$B:$B,"&lt;&gt;Lorena Dias de Araujo",$B:$B,"&lt;&gt;Lucas Luiz Romero")*(10/1083),0)))))),0)</f>
        <v>20</v>
      </c>
      <c r="K3686" s="3">
        <f>I3686-J3686</f>
        <v>12</v>
      </c>
      <c r="L3686" s="3" t="str">
        <f>IF(K3686&lt;-5,"CRÍTICO",IF(K3686&lt;0,"ATENÇÃO",IF(K3686&lt;=5,"OPORTUNO","MUITO BOM")))</f>
        <v>MUITO BOM</v>
      </c>
      <c r="M3686">
        <v>32</v>
      </c>
      <c r="N3686">
        <v>96.3</v>
      </c>
      <c r="O3686">
        <v>32.219570405727922</v>
      </c>
    </row>
    <row r="3687" spans="1:15" hidden="1" x14ac:dyDescent="0.25">
      <c r="A3687" s="11">
        <v>46118</v>
      </c>
      <c r="B3687" t="s">
        <v>34</v>
      </c>
      <c r="C3687" t="s">
        <v>32</v>
      </c>
      <c r="D3687">
        <v>37</v>
      </c>
      <c r="E3687">
        <v>34</v>
      </c>
      <c r="F3687">
        <v>12.19</v>
      </c>
      <c r="G3687">
        <v>0</v>
      </c>
      <c r="H3687">
        <v>0</v>
      </c>
      <c r="I3687" s="3">
        <f>E3687+G3687+H3687</f>
        <v>34</v>
      </c>
      <c r="J3687" s="3">
        <f>ROUND(MIN(IF(C3687="Técnico III",35,IF(C3687="Técnico II",28,IF(C3687="Técnico I",23,IF(C3687="JR",20,IF(C3687="Estágio",10,0))))),IF(C3687="Técnico III",SUMIFS($D:$D,$A:$A,$A3687,$B:$B,"&lt;&gt;Patrícia Karla de Sousa Araújo",$B:$B,"&lt;&gt;Lorena Dias de Araujo",$B:$B,"&lt;&gt;Lucas Luiz Romero")*(35/1083),IF(C3687="Técnico II",SUMIFS($D:$D,$A:$A,$A3687,$B:$B,"&lt;&gt;Patrícia Karla de Sousa Araújo",$B:$B,"&lt;&gt;Lorena Dias de Araujo",$B:$B,"&lt;&gt;Lucas Luiz Romero")*(28/1083),IF(C3687="Técnico I",SUMIFS($D:$D,$A:$A,$A3687,$B:$B,"&lt;&gt;Patrícia Karla de Sousa Araújo",$B:$B,"&lt;&gt;Lorena Dias de Araujo",$B:$B,"&lt;&gt;Lucas Luiz Romero")*(23/1083),IF(C3687="JR",SUMIFS($D:$D,$A:$A,$A3687,$B:$B,"&lt;&gt;Patrícia Karla de Sousa Araújo",$B:$B,"&lt;&gt;Lorena Dias de Araujo",$B:$B,"&lt;&gt;Lucas Luiz Romero")*(20/1083),IF(C3687="Estágio",SUMIFS($D:$D,$A:$A,$A3687,$B:$B,"&lt;&gt;Patrícia Karla de Sousa Araújo",$B:$B,"&lt;&gt;Lorena Dias de Araujo",$B:$B,"&lt;&gt;Lucas Luiz Romero")*(10/1083),0)))))),0)</f>
        <v>31</v>
      </c>
      <c r="K3687" s="3">
        <f>I3687-J3687</f>
        <v>3</v>
      </c>
      <c r="L3687" s="3" t="str">
        <f>IF(K3687&lt;-5,"CRÍTICO",IF(K3687&lt;0,"ATENÇÃO",IF(K3687&lt;=5,"OPORTUNO","MUITO BOM")))</f>
        <v>OPORTUNO</v>
      </c>
      <c r="M3687">
        <v>35</v>
      </c>
      <c r="N3687">
        <v>93.75</v>
      </c>
      <c r="O3687">
        <v>26.819923371647509</v>
      </c>
    </row>
    <row r="3688" spans="1:15" hidden="1" x14ac:dyDescent="0.25">
      <c r="A3688" s="11">
        <v>46118</v>
      </c>
      <c r="B3688" t="s">
        <v>51</v>
      </c>
      <c r="C3688" t="s">
        <v>48</v>
      </c>
      <c r="D3688">
        <v>33</v>
      </c>
      <c r="E3688">
        <v>29</v>
      </c>
      <c r="F3688">
        <v>13.56</v>
      </c>
      <c r="G3688">
        <v>0</v>
      </c>
      <c r="H3688">
        <v>0</v>
      </c>
      <c r="I3688" s="3">
        <v>0</v>
      </c>
      <c r="J3688" s="3">
        <v>0</v>
      </c>
      <c r="K3688" s="3">
        <v>0</v>
      </c>
      <c r="L3688" s="3" t="str">
        <f>IF(K3688&lt;-5,"CRÍTICO",IF(K3688&lt;0,"ATENÇÃO",IF(K3688&lt;=5,"OPORTUNO","MUITO BOM")))</f>
        <v>OPORTUNO</v>
      </c>
      <c r="M3688">
        <v>28</v>
      </c>
      <c r="N3688">
        <v>97.86</v>
      </c>
      <c r="O3688">
        <v>31.018518518518519</v>
      </c>
    </row>
    <row r="3689" spans="1:15" hidden="1" x14ac:dyDescent="0.25">
      <c r="A3689" s="11">
        <v>46118</v>
      </c>
      <c r="B3689" t="s">
        <v>61</v>
      </c>
      <c r="C3689" t="s">
        <v>23</v>
      </c>
      <c r="D3689">
        <v>23</v>
      </c>
      <c r="E3689">
        <v>22</v>
      </c>
      <c r="F3689">
        <v>19.05</v>
      </c>
      <c r="G3689">
        <v>0</v>
      </c>
      <c r="H3689">
        <v>0</v>
      </c>
      <c r="I3689" s="3">
        <f>E3689+G3689+H3689</f>
        <v>22</v>
      </c>
      <c r="J3689" s="3">
        <f>ROUND(MIN(IF(C3689="Técnico III",35,IF(C3689="Técnico II",28,IF(C3689="Técnico I",23,IF(C3689="JR",20,IF(C3689="Estágio",10,0))))),IF(C3689="Técnico III",SUMIFS($D:$D,$A:$A,$A3689,$B:$B,"&lt;&gt;Patrícia Karla de Sousa Araújo",$B:$B,"&lt;&gt;Lorena Dias de Araujo",$B:$B,"&lt;&gt;Lucas Luiz Romero")*(35/1083),IF(C3689="Técnico II",SUMIFS($D:$D,$A:$A,$A3689,$B:$B,"&lt;&gt;Patrícia Karla de Sousa Araújo",$B:$B,"&lt;&gt;Lorena Dias de Araujo",$B:$B,"&lt;&gt;Lucas Luiz Romero")*(28/1083),IF(C3689="Técnico I",SUMIFS($D:$D,$A:$A,$A3689,$B:$B,"&lt;&gt;Patrícia Karla de Sousa Araújo",$B:$B,"&lt;&gt;Lorena Dias de Araujo",$B:$B,"&lt;&gt;Lucas Luiz Romero")*(23/1083),IF(C3689="JR",SUMIFS($D:$D,$A:$A,$A3689,$B:$B,"&lt;&gt;Patrícia Karla de Sousa Araújo",$B:$B,"&lt;&gt;Lorena Dias de Araujo",$B:$B,"&lt;&gt;Lucas Luiz Romero")*(20/1083),IF(C3689="Estágio",SUMIFS($D:$D,$A:$A,$A3689,$B:$B,"&lt;&gt;Patrícia Karla de Sousa Araújo",$B:$B,"&lt;&gt;Lorena Dias de Araujo",$B:$B,"&lt;&gt;Lucas Luiz Romero")*(10/1083),0)))))),0)</f>
        <v>20</v>
      </c>
      <c r="K3689" s="3">
        <f>I3689-J3689</f>
        <v>2</v>
      </c>
      <c r="L3689" s="3" t="str">
        <f>IF(K3689&lt;-5,"CRÍTICO",IF(K3689&lt;0,"ATENÇÃO",IF(K3689&lt;=5,"OPORTUNO","MUITO BOM")))</f>
        <v>OPORTUNO</v>
      </c>
      <c r="M3689">
        <v>12</v>
      </c>
      <c r="N3689">
        <v>100</v>
      </c>
      <c r="O3689">
        <v>36.594202898550733</v>
      </c>
    </row>
    <row r="3690" spans="1:15" hidden="1" x14ac:dyDescent="0.25">
      <c r="A3690" s="11">
        <v>46118</v>
      </c>
      <c r="B3690" t="s">
        <v>35</v>
      </c>
      <c r="C3690" t="s">
        <v>32</v>
      </c>
      <c r="D3690">
        <v>27</v>
      </c>
      <c r="E3690">
        <v>27</v>
      </c>
      <c r="F3690">
        <v>20.3</v>
      </c>
      <c r="G3690">
        <v>0</v>
      </c>
      <c r="H3690">
        <v>0</v>
      </c>
      <c r="I3690" s="3">
        <v>0</v>
      </c>
      <c r="J3690" s="3">
        <v>0</v>
      </c>
      <c r="K3690" s="3">
        <v>0</v>
      </c>
      <c r="L3690" s="3" t="str">
        <f>IF(K3690&lt;-5,"CRÍTICO",IF(K3690&lt;0,"ATENÇÃO",IF(K3690&lt;=5,"OPORTUNO","MUITO BOM")))</f>
        <v>OPORTUNO</v>
      </c>
      <c r="M3690">
        <v>35</v>
      </c>
      <c r="N3690">
        <v>100</v>
      </c>
      <c r="O3690">
        <v>38.653846153846153</v>
      </c>
    </row>
    <row r="3691" spans="1:15" hidden="1" x14ac:dyDescent="0.25">
      <c r="A3691" s="11">
        <v>46118</v>
      </c>
      <c r="B3691" t="s">
        <v>18</v>
      </c>
      <c r="C3691" t="s">
        <v>16</v>
      </c>
      <c r="D3691">
        <v>8</v>
      </c>
      <c r="E3691">
        <v>8</v>
      </c>
      <c r="F3691">
        <v>37.14</v>
      </c>
      <c r="G3691">
        <v>0</v>
      </c>
      <c r="H3691">
        <v>0</v>
      </c>
      <c r="I3691" s="3">
        <f>E3691+G3691+H3691</f>
        <v>8</v>
      </c>
      <c r="J3691" s="3">
        <f>ROUND(MIN(IF(C3691="Técnico III",35,IF(C3691="Técnico II",28,IF(C3691="Técnico I",23,IF(C3691="JR",20,IF(C3691="Estágio",10,0))))),IF(C3691="Técnico III",SUMIFS($D:$D,$A:$A,$A3691,$B:$B,"&lt;&gt;Patrícia Karla de Sousa Araújo",$B:$B,"&lt;&gt;Lorena Dias de Araujo",$B:$B,"&lt;&gt;Lucas Luiz Romero")*(35/1083),IF(C3691="Técnico II",SUMIFS($D:$D,$A:$A,$A3691,$B:$B,"&lt;&gt;Patrícia Karla de Sousa Araújo",$B:$B,"&lt;&gt;Lorena Dias de Araujo",$B:$B,"&lt;&gt;Lucas Luiz Romero")*(28/1083),IF(C3691="Técnico I",SUMIFS($D:$D,$A:$A,$A3691,$B:$B,"&lt;&gt;Patrícia Karla de Sousa Araújo",$B:$B,"&lt;&gt;Lorena Dias de Araujo",$B:$B,"&lt;&gt;Lucas Luiz Romero")*(23/1083),IF(C3691="JR",SUMIFS($D:$D,$A:$A,$A3691,$B:$B,"&lt;&gt;Patrícia Karla de Sousa Araújo",$B:$B,"&lt;&gt;Lorena Dias de Araujo",$B:$B,"&lt;&gt;Lucas Luiz Romero")*(20/1083),IF(C3691="Estágio",SUMIFS($D:$D,$A:$A,$A3691,$B:$B,"&lt;&gt;Patrícia Karla de Sousa Araújo",$B:$B,"&lt;&gt;Lorena Dias de Araujo",$B:$B,"&lt;&gt;Lucas Luiz Romero")*(10/1083),0)))))),0)</f>
        <v>9</v>
      </c>
      <c r="K3691" s="3">
        <f>I3691-J3691</f>
        <v>-1</v>
      </c>
      <c r="L3691" s="3" t="str">
        <f>IF(K3691&lt;-5,"CRÍTICO",IF(K3691&lt;0,"ATENÇÃO",IF(K3691&lt;=5,"OPORTUNO","MUITO BOM")))</f>
        <v>ATENÇÃO</v>
      </c>
      <c r="M3691">
        <v>8</v>
      </c>
      <c r="N3691">
        <v>100</v>
      </c>
      <c r="O3691">
        <v>27.368421052631579</v>
      </c>
    </row>
    <row r="3692" spans="1:15" hidden="1" x14ac:dyDescent="0.25">
      <c r="A3692" s="11">
        <v>46118</v>
      </c>
      <c r="B3692" t="s">
        <v>52</v>
      </c>
      <c r="C3692" t="s">
        <v>48</v>
      </c>
      <c r="D3692">
        <v>35</v>
      </c>
      <c r="E3692">
        <v>33</v>
      </c>
      <c r="F3692">
        <v>14.19</v>
      </c>
      <c r="G3692">
        <v>0</v>
      </c>
      <c r="H3692">
        <v>0</v>
      </c>
      <c r="I3692" s="3">
        <f>E3692+G3692+H3692</f>
        <v>33</v>
      </c>
      <c r="J3692" s="3">
        <f>ROUND(MIN(IF(C3692="Técnico III",35,IF(C3692="Técnico II",28,IF(C3692="Técnico I",23,IF(C3692="JR",20,IF(C3692="Estágio",10,0))))),IF(C3692="Técnico III",SUMIFS($D:$D,$A:$A,$A3692,$B:$B,"&lt;&gt;Patrícia Karla de Sousa Araújo",$B:$B,"&lt;&gt;Lorena Dias de Araujo",$B:$B,"&lt;&gt;Lucas Luiz Romero")*(35/1083),IF(C3692="Técnico II",SUMIFS($D:$D,$A:$A,$A3692,$B:$B,"&lt;&gt;Patrícia Karla de Sousa Araújo",$B:$B,"&lt;&gt;Lorena Dias de Araujo",$B:$B,"&lt;&gt;Lucas Luiz Romero")*(28/1083),IF(C3692="Técnico I",SUMIFS($D:$D,$A:$A,$A3692,$B:$B,"&lt;&gt;Patrícia Karla de Sousa Araújo",$B:$B,"&lt;&gt;Lorena Dias de Araujo",$B:$B,"&lt;&gt;Lucas Luiz Romero")*(23/1083),IF(C3692="JR",SUMIFS($D:$D,$A:$A,$A3692,$B:$B,"&lt;&gt;Patrícia Karla de Sousa Araújo",$B:$B,"&lt;&gt;Lorena Dias de Araujo",$B:$B,"&lt;&gt;Lucas Luiz Romero")*(20/1083),IF(C3692="Estágio",SUMIFS($D:$D,$A:$A,$A3692,$B:$B,"&lt;&gt;Patrícia Karla de Sousa Araújo",$B:$B,"&lt;&gt;Lorena Dias de Araujo",$B:$B,"&lt;&gt;Lucas Luiz Romero")*(10/1083),0)))))),0)</f>
        <v>25</v>
      </c>
      <c r="K3692" s="3">
        <f>I3692-J3692</f>
        <v>8</v>
      </c>
      <c r="L3692" s="3" t="str">
        <f>IF(K3692&lt;-5,"CRÍTICO",IF(K3692&lt;0,"ATENÇÃO",IF(K3692&lt;=5,"OPORTUNO","MUITO BOM")))</f>
        <v>MUITO BOM</v>
      </c>
      <c r="M3692">
        <v>31</v>
      </c>
      <c r="N3692">
        <v>97.83</v>
      </c>
      <c r="O3692">
        <v>28.35164835164835</v>
      </c>
    </row>
    <row r="3693" spans="1:15" hidden="1" x14ac:dyDescent="0.25">
      <c r="A3693" s="11">
        <v>46118</v>
      </c>
      <c r="B3693" t="s">
        <v>36</v>
      </c>
      <c r="C3693" t="s">
        <v>32</v>
      </c>
      <c r="D3693">
        <v>29</v>
      </c>
      <c r="E3693">
        <v>28</v>
      </c>
      <c r="F3693">
        <v>17.03</v>
      </c>
      <c r="G3693">
        <v>0</v>
      </c>
      <c r="H3693">
        <v>0</v>
      </c>
      <c r="I3693" s="3">
        <f>E3693+G3693+H3693</f>
        <v>28</v>
      </c>
      <c r="J3693" s="3">
        <f>ROUND(MIN(IF(C3693="Técnico III",35,IF(C3693="Técnico II",28,IF(C3693="Técnico I",23,IF(C3693="JR",20,IF(C3693="Estágio",10,0))))),IF(C3693="Técnico III",SUMIFS($D:$D,$A:$A,$A3693,$B:$B,"&lt;&gt;Patrícia Karla de Sousa Araújo",$B:$B,"&lt;&gt;Lorena Dias de Araujo",$B:$B,"&lt;&gt;Lucas Luiz Romero")*(35/1083),IF(C3693="Técnico II",SUMIFS($D:$D,$A:$A,$A3693,$B:$B,"&lt;&gt;Patrícia Karla de Sousa Araújo",$B:$B,"&lt;&gt;Lorena Dias de Araujo",$B:$B,"&lt;&gt;Lucas Luiz Romero")*(28/1083),IF(C3693="Técnico I",SUMIFS($D:$D,$A:$A,$A3693,$B:$B,"&lt;&gt;Patrícia Karla de Sousa Araújo",$B:$B,"&lt;&gt;Lorena Dias de Araujo",$B:$B,"&lt;&gt;Lucas Luiz Romero")*(23/1083),IF(C3693="JR",SUMIFS($D:$D,$A:$A,$A3693,$B:$B,"&lt;&gt;Patrícia Karla de Sousa Araújo",$B:$B,"&lt;&gt;Lorena Dias de Araujo",$B:$B,"&lt;&gt;Lucas Luiz Romero")*(20/1083),IF(C3693="Estágio",SUMIFS($D:$D,$A:$A,$A3693,$B:$B,"&lt;&gt;Patrícia Karla de Sousa Araújo",$B:$B,"&lt;&gt;Lorena Dias de Araujo",$B:$B,"&lt;&gt;Lucas Luiz Romero")*(10/1083),0)))))),0)</f>
        <v>31</v>
      </c>
      <c r="K3693" s="3">
        <f>I3693-J3693</f>
        <v>-3</v>
      </c>
      <c r="L3693" s="3" t="str">
        <f>IF(K3693&lt;-5,"CRÍTICO",IF(K3693&lt;0,"ATENÇÃO",IF(K3693&lt;=5,"OPORTUNO","MUITO BOM")))</f>
        <v>ATENÇÃO</v>
      </c>
      <c r="M3693">
        <v>29</v>
      </c>
      <c r="N3693">
        <v>99.26</v>
      </c>
      <c r="O3693">
        <v>29.766536964980549</v>
      </c>
    </row>
    <row r="3694" spans="1:15" hidden="1" x14ac:dyDescent="0.25">
      <c r="A3694" s="11">
        <v>46118</v>
      </c>
      <c r="B3694" t="s">
        <v>53</v>
      </c>
      <c r="C3694" t="s">
        <v>48</v>
      </c>
      <c r="D3694">
        <v>34</v>
      </c>
      <c r="E3694">
        <v>30</v>
      </c>
      <c r="F3694">
        <v>20.59</v>
      </c>
      <c r="G3694">
        <v>0</v>
      </c>
      <c r="H3694">
        <v>0</v>
      </c>
      <c r="I3694" s="3">
        <f>E3694+G3694+H3694</f>
        <v>30</v>
      </c>
      <c r="J3694" s="3">
        <f>ROUND(MIN(IF(C3694="Técnico III",35,IF(C3694="Técnico II",28,IF(C3694="Técnico I",23,IF(C3694="JR",20,IF(C3694="Estágio",10,0))))),IF(C3694="Técnico III",SUMIFS($D:$D,$A:$A,$A3694,$B:$B,"&lt;&gt;Patrícia Karla de Sousa Araújo",$B:$B,"&lt;&gt;Lorena Dias de Araujo",$B:$B,"&lt;&gt;Lucas Luiz Romero")*(35/1083),IF(C3694="Técnico II",SUMIFS($D:$D,$A:$A,$A3694,$B:$B,"&lt;&gt;Patrícia Karla de Sousa Araújo",$B:$B,"&lt;&gt;Lorena Dias de Araujo",$B:$B,"&lt;&gt;Lucas Luiz Romero")*(28/1083),IF(C3694="Técnico I",SUMIFS($D:$D,$A:$A,$A3694,$B:$B,"&lt;&gt;Patrícia Karla de Sousa Araújo",$B:$B,"&lt;&gt;Lorena Dias de Araujo",$B:$B,"&lt;&gt;Lucas Luiz Romero")*(23/1083),IF(C3694="JR",SUMIFS($D:$D,$A:$A,$A3694,$B:$B,"&lt;&gt;Patrícia Karla de Sousa Araújo",$B:$B,"&lt;&gt;Lorena Dias de Araujo",$B:$B,"&lt;&gt;Lucas Luiz Romero")*(20/1083),IF(C3694="Estágio",SUMIFS($D:$D,$A:$A,$A3694,$B:$B,"&lt;&gt;Patrícia Karla de Sousa Araújo",$B:$B,"&lt;&gt;Lorena Dias de Araujo",$B:$B,"&lt;&gt;Lucas Luiz Romero")*(10/1083),0)))))),0)</f>
        <v>25</v>
      </c>
      <c r="K3694" s="3">
        <f>I3694-J3694</f>
        <v>5</v>
      </c>
      <c r="L3694" s="3" t="str">
        <f>IF(K3694&lt;-5,"CRÍTICO",IF(K3694&lt;0,"ATENÇÃO",IF(K3694&lt;=5,"OPORTUNO","MUITO BOM")))</f>
        <v>OPORTUNO</v>
      </c>
      <c r="M3694">
        <v>29</v>
      </c>
      <c r="N3694">
        <v>99.19</v>
      </c>
      <c r="O3694">
        <v>29.462365591397852</v>
      </c>
    </row>
    <row r="3695" spans="1:15" hidden="1" x14ac:dyDescent="0.25">
      <c r="A3695" s="7">
        <v>46161</v>
      </c>
      <c r="B3695" s="8" t="s">
        <v>37</v>
      </c>
      <c r="C3695" s="14" t="s">
        <v>32</v>
      </c>
      <c r="D3695" s="3">
        <v>43</v>
      </c>
      <c r="E3695" s="3">
        <v>39</v>
      </c>
      <c r="F3695" s="3">
        <v>13.55</v>
      </c>
      <c r="G3695" s="3">
        <v>3</v>
      </c>
      <c r="H3695" s="3">
        <v>0</v>
      </c>
      <c r="I3695" s="3">
        <f>E3695+G3695+H3695</f>
        <v>42</v>
      </c>
      <c r="J3695" s="3">
        <f>ROUND(MIN(IF(C3695="Técnico III",35,IF(C3695="Técnico II",28,IF(C3695="Técnico I",23,IF(C3695="JR",20,IF(C3695="Estágio",10,0))))),IF(C3695="Técnico III",SUMIFS($D:$D,$A:$A,$A3695,$B:$B,"&lt;&gt;Patrícia Karla de Sousa Araújo",$B:$B,"&lt;&gt;Lorena Dias de Araujo",$B:$B,"&lt;&gt;Lucas Luiz Romero")*(35/1083),IF(C3695="Técnico II",SUMIFS($D:$D,$A:$A,$A3695,$B:$B,"&lt;&gt;Patrícia Karla de Sousa Araújo",$B:$B,"&lt;&gt;Lorena Dias de Araujo",$B:$B,"&lt;&gt;Lucas Luiz Romero")*(28/1083),IF(C3695="Técnico I",SUMIFS($D:$D,$A:$A,$A3695,$B:$B,"&lt;&gt;Patrícia Karla de Sousa Araújo",$B:$B,"&lt;&gt;Lorena Dias de Araujo",$B:$B,"&lt;&gt;Lucas Luiz Romero")*(23/1083),IF(C3695="JR",SUMIFS($D:$D,$A:$A,$A3695,$B:$B,"&lt;&gt;Patrícia Karla de Sousa Araújo",$B:$B,"&lt;&gt;Lorena Dias de Araujo",$B:$B,"&lt;&gt;Lucas Luiz Romero")*(20/1083),IF(C3695="Estágio",SUMIFS($D:$D,$A:$A,$A3695,$B:$B,"&lt;&gt;Patrícia Karla de Sousa Araújo",$B:$B,"&lt;&gt;Lorena Dias de Araujo",$B:$B,"&lt;&gt;Lucas Luiz Romero")*(10/1083),0)))))),0)</f>
        <v>29</v>
      </c>
      <c r="K3695" s="3">
        <f>I3695-J3695</f>
        <v>13</v>
      </c>
      <c r="L3695" s="3" t="str">
        <f>IF(K3695&lt;-5,"CRÍTICO",IF(K3695&lt;0,"ATENÇÃO",IF(K3695&lt;=5,"OPORTUNO","MUITO BOM")))</f>
        <v>MUITO BOM</v>
      </c>
      <c r="M3695" s="3">
        <v>40</v>
      </c>
      <c r="N3695" s="3">
        <v>99</v>
      </c>
      <c r="O3695" s="3">
        <v>22.27414330218069</v>
      </c>
    </row>
    <row r="3696" spans="1:15" hidden="1" x14ac:dyDescent="0.25">
      <c r="A3696" s="11">
        <v>46118</v>
      </c>
      <c r="B3696" t="s">
        <v>54</v>
      </c>
      <c r="C3696" t="s">
        <v>48</v>
      </c>
      <c r="D3696">
        <v>0</v>
      </c>
      <c r="E3696">
        <v>0</v>
      </c>
      <c r="F3696">
        <v>0</v>
      </c>
      <c r="G3696">
        <v>0</v>
      </c>
      <c r="H3696">
        <v>0</v>
      </c>
      <c r="I3696" s="3">
        <v>0</v>
      </c>
      <c r="J3696" s="3">
        <v>0</v>
      </c>
      <c r="K3696" s="3">
        <v>0</v>
      </c>
      <c r="L3696" s="3" t="str">
        <f>IF(K3696&lt;-5,"CRÍTICO",IF(K3696&lt;0,"ATENÇÃO",IF(K3696&lt;=5,"OPORTUNO","MUITO BOM")))</f>
        <v>OPORTUNO</v>
      </c>
      <c r="M3696">
        <v>0</v>
      </c>
      <c r="N3696">
        <v>100</v>
      </c>
      <c r="O3696">
        <v>28.921568627450981</v>
      </c>
    </row>
    <row r="3697" spans="1:15" hidden="1" x14ac:dyDescent="0.25">
      <c r="A3697" s="11">
        <v>46118</v>
      </c>
      <c r="B3697" t="s">
        <v>37</v>
      </c>
      <c r="C3697" t="s">
        <v>32</v>
      </c>
      <c r="D3697">
        <v>46</v>
      </c>
      <c r="E3697">
        <v>46</v>
      </c>
      <c r="F3697">
        <v>13.59</v>
      </c>
      <c r="G3697">
        <v>0</v>
      </c>
      <c r="H3697">
        <v>0</v>
      </c>
      <c r="I3697" s="3">
        <f>E3697+G3697+H3697</f>
        <v>46</v>
      </c>
      <c r="J3697" s="3">
        <f>ROUND(MIN(IF(C3697="Técnico III",35,IF(C3697="Técnico II",28,IF(C3697="Técnico I",23,IF(C3697="JR",20,IF(C3697="Estágio",10,0))))),IF(C3697="Técnico III",SUMIFS($D:$D,$A:$A,$A3697,$B:$B,"&lt;&gt;Patrícia Karla de Sousa Araújo",$B:$B,"&lt;&gt;Lorena Dias de Araujo",$B:$B,"&lt;&gt;Lucas Luiz Romero")*(35/1083),IF(C3697="Técnico II",SUMIFS($D:$D,$A:$A,$A3697,$B:$B,"&lt;&gt;Patrícia Karla de Sousa Araújo",$B:$B,"&lt;&gt;Lorena Dias de Araujo",$B:$B,"&lt;&gt;Lucas Luiz Romero")*(28/1083),IF(C3697="Técnico I",SUMIFS($D:$D,$A:$A,$A3697,$B:$B,"&lt;&gt;Patrícia Karla de Sousa Araújo",$B:$B,"&lt;&gt;Lorena Dias de Araujo",$B:$B,"&lt;&gt;Lucas Luiz Romero")*(23/1083),IF(C3697="JR",SUMIFS($D:$D,$A:$A,$A3697,$B:$B,"&lt;&gt;Patrícia Karla de Sousa Araújo",$B:$B,"&lt;&gt;Lorena Dias de Araujo",$B:$B,"&lt;&gt;Lucas Luiz Romero")*(20/1083),IF(C3697="Estágio",SUMIFS($D:$D,$A:$A,$A3697,$B:$B,"&lt;&gt;Patrícia Karla de Sousa Araújo",$B:$B,"&lt;&gt;Lorena Dias de Araujo",$B:$B,"&lt;&gt;Lucas Luiz Romero")*(10/1083),0)))))),0)</f>
        <v>31</v>
      </c>
      <c r="K3697" s="3">
        <f>I3697-J3697</f>
        <v>15</v>
      </c>
      <c r="L3697" s="3" t="str">
        <f>IF(K3697&lt;-5,"CRÍTICO",IF(K3697&lt;0,"ATENÇÃO",IF(K3697&lt;=5,"OPORTUNO","MUITO BOM")))</f>
        <v>MUITO BOM</v>
      </c>
      <c r="M3697">
        <v>44</v>
      </c>
      <c r="N3697">
        <v>99.57</v>
      </c>
      <c r="O3697">
        <v>30.635838150289018</v>
      </c>
    </row>
    <row r="3698" spans="1:15" hidden="1" x14ac:dyDescent="0.25">
      <c r="A3698" s="11">
        <v>46118</v>
      </c>
      <c r="B3698" t="s">
        <v>38</v>
      </c>
      <c r="C3698" t="s">
        <v>32</v>
      </c>
      <c r="D3698">
        <v>0</v>
      </c>
      <c r="E3698">
        <v>0</v>
      </c>
      <c r="F3698">
        <v>0</v>
      </c>
      <c r="G3698">
        <v>0</v>
      </c>
      <c r="H3698">
        <v>0</v>
      </c>
      <c r="I3698" s="3">
        <v>0</v>
      </c>
      <c r="J3698" s="3">
        <v>0</v>
      </c>
      <c r="K3698" s="3">
        <v>0</v>
      </c>
      <c r="L3698" s="3" t="str">
        <f>IF(K3698&lt;-5,"CRÍTICO",IF(K3698&lt;0,"ATENÇÃO",IF(K3698&lt;=5,"OPORTUNO","MUITO BOM")))</f>
        <v>OPORTUNO</v>
      </c>
      <c r="M3698">
        <v>0</v>
      </c>
      <c r="N3698">
        <v>95.65</v>
      </c>
      <c r="O3698">
        <v>32.432432432432442</v>
      </c>
    </row>
    <row r="3699" spans="1:15" hidden="1" x14ac:dyDescent="0.25">
      <c r="A3699" s="11">
        <v>46118</v>
      </c>
      <c r="B3699" t="s">
        <v>55</v>
      </c>
      <c r="C3699" t="s">
        <v>48</v>
      </c>
      <c r="D3699">
        <v>12</v>
      </c>
      <c r="E3699">
        <v>12</v>
      </c>
      <c r="F3699">
        <v>16.45</v>
      </c>
      <c r="G3699">
        <v>0</v>
      </c>
      <c r="H3699">
        <v>0</v>
      </c>
      <c r="I3699" s="3">
        <f>E3699+G3699+H3699</f>
        <v>12</v>
      </c>
      <c r="J3699" s="3">
        <f>ROUND(MIN(IF(C3699="Técnico III",35,IF(C3699="Técnico II",28,IF(C3699="Técnico I",23,IF(C3699="JR",20,IF(C3699="Estágio",10,0))))),IF(C3699="Técnico III",SUMIFS($D:$D,$A:$A,$A3699,$B:$B,"&lt;&gt;Patrícia Karla de Sousa Araújo",$B:$B,"&lt;&gt;Lorena Dias de Araujo",$B:$B,"&lt;&gt;Lucas Luiz Romero")*(35/1083),IF(C3699="Técnico II",SUMIFS($D:$D,$A:$A,$A3699,$B:$B,"&lt;&gt;Patrícia Karla de Sousa Araújo",$B:$B,"&lt;&gt;Lorena Dias de Araujo",$B:$B,"&lt;&gt;Lucas Luiz Romero")*(28/1083),IF(C3699="Técnico I",SUMIFS($D:$D,$A:$A,$A3699,$B:$B,"&lt;&gt;Patrícia Karla de Sousa Araújo",$B:$B,"&lt;&gt;Lorena Dias de Araujo",$B:$B,"&lt;&gt;Lucas Luiz Romero")*(23/1083),IF(C3699="JR",SUMIFS($D:$D,$A:$A,$A3699,$B:$B,"&lt;&gt;Patrícia Karla de Sousa Araújo",$B:$B,"&lt;&gt;Lorena Dias de Araujo",$B:$B,"&lt;&gt;Lucas Luiz Romero")*(20/1083),IF(C3699="Estágio",SUMIFS($D:$D,$A:$A,$A3699,$B:$B,"&lt;&gt;Patrícia Karla de Sousa Araújo",$B:$B,"&lt;&gt;Lorena Dias de Araujo",$B:$B,"&lt;&gt;Lucas Luiz Romero")*(10/1083),0)))))),0)</f>
        <v>25</v>
      </c>
      <c r="K3699" s="3">
        <f>I3699-J3699</f>
        <v>-13</v>
      </c>
      <c r="L3699" s="3" t="str">
        <f>IF(K3699&lt;-5,"CRÍTICO",IF(K3699&lt;0,"ATENÇÃO",IF(K3699&lt;=5,"OPORTUNO","MUITO BOM")))</f>
        <v>CRÍTICO</v>
      </c>
      <c r="M3699">
        <v>14</v>
      </c>
      <c r="N3699">
        <v>98.81</v>
      </c>
      <c r="O3699">
        <v>26.256983240223459</v>
      </c>
    </row>
    <row r="3700" spans="1:15" hidden="1" x14ac:dyDescent="0.25">
      <c r="A3700" s="11">
        <v>46118</v>
      </c>
      <c r="B3700" t="s">
        <v>39</v>
      </c>
      <c r="C3700" t="s">
        <v>32</v>
      </c>
      <c r="D3700">
        <v>0</v>
      </c>
      <c r="E3700">
        <v>0</v>
      </c>
      <c r="F3700">
        <v>0</v>
      </c>
      <c r="G3700">
        <v>0</v>
      </c>
      <c r="H3700">
        <v>0</v>
      </c>
      <c r="I3700" s="3">
        <v>0</v>
      </c>
      <c r="J3700" s="3">
        <v>0</v>
      </c>
      <c r="K3700" s="3">
        <v>0</v>
      </c>
      <c r="L3700" s="3" t="str">
        <f>IF(K3700&lt;-5,"CRÍTICO",IF(K3700&lt;0,"ATENÇÃO",IF(K3700&lt;=5,"OPORTUNO","MUITO BOM")))</f>
        <v>OPORTUNO</v>
      </c>
      <c r="M3700">
        <v>0</v>
      </c>
      <c r="N3700">
        <v>0</v>
      </c>
      <c r="O3700">
        <v>0</v>
      </c>
    </row>
    <row r="3701" spans="1:15" hidden="1" x14ac:dyDescent="0.25">
      <c r="A3701" s="11">
        <v>46118</v>
      </c>
      <c r="B3701" t="s">
        <v>25</v>
      </c>
      <c r="C3701" t="s">
        <v>26</v>
      </c>
      <c r="D3701">
        <v>19</v>
      </c>
      <c r="E3701">
        <v>17</v>
      </c>
      <c r="F3701">
        <v>23.21</v>
      </c>
      <c r="G3701">
        <v>0</v>
      </c>
      <c r="H3701">
        <v>0</v>
      </c>
      <c r="I3701" s="3">
        <f>E3701+G3701+H3701</f>
        <v>17</v>
      </c>
      <c r="J3701" s="3">
        <f>ROUND(MIN(IF(C3701="Técnico III",35,IF(C3701="Técnico II",28,IF(C3701="Técnico I",23,IF(C3701="JR",20,IF(C3701="Estágio",10,0))))),IF(C3701="Técnico III",SUMIFS($D:$D,$A:$A,$A3701,$B:$B,"&lt;&gt;Patrícia Karla de Sousa Araújo",$B:$B,"&lt;&gt;Lorena Dias de Araujo",$B:$B,"&lt;&gt;Lucas Luiz Romero")*(35/1083),IF(C3701="Técnico II",SUMIFS($D:$D,$A:$A,$A3701,$B:$B,"&lt;&gt;Patrícia Karla de Sousa Araújo",$B:$B,"&lt;&gt;Lorena Dias de Araujo",$B:$B,"&lt;&gt;Lucas Luiz Romero")*(28/1083),IF(C3701="Técnico I",SUMIFS($D:$D,$A:$A,$A3701,$B:$B,"&lt;&gt;Patrícia Karla de Sousa Araújo",$B:$B,"&lt;&gt;Lorena Dias de Araujo",$B:$B,"&lt;&gt;Lucas Luiz Romero")*(23/1083),IF(C3701="JR",SUMIFS($D:$D,$A:$A,$A3701,$B:$B,"&lt;&gt;Patrícia Karla de Sousa Araújo",$B:$B,"&lt;&gt;Lorena Dias de Araujo",$B:$B,"&lt;&gt;Lucas Luiz Romero")*(20/1083),IF(C3701="Estágio",SUMIFS($D:$D,$A:$A,$A3701,$B:$B,"&lt;&gt;Patrícia Karla de Sousa Araújo",$B:$B,"&lt;&gt;Lorena Dias de Araujo",$B:$B,"&lt;&gt;Lucas Luiz Romero")*(10/1083),0)))))),0)</f>
        <v>18</v>
      </c>
      <c r="K3701" s="3">
        <f>I3701-J3701</f>
        <v>-1</v>
      </c>
      <c r="L3701" s="3" t="str">
        <f>IF(K3701&lt;-5,"CRÍTICO",IF(K3701&lt;0,"ATENÇÃO",IF(K3701&lt;=5,"OPORTUNO","MUITO BOM")))</f>
        <v>ATENÇÃO</v>
      </c>
      <c r="M3701">
        <v>17</v>
      </c>
      <c r="N3701">
        <v>97.17</v>
      </c>
      <c r="O3701">
        <v>28.81844380403458</v>
      </c>
    </row>
    <row r="3702" spans="1:15" hidden="1" x14ac:dyDescent="0.25">
      <c r="A3702" s="11">
        <v>46118</v>
      </c>
      <c r="B3702" t="s">
        <v>40</v>
      </c>
      <c r="C3702" t="s">
        <v>32</v>
      </c>
      <c r="D3702">
        <v>11</v>
      </c>
      <c r="E3702">
        <v>9</v>
      </c>
      <c r="F3702">
        <v>21.4</v>
      </c>
      <c r="G3702">
        <v>0</v>
      </c>
      <c r="H3702">
        <v>0</v>
      </c>
      <c r="I3702" s="3">
        <f>E3702+G3702+H3702</f>
        <v>9</v>
      </c>
      <c r="J3702" s="3">
        <f>ROUND(MIN(IF(C3702="Técnico III",35,IF(C3702="Técnico II",28,IF(C3702="Técnico I",23,IF(C3702="JR",20,IF(C3702="Estágio",10,0))))),IF(C3702="Técnico III",SUMIFS($D:$D,$A:$A,$A3702,$B:$B,"&lt;&gt;Patrícia Karla de Sousa Araújo",$B:$B,"&lt;&gt;Lorena Dias de Araujo",$B:$B,"&lt;&gt;Lucas Luiz Romero")*(35/1083),IF(C3702="Técnico II",SUMIFS($D:$D,$A:$A,$A3702,$B:$B,"&lt;&gt;Patrícia Karla de Sousa Araújo",$B:$B,"&lt;&gt;Lorena Dias de Araujo",$B:$B,"&lt;&gt;Lucas Luiz Romero")*(28/1083),IF(C3702="Técnico I",SUMIFS($D:$D,$A:$A,$A3702,$B:$B,"&lt;&gt;Patrícia Karla de Sousa Araújo",$B:$B,"&lt;&gt;Lorena Dias de Araujo",$B:$B,"&lt;&gt;Lucas Luiz Romero")*(23/1083),IF(C3702="JR",SUMIFS($D:$D,$A:$A,$A3702,$B:$B,"&lt;&gt;Patrícia Karla de Sousa Araújo",$B:$B,"&lt;&gt;Lorena Dias de Araujo",$B:$B,"&lt;&gt;Lucas Luiz Romero")*(20/1083),IF(C3702="Estágio",SUMIFS($D:$D,$A:$A,$A3702,$B:$B,"&lt;&gt;Patrícia Karla de Sousa Araújo",$B:$B,"&lt;&gt;Lorena Dias de Araujo",$B:$B,"&lt;&gt;Lucas Luiz Romero")*(10/1083),0)))))),0)</f>
        <v>31</v>
      </c>
      <c r="K3702" s="3">
        <f>I3702-J3702</f>
        <v>-22</v>
      </c>
      <c r="L3702" s="3" t="str">
        <f>IF(K3702&lt;-5,"CRÍTICO",IF(K3702&lt;0,"ATENÇÃO",IF(K3702&lt;=5,"OPORTUNO","MUITO BOM")))</f>
        <v>CRÍTICO</v>
      </c>
      <c r="M3702">
        <v>11</v>
      </c>
      <c r="N3702">
        <v>96.81</v>
      </c>
      <c r="O3702">
        <v>48.018648018648022</v>
      </c>
    </row>
    <row r="3703" spans="1:15" hidden="1" x14ac:dyDescent="0.25">
      <c r="A3703" s="11">
        <v>46118</v>
      </c>
      <c r="B3703" t="s">
        <v>27</v>
      </c>
      <c r="C3703" t="s">
        <v>26</v>
      </c>
      <c r="D3703">
        <v>15</v>
      </c>
      <c r="E3703">
        <v>12</v>
      </c>
      <c r="F3703">
        <v>29.11</v>
      </c>
      <c r="G3703">
        <v>0</v>
      </c>
      <c r="H3703">
        <v>0</v>
      </c>
      <c r="I3703" s="3">
        <f>E3703+G3703+H3703</f>
        <v>12</v>
      </c>
      <c r="J3703" s="3">
        <f>ROUND(MIN(IF(C3703="Técnico III",35,IF(C3703="Técnico II",28,IF(C3703="Técnico I",23,IF(C3703="JR",20,IF(C3703="Estágio",10,0))))),IF(C3703="Técnico III",SUMIFS($D:$D,$A:$A,$A3703,$B:$B,"&lt;&gt;Patrícia Karla de Sousa Araújo",$B:$B,"&lt;&gt;Lorena Dias de Araujo",$B:$B,"&lt;&gt;Lucas Luiz Romero")*(35/1083),IF(C3703="Técnico II",SUMIFS($D:$D,$A:$A,$A3703,$B:$B,"&lt;&gt;Patrícia Karla de Sousa Araújo",$B:$B,"&lt;&gt;Lorena Dias de Araujo",$B:$B,"&lt;&gt;Lucas Luiz Romero")*(28/1083),IF(C3703="Técnico I",SUMIFS($D:$D,$A:$A,$A3703,$B:$B,"&lt;&gt;Patrícia Karla de Sousa Araújo",$B:$B,"&lt;&gt;Lorena Dias de Araujo",$B:$B,"&lt;&gt;Lucas Luiz Romero")*(23/1083),IF(C3703="JR",SUMIFS($D:$D,$A:$A,$A3703,$B:$B,"&lt;&gt;Patrícia Karla de Sousa Araújo",$B:$B,"&lt;&gt;Lorena Dias de Araujo",$B:$B,"&lt;&gt;Lucas Luiz Romero")*(20/1083),IF(C3703="Estágio",SUMIFS($D:$D,$A:$A,$A3703,$B:$B,"&lt;&gt;Patrícia Karla de Sousa Araújo",$B:$B,"&lt;&gt;Lorena Dias de Araujo",$B:$B,"&lt;&gt;Lucas Luiz Romero")*(10/1083),0)))))),0)</f>
        <v>18</v>
      </c>
      <c r="K3703" s="3">
        <f>I3703-J3703</f>
        <v>-6</v>
      </c>
      <c r="L3703" s="3" t="str">
        <f>IF(K3703&lt;-5,"CRÍTICO",IF(K3703&lt;0,"ATENÇÃO",IF(K3703&lt;=5,"OPORTUNO","MUITO BOM")))</f>
        <v>CRÍTICO</v>
      </c>
      <c r="M3703">
        <v>12</v>
      </c>
      <c r="N3703">
        <v>98.15</v>
      </c>
      <c r="O3703">
        <v>27.1551724137931</v>
      </c>
    </row>
    <row r="3704" spans="1:15" hidden="1" x14ac:dyDescent="0.25">
      <c r="A3704" s="11">
        <v>46118</v>
      </c>
      <c r="B3704" t="s">
        <v>41</v>
      </c>
      <c r="C3704" t="s">
        <v>32</v>
      </c>
      <c r="D3704">
        <v>31</v>
      </c>
      <c r="E3704">
        <v>29</v>
      </c>
      <c r="F3704">
        <v>16.54</v>
      </c>
      <c r="G3704">
        <v>0</v>
      </c>
      <c r="H3704">
        <v>0</v>
      </c>
      <c r="I3704" s="3">
        <f>E3704+G3704+H3704</f>
        <v>29</v>
      </c>
      <c r="J3704" s="3">
        <f>ROUND(MIN(IF(C3704="Técnico III",35,IF(C3704="Técnico II",28,IF(C3704="Técnico I",23,IF(C3704="JR",20,IF(C3704="Estágio",10,0))))),IF(C3704="Técnico III",SUMIFS($D:$D,$A:$A,$A3704,$B:$B,"&lt;&gt;Patrícia Karla de Sousa Araújo",$B:$B,"&lt;&gt;Lorena Dias de Araujo",$B:$B,"&lt;&gt;Lucas Luiz Romero")*(35/1083),IF(C3704="Técnico II",SUMIFS($D:$D,$A:$A,$A3704,$B:$B,"&lt;&gt;Patrícia Karla de Sousa Araújo",$B:$B,"&lt;&gt;Lorena Dias de Araujo",$B:$B,"&lt;&gt;Lucas Luiz Romero")*(28/1083),IF(C3704="Técnico I",SUMIFS($D:$D,$A:$A,$A3704,$B:$B,"&lt;&gt;Patrícia Karla de Sousa Araújo",$B:$B,"&lt;&gt;Lorena Dias de Araujo",$B:$B,"&lt;&gt;Lucas Luiz Romero")*(23/1083),IF(C3704="JR",SUMIFS($D:$D,$A:$A,$A3704,$B:$B,"&lt;&gt;Patrícia Karla de Sousa Araújo",$B:$B,"&lt;&gt;Lorena Dias de Araujo",$B:$B,"&lt;&gt;Lucas Luiz Romero")*(20/1083),IF(C3704="Estágio",SUMIFS($D:$D,$A:$A,$A3704,$B:$B,"&lt;&gt;Patrícia Karla de Sousa Araújo",$B:$B,"&lt;&gt;Lorena Dias de Araujo",$B:$B,"&lt;&gt;Lucas Luiz Romero")*(10/1083),0)))))),0)</f>
        <v>31</v>
      </c>
      <c r="K3704" s="3">
        <f>I3704-J3704</f>
        <v>-2</v>
      </c>
      <c r="L3704" s="3" t="str">
        <f>IF(K3704&lt;-5,"CRÍTICO",IF(K3704&lt;0,"ATENÇÃO",IF(K3704&lt;=5,"OPORTUNO","MUITO BOM")))</f>
        <v>ATENÇÃO</v>
      </c>
      <c r="M3704">
        <v>29</v>
      </c>
      <c r="N3704">
        <v>99.15</v>
      </c>
      <c r="O3704">
        <v>27.586206896551719</v>
      </c>
    </row>
    <row r="3705" spans="1:15" hidden="1" x14ac:dyDescent="0.25">
      <c r="A3705" s="11">
        <v>46118</v>
      </c>
      <c r="B3705" t="s">
        <v>56</v>
      </c>
      <c r="C3705" t="s">
        <v>48</v>
      </c>
      <c r="D3705">
        <v>24</v>
      </c>
      <c r="E3705">
        <v>23</v>
      </c>
      <c r="F3705">
        <v>22.19</v>
      </c>
      <c r="G3705">
        <v>0</v>
      </c>
      <c r="H3705">
        <v>0</v>
      </c>
      <c r="I3705" s="3">
        <f>E3705+G3705+H3705</f>
        <v>23</v>
      </c>
      <c r="J3705" s="3">
        <f>ROUND(MIN(IF(C3705="Técnico III",35,IF(C3705="Técnico II",28,IF(C3705="Técnico I",23,IF(C3705="JR",20,IF(C3705="Estágio",10,0))))),IF(C3705="Técnico III",SUMIFS($D:$D,$A:$A,$A3705,$B:$B,"&lt;&gt;Patrícia Karla de Sousa Araújo",$B:$B,"&lt;&gt;Lorena Dias de Araujo",$B:$B,"&lt;&gt;Lucas Luiz Romero")*(35/1083),IF(C3705="Técnico II",SUMIFS($D:$D,$A:$A,$A3705,$B:$B,"&lt;&gt;Patrícia Karla de Sousa Araújo",$B:$B,"&lt;&gt;Lorena Dias de Araujo",$B:$B,"&lt;&gt;Lucas Luiz Romero")*(28/1083),IF(C3705="Técnico I",SUMIFS($D:$D,$A:$A,$A3705,$B:$B,"&lt;&gt;Patrícia Karla de Sousa Araújo",$B:$B,"&lt;&gt;Lorena Dias de Araujo",$B:$B,"&lt;&gt;Lucas Luiz Romero")*(23/1083),IF(C3705="JR",SUMIFS($D:$D,$A:$A,$A3705,$B:$B,"&lt;&gt;Patrícia Karla de Sousa Araújo",$B:$B,"&lt;&gt;Lorena Dias de Araujo",$B:$B,"&lt;&gt;Lucas Luiz Romero")*(20/1083),IF(C3705="Estágio",SUMIFS($D:$D,$A:$A,$A3705,$B:$B,"&lt;&gt;Patrícia Karla de Sousa Araújo",$B:$B,"&lt;&gt;Lorena Dias de Araujo",$B:$B,"&lt;&gt;Lucas Luiz Romero")*(10/1083),0)))))),0)</f>
        <v>25</v>
      </c>
      <c r="K3705" s="3">
        <f>I3705-J3705</f>
        <v>-2</v>
      </c>
      <c r="L3705" s="3" t="str">
        <f>IF(K3705&lt;-5,"CRÍTICO",IF(K3705&lt;0,"ATENÇÃO",IF(K3705&lt;=5,"OPORTUNO","MUITO BOM")))</f>
        <v>ATENÇÃO</v>
      </c>
      <c r="M3705">
        <v>10</v>
      </c>
      <c r="N3705">
        <v>99.17</v>
      </c>
      <c r="O3705">
        <v>29.75206611570248</v>
      </c>
    </row>
    <row r="3706" spans="1:15" hidden="1" x14ac:dyDescent="0.25">
      <c r="A3706" s="11">
        <v>46118</v>
      </c>
      <c r="B3706" t="s">
        <v>57</v>
      </c>
      <c r="C3706" t="s">
        <v>48</v>
      </c>
      <c r="D3706">
        <v>36</v>
      </c>
      <c r="E3706">
        <v>35</v>
      </c>
      <c r="F3706">
        <v>18.25</v>
      </c>
      <c r="G3706">
        <v>0</v>
      </c>
      <c r="H3706">
        <v>0</v>
      </c>
      <c r="I3706" s="3">
        <v>0</v>
      </c>
      <c r="J3706" s="3">
        <v>0</v>
      </c>
      <c r="K3706" s="3">
        <v>0</v>
      </c>
      <c r="L3706" s="3" t="str">
        <f>IF(K3706&lt;-5,"CRÍTICO",IF(K3706&lt;0,"ATENÇÃO",IF(K3706&lt;=5,"OPORTUNO","MUITO BOM")))</f>
        <v>OPORTUNO</v>
      </c>
      <c r="M3706">
        <v>31</v>
      </c>
      <c r="N3706">
        <v>98.73</v>
      </c>
      <c r="O3706">
        <v>28.961748633879779</v>
      </c>
    </row>
    <row r="3707" spans="1:15" hidden="1" x14ac:dyDescent="0.25">
      <c r="A3707" s="11">
        <v>46118</v>
      </c>
      <c r="B3707" t="s">
        <v>42</v>
      </c>
      <c r="C3707" t="s">
        <v>32</v>
      </c>
      <c r="D3707">
        <v>0</v>
      </c>
      <c r="E3707">
        <v>0</v>
      </c>
      <c r="F3707">
        <v>0</v>
      </c>
      <c r="G3707">
        <v>0</v>
      </c>
      <c r="H3707">
        <v>0</v>
      </c>
      <c r="I3707" s="3">
        <v>0</v>
      </c>
      <c r="J3707" s="3">
        <v>0</v>
      </c>
      <c r="K3707" s="3">
        <v>0</v>
      </c>
      <c r="L3707" s="3" t="str">
        <f>IF(K3707&lt;-5,"CRÍTICO",IF(K3707&lt;0,"ATENÇÃO",IF(K3707&lt;=5,"OPORTUNO","MUITO BOM")))</f>
        <v>OPORTUNO</v>
      </c>
      <c r="M3707">
        <v>0</v>
      </c>
      <c r="N3707">
        <v>88.68</v>
      </c>
      <c r="O3707">
        <v>22.03389830508474</v>
      </c>
    </row>
    <row r="3708" spans="1:15" hidden="1" x14ac:dyDescent="0.25">
      <c r="A3708" s="11">
        <v>46118</v>
      </c>
      <c r="B3708" t="s">
        <v>62</v>
      </c>
      <c r="C3708" t="s">
        <v>23</v>
      </c>
      <c r="D3708">
        <v>24</v>
      </c>
      <c r="E3708">
        <v>23</v>
      </c>
      <c r="F3708">
        <v>20.399999999999999</v>
      </c>
      <c r="G3708">
        <v>0</v>
      </c>
      <c r="H3708">
        <v>0</v>
      </c>
      <c r="I3708" s="3">
        <f>E3708+G3708+H3708</f>
        <v>23</v>
      </c>
      <c r="J3708" s="3">
        <f>ROUND(MIN(IF(C3708="Técnico III",35,IF(C3708="Técnico II",28,IF(C3708="Técnico I",23,IF(C3708="JR",20,IF(C3708="Estágio",10,0))))),IF(C3708="Técnico III",SUMIFS($D:$D,$A:$A,$A3708,$B:$B,"&lt;&gt;Patrícia Karla de Sousa Araújo",$B:$B,"&lt;&gt;Lorena Dias de Araujo",$B:$B,"&lt;&gt;Lucas Luiz Romero")*(35/1083),IF(C3708="Técnico II",SUMIFS($D:$D,$A:$A,$A3708,$B:$B,"&lt;&gt;Patrícia Karla de Sousa Araújo",$B:$B,"&lt;&gt;Lorena Dias de Araujo",$B:$B,"&lt;&gt;Lucas Luiz Romero")*(28/1083),IF(C3708="Técnico I",SUMIFS($D:$D,$A:$A,$A3708,$B:$B,"&lt;&gt;Patrícia Karla de Sousa Araújo",$B:$B,"&lt;&gt;Lorena Dias de Araujo",$B:$B,"&lt;&gt;Lucas Luiz Romero")*(23/1083),IF(C3708="JR",SUMIFS($D:$D,$A:$A,$A3708,$B:$B,"&lt;&gt;Patrícia Karla de Sousa Araújo",$B:$B,"&lt;&gt;Lorena Dias de Araujo",$B:$B,"&lt;&gt;Lucas Luiz Romero")*(20/1083),IF(C3708="Estágio",SUMIFS($D:$D,$A:$A,$A3708,$B:$B,"&lt;&gt;Patrícia Karla de Sousa Araújo",$B:$B,"&lt;&gt;Lorena Dias de Araujo",$B:$B,"&lt;&gt;Lucas Luiz Romero")*(10/1083),0)))))),0)</f>
        <v>20</v>
      </c>
      <c r="K3708" s="3">
        <f>I3708-J3708</f>
        <v>3</v>
      </c>
      <c r="L3708" s="3" t="str">
        <f>IF(K3708&lt;-5,"CRÍTICO",IF(K3708&lt;0,"ATENÇÃO",IF(K3708&lt;=5,"OPORTUNO","MUITO BOM")))</f>
        <v>OPORTUNO</v>
      </c>
      <c r="M3708">
        <v>21</v>
      </c>
      <c r="N3708">
        <v>97.37</v>
      </c>
      <c r="O3708">
        <v>25.76530612244898</v>
      </c>
    </row>
    <row r="3709" spans="1:15" hidden="1" x14ac:dyDescent="0.25">
      <c r="A3709" s="11">
        <v>46118</v>
      </c>
      <c r="B3709" t="s">
        <v>19</v>
      </c>
      <c r="C3709" t="s">
        <v>16</v>
      </c>
      <c r="D3709">
        <v>11</v>
      </c>
      <c r="E3709">
        <v>10</v>
      </c>
      <c r="F3709">
        <v>27.37</v>
      </c>
      <c r="G3709">
        <v>0</v>
      </c>
      <c r="H3709">
        <v>0</v>
      </c>
      <c r="I3709" s="3">
        <f>E3709+G3709+H3709</f>
        <v>10</v>
      </c>
      <c r="J3709" s="3">
        <f>ROUND(MIN(IF(C3709="Técnico III",35,IF(C3709="Técnico II",28,IF(C3709="Técnico I",23,IF(C3709="JR",20,IF(C3709="Estágio",10,0))))),IF(C3709="Técnico III",SUMIFS($D:$D,$A:$A,$A3709,$B:$B,"&lt;&gt;Patrícia Karla de Sousa Araújo",$B:$B,"&lt;&gt;Lorena Dias de Araujo",$B:$B,"&lt;&gt;Lucas Luiz Romero")*(35/1083),IF(C3709="Técnico II",SUMIFS($D:$D,$A:$A,$A3709,$B:$B,"&lt;&gt;Patrícia Karla de Sousa Araújo",$B:$B,"&lt;&gt;Lorena Dias de Araujo",$B:$B,"&lt;&gt;Lucas Luiz Romero")*(28/1083),IF(C3709="Técnico I",SUMIFS($D:$D,$A:$A,$A3709,$B:$B,"&lt;&gt;Patrícia Karla de Sousa Araújo",$B:$B,"&lt;&gt;Lorena Dias de Araujo",$B:$B,"&lt;&gt;Lucas Luiz Romero")*(23/1083),IF(C3709="JR",SUMIFS($D:$D,$A:$A,$A3709,$B:$B,"&lt;&gt;Patrícia Karla de Sousa Araújo",$B:$B,"&lt;&gt;Lorena Dias de Araujo",$B:$B,"&lt;&gt;Lucas Luiz Romero")*(20/1083),IF(C3709="Estágio",SUMIFS($D:$D,$A:$A,$A3709,$B:$B,"&lt;&gt;Patrícia Karla de Sousa Araújo",$B:$B,"&lt;&gt;Lorena Dias de Araujo",$B:$B,"&lt;&gt;Lucas Luiz Romero")*(10/1083),0)))))),0)</f>
        <v>9</v>
      </c>
      <c r="K3709" s="3">
        <f>I3709-J3709</f>
        <v>1</v>
      </c>
      <c r="L3709" s="3" t="str">
        <f>IF(K3709&lt;-5,"CRÍTICO",IF(K3709&lt;0,"ATENÇÃO",IF(K3709&lt;=5,"OPORTUNO","MUITO BOM")))</f>
        <v>OPORTUNO</v>
      </c>
      <c r="M3709">
        <v>9</v>
      </c>
      <c r="N3709">
        <v>100</v>
      </c>
      <c r="O3709">
        <v>25</v>
      </c>
    </row>
    <row r="3710" spans="1:15" hidden="1" x14ac:dyDescent="0.25">
      <c r="A3710" s="11">
        <v>46118</v>
      </c>
      <c r="B3710" t="s">
        <v>43</v>
      </c>
      <c r="C3710" t="s">
        <v>32</v>
      </c>
      <c r="D3710">
        <v>44</v>
      </c>
      <c r="E3710">
        <v>42</v>
      </c>
      <c r="F3710">
        <v>12.16</v>
      </c>
      <c r="G3710">
        <v>0</v>
      </c>
      <c r="H3710">
        <v>0</v>
      </c>
      <c r="I3710" s="3">
        <f>E3710+G3710+H3710</f>
        <v>42</v>
      </c>
      <c r="J3710" s="3">
        <f>ROUND(MIN(IF(C3710="Técnico III",35,IF(C3710="Técnico II",28,IF(C3710="Técnico I",23,IF(C3710="JR",20,IF(C3710="Estágio",10,0))))),IF(C3710="Técnico III",SUMIFS($D:$D,$A:$A,$A3710,$B:$B,"&lt;&gt;Patrícia Karla de Sousa Araújo",$B:$B,"&lt;&gt;Lorena Dias de Araujo",$B:$B,"&lt;&gt;Lucas Luiz Romero")*(35/1083),IF(C3710="Técnico II",SUMIFS($D:$D,$A:$A,$A3710,$B:$B,"&lt;&gt;Patrícia Karla de Sousa Araújo",$B:$B,"&lt;&gt;Lorena Dias de Araujo",$B:$B,"&lt;&gt;Lucas Luiz Romero")*(28/1083),IF(C3710="Técnico I",SUMIFS($D:$D,$A:$A,$A3710,$B:$B,"&lt;&gt;Patrícia Karla de Sousa Araújo",$B:$B,"&lt;&gt;Lorena Dias de Araujo",$B:$B,"&lt;&gt;Lucas Luiz Romero")*(23/1083),IF(C3710="JR",SUMIFS($D:$D,$A:$A,$A3710,$B:$B,"&lt;&gt;Patrícia Karla de Sousa Araújo",$B:$B,"&lt;&gt;Lorena Dias de Araujo",$B:$B,"&lt;&gt;Lucas Luiz Romero")*(20/1083),IF(C3710="Estágio",SUMIFS($D:$D,$A:$A,$A3710,$B:$B,"&lt;&gt;Patrícia Karla de Sousa Araújo",$B:$B,"&lt;&gt;Lorena Dias de Araujo",$B:$B,"&lt;&gt;Lucas Luiz Romero")*(10/1083),0)))))),0)</f>
        <v>31</v>
      </c>
      <c r="K3710" s="3">
        <f>I3710-J3710</f>
        <v>11</v>
      </c>
      <c r="L3710" s="3" t="str">
        <f>IF(K3710&lt;-5,"CRÍTICO",IF(K3710&lt;0,"ATENÇÃO",IF(K3710&lt;=5,"OPORTUNO","MUITO BOM")))</f>
        <v>MUITO BOM</v>
      </c>
      <c r="M3710">
        <v>41</v>
      </c>
      <c r="N3710">
        <v>100</v>
      </c>
      <c r="O3710">
        <v>23.9870340356564</v>
      </c>
    </row>
    <row r="3711" spans="1:15" hidden="1" x14ac:dyDescent="0.25">
      <c r="A3711" s="11">
        <v>46118</v>
      </c>
      <c r="B3711" t="s">
        <v>44</v>
      </c>
      <c r="C3711" t="s">
        <v>32</v>
      </c>
      <c r="D3711">
        <v>27</v>
      </c>
      <c r="E3711">
        <v>25</v>
      </c>
      <c r="F3711">
        <v>18.48</v>
      </c>
      <c r="G3711">
        <v>0</v>
      </c>
      <c r="H3711">
        <v>0</v>
      </c>
      <c r="I3711" s="3">
        <f>E3711+G3711+H3711</f>
        <v>25</v>
      </c>
      <c r="J3711" s="3">
        <f>ROUND(MIN(IF(C3711="Técnico III",35,IF(C3711="Técnico II",28,IF(C3711="Técnico I",23,IF(C3711="JR",20,IF(C3711="Estágio",10,0))))),IF(C3711="Técnico III",SUMIFS($D:$D,$A:$A,$A3711,$B:$B,"&lt;&gt;Patrícia Karla de Sousa Araújo",$B:$B,"&lt;&gt;Lorena Dias de Araujo",$B:$B,"&lt;&gt;Lucas Luiz Romero")*(35/1083),IF(C3711="Técnico II",SUMIFS($D:$D,$A:$A,$A3711,$B:$B,"&lt;&gt;Patrícia Karla de Sousa Araújo",$B:$B,"&lt;&gt;Lorena Dias de Araujo",$B:$B,"&lt;&gt;Lucas Luiz Romero")*(28/1083),IF(C3711="Técnico I",SUMIFS($D:$D,$A:$A,$A3711,$B:$B,"&lt;&gt;Patrícia Karla de Sousa Araújo",$B:$B,"&lt;&gt;Lorena Dias de Araujo",$B:$B,"&lt;&gt;Lucas Luiz Romero")*(23/1083),IF(C3711="JR",SUMIFS($D:$D,$A:$A,$A3711,$B:$B,"&lt;&gt;Patrícia Karla de Sousa Araújo",$B:$B,"&lt;&gt;Lorena Dias de Araujo",$B:$B,"&lt;&gt;Lucas Luiz Romero")*(20/1083),IF(C3711="Estágio",SUMIFS($D:$D,$A:$A,$A3711,$B:$B,"&lt;&gt;Patrícia Karla de Sousa Araújo",$B:$B,"&lt;&gt;Lorena Dias de Araujo",$B:$B,"&lt;&gt;Lucas Luiz Romero")*(10/1083),0)))))),0)</f>
        <v>31</v>
      </c>
      <c r="K3711" s="3">
        <f>I3711-J3711</f>
        <v>-6</v>
      </c>
      <c r="L3711" s="3" t="str">
        <f>IF(K3711&lt;-5,"CRÍTICO",IF(K3711&lt;0,"ATENÇÃO",IF(K3711&lt;=5,"OPORTUNO","MUITO BOM")))</f>
        <v>CRÍTICO</v>
      </c>
      <c r="M3711">
        <v>20</v>
      </c>
      <c r="N3711">
        <v>95.49</v>
      </c>
      <c r="O3711">
        <v>28.370221327967808</v>
      </c>
    </row>
    <row r="3712" spans="1:15" hidden="1" x14ac:dyDescent="0.25">
      <c r="A3712" s="11">
        <v>46118</v>
      </c>
      <c r="B3712" t="s">
        <v>20</v>
      </c>
      <c r="C3712" t="s">
        <v>16</v>
      </c>
      <c r="D3712">
        <v>7</v>
      </c>
      <c r="E3712">
        <v>5</v>
      </c>
      <c r="F3712">
        <v>20.12</v>
      </c>
      <c r="G3712">
        <v>0</v>
      </c>
      <c r="H3712">
        <v>0</v>
      </c>
      <c r="I3712" s="3">
        <f>E3712+G3712+H3712</f>
        <v>5</v>
      </c>
      <c r="J3712" s="3">
        <f>ROUND(MIN(IF(C3712="Técnico III",35,IF(C3712="Técnico II",28,IF(C3712="Técnico I",23,IF(C3712="JR",20,IF(C3712="Estágio",10,0))))),IF(C3712="Técnico III",SUMIFS($D:$D,$A:$A,$A3712,$B:$B,"&lt;&gt;Patrícia Karla de Sousa Araújo",$B:$B,"&lt;&gt;Lorena Dias de Araujo",$B:$B,"&lt;&gt;Lucas Luiz Romero")*(35/1083),IF(C3712="Técnico II",SUMIFS($D:$D,$A:$A,$A3712,$B:$B,"&lt;&gt;Patrícia Karla de Sousa Araújo",$B:$B,"&lt;&gt;Lorena Dias de Araujo",$B:$B,"&lt;&gt;Lucas Luiz Romero")*(28/1083),IF(C3712="Técnico I",SUMIFS($D:$D,$A:$A,$A3712,$B:$B,"&lt;&gt;Patrícia Karla de Sousa Araújo",$B:$B,"&lt;&gt;Lorena Dias de Araujo",$B:$B,"&lt;&gt;Lucas Luiz Romero")*(23/1083),IF(C3712="JR",SUMIFS($D:$D,$A:$A,$A3712,$B:$B,"&lt;&gt;Patrícia Karla de Sousa Araújo",$B:$B,"&lt;&gt;Lorena Dias de Araujo",$B:$B,"&lt;&gt;Lucas Luiz Romero")*(20/1083),IF(C3712="Estágio",SUMIFS($D:$D,$A:$A,$A3712,$B:$B,"&lt;&gt;Patrícia Karla de Sousa Araújo",$B:$B,"&lt;&gt;Lorena Dias de Araujo",$B:$B,"&lt;&gt;Lucas Luiz Romero")*(10/1083),0)))))),0)</f>
        <v>9</v>
      </c>
      <c r="K3712" s="3">
        <f>I3712-J3712</f>
        <v>-4</v>
      </c>
      <c r="L3712" s="3" t="str">
        <f>IF(K3712&lt;-5,"CRÍTICO",IF(K3712&lt;0,"ATENÇÃO",IF(K3712&lt;=5,"OPORTUNO","MUITO BOM")))</f>
        <v>ATENÇÃO</v>
      </c>
      <c r="M3712">
        <v>4</v>
      </c>
      <c r="N3712">
        <v>100</v>
      </c>
      <c r="O3712">
        <v>23.77622377622378</v>
      </c>
    </row>
    <row r="3713" spans="1:15" hidden="1" x14ac:dyDescent="0.25">
      <c r="A3713" s="11">
        <v>46118</v>
      </c>
      <c r="B3713" t="s">
        <v>28</v>
      </c>
      <c r="C3713" t="s">
        <v>26</v>
      </c>
      <c r="D3713">
        <v>27</v>
      </c>
      <c r="E3713">
        <v>23</v>
      </c>
      <c r="F3713">
        <v>23.53</v>
      </c>
      <c r="G3713">
        <v>0</v>
      </c>
      <c r="H3713">
        <v>0</v>
      </c>
      <c r="I3713" s="3">
        <f>E3713+G3713+H3713</f>
        <v>23</v>
      </c>
      <c r="J3713" s="3">
        <f>ROUND(MIN(IF(C3713="Técnico III",35,IF(C3713="Técnico II",28,IF(C3713="Técnico I",23,IF(C3713="JR",20,IF(C3713="Estágio",10,0))))),IF(C3713="Técnico III",SUMIFS($D:$D,$A:$A,$A3713,$B:$B,"&lt;&gt;Patrícia Karla de Sousa Araújo",$B:$B,"&lt;&gt;Lorena Dias de Araujo",$B:$B,"&lt;&gt;Lucas Luiz Romero")*(35/1083),IF(C3713="Técnico II",SUMIFS($D:$D,$A:$A,$A3713,$B:$B,"&lt;&gt;Patrícia Karla de Sousa Araújo",$B:$B,"&lt;&gt;Lorena Dias de Araujo",$B:$B,"&lt;&gt;Lucas Luiz Romero")*(28/1083),IF(C3713="Técnico I",SUMIFS($D:$D,$A:$A,$A3713,$B:$B,"&lt;&gt;Patrícia Karla de Sousa Araújo",$B:$B,"&lt;&gt;Lorena Dias de Araujo",$B:$B,"&lt;&gt;Lucas Luiz Romero")*(23/1083),IF(C3713="JR",SUMIFS($D:$D,$A:$A,$A3713,$B:$B,"&lt;&gt;Patrícia Karla de Sousa Araújo",$B:$B,"&lt;&gt;Lorena Dias de Araujo",$B:$B,"&lt;&gt;Lucas Luiz Romero")*(20/1083),IF(C3713="Estágio",SUMIFS($D:$D,$A:$A,$A3713,$B:$B,"&lt;&gt;Patrícia Karla de Sousa Araújo",$B:$B,"&lt;&gt;Lorena Dias de Araujo",$B:$B,"&lt;&gt;Lucas Luiz Romero")*(10/1083),0)))))),0)</f>
        <v>18</v>
      </c>
      <c r="K3713" s="3">
        <f>I3713-J3713</f>
        <v>5</v>
      </c>
      <c r="L3713" s="3" t="str">
        <f>IF(K3713&lt;-5,"CRÍTICO",IF(K3713&lt;0,"ATENÇÃO",IF(K3713&lt;=5,"OPORTUNO","MUITO BOM")))</f>
        <v>OPORTUNO</v>
      </c>
      <c r="M3713">
        <v>16</v>
      </c>
      <c r="N3713">
        <v>96.15</v>
      </c>
      <c r="O3713">
        <v>24.045801526717561</v>
      </c>
    </row>
    <row r="3714" spans="1:15" hidden="1" x14ac:dyDescent="0.25">
      <c r="A3714" s="11">
        <v>46118</v>
      </c>
      <c r="B3714" t="s">
        <v>58</v>
      </c>
      <c r="C3714" t="s">
        <v>48</v>
      </c>
      <c r="D3714">
        <v>31</v>
      </c>
      <c r="E3714">
        <v>27</v>
      </c>
      <c r="F3714">
        <v>20.23</v>
      </c>
      <c r="G3714">
        <v>0</v>
      </c>
      <c r="H3714">
        <v>0</v>
      </c>
      <c r="I3714" s="3">
        <f>E3714+G3714+H3714</f>
        <v>27</v>
      </c>
      <c r="J3714" s="3">
        <f>ROUND(MIN(IF(C3714="Técnico III",35,IF(C3714="Técnico II",28,IF(C3714="Técnico I",23,IF(C3714="JR",20,IF(C3714="Estágio",10,0))))),IF(C3714="Técnico III",SUMIFS($D:$D,$A:$A,$A3714,$B:$B,"&lt;&gt;Patrícia Karla de Sousa Araújo",$B:$B,"&lt;&gt;Lorena Dias de Araujo",$B:$B,"&lt;&gt;Lucas Luiz Romero")*(35/1083),IF(C3714="Técnico II",SUMIFS($D:$D,$A:$A,$A3714,$B:$B,"&lt;&gt;Patrícia Karla de Sousa Araújo",$B:$B,"&lt;&gt;Lorena Dias de Araujo",$B:$B,"&lt;&gt;Lucas Luiz Romero")*(28/1083),IF(C3714="Técnico I",SUMIFS($D:$D,$A:$A,$A3714,$B:$B,"&lt;&gt;Patrícia Karla de Sousa Araújo",$B:$B,"&lt;&gt;Lorena Dias de Araujo",$B:$B,"&lt;&gt;Lucas Luiz Romero")*(23/1083),IF(C3714="JR",SUMIFS($D:$D,$A:$A,$A3714,$B:$B,"&lt;&gt;Patrícia Karla de Sousa Araújo",$B:$B,"&lt;&gt;Lorena Dias de Araujo",$B:$B,"&lt;&gt;Lucas Luiz Romero")*(20/1083),IF(C3714="Estágio",SUMIFS($D:$D,$A:$A,$A3714,$B:$B,"&lt;&gt;Patrícia Karla de Sousa Araújo",$B:$B,"&lt;&gt;Lorena Dias de Araujo",$B:$B,"&lt;&gt;Lucas Luiz Romero")*(10/1083),0)))))),0)</f>
        <v>25</v>
      </c>
      <c r="K3714" s="3">
        <f>I3714-J3714</f>
        <v>2</v>
      </c>
      <c r="L3714" s="3" t="str">
        <f>IF(K3714&lt;-5,"CRÍTICO",IF(K3714&lt;0,"ATENÇÃO",IF(K3714&lt;=5,"OPORTUNO","MUITO BOM")))</f>
        <v>OPORTUNO</v>
      </c>
      <c r="M3714">
        <v>24</v>
      </c>
      <c r="N3714">
        <v>99.02</v>
      </c>
      <c r="O3714">
        <v>34.797297297297298</v>
      </c>
    </row>
    <row r="3715" spans="1:15" hidden="1" x14ac:dyDescent="0.25">
      <c r="A3715" s="11">
        <v>46118</v>
      </c>
      <c r="B3715" t="s">
        <v>29</v>
      </c>
      <c r="C3715" t="s">
        <v>26</v>
      </c>
      <c r="D3715">
        <v>21</v>
      </c>
      <c r="E3715">
        <v>17</v>
      </c>
      <c r="F3715">
        <v>12.21</v>
      </c>
      <c r="G3715">
        <v>0</v>
      </c>
      <c r="H3715">
        <v>0</v>
      </c>
      <c r="I3715" s="3">
        <f>E3715+G3715+H3715</f>
        <v>17</v>
      </c>
      <c r="J3715" s="3">
        <f>ROUND(MIN(IF(C3715="Técnico III",35,IF(C3715="Técnico II",28,IF(C3715="Técnico I",23,IF(C3715="JR",20,IF(C3715="Estágio",10,0))))),IF(C3715="Técnico III",SUMIFS($D:$D,$A:$A,$A3715,$B:$B,"&lt;&gt;Patrícia Karla de Sousa Araújo",$B:$B,"&lt;&gt;Lorena Dias de Araujo",$B:$B,"&lt;&gt;Lucas Luiz Romero")*(35/1083),IF(C3715="Técnico II",SUMIFS($D:$D,$A:$A,$A3715,$B:$B,"&lt;&gt;Patrícia Karla de Sousa Araújo",$B:$B,"&lt;&gt;Lorena Dias de Araujo",$B:$B,"&lt;&gt;Lucas Luiz Romero")*(28/1083),IF(C3715="Técnico I",SUMIFS($D:$D,$A:$A,$A3715,$B:$B,"&lt;&gt;Patrícia Karla de Sousa Araújo",$B:$B,"&lt;&gt;Lorena Dias de Araujo",$B:$B,"&lt;&gt;Lucas Luiz Romero")*(23/1083),IF(C3715="JR",SUMIFS($D:$D,$A:$A,$A3715,$B:$B,"&lt;&gt;Patrícia Karla de Sousa Araújo",$B:$B,"&lt;&gt;Lorena Dias de Araujo",$B:$B,"&lt;&gt;Lucas Luiz Romero")*(20/1083),IF(C3715="Estágio",SUMIFS($D:$D,$A:$A,$A3715,$B:$B,"&lt;&gt;Patrícia Karla de Sousa Araújo",$B:$B,"&lt;&gt;Lorena Dias de Araujo",$B:$B,"&lt;&gt;Lucas Luiz Romero")*(10/1083),0)))))),0)</f>
        <v>18</v>
      </c>
      <c r="K3715" s="3">
        <f>I3715-J3715</f>
        <v>-1</v>
      </c>
      <c r="L3715" s="3" t="str">
        <f>IF(K3715&lt;-5,"CRÍTICO",IF(K3715&lt;0,"ATENÇÃO",IF(K3715&lt;=5,"OPORTUNO","MUITO BOM")))</f>
        <v>ATENÇÃO</v>
      </c>
      <c r="M3715">
        <v>18</v>
      </c>
      <c r="N3715">
        <v>98.84</v>
      </c>
      <c r="O3715">
        <v>31.868131868131869</v>
      </c>
    </row>
    <row r="3716" spans="1:15" hidden="1" x14ac:dyDescent="0.25">
      <c r="A3716" s="11">
        <v>46118</v>
      </c>
      <c r="B3716" t="s">
        <v>30</v>
      </c>
      <c r="C3716" t="s">
        <v>26</v>
      </c>
      <c r="D3716">
        <v>21</v>
      </c>
      <c r="E3716">
        <v>20</v>
      </c>
      <c r="F3716">
        <v>22.04</v>
      </c>
      <c r="G3716">
        <v>0</v>
      </c>
      <c r="H3716">
        <v>0</v>
      </c>
      <c r="I3716" s="3">
        <f>E3716+G3716+H3716</f>
        <v>20</v>
      </c>
      <c r="J3716" s="3">
        <f>ROUND(MIN(IF(C3716="Técnico III",35,IF(C3716="Técnico II",28,IF(C3716="Técnico I",23,IF(C3716="JR",20,IF(C3716="Estágio",10,0))))),IF(C3716="Técnico III",SUMIFS($D:$D,$A:$A,$A3716,$B:$B,"&lt;&gt;Patrícia Karla de Sousa Araújo",$B:$B,"&lt;&gt;Lorena Dias de Araujo",$B:$B,"&lt;&gt;Lucas Luiz Romero")*(35/1083),IF(C3716="Técnico II",SUMIFS($D:$D,$A:$A,$A3716,$B:$B,"&lt;&gt;Patrícia Karla de Sousa Araújo",$B:$B,"&lt;&gt;Lorena Dias de Araujo",$B:$B,"&lt;&gt;Lucas Luiz Romero")*(28/1083),IF(C3716="Técnico I",SUMIFS($D:$D,$A:$A,$A3716,$B:$B,"&lt;&gt;Patrícia Karla de Sousa Araújo",$B:$B,"&lt;&gt;Lorena Dias de Araujo",$B:$B,"&lt;&gt;Lucas Luiz Romero")*(23/1083),IF(C3716="JR",SUMIFS($D:$D,$A:$A,$A3716,$B:$B,"&lt;&gt;Patrícia Karla de Sousa Araújo",$B:$B,"&lt;&gt;Lorena Dias de Araujo",$B:$B,"&lt;&gt;Lucas Luiz Romero")*(20/1083),IF(C3716="Estágio",SUMIFS($D:$D,$A:$A,$A3716,$B:$B,"&lt;&gt;Patrícia Karla de Sousa Araújo",$B:$B,"&lt;&gt;Lorena Dias de Araujo",$B:$B,"&lt;&gt;Lucas Luiz Romero")*(10/1083),0)))))),0)</f>
        <v>18</v>
      </c>
      <c r="K3716" s="3">
        <f>I3716-J3716</f>
        <v>2</v>
      </c>
      <c r="L3716" s="3" t="str">
        <f>IF(K3716&lt;-5,"CRÍTICO",IF(K3716&lt;0,"ATENÇÃO",IF(K3716&lt;=5,"OPORTUNO","MUITO BOM")))</f>
        <v>OPORTUNO</v>
      </c>
      <c r="M3716">
        <v>21</v>
      </c>
      <c r="N3716">
        <v>100</v>
      </c>
      <c r="O3716">
        <v>34.666666666666671</v>
      </c>
    </row>
    <row r="3717" spans="1:15" hidden="1" x14ac:dyDescent="0.25">
      <c r="A3717" s="11">
        <v>46118</v>
      </c>
      <c r="B3717" t="s">
        <v>21</v>
      </c>
      <c r="C3717" t="s">
        <v>16</v>
      </c>
      <c r="D3717">
        <v>9</v>
      </c>
      <c r="E3717">
        <v>9</v>
      </c>
      <c r="F3717">
        <v>19.05</v>
      </c>
      <c r="G3717">
        <v>0</v>
      </c>
      <c r="H3717">
        <v>0</v>
      </c>
      <c r="I3717" s="3">
        <f>E3717+G3717+H3717</f>
        <v>9</v>
      </c>
      <c r="J3717" s="3">
        <f>ROUND(MIN(IF(C3717="Técnico III",35,IF(C3717="Técnico II",28,IF(C3717="Técnico I",23,IF(C3717="JR",20,IF(C3717="Estágio",10,0))))),IF(C3717="Técnico III",SUMIFS($D:$D,$A:$A,$A3717,$B:$B,"&lt;&gt;Patrícia Karla de Sousa Araújo",$B:$B,"&lt;&gt;Lorena Dias de Araujo",$B:$B,"&lt;&gt;Lucas Luiz Romero")*(35/1083),IF(C3717="Técnico II",SUMIFS($D:$D,$A:$A,$A3717,$B:$B,"&lt;&gt;Patrícia Karla de Sousa Araújo",$B:$B,"&lt;&gt;Lorena Dias de Araujo",$B:$B,"&lt;&gt;Lucas Luiz Romero")*(28/1083),IF(C3717="Técnico I",SUMIFS($D:$D,$A:$A,$A3717,$B:$B,"&lt;&gt;Patrícia Karla de Sousa Araújo",$B:$B,"&lt;&gt;Lorena Dias de Araujo",$B:$B,"&lt;&gt;Lucas Luiz Romero")*(23/1083),IF(C3717="JR",SUMIFS($D:$D,$A:$A,$A3717,$B:$B,"&lt;&gt;Patrícia Karla de Sousa Araújo",$B:$B,"&lt;&gt;Lorena Dias de Araujo",$B:$B,"&lt;&gt;Lucas Luiz Romero")*(20/1083),IF(C3717="Estágio",SUMIFS($D:$D,$A:$A,$A3717,$B:$B,"&lt;&gt;Patrícia Karla de Sousa Araújo",$B:$B,"&lt;&gt;Lorena Dias de Araujo",$B:$B,"&lt;&gt;Lucas Luiz Romero")*(10/1083),0)))))),0)</f>
        <v>9</v>
      </c>
      <c r="K3717" s="3">
        <f>I3717-J3717</f>
        <v>0</v>
      </c>
      <c r="L3717" s="3" t="str">
        <f>IF(K3717&lt;-5,"CRÍTICO",IF(K3717&lt;0,"ATENÇÃO",IF(K3717&lt;=5,"OPORTUNO","MUITO BOM")))</f>
        <v>OPORTUNO</v>
      </c>
      <c r="M3717">
        <v>4</v>
      </c>
      <c r="N3717">
        <v>94.12</v>
      </c>
      <c r="O3717">
        <v>32.799999999999997</v>
      </c>
    </row>
    <row r="3718" spans="1:15" hidden="1" x14ac:dyDescent="0.25">
      <c r="A3718" s="11">
        <v>46118</v>
      </c>
      <c r="B3718" t="s">
        <v>63</v>
      </c>
      <c r="C3718" t="s">
        <v>23</v>
      </c>
      <c r="D3718">
        <v>22</v>
      </c>
      <c r="E3718">
        <v>20</v>
      </c>
      <c r="F3718">
        <v>15.13</v>
      </c>
      <c r="G3718">
        <v>0</v>
      </c>
      <c r="H3718">
        <v>0</v>
      </c>
      <c r="I3718" s="3">
        <f>E3718+G3718+H3718</f>
        <v>20</v>
      </c>
      <c r="J3718" s="3">
        <f>ROUND(MIN(IF(C3718="Técnico III",35,IF(C3718="Técnico II",28,IF(C3718="Técnico I",23,IF(C3718="JR",20,IF(C3718="Estágio",10,0))))),IF(C3718="Técnico III",SUMIFS($D:$D,$A:$A,$A3718,$B:$B,"&lt;&gt;Patrícia Karla de Sousa Araújo",$B:$B,"&lt;&gt;Lorena Dias de Araujo",$B:$B,"&lt;&gt;Lucas Luiz Romero")*(35/1083),IF(C3718="Técnico II",SUMIFS($D:$D,$A:$A,$A3718,$B:$B,"&lt;&gt;Patrícia Karla de Sousa Araújo",$B:$B,"&lt;&gt;Lorena Dias de Araujo",$B:$B,"&lt;&gt;Lucas Luiz Romero")*(28/1083),IF(C3718="Técnico I",SUMIFS($D:$D,$A:$A,$A3718,$B:$B,"&lt;&gt;Patrícia Karla de Sousa Araújo",$B:$B,"&lt;&gt;Lorena Dias de Araujo",$B:$B,"&lt;&gt;Lucas Luiz Romero")*(23/1083),IF(C3718="JR",SUMIFS($D:$D,$A:$A,$A3718,$B:$B,"&lt;&gt;Patrícia Karla de Sousa Araújo",$B:$B,"&lt;&gt;Lorena Dias de Araujo",$B:$B,"&lt;&gt;Lucas Luiz Romero")*(20/1083),IF(C3718="Estágio",SUMIFS($D:$D,$A:$A,$A3718,$B:$B,"&lt;&gt;Patrícia Karla de Sousa Araújo",$B:$B,"&lt;&gt;Lorena Dias de Araujo",$B:$B,"&lt;&gt;Lucas Luiz Romero")*(10/1083),0)))))),0)</f>
        <v>20</v>
      </c>
      <c r="K3718" s="3">
        <f>I3718-J3718</f>
        <v>0</v>
      </c>
      <c r="L3718" s="3" t="str">
        <f>IF(K3718&lt;-5,"CRÍTICO",IF(K3718&lt;0,"ATENÇÃO",IF(K3718&lt;=5,"OPORTUNO","MUITO BOM")))</f>
        <v>OPORTUNO</v>
      </c>
      <c r="M3718">
        <v>16</v>
      </c>
      <c r="N3718">
        <v>98.32</v>
      </c>
      <c r="O3718">
        <v>26.858513189448441</v>
      </c>
    </row>
    <row r="3719" spans="1:15" hidden="1" x14ac:dyDescent="0.25">
      <c r="A3719" s="11">
        <v>46118</v>
      </c>
      <c r="B3719" t="s">
        <v>45</v>
      </c>
      <c r="C3719" t="s">
        <v>32</v>
      </c>
      <c r="D3719">
        <v>44</v>
      </c>
      <c r="E3719">
        <v>37</v>
      </c>
      <c r="F3719">
        <v>12</v>
      </c>
      <c r="G3719">
        <v>0</v>
      </c>
      <c r="H3719">
        <v>0</v>
      </c>
      <c r="I3719" s="3">
        <f>E3719+G3719+H3719</f>
        <v>37</v>
      </c>
      <c r="J3719" s="3">
        <f>ROUND(MIN(IF(C3719="Técnico III",35,IF(C3719="Técnico II",28,IF(C3719="Técnico I",23,IF(C3719="JR",20,IF(C3719="Estágio",10,0))))),IF(C3719="Técnico III",SUMIFS($D:$D,$A:$A,$A3719,$B:$B,"&lt;&gt;Patrícia Karla de Sousa Araújo",$B:$B,"&lt;&gt;Lorena Dias de Araujo",$B:$B,"&lt;&gt;Lucas Luiz Romero")*(35/1083),IF(C3719="Técnico II",SUMIFS($D:$D,$A:$A,$A3719,$B:$B,"&lt;&gt;Patrícia Karla de Sousa Araújo",$B:$B,"&lt;&gt;Lorena Dias de Araujo",$B:$B,"&lt;&gt;Lucas Luiz Romero")*(28/1083),IF(C3719="Técnico I",SUMIFS($D:$D,$A:$A,$A3719,$B:$B,"&lt;&gt;Patrícia Karla de Sousa Araújo",$B:$B,"&lt;&gt;Lorena Dias de Araujo",$B:$B,"&lt;&gt;Lucas Luiz Romero")*(23/1083),IF(C3719="JR",SUMIFS($D:$D,$A:$A,$A3719,$B:$B,"&lt;&gt;Patrícia Karla de Sousa Araújo",$B:$B,"&lt;&gt;Lorena Dias de Araujo",$B:$B,"&lt;&gt;Lucas Luiz Romero")*(20/1083),IF(C3719="Estágio",SUMIFS($D:$D,$A:$A,$A3719,$B:$B,"&lt;&gt;Patrícia Karla de Sousa Araújo",$B:$B,"&lt;&gt;Lorena Dias de Araujo",$B:$B,"&lt;&gt;Lucas Luiz Romero")*(10/1083),0)))))),0)</f>
        <v>31</v>
      </c>
      <c r="K3719" s="3">
        <f>I3719-J3719</f>
        <v>6</v>
      </c>
      <c r="L3719" s="3" t="str">
        <f>IF(K3719&lt;-5,"CRÍTICO",IF(K3719&lt;0,"ATENÇÃO",IF(K3719&lt;=5,"OPORTUNO","MUITO BOM")))</f>
        <v>MUITO BOM</v>
      </c>
      <c r="M3719">
        <v>33</v>
      </c>
      <c r="N3719">
        <v>100</v>
      </c>
      <c r="O3719">
        <v>31.135531135531139</v>
      </c>
    </row>
    <row r="3720" spans="1:15" hidden="1" x14ac:dyDescent="0.25">
      <c r="A3720" s="11">
        <v>46118</v>
      </c>
      <c r="B3720" t="s">
        <v>64</v>
      </c>
      <c r="C3720" t="s">
        <v>23</v>
      </c>
      <c r="D3720">
        <v>18</v>
      </c>
      <c r="E3720">
        <v>17</v>
      </c>
      <c r="F3720">
        <v>27.27</v>
      </c>
      <c r="G3720">
        <v>0</v>
      </c>
      <c r="H3720">
        <v>0</v>
      </c>
      <c r="I3720" s="3">
        <f>E3720+G3720+H3720</f>
        <v>17</v>
      </c>
      <c r="J3720" s="3">
        <f>ROUND(MIN(IF(C3720="Técnico III",35,IF(C3720="Técnico II",28,IF(C3720="Técnico I",23,IF(C3720="JR",20,IF(C3720="Estágio",10,0))))),IF(C3720="Técnico III",SUMIFS($D:$D,$A:$A,$A3720,$B:$B,"&lt;&gt;Patrícia Karla de Sousa Araújo",$B:$B,"&lt;&gt;Lorena Dias de Araujo",$B:$B,"&lt;&gt;Lucas Luiz Romero")*(35/1083),IF(C3720="Técnico II",SUMIFS($D:$D,$A:$A,$A3720,$B:$B,"&lt;&gt;Patrícia Karla de Sousa Araújo",$B:$B,"&lt;&gt;Lorena Dias de Araujo",$B:$B,"&lt;&gt;Lucas Luiz Romero")*(28/1083),IF(C3720="Técnico I",SUMIFS($D:$D,$A:$A,$A3720,$B:$B,"&lt;&gt;Patrícia Karla de Sousa Araújo",$B:$B,"&lt;&gt;Lorena Dias de Araujo",$B:$B,"&lt;&gt;Lucas Luiz Romero")*(23/1083),IF(C3720="JR",SUMIFS($D:$D,$A:$A,$A3720,$B:$B,"&lt;&gt;Patrícia Karla de Sousa Araújo",$B:$B,"&lt;&gt;Lorena Dias de Araujo",$B:$B,"&lt;&gt;Lucas Luiz Romero")*(20/1083),IF(C3720="Estágio",SUMIFS($D:$D,$A:$A,$A3720,$B:$B,"&lt;&gt;Patrícia Karla de Sousa Araújo",$B:$B,"&lt;&gt;Lorena Dias de Araujo",$B:$B,"&lt;&gt;Lucas Luiz Romero")*(10/1083),0)))))),0)</f>
        <v>20</v>
      </c>
      <c r="K3720" s="3">
        <f>I3720-J3720</f>
        <v>-3</v>
      </c>
      <c r="L3720" s="3" t="str">
        <f>IF(K3720&lt;-5,"CRÍTICO",IF(K3720&lt;0,"ATENÇÃO",IF(K3720&lt;=5,"OPORTUNO","MUITO BOM")))</f>
        <v>ATENÇÃO</v>
      </c>
      <c r="M3720">
        <v>14</v>
      </c>
      <c r="N3720">
        <v>100</v>
      </c>
      <c r="O3720">
        <v>26.36986301369863</v>
      </c>
    </row>
    <row r="3721" spans="1:15" hidden="1" x14ac:dyDescent="0.25">
      <c r="A3721" s="11">
        <v>46118</v>
      </c>
      <c r="B3721" t="s">
        <v>46</v>
      </c>
      <c r="C3721" t="s">
        <v>32</v>
      </c>
      <c r="D3721">
        <v>31</v>
      </c>
      <c r="E3721">
        <v>28</v>
      </c>
      <c r="F3721">
        <v>13.5</v>
      </c>
      <c r="G3721">
        <v>0</v>
      </c>
      <c r="H3721">
        <v>0</v>
      </c>
      <c r="I3721" s="3">
        <f>E3721+G3721+H3721</f>
        <v>28</v>
      </c>
      <c r="J3721" s="3">
        <f>ROUND(MIN(IF(C3721="Técnico III",35,IF(C3721="Técnico II",28,IF(C3721="Técnico I",23,IF(C3721="JR",20,IF(C3721="Estágio",10,0))))),IF(C3721="Técnico III",SUMIFS($D:$D,$A:$A,$A3721,$B:$B,"&lt;&gt;Patrícia Karla de Sousa Araújo",$B:$B,"&lt;&gt;Lorena Dias de Araujo",$B:$B,"&lt;&gt;Lucas Luiz Romero")*(35/1083),IF(C3721="Técnico II",SUMIFS($D:$D,$A:$A,$A3721,$B:$B,"&lt;&gt;Patrícia Karla de Sousa Araújo",$B:$B,"&lt;&gt;Lorena Dias de Araujo",$B:$B,"&lt;&gt;Lucas Luiz Romero")*(28/1083),IF(C3721="Técnico I",SUMIFS($D:$D,$A:$A,$A3721,$B:$B,"&lt;&gt;Patrícia Karla de Sousa Araújo",$B:$B,"&lt;&gt;Lorena Dias de Araujo",$B:$B,"&lt;&gt;Lucas Luiz Romero")*(23/1083),IF(C3721="JR",SUMIFS($D:$D,$A:$A,$A3721,$B:$B,"&lt;&gt;Patrícia Karla de Sousa Araújo",$B:$B,"&lt;&gt;Lorena Dias de Araujo",$B:$B,"&lt;&gt;Lucas Luiz Romero")*(20/1083),IF(C3721="Estágio",SUMIFS($D:$D,$A:$A,$A3721,$B:$B,"&lt;&gt;Patrícia Karla de Sousa Araújo",$B:$B,"&lt;&gt;Lorena Dias de Araujo",$B:$B,"&lt;&gt;Lucas Luiz Romero")*(10/1083),0)))))),0)</f>
        <v>31</v>
      </c>
      <c r="K3721" s="3">
        <f>I3721-J3721</f>
        <v>-3</v>
      </c>
      <c r="L3721" s="3" t="str">
        <f>IF(K3721&lt;-5,"CRÍTICO",IF(K3721&lt;0,"ATENÇÃO",IF(K3721&lt;=5,"OPORTUNO","MUITO BOM")))</f>
        <v>ATENÇÃO</v>
      </c>
      <c r="M3721">
        <v>24</v>
      </c>
      <c r="N3721">
        <v>99.21</v>
      </c>
      <c r="O3721">
        <v>25.188916876574311</v>
      </c>
    </row>
    <row r="3722" spans="1:15" hidden="1" x14ac:dyDescent="0.25">
      <c r="A3722" s="11">
        <v>46119</v>
      </c>
      <c r="B3722" t="s">
        <v>47</v>
      </c>
      <c r="C3722" t="s">
        <v>48</v>
      </c>
      <c r="D3722">
        <v>12</v>
      </c>
      <c r="E3722">
        <v>6</v>
      </c>
      <c r="F3722">
        <v>10.34</v>
      </c>
      <c r="G3722">
        <v>0</v>
      </c>
      <c r="H3722">
        <v>0</v>
      </c>
      <c r="I3722" s="3">
        <f>E3722+G3722+H3722</f>
        <v>6</v>
      </c>
      <c r="J3722" s="3">
        <f>ROUND(MIN(IF(C3722="Técnico III",35,IF(C3722="Técnico II",28,IF(C3722="Técnico I",23,IF(C3722="JR",20,IF(C3722="Estágio",10,0))))),IF(C3722="Técnico III",SUMIFS($D:$D,$A:$A,$A3722,$B:$B,"&lt;&gt;Patrícia Karla de Sousa Araújo",$B:$B,"&lt;&gt;Lorena Dias de Araujo",$B:$B,"&lt;&gt;Lucas Luiz Romero")*(35/1083),IF(C3722="Técnico II",SUMIFS($D:$D,$A:$A,$A3722,$B:$B,"&lt;&gt;Patrícia Karla de Sousa Araújo",$B:$B,"&lt;&gt;Lorena Dias de Araujo",$B:$B,"&lt;&gt;Lucas Luiz Romero")*(28/1083),IF(C3722="Técnico I",SUMIFS($D:$D,$A:$A,$A3722,$B:$B,"&lt;&gt;Patrícia Karla de Sousa Araújo",$B:$B,"&lt;&gt;Lorena Dias de Araujo",$B:$B,"&lt;&gt;Lucas Luiz Romero")*(23/1083),IF(C3722="JR",SUMIFS($D:$D,$A:$A,$A3722,$B:$B,"&lt;&gt;Patrícia Karla de Sousa Araújo",$B:$B,"&lt;&gt;Lorena Dias de Araujo",$B:$B,"&lt;&gt;Lucas Luiz Romero")*(20/1083),IF(C3722="Estágio",SUMIFS($D:$D,$A:$A,$A3722,$B:$B,"&lt;&gt;Patrícia Karla de Sousa Araújo",$B:$B,"&lt;&gt;Lorena Dias de Araujo",$B:$B,"&lt;&gt;Lucas Luiz Romero")*(10/1083),0)))))),0)</f>
        <v>25</v>
      </c>
      <c r="K3722" s="3">
        <f>I3722-J3722</f>
        <v>-19</v>
      </c>
      <c r="L3722" s="3" t="str">
        <f>IF(K3722&lt;-5,"CRÍTICO",IF(K3722&lt;0,"ATENÇÃO",IF(K3722&lt;=5,"OPORTUNO","MUITO BOM")))</f>
        <v>CRÍTICO</v>
      </c>
      <c r="M3722">
        <v>3</v>
      </c>
      <c r="N3722">
        <v>100</v>
      </c>
      <c r="O3722">
        <v>32.764505119453922</v>
      </c>
    </row>
    <row r="3723" spans="1:15" hidden="1" x14ac:dyDescent="0.25">
      <c r="A3723" s="11">
        <v>46119</v>
      </c>
      <c r="B3723" t="s">
        <v>31</v>
      </c>
      <c r="C3723" t="s">
        <v>32</v>
      </c>
      <c r="D3723">
        <v>0</v>
      </c>
      <c r="E3723">
        <v>0</v>
      </c>
      <c r="F3723">
        <v>0</v>
      </c>
      <c r="G3723">
        <v>0</v>
      </c>
      <c r="H3723">
        <v>0</v>
      </c>
      <c r="I3723" s="3">
        <v>0</v>
      </c>
      <c r="J3723" s="3">
        <v>0</v>
      </c>
      <c r="K3723" s="3">
        <v>0</v>
      </c>
      <c r="L3723" s="3" t="str">
        <f>IF(K3723&lt;-5,"CRÍTICO",IF(K3723&lt;0,"ATENÇÃO",IF(K3723&lt;=5,"OPORTUNO","MUITO BOM")))</f>
        <v>OPORTUNO</v>
      </c>
      <c r="M3723">
        <v>28</v>
      </c>
      <c r="N3723">
        <v>98.66</v>
      </c>
      <c r="O3723">
        <v>35.416666666666671</v>
      </c>
    </row>
    <row r="3724" spans="1:15" hidden="1" x14ac:dyDescent="0.25">
      <c r="A3724" s="11">
        <v>46119</v>
      </c>
      <c r="B3724" t="s">
        <v>59</v>
      </c>
      <c r="C3724" t="s">
        <v>23</v>
      </c>
      <c r="D3724">
        <v>36</v>
      </c>
      <c r="E3724">
        <v>33</v>
      </c>
      <c r="F3724">
        <v>19.010000000000002</v>
      </c>
      <c r="G3724">
        <v>0</v>
      </c>
      <c r="H3724">
        <v>0</v>
      </c>
      <c r="I3724" s="3">
        <f>E3724+G3724+H3724</f>
        <v>33</v>
      </c>
      <c r="J3724" s="3">
        <f>ROUND(MIN(IF(C3724="Técnico III",35,IF(C3724="Técnico II",28,IF(C3724="Técnico I",23,IF(C3724="JR",20,IF(C3724="Estágio",10,0))))),IF(C3724="Técnico III",SUMIFS($D:$D,$A:$A,$A3724,$B:$B,"&lt;&gt;Patrícia Karla de Sousa Araújo",$B:$B,"&lt;&gt;Lorena Dias de Araujo",$B:$B,"&lt;&gt;Lucas Luiz Romero")*(35/1083),IF(C3724="Técnico II",SUMIFS($D:$D,$A:$A,$A3724,$B:$B,"&lt;&gt;Patrícia Karla de Sousa Araújo",$B:$B,"&lt;&gt;Lorena Dias de Araujo",$B:$B,"&lt;&gt;Lucas Luiz Romero")*(28/1083),IF(C3724="Técnico I",SUMIFS($D:$D,$A:$A,$A3724,$B:$B,"&lt;&gt;Patrícia Karla de Sousa Araújo",$B:$B,"&lt;&gt;Lorena Dias de Araujo",$B:$B,"&lt;&gt;Lucas Luiz Romero")*(23/1083),IF(C3724="JR",SUMIFS($D:$D,$A:$A,$A3724,$B:$B,"&lt;&gt;Patrícia Karla de Sousa Araújo",$B:$B,"&lt;&gt;Lorena Dias de Araujo",$B:$B,"&lt;&gt;Lucas Luiz Romero")*(20/1083),IF(C3724="Estágio",SUMIFS($D:$D,$A:$A,$A3724,$B:$B,"&lt;&gt;Patrícia Karla de Sousa Araújo",$B:$B,"&lt;&gt;Lorena Dias de Araujo",$B:$B,"&lt;&gt;Lucas Luiz Romero")*(10/1083),0)))))),0)</f>
        <v>21</v>
      </c>
      <c r="K3724" s="3">
        <f>I3724-J3724</f>
        <v>12</v>
      </c>
      <c r="L3724" s="3" t="str">
        <f>IF(K3724&lt;-5,"CRÍTICO",IF(K3724&lt;0,"ATENÇÃO",IF(K3724&lt;=5,"OPORTUNO","MUITO BOM")))</f>
        <v>MUITO BOM</v>
      </c>
      <c r="M3724">
        <v>34</v>
      </c>
      <c r="N3724">
        <v>99.32</v>
      </c>
      <c r="O3724">
        <v>30.648330058939099</v>
      </c>
    </row>
    <row r="3725" spans="1:15" hidden="1" x14ac:dyDescent="0.25">
      <c r="A3725" s="11">
        <v>46119</v>
      </c>
      <c r="B3725" t="s">
        <v>33</v>
      </c>
      <c r="C3725" t="s">
        <v>32</v>
      </c>
      <c r="D3725">
        <v>30</v>
      </c>
      <c r="E3725">
        <v>28</v>
      </c>
      <c r="F3725">
        <v>23.42</v>
      </c>
      <c r="G3725">
        <v>0</v>
      </c>
      <c r="H3725">
        <v>0</v>
      </c>
      <c r="I3725" s="3">
        <f>E3725+G3725+H3725</f>
        <v>28</v>
      </c>
      <c r="J3725" s="3">
        <f>ROUND(MIN(IF(C3725="Técnico III",35,IF(C3725="Técnico II",28,IF(C3725="Técnico I",23,IF(C3725="JR",20,IF(C3725="Estágio",10,0))))),IF(C3725="Técnico III",SUMIFS($D:$D,$A:$A,$A3725,$B:$B,"&lt;&gt;Patrícia Karla de Sousa Araújo",$B:$B,"&lt;&gt;Lorena Dias de Araujo",$B:$B,"&lt;&gt;Lucas Luiz Romero")*(35/1083),IF(C3725="Técnico II",SUMIFS($D:$D,$A:$A,$A3725,$B:$B,"&lt;&gt;Patrícia Karla de Sousa Araújo",$B:$B,"&lt;&gt;Lorena Dias de Araujo",$B:$B,"&lt;&gt;Lucas Luiz Romero")*(28/1083),IF(C3725="Técnico I",SUMIFS($D:$D,$A:$A,$A3725,$B:$B,"&lt;&gt;Patrícia Karla de Sousa Araújo",$B:$B,"&lt;&gt;Lorena Dias de Araujo",$B:$B,"&lt;&gt;Lucas Luiz Romero")*(23/1083),IF(C3725="JR",SUMIFS($D:$D,$A:$A,$A3725,$B:$B,"&lt;&gt;Patrícia Karla de Sousa Araújo",$B:$B,"&lt;&gt;Lorena Dias de Araujo",$B:$B,"&lt;&gt;Lucas Luiz Romero")*(20/1083),IF(C3725="Estágio",SUMIFS($D:$D,$A:$A,$A3725,$B:$B,"&lt;&gt;Patrícia Karla de Sousa Araújo",$B:$B,"&lt;&gt;Lorena Dias de Araujo",$B:$B,"&lt;&gt;Lucas Luiz Romero")*(10/1083),0)))))),0)</f>
        <v>31</v>
      </c>
      <c r="K3725" s="3">
        <f>I3725-J3725</f>
        <v>-3</v>
      </c>
      <c r="L3725" s="3" t="str">
        <f>IF(K3725&lt;-5,"CRÍTICO",IF(K3725&lt;0,"ATENÇÃO",IF(K3725&lt;=5,"OPORTUNO","MUITO BOM")))</f>
        <v>ATENÇÃO</v>
      </c>
      <c r="M3725">
        <v>27</v>
      </c>
      <c r="N3725">
        <v>100</v>
      </c>
      <c r="O3725">
        <v>27.803738317757009</v>
      </c>
    </row>
    <row r="3726" spans="1:15" hidden="1" x14ac:dyDescent="0.25">
      <c r="A3726" s="11">
        <v>46119</v>
      </c>
      <c r="B3726" t="s">
        <v>15</v>
      </c>
      <c r="C3726" t="s">
        <v>16</v>
      </c>
      <c r="D3726">
        <v>25</v>
      </c>
      <c r="E3726">
        <v>23</v>
      </c>
      <c r="F3726">
        <v>12.33</v>
      </c>
      <c r="G3726">
        <v>0</v>
      </c>
      <c r="H3726">
        <v>0</v>
      </c>
      <c r="I3726" s="3">
        <f>E3726+G3726+H3726</f>
        <v>23</v>
      </c>
      <c r="J3726" s="3">
        <f>ROUND(MIN(IF(C3726="Técnico III",35,IF(C3726="Técnico II",28,IF(C3726="Técnico I",23,IF(C3726="JR",20,IF(C3726="Estágio",10,0))))),IF(C3726="Técnico III",SUMIFS($D:$D,$A:$A,$A3726,$B:$B,"&lt;&gt;Patrícia Karla de Sousa Araújo",$B:$B,"&lt;&gt;Lorena Dias de Araujo",$B:$B,"&lt;&gt;Lucas Luiz Romero")*(35/1083),IF(C3726="Técnico II",SUMIFS($D:$D,$A:$A,$A3726,$B:$B,"&lt;&gt;Patrícia Karla de Sousa Araújo",$B:$B,"&lt;&gt;Lorena Dias de Araujo",$B:$B,"&lt;&gt;Lucas Luiz Romero")*(28/1083),IF(C3726="Técnico I",SUMIFS($D:$D,$A:$A,$A3726,$B:$B,"&lt;&gt;Patrícia Karla de Sousa Araújo",$B:$B,"&lt;&gt;Lorena Dias de Araujo",$B:$B,"&lt;&gt;Lucas Luiz Romero")*(23/1083),IF(C3726="JR",SUMIFS($D:$D,$A:$A,$A3726,$B:$B,"&lt;&gt;Patrícia Karla de Sousa Araújo",$B:$B,"&lt;&gt;Lorena Dias de Araujo",$B:$B,"&lt;&gt;Lucas Luiz Romero")*(20/1083),IF(C3726="Estágio",SUMIFS($D:$D,$A:$A,$A3726,$B:$B,"&lt;&gt;Patrícia Karla de Sousa Araújo",$B:$B,"&lt;&gt;Lorena Dias de Araujo",$B:$B,"&lt;&gt;Lucas Luiz Romero")*(10/1083),0)))))),0)</f>
        <v>9</v>
      </c>
      <c r="K3726" s="3">
        <f>I3726-J3726</f>
        <v>14</v>
      </c>
      <c r="L3726" s="3" t="str">
        <f>IF(K3726&lt;-5,"CRÍTICO",IF(K3726&lt;0,"ATENÇÃO",IF(K3726&lt;=5,"OPORTUNO","MUITO BOM")))</f>
        <v>MUITO BOM</v>
      </c>
      <c r="M3726">
        <v>20</v>
      </c>
      <c r="N3726">
        <v>96.74</v>
      </c>
      <c r="O3726">
        <v>28.67647058823529</v>
      </c>
    </row>
    <row r="3727" spans="1:15" hidden="1" x14ac:dyDescent="0.25">
      <c r="A3727" s="11">
        <v>46119</v>
      </c>
      <c r="B3727" t="s">
        <v>49</v>
      </c>
      <c r="C3727" t="s">
        <v>48</v>
      </c>
      <c r="D3727">
        <v>41</v>
      </c>
      <c r="E3727">
        <v>38</v>
      </c>
      <c r="F3727">
        <v>19.13</v>
      </c>
      <c r="G3727">
        <v>0</v>
      </c>
      <c r="H3727">
        <v>0</v>
      </c>
      <c r="I3727" s="3">
        <f>E3727+G3727+H3727</f>
        <v>38</v>
      </c>
      <c r="J3727" s="3">
        <f>ROUND(MIN(IF(C3727="Técnico III",35,IF(C3727="Técnico II",28,IF(C3727="Técnico I",23,IF(C3727="JR",20,IF(C3727="Estágio",10,0))))),IF(C3727="Técnico III",SUMIFS($D:$D,$A:$A,$A3727,$B:$B,"&lt;&gt;Patrícia Karla de Sousa Araújo",$B:$B,"&lt;&gt;Lorena Dias de Araujo",$B:$B,"&lt;&gt;Lucas Luiz Romero")*(35/1083),IF(C3727="Técnico II",SUMIFS($D:$D,$A:$A,$A3727,$B:$B,"&lt;&gt;Patrícia Karla de Sousa Araújo",$B:$B,"&lt;&gt;Lorena Dias de Araujo",$B:$B,"&lt;&gt;Lucas Luiz Romero")*(28/1083),IF(C3727="Técnico I",SUMIFS($D:$D,$A:$A,$A3727,$B:$B,"&lt;&gt;Patrícia Karla de Sousa Araújo",$B:$B,"&lt;&gt;Lorena Dias de Araujo",$B:$B,"&lt;&gt;Lucas Luiz Romero")*(23/1083),IF(C3727="JR",SUMIFS($D:$D,$A:$A,$A3727,$B:$B,"&lt;&gt;Patrícia Karla de Sousa Araújo",$B:$B,"&lt;&gt;Lorena Dias de Araujo",$B:$B,"&lt;&gt;Lucas Luiz Romero")*(20/1083),IF(C3727="Estágio",SUMIFS($D:$D,$A:$A,$A3727,$B:$B,"&lt;&gt;Patrícia Karla de Sousa Araújo",$B:$B,"&lt;&gt;Lorena Dias de Araujo",$B:$B,"&lt;&gt;Lucas Luiz Romero")*(10/1083),0)))))),0)</f>
        <v>25</v>
      </c>
      <c r="K3727" s="3">
        <f>I3727-J3727</f>
        <v>13</v>
      </c>
      <c r="L3727" s="3" t="str">
        <f>IF(K3727&lt;-5,"CRÍTICO",IF(K3727&lt;0,"ATENÇÃO",IF(K3727&lt;=5,"OPORTUNO","MUITO BOM")))</f>
        <v>MUITO BOM</v>
      </c>
      <c r="M3727">
        <v>38</v>
      </c>
      <c r="N3727">
        <v>98.82</v>
      </c>
      <c r="O3727">
        <v>30.741410488245929</v>
      </c>
    </row>
    <row r="3728" spans="1:15" hidden="1" x14ac:dyDescent="0.25">
      <c r="A3728" s="11">
        <v>46119</v>
      </c>
      <c r="B3728" t="s">
        <v>50</v>
      </c>
      <c r="C3728" t="s">
        <v>48</v>
      </c>
      <c r="D3728">
        <v>28</v>
      </c>
      <c r="E3728">
        <v>28</v>
      </c>
      <c r="F3728">
        <v>23.32</v>
      </c>
      <c r="G3728">
        <v>0</v>
      </c>
      <c r="H3728">
        <v>0</v>
      </c>
      <c r="I3728" s="3">
        <f>E3728+G3728+H3728</f>
        <v>28</v>
      </c>
      <c r="J3728" s="3">
        <f>ROUND(MIN(IF(C3728="Técnico III",35,IF(C3728="Técnico II",28,IF(C3728="Técnico I",23,IF(C3728="JR",20,IF(C3728="Estágio",10,0))))),IF(C3728="Técnico III",SUMIFS($D:$D,$A:$A,$A3728,$B:$B,"&lt;&gt;Patrícia Karla de Sousa Araújo",$B:$B,"&lt;&gt;Lorena Dias de Araujo",$B:$B,"&lt;&gt;Lucas Luiz Romero")*(35/1083),IF(C3728="Técnico II",SUMIFS($D:$D,$A:$A,$A3728,$B:$B,"&lt;&gt;Patrícia Karla de Sousa Araújo",$B:$B,"&lt;&gt;Lorena Dias de Araujo",$B:$B,"&lt;&gt;Lucas Luiz Romero")*(28/1083),IF(C3728="Técnico I",SUMIFS($D:$D,$A:$A,$A3728,$B:$B,"&lt;&gt;Patrícia Karla de Sousa Araújo",$B:$B,"&lt;&gt;Lorena Dias de Araujo",$B:$B,"&lt;&gt;Lucas Luiz Romero")*(23/1083),IF(C3728="JR",SUMIFS($D:$D,$A:$A,$A3728,$B:$B,"&lt;&gt;Patrícia Karla de Sousa Araújo",$B:$B,"&lt;&gt;Lorena Dias de Araujo",$B:$B,"&lt;&gt;Lucas Luiz Romero")*(20/1083),IF(C3728="Estágio",SUMIFS($D:$D,$A:$A,$A3728,$B:$B,"&lt;&gt;Patrícia Karla de Sousa Araújo",$B:$B,"&lt;&gt;Lorena Dias de Araujo",$B:$B,"&lt;&gt;Lucas Luiz Romero")*(10/1083),0)))))),0)</f>
        <v>25</v>
      </c>
      <c r="K3728" s="3">
        <f>I3728-J3728</f>
        <v>3</v>
      </c>
      <c r="L3728" s="3" t="str">
        <f>IF(K3728&lt;-5,"CRÍTICO",IF(K3728&lt;0,"ATENÇÃO",IF(K3728&lt;=5,"OPORTUNO","MUITO BOM")))</f>
        <v>OPORTUNO</v>
      </c>
      <c r="M3728">
        <v>30</v>
      </c>
      <c r="N3728">
        <v>98.2</v>
      </c>
      <c r="O3728">
        <v>27.170868347338931</v>
      </c>
    </row>
    <row r="3729" spans="1:15" hidden="1" x14ac:dyDescent="0.25">
      <c r="A3729" s="11">
        <v>46119</v>
      </c>
      <c r="B3729" t="s">
        <v>17</v>
      </c>
      <c r="C3729" t="s">
        <v>16</v>
      </c>
      <c r="D3729">
        <v>13</v>
      </c>
      <c r="E3729">
        <v>10</v>
      </c>
      <c r="F3729">
        <v>17.32</v>
      </c>
      <c r="G3729">
        <v>0</v>
      </c>
      <c r="H3729">
        <v>0</v>
      </c>
      <c r="I3729" s="3">
        <f>E3729+G3729+H3729</f>
        <v>10</v>
      </c>
      <c r="J3729" s="3">
        <f>ROUND(MIN(IF(C3729="Técnico III",35,IF(C3729="Técnico II",28,IF(C3729="Técnico I",23,IF(C3729="JR",20,IF(C3729="Estágio",10,0))))),IF(C3729="Técnico III",SUMIFS($D:$D,$A:$A,$A3729,$B:$B,"&lt;&gt;Patrícia Karla de Sousa Araújo",$B:$B,"&lt;&gt;Lorena Dias de Araujo",$B:$B,"&lt;&gt;Lucas Luiz Romero")*(35/1083),IF(C3729="Técnico II",SUMIFS($D:$D,$A:$A,$A3729,$B:$B,"&lt;&gt;Patrícia Karla de Sousa Araújo",$B:$B,"&lt;&gt;Lorena Dias de Araujo",$B:$B,"&lt;&gt;Lucas Luiz Romero")*(28/1083),IF(C3729="Técnico I",SUMIFS($D:$D,$A:$A,$A3729,$B:$B,"&lt;&gt;Patrícia Karla de Sousa Araújo",$B:$B,"&lt;&gt;Lorena Dias de Araujo",$B:$B,"&lt;&gt;Lucas Luiz Romero")*(23/1083),IF(C3729="JR",SUMIFS($D:$D,$A:$A,$A3729,$B:$B,"&lt;&gt;Patrícia Karla de Sousa Araújo",$B:$B,"&lt;&gt;Lorena Dias de Araujo",$B:$B,"&lt;&gt;Lucas Luiz Romero")*(20/1083),IF(C3729="Estágio",SUMIFS($D:$D,$A:$A,$A3729,$B:$B,"&lt;&gt;Patrícia Karla de Sousa Araújo",$B:$B,"&lt;&gt;Lorena Dias de Araujo",$B:$B,"&lt;&gt;Lucas Luiz Romero")*(10/1083),0)))))),0)</f>
        <v>9</v>
      </c>
      <c r="K3729" s="3">
        <f>I3729-J3729</f>
        <v>1</v>
      </c>
      <c r="L3729" s="3" t="str">
        <f>IF(K3729&lt;-5,"CRÍTICO",IF(K3729&lt;0,"ATENÇÃO",IF(K3729&lt;=5,"OPORTUNO","MUITO BOM")))</f>
        <v>OPORTUNO</v>
      </c>
      <c r="M3729">
        <v>10</v>
      </c>
      <c r="N3729">
        <v>100</v>
      </c>
      <c r="O3729">
        <v>23.134328358208951</v>
      </c>
    </row>
    <row r="3730" spans="1:15" hidden="1" x14ac:dyDescent="0.25">
      <c r="A3730" s="11">
        <v>46119</v>
      </c>
      <c r="B3730" t="s">
        <v>60</v>
      </c>
      <c r="C3730" t="s">
        <v>23</v>
      </c>
      <c r="D3730">
        <v>26</v>
      </c>
      <c r="E3730">
        <v>24</v>
      </c>
      <c r="F3730">
        <v>20.11</v>
      </c>
      <c r="G3730">
        <v>0</v>
      </c>
      <c r="H3730">
        <v>0</v>
      </c>
      <c r="I3730" s="3">
        <f>E3730+G3730+H3730</f>
        <v>24</v>
      </c>
      <c r="J3730" s="3">
        <f>ROUND(MIN(IF(C3730="Técnico III",35,IF(C3730="Técnico II",28,IF(C3730="Técnico I",23,IF(C3730="JR",20,IF(C3730="Estágio",10,0))))),IF(C3730="Técnico III",SUMIFS($D:$D,$A:$A,$A3730,$B:$B,"&lt;&gt;Patrícia Karla de Sousa Araújo",$B:$B,"&lt;&gt;Lorena Dias de Araujo",$B:$B,"&lt;&gt;Lucas Luiz Romero")*(35/1083),IF(C3730="Técnico II",SUMIFS($D:$D,$A:$A,$A3730,$B:$B,"&lt;&gt;Patrícia Karla de Sousa Araújo",$B:$B,"&lt;&gt;Lorena Dias de Araujo",$B:$B,"&lt;&gt;Lucas Luiz Romero")*(28/1083),IF(C3730="Técnico I",SUMIFS($D:$D,$A:$A,$A3730,$B:$B,"&lt;&gt;Patrícia Karla de Sousa Araújo",$B:$B,"&lt;&gt;Lorena Dias de Araujo",$B:$B,"&lt;&gt;Lucas Luiz Romero")*(23/1083),IF(C3730="JR",SUMIFS($D:$D,$A:$A,$A3730,$B:$B,"&lt;&gt;Patrícia Karla de Sousa Araújo",$B:$B,"&lt;&gt;Lorena Dias de Araujo",$B:$B,"&lt;&gt;Lucas Luiz Romero")*(20/1083),IF(C3730="Estágio",SUMIFS($D:$D,$A:$A,$A3730,$B:$B,"&lt;&gt;Patrícia Karla de Sousa Araújo",$B:$B,"&lt;&gt;Lorena Dias de Araujo",$B:$B,"&lt;&gt;Lucas Luiz Romero")*(10/1083),0)))))),0)</f>
        <v>21</v>
      </c>
      <c r="K3730" s="3">
        <f>I3730-J3730</f>
        <v>3</v>
      </c>
      <c r="L3730" s="3" t="str">
        <f>IF(K3730&lt;-5,"CRÍTICO",IF(K3730&lt;0,"ATENÇÃO",IF(K3730&lt;=5,"OPORTUNO","MUITO BOM")))</f>
        <v>OPORTUNO</v>
      </c>
      <c r="M3730">
        <v>20</v>
      </c>
      <c r="N3730">
        <v>96.3</v>
      </c>
      <c r="O3730">
        <v>32.219570405727922</v>
      </c>
    </row>
    <row r="3731" spans="1:15" hidden="1" x14ac:dyDescent="0.25">
      <c r="A3731" s="11">
        <v>46119</v>
      </c>
      <c r="B3731" t="s">
        <v>34</v>
      </c>
      <c r="C3731" t="s">
        <v>32</v>
      </c>
      <c r="D3731">
        <v>46</v>
      </c>
      <c r="E3731">
        <v>39</v>
      </c>
      <c r="F3731">
        <v>10.37</v>
      </c>
      <c r="G3731">
        <v>0</v>
      </c>
      <c r="H3731">
        <v>0</v>
      </c>
      <c r="I3731" s="3">
        <f>E3731+G3731+H3731</f>
        <v>39</v>
      </c>
      <c r="J3731" s="3">
        <f>ROUND(MIN(IF(C3731="Técnico III",35,IF(C3731="Técnico II",28,IF(C3731="Técnico I",23,IF(C3731="JR",20,IF(C3731="Estágio",10,0))))),IF(C3731="Técnico III",SUMIFS($D:$D,$A:$A,$A3731,$B:$B,"&lt;&gt;Patrícia Karla de Sousa Araújo",$B:$B,"&lt;&gt;Lorena Dias de Araujo",$B:$B,"&lt;&gt;Lucas Luiz Romero")*(35/1083),IF(C3731="Técnico II",SUMIFS($D:$D,$A:$A,$A3731,$B:$B,"&lt;&gt;Patrícia Karla de Sousa Araújo",$B:$B,"&lt;&gt;Lorena Dias de Araujo",$B:$B,"&lt;&gt;Lucas Luiz Romero")*(28/1083),IF(C3731="Técnico I",SUMIFS($D:$D,$A:$A,$A3731,$B:$B,"&lt;&gt;Patrícia Karla de Sousa Araújo",$B:$B,"&lt;&gt;Lorena Dias de Araujo",$B:$B,"&lt;&gt;Lucas Luiz Romero")*(23/1083),IF(C3731="JR",SUMIFS($D:$D,$A:$A,$A3731,$B:$B,"&lt;&gt;Patrícia Karla de Sousa Araújo",$B:$B,"&lt;&gt;Lorena Dias de Araujo",$B:$B,"&lt;&gt;Lucas Luiz Romero")*(20/1083),IF(C3731="Estágio",SUMIFS($D:$D,$A:$A,$A3731,$B:$B,"&lt;&gt;Patrícia Karla de Sousa Araújo",$B:$B,"&lt;&gt;Lorena Dias de Araujo",$B:$B,"&lt;&gt;Lucas Luiz Romero")*(10/1083),0)))))),0)</f>
        <v>31</v>
      </c>
      <c r="K3731" s="3">
        <f>I3731-J3731</f>
        <v>8</v>
      </c>
      <c r="L3731" s="3" t="str">
        <f>IF(K3731&lt;-5,"CRÍTICO",IF(K3731&lt;0,"ATENÇÃO",IF(K3731&lt;=5,"OPORTUNO","MUITO BOM")))</f>
        <v>MUITO BOM</v>
      </c>
      <c r="M3731">
        <v>37</v>
      </c>
      <c r="N3731">
        <v>93.75</v>
      </c>
      <c r="O3731">
        <v>26.819923371647509</v>
      </c>
    </row>
    <row r="3732" spans="1:15" hidden="1" x14ac:dyDescent="0.25">
      <c r="A3732" s="11">
        <v>46119</v>
      </c>
      <c r="B3732" t="s">
        <v>51</v>
      </c>
      <c r="C3732" t="s">
        <v>48</v>
      </c>
      <c r="D3732">
        <v>33</v>
      </c>
      <c r="E3732">
        <v>31</v>
      </c>
      <c r="F3732">
        <v>15.14</v>
      </c>
      <c r="G3732">
        <v>0</v>
      </c>
      <c r="H3732">
        <v>0</v>
      </c>
      <c r="I3732" s="3">
        <v>0</v>
      </c>
      <c r="J3732" s="3">
        <v>0</v>
      </c>
      <c r="K3732" s="3">
        <v>0</v>
      </c>
      <c r="L3732" s="3" t="str">
        <f>IF(K3732&lt;-5,"CRÍTICO",IF(K3732&lt;0,"ATENÇÃO",IF(K3732&lt;=5,"OPORTUNO","MUITO BOM")))</f>
        <v>OPORTUNO</v>
      </c>
      <c r="M3732">
        <v>23</v>
      </c>
      <c r="N3732">
        <v>97.86</v>
      </c>
      <c r="O3732">
        <v>31.018518518518519</v>
      </c>
    </row>
    <row r="3733" spans="1:15" hidden="1" x14ac:dyDescent="0.25">
      <c r="A3733" s="11">
        <v>46119</v>
      </c>
      <c r="B3733" t="s">
        <v>61</v>
      </c>
      <c r="C3733" t="s">
        <v>23</v>
      </c>
      <c r="D3733">
        <v>31</v>
      </c>
      <c r="E3733">
        <v>28</v>
      </c>
      <c r="F3733">
        <v>14.15</v>
      </c>
      <c r="G3733">
        <v>0</v>
      </c>
      <c r="H3733">
        <v>0</v>
      </c>
      <c r="I3733" s="3">
        <f>E3733+G3733+H3733</f>
        <v>28</v>
      </c>
      <c r="J3733" s="3">
        <f>ROUND(MIN(IF(C3733="Técnico III",35,IF(C3733="Técnico II",28,IF(C3733="Técnico I",23,IF(C3733="JR",20,IF(C3733="Estágio",10,0))))),IF(C3733="Técnico III",SUMIFS($D:$D,$A:$A,$A3733,$B:$B,"&lt;&gt;Patrícia Karla de Sousa Araújo",$B:$B,"&lt;&gt;Lorena Dias de Araujo",$B:$B,"&lt;&gt;Lucas Luiz Romero")*(35/1083),IF(C3733="Técnico II",SUMIFS($D:$D,$A:$A,$A3733,$B:$B,"&lt;&gt;Patrícia Karla de Sousa Araújo",$B:$B,"&lt;&gt;Lorena Dias de Araujo",$B:$B,"&lt;&gt;Lucas Luiz Romero")*(28/1083),IF(C3733="Técnico I",SUMIFS($D:$D,$A:$A,$A3733,$B:$B,"&lt;&gt;Patrícia Karla de Sousa Araújo",$B:$B,"&lt;&gt;Lorena Dias de Araujo",$B:$B,"&lt;&gt;Lucas Luiz Romero")*(23/1083),IF(C3733="JR",SUMIFS($D:$D,$A:$A,$A3733,$B:$B,"&lt;&gt;Patrícia Karla de Sousa Araújo",$B:$B,"&lt;&gt;Lorena Dias de Araujo",$B:$B,"&lt;&gt;Lucas Luiz Romero")*(20/1083),IF(C3733="Estágio",SUMIFS($D:$D,$A:$A,$A3733,$B:$B,"&lt;&gt;Patrícia Karla de Sousa Araújo",$B:$B,"&lt;&gt;Lorena Dias de Araujo",$B:$B,"&lt;&gt;Lucas Luiz Romero")*(10/1083),0)))))),0)</f>
        <v>21</v>
      </c>
      <c r="K3733" s="3">
        <f>I3733-J3733</f>
        <v>7</v>
      </c>
      <c r="L3733" s="3" t="str">
        <f>IF(K3733&lt;-5,"CRÍTICO",IF(K3733&lt;0,"ATENÇÃO",IF(K3733&lt;=5,"OPORTUNO","MUITO BOM")))</f>
        <v>MUITO BOM</v>
      </c>
      <c r="M3733">
        <v>23</v>
      </c>
      <c r="N3733">
        <v>100</v>
      </c>
      <c r="O3733">
        <v>36.594202898550733</v>
      </c>
    </row>
    <row r="3734" spans="1:15" hidden="1" x14ac:dyDescent="0.25">
      <c r="A3734" s="11">
        <v>46119</v>
      </c>
      <c r="B3734" t="s">
        <v>35</v>
      </c>
      <c r="C3734" t="s">
        <v>32</v>
      </c>
      <c r="D3734">
        <v>30</v>
      </c>
      <c r="E3734">
        <v>30</v>
      </c>
      <c r="F3734">
        <v>20.47</v>
      </c>
      <c r="G3734">
        <v>0</v>
      </c>
      <c r="H3734">
        <v>0</v>
      </c>
      <c r="I3734" s="3">
        <v>0</v>
      </c>
      <c r="J3734" s="3">
        <v>0</v>
      </c>
      <c r="K3734" s="3">
        <v>0</v>
      </c>
      <c r="L3734" s="3" t="str">
        <f>IF(K3734&lt;-5,"CRÍTICO",IF(K3734&lt;0,"ATENÇÃO",IF(K3734&lt;=5,"OPORTUNO","MUITO BOM")))</f>
        <v>OPORTUNO</v>
      </c>
      <c r="M3734">
        <v>29</v>
      </c>
      <c r="N3734">
        <v>100</v>
      </c>
      <c r="O3734">
        <v>38.653846153846153</v>
      </c>
    </row>
    <row r="3735" spans="1:15" hidden="1" x14ac:dyDescent="0.25">
      <c r="A3735" s="11">
        <v>46119</v>
      </c>
      <c r="B3735" t="s">
        <v>18</v>
      </c>
      <c r="C3735" t="s">
        <v>16</v>
      </c>
      <c r="D3735">
        <v>5</v>
      </c>
      <c r="E3735">
        <v>5</v>
      </c>
      <c r="F3735">
        <v>43.39</v>
      </c>
      <c r="G3735">
        <v>0</v>
      </c>
      <c r="H3735">
        <v>0</v>
      </c>
      <c r="I3735" s="3">
        <f>E3735+G3735+H3735</f>
        <v>5</v>
      </c>
      <c r="J3735" s="3">
        <f>ROUND(MIN(IF(C3735="Técnico III",35,IF(C3735="Técnico II",28,IF(C3735="Técnico I",23,IF(C3735="JR",20,IF(C3735="Estágio",10,0))))),IF(C3735="Técnico III",SUMIFS($D:$D,$A:$A,$A3735,$B:$B,"&lt;&gt;Patrícia Karla de Sousa Araújo",$B:$B,"&lt;&gt;Lorena Dias de Araujo",$B:$B,"&lt;&gt;Lucas Luiz Romero")*(35/1083),IF(C3735="Técnico II",SUMIFS($D:$D,$A:$A,$A3735,$B:$B,"&lt;&gt;Patrícia Karla de Sousa Araújo",$B:$B,"&lt;&gt;Lorena Dias de Araujo",$B:$B,"&lt;&gt;Lucas Luiz Romero")*(28/1083),IF(C3735="Técnico I",SUMIFS($D:$D,$A:$A,$A3735,$B:$B,"&lt;&gt;Patrícia Karla de Sousa Araújo",$B:$B,"&lt;&gt;Lorena Dias de Araujo",$B:$B,"&lt;&gt;Lucas Luiz Romero")*(23/1083),IF(C3735="JR",SUMIFS($D:$D,$A:$A,$A3735,$B:$B,"&lt;&gt;Patrícia Karla de Sousa Araújo",$B:$B,"&lt;&gt;Lorena Dias de Araujo",$B:$B,"&lt;&gt;Lucas Luiz Romero")*(20/1083),IF(C3735="Estágio",SUMIFS($D:$D,$A:$A,$A3735,$B:$B,"&lt;&gt;Patrícia Karla de Sousa Araújo",$B:$B,"&lt;&gt;Lorena Dias de Araujo",$B:$B,"&lt;&gt;Lucas Luiz Romero")*(10/1083),0)))))),0)</f>
        <v>9</v>
      </c>
      <c r="K3735" s="3">
        <f>I3735-J3735</f>
        <v>-4</v>
      </c>
      <c r="L3735" s="3" t="str">
        <f>IF(K3735&lt;-5,"CRÍTICO",IF(K3735&lt;0,"ATENÇÃO",IF(K3735&lt;=5,"OPORTUNO","MUITO BOM")))</f>
        <v>ATENÇÃO</v>
      </c>
      <c r="M3735">
        <v>5</v>
      </c>
      <c r="N3735">
        <v>100</v>
      </c>
      <c r="O3735">
        <v>27.368421052631579</v>
      </c>
    </row>
    <row r="3736" spans="1:15" hidden="1" x14ac:dyDescent="0.25">
      <c r="A3736" s="11">
        <v>46119</v>
      </c>
      <c r="B3736" t="s">
        <v>52</v>
      </c>
      <c r="C3736" t="s">
        <v>48</v>
      </c>
      <c r="D3736">
        <v>18</v>
      </c>
      <c r="E3736">
        <v>18</v>
      </c>
      <c r="F3736">
        <v>19.12</v>
      </c>
      <c r="G3736">
        <v>0</v>
      </c>
      <c r="H3736">
        <v>0</v>
      </c>
      <c r="I3736" s="3">
        <f>E3736+G3736+H3736</f>
        <v>18</v>
      </c>
      <c r="J3736" s="3">
        <f>ROUND(MIN(IF(C3736="Técnico III",35,IF(C3736="Técnico II",28,IF(C3736="Técnico I",23,IF(C3736="JR",20,IF(C3736="Estágio",10,0))))),IF(C3736="Técnico III",SUMIFS($D:$D,$A:$A,$A3736,$B:$B,"&lt;&gt;Patrícia Karla de Sousa Araújo",$B:$B,"&lt;&gt;Lorena Dias de Araujo",$B:$B,"&lt;&gt;Lucas Luiz Romero")*(35/1083),IF(C3736="Técnico II",SUMIFS($D:$D,$A:$A,$A3736,$B:$B,"&lt;&gt;Patrícia Karla de Sousa Araújo",$B:$B,"&lt;&gt;Lorena Dias de Araujo",$B:$B,"&lt;&gt;Lucas Luiz Romero")*(28/1083),IF(C3736="Técnico I",SUMIFS($D:$D,$A:$A,$A3736,$B:$B,"&lt;&gt;Patrícia Karla de Sousa Araújo",$B:$B,"&lt;&gt;Lorena Dias de Araujo",$B:$B,"&lt;&gt;Lucas Luiz Romero")*(23/1083),IF(C3736="JR",SUMIFS($D:$D,$A:$A,$A3736,$B:$B,"&lt;&gt;Patrícia Karla de Sousa Araújo",$B:$B,"&lt;&gt;Lorena Dias de Araujo",$B:$B,"&lt;&gt;Lucas Luiz Romero")*(20/1083),IF(C3736="Estágio",SUMIFS($D:$D,$A:$A,$A3736,$B:$B,"&lt;&gt;Patrícia Karla de Sousa Araújo",$B:$B,"&lt;&gt;Lorena Dias de Araujo",$B:$B,"&lt;&gt;Lucas Luiz Romero")*(10/1083),0)))))),0)</f>
        <v>25</v>
      </c>
      <c r="K3736" s="3">
        <f>I3736-J3736</f>
        <v>-7</v>
      </c>
      <c r="L3736" s="3" t="str">
        <f>IF(K3736&lt;-5,"CRÍTICO",IF(K3736&lt;0,"ATENÇÃO",IF(K3736&lt;=5,"OPORTUNO","MUITO BOM")))</f>
        <v>CRÍTICO</v>
      </c>
      <c r="M3736">
        <v>19</v>
      </c>
      <c r="N3736">
        <v>97.83</v>
      </c>
      <c r="O3736">
        <v>28.35164835164835</v>
      </c>
    </row>
    <row r="3737" spans="1:15" hidden="1" x14ac:dyDescent="0.25">
      <c r="A3737" s="11">
        <v>46119</v>
      </c>
      <c r="B3737" t="s">
        <v>36</v>
      </c>
      <c r="C3737" t="s">
        <v>32</v>
      </c>
      <c r="D3737">
        <v>29</v>
      </c>
      <c r="E3737">
        <v>29</v>
      </c>
      <c r="F3737">
        <v>16.48</v>
      </c>
      <c r="G3737">
        <v>0</v>
      </c>
      <c r="H3737">
        <v>0</v>
      </c>
      <c r="I3737" s="3">
        <f>E3737+G3737+H3737</f>
        <v>29</v>
      </c>
      <c r="J3737" s="3">
        <f>ROUND(MIN(IF(C3737="Técnico III",35,IF(C3737="Técnico II",28,IF(C3737="Técnico I",23,IF(C3737="JR",20,IF(C3737="Estágio",10,0))))),IF(C3737="Técnico III",SUMIFS($D:$D,$A:$A,$A3737,$B:$B,"&lt;&gt;Patrícia Karla de Sousa Araújo",$B:$B,"&lt;&gt;Lorena Dias de Araujo",$B:$B,"&lt;&gt;Lucas Luiz Romero")*(35/1083),IF(C3737="Técnico II",SUMIFS($D:$D,$A:$A,$A3737,$B:$B,"&lt;&gt;Patrícia Karla de Sousa Araújo",$B:$B,"&lt;&gt;Lorena Dias de Araujo",$B:$B,"&lt;&gt;Lucas Luiz Romero")*(28/1083),IF(C3737="Técnico I",SUMIFS($D:$D,$A:$A,$A3737,$B:$B,"&lt;&gt;Patrícia Karla de Sousa Araújo",$B:$B,"&lt;&gt;Lorena Dias de Araujo",$B:$B,"&lt;&gt;Lucas Luiz Romero")*(23/1083),IF(C3737="JR",SUMIFS($D:$D,$A:$A,$A3737,$B:$B,"&lt;&gt;Patrícia Karla de Sousa Araújo",$B:$B,"&lt;&gt;Lorena Dias de Araujo",$B:$B,"&lt;&gt;Lucas Luiz Romero")*(20/1083),IF(C3737="Estágio",SUMIFS($D:$D,$A:$A,$A3737,$B:$B,"&lt;&gt;Patrícia Karla de Sousa Araújo",$B:$B,"&lt;&gt;Lorena Dias de Araujo",$B:$B,"&lt;&gt;Lucas Luiz Romero")*(10/1083),0)))))),0)</f>
        <v>31</v>
      </c>
      <c r="K3737" s="3">
        <f>I3737-J3737</f>
        <v>-2</v>
      </c>
      <c r="L3737" s="3" t="str">
        <f>IF(K3737&lt;-5,"CRÍTICO",IF(K3737&lt;0,"ATENÇÃO",IF(K3737&lt;=5,"OPORTUNO","MUITO BOM")))</f>
        <v>ATENÇÃO</v>
      </c>
      <c r="M3737">
        <v>29</v>
      </c>
      <c r="N3737">
        <v>99.26</v>
      </c>
      <c r="O3737">
        <v>29.766536964980549</v>
      </c>
    </row>
    <row r="3738" spans="1:15" hidden="1" x14ac:dyDescent="0.25">
      <c r="A3738" s="11">
        <v>46119</v>
      </c>
      <c r="B3738" t="s">
        <v>53</v>
      </c>
      <c r="C3738" t="s">
        <v>48</v>
      </c>
      <c r="D3738">
        <v>27</v>
      </c>
      <c r="E3738">
        <v>26</v>
      </c>
      <c r="F3738">
        <v>18.52</v>
      </c>
      <c r="G3738">
        <v>0</v>
      </c>
      <c r="H3738">
        <v>0</v>
      </c>
      <c r="I3738" s="3">
        <f>E3738+G3738+H3738</f>
        <v>26</v>
      </c>
      <c r="J3738" s="3">
        <f>ROUND(MIN(IF(C3738="Técnico III",35,IF(C3738="Técnico II",28,IF(C3738="Técnico I",23,IF(C3738="JR",20,IF(C3738="Estágio",10,0))))),IF(C3738="Técnico III",SUMIFS($D:$D,$A:$A,$A3738,$B:$B,"&lt;&gt;Patrícia Karla de Sousa Araújo",$B:$B,"&lt;&gt;Lorena Dias de Araujo",$B:$B,"&lt;&gt;Lucas Luiz Romero")*(35/1083),IF(C3738="Técnico II",SUMIFS($D:$D,$A:$A,$A3738,$B:$B,"&lt;&gt;Patrícia Karla de Sousa Araújo",$B:$B,"&lt;&gt;Lorena Dias de Araujo",$B:$B,"&lt;&gt;Lucas Luiz Romero")*(28/1083),IF(C3738="Técnico I",SUMIFS($D:$D,$A:$A,$A3738,$B:$B,"&lt;&gt;Patrícia Karla de Sousa Araújo",$B:$B,"&lt;&gt;Lorena Dias de Araujo",$B:$B,"&lt;&gt;Lucas Luiz Romero")*(23/1083),IF(C3738="JR",SUMIFS($D:$D,$A:$A,$A3738,$B:$B,"&lt;&gt;Patrícia Karla de Sousa Araújo",$B:$B,"&lt;&gt;Lorena Dias de Araujo",$B:$B,"&lt;&gt;Lucas Luiz Romero")*(20/1083),IF(C3738="Estágio",SUMIFS($D:$D,$A:$A,$A3738,$B:$B,"&lt;&gt;Patrícia Karla de Sousa Araújo",$B:$B,"&lt;&gt;Lorena Dias de Araujo",$B:$B,"&lt;&gt;Lucas Luiz Romero")*(10/1083),0)))))),0)</f>
        <v>25</v>
      </c>
      <c r="K3738" s="3">
        <f>I3738-J3738</f>
        <v>1</v>
      </c>
      <c r="L3738" s="3" t="str">
        <f>IF(K3738&lt;-5,"CRÍTICO",IF(K3738&lt;0,"ATENÇÃO",IF(K3738&lt;=5,"OPORTUNO","MUITO BOM")))</f>
        <v>OPORTUNO</v>
      </c>
      <c r="M3738">
        <v>24</v>
      </c>
      <c r="N3738">
        <v>99.19</v>
      </c>
      <c r="O3738">
        <v>29.462365591397852</v>
      </c>
    </row>
    <row r="3739" spans="1:15" hidden="1" x14ac:dyDescent="0.25">
      <c r="A3739" s="7">
        <v>46161</v>
      </c>
      <c r="B3739" s="8" t="s">
        <v>38</v>
      </c>
      <c r="C3739" s="14" t="s">
        <v>32</v>
      </c>
      <c r="D3739" s="3">
        <v>11</v>
      </c>
      <c r="E3739" s="3">
        <v>10</v>
      </c>
      <c r="F3739" s="3">
        <v>14.08</v>
      </c>
      <c r="G3739" s="3">
        <v>4</v>
      </c>
      <c r="H3739" s="3">
        <v>0</v>
      </c>
      <c r="I3739" s="3">
        <f>E3739+G3739+H3739</f>
        <v>14</v>
      </c>
      <c r="J3739" s="3">
        <f>ROUND(MIN(IF(C3739="Técnico III",35,IF(C3739="Técnico II",28,IF(C3739="Técnico I",23,IF(C3739="JR",20,IF(C3739="Estágio",10,0))))),IF(C3739="Técnico III",SUMIFS($D:$D,$A:$A,$A3739,$B:$B,"&lt;&gt;Patrícia Karla de Sousa Araújo",$B:$B,"&lt;&gt;Lorena Dias de Araujo",$B:$B,"&lt;&gt;Lucas Luiz Romero")*(35/1083),IF(C3739="Técnico II",SUMIFS($D:$D,$A:$A,$A3739,$B:$B,"&lt;&gt;Patrícia Karla de Sousa Araújo",$B:$B,"&lt;&gt;Lorena Dias de Araujo",$B:$B,"&lt;&gt;Lucas Luiz Romero")*(28/1083),IF(C3739="Técnico I",SUMIFS($D:$D,$A:$A,$A3739,$B:$B,"&lt;&gt;Patrícia Karla de Sousa Araújo",$B:$B,"&lt;&gt;Lorena Dias de Araujo",$B:$B,"&lt;&gt;Lucas Luiz Romero")*(23/1083),IF(C3739="JR",SUMIFS($D:$D,$A:$A,$A3739,$B:$B,"&lt;&gt;Patrícia Karla de Sousa Araújo",$B:$B,"&lt;&gt;Lorena Dias de Araujo",$B:$B,"&lt;&gt;Lucas Luiz Romero")*(20/1083),IF(C3739="Estágio",SUMIFS($D:$D,$A:$A,$A3739,$B:$B,"&lt;&gt;Patrícia Karla de Sousa Araújo",$B:$B,"&lt;&gt;Lorena Dias de Araujo",$B:$B,"&lt;&gt;Lucas Luiz Romero")*(10/1083),0)))))),0)</f>
        <v>29</v>
      </c>
      <c r="K3739" s="3">
        <f>I3739-J3739</f>
        <v>-15</v>
      </c>
      <c r="L3739" s="3" t="str">
        <f>IF(K3739&lt;-5,"CRÍTICO",IF(K3739&lt;0,"ATENÇÃO",IF(K3739&lt;=5,"OPORTUNO","MUITO BOM")))</f>
        <v>CRÍTICO</v>
      </c>
      <c r="M3739" s="3">
        <v>12</v>
      </c>
      <c r="N3739" s="3">
        <v>97.04</v>
      </c>
      <c r="O3739" s="3">
        <v>29.828850855745721</v>
      </c>
    </row>
    <row r="3740" spans="1:15" hidden="1" x14ac:dyDescent="0.25">
      <c r="A3740" s="11">
        <v>46119</v>
      </c>
      <c r="B3740" t="s">
        <v>54</v>
      </c>
      <c r="C3740" t="s">
        <v>48</v>
      </c>
      <c r="D3740">
        <v>0</v>
      </c>
      <c r="E3740">
        <v>0</v>
      </c>
      <c r="F3740">
        <v>0</v>
      </c>
      <c r="G3740">
        <v>0</v>
      </c>
      <c r="H3740">
        <v>0</v>
      </c>
      <c r="I3740" s="3">
        <v>0</v>
      </c>
      <c r="J3740" s="3">
        <v>0</v>
      </c>
      <c r="K3740" s="3">
        <v>0</v>
      </c>
      <c r="L3740" s="3" t="str">
        <f>IF(K3740&lt;-5,"CRÍTICO",IF(K3740&lt;0,"ATENÇÃO",IF(K3740&lt;=5,"OPORTUNO","MUITO BOM")))</f>
        <v>OPORTUNO</v>
      </c>
      <c r="M3740">
        <v>0</v>
      </c>
      <c r="N3740">
        <v>100</v>
      </c>
      <c r="O3740">
        <v>28.921568627450981</v>
      </c>
    </row>
    <row r="3741" spans="1:15" hidden="1" x14ac:dyDescent="0.25">
      <c r="A3741" s="11">
        <v>46119</v>
      </c>
      <c r="B3741" t="s">
        <v>37</v>
      </c>
      <c r="C3741" t="s">
        <v>32</v>
      </c>
      <c r="D3741">
        <v>46</v>
      </c>
      <c r="E3741">
        <v>43</v>
      </c>
      <c r="F3741">
        <v>10.53</v>
      </c>
      <c r="G3741">
        <v>0</v>
      </c>
      <c r="H3741">
        <v>0</v>
      </c>
      <c r="I3741" s="3">
        <f>E3741+G3741+H3741</f>
        <v>43</v>
      </c>
      <c r="J3741" s="3">
        <f>ROUND(MIN(IF(C3741="Técnico III",35,IF(C3741="Técnico II",28,IF(C3741="Técnico I",23,IF(C3741="JR",20,IF(C3741="Estágio",10,0))))),IF(C3741="Técnico III",SUMIFS($D:$D,$A:$A,$A3741,$B:$B,"&lt;&gt;Patrícia Karla de Sousa Araújo",$B:$B,"&lt;&gt;Lorena Dias de Araujo",$B:$B,"&lt;&gt;Lucas Luiz Romero")*(35/1083),IF(C3741="Técnico II",SUMIFS($D:$D,$A:$A,$A3741,$B:$B,"&lt;&gt;Patrícia Karla de Sousa Araújo",$B:$B,"&lt;&gt;Lorena Dias de Araujo",$B:$B,"&lt;&gt;Lucas Luiz Romero")*(28/1083),IF(C3741="Técnico I",SUMIFS($D:$D,$A:$A,$A3741,$B:$B,"&lt;&gt;Patrícia Karla de Sousa Araújo",$B:$B,"&lt;&gt;Lorena Dias de Araujo",$B:$B,"&lt;&gt;Lucas Luiz Romero")*(23/1083),IF(C3741="JR",SUMIFS($D:$D,$A:$A,$A3741,$B:$B,"&lt;&gt;Patrícia Karla de Sousa Araújo",$B:$B,"&lt;&gt;Lorena Dias de Araujo",$B:$B,"&lt;&gt;Lucas Luiz Romero")*(20/1083),IF(C3741="Estágio",SUMIFS($D:$D,$A:$A,$A3741,$B:$B,"&lt;&gt;Patrícia Karla de Sousa Araújo",$B:$B,"&lt;&gt;Lorena Dias de Araujo",$B:$B,"&lt;&gt;Lucas Luiz Romero")*(10/1083),0)))))),0)</f>
        <v>31</v>
      </c>
      <c r="K3741" s="3">
        <f>I3741-J3741</f>
        <v>12</v>
      </c>
      <c r="L3741" s="3" t="str">
        <f>IF(K3741&lt;-5,"CRÍTICO",IF(K3741&lt;0,"ATENÇÃO",IF(K3741&lt;=5,"OPORTUNO","MUITO BOM")))</f>
        <v>MUITO BOM</v>
      </c>
      <c r="M3741">
        <v>48</v>
      </c>
      <c r="N3741">
        <v>99.57</v>
      </c>
      <c r="O3741">
        <v>30.635838150289018</v>
      </c>
    </row>
    <row r="3742" spans="1:15" hidden="1" x14ac:dyDescent="0.25">
      <c r="A3742" s="11">
        <v>46119</v>
      </c>
      <c r="B3742" t="s">
        <v>38</v>
      </c>
      <c r="C3742" t="s">
        <v>32</v>
      </c>
      <c r="D3742">
        <v>0</v>
      </c>
      <c r="E3742">
        <v>0</v>
      </c>
      <c r="F3742">
        <v>0</v>
      </c>
      <c r="G3742">
        <v>0</v>
      </c>
      <c r="H3742">
        <v>0</v>
      </c>
      <c r="I3742" s="3">
        <v>0</v>
      </c>
      <c r="J3742" s="3">
        <v>0</v>
      </c>
      <c r="K3742" s="3">
        <v>0</v>
      </c>
      <c r="L3742" s="3" t="str">
        <f>IF(K3742&lt;-5,"CRÍTICO",IF(K3742&lt;0,"ATENÇÃO",IF(K3742&lt;=5,"OPORTUNO","MUITO BOM")))</f>
        <v>OPORTUNO</v>
      </c>
      <c r="M3742">
        <v>0</v>
      </c>
      <c r="N3742">
        <v>95.65</v>
      </c>
      <c r="O3742">
        <v>32.432432432432442</v>
      </c>
    </row>
    <row r="3743" spans="1:15" hidden="1" x14ac:dyDescent="0.25">
      <c r="A3743" s="11">
        <v>46119</v>
      </c>
      <c r="B3743" t="s">
        <v>55</v>
      </c>
      <c r="C3743" t="s">
        <v>48</v>
      </c>
      <c r="D3743">
        <v>27</v>
      </c>
      <c r="E3743">
        <v>24</v>
      </c>
      <c r="F3743">
        <v>15.58</v>
      </c>
      <c r="G3743">
        <v>0</v>
      </c>
      <c r="H3743">
        <v>0</v>
      </c>
      <c r="I3743" s="3">
        <f>E3743+G3743+H3743</f>
        <v>24</v>
      </c>
      <c r="J3743" s="3">
        <f>ROUND(MIN(IF(C3743="Técnico III",35,IF(C3743="Técnico II",28,IF(C3743="Técnico I",23,IF(C3743="JR",20,IF(C3743="Estágio",10,0))))),IF(C3743="Técnico III",SUMIFS($D:$D,$A:$A,$A3743,$B:$B,"&lt;&gt;Patrícia Karla de Sousa Araújo",$B:$B,"&lt;&gt;Lorena Dias de Araujo",$B:$B,"&lt;&gt;Lucas Luiz Romero")*(35/1083),IF(C3743="Técnico II",SUMIFS($D:$D,$A:$A,$A3743,$B:$B,"&lt;&gt;Patrícia Karla de Sousa Araújo",$B:$B,"&lt;&gt;Lorena Dias de Araujo",$B:$B,"&lt;&gt;Lucas Luiz Romero")*(28/1083),IF(C3743="Técnico I",SUMIFS($D:$D,$A:$A,$A3743,$B:$B,"&lt;&gt;Patrícia Karla de Sousa Araújo",$B:$B,"&lt;&gt;Lorena Dias de Araujo",$B:$B,"&lt;&gt;Lucas Luiz Romero")*(23/1083),IF(C3743="JR",SUMIFS($D:$D,$A:$A,$A3743,$B:$B,"&lt;&gt;Patrícia Karla de Sousa Araújo",$B:$B,"&lt;&gt;Lorena Dias de Araujo",$B:$B,"&lt;&gt;Lucas Luiz Romero")*(20/1083),IF(C3743="Estágio",SUMIFS($D:$D,$A:$A,$A3743,$B:$B,"&lt;&gt;Patrícia Karla de Sousa Araújo",$B:$B,"&lt;&gt;Lorena Dias de Araujo",$B:$B,"&lt;&gt;Lucas Luiz Romero")*(10/1083),0)))))),0)</f>
        <v>25</v>
      </c>
      <c r="K3743" s="3">
        <f>I3743-J3743</f>
        <v>-1</v>
      </c>
      <c r="L3743" s="3" t="str">
        <f>IF(K3743&lt;-5,"CRÍTICO",IF(K3743&lt;0,"ATENÇÃO",IF(K3743&lt;=5,"OPORTUNO","MUITO BOM")))</f>
        <v>ATENÇÃO</v>
      </c>
      <c r="M3743">
        <v>20</v>
      </c>
      <c r="N3743">
        <v>98.81</v>
      </c>
      <c r="O3743">
        <v>26.256983240223459</v>
      </c>
    </row>
    <row r="3744" spans="1:15" hidden="1" x14ac:dyDescent="0.25">
      <c r="A3744" s="11">
        <v>46119</v>
      </c>
      <c r="B3744" t="s">
        <v>39</v>
      </c>
      <c r="C3744" t="s">
        <v>32</v>
      </c>
      <c r="D3744">
        <v>0</v>
      </c>
      <c r="E3744">
        <v>0</v>
      </c>
      <c r="F3744">
        <v>0</v>
      </c>
      <c r="G3744">
        <v>0</v>
      </c>
      <c r="H3744">
        <v>0</v>
      </c>
      <c r="I3744" s="3">
        <v>0</v>
      </c>
      <c r="J3744" s="3">
        <v>0</v>
      </c>
      <c r="K3744" s="3">
        <v>0</v>
      </c>
      <c r="L3744" s="3" t="str">
        <f>IF(K3744&lt;-5,"CRÍTICO",IF(K3744&lt;0,"ATENÇÃO",IF(K3744&lt;=5,"OPORTUNO","MUITO BOM")))</f>
        <v>OPORTUNO</v>
      </c>
      <c r="M3744">
        <v>0</v>
      </c>
      <c r="N3744">
        <v>0</v>
      </c>
      <c r="O3744">
        <v>0</v>
      </c>
    </row>
    <row r="3745" spans="1:15" hidden="1" x14ac:dyDescent="0.25">
      <c r="A3745" s="11">
        <v>46119</v>
      </c>
      <c r="B3745" t="s">
        <v>25</v>
      </c>
      <c r="C3745" t="s">
        <v>26</v>
      </c>
      <c r="D3745">
        <v>24</v>
      </c>
      <c r="E3745">
        <v>24</v>
      </c>
      <c r="F3745">
        <v>19.190000000000001</v>
      </c>
      <c r="G3745">
        <v>0</v>
      </c>
      <c r="H3745">
        <v>0</v>
      </c>
      <c r="I3745" s="3">
        <f>E3745+G3745+H3745</f>
        <v>24</v>
      </c>
      <c r="J3745" s="3">
        <f>ROUND(MIN(IF(C3745="Técnico III",35,IF(C3745="Técnico II",28,IF(C3745="Técnico I",23,IF(C3745="JR",20,IF(C3745="Estágio",10,0))))),IF(C3745="Técnico III",SUMIFS($D:$D,$A:$A,$A3745,$B:$B,"&lt;&gt;Patrícia Karla de Sousa Araújo",$B:$B,"&lt;&gt;Lorena Dias de Araujo",$B:$B,"&lt;&gt;Lucas Luiz Romero")*(35/1083),IF(C3745="Técnico II",SUMIFS($D:$D,$A:$A,$A3745,$B:$B,"&lt;&gt;Patrícia Karla de Sousa Araújo",$B:$B,"&lt;&gt;Lorena Dias de Araujo",$B:$B,"&lt;&gt;Lucas Luiz Romero")*(28/1083),IF(C3745="Técnico I",SUMIFS($D:$D,$A:$A,$A3745,$B:$B,"&lt;&gt;Patrícia Karla de Sousa Araújo",$B:$B,"&lt;&gt;Lorena Dias de Araujo",$B:$B,"&lt;&gt;Lucas Luiz Romero")*(23/1083),IF(C3745="JR",SUMIFS($D:$D,$A:$A,$A3745,$B:$B,"&lt;&gt;Patrícia Karla de Sousa Araújo",$B:$B,"&lt;&gt;Lorena Dias de Araujo",$B:$B,"&lt;&gt;Lucas Luiz Romero")*(20/1083),IF(C3745="Estágio",SUMIFS($D:$D,$A:$A,$A3745,$B:$B,"&lt;&gt;Patrícia Karla de Sousa Araújo",$B:$B,"&lt;&gt;Lorena Dias de Araujo",$B:$B,"&lt;&gt;Lucas Luiz Romero")*(10/1083),0)))))),0)</f>
        <v>18</v>
      </c>
      <c r="K3745" s="3">
        <f>I3745-J3745</f>
        <v>6</v>
      </c>
      <c r="L3745" s="3" t="str">
        <f>IF(K3745&lt;-5,"CRÍTICO",IF(K3745&lt;0,"ATENÇÃO",IF(K3745&lt;=5,"OPORTUNO","MUITO BOM")))</f>
        <v>MUITO BOM</v>
      </c>
      <c r="M3745">
        <v>22</v>
      </c>
      <c r="N3745">
        <v>97.17</v>
      </c>
      <c r="O3745">
        <v>28.81844380403458</v>
      </c>
    </row>
    <row r="3746" spans="1:15" hidden="1" x14ac:dyDescent="0.25">
      <c r="A3746" s="11">
        <v>46119</v>
      </c>
      <c r="B3746" t="s">
        <v>40</v>
      </c>
      <c r="C3746" t="s">
        <v>32</v>
      </c>
      <c r="D3746">
        <v>24</v>
      </c>
      <c r="E3746">
        <v>24</v>
      </c>
      <c r="F3746">
        <v>19.14</v>
      </c>
      <c r="G3746">
        <v>0</v>
      </c>
      <c r="H3746">
        <v>0</v>
      </c>
      <c r="I3746" s="3">
        <f>E3746+G3746+H3746</f>
        <v>24</v>
      </c>
      <c r="J3746" s="3">
        <f>ROUND(MIN(IF(C3746="Técnico III",35,IF(C3746="Técnico II",28,IF(C3746="Técnico I",23,IF(C3746="JR",20,IF(C3746="Estágio",10,0))))),IF(C3746="Técnico III",SUMIFS($D:$D,$A:$A,$A3746,$B:$B,"&lt;&gt;Patrícia Karla de Sousa Araújo",$B:$B,"&lt;&gt;Lorena Dias de Araujo",$B:$B,"&lt;&gt;Lucas Luiz Romero")*(35/1083),IF(C3746="Técnico II",SUMIFS($D:$D,$A:$A,$A3746,$B:$B,"&lt;&gt;Patrícia Karla de Sousa Araújo",$B:$B,"&lt;&gt;Lorena Dias de Araujo",$B:$B,"&lt;&gt;Lucas Luiz Romero")*(28/1083),IF(C3746="Técnico I",SUMIFS($D:$D,$A:$A,$A3746,$B:$B,"&lt;&gt;Patrícia Karla de Sousa Araújo",$B:$B,"&lt;&gt;Lorena Dias de Araujo",$B:$B,"&lt;&gt;Lucas Luiz Romero")*(23/1083),IF(C3746="JR",SUMIFS($D:$D,$A:$A,$A3746,$B:$B,"&lt;&gt;Patrícia Karla de Sousa Araújo",$B:$B,"&lt;&gt;Lorena Dias de Araujo",$B:$B,"&lt;&gt;Lucas Luiz Romero")*(20/1083),IF(C3746="Estágio",SUMIFS($D:$D,$A:$A,$A3746,$B:$B,"&lt;&gt;Patrícia Karla de Sousa Araújo",$B:$B,"&lt;&gt;Lorena Dias de Araujo",$B:$B,"&lt;&gt;Lucas Luiz Romero")*(10/1083),0)))))),0)</f>
        <v>31</v>
      </c>
      <c r="K3746" s="3">
        <f>I3746-J3746</f>
        <v>-7</v>
      </c>
      <c r="L3746" s="3" t="str">
        <f>IF(K3746&lt;-5,"CRÍTICO",IF(K3746&lt;0,"ATENÇÃO",IF(K3746&lt;=5,"OPORTUNO","MUITO BOM")))</f>
        <v>CRÍTICO</v>
      </c>
      <c r="M3746">
        <v>23</v>
      </c>
      <c r="N3746">
        <v>96.81</v>
      </c>
      <c r="O3746">
        <v>48.018648018648022</v>
      </c>
    </row>
    <row r="3747" spans="1:15" hidden="1" x14ac:dyDescent="0.25">
      <c r="A3747" s="11">
        <v>46119</v>
      </c>
      <c r="B3747" t="s">
        <v>27</v>
      </c>
      <c r="C3747" t="s">
        <v>26</v>
      </c>
      <c r="D3747">
        <v>18</v>
      </c>
      <c r="E3747">
        <v>16</v>
      </c>
      <c r="F3747">
        <v>23.54</v>
      </c>
      <c r="G3747">
        <v>0</v>
      </c>
      <c r="H3747">
        <v>0</v>
      </c>
      <c r="I3747" s="3">
        <f>E3747+G3747+H3747</f>
        <v>16</v>
      </c>
      <c r="J3747" s="3">
        <f>ROUND(MIN(IF(C3747="Técnico III",35,IF(C3747="Técnico II",28,IF(C3747="Técnico I",23,IF(C3747="JR",20,IF(C3747="Estágio",10,0))))),IF(C3747="Técnico III",SUMIFS($D:$D,$A:$A,$A3747,$B:$B,"&lt;&gt;Patrícia Karla de Sousa Araújo",$B:$B,"&lt;&gt;Lorena Dias de Araujo",$B:$B,"&lt;&gt;Lucas Luiz Romero")*(35/1083),IF(C3747="Técnico II",SUMIFS($D:$D,$A:$A,$A3747,$B:$B,"&lt;&gt;Patrícia Karla de Sousa Araújo",$B:$B,"&lt;&gt;Lorena Dias de Araujo",$B:$B,"&lt;&gt;Lucas Luiz Romero")*(28/1083),IF(C3747="Técnico I",SUMIFS($D:$D,$A:$A,$A3747,$B:$B,"&lt;&gt;Patrícia Karla de Sousa Araújo",$B:$B,"&lt;&gt;Lorena Dias de Araujo",$B:$B,"&lt;&gt;Lucas Luiz Romero")*(23/1083),IF(C3747="JR",SUMIFS($D:$D,$A:$A,$A3747,$B:$B,"&lt;&gt;Patrícia Karla de Sousa Araújo",$B:$B,"&lt;&gt;Lorena Dias de Araujo",$B:$B,"&lt;&gt;Lucas Luiz Romero")*(20/1083),IF(C3747="Estágio",SUMIFS($D:$D,$A:$A,$A3747,$B:$B,"&lt;&gt;Patrícia Karla de Sousa Araújo",$B:$B,"&lt;&gt;Lorena Dias de Araujo",$B:$B,"&lt;&gt;Lucas Luiz Romero")*(10/1083),0)))))),0)</f>
        <v>18</v>
      </c>
      <c r="K3747" s="3">
        <f>I3747-J3747</f>
        <v>-2</v>
      </c>
      <c r="L3747" s="3" t="str">
        <f>IF(K3747&lt;-5,"CRÍTICO",IF(K3747&lt;0,"ATENÇÃO",IF(K3747&lt;=5,"OPORTUNO","MUITO BOM")))</f>
        <v>ATENÇÃO</v>
      </c>
      <c r="M3747">
        <v>13</v>
      </c>
      <c r="N3747">
        <v>98.15</v>
      </c>
      <c r="O3747">
        <v>27.1551724137931</v>
      </c>
    </row>
    <row r="3748" spans="1:15" hidden="1" x14ac:dyDescent="0.25">
      <c r="A3748" s="11">
        <v>46119</v>
      </c>
      <c r="B3748" t="s">
        <v>41</v>
      </c>
      <c r="C3748" t="s">
        <v>32</v>
      </c>
      <c r="D3748">
        <v>28</v>
      </c>
      <c r="E3748">
        <v>25</v>
      </c>
      <c r="F3748">
        <v>15.2</v>
      </c>
      <c r="G3748">
        <v>0</v>
      </c>
      <c r="H3748">
        <v>0</v>
      </c>
      <c r="I3748" s="3">
        <f>E3748+G3748+H3748</f>
        <v>25</v>
      </c>
      <c r="J3748" s="3">
        <f>ROUND(MIN(IF(C3748="Técnico III",35,IF(C3748="Técnico II",28,IF(C3748="Técnico I",23,IF(C3748="JR",20,IF(C3748="Estágio",10,0))))),IF(C3748="Técnico III",SUMIFS($D:$D,$A:$A,$A3748,$B:$B,"&lt;&gt;Patrícia Karla de Sousa Araújo",$B:$B,"&lt;&gt;Lorena Dias de Araujo",$B:$B,"&lt;&gt;Lucas Luiz Romero")*(35/1083),IF(C3748="Técnico II",SUMIFS($D:$D,$A:$A,$A3748,$B:$B,"&lt;&gt;Patrícia Karla de Sousa Araújo",$B:$B,"&lt;&gt;Lorena Dias de Araujo",$B:$B,"&lt;&gt;Lucas Luiz Romero")*(28/1083),IF(C3748="Técnico I",SUMIFS($D:$D,$A:$A,$A3748,$B:$B,"&lt;&gt;Patrícia Karla de Sousa Araújo",$B:$B,"&lt;&gt;Lorena Dias de Araujo",$B:$B,"&lt;&gt;Lucas Luiz Romero")*(23/1083),IF(C3748="JR",SUMIFS($D:$D,$A:$A,$A3748,$B:$B,"&lt;&gt;Patrícia Karla de Sousa Araújo",$B:$B,"&lt;&gt;Lorena Dias de Araujo",$B:$B,"&lt;&gt;Lucas Luiz Romero")*(20/1083),IF(C3748="Estágio",SUMIFS($D:$D,$A:$A,$A3748,$B:$B,"&lt;&gt;Patrícia Karla de Sousa Araújo",$B:$B,"&lt;&gt;Lorena Dias de Araujo",$B:$B,"&lt;&gt;Lucas Luiz Romero")*(10/1083),0)))))),0)</f>
        <v>31</v>
      </c>
      <c r="K3748" s="3">
        <f>I3748-J3748</f>
        <v>-6</v>
      </c>
      <c r="L3748" s="3" t="str">
        <f>IF(K3748&lt;-5,"CRÍTICO",IF(K3748&lt;0,"ATENÇÃO",IF(K3748&lt;=5,"OPORTUNO","MUITO BOM")))</f>
        <v>CRÍTICO</v>
      </c>
      <c r="M3748">
        <v>25</v>
      </c>
      <c r="N3748">
        <v>99.15</v>
      </c>
      <c r="O3748">
        <v>27.586206896551719</v>
      </c>
    </row>
    <row r="3749" spans="1:15" hidden="1" x14ac:dyDescent="0.25">
      <c r="A3749" s="11">
        <v>46119</v>
      </c>
      <c r="B3749" t="s">
        <v>56</v>
      </c>
      <c r="C3749" t="s">
        <v>48</v>
      </c>
      <c r="D3749">
        <v>30</v>
      </c>
      <c r="E3749">
        <v>29</v>
      </c>
      <c r="F3749">
        <v>20.48</v>
      </c>
      <c r="G3749">
        <v>0</v>
      </c>
      <c r="H3749">
        <v>0</v>
      </c>
      <c r="I3749" s="3">
        <f>E3749+G3749+H3749</f>
        <v>29</v>
      </c>
      <c r="J3749" s="3">
        <f>ROUND(MIN(IF(C3749="Técnico III",35,IF(C3749="Técnico II",28,IF(C3749="Técnico I",23,IF(C3749="JR",20,IF(C3749="Estágio",10,0))))),IF(C3749="Técnico III",SUMIFS($D:$D,$A:$A,$A3749,$B:$B,"&lt;&gt;Patrícia Karla de Sousa Araújo",$B:$B,"&lt;&gt;Lorena Dias de Araujo",$B:$B,"&lt;&gt;Lucas Luiz Romero")*(35/1083),IF(C3749="Técnico II",SUMIFS($D:$D,$A:$A,$A3749,$B:$B,"&lt;&gt;Patrícia Karla de Sousa Araújo",$B:$B,"&lt;&gt;Lorena Dias de Araujo",$B:$B,"&lt;&gt;Lucas Luiz Romero")*(28/1083),IF(C3749="Técnico I",SUMIFS($D:$D,$A:$A,$A3749,$B:$B,"&lt;&gt;Patrícia Karla de Sousa Araújo",$B:$B,"&lt;&gt;Lorena Dias de Araujo",$B:$B,"&lt;&gt;Lucas Luiz Romero")*(23/1083),IF(C3749="JR",SUMIFS($D:$D,$A:$A,$A3749,$B:$B,"&lt;&gt;Patrícia Karla de Sousa Araújo",$B:$B,"&lt;&gt;Lorena Dias de Araujo",$B:$B,"&lt;&gt;Lucas Luiz Romero")*(20/1083),IF(C3749="Estágio",SUMIFS($D:$D,$A:$A,$A3749,$B:$B,"&lt;&gt;Patrícia Karla de Sousa Araújo",$B:$B,"&lt;&gt;Lorena Dias de Araujo",$B:$B,"&lt;&gt;Lucas Luiz Romero")*(10/1083),0)))))),0)</f>
        <v>25</v>
      </c>
      <c r="K3749" s="3">
        <f>I3749-J3749</f>
        <v>4</v>
      </c>
      <c r="L3749" s="3" t="str">
        <f>IF(K3749&lt;-5,"CRÍTICO",IF(K3749&lt;0,"ATENÇÃO",IF(K3749&lt;=5,"OPORTUNO","MUITO BOM")))</f>
        <v>OPORTUNO</v>
      </c>
      <c r="M3749">
        <v>26</v>
      </c>
      <c r="N3749">
        <v>99.17</v>
      </c>
      <c r="O3749">
        <v>29.75206611570248</v>
      </c>
    </row>
    <row r="3750" spans="1:15" hidden="1" x14ac:dyDescent="0.25">
      <c r="A3750" s="11">
        <v>46119</v>
      </c>
      <c r="B3750" t="s">
        <v>57</v>
      </c>
      <c r="C3750" t="s">
        <v>48</v>
      </c>
      <c r="D3750">
        <v>37</v>
      </c>
      <c r="E3750">
        <v>34</v>
      </c>
      <c r="F3750">
        <v>16.52</v>
      </c>
      <c r="G3750">
        <v>0</v>
      </c>
      <c r="H3750">
        <v>0</v>
      </c>
      <c r="I3750" s="3">
        <v>0</v>
      </c>
      <c r="J3750" s="3">
        <v>0</v>
      </c>
      <c r="K3750" s="3">
        <v>0</v>
      </c>
      <c r="L3750" s="3" t="str">
        <f>IF(K3750&lt;-5,"CRÍTICO",IF(K3750&lt;0,"ATENÇÃO",IF(K3750&lt;=5,"OPORTUNO","MUITO BOM")))</f>
        <v>OPORTUNO</v>
      </c>
      <c r="M3750">
        <v>33</v>
      </c>
      <c r="N3750">
        <v>98.73</v>
      </c>
      <c r="O3750">
        <v>28.961748633879779</v>
      </c>
    </row>
    <row r="3751" spans="1:15" hidden="1" x14ac:dyDescent="0.25">
      <c r="A3751" s="11">
        <v>46119</v>
      </c>
      <c r="B3751" t="s">
        <v>42</v>
      </c>
      <c r="C3751" t="s">
        <v>32</v>
      </c>
      <c r="D3751">
        <v>35</v>
      </c>
      <c r="E3751">
        <v>30</v>
      </c>
      <c r="F3751">
        <v>20.04</v>
      </c>
      <c r="G3751">
        <v>0</v>
      </c>
      <c r="H3751">
        <v>0</v>
      </c>
      <c r="I3751" s="3">
        <f>E3751+G3751+H3751</f>
        <v>30</v>
      </c>
      <c r="J3751" s="3">
        <f>ROUND(MIN(IF(C3751="Técnico III",35,IF(C3751="Técnico II",28,IF(C3751="Técnico I",23,IF(C3751="JR",20,IF(C3751="Estágio",10,0))))),IF(C3751="Técnico III",SUMIFS($D:$D,$A:$A,$A3751,$B:$B,"&lt;&gt;Patrícia Karla de Sousa Araújo",$B:$B,"&lt;&gt;Lorena Dias de Araujo",$B:$B,"&lt;&gt;Lucas Luiz Romero")*(35/1083),IF(C3751="Técnico II",SUMIFS($D:$D,$A:$A,$A3751,$B:$B,"&lt;&gt;Patrícia Karla de Sousa Araújo",$B:$B,"&lt;&gt;Lorena Dias de Araujo",$B:$B,"&lt;&gt;Lucas Luiz Romero")*(28/1083),IF(C3751="Técnico I",SUMIFS($D:$D,$A:$A,$A3751,$B:$B,"&lt;&gt;Patrícia Karla de Sousa Araújo",$B:$B,"&lt;&gt;Lorena Dias de Araujo",$B:$B,"&lt;&gt;Lucas Luiz Romero")*(23/1083),IF(C3751="JR",SUMIFS($D:$D,$A:$A,$A3751,$B:$B,"&lt;&gt;Patrícia Karla de Sousa Araújo",$B:$B,"&lt;&gt;Lorena Dias de Araujo",$B:$B,"&lt;&gt;Lucas Luiz Romero")*(20/1083),IF(C3751="Estágio",SUMIFS($D:$D,$A:$A,$A3751,$B:$B,"&lt;&gt;Patrícia Karla de Sousa Araújo",$B:$B,"&lt;&gt;Lorena Dias de Araujo",$B:$B,"&lt;&gt;Lucas Luiz Romero")*(10/1083),0)))))),0)</f>
        <v>31</v>
      </c>
      <c r="K3751" s="3">
        <f>I3751-J3751</f>
        <v>-1</v>
      </c>
      <c r="L3751" s="3" t="str">
        <f>IF(K3751&lt;-5,"CRÍTICO",IF(K3751&lt;0,"ATENÇÃO",IF(K3751&lt;=5,"OPORTUNO","MUITO BOM")))</f>
        <v>ATENÇÃO</v>
      </c>
      <c r="M3751">
        <v>21</v>
      </c>
      <c r="N3751">
        <v>88.68</v>
      </c>
      <c r="O3751">
        <v>22.03389830508474</v>
      </c>
    </row>
    <row r="3752" spans="1:15" hidden="1" x14ac:dyDescent="0.25">
      <c r="A3752" s="11">
        <v>46119</v>
      </c>
      <c r="B3752" t="s">
        <v>62</v>
      </c>
      <c r="C3752" t="s">
        <v>23</v>
      </c>
      <c r="D3752">
        <v>12</v>
      </c>
      <c r="E3752">
        <v>12</v>
      </c>
      <c r="F3752">
        <v>20.14</v>
      </c>
      <c r="G3752">
        <v>0</v>
      </c>
      <c r="H3752">
        <v>0</v>
      </c>
      <c r="I3752" s="3">
        <f>E3752+G3752+H3752</f>
        <v>12</v>
      </c>
      <c r="J3752" s="3">
        <f>ROUND(MIN(IF(C3752="Técnico III",35,IF(C3752="Técnico II",28,IF(C3752="Técnico I",23,IF(C3752="JR",20,IF(C3752="Estágio",10,0))))),IF(C3752="Técnico III",SUMIFS($D:$D,$A:$A,$A3752,$B:$B,"&lt;&gt;Patrícia Karla de Sousa Araújo",$B:$B,"&lt;&gt;Lorena Dias de Araujo",$B:$B,"&lt;&gt;Lucas Luiz Romero")*(35/1083),IF(C3752="Técnico II",SUMIFS($D:$D,$A:$A,$A3752,$B:$B,"&lt;&gt;Patrícia Karla de Sousa Araújo",$B:$B,"&lt;&gt;Lorena Dias de Araujo",$B:$B,"&lt;&gt;Lucas Luiz Romero")*(28/1083),IF(C3752="Técnico I",SUMIFS($D:$D,$A:$A,$A3752,$B:$B,"&lt;&gt;Patrícia Karla de Sousa Araújo",$B:$B,"&lt;&gt;Lorena Dias de Araujo",$B:$B,"&lt;&gt;Lucas Luiz Romero")*(23/1083),IF(C3752="JR",SUMIFS($D:$D,$A:$A,$A3752,$B:$B,"&lt;&gt;Patrícia Karla de Sousa Araújo",$B:$B,"&lt;&gt;Lorena Dias de Araujo",$B:$B,"&lt;&gt;Lucas Luiz Romero")*(20/1083),IF(C3752="Estágio",SUMIFS($D:$D,$A:$A,$A3752,$B:$B,"&lt;&gt;Patrícia Karla de Sousa Araújo",$B:$B,"&lt;&gt;Lorena Dias de Araujo",$B:$B,"&lt;&gt;Lucas Luiz Romero")*(10/1083),0)))))),0)</f>
        <v>21</v>
      </c>
      <c r="K3752" s="3">
        <f>I3752-J3752</f>
        <v>-9</v>
      </c>
      <c r="L3752" s="3" t="str">
        <f>IF(K3752&lt;-5,"CRÍTICO",IF(K3752&lt;0,"ATENÇÃO",IF(K3752&lt;=5,"OPORTUNO","MUITO BOM")))</f>
        <v>CRÍTICO</v>
      </c>
      <c r="M3752">
        <v>11</v>
      </c>
      <c r="N3752">
        <v>97.37</v>
      </c>
      <c r="O3752">
        <v>25.76530612244898</v>
      </c>
    </row>
    <row r="3753" spans="1:15" hidden="1" x14ac:dyDescent="0.25">
      <c r="A3753" s="11">
        <v>46119</v>
      </c>
      <c r="B3753" t="s">
        <v>19</v>
      </c>
      <c r="C3753" t="s">
        <v>16</v>
      </c>
      <c r="D3753">
        <v>11</v>
      </c>
      <c r="E3753">
        <v>10</v>
      </c>
      <c r="F3753">
        <v>33.31</v>
      </c>
      <c r="G3753">
        <v>0</v>
      </c>
      <c r="H3753">
        <v>0</v>
      </c>
      <c r="I3753" s="3">
        <f>E3753+G3753+H3753</f>
        <v>10</v>
      </c>
      <c r="J3753" s="3">
        <f>ROUND(MIN(IF(C3753="Técnico III",35,IF(C3753="Técnico II",28,IF(C3753="Técnico I",23,IF(C3753="JR",20,IF(C3753="Estágio",10,0))))),IF(C3753="Técnico III",SUMIFS($D:$D,$A:$A,$A3753,$B:$B,"&lt;&gt;Patrícia Karla de Sousa Araújo",$B:$B,"&lt;&gt;Lorena Dias de Araujo",$B:$B,"&lt;&gt;Lucas Luiz Romero")*(35/1083),IF(C3753="Técnico II",SUMIFS($D:$D,$A:$A,$A3753,$B:$B,"&lt;&gt;Patrícia Karla de Sousa Araújo",$B:$B,"&lt;&gt;Lorena Dias de Araujo",$B:$B,"&lt;&gt;Lucas Luiz Romero")*(28/1083),IF(C3753="Técnico I",SUMIFS($D:$D,$A:$A,$A3753,$B:$B,"&lt;&gt;Patrícia Karla de Sousa Araújo",$B:$B,"&lt;&gt;Lorena Dias de Araujo",$B:$B,"&lt;&gt;Lucas Luiz Romero")*(23/1083),IF(C3753="JR",SUMIFS($D:$D,$A:$A,$A3753,$B:$B,"&lt;&gt;Patrícia Karla de Sousa Araújo",$B:$B,"&lt;&gt;Lorena Dias de Araujo",$B:$B,"&lt;&gt;Lucas Luiz Romero")*(20/1083),IF(C3753="Estágio",SUMIFS($D:$D,$A:$A,$A3753,$B:$B,"&lt;&gt;Patrícia Karla de Sousa Araújo",$B:$B,"&lt;&gt;Lorena Dias de Araujo",$B:$B,"&lt;&gt;Lucas Luiz Romero")*(10/1083),0)))))),0)</f>
        <v>9</v>
      </c>
      <c r="K3753" s="3">
        <f>I3753-J3753</f>
        <v>1</v>
      </c>
      <c r="L3753" s="3" t="str">
        <f>IF(K3753&lt;-5,"CRÍTICO",IF(K3753&lt;0,"ATENÇÃO",IF(K3753&lt;=5,"OPORTUNO","MUITO BOM")))</f>
        <v>OPORTUNO</v>
      </c>
      <c r="M3753">
        <v>7</v>
      </c>
      <c r="N3753">
        <v>100</v>
      </c>
      <c r="O3753">
        <v>25</v>
      </c>
    </row>
    <row r="3754" spans="1:15" hidden="1" x14ac:dyDescent="0.25">
      <c r="A3754" s="11">
        <v>46119</v>
      </c>
      <c r="B3754" t="s">
        <v>43</v>
      </c>
      <c r="C3754" t="s">
        <v>32</v>
      </c>
      <c r="D3754">
        <v>44</v>
      </c>
      <c r="E3754">
        <v>43</v>
      </c>
      <c r="F3754">
        <v>15.07</v>
      </c>
      <c r="G3754">
        <v>0</v>
      </c>
      <c r="H3754">
        <v>0</v>
      </c>
      <c r="I3754" s="3">
        <f>E3754+G3754+H3754</f>
        <v>43</v>
      </c>
      <c r="J3754" s="3">
        <f>ROUND(MIN(IF(C3754="Técnico III",35,IF(C3754="Técnico II",28,IF(C3754="Técnico I",23,IF(C3754="JR",20,IF(C3754="Estágio",10,0))))),IF(C3754="Técnico III",SUMIFS($D:$D,$A:$A,$A3754,$B:$B,"&lt;&gt;Patrícia Karla de Sousa Araújo",$B:$B,"&lt;&gt;Lorena Dias de Araujo",$B:$B,"&lt;&gt;Lucas Luiz Romero")*(35/1083),IF(C3754="Técnico II",SUMIFS($D:$D,$A:$A,$A3754,$B:$B,"&lt;&gt;Patrícia Karla de Sousa Araújo",$B:$B,"&lt;&gt;Lorena Dias de Araujo",$B:$B,"&lt;&gt;Lucas Luiz Romero")*(28/1083),IF(C3754="Técnico I",SUMIFS($D:$D,$A:$A,$A3754,$B:$B,"&lt;&gt;Patrícia Karla de Sousa Araújo",$B:$B,"&lt;&gt;Lorena Dias de Araujo",$B:$B,"&lt;&gt;Lucas Luiz Romero")*(23/1083),IF(C3754="JR",SUMIFS($D:$D,$A:$A,$A3754,$B:$B,"&lt;&gt;Patrícia Karla de Sousa Araújo",$B:$B,"&lt;&gt;Lorena Dias de Araujo",$B:$B,"&lt;&gt;Lucas Luiz Romero")*(20/1083),IF(C3754="Estágio",SUMIFS($D:$D,$A:$A,$A3754,$B:$B,"&lt;&gt;Patrícia Karla de Sousa Araújo",$B:$B,"&lt;&gt;Lorena Dias de Araujo",$B:$B,"&lt;&gt;Lucas Luiz Romero")*(10/1083),0)))))),0)</f>
        <v>31</v>
      </c>
      <c r="K3754" s="3">
        <f>I3754-J3754</f>
        <v>12</v>
      </c>
      <c r="L3754" s="3" t="str">
        <f>IF(K3754&lt;-5,"CRÍTICO",IF(K3754&lt;0,"ATENÇÃO",IF(K3754&lt;=5,"OPORTUNO","MUITO BOM")))</f>
        <v>MUITO BOM</v>
      </c>
      <c r="M3754">
        <v>40</v>
      </c>
      <c r="N3754">
        <v>100</v>
      </c>
      <c r="O3754">
        <v>23.9870340356564</v>
      </c>
    </row>
    <row r="3755" spans="1:15" hidden="1" x14ac:dyDescent="0.25">
      <c r="A3755" s="11">
        <v>46119</v>
      </c>
      <c r="B3755" t="s">
        <v>44</v>
      </c>
      <c r="C3755" t="s">
        <v>32</v>
      </c>
      <c r="D3755">
        <v>40</v>
      </c>
      <c r="E3755">
        <v>35</v>
      </c>
      <c r="F3755">
        <v>12.18</v>
      </c>
      <c r="G3755">
        <v>0</v>
      </c>
      <c r="H3755">
        <v>0</v>
      </c>
      <c r="I3755" s="3">
        <f>E3755+G3755+H3755</f>
        <v>35</v>
      </c>
      <c r="J3755" s="3">
        <f>ROUND(MIN(IF(C3755="Técnico III",35,IF(C3755="Técnico II",28,IF(C3755="Técnico I",23,IF(C3755="JR",20,IF(C3755="Estágio",10,0))))),IF(C3755="Técnico III",SUMIFS($D:$D,$A:$A,$A3755,$B:$B,"&lt;&gt;Patrícia Karla de Sousa Araújo",$B:$B,"&lt;&gt;Lorena Dias de Araujo",$B:$B,"&lt;&gt;Lucas Luiz Romero")*(35/1083),IF(C3755="Técnico II",SUMIFS($D:$D,$A:$A,$A3755,$B:$B,"&lt;&gt;Patrícia Karla de Sousa Araújo",$B:$B,"&lt;&gt;Lorena Dias de Araujo",$B:$B,"&lt;&gt;Lucas Luiz Romero")*(28/1083),IF(C3755="Técnico I",SUMIFS($D:$D,$A:$A,$A3755,$B:$B,"&lt;&gt;Patrícia Karla de Sousa Araújo",$B:$B,"&lt;&gt;Lorena Dias de Araujo",$B:$B,"&lt;&gt;Lucas Luiz Romero")*(23/1083),IF(C3755="JR",SUMIFS($D:$D,$A:$A,$A3755,$B:$B,"&lt;&gt;Patrícia Karla de Sousa Araújo",$B:$B,"&lt;&gt;Lorena Dias de Araujo",$B:$B,"&lt;&gt;Lucas Luiz Romero")*(20/1083),IF(C3755="Estágio",SUMIFS($D:$D,$A:$A,$A3755,$B:$B,"&lt;&gt;Patrícia Karla de Sousa Araújo",$B:$B,"&lt;&gt;Lorena Dias de Araujo",$B:$B,"&lt;&gt;Lucas Luiz Romero")*(10/1083),0)))))),0)</f>
        <v>31</v>
      </c>
      <c r="K3755" s="3">
        <f>I3755-J3755</f>
        <v>4</v>
      </c>
      <c r="L3755" s="3" t="str">
        <f>IF(K3755&lt;-5,"CRÍTICO",IF(K3755&lt;0,"ATENÇÃO",IF(K3755&lt;=5,"OPORTUNO","MUITO BOM")))</f>
        <v>OPORTUNO</v>
      </c>
      <c r="M3755">
        <v>27</v>
      </c>
      <c r="N3755">
        <v>95.49</v>
      </c>
      <c r="O3755">
        <v>28.370221327967808</v>
      </c>
    </row>
    <row r="3756" spans="1:15" hidden="1" x14ac:dyDescent="0.25">
      <c r="A3756" s="11">
        <v>46119</v>
      </c>
      <c r="B3756" t="s">
        <v>20</v>
      </c>
      <c r="C3756" t="s">
        <v>16</v>
      </c>
      <c r="D3756">
        <v>11</v>
      </c>
      <c r="E3756">
        <v>10</v>
      </c>
      <c r="F3756">
        <v>17.02</v>
      </c>
      <c r="G3756">
        <v>0</v>
      </c>
      <c r="H3756">
        <v>0</v>
      </c>
      <c r="I3756" s="3">
        <f>E3756+G3756+H3756</f>
        <v>10</v>
      </c>
      <c r="J3756" s="3">
        <f>ROUND(MIN(IF(C3756="Técnico III",35,IF(C3756="Técnico II",28,IF(C3756="Técnico I",23,IF(C3756="JR",20,IF(C3756="Estágio",10,0))))),IF(C3756="Técnico III",SUMIFS($D:$D,$A:$A,$A3756,$B:$B,"&lt;&gt;Patrícia Karla de Sousa Araújo",$B:$B,"&lt;&gt;Lorena Dias de Araujo",$B:$B,"&lt;&gt;Lucas Luiz Romero")*(35/1083),IF(C3756="Técnico II",SUMIFS($D:$D,$A:$A,$A3756,$B:$B,"&lt;&gt;Patrícia Karla de Sousa Araújo",$B:$B,"&lt;&gt;Lorena Dias de Araujo",$B:$B,"&lt;&gt;Lucas Luiz Romero")*(28/1083),IF(C3756="Técnico I",SUMIFS($D:$D,$A:$A,$A3756,$B:$B,"&lt;&gt;Patrícia Karla de Sousa Araújo",$B:$B,"&lt;&gt;Lorena Dias de Araujo",$B:$B,"&lt;&gt;Lucas Luiz Romero")*(23/1083),IF(C3756="JR",SUMIFS($D:$D,$A:$A,$A3756,$B:$B,"&lt;&gt;Patrícia Karla de Sousa Araújo",$B:$B,"&lt;&gt;Lorena Dias de Araujo",$B:$B,"&lt;&gt;Lucas Luiz Romero")*(20/1083),IF(C3756="Estágio",SUMIFS($D:$D,$A:$A,$A3756,$B:$B,"&lt;&gt;Patrícia Karla de Sousa Araújo",$B:$B,"&lt;&gt;Lorena Dias de Araujo",$B:$B,"&lt;&gt;Lucas Luiz Romero")*(10/1083),0)))))),0)</f>
        <v>9</v>
      </c>
      <c r="K3756" s="3">
        <f>I3756-J3756</f>
        <v>1</v>
      </c>
      <c r="L3756" s="3" t="str">
        <f>IF(K3756&lt;-5,"CRÍTICO",IF(K3756&lt;0,"ATENÇÃO",IF(K3756&lt;=5,"OPORTUNO","MUITO BOM")))</f>
        <v>OPORTUNO</v>
      </c>
      <c r="M3756">
        <v>9</v>
      </c>
      <c r="N3756">
        <v>100</v>
      </c>
      <c r="O3756">
        <v>23.77622377622378</v>
      </c>
    </row>
    <row r="3757" spans="1:15" hidden="1" x14ac:dyDescent="0.25">
      <c r="A3757" s="11">
        <v>46119</v>
      </c>
      <c r="B3757" t="s">
        <v>28</v>
      </c>
      <c r="C3757" t="s">
        <v>26</v>
      </c>
      <c r="D3757">
        <v>23</v>
      </c>
      <c r="E3757">
        <v>19</v>
      </c>
      <c r="F3757">
        <v>23.44</v>
      </c>
      <c r="G3757">
        <v>0</v>
      </c>
      <c r="H3757">
        <v>0</v>
      </c>
      <c r="I3757" s="3">
        <f>E3757+G3757+H3757</f>
        <v>19</v>
      </c>
      <c r="J3757" s="3">
        <f>ROUND(MIN(IF(C3757="Técnico III",35,IF(C3757="Técnico II",28,IF(C3757="Técnico I",23,IF(C3757="JR",20,IF(C3757="Estágio",10,0))))),IF(C3757="Técnico III",SUMIFS($D:$D,$A:$A,$A3757,$B:$B,"&lt;&gt;Patrícia Karla de Sousa Araújo",$B:$B,"&lt;&gt;Lorena Dias de Araujo",$B:$B,"&lt;&gt;Lucas Luiz Romero")*(35/1083),IF(C3757="Técnico II",SUMIFS($D:$D,$A:$A,$A3757,$B:$B,"&lt;&gt;Patrícia Karla de Sousa Araújo",$B:$B,"&lt;&gt;Lorena Dias de Araujo",$B:$B,"&lt;&gt;Lucas Luiz Romero")*(28/1083),IF(C3757="Técnico I",SUMIFS($D:$D,$A:$A,$A3757,$B:$B,"&lt;&gt;Patrícia Karla de Sousa Araújo",$B:$B,"&lt;&gt;Lorena Dias de Araujo",$B:$B,"&lt;&gt;Lucas Luiz Romero")*(23/1083),IF(C3757="JR",SUMIFS($D:$D,$A:$A,$A3757,$B:$B,"&lt;&gt;Patrícia Karla de Sousa Araújo",$B:$B,"&lt;&gt;Lorena Dias de Araujo",$B:$B,"&lt;&gt;Lucas Luiz Romero")*(20/1083),IF(C3757="Estágio",SUMIFS($D:$D,$A:$A,$A3757,$B:$B,"&lt;&gt;Patrícia Karla de Sousa Araújo",$B:$B,"&lt;&gt;Lorena Dias de Araujo",$B:$B,"&lt;&gt;Lucas Luiz Romero")*(10/1083),0)))))),0)</f>
        <v>18</v>
      </c>
      <c r="K3757" s="3">
        <f>I3757-J3757</f>
        <v>1</v>
      </c>
      <c r="L3757" s="3" t="str">
        <f>IF(K3757&lt;-5,"CRÍTICO",IF(K3757&lt;0,"ATENÇÃO",IF(K3757&lt;=5,"OPORTUNO","MUITO BOM")))</f>
        <v>OPORTUNO</v>
      </c>
      <c r="M3757">
        <v>12</v>
      </c>
      <c r="N3757">
        <v>96.15</v>
      </c>
      <c r="O3757">
        <v>24.045801526717561</v>
      </c>
    </row>
    <row r="3758" spans="1:15" hidden="1" x14ac:dyDescent="0.25">
      <c r="A3758" s="11">
        <v>46119</v>
      </c>
      <c r="B3758" t="s">
        <v>58</v>
      </c>
      <c r="C3758" t="s">
        <v>48</v>
      </c>
      <c r="D3758">
        <v>19</v>
      </c>
      <c r="E3758">
        <v>19</v>
      </c>
      <c r="F3758">
        <v>23.54</v>
      </c>
      <c r="G3758">
        <v>0</v>
      </c>
      <c r="H3758">
        <v>0</v>
      </c>
      <c r="I3758" s="3">
        <f>E3758+G3758+H3758</f>
        <v>19</v>
      </c>
      <c r="J3758" s="3">
        <f>ROUND(MIN(IF(C3758="Técnico III",35,IF(C3758="Técnico II",28,IF(C3758="Técnico I",23,IF(C3758="JR",20,IF(C3758="Estágio",10,0))))),IF(C3758="Técnico III",SUMIFS($D:$D,$A:$A,$A3758,$B:$B,"&lt;&gt;Patrícia Karla de Sousa Araújo",$B:$B,"&lt;&gt;Lorena Dias de Araujo",$B:$B,"&lt;&gt;Lucas Luiz Romero")*(35/1083),IF(C3758="Técnico II",SUMIFS($D:$D,$A:$A,$A3758,$B:$B,"&lt;&gt;Patrícia Karla de Sousa Araújo",$B:$B,"&lt;&gt;Lorena Dias de Araujo",$B:$B,"&lt;&gt;Lucas Luiz Romero")*(28/1083),IF(C3758="Técnico I",SUMIFS($D:$D,$A:$A,$A3758,$B:$B,"&lt;&gt;Patrícia Karla de Sousa Araújo",$B:$B,"&lt;&gt;Lorena Dias de Araujo",$B:$B,"&lt;&gt;Lucas Luiz Romero")*(23/1083),IF(C3758="JR",SUMIFS($D:$D,$A:$A,$A3758,$B:$B,"&lt;&gt;Patrícia Karla de Sousa Araújo",$B:$B,"&lt;&gt;Lorena Dias de Araujo",$B:$B,"&lt;&gt;Lucas Luiz Romero")*(20/1083),IF(C3758="Estágio",SUMIFS($D:$D,$A:$A,$A3758,$B:$B,"&lt;&gt;Patrícia Karla de Sousa Araújo",$B:$B,"&lt;&gt;Lorena Dias de Araujo",$B:$B,"&lt;&gt;Lucas Luiz Romero")*(10/1083),0)))))),0)</f>
        <v>25</v>
      </c>
      <c r="K3758" s="3">
        <f>I3758-J3758</f>
        <v>-6</v>
      </c>
      <c r="L3758" s="3" t="str">
        <f>IF(K3758&lt;-5,"CRÍTICO",IF(K3758&lt;0,"ATENÇÃO",IF(K3758&lt;=5,"OPORTUNO","MUITO BOM")))</f>
        <v>CRÍTICO</v>
      </c>
      <c r="M3758">
        <v>18</v>
      </c>
      <c r="N3758">
        <v>99.02</v>
      </c>
      <c r="O3758">
        <v>34.797297297297298</v>
      </c>
    </row>
    <row r="3759" spans="1:15" hidden="1" x14ac:dyDescent="0.25">
      <c r="A3759" s="11">
        <v>46119</v>
      </c>
      <c r="B3759" t="s">
        <v>29</v>
      </c>
      <c r="C3759" t="s">
        <v>26</v>
      </c>
      <c r="D3759">
        <v>16</v>
      </c>
      <c r="E3759">
        <v>16</v>
      </c>
      <c r="F3759">
        <v>17.36</v>
      </c>
      <c r="G3759">
        <v>0</v>
      </c>
      <c r="H3759">
        <v>0</v>
      </c>
      <c r="I3759" s="3">
        <f>E3759+G3759+H3759</f>
        <v>16</v>
      </c>
      <c r="J3759" s="3">
        <f>ROUND(MIN(IF(C3759="Técnico III",35,IF(C3759="Técnico II",28,IF(C3759="Técnico I",23,IF(C3759="JR",20,IF(C3759="Estágio",10,0))))),IF(C3759="Técnico III",SUMIFS($D:$D,$A:$A,$A3759,$B:$B,"&lt;&gt;Patrícia Karla de Sousa Araújo",$B:$B,"&lt;&gt;Lorena Dias de Araujo",$B:$B,"&lt;&gt;Lucas Luiz Romero")*(35/1083),IF(C3759="Técnico II",SUMIFS($D:$D,$A:$A,$A3759,$B:$B,"&lt;&gt;Patrícia Karla de Sousa Araújo",$B:$B,"&lt;&gt;Lorena Dias de Araujo",$B:$B,"&lt;&gt;Lucas Luiz Romero")*(28/1083),IF(C3759="Técnico I",SUMIFS($D:$D,$A:$A,$A3759,$B:$B,"&lt;&gt;Patrícia Karla de Sousa Araújo",$B:$B,"&lt;&gt;Lorena Dias de Araujo",$B:$B,"&lt;&gt;Lucas Luiz Romero")*(23/1083),IF(C3759="JR",SUMIFS($D:$D,$A:$A,$A3759,$B:$B,"&lt;&gt;Patrícia Karla de Sousa Araújo",$B:$B,"&lt;&gt;Lorena Dias de Araujo",$B:$B,"&lt;&gt;Lucas Luiz Romero")*(20/1083),IF(C3759="Estágio",SUMIFS($D:$D,$A:$A,$A3759,$B:$B,"&lt;&gt;Patrícia Karla de Sousa Araújo",$B:$B,"&lt;&gt;Lorena Dias de Araujo",$B:$B,"&lt;&gt;Lucas Luiz Romero")*(10/1083),0)))))),0)</f>
        <v>18</v>
      </c>
      <c r="K3759" s="3">
        <f>I3759-J3759</f>
        <v>-2</v>
      </c>
      <c r="L3759" s="3" t="str">
        <f>IF(K3759&lt;-5,"CRÍTICO",IF(K3759&lt;0,"ATENÇÃO",IF(K3759&lt;=5,"OPORTUNO","MUITO BOM")))</f>
        <v>ATENÇÃO</v>
      </c>
      <c r="M3759">
        <v>15</v>
      </c>
      <c r="N3759">
        <v>98.84</v>
      </c>
      <c r="O3759">
        <v>31.868131868131869</v>
      </c>
    </row>
    <row r="3760" spans="1:15" hidden="1" x14ac:dyDescent="0.25">
      <c r="A3760" s="11">
        <v>46119</v>
      </c>
      <c r="B3760" t="s">
        <v>30</v>
      </c>
      <c r="C3760" t="s">
        <v>26</v>
      </c>
      <c r="D3760">
        <v>18</v>
      </c>
      <c r="E3760">
        <v>16</v>
      </c>
      <c r="F3760">
        <v>20.14</v>
      </c>
      <c r="G3760">
        <v>0</v>
      </c>
      <c r="H3760">
        <v>0</v>
      </c>
      <c r="I3760" s="3">
        <f>E3760+G3760+H3760</f>
        <v>16</v>
      </c>
      <c r="J3760" s="3">
        <f>ROUND(MIN(IF(C3760="Técnico III",35,IF(C3760="Técnico II",28,IF(C3760="Técnico I",23,IF(C3760="JR",20,IF(C3760="Estágio",10,0))))),IF(C3760="Técnico III",SUMIFS($D:$D,$A:$A,$A3760,$B:$B,"&lt;&gt;Patrícia Karla de Sousa Araújo",$B:$B,"&lt;&gt;Lorena Dias de Araujo",$B:$B,"&lt;&gt;Lucas Luiz Romero")*(35/1083),IF(C3760="Técnico II",SUMIFS($D:$D,$A:$A,$A3760,$B:$B,"&lt;&gt;Patrícia Karla de Sousa Araújo",$B:$B,"&lt;&gt;Lorena Dias de Araujo",$B:$B,"&lt;&gt;Lucas Luiz Romero")*(28/1083),IF(C3760="Técnico I",SUMIFS($D:$D,$A:$A,$A3760,$B:$B,"&lt;&gt;Patrícia Karla de Sousa Araújo",$B:$B,"&lt;&gt;Lorena Dias de Araujo",$B:$B,"&lt;&gt;Lucas Luiz Romero")*(23/1083),IF(C3760="JR",SUMIFS($D:$D,$A:$A,$A3760,$B:$B,"&lt;&gt;Patrícia Karla de Sousa Araújo",$B:$B,"&lt;&gt;Lorena Dias de Araujo",$B:$B,"&lt;&gt;Lucas Luiz Romero")*(20/1083),IF(C3760="Estágio",SUMIFS($D:$D,$A:$A,$A3760,$B:$B,"&lt;&gt;Patrícia Karla de Sousa Araújo",$B:$B,"&lt;&gt;Lorena Dias de Araujo",$B:$B,"&lt;&gt;Lucas Luiz Romero")*(10/1083),0)))))),0)</f>
        <v>18</v>
      </c>
      <c r="K3760" s="3">
        <f>I3760-J3760</f>
        <v>-2</v>
      </c>
      <c r="L3760" s="3" t="str">
        <f>IF(K3760&lt;-5,"CRÍTICO",IF(K3760&lt;0,"ATENÇÃO",IF(K3760&lt;=5,"OPORTUNO","MUITO BOM")))</f>
        <v>ATENÇÃO</v>
      </c>
      <c r="M3760">
        <v>13</v>
      </c>
      <c r="N3760">
        <v>100</v>
      </c>
      <c r="O3760">
        <v>34.666666666666671</v>
      </c>
    </row>
    <row r="3761" spans="1:15" hidden="1" x14ac:dyDescent="0.25">
      <c r="A3761" s="11">
        <v>46119</v>
      </c>
      <c r="B3761" t="s">
        <v>21</v>
      </c>
      <c r="C3761" t="s">
        <v>16</v>
      </c>
      <c r="D3761">
        <v>10</v>
      </c>
      <c r="E3761">
        <v>9</v>
      </c>
      <c r="F3761">
        <v>18.21</v>
      </c>
      <c r="G3761">
        <v>0</v>
      </c>
      <c r="H3761">
        <v>0</v>
      </c>
      <c r="I3761" s="3">
        <f>E3761+G3761+H3761</f>
        <v>9</v>
      </c>
      <c r="J3761" s="3">
        <f>ROUND(MIN(IF(C3761="Técnico III",35,IF(C3761="Técnico II",28,IF(C3761="Técnico I",23,IF(C3761="JR",20,IF(C3761="Estágio",10,0))))),IF(C3761="Técnico III",SUMIFS($D:$D,$A:$A,$A3761,$B:$B,"&lt;&gt;Patrícia Karla de Sousa Araújo",$B:$B,"&lt;&gt;Lorena Dias de Araujo",$B:$B,"&lt;&gt;Lucas Luiz Romero")*(35/1083),IF(C3761="Técnico II",SUMIFS($D:$D,$A:$A,$A3761,$B:$B,"&lt;&gt;Patrícia Karla de Sousa Araújo",$B:$B,"&lt;&gt;Lorena Dias de Araujo",$B:$B,"&lt;&gt;Lucas Luiz Romero")*(28/1083),IF(C3761="Técnico I",SUMIFS($D:$D,$A:$A,$A3761,$B:$B,"&lt;&gt;Patrícia Karla de Sousa Araújo",$B:$B,"&lt;&gt;Lorena Dias de Araujo",$B:$B,"&lt;&gt;Lucas Luiz Romero")*(23/1083),IF(C3761="JR",SUMIFS($D:$D,$A:$A,$A3761,$B:$B,"&lt;&gt;Patrícia Karla de Sousa Araújo",$B:$B,"&lt;&gt;Lorena Dias de Araujo",$B:$B,"&lt;&gt;Lucas Luiz Romero")*(20/1083),IF(C3761="Estágio",SUMIFS($D:$D,$A:$A,$A3761,$B:$B,"&lt;&gt;Patrícia Karla de Sousa Araújo",$B:$B,"&lt;&gt;Lorena Dias de Araujo",$B:$B,"&lt;&gt;Lucas Luiz Romero")*(10/1083),0)))))),0)</f>
        <v>9</v>
      </c>
      <c r="K3761" s="3">
        <f>I3761-J3761</f>
        <v>0</v>
      </c>
      <c r="L3761" s="3" t="str">
        <f>IF(K3761&lt;-5,"CRÍTICO",IF(K3761&lt;0,"ATENÇÃO",IF(K3761&lt;=5,"OPORTUNO","MUITO BOM")))</f>
        <v>OPORTUNO</v>
      </c>
      <c r="M3761">
        <v>5</v>
      </c>
      <c r="N3761">
        <v>94.12</v>
      </c>
      <c r="O3761">
        <v>32.799999999999997</v>
      </c>
    </row>
    <row r="3762" spans="1:15" hidden="1" x14ac:dyDescent="0.25">
      <c r="A3762" s="11">
        <v>46119</v>
      </c>
      <c r="B3762" t="s">
        <v>63</v>
      </c>
      <c r="C3762" t="s">
        <v>23</v>
      </c>
      <c r="D3762">
        <v>36</v>
      </c>
      <c r="E3762">
        <v>31</v>
      </c>
      <c r="F3762">
        <v>13.3</v>
      </c>
      <c r="G3762">
        <v>0</v>
      </c>
      <c r="H3762">
        <v>0</v>
      </c>
      <c r="I3762" s="3">
        <f>E3762+G3762+H3762</f>
        <v>31</v>
      </c>
      <c r="J3762" s="3">
        <f>ROUND(MIN(IF(C3762="Técnico III",35,IF(C3762="Técnico II",28,IF(C3762="Técnico I",23,IF(C3762="JR",20,IF(C3762="Estágio",10,0))))),IF(C3762="Técnico III",SUMIFS($D:$D,$A:$A,$A3762,$B:$B,"&lt;&gt;Patrícia Karla de Sousa Araújo",$B:$B,"&lt;&gt;Lorena Dias de Araujo",$B:$B,"&lt;&gt;Lucas Luiz Romero")*(35/1083),IF(C3762="Técnico II",SUMIFS($D:$D,$A:$A,$A3762,$B:$B,"&lt;&gt;Patrícia Karla de Sousa Araújo",$B:$B,"&lt;&gt;Lorena Dias de Araujo",$B:$B,"&lt;&gt;Lucas Luiz Romero")*(28/1083),IF(C3762="Técnico I",SUMIFS($D:$D,$A:$A,$A3762,$B:$B,"&lt;&gt;Patrícia Karla de Sousa Araújo",$B:$B,"&lt;&gt;Lorena Dias de Araujo",$B:$B,"&lt;&gt;Lucas Luiz Romero")*(23/1083),IF(C3762="JR",SUMIFS($D:$D,$A:$A,$A3762,$B:$B,"&lt;&gt;Patrícia Karla de Sousa Araújo",$B:$B,"&lt;&gt;Lorena Dias de Araujo",$B:$B,"&lt;&gt;Lucas Luiz Romero")*(20/1083),IF(C3762="Estágio",SUMIFS($D:$D,$A:$A,$A3762,$B:$B,"&lt;&gt;Patrícia Karla de Sousa Araújo",$B:$B,"&lt;&gt;Lorena Dias de Araujo",$B:$B,"&lt;&gt;Lucas Luiz Romero")*(10/1083),0)))))),0)</f>
        <v>21</v>
      </c>
      <c r="K3762" s="3">
        <f>I3762-J3762</f>
        <v>10</v>
      </c>
      <c r="L3762" s="3" t="str">
        <f>IF(K3762&lt;-5,"CRÍTICO",IF(K3762&lt;0,"ATENÇÃO",IF(K3762&lt;=5,"OPORTUNO","MUITO BOM")))</f>
        <v>MUITO BOM</v>
      </c>
      <c r="M3762">
        <v>28</v>
      </c>
      <c r="N3762">
        <v>98.32</v>
      </c>
      <c r="O3762">
        <v>26.858513189448441</v>
      </c>
    </row>
    <row r="3763" spans="1:15" hidden="1" x14ac:dyDescent="0.25">
      <c r="A3763" s="11">
        <v>46119</v>
      </c>
      <c r="B3763" t="s">
        <v>45</v>
      </c>
      <c r="C3763" t="s">
        <v>32</v>
      </c>
      <c r="D3763">
        <v>45</v>
      </c>
      <c r="E3763">
        <v>39</v>
      </c>
      <c r="F3763">
        <v>12.37</v>
      </c>
      <c r="G3763">
        <v>0</v>
      </c>
      <c r="H3763">
        <v>0</v>
      </c>
      <c r="I3763" s="3">
        <f>E3763+G3763+H3763</f>
        <v>39</v>
      </c>
      <c r="J3763" s="3">
        <f>ROUND(MIN(IF(C3763="Técnico III",35,IF(C3763="Técnico II",28,IF(C3763="Técnico I",23,IF(C3763="JR",20,IF(C3763="Estágio",10,0))))),IF(C3763="Técnico III",SUMIFS($D:$D,$A:$A,$A3763,$B:$B,"&lt;&gt;Patrícia Karla de Sousa Araújo",$B:$B,"&lt;&gt;Lorena Dias de Araujo",$B:$B,"&lt;&gt;Lucas Luiz Romero")*(35/1083),IF(C3763="Técnico II",SUMIFS($D:$D,$A:$A,$A3763,$B:$B,"&lt;&gt;Patrícia Karla de Sousa Araújo",$B:$B,"&lt;&gt;Lorena Dias de Araujo",$B:$B,"&lt;&gt;Lucas Luiz Romero")*(28/1083),IF(C3763="Técnico I",SUMIFS($D:$D,$A:$A,$A3763,$B:$B,"&lt;&gt;Patrícia Karla de Sousa Araújo",$B:$B,"&lt;&gt;Lorena Dias de Araujo",$B:$B,"&lt;&gt;Lucas Luiz Romero")*(23/1083),IF(C3763="JR",SUMIFS($D:$D,$A:$A,$A3763,$B:$B,"&lt;&gt;Patrícia Karla de Sousa Araújo",$B:$B,"&lt;&gt;Lorena Dias de Araujo",$B:$B,"&lt;&gt;Lucas Luiz Romero")*(20/1083),IF(C3763="Estágio",SUMIFS($D:$D,$A:$A,$A3763,$B:$B,"&lt;&gt;Patrícia Karla de Sousa Araújo",$B:$B,"&lt;&gt;Lorena Dias de Araujo",$B:$B,"&lt;&gt;Lucas Luiz Romero")*(10/1083),0)))))),0)</f>
        <v>31</v>
      </c>
      <c r="K3763" s="3">
        <f>I3763-J3763</f>
        <v>8</v>
      </c>
      <c r="L3763" s="3" t="str">
        <f>IF(K3763&lt;-5,"CRÍTICO",IF(K3763&lt;0,"ATENÇÃO",IF(K3763&lt;=5,"OPORTUNO","MUITO BOM")))</f>
        <v>MUITO BOM</v>
      </c>
      <c r="M3763">
        <v>31</v>
      </c>
      <c r="N3763">
        <v>100</v>
      </c>
      <c r="O3763">
        <v>31.135531135531139</v>
      </c>
    </row>
    <row r="3764" spans="1:15" hidden="1" x14ac:dyDescent="0.25">
      <c r="A3764" s="11">
        <v>46119</v>
      </c>
      <c r="B3764" t="s">
        <v>64</v>
      </c>
      <c r="C3764" t="s">
        <v>23</v>
      </c>
      <c r="D3764">
        <v>21</v>
      </c>
      <c r="E3764">
        <v>21</v>
      </c>
      <c r="F3764">
        <v>23.42</v>
      </c>
      <c r="G3764">
        <v>0</v>
      </c>
      <c r="H3764">
        <v>0</v>
      </c>
      <c r="I3764" s="3">
        <f>E3764+G3764+H3764</f>
        <v>21</v>
      </c>
      <c r="J3764" s="3">
        <f>ROUND(MIN(IF(C3764="Técnico III",35,IF(C3764="Técnico II",28,IF(C3764="Técnico I",23,IF(C3764="JR",20,IF(C3764="Estágio",10,0))))),IF(C3764="Técnico III",SUMIFS($D:$D,$A:$A,$A3764,$B:$B,"&lt;&gt;Patrícia Karla de Sousa Araújo",$B:$B,"&lt;&gt;Lorena Dias de Araujo",$B:$B,"&lt;&gt;Lucas Luiz Romero")*(35/1083),IF(C3764="Técnico II",SUMIFS($D:$D,$A:$A,$A3764,$B:$B,"&lt;&gt;Patrícia Karla de Sousa Araújo",$B:$B,"&lt;&gt;Lorena Dias de Araujo",$B:$B,"&lt;&gt;Lucas Luiz Romero")*(28/1083),IF(C3764="Técnico I",SUMIFS($D:$D,$A:$A,$A3764,$B:$B,"&lt;&gt;Patrícia Karla de Sousa Araújo",$B:$B,"&lt;&gt;Lorena Dias de Araujo",$B:$B,"&lt;&gt;Lucas Luiz Romero")*(23/1083),IF(C3764="JR",SUMIFS($D:$D,$A:$A,$A3764,$B:$B,"&lt;&gt;Patrícia Karla de Sousa Araújo",$B:$B,"&lt;&gt;Lorena Dias de Araujo",$B:$B,"&lt;&gt;Lucas Luiz Romero")*(20/1083),IF(C3764="Estágio",SUMIFS($D:$D,$A:$A,$A3764,$B:$B,"&lt;&gt;Patrícia Karla de Sousa Araújo",$B:$B,"&lt;&gt;Lorena Dias de Araujo",$B:$B,"&lt;&gt;Lucas Luiz Romero")*(10/1083),0)))))),0)</f>
        <v>21</v>
      </c>
      <c r="K3764" s="3">
        <f>I3764-J3764</f>
        <v>0</v>
      </c>
      <c r="L3764" s="3" t="str">
        <f>IF(K3764&lt;-5,"CRÍTICO",IF(K3764&lt;0,"ATENÇÃO",IF(K3764&lt;=5,"OPORTUNO","MUITO BOM")))</f>
        <v>OPORTUNO</v>
      </c>
      <c r="M3764">
        <v>20</v>
      </c>
      <c r="N3764">
        <v>100</v>
      </c>
      <c r="O3764">
        <v>26.36986301369863</v>
      </c>
    </row>
    <row r="3765" spans="1:15" hidden="1" x14ac:dyDescent="0.25">
      <c r="A3765" s="11">
        <v>46119</v>
      </c>
      <c r="B3765" t="s">
        <v>46</v>
      </c>
      <c r="C3765" t="s">
        <v>32</v>
      </c>
      <c r="D3765">
        <v>31</v>
      </c>
      <c r="E3765">
        <v>31</v>
      </c>
      <c r="F3765">
        <v>20.04</v>
      </c>
      <c r="G3765">
        <v>0</v>
      </c>
      <c r="H3765">
        <v>0</v>
      </c>
      <c r="I3765" s="3">
        <f>E3765+G3765+H3765</f>
        <v>31</v>
      </c>
      <c r="J3765" s="3">
        <f>ROUND(MIN(IF(C3765="Técnico III",35,IF(C3765="Técnico II",28,IF(C3765="Técnico I",23,IF(C3765="JR",20,IF(C3765="Estágio",10,0))))),IF(C3765="Técnico III",SUMIFS($D:$D,$A:$A,$A3765,$B:$B,"&lt;&gt;Patrícia Karla de Sousa Araújo",$B:$B,"&lt;&gt;Lorena Dias de Araujo",$B:$B,"&lt;&gt;Lucas Luiz Romero")*(35/1083),IF(C3765="Técnico II",SUMIFS($D:$D,$A:$A,$A3765,$B:$B,"&lt;&gt;Patrícia Karla de Sousa Araújo",$B:$B,"&lt;&gt;Lorena Dias de Araujo",$B:$B,"&lt;&gt;Lucas Luiz Romero")*(28/1083),IF(C3765="Técnico I",SUMIFS($D:$D,$A:$A,$A3765,$B:$B,"&lt;&gt;Patrícia Karla de Sousa Araújo",$B:$B,"&lt;&gt;Lorena Dias de Araujo",$B:$B,"&lt;&gt;Lucas Luiz Romero")*(23/1083),IF(C3765="JR",SUMIFS($D:$D,$A:$A,$A3765,$B:$B,"&lt;&gt;Patrícia Karla de Sousa Araújo",$B:$B,"&lt;&gt;Lorena Dias de Araujo",$B:$B,"&lt;&gt;Lucas Luiz Romero")*(20/1083),IF(C3765="Estágio",SUMIFS($D:$D,$A:$A,$A3765,$B:$B,"&lt;&gt;Patrícia Karla de Sousa Araújo",$B:$B,"&lt;&gt;Lorena Dias de Araujo",$B:$B,"&lt;&gt;Lucas Luiz Romero")*(10/1083),0)))))),0)</f>
        <v>31</v>
      </c>
      <c r="K3765" s="3">
        <f>I3765-J3765</f>
        <v>0</v>
      </c>
      <c r="L3765" s="3" t="str">
        <f>IF(K3765&lt;-5,"CRÍTICO",IF(K3765&lt;0,"ATENÇÃO",IF(K3765&lt;=5,"OPORTUNO","MUITO BOM")))</f>
        <v>OPORTUNO</v>
      </c>
      <c r="M3765">
        <v>26</v>
      </c>
      <c r="N3765">
        <v>99.21</v>
      </c>
      <c r="O3765">
        <v>25.188916876574311</v>
      </c>
    </row>
    <row r="3766" spans="1:15" hidden="1" x14ac:dyDescent="0.25">
      <c r="A3766" s="11">
        <v>46120</v>
      </c>
      <c r="B3766" t="s">
        <v>47</v>
      </c>
      <c r="C3766" t="s">
        <v>48</v>
      </c>
      <c r="D3766">
        <v>31</v>
      </c>
      <c r="E3766">
        <v>25</v>
      </c>
      <c r="F3766">
        <v>10.26</v>
      </c>
      <c r="G3766">
        <v>0</v>
      </c>
      <c r="H3766">
        <v>0</v>
      </c>
      <c r="I3766" s="3">
        <f>E3766+G3766+H3766</f>
        <v>25</v>
      </c>
      <c r="J3766" s="3">
        <f>ROUND(MIN(IF(C3766="Técnico III",35,IF(C3766="Técnico II",28,IF(C3766="Técnico I",23,IF(C3766="JR",20,IF(C3766="Estágio",10,0))))),IF(C3766="Técnico III",SUMIFS($D:$D,$A:$A,$A3766,$B:$B,"&lt;&gt;Patrícia Karla de Sousa Araújo",$B:$B,"&lt;&gt;Lorena Dias de Araujo",$B:$B,"&lt;&gt;Lucas Luiz Romero")*(35/1083),IF(C3766="Técnico II",SUMIFS($D:$D,$A:$A,$A3766,$B:$B,"&lt;&gt;Patrícia Karla de Sousa Araújo",$B:$B,"&lt;&gt;Lorena Dias de Araujo",$B:$B,"&lt;&gt;Lucas Luiz Romero")*(28/1083),IF(C3766="Técnico I",SUMIFS($D:$D,$A:$A,$A3766,$B:$B,"&lt;&gt;Patrícia Karla de Sousa Araújo",$B:$B,"&lt;&gt;Lorena Dias de Araujo",$B:$B,"&lt;&gt;Lucas Luiz Romero")*(23/1083),IF(C3766="JR",SUMIFS($D:$D,$A:$A,$A3766,$B:$B,"&lt;&gt;Patrícia Karla de Sousa Araújo",$B:$B,"&lt;&gt;Lorena Dias de Araujo",$B:$B,"&lt;&gt;Lucas Luiz Romero")*(20/1083),IF(C3766="Estágio",SUMIFS($D:$D,$A:$A,$A3766,$B:$B,"&lt;&gt;Patrícia Karla de Sousa Araújo",$B:$B,"&lt;&gt;Lorena Dias de Araujo",$B:$B,"&lt;&gt;Lucas Luiz Romero")*(10/1083),0)))))),0)</f>
        <v>24</v>
      </c>
      <c r="K3766" s="3">
        <f>I3766-J3766</f>
        <v>1</v>
      </c>
      <c r="L3766" s="3" t="str">
        <f>IF(K3766&lt;-5,"CRÍTICO",IF(K3766&lt;0,"ATENÇÃO",IF(K3766&lt;=5,"OPORTUNO","MUITO BOM")))</f>
        <v>OPORTUNO</v>
      </c>
      <c r="M3766">
        <v>15</v>
      </c>
      <c r="N3766">
        <v>100</v>
      </c>
      <c r="O3766">
        <v>32.764505119453922</v>
      </c>
    </row>
    <row r="3767" spans="1:15" hidden="1" x14ac:dyDescent="0.25">
      <c r="A3767" s="11">
        <v>46120</v>
      </c>
      <c r="B3767" t="s">
        <v>31</v>
      </c>
      <c r="C3767" t="s">
        <v>32</v>
      </c>
      <c r="D3767">
        <v>0</v>
      </c>
      <c r="E3767">
        <v>0</v>
      </c>
      <c r="F3767">
        <v>0</v>
      </c>
      <c r="G3767">
        <v>0</v>
      </c>
      <c r="H3767">
        <v>0</v>
      </c>
      <c r="I3767" s="3">
        <v>0</v>
      </c>
      <c r="J3767" s="3">
        <v>0</v>
      </c>
      <c r="K3767" s="3">
        <v>0</v>
      </c>
      <c r="L3767" s="3" t="str">
        <f>IF(K3767&lt;-5,"CRÍTICO",IF(K3767&lt;0,"ATENÇÃO",IF(K3767&lt;=5,"OPORTUNO","MUITO BOM")))</f>
        <v>OPORTUNO</v>
      </c>
      <c r="M3767">
        <v>26</v>
      </c>
      <c r="N3767">
        <v>98.66</v>
      </c>
      <c r="O3767">
        <v>35.416666666666671</v>
      </c>
    </row>
    <row r="3768" spans="1:15" hidden="1" x14ac:dyDescent="0.25">
      <c r="A3768" s="11">
        <v>46120</v>
      </c>
      <c r="B3768" t="s">
        <v>59</v>
      </c>
      <c r="C3768" t="s">
        <v>23</v>
      </c>
      <c r="D3768">
        <v>35</v>
      </c>
      <c r="E3768">
        <v>33</v>
      </c>
      <c r="F3768">
        <v>17.16</v>
      </c>
      <c r="G3768">
        <v>0</v>
      </c>
      <c r="H3768">
        <v>0</v>
      </c>
      <c r="I3768" s="3">
        <f>E3768+G3768+H3768</f>
        <v>33</v>
      </c>
      <c r="J3768" s="3">
        <f>ROUND(MIN(IF(C3768="Técnico III",35,IF(C3768="Técnico II",28,IF(C3768="Técnico I",23,IF(C3768="JR",20,IF(C3768="Estágio",10,0))))),IF(C3768="Técnico III",SUMIFS($D:$D,$A:$A,$A3768,$B:$B,"&lt;&gt;Patrícia Karla de Sousa Araújo",$B:$B,"&lt;&gt;Lorena Dias de Araujo",$B:$B,"&lt;&gt;Lucas Luiz Romero")*(35/1083),IF(C3768="Técnico II",SUMIFS($D:$D,$A:$A,$A3768,$B:$B,"&lt;&gt;Patrícia Karla de Sousa Araújo",$B:$B,"&lt;&gt;Lorena Dias de Araujo",$B:$B,"&lt;&gt;Lucas Luiz Romero")*(28/1083),IF(C3768="Técnico I",SUMIFS($D:$D,$A:$A,$A3768,$B:$B,"&lt;&gt;Patrícia Karla de Sousa Araújo",$B:$B,"&lt;&gt;Lorena Dias de Araujo",$B:$B,"&lt;&gt;Lucas Luiz Romero")*(23/1083),IF(C3768="JR",SUMIFS($D:$D,$A:$A,$A3768,$B:$B,"&lt;&gt;Patrícia Karla de Sousa Araújo",$B:$B,"&lt;&gt;Lorena Dias de Araujo",$B:$B,"&lt;&gt;Lucas Luiz Romero")*(20/1083),IF(C3768="Estágio",SUMIFS($D:$D,$A:$A,$A3768,$B:$B,"&lt;&gt;Patrícia Karla de Sousa Araújo",$B:$B,"&lt;&gt;Lorena Dias de Araujo",$B:$B,"&lt;&gt;Lucas Luiz Romero")*(10/1083),0)))))),0)</f>
        <v>20</v>
      </c>
      <c r="K3768" s="3">
        <f>I3768-J3768</f>
        <v>13</v>
      </c>
      <c r="L3768" s="3" t="str">
        <f>IF(K3768&lt;-5,"CRÍTICO",IF(K3768&lt;0,"ATENÇÃO",IF(K3768&lt;=5,"OPORTUNO","MUITO BOM")))</f>
        <v>MUITO BOM</v>
      </c>
      <c r="M3768">
        <v>32</v>
      </c>
      <c r="N3768">
        <v>99.32</v>
      </c>
      <c r="O3768">
        <v>30.648330058939099</v>
      </c>
    </row>
    <row r="3769" spans="1:15" hidden="1" x14ac:dyDescent="0.25">
      <c r="A3769" s="11">
        <v>46120</v>
      </c>
      <c r="B3769" t="s">
        <v>33</v>
      </c>
      <c r="C3769" t="s">
        <v>32</v>
      </c>
      <c r="D3769">
        <v>37</v>
      </c>
      <c r="E3769">
        <v>35</v>
      </c>
      <c r="F3769">
        <v>14.11</v>
      </c>
      <c r="G3769">
        <v>0</v>
      </c>
      <c r="H3769">
        <v>0</v>
      </c>
      <c r="I3769" s="3">
        <f>E3769+G3769+H3769</f>
        <v>35</v>
      </c>
      <c r="J3769" s="3">
        <f>ROUND(MIN(IF(C3769="Técnico III",35,IF(C3769="Técnico II",28,IF(C3769="Técnico I",23,IF(C3769="JR",20,IF(C3769="Estágio",10,0))))),IF(C3769="Técnico III",SUMIFS($D:$D,$A:$A,$A3769,$B:$B,"&lt;&gt;Patrícia Karla de Sousa Araújo",$B:$B,"&lt;&gt;Lorena Dias de Araujo",$B:$B,"&lt;&gt;Lucas Luiz Romero")*(35/1083),IF(C3769="Técnico II",SUMIFS($D:$D,$A:$A,$A3769,$B:$B,"&lt;&gt;Patrícia Karla de Sousa Araújo",$B:$B,"&lt;&gt;Lorena Dias de Araujo",$B:$B,"&lt;&gt;Lucas Luiz Romero")*(28/1083),IF(C3769="Técnico I",SUMIFS($D:$D,$A:$A,$A3769,$B:$B,"&lt;&gt;Patrícia Karla de Sousa Araújo",$B:$B,"&lt;&gt;Lorena Dias de Araujo",$B:$B,"&lt;&gt;Lucas Luiz Romero")*(23/1083),IF(C3769="JR",SUMIFS($D:$D,$A:$A,$A3769,$B:$B,"&lt;&gt;Patrícia Karla de Sousa Araújo",$B:$B,"&lt;&gt;Lorena Dias de Araujo",$B:$B,"&lt;&gt;Lucas Luiz Romero")*(20/1083),IF(C3769="Estágio",SUMIFS($D:$D,$A:$A,$A3769,$B:$B,"&lt;&gt;Patrícia Karla de Sousa Araújo",$B:$B,"&lt;&gt;Lorena Dias de Araujo",$B:$B,"&lt;&gt;Lucas Luiz Romero")*(10/1083),0)))))),0)</f>
        <v>30</v>
      </c>
      <c r="K3769" s="3">
        <f>I3769-J3769</f>
        <v>5</v>
      </c>
      <c r="L3769" s="3" t="str">
        <f>IF(K3769&lt;-5,"CRÍTICO",IF(K3769&lt;0,"ATENÇÃO",IF(K3769&lt;=5,"OPORTUNO","MUITO BOM")))</f>
        <v>OPORTUNO</v>
      </c>
      <c r="M3769">
        <v>31</v>
      </c>
      <c r="N3769">
        <v>100</v>
      </c>
      <c r="O3769">
        <v>27.803738317757009</v>
      </c>
    </row>
    <row r="3770" spans="1:15" hidden="1" x14ac:dyDescent="0.25">
      <c r="A3770" s="11">
        <v>46120</v>
      </c>
      <c r="B3770" t="s">
        <v>15</v>
      </c>
      <c r="C3770" t="s">
        <v>16</v>
      </c>
      <c r="D3770">
        <v>15</v>
      </c>
      <c r="E3770">
        <v>15</v>
      </c>
      <c r="F3770">
        <v>22.09</v>
      </c>
      <c r="G3770">
        <v>0</v>
      </c>
      <c r="H3770">
        <v>0</v>
      </c>
      <c r="I3770" s="3">
        <f>E3770+G3770+H3770</f>
        <v>15</v>
      </c>
      <c r="J3770" s="3">
        <f>ROUND(MIN(IF(C3770="Técnico III",35,IF(C3770="Técnico II",28,IF(C3770="Técnico I",23,IF(C3770="JR",20,IF(C3770="Estágio",10,0))))),IF(C3770="Técnico III",SUMIFS($D:$D,$A:$A,$A3770,$B:$B,"&lt;&gt;Patrícia Karla de Sousa Araújo",$B:$B,"&lt;&gt;Lorena Dias de Araujo",$B:$B,"&lt;&gt;Lucas Luiz Romero")*(35/1083),IF(C3770="Técnico II",SUMIFS($D:$D,$A:$A,$A3770,$B:$B,"&lt;&gt;Patrícia Karla de Sousa Araújo",$B:$B,"&lt;&gt;Lorena Dias de Araujo",$B:$B,"&lt;&gt;Lucas Luiz Romero")*(28/1083),IF(C3770="Técnico I",SUMIFS($D:$D,$A:$A,$A3770,$B:$B,"&lt;&gt;Patrícia Karla de Sousa Araújo",$B:$B,"&lt;&gt;Lorena Dias de Araujo",$B:$B,"&lt;&gt;Lucas Luiz Romero")*(23/1083),IF(C3770="JR",SUMIFS($D:$D,$A:$A,$A3770,$B:$B,"&lt;&gt;Patrícia Karla de Sousa Araújo",$B:$B,"&lt;&gt;Lorena Dias de Araujo",$B:$B,"&lt;&gt;Lucas Luiz Romero")*(20/1083),IF(C3770="Estágio",SUMIFS($D:$D,$A:$A,$A3770,$B:$B,"&lt;&gt;Patrícia Karla de Sousa Araújo",$B:$B,"&lt;&gt;Lorena Dias de Araujo",$B:$B,"&lt;&gt;Lucas Luiz Romero")*(10/1083),0)))))),0)</f>
        <v>9</v>
      </c>
      <c r="K3770" s="3">
        <f>I3770-J3770</f>
        <v>6</v>
      </c>
      <c r="L3770" s="3" t="str">
        <f>IF(K3770&lt;-5,"CRÍTICO",IF(K3770&lt;0,"ATENÇÃO",IF(K3770&lt;=5,"OPORTUNO","MUITO BOM")))</f>
        <v>MUITO BOM</v>
      </c>
      <c r="M3770">
        <v>13</v>
      </c>
      <c r="N3770">
        <v>96.74</v>
      </c>
      <c r="O3770">
        <v>28.67647058823529</v>
      </c>
    </row>
    <row r="3771" spans="1:15" hidden="1" x14ac:dyDescent="0.25">
      <c r="A3771" s="11">
        <v>46120</v>
      </c>
      <c r="B3771" t="s">
        <v>49</v>
      </c>
      <c r="C3771" t="s">
        <v>48</v>
      </c>
      <c r="D3771">
        <v>31</v>
      </c>
      <c r="E3771">
        <v>27</v>
      </c>
      <c r="F3771">
        <v>16.5</v>
      </c>
      <c r="G3771">
        <v>0</v>
      </c>
      <c r="H3771">
        <v>0</v>
      </c>
      <c r="I3771" s="3">
        <f>E3771+G3771+H3771</f>
        <v>27</v>
      </c>
      <c r="J3771" s="3">
        <f>ROUND(MIN(IF(C3771="Técnico III",35,IF(C3771="Técnico II",28,IF(C3771="Técnico I",23,IF(C3771="JR",20,IF(C3771="Estágio",10,0))))),IF(C3771="Técnico III",SUMIFS($D:$D,$A:$A,$A3771,$B:$B,"&lt;&gt;Patrícia Karla de Sousa Araújo",$B:$B,"&lt;&gt;Lorena Dias de Araujo",$B:$B,"&lt;&gt;Lucas Luiz Romero")*(35/1083),IF(C3771="Técnico II",SUMIFS($D:$D,$A:$A,$A3771,$B:$B,"&lt;&gt;Patrícia Karla de Sousa Araújo",$B:$B,"&lt;&gt;Lorena Dias de Araujo",$B:$B,"&lt;&gt;Lucas Luiz Romero")*(28/1083),IF(C3771="Técnico I",SUMIFS($D:$D,$A:$A,$A3771,$B:$B,"&lt;&gt;Patrícia Karla de Sousa Araújo",$B:$B,"&lt;&gt;Lorena Dias de Araujo",$B:$B,"&lt;&gt;Lucas Luiz Romero")*(23/1083),IF(C3771="JR",SUMIFS($D:$D,$A:$A,$A3771,$B:$B,"&lt;&gt;Patrícia Karla de Sousa Araújo",$B:$B,"&lt;&gt;Lorena Dias de Araujo",$B:$B,"&lt;&gt;Lucas Luiz Romero")*(20/1083),IF(C3771="Estágio",SUMIFS($D:$D,$A:$A,$A3771,$B:$B,"&lt;&gt;Patrícia Karla de Sousa Araújo",$B:$B,"&lt;&gt;Lorena Dias de Araujo",$B:$B,"&lt;&gt;Lucas Luiz Romero")*(10/1083),0)))))),0)</f>
        <v>24</v>
      </c>
      <c r="K3771" s="3">
        <f>I3771-J3771</f>
        <v>3</v>
      </c>
      <c r="L3771" s="3" t="str">
        <f>IF(K3771&lt;-5,"CRÍTICO",IF(K3771&lt;0,"ATENÇÃO",IF(K3771&lt;=5,"OPORTUNO","MUITO BOM")))</f>
        <v>OPORTUNO</v>
      </c>
      <c r="M3771">
        <v>29</v>
      </c>
      <c r="N3771">
        <v>98.82</v>
      </c>
      <c r="O3771">
        <v>30.741410488245929</v>
      </c>
    </row>
    <row r="3772" spans="1:15" hidden="1" x14ac:dyDescent="0.25">
      <c r="A3772" s="11">
        <v>46120</v>
      </c>
      <c r="B3772" t="s">
        <v>50</v>
      </c>
      <c r="C3772" t="s">
        <v>48</v>
      </c>
      <c r="D3772">
        <v>14</v>
      </c>
      <c r="E3772">
        <v>14</v>
      </c>
      <c r="F3772">
        <v>22.27</v>
      </c>
      <c r="G3772">
        <v>0</v>
      </c>
      <c r="H3772">
        <v>0</v>
      </c>
      <c r="I3772" s="3">
        <f>E3772+G3772+H3772</f>
        <v>14</v>
      </c>
      <c r="J3772" s="3">
        <f>ROUND(MIN(IF(C3772="Técnico III",35,IF(C3772="Técnico II",28,IF(C3772="Técnico I",23,IF(C3772="JR",20,IF(C3772="Estágio",10,0))))),IF(C3772="Técnico III",SUMIFS($D:$D,$A:$A,$A3772,$B:$B,"&lt;&gt;Patrícia Karla de Sousa Araújo",$B:$B,"&lt;&gt;Lorena Dias de Araujo",$B:$B,"&lt;&gt;Lucas Luiz Romero")*(35/1083),IF(C3772="Técnico II",SUMIFS($D:$D,$A:$A,$A3772,$B:$B,"&lt;&gt;Patrícia Karla de Sousa Araújo",$B:$B,"&lt;&gt;Lorena Dias de Araujo",$B:$B,"&lt;&gt;Lucas Luiz Romero")*(28/1083),IF(C3772="Técnico I",SUMIFS($D:$D,$A:$A,$A3772,$B:$B,"&lt;&gt;Patrícia Karla de Sousa Araújo",$B:$B,"&lt;&gt;Lorena Dias de Araujo",$B:$B,"&lt;&gt;Lucas Luiz Romero")*(23/1083),IF(C3772="JR",SUMIFS($D:$D,$A:$A,$A3772,$B:$B,"&lt;&gt;Patrícia Karla de Sousa Araújo",$B:$B,"&lt;&gt;Lorena Dias de Araujo",$B:$B,"&lt;&gt;Lucas Luiz Romero")*(20/1083),IF(C3772="Estágio",SUMIFS($D:$D,$A:$A,$A3772,$B:$B,"&lt;&gt;Patrícia Karla de Sousa Araújo",$B:$B,"&lt;&gt;Lorena Dias de Araujo",$B:$B,"&lt;&gt;Lucas Luiz Romero")*(10/1083),0)))))),0)</f>
        <v>24</v>
      </c>
      <c r="K3772" s="3">
        <f>I3772-J3772</f>
        <v>-10</v>
      </c>
      <c r="L3772" s="3" t="str">
        <f>IF(K3772&lt;-5,"CRÍTICO",IF(K3772&lt;0,"ATENÇÃO",IF(K3772&lt;=5,"OPORTUNO","MUITO BOM")))</f>
        <v>CRÍTICO</v>
      </c>
      <c r="M3772">
        <v>18</v>
      </c>
      <c r="N3772">
        <v>98.2</v>
      </c>
      <c r="O3772">
        <v>27.170868347338931</v>
      </c>
    </row>
    <row r="3773" spans="1:15" hidden="1" x14ac:dyDescent="0.25">
      <c r="A3773" s="11">
        <v>46120</v>
      </c>
      <c r="B3773" t="s">
        <v>17</v>
      </c>
      <c r="C3773" t="s">
        <v>16</v>
      </c>
      <c r="D3773">
        <v>4</v>
      </c>
      <c r="E3773">
        <v>4</v>
      </c>
      <c r="F3773">
        <v>55.43</v>
      </c>
      <c r="G3773">
        <v>0</v>
      </c>
      <c r="H3773">
        <v>0</v>
      </c>
      <c r="I3773" s="3">
        <f>E3773+G3773+H3773</f>
        <v>4</v>
      </c>
      <c r="J3773" s="3">
        <f>ROUND(MIN(IF(C3773="Técnico III",35,IF(C3773="Técnico II",28,IF(C3773="Técnico I",23,IF(C3773="JR",20,IF(C3773="Estágio",10,0))))),IF(C3773="Técnico III",SUMIFS($D:$D,$A:$A,$A3773,$B:$B,"&lt;&gt;Patrícia Karla de Sousa Araújo",$B:$B,"&lt;&gt;Lorena Dias de Araujo",$B:$B,"&lt;&gt;Lucas Luiz Romero")*(35/1083),IF(C3773="Técnico II",SUMIFS($D:$D,$A:$A,$A3773,$B:$B,"&lt;&gt;Patrícia Karla de Sousa Araújo",$B:$B,"&lt;&gt;Lorena Dias de Araujo",$B:$B,"&lt;&gt;Lucas Luiz Romero")*(28/1083),IF(C3773="Técnico I",SUMIFS($D:$D,$A:$A,$A3773,$B:$B,"&lt;&gt;Patrícia Karla de Sousa Araújo",$B:$B,"&lt;&gt;Lorena Dias de Araujo",$B:$B,"&lt;&gt;Lucas Luiz Romero")*(23/1083),IF(C3773="JR",SUMIFS($D:$D,$A:$A,$A3773,$B:$B,"&lt;&gt;Patrícia Karla de Sousa Araújo",$B:$B,"&lt;&gt;Lorena Dias de Araujo",$B:$B,"&lt;&gt;Lucas Luiz Romero")*(20/1083),IF(C3773="Estágio",SUMIFS($D:$D,$A:$A,$A3773,$B:$B,"&lt;&gt;Patrícia Karla de Sousa Araújo",$B:$B,"&lt;&gt;Lorena Dias de Araujo",$B:$B,"&lt;&gt;Lucas Luiz Romero")*(10/1083),0)))))),0)</f>
        <v>9</v>
      </c>
      <c r="K3773" s="3">
        <f>I3773-J3773</f>
        <v>-5</v>
      </c>
      <c r="L3773" s="3" t="str">
        <f>IF(K3773&lt;-5,"CRÍTICO",IF(K3773&lt;0,"ATENÇÃO",IF(K3773&lt;=5,"OPORTUNO","MUITO BOM")))</f>
        <v>ATENÇÃO</v>
      </c>
      <c r="M3773">
        <v>4</v>
      </c>
      <c r="N3773">
        <v>100</v>
      </c>
      <c r="O3773">
        <v>23.134328358208951</v>
      </c>
    </row>
    <row r="3774" spans="1:15" hidden="1" x14ac:dyDescent="0.25">
      <c r="A3774" s="11">
        <v>46120</v>
      </c>
      <c r="B3774" t="s">
        <v>60</v>
      </c>
      <c r="C3774" t="s">
        <v>23</v>
      </c>
      <c r="D3774">
        <v>23</v>
      </c>
      <c r="E3774">
        <v>22</v>
      </c>
      <c r="F3774">
        <v>15.5</v>
      </c>
      <c r="G3774">
        <v>0</v>
      </c>
      <c r="H3774">
        <v>0</v>
      </c>
      <c r="I3774" s="3">
        <f>E3774+G3774+H3774</f>
        <v>22</v>
      </c>
      <c r="J3774" s="3">
        <f>ROUND(MIN(IF(C3774="Técnico III",35,IF(C3774="Técnico II",28,IF(C3774="Técnico I",23,IF(C3774="JR",20,IF(C3774="Estágio",10,0))))),IF(C3774="Técnico III",SUMIFS($D:$D,$A:$A,$A3774,$B:$B,"&lt;&gt;Patrícia Karla de Sousa Araújo",$B:$B,"&lt;&gt;Lorena Dias de Araujo",$B:$B,"&lt;&gt;Lucas Luiz Romero")*(35/1083),IF(C3774="Técnico II",SUMIFS($D:$D,$A:$A,$A3774,$B:$B,"&lt;&gt;Patrícia Karla de Sousa Araújo",$B:$B,"&lt;&gt;Lorena Dias de Araujo",$B:$B,"&lt;&gt;Lucas Luiz Romero")*(28/1083),IF(C3774="Técnico I",SUMIFS($D:$D,$A:$A,$A3774,$B:$B,"&lt;&gt;Patrícia Karla de Sousa Araújo",$B:$B,"&lt;&gt;Lorena Dias de Araujo",$B:$B,"&lt;&gt;Lucas Luiz Romero")*(23/1083),IF(C3774="JR",SUMIFS($D:$D,$A:$A,$A3774,$B:$B,"&lt;&gt;Patrícia Karla de Sousa Araújo",$B:$B,"&lt;&gt;Lorena Dias de Araujo",$B:$B,"&lt;&gt;Lucas Luiz Romero")*(20/1083),IF(C3774="Estágio",SUMIFS($D:$D,$A:$A,$A3774,$B:$B,"&lt;&gt;Patrícia Karla de Sousa Araújo",$B:$B,"&lt;&gt;Lorena Dias de Araujo",$B:$B,"&lt;&gt;Lucas Luiz Romero")*(10/1083),0)))))),0)</f>
        <v>20</v>
      </c>
      <c r="K3774" s="3">
        <f>I3774-J3774</f>
        <v>2</v>
      </c>
      <c r="L3774" s="3" t="str">
        <f>IF(K3774&lt;-5,"CRÍTICO",IF(K3774&lt;0,"ATENÇÃO",IF(K3774&lt;=5,"OPORTUNO","MUITO BOM")))</f>
        <v>OPORTUNO</v>
      </c>
      <c r="M3774">
        <v>30</v>
      </c>
      <c r="N3774">
        <v>96.3</v>
      </c>
      <c r="O3774">
        <v>32.219570405727922</v>
      </c>
    </row>
    <row r="3775" spans="1:15" hidden="1" x14ac:dyDescent="0.25">
      <c r="A3775" s="11">
        <v>46120</v>
      </c>
      <c r="B3775" t="s">
        <v>34</v>
      </c>
      <c r="C3775" t="s">
        <v>32</v>
      </c>
      <c r="D3775">
        <v>24</v>
      </c>
      <c r="E3775">
        <v>21</v>
      </c>
      <c r="F3775">
        <v>11.54</v>
      </c>
      <c r="G3775">
        <v>0</v>
      </c>
      <c r="H3775">
        <v>0</v>
      </c>
      <c r="I3775" s="3">
        <f>E3775+G3775+H3775</f>
        <v>21</v>
      </c>
      <c r="J3775" s="3">
        <f>ROUND(MIN(IF(C3775="Técnico III",35,IF(C3775="Técnico II",28,IF(C3775="Técnico I",23,IF(C3775="JR",20,IF(C3775="Estágio",10,0))))),IF(C3775="Técnico III",SUMIFS($D:$D,$A:$A,$A3775,$B:$B,"&lt;&gt;Patrícia Karla de Sousa Araújo",$B:$B,"&lt;&gt;Lorena Dias de Araujo",$B:$B,"&lt;&gt;Lucas Luiz Romero")*(35/1083),IF(C3775="Técnico II",SUMIFS($D:$D,$A:$A,$A3775,$B:$B,"&lt;&gt;Patrícia Karla de Sousa Araújo",$B:$B,"&lt;&gt;Lorena Dias de Araujo",$B:$B,"&lt;&gt;Lucas Luiz Romero")*(28/1083),IF(C3775="Técnico I",SUMIFS($D:$D,$A:$A,$A3775,$B:$B,"&lt;&gt;Patrícia Karla de Sousa Araújo",$B:$B,"&lt;&gt;Lorena Dias de Araujo",$B:$B,"&lt;&gt;Lucas Luiz Romero")*(23/1083),IF(C3775="JR",SUMIFS($D:$D,$A:$A,$A3775,$B:$B,"&lt;&gt;Patrícia Karla de Sousa Araújo",$B:$B,"&lt;&gt;Lorena Dias de Araujo",$B:$B,"&lt;&gt;Lucas Luiz Romero")*(20/1083),IF(C3775="Estágio",SUMIFS($D:$D,$A:$A,$A3775,$B:$B,"&lt;&gt;Patrícia Karla de Sousa Araújo",$B:$B,"&lt;&gt;Lorena Dias de Araujo",$B:$B,"&lt;&gt;Lucas Luiz Romero")*(10/1083),0)))))),0)</f>
        <v>30</v>
      </c>
      <c r="K3775" s="3">
        <f>I3775-J3775</f>
        <v>-9</v>
      </c>
      <c r="L3775" s="3" t="str">
        <f>IF(K3775&lt;-5,"CRÍTICO",IF(K3775&lt;0,"ATENÇÃO",IF(K3775&lt;=5,"OPORTUNO","MUITO BOM")))</f>
        <v>CRÍTICO</v>
      </c>
      <c r="M3775">
        <v>17</v>
      </c>
      <c r="N3775">
        <v>93.75</v>
      </c>
      <c r="O3775">
        <v>26.819923371647509</v>
      </c>
    </row>
    <row r="3776" spans="1:15" hidden="1" x14ac:dyDescent="0.25">
      <c r="A3776" s="11">
        <v>46120</v>
      </c>
      <c r="B3776" t="s">
        <v>51</v>
      </c>
      <c r="C3776" t="s">
        <v>48</v>
      </c>
      <c r="D3776">
        <v>37</v>
      </c>
      <c r="E3776">
        <v>33</v>
      </c>
      <c r="F3776">
        <v>15.35</v>
      </c>
      <c r="G3776">
        <v>0</v>
      </c>
      <c r="H3776">
        <v>0</v>
      </c>
      <c r="I3776" s="3">
        <v>0</v>
      </c>
      <c r="J3776" s="3">
        <v>0</v>
      </c>
      <c r="K3776" s="3">
        <v>0</v>
      </c>
      <c r="L3776" s="3" t="str">
        <f>IF(K3776&lt;-5,"CRÍTICO",IF(K3776&lt;0,"ATENÇÃO",IF(K3776&lt;=5,"OPORTUNO","MUITO BOM")))</f>
        <v>OPORTUNO</v>
      </c>
      <c r="M3776">
        <v>31</v>
      </c>
      <c r="N3776">
        <v>97.86</v>
      </c>
      <c r="O3776">
        <v>31.018518518518519</v>
      </c>
    </row>
    <row r="3777" spans="1:15" hidden="1" x14ac:dyDescent="0.25">
      <c r="A3777" s="11">
        <v>46120</v>
      </c>
      <c r="B3777" t="s">
        <v>61</v>
      </c>
      <c r="C3777" t="s">
        <v>23</v>
      </c>
      <c r="D3777">
        <v>30</v>
      </c>
      <c r="E3777">
        <v>28</v>
      </c>
      <c r="F3777">
        <v>15.05</v>
      </c>
      <c r="G3777">
        <v>0</v>
      </c>
      <c r="H3777">
        <v>0</v>
      </c>
      <c r="I3777" s="3">
        <f>E3777+G3777+H3777</f>
        <v>28</v>
      </c>
      <c r="J3777" s="3">
        <f>ROUND(MIN(IF(C3777="Técnico III",35,IF(C3777="Técnico II",28,IF(C3777="Técnico I",23,IF(C3777="JR",20,IF(C3777="Estágio",10,0))))),IF(C3777="Técnico III",SUMIFS($D:$D,$A:$A,$A3777,$B:$B,"&lt;&gt;Patrícia Karla de Sousa Araújo",$B:$B,"&lt;&gt;Lorena Dias de Araujo",$B:$B,"&lt;&gt;Lucas Luiz Romero")*(35/1083),IF(C3777="Técnico II",SUMIFS($D:$D,$A:$A,$A3777,$B:$B,"&lt;&gt;Patrícia Karla de Sousa Araújo",$B:$B,"&lt;&gt;Lorena Dias de Araujo",$B:$B,"&lt;&gt;Lucas Luiz Romero")*(28/1083),IF(C3777="Técnico I",SUMIFS($D:$D,$A:$A,$A3777,$B:$B,"&lt;&gt;Patrícia Karla de Sousa Araújo",$B:$B,"&lt;&gt;Lorena Dias de Araujo",$B:$B,"&lt;&gt;Lucas Luiz Romero")*(23/1083),IF(C3777="JR",SUMIFS($D:$D,$A:$A,$A3777,$B:$B,"&lt;&gt;Patrícia Karla de Sousa Araújo",$B:$B,"&lt;&gt;Lorena Dias de Araujo",$B:$B,"&lt;&gt;Lucas Luiz Romero")*(20/1083),IF(C3777="Estágio",SUMIFS($D:$D,$A:$A,$A3777,$B:$B,"&lt;&gt;Patrícia Karla de Sousa Araújo",$B:$B,"&lt;&gt;Lorena Dias de Araujo",$B:$B,"&lt;&gt;Lucas Luiz Romero")*(10/1083),0)))))),0)</f>
        <v>20</v>
      </c>
      <c r="K3777" s="3">
        <f>I3777-J3777</f>
        <v>8</v>
      </c>
      <c r="L3777" s="3" t="str">
        <f>IF(K3777&lt;-5,"CRÍTICO",IF(K3777&lt;0,"ATENÇÃO",IF(K3777&lt;=5,"OPORTUNO","MUITO BOM")))</f>
        <v>MUITO BOM</v>
      </c>
      <c r="M3777">
        <v>19</v>
      </c>
      <c r="N3777">
        <v>100</v>
      </c>
      <c r="O3777">
        <v>36.594202898550733</v>
      </c>
    </row>
    <row r="3778" spans="1:15" hidden="1" x14ac:dyDescent="0.25">
      <c r="A3778" s="11">
        <v>46120</v>
      </c>
      <c r="B3778" t="s">
        <v>35</v>
      </c>
      <c r="C3778" t="s">
        <v>32</v>
      </c>
      <c r="D3778">
        <v>34</v>
      </c>
      <c r="E3778">
        <v>34</v>
      </c>
      <c r="F3778">
        <v>19.03</v>
      </c>
      <c r="G3778">
        <v>0</v>
      </c>
      <c r="H3778">
        <v>0</v>
      </c>
      <c r="I3778" s="3">
        <v>0</v>
      </c>
      <c r="J3778" s="3">
        <v>0</v>
      </c>
      <c r="K3778" s="3">
        <v>0</v>
      </c>
      <c r="L3778" s="3" t="str">
        <f>IF(K3778&lt;-5,"CRÍTICO",IF(K3778&lt;0,"ATENÇÃO",IF(K3778&lt;=5,"OPORTUNO","MUITO BOM")))</f>
        <v>OPORTUNO</v>
      </c>
      <c r="M3778">
        <v>39</v>
      </c>
      <c r="N3778">
        <v>100</v>
      </c>
      <c r="O3778">
        <v>38.653846153846153</v>
      </c>
    </row>
    <row r="3779" spans="1:15" hidden="1" x14ac:dyDescent="0.25">
      <c r="A3779" s="11">
        <v>46120</v>
      </c>
      <c r="B3779" t="s">
        <v>18</v>
      </c>
      <c r="C3779" t="s">
        <v>16</v>
      </c>
      <c r="D3779">
        <v>5</v>
      </c>
      <c r="E3779">
        <v>4</v>
      </c>
      <c r="F3779">
        <v>23.29</v>
      </c>
      <c r="G3779">
        <v>0</v>
      </c>
      <c r="H3779">
        <v>0</v>
      </c>
      <c r="I3779" s="3">
        <f>E3779+G3779+H3779</f>
        <v>4</v>
      </c>
      <c r="J3779" s="3">
        <f>ROUND(MIN(IF(C3779="Técnico III",35,IF(C3779="Técnico II",28,IF(C3779="Técnico I",23,IF(C3779="JR",20,IF(C3779="Estágio",10,0))))),IF(C3779="Técnico III",SUMIFS($D:$D,$A:$A,$A3779,$B:$B,"&lt;&gt;Patrícia Karla de Sousa Araújo",$B:$B,"&lt;&gt;Lorena Dias de Araujo",$B:$B,"&lt;&gt;Lucas Luiz Romero")*(35/1083),IF(C3779="Técnico II",SUMIFS($D:$D,$A:$A,$A3779,$B:$B,"&lt;&gt;Patrícia Karla de Sousa Araújo",$B:$B,"&lt;&gt;Lorena Dias de Araujo",$B:$B,"&lt;&gt;Lucas Luiz Romero")*(28/1083),IF(C3779="Técnico I",SUMIFS($D:$D,$A:$A,$A3779,$B:$B,"&lt;&gt;Patrícia Karla de Sousa Araújo",$B:$B,"&lt;&gt;Lorena Dias de Araujo",$B:$B,"&lt;&gt;Lucas Luiz Romero")*(23/1083),IF(C3779="JR",SUMIFS($D:$D,$A:$A,$A3779,$B:$B,"&lt;&gt;Patrícia Karla de Sousa Araújo",$B:$B,"&lt;&gt;Lorena Dias de Araujo",$B:$B,"&lt;&gt;Lucas Luiz Romero")*(20/1083),IF(C3779="Estágio",SUMIFS($D:$D,$A:$A,$A3779,$B:$B,"&lt;&gt;Patrícia Karla de Sousa Araújo",$B:$B,"&lt;&gt;Lorena Dias de Araujo",$B:$B,"&lt;&gt;Lucas Luiz Romero")*(10/1083),0)))))),0)</f>
        <v>9</v>
      </c>
      <c r="K3779" s="3">
        <f>I3779-J3779</f>
        <v>-5</v>
      </c>
      <c r="L3779" s="3" t="str">
        <f>IF(K3779&lt;-5,"CRÍTICO",IF(K3779&lt;0,"ATENÇÃO",IF(K3779&lt;=5,"OPORTUNO","MUITO BOM")))</f>
        <v>ATENÇÃO</v>
      </c>
      <c r="M3779">
        <v>2</v>
      </c>
      <c r="N3779">
        <v>100</v>
      </c>
      <c r="O3779">
        <v>27.368421052631579</v>
      </c>
    </row>
    <row r="3780" spans="1:15" hidden="1" x14ac:dyDescent="0.25">
      <c r="A3780" s="11">
        <v>46120</v>
      </c>
      <c r="B3780" t="s">
        <v>52</v>
      </c>
      <c r="C3780" t="s">
        <v>48</v>
      </c>
      <c r="D3780">
        <v>29</v>
      </c>
      <c r="E3780">
        <v>27</v>
      </c>
      <c r="F3780">
        <v>17.09</v>
      </c>
      <c r="G3780">
        <v>0</v>
      </c>
      <c r="H3780">
        <v>0</v>
      </c>
      <c r="I3780" s="3">
        <f>E3780+G3780+H3780</f>
        <v>27</v>
      </c>
      <c r="J3780" s="3">
        <f>ROUND(MIN(IF(C3780="Técnico III",35,IF(C3780="Técnico II",28,IF(C3780="Técnico I",23,IF(C3780="JR",20,IF(C3780="Estágio",10,0))))),IF(C3780="Técnico III",SUMIFS($D:$D,$A:$A,$A3780,$B:$B,"&lt;&gt;Patrícia Karla de Sousa Araújo",$B:$B,"&lt;&gt;Lorena Dias de Araujo",$B:$B,"&lt;&gt;Lucas Luiz Romero")*(35/1083),IF(C3780="Técnico II",SUMIFS($D:$D,$A:$A,$A3780,$B:$B,"&lt;&gt;Patrícia Karla de Sousa Araújo",$B:$B,"&lt;&gt;Lorena Dias de Araujo",$B:$B,"&lt;&gt;Lucas Luiz Romero")*(28/1083),IF(C3780="Técnico I",SUMIFS($D:$D,$A:$A,$A3780,$B:$B,"&lt;&gt;Patrícia Karla de Sousa Araújo",$B:$B,"&lt;&gt;Lorena Dias de Araujo",$B:$B,"&lt;&gt;Lucas Luiz Romero")*(23/1083),IF(C3780="JR",SUMIFS($D:$D,$A:$A,$A3780,$B:$B,"&lt;&gt;Patrícia Karla de Sousa Araújo",$B:$B,"&lt;&gt;Lorena Dias de Araujo",$B:$B,"&lt;&gt;Lucas Luiz Romero")*(20/1083),IF(C3780="Estágio",SUMIFS($D:$D,$A:$A,$A3780,$B:$B,"&lt;&gt;Patrícia Karla de Sousa Araújo",$B:$B,"&lt;&gt;Lorena Dias de Araujo",$B:$B,"&lt;&gt;Lucas Luiz Romero")*(10/1083),0)))))),0)</f>
        <v>24</v>
      </c>
      <c r="K3780" s="3">
        <f>I3780-J3780</f>
        <v>3</v>
      </c>
      <c r="L3780" s="3" t="str">
        <f>IF(K3780&lt;-5,"CRÍTICO",IF(K3780&lt;0,"ATENÇÃO",IF(K3780&lt;=5,"OPORTUNO","MUITO BOM")))</f>
        <v>OPORTUNO</v>
      </c>
      <c r="M3780">
        <v>25</v>
      </c>
      <c r="N3780">
        <v>97.83</v>
      </c>
      <c r="O3780">
        <v>28.35164835164835</v>
      </c>
    </row>
    <row r="3781" spans="1:15" hidden="1" x14ac:dyDescent="0.25">
      <c r="A3781" s="11">
        <v>46120</v>
      </c>
      <c r="B3781" t="s">
        <v>36</v>
      </c>
      <c r="C3781" t="s">
        <v>32</v>
      </c>
      <c r="D3781">
        <v>28</v>
      </c>
      <c r="E3781">
        <v>26</v>
      </c>
      <c r="F3781">
        <v>17.25</v>
      </c>
      <c r="G3781">
        <v>0</v>
      </c>
      <c r="H3781">
        <v>0</v>
      </c>
      <c r="I3781" s="3">
        <f>E3781+G3781+H3781</f>
        <v>26</v>
      </c>
      <c r="J3781" s="3">
        <f>ROUND(MIN(IF(C3781="Técnico III",35,IF(C3781="Técnico II",28,IF(C3781="Técnico I",23,IF(C3781="JR",20,IF(C3781="Estágio",10,0))))),IF(C3781="Técnico III",SUMIFS($D:$D,$A:$A,$A3781,$B:$B,"&lt;&gt;Patrícia Karla de Sousa Araújo",$B:$B,"&lt;&gt;Lorena Dias de Araujo",$B:$B,"&lt;&gt;Lucas Luiz Romero")*(35/1083),IF(C3781="Técnico II",SUMIFS($D:$D,$A:$A,$A3781,$B:$B,"&lt;&gt;Patrícia Karla de Sousa Araújo",$B:$B,"&lt;&gt;Lorena Dias de Araujo",$B:$B,"&lt;&gt;Lucas Luiz Romero")*(28/1083),IF(C3781="Técnico I",SUMIFS($D:$D,$A:$A,$A3781,$B:$B,"&lt;&gt;Patrícia Karla de Sousa Araújo",$B:$B,"&lt;&gt;Lorena Dias de Araujo",$B:$B,"&lt;&gt;Lucas Luiz Romero")*(23/1083),IF(C3781="JR",SUMIFS($D:$D,$A:$A,$A3781,$B:$B,"&lt;&gt;Patrícia Karla de Sousa Araújo",$B:$B,"&lt;&gt;Lorena Dias de Araujo",$B:$B,"&lt;&gt;Lucas Luiz Romero")*(20/1083),IF(C3781="Estágio",SUMIFS($D:$D,$A:$A,$A3781,$B:$B,"&lt;&gt;Patrícia Karla de Sousa Araújo",$B:$B,"&lt;&gt;Lorena Dias de Araujo",$B:$B,"&lt;&gt;Lucas Luiz Romero")*(10/1083),0)))))),0)</f>
        <v>30</v>
      </c>
      <c r="K3781" s="3">
        <f>I3781-J3781</f>
        <v>-4</v>
      </c>
      <c r="L3781" s="3" t="str">
        <f>IF(K3781&lt;-5,"CRÍTICO",IF(K3781&lt;0,"ATENÇÃO",IF(K3781&lt;=5,"OPORTUNO","MUITO BOM")))</f>
        <v>ATENÇÃO</v>
      </c>
      <c r="M3781">
        <v>23</v>
      </c>
      <c r="N3781">
        <v>99.26</v>
      </c>
      <c r="O3781">
        <v>29.766536964980549</v>
      </c>
    </row>
    <row r="3782" spans="1:15" hidden="1" x14ac:dyDescent="0.25">
      <c r="A3782" s="11">
        <v>46120</v>
      </c>
      <c r="B3782" t="s">
        <v>53</v>
      </c>
      <c r="C3782" t="s">
        <v>48</v>
      </c>
      <c r="D3782">
        <v>34</v>
      </c>
      <c r="E3782">
        <v>33</v>
      </c>
      <c r="F3782">
        <v>18.46</v>
      </c>
      <c r="G3782">
        <v>0</v>
      </c>
      <c r="H3782">
        <v>0</v>
      </c>
      <c r="I3782" s="3">
        <f>E3782+G3782+H3782</f>
        <v>33</v>
      </c>
      <c r="J3782" s="3">
        <f>ROUND(MIN(IF(C3782="Técnico III",35,IF(C3782="Técnico II",28,IF(C3782="Técnico I",23,IF(C3782="JR",20,IF(C3782="Estágio",10,0))))),IF(C3782="Técnico III",SUMIFS($D:$D,$A:$A,$A3782,$B:$B,"&lt;&gt;Patrícia Karla de Sousa Araújo",$B:$B,"&lt;&gt;Lorena Dias de Araujo",$B:$B,"&lt;&gt;Lucas Luiz Romero")*(35/1083),IF(C3782="Técnico II",SUMIFS($D:$D,$A:$A,$A3782,$B:$B,"&lt;&gt;Patrícia Karla de Sousa Araújo",$B:$B,"&lt;&gt;Lorena Dias de Araujo",$B:$B,"&lt;&gt;Lucas Luiz Romero")*(28/1083),IF(C3782="Técnico I",SUMIFS($D:$D,$A:$A,$A3782,$B:$B,"&lt;&gt;Patrícia Karla de Sousa Araújo",$B:$B,"&lt;&gt;Lorena Dias de Araujo",$B:$B,"&lt;&gt;Lucas Luiz Romero")*(23/1083),IF(C3782="JR",SUMIFS($D:$D,$A:$A,$A3782,$B:$B,"&lt;&gt;Patrícia Karla de Sousa Araújo",$B:$B,"&lt;&gt;Lorena Dias de Araujo",$B:$B,"&lt;&gt;Lucas Luiz Romero")*(20/1083),IF(C3782="Estágio",SUMIFS($D:$D,$A:$A,$A3782,$B:$B,"&lt;&gt;Patrícia Karla de Sousa Araújo",$B:$B,"&lt;&gt;Lorena Dias de Araujo",$B:$B,"&lt;&gt;Lucas Luiz Romero")*(10/1083),0)))))),0)</f>
        <v>24</v>
      </c>
      <c r="K3782" s="3">
        <f>I3782-J3782</f>
        <v>9</v>
      </c>
      <c r="L3782" s="3" t="str">
        <f>IF(K3782&lt;-5,"CRÍTICO",IF(K3782&lt;0,"ATENÇÃO",IF(K3782&lt;=5,"OPORTUNO","MUITO BOM")))</f>
        <v>MUITO BOM</v>
      </c>
      <c r="M3782">
        <v>28</v>
      </c>
      <c r="N3782">
        <v>99.19</v>
      </c>
      <c r="O3782">
        <v>29.462365591397852</v>
      </c>
    </row>
    <row r="3783" spans="1:15" hidden="1" x14ac:dyDescent="0.25">
      <c r="A3783" s="7">
        <v>46161</v>
      </c>
      <c r="B3783" s="8" t="s">
        <v>39</v>
      </c>
      <c r="C3783" s="14" t="s">
        <v>32</v>
      </c>
      <c r="D3783" s="3">
        <v>0</v>
      </c>
      <c r="E3783" s="3">
        <v>0</v>
      </c>
      <c r="F3783" s="3">
        <v>0</v>
      </c>
      <c r="G3783" s="3">
        <v>0</v>
      </c>
      <c r="H3783" s="3">
        <v>0</v>
      </c>
      <c r="I3783" s="3">
        <f>E3783+G3783+H3783</f>
        <v>0</v>
      </c>
      <c r="J3783" s="3">
        <f>ROUND(MIN(IF(C3783="Técnico III",35,IF(C3783="Técnico II",28,IF(C3783="Técnico I",23,IF(C3783="JR",20,IF(C3783="Estágio",10,0))))),IF(C3783="Técnico III",SUMIFS($D:$D,$A:$A,$A3783,$B:$B,"&lt;&gt;Patrícia Karla de Sousa Araújo",$B:$B,"&lt;&gt;Lorena Dias de Araujo",$B:$B,"&lt;&gt;Lucas Luiz Romero")*(35/1083),IF(C3783="Técnico II",SUMIFS($D:$D,$A:$A,$A3783,$B:$B,"&lt;&gt;Patrícia Karla de Sousa Araújo",$B:$B,"&lt;&gt;Lorena Dias de Araujo",$B:$B,"&lt;&gt;Lucas Luiz Romero")*(28/1083),IF(C3783="Técnico I",SUMIFS($D:$D,$A:$A,$A3783,$B:$B,"&lt;&gt;Patrícia Karla de Sousa Araújo",$B:$B,"&lt;&gt;Lorena Dias de Araujo",$B:$B,"&lt;&gt;Lucas Luiz Romero")*(23/1083),IF(C3783="JR",SUMIFS($D:$D,$A:$A,$A3783,$B:$B,"&lt;&gt;Patrícia Karla de Sousa Araújo",$B:$B,"&lt;&gt;Lorena Dias de Araujo",$B:$B,"&lt;&gt;Lucas Luiz Romero")*(20/1083),IF(C3783="Estágio",SUMIFS($D:$D,$A:$A,$A3783,$B:$B,"&lt;&gt;Patrícia Karla de Sousa Araújo",$B:$B,"&lt;&gt;Lorena Dias de Araujo",$B:$B,"&lt;&gt;Lucas Luiz Romero")*(10/1083),0)))))),0)</f>
        <v>29</v>
      </c>
      <c r="K3783" s="3">
        <f>I3783-J3783</f>
        <v>-29</v>
      </c>
      <c r="L3783" s="3" t="str">
        <f>IF(K3783&lt;-5,"CRÍTICO",IF(K3783&lt;0,"ATENÇÃO",IF(K3783&lt;=5,"OPORTUNO","MUITO BOM")))</f>
        <v>CRÍTICO</v>
      </c>
      <c r="M3783" s="3">
        <v>0</v>
      </c>
      <c r="N3783" s="3">
        <v>0</v>
      </c>
      <c r="O3783" s="3">
        <v>0</v>
      </c>
    </row>
    <row r="3784" spans="1:15" hidden="1" x14ac:dyDescent="0.25">
      <c r="A3784" s="11">
        <v>46120</v>
      </c>
      <c r="B3784" t="s">
        <v>54</v>
      </c>
      <c r="C3784" t="s">
        <v>48</v>
      </c>
      <c r="D3784">
        <v>0</v>
      </c>
      <c r="E3784">
        <v>0</v>
      </c>
      <c r="F3784">
        <v>0</v>
      </c>
      <c r="G3784">
        <v>0</v>
      </c>
      <c r="H3784">
        <v>0</v>
      </c>
      <c r="I3784" s="3">
        <v>0</v>
      </c>
      <c r="J3784" s="3">
        <v>0</v>
      </c>
      <c r="K3784" s="3">
        <v>0</v>
      </c>
      <c r="L3784" s="3" t="str">
        <f>IF(K3784&lt;-5,"CRÍTICO",IF(K3784&lt;0,"ATENÇÃO",IF(K3784&lt;=5,"OPORTUNO","MUITO BOM")))</f>
        <v>OPORTUNO</v>
      </c>
      <c r="M3784">
        <v>0</v>
      </c>
      <c r="N3784">
        <v>100</v>
      </c>
      <c r="O3784">
        <v>28.921568627450981</v>
      </c>
    </row>
    <row r="3785" spans="1:15" hidden="1" x14ac:dyDescent="0.25">
      <c r="A3785" s="11">
        <v>46120</v>
      </c>
      <c r="B3785" t="s">
        <v>37</v>
      </c>
      <c r="C3785" t="s">
        <v>32</v>
      </c>
      <c r="D3785">
        <v>40</v>
      </c>
      <c r="E3785">
        <v>37</v>
      </c>
      <c r="F3785">
        <v>15.28</v>
      </c>
      <c r="G3785">
        <v>0</v>
      </c>
      <c r="H3785">
        <v>0</v>
      </c>
      <c r="I3785" s="3">
        <f>E3785+G3785+H3785</f>
        <v>37</v>
      </c>
      <c r="J3785" s="3">
        <f>ROUND(MIN(IF(C3785="Técnico III",35,IF(C3785="Técnico II",28,IF(C3785="Técnico I",23,IF(C3785="JR",20,IF(C3785="Estágio",10,0))))),IF(C3785="Técnico III",SUMIFS($D:$D,$A:$A,$A3785,$B:$B,"&lt;&gt;Patrícia Karla de Sousa Araújo",$B:$B,"&lt;&gt;Lorena Dias de Araujo",$B:$B,"&lt;&gt;Lucas Luiz Romero")*(35/1083),IF(C3785="Técnico II",SUMIFS($D:$D,$A:$A,$A3785,$B:$B,"&lt;&gt;Patrícia Karla de Sousa Araújo",$B:$B,"&lt;&gt;Lorena Dias de Araujo",$B:$B,"&lt;&gt;Lucas Luiz Romero")*(28/1083),IF(C3785="Técnico I",SUMIFS($D:$D,$A:$A,$A3785,$B:$B,"&lt;&gt;Patrícia Karla de Sousa Araújo",$B:$B,"&lt;&gt;Lorena Dias de Araujo",$B:$B,"&lt;&gt;Lucas Luiz Romero")*(23/1083),IF(C3785="JR",SUMIFS($D:$D,$A:$A,$A3785,$B:$B,"&lt;&gt;Patrícia Karla de Sousa Araújo",$B:$B,"&lt;&gt;Lorena Dias de Araujo",$B:$B,"&lt;&gt;Lucas Luiz Romero")*(20/1083),IF(C3785="Estágio",SUMIFS($D:$D,$A:$A,$A3785,$B:$B,"&lt;&gt;Patrícia Karla de Sousa Araújo",$B:$B,"&lt;&gt;Lorena Dias de Araujo",$B:$B,"&lt;&gt;Lucas Luiz Romero")*(10/1083),0)))))),0)</f>
        <v>30</v>
      </c>
      <c r="K3785" s="3">
        <f>I3785-J3785</f>
        <v>7</v>
      </c>
      <c r="L3785" s="3" t="str">
        <f>IF(K3785&lt;-5,"CRÍTICO",IF(K3785&lt;0,"ATENÇÃO",IF(K3785&lt;=5,"OPORTUNO","MUITO BOM")))</f>
        <v>MUITO BOM</v>
      </c>
      <c r="M3785">
        <v>37</v>
      </c>
      <c r="N3785">
        <v>99.57</v>
      </c>
      <c r="O3785">
        <v>30.635838150289018</v>
      </c>
    </row>
    <row r="3786" spans="1:15" hidden="1" x14ac:dyDescent="0.25">
      <c r="A3786" s="11">
        <v>46120</v>
      </c>
      <c r="B3786" t="s">
        <v>38</v>
      </c>
      <c r="C3786" t="s">
        <v>32</v>
      </c>
      <c r="D3786">
        <v>0</v>
      </c>
      <c r="E3786">
        <v>0</v>
      </c>
      <c r="F3786">
        <v>0</v>
      </c>
      <c r="G3786">
        <v>0</v>
      </c>
      <c r="H3786">
        <v>0</v>
      </c>
      <c r="I3786" s="3">
        <v>0</v>
      </c>
      <c r="J3786" s="3">
        <v>0</v>
      </c>
      <c r="K3786" s="3">
        <v>0</v>
      </c>
      <c r="L3786" s="3" t="str">
        <f>IF(K3786&lt;-5,"CRÍTICO",IF(K3786&lt;0,"ATENÇÃO",IF(K3786&lt;=5,"OPORTUNO","MUITO BOM")))</f>
        <v>OPORTUNO</v>
      </c>
      <c r="M3786">
        <v>0</v>
      </c>
      <c r="N3786">
        <v>95.65</v>
      </c>
      <c r="O3786">
        <v>32.432432432432442</v>
      </c>
    </row>
    <row r="3787" spans="1:15" hidden="1" x14ac:dyDescent="0.25">
      <c r="A3787" s="11">
        <v>46120</v>
      </c>
      <c r="B3787" t="s">
        <v>55</v>
      </c>
      <c r="C3787" t="s">
        <v>48</v>
      </c>
      <c r="D3787">
        <v>28</v>
      </c>
      <c r="E3787">
        <v>25</v>
      </c>
      <c r="F3787">
        <v>18.21</v>
      </c>
      <c r="G3787">
        <v>0</v>
      </c>
      <c r="H3787">
        <v>0</v>
      </c>
      <c r="I3787" s="3">
        <f>E3787+G3787+H3787</f>
        <v>25</v>
      </c>
      <c r="J3787" s="3">
        <f>ROUND(MIN(IF(C3787="Técnico III",35,IF(C3787="Técnico II",28,IF(C3787="Técnico I",23,IF(C3787="JR",20,IF(C3787="Estágio",10,0))))),IF(C3787="Técnico III",SUMIFS($D:$D,$A:$A,$A3787,$B:$B,"&lt;&gt;Patrícia Karla de Sousa Araújo",$B:$B,"&lt;&gt;Lorena Dias de Araujo",$B:$B,"&lt;&gt;Lucas Luiz Romero")*(35/1083),IF(C3787="Técnico II",SUMIFS($D:$D,$A:$A,$A3787,$B:$B,"&lt;&gt;Patrícia Karla de Sousa Araújo",$B:$B,"&lt;&gt;Lorena Dias de Araujo",$B:$B,"&lt;&gt;Lucas Luiz Romero")*(28/1083),IF(C3787="Técnico I",SUMIFS($D:$D,$A:$A,$A3787,$B:$B,"&lt;&gt;Patrícia Karla de Sousa Araújo",$B:$B,"&lt;&gt;Lorena Dias de Araujo",$B:$B,"&lt;&gt;Lucas Luiz Romero")*(23/1083),IF(C3787="JR",SUMIFS($D:$D,$A:$A,$A3787,$B:$B,"&lt;&gt;Patrícia Karla de Sousa Araújo",$B:$B,"&lt;&gt;Lorena Dias de Araujo",$B:$B,"&lt;&gt;Lucas Luiz Romero")*(20/1083),IF(C3787="Estágio",SUMIFS($D:$D,$A:$A,$A3787,$B:$B,"&lt;&gt;Patrícia Karla de Sousa Araújo",$B:$B,"&lt;&gt;Lorena Dias de Araujo",$B:$B,"&lt;&gt;Lucas Luiz Romero")*(10/1083),0)))))),0)</f>
        <v>24</v>
      </c>
      <c r="K3787" s="3">
        <f>I3787-J3787</f>
        <v>1</v>
      </c>
      <c r="L3787" s="3" t="str">
        <f>IF(K3787&lt;-5,"CRÍTICO",IF(K3787&lt;0,"ATENÇÃO",IF(K3787&lt;=5,"OPORTUNO","MUITO BOM")))</f>
        <v>OPORTUNO</v>
      </c>
      <c r="M3787">
        <v>24</v>
      </c>
      <c r="N3787">
        <v>98.81</v>
      </c>
      <c r="O3787">
        <v>26.256983240223459</v>
      </c>
    </row>
    <row r="3788" spans="1:15" hidden="1" x14ac:dyDescent="0.25">
      <c r="A3788" s="11">
        <v>46120</v>
      </c>
      <c r="B3788" t="s">
        <v>39</v>
      </c>
      <c r="C3788" t="s">
        <v>32</v>
      </c>
      <c r="D3788">
        <v>0</v>
      </c>
      <c r="E3788">
        <v>0</v>
      </c>
      <c r="F3788">
        <v>0</v>
      </c>
      <c r="G3788">
        <v>0</v>
      </c>
      <c r="H3788">
        <v>0</v>
      </c>
      <c r="I3788" s="3">
        <v>0</v>
      </c>
      <c r="J3788" s="3">
        <v>0</v>
      </c>
      <c r="K3788" s="3">
        <v>0</v>
      </c>
      <c r="L3788" s="3" t="str">
        <f>IF(K3788&lt;-5,"CRÍTICO",IF(K3788&lt;0,"ATENÇÃO",IF(K3788&lt;=5,"OPORTUNO","MUITO BOM")))</f>
        <v>OPORTUNO</v>
      </c>
      <c r="M3788">
        <v>0</v>
      </c>
      <c r="N3788">
        <v>0</v>
      </c>
      <c r="O3788">
        <v>0</v>
      </c>
    </row>
    <row r="3789" spans="1:15" hidden="1" x14ac:dyDescent="0.25">
      <c r="A3789" s="11">
        <v>46120</v>
      </c>
      <c r="B3789" t="s">
        <v>25</v>
      </c>
      <c r="C3789" t="s">
        <v>26</v>
      </c>
      <c r="D3789">
        <v>22</v>
      </c>
      <c r="E3789">
        <v>22</v>
      </c>
      <c r="F3789">
        <v>15.44</v>
      </c>
      <c r="G3789">
        <v>0</v>
      </c>
      <c r="H3789">
        <v>0</v>
      </c>
      <c r="I3789" s="3">
        <f>E3789+G3789+H3789</f>
        <v>22</v>
      </c>
      <c r="J3789" s="3">
        <f>ROUND(MIN(IF(C3789="Técnico III",35,IF(C3789="Técnico II",28,IF(C3789="Técnico I",23,IF(C3789="JR",20,IF(C3789="Estágio",10,0))))),IF(C3789="Técnico III",SUMIFS($D:$D,$A:$A,$A3789,$B:$B,"&lt;&gt;Patrícia Karla de Sousa Araújo",$B:$B,"&lt;&gt;Lorena Dias de Araujo",$B:$B,"&lt;&gt;Lucas Luiz Romero")*(35/1083),IF(C3789="Técnico II",SUMIFS($D:$D,$A:$A,$A3789,$B:$B,"&lt;&gt;Patrícia Karla de Sousa Araújo",$B:$B,"&lt;&gt;Lorena Dias de Araujo",$B:$B,"&lt;&gt;Lucas Luiz Romero")*(28/1083),IF(C3789="Técnico I",SUMIFS($D:$D,$A:$A,$A3789,$B:$B,"&lt;&gt;Patrícia Karla de Sousa Araújo",$B:$B,"&lt;&gt;Lorena Dias de Araujo",$B:$B,"&lt;&gt;Lucas Luiz Romero")*(23/1083),IF(C3789="JR",SUMIFS($D:$D,$A:$A,$A3789,$B:$B,"&lt;&gt;Patrícia Karla de Sousa Araújo",$B:$B,"&lt;&gt;Lorena Dias de Araujo",$B:$B,"&lt;&gt;Lucas Luiz Romero")*(20/1083),IF(C3789="Estágio",SUMIFS($D:$D,$A:$A,$A3789,$B:$B,"&lt;&gt;Patrícia Karla de Sousa Araújo",$B:$B,"&lt;&gt;Lorena Dias de Araujo",$B:$B,"&lt;&gt;Lucas Luiz Romero")*(10/1083),0)))))),0)</f>
        <v>17</v>
      </c>
      <c r="K3789" s="3">
        <f>I3789-J3789</f>
        <v>5</v>
      </c>
      <c r="L3789" s="3" t="str">
        <f>IF(K3789&lt;-5,"CRÍTICO",IF(K3789&lt;0,"ATENÇÃO",IF(K3789&lt;=5,"OPORTUNO","MUITO BOM")))</f>
        <v>OPORTUNO</v>
      </c>
      <c r="M3789">
        <v>14</v>
      </c>
      <c r="N3789">
        <v>97.17</v>
      </c>
      <c r="O3789">
        <v>28.81844380403458</v>
      </c>
    </row>
    <row r="3790" spans="1:15" hidden="1" x14ac:dyDescent="0.25">
      <c r="A3790" s="11">
        <v>46120</v>
      </c>
      <c r="B3790" t="s">
        <v>40</v>
      </c>
      <c r="C3790" t="s">
        <v>32</v>
      </c>
      <c r="D3790">
        <v>18</v>
      </c>
      <c r="E3790">
        <v>17</v>
      </c>
      <c r="F3790">
        <v>20.5</v>
      </c>
      <c r="G3790">
        <v>0</v>
      </c>
      <c r="H3790">
        <v>0</v>
      </c>
      <c r="I3790" s="3">
        <f>E3790+G3790+H3790</f>
        <v>17</v>
      </c>
      <c r="J3790" s="3">
        <f>ROUND(MIN(IF(C3790="Técnico III",35,IF(C3790="Técnico II",28,IF(C3790="Técnico I",23,IF(C3790="JR",20,IF(C3790="Estágio",10,0))))),IF(C3790="Técnico III",SUMIFS($D:$D,$A:$A,$A3790,$B:$B,"&lt;&gt;Patrícia Karla de Sousa Araújo",$B:$B,"&lt;&gt;Lorena Dias de Araujo",$B:$B,"&lt;&gt;Lucas Luiz Romero")*(35/1083),IF(C3790="Técnico II",SUMIFS($D:$D,$A:$A,$A3790,$B:$B,"&lt;&gt;Patrícia Karla de Sousa Araújo",$B:$B,"&lt;&gt;Lorena Dias de Araujo",$B:$B,"&lt;&gt;Lucas Luiz Romero")*(28/1083),IF(C3790="Técnico I",SUMIFS($D:$D,$A:$A,$A3790,$B:$B,"&lt;&gt;Patrícia Karla de Sousa Araújo",$B:$B,"&lt;&gt;Lorena Dias de Araujo",$B:$B,"&lt;&gt;Lucas Luiz Romero")*(23/1083),IF(C3790="JR",SUMIFS($D:$D,$A:$A,$A3790,$B:$B,"&lt;&gt;Patrícia Karla de Sousa Araújo",$B:$B,"&lt;&gt;Lorena Dias de Araujo",$B:$B,"&lt;&gt;Lucas Luiz Romero")*(20/1083),IF(C3790="Estágio",SUMIFS($D:$D,$A:$A,$A3790,$B:$B,"&lt;&gt;Patrícia Karla de Sousa Araújo",$B:$B,"&lt;&gt;Lorena Dias de Araujo",$B:$B,"&lt;&gt;Lucas Luiz Romero")*(10/1083),0)))))),0)</f>
        <v>30</v>
      </c>
      <c r="K3790" s="3">
        <f>I3790-J3790</f>
        <v>-13</v>
      </c>
      <c r="L3790" s="3" t="str">
        <f>IF(K3790&lt;-5,"CRÍTICO",IF(K3790&lt;0,"ATENÇÃO",IF(K3790&lt;=5,"OPORTUNO","MUITO BOM")))</f>
        <v>CRÍTICO</v>
      </c>
      <c r="M3790">
        <v>18</v>
      </c>
      <c r="N3790">
        <v>96.81</v>
      </c>
      <c r="O3790">
        <v>48.018648018648022</v>
      </c>
    </row>
    <row r="3791" spans="1:15" hidden="1" x14ac:dyDescent="0.25">
      <c r="A3791" s="11">
        <v>46120</v>
      </c>
      <c r="B3791" t="s">
        <v>27</v>
      </c>
      <c r="C3791" t="s">
        <v>26</v>
      </c>
      <c r="D3791">
        <v>20</v>
      </c>
      <c r="E3791">
        <v>17</v>
      </c>
      <c r="F3791">
        <v>19.13</v>
      </c>
      <c r="G3791">
        <v>0</v>
      </c>
      <c r="H3791">
        <v>0</v>
      </c>
      <c r="I3791" s="3">
        <f>E3791+G3791+H3791</f>
        <v>17</v>
      </c>
      <c r="J3791" s="3">
        <f>ROUND(MIN(IF(C3791="Técnico III",35,IF(C3791="Técnico II",28,IF(C3791="Técnico I",23,IF(C3791="JR",20,IF(C3791="Estágio",10,0))))),IF(C3791="Técnico III",SUMIFS($D:$D,$A:$A,$A3791,$B:$B,"&lt;&gt;Patrícia Karla de Sousa Araújo",$B:$B,"&lt;&gt;Lorena Dias de Araujo",$B:$B,"&lt;&gt;Lucas Luiz Romero")*(35/1083),IF(C3791="Técnico II",SUMIFS($D:$D,$A:$A,$A3791,$B:$B,"&lt;&gt;Patrícia Karla de Sousa Araújo",$B:$B,"&lt;&gt;Lorena Dias de Araujo",$B:$B,"&lt;&gt;Lucas Luiz Romero")*(28/1083),IF(C3791="Técnico I",SUMIFS($D:$D,$A:$A,$A3791,$B:$B,"&lt;&gt;Patrícia Karla de Sousa Araújo",$B:$B,"&lt;&gt;Lorena Dias de Araujo",$B:$B,"&lt;&gt;Lucas Luiz Romero")*(23/1083),IF(C3791="JR",SUMIFS($D:$D,$A:$A,$A3791,$B:$B,"&lt;&gt;Patrícia Karla de Sousa Araújo",$B:$B,"&lt;&gt;Lorena Dias de Araujo",$B:$B,"&lt;&gt;Lucas Luiz Romero")*(20/1083),IF(C3791="Estágio",SUMIFS($D:$D,$A:$A,$A3791,$B:$B,"&lt;&gt;Patrícia Karla de Sousa Araújo",$B:$B,"&lt;&gt;Lorena Dias de Araujo",$B:$B,"&lt;&gt;Lucas Luiz Romero")*(10/1083),0)))))),0)</f>
        <v>17</v>
      </c>
      <c r="K3791" s="3">
        <f>I3791-J3791</f>
        <v>0</v>
      </c>
      <c r="L3791" s="3" t="str">
        <f>IF(K3791&lt;-5,"CRÍTICO",IF(K3791&lt;0,"ATENÇÃO",IF(K3791&lt;=5,"OPORTUNO","MUITO BOM")))</f>
        <v>OPORTUNO</v>
      </c>
      <c r="M3791">
        <v>13</v>
      </c>
      <c r="N3791">
        <v>98.15</v>
      </c>
      <c r="O3791">
        <v>27.1551724137931</v>
      </c>
    </row>
    <row r="3792" spans="1:15" hidden="1" x14ac:dyDescent="0.25">
      <c r="A3792" s="11">
        <v>46120</v>
      </c>
      <c r="B3792" t="s">
        <v>41</v>
      </c>
      <c r="C3792" t="s">
        <v>32</v>
      </c>
      <c r="D3792">
        <v>30</v>
      </c>
      <c r="E3792">
        <v>29</v>
      </c>
      <c r="F3792">
        <v>11.46</v>
      </c>
      <c r="G3792">
        <v>0</v>
      </c>
      <c r="H3792">
        <v>0</v>
      </c>
      <c r="I3792" s="3">
        <f>E3792+G3792+H3792</f>
        <v>29</v>
      </c>
      <c r="J3792" s="3">
        <f>ROUND(MIN(IF(C3792="Técnico III",35,IF(C3792="Técnico II",28,IF(C3792="Técnico I",23,IF(C3792="JR",20,IF(C3792="Estágio",10,0))))),IF(C3792="Técnico III",SUMIFS($D:$D,$A:$A,$A3792,$B:$B,"&lt;&gt;Patrícia Karla de Sousa Araújo",$B:$B,"&lt;&gt;Lorena Dias de Araujo",$B:$B,"&lt;&gt;Lucas Luiz Romero")*(35/1083),IF(C3792="Técnico II",SUMIFS($D:$D,$A:$A,$A3792,$B:$B,"&lt;&gt;Patrícia Karla de Sousa Araújo",$B:$B,"&lt;&gt;Lorena Dias de Araujo",$B:$B,"&lt;&gt;Lucas Luiz Romero")*(28/1083),IF(C3792="Técnico I",SUMIFS($D:$D,$A:$A,$A3792,$B:$B,"&lt;&gt;Patrícia Karla de Sousa Araújo",$B:$B,"&lt;&gt;Lorena Dias de Araujo",$B:$B,"&lt;&gt;Lucas Luiz Romero")*(23/1083),IF(C3792="JR",SUMIFS($D:$D,$A:$A,$A3792,$B:$B,"&lt;&gt;Patrícia Karla de Sousa Araújo",$B:$B,"&lt;&gt;Lorena Dias de Araujo",$B:$B,"&lt;&gt;Lucas Luiz Romero")*(20/1083),IF(C3792="Estágio",SUMIFS($D:$D,$A:$A,$A3792,$B:$B,"&lt;&gt;Patrícia Karla de Sousa Araújo",$B:$B,"&lt;&gt;Lorena Dias de Araujo",$B:$B,"&lt;&gt;Lucas Luiz Romero")*(10/1083),0)))))),0)</f>
        <v>30</v>
      </c>
      <c r="K3792" s="3">
        <f>I3792-J3792</f>
        <v>-1</v>
      </c>
      <c r="L3792" s="3" t="str">
        <f>IF(K3792&lt;-5,"CRÍTICO",IF(K3792&lt;0,"ATENÇÃO",IF(K3792&lt;=5,"OPORTUNO","MUITO BOM")))</f>
        <v>ATENÇÃO</v>
      </c>
      <c r="M3792">
        <v>28</v>
      </c>
      <c r="N3792">
        <v>99.15</v>
      </c>
      <c r="O3792">
        <v>27.586206896551719</v>
      </c>
    </row>
    <row r="3793" spans="1:15" hidden="1" x14ac:dyDescent="0.25">
      <c r="A3793" s="11">
        <v>46120</v>
      </c>
      <c r="B3793" t="s">
        <v>56</v>
      </c>
      <c r="C3793" t="s">
        <v>48</v>
      </c>
      <c r="D3793">
        <v>26</v>
      </c>
      <c r="E3793">
        <v>24</v>
      </c>
      <c r="F3793">
        <v>18.36</v>
      </c>
      <c r="G3793">
        <v>0</v>
      </c>
      <c r="H3793">
        <v>0</v>
      </c>
      <c r="I3793" s="3">
        <f>E3793+G3793+H3793</f>
        <v>24</v>
      </c>
      <c r="J3793" s="3">
        <f>ROUND(MIN(IF(C3793="Técnico III",35,IF(C3793="Técnico II",28,IF(C3793="Técnico I",23,IF(C3793="JR",20,IF(C3793="Estágio",10,0))))),IF(C3793="Técnico III",SUMIFS($D:$D,$A:$A,$A3793,$B:$B,"&lt;&gt;Patrícia Karla de Sousa Araújo",$B:$B,"&lt;&gt;Lorena Dias de Araujo",$B:$B,"&lt;&gt;Lucas Luiz Romero")*(35/1083),IF(C3793="Técnico II",SUMIFS($D:$D,$A:$A,$A3793,$B:$B,"&lt;&gt;Patrícia Karla de Sousa Araújo",$B:$B,"&lt;&gt;Lorena Dias de Araujo",$B:$B,"&lt;&gt;Lucas Luiz Romero")*(28/1083),IF(C3793="Técnico I",SUMIFS($D:$D,$A:$A,$A3793,$B:$B,"&lt;&gt;Patrícia Karla de Sousa Araújo",$B:$B,"&lt;&gt;Lorena Dias de Araujo",$B:$B,"&lt;&gt;Lucas Luiz Romero")*(23/1083),IF(C3793="JR",SUMIFS($D:$D,$A:$A,$A3793,$B:$B,"&lt;&gt;Patrícia Karla de Sousa Araújo",$B:$B,"&lt;&gt;Lorena Dias de Araujo",$B:$B,"&lt;&gt;Lucas Luiz Romero")*(20/1083),IF(C3793="Estágio",SUMIFS($D:$D,$A:$A,$A3793,$B:$B,"&lt;&gt;Patrícia Karla de Sousa Araújo",$B:$B,"&lt;&gt;Lorena Dias de Araujo",$B:$B,"&lt;&gt;Lucas Luiz Romero")*(10/1083),0)))))),0)</f>
        <v>24</v>
      </c>
      <c r="K3793" s="3">
        <f>I3793-J3793</f>
        <v>0</v>
      </c>
      <c r="L3793" s="3" t="str">
        <f>IF(K3793&lt;-5,"CRÍTICO",IF(K3793&lt;0,"ATENÇÃO",IF(K3793&lt;=5,"OPORTUNO","MUITO BOM")))</f>
        <v>OPORTUNO</v>
      </c>
      <c r="M3793">
        <v>13</v>
      </c>
      <c r="N3793">
        <v>99.17</v>
      </c>
      <c r="O3793">
        <v>29.75206611570248</v>
      </c>
    </row>
    <row r="3794" spans="1:15" hidden="1" x14ac:dyDescent="0.25">
      <c r="A3794" s="11">
        <v>46120</v>
      </c>
      <c r="B3794" t="s">
        <v>57</v>
      </c>
      <c r="C3794" t="s">
        <v>48</v>
      </c>
      <c r="D3794">
        <v>21</v>
      </c>
      <c r="E3794">
        <v>20</v>
      </c>
      <c r="F3794">
        <v>21.5</v>
      </c>
      <c r="G3794">
        <v>0</v>
      </c>
      <c r="H3794">
        <v>0</v>
      </c>
      <c r="I3794" s="3">
        <v>0</v>
      </c>
      <c r="J3794" s="3">
        <v>0</v>
      </c>
      <c r="K3794" s="3">
        <v>0</v>
      </c>
      <c r="L3794" s="3" t="str">
        <f>IF(K3794&lt;-5,"CRÍTICO",IF(K3794&lt;0,"ATENÇÃO",IF(K3794&lt;=5,"OPORTUNO","MUITO BOM")))</f>
        <v>OPORTUNO</v>
      </c>
      <c r="M3794">
        <v>23</v>
      </c>
      <c r="N3794">
        <v>98.73</v>
      </c>
      <c r="O3794">
        <v>28.961748633879779</v>
      </c>
    </row>
    <row r="3795" spans="1:15" hidden="1" x14ac:dyDescent="0.25">
      <c r="A3795" s="11">
        <v>46120</v>
      </c>
      <c r="B3795" t="s">
        <v>42</v>
      </c>
      <c r="C3795" t="s">
        <v>32</v>
      </c>
      <c r="D3795">
        <v>43</v>
      </c>
      <c r="E3795">
        <v>36</v>
      </c>
      <c r="F3795">
        <v>13.47</v>
      </c>
      <c r="G3795">
        <v>0</v>
      </c>
      <c r="H3795">
        <v>0</v>
      </c>
      <c r="I3795" s="3">
        <f>E3795+G3795+H3795</f>
        <v>36</v>
      </c>
      <c r="J3795" s="3">
        <f>ROUND(MIN(IF(C3795="Técnico III",35,IF(C3795="Técnico II",28,IF(C3795="Técnico I",23,IF(C3795="JR",20,IF(C3795="Estágio",10,0))))),IF(C3795="Técnico III",SUMIFS($D:$D,$A:$A,$A3795,$B:$B,"&lt;&gt;Patrícia Karla de Sousa Araújo",$B:$B,"&lt;&gt;Lorena Dias de Araujo",$B:$B,"&lt;&gt;Lucas Luiz Romero")*(35/1083),IF(C3795="Técnico II",SUMIFS($D:$D,$A:$A,$A3795,$B:$B,"&lt;&gt;Patrícia Karla de Sousa Araújo",$B:$B,"&lt;&gt;Lorena Dias de Araujo",$B:$B,"&lt;&gt;Lucas Luiz Romero")*(28/1083),IF(C3795="Técnico I",SUMIFS($D:$D,$A:$A,$A3795,$B:$B,"&lt;&gt;Patrícia Karla de Sousa Araújo",$B:$B,"&lt;&gt;Lorena Dias de Araujo",$B:$B,"&lt;&gt;Lucas Luiz Romero")*(23/1083),IF(C3795="JR",SUMIFS($D:$D,$A:$A,$A3795,$B:$B,"&lt;&gt;Patrícia Karla de Sousa Araújo",$B:$B,"&lt;&gt;Lorena Dias de Araujo",$B:$B,"&lt;&gt;Lucas Luiz Romero")*(20/1083),IF(C3795="Estágio",SUMIFS($D:$D,$A:$A,$A3795,$B:$B,"&lt;&gt;Patrícia Karla de Sousa Araújo",$B:$B,"&lt;&gt;Lorena Dias de Araujo",$B:$B,"&lt;&gt;Lucas Luiz Romero")*(10/1083),0)))))),0)</f>
        <v>30</v>
      </c>
      <c r="K3795" s="3">
        <f>I3795-J3795</f>
        <v>6</v>
      </c>
      <c r="L3795" s="3" t="str">
        <f>IF(K3795&lt;-5,"CRÍTICO",IF(K3795&lt;0,"ATENÇÃO",IF(K3795&lt;=5,"OPORTUNO","MUITO BOM")))</f>
        <v>MUITO BOM</v>
      </c>
      <c r="M3795">
        <v>21</v>
      </c>
      <c r="N3795">
        <v>88.68</v>
      </c>
      <c r="O3795">
        <v>22.03389830508474</v>
      </c>
    </row>
    <row r="3796" spans="1:15" hidden="1" x14ac:dyDescent="0.25">
      <c r="A3796" s="11">
        <v>46120</v>
      </c>
      <c r="B3796" t="s">
        <v>62</v>
      </c>
      <c r="C3796" t="s">
        <v>23</v>
      </c>
      <c r="D3796">
        <v>32</v>
      </c>
      <c r="E3796">
        <v>26</v>
      </c>
      <c r="F3796">
        <v>13.59</v>
      </c>
      <c r="G3796">
        <v>0</v>
      </c>
      <c r="H3796">
        <v>0</v>
      </c>
      <c r="I3796" s="3">
        <f>E3796+G3796+H3796</f>
        <v>26</v>
      </c>
      <c r="J3796" s="3">
        <f>ROUND(MIN(IF(C3796="Técnico III",35,IF(C3796="Técnico II",28,IF(C3796="Técnico I",23,IF(C3796="JR",20,IF(C3796="Estágio",10,0))))),IF(C3796="Técnico III",SUMIFS($D:$D,$A:$A,$A3796,$B:$B,"&lt;&gt;Patrícia Karla de Sousa Araújo",$B:$B,"&lt;&gt;Lorena Dias de Araujo",$B:$B,"&lt;&gt;Lucas Luiz Romero")*(35/1083),IF(C3796="Técnico II",SUMIFS($D:$D,$A:$A,$A3796,$B:$B,"&lt;&gt;Patrícia Karla de Sousa Araújo",$B:$B,"&lt;&gt;Lorena Dias de Araujo",$B:$B,"&lt;&gt;Lucas Luiz Romero")*(28/1083),IF(C3796="Técnico I",SUMIFS($D:$D,$A:$A,$A3796,$B:$B,"&lt;&gt;Patrícia Karla de Sousa Araújo",$B:$B,"&lt;&gt;Lorena Dias de Araujo",$B:$B,"&lt;&gt;Lucas Luiz Romero")*(23/1083),IF(C3796="JR",SUMIFS($D:$D,$A:$A,$A3796,$B:$B,"&lt;&gt;Patrícia Karla de Sousa Araújo",$B:$B,"&lt;&gt;Lorena Dias de Araujo",$B:$B,"&lt;&gt;Lucas Luiz Romero")*(20/1083),IF(C3796="Estágio",SUMIFS($D:$D,$A:$A,$A3796,$B:$B,"&lt;&gt;Patrícia Karla de Sousa Araújo",$B:$B,"&lt;&gt;Lorena Dias de Araujo",$B:$B,"&lt;&gt;Lucas Luiz Romero")*(10/1083),0)))))),0)</f>
        <v>20</v>
      </c>
      <c r="K3796" s="3">
        <f>I3796-J3796</f>
        <v>6</v>
      </c>
      <c r="L3796" s="3" t="str">
        <f>IF(K3796&lt;-5,"CRÍTICO",IF(K3796&lt;0,"ATENÇÃO",IF(K3796&lt;=5,"OPORTUNO","MUITO BOM")))</f>
        <v>MUITO BOM</v>
      </c>
      <c r="M3796">
        <v>28</v>
      </c>
      <c r="N3796">
        <v>97.37</v>
      </c>
      <c r="O3796">
        <v>25.76530612244898</v>
      </c>
    </row>
    <row r="3797" spans="1:15" hidden="1" x14ac:dyDescent="0.25">
      <c r="A3797" s="11">
        <v>46120</v>
      </c>
      <c r="B3797" t="s">
        <v>19</v>
      </c>
      <c r="C3797" t="s">
        <v>16</v>
      </c>
      <c r="D3797">
        <v>0</v>
      </c>
      <c r="E3797">
        <v>0</v>
      </c>
      <c r="F3797">
        <v>0</v>
      </c>
      <c r="G3797">
        <v>0</v>
      </c>
      <c r="H3797">
        <v>0</v>
      </c>
      <c r="I3797" s="3">
        <v>0</v>
      </c>
      <c r="J3797" s="3">
        <v>0</v>
      </c>
      <c r="K3797" s="3">
        <v>0</v>
      </c>
      <c r="L3797" s="3" t="str">
        <f>IF(K3797&lt;-5,"CRÍTICO",IF(K3797&lt;0,"ATENÇÃO",IF(K3797&lt;=5,"OPORTUNO","MUITO BOM")))</f>
        <v>OPORTUNO</v>
      </c>
      <c r="M3797">
        <v>0</v>
      </c>
      <c r="N3797">
        <v>100</v>
      </c>
      <c r="O3797">
        <v>25</v>
      </c>
    </row>
    <row r="3798" spans="1:15" hidden="1" x14ac:dyDescent="0.25">
      <c r="A3798" s="11">
        <v>46120</v>
      </c>
      <c r="B3798" t="s">
        <v>43</v>
      </c>
      <c r="C3798" t="s">
        <v>32</v>
      </c>
      <c r="D3798">
        <v>18</v>
      </c>
      <c r="E3798">
        <v>18</v>
      </c>
      <c r="F3798">
        <v>15.45</v>
      </c>
      <c r="G3798">
        <v>0</v>
      </c>
      <c r="H3798">
        <v>0</v>
      </c>
      <c r="I3798" s="3">
        <f>E3798+G3798+H3798</f>
        <v>18</v>
      </c>
      <c r="J3798" s="3">
        <f>ROUND(MIN(IF(C3798="Técnico III",35,IF(C3798="Técnico II",28,IF(C3798="Técnico I",23,IF(C3798="JR",20,IF(C3798="Estágio",10,0))))),IF(C3798="Técnico III",SUMIFS($D:$D,$A:$A,$A3798,$B:$B,"&lt;&gt;Patrícia Karla de Sousa Araújo",$B:$B,"&lt;&gt;Lorena Dias de Araujo",$B:$B,"&lt;&gt;Lucas Luiz Romero")*(35/1083),IF(C3798="Técnico II",SUMIFS($D:$D,$A:$A,$A3798,$B:$B,"&lt;&gt;Patrícia Karla de Sousa Araújo",$B:$B,"&lt;&gt;Lorena Dias de Araujo",$B:$B,"&lt;&gt;Lucas Luiz Romero")*(28/1083),IF(C3798="Técnico I",SUMIFS($D:$D,$A:$A,$A3798,$B:$B,"&lt;&gt;Patrícia Karla de Sousa Araújo",$B:$B,"&lt;&gt;Lorena Dias de Araujo",$B:$B,"&lt;&gt;Lucas Luiz Romero")*(23/1083),IF(C3798="JR",SUMIFS($D:$D,$A:$A,$A3798,$B:$B,"&lt;&gt;Patrícia Karla de Sousa Araújo",$B:$B,"&lt;&gt;Lorena Dias de Araujo",$B:$B,"&lt;&gt;Lucas Luiz Romero")*(20/1083),IF(C3798="Estágio",SUMIFS($D:$D,$A:$A,$A3798,$B:$B,"&lt;&gt;Patrícia Karla de Sousa Araújo",$B:$B,"&lt;&gt;Lorena Dias de Araujo",$B:$B,"&lt;&gt;Lucas Luiz Romero")*(10/1083),0)))))),0)</f>
        <v>30</v>
      </c>
      <c r="K3798" s="3">
        <f>I3798-J3798</f>
        <v>-12</v>
      </c>
      <c r="L3798" s="3" t="str">
        <f>IF(K3798&lt;-5,"CRÍTICO",IF(K3798&lt;0,"ATENÇÃO",IF(K3798&lt;=5,"OPORTUNO","MUITO BOM")))</f>
        <v>CRÍTICO</v>
      </c>
      <c r="M3798">
        <v>20</v>
      </c>
      <c r="N3798">
        <v>100</v>
      </c>
      <c r="O3798">
        <v>23.9870340356564</v>
      </c>
    </row>
    <row r="3799" spans="1:15" hidden="1" x14ac:dyDescent="0.25">
      <c r="A3799" s="11">
        <v>46120</v>
      </c>
      <c r="B3799" t="s">
        <v>44</v>
      </c>
      <c r="C3799" t="s">
        <v>32</v>
      </c>
      <c r="D3799">
        <v>40</v>
      </c>
      <c r="E3799">
        <v>37</v>
      </c>
      <c r="F3799">
        <v>14.15</v>
      </c>
      <c r="G3799">
        <v>0</v>
      </c>
      <c r="H3799">
        <v>0</v>
      </c>
      <c r="I3799" s="3">
        <f>E3799+G3799+H3799</f>
        <v>37</v>
      </c>
      <c r="J3799" s="3">
        <f>ROUND(MIN(IF(C3799="Técnico III",35,IF(C3799="Técnico II",28,IF(C3799="Técnico I",23,IF(C3799="JR",20,IF(C3799="Estágio",10,0))))),IF(C3799="Técnico III",SUMIFS($D:$D,$A:$A,$A3799,$B:$B,"&lt;&gt;Patrícia Karla de Sousa Araújo",$B:$B,"&lt;&gt;Lorena Dias de Araujo",$B:$B,"&lt;&gt;Lucas Luiz Romero")*(35/1083),IF(C3799="Técnico II",SUMIFS($D:$D,$A:$A,$A3799,$B:$B,"&lt;&gt;Patrícia Karla de Sousa Araújo",$B:$B,"&lt;&gt;Lorena Dias de Araujo",$B:$B,"&lt;&gt;Lucas Luiz Romero")*(28/1083),IF(C3799="Técnico I",SUMIFS($D:$D,$A:$A,$A3799,$B:$B,"&lt;&gt;Patrícia Karla de Sousa Araújo",$B:$B,"&lt;&gt;Lorena Dias de Araujo",$B:$B,"&lt;&gt;Lucas Luiz Romero")*(23/1083),IF(C3799="JR",SUMIFS($D:$D,$A:$A,$A3799,$B:$B,"&lt;&gt;Patrícia Karla de Sousa Araújo",$B:$B,"&lt;&gt;Lorena Dias de Araujo",$B:$B,"&lt;&gt;Lucas Luiz Romero")*(20/1083),IF(C3799="Estágio",SUMIFS($D:$D,$A:$A,$A3799,$B:$B,"&lt;&gt;Patrícia Karla de Sousa Araújo",$B:$B,"&lt;&gt;Lorena Dias de Araujo",$B:$B,"&lt;&gt;Lucas Luiz Romero")*(10/1083),0)))))),0)</f>
        <v>30</v>
      </c>
      <c r="K3799" s="3">
        <f>I3799-J3799</f>
        <v>7</v>
      </c>
      <c r="L3799" s="3" t="str">
        <f>IF(K3799&lt;-5,"CRÍTICO",IF(K3799&lt;0,"ATENÇÃO",IF(K3799&lt;=5,"OPORTUNO","MUITO BOM")))</f>
        <v>MUITO BOM</v>
      </c>
      <c r="M3799">
        <v>32</v>
      </c>
      <c r="N3799">
        <v>95.49</v>
      </c>
      <c r="O3799">
        <v>28.370221327967808</v>
      </c>
    </row>
    <row r="3800" spans="1:15" hidden="1" x14ac:dyDescent="0.25">
      <c r="A3800" s="11">
        <v>46120</v>
      </c>
      <c r="B3800" t="s">
        <v>20</v>
      </c>
      <c r="C3800" t="s">
        <v>16</v>
      </c>
      <c r="D3800">
        <v>6</v>
      </c>
      <c r="E3800">
        <v>5</v>
      </c>
      <c r="F3800">
        <v>20.09</v>
      </c>
      <c r="G3800">
        <v>0</v>
      </c>
      <c r="H3800">
        <v>0</v>
      </c>
      <c r="I3800" s="3">
        <f>E3800+G3800+H3800</f>
        <v>5</v>
      </c>
      <c r="J3800" s="3">
        <f>ROUND(MIN(IF(C3800="Técnico III",35,IF(C3800="Técnico II",28,IF(C3800="Técnico I",23,IF(C3800="JR",20,IF(C3800="Estágio",10,0))))),IF(C3800="Técnico III",SUMIFS($D:$D,$A:$A,$A3800,$B:$B,"&lt;&gt;Patrícia Karla de Sousa Araújo",$B:$B,"&lt;&gt;Lorena Dias de Araujo",$B:$B,"&lt;&gt;Lucas Luiz Romero")*(35/1083),IF(C3800="Técnico II",SUMIFS($D:$D,$A:$A,$A3800,$B:$B,"&lt;&gt;Patrícia Karla de Sousa Araújo",$B:$B,"&lt;&gt;Lorena Dias de Araujo",$B:$B,"&lt;&gt;Lucas Luiz Romero")*(28/1083),IF(C3800="Técnico I",SUMIFS($D:$D,$A:$A,$A3800,$B:$B,"&lt;&gt;Patrícia Karla de Sousa Araújo",$B:$B,"&lt;&gt;Lorena Dias de Araujo",$B:$B,"&lt;&gt;Lucas Luiz Romero")*(23/1083),IF(C3800="JR",SUMIFS($D:$D,$A:$A,$A3800,$B:$B,"&lt;&gt;Patrícia Karla de Sousa Araújo",$B:$B,"&lt;&gt;Lorena Dias de Araujo",$B:$B,"&lt;&gt;Lucas Luiz Romero")*(20/1083),IF(C3800="Estágio",SUMIFS($D:$D,$A:$A,$A3800,$B:$B,"&lt;&gt;Patrícia Karla de Sousa Araújo",$B:$B,"&lt;&gt;Lorena Dias de Araujo",$B:$B,"&lt;&gt;Lucas Luiz Romero")*(10/1083),0)))))),0)</f>
        <v>9</v>
      </c>
      <c r="K3800" s="3">
        <f>I3800-J3800</f>
        <v>-4</v>
      </c>
      <c r="L3800" s="3" t="str">
        <f>IF(K3800&lt;-5,"CRÍTICO",IF(K3800&lt;0,"ATENÇÃO",IF(K3800&lt;=5,"OPORTUNO","MUITO BOM")))</f>
        <v>ATENÇÃO</v>
      </c>
      <c r="M3800">
        <v>2</v>
      </c>
      <c r="N3800">
        <v>100</v>
      </c>
      <c r="O3800">
        <v>23.77622377622378</v>
      </c>
    </row>
    <row r="3801" spans="1:15" hidden="1" x14ac:dyDescent="0.25">
      <c r="A3801" s="11">
        <v>46120</v>
      </c>
      <c r="B3801" t="s">
        <v>28</v>
      </c>
      <c r="C3801" t="s">
        <v>26</v>
      </c>
      <c r="D3801">
        <v>37</v>
      </c>
      <c r="E3801">
        <v>30</v>
      </c>
      <c r="F3801">
        <v>15.08</v>
      </c>
      <c r="G3801">
        <v>0</v>
      </c>
      <c r="H3801">
        <v>0</v>
      </c>
      <c r="I3801" s="3">
        <f>E3801+G3801+H3801</f>
        <v>30</v>
      </c>
      <c r="J3801" s="3">
        <f>ROUND(MIN(IF(C3801="Técnico III",35,IF(C3801="Técnico II",28,IF(C3801="Técnico I",23,IF(C3801="JR",20,IF(C3801="Estágio",10,0))))),IF(C3801="Técnico III",SUMIFS($D:$D,$A:$A,$A3801,$B:$B,"&lt;&gt;Patrícia Karla de Sousa Araújo",$B:$B,"&lt;&gt;Lorena Dias de Araujo",$B:$B,"&lt;&gt;Lucas Luiz Romero")*(35/1083),IF(C3801="Técnico II",SUMIFS($D:$D,$A:$A,$A3801,$B:$B,"&lt;&gt;Patrícia Karla de Sousa Araújo",$B:$B,"&lt;&gt;Lorena Dias de Araujo",$B:$B,"&lt;&gt;Lucas Luiz Romero")*(28/1083),IF(C3801="Técnico I",SUMIFS($D:$D,$A:$A,$A3801,$B:$B,"&lt;&gt;Patrícia Karla de Sousa Araújo",$B:$B,"&lt;&gt;Lorena Dias de Araujo",$B:$B,"&lt;&gt;Lucas Luiz Romero")*(23/1083),IF(C3801="JR",SUMIFS($D:$D,$A:$A,$A3801,$B:$B,"&lt;&gt;Patrícia Karla de Sousa Araújo",$B:$B,"&lt;&gt;Lorena Dias de Araujo",$B:$B,"&lt;&gt;Lucas Luiz Romero")*(20/1083),IF(C3801="Estágio",SUMIFS($D:$D,$A:$A,$A3801,$B:$B,"&lt;&gt;Patrícia Karla de Sousa Araújo",$B:$B,"&lt;&gt;Lorena Dias de Araujo",$B:$B,"&lt;&gt;Lucas Luiz Romero")*(10/1083),0)))))),0)</f>
        <v>17</v>
      </c>
      <c r="K3801" s="3">
        <f>I3801-J3801</f>
        <v>13</v>
      </c>
      <c r="L3801" s="3" t="str">
        <f>IF(K3801&lt;-5,"CRÍTICO",IF(K3801&lt;0,"ATENÇÃO",IF(K3801&lt;=5,"OPORTUNO","MUITO BOM")))</f>
        <v>MUITO BOM</v>
      </c>
      <c r="M3801">
        <v>23</v>
      </c>
      <c r="N3801">
        <v>96.15</v>
      </c>
      <c r="O3801">
        <v>24.045801526717561</v>
      </c>
    </row>
    <row r="3802" spans="1:15" hidden="1" x14ac:dyDescent="0.25">
      <c r="A3802" s="11">
        <v>46120</v>
      </c>
      <c r="B3802" t="s">
        <v>58</v>
      </c>
      <c r="C3802" t="s">
        <v>48</v>
      </c>
      <c r="D3802">
        <v>8</v>
      </c>
      <c r="E3802">
        <v>8</v>
      </c>
      <c r="F3802">
        <v>33.5</v>
      </c>
      <c r="G3802">
        <v>0</v>
      </c>
      <c r="H3802">
        <v>0</v>
      </c>
      <c r="I3802" s="3">
        <f>E3802+G3802+H3802</f>
        <v>8</v>
      </c>
      <c r="J3802" s="3">
        <f>ROUND(MIN(IF(C3802="Técnico III",35,IF(C3802="Técnico II",28,IF(C3802="Técnico I",23,IF(C3802="JR",20,IF(C3802="Estágio",10,0))))),IF(C3802="Técnico III",SUMIFS($D:$D,$A:$A,$A3802,$B:$B,"&lt;&gt;Patrícia Karla de Sousa Araújo",$B:$B,"&lt;&gt;Lorena Dias de Araujo",$B:$B,"&lt;&gt;Lucas Luiz Romero")*(35/1083),IF(C3802="Técnico II",SUMIFS($D:$D,$A:$A,$A3802,$B:$B,"&lt;&gt;Patrícia Karla de Sousa Araújo",$B:$B,"&lt;&gt;Lorena Dias de Araujo",$B:$B,"&lt;&gt;Lucas Luiz Romero")*(28/1083),IF(C3802="Técnico I",SUMIFS($D:$D,$A:$A,$A3802,$B:$B,"&lt;&gt;Patrícia Karla de Sousa Araújo",$B:$B,"&lt;&gt;Lorena Dias de Araujo",$B:$B,"&lt;&gt;Lucas Luiz Romero")*(23/1083),IF(C3802="JR",SUMIFS($D:$D,$A:$A,$A3802,$B:$B,"&lt;&gt;Patrícia Karla de Sousa Araújo",$B:$B,"&lt;&gt;Lorena Dias de Araujo",$B:$B,"&lt;&gt;Lucas Luiz Romero")*(20/1083),IF(C3802="Estágio",SUMIFS($D:$D,$A:$A,$A3802,$B:$B,"&lt;&gt;Patrícia Karla de Sousa Araújo",$B:$B,"&lt;&gt;Lorena Dias de Araujo",$B:$B,"&lt;&gt;Lucas Luiz Romero")*(10/1083),0)))))),0)</f>
        <v>24</v>
      </c>
      <c r="K3802" s="3">
        <f>I3802-J3802</f>
        <v>-16</v>
      </c>
      <c r="L3802" s="3" t="str">
        <f>IF(K3802&lt;-5,"CRÍTICO",IF(K3802&lt;0,"ATENÇÃO",IF(K3802&lt;=5,"OPORTUNO","MUITO BOM")))</f>
        <v>CRÍTICO</v>
      </c>
      <c r="M3802">
        <v>8</v>
      </c>
      <c r="N3802">
        <v>99.02</v>
      </c>
      <c r="O3802">
        <v>34.797297297297298</v>
      </c>
    </row>
    <row r="3803" spans="1:15" hidden="1" x14ac:dyDescent="0.25">
      <c r="A3803" s="11">
        <v>46120</v>
      </c>
      <c r="B3803" t="s">
        <v>29</v>
      </c>
      <c r="C3803" t="s">
        <v>26</v>
      </c>
      <c r="D3803">
        <v>17</v>
      </c>
      <c r="E3803">
        <v>17</v>
      </c>
      <c r="F3803">
        <v>15.54</v>
      </c>
      <c r="G3803">
        <v>0</v>
      </c>
      <c r="H3803">
        <v>0</v>
      </c>
      <c r="I3803" s="3">
        <f>E3803+G3803+H3803</f>
        <v>17</v>
      </c>
      <c r="J3803" s="3">
        <f>ROUND(MIN(IF(C3803="Técnico III",35,IF(C3803="Técnico II",28,IF(C3803="Técnico I",23,IF(C3803="JR",20,IF(C3803="Estágio",10,0))))),IF(C3803="Técnico III",SUMIFS($D:$D,$A:$A,$A3803,$B:$B,"&lt;&gt;Patrícia Karla de Sousa Araújo",$B:$B,"&lt;&gt;Lorena Dias de Araujo",$B:$B,"&lt;&gt;Lucas Luiz Romero")*(35/1083),IF(C3803="Técnico II",SUMIFS($D:$D,$A:$A,$A3803,$B:$B,"&lt;&gt;Patrícia Karla de Sousa Araújo",$B:$B,"&lt;&gt;Lorena Dias de Araujo",$B:$B,"&lt;&gt;Lucas Luiz Romero")*(28/1083),IF(C3803="Técnico I",SUMIFS($D:$D,$A:$A,$A3803,$B:$B,"&lt;&gt;Patrícia Karla de Sousa Araújo",$B:$B,"&lt;&gt;Lorena Dias de Araujo",$B:$B,"&lt;&gt;Lucas Luiz Romero")*(23/1083),IF(C3803="JR",SUMIFS($D:$D,$A:$A,$A3803,$B:$B,"&lt;&gt;Patrícia Karla de Sousa Araújo",$B:$B,"&lt;&gt;Lorena Dias de Araujo",$B:$B,"&lt;&gt;Lucas Luiz Romero")*(20/1083),IF(C3803="Estágio",SUMIFS($D:$D,$A:$A,$A3803,$B:$B,"&lt;&gt;Patrícia Karla de Sousa Araújo",$B:$B,"&lt;&gt;Lorena Dias de Araujo",$B:$B,"&lt;&gt;Lucas Luiz Romero")*(10/1083),0)))))),0)</f>
        <v>17</v>
      </c>
      <c r="K3803" s="3">
        <f>I3803-J3803</f>
        <v>0</v>
      </c>
      <c r="L3803" s="3" t="str">
        <f>IF(K3803&lt;-5,"CRÍTICO",IF(K3803&lt;0,"ATENÇÃO",IF(K3803&lt;=5,"OPORTUNO","MUITO BOM")))</f>
        <v>OPORTUNO</v>
      </c>
      <c r="M3803">
        <v>13</v>
      </c>
      <c r="N3803">
        <v>98.84</v>
      </c>
      <c r="O3803">
        <v>31.868131868131869</v>
      </c>
    </row>
    <row r="3804" spans="1:15" hidden="1" x14ac:dyDescent="0.25">
      <c r="A3804" s="11">
        <v>46120</v>
      </c>
      <c r="B3804" t="s">
        <v>30</v>
      </c>
      <c r="C3804" t="s">
        <v>26</v>
      </c>
      <c r="D3804">
        <v>19</v>
      </c>
      <c r="E3804">
        <v>18</v>
      </c>
      <c r="F3804">
        <v>19.02</v>
      </c>
      <c r="G3804">
        <v>0</v>
      </c>
      <c r="H3804">
        <v>0</v>
      </c>
      <c r="I3804" s="3">
        <f>E3804+G3804+H3804</f>
        <v>18</v>
      </c>
      <c r="J3804" s="3">
        <f>ROUND(MIN(IF(C3804="Técnico III",35,IF(C3804="Técnico II",28,IF(C3804="Técnico I",23,IF(C3804="JR",20,IF(C3804="Estágio",10,0))))),IF(C3804="Técnico III",SUMIFS($D:$D,$A:$A,$A3804,$B:$B,"&lt;&gt;Patrícia Karla de Sousa Araújo",$B:$B,"&lt;&gt;Lorena Dias de Araujo",$B:$B,"&lt;&gt;Lucas Luiz Romero")*(35/1083),IF(C3804="Técnico II",SUMIFS($D:$D,$A:$A,$A3804,$B:$B,"&lt;&gt;Patrícia Karla de Sousa Araújo",$B:$B,"&lt;&gt;Lorena Dias de Araujo",$B:$B,"&lt;&gt;Lucas Luiz Romero")*(28/1083),IF(C3804="Técnico I",SUMIFS($D:$D,$A:$A,$A3804,$B:$B,"&lt;&gt;Patrícia Karla de Sousa Araújo",$B:$B,"&lt;&gt;Lorena Dias de Araujo",$B:$B,"&lt;&gt;Lucas Luiz Romero")*(23/1083),IF(C3804="JR",SUMIFS($D:$D,$A:$A,$A3804,$B:$B,"&lt;&gt;Patrícia Karla de Sousa Araújo",$B:$B,"&lt;&gt;Lorena Dias de Araujo",$B:$B,"&lt;&gt;Lucas Luiz Romero")*(20/1083),IF(C3804="Estágio",SUMIFS($D:$D,$A:$A,$A3804,$B:$B,"&lt;&gt;Patrícia Karla de Sousa Araújo",$B:$B,"&lt;&gt;Lorena Dias de Araujo",$B:$B,"&lt;&gt;Lucas Luiz Romero")*(10/1083),0)))))),0)</f>
        <v>17</v>
      </c>
      <c r="K3804" s="3">
        <f>I3804-J3804</f>
        <v>1</v>
      </c>
      <c r="L3804" s="3" t="str">
        <f>IF(K3804&lt;-5,"CRÍTICO",IF(K3804&lt;0,"ATENÇÃO",IF(K3804&lt;=5,"OPORTUNO","MUITO BOM")))</f>
        <v>OPORTUNO</v>
      </c>
      <c r="M3804">
        <v>18</v>
      </c>
      <c r="N3804">
        <v>100</v>
      </c>
      <c r="O3804">
        <v>34.666666666666671</v>
      </c>
    </row>
    <row r="3805" spans="1:15" hidden="1" x14ac:dyDescent="0.25">
      <c r="A3805" s="11">
        <v>46120</v>
      </c>
      <c r="B3805" t="s">
        <v>21</v>
      </c>
      <c r="C3805" t="s">
        <v>16</v>
      </c>
      <c r="D3805">
        <v>6</v>
      </c>
      <c r="E3805">
        <v>6</v>
      </c>
      <c r="F3805">
        <v>30</v>
      </c>
      <c r="G3805">
        <v>0</v>
      </c>
      <c r="H3805">
        <v>0</v>
      </c>
      <c r="I3805" s="3">
        <f>E3805+G3805+H3805</f>
        <v>6</v>
      </c>
      <c r="J3805" s="3">
        <f>ROUND(MIN(IF(C3805="Técnico III",35,IF(C3805="Técnico II",28,IF(C3805="Técnico I",23,IF(C3805="JR",20,IF(C3805="Estágio",10,0))))),IF(C3805="Técnico III",SUMIFS($D:$D,$A:$A,$A3805,$B:$B,"&lt;&gt;Patrícia Karla de Sousa Araújo",$B:$B,"&lt;&gt;Lorena Dias de Araujo",$B:$B,"&lt;&gt;Lucas Luiz Romero")*(35/1083),IF(C3805="Técnico II",SUMIFS($D:$D,$A:$A,$A3805,$B:$B,"&lt;&gt;Patrícia Karla de Sousa Araújo",$B:$B,"&lt;&gt;Lorena Dias de Araujo",$B:$B,"&lt;&gt;Lucas Luiz Romero")*(28/1083),IF(C3805="Técnico I",SUMIFS($D:$D,$A:$A,$A3805,$B:$B,"&lt;&gt;Patrícia Karla de Sousa Araújo",$B:$B,"&lt;&gt;Lorena Dias de Araujo",$B:$B,"&lt;&gt;Lucas Luiz Romero")*(23/1083),IF(C3805="JR",SUMIFS($D:$D,$A:$A,$A3805,$B:$B,"&lt;&gt;Patrícia Karla de Sousa Araújo",$B:$B,"&lt;&gt;Lorena Dias de Araujo",$B:$B,"&lt;&gt;Lucas Luiz Romero")*(20/1083),IF(C3805="Estágio",SUMIFS($D:$D,$A:$A,$A3805,$B:$B,"&lt;&gt;Patrícia Karla de Sousa Araújo",$B:$B,"&lt;&gt;Lorena Dias de Araujo",$B:$B,"&lt;&gt;Lucas Luiz Romero")*(10/1083),0)))))),0)</f>
        <v>9</v>
      </c>
      <c r="K3805" s="3">
        <f>I3805-J3805</f>
        <v>-3</v>
      </c>
      <c r="L3805" s="3" t="str">
        <f>IF(K3805&lt;-5,"CRÍTICO",IF(K3805&lt;0,"ATENÇÃO",IF(K3805&lt;=5,"OPORTUNO","MUITO BOM")))</f>
        <v>ATENÇÃO</v>
      </c>
      <c r="M3805">
        <v>7</v>
      </c>
      <c r="N3805">
        <v>94.12</v>
      </c>
      <c r="O3805">
        <v>32.799999999999997</v>
      </c>
    </row>
    <row r="3806" spans="1:15" hidden="1" x14ac:dyDescent="0.25">
      <c r="A3806" s="11">
        <v>46120</v>
      </c>
      <c r="B3806" t="s">
        <v>63</v>
      </c>
      <c r="C3806" t="s">
        <v>23</v>
      </c>
      <c r="D3806">
        <v>30</v>
      </c>
      <c r="E3806">
        <v>29</v>
      </c>
      <c r="F3806">
        <v>10.56</v>
      </c>
      <c r="G3806">
        <v>0</v>
      </c>
      <c r="H3806">
        <v>0</v>
      </c>
      <c r="I3806" s="3">
        <f>E3806+G3806+H3806</f>
        <v>29</v>
      </c>
      <c r="J3806" s="3">
        <f>ROUND(MIN(IF(C3806="Técnico III",35,IF(C3806="Técnico II",28,IF(C3806="Técnico I",23,IF(C3806="JR",20,IF(C3806="Estágio",10,0))))),IF(C3806="Técnico III",SUMIFS($D:$D,$A:$A,$A3806,$B:$B,"&lt;&gt;Patrícia Karla de Sousa Araújo",$B:$B,"&lt;&gt;Lorena Dias de Araujo",$B:$B,"&lt;&gt;Lucas Luiz Romero")*(35/1083),IF(C3806="Técnico II",SUMIFS($D:$D,$A:$A,$A3806,$B:$B,"&lt;&gt;Patrícia Karla de Sousa Araújo",$B:$B,"&lt;&gt;Lorena Dias de Araujo",$B:$B,"&lt;&gt;Lucas Luiz Romero")*(28/1083),IF(C3806="Técnico I",SUMIFS($D:$D,$A:$A,$A3806,$B:$B,"&lt;&gt;Patrícia Karla de Sousa Araújo",$B:$B,"&lt;&gt;Lorena Dias de Araujo",$B:$B,"&lt;&gt;Lucas Luiz Romero")*(23/1083),IF(C3806="JR",SUMIFS($D:$D,$A:$A,$A3806,$B:$B,"&lt;&gt;Patrícia Karla de Sousa Araújo",$B:$B,"&lt;&gt;Lorena Dias de Araujo",$B:$B,"&lt;&gt;Lucas Luiz Romero")*(20/1083),IF(C3806="Estágio",SUMIFS($D:$D,$A:$A,$A3806,$B:$B,"&lt;&gt;Patrícia Karla de Sousa Araújo",$B:$B,"&lt;&gt;Lorena Dias de Araujo",$B:$B,"&lt;&gt;Lucas Luiz Romero")*(10/1083),0)))))),0)</f>
        <v>20</v>
      </c>
      <c r="K3806" s="3">
        <f>I3806-J3806</f>
        <v>9</v>
      </c>
      <c r="L3806" s="3" t="str">
        <f>IF(K3806&lt;-5,"CRÍTICO",IF(K3806&lt;0,"ATENÇÃO",IF(K3806&lt;=5,"OPORTUNO","MUITO BOM")))</f>
        <v>MUITO BOM</v>
      </c>
      <c r="M3806">
        <v>25</v>
      </c>
      <c r="N3806">
        <v>98.32</v>
      </c>
      <c r="O3806">
        <v>26.858513189448441</v>
      </c>
    </row>
    <row r="3807" spans="1:15" hidden="1" x14ac:dyDescent="0.25">
      <c r="A3807" s="11">
        <v>46120</v>
      </c>
      <c r="B3807" t="s">
        <v>45</v>
      </c>
      <c r="C3807" t="s">
        <v>32</v>
      </c>
      <c r="D3807">
        <v>45</v>
      </c>
      <c r="E3807">
        <v>39</v>
      </c>
      <c r="F3807">
        <v>11.49</v>
      </c>
      <c r="G3807">
        <v>0</v>
      </c>
      <c r="H3807">
        <v>0</v>
      </c>
      <c r="I3807" s="3">
        <f>E3807+G3807+H3807</f>
        <v>39</v>
      </c>
      <c r="J3807" s="3">
        <f>ROUND(MIN(IF(C3807="Técnico III",35,IF(C3807="Técnico II",28,IF(C3807="Técnico I",23,IF(C3807="JR",20,IF(C3807="Estágio",10,0))))),IF(C3807="Técnico III",SUMIFS($D:$D,$A:$A,$A3807,$B:$B,"&lt;&gt;Patrícia Karla de Sousa Araújo",$B:$B,"&lt;&gt;Lorena Dias de Araujo",$B:$B,"&lt;&gt;Lucas Luiz Romero")*(35/1083),IF(C3807="Técnico II",SUMIFS($D:$D,$A:$A,$A3807,$B:$B,"&lt;&gt;Patrícia Karla de Sousa Araújo",$B:$B,"&lt;&gt;Lorena Dias de Araujo",$B:$B,"&lt;&gt;Lucas Luiz Romero")*(28/1083),IF(C3807="Técnico I",SUMIFS($D:$D,$A:$A,$A3807,$B:$B,"&lt;&gt;Patrícia Karla de Sousa Araújo",$B:$B,"&lt;&gt;Lorena Dias de Araujo",$B:$B,"&lt;&gt;Lucas Luiz Romero")*(23/1083),IF(C3807="JR",SUMIFS($D:$D,$A:$A,$A3807,$B:$B,"&lt;&gt;Patrícia Karla de Sousa Araújo",$B:$B,"&lt;&gt;Lorena Dias de Araujo",$B:$B,"&lt;&gt;Lucas Luiz Romero")*(20/1083),IF(C3807="Estágio",SUMIFS($D:$D,$A:$A,$A3807,$B:$B,"&lt;&gt;Patrícia Karla de Sousa Araújo",$B:$B,"&lt;&gt;Lorena Dias de Araujo",$B:$B,"&lt;&gt;Lucas Luiz Romero")*(10/1083),0)))))),0)</f>
        <v>30</v>
      </c>
      <c r="K3807" s="3">
        <f>I3807-J3807</f>
        <v>9</v>
      </c>
      <c r="L3807" s="3" t="str">
        <f>IF(K3807&lt;-5,"CRÍTICO",IF(K3807&lt;0,"ATENÇÃO",IF(K3807&lt;=5,"OPORTUNO","MUITO BOM")))</f>
        <v>MUITO BOM</v>
      </c>
      <c r="M3807">
        <v>30</v>
      </c>
      <c r="N3807">
        <v>100</v>
      </c>
      <c r="O3807">
        <v>31.135531135531139</v>
      </c>
    </row>
    <row r="3808" spans="1:15" hidden="1" x14ac:dyDescent="0.25">
      <c r="A3808" s="11">
        <v>46120</v>
      </c>
      <c r="B3808" t="s">
        <v>64</v>
      </c>
      <c r="C3808" t="s">
        <v>23</v>
      </c>
      <c r="D3808">
        <v>24</v>
      </c>
      <c r="E3808">
        <v>23</v>
      </c>
      <c r="F3808">
        <v>24.07</v>
      </c>
      <c r="G3808">
        <v>0</v>
      </c>
      <c r="H3808">
        <v>0</v>
      </c>
      <c r="I3808" s="3">
        <f>E3808+G3808+H3808</f>
        <v>23</v>
      </c>
      <c r="J3808" s="3">
        <f>ROUND(MIN(IF(C3808="Técnico III",35,IF(C3808="Técnico II",28,IF(C3808="Técnico I",23,IF(C3808="JR",20,IF(C3808="Estágio",10,0))))),IF(C3808="Técnico III",SUMIFS($D:$D,$A:$A,$A3808,$B:$B,"&lt;&gt;Patrícia Karla de Sousa Araújo",$B:$B,"&lt;&gt;Lorena Dias de Araujo",$B:$B,"&lt;&gt;Lucas Luiz Romero")*(35/1083),IF(C3808="Técnico II",SUMIFS($D:$D,$A:$A,$A3808,$B:$B,"&lt;&gt;Patrícia Karla de Sousa Araújo",$B:$B,"&lt;&gt;Lorena Dias de Araujo",$B:$B,"&lt;&gt;Lucas Luiz Romero")*(28/1083),IF(C3808="Técnico I",SUMIFS($D:$D,$A:$A,$A3808,$B:$B,"&lt;&gt;Patrícia Karla de Sousa Araújo",$B:$B,"&lt;&gt;Lorena Dias de Araujo",$B:$B,"&lt;&gt;Lucas Luiz Romero")*(23/1083),IF(C3808="JR",SUMIFS($D:$D,$A:$A,$A3808,$B:$B,"&lt;&gt;Patrícia Karla de Sousa Araújo",$B:$B,"&lt;&gt;Lorena Dias de Araujo",$B:$B,"&lt;&gt;Lucas Luiz Romero")*(20/1083),IF(C3808="Estágio",SUMIFS($D:$D,$A:$A,$A3808,$B:$B,"&lt;&gt;Patrícia Karla de Sousa Araújo",$B:$B,"&lt;&gt;Lorena Dias de Araujo",$B:$B,"&lt;&gt;Lucas Luiz Romero")*(10/1083),0)))))),0)</f>
        <v>20</v>
      </c>
      <c r="K3808" s="3">
        <f>I3808-J3808</f>
        <v>3</v>
      </c>
      <c r="L3808" s="3" t="str">
        <f>IF(K3808&lt;-5,"CRÍTICO",IF(K3808&lt;0,"ATENÇÃO",IF(K3808&lt;=5,"OPORTUNO","MUITO BOM")))</f>
        <v>OPORTUNO</v>
      </c>
      <c r="M3808">
        <v>16</v>
      </c>
      <c r="N3808">
        <v>100</v>
      </c>
      <c r="O3808">
        <v>26.36986301369863</v>
      </c>
    </row>
    <row r="3809" spans="1:15" hidden="1" x14ac:dyDescent="0.25">
      <c r="A3809" s="11">
        <v>46120</v>
      </c>
      <c r="B3809" t="s">
        <v>46</v>
      </c>
      <c r="C3809" t="s">
        <v>32</v>
      </c>
      <c r="D3809">
        <v>26</v>
      </c>
      <c r="E3809">
        <v>25</v>
      </c>
      <c r="F3809">
        <v>18.420000000000002</v>
      </c>
      <c r="G3809">
        <v>0</v>
      </c>
      <c r="H3809">
        <v>0</v>
      </c>
      <c r="I3809" s="3">
        <f>E3809+G3809+H3809</f>
        <v>25</v>
      </c>
      <c r="J3809" s="3">
        <f>ROUND(MIN(IF(C3809="Técnico III",35,IF(C3809="Técnico II",28,IF(C3809="Técnico I",23,IF(C3809="JR",20,IF(C3809="Estágio",10,0))))),IF(C3809="Técnico III",SUMIFS($D:$D,$A:$A,$A3809,$B:$B,"&lt;&gt;Patrícia Karla de Sousa Araújo",$B:$B,"&lt;&gt;Lorena Dias de Araujo",$B:$B,"&lt;&gt;Lucas Luiz Romero")*(35/1083),IF(C3809="Técnico II",SUMIFS($D:$D,$A:$A,$A3809,$B:$B,"&lt;&gt;Patrícia Karla de Sousa Araújo",$B:$B,"&lt;&gt;Lorena Dias de Araujo",$B:$B,"&lt;&gt;Lucas Luiz Romero")*(28/1083),IF(C3809="Técnico I",SUMIFS($D:$D,$A:$A,$A3809,$B:$B,"&lt;&gt;Patrícia Karla de Sousa Araújo",$B:$B,"&lt;&gt;Lorena Dias de Araujo",$B:$B,"&lt;&gt;Lucas Luiz Romero")*(23/1083),IF(C3809="JR",SUMIFS($D:$D,$A:$A,$A3809,$B:$B,"&lt;&gt;Patrícia Karla de Sousa Araújo",$B:$B,"&lt;&gt;Lorena Dias de Araujo",$B:$B,"&lt;&gt;Lucas Luiz Romero")*(20/1083),IF(C3809="Estágio",SUMIFS($D:$D,$A:$A,$A3809,$B:$B,"&lt;&gt;Patrícia Karla de Sousa Araújo",$B:$B,"&lt;&gt;Lorena Dias de Araujo",$B:$B,"&lt;&gt;Lucas Luiz Romero")*(10/1083),0)))))),0)</f>
        <v>30</v>
      </c>
      <c r="K3809" s="3">
        <f>I3809-J3809</f>
        <v>-5</v>
      </c>
      <c r="L3809" s="3" t="str">
        <f>IF(K3809&lt;-5,"CRÍTICO",IF(K3809&lt;0,"ATENÇÃO",IF(K3809&lt;=5,"OPORTUNO","MUITO BOM")))</f>
        <v>ATENÇÃO</v>
      </c>
      <c r="M3809">
        <v>21</v>
      </c>
      <c r="N3809">
        <v>99.21</v>
      </c>
      <c r="O3809">
        <v>25.188916876574311</v>
      </c>
    </row>
    <row r="3810" spans="1:15" hidden="1" x14ac:dyDescent="0.25">
      <c r="A3810" s="11">
        <v>46121</v>
      </c>
      <c r="B3810" t="s">
        <v>47</v>
      </c>
      <c r="C3810" t="s">
        <v>48</v>
      </c>
      <c r="D3810">
        <v>15</v>
      </c>
      <c r="E3810">
        <v>11</v>
      </c>
      <c r="F3810">
        <v>15.24</v>
      </c>
      <c r="G3810">
        <v>0</v>
      </c>
      <c r="H3810">
        <v>0</v>
      </c>
      <c r="I3810" s="3">
        <f>E3810+G3810+H3810</f>
        <v>11</v>
      </c>
      <c r="J3810" s="3">
        <f>ROUND(MIN(IF(C3810="Técnico III",35,IF(C3810="Técnico II",28,IF(C3810="Técnico I",23,IF(C3810="JR",20,IF(C3810="Estágio",10,0))))),IF(C3810="Técnico III",SUMIFS($D:$D,$A:$A,$A3810,$B:$B,"&lt;&gt;Patrícia Karla de Sousa Araújo",$B:$B,"&lt;&gt;Lorena Dias de Araujo",$B:$B,"&lt;&gt;Lucas Luiz Romero")*(35/1083),IF(C3810="Técnico II",SUMIFS($D:$D,$A:$A,$A3810,$B:$B,"&lt;&gt;Patrícia Karla de Sousa Araújo",$B:$B,"&lt;&gt;Lorena Dias de Araujo",$B:$B,"&lt;&gt;Lucas Luiz Romero")*(28/1083),IF(C3810="Técnico I",SUMIFS($D:$D,$A:$A,$A3810,$B:$B,"&lt;&gt;Patrícia Karla de Sousa Araújo",$B:$B,"&lt;&gt;Lorena Dias de Araujo",$B:$B,"&lt;&gt;Lucas Luiz Romero")*(23/1083),IF(C3810="JR",SUMIFS($D:$D,$A:$A,$A3810,$B:$B,"&lt;&gt;Patrícia Karla de Sousa Araújo",$B:$B,"&lt;&gt;Lorena Dias de Araujo",$B:$B,"&lt;&gt;Lucas Luiz Romero")*(20/1083),IF(C3810="Estágio",SUMIFS($D:$D,$A:$A,$A3810,$B:$B,"&lt;&gt;Patrícia Karla de Sousa Araújo",$B:$B,"&lt;&gt;Lorena Dias de Araujo",$B:$B,"&lt;&gt;Lucas Luiz Romero")*(10/1083),0)))))),0)</f>
        <v>21</v>
      </c>
      <c r="K3810" s="3">
        <f>I3810-J3810</f>
        <v>-10</v>
      </c>
      <c r="L3810" s="3" t="str">
        <f>IF(K3810&lt;-5,"CRÍTICO",IF(K3810&lt;0,"ATENÇÃO",IF(K3810&lt;=5,"OPORTUNO","MUITO BOM")))</f>
        <v>CRÍTICO</v>
      </c>
      <c r="M3810">
        <v>11</v>
      </c>
      <c r="N3810">
        <v>100</v>
      </c>
      <c r="O3810">
        <v>32.764505119453922</v>
      </c>
    </row>
    <row r="3811" spans="1:15" hidden="1" x14ac:dyDescent="0.25">
      <c r="A3811" s="11">
        <v>46121</v>
      </c>
      <c r="B3811" t="s">
        <v>31</v>
      </c>
      <c r="C3811" t="s">
        <v>32</v>
      </c>
      <c r="D3811">
        <v>0</v>
      </c>
      <c r="E3811">
        <v>0</v>
      </c>
      <c r="F3811">
        <v>0</v>
      </c>
      <c r="G3811">
        <v>0</v>
      </c>
      <c r="H3811">
        <v>0</v>
      </c>
      <c r="I3811" s="3">
        <v>0</v>
      </c>
      <c r="J3811" s="3">
        <v>0</v>
      </c>
      <c r="K3811" s="3">
        <v>0</v>
      </c>
      <c r="L3811" s="3" t="str">
        <f>IF(K3811&lt;-5,"CRÍTICO",IF(K3811&lt;0,"ATENÇÃO",IF(K3811&lt;=5,"OPORTUNO","MUITO BOM")))</f>
        <v>OPORTUNO</v>
      </c>
      <c r="M3811">
        <v>15</v>
      </c>
      <c r="N3811">
        <v>98.66</v>
      </c>
      <c r="O3811">
        <v>35.416666666666671</v>
      </c>
    </row>
    <row r="3812" spans="1:15" hidden="1" x14ac:dyDescent="0.25">
      <c r="A3812" s="11">
        <v>46121</v>
      </c>
      <c r="B3812" t="s">
        <v>59</v>
      </c>
      <c r="C3812" t="s">
        <v>23</v>
      </c>
      <c r="D3812">
        <v>24</v>
      </c>
      <c r="E3812">
        <v>20</v>
      </c>
      <c r="F3812">
        <v>17.11</v>
      </c>
      <c r="G3812">
        <v>0</v>
      </c>
      <c r="H3812">
        <v>0</v>
      </c>
      <c r="I3812" s="3">
        <f>E3812+G3812+H3812</f>
        <v>20</v>
      </c>
      <c r="J3812" s="3">
        <f>ROUND(MIN(IF(C3812="Técnico III",35,IF(C3812="Técnico II",28,IF(C3812="Técnico I",23,IF(C3812="JR",20,IF(C3812="Estágio",10,0))))),IF(C3812="Técnico III",SUMIFS($D:$D,$A:$A,$A3812,$B:$B,"&lt;&gt;Patrícia Karla de Sousa Araújo",$B:$B,"&lt;&gt;Lorena Dias de Araujo",$B:$B,"&lt;&gt;Lucas Luiz Romero")*(35/1083),IF(C3812="Técnico II",SUMIFS($D:$D,$A:$A,$A3812,$B:$B,"&lt;&gt;Patrícia Karla de Sousa Araújo",$B:$B,"&lt;&gt;Lorena Dias de Araujo",$B:$B,"&lt;&gt;Lucas Luiz Romero")*(28/1083),IF(C3812="Técnico I",SUMIFS($D:$D,$A:$A,$A3812,$B:$B,"&lt;&gt;Patrícia Karla de Sousa Araújo",$B:$B,"&lt;&gt;Lorena Dias de Araujo",$B:$B,"&lt;&gt;Lucas Luiz Romero")*(23/1083),IF(C3812="JR",SUMIFS($D:$D,$A:$A,$A3812,$B:$B,"&lt;&gt;Patrícia Karla de Sousa Araújo",$B:$B,"&lt;&gt;Lorena Dias de Araujo",$B:$B,"&lt;&gt;Lucas Luiz Romero")*(20/1083),IF(C3812="Estágio",SUMIFS($D:$D,$A:$A,$A3812,$B:$B,"&lt;&gt;Patrícia Karla de Sousa Araújo",$B:$B,"&lt;&gt;Lorena Dias de Araujo",$B:$B,"&lt;&gt;Lucas Luiz Romero")*(10/1083),0)))))),0)</f>
        <v>17</v>
      </c>
      <c r="K3812" s="3">
        <f>I3812-J3812</f>
        <v>3</v>
      </c>
      <c r="L3812" s="3" t="str">
        <f>IF(K3812&lt;-5,"CRÍTICO",IF(K3812&lt;0,"ATENÇÃO",IF(K3812&lt;=5,"OPORTUNO","MUITO BOM")))</f>
        <v>OPORTUNO</v>
      </c>
      <c r="M3812">
        <v>20</v>
      </c>
      <c r="N3812">
        <v>99.32</v>
      </c>
      <c r="O3812">
        <v>30.648330058939099</v>
      </c>
    </row>
    <row r="3813" spans="1:15" hidden="1" x14ac:dyDescent="0.25">
      <c r="A3813" s="11">
        <v>46121</v>
      </c>
      <c r="B3813" t="s">
        <v>33</v>
      </c>
      <c r="C3813" t="s">
        <v>32</v>
      </c>
      <c r="D3813">
        <v>23</v>
      </c>
      <c r="E3813">
        <v>21</v>
      </c>
      <c r="F3813">
        <v>11.42</v>
      </c>
      <c r="G3813">
        <v>0</v>
      </c>
      <c r="H3813">
        <v>0</v>
      </c>
      <c r="I3813" s="3">
        <f>E3813+G3813+H3813</f>
        <v>21</v>
      </c>
      <c r="J3813" s="3">
        <f>ROUND(MIN(IF(C3813="Técnico III",35,IF(C3813="Técnico II",28,IF(C3813="Técnico I",23,IF(C3813="JR",20,IF(C3813="Estágio",10,0))))),IF(C3813="Técnico III",SUMIFS($D:$D,$A:$A,$A3813,$B:$B,"&lt;&gt;Patrícia Karla de Sousa Araújo",$B:$B,"&lt;&gt;Lorena Dias de Araujo",$B:$B,"&lt;&gt;Lucas Luiz Romero")*(35/1083),IF(C3813="Técnico II",SUMIFS($D:$D,$A:$A,$A3813,$B:$B,"&lt;&gt;Patrícia Karla de Sousa Araújo",$B:$B,"&lt;&gt;Lorena Dias de Araujo",$B:$B,"&lt;&gt;Lucas Luiz Romero")*(28/1083),IF(C3813="Técnico I",SUMIFS($D:$D,$A:$A,$A3813,$B:$B,"&lt;&gt;Patrícia Karla de Sousa Araújo",$B:$B,"&lt;&gt;Lorena Dias de Araujo",$B:$B,"&lt;&gt;Lucas Luiz Romero")*(23/1083),IF(C3813="JR",SUMIFS($D:$D,$A:$A,$A3813,$B:$B,"&lt;&gt;Patrícia Karla de Sousa Araújo",$B:$B,"&lt;&gt;Lorena Dias de Araujo",$B:$B,"&lt;&gt;Lucas Luiz Romero")*(20/1083),IF(C3813="Estágio",SUMIFS($D:$D,$A:$A,$A3813,$B:$B,"&lt;&gt;Patrícia Karla de Sousa Araújo",$B:$B,"&lt;&gt;Lorena Dias de Araujo",$B:$B,"&lt;&gt;Lucas Luiz Romero")*(10/1083),0)))))),0)</f>
        <v>26</v>
      </c>
      <c r="K3813" s="3">
        <f>I3813-J3813</f>
        <v>-5</v>
      </c>
      <c r="L3813" s="3" t="str">
        <f>IF(K3813&lt;-5,"CRÍTICO",IF(K3813&lt;0,"ATENÇÃO",IF(K3813&lt;=5,"OPORTUNO","MUITO BOM")))</f>
        <v>ATENÇÃO</v>
      </c>
      <c r="M3813">
        <v>25</v>
      </c>
      <c r="N3813">
        <v>100</v>
      </c>
      <c r="O3813">
        <v>27.803738317757009</v>
      </c>
    </row>
    <row r="3814" spans="1:15" hidden="1" x14ac:dyDescent="0.25">
      <c r="A3814" s="11">
        <v>46121</v>
      </c>
      <c r="B3814" t="s">
        <v>15</v>
      </c>
      <c r="C3814" t="s">
        <v>16</v>
      </c>
      <c r="D3814">
        <v>17</v>
      </c>
      <c r="E3814">
        <v>17</v>
      </c>
      <c r="F3814">
        <v>13.5</v>
      </c>
      <c r="G3814">
        <v>0</v>
      </c>
      <c r="H3814">
        <v>0</v>
      </c>
      <c r="I3814" s="3">
        <f>E3814+G3814+H3814</f>
        <v>17</v>
      </c>
      <c r="J3814" s="3">
        <f>ROUND(MIN(IF(C3814="Técnico III",35,IF(C3814="Técnico II",28,IF(C3814="Técnico I",23,IF(C3814="JR",20,IF(C3814="Estágio",10,0))))),IF(C3814="Técnico III",SUMIFS($D:$D,$A:$A,$A3814,$B:$B,"&lt;&gt;Patrícia Karla de Sousa Araújo",$B:$B,"&lt;&gt;Lorena Dias de Araujo",$B:$B,"&lt;&gt;Lucas Luiz Romero")*(35/1083),IF(C3814="Técnico II",SUMIFS($D:$D,$A:$A,$A3814,$B:$B,"&lt;&gt;Patrícia Karla de Sousa Araújo",$B:$B,"&lt;&gt;Lorena Dias de Araujo",$B:$B,"&lt;&gt;Lucas Luiz Romero")*(28/1083),IF(C3814="Técnico I",SUMIFS($D:$D,$A:$A,$A3814,$B:$B,"&lt;&gt;Patrícia Karla de Sousa Araújo",$B:$B,"&lt;&gt;Lorena Dias de Araujo",$B:$B,"&lt;&gt;Lucas Luiz Romero")*(23/1083),IF(C3814="JR",SUMIFS($D:$D,$A:$A,$A3814,$B:$B,"&lt;&gt;Patrícia Karla de Sousa Araújo",$B:$B,"&lt;&gt;Lorena Dias de Araujo",$B:$B,"&lt;&gt;Lucas Luiz Romero")*(20/1083),IF(C3814="Estágio",SUMIFS($D:$D,$A:$A,$A3814,$B:$B,"&lt;&gt;Patrícia Karla de Sousa Araújo",$B:$B,"&lt;&gt;Lorena Dias de Araujo",$B:$B,"&lt;&gt;Lucas Luiz Romero")*(10/1083),0)))))),0)</f>
        <v>7</v>
      </c>
      <c r="K3814" s="3">
        <f>I3814-J3814</f>
        <v>10</v>
      </c>
      <c r="L3814" s="3" t="str">
        <f>IF(K3814&lt;-5,"CRÍTICO",IF(K3814&lt;0,"ATENÇÃO",IF(K3814&lt;=5,"OPORTUNO","MUITO BOM")))</f>
        <v>MUITO BOM</v>
      </c>
      <c r="M3814">
        <v>17</v>
      </c>
      <c r="N3814">
        <v>96.74</v>
      </c>
      <c r="O3814">
        <v>28.67647058823529</v>
      </c>
    </row>
    <row r="3815" spans="1:15" hidden="1" x14ac:dyDescent="0.25">
      <c r="A3815" s="11">
        <v>46121</v>
      </c>
      <c r="B3815" t="s">
        <v>49</v>
      </c>
      <c r="C3815" t="s">
        <v>48</v>
      </c>
      <c r="D3815">
        <v>40</v>
      </c>
      <c r="E3815">
        <v>34</v>
      </c>
      <c r="F3815">
        <v>15.01</v>
      </c>
      <c r="G3815">
        <v>0</v>
      </c>
      <c r="H3815">
        <v>0</v>
      </c>
      <c r="I3815" s="3">
        <f>E3815+G3815+H3815</f>
        <v>34</v>
      </c>
      <c r="J3815" s="3">
        <f>ROUND(MIN(IF(C3815="Técnico III",35,IF(C3815="Técnico II",28,IF(C3815="Técnico I",23,IF(C3815="JR",20,IF(C3815="Estágio",10,0))))),IF(C3815="Técnico III",SUMIFS($D:$D,$A:$A,$A3815,$B:$B,"&lt;&gt;Patrícia Karla de Sousa Araújo",$B:$B,"&lt;&gt;Lorena Dias de Araujo",$B:$B,"&lt;&gt;Lucas Luiz Romero")*(35/1083),IF(C3815="Técnico II",SUMIFS($D:$D,$A:$A,$A3815,$B:$B,"&lt;&gt;Patrícia Karla de Sousa Araújo",$B:$B,"&lt;&gt;Lorena Dias de Araujo",$B:$B,"&lt;&gt;Lucas Luiz Romero")*(28/1083),IF(C3815="Técnico I",SUMIFS($D:$D,$A:$A,$A3815,$B:$B,"&lt;&gt;Patrícia Karla de Sousa Araújo",$B:$B,"&lt;&gt;Lorena Dias de Araujo",$B:$B,"&lt;&gt;Lucas Luiz Romero")*(23/1083),IF(C3815="JR",SUMIFS($D:$D,$A:$A,$A3815,$B:$B,"&lt;&gt;Patrícia Karla de Sousa Araújo",$B:$B,"&lt;&gt;Lorena Dias de Araujo",$B:$B,"&lt;&gt;Lucas Luiz Romero")*(20/1083),IF(C3815="Estágio",SUMIFS($D:$D,$A:$A,$A3815,$B:$B,"&lt;&gt;Patrícia Karla de Sousa Araújo",$B:$B,"&lt;&gt;Lorena Dias de Araujo",$B:$B,"&lt;&gt;Lucas Luiz Romero")*(10/1083),0)))))),0)</f>
        <v>21</v>
      </c>
      <c r="K3815" s="3">
        <f>I3815-J3815</f>
        <v>13</v>
      </c>
      <c r="L3815" s="3" t="str">
        <f>IF(K3815&lt;-5,"CRÍTICO",IF(K3815&lt;0,"ATENÇÃO",IF(K3815&lt;=5,"OPORTUNO","MUITO BOM")))</f>
        <v>MUITO BOM</v>
      </c>
      <c r="M3815">
        <v>32</v>
      </c>
      <c r="N3815">
        <v>98.82</v>
      </c>
      <c r="O3815">
        <v>30.741410488245929</v>
      </c>
    </row>
    <row r="3816" spans="1:15" hidden="1" x14ac:dyDescent="0.25">
      <c r="A3816" s="11">
        <v>46121</v>
      </c>
      <c r="B3816" t="s">
        <v>50</v>
      </c>
      <c r="C3816" t="s">
        <v>48</v>
      </c>
      <c r="D3816">
        <v>20</v>
      </c>
      <c r="E3816">
        <v>19</v>
      </c>
      <c r="F3816">
        <v>30.22</v>
      </c>
      <c r="G3816">
        <v>0</v>
      </c>
      <c r="H3816">
        <v>0</v>
      </c>
      <c r="I3816" s="3">
        <f>E3816+G3816+H3816</f>
        <v>19</v>
      </c>
      <c r="J3816" s="3">
        <f>ROUND(MIN(IF(C3816="Técnico III",35,IF(C3816="Técnico II",28,IF(C3816="Técnico I",23,IF(C3816="JR",20,IF(C3816="Estágio",10,0))))),IF(C3816="Técnico III",SUMIFS($D:$D,$A:$A,$A3816,$B:$B,"&lt;&gt;Patrícia Karla de Sousa Araújo",$B:$B,"&lt;&gt;Lorena Dias de Araujo",$B:$B,"&lt;&gt;Lucas Luiz Romero")*(35/1083),IF(C3816="Técnico II",SUMIFS($D:$D,$A:$A,$A3816,$B:$B,"&lt;&gt;Patrícia Karla de Sousa Araújo",$B:$B,"&lt;&gt;Lorena Dias de Araujo",$B:$B,"&lt;&gt;Lucas Luiz Romero")*(28/1083),IF(C3816="Técnico I",SUMIFS($D:$D,$A:$A,$A3816,$B:$B,"&lt;&gt;Patrícia Karla de Sousa Araújo",$B:$B,"&lt;&gt;Lorena Dias de Araujo",$B:$B,"&lt;&gt;Lucas Luiz Romero")*(23/1083),IF(C3816="JR",SUMIFS($D:$D,$A:$A,$A3816,$B:$B,"&lt;&gt;Patrícia Karla de Sousa Araújo",$B:$B,"&lt;&gt;Lorena Dias de Araujo",$B:$B,"&lt;&gt;Lucas Luiz Romero")*(20/1083),IF(C3816="Estágio",SUMIFS($D:$D,$A:$A,$A3816,$B:$B,"&lt;&gt;Patrícia Karla de Sousa Araújo",$B:$B,"&lt;&gt;Lorena Dias de Araujo",$B:$B,"&lt;&gt;Lucas Luiz Romero")*(10/1083),0)))))),0)</f>
        <v>21</v>
      </c>
      <c r="K3816" s="3">
        <f>I3816-J3816</f>
        <v>-2</v>
      </c>
      <c r="L3816" s="3" t="str">
        <f>IF(K3816&lt;-5,"CRÍTICO",IF(K3816&lt;0,"ATENÇÃO",IF(K3816&lt;=5,"OPORTUNO","MUITO BOM")))</f>
        <v>ATENÇÃO</v>
      </c>
      <c r="M3816">
        <v>19</v>
      </c>
      <c r="N3816">
        <v>98.2</v>
      </c>
      <c r="O3816">
        <v>27.170868347338931</v>
      </c>
    </row>
    <row r="3817" spans="1:15" hidden="1" x14ac:dyDescent="0.25">
      <c r="A3817" s="11">
        <v>46121</v>
      </c>
      <c r="B3817" t="s">
        <v>17</v>
      </c>
      <c r="C3817" t="s">
        <v>16</v>
      </c>
      <c r="D3817">
        <v>7</v>
      </c>
      <c r="E3817">
        <v>6</v>
      </c>
      <c r="F3817">
        <v>38.4</v>
      </c>
      <c r="G3817">
        <v>0</v>
      </c>
      <c r="H3817">
        <v>0</v>
      </c>
      <c r="I3817" s="3">
        <f>E3817+G3817+H3817</f>
        <v>6</v>
      </c>
      <c r="J3817" s="3">
        <f>ROUND(MIN(IF(C3817="Técnico III",35,IF(C3817="Técnico II",28,IF(C3817="Técnico I",23,IF(C3817="JR",20,IF(C3817="Estágio",10,0))))),IF(C3817="Técnico III",SUMIFS($D:$D,$A:$A,$A3817,$B:$B,"&lt;&gt;Patrícia Karla de Sousa Araújo",$B:$B,"&lt;&gt;Lorena Dias de Araujo",$B:$B,"&lt;&gt;Lucas Luiz Romero")*(35/1083),IF(C3817="Técnico II",SUMIFS($D:$D,$A:$A,$A3817,$B:$B,"&lt;&gt;Patrícia Karla de Sousa Araújo",$B:$B,"&lt;&gt;Lorena Dias de Araujo",$B:$B,"&lt;&gt;Lucas Luiz Romero")*(28/1083),IF(C3817="Técnico I",SUMIFS($D:$D,$A:$A,$A3817,$B:$B,"&lt;&gt;Patrícia Karla de Sousa Araújo",$B:$B,"&lt;&gt;Lorena Dias de Araujo",$B:$B,"&lt;&gt;Lucas Luiz Romero")*(23/1083),IF(C3817="JR",SUMIFS($D:$D,$A:$A,$A3817,$B:$B,"&lt;&gt;Patrícia Karla de Sousa Araújo",$B:$B,"&lt;&gt;Lorena Dias de Araujo",$B:$B,"&lt;&gt;Lucas Luiz Romero")*(20/1083),IF(C3817="Estágio",SUMIFS($D:$D,$A:$A,$A3817,$B:$B,"&lt;&gt;Patrícia Karla de Sousa Araújo",$B:$B,"&lt;&gt;Lorena Dias de Araujo",$B:$B,"&lt;&gt;Lucas Luiz Romero")*(10/1083),0)))))),0)</f>
        <v>7</v>
      </c>
      <c r="K3817" s="3">
        <f>I3817-J3817</f>
        <v>-1</v>
      </c>
      <c r="L3817" s="3" t="str">
        <f>IF(K3817&lt;-5,"CRÍTICO",IF(K3817&lt;0,"ATENÇÃO",IF(K3817&lt;=5,"OPORTUNO","MUITO BOM")))</f>
        <v>ATENÇÃO</v>
      </c>
      <c r="M3817">
        <v>6</v>
      </c>
      <c r="N3817">
        <v>100</v>
      </c>
      <c r="O3817">
        <v>23.134328358208951</v>
      </c>
    </row>
    <row r="3818" spans="1:15" hidden="1" x14ac:dyDescent="0.25">
      <c r="A3818" s="11">
        <v>46121</v>
      </c>
      <c r="B3818" t="s">
        <v>60</v>
      </c>
      <c r="C3818" t="s">
        <v>23</v>
      </c>
      <c r="D3818">
        <v>22</v>
      </c>
      <c r="E3818">
        <v>22</v>
      </c>
      <c r="F3818">
        <v>21.57</v>
      </c>
      <c r="G3818">
        <v>0</v>
      </c>
      <c r="H3818">
        <v>0</v>
      </c>
      <c r="I3818" s="3">
        <f>E3818+G3818+H3818</f>
        <v>22</v>
      </c>
      <c r="J3818" s="3">
        <f>ROUND(MIN(IF(C3818="Técnico III",35,IF(C3818="Técnico II",28,IF(C3818="Técnico I",23,IF(C3818="JR",20,IF(C3818="Estágio",10,0))))),IF(C3818="Técnico III",SUMIFS($D:$D,$A:$A,$A3818,$B:$B,"&lt;&gt;Patrícia Karla de Sousa Araújo",$B:$B,"&lt;&gt;Lorena Dias de Araujo",$B:$B,"&lt;&gt;Lucas Luiz Romero")*(35/1083),IF(C3818="Técnico II",SUMIFS($D:$D,$A:$A,$A3818,$B:$B,"&lt;&gt;Patrícia Karla de Sousa Araújo",$B:$B,"&lt;&gt;Lorena Dias de Araujo",$B:$B,"&lt;&gt;Lucas Luiz Romero")*(28/1083),IF(C3818="Técnico I",SUMIFS($D:$D,$A:$A,$A3818,$B:$B,"&lt;&gt;Patrícia Karla de Sousa Araújo",$B:$B,"&lt;&gt;Lorena Dias de Araujo",$B:$B,"&lt;&gt;Lucas Luiz Romero")*(23/1083),IF(C3818="JR",SUMIFS($D:$D,$A:$A,$A3818,$B:$B,"&lt;&gt;Patrícia Karla de Sousa Araújo",$B:$B,"&lt;&gt;Lorena Dias de Araujo",$B:$B,"&lt;&gt;Lucas Luiz Romero")*(20/1083),IF(C3818="Estágio",SUMIFS($D:$D,$A:$A,$A3818,$B:$B,"&lt;&gt;Patrícia Karla de Sousa Araújo",$B:$B,"&lt;&gt;Lorena Dias de Araujo",$B:$B,"&lt;&gt;Lucas Luiz Romero")*(10/1083),0)))))),0)</f>
        <v>17</v>
      </c>
      <c r="K3818" s="3">
        <f>I3818-J3818</f>
        <v>5</v>
      </c>
      <c r="L3818" s="3" t="str">
        <f>IF(K3818&lt;-5,"CRÍTICO",IF(K3818&lt;0,"ATENÇÃO",IF(K3818&lt;=5,"OPORTUNO","MUITO BOM")))</f>
        <v>OPORTUNO</v>
      </c>
      <c r="M3818">
        <v>20</v>
      </c>
      <c r="N3818">
        <v>96.3</v>
      </c>
      <c r="O3818">
        <v>32.219570405727922</v>
      </c>
    </row>
    <row r="3819" spans="1:15" hidden="1" x14ac:dyDescent="0.25">
      <c r="A3819" s="11">
        <v>46121</v>
      </c>
      <c r="B3819" t="s">
        <v>34</v>
      </c>
      <c r="C3819" t="s">
        <v>32</v>
      </c>
      <c r="D3819">
        <v>20</v>
      </c>
      <c r="E3819">
        <v>17</v>
      </c>
      <c r="F3819">
        <v>12.38</v>
      </c>
      <c r="G3819">
        <v>0</v>
      </c>
      <c r="H3819">
        <v>0</v>
      </c>
      <c r="I3819" s="3">
        <f>E3819+G3819+H3819</f>
        <v>17</v>
      </c>
      <c r="J3819" s="3">
        <f>ROUND(MIN(IF(C3819="Técnico III",35,IF(C3819="Técnico II",28,IF(C3819="Técnico I",23,IF(C3819="JR",20,IF(C3819="Estágio",10,0))))),IF(C3819="Técnico III",SUMIFS($D:$D,$A:$A,$A3819,$B:$B,"&lt;&gt;Patrícia Karla de Sousa Araújo",$B:$B,"&lt;&gt;Lorena Dias de Araujo",$B:$B,"&lt;&gt;Lucas Luiz Romero")*(35/1083),IF(C3819="Técnico II",SUMIFS($D:$D,$A:$A,$A3819,$B:$B,"&lt;&gt;Patrícia Karla de Sousa Araújo",$B:$B,"&lt;&gt;Lorena Dias de Araujo",$B:$B,"&lt;&gt;Lucas Luiz Romero")*(28/1083),IF(C3819="Técnico I",SUMIFS($D:$D,$A:$A,$A3819,$B:$B,"&lt;&gt;Patrícia Karla de Sousa Araújo",$B:$B,"&lt;&gt;Lorena Dias de Araujo",$B:$B,"&lt;&gt;Lucas Luiz Romero")*(23/1083),IF(C3819="JR",SUMIFS($D:$D,$A:$A,$A3819,$B:$B,"&lt;&gt;Patrícia Karla de Sousa Araújo",$B:$B,"&lt;&gt;Lorena Dias de Araujo",$B:$B,"&lt;&gt;Lucas Luiz Romero")*(20/1083),IF(C3819="Estágio",SUMIFS($D:$D,$A:$A,$A3819,$B:$B,"&lt;&gt;Patrícia Karla de Sousa Araújo",$B:$B,"&lt;&gt;Lorena Dias de Araujo",$B:$B,"&lt;&gt;Lucas Luiz Romero")*(10/1083),0)))))),0)</f>
        <v>26</v>
      </c>
      <c r="K3819" s="3">
        <f>I3819-J3819</f>
        <v>-9</v>
      </c>
      <c r="L3819" s="3" t="str">
        <f>IF(K3819&lt;-5,"CRÍTICO",IF(K3819&lt;0,"ATENÇÃO",IF(K3819&lt;=5,"OPORTUNO","MUITO BOM")))</f>
        <v>CRÍTICO</v>
      </c>
      <c r="M3819">
        <v>16</v>
      </c>
      <c r="N3819">
        <v>93.75</v>
      </c>
      <c r="O3819">
        <v>26.819923371647509</v>
      </c>
    </row>
    <row r="3820" spans="1:15" hidden="1" x14ac:dyDescent="0.25">
      <c r="A3820" s="11">
        <v>46121</v>
      </c>
      <c r="B3820" t="s">
        <v>51</v>
      </c>
      <c r="C3820" t="s">
        <v>48</v>
      </c>
      <c r="D3820">
        <v>25</v>
      </c>
      <c r="E3820">
        <v>20</v>
      </c>
      <c r="F3820">
        <v>18.260000000000002</v>
      </c>
      <c r="G3820">
        <v>0</v>
      </c>
      <c r="H3820">
        <v>0</v>
      </c>
      <c r="I3820" s="3">
        <v>0</v>
      </c>
      <c r="J3820" s="3">
        <v>0</v>
      </c>
      <c r="K3820" s="3">
        <v>0</v>
      </c>
      <c r="L3820" s="3" t="str">
        <f>IF(K3820&lt;-5,"CRÍTICO",IF(K3820&lt;0,"ATENÇÃO",IF(K3820&lt;=5,"OPORTUNO","MUITO BOM")))</f>
        <v>OPORTUNO</v>
      </c>
      <c r="M3820">
        <v>17</v>
      </c>
      <c r="N3820">
        <v>97.86</v>
      </c>
      <c r="O3820">
        <v>31.018518518518519</v>
      </c>
    </row>
    <row r="3821" spans="1:15" hidden="1" x14ac:dyDescent="0.25">
      <c r="A3821" s="11">
        <v>46121</v>
      </c>
      <c r="B3821" t="s">
        <v>61</v>
      </c>
      <c r="C3821" t="s">
        <v>23</v>
      </c>
      <c r="D3821">
        <v>23</v>
      </c>
      <c r="E3821">
        <v>22</v>
      </c>
      <c r="F3821">
        <v>17.2</v>
      </c>
      <c r="G3821">
        <v>0</v>
      </c>
      <c r="H3821">
        <v>0</v>
      </c>
      <c r="I3821" s="3">
        <f>E3821+G3821+H3821</f>
        <v>22</v>
      </c>
      <c r="J3821" s="3">
        <f>ROUND(MIN(IF(C3821="Técnico III",35,IF(C3821="Técnico II",28,IF(C3821="Técnico I",23,IF(C3821="JR",20,IF(C3821="Estágio",10,0))))),IF(C3821="Técnico III",SUMIFS($D:$D,$A:$A,$A3821,$B:$B,"&lt;&gt;Patrícia Karla de Sousa Araújo",$B:$B,"&lt;&gt;Lorena Dias de Araujo",$B:$B,"&lt;&gt;Lucas Luiz Romero")*(35/1083),IF(C3821="Técnico II",SUMIFS($D:$D,$A:$A,$A3821,$B:$B,"&lt;&gt;Patrícia Karla de Sousa Araújo",$B:$B,"&lt;&gt;Lorena Dias de Araujo",$B:$B,"&lt;&gt;Lucas Luiz Romero")*(28/1083),IF(C3821="Técnico I",SUMIFS($D:$D,$A:$A,$A3821,$B:$B,"&lt;&gt;Patrícia Karla de Sousa Araújo",$B:$B,"&lt;&gt;Lorena Dias de Araujo",$B:$B,"&lt;&gt;Lucas Luiz Romero")*(23/1083),IF(C3821="JR",SUMIFS($D:$D,$A:$A,$A3821,$B:$B,"&lt;&gt;Patrícia Karla de Sousa Araújo",$B:$B,"&lt;&gt;Lorena Dias de Araujo",$B:$B,"&lt;&gt;Lucas Luiz Romero")*(20/1083),IF(C3821="Estágio",SUMIFS($D:$D,$A:$A,$A3821,$B:$B,"&lt;&gt;Patrícia Karla de Sousa Araújo",$B:$B,"&lt;&gt;Lorena Dias de Araujo",$B:$B,"&lt;&gt;Lucas Luiz Romero")*(10/1083),0)))))),0)</f>
        <v>17</v>
      </c>
      <c r="K3821" s="3">
        <f>I3821-J3821</f>
        <v>5</v>
      </c>
      <c r="L3821" s="3" t="str">
        <f>IF(K3821&lt;-5,"CRÍTICO",IF(K3821&lt;0,"ATENÇÃO",IF(K3821&lt;=5,"OPORTUNO","MUITO BOM")))</f>
        <v>OPORTUNO</v>
      </c>
      <c r="M3821">
        <v>15</v>
      </c>
      <c r="N3821">
        <v>100</v>
      </c>
      <c r="O3821">
        <v>36.594202898550733</v>
      </c>
    </row>
    <row r="3822" spans="1:15" hidden="1" x14ac:dyDescent="0.25">
      <c r="A3822" s="11">
        <v>46121</v>
      </c>
      <c r="B3822" t="s">
        <v>35</v>
      </c>
      <c r="C3822" t="s">
        <v>32</v>
      </c>
      <c r="D3822">
        <v>30</v>
      </c>
      <c r="E3822">
        <v>29</v>
      </c>
      <c r="F3822">
        <v>22.26</v>
      </c>
      <c r="G3822">
        <v>0</v>
      </c>
      <c r="H3822">
        <v>0</v>
      </c>
      <c r="I3822" s="3">
        <v>0</v>
      </c>
      <c r="J3822" s="3">
        <v>0</v>
      </c>
      <c r="K3822" s="3">
        <v>0</v>
      </c>
      <c r="L3822" s="3" t="str">
        <f>IF(K3822&lt;-5,"CRÍTICO",IF(K3822&lt;0,"ATENÇÃO",IF(K3822&lt;=5,"OPORTUNO","MUITO BOM")))</f>
        <v>OPORTUNO</v>
      </c>
      <c r="M3822">
        <v>28</v>
      </c>
      <c r="N3822">
        <v>100</v>
      </c>
      <c r="O3822">
        <v>38.653846153846153</v>
      </c>
    </row>
    <row r="3823" spans="1:15" hidden="1" x14ac:dyDescent="0.25">
      <c r="A3823" s="11">
        <v>46121</v>
      </c>
      <c r="B3823" t="s">
        <v>18</v>
      </c>
      <c r="C3823" t="s">
        <v>16</v>
      </c>
      <c r="D3823">
        <v>21</v>
      </c>
      <c r="E3823">
        <v>13</v>
      </c>
      <c r="F3823">
        <v>9.1</v>
      </c>
      <c r="G3823">
        <v>0</v>
      </c>
      <c r="H3823">
        <v>0</v>
      </c>
      <c r="I3823" s="3">
        <f>E3823+G3823+H3823</f>
        <v>13</v>
      </c>
      <c r="J3823" s="3">
        <f>ROUND(MIN(IF(C3823="Técnico III",35,IF(C3823="Técnico II",28,IF(C3823="Técnico I",23,IF(C3823="JR",20,IF(C3823="Estágio",10,0))))),IF(C3823="Técnico III",SUMIFS($D:$D,$A:$A,$A3823,$B:$B,"&lt;&gt;Patrícia Karla de Sousa Araújo",$B:$B,"&lt;&gt;Lorena Dias de Araujo",$B:$B,"&lt;&gt;Lucas Luiz Romero")*(35/1083),IF(C3823="Técnico II",SUMIFS($D:$D,$A:$A,$A3823,$B:$B,"&lt;&gt;Patrícia Karla de Sousa Araújo",$B:$B,"&lt;&gt;Lorena Dias de Araujo",$B:$B,"&lt;&gt;Lucas Luiz Romero")*(28/1083),IF(C3823="Técnico I",SUMIFS($D:$D,$A:$A,$A3823,$B:$B,"&lt;&gt;Patrícia Karla de Sousa Araújo",$B:$B,"&lt;&gt;Lorena Dias de Araujo",$B:$B,"&lt;&gt;Lucas Luiz Romero")*(23/1083),IF(C3823="JR",SUMIFS($D:$D,$A:$A,$A3823,$B:$B,"&lt;&gt;Patrícia Karla de Sousa Araújo",$B:$B,"&lt;&gt;Lorena Dias de Araujo",$B:$B,"&lt;&gt;Lucas Luiz Romero")*(20/1083),IF(C3823="Estágio",SUMIFS($D:$D,$A:$A,$A3823,$B:$B,"&lt;&gt;Patrícia Karla de Sousa Araújo",$B:$B,"&lt;&gt;Lorena Dias de Araujo",$B:$B,"&lt;&gt;Lucas Luiz Romero")*(10/1083),0)))))),0)</f>
        <v>7</v>
      </c>
      <c r="K3823" s="3">
        <f>I3823-J3823</f>
        <v>6</v>
      </c>
      <c r="L3823" s="3" t="str">
        <f>IF(K3823&lt;-5,"CRÍTICO",IF(K3823&lt;0,"ATENÇÃO",IF(K3823&lt;=5,"OPORTUNO","MUITO BOM")))</f>
        <v>MUITO BOM</v>
      </c>
      <c r="M3823">
        <v>5</v>
      </c>
      <c r="N3823">
        <v>100</v>
      </c>
      <c r="O3823">
        <v>27.368421052631579</v>
      </c>
    </row>
    <row r="3824" spans="1:15" hidden="1" x14ac:dyDescent="0.25">
      <c r="A3824" s="11">
        <v>46121</v>
      </c>
      <c r="B3824" t="s">
        <v>52</v>
      </c>
      <c r="C3824" t="s">
        <v>48</v>
      </c>
      <c r="D3824">
        <v>23</v>
      </c>
      <c r="E3824">
        <v>22</v>
      </c>
      <c r="F3824">
        <v>18.38</v>
      </c>
      <c r="G3824">
        <v>0</v>
      </c>
      <c r="H3824">
        <v>0</v>
      </c>
      <c r="I3824" s="3">
        <f>E3824+G3824+H3824</f>
        <v>22</v>
      </c>
      <c r="J3824" s="3">
        <f>ROUND(MIN(IF(C3824="Técnico III",35,IF(C3824="Técnico II",28,IF(C3824="Técnico I",23,IF(C3824="JR",20,IF(C3824="Estágio",10,0))))),IF(C3824="Técnico III",SUMIFS($D:$D,$A:$A,$A3824,$B:$B,"&lt;&gt;Patrícia Karla de Sousa Araújo",$B:$B,"&lt;&gt;Lorena Dias de Araujo",$B:$B,"&lt;&gt;Lucas Luiz Romero")*(35/1083),IF(C3824="Técnico II",SUMIFS($D:$D,$A:$A,$A3824,$B:$B,"&lt;&gt;Patrícia Karla de Sousa Araújo",$B:$B,"&lt;&gt;Lorena Dias de Araujo",$B:$B,"&lt;&gt;Lucas Luiz Romero")*(28/1083),IF(C3824="Técnico I",SUMIFS($D:$D,$A:$A,$A3824,$B:$B,"&lt;&gt;Patrícia Karla de Sousa Araújo",$B:$B,"&lt;&gt;Lorena Dias de Araujo",$B:$B,"&lt;&gt;Lucas Luiz Romero")*(23/1083),IF(C3824="JR",SUMIFS($D:$D,$A:$A,$A3824,$B:$B,"&lt;&gt;Patrícia Karla de Sousa Araújo",$B:$B,"&lt;&gt;Lorena Dias de Araujo",$B:$B,"&lt;&gt;Lucas Luiz Romero")*(20/1083),IF(C3824="Estágio",SUMIFS($D:$D,$A:$A,$A3824,$B:$B,"&lt;&gt;Patrícia Karla de Sousa Araújo",$B:$B,"&lt;&gt;Lorena Dias de Araujo",$B:$B,"&lt;&gt;Lucas Luiz Romero")*(10/1083),0)))))),0)</f>
        <v>21</v>
      </c>
      <c r="K3824" s="3">
        <f>I3824-J3824</f>
        <v>1</v>
      </c>
      <c r="L3824" s="3" t="str">
        <f>IF(K3824&lt;-5,"CRÍTICO",IF(K3824&lt;0,"ATENÇÃO",IF(K3824&lt;=5,"OPORTUNO","MUITO BOM")))</f>
        <v>OPORTUNO</v>
      </c>
      <c r="M3824">
        <v>19</v>
      </c>
      <c r="N3824">
        <v>97.83</v>
      </c>
      <c r="O3824">
        <v>28.35164835164835</v>
      </c>
    </row>
    <row r="3825" spans="1:15" hidden="1" x14ac:dyDescent="0.25">
      <c r="A3825" s="11">
        <v>46121</v>
      </c>
      <c r="B3825" t="s">
        <v>36</v>
      </c>
      <c r="C3825" t="s">
        <v>32</v>
      </c>
      <c r="D3825">
        <v>25</v>
      </c>
      <c r="E3825">
        <v>22</v>
      </c>
      <c r="F3825">
        <v>17.079999999999998</v>
      </c>
      <c r="G3825">
        <v>0</v>
      </c>
      <c r="H3825">
        <v>0</v>
      </c>
      <c r="I3825" s="3">
        <f>E3825+G3825+H3825</f>
        <v>22</v>
      </c>
      <c r="J3825" s="3">
        <f>ROUND(MIN(IF(C3825="Técnico III",35,IF(C3825="Técnico II",28,IF(C3825="Técnico I",23,IF(C3825="JR",20,IF(C3825="Estágio",10,0))))),IF(C3825="Técnico III",SUMIFS($D:$D,$A:$A,$A3825,$B:$B,"&lt;&gt;Patrícia Karla de Sousa Araújo",$B:$B,"&lt;&gt;Lorena Dias de Araujo",$B:$B,"&lt;&gt;Lucas Luiz Romero")*(35/1083),IF(C3825="Técnico II",SUMIFS($D:$D,$A:$A,$A3825,$B:$B,"&lt;&gt;Patrícia Karla de Sousa Araújo",$B:$B,"&lt;&gt;Lorena Dias de Araujo",$B:$B,"&lt;&gt;Lucas Luiz Romero")*(28/1083),IF(C3825="Técnico I",SUMIFS($D:$D,$A:$A,$A3825,$B:$B,"&lt;&gt;Patrícia Karla de Sousa Araújo",$B:$B,"&lt;&gt;Lorena Dias de Araujo",$B:$B,"&lt;&gt;Lucas Luiz Romero")*(23/1083),IF(C3825="JR",SUMIFS($D:$D,$A:$A,$A3825,$B:$B,"&lt;&gt;Patrícia Karla de Sousa Araújo",$B:$B,"&lt;&gt;Lorena Dias de Araujo",$B:$B,"&lt;&gt;Lucas Luiz Romero")*(20/1083),IF(C3825="Estágio",SUMIFS($D:$D,$A:$A,$A3825,$B:$B,"&lt;&gt;Patrícia Karla de Sousa Araújo",$B:$B,"&lt;&gt;Lorena Dias de Araujo",$B:$B,"&lt;&gt;Lucas Luiz Romero")*(10/1083),0)))))),0)</f>
        <v>26</v>
      </c>
      <c r="K3825" s="3">
        <f>I3825-J3825</f>
        <v>-4</v>
      </c>
      <c r="L3825" s="3" t="str">
        <f>IF(K3825&lt;-5,"CRÍTICO",IF(K3825&lt;0,"ATENÇÃO",IF(K3825&lt;=5,"OPORTUNO","MUITO BOM")))</f>
        <v>ATENÇÃO</v>
      </c>
      <c r="M3825">
        <v>20</v>
      </c>
      <c r="N3825">
        <v>99.26</v>
      </c>
      <c r="O3825">
        <v>29.766536964980549</v>
      </c>
    </row>
    <row r="3826" spans="1:15" hidden="1" x14ac:dyDescent="0.25">
      <c r="A3826" s="11">
        <v>46121</v>
      </c>
      <c r="B3826" t="s">
        <v>53</v>
      </c>
      <c r="C3826" t="s">
        <v>48</v>
      </c>
      <c r="D3826">
        <v>12</v>
      </c>
      <c r="E3826">
        <v>12</v>
      </c>
      <c r="F3826">
        <v>20.25</v>
      </c>
      <c r="G3826">
        <v>0</v>
      </c>
      <c r="H3826">
        <v>0</v>
      </c>
      <c r="I3826" s="3">
        <f>E3826+G3826+H3826</f>
        <v>12</v>
      </c>
      <c r="J3826" s="3">
        <f>ROUND(MIN(IF(C3826="Técnico III",35,IF(C3826="Técnico II",28,IF(C3826="Técnico I",23,IF(C3826="JR",20,IF(C3826="Estágio",10,0))))),IF(C3826="Técnico III",SUMIFS($D:$D,$A:$A,$A3826,$B:$B,"&lt;&gt;Patrícia Karla de Sousa Araújo",$B:$B,"&lt;&gt;Lorena Dias de Araujo",$B:$B,"&lt;&gt;Lucas Luiz Romero")*(35/1083),IF(C3826="Técnico II",SUMIFS($D:$D,$A:$A,$A3826,$B:$B,"&lt;&gt;Patrícia Karla de Sousa Araújo",$B:$B,"&lt;&gt;Lorena Dias de Araujo",$B:$B,"&lt;&gt;Lucas Luiz Romero")*(28/1083),IF(C3826="Técnico I",SUMIFS($D:$D,$A:$A,$A3826,$B:$B,"&lt;&gt;Patrícia Karla de Sousa Araújo",$B:$B,"&lt;&gt;Lorena Dias de Araujo",$B:$B,"&lt;&gt;Lucas Luiz Romero")*(23/1083),IF(C3826="JR",SUMIFS($D:$D,$A:$A,$A3826,$B:$B,"&lt;&gt;Patrícia Karla de Sousa Araújo",$B:$B,"&lt;&gt;Lorena Dias de Araujo",$B:$B,"&lt;&gt;Lucas Luiz Romero")*(20/1083),IF(C3826="Estágio",SUMIFS($D:$D,$A:$A,$A3826,$B:$B,"&lt;&gt;Patrícia Karla de Sousa Araújo",$B:$B,"&lt;&gt;Lorena Dias de Araujo",$B:$B,"&lt;&gt;Lucas Luiz Romero")*(10/1083),0)))))),0)</f>
        <v>21</v>
      </c>
      <c r="K3826" s="3">
        <f>I3826-J3826</f>
        <v>-9</v>
      </c>
      <c r="L3826" s="3" t="str">
        <f>IF(K3826&lt;-5,"CRÍTICO",IF(K3826&lt;0,"ATENÇÃO",IF(K3826&lt;=5,"OPORTUNO","MUITO BOM")))</f>
        <v>CRÍTICO</v>
      </c>
      <c r="M3826">
        <v>17</v>
      </c>
      <c r="N3826">
        <v>99.19</v>
      </c>
      <c r="O3826">
        <v>29.462365591397852</v>
      </c>
    </row>
    <row r="3827" spans="1:15" hidden="1" x14ac:dyDescent="0.25">
      <c r="A3827" s="7">
        <v>46161</v>
      </c>
      <c r="B3827" s="8" t="s">
        <v>40</v>
      </c>
      <c r="C3827" s="14" t="s">
        <v>32</v>
      </c>
      <c r="D3827" s="3">
        <v>32</v>
      </c>
      <c r="E3827" s="3">
        <v>32</v>
      </c>
      <c r="F3827" s="3">
        <v>17.18</v>
      </c>
      <c r="G3827" s="3">
        <v>0</v>
      </c>
      <c r="H3827" s="3">
        <v>0</v>
      </c>
      <c r="I3827" s="3">
        <f>E3827+G3827+H3827</f>
        <v>32</v>
      </c>
      <c r="J3827" s="3">
        <f>ROUND(MIN(IF(C3827="Técnico III",35,IF(C3827="Técnico II",28,IF(C3827="Técnico I",23,IF(C3827="JR",20,IF(C3827="Estágio",10,0))))),IF(C3827="Técnico III",SUMIFS($D:$D,$A:$A,$A3827,$B:$B,"&lt;&gt;Patrícia Karla de Sousa Araújo",$B:$B,"&lt;&gt;Lorena Dias de Araujo",$B:$B,"&lt;&gt;Lucas Luiz Romero")*(35/1083),IF(C3827="Técnico II",SUMIFS($D:$D,$A:$A,$A3827,$B:$B,"&lt;&gt;Patrícia Karla de Sousa Araújo",$B:$B,"&lt;&gt;Lorena Dias de Araujo",$B:$B,"&lt;&gt;Lucas Luiz Romero")*(28/1083),IF(C3827="Técnico I",SUMIFS($D:$D,$A:$A,$A3827,$B:$B,"&lt;&gt;Patrícia Karla de Sousa Araújo",$B:$B,"&lt;&gt;Lorena Dias de Araujo",$B:$B,"&lt;&gt;Lucas Luiz Romero")*(23/1083),IF(C3827="JR",SUMIFS($D:$D,$A:$A,$A3827,$B:$B,"&lt;&gt;Patrícia Karla de Sousa Araújo",$B:$B,"&lt;&gt;Lorena Dias de Araujo",$B:$B,"&lt;&gt;Lucas Luiz Romero")*(20/1083),IF(C3827="Estágio",SUMIFS($D:$D,$A:$A,$A3827,$B:$B,"&lt;&gt;Patrícia Karla de Sousa Araújo",$B:$B,"&lt;&gt;Lorena Dias de Araujo",$B:$B,"&lt;&gt;Lucas Luiz Romero")*(10/1083),0)))))),0)</f>
        <v>29</v>
      </c>
      <c r="K3827" s="3">
        <f>I3827-J3827</f>
        <v>3</v>
      </c>
      <c r="L3827" s="3" t="str">
        <f>IF(K3827&lt;-5,"CRÍTICO",IF(K3827&lt;0,"ATENÇÃO",IF(K3827&lt;=5,"OPORTUNO","MUITO BOM")))</f>
        <v>OPORTUNO</v>
      </c>
      <c r="M3827" s="3">
        <v>28</v>
      </c>
      <c r="N3827" s="3">
        <v>96.84</v>
      </c>
      <c r="O3827" s="3">
        <v>16.338028169014081</v>
      </c>
    </row>
    <row r="3828" spans="1:15" hidden="1" x14ac:dyDescent="0.25">
      <c r="A3828" s="11">
        <v>46121</v>
      </c>
      <c r="B3828" t="s">
        <v>54</v>
      </c>
      <c r="C3828" t="s">
        <v>48</v>
      </c>
      <c r="D3828">
        <v>0</v>
      </c>
      <c r="E3828">
        <v>0</v>
      </c>
      <c r="F3828">
        <v>0</v>
      </c>
      <c r="G3828">
        <v>0</v>
      </c>
      <c r="H3828">
        <v>0</v>
      </c>
      <c r="I3828" s="3">
        <v>0</v>
      </c>
      <c r="J3828" s="3">
        <v>0</v>
      </c>
      <c r="K3828" s="3">
        <v>0</v>
      </c>
      <c r="L3828" s="3" t="str">
        <f>IF(K3828&lt;-5,"CRÍTICO",IF(K3828&lt;0,"ATENÇÃO",IF(K3828&lt;=5,"OPORTUNO","MUITO BOM")))</f>
        <v>OPORTUNO</v>
      </c>
      <c r="M3828">
        <v>0</v>
      </c>
      <c r="N3828">
        <v>100</v>
      </c>
      <c r="O3828">
        <v>28.921568627450981</v>
      </c>
    </row>
    <row r="3829" spans="1:15" hidden="1" x14ac:dyDescent="0.25">
      <c r="A3829" s="11">
        <v>46121</v>
      </c>
      <c r="B3829" t="s">
        <v>37</v>
      </c>
      <c r="C3829" t="s">
        <v>32</v>
      </c>
      <c r="D3829">
        <v>36</v>
      </c>
      <c r="E3829">
        <v>32</v>
      </c>
      <c r="F3829">
        <v>15.2</v>
      </c>
      <c r="G3829">
        <v>0</v>
      </c>
      <c r="H3829">
        <v>0</v>
      </c>
      <c r="I3829" s="3">
        <f>E3829+G3829+H3829</f>
        <v>32</v>
      </c>
      <c r="J3829" s="3">
        <f>ROUND(MIN(IF(C3829="Técnico III",35,IF(C3829="Técnico II",28,IF(C3829="Técnico I",23,IF(C3829="JR",20,IF(C3829="Estágio",10,0))))),IF(C3829="Técnico III",SUMIFS($D:$D,$A:$A,$A3829,$B:$B,"&lt;&gt;Patrícia Karla de Sousa Araújo",$B:$B,"&lt;&gt;Lorena Dias de Araujo",$B:$B,"&lt;&gt;Lucas Luiz Romero")*(35/1083),IF(C3829="Técnico II",SUMIFS($D:$D,$A:$A,$A3829,$B:$B,"&lt;&gt;Patrícia Karla de Sousa Araújo",$B:$B,"&lt;&gt;Lorena Dias de Araujo",$B:$B,"&lt;&gt;Lucas Luiz Romero")*(28/1083),IF(C3829="Técnico I",SUMIFS($D:$D,$A:$A,$A3829,$B:$B,"&lt;&gt;Patrícia Karla de Sousa Araújo",$B:$B,"&lt;&gt;Lorena Dias de Araujo",$B:$B,"&lt;&gt;Lucas Luiz Romero")*(23/1083),IF(C3829="JR",SUMIFS($D:$D,$A:$A,$A3829,$B:$B,"&lt;&gt;Patrícia Karla de Sousa Araújo",$B:$B,"&lt;&gt;Lorena Dias de Araujo",$B:$B,"&lt;&gt;Lucas Luiz Romero")*(20/1083),IF(C3829="Estágio",SUMIFS($D:$D,$A:$A,$A3829,$B:$B,"&lt;&gt;Patrícia Karla de Sousa Araújo",$B:$B,"&lt;&gt;Lorena Dias de Araujo",$B:$B,"&lt;&gt;Lucas Luiz Romero")*(10/1083),0)))))),0)</f>
        <v>26</v>
      </c>
      <c r="K3829" s="3">
        <f>I3829-J3829</f>
        <v>6</v>
      </c>
      <c r="L3829" s="3" t="str">
        <f>IF(K3829&lt;-5,"CRÍTICO",IF(K3829&lt;0,"ATENÇÃO",IF(K3829&lt;=5,"OPORTUNO","MUITO BOM")))</f>
        <v>MUITO BOM</v>
      </c>
      <c r="M3829">
        <v>29</v>
      </c>
      <c r="N3829">
        <v>99.57</v>
      </c>
      <c r="O3829">
        <v>30.635838150289018</v>
      </c>
    </row>
    <row r="3830" spans="1:15" hidden="1" x14ac:dyDescent="0.25">
      <c r="A3830" s="11">
        <v>46121</v>
      </c>
      <c r="B3830" t="s">
        <v>38</v>
      </c>
      <c r="C3830" t="s">
        <v>32</v>
      </c>
      <c r="D3830">
        <v>0</v>
      </c>
      <c r="E3830">
        <v>0</v>
      </c>
      <c r="F3830">
        <v>0</v>
      </c>
      <c r="G3830">
        <v>0</v>
      </c>
      <c r="H3830">
        <v>0</v>
      </c>
      <c r="I3830" s="3">
        <v>0</v>
      </c>
      <c r="J3830" s="3">
        <v>0</v>
      </c>
      <c r="K3830" s="3">
        <v>0</v>
      </c>
      <c r="L3830" s="3" t="str">
        <f>IF(K3830&lt;-5,"CRÍTICO",IF(K3830&lt;0,"ATENÇÃO",IF(K3830&lt;=5,"OPORTUNO","MUITO BOM")))</f>
        <v>OPORTUNO</v>
      </c>
      <c r="M3830">
        <v>0</v>
      </c>
      <c r="N3830">
        <v>95.65</v>
      </c>
      <c r="O3830">
        <v>32.432432432432442</v>
      </c>
    </row>
    <row r="3831" spans="1:15" hidden="1" x14ac:dyDescent="0.25">
      <c r="A3831" s="11">
        <v>46121</v>
      </c>
      <c r="B3831" t="s">
        <v>55</v>
      </c>
      <c r="C3831" t="s">
        <v>48</v>
      </c>
      <c r="D3831">
        <v>24</v>
      </c>
      <c r="E3831">
        <v>21</v>
      </c>
      <c r="F3831">
        <v>22.22</v>
      </c>
      <c r="G3831">
        <v>0</v>
      </c>
      <c r="H3831">
        <v>0</v>
      </c>
      <c r="I3831" s="3">
        <f>E3831+G3831+H3831</f>
        <v>21</v>
      </c>
      <c r="J3831" s="3">
        <f>ROUND(MIN(IF(C3831="Técnico III",35,IF(C3831="Técnico II",28,IF(C3831="Técnico I",23,IF(C3831="JR",20,IF(C3831="Estágio",10,0))))),IF(C3831="Técnico III",SUMIFS($D:$D,$A:$A,$A3831,$B:$B,"&lt;&gt;Patrícia Karla de Sousa Araújo",$B:$B,"&lt;&gt;Lorena Dias de Araujo",$B:$B,"&lt;&gt;Lucas Luiz Romero")*(35/1083),IF(C3831="Técnico II",SUMIFS($D:$D,$A:$A,$A3831,$B:$B,"&lt;&gt;Patrícia Karla de Sousa Araújo",$B:$B,"&lt;&gt;Lorena Dias de Araujo",$B:$B,"&lt;&gt;Lucas Luiz Romero")*(28/1083),IF(C3831="Técnico I",SUMIFS($D:$D,$A:$A,$A3831,$B:$B,"&lt;&gt;Patrícia Karla de Sousa Araújo",$B:$B,"&lt;&gt;Lorena Dias de Araujo",$B:$B,"&lt;&gt;Lucas Luiz Romero")*(23/1083),IF(C3831="JR",SUMIFS($D:$D,$A:$A,$A3831,$B:$B,"&lt;&gt;Patrícia Karla de Sousa Araújo",$B:$B,"&lt;&gt;Lorena Dias de Araujo",$B:$B,"&lt;&gt;Lucas Luiz Romero")*(20/1083),IF(C3831="Estágio",SUMIFS($D:$D,$A:$A,$A3831,$B:$B,"&lt;&gt;Patrícia Karla de Sousa Araújo",$B:$B,"&lt;&gt;Lorena Dias de Araujo",$B:$B,"&lt;&gt;Lucas Luiz Romero")*(10/1083),0)))))),0)</f>
        <v>21</v>
      </c>
      <c r="K3831" s="3">
        <f>I3831-J3831</f>
        <v>0</v>
      </c>
      <c r="L3831" s="3" t="str">
        <f>IF(K3831&lt;-5,"CRÍTICO",IF(K3831&lt;0,"ATENÇÃO",IF(K3831&lt;=5,"OPORTUNO","MUITO BOM")))</f>
        <v>OPORTUNO</v>
      </c>
      <c r="M3831">
        <v>19</v>
      </c>
      <c r="N3831">
        <v>98.81</v>
      </c>
      <c r="O3831">
        <v>26.256983240223459</v>
      </c>
    </row>
    <row r="3832" spans="1:15" hidden="1" x14ac:dyDescent="0.25">
      <c r="A3832" s="11">
        <v>46121</v>
      </c>
      <c r="B3832" t="s">
        <v>39</v>
      </c>
      <c r="C3832" t="s">
        <v>32</v>
      </c>
      <c r="D3832">
        <v>0</v>
      </c>
      <c r="E3832">
        <v>0</v>
      </c>
      <c r="F3832">
        <v>0</v>
      </c>
      <c r="G3832">
        <v>0</v>
      </c>
      <c r="H3832">
        <v>0</v>
      </c>
      <c r="I3832" s="3">
        <v>0</v>
      </c>
      <c r="J3832" s="3">
        <v>0</v>
      </c>
      <c r="K3832" s="3">
        <v>0</v>
      </c>
      <c r="L3832" s="3" t="str">
        <f>IF(K3832&lt;-5,"CRÍTICO",IF(K3832&lt;0,"ATENÇÃO",IF(K3832&lt;=5,"OPORTUNO","MUITO BOM")))</f>
        <v>OPORTUNO</v>
      </c>
      <c r="M3832">
        <v>0</v>
      </c>
      <c r="N3832">
        <v>0</v>
      </c>
      <c r="O3832">
        <v>0</v>
      </c>
    </row>
    <row r="3833" spans="1:15" hidden="1" x14ac:dyDescent="0.25">
      <c r="A3833" s="11">
        <v>46121</v>
      </c>
      <c r="B3833" t="s">
        <v>25</v>
      </c>
      <c r="C3833" t="s">
        <v>26</v>
      </c>
      <c r="D3833">
        <v>28</v>
      </c>
      <c r="E3833">
        <v>28</v>
      </c>
      <c r="F3833">
        <v>17.239999999999998</v>
      </c>
      <c r="G3833">
        <v>0</v>
      </c>
      <c r="H3833">
        <v>0</v>
      </c>
      <c r="I3833" s="3">
        <f>E3833+G3833+H3833</f>
        <v>28</v>
      </c>
      <c r="J3833" s="3">
        <f>ROUND(MIN(IF(C3833="Técnico III",35,IF(C3833="Técnico II",28,IF(C3833="Técnico I",23,IF(C3833="JR",20,IF(C3833="Estágio",10,0))))),IF(C3833="Técnico III",SUMIFS($D:$D,$A:$A,$A3833,$B:$B,"&lt;&gt;Patrícia Karla de Sousa Araújo",$B:$B,"&lt;&gt;Lorena Dias de Araujo",$B:$B,"&lt;&gt;Lucas Luiz Romero")*(35/1083),IF(C3833="Técnico II",SUMIFS($D:$D,$A:$A,$A3833,$B:$B,"&lt;&gt;Patrícia Karla de Sousa Araújo",$B:$B,"&lt;&gt;Lorena Dias de Araujo",$B:$B,"&lt;&gt;Lucas Luiz Romero")*(28/1083),IF(C3833="Técnico I",SUMIFS($D:$D,$A:$A,$A3833,$B:$B,"&lt;&gt;Patrícia Karla de Sousa Araújo",$B:$B,"&lt;&gt;Lorena Dias de Araujo",$B:$B,"&lt;&gt;Lucas Luiz Romero")*(23/1083),IF(C3833="JR",SUMIFS($D:$D,$A:$A,$A3833,$B:$B,"&lt;&gt;Patrícia Karla de Sousa Araújo",$B:$B,"&lt;&gt;Lorena Dias de Araujo",$B:$B,"&lt;&gt;Lucas Luiz Romero")*(20/1083),IF(C3833="Estágio",SUMIFS($D:$D,$A:$A,$A3833,$B:$B,"&lt;&gt;Patrícia Karla de Sousa Araújo",$B:$B,"&lt;&gt;Lorena Dias de Araujo",$B:$B,"&lt;&gt;Lucas Luiz Romero")*(10/1083),0)))))),0)</f>
        <v>15</v>
      </c>
      <c r="K3833" s="3">
        <f>I3833-J3833</f>
        <v>13</v>
      </c>
      <c r="L3833" s="3" t="str">
        <f>IF(K3833&lt;-5,"CRÍTICO",IF(K3833&lt;0,"ATENÇÃO",IF(K3833&lt;=5,"OPORTUNO","MUITO BOM")))</f>
        <v>MUITO BOM</v>
      </c>
      <c r="M3833">
        <v>24</v>
      </c>
      <c r="N3833">
        <v>97.17</v>
      </c>
      <c r="O3833">
        <v>28.81844380403458</v>
      </c>
    </row>
    <row r="3834" spans="1:15" hidden="1" x14ac:dyDescent="0.25">
      <c r="A3834" s="11">
        <v>46121</v>
      </c>
      <c r="B3834" t="s">
        <v>40</v>
      </c>
      <c r="C3834" t="s">
        <v>32</v>
      </c>
      <c r="D3834">
        <v>16</v>
      </c>
      <c r="E3834">
        <v>15</v>
      </c>
      <c r="F3834">
        <v>23.53</v>
      </c>
      <c r="G3834">
        <v>0</v>
      </c>
      <c r="H3834">
        <v>0</v>
      </c>
      <c r="I3834" s="3">
        <f>E3834+G3834+H3834</f>
        <v>15</v>
      </c>
      <c r="J3834" s="3">
        <f>ROUND(MIN(IF(C3834="Técnico III",35,IF(C3834="Técnico II",28,IF(C3834="Técnico I",23,IF(C3834="JR",20,IF(C3834="Estágio",10,0))))),IF(C3834="Técnico III",SUMIFS($D:$D,$A:$A,$A3834,$B:$B,"&lt;&gt;Patrícia Karla de Sousa Araújo",$B:$B,"&lt;&gt;Lorena Dias de Araujo",$B:$B,"&lt;&gt;Lucas Luiz Romero")*(35/1083),IF(C3834="Técnico II",SUMIFS($D:$D,$A:$A,$A3834,$B:$B,"&lt;&gt;Patrícia Karla de Sousa Araújo",$B:$B,"&lt;&gt;Lorena Dias de Araujo",$B:$B,"&lt;&gt;Lucas Luiz Romero")*(28/1083),IF(C3834="Técnico I",SUMIFS($D:$D,$A:$A,$A3834,$B:$B,"&lt;&gt;Patrícia Karla de Sousa Araújo",$B:$B,"&lt;&gt;Lorena Dias de Araujo",$B:$B,"&lt;&gt;Lucas Luiz Romero")*(23/1083),IF(C3834="JR",SUMIFS($D:$D,$A:$A,$A3834,$B:$B,"&lt;&gt;Patrícia Karla de Sousa Araújo",$B:$B,"&lt;&gt;Lorena Dias de Araujo",$B:$B,"&lt;&gt;Lucas Luiz Romero")*(20/1083),IF(C3834="Estágio",SUMIFS($D:$D,$A:$A,$A3834,$B:$B,"&lt;&gt;Patrícia Karla de Sousa Araújo",$B:$B,"&lt;&gt;Lorena Dias de Araujo",$B:$B,"&lt;&gt;Lucas Luiz Romero")*(10/1083),0)))))),0)</f>
        <v>26</v>
      </c>
      <c r="K3834" s="3">
        <f>I3834-J3834</f>
        <v>-11</v>
      </c>
      <c r="L3834" s="3" t="str">
        <f>IF(K3834&lt;-5,"CRÍTICO",IF(K3834&lt;0,"ATENÇÃO",IF(K3834&lt;=5,"OPORTUNO","MUITO BOM")))</f>
        <v>CRÍTICO</v>
      </c>
      <c r="M3834">
        <v>16</v>
      </c>
      <c r="N3834">
        <v>96.81</v>
      </c>
      <c r="O3834">
        <v>48.018648018648022</v>
      </c>
    </row>
    <row r="3835" spans="1:15" hidden="1" x14ac:dyDescent="0.25">
      <c r="A3835" s="11">
        <v>46121</v>
      </c>
      <c r="B3835" t="s">
        <v>27</v>
      </c>
      <c r="C3835" t="s">
        <v>26</v>
      </c>
      <c r="D3835">
        <v>16</v>
      </c>
      <c r="E3835">
        <v>15</v>
      </c>
      <c r="F3835">
        <v>30.05</v>
      </c>
      <c r="G3835">
        <v>0</v>
      </c>
      <c r="H3835">
        <v>0</v>
      </c>
      <c r="I3835" s="3">
        <f>E3835+G3835+H3835</f>
        <v>15</v>
      </c>
      <c r="J3835" s="3">
        <f>ROUND(MIN(IF(C3835="Técnico III",35,IF(C3835="Técnico II",28,IF(C3835="Técnico I",23,IF(C3835="JR",20,IF(C3835="Estágio",10,0))))),IF(C3835="Técnico III",SUMIFS($D:$D,$A:$A,$A3835,$B:$B,"&lt;&gt;Patrícia Karla de Sousa Araújo",$B:$B,"&lt;&gt;Lorena Dias de Araujo",$B:$B,"&lt;&gt;Lucas Luiz Romero")*(35/1083),IF(C3835="Técnico II",SUMIFS($D:$D,$A:$A,$A3835,$B:$B,"&lt;&gt;Patrícia Karla de Sousa Araújo",$B:$B,"&lt;&gt;Lorena Dias de Araujo",$B:$B,"&lt;&gt;Lucas Luiz Romero")*(28/1083),IF(C3835="Técnico I",SUMIFS($D:$D,$A:$A,$A3835,$B:$B,"&lt;&gt;Patrícia Karla de Sousa Araújo",$B:$B,"&lt;&gt;Lorena Dias de Araujo",$B:$B,"&lt;&gt;Lucas Luiz Romero")*(23/1083),IF(C3835="JR",SUMIFS($D:$D,$A:$A,$A3835,$B:$B,"&lt;&gt;Patrícia Karla de Sousa Araújo",$B:$B,"&lt;&gt;Lorena Dias de Araujo",$B:$B,"&lt;&gt;Lucas Luiz Romero")*(20/1083),IF(C3835="Estágio",SUMIFS($D:$D,$A:$A,$A3835,$B:$B,"&lt;&gt;Patrícia Karla de Sousa Araújo",$B:$B,"&lt;&gt;Lorena Dias de Araujo",$B:$B,"&lt;&gt;Lucas Luiz Romero")*(10/1083),0)))))),0)</f>
        <v>15</v>
      </c>
      <c r="K3835" s="3">
        <f>I3835-J3835</f>
        <v>0</v>
      </c>
      <c r="L3835" s="3" t="str">
        <f>IF(K3835&lt;-5,"CRÍTICO",IF(K3835&lt;0,"ATENÇÃO",IF(K3835&lt;=5,"OPORTUNO","MUITO BOM")))</f>
        <v>OPORTUNO</v>
      </c>
      <c r="M3835">
        <v>11</v>
      </c>
      <c r="N3835">
        <v>98.15</v>
      </c>
      <c r="O3835">
        <v>27.1551724137931</v>
      </c>
    </row>
    <row r="3836" spans="1:15" hidden="1" x14ac:dyDescent="0.25">
      <c r="A3836" s="11">
        <v>46121</v>
      </c>
      <c r="B3836" t="s">
        <v>41</v>
      </c>
      <c r="C3836" t="s">
        <v>32</v>
      </c>
      <c r="D3836">
        <v>12</v>
      </c>
      <c r="E3836">
        <v>12</v>
      </c>
      <c r="F3836">
        <v>17.27</v>
      </c>
      <c r="G3836">
        <v>0</v>
      </c>
      <c r="H3836">
        <v>0</v>
      </c>
      <c r="I3836" s="3">
        <f>E3836+G3836+H3836</f>
        <v>12</v>
      </c>
      <c r="J3836" s="3">
        <f>ROUND(MIN(IF(C3836="Técnico III",35,IF(C3836="Técnico II",28,IF(C3836="Técnico I",23,IF(C3836="JR",20,IF(C3836="Estágio",10,0))))),IF(C3836="Técnico III",SUMIFS($D:$D,$A:$A,$A3836,$B:$B,"&lt;&gt;Patrícia Karla de Sousa Araújo",$B:$B,"&lt;&gt;Lorena Dias de Araujo",$B:$B,"&lt;&gt;Lucas Luiz Romero")*(35/1083),IF(C3836="Técnico II",SUMIFS($D:$D,$A:$A,$A3836,$B:$B,"&lt;&gt;Patrícia Karla de Sousa Araújo",$B:$B,"&lt;&gt;Lorena Dias de Araujo",$B:$B,"&lt;&gt;Lucas Luiz Romero")*(28/1083),IF(C3836="Técnico I",SUMIFS($D:$D,$A:$A,$A3836,$B:$B,"&lt;&gt;Patrícia Karla de Sousa Araújo",$B:$B,"&lt;&gt;Lorena Dias de Araujo",$B:$B,"&lt;&gt;Lucas Luiz Romero")*(23/1083),IF(C3836="JR",SUMIFS($D:$D,$A:$A,$A3836,$B:$B,"&lt;&gt;Patrícia Karla de Sousa Araújo",$B:$B,"&lt;&gt;Lorena Dias de Araujo",$B:$B,"&lt;&gt;Lucas Luiz Romero")*(20/1083),IF(C3836="Estágio",SUMIFS($D:$D,$A:$A,$A3836,$B:$B,"&lt;&gt;Patrícia Karla de Sousa Araújo",$B:$B,"&lt;&gt;Lorena Dias de Araujo",$B:$B,"&lt;&gt;Lucas Luiz Romero")*(10/1083),0)))))),0)</f>
        <v>26</v>
      </c>
      <c r="K3836" s="3">
        <f>I3836-J3836</f>
        <v>-14</v>
      </c>
      <c r="L3836" s="3" t="str">
        <f>IF(K3836&lt;-5,"CRÍTICO",IF(K3836&lt;0,"ATENÇÃO",IF(K3836&lt;=5,"OPORTUNO","MUITO BOM")))</f>
        <v>CRÍTICO</v>
      </c>
      <c r="M3836">
        <v>8</v>
      </c>
      <c r="N3836">
        <v>99.15</v>
      </c>
      <c r="O3836">
        <v>27.586206896551719</v>
      </c>
    </row>
    <row r="3837" spans="1:15" hidden="1" x14ac:dyDescent="0.25">
      <c r="A3837" s="11">
        <v>46121</v>
      </c>
      <c r="B3837" t="s">
        <v>56</v>
      </c>
      <c r="C3837" t="s">
        <v>48</v>
      </c>
      <c r="D3837">
        <v>21</v>
      </c>
      <c r="E3837">
        <v>18</v>
      </c>
      <c r="F3837">
        <v>22.11</v>
      </c>
      <c r="G3837">
        <v>0</v>
      </c>
      <c r="H3837">
        <v>0</v>
      </c>
      <c r="I3837" s="3">
        <f>E3837+G3837+H3837</f>
        <v>18</v>
      </c>
      <c r="J3837" s="3">
        <f>ROUND(MIN(IF(C3837="Técnico III",35,IF(C3837="Técnico II",28,IF(C3837="Técnico I",23,IF(C3837="JR",20,IF(C3837="Estágio",10,0))))),IF(C3837="Técnico III",SUMIFS($D:$D,$A:$A,$A3837,$B:$B,"&lt;&gt;Patrícia Karla de Sousa Araújo",$B:$B,"&lt;&gt;Lorena Dias de Araujo",$B:$B,"&lt;&gt;Lucas Luiz Romero")*(35/1083),IF(C3837="Técnico II",SUMIFS($D:$D,$A:$A,$A3837,$B:$B,"&lt;&gt;Patrícia Karla de Sousa Araújo",$B:$B,"&lt;&gt;Lorena Dias de Araujo",$B:$B,"&lt;&gt;Lucas Luiz Romero")*(28/1083),IF(C3837="Técnico I",SUMIFS($D:$D,$A:$A,$A3837,$B:$B,"&lt;&gt;Patrícia Karla de Sousa Araújo",$B:$B,"&lt;&gt;Lorena Dias de Araujo",$B:$B,"&lt;&gt;Lucas Luiz Romero")*(23/1083),IF(C3837="JR",SUMIFS($D:$D,$A:$A,$A3837,$B:$B,"&lt;&gt;Patrícia Karla de Sousa Araújo",$B:$B,"&lt;&gt;Lorena Dias de Araujo",$B:$B,"&lt;&gt;Lucas Luiz Romero")*(20/1083),IF(C3837="Estágio",SUMIFS($D:$D,$A:$A,$A3837,$B:$B,"&lt;&gt;Patrícia Karla de Sousa Araújo",$B:$B,"&lt;&gt;Lorena Dias de Araujo",$B:$B,"&lt;&gt;Lucas Luiz Romero")*(10/1083),0)))))),0)</f>
        <v>21</v>
      </c>
      <c r="K3837" s="3">
        <f>I3837-J3837</f>
        <v>-3</v>
      </c>
      <c r="L3837" s="3" t="str">
        <f>IF(K3837&lt;-5,"CRÍTICO",IF(K3837&lt;0,"ATENÇÃO",IF(K3837&lt;=5,"OPORTUNO","MUITO BOM")))</f>
        <v>ATENÇÃO</v>
      </c>
      <c r="M3837">
        <v>28</v>
      </c>
      <c r="N3837">
        <v>99.17</v>
      </c>
      <c r="O3837">
        <v>29.75206611570248</v>
      </c>
    </row>
    <row r="3838" spans="1:15" hidden="1" x14ac:dyDescent="0.25">
      <c r="A3838" s="11">
        <v>46121</v>
      </c>
      <c r="B3838" t="s">
        <v>57</v>
      </c>
      <c r="C3838" t="s">
        <v>48</v>
      </c>
      <c r="D3838">
        <v>22</v>
      </c>
      <c r="E3838">
        <v>21</v>
      </c>
      <c r="F3838">
        <v>25.13</v>
      </c>
      <c r="G3838">
        <v>0</v>
      </c>
      <c r="H3838">
        <v>0</v>
      </c>
      <c r="I3838" s="3">
        <v>0</v>
      </c>
      <c r="J3838" s="3">
        <v>0</v>
      </c>
      <c r="K3838" s="3">
        <v>0</v>
      </c>
      <c r="L3838" s="3" t="str">
        <f>IF(K3838&lt;-5,"CRÍTICO",IF(K3838&lt;0,"ATENÇÃO",IF(K3838&lt;=5,"OPORTUNO","MUITO BOM")))</f>
        <v>OPORTUNO</v>
      </c>
      <c r="M3838">
        <v>16</v>
      </c>
      <c r="N3838">
        <v>98.73</v>
      </c>
      <c r="O3838">
        <v>28.961748633879779</v>
      </c>
    </row>
    <row r="3839" spans="1:15" hidden="1" x14ac:dyDescent="0.25">
      <c r="A3839" s="11">
        <v>46121</v>
      </c>
      <c r="B3839" t="s">
        <v>42</v>
      </c>
      <c r="C3839" t="s">
        <v>32</v>
      </c>
      <c r="D3839">
        <v>37</v>
      </c>
      <c r="E3839">
        <v>30</v>
      </c>
      <c r="F3839">
        <v>15.56</v>
      </c>
      <c r="G3839">
        <v>0</v>
      </c>
      <c r="H3839">
        <v>0</v>
      </c>
      <c r="I3839" s="3">
        <f>E3839+G3839+H3839</f>
        <v>30</v>
      </c>
      <c r="J3839" s="3">
        <f>ROUND(MIN(IF(C3839="Técnico III",35,IF(C3839="Técnico II",28,IF(C3839="Técnico I",23,IF(C3839="JR",20,IF(C3839="Estágio",10,0))))),IF(C3839="Técnico III",SUMIFS($D:$D,$A:$A,$A3839,$B:$B,"&lt;&gt;Patrícia Karla de Sousa Araújo",$B:$B,"&lt;&gt;Lorena Dias de Araujo",$B:$B,"&lt;&gt;Lucas Luiz Romero")*(35/1083),IF(C3839="Técnico II",SUMIFS($D:$D,$A:$A,$A3839,$B:$B,"&lt;&gt;Patrícia Karla de Sousa Araújo",$B:$B,"&lt;&gt;Lorena Dias de Araujo",$B:$B,"&lt;&gt;Lucas Luiz Romero")*(28/1083),IF(C3839="Técnico I",SUMIFS($D:$D,$A:$A,$A3839,$B:$B,"&lt;&gt;Patrícia Karla de Sousa Araújo",$B:$B,"&lt;&gt;Lorena Dias de Araujo",$B:$B,"&lt;&gt;Lucas Luiz Romero")*(23/1083),IF(C3839="JR",SUMIFS($D:$D,$A:$A,$A3839,$B:$B,"&lt;&gt;Patrícia Karla de Sousa Araújo",$B:$B,"&lt;&gt;Lorena Dias de Araujo",$B:$B,"&lt;&gt;Lucas Luiz Romero")*(20/1083),IF(C3839="Estágio",SUMIFS($D:$D,$A:$A,$A3839,$B:$B,"&lt;&gt;Patrícia Karla de Sousa Araújo",$B:$B,"&lt;&gt;Lorena Dias de Araujo",$B:$B,"&lt;&gt;Lucas Luiz Romero")*(10/1083),0)))))),0)</f>
        <v>26</v>
      </c>
      <c r="K3839" s="3">
        <f>I3839-J3839</f>
        <v>4</v>
      </c>
      <c r="L3839" s="3" t="str">
        <f>IF(K3839&lt;-5,"CRÍTICO",IF(K3839&lt;0,"ATENÇÃO",IF(K3839&lt;=5,"OPORTUNO","MUITO BOM")))</f>
        <v>OPORTUNO</v>
      </c>
      <c r="M3839">
        <v>17</v>
      </c>
      <c r="N3839">
        <v>88.68</v>
      </c>
      <c r="O3839">
        <v>22.03389830508474</v>
      </c>
    </row>
    <row r="3840" spans="1:15" hidden="1" x14ac:dyDescent="0.25">
      <c r="A3840" s="11">
        <v>46121</v>
      </c>
      <c r="B3840" t="s">
        <v>62</v>
      </c>
      <c r="C3840" t="s">
        <v>23</v>
      </c>
      <c r="D3840">
        <v>27</v>
      </c>
      <c r="E3840">
        <v>23</v>
      </c>
      <c r="F3840">
        <v>14.04</v>
      </c>
      <c r="G3840">
        <v>0</v>
      </c>
      <c r="H3840">
        <v>0</v>
      </c>
      <c r="I3840" s="3">
        <f>E3840+G3840+H3840</f>
        <v>23</v>
      </c>
      <c r="J3840" s="3">
        <f>ROUND(MIN(IF(C3840="Técnico III",35,IF(C3840="Técnico II",28,IF(C3840="Técnico I",23,IF(C3840="JR",20,IF(C3840="Estágio",10,0))))),IF(C3840="Técnico III",SUMIFS($D:$D,$A:$A,$A3840,$B:$B,"&lt;&gt;Patrícia Karla de Sousa Araújo",$B:$B,"&lt;&gt;Lorena Dias de Araujo",$B:$B,"&lt;&gt;Lucas Luiz Romero")*(35/1083),IF(C3840="Técnico II",SUMIFS($D:$D,$A:$A,$A3840,$B:$B,"&lt;&gt;Patrícia Karla de Sousa Araújo",$B:$B,"&lt;&gt;Lorena Dias de Araujo",$B:$B,"&lt;&gt;Lucas Luiz Romero")*(28/1083),IF(C3840="Técnico I",SUMIFS($D:$D,$A:$A,$A3840,$B:$B,"&lt;&gt;Patrícia Karla de Sousa Araújo",$B:$B,"&lt;&gt;Lorena Dias de Araujo",$B:$B,"&lt;&gt;Lucas Luiz Romero")*(23/1083),IF(C3840="JR",SUMIFS($D:$D,$A:$A,$A3840,$B:$B,"&lt;&gt;Patrícia Karla de Sousa Araújo",$B:$B,"&lt;&gt;Lorena Dias de Araujo",$B:$B,"&lt;&gt;Lucas Luiz Romero")*(20/1083),IF(C3840="Estágio",SUMIFS($D:$D,$A:$A,$A3840,$B:$B,"&lt;&gt;Patrícia Karla de Sousa Araújo",$B:$B,"&lt;&gt;Lorena Dias de Araujo",$B:$B,"&lt;&gt;Lucas Luiz Romero")*(10/1083),0)))))),0)</f>
        <v>17</v>
      </c>
      <c r="K3840" s="3">
        <f>I3840-J3840</f>
        <v>6</v>
      </c>
      <c r="L3840" s="3" t="str">
        <f>IF(K3840&lt;-5,"CRÍTICO",IF(K3840&lt;0,"ATENÇÃO",IF(K3840&lt;=5,"OPORTUNO","MUITO BOM")))</f>
        <v>MUITO BOM</v>
      </c>
      <c r="M3840">
        <v>23</v>
      </c>
      <c r="N3840">
        <v>97.37</v>
      </c>
      <c r="O3840">
        <v>25.76530612244898</v>
      </c>
    </row>
    <row r="3841" spans="1:15" hidden="1" x14ac:dyDescent="0.25">
      <c r="A3841" s="11">
        <v>46121</v>
      </c>
      <c r="B3841" t="s">
        <v>19</v>
      </c>
      <c r="C3841" t="s">
        <v>16</v>
      </c>
      <c r="D3841">
        <v>9</v>
      </c>
      <c r="E3841">
        <v>9</v>
      </c>
      <c r="F3841">
        <v>43.54</v>
      </c>
      <c r="G3841">
        <v>0</v>
      </c>
      <c r="H3841">
        <v>0</v>
      </c>
      <c r="I3841" s="3">
        <f>E3841+G3841+H3841</f>
        <v>9</v>
      </c>
      <c r="J3841" s="3">
        <f>ROUND(MIN(IF(C3841="Técnico III",35,IF(C3841="Técnico II",28,IF(C3841="Técnico I",23,IF(C3841="JR",20,IF(C3841="Estágio",10,0))))),IF(C3841="Técnico III",SUMIFS($D:$D,$A:$A,$A3841,$B:$B,"&lt;&gt;Patrícia Karla de Sousa Araújo",$B:$B,"&lt;&gt;Lorena Dias de Araujo",$B:$B,"&lt;&gt;Lucas Luiz Romero")*(35/1083),IF(C3841="Técnico II",SUMIFS($D:$D,$A:$A,$A3841,$B:$B,"&lt;&gt;Patrícia Karla de Sousa Araújo",$B:$B,"&lt;&gt;Lorena Dias de Araujo",$B:$B,"&lt;&gt;Lucas Luiz Romero")*(28/1083),IF(C3841="Técnico I",SUMIFS($D:$D,$A:$A,$A3841,$B:$B,"&lt;&gt;Patrícia Karla de Sousa Araújo",$B:$B,"&lt;&gt;Lorena Dias de Araujo",$B:$B,"&lt;&gt;Lucas Luiz Romero")*(23/1083),IF(C3841="JR",SUMIFS($D:$D,$A:$A,$A3841,$B:$B,"&lt;&gt;Patrícia Karla de Sousa Araújo",$B:$B,"&lt;&gt;Lorena Dias de Araujo",$B:$B,"&lt;&gt;Lucas Luiz Romero")*(20/1083),IF(C3841="Estágio",SUMIFS($D:$D,$A:$A,$A3841,$B:$B,"&lt;&gt;Patrícia Karla de Sousa Araújo",$B:$B,"&lt;&gt;Lorena Dias de Araujo",$B:$B,"&lt;&gt;Lucas Luiz Romero")*(10/1083),0)))))),0)</f>
        <v>7</v>
      </c>
      <c r="K3841" s="3">
        <f>I3841-J3841</f>
        <v>2</v>
      </c>
      <c r="L3841" s="3" t="str">
        <f>IF(K3841&lt;-5,"CRÍTICO",IF(K3841&lt;0,"ATENÇÃO",IF(K3841&lt;=5,"OPORTUNO","MUITO BOM")))</f>
        <v>OPORTUNO</v>
      </c>
      <c r="M3841">
        <v>6</v>
      </c>
      <c r="N3841">
        <v>100</v>
      </c>
      <c r="O3841">
        <v>25</v>
      </c>
    </row>
    <row r="3842" spans="1:15" hidden="1" x14ac:dyDescent="0.25">
      <c r="A3842" s="11">
        <v>46121</v>
      </c>
      <c r="B3842" t="s">
        <v>43</v>
      </c>
      <c r="C3842" t="s">
        <v>32</v>
      </c>
      <c r="D3842">
        <v>27</v>
      </c>
      <c r="E3842">
        <v>27</v>
      </c>
      <c r="F3842">
        <v>17.13</v>
      </c>
      <c r="G3842">
        <v>0</v>
      </c>
      <c r="H3842">
        <v>0</v>
      </c>
      <c r="I3842" s="3">
        <f>E3842+G3842+H3842</f>
        <v>27</v>
      </c>
      <c r="J3842" s="3">
        <f>ROUND(MIN(IF(C3842="Técnico III",35,IF(C3842="Técnico II",28,IF(C3842="Técnico I",23,IF(C3842="JR",20,IF(C3842="Estágio",10,0))))),IF(C3842="Técnico III",SUMIFS($D:$D,$A:$A,$A3842,$B:$B,"&lt;&gt;Patrícia Karla de Sousa Araújo",$B:$B,"&lt;&gt;Lorena Dias de Araujo",$B:$B,"&lt;&gt;Lucas Luiz Romero")*(35/1083),IF(C3842="Técnico II",SUMIFS($D:$D,$A:$A,$A3842,$B:$B,"&lt;&gt;Patrícia Karla de Sousa Araújo",$B:$B,"&lt;&gt;Lorena Dias de Araujo",$B:$B,"&lt;&gt;Lucas Luiz Romero")*(28/1083),IF(C3842="Técnico I",SUMIFS($D:$D,$A:$A,$A3842,$B:$B,"&lt;&gt;Patrícia Karla de Sousa Araújo",$B:$B,"&lt;&gt;Lorena Dias de Araujo",$B:$B,"&lt;&gt;Lucas Luiz Romero")*(23/1083),IF(C3842="JR",SUMIFS($D:$D,$A:$A,$A3842,$B:$B,"&lt;&gt;Patrícia Karla de Sousa Araújo",$B:$B,"&lt;&gt;Lorena Dias de Araujo",$B:$B,"&lt;&gt;Lucas Luiz Romero")*(20/1083),IF(C3842="Estágio",SUMIFS($D:$D,$A:$A,$A3842,$B:$B,"&lt;&gt;Patrícia Karla de Sousa Araújo",$B:$B,"&lt;&gt;Lorena Dias de Araujo",$B:$B,"&lt;&gt;Lucas Luiz Romero")*(10/1083),0)))))),0)</f>
        <v>26</v>
      </c>
      <c r="K3842" s="3">
        <f>I3842-J3842</f>
        <v>1</v>
      </c>
      <c r="L3842" s="3" t="str">
        <f>IF(K3842&lt;-5,"CRÍTICO",IF(K3842&lt;0,"ATENÇÃO",IF(K3842&lt;=5,"OPORTUNO","MUITO BOM")))</f>
        <v>OPORTUNO</v>
      </c>
      <c r="M3842">
        <v>28</v>
      </c>
      <c r="N3842">
        <v>100</v>
      </c>
      <c r="O3842">
        <v>23.9870340356564</v>
      </c>
    </row>
    <row r="3843" spans="1:15" hidden="1" x14ac:dyDescent="0.25">
      <c r="A3843" s="11">
        <v>46121</v>
      </c>
      <c r="B3843" t="s">
        <v>44</v>
      </c>
      <c r="C3843" t="s">
        <v>32</v>
      </c>
      <c r="D3843">
        <v>30</v>
      </c>
      <c r="E3843">
        <v>30</v>
      </c>
      <c r="F3843">
        <v>19.03</v>
      </c>
      <c r="G3843">
        <v>0</v>
      </c>
      <c r="H3843">
        <v>0</v>
      </c>
      <c r="I3843" s="3">
        <f>E3843+G3843+H3843</f>
        <v>30</v>
      </c>
      <c r="J3843" s="3">
        <f>ROUND(MIN(IF(C3843="Técnico III",35,IF(C3843="Técnico II",28,IF(C3843="Técnico I",23,IF(C3843="JR",20,IF(C3843="Estágio",10,0))))),IF(C3843="Técnico III",SUMIFS($D:$D,$A:$A,$A3843,$B:$B,"&lt;&gt;Patrícia Karla de Sousa Araújo",$B:$B,"&lt;&gt;Lorena Dias de Araujo",$B:$B,"&lt;&gt;Lucas Luiz Romero")*(35/1083),IF(C3843="Técnico II",SUMIFS($D:$D,$A:$A,$A3843,$B:$B,"&lt;&gt;Patrícia Karla de Sousa Araújo",$B:$B,"&lt;&gt;Lorena Dias de Araujo",$B:$B,"&lt;&gt;Lucas Luiz Romero")*(28/1083),IF(C3843="Técnico I",SUMIFS($D:$D,$A:$A,$A3843,$B:$B,"&lt;&gt;Patrícia Karla de Sousa Araújo",$B:$B,"&lt;&gt;Lorena Dias de Araujo",$B:$B,"&lt;&gt;Lucas Luiz Romero")*(23/1083),IF(C3843="JR",SUMIFS($D:$D,$A:$A,$A3843,$B:$B,"&lt;&gt;Patrícia Karla de Sousa Araújo",$B:$B,"&lt;&gt;Lorena Dias de Araujo",$B:$B,"&lt;&gt;Lucas Luiz Romero")*(20/1083),IF(C3843="Estágio",SUMIFS($D:$D,$A:$A,$A3843,$B:$B,"&lt;&gt;Patrícia Karla de Sousa Araújo",$B:$B,"&lt;&gt;Lorena Dias de Araujo",$B:$B,"&lt;&gt;Lucas Luiz Romero")*(10/1083),0)))))),0)</f>
        <v>26</v>
      </c>
      <c r="K3843" s="3">
        <f>I3843-J3843</f>
        <v>4</v>
      </c>
      <c r="L3843" s="3" t="str">
        <f>IF(K3843&lt;-5,"CRÍTICO",IF(K3843&lt;0,"ATENÇÃO",IF(K3843&lt;=5,"OPORTUNO","MUITO BOM")))</f>
        <v>OPORTUNO</v>
      </c>
      <c r="M3843">
        <v>27</v>
      </c>
      <c r="N3843">
        <v>95.49</v>
      </c>
      <c r="O3843">
        <v>28.370221327967808</v>
      </c>
    </row>
    <row r="3844" spans="1:15" hidden="1" x14ac:dyDescent="0.25">
      <c r="A3844" s="11">
        <v>46121</v>
      </c>
      <c r="B3844" t="s">
        <v>20</v>
      </c>
      <c r="C3844" t="s">
        <v>16</v>
      </c>
      <c r="D3844">
        <v>13</v>
      </c>
      <c r="E3844">
        <v>12</v>
      </c>
      <c r="F3844">
        <v>24.15</v>
      </c>
      <c r="G3844">
        <v>0</v>
      </c>
      <c r="H3844">
        <v>0</v>
      </c>
      <c r="I3844" s="3">
        <f>E3844+G3844+H3844</f>
        <v>12</v>
      </c>
      <c r="J3844" s="3">
        <f>ROUND(MIN(IF(C3844="Técnico III",35,IF(C3844="Técnico II",28,IF(C3844="Técnico I",23,IF(C3844="JR",20,IF(C3844="Estágio",10,0))))),IF(C3844="Técnico III",SUMIFS($D:$D,$A:$A,$A3844,$B:$B,"&lt;&gt;Patrícia Karla de Sousa Araújo",$B:$B,"&lt;&gt;Lorena Dias de Araujo",$B:$B,"&lt;&gt;Lucas Luiz Romero")*(35/1083),IF(C3844="Técnico II",SUMIFS($D:$D,$A:$A,$A3844,$B:$B,"&lt;&gt;Patrícia Karla de Sousa Araújo",$B:$B,"&lt;&gt;Lorena Dias de Araujo",$B:$B,"&lt;&gt;Lucas Luiz Romero")*(28/1083),IF(C3844="Técnico I",SUMIFS($D:$D,$A:$A,$A3844,$B:$B,"&lt;&gt;Patrícia Karla de Sousa Araújo",$B:$B,"&lt;&gt;Lorena Dias de Araujo",$B:$B,"&lt;&gt;Lucas Luiz Romero")*(23/1083),IF(C3844="JR",SUMIFS($D:$D,$A:$A,$A3844,$B:$B,"&lt;&gt;Patrícia Karla de Sousa Araújo",$B:$B,"&lt;&gt;Lorena Dias de Araujo",$B:$B,"&lt;&gt;Lucas Luiz Romero")*(20/1083),IF(C3844="Estágio",SUMIFS($D:$D,$A:$A,$A3844,$B:$B,"&lt;&gt;Patrícia Karla de Sousa Araújo",$B:$B,"&lt;&gt;Lorena Dias de Araujo",$B:$B,"&lt;&gt;Lucas Luiz Romero")*(10/1083),0)))))),0)</f>
        <v>7</v>
      </c>
      <c r="K3844" s="3">
        <f>I3844-J3844</f>
        <v>5</v>
      </c>
      <c r="L3844" s="3" t="str">
        <f>IF(K3844&lt;-5,"CRÍTICO",IF(K3844&lt;0,"ATENÇÃO",IF(K3844&lt;=5,"OPORTUNO","MUITO BOM")))</f>
        <v>OPORTUNO</v>
      </c>
      <c r="M3844">
        <v>8</v>
      </c>
      <c r="N3844">
        <v>100</v>
      </c>
      <c r="O3844">
        <v>23.77622377622378</v>
      </c>
    </row>
    <row r="3845" spans="1:15" hidden="1" x14ac:dyDescent="0.25">
      <c r="A3845" s="11">
        <v>46121</v>
      </c>
      <c r="B3845" t="s">
        <v>28</v>
      </c>
      <c r="C3845" t="s">
        <v>26</v>
      </c>
      <c r="D3845">
        <v>17</v>
      </c>
      <c r="E3845">
        <v>15</v>
      </c>
      <c r="F3845">
        <v>22.32</v>
      </c>
      <c r="G3845">
        <v>0</v>
      </c>
      <c r="H3845">
        <v>0</v>
      </c>
      <c r="I3845" s="3">
        <f>E3845+G3845+H3845</f>
        <v>15</v>
      </c>
      <c r="J3845" s="3">
        <f>ROUND(MIN(IF(C3845="Técnico III",35,IF(C3845="Técnico II",28,IF(C3845="Técnico I",23,IF(C3845="JR",20,IF(C3845="Estágio",10,0))))),IF(C3845="Técnico III",SUMIFS($D:$D,$A:$A,$A3845,$B:$B,"&lt;&gt;Patrícia Karla de Sousa Araújo",$B:$B,"&lt;&gt;Lorena Dias de Araujo",$B:$B,"&lt;&gt;Lucas Luiz Romero")*(35/1083),IF(C3845="Técnico II",SUMIFS($D:$D,$A:$A,$A3845,$B:$B,"&lt;&gt;Patrícia Karla de Sousa Araújo",$B:$B,"&lt;&gt;Lorena Dias de Araujo",$B:$B,"&lt;&gt;Lucas Luiz Romero")*(28/1083),IF(C3845="Técnico I",SUMIFS($D:$D,$A:$A,$A3845,$B:$B,"&lt;&gt;Patrícia Karla de Sousa Araújo",$B:$B,"&lt;&gt;Lorena Dias de Araujo",$B:$B,"&lt;&gt;Lucas Luiz Romero")*(23/1083),IF(C3845="JR",SUMIFS($D:$D,$A:$A,$A3845,$B:$B,"&lt;&gt;Patrícia Karla de Sousa Araújo",$B:$B,"&lt;&gt;Lorena Dias de Araujo",$B:$B,"&lt;&gt;Lucas Luiz Romero")*(20/1083),IF(C3845="Estágio",SUMIFS($D:$D,$A:$A,$A3845,$B:$B,"&lt;&gt;Patrícia Karla de Sousa Araújo",$B:$B,"&lt;&gt;Lorena Dias de Araujo",$B:$B,"&lt;&gt;Lucas Luiz Romero")*(10/1083),0)))))),0)</f>
        <v>15</v>
      </c>
      <c r="K3845" s="3">
        <f>I3845-J3845</f>
        <v>0</v>
      </c>
      <c r="L3845" s="3" t="str">
        <f>IF(K3845&lt;-5,"CRÍTICO",IF(K3845&lt;0,"ATENÇÃO",IF(K3845&lt;=5,"OPORTUNO","MUITO BOM")))</f>
        <v>OPORTUNO</v>
      </c>
      <c r="M3845">
        <v>12</v>
      </c>
      <c r="N3845">
        <v>96.15</v>
      </c>
      <c r="O3845">
        <v>24.045801526717561</v>
      </c>
    </row>
    <row r="3846" spans="1:15" hidden="1" x14ac:dyDescent="0.25">
      <c r="A3846" s="11">
        <v>46121</v>
      </c>
      <c r="B3846" t="s">
        <v>58</v>
      </c>
      <c r="C3846" t="s">
        <v>48</v>
      </c>
      <c r="D3846">
        <v>25</v>
      </c>
      <c r="E3846">
        <v>25</v>
      </c>
      <c r="F3846">
        <v>19.149999999999999</v>
      </c>
      <c r="G3846">
        <v>0</v>
      </c>
      <c r="H3846">
        <v>0</v>
      </c>
      <c r="I3846" s="3">
        <f>E3846+G3846+H3846</f>
        <v>25</v>
      </c>
      <c r="J3846" s="3">
        <f>ROUND(MIN(IF(C3846="Técnico III",35,IF(C3846="Técnico II",28,IF(C3846="Técnico I",23,IF(C3846="JR",20,IF(C3846="Estágio",10,0))))),IF(C3846="Técnico III",SUMIFS($D:$D,$A:$A,$A3846,$B:$B,"&lt;&gt;Patrícia Karla de Sousa Araújo",$B:$B,"&lt;&gt;Lorena Dias de Araujo",$B:$B,"&lt;&gt;Lucas Luiz Romero")*(35/1083),IF(C3846="Técnico II",SUMIFS($D:$D,$A:$A,$A3846,$B:$B,"&lt;&gt;Patrícia Karla de Sousa Araújo",$B:$B,"&lt;&gt;Lorena Dias de Araujo",$B:$B,"&lt;&gt;Lucas Luiz Romero")*(28/1083),IF(C3846="Técnico I",SUMIFS($D:$D,$A:$A,$A3846,$B:$B,"&lt;&gt;Patrícia Karla de Sousa Araújo",$B:$B,"&lt;&gt;Lorena Dias de Araujo",$B:$B,"&lt;&gt;Lucas Luiz Romero")*(23/1083),IF(C3846="JR",SUMIFS($D:$D,$A:$A,$A3846,$B:$B,"&lt;&gt;Patrícia Karla de Sousa Araújo",$B:$B,"&lt;&gt;Lorena Dias de Araujo",$B:$B,"&lt;&gt;Lucas Luiz Romero")*(20/1083),IF(C3846="Estágio",SUMIFS($D:$D,$A:$A,$A3846,$B:$B,"&lt;&gt;Patrícia Karla de Sousa Araújo",$B:$B,"&lt;&gt;Lorena Dias de Araujo",$B:$B,"&lt;&gt;Lucas Luiz Romero")*(10/1083),0)))))),0)</f>
        <v>21</v>
      </c>
      <c r="K3846" s="3">
        <f>I3846-J3846</f>
        <v>4</v>
      </c>
      <c r="L3846" s="3" t="str">
        <f>IF(K3846&lt;-5,"CRÍTICO",IF(K3846&lt;0,"ATENÇÃO",IF(K3846&lt;=5,"OPORTUNO","MUITO BOM")))</f>
        <v>OPORTUNO</v>
      </c>
      <c r="M3846">
        <v>22</v>
      </c>
      <c r="N3846">
        <v>99.02</v>
      </c>
      <c r="O3846">
        <v>34.797297297297298</v>
      </c>
    </row>
    <row r="3847" spans="1:15" hidden="1" x14ac:dyDescent="0.25">
      <c r="A3847" s="11">
        <v>46121</v>
      </c>
      <c r="B3847" t="s">
        <v>29</v>
      </c>
      <c r="C3847" t="s">
        <v>26</v>
      </c>
      <c r="D3847">
        <v>19</v>
      </c>
      <c r="E3847">
        <v>18</v>
      </c>
      <c r="F3847">
        <v>18.41</v>
      </c>
      <c r="G3847">
        <v>0</v>
      </c>
      <c r="H3847">
        <v>0</v>
      </c>
      <c r="I3847" s="3">
        <f>E3847+G3847+H3847</f>
        <v>18</v>
      </c>
      <c r="J3847" s="3">
        <f>ROUND(MIN(IF(C3847="Técnico III",35,IF(C3847="Técnico II",28,IF(C3847="Técnico I",23,IF(C3847="JR",20,IF(C3847="Estágio",10,0))))),IF(C3847="Técnico III",SUMIFS($D:$D,$A:$A,$A3847,$B:$B,"&lt;&gt;Patrícia Karla de Sousa Araújo",$B:$B,"&lt;&gt;Lorena Dias de Araujo",$B:$B,"&lt;&gt;Lucas Luiz Romero")*(35/1083),IF(C3847="Técnico II",SUMIFS($D:$D,$A:$A,$A3847,$B:$B,"&lt;&gt;Patrícia Karla de Sousa Araújo",$B:$B,"&lt;&gt;Lorena Dias de Araujo",$B:$B,"&lt;&gt;Lucas Luiz Romero")*(28/1083),IF(C3847="Técnico I",SUMIFS($D:$D,$A:$A,$A3847,$B:$B,"&lt;&gt;Patrícia Karla de Sousa Araújo",$B:$B,"&lt;&gt;Lorena Dias de Araujo",$B:$B,"&lt;&gt;Lucas Luiz Romero")*(23/1083),IF(C3847="JR",SUMIFS($D:$D,$A:$A,$A3847,$B:$B,"&lt;&gt;Patrícia Karla de Sousa Araújo",$B:$B,"&lt;&gt;Lorena Dias de Araujo",$B:$B,"&lt;&gt;Lucas Luiz Romero")*(20/1083),IF(C3847="Estágio",SUMIFS($D:$D,$A:$A,$A3847,$B:$B,"&lt;&gt;Patrícia Karla de Sousa Araújo",$B:$B,"&lt;&gt;Lorena Dias de Araujo",$B:$B,"&lt;&gt;Lucas Luiz Romero")*(10/1083),0)))))),0)</f>
        <v>15</v>
      </c>
      <c r="K3847" s="3">
        <f>I3847-J3847</f>
        <v>3</v>
      </c>
      <c r="L3847" s="3" t="str">
        <f>IF(K3847&lt;-5,"CRÍTICO",IF(K3847&lt;0,"ATENÇÃO",IF(K3847&lt;=5,"OPORTUNO","MUITO BOM")))</f>
        <v>OPORTUNO</v>
      </c>
      <c r="M3847">
        <v>12</v>
      </c>
      <c r="N3847">
        <v>98.84</v>
      </c>
      <c r="O3847">
        <v>31.868131868131869</v>
      </c>
    </row>
    <row r="3848" spans="1:15" hidden="1" x14ac:dyDescent="0.25">
      <c r="A3848" s="11">
        <v>46121</v>
      </c>
      <c r="B3848" t="s">
        <v>30</v>
      </c>
      <c r="C3848" t="s">
        <v>26</v>
      </c>
      <c r="D3848">
        <v>21</v>
      </c>
      <c r="E3848">
        <v>21</v>
      </c>
      <c r="F3848">
        <v>18.48</v>
      </c>
      <c r="G3848">
        <v>0</v>
      </c>
      <c r="H3848">
        <v>0</v>
      </c>
      <c r="I3848" s="3">
        <f>E3848+G3848+H3848</f>
        <v>21</v>
      </c>
      <c r="J3848" s="3">
        <f>ROUND(MIN(IF(C3848="Técnico III",35,IF(C3848="Técnico II",28,IF(C3848="Técnico I",23,IF(C3848="JR",20,IF(C3848="Estágio",10,0))))),IF(C3848="Técnico III",SUMIFS($D:$D,$A:$A,$A3848,$B:$B,"&lt;&gt;Patrícia Karla de Sousa Araújo",$B:$B,"&lt;&gt;Lorena Dias de Araujo",$B:$B,"&lt;&gt;Lucas Luiz Romero")*(35/1083),IF(C3848="Técnico II",SUMIFS($D:$D,$A:$A,$A3848,$B:$B,"&lt;&gt;Patrícia Karla de Sousa Araújo",$B:$B,"&lt;&gt;Lorena Dias de Araujo",$B:$B,"&lt;&gt;Lucas Luiz Romero")*(28/1083),IF(C3848="Técnico I",SUMIFS($D:$D,$A:$A,$A3848,$B:$B,"&lt;&gt;Patrícia Karla de Sousa Araújo",$B:$B,"&lt;&gt;Lorena Dias de Araujo",$B:$B,"&lt;&gt;Lucas Luiz Romero")*(23/1083),IF(C3848="JR",SUMIFS($D:$D,$A:$A,$A3848,$B:$B,"&lt;&gt;Patrícia Karla de Sousa Araújo",$B:$B,"&lt;&gt;Lorena Dias de Araujo",$B:$B,"&lt;&gt;Lucas Luiz Romero")*(20/1083),IF(C3848="Estágio",SUMIFS($D:$D,$A:$A,$A3848,$B:$B,"&lt;&gt;Patrícia Karla de Sousa Araújo",$B:$B,"&lt;&gt;Lorena Dias de Araujo",$B:$B,"&lt;&gt;Lucas Luiz Romero")*(10/1083),0)))))),0)</f>
        <v>15</v>
      </c>
      <c r="K3848" s="3">
        <f>I3848-J3848</f>
        <v>6</v>
      </c>
      <c r="L3848" s="3" t="str">
        <f>IF(K3848&lt;-5,"CRÍTICO",IF(K3848&lt;0,"ATENÇÃO",IF(K3848&lt;=5,"OPORTUNO","MUITO BOM")))</f>
        <v>MUITO BOM</v>
      </c>
      <c r="M3848">
        <v>18</v>
      </c>
      <c r="N3848">
        <v>100</v>
      </c>
      <c r="O3848">
        <v>34.666666666666671</v>
      </c>
    </row>
    <row r="3849" spans="1:15" hidden="1" x14ac:dyDescent="0.25">
      <c r="A3849" s="11">
        <v>46121</v>
      </c>
      <c r="B3849" t="s">
        <v>21</v>
      </c>
      <c r="C3849" t="s">
        <v>16</v>
      </c>
      <c r="D3849">
        <v>6</v>
      </c>
      <c r="E3849">
        <v>6</v>
      </c>
      <c r="F3849">
        <v>27.12</v>
      </c>
      <c r="G3849">
        <v>0</v>
      </c>
      <c r="H3849">
        <v>0</v>
      </c>
      <c r="I3849" s="3">
        <f>E3849+G3849+H3849</f>
        <v>6</v>
      </c>
      <c r="J3849" s="3">
        <f>ROUND(MIN(IF(C3849="Técnico III",35,IF(C3849="Técnico II",28,IF(C3849="Técnico I",23,IF(C3849="JR",20,IF(C3849="Estágio",10,0))))),IF(C3849="Técnico III",SUMIFS($D:$D,$A:$A,$A3849,$B:$B,"&lt;&gt;Patrícia Karla de Sousa Araújo",$B:$B,"&lt;&gt;Lorena Dias de Araujo",$B:$B,"&lt;&gt;Lucas Luiz Romero")*(35/1083),IF(C3849="Técnico II",SUMIFS($D:$D,$A:$A,$A3849,$B:$B,"&lt;&gt;Patrícia Karla de Sousa Araújo",$B:$B,"&lt;&gt;Lorena Dias de Araujo",$B:$B,"&lt;&gt;Lucas Luiz Romero")*(28/1083),IF(C3849="Técnico I",SUMIFS($D:$D,$A:$A,$A3849,$B:$B,"&lt;&gt;Patrícia Karla de Sousa Araújo",$B:$B,"&lt;&gt;Lorena Dias de Araujo",$B:$B,"&lt;&gt;Lucas Luiz Romero")*(23/1083),IF(C3849="JR",SUMIFS($D:$D,$A:$A,$A3849,$B:$B,"&lt;&gt;Patrícia Karla de Sousa Araújo",$B:$B,"&lt;&gt;Lorena Dias de Araujo",$B:$B,"&lt;&gt;Lucas Luiz Romero")*(20/1083),IF(C3849="Estágio",SUMIFS($D:$D,$A:$A,$A3849,$B:$B,"&lt;&gt;Patrícia Karla de Sousa Araújo",$B:$B,"&lt;&gt;Lorena Dias de Araujo",$B:$B,"&lt;&gt;Lucas Luiz Romero")*(10/1083),0)))))),0)</f>
        <v>7</v>
      </c>
      <c r="K3849" s="3">
        <f>I3849-J3849</f>
        <v>-1</v>
      </c>
      <c r="L3849" s="3" t="str">
        <f>IF(K3849&lt;-5,"CRÍTICO",IF(K3849&lt;0,"ATENÇÃO",IF(K3849&lt;=5,"OPORTUNO","MUITO BOM")))</f>
        <v>ATENÇÃO</v>
      </c>
      <c r="M3849">
        <v>4</v>
      </c>
      <c r="N3849">
        <v>94.12</v>
      </c>
      <c r="O3849">
        <v>32.799999999999997</v>
      </c>
    </row>
    <row r="3850" spans="1:15" hidden="1" x14ac:dyDescent="0.25">
      <c r="A3850" s="11">
        <v>46121</v>
      </c>
      <c r="B3850" t="s">
        <v>63</v>
      </c>
      <c r="C3850" t="s">
        <v>23</v>
      </c>
      <c r="D3850">
        <v>33</v>
      </c>
      <c r="E3850">
        <v>31</v>
      </c>
      <c r="F3850">
        <v>12.37</v>
      </c>
      <c r="G3850">
        <v>0</v>
      </c>
      <c r="H3850">
        <v>0</v>
      </c>
      <c r="I3850" s="3">
        <f>E3850+G3850+H3850</f>
        <v>31</v>
      </c>
      <c r="J3850" s="3">
        <f>ROUND(MIN(IF(C3850="Técnico III",35,IF(C3850="Técnico II",28,IF(C3850="Técnico I",23,IF(C3850="JR",20,IF(C3850="Estágio",10,0))))),IF(C3850="Técnico III",SUMIFS($D:$D,$A:$A,$A3850,$B:$B,"&lt;&gt;Patrícia Karla de Sousa Araújo",$B:$B,"&lt;&gt;Lorena Dias de Araujo",$B:$B,"&lt;&gt;Lucas Luiz Romero")*(35/1083),IF(C3850="Técnico II",SUMIFS($D:$D,$A:$A,$A3850,$B:$B,"&lt;&gt;Patrícia Karla de Sousa Araújo",$B:$B,"&lt;&gt;Lorena Dias de Araujo",$B:$B,"&lt;&gt;Lucas Luiz Romero")*(28/1083),IF(C3850="Técnico I",SUMIFS($D:$D,$A:$A,$A3850,$B:$B,"&lt;&gt;Patrícia Karla de Sousa Araújo",$B:$B,"&lt;&gt;Lorena Dias de Araujo",$B:$B,"&lt;&gt;Lucas Luiz Romero")*(23/1083),IF(C3850="JR",SUMIFS($D:$D,$A:$A,$A3850,$B:$B,"&lt;&gt;Patrícia Karla de Sousa Araújo",$B:$B,"&lt;&gt;Lorena Dias de Araujo",$B:$B,"&lt;&gt;Lucas Luiz Romero")*(20/1083),IF(C3850="Estágio",SUMIFS($D:$D,$A:$A,$A3850,$B:$B,"&lt;&gt;Patrícia Karla de Sousa Araújo",$B:$B,"&lt;&gt;Lorena Dias de Araujo",$B:$B,"&lt;&gt;Lucas Luiz Romero")*(10/1083),0)))))),0)</f>
        <v>17</v>
      </c>
      <c r="K3850" s="3">
        <f>I3850-J3850</f>
        <v>14</v>
      </c>
      <c r="L3850" s="3" t="str">
        <f>IF(K3850&lt;-5,"CRÍTICO",IF(K3850&lt;0,"ATENÇÃO",IF(K3850&lt;=5,"OPORTUNO","MUITO BOM")))</f>
        <v>MUITO BOM</v>
      </c>
      <c r="M3850">
        <v>24</v>
      </c>
      <c r="N3850">
        <v>98.32</v>
      </c>
      <c r="O3850">
        <v>26.858513189448441</v>
      </c>
    </row>
    <row r="3851" spans="1:15" hidden="1" x14ac:dyDescent="0.25">
      <c r="A3851" s="11">
        <v>46121</v>
      </c>
      <c r="B3851" t="s">
        <v>45</v>
      </c>
      <c r="C3851" t="s">
        <v>32</v>
      </c>
      <c r="D3851">
        <v>35</v>
      </c>
      <c r="E3851">
        <v>30</v>
      </c>
      <c r="F3851">
        <v>12.16</v>
      </c>
      <c r="G3851">
        <v>0</v>
      </c>
      <c r="H3851">
        <v>0</v>
      </c>
      <c r="I3851" s="3">
        <f>E3851+G3851+H3851</f>
        <v>30</v>
      </c>
      <c r="J3851" s="3">
        <f>ROUND(MIN(IF(C3851="Técnico III",35,IF(C3851="Técnico II",28,IF(C3851="Técnico I",23,IF(C3851="JR",20,IF(C3851="Estágio",10,0))))),IF(C3851="Técnico III",SUMIFS($D:$D,$A:$A,$A3851,$B:$B,"&lt;&gt;Patrícia Karla de Sousa Araújo",$B:$B,"&lt;&gt;Lorena Dias de Araujo",$B:$B,"&lt;&gt;Lucas Luiz Romero")*(35/1083),IF(C3851="Técnico II",SUMIFS($D:$D,$A:$A,$A3851,$B:$B,"&lt;&gt;Patrícia Karla de Sousa Araújo",$B:$B,"&lt;&gt;Lorena Dias de Araujo",$B:$B,"&lt;&gt;Lucas Luiz Romero")*(28/1083),IF(C3851="Técnico I",SUMIFS($D:$D,$A:$A,$A3851,$B:$B,"&lt;&gt;Patrícia Karla de Sousa Araújo",$B:$B,"&lt;&gt;Lorena Dias de Araujo",$B:$B,"&lt;&gt;Lucas Luiz Romero")*(23/1083),IF(C3851="JR",SUMIFS($D:$D,$A:$A,$A3851,$B:$B,"&lt;&gt;Patrícia Karla de Sousa Araújo",$B:$B,"&lt;&gt;Lorena Dias de Araujo",$B:$B,"&lt;&gt;Lucas Luiz Romero")*(20/1083),IF(C3851="Estágio",SUMIFS($D:$D,$A:$A,$A3851,$B:$B,"&lt;&gt;Patrícia Karla de Sousa Araújo",$B:$B,"&lt;&gt;Lorena Dias de Araujo",$B:$B,"&lt;&gt;Lucas Luiz Romero")*(10/1083),0)))))),0)</f>
        <v>26</v>
      </c>
      <c r="K3851" s="3">
        <f>I3851-J3851</f>
        <v>4</v>
      </c>
      <c r="L3851" s="3" t="str">
        <f>IF(K3851&lt;-5,"CRÍTICO",IF(K3851&lt;0,"ATENÇÃO",IF(K3851&lt;=5,"OPORTUNO","MUITO BOM")))</f>
        <v>OPORTUNO</v>
      </c>
      <c r="M3851">
        <v>30</v>
      </c>
      <c r="N3851">
        <v>100</v>
      </c>
      <c r="O3851">
        <v>31.135531135531139</v>
      </c>
    </row>
    <row r="3852" spans="1:15" hidden="1" x14ac:dyDescent="0.25">
      <c r="A3852" s="11">
        <v>46121</v>
      </c>
      <c r="B3852" t="s">
        <v>64</v>
      </c>
      <c r="C3852" t="s">
        <v>23</v>
      </c>
      <c r="D3852">
        <v>15</v>
      </c>
      <c r="E3852">
        <v>15</v>
      </c>
      <c r="F3852">
        <v>29.1</v>
      </c>
      <c r="G3852">
        <v>0</v>
      </c>
      <c r="H3852">
        <v>0</v>
      </c>
      <c r="I3852" s="3">
        <f>E3852+G3852+H3852</f>
        <v>15</v>
      </c>
      <c r="J3852" s="3">
        <f>ROUND(MIN(IF(C3852="Técnico III",35,IF(C3852="Técnico II",28,IF(C3852="Técnico I",23,IF(C3852="JR",20,IF(C3852="Estágio",10,0))))),IF(C3852="Técnico III",SUMIFS($D:$D,$A:$A,$A3852,$B:$B,"&lt;&gt;Patrícia Karla de Sousa Araújo",$B:$B,"&lt;&gt;Lorena Dias de Araujo",$B:$B,"&lt;&gt;Lucas Luiz Romero")*(35/1083),IF(C3852="Técnico II",SUMIFS($D:$D,$A:$A,$A3852,$B:$B,"&lt;&gt;Patrícia Karla de Sousa Araújo",$B:$B,"&lt;&gt;Lorena Dias de Araujo",$B:$B,"&lt;&gt;Lucas Luiz Romero")*(28/1083),IF(C3852="Técnico I",SUMIFS($D:$D,$A:$A,$A3852,$B:$B,"&lt;&gt;Patrícia Karla de Sousa Araújo",$B:$B,"&lt;&gt;Lorena Dias de Araujo",$B:$B,"&lt;&gt;Lucas Luiz Romero")*(23/1083),IF(C3852="JR",SUMIFS($D:$D,$A:$A,$A3852,$B:$B,"&lt;&gt;Patrícia Karla de Sousa Araújo",$B:$B,"&lt;&gt;Lorena Dias de Araujo",$B:$B,"&lt;&gt;Lucas Luiz Romero")*(20/1083),IF(C3852="Estágio",SUMIFS($D:$D,$A:$A,$A3852,$B:$B,"&lt;&gt;Patrícia Karla de Sousa Araújo",$B:$B,"&lt;&gt;Lorena Dias de Araujo",$B:$B,"&lt;&gt;Lucas Luiz Romero")*(10/1083),0)))))),0)</f>
        <v>17</v>
      </c>
      <c r="K3852" s="3">
        <f>I3852-J3852</f>
        <v>-2</v>
      </c>
      <c r="L3852" s="3" t="str">
        <f>IF(K3852&lt;-5,"CRÍTICO",IF(K3852&lt;0,"ATENÇÃO",IF(K3852&lt;=5,"OPORTUNO","MUITO BOM")))</f>
        <v>ATENÇÃO</v>
      </c>
      <c r="M3852">
        <v>17</v>
      </c>
      <c r="N3852">
        <v>100</v>
      </c>
      <c r="O3852">
        <v>26.36986301369863</v>
      </c>
    </row>
    <row r="3853" spans="1:15" hidden="1" x14ac:dyDescent="0.25">
      <c r="A3853" s="11">
        <v>46121</v>
      </c>
      <c r="B3853" t="s">
        <v>46</v>
      </c>
      <c r="C3853" t="s">
        <v>32</v>
      </c>
      <c r="D3853">
        <v>31</v>
      </c>
      <c r="E3853">
        <v>30</v>
      </c>
      <c r="F3853">
        <v>18.28</v>
      </c>
      <c r="G3853">
        <v>0</v>
      </c>
      <c r="H3853">
        <v>0</v>
      </c>
      <c r="I3853" s="3">
        <f>E3853+G3853+H3853</f>
        <v>30</v>
      </c>
      <c r="J3853" s="3">
        <f>ROUND(MIN(IF(C3853="Técnico III",35,IF(C3853="Técnico II",28,IF(C3853="Técnico I",23,IF(C3853="JR",20,IF(C3853="Estágio",10,0))))),IF(C3853="Técnico III",SUMIFS($D:$D,$A:$A,$A3853,$B:$B,"&lt;&gt;Patrícia Karla de Sousa Araújo",$B:$B,"&lt;&gt;Lorena Dias de Araujo",$B:$B,"&lt;&gt;Lucas Luiz Romero")*(35/1083),IF(C3853="Técnico II",SUMIFS($D:$D,$A:$A,$A3853,$B:$B,"&lt;&gt;Patrícia Karla de Sousa Araújo",$B:$B,"&lt;&gt;Lorena Dias de Araujo",$B:$B,"&lt;&gt;Lucas Luiz Romero")*(28/1083),IF(C3853="Técnico I",SUMIFS($D:$D,$A:$A,$A3853,$B:$B,"&lt;&gt;Patrícia Karla de Sousa Araújo",$B:$B,"&lt;&gt;Lorena Dias de Araujo",$B:$B,"&lt;&gt;Lucas Luiz Romero")*(23/1083),IF(C3853="JR",SUMIFS($D:$D,$A:$A,$A3853,$B:$B,"&lt;&gt;Patrícia Karla de Sousa Araújo",$B:$B,"&lt;&gt;Lorena Dias de Araujo",$B:$B,"&lt;&gt;Lucas Luiz Romero")*(20/1083),IF(C3853="Estágio",SUMIFS($D:$D,$A:$A,$A3853,$B:$B,"&lt;&gt;Patrícia Karla de Sousa Araújo",$B:$B,"&lt;&gt;Lorena Dias de Araujo",$B:$B,"&lt;&gt;Lucas Luiz Romero")*(10/1083),0)))))),0)</f>
        <v>26</v>
      </c>
      <c r="K3853" s="3">
        <f>I3853-J3853</f>
        <v>4</v>
      </c>
      <c r="L3853" s="3" t="str">
        <f>IF(K3853&lt;-5,"CRÍTICO",IF(K3853&lt;0,"ATENÇÃO",IF(K3853&lt;=5,"OPORTUNO","MUITO BOM")))</f>
        <v>OPORTUNO</v>
      </c>
      <c r="M3853">
        <v>23</v>
      </c>
      <c r="N3853">
        <v>99.21</v>
      </c>
      <c r="O3853">
        <v>25.188916876574311</v>
      </c>
    </row>
    <row r="3854" spans="1:15" hidden="1" x14ac:dyDescent="0.25">
      <c r="A3854" s="11">
        <v>46122</v>
      </c>
      <c r="B3854" t="s">
        <v>47</v>
      </c>
      <c r="C3854" t="s">
        <v>48</v>
      </c>
      <c r="D3854">
        <v>12</v>
      </c>
      <c r="E3854">
        <v>8</v>
      </c>
      <c r="F3854">
        <v>15.43</v>
      </c>
      <c r="G3854">
        <v>0</v>
      </c>
      <c r="H3854">
        <v>0</v>
      </c>
      <c r="I3854" s="3">
        <f>E3854+G3854+H3854</f>
        <v>8</v>
      </c>
      <c r="J3854" s="3">
        <f>ROUND(MIN(IF(C3854="Técnico III",35,IF(C3854="Técnico II",28,IF(C3854="Técnico I",23,IF(C3854="JR",20,IF(C3854="Estágio",10,0))))),IF(C3854="Técnico III",SUMIFS($D:$D,$A:$A,$A3854,$B:$B,"&lt;&gt;Patrícia Karla de Sousa Araújo",$B:$B,"&lt;&gt;Lorena Dias de Araujo",$B:$B,"&lt;&gt;Lucas Luiz Romero")*(35/1083),IF(C3854="Técnico II",SUMIFS($D:$D,$A:$A,$A3854,$B:$B,"&lt;&gt;Patrícia Karla de Sousa Araújo",$B:$B,"&lt;&gt;Lorena Dias de Araujo",$B:$B,"&lt;&gt;Lucas Luiz Romero")*(28/1083),IF(C3854="Técnico I",SUMIFS($D:$D,$A:$A,$A3854,$B:$B,"&lt;&gt;Patrícia Karla de Sousa Araújo",$B:$B,"&lt;&gt;Lorena Dias de Araujo",$B:$B,"&lt;&gt;Lucas Luiz Romero")*(23/1083),IF(C3854="JR",SUMIFS($D:$D,$A:$A,$A3854,$B:$B,"&lt;&gt;Patrícia Karla de Sousa Araújo",$B:$B,"&lt;&gt;Lorena Dias de Araujo",$B:$B,"&lt;&gt;Lucas Luiz Romero")*(20/1083),IF(C3854="Estágio",SUMIFS($D:$D,$A:$A,$A3854,$B:$B,"&lt;&gt;Patrícia Karla de Sousa Araújo",$B:$B,"&lt;&gt;Lorena Dias de Araujo",$B:$B,"&lt;&gt;Lucas Luiz Romero")*(10/1083),0)))))),0)</f>
        <v>21</v>
      </c>
      <c r="K3854" s="3">
        <f>I3854-J3854</f>
        <v>-13</v>
      </c>
      <c r="L3854" s="3" t="str">
        <f>IF(K3854&lt;-5,"CRÍTICO",IF(K3854&lt;0,"ATENÇÃO",IF(K3854&lt;=5,"OPORTUNO","MUITO BOM")))</f>
        <v>CRÍTICO</v>
      </c>
      <c r="M3854">
        <v>10</v>
      </c>
      <c r="N3854">
        <v>100</v>
      </c>
      <c r="O3854">
        <v>32.764505119453922</v>
      </c>
    </row>
    <row r="3855" spans="1:15" hidden="1" x14ac:dyDescent="0.25">
      <c r="A3855" s="11">
        <v>46122</v>
      </c>
      <c r="B3855" t="s">
        <v>31</v>
      </c>
      <c r="C3855" t="s">
        <v>32</v>
      </c>
      <c r="D3855">
        <v>0</v>
      </c>
      <c r="E3855">
        <v>0</v>
      </c>
      <c r="F3855">
        <v>0</v>
      </c>
      <c r="G3855">
        <v>0</v>
      </c>
      <c r="H3855">
        <v>0</v>
      </c>
      <c r="I3855" s="3">
        <v>0</v>
      </c>
      <c r="J3855" s="3">
        <v>0</v>
      </c>
      <c r="K3855" s="3">
        <v>0</v>
      </c>
      <c r="L3855" s="3" t="str">
        <f>IF(K3855&lt;-5,"CRÍTICO",IF(K3855&lt;0,"ATENÇÃO",IF(K3855&lt;=5,"OPORTUNO","MUITO BOM")))</f>
        <v>OPORTUNO</v>
      </c>
      <c r="M3855">
        <v>14</v>
      </c>
      <c r="N3855">
        <v>98.66</v>
      </c>
      <c r="O3855">
        <v>35.416666666666671</v>
      </c>
    </row>
    <row r="3856" spans="1:15" hidden="1" x14ac:dyDescent="0.25">
      <c r="A3856" s="11">
        <v>46122</v>
      </c>
      <c r="B3856" t="s">
        <v>59</v>
      </c>
      <c r="C3856" t="s">
        <v>23</v>
      </c>
      <c r="D3856">
        <v>34</v>
      </c>
      <c r="E3856">
        <v>34</v>
      </c>
      <c r="F3856">
        <v>18.239999999999998</v>
      </c>
      <c r="G3856">
        <v>0</v>
      </c>
      <c r="H3856">
        <v>0</v>
      </c>
      <c r="I3856" s="3">
        <f>E3856+G3856+H3856</f>
        <v>34</v>
      </c>
      <c r="J3856" s="3">
        <f>ROUND(MIN(IF(C3856="Técnico III",35,IF(C3856="Técnico II",28,IF(C3856="Técnico I",23,IF(C3856="JR",20,IF(C3856="Estágio",10,0))))),IF(C3856="Técnico III",SUMIFS($D:$D,$A:$A,$A3856,$B:$B,"&lt;&gt;Patrícia Karla de Sousa Araújo",$B:$B,"&lt;&gt;Lorena Dias de Araujo",$B:$B,"&lt;&gt;Lucas Luiz Romero")*(35/1083),IF(C3856="Técnico II",SUMIFS($D:$D,$A:$A,$A3856,$B:$B,"&lt;&gt;Patrícia Karla de Sousa Araújo",$B:$B,"&lt;&gt;Lorena Dias de Araujo",$B:$B,"&lt;&gt;Lucas Luiz Romero")*(28/1083),IF(C3856="Técnico I",SUMIFS($D:$D,$A:$A,$A3856,$B:$B,"&lt;&gt;Patrícia Karla de Sousa Araújo",$B:$B,"&lt;&gt;Lorena Dias de Araujo",$B:$B,"&lt;&gt;Lucas Luiz Romero")*(23/1083),IF(C3856="JR",SUMIFS($D:$D,$A:$A,$A3856,$B:$B,"&lt;&gt;Patrícia Karla de Sousa Araújo",$B:$B,"&lt;&gt;Lorena Dias de Araujo",$B:$B,"&lt;&gt;Lucas Luiz Romero")*(20/1083),IF(C3856="Estágio",SUMIFS($D:$D,$A:$A,$A3856,$B:$B,"&lt;&gt;Patrícia Karla de Sousa Araújo",$B:$B,"&lt;&gt;Lorena Dias de Araujo",$B:$B,"&lt;&gt;Lucas Luiz Romero")*(10/1083),0)))))),0)</f>
        <v>17</v>
      </c>
      <c r="K3856" s="3">
        <f>I3856-J3856</f>
        <v>17</v>
      </c>
      <c r="L3856" s="3" t="str">
        <f>IF(K3856&lt;-5,"CRÍTICO",IF(K3856&lt;0,"ATENÇÃO",IF(K3856&lt;=5,"OPORTUNO","MUITO BOM")))</f>
        <v>MUITO BOM</v>
      </c>
      <c r="M3856">
        <v>32</v>
      </c>
      <c r="N3856">
        <v>99.32</v>
      </c>
      <c r="O3856">
        <v>30.648330058939099</v>
      </c>
    </row>
    <row r="3857" spans="1:15" hidden="1" x14ac:dyDescent="0.25">
      <c r="A3857" s="11">
        <v>46122</v>
      </c>
      <c r="B3857" t="s">
        <v>33</v>
      </c>
      <c r="C3857" t="s">
        <v>32</v>
      </c>
      <c r="D3857">
        <v>35</v>
      </c>
      <c r="E3857">
        <v>31</v>
      </c>
      <c r="F3857">
        <v>14.08</v>
      </c>
      <c r="G3857">
        <v>0</v>
      </c>
      <c r="H3857">
        <v>0</v>
      </c>
      <c r="I3857" s="3">
        <f>E3857+G3857+H3857</f>
        <v>31</v>
      </c>
      <c r="J3857" s="3">
        <f>ROUND(MIN(IF(C3857="Técnico III",35,IF(C3857="Técnico II",28,IF(C3857="Técnico I",23,IF(C3857="JR",20,IF(C3857="Estágio",10,0))))),IF(C3857="Técnico III",SUMIFS($D:$D,$A:$A,$A3857,$B:$B,"&lt;&gt;Patrícia Karla de Sousa Araújo",$B:$B,"&lt;&gt;Lorena Dias de Araujo",$B:$B,"&lt;&gt;Lucas Luiz Romero")*(35/1083),IF(C3857="Técnico II",SUMIFS($D:$D,$A:$A,$A3857,$B:$B,"&lt;&gt;Patrícia Karla de Sousa Araújo",$B:$B,"&lt;&gt;Lorena Dias de Araujo",$B:$B,"&lt;&gt;Lucas Luiz Romero")*(28/1083),IF(C3857="Técnico I",SUMIFS($D:$D,$A:$A,$A3857,$B:$B,"&lt;&gt;Patrícia Karla de Sousa Araújo",$B:$B,"&lt;&gt;Lorena Dias de Araujo",$B:$B,"&lt;&gt;Lucas Luiz Romero")*(23/1083),IF(C3857="JR",SUMIFS($D:$D,$A:$A,$A3857,$B:$B,"&lt;&gt;Patrícia Karla de Sousa Araújo",$B:$B,"&lt;&gt;Lorena Dias de Araujo",$B:$B,"&lt;&gt;Lucas Luiz Romero")*(20/1083),IF(C3857="Estágio",SUMIFS($D:$D,$A:$A,$A3857,$B:$B,"&lt;&gt;Patrícia Karla de Sousa Araújo",$B:$B,"&lt;&gt;Lorena Dias de Araujo",$B:$B,"&lt;&gt;Lucas Luiz Romero")*(10/1083),0)))))),0)</f>
        <v>26</v>
      </c>
      <c r="K3857" s="3">
        <f>I3857-J3857</f>
        <v>5</v>
      </c>
      <c r="L3857" s="3" t="str">
        <f>IF(K3857&lt;-5,"CRÍTICO",IF(K3857&lt;0,"ATENÇÃO",IF(K3857&lt;=5,"OPORTUNO","MUITO BOM")))</f>
        <v>OPORTUNO</v>
      </c>
      <c r="M3857">
        <v>30</v>
      </c>
      <c r="N3857">
        <v>100</v>
      </c>
      <c r="O3857">
        <v>27.803738317757009</v>
      </c>
    </row>
    <row r="3858" spans="1:15" hidden="1" x14ac:dyDescent="0.25">
      <c r="A3858" s="11">
        <v>46122</v>
      </c>
      <c r="B3858" t="s">
        <v>15</v>
      </c>
      <c r="C3858" t="s">
        <v>16</v>
      </c>
      <c r="D3858">
        <v>14</v>
      </c>
      <c r="E3858">
        <v>14</v>
      </c>
      <c r="F3858">
        <v>18.22</v>
      </c>
      <c r="G3858">
        <v>0</v>
      </c>
      <c r="H3858">
        <v>0</v>
      </c>
      <c r="I3858" s="3">
        <f>E3858+G3858+H3858</f>
        <v>14</v>
      </c>
      <c r="J3858" s="3">
        <f>ROUND(MIN(IF(C3858="Técnico III",35,IF(C3858="Técnico II",28,IF(C3858="Técnico I",23,IF(C3858="JR",20,IF(C3858="Estágio",10,0))))),IF(C3858="Técnico III",SUMIFS($D:$D,$A:$A,$A3858,$B:$B,"&lt;&gt;Patrícia Karla de Sousa Araújo",$B:$B,"&lt;&gt;Lorena Dias de Araujo",$B:$B,"&lt;&gt;Lucas Luiz Romero")*(35/1083),IF(C3858="Técnico II",SUMIFS($D:$D,$A:$A,$A3858,$B:$B,"&lt;&gt;Patrícia Karla de Sousa Araújo",$B:$B,"&lt;&gt;Lorena Dias de Araujo",$B:$B,"&lt;&gt;Lucas Luiz Romero")*(28/1083),IF(C3858="Técnico I",SUMIFS($D:$D,$A:$A,$A3858,$B:$B,"&lt;&gt;Patrícia Karla de Sousa Araújo",$B:$B,"&lt;&gt;Lorena Dias de Araujo",$B:$B,"&lt;&gt;Lucas Luiz Romero")*(23/1083),IF(C3858="JR",SUMIFS($D:$D,$A:$A,$A3858,$B:$B,"&lt;&gt;Patrícia Karla de Sousa Araújo",$B:$B,"&lt;&gt;Lorena Dias de Araujo",$B:$B,"&lt;&gt;Lucas Luiz Romero")*(20/1083),IF(C3858="Estágio",SUMIFS($D:$D,$A:$A,$A3858,$B:$B,"&lt;&gt;Patrícia Karla de Sousa Araújo",$B:$B,"&lt;&gt;Lorena Dias de Araujo",$B:$B,"&lt;&gt;Lucas Luiz Romero")*(10/1083),0)))))),0)</f>
        <v>7</v>
      </c>
      <c r="K3858" s="3">
        <f>I3858-J3858</f>
        <v>7</v>
      </c>
      <c r="L3858" s="3" t="str">
        <f>IF(K3858&lt;-5,"CRÍTICO",IF(K3858&lt;0,"ATENÇÃO",IF(K3858&lt;=5,"OPORTUNO","MUITO BOM")))</f>
        <v>MUITO BOM</v>
      </c>
      <c r="M3858">
        <v>12</v>
      </c>
      <c r="N3858">
        <v>96.74</v>
      </c>
      <c r="O3858">
        <v>28.67647058823529</v>
      </c>
    </row>
    <row r="3859" spans="1:15" hidden="1" x14ac:dyDescent="0.25">
      <c r="A3859" s="11">
        <v>46122</v>
      </c>
      <c r="B3859" t="s">
        <v>49</v>
      </c>
      <c r="C3859" t="s">
        <v>48</v>
      </c>
      <c r="D3859">
        <v>33</v>
      </c>
      <c r="E3859">
        <v>32</v>
      </c>
      <c r="F3859">
        <v>15.01</v>
      </c>
      <c r="G3859">
        <v>0</v>
      </c>
      <c r="H3859">
        <v>0</v>
      </c>
      <c r="I3859" s="3">
        <f>E3859+G3859+H3859</f>
        <v>32</v>
      </c>
      <c r="J3859" s="3">
        <f>ROUND(MIN(IF(C3859="Técnico III",35,IF(C3859="Técnico II",28,IF(C3859="Técnico I",23,IF(C3859="JR",20,IF(C3859="Estágio",10,0))))),IF(C3859="Técnico III",SUMIFS($D:$D,$A:$A,$A3859,$B:$B,"&lt;&gt;Patrícia Karla de Sousa Araújo",$B:$B,"&lt;&gt;Lorena Dias de Araujo",$B:$B,"&lt;&gt;Lucas Luiz Romero")*(35/1083),IF(C3859="Técnico II",SUMIFS($D:$D,$A:$A,$A3859,$B:$B,"&lt;&gt;Patrícia Karla de Sousa Araújo",$B:$B,"&lt;&gt;Lorena Dias de Araujo",$B:$B,"&lt;&gt;Lucas Luiz Romero")*(28/1083),IF(C3859="Técnico I",SUMIFS($D:$D,$A:$A,$A3859,$B:$B,"&lt;&gt;Patrícia Karla de Sousa Araújo",$B:$B,"&lt;&gt;Lorena Dias de Araujo",$B:$B,"&lt;&gt;Lucas Luiz Romero")*(23/1083),IF(C3859="JR",SUMIFS($D:$D,$A:$A,$A3859,$B:$B,"&lt;&gt;Patrícia Karla de Sousa Araújo",$B:$B,"&lt;&gt;Lorena Dias de Araujo",$B:$B,"&lt;&gt;Lucas Luiz Romero")*(20/1083),IF(C3859="Estágio",SUMIFS($D:$D,$A:$A,$A3859,$B:$B,"&lt;&gt;Patrícia Karla de Sousa Araújo",$B:$B,"&lt;&gt;Lorena Dias de Araujo",$B:$B,"&lt;&gt;Lucas Luiz Romero")*(10/1083),0)))))),0)</f>
        <v>21</v>
      </c>
      <c r="K3859" s="3">
        <f>I3859-J3859</f>
        <v>11</v>
      </c>
      <c r="L3859" s="3" t="str">
        <f>IF(K3859&lt;-5,"CRÍTICO",IF(K3859&lt;0,"ATENÇÃO",IF(K3859&lt;=5,"OPORTUNO","MUITO BOM")))</f>
        <v>MUITO BOM</v>
      </c>
      <c r="M3859">
        <v>30</v>
      </c>
      <c r="N3859">
        <v>98.82</v>
      </c>
      <c r="O3859">
        <v>30.741410488245929</v>
      </c>
    </row>
    <row r="3860" spans="1:15" hidden="1" x14ac:dyDescent="0.25">
      <c r="A3860" s="11">
        <v>46122</v>
      </c>
      <c r="B3860" t="s">
        <v>50</v>
      </c>
      <c r="C3860" t="s">
        <v>48</v>
      </c>
      <c r="D3860">
        <v>22</v>
      </c>
      <c r="E3860">
        <v>21</v>
      </c>
      <c r="F3860">
        <v>22.23</v>
      </c>
      <c r="G3860">
        <v>0</v>
      </c>
      <c r="H3860">
        <v>0</v>
      </c>
      <c r="I3860" s="3">
        <f>E3860+G3860+H3860</f>
        <v>21</v>
      </c>
      <c r="J3860" s="3">
        <f>ROUND(MIN(IF(C3860="Técnico III",35,IF(C3860="Técnico II",28,IF(C3860="Técnico I",23,IF(C3860="JR",20,IF(C3860="Estágio",10,0))))),IF(C3860="Técnico III",SUMIFS($D:$D,$A:$A,$A3860,$B:$B,"&lt;&gt;Patrícia Karla de Sousa Araújo",$B:$B,"&lt;&gt;Lorena Dias de Araujo",$B:$B,"&lt;&gt;Lucas Luiz Romero")*(35/1083),IF(C3860="Técnico II",SUMIFS($D:$D,$A:$A,$A3860,$B:$B,"&lt;&gt;Patrícia Karla de Sousa Araújo",$B:$B,"&lt;&gt;Lorena Dias de Araujo",$B:$B,"&lt;&gt;Lucas Luiz Romero")*(28/1083),IF(C3860="Técnico I",SUMIFS($D:$D,$A:$A,$A3860,$B:$B,"&lt;&gt;Patrícia Karla de Sousa Araújo",$B:$B,"&lt;&gt;Lorena Dias de Araujo",$B:$B,"&lt;&gt;Lucas Luiz Romero")*(23/1083),IF(C3860="JR",SUMIFS($D:$D,$A:$A,$A3860,$B:$B,"&lt;&gt;Patrícia Karla de Sousa Araújo",$B:$B,"&lt;&gt;Lorena Dias de Araujo",$B:$B,"&lt;&gt;Lucas Luiz Romero")*(20/1083),IF(C3860="Estágio",SUMIFS($D:$D,$A:$A,$A3860,$B:$B,"&lt;&gt;Patrícia Karla de Sousa Araújo",$B:$B,"&lt;&gt;Lorena Dias de Araujo",$B:$B,"&lt;&gt;Lucas Luiz Romero")*(10/1083),0)))))),0)</f>
        <v>21</v>
      </c>
      <c r="K3860" s="3">
        <f>I3860-J3860</f>
        <v>0</v>
      </c>
      <c r="L3860" s="3" t="str">
        <f>IF(K3860&lt;-5,"CRÍTICO",IF(K3860&lt;0,"ATENÇÃO",IF(K3860&lt;=5,"OPORTUNO","MUITO BOM")))</f>
        <v>OPORTUNO</v>
      </c>
      <c r="M3860">
        <v>18</v>
      </c>
      <c r="N3860">
        <v>98.2</v>
      </c>
      <c r="O3860">
        <v>27.170868347338931</v>
      </c>
    </row>
    <row r="3861" spans="1:15" hidden="1" x14ac:dyDescent="0.25">
      <c r="A3861" s="11">
        <v>46122</v>
      </c>
      <c r="B3861" t="s">
        <v>17</v>
      </c>
      <c r="C3861" t="s">
        <v>16</v>
      </c>
      <c r="D3861">
        <v>6</v>
      </c>
      <c r="E3861">
        <v>6</v>
      </c>
      <c r="F3861">
        <v>23.44</v>
      </c>
      <c r="G3861">
        <v>0</v>
      </c>
      <c r="H3861">
        <v>0</v>
      </c>
      <c r="I3861" s="3">
        <f>E3861+G3861+H3861</f>
        <v>6</v>
      </c>
      <c r="J3861" s="3">
        <f>ROUND(MIN(IF(C3861="Técnico III",35,IF(C3861="Técnico II",28,IF(C3861="Técnico I",23,IF(C3861="JR",20,IF(C3861="Estágio",10,0))))),IF(C3861="Técnico III",SUMIFS($D:$D,$A:$A,$A3861,$B:$B,"&lt;&gt;Patrícia Karla de Sousa Araújo",$B:$B,"&lt;&gt;Lorena Dias de Araujo",$B:$B,"&lt;&gt;Lucas Luiz Romero")*(35/1083),IF(C3861="Técnico II",SUMIFS($D:$D,$A:$A,$A3861,$B:$B,"&lt;&gt;Patrícia Karla de Sousa Araújo",$B:$B,"&lt;&gt;Lorena Dias de Araujo",$B:$B,"&lt;&gt;Lucas Luiz Romero")*(28/1083),IF(C3861="Técnico I",SUMIFS($D:$D,$A:$A,$A3861,$B:$B,"&lt;&gt;Patrícia Karla de Sousa Araújo",$B:$B,"&lt;&gt;Lorena Dias de Araujo",$B:$B,"&lt;&gt;Lucas Luiz Romero")*(23/1083),IF(C3861="JR",SUMIFS($D:$D,$A:$A,$A3861,$B:$B,"&lt;&gt;Patrícia Karla de Sousa Araújo",$B:$B,"&lt;&gt;Lorena Dias de Araujo",$B:$B,"&lt;&gt;Lucas Luiz Romero")*(20/1083),IF(C3861="Estágio",SUMIFS($D:$D,$A:$A,$A3861,$B:$B,"&lt;&gt;Patrícia Karla de Sousa Araújo",$B:$B,"&lt;&gt;Lorena Dias de Araujo",$B:$B,"&lt;&gt;Lucas Luiz Romero")*(10/1083),0)))))),0)</f>
        <v>7</v>
      </c>
      <c r="K3861" s="3">
        <f>I3861-J3861</f>
        <v>-1</v>
      </c>
      <c r="L3861" s="3" t="str">
        <f>IF(K3861&lt;-5,"CRÍTICO",IF(K3861&lt;0,"ATENÇÃO",IF(K3861&lt;=5,"OPORTUNO","MUITO BOM")))</f>
        <v>ATENÇÃO</v>
      </c>
      <c r="M3861">
        <v>5</v>
      </c>
      <c r="N3861">
        <v>100</v>
      </c>
      <c r="O3861">
        <v>23.134328358208951</v>
      </c>
    </row>
    <row r="3862" spans="1:15" hidden="1" x14ac:dyDescent="0.25">
      <c r="A3862" s="11">
        <v>46122</v>
      </c>
      <c r="B3862" t="s">
        <v>60</v>
      </c>
      <c r="C3862" t="s">
        <v>23</v>
      </c>
      <c r="D3862">
        <v>30</v>
      </c>
      <c r="E3862">
        <v>30</v>
      </c>
      <c r="F3862">
        <v>22.19</v>
      </c>
      <c r="G3862">
        <v>0</v>
      </c>
      <c r="H3862">
        <v>0</v>
      </c>
      <c r="I3862" s="3">
        <f>E3862+G3862+H3862</f>
        <v>30</v>
      </c>
      <c r="J3862" s="3">
        <f>ROUND(MIN(IF(C3862="Técnico III",35,IF(C3862="Técnico II",28,IF(C3862="Técnico I",23,IF(C3862="JR",20,IF(C3862="Estágio",10,0))))),IF(C3862="Técnico III",SUMIFS($D:$D,$A:$A,$A3862,$B:$B,"&lt;&gt;Patrícia Karla de Sousa Araújo",$B:$B,"&lt;&gt;Lorena Dias de Araujo",$B:$B,"&lt;&gt;Lucas Luiz Romero")*(35/1083),IF(C3862="Técnico II",SUMIFS($D:$D,$A:$A,$A3862,$B:$B,"&lt;&gt;Patrícia Karla de Sousa Araújo",$B:$B,"&lt;&gt;Lorena Dias de Araujo",$B:$B,"&lt;&gt;Lucas Luiz Romero")*(28/1083),IF(C3862="Técnico I",SUMIFS($D:$D,$A:$A,$A3862,$B:$B,"&lt;&gt;Patrícia Karla de Sousa Araújo",$B:$B,"&lt;&gt;Lorena Dias de Araujo",$B:$B,"&lt;&gt;Lucas Luiz Romero")*(23/1083),IF(C3862="JR",SUMIFS($D:$D,$A:$A,$A3862,$B:$B,"&lt;&gt;Patrícia Karla de Sousa Araújo",$B:$B,"&lt;&gt;Lorena Dias de Araujo",$B:$B,"&lt;&gt;Lucas Luiz Romero")*(20/1083),IF(C3862="Estágio",SUMIFS($D:$D,$A:$A,$A3862,$B:$B,"&lt;&gt;Patrícia Karla de Sousa Araújo",$B:$B,"&lt;&gt;Lorena Dias de Araujo",$B:$B,"&lt;&gt;Lucas Luiz Romero")*(10/1083),0)))))),0)</f>
        <v>17</v>
      </c>
      <c r="K3862" s="3">
        <f>I3862-J3862</f>
        <v>13</v>
      </c>
      <c r="L3862" s="3" t="str">
        <f>IF(K3862&lt;-5,"CRÍTICO",IF(K3862&lt;0,"ATENÇÃO",IF(K3862&lt;=5,"OPORTUNO","MUITO BOM")))</f>
        <v>MUITO BOM</v>
      </c>
      <c r="M3862">
        <v>29</v>
      </c>
      <c r="N3862">
        <v>96.3</v>
      </c>
      <c r="O3862">
        <v>32.219570405727922</v>
      </c>
    </row>
    <row r="3863" spans="1:15" hidden="1" x14ac:dyDescent="0.25">
      <c r="A3863" s="11">
        <v>46122</v>
      </c>
      <c r="B3863" t="s">
        <v>34</v>
      </c>
      <c r="C3863" t="s">
        <v>32</v>
      </c>
      <c r="D3863">
        <v>23</v>
      </c>
      <c r="E3863">
        <v>21</v>
      </c>
      <c r="F3863">
        <v>13.32</v>
      </c>
      <c r="G3863">
        <v>0</v>
      </c>
      <c r="H3863">
        <v>0</v>
      </c>
      <c r="I3863" s="3">
        <f>E3863+G3863+H3863</f>
        <v>21</v>
      </c>
      <c r="J3863" s="3">
        <f>ROUND(MIN(IF(C3863="Técnico III",35,IF(C3863="Técnico II",28,IF(C3863="Técnico I",23,IF(C3863="JR",20,IF(C3863="Estágio",10,0))))),IF(C3863="Técnico III",SUMIFS($D:$D,$A:$A,$A3863,$B:$B,"&lt;&gt;Patrícia Karla de Sousa Araújo",$B:$B,"&lt;&gt;Lorena Dias de Araujo",$B:$B,"&lt;&gt;Lucas Luiz Romero")*(35/1083),IF(C3863="Técnico II",SUMIFS($D:$D,$A:$A,$A3863,$B:$B,"&lt;&gt;Patrícia Karla de Sousa Araújo",$B:$B,"&lt;&gt;Lorena Dias de Araujo",$B:$B,"&lt;&gt;Lucas Luiz Romero")*(28/1083),IF(C3863="Técnico I",SUMIFS($D:$D,$A:$A,$A3863,$B:$B,"&lt;&gt;Patrícia Karla de Sousa Araújo",$B:$B,"&lt;&gt;Lorena Dias de Araujo",$B:$B,"&lt;&gt;Lucas Luiz Romero")*(23/1083),IF(C3863="JR",SUMIFS($D:$D,$A:$A,$A3863,$B:$B,"&lt;&gt;Patrícia Karla de Sousa Araújo",$B:$B,"&lt;&gt;Lorena Dias de Araujo",$B:$B,"&lt;&gt;Lucas Luiz Romero")*(20/1083),IF(C3863="Estágio",SUMIFS($D:$D,$A:$A,$A3863,$B:$B,"&lt;&gt;Patrícia Karla de Sousa Araújo",$B:$B,"&lt;&gt;Lorena Dias de Araujo",$B:$B,"&lt;&gt;Lucas Luiz Romero")*(10/1083),0)))))),0)</f>
        <v>26</v>
      </c>
      <c r="K3863" s="3">
        <f>I3863-J3863</f>
        <v>-5</v>
      </c>
      <c r="L3863" s="3" t="str">
        <f>IF(K3863&lt;-5,"CRÍTICO",IF(K3863&lt;0,"ATENÇÃO",IF(K3863&lt;=5,"OPORTUNO","MUITO BOM")))</f>
        <v>ATENÇÃO</v>
      </c>
      <c r="M3863">
        <v>20</v>
      </c>
      <c r="N3863">
        <v>93.75</v>
      </c>
      <c r="O3863">
        <v>26.819923371647509</v>
      </c>
    </row>
    <row r="3864" spans="1:15" hidden="1" x14ac:dyDescent="0.25">
      <c r="A3864" s="11">
        <v>46122</v>
      </c>
      <c r="B3864" t="s">
        <v>51</v>
      </c>
      <c r="C3864" t="s">
        <v>48</v>
      </c>
      <c r="D3864">
        <v>31</v>
      </c>
      <c r="E3864">
        <v>27</v>
      </c>
      <c r="F3864">
        <v>16.5</v>
      </c>
      <c r="G3864">
        <v>0</v>
      </c>
      <c r="H3864">
        <v>0</v>
      </c>
      <c r="I3864" s="3">
        <v>0</v>
      </c>
      <c r="J3864" s="3">
        <v>0</v>
      </c>
      <c r="K3864" s="3">
        <v>0</v>
      </c>
      <c r="L3864" s="3" t="str">
        <f>IF(K3864&lt;-5,"CRÍTICO",IF(K3864&lt;0,"ATENÇÃO",IF(K3864&lt;=5,"OPORTUNO","MUITO BOM")))</f>
        <v>OPORTUNO</v>
      </c>
      <c r="M3864">
        <v>28</v>
      </c>
      <c r="N3864">
        <v>97.86</v>
      </c>
      <c r="O3864">
        <v>31.018518518518519</v>
      </c>
    </row>
    <row r="3865" spans="1:15" hidden="1" x14ac:dyDescent="0.25">
      <c r="A3865" s="11">
        <v>46122</v>
      </c>
      <c r="B3865" t="s">
        <v>61</v>
      </c>
      <c r="C3865" t="s">
        <v>23</v>
      </c>
      <c r="D3865">
        <v>18</v>
      </c>
      <c r="E3865">
        <v>18</v>
      </c>
      <c r="F3865">
        <v>17.09</v>
      </c>
      <c r="G3865">
        <v>0</v>
      </c>
      <c r="H3865">
        <v>0</v>
      </c>
      <c r="I3865" s="3">
        <f>E3865+G3865+H3865</f>
        <v>18</v>
      </c>
      <c r="J3865" s="3">
        <f>ROUND(MIN(IF(C3865="Técnico III",35,IF(C3865="Técnico II",28,IF(C3865="Técnico I",23,IF(C3865="JR",20,IF(C3865="Estágio",10,0))))),IF(C3865="Técnico III",SUMIFS($D:$D,$A:$A,$A3865,$B:$B,"&lt;&gt;Patrícia Karla de Sousa Araújo",$B:$B,"&lt;&gt;Lorena Dias de Araujo",$B:$B,"&lt;&gt;Lucas Luiz Romero")*(35/1083),IF(C3865="Técnico II",SUMIFS($D:$D,$A:$A,$A3865,$B:$B,"&lt;&gt;Patrícia Karla de Sousa Araújo",$B:$B,"&lt;&gt;Lorena Dias de Araujo",$B:$B,"&lt;&gt;Lucas Luiz Romero")*(28/1083),IF(C3865="Técnico I",SUMIFS($D:$D,$A:$A,$A3865,$B:$B,"&lt;&gt;Patrícia Karla de Sousa Araújo",$B:$B,"&lt;&gt;Lorena Dias de Araujo",$B:$B,"&lt;&gt;Lucas Luiz Romero")*(23/1083),IF(C3865="JR",SUMIFS($D:$D,$A:$A,$A3865,$B:$B,"&lt;&gt;Patrícia Karla de Sousa Araújo",$B:$B,"&lt;&gt;Lorena Dias de Araujo",$B:$B,"&lt;&gt;Lucas Luiz Romero")*(20/1083),IF(C3865="Estágio",SUMIFS($D:$D,$A:$A,$A3865,$B:$B,"&lt;&gt;Patrícia Karla de Sousa Araújo",$B:$B,"&lt;&gt;Lorena Dias de Araujo",$B:$B,"&lt;&gt;Lucas Luiz Romero")*(10/1083),0)))))),0)</f>
        <v>17</v>
      </c>
      <c r="K3865" s="3">
        <f>I3865-J3865</f>
        <v>1</v>
      </c>
      <c r="L3865" s="3" t="str">
        <f>IF(K3865&lt;-5,"CRÍTICO",IF(K3865&lt;0,"ATENÇÃO",IF(K3865&lt;=5,"OPORTUNO","MUITO BOM")))</f>
        <v>OPORTUNO</v>
      </c>
      <c r="M3865">
        <v>13</v>
      </c>
      <c r="N3865">
        <v>100</v>
      </c>
      <c r="O3865">
        <v>36.594202898550733</v>
      </c>
    </row>
    <row r="3866" spans="1:15" hidden="1" x14ac:dyDescent="0.25">
      <c r="A3866" s="11">
        <v>46122</v>
      </c>
      <c r="B3866" t="s">
        <v>35</v>
      </c>
      <c r="C3866" t="s">
        <v>32</v>
      </c>
      <c r="D3866">
        <v>26</v>
      </c>
      <c r="E3866">
        <v>26</v>
      </c>
      <c r="F3866">
        <v>21.59</v>
      </c>
      <c r="G3866">
        <v>0</v>
      </c>
      <c r="H3866">
        <v>0</v>
      </c>
      <c r="I3866" s="3">
        <v>0</v>
      </c>
      <c r="J3866" s="3">
        <v>0</v>
      </c>
      <c r="K3866" s="3">
        <v>0</v>
      </c>
      <c r="L3866" s="3" t="str">
        <f>IF(K3866&lt;-5,"CRÍTICO",IF(K3866&lt;0,"ATENÇÃO",IF(K3866&lt;=5,"OPORTUNO","MUITO BOM")))</f>
        <v>OPORTUNO</v>
      </c>
      <c r="M3866">
        <v>27</v>
      </c>
      <c r="N3866">
        <v>100</v>
      </c>
      <c r="O3866">
        <v>38.653846153846153</v>
      </c>
    </row>
    <row r="3867" spans="1:15" hidden="1" x14ac:dyDescent="0.25">
      <c r="A3867" s="11">
        <v>46122</v>
      </c>
      <c r="B3867" t="s">
        <v>18</v>
      </c>
      <c r="C3867" t="s">
        <v>16</v>
      </c>
      <c r="D3867">
        <v>4</v>
      </c>
      <c r="E3867">
        <v>4</v>
      </c>
      <c r="F3867">
        <v>60.55</v>
      </c>
      <c r="G3867">
        <v>0</v>
      </c>
      <c r="H3867">
        <v>0</v>
      </c>
      <c r="I3867" s="3">
        <f>E3867+G3867+H3867</f>
        <v>4</v>
      </c>
      <c r="J3867" s="3">
        <f>ROUND(MIN(IF(C3867="Técnico III",35,IF(C3867="Técnico II",28,IF(C3867="Técnico I",23,IF(C3867="JR",20,IF(C3867="Estágio",10,0))))),IF(C3867="Técnico III",SUMIFS($D:$D,$A:$A,$A3867,$B:$B,"&lt;&gt;Patrícia Karla de Sousa Araújo",$B:$B,"&lt;&gt;Lorena Dias de Araujo",$B:$B,"&lt;&gt;Lucas Luiz Romero")*(35/1083),IF(C3867="Técnico II",SUMIFS($D:$D,$A:$A,$A3867,$B:$B,"&lt;&gt;Patrícia Karla de Sousa Araújo",$B:$B,"&lt;&gt;Lorena Dias de Araujo",$B:$B,"&lt;&gt;Lucas Luiz Romero")*(28/1083),IF(C3867="Técnico I",SUMIFS($D:$D,$A:$A,$A3867,$B:$B,"&lt;&gt;Patrícia Karla de Sousa Araújo",$B:$B,"&lt;&gt;Lorena Dias de Araujo",$B:$B,"&lt;&gt;Lucas Luiz Romero")*(23/1083),IF(C3867="JR",SUMIFS($D:$D,$A:$A,$A3867,$B:$B,"&lt;&gt;Patrícia Karla de Sousa Araújo",$B:$B,"&lt;&gt;Lorena Dias de Araujo",$B:$B,"&lt;&gt;Lucas Luiz Romero")*(20/1083),IF(C3867="Estágio",SUMIFS($D:$D,$A:$A,$A3867,$B:$B,"&lt;&gt;Patrícia Karla de Sousa Araújo",$B:$B,"&lt;&gt;Lorena Dias de Araujo",$B:$B,"&lt;&gt;Lucas Luiz Romero")*(10/1083),0)))))),0)</f>
        <v>7</v>
      </c>
      <c r="K3867" s="3">
        <f>I3867-J3867</f>
        <v>-3</v>
      </c>
      <c r="L3867" s="3" t="str">
        <f>IF(K3867&lt;-5,"CRÍTICO",IF(K3867&lt;0,"ATENÇÃO",IF(K3867&lt;=5,"OPORTUNO","MUITO BOM")))</f>
        <v>ATENÇÃO</v>
      </c>
      <c r="M3867">
        <v>3</v>
      </c>
      <c r="N3867">
        <v>100</v>
      </c>
      <c r="O3867">
        <v>27.368421052631579</v>
      </c>
    </row>
    <row r="3868" spans="1:15" hidden="1" x14ac:dyDescent="0.25">
      <c r="A3868" s="11">
        <v>46122</v>
      </c>
      <c r="B3868" t="s">
        <v>52</v>
      </c>
      <c r="C3868" t="s">
        <v>48</v>
      </c>
      <c r="D3868">
        <v>24</v>
      </c>
      <c r="E3868">
        <v>23</v>
      </c>
      <c r="F3868">
        <v>20.32</v>
      </c>
      <c r="G3868">
        <v>0</v>
      </c>
      <c r="H3868">
        <v>0</v>
      </c>
      <c r="I3868" s="3">
        <f>E3868+G3868+H3868</f>
        <v>23</v>
      </c>
      <c r="J3868" s="3">
        <f>ROUND(MIN(IF(C3868="Técnico III",35,IF(C3868="Técnico II",28,IF(C3868="Técnico I",23,IF(C3868="JR",20,IF(C3868="Estágio",10,0))))),IF(C3868="Técnico III",SUMIFS($D:$D,$A:$A,$A3868,$B:$B,"&lt;&gt;Patrícia Karla de Sousa Araújo",$B:$B,"&lt;&gt;Lorena Dias de Araujo",$B:$B,"&lt;&gt;Lucas Luiz Romero")*(35/1083),IF(C3868="Técnico II",SUMIFS($D:$D,$A:$A,$A3868,$B:$B,"&lt;&gt;Patrícia Karla de Sousa Araújo",$B:$B,"&lt;&gt;Lorena Dias de Araujo",$B:$B,"&lt;&gt;Lucas Luiz Romero")*(28/1083),IF(C3868="Técnico I",SUMIFS($D:$D,$A:$A,$A3868,$B:$B,"&lt;&gt;Patrícia Karla de Sousa Araújo",$B:$B,"&lt;&gt;Lorena Dias de Araujo",$B:$B,"&lt;&gt;Lucas Luiz Romero")*(23/1083),IF(C3868="JR",SUMIFS($D:$D,$A:$A,$A3868,$B:$B,"&lt;&gt;Patrícia Karla de Sousa Araújo",$B:$B,"&lt;&gt;Lorena Dias de Araujo",$B:$B,"&lt;&gt;Lucas Luiz Romero")*(20/1083),IF(C3868="Estágio",SUMIFS($D:$D,$A:$A,$A3868,$B:$B,"&lt;&gt;Patrícia Karla de Sousa Araújo",$B:$B,"&lt;&gt;Lorena Dias de Araujo",$B:$B,"&lt;&gt;Lucas Luiz Romero")*(10/1083),0)))))),0)</f>
        <v>21</v>
      </c>
      <c r="K3868" s="3">
        <f>I3868-J3868</f>
        <v>2</v>
      </c>
      <c r="L3868" s="3" t="str">
        <f>IF(K3868&lt;-5,"CRÍTICO",IF(K3868&lt;0,"ATENÇÃO",IF(K3868&lt;=5,"OPORTUNO","MUITO BOM")))</f>
        <v>OPORTUNO</v>
      </c>
      <c r="M3868">
        <v>22</v>
      </c>
      <c r="N3868">
        <v>97.83</v>
      </c>
      <c r="O3868">
        <v>28.35164835164835</v>
      </c>
    </row>
    <row r="3869" spans="1:15" hidden="1" x14ac:dyDescent="0.25">
      <c r="A3869" s="11">
        <v>46122</v>
      </c>
      <c r="B3869" t="s">
        <v>36</v>
      </c>
      <c r="C3869" t="s">
        <v>32</v>
      </c>
      <c r="D3869">
        <v>32</v>
      </c>
      <c r="E3869">
        <v>31</v>
      </c>
      <c r="F3869">
        <v>11.47</v>
      </c>
      <c r="G3869">
        <v>0</v>
      </c>
      <c r="H3869">
        <v>0</v>
      </c>
      <c r="I3869" s="3">
        <f>E3869+G3869+H3869</f>
        <v>31</v>
      </c>
      <c r="J3869" s="3">
        <f>ROUND(MIN(IF(C3869="Técnico III",35,IF(C3869="Técnico II",28,IF(C3869="Técnico I",23,IF(C3869="JR",20,IF(C3869="Estágio",10,0))))),IF(C3869="Técnico III",SUMIFS($D:$D,$A:$A,$A3869,$B:$B,"&lt;&gt;Patrícia Karla de Sousa Araújo",$B:$B,"&lt;&gt;Lorena Dias de Araujo",$B:$B,"&lt;&gt;Lucas Luiz Romero")*(35/1083),IF(C3869="Técnico II",SUMIFS($D:$D,$A:$A,$A3869,$B:$B,"&lt;&gt;Patrícia Karla de Sousa Araújo",$B:$B,"&lt;&gt;Lorena Dias de Araujo",$B:$B,"&lt;&gt;Lucas Luiz Romero")*(28/1083),IF(C3869="Técnico I",SUMIFS($D:$D,$A:$A,$A3869,$B:$B,"&lt;&gt;Patrícia Karla de Sousa Araújo",$B:$B,"&lt;&gt;Lorena Dias de Araujo",$B:$B,"&lt;&gt;Lucas Luiz Romero")*(23/1083),IF(C3869="JR",SUMIFS($D:$D,$A:$A,$A3869,$B:$B,"&lt;&gt;Patrícia Karla de Sousa Araújo",$B:$B,"&lt;&gt;Lorena Dias de Araujo",$B:$B,"&lt;&gt;Lucas Luiz Romero")*(20/1083),IF(C3869="Estágio",SUMIFS($D:$D,$A:$A,$A3869,$B:$B,"&lt;&gt;Patrícia Karla de Sousa Araújo",$B:$B,"&lt;&gt;Lorena Dias de Araujo",$B:$B,"&lt;&gt;Lucas Luiz Romero")*(10/1083),0)))))),0)</f>
        <v>26</v>
      </c>
      <c r="K3869" s="3">
        <f>I3869-J3869</f>
        <v>5</v>
      </c>
      <c r="L3869" s="3" t="str">
        <f>IF(K3869&lt;-5,"CRÍTICO",IF(K3869&lt;0,"ATENÇÃO",IF(K3869&lt;=5,"OPORTUNO","MUITO BOM")))</f>
        <v>OPORTUNO</v>
      </c>
      <c r="M3869">
        <v>32</v>
      </c>
      <c r="N3869">
        <v>99.26</v>
      </c>
      <c r="O3869">
        <v>29.766536964980549</v>
      </c>
    </row>
    <row r="3870" spans="1:15" hidden="1" x14ac:dyDescent="0.25">
      <c r="A3870" s="11">
        <v>46122</v>
      </c>
      <c r="B3870" t="s">
        <v>53</v>
      </c>
      <c r="C3870" t="s">
        <v>48</v>
      </c>
      <c r="D3870">
        <v>21</v>
      </c>
      <c r="E3870">
        <v>21</v>
      </c>
      <c r="F3870">
        <v>28.27</v>
      </c>
      <c r="G3870">
        <v>0</v>
      </c>
      <c r="H3870">
        <v>0</v>
      </c>
      <c r="I3870" s="3">
        <f>E3870+G3870+H3870</f>
        <v>21</v>
      </c>
      <c r="J3870" s="3">
        <f>ROUND(MIN(IF(C3870="Técnico III",35,IF(C3870="Técnico II",28,IF(C3870="Técnico I",23,IF(C3870="JR",20,IF(C3870="Estágio",10,0))))),IF(C3870="Técnico III",SUMIFS($D:$D,$A:$A,$A3870,$B:$B,"&lt;&gt;Patrícia Karla de Sousa Araújo",$B:$B,"&lt;&gt;Lorena Dias de Araujo",$B:$B,"&lt;&gt;Lucas Luiz Romero")*(35/1083),IF(C3870="Técnico II",SUMIFS($D:$D,$A:$A,$A3870,$B:$B,"&lt;&gt;Patrícia Karla de Sousa Araújo",$B:$B,"&lt;&gt;Lorena Dias de Araujo",$B:$B,"&lt;&gt;Lucas Luiz Romero")*(28/1083),IF(C3870="Técnico I",SUMIFS($D:$D,$A:$A,$A3870,$B:$B,"&lt;&gt;Patrícia Karla de Sousa Araújo",$B:$B,"&lt;&gt;Lorena Dias de Araujo",$B:$B,"&lt;&gt;Lucas Luiz Romero")*(23/1083),IF(C3870="JR",SUMIFS($D:$D,$A:$A,$A3870,$B:$B,"&lt;&gt;Patrícia Karla de Sousa Araújo",$B:$B,"&lt;&gt;Lorena Dias de Araujo",$B:$B,"&lt;&gt;Lucas Luiz Romero")*(20/1083),IF(C3870="Estágio",SUMIFS($D:$D,$A:$A,$A3870,$B:$B,"&lt;&gt;Patrícia Karla de Sousa Araújo",$B:$B,"&lt;&gt;Lorena Dias de Araujo",$B:$B,"&lt;&gt;Lucas Luiz Romero")*(10/1083),0)))))),0)</f>
        <v>21</v>
      </c>
      <c r="K3870" s="3">
        <f>I3870-J3870</f>
        <v>0</v>
      </c>
      <c r="L3870" s="3" t="str">
        <f>IF(K3870&lt;-5,"CRÍTICO",IF(K3870&lt;0,"ATENÇÃO",IF(K3870&lt;=5,"OPORTUNO","MUITO BOM")))</f>
        <v>OPORTUNO</v>
      </c>
      <c r="M3870">
        <v>14</v>
      </c>
      <c r="N3870">
        <v>99.19</v>
      </c>
      <c r="O3870">
        <v>29.462365591397852</v>
      </c>
    </row>
    <row r="3871" spans="1:15" hidden="1" x14ac:dyDescent="0.25">
      <c r="A3871" s="7">
        <v>46161</v>
      </c>
      <c r="B3871" s="8" t="s">
        <v>41</v>
      </c>
      <c r="C3871" s="14" t="s">
        <v>32</v>
      </c>
      <c r="D3871" s="3">
        <v>27</v>
      </c>
      <c r="E3871" s="3">
        <v>26</v>
      </c>
      <c r="F3871" s="3">
        <v>15.39</v>
      </c>
      <c r="G3871" s="3">
        <v>0</v>
      </c>
      <c r="H3871" s="3">
        <v>0</v>
      </c>
      <c r="I3871" s="3">
        <f>E3871+G3871+H3871</f>
        <v>26</v>
      </c>
      <c r="J3871" s="3">
        <f>ROUND(MIN(IF(C3871="Técnico III",35,IF(C3871="Técnico II",28,IF(C3871="Técnico I",23,IF(C3871="JR",20,IF(C3871="Estágio",10,0))))),IF(C3871="Técnico III",SUMIFS($D:$D,$A:$A,$A3871,$B:$B,"&lt;&gt;Patrícia Karla de Sousa Araújo",$B:$B,"&lt;&gt;Lorena Dias de Araujo",$B:$B,"&lt;&gt;Lucas Luiz Romero")*(35/1083),IF(C3871="Técnico II",SUMIFS($D:$D,$A:$A,$A3871,$B:$B,"&lt;&gt;Patrícia Karla de Sousa Araújo",$B:$B,"&lt;&gt;Lorena Dias de Araujo",$B:$B,"&lt;&gt;Lucas Luiz Romero")*(28/1083),IF(C3871="Técnico I",SUMIFS($D:$D,$A:$A,$A3871,$B:$B,"&lt;&gt;Patrícia Karla de Sousa Araújo",$B:$B,"&lt;&gt;Lorena Dias de Araujo",$B:$B,"&lt;&gt;Lucas Luiz Romero")*(23/1083),IF(C3871="JR",SUMIFS($D:$D,$A:$A,$A3871,$B:$B,"&lt;&gt;Patrícia Karla de Sousa Araújo",$B:$B,"&lt;&gt;Lorena Dias de Araujo",$B:$B,"&lt;&gt;Lucas Luiz Romero")*(20/1083),IF(C3871="Estágio",SUMIFS($D:$D,$A:$A,$A3871,$B:$B,"&lt;&gt;Patrícia Karla de Sousa Araújo",$B:$B,"&lt;&gt;Lorena Dias de Araujo",$B:$B,"&lt;&gt;Lucas Luiz Romero")*(10/1083),0)))))),0)</f>
        <v>29</v>
      </c>
      <c r="K3871" s="3">
        <f>I3871-J3871</f>
        <v>-3</v>
      </c>
      <c r="L3871" s="3" t="str">
        <f>IF(K3871&lt;-5,"CRÍTICO",IF(K3871&lt;0,"ATENÇÃO",IF(K3871&lt;=5,"OPORTUNO","MUITO BOM")))</f>
        <v>ATENÇÃO</v>
      </c>
      <c r="M3871" s="3">
        <v>24</v>
      </c>
      <c r="N3871" s="3">
        <v>100</v>
      </c>
      <c r="O3871" s="3">
        <v>18.244803695150122</v>
      </c>
    </row>
    <row r="3872" spans="1:15" hidden="1" x14ac:dyDescent="0.25">
      <c r="A3872" s="11">
        <v>46122</v>
      </c>
      <c r="B3872" t="s">
        <v>54</v>
      </c>
      <c r="C3872" t="s">
        <v>48</v>
      </c>
      <c r="D3872">
        <v>0</v>
      </c>
      <c r="E3872">
        <v>0</v>
      </c>
      <c r="F3872">
        <v>0</v>
      </c>
      <c r="G3872">
        <v>0</v>
      </c>
      <c r="H3872">
        <v>0</v>
      </c>
      <c r="I3872" s="3">
        <v>0</v>
      </c>
      <c r="J3872" s="3">
        <v>0</v>
      </c>
      <c r="K3872" s="3">
        <v>0</v>
      </c>
      <c r="L3872" s="3" t="str">
        <f>IF(K3872&lt;-5,"CRÍTICO",IF(K3872&lt;0,"ATENÇÃO",IF(K3872&lt;=5,"OPORTUNO","MUITO BOM")))</f>
        <v>OPORTUNO</v>
      </c>
      <c r="M3872">
        <v>1</v>
      </c>
      <c r="N3872">
        <v>100</v>
      </c>
      <c r="O3872">
        <v>28.921568627450981</v>
      </c>
    </row>
    <row r="3873" spans="1:15" hidden="1" x14ac:dyDescent="0.25">
      <c r="A3873" s="11">
        <v>46122</v>
      </c>
      <c r="B3873" t="s">
        <v>37</v>
      </c>
      <c r="C3873" t="s">
        <v>32</v>
      </c>
      <c r="D3873">
        <v>33</v>
      </c>
      <c r="E3873">
        <v>32</v>
      </c>
      <c r="F3873">
        <v>15.4</v>
      </c>
      <c r="G3873">
        <v>0</v>
      </c>
      <c r="H3873">
        <v>0</v>
      </c>
      <c r="I3873" s="3">
        <f>E3873+G3873+H3873</f>
        <v>32</v>
      </c>
      <c r="J3873" s="3">
        <f>ROUND(MIN(IF(C3873="Técnico III",35,IF(C3873="Técnico II",28,IF(C3873="Técnico I",23,IF(C3873="JR",20,IF(C3873="Estágio",10,0))))),IF(C3873="Técnico III",SUMIFS($D:$D,$A:$A,$A3873,$B:$B,"&lt;&gt;Patrícia Karla de Sousa Araújo",$B:$B,"&lt;&gt;Lorena Dias de Araujo",$B:$B,"&lt;&gt;Lucas Luiz Romero")*(35/1083),IF(C3873="Técnico II",SUMIFS($D:$D,$A:$A,$A3873,$B:$B,"&lt;&gt;Patrícia Karla de Sousa Araújo",$B:$B,"&lt;&gt;Lorena Dias de Araujo",$B:$B,"&lt;&gt;Lucas Luiz Romero")*(28/1083),IF(C3873="Técnico I",SUMIFS($D:$D,$A:$A,$A3873,$B:$B,"&lt;&gt;Patrícia Karla de Sousa Araújo",$B:$B,"&lt;&gt;Lorena Dias de Araujo",$B:$B,"&lt;&gt;Lucas Luiz Romero")*(23/1083),IF(C3873="JR",SUMIFS($D:$D,$A:$A,$A3873,$B:$B,"&lt;&gt;Patrícia Karla de Sousa Araújo",$B:$B,"&lt;&gt;Lorena Dias de Araujo",$B:$B,"&lt;&gt;Lucas Luiz Romero")*(20/1083),IF(C3873="Estágio",SUMIFS($D:$D,$A:$A,$A3873,$B:$B,"&lt;&gt;Patrícia Karla de Sousa Araújo",$B:$B,"&lt;&gt;Lorena Dias de Araujo",$B:$B,"&lt;&gt;Lucas Luiz Romero")*(10/1083),0)))))),0)</f>
        <v>26</v>
      </c>
      <c r="K3873" s="3">
        <f>I3873-J3873</f>
        <v>6</v>
      </c>
      <c r="L3873" s="3" t="str">
        <f>IF(K3873&lt;-5,"CRÍTICO",IF(K3873&lt;0,"ATENÇÃO",IF(K3873&lt;=5,"OPORTUNO","MUITO BOM")))</f>
        <v>MUITO BOM</v>
      </c>
      <c r="M3873">
        <v>31</v>
      </c>
      <c r="N3873">
        <v>99.57</v>
      </c>
      <c r="O3873">
        <v>30.635838150289018</v>
      </c>
    </row>
    <row r="3874" spans="1:15" hidden="1" x14ac:dyDescent="0.25">
      <c r="A3874" s="11">
        <v>46122</v>
      </c>
      <c r="B3874" t="s">
        <v>38</v>
      </c>
      <c r="C3874" t="s">
        <v>32</v>
      </c>
      <c r="D3874">
        <v>0</v>
      </c>
      <c r="E3874">
        <v>0</v>
      </c>
      <c r="F3874">
        <v>0</v>
      </c>
      <c r="G3874">
        <v>0</v>
      </c>
      <c r="H3874">
        <v>0</v>
      </c>
      <c r="I3874" s="3">
        <v>0</v>
      </c>
      <c r="J3874" s="3">
        <v>0</v>
      </c>
      <c r="K3874" s="3">
        <v>0</v>
      </c>
      <c r="L3874" s="3" t="str">
        <f>IF(K3874&lt;-5,"CRÍTICO",IF(K3874&lt;0,"ATENÇÃO",IF(K3874&lt;=5,"OPORTUNO","MUITO BOM")))</f>
        <v>OPORTUNO</v>
      </c>
      <c r="M3874">
        <v>0</v>
      </c>
      <c r="N3874">
        <v>95.65</v>
      </c>
      <c r="O3874">
        <v>32.432432432432442</v>
      </c>
    </row>
    <row r="3875" spans="1:15" hidden="1" x14ac:dyDescent="0.25">
      <c r="A3875" s="11">
        <v>46122</v>
      </c>
      <c r="B3875" t="s">
        <v>55</v>
      </c>
      <c r="C3875" t="s">
        <v>48</v>
      </c>
      <c r="D3875">
        <v>20</v>
      </c>
      <c r="E3875">
        <v>17</v>
      </c>
      <c r="F3875">
        <v>20</v>
      </c>
      <c r="G3875">
        <v>0</v>
      </c>
      <c r="H3875">
        <v>0</v>
      </c>
      <c r="I3875" s="3">
        <f>E3875+G3875+H3875</f>
        <v>17</v>
      </c>
      <c r="J3875" s="3">
        <f>ROUND(MIN(IF(C3875="Técnico III",35,IF(C3875="Técnico II",28,IF(C3875="Técnico I",23,IF(C3875="JR",20,IF(C3875="Estágio",10,0))))),IF(C3875="Técnico III",SUMIFS($D:$D,$A:$A,$A3875,$B:$B,"&lt;&gt;Patrícia Karla de Sousa Araújo",$B:$B,"&lt;&gt;Lorena Dias de Araujo",$B:$B,"&lt;&gt;Lucas Luiz Romero")*(35/1083),IF(C3875="Técnico II",SUMIFS($D:$D,$A:$A,$A3875,$B:$B,"&lt;&gt;Patrícia Karla de Sousa Araújo",$B:$B,"&lt;&gt;Lorena Dias de Araujo",$B:$B,"&lt;&gt;Lucas Luiz Romero")*(28/1083),IF(C3875="Técnico I",SUMIFS($D:$D,$A:$A,$A3875,$B:$B,"&lt;&gt;Patrícia Karla de Sousa Araújo",$B:$B,"&lt;&gt;Lorena Dias de Araujo",$B:$B,"&lt;&gt;Lucas Luiz Romero")*(23/1083),IF(C3875="JR",SUMIFS($D:$D,$A:$A,$A3875,$B:$B,"&lt;&gt;Patrícia Karla de Sousa Araújo",$B:$B,"&lt;&gt;Lorena Dias de Araujo",$B:$B,"&lt;&gt;Lucas Luiz Romero")*(20/1083),IF(C3875="Estágio",SUMIFS($D:$D,$A:$A,$A3875,$B:$B,"&lt;&gt;Patrícia Karla de Sousa Araújo",$B:$B,"&lt;&gt;Lorena Dias de Araujo",$B:$B,"&lt;&gt;Lucas Luiz Romero")*(10/1083),0)))))),0)</f>
        <v>21</v>
      </c>
      <c r="K3875" s="3">
        <f>I3875-J3875</f>
        <v>-4</v>
      </c>
      <c r="L3875" s="3" t="str">
        <f>IF(K3875&lt;-5,"CRÍTICO",IF(K3875&lt;0,"ATENÇÃO",IF(K3875&lt;=5,"OPORTUNO","MUITO BOM")))</f>
        <v>ATENÇÃO</v>
      </c>
      <c r="M3875">
        <v>16</v>
      </c>
      <c r="N3875">
        <v>98.81</v>
      </c>
      <c r="O3875">
        <v>26.256983240223459</v>
      </c>
    </row>
    <row r="3876" spans="1:15" hidden="1" x14ac:dyDescent="0.25">
      <c r="A3876" s="11">
        <v>46122</v>
      </c>
      <c r="B3876" t="s">
        <v>39</v>
      </c>
      <c r="C3876" t="s">
        <v>32</v>
      </c>
      <c r="D3876">
        <v>0</v>
      </c>
      <c r="E3876">
        <v>0</v>
      </c>
      <c r="F3876">
        <v>0</v>
      </c>
      <c r="G3876">
        <v>0</v>
      </c>
      <c r="H3876">
        <v>0</v>
      </c>
      <c r="I3876" s="3">
        <v>0</v>
      </c>
      <c r="J3876" s="3">
        <v>0</v>
      </c>
      <c r="K3876" s="3">
        <v>0</v>
      </c>
      <c r="L3876" s="3" t="str">
        <f>IF(K3876&lt;-5,"CRÍTICO",IF(K3876&lt;0,"ATENÇÃO",IF(K3876&lt;=5,"OPORTUNO","MUITO BOM")))</f>
        <v>OPORTUNO</v>
      </c>
      <c r="M3876">
        <v>0</v>
      </c>
      <c r="N3876">
        <v>0</v>
      </c>
      <c r="O3876">
        <v>0</v>
      </c>
    </row>
    <row r="3877" spans="1:15" hidden="1" x14ac:dyDescent="0.25">
      <c r="A3877" s="11">
        <v>46122</v>
      </c>
      <c r="B3877" t="s">
        <v>25</v>
      </c>
      <c r="C3877" t="s">
        <v>26</v>
      </c>
      <c r="D3877">
        <v>17</v>
      </c>
      <c r="E3877">
        <v>16</v>
      </c>
      <c r="F3877">
        <v>22.3</v>
      </c>
      <c r="G3877">
        <v>0</v>
      </c>
      <c r="H3877">
        <v>0</v>
      </c>
      <c r="I3877" s="3">
        <f>E3877+G3877+H3877</f>
        <v>16</v>
      </c>
      <c r="J3877" s="3">
        <f>ROUND(MIN(IF(C3877="Técnico III",35,IF(C3877="Técnico II",28,IF(C3877="Técnico I",23,IF(C3877="JR",20,IF(C3877="Estágio",10,0))))),IF(C3877="Técnico III",SUMIFS($D:$D,$A:$A,$A3877,$B:$B,"&lt;&gt;Patrícia Karla de Sousa Araújo",$B:$B,"&lt;&gt;Lorena Dias de Araujo",$B:$B,"&lt;&gt;Lucas Luiz Romero")*(35/1083),IF(C3877="Técnico II",SUMIFS($D:$D,$A:$A,$A3877,$B:$B,"&lt;&gt;Patrícia Karla de Sousa Araújo",$B:$B,"&lt;&gt;Lorena Dias de Araujo",$B:$B,"&lt;&gt;Lucas Luiz Romero")*(28/1083),IF(C3877="Técnico I",SUMIFS($D:$D,$A:$A,$A3877,$B:$B,"&lt;&gt;Patrícia Karla de Sousa Araújo",$B:$B,"&lt;&gt;Lorena Dias de Araujo",$B:$B,"&lt;&gt;Lucas Luiz Romero")*(23/1083),IF(C3877="JR",SUMIFS($D:$D,$A:$A,$A3877,$B:$B,"&lt;&gt;Patrícia Karla de Sousa Araújo",$B:$B,"&lt;&gt;Lorena Dias de Araujo",$B:$B,"&lt;&gt;Lucas Luiz Romero")*(20/1083),IF(C3877="Estágio",SUMIFS($D:$D,$A:$A,$A3877,$B:$B,"&lt;&gt;Patrícia Karla de Sousa Araújo",$B:$B,"&lt;&gt;Lorena Dias de Araujo",$B:$B,"&lt;&gt;Lucas Luiz Romero")*(10/1083),0)))))),0)</f>
        <v>15</v>
      </c>
      <c r="K3877" s="3">
        <f>I3877-J3877</f>
        <v>1</v>
      </c>
      <c r="L3877" s="3" t="str">
        <f>IF(K3877&lt;-5,"CRÍTICO",IF(K3877&lt;0,"ATENÇÃO",IF(K3877&lt;=5,"OPORTUNO","MUITO BOM")))</f>
        <v>OPORTUNO</v>
      </c>
      <c r="M3877">
        <v>15</v>
      </c>
      <c r="N3877">
        <v>97.17</v>
      </c>
      <c r="O3877">
        <v>28.81844380403458</v>
      </c>
    </row>
    <row r="3878" spans="1:15" hidden="1" x14ac:dyDescent="0.25">
      <c r="A3878" s="11">
        <v>46122</v>
      </c>
      <c r="B3878" t="s">
        <v>40</v>
      </c>
      <c r="C3878" t="s">
        <v>32</v>
      </c>
      <c r="D3878">
        <v>16</v>
      </c>
      <c r="E3878">
        <v>15</v>
      </c>
      <c r="F3878">
        <v>21.46</v>
      </c>
      <c r="G3878">
        <v>0</v>
      </c>
      <c r="H3878">
        <v>0</v>
      </c>
      <c r="I3878" s="3">
        <f>E3878+G3878+H3878</f>
        <v>15</v>
      </c>
      <c r="J3878" s="3">
        <f>ROUND(MIN(IF(C3878="Técnico III",35,IF(C3878="Técnico II",28,IF(C3878="Técnico I",23,IF(C3878="JR",20,IF(C3878="Estágio",10,0))))),IF(C3878="Técnico III",SUMIFS($D:$D,$A:$A,$A3878,$B:$B,"&lt;&gt;Patrícia Karla de Sousa Araújo",$B:$B,"&lt;&gt;Lorena Dias de Araujo",$B:$B,"&lt;&gt;Lucas Luiz Romero")*(35/1083),IF(C3878="Técnico II",SUMIFS($D:$D,$A:$A,$A3878,$B:$B,"&lt;&gt;Patrícia Karla de Sousa Araújo",$B:$B,"&lt;&gt;Lorena Dias de Araujo",$B:$B,"&lt;&gt;Lucas Luiz Romero")*(28/1083),IF(C3878="Técnico I",SUMIFS($D:$D,$A:$A,$A3878,$B:$B,"&lt;&gt;Patrícia Karla de Sousa Araújo",$B:$B,"&lt;&gt;Lorena Dias de Araujo",$B:$B,"&lt;&gt;Lucas Luiz Romero")*(23/1083),IF(C3878="JR",SUMIFS($D:$D,$A:$A,$A3878,$B:$B,"&lt;&gt;Patrícia Karla de Sousa Araújo",$B:$B,"&lt;&gt;Lorena Dias de Araujo",$B:$B,"&lt;&gt;Lucas Luiz Romero")*(20/1083),IF(C3878="Estágio",SUMIFS($D:$D,$A:$A,$A3878,$B:$B,"&lt;&gt;Patrícia Karla de Sousa Araújo",$B:$B,"&lt;&gt;Lorena Dias de Araujo",$B:$B,"&lt;&gt;Lucas Luiz Romero")*(10/1083),0)))))),0)</f>
        <v>26</v>
      </c>
      <c r="K3878" s="3">
        <f>I3878-J3878</f>
        <v>-11</v>
      </c>
      <c r="L3878" s="3" t="str">
        <f>IF(K3878&lt;-5,"CRÍTICO",IF(K3878&lt;0,"ATENÇÃO",IF(K3878&lt;=5,"OPORTUNO","MUITO BOM")))</f>
        <v>CRÍTICO</v>
      </c>
      <c r="M3878">
        <v>14</v>
      </c>
      <c r="N3878">
        <v>96.81</v>
      </c>
      <c r="O3878">
        <v>48.018648018648022</v>
      </c>
    </row>
    <row r="3879" spans="1:15" hidden="1" x14ac:dyDescent="0.25">
      <c r="A3879" s="11">
        <v>46122</v>
      </c>
      <c r="B3879" t="s">
        <v>27</v>
      </c>
      <c r="C3879" t="s">
        <v>26</v>
      </c>
      <c r="D3879">
        <v>12</v>
      </c>
      <c r="E3879">
        <v>11</v>
      </c>
      <c r="F3879">
        <v>26.5</v>
      </c>
      <c r="G3879">
        <v>0</v>
      </c>
      <c r="H3879">
        <v>0</v>
      </c>
      <c r="I3879" s="3">
        <f>E3879+G3879+H3879</f>
        <v>11</v>
      </c>
      <c r="J3879" s="3">
        <f>ROUND(MIN(IF(C3879="Técnico III",35,IF(C3879="Técnico II",28,IF(C3879="Técnico I",23,IF(C3879="JR",20,IF(C3879="Estágio",10,0))))),IF(C3879="Técnico III",SUMIFS($D:$D,$A:$A,$A3879,$B:$B,"&lt;&gt;Patrícia Karla de Sousa Araújo",$B:$B,"&lt;&gt;Lorena Dias de Araujo",$B:$B,"&lt;&gt;Lucas Luiz Romero")*(35/1083),IF(C3879="Técnico II",SUMIFS($D:$D,$A:$A,$A3879,$B:$B,"&lt;&gt;Patrícia Karla de Sousa Araújo",$B:$B,"&lt;&gt;Lorena Dias de Araujo",$B:$B,"&lt;&gt;Lucas Luiz Romero")*(28/1083),IF(C3879="Técnico I",SUMIFS($D:$D,$A:$A,$A3879,$B:$B,"&lt;&gt;Patrícia Karla de Sousa Araújo",$B:$B,"&lt;&gt;Lorena Dias de Araujo",$B:$B,"&lt;&gt;Lucas Luiz Romero")*(23/1083),IF(C3879="JR",SUMIFS($D:$D,$A:$A,$A3879,$B:$B,"&lt;&gt;Patrícia Karla de Sousa Araújo",$B:$B,"&lt;&gt;Lorena Dias de Araujo",$B:$B,"&lt;&gt;Lucas Luiz Romero")*(20/1083),IF(C3879="Estágio",SUMIFS($D:$D,$A:$A,$A3879,$B:$B,"&lt;&gt;Patrícia Karla de Sousa Araújo",$B:$B,"&lt;&gt;Lorena Dias de Araujo",$B:$B,"&lt;&gt;Lucas Luiz Romero")*(10/1083),0)))))),0)</f>
        <v>15</v>
      </c>
      <c r="K3879" s="3">
        <f>I3879-J3879</f>
        <v>-4</v>
      </c>
      <c r="L3879" s="3" t="str">
        <f>IF(K3879&lt;-5,"CRÍTICO",IF(K3879&lt;0,"ATENÇÃO",IF(K3879&lt;=5,"OPORTUNO","MUITO BOM")))</f>
        <v>ATENÇÃO</v>
      </c>
      <c r="M3879">
        <v>8</v>
      </c>
      <c r="N3879">
        <v>98.15</v>
      </c>
      <c r="O3879">
        <v>27.1551724137931</v>
      </c>
    </row>
    <row r="3880" spans="1:15" hidden="1" x14ac:dyDescent="0.25">
      <c r="A3880" s="11">
        <v>46122</v>
      </c>
      <c r="B3880" t="s">
        <v>41</v>
      </c>
      <c r="C3880" t="s">
        <v>32</v>
      </c>
      <c r="D3880">
        <v>27</v>
      </c>
      <c r="E3880">
        <v>26</v>
      </c>
      <c r="F3880">
        <v>14.11</v>
      </c>
      <c r="G3880">
        <v>0</v>
      </c>
      <c r="H3880">
        <v>0</v>
      </c>
      <c r="I3880" s="3">
        <f>E3880+G3880+H3880</f>
        <v>26</v>
      </c>
      <c r="J3880" s="3">
        <f>ROUND(MIN(IF(C3880="Técnico III",35,IF(C3880="Técnico II",28,IF(C3880="Técnico I",23,IF(C3880="JR",20,IF(C3880="Estágio",10,0))))),IF(C3880="Técnico III",SUMIFS($D:$D,$A:$A,$A3880,$B:$B,"&lt;&gt;Patrícia Karla de Sousa Araújo",$B:$B,"&lt;&gt;Lorena Dias de Araujo",$B:$B,"&lt;&gt;Lucas Luiz Romero")*(35/1083),IF(C3880="Técnico II",SUMIFS($D:$D,$A:$A,$A3880,$B:$B,"&lt;&gt;Patrícia Karla de Sousa Araújo",$B:$B,"&lt;&gt;Lorena Dias de Araujo",$B:$B,"&lt;&gt;Lucas Luiz Romero")*(28/1083),IF(C3880="Técnico I",SUMIFS($D:$D,$A:$A,$A3880,$B:$B,"&lt;&gt;Patrícia Karla de Sousa Araújo",$B:$B,"&lt;&gt;Lorena Dias de Araujo",$B:$B,"&lt;&gt;Lucas Luiz Romero")*(23/1083),IF(C3880="JR",SUMIFS($D:$D,$A:$A,$A3880,$B:$B,"&lt;&gt;Patrícia Karla de Sousa Araújo",$B:$B,"&lt;&gt;Lorena Dias de Araujo",$B:$B,"&lt;&gt;Lucas Luiz Romero")*(20/1083),IF(C3880="Estágio",SUMIFS($D:$D,$A:$A,$A3880,$B:$B,"&lt;&gt;Patrícia Karla de Sousa Araújo",$B:$B,"&lt;&gt;Lorena Dias de Araujo",$B:$B,"&lt;&gt;Lucas Luiz Romero")*(10/1083),0)))))),0)</f>
        <v>26</v>
      </c>
      <c r="K3880" s="3">
        <f>I3880-J3880</f>
        <v>0</v>
      </c>
      <c r="L3880" s="3" t="str">
        <f>IF(K3880&lt;-5,"CRÍTICO",IF(K3880&lt;0,"ATENÇÃO",IF(K3880&lt;=5,"OPORTUNO","MUITO BOM")))</f>
        <v>OPORTUNO</v>
      </c>
      <c r="M3880">
        <v>26</v>
      </c>
      <c r="N3880">
        <v>99.15</v>
      </c>
      <c r="O3880">
        <v>27.586206896551719</v>
      </c>
    </row>
    <row r="3881" spans="1:15" hidden="1" x14ac:dyDescent="0.25">
      <c r="A3881" s="11">
        <v>46122</v>
      </c>
      <c r="B3881" t="s">
        <v>56</v>
      </c>
      <c r="C3881" t="s">
        <v>48</v>
      </c>
      <c r="D3881">
        <v>24</v>
      </c>
      <c r="E3881">
        <v>19</v>
      </c>
      <c r="F3881">
        <v>17.28</v>
      </c>
      <c r="G3881">
        <v>0</v>
      </c>
      <c r="H3881">
        <v>0</v>
      </c>
      <c r="I3881" s="3">
        <f>E3881+G3881+H3881</f>
        <v>19</v>
      </c>
      <c r="J3881" s="3">
        <f>ROUND(MIN(IF(C3881="Técnico III",35,IF(C3881="Técnico II",28,IF(C3881="Técnico I",23,IF(C3881="JR",20,IF(C3881="Estágio",10,0))))),IF(C3881="Técnico III",SUMIFS($D:$D,$A:$A,$A3881,$B:$B,"&lt;&gt;Patrícia Karla de Sousa Araújo",$B:$B,"&lt;&gt;Lorena Dias de Araujo",$B:$B,"&lt;&gt;Lucas Luiz Romero")*(35/1083),IF(C3881="Técnico II",SUMIFS($D:$D,$A:$A,$A3881,$B:$B,"&lt;&gt;Patrícia Karla de Sousa Araújo",$B:$B,"&lt;&gt;Lorena Dias de Araujo",$B:$B,"&lt;&gt;Lucas Luiz Romero")*(28/1083),IF(C3881="Técnico I",SUMIFS($D:$D,$A:$A,$A3881,$B:$B,"&lt;&gt;Patrícia Karla de Sousa Araújo",$B:$B,"&lt;&gt;Lorena Dias de Araujo",$B:$B,"&lt;&gt;Lucas Luiz Romero")*(23/1083),IF(C3881="JR",SUMIFS($D:$D,$A:$A,$A3881,$B:$B,"&lt;&gt;Patrícia Karla de Sousa Araújo",$B:$B,"&lt;&gt;Lorena Dias de Araujo",$B:$B,"&lt;&gt;Lucas Luiz Romero")*(20/1083),IF(C3881="Estágio",SUMIFS($D:$D,$A:$A,$A3881,$B:$B,"&lt;&gt;Patrícia Karla de Sousa Araújo",$B:$B,"&lt;&gt;Lorena Dias de Araujo",$B:$B,"&lt;&gt;Lucas Luiz Romero")*(10/1083),0)))))),0)</f>
        <v>21</v>
      </c>
      <c r="K3881" s="3">
        <f>I3881-J3881</f>
        <v>-2</v>
      </c>
      <c r="L3881" s="3" t="str">
        <f>IF(K3881&lt;-5,"CRÍTICO",IF(K3881&lt;0,"ATENÇÃO",IF(K3881&lt;=5,"OPORTUNO","MUITO BOM")))</f>
        <v>ATENÇÃO</v>
      </c>
      <c r="M3881">
        <v>16</v>
      </c>
      <c r="N3881">
        <v>99.17</v>
      </c>
      <c r="O3881">
        <v>29.75206611570248</v>
      </c>
    </row>
    <row r="3882" spans="1:15" hidden="1" x14ac:dyDescent="0.25">
      <c r="A3882" s="11">
        <v>46122</v>
      </c>
      <c r="B3882" t="s">
        <v>57</v>
      </c>
      <c r="C3882" t="s">
        <v>48</v>
      </c>
      <c r="D3882">
        <v>11</v>
      </c>
      <c r="E3882">
        <v>10</v>
      </c>
      <c r="F3882">
        <v>22.28</v>
      </c>
      <c r="G3882">
        <v>0</v>
      </c>
      <c r="H3882">
        <v>0</v>
      </c>
      <c r="I3882" s="3">
        <v>0</v>
      </c>
      <c r="J3882" s="3">
        <v>0</v>
      </c>
      <c r="K3882" s="3">
        <v>0</v>
      </c>
      <c r="L3882" s="3" t="str">
        <f>IF(K3882&lt;-5,"CRÍTICO",IF(K3882&lt;0,"ATENÇÃO",IF(K3882&lt;=5,"OPORTUNO","MUITO BOM")))</f>
        <v>OPORTUNO</v>
      </c>
      <c r="M3882">
        <v>8</v>
      </c>
      <c r="N3882">
        <v>98.73</v>
      </c>
      <c r="O3882">
        <v>28.961748633879779</v>
      </c>
    </row>
    <row r="3883" spans="1:15" hidden="1" x14ac:dyDescent="0.25">
      <c r="A3883" s="11">
        <v>46122</v>
      </c>
      <c r="B3883" t="s">
        <v>42</v>
      </c>
      <c r="C3883" t="s">
        <v>32</v>
      </c>
      <c r="D3883">
        <v>40</v>
      </c>
      <c r="E3883">
        <v>37</v>
      </c>
      <c r="F3883">
        <v>12.14</v>
      </c>
      <c r="G3883">
        <v>0</v>
      </c>
      <c r="H3883">
        <v>0</v>
      </c>
      <c r="I3883" s="3">
        <f>E3883+G3883+H3883</f>
        <v>37</v>
      </c>
      <c r="J3883" s="3">
        <f>ROUND(MIN(IF(C3883="Técnico III",35,IF(C3883="Técnico II",28,IF(C3883="Técnico I",23,IF(C3883="JR",20,IF(C3883="Estágio",10,0))))),IF(C3883="Técnico III",SUMIFS($D:$D,$A:$A,$A3883,$B:$B,"&lt;&gt;Patrícia Karla de Sousa Araújo",$B:$B,"&lt;&gt;Lorena Dias de Araujo",$B:$B,"&lt;&gt;Lucas Luiz Romero")*(35/1083),IF(C3883="Técnico II",SUMIFS($D:$D,$A:$A,$A3883,$B:$B,"&lt;&gt;Patrícia Karla de Sousa Araújo",$B:$B,"&lt;&gt;Lorena Dias de Araujo",$B:$B,"&lt;&gt;Lucas Luiz Romero")*(28/1083),IF(C3883="Técnico I",SUMIFS($D:$D,$A:$A,$A3883,$B:$B,"&lt;&gt;Patrícia Karla de Sousa Araújo",$B:$B,"&lt;&gt;Lorena Dias de Araujo",$B:$B,"&lt;&gt;Lucas Luiz Romero")*(23/1083),IF(C3883="JR",SUMIFS($D:$D,$A:$A,$A3883,$B:$B,"&lt;&gt;Patrícia Karla de Sousa Araújo",$B:$B,"&lt;&gt;Lorena Dias de Araujo",$B:$B,"&lt;&gt;Lucas Luiz Romero")*(20/1083),IF(C3883="Estágio",SUMIFS($D:$D,$A:$A,$A3883,$B:$B,"&lt;&gt;Patrícia Karla de Sousa Araújo",$B:$B,"&lt;&gt;Lorena Dias de Araujo",$B:$B,"&lt;&gt;Lucas Luiz Romero")*(10/1083),0)))))),0)</f>
        <v>26</v>
      </c>
      <c r="K3883" s="3">
        <f>I3883-J3883</f>
        <v>11</v>
      </c>
      <c r="L3883" s="3" t="str">
        <f>IF(K3883&lt;-5,"CRÍTICO",IF(K3883&lt;0,"ATENÇÃO",IF(K3883&lt;=5,"OPORTUNO","MUITO BOM")))</f>
        <v>MUITO BOM</v>
      </c>
      <c r="M3883">
        <v>28</v>
      </c>
      <c r="N3883">
        <v>88.68</v>
      </c>
      <c r="O3883">
        <v>22.03389830508474</v>
      </c>
    </row>
    <row r="3884" spans="1:15" hidden="1" x14ac:dyDescent="0.25">
      <c r="A3884" s="11">
        <v>46122</v>
      </c>
      <c r="B3884" t="s">
        <v>62</v>
      </c>
      <c r="C3884" t="s">
        <v>23</v>
      </c>
      <c r="D3884">
        <v>19</v>
      </c>
      <c r="E3884">
        <v>18</v>
      </c>
      <c r="F3884">
        <v>20.5</v>
      </c>
      <c r="G3884">
        <v>0</v>
      </c>
      <c r="H3884">
        <v>0</v>
      </c>
      <c r="I3884" s="3">
        <f>E3884+G3884+H3884</f>
        <v>18</v>
      </c>
      <c r="J3884" s="3">
        <f>ROUND(MIN(IF(C3884="Técnico III",35,IF(C3884="Técnico II",28,IF(C3884="Técnico I",23,IF(C3884="JR",20,IF(C3884="Estágio",10,0))))),IF(C3884="Técnico III",SUMIFS($D:$D,$A:$A,$A3884,$B:$B,"&lt;&gt;Patrícia Karla de Sousa Araújo",$B:$B,"&lt;&gt;Lorena Dias de Araujo",$B:$B,"&lt;&gt;Lucas Luiz Romero")*(35/1083),IF(C3884="Técnico II",SUMIFS($D:$D,$A:$A,$A3884,$B:$B,"&lt;&gt;Patrícia Karla de Sousa Araújo",$B:$B,"&lt;&gt;Lorena Dias de Araujo",$B:$B,"&lt;&gt;Lucas Luiz Romero")*(28/1083),IF(C3884="Técnico I",SUMIFS($D:$D,$A:$A,$A3884,$B:$B,"&lt;&gt;Patrícia Karla de Sousa Araújo",$B:$B,"&lt;&gt;Lorena Dias de Araujo",$B:$B,"&lt;&gt;Lucas Luiz Romero")*(23/1083),IF(C3884="JR",SUMIFS($D:$D,$A:$A,$A3884,$B:$B,"&lt;&gt;Patrícia Karla de Sousa Araújo",$B:$B,"&lt;&gt;Lorena Dias de Araujo",$B:$B,"&lt;&gt;Lucas Luiz Romero")*(20/1083),IF(C3884="Estágio",SUMIFS($D:$D,$A:$A,$A3884,$B:$B,"&lt;&gt;Patrícia Karla de Sousa Araújo",$B:$B,"&lt;&gt;Lorena Dias de Araujo",$B:$B,"&lt;&gt;Lucas Luiz Romero")*(10/1083),0)))))),0)</f>
        <v>17</v>
      </c>
      <c r="K3884" s="3">
        <f>I3884-J3884</f>
        <v>1</v>
      </c>
      <c r="L3884" s="3" t="str">
        <f>IF(K3884&lt;-5,"CRÍTICO",IF(K3884&lt;0,"ATENÇÃO",IF(K3884&lt;=5,"OPORTUNO","MUITO BOM")))</f>
        <v>OPORTUNO</v>
      </c>
      <c r="M3884">
        <v>21</v>
      </c>
      <c r="N3884">
        <v>97.37</v>
      </c>
      <c r="O3884">
        <v>25.76530612244898</v>
      </c>
    </row>
    <row r="3885" spans="1:15" hidden="1" x14ac:dyDescent="0.25">
      <c r="A3885" s="11">
        <v>46122</v>
      </c>
      <c r="B3885" t="s">
        <v>19</v>
      </c>
      <c r="C3885" t="s">
        <v>16</v>
      </c>
      <c r="D3885">
        <v>18</v>
      </c>
      <c r="E3885">
        <v>18</v>
      </c>
      <c r="F3885">
        <v>25.36</v>
      </c>
      <c r="G3885">
        <v>0</v>
      </c>
      <c r="H3885">
        <v>0</v>
      </c>
      <c r="I3885" s="3">
        <f>E3885+G3885+H3885</f>
        <v>18</v>
      </c>
      <c r="J3885" s="3">
        <f>ROUND(MIN(IF(C3885="Técnico III",35,IF(C3885="Técnico II",28,IF(C3885="Técnico I",23,IF(C3885="JR",20,IF(C3885="Estágio",10,0))))),IF(C3885="Técnico III",SUMIFS($D:$D,$A:$A,$A3885,$B:$B,"&lt;&gt;Patrícia Karla de Sousa Araújo",$B:$B,"&lt;&gt;Lorena Dias de Araujo",$B:$B,"&lt;&gt;Lucas Luiz Romero")*(35/1083),IF(C3885="Técnico II",SUMIFS($D:$D,$A:$A,$A3885,$B:$B,"&lt;&gt;Patrícia Karla de Sousa Araújo",$B:$B,"&lt;&gt;Lorena Dias de Araujo",$B:$B,"&lt;&gt;Lucas Luiz Romero")*(28/1083),IF(C3885="Técnico I",SUMIFS($D:$D,$A:$A,$A3885,$B:$B,"&lt;&gt;Patrícia Karla de Sousa Araújo",$B:$B,"&lt;&gt;Lorena Dias de Araujo",$B:$B,"&lt;&gt;Lucas Luiz Romero")*(23/1083),IF(C3885="JR",SUMIFS($D:$D,$A:$A,$A3885,$B:$B,"&lt;&gt;Patrícia Karla de Sousa Araújo",$B:$B,"&lt;&gt;Lorena Dias de Araujo",$B:$B,"&lt;&gt;Lucas Luiz Romero")*(20/1083),IF(C3885="Estágio",SUMIFS($D:$D,$A:$A,$A3885,$B:$B,"&lt;&gt;Patrícia Karla de Sousa Araújo",$B:$B,"&lt;&gt;Lorena Dias de Araujo",$B:$B,"&lt;&gt;Lucas Luiz Romero")*(10/1083),0)))))),0)</f>
        <v>7</v>
      </c>
      <c r="K3885" s="3">
        <f>I3885-J3885</f>
        <v>11</v>
      </c>
      <c r="L3885" s="3" t="str">
        <f>IF(K3885&lt;-5,"CRÍTICO",IF(K3885&lt;0,"ATENÇÃO",IF(K3885&lt;=5,"OPORTUNO","MUITO BOM")))</f>
        <v>MUITO BOM</v>
      </c>
      <c r="M3885">
        <v>15</v>
      </c>
      <c r="N3885">
        <v>100</v>
      </c>
      <c r="O3885">
        <v>25</v>
      </c>
    </row>
    <row r="3886" spans="1:15" hidden="1" x14ac:dyDescent="0.25">
      <c r="A3886" s="11">
        <v>46122</v>
      </c>
      <c r="B3886" t="s">
        <v>43</v>
      </c>
      <c r="C3886" t="s">
        <v>32</v>
      </c>
      <c r="D3886">
        <v>13</v>
      </c>
      <c r="E3886">
        <v>11</v>
      </c>
      <c r="F3886">
        <v>18.43</v>
      </c>
      <c r="G3886">
        <v>0</v>
      </c>
      <c r="H3886">
        <v>0</v>
      </c>
      <c r="I3886" s="3">
        <f>E3886+G3886+H3886</f>
        <v>11</v>
      </c>
      <c r="J3886" s="3">
        <f>ROUND(MIN(IF(C3886="Técnico III",35,IF(C3886="Técnico II",28,IF(C3886="Técnico I",23,IF(C3886="JR",20,IF(C3886="Estágio",10,0))))),IF(C3886="Técnico III",SUMIFS($D:$D,$A:$A,$A3886,$B:$B,"&lt;&gt;Patrícia Karla de Sousa Araújo",$B:$B,"&lt;&gt;Lorena Dias de Araujo",$B:$B,"&lt;&gt;Lucas Luiz Romero")*(35/1083),IF(C3886="Técnico II",SUMIFS($D:$D,$A:$A,$A3886,$B:$B,"&lt;&gt;Patrícia Karla de Sousa Araújo",$B:$B,"&lt;&gt;Lorena Dias de Araujo",$B:$B,"&lt;&gt;Lucas Luiz Romero")*(28/1083),IF(C3886="Técnico I",SUMIFS($D:$D,$A:$A,$A3886,$B:$B,"&lt;&gt;Patrícia Karla de Sousa Araújo",$B:$B,"&lt;&gt;Lorena Dias de Araujo",$B:$B,"&lt;&gt;Lucas Luiz Romero")*(23/1083),IF(C3886="JR",SUMIFS($D:$D,$A:$A,$A3886,$B:$B,"&lt;&gt;Patrícia Karla de Sousa Araújo",$B:$B,"&lt;&gt;Lorena Dias de Araujo",$B:$B,"&lt;&gt;Lucas Luiz Romero")*(20/1083),IF(C3886="Estágio",SUMIFS($D:$D,$A:$A,$A3886,$B:$B,"&lt;&gt;Patrícia Karla de Sousa Araújo",$B:$B,"&lt;&gt;Lorena Dias de Araujo",$B:$B,"&lt;&gt;Lucas Luiz Romero")*(10/1083),0)))))),0)</f>
        <v>26</v>
      </c>
      <c r="K3886" s="3">
        <f>I3886-J3886</f>
        <v>-15</v>
      </c>
      <c r="L3886" s="3" t="str">
        <f>IF(K3886&lt;-5,"CRÍTICO",IF(K3886&lt;0,"ATENÇÃO",IF(K3886&lt;=5,"OPORTUNO","MUITO BOM")))</f>
        <v>CRÍTICO</v>
      </c>
      <c r="M3886">
        <v>19</v>
      </c>
      <c r="N3886">
        <v>100</v>
      </c>
      <c r="O3886">
        <v>23.9870340356564</v>
      </c>
    </row>
    <row r="3887" spans="1:15" hidden="1" x14ac:dyDescent="0.25">
      <c r="A3887" s="11">
        <v>46122</v>
      </c>
      <c r="B3887" t="s">
        <v>44</v>
      </c>
      <c r="C3887" t="s">
        <v>32</v>
      </c>
      <c r="D3887">
        <v>26</v>
      </c>
      <c r="E3887">
        <v>23</v>
      </c>
      <c r="F3887">
        <v>16.52</v>
      </c>
      <c r="G3887">
        <v>0</v>
      </c>
      <c r="H3887">
        <v>0</v>
      </c>
      <c r="I3887" s="3">
        <f>E3887+G3887+H3887</f>
        <v>23</v>
      </c>
      <c r="J3887" s="3">
        <f>ROUND(MIN(IF(C3887="Técnico III",35,IF(C3887="Técnico II",28,IF(C3887="Técnico I",23,IF(C3887="JR",20,IF(C3887="Estágio",10,0))))),IF(C3887="Técnico III",SUMIFS($D:$D,$A:$A,$A3887,$B:$B,"&lt;&gt;Patrícia Karla de Sousa Araújo",$B:$B,"&lt;&gt;Lorena Dias de Araujo",$B:$B,"&lt;&gt;Lucas Luiz Romero")*(35/1083),IF(C3887="Técnico II",SUMIFS($D:$D,$A:$A,$A3887,$B:$B,"&lt;&gt;Patrícia Karla de Sousa Araújo",$B:$B,"&lt;&gt;Lorena Dias de Araujo",$B:$B,"&lt;&gt;Lucas Luiz Romero")*(28/1083),IF(C3887="Técnico I",SUMIFS($D:$D,$A:$A,$A3887,$B:$B,"&lt;&gt;Patrícia Karla de Sousa Araújo",$B:$B,"&lt;&gt;Lorena Dias de Araujo",$B:$B,"&lt;&gt;Lucas Luiz Romero")*(23/1083),IF(C3887="JR",SUMIFS($D:$D,$A:$A,$A3887,$B:$B,"&lt;&gt;Patrícia Karla de Sousa Araújo",$B:$B,"&lt;&gt;Lorena Dias de Araujo",$B:$B,"&lt;&gt;Lucas Luiz Romero")*(20/1083),IF(C3887="Estágio",SUMIFS($D:$D,$A:$A,$A3887,$B:$B,"&lt;&gt;Patrícia Karla de Sousa Araújo",$B:$B,"&lt;&gt;Lorena Dias de Araujo",$B:$B,"&lt;&gt;Lucas Luiz Romero")*(10/1083),0)))))),0)</f>
        <v>26</v>
      </c>
      <c r="K3887" s="3">
        <f>I3887-J3887</f>
        <v>-3</v>
      </c>
      <c r="L3887" s="3" t="str">
        <f>IF(K3887&lt;-5,"CRÍTICO",IF(K3887&lt;0,"ATENÇÃO",IF(K3887&lt;=5,"OPORTUNO","MUITO BOM")))</f>
        <v>ATENÇÃO</v>
      </c>
      <c r="M3887">
        <v>22</v>
      </c>
      <c r="N3887">
        <v>95.49</v>
      </c>
      <c r="O3887">
        <v>28.370221327967808</v>
      </c>
    </row>
    <row r="3888" spans="1:15" hidden="1" x14ac:dyDescent="0.25">
      <c r="A3888" s="11">
        <v>46122</v>
      </c>
      <c r="B3888" t="s">
        <v>20</v>
      </c>
      <c r="C3888" t="s">
        <v>16</v>
      </c>
      <c r="D3888">
        <v>16</v>
      </c>
      <c r="E3888">
        <v>16</v>
      </c>
      <c r="F3888">
        <v>23.2</v>
      </c>
      <c r="G3888">
        <v>0</v>
      </c>
      <c r="H3888">
        <v>0</v>
      </c>
      <c r="I3888" s="3">
        <f>E3888+G3888+H3888</f>
        <v>16</v>
      </c>
      <c r="J3888" s="3">
        <f>ROUND(MIN(IF(C3888="Técnico III",35,IF(C3888="Técnico II",28,IF(C3888="Técnico I",23,IF(C3888="JR",20,IF(C3888="Estágio",10,0))))),IF(C3888="Técnico III",SUMIFS($D:$D,$A:$A,$A3888,$B:$B,"&lt;&gt;Patrícia Karla de Sousa Araújo",$B:$B,"&lt;&gt;Lorena Dias de Araujo",$B:$B,"&lt;&gt;Lucas Luiz Romero")*(35/1083),IF(C3888="Técnico II",SUMIFS($D:$D,$A:$A,$A3888,$B:$B,"&lt;&gt;Patrícia Karla de Sousa Araújo",$B:$B,"&lt;&gt;Lorena Dias de Araujo",$B:$B,"&lt;&gt;Lucas Luiz Romero")*(28/1083),IF(C3888="Técnico I",SUMIFS($D:$D,$A:$A,$A3888,$B:$B,"&lt;&gt;Patrícia Karla de Sousa Araújo",$B:$B,"&lt;&gt;Lorena Dias de Araujo",$B:$B,"&lt;&gt;Lucas Luiz Romero")*(23/1083),IF(C3888="JR",SUMIFS($D:$D,$A:$A,$A3888,$B:$B,"&lt;&gt;Patrícia Karla de Sousa Araújo",$B:$B,"&lt;&gt;Lorena Dias de Araujo",$B:$B,"&lt;&gt;Lucas Luiz Romero")*(20/1083),IF(C3888="Estágio",SUMIFS($D:$D,$A:$A,$A3888,$B:$B,"&lt;&gt;Patrícia Karla de Sousa Araújo",$B:$B,"&lt;&gt;Lorena Dias de Araujo",$B:$B,"&lt;&gt;Lucas Luiz Romero")*(10/1083),0)))))),0)</f>
        <v>7</v>
      </c>
      <c r="K3888" s="3">
        <f>I3888-J3888</f>
        <v>9</v>
      </c>
      <c r="L3888" s="3" t="str">
        <f>IF(K3888&lt;-5,"CRÍTICO",IF(K3888&lt;0,"ATENÇÃO",IF(K3888&lt;=5,"OPORTUNO","MUITO BOM")))</f>
        <v>MUITO BOM</v>
      </c>
      <c r="M3888">
        <v>10</v>
      </c>
      <c r="N3888">
        <v>100</v>
      </c>
      <c r="O3888">
        <v>23.77622377622378</v>
      </c>
    </row>
    <row r="3889" spans="1:15" hidden="1" x14ac:dyDescent="0.25">
      <c r="A3889" s="11">
        <v>46122</v>
      </c>
      <c r="B3889" t="s">
        <v>28</v>
      </c>
      <c r="C3889" t="s">
        <v>26</v>
      </c>
      <c r="D3889">
        <v>36</v>
      </c>
      <c r="E3889">
        <v>31</v>
      </c>
      <c r="F3889">
        <v>15.02</v>
      </c>
      <c r="G3889">
        <v>0</v>
      </c>
      <c r="H3889">
        <v>0</v>
      </c>
      <c r="I3889" s="3">
        <f>E3889+G3889+H3889</f>
        <v>31</v>
      </c>
      <c r="J3889" s="3">
        <f>ROUND(MIN(IF(C3889="Técnico III",35,IF(C3889="Técnico II",28,IF(C3889="Técnico I",23,IF(C3889="JR",20,IF(C3889="Estágio",10,0))))),IF(C3889="Técnico III",SUMIFS($D:$D,$A:$A,$A3889,$B:$B,"&lt;&gt;Patrícia Karla de Sousa Araújo",$B:$B,"&lt;&gt;Lorena Dias de Araujo",$B:$B,"&lt;&gt;Lucas Luiz Romero")*(35/1083),IF(C3889="Técnico II",SUMIFS($D:$D,$A:$A,$A3889,$B:$B,"&lt;&gt;Patrícia Karla de Sousa Araújo",$B:$B,"&lt;&gt;Lorena Dias de Araujo",$B:$B,"&lt;&gt;Lucas Luiz Romero")*(28/1083),IF(C3889="Técnico I",SUMIFS($D:$D,$A:$A,$A3889,$B:$B,"&lt;&gt;Patrícia Karla de Sousa Araújo",$B:$B,"&lt;&gt;Lorena Dias de Araujo",$B:$B,"&lt;&gt;Lucas Luiz Romero")*(23/1083),IF(C3889="JR",SUMIFS($D:$D,$A:$A,$A3889,$B:$B,"&lt;&gt;Patrícia Karla de Sousa Araújo",$B:$B,"&lt;&gt;Lorena Dias de Araujo",$B:$B,"&lt;&gt;Lucas Luiz Romero")*(20/1083),IF(C3889="Estágio",SUMIFS($D:$D,$A:$A,$A3889,$B:$B,"&lt;&gt;Patrícia Karla de Sousa Araújo",$B:$B,"&lt;&gt;Lorena Dias de Araujo",$B:$B,"&lt;&gt;Lucas Luiz Romero")*(10/1083),0)))))),0)</f>
        <v>15</v>
      </c>
      <c r="K3889" s="3">
        <f>I3889-J3889</f>
        <v>16</v>
      </c>
      <c r="L3889" s="3" t="str">
        <f>IF(K3889&lt;-5,"CRÍTICO",IF(K3889&lt;0,"ATENÇÃO",IF(K3889&lt;=5,"OPORTUNO","MUITO BOM")))</f>
        <v>MUITO BOM</v>
      </c>
      <c r="M3889">
        <v>20</v>
      </c>
      <c r="N3889">
        <v>96.15</v>
      </c>
      <c r="O3889">
        <v>24.045801526717561</v>
      </c>
    </row>
    <row r="3890" spans="1:15" hidden="1" x14ac:dyDescent="0.25">
      <c r="A3890" s="11">
        <v>46122</v>
      </c>
      <c r="B3890" t="s">
        <v>58</v>
      </c>
      <c r="C3890" t="s">
        <v>48</v>
      </c>
      <c r="D3890">
        <v>19</v>
      </c>
      <c r="E3890">
        <v>18</v>
      </c>
      <c r="F3890">
        <v>28.28</v>
      </c>
      <c r="G3890">
        <v>0</v>
      </c>
      <c r="H3890">
        <v>0</v>
      </c>
      <c r="I3890" s="3">
        <f>E3890+G3890+H3890</f>
        <v>18</v>
      </c>
      <c r="J3890" s="3">
        <f>ROUND(MIN(IF(C3890="Técnico III",35,IF(C3890="Técnico II",28,IF(C3890="Técnico I",23,IF(C3890="JR",20,IF(C3890="Estágio",10,0))))),IF(C3890="Técnico III",SUMIFS($D:$D,$A:$A,$A3890,$B:$B,"&lt;&gt;Patrícia Karla de Sousa Araújo",$B:$B,"&lt;&gt;Lorena Dias de Araujo",$B:$B,"&lt;&gt;Lucas Luiz Romero")*(35/1083),IF(C3890="Técnico II",SUMIFS($D:$D,$A:$A,$A3890,$B:$B,"&lt;&gt;Patrícia Karla de Sousa Araújo",$B:$B,"&lt;&gt;Lorena Dias de Araujo",$B:$B,"&lt;&gt;Lucas Luiz Romero")*(28/1083),IF(C3890="Técnico I",SUMIFS($D:$D,$A:$A,$A3890,$B:$B,"&lt;&gt;Patrícia Karla de Sousa Araújo",$B:$B,"&lt;&gt;Lorena Dias de Araujo",$B:$B,"&lt;&gt;Lucas Luiz Romero")*(23/1083),IF(C3890="JR",SUMIFS($D:$D,$A:$A,$A3890,$B:$B,"&lt;&gt;Patrícia Karla de Sousa Araújo",$B:$B,"&lt;&gt;Lorena Dias de Araujo",$B:$B,"&lt;&gt;Lucas Luiz Romero")*(20/1083),IF(C3890="Estágio",SUMIFS($D:$D,$A:$A,$A3890,$B:$B,"&lt;&gt;Patrícia Karla de Sousa Araújo",$B:$B,"&lt;&gt;Lorena Dias de Araujo",$B:$B,"&lt;&gt;Lucas Luiz Romero")*(10/1083),0)))))),0)</f>
        <v>21</v>
      </c>
      <c r="K3890" s="3">
        <f>I3890-J3890</f>
        <v>-3</v>
      </c>
      <c r="L3890" s="3" t="str">
        <f>IF(K3890&lt;-5,"CRÍTICO",IF(K3890&lt;0,"ATENÇÃO",IF(K3890&lt;=5,"OPORTUNO","MUITO BOM")))</f>
        <v>ATENÇÃO</v>
      </c>
      <c r="M3890">
        <v>16</v>
      </c>
      <c r="N3890">
        <v>99.02</v>
      </c>
      <c r="O3890">
        <v>34.797297297297298</v>
      </c>
    </row>
    <row r="3891" spans="1:15" hidden="1" x14ac:dyDescent="0.25">
      <c r="A3891" s="11">
        <v>46122</v>
      </c>
      <c r="B3891" t="s">
        <v>29</v>
      </c>
      <c r="C3891" t="s">
        <v>26</v>
      </c>
      <c r="D3891">
        <v>15</v>
      </c>
      <c r="E3891">
        <v>12</v>
      </c>
      <c r="F3891">
        <v>20.53</v>
      </c>
      <c r="G3891">
        <v>0</v>
      </c>
      <c r="H3891">
        <v>0</v>
      </c>
      <c r="I3891" s="3">
        <f>E3891+G3891+H3891</f>
        <v>12</v>
      </c>
      <c r="J3891" s="3">
        <f>ROUND(MIN(IF(C3891="Técnico III",35,IF(C3891="Técnico II",28,IF(C3891="Técnico I",23,IF(C3891="JR",20,IF(C3891="Estágio",10,0))))),IF(C3891="Técnico III",SUMIFS($D:$D,$A:$A,$A3891,$B:$B,"&lt;&gt;Patrícia Karla de Sousa Araújo",$B:$B,"&lt;&gt;Lorena Dias de Araujo",$B:$B,"&lt;&gt;Lucas Luiz Romero")*(35/1083),IF(C3891="Técnico II",SUMIFS($D:$D,$A:$A,$A3891,$B:$B,"&lt;&gt;Patrícia Karla de Sousa Araújo",$B:$B,"&lt;&gt;Lorena Dias de Araujo",$B:$B,"&lt;&gt;Lucas Luiz Romero")*(28/1083),IF(C3891="Técnico I",SUMIFS($D:$D,$A:$A,$A3891,$B:$B,"&lt;&gt;Patrícia Karla de Sousa Araújo",$B:$B,"&lt;&gt;Lorena Dias de Araujo",$B:$B,"&lt;&gt;Lucas Luiz Romero")*(23/1083),IF(C3891="JR",SUMIFS($D:$D,$A:$A,$A3891,$B:$B,"&lt;&gt;Patrícia Karla de Sousa Araújo",$B:$B,"&lt;&gt;Lorena Dias de Araujo",$B:$B,"&lt;&gt;Lucas Luiz Romero")*(20/1083),IF(C3891="Estágio",SUMIFS($D:$D,$A:$A,$A3891,$B:$B,"&lt;&gt;Patrícia Karla de Sousa Araújo",$B:$B,"&lt;&gt;Lorena Dias de Araujo",$B:$B,"&lt;&gt;Lucas Luiz Romero")*(10/1083),0)))))),0)</f>
        <v>15</v>
      </c>
      <c r="K3891" s="3">
        <f>I3891-J3891</f>
        <v>-3</v>
      </c>
      <c r="L3891" s="3" t="str">
        <f>IF(K3891&lt;-5,"CRÍTICO",IF(K3891&lt;0,"ATENÇÃO",IF(K3891&lt;=5,"OPORTUNO","MUITO BOM")))</f>
        <v>ATENÇÃO</v>
      </c>
      <c r="M3891">
        <v>11</v>
      </c>
      <c r="N3891">
        <v>98.84</v>
      </c>
      <c r="O3891">
        <v>31.868131868131869</v>
      </c>
    </row>
    <row r="3892" spans="1:15" hidden="1" x14ac:dyDescent="0.25">
      <c r="A3892" s="11">
        <v>46122</v>
      </c>
      <c r="B3892" t="s">
        <v>30</v>
      </c>
      <c r="C3892" t="s">
        <v>26</v>
      </c>
      <c r="D3892">
        <v>21</v>
      </c>
      <c r="E3892">
        <v>20</v>
      </c>
      <c r="F3892">
        <v>14.01</v>
      </c>
      <c r="G3892">
        <v>0</v>
      </c>
      <c r="H3892">
        <v>0</v>
      </c>
      <c r="I3892" s="3">
        <f>E3892+G3892+H3892</f>
        <v>20</v>
      </c>
      <c r="J3892" s="3">
        <f>ROUND(MIN(IF(C3892="Técnico III",35,IF(C3892="Técnico II",28,IF(C3892="Técnico I",23,IF(C3892="JR",20,IF(C3892="Estágio",10,0))))),IF(C3892="Técnico III",SUMIFS($D:$D,$A:$A,$A3892,$B:$B,"&lt;&gt;Patrícia Karla de Sousa Araújo",$B:$B,"&lt;&gt;Lorena Dias de Araujo",$B:$B,"&lt;&gt;Lucas Luiz Romero")*(35/1083),IF(C3892="Técnico II",SUMIFS($D:$D,$A:$A,$A3892,$B:$B,"&lt;&gt;Patrícia Karla de Sousa Araújo",$B:$B,"&lt;&gt;Lorena Dias de Araujo",$B:$B,"&lt;&gt;Lucas Luiz Romero")*(28/1083),IF(C3892="Técnico I",SUMIFS($D:$D,$A:$A,$A3892,$B:$B,"&lt;&gt;Patrícia Karla de Sousa Araújo",$B:$B,"&lt;&gt;Lorena Dias de Araujo",$B:$B,"&lt;&gt;Lucas Luiz Romero")*(23/1083),IF(C3892="JR",SUMIFS($D:$D,$A:$A,$A3892,$B:$B,"&lt;&gt;Patrícia Karla de Sousa Araújo",$B:$B,"&lt;&gt;Lorena Dias de Araujo",$B:$B,"&lt;&gt;Lucas Luiz Romero")*(20/1083),IF(C3892="Estágio",SUMIFS($D:$D,$A:$A,$A3892,$B:$B,"&lt;&gt;Patrícia Karla de Sousa Araújo",$B:$B,"&lt;&gt;Lorena Dias de Araujo",$B:$B,"&lt;&gt;Lucas Luiz Romero")*(10/1083),0)))))),0)</f>
        <v>15</v>
      </c>
      <c r="K3892" s="3">
        <f>I3892-J3892</f>
        <v>5</v>
      </c>
      <c r="L3892" s="3" t="str">
        <f>IF(K3892&lt;-5,"CRÍTICO",IF(K3892&lt;0,"ATENÇÃO",IF(K3892&lt;=5,"OPORTUNO","MUITO BOM")))</f>
        <v>OPORTUNO</v>
      </c>
      <c r="M3892">
        <v>18</v>
      </c>
      <c r="N3892">
        <v>100</v>
      </c>
      <c r="O3892">
        <v>34.666666666666671</v>
      </c>
    </row>
    <row r="3893" spans="1:15" hidden="1" x14ac:dyDescent="0.25">
      <c r="A3893" s="11">
        <v>46122</v>
      </c>
      <c r="B3893" t="s">
        <v>21</v>
      </c>
      <c r="C3893" t="s">
        <v>16</v>
      </c>
      <c r="D3893">
        <v>9</v>
      </c>
      <c r="E3893">
        <v>7</v>
      </c>
      <c r="F3893">
        <v>24.15</v>
      </c>
      <c r="G3893">
        <v>0</v>
      </c>
      <c r="H3893">
        <v>0</v>
      </c>
      <c r="I3893" s="3">
        <f>E3893+G3893+H3893</f>
        <v>7</v>
      </c>
      <c r="J3893" s="3">
        <f>ROUND(MIN(IF(C3893="Técnico III",35,IF(C3893="Técnico II",28,IF(C3893="Técnico I",23,IF(C3893="JR",20,IF(C3893="Estágio",10,0))))),IF(C3893="Técnico III",SUMIFS($D:$D,$A:$A,$A3893,$B:$B,"&lt;&gt;Patrícia Karla de Sousa Araújo",$B:$B,"&lt;&gt;Lorena Dias de Araujo",$B:$B,"&lt;&gt;Lucas Luiz Romero")*(35/1083),IF(C3893="Técnico II",SUMIFS($D:$D,$A:$A,$A3893,$B:$B,"&lt;&gt;Patrícia Karla de Sousa Araújo",$B:$B,"&lt;&gt;Lorena Dias de Araujo",$B:$B,"&lt;&gt;Lucas Luiz Romero")*(28/1083),IF(C3893="Técnico I",SUMIFS($D:$D,$A:$A,$A3893,$B:$B,"&lt;&gt;Patrícia Karla de Sousa Araújo",$B:$B,"&lt;&gt;Lorena Dias de Araujo",$B:$B,"&lt;&gt;Lucas Luiz Romero")*(23/1083),IF(C3893="JR",SUMIFS($D:$D,$A:$A,$A3893,$B:$B,"&lt;&gt;Patrícia Karla de Sousa Araújo",$B:$B,"&lt;&gt;Lorena Dias de Araujo",$B:$B,"&lt;&gt;Lucas Luiz Romero")*(20/1083),IF(C3893="Estágio",SUMIFS($D:$D,$A:$A,$A3893,$B:$B,"&lt;&gt;Patrícia Karla de Sousa Araújo",$B:$B,"&lt;&gt;Lorena Dias de Araujo",$B:$B,"&lt;&gt;Lucas Luiz Romero")*(10/1083),0)))))),0)</f>
        <v>7</v>
      </c>
      <c r="K3893" s="3">
        <f>I3893-J3893</f>
        <v>0</v>
      </c>
      <c r="L3893" s="3" t="str">
        <f>IF(K3893&lt;-5,"CRÍTICO",IF(K3893&lt;0,"ATENÇÃO",IF(K3893&lt;=5,"OPORTUNO","MUITO BOM")))</f>
        <v>OPORTUNO</v>
      </c>
      <c r="M3893">
        <v>6</v>
      </c>
      <c r="N3893">
        <v>94.12</v>
      </c>
      <c r="O3893">
        <v>32.799999999999997</v>
      </c>
    </row>
    <row r="3894" spans="1:15" hidden="1" x14ac:dyDescent="0.25">
      <c r="A3894" s="11">
        <v>46122</v>
      </c>
      <c r="B3894" t="s">
        <v>63</v>
      </c>
      <c r="C3894" t="s">
        <v>23</v>
      </c>
      <c r="D3894">
        <v>27</v>
      </c>
      <c r="E3894">
        <v>25</v>
      </c>
      <c r="F3894">
        <v>10.57</v>
      </c>
      <c r="G3894">
        <v>0</v>
      </c>
      <c r="H3894">
        <v>0</v>
      </c>
      <c r="I3894" s="3">
        <f>E3894+G3894+H3894</f>
        <v>25</v>
      </c>
      <c r="J3894" s="3">
        <f>ROUND(MIN(IF(C3894="Técnico III",35,IF(C3894="Técnico II",28,IF(C3894="Técnico I",23,IF(C3894="JR",20,IF(C3894="Estágio",10,0))))),IF(C3894="Técnico III",SUMIFS($D:$D,$A:$A,$A3894,$B:$B,"&lt;&gt;Patrícia Karla de Sousa Araújo",$B:$B,"&lt;&gt;Lorena Dias de Araujo",$B:$B,"&lt;&gt;Lucas Luiz Romero")*(35/1083),IF(C3894="Técnico II",SUMIFS($D:$D,$A:$A,$A3894,$B:$B,"&lt;&gt;Patrícia Karla de Sousa Araújo",$B:$B,"&lt;&gt;Lorena Dias de Araujo",$B:$B,"&lt;&gt;Lucas Luiz Romero")*(28/1083),IF(C3894="Técnico I",SUMIFS($D:$D,$A:$A,$A3894,$B:$B,"&lt;&gt;Patrícia Karla de Sousa Araújo",$B:$B,"&lt;&gt;Lorena Dias de Araujo",$B:$B,"&lt;&gt;Lucas Luiz Romero")*(23/1083),IF(C3894="JR",SUMIFS($D:$D,$A:$A,$A3894,$B:$B,"&lt;&gt;Patrícia Karla de Sousa Araújo",$B:$B,"&lt;&gt;Lorena Dias de Araujo",$B:$B,"&lt;&gt;Lucas Luiz Romero")*(20/1083),IF(C3894="Estágio",SUMIFS($D:$D,$A:$A,$A3894,$B:$B,"&lt;&gt;Patrícia Karla de Sousa Araújo",$B:$B,"&lt;&gt;Lorena Dias de Araujo",$B:$B,"&lt;&gt;Lucas Luiz Romero")*(10/1083),0)))))),0)</f>
        <v>17</v>
      </c>
      <c r="K3894" s="3">
        <f>I3894-J3894</f>
        <v>8</v>
      </c>
      <c r="L3894" s="3" t="str">
        <f>IF(K3894&lt;-5,"CRÍTICO",IF(K3894&lt;0,"ATENÇÃO",IF(K3894&lt;=5,"OPORTUNO","MUITO BOM")))</f>
        <v>MUITO BOM</v>
      </c>
      <c r="M3894">
        <v>19</v>
      </c>
      <c r="N3894">
        <v>98.32</v>
      </c>
      <c r="O3894">
        <v>26.858513189448441</v>
      </c>
    </row>
    <row r="3895" spans="1:15" hidden="1" x14ac:dyDescent="0.25">
      <c r="A3895" s="11">
        <v>46122</v>
      </c>
      <c r="B3895" t="s">
        <v>45</v>
      </c>
      <c r="C3895" t="s">
        <v>32</v>
      </c>
      <c r="D3895">
        <v>37</v>
      </c>
      <c r="E3895">
        <v>34</v>
      </c>
      <c r="F3895">
        <v>13.45</v>
      </c>
      <c r="G3895">
        <v>0</v>
      </c>
      <c r="H3895">
        <v>0</v>
      </c>
      <c r="I3895" s="3">
        <f>E3895+G3895+H3895</f>
        <v>34</v>
      </c>
      <c r="J3895" s="3">
        <f>ROUND(MIN(IF(C3895="Técnico III",35,IF(C3895="Técnico II",28,IF(C3895="Técnico I",23,IF(C3895="JR",20,IF(C3895="Estágio",10,0))))),IF(C3895="Técnico III",SUMIFS($D:$D,$A:$A,$A3895,$B:$B,"&lt;&gt;Patrícia Karla de Sousa Araújo",$B:$B,"&lt;&gt;Lorena Dias de Araujo",$B:$B,"&lt;&gt;Lucas Luiz Romero")*(35/1083),IF(C3895="Técnico II",SUMIFS($D:$D,$A:$A,$A3895,$B:$B,"&lt;&gt;Patrícia Karla de Sousa Araújo",$B:$B,"&lt;&gt;Lorena Dias de Araujo",$B:$B,"&lt;&gt;Lucas Luiz Romero")*(28/1083),IF(C3895="Técnico I",SUMIFS($D:$D,$A:$A,$A3895,$B:$B,"&lt;&gt;Patrícia Karla de Sousa Araújo",$B:$B,"&lt;&gt;Lorena Dias de Araujo",$B:$B,"&lt;&gt;Lucas Luiz Romero")*(23/1083),IF(C3895="JR",SUMIFS($D:$D,$A:$A,$A3895,$B:$B,"&lt;&gt;Patrícia Karla de Sousa Araújo",$B:$B,"&lt;&gt;Lorena Dias de Araujo",$B:$B,"&lt;&gt;Lucas Luiz Romero")*(20/1083),IF(C3895="Estágio",SUMIFS($D:$D,$A:$A,$A3895,$B:$B,"&lt;&gt;Patrícia Karla de Sousa Araújo",$B:$B,"&lt;&gt;Lorena Dias de Araujo",$B:$B,"&lt;&gt;Lucas Luiz Romero")*(10/1083),0)))))),0)</f>
        <v>26</v>
      </c>
      <c r="K3895" s="3">
        <f>I3895-J3895</f>
        <v>8</v>
      </c>
      <c r="L3895" s="3" t="str">
        <f>IF(K3895&lt;-5,"CRÍTICO",IF(K3895&lt;0,"ATENÇÃO",IF(K3895&lt;=5,"OPORTUNO","MUITO BOM")))</f>
        <v>MUITO BOM</v>
      </c>
      <c r="M3895">
        <v>32</v>
      </c>
      <c r="N3895">
        <v>100</v>
      </c>
      <c r="O3895">
        <v>31.135531135531139</v>
      </c>
    </row>
    <row r="3896" spans="1:15" hidden="1" x14ac:dyDescent="0.25">
      <c r="A3896" s="11">
        <v>46122</v>
      </c>
      <c r="B3896" t="s">
        <v>64</v>
      </c>
      <c r="C3896" t="s">
        <v>23</v>
      </c>
      <c r="D3896">
        <v>14</v>
      </c>
      <c r="E3896">
        <v>13</v>
      </c>
      <c r="F3896">
        <v>38.409999999999997</v>
      </c>
      <c r="G3896">
        <v>0</v>
      </c>
      <c r="H3896">
        <v>0</v>
      </c>
      <c r="I3896" s="3">
        <f>E3896+G3896+H3896</f>
        <v>13</v>
      </c>
      <c r="J3896" s="3">
        <f>ROUND(MIN(IF(C3896="Técnico III",35,IF(C3896="Técnico II",28,IF(C3896="Técnico I",23,IF(C3896="JR",20,IF(C3896="Estágio",10,0))))),IF(C3896="Técnico III",SUMIFS($D:$D,$A:$A,$A3896,$B:$B,"&lt;&gt;Patrícia Karla de Sousa Araújo",$B:$B,"&lt;&gt;Lorena Dias de Araujo",$B:$B,"&lt;&gt;Lucas Luiz Romero")*(35/1083),IF(C3896="Técnico II",SUMIFS($D:$D,$A:$A,$A3896,$B:$B,"&lt;&gt;Patrícia Karla de Sousa Araújo",$B:$B,"&lt;&gt;Lorena Dias de Araujo",$B:$B,"&lt;&gt;Lucas Luiz Romero")*(28/1083),IF(C3896="Técnico I",SUMIFS($D:$D,$A:$A,$A3896,$B:$B,"&lt;&gt;Patrícia Karla de Sousa Araújo",$B:$B,"&lt;&gt;Lorena Dias de Araujo",$B:$B,"&lt;&gt;Lucas Luiz Romero")*(23/1083),IF(C3896="JR",SUMIFS($D:$D,$A:$A,$A3896,$B:$B,"&lt;&gt;Patrícia Karla de Sousa Araújo",$B:$B,"&lt;&gt;Lorena Dias de Araujo",$B:$B,"&lt;&gt;Lucas Luiz Romero")*(20/1083),IF(C3896="Estágio",SUMIFS($D:$D,$A:$A,$A3896,$B:$B,"&lt;&gt;Patrícia Karla de Sousa Araújo",$B:$B,"&lt;&gt;Lorena Dias de Araujo",$B:$B,"&lt;&gt;Lucas Luiz Romero")*(10/1083),0)))))),0)</f>
        <v>17</v>
      </c>
      <c r="K3896" s="3">
        <f>I3896-J3896</f>
        <v>-4</v>
      </c>
      <c r="L3896" s="3" t="str">
        <f>IF(K3896&lt;-5,"CRÍTICO",IF(K3896&lt;0,"ATENÇÃO",IF(K3896&lt;=5,"OPORTUNO","MUITO BOM")))</f>
        <v>ATENÇÃO</v>
      </c>
      <c r="M3896">
        <v>12</v>
      </c>
      <c r="N3896">
        <v>100</v>
      </c>
      <c r="O3896">
        <v>26.36986301369863</v>
      </c>
    </row>
    <row r="3897" spans="1:15" hidden="1" x14ac:dyDescent="0.25">
      <c r="A3897" s="11">
        <v>46122</v>
      </c>
      <c r="B3897" t="s">
        <v>46</v>
      </c>
      <c r="C3897" t="s">
        <v>32</v>
      </c>
      <c r="D3897">
        <v>13</v>
      </c>
      <c r="E3897">
        <v>11</v>
      </c>
      <c r="F3897">
        <v>12.26</v>
      </c>
      <c r="G3897">
        <v>0</v>
      </c>
      <c r="H3897">
        <v>0</v>
      </c>
      <c r="I3897" s="3">
        <f>E3897+G3897+H3897</f>
        <v>11</v>
      </c>
      <c r="J3897" s="3">
        <f>ROUND(MIN(IF(C3897="Técnico III",35,IF(C3897="Técnico II",28,IF(C3897="Técnico I",23,IF(C3897="JR",20,IF(C3897="Estágio",10,0))))),IF(C3897="Técnico III",SUMIFS($D:$D,$A:$A,$A3897,$B:$B,"&lt;&gt;Patrícia Karla de Sousa Araújo",$B:$B,"&lt;&gt;Lorena Dias de Araujo",$B:$B,"&lt;&gt;Lucas Luiz Romero")*(35/1083),IF(C3897="Técnico II",SUMIFS($D:$D,$A:$A,$A3897,$B:$B,"&lt;&gt;Patrícia Karla de Sousa Araújo",$B:$B,"&lt;&gt;Lorena Dias de Araujo",$B:$B,"&lt;&gt;Lucas Luiz Romero")*(28/1083),IF(C3897="Técnico I",SUMIFS($D:$D,$A:$A,$A3897,$B:$B,"&lt;&gt;Patrícia Karla de Sousa Araújo",$B:$B,"&lt;&gt;Lorena Dias de Araujo",$B:$B,"&lt;&gt;Lucas Luiz Romero")*(23/1083),IF(C3897="JR",SUMIFS($D:$D,$A:$A,$A3897,$B:$B,"&lt;&gt;Patrícia Karla de Sousa Araújo",$B:$B,"&lt;&gt;Lorena Dias de Araujo",$B:$B,"&lt;&gt;Lucas Luiz Romero")*(20/1083),IF(C3897="Estágio",SUMIFS($D:$D,$A:$A,$A3897,$B:$B,"&lt;&gt;Patrícia Karla de Sousa Araújo",$B:$B,"&lt;&gt;Lorena Dias de Araujo",$B:$B,"&lt;&gt;Lucas Luiz Romero")*(10/1083),0)))))),0)</f>
        <v>26</v>
      </c>
      <c r="K3897" s="3">
        <f>I3897-J3897</f>
        <v>-15</v>
      </c>
      <c r="L3897" s="3" t="str">
        <f>IF(K3897&lt;-5,"CRÍTICO",IF(K3897&lt;0,"ATENÇÃO",IF(K3897&lt;=5,"OPORTUNO","MUITO BOM")))</f>
        <v>CRÍTICO</v>
      </c>
      <c r="M3897">
        <v>11</v>
      </c>
      <c r="N3897">
        <v>99.21</v>
      </c>
      <c r="O3897">
        <v>25.188916876574311</v>
      </c>
    </row>
    <row r="3898" spans="1:15" hidden="1" x14ac:dyDescent="0.25">
      <c r="A3898" s="11">
        <v>46125</v>
      </c>
      <c r="B3898" t="s">
        <v>47</v>
      </c>
      <c r="C3898" t="s">
        <v>48</v>
      </c>
      <c r="D3898">
        <v>26</v>
      </c>
      <c r="E3898">
        <v>15</v>
      </c>
      <c r="F3898">
        <v>13.33</v>
      </c>
      <c r="G3898">
        <v>0</v>
      </c>
      <c r="H3898">
        <v>0</v>
      </c>
      <c r="I3898" s="3">
        <f>E3898+G3898+H3898</f>
        <v>15</v>
      </c>
      <c r="J3898" s="3">
        <f>ROUND(MIN(IF(C3898="Técnico III",35,IF(C3898="Técnico II",28,IF(C3898="Técnico I",23,IF(C3898="JR",20,IF(C3898="Estágio",10,0))))),IF(C3898="Técnico III",SUMIFS($D:$D,$A:$A,$A3898,$B:$B,"&lt;&gt;Patrícia Karla de Sousa Araújo",$B:$B,"&lt;&gt;Lorena Dias de Araujo",$B:$B,"&lt;&gt;Lucas Luiz Romero")*(35/1083),IF(C3898="Técnico II",SUMIFS($D:$D,$A:$A,$A3898,$B:$B,"&lt;&gt;Patrícia Karla de Sousa Araújo",$B:$B,"&lt;&gt;Lorena Dias de Araujo",$B:$B,"&lt;&gt;Lucas Luiz Romero")*(28/1083),IF(C3898="Técnico I",SUMIFS($D:$D,$A:$A,$A3898,$B:$B,"&lt;&gt;Patrícia Karla de Sousa Araújo",$B:$B,"&lt;&gt;Lorena Dias de Araujo",$B:$B,"&lt;&gt;Lucas Luiz Romero")*(23/1083),IF(C3898="JR",SUMIFS($D:$D,$A:$A,$A3898,$B:$B,"&lt;&gt;Patrícia Karla de Sousa Araújo",$B:$B,"&lt;&gt;Lorena Dias de Araujo",$B:$B,"&lt;&gt;Lucas Luiz Romero")*(20/1083),IF(C3898="Estágio",SUMIFS($D:$D,$A:$A,$A3898,$B:$B,"&lt;&gt;Patrícia Karla de Sousa Araújo",$B:$B,"&lt;&gt;Lorena Dias de Araujo",$B:$B,"&lt;&gt;Lucas Luiz Romero")*(10/1083),0)))))),0)</f>
        <v>20</v>
      </c>
      <c r="K3898" s="3">
        <f>I3898-J3898</f>
        <v>-5</v>
      </c>
      <c r="L3898" s="3" t="str">
        <f>IF(K3898&lt;-5,"CRÍTICO",IF(K3898&lt;0,"ATENÇÃO",IF(K3898&lt;=5,"OPORTUNO","MUITO BOM")))</f>
        <v>ATENÇÃO</v>
      </c>
      <c r="M3898">
        <v>9</v>
      </c>
      <c r="N3898">
        <v>100</v>
      </c>
      <c r="O3898">
        <v>32.764505119453922</v>
      </c>
    </row>
    <row r="3899" spans="1:15" hidden="1" x14ac:dyDescent="0.25">
      <c r="A3899" s="11">
        <v>46125</v>
      </c>
      <c r="B3899" t="s">
        <v>31</v>
      </c>
      <c r="C3899" t="s">
        <v>32</v>
      </c>
      <c r="D3899">
        <v>0</v>
      </c>
      <c r="E3899">
        <v>0</v>
      </c>
      <c r="F3899">
        <v>0</v>
      </c>
      <c r="G3899">
        <v>0</v>
      </c>
      <c r="H3899">
        <v>0</v>
      </c>
      <c r="I3899" s="3">
        <v>0</v>
      </c>
      <c r="J3899" s="3">
        <v>0</v>
      </c>
      <c r="K3899" s="3">
        <v>0</v>
      </c>
      <c r="L3899" s="3" t="str">
        <f>IF(K3899&lt;-5,"CRÍTICO",IF(K3899&lt;0,"ATENÇÃO",IF(K3899&lt;=5,"OPORTUNO","MUITO BOM")))</f>
        <v>OPORTUNO</v>
      </c>
      <c r="M3899">
        <v>19</v>
      </c>
      <c r="N3899">
        <v>98.66</v>
      </c>
      <c r="O3899">
        <v>35.416666666666671</v>
      </c>
    </row>
    <row r="3900" spans="1:15" hidden="1" x14ac:dyDescent="0.25">
      <c r="A3900" s="11">
        <v>46125</v>
      </c>
      <c r="B3900" t="s">
        <v>59</v>
      </c>
      <c r="C3900" t="s">
        <v>23</v>
      </c>
      <c r="D3900">
        <v>30</v>
      </c>
      <c r="E3900">
        <v>29</v>
      </c>
      <c r="F3900">
        <v>23.23</v>
      </c>
      <c r="G3900">
        <v>0</v>
      </c>
      <c r="H3900">
        <v>0</v>
      </c>
      <c r="I3900" s="3">
        <f>E3900+G3900+H3900</f>
        <v>29</v>
      </c>
      <c r="J3900" s="3">
        <f>ROUND(MIN(IF(C3900="Técnico III",35,IF(C3900="Técnico II",28,IF(C3900="Técnico I",23,IF(C3900="JR",20,IF(C3900="Estágio",10,0))))),IF(C3900="Técnico III",SUMIFS($D:$D,$A:$A,$A3900,$B:$B,"&lt;&gt;Patrícia Karla de Sousa Araújo",$B:$B,"&lt;&gt;Lorena Dias de Araujo",$B:$B,"&lt;&gt;Lucas Luiz Romero")*(35/1083),IF(C3900="Técnico II",SUMIFS($D:$D,$A:$A,$A3900,$B:$B,"&lt;&gt;Patrícia Karla de Sousa Araújo",$B:$B,"&lt;&gt;Lorena Dias de Araujo",$B:$B,"&lt;&gt;Lucas Luiz Romero")*(28/1083),IF(C3900="Técnico I",SUMIFS($D:$D,$A:$A,$A3900,$B:$B,"&lt;&gt;Patrícia Karla de Sousa Araújo",$B:$B,"&lt;&gt;Lorena Dias de Araujo",$B:$B,"&lt;&gt;Lucas Luiz Romero")*(23/1083),IF(C3900="JR",SUMIFS($D:$D,$A:$A,$A3900,$B:$B,"&lt;&gt;Patrícia Karla de Sousa Araújo",$B:$B,"&lt;&gt;Lorena Dias de Araujo",$B:$B,"&lt;&gt;Lucas Luiz Romero")*(20/1083),IF(C3900="Estágio",SUMIFS($D:$D,$A:$A,$A3900,$B:$B,"&lt;&gt;Patrícia Karla de Sousa Araújo",$B:$B,"&lt;&gt;Lorena Dias de Araujo",$B:$B,"&lt;&gt;Lucas Luiz Romero")*(10/1083),0)))))),0)</f>
        <v>17</v>
      </c>
      <c r="K3900" s="3">
        <f>I3900-J3900</f>
        <v>12</v>
      </c>
      <c r="L3900" s="3" t="str">
        <f>IF(K3900&lt;-5,"CRÍTICO",IF(K3900&lt;0,"ATENÇÃO",IF(K3900&lt;=5,"OPORTUNO","MUITO BOM")))</f>
        <v>MUITO BOM</v>
      </c>
      <c r="M3900">
        <v>20</v>
      </c>
      <c r="N3900">
        <v>99.32</v>
      </c>
      <c r="O3900">
        <v>30.648330058939099</v>
      </c>
    </row>
    <row r="3901" spans="1:15" hidden="1" x14ac:dyDescent="0.25">
      <c r="A3901" s="11">
        <v>46125</v>
      </c>
      <c r="B3901" t="s">
        <v>33</v>
      </c>
      <c r="C3901" t="s">
        <v>32</v>
      </c>
      <c r="D3901">
        <v>13</v>
      </c>
      <c r="E3901">
        <v>13</v>
      </c>
      <c r="F3901">
        <v>12.23</v>
      </c>
      <c r="G3901">
        <v>0</v>
      </c>
      <c r="H3901">
        <v>0</v>
      </c>
      <c r="I3901" s="3">
        <f>E3901+G3901+H3901</f>
        <v>13</v>
      </c>
      <c r="J3901" s="3">
        <f>ROUND(MIN(IF(C3901="Técnico III",35,IF(C3901="Técnico II",28,IF(C3901="Técnico I",23,IF(C3901="JR",20,IF(C3901="Estágio",10,0))))),IF(C3901="Técnico III",SUMIFS($D:$D,$A:$A,$A3901,$B:$B,"&lt;&gt;Patrícia Karla de Sousa Araújo",$B:$B,"&lt;&gt;Lorena Dias de Araujo",$B:$B,"&lt;&gt;Lucas Luiz Romero")*(35/1083),IF(C3901="Técnico II",SUMIFS($D:$D,$A:$A,$A3901,$B:$B,"&lt;&gt;Patrícia Karla de Sousa Araújo",$B:$B,"&lt;&gt;Lorena Dias de Araujo",$B:$B,"&lt;&gt;Lucas Luiz Romero")*(28/1083),IF(C3901="Técnico I",SUMIFS($D:$D,$A:$A,$A3901,$B:$B,"&lt;&gt;Patrícia Karla de Sousa Araújo",$B:$B,"&lt;&gt;Lorena Dias de Araujo",$B:$B,"&lt;&gt;Lucas Luiz Romero")*(23/1083),IF(C3901="JR",SUMIFS($D:$D,$A:$A,$A3901,$B:$B,"&lt;&gt;Patrícia Karla de Sousa Araújo",$B:$B,"&lt;&gt;Lorena Dias de Araujo",$B:$B,"&lt;&gt;Lucas Luiz Romero")*(20/1083),IF(C3901="Estágio",SUMIFS($D:$D,$A:$A,$A3901,$B:$B,"&lt;&gt;Patrícia Karla de Sousa Araújo",$B:$B,"&lt;&gt;Lorena Dias de Araujo",$B:$B,"&lt;&gt;Lucas Luiz Romero")*(10/1083),0)))))),0)</f>
        <v>25</v>
      </c>
      <c r="K3901" s="3">
        <f>I3901-J3901</f>
        <v>-12</v>
      </c>
      <c r="L3901" s="3" t="str">
        <f>IF(K3901&lt;-5,"CRÍTICO",IF(K3901&lt;0,"ATENÇÃO",IF(K3901&lt;=5,"OPORTUNO","MUITO BOM")))</f>
        <v>CRÍTICO</v>
      </c>
      <c r="M3901">
        <v>14</v>
      </c>
      <c r="N3901">
        <v>100</v>
      </c>
      <c r="O3901">
        <v>27.803738317757009</v>
      </c>
    </row>
    <row r="3902" spans="1:15" hidden="1" x14ac:dyDescent="0.25">
      <c r="A3902" s="11">
        <v>46125</v>
      </c>
      <c r="B3902" t="s">
        <v>15</v>
      </c>
      <c r="C3902" t="s">
        <v>16</v>
      </c>
      <c r="D3902">
        <v>27</v>
      </c>
      <c r="E3902">
        <v>25</v>
      </c>
      <c r="F3902">
        <v>17.12</v>
      </c>
      <c r="G3902">
        <v>0</v>
      </c>
      <c r="H3902">
        <v>0</v>
      </c>
      <c r="I3902" s="3">
        <f>E3902+G3902+H3902</f>
        <v>25</v>
      </c>
      <c r="J3902" s="3">
        <f>ROUND(MIN(IF(C3902="Técnico III",35,IF(C3902="Técnico II",28,IF(C3902="Técnico I",23,IF(C3902="JR",20,IF(C3902="Estágio",10,0))))),IF(C3902="Técnico III",SUMIFS($D:$D,$A:$A,$A3902,$B:$B,"&lt;&gt;Patrícia Karla de Sousa Araújo",$B:$B,"&lt;&gt;Lorena Dias de Araujo",$B:$B,"&lt;&gt;Lucas Luiz Romero")*(35/1083),IF(C3902="Técnico II",SUMIFS($D:$D,$A:$A,$A3902,$B:$B,"&lt;&gt;Patrícia Karla de Sousa Araújo",$B:$B,"&lt;&gt;Lorena Dias de Araujo",$B:$B,"&lt;&gt;Lucas Luiz Romero")*(28/1083),IF(C3902="Técnico I",SUMIFS($D:$D,$A:$A,$A3902,$B:$B,"&lt;&gt;Patrícia Karla de Sousa Araújo",$B:$B,"&lt;&gt;Lorena Dias de Araujo",$B:$B,"&lt;&gt;Lucas Luiz Romero")*(23/1083),IF(C3902="JR",SUMIFS($D:$D,$A:$A,$A3902,$B:$B,"&lt;&gt;Patrícia Karla de Sousa Araújo",$B:$B,"&lt;&gt;Lorena Dias de Araujo",$B:$B,"&lt;&gt;Lucas Luiz Romero")*(20/1083),IF(C3902="Estágio",SUMIFS($D:$D,$A:$A,$A3902,$B:$B,"&lt;&gt;Patrícia Karla de Sousa Araújo",$B:$B,"&lt;&gt;Lorena Dias de Araujo",$B:$B,"&lt;&gt;Lucas Luiz Romero")*(10/1083),0)))))),0)</f>
        <v>7</v>
      </c>
      <c r="K3902" s="3">
        <f>I3902-J3902</f>
        <v>18</v>
      </c>
      <c r="L3902" s="3" t="str">
        <f>IF(K3902&lt;-5,"CRÍTICO",IF(K3902&lt;0,"ATENÇÃO",IF(K3902&lt;=5,"OPORTUNO","MUITO BOM")))</f>
        <v>MUITO BOM</v>
      </c>
      <c r="M3902">
        <v>22</v>
      </c>
      <c r="N3902">
        <v>96.74</v>
      </c>
      <c r="O3902">
        <v>28.67647058823529</v>
      </c>
    </row>
    <row r="3903" spans="1:15" hidden="1" x14ac:dyDescent="0.25">
      <c r="A3903" s="11">
        <v>46125</v>
      </c>
      <c r="B3903" t="s">
        <v>49</v>
      </c>
      <c r="C3903" t="s">
        <v>48</v>
      </c>
      <c r="D3903">
        <v>28</v>
      </c>
      <c r="E3903">
        <v>27</v>
      </c>
      <c r="F3903">
        <v>20.170000000000002</v>
      </c>
      <c r="G3903">
        <v>0</v>
      </c>
      <c r="H3903">
        <v>0</v>
      </c>
      <c r="I3903" s="3">
        <f>E3903+G3903+H3903</f>
        <v>27</v>
      </c>
      <c r="J3903" s="3">
        <f>ROUND(MIN(IF(C3903="Técnico III",35,IF(C3903="Técnico II",28,IF(C3903="Técnico I",23,IF(C3903="JR",20,IF(C3903="Estágio",10,0))))),IF(C3903="Técnico III",SUMIFS($D:$D,$A:$A,$A3903,$B:$B,"&lt;&gt;Patrícia Karla de Sousa Araújo",$B:$B,"&lt;&gt;Lorena Dias de Araujo",$B:$B,"&lt;&gt;Lucas Luiz Romero")*(35/1083),IF(C3903="Técnico II",SUMIFS($D:$D,$A:$A,$A3903,$B:$B,"&lt;&gt;Patrícia Karla de Sousa Araújo",$B:$B,"&lt;&gt;Lorena Dias de Araujo",$B:$B,"&lt;&gt;Lucas Luiz Romero")*(28/1083),IF(C3903="Técnico I",SUMIFS($D:$D,$A:$A,$A3903,$B:$B,"&lt;&gt;Patrícia Karla de Sousa Araújo",$B:$B,"&lt;&gt;Lorena Dias de Araujo",$B:$B,"&lt;&gt;Lucas Luiz Romero")*(23/1083),IF(C3903="JR",SUMIFS($D:$D,$A:$A,$A3903,$B:$B,"&lt;&gt;Patrícia Karla de Sousa Araújo",$B:$B,"&lt;&gt;Lorena Dias de Araujo",$B:$B,"&lt;&gt;Lucas Luiz Romero")*(20/1083),IF(C3903="Estágio",SUMIFS($D:$D,$A:$A,$A3903,$B:$B,"&lt;&gt;Patrícia Karla de Sousa Araújo",$B:$B,"&lt;&gt;Lorena Dias de Araujo",$B:$B,"&lt;&gt;Lucas Luiz Romero")*(10/1083),0)))))),0)</f>
        <v>20</v>
      </c>
      <c r="K3903" s="3">
        <f>I3903-J3903</f>
        <v>7</v>
      </c>
      <c r="L3903" s="3" t="str">
        <f>IF(K3903&lt;-5,"CRÍTICO",IF(K3903&lt;0,"ATENÇÃO",IF(K3903&lt;=5,"OPORTUNO","MUITO BOM")))</f>
        <v>MUITO BOM</v>
      </c>
      <c r="M3903">
        <v>23</v>
      </c>
      <c r="N3903">
        <v>98.82</v>
      </c>
      <c r="O3903">
        <v>30.741410488245929</v>
      </c>
    </row>
    <row r="3904" spans="1:15" hidden="1" x14ac:dyDescent="0.25">
      <c r="A3904" s="11">
        <v>46125</v>
      </c>
      <c r="B3904" t="s">
        <v>50</v>
      </c>
      <c r="C3904" t="s">
        <v>48</v>
      </c>
      <c r="D3904">
        <v>14</v>
      </c>
      <c r="E3904">
        <v>14</v>
      </c>
      <c r="F3904">
        <v>24.19</v>
      </c>
      <c r="G3904">
        <v>0</v>
      </c>
      <c r="H3904">
        <v>0</v>
      </c>
      <c r="I3904" s="3">
        <f>E3904+G3904+H3904</f>
        <v>14</v>
      </c>
      <c r="J3904" s="3">
        <f>ROUND(MIN(IF(C3904="Técnico III",35,IF(C3904="Técnico II",28,IF(C3904="Técnico I",23,IF(C3904="JR",20,IF(C3904="Estágio",10,0))))),IF(C3904="Técnico III",SUMIFS($D:$D,$A:$A,$A3904,$B:$B,"&lt;&gt;Patrícia Karla de Sousa Araújo",$B:$B,"&lt;&gt;Lorena Dias de Araujo",$B:$B,"&lt;&gt;Lucas Luiz Romero")*(35/1083),IF(C3904="Técnico II",SUMIFS($D:$D,$A:$A,$A3904,$B:$B,"&lt;&gt;Patrícia Karla de Sousa Araújo",$B:$B,"&lt;&gt;Lorena Dias de Araujo",$B:$B,"&lt;&gt;Lucas Luiz Romero")*(28/1083),IF(C3904="Técnico I",SUMIFS($D:$D,$A:$A,$A3904,$B:$B,"&lt;&gt;Patrícia Karla de Sousa Araújo",$B:$B,"&lt;&gt;Lorena Dias de Araujo",$B:$B,"&lt;&gt;Lucas Luiz Romero")*(23/1083),IF(C3904="JR",SUMIFS($D:$D,$A:$A,$A3904,$B:$B,"&lt;&gt;Patrícia Karla de Sousa Araújo",$B:$B,"&lt;&gt;Lorena Dias de Araujo",$B:$B,"&lt;&gt;Lucas Luiz Romero")*(20/1083),IF(C3904="Estágio",SUMIFS($D:$D,$A:$A,$A3904,$B:$B,"&lt;&gt;Patrícia Karla de Sousa Araújo",$B:$B,"&lt;&gt;Lorena Dias de Araujo",$B:$B,"&lt;&gt;Lucas Luiz Romero")*(10/1083),0)))))),0)</f>
        <v>20</v>
      </c>
      <c r="K3904" s="3">
        <f>I3904-J3904</f>
        <v>-6</v>
      </c>
      <c r="L3904" s="3" t="str">
        <f>IF(K3904&lt;-5,"CRÍTICO",IF(K3904&lt;0,"ATENÇÃO",IF(K3904&lt;=5,"OPORTUNO","MUITO BOM")))</f>
        <v>CRÍTICO</v>
      </c>
      <c r="M3904">
        <v>11</v>
      </c>
      <c r="N3904">
        <v>98.2</v>
      </c>
      <c r="O3904">
        <v>27.170868347338931</v>
      </c>
    </row>
    <row r="3905" spans="1:15" hidden="1" x14ac:dyDescent="0.25">
      <c r="A3905" s="11">
        <v>46125</v>
      </c>
      <c r="B3905" t="s">
        <v>17</v>
      </c>
      <c r="C3905" t="s">
        <v>16</v>
      </c>
      <c r="D3905">
        <v>12</v>
      </c>
      <c r="E3905">
        <v>10</v>
      </c>
      <c r="F3905">
        <v>18.34</v>
      </c>
      <c r="G3905">
        <v>0</v>
      </c>
      <c r="H3905">
        <v>0</v>
      </c>
      <c r="I3905" s="3">
        <f>E3905+G3905+H3905</f>
        <v>10</v>
      </c>
      <c r="J3905" s="3">
        <f>ROUND(MIN(IF(C3905="Técnico III",35,IF(C3905="Técnico II",28,IF(C3905="Técnico I",23,IF(C3905="JR",20,IF(C3905="Estágio",10,0))))),IF(C3905="Técnico III",SUMIFS($D:$D,$A:$A,$A3905,$B:$B,"&lt;&gt;Patrícia Karla de Sousa Araújo",$B:$B,"&lt;&gt;Lorena Dias de Araujo",$B:$B,"&lt;&gt;Lucas Luiz Romero")*(35/1083),IF(C3905="Técnico II",SUMIFS($D:$D,$A:$A,$A3905,$B:$B,"&lt;&gt;Patrícia Karla de Sousa Araújo",$B:$B,"&lt;&gt;Lorena Dias de Araujo",$B:$B,"&lt;&gt;Lucas Luiz Romero")*(28/1083),IF(C3905="Técnico I",SUMIFS($D:$D,$A:$A,$A3905,$B:$B,"&lt;&gt;Patrícia Karla de Sousa Araújo",$B:$B,"&lt;&gt;Lorena Dias de Araujo",$B:$B,"&lt;&gt;Lucas Luiz Romero")*(23/1083),IF(C3905="JR",SUMIFS($D:$D,$A:$A,$A3905,$B:$B,"&lt;&gt;Patrícia Karla de Sousa Araújo",$B:$B,"&lt;&gt;Lorena Dias de Araujo",$B:$B,"&lt;&gt;Lucas Luiz Romero")*(20/1083),IF(C3905="Estágio",SUMIFS($D:$D,$A:$A,$A3905,$B:$B,"&lt;&gt;Patrícia Karla de Sousa Araújo",$B:$B,"&lt;&gt;Lorena Dias de Araujo",$B:$B,"&lt;&gt;Lucas Luiz Romero")*(10/1083),0)))))),0)</f>
        <v>7</v>
      </c>
      <c r="K3905" s="3">
        <f>I3905-J3905</f>
        <v>3</v>
      </c>
      <c r="L3905" s="3" t="str">
        <f>IF(K3905&lt;-5,"CRÍTICO",IF(K3905&lt;0,"ATENÇÃO",IF(K3905&lt;=5,"OPORTUNO","MUITO BOM")))</f>
        <v>OPORTUNO</v>
      </c>
      <c r="M3905">
        <v>8</v>
      </c>
      <c r="N3905">
        <v>100</v>
      </c>
      <c r="O3905">
        <v>23.134328358208951</v>
      </c>
    </row>
    <row r="3906" spans="1:15" hidden="1" x14ac:dyDescent="0.25">
      <c r="A3906" s="11">
        <v>46125</v>
      </c>
      <c r="B3906" t="s">
        <v>60</v>
      </c>
      <c r="C3906" t="s">
        <v>23</v>
      </c>
      <c r="D3906">
        <v>28</v>
      </c>
      <c r="E3906">
        <v>28</v>
      </c>
      <c r="F3906">
        <v>18.3</v>
      </c>
      <c r="G3906">
        <v>0</v>
      </c>
      <c r="H3906">
        <v>0</v>
      </c>
      <c r="I3906" s="3">
        <f>E3906+G3906+H3906</f>
        <v>28</v>
      </c>
      <c r="J3906" s="3">
        <f>ROUND(MIN(IF(C3906="Técnico III",35,IF(C3906="Técnico II",28,IF(C3906="Técnico I",23,IF(C3906="JR",20,IF(C3906="Estágio",10,0))))),IF(C3906="Técnico III",SUMIFS($D:$D,$A:$A,$A3906,$B:$B,"&lt;&gt;Patrícia Karla de Sousa Araújo",$B:$B,"&lt;&gt;Lorena Dias de Araujo",$B:$B,"&lt;&gt;Lucas Luiz Romero")*(35/1083),IF(C3906="Técnico II",SUMIFS($D:$D,$A:$A,$A3906,$B:$B,"&lt;&gt;Patrícia Karla de Sousa Araújo",$B:$B,"&lt;&gt;Lorena Dias de Araujo",$B:$B,"&lt;&gt;Lucas Luiz Romero")*(28/1083),IF(C3906="Técnico I",SUMIFS($D:$D,$A:$A,$A3906,$B:$B,"&lt;&gt;Patrícia Karla de Sousa Araújo",$B:$B,"&lt;&gt;Lorena Dias de Araujo",$B:$B,"&lt;&gt;Lucas Luiz Romero")*(23/1083),IF(C3906="JR",SUMIFS($D:$D,$A:$A,$A3906,$B:$B,"&lt;&gt;Patrícia Karla de Sousa Araújo",$B:$B,"&lt;&gt;Lorena Dias de Araujo",$B:$B,"&lt;&gt;Lucas Luiz Romero")*(20/1083),IF(C3906="Estágio",SUMIFS($D:$D,$A:$A,$A3906,$B:$B,"&lt;&gt;Patrícia Karla de Sousa Araújo",$B:$B,"&lt;&gt;Lorena Dias de Araujo",$B:$B,"&lt;&gt;Lucas Luiz Romero")*(10/1083),0)))))),0)</f>
        <v>17</v>
      </c>
      <c r="K3906" s="3">
        <f>I3906-J3906</f>
        <v>11</v>
      </c>
      <c r="L3906" s="3" t="str">
        <f>IF(K3906&lt;-5,"CRÍTICO",IF(K3906&lt;0,"ATENÇÃO",IF(K3906&lt;=5,"OPORTUNO","MUITO BOM")))</f>
        <v>MUITO BOM</v>
      </c>
      <c r="M3906">
        <v>24</v>
      </c>
      <c r="N3906">
        <v>96.3</v>
      </c>
      <c r="O3906">
        <v>32.219570405727922</v>
      </c>
    </row>
    <row r="3907" spans="1:15" hidden="1" x14ac:dyDescent="0.25">
      <c r="A3907" s="11">
        <v>46125</v>
      </c>
      <c r="B3907" t="s">
        <v>34</v>
      </c>
      <c r="C3907" t="s">
        <v>32</v>
      </c>
      <c r="D3907">
        <v>30</v>
      </c>
      <c r="E3907">
        <v>28</v>
      </c>
      <c r="F3907">
        <v>13.2</v>
      </c>
      <c r="G3907">
        <v>0</v>
      </c>
      <c r="H3907">
        <v>0</v>
      </c>
      <c r="I3907" s="3">
        <f>E3907+G3907+H3907</f>
        <v>28</v>
      </c>
      <c r="J3907" s="3">
        <f>ROUND(MIN(IF(C3907="Técnico III",35,IF(C3907="Técnico II",28,IF(C3907="Técnico I",23,IF(C3907="JR",20,IF(C3907="Estágio",10,0))))),IF(C3907="Técnico III",SUMIFS($D:$D,$A:$A,$A3907,$B:$B,"&lt;&gt;Patrícia Karla de Sousa Araújo",$B:$B,"&lt;&gt;Lorena Dias de Araujo",$B:$B,"&lt;&gt;Lucas Luiz Romero")*(35/1083),IF(C3907="Técnico II",SUMIFS($D:$D,$A:$A,$A3907,$B:$B,"&lt;&gt;Patrícia Karla de Sousa Araújo",$B:$B,"&lt;&gt;Lorena Dias de Araujo",$B:$B,"&lt;&gt;Lucas Luiz Romero")*(28/1083),IF(C3907="Técnico I",SUMIFS($D:$D,$A:$A,$A3907,$B:$B,"&lt;&gt;Patrícia Karla de Sousa Araújo",$B:$B,"&lt;&gt;Lorena Dias de Araujo",$B:$B,"&lt;&gt;Lucas Luiz Romero")*(23/1083),IF(C3907="JR",SUMIFS($D:$D,$A:$A,$A3907,$B:$B,"&lt;&gt;Patrícia Karla de Sousa Araújo",$B:$B,"&lt;&gt;Lorena Dias de Araujo",$B:$B,"&lt;&gt;Lucas Luiz Romero")*(20/1083),IF(C3907="Estágio",SUMIFS($D:$D,$A:$A,$A3907,$B:$B,"&lt;&gt;Patrícia Karla de Sousa Araújo",$B:$B,"&lt;&gt;Lorena Dias de Araujo",$B:$B,"&lt;&gt;Lucas Luiz Romero")*(10/1083),0)))))),0)</f>
        <v>25</v>
      </c>
      <c r="K3907" s="3">
        <f>I3907-J3907</f>
        <v>3</v>
      </c>
      <c r="L3907" s="3" t="str">
        <f>IF(K3907&lt;-5,"CRÍTICO",IF(K3907&lt;0,"ATENÇÃO",IF(K3907&lt;=5,"OPORTUNO","MUITO BOM")))</f>
        <v>OPORTUNO</v>
      </c>
      <c r="M3907">
        <v>29</v>
      </c>
      <c r="N3907">
        <v>93.75</v>
      </c>
      <c r="O3907">
        <v>26.819923371647509</v>
      </c>
    </row>
    <row r="3908" spans="1:15" hidden="1" x14ac:dyDescent="0.25">
      <c r="A3908" s="11">
        <v>46125</v>
      </c>
      <c r="B3908" t="s">
        <v>51</v>
      </c>
      <c r="C3908" t="s">
        <v>48</v>
      </c>
      <c r="D3908">
        <v>22</v>
      </c>
      <c r="E3908">
        <v>15</v>
      </c>
      <c r="F3908">
        <v>15.01</v>
      </c>
      <c r="G3908">
        <v>0</v>
      </c>
      <c r="H3908">
        <v>0</v>
      </c>
      <c r="I3908" s="3">
        <v>0</v>
      </c>
      <c r="J3908" s="3">
        <v>0</v>
      </c>
      <c r="K3908" s="3">
        <v>0</v>
      </c>
      <c r="L3908" s="3" t="str">
        <f>IF(K3908&lt;-5,"CRÍTICO",IF(K3908&lt;0,"ATENÇÃO",IF(K3908&lt;=5,"OPORTUNO","MUITO BOM")))</f>
        <v>OPORTUNO</v>
      </c>
      <c r="M3908">
        <v>17</v>
      </c>
      <c r="N3908">
        <v>97.86</v>
      </c>
      <c r="O3908">
        <v>31.018518518518519</v>
      </c>
    </row>
    <row r="3909" spans="1:15" hidden="1" x14ac:dyDescent="0.25">
      <c r="A3909" s="11">
        <v>46125</v>
      </c>
      <c r="B3909" t="s">
        <v>61</v>
      </c>
      <c r="C3909" t="s">
        <v>23</v>
      </c>
      <c r="D3909">
        <v>7</v>
      </c>
      <c r="E3909">
        <v>7</v>
      </c>
      <c r="F3909">
        <v>15.2</v>
      </c>
      <c r="G3909">
        <v>0</v>
      </c>
      <c r="H3909">
        <v>0</v>
      </c>
      <c r="I3909" s="3">
        <f>E3909+G3909+H3909</f>
        <v>7</v>
      </c>
      <c r="J3909" s="3">
        <f>ROUND(MIN(IF(C3909="Técnico III",35,IF(C3909="Técnico II",28,IF(C3909="Técnico I",23,IF(C3909="JR",20,IF(C3909="Estágio",10,0))))),IF(C3909="Técnico III",SUMIFS($D:$D,$A:$A,$A3909,$B:$B,"&lt;&gt;Patrícia Karla de Sousa Araújo",$B:$B,"&lt;&gt;Lorena Dias de Araujo",$B:$B,"&lt;&gt;Lucas Luiz Romero")*(35/1083),IF(C3909="Técnico II",SUMIFS($D:$D,$A:$A,$A3909,$B:$B,"&lt;&gt;Patrícia Karla de Sousa Araújo",$B:$B,"&lt;&gt;Lorena Dias de Araujo",$B:$B,"&lt;&gt;Lucas Luiz Romero")*(28/1083),IF(C3909="Técnico I",SUMIFS($D:$D,$A:$A,$A3909,$B:$B,"&lt;&gt;Patrícia Karla de Sousa Araújo",$B:$B,"&lt;&gt;Lorena Dias de Araujo",$B:$B,"&lt;&gt;Lucas Luiz Romero")*(23/1083),IF(C3909="JR",SUMIFS($D:$D,$A:$A,$A3909,$B:$B,"&lt;&gt;Patrícia Karla de Sousa Araújo",$B:$B,"&lt;&gt;Lorena Dias de Araujo",$B:$B,"&lt;&gt;Lucas Luiz Romero")*(20/1083),IF(C3909="Estágio",SUMIFS($D:$D,$A:$A,$A3909,$B:$B,"&lt;&gt;Patrícia Karla de Sousa Araújo",$B:$B,"&lt;&gt;Lorena Dias de Araujo",$B:$B,"&lt;&gt;Lucas Luiz Romero")*(10/1083),0)))))),0)</f>
        <v>17</v>
      </c>
      <c r="K3909" s="3">
        <f>I3909-J3909</f>
        <v>-10</v>
      </c>
      <c r="L3909" s="3" t="str">
        <f>IF(K3909&lt;-5,"CRÍTICO",IF(K3909&lt;0,"ATENÇÃO",IF(K3909&lt;=5,"OPORTUNO","MUITO BOM")))</f>
        <v>CRÍTICO</v>
      </c>
      <c r="M3909">
        <v>9</v>
      </c>
      <c r="N3909">
        <v>100</v>
      </c>
      <c r="O3909">
        <v>36.594202898550733</v>
      </c>
    </row>
    <row r="3910" spans="1:15" hidden="1" x14ac:dyDescent="0.25">
      <c r="A3910" s="11">
        <v>46125</v>
      </c>
      <c r="B3910" t="s">
        <v>35</v>
      </c>
      <c r="C3910" t="s">
        <v>32</v>
      </c>
      <c r="D3910">
        <v>25</v>
      </c>
      <c r="E3910">
        <v>23</v>
      </c>
      <c r="F3910">
        <v>20.399999999999999</v>
      </c>
      <c r="G3910">
        <v>0</v>
      </c>
      <c r="H3910">
        <v>0</v>
      </c>
      <c r="I3910" s="3">
        <v>0</v>
      </c>
      <c r="J3910" s="3">
        <v>0</v>
      </c>
      <c r="K3910" s="3">
        <v>0</v>
      </c>
      <c r="L3910" s="3" t="str">
        <f>IF(K3910&lt;-5,"CRÍTICO",IF(K3910&lt;0,"ATENÇÃO",IF(K3910&lt;=5,"OPORTUNO","MUITO BOM")))</f>
        <v>OPORTUNO</v>
      </c>
      <c r="M3910">
        <v>24</v>
      </c>
      <c r="N3910">
        <v>100</v>
      </c>
      <c r="O3910">
        <v>38.653846153846153</v>
      </c>
    </row>
    <row r="3911" spans="1:15" hidden="1" x14ac:dyDescent="0.25">
      <c r="A3911" s="11">
        <v>46125</v>
      </c>
      <c r="B3911" t="s">
        <v>18</v>
      </c>
      <c r="C3911" t="s">
        <v>16</v>
      </c>
      <c r="D3911">
        <v>5</v>
      </c>
      <c r="E3911">
        <v>4</v>
      </c>
      <c r="F3911">
        <v>35.18</v>
      </c>
      <c r="G3911">
        <v>0</v>
      </c>
      <c r="H3911">
        <v>0</v>
      </c>
      <c r="I3911" s="3">
        <f>E3911+G3911+H3911</f>
        <v>4</v>
      </c>
      <c r="J3911" s="3">
        <f>ROUND(MIN(IF(C3911="Técnico III",35,IF(C3911="Técnico II",28,IF(C3911="Técnico I",23,IF(C3911="JR",20,IF(C3911="Estágio",10,0))))),IF(C3911="Técnico III",SUMIFS($D:$D,$A:$A,$A3911,$B:$B,"&lt;&gt;Patrícia Karla de Sousa Araújo",$B:$B,"&lt;&gt;Lorena Dias de Araujo",$B:$B,"&lt;&gt;Lucas Luiz Romero")*(35/1083),IF(C3911="Técnico II",SUMIFS($D:$D,$A:$A,$A3911,$B:$B,"&lt;&gt;Patrícia Karla de Sousa Araújo",$B:$B,"&lt;&gt;Lorena Dias de Araujo",$B:$B,"&lt;&gt;Lucas Luiz Romero")*(28/1083),IF(C3911="Técnico I",SUMIFS($D:$D,$A:$A,$A3911,$B:$B,"&lt;&gt;Patrícia Karla de Sousa Araújo",$B:$B,"&lt;&gt;Lorena Dias de Araujo",$B:$B,"&lt;&gt;Lucas Luiz Romero")*(23/1083),IF(C3911="JR",SUMIFS($D:$D,$A:$A,$A3911,$B:$B,"&lt;&gt;Patrícia Karla de Sousa Araújo",$B:$B,"&lt;&gt;Lorena Dias de Araujo",$B:$B,"&lt;&gt;Lucas Luiz Romero")*(20/1083),IF(C3911="Estágio",SUMIFS($D:$D,$A:$A,$A3911,$B:$B,"&lt;&gt;Patrícia Karla de Sousa Araújo",$B:$B,"&lt;&gt;Lorena Dias de Araujo",$B:$B,"&lt;&gt;Lucas Luiz Romero")*(10/1083),0)))))),0)</f>
        <v>7</v>
      </c>
      <c r="K3911" s="3">
        <f>I3911-J3911</f>
        <v>-3</v>
      </c>
      <c r="L3911" s="3" t="str">
        <f>IF(K3911&lt;-5,"CRÍTICO",IF(K3911&lt;0,"ATENÇÃO",IF(K3911&lt;=5,"OPORTUNO","MUITO BOM")))</f>
        <v>ATENÇÃO</v>
      </c>
      <c r="M3911">
        <v>3</v>
      </c>
      <c r="N3911">
        <v>100</v>
      </c>
      <c r="O3911">
        <v>27.368421052631579</v>
      </c>
    </row>
    <row r="3912" spans="1:15" hidden="1" x14ac:dyDescent="0.25">
      <c r="A3912" s="11">
        <v>46125</v>
      </c>
      <c r="B3912" t="s">
        <v>52</v>
      </c>
      <c r="C3912" t="s">
        <v>48</v>
      </c>
      <c r="D3912">
        <v>27</v>
      </c>
      <c r="E3912">
        <v>26</v>
      </c>
      <c r="F3912">
        <v>15.35</v>
      </c>
      <c r="G3912">
        <v>0</v>
      </c>
      <c r="H3912">
        <v>0</v>
      </c>
      <c r="I3912" s="3">
        <f>E3912+G3912+H3912</f>
        <v>26</v>
      </c>
      <c r="J3912" s="3">
        <f>ROUND(MIN(IF(C3912="Técnico III",35,IF(C3912="Técnico II",28,IF(C3912="Técnico I",23,IF(C3912="JR",20,IF(C3912="Estágio",10,0))))),IF(C3912="Técnico III",SUMIFS($D:$D,$A:$A,$A3912,$B:$B,"&lt;&gt;Patrícia Karla de Sousa Araújo",$B:$B,"&lt;&gt;Lorena Dias de Araujo",$B:$B,"&lt;&gt;Lucas Luiz Romero")*(35/1083),IF(C3912="Técnico II",SUMIFS($D:$D,$A:$A,$A3912,$B:$B,"&lt;&gt;Patrícia Karla de Sousa Araújo",$B:$B,"&lt;&gt;Lorena Dias de Araujo",$B:$B,"&lt;&gt;Lucas Luiz Romero")*(28/1083),IF(C3912="Técnico I",SUMIFS($D:$D,$A:$A,$A3912,$B:$B,"&lt;&gt;Patrícia Karla de Sousa Araújo",$B:$B,"&lt;&gt;Lorena Dias de Araujo",$B:$B,"&lt;&gt;Lucas Luiz Romero")*(23/1083),IF(C3912="JR",SUMIFS($D:$D,$A:$A,$A3912,$B:$B,"&lt;&gt;Patrícia Karla de Sousa Araújo",$B:$B,"&lt;&gt;Lorena Dias de Araujo",$B:$B,"&lt;&gt;Lucas Luiz Romero")*(20/1083),IF(C3912="Estágio",SUMIFS($D:$D,$A:$A,$A3912,$B:$B,"&lt;&gt;Patrícia Karla de Sousa Araújo",$B:$B,"&lt;&gt;Lorena Dias de Araujo",$B:$B,"&lt;&gt;Lucas Luiz Romero")*(10/1083),0)))))),0)</f>
        <v>20</v>
      </c>
      <c r="K3912" s="3">
        <f>I3912-J3912</f>
        <v>6</v>
      </c>
      <c r="L3912" s="3" t="str">
        <f>IF(K3912&lt;-5,"CRÍTICO",IF(K3912&lt;0,"ATENÇÃO",IF(K3912&lt;=5,"OPORTUNO","MUITO BOM")))</f>
        <v>MUITO BOM</v>
      </c>
      <c r="M3912">
        <v>23</v>
      </c>
      <c r="N3912">
        <v>97.83</v>
      </c>
      <c r="O3912">
        <v>28.35164835164835</v>
      </c>
    </row>
    <row r="3913" spans="1:15" hidden="1" x14ac:dyDescent="0.25">
      <c r="A3913" s="11">
        <v>46125</v>
      </c>
      <c r="B3913" t="s">
        <v>36</v>
      </c>
      <c r="C3913" t="s">
        <v>32</v>
      </c>
      <c r="D3913">
        <v>28</v>
      </c>
      <c r="E3913">
        <v>28</v>
      </c>
      <c r="F3913">
        <v>14</v>
      </c>
      <c r="G3913">
        <v>0</v>
      </c>
      <c r="H3913">
        <v>0</v>
      </c>
      <c r="I3913" s="3">
        <f>E3913+G3913+H3913</f>
        <v>28</v>
      </c>
      <c r="J3913" s="3">
        <f>ROUND(MIN(IF(C3913="Técnico III",35,IF(C3913="Técnico II",28,IF(C3913="Técnico I",23,IF(C3913="JR",20,IF(C3913="Estágio",10,0))))),IF(C3913="Técnico III",SUMIFS($D:$D,$A:$A,$A3913,$B:$B,"&lt;&gt;Patrícia Karla de Sousa Araújo",$B:$B,"&lt;&gt;Lorena Dias de Araujo",$B:$B,"&lt;&gt;Lucas Luiz Romero")*(35/1083),IF(C3913="Técnico II",SUMIFS($D:$D,$A:$A,$A3913,$B:$B,"&lt;&gt;Patrícia Karla de Sousa Araújo",$B:$B,"&lt;&gt;Lorena Dias de Araujo",$B:$B,"&lt;&gt;Lucas Luiz Romero")*(28/1083),IF(C3913="Técnico I",SUMIFS($D:$D,$A:$A,$A3913,$B:$B,"&lt;&gt;Patrícia Karla de Sousa Araújo",$B:$B,"&lt;&gt;Lorena Dias de Araujo",$B:$B,"&lt;&gt;Lucas Luiz Romero")*(23/1083),IF(C3913="JR",SUMIFS($D:$D,$A:$A,$A3913,$B:$B,"&lt;&gt;Patrícia Karla de Sousa Araújo",$B:$B,"&lt;&gt;Lorena Dias de Araujo",$B:$B,"&lt;&gt;Lucas Luiz Romero")*(20/1083),IF(C3913="Estágio",SUMIFS($D:$D,$A:$A,$A3913,$B:$B,"&lt;&gt;Patrícia Karla de Sousa Araújo",$B:$B,"&lt;&gt;Lorena Dias de Araujo",$B:$B,"&lt;&gt;Lucas Luiz Romero")*(10/1083),0)))))),0)</f>
        <v>25</v>
      </c>
      <c r="K3913" s="3">
        <f>I3913-J3913</f>
        <v>3</v>
      </c>
      <c r="L3913" s="3" t="str">
        <f>IF(K3913&lt;-5,"CRÍTICO",IF(K3913&lt;0,"ATENÇÃO",IF(K3913&lt;=5,"OPORTUNO","MUITO BOM")))</f>
        <v>OPORTUNO</v>
      </c>
      <c r="M3913">
        <v>29</v>
      </c>
      <c r="N3913">
        <v>99.26</v>
      </c>
      <c r="O3913">
        <v>29.766536964980549</v>
      </c>
    </row>
    <row r="3914" spans="1:15" hidden="1" x14ac:dyDescent="0.25">
      <c r="A3914" s="11">
        <v>46125</v>
      </c>
      <c r="B3914" t="s">
        <v>53</v>
      </c>
      <c r="C3914" t="s">
        <v>48</v>
      </c>
      <c r="D3914">
        <v>21</v>
      </c>
      <c r="E3914">
        <v>18</v>
      </c>
      <c r="F3914">
        <v>15.43</v>
      </c>
      <c r="G3914">
        <v>0</v>
      </c>
      <c r="H3914">
        <v>0</v>
      </c>
      <c r="I3914" s="3">
        <f>E3914+G3914+H3914</f>
        <v>18</v>
      </c>
      <c r="J3914" s="3">
        <f>ROUND(MIN(IF(C3914="Técnico III",35,IF(C3914="Técnico II",28,IF(C3914="Técnico I",23,IF(C3914="JR",20,IF(C3914="Estágio",10,0))))),IF(C3914="Técnico III",SUMIFS($D:$D,$A:$A,$A3914,$B:$B,"&lt;&gt;Patrícia Karla de Sousa Araújo",$B:$B,"&lt;&gt;Lorena Dias de Araujo",$B:$B,"&lt;&gt;Lucas Luiz Romero")*(35/1083),IF(C3914="Técnico II",SUMIFS($D:$D,$A:$A,$A3914,$B:$B,"&lt;&gt;Patrícia Karla de Sousa Araújo",$B:$B,"&lt;&gt;Lorena Dias de Araujo",$B:$B,"&lt;&gt;Lucas Luiz Romero")*(28/1083),IF(C3914="Técnico I",SUMIFS($D:$D,$A:$A,$A3914,$B:$B,"&lt;&gt;Patrícia Karla de Sousa Araújo",$B:$B,"&lt;&gt;Lorena Dias de Araujo",$B:$B,"&lt;&gt;Lucas Luiz Romero")*(23/1083),IF(C3914="JR",SUMIFS($D:$D,$A:$A,$A3914,$B:$B,"&lt;&gt;Patrícia Karla de Sousa Araújo",$B:$B,"&lt;&gt;Lorena Dias de Araujo",$B:$B,"&lt;&gt;Lucas Luiz Romero")*(20/1083),IF(C3914="Estágio",SUMIFS($D:$D,$A:$A,$A3914,$B:$B,"&lt;&gt;Patrícia Karla de Sousa Araújo",$B:$B,"&lt;&gt;Lorena Dias de Araujo",$B:$B,"&lt;&gt;Lucas Luiz Romero")*(10/1083),0)))))),0)</f>
        <v>20</v>
      </c>
      <c r="K3914" s="3">
        <f>I3914-J3914</f>
        <v>-2</v>
      </c>
      <c r="L3914" s="3" t="str">
        <f>IF(K3914&lt;-5,"CRÍTICO",IF(K3914&lt;0,"ATENÇÃO",IF(K3914&lt;=5,"OPORTUNO","MUITO BOM")))</f>
        <v>ATENÇÃO</v>
      </c>
      <c r="M3914">
        <v>15</v>
      </c>
      <c r="N3914">
        <v>99.19</v>
      </c>
      <c r="O3914">
        <v>29.462365591397852</v>
      </c>
    </row>
    <row r="3915" spans="1:15" hidden="1" x14ac:dyDescent="0.25">
      <c r="A3915" s="7">
        <v>46161</v>
      </c>
      <c r="B3915" s="8" t="s">
        <v>42</v>
      </c>
      <c r="C3915" s="14" t="s">
        <v>32</v>
      </c>
      <c r="D3915" s="3">
        <v>22</v>
      </c>
      <c r="E3915" s="3">
        <v>20</v>
      </c>
      <c r="F3915" s="3">
        <v>21.49</v>
      </c>
      <c r="G3915" s="3">
        <v>0</v>
      </c>
      <c r="H3915" s="3">
        <v>0</v>
      </c>
      <c r="I3915" s="3">
        <f>E3915+G3915+H3915</f>
        <v>20</v>
      </c>
      <c r="J3915" s="3">
        <f>ROUND(MIN(IF(C3915="Técnico III",35,IF(C3915="Técnico II",28,IF(C3915="Técnico I",23,IF(C3915="JR",20,IF(C3915="Estágio",10,0))))),IF(C3915="Técnico III",SUMIFS($D:$D,$A:$A,$A3915,$B:$B,"&lt;&gt;Patrícia Karla de Sousa Araújo",$B:$B,"&lt;&gt;Lorena Dias de Araujo",$B:$B,"&lt;&gt;Lucas Luiz Romero")*(35/1083),IF(C3915="Técnico II",SUMIFS($D:$D,$A:$A,$A3915,$B:$B,"&lt;&gt;Patrícia Karla de Sousa Araújo",$B:$B,"&lt;&gt;Lorena Dias de Araujo",$B:$B,"&lt;&gt;Lucas Luiz Romero")*(28/1083),IF(C3915="Técnico I",SUMIFS($D:$D,$A:$A,$A3915,$B:$B,"&lt;&gt;Patrícia Karla de Sousa Araújo",$B:$B,"&lt;&gt;Lorena Dias de Araujo",$B:$B,"&lt;&gt;Lucas Luiz Romero")*(23/1083),IF(C3915="JR",SUMIFS($D:$D,$A:$A,$A3915,$B:$B,"&lt;&gt;Patrícia Karla de Sousa Araújo",$B:$B,"&lt;&gt;Lorena Dias de Araujo",$B:$B,"&lt;&gt;Lucas Luiz Romero")*(20/1083),IF(C3915="Estágio",SUMIFS($D:$D,$A:$A,$A3915,$B:$B,"&lt;&gt;Patrícia Karla de Sousa Araújo",$B:$B,"&lt;&gt;Lorena Dias de Araujo",$B:$B,"&lt;&gt;Lucas Luiz Romero")*(10/1083),0)))))),0)</f>
        <v>29</v>
      </c>
      <c r="K3915" s="3">
        <f>I3915-J3915</f>
        <v>-9</v>
      </c>
      <c r="L3915" s="3" t="str">
        <f>IF(K3915&lt;-5,"CRÍTICO",IF(K3915&lt;0,"ATENÇÃO",IF(K3915&lt;=5,"OPORTUNO","MUITO BOM")))</f>
        <v>CRÍTICO</v>
      </c>
      <c r="M3915" s="3">
        <v>18</v>
      </c>
      <c r="N3915" s="3">
        <v>100</v>
      </c>
      <c r="O3915" s="3">
        <v>15.789473684210529</v>
      </c>
    </row>
    <row r="3916" spans="1:15" hidden="1" x14ac:dyDescent="0.25">
      <c r="A3916" s="11">
        <v>46125</v>
      </c>
      <c r="B3916" t="s">
        <v>54</v>
      </c>
      <c r="C3916" t="s">
        <v>48</v>
      </c>
      <c r="D3916">
        <v>0</v>
      </c>
      <c r="E3916">
        <v>0</v>
      </c>
      <c r="F3916">
        <v>0</v>
      </c>
      <c r="G3916">
        <v>0</v>
      </c>
      <c r="H3916">
        <v>0</v>
      </c>
      <c r="I3916" s="3">
        <v>0</v>
      </c>
      <c r="J3916" s="3">
        <v>0</v>
      </c>
      <c r="K3916" s="3">
        <v>0</v>
      </c>
      <c r="L3916" s="3" t="str">
        <f>IF(K3916&lt;-5,"CRÍTICO",IF(K3916&lt;0,"ATENÇÃO",IF(K3916&lt;=5,"OPORTUNO","MUITO BOM")))</f>
        <v>OPORTUNO</v>
      </c>
      <c r="M3916">
        <v>0</v>
      </c>
      <c r="N3916">
        <v>100</v>
      </c>
      <c r="O3916">
        <v>28.921568627450981</v>
      </c>
    </row>
    <row r="3917" spans="1:15" hidden="1" x14ac:dyDescent="0.25">
      <c r="A3917" s="11">
        <v>46125</v>
      </c>
      <c r="B3917" t="s">
        <v>37</v>
      </c>
      <c r="C3917" t="s">
        <v>32</v>
      </c>
      <c r="D3917">
        <v>39</v>
      </c>
      <c r="E3917">
        <v>35</v>
      </c>
      <c r="F3917">
        <v>12.12</v>
      </c>
      <c r="G3917">
        <v>0</v>
      </c>
      <c r="H3917">
        <v>0</v>
      </c>
      <c r="I3917" s="3">
        <f>E3917+G3917+H3917</f>
        <v>35</v>
      </c>
      <c r="J3917" s="3">
        <f>ROUND(MIN(IF(C3917="Técnico III",35,IF(C3917="Técnico II",28,IF(C3917="Técnico I",23,IF(C3917="JR",20,IF(C3917="Estágio",10,0))))),IF(C3917="Técnico III",SUMIFS($D:$D,$A:$A,$A3917,$B:$B,"&lt;&gt;Patrícia Karla de Sousa Araújo",$B:$B,"&lt;&gt;Lorena Dias de Araujo",$B:$B,"&lt;&gt;Lucas Luiz Romero")*(35/1083),IF(C3917="Técnico II",SUMIFS($D:$D,$A:$A,$A3917,$B:$B,"&lt;&gt;Patrícia Karla de Sousa Araújo",$B:$B,"&lt;&gt;Lorena Dias de Araujo",$B:$B,"&lt;&gt;Lucas Luiz Romero")*(28/1083),IF(C3917="Técnico I",SUMIFS($D:$D,$A:$A,$A3917,$B:$B,"&lt;&gt;Patrícia Karla de Sousa Araújo",$B:$B,"&lt;&gt;Lorena Dias de Araujo",$B:$B,"&lt;&gt;Lucas Luiz Romero")*(23/1083),IF(C3917="JR",SUMIFS($D:$D,$A:$A,$A3917,$B:$B,"&lt;&gt;Patrícia Karla de Sousa Araújo",$B:$B,"&lt;&gt;Lorena Dias de Araujo",$B:$B,"&lt;&gt;Lucas Luiz Romero")*(20/1083),IF(C3917="Estágio",SUMIFS($D:$D,$A:$A,$A3917,$B:$B,"&lt;&gt;Patrícia Karla de Sousa Araújo",$B:$B,"&lt;&gt;Lorena Dias de Araujo",$B:$B,"&lt;&gt;Lucas Luiz Romero")*(10/1083),0)))))),0)</f>
        <v>25</v>
      </c>
      <c r="K3917" s="3">
        <f>I3917-J3917</f>
        <v>10</v>
      </c>
      <c r="L3917" s="3" t="str">
        <f>IF(K3917&lt;-5,"CRÍTICO",IF(K3917&lt;0,"ATENÇÃO",IF(K3917&lt;=5,"OPORTUNO","MUITO BOM")))</f>
        <v>MUITO BOM</v>
      </c>
      <c r="M3917">
        <v>37</v>
      </c>
      <c r="N3917">
        <v>99.57</v>
      </c>
      <c r="O3917">
        <v>30.635838150289018</v>
      </c>
    </row>
    <row r="3918" spans="1:15" hidden="1" x14ac:dyDescent="0.25">
      <c r="A3918" s="11">
        <v>46125</v>
      </c>
      <c r="B3918" t="s">
        <v>38</v>
      </c>
      <c r="C3918" t="s">
        <v>32</v>
      </c>
      <c r="D3918">
        <v>0</v>
      </c>
      <c r="E3918">
        <v>0</v>
      </c>
      <c r="F3918">
        <v>0</v>
      </c>
      <c r="G3918">
        <v>0</v>
      </c>
      <c r="H3918">
        <v>0</v>
      </c>
      <c r="I3918" s="3">
        <v>0</v>
      </c>
      <c r="J3918" s="3">
        <v>0</v>
      </c>
      <c r="K3918" s="3">
        <v>0</v>
      </c>
      <c r="L3918" s="3" t="str">
        <f>IF(K3918&lt;-5,"CRÍTICO",IF(K3918&lt;0,"ATENÇÃO",IF(K3918&lt;=5,"OPORTUNO","MUITO BOM")))</f>
        <v>OPORTUNO</v>
      </c>
      <c r="M3918">
        <v>0</v>
      </c>
      <c r="N3918">
        <v>95.65</v>
      </c>
      <c r="O3918">
        <v>32.432432432432442</v>
      </c>
    </row>
    <row r="3919" spans="1:15" hidden="1" x14ac:dyDescent="0.25">
      <c r="A3919" s="11">
        <v>46125</v>
      </c>
      <c r="B3919" t="s">
        <v>55</v>
      </c>
      <c r="C3919" t="s">
        <v>48</v>
      </c>
      <c r="D3919">
        <v>24</v>
      </c>
      <c r="E3919">
        <v>22</v>
      </c>
      <c r="F3919">
        <v>19.13</v>
      </c>
      <c r="G3919">
        <v>0</v>
      </c>
      <c r="H3919">
        <v>0</v>
      </c>
      <c r="I3919" s="3">
        <f>E3919+G3919+H3919</f>
        <v>22</v>
      </c>
      <c r="J3919" s="3">
        <f>ROUND(MIN(IF(C3919="Técnico III",35,IF(C3919="Técnico II",28,IF(C3919="Técnico I",23,IF(C3919="JR",20,IF(C3919="Estágio",10,0))))),IF(C3919="Técnico III",SUMIFS($D:$D,$A:$A,$A3919,$B:$B,"&lt;&gt;Patrícia Karla de Sousa Araújo",$B:$B,"&lt;&gt;Lorena Dias de Araujo",$B:$B,"&lt;&gt;Lucas Luiz Romero")*(35/1083),IF(C3919="Técnico II",SUMIFS($D:$D,$A:$A,$A3919,$B:$B,"&lt;&gt;Patrícia Karla de Sousa Araújo",$B:$B,"&lt;&gt;Lorena Dias de Araujo",$B:$B,"&lt;&gt;Lucas Luiz Romero")*(28/1083),IF(C3919="Técnico I",SUMIFS($D:$D,$A:$A,$A3919,$B:$B,"&lt;&gt;Patrícia Karla de Sousa Araújo",$B:$B,"&lt;&gt;Lorena Dias de Araujo",$B:$B,"&lt;&gt;Lucas Luiz Romero")*(23/1083),IF(C3919="JR",SUMIFS($D:$D,$A:$A,$A3919,$B:$B,"&lt;&gt;Patrícia Karla de Sousa Araújo",$B:$B,"&lt;&gt;Lorena Dias de Araujo",$B:$B,"&lt;&gt;Lucas Luiz Romero")*(20/1083),IF(C3919="Estágio",SUMIFS($D:$D,$A:$A,$A3919,$B:$B,"&lt;&gt;Patrícia Karla de Sousa Araújo",$B:$B,"&lt;&gt;Lorena Dias de Araujo",$B:$B,"&lt;&gt;Lucas Luiz Romero")*(10/1083),0)))))),0)</f>
        <v>20</v>
      </c>
      <c r="K3919" s="3">
        <f>I3919-J3919</f>
        <v>2</v>
      </c>
      <c r="L3919" s="3" t="str">
        <f>IF(K3919&lt;-5,"CRÍTICO",IF(K3919&lt;0,"ATENÇÃO",IF(K3919&lt;=5,"OPORTUNO","MUITO BOM")))</f>
        <v>OPORTUNO</v>
      </c>
      <c r="M3919">
        <v>18</v>
      </c>
      <c r="N3919">
        <v>98.81</v>
      </c>
      <c r="O3919">
        <v>26.256983240223459</v>
      </c>
    </row>
    <row r="3920" spans="1:15" hidden="1" x14ac:dyDescent="0.25">
      <c r="A3920" s="11">
        <v>46125</v>
      </c>
      <c r="B3920" t="s">
        <v>39</v>
      </c>
      <c r="C3920" t="s">
        <v>32</v>
      </c>
      <c r="D3920">
        <v>0</v>
      </c>
      <c r="E3920">
        <v>0</v>
      </c>
      <c r="F3920">
        <v>0</v>
      </c>
      <c r="G3920">
        <v>0</v>
      </c>
      <c r="H3920">
        <v>0</v>
      </c>
      <c r="I3920" s="3">
        <v>0</v>
      </c>
      <c r="J3920" s="3">
        <v>0</v>
      </c>
      <c r="K3920" s="3">
        <v>0</v>
      </c>
      <c r="L3920" s="3" t="str">
        <f>IF(K3920&lt;-5,"CRÍTICO",IF(K3920&lt;0,"ATENÇÃO",IF(K3920&lt;=5,"OPORTUNO","MUITO BOM")))</f>
        <v>OPORTUNO</v>
      </c>
      <c r="M3920">
        <v>0</v>
      </c>
      <c r="N3920">
        <v>0</v>
      </c>
      <c r="O3920">
        <v>0</v>
      </c>
    </row>
    <row r="3921" spans="1:15" hidden="1" x14ac:dyDescent="0.25">
      <c r="A3921" s="11">
        <v>46125</v>
      </c>
      <c r="B3921" t="s">
        <v>25</v>
      </c>
      <c r="C3921" t="s">
        <v>26</v>
      </c>
      <c r="D3921">
        <v>22</v>
      </c>
      <c r="E3921">
        <v>21</v>
      </c>
      <c r="F3921">
        <v>19.02</v>
      </c>
      <c r="G3921">
        <v>0</v>
      </c>
      <c r="H3921">
        <v>0</v>
      </c>
      <c r="I3921" s="3">
        <f>E3921+G3921+H3921</f>
        <v>21</v>
      </c>
      <c r="J3921" s="3">
        <f>ROUND(MIN(IF(C3921="Técnico III",35,IF(C3921="Técnico II",28,IF(C3921="Técnico I",23,IF(C3921="JR",20,IF(C3921="Estágio",10,0))))),IF(C3921="Técnico III",SUMIFS($D:$D,$A:$A,$A3921,$B:$B,"&lt;&gt;Patrícia Karla de Sousa Araújo",$B:$B,"&lt;&gt;Lorena Dias de Araujo",$B:$B,"&lt;&gt;Lucas Luiz Romero")*(35/1083),IF(C3921="Técnico II",SUMIFS($D:$D,$A:$A,$A3921,$B:$B,"&lt;&gt;Patrícia Karla de Sousa Araújo",$B:$B,"&lt;&gt;Lorena Dias de Araujo",$B:$B,"&lt;&gt;Lucas Luiz Romero")*(28/1083),IF(C3921="Técnico I",SUMIFS($D:$D,$A:$A,$A3921,$B:$B,"&lt;&gt;Patrícia Karla de Sousa Araújo",$B:$B,"&lt;&gt;Lorena Dias de Araujo",$B:$B,"&lt;&gt;Lucas Luiz Romero")*(23/1083),IF(C3921="JR",SUMIFS($D:$D,$A:$A,$A3921,$B:$B,"&lt;&gt;Patrícia Karla de Sousa Araújo",$B:$B,"&lt;&gt;Lorena Dias de Araujo",$B:$B,"&lt;&gt;Lucas Luiz Romero")*(20/1083),IF(C3921="Estágio",SUMIFS($D:$D,$A:$A,$A3921,$B:$B,"&lt;&gt;Patrícia Karla de Sousa Araújo",$B:$B,"&lt;&gt;Lorena Dias de Araujo",$B:$B,"&lt;&gt;Lucas Luiz Romero")*(10/1083),0)))))),0)</f>
        <v>15</v>
      </c>
      <c r="K3921" s="3">
        <f>I3921-J3921</f>
        <v>6</v>
      </c>
      <c r="L3921" s="3" t="str">
        <f>IF(K3921&lt;-5,"CRÍTICO",IF(K3921&lt;0,"ATENÇÃO",IF(K3921&lt;=5,"OPORTUNO","MUITO BOM")))</f>
        <v>MUITO BOM</v>
      </c>
      <c r="M3921">
        <v>24</v>
      </c>
      <c r="N3921">
        <v>97.17</v>
      </c>
      <c r="O3921">
        <v>28.81844380403458</v>
      </c>
    </row>
    <row r="3922" spans="1:15" hidden="1" x14ac:dyDescent="0.25">
      <c r="A3922" s="11">
        <v>46125</v>
      </c>
      <c r="B3922" t="s">
        <v>40</v>
      </c>
      <c r="C3922" t="s">
        <v>32</v>
      </c>
      <c r="D3922">
        <v>15</v>
      </c>
      <c r="E3922">
        <v>15</v>
      </c>
      <c r="F3922">
        <v>25.06</v>
      </c>
      <c r="G3922">
        <v>0</v>
      </c>
      <c r="H3922">
        <v>0</v>
      </c>
      <c r="I3922" s="3">
        <f>E3922+G3922+H3922</f>
        <v>15</v>
      </c>
      <c r="J3922" s="3">
        <f>ROUND(MIN(IF(C3922="Técnico III",35,IF(C3922="Técnico II",28,IF(C3922="Técnico I",23,IF(C3922="JR",20,IF(C3922="Estágio",10,0))))),IF(C3922="Técnico III",SUMIFS($D:$D,$A:$A,$A3922,$B:$B,"&lt;&gt;Patrícia Karla de Sousa Araújo",$B:$B,"&lt;&gt;Lorena Dias de Araujo",$B:$B,"&lt;&gt;Lucas Luiz Romero")*(35/1083),IF(C3922="Técnico II",SUMIFS($D:$D,$A:$A,$A3922,$B:$B,"&lt;&gt;Patrícia Karla de Sousa Araújo",$B:$B,"&lt;&gt;Lorena Dias de Araujo",$B:$B,"&lt;&gt;Lucas Luiz Romero")*(28/1083),IF(C3922="Técnico I",SUMIFS($D:$D,$A:$A,$A3922,$B:$B,"&lt;&gt;Patrícia Karla de Sousa Araújo",$B:$B,"&lt;&gt;Lorena Dias de Araujo",$B:$B,"&lt;&gt;Lucas Luiz Romero")*(23/1083),IF(C3922="JR",SUMIFS($D:$D,$A:$A,$A3922,$B:$B,"&lt;&gt;Patrícia Karla de Sousa Araújo",$B:$B,"&lt;&gt;Lorena Dias de Araujo",$B:$B,"&lt;&gt;Lucas Luiz Romero")*(20/1083),IF(C3922="Estágio",SUMIFS($D:$D,$A:$A,$A3922,$B:$B,"&lt;&gt;Patrícia Karla de Sousa Araújo",$B:$B,"&lt;&gt;Lorena Dias de Araujo",$B:$B,"&lt;&gt;Lucas Luiz Romero")*(10/1083),0)))))),0)</f>
        <v>25</v>
      </c>
      <c r="K3922" s="3">
        <f>I3922-J3922</f>
        <v>-10</v>
      </c>
      <c r="L3922" s="3" t="str">
        <f>IF(K3922&lt;-5,"CRÍTICO",IF(K3922&lt;0,"ATENÇÃO",IF(K3922&lt;=5,"OPORTUNO","MUITO BOM")))</f>
        <v>CRÍTICO</v>
      </c>
      <c r="M3922">
        <v>18</v>
      </c>
      <c r="N3922">
        <v>96.81</v>
      </c>
      <c r="O3922">
        <v>48.018648018648022</v>
      </c>
    </row>
    <row r="3923" spans="1:15" hidden="1" x14ac:dyDescent="0.25">
      <c r="A3923" s="11">
        <v>46125</v>
      </c>
      <c r="B3923" t="s">
        <v>27</v>
      </c>
      <c r="C3923" t="s">
        <v>26</v>
      </c>
      <c r="D3923">
        <v>19</v>
      </c>
      <c r="E3923">
        <v>17</v>
      </c>
      <c r="F3923">
        <v>20.57</v>
      </c>
      <c r="G3923">
        <v>0</v>
      </c>
      <c r="H3923">
        <v>0</v>
      </c>
      <c r="I3923" s="3">
        <f>E3923+G3923+H3923</f>
        <v>17</v>
      </c>
      <c r="J3923" s="3">
        <f>ROUND(MIN(IF(C3923="Técnico III",35,IF(C3923="Técnico II",28,IF(C3923="Técnico I",23,IF(C3923="JR",20,IF(C3923="Estágio",10,0))))),IF(C3923="Técnico III",SUMIFS($D:$D,$A:$A,$A3923,$B:$B,"&lt;&gt;Patrícia Karla de Sousa Araújo",$B:$B,"&lt;&gt;Lorena Dias de Araujo",$B:$B,"&lt;&gt;Lucas Luiz Romero")*(35/1083),IF(C3923="Técnico II",SUMIFS($D:$D,$A:$A,$A3923,$B:$B,"&lt;&gt;Patrícia Karla de Sousa Araújo",$B:$B,"&lt;&gt;Lorena Dias de Araujo",$B:$B,"&lt;&gt;Lucas Luiz Romero")*(28/1083),IF(C3923="Técnico I",SUMIFS($D:$D,$A:$A,$A3923,$B:$B,"&lt;&gt;Patrícia Karla de Sousa Araújo",$B:$B,"&lt;&gt;Lorena Dias de Araujo",$B:$B,"&lt;&gt;Lucas Luiz Romero")*(23/1083),IF(C3923="JR",SUMIFS($D:$D,$A:$A,$A3923,$B:$B,"&lt;&gt;Patrícia Karla de Sousa Araújo",$B:$B,"&lt;&gt;Lorena Dias de Araujo",$B:$B,"&lt;&gt;Lucas Luiz Romero")*(20/1083),IF(C3923="Estágio",SUMIFS($D:$D,$A:$A,$A3923,$B:$B,"&lt;&gt;Patrícia Karla de Sousa Araújo",$B:$B,"&lt;&gt;Lorena Dias de Araujo",$B:$B,"&lt;&gt;Lucas Luiz Romero")*(10/1083),0)))))),0)</f>
        <v>15</v>
      </c>
      <c r="K3923" s="3">
        <f>I3923-J3923</f>
        <v>2</v>
      </c>
      <c r="L3923" s="3" t="str">
        <f>IF(K3923&lt;-5,"CRÍTICO",IF(K3923&lt;0,"ATENÇÃO",IF(K3923&lt;=5,"OPORTUNO","MUITO BOM")))</f>
        <v>OPORTUNO</v>
      </c>
      <c r="M3923">
        <v>14</v>
      </c>
      <c r="N3923">
        <v>98.15</v>
      </c>
      <c r="O3923">
        <v>27.1551724137931</v>
      </c>
    </row>
    <row r="3924" spans="1:15" hidden="1" x14ac:dyDescent="0.25">
      <c r="A3924" s="11">
        <v>46125</v>
      </c>
      <c r="B3924" t="s">
        <v>41</v>
      </c>
      <c r="C3924" t="s">
        <v>32</v>
      </c>
      <c r="D3924">
        <v>22</v>
      </c>
      <c r="E3924">
        <v>21</v>
      </c>
      <c r="F3924">
        <v>25.24</v>
      </c>
      <c r="G3924">
        <v>0</v>
      </c>
      <c r="H3924">
        <v>0</v>
      </c>
      <c r="I3924" s="3">
        <f>E3924+G3924+H3924</f>
        <v>21</v>
      </c>
      <c r="J3924" s="3">
        <f>ROUND(MIN(IF(C3924="Técnico III",35,IF(C3924="Técnico II",28,IF(C3924="Técnico I",23,IF(C3924="JR",20,IF(C3924="Estágio",10,0))))),IF(C3924="Técnico III",SUMIFS($D:$D,$A:$A,$A3924,$B:$B,"&lt;&gt;Patrícia Karla de Sousa Araújo",$B:$B,"&lt;&gt;Lorena Dias de Araujo",$B:$B,"&lt;&gt;Lucas Luiz Romero")*(35/1083),IF(C3924="Técnico II",SUMIFS($D:$D,$A:$A,$A3924,$B:$B,"&lt;&gt;Patrícia Karla de Sousa Araújo",$B:$B,"&lt;&gt;Lorena Dias de Araujo",$B:$B,"&lt;&gt;Lucas Luiz Romero")*(28/1083),IF(C3924="Técnico I",SUMIFS($D:$D,$A:$A,$A3924,$B:$B,"&lt;&gt;Patrícia Karla de Sousa Araújo",$B:$B,"&lt;&gt;Lorena Dias de Araujo",$B:$B,"&lt;&gt;Lucas Luiz Romero")*(23/1083),IF(C3924="JR",SUMIFS($D:$D,$A:$A,$A3924,$B:$B,"&lt;&gt;Patrícia Karla de Sousa Araújo",$B:$B,"&lt;&gt;Lorena Dias de Araujo",$B:$B,"&lt;&gt;Lucas Luiz Romero")*(20/1083),IF(C3924="Estágio",SUMIFS($D:$D,$A:$A,$A3924,$B:$B,"&lt;&gt;Patrícia Karla de Sousa Araújo",$B:$B,"&lt;&gt;Lorena Dias de Araujo",$B:$B,"&lt;&gt;Lucas Luiz Romero")*(10/1083),0)))))),0)</f>
        <v>25</v>
      </c>
      <c r="K3924" s="3">
        <f>I3924-J3924</f>
        <v>-4</v>
      </c>
      <c r="L3924" s="3" t="str">
        <f>IF(K3924&lt;-5,"CRÍTICO",IF(K3924&lt;0,"ATENÇÃO",IF(K3924&lt;=5,"OPORTUNO","MUITO BOM")))</f>
        <v>ATENÇÃO</v>
      </c>
      <c r="M3924">
        <v>17</v>
      </c>
      <c r="N3924">
        <v>99.15</v>
      </c>
      <c r="O3924">
        <v>27.586206896551719</v>
      </c>
    </row>
    <row r="3925" spans="1:15" hidden="1" x14ac:dyDescent="0.25">
      <c r="A3925" s="11">
        <v>46125</v>
      </c>
      <c r="B3925" t="s">
        <v>56</v>
      </c>
      <c r="C3925" t="s">
        <v>48</v>
      </c>
      <c r="D3925">
        <v>28</v>
      </c>
      <c r="E3925">
        <v>22</v>
      </c>
      <c r="F3925">
        <v>20.38</v>
      </c>
      <c r="G3925">
        <v>0</v>
      </c>
      <c r="H3925">
        <v>0</v>
      </c>
      <c r="I3925" s="3">
        <f>E3925+G3925+H3925</f>
        <v>22</v>
      </c>
      <c r="J3925" s="3">
        <f>ROUND(MIN(IF(C3925="Técnico III",35,IF(C3925="Técnico II",28,IF(C3925="Técnico I",23,IF(C3925="JR",20,IF(C3925="Estágio",10,0))))),IF(C3925="Técnico III",SUMIFS($D:$D,$A:$A,$A3925,$B:$B,"&lt;&gt;Patrícia Karla de Sousa Araújo",$B:$B,"&lt;&gt;Lorena Dias de Araujo",$B:$B,"&lt;&gt;Lucas Luiz Romero")*(35/1083),IF(C3925="Técnico II",SUMIFS($D:$D,$A:$A,$A3925,$B:$B,"&lt;&gt;Patrícia Karla de Sousa Araújo",$B:$B,"&lt;&gt;Lorena Dias de Araujo",$B:$B,"&lt;&gt;Lucas Luiz Romero")*(28/1083),IF(C3925="Técnico I",SUMIFS($D:$D,$A:$A,$A3925,$B:$B,"&lt;&gt;Patrícia Karla de Sousa Araújo",$B:$B,"&lt;&gt;Lorena Dias de Araujo",$B:$B,"&lt;&gt;Lucas Luiz Romero")*(23/1083),IF(C3925="JR",SUMIFS($D:$D,$A:$A,$A3925,$B:$B,"&lt;&gt;Patrícia Karla de Sousa Araújo",$B:$B,"&lt;&gt;Lorena Dias de Araujo",$B:$B,"&lt;&gt;Lucas Luiz Romero")*(20/1083),IF(C3925="Estágio",SUMIFS($D:$D,$A:$A,$A3925,$B:$B,"&lt;&gt;Patrícia Karla de Sousa Araújo",$B:$B,"&lt;&gt;Lorena Dias de Araujo",$B:$B,"&lt;&gt;Lucas Luiz Romero")*(10/1083),0)))))),0)</f>
        <v>20</v>
      </c>
      <c r="K3925" s="3">
        <f>I3925-J3925</f>
        <v>2</v>
      </c>
      <c r="L3925" s="3" t="str">
        <f>IF(K3925&lt;-5,"CRÍTICO",IF(K3925&lt;0,"ATENÇÃO",IF(K3925&lt;=5,"OPORTUNO","MUITO BOM")))</f>
        <v>OPORTUNO</v>
      </c>
      <c r="M3925">
        <v>17</v>
      </c>
      <c r="N3925">
        <v>99.17</v>
      </c>
      <c r="O3925">
        <v>29.75206611570248</v>
      </c>
    </row>
    <row r="3926" spans="1:15" hidden="1" x14ac:dyDescent="0.25">
      <c r="A3926" s="11">
        <v>46125</v>
      </c>
      <c r="B3926" t="s">
        <v>57</v>
      </c>
      <c r="C3926" t="s">
        <v>48</v>
      </c>
      <c r="D3926">
        <v>0</v>
      </c>
      <c r="E3926">
        <v>0</v>
      </c>
      <c r="F3926">
        <v>0</v>
      </c>
      <c r="G3926">
        <v>0</v>
      </c>
      <c r="H3926">
        <v>0</v>
      </c>
      <c r="I3926" s="3">
        <v>0</v>
      </c>
      <c r="J3926" s="3">
        <v>0</v>
      </c>
      <c r="K3926" s="3">
        <v>0</v>
      </c>
      <c r="L3926" s="3" t="str">
        <f>IF(K3926&lt;-5,"CRÍTICO",IF(K3926&lt;0,"ATENÇÃO",IF(K3926&lt;=5,"OPORTUNO","MUITO BOM")))</f>
        <v>OPORTUNO</v>
      </c>
      <c r="M3926">
        <v>0</v>
      </c>
      <c r="N3926">
        <v>98.73</v>
      </c>
      <c r="O3926">
        <v>28.961748633879779</v>
      </c>
    </row>
    <row r="3927" spans="1:15" hidden="1" x14ac:dyDescent="0.25">
      <c r="A3927" s="11">
        <v>46125</v>
      </c>
      <c r="B3927" t="s">
        <v>42</v>
      </c>
      <c r="C3927" t="s">
        <v>32</v>
      </c>
      <c r="D3927">
        <v>44</v>
      </c>
      <c r="E3927">
        <v>31</v>
      </c>
      <c r="F3927">
        <v>10.220000000000001</v>
      </c>
      <c r="G3927">
        <v>0</v>
      </c>
      <c r="H3927">
        <v>0</v>
      </c>
      <c r="I3927" s="3">
        <f>E3927+G3927+H3927</f>
        <v>31</v>
      </c>
      <c r="J3927" s="3">
        <f>ROUND(MIN(IF(C3927="Técnico III",35,IF(C3927="Técnico II",28,IF(C3927="Técnico I",23,IF(C3927="JR",20,IF(C3927="Estágio",10,0))))),IF(C3927="Técnico III",SUMIFS($D:$D,$A:$A,$A3927,$B:$B,"&lt;&gt;Patrícia Karla de Sousa Araújo",$B:$B,"&lt;&gt;Lorena Dias de Araujo",$B:$B,"&lt;&gt;Lucas Luiz Romero")*(35/1083),IF(C3927="Técnico II",SUMIFS($D:$D,$A:$A,$A3927,$B:$B,"&lt;&gt;Patrícia Karla de Sousa Araújo",$B:$B,"&lt;&gt;Lorena Dias de Araujo",$B:$B,"&lt;&gt;Lucas Luiz Romero")*(28/1083),IF(C3927="Técnico I",SUMIFS($D:$D,$A:$A,$A3927,$B:$B,"&lt;&gt;Patrícia Karla de Sousa Araújo",$B:$B,"&lt;&gt;Lorena Dias de Araujo",$B:$B,"&lt;&gt;Lucas Luiz Romero")*(23/1083),IF(C3927="JR",SUMIFS($D:$D,$A:$A,$A3927,$B:$B,"&lt;&gt;Patrícia Karla de Sousa Araújo",$B:$B,"&lt;&gt;Lorena Dias de Araujo",$B:$B,"&lt;&gt;Lucas Luiz Romero")*(20/1083),IF(C3927="Estágio",SUMIFS($D:$D,$A:$A,$A3927,$B:$B,"&lt;&gt;Patrícia Karla de Sousa Araújo",$B:$B,"&lt;&gt;Lorena Dias de Araujo",$B:$B,"&lt;&gt;Lucas Luiz Romero")*(10/1083),0)))))),0)</f>
        <v>25</v>
      </c>
      <c r="K3927" s="3">
        <f>I3927-J3927</f>
        <v>6</v>
      </c>
      <c r="L3927" s="3" t="str">
        <f>IF(K3927&lt;-5,"CRÍTICO",IF(K3927&lt;0,"ATENÇÃO",IF(K3927&lt;=5,"OPORTUNO","MUITO BOM")))</f>
        <v>MUITO BOM</v>
      </c>
      <c r="M3927">
        <v>25</v>
      </c>
      <c r="N3927">
        <v>88.68</v>
      </c>
      <c r="O3927">
        <v>22.03389830508474</v>
      </c>
    </row>
    <row r="3928" spans="1:15" hidden="1" x14ac:dyDescent="0.25">
      <c r="A3928" s="11">
        <v>46125</v>
      </c>
      <c r="B3928" t="s">
        <v>62</v>
      </c>
      <c r="C3928" t="s">
        <v>23</v>
      </c>
      <c r="D3928">
        <v>26</v>
      </c>
      <c r="E3928">
        <v>25</v>
      </c>
      <c r="F3928">
        <v>15.12</v>
      </c>
      <c r="G3928">
        <v>0</v>
      </c>
      <c r="H3928">
        <v>0</v>
      </c>
      <c r="I3928" s="3">
        <f>E3928+G3928+H3928</f>
        <v>25</v>
      </c>
      <c r="J3928" s="3">
        <f>ROUND(MIN(IF(C3928="Técnico III",35,IF(C3928="Técnico II",28,IF(C3928="Técnico I",23,IF(C3928="JR",20,IF(C3928="Estágio",10,0))))),IF(C3928="Técnico III",SUMIFS($D:$D,$A:$A,$A3928,$B:$B,"&lt;&gt;Patrícia Karla de Sousa Araújo",$B:$B,"&lt;&gt;Lorena Dias de Araujo",$B:$B,"&lt;&gt;Lucas Luiz Romero")*(35/1083),IF(C3928="Técnico II",SUMIFS($D:$D,$A:$A,$A3928,$B:$B,"&lt;&gt;Patrícia Karla de Sousa Araújo",$B:$B,"&lt;&gt;Lorena Dias de Araujo",$B:$B,"&lt;&gt;Lucas Luiz Romero")*(28/1083),IF(C3928="Técnico I",SUMIFS($D:$D,$A:$A,$A3928,$B:$B,"&lt;&gt;Patrícia Karla de Sousa Araújo",$B:$B,"&lt;&gt;Lorena Dias de Araujo",$B:$B,"&lt;&gt;Lucas Luiz Romero")*(23/1083),IF(C3928="JR",SUMIFS($D:$D,$A:$A,$A3928,$B:$B,"&lt;&gt;Patrícia Karla de Sousa Araújo",$B:$B,"&lt;&gt;Lorena Dias de Araujo",$B:$B,"&lt;&gt;Lucas Luiz Romero")*(20/1083),IF(C3928="Estágio",SUMIFS($D:$D,$A:$A,$A3928,$B:$B,"&lt;&gt;Patrícia Karla de Sousa Araújo",$B:$B,"&lt;&gt;Lorena Dias de Araujo",$B:$B,"&lt;&gt;Lucas Luiz Romero")*(10/1083),0)))))),0)</f>
        <v>17</v>
      </c>
      <c r="K3928" s="3">
        <f>I3928-J3928</f>
        <v>8</v>
      </c>
      <c r="L3928" s="3" t="str">
        <f>IF(K3928&lt;-5,"CRÍTICO",IF(K3928&lt;0,"ATENÇÃO",IF(K3928&lt;=5,"OPORTUNO","MUITO BOM")))</f>
        <v>MUITO BOM</v>
      </c>
      <c r="M3928">
        <v>24</v>
      </c>
      <c r="N3928">
        <v>97.37</v>
      </c>
      <c r="O3928">
        <v>25.76530612244898</v>
      </c>
    </row>
    <row r="3929" spans="1:15" hidden="1" x14ac:dyDescent="0.25">
      <c r="A3929" s="11">
        <v>46125</v>
      </c>
      <c r="B3929" t="s">
        <v>19</v>
      </c>
      <c r="C3929" t="s">
        <v>16</v>
      </c>
      <c r="D3929">
        <v>0</v>
      </c>
      <c r="E3929">
        <v>0</v>
      </c>
      <c r="F3929">
        <v>0</v>
      </c>
      <c r="G3929">
        <v>0</v>
      </c>
      <c r="H3929">
        <v>0</v>
      </c>
      <c r="I3929" s="3">
        <v>0</v>
      </c>
      <c r="J3929" s="3">
        <v>0</v>
      </c>
      <c r="K3929" s="3">
        <v>0</v>
      </c>
      <c r="L3929" s="3" t="str">
        <f>IF(K3929&lt;-5,"CRÍTICO",IF(K3929&lt;0,"ATENÇÃO",IF(K3929&lt;=5,"OPORTUNO","MUITO BOM")))</f>
        <v>OPORTUNO</v>
      </c>
      <c r="M3929">
        <v>0</v>
      </c>
      <c r="N3929">
        <v>100</v>
      </c>
      <c r="O3929">
        <v>25</v>
      </c>
    </row>
    <row r="3930" spans="1:15" hidden="1" x14ac:dyDescent="0.25">
      <c r="A3930" s="11">
        <v>46125</v>
      </c>
      <c r="B3930" t="s">
        <v>43</v>
      </c>
      <c r="C3930" t="s">
        <v>32</v>
      </c>
      <c r="D3930">
        <v>23</v>
      </c>
      <c r="E3930">
        <v>21</v>
      </c>
      <c r="F3930">
        <v>18.440000000000001</v>
      </c>
      <c r="G3930">
        <v>0</v>
      </c>
      <c r="H3930">
        <v>0</v>
      </c>
      <c r="I3930" s="3">
        <f>E3930+G3930+H3930</f>
        <v>21</v>
      </c>
      <c r="J3930" s="3">
        <f>ROUND(MIN(IF(C3930="Técnico III",35,IF(C3930="Técnico II",28,IF(C3930="Técnico I",23,IF(C3930="JR",20,IF(C3930="Estágio",10,0))))),IF(C3930="Técnico III",SUMIFS($D:$D,$A:$A,$A3930,$B:$B,"&lt;&gt;Patrícia Karla de Sousa Araújo",$B:$B,"&lt;&gt;Lorena Dias de Araujo",$B:$B,"&lt;&gt;Lucas Luiz Romero")*(35/1083),IF(C3930="Técnico II",SUMIFS($D:$D,$A:$A,$A3930,$B:$B,"&lt;&gt;Patrícia Karla de Sousa Araújo",$B:$B,"&lt;&gt;Lorena Dias de Araujo",$B:$B,"&lt;&gt;Lucas Luiz Romero")*(28/1083),IF(C3930="Técnico I",SUMIFS($D:$D,$A:$A,$A3930,$B:$B,"&lt;&gt;Patrícia Karla de Sousa Araújo",$B:$B,"&lt;&gt;Lorena Dias de Araujo",$B:$B,"&lt;&gt;Lucas Luiz Romero")*(23/1083),IF(C3930="JR",SUMIFS($D:$D,$A:$A,$A3930,$B:$B,"&lt;&gt;Patrícia Karla de Sousa Araújo",$B:$B,"&lt;&gt;Lorena Dias de Araujo",$B:$B,"&lt;&gt;Lucas Luiz Romero")*(20/1083),IF(C3930="Estágio",SUMIFS($D:$D,$A:$A,$A3930,$B:$B,"&lt;&gt;Patrícia Karla de Sousa Araújo",$B:$B,"&lt;&gt;Lorena Dias de Araujo",$B:$B,"&lt;&gt;Lucas Luiz Romero")*(10/1083),0)))))),0)</f>
        <v>25</v>
      </c>
      <c r="K3930" s="3">
        <f>I3930-J3930</f>
        <v>-4</v>
      </c>
      <c r="L3930" s="3" t="str">
        <f>IF(K3930&lt;-5,"CRÍTICO",IF(K3930&lt;0,"ATENÇÃO",IF(K3930&lt;=5,"OPORTUNO","MUITO BOM")))</f>
        <v>ATENÇÃO</v>
      </c>
      <c r="M3930">
        <v>19</v>
      </c>
      <c r="N3930">
        <v>100</v>
      </c>
      <c r="O3930">
        <v>23.9870340356564</v>
      </c>
    </row>
    <row r="3931" spans="1:15" hidden="1" x14ac:dyDescent="0.25">
      <c r="A3931" s="11">
        <v>46125</v>
      </c>
      <c r="B3931" t="s">
        <v>44</v>
      </c>
      <c r="C3931" t="s">
        <v>32</v>
      </c>
      <c r="D3931">
        <v>34</v>
      </c>
      <c r="E3931">
        <v>29</v>
      </c>
      <c r="F3931">
        <v>11.43</v>
      </c>
      <c r="G3931">
        <v>0</v>
      </c>
      <c r="H3931">
        <v>0</v>
      </c>
      <c r="I3931" s="3">
        <f>E3931+G3931+H3931</f>
        <v>29</v>
      </c>
      <c r="J3931" s="3">
        <f>ROUND(MIN(IF(C3931="Técnico III",35,IF(C3931="Técnico II",28,IF(C3931="Técnico I",23,IF(C3931="JR",20,IF(C3931="Estágio",10,0))))),IF(C3931="Técnico III",SUMIFS($D:$D,$A:$A,$A3931,$B:$B,"&lt;&gt;Patrícia Karla de Sousa Araújo",$B:$B,"&lt;&gt;Lorena Dias de Araujo",$B:$B,"&lt;&gt;Lucas Luiz Romero")*(35/1083),IF(C3931="Técnico II",SUMIFS($D:$D,$A:$A,$A3931,$B:$B,"&lt;&gt;Patrícia Karla de Sousa Araújo",$B:$B,"&lt;&gt;Lorena Dias de Araujo",$B:$B,"&lt;&gt;Lucas Luiz Romero")*(28/1083),IF(C3931="Técnico I",SUMIFS($D:$D,$A:$A,$A3931,$B:$B,"&lt;&gt;Patrícia Karla de Sousa Araújo",$B:$B,"&lt;&gt;Lorena Dias de Araujo",$B:$B,"&lt;&gt;Lucas Luiz Romero")*(23/1083),IF(C3931="JR",SUMIFS($D:$D,$A:$A,$A3931,$B:$B,"&lt;&gt;Patrícia Karla de Sousa Araújo",$B:$B,"&lt;&gt;Lorena Dias de Araujo",$B:$B,"&lt;&gt;Lucas Luiz Romero")*(20/1083),IF(C3931="Estágio",SUMIFS($D:$D,$A:$A,$A3931,$B:$B,"&lt;&gt;Patrícia Karla de Sousa Araújo",$B:$B,"&lt;&gt;Lorena Dias de Araujo",$B:$B,"&lt;&gt;Lucas Luiz Romero")*(10/1083),0)))))),0)</f>
        <v>25</v>
      </c>
      <c r="K3931" s="3">
        <f>I3931-J3931</f>
        <v>4</v>
      </c>
      <c r="L3931" s="3" t="str">
        <f>IF(K3931&lt;-5,"CRÍTICO",IF(K3931&lt;0,"ATENÇÃO",IF(K3931&lt;=5,"OPORTUNO","MUITO BOM")))</f>
        <v>OPORTUNO</v>
      </c>
      <c r="M3931">
        <v>29</v>
      </c>
      <c r="N3931">
        <v>95.49</v>
      </c>
      <c r="O3931">
        <v>28.370221327967808</v>
      </c>
    </row>
    <row r="3932" spans="1:15" hidden="1" x14ac:dyDescent="0.25">
      <c r="A3932" s="11">
        <v>46125</v>
      </c>
      <c r="B3932" t="s">
        <v>20</v>
      </c>
      <c r="C3932" t="s">
        <v>16</v>
      </c>
      <c r="D3932">
        <v>13</v>
      </c>
      <c r="E3932">
        <v>13</v>
      </c>
      <c r="F3932">
        <v>28.58</v>
      </c>
      <c r="G3932">
        <v>0</v>
      </c>
      <c r="H3932">
        <v>0</v>
      </c>
      <c r="I3932" s="3">
        <f>E3932+G3932+H3932</f>
        <v>13</v>
      </c>
      <c r="J3932" s="3">
        <f>ROUND(MIN(IF(C3932="Técnico III",35,IF(C3932="Técnico II",28,IF(C3932="Técnico I",23,IF(C3932="JR",20,IF(C3932="Estágio",10,0))))),IF(C3932="Técnico III",SUMIFS($D:$D,$A:$A,$A3932,$B:$B,"&lt;&gt;Patrícia Karla de Sousa Araújo",$B:$B,"&lt;&gt;Lorena Dias de Araujo",$B:$B,"&lt;&gt;Lucas Luiz Romero")*(35/1083),IF(C3932="Técnico II",SUMIFS($D:$D,$A:$A,$A3932,$B:$B,"&lt;&gt;Patrícia Karla de Sousa Araújo",$B:$B,"&lt;&gt;Lorena Dias de Araujo",$B:$B,"&lt;&gt;Lucas Luiz Romero")*(28/1083),IF(C3932="Técnico I",SUMIFS($D:$D,$A:$A,$A3932,$B:$B,"&lt;&gt;Patrícia Karla de Sousa Araújo",$B:$B,"&lt;&gt;Lorena Dias de Araujo",$B:$B,"&lt;&gt;Lucas Luiz Romero")*(23/1083),IF(C3932="JR",SUMIFS($D:$D,$A:$A,$A3932,$B:$B,"&lt;&gt;Patrícia Karla de Sousa Araújo",$B:$B,"&lt;&gt;Lorena Dias de Araujo",$B:$B,"&lt;&gt;Lucas Luiz Romero")*(20/1083),IF(C3932="Estágio",SUMIFS($D:$D,$A:$A,$A3932,$B:$B,"&lt;&gt;Patrícia Karla de Sousa Araújo",$B:$B,"&lt;&gt;Lorena Dias de Araujo",$B:$B,"&lt;&gt;Lucas Luiz Romero")*(10/1083),0)))))),0)</f>
        <v>7</v>
      </c>
      <c r="K3932" s="3">
        <f>I3932-J3932</f>
        <v>6</v>
      </c>
      <c r="L3932" s="3" t="str">
        <f>IF(K3932&lt;-5,"CRÍTICO",IF(K3932&lt;0,"ATENÇÃO",IF(K3932&lt;=5,"OPORTUNO","MUITO BOM")))</f>
        <v>MUITO BOM</v>
      </c>
      <c r="M3932">
        <v>7</v>
      </c>
      <c r="N3932">
        <v>100</v>
      </c>
      <c r="O3932">
        <v>23.77622377622378</v>
      </c>
    </row>
    <row r="3933" spans="1:15" hidden="1" x14ac:dyDescent="0.25">
      <c r="A3933" s="11">
        <v>46125</v>
      </c>
      <c r="B3933" t="s">
        <v>28</v>
      </c>
      <c r="C3933" t="s">
        <v>26</v>
      </c>
      <c r="D3933">
        <v>25</v>
      </c>
      <c r="E3933">
        <v>22</v>
      </c>
      <c r="F3933">
        <v>22.22</v>
      </c>
      <c r="G3933">
        <v>0</v>
      </c>
      <c r="H3933">
        <v>0</v>
      </c>
      <c r="I3933" s="3">
        <f>E3933+G3933+H3933</f>
        <v>22</v>
      </c>
      <c r="J3933" s="3">
        <f>ROUND(MIN(IF(C3933="Técnico III",35,IF(C3933="Técnico II",28,IF(C3933="Técnico I",23,IF(C3933="JR",20,IF(C3933="Estágio",10,0))))),IF(C3933="Técnico III",SUMIFS($D:$D,$A:$A,$A3933,$B:$B,"&lt;&gt;Patrícia Karla de Sousa Araújo",$B:$B,"&lt;&gt;Lorena Dias de Araujo",$B:$B,"&lt;&gt;Lucas Luiz Romero")*(35/1083),IF(C3933="Técnico II",SUMIFS($D:$D,$A:$A,$A3933,$B:$B,"&lt;&gt;Patrícia Karla de Sousa Araújo",$B:$B,"&lt;&gt;Lorena Dias de Araujo",$B:$B,"&lt;&gt;Lucas Luiz Romero")*(28/1083),IF(C3933="Técnico I",SUMIFS($D:$D,$A:$A,$A3933,$B:$B,"&lt;&gt;Patrícia Karla de Sousa Araújo",$B:$B,"&lt;&gt;Lorena Dias de Araujo",$B:$B,"&lt;&gt;Lucas Luiz Romero")*(23/1083),IF(C3933="JR",SUMIFS($D:$D,$A:$A,$A3933,$B:$B,"&lt;&gt;Patrícia Karla de Sousa Araújo",$B:$B,"&lt;&gt;Lorena Dias de Araujo",$B:$B,"&lt;&gt;Lucas Luiz Romero")*(20/1083),IF(C3933="Estágio",SUMIFS($D:$D,$A:$A,$A3933,$B:$B,"&lt;&gt;Patrícia Karla de Sousa Araújo",$B:$B,"&lt;&gt;Lorena Dias de Araujo",$B:$B,"&lt;&gt;Lucas Luiz Romero")*(10/1083),0)))))),0)</f>
        <v>15</v>
      </c>
      <c r="K3933" s="3">
        <f>I3933-J3933</f>
        <v>7</v>
      </c>
      <c r="L3933" s="3" t="str">
        <f>IF(K3933&lt;-5,"CRÍTICO",IF(K3933&lt;0,"ATENÇÃO",IF(K3933&lt;=5,"OPORTUNO","MUITO BOM")))</f>
        <v>MUITO BOM</v>
      </c>
      <c r="M3933">
        <v>17</v>
      </c>
      <c r="N3933">
        <v>96.15</v>
      </c>
      <c r="O3933">
        <v>24.045801526717561</v>
      </c>
    </row>
    <row r="3934" spans="1:15" hidden="1" x14ac:dyDescent="0.25">
      <c r="A3934" s="11">
        <v>46125</v>
      </c>
      <c r="B3934" t="s">
        <v>58</v>
      </c>
      <c r="C3934" t="s">
        <v>48</v>
      </c>
      <c r="D3934">
        <v>20</v>
      </c>
      <c r="E3934">
        <v>19</v>
      </c>
      <c r="F3934">
        <v>15.27</v>
      </c>
      <c r="G3934">
        <v>0</v>
      </c>
      <c r="H3934">
        <v>0</v>
      </c>
      <c r="I3934" s="3">
        <f>E3934+G3934+H3934</f>
        <v>19</v>
      </c>
      <c r="J3934" s="3">
        <f>ROUND(MIN(IF(C3934="Técnico III",35,IF(C3934="Técnico II",28,IF(C3934="Técnico I",23,IF(C3934="JR",20,IF(C3934="Estágio",10,0))))),IF(C3934="Técnico III",SUMIFS($D:$D,$A:$A,$A3934,$B:$B,"&lt;&gt;Patrícia Karla de Sousa Araújo",$B:$B,"&lt;&gt;Lorena Dias de Araujo",$B:$B,"&lt;&gt;Lucas Luiz Romero")*(35/1083),IF(C3934="Técnico II",SUMIFS($D:$D,$A:$A,$A3934,$B:$B,"&lt;&gt;Patrícia Karla de Sousa Araújo",$B:$B,"&lt;&gt;Lorena Dias de Araujo",$B:$B,"&lt;&gt;Lucas Luiz Romero")*(28/1083),IF(C3934="Técnico I",SUMIFS($D:$D,$A:$A,$A3934,$B:$B,"&lt;&gt;Patrícia Karla de Sousa Araújo",$B:$B,"&lt;&gt;Lorena Dias de Araujo",$B:$B,"&lt;&gt;Lucas Luiz Romero")*(23/1083),IF(C3934="JR",SUMIFS($D:$D,$A:$A,$A3934,$B:$B,"&lt;&gt;Patrícia Karla de Sousa Araújo",$B:$B,"&lt;&gt;Lorena Dias de Araujo",$B:$B,"&lt;&gt;Lucas Luiz Romero")*(20/1083),IF(C3934="Estágio",SUMIFS($D:$D,$A:$A,$A3934,$B:$B,"&lt;&gt;Patrícia Karla de Sousa Araújo",$B:$B,"&lt;&gt;Lorena Dias de Araujo",$B:$B,"&lt;&gt;Lucas Luiz Romero")*(10/1083),0)))))),0)</f>
        <v>20</v>
      </c>
      <c r="K3934" s="3">
        <f>I3934-J3934</f>
        <v>-1</v>
      </c>
      <c r="L3934" s="3" t="str">
        <f>IF(K3934&lt;-5,"CRÍTICO",IF(K3934&lt;0,"ATENÇÃO",IF(K3934&lt;=5,"OPORTUNO","MUITO BOM")))</f>
        <v>ATENÇÃO</v>
      </c>
      <c r="M3934">
        <v>20</v>
      </c>
      <c r="N3934">
        <v>99.02</v>
      </c>
      <c r="O3934">
        <v>34.797297297297298</v>
      </c>
    </row>
    <row r="3935" spans="1:15" hidden="1" x14ac:dyDescent="0.25">
      <c r="A3935" s="11">
        <v>46125</v>
      </c>
      <c r="B3935" t="s">
        <v>29</v>
      </c>
      <c r="C3935" t="s">
        <v>26</v>
      </c>
      <c r="D3935">
        <v>18</v>
      </c>
      <c r="E3935">
        <v>17</v>
      </c>
      <c r="F3935">
        <v>17.03</v>
      </c>
      <c r="G3935">
        <v>0</v>
      </c>
      <c r="H3935">
        <v>0</v>
      </c>
      <c r="I3935" s="3">
        <f>E3935+G3935+H3935</f>
        <v>17</v>
      </c>
      <c r="J3935" s="3">
        <f>ROUND(MIN(IF(C3935="Técnico III",35,IF(C3935="Técnico II",28,IF(C3935="Técnico I",23,IF(C3935="JR",20,IF(C3935="Estágio",10,0))))),IF(C3935="Técnico III",SUMIFS($D:$D,$A:$A,$A3935,$B:$B,"&lt;&gt;Patrícia Karla de Sousa Araújo",$B:$B,"&lt;&gt;Lorena Dias de Araujo",$B:$B,"&lt;&gt;Lucas Luiz Romero")*(35/1083),IF(C3935="Técnico II",SUMIFS($D:$D,$A:$A,$A3935,$B:$B,"&lt;&gt;Patrícia Karla de Sousa Araújo",$B:$B,"&lt;&gt;Lorena Dias de Araujo",$B:$B,"&lt;&gt;Lucas Luiz Romero")*(28/1083),IF(C3935="Técnico I",SUMIFS($D:$D,$A:$A,$A3935,$B:$B,"&lt;&gt;Patrícia Karla de Sousa Araújo",$B:$B,"&lt;&gt;Lorena Dias de Araujo",$B:$B,"&lt;&gt;Lucas Luiz Romero")*(23/1083),IF(C3935="JR",SUMIFS($D:$D,$A:$A,$A3935,$B:$B,"&lt;&gt;Patrícia Karla de Sousa Araújo",$B:$B,"&lt;&gt;Lorena Dias de Araujo",$B:$B,"&lt;&gt;Lucas Luiz Romero")*(20/1083),IF(C3935="Estágio",SUMIFS($D:$D,$A:$A,$A3935,$B:$B,"&lt;&gt;Patrícia Karla de Sousa Araújo",$B:$B,"&lt;&gt;Lorena Dias de Araujo",$B:$B,"&lt;&gt;Lucas Luiz Romero")*(10/1083),0)))))),0)</f>
        <v>15</v>
      </c>
      <c r="K3935" s="3">
        <f>I3935-J3935</f>
        <v>2</v>
      </c>
      <c r="L3935" s="3" t="str">
        <f>IF(K3935&lt;-5,"CRÍTICO",IF(K3935&lt;0,"ATENÇÃO",IF(K3935&lt;=5,"OPORTUNO","MUITO BOM")))</f>
        <v>OPORTUNO</v>
      </c>
      <c r="M3935">
        <v>13</v>
      </c>
      <c r="N3935">
        <v>98.84</v>
      </c>
      <c r="O3935">
        <v>31.868131868131869</v>
      </c>
    </row>
    <row r="3936" spans="1:15" hidden="1" x14ac:dyDescent="0.25">
      <c r="A3936" s="11">
        <v>46125</v>
      </c>
      <c r="B3936" t="s">
        <v>30</v>
      </c>
      <c r="C3936" t="s">
        <v>26</v>
      </c>
      <c r="D3936">
        <v>23</v>
      </c>
      <c r="E3936">
        <v>22</v>
      </c>
      <c r="F3936">
        <v>15.45</v>
      </c>
      <c r="G3936">
        <v>0</v>
      </c>
      <c r="H3936">
        <v>0</v>
      </c>
      <c r="I3936" s="3">
        <f>E3936+G3936+H3936</f>
        <v>22</v>
      </c>
      <c r="J3936" s="3">
        <f>ROUND(MIN(IF(C3936="Técnico III",35,IF(C3936="Técnico II",28,IF(C3936="Técnico I",23,IF(C3936="JR",20,IF(C3936="Estágio",10,0))))),IF(C3936="Técnico III",SUMIFS($D:$D,$A:$A,$A3936,$B:$B,"&lt;&gt;Patrícia Karla de Sousa Araújo",$B:$B,"&lt;&gt;Lorena Dias de Araujo",$B:$B,"&lt;&gt;Lucas Luiz Romero")*(35/1083),IF(C3936="Técnico II",SUMIFS($D:$D,$A:$A,$A3936,$B:$B,"&lt;&gt;Patrícia Karla de Sousa Araújo",$B:$B,"&lt;&gt;Lorena Dias de Araujo",$B:$B,"&lt;&gt;Lucas Luiz Romero")*(28/1083),IF(C3936="Técnico I",SUMIFS($D:$D,$A:$A,$A3936,$B:$B,"&lt;&gt;Patrícia Karla de Sousa Araújo",$B:$B,"&lt;&gt;Lorena Dias de Araujo",$B:$B,"&lt;&gt;Lucas Luiz Romero")*(23/1083),IF(C3936="JR",SUMIFS($D:$D,$A:$A,$A3936,$B:$B,"&lt;&gt;Patrícia Karla de Sousa Araújo",$B:$B,"&lt;&gt;Lorena Dias de Araujo",$B:$B,"&lt;&gt;Lucas Luiz Romero")*(20/1083),IF(C3936="Estágio",SUMIFS($D:$D,$A:$A,$A3936,$B:$B,"&lt;&gt;Patrícia Karla de Sousa Araújo",$B:$B,"&lt;&gt;Lorena Dias de Araujo",$B:$B,"&lt;&gt;Lucas Luiz Romero")*(10/1083),0)))))),0)</f>
        <v>15</v>
      </c>
      <c r="K3936" s="3">
        <f>I3936-J3936</f>
        <v>7</v>
      </c>
      <c r="L3936" s="3" t="str">
        <f>IF(K3936&lt;-5,"CRÍTICO",IF(K3936&lt;0,"ATENÇÃO",IF(K3936&lt;=5,"OPORTUNO","MUITO BOM")))</f>
        <v>MUITO BOM</v>
      </c>
      <c r="M3936">
        <v>18</v>
      </c>
      <c r="N3936">
        <v>100</v>
      </c>
      <c r="O3936">
        <v>34.666666666666671</v>
      </c>
    </row>
    <row r="3937" spans="1:15" hidden="1" x14ac:dyDescent="0.25">
      <c r="A3937" s="11">
        <v>46125</v>
      </c>
      <c r="B3937" t="s">
        <v>21</v>
      </c>
      <c r="C3937" t="s">
        <v>16</v>
      </c>
      <c r="D3937">
        <v>3</v>
      </c>
      <c r="E3937">
        <v>3</v>
      </c>
      <c r="F3937">
        <v>50.24</v>
      </c>
      <c r="G3937">
        <v>0</v>
      </c>
      <c r="H3937">
        <v>0</v>
      </c>
      <c r="I3937" s="3">
        <f>E3937+G3937+H3937</f>
        <v>3</v>
      </c>
      <c r="J3937" s="3">
        <f>ROUND(MIN(IF(C3937="Técnico III",35,IF(C3937="Técnico II",28,IF(C3937="Técnico I",23,IF(C3937="JR",20,IF(C3937="Estágio",10,0))))),IF(C3937="Técnico III",SUMIFS($D:$D,$A:$A,$A3937,$B:$B,"&lt;&gt;Patrícia Karla de Sousa Araújo",$B:$B,"&lt;&gt;Lorena Dias de Araujo",$B:$B,"&lt;&gt;Lucas Luiz Romero")*(35/1083),IF(C3937="Técnico II",SUMIFS($D:$D,$A:$A,$A3937,$B:$B,"&lt;&gt;Patrícia Karla de Sousa Araújo",$B:$B,"&lt;&gt;Lorena Dias de Araujo",$B:$B,"&lt;&gt;Lucas Luiz Romero")*(28/1083),IF(C3937="Técnico I",SUMIFS($D:$D,$A:$A,$A3937,$B:$B,"&lt;&gt;Patrícia Karla de Sousa Araújo",$B:$B,"&lt;&gt;Lorena Dias de Araujo",$B:$B,"&lt;&gt;Lucas Luiz Romero")*(23/1083),IF(C3937="JR",SUMIFS($D:$D,$A:$A,$A3937,$B:$B,"&lt;&gt;Patrícia Karla de Sousa Araújo",$B:$B,"&lt;&gt;Lorena Dias de Araujo",$B:$B,"&lt;&gt;Lucas Luiz Romero")*(20/1083),IF(C3937="Estágio",SUMIFS($D:$D,$A:$A,$A3937,$B:$B,"&lt;&gt;Patrícia Karla de Sousa Araújo",$B:$B,"&lt;&gt;Lorena Dias de Araujo",$B:$B,"&lt;&gt;Lucas Luiz Romero")*(10/1083),0)))))),0)</f>
        <v>7</v>
      </c>
      <c r="K3937" s="3">
        <f>I3937-J3937</f>
        <v>-4</v>
      </c>
      <c r="L3937" s="3" t="str">
        <f>IF(K3937&lt;-5,"CRÍTICO",IF(K3937&lt;0,"ATENÇÃO",IF(K3937&lt;=5,"OPORTUNO","MUITO BOM")))</f>
        <v>ATENÇÃO</v>
      </c>
      <c r="M3937">
        <v>3</v>
      </c>
      <c r="N3937">
        <v>94.12</v>
      </c>
      <c r="O3937">
        <v>32.799999999999997</v>
      </c>
    </row>
    <row r="3938" spans="1:15" hidden="1" x14ac:dyDescent="0.25">
      <c r="A3938" s="11">
        <v>46125</v>
      </c>
      <c r="B3938" t="s">
        <v>63</v>
      </c>
      <c r="C3938" t="s">
        <v>23</v>
      </c>
      <c r="D3938">
        <v>22</v>
      </c>
      <c r="E3938">
        <v>20</v>
      </c>
      <c r="F3938">
        <v>12.14</v>
      </c>
      <c r="G3938">
        <v>0</v>
      </c>
      <c r="H3938">
        <v>0</v>
      </c>
      <c r="I3938" s="3">
        <f>E3938+G3938+H3938</f>
        <v>20</v>
      </c>
      <c r="J3938" s="3">
        <f>ROUND(MIN(IF(C3938="Técnico III",35,IF(C3938="Técnico II",28,IF(C3938="Técnico I",23,IF(C3938="JR",20,IF(C3938="Estágio",10,0))))),IF(C3938="Técnico III",SUMIFS($D:$D,$A:$A,$A3938,$B:$B,"&lt;&gt;Patrícia Karla de Sousa Araújo",$B:$B,"&lt;&gt;Lorena Dias de Araujo",$B:$B,"&lt;&gt;Lucas Luiz Romero")*(35/1083),IF(C3938="Técnico II",SUMIFS($D:$D,$A:$A,$A3938,$B:$B,"&lt;&gt;Patrícia Karla de Sousa Araújo",$B:$B,"&lt;&gt;Lorena Dias de Araujo",$B:$B,"&lt;&gt;Lucas Luiz Romero")*(28/1083),IF(C3938="Técnico I",SUMIFS($D:$D,$A:$A,$A3938,$B:$B,"&lt;&gt;Patrícia Karla de Sousa Araújo",$B:$B,"&lt;&gt;Lorena Dias de Araujo",$B:$B,"&lt;&gt;Lucas Luiz Romero")*(23/1083),IF(C3938="JR",SUMIFS($D:$D,$A:$A,$A3938,$B:$B,"&lt;&gt;Patrícia Karla de Sousa Araújo",$B:$B,"&lt;&gt;Lorena Dias de Araujo",$B:$B,"&lt;&gt;Lucas Luiz Romero")*(20/1083),IF(C3938="Estágio",SUMIFS($D:$D,$A:$A,$A3938,$B:$B,"&lt;&gt;Patrícia Karla de Sousa Araújo",$B:$B,"&lt;&gt;Lorena Dias de Araujo",$B:$B,"&lt;&gt;Lucas Luiz Romero")*(10/1083),0)))))),0)</f>
        <v>17</v>
      </c>
      <c r="K3938" s="3">
        <f>I3938-J3938</f>
        <v>3</v>
      </c>
      <c r="L3938" s="3" t="str">
        <f>IF(K3938&lt;-5,"CRÍTICO",IF(K3938&lt;0,"ATENÇÃO",IF(K3938&lt;=5,"OPORTUNO","MUITO BOM")))</f>
        <v>OPORTUNO</v>
      </c>
      <c r="M3938">
        <v>18</v>
      </c>
      <c r="N3938">
        <v>98.32</v>
      </c>
      <c r="O3938">
        <v>26.858513189448441</v>
      </c>
    </row>
    <row r="3939" spans="1:15" hidden="1" x14ac:dyDescent="0.25">
      <c r="A3939" s="11">
        <v>46125</v>
      </c>
      <c r="B3939" t="s">
        <v>45</v>
      </c>
      <c r="C3939" t="s">
        <v>32</v>
      </c>
      <c r="D3939">
        <v>28</v>
      </c>
      <c r="E3939">
        <v>25</v>
      </c>
      <c r="F3939">
        <v>17.16</v>
      </c>
      <c r="G3939">
        <v>0</v>
      </c>
      <c r="H3939">
        <v>0</v>
      </c>
      <c r="I3939" s="3">
        <f>E3939+G3939+H3939</f>
        <v>25</v>
      </c>
      <c r="J3939" s="3">
        <f>ROUND(MIN(IF(C3939="Técnico III",35,IF(C3939="Técnico II",28,IF(C3939="Técnico I",23,IF(C3939="JR",20,IF(C3939="Estágio",10,0))))),IF(C3939="Técnico III",SUMIFS($D:$D,$A:$A,$A3939,$B:$B,"&lt;&gt;Patrícia Karla de Sousa Araújo",$B:$B,"&lt;&gt;Lorena Dias de Araujo",$B:$B,"&lt;&gt;Lucas Luiz Romero")*(35/1083),IF(C3939="Técnico II",SUMIFS($D:$D,$A:$A,$A3939,$B:$B,"&lt;&gt;Patrícia Karla de Sousa Araújo",$B:$B,"&lt;&gt;Lorena Dias de Araujo",$B:$B,"&lt;&gt;Lucas Luiz Romero")*(28/1083),IF(C3939="Técnico I",SUMIFS($D:$D,$A:$A,$A3939,$B:$B,"&lt;&gt;Patrícia Karla de Sousa Araújo",$B:$B,"&lt;&gt;Lorena Dias de Araujo",$B:$B,"&lt;&gt;Lucas Luiz Romero")*(23/1083),IF(C3939="JR",SUMIFS($D:$D,$A:$A,$A3939,$B:$B,"&lt;&gt;Patrícia Karla de Sousa Araújo",$B:$B,"&lt;&gt;Lorena Dias de Araujo",$B:$B,"&lt;&gt;Lucas Luiz Romero")*(20/1083),IF(C3939="Estágio",SUMIFS($D:$D,$A:$A,$A3939,$B:$B,"&lt;&gt;Patrícia Karla de Sousa Araújo",$B:$B,"&lt;&gt;Lorena Dias de Araujo",$B:$B,"&lt;&gt;Lucas Luiz Romero")*(10/1083),0)))))),0)</f>
        <v>25</v>
      </c>
      <c r="K3939" s="3">
        <f>I3939-J3939</f>
        <v>0</v>
      </c>
      <c r="L3939" s="3" t="str">
        <f>IF(K3939&lt;-5,"CRÍTICO",IF(K3939&lt;0,"ATENÇÃO",IF(K3939&lt;=5,"OPORTUNO","MUITO BOM")))</f>
        <v>OPORTUNO</v>
      </c>
      <c r="M3939">
        <v>16</v>
      </c>
      <c r="N3939">
        <v>100</v>
      </c>
      <c r="O3939">
        <v>31.135531135531139</v>
      </c>
    </row>
    <row r="3940" spans="1:15" hidden="1" x14ac:dyDescent="0.25">
      <c r="A3940" s="11">
        <v>46125</v>
      </c>
      <c r="B3940" t="s">
        <v>64</v>
      </c>
      <c r="C3940" t="s">
        <v>23</v>
      </c>
      <c r="D3940">
        <v>13</v>
      </c>
      <c r="E3940">
        <v>13</v>
      </c>
      <c r="F3940">
        <v>38.44</v>
      </c>
      <c r="G3940">
        <v>0</v>
      </c>
      <c r="H3940">
        <v>0</v>
      </c>
      <c r="I3940" s="3">
        <f>E3940+G3940+H3940</f>
        <v>13</v>
      </c>
      <c r="J3940" s="3">
        <f>ROUND(MIN(IF(C3940="Técnico III",35,IF(C3940="Técnico II",28,IF(C3940="Técnico I",23,IF(C3940="JR",20,IF(C3940="Estágio",10,0))))),IF(C3940="Técnico III",SUMIFS($D:$D,$A:$A,$A3940,$B:$B,"&lt;&gt;Patrícia Karla de Sousa Araújo",$B:$B,"&lt;&gt;Lorena Dias de Araujo",$B:$B,"&lt;&gt;Lucas Luiz Romero")*(35/1083),IF(C3940="Técnico II",SUMIFS($D:$D,$A:$A,$A3940,$B:$B,"&lt;&gt;Patrícia Karla de Sousa Araújo",$B:$B,"&lt;&gt;Lorena Dias de Araujo",$B:$B,"&lt;&gt;Lucas Luiz Romero")*(28/1083),IF(C3940="Técnico I",SUMIFS($D:$D,$A:$A,$A3940,$B:$B,"&lt;&gt;Patrícia Karla de Sousa Araújo",$B:$B,"&lt;&gt;Lorena Dias de Araujo",$B:$B,"&lt;&gt;Lucas Luiz Romero")*(23/1083),IF(C3940="JR",SUMIFS($D:$D,$A:$A,$A3940,$B:$B,"&lt;&gt;Patrícia Karla de Sousa Araújo",$B:$B,"&lt;&gt;Lorena Dias de Araujo",$B:$B,"&lt;&gt;Lucas Luiz Romero")*(20/1083),IF(C3940="Estágio",SUMIFS($D:$D,$A:$A,$A3940,$B:$B,"&lt;&gt;Patrícia Karla de Sousa Araújo",$B:$B,"&lt;&gt;Lorena Dias de Araujo",$B:$B,"&lt;&gt;Lucas Luiz Romero")*(10/1083),0)))))),0)</f>
        <v>17</v>
      </c>
      <c r="K3940" s="3">
        <f>I3940-J3940</f>
        <v>-4</v>
      </c>
      <c r="L3940" s="3" t="str">
        <f>IF(K3940&lt;-5,"CRÍTICO",IF(K3940&lt;0,"ATENÇÃO",IF(K3940&lt;=5,"OPORTUNO","MUITO BOM")))</f>
        <v>ATENÇÃO</v>
      </c>
      <c r="M3940">
        <v>12</v>
      </c>
      <c r="N3940">
        <v>100</v>
      </c>
      <c r="O3940">
        <v>26.36986301369863</v>
      </c>
    </row>
    <row r="3941" spans="1:15" hidden="1" x14ac:dyDescent="0.25">
      <c r="A3941" s="11">
        <v>46125</v>
      </c>
      <c r="B3941" t="s">
        <v>46</v>
      </c>
      <c r="C3941" t="s">
        <v>32</v>
      </c>
      <c r="D3941">
        <v>20</v>
      </c>
      <c r="E3941">
        <v>20</v>
      </c>
      <c r="F3941">
        <v>23.5</v>
      </c>
      <c r="G3941">
        <v>0</v>
      </c>
      <c r="H3941">
        <v>0</v>
      </c>
      <c r="I3941" s="3">
        <f>E3941+G3941+H3941</f>
        <v>20</v>
      </c>
      <c r="J3941" s="3">
        <f>ROUND(MIN(IF(C3941="Técnico III",35,IF(C3941="Técnico II",28,IF(C3941="Técnico I",23,IF(C3941="JR",20,IF(C3941="Estágio",10,0))))),IF(C3941="Técnico III",SUMIFS($D:$D,$A:$A,$A3941,$B:$B,"&lt;&gt;Patrícia Karla de Sousa Araújo",$B:$B,"&lt;&gt;Lorena Dias de Araujo",$B:$B,"&lt;&gt;Lucas Luiz Romero")*(35/1083),IF(C3941="Técnico II",SUMIFS($D:$D,$A:$A,$A3941,$B:$B,"&lt;&gt;Patrícia Karla de Sousa Araújo",$B:$B,"&lt;&gt;Lorena Dias de Araujo",$B:$B,"&lt;&gt;Lucas Luiz Romero")*(28/1083),IF(C3941="Técnico I",SUMIFS($D:$D,$A:$A,$A3941,$B:$B,"&lt;&gt;Patrícia Karla de Sousa Araújo",$B:$B,"&lt;&gt;Lorena Dias de Araujo",$B:$B,"&lt;&gt;Lucas Luiz Romero")*(23/1083),IF(C3941="JR",SUMIFS($D:$D,$A:$A,$A3941,$B:$B,"&lt;&gt;Patrícia Karla de Sousa Araújo",$B:$B,"&lt;&gt;Lorena Dias de Araujo",$B:$B,"&lt;&gt;Lucas Luiz Romero")*(20/1083),IF(C3941="Estágio",SUMIFS($D:$D,$A:$A,$A3941,$B:$B,"&lt;&gt;Patrícia Karla de Sousa Araújo",$B:$B,"&lt;&gt;Lorena Dias de Araujo",$B:$B,"&lt;&gt;Lucas Luiz Romero")*(10/1083),0)))))),0)</f>
        <v>25</v>
      </c>
      <c r="K3941" s="3">
        <f>I3941-J3941</f>
        <v>-5</v>
      </c>
      <c r="L3941" s="3" t="str">
        <f>IF(K3941&lt;-5,"CRÍTICO",IF(K3941&lt;0,"ATENÇÃO",IF(K3941&lt;=5,"OPORTUNO","MUITO BOM")))</f>
        <v>ATENÇÃO</v>
      </c>
      <c r="M3941">
        <v>18</v>
      </c>
      <c r="N3941">
        <v>99.21</v>
      </c>
      <c r="O3941">
        <v>25.188916876574311</v>
      </c>
    </row>
    <row r="3942" spans="1:15" hidden="1" x14ac:dyDescent="0.25">
      <c r="A3942" s="11">
        <v>46126</v>
      </c>
      <c r="B3942" t="s">
        <v>47</v>
      </c>
      <c r="C3942" t="s">
        <v>48</v>
      </c>
      <c r="D3942">
        <v>17</v>
      </c>
      <c r="E3942">
        <v>12</v>
      </c>
      <c r="F3942">
        <v>14.1</v>
      </c>
      <c r="G3942">
        <v>0</v>
      </c>
      <c r="H3942">
        <v>0</v>
      </c>
      <c r="I3942" s="3">
        <f>E3942+G3942+H3942</f>
        <v>12</v>
      </c>
      <c r="J3942" s="3">
        <f>ROUND(MIN(IF(C3942="Técnico III",35,IF(C3942="Técnico II",28,IF(C3942="Técnico I",23,IF(C3942="JR",20,IF(C3942="Estágio",10,0))))),IF(C3942="Técnico III",SUMIFS($D:$D,$A:$A,$A3942,$B:$B,"&lt;&gt;Patrícia Karla de Sousa Araújo",$B:$B,"&lt;&gt;Lorena Dias de Araujo",$B:$B,"&lt;&gt;Lucas Luiz Romero")*(35/1083),IF(C3942="Técnico II",SUMIFS($D:$D,$A:$A,$A3942,$B:$B,"&lt;&gt;Patrícia Karla de Sousa Araújo",$B:$B,"&lt;&gt;Lorena Dias de Araujo",$B:$B,"&lt;&gt;Lucas Luiz Romero")*(28/1083),IF(C3942="Técnico I",SUMIFS($D:$D,$A:$A,$A3942,$B:$B,"&lt;&gt;Patrícia Karla de Sousa Araújo",$B:$B,"&lt;&gt;Lorena Dias de Araujo",$B:$B,"&lt;&gt;Lucas Luiz Romero")*(23/1083),IF(C3942="JR",SUMIFS($D:$D,$A:$A,$A3942,$B:$B,"&lt;&gt;Patrícia Karla de Sousa Araújo",$B:$B,"&lt;&gt;Lorena Dias de Araujo",$B:$B,"&lt;&gt;Lucas Luiz Romero")*(20/1083),IF(C3942="Estágio",SUMIFS($D:$D,$A:$A,$A3942,$B:$B,"&lt;&gt;Patrícia Karla de Sousa Araújo",$B:$B,"&lt;&gt;Lorena Dias de Araujo",$B:$B,"&lt;&gt;Lucas Luiz Romero")*(10/1083),0)))))),0)</f>
        <v>24</v>
      </c>
      <c r="K3942" s="3">
        <f>I3942-J3942</f>
        <v>-12</v>
      </c>
      <c r="L3942" s="3" t="str">
        <f>IF(K3942&lt;-5,"CRÍTICO",IF(K3942&lt;0,"ATENÇÃO",IF(K3942&lt;=5,"OPORTUNO","MUITO BOM")))</f>
        <v>CRÍTICO</v>
      </c>
      <c r="M3942">
        <v>8</v>
      </c>
      <c r="N3942">
        <v>100</v>
      </c>
      <c r="O3942">
        <v>32.764505119453922</v>
      </c>
    </row>
    <row r="3943" spans="1:15" hidden="1" x14ac:dyDescent="0.25">
      <c r="A3943" s="11">
        <v>46126</v>
      </c>
      <c r="B3943" t="s">
        <v>31</v>
      </c>
      <c r="C3943" t="s">
        <v>32</v>
      </c>
      <c r="D3943">
        <v>0</v>
      </c>
      <c r="E3943">
        <v>0</v>
      </c>
      <c r="F3943">
        <v>0</v>
      </c>
      <c r="G3943">
        <v>0</v>
      </c>
      <c r="H3943">
        <v>0</v>
      </c>
      <c r="I3943" s="3">
        <v>0</v>
      </c>
      <c r="J3943" s="3">
        <v>0</v>
      </c>
      <c r="K3943" s="3">
        <v>0</v>
      </c>
      <c r="L3943" s="3" t="str">
        <f>IF(K3943&lt;-5,"CRÍTICO",IF(K3943&lt;0,"ATENÇÃO",IF(K3943&lt;=5,"OPORTUNO","MUITO BOM")))</f>
        <v>OPORTUNO</v>
      </c>
      <c r="M3943">
        <v>19</v>
      </c>
      <c r="N3943">
        <v>98.66</v>
      </c>
      <c r="O3943">
        <v>35.416666666666671</v>
      </c>
    </row>
    <row r="3944" spans="1:15" hidden="1" x14ac:dyDescent="0.25">
      <c r="A3944" s="11">
        <v>46126</v>
      </c>
      <c r="B3944" t="s">
        <v>59</v>
      </c>
      <c r="C3944" t="s">
        <v>23</v>
      </c>
      <c r="D3944">
        <v>18</v>
      </c>
      <c r="E3944">
        <v>15</v>
      </c>
      <c r="F3944">
        <v>20.59</v>
      </c>
      <c r="G3944">
        <v>0</v>
      </c>
      <c r="H3944">
        <v>0</v>
      </c>
      <c r="I3944" s="3">
        <f>E3944+G3944+H3944</f>
        <v>15</v>
      </c>
      <c r="J3944" s="3">
        <f>ROUND(MIN(IF(C3944="Técnico III",35,IF(C3944="Técnico II",28,IF(C3944="Técnico I",23,IF(C3944="JR",20,IF(C3944="Estágio",10,0))))),IF(C3944="Técnico III",SUMIFS($D:$D,$A:$A,$A3944,$B:$B,"&lt;&gt;Patrícia Karla de Sousa Araújo",$B:$B,"&lt;&gt;Lorena Dias de Araujo",$B:$B,"&lt;&gt;Lucas Luiz Romero")*(35/1083),IF(C3944="Técnico II",SUMIFS($D:$D,$A:$A,$A3944,$B:$B,"&lt;&gt;Patrícia Karla de Sousa Araújo",$B:$B,"&lt;&gt;Lorena Dias de Araujo",$B:$B,"&lt;&gt;Lucas Luiz Romero")*(28/1083),IF(C3944="Técnico I",SUMIFS($D:$D,$A:$A,$A3944,$B:$B,"&lt;&gt;Patrícia Karla de Sousa Araújo",$B:$B,"&lt;&gt;Lorena Dias de Araujo",$B:$B,"&lt;&gt;Lucas Luiz Romero")*(23/1083),IF(C3944="JR",SUMIFS($D:$D,$A:$A,$A3944,$B:$B,"&lt;&gt;Patrícia Karla de Sousa Araújo",$B:$B,"&lt;&gt;Lorena Dias de Araujo",$B:$B,"&lt;&gt;Lucas Luiz Romero")*(20/1083),IF(C3944="Estágio",SUMIFS($D:$D,$A:$A,$A3944,$B:$B,"&lt;&gt;Patrícia Karla de Sousa Araújo",$B:$B,"&lt;&gt;Lorena Dias de Araujo",$B:$B,"&lt;&gt;Lucas Luiz Romero")*(10/1083),0)))))),0)</f>
        <v>20</v>
      </c>
      <c r="K3944" s="3">
        <f>I3944-J3944</f>
        <v>-5</v>
      </c>
      <c r="L3944" s="3" t="str">
        <f>IF(K3944&lt;-5,"CRÍTICO",IF(K3944&lt;0,"ATENÇÃO",IF(K3944&lt;=5,"OPORTUNO","MUITO BOM")))</f>
        <v>ATENÇÃO</v>
      </c>
      <c r="M3944">
        <v>19</v>
      </c>
      <c r="N3944">
        <v>99.32</v>
      </c>
      <c r="O3944">
        <v>30.648330058939099</v>
      </c>
    </row>
    <row r="3945" spans="1:15" hidden="1" x14ac:dyDescent="0.25">
      <c r="A3945" s="11">
        <v>46126</v>
      </c>
      <c r="B3945" t="s">
        <v>33</v>
      </c>
      <c r="C3945" t="s">
        <v>32</v>
      </c>
      <c r="D3945">
        <v>36</v>
      </c>
      <c r="E3945">
        <v>34</v>
      </c>
      <c r="F3945">
        <v>17.190000000000001</v>
      </c>
      <c r="G3945">
        <v>0</v>
      </c>
      <c r="H3945">
        <v>0</v>
      </c>
      <c r="I3945" s="3">
        <f>E3945+G3945+H3945</f>
        <v>34</v>
      </c>
      <c r="J3945" s="3">
        <f>ROUND(MIN(IF(C3945="Técnico III",35,IF(C3945="Técnico II",28,IF(C3945="Técnico I",23,IF(C3945="JR",20,IF(C3945="Estágio",10,0))))),IF(C3945="Técnico III",SUMIFS($D:$D,$A:$A,$A3945,$B:$B,"&lt;&gt;Patrícia Karla de Sousa Araújo",$B:$B,"&lt;&gt;Lorena Dias de Araujo",$B:$B,"&lt;&gt;Lucas Luiz Romero")*(35/1083),IF(C3945="Técnico II",SUMIFS($D:$D,$A:$A,$A3945,$B:$B,"&lt;&gt;Patrícia Karla de Sousa Araújo",$B:$B,"&lt;&gt;Lorena Dias de Araujo",$B:$B,"&lt;&gt;Lucas Luiz Romero")*(28/1083),IF(C3945="Técnico I",SUMIFS($D:$D,$A:$A,$A3945,$B:$B,"&lt;&gt;Patrícia Karla de Sousa Araújo",$B:$B,"&lt;&gt;Lorena Dias de Araujo",$B:$B,"&lt;&gt;Lucas Luiz Romero")*(23/1083),IF(C3945="JR",SUMIFS($D:$D,$A:$A,$A3945,$B:$B,"&lt;&gt;Patrícia Karla de Sousa Araújo",$B:$B,"&lt;&gt;Lorena Dias de Araujo",$B:$B,"&lt;&gt;Lucas Luiz Romero")*(20/1083),IF(C3945="Estágio",SUMIFS($D:$D,$A:$A,$A3945,$B:$B,"&lt;&gt;Patrícia Karla de Sousa Araújo",$B:$B,"&lt;&gt;Lorena Dias de Araujo",$B:$B,"&lt;&gt;Lucas Luiz Romero")*(10/1083),0)))))),0)</f>
        <v>30</v>
      </c>
      <c r="K3945" s="3">
        <f>I3945-J3945</f>
        <v>4</v>
      </c>
      <c r="L3945" s="3" t="str">
        <f>IF(K3945&lt;-5,"CRÍTICO",IF(K3945&lt;0,"ATENÇÃO",IF(K3945&lt;=5,"OPORTUNO","MUITO BOM")))</f>
        <v>OPORTUNO</v>
      </c>
      <c r="M3945">
        <v>30</v>
      </c>
      <c r="N3945">
        <v>100</v>
      </c>
      <c r="O3945">
        <v>27.803738317757009</v>
      </c>
    </row>
    <row r="3946" spans="1:15" hidden="1" x14ac:dyDescent="0.25">
      <c r="A3946" s="11">
        <v>46126</v>
      </c>
      <c r="B3946" t="s">
        <v>15</v>
      </c>
      <c r="C3946" t="s">
        <v>16</v>
      </c>
      <c r="D3946">
        <v>34</v>
      </c>
      <c r="E3946">
        <v>32</v>
      </c>
      <c r="F3946">
        <v>17.260000000000002</v>
      </c>
      <c r="G3946">
        <v>0</v>
      </c>
      <c r="H3946">
        <v>0</v>
      </c>
      <c r="I3946" s="3">
        <f>E3946+G3946+H3946</f>
        <v>32</v>
      </c>
      <c r="J3946" s="3">
        <f>ROUND(MIN(IF(C3946="Técnico III",35,IF(C3946="Técnico II",28,IF(C3946="Técnico I",23,IF(C3946="JR",20,IF(C3946="Estágio",10,0))))),IF(C3946="Técnico III",SUMIFS($D:$D,$A:$A,$A3946,$B:$B,"&lt;&gt;Patrícia Karla de Sousa Araújo",$B:$B,"&lt;&gt;Lorena Dias de Araujo",$B:$B,"&lt;&gt;Lucas Luiz Romero")*(35/1083),IF(C3946="Técnico II",SUMIFS($D:$D,$A:$A,$A3946,$B:$B,"&lt;&gt;Patrícia Karla de Sousa Araújo",$B:$B,"&lt;&gt;Lorena Dias de Araujo",$B:$B,"&lt;&gt;Lucas Luiz Romero")*(28/1083),IF(C3946="Técnico I",SUMIFS($D:$D,$A:$A,$A3946,$B:$B,"&lt;&gt;Patrícia Karla de Sousa Araújo",$B:$B,"&lt;&gt;Lorena Dias de Araujo",$B:$B,"&lt;&gt;Lucas Luiz Romero")*(23/1083),IF(C3946="JR",SUMIFS($D:$D,$A:$A,$A3946,$B:$B,"&lt;&gt;Patrícia Karla de Sousa Araújo",$B:$B,"&lt;&gt;Lorena Dias de Araujo",$B:$B,"&lt;&gt;Lucas Luiz Romero")*(20/1083),IF(C3946="Estágio",SUMIFS($D:$D,$A:$A,$A3946,$B:$B,"&lt;&gt;Patrícia Karla de Sousa Araújo",$B:$B,"&lt;&gt;Lorena Dias de Araujo",$B:$B,"&lt;&gt;Lucas Luiz Romero")*(10/1083),0)))))),0)</f>
        <v>9</v>
      </c>
      <c r="K3946" s="3">
        <f>I3946-J3946</f>
        <v>23</v>
      </c>
      <c r="L3946" s="3" t="str">
        <f>IF(K3946&lt;-5,"CRÍTICO",IF(K3946&lt;0,"ATENÇÃO",IF(K3946&lt;=5,"OPORTUNO","MUITO BOM")))</f>
        <v>MUITO BOM</v>
      </c>
      <c r="M3946">
        <v>30</v>
      </c>
      <c r="N3946">
        <v>96.74</v>
      </c>
      <c r="O3946">
        <v>28.67647058823529</v>
      </c>
    </row>
    <row r="3947" spans="1:15" hidden="1" x14ac:dyDescent="0.25">
      <c r="A3947" s="11">
        <v>46126</v>
      </c>
      <c r="B3947" t="s">
        <v>49</v>
      </c>
      <c r="C3947" t="s">
        <v>48</v>
      </c>
      <c r="D3947">
        <v>31</v>
      </c>
      <c r="E3947">
        <v>31</v>
      </c>
      <c r="F3947">
        <v>13.59</v>
      </c>
      <c r="G3947">
        <v>0</v>
      </c>
      <c r="H3947">
        <v>0</v>
      </c>
      <c r="I3947" s="3">
        <f>E3947+G3947+H3947</f>
        <v>31</v>
      </c>
      <c r="J3947" s="3">
        <f>ROUND(MIN(IF(C3947="Técnico III",35,IF(C3947="Técnico II",28,IF(C3947="Técnico I",23,IF(C3947="JR",20,IF(C3947="Estágio",10,0))))),IF(C3947="Técnico III",SUMIFS($D:$D,$A:$A,$A3947,$B:$B,"&lt;&gt;Patrícia Karla de Sousa Araújo",$B:$B,"&lt;&gt;Lorena Dias de Araujo",$B:$B,"&lt;&gt;Lucas Luiz Romero")*(35/1083),IF(C3947="Técnico II",SUMIFS($D:$D,$A:$A,$A3947,$B:$B,"&lt;&gt;Patrícia Karla de Sousa Araújo",$B:$B,"&lt;&gt;Lorena Dias de Araujo",$B:$B,"&lt;&gt;Lucas Luiz Romero")*(28/1083),IF(C3947="Técnico I",SUMIFS($D:$D,$A:$A,$A3947,$B:$B,"&lt;&gt;Patrícia Karla de Sousa Araújo",$B:$B,"&lt;&gt;Lorena Dias de Araujo",$B:$B,"&lt;&gt;Lucas Luiz Romero")*(23/1083),IF(C3947="JR",SUMIFS($D:$D,$A:$A,$A3947,$B:$B,"&lt;&gt;Patrícia Karla de Sousa Araújo",$B:$B,"&lt;&gt;Lorena Dias de Araujo",$B:$B,"&lt;&gt;Lucas Luiz Romero")*(20/1083),IF(C3947="Estágio",SUMIFS($D:$D,$A:$A,$A3947,$B:$B,"&lt;&gt;Patrícia Karla de Sousa Araújo",$B:$B,"&lt;&gt;Lorena Dias de Araujo",$B:$B,"&lt;&gt;Lucas Luiz Romero")*(10/1083),0)))))),0)</f>
        <v>24</v>
      </c>
      <c r="K3947" s="3">
        <f>I3947-J3947</f>
        <v>7</v>
      </c>
      <c r="L3947" s="3" t="str">
        <f>IF(K3947&lt;-5,"CRÍTICO",IF(K3947&lt;0,"ATENÇÃO",IF(K3947&lt;=5,"OPORTUNO","MUITO BOM")))</f>
        <v>MUITO BOM</v>
      </c>
      <c r="M3947">
        <v>35</v>
      </c>
      <c r="N3947">
        <v>98.82</v>
      </c>
      <c r="O3947">
        <v>30.741410488245929</v>
      </c>
    </row>
    <row r="3948" spans="1:15" hidden="1" x14ac:dyDescent="0.25">
      <c r="A3948" s="11">
        <v>46126</v>
      </c>
      <c r="B3948" t="s">
        <v>50</v>
      </c>
      <c r="C3948" t="s">
        <v>48</v>
      </c>
      <c r="D3948">
        <v>17</v>
      </c>
      <c r="E3948">
        <v>16</v>
      </c>
      <c r="F3948">
        <v>30.14</v>
      </c>
      <c r="G3948">
        <v>0</v>
      </c>
      <c r="H3948">
        <v>0</v>
      </c>
      <c r="I3948" s="3">
        <f>E3948+G3948+H3948</f>
        <v>16</v>
      </c>
      <c r="J3948" s="3">
        <f>ROUND(MIN(IF(C3948="Técnico III",35,IF(C3948="Técnico II",28,IF(C3948="Técnico I",23,IF(C3948="JR",20,IF(C3948="Estágio",10,0))))),IF(C3948="Técnico III",SUMIFS($D:$D,$A:$A,$A3948,$B:$B,"&lt;&gt;Patrícia Karla de Sousa Araújo",$B:$B,"&lt;&gt;Lorena Dias de Araujo",$B:$B,"&lt;&gt;Lucas Luiz Romero")*(35/1083),IF(C3948="Técnico II",SUMIFS($D:$D,$A:$A,$A3948,$B:$B,"&lt;&gt;Patrícia Karla de Sousa Araújo",$B:$B,"&lt;&gt;Lorena Dias de Araujo",$B:$B,"&lt;&gt;Lucas Luiz Romero")*(28/1083),IF(C3948="Técnico I",SUMIFS($D:$D,$A:$A,$A3948,$B:$B,"&lt;&gt;Patrícia Karla de Sousa Araújo",$B:$B,"&lt;&gt;Lorena Dias de Araujo",$B:$B,"&lt;&gt;Lucas Luiz Romero")*(23/1083),IF(C3948="JR",SUMIFS($D:$D,$A:$A,$A3948,$B:$B,"&lt;&gt;Patrícia Karla de Sousa Araújo",$B:$B,"&lt;&gt;Lorena Dias de Araujo",$B:$B,"&lt;&gt;Lucas Luiz Romero")*(20/1083),IF(C3948="Estágio",SUMIFS($D:$D,$A:$A,$A3948,$B:$B,"&lt;&gt;Patrícia Karla de Sousa Araújo",$B:$B,"&lt;&gt;Lorena Dias de Araujo",$B:$B,"&lt;&gt;Lucas Luiz Romero")*(10/1083),0)))))),0)</f>
        <v>24</v>
      </c>
      <c r="K3948" s="3">
        <f>I3948-J3948</f>
        <v>-8</v>
      </c>
      <c r="L3948" s="3" t="str">
        <f>IF(K3948&lt;-5,"CRÍTICO",IF(K3948&lt;0,"ATENÇÃO",IF(K3948&lt;=5,"OPORTUNO","MUITO BOM")))</f>
        <v>CRÍTICO</v>
      </c>
      <c r="M3948">
        <v>17</v>
      </c>
      <c r="N3948">
        <v>98.2</v>
      </c>
      <c r="O3948">
        <v>27.170868347338931</v>
      </c>
    </row>
    <row r="3949" spans="1:15" hidden="1" x14ac:dyDescent="0.25">
      <c r="A3949" s="11">
        <v>46126</v>
      </c>
      <c r="B3949" t="s">
        <v>17</v>
      </c>
      <c r="C3949" t="s">
        <v>16</v>
      </c>
      <c r="D3949">
        <v>9</v>
      </c>
      <c r="E3949">
        <v>6</v>
      </c>
      <c r="F3949">
        <v>30.39</v>
      </c>
      <c r="G3949">
        <v>0</v>
      </c>
      <c r="H3949">
        <v>0</v>
      </c>
      <c r="I3949" s="3">
        <f>E3949+G3949+H3949</f>
        <v>6</v>
      </c>
      <c r="J3949" s="3">
        <f>ROUND(MIN(IF(C3949="Técnico III",35,IF(C3949="Técnico II",28,IF(C3949="Técnico I",23,IF(C3949="JR",20,IF(C3949="Estágio",10,0))))),IF(C3949="Técnico III",SUMIFS($D:$D,$A:$A,$A3949,$B:$B,"&lt;&gt;Patrícia Karla de Sousa Araújo",$B:$B,"&lt;&gt;Lorena Dias de Araujo",$B:$B,"&lt;&gt;Lucas Luiz Romero")*(35/1083),IF(C3949="Técnico II",SUMIFS($D:$D,$A:$A,$A3949,$B:$B,"&lt;&gt;Patrícia Karla de Sousa Araújo",$B:$B,"&lt;&gt;Lorena Dias de Araujo",$B:$B,"&lt;&gt;Lucas Luiz Romero")*(28/1083),IF(C3949="Técnico I",SUMIFS($D:$D,$A:$A,$A3949,$B:$B,"&lt;&gt;Patrícia Karla de Sousa Araújo",$B:$B,"&lt;&gt;Lorena Dias de Araujo",$B:$B,"&lt;&gt;Lucas Luiz Romero")*(23/1083),IF(C3949="JR",SUMIFS($D:$D,$A:$A,$A3949,$B:$B,"&lt;&gt;Patrícia Karla de Sousa Araújo",$B:$B,"&lt;&gt;Lorena Dias de Araujo",$B:$B,"&lt;&gt;Lucas Luiz Romero")*(20/1083),IF(C3949="Estágio",SUMIFS($D:$D,$A:$A,$A3949,$B:$B,"&lt;&gt;Patrícia Karla de Sousa Araújo",$B:$B,"&lt;&gt;Lorena Dias de Araujo",$B:$B,"&lt;&gt;Lucas Luiz Romero")*(10/1083),0)))))),0)</f>
        <v>9</v>
      </c>
      <c r="K3949" s="3">
        <f>I3949-J3949</f>
        <v>-3</v>
      </c>
      <c r="L3949" s="3" t="str">
        <f>IF(K3949&lt;-5,"CRÍTICO",IF(K3949&lt;0,"ATENÇÃO",IF(K3949&lt;=5,"OPORTUNO","MUITO BOM")))</f>
        <v>ATENÇÃO</v>
      </c>
      <c r="M3949">
        <v>5</v>
      </c>
      <c r="N3949">
        <v>100</v>
      </c>
      <c r="O3949">
        <v>23.134328358208951</v>
      </c>
    </row>
    <row r="3950" spans="1:15" hidden="1" x14ac:dyDescent="0.25">
      <c r="A3950" s="11">
        <v>46126</v>
      </c>
      <c r="B3950" t="s">
        <v>60</v>
      </c>
      <c r="C3950" t="s">
        <v>23</v>
      </c>
      <c r="D3950">
        <v>26</v>
      </c>
      <c r="E3950">
        <v>25</v>
      </c>
      <c r="F3950">
        <v>18.5</v>
      </c>
      <c r="G3950">
        <v>0</v>
      </c>
      <c r="H3950">
        <v>0</v>
      </c>
      <c r="I3950" s="3">
        <f>E3950+G3950+H3950</f>
        <v>25</v>
      </c>
      <c r="J3950" s="3">
        <f>ROUND(MIN(IF(C3950="Técnico III",35,IF(C3950="Técnico II",28,IF(C3950="Técnico I",23,IF(C3950="JR",20,IF(C3950="Estágio",10,0))))),IF(C3950="Técnico III",SUMIFS($D:$D,$A:$A,$A3950,$B:$B,"&lt;&gt;Patrícia Karla de Sousa Araújo",$B:$B,"&lt;&gt;Lorena Dias de Araujo",$B:$B,"&lt;&gt;Lucas Luiz Romero")*(35/1083),IF(C3950="Técnico II",SUMIFS($D:$D,$A:$A,$A3950,$B:$B,"&lt;&gt;Patrícia Karla de Sousa Araújo",$B:$B,"&lt;&gt;Lorena Dias de Araujo",$B:$B,"&lt;&gt;Lucas Luiz Romero")*(28/1083),IF(C3950="Técnico I",SUMIFS($D:$D,$A:$A,$A3950,$B:$B,"&lt;&gt;Patrícia Karla de Sousa Araújo",$B:$B,"&lt;&gt;Lorena Dias de Araujo",$B:$B,"&lt;&gt;Lucas Luiz Romero")*(23/1083),IF(C3950="JR",SUMIFS($D:$D,$A:$A,$A3950,$B:$B,"&lt;&gt;Patrícia Karla de Sousa Araújo",$B:$B,"&lt;&gt;Lorena Dias de Araujo",$B:$B,"&lt;&gt;Lucas Luiz Romero")*(20/1083),IF(C3950="Estágio",SUMIFS($D:$D,$A:$A,$A3950,$B:$B,"&lt;&gt;Patrícia Karla de Sousa Araújo",$B:$B,"&lt;&gt;Lorena Dias de Araujo",$B:$B,"&lt;&gt;Lucas Luiz Romero")*(10/1083),0)))))),0)</f>
        <v>20</v>
      </c>
      <c r="K3950" s="3">
        <f>I3950-J3950</f>
        <v>5</v>
      </c>
      <c r="L3950" s="3" t="str">
        <f>IF(K3950&lt;-5,"CRÍTICO",IF(K3950&lt;0,"ATENÇÃO",IF(K3950&lt;=5,"OPORTUNO","MUITO BOM")))</f>
        <v>OPORTUNO</v>
      </c>
      <c r="M3950">
        <v>23</v>
      </c>
      <c r="N3950">
        <v>96.3</v>
      </c>
      <c r="O3950">
        <v>32.219570405727922</v>
      </c>
    </row>
    <row r="3951" spans="1:15" hidden="1" x14ac:dyDescent="0.25">
      <c r="A3951" s="11">
        <v>46126</v>
      </c>
      <c r="B3951" t="s">
        <v>34</v>
      </c>
      <c r="C3951" t="s">
        <v>32</v>
      </c>
      <c r="D3951">
        <v>42</v>
      </c>
      <c r="E3951">
        <v>38</v>
      </c>
      <c r="F3951">
        <v>9.14</v>
      </c>
      <c r="G3951">
        <v>0</v>
      </c>
      <c r="H3951">
        <v>0</v>
      </c>
      <c r="I3951" s="3">
        <f>E3951+G3951+H3951</f>
        <v>38</v>
      </c>
      <c r="J3951" s="3">
        <f>ROUND(MIN(IF(C3951="Técnico III",35,IF(C3951="Técnico II",28,IF(C3951="Técnico I",23,IF(C3951="JR",20,IF(C3951="Estágio",10,0))))),IF(C3951="Técnico III",SUMIFS($D:$D,$A:$A,$A3951,$B:$B,"&lt;&gt;Patrícia Karla de Sousa Araújo",$B:$B,"&lt;&gt;Lorena Dias de Araujo",$B:$B,"&lt;&gt;Lucas Luiz Romero")*(35/1083),IF(C3951="Técnico II",SUMIFS($D:$D,$A:$A,$A3951,$B:$B,"&lt;&gt;Patrícia Karla de Sousa Araújo",$B:$B,"&lt;&gt;Lorena Dias de Araujo",$B:$B,"&lt;&gt;Lucas Luiz Romero")*(28/1083),IF(C3951="Técnico I",SUMIFS($D:$D,$A:$A,$A3951,$B:$B,"&lt;&gt;Patrícia Karla de Sousa Araújo",$B:$B,"&lt;&gt;Lorena Dias de Araujo",$B:$B,"&lt;&gt;Lucas Luiz Romero")*(23/1083),IF(C3951="JR",SUMIFS($D:$D,$A:$A,$A3951,$B:$B,"&lt;&gt;Patrícia Karla de Sousa Araújo",$B:$B,"&lt;&gt;Lorena Dias de Araujo",$B:$B,"&lt;&gt;Lucas Luiz Romero")*(20/1083),IF(C3951="Estágio",SUMIFS($D:$D,$A:$A,$A3951,$B:$B,"&lt;&gt;Patrícia Karla de Sousa Araújo",$B:$B,"&lt;&gt;Lorena Dias de Araujo",$B:$B,"&lt;&gt;Lucas Luiz Romero")*(10/1083),0)))))),0)</f>
        <v>30</v>
      </c>
      <c r="K3951" s="3">
        <f>I3951-J3951</f>
        <v>8</v>
      </c>
      <c r="L3951" s="3" t="str">
        <f>IF(K3951&lt;-5,"CRÍTICO",IF(K3951&lt;0,"ATENÇÃO",IF(K3951&lt;=5,"OPORTUNO","MUITO BOM")))</f>
        <v>MUITO BOM</v>
      </c>
      <c r="M3951">
        <v>36</v>
      </c>
      <c r="N3951">
        <v>93.75</v>
      </c>
      <c r="O3951">
        <v>26.819923371647509</v>
      </c>
    </row>
    <row r="3952" spans="1:15" hidden="1" x14ac:dyDescent="0.25">
      <c r="A3952" s="11">
        <v>46126</v>
      </c>
      <c r="B3952" t="s">
        <v>51</v>
      </c>
      <c r="C3952" t="s">
        <v>48</v>
      </c>
      <c r="D3952">
        <v>25</v>
      </c>
      <c r="E3952">
        <v>22</v>
      </c>
      <c r="F3952">
        <v>23.3</v>
      </c>
      <c r="G3952">
        <v>0</v>
      </c>
      <c r="H3952">
        <v>0</v>
      </c>
      <c r="I3952" s="3">
        <v>0</v>
      </c>
      <c r="J3952" s="3">
        <v>0</v>
      </c>
      <c r="K3952" s="3">
        <v>0</v>
      </c>
      <c r="L3952" s="3" t="str">
        <f>IF(K3952&lt;-5,"CRÍTICO",IF(K3952&lt;0,"ATENÇÃO",IF(K3952&lt;=5,"OPORTUNO","MUITO BOM")))</f>
        <v>OPORTUNO</v>
      </c>
      <c r="M3952">
        <v>20</v>
      </c>
      <c r="N3952">
        <v>97.86</v>
      </c>
      <c r="O3952">
        <v>31.018518518518519</v>
      </c>
    </row>
    <row r="3953" spans="1:15" hidden="1" x14ac:dyDescent="0.25">
      <c r="A3953" s="11">
        <v>46126</v>
      </c>
      <c r="B3953" t="s">
        <v>61</v>
      </c>
      <c r="C3953" t="s">
        <v>23</v>
      </c>
      <c r="D3953">
        <v>19</v>
      </c>
      <c r="E3953">
        <v>17</v>
      </c>
      <c r="F3953">
        <v>18.440000000000001</v>
      </c>
      <c r="G3953">
        <v>0</v>
      </c>
      <c r="H3953">
        <v>0</v>
      </c>
      <c r="I3953" s="3">
        <f>E3953+G3953+H3953</f>
        <v>17</v>
      </c>
      <c r="J3953" s="3">
        <f>ROUND(MIN(IF(C3953="Técnico III",35,IF(C3953="Técnico II",28,IF(C3953="Técnico I",23,IF(C3953="JR",20,IF(C3953="Estágio",10,0))))),IF(C3953="Técnico III",SUMIFS($D:$D,$A:$A,$A3953,$B:$B,"&lt;&gt;Patrícia Karla de Sousa Araújo",$B:$B,"&lt;&gt;Lorena Dias de Araujo",$B:$B,"&lt;&gt;Lucas Luiz Romero")*(35/1083),IF(C3953="Técnico II",SUMIFS($D:$D,$A:$A,$A3953,$B:$B,"&lt;&gt;Patrícia Karla de Sousa Araújo",$B:$B,"&lt;&gt;Lorena Dias de Araujo",$B:$B,"&lt;&gt;Lucas Luiz Romero")*(28/1083),IF(C3953="Técnico I",SUMIFS($D:$D,$A:$A,$A3953,$B:$B,"&lt;&gt;Patrícia Karla de Sousa Araújo",$B:$B,"&lt;&gt;Lorena Dias de Araujo",$B:$B,"&lt;&gt;Lucas Luiz Romero")*(23/1083),IF(C3953="JR",SUMIFS($D:$D,$A:$A,$A3953,$B:$B,"&lt;&gt;Patrícia Karla de Sousa Araújo",$B:$B,"&lt;&gt;Lorena Dias de Araujo",$B:$B,"&lt;&gt;Lucas Luiz Romero")*(20/1083),IF(C3953="Estágio",SUMIFS($D:$D,$A:$A,$A3953,$B:$B,"&lt;&gt;Patrícia Karla de Sousa Araújo",$B:$B,"&lt;&gt;Lorena Dias de Araujo",$B:$B,"&lt;&gt;Lucas Luiz Romero")*(10/1083),0)))))),0)</f>
        <v>20</v>
      </c>
      <c r="K3953" s="3">
        <f>I3953-J3953</f>
        <v>-3</v>
      </c>
      <c r="L3953" s="3" t="str">
        <f>IF(K3953&lt;-5,"CRÍTICO",IF(K3953&lt;0,"ATENÇÃO",IF(K3953&lt;=5,"OPORTUNO","MUITO BOM")))</f>
        <v>ATENÇÃO</v>
      </c>
      <c r="M3953">
        <v>15</v>
      </c>
      <c r="N3953">
        <v>100</v>
      </c>
      <c r="O3953">
        <v>36.594202898550733</v>
      </c>
    </row>
    <row r="3954" spans="1:15" hidden="1" x14ac:dyDescent="0.25">
      <c r="A3954" s="11">
        <v>46126</v>
      </c>
      <c r="B3954" t="s">
        <v>35</v>
      </c>
      <c r="C3954" t="s">
        <v>32</v>
      </c>
      <c r="D3954">
        <v>23</v>
      </c>
      <c r="E3954">
        <v>22</v>
      </c>
      <c r="F3954">
        <v>27.14</v>
      </c>
      <c r="G3954">
        <v>0</v>
      </c>
      <c r="H3954">
        <v>0</v>
      </c>
      <c r="I3954" s="3">
        <v>0</v>
      </c>
      <c r="J3954" s="3">
        <v>0</v>
      </c>
      <c r="K3954" s="3">
        <v>0</v>
      </c>
      <c r="L3954" s="3" t="str">
        <f>IF(K3954&lt;-5,"CRÍTICO",IF(K3954&lt;0,"ATENÇÃO",IF(K3954&lt;=5,"OPORTUNO","MUITO BOM")))</f>
        <v>OPORTUNO</v>
      </c>
      <c r="M3954">
        <v>23</v>
      </c>
      <c r="N3954">
        <v>100</v>
      </c>
      <c r="O3954">
        <v>38.653846153846153</v>
      </c>
    </row>
    <row r="3955" spans="1:15" hidden="1" x14ac:dyDescent="0.25">
      <c r="A3955" s="11">
        <v>46126</v>
      </c>
      <c r="B3955" t="s">
        <v>18</v>
      </c>
      <c r="C3955" t="s">
        <v>16</v>
      </c>
      <c r="D3955">
        <v>14</v>
      </c>
      <c r="E3955">
        <v>10</v>
      </c>
      <c r="F3955">
        <v>20.440000000000001</v>
      </c>
      <c r="G3955">
        <v>0</v>
      </c>
      <c r="H3955">
        <v>0</v>
      </c>
      <c r="I3955" s="3">
        <f>E3955+G3955+H3955</f>
        <v>10</v>
      </c>
      <c r="J3955" s="3">
        <f>ROUND(MIN(IF(C3955="Técnico III",35,IF(C3955="Técnico II",28,IF(C3955="Técnico I",23,IF(C3955="JR",20,IF(C3955="Estágio",10,0))))),IF(C3955="Técnico III",SUMIFS($D:$D,$A:$A,$A3955,$B:$B,"&lt;&gt;Patrícia Karla de Sousa Araújo",$B:$B,"&lt;&gt;Lorena Dias de Araujo",$B:$B,"&lt;&gt;Lucas Luiz Romero")*(35/1083),IF(C3955="Técnico II",SUMIFS($D:$D,$A:$A,$A3955,$B:$B,"&lt;&gt;Patrícia Karla de Sousa Araújo",$B:$B,"&lt;&gt;Lorena Dias de Araujo",$B:$B,"&lt;&gt;Lucas Luiz Romero")*(28/1083),IF(C3955="Técnico I",SUMIFS($D:$D,$A:$A,$A3955,$B:$B,"&lt;&gt;Patrícia Karla de Sousa Araújo",$B:$B,"&lt;&gt;Lorena Dias de Araujo",$B:$B,"&lt;&gt;Lucas Luiz Romero")*(23/1083),IF(C3955="JR",SUMIFS($D:$D,$A:$A,$A3955,$B:$B,"&lt;&gt;Patrícia Karla de Sousa Araújo",$B:$B,"&lt;&gt;Lorena Dias de Araujo",$B:$B,"&lt;&gt;Lucas Luiz Romero")*(20/1083),IF(C3955="Estágio",SUMIFS($D:$D,$A:$A,$A3955,$B:$B,"&lt;&gt;Patrícia Karla de Sousa Araújo",$B:$B,"&lt;&gt;Lorena Dias de Araujo",$B:$B,"&lt;&gt;Lucas Luiz Romero")*(10/1083),0)))))),0)</f>
        <v>9</v>
      </c>
      <c r="K3955" s="3">
        <f>I3955-J3955</f>
        <v>1</v>
      </c>
      <c r="L3955" s="3" t="str">
        <f>IF(K3955&lt;-5,"CRÍTICO",IF(K3955&lt;0,"ATENÇÃO",IF(K3955&lt;=5,"OPORTUNO","MUITO BOM")))</f>
        <v>OPORTUNO</v>
      </c>
      <c r="M3955">
        <v>6</v>
      </c>
      <c r="N3955">
        <v>100</v>
      </c>
      <c r="O3955">
        <v>27.368421052631579</v>
      </c>
    </row>
    <row r="3956" spans="1:15" hidden="1" x14ac:dyDescent="0.25">
      <c r="A3956" s="11">
        <v>46126</v>
      </c>
      <c r="B3956" t="s">
        <v>52</v>
      </c>
      <c r="C3956" t="s">
        <v>48</v>
      </c>
      <c r="D3956">
        <v>19</v>
      </c>
      <c r="E3956">
        <v>18</v>
      </c>
      <c r="F3956">
        <v>23.37</v>
      </c>
      <c r="G3956">
        <v>0</v>
      </c>
      <c r="H3956">
        <v>0</v>
      </c>
      <c r="I3956" s="3">
        <f>E3956+G3956+H3956</f>
        <v>18</v>
      </c>
      <c r="J3956" s="3">
        <f>ROUND(MIN(IF(C3956="Técnico III",35,IF(C3956="Técnico II",28,IF(C3956="Técnico I",23,IF(C3956="JR",20,IF(C3956="Estágio",10,0))))),IF(C3956="Técnico III",SUMIFS($D:$D,$A:$A,$A3956,$B:$B,"&lt;&gt;Patrícia Karla de Sousa Araújo",$B:$B,"&lt;&gt;Lorena Dias de Araujo",$B:$B,"&lt;&gt;Lucas Luiz Romero")*(35/1083),IF(C3956="Técnico II",SUMIFS($D:$D,$A:$A,$A3956,$B:$B,"&lt;&gt;Patrícia Karla de Sousa Araújo",$B:$B,"&lt;&gt;Lorena Dias de Araujo",$B:$B,"&lt;&gt;Lucas Luiz Romero")*(28/1083),IF(C3956="Técnico I",SUMIFS($D:$D,$A:$A,$A3956,$B:$B,"&lt;&gt;Patrícia Karla de Sousa Araújo",$B:$B,"&lt;&gt;Lorena Dias de Araujo",$B:$B,"&lt;&gt;Lucas Luiz Romero")*(23/1083),IF(C3956="JR",SUMIFS($D:$D,$A:$A,$A3956,$B:$B,"&lt;&gt;Patrícia Karla de Sousa Araújo",$B:$B,"&lt;&gt;Lorena Dias de Araujo",$B:$B,"&lt;&gt;Lucas Luiz Romero")*(20/1083),IF(C3956="Estágio",SUMIFS($D:$D,$A:$A,$A3956,$B:$B,"&lt;&gt;Patrícia Karla de Sousa Araújo",$B:$B,"&lt;&gt;Lorena Dias de Araujo",$B:$B,"&lt;&gt;Lucas Luiz Romero")*(10/1083),0)))))),0)</f>
        <v>24</v>
      </c>
      <c r="K3956" s="3">
        <f>I3956-J3956</f>
        <v>-6</v>
      </c>
      <c r="L3956" s="3" t="str">
        <f>IF(K3956&lt;-5,"CRÍTICO",IF(K3956&lt;0,"ATENÇÃO",IF(K3956&lt;=5,"OPORTUNO","MUITO BOM")))</f>
        <v>CRÍTICO</v>
      </c>
      <c r="M3956">
        <v>16</v>
      </c>
      <c r="N3956">
        <v>97.83</v>
      </c>
      <c r="O3956">
        <v>28.35164835164835</v>
      </c>
    </row>
    <row r="3957" spans="1:15" hidden="1" x14ac:dyDescent="0.25">
      <c r="A3957" s="11">
        <v>46126</v>
      </c>
      <c r="B3957" t="s">
        <v>36</v>
      </c>
      <c r="C3957" t="s">
        <v>32</v>
      </c>
      <c r="D3957">
        <v>32</v>
      </c>
      <c r="E3957">
        <v>31</v>
      </c>
      <c r="F3957">
        <v>15.08</v>
      </c>
      <c r="G3957">
        <v>0</v>
      </c>
      <c r="H3957">
        <v>0</v>
      </c>
      <c r="I3957" s="3">
        <f>E3957+G3957+H3957</f>
        <v>31</v>
      </c>
      <c r="J3957" s="3">
        <f>ROUND(MIN(IF(C3957="Técnico III",35,IF(C3957="Técnico II",28,IF(C3957="Técnico I",23,IF(C3957="JR",20,IF(C3957="Estágio",10,0))))),IF(C3957="Técnico III",SUMIFS($D:$D,$A:$A,$A3957,$B:$B,"&lt;&gt;Patrícia Karla de Sousa Araújo",$B:$B,"&lt;&gt;Lorena Dias de Araujo",$B:$B,"&lt;&gt;Lucas Luiz Romero")*(35/1083),IF(C3957="Técnico II",SUMIFS($D:$D,$A:$A,$A3957,$B:$B,"&lt;&gt;Patrícia Karla de Sousa Araújo",$B:$B,"&lt;&gt;Lorena Dias de Araujo",$B:$B,"&lt;&gt;Lucas Luiz Romero")*(28/1083),IF(C3957="Técnico I",SUMIFS($D:$D,$A:$A,$A3957,$B:$B,"&lt;&gt;Patrícia Karla de Sousa Araújo",$B:$B,"&lt;&gt;Lorena Dias de Araujo",$B:$B,"&lt;&gt;Lucas Luiz Romero")*(23/1083),IF(C3957="JR",SUMIFS($D:$D,$A:$A,$A3957,$B:$B,"&lt;&gt;Patrícia Karla de Sousa Araújo",$B:$B,"&lt;&gt;Lorena Dias de Araujo",$B:$B,"&lt;&gt;Lucas Luiz Romero")*(20/1083),IF(C3957="Estágio",SUMIFS($D:$D,$A:$A,$A3957,$B:$B,"&lt;&gt;Patrícia Karla de Sousa Araújo",$B:$B,"&lt;&gt;Lorena Dias de Araujo",$B:$B,"&lt;&gt;Lucas Luiz Romero")*(10/1083),0)))))),0)</f>
        <v>30</v>
      </c>
      <c r="K3957" s="3">
        <f>I3957-J3957</f>
        <v>1</v>
      </c>
      <c r="L3957" s="3" t="str">
        <f>IF(K3957&lt;-5,"CRÍTICO",IF(K3957&lt;0,"ATENÇÃO",IF(K3957&lt;=5,"OPORTUNO","MUITO BOM")))</f>
        <v>OPORTUNO</v>
      </c>
      <c r="M3957">
        <v>31</v>
      </c>
      <c r="N3957">
        <v>99.26</v>
      </c>
      <c r="O3957">
        <v>29.766536964980549</v>
      </c>
    </row>
    <row r="3958" spans="1:15" hidden="1" x14ac:dyDescent="0.25">
      <c r="A3958" s="11">
        <v>46126</v>
      </c>
      <c r="B3958" t="s">
        <v>53</v>
      </c>
      <c r="C3958" t="s">
        <v>48</v>
      </c>
      <c r="D3958">
        <v>34</v>
      </c>
      <c r="E3958">
        <v>31</v>
      </c>
      <c r="F3958">
        <v>19.12</v>
      </c>
      <c r="G3958">
        <v>0</v>
      </c>
      <c r="H3958">
        <v>0</v>
      </c>
      <c r="I3958" s="3">
        <f>E3958+G3958+H3958</f>
        <v>31</v>
      </c>
      <c r="J3958" s="3">
        <f>ROUND(MIN(IF(C3958="Técnico III",35,IF(C3958="Técnico II",28,IF(C3958="Técnico I",23,IF(C3958="JR",20,IF(C3958="Estágio",10,0))))),IF(C3958="Técnico III",SUMIFS($D:$D,$A:$A,$A3958,$B:$B,"&lt;&gt;Patrícia Karla de Sousa Araújo",$B:$B,"&lt;&gt;Lorena Dias de Araujo",$B:$B,"&lt;&gt;Lucas Luiz Romero")*(35/1083),IF(C3958="Técnico II",SUMIFS($D:$D,$A:$A,$A3958,$B:$B,"&lt;&gt;Patrícia Karla de Sousa Araújo",$B:$B,"&lt;&gt;Lorena Dias de Araujo",$B:$B,"&lt;&gt;Lucas Luiz Romero")*(28/1083),IF(C3958="Técnico I",SUMIFS($D:$D,$A:$A,$A3958,$B:$B,"&lt;&gt;Patrícia Karla de Sousa Araújo",$B:$B,"&lt;&gt;Lorena Dias de Araujo",$B:$B,"&lt;&gt;Lucas Luiz Romero")*(23/1083),IF(C3958="JR",SUMIFS($D:$D,$A:$A,$A3958,$B:$B,"&lt;&gt;Patrícia Karla de Sousa Araújo",$B:$B,"&lt;&gt;Lorena Dias de Araujo",$B:$B,"&lt;&gt;Lucas Luiz Romero")*(20/1083),IF(C3958="Estágio",SUMIFS($D:$D,$A:$A,$A3958,$B:$B,"&lt;&gt;Patrícia Karla de Sousa Araújo",$B:$B,"&lt;&gt;Lorena Dias de Araujo",$B:$B,"&lt;&gt;Lucas Luiz Romero")*(10/1083),0)))))),0)</f>
        <v>24</v>
      </c>
      <c r="K3958" s="3">
        <f>I3958-J3958</f>
        <v>7</v>
      </c>
      <c r="L3958" s="3" t="str">
        <f>IF(K3958&lt;-5,"CRÍTICO",IF(K3958&lt;0,"ATENÇÃO",IF(K3958&lt;=5,"OPORTUNO","MUITO BOM")))</f>
        <v>MUITO BOM</v>
      </c>
      <c r="M3958">
        <v>27</v>
      </c>
      <c r="N3958">
        <v>99.19</v>
      </c>
      <c r="O3958">
        <v>29.462365591397852</v>
      </c>
    </row>
    <row r="3959" spans="1:15" x14ac:dyDescent="0.25">
      <c r="A3959" s="7">
        <v>46161</v>
      </c>
      <c r="B3959" s="8" t="s">
        <v>43</v>
      </c>
      <c r="C3959" s="14" t="s">
        <v>32</v>
      </c>
      <c r="D3959" s="3">
        <v>0</v>
      </c>
      <c r="E3959" s="3">
        <v>0</v>
      </c>
      <c r="F3959" s="3">
        <v>0</v>
      </c>
      <c r="G3959" s="3">
        <v>0</v>
      </c>
      <c r="H3959" s="3">
        <v>33</v>
      </c>
      <c r="I3959" s="3">
        <f>E3959+G3959+H3959</f>
        <v>33</v>
      </c>
      <c r="J3959" s="3">
        <f>ROUND(MIN(IF(C3959="Técnico III",35,IF(C3959="Técnico II",28,IF(C3959="Técnico I",23,IF(C3959="JR",20,IF(C3959="Estágio",10,0))))),IF(C3959="Técnico III",SUMIFS($D:$D,$A:$A,$A3959,$B:$B,"&lt;&gt;Patrícia Karla de Sousa Araújo",$B:$B,"&lt;&gt;Lorena Dias de Araujo",$B:$B,"&lt;&gt;Lucas Luiz Romero")*(35/1083),IF(C3959="Técnico II",SUMIFS($D:$D,$A:$A,$A3959,$B:$B,"&lt;&gt;Patrícia Karla de Sousa Araújo",$B:$B,"&lt;&gt;Lorena Dias de Araujo",$B:$B,"&lt;&gt;Lucas Luiz Romero")*(28/1083),IF(C3959="Técnico I",SUMIFS($D:$D,$A:$A,$A3959,$B:$B,"&lt;&gt;Patrícia Karla de Sousa Araújo",$B:$B,"&lt;&gt;Lorena Dias de Araujo",$B:$B,"&lt;&gt;Lucas Luiz Romero")*(23/1083),IF(C3959="JR",SUMIFS($D:$D,$A:$A,$A3959,$B:$B,"&lt;&gt;Patrícia Karla de Sousa Araújo",$B:$B,"&lt;&gt;Lorena Dias de Araujo",$B:$B,"&lt;&gt;Lucas Luiz Romero")*(20/1083),IF(C3959="Estágio",SUMIFS($D:$D,$A:$A,$A3959,$B:$B,"&lt;&gt;Patrícia Karla de Sousa Araújo",$B:$B,"&lt;&gt;Lorena Dias de Araujo",$B:$B,"&lt;&gt;Lucas Luiz Romero")*(10/1083),0)))))),0)</f>
        <v>29</v>
      </c>
      <c r="K3959" s="3">
        <f>I3959-J3959</f>
        <v>4</v>
      </c>
      <c r="L3959" s="3" t="str">
        <f>IF(K3959&lt;-5,"CRÍTICO",IF(K3959&lt;0,"ATENÇÃO",IF(K3959&lt;=5,"OPORTUNO","MUITO BOM")))</f>
        <v>OPORTUNO</v>
      </c>
      <c r="M3959" s="3">
        <v>14</v>
      </c>
      <c r="N3959" s="3">
        <v>98.39</v>
      </c>
      <c r="O3959" s="3">
        <v>8.7999999999999989</v>
      </c>
    </row>
    <row r="3960" spans="1:15" hidden="1" x14ac:dyDescent="0.25">
      <c r="A3960" s="11">
        <v>46126</v>
      </c>
      <c r="B3960" t="s">
        <v>54</v>
      </c>
      <c r="C3960" t="s">
        <v>48</v>
      </c>
      <c r="D3960">
        <v>0</v>
      </c>
      <c r="E3960">
        <v>0</v>
      </c>
      <c r="F3960">
        <v>0</v>
      </c>
      <c r="G3960">
        <v>0</v>
      </c>
      <c r="H3960">
        <v>0</v>
      </c>
      <c r="I3960" s="3">
        <v>0</v>
      </c>
      <c r="J3960" s="3">
        <v>0</v>
      </c>
      <c r="K3960" s="3">
        <v>0</v>
      </c>
      <c r="L3960" s="3" t="str">
        <f>IF(K3960&lt;-5,"CRÍTICO",IF(K3960&lt;0,"ATENÇÃO",IF(K3960&lt;=5,"OPORTUNO","MUITO BOM")))</f>
        <v>OPORTUNO</v>
      </c>
      <c r="M3960">
        <v>0</v>
      </c>
      <c r="N3960">
        <v>100</v>
      </c>
      <c r="O3960">
        <v>28.921568627450981</v>
      </c>
    </row>
    <row r="3961" spans="1:15" hidden="1" x14ac:dyDescent="0.25">
      <c r="A3961" s="11">
        <v>46126</v>
      </c>
      <c r="B3961" t="s">
        <v>37</v>
      </c>
      <c r="C3961" t="s">
        <v>32</v>
      </c>
      <c r="D3961">
        <v>34</v>
      </c>
      <c r="E3961">
        <v>30</v>
      </c>
      <c r="F3961">
        <v>17.309999999999999</v>
      </c>
      <c r="G3961">
        <v>0</v>
      </c>
      <c r="H3961">
        <v>0</v>
      </c>
      <c r="I3961" s="3">
        <f>E3961+G3961+H3961</f>
        <v>30</v>
      </c>
      <c r="J3961" s="3">
        <f>ROUND(MIN(IF(C3961="Técnico III",35,IF(C3961="Técnico II",28,IF(C3961="Técnico I",23,IF(C3961="JR",20,IF(C3961="Estágio",10,0))))),IF(C3961="Técnico III",SUMIFS($D:$D,$A:$A,$A3961,$B:$B,"&lt;&gt;Patrícia Karla de Sousa Araújo",$B:$B,"&lt;&gt;Lorena Dias de Araujo",$B:$B,"&lt;&gt;Lucas Luiz Romero")*(35/1083),IF(C3961="Técnico II",SUMIFS($D:$D,$A:$A,$A3961,$B:$B,"&lt;&gt;Patrícia Karla de Sousa Araújo",$B:$B,"&lt;&gt;Lorena Dias de Araujo",$B:$B,"&lt;&gt;Lucas Luiz Romero")*(28/1083),IF(C3961="Técnico I",SUMIFS($D:$D,$A:$A,$A3961,$B:$B,"&lt;&gt;Patrícia Karla de Sousa Araújo",$B:$B,"&lt;&gt;Lorena Dias de Araujo",$B:$B,"&lt;&gt;Lucas Luiz Romero")*(23/1083),IF(C3961="JR",SUMIFS($D:$D,$A:$A,$A3961,$B:$B,"&lt;&gt;Patrícia Karla de Sousa Araújo",$B:$B,"&lt;&gt;Lorena Dias de Araujo",$B:$B,"&lt;&gt;Lucas Luiz Romero")*(20/1083),IF(C3961="Estágio",SUMIFS($D:$D,$A:$A,$A3961,$B:$B,"&lt;&gt;Patrícia Karla de Sousa Araújo",$B:$B,"&lt;&gt;Lorena Dias de Araujo",$B:$B,"&lt;&gt;Lucas Luiz Romero")*(10/1083),0)))))),0)</f>
        <v>30</v>
      </c>
      <c r="K3961" s="3">
        <f>I3961-J3961</f>
        <v>0</v>
      </c>
      <c r="L3961" s="3" t="str">
        <f>IF(K3961&lt;-5,"CRÍTICO",IF(K3961&lt;0,"ATENÇÃO",IF(K3961&lt;=5,"OPORTUNO","MUITO BOM")))</f>
        <v>OPORTUNO</v>
      </c>
      <c r="M3961">
        <v>33</v>
      </c>
      <c r="N3961">
        <v>99.57</v>
      </c>
      <c r="O3961">
        <v>30.635838150289018</v>
      </c>
    </row>
    <row r="3962" spans="1:15" hidden="1" x14ac:dyDescent="0.25">
      <c r="A3962" s="11">
        <v>46126</v>
      </c>
      <c r="B3962" t="s">
        <v>38</v>
      </c>
      <c r="C3962" t="s">
        <v>32</v>
      </c>
      <c r="D3962">
        <v>0</v>
      </c>
      <c r="E3962">
        <v>0</v>
      </c>
      <c r="F3962">
        <v>0</v>
      </c>
      <c r="G3962">
        <v>0</v>
      </c>
      <c r="H3962">
        <v>0</v>
      </c>
      <c r="I3962" s="3">
        <v>0</v>
      </c>
      <c r="J3962" s="3">
        <v>0</v>
      </c>
      <c r="K3962" s="3">
        <v>0</v>
      </c>
      <c r="L3962" s="3" t="str">
        <f>IF(K3962&lt;-5,"CRÍTICO",IF(K3962&lt;0,"ATENÇÃO",IF(K3962&lt;=5,"OPORTUNO","MUITO BOM")))</f>
        <v>OPORTUNO</v>
      </c>
      <c r="M3962">
        <v>0</v>
      </c>
      <c r="N3962">
        <v>95.65</v>
      </c>
      <c r="O3962">
        <v>32.432432432432442</v>
      </c>
    </row>
    <row r="3963" spans="1:15" hidden="1" x14ac:dyDescent="0.25">
      <c r="A3963" s="11">
        <v>46126</v>
      </c>
      <c r="B3963" t="s">
        <v>55</v>
      </c>
      <c r="C3963" t="s">
        <v>48</v>
      </c>
      <c r="D3963">
        <v>19</v>
      </c>
      <c r="E3963">
        <v>12</v>
      </c>
      <c r="F3963">
        <v>15.44</v>
      </c>
      <c r="G3963">
        <v>0</v>
      </c>
      <c r="H3963">
        <v>0</v>
      </c>
      <c r="I3963" s="3">
        <f>E3963+G3963+H3963</f>
        <v>12</v>
      </c>
      <c r="J3963" s="3">
        <f>ROUND(MIN(IF(C3963="Técnico III",35,IF(C3963="Técnico II",28,IF(C3963="Técnico I",23,IF(C3963="JR",20,IF(C3963="Estágio",10,0))))),IF(C3963="Técnico III",SUMIFS($D:$D,$A:$A,$A3963,$B:$B,"&lt;&gt;Patrícia Karla de Sousa Araújo",$B:$B,"&lt;&gt;Lorena Dias de Araujo",$B:$B,"&lt;&gt;Lucas Luiz Romero")*(35/1083),IF(C3963="Técnico II",SUMIFS($D:$D,$A:$A,$A3963,$B:$B,"&lt;&gt;Patrícia Karla de Sousa Araújo",$B:$B,"&lt;&gt;Lorena Dias de Araujo",$B:$B,"&lt;&gt;Lucas Luiz Romero")*(28/1083),IF(C3963="Técnico I",SUMIFS($D:$D,$A:$A,$A3963,$B:$B,"&lt;&gt;Patrícia Karla de Sousa Araújo",$B:$B,"&lt;&gt;Lorena Dias de Araujo",$B:$B,"&lt;&gt;Lucas Luiz Romero")*(23/1083),IF(C3963="JR",SUMIFS($D:$D,$A:$A,$A3963,$B:$B,"&lt;&gt;Patrícia Karla de Sousa Araújo",$B:$B,"&lt;&gt;Lorena Dias de Araujo",$B:$B,"&lt;&gt;Lucas Luiz Romero")*(20/1083),IF(C3963="Estágio",SUMIFS($D:$D,$A:$A,$A3963,$B:$B,"&lt;&gt;Patrícia Karla de Sousa Araújo",$B:$B,"&lt;&gt;Lorena Dias de Araujo",$B:$B,"&lt;&gt;Lucas Luiz Romero")*(10/1083),0)))))),0)</f>
        <v>24</v>
      </c>
      <c r="K3963" s="3">
        <f>I3963-J3963</f>
        <v>-12</v>
      </c>
      <c r="L3963" s="3" t="str">
        <f>IF(K3963&lt;-5,"CRÍTICO",IF(K3963&lt;0,"ATENÇÃO",IF(K3963&lt;=5,"OPORTUNO","MUITO BOM")))</f>
        <v>CRÍTICO</v>
      </c>
      <c r="M3963">
        <v>10</v>
      </c>
      <c r="N3963">
        <v>98.81</v>
      </c>
      <c r="O3963">
        <v>26.256983240223459</v>
      </c>
    </row>
    <row r="3964" spans="1:15" hidden="1" x14ac:dyDescent="0.25">
      <c r="A3964" s="11">
        <v>46126</v>
      </c>
      <c r="B3964" t="s">
        <v>39</v>
      </c>
      <c r="C3964" t="s">
        <v>32</v>
      </c>
      <c r="D3964">
        <v>0</v>
      </c>
      <c r="E3964">
        <v>0</v>
      </c>
      <c r="F3964">
        <v>0</v>
      </c>
      <c r="G3964">
        <v>0</v>
      </c>
      <c r="H3964">
        <v>0</v>
      </c>
      <c r="I3964" s="3">
        <v>0</v>
      </c>
      <c r="J3964" s="3">
        <v>0</v>
      </c>
      <c r="K3964" s="3">
        <v>0</v>
      </c>
      <c r="L3964" s="3" t="str">
        <f>IF(K3964&lt;-5,"CRÍTICO",IF(K3964&lt;0,"ATENÇÃO",IF(K3964&lt;=5,"OPORTUNO","MUITO BOM")))</f>
        <v>OPORTUNO</v>
      </c>
      <c r="M3964">
        <v>0</v>
      </c>
      <c r="N3964">
        <v>0</v>
      </c>
      <c r="O3964">
        <v>0</v>
      </c>
    </row>
    <row r="3965" spans="1:15" hidden="1" x14ac:dyDescent="0.25">
      <c r="A3965" s="11">
        <v>46126</v>
      </c>
      <c r="B3965" t="s">
        <v>25</v>
      </c>
      <c r="C3965" t="s">
        <v>26</v>
      </c>
      <c r="D3965">
        <v>27</v>
      </c>
      <c r="E3965">
        <v>25</v>
      </c>
      <c r="F3965">
        <v>20.45</v>
      </c>
      <c r="G3965">
        <v>0</v>
      </c>
      <c r="H3965">
        <v>0</v>
      </c>
      <c r="I3965" s="3">
        <f>E3965+G3965+H3965</f>
        <v>25</v>
      </c>
      <c r="J3965" s="3">
        <f>ROUND(MIN(IF(C3965="Técnico III",35,IF(C3965="Técnico II",28,IF(C3965="Técnico I",23,IF(C3965="JR",20,IF(C3965="Estágio",10,0))))),IF(C3965="Técnico III",SUMIFS($D:$D,$A:$A,$A3965,$B:$B,"&lt;&gt;Patrícia Karla de Sousa Araújo",$B:$B,"&lt;&gt;Lorena Dias de Araujo",$B:$B,"&lt;&gt;Lucas Luiz Romero")*(35/1083),IF(C3965="Técnico II",SUMIFS($D:$D,$A:$A,$A3965,$B:$B,"&lt;&gt;Patrícia Karla de Sousa Araújo",$B:$B,"&lt;&gt;Lorena Dias de Araujo",$B:$B,"&lt;&gt;Lucas Luiz Romero")*(28/1083),IF(C3965="Técnico I",SUMIFS($D:$D,$A:$A,$A3965,$B:$B,"&lt;&gt;Patrícia Karla de Sousa Araújo",$B:$B,"&lt;&gt;Lorena Dias de Araujo",$B:$B,"&lt;&gt;Lucas Luiz Romero")*(23/1083),IF(C3965="JR",SUMIFS($D:$D,$A:$A,$A3965,$B:$B,"&lt;&gt;Patrícia Karla de Sousa Araújo",$B:$B,"&lt;&gt;Lorena Dias de Araujo",$B:$B,"&lt;&gt;Lucas Luiz Romero")*(20/1083),IF(C3965="Estágio",SUMIFS($D:$D,$A:$A,$A3965,$B:$B,"&lt;&gt;Patrícia Karla de Sousa Araújo",$B:$B,"&lt;&gt;Lorena Dias de Araujo",$B:$B,"&lt;&gt;Lucas Luiz Romero")*(10/1083),0)))))),0)</f>
        <v>17</v>
      </c>
      <c r="K3965" s="3">
        <f>I3965-J3965</f>
        <v>8</v>
      </c>
      <c r="L3965" s="3" t="str">
        <f>IF(K3965&lt;-5,"CRÍTICO",IF(K3965&lt;0,"ATENÇÃO",IF(K3965&lt;=5,"OPORTUNO","MUITO BOM")))</f>
        <v>MUITO BOM</v>
      </c>
      <c r="M3965">
        <v>21</v>
      </c>
      <c r="N3965">
        <v>97.17</v>
      </c>
      <c r="O3965">
        <v>28.81844380403458</v>
      </c>
    </row>
    <row r="3966" spans="1:15" hidden="1" x14ac:dyDescent="0.25">
      <c r="A3966" s="11">
        <v>46126</v>
      </c>
      <c r="B3966" t="s">
        <v>40</v>
      </c>
      <c r="C3966" t="s">
        <v>32</v>
      </c>
      <c r="D3966">
        <v>23</v>
      </c>
      <c r="E3966">
        <v>22</v>
      </c>
      <c r="F3966">
        <v>18.55</v>
      </c>
      <c r="G3966">
        <v>0</v>
      </c>
      <c r="H3966">
        <v>0</v>
      </c>
      <c r="I3966" s="3">
        <f>E3966+G3966+H3966</f>
        <v>22</v>
      </c>
      <c r="J3966" s="3">
        <f>ROUND(MIN(IF(C3966="Técnico III",35,IF(C3966="Técnico II",28,IF(C3966="Técnico I",23,IF(C3966="JR",20,IF(C3966="Estágio",10,0))))),IF(C3966="Técnico III",SUMIFS($D:$D,$A:$A,$A3966,$B:$B,"&lt;&gt;Patrícia Karla de Sousa Araújo",$B:$B,"&lt;&gt;Lorena Dias de Araujo",$B:$B,"&lt;&gt;Lucas Luiz Romero")*(35/1083),IF(C3966="Técnico II",SUMIFS($D:$D,$A:$A,$A3966,$B:$B,"&lt;&gt;Patrícia Karla de Sousa Araújo",$B:$B,"&lt;&gt;Lorena Dias de Araujo",$B:$B,"&lt;&gt;Lucas Luiz Romero")*(28/1083),IF(C3966="Técnico I",SUMIFS($D:$D,$A:$A,$A3966,$B:$B,"&lt;&gt;Patrícia Karla de Sousa Araújo",$B:$B,"&lt;&gt;Lorena Dias de Araujo",$B:$B,"&lt;&gt;Lucas Luiz Romero")*(23/1083),IF(C3966="JR",SUMIFS($D:$D,$A:$A,$A3966,$B:$B,"&lt;&gt;Patrícia Karla de Sousa Araújo",$B:$B,"&lt;&gt;Lorena Dias de Araujo",$B:$B,"&lt;&gt;Lucas Luiz Romero")*(20/1083),IF(C3966="Estágio",SUMIFS($D:$D,$A:$A,$A3966,$B:$B,"&lt;&gt;Patrícia Karla de Sousa Araújo",$B:$B,"&lt;&gt;Lorena Dias de Araujo",$B:$B,"&lt;&gt;Lucas Luiz Romero")*(10/1083),0)))))),0)</f>
        <v>30</v>
      </c>
      <c r="K3966" s="3">
        <f>I3966-J3966</f>
        <v>-8</v>
      </c>
      <c r="L3966" s="3" t="str">
        <f>IF(K3966&lt;-5,"CRÍTICO",IF(K3966&lt;0,"ATENÇÃO",IF(K3966&lt;=5,"OPORTUNO","MUITO BOM")))</f>
        <v>CRÍTICO</v>
      </c>
      <c r="M3966">
        <v>23</v>
      </c>
      <c r="N3966">
        <v>96.81</v>
      </c>
      <c r="O3966">
        <v>48.018648018648022</v>
      </c>
    </row>
    <row r="3967" spans="1:15" hidden="1" x14ac:dyDescent="0.25">
      <c r="A3967" s="11">
        <v>46126</v>
      </c>
      <c r="B3967" t="s">
        <v>27</v>
      </c>
      <c r="C3967" t="s">
        <v>26</v>
      </c>
      <c r="D3967">
        <v>18</v>
      </c>
      <c r="E3967">
        <v>15</v>
      </c>
      <c r="F3967">
        <v>17.37</v>
      </c>
      <c r="G3967">
        <v>0</v>
      </c>
      <c r="H3967">
        <v>0</v>
      </c>
      <c r="I3967" s="3">
        <f>E3967+G3967+H3967</f>
        <v>15</v>
      </c>
      <c r="J3967" s="3">
        <f>ROUND(MIN(IF(C3967="Técnico III",35,IF(C3967="Técnico II",28,IF(C3967="Técnico I",23,IF(C3967="JR",20,IF(C3967="Estágio",10,0))))),IF(C3967="Técnico III",SUMIFS($D:$D,$A:$A,$A3967,$B:$B,"&lt;&gt;Patrícia Karla de Sousa Araújo",$B:$B,"&lt;&gt;Lorena Dias de Araujo",$B:$B,"&lt;&gt;Lucas Luiz Romero")*(35/1083),IF(C3967="Técnico II",SUMIFS($D:$D,$A:$A,$A3967,$B:$B,"&lt;&gt;Patrícia Karla de Sousa Araújo",$B:$B,"&lt;&gt;Lorena Dias de Araujo",$B:$B,"&lt;&gt;Lucas Luiz Romero")*(28/1083),IF(C3967="Técnico I",SUMIFS($D:$D,$A:$A,$A3967,$B:$B,"&lt;&gt;Patrícia Karla de Sousa Araújo",$B:$B,"&lt;&gt;Lorena Dias de Araujo",$B:$B,"&lt;&gt;Lucas Luiz Romero")*(23/1083),IF(C3967="JR",SUMIFS($D:$D,$A:$A,$A3967,$B:$B,"&lt;&gt;Patrícia Karla de Sousa Araújo",$B:$B,"&lt;&gt;Lorena Dias de Araujo",$B:$B,"&lt;&gt;Lucas Luiz Romero")*(20/1083),IF(C3967="Estágio",SUMIFS($D:$D,$A:$A,$A3967,$B:$B,"&lt;&gt;Patrícia Karla de Sousa Araújo",$B:$B,"&lt;&gt;Lorena Dias de Araujo",$B:$B,"&lt;&gt;Lucas Luiz Romero")*(10/1083),0)))))),0)</f>
        <v>17</v>
      </c>
      <c r="K3967" s="3">
        <f>I3967-J3967</f>
        <v>-2</v>
      </c>
      <c r="L3967" s="3" t="str">
        <f>IF(K3967&lt;-5,"CRÍTICO",IF(K3967&lt;0,"ATENÇÃO",IF(K3967&lt;=5,"OPORTUNO","MUITO BOM")))</f>
        <v>ATENÇÃO</v>
      </c>
      <c r="M3967">
        <v>10</v>
      </c>
      <c r="N3967">
        <v>98.15</v>
      </c>
      <c r="O3967">
        <v>27.1551724137931</v>
      </c>
    </row>
    <row r="3968" spans="1:15" hidden="1" x14ac:dyDescent="0.25">
      <c r="A3968" s="11">
        <v>46126</v>
      </c>
      <c r="B3968" t="s">
        <v>41</v>
      </c>
      <c r="C3968" t="s">
        <v>32</v>
      </c>
      <c r="D3968">
        <v>29</v>
      </c>
      <c r="E3968">
        <v>28</v>
      </c>
      <c r="F3968">
        <v>17</v>
      </c>
      <c r="G3968">
        <v>0</v>
      </c>
      <c r="H3968">
        <v>0</v>
      </c>
      <c r="I3968" s="3">
        <f>E3968+G3968+H3968</f>
        <v>28</v>
      </c>
      <c r="J3968" s="3">
        <f>ROUND(MIN(IF(C3968="Técnico III",35,IF(C3968="Técnico II",28,IF(C3968="Técnico I",23,IF(C3968="JR",20,IF(C3968="Estágio",10,0))))),IF(C3968="Técnico III",SUMIFS($D:$D,$A:$A,$A3968,$B:$B,"&lt;&gt;Patrícia Karla de Sousa Araújo",$B:$B,"&lt;&gt;Lorena Dias de Araujo",$B:$B,"&lt;&gt;Lucas Luiz Romero")*(35/1083),IF(C3968="Técnico II",SUMIFS($D:$D,$A:$A,$A3968,$B:$B,"&lt;&gt;Patrícia Karla de Sousa Araújo",$B:$B,"&lt;&gt;Lorena Dias de Araujo",$B:$B,"&lt;&gt;Lucas Luiz Romero")*(28/1083),IF(C3968="Técnico I",SUMIFS($D:$D,$A:$A,$A3968,$B:$B,"&lt;&gt;Patrícia Karla de Sousa Araújo",$B:$B,"&lt;&gt;Lorena Dias de Araujo",$B:$B,"&lt;&gt;Lucas Luiz Romero")*(23/1083),IF(C3968="JR",SUMIFS($D:$D,$A:$A,$A3968,$B:$B,"&lt;&gt;Patrícia Karla de Sousa Araújo",$B:$B,"&lt;&gt;Lorena Dias de Araujo",$B:$B,"&lt;&gt;Lucas Luiz Romero")*(20/1083),IF(C3968="Estágio",SUMIFS($D:$D,$A:$A,$A3968,$B:$B,"&lt;&gt;Patrícia Karla de Sousa Araújo",$B:$B,"&lt;&gt;Lorena Dias de Araujo",$B:$B,"&lt;&gt;Lucas Luiz Romero")*(10/1083),0)))))),0)</f>
        <v>30</v>
      </c>
      <c r="K3968" s="3">
        <f>I3968-J3968</f>
        <v>-2</v>
      </c>
      <c r="L3968" s="3" t="str">
        <f>IF(K3968&lt;-5,"CRÍTICO",IF(K3968&lt;0,"ATENÇÃO",IF(K3968&lt;=5,"OPORTUNO","MUITO BOM")))</f>
        <v>ATENÇÃO</v>
      </c>
      <c r="M3968">
        <v>25</v>
      </c>
      <c r="N3968">
        <v>99.15</v>
      </c>
      <c r="O3968">
        <v>27.586206896551719</v>
      </c>
    </row>
    <row r="3969" spans="1:15" hidden="1" x14ac:dyDescent="0.25">
      <c r="A3969" s="11">
        <v>46126</v>
      </c>
      <c r="B3969" t="s">
        <v>56</v>
      </c>
      <c r="C3969" t="s">
        <v>48</v>
      </c>
      <c r="D3969">
        <v>40</v>
      </c>
      <c r="E3969">
        <v>30</v>
      </c>
      <c r="F3969">
        <v>13.23</v>
      </c>
      <c r="G3969">
        <v>0</v>
      </c>
      <c r="H3969">
        <v>0</v>
      </c>
      <c r="I3969" s="3">
        <f>E3969+G3969+H3969</f>
        <v>30</v>
      </c>
      <c r="J3969" s="3">
        <f>ROUND(MIN(IF(C3969="Técnico III",35,IF(C3969="Técnico II",28,IF(C3969="Técnico I",23,IF(C3969="JR",20,IF(C3969="Estágio",10,0))))),IF(C3969="Técnico III",SUMIFS($D:$D,$A:$A,$A3969,$B:$B,"&lt;&gt;Patrícia Karla de Sousa Araújo",$B:$B,"&lt;&gt;Lorena Dias de Araujo",$B:$B,"&lt;&gt;Lucas Luiz Romero")*(35/1083),IF(C3969="Técnico II",SUMIFS($D:$D,$A:$A,$A3969,$B:$B,"&lt;&gt;Patrícia Karla de Sousa Araújo",$B:$B,"&lt;&gt;Lorena Dias de Araujo",$B:$B,"&lt;&gt;Lucas Luiz Romero")*(28/1083),IF(C3969="Técnico I",SUMIFS($D:$D,$A:$A,$A3969,$B:$B,"&lt;&gt;Patrícia Karla de Sousa Araújo",$B:$B,"&lt;&gt;Lorena Dias de Araujo",$B:$B,"&lt;&gt;Lucas Luiz Romero")*(23/1083),IF(C3969="JR",SUMIFS($D:$D,$A:$A,$A3969,$B:$B,"&lt;&gt;Patrícia Karla de Sousa Araújo",$B:$B,"&lt;&gt;Lorena Dias de Araujo",$B:$B,"&lt;&gt;Lucas Luiz Romero")*(20/1083),IF(C3969="Estágio",SUMIFS($D:$D,$A:$A,$A3969,$B:$B,"&lt;&gt;Patrícia Karla de Sousa Araújo",$B:$B,"&lt;&gt;Lorena Dias de Araujo",$B:$B,"&lt;&gt;Lucas Luiz Romero")*(10/1083),0)))))),0)</f>
        <v>24</v>
      </c>
      <c r="K3969" s="3">
        <f>I3969-J3969</f>
        <v>6</v>
      </c>
      <c r="L3969" s="3" t="str">
        <f>IF(K3969&lt;-5,"CRÍTICO",IF(K3969&lt;0,"ATENÇÃO",IF(K3969&lt;=5,"OPORTUNO","MUITO BOM")))</f>
        <v>MUITO BOM</v>
      </c>
      <c r="M3969">
        <v>16</v>
      </c>
      <c r="N3969">
        <v>99.17</v>
      </c>
      <c r="O3969">
        <v>29.75206611570248</v>
      </c>
    </row>
    <row r="3970" spans="1:15" hidden="1" x14ac:dyDescent="0.25">
      <c r="A3970" s="11">
        <v>46126</v>
      </c>
      <c r="B3970" t="s">
        <v>57</v>
      </c>
      <c r="C3970" t="s">
        <v>48</v>
      </c>
      <c r="D3970">
        <v>0</v>
      </c>
      <c r="E3970">
        <v>0</v>
      </c>
      <c r="F3970">
        <v>0</v>
      </c>
      <c r="G3970">
        <v>0</v>
      </c>
      <c r="H3970">
        <v>0</v>
      </c>
      <c r="I3970" s="3">
        <v>0</v>
      </c>
      <c r="J3970" s="3">
        <v>0</v>
      </c>
      <c r="K3970" s="3">
        <v>0</v>
      </c>
      <c r="L3970" s="3" t="str">
        <f>IF(K3970&lt;-5,"CRÍTICO",IF(K3970&lt;0,"ATENÇÃO",IF(K3970&lt;=5,"OPORTUNO","MUITO BOM")))</f>
        <v>OPORTUNO</v>
      </c>
      <c r="M3970">
        <v>0</v>
      </c>
      <c r="N3970">
        <v>98.73</v>
      </c>
      <c r="O3970">
        <v>28.961748633879779</v>
      </c>
    </row>
    <row r="3971" spans="1:15" hidden="1" x14ac:dyDescent="0.25">
      <c r="A3971" s="11">
        <v>46126</v>
      </c>
      <c r="B3971" t="s">
        <v>42</v>
      </c>
      <c r="C3971" t="s">
        <v>32</v>
      </c>
      <c r="D3971">
        <v>36</v>
      </c>
      <c r="E3971">
        <v>25</v>
      </c>
      <c r="F3971">
        <v>15.12</v>
      </c>
      <c r="G3971">
        <v>0</v>
      </c>
      <c r="H3971">
        <v>0</v>
      </c>
      <c r="I3971" s="3">
        <f>E3971+G3971+H3971</f>
        <v>25</v>
      </c>
      <c r="J3971" s="3">
        <f>ROUND(MIN(IF(C3971="Técnico III",35,IF(C3971="Técnico II",28,IF(C3971="Técnico I",23,IF(C3971="JR",20,IF(C3971="Estágio",10,0))))),IF(C3971="Técnico III",SUMIFS($D:$D,$A:$A,$A3971,$B:$B,"&lt;&gt;Patrícia Karla de Sousa Araújo",$B:$B,"&lt;&gt;Lorena Dias de Araujo",$B:$B,"&lt;&gt;Lucas Luiz Romero")*(35/1083),IF(C3971="Técnico II",SUMIFS($D:$D,$A:$A,$A3971,$B:$B,"&lt;&gt;Patrícia Karla de Sousa Araújo",$B:$B,"&lt;&gt;Lorena Dias de Araujo",$B:$B,"&lt;&gt;Lucas Luiz Romero")*(28/1083),IF(C3971="Técnico I",SUMIFS($D:$D,$A:$A,$A3971,$B:$B,"&lt;&gt;Patrícia Karla de Sousa Araújo",$B:$B,"&lt;&gt;Lorena Dias de Araujo",$B:$B,"&lt;&gt;Lucas Luiz Romero")*(23/1083),IF(C3971="JR",SUMIFS($D:$D,$A:$A,$A3971,$B:$B,"&lt;&gt;Patrícia Karla de Sousa Araújo",$B:$B,"&lt;&gt;Lorena Dias de Araujo",$B:$B,"&lt;&gt;Lucas Luiz Romero")*(20/1083),IF(C3971="Estágio",SUMIFS($D:$D,$A:$A,$A3971,$B:$B,"&lt;&gt;Patrícia Karla de Sousa Araújo",$B:$B,"&lt;&gt;Lorena Dias de Araujo",$B:$B,"&lt;&gt;Lucas Luiz Romero")*(10/1083),0)))))),0)</f>
        <v>30</v>
      </c>
      <c r="K3971" s="3">
        <f>I3971-J3971</f>
        <v>-5</v>
      </c>
      <c r="L3971" s="3" t="str">
        <f>IF(K3971&lt;-5,"CRÍTICO",IF(K3971&lt;0,"ATENÇÃO",IF(K3971&lt;=5,"OPORTUNO","MUITO BOM")))</f>
        <v>ATENÇÃO</v>
      </c>
      <c r="M3971">
        <v>20</v>
      </c>
      <c r="N3971">
        <v>88.68</v>
      </c>
      <c r="O3971">
        <v>22.03389830508474</v>
      </c>
    </row>
    <row r="3972" spans="1:15" hidden="1" x14ac:dyDescent="0.25">
      <c r="A3972" s="11">
        <v>46126</v>
      </c>
      <c r="B3972" t="s">
        <v>62</v>
      </c>
      <c r="C3972" t="s">
        <v>23</v>
      </c>
      <c r="D3972">
        <v>24</v>
      </c>
      <c r="E3972">
        <v>20</v>
      </c>
      <c r="F3972">
        <v>20.34</v>
      </c>
      <c r="G3972">
        <v>0</v>
      </c>
      <c r="H3972">
        <v>0</v>
      </c>
      <c r="I3972" s="3">
        <f>E3972+G3972+H3972</f>
        <v>20</v>
      </c>
      <c r="J3972" s="3">
        <f>ROUND(MIN(IF(C3972="Técnico III",35,IF(C3972="Técnico II",28,IF(C3972="Técnico I",23,IF(C3972="JR",20,IF(C3972="Estágio",10,0))))),IF(C3972="Técnico III",SUMIFS($D:$D,$A:$A,$A3972,$B:$B,"&lt;&gt;Patrícia Karla de Sousa Araújo",$B:$B,"&lt;&gt;Lorena Dias de Araujo",$B:$B,"&lt;&gt;Lucas Luiz Romero")*(35/1083),IF(C3972="Técnico II",SUMIFS($D:$D,$A:$A,$A3972,$B:$B,"&lt;&gt;Patrícia Karla de Sousa Araújo",$B:$B,"&lt;&gt;Lorena Dias de Araujo",$B:$B,"&lt;&gt;Lucas Luiz Romero")*(28/1083),IF(C3972="Técnico I",SUMIFS($D:$D,$A:$A,$A3972,$B:$B,"&lt;&gt;Patrícia Karla de Sousa Araújo",$B:$B,"&lt;&gt;Lorena Dias de Araujo",$B:$B,"&lt;&gt;Lucas Luiz Romero")*(23/1083),IF(C3972="JR",SUMIFS($D:$D,$A:$A,$A3972,$B:$B,"&lt;&gt;Patrícia Karla de Sousa Araújo",$B:$B,"&lt;&gt;Lorena Dias de Araujo",$B:$B,"&lt;&gt;Lucas Luiz Romero")*(20/1083),IF(C3972="Estágio",SUMIFS($D:$D,$A:$A,$A3972,$B:$B,"&lt;&gt;Patrícia Karla de Sousa Araújo",$B:$B,"&lt;&gt;Lorena Dias de Araujo",$B:$B,"&lt;&gt;Lucas Luiz Romero")*(10/1083),0)))))),0)</f>
        <v>20</v>
      </c>
      <c r="K3972" s="3">
        <f>I3972-J3972</f>
        <v>0</v>
      </c>
      <c r="L3972" s="3" t="str">
        <f>IF(K3972&lt;-5,"CRÍTICO",IF(K3972&lt;0,"ATENÇÃO",IF(K3972&lt;=5,"OPORTUNO","MUITO BOM")))</f>
        <v>OPORTUNO</v>
      </c>
      <c r="M3972">
        <v>18</v>
      </c>
      <c r="N3972">
        <v>97.37</v>
      </c>
      <c r="O3972">
        <v>25.76530612244898</v>
      </c>
    </row>
    <row r="3973" spans="1:15" hidden="1" x14ac:dyDescent="0.25">
      <c r="A3973" s="11">
        <v>46126</v>
      </c>
      <c r="B3973" t="s">
        <v>19</v>
      </c>
      <c r="C3973" t="s">
        <v>16</v>
      </c>
      <c r="D3973">
        <v>11</v>
      </c>
      <c r="E3973">
        <v>10</v>
      </c>
      <c r="F3973">
        <v>32.28</v>
      </c>
      <c r="G3973">
        <v>0</v>
      </c>
      <c r="H3973">
        <v>0</v>
      </c>
      <c r="I3973" s="3">
        <f>E3973+G3973+H3973</f>
        <v>10</v>
      </c>
      <c r="J3973" s="3">
        <f>ROUND(MIN(IF(C3973="Técnico III",35,IF(C3973="Técnico II",28,IF(C3973="Técnico I",23,IF(C3973="JR",20,IF(C3973="Estágio",10,0))))),IF(C3973="Técnico III",SUMIFS($D:$D,$A:$A,$A3973,$B:$B,"&lt;&gt;Patrícia Karla de Sousa Araújo",$B:$B,"&lt;&gt;Lorena Dias de Araujo",$B:$B,"&lt;&gt;Lucas Luiz Romero")*(35/1083),IF(C3973="Técnico II",SUMIFS($D:$D,$A:$A,$A3973,$B:$B,"&lt;&gt;Patrícia Karla de Sousa Araújo",$B:$B,"&lt;&gt;Lorena Dias de Araujo",$B:$B,"&lt;&gt;Lucas Luiz Romero")*(28/1083),IF(C3973="Técnico I",SUMIFS($D:$D,$A:$A,$A3973,$B:$B,"&lt;&gt;Patrícia Karla de Sousa Araújo",$B:$B,"&lt;&gt;Lorena Dias de Araujo",$B:$B,"&lt;&gt;Lucas Luiz Romero")*(23/1083),IF(C3973="JR",SUMIFS($D:$D,$A:$A,$A3973,$B:$B,"&lt;&gt;Patrícia Karla de Sousa Araújo",$B:$B,"&lt;&gt;Lorena Dias de Araujo",$B:$B,"&lt;&gt;Lucas Luiz Romero")*(20/1083),IF(C3973="Estágio",SUMIFS($D:$D,$A:$A,$A3973,$B:$B,"&lt;&gt;Patrícia Karla de Sousa Araújo",$B:$B,"&lt;&gt;Lorena Dias de Araujo",$B:$B,"&lt;&gt;Lucas Luiz Romero")*(10/1083),0)))))),0)</f>
        <v>9</v>
      </c>
      <c r="K3973" s="3">
        <f>I3973-J3973</f>
        <v>1</v>
      </c>
      <c r="L3973" s="3" t="str">
        <f>IF(K3973&lt;-5,"CRÍTICO",IF(K3973&lt;0,"ATENÇÃO",IF(K3973&lt;=5,"OPORTUNO","MUITO BOM")))</f>
        <v>OPORTUNO</v>
      </c>
      <c r="M3973">
        <v>7</v>
      </c>
      <c r="N3973">
        <v>100</v>
      </c>
      <c r="O3973">
        <v>25</v>
      </c>
    </row>
    <row r="3974" spans="1:15" hidden="1" x14ac:dyDescent="0.25">
      <c r="A3974" s="11">
        <v>46126</v>
      </c>
      <c r="B3974" t="s">
        <v>43</v>
      </c>
      <c r="C3974" t="s">
        <v>32</v>
      </c>
      <c r="D3974">
        <v>31</v>
      </c>
      <c r="E3974">
        <v>25</v>
      </c>
      <c r="F3974">
        <v>13.21</v>
      </c>
      <c r="G3974">
        <v>0</v>
      </c>
      <c r="H3974">
        <v>0</v>
      </c>
      <c r="I3974" s="3">
        <f>E3974+G3974+H3974</f>
        <v>25</v>
      </c>
      <c r="J3974" s="3">
        <f>ROUND(MIN(IF(C3974="Técnico III",35,IF(C3974="Técnico II",28,IF(C3974="Técnico I",23,IF(C3974="JR",20,IF(C3974="Estágio",10,0))))),IF(C3974="Técnico III",SUMIFS($D:$D,$A:$A,$A3974,$B:$B,"&lt;&gt;Patrícia Karla de Sousa Araújo",$B:$B,"&lt;&gt;Lorena Dias de Araujo",$B:$B,"&lt;&gt;Lucas Luiz Romero")*(35/1083),IF(C3974="Técnico II",SUMIFS($D:$D,$A:$A,$A3974,$B:$B,"&lt;&gt;Patrícia Karla de Sousa Araújo",$B:$B,"&lt;&gt;Lorena Dias de Araujo",$B:$B,"&lt;&gt;Lucas Luiz Romero")*(28/1083),IF(C3974="Técnico I",SUMIFS($D:$D,$A:$A,$A3974,$B:$B,"&lt;&gt;Patrícia Karla de Sousa Araújo",$B:$B,"&lt;&gt;Lorena Dias de Araujo",$B:$B,"&lt;&gt;Lucas Luiz Romero")*(23/1083),IF(C3974="JR",SUMIFS($D:$D,$A:$A,$A3974,$B:$B,"&lt;&gt;Patrícia Karla de Sousa Araújo",$B:$B,"&lt;&gt;Lorena Dias de Araujo",$B:$B,"&lt;&gt;Lucas Luiz Romero")*(20/1083),IF(C3974="Estágio",SUMIFS($D:$D,$A:$A,$A3974,$B:$B,"&lt;&gt;Patrícia Karla de Sousa Araújo",$B:$B,"&lt;&gt;Lorena Dias de Araujo",$B:$B,"&lt;&gt;Lucas Luiz Romero")*(10/1083),0)))))),0)</f>
        <v>30</v>
      </c>
      <c r="K3974" s="3">
        <f>I3974-J3974</f>
        <v>-5</v>
      </c>
      <c r="L3974" s="3" t="str">
        <f>IF(K3974&lt;-5,"CRÍTICO",IF(K3974&lt;0,"ATENÇÃO",IF(K3974&lt;=5,"OPORTUNO","MUITO BOM")))</f>
        <v>ATENÇÃO</v>
      </c>
      <c r="M3974">
        <v>31</v>
      </c>
      <c r="N3974">
        <v>100</v>
      </c>
      <c r="O3974">
        <v>23.9870340356564</v>
      </c>
    </row>
    <row r="3975" spans="1:15" hidden="1" x14ac:dyDescent="0.25">
      <c r="A3975" s="11">
        <v>46126</v>
      </c>
      <c r="B3975" t="s">
        <v>44</v>
      </c>
      <c r="C3975" t="s">
        <v>32</v>
      </c>
      <c r="D3975">
        <v>39</v>
      </c>
      <c r="E3975">
        <v>37</v>
      </c>
      <c r="F3975">
        <v>12.02</v>
      </c>
      <c r="G3975">
        <v>0</v>
      </c>
      <c r="H3975">
        <v>0</v>
      </c>
      <c r="I3975" s="3">
        <f>E3975+G3975+H3975</f>
        <v>37</v>
      </c>
      <c r="J3975" s="3">
        <f>ROUND(MIN(IF(C3975="Técnico III",35,IF(C3975="Técnico II",28,IF(C3975="Técnico I",23,IF(C3975="JR",20,IF(C3975="Estágio",10,0))))),IF(C3975="Técnico III",SUMIFS($D:$D,$A:$A,$A3975,$B:$B,"&lt;&gt;Patrícia Karla de Sousa Araújo",$B:$B,"&lt;&gt;Lorena Dias de Araujo",$B:$B,"&lt;&gt;Lucas Luiz Romero")*(35/1083),IF(C3975="Técnico II",SUMIFS($D:$D,$A:$A,$A3975,$B:$B,"&lt;&gt;Patrícia Karla de Sousa Araújo",$B:$B,"&lt;&gt;Lorena Dias de Araujo",$B:$B,"&lt;&gt;Lucas Luiz Romero")*(28/1083),IF(C3975="Técnico I",SUMIFS($D:$D,$A:$A,$A3975,$B:$B,"&lt;&gt;Patrícia Karla de Sousa Araújo",$B:$B,"&lt;&gt;Lorena Dias de Araujo",$B:$B,"&lt;&gt;Lucas Luiz Romero")*(23/1083),IF(C3975="JR",SUMIFS($D:$D,$A:$A,$A3975,$B:$B,"&lt;&gt;Patrícia Karla de Sousa Araújo",$B:$B,"&lt;&gt;Lorena Dias de Araujo",$B:$B,"&lt;&gt;Lucas Luiz Romero")*(20/1083),IF(C3975="Estágio",SUMIFS($D:$D,$A:$A,$A3975,$B:$B,"&lt;&gt;Patrícia Karla de Sousa Araújo",$B:$B,"&lt;&gt;Lorena Dias de Araujo",$B:$B,"&lt;&gt;Lucas Luiz Romero")*(10/1083),0)))))),0)</f>
        <v>30</v>
      </c>
      <c r="K3975" s="3">
        <f>I3975-J3975</f>
        <v>7</v>
      </c>
      <c r="L3975" s="3" t="str">
        <f>IF(K3975&lt;-5,"CRÍTICO",IF(K3975&lt;0,"ATENÇÃO",IF(K3975&lt;=5,"OPORTUNO","MUITO BOM")))</f>
        <v>MUITO BOM</v>
      </c>
      <c r="M3975">
        <v>3</v>
      </c>
      <c r="N3975">
        <v>95.49</v>
      </c>
      <c r="O3975">
        <v>28.370221327967808</v>
      </c>
    </row>
    <row r="3976" spans="1:15" hidden="1" x14ac:dyDescent="0.25">
      <c r="A3976" s="11">
        <v>46126</v>
      </c>
      <c r="B3976" t="s">
        <v>20</v>
      </c>
      <c r="C3976" t="s">
        <v>16</v>
      </c>
      <c r="D3976">
        <v>0</v>
      </c>
      <c r="E3976">
        <v>0</v>
      </c>
      <c r="F3976">
        <v>0</v>
      </c>
      <c r="G3976">
        <v>0</v>
      </c>
      <c r="H3976">
        <v>0</v>
      </c>
      <c r="I3976" s="3">
        <v>0</v>
      </c>
      <c r="J3976" s="3">
        <v>0</v>
      </c>
      <c r="K3976" s="3">
        <v>0</v>
      </c>
      <c r="L3976" s="3" t="str">
        <f>IF(K3976&lt;-5,"CRÍTICO",IF(K3976&lt;0,"ATENÇÃO",IF(K3976&lt;=5,"OPORTUNO","MUITO BOM")))</f>
        <v>OPORTUNO</v>
      </c>
      <c r="M3976">
        <v>0</v>
      </c>
      <c r="N3976">
        <v>100</v>
      </c>
      <c r="O3976">
        <v>23.77622377622378</v>
      </c>
    </row>
    <row r="3977" spans="1:15" hidden="1" x14ac:dyDescent="0.25">
      <c r="A3977" s="11">
        <v>46126</v>
      </c>
      <c r="B3977" t="s">
        <v>28</v>
      </c>
      <c r="C3977" t="s">
        <v>26</v>
      </c>
      <c r="D3977">
        <v>39</v>
      </c>
      <c r="E3977">
        <v>35</v>
      </c>
      <c r="F3977">
        <v>13.33</v>
      </c>
      <c r="G3977">
        <v>0</v>
      </c>
      <c r="H3977">
        <v>0</v>
      </c>
      <c r="I3977" s="3">
        <f>E3977+G3977+H3977</f>
        <v>35</v>
      </c>
      <c r="J3977" s="3">
        <f>ROUND(MIN(IF(C3977="Técnico III",35,IF(C3977="Técnico II",28,IF(C3977="Técnico I",23,IF(C3977="JR",20,IF(C3977="Estágio",10,0))))),IF(C3977="Técnico III",SUMIFS($D:$D,$A:$A,$A3977,$B:$B,"&lt;&gt;Patrícia Karla de Sousa Araújo",$B:$B,"&lt;&gt;Lorena Dias de Araujo",$B:$B,"&lt;&gt;Lucas Luiz Romero")*(35/1083),IF(C3977="Técnico II",SUMIFS($D:$D,$A:$A,$A3977,$B:$B,"&lt;&gt;Patrícia Karla de Sousa Araújo",$B:$B,"&lt;&gt;Lorena Dias de Araujo",$B:$B,"&lt;&gt;Lucas Luiz Romero")*(28/1083),IF(C3977="Técnico I",SUMIFS($D:$D,$A:$A,$A3977,$B:$B,"&lt;&gt;Patrícia Karla de Sousa Araújo",$B:$B,"&lt;&gt;Lorena Dias de Araujo",$B:$B,"&lt;&gt;Lucas Luiz Romero")*(23/1083),IF(C3977="JR",SUMIFS($D:$D,$A:$A,$A3977,$B:$B,"&lt;&gt;Patrícia Karla de Sousa Araújo",$B:$B,"&lt;&gt;Lorena Dias de Araujo",$B:$B,"&lt;&gt;Lucas Luiz Romero")*(20/1083),IF(C3977="Estágio",SUMIFS($D:$D,$A:$A,$A3977,$B:$B,"&lt;&gt;Patrícia Karla de Sousa Araújo",$B:$B,"&lt;&gt;Lorena Dias de Araujo",$B:$B,"&lt;&gt;Lucas Luiz Romero")*(10/1083),0)))))),0)</f>
        <v>17</v>
      </c>
      <c r="K3977" s="3">
        <f>I3977-J3977</f>
        <v>18</v>
      </c>
      <c r="L3977" s="3" t="str">
        <f>IF(K3977&lt;-5,"CRÍTICO",IF(K3977&lt;0,"ATENÇÃO",IF(K3977&lt;=5,"OPORTUNO","MUITO BOM")))</f>
        <v>MUITO BOM</v>
      </c>
      <c r="M3977">
        <v>20</v>
      </c>
      <c r="N3977">
        <v>96.15</v>
      </c>
      <c r="O3977">
        <v>24.045801526717561</v>
      </c>
    </row>
    <row r="3978" spans="1:15" hidden="1" x14ac:dyDescent="0.25">
      <c r="A3978" s="11">
        <v>46126</v>
      </c>
      <c r="B3978" t="s">
        <v>58</v>
      </c>
      <c r="C3978" t="s">
        <v>48</v>
      </c>
      <c r="D3978">
        <v>32</v>
      </c>
      <c r="E3978">
        <v>30</v>
      </c>
      <c r="F3978">
        <v>16.52</v>
      </c>
      <c r="G3978">
        <v>0</v>
      </c>
      <c r="H3978">
        <v>0</v>
      </c>
      <c r="I3978" s="3">
        <f>E3978+G3978+H3978</f>
        <v>30</v>
      </c>
      <c r="J3978" s="3">
        <f>ROUND(MIN(IF(C3978="Técnico III",35,IF(C3978="Técnico II",28,IF(C3978="Técnico I",23,IF(C3978="JR",20,IF(C3978="Estágio",10,0))))),IF(C3978="Técnico III",SUMIFS($D:$D,$A:$A,$A3978,$B:$B,"&lt;&gt;Patrícia Karla de Sousa Araújo",$B:$B,"&lt;&gt;Lorena Dias de Araujo",$B:$B,"&lt;&gt;Lucas Luiz Romero")*(35/1083),IF(C3978="Técnico II",SUMIFS($D:$D,$A:$A,$A3978,$B:$B,"&lt;&gt;Patrícia Karla de Sousa Araújo",$B:$B,"&lt;&gt;Lorena Dias de Araujo",$B:$B,"&lt;&gt;Lucas Luiz Romero")*(28/1083),IF(C3978="Técnico I",SUMIFS($D:$D,$A:$A,$A3978,$B:$B,"&lt;&gt;Patrícia Karla de Sousa Araújo",$B:$B,"&lt;&gt;Lorena Dias de Araujo",$B:$B,"&lt;&gt;Lucas Luiz Romero")*(23/1083),IF(C3978="JR",SUMIFS($D:$D,$A:$A,$A3978,$B:$B,"&lt;&gt;Patrícia Karla de Sousa Araújo",$B:$B,"&lt;&gt;Lorena Dias de Araujo",$B:$B,"&lt;&gt;Lucas Luiz Romero")*(20/1083),IF(C3978="Estágio",SUMIFS($D:$D,$A:$A,$A3978,$B:$B,"&lt;&gt;Patrícia Karla de Sousa Araújo",$B:$B,"&lt;&gt;Lorena Dias de Araujo",$B:$B,"&lt;&gt;Lucas Luiz Romero")*(10/1083),0)))))),0)</f>
        <v>24</v>
      </c>
      <c r="K3978" s="3">
        <f>I3978-J3978</f>
        <v>6</v>
      </c>
      <c r="L3978" s="3" t="str">
        <f>IF(K3978&lt;-5,"CRÍTICO",IF(K3978&lt;0,"ATENÇÃO",IF(K3978&lt;=5,"OPORTUNO","MUITO BOM")))</f>
        <v>MUITO BOM</v>
      </c>
      <c r="M3978">
        <v>22</v>
      </c>
      <c r="N3978">
        <v>99.02</v>
      </c>
      <c r="O3978">
        <v>34.797297297297298</v>
      </c>
    </row>
    <row r="3979" spans="1:15" hidden="1" x14ac:dyDescent="0.25">
      <c r="A3979" s="11">
        <v>46126</v>
      </c>
      <c r="B3979" t="s">
        <v>29</v>
      </c>
      <c r="C3979" t="s">
        <v>26</v>
      </c>
      <c r="D3979">
        <v>24</v>
      </c>
      <c r="E3979">
        <v>24</v>
      </c>
      <c r="F3979">
        <v>15.58</v>
      </c>
      <c r="G3979">
        <v>0</v>
      </c>
      <c r="H3979">
        <v>0</v>
      </c>
      <c r="I3979" s="3">
        <f>E3979+G3979+H3979</f>
        <v>24</v>
      </c>
      <c r="J3979" s="3">
        <f>ROUND(MIN(IF(C3979="Técnico III",35,IF(C3979="Técnico II",28,IF(C3979="Técnico I",23,IF(C3979="JR",20,IF(C3979="Estágio",10,0))))),IF(C3979="Técnico III",SUMIFS($D:$D,$A:$A,$A3979,$B:$B,"&lt;&gt;Patrícia Karla de Sousa Araújo",$B:$B,"&lt;&gt;Lorena Dias de Araujo",$B:$B,"&lt;&gt;Lucas Luiz Romero")*(35/1083),IF(C3979="Técnico II",SUMIFS($D:$D,$A:$A,$A3979,$B:$B,"&lt;&gt;Patrícia Karla de Sousa Araújo",$B:$B,"&lt;&gt;Lorena Dias de Araujo",$B:$B,"&lt;&gt;Lucas Luiz Romero")*(28/1083),IF(C3979="Técnico I",SUMIFS($D:$D,$A:$A,$A3979,$B:$B,"&lt;&gt;Patrícia Karla de Sousa Araújo",$B:$B,"&lt;&gt;Lorena Dias de Araujo",$B:$B,"&lt;&gt;Lucas Luiz Romero")*(23/1083),IF(C3979="JR",SUMIFS($D:$D,$A:$A,$A3979,$B:$B,"&lt;&gt;Patrícia Karla de Sousa Araújo",$B:$B,"&lt;&gt;Lorena Dias de Araujo",$B:$B,"&lt;&gt;Lucas Luiz Romero")*(20/1083),IF(C3979="Estágio",SUMIFS($D:$D,$A:$A,$A3979,$B:$B,"&lt;&gt;Patrícia Karla de Sousa Araújo",$B:$B,"&lt;&gt;Lorena Dias de Araujo",$B:$B,"&lt;&gt;Lucas Luiz Romero")*(10/1083),0)))))),0)</f>
        <v>17</v>
      </c>
      <c r="K3979" s="3">
        <f>I3979-J3979</f>
        <v>7</v>
      </c>
      <c r="L3979" s="3" t="str">
        <f>IF(K3979&lt;-5,"CRÍTICO",IF(K3979&lt;0,"ATENÇÃO",IF(K3979&lt;=5,"OPORTUNO","MUITO BOM")))</f>
        <v>MUITO BOM</v>
      </c>
      <c r="M3979">
        <v>19</v>
      </c>
      <c r="N3979">
        <v>98.84</v>
      </c>
      <c r="O3979">
        <v>31.868131868131869</v>
      </c>
    </row>
    <row r="3980" spans="1:15" hidden="1" x14ac:dyDescent="0.25">
      <c r="A3980" s="11">
        <v>46126</v>
      </c>
      <c r="B3980" t="s">
        <v>30</v>
      </c>
      <c r="C3980" t="s">
        <v>26</v>
      </c>
      <c r="D3980">
        <v>19</v>
      </c>
      <c r="E3980">
        <v>19</v>
      </c>
      <c r="F3980">
        <v>18.559999999999999</v>
      </c>
      <c r="G3980">
        <v>0</v>
      </c>
      <c r="H3980">
        <v>0</v>
      </c>
      <c r="I3980" s="3">
        <f>E3980+G3980+H3980</f>
        <v>19</v>
      </c>
      <c r="J3980" s="3">
        <f>ROUND(MIN(IF(C3980="Técnico III",35,IF(C3980="Técnico II",28,IF(C3980="Técnico I",23,IF(C3980="JR",20,IF(C3980="Estágio",10,0))))),IF(C3980="Técnico III",SUMIFS($D:$D,$A:$A,$A3980,$B:$B,"&lt;&gt;Patrícia Karla de Sousa Araújo",$B:$B,"&lt;&gt;Lorena Dias de Araujo",$B:$B,"&lt;&gt;Lucas Luiz Romero")*(35/1083),IF(C3980="Técnico II",SUMIFS($D:$D,$A:$A,$A3980,$B:$B,"&lt;&gt;Patrícia Karla de Sousa Araújo",$B:$B,"&lt;&gt;Lorena Dias de Araujo",$B:$B,"&lt;&gt;Lucas Luiz Romero")*(28/1083),IF(C3980="Técnico I",SUMIFS($D:$D,$A:$A,$A3980,$B:$B,"&lt;&gt;Patrícia Karla de Sousa Araújo",$B:$B,"&lt;&gt;Lorena Dias de Araujo",$B:$B,"&lt;&gt;Lucas Luiz Romero")*(23/1083),IF(C3980="JR",SUMIFS($D:$D,$A:$A,$A3980,$B:$B,"&lt;&gt;Patrícia Karla de Sousa Araújo",$B:$B,"&lt;&gt;Lorena Dias de Araujo",$B:$B,"&lt;&gt;Lucas Luiz Romero")*(20/1083),IF(C3980="Estágio",SUMIFS($D:$D,$A:$A,$A3980,$B:$B,"&lt;&gt;Patrícia Karla de Sousa Araújo",$B:$B,"&lt;&gt;Lorena Dias de Araujo",$B:$B,"&lt;&gt;Lucas Luiz Romero")*(10/1083),0)))))),0)</f>
        <v>17</v>
      </c>
      <c r="K3980" s="3">
        <f>I3980-J3980</f>
        <v>2</v>
      </c>
      <c r="L3980" s="3" t="str">
        <f>IF(K3980&lt;-5,"CRÍTICO",IF(K3980&lt;0,"ATENÇÃO",IF(K3980&lt;=5,"OPORTUNO","MUITO BOM")))</f>
        <v>OPORTUNO</v>
      </c>
      <c r="M3980">
        <v>15</v>
      </c>
      <c r="N3980">
        <v>100</v>
      </c>
      <c r="O3980">
        <v>34.666666666666671</v>
      </c>
    </row>
    <row r="3981" spans="1:15" hidden="1" x14ac:dyDescent="0.25">
      <c r="A3981" s="11">
        <v>46126</v>
      </c>
      <c r="B3981" t="s">
        <v>21</v>
      </c>
      <c r="C3981" t="s">
        <v>16</v>
      </c>
      <c r="D3981">
        <v>0</v>
      </c>
      <c r="E3981">
        <v>0</v>
      </c>
      <c r="F3981">
        <v>0</v>
      </c>
      <c r="G3981">
        <v>0</v>
      </c>
      <c r="H3981">
        <v>0</v>
      </c>
      <c r="I3981" s="3">
        <v>0</v>
      </c>
      <c r="J3981" s="3">
        <v>0</v>
      </c>
      <c r="K3981" s="3">
        <v>0</v>
      </c>
      <c r="L3981" s="3" t="str">
        <f>IF(K3981&lt;-5,"CRÍTICO",IF(K3981&lt;0,"ATENÇÃO",IF(K3981&lt;=5,"OPORTUNO","MUITO BOM")))</f>
        <v>OPORTUNO</v>
      </c>
      <c r="M3981">
        <v>0</v>
      </c>
      <c r="N3981">
        <v>94.12</v>
      </c>
      <c r="O3981">
        <v>32.799999999999997</v>
      </c>
    </row>
    <row r="3982" spans="1:15" hidden="1" x14ac:dyDescent="0.25">
      <c r="A3982" s="11">
        <v>46126</v>
      </c>
      <c r="B3982" t="s">
        <v>63</v>
      </c>
      <c r="C3982" t="s">
        <v>23</v>
      </c>
      <c r="D3982">
        <v>30</v>
      </c>
      <c r="E3982">
        <v>29</v>
      </c>
      <c r="F3982">
        <v>15.13</v>
      </c>
      <c r="G3982">
        <v>0</v>
      </c>
      <c r="H3982">
        <v>0</v>
      </c>
      <c r="I3982" s="3">
        <f>E3982+G3982+H3982</f>
        <v>29</v>
      </c>
      <c r="J3982" s="3">
        <f>ROUND(MIN(IF(C3982="Técnico III",35,IF(C3982="Técnico II",28,IF(C3982="Técnico I",23,IF(C3982="JR",20,IF(C3982="Estágio",10,0))))),IF(C3982="Técnico III",SUMIFS($D:$D,$A:$A,$A3982,$B:$B,"&lt;&gt;Patrícia Karla de Sousa Araújo",$B:$B,"&lt;&gt;Lorena Dias de Araujo",$B:$B,"&lt;&gt;Lucas Luiz Romero")*(35/1083),IF(C3982="Técnico II",SUMIFS($D:$D,$A:$A,$A3982,$B:$B,"&lt;&gt;Patrícia Karla de Sousa Araújo",$B:$B,"&lt;&gt;Lorena Dias de Araujo",$B:$B,"&lt;&gt;Lucas Luiz Romero")*(28/1083),IF(C3982="Técnico I",SUMIFS($D:$D,$A:$A,$A3982,$B:$B,"&lt;&gt;Patrícia Karla de Sousa Araújo",$B:$B,"&lt;&gt;Lorena Dias de Araujo",$B:$B,"&lt;&gt;Lucas Luiz Romero")*(23/1083),IF(C3982="JR",SUMIFS($D:$D,$A:$A,$A3982,$B:$B,"&lt;&gt;Patrícia Karla de Sousa Araújo",$B:$B,"&lt;&gt;Lorena Dias de Araujo",$B:$B,"&lt;&gt;Lucas Luiz Romero")*(20/1083),IF(C3982="Estágio",SUMIFS($D:$D,$A:$A,$A3982,$B:$B,"&lt;&gt;Patrícia Karla de Sousa Araújo",$B:$B,"&lt;&gt;Lorena Dias de Araujo",$B:$B,"&lt;&gt;Lucas Luiz Romero")*(10/1083),0)))))),0)</f>
        <v>20</v>
      </c>
      <c r="K3982" s="3">
        <f>I3982-J3982</f>
        <v>9</v>
      </c>
      <c r="L3982" s="3" t="str">
        <f>IF(K3982&lt;-5,"CRÍTICO",IF(K3982&lt;0,"ATENÇÃO",IF(K3982&lt;=5,"OPORTUNO","MUITO BOM")))</f>
        <v>MUITO BOM</v>
      </c>
      <c r="M3982">
        <v>26</v>
      </c>
      <c r="N3982">
        <v>98.32</v>
      </c>
      <c r="O3982">
        <v>26.858513189448441</v>
      </c>
    </row>
    <row r="3983" spans="1:15" hidden="1" x14ac:dyDescent="0.25">
      <c r="A3983" s="11">
        <v>46126</v>
      </c>
      <c r="B3983" t="s">
        <v>45</v>
      </c>
      <c r="C3983" t="s">
        <v>32</v>
      </c>
      <c r="D3983">
        <v>43</v>
      </c>
      <c r="E3983">
        <v>36</v>
      </c>
      <c r="F3983">
        <v>12.13</v>
      </c>
      <c r="G3983">
        <v>0</v>
      </c>
      <c r="H3983">
        <v>0</v>
      </c>
      <c r="I3983" s="3">
        <f>E3983+G3983+H3983</f>
        <v>36</v>
      </c>
      <c r="J3983" s="3">
        <f>ROUND(MIN(IF(C3983="Técnico III",35,IF(C3983="Técnico II",28,IF(C3983="Técnico I",23,IF(C3983="JR",20,IF(C3983="Estágio",10,0))))),IF(C3983="Técnico III",SUMIFS($D:$D,$A:$A,$A3983,$B:$B,"&lt;&gt;Patrícia Karla de Sousa Araújo",$B:$B,"&lt;&gt;Lorena Dias de Araujo",$B:$B,"&lt;&gt;Lucas Luiz Romero")*(35/1083),IF(C3983="Técnico II",SUMIFS($D:$D,$A:$A,$A3983,$B:$B,"&lt;&gt;Patrícia Karla de Sousa Araújo",$B:$B,"&lt;&gt;Lorena Dias de Araujo",$B:$B,"&lt;&gt;Lucas Luiz Romero")*(28/1083),IF(C3983="Técnico I",SUMIFS($D:$D,$A:$A,$A3983,$B:$B,"&lt;&gt;Patrícia Karla de Sousa Araújo",$B:$B,"&lt;&gt;Lorena Dias de Araujo",$B:$B,"&lt;&gt;Lucas Luiz Romero")*(23/1083),IF(C3983="JR",SUMIFS($D:$D,$A:$A,$A3983,$B:$B,"&lt;&gt;Patrícia Karla de Sousa Araújo",$B:$B,"&lt;&gt;Lorena Dias de Araujo",$B:$B,"&lt;&gt;Lucas Luiz Romero")*(20/1083),IF(C3983="Estágio",SUMIFS($D:$D,$A:$A,$A3983,$B:$B,"&lt;&gt;Patrícia Karla de Sousa Araújo",$B:$B,"&lt;&gt;Lorena Dias de Araujo",$B:$B,"&lt;&gt;Lucas Luiz Romero")*(10/1083),0)))))),0)</f>
        <v>30</v>
      </c>
      <c r="K3983" s="3">
        <f>I3983-J3983</f>
        <v>6</v>
      </c>
      <c r="L3983" s="3" t="str">
        <f>IF(K3983&lt;-5,"CRÍTICO",IF(K3983&lt;0,"ATENÇÃO",IF(K3983&lt;=5,"OPORTUNO","MUITO BOM")))</f>
        <v>MUITO BOM</v>
      </c>
      <c r="M3983">
        <v>29</v>
      </c>
      <c r="N3983">
        <v>100</v>
      </c>
      <c r="O3983">
        <v>31.135531135531139</v>
      </c>
    </row>
    <row r="3984" spans="1:15" hidden="1" x14ac:dyDescent="0.25">
      <c r="A3984" s="11">
        <v>46126</v>
      </c>
      <c r="B3984" t="s">
        <v>64</v>
      </c>
      <c r="C3984" t="s">
        <v>23</v>
      </c>
      <c r="D3984">
        <v>20</v>
      </c>
      <c r="E3984">
        <v>19</v>
      </c>
      <c r="F3984">
        <v>30.37</v>
      </c>
      <c r="G3984">
        <v>0</v>
      </c>
      <c r="H3984">
        <v>0</v>
      </c>
      <c r="I3984" s="3">
        <f>E3984+G3984+H3984</f>
        <v>19</v>
      </c>
      <c r="J3984" s="3">
        <f>ROUND(MIN(IF(C3984="Técnico III",35,IF(C3984="Técnico II",28,IF(C3984="Técnico I",23,IF(C3984="JR",20,IF(C3984="Estágio",10,0))))),IF(C3984="Técnico III",SUMIFS($D:$D,$A:$A,$A3984,$B:$B,"&lt;&gt;Patrícia Karla de Sousa Araújo",$B:$B,"&lt;&gt;Lorena Dias de Araujo",$B:$B,"&lt;&gt;Lucas Luiz Romero")*(35/1083),IF(C3984="Técnico II",SUMIFS($D:$D,$A:$A,$A3984,$B:$B,"&lt;&gt;Patrícia Karla de Sousa Araújo",$B:$B,"&lt;&gt;Lorena Dias de Araujo",$B:$B,"&lt;&gt;Lucas Luiz Romero")*(28/1083),IF(C3984="Técnico I",SUMIFS($D:$D,$A:$A,$A3984,$B:$B,"&lt;&gt;Patrícia Karla de Sousa Araújo",$B:$B,"&lt;&gt;Lorena Dias de Araujo",$B:$B,"&lt;&gt;Lucas Luiz Romero")*(23/1083),IF(C3984="JR",SUMIFS($D:$D,$A:$A,$A3984,$B:$B,"&lt;&gt;Patrícia Karla de Sousa Araújo",$B:$B,"&lt;&gt;Lorena Dias de Araujo",$B:$B,"&lt;&gt;Lucas Luiz Romero")*(20/1083),IF(C3984="Estágio",SUMIFS($D:$D,$A:$A,$A3984,$B:$B,"&lt;&gt;Patrícia Karla de Sousa Araújo",$B:$B,"&lt;&gt;Lorena Dias de Araujo",$B:$B,"&lt;&gt;Lucas Luiz Romero")*(10/1083),0)))))),0)</f>
        <v>20</v>
      </c>
      <c r="K3984" s="3">
        <f>I3984-J3984</f>
        <v>-1</v>
      </c>
      <c r="L3984" s="3" t="str">
        <f>IF(K3984&lt;-5,"CRÍTICO",IF(K3984&lt;0,"ATENÇÃO",IF(K3984&lt;=5,"OPORTUNO","MUITO BOM")))</f>
        <v>ATENÇÃO</v>
      </c>
      <c r="M3984">
        <v>17</v>
      </c>
      <c r="N3984">
        <v>100</v>
      </c>
      <c r="O3984">
        <v>26.36986301369863</v>
      </c>
    </row>
    <row r="3985" spans="1:15" hidden="1" x14ac:dyDescent="0.25">
      <c r="A3985" s="11">
        <v>46126</v>
      </c>
      <c r="B3985" t="s">
        <v>46</v>
      </c>
      <c r="C3985" t="s">
        <v>32</v>
      </c>
      <c r="D3985">
        <v>24</v>
      </c>
      <c r="E3985">
        <v>22</v>
      </c>
      <c r="F3985">
        <v>15.09</v>
      </c>
      <c r="G3985">
        <v>0</v>
      </c>
      <c r="H3985">
        <v>0</v>
      </c>
      <c r="I3985" s="3">
        <f>E3985+G3985+H3985</f>
        <v>22</v>
      </c>
      <c r="J3985" s="3">
        <f>ROUND(MIN(IF(C3985="Técnico III",35,IF(C3985="Técnico II",28,IF(C3985="Técnico I",23,IF(C3985="JR",20,IF(C3985="Estágio",10,0))))),IF(C3985="Técnico III",SUMIFS($D:$D,$A:$A,$A3985,$B:$B,"&lt;&gt;Patrícia Karla de Sousa Araújo",$B:$B,"&lt;&gt;Lorena Dias de Araujo",$B:$B,"&lt;&gt;Lucas Luiz Romero")*(35/1083),IF(C3985="Técnico II",SUMIFS($D:$D,$A:$A,$A3985,$B:$B,"&lt;&gt;Patrícia Karla de Sousa Araújo",$B:$B,"&lt;&gt;Lorena Dias de Araujo",$B:$B,"&lt;&gt;Lucas Luiz Romero")*(28/1083),IF(C3985="Técnico I",SUMIFS($D:$D,$A:$A,$A3985,$B:$B,"&lt;&gt;Patrícia Karla de Sousa Araújo",$B:$B,"&lt;&gt;Lorena Dias de Araujo",$B:$B,"&lt;&gt;Lucas Luiz Romero")*(23/1083),IF(C3985="JR",SUMIFS($D:$D,$A:$A,$A3985,$B:$B,"&lt;&gt;Patrícia Karla de Sousa Araújo",$B:$B,"&lt;&gt;Lorena Dias de Araujo",$B:$B,"&lt;&gt;Lucas Luiz Romero")*(20/1083),IF(C3985="Estágio",SUMIFS($D:$D,$A:$A,$A3985,$B:$B,"&lt;&gt;Patrícia Karla de Sousa Araújo",$B:$B,"&lt;&gt;Lorena Dias de Araujo",$B:$B,"&lt;&gt;Lucas Luiz Romero")*(10/1083),0)))))),0)</f>
        <v>30</v>
      </c>
      <c r="K3985" s="3">
        <f>I3985-J3985</f>
        <v>-8</v>
      </c>
      <c r="L3985" s="3" t="str">
        <f>IF(K3985&lt;-5,"CRÍTICO",IF(K3985&lt;0,"ATENÇÃO",IF(K3985&lt;=5,"OPORTUNO","MUITO BOM")))</f>
        <v>CRÍTICO</v>
      </c>
      <c r="M3985">
        <v>21</v>
      </c>
      <c r="N3985">
        <v>99.21</v>
      </c>
      <c r="O3985">
        <v>25.188916876574311</v>
      </c>
    </row>
    <row r="3986" spans="1:15" hidden="1" x14ac:dyDescent="0.25">
      <c r="A3986" s="11">
        <v>46127</v>
      </c>
      <c r="B3986" t="s">
        <v>47</v>
      </c>
      <c r="C3986" t="s">
        <v>48</v>
      </c>
      <c r="D3986">
        <v>31</v>
      </c>
      <c r="E3986">
        <v>26</v>
      </c>
      <c r="F3986">
        <v>15.24</v>
      </c>
      <c r="G3986">
        <v>0</v>
      </c>
      <c r="H3986">
        <v>0</v>
      </c>
      <c r="I3986" s="3">
        <f>E3986+G3986+H3986</f>
        <v>26</v>
      </c>
      <c r="J3986" s="3">
        <f>ROUND(MIN(IF(C3986="Técnico III",35,IF(C3986="Técnico II",28,IF(C3986="Técnico I",23,IF(C3986="JR",20,IF(C3986="Estágio",10,0))))),IF(C3986="Técnico III",SUMIFS($D:$D,$A:$A,$A3986,$B:$B,"&lt;&gt;Patrícia Karla de Sousa Araújo",$B:$B,"&lt;&gt;Lorena Dias de Araujo",$B:$B,"&lt;&gt;Lucas Luiz Romero")*(35/1083),IF(C3986="Técnico II",SUMIFS($D:$D,$A:$A,$A3986,$B:$B,"&lt;&gt;Patrícia Karla de Sousa Araújo",$B:$B,"&lt;&gt;Lorena Dias de Araujo",$B:$B,"&lt;&gt;Lucas Luiz Romero")*(28/1083),IF(C3986="Técnico I",SUMIFS($D:$D,$A:$A,$A3986,$B:$B,"&lt;&gt;Patrícia Karla de Sousa Araújo",$B:$B,"&lt;&gt;Lorena Dias de Araujo",$B:$B,"&lt;&gt;Lucas Luiz Romero")*(23/1083),IF(C3986="JR",SUMIFS($D:$D,$A:$A,$A3986,$B:$B,"&lt;&gt;Patrícia Karla de Sousa Araújo",$B:$B,"&lt;&gt;Lorena Dias de Araujo",$B:$B,"&lt;&gt;Lucas Luiz Romero")*(20/1083),IF(C3986="Estágio",SUMIFS($D:$D,$A:$A,$A3986,$B:$B,"&lt;&gt;Patrícia Karla de Sousa Araújo",$B:$B,"&lt;&gt;Lorena Dias de Araujo",$B:$B,"&lt;&gt;Lucas Luiz Romero")*(10/1083),0)))))),0)</f>
        <v>26</v>
      </c>
      <c r="K3986" s="3">
        <f>I3986-J3986</f>
        <v>0</v>
      </c>
      <c r="L3986" s="3" t="str">
        <f>IF(K3986&lt;-5,"CRÍTICO",IF(K3986&lt;0,"ATENÇÃO",IF(K3986&lt;=5,"OPORTUNO","MUITO BOM")))</f>
        <v>OPORTUNO</v>
      </c>
      <c r="M3986">
        <v>12</v>
      </c>
      <c r="N3986">
        <v>100</v>
      </c>
      <c r="O3986">
        <v>32.764505119453922</v>
      </c>
    </row>
    <row r="3987" spans="1:15" hidden="1" x14ac:dyDescent="0.25">
      <c r="A3987" s="11">
        <v>46127</v>
      </c>
      <c r="B3987" t="s">
        <v>31</v>
      </c>
      <c r="C3987" t="s">
        <v>32</v>
      </c>
      <c r="D3987">
        <v>0</v>
      </c>
      <c r="E3987">
        <v>0</v>
      </c>
      <c r="F3987">
        <v>0</v>
      </c>
      <c r="G3987">
        <v>0</v>
      </c>
      <c r="H3987">
        <v>0</v>
      </c>
      <c r="I3987" s="3">
        <v>0</v>
      </c>
      <c r="J3987" s="3">
        <v>0</v>
      </c>
      <c r="K3987" s="3">
        <v>0</v>
      </c>
      <c r="L3987" s="3" t="str">
        <f>IF(K3987&lt;-5,"CRÍTICO",IF(K3987&lt;0,"ATENÇÃO",IF(K3987&lt;=5,"OPORTUNO","MUITO BOM")))</f>
        <v>OPORTUNO</v>
      </c>
      <c r="M3987">
        <v>30</v>
      </c>
      <c r="N3987">
        <v>98.66</v>
      </c>
      <c r="O3987">
        <v>35.416666666666671</v>
      </c>
    </row>
    <row r="3988" spans="1:15" hidden="1" x14ac:dyDescent="0.25">
      <c r="A3988" s="11">
        <v>46127</v>
      </c>
      <c r="B3988" t="s">
        <v>59</v>
      </c>
      <c r="C3988" t="s">
        <v>23</v>
      </c>
      <c r="D3988">
        <v>34</v>
      </c>
      <c r="E3988">
        <v>31</v>
      </c>
      <c r="F3988">
        <v>17.05</v>
      </c>
      <c r="G3988">
        <v>0</v>
      </c>
      <c r="H3988">
        <v>0</v>
      </c>
      <c r="I3988" s="3">
        <f>E3988+G3988+H3988</f>
        <v>31</v>
      </c>
      <c r="J3988" s="3">
        <f>ROUND(MIN(IF(C3988="Técnico III",35,IF(C3988="Técnico II",28,IF(C3988="Técnico I",23,IF(C3988="JR",20,IF(C3988="Estágio",10,0))))),IF(C3988="Técnico III",SUMIFS($D:$D,$A:$A,$A3988,$B:$B,"&lt;&gt;Patrícia Karla de Sousa Araújo",$B:$B,"&lt;&gt;Lorena Dias de Araujo",$B:$B,"&lt;&gt;Lucas Luiz Romero")*(35/1083),IF(C3988="Técnico II",SUMIFS($D:$D,$A:$A,$A3988,$B:$B,"&lt;&gt;Patrícia Karla de Sousa Araújo",$B:$B,"&lt;&gt;Lorena Dias de Araujo",$B:$B,"&lt;&gt;Lucas Luiz Romero")*(28/1083),IF(C3988="Técnico I",SUMIFS($D:$D,$A:$A,$A3988,$B:$B,"&lt;&gt;Patrícia Karla de Sousa Araújo",$B:$B,"&lt;&gt;Lorena Dias de Araujo",$B:$B,"&lt;&gt;Lucas Luiz Romero")*(23/1083),IF(C3988="JR",SUMIFS($D:$D,$A:$A,$A3988,$B:$B,"&lt;&gt;Patrícia Karla de Sousa Araújo",$B:$B,"&lt;&gt;Lorena Dias de Araujo",$B:$B,"&lt;&gt;Lucas Luiz Romero")*(20/1083),IF(C3988="Estágio",SUMIFS($D:$D,$A:$A,$A3988,$B:$B,"&lt;&gt;Patrícia Karla de Sousa Araújo",$B:$B,"&lt;&gt;Lorena Dias de Araujo",$B:$B,"&lt;&gt;Lucas Luiz Romero")*(10/1083),0)))))),0)</f>
        <v>21</v>
      </c>
      <c r="K3988" s="3">
        <f>I3988-J3988</f>
        <v>10</v>
      </c>
      <c r="L3988" s="3" t="str">
        <f>IF(K3988&lt;-5,"CRÍTICO",IF(K3988&lt;0,"ATENÇÃO",IF(K3988&lt;=5,"OPORTUNO","MUITO BOM")))</f>
        <v>MUITO BOM</v>
      </c>
      <c r="M3988">
        <v>32</v>
      </c>
      <c r="N3988">
        <v>99.32</v>
      </c>
      <c r="O3988">
        <v>30.648330058939099</v>
      </c>
    </row>
    <row r="3989" spans="1:15" hidden="1" x14ac:dyDescent="0.25">
      <c r="A3989" s="11">
        <v>46127</v>
      </c>
      <c r="B3989" t="s">
        <v>33</v>
      </c>
      <c r="C3989" t="s">
        <v>32</v>
      </c>
      <c r="D3989">
        <v>34</v>
      </c>
      <c r="E3989">
        <v>32</v>
      </c>
      <c r="F3989">
        <v>15.01</v>
      </c>
      <c r="G3989">
        <v>0</v>
      </c>
      <c r="H3989">
        <v>0</v>
      </c>
      <c r="I3989" s="3">
        <f>E3989+G3989+H3989</f>
        <v>32</v>
      </c>
      <c r="J3989" s="3">
        <f>ROUND(MIN(IF(C3989="Técnico III",35,IF(C3989="Técnico II",28,IF(C3989="Técnico I",23,IF(C3989="JR",20,IF(C3989="Estágio",10,0))))),IF(C3989="Técnico III",SUMIFS($D:$D,$A:$A,$A3989,$B:$B,"&lt;&gt;Patrícia Karla de Sousa Araújo",$B:$B,"&lt;&gt;Lorena Dias de Araujo",$B:$B,"&lt;&gt;Lucas Luiz Romero")*(35/1083),IF(C3989="Técnico II",SUMIFS($D:$D,$A:$A,$A3989,$B:$B,"&lt;&gt;Patrícia Karla de Sousa Araújo",$B:$B,"&lt;&gt;Lorena Dias de Araujo",$B:$B,"&lt;&gt;Lucas Luiz Romero")*(28/1083),IF(C3989="Técnico I",SUMIFS($D:$D,$A:$A,$A3989,$B:$B,"&lt;&gt;Patrícia Karla de Sousa Araújo",$B:$B,"&lt;&gt;Lorena Dias de Araujo",$B:$B,"&lt;&gt;Lucas Luiz Romero")*(23/1083),IF(C3989="JR",SUMIFS($D:$D,$A:$A,$A3989,$B:$B,"&lt;&gt;Patrícia Karla de Sousa Araújo",$B:$B,"&lt;&gt;Lorena Dias de Araujo",$B:$B,"&lt;&gt;Lucas Luiz Romero")*(20/1083),IF(C3989="Estágio",SUMIFS($D:$D,$A:$A,$A3989,$B:$B,"&lt;&gt;Patrícia Karla de Sousa Araújo",$B:$B,"&lt;&gt;Lorena Dias de Araujo",$B:$B,"&lt;&gt;Lucas Luiz Romero")*(10/1083),0)))))),0)</f>
        <v>32</v>
      </c>
      <c r="K3989" s="3">
        <f>I3989-J3989</f>
        <v>0</v>
      </c>
      <c r="L3989" s="3" t="str">
        <f>IF(K3989&lt;-5,"CRÍTICO",IF(K3989&lt;0,"ATENÇÃO",IF(K3989&lt;=5,"OPORTUNO","MUITO BOM")))</f>
        <v>OPORTUNO</v>
      </c>
      <c r="M3989">
        <v>29</v>
      </c>
      <c r="N3989">
        <v>100</v>
      </c>
      <c r="O3989">
        <v>27.803738317757009</v>
      </c>
    </row>
    <row r="3990" spans="1:15" hidden="1" x14ac:dyDescent="0.25">
      <c r="A3990" s="11">
        <v>46127</v>
      </c>
      <c r="B3990" t="s">
        <v>15</v>
      </c>
      <c r="C3990" t="s">
        <v>16</v>
      </c>
      <c r="D3990">
        <v>34</v>
      </c>
      <c r="E3990">
        <v>32</v>
      </c>
      <c r="F3990">
        <v>15.51</v>
      </c>
      <c r="G3990">
        <v>0</v>
      </c>
      <c r="H3990">
        <v>0</v>
      </c>
      <c r="I3990" s="3">
        <f>E3990+G3990+H3990</f>
        <v>32</v>
      </c>
      <c r="J3990" s="3">
        <f>ROUND(MIN(IF(C3990="Técnico III",35,IF(C3990="Técnico II",28,IF(C3990="Técnico I",23,IF(C3990="JR",20,IF(C3990="Estágio",10,0))))),IF(C3990="Técnico III",SUMIFS($D:$D,$A:$A,$A3990,$B:$B,"&lt;&gt;Patrícia Karla de Sousa Araújo",$B:$B,"&lt;&gt;Lorena Dias de Araujo",$B:$B,"&lt;&gt;Lucas Luiz Romero")*(35/1083),IF(C3990="Técnico II",SUMIFS($D:$D,$A:$A,$A3990,$B:$B,"&lt;&gt;Patrícia Karla de Sousa Araújo",$B:$B,"&lt;&gt;Lorena Dias de Araujo",$B:$B,"&lt;&gt;Lucas Luiz Romero")*(28/1083),IF(C3990="Técnico I",SUMIFS($D:$D,$A:$A,$A3990,$B:$B,"&lt;&gt;Patrícia Karla de Sousa Araújo",$B:$B,"&lt;&gt;Lorena Dias de Araujo",$B:$B,"&lt;&gt;Lucas Luiz Romero")*(23/1083),IF(C3990="JR",SUMIFS($D:$D,$A:$A,$A3990,$B:$B,"&lt;&gt;Patrícia Karla de Sousa Araújo",$B:$B,"&lt;&gt;Lorena Dias de Araujo",$B:$B,"&lt;&gt;Lucas Luiz Romero")*(20/1083),IF(C3990="Estágio",SUMIFS($D:$D,$A:$A,$A3990,$B:$B,"&lt;&gt;Patrícia Karla de Sousa Araújo",$B:$B,"&lt;&gt;Lorena Dias de Araujo",$B:$B,"&lt;&gt;Lucas Luiz Romero")*(10/1083),0)))))),0)</f>
        <v>9</v>
      </c>
      <c r="K3990" s="3">
        <f>I3990-J3990</f>
        <v>23</v>
      </c>
      <c r="L3990" s="3" t="str">
        <f>IF(K3990&lt;-5,"CRÍTICO",IF(K3990&lt;0,"ATENÇÃO",IF(K3990&lt;=5,"OPORTUNO","MUITO BOM")))</f>
        <v>MUITO BOM</v>
      </c>
      <c r="M3990">
        <v>30</v>
      </c>
      <c r="N3990">
        <v>96.74</v>
      </c>
      <c r="O3990">
        <v>28.67647058823529</v>
      </c>
    </row>
    <row r="3991" spans="1:15" hidden="1" x14ac:dyDescent="0.25">
      <c r="A3991" s="11">
        <v>46127</v>
      </c>
      <c r="B3991" t="s">
        <v>49</v>
      </c>
      <c r="C3991" t="s">
        <v>48</v>
      </c>
      <c r="D3991">
        <v>39</v>
      </c>
      <c r="E3991">
        <v>36</v>
      </c>
      <c r="F3991">
        <v>15.53</v>
      </c>
      <c r="G3991">
        <v>0</v>
      </c>
      <c r="H3991">
        <v>0</v>
      </c>
      <c r="I3991" s="3">
        <f>E3991+G3991+H3991</f>
        <v>36</v>
      </c>
      <c r="J3991" s="3">
        <f>ROUND(MIN(IF(C3991="Técnico III",35,IF(C3991="Técnico II",28,IF(C3991="Técnico I",23,IF(C3991="JR",20,IF(C3991="Estágio",10,0))))),IF(C3991="Técnico III",SUMIFS($D:$D,$A:$A,$A3991,$B:$B,"&lt;&gt;Patrícia Karla de Sousa Araújo",$B:$B,"&lt;&gt;Lorena Dias de Araujo",$B:$B,"&lt;&gt;Lucas Luiz Romero")*(35/1083),IF(C3991="Técnico II",SUMIFS($D:$D,$A:$A,$A3991,$B:$B,"&lt;&gt;Patrícia Karla de Sousa Araújo",$B:$B,"&lt;&gt;Lorena Dias de Araujo",$B:$B,"&lt;&gt;Lucas Luiz Romero")*(28/1083),IF(C3991="Técnico I",SUMIFS($D:$D,$A:$A,$A3991,$B:$B,"&lt;&gt;Patrícia Karla de Sousa Araújo",$B:$B,"&lt;&gt;Lorena Dias de Araujo",$B:$B,"&lt;&gt;Lucas Luiz Romero")*(23/1083),IF(C3991="JR",SUMIFS($D:$D,$A:$A,$A3991,$B:$B,"&lt;&gt;Patrícia Karla de Sousa Araújo",$B:$B,"&lt;&gt;Lorena Dias de Araujo",$B:$B,"&lt;&gt;Lucas Luiz Romero")*(20/1083),IF(C3991="Estágio",SUMIFS($D:$D,$A:$A,$A3991,$B:$B,"&lt;&gt;Patrícia Karla de Sousa Araújo",$B:$B,"&lt;&gt;Lorena Dias de Araujo",$B:$B,"&lt;&gt;Lucas Luiz Romero")*(10/1083),0)))))),0)</f>
        <v>26</v>
      </c>
      <c r="K3991" s="3">
        <f>I3991-J3991</f>
        <v>10</v>
      </c>
      <c r="L3991" s="3" t="str">
        <f>IF(K3991&lt;-5,"CRÍTICO",IF(K3991&lt;0,"ATENÇÃO",IF(K3991&lt;=5,"OPORTUNO","MUITO BOM")))</f>
        <v>MUITO BOM</v>
      </c>
      <c r="M3991">
        <v>37</v>
      </c>
      <c r="N3991">
        <v>98.82</v>
      </c>
      <c r="O3991">
        <v>30.741410488245929</v>
      </c>
    </row>
    <row r="3992" spans="1:15" hidden="1" x14ac:dyDescent="0.25">
      <c r="A3992" s="11">
        <v>46127</v>
      </c>
      <c r="B3992" t="s">
        <v>50</v>
      </c>
      <c r="C3992" t="s">
        <v>48</v>
      </c>
      <c r="D3992">
        <v>20</v>
      </c>
      <c r="E3992">
        <v>20</v>
      </c>
      <c r="F3992">
        <v>34.04</v>
      </c>
      <c r="G3992">
        <v>0</v>
      </c>
      <c r="H3992">
        <v>0</v>
      </c>
      <c r="I3992" s="3">
        <f>E3992+G3992+H3992</f>
        <v>20</v>
      </c>
      <c r="J3992" s="3">
        <f>ROUND(MIN(IF(C3992="Técnico III",35,IF(C3992="Técnico II",28,IF(C3992="Técnico I",23,IF(C3992="JR",20,IF(C3992="Estágio",10,0))))),IF(C3992="Técnico III",SUMIFS($D:$D,$A:$A,$A3992,$B:$B,"&lt;&gt;Patrícia Karla de Sousa Araújo",$B:$B,"&lt;&gt;Lorena Dias de Araujo",$B:$B,"&lt;&gt;Lucas Luiz Romero")*(35/1083),IF(C3992="Técnico II",SUMIFS($D:$D,$A:$A,$A3992,$B:$B,"&lt;&gt;Patrícia Karla de Sousa Araújo",$B:$B,"&lt;&gt;Lorena Dias de Araujo",$B:$B,"&lt;&gt;Lucas Luiz Romero")*(28/1083),IF(C3992="Técnico I",SUMIFS($D:$D,$A:$A,$A3992,$B:$B,"&lt;&gt;Patrícia Karla de Sousa Araújo",$B:$B,"&lt;&gt;Lorena Dias de Araujo",$B:$B,"&lt;&gt;Lucas Luiz Romero")*(23/1083),IF(C3992="JR",SUMIFS($D:$D,$A:$A,$A3992,$B:$B,"&lt;&gt;Patrícia Karla de Sousa Araújo",$B:$B,"&lt;&gt;Lorena Dias de Araujo",$B:$B,"&lt;&gt;Lucas Luiz Romero")*(20/1083),IF(C3992="Estágio",SUMIFS($D:$D,$A:$A,$A3992,$B:$B,"&lt;&gt;Patrícia Karla de Sousa Araújo",$B:$B,"&lt;&gt;Lorena Dias de Araujo",$B:$B,"&lt;&gt;Lucas Luiz Romero")*(10/1083),0)))))),0)</f>
        <v>26</v>
      </c>
      <c r="K3992" s="3">
        <f>I3992-J3992</f>
        <v>-6</v>
      </c>
      <c r="L3992" s="3" t="str">
        <f>IF(K3992&lt;-5,"CRÍTICO",IF(K3992&lt;0,"ATENÇÃO",IF(K3992&lt;=5,"OPORTUNO","MUITO BOM")))</f>
        <v>CRÍTICO</v>
      </c>
      <c r="M3992">
        <v>17</v>
      </c>
      <c r="N3992">
        <v>98.2</v>
      </c>
      <c r="O3992">
        <v>27.170868347338931</v>
      </c>
    </row>
    <row r="3993" spans="1:15" hidden="1" x14ac:dyDescent="0.25">
      <c r="A3993" s="11">
        <v>46127</v>
      </c>
      <c r="B3993" t="s">
        <v>17</v>
      </c>
      <c r="C3993" t="s">
        <v>16</v>
      </c>
      <c r="D3993">
        <v>10</v>
      </c>
      <c r="E3993">
        <v>8</v>
      </c>
      <c r="F3993">
        <v>17.12</v>
      </c>
      <c r="G3993">
        <v>0</v>
      </c>
      <c r="H3993">
        <v>0</v>
      </c>
      <c r="I3993" s="3">
        <f>E3993+G3993+H3993</f>
        <v>8</v>
      </c>
      <c r="J3993" s="3">
        <f>ROUND(MIN(IF(C3993="Técnico III",35,IF(C3993="Técnico II",28,IF(C3993="Técnico I",23,IF(C3993="JR",20,IF(C3993="Estágio",10,0))))),IF(C3993="Técnico III",SUMIFS($D:$D,$A:$A,$A3993,$B:$B,"&lt;&gt;Patrícia Karla de Sousa Araújo",$B:$B,"&lt;&gt;Lorena Dias de Araujo",$B:$B,"&lt;&gt;Lucas Luiz Romero")*(35/1083),IF(C3993="Técnico II",SUMIFS($D:$D,$A:$A,$A3993,$B:$B,"&lt;&gt;Patrícia Karla de Sousa Araújo",$B:$B,"&lt;&gt;Lorena Dias de Araujo",$B:$B,"&lt;&gt;Lucas Luiz Romero")*(28/1083),IF(C3993="Técnico I",SUMIFS($D:$D,$A:$A,$A3993,$B:$B,"&lt;&gt;Patrícia Karla de Sousa Araújo",$B:$B,"&lt;&gt;Lorena Dias de Araujo",$B:$B,"&lt;&gt;Lucas Luiz Romero")*(23/1083),IF(C3993="JR",SUMIFS($D:$D,$A:$A,$A3993,$B:$B,"&lt;&gt;Patrícia Karla de Sousa Araújo",$B:$B,"&lt;&gt;Lorena Dias de Araujo",$B:$B,"&lt;&gt;Lucas Luiz Romero")*(20/1083),IF(C3993="Estágio",SUMIFS($D:$D,$A:$A,$A3993,$B:$B,"&lt;&gt;Patrícia Karla de Sousa Araújo",$B:$B,"&lt;&gt;Lorena Dias de Araujo",$B:$B,"&lt;&gt;Lucas Luiz Romero")*(10/1083),0)))))),0)</f>
        <v>9</v>
      </c>
      <c r="K3993" s="3">
        <f>I3993-J3993</f>
        <v>-1</v>
      </c>
      <c r="L3993" s="3" t="str">
        <f>IF(K3993&lt;-5,"CRÍTICO",IF(K3993&lt;0,"ATENÇÃO",IF(K3993&lt;=5,"OPORTUNO","MUITO BOM")))</f>
        <v>ATENÇÃO</v>
      </c>
      <c r="M3993">
        <v>6</v>
      </c>
      <c r="N3993">
        <v>100</v>
      </c>
      <c r="O3993">
        <v>23.134328358208951</v>
      </c>
    </row>
    <row r="3994" spans="1:15" hidden="1" x14ac:dyDescent="0.25">
      <c r="A3994" s="11">
        <v>46127</v>
      </c>
      <c r="B3994" t="s">
        <v>60</v>
      </c>
      <c r="C3994" t="s">
        <v>23</v>
      </c>
      <c r="D3994">
        <v>27</v>
      </c>
      <c r="E3994">
        <v>22</v>
      </c>
      <c r="F3994">
        <v>14.14</v>
      </c>
      <c r="G3994">
        <v>0</v>
      </c>
      <c r="H3994">
        <v>0</v>
      </c>
      <c r="I3994" s="3">
        <f>E3994+G3994+H3994</f>
        <v>22</v>
      </c>
      <c r="J3994" s="3">
        <f>ROUND(MIN(IF(C3994="Técnico III",35,IF(C3994="Técnico II",28,IF(C3994="Técnico I",23,IF(C3994="JR",20,IF(C3994="Estágio",10,0))))),IF(C3994="Técnico III",SUMIFS($D:$D,$A:$A,$A3994,$B:$B,"&lt;&gt;Patrícia Karla de Sousa Araújo",$B:$B,"&lt;&gt;Lorena Dias de Araujo",$B:$B,"&lt;&gt;Lucas Luiz Romero")*(35/1083),IF(C3994="Técnico II",SUMIFS($D:$D,$A:$A,$A3994,$B:$B,"&lt;&gt;Patrícia Karla de Sousa Araújo",$B:$B,"&lt;&gt;Lorena Dias de Araujo",$B:$B,"&lt;&gt;Lucas Luiz Romero")*(28/1083),IF(C3994="Técnico I",SUMIFS($D:$D,$A:$A,$A3994,$B:$B,"&lt;&gt;Patrícia Karla de Sousa Araújo",$B:$B,"&lt;&gt;Lorena Dias de Araujo",$B:$B,"&lt;&gt;Lucas Luiz Romero")*(23/1083),IF(C3994="JR",SUMIFS($D:$D,$A:$A,$A3994,$B:$B,"&lt;&gt;Patrícia Karla de Sousa Araújo",$B:$B,"&lt;&gt;Lorena Dias de Araujo",$B:$B,"&lt;&gt;Lucas Luiz Romero")*(20/1083),IF(C3994="Estágio",SUMIFS($D:$D,$A:$A,$A3994,$B:$B,"&lt;&gt;Patrícia Karla de Sousa Araújo",$B:$B,"&lt;&gt;Lorena Dias de Araujo",$B:$B,"&lt;&gt;Lucas Luiz Romero")*(10/1083),0)))))),0)</f>
        <v>21</v>
      </c>
      <c r="K3994" s="3">
        <f>I3994-J3994</f>
        <v>1</v>
      </c>
      <c r="L3994" s="3" t="str">
        <f>IF(K3994&lt;-5,"CRÍTICO",IF(K3994&lt;0,"ATENÇÃO",IF(K3994&lt;=5,"OPORTUNO","MUITO BOM")))</f>
        <v>OPORTUNO</v>
      </c>
      <c r="M3994">
        <v>24</v>
      </c>
      <c r="N3994">
        <v>96.3</v>
      </c>
      <c r="O3994">
        <v>32.219570405727922</v>
      </c>
    </row>
    <row r="3995" spans="1:15" hidden="1" x14ac:dyDescent="0.25">
      <c r="A3995" s="11">
        <v>46127</v>
      </c>
      <c r="B3995" t="s">
        <v>34</v>
      </c>
      <c r="C3995" t="s">
        <v>32</v>
      </c>
      <c r="D3995">
        <v>46</v>
      </c>
      <c r="E3995">
        <v>41</v>
      </c>
      <c r="F3995">
        <v>10.199999999999999</v>
      </c>
      <c r="G3995">
        <v>0</v>
      </c>
      <c r="H3995">
        <v>0</v>
      </c>
      <c r="I3995" s="3">
        <f>E3995+G3995+H3995</f>
        <v>41</v>
      </c>
      <c r="J3995" s="3">
        <f>ROUND(MIN(IF(C3995="Técnico III",35,IF(C3995="Técnico II",28,IF(C3995="Técnico I",23,IF(C3995="JR",20,IF(C3995="Estágio",10,0))))),IF(C3995="Técnico III",SUMIFS($D:$D,$A:$A,$A3995,$B:$B,"&lt;&gt;Patrícia Karla de Sousa Araújo",$B:$B,"&lt;&gt;Lorena Dias de Araujo",$B:$B,"&lt;&gt;Lucas Luiz Romero")*(35/1083),IF(C3995="Técnico II",SUMIFS($D:$D,$A:$A,$A3995,$B:$B,"&lt;&gt;Patrícia Karla de Sousa Araújo",$B:$B,"&lt;&gt;Lorena Dias de Araujo",$B:$B,"&lt;&gt;Lucas Luiz Romero")*(28/1083),IF(C3995="Técnico I",SUMIFS($D:$D,$A:$A,$A3995,$B:$B,"&lt;&gt;Patrícia Karla de Sousa Araújo",$B:$B,"&lt;&gt;Lorena Dias de Araujo",$B:$B,"&lt;&gt;Lucas Luiz Romero")*(23/1083),IF(C3995="JR",SUMIFS($D:$D,$A:$A,$A3995,$B:$B,"&lt;&gt;Patrícia Karla de Sousa Araújo",$B:$B,"&lt;&gt;Lorena Dias de Araujo",$B:$B,"&lt;&gt;Lucas Luiz Romero")*(20/1083),IF(C3995="Estágio",SUMIFS($D:$D,$A:$A,$A3995,$B:$B,"&lt;&gt;Patrícia Karla de Sousa Araújo",$B:$B,"&lt;&gt;Lorena Dias de Araujo",$B:$B,"&lt;&gt;Lucas Luiz Romero")*(10/1083),0)))))),0)</f>
        <v>32</v>
      </c>
      <c r="K3995" s="3">
        <f>I3995-J3995</f>
        <v>9</v>
      </c>
      <c r="L3995" s="3" t="str">
        <f>IF(K3995&lt;-5,"CRÍTICO",IF(K3995&lt;0,"ATENÇÃO",IF(K3995&lt;=5,"OPORTUNO","MUITO BOM")))</f>
        <v>MUITO BOM</v>
      </c>
      <c r="M3995">
        <v>39</v>
      </c>
      <c r="N3995">
        <v>93.75</v>
      </c>
      <c r="O3995">
        <v>26.819923371647509</v>
      </c>
    </row>
    <row r="3996" spans="1:15" hidden="1" x14ac:dyDescent="0.25">
      <c r="A3996" s="11">
        <v>46127</v>
      </c>
      <c r="B3996" t="s">
        <v>51</v>
      </c>
      <c r="C3996" t="s">
        <v>48</v>
      </c>
      <c r="D3996">
        <v>26</v>
      </c>
      <c r="E3996">
        <v>23</v>
      </c>
      <c r="F3996">
        <v>17.079999999999998</v>
      </c>
      <c r="G3996">
        <v>0</v>
      </c>
      <c r="H3996">
        <v>0</v>
      </c>
      <c r="I3996" s="3">
        <v>0</v>
      </c>
      <c r="J3996" s="3">
        <v>0</v>
      </c>
      <c r="K3996" s="3">
        <v>0</v>
      </c>
      <c r="L3996" s="3" t="str">
        <f>IF(K3996&lt;-5,"CRÍTICO",IF(K3996&lt;0,"ATENÇÃO",IF(K3996&lt;=5,"OPORTUNO","MUITO BOM")))</f>
        <v>OPORTUNO</v>
      </c>
      <c r="M3996">
        <v>23</v>
      </c>
      <c r="N3996">
        <v>97.86</v>
      </c>
      <c r="O3996">
        <v>31.018518518518519</v>
      </c>
    </row>
    <row r="3997" spans="1:15" hidden="1" x14ac:dyDescent="0.25">
      <c r="A3997" s="11">
        <v>46127</v>
      </c>
      <c r="B3997" t="s">
        <v>61</v>
      </c>
      <c r="C3997" t="s">
        <v>23</v>
      </c>
      <c r="D3997">
        <v>28</v>
      </c>
      <c r="E3997">
        <v>28</v>
      </c>
      <c r="F3997">
        <v>15.24</v>
      </c>
      <c r="G3997">
        <v>0</v>
      </c>
      <c r="H3997">
        <v>0</v>
      </c>
      <c r="I3997" s="3">
        <f>E3997+G3997+H3997</f>
        <v>28</v>
      </c>
      <c r="J3997" s="3">
        <f>ROUND(MIN(IF(C3997="Técnico III",35,IF(C3997="Técnico II",28,IF(C3997="Técnico I",23,IF(C3997="JR",20,IF(C3997="Estágio",10,0))))),IF(C3997="Técnico III",SUMIFS($D:$D,$A:$A,$A3997,$B:$B,"&lt;&gt;Patrícia Karla de Sousa Araújo",$B:$B,"&lt;&gt;Lorena Dias de Araujo",$B:$B,"&lt;&gt;Lucas Luiz Romero")*(35/1083),IF(C3997="Técnico II",SUMIFS($D:$D,$A:$A,$A3997,$B:$B,"&lt;&gt;Patrícia Karla de Sousa Araújo",$B:$B,"&lt;&gt;Lorena Dias de Araujo",$B:$B,"&lt;&gt;Lucas Luiz Romero")*(28/1083),IF(C3997="Técnico I",SUMIFS($D:$D,$A:$A,$A3997,$B:$B,"&lt;&gt;Patrícia Karla de Sousa Araújo",$B:$B,"&lt;&gt;Lorena Dias de Araujo",$B:$B,"&lt;&gt;Lucas Luiz Romero")*(23/1083),IF(C3997="JR",SUMIFS($D:$D,$A:$A,$A3997,$B:$B,"&lt;&gt;Patrícia Karla de Sousa Araújo",$B:$B,"&lt;&gt;Lorena Dias de Araujo",$B:$B,"&lt;&gt;Lucas Luiz Romero")*(20/1083),IF(C3997="Estágio",SUMIFS($D:$D,$A:$A,$A3997,$B:$B,"&lt;&gt;Patrícia Karla de Sousa Araújo",$B:$B,"&lt;&gt;Lorena Dias de Araujo",$B:$B,"&lt;&gt;Lucas Luiz Romero")*(10/1083),0)))))),0)</f>
        <v>21</v>
      </c>
      <c r="K3997" s="3">
        <f>I3997-J3997</f>
        <v>7</v>
      </c>
      <c r="L3997" s="3" t="str">
        <f>IF(K3997&lt;-5,"CRÍTICO",IF(K3997&lt;0,"ATENÇÃO",IF(K3997&lt;=5,"OPORTUNO","MUITO BOM")))</f>
        <v>MUITO BOM</v>
      </c>
      <c r="M3997">
        <v>16</v>
      </c>
      <c r="N3997">
        <v>100</v>
      </c>
      <c r="O3997">
        <v>36.594202898550733</v>
      </c>
    </row>
    <row r="3998" spans="1:15" hidden="1" x14ac:dyDescent="0.25">
      <c r="A3998" s="11">
        <v>46127</v>
      </c>
      <c r="B3998" t="s">
        <v>35</v>
      </c>
      <c r="C3998" t="s">
        <v>32</v>
      </c>
      <c r="D3998">
        <v>34</v>
      </c>
      <c r="E3998">
        <v>34</v>
      </c>
      <c r="F3998">
        <v>17.25</v>
      </c>
      <c r="G3998">
        <v>0</v>
      </c>
      <c r="H3998">
        <v>0</v>
      </c>
      <c r="I3998" s="3">
        <v>0</v>
      </c>
      <c r="J3998" s="3">
        <v>0</v>
      </c>
      <c r="K3998" s="3">
        <v>0</v>
      </c>
      <c r="L3998" s="3" t="str">
        <f>IF(K3998&lt;-5,"CRÍTICO",IF(K3998&lt;0,"ATENÇÃO",IF(K3998&lt;=5,"OPORTUNO","MUITO BOM")))</f>
        <v>OPORTUNO</v>
      </c>
      <c r="M3998">
        <v>32</v>
      </c>
      <c r="N3998">
        <v>100</v>
      </c>
      <c r="O3998">
        <v>38.653846153846153</v>
      </c>
    </row>
    <row r="3999" spans="1:15" hidden="1" x14ac:dyDescent="0.25">
      <c r="A3999" s="11">
        <v>46127</v>
      </c>
      <c r="B3999" t="s">
        <v>18</v>
      </c>
      <c r="C3999" t="s">
        <v>16</v>
      </c>
      <c r="D3999">
        <v>8</v>
      </c>
      <c r="E3999">
        <v>8</v>
      </c>
      <c r="F3999">
        <v>48.21</v>
      </c>
      <c r="G3999">
        <v>0</v>
      </c>
      <c r="H3999">
        <v>0</v>
      </c>
      <c r="I3999" s="3">
        <f>E3999+G3999+H3999</f>
        <v>8</v>
      </c>
      <c r="J3999" s="3">
        <f>ROUND(MIN(IF(C3999="Técnico III",35,IF(C3999="Técnico II",28,IF(C3999="Técnico I",23,IF(C3999="JR",20,IF(C3999="Estágio",10,0))))),IF(C3999="Técnico III",SUMIFS($D:$D,$A:$A,$A3999,$B:$B,"&lt;&gt;Patrícia Karla de Sousa Araújo",$B:$B,"&lt;&gt;Lorena Dias de Araujo",$B:$B,"&lt;&gt;Lucas Luiz Romero")*(35/1083),IF(C3999="Técnico II",SUMIFS($D:$D,$A:$A,$A3999,$B:$B,"&lt;&gt;Patrícia Karla de Sousa Araújo",$B:$B,"&lt;&gt;Lorena Dias de Araujo",$B:$B,"&lt;&gt;Lucas Luiz Romero")*(28/1083),IF(C3999="Técnico I",SUMIFS($D:$D,$A:$A,$A3999,$B:$B,"&lt;&gt;Patrícia Karla de Sousa Araújo",$B:$B,"&lt;&gt;Lorena Dias de Araujo",$B:$B,"&lt;&gt;Lucas Luiz Romero")*(23/1083),IF(C3999="JR",SUMIFS($D:$D,$A:$A,$A3999,$B:$B,"&lt;&gt;Patrícia Karla de Sousa Araújo",$B:$B,"&lt;&gt;Lorena Dias de Araujo",$B:$B,"&lt;&gt;Lucas Luiz Romero")*(20/1083),IF(C3999="Estágio",SUMIFS($D:$D,$A:$A,$A3999,$B:$B,"&lt;&gt;Patrícia Karla de Sousa Araújo",$B:$B,"&lt;&gt;Lorena Dias de Araujo",$B:$B,"&lt;&gt;Lucas Luiz Romero")*(10/1083),0)))))),0)</f>
        <v>9</v>
      </c>
      <c r="K3999" s="3">
        <f>I3999-J3999</f>
        <v>-1</v>
      </c>
      <c r="L3999" s="3" t="str">
        <f>IF(K3999&lt;-5,"CRÍTICO",IF(K3999&lt;0,"ATENÇÃO",IF(K3999&lt;=5,"OPORTUNO","MUITO BOM")))</f>
        <v>ATENÇÃO</v>
      </c>
      <c r="M3999">
        <v>6</v>
      </c>
      <c r="N3999">
        <v>100</v>
      </c>
      <c r="O3999">
        <v>27.368421052631579</v>
      </c>
    </row>
    <row r="4000" spans="1:15" hidden="1" x14ac:dyDescent="0.25">
      <c r="A4000" s="11">
        <v>46127</v>
      </c>
      <c r="B4000" t="s">
        <v>52</v>
      </c>
      <c r="C4000" t="s">
        <v>48</v>
      </c>
      <c r="D4000">
        <v>24</v>
      </c>
      <c r="E4000">
        <v>24</v>
      </c>
      <c r="F4000">
        <v>20.2</v>
      </c>
      <c r="G4000">
        <v>0</v>
      </c>
      <c r="H4000">
        <v>0</v>
      </c>
      <c r="I4000" s="3">
        <f>E4000+G4000+H4000</f>
        <v>24</v>
      </c>
      <c r="J4000" s="3">
        <f>ROUND(MIN(IF(C4000="Técnico III",35,IF(C4000="Técnico II",28,IF(C4000="Técnico I",23,IF(C4000="JR",20,IF(C4000="Estágio",10,0))))),IF(C4000="Técnico III",SUMIFS($D:$D,$A:$A,$A4000,$B:$B,"&lt;&gt;Patrícia Karla de Sousa Araújo",$B:$B,"&lt;&gt;Lorena Dias de Araujo",$B:$B,"&lt;&gt;Lucas Luiz Romero")*(35/1083),IF(C4000="Técnico II",SUMIFS($D:$D,$A:$A,$A4000,$B:$B,"&lt;&gt;Patrícia Karla de Sousa Araújo",$B:$B,"&lt;&gt;Lorena Dias de Araujo",$B:$B,"&lt;&gt;Lucas Luiz Romero")*(28/1083),IF(C4000="Técnico I",SUMIFS($D:$D,$A:$A,$A4000,$B:$B,"&lt;&gt;Patrícia Karla de Sousa Araújo",$B:$B,"&lt;&gt;Lorena Dias de Araujo",$B:$B,"&lt;&gt;Lucas Luiz Romero")*(23/1083),IF(C4000="JR",SUMIFS($D:$D,$A:$A,$A4000,$B:$B,"&lt;&gt;Patrícia Karla de Sousa Araújo",$B:$B,"&lt;&gt;Lorena Dias de Araujo",$B:$B,"&lt;&gt;Lucas Luiz Romero")*(20/1083),IF(C4000="Estágio",SUMIFS($D:$D,$A:$A,$A4000,$B:$B,"&lt;&gt;Patrícia Karla de Sousa Araújo",$B:$B,"&lt;&gt;Lorena Dias de Araujo",$B:$B,"&lt;&gt;Lucas Luiz Romero")*(10/1083),0)))))),0)</f>
        <v>26</v>
      </c>
      <c r="K4000" s="3">
        <f>I4000-J4000</f>
        <v>-2</v>
      </c>
      <c r="L4000" s="3" t="str">
        <f>IF(K4000&lt;-5,"CRÍTICO",IF(K4000&lt;0,"ATENÇÃO",IF(K4000&lt;=5,"OPORTUNO","MUITO BOM")))</f>
        <v>ATENÇÃO</v>
      </c>
      <c r="M4000">
        <v>20</v>
      </c>
      <c r="N4000">
        <v>97.83</v>
      </c>
      <c r="O4000">
        <v>28.35164835164835</v>
      </c>
    </row>
    <row r="4001" spans="1:15" hidden="1" x14ac:dyDescent="0.25">
      <c r="A4001" s="11">
        <v>46127</v>
      </c>
      <c r="B4001" t="s">
        <v>36</v>
      </c>
      <c r="C4001" t="s">
        <v>32</v>
      </c>
      <c r="D4001">
        <v>28</v>
      </c>
      <c r="E4001">
        <v>27</v>
      </c>
      <c r="F4001">
        <v>15.54</v>
      </c>
      <c r="G4001">
        <v>0</v>
      </c>
      <c r="H4001">
        <v>0</v>
      </c>
      <c r="I4001" s="3">
        <f>E4001+G4001+H4001</f>
        <v>27</v>
      </c>
      <c r="J4001" s="3">
        <f>ROUND(MIN(IF(C4001="Técnico III",35,IF(C4001="Técnico II",28,IF(C4001="Técnico I",23,IF(C4001="JR",20,IF(C4001="Estágio",10,0))))),IF(C4001="Técnico III",SUMIFS($D:$D,$A:$A,$A4001,$B:$B,"&lt;&gt;Patrícia Karla de Sousa Araújo",$B:$B,"&lt;&gt;Lorena Dias de Araujo",$B:$B,"&lt;&gt;Lucas Luiz Romero")*(35/1083),IF(C4001="Técnico II",SUMIFS($D:$D,$A:$A,$A4001,$B:$B,"&lt;&gt;Patrícia Karla de Sousa Araújo",$B:$B,"&lt;&gt;Lorena Dias de Araujo",$B:$B,"&lt;&gt;Lucas Luiz Romero")*(28/1083),IF(C4001="Técnico I",SUMIFS($D:$D,$A:$A,$A4001,$B:$B,"&lt;&gt;Patrícia Karla de Sousa Araújo",$B:$B,"&lt;&gt;Lorena Dias de Araujo",$B:$B,"&lt;&gt;Lucas Luiz Romero")*(23/1083),IF(C4001="JR",SUMIFS($D:$D,$A:$A,$A4001,$B:$B,"&lt;&gt;Patrícia Karla de Sousa Araújo",$B:$B,"&lt;&gt;Lorena Dias de Araujo",$B:$B,"&lt;&gt;Lucas Luiz Romero")*(20/1083),IF(C4001="Estágio",SUMIFS($D:$D,$A:$A,$A4001,$B:$B,"&lt;&gt;Patrícia Karla de Sousa Araújo",$B:$B,"&lt;&gt;Lorena Dias de Araujo",$B:$B,"&lt;&gt;Lucas Luiz Romero")*(10/1083),0)))))),0)</f>
        <v>32</v>
      </c>
      <c r="K4001" s="3">
        <f>I4001-J4001</f>
        <v>-5</v>
      </c>
      <c r="L4001" s="3" t="str">
        <f>IF(K4001&lt;-5,"CRÍTICO",IF(K4001&lt;0,"ATENÇÃO",IF(K4001&lt;=5,"OPORTUNO","MUITO BOM")))</f>
        <v>ATENÇÃO</v>
      </c>
      <c r="M4001">
        <v>28</v>
      </c>
      <c r="N4001">
        <v>99.26</v>
      </c>
      <c r="O4001">
        <v>29.766536964980549</v>
      </c>
    </row>
    <row r="4002" spans="1:15" hidden="1" x14ac:dyDescent="0.25">
      <c r="A4002" s="11">
        <v>46127</v>
      </c>
      <c r="B4002" t="s">
        <v>53</v>
      </c>
      <c r="C4002" t="s">
        <v>48</v>
      </c>
      <c r="D4002">
        <v>28</v>
      </c>
      <c r="E4002">
        <v>26</v>
      </c>
      <c r="F4002">
        <v>22.11</v>
      </c>
      <c r="G4002">
        <v>0</v>
      </c>
      <c r="H4002">
        <v>0</v>
      </c>
      <c r="I4002" s="3">
        <f>E4002+G4002+H4002</f>
        <v>26</v>
      </c>
      <c r="J4002" s="3">
        <f>ROUND(MIN(IF(C4002="Técnico III",35,IF(C4002="Técnico II",28,IF(C4002="Técnico I",23,IF(C4002="JR",20,IF(C4002="Estágio",10,0))))),IF(C4002="Técnico III",SUMIFS($D:$D,$A:$A,$A4002,$B:$B,"&lt;&gt;Patrícia Karla de Sousa Araújo",$B:$B,"&lt;&gt;Lorena Dias de Araujo",$B:$B,"&lt;&gt;Lucas Luiz Romero")*(35/1083),IF(C4002="Técnico II",SUMIFS($D:$D,$A:$A,$A4002,$B:$B,"&lt;&gt;Patrícia Karla de Sousa Araújo",$B:$B,"&lt;&gt;Lorena Dias de Araujo",$B:$B,"&lt;&gt;Lucas Luiz Romero")*(28/1083),IF(C4002="Técnico I",SUMIFS($D:$D,$A:$A,$A4002,$B:$B,"&lt;&gt;Patrícia Karla de Sousa Araújo",$B:$B,"&lt;&gt;Lorena Dias de Araujo",$B:$B,"&lt;&gt;Lucas Luiz Romero")*(23/1083),IF(C4002="JR",SUMIFS($D:$D,$A:$A,$A4002,$B:$B,"&lt;&gt;Patrícia Karla de Sousa Araújo",$B:$B,"&lt;&gt;Lorena Dias de Araujo",$B:$B,"&lt;&gt;Lucas Luiz Romero")*(20/1083),IF(C4002="Estágio",SUMIFS($D:$D,$A:$A,$A4002,$B:$B,"&lt;&gt;Patrícia Karla de Sousa Araújo",$B:$B,"&lt;&gt;Lorena Dias de Araujo",$B:$B,"&lt;&gt;Lucas Luiz Romero")*(10/1083),0)))))),0)</f>
        <v>26</v>
      </c>
      <c r="K4002" s="3">
        <f>I4002-J4002</f>
        <v>0</v>
      </c>
      <c r="L4002" s="3" t="str">
        <f>IF(K4002&lt;-5,"CRÍTICO",IF(K4002&lt;0,"ATENÇÃO",IF(K4002&lt;=5,"OPORTUNO","MUITO BOM")))</f>
        <v>OPORTUNO</v>
      </c>
      <c r="M4002">
        <v>27</v>
      </c>
      <c r="N4002">
        <v>99.19</v>
      </c>
      <c r="O4002">
        <v>29.462365591397852</v>
      </c>
    </row>
    <row r="4003" spans="1:15" hidden="1" x14ac:dyDescent="0.25">
      <c r="A4003" s="7">
        <v>46161</v>
      </c>
      <c r="B4003" s="8" t="s">
        <v>44</v>
      </c>
      <c r="C4003" s="14" t="s">
        <v>32</v>
      </c>
      <c r="D4003" s="3">
        <v>35</v>
      </c>
      <c r="E4003" s="3">
        <v>31</v>
      </c>
      <c r="F4003" s="3">
        <v>10.43</v>
      </c>
      <c r="G4003" s="3">
        <v>4</v>
      </c>
      <c r="H4003" s="3">
        <v>0</v>
      </c>
      <c r="I4003" s="3">
        <f>E4003+G4003+H4003</f>
        <v>35</v>
      </c>
      <c r="J4003" s="3">
        <f>ROUND(MIN(IF(C4003="Técnico III",35,IF(C4003="Técnico II",28,IF(C4003="Técnico I",23,IF(C4003="JR",20,IF(C4003="Estágio",10,0))))),IF(C4003="Técnico III",SUMIFS($D:$D,$A:$A,$A4003,$B:$B,"&lt;&gt;Patrícia Karla de Sousa Araújo",$B:$B,"&lt;&gt;Lorena Dias de Araujo",$B:$B,"&lt;&gt;Lucas Luiz Romero")*(35/1083),IF(C4003="Técnico II",SUMIFS($D:$D,$A:$A,$A4003,$B:$B,"&lt;&gt;Patrícia Karla de Sousa Araújo",$B:$B,"&lt;&gt;Lorena Dias de Araujo",$B:$B,"&lt;&gt;Lucas Luiz Romero")*(28/1083),IF(C4003="Técnico I",SUMIFS($D:$D,$A:$A,$A4003,$B:$B,"&lt;&gt;Patrícia Karla de Sousa Araújo",$B:$B,"&lt;&gt;Lorena Dias de Araujo",$B:$B,"&lt;&gt;Lucas Luiz Romero")*(23/1083),IF(C4003="JR",SUMIFS($D:$D,$A:$A,$A4003,$B:$B,"&lt;&gt;Patrícia Karla de Sousa Araújo",$B:$B,"&lt;&gt;Lorena Dias de Araujo",$B:$B,"&lt;&gt;Lucas Luiz Romero")*(20/1083),IF(C4003="Estágio",SUMIFS($D:$D,$A:$A,$A4003,$B:$B,"&lt;&gt;Patrícia Karla de Sousa Araújo",$B:$B,"&lt;&gt;Lorena Dias de Araujo",$B:$B,"&lt;&gt;Lucas Luiz Romero")*(10/1083),0)))))),0)</f>
        <v>29</v>
      </c>
      <c r="K4003" s="3">
        <f>I4003-J4003</f>
        <v>6</v>
      </c>
      <c r="L4003" s="3" t="str">
        <f>IF(K4003&lt;-5,"CRÍTICO",IF(K4003&lt;0,"ATENÇÃO",IF(K4003&lt;=5,"OPORTUNO","MUITO BOM")))</f>
        <v>MUITO BOM</v>
      </c>
      <c r="M4003" s="3">
        <v>30</v>
      </c>
      <c r="N4003" s="3">
        <v>96.38</v>
      </c>
      <c r="O4003" s="3">
        <v>23.198198198198199</v>
      </c>
    </row>
    <row r="4004" spans="1:15" hidden="1" x14ac:dyDescent="0.25">
      <c r="A4004" s="11">
        <v>46127</v>
      </c>
      <c r="B4004" t="s">
        <v>54</v>
      </c>
      <c r="C4004" t="s">
        <v>48</v>
      </c>
      <c r="D4004">
        <v>0</v>
      </c>
      <c r="E4004">
        <v>0</v>
      </c>
      <c r="F4004">
        <v>0</v>
      </c>
      <c r="G4004">
        <v>0</v>
      </c>
      <c r="H4004">
        <v>0</v>
      </c>
      <c r="I4004" s="3">
        <v>0</v>
      </c>
      <c r="J4004" s="3">
        <v>0</v>
      </c>
      <c r="K4004" s="3">
        <v>0</v>
      </c>
      <c r="L4004" s="3" t="str">
        <f>IF(K4004&lt;-5,"CRÍTICO",IF(K4004&lt;0,"ATENÇÃO",IF(K4004&lt;=5,"OPORTUNO","MUITO BOM")))</f>
        <v>OPORTUNO</v>
      </c>
      <c r="M4004">
        <v>0</v>
      </c>
      <c r="N4004">
        <v>100</v>
      </c>
      <c r="O4004">
        <v>28.921568627450981</v>
      </c>
    </row>
    <row r="4005" spans="1:15" hidden="1" x14ac:dyDescent="0.25">
      <c r="A4005" s="11">
        <v>46127</v>
      </c>
      <c r="B4005" t="s">
        <v>37</v>
      </c>
      <c r="C4005" t="s">
        <v>32</v>
      </c>
      <c r="D4005">
        <v>42</v>
      </c>
      <c r="E4005">
        <v>42</v>
      </c>
      <c r="F4005">
        <v>13.59</v>
      </c>
      <c r="G4005">
        <v>0</v>
      </c>
      <c r="H4005">
        <v>0</v>
      </c>
      <c r="I4005" s="3">
        <f>E4005+G4005+H4005</f>
        <v>42</v>
      </c>
      <c r="J4005" s="3">
        <f>ROUND(MIN(IF(C4005="Técnico III",35,IF(C4005="Técnico II",28,IF(C4005="Técnico I",23,IF(C4005="JR",20,IF(C4005="Estágio",10,0))))),IF(C4005="Técnico III",SUMIFS($D:$D,$A:$A,$A4005,$B:$B,"&lt;&gt;Patrícia Karla de Sousa Araújo",$B:$B,"&lt;&gt;Lorena Dias de Araujo",$B:$B,"&lt;&gt;Lucas Luiz Romero")*(35/1083),IF(C4005="Técnico II",SUMIFS($D:$D,$A:$A,$A4005,$B:$B,"&lt;&gt;Patrícia Karla de Sousa Araújo",$B:$B,"&lt;&gt;Lorena Dias de Araujo",$B:$B,"&lt;&gt;Lucas Luiz Romero")*(28/1083),IF(C4005="Técnico I",SUMIFS($D:$D,$A:$A,$A4005,$B:$B,"&lt;&gt;Patrícia Karla de Sousa Araújo",$B:$B,"&lt;&gt;Lorena Dias de Araujo",$B:$B,"&lt;&gt;Lucas Luiz Romero")*(23/1083),IF(C4005="JR",SUMIFS($D:$D,$A:$A,$A4005,$B:$B,"&lt;&gt;Patrícia Karla de Sousa Araújo",$B:$B,"&lt;&gt;Lorena Dias de Araujo",$B:$B,"&lt;&gt;Lucas Luiz Romero")*(20/1083),IF(C4005="Estágio",SUMIFS($D:$D,$A:$A,$A4005,$B:$B,"&lt;&gt;Patrícia Karla de Sousa Araújo",$B:$B,"&lt;&gt;Lorena Dias de Araujo",$B:$B,"&lt;&gt;Lucas Luiz Romero")*(10/1083),0)))))),0)</f>
        <v>32</v>
      </c>
      <c r="K4005" s="3">
        <f>I4005-J4005</f>
        <v>10</v>
      </c>
      <c r="L4005" s="3" t="str">
        <f>IF(K4005&lt;-5,"CRÍTICO",IF(K4005&lt;0,"ATENÇÃO",IF(K4005&lt;=5,"OPORTUNO","MUITO BOM")))</f>
        <v>MUITO BOM</v>
      </c>
      <c r="M4005">
        <v>37</v>
      </c>
      <c r="N4005">
        <v>99.57</v>
      </c>
      <c r="O4005">
        <v>30.635838150289018</v>
      </c>
    </row>
    <row r="4006" spans="1:15" hidden="1" x14ac:dyDescent="0.25">
      <c r="A4006" s="11">
        <v>46127</v>
      </c>
      <c r="B4006" t="s">
        <v>38</v>
      </c>
      <c r="C4006" t="s">
        <v>32</v>
      </c>
      <c r="D4006">
        <v>0</v>
      </c>
      <c r="E4006">
        <v>0</v>
      </c>
      <c r="F4006">
        <v>0</v>
      </c>
      <c r="G4006">
        <v>0</v>
      </c>
      <c r="H4006">
        <v>0</v>
      </c>
      <c r="I4006" s="3">
        <v>0</v>
      </c>
      <c r="J4006" s="3">
        <v>0</v>
      </c>
      <c r="K4006" s="3">
        <v>0</v>
      </c>
      <c r="L4006" s="3" t="str">
        <f>IF(K4006&lt;-5,"CRÍTICO",IF(K4006&lt;0,"ATENÇÃO",IF(K4006&lt;=5,"OPORTUNO","MUITO BOM")))</f>
        <v>OPORTUNO</v>
      </c>
      <c r="M4006">
        <v>0</v>
      </c>
      <c r="N4006">
        <v>95.65</v>
      </c>
      <c r="O4006">
        <v>32.432432432432442</v>
      </c>
    </row>
    <row r="4007" spans="1:15" hidden="1" x14ac:dyDescent="0.25">
      <c r="A4007" s="11">
        <v>46127</v>
      </c>
      <c r="B4007" t="s">
        <v>55</v>
      </c>
      <c r="C4007" t="s">
        <v>48</v>
      </c>
      <c r="D4007">
        <v>27</v>
      </c>
      <c r="E4007">
        <v>24</v>
      </c>
      <c r="F4007">
        <v>19.04</v>
      </c>
      <c r="G4007">
        <v>0</v>
      </c>
      <c r="H4007">
        <v>0</v>
      </c>
      <c r="I4007" s="3">
        <f>E4007+G4007+H4007</f>
        <v>24</v>
      </c>
      <c r="J4007" s="3">
        <f>ROUND(MIN(IF(C4007="Técnico III",35,IF(C4007="Técnico II",28,IF(C4007="Técnico I",23,IF(C4007="JR",20,IF(C4007="Estágio",10,0))))),IF(C4007="Técnico III",SUMIFS($D:$D,$A:$A,$A4007,$B:$B,"&lt;&gt;Patrícia Karla de Sousa Araújo",$B:$B,"&lt;&gt;Lorena Dias de Araujo",$B:$B,"&lt;&gt;Lucas Luiz Romero")*(35/1083),IF(C4007="Técnico II",SUMIFS($D:$D,$A:$A,$A4007,$B:$B,"&lt;&gt;Patrícia Karla de Sousa Araújo",$B:$B,"&lt;&gt;Lorena Dias de Araujo",$B:$B,"&lt;&gt;Lucas Luiz Romero")*(28/1083),IF(C4007="Técnico I",SUMIFS($D:$D,$A:$A,$A4007,$B:$B,"&lt;&gt;Patrícia Karla de Sousa Araújo",$B:$B,"&lt;&gt;Lorena Dias de Araujo",$B:$B,"&lt;&gt;Lucas Luiz Romero")*(23/1083),IF(C4007="JR",SUMIFS($D:$D,$A:$A,$A4007,$B:$B,"&lt;&gt;Patrícia Karla de Sousa Araújo",$B:$B,"&lt;&gt;Lorena Dias de Araujo",$B:$B,"&lt;&gt;Lucas Luiz Romero")*(20/1083),IF(C4007="Estágio",SUMIFS($D:$D,$A:$A,$A4007,$B:$B,"&lt;&gt;Patrícia Karla de Sousa Araújo",$B:$B,"&lt;&gt;Lorena Dias de Araujo",$B:$B,"&lt;&gt;Lucas Luiz Romero")*(10/1083),0)))))),0)</f>
        <v>26</v>
      </c>
      <c r="K4007" s="3">
        <f>I4007-J4007</f>
        <v>-2</v>
      </c>
      <c r="L4007" s="3" t="str">
        <f>IF(K4007&lt;-5,"CRÍTICO",IF(K4007&lt;0,"ATENÇÃO",IF(K4007&lt;=5,"OPORTUNO","MUITO BOM")))</f>
        <v>ATENÇÃO</v>
      </c>
      <c r="M4007">
        <v>23</v>
      </c>
      <c r="N4007">
        <v>98.81</v>
      </c>
      <c r="O4007">
        <v>26.256983240223459</v>
      </c>
    </row>
    <row r="4008" spans="1:15" hidden="1" x14ac:dyDescent="0.25">
      <c r="A4008" s="11">
        <v>46127</v>
      </c>
      <c r="B4008" t="s">
        <v>39</v>
      </c>
      <c r="C4008" t="s">
        <v>32</v>
      </c>
      <c r="D4008">
        <v>0</v>
      </c>
      <c r="E4008">
        <v>0</v>
      </c>
      <c r="F4008">
        <v>0</v>
      </c>
      <c r="G4008">
        <v>0</v>
      </c>
      <c r="H4008">
        <v>0</v>
      </c>
      <c r="I4008" s="3">
        <v>0</v>
      </c>
      <c r="J4008" s="3">
        <v>0</v>
      </c>
      <c r="K4008" s="3">
        <v>0</v>
      </c>
      <c r="L4008" s="3" t="str">
        <f>IF(K4008&lt;-5,"CRÍTICO",IF(K4008&lt;0,"ATENÇÃO",IF(K4008&lt;=5,"OPORTUNO","MUITO BOM")))</f>
        <v>OPORTUNO</v>
      </c>
      <c r="M4008">
        <v>0</v>
      </c>
      <c r="N4008">
        <v>0</v>
      </c>
      <c r="O4008">
        <v>0</v>
      </c>
    </row>
    <row r="4009" spans="1:15" hidden="1" x14ac:dyDescent="0.25">
      <c r="A4009" s="11">
        <v>46127</v>
      </c>
      <c r="B4009" t="s">
        <v>25</v>
      </c>
      <c r="C4009" t="s">
        <v>26</v>
      </c>
      <c r="D4009">
        <v>26</v>
      </c>
      <c r="E4009">
        <v>21</v>
      </c>
      <c r="F4009">
        <v>21.48</v>
      </c>
      <c r="G4009">
        <v>0</v>
      </c>
      <c r="H4009">
        <v>0</v>
      </c>
      <c r="I4009" s="3">
        <f>E4009+G4009+H4009</f>
        <v>21</v>
      </c>
      <c r="J4009" s="3">
        <f>ROUND(MIN(IF(C4009="Técnico III",35,IF(C4009="Técnico II",28,IF(C4009="Técnico I",23,IF(C4009="JR",20,IF(C4009="Estágio",10,0))))),IF(C4009="Técnico III",SUMIFS($D:$D,$A:$A,$A4009,$B:$B,"&lt;&gt;Patrícia Karla de Sousa Araújo",$B:$B,"&lt;&gt;Lorena Dias de Araujo",$B:$B,"&lt;&gt;Lucas Luiz Romero")*(35/1083),IF(C4009="Técnico II",SUMIFS($D:$D,$A:$A,$A4009,$B:$B,"&lt;&gt;Patrícia Karla de Sousa Araújo",$B:$B,"&lt;&gt;Lorena Dias de Araujo",$B:$B,"&lt;&gt;Lucas Luiz Romero")*(28/1083),IF(C4009="Técnico I",SUMIFS($D:$D,$A:$A,$A4009,$B:$B,"&lt;&gt;Patrícia Karla de Sousa Araújo",$B:$B,"&lt;&gt;Lorena Dias de Araujo",$B:$B,"&lt;&gt;Lucas Luiz Romero")*(23/1083),IF(C4009="JR",SUMIFS($D:$D,$A:$A,$A4009,$B:$B,"&lt;&gt;Patrícia Karla de Sousa Araújo",$B:$B,"&lt;&gt;Lorena Dias de Araujo",$B:$B,"&lt;&gt;Lucas Luiz Romero")*(20/1083),IF(C4009="Estágio",SUMIFS($D:$D,$A:$A,$A4009,$B:$B,"&lt;&gt;Patrícia Karla de Sousa Araújo",$B:$B,"&lt;&gt;Lorena Dias de Araujo",$B:$B,"&lt;&gt;Lucas Luiz Romero")*(10/1083),0)))))),0)</f>
        <v>18</v>
      </c>
      <c r="K4009" s="3">
        <f>I4009-J4009</f>
        <v>3</v>
      </c>
      <c r="L4009" s="3" t="str">
        <f>IF(K4009&lt;-5,"CRÍTICO",IF(K4009&lt;0,"ATENÇÃO",IF(K4009&lt;=5,"OPORTUNO","MUITO BOM")))</f>
        <v>OPORTUNO</v>
      </c>
      <c r="M4009">
        <v>23</v>
      </c>
      <c r="N4009">
        <v>97.17</v>
      </c>
      <c r="O4009">
        <v>28.81844380403458</v>
      </c>
    </row>
    <row r="4010" spans="1:15" hidden="1" x14ac:dyDescent="0.25">
      <c r="A4010" s="11">
        <v>46127</v>
      </c>
      <c r="B4010" t="s">
        <v>40</v>
      </c>
      <c r="C4010" t="s">
        <v>32</v>
      </c>
      <c r="D4010">
        <v>0</v>
      </c>
      <c r="E4010">
        <v>0</v>
      </c>
      <c r="F4010">
        <v>0</v>
      </c>
      <c r="G4010">
        <v>0</v>
      </c>
      <c r="H4010">
        <v>0</v>
      </c>
      <c r="I4010" s="3">
        <v>0</v>
      </c>
      <c r="J4010" s="3">
        <v>0</v>
      </c>
      <c r="K4010" s="3">
        <v>0</v>
      </c>
      <c r="L4010" s="3" t="str">
        <f>IF(K4010&lt;-5,"CRÍTICO",IF(K4010&lt;0,"ATENÇÃO",IF(K4010&lt;=5,"OPORTUNO","MUITO BOM")))</f>
        <v>OPORTUNO</v>
      </c>
      <c r="M4010">
        <v>44</v>
      </c>
      <c r="N4010">
        <v>96.81</v>
      </c>
      <c r="O4010">
        <v>48.018648018648022</v>
      </c>
    </row>
    <row r="4011" spans="1:15" hidden="1" x14ac:dyDescent="0.25">
      <c r="A4011" s="11">
        <v>46127</v>
      </c>
      <c r="B4011" t="s">
        <v>27</v>
      </c>
      <c r="C4011" t="s">
        <v>26</v>
      </c>
      <c r="D4011">
        <v>14</v>
      </c>
      <c r="E4011">
        <v>13</v>
      </c>
      <c r="F4011">
        <v>33.31</v>
      </c>
      <c r="G4011">
        <v>0</v>
      </c>
      <c r="H4011">
        <v>0</v>
      </c>
      <c r="I4011" s="3">
        <f>E4011+G4011+H4011</f>
        <v>13</v>
      </c>
      <c r="J4011" s="3">
        <f>ROUND(MIN(IF(C4011="Técnico III",35,IF(C4011="Técnico II",28,IF(C4011="Técnico I",23,IF(C4011="JR",20,IF(C4011="Estágio",10,0))))),IF(C4011="Técnico III",SUMIFS($D:$D,$A:$A,$A4011,$B:$B,"&lt;&gt;Patrícia Karla de Sousa Araújo",$B:$B,"&lt;&gt;Lorena Dias de Araujo",$B:$B,"&lt;&gt;Lucas Luiz Romero")*(35/1083),IF(C4011="Técnico II",SUMIFS($D:$D,$A:$A,$A4011,$B:$B,"&lt;&gt;Patrícia Karla de Sousa Araújo",$B:$B,"&lt;&gt;Lorena Dias de Araujo",$B:$B,"&lt;&gt;Lucas Luiz Romero")*(28/1083),IF(C4011="Técnico I",SUMIFS($D:$D,$A:$A,$A4011,$B:$B,"&lt;&gt;Patrícia Karla de Sousa Araújo",$B:$B,"&lt;&gt;Lorena Dias de Araujo",$B:$B,"&lt;&gt;Lucas Luiz Romero")*(23/1083),IF(C4011="JR",SUMIFS($D:$D,$A:$A,$A4011,$B:$B,"&lt;&gt;Patrícia Karla de Sousa Araújo",$B:$B,"&lt;&gt;Lorena Dias de Araujo",$B:$B,"&lt;&gt;Lucas Luiz Romero")*(20/1083),IF(C4011="Estágio",SUMIFS($D:$D,$A:$A,$A4011,$B:$B,"&lt;&gt;Patrícia Karla de Sousa Araújo",$B:$B,"&lt;&gt;Lorena Dias de Araujo",$B:$B,"&lt;&gt;Lucas Luiz Romero")*(10/1083),0)))))),0)</f>
        <v>18</v>
      </c>
      <c r="K4011" s="3">
        <f>I4011-J4011</f>
        <v>-5</v>
      </c>
      <c r="L4011" s="3" t="str">
        <f>IF(K4011&lt;-5,"CRÍTICO",IF(K4011&lt;0,"ATENÇÃO",IF(K4011&lt;=5,"OPORTUNO","MUITO BOM")))</f>
        <v>ATENÇÃO</v>
      </c>
      <c r="M4011">
        <v>12</v>
      </c>
      <c r="N4011">
        <v>98.15</v>
      </c>
      <c r="O4011">
        <v>27.1551724137931</v>
      </c>
    </row>
    <row r="4012" spans="1:15" hidden="1" x14ac:dyDescent="0.25">
      <c r="A4012" s="11">
        <v>46127</v>
      </c>
      <c r="B4012" t="s">
        <v>41</v>
      </c>
      <c r="C4012" t="s">
        <v>32</v>
      </c>
      <c r="D4012">
        <v>28</v>
      </c>
      <c r="E4012">
        <v>28</v>
      </c>
      <c r="F4012">
        <v>18.45</v>
      </c>
      <c r="G4012">
        <v>0</v>
      </c>
      <c r="H4012">
        <v>0</v>
      </c>
      <c r="I4012" s="3">
        <f>E4012+G4012+H4012</f>
        <v>28</v>
      </c>
      <c r="J4012" s="3">
        <f>ROUND(MIN(IF(C4012="Técnico III",35,IF(C4012="Técnico II",28,IF(C4012="Técnico I",23,IF(C4012="JR",20,IF(C4012="Estágio",10,0))))),IF(C4012="Técnico III",SUMIFS($D:$D,$A:$A,$A4012,$B:$B,"&lt;&gt;Patrícia Karla de Sousa Araújo",$B:$B,"&lt;&gt;Lorena Dias de Araujo",$B:$B,"&lt;&gt;Lucas Luiz Romero")*(35/1083),IF(C4012="Técnico II",SUMIFS($D:$D,$A:$A,$A4012,$B:$B,"&lt;&gt;Patrícia Karla de Sousa Araújo",$B:$B,"&lt;&gt;Lorena Dias de Araujo",$B:$B,"&lt;&gt;Lucas Luiz Romero")*(28/1083),IF(C4012="Técnico I",SUMIFS($D:$D,$A:$A,$A4012,$B:$B,"&lt;&gt;Patrícia Karla de Sousa Araújo",$B:$B,"&lt;&gt;Lorena Dias de Araujo",$B:$B,"&lt;&gt;Lucas Luiz Romero")*(23/1083),IF(C4012="JR",SUMIFS($D:$D,$A:$A,$A4012,$B:$B,"&lt;&gt;Patrícia Karla de Sousa Araújo",$B:$B,"&lt;&gt;Lorena Dias de Araujo",$B:$B,"&lt;&gt;Lucas Luiz Romero")*(20/1083),IF(C4012="Estágio",SUMIFS($D:$D,$A:$A,$A4012,$B:$B,"&lt;&gt;Patrícia Karla de Sousa Araújo",$B:$B,"&lt;&gt;Lorena Dias de Araujo",$B:$B,"&lt;&gt;Lucas Luiz Romero")*(10/1083),0)))))),0)</f>
        <v>32</v>
      </c>
      <c r="K4012" s="3">
        <f>I4012-J4012</f>
        <v>-4</v>
      </c>
      <c r="L4012" s="3" t="str">
        <f>IF(K4012&lt;-5,"CRÍTICO",IF(K4012&lt;0,"ATENÇÃO",IF(K4012&lt;=5,"OPORTUNO","MUITO BOM")))</f>
        <v>ATENÇÃO</v>
      </c>
      <c r="M4012">
        <v>25</v>
      </c>
      <c r="N4012">
        <v>99.15</v>
      </c>
      <c r="O4012">
        <v>27.586206896551719</v>
      </c>
    </row>
    <row r="4013" spans="1:15" hidden="1" x14ac:dyDescent="0.25">
      <c r="A4013" s="11">
        <v>46127</v>
      </c>
      <c r="B4013" t="s">
        <v>56</v>
      </c>
      <c r="C4013" t="s">
        <v>48</v>
      </c>
      <c r="D4013">
        <v>30</v>
      </c>
      <c r="E4013">
        <v>27</v>
      </c>
      <c r="F4013">
        <v>13.33</v>
      </c>
      <c r="G4013">
        <v>0</v>
      </c>
      <c r="H4013">
        <v>0</v>
      </c>
      <c r="I4013" s="3">
        <f>E4013+G4013+H4013</f>
        <v>27</v>
      </c>
      <c r="J4013" s="3">
        <f>ROUND(MIN(IF(C4013="Técnico III",35,IF(C4013="Técnico II",28,IF(C4013="Técnico I",23,IF(C4013="JR",20,IF(C4013="Estágio",10,0))))),IF(C4013="Técnico III",SUMIFS($D:$D,$A:$A,$A4013,$B:$B,"&lt;&gt;Patrícia Karla de Sousa Araújo",$B:$B,"&lt;&gt;Lorena Dias de Araujo",$B:$B,"&lt;&gt;Lucas Luiz Romero")*(35/1083),IF(C4013="Técnico II",SUMIFS($D:$D,$A:$A,$A4013,$B:$B,"&lt;&gt;Patrícia Karla de Sousa Araújo",$B:$B,"&lt;&gt;Lorena Dias de Araujo",$B:$B,"&lt;&gt;Lucas Luiz Romero")*(28/1083),IF(C4013="Técnico I",SUMIFS($D:$D,$A:$A,$A4013,$B:$B,"&lt;&gt;Patrícia Karla de Sousa Araújo",$B:$B,"&lt;&gt;Lorena Dias de Araujo",$B:$B,"&lt;&gt;Lucas Luiz Romero")*(23/1083),IF(C4013="JR",SUMIFS($D:$D,$A:$A,$A4013,$B:$B,"&lt;&gt;Patrícia Karla de Sousa Araújo",$B:$B,"&lt;&gt;Lorena Dias de Araujo",$B:$B,"&lt;&gt;Lucas Luiz Romero")*(20/1083),IF(C4013="Estágio",SUMIFS($D:$D,$A:$A,$A4013,$B:$B,"&lt;&gt;Patrícia Karla de Sousa Araújo",$B:$B,"&lt;&gt;Lorena Dias de Araujo",$B:$B,"&lt;&gt;Lucas Luiz Romero")*(10/1083),0)))))),0)</f>
        <v>26</v>
      </c>
      <c r="K4013" s="3">
        <f>I4013-J4013</f>
        <v>1</v>
      </c>
      <c r="L4013" s="3" t="str">
        <f>IF(K4013&lt;-5,"CRÍTICO",IF(K4013&lt;0,"ATENÇÃO",IF(K4013&lt;=5,"OPORTUNO","MUITO BOM")))</f>
        <v>OPORTUNO</v>
      </c>
      <c r="M4013">
        <v>32</v>
      </c>
      <c r="N4013">
        <v>99.17</v>
      </c>
      <c r="O4013">
        <v>29.75206611570248</v>
      </c>
    </row>
    <row r="4014" spans="1:15" hidden="1" x14ac:dyDescent="0.25">
      <c r="A4014" s="11">
        <v>46127</v>
      </c>
      <c r="B4014" t="s">
        <v>57</v>
      </c>
      <c r="C4014" t="s">
        <v>48</v>
      </c>
      <c r="D4014">
        <v>0</v>
      </c>
      <c r="E4014">
        <v>0</v>
      </c>
      <c r="F4014">
        <v>0</v>
      </c>
      <c r="G4014">
        <v>0</v>
      </c>
      <c r="H4014">
        <v>0</v>
      </c>
      <c r="I4014" s="3">
        <v>0</v>
      </c>
      <c r="J4014" s="3">
        <v>0</v>
      </c>
      <c r="K4014" s="3">
        <v>0</v>
      </c>
      <c r="L4014" s="3" t="str">
        <f>IF(K4014&lt;-5,"CRÍTICO",IF(K4014&lt;0,"ATENÇÃO",IF(K4014&lt;=5,"OPORTUNO","MUITO BOM")))</f>
        <v>OPORTUNO</v>
      </c>
      <c r="M4014">
        <v>0</v>
      </c>
      <c r="N4014">
        <v>98.73</v>
      </c>
      <c r="O4014">
        <v>28.961748633879779</v>
      </c>
    </row>
    <row r="4015" spans="1:15" hidden="1" x14ac:dyDescent="0.25">
      <c r="A4015" s="11">
        <v>46127</v>
      </c>
      <c r="B4015" t="s">
        <v>42</v>
      </c>
      <c r="C4015" t="s">
        <v>32</v>
      </c>
      <c r="D4015">
        <v>39</v>
      </c>
      <c r="E4015">
        <v>33</v>
      </c>
      <c r="F4015">
        <v>16.559999999999999</v>
      </c>
      <c r="G4015">
        <v>0</v>
      </c>
      <c r="H4015">
        <v>0</v>
      </c>
      <c r="I4015" s="3">
        <f>E4015+G4015+H4015</f>
        <v>33</v>
      </c>
      <c r="J4015" s="3">
        <f>ROUND(MIN(IF(C4015="Técnico III",35,IF(C4015="Técnico II",28,IF(C4015="Técnico I",23,IF(C4015="JR",20,IF(C4015="Estágio",10,0))))),IF(C4015="Técnico III",SUMIFS($D:$D,$A:$A,$A4015,$B:$B,"&lt;&gt;Patrícia Karla de Sousa Araújo",$B:$B,"&lt;&gt;Lorena Dias de Araujo",$B:$B,"&lt;&gt;Lucas Luiz Romero")*(35/1083),IF(C4015="Técnico II",SUMIFS($D:$D,$A:$A,$A4015,$B:$B,"&lt;&gt;Patrícia Karla de Sousa Araújo",$B:$B,"&lt;&gt;Lorena Dias de Araujo",$B:$B,"&lt;&gt;Lucas Luiz Romero")*(28/1083),IF(C4015="Técnico I",SUMIFS($D:$D,$A:$A,$A4015,$B:$B,"&lt;&gt;Patrícia Karla de Sousa Araújo",$B:$B,"&lt;&gt;Lorena Dias de Araujo",$B:$B,"&lt;&gt;Lucas Luiz Romero")*(23/1083),IF(C4015="JR",SUMIFS($D:$D,$A:$A,$A4015,$B:$B,"&lt;&gt;Patrícia Karla de Sousa Araújo",$B:$B,"&lt;&gt;Lorena Dias de Araujo",$B:$B,"&lt;&gt;Lucas Luiz Romero")*(20/1083),IF(C4015="Estágio",SUMIFS($D:$D,$A:$A,$A4015,$B:$B,"&lt;&gt;Patrícia Karla de Sousa Araújo",$B:$B,"&lt;&gt;Lorena Dias de Araujo",$B:$B,"&lt;&gt;Lucas Luiz Romero")*(10/1083),0)))))),0)</f>
        <v>32</v>
      </c>
      <c r="K4015" s="3">
        <f>I4015-J4015</f>
        <v>1</v>
      </c>
      <c r="L4015" s="3" t="str">
        <f>IF(K4015&lt;-5,"CRÍTICO",IF(K4015&lt;0,"ATENÇÃO",IF(K4015&lt;=5,"OPORTUNO","MUITO BOM")))</f>
        <v>OPORTUNO</v>
      </c>
      <c r="M4015">
        <v>27</v>
      </c>
      <c r="N4015">
        <v>88.68</v>
      </c>
      <c r="O4015">
        <v>22.03389830508474</v>
      </c>
    </row>
    <row r="4016" spans="1:15" hidden="1" x14ac:dyDescent="0.25">
      <c r="A4016" s="11">
        <v>46127</v>
      </c>
      <c r="B4016" t="s">
        <v>62</v>
      </c>
      <c r="C4016" t="s">
        <v>23</v>
      </c>
      <c r="D4016">
        <v>21</v>
      </c>
      <c r="E4016">
        <v>20</v>
      </c>
      <c r="F4016">
        <v>33.46</v>
      </c>
      <c r="G4016">
        <v>0</v>
      </c>
      <c r="H4016">
        <v>0</v>
      </c>
      <c r="I4016" s="3">
        <f>E4016+G4016+H4016</f>
        <v>20</v>
      </c>
      <c r="J4016" s="3">
        <f>ROUND(MIN(IF(C4016="Técnico III",35,IF(C4016="Técnico II",28,IF(C4016="Técnico I",23,IF(C4016="JR",20,IF(C4016="Estágio",10,0))))),IF(C4016="Técnico III",SUMIFS($D:$D,$A:$A,$A4016,$B:$B,"&lt;&gt;Patrícia Karla de Sousa Araújo",$B:$B,"&lt;&gt;Lorena Dias de Araujo",$B:$B,"&lt;&gt;Lucas Luiz Romero")*(35/1083),IF(C4016="Técnico II",SUMIFS($D:$D,$A:$A,$A4016,$B:$B,"&lt;&gt;Patrícia Karla de Sousa Araújo",$B:$B,"&lt;&gt;Lorena Dias de Araujo",$B:$B,"&lt;&gt;Lucas Luiz Romero")*(28/1083),IF(C4016="Técnico I",SUMIFS($D:$D,$A:$A,$A4016,$B:$B,"&lt;&gt;Patrícia Karla de Sousa Araújo",$B:$B,"&lt;&gt;Lorena Dias de Araujo",$B:$B,"&lt;&gt;Lucas Luiz Romero")*(23/1083),IF(C4016="JR",SUMIFS($D:$D,$A:$A,$A4016,$B:$B,"&lt;&gt;Patrícia Karla de Sousa Araújo",$B:$B,"&lt;&gt;Lorena Dias de Araujo",$B:$B,"&lt;&gt;Lucas Luiz Romero")*(20/1083),IF(C4016="Estágio",SUMIFS($D:$D,$A:$A,$A4016,$B:$B,"&lt;&gt;Patrícia Karla de Sousa Araújo",$B:$B,"&lt;&gt;Lorena Dias de Araujo",$B:$B,"&lt;&gt;Lucas Luiz Romero")*(10/1083),0)))))),0)</f>
        <v>21</v>
      </c>
      <c r="K4016" s="3">
        <f>I4016-J4016</f>
        <v>-1</v>
      </c>
      <c r="L4016" s="3" t="str">
        <f>IF(K4016&lt;-5,"CRÍTICO",IF(K4016&lt;0,"ATENÇÃO",IF(K4016&lt;=5,"OPORTUNO","MUITO BOM")))</f>
        <v>ATENÇÃO</v>
      </c>
      <c r="M4016">
        <v>17</v>
      </c>
      <c r="N4016">
        <v>97.37</v>
      </c>
      <c r="O4016">
        <v>25.76530612244898</v>
      </c>
    </row>
    <row r="4017" spans="1:15" hidden="1" x14ac:dyDescent="0.25">
      <c r="A4017" s="11">
        <v>46127</v>
      </c>
      <c r="B4017" t="s">
        <v>19</v>
      </c>
      <c r="C4017" t="s">
        <v>16</v>
      </c>
      <c r="D4017">
        <v>36</v>
      </c>
      <c r="E4017">
        <v>18</v>
      </c>
      <c r="F4017">
        <v>7.05</v>
      </c>
      <c r="G4017">
        <v>0</v>
      </c>
      <c r="H4017">
        <v>0</v>
      </c>
      <c r="I4017" s="3">
        <f>E4017+G4017+H4017</f>
        <v>18</v>
      </c>
      <c r="J4017" s="3">
        <f>ROUND(MIN(IF(C4017="Técnico III",35,IF(C4017="Técnico II",28,IF(C4017="Técnico I",23,IF(C4017="JR",20,IF(C4017="Estágio",10,0))))),IF(C4017="Técnico III",SUMIFS($D:$D,$A:$A,$A4017,$B:$B,"&lt;&gt;Patrícia Karla de Sousa Araújo",$B:$B,"&lt;&gt;Lorena Dias de Araujo",$B:$B,"&lt;&gt;Lucas Luiz Romero")*(35/1083),IF(C4017="Técnico II",SUMIFS($D:$D,$A:$A,$A4017,$B:$B,"&lt;&gt;Patrícia Karla de Sousa Araújo",$B:$B,"&lt;&gt;Lorena Dias de Araujo",$B:$B,"&lt;&gt;Lucas Luiz Romero")*(28/1083),IF(C4017="Técnico I",SUMIFS($D:$D,$A:$A,$A4017,$B:$B,"&lt;&gt;Patrícia Karla de Sousa Araújo",$B:$B,"&lt;&gt;Lorena Dias de Araujo",$B:$B,"&lt;&gt;Lucas Luiz Romero")*(23/1083),IF(C4017="JR",SUMIFS($D:$D,$A:$A,$A4017,$B:$B,"&lt;&gt;Patrícia Karla de Sousa Araújo",$B:$B,"&lt;&gt;Lorena Dias de Araujo",$B:$B,"&lt;&gt;Lucas Luiz Romero")*(20/1083),IF(C4017="Estágio",SUMIFS($D:$D,$A:$A,$A4017,$B:$B,"&lt;&gt;Patrícia Karla de Sousa Araújo",$B:$B,"&lt;&gt;Lorena Dias de Araujo",$B:$B,"&lt;&gt;Lucas Luiz Romero")*(10/1083),0)))))),0)</f>
        <v>9</v>
      </c>
      <c r="K4017" s="3">
        <f>I4017-J4017</f>
        <v>9</v>
      </c>
      <c r="L4017" s="3" t="str">
        <f>IF(K4017&lt;-5,"CRÍTICO",IF(K4017&lt;0,"ATENÇÃO",IF(K4017&lt;=5,"OPORTUNO","MUITO BOM")))</f>
        <v>MUITO BOM</v>
      </c>
      <c r="M4017">
        <v>6</v>
      </c>
      <c r="N4017">
        <v>100</v>
      </c>
      <c r="O4017">
        <v>25</v>
      </c>
    </row>
    <row r="4018" spans="1:15" hidden="1" x14ac:dyDescent="0.25">
      <c r="A4018" s="11">
        <v>46127</v>
      </c>
      <c r="B4018" t="s">
        <v>43</v>
      </c>
      <c r="C4018" t="s">
        <v>32</v>
      </c>
      <c r="D4018">
        <v>30</v>
      </c>
      <c r="E4018">
        <v>28</v>
      </c>
      <c r="F4018">
        <v>13.55</v>
      </c>
      <c r="G4018">
        <v>0</v>
      </c>
      <c r="H4018">
        <v>0</v>
      </c>
      <c r="I4018" s="3">
        <f>E4018+G4018+H4018</f>
        <v>28</v>
      </c>
      <c r="J4018" s="3">
        <f>ROUND(MIN(IF(C4018="Técnico III",35,IF(C4018="Técnico II",28,IF(C4018="Técnico I",23,IF(C4018="JR",20,IF(C4018="Estágio",10,0))))),IF(C4018="Técnico III",SUMIFS($D:$D,$A:$A,$A4018,$B:$B,"&lt;&gt;Patrícia Karla de Sousa Araújo",$B:$B,"&lt;&gt;Lorena Dias de Araujo",$B:$B,"&lt;&gt;Lucas Luiz Romero")*(35/1083),IF(C4018="Técnico II",SUMIFS($D:$D,$A:$A,$A4018,$B:$B,"&lt;&gt;Patrícia Karla de Sousa Araújo",$B:$B,"&lt;&gt;Lorena Dias de Araujo",$B:$B,"&lt;&gt;Lucas Luiz Romero")*(28/1083),IF(C4018="Técnico I",SUMIFS($D:$D,$A:$A,$A4018,$B:$B,"&lt;&gt;Patrícia Karla de Sousa Araújo",$B:$B,"&lt;&gt;Lorena Dias de Araujo",$B:$B,"&lt;&gt;Lucas Luiz Romero")*(23/1083),IF(C4018="JR",SUMIFS($D:$D,$A:$A,$A4018,$B:$B,"&lt;&gt;Patrícia Karla de Sousa Araújo",$B:$B,"&lt;&gt;Lorena Dias de Araujo",$B:$B,"&lt;&gt;Lucas Luiz Romero")*(20/1083),IF(C4018="Estágio",SUMIFS($D:$D,$A:$A,$A4018,$B:$B,"&lt;&gt;Patrícia Karla de Sousa Araújo",$B:$B,"&lt;&gt;Lorena Dias de Araujo",$B:$B,"&lt;&gt;Lucas Luiz Romero")*(10/1083),0)))))),0)</f>
        <v>32</v>
      </c>
      <c r="K4018" s="3">
        <f>I4018-J4018</f>
        <v>-4</v>
      </c>
      <c r="L4018" s="3" t="str">
        <f>IF(K4018&lt;-5,"CRÍTICO",IF(K4018&lt;0,"ATENÇÃO",IF(K4018&lt;=5,"OPORTUNO","MUITO BOM")))</f>
        <v>ATENÇÃO</v>
      </c>
      <c r="M4018">
        <v>39</v>
      </c>
      <c r="N4018">
        <v>100</v>
      </c>
      <c r="O4018">
        <v>23.9870340356564</v>
      </c>
    </row>
    <row r="4019" spans="1:15" hidden="1" x14ac:dyDescent="0.25">
      <c r="A4019" s="11">
        <v>46127</v>
      </c>
      <c r="B4019" t="s">
        <v>44</v>
      </c>
      <c r="C4019" t="s">
        <v>32</v>
      </c>
      <c r="D4019">
        <v>36</v>
      </c>
      <c r="E4019">
        <v>34</v>
      </c>
      <c r="F4019">
        <v>15.23</v>
      </c>
      <c r="G4019">
        <v>0</v>
      </c>
      <c r="H4019">
        <v>0</v>
      </c>
      <c r="I4019" s="3">
        <f>E4019+G4019+H4019</f>
        <v>34</v>
      </c>
      <c r="J4019" s="3">
        <f>ROUND(MIN(IF(C4019="Técnico III",35,IF(C4019="Técnico II",28,IF(C4019="Técnico I",23,IF(C4019="JR",20,IF(C4019="Estágio",10,0))))),IF(C4019="Técnico III",SUMIFS($D:$D,$A:$A,$A4019,$B:$B,"&lt;&gt;Patrícia Karla de Sousa Araújo",$B:$B,"&lt;&gt;Lorena Dias de Araujo",$B:$B,"&lt;&gt;Lucas Luiz Romero")*(35/1083),IF(C4019="Técnico II",SUMIFS($D:$D,$A:$A,$A4019,$B:$B,"&lt;&gt;Patrícia Karla de Sousa Araújo",$B:$B,"&lt;&gt;Lorena Dias de Araujo",$B:$B,"&lt;&gt;Lucas Luiz Romero")*(28/1083),IF(C4019="Técnico I",SUMIFS($D:$D,$A:$A,$A4019,$B:$B,"&lt;&gt;Patrícia Karla de Sousa Araújo",$B:$B,"&lt;&gt;Lorena Dias de Araujo",$B:$B,"&lt;&gt;Lucas Luiz Romero")*(23/1083),IF(C4019="JR",SUMIFS($D:$D,$A:$A,$A4019,$B:$B,"&lt;&gt;Patrícia Karla de Sousa Araújo",$B:$B,"&lt;&gt;Lorena Dias de Araujo",$B:$B,"&lt;&gt;Lucas Luiz Romero")*(20/1083),IF(C4019="Estágio",SUMIFS($D:$D,$A:$A,$A4019,$B:$B,"&lt;&gt;Patrícia Karla de Sousa Araújo",$B:$B,"&lt;&gt;Lorena Dias de Araujo",$B:$B,"&lt;&gt;Lucas Luiz Romero")*(10/1083),0)))))),0)</f>
        <v>32</v>
      </c>
      <c r="K4019" s="3">
        <f>I4019-J4019</f>
        <v>2</v>
      </c>
      <c r="L4019" s="3" t="str">
        <f>IF(K4019&lt;-5,"CRÍTICO",IF(K4019&lt;0,"ATENÇÃO",IF(K4019&lt;=5,"OPORTUNO","MUITO BOM")))</f>
        <v>OPORTUNO</v>
      </c>
      <c r="M4019">
        <v>51</v>
      </c>
      <c r="N4019">
        <v>95.49</v>
      </c>
      <c r="O4019">
        <v>28.370221327967808</v>
      </c>
    </row>
    <row r="4020" spans="1:15" hidden="1" x14ac:dyDescent="0.25">
      <c r="A4020" s="11">
        <v>46127</v>
      </c>
      <c r="B4020" t="s">
        <v>20</v>
      </c>
      <c r="C4020" t="s">
        <v>16</v>
      </c>
      <c r="D4020">
        <v>19</v>
      </c>
      <c r="E4020">
        <v>19</v>
      </c>
      <c r="F4020">
        <v>30.04</v>
      </c>
      <c r="G4020">
        <v>0</v>
      </c>
      <c r="H4020">
        <v>0</v>
      </c>
      <c r="I4020" s="3">
        <f>E4020+G4020+H4020</f>
        <v>19</v>
      </c>
      <c r="J4020" s="3">
        <f>ROUND(MIN(IF(C4020="Técnico III",35,IF(C4020="Técnico II",28,IF(C4020="Técnico I",23,IF(C4020="JR",20,IF(C4020="Estágio",10,0))))),IF(C4020="Técnico III",SUMIFS($D:$D,$A:$A,$A4020,$B:$B,"&lt;&gt;Patrícia Karla de Sousa Araújo",$B:$B,"&lt;&gt;Lorena Dias de Araujo",$B:$B,"&lt;&gt;Lucas Luiz Romero")*(35/1083),IF(C4020="Técnico II",SUMIFS($D:$D,$A:$A,$A4020,$B:$B,"&lt;&gt;Patrícia Karla de Sousa Araújo",$B:$B,"&lt;&gt;Lorena Dias de Araujo",$B:$B,"&lt;&gt;Lucas Luiz Romero")*(28/1083),IF(C4020="Técnico I",SUMIFS($D:$D,$A:$A,$A4020,$B:$B,"&lt;&gt;Patrícia Karla de Sousa Araújo",$B:$B,"&lt;&gt;Lorena Dias de Araujo",$B:$B,"&lt;&gt;Lucas Luiz Romero")*(23/1083),IF(C4020="JR",SUMIFS($D:$D,$A:$A,$A4020,$B:$B,"&lt;&gt;Patrícia Karla de Sousa Araújo",$B:$B,"&lt;&gt;Lorena Dias de Araujo",$B:$B,"&lt;&gt;Lucas Luiz Romero")*(20/1083),IF(C4020="Estágio",SUMIFS($D:$D,$A:$A,$A4020,$B:$B,"&lt;&gt;Patrícia Karla de Sousa Araújo",$B:$B,"&lt;&gt;Lorena Dias de Araujo",$B:$B,"&lt;&gt;Lucas Luiz Romero")*(10/1083),0)))))),0)</f>
        <v>9</v>
      </c>
      <c r="K4020" s="3">
        <f>I4020-J4020</f>
        <v>10</v>
      </c>
      <c r="L4020" s="3" t="str">
        <f>IF(K4020&lt;-5,"CRÍTICO",IF(K4020&lt;0,"ATENÇÃO",IF(K4020&lt;=5,"OPORTUNO","MUITO BOM")))</f>
        <v>MUITO BOM</v>
      </c>
      <c r="M4020">
        <v>15</v>
      </c>
      <c r="N4020">
        <v>100</v>
      </c>
      <c r="O4020">
        <v>23.77622377622378</v>
      </c>
    </row>
    <row r="4021" spans="1:15" hidden="1" x14ac:dyDescent="0.25">
      <c r="A4021" s="11">
        <v>46127</v>
      </c>
      <c r="B4021" t="s">
        <v>28</v>
      </c>
      <c r="C4021" t="s">
        <v>26</v>
      </c>
      <c r="D4021">
        <v>28</v>
      </c>
      <c r="E4021">
        <v>22</v>
      </c>
      <c r="F4021">
        <v>18.5</v>
      </c>
      <c r="G4021">
        <v>0</v>
      </c>
      <c r="H4021">
        <v>0</v>
      </c>
      <c r="I4021" s="3">
        <f>E4021+G4021+H4021</f>
        <v>22</v>
      </c>
      <c r="J4021" s="3">
        <f>ROUND(MIN(IF(C4021="Técnico III",35,IF(C4021="Técnico II",28,IF(C4021="Técnico I",23,IF(C4021="JR",20,IF(C4021="Estágio",10,0))))),IF(C4021="Técnico III",SUMIFS($D:$D,$A:$A,$A4021,$B:$B,"&lt;&gt;Patrícia Karla de Sousa Araújo",$B:$B,"&lt;&gt;Lorena Dias de Araujo",$B:$B,"&lt;&gt;Lucas Luiz Romero")*(35/1083),IF(C4021="Técnico II",SUMIFS($D:$D,$A:$A,$A4021,$B:$B,"&lt;&gt;Patrícia Karla de Sousa Araújo",$B:$B,"&lt;&gt;Lorena Dias de Araujo",$B:$B,"&lt;&gt;Lucas Luiz Romero")*(28/1083),IF(C4021="Técnico I",SUMIFS($D:$D,$A:$A,$A4021,$B:$B,"&lt;&gt;Patrícia Karla de Sousa Araújo",$B:$B,"&lt;&gt;Lorena Dias de Araujo",$B:$B,"&lt;&gt;Lucas Luiz Romero")*(23/1083),IF(C4021="JR",SUMIFS($D:$D,$A:$A,$A4021,$B:$B,"&lt;&gt;Patrícia Karla de Sousa Araújo",$B:$B,"&lt;&gt;Lorena Dias de Araujo",$B:$B,"&lt;&gt;Lucas Luiz Romero")*(20/1083),IF(C4021="Estágio",SUMIFS($D:$D,$A:$A,$A4021,$B:$B,"&lt;&gt;Patrícia Karla de Sousa Araújo",$B:$B,"&lt;&gt;Lorena Dias de Araujo",$B:$B,"&lt;&gt;Lucas Luiz Romero")*(10/1083),0)))))),0)</f>
        <v>18</v>
      </c>
      <c r="K4021" s="3">
        <f>I4021-J4021</f>
        <v>4</v>
      </c>
      <c r="L4021" s="3" t="str">
        <f>IF(K4021&lt;-5,"CRÍTICO",IF(K4021&lt;0,"ATENÇÃO",IF(K4021&lt;=5,"OPORTUNO","MUITO BOM")))</f>
        <v>OPORTUNO</v>
      </c>
      <c r="M4021">
        <v>18</v>
      </c>
      <c r="N4021">
        <v>96.15</v>
      </c>
      <c r="O4021">
        <v>24.045801526717561</v>
      </c>
    </row>
    <row r="4022" spans="1:15" hidden="1" x14ac:dyDescent="0.25">
      <c r="A4022" s="11">
        <v>46127</v>
      </c>
      <c r="B4022" t="s">
        <v>58</v>
      </c>
      <c r="C4022" t="s">
        <v>48</v>
      </c>
      <c r="D4022">
        <v>27</v>
      </c>
      <c r="E4022">
        <v>25</v>
      </c>
      <c r="F4022">
        <v>20.41</v>
      </c>
      <c r="G4022">
        <v>0</v>
      </c>
      <c r="H4022">
        <v>0</v>
      </c>
      <c r="I4022" s="3">
        <f>E4022+G4022+H4022</f>
        <v>25</v>
      </c>
      <c r="J4022" s="3">
        <f>ROUND(MIN(IF(C4022="Técnico III",35,IF(C4022="Técnico II",28,IF(C4022="Técnico I",23,IF(C4022="JR",20,IF(C4022="Estágio",10,0))))),IF(C4022="Técnico III",SUMIFS($D:$D,$A:$A,$A4022,$B:$B,"&lt;&gt;Patrícia Karla de Sousa Araújo",$B:$B,"&lt;&gt;Lorena Dias de Araujo",$B:$B,"&lt;&gt;Lucas Luiz Romero")*(35/1083),IF(C4022="Técnico II",SUMIFS($D:$D,$A:$A,$A4022,$B:$B,"&lt;&gt;Patrícia Karla de Sousa Araújo",$B:$B,"&lt;&gt;Lorena Dias de Araujo",$B:$B,"&lt;&gt;Lucas Luiz Romero")*(28/1083),IF(C4022="Técnico I",SUMIFS($D:$D,$A:$A,$A4022,$B:$B,"&lt;&gt;Patrícia Karla de Sousa Araújo",$B:$B,"&lt;&gt;Lorena Dias de Araujo",$B:$B,"&lt;&gt;Lucas Luiz Romero")*(23/1083),IF(C4022="JR",SUMIFS($D:$D,$A:$A,$A4022,$B:$B,"&lt;&gt;Patrícia Karla de Sousa Araújo",$B:$B,"&lt;&gt;Lorena Dias de Araujo",$B:$B,"&lt;&gt;Lucas Luiz Romero")*(20/1083),IF(C4022="Estágio",SUMIFS($D:$D,$A:$A,$A4022,$B:$B,"&lt;&gt;Patrícia Karla de Sousa Araújo",$B:$B,"&lt;&gt;Lorena Dias de Araujo",$B:$B,"&lt;&gt;Lucas Luiz Romero")*(10/1083),0)))))),0)</f>
        <v>26</v>
      </c>
      <c r="K4022" s="3">
        <f>I4022-J4022</f>
        <v>-1</v>
      </c>
      <c r="L4022" s="3" t="str">
        <f>IF(K4022&lt;-5,"CRÍTICO",IF(K4022&lt;0,"ATENÇÃO",IF(K4022&lt;=5,"OPORTUNO","MUITO BOM")))</f>
        <v>ATENÇÃO</v>
      </c>
      <c r="M4022">
        <v>22</v>
      </c>
      <c r="N4022">
        <v>99.02</v>
      </c>
      <c r="O4022">
        <v>34.797297297297298</v>
      </c>
    </row>
    <row r="4023" spans="1:15" hidden="1" x14ac:dyDescent="0.25">
      <c r="A4023" s="11">
        <v>46127</v>
      </c>
      <c r="B4023" t="s">
        <v>29</v>
      </c>
      <c r="C4023" t="s">
        <v>26</v>
      </c>
      <c r="D4023">
        <v>27</v>
      </c>
      <c r="E4023">
        <v>26</v>
      </c>
      <c r="F4023">
        <v>15.04</v>
      </c>
      <c r="G4023">
        <v>0</v>
      </c>
      <c r="H4023">
        <v>0</v>
      </c>
      <c r="I4023" s="3">
        <f>E4023+G4023+H4023</f>
        <v>26</v>
      </c>
      <c r="J4023" s="3">
        <f>ROUND(MIN(IF(C4023="Técnico III",35,IF(C4023="Técnico II",28,IF(C4023="Técnico I",23,IF(C4023="JR",20,IF(C4023="Estágio",10,0))))),IF(C4023="Técnico III",SUMIFS($D:$D,$A:$A,$A4023,$B:$B,"&lt;&gt;Patrícia Karla de Sousa Araújo",$B:$B,"&lt;&gt;Lorena Dias de Araujo",$B:$B,"&lt;&gt;Lucas Luiz Romero")*(35/1083),IF(C4023="Técnico II",SUMIFS($D:$D,$A:$A,$A4023,$B:$B,"&lt;&gt;Patrícia Karla de Sousa Araújo",$B:$B,"&lt;&gt;Lorena Dias de Araujo",$B:$B,"&lt;&gt;Lucas Luiz Romero")*(28/1083),IF(C4023="Técnico I",SUMIFS($D:$D,$A:$A,$A4023,$B:$B,"&lt;&gt;Patrícia Karla de Sousa Araújo",$B:$B,"&lt;&gt;Lorena Dias de Araujo",$B:$B,"&lt;&gt;Lucas Luiz Romero")*(23/1083),IF(C4023="JR",SUMIFS($D:$D,$A:$A,$A4023,$B:$B,"&lt;&gt;Patrícia Karla de Sousa Araújo",$B:$B,"&lt;&gt;Lorena Dias de Araujo",$B:$B,"&lt;&gt;Lucas Luiz Romero")*(20/1083),IF(C4023="Estágio",SUMIFS($D:$D,$A:$A,$A4023,$B:$B,"&lt;&gt;Patrícia Karla de Sousa Araújo",$B:$B,"&lt;&gt;Lorena Dias de Araujo",$B:$B,"&lt;&gt;Lucas Luiz Romero")*(10/1083),0)))))),0)</f>
        <v>18</v>
      </c>
      <c r="K4023" s="3">
        <f>I4023-J4023</f>
        <v>8</v>
      </c>
      <c r="L4023" s="3" t="str">
        <f>IF(K4023&lt;-5,"CRÍTICO",IF(K4023&lt;0,"ATENÇÃO",IF(K4023&lt;=5,"OPORTUNO","MUITO BOM")))</f>
        <v>MUITO BOM</v>
      </c>
      <c r="M4023">
        <v>21</v>
      </c>
      <c r="N4023">
        <v>98.84</v>
      </c>
      <c r="O4023">
        <v>31.868131868131869</v>
      </c>
    </row>
    <row r="4024" spans="1:15" hidden="1" x14ac:dyDescent="0.25">
      <c r="A4024" s="11">
        <v>46127</v>
      </c>
      <c r="B4024" t="s">
        <v>30</v>
      </c>
      <c r="C4024" t="s">
        <v>26</v>
      </c>
      <c r="D4024">
        <v>25</v>
      </c>
      <c r="E4024">
        <v>22</v>
      </c>
      <c r="F4024">
        <v>17.13</v>
      </c>
      <c r="G4024">
        <v>0</v>
      </c>
      <c r="H4024">
        <v>0</v>
      </c>
      <c r="I4024" s="3">
        <f>E4024+G4024+H4024</f>
        <v>22</v>
      </c>
      <c r="J4024" s="3">
        <f>ROUND(MIN(IF(C4024="Técnico III",35,IF(C4024="Técnico II",28,IF(C4024="Técnico I",23,IF(C4024="JR",20,IF(C4024="Estágio",10,0))))),IF(C4024="Técnico III",SUMIFS($D:$D,$A:$A,$A4024,$B:$B,"&lt;&gt;Patrícia Karla de Sousa Araújo",$B:$B,"&lt;&gt;Lorena Dias de Araujo",$B:$B,"&lt;&gt;Lucas Luiz Romero")*(35/1083),IF(C4024="Técnico II",SUMIFS($D:$D,$A:$A,$A4024,$B:$B,"&lt;&gt;Patrícia Karla de Sousa Araújo",$B:$B,"&lt;&gt;Lorena Dias de Araujo",$B:$B,"&lt;&gt;Lucas Luiz Romero")*(28/1083),IF(C4024="Técnico I",SUMIFS($D:$D,$A:$A,$A4024,$B:$B,"&lt;&gt;Patrícia Karla de Sousa Araújo",$B:$B,"&lt;&gt;Lorena Dias de Araujo",$B:$B,"&lt;&gt;Lucas Luiz Romero")*(23/1083),IF(C4024="JR",SUMIFS($D:$D,$A:$A,$A4024,$B:$B,"&lt;&gt;Patrícia Karla de Sousa Araújo",$B:$B,"&lt;&gt;Lorena Dias de Araujo",$B:$B,"&lt;&gt;Lucas Luiz Romero")*(20/1083),IF(C4024="Estágio",SUMIFS($D:$D,$A:$A,$A4024,$B:$B,"&lt;&gt;Patrícia Karla de Sousa Araújo",$B:$B,"&lt;&gt;Lorena Dias de Araujo",$B:$B,"&lt;&gt;Lucas Luiz Romero")*(10/1083),0)))))),0)</f>
        <v>18</v>
      </c>
      <c r="K4024" s="3">
        <f>I4024-J4024</f>
        <v>4</v>
      </c>
      <c r="L4024" s="3" t="str">
        <f>IF(K4024&lt;-5,"CRÍTICO",IF(K4024&lt;0,"ATENÇÃO",IF(K4024&lt;=5,"OPORTUNO","MUITO BOM")))</f>
        <v>OPORTUNO</v>
      </c>
      <c r="M4024">
        <v>21</v>
      </c>
      <c r="N4024">
        <v>100</v>
      </c>
      <c r="O4024">
        <v>34.666666666666671</v>
      </c>
    </row>
    <row r="4025" spans="1:15" hidden="1" x14ac:dyDescent="0.25">
      <c r="A4025" s="11">
        <v>46127</v>
      </c>
      <c r="B4025" t="s">
        <v>21</v>
      </c>
      <c r="C4025" t="s">
        <v>16</v>
      </c>
      <c r="D4025">
        <v>11</v>
      </c>
      <c r="E4025">
        <v>11</v>
      </c>
      <c r="F4025">
        <v>27.16</v>
      </c>
      <c r="G4025">
        <v>0</v>
      </c>
      <c r="H4025">
        <v>0</v>
      </c>
      <c r="I4025" s="3">
        <f>E4025+G4025+H4025</f>
        <v>11</v>
      </c>
      <c r="J4025" s="3">
        <f>ROUND(MIN(IF(C4025="Técnico III",35,IF(C4025="Técnico II",28,IF(C4025="Técnico I",23,IF(C4025="JR",20,IF(C4025="Estágio",10,0))))),IF(C4025="Técnico III",SUMIFS($D:$D,$A:$A,$A4025,$B:$B,"&lt;&gt;Patrícia Karla de Sousa Araújo",$B:$B,"&lt;&gt;Lorena Dias de Araujo",$B:$B,"&lt;&gt;Lucas Luiz Romero")*(35/1083),IF(C4025="Técnico II",SUMIFS($D:$D,$A:$A,$A4025,$B:$B,"&lt;&gt;Patrícia Karla de Sousa Araújo",$B:$B,"&lt;&gt;Lorena Dias de Araujo",$B:$B,"&lt;&gt;Lucas Luiz Romero")*(28/1083),IF(C4025="Técnico I",SUMIFS($D:$D,$A:$A,$A4025,$B:$B,"&lt;&gt;Patrícia Karla de Sousa Araújo",$B:$B,"&lt;&gt;Lorena Dias de Araujo",$B:$B,"&lt;&gt;Lucas Luiz Romero")*(23/1083),IF(C4025="JR",SUMIFS($D:$D,$A:$A,$A4025,$B:$B,"&lt;&gt;Patrícia Karla de Sousa Araújo",$B:$B,"&lt;&gt;Lorena Dias de Araujo",$B:$B,"&lt;&gt;Lucas Luiz Romero")*(20/1083),IF(C4025="Estágio",SUMIFS($D:$D,$A:$A,$A4025,$B:$B,"&lt;&gt;Patrícia Karla de Sousa Araújo",$B:$B,"&lt;&gt;Lorena Dias de Araujo",$B:$B,"&lt;&gt;Lucas Luiz Romero")*(10/1083),0)))))),0)</f>
        <v>9</v>
      </c>
      <c r="K4025" s="3">
        <f>I4025-J4025</f>
        <v>2</v>
      </c>
      <c r="L4025" s="3" t="str">
        <f>IF(K4025&lt;-5,"CRÍTICO",IF(K4025&lt;0,"ATENÇÃO",IF(K4025&lt;=5,"OPORTUNO","MUITO BOM")))</f>
        <v>OPORTUNO</v>
      </c>
      <c r="M4025">
        <v>10</v>
      </c>
      <c r="N4025">
        <v>94.12</v>
      </c>
      <c r="O4025">
        <v>32.799999999999997</v>
      </c>
    </row>
    <row r="4026" spans="1:15" hidden="1" x14ac:dyDescent="0.25">
      <c r="A4026" s="11">
        <v>46127</v>
      </c>
      <c r="B4026" t="s">
        <v>63</v>
      </c>
      <c r="C4026" t="s">
        <v>23</v>
      </c>
      <c r="D4026">
        <v>23</v>
      </c>
      <c r="E4026">
        <v>23</v>
      </c>
      <c r="F4026">
        <v>16.52</v>
      </c>
      <c r="G4026">
        <v>0</v>
      </c>
      <c r="H4026">
        <v>0</v>
      </c>
      <c r="I4026" s="3">
        <f>E4026+G4026+H4026</f>
        <v>23</v>
      </c>
      <c r="J4026" s="3">
        <f>ROUND(MIN(IF(C4026="Técnico III",35,IF(C4026="Técnico II",28,IF(C4026="Técnico I",23,IF(C4026="JR",20,IF(C4026="Estágio",10,0))))),IF(C4026="Técnico III",SUMIFS($D:$D,$A:$A,$A4026,$B:$B,"&lt;&gt;Patrícia Karla de Sousa Araújo",$B:$B,"&lt;&gt;Lorena Dias de Araujo",$B:$B,"&lt;&gt;Lucas Luiz Romero")*(35/1083),IF(C4026="Técnico II",SUMIFS($D:$D,$A:$A,$A4026,$B:$B,"&lt;&gt;Patrícia Karla de Sousa Araújo",$B:$B,"&lt;&gt;Lorena Dias de Araujo",$B:$B,"&lt;&gt;Lucas Luiz Romero")*(28/1083),IF(C4026="Técnico I",SUMIFS($D:$D,$A:$A,$A4026,$B:$B,"&lt;&gt;Patrícia Karla de Sousa Araújo",$B:$B,"&lt;&gt;Lorena Dias de Araujo",$B:$B,"&lt;&gt;Lucas Luiz Romero")*(23/1083),IF(C4026="JR",SUMIFS($D:$D,$A:$A,$A4026,$B:$B,"&lt;&gt;Patrícia Karla de Sousa Araújo",$B:$B,"&lt;&gt;Lorena Dias de Araujo",$B:$B,"&lt;&gt;Lucas Luiz Romero")*(20/1083),IF(C4026="Estágio",SUMIFS($D:$D,$A:$A,$A4026,$B:$B,"&lt;&gt;Patrícia Karla de Sousa Araújo",$B:$B,"&lt;&gt;Lorena Dias de Araujo",$B:$B,"&lt;&gt;Lucas Luiz Romero")*(10/1083),0)))))),0)</f>
        <v>21</v>
      </c>
      <c r="K4026" s="3">
        <f>I4026-J4026</f>
        <v>2</v>
      </c>
      <c r="L4026" s="3" t="str">
        <f>IF(K4026&lt;-5,"CRÍTICO",IF(K4026&lt;0,"ATENÇÃO",IF(K4026&lt;=5,"OPORTUNO","MUITO BOM")))</f>
        <v>OPORTUNO</v>
      </c>
      <c r="M4026">
        <v>21</v>
      </c>
      <c r="N4026">
        <v>98.32</v>
      </c>
      <c r="O4026">
        <v>26.858513189448441</v>
      </c>
    </row>
    <row r="4027" spans="1:15" hidden="1" x14ac:dyDescent="0.25">
      <c r="A4027" s="11">
        <v>46127</v>
      </c>
      <c r="B4027" t="s">
        <v>45</v>
      </c>
      <c r="C4027" t="s">
        <v>32</v>
      </c>
      <c r="D4027">
        <v>29</v>
      </c>
      <c r="E4027">
        <v>24</v>
      </c>
      <c r="F4027">
        <v>15.04</v>
      </c>
      <c r="G4027">
        <v>0</v>
      </c>
      <c r="H4027">
        <v>0</v>
      </c>
      <c r="I4027" s="3">
        <f>E4027+G4027+H4027</f>
        <v>24</v>
      </c>
      <c r="J4027" s="3">
        <f>ROUND(MIN(IF(C4027="Técnico III",35,IF(C4027="Técnico II",28,IF(C4027="Técnico I",23,IF(C4027="JR",20,IF(C4027="Estágio",10,0))))),IF(C4027="Técnico III",SUMIFS($D:$D,$A:$A,$A4027,$B:$B,"&lt;&gt;Patrícia Karla de Sousa Araújo",$B:$B,"&lt;&gt;Lorena Dias de Araujo",$B:$B,"&lt;&gt;Lucas Luiz Romero")*(35/1083),IF(C4027="Técnico II",SUMIFS($D:$D,$A:$A,$A4027,$B:$B,"&lt;&gt;Patrícia Karla de Sousa Araújo",$B:$B,"&lt;&gt;Lorena Dias de Araujo",$B:$B,"&lt;&gt;Lucas Luiz Romero")*(28/1083),IF(C4027="Técnico I",SUMIFS($D:$D,$A:$A,$A4027,$B:$B,"&lt;&gt;Patrícia Karla de Sousa Araújo",$B:$B,"&lt;&gt;Lorena Dias de Araujo",$B:$B,"&lt;&gt;Lucas Luiz Romero")*(23/1083),IF(C4027="JR",SUMIFS($D:$D,$A:$A,$A4027,$B:$B,"&lt;&gt;Patrícia Karla de Sousa Araújo",$B:$B,"&lt;&gt;Lorena Dias de Araujo",$B:$B,"&lt;&gt;Lucas Luiz Romero")*(20/1083),IF(C4027="Estágio",SUMIFS($D:$D,$A:$A,$A4027,$B:$B,"&lt;&gt;Patrícia Karla de Sousa Araújo",$B:$B,"&lt;&gt;Lorena Dias de Araujo",$B:$B,"&lt;&gt;Lucas Luiz Romero")*(10/1083),0)))))),0)</f>
        <v>32</v>
      </c>
      <c r="K4027" s="3">
        <f>I4027-J4027</f>
        <v>-8</v>
      </c>
      <c r="L4027" s="3" t="str">
        <f>IF(K4027&lt;-5,"CRÍTICO",IF(K4027&lt;0,"ATENÇÃO",IF(K4027&lt;=5,"OPORTUNO","MUITO BOM")))</f>
        <v>CRÍTICO</v>
      </c>
      <c r="M4027">
        <v>22</v>
      </c>
      <c r="N4027">
        <v>100</v>
      </c>
      <c r="O4027">
        <v>31.135531135531139</v>
      </c>
    </row>
    <row r="4028" spans="1:15" hidden="1" x14ac:dyDescent="0.25">
      <c r="A4028" s="11">
        <v>46127</v>
      </c>
      <c r="B4028" t="s">
        <v>64</v>
      </c>
      <c r="C4028" t="s">
        <v>23</v>
      </c>
      <c r="D4028">
        <v>12</v>
      </c>
      <c r="E4028">
        <v>12</v>
      </c>
      <c r="F4028">
        <v>45.09</v>
      </c>
      <c r="G4028">
        <v>0</v>
      </c>
      <c r="H4028">
        <v>0</v>
      </c>
      <c r="I4028" s="3">
        <f>E4028+G4028+H4028</f>
        <v>12</v>
      </c>
      <c r="J4028" s="3">
        <f>ROUND(MIN(IF(C4028="Técnico III",35,IF(C4028="Técnico II",28,IF(C4028="Técnico I",23,IF(C4028="JR",20,IF(C4028="Estágio",10,0))))),IF(C4028="Técnico III",SUMIFS($D:$D,$A:$A,$A4028,$B:$B,"&lt;&gt;Patrícia Karla de Sousa Araújo",$B:$B,"&lt;&gt;Lorena Dias de Araujo",$B:$B,"&lt;&gt;Lucas Luiz Romero")*(35/1083),IF(C4028="Técnico II",SUMIFS($D:$D,$A:$A,$A4028,$B:$B,"&lt;&gt;Patrícia Karla de Sousa Araújo",$B:$B,"&lt;&gt;Lorena Dias de Araujo",$B:$B,"&lt;&gt;Lucas Luiz Romero")*(28/1083),IF(C4028="Técnico I",SUMIFS($D:$D,$A:$A,$A4028,$B:$B,"&lt;&gt;Patrícia Karla de Sousa Araújo",$B:$B,"&lt;&gt;Lorena Dias de Araujo",$B:$B,"&lt;&gt;Lucas Luiz Romero")*(23/1083),IF(C4028="JR",SUMIFS($D:$D,$A:$A,$A4028,$B:$B,"&lt;&gt;Patrícia Karla de Sousa Araújo",$B:$B,"&lt;&gt;Lorena Dias de Araujo",$B:$B,"&lt;&gt;Lucas Luiz Romero")*(20/1083),IF(C4028="Estágio",SUMIFS($D:$D,$A:$A,$A4028,$B:$B,"&lt;&gt;Patrícia Karla de Sousa Araújo",$B:$B,"&lt;&gt;Lorena Dias de Araujo",$B:$B,"&lt;&gt;Lucas Luiz Romero")*(10/1083),0)))))),0)</f>
        <v>21</v>
      </c>
      <c r="K4028" s="3">
        <f>I4028-J4028</f>
        <v>-9</v>
      </c>
      <c r="L4028" s="3" t="str">
        <f>IF(K4028&lt;-5,"CRÍTICO",IF(K4028&lt;0,"ATENÇÃO",IF(K4028&lt;=5,"OPORTUNO","MUITO BOM")))</f>
        <v>CRÍTICO</v>
      </c>
      <c r="M4028">
        <v>11</v>
      </c>
      <c r="N4028">
        <v>100</v>
      </c>
      <c r="O4028">
        <v>26.36986301369863</v>
      </c>
    </row>
    <row r="4029" spans="1:15" hidden="1" x14ac:dyDescent="0.25">
      <c r="A4029" s="11">
        <v>46127</v>
      </c>
      <c r="B4029" t="s">
        <v>46</v>
      </c>
      <c r="C4029" t="s">
        <v>32</v>
      </c>
      <c r="D4029">
        <v>34</v>
      </c>
      <c r="E4029">
        <v>33</v>
      </c>
      <c r="F4029">
        <v>15.06</v>
      </c>
      <c r="G4029">
        <v>0</v>
      </c>
      <c r="H4029">
        <v>0</v>
      </c>
      <c r="I4029" s="3">
        <f>E4029+G4029+H4029</f>
        <v>33</v>
      </c>
      <c r="J4029" s="3">
        <f>ROUND(MIN(IF(C4029="Técnico III",35,IF(C4029="Técnico II",28,IF(C4029="Técnico I",23,IF(C4029="JR",20,IF(C4029="Estágio",10,0))))),IF(C4029="Técnico III",SUMIFS($D:$D,$A:$A,$A4029,$B:$B,"&lt;&gt;Patrícia Karla de Sousa Araújo",$B:$B,"&lt;&gt;Lorena Dias de Araujo",$B:$B,"&lt;&gt;Lucas Luiz Romero")*(35/1083),IF(C4029="Técnico II",SUMIFS($D:$D,$A:$A,$A4029,$B:$B,"&lt;&gt;Patrícia Karla de Sousa Araújo",$B:$B,"&lt;&gt;Lorena Dias de Araujo",$B:$B,"&lt;&gt;Lucas Luiz Romero")*(28/1083),IF(C4029="Técnico I",SUMIFS($D:$D,$A:$A,$A4029,$B:$B,"&lt;&gt;Patrícia Karla de Sousa Araújo",$B:$B,"&lt;&gt;Lorena Dias de Araujo",$B:$B,"&lt;&gt;Lucas Luiz Romero")*(23/1083),IF(C4029="JR",SUMIFS($D:$D,$A:$A,$A4029,$B:$B,"&lt;&gt;Patrícia Karla de Sousa Araújo",$B:$B,"&lt;&gt;Lorena Dias de Araujo",$B:$B,"&lt;&gt;Lucas Luiz Romero")*(20/1083),IF(C4029="Estágio",SUMIFS($D:$D,$A:$A,$A4029,$B:$B,"&lt;&gt;Patrícia Karla de Sousa Araújo",$B:$B,"&lt;&gt;Lorena Dias de Araujo",$B:$B,"&lt;&gt;Lucas Luiz Romero")*(10/1083),0)))))),0)</f>
        <v>32</v>
      </c>
      <c r="K4029" s="3">
        <f>I4029-J4029</f>
        <v>1</v>
      </c>
      <c r="L4029" s="3" t="str">
        <f>IF(K4029&lt;-5,"CRÍTICO",IF(K4029&lt;0,"ATENÇÃO",IF(K4029&lt;=5,"OPORTUNO","MUITO BOM")))</f>
        <v>OPORTUNO</v>
      </c>
      <c r="M4029">
        <v>28</v>
      </c>
      <c r="N4029">
        <v>99.21</v>
      </c>
      <c r="O4029">
        <v>25.188916876574311</v>
      </c>
    </row>
    <row r="4030" spans="1:15" hidden="1" x14ac:dyDescent="0.25">
      <c r="A4030" s="11">
        <v>46128</v>
      </c>
      <c r="B4030" t="s">
        <v>47</v>
      </c>
      <c r="C4030" t="s">
        <v>48</v>
      </c>
      <c r="D4030">
        <v>15</v>
      </c>
      <c r="E4030">
        <v>13</v>
      </c>
      <c r="F4030">
        <v>22.21</v>
      </c>
      <c r="G4030">
        <v>0</v>
      </c>
      <c r="H4030">
        <v>0</v>
      </c>
      <c r="I4030" s="3">
        <f>E4030+G4030+H4030</f>
        <v>13</v>
      </c>
      <c r="J4030" s="3">
        <f>ROUND(MIN(IF(C4030="Técnico III",35,IF(C4030="Técnico II",28,IF(C4030="Técnico I",23,IF(C4030="JR",20,IF(C4030="Estágio",10,0))))),IF(C4030="Técnico III",SUMIFS($D:$D,$A:$A,$A4030,$B:$B,"&lt;&gt;Patrícia Karla de Sousa Araújo",$B:$B,"&lt;&gt;Lorena Dias de Araujo",$B:$B,"&lt;&gt;Lucas Luiz Romero")*(35/1083),IF(C4030="Técnico II",SUMIFS($D:$D,$A:$A,$A4030,$B:$B,"&lt;&gt;Patrícia Karla de Sousa Araújo",$B:$B,"&lt;&gt;Lorena Dias de Araujo",$B:$B,"&lt;&gt;Lucas Luiz Romero")*(28/1083),IF(C4030="Técnico I",SUMIFS($D:$D,$A:$A,$A4030,$B:$B,"&lt;&gt;Patrícia Karla de Sousa Araújo",$B:$B,"&lt;&gt;Lorena Dias de Araujo",$B:$B,"&lt;&gt;Lucas Luiz Romero")*(23/1083),IF(C4030="JR",SUMIFS($D:$D,$A:$A,$A4030,$B:$B,"&lt;&gt;Patrícia Karla de Sousa Araújo",$B:$B,"&lt;&gt;Lorena Dias de Araujo",$B:$B,"&lt;&gt;Lucas Luiz Romero")*(20/1083),IF(C4030="Estágio",SUMIFS($D:$D,$A:$A,$A4030,$B:$B,"&lt;&gt;Patrícia Karla de Sousa Araújo",$B:$B,"&lt;&gt;Lorena Dias de Araujo",$B:$B,"&lt;&gt;Lucas Luiz Romero")*(10/1083),0)))))),0)</f>
        <v>23</v>
      </c>
      <c r="K4030" s="3">
        <f>I4030-J4030</f>
        <v>-10</v>
      </c>
      <c r="L4030" s="3" t="str">
        <f>IF(K4030&lt;-5,"CRÍTICO",IF(K4030&lt;0,"ATENÇÃO",IF(K4030&lt;=5,"OPORTUNO","MUITO BOM")))</f>
        <v>CRÍTICO</v>
      </c>
      <c r="M4030">
        <v>11</v>
      </c>
      <c r="N4030">
        <v>100</v>
      </c>
      <c r="O4030">
        <v>32.764505119453922</v>
      </c>
    </row>
    <row r="4031" spans="1:15" hidden="1" x14ac:dyDescent="0.25">
      <c r="A4031" s="11">
        <v>46128</v>
      </c>
      <c r="B4031" t="s">
        <v>31</v>
      </c>
      <c r="C4031" t="s">
        <v>32</v>
      </c>
      <c r="D4031">
        <v>0</v>
      </c>
      <c r="E4031">
        <v>0</v>
      </c>
      <c r="F4031">
        <v>0</v>
      </c>
      <c r="G4031">
        <v>0</v>
      </c>
      <c r="H4031">
        <v>0</v>
      </c>
      <c r="I4031" s="3">
        <v>0</v>
      </c>
      <c r="J4031" s="3">
        <v>0</v>
      </c>
      <c r="K4031" s="3">
        <v>0</v>
      </c>
      <c r="L4031" s="3" t="str">
        <f>IF(K4031&lt;-5,"CRÍTICO",IF(K4031&lt;0,"ATENÇÃO",IF(K4031&lt;=5,"OPORTUNO","MUITO BOM")))</f>
        <v>OPORTUNO</v>
      </c>
      <c r="M4031">
        <v>21</v>
      </c>
      <c r="N4031">
        <v>98.66</v>
      </c>
      <c r="O4031">
        <v>35.416666666666671</v>
      </c>
    </row>
    <row r="4032" spans="1:15" hidden="1" x14ac:dyDescent="0.25">
      <c r="A4032" s="11">
        <v>46128</v>
      </c>
      <c r="B4032" t="s">
        <v>59</v>
      </c>
      <c r="C4032" t="s">
        <v>23</v>
      </c>
      <c r="D4032">
        <v>23</v>
      </c>
      <c r="E4032">
        <v>22</v>
      </c>
      <c r="F4032">
        <v>24.16</v>
      </c>
      <c r="G4032">
        <v>0</v>
      </c>
      <c r="H4032">
        <v>0</v>
      </c>
      <c r="I4032" s="3">
        <f>E4032+G4032+H4032</f>
        <v>22</v>
      </c>
      <c r="J4032" s="3">
        <f>ROUND(MIN(IF(C4032="Técnico III",35,IF(C4032="Técnico II",28,IF(C4032="Técnico I",23,IF(C4032="JR",20,IF(C4032="Estágio",10,0))))),IF(C4032="Técnico III",SUMIFS($D:$D,$A:$A,$A4032,$B:$B,"&lt;&gt;Patrícia Karla de Sousa Araújo",$B:$B,"&lt;&gt;Lorena Dias de Araujo",$B:$B,"&lt;&gt;Lucas Luiz Romero")*(35/1083),IF(C4032="Técnico II",SUMIFS($D:$D,$A:$A,$A4032,$B:$B,"&lt;&gt;Patrícia Karla de Sousa Araújo",$B:$B,"&lt;&gt;Lorena Dias de Araujo",$B:$B,"&lt;&gt;Lucas Luiz Romero")*(28/1083),IF(C4032="Técnico I",SUMIFS($D:$D,$A:$A,$A4032,$B:$B,"&lt;&gt;Patrícia Karla de Sousa Araújo",$B:$B,"&lt;&gt;Lorena Dias de Araujo",$B:$B,"&lt;&gt;Lucas Luiz Romero")*(23/1083),IF(C4032="JR",SUMIFS($D:$D,$A:$A,$A4032,$B:$B,"&lt;&gt;Patrícia Karla de Sousa Araújo",$B:$B,"&lt;&gt;Lorena Dias de Araujo",$B:$B,"&lt;&gt;Lucas Luiz Romero")*(20/1083),IF(C4032="Estágio",SUMIFS($D:$D,$A:$A,$A4032,$B:$B,"&lt;&gt;Patrícia Karla de Sousa Araújo",$B:$B,"&lt;&gt;Lorena Dias de Araujo",$B:$B,"&lt;&gt;Lucas Luiz Romero")*(10/1083),0)))))),0)</f>
        <v>19</v>
      </c>
      <c r="K4032" s="3">
        <f>I4032-J4032</f>
        <v>3</v>
      </c>
      <c r="L4032" s="3" t="str">
        <f>IF(K4032&lt;-5,"CRÍTICO",IF(K4032&lt;0,"ATENÇÃO",IF(K4032&lt;=5,"OPORTUNO","MUITO BOM")))</f>
        <v>OPORTUNO</v>
      </c>
      <c r="M4032">
        <v>24</v>
      </c>
      <c r="N4032">
        <v>99.32</v>
      </c>
      <c r="O4032">
        <v>30.648330058939099</v>
      </c>
    </row>
    <row r="4033" spans="1:15" hidden="1" x14ac:dyDescent="0.25">
      <c r="A4033" s="11">
        <v>46128</v>
      </c>
      <c r="B4033" t="s">
        <v>33</v>
      </c>
      <c r="C4033" t="s">
        <v>32</v>
      </c>
      <c r="D4033">
        <v>19</v>
      </c>
      <c r="E4033">
        <v>16</v>
      </c>
      <c r="F4033">
        <v>20.58</v>
      </c>
      <c r="G4033">
        <v>0</v>
      </c>
      <c r="H4033">
        <v>0</v>
      </c>
      <c r="I4033" s="3">
        <f>E4033+G4033+H4033</f>
        <v>16</v>
      </c>
      <c r="J4033" s="3">
        <f>ROUND(MIN(IF(C4033="Técnico III",35,IF(C4033="Técnico II",28,IF(C4033="Técnico I",23,IF(C4033="JR",20,IF(C4033="Estágio",10,0))))),IF(C4033="Técnico III",SUMIFS($D:$D,$A:$A,$A4033,$B:$B,"&lt;&gt;Patrícia Karla de Sousa Araújo",$B:$B,"&lt;&gt;Lorena Dias de Araujo",$B:$B,"&lt;&gt;Lucas Luiz Romero")*(35/1083),IF(C4033="Técnico II",SUMIFS($D:$D,$A:$A,$A4033,$B:$B,"&lt;&gt;Patrícia Karla de Sousa Araújo",$B:$B,"&lt;&gt;Lorena Dias de Araujo",$B:$B,"&lt;&gt;Lucas Luiz Romero")*(28/1083),IF(C4033="Técnico I",SUMIFS($D:$D,$A:$A,$A4033,$B:$B,"&lt;&gt;Patrícia Karla de Sousa Araújo",$B:$B,"&lt;&gt;Lorena Dias de Araujo",$B:$B,"&lt;&gt;Lucas Luiz Romero")*(23/1083),IF(C4033="JR",SUMIFS($D:$D,$A:$A,$A4033,$B:$B,"&lt;&gt;Patrícia Karla de Sousa Araújo",$B:$B,"&lt;&gt;Lorena Dias de Araujo",$B:$B,"&lt;&gt;Lucas Luiz Romero")*(20/1083),IF(C4033="Estágio",SUMIFS($D:$D,$A:$A,$A4033,$B:$B,"&lt;&gt;Patrícia Karla de Sousa Araújo",$B:$B,"&lt;&gt;Lorena Dias de Araujo",$B:$B,"&lt;&gt;Lucas Luiz Romero")*(10/1083),0)))))),0)</f>
        <v>29</v>
      </c>
      <c r="K4033" s="3">
        <f>I4033-J4033</f>
        <v>-13</v>
      </c>
      <c r="L4033" s="3" t="str">
        <f>IF(K4033&lt;-5,"CRÍTICO",IF(K4033&lt;0,"ATENÇÃO",IF(K4033&lt;=5,"OPORTUNO","MUITO BOM")))</f>
        <v>CRÍTICO</v>
      </c>
      <c r="M4033">
        <v>23</v>
      </c>
      <c r="N4033">
        <v>100</v>
      </c>
      <c r="O4033">
        <v>27.803738317757009</v>
      </c>
    </row>
    <row r="4034" spans="1:15" hidden="1" x14ac:dyDescent="0.25">
      <c r="A4034" s="11">
        <v>46128</v>
      </c>
      <c r="B4034" t="s">
        <v>15</v>
      </c>
      <c r="C4034" t="s">
        <v>16</v>
      </c>
      <c r="D4034">
        <v>29</v>
      </c>
      <c r="E4034">
        <v>27</v>
      </c>
      <c r="F4034">
        <v>20.49</v>
      </c>
      <c r="G4034">
        <v>0</v>
      </c>
      <c r="H4034">
        <v>0</v>
      </c>
      <c r="I4034" s="3">
        <f>E4034+G4034+H4034</f>
        <v>27</v>
      </c>
      <c r="J4034" s="3">
        <f>ROUND(MIN(IF(C4034="Técnico III",35,IF(C4034="Técnico II",28,IF(C4034="Técnico I",23,IF(C4034="JR",20,IF(C4034="Estágio",10,0))))),IF(C4034="Técnico III",SUMIFS($D:$D,$A:$A,$A4034,$B:$B,"&lt;&gt;Patrícia Karla de Sousa Araújo",$B:$B,"&lt;&gt;Lorena Dias de Araujo",$B:$B,"&lt;&gt;Lucas Luiz Romero")*(35/1083),IF(C4034="Técnico II",SUMIFS($D:$D,$A:$A,$A4034,$B:$B,"&lt;&gt;Patrícia Karla de Sousa Araújo",$B:$B,"&lt;&gt;Lorena Dias de Araujo",$B:$B,"&lt;&gt;Lucas Luiz Romero")*(28/1083),IF(C4034="Técnico I",SUMIFS($D:$D,$A:$A,$A4034,$B:$B,"&lt;&gt;Patrícia Karla de Sousa Araújo",$B:$B,"&lt;&gt;Lorena Dias de Araujo",$B:$B,"&lt;&gt;Lucas Luiz Romero")*(23/1083),IF(C4034="JR",SUMIFS($D:$D,$A:$A,$A4034,$B:$B,"&lt;&gt;Patrícia Karla de Sousa Araújo",$B:$B,"&lt;&gt;Lorena Dias de Araujo",$B:$B,"&lt;&gt;Lucas Luiz Romero")*(20/1083),IF(C4034="Estágio",SUMIFS($D:$D,$A:$A,$A4034,$B:$B,"&lt;&gt;Patrícia Karla de Sousa Araújo",$B:$B,"&lt;&gt;Lorena Dias de Araujo",$B:$B,"&lt;&gt;Lucas Luiz Romero")*(10/1083),0)))))),0)</f>
        <v>8</v>
      </c>
      <c r="K4034" s="3">
        <f>I4034-J4034</f>
        <v>19</v>
      </c>
      <c r="L4034" s="3" t="str">
        <f>IF(K4034&lt;-5,"CRÍTICO",IF(K4034&lt;0,"ATENÇÃO",IF(K4034&lt;=5,"OPORTUNO","MUITO BOM")))</f>
        <v>MUITO BOM</v>
      </c>
      <c r="M4034">
        <v>25</v>
      </c>
      <c r="N4034">
        <v>96.74</v>
      </c>
      <c r="O4034">
        <v>28.67647058823529</v>
      </c>
    </row>
    <row r="4035" spans="1:15" hidden="1" x14ac:dyDescent="0.25">
      <c r="A4035" s="11">
        <v>46128</v>
      </c>
      <c r="B4035" t="s">
        <v>49</v>
      </c>
      <c r="C4035" t="s">
        <v>48</v>
      </c>
      <c r="D4035">
        <v>44</v>
      </c>
      <c r="E4035">
        <v>42</v>
      </c>
      <c r="F4035">
        <v>12.21</v>
      </c>
      <c r="G4035">
        <v>0</v>
      </c>
      <c r="H4035">
        <v>0</v>
      </c>
      <c r="I4035" s="3">
        <f>E4035+G4035+H4035</f>
        <v>42</v>
      </c>
      <c r="J4035" s="3">
        <f>ROUND(MIN(IF(C4035="Técnico III",35,IF(C4035="Técnico II",28,IF(C4035="Técnico I",23,IF(C4035="JR",20,IF(C4035="Estágio",10,0))))),IF(C4035="Técnico III",SUMIFS($D:$D,$A:$A,$A4035,$B:$B,"&lt;&gt;Patrícia Karla de Sousa Araújo",$B:$B,"&lt;&gt;Lorena Dias de Araujo",$B:$B,"&lt;&gt;Lucas Luiz Romero")*(35/1083),IF(C4035="Técnico II",SUMIFS($D:$D,$A:$A,$A4035,$B:$B,"&lt;&gt;Patrícia Karla de Sousa Araújo",$B:$B,"&lt;&gt;Lorena Dias de Araujo",$B:$B,"&lt;&gt;Lucas Luiz Romero")*(28/1083),IF(C4035="Técnico I",SUMIFS($D:$D,$A:$A,$A4035,$B:$B,"&lt;&gt;Patrícia Karla de Sousa Araújo",$B:$B,"&lt;&gt;Lorena Dias de Araujo",$B:$B,"&lt;&gt;Lucas Luiz Romero")*(23/1083),IF(C4035="JR",SUMIFS($D:$D,$A:$A,$A4035,$B:$B,"&lt;&gt;Patrícia Karla de Sousa Araújo",$B:$B,"&lt;&gt;Lorena Dias de Araujo",$B:$B,"&lt;&gt;Lucas Luiz Romero")*(20/1083),IF(C4035="Estágio",SUMIFS($D:$D,$A:$A,$A4035,$B:$B,"&lt;&gt;Patrícia Karla de Sousa Araújo",$B:$B,"&lt;&gt;Lorena Dias de Araujo",$B:$B,"&lt;&gt;Lucas Luiz Romero")*(10/1083),0)))))),0)</f>
        <v>23</v>
      </c>
      <c r="K4035" s="3">
        <f>I4035-J4035</f>
        <v>19</v>
      </c>
      <c r="L4035" s="3" t="str">
        <f>IF(K4035&lt;-5,"CRÍTICO",IF(K4035&lt;0,"ATENÇÃO",IF(K4035&lt;=5,"OPORTUNO","MUITO BOM")))</f>
        <v>MUITO BOM</v>
      </c>
      <c r="M4035">
        <v>43</v>
      </c>
      <c r="N4035">
        <v>98.82</v>
      </c>
      <c r="O4035">
        <v>30.741410488245929</v>
      </c>
    </row>
    <row r="4036" spans="1:15" hidden="1" x14ac:dyDescent="0.25">
      <c r="A4036" s="11">
        <v>46128</v>
      </c>
      <c r="B4036" t="s">
        <v>50</v>
      </c>
      <c r="C4036" t="s">
        <v>48</v>
      </c>
      <c r="D4036">
        <v>25</v>
      </c>
      <c r="E4036">
        <v>24</v>
      </c>
      <c r="F4036">
        <v>21.56</v>
      </c>
      <c r="G4036">
        <v>0</v>
      </c>
      <c r="H4036">
        <v>0</v>
      </c>
      <c r="I4036" s="3">
        <f>E4036+G4036+H4036</f>
        <v>24</v>
      </c>
      <c r="J4036" s="3">
        <f>ROUND(MIN(IF(C4036="Técnico III",35,IF(C4036="Técnico II",28,IF(C4036="Técnico I",23,IF(C4036="JR",20,IF(C4036="Estágio",10,0))))),IF(C4036="Técnico III",SUMIFS($D:$D,$A:$A,$A4036,$B:$B,"&lt;&gt;Patrícia Karla de Sousa Araújo",$B:$B,"&lt;&gt;Lorena Dias de Araujo",$B:$B,"&lt;&gt;Lucas Luiz Romero")*(35/1083),IF(C4036="Técnico II",SUMIFS($D:$D,$A:$A,$A4036,$B:$B,"&lt;&gt;Patrícia Karla de Sousa Araújo",$B:$B,"&lt;&gt;Lorena Dias de Araujo",$B:$B,"&lt;&gt;Lucas Luiz Romero")*(28/1083),IF(C4036="Técnico I",SUMIFS($D:$D,$A:$A,$A4036,$B:$B,"&lt;&gt;Patrícia Karla de Sousa Araújo",$B:$B,"&lt;&gt;Lorena Dias de Araujo",$B:$B,"&lt;&gt;Lucas Luiz Romero")*(23/1083),IF(C4036="JR",SUMIFS($D:$D,$A:$A,$A4036,$B:$B,"&lt;&gt;Patrícia Karla de Sousa Araújo",$B:$B,"&lt;&gt;Lorena Dias de Araujo",$B:$B,"&lt;&gt;Lucas Luiz Romero")*(20/1083),IF(C4036="Estágio",SUMIFS($D:$D,$A:$A,$A4036,$B:$B,"&lt;&gt;Patrícia Karla de Sousa Araújo",$B:$B,"&lt;&gt;Lorena Dias de Araujo",$B:$B,"&lt;&gt;Lucas Luiz Romero")*(10/1083),0)))))),0)</f>
        <v>23</v>
      </c>
      <c r="K4036" s="3">
        <f>I4036-J4036</f>
        <v>1</v>
      </c>
      <c r="L4036" s="3" t="str">
        <f>IF(K4036&lt;-5,"CRÍTICO",IF(K4036&lt;0,"ATENÇÃO",IF(K4036&lt;=5,"OPORTUNO","MUITO BOM")))</f>
        <v>OPORTUNO</v>
      </c>
      <c r="M4036">
        <v>26</v>
      </c>
      <c r="N4036">
        <v>98.2</v>
      </c>
      <c r="O4036">
        <v>27.170868347338931</v>
      </c>
    </row>
    <row r="4037" spans="1:15" hidden="1" x14ac:dyDescent="0.25">
      <c r="A4037" s="11">
        <v>46128</v>
      </c>
      <c r="B4037" t="s">
        <v>17</v>
      </c>
      <c r="C4037" t="s">
        <v>16</v>
      </c>
      <c r="D4037">
        <v>11</v>
      </c>
      <c r="E4037">
        <v>9</v>
      </c>
      <c r="F4037">
        <v>32.01</v>
      </c>
      <c r="G4037">
        <v>0</v>
      </c>
      <c r="H4037">
        <v>0</v>
      </c>
      <c r="I4037" s="3">
        <f>E4037+G4037+H4037</f>
        <v>9</v>
      </c>
      <c r="J4037" s="3">
        <f>ROUND(MIN(IF(C4037="Técnico III",35,IF(C4037="Técnico II",28,IF(C4037="Técnico I",23,IF(C4037="JR",20,IF(C4037="Estágio",10,0))))),IF(C4037="Técnico III",SUMIFS($D:$D,$A:$A,$A4037,$B:$B,"&lt;&gt;Patrícia Karla de Sousa Araújo",$B:$B,"&lt;&gt;Lorena Dias de Araujo",$B:$B,"&lt;&gt;Lucas Luiz Romero")*(35/1083),IF(C4037="Técnico II",SUMIFS($D:$D,$A:$A,$A4037,$B:$B,"&lt;&gt;Patrícia Karla de Sousa Araújo",$B:$B,"&lt;&gt;Lorena Dias de Araujo",$B:$B,"&lt;&gt;Lucas Luiz Romero")*(28/1083),IF(C4037="Técnico I",SUMIFS($D:$D,$A:$A,$A4037,$B:$B,"&lt;&gt;Patrícia Karla de Sousa Araújo",$B:$B,"&lt;&gt;Lorena Dias de Araujo",$B:$B,"&lt;&gt;Lucas Luiz Romero")*(23/1083),IF(C4037="JR",SUMIFS($D:$D,$A:$A,$A4037,$B:$B,"&lt;&gt;Patrícia Karla de Sousa Araújo",$B:$B,"&lt;&gt;Lorena Dias de Araujo",$B:$B,"&lt;&gt;Lucas Luiz Romero")*(20/1083),IF(C4037="Estágio",SUMIFS($D:$D,$A:$A,$A4037,$B:$B,"&lt;&gt;Patrícia Karla de Sousa Araújo",$B:$B,"&lt;&gt;Lorena Dias de Araujo",$B:$B,"&lt;&gt;Lucas Luiz Romero")*(10/1083),0)))))),0)</f>
        <v>8</v>
      </c>
      <c r="K4037" s="3">
        <f>I4037-J4037</f>
        <v>1</v>
      </c>
      <c r="L4037" s="3" t="str">
        <f>IF(K4037&lt;-5,"CRÍTICO",IF(K4037&lt;0,"ATENÇÃO",IF(K4037&lt;=5,"OPORTUNO","MUITO BOM")))</f>
        <v>OPORTUNO</v>
      </c>
      <c r="M4037">
        <v>7</v>
      </c>
      <c r="N4037">
        <v>100</v>
      </c>
      <c r="O4037">
        <v>23.134328358208951</v>
      </c>
    </row>
    <row r="4038" spans="1:15" hidden="1" x14ac:dyDescent="0.25">
      <c r="A4038" s="11">
        <v>46128</v>
      </c>
      <c r="B4038" t="s">
        <v>60</v>
      </c>
      <c r="C4038" t="s">
        <v>23</v>
      </c>
      <c r="D4038">
        <v>12</v>
      </c>
      <c r="E4038">
        <v>11</v>
      </c>
      <c r="F4038">
        <v>18.309999999999999</v>
      </c>
      <c r="G4038">
        <v>0</v>
      </c>
      <c r="H4038">
        <v>0</v>
      </c>
      <c r="I4038" s="3">
        <f>E4038+G4038+H4038</f>
        <v>11</v>
      </c>
      <c r="J4038" s="3">
        <f>ROUND(MIN(IF(C4038="Técnico III",35,IF(C4038="Técnico II",28,IF(C4038="Técnico I",23,IF(C4038="JR",20,IF(C4038="Estágio",10,0))))),IF(C4038="Técnico III",SUMIFS($D:$D,$A:$A,$A4038,$B:$B,"&lt;&gt;Patrícia Karla de Sousa Araújo",$B:$B,"&lt;&gt;Lorena Dias de Araujo",$B:$B,"&lt;&gt;Lucas Luiz Romero")*(35/1083),IF(C4038="Técnico II",SUMIFS($D:$D,$A:$A,$A4038,$B:$B,"&lt;&gt;Patrícia Karla de Sousa Araújo",$B:$B,"&lt;&gt;Lorena Dias de Araujo",$B:$B,"&lt;&gt;Lucas Luiz Romero")*(28/1083),IF(C4038="Técnico I",SUMIFS($D:$D,$A:$A,$A4038,$B:$B,"&lt;&gt;Patrícia Karla de Sousa Araújo",$B:$B,"&lt;&gt;Lorena Dias de Araujo",$B:$B,"&lt;&gt;Lucas Luiz Romero")*(23/1083),IF(C4038="JR",SUMIFS($D:$D,$A:$A,$A4038,$B:$B,"&lt;&gt;Patrícia Karla de Sousa Araújo",$B:$B,"&lt;&gt;Lorena Dias de Araujo",$B:$B,"&lt;&gt;Lucas Luiz Romero")*(20/1083),IF(C4038="Estágio",SUMIFS($D:$D,$A:$A,$A4038,$B:$B,"&lt;&gt;Patrícia Karla de Sousa Araújo",$B:$B,"&lt;&gt;Lorena Dias de Araujo",$B:$B,"&lt;&gt;Lucas Luiz Romero")*(10/1083),0)))))),0)</f>
        <v>19</v>
      </c>
      <c r="K4038" s="3">
        <f>I4038-J4038</f>
        <v>-8</v>
      </c>
      <c r="L4038" s="3" t="str">
        <f>IF(K4038&lt;-5,"CRÍTICO",IF(K4038&lt;0,"ATENÇÃO",IF(K4038&lt;=5,"OPORTUNO","MUITO BOM")))</f>
        <v>CRÍTICO</v>
      </c>
      <c r="M4038">
        <v>11</v>
      </c>
      <c r="N4038">
        <v>96.3</v>
      </c>
      <c r="O4038">
        <v>32.219570405727922</v>
      </c>
    </row>
    <row r="4039" spans="1:15" hidden="1" x14ac:dyDescent="0.25">
      <c r="A4039" s="11">
        <v>46128</v>
      </c>
      <c r="B4039" t="s">
        <v>34</v>
      </c>
      <c r="C4039" t="s">
        <v>32</v>
      </c>
      <c r="D4039">
        <v>30</v>
      </c>
      <c r="E4039">
        <v>26</v>
      </c>
      <c r="F4039">
        <v>13.3</v>
      </c>
      <c r="G4039">
        <v>0</v>
      </c>
      <c r="H4039">
        <v>0</v>
      </c>
      <c r="I4039" s="3">
        <f>E4039+G4039+H4039</f>
        <v>26</v>
      </c>
      <c r="J4039" s="3">
        <f>ROUND(MIN(IF(C4039="Técnico III",35,IF(C4039="Técnico II",28,IF(C4039="Técnico I",23,IF(C4039="JR",20,IF(C4039="Estágio",10,0))))),IF(C4039="Técnico III",SUMIFS($D:$D,$A:$A,$A4039,$B:$B,"&lt;&gt;Patrícia Karla de Sousa Araújo",$B:$B,"&lt;&gt;Lorena Dias de Araujo",$B:$B,"&lt;&gt;Lucas Luiz Romero")*(35/1083),IF(C4039="Técnico II",SUMIFS($D:$D,$A:$A,$A4039,$B:$B,"&lt;&gt;Patrícia Karla de Sousa Araújo",$B:$B,"&lt;&gt;Lorena Dias de Araujo",$B:$B,"&lt;&gt;Lucas Luiz Romero")*(28/1083),IF(C4039="Técnico I",SUMIFS($D:$D,$A:$A,$A4039,$B:$B,"&lt;&gt;Patrícia Karla de Sousa Araújo",$B:$B,"&lt;&gt;Lorena Dias de Araujo",$B:$B,"&lt;&gt;Lucas Luiz Romero")*(23/1083),IF(C4039="JR",SUMIFS($D:$D,$A:$A,$A4039,$B:$B,"&lt;&gt;Patrícia Karla de Sousa Araújo",$B:$B,"&lt;&gt;Lorena Dias de Araujo",$B:$B,"&lt;&gt;Lucas Luiz Romero")*(20/1083),IF(C4039="Estágio",SUMIFS($D:$D,$A:$A,$A4039,$B:$B,"&lt;&gt;Patrícia Karla de Sousa Araújo",$B:$B,"&lt;&gt;Lorena Dias de Araujo",$B:$B,"&lt;&gt;Lucas Luiz Romero")*(10/1083),0)))))),0)</f>
        <v>29</v>
      </c>
      <c r="K4039" s="3">
        <f>I4039-J4039</f>
        <v>-3</v>
      </c>
      <c r="L4039" s="3" t="str">
        <f>IF(K4039&lt;-5,"CRÍTICO",IF(K4039&lt;0,"ATENÇÃO",IF(K4039&lt;=5,"OPORTUNO","MUITO BOM")))</f>
        <v>ATENÇÃO</v>
      </c>
      <c r="M4039">
        <v>26</v>
      </c>
      <c r="N4039">
        <v>93.75</v>
      </c>
      <c r="O4039">
        <v>26.819923371647509</v>
      </c>
    </row>
    <row r="4040" spans="1:15" hidden="1" x14ac:dyDescent="0.25">
      <c r="A4040" s="11">
        <v>46128</v>
      </c>
      <c r="B4040" t="s">
        <v>51</v>
      </c>
      <c r="C4040" t="s">
        <v>48</v>
      </c>
      <c r="D4040">
        <v>35</v>
      </c>
      <c r="E4040">
        <v>25</v>
      </c>
      <c r="F4040">
        <v>15.05</v>
      </c>
      <c r="G4040">
        <v>0</v>
      </c>
      <c r="H4040">
        <v>0</v>
      </c>
      <c r="I4040" s="3">
        <v>0</v>
      </c>
      <c r="J4040" s="3">
        <v>0</v>
      </c>
      <c r="K4040" s="3">
        <v>0</v>
      </c>
      <c r="L4040" s="3" t="str">
        <f>IF(K4040&lt;-5,"CRÍTICO",IF(K4040&lt;0,"ATENÇÃO",IF(K4040&lt;=5,"OPORTUNO","MUITO BOM")))</f>
        <v>OPORTUNO</v>
      </c>
      <c r="M4040">
        <v>29</v>
      </c>
      <c r="N4040">
        <v>97.86</v>
      </c>
      <c r="O4040">
        <v>31.018518518518519</v>
      </c>
    </row>
    <row r="4041" spans="1:15" hidden="1" x14ac:dyDescent="0.25">
      <c r="A4041" s="11">
        <v>46128</v>
      </c>
      <c r="B4041" t="s">
        <v>61</v>
      </c>
      <c r="C4041" t="s">
        <v>23</v>
      </c>
      <c r="D4041">
        <v>22</v>
      </c>
      <c r="E4041">
        <v>22</v>
      </c>
      <c r="F4041">
        <v>17.27</v>
      </c>
      <c r="G4041">
        <v>0</v>
      </c>
      <c r="H4041">
        <v>0</v>
      </c>
      <c r="I4041" s="3">
        <f>E4041+G4041+H4041</f>
        <v>22</v>
      </c>
      <c r="J4041" s="3">
        <f>ROUND(MIN(IF(C4041="Técnico III",35,IF(C4041="Técnico II",28,IF(C4041="Técnico I",23,IF(C4041="JR",20,IF(C4041="Estágio",10,0))))),IF(C4041="Técnico III",SUMIFS($D:$D,$A:$A,$A4041,$B:$B,"&lt;&gt;Patrícia Karla de Sousa Araújo",$B:$B,"&lt;&gt;Lorena Dias de Araujo",$B:$B,"&lt;&gt;Lucas Luiz Romero")*(35/1083),IF(C4041="Técnico II",SUMIFS($D:$D,$A:$A,$A4041,$B:$B,"&lt;&gt;Patrícia Karla de Sousa Araújo",$B:$B,"&lt;&gt;Lorena Dias de Araujo",$B:$B,"&lt;&gt;Lucas Luiz Romero")*(28/1083),IF(C4041="Técnico I",SUMIFS($D:$D,$A:$A,$A4041,$B:$B,"&lt;&gt;Patrícia Karla de Sousa Araújo",$B:$B,"&lt;&gt;Lorena Dias de Araujo",$B:$B,"&lt;&gt;Lucas Luiz Romero")*(23/1083),IF(C4041="JR",SUMIFS($D:$D,$A:$A,$A4041,$B:$B,"&lt;&gt;Patrícia Karla de Sousa Araújo",$B:$B,"&lt;&gt;Lorena Dias de Araujo",$B:$B,"&lt;&gt;Lucas Luiz Romero")*(20/1083),IF(C4041="Estágio",SUMIFS($D:$D,$A:$A,$A4041,$B:$B,"&lt;&gt;Patrícia Karla de Sousa Araújo",$B:$B,"&lt;&gt;Lorena Dias de Araujo",$B:$B,"&lt;&gt;Lucas Luiz Romero")*(10/1083),0)))))),0)</f>
        <v>19</v>
      </c>
      <c r="K4041" s="3">
        <f>I4041-J4041</f>
        <v>3</v>
      </c>
      <c r="L4041" s="3" t="str">
        <f>IF(K4041&lt;-5,"CRÍTICO",IF(K4041&lt;0,"ATENÇÃO",IF(K4041&lt;=5,"OPORTUNO","MUITO BOM")))</f>
        <v>OPORTUNO</v>
      </c>
      <c r="M4041">
        <v>23</v>
      </c>
      <c r="N4041">
        <v>100</v>
      </c>
      <c r="O4041">
        <v>36.594202898550733</v>
      </c>
    </row>
    <row r="4042" spans="1:15" hidden="1" x14ac:dyDescent="0.25">
      <c r="A4042" s="11">
        <v>46128</v>
      </c>
      <c r="B4042" t="s">
        <v>35</v>
      </c>
      <c r="C4042" t="s">
        <v>32</v>
      </c>
      <c r="D4042">
        <v>8</v>
      </c>
      <c r="E4042">
        <v>8</v>
      </c>
      <c r="F4042">
        <v>35.44</v>
      </c>
      <c r="G4042">
        <v>0</v>
      </c>
      <c r="H4042">
        <v>0</v>
      </c>
      <c r="I4042" s="3">
        <v>0</v>
      </c>
      <c r="J4042" s="3">
        <v>0</v>
      </c>
      <c r="K4042" s="3">
        <v>0</v>
      </c>
      <c r="L4042" s="3" t="str">
        <f>IF(K4042&lt;-5,"CRÍTICO",IF(K4042&lt;0,"ATENÇÃO",IF(K4042&lt;=5,"OPORTUNO","MUITO BOM")))</f>
        <v>OPORTUNO</v>
      </c>
      <c r="M4042">
        <v>12</v>
      </c>
      <c r="N4042">
        <v>100</v>
      </c>
      <c r="O4042">
        <v>38.653846153846153</v>
      </c>
    </row>
    <row r="4043" spans="1:15" hidden="1" x14ac:dyDescent="0.25">
      <c r="A4043" s="11">
        <v>46128</v>
      </c>
      <c r="B4043" t="s">
        <v>18</v>
      </c>
      <c r="C4043" t="s">
        <v>16</v>
      </c>
      <c r="D4043">
        <v>6</v>
      </c>
      <c r="E4043">
        <v>5</v>
      </c>
      <c r="F4043">
        <v>27.29</v>
      </c>
      <c r="G4043">
        <v>0</v>
      </c>
      <c r="H4043">
        <v>0</v>
      </c>
      <c r="I4043" s="3">
        <f>E4043+G4043+H4043</f>
        <v>5</v>
      </c>
      <c r="J4043" s="3">
        <f>ROUND(MIN(IF(C4043="Técnico III",35,IF(C4043="Técnico II",28,IF(C4043="Técnico I",23,IF(C4043="JR",20,IF(C4043="Estágio",10,0))))),IF(C4043="Técnico III",SUMIFS($D:$D,$A:$A,$A4043,$B:$B,"&lt;&gt;Patrícia Karla de Sousa Araújo",$B:$B,"&lt;&gt;Lorena Dias de Araujo",$B:$B,"&lt;&gt;Lucas Luiz Romero")*(35/1083),IF(C4043="Técnico II",SUMIFS($D:$D,$A:$A,$A4043,$B:$B,"&lt;&gt;Patrícia Karla de Sousa Araújo",$B:$B,"&lt;&gt;Lorena Dias de Araujo",$B:$B,"&lt;&gt;Lucas Luiz Romero")*(28/1083),IF(C4043="Técnico I",SUMIFS($D:$D,$A:$A,$A4043,$B:$B,"&lt;&gt;Patrícia Karla de Sousa Araújo",$B:$B,"&lt;&gt;Lorena Dias de Araujo",$B:$B,"&lt;&gt;Lucas Luiz Romero")*(23/1083),IF(C4043="JR",SUMIFS($D:$D,$A:$A,$A4043,$B:$B,"&lt;&gt;Patrícia Karla de Sousa Araújo",$B:$B,"&lt;&gt;Lorena Dias de Araujo",$B:$B,"&lt;&gt;Lucas Luiz Romero")*(20/1083),IF(C4043="Estágio",SUMIFS($D:$D,$A:$A,$A4043,$B:$B,"&lt;&gt;Patrícia Karla de Sousa Araújo",$B:$B,"&lt;&gt;Lorena Dias de Araujo",$B:$B,"&lt;&gt;Lucas Luiz Romero")*(10/1083),0)))))),0)</f>
        <v>8</v>
      </c>
      <c r="K4043" s="3">
        <f>I4043-J4043</f>
        <v>-3</v>
      </c>
      <c r="L4043" s="3" t="str">
        <f>IF(K4043&lt;-5,"CRÍTICO",IF(K4043&lt;0,"ATENÇÃO",IF(K4043&lt;=5,"OPORTUNO","MUITO BOM")))</f>
        <v>ATENÇÃO</v>
      </c>
      <c r="M4043">
        <v>3</v>
      </c>
      <c r="N4043">
        <v>100</v>
      </c>
      <c r="O4043">
        <v>27.368421052631579</v>
      </c>
    </row>
    <row r="4044" spans="1:15" hidden="1" x14ac:dyDescent="0.25">
      <c r="A4044" s="11">
        <v>46128</v>
      </c>
      <c r="B4044" t="s">
        <v>52</v>
      </c>
      <c r="C4044" t="s">
        <v>48</v>
      </c>
      <c r="D4044">
        <v>27</v>
      </c>
      <c r="E4044">
        <v>25</v>
      </c>
      <c r="F4044">
        <v>17.27</v>
      </c>
      <c r="G4044">
        <v>0</v>
      </c>
      <c r="H4044">
        <v>0</v>
      </c>
      <c r="I4044" s="3">
        <f>E4044+G4044+H4044</f>
        <v>25</v>
      </c>
      <c r="J4044" s="3">
        <f>ROUND(MIN(IF(C4044="Técnico III",35,IF(C4044="Técnico II",28,IF(C4044="Técnico I",23,IF(C4044="JR",20,IF(C4044="Estágio",10,0))))),IF(C4044="Técnico III",SUMIFS($D:$D,$A:$A,$A4044,$B:$B,"&lt;&gt;Patrícia Karla de Sousa Araújo",$B:$B,"&lt;&gt;Lorena Dias de Araujo",$B:$B,"&lt;&gt;Lucas Luiz Romero")*(35/1083),IF(C4044="Técnico II",SUMIFS($D:$D,$A:$A,$A4044,$B:$B,"&lt;&gt;Patrícia Karla de Sousa Araújo",$B:$B,"&lt;&gt;Lorena Dias de Araujo",$B:$B,"&lt;&gt;Lucas Luiz Romero")*(28/1083),IF(C4044="Técnico I",SUMIFS($D:$D,$A:$A,$A4044,$B:$B,"&lt;&gt;Patrícia Karla de Sousa Araújo",$B:$B,"&lt;&gt;Lorena Dias de Araujo",$B:$B,"&lt;&gt;Lucas Luiz Romero")*(23/1083),IF(C4044="JR",SUMIFS($D:$D,$A:$A,$A4044,$B:$B,"&lt;&gt;Patrícia Karla de Sousa Araújo",$B:$B,"&lt;&gt;Lorena Dias de Araujo",$B:$B,"&lt;&gt;Lucas Luiz Romero")*(20/1083),IF(C4044="Estágio",SUMIFS($D:$D,$A:$A,$A4044,$B:$B,"&lt;&gt;Patrícia Karla de Sousa Araújo",$B:$B,"&lt;&gt;Lorena Dias de Araujo",$B:$B,"&lt;&gt;Lucas Luiz Romero")*(10/1083),0)))))),0)</f>
        <v>23</v>
      </c>
      <c r="K4044" s="3">
        <f>I4044-J4044</f>
        <v>2</v>
      </c>
      <c r="L4044" s="3" t="str">
        <f>IF(K4044&lt;-5,"CRÍTICO",IF(K4044&lt;0,"ATENÇÃO",IF(K4044&lt;=5,"OPORTUNO","MUITO BOM")))</f>
        <v>OPORTUNO</v>
      </c>
      <c r="M4044">
        <v>24</v>
      </c>
      <c r="N4044">
        <v>97.83</v>
      </c>
      <c r="O4044">
        <v>28.35164835164835</v>
      </c>
    </row>
    <row r="4045" spans="1:15" hidden="1" x14ac:dyDescent="0.25">
      <c r="A4045" s="11">
        <v>46128</v>
      </c>
      <c r="B4045" t="s">
        <v>36</v>
      </c>
      <c r="C4045" t="s">
        <v>32</v>
      </c>
      <c r="D4045">
        <v>21</v>
      </c>
      <c r="E4045">
        <v>19</v>
      </c>
      <c r="F4045">
        <v>20.100000000000001</v>
      </c>
      <c r="G4045">
        <v>0</v>
      </c>
      <c r="H4045">
        <v>0</v>
      </c>
      <c r="I4045" s="3">
        <f>E4045+G4045+H4045</f>
        <v>19</v>
      </c>
      <c r="J4045" s="3">
        <f>ROUND(MIN(IF(C4045="Técnico III",35,IF(C4045="Técnico II",28,IF(C4045="Técnico I",23,IF(C4045="JR",20,IF(C4045="Estágio",10,0))))),IF(C4045="Técnico III",SUMIFS($D:$D,$A:$A,$A4045,$B:$B,"&lt;&gt;Patrícia Karla de Sousa Araújo",$B:$B,"&lt;&gt;Lorena Dias de Araujo",$B:$B,"&lt;&gt;Lucas Luiz Romero")*(35/1083),IF(C4045="Técnico II",SUMIFS($D:$D,$A:$A,$A4045,$B:$B,"&lt;&gt;Patrícia Karla de Sousa Araújo",$B:$B,"&lt;&gt;Lorena Dias de Araujo",$B:$B,"&lt;&gt;Lucas Luiz Romero")*(28/1083),IF(C4045="Técnico I",SUMIFS($D:$D,$A:$A,$A4045,$B:$B,"&lt;&gt;Patrícia Karla de Sousa Araújo",$B:$B,"&lt;&gt;Lorena Dias de Araujo",$B:$B,"&lt;&gt;Lucas Luiz Romero")*(23/1083),IF(C4045="JR",SUMIFS($D:$D,$A:$A,$A4045,$B:$B,"&lt;&gt;Patrícia Karla de Sousa Araújo",$B:$B,"&lt;&gt;Lorena Dias de Araujo",$B:$B,"&lt;&gt;Lucas Luiz Romero")*(20/1083),IF(C4045="Estágio",SUMIFS($D:$D,$A:$A,$A4045,$B:$B,"&lt;&gt;Patrícia Karla de Sousa Araújo",$B:$B,"&lt;&gt;Lorena Dias de Araujo",$B:$B,"&lt;&gt;Lucas Luiz Romero")*(10/1083),0)))))),0)</f>
        <v>29</v>
      </c>
      <c r="K4045" s="3">
        <f>I4045-J4045</f>
        <v>-10</v>
      </c>
      <c r="L4045" s="3" t="str">
        <f>IF(K4045&lt;-5,"CRÍTICO",IF(K4045&lt;0,"ATENÇÃO",IF(K4045&lt;=5,"OPORTUNO","MUITO BOM")))</f>
        <v>CRÍTICO</v>
      </c>
      <c r="M4045">
        <v>22</v>
      </c>
      <c r="N4045">
        <v>99.26</v>
      </c>
      <c r="O4045">
        <v>29.766536964980549</v>
      </c>
    </row>
    <row r="4046" spans="1:15" hidden="1" x14ac:dyDescent="0.25">
      <c r="A4046" s="11">
        <v>46128</v>
      </c>
      <c r="B4046" t="s">
        <v>53</v>
      </c>
      <c r="C4046" t="s">
        <v>48</v>
      </c>
      <c r="D4046">
        <v>27</v>
      </c>
      <c r="E4046">
        <v>26</v>
      </c>
      <c r="F4046">
        <v>28.54</v>
      </c>
      <c r="G4046">
        <v>0</v>
      </c>
      <c r="H4046">
        <v>0</v>
      </c>
      <c r="I4046" s="3">
        <f>E4046+G4046+H4046</f>
        <v>26</v>
      </c>
      <c r="J4046" s="3">
        <f>ROUND(MIN(IF(C4046="Técnico III",35,IF(C4046="Técnico II",28,IF(C4046="Técnico I",23,IF(C4046="JR",20,IF(C4046="Estágio",10,0))))),IF(C4046="Técnico III",SUMIFS($D:$D,$A:$A,$A4046,$B:$B,"&lt;&gt;Patrícia Karla de Sousa Araújo",$B:$B,"&lt;&gt;Lorena Dias de Araujo",$B:$B,"&lt;&gt;Lucas Luiz Romero")*(35/1083),IF(C4046="Técnico II",SUMIFS($D:$D,$A:$A,$A4046,$B:$B,"&lt;&gt;Patrícia Karla de Sousa Araújo",$B:$B,"&lt;&gt;Lorena Dias de Araujo",$B:$B,"&lt;&gt;Lucas Luiz Romero")*(28/1083),IF(C4046="Técnico I",SUMIFS($D:$D,$A:$A,$A4046,$B:$B,"&lt;&gt;Patrícia Karla de Sousa Araújo",$B:$B,"&lt;&gt;Lorena Dias de Araujo",$B:$B,"&lt;&gt;Lucas Luiz Romero")*(23/1083),IF(C4046="JR",SUMIFS($D:$D,$A:$A,$A4046,$B:$B,"&lt;&gt;Patrícia Karla de Sousa Araújo",$B:$B,"&lt;&gt;Lorena Dias de Araujo",$B:$B,"&lt;&gt;Lucas Luiz Romero")*(20/1083),IF(C4046="Estágio",SUMIFS($D:$D,$A:$A,$A4046,$B:$B,"&lt;&gt;Patrícia Karla de Sousa Araújo",$B:$B,"&lt;&gt;Lorena Dias de Araujo",$B:$B,"&lt;&gt;Lucas Luiz Romero")*(10/1083),0)))))),0)</f>
        <v>23</v>
      </c>
      <c r="K4046" s="3">
        <f>I4046-J4046</f>
        <v>3</v>
      </c>
      <c r="L4046" s="3" t="str">
        <f>IF(K4046&lt;-5,"CRÍTICO",IF(K4046&lt;0,"ATENÇÃO",IF(K4046&lt;=5,"OPORTUNO","MUITO BOM")))</f>
        <v>OPORTUNO</v>
      </c>
      <c r="M4046">
        <v>22</v>
      </c>
      <c r="N4046">
        <v>99.19</v>
      </c>
      <c r="O4046">
        <v>29.462365591397852</v>
      </c>
    </row>
    <row r="4047" spans="1:15" hidden="1" x14ac:dyDescent="0.25">
      <c r="A4047" s="7">
        <v>46161</v>
      </c>
      <c r="B4047" s="8" t="s">
        <v>45</v>
      </c>
      <c r="C4047" s="14" t="s">
        <v>32</v>
      </c>
      <c r="D4047" s="3">
        <v>39</v>
      </c>
      <c r="E4047" s="3">
        <v>35</v>
      </c>
      <c r="F4047" s="3">
        <v>10.55</v>
      </c>
      <c r="G4047" s="3">
        <v>3</v>
      </c>
      <c r="H4047" s="3">
        <v>0</v>
      </c>
      <c r="I4047" s="3">
        <f>E4047+G4047+H4047</f>
        <v>38</v>
      </c>
      <c r="J4047" s="3">
        <f>ROUND(MIN(IF(C4047="Técnico III",35,IF(C4047="Técnico II",28,IF(C4047="Técnico I",23,IF(C4047="JR",20,IF(C4047="Estágio",10,0))))),IF(C4047="Técnico III",SUMIFS($D:$D,$A:$A,$A4047,$B:$B,"&lt;&gt;Patrícia Karla de Sousa Araújo",$B:$B,"&lt;&gt;Lorena Dias de Araujo",$B:$B,"&lt;&gt;Lucas Luiz Romero")*(35/1083),IF(C4047="Técnico II",SUMIFS($D:$D,$A:$A,$A4047,$B:$B,"&lt;&gt;Patrícia Karla de Sousa Araújo",$B:$B,"&lt;&gt;Lorena Dias de Araujo",$B:$B,"&lt;&gt;Lucas Luiz Romero")*(28/1083),IF(C4047="Técnico I",SUMIFS($D:$D,$A:$A,$A4047,$B:$B,"&lt;&gt;Patrícia Karla de Sousa Araújo",$B:$B,"&lt;&gt;Lorena Dias de Araujo",$B:$B,"&lt;&gt;Lucas Luiz Romero")*(23/1083),IF(C4047="JR",SUMIFS($D:$D,$A:$A,$A4047,$B:$B,"&lt;&gt;Patrícia Karla de Sousa Araújo",$B:$B,"&lt;&gt;Lorena Dias de Araujo",$B:$B,"&lt;&gt;Lucas Luiz Romero")*(20/1083),IF(C4047="Estágio",SUMIFS($D:$D,$A:$A,$A4047,$B:$B,"&lt;&gt;Patrícia Karla de Sousa Araújo",$B:$B,"&lt;&gt;Lorena Dias de Araujo",$B:$B,"&lt;&gt;Lucas Luiz Romero")*(10/1083),0)))))),0)</f>
        <v>29</v>
      </c>
      <c r="K4047" s="3">
        <f>I4047-J4047</f>
        <v>9</v>
      </c>
      <c r="L4047" s="3" t="str">
        <f>IF(K4047&lt;-5,"CRÍTICO",IF(K4047&lt;0,"ATENÇÃO",IF(K4047&lt;=5,"OPORTUNO","MUITO BOM")))</f>
        <v>MUITO BOM</v>
      </c>
      <c r="M4047" s="3">
        <v>34</v>
      </c>
      <c r="N4047" s="3">
        <v>99.39</v>
      </c>
      <c r="O4047" s="3">
        <v>25.203252032520329</v>
      </c>
    </row>
    <row r="4048" spans="1:15" hidden="1" x14ac:dyDescent="0.25">
      <c r="A4048" s="11">
        <v>46128</v>
      </c>
      <c r="B4048" t="s">
        <v>54</v>
      </c>
      <c r="C4048" t="s">
        <v>48</v>
      </c>
      <c r="D4048">
        <v>0</v>
      </c>
      <c r="E4048">
        <v>0</v>
      </c>
      <c r="F4048">
        <v>0</v>
      </c>
      <c r="G4048">
        <v>0</v>
      </c>
      <c r="H4048">
        <v>0</v>
      </c>
      <c r="I4048" s="3">
        <v>0</v>
      </c>
      <c r="J4048" s="3">
        <v>0</v>
      </c>
      <c r="K4048" s="3">
        <v>0</v>
      </c>
      <c r="L4048" s="3" t="str">
        <f>IF(K4048&lt;-5,"CRÍTICO",IF(K4048&lt;0,"ATENÇÃO",IF(K4048&lt;=5,"OPORTUNO","MUITO BOM")))</f>
        <v>OPORTUNO</v>
      </c>
      <c r="M4048">
        <v>0</v>
      </c>
      <c r="N4048">
        <v>100</v>
      </c>
      <c r="O4048">
        <v>28.921568627450981</v>
      </c>
    </row>
    <row r="4049" spans="1:15" hidden="1" x14ac:dyDescent="0.25">
      <c r="A4049" s="11">
        <v>46128</v>
      </c>
      <c r="B4049" t="s">
        <v>37</v>
      </c>
      <c r="C4049" t="s">
        <v>32</v>
      </c>
      <c r="D4049">
        <v>38</v>
      </c>
      <c r="E4049">
        <v>34</v>
      </c>
      <c r="F4049">
        <v>14.17</v>
      </c>
      <c r="G4049">
        <v>0</v>
      </c>
      <c r="H4049">
        <v>0</v>
      </c>
      <c r="I4049" s="3">
        <f>E4049+G4049+H4049</f>
        <v>34</v>
      </c>
      <c r="J4049" s="3">
        <f>ROUND(MIN(IF(C4049="Técnico III",35,IF(C4049="Técnico II",28,IF(C4049="Técnico I",23,IF(C4049="JR",20,IF(C4049="Estágio",10,0))))),IF(C4049="Técnico III",SUMIFS($D:$D,$A:$A,$A4049,$B:$B,"&lt;&gt;Patrícia Karla de Sousa Araújo",$B:$B,"&lt;&gt;Lorena Dias de Araujo",$B:$B,"&lt;&gt;Lucas Luiz Romero")*(35/1083),IF(C4049="Técnico II",SUMIFS($D:$D,$A:$A,$A4049,$B:$B,"&lt;&gt;Patrícia Karla de Sousa Araújo",$B:$B,"&lt;&gt;Lorena Dias de Araujo",$B:$B,"&lt;&gt;Lucas Luiz Romero")*(28/1083),IF(C4049="Técnico I",SUMIFS($D:$D,$A:$A,$A4049,$B:$B,"&lt;&gt;Patrícia Karla de Sousa Araújo",$B:$B,"&lt;&gt;Lorena Dias de Araujo",$B:$B,"&lt;&gt;Lucas Luiz Romero")*(23/1083),IF(C4049="JR",SUMIFS($D:$D,$A:$A,$A4049,$B:$B,"&lt;&gt;Patrícia Karla de Sousa Araújo",$B:$B,"&lt;&gt;Lorena Dias de Araujo",$B:$B,"&lt;&gt;Lucas Luiz Romero")*(20/1083),IF(C4049="Estágio",SUMIFS($D:$D,$A:$A,$A4049,$B:$B,"&lt;&gt;Patrícia Karla de Sousa Araújo",$B:$B,"&lt;&gt;Lorena Dias de Araujo",$B:$B,"&lt;&gt;Lucas Luiz Romero")*(10/1083),0)))))),0)</f>
        <v>29</v>
      </c>
      <c r="K4049" s="3">
        <f>I4049-J4049</f>
        <v>5</v>
      </c>
      <c r="L4049" s="3" t="str">
        <f>IF(K4049&lt;-5,"CRÍTICO",IF(K4049&lt;0,"ATENÇÃO",IF(K4049&lt;=5,"OPORTUNO","MUITO BOM")))</f>
        <v>OPORTUNO</v>
      </c>
      <c r="M4049">
        <v>31</v>
      </c>
      <c r="N4049">
        <v>99.57</v>
      </c>
      <c r="O4049">
        <v>30.635838150289018</v>
      </c>
    </row>
    <row r="4050" spans="1:15" hidden="1" x14ac:dyDescent="0.25">
      <c r="A4050" s="11">
        <v>46128</v>
      </c>
      <c r="B4050" t="s">
        <v>38</v>
      </c>
      <c r="C4050" t="s">
        <v>32</v>
      </c>
      <c r="D4050">
        <v>0</v>
      </c>
      <c r="E4050">
        <v>0</v>
      </c>
      <c r="F4050">
        <v>0</v>
      </c>
      <c r="G4050">
        <v>0</v>
      </c>
      <c r="H4050">
        <v>0</v>
      </c>
      <c r="I4050" s="3">
        <v>0</v>
      </c>
      <c r="J4050" s="3">
        <v>0</v>
      </c>
      <c r="K4050" s="3">
        <v>0</v>
      </c>
      <c r="L4050" s="3" t="str">
        <f>IF(K4050&lt;-5,"CRÍTICO",IF(K4050&lt;0,"ATENÇÃO",IF(K4050&lt;=5,"OPORTUNO","MUITO BOM")))</f>
        <v>OPORTUNO</v>
      </c>
      <c r="M4050">
        <v>0</v>
      </c>
      <c r="N4050">
        <v>95.65</v>
      </c>
      <c r="O4050">
        <v>32.432432432432442</v>
      </c>
    </row>
    <row r="4051" spans="1:15" hidden="1" x14ac:dyDescent="0.25">
      <c r="A4051" s="11">
        <v>46128</v>
      </c>
      <c r="B4051" t="s">
        <v>55</v>
      </c>
      <c r="C4051" t="s">
        <v>48</v>
      </c>
      <c r="D4051">
        <v>11</v>
      </c>
      <c r="E4051">
        <v>10</v>
      </c>
      <c r="F4051">
        <v>17.239999999999998</v>
      </c>
      <c r="G4051">
        <v>0</v>
      </c>
      <c r="H4051">
        <v>0</v>
      </c>
      <c r="I4051" s="3">
        <f>E4051+G4051+H4051</f>
        <v>10</v>
      </c>
      <c r="J4051" s="3">
        <f>ROUND(MIN(IF(C4051="Técnico III",35,IF(C4051="Técnico II",28,IF(C4051="Técnico I",23,IF(C4051="JR",20,IF(C4051="Estágio",10,0))))),IF(C4051="Técnico III",SUMIFS($D:$D,$A:$A,$A4051,$B:$B,"&lt;&gt;Patrícia Karla de Sousa Araújo",$B:$B,"&lt;&gt;Lorena Dias de Araujo",$B:$B,"&lt;&gt;Lucas Luiz Romero")*(35/1083),IF(C4051="Técnico II",SUMIFS($D:$D,$A:$A,$A4051,$B:$B,"&lt;&gt;Patrícia Karla de Sousa Araújo",$B:$B,"&lt;&gt;Lorena Dias de Araujo",$B:$B,"&lt;&gt;Lucas Luiz Romero")*(28/1083),IF(C4051="Técnico I",SUMIFS($D:$D,$A:$A,$A4051,$B:$B,"&lt;&gt;Patrícia Karla de Sousa Araújo",$B:$B,"&lt;&gt;Lorena Dias de Araujo",$B:$B,"&lt;&gt;Lucas Luiz Romero")*(23/1083),IF(C4051="JR",SUMIFS($D:$D,$A:$A,$A4051,$B:$B,"&lt;&gt;Patrícia Karla de Sousa Araújo",$B:$B,"&lt;&gt;Lorena Dias de Araujo",$B:$B,"&lt;&gt;Lucas Luiz Romero")*(20/1083),IF(C4051="Estágio",SUMIFS($D:$D,$A:$A,$A4051,$B:$B,"&lt;&gt;Patrícia Karla de Sousa Araújo",$B:$B,"&lt;&gt;Lorena Dias de Araujo",$B:$B,"&lt;&gt;Lucas Luiz Romero")*(10/1083),0)))))),0)</f>
        <v>23</v>
      </c>
      <c r="K4051" s="3">
        <f>I4051-J4051</f>
        <v>-13</v>
      </c>
      <c r="L4051" s="3" t="str">
        <f>IF(K4051&lt;-5,"CRÍTICO",IF(K4051&lt;0,"ATENÇÃO",IF(K4051&lt;=5,"OPORTUNO","MUITO BOM")))</f>
        <v>CRÍTICO</v>
      </c>
      <c r="M4051">
        <v>9</v>
      </c>
      <c r="N4051">
        <v>98.81</v>
      </c>
      <c r="O4051">
        <v>26.256983240223459</v>
      </c>
    </row>
    <row r="4052" spans="1:15" hidden="1" x14ac:dyDescent="0.25">
      <c r="A4052" s="11">
        <v>46128</v>
      </c>
      <c r="B4052" t="s">
        <v>39</v>
      </c>
      <c r="C4052" t="s">
        <v>32</v>
      </c>
      <c r="D4052">
        <v>0</v>
      </c>
      <c r="E4052">
        <v>0</v>
      </c>
      <c r="F4052">
        <v>0</v>
      </c>
      <c r="G4052">
        <v>0</v>
      </c>
      <c r="H4052">
        <v>0</v>
      </c>
      <c r="I4052" s="3">
        <v>0</v>
      </c>
      <c r="J4052" s="3">
        <v>0</v>
      </c>
      <c r="K4052" s="3">
        <v>0</v>
      </c>
      <c r="L4052" s="3" t="str">
        <f>IF(K4052&lt;-5,"CRÍTICO",IF(K4052&lt;0,"ATENÇÃO",IF(K4052&lt;=5,"OPORTUNO","MUITO BOM")))</f>
        <v>OPORTUNO</v>
      </c>
      <c r="M4052">
        <v>0</v>
      </c>
      <c r="N4052">
        <v>0</v>
      </c>
      <c r="O4052">
        <v>0</v>
      </c>
    </row>
    <row r="4053" spans="1:15" hidden="1" x14ac:dyDescent="0.25">
      <c r="A4053" s="11">
        <v>46128</v>
      </c>
      <c r="B4053" t="s">
        <v>25</v>
      </c>
      <c r="C4053" t="s">
        <v>26</v>
      </c>
      <c r="D4053">
        <v>21</v>
      </c>
      <c r="E4053">
        <v>19</v>
      </c>
      <c r="F4053">
        <v>18.54</v>
      </c>
      <c r="G4053">
        <v>0</v>
      </c>
      <c r="H4053">
        <v>0</v>
      </c>
      <c r="I4053" s="3">
        <f>E4053+G4053+H4053</f>
        <v>19</v>
      </c>
      <c r="J4053" s="3">
        <f>ROUND(MIN(IF(C4053="Técnico III",35,IF(C4053="Técnico II",28,IF(C4053="Técnico I",23,IF(C4053="JR",20,IF(C4053="Estágio",10,0))))),IF(C4053="Técnico III",SUMIFS($D:$D,$A:$A,$A4053,$B:$B,"&lt;&gt;Patrícia Karla de Sousa Araújo",$B:$B,"&lt;&gt;Lorena Dias de Araujo",$B:$B,"&lt;&gt;Lucas Luiz Romero")*(35/1083),IF(C4053="Técnico II",SUMIFS($D:$D,$A:$A,$A4053,$B:$B,"&lt;&gt;Patrícia Karla de Sousa Araújo",$B:$B,"&lt;&gt;Lorena Dias de Araujo",$B:$B,"&lt;&gt;Lucas Luiz Romero")*(28/1083),IF(C4053="Técnico I",SUMIFS($D:$D,$A:$A,$A4053,$B:$B,"&lt;&gt;Patrícia Karla de Sousa Araújo",$B:$B,"&lt;&gt;Lorena Dias de Araujo",$B:$B,"&lt;&gt;Lucas Luiz Romero")*(23/1083),IF(C4053="JR",SUMIFS($D:$D,$A:$A,$A4053,$B:$B,"&lt;&gt;Patrícia Karla de Sousa Araújo",$B:$B,"&lt;&gt;Lorena Dias de Araujo",$B:$B,"&lt;&gt;Lucas Luiz Romero")*(20/1083),IF(C4053="Estágio",SUMIFS($D:$D,$A:$A,$A4053,$B:$B,"&lt;&gt;Patrícia Karla de Sousa Araújo",$B:$B,"&lt;&gt;Lorena Dias de Araujo",$B:$B,"&lt;&gt;Lucas Luiz Romero")*(10/1083),0)))))),0)</f>
        <v>17</v>
      </c>
      <c r="K4053" s="3">
        <f>I4053-J4053</f>
        <v>2</v>
      </c>
      <c r="L4053" s="3" t="str">
        <f>IF(K4053&lt;-5,"CRÍTICO",IF(K4053&lt;0,"ATENÇÃO",IF(K4053&lt;=5,"OPORTUNO","MUITO BOM")))</f>
        <v>OPORTUNO</v>
      </c>
      <c r="M4053">
        <v>20</v>
      </c>
      <c r="N4053">
        <v>97.17</v>
      </c>
      <c r="O4053">
        <v>28.81844380403458</v>
      </c>
    </row>
    <row r="4054" spans="1:15" hidden="1" x14ac:dyDescent="0.25">
      <c r="A4054" s="11">
        <v>46128</v>
      </c>
      <c r="B4054" t="s">
        <v>40</v>
      </c>
      <c r="C4054" t="s">
        <v>32</v>
      </c>
      <c r="D4054">
        <v>0</v>
      </c>
      <c r="E4054">
        <v>0</v>
      </c>
      <c r="F4054">
        <v>0</v>
      </c>
      <c r="G4054">
        <v>0</v>
      </c>
      <c r="H4054">
        <v>0</v>
      </c>
      <c r="I4054" s="3">
        <v>0</v>
      </c>
      <c r="J4054" s="3">
        <v>0</v>
      </c>
      <c r="K4054" s="3">
        <v>0</v>
      </c>
      <c r="L4054" s="3" t="str">
        <f>IF(K4054&lt;-5,"CRÍTICO",IF(K4054&lt;0,"ATENÇÃO",IF(K4054&lt;=5,"OPORTUNO","MUITO BOM")))</f>
        <v>OPORTUNO</v>
      </c>
      <c r="M4054">
        <v>22</v>
      </c>
      <c r="N4054">
        <v>96.81</v>
      </c>
      <c r="O4054">
        <v>48.018648018648022</v>
      </c>
    </row>
    <row r="4055" spans="1:15" hidden="1" x14ac:dyDescent="0.25">
      <c r="A4055" s="11">
        <v>46128</v>
      </c>
      <c r="B4055" t="s">
        <v>27</v>
      </c>
      <c r="C4055" t="s">
        <v>26</v>
      </c>
      <c r="D4055">
        <v>17</v>
      </c>
      <c r="E4055">
        <v>13</v>
      </c>
      <c r="F4055">
        <v>24.14</v>
      </c>
      <c r="G4055">
        <v>0</v>
      </c>
      <c r="H4055">
        <v>0</v>
      </c>
      <c r="I4055" s="3">
        <f>E4055+G4055+H4055</f>
        <v>13</v>
      </c>
      <c r="J4055" s="3">
        <f>ROUND(MIN(IF(C4055="Técnico III",35,IF(C4055="Técnico II",28,IF(C4055="Técnico I",23,IF(C4055="JR",20,IF(C4055="Estágio",10,0))))),IF(C4055="Técnico III",SUMIFS($D:$D,$A:$A,$A4055,$B:$B,"&lt;&gt;Patrícia Karla de Sousa Araújo",$B:$B,"&lt;&gt;Lorena Dias de Araujo",$B:$B,"&lt;&gt;Lucas Luiz Romero")*(35/1083),IF(C4055="Técnico II",SUMIFS($D:$D,$A:$A,$A4055,$B:$B,"&lt;&gt;Patrícia Karla de Sousa Araújo",$B:$B,"&lt;&gt;Lorena Dias de Araujo",$B:$B,"&lt;&gt;Lucas Luiz Romero")*(28/1083),IF(C4055="Técnico I",SUMIFS($D:$D,$A:$A,$A4055,$B:$B,"&lt;&gt;Patrícia Karla de Sousa Araújo",$B:$B,"&lt;&gt;Lorena Dias de Araujo",$B:$B,"&lt;&gt;Lucas Luiz Romero")*(23/1083),IF(C4055="JR",SUMIFS($D:$D,$A:$A,$A4055,$B:$B,"&lt;&gt;Patrícia Karla de Sousa Araújo",$B:$B,"&lt;&gt;Lorena Dias de Araujo",$B:$B,"&lt;&gt;Lucas Luiz Romero")*(20/1083),IF(C4055="Estágio",SUMIFS($D:$D,$A:$A,$A4055,$B:$B,"&lt;&gt;Patrícia Karla de Sousa Araújo",$B:$B,"&lt;&gt;Lorena Dias de Araujo",$B:$B,"&lt;&gt;Lucas Luiz Romero")*(10/1083),0)))))),0)</f>
        <v>17</v>
      </c>
      <c r="K4055" s="3">
        <f>I4055-J4055</f>
        <v>-4</v>
      </c>
      <c r="L4055" s="3" t="str">
        <f>IF(K4055&lt;-5,"CRÍTICO",IF(K4055&lt;0,"ATENÇÃO",IF(K4055&lt;=5,"OPORTUNO","MUITO BOM")))</f>
        <v>ATENÇÃO</v>
      </c>
      <c r="M4055">
        <v>11</v>
      </c>
      <c r="N4055">
        <v>98.15</v>
      </c>
      <c r="O4055">
        <v>27.1551724137931</v>
      </c>
    </row>
    <row r="4056" spans="1:15" hidden="1" x14ac:dyDescent="0.25">
      <c r="A4056" s="11">
        <v>46128</v>
      </c>
      <c r="B4056" t="s">
        <v>41</v>
      </c>
      <c r="C4056" t="s">
        <v>32</v>
      </c>
      <c r="D4056">
        <v>23</v>
      </c>
      <c r="E4056">
        <v>19</v>
      </c>
      <c r="F4056">
        <v>17.29</v>
      </c>
      <c r="G4056">
        <v>0</v>
      </c>
      <c r="H4056">
        <v>0</v>
      </c>
      <c r="I4056" s="3">
        <f>E4056+G4056+H4056</f>
        <v>19</v>
      </c>
      <c r="J4056" s="3">
        <f>ROUND(MIN(IF(C4056="Técnico III",35,IF(C4056="Técnico II",28,IF(C4056="Técnico I",23,IF(C4056="JR",20,IF(C4056="Estágio",10,0))))),IF(C4056="Técnico III",SUMIFS($D:$D,$A:$A,$A4056,$B:$B,"&lt;&gt;Patrícia Karla de Sousa Araújo",$B:$B,"&lt;&gt;Lorena Dias de Araujo",$B:$B,"&lt;&gt;Lucas Luiz Romero")*(35/1083),IF(C4056="Técnico II",SUMIFS($D:$D,$A:$A,$A4056,$B:$B,"&lt;&gt;Patrícia Karla de Sousa Araújo",$B:$B,"&lt;&gt;Lorena Dias de Araujo",$B:$B,"&lt;&gt;Lucas Luiz Romero")*(28/1083),IF(C4056="Técnico I",SUMIFS($D:$D,$A:$A,$A4056,$B:$B,"&lt;&gt;Patrícia Karla de Sousa Araújo",$B:$B,"&lt;&gt;Lorena Dias de Araujo",$B:$B,"&lt;&gt;Lucas Luiz Romero")*(23/1083),IF(C4056="JR",SUMIFS($D:$D,$A:$A,$A4056,$B:$B,"&lt;&gt;Patrícia Karla de Sousa Araújo",$B:$B,"&lt;&gt;Lorena Dias de Araujo",$B:$B,"&lt;&gt;Lucas Luiz Romero")*(20/1083),IF(C4056="Estágio",SUMIFS($D:$D,$A:$A,$A4056,$B:$B,"&lt;&gt;Patrícia Karla de Sousa Araújo",$B:$B,"&lt;&gt;Lorena Dias de Araujo",$B:$B,"&lt;&gt;Lucas Luiz Romero")*(10/1083),0)))))),0)</f>
        <v>29</v>
      </c>
      <c r="K4056" s="3">
        <f>I4056-J4056</f>
        <v>-10</v>
      </c>
      <c r="L4056" s="3" t="str">
        <f>IF(K4056&lt;-5,"CRÍTICO",IF(K4056&lt;0,"ATENÇÃO",IF(K4056&lt;=5,"OPORTUNO","MUITO BOM")))</f>
        <v>CRÍTICO</v>
      </c>
      <c r="M4056">
        <v>19</v>
      </c>
      <c r="N4056">
        <v>99.15</v>
      </c>
      <c r="O4056">
        <v>27.586206896551719</v>
      </c>
    </row>
    <row r="4057" spans="1:15" hidden="1" x14ac:dyDescent="0.25">
      <c r="A4057" s="11">
        <v>46128</v>
      </c>
      <c r="B4057" t="s">
        <v>56</v>
      </c>
      <c r="C4057" t="s">
        <v>48</v>
      </c>
      <c r="D4057">
        <v>30</v>
      </c>
      <c r="E4057">
        <v>29</v>
      </c>
      <c r="F4057">
        <v>20.16</v>
      </c>
      <c r="G4057">
        <v>0</v>
      </c>
      <c r="H4057">
        <v>0</v>
      </c>
      <c r="I4057" s="3">
        <f>E4057+G4057+H4057</f>
        <v>29</v>
      </c>
      <c r="J4057" s="3">
        <f>ROUND(MIN(IF(C4057="Técnico III",35,IF(C4057="Técnico II",28,IF(C4057="Técnico I",23,IF(C4057="JR",20,IF(C4057="Estágio",10,0))))),IF(C4057="Técnico III",SUMIFS($D:$D,$A:$A,$A4057,$B:$B,"&lt;&gt;Patrícia Karla de Sousa Araújo",$B:$B,"&lt;&gt;Lorena Dias de Araujo",$B:$B,"&lt;&gt;Lucas Luiz Romero")*(35/1083),IF(C4057="Técnico II",SUMIFS($D:$D,$A:$A,$A4057,$B:$B,"&lt;&gt;Patrícia Karla de Sousa Araújo",$B:$B,"&lt;&gt;Lorena Dias de Araujo",$B:$B,"&lt;&gt;Lucas Luiz Romero")*(28/1083),IF(C4057="Técnico I",SUMIFS($D:$D,$A:$A,$A4057,$B:$B,"&lt;&gt;Patrícia Karla de Sousa Araújo",$B:$B,"&lt;&gt;Lorena Dias de Araujo",$B:$B,"&lt;&gt;Lucas Luiz Romero")*(23/1083),IF(C4057="JR",SUMIFS($D:$D,$A:$A,$A4057,$B:$B,"&lt;&gt;Patrícia Karla de Sousa Araújo",$B:$B,"&lt;&gt;Lorena Dias de Araujo",$B:$B,"&lt;&gt;Lucas Luiz Romero")*(20/1083),IF(C4057="Estágio",SUMIFS($D:$D,$A:$A,$A4057,$B:$B,"&lt;&gt;Patrícia Karla de Sousa Araújo",$B:$B,"&lt;&gt;Lorena Dias de Araujo",$B:$B,"&lt;&gt;Lucas Luiz Romero")*(10/1083),0)))))),0)</f>
        <v>23</v>
      </c>
      <c r="K4057" s="3">
        <f>I4057-J4057</f>
        <v>6</v>
      </c>
      <c r="L4057" s="3" t="str">
        <f>IF(K4057&lt;-5,"CRÍTICO",IF(K4057&lt;0,"ATENÇÃO",IF(K4057&lt;=5,"OPORTUNO","MUITO BOM")))</f>
        <v>MUITO BOM</v>
      </c>
      <c r="M4057">
        <v>17</v>
      </c>
      <c r="N4057">
        <v>99.17</v>
      </c>
      <c r="O4057">
        <v>29.75206611570248</v>
      </c>
    </row>
    <row r="4058" spans="1:15" hidden="1" x14ac:dyDescent="0.25">
      <c r="A4058" s="11">
        <v>46128</v>
      </c>
      <c r="B4058" t="s">
        <v>57</v>
      </c>
      <c r="C4058" t="s">
        <v>48</v>
      </c>
      <c r="D4058">
        <v>0</v>
      </c>
      <c r="E4058">
        <v>0</v>
      </c>
      <c r="F4058">
        <v>0</v>
      </c>
      <c r="G4058">
        <v>0</v>
      </c>
      <c r="H4058">
        <v>0</v>
      </c>
      <c r="I4058" s="3">
        <v>0</v>
      </c>
      <c r="J4058" s="3">
        <v>0</v>
      </c>
      <c r="K4058" s="3">
        <v>0</v>
      </c>
      <c r="L4058" s="3" t="str">
        <f>IF(K4058&lt;-5,"CRÍTICO",IF(K4058&lt;0,"ATENÇÃO",IF(K4058&lt;=5,"OPORTUNO","MUITO BOM")))</f>
        <v>OPORTUNO</v>
      </c>
      <c r="M4058">
        <v>0</v>
      </c>
      <c r="N4058">
        <v>98.73</v>
      </c>
      <c r="O4058">
        <v>28.961748633879779</v>
      </c>
    </row>
    <row r="4059" spans="1:15" hidden="1" x14ac:dyDescent="0.25">
      <c r="A4059" s="11">
        <v>46128</v>
      </c>
      <c r="B4059" t="s">
        <v>42</v>
      </c>
      <c r="C4059" t="s">
        <v>32</v>
      </c>
      <c r="D4059">
        <v>16</v>
      </c>
      <c r="E4059">
        <v>14</v>
      </c>
      <c r="F4059">
        <v>15.23</v>
      </c>
      <c r="G4059">
        <v>0</v>
      </c>
      <c r="H4059">
        <v>0</v>
      </c>
      <c r="I4059" s="3">
        <f>E4059+G4059+H4059</f>
        <v>14</v>
      </c>
      <c r="J4059" s="3">
        <f>ROUND(MIN(IF(C4059="Técnico III",35,IF(C4059="Técnico II",28,IF(C4059="Técnico I",23,IF(C4059="JR",20,IF(C4059="Estágio",10,0))))),IF(C4059="Técnico III",SUMIFS($D:$D,$A:$A,$A4059,$B:$B,"&lt;&gt;Patrícia Karla de Sousa Araújo",$B:$B,"&lt;&gt;Lorena Dias de Araujo",$B:$B,"&lt;&gt;Lucas Luiz Romero")*(35/1083),IF(C4059="Técnico II",SUMIFS($D:$D,$A:$A,$A4059,$B:$B,"&lt;&gt;Patrícia Karla de Sousa Araújo",$B:$B,"&lt;&gt;Lorena Dias de Araujo",$B:$B,"&lt;&gt;Lucas Luiz Romero")*(28/1083),IF(C4059="Técnico I",SUMIFS($D:$D,$A:$A,$A4059,$B:$B,"&lt;&gt;Patrícia Karla de Sousa Araújo",$B:$B,"&lt;&gt;Lorena Dias de Araujo",$B:$B,"&lt;&gt;Lucas Luiz Romero")*(23/1083),IF(C4059="JR",SUMIFS($D:$D,$A:$A,$A4059,$B:$B,"&lt;&gt;Patrícia Karla de Sousa Araújo",$B:$B,"&lt;&gt;Lorena Dias de Araujo",$B:$B,"&lt;&gt;Lucas Luiz Romero")*(20/1083),IF(C4059="Estágio",SUMIFS($D:$D,$A:$A,$A4059,$B:$B,"&lt;&gt;Patrícia Karla de Sousa Araújo",$B:$B,"&lt;&gt;Lorena Dias de Araujo",$B:$B,"&lt;&gt;Lucas Luiz Romero")*(10/1083),0)))))),0)</f>
        <v>29</v>
      </c>
      <c r="K4059" s="3">
        <f>I4059-J4059</f>
        <v>-15</v>
      </c>
      <c r="L4059" s="3" t="str">
        <f>IF(K4059&lt;-5,"CRÍTICO",IF(K4059&lt;0,"ATENÇÃO",IF(K4059&lt;=5,"OPORTUNO","MUITO BOM")))</f>
        <v>CRÍTICO</v>
      </c>
      <c r="M4059">
        <v>11</v>
      </c>
      <c r="N4059">
        <v>88.68</v>
      </c>
      <c r="O4059">
        <v>22.03389830508474</v>
      </c>
    </row>
    <row r="4060" spans="1:15" hidden="1" x14ac:dyDescent="0.25">
      <c r="A4060" s="11">
        <v>46128</v>
      </c>
      <c r="B4060" t="s">
        <v>62</v>
      </c>
      <c r="C4060" t="s">
        <v>23</v>
      </c>
      <c r="D4060">
        <v>19</v>
      </c>
      <c r="E4060">
        <v>18</v>
      </c>
      <c r="F4060">
        <v>25.17</v>
      </c>
      <c r="G4060">
        <v>0</v>
      </c>
      <c r="H4060">
        <v>0</v>
      </c>
      <c r="I4060" s="3">
        <f>E4060+G4060+H4060</f>
        <v>18</v>
      </c>
      <c r="J4060" s="3">
        <f>ROUND(MIN(IF(C4060="Técnico III",35,IF(C4060="Técnico II",28,IF(C4060="Técnico I",23,IF(C4060="JR",20,IF(C4060="Estágio",10,0))))),IF(C4060="Técnico III",SUMIFS($D:$D,$A:$A,$A4060,$B:$B,"&lt;&gt;Patrícia Karla de Sousa Araújo",$B:$B,"&lt;&gt;Lorena Dias de Araujo",$B:$B,"&lt;&gt;Lucas Luiz Romero")*(35/1083),IF(C4060="Técnico II",SUMIFS($D:$D,$A:$A,$A4060,$B:$B,"&lt;&gt;Patrícia Karla de Sousa Araújo",$B:$B,"&lt;&gt;Lorena Dias de Araujo",$B:$B,"&lt;&gt;Lucas Luiz Romero")*(28/1083),IF(C4060="Técnico I",SUMIFS($D:$D,$A:$A,$A4060,$B:$B,"&lt;&gt;Patrícia Karla de Sousa Araújo",$B:$B,"&lt;&gt;Lorena Dias de Araujo",$B:$B,"&lt;&gt;Lucas Luiz Romero")*(23/1083),IF(C4060="JR",SUMIFS($D:$D,$A:$A,$A4060,$B:$B,"&lt;&gt;Patrícia Karla de Sousa Araújo",$B:$B,"&lt;&gt;Lorena Dias de Araujo",$B:$B,"&lt;&gt;Lucas Luiz Romero")*(20/1083),IF(C4060="Estágio",SUMIFS($D:$D,$A:$A,$A4060,$B:$B,"&lt;&gt;Patrícia Karla de Sousa Araújo",$B:$B,"&lt;&gt;Lorena Dias de Araujo",$B:$B,"&lt;&gt;Lucas Luiz Romero")*(10/1083),0)))))),0)</f>
        <v>19</v>
      </c>
      <c r="K4060" s="3">
        <f>I4060-J4060</f>
        <v>-1</v>
      </c>
      <c r="L4060" s="3" t="str">
        <f>IF(K4060&lt;-5,"CRÍTICO",IF(K4060&lt;0,"ATENÇÃO",IF(K4060&lt;=5,"OPORTUNO","MUITO BOM")))</f>
        <v>ATENÇÃO</v>
      </c>
      <c r="M4060">
        <v>20</v>
      </c>
      <c r="N4060">
        <v>97.37</v>
      </c>
      <c r="O4060">
        <v>25.76530612244898</v>
      </c>
    </row>
    <row r="4061" spans="1:15" hidden="1" x14ac:dyDescent="0.25">
      <c r="A4061" s="11">
        <v>46128</v>
      </c>
      <c r="B4061" t="s">
        <v>19</v>
      </c>
      <c r="C4061" t="s">
        <v>16</v>
      </c>
      <c r="D4061">
        <v>75</v>
      </c>
      <c r="E4061">
        <v>29</v>
      </c>
      <c r="F4061">
        <v>7.09</v>
      </c>
      <c r="G4061">
        <v>0</v>
      </c>
      <c r="H4061">
        <v>0</v>
      </c>
      <c r="I4061" s="3">
        <f>E4061+G4061+H4061</f>
        <v>29</v>
      </c>
      <c r="J4061" s="3">
        <f>ROUND(MIN(IF(C4061="Técnico III",35,IF(C4061="Técnico II",28,IF(C4061="Técnico I",23,IF(C4061="JR",20,IF(C4061="Estágio",10,0))))),IF(C4061="Técnico III",SUMIFS($D:$D,$A:$A,$A4061,$B:$B,"&lt;&gt;Patrícia Karla de Sousa Araújo",$B:$B,"&lt;&gt;Lorena Dias de Araujo",$B:$B,"&lt;&gt;Lucas Luiz Romero")*(35/1083),IF(C4061="Técnico II",SUMIFS($D:$D,$A:$A,$A4061,$B:$B,"&lt;&gt;Patrícia Karla de Sousa Araújo",$B:$B,"&lt;&gt;Lorena Dias de Araujo",$B:$B,"&lt;&gt;Lucas Luiz Romero")*(28/1083),IF(C4061="Técnico I",SUMIFS($D:$D,$A:$A,$A4061,$B:$B,"&lt;&gt;Patrícia Karla de Sousa Araújo",$B:$B,"&lt;&gt;Lorena Dias de Araujo",$B:$B,"&lt;&gt;Lucas Luiz Romero")*(23/1083),IF(C4061="JR",SUMIFS($D:$D,$A:$A,$A4061,$B:$B,"&lt;&gt;Patrícia Karla de Sousa Araújo",$B:$B,"&lt;&gt;Lorena Dias de Araujo",$B:$B,"&lt;&gt;Lucas Luiz Romero")*(20/1083),IF(C4061="Estágio",SUMIFS($D:$D,$A:$A,$A4061,$B:$B,"&lt;&gt;Patrícia Karla de Sousa Araújo",$B:$B,"&lt;&gt;Lorena Dias de Araujo",$B:$B,"&lt;&gt;Lucas Luiz Romero")*(10/1083),0)))))),0)</f>
        <v>8</v>
      </c>
      <c r="K4061" s="3">
        <f>I4061-J4061</f>
        <v>21</v>
      </c>
      <c r="L4061" s="3" t="str">
        <f>IF(K4061&lt;-5,"CRÍTICO",IF(K4061&lt;0,"ATENÇÃO",IF(K4061&lt;=5,"OPORTUNO","MUITO BOM")))</f>
        <v>MUITO BOM</v>
      </c>
      <c r="M4061">
        <v>4</v>
      </c>
      <c r="N4061">
        <v>100</v>
      </c>
      <c r="O4061">
        <v>25</v>
      </c>
    </row>
    <row r="4062" spans="1:15" hidden="1" x14ac:dyDescent="0.25">
      <c r="A4062" s="11">
        <v>46128</v>
      </c>
      <c r="B4062" t="s">
        <v>43</v>
      </c>
      <c r="C4062" t="s">
        <v>32</v>
      </c>
      <c r="D4062">
        <v>27</v>
      </c>
      <c r="E4062">
        <v>24</v>
      </c>
      <c r="F4062">
        <v>17.28</v>
      </c>
      <c r="G4062">
        <v>0</v>
      </c>
      <c r="H4062">
        <v>0</v>
      </c>
      <c r="I4062" s="3">
        <f>E4062+G4062+H4062</f>
        <v>24</v>
      </c>
      <c r="J4062" s="3">
        <f>ROUND(MIN(IF(C4062="Técnico III",35,IF(C4062="Técnico II",28,IF(C4062="Técnico I",23,IF(C4062="JR",20,IF(C4062="Estágio",10,0))))),IF(C4062="Técnico III",SUMIFS($D:$D,$A:$A,$A4062,$B:$B,"&lt;&gt;Patrícia Karla de Sousa Araújo",$B:$B,"&lt;&gt;Lorena Dias de Araujo",$B:$B,"&lt;&gt;Lucas Luiz Romero")*(35/1083),IF(C4062="Técnico II",SUMIFS($D:$D,$A:$A,$A4062,$B:$B,"&lt;&gt;Patrícia Karla de Sousa Araújo",$B:$B,"&lt;&gt;Lorena Dias de Araujo",$B:$B,"&lt;&gt;Lucas Luiz Romero")*(28/1083),IF(C4062="Técnico I",SUMIFS($D:$D,$A:$A,$A4062,$B:$B,"&lt;&gt;Patrícia Karla de Sousa Araújo",$B:$B,"&lt;&gt;Lorena Dias de Araujo",$B:$B,"&lt;&gt;Lucas Luiz Romero")*(23/1083),IF(C4062="JR",SUMIFS($D:$D,$A:$A,$A4062,$B:$B,"&lt;&gt;Patrícia Karla de Sousa Araújo",$B:$B,"&lt;&gt;Lorena Dias de Araujo",$B:$B,"&lt;&gt;Lucas Luiz Romero")*(20/1083),IF(C4062="Estágio",SUMIFS($D:$D,$A:$A,$A4062,$B:$B,"&lt;&gt;Patrícia Karla de Sousa Araújo",$B:$B,"&lt;&gt;Lorena Dias de Araujo",$B:$B,"&lt;&gt;Lucas Luiz Romero")*(10/1083),0)))))),0)</f>
        <v>29</v>
      </c>
      <c r="K4062" s="3">
        <f>I4062-J4062</f>
        <v>-5</v>
      </c>
      <c r="L4062" s="3" t="str">
        <f>IF(K4062&lt;-5,"CRÍTICO",IF(K4062&lt;0,"ATENÇÃO",IF(K4062&lt;=5,"OPORTUNO","MUITO BOM")))</f>
        <v>ATENÇÃO</v>
      </c>
      <c r="M4062">
        <v>29</v>
      </c>
      <c r="N4062">
        <v>100</v>
      </c>
      <c r="O4062">
        <v>23.9870340356564</v>
      </c>
    </row>
    <row r="4063" spans="1:15" hidden="1" x14ac:dyDescent="0.25">
      <c r="A4063" s="11">
        <v>46128</v>
      </c>
      <c r="B4063" t="s">
        <v>44</v>
      </c>
      <c r="C4063" t="s">
        <v>32</v>
      </c>
      <c r="D4063">
        <v>36</v>
      </c>
      <c r="E4063">
        <v>34</v>
      </c>
      <c r="F4063">
        <v>15.11</v>
      </c>
      <c r="G4063">
        <v>0</v>
      </c>
      <c r="H4063">
        <v>0</v>
      </c>
      <c r="I4063" s="3">
        <f>E4063+G4063+H4063</f>
        <v>34</v>
      </c>
      <c r="J4063" s="3">
        <f>ROUND(MIN(IF(C4063="Técnico III",35,IF(C4063="Técnico II",28,IF(C4063="Técnico I",23,IF(C4063="JR",20,IF(C4063="Estágio",10,0))))),IF(C4063="Técnico III",SUMIFS($D:$D,$A:$A,$A4063,$B:$B,"&lt;&gt;Patrícia Karla de Sousa Araújo",$B:$B,"&lt;&gt;Lorena Dias de Araujo",$B:$B,"&lt;&gt;Lucas Luiz Romero")*(35/1083),IF(C4063="Técnico II",SUMIFS($D:$D,$A:$A,$A4063,$B:$B,"&lt;&gt;Patrícia Karla de Sousa Araújo",$B:$B,"&lt;&gt;Lorena Dias de Araujo",$B:$B,"&lt;&gt;Lucas Luiz Romero")*(28/1083),IF(C4063="Técnico I",SUMIFS($D:$D,$A:$A,$A4063,$B:$B,"&lt;&gt;Patrícia Karla de Sousa Araújo",$B:$B,"&lt;&gt;Lorena Dias de Araujo",$B:$B,"&lt;&gt;Lucas Luiz Romero")*(23/1083),IF(C4063="JR",SUMIFS($D:$D,$A:$A,$A4063,$B:$B,"&lt;&gt;Patrícia Karla de Sousa Araújo",$B:$B,"&lt;&gt;Lorena Dias de Araujo",$B:$B,"&lt;&gt;Lucas Luiz Romero")*(20/1083),IF(C4063="Estágio",SUMIFS($D:$D,$A:$A,$A4063,$B:$B,"&lt;&gt;Patrícia Karla de Sousa Araújo",$B:$B,"&lt;&gt;Lorena Dias de Araujo",$B:$B,"&lt;&gt;Lucas Luiz Romero")*(10/1083),0)))))),0)</f>
        <v>29</v>
      </c>
      <c r="K4063" s="3">
        <f>I4063-J4063</f>
        <v>5</v>
      </c>
      <c r="L4063" s="3" t="str">
        <f>IF(K4063&lt;-5,"CRÍTICO",IF(K4063&lt;0,"ATENÇÃO",IF(K4063&lt;=5,"OPORTUNO","MUITO BOM")))</f>
        <v>OPORTUNO</v>
      </c>
      <c r="M4063">
        <v>34</v>
      </c>
      <c r="N4063">
        <v>95.49</v>
      </c>
      <c r="O4063">
        <v>28.370221327967808</v>
      </c>
    </row>
    <row r="4064" spans="1:15" hidden="1" x14ac:dyDescent="0.25">
      <c r="A4064" s="11">
        <v>46128</v>
      </c>
      <c r="B4064" t="s">
        <v>20</v>
      </c>
      <c r="C4064" t="s">
        <v>16</v>
      </c>
      <c r="D4064">
        <v>18</v>
      </c>
      <c r="E4064">
        <v>16</v>
      </c>
      <c r="F4064">
        <v>25.32</v>
      </c>
      <c r="G4064">
        <v>0</v>
      </c>
      <c r="H4064">
        <v>0</v>
      </c>
      <c r="I4064" s="3">
        <f>E4064+G4064+H4064</f>
        <v>16</v>
      </c>
      <c r="J4064" s="3">
        <f>ROUND(MIN(IF(C4064="Técnico III",35,IF(C4064="Técnico II",28,IF(C4064="Técnico I",23,IF(C4064="JR",20,IF(C4064="Estágio",10,0))))),IF(C4064="Técnico III",SUMIFS($D:$D,$A:$A,$A4064,$B:$B,"&lt;&gt;Patrícia Karla de Sousa Araújo",$B:$B,"&lt;&gt;Lorena Dias de Araujo",$B:$B,"&lt;&gt;Lucas Luiz Romero")*(35/1083),IF(C4064="Técnico II",SUMIFS($D:$D,$A:$A,$A4064,$B:$B,"&lt;&gt;Patrícia Karla de Sousa Araújo",$B:$B,"&lt;&gt;Lorena Dias de Araujo",$B:$B,"&lt;&gt;Lucas Luiz Romero")*(28/1083),IF(C4064="Técnico I",SUMIFS($D:$D,$A:$A,$A4064,$B:$B,"&lt;&gt;Patrícia Karla de Sousa Araújo",$B:$B,"&lt;&gt;Lorena Dias de Araujo",$B:$B,"&lt;&gt;Lucas Luiz Romero")*(23/1083),IF(C4064="JR",SUMIFS($D:$D,$A:$A,$A4064,$B:$B,"&lt;&gt;Patrícia Karla de Sousa Araújo",$B:$B,"&lt;&gt;Lorena Dias de Araujo",$B:$B,"&lt;&gt;Lucas Luiz Romero")*(20/1083),IF(C4064="Estágio",SUMIFS($D:$D,$A:$A,$A4064,$B:$B,"&lt;&gt;Patrícia Karla de Sousa Araújo",$B:$B,"&lt;&gt;Lorena Dias de Araujo",$B:$B,"&lt;&gt;Lucas Luiz Romero")*(10/1083),0)))))),0)</f>
        <v>8</v>
      </c>
      <c r="K4064" s="3">
        <f>I4064-J4064</f>
        <v>8</v>
      </c>
      <c r="L4064" s="3" t="str">
        <f>IF(K4064&lt;-5,"CRÍTICO",IF(K4064&lt;0,"ATENÇÃO",IF(K4064&lt;=5,"OPORTUNO","MUITO BOM")))</f>
        <v>MUITO BOM</v>
      </c>
      <c r="M4064">
        <v>11</v>
      </c>
      <c r="N4064">
        <v>100</v>
      </c>
      <c r="O4064">
        <v>23.77622377622378</v>
      </c>
    </row>
    <row r="4065" spans="1:15" hidden="1" x14ac:dyDescent="0.25">
      <c r="A4065" s="11">
        <v>46128</v>
      </c>
      <c r="B4065" t="s">
        <v>28</v>
      </c>
      <c r="C4065" t="s">
        <v>26</v>
      </c>
      <c r="D4065">
        <v>30</v>
      </c>
      <c r="E4065">
        <v>25</v>
      </c>
      <c r="F4065">
        <v>17</v>
      </c>
      <c r="G4065">
        <v>0</v>
      </c>
      <c r="H4065">
        <v>0</v>
      </c>
      <c r="I4065" s="3">
        <f>E4065+G4065+H4065</f>
        <v>25</v>
      </c>
      <c r="J4065" s="3">
        <f>ROUND(MIN(IF(C4065="Técnico III",35,IF(C4065="Técnico II",28,IF(C4065="Técnico I",23,IF(C4065="JR",20,IF(C4065="Estágio",10,0))))),IF(C4065="Técnico III",SUMIFS($D:$D,$A:$A,$A4065,$B:$B,"&lt;&gt;Patrícia Karla de Sousa Araújo",$B:$B,"&lt;&gt;Lorena Dias de Araujo",$B:$B,"&lt;&gt;Lucas Luiz Romero")*(35/1083),IF(C4065="Técnico II",SUMIFS($D:$D,$A:$A,$A4065,$B:$B,"&lt;&gt;Patrícia Karla de Sousa Araújo",$B:$B,"&lt;&gt;Lorena Dias de Araujo",$B:$B,"&lt;&gt;Lucas Luiz Romero")*(28/1083),IF(C4065="Técnico I",SUMIFS($D:$D,$A:$A,$A4065,$B:$B,"&lt;&gt;Patrícia Karla de Sousa Araújo",$B:$B,"&lt;&gt;Lorena Dias de Araujo",$B:$B,"&lt;&gt;Lucas Luiz Romero")*(23/1083),IF(C4065="JR",SUMIFS($D:$D,$A:$A,$A4065,$B:$B,"&lt;&gt;Patrícia Karla de Sousa Araújo",$B:$B,"&lt;&gt;Lorena Dias de Araujo",$B:$B,"&lt;&gt;Lucas Luiz Romero")*(20/1083),IF(C4065="Estágio",SUMIFS($D:$D,$A:$A,$A4065,$B:$B,"&lt;&gt;Patrícia Karla de Sousa Araújo",$B:$B,"&lt;&gt;Lorena Dias de Araujo",$B:$B,"&lt;&gt;Lucas Luiz Romero")*(10/1083),0)))))),0)</f>
        <v>17</v>
      </c>
      <c r="K4065" s="3">
        <f>I4065-J4065</f>
        <v>8</v>
      </c>
      <c r="L4065" s="3" t="str">
        <f>IF(K4065&lt;-5,"CRÍTICO",IF(K4065&lt;0,"ATENÇÃO",IF(K4065&lt;=5,"OPORTUNO","MUITO BOM")))</f>
        <v>MUITO BOM</v>
      </c>
      <c r="M4065">
        <v>15</v>
      </c>
      <c r="N4065">
        <v>96.15</v>
      </c>
      <c r="O4065">
        <v>24.045801526717561</v>
      </c>
    </row>
    <row r="4066" spans="1:15" hidden="1" x14ac:dyDescent="0.25">
      <c r="A4066" s="11">
        <v>46128</v>
      </c>
      <c r="B4066" t="s">
        <v>58</v>
      </c>
      <c r="C4066" t="s">
        <v>48</v>
      </c>
      <c r="D4066">
        <v>21</v>
      </c>
      <c r="E4066">
        <v>19</v>
      </c>
      <c r="F4066">
        <v>25.38</v>
      </c>
      <c r="G4066">
        <v>0</v>
      </c>
      <c r="H4066">
        <v>0</v>
      </c>
      <c r="I4066" s="3">
        <f>E4066+G4066+H4066</f>
        <v>19</v>
      </c>
      <c r="J4066" s="3">
        <f>ROUND(MIN(IF(C4066="Técnico III",35,IF(C4066="Técnico II",28,IF(C4066="Técnico I",23,IF(C4066="JR",20,IF(C4066="Estágio",10,0))))),IF(C4066="Técnico III",SUMIFS($D:$D,$A:$A,$A4066,$B:$B,"&lt;&gt;Patrícia Karla de Sousa Araújo",$B:$B,"&lt;&gt;Lorena Dias de Araujo",$B:$B,"&lt;&gt;Lucas Luiz Romero")*(35/1083),IF(C4066="Técnico II",SUMIFS($D:$D,$A:$A,$A4066,$B:$B,"&lt;&gt;Patrícia Karla de Sousa Araújo",$B:$B,"&lt;&gt;Lorena Dias de Araujo",$B:$B,"&lt;&gt;Lucas Luiz Romero")*(28/1083),IF(C4066="Técnico I",SUMIFS($D:$D,$A:$A,$A4066,$B:$B,"&lt;&gt;Patrícia Karla de Sousa Araújo",$B:$B,"&lt;&gt;Lorena Dias de Araujo",$B:$B,"&lt;&gt;Lucas Luiz Romero")*(23/1083),IF(C4066="JR",SUMIFS($D:$D,$A:$A,$A4066,$B:$B,"&lt;&gt;Patrícia Karla de Sousa Araújo",$B:$B,"&lt;&gt;Lorena Dias de Araujo",$B:$B,"&lt;&gt;Lucas Luiz Romero")*(20/1083),IF(C4066="Estágio",SUMIFS($D:$D,$A:$A,$A4066,$B:$B,"&lt;&gt;Patrícia Karla de Sousa Araújo",$B:$B,"&lt;&gt;Lorena Dias de Araujo",$B:$B,"&lt;&gt;Lucas Luiz Romero")*(10/1083),0)))))),0)</f>
        <v>23</v>
      </c>
      <c r="K4066" s="3">
        <f>I4066-J4066</f>
        <v>-4</v>
      </c>
      <c r="L4066" s="3" t="str">
        <f>IF(K4066&lt;-5,"CRÍTICO",IF(K4066&lt;0,"ATENÇÃO",IF(K4066&lt;=5,"OPORTUNO","MUITO BOM")))</f>
        <v>ATENÇÃO</v>
      </c>
      <c r="M4066">
        <v>16</v>
      </c>
      <c r="N4066">
        <v>99.02</v>
      </c>
      <c r="O4066">
        <v>34.797297297297298</v>
      </c>
    </row>
    <row r="4067" spans="1:15" hidden="1" x14ac:dyDescent="0.25">
      <c r="A4067" s="11">
        <v>46128</v>
      </c>
      <c r="B4067" t="s">
        <v>29</v>
      </c>
      <c r="C4067" t="s">
        <v>26</v>
      </c>
      <c r="D4067">
        <v>11</v>
      </c>
      <c r="E4067">
        <v>11</v>
      </c>
      <c r="F4067">
        <v>18.41</v>
      </c>
      <c r="G4067">
        <v>0</v>
      </c>
      <c r="H4067">
        <v>0</v>
      </c>
      <c r="I4067" s="3">
        <f>E4067+G4067+H4067</f>
        <v>11</v>
      </c>
      <c r="J4067" s="3">
        <f>ROUND(MIN(IF(C4067="Técnico III",35,IF(C4067="Técnico II",28,IF(C4067="Técnico I",23,IF(C4067="JR",20,IF(C4067="Estágio",10,0))))),IF(C4067="Técnico III",SUMIFS($D:$D,$A:$A,$A4067,$B:$B,"&lt;&gt;Patrícia Karla de Sousa Araújo",$B:$B,"&lt;&gt;Lorena Dias de Araujo",$B:$B,"&lt;&gt;Lucas Luiz Romero")*(35/1083),IF(C4067="Técnico II",SUMIFS($D:$D,$A:$A,$A4067,$B:$B,"&lt;&gt;Patrícia Karla de Sousa Araújo",$B:$B,"&lt;&gt;Lorena Dias de Araujo",$B:$B,"&lt;&gt;Lucas Luiz Romero")*(28/1083),IF(C4067="Técnico I",SUMIFS($D:$D,$A:$A,$A4067,$B:$B,"&lt;&gt;Patrícia Karla de Sousa Araújo",$B:$B,"&lt;&gt;Lorena Dias de Araujo",$B:$B,"&lt;&gt;Lucas Luiz Romero")*(23/1083),IF(C4067="JR",SUMIFS($D:$D,$A:$A,$A4067,$B:$B,"&lt;&gt;Patrícia Karla de Sousa Araújo",$B:$B,"&lt;&gt;Lorena Dias de Araujo",$B:$B,"&lt;&gt;Lucas Luiz Romero")*(20/1083),IF(C4067="Estágio",SUMIFS($D:$D,$A:$A,$A4067,$B:$B,"&lt;&gt;Patrícia Karla de Sousa Araújo",$B:$B,"&lt;&gt;Lorena Dias de Araujo",$B:$B,"&lt;&gt;Lucas Luiz Romero")*(10/1083),0)))))),0)</f>
        <v>17</v>
      </c>
      <c r="K4067" s="3">
        <f>I4067-J4067</f>
        <v>-6</v>
      </c>
      <c r="L4067" s="3" t="str">
        <f>IF(K4067&lt;-5,"CRÍTICO",IF(K4067&lt;0,"ATENÇÃO",IF(K4067&lt;=5,"OPORTUNO","MUITO BOM")))</f>
        <v>CRÍTICO</v>
      </c>
      <c r="M4067">
        <v>13</v>
      </c>
      <c r="N4067">
        <v>98.84</v>
      </c>
      <c r="O4067">
        <v>31.868131868131869</v>
      </c>
    </row>
    <row r="4068" spans="1:15" hidden="1" x14ac:dyDescent="0.25">
      <c r="A4068" s="11">
        <v>46128</v>
      </c>
      <c r="B4068" t="s">
        <v>30</v>
      </c>
      <c r="C4068" t="s">
        <v>26</v>
      </c>
      <c r="D4068">
        <v>16</v>
      </c>
      <c r="E4068">
        <v>14</v>
      </c>
      <c r="F4068">
        <v>15.51</v>
      </c>
      <c r="G4068">
        <v>0</v>
      </c>
      <c r="H4068">
        <v>0</v>
      </c>
      <c r="I4068" s="3">
        <f>E4068+G4068+H4068</f>
        <v>14</v>
      </c>
      <c r="J4068" s="3">
        <f>ROUND(MIN(IF(C4068="Técnico III",35,IF(C4068="Técnico II",28,IF(C4068="Técnico I",23,IF(C4068="JR",20,IF(C4068="Estágio",10,0))))),IF(C4068="Técnico III",SUMIFS($D:$D,$A:$A,$A4068,$B:$B,"&lt;&gt;Patrícia Karla de Sousa Araújo",$B:$B,"&lt;&gt;Lorena Dias de Araujo",$B:$B,"&lt;&gt;Lucas Luiz Romero")*(35/1083),IF(C4068="Técnico II",SUMIFS($D:$D,$A:$A,$A4068,$B:$B,"&lt;&gt;Patrícia Karla de Sousa Araújo",$B:$B,"&lt;&gt;Lorena Dias de Araujo",$B:$B,"&lt;&gt;Lucas Luiz Romero")*(28/1083),IF(C4068="Técnico I",SUMIFS($D:$D,$A:$A,$A4068,$B:$B,"&lt;&gt;Patrícia Karla de Sousa Araújo",$B:$B,"&lt;&gt;Lorena Dias de Araujo",$B:$B,"&lt;&gt;Lucas Luiz Romero")*(23/1083),IF(C4068="JR",SUMIFS($D:$D,$A:$A,$A4068,$B:$B,"&lt;&gt;Patrícia Karla de Sousa Araújo",$B:$B,"&lt;&gt;Lorena Dias de Araujo",$B:$B,"&lt;&gt;Lucas Luiz Romero")*(20/1083),IF(C4068="Estágio",SUMIFS($D:$D,$A:$A,$A4068,$B:$B,"&lt;&gt;Patrícia Karla de Sousa Araújo",$B:$B,"&lt;&gt;Lorena Dias de Araujo",$B:$B,"&lt;&gt;Lucas Luiz Romero")*(10/1083),0)))))),0)</f>
        <v>17</v>
      </c>
      <c r="K4068" s="3">
        <f>I4068-J4068</f>
        <v>-3</v>
      </c>
      <c r="L4068" s="3" t="str">
        <f>IF(K4068&lt;-5,"CRÍTICO",IF(K4068&lt;0,"ATENÇÃO",IF(K4068&lt;=5,"OPORTUNO","MUITO BOM")))</f>
        <v>ATENÇÃO</v>
      </c>
      <c r="M4068">
        <v>13</v>
      </c>
      <c r="N4068">
        <v>100</v>
      </c>
      <c r="O4068">
        <v>34.666666666666671</v>
      </c>
    </row>
    <row r="4069" spans="1:15" hidden="1" x14ac:dyDescent="0.25">
      <c r="A4069" s="11">
        <v>46128</v>
      </c>
      <c r="B4069" t="s">
        <v>21</v>
      </c>
      <c r="C4069" t="s">
        <v>16</v>
      </c>
      <c r="D4069">
        <v>15</v>
      </c>
      <c r="E4069">
        <v>13</v>
      </c>
      <c r="F4069">
        <v>33.28</v>
      </c>
      <c r="G4069">
        <v>0</v>
      </c>
      <c r="H4069">
        <v>0</v>
      </c>
      <c r="I4069" s="3">
        <f>E4069+G4069+H4069</f>
        <v>13</v>
      </c>
      <c r="J4069" s="3">
        <f>ROUND(MIN(IF(C4069="Técnico III",35,IF(C4069="Técnico II",28,IF(C4069="Técnico I",23,IF(C4069="JR",20,IF(C4069="Estágio",10,0))))),IF(C4069="Técnico III",SUMIFS($D:$D,$A:$A,$A4069,$B:$B,"&lt;&gt;Patrícia Karla de Sousa Araújo",$B:$B,"&lt;&gt;Lorena Dias de Araujo",$B:$B,"&lt;&gt;Lucas Luiz Romero")*(35/1083),IF(C4069="Técnico II",SUMIFS($D:$D,$A:$A,$A4069,$B:$B,"&lt;&gt;Patrícia Karla de Sousa Araújo",$B:$B,"&lt;&gt;Lorena Dias de Araujo",$B:$B,"&lt;&gt;Lucas Luiz Romero")*(28/1083),IF(C4069="Técnico I",SUMIFS($D:$D,$A:$A,$A4069,$B:$B,"&lt;&gt;Patrícia Karla de Sousa Araújo",$B:$B,"&lt;&gt;Lorena Dias de Araujo",$B:$B,"&lt;&gt;Lucas Luiz Romero")*(23/1083),IF(C4069="JR",SUMIFS($D:$D,$A:$A,$A4069,$B:$B,"&lt;&gt;Patrícia Karla de Sousa Araújo",$B:$B,"&lt;&gt;Lorena Dias de Araujo",$B:$B,"&lt;&gt;Lucas Luiz Romero")*(20/1083),IF(C4069="Estágio",SUMIFS($D:$D,$A:$A,$A4069,$B:$B,"&lt;&gt;Patrícia Karla de Sousa Araújo",$B:$B,"&lt;&gt;Lorena Dias de Araujo",$B:$B,"&lt;&gt;Lucas Luiz Romero")*(10/1083),0)))))),0)</f>
        <v>8</v>
      </c>
      <c r="K4069" s="3">
        <f>I4069-J4069</f>
        <v>5</v>
      </c>
      <c r="L4069" s="3" t="str">
        <f>IF(K4069&lt;-5,"CRÍTICO",IF(K4069&lt;0,"ATENÇÃO",IF(K4069&lt;=5,"OPORTUNO","MUITO BOM")))</f>
        <v>OPORTUNO</v>
      </c>
      <c r="M4069">
        <v>9</v>
      </c>
      <c r="N4069">
        <v>94.12</v>
      </c>
      <c r="O4069">
        <v>32.799999999999997</v>
      </c>
    </row>
    <row r="4070" spans="1:15" hidden="1" x14ac:dyDescent="0.25">
      <c r="A4070" s="11">
        <v>46128</v>
      </c>
      <c r="B4070" t="s">
        <v>63</v>
      </c>
      <c r="C4070" t="s">
        <v>23</v>
      </c>
      <c r="D4070">
        <v>38</v>
      </c>
      <c r="E4070">
        <v>36</v>
      </c>
      <c r="F4070">
        <v>11.53</v>
      </c>
      <c r="G4070">
        <v>0</v>
      </c>
      <c r="H4070">
        <v>0</v>
      </c>
      <c r="I4070" s="3">
        <f>E4070+G4070+H4070</f>
        <v>36</v>
      </c>
      <c r="J4070" s="3">
        <f>ROUND(MIN(IF(C4070="Técnico III",35,IF(C4070="Técnico II",28,IF(C4070="Técnico I",23,IF(C4070="JR",20,IF(C4070="Estágio",10,0))))),IF(C4070="Técnico III",SUMIFS($D:$D,$A:$A,$A4070,$B:$B,"&lt;&gt;Patrícia Karla de Sousa Araújo",$B:$B,"&lt;&gt;Lorena Dias de Araujo",$B:$B,"&lt;&gt;Lucas Luiz Romero")*(35/1083),IF(C4070="Técnico II",SUMIFS($D:$D,$A:$A,$A4070,$B:$B,"&lt;&gt;Patrícia Karla de Sousa Araújo",$B:$B,"&lt;&gt;Lorena Dias de Araujo",$B:$B,"&lt;&gt;Lucas Luiz Romero")*(28/1083),IF(C4070="Técnico I",SUMIFS($D:$D,$A:$A,$A4070,$B:$B,"&lt;&gt;Patrícia Karla de Sousa Araújo",$B:$B,"&lt;&gt;Lorena Dias de Araujo",$B:$B,"&lt;&gt;Lucas Luiz Romero")*(23/1083),IF(C4070="JR",SUMIFS($D:$D,$A:$A,$A4070,$B:$B,"&lt;&gt;Patrícia Karla de Sousa Araújo",$B:$B,"&lt;&gt;Lorena Dias de Araujo",$B:$B,"&lt;&gt;Lucas Luiz Romero")*(20/1083),IF(C4070="Estágio",SUMIFS($D:$D,$A:$A,$A4070,$B:$B,"&lt;&gt;Patrícia Karla de Sousa Araújo",$B:$B,"&lt;&gt;Lorena Dias de Araujo",$B:$B,"&lt;&gt;Lucas Luiz Romero")*(10/1083),0)))))),0)</f>
        <v>19</v>
      </c>
      <c r="K4070" s="3">
        <f>I4070-J4070</f>
        <v>17</v>
      </c>
      <c r="L4070" s="3" t="str">
        <f>IF(K4070&lt;-5,"CRÍTICO",IF(K4070&lt;0,"ATENÇÃO",IF(K4070&lt;=5,"OPORTUNO","MUITO BOM")))</f>
        <v>MUITO BOM</v>
      </c>
      <c r="M4070">
        <v>32</v>
      </c>
      <c r="N4070">
        <v>98.32</v>
      </c>
      <c r="O4070">
        <v>26.858513189448441</v>
      </c>
    </row>
    <row r="4071" spans="1:15" hidden="1" x14ac:dyDescent="0.25">
      <c r="A4071" s="11">
        <v>46128</v>
      </c>
      <c r="B4071" t="s">
        <v>45</v>
      </c>
      <c r="C4071" t="s">
        <v>32</v>
      </c>
      <c r="D4071">
        <v>38</v>
      </c>
      <c r="E4071">
        <v>34</v>
      </c>
      <c r="F4071">
        <v>13.27</v>
      </c>
      <c r="G4071">
        <v>0</v>
      </c>
      <c r="H4071">
        <v>0</v>
      </c>
      <c r="I4071" s="3">
        <f>E4071+G4071+H4071</f>
        <v>34</v>
      </c>
      <c r="J4071" s="3">
        <f>ROUND(MIN(IF(C4071="Técnico III",35,IF(C4071="Técnico II",28,IF(C4071="Técnico I",23,IF(C4071="JR",20,IF(C4071="Estágio",10,0))))),IF(C4071="Técnico III",SUMIFS($D:$D,$A:$A,$A4071,$B:$B,"&lt;&gt;Patrícia Karla de Sousa Araújo",$B:$B,"&lt;&gt;Lorena Dias de Araujo",$B:$B,"&lt;&gt;Lucas Luiz Romero")*(35/1083),IF(C4071="Técnico II",SUMIFS($D:$D,$A:$A,$A4071,$B:$B,"&lt;&gt;Patrícia Karla de Sousa Araújo",$B:$B,"&lt;&gt;Lorena Dias de Araujo",$B:$B,"&lt;&gt;Lucas Luiz Romero")*(28/1083),IF(C4071="Técnico I",SUMIFS($D:$D,$A:$A,$A4071,$B:$B,"&lt;&gt;Patrícia Karla de Sousa Araújo",$B:$B,"&lt;&gt;Lorena Dias de Araujo",$B:$B,"&lt;&gt;Lucas Luiz Romero")*(23/1083),IF(C4071="JR",SUMIFS($D:$D,$A:$A,$A4071,$B:$B,"&lt;&gt;Patrícia Karla de Sousa Araújo",$B:$B,"&lt;&gt;Lorena Dias de Araujo",$B:$B,"&lt;&gt;Lucas Luiz Romero")*(20/1083),IF(C4071="Estágio",SUMIFS($D:$D,$A:$A,$A4071,$B:$B,"&lt;&gt;Patrícia Karla de Sousa Araújo",$B:$B,"&lt;&gt;Lorena Dias de Araujo",$B:$B,"&lt;&gt;Lucas Luiz Romero")*(10/1083),0)))))),0)</f>
        <v>29</v>
      </c>
      <c r="K4071" s="3">
        <f>I4071-J4071</f>
        <v>5</v>
      </c>
      <c r="L4071" s="3" t="str">
        <f>IF(K4071&lt;-5,"CRÍTICO",IF(K4071&lt;0,"ATENÇÃO",IF(K4071&lt;=5,"OPORTUNO","MUITO BOM")))</f>
        <v>OPORTUNO</v>
      </c>
      <c r="M4071">
        <v>27</v>
      </c>
      <c r="N4071">
        <v>100</v>
      </c>
      <c r="O4071">
        <v>31.135531135531139</v>
      </c>
    </row>
    <row r="4072" spans="1:15" hidden="1" x14ac:dyDescent="0.25">
      <c r="A4072" s="11">
        <v>46128</v>
      </c>
      <c r="B4072" t="s">
        <v>64</v>
      </c>
      <c r="C4072" t="s">
        <v>23</v>
      </c>
      <c r="D4072">
        <v>19</v>
      </c>
      <c r="E4072">
        <v>18</v>
      </c>
      <c r="F4072">
        <v>24.08</v>
      </c>
      <c r="G4072">
        <v>0</v>
      </c>
      <c r="H4072">
        <v>0</v>
      </c>
      <c r="I4072" s="3">
        <f>E4072+G4072+H4072</f>
        <v>18</v>
      </c>
      <c r="J4072" s="3">
        <f>ROUND(MIN(IF(C4072="Técnico III",35,IF(C4072="Técnico II",28,IF(C4072="Técnico I",23,IF(C4072="JR",20,IF(C4072="Estágio",10,0))))),IF(C4072="Técnico III",SUMIFS($D:$D,$A:$A,$A4072,$B:$B,"&lt;&gt;Patrícia Karla de Sousa Araújo",$B:$B,"&lt;&gt;Lorena Dias de Araujo",$B:$B,"&lt;&gt;Lucas Luiz Romero")*(35/1083),IF(C4072="Técnico II",SUMIFS($D:$D,$A:$A,$A4072,$B:$B,"&lt;&gt;Patrícia Karla de Sousa Araújo",$B:$B,"&lt;&gt;Lorena Dias de Araujo",$B:$B,"&lt;&gt;Lucas Luiz Romero")*(28/1083),IF(C4072="Técnico I",SUMIFS($D:$D,$A:$A,$A4072,$B:$B,"&lt;&gt;Patrícia Karla de Sousa Araújo",$B:$B,"&lt;&gt;Lorena Dias de Araujo",$B:$B,"&lt;&gt;Lucas Luiz Romero")*(23/1083),IF(C4072="JR",SUMIFS($D:$D,$A:$A,$A4072,$B:$B,"&lt;&gt;Patrícia Karla de Sousa Araújo",$B:$B,"&lt;&gt;Lorena Dias de Araujo",$B:$B,"&lt;&gt;Lucas Luiz Romero")*(20/1083),IF(C4072="Estágio",SUMIFS($D:$D,$A:$A,$A4072,$B:$B,"&lt;&gt;Patrícia Karla de Sousa Araújo",$B:$B,"&lt;&gt;Lorena Dias de Araujo",$B:$B,"&lt;&gt;Lucas Luiz Romero")*(10/1083),0)))))),0)</f>
        <v>19</v>
      </c>
      <c r="K4072" s="3">
        <f>I4072-J4072</f>
        <v>-1</v>
      </c>
      <c r="L4072" s="3" t="str">
        <f>IF(K4072&lt;-5,"CRÍTICO",IF(K4072&lt;0,"ATENÇÃO",IF(K4072&lt;=5,"OPORTUNO","MUITO BOM")))</f>
        <v>ATENÇÃO</v>
      </c>
      <c r="M4072">
        <v>14</v>
      </c>
      <c r="N4072">
        <v>100</v>
      </c>
      <c r="O4072">
        <v>26.36986301369863</v>
      </c>
    </row>
    <row r="4073" spans="1:15" hidden="1" x14ac:dyDescent="0.25">
      <c r="A4073" s="11">
        <v>46128</v>
      </c>
      <c r="B4073" t="s">
        <v>46</v>
      </c>
      <c r="C4073" t="s">
        <v>32</v>
      </c>
      <c r="D4073">
        <v>29</v>
      </c>
      <c r="E4073">
        <v>28</v>
      </c>
      <c r="F4073">
        <v>17.079999999999998</v>
      </c>
      <c r="G4073">
        <v>0</v>
      </c>
      <c r="H4073">
        <v>0</v>
      </c>
      <c r="I4073" s="3">
        <f>E4073+G4073+H4073</f>
        <v>28</v>
      </c>
      <c r="J4073" s="3">
        <f>ROUND(MIN(IF(C4073="Técnico III",35,IF(C4073="Técnico II",28,IF(C4073="Técnico I",23,IF(C4073="JR",20,IF(C4073="Estágio",10,0))))),IF(C4073="Técnico III",SUMIFS($D:$D,$A:$A,$A4073,$B:$B,"&lt;&gt;Patrícia Karla de Sousa Araújo",$B:$B,"&lt;&gt;Lorena Dias de Araujo",$B:$B,"&lt;&gt;Lucas Luiz Romero")*(35/1083),IF(C4073="Técnico II",SUMIFS($D:$D,$A:$A,$A4073,$B:$B,"&lt;&gt;Patrícia Karla de Sousa Araújo",$B:$B,"&lt;&gt;Lorena Dias de Araujo",$B:$B,"&lt;&gt;Lucas Luiz Romero")*(28/1083),IF(C4073="Técnico I",SUMIFS($D:$D,$A:$A,$A4073,$B:$B,"&lt;&gt;Patrícia Karla de Sousa Araújo",$B:$B,"&lt;&gt;Lorena Dias de Araujo",$B:$B,"&lt;&gt;Lucas Luiz Romero")*(23/1083),IF(C4073="JR",SUMIFS($D:$D,$A:$A,$A4073,$B:$B,"&lt;&gt;Patrícia Karla de Sousa Araújo",$B:$B,"&lt;&gt;Lorena Dias de Araujo",$B:$B,"&lt;&gt;Lucas Luiz Romero")*(20/1083),IF(C4073="Estágio",SUMIFS($D:$D,$A:$A,$A4073,$B:$B,"&lt;&gt;Patrícia Karla de Sousa Araújo",$B:$B,"&lt;&gt;Lorena Dias de Araujo",$B:$B,"&lt;&gt;Lucas Luiz Romero")*(10/1083),0)))))),0)</f>
        <v>29</v>
      </c>
      <c r="K4073" s="3">
        <f>I4073-J4073</f>
        <v>-1</v>
      </c>
      <c r="L4073" s="3" t="str">
        <f>IF(K4073&lt;-5,"CRÍTICO",IF(K4073&lt;0,"ATENÇÃO",IF(K4073&lt;=5,"OPORTUNO","MUITO BOM")))</f>
        <v>ATENÇÃO</v>
      </c>
      <c r="M4073">
        <v>25</v>
      </c>
      <c r="N4073">
        <v>99.21</v>
      </c>
      <c r="O4073">
        <v>25.188916876574311</v>
      </c>
    </row>
    <row r="4074" spans="1:15" hidden="1" x14ac:dyDescent="0.25">
      <c r="A4074" s="11">
        <v>46129</v>
      </c>
      <c r="B4074" t="s">
        <v>47</v>
      </c>
      <c r="C4074" t="s">
        <v>48</v>
      </c>
      <c r="D4074">
        <v>25</v>
      </c>
      <c r="E4074">
        <v>21</v>
      </c>
      <c r="F4074">
        <v>12.19</v>
      </c>
      <c r="G4074">
        <v>0</v>
      </c>
      <c r="H4074">
        <v>0</v>
      </c>
      <c r="I4074" s="3">
        <f>E4074+G4074+H4074</f>
        <v>21</v>
      </c>
      <c r="J4074" s="3">
        <f>ROUND(MIN(IF(C4074="Técnico III",35,IF(C4074="Técnico II",28,IF(C4074="Técnico I",23,IF(C4074="JR",20,IF(C4074="Estágio",10,0))))),IF(C4074="Técnico III",SUMIFS($D:$D,$A:$A,$A4074,$B:$B,"&lt;&gt;Patrícia Karla de Sousa Araújo",$B:$B,"&lt;&gt;Lorena Dias de Araujo",$B:$B,"&lt;&gt;Lucas Luiz Romero")*(35/1083),IF(C4074="Técnico II",SUMIFS($D:$D,$A:$A,$A4074,$B:$B,"&lt;&gt;Patrícia Karla de Sousa Araújo",$B:$B,"&lt;&gt;Lorena Dias de Araujo",$B:$B,"&lt;&gt;Lucas Luiz Romero")*(28/1083),IF(C4074="Técnico I",SUMIFS($D:$D,$A:$A,$A4074,$B:$B,"&lt;&gt;Patrícia Karla de Sousa Araújo",$B:$B,"&lt;&gt;Lorena Dias de Araujo",$B:$B,"&lt;&gt;Lucas Luiz Romero")*(23/1083),IF(C4074="JR",SUMIFS($D:$D,$A:$A,$A4074,$B:$B,"&lt;&gt;Patrícia Karla de Sousa Araújo",$B:$B,"&lt;&gt;Lorena Dias de Araujo",$B:$B,"&lt;&gt;Lucas Luiz Romero")*(20/1083),IF(C4074="Estágio",SUMIFS($D:$D,$A:$A,$A4074,$B:$B,"&lt;&gt;Patrícia Karla de Sousa Araújo",$B:$B,"&lt;&gt;Lorena Dias de Araujo",$B:$B,"&lt;&gt;Lucas Luiz Romero")*(10/1083),0)))))),0)</f>
        <v>22</v>
      </c>
      <c r="K4074" s="3">
        <f>I4074-J4074</f>
        <v>-1</v>
      </c>
      <c r="L4074" s="3" t="str">
        <f>IF(K4074&lt;-5,"CRÍTICO",IF(K4074&lt;0,"ATENÇÃO",IF(K4074&lt;=5,"OPORTUNO","MUITO BOM")))</f>
        <v>ATENÇÃO</v>
      </c>
      <c r="M4074">
        <v>4</v>
      </c>
      <c r="N4074">
        <v>100</v>
      </c>
      <c r="O4074">
        <v>32.764505119453922</v>
      </c>
    </row>
    <row r="4075" spans="1:15" hidden="1" x14ac:dyDescent="0.25">
      <c r="A4075" s="11">
        <v>46129</v>
      </c>
      <c r="B4075" t="s">
        <v>31</v>
      </c>
      <c r="C4075" t="s">
        <v>32</v>
      </c>
      <c r="D4075">
        <v>0</v>
      </c>
      <c r="E4075">
        <v>0</v>
      </c>
      <c r="F4075">
        <v>0</v>
      </c>
      <c r="G4075">
        <v>0</v>
      </c>
      <c r="H4075">
        <v>0</v>
      </c>
      <c r="I4075" s="3">
        <v>0</v>
      </c>
      <c r="J4075" s="3">
        <v>0</v>
      </c>
      <c r="K4075" s="3">
        <v>0</v>
      </c>
      <c r="L4075" s="3" t="str">
        <f>IF(K4075&lt;-5,"CRÍTICO",IF(K4075&lt;0,"ATENÇÃO",IF(K4075&lt;=5,"OPORTUNO","MUITO BOM")))</f>
        <v>OPORTUNO</v>
      </c>
      <c r="M4075">
        <v>30</v>
      </c>
      <c r="N4075">
        <v>98.66</v>
      </c>
      <c r="O4075">
        <v>35.416666666666671</v>
      </c>
    </row>
    <row r="4076" spans="1:15" hidden="1" x14ac:dyDescent="0.25">
      <c r="A4076" s="11">
        <v>46129</v>
      </c>
      <c r="B4076" t="s">
        <v>59</v>
      </c>
      <c r="C4076" t="s">
        <v>23</v>
      </c>
      <c r="D4076">
        <v>22</v>
      </c>
      <c r="E4076">
        <v>22</v>
      </c>
      <c r="F4076">
        <v>27.15</v>
      </c>
      <c r="G4076">
        <v>0</v>
      </c>
      <c r="H4076">
        <v>0</v>
      </c>
      <c r="I4076" s="3">
        <f>E4076+G4076+H4076</f>
        <v>22</v>
      </c>
      <c r="J4076" s="3">
        <f>ROUND(MIN(IF(C4076="Técnico III",35,IF(C4076="Técnico II",28,IF(C4076="Técnico I",23,IF(C4076="JR",20,IF(C4076="Estágio",10,0))))),IF(C4076="Técnico III",SUMIFS($D:$D,$A:$A,$A4076,$B:$B,"&lt;&gt;Patrícia Karla de Sousa Araújo",$B:$B,"&lt;&gt;Lorena Dias de Araujo",$B:$B,"&lt;&gt;Lucas Luiz Romero")*(35/1083),IF(C4076="Técnico II",SUMIFS($D:$D,$A:$A,$A4076,$B:$B,"&lt;&gt;Patrícia Karla de Sousa Araújo",$B:$B,"&lt;&gt;Lorena Dias de Araujo",$B:$B,"&lt;&gt;Lucas Luiz Romero")*(28/1083),IF(C4076="Técnico I",SUMIFS($D:$D,$A:$A,$A4076,$B:$B,"&lt;&gt;Patrícia Karla de Sousa Araújo",$B:$B,"&lt;&gt;Lorena Dias de Araujo",$B:$B,"&lt;&gt;Lucas Luiz Romero")*(23/1083),IF(C4076="JR",SUMIFS($D:$D,$A:$A,$A4076,$B:$B,"&lt;&gt;Patrícia Karla de Sousa Araújo",$B:$B,"&lt;&gt;Lorena Dias de Araujo",$B:$B,"&lt;&gt;Lucas Luiz Romero")*(20/1083),IF(C4076="Estágio",SUMIFS($D:$D,$A:$A,$A4076,$B:$B,"&lt;&gt;Patrícia Karla de Sousa Araújo",$B:$B,"&lt;&gt;Lorena Dias de Araujo",$B:$B,"&lt;&gt;Lucas Luiz Romero")*(10/1083),0)))))),0)</f>
        <v>18</v>
      </c>
      <c r="K4076" s="3">
        <f>I4076-J4076</f>
        <v>4</v>
      </c>
      <c r="L4076" s="3" t="str">
        <f>IF(K4076&lt;-5,"CRÍTICO",IF(K4076&lt;0,"ATENÇÃO",IF(K4076&lt;=5,"OPORTUNO","MUITO BOM")))</f>
        <v>OPORTUNO</v>
      </c>
      <c r="M4076">
        <v>21</v>
      </c>
      <c r="N4076">
        <v>99.32</v>
      </c>
      <c r="O4076">
        <v>30.648330058939099</v>
      </c>
    </row>
    <row r="4077" spans="1:15" hidden="1" x14ac:dyDescent="0.25">
      <c r="A4077" s="11">
        <v>46129</v>
      </c>
      <c r="B4077" t="s">
        <v>33</v>
      </c>
      <c r="C4077" t="s">
        <v>32</v>
      </c>
      <c r="D4077">
        <v>28</v>
      </c>
      <c r="E4077">
        <v>23</v>
      </c>
      <c r="F4077">
        <v>18.2</v>
      </c>
      <c r="G4077">
        <v>0</v>
      </c>
      <c r="H4077">
        <v>0</v>
      </c>
      <c r="I4077" s="3">
        <f>E4077+G4077+H4077</f>
        <v>23</v>
      </c>
      <c r="J4077" s="3">
        <f>ROUND(MIN(IF(C4077="Técnico III",35,IF(C4077="Técnico II",28,IF(C4077="Técnico I",23,IF(C4077="JR",20,IF(C4077="Estágio",10,0))))),IF(C4077="Técnico III",SUMIFS($D:$D,$A:$A,$A4077,$B:$B,"&lt;&gt;Patrícia Karla de Sousa Araújo",$B:$B,"&lt;&gt;Lorena Dias de Araujo",$B:$B,"&lt;&gt;Lucas Luiz Romero")*(35/1083),IF(C4077="Técnico II",SUMIFS($D:$D,$A:$A,$A4077,$B:$B,"&lt;&gt;Patrícia Karla de Sousa Araújo",$B:$B,"&lt;&gt;Lorena Dias de Araujo",$B:$B,"&lt;&gt;Lucas Luiz Romero")*(28/1083),IF(C4077="Técnico I",SUMIFS($D:$D,$A:$A,$A4077,$B:$B,"&lt;&gt;Patrícia Karla de Sousa Araújo",$B:$B,"&lt;&gt;Lorena Dias de Araujo",$B:$B,"&lt;&gt;Lucas Luiz Romero")*(23/1083),IF(C4077="JR",SUMIFS($D:$D,$A:$A,$A4077,$B:$B,"&lt;&gt;Patrícia Karla de Sousa Araújo",$B:$B,"&lt;&gt;Lorena Dias de Araujo",$B:$B,"&lt;&gt;Lucas Luiz Romero")*(20/1083),IF(C4077="Estágio",SUMIFS($D:$D,$A:$A,$A4077,$B:$B,"&lt;&gt;Patrícia Karla de Sousa Araújo",$B:$B,"&lt;&gt;Lorena Dias de Araujo",$B:$B,"&lt;&gt;Lucas Luiz Romero")*(10/1083),0)))))),0)</f>
        <v>27</v>
      </c>
      <c r="K4077" s="3">
        <f>I4077-J4077</f>
        <v>-4</v>
      </c>
      <c r="L4077" s="3" t="str">
        <f>IF(K4077&lt;-5,"CRÍTICO",IF(K4077&lt;0,"ATENÇÃO",IF(K4077&lt;=5,"OPORTUNO","MUITO BOM")))</f>
        <v>ATENÇÃO</v>
      </c>
      <c r="M4077">
        <v>20</v>
      </c>
      <c r="N4077">
        <v>100</v>
      </c>
      <c r="O4077">
        <v>27.803738317757009</v>
      </c>
    </row>
    <row r="4078" spans="1:15" hidden="1" x14ac:dyDescent="0.25">
      <c r="A4078" s="11">
        <v>46129</v>
      </c>
      <c r="B4078" t="s">
        <v>15</v>
      </c>
      <c r="C4078" t="s">
        <v>16</v>
      </c>
      <c r="D4078">
        <v>0</v>
      </c>
      <c r="E4078">
        <v>0</v>
      </c>
      <c r="F4078">
        <v>0</v>
      </c>
      <c r="G4078">
        <v>0</v>
      </c>
      <c r="H4078">
        <v>0</v>
      </c>
      <c r="I4078" s="3">
        <v>0</v>
      </c>
      <c r="J4078" s="3">
        <v>0</v>
      </c>
      <c r="K4078" s="3">
        <v>0</v>
      </c>
      <c r="L4078" s="3" t="str">
        <f>IF(K4078&lt;-5,"CRÍTICO",IF(K4078&lt;0,"ATENÇÃO",IF(K4078&lt;=5,"OPORTUNO","MUITO BOM")))</f>
        <v>OPORTUNO</v>
      </c>
      <c r="M4078">
        <v>0</v>
      </c>
      <c r="N4078">
        <v>96.74</v>
      </c>
      <c r="O4078">
        <v>28.67647058823529</v>
      </c>
    </row>
    <row r="4079" spans="1:15" hidden="1" x14ac:dyDescent="0.25">
      <c r="A4079" s="11">
        <v>46129</v>
      </c>
      <c r="B4079" t="s">
        <v>49</v>
      </c>
      <c r="C4079" t="s">
        <v>48</v>
      </c>
      <c r="D4079">
        <v>36</v>
      </c>
      <c r="E4079">
        <v>32</v>
      </c>
      <c r="F4079">
        <v>15.03</v>
      </c>
      <c r="G4079">
        <v>0</v>
      </c>
      <c r="H4079">
        <v>0</v>
      </c>
      <c r="I4079" s="3">
        <f>E4079+G4079+H4079</f>
        <v>32</v>
      </c>
      <c r="J4079" s="3">
        <f>ROUND(MIN(IF(C4079="Técnico III",35,IF(C4079="Técnico II",28,IF(C4079="Técnico I",23,IF(C4079="JR",20,IF(C4079="Estágio",10,0))))),IF(C4079="Técnico III",SUMIFS($D:$D,$A:$A,$A4079,$B:$B,"&lt;&gt;Patrícia Karla de Sousa Araújo",$B:$B,"&lt;&gt;Lorena Dias de Araujo",$B:$B,"&lt;&gt;Lucas Luiz Romero")*(35/1083),IF(C4079="Técnico II",SUMIFS($D:$D,$A:$A,$A4079,$B:$B,"&lt;&gt;Patrícia Karla de Sousa Araújo",$B:$B,"&lt;&gt;Lorena Dias de Araujo",$B:$B,"&lt;&gt;Lucas Luiz Romero")*(28/1083),IF(C4079="Técnico I",SUMIFS($D:$D,$A:$A,$A4079,$B:$B,"&lt;&gt;Patrícia Karla de Sousa Araújo",$B:$B,"&lt;&gt;Lorena Dias de Araujo",$B:$B,"&lt;&gt;Lucas Luiz Romero")*(23/1083),IF(C4079="JR",SUMIFS($D:$D,$A:$A,$A4079,$B:$B,"&lt;&gt;Patrícia Karla de Sousa Araújo",$B:$B,"&lt;&gt;Lorena Dias de Araujo",$B:$B,"&lt;&gt;Lucas Luiz Romero")*(20/1083),IF(C4079="Estágio",SUMIFS($D:$D,$A:$A,$A4079,$B:$B,"&lt;&gt;Patrícia Karla de Sousa Araújo",$B:$B,"&lt;&gt;Lorena Dias de Araujo",$B:$B,"&lt;&gt;Lucas Luiz Romero")*(10/1083),0)))))),0)</f>
        <v>22</v>
      </c>
      <c r="K4079" s="3">
        <f>I4079-J4079</f>
        <v>10</v>
      </c>
      <c r="L4079" s="3" t="str">
        <f>IF(K4079&lt;-5,"CRÍTICO",IF(K4079&lt;0,"ATENÇÃO",IF(K4079&lt;=5,"OPORTUNO","MUITO BOM")))</f>
        <v>MUITO BOM</v>
      </c>
      <c r="M4079">
        <v>31</v>
      </c>
      <c r="N4079">
        <v>98.82</v>
      </c>
      <c r="O4079">
        <v>30.741410488245929</v>
      </c>
    </row>
    <row r="4080" spans="1:15" hidden="1" x14ac:dyDescent="0.25">
      <c r="A4080" s="11">
        <v>46129</v>
      </c>
      <c r="B4080" t="s">
        <v>50</v>
      </c>
      <c r="C4080" t="s">
        <v>48</v>
      </c>
      <c r="D4080">
        <v>16</v>
      </c>
      <c r="E4080">
        <v>16</v>
      </c>
      <c r="F4080">
        <v>38.22</v>
      </c>
      <c r="G4080">
        <v>0</v>
      </c>
      <c r="H4080">
        <v>0</v>
      </c>
      <c r="I4080" s="3">
        <f>E4080+G4080+H4080</f>
        <v>16</v>
      </c>
      <c r="J4080" s="3">
        <f>ROUND(MIN(IF(C4080="Técnico III",35,IF(C4080="Técnico II",28,IF(C4080="Técnico I",23,IF(C4080="JR",20,IF(C4080="Estágio",10,0))))),IF(C4080="Técnico III",SUMIFS($D:$D,$A:$A,$A4080,$B:$B,"&lt;&gt;Patrícia Karla de Sousa Araújo",$B:$B,"&lt;&gt;Lorena Dias de Araujo",$B:$B,"&lt;&gt;Lucas Luiz Romero")*(35/1083),IF(C4080="Técnico II",SUMIFS($D:$D,$A:$A,$A4080,$B:$B,"&lt;&gt;Patrícia Karla de Sousa Araújo",$B:$B,"&lt;&gt;Lorena Dias de Araujo",$B:$B,"&lt;&gt;Lucas Luiz Romero")*(28/1083),IF(C4080="Técnico I",SUMIFS($D:$D,$A:$A,$A4080,$B:$B,"&lt;&gt;Patrícia Karla de Sousa Araújo",$B:$B,"&lt;&gt;Lorena Dias de Araujo",$B:$B,"&lt;&gt;Lucas Luiz Romero")*(23/1083),IF(C4080="JR",SUMIFS($D:$D,$A:$A,$A4080,$B:$B,"&lt;&gt;Patrícia Karla de Sousa Araújo",$B:$B,"&lt;&gt;Lorena Dias de Araujo",$B:$B,"&lt;&gt;Lucas Luiz Romero")*(20/1083),IF(C4080="Estágio",SUMIFS($D:$D,$A:$A,$A4080,$B:$B,"&lt;&gt;Patrícia Karla de Sousa Araújo",$B:$B,"&lt;&gt;Lorena Dias de Araujo",$B:$B,"&lt;&gt;Lucas Luiz Romero")*(10/1083),0)))))),0)</f>
        <v>22</v>
      </c>
      <c r="K4080" s="3">
        <f>I4080-J4080</f>
        <v>-6</v>
      </c>
      <c r="L4080" s="3" t="str">
        <f>IF(K4080&lt;-5,"CRÍTICO",IF(K4080&lt;0,"ATENÇÃO",IF(K4080&lt;=5,"OPORTUNO","MUITO BOM")))</f>
        <v>CRÍTICO</v>
      </c>
      <c r="M4080">
        <v>14</v>
      </c>
      <c r="N4080">
        <v>98.2</v>
      </c>
      <c r="O4080">
        <v>27.170868347338931</v>
      </c>
    </row>
    <row r="4081" spans="1:15" hidden="1" x14ac:dyDescent="0.25">
      <c r="A4081" s="11">
        <v>46129</v>
      </c>
      <c r="B4081" t="s">
        <v>17</v>
      </c>
      <c r="C4081" t="s">
        <v>16</v>
      </c>
      <c r="D4081">
        <v>7</v>
      </c>
      <c r="E4081">
        <v>6</v>
      </c>
      <c r="F4081">
        <v>39.08</v>
      </c>
      <c r="G4081">
        <v>0</v>
      </c>
      <c r="H4081">
        <v>0</v>
      </c>
      <c r="I4081" s="3">
        <f>E4081+G4081+H4081</f>
        <v>6</v>
      </c>
      <c r="J4081" s="3">
        <f>ROUND(MIN(IF(C4081="Técnico III",35,IF(C4081="Técnico II",28,IF(C4081="Técnico I",23,IF(C4081="JR",20,IF(C4081="Estágio",10,0))))),IF(C4081="Técnico III",SUMIFS($D:$D,$A:$A,$A4081,$B:$B,"&lt;&gt;Patrícia Karla de Sousa Araújo",$B:$B,"&lt;&gt;Lorena Dias de Araujo",$B:$B,"&lt;&gt;Lucas Luiz Romero")*(35/1083),IF(C4081="Técnico II",SUMIFS($D:$D,$A:$A,$A4081,$B:$B,"&lt;&gt;Patrícia Karla de Sousa Araújo",$B:$B,"&lt;&gt;Lorena Dias de Araujo",$B:$B,"&lt;&gt;Lucas Luiz Romero")*(28/1083),IF(C4081="Técnico I",SUMIFS($D:$D,$A:$A,$A4081,$B:$B,"&lt;&gt;Patrícia Karla de Sousa Araújo",$B:$B,"&lt;&gt;Lorena Dias de Araujo",$B:$B,"&lt;&gt;Lucas Luiz Romero")*(23/1083),IF(C4081="JR",SUMIFS($D:$D,$A:$A,$A4081,$B:$B,"&lt;&gt;Patrícia Karla de Sousa Araújo",$B:$B,"&lt;&gt;Lorena Dias de Araujo",$B:$B,"&lt;&gt;Lucas Luiz Romero")*(20/1083),IF(C4081="Estágio",SUMIFS($D:$D,$A:$A,$A4081,$B:$B,"&lt;&gt;Patrícia Karla de Sousa Araújo",$B:$B,"&lt;&gt;Lorena Dias de Araujo",$B:$B,"&lt;&gt;Lucas Luiz Romero")*(10/1083),0)))))),0)</f>
        <v>8</v>
      </c>
      <c r="K4081" s="3">
        <f>I4081-J4081</f>
        <v>-2</v>
      </c>
      <c r="L4081" s="3" t="str">
        <f>IF(K4081&lt;-5,"CRÍTICO",IF(K4081&lt;0,"ATENÇÃO",IF(K4081&lt;=5,"OPORTUNO","MUITO BOM")))</f>
        <v>ATENÇÃO</v>
      </c>
      <c r="M4081">
        <v>6</v>
      </c>
      <c r="N4081">
        <v>100</v>
      </c>
      <c r="O4081">
        <v>23.134328358208951</v>
      </c>
    </row>
    <row r="4082" spans="1:15" hidden="1" x14ac:dyDescent="0.25">
      <c r="A4082" s="11">
        <v>46129</v>
      </c>
      <c r="B4082" t="s">
        <v>60</v>
      </c>
      <c r="C4082" t="s">
        <v>23</v>
      </c>
      <c r="D4082">
        <v>29</v>
      </c>
      <c r="E4082">
        <v>26</v>
      </c>
      <c r="F4082">
        <v>15.35</v>
      </c>
      <c r="G4082">
        <v>0</v>
      </c>
      <c r="H4082">
        <v>0</v>
      </c>
      <c r="I4082" s="3">
        <f>E4082+G4082+H4082</f>
        <v>26</v>
      </c>
      <c r="J4082" s="3">
        <f>ROUND(MIN(IF(C4082="Técnico III",35,IF(C4082="Técnico II",28,IF(C4082="Técnico I",23,IF(C4082="JR",20,IF(C4082="Estágio",10,0))))),IF(C4082="Técnico III",SUMIFS($D:$D,$A:$A,$A4082,$B:$B,"&lt;&gt;Patrícia Karla de Sousa Araújo",$B:$B,"&lt;&gt;Lorena Dias de Araujo",$B:$B,"&lt;&gt;Lucas Luiz Romero")*(35/1083),IF(C4082="Técnico II",SUMIFS($D:$D,$A:$A,$A4082,$B:$B,"&lt;&gt;Patrícia Karla de Sousa Araújo",$B:$B,"&lt;&gt;Lorena Dias de Araujo",$B:$B,"&lt;&gt;Lucas Luiz Romero")*(28/1083),IF(C4082="Técnico I",SUMIFS($D:$D,$A:$A,$A4082,$B:$B,"&lt;&gt;Patrícia Karla de Sousa Araújo",$B:$B,"&lt;&gt;Lorena Dias de Araujo",$B:$B,"&lt;&gt;Lucas Luiz Romero")*(23/1083),IF(C4082="JR",SUMIFS($D:$D,$A:$A,$A4082,$B:$B,"&lt;&gt;Patrícia Karla de Sousa Araújo",$B:$B,"&lt;&gt;Lorena Dias de Araujo",$B:$B,"&lt;&gt;Lucas Luiz Romero")*(20/1083),IF(C4082="Estágio",SUMIFS($D:$D,$A:$A,$A4082,$B:$B,"&lt;&gt;Patrícia Karla de Sousa Araújo",$B:$B,"&lt;&gt;Lorena Dias de Araujo",$B:$B,"&lt;&gt;Lucas Luiz Romero")*(10/1083),0)))))),0)</f>
        <v>18</v>
      </c>
      <c r="K4082" s="3">
        <f>I4082-J4082</f>
        <v>8</v>
      </c>
      <c r="L4082" s="3" t="str">
        <f>IF(K4082&lt;-5,"CRÍTICO",IF(K4082&lt;0,"ATENÇÃO",IF(K4082&lt;=5,"OPORTUNO","MUITO BOM")))</f>
        <v>MUITO BOM</v>
      </c>
      <c r="M4082">
        <v>29</v>
      </c>
      <c r="N4082">
        <v>96.3</v>
      </c>
      <c r="O4082">
        <v>32.219570405727922</v>
      </c>
    </row>
    <row r="4083" spans="1:15" hidden="1" x14ac:dyDescent="0.25">
      <c r="A4083" s="11">
        <v>46129</v>
      </c>
      <c r="B4083" t="s">
        <v>34</v>
      </c>
      <c r="C4083" t="s">
        <v>32</v>
      </c>
      <c r="D4083">
        <v>30</v>
      </c>
      <c r="E4083">
        <v>27</v>
      </c>
      <c r="F4083">
        <v>12.3</v>
      </c>
      <c r="G4083">
        <v>0</v>
      </c>
      <c r="H4083">
        <v>0</v>
      </c>
      <c r="I4083" s="3">
        <f>E4083+G4083+H4083</f>
        <v>27</v>
      </c>
      <c r="J4083" s="3">
        <f>ROUND(MIN(IF(C4083="Técnico III",35,IF(C4083="Técnico II",28,IF(C4083="Técnico I",23,IF(C4083="JR",20,IF(C4083="Estágio",10,0))))),IF(C4083="Técnico III",SUMIFS($D:$D,$A:$A,$A4083,$B:$B,"&lt;&gt;Patrícia Karla de Sousa Araújo",$B:$B,"&lt;&gt;Lorena Dias de Araujo",$B:$B,"&lt;&gt;Lucas Luiz Romero")*(35/1083),IF(C4083="Técnico II",SUMIFS($D:$D,$A:$A,$A4083,$B:$B,"&lt;&gt;Patrícia Karla de Sousa Araújo",$B:$B,"&lt;&gt;Lorena Dias de Araujo",$B:$B,"&lt;&gt;Lucas Luiz Romero")*(28/1083),IF(C4083="Técnico I",SUMIFS($D:$D,$A:$A,$A4083,$B:$B,"&lt;&gt;Patrícia Karla de Sousa Araújo",$B:$B,"&lt;&gt;Lorena Dias de Araujo",$B:$B,"&lt;&gt;Lucas Luiz Romero")*(23/1083),IF(C4083="JR",SUMIFS($D:$D,$A:$A,$A4083,$B:$B,"&lt;&gt;Patrícia Karla de Sousa Araújo",$B:$B,"&lt;&gt;Lorena Dias de Araujo",$B:$B,"&lt;&gt;Lucas Luiz Romero")*(20/1083),IF(C4083="Estágio",SUMIFS($D:$D,$A:$A,$A4083,$B:$B,"&lt;&gt;Patrícia Karla de Sousa Araújo",$B:$B,"&lt;&gt;Lorena Dias de Araujo",$B:$B,"&lt;&gt;Lucas Luiz Romero")*(10/1083),0)))))),0)</f>
        <v>27</v>
      </c>
      <c r="K4083" s="3">
        <f>I4083-J4083</f>
        <v>0</v>
      </c>
      <c r="L4083" s="3" t="str">
        <f>IF(K4083&lt;-5,"CRÍTICO",IF(K4083&lt;0,"ATENÇÃO",IF(K4083&lt;=5,"OPORTUNO","MUITO BOM")))</f>
        <v>OPORTUNO</v>
      </c>
      <c r="M4083">
        <v>26</v>
      </c>
      <c r="N4083">
        <v>93.75</v>
      </c>
      <c r="O4083">
        <v>26.819923371647509</v>
      </c>
    </row>
    <row r="4084" spans="1:15" hidden="1" x14ac:dyDescent="0.25">
      <c r="A4084" s="11">
        <v>46129</v>
      </c>
      <c r="B4084" t="s">
        <v>51</v>
      </c>
      <c r="C4084" t="s">
        <v>48</v>
      </c>
      <c r="D4084">
        <v>30</v>
      </c>
      <c r="E4084">
        <v>25</v>
      </c>
      <c r="F4084">
        <v>20.39</v>
      </c>
      <c r="G4084">
        <v>0</v>
      </c>
      <c r="H4084">
        <v>0</v>
      </c>
      <c r="I4084" s="3">
        <v>0</v>
      </c>
      <c r="J4084" s="3">
        <v>0</v>
      </c>
      <c r="K4084" s="3">
        <v>0</v>
      </c>
      <c r="L4084" s="3" t="str">
        <f>IF(K4084&lt;-5,"CRÍTICO",IF(K4084&lt;0,"ATENÇÃO",IF(K4084&lt;=5,"OPORTUNO","MUITO BOM")))</f>
        <v>OPORTUNO</v>
      </c>
      <c r="M4084">
        <v>20</v>
      </c>
      <c r="N4084">
        <v>97.86</v>
      </c>
      <c r="O4084">
        <v>31.018518518518519</v>
      </c>
    </row>
    <row r="4085" spans="1:15" hidden="1" x14ac:dyDescent="0.25">
      <c r="A4085" s="11">
        <v>46129</v>
      </c>
      <c r="B4085" t="s">
        <v>61</v>
      </c>
      <c r="C4085" t="s">
        <v>23</v>
      </c>
      <c r="D4085">
        <v>23</v>
      </c>
      <c r="E4085">
        <v>23</v>
      </c>
      <c r="F4085">
        <v>19.18</v>
      </c>
      <c r="G4085">
        <v>0</v>
      </c>
      <c r="H4085">
        <v>0</v>
      </c>
      <c r="I4085" s="3">
        <f>E4085+G4085+H4085</f>
        <v>23</v>
      </c>
      <c r="J4085" s="3">
        <f>ROUND(MIN(IF(C4085="Técnico III",35,IF(C4085="Técnico II",28,IF(C4085="Técnico I",23,IF(C4085="JR",20,IF(C4085="Estágio",10,0))))),IF(C4085="Técnico III",SUMIFS($D:$D,$A:$A,$A4085,$B:$B,"&lt;&gt;Patrícia Karla de Sousa Araújo",$B:$B,"&lt;&gt;Lorena Dias de Araujo",$B:$B,"&lt;&gt;Lucas Luiz Romero")*(35/1083),IF(C4085="Técnico II",SUMIFS($D:$D,$A:$A,$A4085,$B:$B,"&lt;&gt;Patrícia Karla de Sousa Araújo",$B:$B,"&lt;&gt;Lorena Dias de Araujo",$B:$B,"&lt;&gt;Lucas Luiz Romero")*(28/1083),IF(C4085="Técnico I",SUMIFS($D:$D,$A:$A,$A4085,$B:$B,"&lt;&gt;Patrícia Karla de Sousa Araújo",$B:$B,"&lt;&gt;Lorena Dias de Araujo",$B:$B,"&lt;&gt;Lucas Luiz Romero")*(23/1083),IF(C4085="JR",SUMIFS($D:$D,$A:$A,$A4085,$B:$B,"&lt;&gt;Patrícia Karla de Sousa Araújo",$B:$B,"&lt;&gt;Lorena Dias de Araujo",$B:$B,"&lt;&gt;Lucas Luiz Romero")*(20/1083),IF(C4085="Estágio",SUMIFS($D:$D,$A:$A,$A4085,$B:$B,"&lt;&gt;Patrícia Karla de Sousa Araújo",$B:$B,"&lt;&gt;Lorena Dias de Araujo",$B:$B,"&lt;&gt;Lucas Luiz Romero")*(10/1083),0)))))),0)</f>
        <v>18</v>
      </c>
      <c r="K4085" s="3">
        <f>I4085-J4085</f>
        <v>5</v>
      </c>
      <c r="L4085" s="3" t="str">
        <f>IF(K4085&lt;-5,"CRÍTICO",IF(K4085&lt;0,"ATENÇÃO",IF(K4085&lt;=5,"OPORTUNO","MUITO BOM")))</f>
        <v>OPORTUNO</v>
      </c>
      <c r="M4085">
        <v>15</v>
      </c>
      <c r="N4085">
        <v>100</v>
      </c>
      <c r="O4085">
        <v>36.594202898550733</v>
      </c>
    </row>
    <row r="4086" spans="1:15" hidden="1" x14ac:dyDescent="0.25">
      <c r="A4086" s="11">
        <v>46129</v>
      </c>
      <c r="B4086" t="s">
        <v>35</v>
      </c>
      <c r="C4086" t="s">
        <v>32</v>
      </c>
      <c r="D4086">
        <v>28</v>
      </c>
      <c r="E4086">
        <v>27</v>
      </c>
      <c r="F4086">
        <v>20.11</v>
      </c>
      <c r="G4086">
        <v>0</v>
      </c>
      <c r="H4086">
        <v>0</v>
      </c>
      <c r="I4086" s="3">
        <v>0</v>
      </c>
      <c r="J4086" s="3">
        <v>0</v>
      </c>
      <c r="K4086" s="3">
        <v>0</v>
      </c>
      <c r="L4086" s="3" t="str">
        <f>IF(K4086&lt;-5,"CRÍTICO",IF(K4086&lt;0,"ATENÇÃO",IF(K4086&lt;=5,"OPORTUNO","MUITO BOM")))</f>
        <v>OPORTUNO</v>
      </c>
      <c r="M4086">
        <v>28</v>
      </c>
      <c r="N4086">
        <v>100</v>
      </c>
      <c r="O4086">
        <v>38.653846153846153</v>
      </c>
    </row>
    <row r="4087" spans="1:15" hidden="1" x14ac:dyDescent="0.25">
      <c r="A4087" s="11">
        <v>46129</v>
      </c>
      <c r="B4087" t="s">
        <v>18</v>
      </c>
      <c r="C4087" t="s">
        <v>16</v>
      </c>
      <c r="D4087">
        <v>13</v>
      </c>
      <c r="E4087">
        <v>11</v>
      </c>
      <c r="F4087">
        <v>13.5</v>
      </c>
      <c r="G4087">
        <v>0</v>
      </c>
      <c r="H4087">
        <v>0</v>
      </c>
      <c r="I4087" s="3">
        <f>E4087+G4087+H4087</f>
        <v>11</v>
      </c>
      <c r="J4087" s="3">
        <f>ROUND(MIN(IF(C4087="Técnico III",35,IF(C4087="Técnico II",28,IF(C4087="Técnico I",23,IF(C4087="JR",20,IF(C4087="Estágio",10,0))))),IF(C4087="Técnico III",SUMIFS($D:$D,$A:$A,$A4087,$B:$B,"&lt;&gt;Patrícia Karla de Sousa Araújo",$B:$B,"&lt;&gt;Lorena Dias de Araujo",$B:$B,"&lt;&gt;Lucas Luiz Romero")*(35/1083),IF(C4087="Técnico II",SUMIFS($D:$D,$A:$A,$A4087,$B:$B,"&lt;&gt;Patrícia Karla de Sousa Araújo",$B:$B,"&lt;&gt;Lorena Dias de Araujo",$B:$B,"&lt;&gt;Lucas Luiz Romero")*(28/1083),IF(C4087="Técnico I",SUMIFS($D:$D,$A:$A,$A4087,$B:$B,"&lt;&gt;Patrícia Karla de Sousa Araújo",$B:$B,"&lt;&gt;Lorena Dias de Araujo",$B:$B,"&lt;&gt;Lucas Luiz Romero")*(23/1083),IF(C4087="JR",SUMIFS($D:$D,$A:$A,$A4087,$B:$B,"&lt;&gt;Patrícia Karla de Sousa Araújo",$B:$B,"&lt;&gt;Lorena Dias de Araujo",$B:$B,"&lt;&gt;Lucas Luiz Romero")*(20/1083),IF(C4087="Estágio",SUMIFS($D:$D,$A:$A,$A4087,$B:$B,"&lt;&gt;Patrícia Karla de Sousa Araújo",$B:$B,"&lt;&gt;Lorena Dias de Araujo",$B:$B,"&lt;&gt;Lucas Luiz Romero")*(10/1083),0)))))),0)</f>
        <v>8</v>
      </c>
      <c r="K4087" s="3">
        <f>I4087-J4087</f>
        <v>3</v>
      </c>
      <c r="L4087" s="3" t="str">
        <f>IF(K4087&lt;-5,"CRÍTICO",IF(K4087&lt;0,"ATENÇÃO",IF(K4087&lt;=5,"OPORTUNO","MUITO BOM")))</f>
        <v>OPORTUNO</v>
      </c>
      <c r="M4087">
        <v>7</v>
      </c>
      <c r="N4087">
        <v>100</v>
      </c>
      <c r="O4087">
        <v>27.368421052631579</v>
      </c>
    </row>
    <row r="4088" spans="1:15" hidden="1" x14ac:dyDescent="0.25">
      <c r="A4088" s="11">
        <v>46129</v>
      </c>
      <c r="B4088" t="s">
        <v>52</v>
      </c>
      <c r="C4088" t="s">
        <v>48</v>
      </c>
      <c r="D4088">
        <v>27</v>
      </c>
      <c r="E4088">
        <v>25</v>
      </c>
      <c r="F4088">
        <v>17.03</v>
      </c>
      <c r="G4088">
        <v>0</v>
      </c>
      <c r="H4088">
        <v>0</v>
      </c>
      <c r="I4088" s="3">
        <f>E4088+G4088+H4088</f>
        <v>25</v>
      </c>
      <c r="J4088" s="3">
        <f>ROUND(MIN(IF(C4088="Técnico III",35,IF(C4088="Técnico II",28,IF(C4088="Técnico I",23,IF(C4088="JR",20,IF(C4088="Estágio",10,0))))),IF(C4088="Técnico III",SUMIFS($D:$D,$A:$A,$A4088,$B:$B,"&lt;&gt;Patrícia Karla de Sousa Araújo",$B:$B,"&lt;&gt;Lorena Dias de Araujo",$B:$B,"&lt;&gt;Lucas Luiz Romero")*(35/1083),IF(C4088="Técnico II",SUMIFS($D:$D,$A:$A,$A4088,$B:$B,"&lt;&gt;Patrícia Karla de Sousa Araújo",$B:$B,"&lt;&gt;Lorena Dias de Araujo",$B:$B,"&lt;&gt;Lucas Luiz Romero")*(28/1083),IF(C4088="Técnico I",SUMIFS($D:$D,$A:$A,$A4088,$B:$B,"&lt;&gt;Patrícia Karla de Sousa Araújo",$B:$B,"&lt;&gt;Lorena Dias de Araujo",$B:$B,"&lt;&gt;Lucas Luiz Romero")*(23/1083),IF(C4088="JR",SUMIFS($D:$D,$A:$A,$A4088,$B:$B,"&lt;&gt;Patrícia Karla de Sousa Araújo",$B:$B,"&lt;&gt;Lorena Dias de Araujo",$B:$B,"&lt;&gt;Lucas Luiz Romero")*(20/1083),IF(C4088="Estágio",SUMIFS($D:$D,$A:$A,$A4088,$B:$B,"&lt;&gt;Patrícia Karla de Sousa Araújo",$B:$B,"&lt;&gt;Lorena Dias de Araujo",$B:$B,"&lt;&gt;Lucas Luiz Romero")*(10/1083),0)))))),0)</f>
        <v>22</v>
      </c>
      <c r="K4088" s="3">
        <f>I4088-J4088</f>
        <v>3</v>
      </c>
      <c r="L4088" s="3" t="str">
        <f>IF(K4088&lt;-5,"CRÍTICO",IF(K4088&lt;0,"ATENÇÃO",IF(K4088&lt;=5,"OPORTUNO","MUITO BOM")))</f>
        <v>OPORTUNO</v>
      </c>
      <c r="M4088">
        <v>25</v>
      </c>
      <c r="N4088">
        <v>97.83</v>
      </c>
      <c r="O4088">
        <v>28.35164835164835</v>
      </c>
    </row>
    <row r="4089" spans="1:15" hidden="1" x14ac:dyDescent="0.25">
      <c r="A4089" s="11">
        <v>46129</v>
      </c>
      <c r="B4089" t="s">
        <v>36</v>
      </c>
      <c r="C4089" t="s">
        <v>32</v>
      </c>
      <c r="D4089">
        <v>30</v>
      </c>
      <c r="E4089">
        <v>27</v>
      </c>
      <c r="F4089">
        <v>14.08</v>
      </c>
      <c r="G4089">
        <v>0</v>
      </c>
      <c r="H4089">
        <v>0</v>
      </c>
      <c r="I4089" s="3">
        <f>E4089+G4089+H4089</f>
        <v>27</v>
      </c>
      <c r="J4089" s="3">
        <f>ROUND(MIN(IF(C4089="Técnico III",35,IF(C4089="Técnico II",28,IF(C4089="Técnico I",23,IF(C4089="JR",20,IF(C4089="Estágio",10,0))))),IF(C4089="Técnico III",SUMIFS($D:$D,$A:$A,$A4089,$B:$B,"&lt;&gt;Patrícia Karla de Sousa Araújo",$B:$B,"&lt;&gt;Lorena Dias de Araujo",$B:$B,"&lt;&gt;Lucas Luiz Romero")*(35/1083),IF(C4089="Técnico II",SUMIFS($D:$D,$A:$A,$A4089,$B:$B,"&lt;&gt;Patrícia Karla de Sousa Araújo",$B:$B,"&lt;&gt;Lorena Dias de Araujo",$B:$B,"&lt;&gt;Lucas Luiz Romero")*(28/1083),IF(C4089="Técnico I",SUMIFS($D:$D,$A:$A,$A4089,$B:$B,"&lt;&gt;Patrícia Karla de Sousa Araújo",$B:$B,"&lt;&gt;Lorena Dias de Araujo",$B:$B,"&lt;&gt;Lucas Luiz Romero")*(23/1083),IF(C4089="JR",SUMIFS($D:$D,$A:$A,$A4089,$B:$B,"&lt;&gt;Patrícia Karla de Sousa Araújo",$B:$B,"&lt;&gt;Lorena Dias de Araujo",$B:$B,"&lt;&gt;Lucas Luiz Romero")*(20/1083),IF(C4089="Estágio",SUMIFS($D:$D,$A:$A,$A4089,$B:$B,"&lt;&gt;Patrícia Karla de Sousa Araújo",$B:$B,"&lt;&gt;Lorena Dias de Araujo",$B:$B,"&lt;&gt;Lucas Luiz Romero")*(10/1083),0)))))),0)</f>
        <v>27</v>
      </c>
      <c r="K4089" s="3">
        <f>I4089-J4089</f>
        <v>0</v>
      </c>
      <c r="L4089" s="3" t="str">
        <f>IF(K4089&lt;-5,"CRÍTICO",IF(K4089&lt;0,"ATENÇÃO",IF(K4089&lt;=5,"OPORTUNO","MUITO BOM")))</f>
        <v>OPORTUNO</v>
      </c>
      <c r="M4089">
        <v>30</v>
      </c>
      <c r="N4089">
        <v>99.26</v>
      </c>
      <c r="O4089">
        <v>29.766536964980549</v>
      </c>
    </row>
    <row r="4090" spans="1:15" hidden="1" x14ac:dyDescent="0.25">
      <c r="A4090" s="11">
        <v>46129</v>
      </c>
      <c r="B4090" t="s">
        <v>53</v>
      </c>
      <c r="C4090" t="s">
        <v>48</v>
      </c>
      <c r="D4090">
        <v>31</v>
      </c>
      <c r="E4090">
        <v>28</v>
      </c>
      <c r="F4090">
        <v>15.49</v>
      </c>
      <c r="G4090">
        <v>0</v>
      </c>
      <c r="H4090">
        <v>0</v>
      </c>
      <c r="I4090" s="3">
        <f>E4090+G4090+H4090</f>
        <v>28</v>
      </c>
      <c r="J4090" s="3">
        <f>ROUND(MIN(IF(C4090="Técnico III",35,IF(C4090="Técnico II",28,IF(C4090="Técnico I",23,IF(C4090="JR",20,IF(C4090="Estágio",10,0))))),IF(C4090="Técnico III",SUMIFS($D:$D,$A:$A,$A4090,$B:$B,"&lt;&gt;Patrícia Karla de Sousa Araújo",$B:$B,"&lt;&gt;Lorena Dias de Araujo",$B:$B,"&lt;&gt;Lucas Luiz Romero")*(35/1083),IF(C4090="Técnico II",SUMIFS($D:$D,$A:$A,$A4090,$B:$B,"&lt;&gt;Patrícia Karla de Sousa Araújo",$B:$B,"&lt;&gt;Lorena Dias de Araujo",$B:$B,"&lt;&gt;Lucas Luiz Romero")*(28/1083),IF(C4090="Técnico I",SUMIFS($D:$D,$A:$A,$A4090,$B:$B,"&lt;&gt;Patrícia Karla de Sousa Araújo",$B:$B,"&lt;&gt;Lorena Dias de Araujo",$B:$B,"&lt;&gt;Lucas Luiz Romero")*(23/1083),IF(C4090="JR",SUMIFS($D:$D,$A:$A,$A4090,$B:$B,"&lt;&gt;Patrícia Karla de Sousa Araújo",$B:$B,"&lt;&gt;Lorena Dias de Araujo",$B:$B,"&lt;&gt;Lucas Luiz Romero")*(20/1083),IF(C4090="Estágio",SUMIFS($D:$D,$A:$A,$A4090,$B:$B,"&lt;&gt;Patrícia Karla de Sousa Araújo",$B:$B,"&lt;&gt;Lorena Dias de Araujo",$B:$B,"&lt;&gt;Lucas Luiz Romero")*(10/1083),0)))))),0)</f>
        <v>22</v>
      </c>
      <c r="K4090" s="3">
        <f>I4090-J4090</f>
        <v>6</v>
      </c>
      <c r="L4090" s="3" t="str">
        <f>IF(K4090&lt;-5,"CRÍTICO",IF(K4090&lt;0,"ATENÇÃO",IF(K4090&lt;=5,"OPORTUNO","MUITO BOM")))</f>
        <v>MUITO BOM</v>
      </c>
      <c r="M4090">
        <v>23</v>
      </c>
      <c r="N4090">
        <v>99.19</v>
      </c>
      <c r="O4090">
        <v>29.462365591397852</v>
      </c>
    </row>
    <row r="4091" spans="1:15" hidden="1" x14ac:dyDescent="0.25">
      <c r="A4091" s="7">
        <v>46161</v>
      </c>
      <c r="B4091" s="8" t="s">
        <v>46</v>
      </c>
      <c r="C4091" s="14" t="s">
        <v>32</v>
      </c>
      <c r="D4091" s="3">
        <v>25</v>
      </c>
      <c r="E4091" s="3">
        <v>24</v>
      </c>
      <c r="F4091" s="3">
        <v>18.25</v>
      </c>
      <c r="G4091" s="3">
        <v>3</v>
      </c>
      <c r="H4091" s="3">
        <v>0</v>
      </c>
      <c r="I4091" s="3">
        <f>E4091+G4091+H4091</f>
        <v>27</v>
      </c>
      <c r="J4091" s="3">
        <f>ROUND(MIN(IF(C4091="Técnico III",35,IF(C4091="Técnico II",28,IF(C4091="Técnico I",23,IF(C4091="JR",20,IF(C4091="Estágio",10,0))))),IF(C4091="Técnico III",SUMIFS($D:$D,$A:$A,$A4091,$B:$B,"&lt;&gt;Patrícia Karla de Sousa Araújo",$B:$B,"&lt;&gt;Lorena Dias de Araujo",$B:$B,"&lt;&gt;Lucas Luiz Romero")*(35/1083),IF(C4091="Técnico II",SUMIFS($D:$D,$A:$A,$A4091,$B:$B,"&lt;&gt;Patrícia Karla de Sousa Araújo",$B:$B,"&lt;&gt;Lorena Dias de Araujo",$B:$B,"&lt;&gt;Lucas Luiz Romero")*(28/1083),IF(C4091="Técnico I",SUMIFS($D:$D,$A:$A,$A4091,$B:$B,"&lt;&gt;Patrícia Karla de Sousa Araújo",$B:$B,"&lt;&gt;Lorena Dias de Araujo",$B:$B,"&lt;&gt;Lucas Luiz Romero")*(23/1083),IF(C4091="JR",SUMIFS($D:$D,$A:$A,$A4091,$B:$B,"&lt;&gt;Patrícia Karla de Sousa Araújo",$B:$B,"&lt;&gt;Lorena Dias de Araujo",$B:$B,"&lt;&gt;Lucas Luiz Romero")*(20/1083),IF(C4091="Estágio",SUMIFS($D:$D,$A:$A,$A4091,$B:$B,"&lt;&gt;Patrícia Karla de Sousa Araújo",$B:$B,"&lt;&gt;Lorena Dias de Araujo",$B:$B,"&lt;&gt;Lucas Luiz Romero")*(10/1083),0)))))),0)</f>
        <v>29</v>
      </c>
      <c r="K4091" s="3">
        <f>I4091-J4091</f>
        <v>-2</v>
      </c>
      <c r="L4091" s="3" t="str">
        <f>IF(K4091&lt;-5,"CRÍTICO",IF(K4091&lt;0,"ATENÇÃO",IF(K4091&lt;=5,"OPORTUNO","MUITO BOM")))</f>
        <v>ATENÇÃO</v>
      </c>
      <c r="M4091" s="3">
        <v>21</v>
      </c>
      <c r="N4091" s="3">
        <v>97</v>
      </c>
      <c r="O4091" s="3">
        <v>20.325203252032519</v>
      </c>
    </row>
    <row r="4092" spans="1:15" hidden="1" x14ac:dyDescent="0.25">
      <c r="A4092" s="11">
        <v>46129</v>
      </c>
      <c r="B4092" t="s">
        <v>54</v>
      </c>
      <c r="C4092" t="s">
        <v>48</v>
      </c>
      <c r="D4092">
        <v>0</v>
      </c>
      <c r="E4092">
        <v>0</v>
      </c>
      <c r="F4092">
        <v>0</v>
      </c>
      <c r="G4092">
        <v>0</v>
      </c>
      <c r="H4092">
        <v>0</v>
      </c>
      <c r="I4092" s="3">
        <v>0</v>
      </c>
      <c r="J4092" s="3">
        <v>0</v>
      </c>
      <c r="K4092" s="3">
        <v>0</v>
      </c>
      <c r="L4092" s="3" t="str">
        <f>IF(K4092&lt;-5,"CRÍTICO",IF(K4092&lt;0,"ATENÇÃO",IF(K4092&lt;=5,"OPORTUNO","MUITO BOM")))</f>
        <v>OPORTUNO</v>
      </c>
      <c r="M4092">
        <v>0</v>
      </c>
      <c r="N4092">
        <v>100</v>
      </c>
      <c r="O4092">
        <v>28.921568627450981</v>
      </c>
    </row>
    <row r="4093" spans="1:15" hidden="1" x14ac:dyDescent="0.25">
      <c r="A4093" s="11">
        <v>46129</v>
      </c>
      <c r="B4093" t="s">
        <v>37</v>
      </c>
      <c r="C4093" t="s">
        <v>32</v>
      </c>
      <c r="D4093">
        <v>32</v>
      </c>
      <c r="E4093">
        <v>28</v>
      </c>
      <c r="F4093">
        <v>11.51</v>
      </c>
      <c r="G4093">
        <v>0</v>
      </c>
      <c r="H4093">
        <v>0</v>
      </c>
      <c r="I4093" s="3">
        <f>E4093+G4093+H4093</f>
        <v>28</v>
      </c>
      <c r="J4093" s="3">
        <f>ROUND(MIN(IF(C4093="Técnico III",35,IF(C4093="Técnico II",28,IF(C4093="Técnico I",23,IF(C4093="JR",20,IF(C4093="Estágio",10,0))))),IF(C4093="Técnico III",SUMIFS($D:$D,$A:$A,$A4093,$B:$B,"&lt;&gt;Patrícia Karla de Sousa Araújo",$B:$B,"&lt;&gt;Lorena Dias de Araujo",$B:$B,"&lt;&gt;Lucas Luiz Romero")*(35/1083),IF(C4093="Técnico II",SUMIFS($D:$D,$A:$A,$A4093,$B:$B,"&lt;&gt;Patrícia Karla de Sousa Araújo",$B:$B,"&lt;&gt;Lorena Dias de Araujo",$B:$B,"&lt;&gt;Lucas Luiz Romero")*(28/1083),IF(C4093="Técnico I",SUMIFS($D:$D,$A:$A,$A4093,$B:$B,"&lt;&gt;Patrícia Karla de Sousa Araújo",$B:$B,"&lt;&gt;Lorena Dias de Araujo",$B:$B,"&lt;&gt;Lucas Luiz Romero")*(23/1083),IF(C4093="JR",SUMIFS($D:$D,$A:$A,$A4093,$B:$B,"&lt;&gt;Patrícia Karla de Sousa Araújo",$B:$B,"&lt;&gt;Lorena Dias de Araujo",$B:$B,"&lt;&gt;Lucas Luiz Romero")*(20/1083),IF(C4093="Estágio",SUMIFS($D:$D,$A:$A,$A4093,$B:$B,"&lt;&gt;Patrícia Karla de Sousa Araújo",$B:$B,"&lt;&gt;Lorena Dias de Araujo",$B:$B,"&lt;&gt;Lucas Luiz Romero")*(10/1083),0)))))),0)</f>
        <v>27</v>
      </c>
      <c r="K4093" s="3">
        <f>I4093-J4093</f>
        <v>1</v>
      </c>
      <c r="L4093" s="3" t="str">
        <f>IF(K4093&lt;-5,"CRÍTICO",IF(K4093&lt;0,"ATENÇÃO",IF(K4093&lt;=5,"OPORTUNO","MUITO BOM")))</f>
        <v>OPORTUNO</v>
      </c>
      <c r="M4093">
        <v>31</v>
      </c>
      <c r="N4093">
        <v>99.57</v>
      </c>
      <c r="O4093">
        <v>30.635838150289018</v>
      </c>
    </row>
    <row r="4094" spans="1:15" hidden="1" x14ac:dyDescent="0.25">
      <c r="A4094" s="11">
        <v>46129</v>
      </c>
      <c r="B4094" t="s">
        <v>38</v>
      </c>
      <c r="C4094" t="s">
        <v>32</v>
      </c>
      <c r="D4094">
        <v>0</v>
      </c>
      <c r="E4094">
        <v>0</v>
      </c>
      <c r="F4094">
        <v>0</v>
      </c>
      <c r="G4094">
        <v>0</v>
      </c>
      <c r="H4094">
        <v>0</v>
      </c>
      <c r="I4094" s="3">
        <v>0</v>
      </c>
      <c r="J4094" s="3">
        <v>0</v>
      </c>
      <c r="K4094" s="3">
        <v>0</v>
      </c>
      <c r="L4094" s="3" t="str">
        <f>IF(K4094&lt;-5,"CRÍTICO",IF(K4094&lt;0,"ATENÇÃO",IF(K4094&lt;=5,"OPORTUNO","MUITO BOM")))</f>
        <v>OPORTUNO</v>
      </c>
      <c r="M4094">
        <v>0</v>
      </c>
      <c r="N4094">
        <v>95.65</v>
      </c>
      <c r="O4094">
        <v>32.432432432432442</v>
      </c>
    </row>
    <row r="4095" spans="1:15" hidden="1" x14ac:dyDescent="0.25">
      <c r="A4095" s="11">
        <v>46129</v>
      </c>
      <c r="B4095" t="s">
        <v>55</v>
      </c>
      <c r="C4095" t="s">
        <v>48</v>
      </c>
      <c r="D4095">
        <v>26</v>
      </c>
      <c r="E4095">
        <v>21</v>
      </c>
      <c r="F4095">
        <v>22.33</v>
      </c>
      <c r="G4095">
        <v>0</v>
      </c>
      <c r="H4095">
        <v>0</v>
      </c>
      <c r="I4095" s="3">
        <f>E4095+G4095+H4095</f>
        <v>21</v>
      </c>
      <c r="J4095" s="3">
        <f>ROUND(MIN(IF(C4095="Técnico III",35,IF(C4095="Técnico II",28,IF(C4095="Técnico I",23,IF(C4095="JR",20,IF(C4095="Estágio",10,0))))),IF(C4095="Técnico III",SUMIFS($D:$D,$A:$A,$A4095,$B:$B,"&lt;&gt;Patrícia Karla de Sousa Araújo",$B:$B,"&lt;&gt;Lorena Dias de Araujo",$B:$B,"&lt;&gt;Lucas Luiz Romero")*(35/1083),IF(C4095="Técnico II",SUMIFS($D:$D,$A:$A,$A4095,$B:$B,"&lt;&gt;Patrícia Karla de Sousa Araújo",$B:$B,"&lt;&gt;Lorena Dias de Araujo",$B:$B,"&lt;&gt;Lucas Luiz Romero")*(28/1083),IF(C4095="Técnico I",SUMIFS($D:$D,$A:$A,$A4095,$B:$B,"&lt;&gt;Patrícia Karla de Sousa Araújo",$B:$B,"&lt;&gt;Lorena Dias de Araujo",$B:$B,"&lt;&gt;Lucas Luiz Romero")*(23/1083),IF(C4095="JR",SUMIFS($D:$D,$A:$A,$A4095,$B:$B,"&lt;&gt;Patrícia Karla de Sousa Araújo",$B:$B,"&lt;&gt;Lorena Dias de Araujo",$B:$B,"&lt;&gt;Lucas Luiz Romero")*(20/1083),IF(C4095="Estágio",SUMIFS($D:$D,$A:$A,$A4095,$B:$B,"&lt;&gt;Patrícia Karla de Sousa Araújo",$B:$B,"&lt;&gt;Lorena Dias de Araujo",$B:$B,"&lt;&gt;Lucas Luiz Romero")*(10/1083),0)))))),0)</f>
        <v>22</v>
      </c>
      <c r="K4095" s="3">
        <f>I4095-J4095</f>
        <v>-1</v>
      </c>
      <c r="L4095" s="3" t="str">
        <f>IF(K4095&lt;-5,"CRÍTICO",IF(K4095&lt;0,"ATENÇÃO",IF(K4095&lt;=5,"OPORTUNO","MUITO BOM")))</f>
        <v>ATENÇÃO</v>
      </c>
      <c r="M4095">
        <v>16</v>
      </c>
      <c r="N4095">
        <v>98.81</v>
      </c>
      <c r="O4095">
        <v>26.256983240223459</v>
      </c>
    </row>
    <row r="4096" spans="1:15" hidden="1" x14ac:dyDescent="0.25">
      <c r="A4096" s="11">
        <v>46129</v>
      </c>
      <c r="B4096" t="s">
        <v>39</v>
      </c>
      <c r="C4096" t="s">
        <v>32</v>
      </c>
      <c r="D4096">
        <v>0</v>
      </c>
      <c r="E4096">
        <v>0</v>
      </c>
      <c r="F4096">
        <v>0</v>
      </c>
      <c r="G4096">
        <v>0</v>
      </c>
      <c r="H4096">
        <v>0</v>
      </c>
      <c r="I4096" s="3">
        <v>0</v>
      </c>
      <c r="J4096" s="3">
        <v>0</v>
      </c>
      <c r="K4096" s="3">
        <v>0</v>
      </c>
      <c r="L4096" s="3" t="str">
        <f>IF(K4096&lt;-5,"CRÍTICO",IF(K4096&lt;0,"ATENÇÃO",IF(K4096&lt;=5,"OPORTUNO","MUITO BOM")))</f>
        <v>OPORTUNO</v>
      </c>
      <c r="M4096">
        <v>0</v>
      </c>
      <c r="N4096">
        <v>0</v>
      </c>
      <c r="O4096">
        <v>0</v>
      </c>
    </row>
    <row r="4097" spans="1:15" hidden="1" x14ac:dyDescent="0.25">
      <c r="A4097" s="11">
        <v>46129</v>
      </c>
      <c r="B4097" t="s">
        <v>25</v>
      </c>
      <c r="C4097" t="s">
        <v>26</v>
      </c>
      <c r="D4097">
        <v>21</v>
      </c>
      <c r="E4097">
        <v>21</v>
      </c>
      <c r="F4097">
        <v>20.14</v>
      </c>
      <c r="G4097">
        <v>0</v>
      </c>
      <c r="H4097">
        <v>0</v>
      </c>
      <c r="I4097" s="3">
        <f>E4097+G4097+H4097</f>
        <v>21</v>
      </c>
      <c r="J4097" s="3">
        <f>ROUND(MIN(IF(C4097="Técnico III",35,IF(C4097="Técnico II",28,IF(C4097="Técnico I",23,IF(C4097="JR",20,IF(C4097="Estágio",10,0))))),IF(C4097="Técnico III",SUMIFS($D:$D,$A:$A,$A4097,$B:$B,"&lt;&gt;Patrícia Karla de Sousa Araújo",$B:$B,"&lt;&gt;Lorena Dias de Araujo",$B:$B,"&lt;&gt;Lucas Luiz Romero")*(35/1083),IF(C4097="Técnico II",SUMIFS($D:$D,$A:$A,$A4097,$B:$B,"&lt;&gt;Patrícia Karla de Sousa Araújo",$B:$B,"&lt;&gt;Lorena Dias de Araujo",$B:$B,"&lt;&gt;Lucas Luiz Romero")*(28/1083),IF(C4097="Técnico I",SUMIFS($D:$D,$A:$A,$A4097,$B:$B,"&lt;&gt;Patrícia Karla de Sousa Araújo",$B:$B,"&lt;&gt;Lorena Dias de Araujo",$B:$B,"&lt;&gt;Lucas Luiz Romero")*(23/1083),IF(C4097="JR",SUMIFS($D:$D,$A:$A,$A4097,$B:$B,"&lt;&gt;Patrícia Karla de Sousa Araújo",$B:$B,"&lt;&gt;Lorena Dias de Araujo",$B:$B,"&lt;&gt;Lucas Luiz Romero")*(20/1083),IF(C4097="Estágio",SUMIFS($D:$D,$A:$A,$A4097,$B:$B,"&lt;&gt;Patrícia Karla de Sousa Araújo",$B:$B,"&lt;&gt;Lorena Dias de Araujo",$B:$B,"&lt;&gt;Lucas Luiz Romero")*(10/1083),0)))))),0)</f>
        <v>16</v>
      </c>
      <c r="K4097" s="3">
        <f>I4097-J4097</f>
        <v>5</v>
      </c>
      <c r="L4097" s="3" t="str">
        <f>IF(K4097&lt;-5,"CRÍTICO",IF(K4097&lt;0,"ATENÇÃO",IF(K4097&lt;=5,"OPORTUNO","MUITO BOM")))</f>
        <v>OPORTUNO</v>
      </c>
      <c r="M4097">
        <v>21</v>
      </c>
      <c r="N4097">
        <v>97.17</v>
      </c>
      <c r="O4097">
        <v>28.81844380403458</v>
      </c>
    </row>
    <row r="4098" spans="1:15" hidden="1" x14ac:dyDescent="0.25">
      <c r="A4098" s="11">
        <v>46129</v>
      </c>
      <c r="B4098" t="s">
        <v>40</v>
      </c>
      <c r="C4098" t="s">
        <v>32</v>
      </c>
      <c r="D4098">
        <v>0</v>
      </c>
      <c r="E4098">
        <v>0</v>
      </c>
      <c r="F4098">
        <v>0</v>
      </c>
      <c r="G4098">
        <v>0</v>
      </c>
      <c r="H4098">
        <v>0</v>
      </c>
      <c r="I4098" s="3">
        <v>0</v>
      </c>
      <c r="J4098" s="3">
        <v>0</v>
      </c>
      <c r="K4098" s="3">
        <v>0</v>
      </c>
      <c r="L4098" s="3" t="str">
        <f>IF(K4098&lt;-5,"CRÍTICO",IF(K4098&lt;0,"ATENÇÃO",IF(K4098&lt;=5,"OPORTUNO","MUITO BOM")))</f>
        <v>OPORTUNO</v>
      </c>
      <c r="M4098">
        <v>22</v>
      </c>
      <c r="N4098">
        <v>96.81</v>
      </c>
      <c r="O4098">
        <v>48.018648018648022</v>
      </c>
    </row>
    <row r="4099" spans="1:15" hidden="1" x14ac:dyDescent="0.25">
      <c r="A4099" s="11">
        <v>46129</v>
      </c>
      <c r="B4099" t="s">
        <v>27</v>
      </c>
      <c r="C4099" t="s">
        <v>26</v>
      </c>
      <c r="D4099">
        <v>12</v>
      </c>
      <c r="E4099">
        <v>8</v>
      </c>
      <c r="F4099">
        <v>19.05</v>
      </c>
      <c r="G4099">
        <v>0</v>
      </c>
      <c r="H4099">
        <v>0</v>
      </c>
      <c r="I4099" s="3">
        <f>E4099+G4099+H4099</f>
        <v>8</v>
      </c>
      <c r="J4099" s="3">
        <f>ROUND(MIN(IF(C4099="Técnico III",35,IF(C4099="Técnico II",28,IF(C4099="Técnico I",23,IF(C4099="JR",20,IF(C4099="Estágio",10,0))))),IF(C4099="Técnico III",SUMIFS($D:$D,$A:$A,$A4099,$B:$B,"&lt;&gt;Patrícia Karla de Sousa Araújo",$B:$B,"&lt;&gt;Lorena Dias de Araujo",$B:$B,"&lt;&gt;Lucas Luiz Romero")*(35/1083),IF(C4099="Técnico II",SUMIFS($D:$D,$A:$A,$A4099,$B:$B,"&lt;&gt;Patrícia Karla de Sousa Araújo",$B:$B,"&lt;&gt;Lorena Dias de Araujo",$B:$B,"&lt;&gt;Lucas Luiz Romero")*(28/1083),IF(C4099="Técnico I",SUMIFS($D:$D,$A:$A,$A4099,$B:$B,"&lt;&gt;Patrícia Karla de Sousa Araújo",$B:$B,"&lt;&gt;Lorena Dias de Araujo",$B:$B,"&lt;&gt;Lucas Luiz Romero")*(23/1083),IF(C4099="JR",SUMIFS($D:$D,$A:$A,$A4099,$B:$B,"&lt;&gt;Patrícia Karla de Sousa Araújo",$B:$B,"&lt;&gt;Lorena Dias de Araujo",$B:$B,"&lt;&gt;Lucas Luiz Romero")*(20/1083),IF(C4099="Estágio",SUMIFS($D:$D,$A:$A,$A4099,$B:$B,"&lt;&gt;Patrícia Karla de Sousa Araújo",$B:$B,"&lt;&gt;Lorena Dias de Araujo",$B:$B,"&lt;&gt;Lucas Luiz Romero")*(10/1083),0)))))),0)</f>
        <v>16</v>
      </c>
      <c r="K4099" s="3">
        <f>I4099-J4099</f>
        <v>-8</v>
      </c>
      <c r="L4099" s="3" t="str">
        <f>IF(K4099&lt;-5,"CRÍTICO",IF(K4099&lt;0,"ATENÇÃO",IF(K4099&lt;=5,"OPORTUNO","MUITO BOM")))</f>
        <v>CRÍTICO</v>
      </c>
      <c r="M4099">
        <v>6</v>
      </c>
      <c r="N4099">
        <v>98.15</v>
      </c>
      <c r="O4099">
        <v>27.1551724137931</v>
      </c>
    </row>
    <row r="4100" spans="1:15" hidden="1" x14ac:dyDescent="0.25">
      <c r="A4100" s="11">
        <v>46129</v>
      </c>
      <c r="B4100" t="s">
        <v>41</v>
      </c>
      <c r="C4100" t="s">
        <v>32</v>
      </c>
      <c r="D4100">
        <v>24</v>
      </c>
      <c r="E4100">
        <v>22</v>
      </c>
      <c r="F4100">
        <v>15.56</v>
      </c>
      <c r="G4100">
        <v>0</v>
      </c>
      <c r="H4100">
        <v>0</v>
      </c>
      <c r="I4100" s="3">
        <f>E4100+G4100+H4100</f>
        <v>22</v>
      </c>
      <c r="J4100" s="3">
        <f>ROUND(MIN(IF(C4100="Técnico III",35,IF(C4100="Técnico II",28,IF(C4100="Técnico I",23,IF(C4100="JR",20,IF(C4100="Estágio",10,0))))),IF(C4100="Técnico III",SUMIFS($D:$D,$A:$A,$A4100,$B:$B,"&lt;&gt;Patrícia Karla de Sousa Araújo",$B:$B,"&lt;&gt;Lorena Dias de Araujo",$B:$B,"&lt;&gt;Lucas Luiz Romero")*(35/1083),IF(C4100="Técnico II",SUMIFS($D:$D,$A:$A,$A4100,$B:$B,"&lt;&gt;Patrícia Karla de Sousa Araújo",$B:$B,"&lt;&gt;Lorena Dias de Araujo",$B:$B,"&lt;&gt;Lucas Luiz Romero")*(28/1083),IF(C4100="Técnico I",SUMIFS($D:$D,$A:$A,$A4100,$B:$B,"&lt;&gt;Patrícia Karla de Sousa Araújo",$B:$B,"&lt;&gt;Lorena Dias de Araujo",$B:$B,"&lt;&gt;Lucas Luiz Romero")*(23/1083),IF(C4100="JR",SUMIFS($D:$D,$A:$A,$A4100,$B:$B,"&lt;&gt;Patrícia Karla de Sousa Araújo",$B:$B,"&lt;&gt;Lorena Dias de Araujo",$B:$B,"&lt;&gt;Lucas Luiz Romero")*(20/1083),IF(C4100="Estágio",SUMIFS($D:$D,$A:$A,$A4100,$B:$B,"&lt;&gt;Patrícia Karla de Sousa Araújo",$B:$B,"&lt;&gt;Lorena Dias de Araujo",$B:$B,"&lt;&gt;Lucas Luiz Romero")*(10/1083),0)))))),0)</f>
        <v>27</v>
      </c>
      <c r="K4100" s="3">
        <f>I4100-J4100</f>
        <v>-5</v>
      </c>
      <c r="L4100" s="3" t="str">
        <f>IF(K4100&lt;-5,"CRÍTICO",IF(K4100&lt;0,"ATENÇÃO",IF(K4100&lt;=5,"OPORTUNO","MUITO BOM")))</f>
        <v>ATENÇÃO</v>
      </c>
      <c r="M4100">
        <v>23</v>
      </c>
      <c r="N4100">
        <v>99.15</v>
      </c>
      <c r="O4100">
        <v>27.586206896551719</v>
      </c>
    </row>
    <row r="4101" spans="1:15" hidden="1" x14ac:dyDescent="0.25">
      <c r="A4101" s="11">
        <v>46129</v>
      </c>
      <c r="B4101" t="s">
        <v>56</v>
      </c>
      <c r="C4101" t="s">
        <v>48</v>
      </c>
      <c r="D4101">
        <v>27</v>
      </c>
      <c r="E4101">
        <v>27</v>
      </c>
      <c r="F4101">
        <v>20.28</v>
      </c>
      <c r="G4101">
        <v>0</v>
      </c>
      <c r="H4101">
        <v>0</v>
      </c>
      <c r="I4101" s="3">
        <f>E4101+G4101+H4101</f>
        <v>27</v>
      </c>
      <c r="J4101" s="3">
        <f>ROUND(MIN(IF(C4101="Técnico III",35,IF(C4101="Técnico II",28,IF(C4101="Técnico I",23,IF(C4101="JR",20,IF(C4101="Estágio",10,0))))),IF(C4101="Técnico III",SUMIFS($D:$D,$A:$A,$A4101,$B:$B,"&lt;&gt;Patrícia Karla de Sousa Araújo",$B:$B,"&lt;&gt;Lorena Dias de Araujo",$B:$B,"&lt;&gt;Lucas Luiz Romero")*(35/1083),IF(C4101="Técnico II",SUMIFS($D:$D,$A:$A,$A4101,$B:$B,"&lt;&gt;Patrícia Karla de Sousa Araújo",$B:$B,"&lt;&gt;Lorena Dias de Araujo",$B:$B,"&lt;&gt;Lucas Luiz Romero")*(28/1083),IF(C4101="Técnico I",SUMIFS($D:$D,$A:$A,$A4101,$B:$B,"&lt;&gt;Patrícia Karla de Sousa Araújo",$B:$B,"&lt;&gt;Lorena Dias de Araujo",$B:$B,"&lt;&gt;Lucas Luiz Romero")*(23/1083),IF(C4101="JR",SUMIFS($D:$D,$A:$A,$A4101,$B:$B,"&lt;&gt;Patrícia Karla de Sousa Araújo",$B:$B,"&lt;&gt;Lorena Dias de Araujo",$B:$B,"&lt;&gt;Lucas Luiz Romero")*(20/1083),IF(C4101="Estágio",SUMIFS($D:$D,$A:$A,$A4101,$B:$B,"&lt;&gt;Patrícia Karla de Sousa Araújo",$B:$B,"&lt;&gt;Lorena Dias de Araujo",$B:$B,"&lt;&gt;Lucas Luiz Romero")*(10/1083),0)))))),0)</f>
        <v>22</v>
      </c>
      <c r="K4101" s="3">
        <f>I4101-J4101</f>
        <v>5</v>
      </c>
      <c r="L4101" s="3" t="str">
        <f>IF(K4101&lt;-5,"CRÍTICO",IF(K4101&lt;0,"ATENÇÃO",IF(K4101&lt;=5,"OPORTUNO","MUITO BOM")))</f>
        <v>OPORTUNO</v>
      </c>
      <c r="M4101">
        <v>18</v>
      </c>
      <c r="N4101">
        <v>99.17</v>
      </c>
      <c r="O4101">
        <v>29.75206611570248</v>
      </c>
    </row>
    <row r="4102" spans="1:15" hidden="1" x14ac:dyDescent="0.25">
      <c r="A4102" s="11">
        <v>46129</v>
      </c>
      <c r="B4102" t="s">
        <v>57</v>
      </c>
      <c r="C4102" t="s">
        <v>48</v>
      </c>
      <c r="D4102">
        <v>0</v>
      </c>
      <c r="E4102">
        <v>0</v>
      </c>
      <c r="F4102">
        <v>0</v>
      </c>
      <c r="G4102">
        <v>0</v>
      </c>
      <c r="H4102">
        <v>0</v>
      </c>
      <c r="I4102" s="3">
        <v>0</v>
      </c>
      <c r="J4102" s="3">
        <v>0</v>
      </c>
      <c r="K4102" s="3">
        <v>0</v>
      </c>
      <c r="L4102" s="3" t="str">
        <f>IF(K4102&lt;-5,"CRÍTICO",IF(K4102&lt;0,"ATENÇÃO",IF(K4102&lt;=5,"OPORTUNO","MUITO BOM")))</f>
        <v>OPORTUNO</v>
      </c>
      <c r="M4102">
        <v>0</v>
      </c>
      <c r="N4102">
        <v>98.73</v>
      </c>
      <c r="O4102">
        <v>28.961748633879779</v>
      </c>
    </row>
    <row r="4103" spans="1:15" hidden="1" x14ac:dyDescent="0.25">
      <c r="A4103" s="11">
        <v>46129</v>
      </c>
      <c r="B4103" t="s">
        <v>42</v>
      </c>
      <c r="C4103" t="s">
        <v>32</v>
      </c>
      <c r="D4103">
        <v>0</v>
      </c>
      <c r="E4103">
        <v>0</v>
      </c>
      <c r="F4103">
        <v>0</v>
      </c>
      <c r="G4103">
        <v>0</v>
      </c>
      <c r="H4103">
        <v>0</v>
      </c>
      <c r="I4103" s="3">
        <v>0</v>
      </c>
      <c r="J4103" s="3">
        <v>0</v>
      </c>
      <c r="K4103" s="3">
        <v>0</v>
      </c>
      <c r="L4103" s="3" t="str">
        <f>IF(K4103&lt;-5,"CRÍTICO",IF(K4103&lt;0,"ATENÇÃO",IF(K4103&lt;=5,"OPORTUNO","MUITO BOM")))</f>
        <v>OPORTUNO</v>
      </c>
      <c r="M4103">
        <v>0</v>
      </c>
      <c r="N4103">
        <v>88.68</v>
      </c>
      <c r="O4103">
        <v>22.03389830508474</v>
      </c>
    </row>
    <row r="4104" spans="1:15" hidden="1" x14ac:dyDescent="0.25">
      <c r="A4104" s="11">
        <v>46129</v>
      </c>
      <c r="B4104" t="s">
        <v>62</v>
      </c>
      <c r="C4104" t="s">
        <v>23</v>
      </c>
      <c r="D4104">
        <v>20</v>
      </c>
      <c r="E4104">
        <v>20</v>
      </c>
      <c r="F4104">
        <v>25.26</v>
      </c>
      <c r="G4104">
        <v>0</v>
      </c>
      <c r="H4104">
        <v>0</v>
      </c>
      <c r="I4104" s="3">
        <f>E4104+G4104+H4104</f>
        <v>20</v>
      </c>
      <c r="J4104" s="3">
        <f>ROUND(MIN(IF(C4104="Técnico III",35,IF(C4104="Técnico II",28,IF(C4104="Técnico I",23,IF(C4104="JR",20,IF(C4104="Estágio",10,0))))),IF(C4104="Técnico III",SUMIFS($D:$D,$A:$A,$A4104,$B:$B,"&lt;&gt;Patrícia Karla de Sousa Araújo",$B:$B,"&lt;&gt;Lorena Dias de Araujo",$B:$B,"&lt;&gt;Lucas Luiz Romero")*(35/1083),IF(C4104="Técnico II",SUMIFS($D:$D,$A:$A,$A4104,$B:$B,"&lt;&gt;Patrícia Karla de Sousa Araújo",$B:$B,"&lt;&gt;Lorena Dias de Araujo",$B:$B,"&lt;&gt;Lucas Luiz Romero")*(28/1083),IF(C4104="Técnico I",SUMIFS($D:$D,$A:$A,$A4104,$B:$B,"&lt;&gt;Patrícia Karla de Sousa Araújo",$B:$B,"&lt;&gt;Lorena Dias de Araujo",$B:$B,"&lt;&gt;Lucas Luiz Romero")*(23/1083),IF(C4104="JR",SUMIFS($D:$D,$A:$A,$A4104,$B:$B,"&lt;&gt;Patrícia Karla de Sousa Araújo",$B:$B,"&lt;&gt;Lorena Dias de Araujo",$B:$B,"&lt;&gt;Lucas Luiz Romero")*(20/1083),IF(C4104="Estágio",SUMIFS($D:$D,$A:$A,$A4104,$B:$B,"&lt;&gt;Patrícia Karla de Sousa Araújo",$B:$B,"&lt;&gt;Lorena Dias de Araujo",$B:$B,"&lt;&gt;Lucas Luiz Romero")*(10/1083),0)))))),0)</f>
        <v>18</v>
      </c>
      <c r="K4104" s="3">
        <f>I4104-J4104</f>
        <v>2</v>
      </c>
      <c r="L4104" s="3" t="str">
        <f>IF(K4104&lt;-5,"CRÍTICO",IF(K4104&lt;0,"ATENÇÃO",IF(K4104&lt;=5,"OPORTUNO","MUITO BOM")))</f>
        <v>OPORTUNO</v>
      </c>
      <c r="M4104">
        <v>19</v>
      </c>
      <c r="N4104">
        <v>97.37</v>
      </c>
      <c r="O4104">
        <v>25.76530612244898</v>
      </c>
    </row>
    <row r="4105" spans="1:15" hidden="1" x14ac:dyDescent="0.25">
      <c r="A4105" s="11">
        <v>46129</v>
      </c>
      <c r="B4105" t="s">
        <v>19</v>
      </c>
      <c r="C4105" t="s">
        <v>16</v>
      </c>
      <c r="D4105">
        <v>39</v>
      </c>
      <c r="E4105">
        <v>28</v>
      </c>
      <c r="F4105">
        <v>12.3</v>
      </c>
      <c r="G4105">
        <v>0</v>
      </c>
      <c r="H4105">
        <v>0</v>
      </c>
      <c r="I4105" s="3">
        <f>E4105+G4105+H4105</f>
        <v>28</v>
      </c>
      <c r="J4105" s="3">
        <f>ROUND(MIN(IF(C4105="Técnico III",35,IF(C4105="Técnico II",28,IF(C4105="Técnico I",23,IF(C4105="JR",20,IF(C4105="Estágio",10,0))))),IF(C4105="Técnico III",SUMIFS($D:$D,$A:$A,$A4105,$B:$B,"&lt;&gt;Patrícia Karla de Sousa Araújo",$B:$B,"&lt;&gt;Lorena Dias de Araujo",$B:$B,"&lt;&gt;Lucas Luiz Romero")*(35/1083),IF(C4105="Técnico II",SUMIFS($D:$D,$A:$A,$A4105,$B:$B,"&lt;&gt;Patrícia Karla de Sousa Araújo",$B:$B,"&lt;&gt;Lorena Dias de Araujo",$B:$B,"&lt;&gt;Lucas Luiz Romero")*(28/1083),IF(C4105="Técnico I",SUMIFS($D:$D,$A:$A,$A4105,$B:$B,"&lt;&gt;Patrícia Karla de Sousa Araújo",$B:$B,"&lt;&gt;Lorena Dias de Araujo",$B:$B,"&lt;&gt;Lucas Luiz Romero")*(23/1083),IF(C4105="JR",SUMIFS($D:$D,$A:$A,$A4105,$B:$B,"&lt;&gt;Patrícia Karla de Sousa Araújo",$B:$B,"&lt;&gt;Lorena Dias de Araujo",$B:$B,"&lt;&gt;Lucas Luiz Romero")*(20/1083),IF(C4105="Estágio",SUMIFS($D:$D,$A:$A,$A4105,$B:$B,"&lt;&gt;Patrícia Karla de Sousa Araújo",$B:$B,"&lt;&gt;Lorena Dias de Araujo",$B:$B,"&lt;&gt;Lucas Luiz Romero")*(10/1083),0)))))),0)</f>
        <v>8</v>
      </c>
      <c r="K4105" s="3">
        <f>I4105-J4105</f>
        <v>20</v>
      </c>
      <c r="L4105" s="3" t="str">
        <f>IF(K4105&lt;-5,"CRÍTICO",IF(K4105&lt;0,"ATENÇÃO",IF(K4105&lt;=5,"OPORTUNO","MUITO BOM")))</f>
        <v>MUITO BOM</v>
      </c>
      <c r="M4105">
        <v>7</v>
      </c>
      <c r="N4105">
        <v>100</v>
      </c>
      <c r="O4105">
        <v>25</v>
      </c>
    </row>
    <row r="4106" spans="1:15" hidden="1" x14ac:dyDescent="0.25">
      <c r="A4106" s="11">
        <v>46129</v>
      </c>
      <c r="B4106" t="s">
        <v>43</v>
      </c>
      <c r="C4106" t="s">
        <v>32</v>
      </c>
      <c r="D4106">
        <v>29</v>
      </c>
      <c r="E4106">
        <v>29</v>
      </c>
      <c r="F4106">
        <v>12.35</v>
      </c>
      <c r="G4106">
        <v>0</v>
      </c>
      <c r="H4106">
        <v>0</v>
      </c>
      <c r="I4106" s="3">
        <f>E4106+G4106+H4106</f>
        <v>29</v>
      </c>
      <c r="J4106" s="3">
        <f>ROUND(MIN(IF(C4106="Técnico III",35,IF(C4106="Técnico II",28,IF(C4106="Técnico I",23,IF(C4106="JR",20,IF(C4106="Estágio",10,0))))),IF(C4106="Técnico III",SUMIFS($D:$D,$A:$A,$A4106,$B:$B,"&lt;&gt;Patrícia Karla de Sousa Araújo",$B:$B,"&lt;&gt;Lorena Dias de Araujo",$B:$B,"&lt;&gt;Lucas Luiz Romero")*(35/1083),IF(C4106="Técnico II",SUMIFS($D:$D,$A:$A,$A4106,$B:$B,"&lt;&gt;Patrícia Karla de Sousa Araújo",$B:$B,"&lt;&gt;Lorena Dias de Araujo",$B:$B,"&lt;&gt;Lucas Luiz Romero")*(28/1083),IF(C4106="Técnico I",SUMIFS($D:$D,$A:$A,$A4106,$B:$B,"&lt;&gt;Patrícia Karla de Sousa Araújo",$B:$B,"&lt;&gt;Lorena Dias de Araujo",$B:$B,"&lt;&gt;Lucas Luiz Romero")*(23/1083),IF(C4106="JR",SUMIFS($D:$D,$A:$A,$A4106,$B:$B,"&lt;&gt;Patrícia Karla de Sousa Araújo",$B:$B,"&lt;&gt;Lorena Dias de Araujo",$B:$B,"&lt;&gt;Lucas Luiz Romero")*(20/1083),IF(C4106="Estágio",SUMIFS($D:$D,$A:$A,$A4106,$B:$B,"&lt;&gt;Patrícia Karla de Sousa Araújo",$B:$B,"&lt;&gt;Lorena Dias de Araujo",$B:$B,"&lt;&gt;Lucas Luiz Romero")*(10/1083),0)))))),0)</f>
        <v>27</v>
      </c>
      <c r="K4106" s="3">
        <f>I4106-J4106</f>
        <v>2</v>
      </c>
      <c r="L4106" s="3" t="str">
        <f>IF(K4106&lt;-5,"CRÍTICO",IF(K4106&lt;0,"ATENÇÃO",IF(K4106&lt;=5,"OPORTUNO","MUITO BOM")))</f>
        <v>OPORTUNO</v>
      </c>
      <c r="M4106">
        <v>30</v>
      </c>
      <c r="N4106">
        <v>100</v>
      </c>
      <c r="O4106">
        <v>23.9870340356564</v>
      </c>
    </row>
    <row r="4107" spans="1:15" hidden="1" x14ac:dyDescent="0.25">
      <c r="A4107" s="11">
        <v>46129</v>
      </c>
      <c r="B4107" t="s">
        <v>44</v>
      </c>
      <c r="C4107" t="s">
        <v>32</v>
      </c>
      <c r="D4107">
        <v>32</v>
      </c>
      <c r="E4107">
        <v>28</v>
      </c>
      <c r="F4107">
        <v>13.48</v>
      </c>
      <c r="G4107">
        <v>0</v>
      </c>
      <c r="H4107">
        <v>0</v>
      </c>
      <c r="I4107" s="3">
        <f>E4107+G4107+H4107</f>
        <v>28</v>
      </c>
      <c r="J4107" s="3">
        <f>ROUND(MIN(IF(C4107="Técnico III",35,IF(C4107="Técnico II",28,IF(C4107="Técnico I",23,IF(C4107="JR",20,IF(C4107="Estágio",10,0))))),IF(C4107="Técnico III",SUMIFS($D:$D,$A:$A,$A4107,$B:$B,"&lt;&gt;Patrícia Karla de Sousa Araújo",$B:$B,"&lt;&gt;Lorena Dias de Araujo",$B:$B,"&lt;&gt;Lucas Luiz Romero")*(35/1083),IF(C4107="Técnico II",SUMIFS($D:$D,$A:$A,$A4107,$B:$B,"&lt;&gt;Patrícia Karla de Sousa Araújo",$B:$B,"&lt;&gt;Lorena Dias de Araujo",$B:$B,"&lt;&gt;Lucas Luiz Romero")*(28/1083),IF(C4107="Técnico I",SUMIFS($D:$D,$A:$A,$A4107,$B:$B,"&lt;&gt;Patrícia Karla de Sousa Araújo",$B:$B,"&lt;&gt;Lorena Dias de Araujo",$B:$B,"&lt;&gt;Lucas Luiz Romero")*(23/1083),IF(C4107="JR",SUMIFS($D:$D,$A:$A,$A4107,$B:$B,"&lt;&gt;Patrícia Karla de Sousa Araújo",$B:$B,"&lt;&gt;Lorena Dias de Araujo",$B:$B,"&lt;&gt;Lucas Luiz Romero")*(20/1083),IF(C4107="Estágio",SUMIFS($D:$D,$A:$A,$A4107,$B:$B,"&lt;&gt;Patrícia Karla de Sousa Araújo",$B:$B,"&lt;&gt;Lorena Dias de Araujo",$B:$B,"&lt;&gt;Lucas Luiz Romero")*(10/1083),0)))))),0)</f>
        <v>27</v>
      </c>
      <c r="K4107" s="3">
        <f>I4107-J4107</f>
        <v>1</v>
      </c>
      <c r="L4107" s="3" t="str">
        <f>IF(K4107&lt;-5,"CRÍTICO",IF(K4107&lt;0,"ATENÇÃO",IF(K4107&lt;=5,"OPORTUNO","MUITO BOM")))</f>
        <v>OPORTUNO</v>
      </c>
      <c r="M4107">
        <v>22</v>
      </c>
      <c r="N4107">
        <v>95.49</v>
      </c>
      <c r="O4107">
        <v>28.370221327967808</v>
      </c>
    </row>
    <row r="4108" spans="1:15" hidden="1" x14ac:dyDescent="0.25">
      <c r="A4108" s="11">
        <v>46129</v>
      </c>
      <c r="B4108" t="s">
        <v>20</v>
      </c>
      <c r="C4108" t="s">
        <v>16</v>
      </c>
      <c r="D4108">
        <v>13</v>
      </c>
      <c r="E4108">
        <v>12</v>
      </c>
      <c r="F4108">
        <v>25.3</v>
      </c>
      <c r="G4108">
        <v>0</v>
      </c>
      <c r="H4108">
        <v>0</v>
      </c>
      <c r="I4108" s="3">
        <f>E4108+G4108+H4108</f>
        <v>12</v>
      </c>
      <c r="J4108" s="3">
        <f>ROUND(MIN(IF(C4108="Técnico III",35,IF(C4108="Técnico II",28,IF(C4108="Técnico I",23,IF(C4108="JR",20,IF(C4108="Estágio",10,0))))),IF(C4108="Técnico III",SUMIFS($D:$D,$A:$A,$A4108,$B:$B,"&lt;&gt;Patrícia Karla de Sousa Araújo",$B:$B,"&lt;&gt;Lorena Dias de Araujo",$B:$B,"&lt;&gt;Lucas Luiz Romero")*(35/1083),IF(C4108="Técnico II",SUMIFS($D:$D,$A:$A,$A4108,$B:$B,"&lt;&gt;Patrícia Karla de Sousa Araújo",$B:$B,"&lt;&gt;Lorena Dias de Araujo",$B:$B,"&lt;&gt;Lucas Luiz Romero")*(28/1083),IF(C4108="Técnico I",SUMIFS($D:$D,$A:$A,$A4108,$B:$B,"&lt;&gt;Patrícia Karla de Sousa Araújo",$B:$B,"&lt;&gt;Lorena Dias de Araujo",$B:$B,"&lt;&gt;Lucas Luiz Romero")*(23/1083),IF(C4108="JR",SUMIFS($D:$D,$A:$A,$A4108,$B:$B,"&lt;&gt;Patrícia Karla de Sousa Araújo",$B:$B,"&lt;&gt;Lorena Dias de Araujo",$B:$B,"&lt;&gt;Lucas Luiz Romero")*(20/1083),IF(C4108="Estágio",SUMIFS($D:$D,$A:$A,$A4108,$B:$B,"&lt;&gt;Patrícia Karla de Sousa Araújo",$B:$B,"&lt;&gt;Lorena Dias de Araujo",$B:$B,"&lt;&gt;Lucas Luiz Romero")*(10/1083),0)))))),0)</f>
        <v>8</v>
      </c>
      <c r="K4108" s="3">
        <f>I4108-J4108</f>
        <v>4</v>
      </c>
      <c r="L4108" s="3" t="str">
        <f>IF(K4108&lt;-5,"CRÍTICO",IF(K4108&lt;0,"ATENÇÃO",IF(K4108&lt;=5,"OPORTUNO","MUITO BOM")))</f>
        <v>OPORTUNO</v>
      </c>
      <c r="M4108">
        <v>5</v>
      </c>
      <c r="N4108">
        <v>100</v>
      </c>
      <c r="O4108">
        <v>23.77622377622378</v>
      </c>
    </row>
    <row r="4109" spans="1:15" hidden="1" x14ac:dyDescent="0.25">
      <c r="A4109" s="11">
        <v>46129</v>
      </c>
      <c r="B4109" t="s">
        <v>28</v>
      </c>
      <c r="C4109" t="s">
        <v>26</v>
      </c>
      <c r="D4109">
        <v>35</v>
      </c>
      <c r="E4109">
        <v>31</v>
      </c>
      <c r="F4109">
        <v>17.329999999999998</v>
      </c>
      <c r="G4109">
        <v>0</v>
      </c>
      <c r="H4109">
        <v>0</v>
      </c>
      <c r="I4109" s="3">
        <f>E4109+G4109+H4109</f>
        <v>31</v>
      </c>
      <c r="J4109" s="3">
        <f>ROUND(MIN(IF(C4109="Técnico III",35,IF(C4109="Técnico II",28,IF(C4109="Técnico I",23,IF(C4109="JR",20,IF(C4109="Estágio",10,0))))),IF(C4109="Técnico III",SUMIFS($D:$D,$A:$A,$A4109,$B:$B,"&lt;&gt;Patrícia Karla de Sousa Araújo",$B:$B,"&lt;&gt;Lorena Dias de Araujo",$B:$B,"&lt;&gt;Lucas Luiz Romero")*(35/1083),IF(C4109="Técnico II",SUMIFS($D:$D,$A:$A,$A4109,$B:$B,"&lt;&gt;Patrícia Karla de Sousa Araújo",$B:$B,"&lt;&gt;Lorena Dias de Araujo",$B:$B,"&lt;&gt;Lucas Luiz Romero")*(28/1083),IF(C4109="Técnico I",SUMIFS($D:$D,$A:$A,$A4109,$B:$B,"&lt;&gt;Patrícia Karla de Sousa Araújo",$B:$B,"&lt;&gt;Lorena Dias de Araujo",$B:$B,"&lt;&gt;Lucas Luiz Romero")*(23/1083),IF(C4109="JR",SUMIFS($D:$D,$A:$A,$A4109,$B:$B,"&lt;&gt;Patrícia Karla de Sousa Araújo",$B:$B,"&lt;&gt;Lorena Dias de Araujo",$B:$B,"&lt;&gt;Lucas Luiz Romero")*(20/1083),IF(C4109="Estágio",SUMIFS($D:$D,$A:$A,$A4109,$B:$B,"&lt;&gt;Patrícia Karla de Sousa Araújo",$B:$B,"&lt;&gt;Lorena Dias de Araujo",$B:$B,"&lt;&gt;Lucas Luiz Romero")*(10/1083),0)))))),0)</f>
        <v>16</v>
      </c>
      <c r="K4109" s="3">
        <f>I4109-J4109</f>
        <v>15</v>
      </c>
      <c r="L4109" s="3" t="str">
        <f>IF(K4109&lt;-5,"CRÍTICO",IF(K4109&lt;0,"ATENÇÃO",IF(K4109&lt;=5,"OPORTUNO","MUITO BOM")))</f>
        <v>MUITO BOM</v>
      </c>
      <c r="M4109">
        <v>16</v>
      </c>
      <c r="N4109">
        <v>96.15</v>
      </c>
      <c r="O4109">
        <v>24.045801526717561</v>
      </c>
    </row>
    <row r="4110" spans="1:15" hidden="1" x14ac:dyDescent="0.25">
      <c r="A4110" s="11">
        <v>46129</v>
      </c>
      <c r="B4110" t="s">
        <v>58</v>
      </c>
      <c r="C4110" t="s">
        <v>48</v>
      </c>
      <c r="D4110">
        <v>27</v>
      </c>
      <c r="E4110">
        <v>25</v>
      </c>
      <c r="F4110">
        <v>20.190000000000001</v>
      </c>
      <c r="G4110">
        <v>0</v>
      </c>
      <c r="H4110">
        <v>0</v>
      </c>
      <c r="I4110" s="3">
        <f>E4110+G4110+H4110</f>
        <v>25</v>
      </c>
      <c r="J4110" s="3">
        <f>ROUND(MIN(IF(C4110="Técnico III",35,IF(C4110="Técnico II",28,IF(C4110="Técnico I",23,IF(C4110="JR",20,IF(C4110="Estágio",10,0))))),IF(C4110="Técnico III",SUMIFS($D:$D,$A:$A,$A4110,$B:$B,"&lt;&gt;Patrícia Karla de Sousa Araújo",$B:$B,"&lt;&gt;Lorena Dias de Araujo",$B:$B,"&lt;&gt;Lucas Luiz Romero")*(35/1083),IF(C4110="Técnico II",SUMIFS($D:$D,$A:$A,$A4110,$B:$B,"&lt;&gt;Patrícia Karla de Sousa Araújo",$B:$B,"&lt;&gt;Lorena Dias de Araujo",$B:$B,"&lt;&gt;Lucas Luiz Romero")*(28/1083),IF(C4110="Técnico I",SUMIFS($D:$D,$A:$A,$A4110,$B:$B,"&lt;&gt;Patrícia Karla de Sousa Araújo",$B:$B,"&lt;&gt;Lorena Dias de Araujo",$B:$B,"&lt;&gt;Lucas Luiz Romero")*(23/1083),IF(C4110="JR",SUMIFS($D:$D,$A:$A,$A4110,$B:$B,"&lt;&gt;Patrícia Karla de Sousa Araújo",$B:$B,"&lt;&gt;Lorena Dias de Araujo",$B:$B,"&lt;&gt;Lucas Luiz Romero")*(20/1083),IF(C4110="Estágio",SUMIFS($D:$D,$A:$A,$A4110,$B:$B,"&lt;&gt;Patrícia Karla de Sousa Araújo",$B:$B,"&lt;&gt;Lorena Dias de Araujo",$B:$B,"&lt;&gt;Lucas Luiz Romero")*(10/1083),0)))))),0)</f>
        <v>22</v>
      </c>
      <c r="K4110" s="3">
        <f>I4110-J4110</f>
        <v>3</v>
      </c>
      <c r="L4110" s="3" t="str">
        <f>IF(K4110&lt;-5,"CRÍTICO",IF(K4110&lt;0,"ATENÇÃO",IF(K4110&lt;=5,"OPORTUNO","MUITO BOM")))</f>
        <v>OPORTUNO</v>
      </c>
      <c r="M4110">
        <v>24</v>
      </c>
      <c r="N4110">
        <v>99.02</v>
      </c>
      <c r="O4110">
        <v>34.797297297297298</v>
      </c>
    </row>
    <row r="4111" spans="1:15" hidden="1" x14ac:dyDescent="0.25">
      <c r="A4111" s="11">
        <v>46129</v>
      </c>
      <c r="B4111" t="s">
        <v>29</v>
      </c>
      <c r="C4111" t="s">
        <v>26</v>
      </c>
      <c r="D4111">
        <v>19</v>
      </c>
      <c r="E4111">
        <v>17</v>
      </c>
      <c r="F4111">
        <v>17.059999999999999</v>
      </c>
      <c r="G4111">
        <v>0</v>
      </c>
      <c r="H4111">
        <v>0</v>
      </c>
      <c r="I4111" s="3">
        <f>E4111+G4111+H4111</f>
        <v>17</v>
      </c>
      <c r="J4111" s="3">
        <f>ROUND(MIN(IF(C4111="Técnico III",35,IF(C4111="Técnico II",28,IF(C4111="Técnico I",23,IF(C4111="JR",20,IF(C4111="Estágio",10,0))))),IF(C4111="Técnico III",SUMIFS($D:$D,$A:$A,$A4111,$B:$B,"&lt;&gt;Patrícia Karla de Sousa Araújo",$B:$B,"&lt;&gt;Lorena Dias de Araujo",$B:$B,"&lt;&gt;Lucas Luiz Romero")*(35/1083),IF(C4111="Técnico II",SUMIFS($D:$D,$A:$A,$A4111,$B:$B,"&lt;&gt;Patrícia Karla de Sousa Araújo",$B:$B,"&lt;&gt;Lorena Dias de Araujo",$B:$B,"&lt;&gt;Lucas Luiz Romero")*(28/1083),IF(C4111="Técnico I",SUMIFS($D:$D,$A:$A,$A4111,$B:$B,"&lt;&gt;Patrícia Karla de Sousa Araújo",$B:$B,"&lt;&gt;Lorena Dias de Araujo",$B:$B,"&lt;&gt;Lucas Luiz Romero")*(23/1083),IF(C4111="JR",SUMIFS($D:$D,$A:$A,$A4111,$B:$B,"&lt;&gt;Patrícia Karla de Sousa Araújo",$B:$B,"&lt;&gt;Lorena Dias de Araujo",$B:$B,"&lt;&gt;Lucas Luiz Romero")*(20/1083),IF(C4111="Estágio",SUMIFS($D:$D,$A:$A,$A4111,$B:$B,"&lt;&gt;Patrícia Karla de Sousa Araújo",$B:$B,"&lt;&gt;Lorena Dias de Araujo",$B:$B,"&lt;&gt;Lucas Luiz Romero")*(10/1083),0)))))),0)</f>
        <v>16</v>
      </c>
      <c r="K4111" s="3">
        <f>I4111-J4111</f>
        <v>1</v>
      </c>
      <c r="L4111" s="3" t="str">
        <f>IF(K4111&lt;-5,"CRÍTICO",IF(K4111&lt;0,"ATENÇÃO",IF(K4111&lt;=5,"OPORTUNO","MUITO BOM")))</f>
        <v>OPORTUNO</v>
      </c>
      <c r="M4111">
        <v>17</v>
      </c>
      <c r="N4111">
        <v>98.84</v>
      </c>
      <c r="O4111">
        <v>31.868131868131869</v>
      </c>
    </row>
    <row r="4112" spans="1:15" hidden="1" x14ac:dyDescent="0.25">
      <c r="A4112" s="11">
        <v>46129</v>
      </c>
      <c r="B4112" t="s">
        <v>30</v>
      </c>
      <c r="C4112" t="s">
        <v>26</v>
      </c>
      <c r="D4112">
        <v>15</v>
      </c>
      <c r="E4112">
        <v>14</v>
      </c>
      <c r="F4112">
        <v>18.489999999999998</v>
      </c>
      <c r="G4112">
        <v>0</v>
      </c>
      <c r="H4112">
        <v>0</v>
      </c>
      <c r="I4112" s="3">
        <f>E4112+G4112+H4112</f>
        <v>14</v>
      </c>
      <c r="J4112" s="3">
        <f>ROUND(MIN(IF(C4112="Técnico III",35,IF(C4112="Técnico II",28,IF(C4112="Técnico I",23,IF(C4112="JR",20,IF(C4112="Estágio",10,0))))),IF(C4112="Técnico III",SUMIFS($D:$D,$A:$A,$A4112,$B:$B,"&lt;&gt;Patrícia Karla de Sousa Araújo",$B:$B,"&lt;&gt;Lorena Dias de Araujo",$B:$B,"&lt;&gt;Lucas Luiz Romero")*(35/1083),IF(C4112="Técnico II",SUMIFS($D:$D,$A:$A,$A4112,$B:$B,"&lt;&gt;Patrícia Karla de Sousa Araújo",$B:$B,"&lt;&gt;Lorena Dias de Araujo",$B:$B,"&lt;&gt;Lucas Luiz Romero")*(28/1083),IF(C4112="Técnico I",SUMIFS($D:$D,$A:$A,$A4112,$B:$B,"&lt;&gt;Patrícia Karla de Sousa Araújo",$B:$B,"&lt;&gt;Lorena Dias de Araujo",$B:$B,"&lt;&gt;Lucas Luiz Romero")*(23/1083),IF(C4112="JR",SUMIFS($D:$D,$A:$A,$A4112,$B:$B,"&lt;&gt;Patrícia Karla de Sousa Araújo",$B:$B,"&lt;&gt;Lorena Dias de Araujo",$B:$B,"&lt;&gt;Lucas Luiz Romero")*(20/1083),IF(C4112="Estágio",SUMIFS($D:$D,$A:$A,$A4112,$B:$B,"&lt;&gt;Patrícia Karla de Sousa Araújo",$B:$B,"&lt;&gt;Lorena Dias de Araujo",$B:$B,"&lt;&gt;Lucas Luiz Romero")*(10/1083),0)))))),0)</f>
        <v>16</v>
      </c>
      <c r="K4112" s="3">
        <f>I4112-J4112</f>
        <v>-2</v>
      </c>
      <c r="L4112" s="3" t="str">
        <f>IF(K4112&lt;-5,"CRÍTICO",IF(K4112&lt;0,"ATENÇÃO",IF(K4112&lt;=5,"OPORTUNO","MUITO BOM")))</f>
        <v>ATENÇÃO</v>
      </c>
      <c r="M4112">
        <v>15</v>
      </c>
      <c r="N4112">
        <v>100</v>
      </c>
      <c r="O4112">
        <v>34.666666666666671</v>
      </c>
    </row>
    <row r="4113" spans="1:15" hidden="1" x14ac:dyDescent="0.25">
      <c r="A4113" s="11">
        <v>46129</v>
      </c>
      <c r="B4113" t="s">
        <v>21</v>
      </c>
      <c r="C4113" t="s">
        <v>16</v>
      </c>
      <c r="D4113">
        <v>16</v>
      </c>
      <c r="E4113">
        <v>14</v>
      </c>
      <c r="F4113">
        <v>30.56</v>
      </c>
      <c r="G4113">
        <v>0</v>
      </c>
      <c r="H4113">
        <v>0</v>
      </c>
      <c r="I4113" s="3">
        <f>E4113+G4113+H4113</f>
        <v>14</v>
      </c>
      <c r="J4113" s="3">
        <f>ROUND(MIN(IF(C4113="Técnico III",35,IF(C4113="Técnico II",28,IF(C4113="Técnico I",23,IF(C4113="JR",20,IF(C4113="Estágio",10,0))))),IF(C4113="Técnico III",SUMIFS($D:$D,$A:$A,$A4113,$B:$B,"&lt;&gt;Patrícia Karla de Sousa Araújo",$B:$B,"&lt;&gt;Lorena Dias de Araujo",$B:$B,"&lt;&gt;Lucas Luiz Romero")*(35/1083),IF(C4113="Técnico II",SUMIFS($D:$D,$A:$A,$A4113,$B:$B,"&lt;&gt;Patrícia Karla de Sousa Araújo",$B:$B,"&lt;&gt;Lorena Dias de Araujo",$B:$B,"&lt;&gt;Lucas Luiz Romero")*(28/1083),IF(C4113="Técnico I",SUMIFS($D:$D,$A:$A,$A4113,$B:$B,"&lt;&gt;Patrícia Karla de Sousa Araújo",$B:$B,"&lt;&gt;Lorena Dias de Araujo",$B:$B,"&lt;&gt;Lucas Luiz Romero")*(23/1083),IF(C4113="JR",SUMIFS($D:$D,$A:$A,$A4113,$B:$B,"&lt;&gt;Patrícia Karla de Sousa Araújo",$B:$B,"&lt;&gt;Lorena Dias de Araujo",$B:$B,"&lt;&gt;Lucas Luiz Romero")*(20/1083),IF(C4113="Estágio",SUMIFS($D:$D,$A:$A,$A4113,$B:$B,"&lt;&gt;Patrícia Karla de Sousa Araújo",$B:$B,"&lt;&gt;Lorena Dias de Araujo",$B:$B,"&lt;&gt;Lucas Luiz Romero")*(10/1083),0)))))),0)</f>
        <v>8</v>
      </c>
      <c r="K4113" s="3">
        <f>I4113-J4113</f>
        <v>6</v>
      </c>
      <c r="L4113" s="3" t="str">
        <f>IF(K4113&lt;-5,"CRÍTICO",IF(K4113&lt;0,"ATENÇÃO",IF(K4113&lt;=5,"OPORTUNO","MUITO BOM")))</f>
        <v>MUITO BOM</v>
      </c>
      <c r="M4113">
        <v>10</v>
      </c>
      <c r="N4113">
        <v>94.12</v>
      </c>
      <c r="O4113">
        <v>32.799999999999997</v>
      </c>
    </row>
    <row r="4114" spans="1:15" hidden="1" x14ac:dyDescent="0.25">
      <c r="A4114" s="11">
        <v>46129</v>
      </c>
      <c r="B4114" t="s">
        <v>63</v>
      </c>
      <c r="C4114" t="s">
        <v>23</v>
      </c>
      <c r="D4114">
        <v>28</v>
      </c>
      <c r="E4114">
        <v>26</v>
      </c>
      <c r="F4114">
        <v>15.33</v>
      </c>
      <c r="G4114">
        <v>0</v>
      </c>
      <c r="H4114">
        <v>0</v>
      </c>
      <c r="I4114" s="3">
        <f>E4114+G4114+H4114</f>
        <v>26</v>
      </c>
      <c r="J4114" s="3">
        <f>ROUND(MIN(IF(C4114="Técnico III",35,IF(C4114="Técnico II",28,IF(C4114="Técnico I",23,IF(C4114="JR",20,IF(C4114="Estágio",10,0))))),IF(C4114="Técnico III",SUMIFS($D:$D,$A:$A,$A4114,$B:$B,"&lt;&gt;Patrícia Karla de Sousa Araújo",$B:$B,"&lt;&gt;Lorena Dias de Araujo",$B:$B,"&lt;&gt;Lucas Luiz Romero")*(35/1083),IF(C4114="Técnico II",SUMIFS($D:$D,$A:$A,$A4114,$B:$B,"&lt;&gt;Patrícia Karla de Sousa Araújo",$B:$B,"&lt;&gt;Lorena Dias de Araujo",$B:$B,"&lt;&gt;Lucas Luiz Romero")*(28/1083),IF(C4114="Técnico I",SUMIFS($D:$D,$A:$A,$A4114,$B:$B,"&lt;&gt;Patrícia Karla de Sousa Araújo",$B:$B,"&lt;&gt;Lorena Dias de Araujo",$B:$B,"&lt;&gt;Lucas Luiz Romero")*(23/1083),IF(C4114="JR",SUMIFS($D:$D,$A:$A,$A4114,$B:$B,"&lt;&gt;Patrícia Karla de Sousa Araújo",$B:$B,"&lt;&gt;Lorena Dias de Araujo",$B:$B,"&lt;&gt;Lucas Luiz Romero")*(20/1083),IF(C4114="Estágio",SUMIFS($D:$D,$A:$A,$A4114,$B:$B,"&lt;&gt;Patrícia Karla de Sousa Araújo",$B:$B,"&lt;&gt;Lorena Dias de Araujo",$B:$B,"&lt;&gt;Lucas Luiz Romero")*(10/1083),0)))))),0)</f>
        <v>18</v>
      </c>
      <c r="K4114" s="3">
        <f>I4114-J4114</f>
        <v>8</v>
      </c>
      <c r="L4114" s="3" t="str">
        <f>IF(K4114&lt;-5,"CRÍTICO",IF(K4114&lt;0,"ATENÇÃO",IF(K4114&lt;=5,"OPORTUNO","MUITO BOM")))</f>
        <v>MUITO BOM</v>
      </c>
      <c r="M4114">
        <v>21</v>
      </c>
      <c r="N4114">
        <v>98.32</v>
      </c>
      <c r="O4114">
        <v>26.858513189448441</v>
      </c>
    </row>
    <row r="4115" spans="1:15" hidden="1" x14ac:dyDescent="0.25">
      <c r="A4115" s="11">
        <v>46129</v>
      </c>
      <c r="B4115" t="s">
        <v>45</v>
      </c>
      <c r="C4115" t="s">
        <v>32</v>
      </c>
      <c r="D4115">
        <v>35</v>
      </c>
      <c r="E4115">
        <v>31</v>
      </c>
      <c r="F4115">
        <v>12.08</v>
      </c>
      <c r="G4115">
        <v>0</v>
      </c>
      <c r="H4115">
        <v>0</v>
      </c>
      <c r="I4115" s="3">
        <f>E4115+G4115+H4115</f>
        <v>31</v>
      </c>
      <c r="J4115" s="3">
        <f>ROUND(MIN(IF(C4115="Técnico III",35,IF(C4115="Técnico II",28,IF(C4115="Técnico I",23,IF(C4115="JR",20,IF(C4115="Estágio",10,0))))),IF(C4115="Técnico III",SUMIFS($D:$D,$A:$A,$A4115,$B:$B,"&lt;&gt;Patrícia Karla de Sousa Araújo",$B:$B,"&lt;&gt;Lorena Dias de Araujo",$B:$B,"&lt;&gt;Lucas Luiz Romero")*(35/1083),IF(C4115="Técnico II",SUMIFS($D:$D,$A:$A,$A4115,$B:$B,"&lt;&gt;Patrícia Karla de Sousa Araújo",$B:$B,"&lt;&gt;Lorena Dias de Araujo",$B:$B,"&lt;&gt;Lucas Luiz Romero")*(28/1083),IF(C4115="Técnico I",SUMIFS($D:$D,$A:$A,$A4115,$B:$B,"&lt;&gt;Patrícia Karla de Sousa Araújo",$B:$B,"&lt;&gt;Lorena Dias de Araujo",$B:$B,"&lt;&gt;Lucas Luiz Romero")*(23/1083),IF(C4115="JR",SUMIFS($D:$D,$A:$A,$A4115,$B:$B,"&lt;&gt;Patrícia Karla de Sousa Araújo",$B:$B,"&lt;&gt;Lorena Dias de Araujo",$B:$B,"&lt;&gt;Lucas Luiz Romero")*(20/1083),IF(C4115="Estágio",SUMIFS($D:$D,$A:$A,$A4115,$B:$B,"&lt;&gt;Patrícia Karla de Sousa Araújo",$B:$B,"&lt;&gt;Lorena Dias de Araujo",$B:$B,"&lt;&gt;Lucas Luiz Romero")*(10/1083),0)))))),0)</f>
        <v>27</v>
      </c>
      <c r="K4115" s="3">
        <f>I4115-J4115</f>
        <v>4</v>
      </c>
      <c r="L4115" s="3" t="str">
        <f>IF(K4115&lt;-5,"CRÍTICO",IF(K4115&lt;0,"ATENÇÃO",IF(K4115&lt;=5,"OPORTUNO","MUITO BOM")))</f>
        <v>OPORTUNO</v>
      </c>
      <c r="M4115">
        <v>31</v>
      </c>
      <c r="N4115">
        <v>100</v>
      </c>
      <c r="O4115">
        <v>31.135531135531139</v>
      </c>
    </row>
    <row r="4116" spans="1:15" hidden="1" x14ac:dyDescent="0.25">
      <c r="A4116" s="11">
        <v>46129</v>
      </c>
      <c r="B4116" t="s">
        <v>64</v>
      </c>
      <c r="C4116" t="s">
        <v>23</v>
      </c>
      <c r="D4116">
        <v>18</v>
      </c>
      <c r="E4116">
        <v>17</v>
      </c>
      <c r="F4116">
        <v>23.58</v>
      </c>
      <c r="G4116">
        <v>0</v>
      </c>
      <c r="H4116">
        <v>0</v>
      </c>
      <c r="I4116" s="3">
        <f>E4116+G4116+H4116</f>
        <v>17</v>
      </c>
      <c r="J4116" s="3">
        <f>ROUND(MIN(IF(C4116="Técnico III",35,IF(C4116="Técnico II",28,IF(C4116="Técnico I",23,IF(C4116="JR",20,IF(C4116="Estágio",10,0))))),IF(C4116="Técnico III",SUMIFS($D:$D,$A:$A,$A4116,$B:$B,"&lt;&gt;Patrícia Karla de Sousa Araújo",$B:$B,"&lt;&gt;Lorena Dias de Araujo",$B:$B,"&lt;&gt;Lucas Luiz Romero")*(35/1083),IF(C4116="Técnico II",SUMIFS($D:$D,$A:$A,$A4116,$B:$B,"&lt;&gt;Patrícia Karla de Sousa Araújo",$B:$B,"&lt;&gt;Lorena Dias de Araujo",$B:$B,"&lt;&gt;Lucas Luiz Romero")*(28/1083),IF(C4116="Técnico I",SUMIFS($D:$D,$A:$A,$A4116,$B:$B,"&lt;&gt;Patrícia Karla de Sousa Araújo",$B:$B,"&lt;&gt;Lorena Dias de Araujo",$B:$B,"&lt;&gt;Lucas Luiz Romero")*(23/1083),IF(C4116="JR",SUMIFS($D:$D,$A:$A,$A4116,$B:$B,"&lt;&gt;Patrícia Karla de Sousa Araújo",$B:$B,"&lt;&gt;Lorena Dias de Araujo",$B:$B,"&lt;&gt;Lucas Luiz Romero")*(20/1083),IF(C4116="Estágio",SUMIFS($D:$D,$A:$A,$A4116,$B:$B,"&lt;&gt;Patrícia Karla de Sousa Araújo",$B:$B,"&lt;&gt;Lorena Dias de Araujo",$B:$B,"&lt;&gt;Lucas Luiz Romero")*(10/1083),0)))))),0)</f>
        <v>18</v>
      </c>
      <c r="K4116" s="3">
        <f>I4116-J4116</f>
        <v>-1</v>
      </c>
      <c r="L4116" s="3" t="str">
        <f>IF(K4116&lt;-5,"CRÍTICO",IF(K4116&lt;0,"ATENÇÃO",IF(K4116&lt;=5,"OPORTUNO","MUITO BOM")))</f>
        <v>ATENÇÃO</v>
      </c>
      <c r="M4116">
        <v>16</v>
      </c>
      <c r="N4116">
        <v>100</v>
      </c>
      <c r="O4116">
        <v>26.36986301369863</v>
      </c>
    </row>
    <row r="4117" spans="1:15" hidden="1" x14ac:dyDescent="0.25">
      <c r="A4117" s="11">
        <v>46129</v>
      </c>
      <c r="B4117" t="s">
        <v>46</v>
      </c>
      <c r="C4117" t="s">
        <v>32</v>
      </c>
      <c r="D4117">
        <v>0</v>
      </c>
      <c r="E4117">
        <v>0</v>
      </c>
      <c r="F4117">
        <v>0</v>
      </c>
      <c r="G4117">
        <v>0</v>
      </c>
      <c r="H4117">
        <v>0</v>
      </c>
      <c r="I4117" s="3">
        <v>0</v>
      </c>
      <c r="J4117" s="3">
        <v>0</v>
      </c>
      <c r="K4117" s="3">
        <v>0</v>
      </c>
      <c r="L4117" s="3" t="str">
        <f>IF(K4117&lt;-5,"CRÍTICO",IF(K4117&lt;0,"ATENÇÃO",IF(K4117&lt;=5,"OPORTUNO","MUITO BOM")))</f>
        <v>OPORTUNO</v>
      </c>
      <c r="M4117">
        <v>0</v>
      </c>
      <c r="N4117">
        <v>99.21</v>
      </c>
      <c r="O4117">
        <v>25.188916876574311</v>
      </c>
    </row>
    <row r="4118" spans="1:15" hidden="1" x14ac:dyDescent="0.25">
      <c r="A4118" s="11">
        <v>46132</v>
      </c>
      <c r="B4118" t="s">
        <v>47</v>
      </c>
      <c r="C4118" t="s">
        <v>48</v>
      </c>
      <c r="D4118">
        <v>35</v>
      </c>
      <c r="E4118">
        <v>27</v>
      </c>
      <c r="F4118">
        <v>10.199999999999999</v>
      </c>
      <c r="G4118">
        <v>0</v>
      </c>
      <c r="H4118">
        <v>0</v>
      </c>
      <c r="I4118" s="3">
        <f>E4118+G4118+H4118</f>
        <v>27</v>
      </c>
      <c r="J4118" s="3">
        <f>ROUND(MIN(IF(C4118="Técnico III",35,IF(C4118="Técnico II",28,IF(C4118="Técnico I",23,IF(C4118="JR",20,IF(C4118="Estágio",10,0))))),IF(C4118="Técnico III",SUMIFS($D:$D,$A:$A,$A4118,$B:$B,"&lt;&gt;Patrícia Karla de Sousa Araújo",$B:$B,"&lt;&gt;Lorena Dias de Araujo",$B:$B,"&lt;&gt;Lucas Luiz Romero")*(35/1083),IF(C4118="Técnico II",SUMIFS($D:$D,$A:$A,$A4118,$B:$B,"&lt;&gt;Patrícia Karla de Sousa Araújo",$B:$B,"&lt;&gt;Lorena Dias de Araujo",$B:$B,"&lt;&gt;Lucas Luiz Romero")*(28/1083),IF(C4118="Técnico I",SUMIFS($D:$D,$A:$A,$A4118,$B:$B,"&lt;&gt;Patrícia Karla de Sousa Araújo",$B:$B,"&lt;&gt;Lorena Dias de Araujo",$B:$B,"&lt;&gt;Lucas Luiz Romero")*(23/1083),IF(C4118="JR",SUMIFS($D:$D,$A:$A,$A4118,$B:$B,"&lt;&gt;Patrícia Karla de Sousa Araújo",$B:$B,"&lt;&gt;Lorena Dias de Araujo",$B:$B,"&lt;&gt;Lucas Luiz Romero")*(20/1083),IF(C4118="Estágio",SUMIFS($D:$D,$A:$A,$A4118,$B:$B,"&lt;&gt;Patrícia Karla de Sousa Araújo",$B:$B,"&lt;&gt;Lorena Dias de Araujo",$B:$B,"&lt;&gt;Lucas Luiz Romero")*(10/1083),0)))))),0)</f>
        <v>16</v>
      </c>
      <c r="K4118" s="3">
        <f>I4118-J4118</f>
        <v>11</v>
      </c>
      <c r="L4118" s="3" t="str">
        <f>IF(K4118&lt;-5,"CRÍTICO",IF(K4118&lt;0,"ATENÇÃO",IF(K4118&lt;=5,"OPORTUNO","MUITO BOM")))</f>
        <v>MUITO BOM</v>
      </c>
      <c r="M4118">
        <v>18</v>
      </c>
      <c r="N4118">
        <v>100</v>
      </c>
      <c r="O4118">
        <v>32.764505119453922</v>
      </c>
    </row>
    <row r="4119" spans="1:15" hidden="1" x14ac:dyDescent="0.25">
      <c r="A4119" s="11">
        <v>46132</v>
      </c>
      <c r="B4119" t="s">
        <v>31</v>
      </c>
      <c r="C4119" t="s">
        <v>32</v>
      </c>
      <c r="D4119">
        <v>0</v>
      </c>
      <c r="E4119">
        <v>0</v>
      </c>
      <c r="F4119">
        <v>0</v>
      </c>
      <c r="G4119">
        <v>0</v>
      </c>
      <c r="H4119">
        <v>0</v>
      </c>
      <c r="I4119" s="3">
        <v>0</v>
      </c>
      <c r="J4119" s="3">
        <v>0</v>
      </c>
      <c r="K4119" s="3">
        <v>0</v>
      </c>
      <c r="L4119" s="3" t="str">
        <f>IF(K4119&lt;-5,"CRÍTICO",IF(K4119&lt;0,"ATENÇÃO",IF(K4119&lt;=5,"OPORTUNO","MUITO BOM")))</f>
        <v>OPORTUNO</v>
      </c>
      <c r="M4119">
        <v>11</v>
      </c>
      <c r="N4119">
        <v>98.66</v>
      </c>
      <c r="O4119">
        <v>35.416666666666671</v>
      </c>
    </row>
    <row r="4120" spans="1:15" hidden="1" x14ac:dyDescent="0.25">
      <c r="A4120" s="11">
        <v>46132</v>
      </c>
      <c r="B4120" t="s">
        <v>59</v>
      </c>
      <c r="C4120" t="s">
        <v>23</v>
      </c>
      <c r="D4120">
        <v>24</v>
      </c>
      <c r="E4120">
        <v>24</v>
      </c>
      <c r="F4120">
        <v>17.28</v>
      </c>
      <c r="G4120">
        <v>0</v>
      </c>
      <c r="H4120">
        <v>0</v>
      </c>
      <c r="I4120" s="3">
        <f>E4120+G4120+H4120</f>
        <v>24</v>
      </c>
      <c r="J4120" s="3">
        <f>ROUND(MIN(IF(C4120="Técnico III",35,IF(C4120="Técnico II",28,IF(C4120="Técnico I",23,IF(C4120="JR",20,IF(C4120="Estágio",10,0))))),IF(C4120="Técnico III",SUMIFS($D:$D,$A:$A,$A4120,$B:$B,"&lt;&gt;Patrícia Karla de Sousa Araújo",$B:$B,"&lt;&gt;Lorena Dias de Araujo",$B:$B,"&lt;&gt;Lucas Luiz Romero")*(35/1083),IF(C4120="Técnico II",SUMIFS($D:$D,$A:$A,$A4120,$B:$B,"&lt;&gt;Patrícia Karla de Sousa Araújo",$B:$B,"&lt;&gt;Lorena Dias de Araujo",$B:$B,"&lt;&gt;Lucas Luiz Romero")*(28/1083),IF(C4120="Técnico I",SUMIFS($D:$D,$A:$A,$A4120,$B:$B,"&lt;&gt;Patrícia Karla de Sousa Araújo",$B:$B,"&lt;&gt;Lorena Dias de Araujo",$B:$B,"&lt;&gt;Lucas Luiz Romero")*(23/1083),IF(C4120="JR",SUMIFS($D:$D,$A:$A,$A4120,$B:$B,"&lt;&gt;Patrícia Karla de Sousa Araújo",$B:$B,"&lt;&gt;Lorena Dias de Araujo",$B:$B,"&lt;&gt;Lucas Luiz Romero")*(20/1083),IF(C4120="Estágio",SUMIFS($D:$D,$A:$A,$A4120,$B:$B,"&lt;&gt;Patrícia Karla de Sousa Araújo",$B:$B,"&lt;&gt;Lorena Dias de Araujo",$B:$B,"&lt;&gt;Lucas Luiz Romero")*(10/1083),0)))))),0)</f>
        <v>14</v>
      </c>
      <c r="K4120" s="3">
        <f>I4120-J4120</f>
        <v>10</v>
      </c>
      <c r="L4120" s="3" t="str">
        <f>IF(K4120&lt;-5,"CRÍTICO",IF(K4120&lt;0,"ATENÇÃO",IF(K4120&lt;=5,"OPORTUNO","MUITO BOM")))</f>
        <v>MUITO BOM</v>
      </c>
      <c r="M4120">
        <v>24</v>
      </c>
      <c r="N4120">
        <v>99.32</v>
      </c>
      <c r="O4120">
        <v>30.648330058939099</v>
      </c>
    </row>
    <row r="4121" spans="1:15" hidden="1" x14ac:dyDescent="0.25">
      <c r="A4121" s="11">
        <v>46132</v>
      </c>
      <c r="B4121" t="s">
        <v>33</v>
      </c>
      <c r="C4121" t="s">
        <v>32</v>
      </c>
      <c r="D4121">
        <v>16</v>
      </c>
      <c r="E4121">
        <v>15</v>
      </c>
      <c r="F4121">
        <v>22.26</v>
      </c>
      <c r="G4121">
        <v>0</v>
      </c>
      <c r="H4121">
        <v>0</v>
      </c>
      <c r="I4121" s="3">
        <f>E4121+G4121+H4121</f>
        <v>15</v>
      </c>
      <c r="J4121" s="3">
        <f>ROUND(MIN(IF(C4121="Técnico III",35,IF(C4121="Técnico II",28,IF(C4121="Técnico I",23,IF(C4121="JR",20,IF(C4121="Estágio",10,0))))),IF(C4121="Técnico III",SUMIFS($D:$D,$A:$A,$A4121,$B:$B,"&lt;&gt;Patrícia Karla de Sousa Araújo",$B:$B,"&lt;&gt;Lorena Dias de Araujo",$B:$B,"&lt;&gt;Lucas Luiz Romero")*(35/1083),IF(C4121="Técnico II",SUMIFS($D:$D,$A:$A,$A4121,$B:$B,"&lt;&gt;Patrícia Karla de Sousa Araújo",$B:$B,"&lt;&gt;Lorena Dias de Araujo",$B:$B,"&lt;&gt;Lucas Luiz Romero")*(28/1083),IF(C4121="Técnico I",SUMIFS($D:$D,$A:$A,$A4121,$B:$B,"&lt;&gt;Patrícia Karla de Sousa Araújo",$B:$B,"&lt;&gt;Lorena Dias de Araujo",$B:$B,"&lt;&gt;Lucas Luiz Romero")*(23/1083),IF(C4121="JR",SUMIFS($D:$D,$A:$A,$A4121,$B:$B,"&lt;&gt;Patrícia Karla de Sousa Araújo",$B:$B,"&lt;&gt;Lorena Dias de Araujo",$B:$B,"&lt;&gt;Lucas Luiz Romero")*(20/1083),IF(C4121="Estágio",SUMIFS($D:$D,$A:$A,$A4121,$B:$B,"&lt;&gt;Patrícia Karla de Sousa Araújo",$B:$B,"&lt;&gt;Lorena Dias de Araujo",$B:$B,"&lt;&gt;Lucas Luiz Romero")*(10/1083),0)))))),0)</f>
        <v>21</v>
      </c>
      <c r="K4121" s="3">
        <f>I4121-J4121</f>
        <v>-6</v>
      </c>
      <c r="L4121" s="3" t="str">
        <f>IF(K4121&lt;-5,"CRÍTICO",IF(K4121&lt;0,"ATENÇÃO",IF(K4121&lt;=5,"OPORTUNO","MUITO BOM")))</f>
        <v>CRÍTICO</v>
      </c>
      <c r="M4121">
        <v>17</v>
      </c>
      <c r="N4121">
        <v>100</v>
      </c>
      <c r="O4121">
        <v>27.803738317757009</v>
      </c>
    </row>
    <row r="4122" spans="1:15" hidden="1" x14ac:dyDescent="0.25">
      <c r="A4122" s="11">
        <v>46132</v>
      </c>
      <c r="B4122" t="s">
        <v>15</v>
      </c>
      <c r="C4122" t="s">
        <v>16</v>
      </c>
      <c r="D4122">
        <v>12</v>
      </c>
      <c r="E4122">
        <v>11</v>
      </c>
      <c r="F4122">
        <v>17.010000000000002</v>
      </c>
      <c r="G4122">
        <v>0</v>
      </c>
      <c r="H4122">
        <v>0</v>
      </c>
      <c r="I4122" s="3">
        <f>E4122+G4122+H4122</f>
        <v>11</v>
      </c>
      <c r="J4122" s="3">
        <f>ROUND(MIN(IF(C4122="Técnico III",35,IF(C4122="Técnico II",28,IF(C4122="Técnico I",23,IF(C4122="JR",20,IF(C4122="Estágio",10,0))))),IF(C4122="Técnico III",SUMIFS($D:$D,$A:$A,$A4122,$B:$B,"&lt;&gt;Patrícia Karla de Sousa Araújo",$B:$B,"&lt;&gt;Lorena Dias de Araujo",$B:$B,"&lt;&gt;Lucas Luiz Romero")*(35/1083),IF(C4122="Técnico II",SUMIFS($D:$D,$A:$A,$A4122,$B:$B,"&lt;&gt;Patrícia Karla de Sousa Araújo",$B:$B,"&lt;&gt;Lorena Dias de Araujo",$B:$B,"&lt;&gt;Lucas Luiz Romero")*(28/1083),IF(C4122="Técnico I",SUMIFS($D:$D,$A:$A,$A4122,$B:$B,"&lt;&gt;Patrícia Karla de Sousa Araújo",$B:$B,"&lt;&gt;Lorena Dias de Araujo",$B:$B,"&lt;&gt;Lucas Luiz Romero")*(23/1083),IF(C4122="JR",SUMIFS($D:$D,$A:$A,$A4122,$B:$B,"&lt;&gt;Patrícia Karla de Sousa Araújo",$B:$B,"&lt;&gt;Lorena Dias de Araujo",$B:$B,"&lt;&gt;Lucas Luiz Romero")*(20/1083),IF(C4122="Estágio",SUMIFS($D:$D,$A:$A,$A4122,$B:$B,"&lt;&gt;Patrícia Karla de Sousa Araújo",$B:$B,"&lt;&gt;Lorena Dias de Araujo",$B:$B,"&lt;&gt;Lucas Luiz Romero")*(10/1083),0)))))),0)</f>
        <v>6</v>
      </c>
      <c r="K4122" s="3">
        <f>I4122-J4122</f>
        <v>5</v>
      </c>
      <c r="L4122" s="3" t="str">
        <f>IF(K4122&lt;-5,"CRÍTICO",IF(K4122&lt;0,"ATENÇÃO",IF(K4122&lt;=5,"OPORTUNO","MUITO BOM")))</f>
        <v>OPORTUNO</v>
      </c>
      <c r="M4122">
        <v>11</v>
      </c>
      <c r="N4122">
        <v>96.74</v>
      </c>
      <c r="O4122">
        <v>28.67647058823529</v>
      </c>
    </row>
    <row r="4123" spans="1:15" hidden="1" x14ac:dyDescent="0.25">
      <c r="A4123" s="11">
        <v>46132</v>
      </c>
      <c r="B4123" t="s">
        <v>49</v>
      </c>
      <c r="C4123" t="s">
        <v>48</v>
      </c>
      <c r="D4123">
        <v>35</v>
      </c>
      <c r="E4123">
        <v>30</v>
      </c>
      <c r="F4123">
        <v>8.51</v>
      </c>
      <c r="G4123">
        <v>0</v>
      </c>
      <c r="H4123">
        <v>0</v>
      </c>
      <c r="I4123" s="3">
        <f>E4123+G4123+H4123</f>
        <v>30</v>
      </c>
      <c r="J4123" s="3">
        <f>ROUND(MIN(IF(C4123="Técnico III",35,IF(C4123="Técnico II",28,IF(C4123="Técnico I",23,IF(C4123="JR",20,IF(C4123="Estágio",10,0))))),IF(C4123="Técnico III",SUMIFS($D:$D,$A:$A,$A4123,$B:$B,"&lt;&gt;Patrícia Karla de Sousa Araújo",$B:$B,"&lt;&gt;Lorena Dias de Araujo",$B:$B,"&lt;&gt;Lucas Luiz Romero")*(35/1083),IF(C4123="Técnico II",SUMIFS($D:$D,$A:$A,$A4123,$B:$B,"&lt;&gt;Patrícia Karla de Sousa Araújo",$B:$B,"&lt;&gt;Lorena Dias de Araujo",$B:$B,"&lt;&gt;Lucas Luiz Romero")*(28/1083),IF(C4123="Técnico I",SUMIFS($D:$D,$A:$A,$A4123,$B:$B,"&lt;&gt;Patrícia Karla de Sousa Araújo",$B:$B,"&lt;&gt;Lorena Dias de Araujo",$B:$B,"&lt;&gt;Lucas Luiz Romero")*(23/1083),IF(C4123="JR",SUMIFS($D:$D,$A:$A,$A4123,$B:$B,"&lt;&gt;Patrícia Karla de Sousa Araújo",$B:$B,"&lt;&gt;Lorena Dias de Araujo",$B:$B,"&lt;&gt;Lucas Luiz Romero")*(20/1083),IF(C4123="Estágio",SUMIFS($D:$D,$A:$A,$A4123,$B:$B,"&lt;&gt;Patrícia Karla de Sousa Araújo",$B:$B,"&lt;&gt;Lorena Dias de Araujo",$B:$B,"&lt;&gt;Lucas Luiz Romero")*(10/1083),0)))))),0)</f>
        <v>16</v>
      </c>
      <c r="K4123" s="3">
        <f>I4123-J4123</f>
        <v>14</v>
      </c>
      <c r="L4123" s="3" t="str">
        <f>IF(K4123&lt;-5,"CRÍTICO",IF(K4123&lt;0,"ATENÇÃO",IF(K4123&lt;=5,"OPORTUNO","MUITO BOM")))</f>
        <v>MUITO BOM</v>
      </c>
      <c r="M4123">
        <v>32</v>
      </c>
      <c r="N4123">
        <v>98.82</v>
      </c>
      <c r="O4123">
        <v>30.741410488245929</v>
      </c>
    </row>
    <row r="4124" spans="1:15" hidden="1" x14ac:dyDescent="0.25">
      <c r="A4124" s="11">
        <v>46132</v>
      </c>
      <c r="B4124" t="s">
        <v>50</v>
      </c>
      <c r="C4124" t="s">
        <v>48</v>
      </c>
      <c r="D4124">
        <v>25</v>
      </c>
      <c r="E4124">
        <v>25</v>
      </c>
      <c r="F4124">
        <v>20.399999999999999</v>
      </c>
      <c r="G4124">
        <v>0</v>
      </c>
      <c r="H4124">
        <v>0</v>
      </c>
      <c r="I4124" s="3">
        <f>E4124+G4124+H4124</f>
        <v>25</v>
      </c>
      <c r="J4124" s="3">
        <f>ROUND(MIN(IF(C4124="Técnico III",35,IF(C4124="Técnico II",28,IF(C4124="Técnico I",23,IF(C4124="JR",20,IF(C4124="Estágio",10,0))))),IF(C4124="Técnico III",SUMIFS($D:$D,$A:$A,$A4124,$B:$B,"&lt;&gt;Patrícia Karla de Sousa Araújo",$B:$B,"&lt;&gt;Lorena Dias de Araujo",$B:$B,"&lt;&gt;Lucas Luiz Romero")*(35/1083),IF(C4124="Técnico II",SUMIFS($D:$D,$A:$A,$A4124,$B:$B,"&lt;&gt;Patrícia Karla de Sousa Araújo",$B:$B,"&lt;&gt;Lorena Dias de Araujo",$B:$B,"&lt;&gt;Lucas Luiz Romero")*(28/1083),IF(C4124="Técnico I",SUMIFS($D:$D,$A:$A,$A4124,$B:$B,"&lt;&gt;Patrícia Karla de Sousa Araújo",$B:$B,"&lt;&gt;Lorena Dias de Araujo",$B:$B,"&lt;&gt;Lucas Luiz Romero")*(23/1083),IF(C4124="JR",SUMIFS($D:$D,$A:$A,$A4124,$B:$B,"&lt;&gt;Patrícia Karla de Sousa Araújo",$B:$B,"&lt;&gt;Lorena Dias de Araujo",$B:$B,"&lt;&gt;Lucas Luiz Romero")*(20/1083),IF(C4124="Estágio",SUMIFS($D:$D,$A:$A,$A4124,$B:$B,"&lt;&gt;Patrícia Karla de Sousa Araújo",$B:$B,"&lt;&gt;Lorena Dias de Araujo",$B:$B,"&lt;&gt;Lucas Luiz Romero")*(10/1083),0)))))),0)</f>
        <v>16</v>
      </c>
      <c r="K4124" s="3">
        <f>I4124-J4124</f>
        <v>9</v>
      </c>
      <c r="L4124" s="3" t="str">
        <f>IF(K4124&lt;-5,"CRÍTICO",IF(K4124&lt;0,"ATENÇÃO",IF(K4124&lt;=5,"OPORTUNO","MUITO BOM")))</f>
        <v>MUITO BOM</v>
      </c>
      <c r="M4124">
        <v>24</v>
      </c>
      <c r="N4124">
        <v>98.2</v>
      </c>
      <c r="O4124">
        <v>27.170868347338931</v>
      </c>
    </row>
    <row r="4125" spans="1:15" hidden="1" x14ac:dyDescent="0.25">
      <c r="A4125" s="11">
        <v>46132</v>
      </c>
      <c r="B4125" t="s">
        <v>17</v>
      </c>
      <c r="C4125" t="s">
        <v>16</v>
      </c>
      <c r="D4125">
        <v>1</v>
      </c>
      <c r="E4125">
        <v>1</v>
      </c>
      <c r="F4125">
        <v>199.04</v>
      </c>
      <c r="G4125">
        <v>0</v>
      </c>
      <c r="H4125">
        <v>0</v>
      </c>
      <c r="I4125" s="3">
        <f>E4125+G4125+H4125</f>
        <v>1</v>
      </c>
      <c r="J4125" s="3">
        <f>ROUND(MIN(IF(C4125="Técnico III",35,IF(C4125="Técnico II",28,IF(C4125="Técnico I",23,IF(C4125="JR",20,IF(C4125="Estágio",10,0))))),IF(C4125="Técnico III",SUMIFS($D:$D,$A:$A,$A4125,$B:$B,"&lt;&gt;Patrícia Karla de Sousa Araújo",$B:$B,"&lt;&gt;Lorena Dias de Araujo",$B:$B,"&lt;&gt;Lucas Luiz Romero")*(35/1083),IF(C4125="Técnico II",SUMIFS($D:$D,$A:$A,$A4125,$B:$B,"&lt;&gt;Patrícia Karla de Sousa Araújo",$B:$B,"&lt;&gt;Lorena Dias de Araujo",$B:$B,"&lt;&gt;Lucas Luiz Romero")*(28/1083),IF(C4125="Técnico I",SUMIFS($D:$D,$A:$A,$A4125,$B:$B,"&lt;&gt;Patrícia Karla de Sousa Araújo",$B:$B,"&lt;&gt;Lorena Dias de Araujo",$B:$B,"&lt;&gt;Lucas Luiz Romero")*(23/1083),IF(C4125="JR",SUMIFS($D:$D,$A:$A,$A4125,$B:$B,"&lt;&gt;Patrícia Karla de Sousa Araújo",$B:$B,"&lt;&gt;Lorena Dias de Araujo",$B:$B,"&lt;&gt;Lucas Luiz Romero")*(20/1083),IF(C4125="Estágio",SUMIFS($D:$D,$A:$A,$A4125,$B:$B,"&lt;&gt;Patrícia Karla de Sousa Araújo",$B:$B,"&lt;&gt;Lorena Dias de Araujo",$B:$B,"&lt;&gt;Lucas Luiz Romero")*(10/1083),0)))))),0)</f>
        <v>6</v>
      </c>
      <c r="K4125" s="3">
        <f>I4125-J4125</f>
        <v>-5</v>
      </c>
      <c r="L4125" s="3" t="str">
        <f>IF(K4125&lt;-5,"CRÍTICO",IF(K4125&lt;0,"ATENÇÃO",IF(K4125&lt;=5,"OPORTUNO","MUITO BOM")))</f>
        <v>ATENÇÃO</v>
      </c>
      <c r="M4125">
        <v>1</v>
      </c>
      <c r="N4125">
        <v>100</v>
      </c>
      <c r="O4125">
        <v>23.134328358208951</v>
      </c>
    </row>
    <row r="4126" spans="1:15" hidden="1" x14ac:dyDescent="0.25">
      <c r="A4126" s="11">
        <v>46132</v>
      </c>
      <c r="B4126" t="s">
        <v>60</v>
      </c>
      <c r="C4126" t="s">
        <v>23</v>
      </c>
      <c r="D4126">
        <v>22</v>
      </c>
      <c r="E4126">
        <v>19</v>
      </c>
      <c r="F4126">
        <v>15.12</v>
      </c>
      <c r="G4126">
        <v>0</v>
      </c>
      <c r="H4126">
        <v>0</v>
      </c>
      <c r="I4126" s="3">
        <f>E4126+G4126+H4126</f>
        <v>19</v>
      </c>
      <c r="J4126" s="3">
        <f>ROUND(MIN(IF(C4126="Técnico III",35,IF(C4126="Técnico II",28,IF(C4126="Técnico I",23,IF(C4126="JR",20,IF(C4126="Estágio",10,0))))),IF(C4126="Técnico III",SUMIFS($D:$D,$A:$A,$A4126,$B:$B,"&lt;&gt;Patrícia Karla de Sousa Araújo",$B:$B,"&lt;&gt;Lorena Dias de Araujo",$B:$B,"&lt;&gt;Lucas Luiz Romero")*(35/1083),IF(C4126="Técnico II",SUMIFS($D:$D,$A:$A,$A4126,$B:$B,"&lt;&gt;Patrícia Karla de Sousa Araújo",$B:$B,"&lt;&gt;Lorena Dias de Araujo",$B:$B,"&lt;&gt;Lucas Luiz Romero")*(28/1083),IF(C4126="Técnico I",SUMIFS($D:$D,$A:$A,$A4126,$B:$B,"&lt;&gt;Patrícia Karla de Sousa Araújo",$B:$B,"&lt;&gt;Lorena Dias de Araujo",$B:$B,"&lt;&gt;Lucas Luiz Romero")*(23/1083),IF(C4126="JR",SUMIFS($D:$D,$A:$A,$A4126,$B:$B,"&lt;&gt;Patrícia Karla de Sousa Araújo",$B:$B,"&lt;&gt;Lorena Dias de Araujo",$B:$B,"&lt;&gt;Lucas Luiz Romero")*(20/1083),IF(C4126="Estágio",SUMIFS($D:$D,$A:$A,$A4126,$B:$B,"&lt;&gt;Patrícia Karla de Sousa Araújo",$B:$B,"&lt;&gt;Lorena Dias de Araujo",$B:$B,"&lt;&gt;Lucas Luiz Romero")*(10/1083),0)))))),0)</f>
        <v>14</v>
      </c>
      <c r="K4126" s="3">
        <f>I4126-J4126</f>
        <v>5</v>
      </c>
      <c r="L4126" s="3" t="str">
        <f>IF(K4126&lt;-5,"CRÍTICO",IF(K4126&lt;0,"ATENÇÃO",IF(K4126&lt;=5,"OPORTUNO","MUITO BOM")))</f>
        <v>OPORTUNO</v>
      </c>
      <c r="M4126">
        <v>19</v>
      </c>
      <c r="N4126">
        <v>96.3</v>
      </c>
      <c r="O4126">
        <v>32.219570405727922</v>
      </c>
    </row>
    <row r="4127" spans="1:15" hidden="1" x14ac:dyDescent="0.25">
      <c r="A4127" s="11">
        <v>46132</v>
      </c>
      <c r="B4127" t="s">
        <v>34</v>
      </c>
      <c r="C4127" t="s">
        <v>32</v>
      </c>
      <c r="D4127">
        <v>22</v>
      </c>
      <c r="E4127">
        <v>21</v>
      </c>
      <c r="F4127">
        <v>12.09</v>
      </c>
      <c r="G4127">
        <v>0</v>
      </c>
      <c r="H4127">
        <v>0</v>
      </c>
      <c r="I4127" s="3">
        <f>E4127+G4127+H4127</f>
        <v>21</v>
      </c>
      <c r="J4127" s="3">
        <f>ROUND(MIN(IF(C4127="Técnico III",35,IF(C4127="Técnico II",28,IF(C4127="Técnico I",23,IF(C4127="JR",20,IF(C4127="Estágio",10,0))))),IF(C4127="Técnico III",SUMIFS($D:$D,$A:$A,$A4127,$B:$B,"&lt;&gt;Patrícia Karla de Sousa Araújo",$B:$B,"&lt;&gt;Lorena Dias de Araujo",$B:$B,"&lt;&gt;Lucas Luiz Romero")*(35/1083),IF(C4127="Técnico II",SUMIFS($D:$D,$A:$A,$A4127,$B:$B,"&lt;&gt;Patrícia Karla de Sousa Araújo",$B:$B,"&lt;&gt;Lorena Dias de Araujo",$B:$B,"&lt;&gt;Lucas Luiz Romero")*(28/1083),IF(C4127="Técnico I",SUMIFS($D:$D,$A:$A,$A4127,$B:$B,"&lt;&gt;Patrícia Karla de Sousa Araújo",$B:$B,"&lt;&gt;Lorena Dias de Araujo",$B:$B,"&lt;&gt;Lucas Luiz Romero")*(23/1083),IF(C4127="JR",SUMIFS($D:$D,$A:$A,$A4127,$B:$B,"&lt;&gt;Patrícia Karla de Sousa Araújo",$B:$B,"&lt;&gt;Lorena Dias de Araujo",$B:$B,"&lt;&gt;Lucas Luiz Romero")*(20/1083),IF(C4127="Estágio",SUMIFS($D:$D,$A:$A,$A4127,$B:$B,"&lt;&gt;Patrícia Karla de Sousa Araújo",$B:$B,"&lt;&gt;Lorena Dias de Araujo",$B:$B,"&lt;&gt;Lucas Luiz Romero")*(10/1083),0)))))),0)</f>
        <v>21</v>
      </c>
      <c r="K4127" s="3">
        <f>I4127-J4127</f>
        <v>0</v>
      </c>
      <c r="L4127" s="3" t="str">
        <f>IF(K4127&lt;-5,"CRÍTICO",IF(K4127&lt;0,"ATENÇÃO",IF(K4127&lt;=5,"OPORTUNO","MUITO BOM")))</f>
        <v>OPORTUNO</v>
      </c>
      <c r="M4127">
        <v>16</v>
      </c>
      <c r="N4127">
        <v>93.75</v>
      </c>
      <c r="O4127">
        <v>26.819923371647509</v>
      </c>
    </row>
    <row r="4128" spans="1:15" hidden="1" x14ac:dyDescent="0.25">
      <c r="A4128" s="11">
        <v>46132</v>
      </c>
      <c r="B4128" t="s">
        <v>51</v>
      </c>
      <c r="C4128" t="s">
        <v>48</v>
      </c>
      <c r="D4128">
        <v>24</v>
      </c>
      <c r="E4128">
        <v>22</v>
      </c>
      <c r="F4128">
        <v>18.3</v>
      </c>
      <c r="G4128">
        <v>0</v>
      </c>
      <c r="H4128">
        <v>0</v>
      </c>
      <c r="I4128" s="3">
        <v>0</v>
      </c>
      <c r="J4128" s="3">
        <v>0</v>
      </c>
      <c r="K4128" s="3">
        <v>0</v>
      </c>
      <c r="L4128" s="3" t="str">
        <f>IF(K4128&lt;-5,"CRÍTICO",IF(K4128&lt;0,"ATENÇÃO",IF(K4128&lt;=5,"OPORTUNO","MUITO BOM")))</f>
        <v>OPORTUNO</v>
      </c>
      <c r="M4128">
        <v>24</v>
      </c>
      <c r="N4128">
        <v>97.86</v>
      </c>
      <c r="O4128">
        <v>31.018518518518519</v>
      </c>
    </row>
    <row r="4129" spans="1:15" hidden="1" x14ac:dyDescent="0.25">
      <c r="A4129" s="11">
        <v>46132</v>
      </c>
      <c r="B4129" t="s">
        <v>61</v>
      </c>
      <c r="C4129" t="s">
        <v>23</v>
      </c>
      <c r="D4129">
        <v>17</v>
      </c>
      <c r="E4129">
        <v>17</v>
      </c>
      <c r="F4129">
        <v>20.170000000000002</v>
      </c>
      <c r="G4129">
        <v>0</v>
      </c>
      <c r="H4129">
        <v>0</v>
      </c>
      <c r="I4129" s="3">
        <f>E4129+G4129+H4129</f>
        <v>17</v>
      </c>
      <c r="J4129" s="3">
        <f>ROUND(MIN(IF(C4129="Técnico III",35,IF(C4129="Técnico II",28,IF(C4129="Técnico I",23,IF(C4129="JR",20,IF(C4129="Estágio",10,0))))),IF(C4129="Técnico III",SUMIFS($D:$D,$A:$A,$A4129,$B:$B,"&lt;&gt;Patrícia Karla de Sousa Araújo",$B:$B,"&lt;&gt;Lorena Dias de Araujo",$B:$B,"&lt;&gt;Lucas Luiz Romero")*(35/1083),IF(C4129="Técnico II",SUMIFS($D:$D,$A:$A,$A4129,$B:$B,"&lt;&gt;Patrícia Karla de Sousa Araújo",$B:$B,"&lt;&gt;Lorena Dias de Araujo",$B:$B,"&lt;&gt;Lucas Luiz Romero")*(28/1083),IF(C4129="Técnico I",SUMIFS($D:$D,$A:$A,$A4129,$B:$B,"&lt;&gt;Patrícia Karla de Sousa Araújo",$B:$B,"&lt;&gt;Lorena Dias de Araujo",$B:$B,"&lt;&gt;Lucas Luiz Romero")*(23/1083),IF(C4129="JR",SUMIFS($D:$D,$A:$A,$A4129,$B:$B,"&lt;&gt;Patrícia Karla de Sousa Araújo",$B:$B,"&lt;&gt;Lorena Dias de Araujo",$B:$B,"&lt;&gt;Lucas Luiz Romero")*(20/1083),IF(C4129="Estágio",SUMIFS($D:$D,$A:$A,$A4129,$B:$B,"&lt;&gt;Patrícia Karla de Sousa Araújo",$B:$B,"&lt;&gt;Lorena Dias de Araujo",$B:$B,"&lt;&gt;Lucas Luiz Romero")*(10/1083),0)))))),0)</f>
        <v>14</v>
      </c>
      <c r="K4129" s="3">
        <f>I4129-J4129</f>
        <v>3</v>
      </c>
      <c r="L4129" s="3" t="str">
        <f>IF(K4129&lt;-5,"CRÍTICO",IF(K4129&lt;0,"ATENÇÃO",IF(K4129&lt;=5,"OPORTUNO","MUITO BOM")))</f>
        <v>OPORTUNO</v>
      </c>
      <c r="M4129">
        <v>11</v>
      </c>
      <c r="N4129">
        <v>100</v>
      </c>
      <c r="O4129">
        <v>36.594202898550733</v>
      </c>
    </row>
    <row r="4130" spans="1:15" hidden="1" x14ac:dyDescent="0.25">
      <c r="A4130" s="11">
        <v>46132</v>
      </c>
      <c r="B4130" t="s">
        <v>35</v>
      </c>
      <c r="C4130" t="s">
        <v>32</v>
      </c>
      <c r="D4130">
        <v>24</v>
      </c>
      <c r="E4130">
        <v>23</v>
      </c>
      <c r="F4130">
        <v>19.12</v>
      </c>
      <c r="G4130">
        <v>0</v>
      </c>
      <c r="H4130">
        <v>0</v>
      </c>
      <c r="I4130" s="3">
        <v>0</v>
      </c>
      <c r="J4130" s="3">
        <v>0</v>
      </c>
      <c r="K4130" s="3">
        <v>0</v>
      </c>
      <c r="L4130" s="3" t="str">
        <f>IF(K4130&lt;-5,"CRÍTICO",IF(K4130&lt;0,"ATENÇÃO",IF(K4130&lt;=5,"OPORTUNO","MUITO BOM")))</f>
        <v>OPORTUNO</v>
      </c>
      <c r="M4130">
        <v>23</v>
      </c>
      <c r="N4130">
        <v>100</v>
      </c>
      <c r="O4130">
        <v>38.653846153846153</v>
      </c>
    </row>
    <row r="4131" spans="1:15" hidden="1" x14ac:dyDescent="0.25">
      <c r="A4131" s="11">
        <v>46132</v>
      </c>
      <c r="B4131" t="s">
        <v>18</v>
      </c>
      <c r="C4131" t="s">
        <v>16</v>
      </c>
      <c r="D4131">
        <v>7</v>
      </c>
      <c r="E4131">
        <v>6</v>
      </c>
      <c r="F4131">
        <v>27.23</v>
      </c>
      <c r="G4131">
        <v>0</v>
      </c>
      <c r="H4131">
        <v>0</v>
      </c>
      <c r="I4131" s="3">
        <f>E4131+G4131+H4131</f>
        <v>6</v>
      </c>
      <c r="J4131" s="3">
        <f>ROUND(MIN(IF(C4131="Técnico III",35,IF(C4131="Técnico II",28,IF(C4131="Técnico I",23,IF(C4131="JR",20,IF(C4131="Estágio",10,0))))),IF(C4131="Técnico III",SUMIFS($D:$D,$A:$A,$A4131,$B:$B,"&lt;&gt;Patrícia Karla de Sousa Araújo",$B:$B,"&lt;&gt;Lorena Dias de Araujo",$B:$B,"&lt;&gt;Lucas Luiz Romero")*(35/1083),IF(C4131="Técnico II",SUMIFS($D:$D,$A:$A,$A4131,$B:$B,"&lt;&gt;Patrícia Karla de Sousa Araújo",$B:$B,"&lt;&gt;Lorena Dias de Araujo",$B:$B,"&lt;&gt;Lucas Luiz Romero")*(28/1083),IF(C4131="Técnico I",SUMIFS($D:$D,$A:$A,$A4131,$B:$B,"&lt;&gt;Patrícia Karla de Sousa Araújo",$B:$B,"&lt;&gt;Lorena Dias de Araujo",$B:$B,"&lt;&gt;Lucas Luiz Romero")*(23/1083),IF(C4131="JR",SUMIFS($D:$D,$A:$A,$A4131,$B:$B,"&lt;&gt;Patrícia Karla de Sousa Araújo",$B:$B,"&lt;&gt;Lorena Dias de Araujo",$B:$B,"&lt;&gt;Lucas Luiz Romero")*(20/1083),IF(C4131="Estágio",SUMIFS($D:$D,$A:$A,$A4131,$B:$B,"&lt;&gt;Patrícia Karla de Sousa Araújo",$B:$B,"&lt;&gt;Lorena Dias de Araujo",$B:$B,"&lt;&gt;Lucas Luiz Romero")*(10/1083),0)))))),0)</f>
        <v>6</v>
      </c>
      <c r="K4131" s="3">
        <f>I4131-J4131</f>
        <v>0</v>
      </c>
      <c r="L4131" s="3" t="str">
        <f>IF(K4131&lt;-5,"CRÍTICO",IF(K4131&lt;0,"ATENÇÃO",IF(K4131&lt;=5,"OPORTUNO","MUITO BOM")))</f>
        <v>OPORTUNO</v>
      </c>
      <c r="M4131">
        <v>4</v>
      </c>
      <c r="N4131">
        <v>100</v>
      </c>
      <c r="O4131">
        <v>27.368421052631579</v>
      </c>
    </row>
    <row r="4132" spans="1:15" hidden="1" x14ac:dyDescent="0.25">
      <c r="A4132" s="11">
        <v>46132</v>
      </c>
      <c r="B4132" t="s">
        <v>52</v>
      </c>
      <c r="C4132" t="s">
        <v>48</v>
      </c>
      <c r="D4132">
        <v>26</v>
      </c>
      <c r="E4132">
        <v>25</v>
      </c>
      <c r="F4132">
        <v>18.510000000000002</v>
      </c>
      <c r="G4132">
        <v>0</v>
      </c>
      <c r="H4132">
        <v>0</v>
      </c>
      <c r="I4132" s="3">
        <f>E4132+G4132+H4132</f>
        <v>25</v>
      </c>
      <c r="J4132" s="3">
        <f>ROUND(MIN(IF(C4132="Técnico III",35,IF(C4132="Técnico II",28,IF(C4132="Técnico I",23,IF(C4132="JR",20,IF(C4132="Estágio",10,0))))),IF(C4132="Técnico III",SUMIFS($D:$D,$A:$A,$A4132,$B:$B,"&lt;&gt;Patrícia Karla de Sousa Araújo",$B:$B,"&lt;&gt;Lorena Dias de Araujo",$B:$B,"&lt;&gt;Lucas Luiz Romero")*(35/1083),IF(C4132="Técnico II",SUMIFS($D:$D,$A:$A,$A4132,$B:$B,"&lt;&gt;Patrícia Karla de Sousa Araújo",$B:$B,"&lt;&gt;Lorena Dias de Araujo",$B:$B,"&lt;&gt;Lucas Luiz Romero")*(28/1083),IF(C4132="Técnico I",SUMIFS($D:$D,$A:$A,$A4132,$B:$B,"&lt;&gt;Patrícia Karla de Sousa Araújo",$B:$B,"&lt;&gt;Lorena Dias de Araujo",$B:$B,"&lt;&gt;Lucas Luiz Romero")*(23/1083),IF(C4132="JR",SUMIFS($D:$D,$A:$A,$A4132,$B:$B,"&lt;&gt;Patrícia Karla de Sousa Araújo",$B:$B,"&lt;&gt;Lorena Dias de Araujo",$B:$B,"&lt;&gt;Lucas Luiz Romero")*(20/1083),IF(C4132="Estágio",SUMIFS($D:$D,$A:$A,$A4132,$B:$B,"&lt;&gt;Patrícia Karla de Sousa Araújo",$B:$B,"&lt;&gt;Lorena Dias de Araujo",$B:$B,"&lt;&gt;Lucas Luiz Romero")*(10/1083),0)))))),0)</f>
        <v>16</v>
      </c>
      <c r="K4132" s="3">
        <f>I4132-J4132</f>
        <v>9</v>
      </c>
      <c r="L4132" s="3" t="str">
        <f>IF(K4132&lt;-5,"CRÍTICO",IF(K4132&lt;0,"ATENÇÃO",IF(K4132&lt;=5,"OPORTUNO","MUITO BOM")))</f>
        <v>MUITO BOM</v>
      </c>
      <c r="M4132">
        <v>22</v>
      </c>
      <c r="N4132">
        <v>97.83</v>
      </c>
      <c r="O4132">
        <v>28.35164835164835</v>
      </c>
    </row>
    <row r="4133" spans="1:15" hidden="1" x14ac:dyDescent="0.25">
      <c r="A4133" s="11">
        <v>46132</v>
      </c>
      <c r="B4133" t="s">
        <v>36</v>
      </c>
      <c r="C4133" t="s">
        <v>32</v>
      </c>
      <c r="D4133">
        <v>25</v>
      </c>
      <c r="E4133">
        <v>23</v>
      </c>
      <c r="F4133">
        <v>15.58</v>
      </c>
      <c r="G4133">
        <v>0</v>
      </c>
      <c r="H4133">
        <v>0</v>
      </c>
      <c r="I4133" s="3">
        <f>E4133+G4133+H4133</f>
        <v>23</v>
      </c>
      <c r="J4133" s="3">
        <f>ROUND(MIN(IF(C4133="Técnico III",35,IF(C4133="Técnico II",28,IF(C4133="Técnico I",23,IF(C4133="JR",20,IF(C4133="Estágio",10,0))))),IF(C4133="Técnico III",SUMIFS($D:$D,$A:$A,$A4133,$B:$B,"&lt;&gt;Patrícia Karla de Sousa Araújo",$B:$B,"&lt;&gt;Lorena Dias de Araujo",$B:$B,"&lt;&gt;Lucas Luiz Romero")*(35/1083),IF(C4133="Técnico II",SUMIFS($D:$D,$A:$A,$A4133,$B:$B,"&lt;&gt;Patrícia Karla de Sousa Araújo",$B:$B,"&lt;&gt;Lorena Dias de Araujo",$B:$B,"&lt;&gt;Lucas Luiz Romero")*(28/1083),IF(C4133="Técnico I",SUMIFS($D:$D,$A:$A,$A4133,$B:$B,"&lt;&gt;Patrícia Karla de Sousa Araújo",$B:$B,"&lt;&gt;Lorena Dias de Araujo",$B:$B,"&lt;&gt;Lucas Luiz Romero")*(23/1083),IF(C4133="JR",SUMIFS($D:$D,$A:$A,$A4133,$B:$B,"&lt;&gt;Patrícia Karla de Sousa Araújo",$B:$B,"&lt;&gt;Lorena Dias de Araujo",$B:$B,"&lt;&gt;Lucas Luiz Romero")*(20/1083),IF(C4133="Estágio",SUMIFS($D:$D,$A:$A,$A4133,$B:$B,"&lt;&gt;Patrícia Karla de Sousa Araújo",$B:$B,"&lt;&gt;Lorena Dias de Araujo",$B:$B,"&lt;&gt;Lucas Luiz Romero")*(10/1083),0)))))),0)</f>
        <v>21</v>
      </c>
      <c r="K4133" s="3">
        <f>I4133-J4133</f>
        <v>2</v>
      </c>
      <c r="L4133" s="3" t="str">
        <f>IF(K4133&lt;-5,"CRÍTICO",IF(K4133&lt;0,"ATENÇÃO",IF(K4133&lt;=5,"OPORTUNO","MUITO BOM")))</f>
        <v>OPORTUNO</v>
      </c>
      <c r="M4133">
        <v>24</v>
      </c>
      <c r="N4133">
        <v>99.26</v>
      </c>
      <c r="O4133">
        <v>29.766536964980549</v>
      </c>
    </row>
    <row r="4134" spans="1:15" hidden="1" x14ac:dyDescent="0.25">
      <c r="A4134" s="11">
        <v>46132</v>
      </c>
      <c r="B4134" t="s">
        <v>53</v>
      </c>
      <c r="C4134" t="s">
        <v>48</v>
      </c>
      <c r="D4134">
        <v>9</v>
      </c>
      <c r="E4134">
        <v>9</v>
      </c>
      <c r="F4134">
        <v>23.51</v>
      </c>
      <c r="G4134">
        <v>0</v>
      </c>
      <c r="H4134">
        <v>0</v>
      </c>
      <c r="I4134" s="3">
        <f>E4134+G4134+H4134</f>
        <v>9</v>
      </c>
      <c r="J4134" s="3">
        <f>ROUND(MIN(IF(C4134="Técnico III",35,IF(C4134="Técnico II",28,IF(C4134="Técnico I",23,IF(C4134="JR",20,IF(C4134="Estágio",10,0))))),IF(C4134="Técnico III",SUMIFS($D:$D,$A:$A,$A4134,$B:$B,"&lt;&gt;Patrícia Karla de Sousa Araújo",$B:$B,"&lt;&gt;Lorena Dias de Araujo",$B:$B,"&lt;&gt;Lucas Luiz Romero")*(35/1083),IF(C4134="Técnico II",SUMIFS($D:$D,$A:$A,$A4134,$B:$B,"&lt;&gt;Patrícia Karla de Sousa Araújo",$B:$B,"&lt;&gt;Lorena Dias de Araujo",$B:$B,"&lt;&gt;Lucas Luiz Romero")*(28/1083),IF(C4134="Técnico I",SUMIFS($D:$D,$A:$A,$A4134,$B:$B,"&lt;&gt;Patrícia Karla de Sousa Araújo",$B:$B,"&lt;&gt;Lorena Dias de Araujo",$B:$B,"&lt;&gt;Lucas Luiz Romero")*(23/1083),IF(C4134="JR",SUMIFS($D:$D,$A:$A,$A4134,$B:$B,"&lt;&gt;Patrícia Karla de Sousa Araújo",$B:$B,"&lt;&gt;Lorena Dias de Araujo",$B:$B,"&lt;&gt;Lucas Luiz Romero")*(20/1083),IF(C4134="Estágio",SUMIFS($D:$D,$A:$A,$A4134,$B:$B,"&lt;&gt;Patrícia Karla de Sousa Araújo",$B:$B,"&lt;&gt;Lorena Dias de Araujo",$B:$B,"&lt;&gt;Lucas Luiz Romero")*(10/1083),0)))))),0)</f>
        <v>16</v>
      </c>
      <c r="K4134" s="3">
        <f>I4134-J4134</f>
        <v>-7</v>
      </c>
      <c r="L4134" s="3" t="str">
        <f>IF(K4134&lt;-5,"CRÍTICO",IF(K4134&lt;0,"ATENÇÃO",IF(K4134&lt;=5,"OPORTUNO","MUITO BOM")))</f>
        <v>CRÍTICO</v>
      </c>
      <c r="M4134">
        <v>7</v>
      </c>
      <c r="N4134">
        <v>99.19</v>
      </c>
      <c r="O4134">
        <v>29.462365591397852</v>
      </c>
    </row>
    <row r="4135" spans="1:15" hidden="1" x14ac:dyDescent="0.25">
      <c r="A4135" s="7">
        <v>46161</v>
      </c>
      <c r="B4135" s="8" t="s">
        <v>47</v>
      </c>
      <c r="C4135" s="14" t="s">
        <v>48</v>
      </c>
      <c r="D4135" s="3">
        <v>38</v>
      </c>
      <c r="E4135" s="3">
        <v>33</v>
      </c>
      <c r="F4135" s="3">
        <v>12.17</v>
      </c>
      <c r="G4135" s="3">
        <v>1</v>
      </c>
      <c r="H4135" s="3">
        <v>0</v>
      </c>
      <c r="I4135" s="3">
        <f>E4135+G4135+H4135</f>
        <v>34</v>
      </c>
      <c r="J4135" s="3">
        <f>ROUND(MIN(IF(C4135="Técnico III",35,IF(C4135="Técnico II",28,IF(C4135="Técnico I",23,IF(C4135="JR",20,IF(C4135="Estágio",10,0))))),IF(C4135="Técnico III",SUMIFS($D:$D,$A:$A,$A4135,$B:$B,"&lt;&gt;Patrícia Karla de Sousa Araújo",$B:$B,"&lt;&gt;Lorena Dias de Araujo",$B:$B,"&lt;&gt;Lucas Luiz Romero")*(35/1083),IF(C4135="Técnico II",SUMIFS($D:$D,$A:$A,$A4135,$B:$B,"&lt;&gt;Patrícia Karla de Sousa Araújo",$B:$B,"&lt;&gt;Lorena Dias de Araujo",$B:$B,"&lt;&gt;Lucas Luiz Romero")*(28/1083),IF(C4135="Técnico I",SUMIFS($D:$D,$A:$A,$A4135,$B:$B,"&lt;&gt;Patrícia Karla de Sousa Araújo",$B:$B,"&lt;&gt;Lorena Dias de Araujo",$B:$B,"&lt;&gt;Lucas Luiz Romero")*(23/1083),IF(C4135="JR",SUMIFS($D:$D,$A:$A,$A4135,$B:$B,"&lt;&gt;Patrícia Karla de Sousa Araújo",$B:$B,"&lt;&gt;Lorena Dias de Araujo",$B:$B,"&lt;&gt;Lucas Luiz Romero")*(20/1083),IF(C4135="Estágio",SUMIFS($D:$D,$A:$A,$A4135,$B:$B,"&lt;&gt;Patrícia Karla de Sousa Araújo",$B:$B,"&lt;&gt;Lorena Dias de Araujo",$B:$B,"&lt;&gt;Lucas Luiz Romero")*(10/1083),0)))))),0)</f>
        <v>23</v>
      </c>
      <c r="K4135" s="3">
        <f>I4135-J4135</f>
        <v>11</v>
      </c>
      <c r="L4135" s="3" t="str">
        <f>IF(K4135&lt;-5,"CRÍTICO",IF(K4135&lt;0,"ATENÇÃO",IF(K4135&lt;=5,"OPORTUNO","MUITO BOM")))</f>
        <v>MUITO BOM</v>
      </c>
      <c r="M4135" s="3">
        <v>17</v>
      </c>
      <c r="N4135" s="3">
        <v>99.18</v>
      </c>
      <c r="O4135" s="3">
        <v>24.501424501424498</v>
      </c>
    </row>
    <row r="4136" spans="1:15" hidden="1" x14ac:dyDescent="0.25">
      <c r="A4136" s="11">
        <v>46132</v>
      </c>
      <c r="B4136" t="s">
        <v>54</v>
      </c>
      <c r="C4136" t="s">
        <v>48</v>
      </c>
      <c r="D4136">
        <v>0</v>
      </c>
      <c r="E4136">
        <v>0</v>
      </c>
      <c r="F4136">
        <v>0</v>
      </c>
      <c r="G4136">
        <v>0</v>
      </c>
      <c r="H4136">
        <v>0</v>
      </c>
      <c r="I4136" s="3">
        <v>0</v>
      </c>
      <c r="J4136" s="3">
        <v>0</v>
      </c>
      <c r="K4136" s="3">
        <v>0</v>
      </c>
      <c r="L4136" s="3" t="str">
        <f>IF(K4136&lt;-5,"CRÍTICO",IF(K4136&lt;0,"ATENÇÃO",IF(K4136&lt;=5,"OPORTUNO","MUITO BOM")))</f>
        <v>OPORTUNO</v>
      </c>
      <c r="M4136">
        <v>0</v>
      </c>
      <c r="N4136">
        <v>100</v>
      </c>
      <c r="O4136">
        <v>28.921568627450981</v>
      </c>
    </row>
    <row r="4137" spans="1:15" hidden="1" x14ac:dyDescent="0.25">
      <c r="A4137" s="11">
        <v>46132</v>
      </c>
      <c r="B4137" t="s">
        <v>37</v>
      </c>
      <c r="C4137" t="s">
        <v>32</v>
      </c>
      <c r="D4137">
        <v>30</v>
      </c>
      <c r="E4137">
        <v>30</v>
      </c>
      <c r="F4137">
        <v>13.56</v>
      </c>
      <c r="G4137">
        <v>0</v>
      </c>
      <c r="H4137">
        <v>0</v>
      </c>
      <c r="I4137" s="3">
        <f>E4137+G4137+H4137</f>
        <v>30</v>
      </c>
      <c r="J4137" s="3">
        <f>ROUND(MIN(IF(C4137="Técnico III",35,IF(C4137="Técnico II",28,IF(C4137="Técnico I",23,IF(C4137="JR",20,IF(C4137="Estágio",10,0))))),IF(C4137="Técnico III",SUMIFS($D:$D,$A:$A,$A4137,$B:$B,"&lt;&gt;Patrícia Karla de Sousa Araújo",$B:$B,"&lt;&gt;Lorena Dias de Araujo",$B:$B,"&lt;&gt;Lucas Luiz Romero")*(35/1083),IF(C4137="Técnico II",SUMIFS($D:$D,$A:$A,$A4137,$B:$B,"&lt;&gt;Patrícia Karla de Sousa Araújo",$B:$B,"&lt;&gt;Lorena Dias de Araujo",$B:$B,"&lt;&gt;Lucas Luiz Romero")*(28/1083),IF(C4137="Técnico I",SUMIFS($D:$D,$A:$A,$A4137,$B:$B,"&lt;&gt;Patrícia Karla de Sousa Araújo",$B:$B,"&lt;&gt;Lorena Dias de Araujo",$B:$B,"&lt;&gt;Lucas Luiz Romero")*(23/1083),IF(C4137="JR",SUMIFS($D:$D,$A:$A,$A4137,$B:$B,"&lt;&gt;Patrícia Karla de Sousa Araújo",$B:$B,"&lt;&gt;Lorena Dias de Araujo",$B:$B,"&lt;&gt;Lucas Luiz Romero")*(20/1083),IF(C4137="Estágio",SUMIFS($D:$D,$A:$A,$A4137,$B:$B,"&lt;&gt;Patrícia Karla de Sousa Araújo",$B:$B,"&lt;&gt;Lorena Dias de Araujo",$B:$B,"&lt;&gt;Lucas Luiz Romero")*(10/1083),0)))))),0)</f>
        <v>21</v>
      </c>
      <c r="K4137" s="3">
        <f>I4137-J4137</f>
        <v>9</v>
      </c>
      <c r="L4137" s="3" t="str">
        <f>IF(K4137&lt;-5,"CRÍTICO",IF(K4137&lt;0,"ATENÇÃO",IF(K4137&lt;=5,"OPORTUNO","MUITO BOM")))</f>
        <v>MUITO BOM</v>
      </c>
      <c r="M4137">
        <v>27</v>
      </c>
      <c r="N4137">
        <v>99.57</v>
      </c>
      <c r="O4137">
        <v>30.635838150289018</v>
      </c>
    </row>
    <row r="4138" spans="1:15" hidden="1" x14ac:dyDescent="0.25">
      <c r="A4138" s="11">
        <v>46132</v>
      </c>
      <c r="B4138" t="s">
        <v>38</v>
      </c>
      <c r="C4138" t="s">
        <v>32</v>
      </c>
      <c r="D4138">
        <v>0</v>
      </c>
      <c r="E4138">
        <v>0</v>
      </c>
      <c r="F4138">
        <v>0</v>
      </c>
      <c r="G4138">
        <v>0</v>
      </c>
      <c r="H4138">
        <v>0</v>
      </c>
      <c r="I4138" s="3">
        <v>0</v>
      </c>
      <c r="J4138" s="3">
        <v>0</v>
      </c>
      <c r="K4138" s="3">
        <v>0</v>
      </c>
      <c r="L4138" s="3" t="str">
        <f>IF(K4138&lt;-5,"CRÍTICO",IF(K4138&lt;0,"ATENÇÃO",IF(K4138&lt;=5,"OPORTUNO","MUITO BOM")))</f>
        <v>OPORTUNO</v>
      </c>
      <c r="M4138">
        <v>0</v>
      </c>
      <c r="N4138">
        <v>95.65</v>
      </c>
      <c r="O4138">
        <v>32.432432432432442</v>
      </c>
    </row>
    <row r="4139" spans="1:15" hidden="1" x14ac:dyDescent="0.25">
      <c r="A4139" s="11">
        <v>46132</v>
      </c>
      <c r="B4139" t="s">
        <v>55</v>
      </c>
      <c r="C4139" t="s">
        <v>48</v>
      </c>
      <c r="D4139">
        <v>28</v>
      </c>
      <c r="E4139">
        <v>23</v>
      </c>
      <c r="F4139">
        <v>16.489999999999998</v>
      </c>
      <c r="G4139">
        <v>0</v>
      </c>
      <c r="H4139">
        <v>0</v>
      </c>
      <c r="I4139" s="3">
        <f>E4139+G4139+H4139</f>
        <v>23</v>
      </c>
      <c r="J4139" s="3">
        <f>ROUND(MIN(IF(C4139="Técnico III",35,IF(C4139="Técnico II",28,IF(C4139="Técnico I",23,IF(C4139="JR",20,IF(C4139="Estágio",10,0))))),IF(C4139="Técnico III",SUMIFS($D:$D,$A:$A,$A4139,$B:$B,"&lt;&gt;Patrícia Karla de Sousa Araújo",$B:$B,"&lt;&gt;Lorena Dias de Araujo",$B:$B,"&lt;&gt;Lucas Luiz Romero")*(35/1083),IF(C4139="Técnico II",SUMIFS($D:$D,$A:$A,$A4139,$B:$B,"&lt;&gt;Patrícia Karla de Sousa Araújo",$B:$B,"&lt;&gt;Lorena Dias de Araujo",$B:$B,"&lt;&gt;Lucas Luiz Romero")*(28/1083),IF(C4139="Técnico I",SUMIFS($D:$D,$A:$A,$A4139,$B:$B,"&lt;&gt;Patrícia Karla de Sousa Araújo",$B:$B,"&lt;&gt;Lorena Dias de Araujo",$B:$B,"&lt;&gt;Lucas Luiz Romero")*(23/1083),IF(C4139="JR",SUMIFS($D:$D,$A:$A,$A4139,$B:$B,"&lt;&gt;Patrícia Karla de Sousa Araújo",$B:$B,"&lt;&gt;Lorena Dias de Araujo",$B:$B,"&lt;&gt;Lucas Luiz Romero")*(20/1083),IF(C4139="Estágio",SUMIFS($D:$D,$A:$A,$A4139,$B:$B,"&lt;&gt;Patrícia Karla de Sousa Araújo",$B:$B,"&lt;&gt;Lorena Dias de Araujo",$B:$B,"&lt;&gt;Lucas Luiz Romero")*(10/1083),0)))))),0)</f>
        <v>16</v>
      </c>
      <c r="K4139" s="3">
        <f>I4139-J4139</f>
        <v>7</v>
      </c>
      <c r="L4139" s="3" t="str">
        <f>IF(K4139&lt;-5,"CRÍTICO",IF(K4139&lt;0,"ATENÇÃO",IF(K4139&lt;=5,"OPORTUNO","MUITO BOM")))</f>
        <v>MUITO BOM</v>
      </c>
      <c r="M4139">
        <v>19</v>
      </c>
      <c r="N4139">
        <v>98.81</v>
      </c>
      <c r="O4139">
        <v>26.256983240223459</v>
      </c>
    </row>
    <row r="4140" spans="1:15" hidden="1" x14ac:dyDescent="0.25">
      <c r="A4140" s="11">
        <v>46132</v>
      </c>
      <c r="B4140" t="s">
        <v>39</v>
      </c>
      <c r="C4140" t="s">
        <v>32</v>
      </c>
      <c r="D4140">
        <v>0</v>
      </c>
      <c r="E4140">
        <v>0</v>
      </c>
      <c r="F4140">
        <v>0</v>
      </c>
      <c r="G4140">
        <v>0</v>
      </c>
      <c r="H4140">
        <v>0</v>
      </c>
      <c r="I4140" s="3">
        <v>0</v>
      </c>
      <c r="J4140" s="3">
        <v>0</v>
      </c>
      <c r="K4140" s="3">
        <v>0</v>
      </c>
      <c r="L4140" s="3" t="str">
        <f>IF(K4140&lt;-5,"CRÍTICO",IF(K4140&lt;0,"ATENÇÃO",IF(K4140&lt;=5,"OPORTUNO","MUITO BOM")))</f>
        <v>OPORTUNO</v>
      </c>
      <c r="M4140">
        <v>0</v>
      </c>
      <c r="N4140">
        <v>0</v>
      </c>
      <c r="O4140">
        <v>0</v>
      </c>
    </row>
    <row r="4141" spans="1:15" hidden="1" x14ac:dyDescent="0.25">
      <c r="A4141" s="11">
        <v>46132</v>
      </c>
      <c r="B4141" t="s">
        <v>25</v>
      </c>
      <c r="C4141" t="s">
        <v>26</v>
      </c>
      <c r="D4141">
        <v>6</v>
      </c>
      <c r="E4141">
        <v>6</v>
      </c>
      <c r="F4141">
        <v>24.11</v>
      </c>
      <c r="G4141">
        <v>0</v>
      </c>
      <c r="H4141">
        <v>0</v>
      </c>
      <c r="I4141" s="3">
        <f>E4141+G4141+H4141</f>
        <v>6</v>
      </c>
      <c r="J4141" s="3">
        <f>ROUND(MIN(IF(C4141="Técnico III",35,IF(C4141="Técnico II",28,IF(C4141="Técnico I",23,IF(C4141="JR",20,IF(C4141="Estágio",10,0))))),IF(C4141="Técnico III",SUMIFS($D:$D,$A:$A,$A4141,$B:$B,"&lt;&gt;Patrícia Karla de Sousa Araújo",$B:$B,"&lt;&gt;Lorena Dias de Araujo",$B:$B,"&lt;&gt;Lucas Luiz Romero")*(35/1083),IF(C4141="Técnico II",SUMIFS($D:$D,$A:$A,$A4141,$B:$B,"&lt;&gt;Patrícia Karla de Sousa Araújo",$B:$B,"&lt;&gt;Lorena Dias de Araujo",$B:$B,"&lt;&gt;Lucas Luiz Romero")*(28/1083),IF(C4141="Técnico I",SUMIFS($D:$D,$A:$A,$A4141,$B:$B,"&lt;&gt;Patrícia Karla de Sousa Araújo",$B:$B,"&lt;&gt;Lorena Dias de Araujo",$B:$B,"&lt;&gt;Lucas Luiz Romero")*(23/1083),IF(C4141="JR",SUMIFS($D:$D,$A:$A,$A4141,$B:$B,"&lt;&gt;Patrícia Karla de Sousa Araújo",$B:$B,"&lt;&gt;Lorena Dias de Araujo",$B:$B,"&lt;&gt;Lucas Luiz Romero")*(20/1083),IF(C4141="Estágio",SUMIFS($D:$D,$A:$A,$A4141,$B:$B,"&lt;&gt;Patrícia Karla de Sousa Araújo",$B:$B,"&lt;&gt;Lorena Dias de Araujo",$B:$B,"&lt;&gt;Lucas Luiz Romero")*(10/1083),0)))))),0)</f>
        <v>12</v>
      </c>
      <c r="K4141" s="3">
        <f>I4141-J4141</f>
        <v>-6</v>
      </c>
      <c r="L4141" s="3" t="str">
        <f>IF(K4141&lt;-5,"CRÍTICO",IF(K4141&lt;0,"ATENÇÃO",IF(K4141&lt;=5,"OPORTUNO","MUITO BOM")))</f>
        <v>CRÍTICO</v>
      </c>
      <c r="M4141">
        <v>5</v>
      </c>
      <c r="N4141">
        <v>97.17</v>
      </c>
      <c r="O4141">
        <v>28.81844380403458</v>
      </c>
    </row>
    <row r="4142" spans="1:15" hidden="1" x14ac:dyDescent="0.25">
      <c r="A4142" s="11">
        <v>46132</v>
      </c>
      <c r="B4142" t="s">
        <v>40</v>
      </c>
      <c r="C4142" t="s">
        <v>32</v>
      </c>
      <c r="D4142">
        <v>0</v>
      </c>
      <c r="E4142">
        <v>0</v>
      </c>
      <c r="F4142">
        <v>0</v>
      </c>
      <c r="G4142">
        <v>0</v>
      </c>
      <c r="H4142">
        <v>0</v>
      </c>
      <c r="I4142" s="3">
        <v>0</v>
      </c>
      <c r="J4142" s="3">
        <v>0</v>
      </c>
      <c r="K4142" s="3">
        <v>0</v>
      </c>
      <c r="L4142" s="3" t="str">
        <f>IF(K4142&lt;-5,"CRÍTICO",IF(K4142&lt;0,"ATENÇÃO",IF(K4142&lt;=5,"OPORTUNO","MUITO BOM")))</f>
        <v>OPORTUNO</v>
      </c>
      <c r="M4142">
        <v>17</v>
      </c>
      <c r="N4142">
        <v>96.81</v>
      </c>
      <c r="O4142">
        <v>48.018648018648022</v>
      </c>
    </row>
    <row r="4143" spans="1:15" hidden="1" x14ac:dyDescent="0.25">
      <c r="A4143" s="11">
        <v>46132</v>
      </c>
      <c r="B4143" t="s">
        <v>27</v>
      </c>
      <c r="C4143" t="s">
        <v>26</v>
      </c>
      <c r="D4143">
        <v>8</v>
      </c>
      <c r="E4143">
        <v>8</v>
      </c>
      <c r="F4143">
        <v>22.12</v>
      </c>
      <c r="G4143">
        <v>0</v>
      </c>
      <c r="H4143">
        <v>0</v>
      </c>
      <c r="I4143" s="3">
        <f>E4143+G4143+H4143</f>
        <v>8</v>
      </c>
      <c r="J4143" s="3">
        <f>ROUND(MIN(IF(C4143="Técnico III",35,IF(C4143="Técnico II",28,IF(C4143="Técnico I",23,IF(C4143="JR",20,IF(C4143="Estágio",10,0))))),IF(C4143="Técnico III",SUMIFS($D:$D,$A:$A,$A4143,$B:$B,"&lt;&gt;Patrícia Karla de Sousa Araújo",$B:$B,"&lt;&gt;Lorena Dias de Araujo",$B:$B,"&lt;&gt;Lucas Luiz Romero")*(35/1083),IF(C4143="Técnico II",SUMIFS($D:$D,$A:$A,$A4143,$B:$B,"&lt;&gt;Patrícia Karla de Sousa Araújo",$B:$B,"&lt;&gt;Lorena Dias de Araujo",$B:$B,"&lt;&gt;Lucas Luiz Romero")*(28/1083),IF(C4143="Técnico I",SUMIFS($D:$D,$A:$A,$A4143,$B:$B,"&lt;&gt;Patrícia Karla de Sousa Araújo",$B:$B,"&lt;&gt;Lorena Dias de Araujo",$B:$B,"&lt;&gt;Lucas Luiz Romero")*(23/1083),IF(C4143="JR",SUMIFS($D:$D,$A:$A,$A4143,$B:$B,"&lt;&gt;Patrícia Karla de Sousa Araújo",$B:$B,"&lt;&gt;Lorena Dias de Araujo",$B:$B,"&lt;&gt;Lucas Luiz Romero")*(20/1083),IF(C4143="Estágio",SUMIFS($D:$D,$A:$A,$A4143,$B:$B,"&lt;&gt;Patrícia Karla de Sousa Araújo",$B:$B,"&lt;&gt;Lorena Dias de Araujo",$B:$B,"&lt;&gt;Lucas Luiz Romero")*(10/1083),0)))))),0)</f>
        <v>12</v>
      </c>
      <c r="K4143" s="3">
        <f>I4143-J4143</f>
        <v>-4</v>
      </c>
      <c r="L4143" s="3" t="str">
        <f>IF(K4143&lt;-5,"CRÍTICO",IF(K4143&lt;0,"ATENÇÃO",IF(K4143&lt;=5,"OPORTUNO","MUITO BOM")))</f>
        <v>ATENÇÃO</v>
      </c>
      <c r="M4143">
        <v>6</v>
      </c>
      <c r="N4143">
        <v>98.15</v>
      </c>
      <c r="O4143">
        <v>27.1551724137931</v>
      </c>
    </row>
    <row r="4144" spans="1:15" hidden="1" x14ac:dyDescent="0.25">
      <c r="A4144" s="11">
        <v>46132</v>
      </c>
      <c r="B4144" t="s">
        <v>41</v>
      </c>
      <c r="C4144" t="s">
        <v>32</v>
      </c>
      <c r="D4144">
        <v>27</v>
      </c>
      <c r="E4144">
        <v>23</v>
      </c>
      <c r="F4144">
        <v>16.420000000000002</v>
      </c>
      <c r="G4144">
        <v>0</v>
      </c>
      <c r="H4144">
        <v>0</v>
      </c>
      <c r="I4144" s="3">
        <f>E4144+G4144+H4144</f>
        <v>23</v>
      </c>
      <c r="J4144" s="3">
        <f>ROUND(MIN(IF(C4144="Técnico III",35,IF(C4144="Técnico II",28,IF(C4144="Técnico I",23,IF(C4144="JR",20,IF(C4144="Estágio",10,0))))),IF(C4144="Técnico III",SUMIFS($D:$D,$A:$A,$A4144,$B:$B,"&lt;&gt;Patrícia Karla de Sousa Araújo",$B:$B,"&lt;&gt;Lorena Dias de Araujo",$B:$B,"&lt;&gt;Lucas Luiz Romero")*(35/1083),IF(C4144="Técnico II",SUMIFS($D:$D,$A:$A,$A4144,$B:$B,"&lt;&gt;Patrícia Karla de Sousa Araújo",$B:$B,"&lt;&gt;Lorena Dias de Araujo",$B:$B,"&lt;&gt;Lucas Luiz Romero")*(28/1083),IF(C4144="Técnico I",SUMIFS($D:$D,$A:$A,$A4144,$B:$B,"&lt;&gt;Patrícia Karla de Sousa Araújo",$B:$B,"&lt;&gt;Lorena Dias de Araujo",$B:$B,"&lt;&gt;Lucas Luiz Romero")*(23/1083),IF(C4144="JR",SUMIFS($D:$D,$A:$A,$A4144,$B:$B,"&lt;&gt;Patrícia Karla de Sousa Araújo",$B:$B,"&lt;&gt;Lorena Dias de Araujo",$B:$B,"&lt;&gt;Lucas Luiz Romero")*(20/1083),IF(C4144="Estágio",SUMIFS($D:$D,$A:$A,$A4144,$B:$B,"&lt;&gt;Patrícia Karla de Sousa Araújo",$B:$B,"&lt;&gt;Lorena Dias de Araujo",$B:$B,"&lt;&gt;Lucas Luiz Romero")*(10/1083),0)))))),0)</f>
        <v>21</v>
      </c>
      <c r="K4144" s="3">
        <f>I4144-J4144</f>
        <v>2</v>
      </c>
      <c r="L4144" s="3" t="str">
        <f>IF(K4144&lt;-5,"CRÍTICO",IF(K4144&lt;0,"ATENÇÃO",IF(K4144&lt;=5,"OPORTUNO","MUITO BOM")))</f>
        <v>OPORTUNO</v>
      </c>
      <c r="M4144">
        <v>22</v>
      </c>
      <c r="N4144">
        <v>99.15</v>
      </c>
      <c r="O4144">
        <v>27.586206896551719</v>
      </c>
    </row>
    <row r="4145" spans="1:15" hidden="1" x14ac:dyDescent="0.25">
      <c r="A4145" s="11">
        <v>46132</v>
      </c>
      <c r="B4145" t="s">
        <v>56</v>
      </c>
      <c r="C4145" t="s">
        <v>48</v>
      </c>
      <c r="D4145">
        <v>19</v>
      </c>
      <c r="E4145">
        <v>19</v>
      </c>
      <c r="F4145">
        <v>20.49</v>
      </c>
      <c r="G4145">
        <v>0</v>
      </c>
      <c r="H4145">
        <v>0</v>
      </c>
      <c r="I4145" s="3">
        <f>E4145+G4145+H4145</f>
        <v>19</v>
      </c>
      <c r="J4145" s="3">
        <f>ROUND(MIN(IF(C4145="Técnico III",35,IF(C4145="Técnico II",28,IF(C4145="Técnico I",23,IF(C4145="JR",20,IF(C4145="Estágio",10,0))))),IF(C4145="Técnico III",SUMIFS($D:$D,$A:$A,$A4145,$B:$B,"&lt;&gt;Patrícia Karla de Sousa Araújo",$B:$B,"&lt;&gt;Lorena Dias de Araujo",$B:$B,"&lt;&gt;Lucas Luiz Romero")*(35/1083),IF(C4145="Técnico II",SUMIFS($D:$D,$A:$A,$A4145,$B:$B,"&lt;&gt;Patrícia Karla de Sousa Araújo",$B:$B,"&lt;&gt;Lorena Dias de Araujo",$B:$B,"&lt;&gt;Lucas Luiz Romero")*(28/1083),IF(C4145="Técnico I",SUMIFS($D:$D,$A:$A,$A4145,$B:$B,"&lt;&gt;Patrícia Karla de Sousa Araújo",$B:$B,"&lt;&gt;Lorena Dias de Araujo",$B:$B,"&lt;&gt;Lucas Luiz Romero")*(23/1083),IF(C4145="JR",SUMIFS($D:$D,$A:$A,$A4145,$B:$B,"&lt;&gt;Patrícia Karla de Sousa Araújo",$B:$B,"&lt;&gt;Lorena Dias de Araujo",$B:$B,"&lt;&gt;Lucas Luiz Romero")*(20/1083),IF(C4145="Estágio",SUMIFS($D:$D,$A:$A,$A4145,$B:$B,"&lt;&gt;Patrícia Karla de Sousa Araújo",$B:$B,"&lt;&gt;Lorena Dias de Araujo",$B:$B,"&lt;&gt;Lucas Luiz Romero")*(10/1083),0)))))),0)</f>
        <v>16</v>
      </c>
      <c r="K4145" s="3">
        <f>I4145-J4145</f>
        <v>3</v>
      </c>
      <c r="L4145" s="3" t="str">
        <f>IF(K4145&lt;-5,"CRÍTICO",IF(K4145&lt;0,"ATENÇÃO",IF(K4145&lt;=5,"OPORTUNO","MUITO BOM")))</f>
        <v>OPORTUNO</v>
      </c>
      <c r="M4145">
        <v>9</v>
      </c>
      <c r="N4145">
        <v>99.17</v>
      </c>
      <c r="O4145">
        <v>29.75206611570248</v>
      </c>
    </row>
    <row r="4146" spans="1:15" hidden="1" x14ac:dyDescent="0.25">
      <c r="A4146" s="11">
        <v>46132</v>
      </c>
      <c r="B4146" t="s">
        <v>57</v>
      </c>
      <c r="C4146" t="s">
        <v>48</v>
      </c>
      <c r="D4146">
        <v>0</v>
      </c>
      <c r="E4146">
        <v>0</v>
      </c>
      <c r="F4146">
        <v>0</v>
      </c>
      <c r="G4146">
        <v>0</v>
      </c>
      <c r="H4146">
        <v>0</v>
      </c>
      <c r="I4146" s="3">
        <v>0</v>
      </c>
      <c r="J4146" s="3">
        <v>0</v>
      </c>
      <c r="K4146" s="3">
        <v>0</v>
      </c>
      <c r="L4146" s="3" t="str">
        <f>IF(K4146&lt;-5,"CRÍTICO",IF(K4146&lt;0,"ATENÇÃO",IF(K4146&lt;=5,"OPORTUNO","MUITO BOM")))</f>
        <v>OPORTUNO</v>
      </c>
      <c r="M4146">
        <v>0</v>
      </c>
      <c r="N4146">
        <v>98.73</v>
      </c>
      <c r="O4146">
        <v>28.961748633879779</v>
      </c>
    </row>
    <row r="4147" spans="1:15" hidden="1" x14ac:dyDescent="0.25">
      <c r="A4147" s="11">
        <v>46132</v>
      </c>
      <c r="B4147" t="s">
        <v>42</v>
      </c>
      <c r="C4147" t="s">
        <v>32</v>
      </c>
      <c r="D4147">
        <v>0</v>
      </c>
      <c r="E4147">
        <v>0</v>
      </c>
      <c r="F4147">
        <v>0</v>
      </c>
      <c r="G4147">
        <v>0</v>
      </c>
      <c r="H4147">
        <v>0</v>
      </c>
      <c r="I4147" s="3">
        <v>0</v>
      </c>
      <c r="J4147" s="3">
        <v>0</v>
      </c>
      <c r="K4147" s="3">
        <v>0</v>
      </c>
      <c r="L4147" s="3" t="str">
        <f>IF(K4147&lt;-5,"CRÍTICO",IF(K4147&lt;0,"ATENÇÃO",IF(K4147&lt;=5,"OPORTUNO","MUITO BOM")))</f>
        <v>OPORTUNO</v>
      </c>
      <c r="M4147">
        <v>0</v>
      </c>
      <c r="N4147">
        <v>88.68</v>
      </c>
      <c r="O4147">
        <v>22.03389830508474</v>
      </c>
    </row>
    <row r="4148" spans="1:15" hidden="1" x14ac:dyDescent="0.25">
      <c r="A4148" s="11">
        <v>46132</v>
      </c>
      <c r="B4148" t="s">
        <v>62</v>
      </c>
      <c r="C4148" t="s">
        <v>23</v>
      </c>
      <c r="D4148">
        <v>13</v>
      </c>
      <c r="E4148">
        <v>11</v>
      </c>
      <c r="F4148">
        <v>18.36</v>
      </c>
      <c r="G4148">
        <v>0</v>
      </c>
      <c r="H4148">
        <v>0</v>
      </c>
      <c r="I4148" s="3">
        <f>E4148+G4148+H4148</f>
        <v>11</v>
      </c>
      <c r="J4148" s="3">
        <f>ROUND(MIN(IF(C4148="Técnico III",35,IF(C4148="Técnico II",28,IF(C4148="Técnico I",23,IF(C4148="JR",20,IF(C4148="Estágio",10,0))))),IF(C4148="Técnico III",SUMIFS($D:$D,$A:$A,$A4148,$B:$B,"&lt;&gt;Patrícia Karla de Sousa Araújo",$B:$B,"&lt;&gt;Lorena Dias de Araujo",$B:$B,"&lt;&gt;Lucas Luiz Romero")*(35/1083),IF(C4148="Técnico II",SUMIFS($D:$D,$A:$A,$A4148,$B:$B,"&lt;&gt;Patrícia Karla de Sousa Araújo",$B:$B,"&lt;&gt;Lorena Dias de Araujo",$B:$B,"&lt;&gt;Lucas Luiz Romero")*(28/1083),IF(C4148="Técnico I",SUMIFS($D:$D,$A:$A,$A4148,$B:$B,"&lt;&gt;Patrícia Karla de Sousa Araújo",$B:$B,"&lt;&gt;Lorena Dias de Araujo",$B:$B,"&lt;&gt;Lucas Luiz Romero")*(23/1083),IF(C4148="JR",SUMIFS($D:$D,$A:$A,$A4148,$B:$B,"&lt;&gt;Patrícia Karla de Sousa Araújo",$B:$B,"&lt;&gt;Lorena Dias de Araujo",$B:$B,"&lt;&gt;Lucas Luiz Romero")*(20/1083),IF(C4148="Estágio",SUMIFS($D:$D,$A:$A,$A4148,$B:$B,"&lt;&gt;Patrícia Karla de Sousa Araújo",$B:$B,"&lt;&gt;Lorena Dias de Araujo",$B:$B,"&lt;&gt;Lucas Luiz Romero")*(10/1083),0)))))),0)</f>
        <v>14</v>
      </c>
      <c r="K4148" s="3">
        <f>I4148-J4148</f>
        <v>-3</v>
      </c>
      <c r="L4148" s="3" t="str">
        <f>IF(K4148&lt;-5,"CRÍTICO",IF(K4148&lt;0,"ATENÇÃO",IF(K4148&lt;=5,"OPORTUNO","MUITO BOM")))</f>
        <v>ATENÇÃO</v>
      </c>
      <c r="M4148">
        <v>13</v>
      </c>
      <c r="N4148">
        <v>97.37</v>
      </c>
      <c r="O4148">
        <v>25.76530612244898</v>
      </c>
    </row>
    <row r="4149" spans="1:15" hidden="1" x14ac:dyDescent="0.25">
      <c r="A4149" s="11">
        <v>46132</v>
      </c>
      <c r="B4149" t="s">
        <v>19</v>
      </c>
      <c r="C4149" t="s">
        <v>16</v>
      </c>
      <c r="D4149">
        <v>10</v>
      </c>
      <c r="E4149">
        <v>10</v>
      </c>
      <c r="F4149">
        <v>25.55</v>
      </c>
      <c r="G4149">
        <v>0</v>
      </c>
      <c r="H4149">
        <v>0</v>
      </c>
      <c r="I4149" s="3">
        <f>E4149+G4149+H4149</f>
        <v>10</v>
      </c>
      <c r="J4149" s="3">
        <f>ROUND(MIN(IF(C4149="Técnico III",35,IF(C4149="Técnico II",28,IF(C4149="Técnico I",23,IF(C4149="JR",20,IF(C4149="Estágio",10,0))))),IF(C4149="Técnico III",SUMIFS($D:$D,$A:$A,$A4149,$B:$B,"&lt;&gt;Patrícia Karla de Sousa Araújo",$B:$B,"&lt;&gt;Lorena Dias de Araujo",$B:$B,"&lt;&gt;Lucas Luiz Romero")*(35/1083),IF(C4149="Técnico II",SUMIFS($D:$D,$A:$A,$A4149,$B:$B,"&lt;&gt;Patrícia Karla de Sousa Araújo",$B:$B,"&lt;&gt;Lorena Dias de Araujo",$B:$B,"&lt;&gt;Lucas Luiz Romero")*(28/1083),IF(C4149="Técnico I",SUMIFS($D:$D,$A:$A,$A4149,$B:$B,"&lt;&gt;Patrícia Karla de Sousa Araújo",$B:$B,"&lt;&gt;Lorena Dias de Araujo",$B:$B,"&lt;&gt;Lucas Luiz Romero")*(23/1083),IF(C4149="JR",SUMIFS($D:$D,$A:$A,$A4149,$B:$B,"&lt;&gt;Patrícia Karla de Sousa Araújo",$B:$B,"&lt;&gt;Lorena Dias de Araujo",$B:$B,"&lt;&gt;Lucas Luiz Romero")*(20/1083),IF(C4149="Estágio",SUMIFS($D:$D,$A:$A,$A4149,$B:$B,"&lt;&gt;Patrícia Karla de Sousa Araújo",$B:$B,"&lt;&gt;Lorena Dias de Araujo",$B:$B,"&lt;&gt;Lucas Luiz Romero")*(10/1083),0)))))),0)</f>
        <v>6</v>
      </c>
      <c r="K4149" s="3">
        <f>I4149-J4149</f>
        <v>4</v>
      </c>
      <c r="L4149" s="3" t="str">
        <f>IF(K4149&lt;-5,"CRÍTICO",IF(K4149&lt;0,"ATENÇÃO",IF(K4149&lt;=5,"OPORTUNO","MUITO BOM")))</f>
        <v>OPORTUNO</v>
      </c>
      <c r="M4149">
        <v>8</v>
      </c>
      <c r="N4149">
        <v>100</v>
      </c>
      <c r="O4149">
        <v>25</v>
      </c>
    </row>
    <row r="4150" spans="1:15" hidden="1" x14ac:dyDescent="0.25">
      <c r="A4150" s="11">
        <v>46132</v>
      </c>
      <c r="B4150" t="s">
        <v>43</v>
      </c>
      <c r="C4150" t="s">
        <v>32</v>
      </c>
      <c r="D4150">
        <v>23</v>
      </c>
      <c r="E4150">
        <v>21</v>
      </c>
      <c r="F4150">
        <v>14.14</v>
      </c>
      <c r="G4150">
        <v>0</v>
      </c>
      <c r="H4150">
        <v>0</v>
      </c>
      <c r="I4150" s="3">
        <f>E4150+G4150+H4150</f>
        <v>21</v>
      </c>
      <c r="J4150" s="3">
        <f>ROUND(MIN(IF(C4150="Técnico III",35,IF(C4150="Técnico II",28,IF(C4150="Técnico I",23,IF(C4150="JR",20,IF(C4150="Estágio",10,0))))),IF(C4150="Técnico III",SUMIFS($D:$D,$A:$A,$A4150,$B:$B,"&lt;&gt;Patrícia Karla de Sousa Araújo",$B:$B,"&lt;&gt;Lorena Dias de Araujo",$B:$B,"&lt;&gt;Lucas Luiz Romero")*(35/1083),IF(C4150="Técnico II",SUMIFS($D:$D,$A:$A,$A4150,$B:$B,"&lt;&gt;Patrícia Karla de Sousa Araújo",$B:$B,"&lt;&gt;Lorena Dias de Araujo",$B:$B,"&lt;&gt;Lucas Luiz Romero")*(28/1083),IF(C4150="Técnico I",SUMIFS($D:$D,$A:$A,$A4150,$B:$B,"&lt;&gt;Patrícia Karla de Sousa Araújo",$B:$B,"&lt;&gt;Lorena Dias de Araujo",$B:$B,"&lt;&gt;Lucas Luiz Romero")*(23/1083),IF(C4150="JR",SUMIFS($D:$D,$A:$A,$A4150,$B:$B,"&lt;&gt;Patrícia Karla de Sousa Araújo",$B:$B,"&lt;&gt;Lorena Dias de Araujo",$B:$B,"&lt;&gt;Lucas Luiz Romero")*(20/1083),IF(C4150="Estágio",SUMIFS($D:$D,$A:$A,$A4150,$B:$B,"&lt;&gt;Patrícia Karla de Sousa Araújo",$B:$B,"&lt;&gt;Lorena Dias de Araujo",$B:$B,"&lt;&gt;Lucas Luiz Romero")*(10/1083),0)))))),0)</f>
        <v>21</v>
      </c>
      <c r="K4150" s="3">
        <f>I4150-J4150</f>
        <v>0</v>
      </c>
      <c r="L4150" s="3" t="str">
        <f>IF(K4150&lt;-5,"CRÍTICO",IF(K4150&lt;0,"ATENÇÃO",IF(K4150&lt;=5,"OPORTUNO","MUITO BOM")))</f>
        <v>OPORTUNO</v>
      </c>
      <c r="M4150">
        <v>23</v>
      </c>
      <c r="N4150">
        <v>100</v>
      </c>
      <c r="O4150">
        <v>23.9870340356564</v>
      </c>
    </row>
    <row r="4151" spans="1:15" hidden="1" x14ac:dyDescent="0.25">
      <c r="A4151" s="11">
        <v>46132</v>
      </c>
      <c r="B4151" t="s">
        <v>44</v>
      </c>
      <c r="C4151" t="s">
        <v>32</v>
      </c>
      <c r="D4151">
        <v>27</v>
      </c>
      <c r="E4151">
        <v>26</v>
      </c>
      <c r="F4151">
        <v>15.38</v>
      </c>
      <c r="G4151">
        <v>0</v>
      </c>
      <c r="H4151">
        <v>0</v>
      </c>
      <c r="I4151" s="3">
        <f>E4151+G4151+H4151</f>
        <v>26</v>
      </c>
      <c r="J4151" s="3">
        <f>ROUND(MIN(IF(C4151="Técnico III",35,IF(C4151="Técnico II",28,IF(C4151="Técnico I",23,IF(C4151="JR",20,IF(C4151="Estágio",10,0))))),IF(C4151="Técnico III",SUMIFS($D:$D,$A:$A,$A4151,$B:$B,"&lt;&gt;Patrícia Karla de Sousa Araújo",$B:$B,"&lt;&gt;Lorena Dias de Araujo",$B:$B,"&lt;&gt;Lucas Luiz Romero")*(35/1083),IF(C4151="Técnico II",SUMIFS($D:$D,$A:$A,$A4151,$B:$B,"&lt;&gt;Patrícia Karla de Sousa Araújo",$B:$B,"&lt;&gt;Lorena Dias de Araujo",$B:$B,"&lt;&gt;Lucas Luiz Romero")*(28/1083),IF(C4151="Técnico I",SUMIFS($D:$D,$A:$A,$A4151,$B:$B,"&lt;&gt;Patrícia Karla de Sousa Araújo",$B:$B,"&lt;&gt;Lorena Dias de Araujo",$B:$B,"&lt;&gt;Lucas Luiz Romero")*(23/1083),IF(C4151="JR",SUMIFS($D:$D,$A:$A,$A4151,$B:$B,"&lt;&gt;Patrícia Karla de Sousa Araújo",$B:$B,"&lt;&gt;Lorena Dias de Araujo",$B:$B,"&lt;&gt;Lucas Luiz Romero")*(20/1083),IF(C4151="Estágio",SUMIFS($D:$D,$A:$A,$A4151,$B:$B,"&lt;&gt;Patrícia Karla de Sousa Araújo",$B:$B,"&lt;&gt;Lorena Dias de Araujo",$B:$B,"&lt;&gt;Lucas Luiz Romero")*(10/1083),0)))))),0)</f>
        <v>21</v>
      </c>
      <c r="K4151" s="3">
        <f>I4151-J4151</f>
        <v>5</v>
      </c>
      <c r="L4151" s="3" t="str">
        <f>IF(K4151&lt;-5,"CRÍTICO",IF(K4151&lt;0,"ATENÇÃO",IF(K4151&lt;=5,"OPORTUNO","MUITO BOM")))</f>
        <v>OPORTUNO</v>
      </c>
      <c r="M4151">
        <v>22</v>
      </c>
      <c r="N4151">
        <v>95.49</v>
      </c>
      <c r="O4151">
        <v>28.370221327967808</v>
      </c>
    </row>
    <row r="4152" spans="1:15" hidden="1" x14ac:dyDescent="0.25">
      <c r="A4152" s="11">
        <v>46132</v>
      </c>
      <c r="B4152" t="s">
        <v>20</v>
      </c>
      <c r="C4152" t="s">
        <v>16</v>
      </c>
      <c r="D4152">
        <v>0</v>
      </c>
      <c r="E4152">
        <v>0</v>
      </c>
      <c r="F4152">
        <v>0</v>
      </c>
      <c r="G4152">
        <v>0</v>
      </c>
      <c r="H4152">
        <v>0</v>
      </c>
      <c r="I4152" s="3">
        <v>0</v>
      </c>
      <c r="J4152" s="3">
        <v>0</v>
      </c>
      <c r="K4152" s="3">
        <v>0</v>
      </c>
      <c r="L4152" s="3" t="str">
        <f>IF(K4152&lt;-5,"CRÍTICO",IF(K4152&lt;0,"ATENÇÃO",IF(K4152&lt;=5,"OPORTUNO","MUITO BOM")))</f>
        <v>OPORTUNO</v>
      </c>
      <c r="M4152">
        <v>0</v>
      </c>
      <c r="N4152">
        <v>100</v>
      </c>
      <c r="O4152">
        <v>23.77622377622378</v>
      </c>
    </row>
    <row r="4153" spans="1:15" hidden="1" x14ac:dyDescent="0.25">
      <c r="A4153" s="11">
        <v>46132</v>
      </c>
      <c r="B4153" t="s">
        <v>28</v>
      </c>
      <c r="C4153" t="s">
        <v>26</v>
      </c>
      <c r="D4153">
        <v>10</v>
      </c>
      <c r="E4153">
        <v>8</v>
      </c>
      <c r="F4153">
        <v>15.55</v>
      </c>
      <c r="G4153">
        <v>0</v>
      </c>
      <c r="H4153">
        <v>0</v>
      </c>
      <c r="I4153" s="3">
        <f>E4153+G4153+H4153</f>
        <v>8</v>
      </c>
      <c r="J4153" s="3">
        <f>ROUND(MIN(IF(C4153="Técnico III",35,IF(C4153="Técnico II",28,IF(C4153="Técnico I",23,IF(C4153="JR",20,IF(C4153="Estágio",10,0))))),IF(C4153="Técnico III",SUMIFS($D:$D,$A:$A,$A4153,$B:$B,"&lt;&gt;Patrícia Karla de Sousa Araújo",$B:$B,"&lt;&gt;Lorena Dias de Araujo",$B:$B,"&lt;&gt;Lucas Luiz Romero")*(35/1083),IF(C4153="Técnico II",SUMIFS($D:$D,$A:$A,$A4153,$B:$B,"&lt;&gt;Patrícia Karla de Sousa Araújo",$B:$B,"&lt;&gt;Lorena Dias de Araujo",$B:$B,"&lt;&gt;Lucas Luiz Romero")*(28/1083),IF(C4153="Técnico I",SUMIFS($D:$D,$A:$A,$A4153,$B:$B,"&lt;&gt;Patrícia Karla de Sousa Araújo",$B:$B,"&lt;&gt;Lorena Dias de Araujo",$B:$B,"&lt;&gt;Lucas Luiz Romero")*(23/1083),IF(C4153="JR",SUMIFS($D:$D,$A:$A,$A4153,$B:$B,"&lt;&gt;Patrícia Karla de Sousa Araújo",$B:$B,"&lt;&gt;Lorena Dias de Araujo",$B:$B,"&lt;&gt;Lucas Luiz Romero")*(20/1083),IF(C4153="Estágio",SUMIFS($D:$D,$A:$A,$A4153,$B:$B,"&lt;&gt;Patrícia Karla de Sousa Araújo",$B:$B,"&lt;&gt;Lorena Dias de Araujo",$B:$B,"&lt;&gt;Lucas Luiz Romero")*(10/1083),0)))))),0)</f>
        <v>12</v>
      </c>
      <c r="K4153" s="3">
        <f>I4153-J4153</f>
        <v>-4</v>
      </c>
      <c r="L4153" s="3" t="str">
        <f>IF(K4153&lt;-5,"CRÍTICO",IF(K4153&lt;0,"ATENÇÃO",IF(K4153&lt;=5,"OPORTUNO","MUITO BOM")))</f>
        <v>ATENÇÃO</v>
      </c>
      <c r="M4153">
        <v>7</v>
      </c>
      <c r="N4153">
        <v>96.15</v>
      </c>
      <c r="O4153">
        <v>24.045801526717561</v>
      </c>
    </row>
    <row r="4154" spans="1:15" hidden="1" x14ac:dyDescent="0.25">
      <c r="A4154" s="11">
        <v>46132</v>
      </c>
      <c r="B4154" t="s">
        <v>58</v>
      </c>
      <c r="C4154" t="s">
        <v>48</v>
      </c>
      <c r="D4154">
        <v>16</v>
      </c>
      <c r="E4154">
        <v>12</v>
      </c>
      <c r="F4154">
        <v>20.079999999999998</v>
      </c>
      <c r="G4154">
        <v>0</v>
      </c>
      <c r="H4154">
        <v>0</v>
      </c>
      <c r="I4154" s="3">
        <f>E4154+G4154+H4154</f>
        <v>12</v>
      </c>
      <c r="J4154" s="3">
        <f>ROUND(MIN(IF(C4154="Técnico III",35,IF(C4154="Técnico II",28,IF(C4154="Técnico I",23,IF(C4154="JR",20,IF(C4154="Estágio",10,0))))),IF(C4154="Técnico III",SUMIFS($D:$D,$A:$A,$A4154,$B:$B,"&lt;&gt;Patrícia Karla de Sousa Araújo",$B:$B,"&lt;&gt;Lorena Dias de Araujo",$B:$B,"&lt;&gt;Lucas Luiz Romero")*(35/1083),IF(C4154="Técnico II",SUMIFS($D:$D,$A:$A,$A4154,$B:$B,"&lt;&gt;Patrícia Karla de Sousa Araújo",$B:$B,"&lt;&gt;Lorena Dias de Araujo",$B:$B,"&lt;&gt;Lucas Luiz Romero")*(28/1083),IF(C4154="Técnico I",SUMIFS($D:$D,$A:$A,$A4154,$B:$B,"&lt;&gt;Patrícia Karla de Sousa Araújo",$B:$B,"&lt;&gt;Lorena Dias de Araujo",$B:$B,"&lt;&gt;Lucas Luiz Romero")*(23/1083),IF(C4154="JR",SUMIFS($D:$D,$A:$A,$A4154,$B:$B,"&lt;&gt;Patrícia Karla de Sousa Araújo",$B:$B,"&lt;&gt;Lorena Dias de Araujo",$B:$B,"&lt;&gt;Lucas Luiz Romero")*(20/1083),IF(C4154="Estágio",SUMIFS($D:$D,$A:$A,$A4154,$B:$B,"&lt;&gt;Patrícia Karla de Sousa Araújo",$B:$B,"&lt;&gt;Lorena Dias de Araujo",$B:$B,"&lt;&gt;Lucas Luiz Romero")*(10/1083),0)))))),0)</f>
        <v>16</v>
      </c>
      <c r="K4154" s="3">
        <f>I4154-J4154</f>
        <v>-4</v>
      </c>
      <c r="L4154" s="3" t="str">
        <f>IF(K4154&lt;-5,"CRÍTICO",IF(K4154&lt;0,"ATENÇÃO",IF(K4154&lt;=5,"OPORTUNO","MUITO BOM")))</f>
        <v>ATENÇÃO</v>
      </c>
      <c r="M4154">
        <v>14</v>
      </c>
      <c r="N4154">
        <v>99.02</v>
      </c>
      <c r="O4154">
        <v>34.797297297297298</v>
      </c>
    </row>
    <row r="4155" spans="1:15" hidden="1" x14ac:dyDescent="0.25">
      <c r="A4155" s="11">
        <v>46132</v>
      </c>
      <c r="B4155" t="s">
        <v>29</v>
      </c>
      <c r="C4155" t="s">
        <v>26</v>
      </c>
      <c r="D4155">
        <v>10</v>
      </c>
      <c r="E4155">
        <v>10</v>
      </c>
      <c r="F4155">
        <v>13.27</v>
      </c>
      <c r="G4155">
        <v>0</v>
      </c>
      <c r="H4155">
        <v>0</v>
      </c>
      <c r="I4155" s="3">
        <f>E4155+G4155+H4155</f>
        <v>10</v>
      </c>
      <c r="J4155" s="3">
        <f>ROUND(MIN(IF(C4155="Técnico III",35,IF(C4155="Técnico II",28,IF(C4155="Técnico I",23,IF(C4155="JR",20,IF(C4155="Estágio",10,0))))),IF(C4155="Técnico III",SUMIFS($D:$D,$A:$A,$A4155,$B:$B,"&lt;&gt;Patrícia Karla de Sousa Araújo",$B:$B,"&lt;&gt;Lorena Dias de Araujo",$B:$B,"&lt;&gt;Lucas Luiz Romero")*(35/1083),IF(C4155="Técnico II",SUMIFS($D:$D,$A:$A,$A4155,$B:$B,"&lt;&gt;Patrícia Karla de Sousa Araújo",$B:$B,"&lt;&gt;Lorena Dias de Araujo",$B:$B,"&lt;&gt;Lucas Luiz Romero")*(28/1083),IF(C4155="Técnico I",SUMIFS($D:$D,$A:$A,$A4155,$B:$B,"&lt;&gt;Patrícia Karla de Sousa Araújo",$B:$B,"&lt;&gt;Lorena Dias de Araujo",$B:$B,"&lt;&gt;Lucas Luiz Romero")*(23/1083),IF(C4155="JR",SUMIFS($D:$D,$A:$A,$A4155,$B:$B,"&lt;&gt;Patrícia Karla de Sousa Araújo",$B:$B,"&lt;&gt;Lorena Dias de Araujo",$B:$B,"&lt;&gt;Lucas Luiz Romero")*(20/1083),IF(C4155="Estágio",SUMIFS($D:$D,$A:$A,$A4155,$B:$B,"&lt;&gt;Patrícia Karla de Sousa Araújo",$B:$B,"&lt;&gt;Lorena Dias de Araujo",$B:$B,"&lt;&gt;Lucas Luiz Romero")*(10/1083),0)))))),0)</f>
        <v>12</v>
      </c>
      <c r="K4155" s="3">
        <f>I4155-J4155</f>
        <v>-2</v>
      </c>
      <c r="L4155" s="3" t="str">
        <f>IF(K4155&lt;-5,"CRÍTICO",IF(K4155&lt;0,"ATENÇÃO",IF(K4155&lt;=5,"OPORTUNO","MUITO BOM")))</f>
        <v>ATENÇÃO</v>
      </c>
      <c r="M4155">
        <v>10</v>
      </c>
      <c r="N4155">
        <v>98.84</v>
      </c>
      <c r="O4155">
        <v>31.868131868131869</v>
      </c>
    </row>
    <row r="4156" spans="1:15" hidden="1" x14ac:dyDescent="0.25">
      <c r="A4156" s="11">
        <v>46132</v>
      </c>
      <c r="B4156" t="s">
        <v>30</v>
      </c>
      <c r="C4156" t="s">
        <v>26</v>
      </c>
      <c r="D4156">
        <v>9</v>
      </c>
      <c r="E4156">
        <v>9</v>
      </c>
      <c r="F4156">
        <v>18.37</v>
      </c>
      <c r="G4156">
        <v>0</v>
      </c>
      <c r="H4156">
        <v>0</v>
      </c>
      <c r="I4156" s="3">
        <f>E4156+G4156+H4156</f>
        <v>9</v>
      </c>
      <c r="J4156" s="3">
        <f>ROUND(MIN(IF(C4156="Técnico III",35,IF(C4156="Técnico II",28,IF(C4156="Técnico I",23,IF(C4156="JR",20,IF(C4156="Estágio",10,0))))),IF(C4156="Técnico III",SUMIFS($D:$D,$A:$A,$A4156,$B:$B,"&lt;&gt;Patrícia Karla de Sousa Araújo",$B:$B,"&lt;&gt;Lorena Dias de Araujo",$B:$B,"&lt;&gt;Lucas Luiz Romero")*(35/1083),IF(C4156="Técnico II",SUMIFS($D:$D,$A:$A,$A4156,$B:$B,"&lt;&gt;Patrícia Karla de Sousa Araújo",$B:$B,"&lt;&gt;Lorena Dias de Araujo",$B:$B,"&lt;&gt;Lucas Luiz Romero")*(28/1083),IF(C4156="Técnico I",SUMIFS($D:$D,$A:$A,$A4156,$B:$B,"&lt;&gt;Patrícia Karla de Sousa Araújo",$B:$B,"&lt;&gt;Lorena Dias de Araujo",$B:$B,"&lt;&gt;Lucas Luiz Romero")*(23/1083),IF(C4156="JR",SUMIFS($D:$D,$A:$A,$A4156,$B:$B,"&lt;&gt;Patrícia Karla de Sousa Araújo",$B:$B,"&lt;&gt;Lorena Dias de Araujo",$B:$B,"&lt;&gt;Lucas Luiz Romero")*(20/1083),IF(C4156="Estágio",SUMIFS($D:$D,$A:$A,$A4156,$B:$B,"&lt;&gt;Patrícia Karla de Sousa Araújo",$B:$B,"&lt;&gt;Lorena Dias de Araujo",$B:$B,"&lt;&gt;Lucas Luiz Romero")*(10/1083),0)))))),0)</f>
        <v>12</v>
      </c>
      <c r="K4156" s="3">
        <f>I4156-J4156</f>
        <v>-3</v>
      </c>
      <c r="L4156" s="3" t="str">
        <f>IF(K4156&lt;-5,"CRÍTICO",IF(K4156&lt;0,"ATENÇÃO",IF(K4156&lt;=5,"OPORTUNO","MUITO BOM")))</f>
        <v>ATENÇÃO</v>
      </c>
      <c r="M4156">
        <v>8</v>
      </c>
      <c r="N4156">
        <v>100</v>
      </c>
      <c r="O4156">
        <v>34.666666666666671</v>
      </c>
    </row>
    <row r="4157" spans="1:15" hidden="1" x14ac:dyDescent="0.25">
      <c r="A4157" s="11">
        <v>46132</v>
      </c>
      <c r="B4157" t="s">
        <v>21</v>
      </c>
      <c r="C4157" t="s">
        <v>16</v>
      </c>
      <c r="D4157">
        <v>6</v>
      </c>
      <c r="E4157">
        <v>6</v>
      </c>
      <c r="F4157">
        <v>36.4</v>
      </c>
      <c r="G4157">
        <v>0</v>
      </c>
      <c r="H4157">
        <v>0</v>
      </c>
      <c r="I4157" s="3">
        <f>E4157+G4157+H4157</f>
        <v>6</v>
      </c>
      <c r="J4157" s="3">
        <f>ROUND(MIN(IF(C4157="Técnico III",35,IF(C4157="Técnico II",28,IF(C4157="Técnico I",23,IF(C4157="JR",20,IF(C4157="Estágio",10,0))))),IF(C4157="Técnico III",SUMIFS($D:$D,$A:$A,$A4157,$B:$B,"&lt;&gt;Patrícia Karla de Sousa Araújo",$B:$B,"&lt;&gt;Lorena Dias de Araujo",$B:$B,"&lt;&gt;Lucas Luiz Romero")*(35/1083),IF(C4157="Técnico II",SUMIFS($D:$D,$A:$A,$A4157,$B:$B,"&lt;&gt;Patrícia Karla de Sousa Araújo",$B:$B,"&lt;&gt;Lorena Dias de Araujo",$B:$B,"&lt;&gt;Lucas Luiz Romero")*(28/1083),IF(C4157="Técnico I",SUMIFS($D:$D,$A:$A,$A4157,$B:$B,"&lt;&gt;Patrícia Karla de Sousa Araújo",$B:$B,"&lt;&gt;Lorena Dias de Araujo",$B:$B,"&lt;&gt;Lucas Luiz Romero")*(23/1083),IF(C4157="JR",SUMIFS($D:$D,$A:$A,$A4157,$B:$B,"&lt;&gt;Patrícia Karla de Sousa Araújo",$B:$B,"&lt;&gt;Lorena Dias de Araujo",$B:$B,"&lt;&gt;Lucas Luiz Romero")*(20/1083),IF(C4157="Estágio",SUMIFS($D:$D,$A:$A,$A4157,$B:$B,"&lt;&gt;Patrícia Karla de Sousa Araújo",$B:$B,"&lt;&gt;Lorena Dias de Araujo",$B:$B,"&lt;&gt;Lucas Luiz Romero")*(10/1083),0)))))),0)</f>
        <v>6</v>
      </c>
      <c r="K4157" s="3">
        <f>I4157-J4157</f>
        <v>0</v>
      </c>
      <c r="L4157" s="3" t="str">
        <f>IF(K4157&lt;-5,"CRÍTICO",IF(K4157&lt;0,"ATENÇÃO",IF(K4157&lt;=5,"OPORTUNO","MUITO BOM")))</f>
        <v>OPORTUNO</v>
      </c>
      <c r="M4157">
        <v>5</v>
      </c>
      <c r="N4157">
        <v>94.12</v>
      </c>
      <c r="O4157">
        <v>32.799999999999997</v>
      </c>
    </row>
    <row r="4158" spans="1:15" hidden="1" x14ac:dyDescent="0.25">
      <c r="A4158" s="11">
        <v>46132</v>
      </c>
      <c r="B4158" t="s">
        <v>63</v>
      </c>
      <c r="C4158" t="s">
        <v>23</v>
      </c>
      <c r="D4158">
        <v>11</v>
      </c>
      <c r="E4158">
        <v>11</v>
      </c>
      <c r="F4158">
        <v>13.35</v>
      </c>
      <c r="G4158">
        <v>0</v>
      </c>
      <c r="H4158">
        <v>0</v>
      </c>
      <c r="I4158" s="3">
        <f>E4158+G4158+H4158</f>
        <v>11</v>
      </c>
      <c r="J4158" s="3">
        <f>ROUND(MIN(IF(C4158="Técnico III",35,IF(C4158="Técnico II",28,IF(C4158="Técnico I",23,IF(C4158="JR",20,IF(C4158="Estágio",10,0))))),IF(C4158="Técnico III",SUMIFS($D:$D,$A:$A,$A4158,$B:$B,"&lt;&gt;Patrícia Karla de Sousa Araújo",$B:$B,"&lt;&gt;Lorena Dias de Araujo",$B:$B,"&lt;&gt;Lucas Luiz Romero")*(35/1083),IF(C4158="Técnico II",SUMIFS($D:$D,$A:$A,$A4158,$B:$B,"&lt;&gt;Patrícia Karla de Sousa Araújo",$B:$B,"&lt;&gt;Lorena Dias de Araujo",$B:$B,"&lt;&gt;Lucas Luiz Romero")*(28/1083),IF(C4158="Técnico I",SUMIFS($D:$D,$A:$A,$A4158,$B:$B,"&lt;&gt;Patrícia Karla de Sousa Araújo",$B:$B,"&lt;&gt;Lorena Dias de Araujo",$B:$B,"&lt;&gt;Lucas Luiz Romero")*(23/1083),IF(C4158="JR",SUMIFS($D:$D,$A:$A,$A4158,$B:$B,"&lt;&gt;Patrícia Karla de Sousa Araújo",$B:$B,"&lt;&gt;Lorena Dias de Araujo",$B:$B,"&lt;&gt;Lucas Luiz Romero")*(20/1083),IF(C4158="Estágio",SUMIFS($D:$D,$A:$A,$A4158,$B:$B,"&lt;&gt;Patrícia Karla de Sousa Araújo",$B:$B,"&lt;&gt;Lorena Dias de Araujo",$B:$B,"&lt;&gt;Lucas Luiz Romero")*(10/1083),0)))))),0)</f>
        <v>14</v>
      </c>
      <c r="K4158" s="3">
        <f>I4158-J4158</f>
        <v>-3</v>
      </c>
      <c r="L4158" s="3" t="str">
        <f>IF(K4158&lt;-5,"CRÍTICO",IF(K4158&lt;0,"ATENÇÃO",IF(K4158&lt;=5,"OPORTUNO","MUITO BOM")))</f>
        <v>ATENÇÃO</v>
      </c>
      <c r="M4158">
        <v>6</v>
      </c>
      <c r="N4158">
        <v>98.32</v>
      </c>
      <c r="O4158">
        <v>26.858513189448441</v>
      </c>
    </row>
    <row r="4159" spans="1:15" hidden="1" x14ac:dyDescent="0.25">
      <c r="A4159" s="11">
        <v>46132</v>
      </c>
      <c r="B4159" t="s">
        <v>45</v>
      </c>
      <c r="C4159" t="s">
        <v>32</v>
      </c>
      <c r="D4159">
        <v>32</v>
      </c>
      <c r="E4159">
        <v>30</v>
      </c>
      <c r="F4159">
        <v>11.55</v>
      </c>
      <c r="G4159">
        <v>0</v>
      </c>
      <c r="H4159">
        <v>0</v>
      </c>
      <c r="I4159" s="3">
        <f>E4159+G4159+H4159</f>
        <v>30</v>
      </c>
      <c r="J4159" s="3">
        <f>ROUND(MIN(IF(C4159="Técnico III",35,IF(C4159="Técnico II",28,IF(C4159="Técnico I",23,IF(C4159="JR",20,IF(C4159="Estágio",10,0))))),IF(C4159="Técnico III",SUMIFS($D:$D,$A:$A,$A4159,$B:$B,"&lt;&gt;Patrícia Karla de Sousa Araújo",$B:$B,"&lt;&gt;Lorena Dias de Araujo",$B:$B,"&lt;&gt;Lucas Luiz Romero")*(35/1083),IF(C4159="Técnico II",SUMIFS($D:$D,$A:$A,$A4159,$B:$B,"&lt;&gt;Patrícia Karla de Sousa Araújo",$B:$B,"&lt;&gt;Lorena Dias de Araujo",$B:$B,"&lt;&gt;Lucas Luiz Romero")*(28/1083),IF(C4159="Técnico I",SUMIFS($D:$D,$A:$A,$A4159,$B:$B,"&lt;&gt;Patrícia Karla de Sousa Araújo",$B:$B,"&lt;&gt;Lorena Dias de Araujo",$B:$B,"&lt;&gt;Lucas Luiz Romero")*(23/1083),IF(C4159="JR",SUMIFS($D:$D,$A:$A,$A4159,$B:$B,"&lt;&gt;Patrícia Karla de Sousa Araújo",$B:$B,"&lt;&gt;Lorena Dias de Araujo",$B:$B,"&lt;&gt;Lucas Luiz Romero")*(20/1083),IF(C4159="Estágio",SUMIFS($D:$D,$A:$A,$A4159,$B:$B,"&lt;&gt;Patrícia Karla de Sousa Araújo",$B:$B,"&lt;&gt;Lorena Dias de Araujo",$B:$B,"&lt;&gt;Lucas Luiz Romero")*(10/1083),0)))))),0)</f>
        <v>21</v>
      </c>
      <c r="K4159" s="3">
        <f>I4159-J4159</f>
        <v>9</v>
      </c>
      <c r="L4159" s="3" t="str">
        <f>IF(K4159&lt;-5,"CRÍTICO",IF(K4159&lt;0,"ATENÇÃO",IF(K4159&lt;=5,"OPORTUNO","MUITO BOM")))</f>
        <v>MUITO BOM</v>
      </c>
      <c r="M4159">
        <v>19</v>
      </c>
      <c r="N4159">
        <v>100</v>
      </c>
      <c r="O4159">
        <v>31.135531135531139</v>
      </c>
    </row>
    <row r="4160" spans="1:15" hidden="1" x14ac:dyDescent="0.25">
      <c r="A4160" s="11">
        <v>46132</v>
      </c>
      <c r="B4160" t="s">
        <v>64</v>
      </c>
      <c r="C4160" t="s">
        <v>23</v>
      </c>
      <c r="D4160">
        <v>7</v>
      </c>
      <c r="E4160">
        <v>7</v>
      </c>
      <c r="F4160">
        <v>24.17</v>
      </c>
      <c r="G4160">
        <v>0</v>
      </c>
      <c r="H4160">
        <v>0</v>
      </c>
      <c r="I4160" s="3">
        <f>E4160+G4160+H4160</f>
        <v>7</v>
      </c>
      <c r="J4160" s="3">
        <f>ROUND(MIN(IF(C4160="Técnico III",35,IF(C4160="Técnico II",28,IF(C4160="Técnico I",23,IF(C4160="JR",20,IF(C4160="Estágio",10,0))))),IF(C4160="Técnico III",SUMIFS($D:$D,$A:$A,$A4160,$B:$B,"&lt;&gt;Patrícia Karla de Sousa Araújo",$B:$B,"&lt;&gt;Lorena Dias de Araujo",$B:$B,"&lt;&gt;Lucas Luiz Romero")*(35/1083),IF(C4160="Técnico II",SUMIFS($D:$D,$A:$A,$A4160,$B:$B,"&lt;&gt;Patrícia Karla de Sousa Araújo",$B:$B,"&lt;&gt;Lorena Dias de Araujo",$B:$B,"&lt;&gt;Lucas Luiz Romero")*(28/1083),IF(C4160="Técnico I",SUMIFS($D:$D,$A:$A,$A4160,$B:$B,"&lt;&gt;Patrícia Karla de Sousa Araújo",$B:$B,"&lt;&gt;Lorena Dias de Araujo",$B:$B,"&lt;&gt;Lucas Luiz Romero")*(23/1083),IF(C4160="JR",SUMIFS($D:$D,$A:$A,$A4160,$B:$B,"&lt;&gt;Patrícia Karla de Sousa Araújo",$B:$B,"&lt;&gt;Lorena Dias de Araujo",$B:$B,"&lt;&gt;Lucas Luiz Romero")*(20/1083),IF(C4160="Estágio",SUMIFS($D:$D,$A:$A,$A4160,$B:$B,"&lt;&gt;Patrícia Karla de Sousa Araújo",$B:$B,"&lt;&gt;Lorena Dias de Araujo",$B:$B,"&lt;&gt;Lucas Luiz Romero")*(10/1083),0)))))),0)</f>
        <v>14</v>
      </c>
      <c r="K4160" s="3">
        <f>I4160-J4160</f>
        <v>-7</v>
      </c>
      <c r="L4160" s="3" t="str">
        <f>IF(K4160&lt;-5,"CRÍTICO",IF(K4160&lt;0,"ATENÇÃO",IF(K4160&lt;=5,"OPORTUNO","MUITO BOM")))</f>
        <v>CRÍTICO</v>
      </c>
      <c r="M4160">
        <v>7</v>
      </c>
      <c r="N4160">
        <v>100</v>
      </c>
      <c r="O4160">
        <v>26.36986301369863</v>
      </c>
    </row>
    <row r="4161" spans="1:15" hidden="1" x14ac:dyDescent="0.25">
      <c r="A4161" s="11">
        <v>46132</v>
      </c>
      <c r="B4161" t="s">
        <v>46</v>
      </c>
      <c r="C4161" t="s">
        <v>32</v>
      </c>
      <c r="D4161">
        <v>26</v>
      </c>
      <c r="E4161">
        <v>23</v>
      </c>
      <c r="F4161">
        <v>15.04</v>
      </c>
      <c r="G4161">
        <v>0</v>
      </c>
      <c r="H4161">
        <v>0</v>
      </c>
      <c r="I4161" s="3">
        <f>E4161+G4161+H4161</f>
        <v>23</v>
      </c>
      <c r="J4161" s="3">
        <f>ROUND(MIN(IF(C4161="Técnico III",35,IF(C4161="Técnico II",28,IF(C4161="Técnico I",23,IF(C4161="JR",20,IF(C4161="Estágio",10,0))))),IF(C4161="Técnico III",SUMIFS($D:$D,$A:$A,$A4161,$B:$B,"&lt;&gt;Patrícia Karla de Sousa Araújo",$B:$B,"&lt;&gt;Lorena Dias de Araujo",$B:$B,"&lt;&gt;Lucas Luiz Romero")*(35/1083),IF(C4161="Técnico II",SUMIFS($D:$D,$A:$A,$A4161,$B:$B,"&lt;&gt;Patrícia Karla de Sousa Araújo",$B:$B,"&lt;&gt;Lorena Dias de Araujo",$B:$B,"&lt;&gt;Lucas Luiz Romero")*(28/1083),IF(C4161="Técnico I",SUMIFS($D:$D,$A:$A,$A4161,$B:$B,"&lt;&gt;Patrícia Karla de Sousa Araújo",$B:$B,"&lt;&gt;Lorena Dias de Araujo",$B:$B,"&lt;&gt;Lucas Luiz Romero")*(23/1083),IF(C4161="JR",SUMIFS($D:$D,$A:$A,$A4161,$B:$B,"&lt;&gt;Patrícia Karla de Sousa Araújo",$B:$B,"&lt;&gt;Lorena Dias de Araujo",$B:$B,"&lt;&gt;Lucas Luiz Romero")*(20/1083),IF(C4161="Estágio",SUMIFS($D:$D,$A:$A,$A4161,$B:$B,"&lt;&gt;Patrícia Karla de Sousa Araújo",$B:$B,"&lt;&gt;Lorena Dias de Araujo",$B:$B,"&lt;&gt;Lucas Luiz Romero")*(10/1083),0)))))),0)</f>
        <v>21</v>
      </c>
      <c r="K4161" s="3">
        <f>I4161-J4161</f>
        <v>2</v>
      </c>
      <c r="L4161" s="3" t="str">
        <f>IF(K4161&lt;-5,"CRÍTICO",IF(K4161&lt;0,"ATENÇÃO",IF(K4161&lt;=5,"OPORTUNO","MUITO BOM")))</f>
        <v>OPORTUNO</v>
      </c>
      <c r="M4161">
        <v>19</v>
      </c>
      <c r="N4161">
        <v>99.21</v>
      </c>
      <c r="O4161">
        <v>25.188916876574311</v>
      </c>
    </row>
    <row r="4162" spans="1:15" hidden="1" x14ac:dyDescent="0.25">
      <c r="A4162" s="11">
        <v>46134</v>
      </c>
      <c r="B4162" t="s">
        <v>47</v>
      </c>
      <c r="C4162" t="s">
        <v>48</v>
      </c>
      <c r="D4162">
        <v>42</v>
      </c>
      <c r="E4162">
        <v>38</v>
      </c>
      <c r="F4162">
        <v>10.58</v>
      </c>
      <c r="G4162">
        <v>0</v>
      </c>
      <c r="H4162">
        <v>0</v>
      </c>
      <c r="I4162" s="3">
        <f>E4162+G4162+H4162</f>
        <v>38</v>
      </c>
      <c r="J4162" s="3">
        <f>ROUND(MIN(IF(C4162="Técnico III",35,IF(C4162="Técnico II",28,IF(C4162="Técnico I",23,IF(C4162="JR",20,IF(C4162="Estágio",10,0))))),IF(C4162="Técnico III",SUMIFS($D:$D,$A:$A,$A4162,$B:$B,"&lt;&gt;Patrícia Karla de Sousa Araújo",$B:$B,"&lt;&gt;Lorena Dias de Araujo",$B:$B,"&lt;&gt;Lucas Luiz Romero")*(35/1083),IF(C4162="Técnico II",SUMIFS($D:$D,$A:$A,$A4162,$B:$B,"&lt;&gt;Patrícia Karla de Sousa Araújo",$B:$B,"&lt;&gt;Lorena Dias de Araujo",$B:$B,"&lt;&gt;Lucas Luiz Romero")*(28/1083),IF(C4162="Técnico I",SUMIFS($D:$D,$A:$A,$A4162,$B:$B,"&lt;&gt;Patrícia Karla de Sousa Araújo",$B:$B,"&lt;&gt;Lorena Dias de Araujo",$B:$B,"&lt;&gt;Lucas Luiz Romero")*(23/1083),IF(C4162="JR",SUMIFS($D:$D,$A:$A,$A4162,$B:$B,"&lt;&gt;Patrícia Karla de Sousa Araújo",$B:$B,"&lt;&gt;Lorena Dias de Araujo",$B:$B,"&lt;&gt;Lucas Luiz Romero")*(20/1083),IF(C4162="Estágio",SUMIFS($D:$D,$A:$A,$A4162,$B:$B,"&lt;&gt;Patrícia Karla de Sousa Araújo",$B:$B,"&lt;&gt;Lorena Dias de Araujo",$B:$B,"&lt;&gt;Lucas Luiz Romero")*(10/1083),0)))))),0)</f>
        <v>18</v>
      </c>
      <c r="K4162" s="3">
        <f>I4162-J4162</f>
        <v>20</v>
      </c>
      <c r="L4162" s="3" t="str">
        <f>IF(K4162&lt;-5,"CRÍTICO",IF(K4162&lt;0,"ATENÇÃO",IF(K4162&lt;=5,"OPORTUNO","MUITO BOM")))</f>
        <v>MUITO BOM</v>
      </c>
      <c r="M4162">
        <v>30</v>
      </c>
      <c r="N4162">
        <v>100</v>
      </c>
      <c r="O4162">
        <v>32.764505119453922</v>
      </c>
    </row>
    <row r="4163" spans="1:15" hidden="1" x14ac:dyDescent="0.25">
      <c r="A4163" s="11">
        <v>46134</v>
      </c>
      <c r="B4163" t="s">
        <v>31</v>
      </c>
      <c r="C4163" t="s">
        <v>32</v>
      </c>
      <c r="D4163">
        <v>0</v>
      </c>
      <c r="E4163">
        <v>0</v>
      </c>
      <c r="F4163">
        <v>0</v>
      </c>
      <c r="G4163">
        <v>0</v>
      </c>
      <c r="H4163">
        <v>0</v>
      </c>
      <c r="I4163" s="3">
        <v>0</v>
      </c>
      <c r="J4163" s="3">
        <v>0</v>
      </c>
      <c r="K4163" s="3">
        <v>0</v>
      </c>
      <c r="L4163" s="3" t="str">
        <f>IF(K4163&lt;-5,"CRÍTICO",IF(K4163&lt;0,"ATENÇÃO",IF(K4163&lt;=5,"OPORTUNO","MUITO BOM")))</f>
        <v>OPORTUNO</v>
      </c>
      <c r="M4163">
        <v>21</v>
      </c>
      <c r="N4163">
        <v>98.66</v>
      </c>
      <c r="O4163">
        <v>35.416666666666671</v>
      </c>
    </row>
    <row r="4164" spans="1:15" hidden="1" x14ac:dyDescent="0.25">
      <c r="A4164" s="11">
        <v>46134</v>
      </c>
      <c r="B4164" t="s">
        <v>59</v>
      </c>
      <c r="C4164" t="s">
        <v>23</v>
      </c>
      <c r="D4164">
        <v>33</v>
      </c>
      <c r="E4164">
        <v>30</v>
      </c>
      <c r="F4164">
        <v>12.16</v>
      </c>
      <c r="G4164">
        <v>0</v>
      </c>
      <c r="H4164">
        <v>0</v>
      </c>
      <c r="I4164" s="3">
        <f>E4164+G4164+H4164</f>
        <v>30</v>
      </c>
      <c r="J4164" s="3">
        <f>ROUND(MIN(IF(C4164="Técnico III",35,IF(C4164="Técnico II",28,IF(C4164="Técnico I",23,IF(C4164="JR",20,IF(C4164="Estágio",10,0))))),IF(C4164="Técnico III",SUMIFS($D:$D,$A:$A,$A4164,$B:$B,"&lt;&gt;Patrícia Karla de Sousa Araújo",$B:$B,"&lt;&gt;Lorena Dias de Araujo",$B:$B,"&lt;&gt;Lucas Luiz Romero")*(35/1083),IF(C4164="Técnico II",SUMIFS($D:$D,$A:$A,$A4164,$B:$B,"&lt;&gt;Patrícia Karla de Sousa Araújo",$B:$B,"&lt;&gt;Lorena Dias de Araujo",$B:$B,"&lt;&gt;Lucas Luiz Romero")*(28/1083),IF(C4164="Técnico I",SUMIFS($D:$D,$A:$A,$A4164,$B:$B,"&lt;&gt;Patrícia Karla de Sousa Araújo",$B:$B,"&lt;&gt;Lorena Dias de Araujo",$B:$B,"&lt;&gt;Lucas Luiz Romero")*(23/1083),IF(C4164="JR",SUMIFS($D:$D,$A:$A,$A4164,$B:$B,"&lt;&gt;Patrícia Karla de Sousa Araújo",$B:$B,"&lt;&gt;Lorena Dias de Araujo",$B:$B,"&lt;&gt;Lucas Luiz Romero")*(20/1083),IF(C4164="Estágio",SUMIFS($D:$D,$A:$A,$A4164,$B:$B,"&lt;&gt;Patrícia Karla de Sousa Araújo",$B:$B,"&lt;&gt;Lorena Dias de Araujo",$B:$B,"&lt;&gt;Lucas Luiz Romero")*(10/1083),0)))))),0)</f>
        <v>15</v>
      </c>
      <c r="K4164" s="3">
        <f>I4164-J4164</f>
        <v>15</v>
      </c>
      <c r="L4164" s="3" t="str">
        <f>IF(K4164&lt;-5,"CRÍTICO",IF(K4164&lt;0,"ATENÇÃO",IF(K4164&lt;=5,"OPORTUNO","MUITO BOM")))</f>
        <v>MUITO BOM</v>
      </c>
      <c r="M4164">
        <v>32</v>
      </c>
      <c r="N4164">
        <v>99.32</v>
      </c>
      <c r="O4164">
        <v>30.648330058939099</v>
      </c>
    </row>
    <row r="4165" spans="1:15" hidden="1" x14ac:dyDescent="0.25">
      <c r="A4165" s="11">
        <v>46134</v>
      </c>
      <c r="B4165" t="s">
        <v>33</v>
      </c>
      <c r="C4165" t="s">
        <v>32</v>
      </c>
      <c r="D4165">
        <v>16</v>
      </c>
      <c r="E4165">
        <v>15</v>
      </c>
      <c r="F4165">
        <v>26.58</v>
      </c>
      <c r="G4165">
        <v>0</v>
      </c>
      <c r="H4165">
        <v>0</v>
      </c>
      <c r="I4165" s="3">
        <f>E4165+G4165+H4165</f>
        <v>15</v>
      </c>
      <c r="J4165" s="3">
        <f>ROUND(MIN(IF(C4165="Técnico III",35,IF(C4165="Técnico II",28,IF(C4165="Técnico I",23,IF(C4165="JR",20,IF(C4165="Estágio",10,0))))),IF(C4165="Técnico III",SUMIFS($D:$D,$A:$A,$A4165,$B:$B,"&lt;&gt;Patrícia Karla de Sousa Araújo",$B:$B,"&lt;&gt;Lorena Dias de Araujo",$B:$B,"&lt;&gt;Lucas Luiz Romero")*(35/1083),IF(C4165="Técnico II",SUMIFS($D:$D,$A:$A,$A4165,$B:$B,"&lt;&gt;Patrícia Karla de Sousa Araújo",$B:$B,"&lt;&gt;Lorena Dias de Araujo",$B:$B,"&lt;&gt;Lucas Luiz Romero")*(28/1083),IF(C4165="Técnico I",SUMIFS($D:$D,$A:$A,$A4165,$B:$B,"&lt;&gt;Patrícia Karla de Sousa Araújo",$B:$B,"&lt;&gt;Lorena Dias de Araujo",$B:$B,"&lt;&gt;Lucas Luiz Romero")*(23/1083),IF(C4165="JR",SUMIFS($D:$D,$A:$A,$A4165,$B:$B,"&lt;&gt;Patrícia Karla de Sousa Araújo",$B:$B,"&lt;&gt;Lorena Dias de Araujo",$B:$B,"&lt;&gt;Lucas Luiz Romero")*(20/1083),IF(C4165="Estágio",SUMIFS($D:$D,$A:$A,$A4165,$B:$B,"&lt;&gt;Patrícia Karla de Sousa Araújo",$B:$B,"&lt;&gt;Lorena Dias de Araujo",$B:$B,"&lt;&gt;Lucas Luiz Romero")*(10/1083),0)))))),0)</f>
        <v>23</v>
      </c>
      <c r="K4165" s="3">
        <f>I4165-J4165</f>
        <v>-8</v>
      </c>
      <c r="L4165" s="3" t="str">
        <f>IF(K4165&lt;-5,"CRÍTICO",IF(K4165&lt;0,"ATENÇÃO",IF(K4165&lt;=5,"OPORTUNO","MUITO BOM")))</f>
        <v>CRÍTICO</v>
      </c>
      <c r="M4165">
        <v>13</v>
      </c>
      <c r="N4165">
        <v>100</v>
      </c>
      <c r="O4165">
        <v>27.803738317757009</v>
      </c>
    </row>
    <row r="4166" spans="1:15" hidden="1" x14ac:dyDescent="0.25">
      <c r="A4166" s="11">
        <v>46134</v>
      </c>
      <c r="B4166" t="s">
        <v>15</v>
      </c>
      <c r="C4166" t="s">
        <v>16</v>
      </c>
      <c r="D4166">
        <v>28</v>
      </c>
      <c r="E4166">
        <v>25</v>
      </c>
      <c r="F4166">
        <v>14.12</v>
      </c>
      <c r="G4166">
        <v>0</v>
      </c>
      <c r="H4166">
        <v>0</v>
      </c>
      <c r="I4166" s="3">
        <f>E4166+G4166+H4166</f>
        <v>25</v>
      </c>
      <c r="J4166" s="3">
        <f>ROUND(MIN(IF(C4166="Técnico III",35,IF(C4166="Técnico II",28,IF(C4166="Técnico I",23,IF(C4166="JR",20,IF(C4166="Estágio",10,0))))),IF(C4166="Técnico III",SUMIFS($D:$D,$A:$A,$A4166,$B:$B,"&lt;&gt;Patrícia Karla de Sousa Araújo",$B:$B,"&lt;&gt;Lorena Dias de Araujo",$B:$B,"&lt;&gt;Lucas Luiz Romero")*(35/1083),IF(C4166="Técnico II",SUMIFS($D:$D,$A:$A,$A4166,$B:$B,"&lt;&gt;Patrícia Karla de Sousa Araújo",$B:$B,"&lt;&gt;Lorena Dias de Araujo",$B:$B,"&lt;&gt;Lucas Luiz Romero")*(28/1083),IF(C4166="Técnico I",SUMIFS($D:$D,$A:$A,$A4166,$B:$B,"&lt;&gt;Patrícia Karla de Sousa Araújo",$B:$B,"&lt;&gt;Lorena Dias de Araujo",$B:$B,"&lt;&gt;Lucas Luiz Romero")*(23/1083),IF(C4166="JR",SUMIFS($D:$D,$A:$A,$A4166,$B:$B,"&lt;&gt;Patrícia Karla de Sousa Araújo",$B:$B,"&lt;&gt;Lorena Dias de Araujo",$B:$B,"&lt;&gt;Lucas Luiz Romero")*(20/1083),IF(C4166="Estágio",SUMIFS($D:$D,$A:$A,$A4166,$B:$B,"&lt;&gt;Patrícia Karla de Sousa Araújo",$B:$B,"&lt;&gt;Lorena Dias de Araujo",$B:$B,"&lt;&gt;Lucas Luiz Romero")*(10/1083),0)))))),0)</f>
        <v>7</v>
      </c>
      <c r="K4166" s="3">
        <f>I4166-J4166</f>
        <v>18</v>
      </c>
      <c r="L4166" s="3" t="str">
        <f>IF(K4166&lt;-5,"CRÍTICO",IF(K4166&lt;0,"ATENÇÃO",IF(K4166&lt;=5,"OPORTUNO","MUITO BOM")))</f>
        <v>MUITO BOM</v>
      </c>
      <c r="M4166">
        <v>22</v>
      </c>
      <c r="N4166">
        <v>96.74</v>
      </c>
      <c r="O4166">
        <v>28.67647058823529</v>
      </c>
    </row>
    <row r="4167" spans="1:15" hidden="1" x14ac:dyDescent="0.25">
      <c r="A4167" s="11">
        <v>46134</v>
      </c>
      <c r="B4167" t="s">
        <v>49</v>
      </c>
      <c r="C4167" t="s">
        <v>48</v>
      </c>
      <c r="D4167">
        <v>0</v>
      </c>
      <c r="E4167">
        <v>0</v>
      </c>
      <c r="F4167">
        <v>0</v>
      </c>
      <c r="G4167">
        <v>0</v>
      </c>
      <c r="H4167">
        <v>0</v>
      </c>
      <c r="I4167" s="3">
        <v>0</v>
      </c>
      <c r="J4167" s="3">
        <v>0</v>
      </c>
      <c r="K4167" s="3">
        <v>0</v>
      </c>
      <c r="L4167" s="3" t="str">
        <f>IF(K4167&lt;-5,"CRÍTICO",IF(K4167&lt;0,"ATENÇÃO",IF(K4167&lt;=5,"OPORTUNO","MUITO BOM")))</f>
        <v>OPORTUNO</v>
      </c>
      <c r="M4167">
        <v>0</v>
      </c>
      <c r="N4167">
        <v>98.82</v>
      </c>
      <c r="O4167">
        <v>30.741410488245929</v>
      </c>
    </row>
    <row r="4168" spans="1:15" hidden="1" x14ac:dyDescent="0.25">
      <c r="A4168" s="11">
        <v>46134</v>
      </c>
      <c r="B4168" t="s">
        <v>50</v>
      </c>
      <c r="C4168" t="s">
        <v>48</v>
      </c>
      <c r="D4168">
        <v>0</v>
      </c>
      <c r="E4168">
        <v>0</v>
      </c>
      <c r="F4168">
        <v>0</v>
      </c>
      <c r="G4168">
        <v>0</v>
      </c>
      <c r="H4168">
        <v>0</v>
      </c>
      <c r="I4168" s="3">
        <v>0</v>
      </c>
      <c r="J4168" s="3">
        <v>0</v>
      </c>
      <c r="K4168" s="3">
        <v>0</v>
      </c>
      <c r="L4168" s="3" t="str">
        <f>IF(K4168&lt;-5,"CRÍTICO",IF(K4168&lt;0,"ATENÇÃO",IF(K4168&lt;=5,"OPORTUNO","MUITO BOM")))</f>
        <v>OPORTUNO</v>
      </c>
      <c r="M4168">
        <v>0</v>
      </c>
      <c r="N4168">
        <v>98.2</v>
      </c>
      <c r="O4168">
        <v>27.170868347338931</v>
      </c>
    </row>
    <row r="4169" spans="1:15" hidden="1" x14ac:dyDescent="0.25">
      <c r="A4169" s="11">
        <v>46134</v>
      </c>
      <c r="B4169" t="s">
        <v>17</v>
      </c>
      <c r="C4169" t="s">
        <v>16</v>
      </c>
      <c r="D4169">
        <v>5</v>
      </c>
      <c r="E4169">
        <v>5</v>
      </c>
      <c r="F4169">
        <v>33.49</v>
      </c>
      <c r="G4169">
        <v>0</v>
      </c>
      <c r="H4169">
        <v>0</v>
      </c>
      <c r="I4169" s="3">
        <f>E4169+G4169+H4169</f>
        <v>5</v>
      </c>
      <c r="J4169" s="3">
        <f>ROUND(MIN(IF(C4169="Técnico III",35,IF(C4169="Técnico II",28,IF(C4169="Técnico I",23,IF(C4169="JR",20,IF(C4169="Estágio",10,0))))),IF(C4169="Técnico III",SUMIFS($D:$D,$A:$A,$A4169,$B:$B,"&lt;&gt;Patrícia Karla de Sousa Araújo",$B:$B,"&lt;&gt;Lorena Dias de Araujo",$B:$B,"&lt;&gt;Lucas Luiz Romero")*(35/1083),IF(C4169="Técnico II",SUMIFS($D:$D,$A:$A,$A4169,$B:$B,"&lt;&gt;Patrícia Karla de Sousa Araújo",$B:$B,"&lt;&gt;Lorena Dias de Araujo",$B:$B,"&lt;&gt;Lucas Luiz Romero")*(28/1083),IF(C4169="Técnico I",SUMIFS($D:$D,$A:$A,$A4169,$B:$B,"&lt;&gt;Patrícia Karla de Sousa Araújo",$B:$B,"&lt;&gt;Lorena Dias de Araujo",$B:$B,"&lt;&gt;Lucas Luiz Romero")*(23/1083),IF(C4169="JR",SUMIFS($D:$D,$A:$A,$A4169,$B:$B,"&lt;&gt;Patrícia Karla de Sousa Araújo",$B:$B,"&lt;&gt;Lorena Dias de Araujo",$B:$B,"&lt;&gt;Lucas Luiz Romero")*(20/1083),IF(C4169="Estágio",SUMIFS($D:$D,$A:$A,$A4169,$B:$B,"&lt;&gt;Patrícia Karla de Sousa Araújo",$B:$B,"&lt;&gt;Lorena Dias de Araujo",$B:$B,"&lt;&gt;Lucas Luiz Romero")*(10/1083),0)))))),0)</f>
        <v>7</v>
      </c>
      <c r="K4169" s="3">
        <f>I4169-J4169</f>
        <v>-2</v>
      </c>
      <c r="L4169" s="3" t="str">
        <f>IF(K4169&lt;-5,"CRÍTICO",IF(K4169&lt;0,"ATENÇÃO",IF(K4169&lt;=5,"OPORTUNO","MUITO BOM")))</f>
        <v>ATENÇÃO</v>
      </c>
      <c r="M4169">
        <v>4</v>
      </c>
      <c r="N4169">
        <v>100</v>
      </c>
      <c r="O4169">
        <v>23.134328358208951</v>
      </c>
    </row>
    <row r="4170" spans="1:15" hidden="1" x14ac:dyDescent="0.25">
      <c r="A4170" s="11">
        <v>46134</v>
      </c>
      <c r="B4170" t="s">
        <v>60</v>
      </c>
      <c r="C4170" t="s">
        <v>23</v>
      </c>
      <c r="D4170">
        <v>16</v>
      </c>
      <c r="E4170">
        <v>13</v>
      </c>
      <c r="F4170">
        <v>15.45</v>
      </c>
      <c r="G4170">
        <v>0</v>
      </c>
      <c r="H4170">
        <v>0</v>
      </c>
      <c r="I4170" s="3">
        <f>E4170+G4170+H4170</f>
        <v>13</v>
      </c>
      <c r="J4170" s="3">
        <f>ROUND(MIN(IF(C4170="Técnico III",35,IF(C4170="Técnico II",28,IF(C4170="Técnico I",23,IF(C4170="JR",20,IF(C4170="Estágio",10,0))))),IF(C4170="Técnico III",SUMIFS($D:$D,$A:$A,$A4170,$B:$B,"&lt;&gt;Patrícia Karla de Sousa Araújo",$B:$B,"&lt;&gt;Lorena Dias de Araujo",$B:$B,"&lt;&gt;Lucas Luiz Romero")*(35/1083),IF(C4170="Técnico II",SUMIFS($D:$D,$A:$A,$A4170,$B:$B,"&lt;&gt;Patrícia Karla de Sousa Araújo",$B:$B,"&lt;&gt;Lorena Dias de Araujo",$B:$B,"&lt;&gt;Lucas Luiz Romero")*(28/1083),IF(C4170="Técnico I",SUMIFS($D:$D,$A:$A,$A4170,$B:$B,"&lt;&gt;Patrícia Karla de Sousa Araújo",$B:$B,"&lt;&gt;Lorena Dias de Araujo",$B:$B,"&lt;&gt;Lucas Luiz Romero")*(23/1083),IF(C4170="JR",SUMIFS($D:$D,$A:$A,$A4170,$B:$B,"&lt;&gt;Patrícia Karla de Sousa Araújo",$B:$B,"&lt;&gt;Lorena Dias de Araujo",$B:$B,"&lt;&gt;Lucas Luiz Romero")*(20/1083),IF(C4170="Estágio",SUMIFS($D:$D,$A:$A,$A4170,$B:$B,"&lt;&gt;Patrícia Karla de Sousa Araújo",$B:$B,"&lt;&gt;Lorena Dias de Araujo",$B:$B,"&lt;&gt;Lucas Luiz Romero")*(10/1083),0)))))),0)</f>
        <v>15</v>
      </c>
      <c r="K4170" s="3">
        <f>I4170-J4170</f>
        <v>-2</v>
      </c>
      <c r="L4170" s="3" t="str">
        <f>IF(K4170&lt;-5,"CRÍTICO",IF(K4170&lt;0,"ATENÇÃO",IF(K4170&lt;=5,"OPORTUNO","MUITO BOM")))</f>
        <v>ATENÇÃO</v>
      </c>
      <c r="M4170">
        <v>13</v>
      </c>
      <c r="N4170">
        <v>96.3</v>
      </c>
      <c r="O4170">
        <v>32.219570405727922</v>
      </c>
    </row>
    <row r="4171" spans="1:15" hidden="1" x14ac:dyDescent="0.25">
      <c r="A4171" s="11">
        <v>46134</v>
      </c>
      <c r="B4171" t="s">
        <v>34</v>
      </c>
      <c r="C4171" t="s">
        <v>32</v>
      </c>
      <c r="D4171">
        <v>24</v>
      </c>
      <c r="E4171">
        <v>23</v>
      </c>
      <c r="F4171">
        <v>16.43</v>
      </c>
      <c r="G4171">
        <v>0</v>
      </c>
      <c r="H4171">
        <v>0</v>
      </c>
      <c r="I4171" s="3">
        <f>E4171+G4171+H4171</f>
        <v>23</v>
      </c>
      <c r="J4171" s="3">
        <f>ROUND(MIN(IF(C4171="Técnico III",35,IF(C4171="Técnico II",28,IF(C4171="Técnico I",23,IF(C4171="JR",20,IF(C4171="Estágio",10,0))))),IF(C4171="Técnico III",SUMIFS($D:$D,$A:$A,$A4171,$B:$B,"&lt;&gt;Patrícia Karla de Sousa Araújo",$B:$B,"&lt;&gt;Lorena Dias de Araujo",$B:$B,"&lt;&gt;Lucas Luiz Romero")*(35/1083),IF(C4171="Técnico II",SUMIFS($D:$D,$A:$A,$A4171,$B:$B,"&lt;&gt;Patrícia Karla de Sousa Araújo",$B:$B,"&lt;&gt;Lorena Dias de Araujo",$B:$B,"&lt;&gt;Lucas Luiz Romero")*(28/1083),IF(C4171="Técnico I",SUMIFS($D:$D,$A:$A,$A4171,$B:$B,"&lt;&gt;Patrícia Karla de Sousa Araújo",$B:$B,"&lt;&gt;Lorena Dias de Araujo",$B:$B,"&lt;&gt;Lucas Luiz Romero")*(23/1083),IF(C4171="JR",SUMIFS($D:$D,$A:$A,$A4171,$B:$B,"&lt;&gt;Patrícia Karla de Sousa Araújo",$B:$B,"&lt;&gt;Lorena Dias de Araujo",$B:$B,"&lt;&gt;Lucas Luiz Romero")*(20/1083),IF(C4171="Estágio",SUMIFS($D:$D,$A:$A,$A4171,$B:$B,"&lt;&gt;Patrícia Karla de Sousa Araújo",$B:$B,"&lt;&gt;Lorena Dias de Araujo",$B:$B,"&lt;&gt;Lucas Luiz Romero")*(10/1083),0)))))),0)</f>
        <v>23</v>
      </c>
      <c r="K4171" s="3">
        <f>I4171-J4171</f>
        <v>0</v>
      </c>
      <c r="L4171" s="3" t="str">
        <f>IF(K4171&lt;-5,"CRÍTICO",IF(K4171&lt;0,"ATENÇÃO",IF(K4171&lt;=5,"OPORTUNO","MUITO BOM")))</f>
        <v>OPORTUNO</v>
      </c>
      <c r="M4171">
        <v>19</v>
      </c>
      <c r="N4171">
        <v>93.75</v>
      </c>
      <c r="O4171">
        <v>26.819923371647509</v>
      </c>
    </row>
    <row r="4172" spans="1:15" hidden="1" x14ac:dyDescent="0.25">
      <c r="A4172" s="11">
        <v>46134</v>
      </c>
      <c r="B4172" t="s">
        <v>51</v>
      </c>
      <c r="C4172" t="s">
        <v>48</v>
      </c>
      <c r="D4172">
        <v>26</v>
      </c>
      <c r="E4172">
        <v>25</v>
      </c>
      <c r="F4172">
        <v>20.07</v>
      </c>
      <c r="G4172">
        <v>0</v>
      </c>
      <c r="H4172">
        <v>0</v>
      </c>
      <c r="I4172" s="3">
        <v>0</v>
      </c>
      <c r="J4172" s="3">
        <v>0</v>
      </c>
      <c r="K4172" s="3">
        <v>0</v>
      </c>
      <c r="L4172" s="3" t="str">
        <f>IF(K4172&lt;-5,"CRÍTICO",IF(K4172&lt;0,"ATENÇÃO",IF(K4172&lt;=5,"OPORTUNO","MUITO BOM")))</f>
        <v>OPORTUNO</v>
      </c>
      <c r="M4172">
        <v>21</v>
      </c>
      <c r="N4172">
        <v>97.86</v>
      </c>
      <c r="O4172">
        <v>31.018518518518519</v>
      </c>
    </row>
    <row r="4173" spans="1:15" hidden="1" x14ac:dyDescent="0.25">
      <c r="A4173" s="11">
        <v>46134</v>
      </c>
      <c r="B4173" t="s">
        <v>61</v>
      </c>
      <c r="C4173" t="s">
        <v>23</v>
      </c>
      <c r="D4173">
        <v>18</v>
      </c>
      <c r="E4173">
        <v>16</v>
      </c>
      <c r="F4173">
        <v>22.13</v>
      </c>
      <c r="G4173">
        <v>0</v>
      </c>
      <c r="H4173">
        <v>0</v>
      </c>
      <c r="I4173" s="3">
        <f>E4173+G4173+H4173</f>
        <v>16</v>
      </c>
      <c r="J4173" s="3">
        <f>ROUND(MIN(IF(C4173="Técnico III",35,IF(C4173="Técnico II",28,IF(C4173="Técnico I",23,IF(C4173="JR",20,IF(C4173="Estágio",10,0))))),IF(C4173="Técnico III",SUMIFS($D:$D,$A:$A,$A4173,$B:$B,"&lt;&gt;Patrícia Karla de Sousa Araújo",$B:$B,"&lt;&gt;Lorena Dias de Araujo",$B:$B,"&lt;&gt;Lucas Luiz Romero")*(35/1083),IF(C4173="Técnico II",SUMIFS($D:$D,$A:$A,$A4173,$B:$B,"&lt;&gt;Patrícia Karla de Sousa Araújo",$B:$B,"&lt;&gt;Lorena Dias de Araujo",$B:$B,"&lt;&gt;Lucas Luiz Romero")*(28/1083),IF(C4173="Técnico I",SUMIFS($D:$D,$A:$A,$A4173,$B:$B,"&lt;&gt;Patrícia Karla de Sousa Araújo",$B:$B,"&lt;&gt;Lorena Dias de Araujo",$B:$B,"&lt;&gt;Lucas Luiz Romero")*(23/1083),IF(C4173="JR",SUMIFS($D:$D,$A:$A,$A4173,$B:$B,"&lt;&gt;Patrícia Karla de Sousa Araújo",$B:$B,"&lt;&gt;Lorena Dias de Araujo",$B:$B,"&lt;&gt;Lucas Luiz Romero")*(20/1083),IF(C4173="Estágio",SUMIFS($D:$D,$A:$A,$A4173,$B:$B,"&lt;&gt;Patrícia Karla de Sousa Araújo",$B:$B,"&lt;&gt;Lorena Dias de Araujo",$B:$B,"&lt;&gt;Lucas Luiz Romero")*(10/1083),0)))))),0)</f>
        <v>15</v>
      </c>
      <c r="K4173" s="3">
        <f>I4173-J4173</f>
        <v>1</v>
      </c>
      <c r="L4173" s="3" t="str">
        <f>IF(K4173&lt;-5,"CRÍTICO",IF(K4173&lt;0,"ATENÇÃO",IF(K4173&lt;=5,"OPORTUNO","MUITO BOM")))</f>
        <v>OPORTUNO</v>
      </c>
      <c r="M4173">
        <v>8</v>
      </c>
      <c r="N4173">
        <v>100</v>
      </c>
      <c r="O4173">
        <v>36.594202898550733</v>
      </c>
    </row>
    <row r="4174" spans="1:15" hidden="1" x14ac:dyDescent="0.25">
      <c r="A4174" s="11">
        <v>46134</v>
      </c>
      <c r="B4174" t="s">
        <v>35</v>
      </c>
      <c r="C4174" t="s">
        <v>32</v>
      </c>
      <c r="D4174">
        <v>17</v>
      </c>
      <c r="E4174">
        <v>16</v>
      </c>
      <c r="F4174">
        <v>31.59</v>
      </c>
      <c r="G4174">
        <v>0</v>
      </c>
      <c r="H4174">
        <v>0</v>
      </c>
      <c r="I4174" s="3">
        <v>0</v>
      </c>
      <c r="J4174" s="3">
        <v>0</v>
      </c>
      <c r="K4174" s="3">
        <v>0</v>
      </c>
      <c r="L4174" s="3" t="str">
        <f>IF(K4174&lt;-5,"CRÍTICO",IF(K4174&lt;0,"ATENÇÃO",IF(K4174&lt;=5,"OPORTUNO","MUITO BOM")))</f>
        <v>OPORTUNO</v>
      </c>
      <c r="M4174">
        <v>16</v>
      </c>
      <c r="N4174">
        <v>100</v>
      </c>
      <c r="O4174">
        <v>38.653846153846153</v>
      </c>
    </row>
    <row r="4175" spans="1:15" hidden="1" x14ac:dyDescent="0.25">
      <c r="A4175" s="11">
        <v>46134</v>
      </c>
      <c r="B4175" t="s">
        <v>18</v>
      </c>
      <c r="C4175" t="s">
        <v>16</v>
      </c>
      <c r="D4175">
        <v>7</v>
      </c>
      <c r="E4175">
        <v>7</v>
      </c>
      <c r="F4175">
        <v>30.04</v>
      </c>
      <c r="G4175">
        <v>0</v>
      </c>
      <c r="H4175">
        <v>0</v>
      </c>
      <c r="I4175" s="3">
        <f>E4175+G4175+H4175</f>
        <v>7</v>
      </c>
      <c r="J4175" s="3">
        <f>ROUND(MIN(IF(C4175="Técnico III",35,IF(C4175="Técnico II",28,IF(C4175="Técnico I",23,IF(C4175="JR",20,IF(C4175="Estágio",10,0))))),IF(C4175="Técnico III",SUMIFS($D:$D,$A:$A,$A4175,$B:$B,"&lt;&gt;Patrícia Karla de Sousa Araújo",$B:$B,"&lt;&gt;Lorena Dias de Araujo",$B:$B,"&lt;&gt;Lucas Luiz Romero")*(35/1083),IF(C4175="Técnico II",SUMIFS($D:$D,$A:$A,$A4175,$B:$B,"&lt;&gt;Patrícia Karla de Sousa Araújo",$B:$B,"&lt;&gt;Lorena Dias de Araujo",$B:$B,"&lt;&gt;Lucas Luiz Romero")*(28/1083),IF(C4175="Técnico I",SUMIFS($D:$D,$A:$A,$A4175,$B:$B,"&lt;&gt;Patrícia Karla de Sousa Araújo",$B:$B,"&lt;&gt;Lorena Dias de Araujo",$B:$B,"&lt;&gt;Lucas Luiz Romero")*(23/1083),IF(C4175="JR",SUMIFS($D:$D,$A:$A,$A4175,$B:$B,"&lt;&gt;Patrícia Karla de Sousa Araújo",$B:$B,"&lt;&gt;Lorena Dias de Araujo",$B:$B,"&lt;&gt;Lucas Luiz Romero")*(20/1083),IF(C4175="Estágio",SUMIFS($D:$D,$A:$A,$A4175,$B:$B,"&lt;&gt;Patrícia Karla de Sousa Araújo",$B:$B,"&lt;&gt;Lorena Dias de Araujo",$B:$B,"&lt;&gt;Lucas Luiz Romero")*(10/1083),0)))))),0)</f>
        <v>7</v>
      </c>
      <c r="K4175" s="3">
        <f>I4175-J4175</f>
        <v>0</v>
      </c>
      <c r="L4175" s="3" t="str">
        <f>IF(K4175&lt;-5,"CRÍTICO",IF(K4175&lt;0,"ATENÇÃO",IF(K4175&lt;=5,"OPORTUNO","MUITO BOM")))</f>
        <v>OPORTUNO</v>
      </c>
      <c r="M4175">
        <v>5</v>
      </c>
      <c r="N4175">
        <v>100</v>
      </c>
      <c r="O4175">
        <v>27.368421052631579</v>
      </c>
    </row>
    <row r="4176" spans="1:15" hidden="1" x14ac:dyDescent="0.25">
      <c r="A4176" s="11">
        <v>46134</v>
      </c>
      <c r="B4176" t="s">
        <v>52</v>
      </c>
      <c r="C4176" t="s">
        <v>48</v>
      </c>
      <c r="D4176">
        <v>30</v>
      </c>
      <c r="E4176">
        <v>29</v>
      </c>
      <c r="F4176">
        <v>14.13</v>
      </c>
      <c r="G4176">
        <v>0</v>
      </c>
      <c r="H4176">
        <v>0</v>
      </c>
      <c r="I4176" s="3">
        <f>E4176+G4176+H4176</f>
        <v>29</v>
      </c>
      <c r="J4176" s="3">
        <f>ROUND(MIN(IF(C4176="Técnico III",35,IF(C4176="Técnico II",28,IF(C4176="Técnico I",23,IF(C4176="JR",20,IF(C4176="Estágio",10,0))))),IF(C4176="Técnico III",SUMIFS($D:$D,$A:$A,$A4176,$B:$B,"&lt;&gt;Patrícia Karla de Sousa Araújo",$B:$B,"&lt;&gt;Lorena Dias de Araujo",$B:$B,"&lt;&gt;Lucas Luiz Romero")*(35/1083),IF(C4176="Técnico II",SUMIFS($D:$D,$A:$A,$A4176,$B:$B,"&lt;&gt;Patrícia Karla de Sousa Araújo",$B:$B,"&lt;&gt;Lorena Dias de Araujo",$B:$B,"&lt;&gt;Lucas Luiz Romero")*(28/1083),IF(C4176="Técnico I",SUMIFS($D:$D,$A:$A,$A4176,$B:$B,"&lt;&gt;Patrícia Karla de Sousa Araújo",$B:$B,"&lt;&gt;Lorena Dias de Araujo",$B:$B,"&lt;&gt;Lucas Luiz Romero")*(23/1083),IF(C4176="JR",SUMIFS($D:$D,$A:$A,$A4176,$B:$B,"&lt;&gt;Patrícia Karla de Sousa Araújo",$B:$B,"&lt;&gt;Lorena Dias de Araujo",$B:$B,"&lt;&gt;Lucas Luiz Romero")*(20/1083),IF(C4176="Estágio",SUMIFS($D:$D,$A:$A,$A4176,$B:$B,"&lt;&gt;Patrícia Karla de Sousa Araújo",$B:$B,"&lt;&gt;Lorena Dias de Araujo",$B:$B,"&lt;&gt;Lucas Luiz Romero")*(10/1083),0)))))),0)</f>
        <v>18</v>
      </c>
      <c r="K4176" s="3">
        <f>I4176-J4176</f>
        <v>11</v>
      </c>
      <c r="L4176" s="3" t="str">
        <f>IF(K4176&lt;-5,"CRÍTICO",IF(K4176&lt;0,"ATENÇÃO",IF(K4176&lt;=5,"OPORTUNO","MUITO BOM")))</f>
        <v>MUITO BOM</v>
      </c>
      <c r="M4176">
        <v>27</v>
      </c>
      <c r="N4176">
        <v>97.83</v>
      </c>
      <c r="O4176">
        <v>28.35164835164835</v>
      </c>
    </row>
    <row r="4177" spans="1:15" hidden="1" x14ac:dyDescent="0.25">
      <c r="A4177" s="11">
        <v>46134</v>
      </c>
      <c r="B4177" t="s">
        <v>36</v>
      </c>
      <c r="C4177" t="s">
        <v>32</v>
      </c>
      <c r="D4177">
        <v>19</v>
      </c>
      <c r="E4177">
        <v>19</v>
      </c>
      <c r="F4177">
        <v>18.3</v>
      </c>
      <c r="G4177">
        <v>0</v>
      </c>
      <c r="H4177">
        <v>0</v>
      </c>
      <c r="I4177" s="3">
        <f>E4177+G4177+H4177</f>
        <v>19</v>
      </c>
      <c r="J4177" s="3">
        <f>ROUND(MIN(IF(C4177="Técnico III",35,IF(C4177="Técnico II",28,IF(C4177="Técnico I",23,IF(C4177="JR",20,IF(C4177="Estágio",10,0))))),IF(C4177="Técnico III",SUMIFS($D:$D,$A:$A,$A4177,$B:$B,"&lt;&gt;Patrícia Karla de Sousa Araújo",$B:$B,"&lt;&gt;Lorena Dias de Araujo",$B:$B,"&lt;&gt;Lucas Luiz Romero")*(35/1083),IF(C4177="Técnico II",SUMIFS($D:$D,$A:$A,$A4177,$B:$B,"&lt;&gt;Patrícia Karla de Sousa Araújo",$B:$B,"&lt;&gt;Lorena Dias de Araujo",$B:$B,"&lt;&gt;Lucas Luiz Romero")*(28/1083),IF(C4177="Técnico I",SUMIFS($D:$D,$A:$A,$A4177,$B:$B,"&lt;&gt;Patrícia Karla de Sousa Araújo",$B:$B,"&lt;&gt;Lorena Dias de Araujo",$B:$B,"&lt;&gt;Lucas Luiz Romero")*(23/1083),IF(C4177="JR",SUMIFS($D:$D,$A:$A,$A4177,$B:$B,"&lt;&gt;Patrícia Karla de Sousa Araújo",$B:$B,"&lt;&gt;Lorena Dias de Araujo",$B:$B,"&lt;&gt;Lucas Luiz Romero")*(20/1083),IF(C4177="Estágio",SUMIFS($D:$D,$A:$A,$A4177,$B:$B,"&lt;&gt;Patrícia Karla de Sousa Araújo",$B:$B,"&lt;&gt;Lorena Dias de Araujo",$B:$B,"&lt;&gt;Lucas Luiz Romero")*(10/1083),0)))))),0)</f>
        <v>23</v>
      </c>
      <c r="K4177" s="3">
        <f>I4177-J4177</f>
        <v>-4</v>
      </c>
      <c r="L4177" s="3" t="str">
        <f>IF(K4177&lt;-5,"CRÍTICO",IF(K4177&lt;0,"ATENÇÃO",IF(K4177&lt;=5,"OPORTUNO","MUITO BOM")))</f>
        <v>ATENÇÃO</v>
      </c>
      <c r="M4177">
        <v>19</v>
      </c>
      <c r="N4177">
        <v>99.26</v>
      </c>
      <c r="O4177">
        <v>29.766536964980549</v>
      </c>
    </row>
    <row r="4178" spans="1:15" hidden="1" x14ac:dyDescent="0.25">
      <c r="A4178" s="11">
        <v>46134</v>
      </c>
      <c r="B4178" t="s">
        <v>53</v>
      </c>
      <c r="C4178" t="s">
        <v>48</v>
      </c>
      <c r="D4178">
        <v>21</v>
      </c>
      <c r="E4178">
        <v>19</v>
      </c>
      <c r="F4178">
        <v>20.57</v>
      </c>
      <c r="G4178">
        <v>0</v>
      </c>
      <c r="H4178">
        <v>0</v>
      </c>
      <c r="I4178" s="3">
        <f>E4178+G4178+H4178</f>
        <v>19</v>
      </c>
      <c r="J4178" s="3">
        <f>ROUND(MIN(IF(C4178="Técnico III",35,IF(C4178="Técnico II",28,IF(C4178="Técnico I",23,IF(C4178="JR",20,IF(C4178="Estágio",10,0))))),IF(C4178="Técnico III",SUMIFS($D:$D,$A:$A,$A4178,$B:$B,"&lt;&gt;Patrícia Karla de Sousa Araújo",$B:$B,"&lt;&gt;Lorena Dias de Araujo",$B:$B,"&lt;&gt;Lucas Luiz Romero")*(35/1083),IF(C4178="Técnico II",SUMIFS($D:$D,$A:$A,$A4178,$B:$B,"&lt;&gt;Patrícia Karla de Sousa Araújo",$B:$B,"&lt;&gt;Lorena Dias de Araujo",$B:$B,"&lt;&gt;Lucas Luiz Romero")*(28/1083),IF(C4178="Técnico I",SUMIFS($D:$D,$A:$A,$A4178,$B:$B,"&lt;&gt;Patrícia Karla de Sousa Araújo",$B:$B,"&lt;&gt;Lorena Dias de Araujo",$B:$B,"&lt;&gt;Lucas Luiz Romero")*(23/1083),IF(C4178="JR",SUMIFS($D:$D,$A:$A,$A4178,$B:$B,"&lt;&gt;Patrícia Karla de Sousa Araújo",$B:$B,"&lt;&gt;Lorena Dias de Araujo",$B:$B,"&lt;&gt;Lucas Luiz Romero")*(20/1083),IF(C4178="Estágio",SUMIFS($D:$D,$A:$A,$A4178,$B:$B,"&lt;&gt;Patrícia Karla de Sousa Araújo",$B:$B,"&lt;&gt;Lorena Dias de Araujo",$B:$B,"&lt;&gt;Lucas Luiz Romero")*(10/1083),0)))))),0)</f>
        <v>18</v>
      </c>
      <c r="K4178" s="3">
        <f>I4178-J4178</f>
        <v>1</v>
      </c>
      <c r="L4178" s="3" t="str">
        <f>IF(K4178&lt;-5,"CRÍTICO",IF(K4178&lt;0,"ATENÇÃO",IF(K4178&lt;=5,"OPORTUNO","MUITO BOM")))</f>
        <v>OPORTUNO</v>
      </c>
      <c r="M4178">
        <v>17</v>
      </c>
      <c r="N4178">
        <v>99.19</v>
      </c>
      <c r="O4178">
        <v>29.462365591397852</v>
      </c>
    </row>
    <row r="4179" spans="1:15" hidden="1" x14ac:dyDescent="0.25">
      <c r="A4179" s="7">
        <v>46161</v>
      </c>
      <c r="B4179" s="8" t="s">
        <v>49</v>
      </c>
      <c r="C4179" s="14" t="s">
        <v>48</v>
      </c>
      <c r="D4179" s="3">
        <v>33</v>
      </c>
      <c r="E4179" s="3">
        <v>31</v>
      </c>
      <c r="F4179" s="3">
        <v>16.46</v>
      </c>
      <c r="G4179" s="3">
        <v>3</v>
      </c>
      <c r="H4179" s="3">
        <v>0</v>
      </c>
      <c r="I4179" s="3">
        <f>E4179+G4179+H4179</f>
        <v>34</v>
      </c>
      <c r="J4179" s="3">
        <f>ROUND(MIN(IF(C4179="Técnico III",35,IF(C4179="Técnico II",28,IF(C4179="Técnico I",23,IF(C4179="JR",20,IF(C4179="Estágio",10,0))))),IF(C4179="Técnico III",SUMIFS($D:$D,$A:$A,$A4179,$B:$B,"&lt;&gt;Patrícia Karla de Sousa Araújo",$B:$B,"&lt;&gt;Lorena Dias de Araujo",$B:$B,"&lt;&gt;Lucas Luiz Romero")*(35/1083),IF(C4179="Técnico II",SUMIFS($D:$D,$A:$A,$A4179,$B:$B,"&lt;&gt;Patrícia Karla de Sousa Araújo",$B:$B,"&lt;&gt;Lorena Dias de Araujo",$B:$B,"&lt;&gt;Lucas Luiz Romero")*(28/1083),IF(C4179="Técnico I",SUMIFS($D:$D,$A:$A,$A4179,$B:$B,"&lt;&gt;Patrícia Karla de Sousa Araújo",$B:$B,"&lt;&gt;Lorena Dias de Araujo",$B:$B,"&lt;&gt;Lucas Luiz Romero")*(23/1083),IF(C4179="JR",SUMIFS($D:$D,$A:$A,$A4179,$B:$B,"&lt;&gt;Patrícia Karla de Sousa Araújo",$B:$B,"&lt;&gt;Lorena Dias de Araujo",$B:$B,"&lt;&gt;Lucas Luiz Romero")*(20/1083),IF(C4179="Estágio",SUMIFS($D:$D,$A:$A,$A4179,$B:$B,"&lt;&gt;Patrícia Karla de Sousa Araújo",$B:$B,"&lt;&gt;Lorena Dias de Araujo",$B:$B,"&lt;&gt;Lucas Luiz Romero")*(10/1083),0)))))),0)</f>
        <v>23</v>
      </c>
      <c r="K4179" s="3">
        <f>I4179-J4179</f>
        <v>11</v>
      </c>
      <c r="L4179" s="3" t="str">
        <f>IF(K4179&lt;-5,"CRÍTICO",IF(K4179&lt;0,"ATENÇÃO",IF(K4179&lt;=5,"OPORTUNO","MUITO BOM")))</f>
        <v>MUITO BOM</v>
      </c>
      <c r="M4179" s="3">
        <v>33</v>
      </c>
      <c r="N4179" s="3">
        <v>99.35</v>
      </c>
      <c r="O4179" s="3">
        <v>19.852941176470591</v>
      </c>
    </row>
    <row r="4180" spans="1:15" hidden="1" x14ac:dyDescent="0.25">
      <c r="A4180" s="11">
        <v>46134</v>
      </c>
      <c r="B4180" t="s">
        <v>54</v>
      </c>
      <c r="C4180" t="s">
        <v>48</v>
      </c>
      <c r="D4180">
        <v>19</v>
      </c>
      <c r="E4180">
        <v>18</v>
      </c>
      <c r="F4180">
        <v>26.53</v>
      </c>
      <c r="G4180">
        <v>0</v>
      </c>
      <c r="H4180">
        <v>0</v>
      </c>
      <c r="I4180" s="3">
        <f>E4180+G4180+H4180</f>
        <v>18</v>
      </c>
      <c r="J4180" s="3">
        <f>ROUND(MIN(IF(C4180="Técnico III",35,IF(C4180="Técnico II",28,IF(C4180="Técnico I",23,IF(C4180="JR",20,IF(C4180="Estágio",10,0))))),IF(C4180="Técnico III",SUMIFS($D:$D,$A:$A,$A4180,$B:$B,"&lt;&gt;Patrícia Karla de Sousa Araújo",$B:$B,"&lt;&gt;Lorena Dias de Araujo",$B:$B,"&lt;&gt;Lucas Luiz Romero")*(35/1083),IF(C4180="Técnico II",SUMIFS($D:$D,$A:$A,$A4180,$B:$B,"&lt;&gt;Patrícia Karla de Sousa Araújo",$B:$B,"&lt;&gt;Lorena Dias de Araujo",$B:$B,"&lt;&gt;Lucas Luiz Romero")*(28/1083),IF(C4180="Técnico I",SUMIFS($D:$D,$A:$A,$A4180,$B:$B,"&lt;&gt;Patrícia Karla de Sousa Araújo",$B:$B,"&lt;&gt;Lorena Dias de Araujo",$B:$B,"&lt;&gt;Lucas Luiz Romero")*(23/1083),IF(C4180="JR",SUMIFS($D:$D,$A:$A,$A4180,$B:$B,"&lt;&gt;Patrícia Karla de Sousa Araújo",$B:$B,"&lt;&gt;Lorena Dias de Araujo",$B:$B,"&lt;&gt;Lucas Luiz Romero")*(20/1083),IF(C4180="Estágio",SUMIFS($D:$D,$A:$A,$A4180,$B:$B,"&lt;&gt;Patrícia Karla de Sousa Araújo",$B:$B,"&lt;&gt;Lorena Dias de Araujo",$B:$B,"&lt;&gt;Lucas Luiz Romero")*(10/1083),0)))))),0)</f>
        <v>18</v>
      </c>
      <c r="K4180" s="3">
        <f>I4180-J4180</f>
        <v>0</v>
      </c>
      <c r="L4180" s="3" t="str">
        <f>IF(K4180&lt;-5,"CRÍTICO",IF(K4180&lt;0,"ATENÇÃO",IF(K4180&lt;=5,"OPORTUNO","MUITO BOM")))</f>
        <v>OPORTUNO</v>
      </c>
      <c r="M4180">
        <v>20</v>
      </c>
      <c r="N4180">
        <v>100</v>
      </c>
      <c r="O4180">
        <v>28.921568627450981</v>
      </c>
    </row>
    <row r="4181" spans="1:15" hidden="1" x14ac:dyDescent="0.25">
      <c r="A4181" s="11">
        <v>46134</v>
      </c>
      <c r="B4181" t="s">
        <v>37</v>
      </c>
      <c r="C4181" t="s">
        <v>32</v>
      </c>
      <c r="D4181">
        <v>33</v>
      </c>
      <c r="E4181">
        <v>30</v>
      </c>
      <c r="F4181">
        <v>15.55</v>
      </c>
      <c r="G4181">
        <v>0</v>
      </c>
      <c r="H4181">
        <v>0</v>
      </c>
      <c r="I4181" s="3">
        <f>E4181+G4181+H4181</f>
        <v>30</v>
      </c>
      <c r="J4181" s="3">
        <f>ROUND(MIN(IF(C4181="Técnico III",35,IF(C4181="Técnico II",28,IF(C4181="Técnico I",23,IF(C4181="JR",20,IF(C4181="Estágio",10,0))))),IF(C4181="Técnico III",SUMIFS($D:$D,$A:$A,$A4181,$B:$B,"&lt;&gt;Patrícia Karla de Sousa Araújo",$B:$B,"&lt;&gt;Lorena Dias de Araujo",$B:$B,"&lt;&gt;Lucas Luiz Romero")*(35/1083),IF(C4181="Técnico II",SUMIFS($D:$D,$A:$A,$A4181,$B:$B,"&lt;&gt;Patrícia Karla de Sousa Araújo",$B:$B,"&lt;&gt;Lorena Dias de Araujo",$B:$B,"&lt;&gt;Lucas Luiz Romero")*(28/1083),IF(C4181="Técnico I",SUMIFS($D:$D,$A:$A,$A4181,$B:$B,"&lt;&gt;Patrícia Karla de Sousa Araújo",$B:$B,"&lt;&gt;Lorena Dias de Araujo",$B:$B,"&lt;&gt;Lucas Luiz Romero")*(23/1083),IF(C4181="JR",SUMIFS($D:$D,$A:$A,$A4181,$B:$B,"&lt;&gt;Patrícia Karla de Sousa Araújo",$B:$B,"&lt;&gt;Lorena Dias de Araujo",$B:$B,"&lt;&gt;Lucas Luiz Romero")*(20/1083),IF(C4181="Estágio",SUMIFS($D:$D,$A:$A,$A4181,$B:$B,"&lt;&gt;Patrícia Karla de Sousa Araújo",$B:$B,"&lt;&gt;Lorena Dias de Araujo",$B:$B,"&lt;&gt;Lucas Luiz Romero")*(10/1083),0)))))),0)</f>
        <v>23</v>
      </c>
      <c r="K4181" s="3">
        <f>I4181-J4181</f>
        <v>7</v>
      </c>
      <c r="L4181" s="3" t="str">
        <f>IF(K4181&lt;-5,"CRÍTICO",IF(K4181&lt;0,"ATENÇÃO",IF(K4181&lt;=5,"OPORTUNO","MUITO BOM")))</f>
        <v>MUITO BOM</v>
      </c>
      <c r="M4181">
        <v>27</v>
      </c>
      <c r="N4181">
        <v>99.57</v>
      </c>
      <c r="O4181">
        <v>30.635838150289018</v>
      </c>
    </row>
    <row r="4182" spans="1:15" hidden="1" x14ac:dyDescent="0.25">
      <c r="A4182" s="11">
        <v>46134</v>
      </c>
      <c r="B4182" t="s">
        <v>38</v>
      </c>
      <c r="C4182" t="s">
        <v>32</v>
      </c>
      <c r="D4182">
        <v>0</v>
      </c>
      <c r="E4182">
        <v>0</v>
      </c>
      <c r="F4182">
        <v>0</v>
      </c>
      <c r="G4182">
        <v>0</v>
      </c>
      <c r="H4182">
        <v>0</v>
      </c>
      <c r="I4182" s="3">
        <v>0</v>
      </c>
      <c r="J4182" s="3">
        <v>0</v>
      </c>
      <c r="K4182" s="3">
        <v>0</v>
      </c>
      <c r="L4182" s="3" t="str">
        <f>IF(K4182&lt;-5,"CRÍTICO",IF(K4182&lt;0,"ATENÇÃO",IF(K4182&lt;=5,"OPORTUNO","MUITO BOM")))</f>
        <v>OPORTUNO</v>
      </c>
      <c r="M4182">
        <v>0</v>
      </c>
      <c r="N4182">
        <v>95.65</v>
      </c>
      <c r="O4182">
        <v>32.432432432432442</v>
      </c>
    </row>
    <row r="4183" spans="1:15" hidden="1" x14ac:dyDescent="0.25">
      <c r="A4183" s="11">
        <v>46134</v>
      </c>
      <c r="B4183" t="s">
        <v>55</v>
      </c>
      <c r="C4183" t="s">
        <v>48</v>
      </c>
      <c r="D4183">
        <v>27</v>
      </c>
      <c r="E4183">
        <v>21</v>
      </c>
      <c r="F4183">
        <v>13.34</v>
      </c>
      <c r="G4183">
        <v>0</v>
      </c>
      <c r="H4183">
        <v>0</v>
      </c>
      <c r="I4183" s="3">
        <f>E4183+G4183+H4183</f>
        <v>21</v>
      </c>
      <c r="J4183" s="3">
        <f>ROUND(MIN(IF(C4183="Técnico III",35,IF(C4183="Técnico II",28,IF(C4183="Técnico I",23,IF(C4183="JR",20,IF(C4183="Estágio",10,0))))),IF(C4183="Técnico III",SUMIFS($D:$D,$A:$A,$A4183,$B:$B,"&lt;&gt;Patrícia Karla de Sousa Araújo",$B:$B,"&lt;&gt;Lorena Dias de Araujo",$B:$B,"&lt;&gt;Lucas Luiz Romero")*(35/1083),IF(C4183="Técnico II",SUMIFS($D:$D,$A:$A,$A4183,$B:$B,"&lt;&gt;Patrícia Karla de Sousa Araújo",$B:$B,"&lt;&gt;Lorena Dias de Araujo",$B:$B,"&lt;&gt;Lucas Luiz Romero")*(28/1083),IF(C4183="Técnico I",SUMIFS($D:$D,$A:$A,$A4183,$B:$B,"&lt;&gt;Patrícia Karla de Sousa Araújo",$B:$B,"&lt;&gt;Lorena Dias de Araujo",$B:$B,"&lt;&gt;Lucas Luiz Romero")*(23/1083),IF(C4183="JR",SUMIFS($D:$D,$A:$A,$A4183,$B:$B,"&lt;&gt;Patrícia Karla de Sousa Araújo",$B:$B,"&lt;&gt;Lorena Dias de Araujo",$B:$B,"&lt;&gt;Lucas Luiz Romero")*(20/1083),IF(C4183="Estágio",SUMIFS($D:$D,$A:$A,$A4183,$B:$B,"&lt;&gt;Patrícia Karla de Sousa Araújo",$B:$B,"&lt;&gt;Lorena Dias de Araujo",$B:$B,"&lt;&gt;Lucas Luiz Romero")*(10/1083),0)))))),0)</f>
        <v>18</v>
      </c>
      <c r="K4183" s="3">
        <f>I4183-J4183</f>
        <v>3</v>
      </c>
      <c r="L4183" s="3" t="str">
        <f>IF(K4183&lt;-5,"CRÍTICO",IF(K4183&lt;0,"ATENÇÃO",IF(K4183&lt;=5,"OPORTUNO","MUITO BOM")))</f>
        <v>OPORTUNO</v>
      </c>
      <c r="M4183">
        <v>20</v>
      </c>
      <c r="N4183">
        <v>98.81</v>
      </c>
      <c r="O4183">
        <v>26.256983240223459</v>
      </c>
    </row>
    <row r="4184" spans="1:15" hidden="1" x14ac:dyDescent="0.25">
      <c r="A4184" s="11">
        <v>46134</v>
      </c>
      <c r="B4184" t="s">
        <v>39</v>
      </c>
      <c r="C4184" t="s">
        <v>32</v>
      </c>
      <c r="D4184">
        <v>0</v>
      </c>
      <c r="E4184">
        <v>0</v>
      </c>
      <c r="F4184">
        <v>0</v>
      </c>
      <c r="G4184">
        <v>0</v>
      </c>
      <c r="H4184">
        <v>0</v>
      </c>
      <c r="I4184" s="3">
        <v>0</v>
      </c>
      <c r="J4184" s="3">
        <v>0</v>
      </c>
      <c r="K4184" s="3">
        <v>0</v>
      </c>
      <c r="L4184" s="3" t="str">
        <f>IF(K4184&lt;-5,"CRÍTICO",IF(K4184&lt;0,"ATENÇÃO",IF(K4184&lt;=5,"OPORTUNO","MUITO BOM")))</f>
        <v>OPORTUNO</v>
      </c>
      <c r="M4184">
        <v>0</v>
      </c>
      <c r="N4184">
        <v>0</v>
      </c>
      <c r="O4184">
        <v>0</v>
      </c>
    </row>
    <row r="4185" spans="1:15" hidden="1" x14ac:dyDescent="0.25">
      <c r="A4185" s="11">
        <v>46134</v>
      </c>
      <c r="B4185" t="s">
        <v>25</v>
      </c>
      <c r="C4185" t="s">
        <v>26</v>
      </c>
      <c r="D4185">
        <v>10</v>
      </c>
      <c r="E4185">
        <v>9</v>
      </c>
      <c r="F4185">
        <v>34.119999999999997</v>
      </c>
      <c r="G4185">
        <v>0</v>
      </c>
      <c r="H4185">
        <v>0</v>
      </c>
      <c r="I4185" s="3">
        <f>E4185+G4185+H4185</f>
        <v>9</v>
      </c>
      <c r="J4185" s="3">
        <f>ROUND(MIN(IF(C4185="Técnico III",35,IF(C4185="Técnico II",28,IF(C4185="Técnico I",23,IF(C4185="JR",20,IF(C4185="Estágio",10,0))))),IF(C4185="Técnico III",SUMIFS($D:$D,$A:$A,$A4185,$B:$B,"&lt;&gt;Patrícia Karla de Sousa Araújo",$B:$B,"&lt;&gt;Lorena Dias de Araujo",$B:$B,"&lt;&gt;Lucas Luiz Romero")*(35/1083),IF(C4185="Técnico II",SUMIFS($D:$D,$A:$A,$A4185,$B:$B,"&lt;&gt;Patrícia Karla de Sousa Araújo",$B:$B,"&lt;&gt;Lorena Dias de Araujo",$B:$B,"&lt;&gt;Lucas Luiz Romero")*(28/1083),IF(C4185="Técnico I",SUMIFS($D:$D,$A:$A,$A4185,$B:$B,"&lt;&gt;Patrícia Karla de Sousa Araújo",$B:$B,"&lt;&gt;Lorena Dias de Araujo",$B:$B,"&lt;&gt;Lucas Luiz Romero")*(23/1083),IF(C4185="JR",SUMIFS($D:$D,$A:$A,$A4185,$B:$B,"&lt;&gt;Patrícia Karla de Sousa Araújo",$B:$B,"&lt;&gt;Lorena Dias de Araujo",$B:$B,"&lt;&gt;Lucas Luiz Romero")*(20/1083),IF(C4185="Estágio",SUMIFS($D:$D,$A:$A,$A4185,$B:$B,"&lt;&gt;Patrícia Karla de Sousa Araújo",$B:$B,"&lt;&gt;Lorena Dias de Araujo",$B:$B,"&lt;&gt;Lucas Luiz Romero")*(10/1083),0)))))),0)</f>
        <v>13</v>
      </c>
      <c r="K4185" s="3">
        <f>I4185-J4185</f>
        <v>-4</v>
      </c>
      <c r="L4185" s="3" t="str">
        <f>IF(K4185&lt;-5,"CRÍTICO",IF(K4185&lt;0,"ATENÇÃO",IF(K4185&lt;=5,"OPORTUNO","MUITO BOM")))</f>
        <v>ATENÇÃO</v>
      </c>
      <c r="M4185">
        <v>10</v>
      </c>
      <c r="N4185">
        <v>97.17</v>
      </c>
      <c r="O4185">
        <v>28.81844380403458</v>
      </c>
    </row>
    <row r="4186" spans="1:15" hidden="1" x14ac:dyDescent="0.25">
      <c r="A4186" s="11">
        <v>46134</v>
      </c>
      <c r="B4186" t="s">
        <v>40</v>
      </c>
      <c r="C4186" t="s">
        <v>32</v>
      </c>
      <c r="D4186">
        <v>0</v>
      </c>
      <c r="E4186">
        <v>0</v>
      </c>
      <c r="F4186">
        <v>0</v>
      </c>
      <c r="G4186">
        <v>0</v>
      </c>
      <c r="H4186">
        <v>0</v>
      </c>
      <c r="I4186" s="3">
        <v>0</v>
      </c>
      <c r="J4186" s="3">
        <v>0</v>
      </c>
      <c r="K4186" s="3">
        <v>0</v>
      </c>
      <c r="L4186" s="3" t="str">
        <f>IF(K4186&lt;-5,"CRÍTICO",IF(K4186&lt;0,"ATENÇÃO",IF(K4186&lt;=5,"OPORTUNO","MUITO BOM")))</f>
        <v>OPORTUNO</v>
      </c>
      <c r="M4186">
        <v>20</v>
      </c>
      <c r="N4186">
        <v>96.81</v>
      </c>
      <c r="O4186">
        <v>48.018648018648022</v>
      </c>
    </row>
    <row r="4187" spans="1:15" hidden="1" x14ac:dyDescent="0.25">
      <c r="A4187" s="11">
        <v>46134</v>
      </c>
      <c r="B4187" t="s">
        <v>27</v>
      </c>
      <c r="C4187" t="s">
        <v>26</v>
      </c>
      <c r="D4187">
        <v>6</v>
      </c>
      <c r="E4187">
        <v>5</v>
      </c>
      <c r="F4187">
        <v>52.11</v>
      </c>
      <c r="G4187">
        <v>0</v>
      </c>
      <c r="H4187">
        <v>0</v>
      </c>
      <c r="I4187" s="3">
        <f>E4187+G4187+H4187</f>
        <v>5</v>
      </c>
      <c r="J4187" s="3">
        <f>ROUND(MIN(IF(C4187="Técnico III",35,IF(C4187="Técnico II",28,IF(C4187="Técnico I",23,IF(C4187="JR",20,IF(C4187="Estágio",10,0))))),IF(C4187="Técnico III",SUMIFS($D:$D,$A:$A,$A4187,$B:$B,"&lt;&gt;Patrícia Karla de Sousa Araújo",$B:$B,"&lt;&gt;Lorena Dias de Araujo",$B:$B,"&lt;&gt;Lucas Luiz Romero")*(35/1083),IF(C4187="Técnico II",SUMIFS($D:$D,$A:$A,$A4187,$B:$B,"&lt;&gt;Patrícia Karla de Sousa Araújo",$B:$B,"&lt;&gt;Lorena Dias de Araujo",$B:$B,"&lt;&gt;Lucas Luiz Romero")*(28/1083),IF(C4187="Técnico I",SUMIFS($D:$D,$A:$A,$A4187,$B:$B,"&lt;&gt;Patrícia Karla de Sousa Araújo",$B:$B,"&lt;&gt;Lorena Dias de Araujo",$B:$B,"&lt;&gt;Lucas Luiz Romero")*(23/1083),IF(C4187="JR",SUMIFS($D:$D,$A:$A,$A4187,$B:$B,"&lt;&gt;Patrícia Karla de Sousa Araújo",$B:$B,"&lt;&gt;Lorena Dias de Araujo",$B:$B,"&lt;&gt;Lucas Luiz Romero")*(20/1083),IF(C4187="Estágio",SUMIFS($D:$D,$A:$A,$A4187,$B:$B,"&lt;&gt;Patrícia Karla de Sousa Araújo",$B:$B,"&lt;&gt;Lorena Dias de Araujo",$B:$B,"&lt;&gt;Lucas Luiz Romero")*(10/1083),0)))))),0)</f>
        <v>13</v>
      </c>
      <c r="K4187" s="3">
        <f>I4187-J4187</f>
        <v>-8</v>
      </c>
      <c r="L4187" s="3" t="str">
        <f>IF(K4187&lt;-5,"CRÍTICO",IF(K4187&lt;0,"ATENÇÃO",IF(K4187&lt;=5,"OPORTUNO","MUITO BOM")))</f>
        <v>CRÍTICO</v>
      </c>
      <c r="M4187">
        <v>5</v>
      </c>
      <c r="N4187">
        <v>98.15</v>
      </c>
      <c r="O4187">
        <v>27.1551724137931</v>
      </c>
    </row>
    <row r="4188" spans="1:15" hidden="1" x14ac:dyDescent="0.25">
      <c r="A4188" s="11">
        <v>46134</v>
      </c>
      <c r="B4188" t="s">
        <v>41</v>
      </c>
      <c r="C4188" t="s">
        <v>32</v>
      </c>
      <c r="D4188">
        <v>26</v>
      </c>
      <c r="E4188">
        <v>23</v>
      </c>
      <c r="F4188">
        <v>12.33</v>
      </c>
      <c r="G4188">
        <v>0</v>
      </c>
      <c r="H4188">
        <v>0</v>
      </c>
      <c r="I4188" s="3">
        <f>E4188+G4188+H4188</f>
        <v>23</v>
      </c>
      <c r="J4188" s="3">
        <f>ROUND(MIN(IF(C4188="Técnico III",35,IF(C4188="Técnico II",28,IF(C4188="Técnico I",23,IF(C4188="JR",20,IF(C4188="Estágio",10,0))))),IF(C4188="Técnico III",SUMIFS($D:$D,$A:$A,$A4188,$B:$B,"&lt;&gt;Patrícia Karla de Sousa Araújo",$B:$B,"&lt;&gt;Lorena Dias de Araujo",$B:$B,"&lt;&gt;Lucas Luiz Romero")*(35/1083),IF(C4188="Técnico II",SUMIFS($D:$D,$A:$A,$A4188,$B:$B,"&lt;&gt;Patrícia Karla de Sousa Araújo",$B:$B,"&lt;&gt;Lorena Dias de Araujo",$B:$B,"&lt;&gt;Lucas Luiz Romero")*(28/1083),IF(C4188="Técnico I",SUMIFS($D:$D,$A:$A,$A4188,$B:$B,"&lt;&gt;Patrícia Karla de Sousa Araújo",$B:$B,"&lt;&gt;Lorena Dias de Araujo",$B:$B,"&lt;&gt;Lucas Luiz Romero")*(23/1083),IF(C4188="JR",SUMIFS($D:$D,$A:$A,$A4188,$B:$B,"&lt;&gt;Patrícia Karla de Sousa Araújo",$B:$B,"&lt;&gt;Lorena Dias de Araujo",$B:$B,"&lt;&gt;Lucas Luiz Romero")*(20/1083),IF(C4188="Estágio",SUMIFS($D:$D,$A:$A,$A4188,$B:$B,"&lt;&gt;Patrícia Karla de Sousa Araújo",$B:$B,"&lt;&gt;Lorena Dias de Araujo",$B:$B,"&lt;&gt;Lucas Luiz Romero")*(10/1083),0)))))),0)</f>
        <v>23</v>
      </c>
      <c r="K4188" s="3">
        <f>I4188-J4188</f>
        <v>0</v>
      </c>
      <c r="L4188" s="3" t="str">
        <f>IF(K4188&lt;-5,"CRÍTICO",IF(K4188&lt;0,"ATENÇÃO",IF(K4188&lt;=5,"OPORTUNO","MUITO BOM")))</f>
        <v>OPORTUNO</v>
      </c>
      <c r="M4188">
        <v>25</v>
      </c>
      <c r="N4188">
        <v>99.15</v>
      </c>
      <c r="O4188">
        <v>27.586206896551719</v>
      </c>
    </row>
    <row r="4189" spans="1:15" hidden="1" x14ac:dyDescent="0.25">
      <c r="A4189" s="11">
        <v>46134</v>
      </c>
      <c r="B4189" t="s">
        <v>56</v>
      </c>
      <c r="C4189" t="s">
        <v>48</v>
      </c>
      <c r="D4189">
        <v>25</v>
      </c>
      <c r="E4189">
        <v>21</v>
      </c>
      <c r="F4189">
        <v>15.41</v>
      </c>
      <c r="G4189">
        <v>0</v>
      </c>
      <c r="H4189">
        <v>0</v>
      </c>
      <c r="I4189" s="3">
        <f>E4189+G4189+H4189</f>
        <v>21</v>
      </c>
      <c r="J4189" s="3">
        <f>ROUND(MIN(IF(C4189="Técnico III",35,IF(C4189="Técnico II",28,IF(C4189="Técnico I",23,IF(C4189="JR",20,IF(C4189="Estágio",10,0))))),IF(C4189="Técnico III",SUMIFS($D:$D,$A:$A,$A4189,$B:$B,"&lt;&gt;Patrícia Karla de Sousa Araújo",$B:$B,"&lt;&gt;Lorena Dias de Araujo",$B:$B,"&lt;&gt;Lucas Luiz Romero")*(35/1083),IF(C4189="Técnico II",SUMIFS($D:$D,$A:$A,$A4189,$B:$B,"&lt;&gt;Patrícia Karla de Sousa Araújo",$B:$B,"&lt;&gt;Lorena Dias de Araujo",$B:$B,"&lt;&gt;Lucas Luiz Romero")*(28/1083),IF(C4189="Técnico I",SUMIFS($D:$D,$A:$A,$A4189,$B:$B,"&lt;&gt;Patrícia Karla de Sousa Araújo",$B:$B,"&lt;&gt;Lorena Dias de Araujo",$B:$B,"&lt;&gt;Lucas Luiz Romero")*(23/1083),IF(C4189="JR",SUMIFS($D:$D,$A:$A,$A4189,$B:$B,"&lt;&gt;Patrícia Karla de Sousa Araújo",$B:$B,"&lt;&gt;Lorena Dias de Araujo",$B:$B,"&lt;&gt;Lucas Luiz Romero")*(20/1083),IF(C4189="Estágio",SUMIFS($D:$D,$A:$A,$A4189,$B:$B,"&lt;&gt;Patrícia Karla de Sousa Araújo",$B:$B,"&lt;&gt;Lorena Dias de Araujo",$B:$B,"&lt;&gt;Lucas Luiz Romero")*(10/1083),0)))))),0)</f>
        <v>18</v>
      </c>
      <c r="K4189" s="3">
        <f>I4189-J4189</f>
        <v>3</v>
      </c>
      <c r="L4189" s="3" t="str">
        <f>IF(K4189&lt;-5,"CRÍTICO",IF(K4189&lt;0,"ATENÇÃO",IF(K4189&lt;=5,"OPORTUNO","MUITO BOM")))</f>
        <v>OPORTUNO</v>
      </c>
      <c r="M4189">
        <v>21</v>
      </c>
      <c r="N4189">
        <v>99.17</v>
      </c>
      <c r="O4189">
        <v>29.75206611570248</v>
      </c>
    </row>
    <row r="4190" spans="1:15" hidden="1" x14ac:dyDescent="0.25">
      <c r="A4190" s="11">
        <v>46134</v>
      </c>
      <c r="B4190" t="s">
        <v>57</v>
      </c>
      <c r="C4190" t="s">
        <v>48</v>
      </c>
      <c r="D4190">
        <v>0</v>
      </c>
      <c r="E4190">
        <v>0</v>
      </c>
      <c r="F4190">
        <v>0</v>
      </c>
      <c r="G4190">
        <v>0</v>
      </c>
      <c r="H4190">
        <v>0</v>
      </c>
      <c r="I4190" s="3">
        <v>0</v>
      </c>
      <c r="J4190" s="3">
        <v>0</v>
      </c>
      <c r="K4190" s="3">
        <v>0</v>
      </c>
      <c r="L4190" s="3" t="str">
        <f>IF(K4190&lt;-5,"CRÍTICO",IF(K4190&lt;0,"ATENÇÃO",IF(K4190&lt;=5,"OPORTUNO","MUITO BOM")))</f>
        <v>OPORTUNO</v>
      </c>
      <c r="M4190">
        <v>0</v>
      </c>
      <c r="N4190">
        <v>98.73</v>
      </c>
      <c r="O4190">
        <v>28.961748633879779</v>
      </c>
    </row>
    <row r="4191" spans="1:15" hidden="1" x14ac:dyDescent="0.25">
      <c r="A4191" s="11">
        <v>46134</v>
      </c>
      <c r="B4191" t="s">
        <v>42</v>
      </c>
      <c r="C4191" t="s">
        <v>32</v>
      </c>
      <c r="D4191">
        <v>0</v>
      </c>
      <c r="E4191">
        <v>0</v>
      </c>
      <c r="F4191">
        <v>0</v>
      </c>
      <c r="G4191">
        <v>0</v>
      </c>
      <c r="H4191">
        <v>0</v>
      </c>
      <c r="I4191" s="3">
        <v>0</v>
      </c>
      <c r="J4191" s="3">
        <v>0</v>
      </c>
      <c r="K4191" s="3">
        <v>0</v>
      </c>
      <c r="L4191" s="3" t="str">
        <f>IF(K4191&lt;-5,"CRÍTICO",IF(K4191&lt;0,"ATENÇÃO",IF(K4191&lt;=5,"OPORTUNO","MUITO BOM")))</f>
        <v>OPORTUNO</v>
      </c>
      <c r="M4191">
        <v>0</v>
      </c>
      <c r="N4191">
        <v>88.68</v>
      </c>
      <c r="O4191">
        <v>22.03389830508474</v>
      </c>
    </row>
    <row r="4192" spans="1:15" hidden="1" x14ac:dyDescent="0.25">
      <c r="A4192" s="11">
        <v>46134</v>
      </c>
      <c r="B4192" t="s">
        <v>62</v>
      </c>
      <c r="C4192" t="s">
        <v>23</v>
      </c>
      <c r="D4192">
        <v>19</v>
      </c>
      <c r="E4192">
        <v>19</v>
      </c>
      <c r="F4192">
        <v>20.37</v>
      </c>
      <c r="G4192">
        <v>0</v>
      </c>
      <c r="H4192">
        <v>0</v>
      </c>
      <c r="I4192" s="3">
        <f>E4192+G4192+H4192</f>
        <v>19</v>
      </c>
      <c r="J4192" s="3">
        <f>ROUND(MIN(IF(C4192="Técnico III",35,IF(C4192="Técnico II",28,IF(C4192="Técnico I",23,IF(C4192="JR",20,IF(C4192="Estágio",10,0))))),IF(C4192="Técnico III",SUMIFS($D:$D,$A:$A,$A4192,$B:$B,"&lt;&gt;Patrícia Karla de Sousa Araújo",$B:$B,"&lt;&gt;Lorena Dias de Araujo",$B:$B,"&lt;&gt;Lucas Luiz Romero")*(35/1083),IF(C4192="Técnico II",SUMIFS($D:$D,$A:$A,$A4192,$B:$B,"&lt;&gt;Patrícia Karla de Sousa Araújo",$B:$B,"&lt;&gt;Lorena Dias de Araujo",$B:$B,"&lt;&gt;Lucas Luiz Romero")*(28/1083),IF(C4192="Técnico I",SUMIFS($D:$D,$A:$A,$A4192,$B:$B,"&lt;&gt;Patrícia Karla de Sousa Araújo",$B:$B,"&lt;&gt;Lorena Dias de Araujo",$B:$B,"&lt;&gt;Lucas Luiz Romero")*(23/1083),IF(C4192="JR",SUMIFS($D:$D,$A:$A,$A4192,$B:$B,"&lt;&gt;Patrícia Karla de Sousa Araújo",$B:$B,"&lt;&gt;Lorena Dias de Araujo",$B:$B,"&lt;&gt;Lucas Luiz Romero")*(20/1083),IF(C4192="Estágio",SUMIFS($D:$D,$A:$A,$A4192,$B:$B,"&lt;&gt;Patrícia Karla de Sousa Araújo",$B:$B,"&lt;&gt;Lorena Dias de Araujo",$B:$B,"&lt;&gt;Lucas Luiz Romero")*(10/1083),0)))))),0)</f>
        <v>15</v>
      </c>
      <c r="K4192" s="3">
        <f>I4192-J4192</f>
        <v>4</v>
      </c>
      <c r="L4192" s="3" t="str">
        <f>IF(K4192&lt;-5,"CRÍTICO",IF(K4192&lt;0,"ATENÇÃO",IF(K4192&lt;=5,"OPORTUNO","MUITO BOM")))</f>
        <v>OPORTUNO</v>
      </c>
      <c r="M4192">
        <v>15</v>
      </c>
      <c r="N4192">
        <v>97.37</v>
      </c>
      <c r="O4192">
        <v>25.76530612244898</v>
      </c>
    </row>
    <row r="4193" spans="1:15" hidden="1" x14ac:dyDescent="0.25">
      <c r="A4193" s="11">
        <v>46134</v>
      </c>
      <c r="B4193" t="s">
        <v>19</v>
      </c>
      <c r="C4193" t="s">
        <v>16</v>
      </c>
      <c r="D4193">
        <v>6</v>
      </c>
      <c r="E4193">
        <v>2</v>
      </c>
      <c r="F4193">
        <v>2.34</v>
      </c>
      <c r="G4193">
        <v>0</v>
      </c>
      <c r="H4193">
        <v>0</v>
      </c>
      <c r="I4193" s="3">
        <f>E4193+G4193+H4193</f>
        <v>2</v>
      </c>
      <c r="J4193" s="3">
        <f>ROUND(MIN(IF(C4193="Técnico III",35,IF(C4193="Técnico II",28,IF(C4193="Técnico I",23,IF(C4193="JR",20,IF(C4193="Estágio",10,0))))),IF(C4193="Técnico III",SUMIFS($D:$D,$A:$A,$A4193,$B:$B,"&lt;&gt;Patrícia Karla de Sousa Araújo",$B:$B,"&lt;&gt;Lorena Dias de Araujo",$B:$B,"&lt;&gt;Lucas Luiz Romero")*(35/1083),IF(C4193="Técnico II",SUMIFS($D:$D,$A:$A,$A4193,$B:$B,"&lt;&gt;Patrícia Karla de Sousa Araújo",$B:$B,"&lt;&gt;Lorena Dias de Araujo",$B:$B,"&lt;&gt;Lucas Luiz Romero")*(28/1083),IF(C4193="Técnico I",SUMIFS($D:$D,$A:$A,$A4193,$B:$B,"&lt;&gt;Patrícia Karla de Sousa Araújo",$B:$B,"&lt;&gt;Lorena Dias de Araujo",$B:$B,"&lt;&gt;Lucas Luiz Romero")*(23/1083),IF(C4193="JR",SUMIFS($D:$D,$A:$A,$A4193,$B:$B,"&lt;&gt;Patrícia Karla de Sousa Araújo",$B:$B,"&lt;&gt;Lorena Dias de Araujo",$B:$B,"&lt;&gt;Lucas Luiz Romero")*(20/1083),IF(C4193="Estágio",SUMIFS($D:$D,$A:$A,$A4193,$B:$B,"&lt;&gt;Patrícia Karla de Sousa Araújo",$B:$B,"&lt;&gt;Lorena Dias de Araujo",$B:$B,"&lt;&gt;Lucas Luiz Romero")*(10/1083),0)))))),0)</f>
        <v>7</v>
      </c>
      <c r="K4193" s="3">
        <f>I4193-J4193</f>
        <v>-5</v>
      </c>
      <c r="L4193" s="3" t="str">
        <f>IF(K4193&lt;-5,"CRÍTICO",IF(K4193&lt;0,"ATENÇÃO",IF(K4193&lt;=5,"OPORTUNO","MUITO BOM")))</f>
        <v>ATENÇÃO</v>
      </c>
      <c r="M4193">
        <v>0</v>
      </c>
      <c r="N4193">
        <v>100</v>
      </c>
      <c r="O4193">
        <v>25</v>
      </c>
    </row>
    <row r="4194" spans="1:15" hidden="1" x14ac:dyDescent="0.25">
      <c r="A4194" s="11">
        <v>46134</v>
      </c>
      <c r="B4194" t="s">
        <v>43</v>
      </c>
      <c r="C4194" t="s">
        <v>32</v>
      </c>
      <c r="D4194">
        <v>22</v>
      </c>
      <c r="E4194">
        <v>21</v>
      </c>
      <c r="F4194">
        <v>14.13</v>
      </c>
      <c r="G4194">
        <v>0</v>
      </c>
      <c r="H4194">
        <v>0</v>
      </c>
      <c r="I4194" s="3">
        <f>E4194+G4194+H4194</f>
        <v>21</v>
      </c>
      <c r="J4194" s="3">
        <f>ROUND(MIN(IF(C4194="Técnico III",35,IF(C4194="Técnico II",28,IF(C4194="Técnico I",23,IF(C4194="JR",20,IF(C4194="Estágio",10,0))))),IF(C4194="Técnico III",SUMIFS($D:$D,$A:$A,$A4194,$B:$B,"&lt;&gt;Patrícia Karla de Sousa Araújo",$B:$B,"&lt;&gt;Lorena Dias de Araujo",$B:$B,"&lt;&gt;Lucas Luiz Romero")*(35/1083),IF(C4194="Técnico II",SUMIFS($D:$D,$A:$A,$A4194,$B:$B,"&lt;&gt;Patrícia Karla de Sousa Araújo",$B:$B,"&lt;&gt;Lorena Dias de Araujo",$B:$B,"&lt;&gt;Lucas Luiz Romero")*(28/1083),IF(C4194="Técnico I",SUMIFS($D:$D,$A:$A,$A4194,$B:$B,"&lt;&gt;Patrícia Karla de Sousa Araújo",$B:$B,"&lt;&gt;Lorena Dias de Araujo",$B:$B,"&lt;&gt;Lucas Luiz Romero")*(23/1083),IF(C4194="JR",SUMIFS($D:$D,$A:$A,$A4194,$B:$B,"&lt;&gt;Patrícia Karla de Sousa Araújo",$B:$B,"&lt;&gt;Lorena Dias de Araujo",$B:$B,"&lt;&gt;Lucas Luiz Romero")*(20/1083),IF(C4194="Estágio",SUMIFS($D:$D,$A:$A,$A4194,$B:$B,"&lt;&gt;Patrícia Karla de Sousa Araújo",$B:$B,"&lt;&gt;Lorena Dias de Araujo",$B:$B,"&lt;&gt;Lucas Luiz Romero")*(10/1083),0)))))),0)</f>
        <v>23</v>
      </c>
      <c r="K4194" s="3">
        <f>I4194-J4194</f>
        <v>-2</v>
      </c>
      <c r="L4194" s="3" t="str">
        <f>IF(K4194&lt;-5,"CRÍTICO",IF(K4194&lt;0,"ATENÇÃO",IF(K4194&lt;=5,"OPORTUNO","MUITO BOM")))</f>
        <v>ATENÇÃO</v>
      </c>
      <c r="M4194">
        <v>31</v>
      </c>
      <c r="N4194">
        <v>100</v>
      </c>
      <c r="O4194">
        <v>23.9870340356564</v>
      </c>
    </row>
    <row r="4195" spans="1:15" hidden="1" x14ac:dyDescent="0.25">
      <c r="A4195" s="11">
        <v>46134</v>
      </c>
      <c r="B4195" t="s">
        <v>44</v>
      </c>
      <c r="C4195" t="s">
        <v>32</v>
      </c>
      <c r="D4195">
        <v>28</v>
      </c>
      <c r="E4195">
        <v>23</v>
      </c>
      <c r="F4195">
        <v>11.51</v>
      </c>
      <c r="G4195">
        <v>0</v>
      </c>
      <c r="H4195">
        <v>0</v>
      </c>
      <c r="I4195" s="3">
        <f>E4195+G4195+H4195</f>
        <v>23</v>
      </c>
      <c r="J4195" s="3">
        <f>ROUND(MIN(IF(C4195="Técnico III",35,IF(C4195="Técnico II",28,IF(C4195="Técnico I",23,IF(C4195="JR",20,IF(C4195="Estágio",10,0))))),IF(C4195="Técnico III",SUMIFS($D:$D,$A:$A,$A4195,$B:$B,"&lt;&gt;Patrícia Karla de Sousa Araújo",$B:$B,"&lt;&gt;Lorena Dias de Araujo",$B:$B,"&lt;&gt;Lucas Luiz Romero")*(35/1083),IF(C4195="Técnico II",SUMIFS($D:$D,$A:$A,$A4195,$B:$B,"&lt;&gt;Patrícia Karla de Sousa Araújo",$B:$B,"&lt;&gt;Lorena Dias de Araujo",$B:$B,"&lt;&gt;Lucas Luiz Romero")*(28/1083),IF(C4195="Técnico I",SUMIFS($D:$D,$A:$A,$A4195,$B:$B,"&lt;&gt;Patrícia Karla de Sousa Araújo",$B:$B,"&lt;&gt;Lorena Dias de Araujo",$B:$B,"&lt;&gt;Lucas Luiz Romero")*(23/1083),IF(C4195="JR",SUMIFS($D:$D,$A:$A,$A4195,$B:$B,"&lt;&gt;Patrícia Karla de Sousa Araújo",$B:$B,"&lt;&gt;Lorena Dias de Araujo",$B:$B,"&lt;&gt;Lucas Luiz Romero")*(20/1083),IF(C4195="Estágio",SUMIFS($D:$D,$A:$A,$A4195,$B:$B,"&lt;&gt;Patrícia Karla de Sousa Araújo",$B:$B,"&lt;&gt;Lorena Dias de Araujo",$B:$B,"&lt;&gt;Lucas Luiz Romero")*(10/1083),0)))))),0)</f>
        <v>23</v>
      </c>
      <c r="K4195" s="3">
        <f>I4195-J4195</f>
        <v>0</v>
      </c>
      <c r="L4195" s="3" t="str">
        <f>IF(K4195&lt;-5,"CRÍTICO",IF(K4195&lt;0,"ATENÇÃO",IF(K4195&lt;=5,"OPORTUNO","MUITO BOM")))</f>
        <v>OPORTUNO</v>
      </c>
      <c r="M4195">
        <v>16</v>
      </c>
      <c r="N4195">
        <v>95.49</v>
      </c>
      <c r="O4195">
        <v>28.370221327967808</v>
      </c>
    </row>
    <row r="4196" spans="1:15" hidden="1" x14ac:dyDescent="0.25">
      <c r="A4196" s="11">
        <v>46134</v>
      </c>
      <c r="B4196" t="s">
        <v>20</v>
      </c>
      <c r="C4196" t="s">
        <v>16</v>
      </c>
      <c r="D4196">
        <v>21</v>
      </c>
      <c r="E4196">
        <v>18</v>
      </c>
      <c r="F4196">
        <v>16.5</v>
      </c>
      <c r="G4196">
        <v>0</v>
      </c>
      <c r="H4196">
        <v>0</v>
      </c>
      <c r="I4196" s="3">
        <f>E4196+G4196+H4196</f>
        <v>18</v>
      </c>
      <c r="J4196" s="3">
        <f>ROUND(MIN(IF(C4196="Técnico III",35,IF(C4196="Técnico II",28,IF(C4196="Técnico I",23,IF(C4196="JR",20,IF(C4196="Estágio",10,0))))),IF(C4196="Técnico III",SUMIFS($D:$D,$A:$A,$A4196,$B:$B,"&lt;&gt;Patrícia Karla de Sousa Araújo",$B:$B,"&lt;&gt;Lorena Dias de Araujo",$B:$B,"&lt;&gt;Lucas Luiz Romero")*(35/1083),IF(C4196="Técnico II",SUMIFS($D:$D,$A:$A,$A4196,$B:$B,"&lt;&gt;Patrícia Karla de Sousa Araújo",$B:$B,"&lt;&gt;Lorena Dias de Araujo",$B:$B,"&lt;&gt;Lucas Luiz Romero")*(28/1083),IF(C4196="Técnico I",SUMIFS($D:$D,$A:$A,$A4196,$B:$B,"&lt;&gt;Patrícia Karla de Sousa Araújo",$B:$B,"&lt;&gt;Lorena Dias de Araujo",$B:$B,"&lt;&gt;Lucas Luiz Romero")*(23/1083),IF(C4196="JR",SUMIFS($D:$D,$A:$A,$A4196,$B:$B,"&lt;&gt;Patrícia Karla de Sousa Araújo",$B:$B,"&lt;&gt;Lorena Dias de Araujo",$B:$B,"&lt;&gt;Lucas Luiz Romero")*(20/1083),IF(C4196="Estágio",SUMIFS($D:$D,$A:$A,$A4196,$B:$B,"&lt;&gt;Patrícia Karla de Sousa Araújo",$B:$B,"&lt;&gt;Lorena Dias de Araujo",$B:$B,"&lt;&gt;Lucas Luiz Romero")*(10/1083),0)))))),0)</f>
        <v>7</v>
      </c>
      <c r="K4196" s="3">
        <f>I4196-J4196</f>
        <v>11</v>
      </c>
      <c r="L4196" s="3" t="str">
        <f>IF(K4196&lt;-5,"CRÍTICO",IF(K4196&lt;0,"ATENÇÃO",IF(K4196&lt;=5,"OPORTUNO","MUITO BOM")))</f>
        <v>MUITO BOM</v>
      </c>
      <c r="M4196">
        <v>9</v>
      </c>
      <c r="N4196">
        <v>100</v>
      </c>
      <c r="O4196">
        <v>23.77622377622378</v>
      </c>
    </row>
    <row r="4197" spans="1:15" hidden="1" x14ac:dyDescent="0.25">
      <c r="A4197" s="11">
        <v>46134</v>
      </c>
      <c r="B4197" t="s">
        <v>28</v>
      </c>
      <c r="C4197" t="s">
        <v>26</v>
      </c>
      <c r="D4197">
        <v>31</v>
      </c>
      <c r="E4197">
        <v>18</v>
      </c>
      <c r="F4197">
        <v>8.5399999999999991</v>
      </c>
      <c r="G4197">
        <v>0</v>
      </c>
      <c r="H4197">
        <v>0</v>
      </c>
      <c r="I4197" s="3">
        <f>E4197+G4197+H4197</f>
        <v>18</v>
      </c>
      <c r="J4197" s="3">
        <f>ROUND(MIN(IF(C4197="Técnico III",35,IF(C4197="Técnico II",28,IF(C4197="Técnico I",23,IF(C4197="JR",20,IF(C4197="Estágio",10,0))))),IF(C4197="Técnico III",SUMIFS($D:$D,$A:$A,$A4197,$B:$B,"&lt;&gt;Patrícia Karla de Sousa Araújo",$B:$B,"&lt;&gt;Lorena Dias de Araujo",$B:$B,"&lt;&gt;Lucas Luiz Romero")*(35/1083),IF(C4197="Técnico II",SUMIFS($D:$D,$A:$A,$A4197,$B:$B,"&lt;&gt;Patrícia Karla de Sousa Araújo",$B:$B,"&lt;&gt;Lorena Dias de Araujo",$B:$B,"&lt;&gt;Lucas Luiz Romero")*(28/1083),IF(C4197="Técnico I",SUMIFS($D:$D,$A:$A,$A4197,$B:$B,"&lt;&gt;Patrícia Karla de Sousa Araújo",$B:$B,"&lt;&gt;Lorena Dias de Araujo",$B:$B,"&lt;&gt;Lucas Luiz Romero")*(23/1083),IF(C4197="JR",SUMIFS($D:$D,$A:$A,$A4197,$B:$B,"&lt;&gt;Patrícia Karla de Sousa Araújo",$B:$B,"&lt;&gt;Lorena Dias de Araujo",$B:$B,"&lt;&gt;Lucas Luiz Romero")*(20/1083),IF(C4197="Estágio",SUMIFS($D:$D,$A:$A,$A4197,$B:$B,"&lt;&gt;Patrícia Karla de Sousa Araújo",$B:$B,"&lt;&gt;Lorena Dias de Araujo",$B:$B,"&lt;&gt;Lucas Luiz Romero")*(10/1083),0)))))),0)</f>
        <v>13</v>
      </c>
      <c r="K4197" s="3">
        <f>I4197-J4197</f>
        <v>5</v>
      </c>
      <c r="L4197" s="3" t="str">
        <f>IF(K4197&lt;-5,"CRÍTICO",IF(K4197&lt;0,"ATENÇÃO",IF(K4197&lt;=5,"OPORTUNO","MUITO BOM")))</f>
        <v>OPORTUNO</v>
      </c>
      <c r="M4197">
        <v>10</v>
      </c>
      <c r="N4197">
        <v>96.15</v>
      </c>
      <c r="O4197">
        <v>24.045801526717561</v>
      </c>
    </row>
    <row r="4198" spans="1:15" hidden="1" x14ac:dyDescent="0.25">
      <c r="A4198" s="11">
        <v>46134</v>
      </c>
      <c r="B4198" t="s">
        <v>58</v>
      </c>
      <c r="C4198" t="s">
        <v>48</v>
      </c>
      <c r="D4198">
        <v>9</v>
      </c>
      <c r="E4198">
        <v>8</v>
      </c>
      <c r="F4198">
        <v>20.21</v>
      </c>
      <c r="G4198">
        <v>0</v>
      </c>
      <c r="H4198">
        <v>0</v>
      </c>
      <c r="I4198" s="3">
        <f>E4198+G4198+H4198</f>
        <v>8</v>
      </c>
      <c r="J4198" s="3">
        <f>ROUND(MIN(IF(C4198="Técnico III",35,IF(C4198="Técnico II",28,IF(C4198="Técnico I",23,IF(C4198="JR",20,IF(C4198="Estágio",10,0))))),IF(C4198="Técnico III",SUMIFS($D:$D,$A:$A,$A4198,$B:$B,"&lt;&gt;Patrícia Karla de Sousa Araújo",$B:$B,"&lt;&gt;Lorena Dias de Araujo",$B:$B,"&lt;&gt;Lucas Luiz Romero")*(35/1083),IF(C4198="Técnico II",SUMIFS($D:$D,$A:$A,$A4198,$B:$B,"&lt;&gt;Patrícia Karla de Sousa Araújo",$B:$B,"&lt;&gt;Lorena Dias de Araujo",$B:$B,"&lt;&gt;Lucas Luiz Romero")*(28/1083),IF(C4198="Técnico I",SUMIFS($D:$D,$A:$A,$A4198,$B:$B,"&lt;&gt;Patrícia Karla de Sousa Araújo",$B:$B,"&lt;&gt;Lorena Dias de Araujo",$B:$B,"&lt;&gt;Lucas Luiz Romero")*(23/1083),IF(C4198="JR",SUMIFS($D:$D,$A:$A,$A4198,$B:$B,"&lt;&gt;Patrícia Karla de Sousa Araújo",$B:$B,"&lt;&gt;Lorena Dias de Araujo",$B:$B,"&lt;&gt;Lucas Luiz Romero")*(20/1083),IF(C4198="Estágio",SUMIFS($D:$D,$A:$A,$A4198,$B:$B,"&lt;&gt;Patrícia Karla de Sousa Araújo",$B:$B,"&lt;&gt;Lorena Dias de Araujo",$B:$B,"&lt;&gt;Lucas Luiz Romero")*(10/1083),0)))))),0)</f>
        <v>18</v>
      </c>
      <c r="K4198" s="3">
        <f>I4198-J4198</f>
        <v>-10</v>
      </c>
      <c r="L4198" s="3" t="str">
        <f>IF(K4198&lt;-5,"CRÍTICO",IF(K4198&lt;0,"ATENÇÃO",IF(K4198&lt;=5,"OPORTUNO","MUITO BOM")))</f>
        <v>CRÍTICO</v>
      </c>
      <c r="M4198">
        <v>8</v>
      </c>
      <c r="N4198">
        <v>99.02</v>
      </c>
      <c r="O4198">
        <v>34.797297297297298</v>
      </c>
    </row>
    <row r="4199" spans="1:15" hidden="1" x14ac:dyDescent="0.25">
      <c r="A4199" s="11">
        <v>46134</v>
      </c>
      <c r="B4199" t="s">
        <v>29</v>
      </c>
      <c r="C4199" t="s">
        <v>26</v>
      </c>
      <c r="D4199">
        <v>4</v>
      </c>
      <c r="E4199">
        <v>4</v>
      </c>
      <c r="F4199">
        <v>32.340000000000003</v>
      </c>
      <c r="G4199">
        <v>0</v>
      </c>
      <c r="H4199">
        <v>0</v>
      </c>
      <c r="I4199" s="3">
        <f>E4199+G4199+H4199</f>
        <v>4</v>
      </c>
      <c r="J4199" s="3">
        <f>ROUND(MIN(IF(C4199="Técnico III",35,IF(C4199="Técnico II",28,IF(C4199="Técnico I",23,IF(C4199="JR",20,IF(C4199="Estágio",10,0))))),IF(C4199="Técnico III",SUMIFS($D:$D,$A:$A,$A4199,$B:$B,"&lt;&gt;Patrícia Karla de Sousa Araújo",$B:$B,"&lt;&gt;Lorena Dias de Araujo",$B:$B,"&lt;&gt;Lucas Luiz Romero")*(35/1083),IF(C4199="Técnico II",SUMIFS($D:$D,$A:$A,$A4199,$B:$B,"&lt;&gt;Patrícia Karla de Sousa Araújo",$B:$B,"&lt;&gt;Lorena Dias de Araujo",$B:$B,"&lt;&gt;Lucas Luiz Romero")*(28/1083),IF(C4199="Técnico I",SUMIFS($D:$D,$A:$A,$A4199,$B:$B,"&lt;&gt;Patrícia Karla de Sousa Araújo",$B:$B,"&lt;&gt;Lorena Dias de Araujo",$B:$B,"&lt;&gt;Lucas Luiz Romero")*(23/1083),IF(C4199="JR",SUMIFS($D:$D,$A:$A,$A4199,$B:$B,"&lt;&gt;Patrícia Karla de Sousa Araújo",$B:$B,"&lt;&gt;Lorena Dias de Araujo",$B:$B,"&lt;&gt;Lucas Luiz Romero")*(20/1083),IF(C4199="Estágio",SUMIFS($D:$D,$A:$A,$A4199,$B:$B,"&lt;&gt;Patrícia Karla de Sousa Araújo",$B:$B,"&lt;&gt;Lorena Dias de Araujo",$B:$B,"&lt;&gt;Lucas Luiz Romero")*(10/1083),0)))))),0)</f>
        <v>13</v>
      </c>
      <c r="K4199" s="3">
        <f>I4199-J4199</f>
        <v>-9</v>
      </c>
      <c r="L4199" s="3" t="str">
        <f>IF(K4199&lt;-5,"CRÍTICO",IF(K4199&lt;0,"ATENÇÃO",IF(K4199&lt;=5,"OPORTUNO","MUITO BOM")))</f>
        <v>CRÍTICO</v>
      </c>
      <c r="M4199">
        <v>3</v>
      </c>
      <c r="N4199">
        <v>98.84</v>
      </c>
      <c r="O4199">
        <v>31.868131868131869</v>
      </c>
    </row>
    <row r="4200" spans="1:15" hidden="1" x14ac:dyDescent="0.25">
      <c r="A4200" s="11">
        <v>46134</v>
      </c>
      <c r="B4200" t="s">
        <v>30</v>
      </c>
      <c r="C4200" t="s">
        <v>26</v>
      </c>
      <c r="D4200">
        <v>7</v>
      </c>
      <c r="E4200">
        <v>7</v>
      </c>
      <c r="F4200">
        <v>18.420000000000002</v>
      </c>
      <c r="G4200">
        <v>0</v>
      </c>
      <c r="H4200">
        <v>0</v>
      </c>
      <c r="I4200" s="3">
        <f>E4200+G4200+H4200</f>
        <v>7</v>
      </c>
      <c r="J4200" s="3">
        <f>ROUND(MIN(IF(C4200="Técnico III",35,IF(C4200="Técnico II",28,IF(C4200="Técnico I",23,IF(C4200="JR",20,IF(C4200="Estágio",10,0))))),IF(C4200="Técnico III",SUMIFS($D:$D,$A:$A,$A4200,$B:$B,"&lt;&gt;Patrícia Karla de Sousa Araújo",$B:$B,"&lt;&gt;Lorena Dias de Araujo",$B:$B,"&lt;&gt;Lucas Luiz Romero")*(35/1083),IF(C4200="Técnico II",SUMIFS($D:$D,$A:$A,$A4200,$B:$B,"&lt;&gt;Patrícia Karla de Sousa Araújo",$B:$B,"&lt;&gt;Lorena Dias de Araujo",$B:$B,"&lt;&gt;Lucas Luiz Romero")*(28/1083),IF(C4200="Técnico I",SUMIFS($D:$D,$A:$A,$A4200,$B:$B,"&lt;&gt;Patrícia Karla de Sousa Araújo",$B:$B,"&lt;&gt;Lorena Dias de Araujo",$B:$B,"&lt;&gt;Lucas Luiz Romero")*(23/1083),IF(C4200="JR",SUMIFS($D:$D,$A:$A,$A4200,$B:$B,"&lt;&gt;Patrícia Karla de Sousa Araújo",$B:$B,"&lt;&gt;Lorena Dias de Araujo",$B:$B,"&lt;&gt;Lucas Luiz Romero")*(20/1083),IF(C4200="Estágio",SUMIFS($D:$D,$A:$A,$A4200,$B:$B,"&lt;&gt;Patrícia Karla de Sousa Araújo",$B:$B,"&lt;&gt;Lorena Dias de Araujo",$B:$B,"&lt;&gt;Lucas Luiz Romero")*(10/1083),0)))))),0)</f>
        <v>13</v>
      </c>
      <c r="K4200" s="3">
        <f>I4200-J4200</f>
        <v>-6</v>
      </c>
      <c r="L4200" s="3" t="str">
        <f>IF(K4200&lt;-5,"CRÍTICO",IF(K4200&lt;0,"ATENÇÃO",IF(K4200&lt;=5,"OPORTUNO","MUITO BOM")))</f>
        <v>CRÍTICO</v>
      </c>
      <c r="M4200">
        <v>8</v>
      </c>
      <c r="N4200">
        <v>100</v>
      </c>
      <c r="O4200">
        <v>34.666666666666671</v>
      </c>
    </row>
    <row r="4201" spans="1:15" hidden="1" x14ac:dyDescent="0.25">
      <c r="A4201" s="11">
        <v>46134</v>
      </c>
      <c r="B4201" t="s">
        <v>21</v>
      </c>
      <c r="C4201" t="s">
        <v>16</v>
      </c>
      <c r="D4201">
        <v>7</v>
      </c>
      <c r="E4201">
        <v>7</v>
      </c>
      <c r="F4201">
        <v>30.53</v>
      </c>
      <c r="G4201">
        <v>0</v>
      </c>
      <c r="H4201">
        <v>0</v>
      </c>
      <c r="I4201" s="3">
        <f>E4201+G4201+H4201</f>
        <v>7</v>
      </c>
      <c r="J4201" s="3">
        <f>ROUND(MIN(IF(C4201="Técnico III",35,IF(C4201="Técnico II",28,IF(C4201="Técnico I",23,IF(C4201="JR",20,IF(C4201="Estágio",10,0))))),IF(C4201="Técnico III",SUMIFS($D:$D,$A:$A,$A4201,$B:$B,"&lt;&gt;Patrícia Karla de Sousa Araújo",$B:$B,"&lt;&gt;Lorena Dias de Araujo",$B:$B,"&lt;&gt;Lucas Luiz Romero")*(35/1083),IF(C4201="Técnico II",SUMIFS($D:$D,$A:$A,$A4201,$B:$B,"&lt;&gt;Patrícia Karla de Sousa Araújo",$B:$B,"&lt;&gt;Lorena Dias de Araujo",$B:$B,"&lt;&gt;Lucas Luiz Romero")*(28/1083),IF(C4201="Técnico I",SUMIFS($D:$D,$A:$A,$A4201,$B:$B,"&lt;&gt;Patrícia Karla de Sousa Araújo",$B:$B,"&lt;&gt;Lorena Dias de Araujo",$B:$B,"&lt;&gt;Lucas Luiz Romero")*(23/1083),IF(C4201="JR",SUMIFS($D:$D,$A:$A,$A4201,$B:$B,"&lt;&gt;Patrícia Karla de Sousa Araújo",$B:$B,"&lt;&gt;Lorena Dias de Araujo",$B:$B,"&lt;&gt;Lucas Luiz Romero")*(20/1083),IF(C4201="Estágio",SUMIFS($D:$D,$A:$A,$A4201,$B:$B,"&lt;&gt;Patrícia Karla de Sousa Araújo",$B:$B,"&lt;&gt;Lorena Dias de Araujo",$B:$B,"&lt;&gt;Lucas Luiz Romero")*(10/1083),0)))))),0)</f>
        <v>7</v>
      </c>
      <c r="K4201" s="3">
        <f>I4201-J4201</f>
        <v>0</v>
      </c>
      <c r="L4201" s="3" t="str">
        <f>IF(K4201&lt;-5,"CRÍTICO",IF(K4201&lt;0,"ATENÇÃO",IF(K4201&lt;=5,"OPORTUNO","MUITO BOM")))</f>
        <v>OPORTUNO</v>
      </c>
      <c r="M4201">
        <v>5</v>
      </c>
      <c r="N4201">
        <v>94.12</v>
      </c>
      <c r="O4201">
        <v>32.799999999999997</v>
      </c>
    </row>
    <row r="4202" spans="1:15" hidden="1" x14ac:dyDescent="0.25">
      <c r="A4202" s="11">
        <v>46134</v>
      </c>
      <c r="B4202" t="s">
        <v>63</v>
      </c>
      <c r="C4202" t="s">
        <v>23</v>
      </c>
      <c r="D4202">
        <v>21</v>
      </c>
      <c r="E4202">
        <v>18</v>
      </c>
      <c r="F4202">
        <v>12.11</v>
      </c>
      <c r="G4202">
        <v>0</v>
      </c>
      <c r="H4202">
        <v>0</v>
      </c>
      <c r="I4202" s="3">
        <f>E4202+G4202+H4202</f>
        <v>18</v>
      </c>
      <c r="J4202" s="3">
        <f>ROUND(MIN(IF(C4202="Técnico III",35,IF(C4202="Técnico II",28,IF(C4202="Técnico I",23,IF(C4202="JR",20,IF(C4202="Estágio",10,0))))),IF(C4202="Técnico III",SUMIFS($D:$D,$A:$A,$A4202,$B:$B,"&lt;&gt;Patrícia Karla de Sousa Araújo",$B:$B,"&lt;&gt;Lorena Dias de Araujo",$B:$B,"&lt;&gt;Lucas Luiz Romero")*(35/1083),IF(C4202="Técnico II",SUMIFS($D:$D,$A:$A,$A4202,$B:$B,"&lt;&gt;Patrícia Karla de Sousa Araújo",$B:$B,"&lt;&gt;Lorena Dias de Araujo",$B:$B,"&lt;&gt;Lucas Luiz Romero")*(28/1083),IF(C4202="Técnico I",SUMIFS($D:$D,$A:$A,$A4202,$B:$B,"&lt;&gt;Patrícia Karla de Sousa Araújo",$B:$B,"&lt;&gt;Lorena Dias de Araujo",$B:$B,"&lt;&gt;Lucas Luiz Romero")*(23/1083),IF(C4202="JR",SUMIFS($D:$D,$A:$A,$A4202,$B:$B,"&lt;&gt;Patrícia Karla de Sousa Araújo",$B:$B,"&lt;&gt;Lorena Dias de Araujo",$B:$B,"&lt;&gt;Lucas Luiz Romero")*(20/1083),IF(C4202="Estágio",SUMIFS($D:$D,$A:$A,$A4202,$B:$B,"&lt;&gt;Patrícia Karla de Sousa Araújo",$B:$B,"&lt;&gt;Lorena Dias de Araujo",$B:$B,"&lt;&gt;Lucas Luiz Romero")*(10/1083),0)))))),0)</f>
        <v>15</v>
      </c>
      <c r="K4202" s="3">
        <f>I4202-J4202</f>
        <v>3</v>
      </c>
      <c r="L4202" s="3" t="str">
        <f>IF(K4202&lt;-5,"CRÍTICO",IF(K4202&lt;0,"ATENÇÃO",IF(K4202&lt;=5,"OPORTUNO","MUITO BOM")))</f>
        <v>OPORTUNO</v>
      </c>
      <c r="M4202">
        <v>16</v>
      </c>
      <c r="N4202">
        <v>98.32</v>
      </c>
      <c r="O4202">
        <v>26.858513189448441</v>
      </c>
    </row>
    <row r="4203" spans="1:15" hidden="1" x14ac:dyDescent="0.25">
      <c r="A4203" s="11">
        <v>46134</v>
      </c>
      <c r="B4203" t="s">
        <v>45</v>
      </c>
      <c r="C4203" t="s">
        <v>32</v>
      </c>
      <c r="D4203">
        <v>33</v>
      </c>
      <c r="E4203">
        <v>28</v>
      </c>
      <c r="F4203">
        <v>11.53</v>
      </c>
      <c r="G4203">
        <v>0</v>
      </c>
      <c r="H4203">
        <v>0</v>
      </c>
      <c r="I4203" s="3">
        <f>E4203+G4203+H4203</f>
        <v>28</v>
      </c>
      <c r="J4203" s="3">
        <f>ROUND(MIN(IF(C4203="Técnico III",35,IF(C4203="Técnico II",28,IF(C4203="Técnico I",23,IF(C4203="JR",20,IF(C4203="Estágio",10,0))))),IF(C4203="Técnico III",SUMIFS($D:$D,$A:$A,$A4203,$B:$B,"&lt;&gt;Patrícia Karla de Sousa Araújo",$B:$B,"&lt;&gt;Lorena Dias de Araujo",$B:$B,"&lt;&gt;Lucas Luiz Romero")*(35/1083),IF(C4203="Técnico II",SUMIFS($D:$D,$A:$A,$A4203,$B:$B,"&lt;&gt;Patrícia Karla de Sousa Araújo",$B:$B,"&lt;&gt;Lorena Dias de Araujo",$B:$B,"&lt;&gt;Lucas Luiz Romero")*(28/1083),IF(C4203="Técnico I",SUMIFS($D:$D,$A:$A,$A4203,$B:$B,"&lt;&gt;Patrícia Karla de Sousa Araújo",$B:$B,"&lt;&gt;Lorena Dias de Araujo",$B:$B,"&lt;&gt;Lucas Luiz Romero")*(23/1083),IF(C4203="JR",SUMIFS($D:$D,$A:$A,$A4203,$B:$B,"&lt;&gt;Patrícia Karla de Sousa Araújo",$B:$B,"&lt;&gt;Lorena Dias de Araujo",$B:$B,"&lt;&gt;Lucas Luiz Romero")*(20/1083),IF(C4203="Estágio",SUMIFS($D:$D,$A:$A,$A4203,$B:$B,"&lt;&gt;Patrícia Karla de Sousa Araújo",$B:$B,"&lt;&gt;Lorena Dias de Araujo",$B:$B,"&lt;&gt;Lucas Luiz Romero")*(10/1083),0)))))),0)</f>
        <v>23</v>
      </c>
      <c r="K4203" s="3">
        <f>I4203-J4203</f>
        <v>5</v>
      </c>
      <c r="L4203" s="3" t="str">
        <f>IF(K4203&lt;-5,"CRÍTICO",IF(K4203&lt;0,"ATENÇÃO",IF(K4203&lt;=5,"OPORTUNO","MUITO BOM")))</f>
        <v>OPORTUNO</v>
      </c>
      <c r="M4203">
        <v>19</v>
      </c>
      <c r="N4203">
        <v>100</v>
      </c>
      <c r="O4203">
        <v>31.135531135531139</v>
      </c>
    </row>
    <row r="4204" spans="1:15" hidden="1" x14ac:dyDescent="0.25">
      <c r="A4204" s="11">
        <v>46134</v>
      </c>
      <c r="B4204" t="s">
        <v>64</v>
      </c>
      <c r="C4204" t="s">
        <v>23</v>
      </c>
      <c r="D4204">
        <v>17</v>
      </c>
      <c r="E4204">
        <v>17</v>
      </c>
      <c r="F4204">
        <v>19.03</v>
      </c>
      <c r="G4204">
        <v>0</v>
      </c>
      <c r="H4204">
        <v>0</v>
      </c>
      <c r="I4204" s="3">
        <f>E4204+G4204+H4204</f>
        <v>17</v>
      </c>
      <c r="J4204" s="3">
        <f>ROUND(MIN(IF(C4204="Técnico III",35,IF(C4204="Técnico II",28,IF(C4204="Técnico I",23,IF(C4204="JR",20,IF(C4204="Estágio",10,0))))),IF(C4204="Técnico III",SUMIFS($D:$D,$A:$A,$A4204,$B:$B,"&lt;&gt;Patrícia Karla de Sousa Araújo",$B:$B,"&lt;&gt;Lorena Dias de Araujo",$B:$B,"&lt;&gt;Lucas Luiz Romero")*(35/1083),IF(C4204="Técnico II",SUMIFS($D:$D,$A:$A,$A4204,$B:$B,"&lt;&gt;Patrícia Karla de Sousa Araújo",$B:$B,"&lt;&gt;Lorena Dias de Araujo",$B:$B,"&lt;&gt;Lucas Luiz Romero")*(28/1083),IF(C4204="Técnico I",SUMIFS($D:$D,$A:$A,$A4204,$B:$B,"&lt;&gt;Patrícia Karla de Sousa Araújo",$B:$B,"&lt;&gt;Lorena Dias de Araujo",$B:$B,"&lt;&gt;Lucas Luiz Romero")*(23/1083),IF(C4204="JR",SUMIFS($D:$D,$A:$A,$A4204,$B:$B,"&lt;&gt;Patrícia Karla de Sousa Araújo",$B:$B,"&lt;&gt;Lorena Dias de Araujo",$B:$B,"&lt;&gt;Lucas Luiz Romero")*(20/1083),IF(C4204="Estágio",SUMIFS($D:$D,$A:$A,$A4204,$B:$B,"&lt;&gt;Patrícia Karla de Sousa Araújo",$B:$B,"&lt;&gt;Lorena Dias de Araujo",$B:$B,"&lt;&gt;Lucas Luiz Romero")*(10/1083),0)))))),0)</f>
        <v>15</v>
      </c>
      <c r="K4204" s="3">
        <f>I4204-J4204</f>
        <v>2</v>
      </c>
      <c r="L4204" s="3" t="str">
        <f>IF(K4204&lt;-5,"CRÍTICO",IF(K4204&lt;0,"ATENÇÃO",IF(K4204&lt;=5,"OPORTUNO","MUITO BOM")))</f>
        <v>OPORTUNO</v>
      </c>
      <c r="M4204">
        <v>12</v>
      </c>
      <c r="N4204">
        <v>100</v>
      </c>
      <c r="O4204">
        <v>26.36986301369863</v>
      </c>
    </row>
    <row r="4205" spans="1:15" hidden="1" x14ac:dyDescent="0.25">
      <c r="A4205" s="11">
        <v>46134</v>
      </c>
      <c r="B4205" t="s">
        <v>46</v>
      </c>
      <c r="C4205" t="s">
        <v>32</v>
      </c>
      <c r="D4205">
        <v>24</v>
      </c>
      <c r="E4205">
        <v>23</v>
      </c>
      <c r="F4205">
        <v>19.16</v>
      </c>
      <c r="G4205">
        <v>0</v>
      </c>
      <c r="H4205">
        <v>0</v>
      </c>
      <c r="I4205" s="3">
        <f>E4205+G4205+H4205</f>
        <v>23</v>
      </c>
      <c r="J4205" s="3">
        <f>ROUND(MIN(IF(C4205="Técnico III",35,IF(C4205="Técnico II",28,IF(C4205="Técnico I",23,IF(C4205="JR",20,IF(C4205="Estágio",10,0))))),IF(C4205="Técnico III",SUMIFS($D:$D,$A:$A,$A4205,$B:$B,"&lt;&gt;Patrícia Karla de Sousa Araújo",$B:$B,"&lt;&gt;Lorena Dias de Araujo",$B:$B,"&lt;&gt;Lucas Luiz Romero")*(35/1083),IF(C4205="Técnico II",SUMIFS($D:$D,$A:$A,$A4205,$B:$B,"&lt;&gt;Patrícia Karla de Sousa Araújo",$B:$B,"&lt;&gt;Lorena Dias de Araujo",$B:$B,"&lt;&gt;Lucas Luiz Romero")*(28/1083),IF(C4205="Técnico I",SUMIFS($D:$D,$A:$A,$A4205,$B:$B,"&lt;&gt;Patrícia Karla de Sousa Araújo",$B:$B,"&lt;&gt;Lorena Dias de Araujo",$B:$B,"&lt;&gt;Lucas Luiz Romero")*(23/1083),IF(C4205="JR",SUMIFS($D:$D,$A:$A,$A4205,$B:$B,"&lt;&gt;Patrícia Karla de Sousa Araújo",$B:$B,"&lt;&gt;Lorena Dias de Araujo",$B:$B,"&lt;&gt;Lucas Luiz Romero")*(20/1083),IF(C4205="Estágio",SUMIFS($D:$D,$A:$A,$A4205,$B:$B,"&lt;&gt;Patrícia Karla de Sousa Araújo",$B:$B,"&lt;&gt;Lorena Dias de Araujo",$B:$B,"&lt;&gt;Lucas Luiz Romero")*(10/1083),0)))))),0)</f>
        <v>23</v>
      </c>
      <c r="K4205" s="3">
        <f>I4205-J4205</f>
        <v>0</v>
      </c>
      <c r="L4205" s="3" t="str">
        <f>IF(K4205&lt;-5,"CRÍTICO",IF(K4205&lt;0,"ATENÇÃO",IF(K4205&lt;=5,"OPORTUNO","MUITO BOM")))</f>
        <v>OPORTUNO</v>
      </c>
      <c r="M4205">
        <v>16</v>
      </c>
      <c r="N4205">
        <v>99.21</v>
      </c>
      <c r="O4205">
        <v>25.188916876574311</v>
      </c>
    </row>
    <row r="4206" spans="1:15" hidden="1" x14ac:dyDescent="0.25">
      <c r="A4206" s="11">
        <v>46135</v>
      </c>
      <c r="B4206" t="s">
        <v>47</v>
      </c>
      <c r="C4206" t="s">
        <v>48</v>
      </c>
      <c r="D4206">
        <v>27</v>
      </c>
      <c r="E4206">
        <v>24</v>
      </c>
      <c r="F4206">
        <v>13.44</v>
      </c>
      <c r="G4206">
        <v>0</v>
      </c>
      <c r="H4206">
        <v>0</v>
      </c>
      <c r="I4206" s="3">
        <f>E4206+G4206+H4206</f>
        <v>24</v>
      </c>
      <c r="J4206" s="3">
        <f>ROUND(MIN(IF(C4206="Técnico III",35,IF(C4206="Técnico II",28,IF(C4206="Técnico I",23,IF(C4206="JR",20,IF(C4206="Estágio",10,0))))),IF(C4206="Técnico III",SUMIFS($D:$D,$A:$A,$A4206,$B:$B,"&lt;&gt;Patrícia Karla de Sousa Araújo",$B:$B,"&lt;&gt;Lorena Dias de Araujo",$B:$B,"&lt;&gt;Lucas Luiz Romero")*(35/1083),IF(C4206="Técnico II",SUMIFS($D:$D,$A:$A,$A4206,$B:$B,"&lt;&gt;Patrícia Karla de Sousa Araújo",$B:$B,"&lt;&gt;Lorena Dias de Araujo",$B:$B,"&lt;&gt;Lucas Luiz Romero")*(28/1083),IF(C4206="Técnico I",SUMIFS($D:$D,$A:$A,$A4206,$B:$B,"&lt;&gt;Patrícia Karla de Sousa Araújo",$B:$B,"&lt;&gt;Lorena Dias de Araujo",$B:$B,"&lt;&gt;Lucas Luiz Romero")*(23/1083),IF(C4206="JR",SUMIFS($D:$D,$A:$A,$A4206,$B:$B,"&lt;&gt;Patrícia Karla de Sousa Araújo",$B:$B,"&lt;&gt;Lorena Dias de Araujo",$B:$B,"&lt;&gt;Lucas Luiz Romero")*(20/1083),IF(C4206="Estágio",SUMIFS($D:$D,$A:$A,$A4206,$B:$B,"&lt;&gt;Patrícia Karla de Sousa Araújo",$B:$B,"&lt;&gt;Lorena Dias de Araujo",$B:$B,"&lt;&gt;Lucas Luiz Romero")*(10/1083),0)))))),0)</f>
        <v>20</v>
      </c>
      <c r="K4206" s="3">
        <f>I4206-J4206</f>
        <v>4</v>
      </c>
      <c r="L4206" s="3" t="str">
        <f>IF(K4206&lt;-5,"CRÍTICO",IF(K4206&lt;0,"ATENÇÃO",IF(K4206&lt;=5,"OPORTUNO","MUITO BOM")))</f>
        <v>OPORTUNO</v>
      </c>
      <c r="M4206">
        <v>22</v>
      </c>
      <c r="N4206">
        <v>100</v>
      </c>
      <c r="O4206">
        <v>32.764505119453922</v>
      </c>
    </row>
    <row r="4207" spans="1:15" hidden="1" x14ac:dyDescent="0.25">
      <c r="A4207" s="11">
        <v>46135</v>
      </c>
      <c r="B4207" t="s">
        <v>31</v>
      </c>
      <c r="C4207" t="s">
        <v>32</v>
      </c>
      <c r="D4207">
        <v>0</v>
      </c>
      <c r="E4207">
        <v>0</v>
      </c>
      <c r="F4207">
        <v>0</v>
      </c>
      <c r="G4207">
        <v>0</v>
      </c>
      <c r="H4207">
        <v>0</v>
      </c>
      <c r="I4207" s="3">
        <v>0</v>
      </c>
      <c r="J4207" s="3">
        <v>0</v>
      </c>
      <c r="K4207" s="3">
        <v>0</v>
      </c>
      <c r="L4207" s="3" t="str">
        <f>IF(K4207&lt;-5,"CRÍTICO",IF(K4207&lt;0,"ATENÇÃO",IF(K4207&lt;=5,"OPORTUNO","MUITO BOM")))</f>
        <v>OPORTUNO</v>
      </c>
      <c r="M4207">
        <v>18</v>
      </c>
      <c r="N4207">
        <v>98.66</v>
      </c>
      <c r="O4207">
        <v>35.416666666666671</v>
      </c>
    </row>
    <row r="4208" spans="1:15" hidden="1" x14ac:dyDescent="0.25">
      <c r="A4208" s="11">
        <v>46135</v>
      </c>
      <c r="B4208" t="s">
        <v>59</v>
      </c>
      <c r="C4208" t="s">
        <v>23</v>
      </c>
      <c r="D4208">
        <v>31</v>
      </c>
      <c r="E4208">
        <v>27</v>
      </c>
      <c r="F4208">
        <v>14.15</v>
      </c>
      <c r="G4208">
        <v>0</v>
      </c>
      <c r="H4208">
        <v>0</v>
      </c>
      <c r="I4208" s="3">
        <f>E4208+G4208+H4208</f>
        <v>27</v>
      </c>
      <c r="J4208" s="3">
        <f>ROUND(MIN(IF(C4208="Técnico III",35,IF(C4208="Técnico II",28,IF(C4208="Técnico I",23,IF(C4208="JR",20,IF(C4208="Estágio",10,0))))),IF(C4208="Técnico III",SUMIFS($D:$D,$A:$A,$A4208,$B:$B,"&lt;&gt;Patrícia Karla de Sousa Araújo",$B:$B,"&lt;&gt;Lorena Dias de Araujo",$B:$B,"&lt;&gt;Lucas Luiz Romero")*(35/1083),IF(C4208="Técnico II",SUMIFS($D:$D,$A:$A,$A4208,$B:$B,"&lt;&gt;Patrícia Karla de Sousa Araújo",$B:$B,"&lt;&gt;Lorena Dias de Araujo",$B:$B,"&lt;&gt;Lucas Luiz Romero")*(28/1083),IF(C4208="Técnico I",SUMIFS($D:$D,$A:$A,$A4208,$B:$B,"&lt;&gt;Patrícia Karla de Sousa Araújo",$B:$B,"&lt;&gt;Lorena Dias de Araujo",$B:$B,"&lt;&gt;Lucas Luiz Romero")*(23/1083),IF(C4208="JR",SUMIFS($D:$D,$A:$A,$A4208,$B:$B,"&lt;&gt;Patrícia Karla de Sousa Araújo",$B:$B,"&lt;&gt;Lorena Dias de Araujo",$B:$B,"&lt;&gt;Lucas Luiz Romero")*(20/1083),IF(C4208="Estágio",SUMIFS($D:$D,$A:$A,$A4208,$B:$B,"&lt;&gt;Patrícia Karla de Sousa Araújo",$B:$B,"&lt;&gt;Lorena Dias de Araujo",$B:$B,"&lt;&gt;Lucas Luiz Romero")*(10/1083),0)))))),0)</f>
        <v>16</v>
      </c>
      <c r="K4208" s="3">
        <f>I4208-J4208</f>
        <v>11</v>
      </c>
      <c r="L4208" s="3" t="str">
        <f>IF(K4208&lt;-5,"CRÍTICO",IF(K4208&lt;0,"ATENÇÃO",IF(K4208&lt;=5,"OPORTUNO","MUITO BOM")))</f>
        <v>MUITO BOM</v>
      </c>
      <c r="M4208">
        <v>21</v>
      </c>
      <c r="N4208">
        <v>99.32</v>
      </c>
      <c r="O4208">
        <v>30.648330058939099</v>
      </c>
    </row>
    <row r="4209" spans="1:15" hidden="1" x14ac:dyDescent="0.25">
      <c r="A4209" s="11">
        <v>46135</v>
      </c>
      <c r="B4209" t="s">
        <v>33</v>
      </c>
      <c r="C4209" t="s">
        <v>32</v>
      </c>
      <c r="D4209">
        <v>21</v>
      </c>
      <c r="E4209">
        <v>19</v>
      </c>
      <c r="F4209">
        <v>21.51</v>
      </c>
      <c r="G4209">
        <v>0</v>
      </c>
      <c r="H4209">
        <v>0</v>
      </c>
      <c r="I4209" s="3">
        <f>E4209+G4209+H4209</f>
        <v>19</v>
      </c>
      <c r="J4209" s="3">
        <f>ROUND(MIN(IF(C4209="Técnico III",35,IF(C4209="Técnico II",28,IF(C4209="Técnico I",23,IF(C4209="JR",20,IF(C4209="Estágio",10,0))))),IF(C4209="Técnico III",SUMIFS($D:$D,$A:$A,$A4209,$B:$B,"&lt;&gt;Patrícia Karla de Sousa Araújo",$B:$B,"&lt;&gt;Lorena Dias de Araujo",$B:$B,"&lt;&gt;Lucas Luiz Romero")*(35/1083),IF(C4209="Técnico II",SUMIFS($D:$D,$A:$A,$A4209,$B:$B,"&lt;&gt;Patrícia Karla de Sousa Araújo",$B:$B,"&lt;&gt;Lorena Dias de Araujo",$B:$B,"&lt;&gt;Lucas Luiz Romero")*(28/1083),IF(C4209="Técnico I",SUMIFS($D:$D,$A:$A,$A4209,$B:$B,"&lt;&gt;Patrícia Karla de Sousa Araújo",$B:$B,"&lt;&gt;Lorena Dias de Araujo",$B:$B,"&lt;&gt;Lucas Luiz Romero")*(23/1083),IF(C4209="JR",SUMIFS($D:$D,$A:$A,$A4209,$B:$B,"&lt;&gt;Patrícia Karla de Sousa Araújo",$B:$B,"&lt;&gt;Lorena Dias de Araujo",$B:$B,"&lt;&gt;Lucas Luiz Romero")*(20/1083),IF(C4209="Estágio",SUMIFS($D:$D,$A:$A,$A4209,$B:$B,"&lt;&gt;Patrícia Karla de Sousa Araújo",$B:$B,"&lt;&gt;Lorena Dias de Araujo",$B:$B,"&lt;&gt;Lucas Luiz Romero")*(10/1083),0)))))),0)</f>
        <v>25</v>
      </c>
      <c r="K4209" s="3">
        <f>I4209-J4209</f>
        <v>-6</v>
      </c>
      <c r="L4209" s="3" t="str">
        <f>IF(K4209&lt;-5,"CRÍTICO",IF(K4209&lt;0,"ATENÇÃO",IF(K4209&lt;=5,"OPORTUNO","MUITO BOM")))</f>
        <v>CRÍTICO</v>
      </c>
      <c r="M4209">
        <v>19</v>
      </c>
      <c r="N4209">
        <v>100</v>
      </c>
      <c r="O4209">
        <v>27.803738317757009</v>
      </c>
    </row>
    <row r="4210" spans="1:15" hidden="1" x14ac:dyDescent="0.25">
      <c r="A4210" s="11">
        <v>46135</v>
      </c>
      <c r="B4210" t="s">
        <v>15</v>
      </c>
      <c r="C4210" t="s">
        <v>16</v>
      </c>
      <c r="D4210">
        <v>34</v>
      </c>
      <c r="E4210">
        <v>29</v>
      </c>
      <c r="F4210">
        <v>15.51</v>
      </c>
      <c r="G4210">
        <v>0</v>
      </c>
      <c r="H4210">
        <v>0</v>
      </c>
      <c r="I4210" s="3">
        <f>E4210+G4210+H4210</f>
        <v>29</v>
      </c>
      <c r="J4210" s="3">
        <f>ROUND(MIN(IF(C4210="Técnico III",35,IF(C4210="Técnico II",28,IF(C4210="Técnico I",23,IF(C4210="JR",20,IF(C4210="Estágio",10,0))))),IF(C4210="Técnico III",SUMIFS($D:$D,$A:$A,$A4210,$B:$B,"&lt;&gt;Patrícia Karla de Sousa Araújo",$B:$B,"&lt;&gt;Lorena Dias de Araujo",$B:$B,"&lt;&gt;Lucas Luiz Romero")*(35/1083),IF(C4210="Técnico II",SUMIFS($D:$D,$A:$A,$A4210,$B:$B,"&lt;&gt;Patrícia Karla de Sousa Araújo",$B:$B,"&lt;&gt;Lorena Dias de Araujo",$B:$B,"&lt;&gt;Lucas Luiz Romero")*(28/1083),IF(C4210="Técnico I",SUMIFS($D:$D,$A:$A,$A4210,$B:$B,"&lt;&gt;Patrícia Karla de Sousa Araújo",$B:$B,"&lt;&gt;Lorena Dias de Araujo",$B:$B,"&lt;&gt;Lucas Luiz Romero")*(23/1083),IF(C4210="JR",SUMIFS($D:$D,$A:$A,$A4210,$B:$B,"&lt;&gt;Patrícia Karla de Sousa Araújo",$B:$B,"&lt;&gt;Lorena Dias de Araujo",$B:$B,"&lt;&gt;Lucas Luiz Romero")*(20/1083),IF(C4210="Estágio",SUMIFS($D:$D,$A:$A,$A4210,$B:$B,"&lt;&gt;Patrícia Karla de Sousa Araújo",$B:$B,"&lt;&gt;Lorena Dias de Araujo",$B:$B,"&lt;&gt;Lucas Luiz Romero")*(10/1083),0)))))),0)</f>
        <v>7</v>
      </c>
      <c r="K4210" s="3">
        <f>I4210-J4210</f>
        <v>22</v>
      </c>
      <c r="L4210" s="3" t="str">
        <f>IF(K4210&lt;-5,"CRÍTICO",IF(K4210&lt;0,"ATENÇÃO",IF(K4210&lt;=5,"OPORTUNO","MUITO BOM")))</f>
        <v>MUITO BOM</v>
      </c>
      <c r="M4210">
        <v>30</v>
      </c>
      <c r="N4210">
        <v>96.74</v>
      </c>
      <c r="O4210">
        <v>28.67647058823529</v>
      </c>
    </row>
    <row r="4211" spans="1:15" hidden="1" x14ac:dyDescent="0.25">
      <c r="A4211" s="11">
        <v>46135</v>
      </c>
      <c r="B4211" t="s">
        <v>49</v>
      </c>
      <c r="C4211" t="s">
        <v>48</v>
      </c>
      <c r="D4211">
        <v>0</v>
      </c>
      <c r="E4211">
        <v>0</v>
      </c>
      <c r="F4211">
        <v>0</v>
      </c>
      <c r="G4211">
        <v>0</v>
      </c>
      <c r="H4211">
        <v>0</v>
      </c>
      <c r="I4211" s="3">
        <v>0</v>
      </c>
      <c r="J4211" s="3">
        <v>0</v>
      </c>
      <c r="K4211" s="3">
        <v>0</v>
      </c>
      <c r="L4211" s="3" t="str">
        <f>IF(K4211&lt;-5,"CRÍTICO",IF(K4211&lt;0,"ATENÇÃO",IF(K4211&lt;=5,"OPORTUNO","MUITO BOM")))</f>
        <v>OPORTUNO</v>
      </c>
      <c r="M4211">
        <v>0</v>
      </c>
      <c r="N4211">
        <v>98.82</v>
      </c>
      <c r="O4211">
        <v>30.741410488245929</v>
      </c>
    </row>
    <row r="4212" spans="1:15" hidden="1" x14ac:dyDescent="0.25">
      <c r="A4212" s="11">
        <v>46135</v>
      </c>
      <c r="B4212" t="s">
        <v>50</v>
      </c>
      <c r="C4212" t="s">
        <v>48</v>
      </c>
      <c r="D4212">
        <v>0</v>
      </c>
      <c r="E4212">
        <v>0</v>
      </c>
      <c r="F4212">
        <v>0</v>
      </c>
      <c r="G4212">
        <v>0</v>
      </c>
      <c r="H4212">
        <v>0</v>
      </c>
      <c r="I4212" s="3">
        <v>0</v>
      </c>
      <c r="J4212" s="3">
        <v>0</v>
      </c>
      <c r="K4212" s="3">
        <v>0</v>
      </c>
      <c r="L4212" s="3" t="str">
        <f>IF(K4212&lt;-5,"CRÍTICO",IF(K4212&lt;0,"ATENÇÃO",IF(K4212&lt;=5,"OPORTUNO","MUITO BOM")))</f>
        <v>OPORTUNO</v>
      </c>
      <c r="M4212">
        <v>0</v>
      </c>
      <c r="N4212">
        <v>98.2</v>
      </c>
      <c r="O4212">
        <v>27.170868347338931</v>
      </c>
    </row>
    <row r="4213" spans="1:15" hidden="1" x14ac:dyDescent="0.25">
      <c r="A4213" s="11">
        <v>46135</v>
      </c>
      <c r="B4213" t="s">
        <v>17</v>
      </c>
      <c r="C4213" t="s">
        <v>16</v>
      </c>
      <c r="D4213">
        <v>9</v>
      </c>
      <c r="E4213">
        <v>7</v>
      </c>
      <c r="F4213">
        <v>17.05</v>
      </c>
      <c r="G4213">
        <v>0</v>
      </c>
      <c r="H4213">
        <v>0</v>
      </c>
      <c r="I4213" s="3">
        <f>E4213+G4213+H4213</f>
        <v>7</v>
      </c>
      <c r="J4213" s="3">
        <f>ROUND(MIN(IF(C4213="Técnico III",35,IF(C4213="Técnico II",28,IF(C4213="Técnico I",23,IF(C4213="JR",20,IF(C4213="Estágio",10,0))))),IF(C4213="Técnico III",SUMIFS($D:$D,$A:$A,$A4213,$B:$B,"&lt;&gt;Patrícia Karla de Sousa Araújo",$B:$B,"&lt;&gt;Lorena Dias de Araujo",$B:$B,"&lt;&gt;Lucas Luiz Romero")*(35/1083),IF(C4213="Técnico II",SUMIFS($D:$D,$A:$A,$A4213,$B:$B,"&lt;&gt;Patrícia Karla de Sousa Araújo",$B:$B,"&lt;&gt;Lorena Dias de Araujo",$B:$B,"&lt;&gt;Lucas Luiz Romero")*(28/1083),IF(C4213="Técnico I",SUMIFS($D:$D,$A:$A,$A4213,$B:$B,"&lt;&gt;Patrícia Karla de Sousa Araújo",$B:$B,"&lt;&gt;Lorena Dias de Araujo",$B:$B,"&lt;&gt;Lucas Luiz Romero")*(23/1083),IF(C4213="JR",SUMIFS($D:$D,$A:$A,$A4213,$B:$B,"&lt;&gt;Patrícia Karla de Sousa Araújo",$B:$B,"&lt;&gt;Lorena Dias de Araujo",$B:$B,"&lt;&gt;Lucas Luiz Romero")*(20/1083),IF(C4213="Estágio",SUMIFS($D:$D,$A:$A,$A4213,$B:$B,"&lt;&gt;Patrícia Karla de Sousa Araújo",$B:$B,"&lt;&gt;Lorena Dias de Araujo",$B:$B,"&lt;&gt;Lucas Luiz Romero")*(10/1083),0)))))),0)</f>
        <v>7</v>
      </c>
      <c r="K4213" s="3">
        <f>I4213-J4213</f>
        <v>0</v>
      </c>
      <c r="L4213" s="3" t="str">
        <f>IF(K4213&lt;-5,"CRÍTICO",IF(K4213&lt;0,"ATENÇÃO",IF(K4213&lt;=5,"OPORTUNO","MUITO BOM")))</f>
        <v>OPORTUNO</v>
      </c>
      <c r="M4213">
        <v>6</v>
      </c>
      <c r="N4213">
        <v>100</v>
      </c>
      <c r="O4213">
        <v>23.134328358208951</v>
      </c>
    </row>
    <row r="4214" spans="1:15" hidden="1" x14ac:dyDescent="0.25">
      <c r="A4214" s="11">
        <v>46135</v>
      </c>
      <c r="B4214" t="s">
        <v>60</v>
      </c>
      <c r="C4214" t="s">
        <v>23</v>
      </c>
      <c r="D4214">
        <v>13</v>
      </c>
      <c r="E4214">
        <v>13</v>
      </c>
      <c r="F4214">
        <v>20.260000000000002</v>
      </c>
      <c r="G4214">
        <v>0</v>
      </c>
      <c r="H4214">
        <v>0</v>
      </c>
      <c r="I4214" s="3">
        <f>E4214+G4214+H4214</f>
        <v>13</v>
      </c>
      <c r="J4214" s="3">
        <f>ROUND(MIN(IF(C4214="Técnico III",35,IF(C4214="Técnico II",28,IF(C4214="Técnico I",23,IF(C4214="JR",20,IF(C4214="Estágio",10,0))))),IF(C4214="Técnico III",SUMIFS($D:$D,$A:$A,$A4214,$B:$B,"&lt;&gt;Patrícia Karla de Sousa Araújo",$B:$B,"&lt;&gt;Lorena Dias de Araujo",$B:$B,"&lt;&gt;Lucas Luiz Romero")*(35/1083),IF(C4214="Técnico II",SUMIFS($D:$D,$A:$A,$A4214,$B:$B,"&lt;&gt;Patrícia Karla de Sousa Araújo",$B:$B,"&lt;&gt;Lorena Dias de Araujo",$B:$B,"&lt;&gt;Lucas Luiz Romero")*(28/1083),IF(C4214="Técnico I",SUMIFS($D:$D,$A:$A,$A4214,$B:$B,"&lt;&gt;Patrícia Karla de Sousa Araújo",$B:$B,"&lt;&gt;Lorena Dias de Araujo",$B:$B,"&lt;&gt;Lucas Luiz Romero")*(23/1083),IF(C4214="JR",SUMIFS($D:$D,$A:$A,$A4214,$B:$B,"&lt;&gt;Patrícia Karla de Sousa Araújo",$B:$B,"&lt;&gt;Lorena Dias de Araujo",$B:$B,"&lt;&gt;Lucas Luiz Romero")*(20/1083),IF(C4214="Estágio",SUMIFS($D:$D,$A:$A,$A4214,$B:$B,"&lt;&gt;Patrícia Karla de Sousa Araújo",$B:$B,"&lt;&gt;Lorena Dias de Araujo",$B:$B,"&lt;&gt;Lucas Luiz Romero")*(10/1083),0)))))),0)</f>
        <v>16</v>
      </c>
      <c r="K4214" s="3">
        <f>I4214-J4214</f>
        <v>-3</v>
      </c>
      <c r="L4214" s="3" t="str">
        <f>IF(K4214&lt;-5,"CRÍTICO",IF(K4214&lt;0,"ATENÇÃO",IF(K4214&lt;=5,"OPORTUNO","MUITO BOM")))</f>
        <v>ATENÇÃO</v>
      </c>
      <c r="M4214">
        <v>13</v>
      </c>
      <c r="N4214">
        <v>96.3</v>
      </c>
      <c r="O4214">
        <v>32.219570405727922</v>
      </c>
    </row>
    <row r="4215" spans="1:15" hidden="1" x14ac:dyDescent="0.25">
      <c r="A4215" s="11">
        <v>46135</v>
      </c>
      <c r="B4215" t="s">
        <v>34</v>
      </c>
      <c r="C4215" t="s">
        <v>32</v>
      </c>
      <c r="D4215">
        <v>25</v>
      </c>
      <c r="E4215">
        <v>21</v>
      </c>
      <c r="F4215">
        <v>12.06</v>
      </c>
      <c r="G4215">
        <v>0</v>
      </c>
      <c r="H4215">
        <v>0</v>
      </c>
      <c r="I4215" s="3">
        <f>E4215+G4215+H4215</f>
        <v>21</v>
      </c>
      <c r="J4215" s="3">
        <f>ROUND(MIN(IF(C4215="Técnico III",35,IF(C4215="Técnico II",28,IF(C4215="Técnico I",23,IF(C4215="JR",20,IF(C4215="Estágio",10,0))))),IF(C4215="Técnico III",SUMIFS($D:$D,$A:$A,$A4215,$B:$B,"&lt;&gt;Patrícia Karla de Sousa Araújo",$B:$B,"&lt;&gt;Lorena Dias de Araujo",$B:$B,"&lt;&gt;Lucas Luiz Romero")*(35/1083),IF(C4215="Técnico II",SUMIFS($D:$D,$A:$A,$A4215,$B:$B,"&lt;&gt;Patrícia Karla de Sousa Araújo",$B:$B,"&lt;&gt;Lorena Dias de Araujo",$B:$B,"&lt;&gt;Lucas Luiz Romero")*(28/1083),IF(C4215="Técnico I",SUMIFS($D:$D,$A:$A,$A4215,$B:$B,"&lt;&gt;Patrícia Karla de Sousa Araújo",$B:$B,"&lt;&gt;Lorena Dias de Araujo",$B:$B,"&lt;&gt;Lucas Luiz Romero")*(23/1083),IF(C4215="JR",SUMIFS($D:$D,$A:$A,$A4215,$B:$B,"&lt;&gt;Patrícia Karla de Sousa Araújo",$B:$B,"&lt;&gt;Lorena Dias de Araujo",$B:$B,"&lt;&gt;Lucas Luiz Romero")*(20/1083),IF(C4215="Estágio",SUMIFS($D:$D,$A:$A,$A4215,$B:$B,"&lt;&gt;Patrícia Karla de Sousa Araújo",$B:$B,"&lt;&gt;Lorena Dias de Araujo",$B:$B,"&lt;&gt;Lucas Luiz Romero")*(10/1083),0)))))),0)</f>
        <v>25</v>
      </c>
      <c r="K4215" s="3">
        <f>I4215-J4215</f>
        <v>-4</v>
      </c>
      <c r="L4215" s="3" t="str">
        <f>IF(K4215&lt;-5,"CRÍTICO",IF(K4215&lt;0,"ATENÇÃO",IF(K4215&lt;=5,"OPORTUNO","MUITO BOM")))</f>
        <v>ATENÇÃO</v>
      </c>
      <c r="M4215">
        <v>17</v>
      </c>
      <c r="N4215">
        <v>93.75</v>
      </c>
      <c r="O4215">
        <v>26.819923371647509</v>
      </c>
    </row>
    <row r="4216" spans="1:15" hidden="1" x14ac:dyDescent="0.25">
      <c r="A4216" s="11">
        <v>46135</v>
      </c>
      <c r="B4216" t="s">
        <v>51</v>
      </c>
      <c r="C4216" t="s">
        <v>48</v>
      </c>
      <c r="D4216">
        <v>28</v>
      </c>
      <c r="E4216">
        <v>23</v>
      </c>
      <c r="F4216">
        <v>18.420000000000002</v>
      </c>
      <c r="G4216">
        <v>0</v>
      </c>
      <c r="H4216">
        <v>0</v>
      </c>
      <c r="I4216" s="3">
        <v>0</v>
      </c>
      <c r="J4216" s="3">
        <v>0</v>
      </c>
      <c r="K4216" s="3">
        <v>0</v>
      </c>
      <c r="L4216" s="3" t="str">
        <f>IF(K4216&lt;-5,"CRÍTICO",IF(K4216&lt;0,"ATENÇÃO",IF(K4216&lt;=5,"OPORTUNO","MUITO BOM")))</f>
        <v>OPORTUNO</v>
      </c>
      <c r="M4216">
        <v>22</v>
      </c>
      <c r="N4216">
        <v>97.86</v>
      </c>
      <c r="O4216">
        <v>31.018518518518519</v>
      </c>
    </row>
    <row r="4217" spans="1:15" hidden="1" x14ac:dyDescent="0.25">
      <c r="A4217" s="11">
        <v>46135</v>
      </c>
      <c r="B4217" t="s">
        <v>61</v>
      </c>
      <c r="C4217" t="s">
        <v>23</v>
      </c>
      <c r="D4217">
        <v>18</v>
      </c>
      <c r="E4217">
        <v>18</v>
      </c>
      <c r="F4217">
        <v>16.579999999999998</v>
      </c>
      <c r="G4217">
        <v>0</v>
      </c>
      <c r="H4217">
        <v>0</v>
      </c>
      <c r="I4217" s="3">
        <f>E4217+G4217+H4217</f>
        <v>18</v>
      </c>
      <c r="J4217" s="3">
        <f>ROUND(MIN(IF(C4217="Técnico III",35,IF(C4217="Técnico II",28,IF(C4217="Técnico I",23,IF(C4217="JR",20,IF(C4217="Estágio",10,0))))),IF(C4217="Técnico III",SUMIFS($D:$D,$A:$A,$A4217,$B:$B,"&lt;&gt;Patrícia Karla de Sousa Araújo",$B:$B,"&lt;&gt;Lorena Dias de Araujo",$B:$B,"&lt;&gt;Lucas Luiz Romero")*(35/1083),IF(C4217="Técnico II",SUMIFS($D:$D,$A:$A,$A4217,$B:$B,"&lt;&gt;Patrícia Karla de Sousa Araújo",$B:$B,"&lt;&gt;Lorena Dias de Araujo",$B:$B,"&lt;&gt;Lucas Luiz Romero")*(28/1083),IF(C4217="Técnico I",SUMIFS($D:$D,$A:$A,$A4217,$B:$B,"&lt;&gt;Patrícia Karla de Sousa Araújo",$B:$B,"&lt;&gt;Lorena Dias de Araujo",$B:$B,"&lt;&gt;Lucas Luiz Romero")*(23/1083),IF(C4217="JR",SUMIFS($D:$D,$A:$A,$A4217,$B:$B,"&lt;&gt;Patrícia Karla de Sousa Araújo",$B:$B,"&lt;&gt;Lorena Dias de Araujo",$B:$B,"&lt;&gt;Lucas Luiz Romero")*(20/1083),IF(C4217="Estágio",SUMIFS($D:$D,$A:$A,$A4217,$B:$B,"&lt;&gt;Patrícia Karla de Sousa Araújo",$B:$B,"&lt;&gt;Lorena Dias de Araujo",$B:$B,"&lt;&gt;Lucas Luiz Romero")*(10/1083),0)))))),0)</f>
        <v>16</v>
      </c>
      <c r="K4217" s="3">
        <f>I4217-J4217</f>
        <v>2</v>
      </c>
      <c r="L4217" s="3" t="str">
        <f>IF(K4217&lt;-5,"CRÍTICO",IF(K4217&lt;0,"ATENÇÃO",IF(K4217&lt;=5,"OPORTUNO","MUITO BOM")))</f>
        <v>OPORTUNO</v>
      </c>
      <c r="M4217">
        <v>15</v>
      </c>
      <c r="N4217">
        <v>100</v>
      </c>
      <c r="O4217">
        <v>36.594202898550733</v>
      </c>
    </row>
    <row r="4218" spans="1:15" hidden="1" x14ac:dyDescent="0.25">
      <c r="A4218" s="11">
        <v>46135</v>
      </c>
      <c r="B4218" t="s">
        <v>35</v>
      </c>
      <c r="C4218" t="s">
        <v>32</v>
      </c>
      <c r="D4218">
        <v>16</v>
      </c>
      <c r="E4218">
        <v>15</v>
      </c>
      <c r="F4218">
        <v>22.2</v>
      </c>
      <c r="G4218">
        <v>0</v>
      </c>
      <c r="H4218">
        <v>0</v>
      </c>
      <c r="I4218" s="3">
        <v>0</v>
      </c>
      <c r="J4218" s="3">
        <v>0</v>
      </c>
      <c r="K4218" s="3">
        <v>0</v>
      </c>
      <c r="L4218" s="3" t="str">
        <f>IF(K4218&lt;-5,"CRÍTICO",IF(K4218&lt;0,"ATENÇÃO",IF(K4218&lt;=5,"OPORTUNO","MUITO BOM")))</f>
        <v>OPORTUNO</v>
      </c>
      <c r="M4218">
        <v>16</v>
      </c>
      <c r="N4218">
        <v>100</v>
      </c>
      <c r="O4218">
        <v>38.653846153846153</v>
      </c>
    </row>
    <row r="4219" spans="1:15" hidden="1" x14ac:dyDescent="0.25">
      <c r="A4219" s="11">
        <v>46135</v>
      </c>
      <c r="B4219" t="s">
        <v>18</v>
      </c>
      <c r="C4219" t="s">
        <v>16</v>
      </c>
      <c r="D4219">
        <v>9</v>
      </c>
      <c r="E4219">
        <v>9</v>
      </c>
      <c r="F4219">
        <v>34.17</v>
      </c>
      <c r="G4219">
        <v>0</v>
      </c>
      <c r="H4219">
        <v>0</v>
      </c>
      <c r="I4219" s="3">
        <f>E4219+G4219+H4219</f>
        <v>9</v>
      </c>
      <c r="J4219" s="3">
        <f>ROUND(MIN(IF(C4219="Técnico III",35,IF(C4219="Técnico II",28,IF(C4219="Técnico I",23,IF(C4219="JR",20,IF(C4219="Estágio",10,0))))),IF(C4219="Técnico III",SUMIFS($D:$D,$A:$A,$A4219,$B:$B,"&lt;&gt;Patrícia Karla de Sousa Araújo",$B:$B,"&lt;&gt;Lorena Dias de Araujo",$B:$B,"&lt;&gt;Lucas Luiz Romero")*(35/1083),IF(C4219="Técnico II",SUMIFS($D:$D,$A:$A,$A4219,$B:$B,"&lt;&gt;Patrícia Karla de Sousa Araújo",$B:$B,"&lt;&gt;Lorena Dias de Araujo",$B:$B,"&lt;&gt;Lucas Luiz Romero")*(28/1083),IF(C4219="Técnico I",SUMIFS($D:$D,$A:$A,$A4219,$B:$B,"&lt;&gt;Patrícia Karla de Sousa Araújo",$B:$B,"&lt;&gt;Lorena Dias de Araujo",$B:$B,"&lt;&gt;Lucas Luiz Romero")*(23/1083),IF(C4219="JR",SUMIFS($D:$D,$A:$A,$A4219,$B:$B,"&lt;&gt;Patrícia Karla de Sousa Araújo",$B:$B,"&lt;&gt;Lorena Dias de Araujo",$B:$B,"&lt;&gt;Lucas Luiz Romero")*(20/1083),IF(C4219="Estágio",SUMIFS($D:$D,$A:$A,$A4219,$B:$B,"&lt;&gt;Patrícia Karla de Sousa Araújo",$B:$B,"&lt;&gt;Lorena Dias de Araujo",$B:$B,"&lt;&gt;Lucas Luiz Romero")*(10/1083),0)))))),0)</f>
        <v>7</v>
      </c>
      <c r="K4219" s="3">
        <f>I4219-J4219</f>
        <v>2</v>
      </c>
      <c r="L4219" s="3" t="str">
        <f>IF(K4219&lt;-5,"CRÍTICO",IF(K4219&lt;0,"ATENÇÃO",IF(K4219&lt;=5,"OPORTUNO","MUITO BOM")))</f>
        <v>OPORTUNO</v>
      </c>
      <c r="M4219">
        <v>8</v>
      </c>
      <c r="N4219">
        <v>100</v>
      </c>
      <c r="O4219">
        <v>27.368421052631579</v>
      </c>
    </row>
    <row r="4220" spans="1:15" hidden="1" x14ac:dyDescent="0.25">
      <c r="A4220" s="11">
        <v>46135</v>
      </c>
      <c r="B4220" t="s">
        <v>52</v>
      </c>
      <c r="C4220" t="s">
        <v>48</v>
      </c>
      <c r="D4220">
        <v>24</v>
      </c>
      <c r="E4220">
        <v>22</v>
      </c>
      <c r="F4220">
        <v>17.34</v>
      </c>
      <c r="G4220">
        <v>0</v>
      </c>
      <c r="H4220">
        <v>0</v>
      </c>
      <c r="I4220" s="3">
        <f>E4220+G4220+H4220</f>
        <v>22</v>
      </c>
      <c r="J4220" s="3">
        <f>ROUND(MIN(IF(C4220="Técnico III",35,IF(C4220="Técnico II",28,IF(C4220="Técnico I",23,IF(C4220="JR",20,IF(C4220="Estágio",10,0))))),IF(C4220="Técnico III",SUMIFS($D:$D,$A:$A,$A4220,$B:$B,"&lt;&gt;Patrícia Karla de Sousa Araújo",$B:$B,"&lt;&gt;Lorena Dias de Araujo",$B:$B,"&lt;&gt;Lucas Luiz Romero")*(35/1083),IF(C4220="Técnico II",SUMIFS($D:$D,$A:$A,$A4220,$B:$B,"&lt;&gt;Patrícia Karla de Sousa Araújo",$B:$B,"&lt;&gt;Lorena Dias de Araujo",$B:$B,"&lt;&gt;Lucas Luiz Romero")*(28/1083),IF(C4220="Técnico I",SUMIFS($D:$D,$A:$A,$A4220,$B:$B,"&lt;&gt;Patrícia Karla de Sousa Araújo",$B:$B,"&lt;&gt;Lorena Dias de Araujo",$B:$B,"&lt;&gt;Lucas Luiz Romero")*(23/1083),IF(C4220="JR",SUMIFS($D:$D,$A:$A,$A4220,$B:$B,"&lt;&gt;Patrícia Karla de Sousa Araújo",$B:$B,"&lt;&gt;Lorena Dias de Araujo",$B:$B,"&lt;&gt;Lucas Luiz Romero")*(20/1083),IF(C4220="Estágio",SUMIFS($D:$D,$A:$A,$A4220,$B:$B,"&lt;&gt;Patrícia Karla de Sousa Araújo",$B:$B,"&lt;&gt;Lorena Dias de Araujo",$B:$B,"&lt;&gt;Lucas Luiz Romero")*(10/1083),0)))))),0)</f>
        <v>20</v>
      </c>
      <c r="K4220" s="3">
        <f>I4220-J4220</f>
        <v>2</v>
      </c>
      <c r="L4220" s="3" t="str">
        <f>IF(K4220&lt;-5,"CRÍTICO",IF(K4220&lt;0,"ATENÇÃO",IF(K4220&lt;=5,"OPORTUNO","MUITO BOM")))</f>
        <v>OPORTUNO</v>
      </c>
      <c r="M4220">
        <v>24</v>
      </c>
      <c r="N4220">
        <v>97.83</v>
      </c>
      <c r="O4220">
        <v>28.35164835164835</v>
      </c>
    </row>
    <row r="4221" spans="1:15" hidden="1" x14ac:dyDescent="0.25">
      <c r="A4221" s="11">
        <v>46135</v>
      </c>
      <c r="B4221" t="s">
        <v>36</v>
      </c>
      <c r="C4221" t="s">
        <v>32</v>
      </c>
      <c r="D4221">
        <v>27</v>
      </c>
      <c r="E4221">
        <v>25</v>
      </c>
      <c r="F4221">
        <v>15.16</v>
      </c>
      <c r="G4221">
        <v>0</v>
      </c>
      <c r="H4221">
        <v>0</v>
      </c>
      <c r="I4221" s="3">
        <f>E4221+G4221+H4221</f>
        <v>25</v>
      </c>
      <c r="J4221" s="3">
        <f>ROUND(MIN(IF(C4221="Técnico III",35,IF(C4221="Técnico II",28,IF(C4221="Técnico I",23,IF(C4221="JR",20,IF(C4221="Estágio",10,0))))),IF(C4221="Técnico III",SUMIFS($D:$D,$A:$A,$A4221,$B:$B,"&lt;&gt;Patrícia Karla de Sousa Araújo",$B:$B,"&lt;&gt;Lorena Dias de Araujo",$B:$B,"&lt;&gt;Lucas Luiz Romero")*(35/1083),IF(C4221="Técnico II",SUMIFS($D:$D,$A:$A,$A4221,$B:$B,"&lt;&gt;Patrícia Karla de Sousa Araújo",$B:$B,"&lt;&gt;Lorena Dias de Araujo",$B:$B,"&lt;&gt;Lucas Luiz Romero")*(28/1083),IF(C4221="Técnico I",SUMIFS($D:$D,$A:$A,$A4221,$B:$B,"&lt;&gt;Patrícia Karla de Sousa Araújo",$B:$B,"&lt;&gt;Lorena Dias de Araujo",$B:$B,"&lt;&gt;Lucas Luiz Romero")*(23/1083),IF(C4221="JR",SUMIFS($D:$D,$A:$A,$A4221,$B:$B,"&lt;&gt;Patrícia Karla de Sousa Araújo",$B:$B,"&lt;&gt;Lorena Dias de Araujo",$B:$B,"&lt;&gt;Lucas Luiz Romero")*(20/1083),IF(C4221="Estágio",SUMIFS($D:$D,$A:$A,$A4221,$B:$B,"&lt;&gt;Patrícia Karla de Sousa Araújo",$B:$B,"&lt;&gt;Lorena Dias de Araujo",$B:$B,"&lt;&gt;Lucas Luiz Romero")*(10/1083),0)))))),0)</f>
        <v>25</v>
      </c>
      <c r="K4221" s="3">
        <f>I4221-J4221</f>
        <v>0</v>
      </c>
      <c r="L4221" s="3" t="str">
        <f>IF(K4221&lt;-5,"CRÍTICO",IF(K4221&lt;0,"ATENÇÃO",IF(K4221&lt;=5,"OPORTUNO","MUITO BOM")))</f>
        <v>OPORTUNO</v>
      </c>
      <c r="M4221">
        <v>25</v>
      </c>
      <c r="N4221">
        <v>99.26</v>
      </c>
      <c r="O4221">
        <v>29.766536964980549</v>
      </c>
    </row>
    <row r="4222" spans="1:15" hidden="1" x14ac:dyDescent="0.25">
      <c r="A4222" s="11">
        <v>46135</v>
      </c>
      <c r="B4222" t="s">
        <v>53</v>
      </c>
      <c r="C4222" t="s">
        <v>48</v>
      </c>
      <c r="D4222">
        <v>37</v>
      </c>
      <c r="E4222">
        <v>32</v>
      </c>
      <c r="F4222">
        <v>15.21</v>
      </c>
      <c r="G4222">
        <v>0</v>
      </c>
      <c r="H4222">
        <v>0</v>
      </c>
      <c r="I4222" s="3">
        <f>E4222+G4222+H4222</f>
        <v>32</v>
      </c>
      <c r="J4222" s="3">
        <f>ROUND(MIN(IF(C4222="Técnico III",35,IF(C4222="Técnico II",28,IF(C4222="Técnico I",23,IF(C4222="JR",20,IF(C4222="Estágio",10,0))))),IF(C4222="Técnico III",SUMIFS($D:$D,$A:$A,$A4222,$B:$B,"&lt;&gt;Patrícia Karla de Sousa Araújo",$B:$B,"&lt;&gt;Lorena Dias de Araujo",$B:$B,"&lt;&gt;Lucas Luiz Romero")*(35/1083),IF(C4222="Técnico II",SUMIFS($D:$D,$A:$A,$A4222,$B:$B,"&lt;&gt;Patrícia Karla de Sousa Araújo",$B:$B,"&lt;&gt;Lorena Dias de Araujo",$B:$B,"&lt;&gt;Lucas Luiz Romero")*(28/1083),IF(C4222="Técnico I",SUMIFS($D:$D,$A:$A,$A4222,$B:$B,"&lt;&gt;Patrícia Karla de Sousa Araújo",$B:$B,"&lt;&gt;Lorena Dias de Araujo",$B:$B,"&lt;&gt;Lucas Luiz Romero")*(23/1083),IF(C4222="JR",SUMIFS($D:$D,$A:$A,$A4222,$B:$B,"&lt;&gt;Patrícia Karla de Sousa Araújo",$B:$B,"&lt;&gt;Lorena Dias de Araujo",$B:$B,"&lt;&gt;Lucas Luiz Romero")*(20/1083),IF(C4222="Estágio",SUMIFS($D:$D,$A:$A,$A4222,$B:$B,"&lt;&gt;Patrícia Karla de Sousa Araújo",$B:$B,"&lt;&gt;Lorena Dias de Araujo",$B:$B,"&lt;&gt;Lucas Luiz Romero")*(10/1083),0)))))),0)</f>
        <v>20</v>
      </c>
      <c r="K4222" s="3">
        <f>I4222-J4222</f>
        <v>12</v>
      </c>
      <c r="L4222" s="3" t="str">
        <f>IF(K4222&lt;-5,"CRÍTICO",IF(K4222&lt;0,"ATENÇÃO",IF(K4222&lt;=5,"OPORTUNO","MUITO BOM")))</f>
        <v>MUITO BOM</v>
      </c>
      <c r="M4222">
        <v>24</v>
      </c>
      <c r="N4222">
        <v>99.19</v>
      </c>
      <c r="O4222">
        <v>29.462365591397852</v>
      </c>
    </row>
    <row r="4223" spans="1:15" hidden="1" x14ac:dyDescent="0.25">
      <c r="A4223" s="7">
        <v>46161</v>
      </c>
      <c r="B4223" s="8" t="s">
        <v>50</v>
      </c>
      <c r="C4223" s="14" t="s">
        <v>48</v>
      </c>
      <c r="D4223" s="3">
        <v>33</v>
      </c>
      <c r="E4223" s="3">
        <v>32</v>
      </c>
      <c r="F4223" s="3">
        <v>16.54</v>
      </c>
      <c r="G4223" s="3">
        <v>2</v>
      </c>
      <c r="H4223" s="3">
        <v>0</v>
      </c>
      <c r="I4223" s="3">
        <f>E4223+G4223+H4223</f>
        <v>34</v>
      </c>
      <c r="J4223" s="3">
        <f>ROUND(MIN(IF(C4223="Técnico III",35,IF(C4223="Técnico II",28,IF(C4223="Técnico I",23,IF(C4223="JR",20,IF(C4223="Estágio",10,0))))),IF(C4223="Técnico III",SUMIFS($D:$D,$A:$A,$A4223,$B:$B,"&lt;&gt;Patrícia Karla de Sousa Araújo",$B:$B,"&lt;&gt;Lorena Dias de Araujo",$B:$B,"&lt;&gt;Lucas Luiz Romero")*(35/1083),IF(C4223="Técnico II",SUMIFS($D:$D,$A:$A,$A4223,$B:$B,"&lt;&gt;Patrícia Karla de Sousa Araújo",$B:$B,"&lt;&gt;Lorena Dias de Araujo",$B:$B,"&lt;&gt;Lucas Luiz Romero")*(28/1083),IF(C4223="Técnico I",SUMIFS($D:$D,$A:$A,$A4223,$B:$B,"&lt;&gt;Patrícia Karla de Sousa Araújo",$B:$B,"&lt;&gt;Lorena Dias de Araujo",$B:$B,"&lt;&gt;Lucas Luiz Romero")*(23/1083),IF(C4223="JR",SUMIFS($D:$D,$A:$A,$A4223,$B:$B,"&lt;&gt;Patrícia Karla de Sousa Araújo",$B:$B,"&lt;&gt;Lorena Dias de Araujo",$B:$B,"&lt;&gt;Lucas Luiz Romero")*(20/1083),IF(C4223="Estágio",SUMIFS($D:$D,$A:$A,$A4223,$B:$B,"&lt;&gt;Patrícia Karla de Sousa Araújo",$B:$B,"&lt;&gt;Lorena Dias de Araujo",$B:$B,"&lt;&gt;Lucas Luiz Romero")*(10/1083),0)))))),0)</f>
        <v>23</v>
      </c>
      <c r="K4223" s="3">
        <f>I4223-J4223</f>
        <v>11</v>
      </c>
      <c r="L4223" s="3" t="str">
        <f>IF(K4223&lt;-5,"CRÍTICO",IF(K4223&lt;0,"ATENÇÃO",IF(K4223&lt;=5,"OPORTUNO","MUITO BOM")))</f>
        <v>MUITO BOM</v>
      </c>
      <c r="M4223" s="3">
        <v>29</v>
      </c>
      <c r="N4223" s="3">
        <v>99.07</v>
      </c>
      <c r="O4223" s="3">
        <v>20.098039215686271</v>
      </c>
    </row>
    <row r="4224" spans="1:15" hidden="1" x14ac:dyDescent="0.25">
      <c r="A4224" s="11">
        <v>46135</v>
      </c>
      <c r="B4224" t="s">
        <v>54</v>
      </c>
      <c r="C4224" t="s">
        <v>48</v>
      </c>
      <c r="D4224">
        <v>20</v>
      </c>
      <c r="E4224">
        <v>18</v>
      </c>
      <c r="F4224">
        <v>18.23</v>
      </c>
      <c r="G4224">
        <v>0</v>
      </c>
      <c r="H4224">
        <v>0</v>
      </c>
      <c r="I4224" s="3">
        <f>E4224+G4224+H4224</f>
        <v>18</v>
      </c>
      <c r="J4224" s="3">
        <f>ROUND(MIN(IF(C4224="Técnico III",35,IF(C4224="Técnico II",28,IF(C4224="Técnico I",23,IF(C4224="JR",20,IF(C4224="Estágio",10,0))))),IF(C4224="Técnico III",SUMIFS($D:$D,$A:$A,$A4224,$B:$B,"&lt;&gt;Patrícia Karla de Sousa Araújo",$B:$B,"&lt;&gt;Lorena Dias de Araujo",$B:$B,"&lt;&gt;Lucas Luiz Romero")*(35/1083),IF(C4224="Técnico II",SUMIFS($D:$D,$A:$A,$A4224,$B:$B,"&lt;&gt;Patrícia Karla de Sousa Araújo",$B:$B,"&lt;&gt;Lorena Dias de Araujo",$B:$B,"&lt;&gt;Lucas Luiz Romero")*(28/1083),IF(C4224="Técnico I",SUMIFS($D:$D,$A:$A,$A4224,$B:$B,"&lt;&gt;Patrícia Karla de Sousa Araújo",$B:$B,"&lt;&gt;Lorena Dias de Araujo",$B:$B,"&lt;&gt;Lucas Luiz Romero")*(23/1083),IF(C4224="JR",SUMIFS($D:$D,$A:$A,$A4224,$B:$B,"&lt;&gt;Patrícia Karla de Sousa Araújo",$B:$B,"&lt;&gt;Lorena Dias de Araujo",$B:$B,"&lt;&gt;Lucas Luiz Romero")*(20/1083),IF(C4224="Estágio",SUMIFS($D:$D,$A:$A,$A4224,$B:$B,"&lt;&gt;Patrícia Karla de Sousa Araújo",$B:$B,"&lt;&gt;Lorena Dias de Araujo",$B:$B,"&lt;&gt;Lucas Luiz Romero")*(10/1083),0)))))),0)</f>
        <v>20</v>
      </c>
      <c r="K4224" s="3">
        <f>I4224-J4224</f>
        <v>-2</v>
      </c>
      <c r="L4224" s="3" t="str">
        <f>IF(K4224&lt;-5,"CRÍTICO",IF(K4224&lt;0,"ATENÇÃO",IF(K4224&lt;=5,"OPORTUNO","MUITO BOM")))</f>
        <v>ATENÇÃO</v>
      </c>
      <c r="M4224">
        <v>16</v>
      </c>
      <c r="N4224">
        <v>100</v>
      </c>
      <c r="O4224">
        <v>28.921568627450981</v>
      </c>
    </row>
    <row r="4225" spans="1:15" hidden="1" x14ac:dyDescent="0.25">
      <c r="A4225" s="11">
        <v>46135</v>
      </c>
      <c r="B4225" t="s">
        <v>37</v>
      </c>
      <c r="C4225" t="s">
        <v>32</v>
      </c>
      <c r="D4225">
        <v>29</v>
      </c>
      <c r="E4225">
        <v>28</v>
      </c>
      <c r="F4225">
        <v>14.14</v>
      </c>
      <c r="G4225">
        <v>0</v>
      </c>
      <c r="H4225">
        <v>0</v>
      </c>
      <c r="I4225" s="3">
        <f>E4225+G4225+H4225</f>
        <v>28</v>
      </c>
      <c r="J4225" s="3">
        <f>ROUND(MIN(IF(C4225="Técnico III",35,IF(C4225="Técnico II",28,IF(C4225="Técnico I",23,IF(C4225="JR",20,IF(C4225="Estágio",10,0))))),IF(C4225="Técnico III",SUMIFS($D:$D,$A:$A,$A4225,$B:$B,"&lt;&gt;Patrícia Karla de Sousa Araújo",$B:$B,"&lt;&gt;Lorena Dias de Araujo",$B:$B,"&lt;&gt;Lucas Luiz Romero")*(35/1083),IF(C4225="Técnico II",SUMIFS($D:$D,$A:$A,$A4225,$B:$B,"&lt;&gt;Patrícia Karla de Sousa Araújo",$B:$B,"&lt;&gt;Lorena Dias de Araujo",$B:$B,"&lt;&gt;Lucas Luiz Romero")*(28/1083),IF(C4225="Técnico I",SUMIFS($D:$D,$A:$A,$A4225,$B:$B,"&lt;&gt;Patrícia Karla de Sousa Araújo",$B:$B,"&lt;&gt;Lorena Dias de Araujo",$B:$B,"&lt;&gt;Lucas Luiz Romero")*(23/1083),IF(C4225="JR",SUMIFS($D:$D,$A:$A,$A4225,$B:$B,"&lt;&gt;Patrícia Karla de Sousa Araújo",$B:$B,"&lt;&gt;Lorena Dias de Araujo",$B:$B,"&lt;&gt;Lucas Luiz Romero")*(20/1083),IF(C4225="Estágio",SUMIFS($D:$D,$A:$A,$A4225,$B:$B,"&lt;&gt;Patrícia Karla de Sousa Araújo",$B:$B,"&lt;&gt;Lorena Dias de Araujo",$B:$B,"&lt;&gt;Lucas Luiz Romero")*(10/1083),0)))))),0)</f>
        <v>25</v>
      </c>
      <c r="K4225" s="3">
        <f>I4225-J4225</f>
        <v>3</v>
      </c>
      <c r="L4225" s="3" t="str">
        <f>IF(K4225&lt;-5,"CRÍTICO",IF(K4225&lt;0,"ATENÇÃO",IF(K4225&lt;=5,"OPORTUNO","MUITO BOM")))</f>
        <v>OPORTUNO</v>
      </c>
      <c r="M4225">
        <v>31</v>
      </c>
      <c r="N4225">
        <v>99.57</v>
      </c>
      <c r="O4225">
        <v>30.635838150289018</v>
      </c>
    </row>
    <row r="4226" spans="1:15" hidden="1" x14ac:dyDescent="0.25">
      <c r="A4226" s="11">
        <v>46135</v>
      </c>
      <c r="B4226" t="s">
        <v>38</v>
      </c>
      <c r="C4226" t="s">
        <v>32</v>
      </c>
      <c r="D4226">
        <v>0</v>
      </c>
      <c r="E4226">
        <v>0</v>
      </c>
      <c r="F4226">
        <v>0</v>
      </c>
      <c r="G4226">
        <v>0</v>
      </c>
      <c r="H4226">
        <v>0</v>
      </c>
      <c r="I4226" s="3">
        <v>0</v>
      </c>
      <c r="J4226" s="3">
        <v>0</v>
      </c>
      <c r="K4226" s="3">
        <v>0</v>
      </c>
      <c r="L4226" s="3" t="str">
        <f>IF(K4226&lt;-5,"CRÍTICO",IF(K4226&lt;0,"ATENÇÃO",IF(K4226&lt;=5,"OPORTUNO","MUITO BOM")))</f>
        <v>OPORTUNO</v>
      </c>
      <c r="M4226">
        <v>0</v>
      </c>
      <c r="N4226">
        <v>95.65</v>
      </c>
      <c r="O4226">
        <v>32.432432432432442</v>
      </c>
    </row>
    <row r="4227" spans="1:15" hidden="1" x14ac:dyDescent="0.25">
      <c r="A4227" s="11">
        <v>46135</v>
      </c>
      <c r="B4227" t="s">
        <v>55</v>
      </c>
      <c r="C4227" t="s">
        <v>48</v>
      </c>
      <c r="D4227">
        <v>26</v>
      </c>
      <c r="E4227">
        <v>23</v>
      </c>
      <c r="F4227">
        <v>12.11</v>
      </c>
      <c r="G4227">
        <v>0</v>
      </c>
      <c r="H4227">
        <v>0</v>
      </c>
      <c r="I4227" s="3">
        <f>E4227+G4227+H4227</f>
        <v>23</v>
      </c>
      <c r="J4227" s="3">
        <f>ROUND(MIN(IF(C4227="Técnico III",35,IF(C4227="Técnico II",28,IF(C4227="Técnico I",23,IF(C4227="JR",20,IF(C4227="Estágio",10,0))))),IF(C4227="Técnico III",SUMIFS($D:$D,$A:$A,$A4227,$B:$B,"&lt;&gt;Patrícia Karla de Sousa Araújo",$B:$B,"&lt;&gt;Lorena Dias de Araujo",$B:$B,"&lt;&gt;Lucas Luiz Romero")*(35/1083),IF(C4227="Técnico II",SUMIFS($D:$D,$A:$A,$A4227,$B:$B,"&lt;&gt;Patrícia Karla de Sousa Araújo",$B:$B,"&lt;&gt;Lorena Dias de Araujo",$B:$B,"&lt;&gt;Lucas Luiz Romero")*(28/1083),IF(C4227="Técnico I",SUMIFS($D:$D,$A:$A,$A4227,$B:$B,"&lt;&gt;Patrícia Karla de Sousa Araújo",$B:$B,"&lt;&gt;Lorena Dias de Araujo",$B:$B,"&lt;&gt;Lucas Luiz Romero")*(23/1083),IF(C4227="JR",SUMIFS($D:$D,$A:$A,$A4227,$B:$B,"&lt;&gt;Patrícia Karla de Sousa Araújo",$B:$B,"&lt;&gt;Lorena Dias de Araujo",$B:$B,"&lt;&gt;Lucas Luiz Romero")*(20/1083),IF(C4227="Estágio",SUMIFS($D:$D,$A:$A,$A4227,$B:$B,"&lt;&gt;Patrícia Karla de Sousa Araújo",$B:$B,"&lt;&gt;Lorena Dias de Araujo",$B:$B,"&lt;&gt;Lucas Luiz Romero")*(10/1083),0)))))),0)</f>
        <v>20</v>
      </c>
      <c r="K4227" s="3">
        <f>I4227-J4227</f>
        <v>3</v>
      </c>
      <c r="L4227" s="3" t="str">
        <f>IF(K4227&lt;-5,"CRÍTICO",IF(K4227&lt;0,"ATENÇÃO",IF(K4227&lt;=5,"OPORTUNO","MUITO BOM")))</f>
        <v>OPORTUNO</v>
      </c>
      <c r="M4227">
        <v>20</v>
      </c>
      <c r="N4227">
        <v>98.81</v>
      </c>
      <c r="O4227">
        <v>26.256983240223459</v>
      </c>
    </row>
    <row r="4228" spans="1:15" hidden="1" x14ac:dyDescent="0.25">
      <c r="A4228" s="11">
        <v>46135</v>
      </c>
      <c r="B4228" t="s">
        <v>39</v>
      </c>
      <c r="C4228" t="s">
        <v>32</v>
      </c>
      <c r="D4228">
        <v>0</v>
      </c>
      <c r="E4228">
        <v>0</v>
      </c>
      <c r="F4228">
        <v>0</v>
      </c>
      <c r="G4228">
        <v>0</v>
      </c>
      <c r="H4228">
        <v>0</v>
      </c>
      <c r="I4228" s="3">
        <v>0</v>
      </c>
      <c r="J4228" s="3">
        <v>0</v>
      </c>
      <c r="K4228" s="3">
        <v>0</v>
      </c>
      <c r="L4228" s="3" t="str">
        <f>IF(K4228&lt;-5,"CRÍTICO",IF(K4228&lt;0,"ATENÇÃO",IF(K4228&lt;=5,"OPORTUNO","MUITO BOM")))</f>
        <v>OPORTUNO</v>
      </c>
      <c r="M4228">
        <v>0</v>
      </c>
      <c r="N4228">
        <v>0</v>
      </c>
      <c r="O4228">
        <v>0</v>
      </c>
    </row>
    <row r="4229" spans="1:15" hidden="1" x14ac:dyDescent="0.25">
      <c r="A4229" s="11">
        <v>46135</v>
      </c>
      <c r="B4229" t="s">
        <v>25</v>
      </c>
      <c r="C4229" t="s">
        <v>26</v>
      </c>
      <c r="D4229">
        <v>7</v>
      </c>
      <c r="E4229">
        <v>7</v>
      </c>
      <c r="F4229">
        <v>32.380000000000003</v>
      </c>
      <c r="G4229">
        <v>0</v>
      </c>
      <c r="H4229">
        <v>0</v>
      </c>
      <c r="I4229" s="3">
        <f>E4229+G4229+H4229</f>
        <v>7</v>
      </c>
      <c r="J4229" s="3">
        <f>ROUND(MIN(IF(C4229="Técnico III",35,IF(C4229="Técnico II",28,IF(C4229="Técnico I",23,IF(C4229="JR",20,IF(C4229="Estágio",10,0))))),IF(C4229="Técnico III",SUMIFS($D:$D,$A:$A,$A4229,$B:$B,"&lt;&gt;Patrícia Karla de Sousa Araújo",$B:$B,"&lt;&gt;Lorena Dias de Araujo",$B:$B,"&lt;&gt;Lucas Luiz Romero")*(35/1083),IF(C4229="Técnico II",SUMIFS($D:$D,$A:$A,$A4229,$B:$B,"&lt;&gt;Patrícia Karla de Sousa Araújo",$B:$B,"&lt;&gt;Lorena Dias de Araujo",$B:$B,"&lt;&gt;Lucas Luiz Romero")*(28/1083),IF(C4229="Técnico I",SUMIFS($D:$D,$A:$A,$A4229,$B:$B,"&lt;&gt;Patrícia Karla de Sousa Araújo",$B:$B,"&lt;&gt;Lorena Dias de Araujo",$B:$B,"&lt;&gt;Lucas Luiz Romero")*(23/1083),IF(C4229="JR",SUMIFS($D:$D,$A:$A,$A4229,$B:$B,"&lt;&gt;Patrícia Karla de Sousa Araújo",$B:$B,"&lt;&gt;Lorena Dias de Araujo",$B:$B,"&lt;&gt;Lucas Luiz Romero")*(20/1083),IF(C4229="Estágio",SUMIFS($D:$D,$A:$A,$A4229,$B:$B,"&lt;&gt;Patrícia Karla de Sousa Araújo",$B:$B,"&lt;&gt;Lorena Dias de Araujo",$B:$B,"&lt;&gt;Lucas Luiz Romero")*(10/1083),0)))))),0)</f>
        <v>14</v>
      </c>
      <c r="K4229" s="3">
        <f>I4229-J4229</f>
        <v>-7</v>
      </c>
      <c r="L4229" s="3" t="str">
        <f>IF(K4229&lt;-5,"CRÍTICO",IF(K4229&lt;0,"ATENÇÃO",IF(K4229&lt;=5,"OPORTUNO","MUITO BOM")))</f>
        <v>CRÍTICO</v>
      </c>
      <c r="M4229">
        <v>7</v>
      </c>
      <c r="N4229">
        <v>97.17</v>
      </c>
      <c r="O4229">
        <v>28.81844380403458</v>
      </c>
    </row>
    <row r="4230" spans="1:15" hidden="1" x14ac:dyDescent="0.25">
      <c r="A4230" s="11">
        <v>46135</v>
      </c>
      <c r="B4230" t="s">
        <v>40</v>
      </c>
      <c r="C4230" t="s">
        <v>32</v>
      </c>
      <c r="D4230">
        <v>0</v>
      </c>
      <c r="E4230">
        <v>0</v>
      </c>
      <c r="F4230">
        <v>0</v>
      </c>
      <c r="G4230">
        <v>0</v>
      </c>
      <c r="H4230">
        <v>0</v>
      </c>
      <c r="I4230" s="3">
        <v>0</v>
      </c>
      <c r="J4230" s="3">
        <v>0</v>
      </c>
      <c r="K4230" s="3">
        <v>0</v>
      </c>
      <c r="L4230" s="3" t="str">
        <f>IF(K4230&lt;-5,"CRÍTICO",IF(K4230&lt;0,"ATENÇÃO",IF(K4230&lt;=5,"OPORTUNO","MUITO BOM")))</f>
        <v>OPORTUNO</v>
      </c>
      <c r="M4230">
        <v>30</v>
      </c>
      <c r="N4230">
        <v>96.81</v>
      </c>
      <c r="O4230">
        <v>48.018648018648022</v>
      </c>
    </row>
    <row r="4231" spans="1:15" hidden="1" x14ac:dyDescent="0.25">
      <c r="A4231" s="11">
        <v>46135</v>
      </c>
      <c r="B4231" t="s">
        <v>27</v>
      </c>
      <c r="C4231" t="s">
        <v>26</v>
      </c>
      <c r="D4231">
        <v>20</v>
      </c>
      <c r="E4231">
        <v>18</v>
      </c>
      <c r="F4231">
        <v>17.09</v>
      </c>
      <c r="G4231">
        <v>0</v>
      </c>
      <c r="H4231">
        <v>0</v>
      </c>
      <c r="I4231" s="3">
        <f>E4231+G4231+H4231</f>
        <v>18</v>
      </c>
      <c r="J4231" s="3">
        <f>ROUND(MIN(IF(C4231="Técnico III",35,IF(C4231="Técnico II",28,IF(C4231="Técnico I",23,IF(C4231="JR",20,IF(C4231="Estágio",10,0))))),IF(C4231="Técnico III",SUMIFS($D:$D,$A:$A,$A4231,$B:$B,"&lt;&gt;Patrícia Karla de Sousa Araújo",$B:$B,"&lt;&gt;Lorena Dias de Araujo",$B:$B,"&lt;&gt;Lucas Luiz Romero")*(35/1083),IF(C4231="Técnico II",SUMIFS($D:$D,$A:$A,$A4231,$B:$B,"&lt;&gt;Patrícia Karla de Sousa Araújo",$B:$B,"&lt;&gt;Lorena Dias de Araujo",$B:$B,"&lt;&gt;Lucas Luiz Romero")*(28/1083),IF(C4231="Técnico I",SUMIFS($D:$D,$A:$A,$A4231,$B:$B,"&lt;&gt;Patrícia Karla de Sousa Araújo",$B:$B,"&lt;&gt;Lorena Dias de Araujo",$B:$B,"&lt;&gt;Lucas Luiz Romero")*(23/1083),IF(C4231="JR",SUMIFS($D:$D,$A:$A,$A4231,$B:$B,"&lt;&gt;Patrícia Karla de Sousa Araújo",$B:$B,"&lt;&gt;Lorena Dias de Araujo",$B:$B,"&lt;&gt;Lucas Luiz Romero")*(20/1083),IF(C4231="Estágio",SUMIFS($D:$D,$A:$A,$A4231,$B:$B,"&lt;&gt;Patrícia Karla de Sousa Araújo",$B:$B,"&lt;&gt;Lorena Dias de Araujo",$B:$B,"&lt;&gt;Lucas Luiz Romero")*(10/1083),0)))))),0)</f>
        <v>14</v>
      </c>
      <c r="K4231" s="3">
        <f>I4231-J4231</f>
        <v>4</v>
      </c>
      <c r="L4231" s="3" t="str">
        <f>IF(K4231&lt;-5,"CRÍTICO",IF(K4231&lt;0,"ATENÇÃO",IF(K4231&lt;=5,"OPORTUNO","MUITO BOM")))</f>
        <v>OPORTUNO</v>
      </c>
      <c r="M4231">
        <v>18</v>
      </c>
      <c r="N4231">
        <v>98.15</v>
      </c>
      <c r="O4231">
        <v>27.1551724137931</v>
      </c>
    </row>
    <row r="4232" spans="1:15" hidden="1" x14ac:dyDescent="0.25">
      <c r="A4232" s="11">
        <v>46135</v>
      </c>
      <c r="B4232" t="s">
        <v>41</v>
      </c>
      <c r="C4232" t="s">
        <v>32</v>
      </c>
      <c r="D4232">
        <v>24</v>
      </c>
      <c r="E4232">
        <v>22</v>
      </c>
      <c r="F4232">
        <v>17.04</v>
      </c>
      <c r="G4232">
        <v>0</v>
      </c>
      <c r="H4232">
        <v>0</v>
      </c>
      <c r="I4232" s="3">
        <f>E4232+G4232+H4232</f>
        <v>22</v>
      </c>
      <c r="J4232" s="3">
        <f>ROUND(MIN(IF(C4232="Técnico III",35,IF(C4232="Técnico II",28,IF(C4232="Técnico I",23,IF(C4232="JR",20,IF(C4232="Estágio",10,0))))),IF(C4232="Técnico III",SUMIFS($D:$D,$A:$A,$A4232,$B:$B,"&lt;&gt;Patrícia Karla de Sousa Araújo",$B:$B,"&lt;&gt;Lorena Dias de Araujo",$B:$B,"&lt;&gt;Lucas Luiz Romero")*(35/1083),IF(C4232="Técnico II",SUMIFS($D:$D,$A:$A,$A4232,$B:$B,"&lt;&gt;Patrícia Karla de Sousa Araújo",$B:$B,"&lt;&gt;Lorena Dias de Araujo",$B:$B,"&lt;&gt;Lucas Luiz Romero")*(28/1083),IF(C4232="Técnico I",SUMIFS($D:$D,$A:$A,$A4232,$B:$B,"&lt;&gt;Patrícia Karla de Sousa Araújo",$B:$B,"&lt;&gt;Lorena Dias de Araujo",$B:$B,"&lt;&gt;Lucas Luiz Romero")*(23/1083),IF(C4232="JR",SUMIFS($D:$D,$A:$A,$A4232,$B:$B,"&lt;&gt;Patrícia Karla de Sousa Araújo",$B:$B,"&lt;&gt;Lorena Dias de Araujo",$B:$B,"&lt;&gt;Lucas Luiz Romero")*(20/1083),IF(C4232="Estágio",SUMIFS($D:$D,$A:$A,$A4232,$B:$B,"&lt;&gt;Patrícia Karla de Sousa Araújo",$B:$B,"&lt;&gt;Lorena Dias de Araujo",$B:$B,"&lt;&gt;Lucas Luiz Romero")*(10/1083),0)))))),0)</f>
        <v>25</v>
      </c>
      <c r="K4232" s="3">
        <f>I4232-J4232</f>
        <v>-3</v>
      </c>
      <c r="L4232" s="3" t="str">
        <f>IF(K4232&lt;-5,"CRÍTICO",IF(K4232&lt;0,"ATENÇÃO",IF(K4232&lt;=5,"OPORTUNO","MUITO BOM")))</f>
        <v>ATENÇÃO</v>
      </c>
      <c r="M4232">
        <v>20</v>
      </c>
      <c r="N4232">
        <v>99.15</v>
      </c>
      <c r="O4232">
        <v>27.586206896551719</v>
      </c>
    </row>
    <row r="4233" spans="1:15" hidden="1" x14ac:dyDescent="0.25">
      <c r="A4233" s="11">
        <v>46135</v>
      </c>
      <c r="B4233" t="s">
        <v>56</v>
      </c>
      <c r="C4233" t="s">
        <v>48</v>
      </c>
      <c r="D4233">
        <v>23</v>
      </c>
      <c r="E4233">
        <v>21</v>
      </c>
      <c r="F4233">
        <v>20.36</v>
      </c>
      <c r="G4233">
        <v>0</v>
      </c>
      <c r="H4233">
        <v>0</v>
      </c>
      <c r="I4233" s="3">
        <f>E4233+G4233+H4233</f>
        <v>21</v>
      </c>
      <c r="J4233" s="3">
        <f>ROUND(MIN(IF(C4233="Técnico III",35,IF(C4233="Técnico II",28,IF(C4233="Técnico I",23,IF(C4233="JR",20,IF(C4233="Estágio",10,0))))),IF(C4233="Técnico III",SUMIFS($D:$D,$A:$A,$A4233,$B:$B,"&lt;&gt;Patrícia Karla de Sousa Araújo",$B:$B,"&lt;&gt;Lorena Dias de Araujo",$B:$B,"&lt;&gt;Lucas Luiz Romero")*(35/1083),IF(C4233="Técnico II",SUMIFS($D:$D,$A:$A,$A4233,$B:$B,"&lt;&gt;Patrícia Karla de Sousa Araújo",$B:$B,"&lt;&gt;Lorena Dias de Araujo",$B:$B,"&lt;&gt;Lucas Luiz Romero")*(28/1083),IF(C4233="Técnico I",SUMIFS($D:$D,$A:$A,$A4233,$B:$B,"&lt;&gt;Patrícia Karla de Sousa Araújo",$B:$B,"&lt;&gt;Lorena Dias de Araujo",$B:$B,"&lt;&gt;Lucas Luiz Romero")*(23/1083),IF(C4233="JR",SUMIFS($D:$D,$A:$A,$A4233,$B:$B,"&lt;&gt;Patrícia Karla de Sousa Araújo",$B:$B,"&lt;&gt;Lorena Dias de Araujo",$B:$B,"&lt;&gt;Lucas Luiz Romero")*(20/1083),IF(C4233="Estágio",SUMIFS($D:$D,$A:$A,$A4233,$B:$B,"&lt;&gt;Patrícia Karla de Sousa Araújo",$B:$B,"&lt;&gt;Lorena Dias de Araujo",$B:$B,"&lt;&gt;Lucas Luiz Romero")*(10/1083),0)))))),0)</f>
        <v>20</v>
      </c>
      <c r="K4233" s="3">
        <f>I4233-J4233</f>
        <v>1</v>
      </c>
      <c r="L4233" s="3" t="str">
        <f>IF(K4233&lt;-5,"CRÍTICO",IF(K4233&lt;0,"ATENÇÃO",IF(K4233&lt;=5,"OPORTUNO","MUITO BOM")))</f>
        <v>OPORTUNO</v>
      </c>
      <c r="M4233">
        <v>17</v>
      </c>
      <c r="N4233">
        <v>99.17</v>
      </c>
      <c r="O4233">
        <v>29.75206611570248</v>
      </c>
    </row>
    <row r="4234" spans="1:15" hidden="1" x14ac:dyDescent="0.25">
      <c r="A4234" s="11">
        <v>46135</v>
      </c>
      <c r="B4234" t="s">
        <v>57</v>
      </c>
      <c r="C4234" t="s">
        <v>48</v>
      </c>
      <c r="D4234">
        <v>0</v>
      </c>
      <c r="E4234">
        <v>0</v>
      </c>
      <c r="F4234">
        <v>0</v>
      </c>
      <c r="G4234">
        <v>0</v>
      </c>
      <c r="H4234">
        <v>0</v>
      </c>
      <c r="I4234" s="3">
        <v>0</v>
      </c>
      <c r="J4234" s="3">
        <v>0</v>
      </c>
      <c r="K4234" s="3">
        <v>0</v>
      </c>
      <c r="L4234" s="3" t="str">
        <f>IF(K4234&lt;-5,"CRÍTICO",IF(K4234&lt;0,"ATENÇÃO",IF(K4234&lt;=5,"OPORTUNO","MUITO BOM")))</f>
        <v>OPORTUNO</v>
      </c>
      <c r="M4234">
        <v>0</v>
      </c>
      <c r="N4234">
        <v>98.73</v>
      </c>
      <c r="O4234">
        <v>28.961748633879779</v>
      </c>
    </row>
    <row r="4235" spans="1:15" hidden="1" x14ac:dyDescent="0.25">
      <c r="A4235" s="11">
        <v>46135</v>
      </c>
      <c r="B4235" t="s">
        <v>42</v>
      </c>
      <c r="C4235" t="s">
        <v>32</v>
      </c>
      <c r="D4235">
        <v>0</v>
      </c>
      <c r="E4235">
        <v>0</v>
      </c>
      <c r="F4235">
        <v>0</v>
      </c>
      <c r="G4235">
        <v>0</v>
      </c>
      <c r="H4235">
        <v>0</v>
      </c>
      <c r="I4235" s="3">
        <v>0</v>
      </c>
      <c r="J4235" s="3">
        <v>0</v>
      </c>
      <c r="K4235" s="3">
        <v>0</v>
      </c>
      <c r="L4235" s="3" t="str">
        <f>IF(K4235&lt;-5,"CRÍTICO",IF(K4235&lt;0,"ATENÇÃO",IF(K4235&lt;=5,"OPORTUNO","MUITO BOM")))</f>
        <v>OPORTUNO</v>
      </c>
      <c r="M4235">
        <v>0</v>
      </c>
      <c r="N4235">
        <v>88.68</v>
      </c>
      <c r="O4235">
        <v>22.03389830508474</v>
      </c>
    </row>
    <row r="4236" spans="1:15" hidden="1" x14ac:dyDescent="0.25">
      <c r="A4236" s="11">
        <v>46135</v>
      </c>
      <c r="B4236" t="s">
        <v>62</v>
      </c>
      <c r="C4236" t="s">
        <v>23</v>
      </c>
      <c r="D4236">
        <v>21</v>
      </c>
      <c r="E4236">
        <v>20</v>
      </c>
      <c r="F4236">
        <v>20.13</v>
      </c>
      <c r="G4236">
        <v>0</v>
      </c>
      <c r="H4236">
        <v>0</v>
      </c>
      <c r="I4236" s="3">
        <f>E4236+G4236+H4236</f>
        <v>20</v>
      </c>
      <c r="J4236" s="3">
        <f>ROUND(MIN(IF(C4236="Técnico III",35,IF(C4236="Técnico II",28,IF(C4236="Técnico I",23,IF(C4236="JR",20,IF(C4236="Estágio",10,0))))),IF(C4236="Técnico III",SUMIFS($D:$D,$A:$A,$A4236,$B:$B,"&lt;&gt;Patrícia Karla de Sousa Araújo",$B:$B,"&lt;&gt;Lorena Dias de Araujo",$B:$B,"&lt;&gt;Lucas Luiz Romero")*(35/1083),IF(C4236="Técnico II",SUMIFS($D:$D,$A:$A,$A4236,$B:$B,"&lt;&gt;Patrícia Karla de Sousa Araújo",$B:$B,"&lt;&gt;Lorena Dias de Araujo",$B:$B,"&lt;&gt;Lucas Luiz Romero")*(28/1083),IF(C4236="Técnico I",SUMIFS($D:$D,$A:$A,$A4236,$B:$B,"&lt;&gt;Patrícia Karla de Sousa Araújo",$B:$B,"&lt;&gt;Lorena Dias de Araujo",$B:$B,"&lt;&gt;Lucas Luiz Romero")*(23/1083),IF(C4236="JR",SUMIFS($D:$D,$A:$A,$A4236,$B:$B,"&lt;&gt;Patrícia Karla de Sousa Araújo",$B:$B,"&lt;&gt;Lorena Dias de Araujo",$B:$B,"&lt;&gt;Lucas Luiz Romero")*(20/1083),IF(C4236="Estágio",SUMIFS($D:$D,$A:$A,$A4236,$B:$B,"&lt;&gt;Patrícia Karla de Sousa Araújo",$B:$B,"&lt;&gt;Lorena Dias de Araujo",$B:$B,"&lt;&gt;Lucas Luiz Romero")*(10/1083),0)))))),0)</f>
        <v>16</v>
      </c>
      <c r="K4236" s="3">
        <f>I4236-J4236</f>
        <v>4</v>
      </c>
      <c r="L4236" s="3" t="str">
        <f>IF(K4236&lt;-5,"CRÍTICO",IF(K4236&lt;0,"ATENÇÃO",IF(K4236&lt;=5,"OPORTUNO","MUITO BOM")))</f>
        <v>OPORTUNO</v>
      </c>
      <c r="M4236">
        <v>22</v>
      </c>
      <c r="N4236">
        <v>97.37</v>
      </c>
      <c r="O4236">
        <v>25.76530612244898</v>
      </c>
    </row>
    <row r="4237" spans="1:15" hidden="1" x14ac:dyDescent="0.25">
      <c r="A4237" s="11">
        <v>46135</v>
      </c>
      <c r="B4237" t="s">
        <v>19</v>
      </c>
      <c r="C4237" t="s">
        <v>16</v>
      </c>
      <c r="D4237">
        <v>35</v>
      </c>
      <c r="E4237">
        <v>16</v>
      </c>
      <c r="F4237">
        <v>3.4</v>
      </c>
      <c r="G4237">
        <v>0</v>
      </c>
      <c r="H4237">
        <v>0</v>
      </c>
      <c r="I4237" s="3">
        <f>E4237+G4237+H4237</f>
        <v>16</v>
      </c>
      <c r="J4237" s="3">
        <f>ROUND(MIN(IF(C4237="Técnico III",35,IF(C4237="Técnico II",28,IF(C4237="Técnico I",23,IF(C4237="JR",20,IF(C4237="Estágio",10,0))))),IF(C4237="Técnico III",SUMIFS($D:$D,$A:$A,$A4237,$B:$B,"&lt;&gt;Patrícia Karla de Sousa Araújo",$B:$B,"&lt;&gt;Lorena Dias de Araujo",$B:$B,"&lt;&gt;Lucas Luiz Romero")*(35/1083),IF(C4237="Técnico II",SUMIFS($D:$D,$A:$A,$A4237,$B:$B,"&lt;&gt;Patrícia Karla de Sousa Araújo",$B:$B,"&lt;&gt;Lorena Dias de Araujo",$B:$B,"&lt;&gt;Lucas Luiz Romero")*(28/1083),IF(C4237="Técnico I",SUMIFS($D:$D,$A:$A,$A4237,$B:$B,"&lt;&gt;Patrícia Karla de Sousa Araújo",$B:$B,"&lt;&gt;Lorena Dias de Araujo",$B:$B,"&lt;&gt;Lucas Luiz Romero")*(23/1083),IF(C4237="JR",SUMIFS($D:$D,$A:$A,$A4237,$B:$B,"&lt;&gt;Patrícia Karla de Sousa Araújo",$B:$B,"&lt;&gt;Lorena Dias de Araujo",$B:$B,"&lt;&gt;Lucas Luiz Romero")*(20/1083),IF(C4237="Estágio",SUMIFS($D:$D,$A:$A,$A4237,$B:$B,"&lt;&gt;Patrícia Karla de Sousa Araújo",$B:$B,"&lt;&gt;Lorena Dias de Araujo",$B:$B,"&lt;&gt;Lucas Luiz Romero")*(10/1083),0)))))),0)</f>
        <v>7</v>
      </c>
      <c r="K4237" s="3">
        <f>I4237-J4237</f>
        <v>9</v>
      </c>
      <c r="L4237" s="3" t="str">
        <f>IF(K4237&lt;-5,"CRÍTICO",IF(K4237&lt;0,"ATENÇÃO",IF(K4237&lt;=5,"OPORTUNO","MUITO BOM")))</f>
        <v>MUITO BOM</v>
      </c>
      <c r="M4237">
        <v>0</v>
      </c>
      <c r="N4237">
        <v>100</v>
      </c>
      <c r="O4237">
        <v>25</v>
      </c>
    </row>
    <row r="4238" spans="1:15" hidden="1" x14ac:dyDescent="0.25">
      <c r="A4238" s="11">
        <v>46135</v>
      </c>
      <c r="B4238" t="s">
        <v>43</v>
      </c>
      <c r="C4238" t="s">
        <v>32</v>
      </c>
      <c r="D4238">
        <v>19</v>
      </c>
      <c r="E4238">
        <v>17</v>
      </c>
      <c r="F4238">
        <v>12.26</v>
      </c>
      <c r="G4238">
        <v>0</v>
      </c>
      <c r="H4238">
        <v>0</v>
      </c>
      <c r="I4238" s="3">
        <f>E4238+G4238+H4238</f>
        <v>17</v>
      </c>
      <c r="J4238" s="3">
        <f>ROUND(MIN(IF(C4238="Técnico III",35,IF(C4238="Técnico II",28,IF(C4238="Técnico I",23,IF(C4238="JR",20,IF(C4238="Estágio",10,0))))),IF(C4238="Técnico III",SUMIFS($D:$D,$A:$A,$A4238,$B:$B,"&lt;&gt;Patrícia Karla de Sousa Araújo",$B:$B,"&lt;&gt;Lorena Dias de Araujo",$B:$B,"&lt;&gt;Lucas Luiz Romero")*(35/1083),IF(C4238="Técnico II",SUMIFS($D:$D,$A:$A,$A4238,$B:$B,"&lt;&gt;Patrícia Karla de Sousa Araújo",$B:$B,"&lt;&gt;Lorena Dias de Araujo",$B:$B,"&lt;&gt;Lucas Luiz Romero")*(28/1083),IF(C4238="Técnico I",SUMIFS($D:$D,$A:$A,$A4238,$B:$B,"&lt;&gt;Patrícia Karla de Sousa Araújo",$B:$B,"&lt;&gt;Lorena Dias de Araujo",$B:$B,"&lt;&gt;Lucas Luiz Romero")*(23/1083),IF(C4238="JR",SUMIFS($D:$D,$A:$A,$A4238,$B:$B,"&lt;&gt;Patrícia Karla de Sousa Araújo",$B:$B,"&lt;&gt;Lorena Dias de Araujo",$B:$B,"&lt;&gt;Lucas Luiz Romero")*(20/1083),IF(C4238="Estágio",SUMIFS($D:$D,$A:$A,$A4238,$B:$B,"&lt;&gt;Patrícia Karla de Sousa Araújo",$B:$B,"&lt;&gt;Lorena Dias de Araujo",$B:$B,"&lt;&gt;Lucas Luiz Romero")*(10/1083),0)))))),0)</f>
        <v>25</v>
      </c>
      <c r="K4238" s="3">
        <f>I4238-J4238</f>
        <v>-8</v>
      </c>
      <c r="L4238" s="3" t="str">
        <f>IF(K4238&lt;-5,"CRÍTICO",IF(K4238&lt;0,"ATENÇÃO",IF(K4238&lt;=5,"OPORTUNO","MUITO BOM")))</f>
        <v>CRÍTICO</v>
      </c>
      <c r="M4238">
        <v>26</v>
      </c>
      <c r="N4238">
        <v>100</v>
      </c>
      <c r="O4238">
        <v>23.9870340356564</v>
      </c>
    </row>
    <row r="4239" spans="1:15" hidden="1" x14ac:dyDescent="0.25">
      <c r="A4239" s="11">
        <v>46135</v>
      </c>
      <c r="B4239" t="s">
        <v>44</v>
      </c>
      <c r="C4239" t="s">
        <v>32</v>
      </c>
      <c r="D4239">
        <v>23</v>
      </c>
      <c r="E4239">
        <v>23</v>
      </c>
      <c r="F4239">
        <v>15.14</v>
      </c>
      <c r="G4239">
        <v>0</v>
      </c>
      <c r="H4239">
        <v>0</v>
      </c>
      <c r="I4239" s="3">
        <f>E4239+G4239+H4239</f>
        <v>23</v>
      </c>
      <c r="J4239" s="3">
        <f>ROUND(MIN(IF(C4239="Técnico III",35,IF(C4239="Técnico II",28,IF(C4239="Técnico I",23,IF(C4239="JR",20,IF(C4239="Estágio",10,0))))),IF(C4239="Técnico III",SUMIFS($D:$D,$A:$A,$A4239,$B:$B,"&lt;&gt;Patrícia Karla de Sousa Araújo",$B:$B,"&lt;&gt;Lorena Dias de Araujo",$B:$B,"&lt;&gt;Lucas Luiz Romero")*(35/1083),IF(C4239="Técnico II",SUMIFS($D:$D,$A:$A,$A4239,$B:$B,"&lt;&gt;Patrícia Karla de Sousa Araújo",$B:$B,"&lt;&gt;Lorena Dias de Araujo",$B:$B,"&lt;&gt;Lucas Luiz Romero")*(28/1083),IF(C4239="Técnico I",SUMIFS($D:$D,$A:$A,$A4239,$B:$B,"&lt;&gt;Patrícia Karla de Sousa Araújo",$B:$B,"&lt;&gt;Lorena Dias de Araujo",$B:$B,"&lt;&gt;Lucas Luiz Romero")*(23/1083),IF(C4239="JR",SUMIFS($D:$D,$A:$A,$A4239,$B:$B,"&lt;&gt;Patrícia Karla de Sousa Araújo",$B:$B,"&lt;&gt;Lorena Dias de Araujo",$B:$B,"&lt;&gt;Lucas Luiz Romero")*(20/1083),IF(C4239="Estágio",SUMIFS($D:$D,$A:$A,$A4239,$B:$B,"&lt;&gt;Patrícia Karla de Sousa Araújo",$B:$B,"&lt;&gt;Lorena Dias de Araujo",$B:$B,"&lt;&gt;Lucas Luiz Romero")*(10/1083),0)))))),0)</f>
        <v>25</v>
      </c>
      <c r="K4239" s="3">
        <f>I4239-J4239</f>
        <v>-2</v>
      </c>
      <c r="L4239" s="3" t="str">
        <f>IF(K4239&lt;-5,"CRÍTICO",IF(K4239&lt;0,"ATENÇÃO",IF(K4239&lt;=5,"OPORTUNO","MUITO BOM")))</f>
        <v>ATENÇÃO</v>
      </c>
      <c r="M4239">
        <v>20</v>
      </c>
      <c r="N4239">
        <v>95.49</v>
      </c>
      <c r="O4239">
        <v>28.370221327967808</v>
      </c>
    </row>
    <row r="4240" spans="1:15" hidden="1" x14ac:dyDescent="0.25">
      <c r="A4240" s="11">
        <v>46135</v>
      </c>
      <c r="B4240" t="s">
        <v>20</v>
      </c>
      <c r="C4240" t="s">
        <v>16</v>
      </c>
      <c r="D4240">
        <v>12</v>
      </c>
      <c r="E4240">
        <v>12</v>
      </c>
      <c r="F4240">
        <v>23.38</v>
      </c>
      <c r="G4240">
        <v>0</v>
      </c>
      <c r="H4240">
        <v>0</v>
      </c>
      <c r="I4240" s="3">
        <f>E4240+G4240+H4240</f>
        <v>12</v>
      </c>
      <c r="J4240" s="3">
        <f>ROUND(MIN(IF(C4240="Técnico III",35,IF(C4240="Técnico II",28,IF(C4240="Técnico I",23,IF(C4240="JR",20,IF(C4240="Estágio",10,0))))),IF(C4240="Técnico III",SUMIFS($D:$D,$A:$A,$A4240,$B:$B,"&lt;&gt;Patrícia Karla de Sousa Araújo",$B:$B,"&lt;&gt;Lorena Dias de Araujo",$B:$B,"&lt;&gt;Lucas Luiz Romero")*(35/1083),IF(C4240="Técnico II",SUMIFS($D:$D,$A:$A,$A4240,$B:$B,"&lt;&gt;Patrícia Karla de Sousa Araújo",$B:$B,"&lt;&gt;Lorena Dias de Araujo",$B:$B,"&lt;&gt;Lucas Luiz Romero")*(28/1083),IF(C4240="Técnico I",SUMIFS($D:$D,$A:$A,$A4240,$B:$B,"&lt;&gt;Patrícia Karla de Sousa Araújo",$B:$B,"&lt;&gt;Lorena Dias de Araujo",$B:$B,"&lt;&gt;Lucas Luiz Romero")*(23/1083),IF(C4240="JR",SUMIFS($D:$D,$A:$A,$A4240,$B:$B,"&lt;&gt;Patrícia Karla de Sousa Araújo",$B:$B,"&lt;&gt;Lorena Dias de Araujo",$B:$B,"&lt;&gt;Lucas Luiz Romero")*(20/1083),IF(C4240="Estágio",SUMIFS($D:$D,$A:$A,$A4240,$B:$B,"&lt;&gt;Patrícia Karla de Sousa Araújo",$B:$B,"&lt;&gt;Lorena Dias de Araujo",$B:$B,"&lt;&gt;Lucas Luiz Romero")*(10/1083),0)))))),0)</f>
        <v>7</v>
      </c>
      <c r="K4240" s="3">
        <f>I4240-J4240</f>
        <v>5</v>
      </c>
      <c r="L4240" s="3" t="str">
        <f>IF(K4240&lt;-5,"CRÍTICO",IF(K4240&lt;0,"ATENÇÃO",IF(K4240&lt;=5,"OPORTUNO","MUITO BOM")))</f>
        <v>OPORTUNO</v>
      </c>
      <c r="M4240">
        <v>7</v>
      </c>
      <c r="N4240">
        <v>100</v>
      </c>
      <c r="O4240">
        <v>23.77622377622378</v>
      </c>
    </row>
    <row r="4241" spans="1:15" hidden="1" x14ac:dyDescent="0.25">
      <c r="A4241" s="11">
        <v>46135</v>
      </c>
      <c r="B4241" t="s">
        <v>28</v>
      </c>
      <c r="C4241" t="s">
        <v>26</v>
      </c>
      <c r="D4241">
        <v>34</v>
      </c>
      <c r="E4241">
        <v>19</v>
      </c>
      <c r="F4241">
        <v>9.1</v>
      </c>
      <c r="G4241">
        <v>0</v>
      </c>
      <c r="H4241">
        <v>0</v>
      </c>
      <c r="I4241" s="3">
        <f>E4241+G4241+H4241</f>
        <v>19</v>
      </c>
      <c r="J4241" s="3">
        <f>ROUND(MIN(IF(C4241="Técnico III",35,IF(C4241="Técnico II",28,IF(C4241="Técnico I",23,IF(C4241="JR",20,IF(C4241="Estágio",10,0))))),IF(C4241="Técnico III",SUMIFS($D:$D,$A:$A,$A4241,$B:$B,"&lt;&gt;Patrícia Karla de Sousa Araújo",$B:$B,"&lt;&gt;Lorena Dias de Araujo",$B:$B,"&lt;&gt;Lucas Luiz Romero")*(35/1083),IF(C4241="Técnico II",SUMIFS($D:$D,$A:$A,$A4241,$B:$B,"&lt;&gt;Patrícia Karla de Sousa Araújo",$B:$B,"&lt;&gt;Lorena Dias de Araujo",$B:$B,"&lt;&gt;Lucas Luiz Romero")*(28/1083),IF(C4241="Técnico I",SUMIFS($D:$D,$A:$A,$A4241,$B:$B,"&lt;&gt;Patrícia Karla de Sousa Araújo",$B:$B,"&lt;&gt;Lorena Dias de Araujo",$B:$B,"&lt;&gt;Lucas Luiz Romero")*(23/1083),IF(C4241="JR",SUMIFS($D:$D,$A:$A,$A4241,$B:$B,"&lt;&gt;Patrícia Karla de Sousa Araújo",$B:$B,"&lt;&gt;Lorena Dias de Araujo",$B:$B,"&lt;&gt;Lucas Luiz Romero")*(20/1083),IF(C4241="Estágio",SUMIFS($D:$D,$A:$A,$A4241,$B:$B,"&lt;&gt;Patrícia Karla de Sousa Araújo",$B:$B,"&lt;&gt;Lorena Dias de Araujo",$B:$B,"&lt;&gt;Lucas Luiz Romero")*(10/1083),0)))))),0)</f>
        <v>14</v>
      </c>
      <c r="K4241" s="3">
        <f>I4241-J4241</f>
        <v>5</v>
      </c>
      <c r="L4241" s="3" t="str">
        <f>IF(K4241&lt;-5,"CRÍTICO",IF(K4241&lt;0,"ATENÇÃO",IF(K4241&lt;=5,"OPORTUNO","MUITO BOM")))</f>
        <v>OPORTUNO</v>
      </c>
      <c r="M4241">
        <v>16</v>
      </c>
      <c r="N4241">
        <v>96.15</v>
      </c>
      <c r="O4241">
        <v>24.045801526717561</v>
      </c>
    </row>
    <row r="4242" spans="1:15" hidden="1" x14ac:dyDescent="0.25">
      <c r="A4242" s="11">
        <v>46135</v>
      </c>
      <c r="B4242" t="s">
        <v>58</v>
      </c>
      <c r="C4242" t="s">
        <v>48</v>
      </c>
      <c r="D4242">
        <v>0</v>
      </c>
      <c r="E4242">
        <v>0</v>
      </c>
      <c r="F4242">
        <v>0</v>
      </c>
      <c r="G4242">
        <v>0</v>
      </c>
      <c r="H4242">
        <v>0</v>
      </c>
      <c r="I4242" s="3">
        <v>0</v>
      </c>
      <c r="J4242" s="3">
        <v>0</v>
      </c>
      <c r="K4242" s="3">
        <v>0</v>
      </c>
      <c r="L4242" s="3" t="str">
        <f>IF(K4242&lt;-5,"CRÍTICO",IF(K4242&lt;0,"ATENÇÃO",IF(K4242&lt;=5,"OPORTUNO","MUITO BOM")))</f>
        <v>OPORTUNO</v>
      </c>
      <c r="M4242">
        <v>0</v>
      </c>
      <c r="N4242">
        <v>99.02</v>
      </c>
      <c r="O4242">
        <v>34.797297297297298</v>
      </c>
    </row>
    <row r="4243" spans="1:15" hidden="1" x14ac:dyDescent="0.25">
      <c r="A4243" s="11">
        <v>46135</v>
      </c>
      <c r="B4243" t="s">
        <v>29</v>
      </c>
      <c r="C4243" t="s">
        <v>26</v>
      </c>
      <c r="D4243">
        <v>0</v>
      </c>
      <c r="E4243">
        <v>0</v>
      </c>
      <c r="F4243">
        <v>0</v>
      </c>
      <c r="G4243">
        <v>0</v>
      </c>
      <c r="H4243">
        <v>0</v>
      </c>
      <c r="I4243" s="3">
        <v>0</v>
      </c>
      <c r="J4243" s="3">
        <v>0</v>
      </c>
      <c r="K4243" s="3">
        <v>0</v>
      </c>
      <c r="L4243" s="3" t="str">
        <f>IF(K4243&lt;-5,"CRÍTICO",IF(K4243&lt;0,"ATENÇÃO",IF(K4243&lt;=5,"OPORTUNO","MUITO BOM")))</f>
        <v>OPORTUNO</v>
      </c>
      <c r="M4243">
        <v>0</v>
      </c>
      <c r="N4243">
        <v>98.84</v>
      </c>
      <c r="O4243">
        <v>31.868131868131869</v>
      </c>
    </row>
    <row r="4244" spans="1:15" hidden="1" x14ac:dyDescent="0.25">
      <c r="A4244" s="11">
        <v>46135</v>
      </c>
      <c r="B4244" t="s">
        <v>30</v>
      </c>
      <c r="C4244" t="s">
        <v>26</v>
      </c>
      <c r="D4244">
        <v>12</v>
      </c>
      <c r="E4244">
        <v>11</v>
      </c>
      <c r="F4244">
        <v>21.54</v>
      </c>
      <c r="G4244">
        <v>0</v>
      </c>
      <c r="H4244">
        <v>0</v>
      </c>
      <c r="I4244" s="3">
        <f>E4244+G4244+H4244</f>
        <v>11</v>
      </c>
      <c r="J4244" s="3">
        <f>ROUND(MIN(IF(C4244="Técnico III",35,IF(C4244="Técnico II",28,IF(C4244="Técnico I",23,IF(C4244="JR",20,IF(C4244="Estágio",10,0))))),IF(C4244="Técnico III",SUMIFS($D:$D,$A:$A,$A4244,$B:$B,"&lt;&gt;Patrícia Karla de Sousa Araújo",$B:$B,"&lt;&gt;Lorena Dias de Araujo",$B:$B,"&lt;&gt;Lucas Luiz Romero")*(35/1083),IF(C4244="Técnico II",SUMIFS($D:$D,$A:$A,$A4244,$B:$B,"&lt;&gt;Patrícia Karla de Sousa Araújo",$B:$B,"&lt;&gt;Lorena Dias de Araujo",$B:$B,"&lt;&gt;Lucas Luiz Romero")*(28/1083),IF(C4244="Técnico I",SUMIFS($D:$D,$A:$A,$A4244,$B:$B,"&lt;&gt;Patrícia Karla de Sousa Araújo",$B:$B,"&lt;&gt;Lorena Dias de Araujo",$B:$B,"&lt;&gt;Lucas Luiz Romero")*(23/1083),IF(C4244="JR",SUMIFS($D:$D,$A:$A,$A4244,$B:$B,"&lt;&gt;Patrícia Karla de Sousa Araújo",$B:$B,"&lt;&gt;Lorena Dias de Araujo",$B:$B,"&lt;&gt;Lucas Luiz Romero")*(20/1083),IF(C4244="Estágio",SUMIFS($D:$D,$A:$A,$A4244,$B:$B,"&lt;&gt;Patrícia Karla de Sousa Araújo",$B:$B,"&lt;&gt;Lorena Dias de Araujo",$B:$B,"&lt;&gt;Lucas Luiz Romero")*(10/1083),0)))))),0)</f>
        <v>14</v>
      </c>
      <c r="K4244" s="3">
        <f>I4244-J4244</f>
        <v>-3</v>
      </c>
      <c r="L4244" s="3" t="str">
        <f>IF(K4244&lt;-5,"CRÍTICO",IF(K4244&lt;0,"ATENÇÃO",IF(K4244&lt;=5,"OPORTUNO","MUITO BOM")))</f>
        <v>ATENÇÃO</v>
      </c>
      <c r="M4244">
        <v>10</v>
      </c>
      <c r="N4244">
        <v>100</v>
      </c>
      <c r="O4244">
        <v>34.666666666666671</v>
      </c>
    </row>
    <row r="4245" spans="1:15" hidden="1" x14ac:dyDescent="0.25">
      <c r="A4245" s="11">
        <v>46135</v>
      </c>
      <c r="B4245" t="s">
        <v>21</v>
      </c>
      <c r="C4245" t="s">
        <v>16</v>
      </c>
      <c r="D4245">
        <v>5</v>
      </c>
      <c r="E4245">
        <v>5</v>
      </c>
      <c r="F4245">
        <v>23.21</v>
      </c>
      <c r="G4245">
        <v>0</v>
      </c>
      <c r="H4245">
        <v>0</v>
      </c>
      <c r="I4245" s="3">
        <f>E4245+G4245+H4245</f>
        <v>5</v>
      </c>
      <c r="J4245" s="3">
        <f>ROUND(MIN(IF(C4245="Técnico III",35,IF(C4245="Técnico II",28,IF(C4245="Técnico I",23,IF(C4245="JR",20,IF(C4245="Estágio",10,0))))),IF(C4245="Técnico III",SUMIFS($D:$D,$A:$A,$A4245,$B:$B,"&lt;&gt;Patrícia Karla de Sousa Araújo",$B:$B,"&lt;&gt;Lorena Dias de Araujo",$B:$B,"&lt;&gt;Lucas Luiz Romero")*(35/1083),IF(C4245="Técnico II",SUMIFS($D:$D,$A:$A,$A4245,$B:$B,"&lt;&gt;Patrícia Karla de Sousa Araújo",$B:$B,"&lt;&gt;Lorena Dias de Araujo",$B:$B,"&lt;&gt;Lucas Luiz Romero")*(28/1083),IF(C4245="Técnico I",SUMIFS($D:$D,$A:$A,$A4245,$B:$B,"&lt;&gt;Patrícia Karla de Sousa Araújo",$B:$B,"&lt;&gt;Lorena Dias de Araujo",$B:$B,"&lt;&gt;Lucas Luiz Romero")*(23/1083),IF(C4245="JR",SUMIFS($D:$D,$A:$A,$A4245,$B:$B,"&lt;&gt;Patrícia Karla de Sousa Araújo",$B:$B,"&lt;&gt;Lorena Dias de Araujo",$B:$B,"&lt;&gt;Lucas Luiz Romero")*(20/1083),IF(C4245="Estágio",SUMIFS($D:$D,$A:$A,$A4245,$B:$B,"&lt;&gt;Patrícia Karla de Sousa Araújo",$B:$B,"&lt;&gt;Lorena Dias de Araujo",$B:$B,"&lt;&gt;Lucas Luiz Romero")*(10/1083),0)))))),0)</f>
        <v>7</v>
      </c>
      <c r="K4245" s="3">
        <f>I4245-J4245</f>
        <v>-2</v>
      </c>
      <c r="L4245" s="3" t="str">
        <f>IF(K4245&lt;-5,"CRÍTICO",IF(K4245&lt;0,"ATENÇÃO",IF(K4245&lt;=5,"OPORTUNO","MUITO BOM")))</f>
        <v>ATENÇÃO</v>
      </c>
      <c r="M4245">
        <v>4</v>
      </c>
      <c r="N4245">
        <v>94.12</v>
      </c>
      <c r="O4245">
        <v>32.799999999999997</v>
      </c>
    </row>
    <row r="4246" spans="1:15" hidden="1" x14ac:dyDescent="0.25">
      <c r="A4246" s="11">
        <v>46135</v>
      </c>
      <c r="B4246" t="s">
        <v>63</v>
      </c>
      <c r="C4246" t="s">
        <v>23</v>
      </c>
      <c r="D4246">
        <v>30</v>
      </c>
      <c r="E4246">
        <v>27</v>
      </c>
      <c r="F4246">
        <v>11.43</v>
      </c>
      <c r="G4246">
        <v>0</v>
      </c>
      <c r="H4246">
        <v>0</v>
      </c>
      <c r="I4246" s="3">
        <f>E4246+G4246+H4246</f>
        <v>27</v>
      </c>
      <c r="J4246" s="3">
        <f>ROUND(MIN(IF(C4246="Técnico III",35,IF(C4246="Técnico II",28,IF(C4246="Técnico I",23,IF(C4246="JR",20,IF(C4246="Estágio",10,0))))),IF(C4246="Técnico III",SUMIFS($D:$D,$A:$A,$A4246,$B:$B,"&lt;&gt;Patrícia Karla de Sousa Araújo",$B:$B,"&lt;&gt;Lorena Dias de Araujo",$B:$B,"&lt;&gt;Lucas Luiz Romero")*(35/1083),IF(C4246="Técnico II",SUMIFS($D:$D,$A:$A,$A4246,$B:$B,"&lt;&gt;Patrícia Karla de Sousa Araújo",$B:$B,"&lt;&gt;Lorena Dias de Araujo",$B:$B,"&lt;&gt;Lucas Luiz Romero")*(28/1083),IF(C4246="Técnico I",SUMIFS($D:$D,$A:$A,$A4246,$B:$B,"&lt;&gt;Patrícia Karla de Sousa Araújo",$B:$B,"&lt;&gt;Lorena Dias de Araujo",$B:$B,"&lt;&gt;Lucas Luiz Romero")*(23/1083),IF(C4246="JR",SUMIFS($D:$D,$A:$A,$A4246,$B:$B,"&lt;&gt;Patrícia Karla de Sousa Araújo",$B:$B,"&lt;&gt;Lorena Dias de Araujo",$B:$B,"&lt;&gt;Lucas Luiz Romero")*(20/1083),IF(C4246="Estágio",SUMIFS($D:$D,$A:$A,$A4246,$B:$B,"&lt;&gt;Patrícia Karla de Sousa Araújo",$B:$B,"&lt;&gt;Lorena Dias de Araujo",$B:$B,"&lt;&gt;Lucas Luiz Romero")*(10/1083),0)))))),0)</f>
        <v>16</v>
      </c>
      <c r="K4246" s="3">
        <f>I4246-J4246</f>
        <v>11</v>
      </c>
      <c r="L4246" s="3" t="str">
        <f>IF(K4246&lt;-5,"CRÍTICO",IF(K4246&lt;0,"ATENÇÃO",IF(K4246&lt;=5,"OPORTUNO","MUITO BOM")))</f>
        <v>MUITO BOM</v>
      </c>
      <c r="M4246">
        <v>23</v>
      </c>
      <c r="N4246">
        <v>98.32</v>
      </c>
      <c r="O4246">
        <v>26.858513189448441</v>
      </c>
    </row>
    <row r="4247" spans="1:15" hidden="1" x14ac:dyDescent="0.25">
      <c r="A4247" s="11">
        <v>46135</v>
      </c>
      <c r="B4247" t="s">
        <v>45</v>
      </c>
      <c r="C4247" t="s">
        <v>32</v>
      </c>
      <c r="D4247">
        <v>32</v>
      </c>
      <c r="E4247">
        <v>30</v>
      </c>
      <c r="F4247">
        <v>15.17</v>
      </c>
      <c r="G4247">
        <v>0</v>
      </c>
      <c r="H4247">
        <v>0</v>
      </c>
      <c r="I4247" s="3">
        <f>E4247+G4247+H4247</f>
        <v>30</v>
      </c>
      <c r="J4247" s="3">
        <f>ROUND(MIN(IF(C4247="Técnico III",35,IF(C4247="Técnico II",28,IF(C4247="Técnico I",23,IF(C4247="JR",20,IF(C4247="Estágio",10,0))))),IF(C4247="Técnico III",SUMIFS($D:$D,$A:$A,$A4247,$B:$B,"&lt;&gt;Patrícia Karla de Sousa Araújo",$B:$B,"&lt;&gt;Lorena Dias de Araujo",$B:$B,"&lt;&gt;Lucas Luiz Romero")*(35/1083),IF(C4247="Técnico II",SUMIFS($D:$D,$A:$A,$A4247,$B:$B,"&lt;&gt;Patrícia Karla de Sousa Araújo",$B:$B,"&lt;&gt;Lorena Dias de Araujo",$B:$B,"&lt;&gt;Lucas Luiz Romero")*(28/1083),IF(C4247="Técnico I",SUMIFS($D:$D,$A:$A,$A4247,$B:$B,"&lt;&gt;Patrícia Karla de Sousa Araújo",$B:$B,"&lt;&gt;Lorena Dias de Araujo",$B:$B,"&lt;&gt;Lucas Luiz Romero")*(23/1083),IF(C4247="JR",SUMIFS($D:$D,$A:$A,$A4247,$B:$B,"&lt;&gt;Patrícia Karla de Sousa Araújo",$B:$B,"&lt;&gt;Lorena Dias de Araujo",$B:$B,"&lt;&gt;Lucas Luiz Romero")*(20/1083),IF(C4247="Estágio",SUMIFS($D:$D,$A:$A,$A4247,$B:$B,"&lt;&gt;Patrícia Karla de Sousa Araújo",$B:$B,"&lt;&gt;Lorena Dias de Araujo",$B:$B,"&lt;&gt;Lucas Luiz Romero")*(10/1083),0)))))),0)</f>
        <v>25</v>
      </c>
      <c r="K4247" s="3">
        <f>I4247-J4247</f>
        <v>5</v>
      </c>
      <c r="L4247" s="3" t="str">
        <f>IF(K4247&lt;-5,"CRÍTICO",IF(K4247&lt;0,"ATENÇÃO",IF(K4247&lt;=5,"OPORTUNO","MUITO BOM")))</f>
        <v>OPORTUNO</v>
      </c>
      <c r="M4247">
        <v>20</v>
      </c>
      <c r="N4247">
        <v>100</v>
      </c>
      <c r="O4247">
        <v>31.135531135531139</v>
      </c>
    </row>
    <row r="4248" spans="1:15" hidden="1" x14ac:dyDescent="0.25">
      <c r="A4248" s="11">
        <v>46135</v>
      </c>
      <c r="B4248" t="s">
        <v>64</v>
      </c>
      <c r="C4248" t="s">
        <v>23</v>
      </c>
      <c r="D4248">
        <v>21</v>
      </c>
      <c r="E4248">
        <v>17</v>
      </c>
      <c r="F4248">
        <v>13.43</v>
      </c>
      <c r="G4248">
        <v>0</v>
      </c>
      <c r="H4248">
        <v>0</v>
      </c>
      <c r="I4248" s="3">
        <f>E4248+G4248+H4248</f>
        <v>17</v>
      </c>
      <c r="J4248" s="3">
        <f>ROUND(MIN(IF(C4248="Técnico III",35,IF(C4248="Técnico II",28,IF(C4248="Técnico I",23,IF(C4248="JR",20,IF(C4248="Estágio",10,0))))),IF(C4248="Técnico III",SUMIFS($D:$D,$A:$A,$A4248,$B:$B,"&lt;&gt;Patrícia Karla de Sousa Araújo",$B:$B,"&lt;&gt;Lorena Dias de Araujo",$B:$B,"&lt;&gt;Lucas Luiz Romero")*(35/1083),IF(C4248="Técnico II",SUMIFS($D:$D,$A:$A,$A4248,$B:$B,"&lt;&gt;Patrícia Karla de Sousa Araújo",$B:$B,"&lt;&gt;Lorena Dias de Araujo",$B:$B,"&lt;&gt;Lucas Luiz Romero")*(28/1083),IF(C4248="Técnico I",SUMIFS($D:$D,$A:$A,$A4248,$B:$B,"&lt;&gt;Patrícia Karla de Sousa Araújo",$B:$B,"&lt;&gt;Lorena Dias de Araujo",$B:$B,"&lt;&gt;Lucas Luiz Romero")*(23/1083),IF(C4248="JR",SUMIFS($D:$D,$A:$A,$A4248,$B:$B,"&lt;&gt;Patrícia Karla de Sousa Araújo",$B:$B,"&lt;&gt;Lorena Dias de Araujo",$B:$B,"&lt;&gt;Lucas Luiz Romero")*(20/1083),IF(C4248="Estágio",SUMIFS($D:$D,$A:$A,$A4248,$B:$B,"&lt;&gt;Patrícia Karla de Sousa Araújo",$B:$B,"&lt;&gt;Lorena Dias de Araujo",$B:$B,"&lt;&gt;Lucas Luiz Romero")*(10/1083),0)))))),0)</f>
        <v>16</v>
      </c>
      <c r="K4248" s="3">
        <f>I4248-J4248</f>
        <v>1</v>
      </c>
      <c r="L4248" s="3" t="str">
        <f>IF(K4248&lt;-5,"CRÍTICO",IF(K4248&lt;0,"ATENÇÃO",IF(K4248&lt;=5,"OPORTUNO","MUITO BOM")))</f>
        <v>OPORTUNO</v>
      </c>
      <c r="M4248">
        <v>19</v>
      </c>
      <c r="N4248">
        <v>100</v>
      </c>
      <c r="O4248">
        <v>26.36986301369863</v>
      </c>
    </row>
    <row r="4249" spans="1:15" hidden="1" x14ac:dyDescent="0.25">
      <c r="A4249" s="11">
        <v>46135</v>
      </c>
      <c r="B4249" t="s">
        <v>46</v>
      </c>
      <c r="C4249" t="s">
        <v>32</v>
      </c>
      <c r="D4249">
        <v>25</v>
      </c>
      <c r="E4249">
        <v>23</v>
      </c>
      <c r="F4249">
        <v>23.59</v>
      </c>
      <c r="G4249">
        <v>0</v>
      </c>
      <c r="H4249">
        <v>0</v>
      </c>
      <c r="I4249" s="3">
        <f>E4249+G4249+H4249</f>
        <v>23</v>
      </c>
      <c r="J4249" s="3">
        <f>ROUND(MIN(IF(C4249="Técnico III",35,IF(C4249="Técnico II",28,IF(C4249="Técnico I",23,IF(C4249="JR",20,IF(C4249="Estágio",10,0))))),IF(C4249="Técnico III",SUMIFS($D:$D,$A:$A,$A4249,$B:$B,"&lt;&gt;Patrícia Karla de Sousa Araújo",$B:$B,"&lt;&gt;Lorena Dias de Araujo",$B:$B,"&lt;&gt;Lucas Luiz Romero")*(35/1083),IF(C4249="Técnico II",SUMIFS($D:$D,$A:$A,$A4249,$B:$B,"&lt;&gt;Patrícia Karla de Sousa Araújo",$B:$B,"&lt;&gt;Lorena Dias de Araujo",$B:$B,"&lt;&gt;Lucas Luiz Romero")*(28/1083),IF(C4249="Técnico I",SUMIFS($D:$D,$A:$A,$A4249,$B:$B,"&lt;&gt;Patrícia Karla de Sousa Araújo",$B:$B,"&lt;&gt;Lorena Dias de Araujo",$B:$B,"&lt;&gt;Lucas Luiz Romero")*(23/1083),IF(C4249="JR",SUMIFS($D:$D,$A:$A,$A4249,$B:$B,"&lt;&gt;Patrícia Karla de Sousa Araújo",$B:$B,"&lt;&gt;Lorena Dias de Araujo",$B:$B,"&lt;&gt;Lucas Luiz Romero")*(20/1083),IF(C4249="Estágio",SUMIFS($D:$D,$A:$A,$A4249,$B:$B,"&lt;&gt;Patrícia Karla de Sousa Araújo",$B:$B,"&lt;&gt;Lorena Dias de Araujo",$B:$B,"&lt;&gt;Lucas Luiz Romero")*(10/1083),0)))))),0)</f>
        <v>25</v>
      </c>
      <c r="K4249" s="3">
        <f>I4249-J4249</f>
        <v>-2</v>
      </c>
      <c r="L4249" s="3" t="str">
        <f>IF(K4249&lt;-5,"CRÍTICO",IF(K4249&lt;0,"ATENÇÃO",IF(K4249&lt;=5,"OPORTUNO","MUITO BOM")))</f>
        <v>ATENÇÃO</v>
      </c>
      <c r="M4249">
        <v>21</v>
      </c>
      <c r="N4249">
        <v>99.21</v>
      </c>
      <c r="O4249">
        <v>25.188916876574311</v>
      </c>
    </row>
    <row r="4250" spans="1:15" hidden="1" x14ac:dyDescent="0.25">
      <c r="A4250" s="11">
        <v>46136</v>
      </c>
      <c r="B4250" t="s">
        <v>47</v>
      </c>
      <c r="C4250" t="s">
        <v>48</v>
      </c>
      <c r="D4250">
        <v>39</v>
      </c>
      <c r="E4250">
        <v>28</v>
      </c>
      <c r="F4250">
        <v>10.5</v>
      </c>
      <c r="G4250">
        <v>0</v>
      </c>
      <c r="H4250">
        <v>0</v>
      </c>
      <c r="I4250" s="3">
        <f>E4250+G4250+H4250</f>
        <v>28</v>
      </c>
      <c r="J4250" s="3">
        <f>ROUND(MIN(IF(C4250="Técnico III",35,IF(C4250="Técnico II",28,IF(C4250="Técnico I",23,IF(C4250="JR",20,IF(C4250="Estágio",10,0))))),IF(C4250="Técnico III",SUMIFS($D:$D,$A:$A,$A4250,$B:$B,"&lt;&gt;Patrícia Karla de Sousa Araújo",$B:$B,"&lt;&gt;Lorena Dias de Araujo",$B:$B,"&lt;&gt;Lucas Luiz Romero")*(35/1083),IF(C4250="Técnico II",SUMIFS($D:$D,$A:$A,$A4250,$B:$B,"&lt;&gt;Patrícia Karla de Sousa Araújo",$B:$B,"&lt;&gt;Lorena Dias de Araujo",$B:$B,"&lt;&gt;Lucas Luiz Romero")*(28/1083),IF(C4250="Técnico I",SUMIFS($D:$D,$A:$A,$A4250,$B:$B,"&lt;&gt;Patrícia Karla de Sousa Araújo",$B:$B,"&lt;&gt;Lorena Dias de Araujo",$B:$B,"&lt;&gt;Lucas Luiz Romero")*(23/1083),IF(C4250="JR",SUMIFS($D:$D,$A:$A,$A4250,$B:$B,"&lt;&gt;Patrícia Karla de Sousa Araújo",$B:$B,"&lt;&gt;Lorena Dias de Araujo",$B:$B,"&lt;&gt;Lucas Luiz Romero")*(20/1083),IF(C4250="Estágio",SUMIFS($D:$D,$A:$A,$A4250,$B:$B,"&lt;&gt;Patrícia Karla de Sousa Araújo",$B:$B,"&lt;&gt;Lorena Dias de Araujo",$B:$B,"&lt;&gt;Lucas Luiz Romero")*(10/1083),0)))))),0)</f>
        <v>18</v>
      </c>
      <c r="K4250" s="3">
        <f>I4250-J4250</f>
        <v>10</v>
      </c>
      <c r="L4250" s="3" t="str">
        <f>IF(K4250&lt;-5,"CRÍTICO",IF(K4250&lt;0,"ATENÇÃO",IF(K4250&lt;=5,"OPORTUNO","MUITO BOM")))</f>
        <v>MUITO BOM</v>
      </c>
      <c r="M4250">
        <v>24</v>
      </c>
      <c r="N4250">
        <v>100</v>
      </c>
      <c r="O4250">
        <v>32.764505119453922</v>
      </c>
    </row>
    <row r="4251" spans="1:15" hidden="1" x14ac:dyDescent="0.25">
      <c r="A4251" s="11">
        <v>46136</v>
      </c>
      <c r="B4251" t="s">
        <v>31</v>
      </c>
      <c r="C4251" t="s">
        <v>32</v>
      </c>
      <c r="D4251">
        <v>0</v>
      </c>
      <c r="E4251">
        <v>0</v>
      </c>
      <c r="F4251">
        <v>0</v>
      </c>
      <c r="G4251">
        <v>0</v>
      </c>
      <c r="H4251">
        <v>0</v>
      </c>
      <c r="I4251" s="3">
        <v>0</v>
      </c>
      <c r="J4251" s="3">
        <v>0</v>
      </c>
      <c r="K4251" s="3">
        <v>0</v>
      </c>
      <c r="L4251" s="3" t="str">
        <f>IF(K4251&lt;-5,"CRÍTICO",IF(K4251&lt;0,"ATENÇÃO",IF(K4251&lt;=5,"OPORTUNO","MUITO BOM")))</f>
        <v>OPORTUNO</v>
      </c>
      <c r="M4251">
        <v>14</v>
      </c>
      <c r="N4251">
        <v>98.66</v>
      </c>
      <c r="O4251">
        <v>35.416666666666671</v>
      </c>
    </row>
    <row r="4252" spans="1:15" hidden="1" x14ac:dyDescent="0.25">
      <c r="A4252" s="11">
        <v>46136</v>
      </c>
      <c r="B4252" t="s">
        <v>59</v>
      </c>
      <c r="C4252" t="s">
        <v>23</v>
      </c>
      <c r="D4252">
        <v>23</v>
      </c>
      <c r="E4252">
        <v>23</v>
      </c>
      <c r="F4252">
        <v>21.42</v>
      </c>
      <c r="G4252">
        <v>0</v>
      </c>
      <c r="H4252">
        <v>0</v>
      </c>
      <c r="I4252" s="3">
        <f>E4252+G4252+H4252</f>
        <v>23</v>
      </c>
      <c r="J4252" s="3">
        <f>ROUND(MIN(IF(C4252="Técnico III",35,IF(C4252="Técnico II",28,IF(C4252="Técnico I",23,IF(C4252="JR",20,IF(C4252="Estágio",10,0))))),IF(C4252="Técnico III",SUMIFS($D:$D,$A:$A,$A4252,$B:$B,"&lt;&gt;Patrícia Karla de Sousa Araújo",$B:$B,"&lt;&gt;Lorena Dias de Araujo",$B:$B,"&lt;&gt;Lucas Luiz Romero")*(35/1083),IF(C4252="Técnico II",SUMIFS($D:$D,$A:$A,$A4252,$B:$B,"&lt;&gt;Patrícia Karla de Sousa Araújo",$B:$B,"&lt;&gt;Lorena Dias de Araujo",$B:$B,"&lt;&gt;Lucas Luiz Romero")*(28/1083),IF(C4252="Técnico I",SUMIFS($D:$D,$A:$A,$A4252,$B:$B,"&lt;&gt;Patrícia Karla de Sousa Araújo",$B:$B,"&lt;&gt;Lorena Dias de Araujo",$B:$B,"&lt;&gt;Lucas Luiz Romero")*(23/1083),IF(C4252="JR",SUMIFS($D:$D,$A:$A,$A4252,$B:$B,"&lt;&gt;Patrícia Karla de Sousa Araújo",$B:$B,"&lt;&gt;Lorena Dias de Araujo",$B:$B,"&lt;&gt;Lucas Luiz Romero")*(20/1083),IF(C4252="Estágio",SUMIFS($D:$D,$A:$A,$A4252,$B:$B,"&lt;&gt;Patrícia Karla de Sousa Araújo",$B:$B,"&lt;&gt;Lorena Dias de Araujo",$B:$B,"&lt;&gt;Lucas Luiz Romero")*(10/1083),0)))))),0)</f>
        <v>15</v>
      </c>
      <c r="K4252" s="3">
        <f>I4252-J4252</f>
        <v>8</v>
      </c>
      <c r="L4252" s="3" t="str">
        <f>IF(K4252&lt;-5,"CRÍTICO",IF(K4252&lt;0,"ATENÇÃO",IF(K4252&lt;=5,"OPORTUNO","MUITO BOM")))</f>
        <v>MUITO BOM</v>
      </c>
      <c r="M4252">
        <v>24</v>
      </c>
      <c r="N4252">
        <v>99.32</v>
      </c>
      <c r="O4252">
        <v>30.648330058939099</v>
      </c>
    </row>
    <row r="4253" spans="1:15" hidden="1" x14ac:dyDescent="0.25">
      <c r="A4253" s="11">
        <v>46136</v>
      </c>
      <c r="B4253" t="s">
        <v>33</v>
      </c>
      <c r="C4253" t="s">
        <v>32</v>
      </c>
      <c r="D4253">
        <v>25</v>
      </c>
      <c r="E4253">
        <v>22</v>
      </c>
      <c r="F4253">
        <v>15.15</v>
      </c>
      <c r="G4253">
        <v>0</v>
      </c>
      <c r="H4253">
        <v>0</v>
      </c>
      <c r="I4253" s="3">
        <f>E4253+G4253+H4253</f>
        <v>22</v>
      </c>
      <c r="J4253" s="3">
        <f>ROUND(MIN(IF(C4253="Técnico III",35,IF(C4253="Técnico II",28,IF(C4253="Técnico I",23,IF(C4253="JR",20,IF(C4253="Estágio",10,0))))),IF(C4253="Técnico III",SUMIFS($D:$D,$A:$A,$A4253,$B:$B,"&lt;&gt;Patrícia Karla de Sousa Araújo",$B:$B,"&lt;&gt;Lorena Dias de Araujo",$B:$B,"&lt;&gt;Lucas Luiz Romero")*(35/1083),IF(C4253="Técnico II",SUMIFS($D:$D,$A:$A,$A4253,$B:$B,"&lt;&gt;Patrícia Karla de Sousa Araújo",$B:$B,"&lt;&gt;Lorena Dias de Araujo",$B:$B,"&lt;&gt;Lucas Luiz Romero")*(28/1083),IF(C4253="Técnico I",SUMIFS($D:$D,$A:$A,$A4253,$B:$B,"&lt;&gt;Patrícia Karla de Sousa Araújo",$B:$B,"&lt;&gt;Lorena Dias de Araujo",$B:$B,"&lt;&gt;Lucas Luiz Romero")*(23/1083),IF(C4253="JR",SUMIFS($D:$D,$A:$A,$A4253,$B:$B,"&lt;&gt;Patrícia Karla de Sousa Araújo",$B:$B,"&lt;&gt;Lorena Dias de Araujo",$B:$B,"&lt;&gt;Lucas Luiz Romero")*(20/1083),IF(C4253="Estágio",SUMIFS($D:$D,$A:$A,$A4253,$B:$B,"&lt;&gt;Patrícia Karla de Sousa Araújo",$B:$B,"&lt;&gt;Lorena Dias de Araujo",$B:$B,"&lt;&gt;Lucas Luiz Romero")*(10/1083),0)))))),0)</f>
        <v>23</v>
      </c>
      <c r="K4253" s="3">
        <f>I4253-J4253</f>
        <v>-1</v>
      </c>
      <c r="L4253" s="3" t="str">
        <f>IF(K4253&lt;-5,"CRÍTICO",IF(K4253&lt;0,"ATENÇÃO",IF(K4253&lt;=5,"OPORTUNO","MUITO BOM")))</f>
        <v>ATENÇÃO</v>
      </c>
      <c r="M4253">
        <v>21</v>
      </c>
      <c r="N4253">
        <v>100</v>
      </c>
      <c r="O4253">
        <v>27.803738317757009</v>
      </c>
    </row>
    <row r="4254" spans="1:15" hidden="1" x14ac:dyDescent="0.25">
      <c r="A4254" s="11">
        <v>46136</v>
      </c>
      <c r="B4254" t="s">
        <v>15</v>
      </c>
      <c r="C4254" t="s">
        <v>16</v>
      </c>
      <c r="D4254">
        <v>32</v>
      </c>
      <c r="E4254">
        <v>31</v>
      </c>
      <c r="F4254">
        <v>13.52</v>
      </c>
      <c r="G4254">
        <v>0</v>
      </c>
      <c r="H4254">
        <v>0</v>
      </c>
      <c r="I4254" s="3">
        <f>E4254+G4254+H4254</f>
        <v>31</v>
      </c>
      <c r="J4254" s="3">
        <f>ROUND(MIN(IF(C4254="Técnico III",35,IF(C4254="Técnico II",28,IF(C4254="Técnico I",23,IF(C4254="JR",20,IF(C4254="Estágio",10,0))))),IF(C4254="Técnico III",SUMIFS($D:$D,$A:$A,$A4254,$B:$B,"&lt;&gt;Patrícia Karla de Sousa Araújo",$B:$B,"&lt;&gt;Lorena Dias de Araujo",$B:$B,"&lt;&gt;Lucas Luiz Romero")*(35/1083),IF(C4254="Técnico II",SUMIFS($D:$D,$A:$A,$A4254,$B:$B,"&lt;&gt;Patrícia Karla de Sousa Araújo",$B:$B,"&lt;&gt;Lorena Dias de Araujo",$B:$B,"&lt;&gt;Lucas Luiz Romero")*(28/1083),IF(C4254="Técnico I",SUMIFS($D:$D,$A:$A,$A4254,$B:$B,"&lt;&gt;Patrícia Karla de Sousa Araújo",$B:$B,"&lt;&gt;Lorena Dias de Araujo",$B:$B,"&lt;&gt;Lucas Luiz Romero")*(23/1083),IF(C4254="JR",SUMIFS($D:$D,$A:$A,$A4254,$B:$B,"&lt;&gt;Patrícia Karla de Sousa Araújo",$B:$B,"&lt;&gt;Lorena Dias de Araujo",$B:$B,"&lt;&gt;Lucas Luiz Romero")*(20/1083),IF(C4254="Estágio",SUMIFS($D:$D,$A:$A,$A4254,$B:$B,"&lt;&gt;Patrícia Karla de Sousa Araújo",$B:$B,"&lt;&gt;Lorena Dias de Araujo",$B:$B,"&lt;&gt;Lucas Luiz Romero")*(10/1083),0)))))),0)</f>
        <v>6</v>
      </c>
      <c r="K4254" s="3">
        <f>I4254-J4254</f>
        <v>25</v>
      </c>
      <c r="L4254" s="3" t="str">
        <f>IF(K4254&lt;-5,"CRÍTICO",IF(K4254&lt;0,"ATENÇÃO",IF(K4254&lt;=5,"OPORTUNO","MUITO BOM")))</f>
        <v>MUITO BOM</v>
      </c>
      <c r="M4254">
        <v>29</v>
      </c>
      <c r="N4254">
        <v>96.74</v>
      </c>
      <c r="O4254">
        <v>28.67647058823529</v>
      </c>
    </row>
    <row r="4255" spans="1:15" hidden="1" x14ac:dyDescent="0.25">
      <c r="A4255" s="11">
        <v>46136</v>
      </c>
      <c r="B4255" t="s">
        <v>49</v>
      </c>
      <c r="C4255" t="s">
        <v>48</v>
      </c>
      <c r="D4255">
        <v>0</v>
      </c>
      <c r="E4255">
        <v>0</v>
      </c>
      <c r="F4255">
        <v>0</v>
      </c>
      <c r="G4255">
        <v>0</v>
      </c>
      <c r="H4255">
        <v>0</v>
      </c>
      <c r="I4255" s="3">
        <v>0</v>
      </c>
      <c r="J4255" s="3">
        <v>0</v>
      </c>
      <c r="K4255" s="3">
        <v>0</v>
      </c>
      <c r="L4255" s="3" t="str">
        <f>IF(K4255&lt;-5,"CRÍTICO",IF(K4255&lt;0,"ATENÇÃO",IF(K4255&lt;=5,"OPORTUNO","MUITO BOM")))</f>
        <v>OPORTUNO</v>
      </c>
      <c r="M4255">
        <v>0</v>
      </c>
      <c r="N4255">
        <v>98.82</v>
      </c>
      <c r="O4255">
        <v>30.741410488245929</v>
      </c>
    </row>
    <row r="4256" spans="1:15" hidden="1" x14ac:dyDescent="0.25">
      <c r="A4256" s="11">
        <v>46136</v>
      </c>
      <c r="B4256" t="s">
        <v>50</v>
      </c>
      <c r="C4256" t="s">
        <v>48</v>
      </c>
      <c r="D4256">
        <v>0</v>
      </c>
      <c r="E4256">
        <v>0</v>
      </c>
      <c r="F4256">
        <v>0</v>
      </c>
      <c r="G4256">
        <v>0</v>
      </c>
      <c r="H4256">
        <v>0</v>
      </c>
      <c r="I4256" s="3">
        <v>0</v>
      </c>
      <c r="J4256" s="3">
        <v>0</v>
      </c>
      <c r="K4256" s="3">
        <v>0</v>
      </c>
      <c r="L4256" s="3" t="str">
        <f>IF(K4256&lt;-5,"CRÍTICO",IF(K4256&lt;0,"ATENÇÃO",IF(K4256&lt;=5,"OPORTUNO","MUITO BOM")))</f>
        <v>OPORTUNO</v>
      </c>
      <c r="M4256">
        <v>2</v>
      </c>
      <c r="N4256">
        <v>98.2</v>
      </c>
      <c r="O4256">
        <v>27.170868347338931</v>
      </c>
    </row>
    <row r="4257" spans="1:15" hidden="1" x14ac:dyDescent="0.25">
      <c r="A4257" s="11">
        <v>46136</v>
      </c>
      <c r="B4257" t="s">
        <v>17</v>
      </c>
      <c r="C4257" t="s">
        <v>16</v>
      </c>
      <c r="D4257">
        <v>10</v>
      </c>
      <c r="E4257">
        <v>10</v>
      </c>
      <c r="F4257">
        <v>15.43</v>
      </c>
      <c r="G4257">
        <v>0</v>
      </c>
      <c r="H4257">
        <v>0</v>
      </c>
      <c r="I4257" s="3">
        <f>E4257+G4257+H4257</f>
        <v>10</v>
      </c>
      <c r="J4257" s="3">
        <f>ROUND(MIN(IF(C4257="Técnico III",35,IF(C4257="Técnico II",28,IF(C4257="Técnico I",23,IF(C4257="JR",20,IF(C4257="Estágio",10,0))))),IF(C4257="Técnico III",SUMIFS($D:$D,$A:$A,$A4257,$B:$B,"&lt;&gt;Patrícia Karla de Sousa Araújo",$B:$B,"&lt;&gt;Lorena Dias de Araujo",$B:$B,"&lt;&gt;Lucas Luiz Romero")*(35/1083),IF(C4257="Técnico II",SUMIFS($D:$D,$A:$A,$A4257,$B:$B,"&lt;&gt;Patrícia Karla de Sousa Araújo",$B:$B,"&lt;&gt;Lorena Dias de Araujo",$B:$B,"&lt;&gt;Lucas Luiz Romero")*(28/1083),IF(C4257="Técnico I",SUMIFS($D:$D,$A:$A,$A4257,$B:$B,"&lt;&gt;Patrícia Karla de Sousa Araújo",$B:$B,"&lt;&gt;Lorena Dias de Araujo",$B:$B,"&lt;&gt;Lucas Luiz Romero")*(23/1083),IF(C4257="JR",SUMIFS($D:$D,$A:$A,$A4257,$B:$B,"&lt;&gt;Patrícia Karla de Sousa Araújo",$B:$B,"&lt;&gt;Lorena Dias de Araujo",$B:$B,"&lt;&gt;Lucas Luiz Romero")*(20/1083),IF(C4257="Estágio",SUMIFS($D:$D,$A:$A,$A4257,$B:$B,"&lt;&gt;Patrícia Karla de Sousa Araújo",$B:$B,"&lt;&gt;Lorena Dias de Araujo",$B:$B,"&lt;&gt;Lucas Luiz Romero")*(10/1083),0)))))),0)</f>
        <v>6</v>
      </c>
      <c r="K4257" s="3">
        <f>I4257-J4257</f>
        <v>4</v>
      </c>
      <c r="L4257" s="3" t="str">
        <f>IF(K4257&lt;-5,"CRÍTICO",IF(K4257&lt;0,"ATENÇÃO",IF(K4257&lt;=5,"OPORTUNO","MUITO BOM")))</f>
        <v>OPORTUNO</v>
      </c>
      <c r="M4257">
        <v>7</v>
      </c>
      <c r="N4257">
        <v>100</v>
      </c>
      <c r="O4257">
        <v>23.134328358208951</v>
      </c>
    </row>
    <row r="4258" spans="1:15" hidden="1" x14ac:dyDescent="0.25">
      <c r="A4258" s="11">
        <v>46136</v>
      </c>
      <c r="B4258" t="s">
        <v>60</v>
      </c>
      <c r="C4258" t="s">
        <v>23</v>
      </c>
      <c r="D4258">
        <v>15</v>
      </c>
      <c r="E4258">
        <v>12</v>
      </c>
      <c r="F4258">
        <v>16.5</v>
      </c>
      <c r="G4258">
        <v>0</v>
      </c>
      <c r="H4258">
        <v>0</v>
      </c>
      <c r="I4258" s="3">
        <f>E4258+G4258+H4258</f>
        <v>12</v>
      </c>
      <c r="J4258" s="3">
        <f>ROUND(MIN(IF(C4258="Técnico III",35,IF(C4258="Técnico II",28,IF(C4258="Técnico I",23,IF(C4258="JR",20,IF(C4258="Estágio",10,0))))),IF(C4258="Técnico III",SUMIFS($D:$D,$A:$A,$A4258,$B:$B,"&lt;&gt;Patrícia Karla de Sousa Araújo",$B:$B,"&lt;&gt;Lorena Dias de Araujo",$B:$B,"&lt;&gt;Lucas Luiz Romero")*(35/1083),IF(C4258="Técnico II",SUMIFS($D:$D,$A:$A,$A4258,$B:$B,"&lt;&gt;Patrícia Karla de Sousa Araújo",$B:$B,"&lt;&gt;Lorena Dias de Araujo",$B:$B,"&lt;&gt;Lucas Luiz Romero")*(28/1083),IF(C4258="Técnico I",SUMIFS($D:$D,$A:$A,$A4258,$B:$B,"&lt;&gt;Patrícia Karla de Sousa Araújo",$B:$B,"&lt;&gt;Lorena Dias de Araujo",$B:$B,"&lt;&gt;Lucas Luiz Romero")*(23/1083),IF(C4258="JR",SUMIFS($D:$D,$A:$A,$A4258,$B:$B,"&lt;&gt;Patrícia Karla de Sousa Araújo",$B:$B,"&lt;&gt;Lorena Dias de Araujo",$B:$B,"&lt;&gt;Lucas Luiz Romero")*(20/1083),IF(C4258="Estágio",SUMIFS($D:$D,$A:$A,$A4258,$B:$B,"&lt;&gt;Patrícia Karla de Sousa Araújo",$B:$B,"&lt;&gt;Lorena Dias de Araujo",$B:$B,"&lt;&gt;Lucas Luiz Romero")*(10/1083),0)))))),0)</f>
        <v>15</v>
      </c>
      <c r="K4258" s="3">
        <f>I4258-J4258</f>
        <v>-3</v>
      </c>
      <c r="L4258" s="3" t="str">
        <f>IF(K4258&lt;-5,"CRÍTICO",IF(K4258&lt;0,"ATENÇÃO",IF(K4258&lt;=5,"OPORTUNO","MUITO BOM")))</f>
        <v>ATENÇÃO</v>
      </c>
      <c r="M4258">
        <v>14</v>
      </c>
      <c r="N4258">
        <v>96.3</v>
      </c>
      <c r="O4258">
        <v>32.219570405727922</v>
      </c>
    </row>
    <row r="4259" spans="1:15" hidden="1" x14ac:dyDescent="0.25">
      <c r="A4259" s="11">
        <v>46136</v>
      </c>
      <c r="B4259" t="s">
        <v>34</v>
      </c>
      <c r="C4259" t="s">
        <v>32</v>
      </c>
      <c r="D4259">
        <v>23</v>
      </c>
      <c r="E4259">
        <v>23</v>
      </c>
      <c r="F4259">
        <v>13.21</v>
      </c>
      <c r="G4259">
        <v>0</v>
      </c>
      <c r="H4259">
        <v>0</v>
      </c>
      <c r="I4259" s="3">
        <f>E4259+G4259+H4259</f>
        <v>23</v>
      </c>
      <c r="J4259" s="3">
        <f>ROUND(MIN(IF(C4259="Técnico III",35,IF(C4259="Técnico II",28,IF(C4259="Técnico I",23,IF(C4259="JR",20,IF(C4259="Estágio",10,0))))),IF(C4259="Técnico III",SUMIFS($D:$D,$A:$A,$A4259,$B:$B,"&lt;&gt;Patrícia Karla de Sousa Araújo",$B:$B,"&lt;&gt;Lorena Dias de Araujo",$B:$B,"&lt;&gt;Lucas Luiz Romero")*(35/1083),IF(C4259="Técnico II",SUMIFS($D:$D,$A:$A,$A4259,$B:$B,"&lt;&gt;Patrícia Karla de Sousa Araújo",$B:$B,"&lt;&gt;Lorena Dias de Araujo",$B:$B,"&lt;&gt;Lucas Luiz Romero")*(28/1083),IF(C4259="Técnico I",SUMIFS($D:$D,$A:$A,$A4259,$B:$B,"&lt;&gt;Patrícia Karla de Sousa Araújo",$B:$B,"&lt;&gt;Lorena Dias de Araujo",$B:$B,"&lt;&gt;Lucas Luiz Romero")*(23/1083),IF(C4259="JR",SUMIFS($D:$D,$A:$A,$A4259,$B:$B,"&lt;&gt;Patrícia Karla de Sousa Araújo",$B:$B,"&lt;&gt;Lorena Dias de Araujo",$B:$B,"&lt;&gt;Lucas Luiz Romero")*(20/1083),IF(C4259="Estágio",SUMIFS($D:$D,$A:$A,$A4259,$B:$B,"&lt;&gt;Patrícia Karla de Sousa Araújo",$B:$B,"&lt;&gt;Lorena Dias de Araujo",$B:$B,"&lt;&gt;Lucas Luiz Romero")*(10/1083),0)))))),0)</f>
        <v>23</v>
      </c>
      <c r="K4259" s="3">
        <f>I4259-J4259</f>
        <v>0</v>
      </c>
      <c r="L4259" s="3" t="str">
        <f>IF(K4259&lt;-5,"CRÍTICO",IF(K4259&lt;0,"ATENÇÃO",IF(K4259&lt;=5,"OPORTUNO","MUITO BOM")))</f>
        <v>OPORTUNO</v>
      </c>
      <c r="M4259">
        <v>23</v>
      </c>
      <c r="N4259">
        <v>93.75</v>
      </c>
      <c r="O4259">
        <v>26.819923371647509</v>
      </c>
    </row>
    <row r="4260" spans="1:15" hidden="1" x14ac:dyDescent="0.25">
      <c r="A4260" s="11">
        <v>46136</v>
      </c>
      <c r="B4260" t="s">
        <v>51</v>
      </c>
      <c r="C4260" t="s">
        <v>48</v>
      </c>
      <c r="D4260">
        <v>0</v>
      </c>
      <c r="E4260">
        <v>0</v>
      </c>
      <c r="F4260">
        <v>0</v>
      </c>
      <c r="G4260">
        <v>0</v>
      </c>
      <c r="H4260">
        <v>0</v>
      </c>
      <c r="I4260" s="3">
        <v>0</v>
      </c>
      <c r="J4260" s="3">
        <v>0</v>
      </c>
      <c r="K4260" s="3">
        <v>0</v>
      </c>
      <c r="L4260" s="3" t="str">
        <f>IF(K4260&lt;-5,"CRÍTICO",IF(K4260&lt;0,"ATENÇÃO",IF(K4260&lt;=5,"OPORTUNO","MUITO BOM")))</f>
        <v>OPORTUNO</v>
      </c>
      <c r="M4260">
        <v>0</v>
      </c>
      <c r="N4260">
        <v>97.86</v>
      </c>
      <c r="O4260">
        <v>31.018518518518519</v>
      </c>
    </row>
    <row r="4261" spans="1:15" hidden="1" x14ac:dyDescent="0.25">
      <c r="A4261" s="11">
        <v>46136</v>
      </c>
      <c r="B4261" t="s">
        <v>61</v>
      </c>
      <c r="C4261" t="s">
        <v>23</v>
      </c>
      <c r="D4261">
        <v>25</v>
      </c>
      <c r="E4261">
        <v>23</v>
      </c>
      <c r="F4261">
        <v>13.59</v>
      </c>
      <c r="G4261">
        <v>0</v>
      </c>
      <c r="H4261">
        <v>0</v>
      </c>
      <c r="I4261" s="3">
        <f>E4261+G4261+H4261</f>
        <v>23</v>
      </c>
      <c r="J4261" s="3">
        <f>ROUND(MIN(IF(C4261="Técnico III",35,IF(C4261="Técnico II",28,IF(C4261="Técnico I",23,IF(C4261="JR",20,IF(C4261="Estágio",10,0))))),IF(C4261="Técnico III",SUMIFS($D:$D,$A:$A,$A4261,$B:$B,"&lt;&gt;Patrícia Karla de Sousa Araújo",$B:$B,"&lt;&gt;Lorena Dias de Araujo",$B:$B,"&lt;&gt;Lucas Luiz Romero")*(35/1083),IF(C4261="Técnico II",SUMIFS($D:$D,$A:$A,$A4261,$B:$B,"&lt;&gt;Patrícia Karla de Sousa Araújo",$B:$B,"&lt;&gt;Lorena Dias de Araujo",$B:$B,"&lt;&gt;Lucas Luiz Romero")*(28/1083),IF(C4261="Técnico I",SUMIFS($D:$D,$A:$A,$A4261,$B:$B,"&lt;&gt;Patrícia Karla de Sousa Araújo",$B:$B,"&lt;&gt;Lorena Dias de Araujo",$B:$B,"&lt;&gt;Lucas Luiz Romero")*(23/1083),IF(C4261="JR",SUMIFS($D:$D,$A:$A,$A4261,$B:$B,"&lt;&gt;Patrícia Karla de Sousa Araújo",$B:$B,"&lt;&gt;Lorena Dias de Araujo",$B:$B,"&lt;&gt;Lucas Luiz Romero")*(20/1083),IF(C4261="Estágio",SUMIFS($D:$D,$A:$A,$A4261,$B:$B,"&lt;&gt;Patrícia Karla de Sousa Araújo",$B:$B,"&lt;&gt;Lorena Dias de Araujo",$B:$B,"&lt;&gt;Lucas Luiz Romero")*(10/1083),0)))))),0)</f>
        <v>15</v>
      </c>
      <c r="K4261" s="3">
        <f>I4261-J4261</f>
        <v>8</v>
      </c>
      <c r="L4261" s="3" t="str">
        <f>IF(K4261&lt;-5,"CRÍTICO",IF(K4261&lt;0,"ATENÇÃO",IF(K4261&lt;=5,"OPORTUNO","MUITO BOM")))</f>
        <v>MUITO BOM</v>
      </c>
      <c r="M4261">
        <v>10</v>
      </c>
      <c r="N4261">
        <v>100</v>
      </c>
      <c r="O4261">
        <v>36.594202898550733</v>
      </c>
    </row>
    <row r="4262" spans="1:15" hidden="1" x14ac:dyDescent="0.25">
      <c r="A4262" s="11">
        <v>46136</v>
      </c>
      <c r="B4262" t="s">
        <v>35</v>
      </c>
      <c r="C4262" t="s">
        <v>32</v>
      </c>
      <c r="D4262">
        <v>22</v>
      </c>
      <c r="E4262">
        <v>22</v>
      </c>
      <c r="F4262">
        <v>22.04</v>
      </c>
      <c r="G4262">
        <v>0</v>
      </c>
      <c r="H4262">
        <v>0</v>
      </c>
      <c r="I4262" s="3">
        <v>0</v>
      </c>
      <c r="J4262" s="3">
        <v>0</v>
      </c>
      <c r="K4262" s="3">
        <v>0</v>
      </c>
      <c r="L4262" s="3" t="str">
        <f>IF(K4262&lt;-5,"CRÍTICO",IF(K4262&lt;0,"ATENÇÃO",IF(K4262&lt;=5,"OPORTUNO","MUITO BOM")))</f>
        <v>OPORTUNO</v>
      </c>
      <c r="M4262">
        <v>23</v>
      </c>
      <c r="N4262">
        <v>100</v>
      </c>
      <c r="O4262">
        <v>38.653846153846153</v>
      </c>
    </row>
    <row r="4263" spans="1:15" hidden="1" x14ac:dyDescent="0.25">
      <c r="A4263" s="11">
        <v>46136</v>
      </c>
      <c r="B4263" t="s">
        <v>18</v>
      </c>
      <c r="C4263" t="s">
        <v>16</v>
      </c>
      <c r="D4263">
        <v>9</v>
      </c>
      <c r="E4263">
        <v>8</v>
      </c>
      <c r="F4263">
        <v>23.56</v>
      </c>
      <c r="G4263">
        <v>0</v>
      </c>
      <c r="H4263">
        <v>0</v>
      </c>
      <c r="I4263" s="3">
        <f>E4263+G4263+H4263</f>
        <v>8</v>
      </c>
      <c r="J4263" s="3">
        <f>ROUND(MIN(IF(C4263="Técnico III",35,IF(C4263="Técnico II",28,IF(C4263="Técnico I",23,IF(C4263="JR",20,IF(C4263="Estágio",10,0))))),IF(C4263="Técnico III",SUMIFS($D:$D,$A:$A,$A4263,$B:$B,"&lt;&gt;Patrícia Karla de Sousa Araújo",$B:$B,"&lt;&gt;Lorena Dias de Araujo",$B:$B,"&lt;&gt;Lucas Luiz Romero")*(35/1083),IF(C4263="Técnico II",SUMIFS($D:$D,$A:$A,$A4263,$B:$B,"&lt;&gt;Patrícia Karla de Sousa Araújo",$B:$B,"&lt;&gt;Lorena Dias de Araujo",$B:$B,"&lt;&gt;Lucas Luiz Romero")*(28/1083),IF(C4263="Técnico I",SUMIFS($D:$D,$A:$A,$A4263,$B:$B,"&lt;&gt;Patrícia Karla de Sousa Araújo",$B:$B,"&lt;&gt;Lorena Dias de Araujo",$B:$B,"&lt;&gt;Lucas Luiz Romero")*(23/1083),IF(C4263="JR",SUMIFS($D:$D,$A:$A,$A4263,$B:$B,"&lt;&gt;Patrícia Karla de Sousa Araújo",$B:$B,"&lt;&gt;Lorena Dias de Araujo",$B:$B,"&lt;&gt;Lucas Luiz Romero")*(20/1083),IF(C4263="Estágio",SUMIFS($D:$D,$A:$A,$A4263,$B:$B,"&lt;&gt;Patrícia Karla de Sousa Araújo",$B:$B,"&lt;&gt;Lorena Dias de Araujo",$B:$B,"&lt;&gt;Lucas Luiz Romero")*(10/1083),0)))))),0)</f>
        <v>6</v>
      </c>
      <c r="K4263" s="3">
        <f>I4263-J4263</f>
        <v>2</v>
      </c>
      <c r="L4263" s="3" t="str">
        <f>IF(K4263&lt;-5,"CRÍTICO",IF(K4263&lt;0,"ATENÇÃO",IF(K4263&lt;=5,"OPORTUNO","MUITO BOM")))</f>
        <v>OPORTUNO</v>
      </c>
      <c r="M4263">
        <v>5</v>
      </c>
      <c r="N4263">
        <v>100</v>
      </c>
      <c r="O4263">
        <v>27.368421052631579</v>
      </c>
    </row>
    <row r="4264" spans="1:15" hidden="1" x14ac:dyDescent="0.25">
      <c r="A4264" s="11">
        <v>46136</v>
      </c>
      <c r="B4264" t="s">
        <v>52</v>
      </c>
      <c r="C4264" t="s">
        <v>48</v>
      </c>
      <c r="D4264">
        <v>24</v>
      </c>
      <c r="E4264">
        <v>23</v>
      </c>
      <c r="F4264">
        <v>17.21</v>
      </c>
      <c r="G4264">
        <v>0</v>
      </c>
      <c r="H4264">
        <v>0</v>
      </c>
      <c r="I4264" s="3">
        <f>E4264+G4264+H4264</f>
        <v>23</v>
      </c>
      <c r="J4264" s="3">
        <f>ROUND(MIN(IF(C4264="Técnico III",35,IF(C4264="Técnico II",28,IF(C4264="Técnico I",23,IF(C4264="JR",20,IF(C4264="Estágio",10,0))))),IF(C4264="Técnico III",SUMIFS($D:$D,$A:$A,$A4264,$B:$B,"&lt;&gt;Patrícia Karla de Sousa Araújo",$B:$B,"&lt;&gt;Lorena Dias de Araujo",$B:$B,"&lt;&gt;Lucas Luiz Romero")*(35/1083),IF(C4264="Técnico II",SUMIFS($D:$D,$A:$A,$A4264,$B:$B,"&lt;&gt;Patrícia Karla de Sousa Araújo",$B:$B,"&lt;&gt;Lorena Dias de Araujo",$B:$B,"&lt;&gt;Lucas Luiz Romero")*(28/1083),IF(C4264="Técnico I",SUMIFS($D:$D,$A:$A,$A4264,$B:$B,"&lt;&gt;Patrícia Karla de Sousa Araújo",$B:$B,"&lt;&gt;Lorena Dias de Araujo",$B:$B,"&lt;&gt;Lucas Luiz Romero")*(23/1083),IF(C4264="JR",SUMIFS($D:$D,$A:$A,$A4264,$B:$B,"&lt;&gt;Patrícia Karla de Sousa Araújo",$B:$B,"&lt;&gt;Lorena Dias de Araujo",$B:$B,"&lt;&gt;Lucas Luiz Romero")*(20/1083),IF(C4264="Estágio",SUMIFS($D:$D,$A:$A,$A4264,$B:$B,"&lt;&gt;Patrícia Karla de Sousa Araújo",$B:$B,"&lt;&gt;Lorena Dias de Araujo",$B:$B,"&lt;&gt;Lucas Luiz Romero")*(10/1083),0)))))),0)</f>
        <v>18</v>
      </c>
      <c r="K4264" s="3">
        <f>I4264-J4264</f>
        <v>5</v>
      </c>
      <c r="L4264" s="3" t="str">
        <f>IF(K4264&lt;-5,"CRÍTICO",IF(K4264&lt;0,"ATENÇÃO",IF(K4264&lt;=5,"OPORTUNO","MUITO BOM")))</f>
        <v>OPORTUNO</v>
      </c>
      <c r="M4264">
        <v>19</v>
      </c>
      <c r="N4264">
        <v>97.83</v>
      </c>
      <c r="O4264">
        <v>28.35164835164835</v>
      </c>
    </row>
    <row r="4265" spans="1:15" hidden="1" x14ac:dyDescent="0.25">
      <c r="A4265" s="11">
        <v>46136</v>
      </c>
      <c r="B4265" t="s">
        <v>36</v>
      </c>
      <c r="C4265" t="s">
        <v>32</v>
      </c>
      <c r="D4265">
        <v>24</v>
      </c>
      <c r="E4265">
        <v>23</v>
      </c>
      <c r="F4265">
        <v>15.15</v>
      </c>
      <c r="G4265">
        <v>0</v>
      </c>
      <c r="H4265">
        <v>0</v>
      </c>
      <c r="I4265" s="3">
        <f>E4265+G4265+H4265</f>
        <v>23</v>
      </c>
      <c r="J4265" s="3">
        <f>ROUND(MIN(IF(C4265="Técnico III",35,IF(C4265="Técnico II",28,IF(C4265="Técnico I",23,IF(C4265="JR",20,IF(C4265="Estágio",10,0))))),IF(C4265="Técnico III",SUMIFS($D:$D,$A:$A,$A4265,$B:$B,"&lt;&gt;Patrícia Karla de Sousa Araújo",$B:$B,"&lt;&gt;Lorena Dias de Araujo",$B:$B,"&lt;&gt;Lucas Luiz Romero")*(35/1083),IF(C4265="Técnico II",SUMIFS($D:$D,$A:$A,$A4265,$B:$B,"&lt;&gt;Patrícia Karla de Sousa Araújo",$B:$B,"&lt;&gt;Lorena Dias de Araujo",$B:$B,"&lt;&gt;Lucas Luiz Romero")*(28/1083),IF(C4265="Técnico I",SUMIFS($D:$D,$A:$A,$A4265,$B:$B,"&lt;&gt;Patrícia Karla de Sousa Araújo",$B:$B,"&lt;&gt;Lorena Dias de Araujo",$B:$B,"&lt;&gt;Lucas Luiz Romero")*(23/1083),IF(C4265="JR",SUMIFS($D:$D,$A:$A,$A4265,$B:$B,"&lt;&gt;Patrícia Karla de Sousa Araújo",$B:$B,"&lt;&gt;Lorena Dias de Araujo",$B:$B,"&lt;&gt;Lucas Luiz Romero")*(20/1083),IF(C4265="Estágio",SUMIFS($D:$D,$A:$A,$A4265,$B:$B,"&lt;&gt;Patrícia Karla de Sousa Araújo",$B:$B,"&lt;&gt;Lorena Dias de Araujo",$B:$B,"&lt;&gt;Lucas Luiz Romero")*(10/1083),0)))))),0)</f>
        <v>23</v>
      </c>
      <c r="K4265" s="3">
        <f>I4265-J4265</f>
        <v>0</v>
      </c>
      <c r="L4265" s="3" t="str">
        <f>IF(K4265&lt;-5,"CRÍTICO",IF(K4265&lt;0,"ATENÇÃO",IF(K4265&lt;=5,"OPORTUNO","MUITO BOM")))</f>
        <v>OPORTUNO</v>
      </c>
      <c r="M4265">
        <v>22</v>
      </c>
      <c r="N4265">
        <v>99.26</v>
      </c>
      <c r="O4265">
        <v>29.766536964980549</v>
      </c>
    </row>
    <row r="4266" spans="1:15" hidden="1" x14ac:dyDescent="0.25">
      <c r="A4266" s="11">
        <v>46136</v>
      </c>
      <c r="B4266" t="s">
        <v>53</v>
      </c>
      <c r="C4266" t="s">
        <v>48</v>
      </c>
      <c r="D4266">
        <v>26</v>
      </c>
      <c r="E4266">
        <v>25</v>
      </c>
      <c r="F4266">
        <v>18.38</v>
      </c>
      <c r="G4266">
        <v>0</v>
      </c>
      <c r="H4266">
        <v>0</v>
      </c>
      <c r="I4266" s="3">
        <f>E4266+G4266+H4266</f>
        <v>25</v>
      </c>
      <c r="J4266" s="3">
        <f>ROUND(MIN(IF(C4266="Técnico III",35,IF(C4266="Técnico II",28,IF(C4266="Técnico I",23,IF(C4266="JR",20,IF(C4266="Estágio",10,0))))),IF(C4266="Técnico III",SUMIFS($D:$D,$A:$A,$A4266,$B:$B,"&lt;&gt;Patrícia Karla de Sousa Araújo",$B:$B,"&lt;&gt;Lorena Dias de Araujo",$B:$B,"&lt;&gt;Lucas Luiz Romero")*(35/1083),IF(C4266="Técnico II",SUMIFS($D:$D,$A:$A,$A4266,$B:$B,"&lt;&gt;Patrícia Karla de Sousa Araújo",$B:$B,"&lt;&gt;Lorena Dias de Araujo",$B:$B,"&lt;&gt;Lucas Luiz Romero")*(28/1083),IF(C4266="Técnico I",SUMIFS($D:$D,$A:$A,$A4266,$B:$B,"&lt;&gt;Patrícia Karla de Sousa Araújo",$B:$B,"&lt;&gt;Lorena Dias de Araujo",$B:$B,"&lt;&gt;Lucas Luiz Romero")*(23/1083),IF(C4266="JR",SUMIFS($D:$D,$A:$A,$A4266,$B:$B,"&lt;&gt;Patrícia Karla de Sousa Araújo",$B:$B,"&lt;&gt;Lorena Dias de Araujo",$B:$B,"&lt;&gt;Lucas Luiz Romero")*(20/1083),IF(C4266="Estágio",SUMIFS($D:$D,$A:$A,$A4266,$B:$B,"&lt;&gt;Patrícia Karla de Sousa Araújo",$B:$B,"&lt;&gt;Lorena Dias de Araujo",$B:$B,"&lt;&gt;Lucas Luiz Romero")*(10/1083),0)))))),0)</f>
        <v>18</v>
      </c>
      <c r="K4266" s="3">
        <f>I4266-J4266</f>
        <v>7</v>
      </c>
      <c r="L4266" s="3" t="str">
        <f>IF(K4266&lt;-5,"CRÍTICO",IF(K4266&lt;0,"ATENÇÃO",IF(K4266&lt;=5,"OPORTUNO","MUITO BOM")))</f>
        <v>MUITO BOM</v>
      </c>
      <c r="M4266">
        <v>24</v>
      </c>
      <c r="N4266">
        <v>99.19</v>
      </c>
      <c r="O4266">
        <v>29.462365591397852</v>
      </c>
    </row>
    <row r="4267" spans="1:15" hidden="1" x14ac:dyDescent="0.25">
      <c r="A4267" s="7">
        <v>46161</v>
      </c>
      <c r="B4267" s="8" t="s">
        <v>51</v>
      </c>
      <c r="C4267" s="14" t="s">
        <v>48</v>
      </c>
      <c r="D4267" s="3">
        <v>0</v>
      </c>
      <c r="E4267" s="3">
        <v>0</v>
      </c>
      <c r="F4267" s="3">
        <v>0</v>
      </c>
      <c r="G4267" s="3">
        <v>0</v>
      </c>
      <c r="H4267" s="3">
        <v>0</v>
      </c>
      <c r="I4267" s="3">
        <f>E4267+G4267+H4267</f>
        <v>0</v>
      </c>
      <c r="J4267" s="3">
        <f>ROUND(MIN(IF(C4267="Técnico III",35,IF(C4267="Técnico II",28,IF(C4267="Técnico I",23,IF(C4267="JR",20,IF(C4267="Estágio",10,0))))),IF(C4267="Técnico III",SUMIFS($D:$D,$A:$A,$A4267,$B:$B,"&lt;&gt;Patrícia Karla de Sousa Araújo",$B:$B,"&lt;&gt;Lorena Dias de Araujo",$B:$B,"&lt;&gt;Lucas Luiz Romero")*(35/1083),IF(C4267="Técnico II",SUMIFS($D:$D,$A:$A,$A4267,$B:$B,"&lt;&gt;Patrícia Karla de Sousa Araújo",$B:$B,"&lt;&gt;Lorena Dias de Araujo",$B:$B,"&lt;&gt;Lucas Luiz Romero")*(28/1083),IF(C4267="Técnico I",SUMIFS($D:$D,$A:$A,$A4267,$B:$B,"&lt;&gt;Patrícia Karla de Sousa Araújo",$B:$B,"&lt;&gt;Lorena Dias de Araujo",$B:$B,"&lt;&gt;Lucas Luiz Romero")*(23/1083),IF(C4267="JR",SUMIFS($D:$D,$A:$A,$A4267,$B:$B,"&lt;&gt;Patrícia Karla de Sousa Araújo",$B:$B,"&lt;&gt;Lorena Dias de Araujo",$B:$B,"&lt;&gt;Lucas Luiz Romero")*(20/1083),IF(C4267="Estágio",SUMIFS($D:$D,$A:$A,$A4267,$B:$B,"&lt;&gt;Patrícia Karla de Sousa Araújo",$B:$B,"&lt;&gt;Lorena Dias de Araujo",$B:$B,"&lt;&gt;Lucas Luiz Romero")*(10/1083),0)))))),0)</f>
        <v>23</v>
      </c>
      <c r="K4267" s="3">
        <f>I4267-J4267</f>
        <v>-23</v>
      </c>
      <c r="L4267" s="3" t="str">
        <f>IF(K4267&lt;-5,"CRÍTICO",IF(K4267&lt;0,"ATENÇÃO",IF(K4267&lt;=5,"OPORTUNO","MUITO BOM")))</f>
        <v>CRÍTICO</v>
      </c>
      <c r="M4267" s="3">
        <v>0</v>
      </c>
      <c r="N4267" s="3">
        <v>98.81</v>
      </c>
      <c r="O4267" s="3">
        <v>22.767857142857139</v>
      </c>
    </row>
    <row r="4268" spans="1:15" hidden="1" x14ac:dyDescent="0.25">
      <c r="A4268" s="11">
        <v>46136</v>
      </c>
      <c r="B4268" t="s">
        <v>54</v>
      </c>
      <c r="C4268" t="s">
        <v>48</v>
      </c>
      <c r="D4268">
        <v>22</v>
      </c>
      <c r="E4268">
        <v>19</v>
      </c>
      <c r="F4268">
        <v>21.45</v>
      </c>
      <c r="G4268">
        <v>0</v>
      </c>
      <c r="H4268">
        <v>0</v>
      </c>
      <c r="I4268" s="3">
        <f>E4268+G4268+H4268</f>
        <v>19</v>
      </c>
      <c r="J4268" s="3">
        <f>ROUND(MIN(IF(C4268="Técnico III",35,IF(C4268="Técnico II",28,IF(C4268="Técnico I",23,IF(C4268="JR",20,IF(C4268="Estágio",10,0))))),IF(C4268="Técnico III",SUMIFS($D:$D,$A:$A,$A4268,$B:$B,"&lt;&gt;Patrícia Karla de Sousa Araújo",$B:$B,"&lt;&gt;Lorena Dias de Araujo",$B:$B,"&lt;&gt;Lucas Luiz Romero")*(35/1083),IF(C4268="Técnico II",SUMIFS($D:$D,$A:$A,$A4268,$B:$B,"&lt;&gt;Patrícia Karla de Sousa Araújo",$B:$B,"&lt;&gt;Lorena Dias de Araujo",$B:$B,"&lt;&gt;Lucas Luiz Romero")*(28/1083),IF(C4268="Técnico I",SUMIFS($D:$D,$A:$A,$A4268,$B:$B,"&lt;&gt;Patrícia Karla de Sousa Araújo",$B:$B,"&lt;&gt;Lorena Dias de Araujo",$B:$B,"&lt;&gt;Lucas Luiz Romero")*(23/1083),IF(C4268="JR",SUMIFS($D:$D,$A:$A,$A4268,$B:$B,"&lt;&gt;Patrícia Karla de Sousa Araújo",$B:$B,"&lt;&gt;Lorena Dias de Araujo",$B:$B,"&lt;&gt;Lucas Luiz Romero")*(20/1083),IF(C4268="Estágio",SUMIFS($D:$D,$A:$A,$A4268,$B:$B,"&lt;&gt;Patrícia Karla de Sousa Araújo",$B:$B,"&lt;&gt;Lorena Dias de Araujo",$B:$B,"&lt;&gt;Lucas Luiz Romero")*(10/1083),0)))))),0)</f>
        <v>18</v>
      </c>
      <c r="K4268" s="3">
        <f>I4268-J4268</f>
        <v>1</v>
      </c>
      <c r="L4268" s="3" t="str">
        <f>IF(K4268&lt;-5,"CRÍTICO",IF(K4268&lt;0,"ATENÇÃO",IF(K4268&lt;=5,"OPORTUNO","MUITO BOM")))</f>
        <v>OPORTUNO</v>
      </c>
      <c r="M4268">
        <v>19</v>
      </c>
      <c r="N4268">
        <v>100</v>
      </c>
      <c r="O4268">
        <v>28.921568627450981</v>
      </c>
    </row>
    <row r="4269" spans="1:15" hidden="1" x14ac:dyDescent="0.25">
      <c r="A4269" s="11">
        <v>46136</v>
      </c>
      <c r="B4269" t="s">
        <v>37</v>
      </c>
      <c r="C4269" t="s">
        <v>32</v>
      </c>
      <c r="D4269">
        <v>39</v>
      </c>
      <c r="E4269">
        <v>35</v>
      </c>
      <c r="F4269">
        <v>11.57</v>
      </c>
      <c r="G4269">
        <v>0</v>
      </c>
      <c r="H4269">
        <v>0</v>
      </c>
      <c r="I4269" s="3">
        <f>E4269+G4269+H4269</f>
        <v>35</v>
      </c>
      <c r="J4269" s="3">
        <f>ROUND(MIN(IF(C4269="Técnico III",35,IF(C4269="Técnico II",28,IF(C4269="Técnico I",23,IF(C4269="JR",20,IF(C4269="Estágio",10,0))))),IF(C4269="Técnico III",SUMIFS($D:$D,$A:$A,$A4269,$B:$B,"&lt;&gt;Patrícia Karla de Sousa Araújo",$B:$B,"&lt;&gt;Lorena Dias de Araujo",$B:$B,"&lt;&gt;Lucas Luiz Romero")*(35/1083),IF(C4269="Técnico II",SUMIFS($D:$D,$A:$A,$A4269,$B:$B,"&lt;&gt;Patrícia Karla de Sousa Araújo",$B:$B,"&lt;&gt;Lorena Dias de Araujo",$B:$B,"&lt;&gt;Lucas Luiz Romero")*(28/1083),IF(C4269="Técnico I",SUMIFS($D:$D,$A:$A,$A4269,$B:$B,"&lt;&gt;Patrícia Karla de Sousa Araújo",$B:$B,"&lt;&gt;Lorena Dias de Araujo",$B:$B,"&lt;&gt;Lucas Luiz Romero")*(23/1083),IF(C4269="JR",SUMIFS($D:$D,$A:$A,$A4269,$B:$B,"&lt;&gt;Patrícia Karla de Sousa Araújo",$B:$B,"&lt;&gt;Lorena Dias de Araujo",$B:$B,"&lt;&gt;Lucas Luiz Romero")*(20/1083),IF(C4269="Estágio",SUMIFS($D:$D,$A:$A,$A4269,$B:$B,"&lt;&gt;Patrícia Karla de Sousa Araújo",$B:$B,"&lt;&gt;Lorena Dias de Araujo",$B:$B,"&lt;&gt;Lucas Luiz Romero")*(10/1083),0)))))),0)</f>
        <v>23</v>
      </c>
      <c r="K4269" s="3">
        <f>I4269-J4269</f>
        <v>12</v>
      </c>
      <c r="L4269" s="3" t="str">
        <f>IF(K4269&lt;-5,"CRÍTICO",IF(K4269&lt;0,"ATENÇÃO",IF(K4269&lt;=5,"OPORTUNO","MUITO BOM")))</f>
        <v>MUITO BOM</v>
      </c>
      <c r="M4269">
        <v>28</v>
      </c>
      <c r="N4269">
        <v>99.57</v>
      </c>
      <c r="O4269">
        <v>30.635838150289018</v>
      </c>
    </row>
    <row r="4270" spans="1:15" hidden="1" x14ac:dyDescent="0.25">
      <c r="A4270" s="11">
        <v>46136</v>
      </c>
      <c r="B4270" t="s">
        <v>38</v>
      </c>
      <c r="C4270" t="s">
        <v>32</v>
      </c>
      <c r="D4270">
        <v>0</v>
      </c>
      <c r="E4270">
        <v>0</v>
      </c>
      <c r="F4270">
        <v>0</v>
      </c>
      <c r="G4270">
        <v>0</v>
      </c>
      <c r="H4270">
        <v>0</v>
      </c>
      <c r="I4270" s="3">
        <v>0</v>
      </c>
      <c r="J4270" s="3">
        <v>0</v>
      </c>
      <c r="K4270" s="3">
        <v>0</v>
      </c>
      <c r="L4270" s="3" t="str">
        <f>IF(K4270&lt;-5,"CRÍTICO",IF(K4270&lt;0,"ATENÇÃO",IF(K4270&lt;=5,"OPORTUNO","MUITO BOM")))</f>
        <v>OPORTUNO</v>
      </c>
      <c r="M4270">
        <v>0</v>
      </c>
      <c r="N4270">
        <v>95.65</v>
      </c>
      <c r="O4270">
        <v>32.432432432432442</v>
      </c>
    </row>
    <row r="4271" spans="1:15" hidden="1" x14ac:dyDescent="0.25">
      <c r="A4271" s="11">
        <v>46136</v>
      </c>
      <c r="B4271" t="s">
        <v>55</v>
      </c>
      <c r="C4271" t="s">
        <v>48</v>
      </c>
      <c r="D4271">
        <v>24</v>
      </c>
      <c r="E4271">
        <v>17</v>
      </c>
      <c r="F4271">
        <v>17.29</v>
      </c>
      <c r="G4271">
        <v>0</v>
      </c>
      <c r="H4271">
        <v>0</v>
      </c>
      <c r="I4271" s="3">
        <f>E4271+G4271+H4271</f>
        <v>17</v>
      </c>
      <c r="J4271" s="3">
        <f>ROUND(MIN(IF(C4271="Técnico III",35,IF(C4271="Técnico II",28,IF(C4271="Técnico I",23,IF(C4271="JR",20,IF(C4271="Estágio",10,0))))),IF(C4271="Técnico III",SUMIFS($D:$D,$A:$A,$A4271,$B:$B,"&lt;&gt;Patrícia Karla de Sousa Araújo",$B:$B,"&lt;&gt;Lorena Dias de Araujo",$B:$B,"&lt;&gt;Lucas Luiz Romero")*(35/1083),IF(C4271="Técnico II",SUMIFS($D:$D,$A:$A,$A4271,$B:$B,"&lt;&gt;Patrícia Karla de Sousa Araújo",$B:$B,"&lt;&gt;Lorena Dias de Araujo",$B:$B,"&lt;&gt;Lucas Luiz Romero")*(28/1083),IF(C4271="Técnico I",SUMIFS($D:$D,$A:$A,$A4271,$B:$B,"&lt;&gt;Patrícia Karla de Sousa Araújo",$B:$B,"&lt;&gt;Lorena Dias de Araujo",$B:$B,"&lt;&gt;Lucas Luiz Romero")*(23/1083),IF(C4271="JR",SUMIFS($D:$D,$A:$A,$A4271,$B:$B,"&lt;&gt;Patrícia Karla de Sousa Araújo",$B:$B,"&lt;&gt;Lorena Dias de Araujo",$B:$B,"&lt;&gt;Lucas Luiz Romero")*(20/1083),IF(C4271="Estágio",SUMIFS($D:$D,$A:$A,$A4271,$B:$B,"&lt;&gt;Patrícia Karla de Sousa Araújo",$B:$B,"&lt;&gt;Lorena Dias de Araujo",$B:$B,"&lt;&gt;Lucas Luiz Romero")*(10/1083),0)))))),0)</f>
        <v>18</v>
      </c>
      <c r="K4271" s="3">
        <f>I4271-J4271</f>
        <v>-1</v>
      </c>
      <c r="L4271" s="3" t="str">
        <f>IF(K4271&lt;-5,"CRÍTICO",IF(K4271&lt;0,"ATENÇÃO",IF(K4271&lt;=5,"OPORTUNO","MUITO BOM")))</f>
        <v>ATENÇÃO</v>
      </c>
      <c r="M4271">
        <v>14</v>
      </c>
      <c r="N4271">
        <v>98.81</v>
      </c>
      <c r="O4271">
        <v>26.256983240223459</v>
      </c>
    </row>
    <row r="4272" spans="1:15" hidden="1" x14ac:dyDescent="0.25">
      <c r="A4272" s="11">
        <v>46136</v>
      </c>
      <c r="B4272" t="s">
        <v>39</v>
      </c>
      <c r="C4272" t="s">
        <v>32</v>
      </c>
      <c r="D4272">
        <v>0</v>
      </c>
      <c r="E4272">
        <v>0</v>
      </c>
      <c r="F4272">
        <v>0</v>
      </c>
      <c r="G4272">
        <v>0</v>
      </c>
      <c r="H4272">
        <v>0</v>
      </c>
      <c r="I4272" s="3">
        <v>0</v>
      </c>
      <c r="J4272" s="3">
        <v>0</v>
      </c>
      <c r="K4272" s="3">
        <v>0</v>
      </c>
      <c r="L4272" s="3" t="str">
        <f>IF(K4272&lt;-5,"CRÍTICO",IF(K4272&lt;0,"ATENÇÃO",IF(K4272&lt;=5,"OPORTUNO","MUITO BOM")))</f>
        <v>OPORTUNO</v>
      </c>
      <c r="M4272">
        <v>0</v>
      </c>
      <c r="N4272">
        <v>0</v>
      </c>
      <c r="O4272">
        <v>0</v>
      </c>
    </row>
    <row r="4273" spans="1:15" hidden="1" x14ac:dyDescent="0.25">
      <c r="A4273" s="11">
        <v>46136</v>
      </c>
      <c r="B4273" t="s">
        <v>25</v>
      </c>
      <c r="C4273" t="s">
        <v>26</v>
      </c>
      <c r="D4273">
        <v>15</v>
      </c>
      <c r="E4273">
        <v>15</v>
      </c>
      <c r="F4273">
        <v>17.25</v>
      </c>
      <c r="G4273">
        <v>0</v>
      </c>
      <c r="H4273">
        <v>0</v>
      </c>
      <c r="I4273" s="3">
        <f>E4273+G4273+H4273</f>
        <v>15</v>
      </c>
      <c r="J4273" s="3">
        <f>ROUND(MIN(IF(C4273="Técnico III",35,IF(C4273="Técnico II",28,IF(C4273="Técnico I",23,IF(C4273="JR",20,IF(C4273="Estágio",10,0))))),IF(C4273="Técnico III",SUMIFS($D:$D,$A:$A,$A4273,$B:$B,"&lt;&gt;Patrícia Karla de Sousa Araújo",$B:$B,"&lt;&gt;Lorena Dias de Araujo",$B:$B,"&lt;&gt;Lucas Luiz Romero")*(35/1083),IF(C4273="Técnico II",SUMIFS($D:$D,$A:$A,$A4273,$B:$B,"&lt;&gt;Patrícia Karla de Sousa Araújo",$B:$B,"&lt;&gt;Lorena Dias de Araujo",$B:$B,"&lt;&gt;Lucas Luiz Romero")*(28/1083),IF(C4273="Técnico I",SUMIFS($D:$D,$A:$A,$A4273,$B:$B,"&lt;&gt;Patrícia Karla de Sousa Araújo",$B:$B,"&lt;&gt;Lorena Dias de Araujo",$B:$B,"&lt;&gt;Lucas Luiz Romero")*(23/1083),IF(C4273="JR",SUMIFS($D:$D,$A:$A,$A4273,$B:$B,"&lt;&gt;Patrícia Karla de Sousa Araújo",$B:$B,"&lt;&gt;Lorena Dias de Araujo",$B:$B,"&lt;&gt;Lucas Luiz Romero")*(20/1083),IF(C4273="Estágio",SUMIFS($D:$D,$A:$A,$A4273,$B:$B,"&lt;&gt;Patrícia Karla de Sousa Araújo",$B:$B,"&lt;&gt;Lorena Dias de Araujo",$B:$B,"&lt;&gt;Lucas Luiz Romero")*(10/1083),0)))))),0)</f>
        <v>13</v>
      </c>
      <c r="K4273" s="3">
        <f>I4273-J4273</f>
        <v>2</v>
      </c>
      <c r="L4273" s="3" t="str">
        <f>IF(K4273&lt;-5,"CRÍTICO",IF(K4273&lt;0,"ATENÇÃO",IF(K4273&lt;=5,"OPORTUNO","MUITO BOM")))</f>
        <v>OPORTUNO</v>
      </c>
      <c r="M4273">
        <v>14</v>
      </c>
      <c r="N4273">
        <v>97.17</v>
      </c>
      <c r="O4273">
        <v>28.81844380403458</v>
      </c>
    </row>
    <row r="4274" spans="1:15" hidden="1" x14ac:dyDescent="0.25">
      <c r="A4274" s="11">
        <v>46136</v>
      </c>
      <c r="B4274" t="s">
        <v>40</v>
      </c>
      <c r="C4274" t="s">
        <v>32</v>
      </c>
      <c r="D4274">
        <v>0</v>
      </c>
      <c r="E4274">
        <v>0</v>
      </c>
      <c r="F4274">
        <v>0</v>
      </c>
      <c r="G4274">
        <v>0</v>
      </c>
      <c r="H4274">
        <v>0</v>
      </c>
      <c r="I4274" s="3">
        <v>0</v>
      </c>
      <c r="J4274" s="3">
        <v>0</v>
      </c>
      <c r="K4274" s="3">
        <v>0</v>
      </c>
      <c r="L4274" s="3" t="str">
        <f>IF(K4274&lt;-5,"CRÍTICO",IF(K4274&lt;0,"ATENÇÃO",IF(K4274&lt;=5,"OPORTUNO","MUITO BOM")))</f>
        <v>OPORTUNO</v>
      </c>
      <c r="M4274">
        <v>28</v>
      </c>
      <c r="N4274">
        <v>96.81</v>
      </c>
      <c r="O4274">
        <v>48.018648018648022</v>
      </c>
    </row>
    <row r="4275" spans="1:15" hidden="1" x14ac:dyDescent="0.25">
      <c r="A4275" s="11">
        <v>46136</v>
      </c>
      <c r="B4275" t="s">
        <v>27</v>
      </c>
      <c r="C4275" t="s">
        <v>26</v>
      </c>
      <c r="D4275">
        <v>11</v>
      </c>
      <c r="E4275">
        <v>11</v>
      </c>
      <c r="F4275">
        <v>42.04</v>
      </c>
      <c r="G4275">
        <v>0</v>
      </c>
      <c r="H4275">
        <v>0</v>
      </c>
      <c r="I4275" s="3">
        <f>E4275+G4275+H4275</f>
        <v>11</v>
      </c>
      <c r="J4275" s="3">
        <f>ROUND(MIN(IF(C4275="Técnico III",35,IF(C4275="Técnico II",28,IF(C4275="Técnico I",23,IF(C4275="JR",20,IF(C4275="Estágio",10,0))))),IF(C4275="Técnico III",SUMIFS($D:$D,$A:$A,$A4275,$B:$B,"&lt;&gt;Patrícia Karla de Sousa Araújo",$B:$B,"&lt;&gt;Lorena Dias de Araujo",$B:$B,"&lt;&gt;Lucas Luiz Romero")*(35/1083),IF(C4275="Técnico II",SUMIFS($D:$D,$A:$A,$A4275,$B:$B,"&lt;&gt;Patrícia Karla de Sousa Araújo",$B:$B,"&lt;&gt;Lorena Dias de Araujo",$B:$B,"&lt;&gt;Lucas Luiz Romero")*(28/1083),IF(C4275="Técnico I",SUMIFS($D:$D,$A:$A,$A4275,$B:$B,"&lt;&gt;Patrícia Karla de Sousa Araújo",$B:$B,"&lt;&gt;Lorena Dias de Araujo",$B:$B,"&lt;&gt;Lucas Luiz Romero")*(23/1083),IF(C4275="JR",SUMIFS($D:$D,$A:$A,$A4275,$B:$B,"&lt;&gt;Patrícia Karla de Sousa Araújo",$B:$B,"&lt;&gt;Lorena Dias de Araujo",$B:$B,"&lt;&gt;Lucas Luiz Romero")*(20/1083),IF(C4275="Estágio",SUMIFS($D:$D,$A:$A,$A4275,$B:$B,"&lt;&gt;Patrícia Karla de Sousa Araújo",$B:$B,"&lt;&gt;Lorena Dias de Araujo",$B:$B,"&lt;&gt;Lucas Luiz Romero")*(10/1083),0)))))),0)</f>
        <v>13</v>
      </c>
      <c r="K4275" s="3">
        <f>I4275-J4275</f>
        <v>-2</v>
      </c>
      <c r="L4275" s="3" t="str">
        <f>IF(K4275&lt;-5,"CRÍTICO",IF(K4275&lt;0,"ATENÇÃO",IF(K4275&lt;=5,"OPORTUNO","MUITO BOM")))</f>
        <v>ATENÇÃO</v>
      </c>
      <c r="M4275">
        <v>11</v>
      </c>
      <c r="N4275">
        <v>98.15</v>
      </c>
      <c r="O4275">
        <v>27.1551724137931</v>
      </c>
    </row>
    <row r="4276" spans="1:15" hidden="1" x14ac:dyDescent="0.25">
      <c r="A4276" s="11">
        <v>46136</v>
      </c>
      <c r="B4276" t="s">
        <v>41</v>
      </c>
      <c r="C4276" t="s">
        <v>32</v>
      </c>
      <c r="D4276">
        <v>21</v>
      </c>
      <c r="E4276">
        <v>19</v>
      </c>
      <c r="F4276">
        <v>25.15</v>
      </c>
      <c r="G4276">
        <v>0</v>
      </c>
      <c r="H4276">
        <v>0</v>
      </c>
      <c r="I4276" s="3">
        <f>E4276+G4276+H4276</f>
        <v>19</v>
      </c>
      <c r="J4276" s="3">
        <f>ROUND(MIN(IF(C4276="Técnico III",35,IF(C4276="Técnico II",28,IF(C4276="Técnico I",23,IF(C4276="JR",20,IF(C4276="Estágio",10,0))))),IF(C4276="Técnico III",SUMIFS($D:$D,$A:$A,$A4276,$B:$B,"&lt;&gt;Patrícia Karla de Sousa Araújo",$B:$B,"&lt;&gt;Lorena Dias de Araujo",$B:$B,"&lt;&gt;Lucas Luiz Romero")*(35/1083),IF(C4276="Técnico II",SUMIFS($D:$D,$A:$A,$A4276,$B:$B,"&lt;&gt;Patrícia Karla de Sousa Araújo",$B:$B,"&lt;&gt;Lorena Dias de Araujo",$B:$B,"&lt;&gt;Lucas Luiz Romero")*(28/1083),IF(C4276="Técnico I",SUMIFS($D:$D,$A:$A,$A4276,$B:$B,"&lt;&gt;Patrícia Karla de Sousa Araújo",$B:$B,"&lt;&gt;Lorena Dias de Araujo",$B:$B,"&lt;&gt;Lucas Luiz Romero")*(23/1083),IF(C4276="JR",SUMIFS($D:$D,$A:$A,$A4276,$B:$B,"&lt;&gt;Patrícia Karla de Sousa Araújo",$B:$B,"&lt;&gt;Lorena Dias de Araujo",$B:$B,"&lt;&gt;Lucas Luiz Romero")*(20/1083),IF(C4276="Estágio",SUMIFS($D:$D,$A:$A,$A4276,$B:$B,"&lt;&gt;Patrícia Karla de Sousa Araújo",$B:$B,"&lt;&gt;Lorena Dias de Araujo",$B:$B,"&lt;&gt;Lucas Luiz Romero")*(10/1083),0)))))),0)</f>
        <v>23</v>
      </c>
      <c r="K4276" s="3">
        <f>I4276-J4276</f>
        <v>-4</v>
      </c>
      <c r="L4276" s="3" t="str">
        <f>IF(K4276&lt;-5,"CRÍTICO",IF(K4276&lt;0,"ATENÇÃO",IF(K4276&lt;=5,"OPORTUNO","MUITO BOM")))</f>
        <v>ATENÇÃO</v>
      </c>
      <c r="M4276">
        <v>19</v>
      </c>
      <c r="N4276">
        <v>99.15</v>
      </c>
      <c r="O4276">
        <v>27.586206896551719</v>
      </c>
    </row>
    <row r="4277" spans="1:15" hidden="1" x14ac:dyDescent="0.25">
      <c r="A4277" s="11">
        <v>46136</v>
      </c>
      <c r="B4277" t="s">
        <v>56</v>
      </c>
      <c r="C4277" t="s">
        <v>48</v>
      </c>
      <c r="D4277">
        <v>22</v>
      </c>
      <c r="E4277">
        <v>19</v>
      </c>
      <c r="F4277">
        <v>15.3</v>
      </c>
      <c r="G4277">
        <v>0</v>
      </c>
      <c r="H4277">
        <v>0</v>
      </c>
      <c r="I4277" s="3">
        <f>E4277+G4277+H4277</f>
        <v>19</v>
      </c>
      <c r="J4277" s="3">
        <f>ROUND(MIN(IF(C4277="Técnico III",35,IF(C4277="Técnico II",28,IF(C4277="Técnico I",23,IF(C4277="JR",20,IF(C4277="Estágio",10,0))))),IF(C4277="Técnico III",SUMIFS($D:$D,$A:$A,$A4277,$B:$B,"&lt;&gt;Patrícia Karla de Sousa Araújo",$B:$B,"&lt;&gt;Lorena Dias de Araujo",$B:$B,"&lt;&gt;Lucas Luiz Romero")*(35/1083),IF(C4277="Técnico II",SUMIFS($D:$D,$A:$A,$A4277,$B:$B,"&lt;&gt;Patrícia Karla de Sousa Araújo",$B:$B,"&lt;&gt;Lorena Dias de Araujo",$B:$B,"&lt;&gt;Lucas Luiz Romero")*(28/1083),IF(C4277="Técnico I",SUMIFS($D:$D,$A:$A,$A4277,$B:$B,"&lt;&gt;Patrícia Karla de Sousa Araújo",$B:$B,"&lt;&gt;Lorena Dias de Araujo",$B:$B,"&lt;&gt;Lucas Luiz Romero")*(23/1083),IF(C4277="JR",SUMIFS($D:$D,$A:$A,$A4277,$B:$B,"&lt;&gt;Patrícia Karla de Sousa Araújo",$B:$B,"&lt;&gt;Lorena Dias de Araujo",$B:$B,"&lt;&gt;Lucas Luiz Romero")*(20/1083),IF(C4277="Estágio",SUMIFS($D:$D,$A:$A,$A4277,$B:$B,"&lt;&gt;Patrícia Karla de Sousa Araújo",$B:$B,"&lt;&gt;Lorena Dias de Araujo",$B:$B,"&lt;&gt;Lucas Luiz Romero")*(10/1083),0)))))),0)</f>
        <v>18</v>
      </c>
      <c r="K4277" s="3">
        <f>I4277-J4277</f>
        <v>1</v>
      </c>
      <c r="L4277" s="3" t="str">
        <f>IF(K4277&lt;-5,"CRÍTICO",IF(K4277&lt;0,"ATENÇÃO",IF(K4277&lt;=5,"OPORTUNO","MUITO BOM")))</f>
        <v>OPORTUNO</v>
      </c>
      <c r="M4277">
        <v>9</v>
      </c>
      <c r="N4277">
        <v>99.17</v>
      </c>
      <c r="O4277">
        <v>29.75206611570248</v>
      </c>
    </row>
    <row r="4278" spans="1:15" hidden="1" x14ac:dyDescent="0.25">
      <c r="A4278" s="11">
        <v>46136</v>
      </c>
      <c r="B4278" t="s">
        <v>57</v>
      </c>
      <c r="C4278" t="s">
        <v>48</v>
      </c>
      <c r="D4278">
        <v>0</v>
      </c>
      <c r="E4278">
        <v>0</v>
      </c>
      <c r="F4278">
        <v>0</v>
      </c>
      <c r="G4278">
        <v>0</v>
      </c>
      <c r="H4278">
        <v>0</v>
      </c>
      <c r="I4278" s="3">
        <v>0</v>
      </c>
      <c r="J4278" s="3">
        <v>0</v>
      </c>
      <c r="K4278" s="3">
        <v>0</v>
      </c>
      <c r="L4278" s="3" t="str">
        <f>IF(K4278&lt;-5,"CRÍTICO",IF(K4278&lt;0,"ATENÇÃO",IF(K4278&lt;=5,"OPORTUNO","MUITO BOM")))</f>
        <v>OPORTUNO</v>
      </c>
      <c r="M4278">
        <v>0</v>
      </c>
      <c r="N4278">
        <v>98.73</v>
      </c>
      <c r="O4278">
        <v>28.961748633879779</v>
      </c>
    </row>
    <row r="4279" spans="1:15" hidden="1" x14ac:dyDescent="0.25">
      <c r="A4279" s="11">
        <v>46136</v>
      </c>
      <c r="B4279" t="s">
        <v>42</v>
      </c>
      <c r="C4279" t="s">
        <v>32</v>
      </c>
      <c r="D4279">
        <v>0</v>
      </c>
      <c r="E4279">
        <v>0</v>
      </c>
      <c r="F4279">
        <v>0</v>
      </c>
      <c r="G4279">
        <v>0</v>
      </c>
      <c r="H4279">
        <v>0</v>
      </c>
      <c r="I4279" s="3">
        <v>0</v>
      </c>
      <c r="J4279" s="3">
        <v>0</v>
      </c>
      <c r="K4279" s="3">
        <v>0</v>
      </c>
      <c r="L4279" s="3" t="str">
        <f>IF(K4279&lt;-5,"CRÍTICO",IF(K4279&lt;0,"ATENÇÃO",IF(K4279&lt;=5,"OPORTUNO","MUITO BOM")))</f>
        <v>OPORTUNO</v>
      </c>
      <c r="M4279">
        <v>0</v>
      </c>
      <c r="N4279">
        <v>88.68</v>
      </c>
      <c r="O4279">
        <v>22.03389830508474</v>
      </c>
    </row>
    <row r="4280" spans="1:15" hidden="1" x14ac:dyDescent="0.25">
      <c r="A4280" s="11">
        <v>46136</v>
      </c>
      <c r="B4280" t="s">
        <v>62</v>
      </c>
      <c r="C4280" t="s">
        <v>23</v>
      </c>
      <c r="D4280">
        <v>12</v>
      </c>
      <c r="E4280">
        <v>12</v>
      </c>
      <c r="F4280">
        <v>27.07</v>
      </c>
      <c r="G4280">
        <v>0</v>
      </c>
      <c r="H4280">
        <v>0</v>
      </c>
      <c r="I4280" s="3">
        <f>E4280+G4280+H4280</f>
        <v>12</v>
      </c>
      <c r="J4280" s="3">
        <f>ROUND(MIN(IF(C4280="Técnico III",35,IF(C4280="Técnico II",28,IF(C4280="Técnico I",23,IF(C4280="JR",20,IF(C4280="Estágio",10,0))))),IF(C4280="Técnico III",SUMIFS($D:$D,$A:$A,$A4280,$B:$B,"&lt;&gt;Patrícia Karla de Sousa Araújo",$B:$B,"&lt;&gt;Lorena Dias de Araujo",$B:$B,"&lt;&gt;Lucas Luiz Romero")*(35/1083),IF(C4280="Técnico II",SUMIFS($D:$D,$A:$A,$A4280,$B:$B,"&lt;&gt;Patrícia Karla de Sousa Araújo",$B:$B,"&lt;&gt;Lorena Dias de Araujo",$B:$B,"&lt;&gt;Lucas Luiz Romero")*(28/1083),IF(C4280="Técnico I",SUMIFS($D:$D,$A:$A,$A4280,$B:$B,"&lt;&gt;Patrícia Karla de Sousa Araújo",$B:$B,"&lt;&gt;Lorena Dias de Araujo",$B:$B,"&lt;&gt;Lucas Luiz Romero")*(23/1083),IF(C4280="JR",SUMIFS($D:$D,$A:$A,$A4280,$B:$B,"&lt;&gt;Patrícia Karla de Sousa Araújo",$B:$B,"&lt;&gt;Lorena Dias de Araujo",$B:$B,"&lt;&gt;Lucas Luiz Romero")*(20/1083),IF(C4280="Estágio",SUMIFS($D:$D,$A:$A,$A4280,$B:$B,"&lt;&gt;Patrícia Karla de Sousa Araújo",$B:$B,"&lt;&gt;Lorena Dias de Araujo",$B:$B,"&lt;&gt;Lucas Luiz Romero")*(10/1083),0)))))),0)</f>
        <v>15</v>
      </c>
      <c r="K4280" s="3">
        <f>I4280-J4280</f>
        <v>-3</v>
      </c>
      <c r="L4280" s="3" t="str">
        <f>IF(K4280&lt;-5,"CRÍTICO",IF(K4280&lt;0,"ATENÇÃO",IF(K4280&lt;=5,"OPORTUNO","MUITO BOM")))</f>
        <v>ATENÇÃO</v>
      </c>
      <c r="M4280">
        <v>14</v>
      </c>
      <c r="N4280">
        <v>97.37</v>
      </c>
      <c r="O4280">
        <v>25.76530612244898</v>
      </c>
    </row>
    <row r="4281" spans="1:15" hidden="1" x14ac:dyDescent="0.25">
      <c r="A4281" s="11">
        <v>46136</v>
      </c>
      <c r="B4281" t="s">
        <v>19</v>
      </c>
      <c r="C4281" t="s">
        <v>16</v>
      </c>
      <c r="D4281">
        <v>25</v>
      </c>
      <c r="E4281">
        <v>16</v>
      </c>
      <c r="F4281">
        <v>10.19</v>
      </c>
      <c r="G4281">
        <v>0</v>
      </c>
      <c r="H4281">
        <v>0</v>
      </c>
      <c r="I4281" s="3">
        <f>E4281+G4281+H4281</f>
        <v>16</v>
      </c>
      <c r="J4281" s="3">
        <f>ROUND(MIN(IF(C4281="Técnico III",35,IF(C4281="Técnico II",28,IF(C4281="Técnico I",23,IF(C4281="JR",20,IF(C4281="Estágio",10,0))))),IF(C4281="Técnico III",SUMIFS($D:$D,$A:$A,$A4281,$B:$B,"&lt;&gt;Patrícia Karla de Sousa Araújo",$B:$B,"&lt;&gt;Lorena Dias de Araujo",$B:$B,"&lt;&gt;Lucas Luiz Romero")*(35/1083),IF(C4281="Técnico II",SUMIFS($D:$D,$A:$A,$A4281,$B:$B,"&lt;&gt;Patrícia Karla de Sousa Araújo",$B:$B,"&lt;&gt;Lorena Dias de Araujo",$B:$B,"&lt;&gt;Lucas Luiz Romero")*(28/1083),IF(C4281="Técnico I",SUMIFS($D:$D,$A:$A,$A4281,$B:$B,"&lt;&gt;Patrícia Karla de Sousa Araújo",$B:$B,"&lt;&gt;Lorena Dias de Araujo",$B:$B,"&lt;&gt;Lucas Luiz Romero")*(23/1083),IF(C4281="JR",SUMIFS($D:$D,$A:$A,$A4281,$B:$B,"&lt;&gt;Patrícia Karla de Sousa Araújo",$B:$B,"&lt;&gt;Lorena Dias de Araujo",$B:$B,"&lt;&gt;Lucas Luiz Romero")*(20/1083),IF(C4281="Estágio",SUMIFS($D:$D,$A:$A,$A4281,$B:$B,"&lt;&gt;Patrícia Karla de Sousa Araújo",$B:$B,"&lt;&gt;Lorena Dias de Araujo",$B:$B,"&lt;&gt;Lucas Luiz Romero")*(10/1083),0)))))),0)</f>
        <v>6</v>
      </c>
      <c r="K4281" s="3">
        <f>I4281-J4281</f>
        <v>10</v>
      </c>
      <c r="L4281" s="3" t="str">
        <f>IF(K4281&lt;-5,"CRÍTICO",IF(K4281&lt;0,"ATENÇÃO",IF(K4281&lt;=5,"OPORTUNO","MUITO BOM")))</f>
        <v>MUITO BOM</v>
      </c>
      <c r="M4281">
        <v>5</v>
      </c>
      <c r="N4281">
        <v>100</v>
      </c>
      <c r="O4281">
        <v>25</v>
      </c>
    </row>
    <row r="4282" spans="1:15" hidden="1" x14ac:dyDescent="0.25">
      <c r="A4282" s="11">
        <v>46136</v>
      </c>
      <c r="B4282" t="s">
        <v>43</v>
      </c>
      <c r="C4282" t="s">
        <v>32</v>
      </c>
      <c r="D4282">
        <v>13</v>
      </c>
      <c r="E4282">
        <v>12</v>
      </c>
      <c r="F4282">
        <v>17.18</v>
      </c>
      <c r="G4282">
        <v>0</v>
      </c>
      <c r="H4282">
        <v>0</v>
      </c>
      <c r="I4282" s="3">
        <f>E4282+G4282+H4282</f>
        <v>12</v>
      </c>
      <c r="J4282" s="3">
        <f>ROUND(MIN(IF(C4282="Técnico III",35,IF(C4282="Técnico II",28,IF(C4282="Técnico I",23,IF(C4282="JR",20,IF(C4282="Estágio",10,0))))),IF(C4282="Técnico III",SUMIFS($D:$D,$A:$A,$A4282,$B:$B,"&lt;&gt;Patrícia Karla de Sousa Araújo",$B:$B,"&lt;&gt;Lorena Dias de Araujo",$B:$B,"&lt;&gt;Lucas Luiz Romero")*(35/1083),IF(C4282="Técnico II",SUMIFS($D:$D,$A:$A,$A4282,$B:$B,"&lt;&gt;Patrícia Karla de Sousa Araújo",$B:$B,"&lt;&gt;Lorena Dias de Araujo",$B:$B,"&lt;&gt;Lucas Luiz Romero")*(28/1083),IF(C4282="Técnico I",SUMIFS($D:$D,$A:$A,$A4282,$B:$B,"&lt;&gt;Patrícia Karla de Sousa Araújo",$B:$B,"&lt;&gt;Lorena Dias de Araujo",$B:$B,"&lt;&gt;Lucas Luiz Romero")*(23/1083),IF(C4282="JR",SUMIFS($D:$D,$A:$A,$A4282,$B:$B,"&lt;&gt;Patrícia Karla de Sousa Araújo",$B:$B,"&lt;&gt;Lorena Dias de Araujo",$B:$B,"&lt;&gt;Lucas Luiz Romero")*(20/1083),IF(C4282="Estágio",SUMIFS($D:$D,$A:$A,$A4282,$B:$B,"&lt;&gt;Patrícia Karla de Sousa Araújo",$B:$B,"&lt;&gt;Lorena Dias de Araujo",$B:$B,"&lt;&gt;Lucas Luiz Romero")*(10/1083),0)))))),0)</f>
        <v>23</v>
      </c>
      <c r="K4282" s="3">
        <f>I4282-J4282</f>
        <v>-11</v>
      </c>
      <c r="L4282" s="3" t="str">
        <f>IF(K4282&lt;-5,"CRÍTICO",IF(K4282&lt;0,"ATENÇÃO",IF(K4282&lt;=5,"OPORTUNO","MUITO BOM")))</f>
        <v>CRÍTICO</v>
      </c>
      <c r="M4282">
        <v>10</v>
      </c>
      <c r="N4282">
        <v>100</v>
      </c>
      <c r="O4282">
        <v>23.9870340356564</v>
      </c>
    </row>
    <row r="4283" spans="1:15" hidden="1" x14ac:dyDescent="0.25">
      <c r="A4283" s="11">
        <v>46136</v>
      </c>
      <c r="B4283" t="s">
        <v>44</v>
      </c>
      <c r="C4283" t="s">
        <v>32</v>
      </c>
      <c r="D4283">
        <v>30</v>
      </c>
      <c r="E4283">
        <v>28</v>
      </c>
      <c r="F4283">
        <v>10.33</v>
      </c>
      <c r="G4283">
        <v>0</v>
      </c>
      <c r="H4283">
        <v>0</v>
      </c>
      <c r="I4283" s="3">
        <f>E4283+G4283+H4283</f>
        <v>28</v>
      </c>
      <c r="J4283" s="3">
        <f>ROUND(MIN(IF(C4283="Técnico III",35,IF(C4283="Técnico II",28,IF(C4283="Técnico I",23,IF(C4283="JR",20,IF(C4283="Estágio",10,0))))),IF(C4283="Técnico III",SUMIFS($D:$D,$A:$A,$A4283,$B:$B,"&lt;&gt;Patrícia Karla de Sousa Araújo",$B:$B,"&lt;&gt;Lorena Dias de Araujo",$B:$B,"&lt;&gt;Lucas Luiz Romero")*(35/1083),IF(C4283="Técnico II",SUMIFS($D:$D,$A:$A,$A4283,$B:$B,"&lt;&gt;Patrícia Karla de Sousa Araújo",$B:$B,"&lt;&gt;Lorena Dias de Araujo",$B:$B,"&lt;&gt;Lucas Luiz Romero")*(28/1083),IF(C4283="Técnico I",SUMIFS($D:$D,$A:$A,$A4283,$B:$B,"&lt;&gt;Patrícia Karla de Sousa Araújo",$B:$B,"&lt;&gt;Lorena Dias de Araujo",$B:$B,"&lt;&gt;Lucas Luiz Romero")*(23/1083),IF(C4283="JR",SUMIFS($D:$D,$A:$A,$A4283,$B:$B,"&lt;&gt;Patrícia Karla de Sousa Araújo",$B:$B,"&lt;&gt;Lorena Dias de Araujo",$B:$B,"&lt;&gt;Lucas Luiz Romero")*(20/1083),IF(C4283="Estágio",SUMIFS($D:$D,$A:$A,$A4283,$B:$B,"&lt;&gt;Patrícia Karla de Sousa Araújo",$B:$B,"&lt;&gt;Lorena Dias de Araujo",$B:$B,"&lt;&gt;Lucas Luiz Romero")*(10/1083),0)))))),0)</f>
        <v>23</v>
      </c>
      <c r="K4283" s="3">
        <f>I4283-J4283</f>
        <v>5</v>
      </c>
      <c r="L4283" s="3" t="str">
        <f>IF(K4283&lt;-5,"CRÍTICO",IF(K4283&lt;0,"ATENÇÃO",IF(K4283&lt;=5,"OPORTUNO","MUITO BOM")))</f>
        <v>OPORTUNO</v>
      </c>
      <c r="M4283">
        <v>20</v>
      </c>
      <c r="N4283">
        <v>95.49</v>
      </c>
      <c r="O4283">
        <v>28.370221327967808</v>
      </c>
    </row>
    <row r="4284" spans="1:15" hidden="1" x14ac:dyDescent="0.25">
      <c r="A4284" s="11">
        <v>46136</v>
      </c>
      <c r="B4284" t="s">
        <v>20</v>
      </c>
      <c r="C4284" t="s">
        <v>16</v>
      </c>
      <c r="D4284">
        <v>3</v>
      </c>
      <c r="E4284">
        <v>3</v>
      </c>
      <c r="F4284">
        <v>30.4</v>
      </c>
      <c r="G4284">
        <v>0</v>
      </c>
      <c r="H4284">
        <v>0</v>
      </c>
      <c r="I4284" s="3">
        <f>E4284+G4284+H4284</f>
        <v>3</v>
      </c>
      <c r="J4284" s="3">
        <f>ROUND(MIN(IF(C4284="Técnico III",35,IF(C4284="Técnico II",28,IF(C4284="Técnico I",23,IF(C4284="JR",20,IF(C4284="Estágio",10,0))))),IF(C4284="Técnico III",SUMIFS($D:$D,$A:$A,$A4284,$B:$B,"&lt;&gt;Patrícia Karla de Sousa Araújo",$B:$B,"&lt;&gt;Lorena Dias de Araujo",$B:$B,"&lt;&gt;Lucas Luiz Romero")*(35/1083),IF(C4284="Técnico II",SUMIFS($D:$D,$A:$A,$A4284,$B:$B,"&lt;&gt;Patrícia Karla de Sousa Araújo",$B:$B,"&lt;&gt;Lorena Dias de Araujo",$B:$B,"&lt;&gt;Lucas Luiz Romero")*(28/1083),IF(C4284="Técnico I",SUMIFS($D:$D,$A:$A,$A4284,$B:$B,"&lt;&gt;Patrícia Karla de Sousa Araújo",$B:$B,"&lt;&gt;Lorena Dias de Araujo",$B:$B,"&lt;&gt;Lucas Luiz Romero")*(23/1083),IF(C4284="JR",SUMIFS($D:$D,$A:$A,$A4284,$B:$B,"&lt;&gt;Patrícia Karla de Sousa Araújo",$B:$B,"&lt;&gt;Lorena Dias de Araujo",$B:$B,"&lt;&gt;Lucas Luiz Romero")*(20/1083),IF(C4284="Estágio",SUMIFS($D:$D,$A:$A,$A4284,$B:$B,"&lt;&gt;Patrícia Karla de Sousa Araújo",$B:$B,"&lt;&gt;Lorena Dias de Araujo",$B:$B,"&lt;&gt;Lucas Luiz Romero")*(10/1083),0)))))),0)</f>
        <v>6</v>
      </c>
      <c r="K4284" s="3">
        <f>I4284-J4284</f>
        <v>-3</v>
      </c>
      <c r="L4284" s="3" t="str">
        <f>IF(K4284&lt;-5,"CRÍTICO",IF(K4284&lt;0,"ATENÇÃO",IF(K4284&lt;=5,"OPORTUNO","MUITO BOM")))</f>
        <v>ATENÇÃO</v>
      </c>
      <c r="M4284">
        <v>3</v>
      </c>
      <c r="N4284">
        <v>100</v>
      </c>
      <c r="O4284">
        <v>23.77622377622378</v>
      </c>
    </row>
    <row r="4285" spans="1:15" hidden="1" x14ac:dyDescent="0.25">
      <c r="A4285" s="11">
        <v>46136</v>
      </c>
      <c r="B4285" t="s">
        <v>28</v>
      </c>
      <c r="C4285" t="s">
        <v>26</v>
      </c>
      <c r="D4285">
        <v>20</v>
      </c>
      <c r="E4285">
        <v>13</v>
      </c>
      <c r="F4285">
        <v>12.31</v>
      </c>
      <c r="G4285">
        <v>0</v>
      </c>
      <c r="H4285">
        <v>0</v>
      </c>
      <c r="I4285" s="3">
        <f>E4285+G4285+H4285</f>
        <v>13</v>
      </c>
      <c r="J4285" s="3">
        <f>ROUND(MIN(IF(C4285="Técnico III",35,IF(C4285="Técnico II",28,IF(C4285="Técnico I",23,IF(C4285="JR",20,IF(C4285="Estágio",10,0))))),IF(C4285="Técnico III",SUMIFS($D:$D,$A:$A,$A4285,$B:$B,"&lt;&gt;Patrícia Karla de Sousa Araújo",$B:$B,"&lt;&gt;Lorena Dias de Araujo",$B:$B,"&lt;&gt;Lucas Luiz Romero")*(35/1083),IF(C4285="Técnico II",SUMIFS($D:$D,$A:$A,$A4285,$B:$B,"&lt;&gt;Patrícia Karla de Sousa Araújo",$B:$B,"&lt;&gt;Lorena Dias de Araujo",$B:$B,"&lt;&gt;Lucas Luiz Romero")*(28/1083),IF(C4285="Técnico I",SUMIFS($D:$D,$A:$A,$A4285,$B:$B,"&lt;&gt;Patrícia Karla de Sousa Araújo",$B:$B,"&lt;&gt;Lorena Dias de Araujo",$B:$B,"&lt;&gt;Lucas Luiz Romero")*(23/1083),IF(C4285="JR",SUMIFS($D:$D,$A:$A,$A4285,$B:$B,"&lt;&gt;Patrícia Karla de Sousa Araújo",$B:$B,"&lt;&gt;Lorena Dias de Araujo",$B:$B,"&lt;&gt;Lucas Luiz Romero")*(20/1083),IF(C4285="Estágio",SUMIFS($D:$D,$A:$A,$A4285,$B:$B,"&lt;&gt;Patrícia Karla de Sousa Araújo",$B:$B,"&lt;&gt;Lorena Dias de Araujo",$B:$B,"&lt;&gt;Lucas Luiz Romero")*(10/1083),0)))))),0)</f>
        <v>13</v>
      </c>
      <c r="K4285" s="3">
        <f>I4285-J4285</f>
        <v>0</v>
      </c>
      <c r="L4285" s="3" t="str">
        <f>IF(K4285&lt;-5,"CRÍTICO",IF(K4285&lt;0,"ATENÇÃO",IF(K4285&lt;=5,"OPORTUNO","MUITO BOM")))</f>
        <v>OPORTUNO</v>
      </c>
      <c r="M4285">
        <v>12</v>
      </c>
      <c r="N4285">
        <v>96.15</v>
      </c>
      <c r="O4285">
        <v>24.045801526717561</v>
      </c>
    </row>
    <row r="4286" spans="1:15" hidden="1" x14ac:dyDescent="0.25">
      <c r="A4286" s="11">
        <v>46136</v>
      </c>
      <c r="B4286" t="s">
        <v>58</v>
      </c>
      <c r="C4286" t="s">
        <v>48</v>
      </c>
      <c r="D4286">
        <v>21</v>
      </c>
      <c r="E4286">
        <v>20</v>
      </c>
      <c r="F4286">
        <v>17.18</v>
      </c>
      <c r="G4286">
        <v>0</v>
      </c>
      <c r="H4286">
        <v>0</v>
      </c>
      <c r="I4286" s="3">
        <f>E4286+G4286+H4286</f>
        <v>20</v>
      </c>
      <c r="J4286" s="3">
        <f>ROUND(MIN(IF(C4286="Técnico III",35,IF(C4286="Técnico II",28,IF(C4286="Técnico I",23,IF(C4286="JR",20,IF(C4286="Estágio",10,0))))),IF(C4286="Técnico III",SUMIFS($D:$D,$A:$A,$A4286,$B:$B,"&lt;&gt;Patrícia Karla de Sousa Araújo",$B:$B,"&lt;&gt;Lorena Dias de Araujo",$B:$B,"&lt;&gt;Lucas Luiz Romero")*(35/1083),IF(C4286="Técnico II",SUMIFS($D:$D,$A:$A,$A4286,$B:$B,"&lt;&gt;Patrícia Karla de Sousa Araújo",$B:$B,"&lt;&gt;Lorena Dias de Araujo",$B:$B,"&lt;&gt;Lucas Luiz Romero")*(28/1083),IF(C4286="Técnico I",SUMIFS($D:$D,$A:$A,$A4286,$B:$B,"&lt;&gt;Patrícia Karla de Sousa Araújo",$B:$B,"&lt;&gt;Lorena Dias de Araujo",$B:$B,"&lt;&gt;Lucas Luiz Romero")*(23/1083),IF(C4286="JR",SUMIFS($D:$D,$A:$A,$A4286,$B:$B,"&lt;&gt;Patrícia Karla de Sousa Araújo",$B:$B,"&lt;&gt;Lorena Dias de Araujo",$B:$B,"&lt;&gt;Lucas Luiz Romero")*(20/1083),IF(C4286="Estágio",SUMIFS($D:$D,$A:$A,$A4286,$B:$B,"&lt;&gt;Patrícia Karla de Sousa Araújo",$B:$B,"&lt;&gt;Lorena Dias de Araujo",$B:$B,"&lt;&gt;Lucas Luiz Romero")*(10/1083),0)))))),0)</f>
        <v>18</v>
      </c>
      <c r="K4286" s="3">
        <f>I4286-J4286</f>
        <v>2</v>
      </c>
      <c r="L4286" s="3" t="str">
        <f>IF(K4286&lt;-5,"CRÍTICO",IF(K4286&lt;0,"ATENÇÃO",IF(K4286&lt;=5,"OPORTUNO","MUITO BOM")))</f>
        <v>OPORTUNO</v>
      </c>
      <c r="M4286">
        <v>17</v>
      </c>
      <c r="N4286">
        <v>99.02</v>
      </c>
      <c r="O4286">
        <v>34.797297297297298</v>
      </c>
    </row>
    <row r="4287" spans="1:15" hidden="1" x14ac:dyDescent="0.25">
      <c r="A4287" s="11">
        <v>46136</v>
      </c>
      <c r="B4287" t="s">
        <v>29</v>
      </c>
      <c r="C4287" t="s">
        <v>26</v>
      </c>
      <c r="D4287">
        <v>18</v>
      </c>
      <c r="E4287">
        <v>17</v>
      </c>
      <c r="F4287">
        <v>17.13</v>
      </c>
      <c r="G4287">
        <v>0</v>
      </c>
      <c r="H4287">
        <v>0</v>
      </c>
      <c r="I4287" s="3">
        <f>E4287+G4287+H4287</f>
        <v>17</v>
      </c>
      <c r="J4287" s="3">
        <f>ROUND(MIN(IF(C4287="Técnico III",35,IF(C4287="Técnico II",28,IF(C4287="Técnico I",23,IF(C4287="JR",20,IF(C4287="Estágio",10,0))))),IF(C4287="Técnico III",SUMIFS($D:$D,$A:$A,$A4287,$B:$B,"&lt;&gt;Patrícia Karla de Sousa Araújo",$B:$B,"&lt;&gt;Lorena Dias de Araujo",$B:$B,"&lt;&gt;Lucas Luiz Romero")*(35/1083),IF(C4287="Técnico II",SUMIFS($D:$D,$A:$A,$A4287,$B:$B,"&lt;&gt;Patrícia Karla de Sousa Araújo",$B:$B,"&lt;&gt;Lorena Dias de Araujo",$B:$B,"&lt;&gt;Lucas Luiz Romero")*(28/1083),IF(C4287="Técnico I",SUMIFS($D:$D,$A:$A,$A4287,$B:$B,"&lt;&gt;Patrícia Karla de Sousa Araújo",$B:$B,"&lt;&gt;Lorena Dias de Araujo",$B:$B,"&lt;&gt;Lucas Luiz Romero")*(23/1083),IF(C4287="JR",SUMIFS($D:$D,$A:$A,$A4287,$B:$B,"&lt;&gt;Patrícia Karla de Sousa Araújo",$B:$B,"&lt;&gt;Lorena Dias de Araujo",$B:$B,"&lt;&gt;Lucas Luiz Romero")*(20/1083),IF(C4287="Estágio",SUMIFS($D:$D,$A:$A,$A4287,$B:$B,"&lt;&gt;Patrícia Karla de Sousa Araújo",$B:$B,"&lt;&gt;Lorena Dias de Araujo",$B:$B,"&lt;&gt;Lucas Luiz Romero")*(10/1083),0)))))),0)</f>
        <v>13</v>
      </c>
      <c r="K4287" s="3">
        <f>I4287-J4287</f>
        <v>4</v>
      </c>
      <c r="L4287" s="3" t="str">
        <f>IF(K4287&lt;-5,"CRÍTICO",IF(K4287&lt;0,"ATENÇÃO",IF(K4287&lt;=5,"OPORTUNO","MUITO BOM")))</f>
        <v>OPORTUNO</v>
      </c>
      <c r="M4287">
        <v>14</v>
      </c>
      <c r="N4287">
        <v>98.84</v>
      </c>
      <c r="O4287">
        <v>31.868131868131869</v>
      </c>
    </row>
    <row r="4288" spans="1:15" hidden="1" x14ac:dyDescent="0.25">
      <c r="A4288" s="11">
        <v>46136</v>
      </c>
      <c r="B4288" t="s">
        <v>30</v>
      </c>
      <c r="C4288" t="s">
        <v>26</v>
      </c>
      <c r="D4288">
        <v>24</v>
      </c>
      <c r="E4288">
        <v>23</v>
      </c>
      <c r="F4288">
        <v>15.09</v>
      </c>
      <c r="G4288">
        <v>0</v>
      </c>
      <c r="H4288">
        <v>0</v>
      </c>
      <c r="I4288" s="3">
        <f>E4288+G4288+H4288</f>
        <v>23</v>
      </c>
      <c r="J4288" s="3">
        <f>ROUND(MIN(IF(C4288="Técnico III",35,IF(C4288="Técnico II",28,IF(C4288="Técnico I",23,IF(C4288="JR",20,IF(C4288="Estágio",10,0))))),IF(C4288="Técnico III",SUMIFS($D:$D,$A:$A,$A4288,$B:$B,"&lt;&gt;Patrícia Karla de Sousa Araújo",$B:$B,"&lt;&gt;Lorena Dias de Araujo",$B:$B,"&lt;&gt;Lucas Luiz Romero")*(35/1083),IF(C4288="Técnico II",SUMIFS($D:$D,$A:$A,$A4288,$B:$B,"&lt;&gt;Patrícia Karla de Sousa Araújo",$B:$B,"&lt;&gt;Lorena Dias de Araujo",$B:$B,"&lt;&gt;Lucas Luiz Romero")*(28/1083),IF(C4288="Técnico I",SUMIFS($D:$D,$A:$A,$A4288,$B:$B,"&lt;&gt;Patrícia Karla de Sousa Araújo",$B:$B,"&lt;&gt;Lorena Dias de Araujo",$B:$B,"&lt;&gt;Lucas Luiz Romero")*(23/1083),IF(C4288="JR",SUMIFS($D:$D,$A:$A,$A4288,$B:$B,"&lt;&gt;Patrícia Karla de Sousa Araújo",$B:$B,"&lt;&gt;Lorena Dias de Araujo",$B:$B,"&lt;&gt;Lucas Luiz Romero")*(20/1083),IF(C4288="Estágio",SUMIFS($D:$D,$A:$A,$A4288,$B:$B,"&lt;&gt;Patrícia Karla de Sousa Araújo",$B:$B,"&lt;&gt;Lorena Dias de Araujo",$B:$B,"&lt;&gt;Lucas Luiz Romero")*(10/1083),0)))))),0)</f>
        <v>13</v>
      </c>
      <c r="K4288" s="3">
        <f>I4288-J4288</f>
        <v>10</v>
      </c>
      <c r="L4288" s="3" t="str">
        <f>IF(K4288&lt;-5,"CRÍTICO",IF(K4288&lt;0,"ATENÇÃO",IF(K4288&lt;=5,"OPORTUNO","MUITO BOM")))</f>
        <v>MUITO BOM</v>
      </c>
      <c r="M4288">
        <v>18</v>
      </c>
      <c r="N4288">
        <v>100</v>
      </c>
      <c r="O4288">
        <v>34.666666666666671</v>
      </c>
    </row>
    <row r="4289" spans="1:15" hidden="1" x14ac:dyDescent="0.25">
      <c r="A4289" s="11">
        <v>46136</v>
      </c>
      <c r="B4289" t="s">
        <v>21</v>
      </c>
      <c r="C4289" t="s">
        <v>16</v>
      </c>
      <c r="D4289">
        <v>9</v>
      </c>
      <c r="E4289">
        <v>9</v>
      </c>
      <c r="F4289">
        <v>20.05</v>
      </c>
      <c r="G4289">
        <v>0</v>
      </c>
      <c r="H4289">
        <v>0</v>
      </c>
      <c r="I4289" s="3">
        <f>E4289+G4289+H4289</f>
        <v>9</v>
      </c>
      <c r="J4289" s="3">
        <f>ROUND(MIN(IF(C4289="Técnico III",35,IF(C4289="Técnico II",28,IF(C4289="Técnico I",23,IF(C4289="JR",20,IF(C4289="Estágio",10,0))))),IF(C4289="Técnico III",SUMIFS($D:$D,$A:$A,$A4289,$B:$B,"&lt;&gt;Patrícia Karla de Sousa Araújo",$B:$B,"&lt;&gt;Lorena Dias de Araujo",$B:$B,"&lt;&gt;Lucas Luiz Romero")*(35/1083),IF(C4289="Técnico II",SUMIFS($D:$D,$A:$A,$A4289,$B:$B,"&lt;&gt;Patrícia Karla de Sousa Araújo",$B:$B,"&lt;&gt;Lorena Dias de Araujo",$B:$B,"&lt;&gt;Lucas Luiz Romero")*(28/1083),IF(C4289="Técnico I",SUMIFS($D:$D,$A:$A,$A4289,$B:$B,"&lt;&gt;Patrícia Karla de Sousa Araújo",$B:$B,"&lt;&gt;Lorena Dias de Araujo",$B:$B,"&lt;&gt;Lucas Luiz Romero")*(23/1083),IF(C4289="JR",SUMIFS($D:$D,$A:$A,$A4289,$B:$B,"&lt;&gt;Patrícia Karla de Sousa Araújo",$B:$B,"&lt;&gt;Lorena Dias de Araujo",$B:$B,"&lt;&gt;Lucas Luiz Romero")*(20/1083),IF(C4289="Estágio",SUMIFS($D:$D,$A:$A,$A4289,$B:$B,"&lt;&gt;Patrícia Karla de Sousa Araújo",$B:$B,"&lt;&gt;Lorena Dias de Araujo",$B:$B,"&lt;&gt;Lucas Luiz Romero")*(10/1083),0)))))),0)</f>
        <v>6</v>
      </c>
      <c r="K4289" s="3">
        <f>I4289-J4289</f>
        <v>3</v>
      </c>
      <c r="L4289" s="3" t="str">
        <f>IF(K4289&lt;-5,"CRÍTICO",IF(K4289&lt;0,"ATENÇÃO",IF(K4289&lt;=5,"OPORTUNO","MUITO BOM")))</f>
        <v>OPORTUNO</v>
      </c>
      <c r="M4289">
        <v>4</v>
      </c>
      <c r="N4289">
        <v>94.12</v>
      </c>
      <c r="O4289">
        <v>32.799999999999997</v>
      </c>
    </row>
    <row r="4290" spans="1:15" hidden="1" x14ac:dyDescent="0.25">
      <c r="A4290" s="11">
        <v>46136</v>
      </c>
      <c r="B4290" t="s">
        <v>63</v>
      </c>
      <c r="C4290" t="s">
        <v>23</v>
      </c>
      <c r="D4290">
        <v>17</v>
      </c>
      <c r="E4290">
        <v>17</v>
      </c>
      <c r="F4290">
        <v>13.4</v>
      </c>
      <c r="G4290">
        <v>0</v>
      </c>
      <c r="H4290">
        <v>0</v>
      </c>
      <c r="I4290" s="3">
        <f>E4290+G4290+H4290</f>
        <v>17</v>
      </c>
      <c r="J4290" s="3">
        <f>ROUND(MIN(IF(C4290="Técnico III",35,IF(C4290="Técnico II",28,IF(C4290="Técnico I",23,IF(C4290="JR",20,IF(C4290="Estágio",10,0))))),IF(C4290="Técnico III",SUMIFS($D:$D,$A:$A,$A4290,$B:$B,"&lt;&gt;Patrícia Karla de Sousa Araújo",$B:$B,"&lt;&gt;Lorena Dias de Araujo",$B:$B,"&lt;&gt;Lucas Luiz Romero")*(35/1083),IF(C4290="Técnico II",SUMIFS($D:$D,$A:$A,$A4290,$B:$B,"&lt;&gt;Patrícia Karla de Sousa Araújo",$B:$B,"&lt;&gt;Lorena Dias de Araujo",$B:$B,"&lt;&gt;Lucas Luiz Romero")*(28/1083),IF(C4290="Técnico I",SUMIFS($D:$D,$A:$A,$A4290,$B:$B,"&lt;&gt;Patrícia Karla de Sousa Araújo",$B:$B,"&lt;&gt;Lorena Dias de Araujo",$B:$B,"&lt;&gt;Lucas Luiz Romero")*(23/1083),IF(C4290="JR",SUMIFS($D:$D,$A:$A,$A4290,$B:$B,"&lt;&gt;Patrícia Karla de Sousa Araújo",$B:$B,"&lt;&gt;Lorena Dias de Araujo",$B:$B,"&lt;&gt;Lucas Luiz Romero")*(20/1083),IF(C4290="Estágio",SUMIFS($D:$D,$A:$A,$A4290,$B:$B,"&lt;&gt;Patrícia Karla de Sousa Araújo",$B:$B,"&lt;&gt;Lorena Dias de Araujo",$B:$B,"&lt;&gt;Lucas Luiz Romero")*(10/1083),0)))))),0)</f>
        <v>15</v>
      </c>
      <c r="K4290" s="3">
        <f>I4290-J4290</f>
        <v>2</v>
      </c>
      <c r="L4290" s="3" t="str">
        <f>IF(K4290&lt;-5,"CRÍTICO",IF(K4290&lt;0,"ATENÇÃO",IF(K4290&lt;=5,"OPORTUNO","MUITO BOM")))</f>
        <v>OPORTUNO</v>
      </c>
      <c r="M4290">
        <v>12</v>
      </c>
      <c r="N4290">
        <v>98.32</v>
      </c>
      <c r="O4290">
        <v>26.858513189448441</v>
      </c>
    </row>
    <row r="4291" spans="1:15" hidden="1" x14ac:dyDescent="0.25">
      <c r="A4291" s="11">
        <v>46136</v>
      </c>
      <c r="B4291" t="s">
        <v>45</v>
      </c>
      <c r="C4291" t="s">
        <v>32</v>
      </c>
      <c r="D4291">
        <v>28</v>
      </c>
      <c r="E4291">
        <v>25</v>
      </c>
      <c r="F4291">
        <v>12.25</v>
      </c>
      <c r="G4291">
        <v>0</v>
      </c>
      <c r="H4291">
        <v>0</v>
      </c>
      <c r="I4291" s="3">
        <f>E4291+G4291+H4291</f>
        <v>25</v>
      </c>
      <c r="J4291" s="3">
        <f>ROUND(MIN(IF(C4291="Técnico III",35,IF(C4291="Técnico II",28,IF(C4291="Técnico I",23,IF(C4291="JR",20,IF(C4291="Estágio",10,0))))),IF(C4291="Técnico III",SUMIFS($D:$D,$A:$A,$A4291,$B:$B,"&lt;&gt;Patrícia Karla de Sousa Araújo",$B:$B,"&lt;&gt;Lorena Dias de Araujo",$B:$B,"&lt;&gt;Lucas Luiz Romero")*(35/1083),IF(C4291="Técnico II",SUMIFS($D:$D,$A:$A,$A4291,$B:$B,"&lt;&gt;Patrícia Karla de Sousa Araújo",$B:$B,"&lt;&gt;Lorena Dias de Araujo",$B:$B,"&lt;&gt;Lucas Luiz Romero")*(28/1083),IF(C4291="Técnico I",SUMIFS($D:$D,$A:$A,$A4291,$B:$B,"&lt;&gt;Patrícia Karla de Sousa Araújo",$B:$B,"&lt;&gt;Lorena Dias de Araujo",$B:$B,"&lt;&gt;Lucas Luiz Romero")*(23/1083),IF(C4291="JR",SUMIFS($D:$D,$A:$A,$A4291,$B:$B,"&lt;&gt;Patrícia Karla de Sousa Araújo",$B:$B,"&lt;&gt;Lorena Dias de Araujo",$B:$B,"&lt;&gt;Lucas Luiz Romero")*(20/1083),IF(C4291="Estágio",SUMIFS($D:$D,$A:$A,$A4291,$B:$B,"&lt;&gt;Patrícia Karla de Sousa Araújo",$B:$B,"&lt;&gt;Lorena Dias de Araujo",$B:$B,"&lt;&gt;Lucas Luiz Romero")*(10/1083),0)))))),0)</f>
        <v>23</v>
      </c>
      <c r="K4291" s="3">
        <f>I4291-J4291</f>
        <v>2</v>
      </c>
      <c r="L4291" s="3" t="str">
        <f>IF(K4291&lt;-5,"CRÍTICO",IF(K4291&lt;0,"ATENÇÃO",IF(K4291&lt;=5,"OPORTUNO","MUITO BOM")))</f>
        <v>OPORTUNO</v>
      </c>
      <c r="M4291">
        <v>18</v>
      </c>
      <c r="N4291">
        <v>100</v>
      </c>
      <c r="O4291">
        <v>31.135531135531139</v>
      </c>
    </row>
    <row r="4292" spans="1:15" hidden="1" x14ac:dyDescent="0.25">
      <c r="A4292" s="11">
        <v>46136</v>
      </c>
      <c r="B4292" t="s">
        <v>64</v>
      </c>
      <c r="C4292" t="s">
        <v>23</v>
      </c>
      <c r="D4292">
        <v>16</v>
      </c>
      <c r="E4292">
        <v>16</v>
      </c>
      <c r="F4292">
        <v>22.29</v>
      </c>
      <c r="G4292">
        <v>0</v>
      </c>
      <c r="H4292">
        <v>0</v>
      </c>
      <c r="I4292" s="3">
        <f>E4292+G4292+H4292</f>
        <v>16</v>
      </c>
      <c r="J4292" s="3">
        <f>ROUND(MIN(IF(C4292="Técnico III",35,IF(C4292="Técnico II",28,IF(C4292="Técnico I",23,IF(C4292="JR",20,IF(C4292="Estágio",10,0))))),IF(C4292="Técnico III",SUMIFS($D:$D,$A:$A,$A4292,$B:$B,"&lt;&gt;Patrícia Karla de Sousa Araújo",$B:$B,"&lt;&gt;Lorena Dias de Araujo",$B:$B,"&lt;&gt;Lucas Luiz Romero")*(35/1083),IF(C4292="Técnico II",SUMIFS($D:$D,$A:$A,$A4292,$B:$B,"&lt;&gt;Patrícia Karla de Sousa Araújo",$B:$B,"&lt;&gt;Lorena Dias de Araujo",$B:$B,"&lt;&gt;Lucas Luiz Romero")*(28/1083),IF(C4292="Técnico I",SUMIFS($D:$D,$A:$A,$A4292,$B:$B,"&lt;&gt;Patrícia Karla de Sousa Araújo",$B:$B,"&lt;&gt;Lorena Dias de Araujo",$B:$B,"&lt;&gt;Lucas Luiz Romero")*(23/1083),IF(C4292="JR",SUMIFS($D:$D,$A:$A,$A4292,$B:$B,"&lt;&gt;Patrícia Karla de Sousa Araújo",$B:$B,"&lt;&gt;Lorena Dias de Araujo",$B:$B,"&lt;&gt;Lucas Luiz Romero")*(20/1083),IF(C4292="Estágio",SUMIFS($D:$D,$A:$A,$A4292,$B:$B,"&lt;&gt;Patrícia Karla de Sousa Araújo",$B:$B,"&lt;&gt;Lorena Dias de Araujo",$B:$B,"&lt;&gt;Lucas Luiz Romero")*(10/1083),0)))))),0)</f>
        <v>15</v>
      </c>
      <c r="K4292" s="3">
        <f>I4292-J4292</f>
        <v>1</v>
      </c>
      <c r="L4292" s="3" t="str">
        <f>IF(K4292&lt;-5,"CRÍTICO",IF(K4292&lt;0,"ATENÇÃO",IF(K4292&lt;=5,"OPORTUNO","MUITO BOM")))</f>
        <v>OPORTUNO</v>
      </c>
      <c r="M4292">
        <v>13</v>
      </c>
      <c r="N4292">
        <v>100</v>
      </c>
      <c r="O4292">
        <v>26.36986301369863</v>
      </c>
    </row>
    <row r="4293" spans="1:15" hidden="1" x14ac:dyDescent="0.25">
      <c r="A4293" s="11">
        <v>46136</v>
      </c>
      <c r="B4293" t="s">
        <v>46</v>
      </c>
      <c r="C4293" t="s">
        <v>32</v>
      </c>
      <c r="D4293">
        <v>20</v>
      </c>
      <c r="E4293">
        <v>18</v>
      </c>
      <c r="F4293">
        <v>18.34</v>
      </c>
      <c r="G4293">
        <v>0</v>
      </c>
      <c r="H4293">
        <v>0</v>
      </c>
      <c r="I4293" s="3">
        <f>E4293+G4293+H4293</f>
        <v>18</v>
      </c>
      <c r="J4293" s="3">
        <f>ROUND(MIN(IF(C4293="Técnico III",35,IF(C4293="Técnico II",28,IF(C4293="Técnico I",23,IF(C4293="JR",20,IF(C4293="Estágio",10,0))))),IF(C4293="Técnico III",SUMIFS($D:$D,$A:$A,$A4293,$B:$B,"&lt;&gt;Patrícia Karla de Sousa Araújo",$B:$B,"&lt;&gt;Lorena Dias de Araujo",$B:$B,"&lt;&gt;Lucas Luiz Romero")*(35/1083),IF(C4293="Técnico II",SUMIFS($D:$D,$A:$A,$A4293,$B:$B,"&lt;&gt;Patrícia Karla de Sousa Araújo",$B:$B,"&lt;&gt;Lorena Dias de Araujo",$B:$B,"&lt;&gt;Lucas Luiz Romero")*(28/1083),IF(C4293="Técnico I",SUMIFS($D:$D,$A:$A,$A4293,$B:$B,"&lt;&gt;Patrícia Karla de Sousa Araújo",$B:$B,"&lt;&gt;Lorena Dias de Araujo",$B:$B,"&lt;&gt;Lucas Luiz Romero")*(23/1083),IF(C4293="JR",SUMIFS($D:$D,$A:$A,$A4293,$B:$B,"&lt;&gt;Patrícia Karla de Sousa Araújo",$B:$B,"&lt;&gt;Lorena Dias de Araujo",$B:$B,"&lt;&gt;Lucas Luiz Romero")*(20/1083),IF(C4293="Estágio",SUMIFS($D:$D,$A:$A,$A4293,$B:$B,"&lt;&gt;Patrícia Karla de Sousa Araújo",$B:$B,"&lt;&gt;Lorena Dias de Araujo",$B:$B,"&lt;&gt;Lucas Luiz Romero")*(10/1083),0)))))),0)</f>
        <v>23</v>
      </c>
      <c r="K4293" s="3">
        <f>I4293-J4293</f>
        <v>-5</v>
      </c>
      <c r="L4293" s="3" t="str">
        <f>IF(K4293&lt;-5,"CRÍTICO",IF(K4293&lt;0,"ATENÇÃO",IF(K4293&lt;=5,"OPORTUNO","MUITO BOM")))</f>
        <v>ATENÇÃO</v>
      </c>
      <c r="M4293">
        <v>11</v>
      </c>
      <c r="N4293">
        <v>99.21</v>
      </c>
      <c r="O4293">
        <v>25.188916876574311</v>
      </c>
    </row>
    <row r="4294" spans="1:15" hidden="1" x14ac:dyDescent="0.25">
      <c r="A4294" s="11">
        <v>46139</v>
      </c>
      <c r="B4294" t="s">
        <v>47</v>
      </c>
      <c r="C4294" t="s">
        <v>48</v>
      </c>
      <c r="D4294">
        <v>13</v>
      </c>
      <c r="E4294">
        <v>11</v>
      </c>
      <c r="F4294">
        <v>18.329999999999998</v>
      </c>
      <c r="G4294">
        <v>0</v>
      </c>
      <c r="H4294">
        <v>0</v>
      </c>
      <c r="I4294" s="3">
        <f>E4294+G4294+H4294</f>
        <v>11</v>
      </c>
      <c r="J4294" s="3">
        <f>ROUND(MIN(IF(C4294="Técnico III",35,IF(C4294="Técnico II",28,IF(C4294="Técnico I",23,IF(C4294="JR",20,IF(C4294="Estágio",10,0))))),IF(C4294="Técnico III",SUMIFS($D:$D,$A:$A,$A4294,$B:$B,"&lt;&gt;Patrícia Karla de Sousa Araújo",$B:$B,"&lt;&gt;Lorena Dias de Araujo",$B:$B,"&lt;&gt;Lucas Luiz Romero")*(35/1083),IF(C4294="Técnico II",SUMIFS($D:$D,$A:$A,$A4294,$B:$B,"&lt;&gt;Patrícia Karla de Sousa Araújo",$B:$B,"&lt;&gt;Lorena Dias de Araujo",$B:$B,"&lt;&gt;Lucas Luiz Romero")*(28/1083),IF(C4294="Técnico I",SUMIFS($D:$D,$A:$A,$A4294,$B:$B,"&lt;&gt;Patrícia Karla de Sousa Araújo",$B:$B,"&lt;&gt;Lorena Dias de Araujo",$B:$B,"&lt;&gt;Lucas Luiz Romero")*(23/1083),IF(C4294="JR",SUMIFS($D:$D,$A:$A,$A4294,$B:$B,"&lt;&gt;Patrícia Karla de Sousa Araújo",$B:$B,"&lt;&gt;Lorena Dias de Araujo",$B:$B,"&lt;&gt;Lucas Luiz Romero")*(20/1083),IF(C4294="Estágio",SUMIFS($D:$D,$A:$A,$A4294,$B:$B,"&lt;&gt;Patrícia Karla de Sousa Araújo",$B:$B,"&lt;&gt;Lorena Dias de Araujo",$B:$B,"&lt;&gt;Lucas Luiz Romero")*(10/1083),0)))))),0)</f>
        <v>12</v>
      </c>
      <c r="K4294" s="3">
        <f>I4294-J4294</f>
        <v>-1</v>
      </c>
      <c r="L4294" s="3" t="str">
        <f>IF(K4294&lt;-5,"CRÍTICO",IF(K4294&lt;0,"ATENÇÃO",IF(K4294&lt;=5,"OPORTUNO","MUITO BOM")))</f>
        <v>ATENÇÃO</v>
      </c>
      <c r="M4294">
        <v>9</v>
      </c>
      <c r="N4294">
        <v>100</v>
      </c>
      <c r="O4294">
        <v>32.764505119453922</v>
      </c>
    </row>
    <row r="4295" spans="1:15" hidden="1" x14ac:dyDescent="0.25">
      <c r="A4295" s="11">
        <v>46139</v>
      </c>
      <c r="B4295" t="s">
        <v>31</v>
      </c>
      <c r="C4295" t="s">
        <v>32</v>
      </c>
      <c r="D4295">
        <v>0</v>
      </c>
      <c r="E4295">
        <v>0</v>
      </c>
      <c r="F4295">
        <v>0</v>
      </c>
      <c r="G4295">
        <v>0</v>
      </c>
      <c r="H4295">
        <v>0</v>
      </c>
      <c r="I4295" s="3">
        <v>0</v>
      </c>
      <c r="J4295" s="3">
        <v>0</v>
      </c>
      <c r="K4295" s="3">
        <v>0</v>
      </c>
      <c r="L4295" s="3" t="str">
        <f>IF(K4295&lt;-5,"CRÍTICO",IF(K4295&lt;0,"ATENÇÃO",IF(K4295&lt;=5,"OPORTUNO","MUITO BOM")))</f>
        <v>OPORTUNO</v>
      </c>
      <c r="M4295">
        <v>15</v>
      </c>
      <c r="N4295">
        <v>98.66</v>
      </c>
      <c r="O4295">
        <v>35.416666666666671</v>
      </c>
    </row>
    <row r="4296" spans="1:15" hidden="1" x14ac:dyDescent="0.25">
      <c r="A4296" s="11">
        <v>46139</v>
      </c>
      <c r="B4296" t="s">
        <v>59</v>
      </c>
      <c r="C4296" t="s">
        <v>23</v>
      </c>
      <c r="D4296">
        <v>11</v>
      </c>
      <c r="E4296">
        <v>9</v>
      </c>
      <c r="F4296">
        <v>17.3</v>
      </c>
      <c r="G4296">
        <v>0</v>
      </c>
      <c r="H4296">
        <v>0</v>
      </c>
      <c r="I4296" s="3">
        <f>E4296+G4296+H4296</f>
        <v>9</v>
      </c>
      <c r="J4296" s="3">
        <f>ROUND(MIN(IF(C4296="Técnico III",35,IF(C4296="Técnico II",28,IF(C4296="Técnico I",23,IF(C4296="JR",20,IF(C4296="Estágio",10,0))))),IF(C4296="Técnico III",SUMIFS($D:$D,$A:$A,$A4296,$B:$B,"&lt;&gt;Patrícia Karla de Sousa Araújo",$B:$B,"&lt;&gt;Lorena Dias de Araujo",$B:$B,"&lt;&gt;Lucas Luiz Romero")*(35/1083),IF(C4296="Técnico II",SUMIFS($D:$D,$A:$A,$A4296,$B:$B,"&lt;&gt;Patrícia Karla de Sousa Araújo",$B:$B,"&lt;&gt;Lorena Dias de Araujo",$B:$B,"&lt;&gt;Lucas Luiz Romero")*(28/1083),IF(C4296="Técnico I",SUMIFS($D:$D,$A:$A,$A4296,$B:$B,"&lt;&gt;Patrícia Karla de Sousa Araújo",$B:$B,"&lt;&gt;Lorena Dias de Araujo",$B:$B,"&lt;&gt;Lucas Luiz Romero")*(23/1083),IF(C4296="JR",SUMIFS($D:$D,$A:$A,$A4296,$B:$B,"&lt;&gt;Patrícia Karla de Sousa Araújo",$B:$B,"&lt;&gt;Lorena Dias de Araujo",$B:$B,"&lt;&gt;Lucas Luiz Romero")*(20/1083),IF(C4296="Estágio",SUMIFS($D:$D,$A:$A,$A4296,$B:$B,"&lt;&gt;Patrícia Karla de Sousa Araújo",$B:$B,"&lt;&gt;Lorena Dias de Araujo",$B:$B,"&lt;&gt;Lucas Luiz Romero")*(10/1083),0)))))),0)</f>
        <v>9</v>
      </c>
      <c r="K4296" s="3">
        <f>I4296-J4296</f>
        <v>0</v>
      </c>
      <c r="L4296" s="3" t="str">
        <f>IF(K4296&lt;-5,"CRÍTICO",IF(K4296&lt;0,"ATENÇÃO",IF(K4296&lt;=5,"OPORTUNO","MUITO BOM")))</f>
        <v>OPORTUNO</v>
      </c>
      <c r="M4296">
        <v>12</v>
      </c>
      <c r="N4296">
        <v>99.32</v>
      </c>
      <c r="O4296">
        <v>30.648330058939099</v>
      </c>
    </row>
    <row r="4297" spans="1:15" hidden="1" x14ac:dyDescent="0.25">
      <c r="A4297" s="11">
        <v>46139</v>
      </c>
      <c r="B4297" t="s">
        <v>33</v>
      </c>
      <c r="C4297" t="s">
        <v>32</v>
      </c>
      <c r="D4297">
        <v>12</v>
      </c>
      <c r="E4297">
        <v>10</v>
      </c>
      <c r="F4297">
        <v>13.31</v>
      </c>
      <c r="G4297">
        <v>0</v>
      </c>
      <c r="H4297">
        <v>0</v>
      </c>
      <c r="I4297" s="3">
        <f>E4297+G4297+H4297</f>
        <v>10</v>
      </c>
      <c r="J4297" s="3">
        <f>ROUND(MIN(IF(C4297="Técnico III",35,IF(C4297="Técnico II",28,IF(C4297="Técnico I",23,IF(C4297="JR",20,IF(C4297="Estágio",10,0))))),IF(C4297="Técnico III",SUMIFS($D:$D,$A:$A,$A4297,$B:$B,"&lt;&gt;Patrícia Karla de Sousa Araújo",$B:$B,"&lt;&gt;Lorena Dias de Araujo",$B:$B,"&lt;&gt;Lucas Luiz Romero")*(35/1083),IF(C4297="Técnico II",SUMIFS($D:$D,$A:$A,$A4297,$B:$B,"&lt;&gt;Patrícia Karla de Sousa Araújo",$B:$B,"&lt;&gt;Lorena Dias de Araujo",$B:$B,"&lt;&gt;Lucas Luiz Romero")*(28/1083),IF(C4297="Técnico I",SUMIFS($D:$D,$A:$A,$A4297,$B:$B,"&lt;&gt;Patrícia Karla de Sousa Araújo",$B:$B,"&lt;&gt;Lorena Dias de Araujo",$B:$B,"&lt;&gt;Lucas Luiz Romero")*(23/1083),IF(C4297="JR",SUMIFS($D:$D,$A:$A,$A4297,$B:$B,"&lt;&gt;Patrícia Karla de Sousa Araújo",$B:$B,"&lt;&gt;Lorena Dias de Araujo",$B:$B,"&lt;&gt;Lucas Luiz Romero")*(20/1083),IF(C4297="Estágio",SUMIFS($D:$D,$A:$A,$A4297,$B:$B,"&lt;&gt;Patrícia Karla de Sousa Araújo",$B:$B,"&lt;&gt;Lorena Dias de Araujo",$B:$B,"&lt;&gt;Lucas Luiz Romero")*(10/1083),0)))))),0)</f>
        <v>14</v>
      </c>
      <c r="K4297" s="3">
        <f>I4297-J4297</f>
        <v>-4</v>
      </c>
      <c r="L4297" s="3" t="str">
        <f>IF(K4297&lt;-5,"CRÍTICO",IF(K4297&lt;0,"ATENÇÃO",IF(K4297&lt;=5,"OPORTUNO","MUITO BOM")))</f>
        <v>ATENÇÃO</v>
      </c>
      <c r="M4297">
        <v>10</v>
      </c>
      <c r="N4297">
        <v>100</v>
      </c>
      <c r="O4297">
        <v>27.803738317757009</v>
      </c>
    </row>
    <row r="4298" spans="1:15" hidden="1" x14ac:dyDescent="0.25">
      <c r="A4298" s="11">
        <v>46139</v>
      </c>
      <c r="B4298" t="s">
        <v>15</v>
      </c>
      <c r="C4298" t="s">
        <v>16</v>
      </c>
      <c r="D4298">
        <v>14</v>
      </c>
      <c r="E4298">
        <v>14</v>
      </c>
      <c r="F4298">
        <v>14.02</v>
      </c>
      <c r="G4298">
        <v>0</v>
      </c>
      <c r="H4298">
        <v>0</v>
      </c>
      <c r="I4298" s="3">
        <f>E4298+G4298+H4298</f>
        <v>14</v>
      </c>
      <c r="J4298" s="3">
        <f>ROUND(MIN(IF(C4298="Técnico III",35,IF(C4298="Técnico II",28,IF(C4298="Técnico I",23,IF(C4298="JR",20,IF(C4298="Estágio",10,0))))),IF(C4298="Técnico III",SUMIFS($D:$D,$A:$A,$A4298,$B:$B,"&lt;&gt;Patrícia Karla de Sousa Araújo",$B:$B,"&lt;&gt;Lorena Dias de Araujo",$B:$B,"&lt;&gt;Lucas Luiz Romero")*(35/1083),IF(C4298="Técnico II",SUMIFS($D:$D,$A:$A,$A4298,$B:$B,"&lt;&gt;Patrícia Karla de Sousa Araújo",$B:$B,"&lt;&gt;Lorena Dias de Araujo",$B:$B,"&lt;&gt;Lucas Luiz Romero")*(28/1083),IF(C4298="Técnico I",SUMIFS($D:$D,$A:$A,$A4298,$B:$B,"&lt;&gt;Patrícia Karla de Sousa Araújo",$B:$B,"&lt;&gt;Lorena Dias de Araujo",$B:$B,"&lt;&gt;Lucas Luiz Romero")*(23/1083),IF(C4298="JR",SUMIFS($D:$D,$A:$A,$A4298,$B:$B,"&lt;&gt;Patrícia Karla de Sousa Araújo",$B:$B,"&lt;&gt;Lorena Dias de Araujo",$B:$B,"&lt;&gt;Lucas Luiz Romero")*(20/1083),IF(C4298="Estágio",SUMIFS($D:$D,$A:$A,$A4298,$B:$B,"&lt;&gt;Patrícia Karla de Sousa Araújo",$B:$B,"&lt;&gt;Lorena Dias de Araujo",$B:$B,"&lt;&gt;Lucas Luiz Romero")*(10/1083),0)))))),0)</f>
        <v>4</v>
      </c>
      <c r="K4298" s="3">
        <f>I4298-J4298</f>
        <v>10</v>
      </c>
      <c r="L4298" s="3" t="str">
        <f>IF(K4298&lt;-5,"CRÍTICO",IF(K4298&lt;0,"ATENÇÃO",IF(K4298&lt;=5,"OPORTUNO","MUITO BOM")))</f>
        <v>MUITO BOM</v>
      </c>
      <c r="M4298">
        <v>14</v>
      </c>
      <c r="N4298">
        <v>96.74</v>
      </c>
      <c r="O4298">
        <v>28.67647058823529</v>
      </c>
    </row>
    <row r="4299" spans="1:15" hidden="1" x14ac:dyDescent="0.25">
      <c r="A4299" s="11">
        <v>46139</v>
      </c>
      <c r="B4299" t="s">
        <v>49</v>
      </c>
      <c r="C4299" t="s">
        <v>48</v>
      </c>
      <c r="D4299">
        <v>14</v>
      </c>
      <c r="E4299">
        <v>13</v>
      </c>
      <c r="F4299">
        <v>15.11</v>
      </c>
      <c r="G4299">
        <v>0</v>
      </c>
      <c r="H4299">
        <v>0</v>
      </c>
      <c r="I4299" s="3">
        <f>E4299+G4299+H4299</f>
        <v>13</v>
      </c>
      <c r="J4299" s="3">
        <f>ROUND(MIN(IF(C4299="Técnico III",35,IF(C4299="Técnico II",28,IF(C4299="Técnico I",23,IF(C4299="JR",20,IF(C4299="Estágio",10,0))))),IF(C4299="Técnico III",SUMIFS($D:$D,$A:$A,$A4299,$B:$B,"&lt;&gt;Patrícia Karla de Sousa Araújo",$B:$B,"&lt;&gt;Lorena Dias de Araujo",$B:$B,"&lt;&gt;Lucas Luiz Romero")*(35/1083),IF(C4299="Técnico II",SUMIFS($D:$D,$A:$A,$A4299,$B:$B,"&lt;&gt;Patrícia Karla de Sousa Araújo",$B:$B,"&lt;&gt;Lorena Dias de Araujo",$B:$B,"&lt;&gt;Lucas Luiz Romero")*(28/1083),IF(C4299="Técnico I",SUMIFS($D:$D,$A:$A,$A4299,$B:$B,"&lt;&gt;Patrícia Karla de Sousa Araújo",$B:$B,"&lt;&gt;Lorena Dias de Araujo",$B:$B,"&lt;&gt;Lucas Luiz Romero")*(23/1083),IF(C4299="JR",SUMIFS($D:$D,$A:$A,$A4299,$B:$B,"&lt;&gt;Patrícia Karla de Sousa Araújo",$B:$B,"&lt;&gt;Lorena Dias de Araujo",$B:$B,"&lt;&gt;Lucas Luiz Romero")*(20/1083),IF(C4299="Estágio",SUMIFS($D:$D,$A:$A,$A4299,$B:$B,"&lt;&gt;Patrícia Karla de Sousa Araújo",$B:$B,"&lt;&gt;Lorena Dias de Araujo",$B:$B,"&lt;&gt;Lucas Luiz Romero")*(10/1083),0)))))),0)</f>
        <v>12</v>
      </c>
      <c r="K4299" s="3">
        <f>I4299-J4299</f>
        <v>1</v>
      </c>
      <c r="L4299" s="3" t="str">
        <f>IF(K4299&lt;-5,"CRÍTICO",IF(K4299&lt;0,"ATENÇÃO",IF(K4299&lt;=5,"OPORTUNO","MUITO BOM")))</f>
        <v>OPORTUNO</v>
      </c>
      <c r="M4299">
        <v>11</v>
      </c>
      <c r="N4299">
        <v>98.82</v>
      </c>
      <c r="O4299">
        <v>30.741410488245929</v>
      </c>
    </row>
    <row r="4300" spans="1:15" hidden="1" x14ac:dyDescent="0.25">
      <c r="A4300" s="11">
        <v>46139</v>
      </c>
      <c r="B4300" t="s">
        <v>50</v>
      </c>
      <c r="C4300" t="s">
        <v>48</v>
      </c>
      <c r="D4300">
        <v>12</v>
      </c>
      <c r="E4300">
        <v>12</v>
      </c>
      <c r="F4300">
        <v>24.05</v>
      </c>
      <c r="G4300">
        <v>0</v>
      </c>
      <c r="H4300">
        <v>0</v>
      </c>
      <c r="I4300" s="3">
        <f>E4300+G4300+H4300</f>
        <v>12</v>
      </c>
      <c r="J4300" s="3">
        <f>ROUND(MIN(IF(C4300="Técnico III",35,IF(C4300="Técnico II",28,IF(C4300="Técnico I",23,IF(C4300="JR",20,IF(C4300="Estágio",10,0))))),IF(C4300="Técnico III",SUMIFS($D:$D,$A:$A,$A4300,$B:$B,"&lt;&gt;Patrícia Karla de Sousa Araújo",$B:$B,"&lt;&gt;Lorena Dias de Araujo",$B:$B,"&lt;&gt;Lucas Luiz Romero")*(35/1083),IF(C4300="Técnico II",SUMIFS($D:$D,$A:$A,$A4300,$B:$B,"&lt;&gt;Patrícia Karla de Sousa Araújo",$B:$B,"&lt;&gt;Lorena Dias de Araujo",$B:$B,"&lt;&gt;Lucas Luiz Romero")*(28/1083),IF(C4300="Técnico I",SUMIFS($D:$D,$A:$A,$A4300,$B:$B,"&lt;&gt;Patrícia Karla de Sousa Araújo",$B:$B,"&lt;&gt;Lorena Dias de Araujo",$B:$B,"&lt;&gt;Lucas Luiz Romero")*(23/1083),IF(C4300="JR",SUMIFS($D:$D,$A:$A,$A4300,$B:$B,"&lt;&gt;Patrícia Karla de Sousa Araújo",$B:$B,"&lt;&gt;Lorena Dias de Araujo",$B:$B,"&lt;&gt;Lucas Luiz Romero")*(20/1083),IF(C4300="Estágio",SUMIFS($D:$D,$A:$A,$A4300,$B:$B,"&lt;&gt;Patrícia Karla de Sousa Araújo",$B:$B,"&lt;&gt;Lorena Dias de Araujo",$B:$B,"&lt;&gt;Lucas Luiz Romero")*(10/1083),0)))))),0)</f>
        <v>12</v>
      </c>
      <c r="K4300" s="3">
        <f>I4300-J4300</f>
        <v>0</v>
      </c>
      <c r="L4300" s="3" t="str">
        <f>IF(K4300&lt;-5,"CRÍTICO",IF(K4300&lt;0,"ATENÇÃO",IF(K4300&lt;=5,"OPORTUNO","MUITO BOM")))</f>
        <v>OPORTUNO</v>
      </c>
      <c r="M4300">
        <v>11</v>
      </c>
      <c r="N4300">
        <v>98.2</v>
      </c>
      <c r="O4300">
        <v>27.170868347338931</v>
      </c>
    </row>
    <row r="4301" spans="1:15" hidden="1" x14ac:dyDescent="0.25">
      <c r="A4301" s="11">
        <v>46139</v>
      </c>
      <c r="B4301" t="s">
        <v>17</v>
      </c>
      <c r="C4301" t="s">
        <v>16</v>
      </c>
      <c r="D4301">
        <v>8</v>
      </c>
      <c r="E4301">
        <v>8</v>
      </c>
      <c r="F4301">
        <v>22.16</v>
      </c>
      <c r="G4301">
        <v>0</v>
      </c>
      <c r="H4301">
        <v>0</v>
      </c>
      <c r="I4301" s="3">
        <f>E4301+G4301+H4301</f>
        <v>8</v>
      </c>
      <c r="J4301" s="3">
        <f>ROUND(MIN(IF(C4301="Técnico III",35,IF(C4301="Técnico II",28,IF(C4301="Técnico I",23,IF(C4301="JR",20,IF(C4301="Estágio",10,0))))),IF(C4301="Técnico III",SUMIFS($D:$D,$A:$A,$A4301,$B:$B,"&lt;&gt;Patrícia Karla de Sousa Araújo",$B:$B,"&lt;&gt;Lorena Dias de Araujo",$B:$B,"&lt;&gt;Lucas Luiz Romero")*(35/1083),IF(C4301="Técnico II",SUMIFS($D:$D,$A:$A,$A4301,$B:$B,"&lt;&gt;Patrícia Karla de Sousa Araújo",$B:$B,"&lt;&gt;Lorena Dias de Araujo",$B:$B,"&lt;&gt;Lucas Luiz Romero")*(28/1083),IF(C4301="Técnico I",SUMIFS($D:$D,$A:$A,$A4301,$B:$B,"&lt;&gt;Patrícia Karla de Sousa Araújo",$B:$B,"&lt;&gt;Lorena Dias de Araujo",$B:$B,"&lt;&gt;Lucas Luiz Romero")*(23/1083),IF(C4301="JR",SUMIFS($D:$D,$A:$A,$A4301,$B:$B,"&lt;&gt;Patrícia Karla de Sousa Araújo",$B:$B,"&lt;&gt;Lorena Dias de Araujo",$B:$B,"&lt;&gt;Lucas Luiz Romero")*(20/1083),IF(C4301="Estágio",SUMIFS($D:$D,$A:$A,$A4301,$B:$B,"&lt;&gt;Patrícia Karla de Sousa Araújo",$B:$B,"&lt;&gt;Lorena Dias de Araujo",$B:$B,"&lt;&gt;Lucas Luiz Romero")*(10/1083),0)))))),0)</f>
        <v>4</v>
      </c>
      <c r="K4301" s="3">
        <f>I4301-J4301</f>
        <v>4</v>
      </c>
      <c r="L4301" s="3" t="str">
        <f>IF(K4301&lt;-5,"CRÍTICO",IF(K4301&lt;0,"ATENÇÃO",IF(K4301&lt;=5,"OPORTUNO","MUITO BOM")))</f>
        <v>OPORTUNO</v>
      </c>
      <c r="M4301">
        <v>7</v>
      </c>
      <c r="N4301">
        <v>100</v>
      </c>
      <c r="O4301">
        <v>23.134328358208951</v>
      </c>
    </row>
    <row r="4302" spans="1:15" hidden="1" x14ac:dyDescent="0.25">
      <c r="A4302" s="11">
        <v>46139</v>
      </c>
      <c r="B4302" t="s">
        <v>60</v>
      </c>
      <c r="C4302" t="s">
        <v>23</v>
      </c>
      <c r="D4302">
        <v>3</v>
      </c>
      <c r="E4302">
        <v>3</v>
      </c>
      <c r="F4302">
        <v>10.119999999999999</v>
      </c>
      <c r="G4302">
        <v>0</v>
      </c>
      <c r="H4302">
        <v>0</v>
      </c>
      <c r="I4302" s="3">
        <f>E4302+G4302+H4302</f>
        <v>3</v>
      </c>
      <c r="J4302" s="3">
        <f>ROUND(MIN(IF(C4302="Técnico III",35,IF(C4302="Técnico II",28,IF(C4302="Técnico I",23,IF(C4302="JR",20,IF(C4302="Estágio",10,0))))),IF(C4302="Técnico III",SUMIFS($D:$D,$A:$A,$A4302,$B:$B,"&lt;&gt;Patrícia Karla de Sousa Araújo",$B:$B,"&lt;&gt;Lorena Dias de Araujo",$B:$B,"&lt;&gt;Lucas Luiz Romero")*(35/1083),IF(C4302="Técnico II",SUMIFS($D:$D,$A:$A,$A4302,$B:$B,"&lt;&gt;Patrícia Karla de Sousa Araújo",$B:$B,"&lt;&gt;Lorena Dias de Araujo",$B:$B,"&lt;&gt;Lucas Luiz Romero")*(28/1083),IF(C4302="Técnico I",SUMIFS($D:$D,$A:$A,$A4302,$B:$B,"&lt;&gt;Patrícia Karla de Sousa Araújo",$B:$B,"&lt;&gt;Lorena Dias de Araujo",$B:$B,"&lt;&gt;Lucas Luiz Romero")*(23/1083),IF(C4302="JR",SUMIFS($D:$D,$A:$A,$A4302,$B:$B,"&lt;&gt;Patrícia Karla de Sousa Araújo",$B:$B,"&lt;&gt;Lorena Dias de Araujo",$B:$B,"&lt;&gt;Lucas Luiz Romero")*(20/1083),IF(C4302="Estágio",SUMIFS($D:$D,$A:$A,$A4302,$B:$B,"&lt;&gt;Patrícia Karla de Sousa Araújo",$B:$B,"&lt;&gt;Lorena Dias de Araujo",$B:$B,"&lt;&gt;Lucas Luiz Romero")*(10/1083),0)))))),0)</f>
        <v>9</v>
      </c>
      <c r="K4302" s="3">
        <f>I4302-J4302</f>
        <v>-6</v>
      </c>
      <c r="L4302" s="3" t="str">
        <f>IF(K4302&lt;-5,"CRÍTICO",IF(K4302&lt;0,"ATENÇÃO",IF(K4302&lt;=5,"OPORTUNO","MUITO BOM")))</f>
        <v>CRÍTICO</v>
      </c>
      <c r="M4302">
        <v>4</v>
      </c>
      <c r="N4302">
        <v>96.3</v>
      </c>
      <c r="O4302">
        <v>32.219570405727922</v>
      </c>
    </row>
    <row r="4303" spans="1:15" hidden="1" x14ac:dyDescent="0.25">
      <c r="A4303" s="11">
        <v>46139</v>
      </c>
      <c r="B4303" t="s">
        <v>34</v>
      </c>
      <c r="C4303" t="s">
        <v>32</v>
      </c>
      <c r="D4303">
        <v>15</v>
      </c>
      <c r="E4303">
        <v>14</v>
      </c>
      <c r="F4303">
        <v>10.5</v>
      </c>
      <c r="G4303">
        <v>0</v>
      </c>
      <c r="H4303">
        <v>0</v>
      </c>
      <c r="I4303" s="3">
        <f>E4303+G4303+H4303</f>
        <v>14</v>
      </c>
      <c r="J4303" s="3">
        <f>ROUND(MIN(IF(C4303="Técnico III",35,IF(C4303="Técnico II",28,IF(C4303="Técnico I",23,IF(C4303="JR",20,IF(C4303="Estágio",10,0))))),IF(C4303="Técnico III",SUMIFS($D:$D,$A:$A,$A4303,$B:$B,"&lt;&gt;Patrícia Karla de Sousa Araújo",$B:$B,"&lt;&gt;Lorena Dias de Araujo",$B:$B,"&lt;&gt;Lucas Luiz Romero")*(35/1083),IF(C4303="Técnico II",SUMIFS($D:$D,$A:$A,$A4303,$B:$B,"&lt;&gt;Patrícia Karla de Sousa Araújo",$B:$B,"&lt;&gt;Lorena Dias de Araujo",$B:$B,"&lt;&gt;Lucas Luiz Romero")*(28/1083),IF(C4303="Técnico I",SUMIFS($D:$D,$A:$A,$A4303,$B:$B,"&lt;&gt;Patrícia Karla de Sousa Araújo",$B:$B,"&lt;&gt;Lorena Dias de Araujo",$B:$B,"&lt;&gt;Lucas Luiz Romero")*(23/1083),IF(C4303="JR",SUMIFS($D:$D,$A:$A,$A4303,$B:$B,"&lt;&gt;Patrícia Karla de Sousa Araújo",$B:$B,"&lt;&gt;Lorena Dias de Araujo",$B:$B,"&lt;&gt;Lucas Luiz Romero")*(20/1083),IF(C4303="Estágio",SUMIFS($D:$D,$A:$A,$A4303,$B:$B,"&lt;&gt;Patrícia Karla de Sousa Araújo",$B:$B,"&lt;&gt;Lorena Dias de Araujo",$B:$B,"&lt;&gt;Lucas Luiz Romero")*(10/1083),0)))))),0)</f>
        <v>14</v>
      </c>
      <c r="K4303" s="3">
        <f>I4303-J4303</f>
        <v>0</v>
      </c>
      <c r="L4303" s="3" t="str">
        <f>IF(K4303&lt;-5,"CRÍTICO",IF(K4303&lt;0,"ATENÇÃO",IF(K4303&lt;=5,"OPORTUNO","MUITO BOM")))</f>
        <v>OPORTUNO</v>
      </c>
      <c r="M4303">
        <v>13</v>
      </c>
      <c r="N4303">
        <v>93.75</v>
      </c>
      <c r="O4303">
        <v>26.819923371647509</v>
      </c>
    </row>
    <row r="4304" spans="1:15" hidden="1" x14ac:dyDescent="0.25">
      <c r="A4304" s="11">
        <v>46139</v>
      </c>
      <c r="B4304" t="s">
        <v>51</v>
      </c>
      <c r="C4304" t="s">
        <v>48</v>
      </c>
      <c r="D4304">
        <v>15</v>
      </c>
      <c r="E4304">
        <v>13</v>
      </c>
      <c r="F4304">
        <v>12.32</v>
      </c>
      <c r="G4304">
        <v>0</v>
      </c>
      <c r="H4304">
        <v>0</v>
      </c>
      <c r="I4304" s="3">
        <v>0</v>
      </c>
      <c r="J4304" s="3">
        <v>0</v>
      </c>
      <c r="K4304" s="3">
        <v>0</v>
      </c>
      <c r="L4304" s="3" t="str">
        <f>IF(K4304&lt;-5,"CRÍTICO",IF(K4304&lt;0,"ATENÇÃO",IF(K4304&lt;=5,"OPORTUNO","MUITO BOM")))</f>
        <v>OPORTUNO</v>
      </c>
      <c r="M4304">
        <v>10</v>
      </c>
      <c r="N4304">
        <v>97.86</v>
      </c>
      <c r="O4304">
        <v>31.018518518518519</v>
      </c>
    </row>
    <row r="4305" spans="1:15" hidden="1" x14ac:dyDescent="0.25">
      <c r="A4305" s="11">
        <v>46139</v>
      </c>
      <c r="B4305" t="s">
        <v>61</v>
      </c>
      <c r="C4305" t="s">
        <v>23</v>
      </c>
      <c r="D4305">
        <v>12</v>
      </c>
      <c r="E4305">
        <v>12</v>
      </c>
      <c r="F4305">
        <v>18.5</v>
      </c>
      <c r="G4305">
        <v>0</v>
      </c>
      <c r="H4305">
        <v>0</v>
      </c>
      <c r="I4305" s="3">
        <f>E4305+G4305+H4305</f>
        <v>12</v>
      </c>
      <c r="J4305" s="3">
        <f>ROUND(MIN(IF(C4305="Técnico III",35,IF(C4305="Técnico II",28,IF(C4305="Técnico I",23,IF(C4305="JR",20,IF(C4305="Estágio",10,0))))),IF(C4305="Técnico III",SUMIFS($D:$D,$A:$A,$A4305,$B:$B,"&lt;&gt;Patrícia Karla de Sousa Araújo",$B:$B,"&lt;&gt;Lorena Dias de Araujo",$B:$B,"&lt;&gt;Lucas Luiz Romero")*(35/1083),IF(C4305="Técnico II",SUMIFS($D:$D,$A:$A,$A4305,$B:$B,"&lt;&gt;Patrícia Karla de Sousa Araújo",$B:$B,"&lt;&gt;Lorena Dias de Araujo",$B:$B,"&lt;&gt;Lucas Luiz Romero")*(28/1083),IF(C4305="Técnico I",SUMIFS($D:$D,$A:$A,$A4305,$B:$B,"&lt;&gt;Patrícia Karla de Sousa Araújo",$B:$B,"&lt;&gt;Lorena Dias de Araujo",$B:$B,"&lt;&gt;Lucas Luiz Romero")*(23/1083),IF(C4305="JR",SUMIFS($D:$D,$A:$A,$A4305,$B:$B,"&lt;&gt;Patrícia Karla de Sousa Araújo",$B:$B,"&lt;&gt;Lorena Dias de Araujo",$B:$B,"&lt;&gt;Lucas Luiz Romero")*(20/1083),IF(C4305="Estágio",SUMIFS($D:$D,$A:$A,$A4305,$B:$B,"&lt;&gt;Patrícia Karla de Sousa Araújo",$B:$B,"&lt;&gt;Lorena Dias de Araujo",$B:$B,"&lt;&gt;Lucas Luiz Romero")*(10/1083),0)))))),0)</f>
        <v>9</v>
      </c>
      <c r="K4305" s="3">
        <f>I4305-J4305</f>
        <v>3</v>
      </c>
      <c r="L4305" s="3" t="str">
        <f>IF(K4305&lt;-5,"CRÍTICO",IF(K4305&lt;0,"ATENÇÃO",IF(K4305&lt;=5,"OPORTUNO","MUITO BOM")))</f>
        <v>OPORTUNO</v>
      </c>
      <c r="M4305">
        <v>8</v>
      </c>
      <c r="N4305">
        <v>100</v>
      </c>
      <c r="O4305">
        <v>36.594202898550733</v>
      </c>
    </row>
    <row r="4306" spans="1:15" hidden="1" x14ac:dyDescent="0.25">
      <c r="A4306" s="11">
        <v>46139</v>
      </c>
      <c r="B4306" t="s">
        <v>35</v>
      </c>
      <c r="C4306" t="s">
        <v>32</v>
      </c>
      <c r="D4306">
        <v>13</v>
      </c>
      <c r="E4306">
        <v>13</v>
      </c>
      <c r="F4306">
        <v>21.51</v>
      </c>
      <c r="G4306">
        <v>0</v>
      </c>
      <c r="H4306">
        <v>0</v>
      </c>
      <c r="I4306" s="3">
        <v>0</v>
      </c>
      <c r="J4306" s="3">
        <v>0</v>
      </c>
      <c r="K4306" s="3">
        <v>0</v>
      </c>
      <c r="L4306" s="3" t="str">
        <f>IF(K4306&lt;-5,"CRÍTICO",IF(K4306&lt;0,"ATENÇÃO",IF(K4306&lt;=5,"OPORTUNO","MUITO BOM")))</f>
        <v>OPORTUNO</v>
      </c>
      <c r="M4306">
        <v>14</v>
      </c>
      <c r="N4306">
        <v>100</v>
      </c>
      <c r="O4306">
        <v>38.653846153846153</v>
      </c>
    </row>
    <row r="4307" spans="1:15" hidden="1" x14ac:dyDescent="0.25">
      <c r="A4307" s="11">
        <v>46139</v>
      </c>
      <c r="B4307" t="s">
        <v>18</v>
      </c>
      <c r="C4307" t="s">
        <v>16</v>
      </c>
      <c r="D4307">
        <v>9</v>
      </c>
      <c r="E4307">
        <v>9</v>
      </c>
      <c r="F4307">
        <v>25.01</v>
      </c>
      <c r="G4307">
        <v>0</v>
      </c>
      <c r="H4307">
        <v>0</v>
      </c>
      <c r="I4307" s="3">
        <f>E4307+G4307+H4307</f>
        <v>9</v>
      </c>
      <c r="J4307" s="3">
        <f>ROUND(MIN(IF(C4307="Técnico III",35,IF(C4307="Técnico II",28,IF(C4307="Técnico I",23,IF(C4307="JR",20,IF(C4307="Estágio",10,0))))),IF(C4307="Técnico III",SUMIFS($D:$D,$A:$A,$A4307,$B:$B,"&lt;&gt;Patrícia Karla de Sousa Araújo",$B:$B,"&lt;&gt;Lorena Dias de Araujo",$B:$B,"&lt;&gt;Lucas Luiz Romero")*(35/1083),IF(C4307="Técnico II",SUMIFS($D:$D,$A:$A,$A4307,$B:$B,"&lt;&gt;Patrícia Karla de Sousa Araújo",$B:$B,"&lt;&gt;Lorena Dias de Araujo",$B:$B,"&lt;&gt;Lucas Luiz Romero")*(28/1083),IF(C4307="Técnico I",SUMIFS($D:$D,$A:$A,$A4307,$B:$B,"&lt;&gt;Patrícia Karla de Sousa Araújo",$B:$B,"&lt;&gt;Lorena Dias de Araujo",$B:$B,"&lt;&gt;Lucas Luiz Romero")*(23/1083),IF(C4307="JR",SUMIFS($D:$D,$A:$A,$A4307,$B:$B,"&lt;&gt;Patrícia Karla de Sousa Araújo",$B:$B,"&lt;&gt;Lorena Dias de Araujo",$B:$B,"&lt;&gt;Lucas Luiz Romero")*(20/1083),IF(C4307="Estágio",SUMIFS($D:$D,$A:$A,$A4307,$B:$B,"&lt;&gt;Patrícia Karla de Sousa Araújo",$B:$B,"&lt;&gt;Lorena Dias de Araujo",$B:$B,"&lt;&gt;Lucas Luiz Romero")*(10/1083),0)))))),0)</f>
        <v>4</v>
      </c>
      <c r="K4307" s="3">
        <f>I4307-J4307</f>
        <v>5</v>
      </c>
      <c r="L4307" s="3" t="str">
        <f>IF(K4307&lt;-5,"CRÍTICO",IF(K4307&lt;0,"ATENÇÃO",IF(K4307&lt;=5,"OPORTUNO","MUITO BOM")))</f>
        <v>OPORTUNO</v>
      </c>
      <c r="M4307">
        <v>8</v>
      </c>
      <c r="N4307">
        <v>100</v>
      </c>
      <c r="O4307">
        <v>27.368421052631579</v>
      </c>
    </row>
    <row r="4308" spans="1:15" hidden="1" x14ac:dyDescent="0.25">
      <c r="A4308" s="11">
        <v>46139</v>
      </c>
      <c r="B4308" t="s">
        <v>52</v>
      </c>
      <c r="C4308" t="s">
        <v>48</v>
      </c>
      <c r="D4308">
        <v>18</v>
      </c>
      <c r="E4308">
        <v>16</v>
      </c>
      <c r="F4308">
        <v>15.02</v>
      </c>
      <c r="G4308">
        <v>0</v>
      </c>
      <c r="H4308">
        <v>0</v>
      </c>
      <c r="I4308" s="3">
        <f>E4308+G4308+H4308</f>
        <v>16</v>
      </c>
      <c r="J4308" s="3">
        <f>ROUND(MIN(IF(C4308="Técnico III",35,IF(C4308="Técnico II",28,IF(C4308="Técnico I",23,IF(C4308="JR",20,IF(C4308="Estágio",10,0))))),IF(C4308="Técnico III",SUMIFS($D:$D,$A:$A,$A4308,$B:$B,"&lt;&gt;Patrícia Karla de Sousa Araújo",$B:$B,"&lt;&gt;Lorena Dias de Araujo",$B:$B,"&lt;&gt;Lucas Luiz Romero")*(35/1083),IF(C4308="Técnico II",SUMIFS($D:$D,$A:$A,$A4308,$B:$B,"&lt;&gt;Patrícia Karla de Sousa Araújo",$B:$B,"&lt;&gt;Lorena Dias de Araujo",$B:$B,"&lt;&gt;Lucas Luiz Romero")*(28/1083),IF(C4308="Técnico I",SUMIFS($D:$D,$A:$A,$A4308,$B:$B,"&lt;&gt;Patrícia Karla de Sousa Araújo",$B:$B,"&lt;&gt;Lorena Dias de Araujo",$B:$B,"&lt;&gt;Lucas Luiz Romero")*(23/1083),IF(C4308="JR",SUMIFS($D:$D,$A:$A,$A4308,$B:$B,"&lt;&gt;Patrícia Karla de Sousa Araújo",$B:$B,"&lt;&gt;Lorena Dias de Araujo",$B:$B,"&lt;&gt;Lucas Luiz Romero")*(20/1083),IF(C4308="Estágio",SUMIFS($D:$D,$A:$A,$A4308,$B:$B,"&lt;&gt;Patrícia Karla de Sousa Araújo",$B:$B,"&lt;&gt;Lorena Dias de Araujo",$B:$B,"&lt;&gt;Lucas Luiz Romero")*(10/1083),0)))))),0)</f>
        <v>12</v>
      </c>
      <c r="K4308" s="3">
        <f>I4308-J4308</f>
        <v>4</v>
      </c>
      <c r="L4308" s="3" t="str">
        <f>IF(K4308&lt;-5,"CRÍTICO",IF(K4308&lt;0,"ATENÇÃO",IF(K4308&lt;=5,"OPORTUNO","MUITO BOM")))</f>
        <v>OPORTUNO</v>
      </c>
      <c r="M4308">
        <v>12</v>
      </c>
      <c r="N4308">
        <v>97.83</v>
      </c>
      <c r="O4308">
        <v>28.35164835164835</v>
      </c>
    </row>
    <row r="4309" spans="1:15" hidden="1" x14ac:dyDescent="0.25">
      <c r="A4309" s="11">
        <v>46139</v>
      </c>
      <c r="B4309" t="s">
        <v>36</v>
      </c>
      <c r="C4309" t="s">
        <v>32</v>
      </c>
      <c r="D4309">
        <v>15</v>
      </c>
      <c r="E4309">
        <v>15</v>
      </c>
      <c r="F4309">
        <v>13.5</v>
      </c>
      <c r="G4309">
        <v>0</v>
      </c>
      <c r="H4309">
        <v>0</v>
      </c>
      <c r="I4309" s="3">
        <f>E4309+G4309+H4309</f>
        <v>15</v>
      </c>
      <c r="J4309" s="3">
        <f>ROUND(MIN(IF(C4309="Técnico III",35,IF(C4309="Técnico II",28,IF(C4309="Técnico I",23,IF(C4309="JR",20,IF(C4309="Estágio",10,0))))),IF(C4309="Técnico III",SUMIFS($D:$D,$A:$A,$A4309,$B:$B,"&lt;&gt;Patrícia Karla de Sousa Araújo",$B:$B,"&lt;&gt;Lorena Dias de Araujo",$B:$B,"&lt;&gt;Lucas Luiz Romero")*(35/1083),IF(C4309="Técnico II",SUMIFS($D:$D,$A:$A,$A4309,$B:$B,"&lt;&gt;Patrícia Karla de Sousa Araújo",$B:$B,"&lt;&gt;Lorena Dias de Araujo",$B:$B,"&lt;&gt;Lucas Luiz Romero")*(28/1083),IF(C4309="Técnico I",SUMIFS($D:$D,$A:$A,$A4309,$B:$B,"&lt;&gt;Patrícia Karla de Sousa Araújo",$B:$B,"&lt;&gt;Lorena Dias de Araujo",$B:$B,"&lt;&gt;Lucas Luiz Romero")*(23/1083),IF(C4309="JR",SUMIFS($D:$D,$A:$A,$A4309,$B:$B,"&lt;&gt;Patrícia Karla de Sousa Araújo",$B:$B,"&lt;&gt;Lorena Dias de Araujo",$B:$B,"&lt;&gt;Lucas Luiz Romero")*(20/1083),IF(C4309="Estágio",SUMIFS($D:$D,$A:$A,$A4309,$B:$B,"&lt;&gt;Patrícia Karla de Sousa Araújo",$B:$B,"&lt;&gt;Lorena Dias de Araujo",$B:$B,"&lt;&gt;Lucas Luiz Romero")*(10/1083),0)))))),0)</f>
        <v>14</v>
      </c>
      <c r="K4309" s="3">
        <f>I4309-J4309</f>
        <v>1</v>
      </c>
      <c r="L4309" s="3" t="str">
        <f>IF(K4309&lt;-5,"CRÍTICO",IF(K4309&lt;0,"ATENÇÃO",IF(K4309&lt;=5,"OPORTUNO","MUITO BOM")))</f>
        <v>OPORTUNO</v>
      </c>
      <c r="M4309">
        <v>15</v>
      </c>
      <c r="N4309">
        <v>99.26</v>
      </c>
      <c r="O4309">
        <v>29.766536964980549</v>
      </c>
    </row>
    <row r="4310" spans="1:15" hidden="1" x14ac:dyDescent="0.25">
      <c r="A4310" s="11">
        <v>46139</v>
      </c>
      <c r="B4310" t="s">
        <v>53</v>
      </c>
      <c r="C4310" t="s">
        <v>48</v>
      </c>
      <c r="D4310">
        <v>14</v>
      </c>
      <c r="E4310">
        <v>14</v>
      </c>
      <c r="F4310">
        <v>15.32</v>
      </c>
      <c r="G4310">
        <v>0</v>
      </c>
      <c r="H4310">
        <v>0</v>
      </c>
      <c r="I4310" s="3">
        <f>E4310+G4310+H4310</f>
        <v>14</v>
      </c>
      <c r="J4310" s="3">
        <f>ROUND(MIN(IF(C4310="Técnico III",35,IF(C4310="Técnico II",28,IF(C4310="Técnico I",23,IF(C4310="JR",20,IF(C4310="Estágio",10,0))))),IF(C4310="Técnico III",SUMIFS($D:$D,$A:$A,$A4310,$B:$B,"&lt;&gt;Patrícia Karla de Sousa Araújo",$B:$B,"&lt;&gt;Lorena Dias de Araujo",$B:$B,"&lt;&gt;Lucas Luiz Romero")*(35/1083),IF(C4310="Técnico II",SUMIFS($D:$D,$A:$A,$A4310,$B:$B,"&lt;&gt;Patrícia Karla de Sousa Araújo",$B:$B,"&lt;&gt;Lorena Dias de Araujo",$B:$B,"&lt;&gt;Lucas Luiz Romero")*(28/1083),IF(C4310="Técnico I",SUMIFS($D:$D,$A:$A,$A4310,$B:$B,"&lt;&gt;Patrícia Karla de Sousa Araújo",$B:$B,"&lt;&gt;Lorena Dias de Araujo",$B:$B,"&lt;&gt;Lucas Luiz Romero")*(23/1083),IF(C4310="JR",SUMIFS($D:$D,$A:$A,$A4310,$B:$B,"&lt;&gt;Patrícia Karla de Sousa Araújo",$B:$B,"&lt;&gt;Lorena Dias de Araujo",$B:$B,"&lt;&gt;Lucas Luiz Romero")*(20/1083),IF(C4310="Estágio",SUMIFS($D:$D,$A:$A,$A4310,$B:$B,"&lt;&gt;Patrícia Karla de Sousa Araújo",$B:$B,"&lt;&gt;Lorena Dias de Araujo",$B:$B,"&lt;&gt;Lucas Luiz Romero")*(10/1083),0)))))),0)</f>
        <v>12</v>
      </c>
      <c r="K4310" s="3">
        <f>I4310-J4310</f>
        <v>2</v>
      </c>
      <c r="L4310" s="3" t="str">
        <f>IF(K4310&lt;-5,"CRÍTICO",IF(K4310&lt;0,"ATENÇÃO",IF(K4310&lt;=5,"OPORTUNO","MUITO BOM")))</f>
        <v>OPORTUNO</v>
      </c>
      <c r="M4310">
        <v>14</v>
      </c>
      <c r="N4310">
        <v>99.19</v>
      </c>
      <c r="O4310">
        <v>29.462365591397852</v>
      </c>
    </row>
    <row r="4311" spans="1:15" hidden="1" x14ac:dyDescent="0.25">
      <c r="A4311" s="7">
        <v>46161</v>
      </c>
      <c r="B4311" s="8" t="s">
        <v>52</v>
      </c>
      <c r="C4311" s="14" t="s">
        <v>48</v>
      </c>
      <c r="D4311" s="3">
        <v>23</v>
      </c>
      <c r="E4311" s="3">
        <v>22</v>
      </c>
      <c r="F4311" s="3">
        <v>13.4</v>
      </c>
      <c r="G4311" s="3">
        <v>2</v>
      </c>
      <c r="H4311" s="3">
        <v>0</v>
      </c>
      <c r="I4311" s="3">
        <f>E4311+G4311+H4311</f>
        <v>24</v>
      </c>
      <c r="J4311" s="3">
        <f>ROUND(MIN(IF(C4311="Técnico III",35,IF(C4311="Técnico II",28,IF(C4311="Técnico I",23,IF(C4311="JR",20,IF(C4311="Estágio",10,0))))),IF(C4311="Técnico III",SUMIFS($D:$D,$A:$A,$A4311,$B:$B,"&lt;&gt;Patrícia Karla de Sousa Araújo",$B:$B,"&lt;&gt;Lorena Dias de Araujo",$B:$B,"&lt;&gt;Lucas Luiz Romero")*(35/1083),IF(C4311="Técnico II",SUMIFS($D:$D,$A:$A,$A4311,$B:$B,"&lt;&gt;Patrícia Karla de Sousa Araújo",$B:$B,"&lt;&gt;Lorena Dias de Araujo",$B:$B,"&lt;&gt;Lucas Luiz Romero")*(28/1083),IF(C4311="Técnico I",SUMIFS($D:$D,$A:$A,$A4311,$B:$B,"&lt;&gt;Patrícia Karla de Sousa Araújo",$B:$B,"&lt;&gt;Lorena Dias de Araujo",$B:$B,"&lt;&gt;Lucas Luiz Romero")*(23/1083),IF(C4311="JR",SUMIFS($D:$D,$A:$A,$A4311,$B:$B,"&lt;&gt;Patrícia Karla de Sousa Araújo",$B:$B,"&lt;&gt;Lorena Dias de Araujo",$B:$B,"&lt;&gt;Lucas Luiz Romero")*(20/1083),IF(C4311="Estágio",SUMIFS($D:$D,$A:$A,$A4311,$B:$B,"&lt;&gt;Patrícia Karla de Sousa Araújo",$B:$B,"&lt;&gt;Lorena Dias de Araujo",$B:$B,"&lt;&gt;Lucas Luiz Romero")*(10/1083),0)))))),0)</f>
        <v>23</v>
      </c>
      <c r="K4311" s="3">
        <f>I4311-J4311</f>
        <v>1</v>
      </c>
      <c r="L4311" s="3" t="str">
        <f>IF(K4311&lt;-5,"CRÍTICO",IF(K4311&lt;0,"ATENÇÃO",IF(K4311&lt;=5,"OPORTUNO","MUITO BOM")))</f>
        <v>OPORTUNO</v>
      </c>
      <c r="M4311" s="3">
        <v>23</v>
      </c>
      <c r="N4311" s="3">
        <v>99.01</v>
      </c>
      <c r="O4311" s="3">
        <v>17.766497461928939</v>
      </c>
    </row>
    <row r="4312" spans="1:15" hidden="1" x14ac:dyDescent="0.25">
      <c r="A4312" s="11">
        <v>46139</v>
      </c>
      <c r="B4312" t="s">
        <v>54</v>
      </c>
      <c r="C4312" t="s">
        <v>48</v>
      </c>
      <c r="D4312">
        <v>11</v>
      </c>
      <c r="E4312">
        <v>11</v>
      </c>
      <c r="F4312">
        <v>14.16</v>
      </c>
      <c r="G4312">
        <v>0</v>
      </c>
      <c r="H4312">
        <v>0</v>
      </c>
      <c r="I4312" s="3">
        <f>E4312+G4312+H4312</f>
        <v>11</v>
      </c>
      <c r="J4312" s="3">
        <f>ROUND(MIN(IF(C4312="Técnico III",35,IF(C4312="Técnico II",28,IF(C4312="Técnico I",23,IF(C4312="JR",20,IF(C4312="Estágio",10,0))))),IF(C4312="Técnico III",SUMIFS($D:$D,$A:$A,$A4312,$B:$B,"&lt;&gt;Patrícia Karla de Sousa Araújo",$B:$B,"&lt;&gt;Lorena Dias de Araujo",$B:$B,"&lt;&gt;Lucas Luiz Romero")*(35/1083),IF(C4312="Técnico II",SUMIFS($D:$D,$A:$A,$A4312,$B:$B,"&lt;&gt;Patrícia Karla de Sousa Araújo",$B:$B,"&lt;&gt;Lorena Dias de Araujo",$B:$B,"&lt;&gt;Lucas Luiz Romero")*(28/1083),IF(C4312="Técnico I",SUMIFS($D:$D,$A:$A,$A4312,$B:$B,"&lt;&gt;Patrícia Karla de Sousa Araújo",$B:$B,"&lt;&gt;Lorena Dias de Araujo",$B:$B,"&lt;&gt;Lucas Luiz Romero")*(23/1083),IF(C4312="JR",SUMIFS($D:$D,$A:$A,$A4312,$B:$B,"&lt;&gt;Patrícia Karla de Sousa Araújo",$B:$B,"&lt;&gt;Lorena Dias de Araujo",$B:$B,"&lt;&gt;Lucas Luiz Romero")*(20/1083),IF(C4312="Estágio",SUMIFS($D:$D,$A:$A,$A4312,$B:$B,"&lt;&gt;Patrícia Karla de Sousa Araújo",$B:$B,"&lt;&gt;Lorena Dias de Araujo",$B:$B,"&lt;&gt;Lucas Luiz Romero")*(10/1083),0)))))),0)</f>
        <v>12</v>
      </c>
      <c r="K4312" s="3">
        <f>I4312-J4312</f>
        <v>-1</v>
      </c>
      <c r="L4312" s="3" t="str">
        <f>IF(K4312&lt;-5,"CRÍTICO",IF(K4312&lt;0,"ATENÇÃO",IF(K4312&lt;=5,"OPORTUNO","MUITO BOM")))</f>
        <v>ATENÇÃO</v>
      </c>
      <c r="M4312">
        <v>8</v>
      </c>
      <c r="N4312">
        <v>100</v>
      </c>
      <c r="O4312">
        <v>28.921568627450981</v>
      </c>
    </row>
    <row r="4313" spans="1:15" hidden="1" x14ac:dyDescent="0.25">
      <c r="A4313" s="11">
        <v>46139</v>
      </c>
      <c r="B4313" t="s">
        <v>37</v>
      </c>
      <c r="C4313" t="s">
        <v>32</v>
      </c>
      <c r="D4313">
        <v>23</v>
      </c>
      <c r="E4313">
        <v>19</v>
      </c>
      <c r="F4313">
        <v>15.24</v>
      </c>
      <c r="G4313">
        <v>0</v>
      </c>
      <c r="H4313">
        <v>0</v>
      </c>
      <c r="I4313" s="3">
        <f>E4313+G4313+H4313</f>
        <v>19</v>
      </c>
      <c r="J4313" s="3">
        <f>ROUND(MIN(IF(C4313="Técnico III",35,IF(C4313="Técnico II",28,IF(C4313="Técnico I",23,IF(C4313="JR",20,IF(C4313="Estágio",10,0))))),IF(C4313="Técnico III",SUMIFS($D:$D,$A:$A,$A4313,$B:$B,"&lt;&gt;Patrícia Karla de Sousa Araújo",$B:$B,"&lt;&gt;Lorena Dias de Araujo",$B:$B,"&lt;&gt;Lucas Luiz Romero")*(35/1083),IF(C4313="Técnico II",SUMIFS($D:$D,$A:$A,$A4313,$B:$B,"&lt;&gt;Patrícia Karla de Sousa Araújo",$B:$B,"&lt;&gt;Lorena Dias de Araujo",$B:$B,"&lt;&gt;Lucas Luiz Romero")*(28/1083),IF(C4313="Técnico I",SUMIFS($D:$D,$A:$A,$A4313,$B:$B,"&lt;&gt;Patrícia Karla de Sousa Araújo",$B:$B,"&lt;&gt;Lorena Dias de Araujo",$B:$B,"&lt;&gt;Lucas Luiz Romero")*(23/1083),IF(C4313="JR",SUMIFS($D:$D,$A:$A,$A4313,$B:$B,"&lt;&gt;Patrícia Karla de Sousa Araújo",$B:$B,"&lt;&gt;Lorena Dias de Araujo",$B:$B,"&lt;&gt;Lucas Luiz Romero")*(20/1083),IF(C4313="Estágio",SUMIFS($D:$D,$A:$A,$A4313,$B:$B,"&lt;&gt;Patrícia Karla de Sousa Araújo",$B:$B,"&lt;&gt;Lorena Dias de Araujo",$B:$B,"&lt;&gt;Lucas Luiz Romero")*(10/1083),0)))))),0)</f>
        <v>14</v>
      </c>
      <c r="K4313" s="3">
        <f>I4313-J4313</f>
        <v>5</v>
      </c>
      <c r="L4313" s="3" t="str">
        <f>IF(K4313&lt;-5,"CRÍTICO",IF(K4313&lt;0,"ATENÇÃO",IF(K4313&lt;=5,"OPORTUNO","MUITO BOM")))</f>
        <v>OPORTUNO</v>
      </c>
      <c r="M4313">
        <v>16</v>
      </c>
      <c r="N4313">
        <v>99.57</v>
      </c>
      <c r="O4313">
        <v>30.635838150289018</v>
      </c>
    </row>
    <row r="4314" spans="1:15" hidden="1" x14ac:dyDescent="0.25">
      <c r="A4314" s="11">
        <v>46139</v>
      </c>
      <c r="B4314" t="s">
        <v>38</v>
      </c>
      <c r="C4314" t="s">
        <v>32</v>
      </c>
      <c r="D4314">
        <v>15</v>
      </c>
      <c r="E4314">
        <v>13</v>
      </c>
      <c r="F4314">
        <v>12.31</v>
      </c>
      <c r="G4314">
        <v>0</v>
      </c>
      <c r="H4314">
        <v>0</v>
      </c>
      <c r="I4314" s="3">
        <f>E4314+G4314+H4314</f>
        <v>13</v>
      </c>
      <c r="J4314" s="3">
        <f>ROUND(MIN(IF(C4314="Técnico III",35,IF(C4314="Técnico II",28,IF(C4314="Técnico I",23,IF(C4314="JR",20,IF(C4314="Estágio",10,0))))),IF(C4314="Técnico III",SUMIFS($D:$D,$A:$A,$A4314,$B:$B,"&lt;&gt;Patrícia Karla de Sousa Araújo",$B:$B,"&lt;&gt;Lorena Dias de Araujo",$B:$B,"&lt;&gt;Lucas Luiz Romero")*(35/1083),IF(C4314="Técnico II",SUMIFS($D:$D,$A:$A,$A4314,$B:$B,"&lt;&gt;Patrícia Karla de Sousa Araújo",$B:$B,"&lt;&gt;Lorena Dias de Araujo",$B:$B,"&lt;&gt;Lucas Luiz Romero")*(28/1083),IF(C4314="Técnico I",SUMIFS($D:$D,$A:$A,$A4314,$B:$B,"&lt;&gt;Patrícia Karla de Sousa Araújo",$B:$B,"&lt;&gt;Lorena Dias de Araujo",$B:$B,"&lt;&gt;Lucas Luiz Romero")*(23/1083),IF(C4314="JR",SUMIFS($D:$D,$A:$A,$A4314,$B:$B,"&lt;&gt;Patrícia Karla de Sousa Araújo",$B:$B,"&lt;&gt;Lorena Dias de Araujo",$B:$B,"&lt;&gt;Lucas Luiz Romero")*(20/1083),IF(C4314="Estágio",SUMIFS($D:$D,$A:$A,$A4314,$B:$B,"&lt;&gt;Patrícia Karla de Sousa Araújo",$B:$B,"&lt;&gt;Lorena Dias de Araujo",$B:$B,"&lt;&gt;Lucas Luiz Romero")*(10/1083),0)))))),0)</f>
        <v>14</v>
      </c>
      <c r="K4314" s="3">
        <f>I4314-J4314</f>
        <v>-1</v>
      </c>
      <c r="L4314" s="3" t="str">
        <f>IF(K4314&lt;-5,"CRÍTICO",IF(K4314&lt;0,"ATENÇÃO",IF(K4314&lt;=5,"OPORTUNO","MUITO BOM")))</f>
        <v>ATENÇÃO</v>
      </c>
      <c r="M4314">
        <v>10</v>
      </c>
      <c r="N4314">
        <v>95.65</v>
      </c>
      <c r="O4314">
        <v>32.432432432432442</v>
      </c>
    </row>
    <row r="4315" spans="1:15" hidden="1" x14ac:dyDescent="0.25">
      <c r="A4315" s="11">
        <v>46139</v>
      </c>
      <c r="B4315" t="s">
        <v>55</v>
      </c>
      <c r="C4315" t="s">
        <v>48</v>
      </c>
      <c r="D4315">
        <v>14</v>
      </c>
      <c r="E4315">
        <v>13</v>
      </c>
      <c r="F4315">
        <v>13.47</v>
      </c>
      <c r="G4315">
        <v>0</v>
      </c>
      <c r="H4315">
        <v>0</v>
      </c>
      <c r="I4315" s="3">
        <f>E4315+G4315+H4315</f>
        <v>13</v>
      </c>
      <c r="J4315" s="3">
        <f>ROUND(MIN(IF(C4315="Técnico III",35,IF(C4315="Técnico II",28,IF(C4315="Técnico I",23,IF(C4315="JR",20,IF(C4315="Estágio",10,0))))),IF(C4315="Técnico III",SUMIFS($D:$D,$A:$A,$A4315,$B:$B,"&lt;&gt;Patrícia Karla de Sousa Araújo",$B:$B,"&lt;&gt;Lorena Dias de Araujo",$B:$B,"&lt;&gt;Lucas Luiz Romero")*(35/1083),IF(C4315="Técnico II",SUMIFS($D:$D,$A:$A,$A4315,$B:$B,"&lt;&gt;Patrícia Karla de Sousa Araújo",$B:$B,"&lt;&gt;Lorena Dias de Araujo",$B:$B,"&lt;&gt;Lucas Luiz Romero")*(28/1083),IF(C4315="Técnico I",SUMIFS($D:$D,$A:$A,$A4315,$B:$B,"&lt;&gt;Patrícia Karla de Sousa Araújo",$B:$B,"&lt;&gt;Lorena Dias de Araujo",$B:$B,"&lt;&gt;Lucas Luiz Romero")*(23/1083),IF(C4315="JR",SUMIFS($D:$D,$A:$A,$A4315,$B:$B,"&lt;&gt;Patrícia Karla de Sousa Araújo",$B:$B,"&lt;&gt;Lorena Dias de Araujo",$B:$B,"&lt;&gt;Lucas Luiz Romero")*(20/1083),IF(C4315="Estágio",SUMIFS($D:$D,$A:$A,$A4315,$B:$B,"&lt;&gt;Patrícia Karla de Sousa Araújo",$B:$B,"&lt;&gt;Lorena Dias de Araujo",$B:$B,"&lt;&gt;Lucas Luiz Romero")*(10/1083),0)))))),0)</f>
        <v>12</v>
      </c>
      <c r="K4315" s="3">
        <f>I4315-J4315</f>
        <v>1</v>
      </c>
      <c r="L4315" s="3" t="str">
        <f>IF(K4315&lt;-5,"CRÍTICO",IF(K4315&lt;0,"ATENÇÃO",IF(K4315&lt;=5,"OPORTUNO","MUITO BOM")))</f>
        <v>OPORTUNO</v>
      </c>
      <c r="M4315">
        <v>12</v>
      </c>
      <c r="N4315">
        <v>98.81</v>
      </c>
      <c r="O4315">
        <v>26.256983240223459</v>
      </c>
    </row>
    <row r="4316" spans="1:15" hidden="1" x14ac:dyDescent="0.25">
      <c r="A4316" s="11">
        <v>46139</v>
      </c>
      <c r="B4316" t="s">
        <v>39</v>
      </c>
      <c r="C4316" t="s">
        <v>32</v>
      </c>
      <c r="D4316">
        <v>0</v>
      </c>
      <c r="E4316">
        <v>0</v>
      </c>
      <c r="F4316">
        <v>0</v>
      </c>
      <c r="G4316">
        <v>0</v>
      </c>
      <c r="H4316">
        <v>0</v>
      </c>
      <c r="I4316" s="3">
        <v>0</v>
      </c>
      <c r="J4316" s="3">
        <v>0</v>
      </c>
      <c r="K4316" s="3">
        <v>0</v>
      </c>
      <c r="L4316" s="3" t="str">
        <f>IF(K4316&lt;-5,"CRÍTICO",IF(K4316&lt;0,"ATENÇÃO",IF(K4316&lt;=5,"OPORTUNO","MUITO BOM")))</f>
        <v>OPORTUNO</v>
      </c>
      <c r="M4316">
        <v>0</v>
      </c>
      <c r="N4316">
        <v>0</v>
      </c>
      <c r="O4316">
        <v>0</v>
      </c>
    </row>
    <row r="4317" spans="1:15" hidden="1" x14ac:dyDescent="0.25">
      <c r="A4317" s="11">
        <v>46139</v>
      </c>
      <c r="B4317" t="s">
        <v>25</v>
      </c>
      <c r="C4317" t="s">
        <v>26</v>
      </c>
      <c r="D4317">
        <v>8</v>
      </c>
      <c r="E4317">
        <v>5</v>
      </c>
      <c r="F4317">
        <v>13.44</v>
      </c>
      <c r="G4317">
        <v>0</v>
      </c>
      <c r="H4317">
        <v>0</v>
      </c>
      <c r="I4317" s="3">
        <f>E4317+G4317+H4317</f>
        <v>5</v>
      </c>
      <c r="J4317" s="3">
        <f>ROUND(MIN(IF(C4317="Técnico III",35,IF(C4317="Técnico II",28,IF(C4317="Técnico I",23,IF(C4317="JR",20,IF(C4317="Estágio",10,0))))),IF(C4317="Técnico III",SUMIFS($D:$D,$A:$A,$A4317,$B:$B,"&lt;&gt;Patrícia Karla de Sousa Araújo",$B:$B,"&lt;&gt;Lorena Dias de Araujo",$B:$B,"&lt;&gt;Lucas Luiz Romero")*(35/1083),IF(C4317="Técnico II",SUMIFS($D:$D,$A:$A,$A4317,$B:$B,"&lt;&gt;Patrícia Karla de Sousa Araújo",$B:$B,"&lt;&gt;Lorena Dias de Araujo",$B:$B,"&lt;&gt;Lucas Luiz Romero")*(28/1083),IF(C4317="Técnico I",SUMIFS($D:$D,$A:$A,$A4317,$B:$B,"&lt;&gt;Patrícia Karla de Sousa Araújo",$B:$B,"&lt;&gt;Lorena Dias de Araujo",$B:$B,"&lt;&gt;Lucas Luiz Romero")*(23/1083),IF(C4317="JR",SUMIFS($D:$D,$A:$A,$A4317,$B:$B,"&lt;&gt;Patrícia Karla de Sousa Araújo",$B:$B,"&lt;&gt;Lorena Dias de Araujo",$B:$B,"&lt;&gt;Lucas Luiz Romero")*(20/1083),IF(C4317="Estágio",SUMIFS($D:$D,$A:$A,$A4317,$B:$B,"&lt;&gt;Patrícia Karla de Sousa Araújo",$B:$B,"&lt;&gt;Lorena Dias de Araujo",$B:$B,"&lt;&gt;Lucas Luiz Romero")*(10/1083),0)))))),0)</f>
        <v>8</v>
      </c>
      <c r="K4317" s="3">
        <f>I4317-J4317</f>
        <v>-3</v>
      </c>
      <c r="L4317" s="3" t="str">
        <f>IF(K4317&lt;-5,"CRÍTICO",IF(K4317&lt;0,"ATENÇÃO",IF(K4317&lt;=5,"OPORTUNO","MUITO BOM")))</f>
        <v>ATENÇÃO</v>
      </c>
      <c r="M4317">
        <v>6</v>
      </c>
      <c r="N4317">
        <v>97.17</v>
      </c>
      <c r="O4317">
        <v>28.81844380403458</v>
      </c>
    </row>
    <row r="4318" spans="1:15" hidden="1" x14ac:dyDescent="0.25">
      <c r="A4318" s="11">
        <v>46139</v>
      </c>
      <c r="B4318" t="s">
        <v>40</v>
      </c>
      <c r="C4318" t="s">
        <v>32</v>
      </c>
      <c r="D4318">
        <v>0</v>
      </c>
      <c r="E4318">
        <v>0</v>
      </c>
      <c r="F4318">
        <v>0</v>
      </c>
      <c r="G4318">
        <v>0</v>
      </c>
      <c r="H4318">
        <v>0</v>
      </c>
      <c r="I4318" s="3">
        <v>0</v>
      </c>
      <c r="J4318" s="3">
        <v>0</v>
      </c>
      <c r="K4318" s="3">
        <v>0</v>
      </c>
      <c r="L4318" s="3" t="str">
        <f>IF(K4318&lt;-5,"CRÍTICO",IF(K4318&lt;0,"ATENÇÃO",IF(K4318&lt;=5,"OPORTUNO","MUITO BOM")))</f>
        <v>OPORTUNO</v>
      </c>
      <c r="M4318">
        <v>29</v>
      </c>
      <c r="N4318">
        <v>96.81</v>
      </c>
      <c r="O4318">
        <v>48.018648018648022</v>
      </c>
    </row>
    <row r="4319" spans="1:15" hidden="1" x14ac:dyDescent="0.25">
      <c r="A4319" s="11">
        <v>46139</v>
      </c>
      <c r="B4319" t="s">
        <v>27</v>
      </c>
      <c r="C4319" t="s">
        <v>26</v>
      </c>
      <c r="D4319">
        <v>14</v>
      </c>
      <c r="E4319">
        <v>13</v>
      </c>
      <c r="F4319">
        <v>10.5</v>
      </c>
      <c r="G4319">
        <v>0</v>
      </c>
      <c r="H4319">
        <v>0</v>
      </c>
      <c r="I4319" s="3">
        <f>E4319+G4319+H4319</f>
        <v>13</v>
      </c>
      <c r="J4319" s="3">
        <f>ROUND(MIN(IF(C4319="Técnico III",35,IF(C4319="Técnico II",28,IF(C4319="Técnico I",23,IF(C4319="JR",20,IF(C4319="Estágio",10,0))))),IF(C4319="Técnico III",SUMIFS($D:$D,$A:$A,$A4319,$B:$B,"&lt;&gt;Patrícia Karla de Sousa Araújo",$B:$B,"&lt;&gt;Lorena Dias de Araujo",$B:$B,"&lt;&gt;Lucas Luiz Romero")*(35/1083),IF(C4319="Técnico II",SUMIFS($D:$D,$A:$A,$A4319,$B:$B,"&lt;&gt;Patrícia Karla de Sousa Araújo",$B:$B,"&lt;&gt;Lorena Dias de Araujo",$B:$B,"&lt;&gt;Lucas Luiz Romero")*(28/1083),IF(C4319="Técnico I",SUMIFS($D:$D,$A:$A,$A4319,$B:$B,"&lt;&gt;Patrícia Karla de Sousa Araújo",$B:$B,"&lt;&gt;Lorena Dias de Araujo",$B:$B,"&lt;&gt;Lucas Luiz Romero")*(23/1083),IF(C4319="JR",SUMIFS($D:$D,$A:$A,$A4319,$B:$B,"&lt;&gt;Patrícia Karla de Sousa Araújo",$B:$B,"&lt;&gt;Lorena Dias de Araujo",$B:$B,"&lt;&gt;Lucas Luiz Romero")*(20/1083),IF(C4319="Estágio",SUMIFS($D:$D,$A:$A,$A4319,$B:$B,"&lt;&gt;Patrícia Karla de Sousa Araújo",$B:$B,"&lt;&gt;Lorena Dias de Araujo",$B:$B,"&lt;&gt;Lucas Luiz Romero")*(10/1083),0)))))),0)</f>
        <v>8</v>
      </c>
      <c r="K4319" s="3">
        <f>I4319-J4319</f>
        <v>5</v>
      </c>
      <c r="L4319" s="3" t="str">
        <f>IF(K4319&lt;-5,"CRÍTICO",IF(K4319&lt;0,"ATENÇÃO",IF(K4319&lt;=5,"OPORTUNO","MUITO BOM")))</f>
        <v>OPORTUNO</v>
      </c>
      <c r="M4319">
        <v>10</v>
      </c>
      <c r="N4319">
        <v>98.15</v>
      </c>
      <c r="O4319">
        <v>27.1551724137931</v>
      </c>
    </row>
    <row r="4320" spans="1:15" hidden="1" x14ac:dyDescent="0.25">
      <c r="A4320" s="11">
        <v>46139</v>
      </c>
      <c r="B4320" t="s">
        <v>41</v>
      </c>
      <c r="C4320" t="s">
        <v>32</v>
      </c>
      <c r="D4320">
        <v>16</v>
      </c>
      <c r="E4320">
        <v>13</v>
      </c>
      <c r="F4320">
        <v>16.45</v>
      </c>
      <c r="G4320">
        <v>0</v>
      </c>
      <c r="H4320">
        <v>0</v>
      </c>
      <c r="I4320" s="3">
        <f>E4320+G4320+H4320</f>
        <v>13</v>
      </c>
      <c r="J4320" s="3">
        <f>ROUND(MIN(IF(C4320="Técnico III",35,IF(C4320="Técnico II",28,IF(C4320="Técnico I",23,IF(C4320="JR",20,IF(C4320="Estágio",10,0))))),IF(C4320="Técnico III",SUMIFS($D:$D,$A:$A,$A4320,$B:$B,"&lt;&gt;Patrícia Karla de Sousa Araújo",$B:$B,"&lt;&gt;Lorena Dias de Araujo",$B:$B,"&lt;&gt;Lucas Luiz Romero")*(35/1083),IF(C4320="Técnico II",SUMIFS($D:$D,$A:$A,$A4320,$B:$B,"&lt;&gt;Patrícia Karla de Sousa Araújo",$B:$B,"&lt;&gt;Lorena Dias de Araujo",$B:$B,"&lt;&gt;Lucas Luiz Romero")*(28/1083),IF(C4320="Técnico I",SUMIFS($D:$D,$A:$A,$A4320,$B:$B,"&lt;&gt;Patrícia Karla de Sousa Araújo",$B:$B,"&lt;&gt;Lorena Dias de Araujo",$B:$B,"&lt;&gt;Lucas Luiz Romero")*(23/1083),IF(C4320="JR",SUMIFS($D:$D,$A:$A,$A4320,$B:$B,"&lt;&gt;Patrícia Karla de Sousa Araújo",$B:$B,"&lt;&gt;Lorena Dias de Araujo",$B:$B,"&lt;&gt;Lucas Luiz Romero")*(20/1083),IF(C4320="Estágio",SUMIFS($D:$D,$A:$A,$A4320,$B:$B,"&lt;&gt;Patrícia Karla de Sousa Araújo",$B:$B,"&lt;&gt;Lorena Dias de Araujo",$B:$B,"&lt;&gt;Lucas Luiz Romero")*(10/1083),0)))))),0)</f>
        <v>14</v>
      </c>
      <c r="K4320" s="3">
        <f>I4320-J4320</f>
        <v>-1</v>
      </c>
      <c r="L4320" s="3" t="str">
        <f>IF(K4320&lt;-5,"CRÍTICO",IF(K4320&lt;0,"ATENÇÃO",IF(K4320&lt;=5,"OPORTUNO","MUITO BOM")))</f>
        <v>ATENÇÃO</v>
      </c>
      <c r="M4320">
        <v>14</v>
      </c>
      <c r="N4320">
        <v>99.15</v>
      </c>
      <c r="O4320">
        <v>27.586206896551719</v>
      </c>
    </row>
    <row r="4321" spans="1:15" hidden="1" x14ac:dyDescent="0.25">
      <c r="A4321" s="11">
        <v>46139</v>
      </c>
      <c r="B4321" t="s">
        <v>56</v>
      </c>
      <c r="C4321" t="s">
        <v>48</v>
      </c>
      <c r="D4321">
        <v>2</v>
      </c>
      <c r="E4321">
        <v>2</v>
      </c>
      <c r="F4321">
        <v>22.04</v>
      </c>
      <c r="G4321">
        <v>0</v>
      </c>
      <c r="H4321">
        <v>0</v>
      </c>
      <c r="I4321" s="3">
        <f>E4321+G4321+H4321</f>
        <v>2</v>
      </c>
      <c r="J4321" s="3">
        <f>ROUND(MIN(IF(C4321="Técnico III",35,IF(C4321="Técnico II",28,IF(C4321="Técnico I",23,IF(C4321="JR",20,IF(C4321="Estágio",10,0))))),IF(C4321="Técnico III",SUMIFS($D:$D,$A:$A,$A4321,$B:$B,"&lt;&gt;Patrícia Karla de Sousa Araújo",$B:$B,"&lt;&gt;Lorena Dias de Araujo",$B:$B,"&lt;&gt;Lucas Luiz Romero")*(35/1083),IF(C4321="Técnico II",SUMIFS($D:$D,$A:$A,$A4321,$B:$B,"&lt;&gt;Patrícia Karla de Sousa Araújo",$B:$B,"&lt;&gt;Lorena Dias de Araujo",$B:$B,"&lt;&gt;Lucas Luiz Romero")*(28/1083),IF(C4321="Técnico I",SUMIFS($D:$D,$A:$A,$A4321,$B:$B,"&lt;&gt;Patrícia Karla de Sousa Araújo",$B:$B,"&lt;&gt;Lorena Dias de Araujo",$B:$B,"&lt;&gt;Lucas Luiz Romero")*(23/1083),IF(C4321="JR",SUMIFS($D:$D,$A:$A,$A4321,$B:$B,"&lt;&gt;Patrícia Karla de Sousa Araújo",$B:$B,"&lt;&gt;Lorena Dias de Araujo",$B:$B,"&lt;&gt;Lucas Luiz Romero")*(20/1083),IF(C4321="Estágio",SUMIFS($D:$D,$A:$A,$A4321,$B:$B,"&lt;&gt;Patrícia Karla de Sousa Araújo",$B:$B,"&lt;&gt;Lorena Dias de Araujo",$B:$B,"&lt;&gt;Lucas Luiz Romero")*(10/1083),0)))))),0)</f>
        <v>12</v>
      </c>
      <c r="K4321" s="3">
        <f>I4321-J4321</f>
        <v>-10</v>
      </c>
      <c r="L4321" s="3" t="str">
        <f>IF(K4321&lt;-5,"CRÍTICO",IF(K4321&lt;0,"ATENÇÃO",IF(K4321&lt;=5,"OPORTUNO","MUITO BOM")))</f>
        <v>CRÍTICO</v>
      </c>
      <c r="M4321">
        <v>8</v>
      </c>
      <c r="N4321">
        <v>99.17</v>
      </c>
      <c r="O4321">
        <v>29.75206611570248</v>
      </c>
    </row>
    <row r="4322" spans="1:15" hidden="1" x14ac:dyDescent="0.25">
      <c r="A4322" s="11">
        <v>46139</v>
      </c>
      <c r="B4322" t="s">
        <v>57</v>
      </c>
      <c r="C4322" t="s">
        <v>48</v>
      </c>
      <c r="D4322">
        <v>0</v>
      </c>
      <c r="E4322">
        <v>0</v>
      </c>
      <c r="F4322">
        <v>0</v>
      </c>
      <c r="G4322">
        <v>0</v>
      </c>
      <c r="H4322">
        <v>0</v>
      </c>
      <c r="I4322" s="3">
        <v>0</v>
      </c>
      <c r="J4322" s="3">
        <v>0</v>
      </c>
      <c r="K4322" s="3">
        <v>0</v>
      </c>
      <c r="L4322" s="3" t="str">
        <f>IF(K4322&lt;-5,"CRÍTICO",IF(K4322&lt;0,"ATENÇÃO",IF(K4322&lt;=5,"OPORTUNO","MUITO BOM")))</f>
        <v>OPORTUNO</v>
      </c>
      <c r="M4322">
        <v>0</v>
      </c>
      <c r="N4322">
        <v>98.73</v>
      </c>
      <c r="O4322">
        <v>28.961748633879779</v>
      </c>
    </row>
    <row r="4323" spans="1:15" hidden="1" x14ac:dyDescent="0.25">
      <c r="A4323" s="11">
        <v>46139</v>
      </c>
      <c r="B4323" t="s">
        <v>42</v>
      </c>
      <c r="C4323" t="s">
        <v>32</v>
      </c>
      <c r="D4323">
        <v>0</v>
      </c>
      <c r="E4323">
        <v>0</v>
      </c>
      <c r="F4323">
        <v>0</v>
      </c>
      <c r="G4323">
        <v>0</v>
      </c>
      <c r="H4323">
        <v>0</v>
      </c>
      <c r="I4323" s="3">
        <v>0</v>
      </c>
      <c r="J4323" s="3">
        <v>0</v>
      </c>
      <c r="K4323" s="3">
        <v>0</v>
      </c>
      <c r="L4323" s="3" t="str">
        <f>IF(K4323&lt;-5,"CRÍTICO",IF(K4323&lt;0,"ATENÇÃO",IF(K4323&lt;=5,"OPORTUNO","MUITO BOM")))</f>
        <v>OPORTUNO</v>
      </c>
      <c r="M4323">
        <v>0</v>
      </c>
      <c r="N4323">
        <v>88.68</v>
      </c>
      <c r="O4323">
        <v>22.03389830508474</v>
      </c>
    </row>
    <row r="4324" spans="1:15" hidden="1" x14ac:dyDescent="0.25">
      <c r="A4324" s="11">
        <v>46139</v>
      </c>
      <c r="B4324" t="s">
        <v>62</v>
      </c>
      <c r="C4324" t="s">
        <v>23</v>
      </c>
      <c r="D4324">
        <v>9</v>
      </c>
      <c r="E4324">
        <v>9</v>
      </c>
      <c r="F4324">
        <v>22.33</v>
      </c>
      <c r="G4324">
        <v>0</v>
      </c>
      <c r="H4324">
        <v>0</v>
      </c>
      <c r="I4324" s="3">
        <f>E4324+G4324+H4324</f>
        <v>9</v>
      </c>
      <c r="J4324" s="3">
        <f>ROUND(MIN(IF(C4324="Técnico III",35,IF(C4324="Técnico II",28,IF(C4324="Técnico I",23,IF(C4324="JR",20,IF(C4324="Estágio",10,0))))),IF(C4324="Técnico III",SUMIFS($D:$D,$A:$A,$A4324,$B:$B,"&lt;&gt;Patrícia Karla de Sousa Araújo",$B:$B,"&lt;&gt;Lorena Dias de Araujo",$B:$B,"&lt;&gt;Lucas Luiz Romero")*(35/1083),IF(C4324="Técnico II",SUMIFS($D:$D,$A:$A,$A4324,$B:$B,"&lt;&gt;Patrícia Karla de Sousa Araújo",$B:$B,"&lt;&gt;Lorena Dias de Araujo",$B:$B,"&lt;&gt;Lucas Luiz Romero")*(28/1083),IF(C4324="Técnico I",SUMIFS($D:$D,$A:$A,$A4324,$B:$B,"&lt;&gt;Patrícia Karla de Sousa Araújo",$B:$B,"&lt;&gt;Lorena Dias de Araujo",$B:$B,"&lt;&gt;Lucas Luiz Romero")*(23/1083),IF(C4324="JR",SUMIFS($D:$D,$A:$A,$A4324,$B:$B,"&lt;&gt;Patrícia Karla de Sousa Araújo",$B:$B,"&lt;&gt;Lorena Dias de Araujo",$B:$B,"&lt;&gt;Lucas Luiz Romero")*(20/1083),IF(C4324="Estágio",SUMIFS($D:$D,$A:$A,$A4324,$B:$B,"&lt;&gt;Patrícia Karla de Sousa Araújo",$B:$B,"&lt;&gt;Lorena Dias de Araujo",$B:$B,"&lt;&gt;Lucas Luiz Romero")*(10/1083),0)))))),0)</f>
        <v>9</v>
      </c>
      <c r="K4324" s="3">
        <f>I4324-J4324</f>
        <v>0</v>
      </c>
      <c r="L4324" s="3" t="str">
        <f>IF(K4324&lt;-5,"CRÍTICO",IF(K4324&lt;0,"ATENÇÃO",IF(K4324&lt;=5,"OPORTUNO","MUITO BOM")))</f>
        <v>OPORTUNO</v>
      </c>
      <c r="M4324">
        <v>8</v>
      </c>
      <c r="N4324">
        <v>97.37</v>
      </c>
      <c r="O4324">
        <v>25.76530612244898</v>
      </c>
    </row>
    <row r="4325" spans="1:15" hidden="1" x14ac:dyDescent="0.25">
      <c r="A4325" s="11">
        <v>46139</v>
      </c>
      <c r="B4325" t="s">
        <v>19</v>
      </c>
      <c r="C4325" t="s">
        <v>16</v>
      </c>
      <c r="D4325">
        <v>0</v>
      </c>
      <c r="E4325">
        <v>0</v>
      </c>
      <c r="F4325">
        <v>0</v>
      </c>
      <c r="G4325">
        <v>0</v>
      </c>
      <c r="H4325">
        <v>0</v>
      </c>
      <c r="I4325" s="3">
        <v>0</v>
      </c>
      <c r="J4325" s="3">
        <v>0</v>
      </c>
      <c r="K4325" s="3">
        <v>0</v>
      </c>
      <c r="L4325" s="3" t="str">
        <f>IF(K4325&lt;-5,"CRÍTICO",IF(K4325&lt;0,"ATENÇÃO",IF(K4325&lt;=5,"OPORTUNO","MUITO BOM")))</f>
        <v>OPORTUNO</v>
      </c>
      <c r="M4325">
        <v>0</v>
      </c>
      <c r="N4325">
        <v>100</v>
      </c>
      <c r="O4325">
        <v>25</v>
      </c>
    </row>
    <row r="4326" spans="1:15" hidden="1" x14ac:dyDescent="0.25">
      <c r="A4326" s="11">
        <v>46139</v>
      </c>
      <c r="B4326" t="s">
        <v>43</v>
      </c>
      <c r="C4326" t="s">
        <v>32</v>
      </c>
      <c r="D4326">
        <v>14</v>
      </c>
      <c r="E4326">
        <v>14</v>
      </c>
      <c r="F4326">
        <v>10.57</v>
      </c>
      <c r="G4326">
        <v>0</v>
      </c>
      <c r="H4326">
        <v>0</v>
      </c>
      <c r="I4326" s="3">
        <f>E4326+G4326+H4326</f>
        <v>14</v>
      </c>
      <c r="J4326" s="3">
        <f>ROUND(MIN(IF(C4326="Técnico III",35,IF(C4326="Técnico II",28,IF(C4326="Técnico I",23,IF(C4326="JR",20,IF(C4326="Estágio",10,0))))),IF(C4326="Técnico III",SUMIFS($D:$D,$A:$A,$A4326,$B:$B,"&lt;&gt;Patrícia Karla de Sousa Araújo",$B:$B,"&lt;&gt;Lorena Dias de Araujo",$B:$B,"&lt;&gt;Lucas Luiz Romero")*(35/1083),IF(C4326="Técnico II",SUMIFS($D:$D,$A:$A,$A4326,$B:$B,"&lt;&gt;Patrícia Karla de Sousa Araújo",$B:$B,"&lt;&gt;Lorena Dias de Araujo",$B:$B,"&lt;&gt;Lucas Luiz Romero")*(28/1083),IF(C4326="Técnico I",SUMIFS($D:$D,$A:$A,$A4326,$B:$B,"&lt;&gt;Patrícia Karla de Sousa Araújo",$B:$B,"&lt;&gt;Lorena Dias de Araujo",$B:$B,"&lt;&gt;Lucas Luiz Romero")*(23/1083),IF(C4326="JR",SUMIFS($D:$D,$A:$A,$A4326,$B:$B,"&lt;&gt;Patrícia Karla de Sousa Araújo",$B:$B,"&lt;&gt;Lorena Dias de Araujo",$B:$B,"&lt;&gt;Lucas Luiz Romero")*(20/1083),IF(C4326="Estágio",SUMIFS($D:$D,$A:$A,$A4326,$B:$B,"&lt;&gt;Patrícia Karla de Sousa Araújo",$B:$B,"&lt;&gt;Lorena Dias de Araujo",$B:$B,"&lt;&gt;Lucas Luiz Romero")*(10/1083),0)))))),0)</f>
        <v>14</v>
      </c>
      <c r="K4326" s="3">
        <f>I4326-J4326</f>
        <v>0</v>
      </c>
      <c r="L4326" s="3" t="str">
        <f>IF(K4326&lt;-5,"CRÍTICO",IF(K4326&lt;0,"ATENÇÃO",IF(K4326&lt;=5,"OPORTUNO","MUITO BOM")))</f>
        <v>OPORTUNO</v>
      </c>
      <c r="M4326">
        <v>40</v>
      </c>
      <c r="N4326">
        <v>100</v>
      </c>
      <c r="O4326">
        <v>23.9870340356564</v>
      </c>
    </row>
    <row r="4327" spans="1:15" hidden="1" x14ac:dyDescent="0.25">
      <c r="A4327" s="11">
        <v>46139</v>
      </c>
      <c r="B4327" t="s">
        <v>44</v>
      </c>
      <c r="C4327" t="s">
        <v>32</v>
      </c>
      <c r="D4327">
        <v>20</v>
      </c>
      <c r="E4327">
        <v>14</v>
      </c>
      <c r="F4327">
        <v>5.39</v>
      </c>
      <c r="G4327">
        <v>0</v>
      </c>
      <c r="H4327">
        <v>0</v>
      </c>
      <c r="I4327" s="3">
        <f>E4327+G4327+H4327</f>
        <v>14</v>
      </c>
      <c r="J4327" s="3">
        <f>ROUND(MIN(IF(C4327="Técnico III",35,IF(C4327="Técnico II",28,IF(C4327="Técnico I",23,IF(C4327="JR",20,IF(C4327="Estágio",10,0))))),IF(C4327="Técnico III",SUMIFS($D:$D,$A:$A,$A4327,$B:$B,"&lt;&gt;Patrícia Karla de Sousa Araújo",$B:$B,"&lt;&gt;Lorena Dias de Araujo",$B:$B,"&lt;&gt;Lucas Luiz Romero")*(35/1083),IF(C4327="Técnico II",SUMIFS($D:$D,$A:$A,$A4327,$B:$B,"&lt;&gt;Patrícia Karla de Sousa Araújo",$B:$B,"&lt;&gt;Lorena Dias de Araujo",$B:$B,"&lt;&gt;Lucas Luiz Romero")*(28/1083),IF(C4327="Técnico I",SUMIFS($D:$D,$A:$A,$A4327,$B:$B,"&lt;&gt;Patrícia Karla de Sousa Araújo",$B:$B,"&lt;&gt;Lorena Dias de Araujo",$B:$B,"&lt;&gt;Lucas Luiz Romero")*(23/1083),IF(C4327="JR",SUMIFS($D:$D,$A:$A,$A4327,$B:$B,"&lt;&gt;Patrícia Karla de Sousa Araújo",$B:$B,"&lt;&gt;Lorena Dias de Araujo",$B:$B,"&lt;&gt;Lucas Luiz Romero")*(20/1083),IF(C4327="Estágio",SUMIFS($D:$D,$A:$A,$A4327,$B:$B,"&lt;&gt;Patrícia Karla de Sousa Araújo",$B:$B,"&lt;&gt;Lorena Dias de Araujo",$B:$B,"&lt;&gt;Lucas Luiz Romero")*(10/1083),0)))))),0)</f>
        <v>14</v>
      </c>
      <c r="K4327" s="3">
        <f>I4327-J4327</f>
        <v>0</v>
      </c>
      <c r="L4327" s="3" t="str">
        <f>IF(K4327&lt;-5,"CRÍTICO",IF(K4327&lt;0,"ATENÇÃO",IF(K4327&lt;=5,"OPORTUNO","MUITO BOM")))</f>
        <v>OPORTUNO</v>
      </c>
      <c r="M4327">
        <v>14</v>
      </c>
      <c r="N4327">
        <v>95.49</v>
      </c>
      <c r="O4327">
        <v>28.370221327967808</v>
      </c>
    </row>
    <row r="4328" spans="1:15" hidden="1" x14ac:dyDescent="0.25">
      <c r="A4328" s="11">
        <v>46139</v>
      </c>
      <c r="B4328" t="s">
        <v>20</v>
      </c>
      <c r="C4328" t="s">
        <v>16</v>
      </c>
      <c r="D4328">
        <v>6</v>
      </c>
      <c r="E4328">
        <v>6</v>
      </c>
      <c r="F4328">
        <v>26.47</v>
      </c>
      <c r="G4328">
        <v>0</v>
      </c>
      <c r="H4328">
        <v>0</v>
      </c>
      <c r="I4328" s="3">
        <f>E4328+G4328+H4328</f>
        <v>6</v>
      </c>
      <c r="J4328" s="3">
        <f>ROUND(MIN(IF(C4328="Técnico III",35,IF(C4328="Técnico II",28,IF(C4328="Técnico I",23,IF(C4328="JR",20,IF(C4328="Estágio",10,0))))),IF(C4328="Técnico III",SUMIFS($D:$D,$A:$A,$A4328,$B:$B,"&lt;&gt;Patrícia Karla de Sousa Araújo",$B:$B,"&lt;&gt;Lorena Dias de Araujo",$B:$B,"&lt;&gt;Lucas Luiz Romero")*(35/1083),IF(C4328="Técnico II",SUMIFS($D:$D,$A:$A,$A4328,$B:$B,"&lt;&gt;Patrícia Karla de Sousa Araújo",$B:$B,"&lt;&gt;Lorena Dias de Araujo",$B:$B,"&lt;&gt;Lucas Luiz Romero")*(28/1083),IF(C4328="Técnico I",SUMIFS($D:$D,$A:$A,$A4328,$B:$B,"&lt;&gt;Patrícia Karla de Sousa Araújo",$B:$B,"&lt;&gt;Lorena Dias de Araujo",$B:$B,"&lt;&gt;Lucas Luiz Romero")*(23/1083),IF(C4328="JR",SUMIFS($D:$D,$A:$A,$A4328,$B:$B,"&lt;&gt;Patrícia Karla de Sousa Araújo",$B:$B,"&lt;&gt;Lorena Dias de Araujo",$B:$B,"&lt;&gt;Lucas Luiz Romero")*(20/1083),IF(C4328="Estágio",SUMIFS($D:$D,$A:$A,$A4328,$B:$B,"&lt;&gt;Patrícia Karla de Sousa Araújo",$B:$B,"&lt;&gt;Lorena Dias de Araujo",$B:$B,"&lt;&gt;Lucas Luiz Romero")*(10/1083),0)))))),0)</f>
        <v>4</v>
      </c>
      <c r="K4328" s="3">
        <f>I4328-J4328</f>
        <v>2</v>
      </c>
      <c r="L4328" s="3" t="str">
        <f>IF(K4328&lt;-5,"CRÍTICO",IF(K4328&lt;0,"ATENÇÃO",IF(K4328&lt;=5,"OPORTUNO","MUITO BOM")))</f>
        <v>OPORTUNO</v>
      </c>
      <c r="M4328">
        <v>5</v>
      </c>
      <c r="N4328">
        <v>100</v>
      </c>
      <c r="O4328">
        <v>23.77622377622378</v>
      </c>
    </row>
    <row r="4329" spans="1:15" hidden="1" x14ac:dyDescent="0.25">
      <c r="A4329" s="11">
        <v>46139</v>
      </c>
      <c r="B4329" t="s">
        <v>28</v>
      </c>
      <c r="C4329" t="s">
        <v>26</v>
      </c>
      <c r="D4329">
        <v>0</v>
      </c>
      <c r="E4329">
        <v>0</v>
      </c>
      <c r="F4329">
        <v>0</v>
      </c>
      <c r="G4329">
        <v>0</v>
      </c>
      <c r="H4329">
        <v>0</v>
      </c>
      <c r="I4329" s="3">
        <v>0</v>
      </c>
      <c r="J4329" s="3">
        <v>0</v>
      </c>
      <c r="K4329" s="3">
        <v>0</v>
      </c>
      <c r="L4329" s="3" t="str">
        <f>IF(K4329&lt;-5,"CRÍTICO",IF(K4329&lt;0,"ATENÇÃO",IF(K4329&lt;=5,"OPORTUNO","MUITO BOM")))</f>
        <v>OPORTUNO</v>
      </c>
      <c r="M4329">
        <v>0</v>
      </c>
      <c r="N4329">
        <v>96.15</v>
      </c>
      <c r="O4329">
        <v>24.045801526717561</v>
      </c>
    </row>
    <row r="4330" spans="1:15" hidden="1" x14ac:dyDescent="0.25">
      <c r="A4330" s="11">
        <v>46139</v>
      </c>
      <c r="B4330" t="s">
        <v>58</v>
      </c>
      <c r="C4330" t="s">
        <v>48</v>
      </c>
      <c r="D4330">
        <v>10</v>
      </c>
      <c r="E4330">
        <v>8</v>
      </c>
      <c r="F4330">
        <v>13.37</v>
      </c>
      <c r="G4330">
        <v>0</v>
      </c>
      <c r="H4330">
        <v>0</v>
      </c>
      <c r="I4330" s="3">
        <f>E4330+G4330+H4330</f>
        <v>8</v>
      </c>
      <c r="J4330" s="3">
        <f>ROUND(MIN(IF(C4330="Técnico III",35,IF(C4330="Técnico II",28,IF(C4330="Técnico I",23,IF(C4330="JR",20,IF(C4330="Estágio",10,0))))),IF(C4330="Técnico III",SUMIFS($D:$D,$A:$A,$A4330,$B:$B,"&lt;&gt;Patrícia Karla de Sousa Araújo",$B:$B,"&lt;&gt;Lorena Dias de Araujo",$B:$B,"&lt;&gt;Lucas Luiz Romero")*(35/1083),IF(C4330="Técnico II",SUMIFS($D:$D,$A:$A,$A4330,$B:$B,"&lt;&gt;Patrícia Karla de Sousa Araújo",$B:$B,"&lt;&gt;Lorena Dias de Araujo",$B:$B,"&lt;&gt;Lucas Luiz Romero")*(28/1083),IF(C4330="Técnico I",SUMIFS($D:$D,$A:$A,$A4330,$B:$B,"&lt;&gt;Patrícia Karla de Sousa Araújo",$B:$B,"&lt;&gt;Lorena Dias de Araujo",$B:$B,"&lt;&gt;Lucas Luiz Romero")*(23/1083),IF(C4330="JR",SUMIFS($D:$D,$A:$A,$A4330,$B:$B,"&lt;&gt;Patrícia Karla de Sousa Araújo",$B:$B,"&lt;&gt;Lorena Dias de Araujo",$B:$B,"&lt;&gt;Lucas Luiz Romero")*(20/1083),IF(C4330="Estágio",SUMIFS($D:$D,$A:$A,$A4330,$B:$B,"&lt;&gt;Patrícia Karla de Sousa Araújo",$B:$B,"&lt;&gt;Lorena Dias de Araujo",$B:$B,"&lt;&gt;Lucas Luiz Romero")*(10/1083),0)))))),0)</f>
        <v>12</v>
      </c>
      <c r="K4330" s="3">
        <f>I4330-J4330</f>
        <v>-4</v>
      </c>
      <c r="L4330" s="3" t="str">
        <f>IF(K4330&lt;-5,"CRÍTICO",IF(K4330&lt;0,"ATENÇÃO",IF(K4330&lt;=5,"OPORTUNO","MUITO BOM")))</f>
        <v>ATENÇÃO</v>
      </c>
      <c r="M4330">
        <v>7</v>
      </c>
      <c r="N4330">
        <v>99.02</v>
      </c>
      <c r="O4330">
        <v>34.797297297297298</v>
      </c>
    </row>
    <row r="4331" spans="1:15" hidden="1" x14ac:dyDescent="0.25">
      <c r="A4331" s="11">
        <v>46139</v>
      </c>
      <c r="B4331" t="s">
        <v>29</v>
      </c>
      <c r="C4331" t="s">
        <v>26</v>
      </c>
      <c r="D4331">
        <v>8</v>
      </c>
      <c r="E4331">
        <v>8</v>
      </c>
      <c r="F4331">
        <v>17.11</v>
      </c>
      <c r="G4331">
        <v>0</v>
      </c>
      <c r="H4331">
        <v>0</v>
      </c>
      <c r="I4331" s="3">
        <f>E4331+G4331+H4331</f>
        <v>8</v>
      </c>
      <c r="J4331" s="3">
        <f>ROUND(MIN(IF(C4331="Técnico III",35,IF(C4331="Técnico II",28,IF(C4331="Técnico I",23,IF(C4331="JR",20,IF(C4331="Estágio",10,0))))),IF(C4331="Técnico III",SUMIFS($D:$D,$A:$A,$A4331,$B:$B,"&lt;&gt;Patrícia Karla de Sousa Araújo",$B:$B,"&lt;&gt;Lorena Dias de Araujo",$B:$B,"&lt;&gt;Lucas Luiz Romero")*(35/1083),IF(C4331="Técnico II",SUMIFS($D:$D,$A:$A,$A4331,$B:$B,"&lt;&gt;Patrícia Karla de Sousa Araújo",$B:$B,"&lt;&gt;Lorena Dias de Araujo",$B:$B,"&lt;&gt;Lucas Luiz Romero")*(28/1083),IF(C4331="Técnico I",SUMIFS($D:$D,$A:$A,$A4331,$B:$B,"&lt;&gt;Patrícia Karla de Sousa Araújo",$B:$B,"&lt;&gt;Lorena Dias de Araujo",$B:$B,"&lt;&gt;Lucas Luiz Romero")*(23/1083),IF(C4331="JR",SUMIFS($D:$D,$A:$A,$A4331,$B:$B,"&lt;&gt;Patrícia Karla de Sousa Araújo",$B:$B,"&lt;&gt;Lorena Dias de Araujo",$B:$B,"&lt;&gt;Lucas Luiz Romero")*(20/1083),IF(C4331="Estágio",SUMIFS($D:$D,$A:$A,$A4331,$B:$B,"&lt;&gt;Patrícia Karla de Sousa Araújo",$B:$B,"&lt;&gt;Lorena Dias de Araujo",$B:$B,"&lt;&gt;Lucas Luiz Romero")*(10/1083),0)))))),0)</f>
        <v>8</v>
      </c>
      <c r="K4331" s="3">
        <f>I4331-J4331</f>
        <v>0</v>
      </c>
      <c r="L4331" s="3" t="str">
        <f>IF(K4331&lt;-5,"CRÍTICO",IF(K4331&lt;0,"ATENÇÃO",IF(K4331&lt;=5,"OPORTUNO","MUITO BOM")))</f>
        <v>OPORTUNO</v>
      </c>
      <c r="M4331">
        <v>7</v>
      </c>
      <c r="N4331">
        <v>98.84</v>
      </c>
      <c r="O4331">
        <v>31.868131868131869</v>
      </c>
    </row>
    <row r="4332" spans="1:15" hidden="1" x14ac:dyDescent="0.25">
      <c r="A4332" s="11">
        <v>46139</v>
      </c>
      <c r="B4332" t="s">
        <v>30</v>
      </c>
      <c r="C4332" t="s">
        <v>26</v>
      </c>
      <c r="D4332">
        <v>11</v>
      </c>
      <c r="E4332">
        <v>10</v>
      </c>
      <c r="F4332">
        <v>17.350000000000001</v>
      </c>
      <c r="G4332">
        <v>0</v>
      </c>
      <c r="H4332">
        <v>0</v>
      </c>
      <c r="I4332" s="3">
        <f>E4332+G4332+H4332</f>
        <v>10</v>
      </c>
      <c r="J4332" s="3">
        <f>ROUND(MIN(IF(C4332="Técnico III",35,IF(C4332="Técnico II",28,IF(C4332="Técnico I",23,IF(C4332="JR",20,IF(C4332="Estágio",10,0))))),IF(C4332="Técnico III",SUMIFS($D:$D,$A:$A,$A4332,$B:$B,"&lt;&gt;Patrícia Karla de Sousa Araújo",$B:$B,"&lt;&gt;Lorena Dias de Araujo",$B:$B,"&lt;&gt;Lucas Luiz Romero")*(35/1083),IF(C4332="Técnico II",SUMIFS($D:$D,$A:$A,$A4332,$B:$B,"&lt;&gt;Patrícia Karla de Sousa Araújo",$B:$B,"&lt;&gt;Lorena Dias de Araujo",$B:$B,"&lt;&gt;Lucas Luiz Romero")*(28/1083),IF(C4332="Técnico I",SUMIFS($D:$D,$A:$A,$A4332,$B:$B,"&lt;&gt;Patrícia Karla de Sousa Araújo",$B:$B,"&lt;&gt;Lorena Dias de Araujo",$B:$B,"&lt;&gt;Lucas Luiz Romero")*(23/1083),IF(C4332="JR",SUMIFS($D:$D,$A:$A,$A4332,$B:$B,"&lt;&gt;Patrícia Karla de Sousa Araújo",$B:$B,"&lt;&gt;Lorena Dias de Araujo",$B:$B,"&lt;&gt;Lucas Luiz Romero")*(20/1083),IF(C4332="Estágio",SUMIFS($D:$D,$A:$A,$A4332,$B:$B,"&lt;&gt;Patrícia Karla de Sousa Araújo",$B:$B,"&lt;&gt;Lorena Dias de Araujo",$B:$B,"&lt;&gt;Lucas Luiz Romero")*(10/1083),0)))))),0)</f>
        <v>8</v>
      </c>
      <c r="K4332" s="3">
        <f>I4332-J4332</f>
        <v>2</v>
      </c>
      <c r="L4332" s="3" t="str">
        <f>IF(K4332&lt;-5,"CRÍTICO",IF(K4332&lt;0,"ATENÇÃO",IF(K4332&lt;=5,"OPORTUNO","MUITO BOM")))</f>
        <v>OPORTUNO</v>
      </c>
      <c r="M4332">
        <v>8</v>
      </c>
      <c r="N4332">
        <v>100</v>
      </c>
      <c r="O4332">
        <v>34.666666666666671</v>
      </c>
    </row>
    <row r="4333" spans="1:15" hidden="1" x14ac:dyDescent="0.25">
      <c r="A4333" s="11">
        <v>46139</v>
      </c>
      <c r="B4333" t="s">
        <v>21</v>
      </c>
      <c r="C4333" t="s">
        <v>16</v>
      </c>
      <c r="D4333">
        <v>5</v>
      </c>
      <c r="E4333">
        <v>4</v>
      </c>
      <c r="F4333">
        <v>21.5</v>
      </c>
      <c r="G4333">
        <v>0</v>
      </c>
      <c r="H4333">
        <v>0</v>
      </c>
      <c r="I4333" s="3">
        <f>E4333+G4333+H4333</f>
        <v>4</v>
      </c>
      <c r="J4333" s="3">
        <f>ROUND(MIN(IF(C4333="Técnico III",35,IF(C4333="Técnico II",28,IF(C4333="Técnico I",23,IF(C4333="JR",20,IF(C4333="Estágio",10,0))))),IF(C4333="Técnico III",SUMIFS($D:$D,$A:$A,$A4333,$B:$B,"&lt;&gt;Patrícia Karla de Sousa Araújo",$B:$B,"&lt;&gt;Lorena Dias de Araujo",$B:$B,"&lt;&gt;Lucas Luiz Romero")*(35/1083),IF(C4333="Técnico II",SUMIFS($D:$D,$A:$A,$A4333,$B:$B,"&lt;&gt;Patrícia Karla de Sousa Araújo",$B:$B,"&lt;&gt;Lorena Dias de Araujo",$B:$B,"&lt;&gt;Lucas Luiz Romero")*(28/1083),IF(C4333="Técnico I",SUMIFS($D:$D,$A:$A,$A4333,$B:$B,"&lt;&gt;Patrícia Karla de Sousa Araújo",$B:$B,"&lt;&gt;Lorena Dias de Araujo",$B:$B,"&lt;&gt;Lucas Luiz Romero")*(23/1083),IF(C4333="JR",SUMIFS($D:$D,$A:$A,$A4333,$B:$B,"&lt;&gt;Patrícia Karla de Sousa Araújo",$B:$B,"&lt;&gt;Lorena Dias de Araujo",$B:$B,"&lt;&gt;Lucas Luiz Romero")*(20/1083),IF(C4333="Estágio",SUMIFS($D:$D,$A:$A,$A4333,$B:$B,"&lt;&gt;Patrícia Karla de Sousa Araújo",$B:$B,"&lt;&gt;Lorena Dias de Araujo",$B:$B,"&lt;&gt;Lucas Luiz Romero")*(10/1083),0)))))),0)</f>
        <v>4</v>
      </c>
      <c r="K4333" s="3">
        <f>I4333-J4333</f>
        <v>0</v>
      </c>
      <c r="L4333" s="3" t="str">
        <f>IF(K4333&lt;-5,"CRÍTICO",IF(K4333&lt;0,"ATENÇÃO",IF(K4333&lt;=5,"OPORTUNO","MUITO BOM")))</f>
        <v>OPORTUNO</v>
      </c>
      <c r="M4333">
        <v>4</v>
      </c>
      <c r="N4333">
        <v>94.12</v>
      </c>
      <c r="O4333">
        <v>32.799999999999997</v>
      </c>
    </row>
    <row r="4334" spans="1:15" hidden="1" x14ac:dyDescent="0.25">
      <c r="A4334" s="11">
        <v>46139</v>
      </c>
      <c r="B4334" t="s">
        <v>63</v>
      </c>
      <c r="C4334" t="s">
        <v>23</v>
      </c>
      <c r="D4334">
        <v>16</v>
      </c>
      <c r="E4334">
        <v>14</v>
      </c>
      <c r="F4334">
        <v>16.46</v>
      </c>
      <c r="G4334">
        <v>0</v>
      </c>
      <c r="H4334">
        <v>0</v>
      </c>
      <c r="I4334" s="3">
        <f>E4334+G4334+H4334</f>
        <v>14</v>
      </c>
      <c r="J4334" s="3">
        <f>ROUND(MIN(IF(C4334="Técnico III",35,IF(C4334="Técnico II",28,IF(C4334="Técnico I",23,IF(C4334="JR",20,IF(C4334="Estágio",10,0))))),IF(C4334="Técnico III",SUMIFS($D:$D,$A:$A,$A4334,$B:$B,"&lt;&gt;Patrícia Karla de Sousa Araújo",$B:$B,"&lt;&gt;Lorena Dias de Araujo",$B:$B,"&lt;&gt;Lucas Luiz Romero")*(35/1083),IF(C4334="Técnico II",SUMIFS($D:$D,$A:$A,$A4334,$B:$B,"&lt;&gt;Patrícia Karla de Sousa Araújo",$B:$B,"&lt;&gt;Lorena Dias de Araujo",$B:$B,"&lt;&gt;Lucas Luiz Romero")*(28/1083),IF(C4334="Técnico I",SUMIFS($D:$D,$A:$A,$A4334,$B:$B,"&lt;&gt;Patrícia Karla de Sousa Araújo",$B:$B,"&lt;&gt;Lorena Dias de Araujo",$B:$B,"&lt;&gt;Lucas Luiz Romero")*(23/1083),IF(C4334="JR",SUMIFS($D:$D,$A:$A,$A4334,$B:$B,"&lt;&gt;Patrícia Karla de Sousa Araújo",$B:$B,"&lt;&gt;Lorena Dias de Araujo",$B:$B,"&lt;&gt;Lucas Luiz Romero")*(20/1083),IF(C4334="Estágio",SUMIFS($D:$D,$A:$A,$A4334,$B:$B,"&lt;&gt;Patrícia Karla de Sousa Araújo",$B:$B,"&lt;&gt;Lorena Dias de Araujo",$B:$B,"&lt;&gt;Lucas Luiz Romero")*(10/1083),0)))))),0)</f>
        <v>9</v>
      </c>
      <c r="K4334" s="3">
        <f>I4334-J4334</f>
        <v>5</v>
      </c>
      <c r="L4334" s="3" t="str">
        <f>IF(K4334&lt;-5,"CRÍTICO",IF(K4334&lt;0,"ATENÇÃO",IF(K4334&lt;=5,"OPORTUNO","MUITO BOM")))</f>
        <v>OPORTUNO</v>
      </c>
      <c r="M4334">
        <v>11</v>
      </c>
      <c r="N4334">
        <v>98.32</v>
      </c>
      <c r="O4334">
        <v>26.858513189448441</v>
      </c>
    </row>
    <row r="4335" spans="1:15" hidden="1" x14ac:dyDescent="0.25">
      <c r="A4335" s="11">
        <v>46139</v>
      </c>
      <c r="B4335" t="s">
        <v>45</v>
      </c>
      <c r="C4335" t="s">
        <v>32</v>
      </c>
      <c r="D4335">
        <v>18</v>
      </c>
      <c r="E4335">
        <v>16</v>
      </c>
      <c r="F4335">
        <v>12.28</v>
      </c>
      <c r="G4335">
        <v>0</v>
      </c>
      <c r="H4335">
        <v>0</v>
      </c>
      <c r="I4335" s="3">
        <f>E4335+G4335+H4335</f>
        <v>16</v>
      </c>
      <c r="J4335" s="3">
        <f>ROUND(MIN(IF(C4335="Técnico III",35,IF(C4335="Técnico II",28,IF(C4335="Técnico I",23,IF(C4335="JR",20,IF(C4335="Estágio",10,0))))),IF(C4335="Técnico III",SUMIFS($D:$D,$A:$A,$A4335,$B:$B,"&lt;&gt;Patrícia Karla de Sousa Araújo",$B:$B,"&lt;&gt;Lorena Dias de Araujo",$B:$B,"&lt;&gt;Lucas Luiz Romero")*(35/1083),IF(C4335="Técnico II",SUMIFS($D:$D,$A:$A,$A4335,$B:$B,"&lt;&gt;Patrícia Karla de Sousa Araújo",$B:$B,"&lt;&gt;Lorena Dias de Araujo",$B:$B,"&lt;&gt;Lucas Luiz Romero")*(28/1083),IF(C4335="Técnico I",SUMIFS($D:$D,$A:$A,$A4335,$B:$B,"&lt;&gt;Patrícia Karla de Sousa Araújo",$B:$B,"&lt;&gt;Lorena Dias de Araujo",$B:$B,"&lt;&gt;Lucas Luiz Romero")*(23/1083),IF(C4335="JR",SUMIFS($D:$D,$A:$A,$A4335,$B:$B,"&lt;&gt;Patrícia Karla de Sousa Araújo",$B:$B,"&lt;&gt;Lorena Dias de Araujo",$B:$B,"&lt;&gt;Lucas Luiz Romero")*(20/1083),IF(C4335="Estágio",SUMIFS($D:$D,$A:$A,$A4335,$B:$B,"&lt;&gt;Patrícia Karla de Sousa Araújo",$B:$B,"&lt;&gt;Lorena Dias de Araujo",$B:$B,"&lt;&gt;Lucas Luiz Romero")*(10/1083),0)))))),0)</f>
        <v>14</v>
      </c>
      <c r="K4335" s="3">
        <f>I4335-J4335</f>
        <v>2</v>
      </c>
      <c r="L4335" s="3" t="str">
        <f>IF(K4335&lt;-5,"CRÍTICO",IF(K4335&lt;0,"ATENÇÃO",IF(K4335&lt;=5,"OPORTUNO","MUITO BOM")))</f>
        <v>OPORTUNO</v>
      </c>
      <c r="M4335">
        <v>17</v>
      </c>
      <c r="N4335">
        <v>100</v>
      </c>
      <c r="O4335">
        <v>31.135531135531139</v>
      </c>
    </row>
    <row r="4336" spans="1:15" hidden="1" x14ac:dyDescent="0.25">
      <c r="A4336" s="11">
        <v>46139</v>
      </c>
      <c r="B4336" t="s">
        <v>64</v>
      </c>
      <c r="C4336" t="s">
        <v>23</v>
      </c>
      <c r="D4336">
        <v>10</v>
      </c>
      <c r="E4336">
        <v>10</v>
      </c>
      <c r="F4336">
        <v>25.09</v>
      </c>
      <c r="G4336">
        <v>0</v>
      </c>
      <c r="H4336">
        <v>0</v>
      </c>
      <c r="I4336" s="3">
        <f>E4336+G4336+H4336</f>
        <v>10</v>
      </c>
      <c r="J4336" s="3">
        <f>ROUND(MIN(IF(C4336="Técnico III",35,IF(C4336="Técnico II",28,IF(C4336="Técnico I",23,IF(C4336="JR",20,IF(C4336="Estágio",10,0))))),IF(C4336="Técnico III",SUMIFS($D:$D,$A:$A,$A4336,$B:$B,"&lt;&gt;Patrícia Karla de Sousa Araújo",$B:$B,"&lt;&gt;Lorena Dias de Araujo",$B:$B,"&lt;&gt;Lucas Luiz Romero")*(35/1083),IF(C4336="Técnico II",SUMIFS($D:$D,$A:$A,$A4336,$B:$B,"&lt;&gt;Patrícia Karla de Sousa Araújo",$B:$B,"&lt;&gt;Lorena Dias de Araujo",$B:$B,"&lt;&gt;Lucas Luiz Romero")*(28/1083),IF(C4336="Técnico I",SUMIFS($D:$D,$A:$A,$A4336,$B:$B,"&lt;&gt;Patrícia Karla de Sousa Araújo",$B:$B,"&lt;&gt;Lorena Dias de Araujo",$B:$B,"&lt;&gt;Lucas Luiz Romero")*(23/1083),IF(C4336="JR",SUMIFS($D:$D,$A:$A,$A4336,$B:$B,"&lt;&gt;Patrícia Karla de Sousa Araújo",$B:$B,"&lt;&gt;Lorena Dias de Araujo",$B:$B,"&lt;&gt;Lucas Luiz Romero")*(20/1083),IF(C4336="Estágio",SUMIFS($D:$D,$A:$A,$A4336,$B:$B,"&lt;&gt;Patrícia Karla de Sousa Araújo",$B:$B,"&lt;&gt;Lorena Dias de Araujo",$B:$B,"&lt;&gt;Lucas Luiz Romero")*(10/1083),0)))))),0)</f>
        <v>9</v>
      </c>
      <c r="K4336" s="3">
        <f>I4336-J4336</f>
        <v>1</v>
      </c>
      <c r="L4336" s="3" t="str">
        <f>IF(K4336&lt;-5,"CRÍTICO",IF(K4336&lt;0,"ATENÇÃO",IF(K4336&lt;=5,"OPORTUNO","MUITO BOM")))</f>
        <v>OPORTUNO</v>
      </c>
      <c r="M4336">
        <v>9</v>
      </c>
      <c r="N4336">
        <v>100</v>
      </c>
      <c r="O4336">
        <v>26.36986301369863</v>
      </c>
    </row>
    <row r="4337" spans="1:15" hidden="1" x14ac:dyDescent="0.25">
      <c r="A4337" s="11">
        <v>46139</v>
      </c>
      <c r="B4337" t="s">
        <v>46</v>
      </c>
      <c r="C4337" t="s">
        <v>32</v>
      </c>
      <c r="D4337">
        <v>16</v>
      </c>
      <c r="E4337">
        <v>15</v>
      </c>
      <c r="F4337">
        <v>16.55</v>
      </c>
      <c r="G4337">
        <v>0</v>
      </c>
      <c r="H4337">
        <v>0</v>
      </c>
      <c r="I4337" s="3">
        <f>E4337+G4337+H4337</f>
        <v>15</v>
      </c>
      <c r="J4337" s="3">
        <f>ROUND(MIN(IF(C4337="Técnico III",35,IF(C4337="Técnico II",28,IF(C4337="Técnico I",23,IF(C4337="JR",20,IF(C4337="Estágio",10,0))))),IF(C4337="Técnico III",SUMIFS($D:$D,$A:$A,$A4337,$B:$B,"&lt;&gt;Patrícia Karla de Sousa Araújo",$B:$B,"&lt;&gt;Lorena Dias de Araujo",$B:$B,"&lt;&gt;Lucas Luiz Romero")*(35/1083),IF(C4337="Técnico II",SUMIFS($D:$D,$A:$A,$A4337,$B:$B,"&lt;&gt;Patrícia Karla de Sousa Araújo",$B:$B,"&lt;&gt;Lorena Dias de Araujo",$B:$B,"&lt;&gt;Lucas Luiz Romero")*(28/1083),IF(C4337="Técnico I",SUMIFS($D:$D,$A:$A,$A4337,$B:$B,"&lt;&gt;Patrícia Karla de Sousa Araújo",$B:$B,"&lt;&gt;Lorena Dias de Araujo",$B:$B,"&lt;&gt;Lucas Luiz Romero")*(23/1083),IF(C4337="JR",SUMIFS($D:$D,$A:$A,$A4337,$B:$B,"&lt;&gt;Patrícia Karla de Sousa Araújo",$B:$B,"&lt;&gt;Lorena Dias de Araujo",$B:$B,"&lt;&gt;Lucas Luiz Romero")*(20/1083),IF(C4337="Estágio",SUMIFS($D:$D,$A:$A,$A4337,$B:$B,"&lt;&gt;Patrícia Karla de Sousa Araújo",$B:$B,"&lt;&gt;Lorena Dias de Araujo",$B:$B,"&lt;&gt;Lucas Luiz Romero")*(10/1083),0)))))),0)</f>
        <v>14</v>
      </c>
      <c r="K4337" s="3">
        <f>I4337-J4337</f>
        <v>1</v>
      </c>
      <c r="L4337" s="3" t="str">
        <f>IF(K4337&lt;-5,"CRÍTICO",IF(K4337&lt;0,"ATENÇÃO",IF(K4337&lt;=5,"OPORTUNO","MUITO BOM")))</f>
        <v>OPORTUNO</v>
      </c>
      <c r="M4337">
        <v>14</v>
      </c>
      <c r="N4337">
        <v>99.21</v>
      </c>
      <c r="O4337">
        <v>25.188916876574311</v>
      </c>
    </row>
    <row r="4338" spans="1:15" hidden="1" x14ac:dyDescent="0.25">
      <c r="A4338" s="7">
        <v>46161</v>
      </c>
      <c r="B4338" s="8" t="s">
        <v>53</v>
      </c>
      <c r="C4338" s="14" t="s">
        <v>48</v>
      </c>
      <c r="D4338" s="3">
        <v>0</v>
      </c>
      <c r="E4338" s="3">
        <v>0</v>
      </c>
      <c r="F4338" s="3">
        <v>0</v>
      </c>
      <c r="G4338" s="3">
        <v>0</v>
      </c>
      <c r="H4338" s="3">
        <v>0</v>
      </c>
      <c r="I4338" s="3">
        <f>E4338+G4338+H4338</f>
        <v>0</v>
      </c>
      <c r="J4338" s="3">
        <f>ROUND(MIN(IF(C4338="Técnico III",35,IF(C4338="Técnico II",28,IF(C4338="Técnico I",23,IF(C4338="JR",20,IF(C4338="Estágio",10,0))))),IF(C4338="Técnico III",SUMIFS($D:$D,$A:$A,$A4338,$B:$B,"&lt;&gt;Patrícia Karla de Sousa Araújo",$B:$B,"&lt;&gt;Lorena Dias de Araujo",$B:$B,"&lt;&gt;Lucas Luiz Romero")*(35/1083),IF(C4338="Técnico II",SUMIFS($D:$D,$A:$A,$A4338,$B:$B,"&lt;&gt;Patrícia Karla de Sousa Araújo",$B:$B,"&lt;&gt;Lorena Dias de Araujo",$B:$B,"&lt;&gt;Lucas Luiz Romero")*(28/1083),IF(C4338="Técnico I",SUMIFS($D:$D,$A:$A,$A4338,$B:$B,"&lt;&gt;Patrícia Karla de Sousa Araújo",$B:$B,"&lt;&gt;Lorena Dias de Araujo",$B:$B,"&lt;&gt;Lucas Luiz Romero")*(23/1083),IF(C4338="JR",SUMIFS($D:$D,$A:$A,$A4338,$B:$B,"&lt;&gt;Patrícia Karla de Sousa Araújo",$B:$B,"&lt;&gt;Lorena Dias de Araujo",$B:$B,"&lt;&gt;Lucas Luiz Romero")*(20/1083),IF(C4338="Estágio",SUMIFS($D:$D,$A:$A,$A4338,$B:$B,"&lt;&gt;Patrícia Karla de Sousa Araújo",$B:$B,"&lt;&gt;Lorena Dias de Araujo",$B:$B,"&lt;&gt;Lucas Luiz Romero")*(10/1083),0)))))),0)</f>
        <v>23</v>
      </c>
      <c r="K4338" s="3">
        <f>I4338-J4338</f>
        <v>-23</v>
      </c>
      <c r="L4338" s="3" t="str">
        <f>IF(K4338&lt;-5,"CRÍTICO",IF(K4338&lt;0,"ATENÇÃO",IF(K4338&lt;=5,"OPORTUNO","MUITO BOM")))</f>
        <v>CRÍTICO</v>
      </c>
      <c r="M4338" s="3">
        <v>0</v>
      </c>
      <c r="N4338" s="3">
        <v>100</v>
      </c>
      <c r="O4338" s="3">
        <v>17.241379310344829</v>
      </c>
    </row>
    <row r="4339" spans="1:15" hidden="1" x14ac:dyDescent="0.25">
      <c r="A4339" s="7">
        <v>46161</v>
      </c>
      <c r="B4339" s="8" t="s">
        <v>54</v>
      </c>
      <c r="C4339" s="14" t="s">
        <v>48</v>
      </c>
      <c r="D4339" s="3">
        <v>28</v>
      </c>
      <c r="E4339" s="3">
        <v>25</v>
      </c>
      <c r="F4339" s="3">
        <v>16.55</v>
      </c>
      <c r="G4339" s="3">
        <v>0</v>
      </c>
      <c r="H4339" s="3">
        <v>0</v>
      </c>
      <c r="I4339" s="3">
        <f>E4339+G4339+H4339</f>
        <v>25</v>
      </c>
      <c r="J4339" s="3">
        <f>ROUND(MIN(IF(C4339="Técnico III",35,IF(C4339="Técnico II",28,IF(C4339="Técnico I",23,IF(C4339="JR",20,IF(C4339="Estágio",10,0))))),IF(C4339="Técnico III",SUMIFS($D:$D,$A:$A,$A4339,$B:$B,"&lt;&gt;Patrícia Karla de Sousa Araújo",$B:$B,"&lt;&gt;Lorena Dias de Araujo",$B:$B,"&lt;&gt;Lucas Luiz Romero")*(35/1083),IF(C4339="Técnico II",SUMIFS($D:$D,$A:$A,$A4339,$B:$B,"&lt;&gt;Patrícia Karla de Sousa Araújo",$B:$B,"&lt;&gt;Lorena Dias de Araujo",$B:$B,"&lt;&gt;Lucas Luiz Romero")*(28/1083),IF(C4339="Técnico I",SUMIFS($D:$D,$A:$A,$A4339,$B:$B,"&lt;&gt;Patrícia Karla de Sousa Araújo",$B:$B,"&lt;&gt;Lorena Dias de Araujo",$B:$B,"&lt;&gt;Lucas Luiz Romero")*(23/1083),IF(C4339="JR",SUMIFS($D:$D,$A:$A,$A4339,$B:$B,"&lt;&gt;Patrícia Karla de Sousa Araújo",$B:$B,"&lt;&gt;Lorena Dias de Araujo",$B:$B,"&lt;&gt;Lucas Luiz Romero")*(20/1083),IF(C4339="Estágio",SUMIFS($D:$D,$A:$A,$A4339,$B:$B,"&lt;&gt;Patrícia Karla de Sousa Araújo",$B:$B,"&lt;&gt;Lorena Dias de Araujo",$B:$B,"&lt;&gt;Lucas Luiz Romero")*(10/1083),0)))))),0)</f>
        <v>23</v>
      </c>
      <c r="K4339" s="3">
        <f>I4339-J4339</f>
        <v>2</v>
      </c>
      <c r="L4339" s="3" t="str">
        <f>IF(K4339&lt;-5,"CRÍTICO",IF(K4339&lt;0,"ATENÇÃO",IF(K4339&lt;=5,"OPORTUNO","MUITO BOM")))</f>
        <v>OPORTUNO</v>
      </c>
      <c r="M4339" s="3">
        <v>22</v>
      </c>
      <c r="N4339" s="3">
        <v>98.98</v>
      </c>
      <c r="O4339" s="3">
        <v>19.35483870967742</v>
      </c>
    </row>
    <row r="4340" spans="1:15" hidden="1" x14ac:dyDescent="0.25">
      <c r="A4340" s="7">
        <v>46161</v>
      </c>
      <c r="B4340" s="8" t="s">
        <v>55</v>
      </c>
      <c r="C4340" s="14" t="s">
        <v>48</v>
      </c>
      <c r="D4340" s="3">
        <v>24</v>
      </c>
      <c r="E4340" s="3">
        <v>20</v>
      </c>
      <c r="F4340" s="3">
        <v>17</v>
      </c>
      <c r="G4340" s="3">
        <v>2</v>
      </c>
      <c r="H4340" s="3">
        <v>0</v>
      </c>
      <c r="I4340" s="3">
        <f>E4340+G4340+H4340</f>
        <v>22</v>
      </c>
      <c r="J4340" s="3">
        <f>ROUND(MIN(IF(C4340="Técnico III",35,IF(C4340="Técnico II",28,IF(C4340="Técnico I",23,IF(C4340="JR",20,IF(C4340="Estágio",10,0))))),IF(C4340="Técnico III",SUMIFS($D:$D,$A:$A,$A4340,$B:$B,"&lt;&gt;Patrícia Karla de Sousa Araújo",$B:$B,"&lt;&gt;Lorena Dias de Araujo",$B:$B,"&lt;&gt;Lucas Luiz Romero")*(35/1083),IF(C4340="Técnico II",SUMIFS($D:$D,$A:$A,$A4340,$B:$B,"&lt;&gt;Patrícia Karla de Sousa Araújo",$B:$B,"&lt;&gt;Lorena Dias de Araujo",$B:$B,"&lt;&gt;Lucas Luiz Romero")*(28/1083),IF(C4340="Técnico I",SUMIFS($D:$D,$A:$A,$A4340,$B:$B,"&lt;&gt;Patrícia Karla de Sousa Araújo",$B:$B,"&lt;&gt;Lorena Dias de Araujo",$B:$B,"&lt;&gt;Lucas Luiz Romero")*(23/1083),IF(C4340="JR",SUMIFS($D:$D,$A:$A,$A4340,$B:$B,"&lt;&gt;Patrícia Karla de Sousa Araújo",$B:$B,"&lt;&gt;Lorena Dias de Araujo",$B:$B,"&lt;&gt;Lucas Luiz Romero")*(20/1083),IF(C4340="Estágio",SUMIFS($D:$D,$A:$A,$A4340,$B:$B,"&lt;&gt;Patrícia Karla de Sousa Araújo",$B:$B,"&lt;&gt;Lorena Dias de Araujo",$B:$B,"&lt;&gt;Lucas Luiz Romero")*(10/1083),0)))))),0)</f>
        <v>23</v>
      </c>
      <c r="K4340" s="3">
        <f>I4340-J4340</f>
        <v>-1</v>
      </c>
      <c r="L4340" s="3" t="str">
        <f>IF(K4340&lt;-5,"CRÍTICO",IF(K4340&lt;0,"ATENÇÃO",IF(K4340&lt;=5,"OPORTUNO","MUITO BOM")))</f>
        <v>ATENÇÃO</v>
      </c>
      <c r="M4340" s="3">
        <v>16</v>
      </c>
      <c r="N4340" s="3">
        <v>98.94</v>
      </c>
      <c r="O4340" s="3">
        <v>21.270718232044199</v>
      </c>
    </row>
    <row r="4341" spans="1:15" hidden="1" x14ac:dyDescent="0.25">
      <c r="A4341" s="7">
        <v>46161</v>
      </c>
      <c r="B4341" s="8" t="s">
        <v>56</v>
      </c>
      <c r="C4341" s="14" t="s">
        <v>48</v>
      </c>
      <c r="D4341" s="3">
        <v>28</v>
      </c>
      <c r="E4341" s="3">
        <v>25</v>
      </c>
      <c r="F4341" s="3">
        <v>19.03</v>
      </c>
      <c r="G4341" s="3">
        <v>3</v>
      </c>
      <c r="H4341" s="3">
        <v>0</v>
      </c>
      <c r="I4341" s="3">
        <f>E4341+G4341+H4341</f>
        <v>28</v>
      </c>
      <c r="J4341" s="3">
        <f>ROUND(MIN(IF(C4341="Técnico III",35,IF(C4341="Técnico II",28,IF(C4341="Técnico I",23,IF(C4341="JR",20,IF(C4341="Estágio",10,0))))),IF(C4341="Técnico III",SUMIFS($D:$D,$A:$A,$A4341,$B:$B,"&lt;&gt;Patrícia Karla de Sousa Araújo",$B:$B,"&lt;&gt;Lorena Dias de Araujo",$B:$B,"&lt;&gt;Lucas Luiz Romero")*(35/1083),IF(C4341="Técnico II",SUMIFS($D:$D,$A:$A,$A4341,$B:$B,"&lt;&gt;Patrícia Karla de Sousa Araújo",$B:$B,"&lt;&gt;Lorena Dias de Araujo",$B:$B,"&lt;&gt;Lucas Luiz Romero")*(28/1083),IF(C4341="Técnico I",SUMIFS($D:$D,$A:$A,$A4341,$B:$B,"&lt;&gt;Patrícia Karla de Sousa Araújo",$B:$B,"&lt;&gt;Lorena Dias de Araujo",$B:$B,"&lt;&gt;Lucas Luiz Romero")*(23/1083),IF(C4341="JR",SUMIFS($D:$D,$A:$A,$A4341,$B:$B,"&lt;&gt;Patrícia Karla de Sousa Araújo",$B:$B,"&lt;&gt;Lorena Dias de Araujo",$B:$B,"&lt;&gt;Lucas Luiz Romero")*(20/1083),IF(C4341="Estágio",SUMIFS($D:$D,$A:$A,$A4341,$B:$B,"&lt;&gt;Patrícia Karla de Sousa Araújo",$B:$B,"&lt;&gt;Lorena Dias de Araujo",$B:$B,"&lt;&gt;Lucas Luiz Romero")*(10/1083),0)))))),0)</f>
        <v>23</v>
      </c>
      <c r="K4341" s="3">
        <f>I4341-J4341</f>
        <v>5</v>
      </c>
      <c r="L4341" s="3" t="str">
        <f>IF(K4341&lt;-5,"CRÍTICO",IF(K4341&lt;0,"ATENÇÃO",IF(K4341&lt;=5,"OPORTUNO","MUITO BOM")))</f>
        <v>OPORTUNO</v>
      </c>
      <c r="M4341" s="3">
        <v>45</v>
      </c>
      <c r="N4341" s="3">
        <v>99</v>
      </c>
      <c r="O4341" s="3">
        <v>22.010869565217391</v>
      </c>
    </row>
    <row r="4342" spans="1:15" hidden="1" x14ac:dyDescent="0.25">
      <c r="A4342" s="7">
        <v>46161</v>
      </c>
      <c r="B4342" s="8" t="s">
        <v>57</v>
      </c>
      <c r="C4342" s="14" t="s">
        <v>48</v>
      </c>
      <c r="D4342" s="3">
        <v>22</v>
      </c>
      <c r="E4342" s="3">
        <v>21</v>
      </c>
      <c r="F4342" s="3">
        <v>24.02</v>
      </c>
      <c r="G4342" s="3">
        <v>0</v>
      </c>
      <c r="H4342" s="3">
        <v>0</v>
      </c>
      <c r="I4342" s="3">
        <f>E4342+G4342+H4342</f>
        <v>21</v>
      </c>
      <c r="J4342" s="3">
        <f>ROUND(MIN(IF(C4342="Técnico III",35,IF(C4342="Técnico II",28,IF(C4342="Técnico I",23,IF(C4342="JR",20,IF(C4342="Estágio",10,0))))),IF(C4342="Técnico III",SUMIFS($D:$D,$A:$A,$A4342,$B:$B,"&lt;&gt;Patrícia Karla de Sousa Araújo",$B:$B,"&lt;&gt;Lorena Dias de Araujo",$B:$B,"&lt;&gt;Lucas Luiz Romero")*(35/1083),IF(C4342="Técnico II",SUMIFS($D:$D,$A:$A,$A4342,$B:$B,"&lt;&gt;Patrícia Karla de Sousa Araújo",$B:$B,"&lt;&gt;Lorena Dias de Araujo",$B:$B,"&lt;&gt;Lucas Luiz Romero")*(28/1083),IF(C4342="Técnico I",SUMIFS($D:$D,$A:$A,$A4342,$B:$B,"&lt;&gt;Patrícia Karla de Sousa Araújo",$B:$B,"&lt;&gt;Lorena Dias de Araujo",$B:$B,"&lt;&gt;Lucas Luiz Romero")*(23/1083),IF(C4342="JR",SUMIFS($D:$D,$A:$A,$A4342,$B:$B,"&lt;&gt;Patrícia Karla de Sousa Araújo",$B:$B,"&lt;&gt;Lorena Dias de Araujo",$B:$B,"&lt;&gt;Lucas Luiz Romero")*(20/1083),IF(C4342="Estágio",SUMIFS($D:$D,$A:$A,$A4342,$B:$B,"&lt;&gt;Patrícia Karla de Sousa Araújo",$B:$B,"&lt;&gt;Lorena Dias de Araujo",$B:$B,"&lt;&gt;Lucas Luiz Romero")*(10/1083),0)))))),0)</f>
        <v>23</v>
      </c>
      <c r="K4342" s="3">
        <f>I4342-J4342</f>
        <v>-2</v>
      </c>
      <c r="L4342" s="3" t="str">
        <f>IF(K4342&lt;-5,"CRÍTICO",IF(K4342&lt;0,"ATENÇÃO",IF(K4342&lt;=5,"OPORTUNO","MUITO BOM")))</f>
        <v>ATENÇÃO</v>
      </c>
      <c r="M4342" s="3">
        <v>19</v>
      </c>
      <c r="N4342" s="3">
        <v>100</v>
      </c>
      <c r="O4342" s="3">
        <v>25</v>
      </c>
    </row>
    <row r="4343" spans="1:15" hidden="1" x14ac:dyDescent="0.25">
      <c r="A4343" s="7">
        <v>46161</v>
      </c>
      <c r="B4343" s="8" t="s">
        <v>58</v>
      </c>
      <c r="C4343" s="14" t="s">
        <v>48</v>
      </c>
      <c r="D4343" s="3">
        <v>25</v>
      </c>
      <c r="E4343" s="3">
        <v>23</v>
      </c>
      <c r="F4343" s="3">
        <v>17.03</v>
      </c>
      <c r="G4343" s="3">
        <v>0</v>
      </c>
      <c r="H4343" s="3">
        <v>0</v>
      </c>
      <c r="I4343" s="3">
        <f>E4343+G4343+H4343</f>
        <v>23</v>
      </c>
      <c r="J4343" s="3">
        <f>ROUND(MIN(IF(C4343="Técnico III",35,IF(C4343="Técnico II",28,IF(C4343="Técnico I",23,IF(C4343="JR",20,IF(C4343="Estágio",10,0))))),IF(C4343="Técnico III",SUMIFS($D:$D,$A:$A,$A4343,$B:$B,"&lt;&gt;Patrícia Karla de Sousa Araújo",$B:$B,"&lt;&gt;Lorena Dias de Araujo",$B:$B,"&lt;&gt;Lucas Luiz Romero")*(35/1083),IF(C4343="Técnico II",SUMIFS($D:$D,$A:$A,$A4343,$B:$B,"&lt;&gt;Patrícia Karla de Sousa Araújo",$B:$B,"&lt;&gt;Lorena Dias de Araujo",$B:$B,"&lt;&gt;Lucas Luiz Romero")*(28/1083),IF(C4343="Técnico I",SUMIFS($D:$D,$A:$A,$A4343,$B:$B,"&lt;&gt;Patrícia Karla de Sousa Araújo",$B:$B,"&lt;&gt;Lorena Dias de Araujo",$B:$B,"&lt;&gt;Lucas Luiz Romero")*(23/1083),IF(C4343="JR",SUMIFS($D:$D,$A:$A,$A4343,$B:$B,"&lt;&gt;Patrícia Karla de Sousa Araújo",$B:$B,"&lt;&gt;Lorena Dias de Araujo",$B:$B,"&lt;&gt;Lucas Luiz Romero")*(20/1083),IF(C4343="Estágio",SUMIFS($D:$D,$A:$A,$A4343,$B:$B,"&lt;&gt;Patrícia Karla de Sousa Araújo",$B:$B,"&lt;&gt;Lorena Dias de Araujo",$B:$B,"&lt;&gt;Lucas Luiz Romero")*(10/1083),0)))))),0)</f>
        <v>23</v>
      </c>
      <c r="K4343" s="3">
        <f>I4343-J4343</f>
        <v>0</v>
      </c>
      <c r="L4343" s="3" t="str">
        <f>IF(K4343&lt;-5,"CRÍTICO",IF(K4343&lt;0,"ATENÇÃO",IF(K4343&lt;=5,"OPORTUNO","MUITO BOM")))</f>
        <v>OPORTUNO</v>
      </c>
      <c r="M4343" s="3">
        <v>22</v>
      </c>
      <c r="N4343" s="3">
        <v>100</v>
      </c>
      <c r="O4343" s="3">
        <v>20.183486238532112</v>
      </c>
    </row>
    <row r="4344" spans="1:15" hidden="1" x14ac:dyDescent="0.25">
      <c r="A4344" s="7">
        <v>46161</v>
      </c>
      <c r="B4344" s="8" t="s">
        <v>59</v>
      </c>
      <c r="C4344" s="14" t="s">
        <v>23</v>
      </c>
      <c r="D4344" s="3">
        <v>30</v>
      </c>
      <c r="E4344" s="3">
        <v>29</v>
      </c>
      <c r="F4344" s="3">
        <v>15.36</v>
      </c>
      <c r="G4344" s="3">
        <v>1</v>
      </c>
      <c r="H4344" s="3">
        <v>0</v>
      </c>
      <c r="I4344" s="3">
        <f>E4344+G4344+H4344</f>
        <v>30</v>
      </c>
      <c r="J4344" s="3">
        <f>ROUND(MIN(IF(C4344="Técnico III",35,IF(C4344="Técnico II",28,IF(C4344="Técnico I",23,IF(C4344="JR",20,IF(C4344="Estágio",10,0))))),IF(C4344="Técnico III",SUMIFS($D:$D,$A:$A,$A4344,$B:$B,"&lt;&gt;Patrícia Karla de Sousa Araújo",$B:$B,"&lt;&gt;Lorena Dias de Araujo",$B:$B,"&lt;&gt;Lucas Luiz Romero")*(35/1083),IF(C4344="Técnico II",SUMIFS($D:$D,$A:$A,$A4344,$B:$B,"&lt;&gt;Patrícia Karla de Sousa Araújo",$B:$B,"&lt;&gt;Lorena Dias de Araujo",$B:$B,"&lt;&gt;Lucas Luiz Romero")*(28/1083),IF(C4344="Técnico I",SUMIFS($D:$D,$A:$A,$A4344,$B:$B,"&lt;&gt;Patrícia Karla de Sousa Araújo",$B:$B,"&lt;&gt;Lorena Dias de Araujo",$B:$B,"&lt;&gt;Lucas Luiz Romero")*(23/1083),IF(C4344="JR",SUMIFS($D:$D,$A:$A,$A4344,$B:$B,"&lt;&gt;Patrícia Karla de Sousa Araújo",$B:$B,"&lt;&gt;Lorena Dias de Araujo",$B:$B,"&lt;&gt;Lucas Luiz Romero")*(20/1083),IF(C4344="Estágio",SUMIFS($D:$D,$A:$A,$A4344,$B:$B,"&lt;&gt;Patrícia Karla de Sousa Araújo",$B:$B,"&lt;&gt;Lorena Dias de Araujo",$B:$B,"&lt;&gt;Lucas Luiz Romero")*(10/1083),0)))))),0)</f>
        <v>19</v>
      </c>
      <c r="K4344" s="3">
        <f>I4344-J4344</f>
        <v>11</v>
      </c>
      <c r="L4344" s="3" t="str">
        <f>IF(K4344&lt;-5,"CRÍTICO",IF(K4344&lt;0,"ATENÇÃO",IF(K4344&lt;=5,"OPORTUNO","MUITO BOM")))</f>
        <v>MUITO BOM</v>
      </c>
      <c r="M4344" s="3">
        <v>29</v>
      </c>
      <c r="N4344" s="3">
        <v>96.25</v>
      </c>
      <c r="O4344" s="3">
        <v>25.586353944562902</v>
      </c>
    </row>
    <row r="4345" spans="1:15" hidden="1" x14ac:dyDescent="0.25">
      <c r="A4345" s="7">
        <v>46161</v>
      </c>
      <c r="B4345" s="8" t="s">
        <v>60</v>
      </c>
      <c r="C4345" s="14" t="s">
        <v>23</v>
      </c>
      <c r="D4345" s="3">
        <v>26</v>
      </c>
      <c r="E4345" s="3">
        <v>25</v>
      </c>
      <c r="F4345" s="3">
        <v>15.02</v>
      </c>
      <c r="G4345" s="3">
        <v>1</v>
      </c>
      <c r="H4345" s="3">
        <v>0</v>
      </c>
      <c r="I4345" s="3">
        <f>E4345+G4345+H4345</f>
        <v>26</v>
      </c>
      <c r="J4345" s="3">
        <f>ROUND(MIN(IF(C4345="Técnico III",35,IF(C4345="Técnico II",28,IF(C4345="Técnico I",23,IF(C4345="JR",20,IF(C4345="Estágio",10,0))))),IF(C4345="Técnico III",SUMIFS($D:$D,$A:$A,$A4345,$B:$B,"&lt;&gt;Patrícia Karla de Sousa Araújo",$B:$B,"&lt;&gt;Lorena Dias de Araujo",$B:$B,"&lt;&gt;Lucas Luiz Romero")*(35/1083),IF(C4345="Técnico II",SUMIFS($D:$D,$A:$A,$A4345,$B:$B,"&lt;&gt;Patrícia Karla de Sousa Araújo",$B:$B,"&lt;&gt;Lorena Dias de Araujo",$B:$B,"&lt;&gt;Lucas Luiz Romero")*(28/1083),IF(C4345="Técnico I",SUMIFS($D:$D,$A:$A,$A4345,$B:$B,"&lt;&gt;Patrícia Karla de Sousa Araújo",$B:$B,"&lt;&gt;Lorena Dias de Araujo",$B:$B,"&lt;&gt;Lucas Luiz Romero")*(23/1083),IF(C4345="JR",SUMIFS($D:$D,$A:$A,$A4345,$B:$B,"&lt;&gt;Patrícia Karla de Sousa Araújo",$B:$B,"&lt;&gt;Lorena Dias de Araujo",$B:$B,"&lt;&gt;Lucas Luiz Romero")*(20/1083),IF(C4345="Estágio",SUMIFS($D:$D,$A:$A,$A4345,$B:$B,"&lt;&gt;Patrícia Karla de Sousa Araújo",$B:$B,"&lt;&gt;Lorena Dias de Araujo",$B:$B,"&lt;&gt;Lucas Luiz Romero")*(10/1083),0)))))),0)</f>
        <v>19</v>
      </c>
      <c r="K4345" s="3">
        <f>I4345-J4345</f>
        <v>7</v>
      </c>
      <c r="L4345" s="3" t="str">
        <f>IF(K4345&lt;-5,"CRÍTICO",IF(K4345&lt;0,"ATENÇÃO",IF(K4345&lt;=5,"OPORTUNO","MUITO BOM")))</f>
        <v>MUITO BOM</v>
      </c>
      <c r="M4345" s="3">
        <v>19</v>
      </c>
      <c r="N4345" s="3">
        <v>97.48</v>
      </c>
      <c r="O4345" s="3">
        <v>22.99465240641711</v>
      </c>
    </row>
    <row r="4346" spans="1:15" hidden="1" x14ac:dyDescent="0.25">
      <c r="A4346" s="7">
        <v>46161</v>
      </c>
      <c r="B4346" s="8" t="s">
        <v>61</v>
      </c>
      <c r="C4346" s="14" t="s">
        <v>23</v>
      </c>
      <c r="D4346" s="3">
        <v>21</v>
      </c>
      <c r="E4346" s="3">
        <v>20</v>
      </c>
      <c r="F4346" s="3">
        <v>12.3</v>
      </c>
      <c r="G4346" s="3">
        <v>1</v>
      </c>
      <c r="H4346" s="3">
        <v>0</v>
      </c>
      <c r="I4346" s="3">
        <f>E4346+G4346+H4346</f>
        <v>21</v>
      </c>
      <c r="J4346" s="3">
        <f>ROUND(MIN(IF(C4346="Técnico III",35,IF(C4346="Técnico II",28,IF(C4346="Técnico I",23,IF(C4346="JR",20,IF(C4346="Estágio",10,0))))),IF(C4346="Técnico III",SUMIFS($D:$D,$A:$A,$A4346,$B:$B,"&lt;&gt;Patrícia Karla de Sousa Araújo",$B:$B,"&lt;&gt;Lorena Dias de Araujo",$B:$B,"&lt;&gt;Lucas Luiz Romero")*(35/1083),IF(C4346="Técnico II",SUMIFS($D:$D,$A:$A,$A4346,$B:$B,"&lt;&gt;Patrícia Karla de Sousa Araújo",$B:$B,"&lt;&gt;Lorena Dias de Araujo",$B:$B,"&lt;&gt;Lucas Luiz Romero")*(28/1083),IF(C4346="Técnico I",SUMIFS($D:$D,$A:$A,$A4346,$B:$B,"&lt;&gt;Patrícia Karla de Sousa Araújo",$B:$B,"&lt;&gt;Lorena Dias de Araujo",$B:$B,"&lt;&gt;Lucas Luiz Romero")*(23/1083),IF(C4346="JR",SUMIFS($D:$D,$A:$A,$A4346,$B:$B,"&lt;&gt;Patrícia Karla de Sousa Araújo",$B:$B,"&lt;&gt;Lorena Dias de Araujo",$B:$B,"&lt;&gt;Lucas Luiz Romero")*(20/1083),IF(C4346="Estágio",SUMIFS($D:$D,$A:$A,$A4346,$B:$B,"&lt;&gt;Patrícia Karla de Sousa Araújo",$B:$B,"&lt;&gt;Lorena Dias de Araujo",$B:$B,"&lt;&gt;Lucas Luiz Romero")*(10/1083),0)))))),0)</f>
        <v>19</v>
      </c>
      <c r="K4346" s="3">
        <f>I4346-J4346</f>
        <v>2</v>
      </c>
      <c r="L4346" s="3" t="str">
        <f>IF(K4346&lt;-5,"CRÍTICO",IF(K4346&lt;0,"ATENÇÃO",IF(K4346&lt;=5,"OPORTUNO","MUITO BOM")))</f>
        <v>OPORTUNO</v>
      </c>
      <c r="M4346" s="3">
        <v>15</v>
      </c>
      <c r="N4346" s="3">
        <v>100</v>
      </c>
      <c r="O4346" s="3">
        <v>20.788530465949819</v>
      </c>
    </row>
    <row r="4347" spans="1:15" hidden="1" x14ac:dyDescent="0.25">
      <c r="A4347" s="7">
        <v>46161</v>
      </c>
      <c r="B4347" s="8" t="s">
        <v>62</v>
      </c>
      <c r="C4347" s="14" t="s">
        <v>23</v>
      </c>
      <c r="D4347" s="3">
        <v>18</v>
      </c>
      <c r="E4347" s="3">
        <v>17</v>
      </c>
      <c r="F4347" s="3">
        <v>25.09</v>
      </c>
      <c r="G4347" s="3">
        <v>2</v>
      </c>
      <c r="H4347" s="3">
        <v>0</v>
      </c>
      <c r="I4347" s="3">
        <f>E4347+G4347+H4347</f>
        <v>19</v>
      </c>
      <c r="J4347" s="3">
        <f>ROUND(MIN(IF(C4347="Técnico III",35,IF(C4347="Técnico II",28,IF(C4347="Técnico I",23,IF(C4347="JR",20,IF(C4347="Estágio",10,0))))),IF(C4347="Técnico III",SUMIFS($D:$D,$A:$A,$A4347,$B:$B,"&lt;&gt;Patrícia Karla de Sousa Araújo",$B:$B,"&lt;&gt;Lorena Dias de Araujo",$B:$B,"&lt;&gt;Lucas Luiz Romero")*(35/1083),IF(C4347="Técnico II",SUMIFS($D:$D,$A:$A,$A4347,$B:$B,"&lt;&gt;Patrícia Karla de Sousa Araújo",$B:$B,"&lt;&gt;Lorena Dias de Araujo",$B:$B,"&lt;&gt;Lucas Luiz Romero")*(28/1083),IF(C4347="Técnico I",SUMIFS($D:$D,$A:$A,$A4347,$B:$B,"&lt;&gt;Patrícia Karla de Sousa Araújo",$B:$B,"&lt;&gt;Lorena Dias de Araujo",$B:$B,"&lt;&gt;Lucas Luiz Romero")*(23/1083),IF(C4347="JR",SUMIFS($D:$D,$A:$A,$A4347,$B:$B,"&lt;&gt;Patrícia Karla de Sousa Araújo",$B:$B,"&lt;&gt;Lorena Dias de Araujo",$B:$B,"&lt;&gt;Lucas Luiz Romero")*(20/1083),IF(C4347="Estágio",SUMIFS($D:$D,$A:$A,$A4347,$B:$B,"&lt;&gt;Patrícia Karla de Sousa Araújo",$B:$B,"&lt;&gt;Lorena Dias de Araujo",$B:$B,"&lt;&gt;Lucas Luiz Romero")*(10/1083),0)))))),0)</f>
        <v>19</v>
      </c>
      <c r="K4347" s="3">
        <f>I4347-J4347</f>
        <v>0</v>
      </c>
      <c r="L4347" s="3" t="str">
        <f>IF(K4347&lt;-5,"CRÍTICO",IF(K4347&lt;0,"ATENÇÃO",IF(K4347&lt;=5,"OPORTUNO","MUITO BOM")))</f>
        <v>OPORTUNO</v>
      </c>
      <c r="M4347" s="3">
        <v>18</v>
      </c>
      <c r="N4347" s="3">
        <v>94.55</v>
      </c>
      <c r="O4347" s="3">
        <v>23.450134770889491</v>
      </c>
    </row>
    <row r="4348" spans="1:15" hidden="1" x14ac:dyDescent="0.25">
      <c r="A4348" s="7">
        <v>46161</v>
      </c>
      <c r="B4348" s="8" t="s">
        <v>63</v>
      </c>
      <c r="C4348" s="14" t="s">
        <v>23</v>
      </c>
      <c r="D4348" s="3">
        <v>35</v>
      </c>
      <c r="E4348" s="3">
        <v>31</v>
      </c>
      <c r="F4348" s="3">
        <v>13.24</v>
      </c>
      <c r="G4348" s="3">
        <v>2</v>
      </c>
      <c r="H4348" s="3">
        <v>0</v>
      </c>
      <c r="I4348" s="3">
        <f>E4348+G4348+H4348</f>
        <v>33</v>
      </c>
      <c r="J4348" s="3">
        <f>ROUND(MIN(IF(C4348="Técnico III",35,IF(C4348="Técnico II",28,IF(C4348="Técnico I",23,IF(C4348="JR",20,IF(C4348="Estágio",10,0))))),IF(C4348="Técnico III",SUMIFS($D:$D,$A:$A,$A4348,$B:$B,"&lt;&gt;Patrícia Karla de Sousa Araújo",$B:$B,"&lt;&gt;Lorena Dias de Araujo",$B:$B,"&lt;&gt;Lucas Luiz Romero")*(35/1083),IF(C4348="Técnico II",SUMIFS($D:$D,$A:$A,$A4348,$B:$B,"&lt;&gt;Patrícia Karla de Sousa Araújo",$B:$B,"&lt;&gt;Lorena Dias de Araujo",$B:$B,"&lt;&gt;Lucas Luiz Romero")*(28/1083),IF(C4348="Técnico I",SUMIFS($D:$D,$A:$A,$A4348,$B:$B,"&lt;&gt;Patrícia Karla de Sousa Araújo",$B:$B,"&lt;&gt;Lorena Dias de Araujo",$B:$B,"&lt;&gt;Lucas Luiz Romero")*(23/1083),IF(C4348="JR",SUMIFS($D:$D,$A:$A,$A4348,$B:$B,"&lt;&gt;Patrícia Karla de Sousa Araújo",$B:$B,"&lt;&gt;Lorena Dias de Araujo",$B:$B,"&lt;&gt;Lucas Luiz Romero")*(20/1083),IF(C4348="Estágio",SUMIFS($D:$D,$A:$A,$A4348,$B:$B,"&lt;&gt;Patrícia Karla de Sousa Araújo",$B:$B,"&lt;&gt;Lorena Dias de Araujo",$B:$B,"&lt;&gt;Lucas Luiz Romero")*(10/1083),0)))))),0)</f>
        <v>19</v>
      </c>
      <c r="K4348" s="3">
        <f>I4348-J4348</f>
        <v>14</v>
      </c>
      <c r="L4348" s="3" t="str">
        <f>IF(K4348&lt;-5,"CRÍTICO",IF(K4348&lt;0,"ATENÇÃO",IF(K4348&lt;=5,"OPORTUNO","MUITO BOM")))</f>
        <v>MUITO BOM</v>
      </c>
      <c r="M4348" s="3">
        <v>26</v>
      </c>
      <c r="N4348" s="3">
        <v>98</v>
      </c>
      <c r="O4348" s="3">
        <v>20.73490813648294</v>
      </c>
    </row>
    <row r="4349" spans="1:15" hidden="1" x14ac:dyDescent="0.25">
      <c r="A4349" s="7">
        <v>46161</v>
      </c>
      <c r="B4349" s="8" t="s">
        <v>64</v>
      </c>
      <c r="C4349" s="14" t="s">
        <v>23</v>
      </c>
      <c r="D4349" s="3">
        <v>18</v>
      </c>
      <c r="E4349" s="3">
        <v>18</v>
      </c>
      <c r="F4349" s="3">
        <v>25.39</v>
      </c>
      <c r="G4349" s="3">
        <v>0</v>
      </c>
      <c r="H4349" s="3">
        <v>0</v>
      </c>
      <c r="I4349" s="3">
        <f>E4349+G4349+H4349</f>
        <v>18</v>
      </c>
      <c r="J4349" s="3">
        <f>ROUND(MIN(IF(C4349="Técnico III",35,IF(C4349="Técnico II",28,IF(C4349="Técnico I",23,IF(C4349="JR",20,IF(C4349="Estágio",10,0))))),IF(C4349="Técnico III",SUMIFS($D:$D,$A:$A,$A4349,$B:$B,"&lt;&gt;Patrícia Karla de Sousa Araújo",$B:$B,"&lt;&gt;Lorena Dias de Araujo",$B:$B,"&lt;&gt;Lucas Luiz Romero")*(35/1083),IF(C4349="Técnico II",SUMIFS($D:$D,$A:$A,$A4349,$B:$B,"&lt;&gt;Patrícia Karla de Sousa Araújo",$B:$B,"&lt;&gt;Lorena Dias de Araujo",$B:$B,"&lt;&gt;Lucas Luiz Romero")*(28/1083),IF(C4349="Técnico I",SUMIFS($D:$D,$A:$A,$A4349,$B:$B,"&lt;&gt;Patrícia Karla de Sousa Araújo",$B:$B,"&lt;&gt;Lorena Dias de Araujo",$B:$B,"&lt;&gt;Lucas Luiz Romero")*(23/1083),IF(C4349="JR",SUMIFS($D:$D,$A:$A,$A4349,$B:$B,"&lt;&gt;Patrícia Karla de Sousa Araújo",$B:$B,"&lt;&gt;Lorena Dias de Araujo",$B:$B,"&lt;&gt;Lucas Luiz Romero")*(20/1083),IF(C4349="Estágio",SUMIFS($D:$D,$A:$A,$A4349,$B:$B,"&lt;&gt;Patrícia Karla de Sousa Araújo",$B:$B,"&lt;&gt;Lorena Dias de Araujo",$B:$B,"&lt;&gt;Lucas Luiz Romero")*(10/1083),0)))))),0)</f>
        <v>19</v>
      </c>
      <c r="K4349" s="3">
        <f>I4349-J4349</f>
        <v>-1</v>
      </c>
      <c r="L4349" s="3" t="str">
        <f>IF(K4349&lt;-5,"CRÍTICO",IF(K4349&lt;0,"ATENÇÃO",IF(K4349&lt;=5,"OPORTUNO","MUITO BOM")))</f>
        <v>ATENÇÃO</v>
      </c>
      <c r="M4349" s="3">
        <v>17</v>
      </c>
      <c r="N4349" s="3">
        <v>100</v>
      </c>
      <c r="O4349" s="3">
        <v>18</v>
      </c>
    </row>
    <row r="4350" spans="1:15" hidden="1" x14ac:dyDescent="0.25">
      <c r="A4350" s="7">
        <v>46161</v>
      </c>
      <c r="B4350" s="8" t="s">
        <v>22</v>
      </c>
      <c r="C4350" s="14" t="s">
        <v>23</v>
      </c>
      <c r="D4350" s="3">
        <v>19</v>
      </c>
      <c r="E4350" s="3">
        <v>18</v>
      </c>
      <c r="F4350" s="3">
        <v>21.58</v>
      </c>
      <c r="G4350" s="3">
        <v>3</v>
      </c>
      <c r="H4350" s="3">
        <v>3</v>
      </c>
      <c r="I4350" s="3">
        <f>E4350+G4350+H4350</f>
        <v>24</v>
      </c>
      <c r="J4350" s="3">
        <f>ROUND(MIN(IF(C4350="Técnico III",35,IF(C4350="Técnico II",28,IF(C4350="Técnico I",23,IF(C4350="JR",20,IF(C4350="Estágio",10,0))))),IF(C4350="Técnico III",SUMIFS($D:$D,$A:$A,$A4350,$B:$B,"&lt;&gt;Patrícia Karla de Sousa Araújo",$B:$B,"&lt;&gt;Lorena Dias de Araujo",$B:$B,"&lt;&gt;Lucas Luiz Romero")*(35/1083),IF(C4350="Técnico II",SUMIFS($D:$D,$A:$A,$A4350,$B:$B,"&lt;&gt;Patrícia Karla de Sousa Araújo",$B:$B,"&lt;&gt;Lorena Dias de Araujo",$B:$B,"&lt;&gt;Lucas Luiz Romero")*(28/1083),IF(C4350="Técnico I",SUMIFS($D:$D,$A:$A,$A4350,$B:$B,"&lt;&gt;Patrícia Karla de Sousa Araújo",$B:$B,"&lt;&gt;Lorena Dias de Araujo",$B:$B,"&lt;&gt;Lucas Luiz Romero")*(23/1083),IF(C4350="JR",SUMIFS($D:$D,$A:$A,$A4350,$B:$B,"&lt;&gt;Patrícia Karla de Sousa Araújo",$B:$B,"&lt;&gt;Lorena Dias de Araujo",$B:$B,"&lt;&gt;Lucas Luiz Romero")*(20/1083),IF(C4350="Estágio",SUMIFS($D:$D,$A:$A,$A4350,$B:$B,"&lt;&gt;Patrícia Karla de Sousa Araújo",$B:$B,"&lt;&gt;Lorena Dias de Araujo",$B:$B,"&lt;&gt;Lucas Luiz Romero")*(10/1083),0)))))),0)</f>
        <v>19</v>
      </c>
      <c r="K4350" s="3">
        <f>I4350-J4350</f>
        <v>5</v>
      </c>
      <c r="L4350" s="3" t="str">
        <f>IF(K4350&lt;-5,"CRÍTICO",IF(K4350&lt;0,"ATENÇÃO",IF(K4350&lt;=5,"OPORTUNO","MUITO BOM")))</f>
        <v>OPORTUNO</v>
      </c>
      <c r="M4350" s="3">
        <v>20</v>
      </c>
      <c r="N4350" s="3">
        <v>99.06</v>
      </c>
      <c r="O4350" s="3">
        <v>19.417475728155338</v>
      </c>
    </row>
    <row r="4351" spans="1:15" hidden="1" x14ac:dyDescent="0.25">
      <c r="A4351" s="7">
        <v>46162</v>
      </c>
      <c r="B4351" s="8" t="s">
        <v>31</v>
      </c>
      <c r="C4351" s="14" t="s">
        <v>32</v>
      </c>
      <c r="D4351" s="3">
        <v>0</v>
      </c>
      <c r="E4351" s="3">
        <v>0</v>
      </c>
      <c r="F4351" s="3">
        <v>0</v>
      </c>
      <c r="G4351" s="3">
        <v>0</v>
      </c>
      <c r="H4351" s="3">
        <v>0</v>
      </c>
      <c r="I4351" s="3">
        <f>E4351+G4351+H4351</f>
        <v>0</v>
      </c>
      <c r="J4351" s="3">
        <f>ROUND(MIN(IF(C4351="Técnico III",35,IF(C4351="Técnico II",28,IF(C4351="Técnico I",23,IF(C4351="JR",20,IF(C4351="Estágio",10,0))))),IF(C4351="Técnico III",SUMIFS($D:$D,$A:$A,$A4351,$B:$B,"&lt;&gt;Patrícia Karla de Sousa Araújo",$B:$B,"&lt;&gt;Lorena Dias de Araujo",$B:$B,"&lt;&gt;Lucas Luiz Romero")*(35/1083),IF(C4351="Técnico II",SUMIFS($D:$D,$A:$A,$A4351,$B:$B,"&lt;&gt;Patrícia Karla de Sousa Araújo",$B:$B,"&lt;&gt;Lorena Dias de Araujo",$B:$B,"&lt;&gt;Lucas Luiz Romero")*(28/1083),IF(C4351="Técnico I",SUMIFS($D:$D,$A:$A,$A4351,$B:$B,"&lt;&gt;Patrícia Karla de Sousa Araújo",$B:$B,"&lt;&gt;Lorena Dias de Araujo",$B:$B,"&lt;&gt;Lucas Luiz Romero")*(23/1083),IF(C4351="JR",SUMIFS($D:$D,$A:$A,$A4351,$B:$B,"&lt;&gt;Patrícia Karla de Sousa Araújo",$B:$B,"&lt;&gt;Lorena Dias de Araujo",$B:$B,"&lt;&gt;Lucas Luiz Romero")*(20/1083),IF(C4351="Estágio",SUMIFS($D:$D,$A:$A,$A4351,$B:$B,"&lt;&gt;Patrícia Karla de Sousa Araújo",$B:$B,"&lt;&gt;Lorena Dias de Araujo",$B:$B,"&lt;&gt;Lucas Luiz Romero")*(10/1083),0)))))),0)</f>
        <v>26</v>
      </c>
      <c r="K4351" s="3">
        <f>I4351-J4351</f>
        <v>-26</v>
      </c>
      <c r="L4351" s="3" t="str">
        <f>IF(K4351&lt;-5,"CRÍTICO",IF(K4351&lt;0,"ATENÇÃO",IF(K4351&lt;=5,"OPORTUNO","MUITO BOM")))</f>
        <v>CRÍTICO</v>
      </c>
      <c r="M4351" s="3">
        <v>0</v>
      </c>
      <c r="N4351" s="3">
        <v>100</v>
      </c>
      <c r="O4351" s="3">
        <v>0</v>
      </c>
    </row>
    <row r="4352" spans="1:15" hidden="1" x14ac:dyDescent="0.25">
      <c r="A4352" s="7">
        <v>46162</v>
      </c>
      <c r="B4352" s="8" t="s">
        <v>33</v>
      </c>
      <c r="C4352" s="14" t="s">
        <v>32</v>
      </c>
      <c r="D4352" s="3">
        <v>22</v>
      </c>
      <c r="E4352" s="3">
        <v>21</v>
      </c>
      <c r="F4352" s="3">
        <v>18.34</v>
      </c>
      <c r="G4352" s="3">
        <v>1</v>
      </c>
      <c r="H4352" s="3">
        <v>0</v>
      </c>
      <c r="I4352" s="3">
        <f>E4352+G4352+H4352</f>
        <v>22</v>
      </c>
      <c r="J4352" s="3">
        <f>ROUND(MIN(IF(C4352="Técnico III",35,IF(C4352="Técnico II",28,IF(C4352="Técnico I",23,IF(C4352="JR",20,IF(C4352="Estágio",10,0))))),IF(C4352="Técnico III",SUMIFS($D:$D,$A:$A,$A4352,$B:$B,"&lt;&gt;Patrícia Karla de Sousa Araújo",$B:$B,"&lt;&gt;Lorena Dias de Araujo",$B:$B,"&lt;&gt;Lucas Luiz Romero")*(35/1083),IF(C4352="Técnico II",SUMIFS($D:$D,$A:$A,$A4352,$B:$B,"&lt;&gt;Patrícia Karla de Sousa Araújo",$B:$B,"&lt;&gt;Lorena Dias de Araujo",$B:$B,"&lt;&gt;Lucas Luiz Romero")*(28/1083),IF(C4352="Técnico I",SUMIFS($D:$D,$A:$A,$A4352,$B:$B,"&lt;&gt;Patrícia Karla de Sousa Araújo",$B:$B,"&lt;&gt;Lorena Dias de Araujo",$B:$B,"&lt;&gt;Lucas Luiz Romero")*(23/1083),IF(C4352="JR",SUMIFS($D:$D,$A:$A,$A4352,$B:$B,"&lt;&gt;Patrícia Karla de Sousa Araújo",$B:$B,"&lt;&gt;Lorena Dias de Araujo",$B:$B,"&lt;&gt;Lucas Luiz Romero")*(20/1083),IF(C4352="Estágio",SUMIFS($D:$D,$A:$A,$A4352,$B:$B,"&lt;&gt;Patrícia Karla de Sousa Araújo",$B:$B,"&lt;&gt;Lorena Dias de Araujo",$B:$B,"&lt;&gt;Lucas Luiz Romero")*(10/1083),0)))))),0)</f>
        <v>26</v>
      </c>
      <c r="K4352" s="3">
        <f>I4352-J4352</f>
        <v>-4</v>
      </c>
      <c r="L4352" s="3" t="str">
        <f>IF(K4352&lt;-5,"CRÍTICO",IF(K4352&lt;0,"ATENÇÃO",IF(K4352&lt;=5,"OPORTUNO","MUITO BOM")))</f>
        <v>ATENÇÃO</v>
      </c>
      <c r="M4352" s="3">
        <v>18</v>
      </c>
      <c r="N4352" s="3">
        <v>96.94</v>
      </c>
      <c r="O4352" s="3">
        <v>19.613259668508292</v>
      </c>
    </row>
    <row r="4353" spans="1:15" hidden="1" x14ac:dyDescent="0.25">
      <c r="A4353" s="7">
        <v>46162</v>
      </c>
      <c r="B4353" s="8" t="s">
        <v>34</v>
      </c>
      <c r="C4353" s="14" t="s">
        <v>32</v>
      </c>
      <c r="D4353" s="3">
        <v>31</v>
      </c>
      <c r="E4353" s="3">
        <v>26</v>
      </c>
      <c r="F4353" s="3">
        <v>14</v>
      </c>
      <c r="G4353" s="3">
        <v>0</v>
      </c>
      <c r="H4353" s="3">
        <v>0</v>
      </c>
      <c r="I4353" s="3">
        <f>E4353+G4353+H4353</f>
        <v>26</v>
      </c>
      <c r="J4353" s="3">
        <f>ROUND(MIN(IF(C4353="Técnico III",35,IF(C4353="Técnico II",28,IF(C4353="Técnico I",23,IF(C4353="JR",20,IF(C4353="Estágio",10,0))))),IF(C4353="Técnico III",SUMIFS($D:$D,$A:$A,$A4353,$B:$B,"&lt;&gt;Patrícia Karla de Sousa Araújo",$B:$B,"&lt;&gt;Lorena Dias de Araujo",$B:$B,"&lt;&gt;Lucas Luiz Romero")*(35/1083),IF(C4353="Técnico II",SUMIFS($D:$D,$A:$A,$A4353,$B:$B,"&lt;&gt;Patrícia Karla de Sousa Araújo",$B:$B,"&lt;&gt;Lorena Dias de Araujo",$B:$B,"&lt;&gt;Lucas Luiz Romero")*(28/1083),IF(C4353="Técnico I",SUMIFS($D:$D,$A:$A,$A4353,$B:$B,"&lt;&gt;Patrícia Karla de Sousa Araújo",$B:$B,"&lt;&gt;Lorena Dias de Araujo",$B:$B,"&lt;&gt;Lucas Luiz Romero")*(23/1083),IF(C4353="JR",SUMIFS($D:$D,$A:$A,$A4353,$B:$B,"&lt;&gt;Patrícia Karla de Sousa Araújo",$B:$B,"&lt;&gt;Lorena Dias de Araujo",$B:$B,"&lt;&gt;Lucas Luiz Romero")*(20/1083),IF(C4353="Estágio",SUMIFS($D:$D,$A:$A,$A4353,$B:$B,"&lt;&gt;Patrícia Karla de Sousa Araújo",$B:$B,"&lt;&gt;Lorena Dias de Araujo",$B:$B,"&lt;&gt;Lucas Luiz Romero")*(10/1083),0)))))),0)</f>
        <v>26</v>
      </c>
      <c r="K4353" s="3">
        <f>I4353-J4353</f>
        <v>0</v>
      </c>
      <c r="L4353" s="3" t="str">
        <f>IF(K4353&lt;-5,"CRÍTICO",IF(K4353&lt;0,"ATENÇÃO",IF(K4353&lt;=5,"OPORTUNO","MUITO BOM")))</f>
        <v>OPORTUNO</v>
      </c>
      <c r="M4353" s="3">
        <v>21</v>
      </c>
      <c r="N4353" s="3">
        <v>92.81</v>
      </c>
      <c r="O4353" s="3">
        <v>25.477707006369432</v>
      </c>
    </row>
    <row r="4354" spans="1:15" hidden="1" x14ac:dyDescent="0.25">
      <c r="A4354" s="7">
        <v>46162</v>
      </c>
      <c r="B4354" s="8" t="s">
        <v>35</v>
      </c>
      <c r="C4354" s="14" t="s">
        <v>32</v>
      </c>
      <c r="D4354" s="3">
        <v>0</v>
      </c>
      <c r="E4354" s="3">
        <v>0</v>
      </c>
      <c r="F4354" s="3">
        <v>0</v>
      </c>
      <c r="G4354" s="3">
        <v>0</v>
      </c>
      <c r="H4354" s="3">
        <v>0</v>
      </c>
      <c r="I4354" s="3">
        <f>E4354+G4354+H4354</f>
        <v>0</v>
      </c>
      <c r="J4354" s="3">
        <f>ROUND(MIN(IF(C4354="Técnico III",35,IF(C4354="Técnico II",28,IF(C4354="Técnico I",23,IF(C4354="JR",20,IF(C4354="Estágio",10,0))))),IF(C4354="Técnico III",SUMIFS($D:$D,$A:$A,$A4354,$B:$B,"&lt;&gt;Patrícia Karla de Sousa Araújo",$B:$B,"&lt;&gt;Lorena Dias de Araujo",$B:$B,"&lt;&gt;Lucas Luiz Romero")*(35/1083),IF(C4354="Técnico II",SUMIFS($D:$D,$A:$A,$A4354,$B:$B,"&lt;&gt;Patrícia Karla de Sousa Araújo",$B:$B,"&lt;&gt;Lorena Dias de Araujo",$B:$B,"&lt;&gt;Lucas Luiz Romero")*(28/1083),IF(C4354="Técnico I",SUMIFS($D:$D,$A:$A,$A4354,$B:$B,"&lt;&gt;Patrícia Karla de Sousa Araújo",$B:$B,"&lt;&gt;Lorena Dias de Araujo",$B:$B,"&lt;&gt;Lucas Luiz Romero")*(23/1083),IF(C4354="JR",SUMIFS($D:$D,$A:$A,$A4354,$B:$B,"&lt;&gt;Patrícia Karla de Sousa Araújo",$B:$B,"&lt;&gt;Lorena Dias de Araujo",$B:$B,"&lt;&gt;Lucas Luiz Romero")*(20/1083),IF(C4354="Estágio",SUMIFS($D:$D,$A:$A,$A4354,$B:$B,"&lt;&gt;Patrícia Karla de Sousa Araújo",$B:$B,"&lt;&gt;Lorena Dias de Araujo",$B:$B,"&lt;&gt;Lucas Luiz Romero")*(10/1083),0)))))),0)</f>
        <v>26</v>
      </c>
      <c r="K4354" s="3">
        <f>I4354-J4354</f>
        <v>-26</v>
      </c>
      <c r="L4354" s="3" t="str">
        <f>IF(K4354&lt;-5,"CRÍTICO",IF(K4354&lt;0,"ATENÇÃO",IF(K4354&lt;=5,"OPORTUNO","MUITO BOM")))</f>
        <v>CRÍTICO</v>
      </c>
      <c r="M4354" s="3">
        <v>0</v>
      </c>
      <c r="N4354" s="3">
        <v>99.19</v>
      </c>
      <c r="O4354" s="3">
        <v>28.404669260700391</v>
      </c>
    </row>
    <row r="4355" spans="1:15" hidden="1" x14ac:dyDescent="0.25">
      <c r="A4355" s="7">
        <v>46162</v>
      </c>
      <c r="B4355" s="8" t="s">
        <v>36</v>
      </c>
      <c r="C4355" s="14" t="s">
        <v>32</v>
      </c>
      <c r="D4355" s="3">
        <v>0</v>
      </c>
      <c r="E4355" s="3">
        <v>0</v>
      </c>
      <c r="F4355" s="3">
        <v>0</v>
      </c>
      <c r="G4355" s="3">
        <v>0</v>
      </c>
      <c r="H4355" s="3">
        <v>0</v>
      </c>
      <c r="I4355" s="3">
        <f>E4355+G4355+H4355</f>
        <v>0</v>
      </c>
      <c r="J4355" s="3">
        <f>ROUND(MIN(IF(C4355="Técnico III",35,IF(C4355="Técnico II",28,IF(C4355="Técnico I",23,IF(C4355="JR",20,IF(C4355="Estágio",10,0))))),IF(C4355="Técnico III",SUMIFS($D:$D,$A:$A,$A4355,$B:$B,"&lt;&gt;Patrícia Karla de Sousa Araújo",$B:$B,"&lt;&gt;Lorena Dias de Araujo",$B:$B,"&lt;&gt;Lucas Luiz Romero")*(35/1083),IF(C4355="Técnico II",SUMIFS($D:$D,$A:$A,$A4355,$B:$B,"&lt;&gt;Patrícia Karla de Sousa Araújo",$B:$B,"&lt;&gt;Lorena Dias de Araujo",$B:$B,"&lt;&gt;Lucas Luiz Romero")*(28/1083),IF(C4355="Técnico I",SUMIFS($D:$D,$A:$A,$A4355,$B:$B,"&lt;&gt;Patrícia Karla de Sousa Araújo",$B:$B,"&lt;&gt;Lorena Dias de Araujo",$B:$B,"&lt;&gt;Lucas Luiz Romero")*(23/1083),IF(C4355="JR",SUMIFS($D:$D,$A:$A,$A4355,$B:$B,"&lt;&gt;Patrícia Karla de Sousa Araújo",$B:$B,"&lt;&gt;Lorena Dias de Araujo",$B:$B,"&lt;&gt;Lucas Luiz Romero")*(20/1083),IF(C4355="Estágio",SUMIFS($D:$D,$A:$A,$A4355,$B:$B,"&lt;&gt;Patrícia Karla de Sousa Araújo",$B:$B,"&lt;&gt;Lorena Dias de Araujo",$B:$B,"&lt;&gt;Lucas Luiz Romero")*(10/1083),0)))))),0)</f>
        <v>26</v>
      </c>
      <c r="K4355" s="3">
        <f>I4355-J4355</f>
        <v>-26</v>
      </c>
      <c r="L4355" s="3" t="str">
        <f>IF(K4355&lt;-5,"CRÍTICO",IF(K4355&lt;0,"ATENÇÃO",IF(K4355&lt;=5,"OPORTUNO","MUITO BOM")))</f>
        <v>CRÍTICO</v>
      </c>
      <c r="M4355" s="3">
        <v>0</v>
      </c>
      <c r="N4355" s="3">
        <v>100</v>
      </c>
      <c r="O4355" s="3">
        <v>13.51351351351351</v>
      </c>
    </row>
    <row r="4356" spans="1:15" hidden="1" x14ac:dyDescent="0.25">
      <c r="A4356" s="7">
        <v>46162</v>
      </c>
      <c r="B4356" s="8" t="s">
        <v>37</v>
      </c>
      <c r="C4356" s="14" t="s">
        <v>32</v>
      </c>
      <c r="D4356" s="3">
        <v>38</v>
      </c>
      <c r="E4356" s="3">
        <v>35</v>
      </c>
      <c r="F4356" s="3">
        <v>13.25</v>
      </c>
      <c r="G4356" s="3">
        <v>3</v>
      </c>
      <c r="H4356" s="3">
        <v>0</v>
      </c>
      <c r="I4356" s="3">
        <f>E4356+G4356+H4356</f>
        <v>38</v>
      </c>
      <c r="J4356" s="3">
        <f>ROUND(MIN(IF(C4356="Técnico III",35,IF(C4356="Técnico II",28,IF(C4356="Técnico I",23,IF(C4356="JR",20,IF(C4356="Estágio",10,0))))),IF(C4356="Técnico III",SUMIFS($D:$D,$A:$A,$A4356,$B:$B,"&lt;&gt;Patrícia Karla de Sousa Araújo",$B:$B,"&lt;&gt;Lorena Dias de Araujo",$B:$B,"&lt;&gt;Lucas Luiz Romero")*(35/1083),IF(C4356="Técnico II",SUMIFS($D:$D,$A:$A,$A4356,$B:$B,"&lt;&gt;Patrícia Karla de Sousa Araújo",$B:$B,"&lt;&gt;Lorena Dias de Araujo",$B:$B,"&lt;&gt;Lucas Luiz Romero")*(28/1083),IF(C4356="Técnico I",SUMIFS($D:$D,$A:$A,$A4356,$B:$B,"&lt;&gt;Patrícia Karla de Sousa Araújo",$B:$B,"&lt;&gt;Lorena Dias de Araujo",$B:$B,"&lt;&gt;Lucas Luiz Romero")*(23/1083),IF(C4356="JR",SUMIFS($D:$D,$A:$A,$A4356,$B:$B,"&lt;&gt;Patrícia Karla de Sousa Araújo",$B:$B,"&lt;&gt;Lorena Dias de Araujo",$B:$B,"&lt;&gt;Lucas Luiz Romero")*(20/1083),IF(C4356="Estágio",SUMIFS($D:$D,$A:$A,$A4356,$B:$B,"&lt;&gt;Patrícia Karla de Sousa Araújo",$B:$B,"&lt;&gt;Lorena Dias de Araujo",$B:$B,"&lt;&gt;Lucas Luiz Romero")*(10/1083),0)))))),0)</f>
        <v>26</v>
      </c>
      <c r="K4356" s="3">
        <f>I4356-J4356</f>
        <v>12</v>
      </c>
      <c r="L4356" s="3" t="str">
        <f>IF(K4356&lt;-5,"CRÍTICO",IF(K4356&lt;0,"ATENÇÃO",IF(K4356&lt;=5,"OPORTUNO","MUITO BOM")))</f>
        <v>MUITO BOM</v>
      </c>
      <c r="M4356" s="3">
        <v>34</v>
      </c>
      <c r="N4356" s="3">
        <v>99</v>
      </c>
      <c r="O4356" s="3">
        <v>22.27414330218069</v>
      </c>
    </row>
    <row r="4357" spans="1:15" hidden="1" x14ac:dyDescent="0.25">
      <c r="A4357" s="7">
        <v>46162</v>
      </c>
      <c r="B4357" s="8" t="s">
        <v>38</v>
      </c>
      <c r="C4357" s="14" t="s">
        <v>32</v>
      </c>
      <c r="D4357" s="3">
        <v>24</v>
      </c>
      <c r="E4357" s="3">
        <v>21</v>
      </c>
      <c r="F4357" s="3">
        <v>15.53</v>
      </c>
      <c r="G4357" s="3">
        <v>2</v>
      </c>
      <c r="H4357" s="3">
        <v>0</v>
      </c>
      <c r="I4357" s="3">
        <f>E4357+G4357+H4357</f>
        <v>23</v>
      </c>
      <c r="J4357" s="3">
        <f>ROUND(MIN(IF(C4357="Técnico III",35,IF(C4357="Técnico II",28,IF(C4357="Técnico I",23,IF(C4357="JR",20,IF(C4357="Estágio",10,0))))),IF(C4357="Técnico III",SUMIFS($D:$D,$A:$A,$A4357,$B:$B,"&lt;&gt;Patrícia Karla de Sousa Araújo",$B:$B,"&lt;&gt;Lorena Dias de Araujo",$B:$B,"&lt;&gt;Lucas Luiz Romero")*(35/1083),IF(C4357="Técnico II",SUMIFS($D:$D,$A:$A,$A4357,$B:$B,"&lt;&gt;Patrícia Karla de Sousa Araújo",$B:$B,"&lt;&gt;Lorena Dias de Araujo",$B:$B,"&lt;&gt;Lucas Luiz Romero")*(28/1083),IF(C4357="Técnico I",SUMIFS($D:$D,$A:$A,$A4357,$B:$B,"&lt;&gt;Patrícia Karla de Sousa Araújo",$B:$B,"&lt;&gt;Lorena Dias de Araujo",$B:$B,"&lt;&gt;Lucas Luiz Romero")*(23/1083),IF(C4357="JR",SUMIFS($D:$D,$A:$A,$A4357,$B:$B,"&lt;&gt;Patrícia Karla de Sousa Araújo",$B:$B,"&lt;&gt;Lorena Dias de Araujo",$B:$B,"&lt;&gt;Lucas Luiz Romero")*(20/1083),IF(C4357="Estágio",SUMIFS($D:$D,$A:$A,$A4357,$B:$B,"&lt;&gt;Patrícia Karla de Sousa Araújo",$B:$B,"&lt;&gt;Lorena Dias de Araujo",$B:$B,"&lt;&gt;Lucas Luiz Romero")*(10/1083),0)))))),0)</f>
        <v>26</v>
      </c>
      <c r="K4357" s="3">
        <f>I4357-J4357</f>
        <v>-3</v>
      </c>
      <c r="L4357" s="3" t="str">
        <f>IF(K4357&lt;-5,"CRÍTICO",IF(K4357&lt;0,"ATENÇÃO",IF(K4357&lt;=5,"OPORTUNO","MUITO BOM")))</f>
        <v>ATENÇÃO</v>
      </c>
      <c r="M4357" s="3">
        <v>19</v>
      </c>
      <c r="N4357" s="3">
        <v>97.04</v>
      </c>
      <c r="O4357" s="3">
        <v>29.828850855745721</v>
      </c>
    </row>
    <row r="4358" spans="1:15" hidden="1" x14ac:dyDescent="0.25">
      <c r="A4358" s="7">
        <v>46162</v>
      </c>
      <c r="B4358" s="8" t="s">
        <v>39</v>
      </c>
      <c r="C4358" s="14" t="s">
        <v>32</v>
      </c>
      <c r="D4358" s="3">
        <v>0</v>
      </c>
      <c r="E4358" s="3">
        <v>0</v>
      </c>
      <c r="F4358" s="3">
        <v>0</v>
      </c>
      <c r="G4358" s="3">
        <v>0</v>
      </c>
      <c r="H4358" s="3">
        <v>0</v>
      </c>
      <c r="I4358" s="3">
        <f>E4358+G4358+H4358</f>
        <v>0</v>
      </c>
      <c r="J4358" s="3">
        <f>ROUND(MIN(IF(C4358="Técnico III",35,IF(C4358="Técnico II",28,IF(C4358="Técnico I",23,IF(C4358="JR",20,IF(C4358="Estágio",10,0))))),IF(C4358="Técnico III",SUMIFS($D:$D,$A:$A,$A4358,$B:$B,"&lt;&gt;Patrícia Karla de Sousa Araújo",$B:$B,"&lt;&gt;Lorena Dias de Araujo",$B:$B,"&lt;&gt;Lucas Luiz Romero")*(35/1083),IF(C4358="Técnico II",SUMIFS($D:$D,$A:$A,$A4358,$B:$B,"&lt;&gt;Patrícia Karla de Sousa Araújo",$B:$B,"&lt;&gt;Lorena Dias de Araujo",$B:$B,"&lt;&gt;Lucas Luiz Romero")*(28/1083),IF(C4358="Técnico I",SUMIFS($D:$D,$A:$A,$A4358,$B:$B,"&lt;&gt;Patrícia Karla de Sousa Araújo",$B:$B,"&lt;&gt;Lorena Dias de Araujo",$B:$B,"&lt;&gt;Lucas Luiz Romero")*(23/1083),IF(C4358="JR",SUMIFS($D:$D,$A:$A,$A4358,$B:$B,"&lt;&gt;Patrícia Karla de Sousa Araújo",$B:$B,"&lt;&gt;Lorena Dias de Araujo",$B:$B,"&lt;&gt;Lucas Luiz Romero")*(20/1083),IF(C4358="Estágio",SUMIFS($D:$D,$A:$A,$A4358,$B:$B,"&lt;&gt;Patrícia Karla de Sousa Araújo",$B:$B,"&lt;&gt;Lorena Dias de Araujo",$B:$B,"&lt;&gt;Lucas Luiz Romero")*(10/1083),0)))))),0)</f>
        <v>26</v>
      </c>
      <c r="K4358" s="3">
        <f>I4358-J4358</f>
        <v>-26</v>
      </c>
      <c r="L4358" s="3" t="str">
        <f>IF(K4358&lt;-5,"CRÍTICO",IF(K4358&lt;0,"ATENÇÃO",IF(K4358&lt;=5,"OPORTUNO","MUITO BOM")))</f>
        <v>CRÍTICO</v>
      </c>
      <c r="M4358" s="3">
        <v>0</v>
      </c>
      <c r="N4358" s="3">
        <v>0</v>
      </c>
      <c r="O4358" s="3">
        <v>0</v>
      </c>
    </row>
    <row r="4359" spans="1:15" hidden="1" x14ac:dyDescent="0.25">
      <c r="A4359" s="7">
        <v>46162</v>
      </c>
      <c r="B4359" s="8" t="s">
        <v>40</v>
      </c>
      <c r="C4359" s="14" t="s">
        <v>32</v>
      </c>
      <c r="D4359" s="3">
        <v>17</v>
      </c>
      <c r="E4359" s="3">
        <v>16</v>
      </c>
      <c r="F4359" s="3">
        <v>23.31</v>
      </c>
      <c r="G4359" s="3">
        <v>1</v>
      </c>
      <c r="H4359" s="3">
        <v>0</v>
      </c>
      <c r="I4359" s="3">
        <f>E4359+G4359+H4359</f>
        <v>17</v>
      </c>
      <c r="J4359" s="3">
        <f>ROUND(MIN(IF(C4359="Técnico III",35,IF(C4359="Técnico II",28,IF(C4359="Técnico I",23,IF(C4359="JR",20,IF(C4359="Estágio",10,0))))),IF(C4359="Técnico III",SUMIFS($D:$D,$A:$A,$A4359,$B:$B,"&lt;&gt;Patrícia Karla de Sousa Araújo",$B:$B,"&lt;&gt;Lorena Dias de Araujo",$B:$B,"&lt;&gt;Lucas Luiz Romero")*(35/1083),IF(C4359="Técnico II",SUMIFS($D:$D,$A:$A,$A4359,$B:$B,"&lt;&gt;Patrícia Karla de Sousa Araújo",$B:$B,"&lt;&gt;Lorena Dias de Araujo",$B:$B,"&lt;&gt;Lucas Luiz Romero")*(28/1083),IF(C4359="Técnico I",SUMIFS($D:$D,$A:$A,$A4359,$B:$B,"&lt;&gt;Patrícia Karla de Sousa Araújo",$B:$B,"&lt;&gt;Lorena Dias de Araujo",$B:$B,"&lt;&gt;Lucas Luiz Romero")*(23/1083),IF(C4359="JR",SUMIFS($D:$D,$A:$A,$A4359,$B:$B,"&lt;&gt;Patrícia Karla de Sousa Araújo",$B:$B,"&lt;&gt;Lorena Dias de Araujo",$B:$B,"&lt;&gt;Lucas Luiz Romero")*(20/1083),IF(C4359="Estágio",SUMIFS($D:$D,$A:$A,$A4359,$B:$B,"&lt;&gt;Patrícia Karla de Sousa Araújo",$B:$B,"&lt;&gt;Lorena Dias de Araujo",$B:$B,"&lt;&gt;Lucas Luiz Romero")*(10/1083),0)))))),0)</f>
        <v>26</v>
      </c>
      <c r="K4359" s="3">
        <f>I4359-J4359</f>
        <v>-9</v>
      </c>
      <c r="L4359" s="3" t="str">
        <f>IF(K4359&lt;-5,"CRÍTICO",IF(K4359&lt;0,"ATENÇÃO",IF(K4359&lt;=5,"OPORTUNO","MUITO BOM")))</f>
        <v>CRÍTICO</v>
      </c>
      <c r="M4359" s="3">
        <v>18</v>
      </c>
      <c r="N4359" s="3">
        <v>96.84</v>
      </c>
      <c r="O4359" s="3">
        <v>16.338028169014081</v>
      </c>
    </row>
    <row r="4360" spans="1:15" hidden="1" x14ac:dyDescent="0.25">
      <c r="A4360" s="7">
        <v>46162</v>
      </c>
      <c r="B4360" s="8" t="s">
        <v>41</v>
      </c>
      <c r="C4360" s="14" t="s">
        <v>32</v>
      </c>
      <c r="D4360" s="3">
        <v>34</v>
      </c>
      <c r="E4360" s="3">
        <v>29</v>
      </c>
      <c r="F4360" s="3">
        <v>12.33</v>
      </c>
      <c r="G4360" s="3">
        <v>0</v>
      </c>
      <c r="H4360" s="3">
        <v>0</v>
      </c>
      <c r="I4360" s="3">
        <f>E4360+G4360+H4360</f>
        <v>29</v>
      </c>
      <c r="J4360" s="3">
        <f>ROUND(MIN(IF(C4360="Técnico III",35,IF(C4360="Técnico II",28,IF(C4360="Técnico I",23,IF(C4360="JR",20,IF(C4360="Estágio",10,0))))),IF(C4360="Técnico III",SUMIFS($D:$D,$A:$A,$A4360,$B:$B,"&lt;&gt;Patrícia Karla de Sousa Araújo",$B:$B,"&lt;&gt;Lorena Dias de Araujo",$B:$B,"&lt;&gt;Lucas Luiz Romero")*(35/1083),IF(C4360="Técnico II",SUMIFS($D:$D,$A:$A,$A4360,$B:$B,"&lt;&gt;Patrícia Karla de Sousa Araújo",$B:$B,"&lt;&gt;Lorena Dias de Araujo",$B:$B,"&lt;&gt;Lucas Luiz Romero")*(28/1083),IF(C4360="Técnico I",SUMIFS($D:$D,$A:$A,$A4360,$B:$B,"&lt;&gt;Patrícia Karla de Sousa Araújo",$B:$B,"&lt;&gt;Lorena Dias de Araujo",$B:$B,"&lt;&gt;Lucas Luiz Romero")*(23/1083),IF(C4360="JR",SUMIFS($D:$D,$A:$A,$A4360,$B:$B,"&lt;&gt;Patrícia Karla de Sousa Araújo",$B:$B,"&lt;&gt;Lorena Dias de Araujo",$B:$B,"&lt;&gt;Lucas Luiz Romero")*(20/1083),IF(C4360="Estágio",SUMIFS($D:$D,$A:$A,$A4360,$B:$B,"&lt;&gt;Patrícia Karla de Sousa Araújo",$B:$B,"&lt;&gt;Lorena Dias de Araujo",$B:$B,"&lt;&gt;Lucas Luiz Romero")*(10/1083),0)))))),0)</f>
        <v>26</v>
      </c>
      <c r="K4360" s="3">
        <f>I4360-J4360</f>
        <v>3</v>
      </c>
      <c r="L4360" s="3" t="str">
        <f>IF(K4360&lt;-5,"CRÍTICO",IF(K4360&lt;0,"ATENÇÃO",IF(K4360&lt;=5,"OPORTUNO","MUITO BOM")))</f>
        <v>OPORTUNO</v>
      </c>
      <c r="M4360" s="3">
        <v>28</v>
      </c>
      <c r="N4360" s="3">
        <v>100</v>
      </c>
      <c r="O4360" s="3">
        <v>18.244803695150122</v>
      </c>
    </row>
    <row r="4361" spans="1:15" hidden="1" x14ac:dyDescent="0.25">
      <c r="A4361" s="7">
        <v>46162</v>
      </c>
      <c r="B4361" s="8" t="s">
        <v>42</v>
      </c>
      <c r="C4361" s="14" t="s">
        <v>32</v>
      </c>
      <c r="D4361" s="3">
        <v>26</v>
      </c>
      <c r="E4361" s="3">
        <v>21</v>
      </c>
      <c r="F4361" s="3">
        <v>15.25</v>
      </c>
      <c r="G4361" s="3">
        <v>0</v>
      </c>
      <c r="H4361" s="3">
        <v>0</v>
      </c>
      <c r="I4361" s="3">
        <f>E4361+G4361+H4361</f>
        <v>21</v>
      </c>
      <c r="J4361" s="3">
        <f>ROUND(MIN(IF(C4361="Técnico III",35,IF(C4361="Técnico II",28,IF(C4361="Técnico I",23,IF(C4361="JR",20,IF(C4361="Estágio",10,0))))),IF(C4361="Técnico III",SUMIFS($D:$D,$A:$A,$A4361,$B:$B,"&lt;&gt;Patrícia Karla de Sousa Araújo",$B:$B,"&lt;&gt;Lorena Dias de Araujo",$B:$B,"&lt;&gt;Lucas Luiz Romero")*(35/1083),IF(C4361="Técnico II",SUMIFS($D:$D,$A:$A,$A4361,$B:$B,"&lt;&gt;Patrícia Karla de Sousa Araújo",$B:$B,"&lt;&gt;Lorena Dias de Araujo",$B:$B,"&lt;&gt;Lucas Luiz Romero")*(28/1083),IF(C4361="Técnico I",SUMIFS($D:$D,$A:$A,$A4361,$B:$B,"&lt;&gt;Patrícia Karla de Sousa Araújo",$B:$B,"&lt;&gt;Lorena Dias de Araujo",$B:$B,"&lt;&gt;Lucas Luiz Romero")*(23/1083),IF(C4361="JR",SUMIFS($D:$D,$A:$A,$A4361,$B:$B,"&lt;&gt;Patrícia Karla de Sousa Araújo",$B:$B,"&lt;&gt;Lorena Dias de Araujo",$B:$B,"&lt;&gt;Lucas Luiz Romero")*(20/1083),IF(C4361="Estágio",SUMIFS($D:$D,$A:$A,$A4361,$B:$B,"&lt;&gt;Patrícia Karla de Sousa Araújo",$B:$B,"&lt;&gt;Lorena Dias de Araujo",$B:$B,"&lt;&gt;Lucas Luiz Romero")*(10/1083),0)))))),0)</f>
        <v>26</v>
      </c>
      <c r="K4361" s="3">
        <f>I4361-J4361</f>
        <v>-5</v>
      </c>
      <c r="L4361" s="3" t="str">
        <f>IF(K4361&lt;-5,"CRÍTICO",IF(K4361&lt;0,"ATENÇÃO",IF(K4361&lt;=5,"OPORTUNO","MUITO BOM")))</f>
        <v>ATENÇÃO</v>
      </c>
      <c r="M4361" s="3">
        <v>18</v>
      </c>
      <c r="N4361" s="3">
        <v>100</v>
      </c>
      <c r="O4361" s="3">
        <v>15.789473684210529</v>
      </c>
    </row>
    <row r="4362" spans="1:15" x14ac:dyDescent="0.25">
      <c r="A4362" s="7">
        <v>46162</v>
      </c>
      <c r="B4362" s="8" t="s">
        <v>43</v>
      </c>
      <c r="C4362" s="14" t="s">
        <v>32</v>
      </c>
      <c r="D4362" s="3">
        <v>0</v>
      </c>
      <c r="E4362" s="3">
        <v>0</v>
      </c>
      <c r="F4362" s="3">
        <v>0</v>
      </c>
      <c r="G4362" s="3">
        <v>0</v>
      </c>
      <c r="H4362" s="3">
        <v>25</v>
      </c>
      <c r="I4362" s="3">
        <f>E4362+G4362+H4362</f>
        <v>25</v>
      </c>
      <c r="J4362" s="3">
        <f>ROUND(MIN(IF(C4362="Técnico III",35,IF(C4362="Técnico II",28,IF(C4362="Técnico I",23,IF(C4362="JR",20,IF(C4362="Estágio",10,0))))),IF(C4362="Técnico III",SUMIFS($D:$D,$A:$A,$A4362,$B:$B,"&lt;&gt;Patrícia Karla de Sousa Araújo",$B:$B,"&lt;&gt;Lorena Dias de Araujo",$B:$B,"&lt;&gt;Lucas Luiz Romero")*(35/1083),IF(C4362="Técnico II",SUMIFS($D:$D,$A:$A,$A4362,$B:$B,"&lt;&gt;Patrícia Karla de Sousa Araújo",$B:$B,"&lt;&gt;Lorena Dias de Araujo",$B:$B,"&lt;&gt;Lucas Luiz Romero")*(28/1083),IF(C4362="Técnico I",SUMIFS($D:$D,$A:$A,$A4362,$B:$B,"&lt;&gt;Patrícia Karla de Sousa Araújo",$B:$B,"&lt;&gt;Lorena Dias de Araujo",$B:$B,"&lt;&gt;Lucas Luiz Romero")*(23/1083),IF(C4362="JR",SUMIFS($D:$D,$A:$A,$A4362,$B:$B,"&lt;&gt;Patrícia Karla de Sousa Araújo",$B:$B,"&lt;&gt;Lorena Dias de Araujo",$B:$B,"&lt;&gt;Lucas Luiz Romero")*(20/1083),IF(C4362="Estágio",SUMIFS($D:$D,$A:$A,$A4362,$B:$B,"&lt;&gt;Patrícia Karla de Sousa Araújo",$B:$B,"&lt;&gt;Lorena Dias de Araujo",$B:$B,"&lt;&gt;Lucas Luiz Romero")*(10/1083),0)))))),0)</f>
        <v>26</v>
      </c>
      <c r="K4362" s="3">
        <f>I4362-J4362</f>
        <v>-1</v>
      </c>
      <c r="L4362" s="3" t="str">
        <f>IF(K4362&lt;-5,"CRÍTICO",IF(K4362&lt;0,"ATENÇÃO",IF(K4362&lt;=5,"OPORTUNO","MUITO BOM")))</f>
        <v>ATENÇÃO</v>
      </c>
      <c r="M4362" s="3">
        <v>16</v>
      </c>
      <c r="N4362" s="3">
        <v>98.39</v>
      </c>
      <c r="O4362" s="3">
        <v>8.7999999999999989</v>
      </c>
    </row>
    <row r="4363" spans="1:15" hidden="1" x14ac:dyDescent="0.25">
      <c r="A4363" s="7">
        <v>46162</v>
      </c>
      <c r="B4363" s="8" t="s">
        <v>44</v>
      </c>
      <c r="C4363" s="14" t="s">
        <v>32</v>
      </c>
      <c r="D4363" s="3">
        <v>27</v>
      </c>
      <c r="E4363" s="3">
        <v>25</v>
      </c>
      <c r="F4363" s="3">
        <v>15.01</v>
      </c>
      <c r="G4363" s="3">
        <v>2</v>
      </c>
      <c r="H4363" s="3">
        <v>0</v>
      </c>
      <c r="I4363" s="3">
        <f>E4363+G4363+H4363</f>
        <v>27</v>
      </c>
      <c r="J4363" s="3">
        <f>ROUND(MIN(IF(C4363="Técnico III",35,IF(C4363="Técnico II",28,IF(C4363="Técnico I",23,IF(C4363="JR",20,IF(C4363="Estágio",10,0))))),IF(C4363="Técnico III",SUMIFS($D:$D,$A:$A,$A4363,$B:$B,"&lt;&gt;Patrícia Karla de Sousa Araújo",$B:$B,"&lt;&gt;Lorena Dias de Araujo",$B:$B,"&lt;&gt;Lucas Luiz Romero")*(35/1083),IF(C4363="Técnico II",SUMIFS($D:$D,$A:$A,$A4363,$B:$B,"&lt;&gt;Patrícia Karla de Sousa Araújo",$B:$B,"&lt;&gt;Lorena Dias de Araujo",$B:$B,"&lt;&gt;Lucas Luiz Romero")*(28/1083),IF(C4363="Técnico I",SUMIFS($D:$D,$A:$A,$A4363,$B:$B,"&lt;&gt;Patrícia Karla de Sousa Araújo",$B:$B,"&lt;&gt;Lorena Dias de Araujo",$B:$B,"&lt;&gt;Lucas Luiz Romero")*(23/1083),IF(C4363="JR",SUMIFS($D:$D,$A:$A,$A4363,$B:$B,"&lt;&gt;Patrícia Karla de Sousa Araújo",$B:$B,"&lt;&gt;Lorena Dias de Araujo",$B:$B,"&lt;&gt;Lucas Luiz Romero")*(20/1083),IF(C4363="Estágio",SUMIFS($D:$D,$A:$A,$A4363,$B:$B,"&lt;&gt;Patrícia Karla de Sousa Araújo",$B:$B,"&lt;&gt;Lorena Dias de Araujo",$B:$B,"&lt;&gt;Lucas Luiz Romero")*(10/1083),0)))))),0)</f>
        <v>26</v>
      </c>
      <c r="K4363" s="3">
        <f>I4363-J4363</f>
        <v>1</v>
      </c>
      <c r="L4363" s="3" t="str">
        <f>IF(K4363&lt;-5,"CRÍTICO",IF(K4363&lt;0,"ATENÇÃO",IF(K4363&lt;=5,"OPORTUNO","MUITO BOM")))</f>
        <v>OPORTUNO</v>
      </c>
      <c r="M4363" s="3">
        <v>23</v>
      </c>
      <c r="N4363" s="3">
        <v>96.38</v>
      </c>
      <c r="O4363" s="3">
        <v>23.198198198198199</v>
      </c>
    </row>
    <row r="4364" spans="1:15" hidden="1" x14ac:dyDescent="0.25">
      <c r="A4364" s="7">
        <v>46162</v>
      </c>
      <c r="B4364" s="8" t="s">
        <v>45</v>
      </c>
      <c r="C4364" s="14" t="s">
        <v>32</v>
      </c>
      <c r="D4364" s="3">
        <v>37</v>
      </c>
      <c r="E4364" s="3">
        <v>33</v>
      </c>
      <c r="F4364" s="3">
        <v>15.26</v>
      </c>
      <c r="G4364" s="3">
        <v>0</v>
      </c>
      <c r="H4364" s="3">
        <v>0</v>
      </c>
      <c r="I4364" s="3">
        <f>E4364+G4364+H4364</f>
        <v>33</v>
      </c>
      <c r="J4364" s="3">
        <f>ROUND(MIN(IF(C4364="Técnico III",35,IF(C4364="Técnico II",28,IF(C4364="Técnico I",23,IF(C4364="JR",20,IF(C4364="Estágio",10,0))))),IF(C4364="Técnico III",SUMIFS($D:$D,$A:$A,$A4364,$B:$B,"&lt;&gt;Patrícia Karla de Sousa Araújo",$B:$B,"&lt;&gt;Lorena Dias de Araujo",$B:$B,"&lt;&gt;Lucas Luiz Romero")*(35/1083),IF(C4364="Técnico II",SUMIFS($D:$D,$A:$A,$A4364,$B:$B,"&lt;&gt;Patrícia Karla de Sousa Araújo",$B:$B,"&lt;&gt;Lorena Dias de Araujo",$B:$B,"&lt;&gt;Lucas Luiz Romero")*(28/1083),IF(C4364="Técnico I",SUMIFS($D:$D,$A:$A,$A4364,$B:$B,"&lt;&gt;Patrícia Karla de Sousa Araújo",$B:$B,"&lt;&gt;Lorena Dias de Araujo",$B:$B,"&lt;&gt;Lucas Luiz Romero")*(23/1083),IF(C4364="JR",SUMIFS($D:$D,$A:$A,$A4364,$B:$B,"&lt;&gt;Patrícia Karla de Sousa Araújo",$B:$B,"&lt;&gt;Lorena Dias de Araujo",$B:$B,"&lt;&gt;Lucas Luiz Romero")*(20/1083),IF(C4364="Estágio",SUMIFS($D:$D,$A:$A,$A4364,$B:$B,"&lt;&gt;Patrícia Karla de Sousa Araújo",$B:$B,"&lt;&gt;Lorena Dias de Araujo",$B:$B,"&lt;&gt;Lucas Luiz Romero")*(10/1083),0)))))),0)</f>
        <v>26</v>
      </c>
      <c r="K4364" s="3">
        <f>I4364-J4364</f>
        <v>7</v>
      </c>
      <c r="L4364" s="3" t="str">
        <f>IF(K4364&lt;-5,"CRÍTICO",IF(K4364&lt;0,"ATENÇÃO",IF(K4364&lt;=5,"OPORTUNO","MUITO BOM")))</f>
        <v>MUITO BOM</v>
      </c>
      <c r="M4364" s="3">
        <v>28</v>
      </c>
      <c r="N4364" s="3">
        <v>99.39</v>
      </c>
      <c r="O4364" s="3">
        <v>25.203252032520329</v>
      </c>
    </row>
    <row r="4365" spans="1:15" hidden="1" x14ac:dyDescent="0.25">
      <c r="A4365" s="7">
        <v>46162</v>
      </c>
      <c r="B4365" s="8" t="s">
        <v>46</v>
      </c>
      <c r="C4365" s="14" t="s">
        <v>32</v>
      </c>
      <c r="D4365" s="3">
        <v>25</v>
      </c>
      <c r="E4365" s="3">
        <v>23</v>
      </c>
      <c r="F4365" s="3">
        <v>12.07</v>
      </c>
      <c r="G4365" s="3">
        <v>1</v>
      </c>
      <c r="H4365" s="3">
        <v>0</v>
      </c>
      <c r="I4365" s="3">
        <f>E4365+G4365+H4365</f>
        <v>24</v>
      </c>
      <c r="J4365" s="3">
        <f>ROUND(MIN(IF(C4365="Técnico III",35,IF(C4365="Técnico II",28,IF(C4365="Técnico I",23,IF(C4365="JR",20,IF(C4365="Estágio",10,0))))),IF(C4365="Técnico III",SUMIFS($D:$D,$A:$A,$A4365,$B:$B,"&lt;&gt;Patrícia Karla de Sousa Araújo",$B:$B,"&lt;&gt;Lorena Dias de Araujo",$B:$B,"&lt;&gt;Lucas Luiz Romero")*(35/1083),IF(C4365="Técnico II",SUMIFS($D:$D,$A:$A,$A4365,$B:$B,"&lt;&gt;Patrícia Karla de Sousa Araújo",$B:$B,"&lt;&gt;Lorena Dias de Araujo",$B:$B,"&lt;&gt;Lucas Luiz Romero")*(28/1083),IF(C4365="Técnico I",SUMIFS($D:$D,$A:$A,$A4365,$B:$B,"&lt;&gt;Patrícia Karla de Sousa Araújo",$B:$B,"&lt;&gt;Lorena Dias de Araujo",$B:$B,"&lt;&gt;Lucas Luiz Romero")*(23/1083),IF(C4365="JR",SUMIFS($D:$D,$A:$A,$A4365,$B:$B,"&lt;&gt;Patrícia Karla de Sousa Araújo",$B:$B,"&lt;&gt;Lorena Dias de Araujo",$B:$B,"&lt;&gt;Lucas Luiz Romero")*(20/1083),IF(C4365="Estágio",SUMIFS($D:$D,$A:$A,$A4365,$B:$B,"&lt;&gt;Patrícia Karla de Sousa Araújo",$B:$B,"&lt;&gt;Lorena Dias de Araujo",$B:$B,"&lt;&gt;Lucas Luiz Romero")*(10/1083),0)))))),0)</f>
        <v>26</v>
      </c>
      <c r="K4365" s="3">
        <f>I4365-J4365</f>
        <v>-2</v>
      </c>
      <c r="L4365" s="3" t="str">
        <f>IF(K4365&lt;-5,"CRÍTICO",IF(K4365&lt;0,"ATENÇÃO",IF(K4365&lt;=5,"OPORTUNO","MUITO BOM")))</f>
        <v>ATENÇÃO</v>
      </c>
      <c r="M4365" s="3">
        <v>21</v>
      </c>
      <c r="N4365" s="3">
        <v>97</v>
      </c>
      <c r="O4365" s="3">
        <v>20.325203252032519</v>
      </c>
    </row>
    <row r="4366" spans="1:15" hidden="1" x14ac:dyDescent="0.25">
      <c r="A4366" s="7">
        <v>46162</v>
      </c>
      <c r="B4366" s="8" t="s">
        <v>47</v>
      </c>
      <c r="C4366" s="14" t="s">
        <v>48</v>
      </c>
      <c r="D4366" s="3">
        <v>36</v>
      </c>
      <c r="E4366" s="3">
        <v>25</v>
      </c>
      <c r="F4366" s="3">
        <v>11.43</v>
      </c>
      <c r="G4366" s="3">
        <v>6</v>
      </c>
      <c r="H4366" s="3">
        <v>0</v>
      </c>
      <c r="I4366" s="3">
        <f>E4366+G4366+H4366</f>
        <v>31</v>
      </c>
      <c r="J4366" s="3">
        <f>ROUND(MIN(IF(C4366="Técnico III",35,IF(C4366="Técnico II",28,IF(C4366="Técnico I",23,IF(C4366="JR",20,IF(C4366="Estágio",10,0))))),IF(C4366="Técnico III",SUMIFS($D:$D,$A:$A,$A4366,$B:$B,"&lt;&gt;Patrícia Karla de Sousa Araújo",$B:$B,"&lt;&gt;Lorena Dias de Araujo",$B:$B,"&lt;&gt;Lucas Luiz Romero")*(35/1083),IF(C4366="Técnico II",SUMIFS($D:$D,$A:$A,$A4366,$B:$B,"&lt;&gt;Patrícia Karla de Sousa Araújo",$B:$B,"&lt;&gt;Lorena Dias de Araujo",$B:$B,"&lt;&gt;Lucas Luiz Romero")*(28/1083),IF(C4366="Técnico I",SUMIFS($D:$D,$A:$A,$A4366,$B:$B,"&lt;&gt;Patrícia Karla de Sousa Araújo",$B:$B,"&lt;&gt;Lorena Dias de Araujo",$B:$B,"&lt;&gt;Lucas Luiz Romero")*(23/1083),IF(C4366="JR",SUMIFS($D:$D,$A:$A,$A4366,$B:$B,"&lt;&gt;Patrícia Karla de Sousa Araújo",$B:$B,"&lt;&gt;Lorena Dias de Araujo",$B:$B,"&lt;&gt;Lucas Luiz Romero")*(20/1083),IF(C4366="Estágio",SUMIFS($D:$D,$A:$A,$A4366,$B:$B,"&lt;&gt;Patrícia Karla de Sousa Araújo",$B:$B,"&lt;&gt;Lorena Dias de Araujo",$B:$B,"&lt;&gt;Lucas Luiz Romero")*(10/1083),0)))))),0)</f>
        <v>21</v>
      </c>
      <c r="K4366" s="3">
        <f>I4366-J4366</f>
        <v>10</v>
      </c>
      <c r="L4366" s="3" t="str">
        <f>IF(K4366&lt;-5,"CRÍTICO",IF(K4366&lt;0,"ATENÇÃO",IF(K4366&lt;=5,"OPORTUNO","MUITO BOM")))</f>
        <v>MUITO BOM</v>
      </c>
      <c r="M4366" s="3">
        <v>20</v>
      </c>
      <c r="N4366" s="3">
        <v>99.18</v>
      </c>
      <c r="O4366" s="3">
        <v>24.501424501424498</v>
      </c>
    </row>
    <row r="4367" spans="1:15" hidden="1" x14ac:dyDescent="0.25">
      <c r="A4367" s="7">
        <v>46162</v>
      </c>
      <c r="B4367" s="8" t="s">
        <v>49</v>
      </c>
      <c r="C4367" s="14" t="s">
        <v>48</v>
      </c>
      <c r="D4367" s="3">
        <v>25</v>
      </c>
      <c r="E4367" s="3">
        <v>23</v>
      </c>
      <c r="F4367" s="3">
        <v>15.11</v>
      </c>
      <c r="G4367" s="3">
        <v>2</v>
      </c>
      <c r="H4367" s="3">
        <v>0</v>
      </c>
      <c r="I4367" s="3">
        <f>E4367+G4367+H4367</f>
        <v>25</v>
      </c>
      <c r="J4367" s="3">
        <f>ROUND(MIN(IF(C4367="Técnico III",35,IF(C4367="Técnico II",28,IF(C4367="Técnico I",23,IF(C4367="JR",20,IF(C4367="Estágio",10,0))))),IF(C4367="Técnico III",SUMIFS($D:$D,$A:$A,$A4367,$B:$B,"&lt;&gt;Patrícia Karla de Sousa Araújo",$B:$B,"&lt;&gt;Lorena Dias de Araujo",$B:$B,"&lt;&gt;Lucas Luiz Romero")*(35/1083),IF(C4367="Técnico II",SUMIFS($D:$D,$A:$A,$A4367,$B:$B,"&lt;&gt;Patrícia Karla de Sousa Araújo",$B:$B,"&lt;&gt;Lorena Dias de Araujo",$B:$B,"&lt;&gt;Lucas Luiz Romero")*(28/1083),IF(C4367="Técnico I",SUMIFS($D:$D,$A:$A,$A4367,$B:$B,"&lt;&gt;Patrícia Karla de Sousa Araújo",$B:$B,"&lt;&gt;Lorena Dias de Araujo",$B:$B,"&lt;&gt;Lucas Luiz Romero")*(23/1083),IF(C4367="JR",SUMIFS($D:$D,$A:$A,$A4367,$B:$B,"&lt;&gt;Patrícia Karla de Sousa Araújo",$B:$B,"&lt;&gt;Lorena Dias de Araujo",$B:$B,"&lt;&gt;Lucas Luiz Romero")*(20/1083),IF(C4367="Estágio",SUMIFS($D:$D,$A:$A,$A4367,$B:$B,"&lt;&gt;Patrícia Karla de Sousa Araújo",$B:$B,"&lt;&gt;Lorena Dias de Araujo",$B:$B,"&lt;&gt;Lucas Luiz Romero")*(10/1083),0)))))),0)</f>
        <v>21</v>
      </c>
      <c r="K4367" s="3">
        <f>I4367-J4367</f>
        <v>4</v>
      </c>
      <c r="L4367" s="3" t="str">
        <f>IF(K4367&lt;-5,"CRÍTICO",IF(K4367&lt;0,"ATENÇÃO",IF(K4367&lt;=5,"OPORTUNO","MUITO BOM")))</f>
        <v>OPORTUNO</v>
      </c>
      <c r="M4367" s="3">
        <v>29</v>
      </c>
      <c r="N4367" s="3">
        <v>99.35</v>
      </c>
      <c r="O4367" s="3">
        <v>19.852941176470591</v>
      </c>
    </row>
    <row r="4368" spans="1:15" hidden="1" x14ac:dyDescent="0.25">
      <c r="A4368" s="7">
        <v>46162</v>
      </c>
      <c r="B4368" s="8" t="s">
        <v>50</v>
      </c>
      <c r="C4368" s="14" t="s">
        <v>48</v>
      </c>
      <c r="D4368" s="3">
        <v>27</v>
      </c>
      <c r="E4368" s="3">
        <v>26</v>
      </c>
      <c r="F4368" s="3">
        <v>18.579999999999998</v>
      </c>
      <c r="G4368" s="3">
        <v>1</v>
      </c>
      <c r="H4368" s="3">
        <v>0</v>
      </c>
      <c r="I4368" s="3">
        <f>E4368+G4368+H4368</f>
        <v>27</v>
      </c>
      <c r="J4368" s="3">
        <f>ROUND(MIN(IF(C4368="Técnico III",35,IF(C4368="Técnico II",28,IF(C4368="Técnico I",23,IF(C4368="JR",20,IF(C4368="Estágio",10,0))))),IF(C4368="Técnico III",SUMIFS($D:$D,$A:$A,$A4368,$B:$B,"&lt;&gt;Patrícia Karla de Sousa Araújo",$B:$B,"&lt;&gt;Lorena Dias de Araujo",$B:$B,"&lt;&gt;Lucas Luiz Romero")*(35/1083),IF(C4368="Técnico II",SUMIFS($D:$D,$A:$A,$A4368,$B:$B,"&lt;&gt;Patrícia Karla de Sousa Araújo",$B:$B,"&lt;&gt;Lorena Dias de Araujo",$B:$B,"&lt;&gt;Lucas Luiz Romero")*(28/1083),IF(C4368="Técnico I",SUMIFS($D:$D,$A:$A,$A4368,$B:$B,"&lt;&gt;Patrícia Karla de Sousa Araújo",$B:$B,"&lt;&gt;Lorena Dias de Araujo",$B:$B,"&lt;&gt;Lucas Luiz Romero")*(23/1083),IF(C4368="JR",SUMIFS($D:$D,$A:$A,$A4368,$B:$B,"&lt;&gt;Patrícia Karla de Sousa Araújo",$B:$B,"&lt;&gt;Lorena Dias de Araujo",$B:$B,"&lt;&gt;Lucas Luiz Romero")*(20/1083),IF(C4368="Estágio",SUMIFS($D:$D,$A:$A,$A4368,$B:$B,"&lt;&gt;Patrícia Karla de Sousa Araújo",$B:$B,"&lt;&gt;Lorena Dias de Araujo",$B:$B,"&lt;&gt;Lucas Luiz Romero")*(10/1083),0)))))),0)</f>
        <v>21</v>
      </c>
      <c r="K4368" s="3">
        <f>I4368-J4368</f>
        <v>6</v>
      </c>
      <c r="L4368" s="3" t="str">
        <f>IF(K4368&lt;-5,"CRÍTICO",IF(K4368&lt;0,"ATENÇÃO",IF(K4368&lt;=5,"OPORTUNO","MUITO BOM")))</f>
        <v>MUITO BOM</v>
      </c>
      <c r="M4368" s="3">
        <v>25</v>
      </c>
      <c r="N4368" s="3">
        <v>99.07</v>
      </c>
      <c r="O4368" s="3">
        <v>20.098039215686271</v>
      </c>
    </row>
    <row r="4369" spans="1:15" hidden="1" x14ac:dyDescent="0.25">
      <c r="A4369" s="7">
        <v>46162</v>
      </c>
      <c r="B4369" s="8" t="s">
        <v>51</v>
      </c>
      <c r="C4369" s="14" t="s">
        <v>48</v>
      </c>
      <c r="D4369" s="3">
        <v>0</v>
      </c>
      <c r="E4369" s="3">
        <v>0</v>
      </c>
      <c r="F4369" s="3">
        <v>0</v>
      </c>
      <c r="G4369" s="3">
        <v>0</v>
      </c>
      <c r="H4369" s="3">
        <v>0</v>
      </c>
      <c r="I4369" s="3">
        <f>E4369+G4369+H4369</f>
        <v>0</v>
      </c>
      <c r="J4369" s="3">
        <f>ROUND(MIN(IF(C4369="Técnico III",35,IF(C4369="Técnico II",28,IF(C4369="Técnico I",23,IF(C4369="JR",20,IF(C4369="Estágio",10,0))))),IF(C4369="Técnico III",SUMIFS($D:$D,$A:$A,$A4369,$B:$B,"&lt;&gt;Patrícia Karla de Sousa Araújo",$B:$B,"&lt;&gt;Lorena Dias de Araujo",$B:$B,"&lt;&gt;Lucas Luiz Romero")*(35/1083),IF(C4369="Técnico II",SUMIFS($D:$D,$A:$A,$A4369,$B:$B,"&lt;&gt;Patrícia Karla de Sousa Araújo",$B:$B,"&lt;&gt;Lorena Dias de Araujo",$B:$B,"&lt;&gt;Lucas Luiz Romero")*(28/1083),IF(C4369="Técnico I",SUMIFS($D:$D,$A:$A,$A4369,$B:$B,"&lt;&gt;Patrícia Karla de Sousa Araújo",$B:$B,"&lt;&gt;Lorena Dias de Araujo",$B:$B,"&lt;&gt;Lucas Luiz Romero")*(23/1083),IF(C4369="JR",SUMIFS($D:$D,$A:$A,$A4369,$B:$B,"&lt;&gt;Patrícia Karla de Sousa Araújo",$B:$B,"&lt;&gt;Lorena Dias de Araujo",$B:$B,"&lt;&gt;Lucas Luiz Romero")*(20/1083),IF(C4369="Estágio",SUMIFS($D:$D,$A:$A,$A4369,$B:$B,"&lt;&gt;Patrícia Karla de Sousa Araújo",$B:$B,"&lt;&gt;Lorena Dias de Araujo",$B:$B,"&lt;&gt;Lucas Luiz Romero")*(10/1083),0)))))),0)</f>
        <v>21</v>
      </c>
      <c r="K4369" s="3">
        <f>I4369-J4369</f>
        <v>-21</v>
      </c>
      <c r="L4369" s="3" t="str">
        <f>IF(K4369&lt;-5,"CRÍTICO",IF(K4369&lt;0,"ATENÇÃO",IF(K4369&lt;=5,"OPORTUNO","MUITO BOM")))</f>
        <v>CRÍTICO</v>
      </c>
      <c r="M4369" s="3">
        <v>0</v>
      </c>
      <c r="N4369" s="3">
        <v>98.81</v>
      </c>
      <c r="O4369" s="3">
        <v>22.767857142857139</v>
      </c>
    </row>
    <row r="4370" spans="1:15" hidden="1" x14ac:dyDescent="0.25">
      <c r="A4370" s="7">
        <v>46162</v>
      </c>
      <c r="B4370" s="8" t="s">
        <v>52</v>
      </c>
      <c r="C4370" s="14" t="s">
        <v>48</v>
      </c>
      <c r="D4370" s="3">
        <v>30</v>
      </c>
      <c r="E4370" s="3">
        <v>28</v>
      </c>
      <c r="F4370" s="3">
        <v>10.26</v>
      </c>
      <c r="G4370" s="3">
        <v>2</v>
      </c>
      <c r="H4370" s="3">
        <v>0</v>
      </c>
      <c r="I4370" s="3">
        <f>E4370+G4370+H4370</f>
        <v>30</v>
      </c>
      <c r="J4370" s="3">
        <f>ROUND(MIN(IF(C4370="Técnico III",35,IF(C4370="Técnico II",28,IF(C4370="Técnico I",23,IF(C4370="JR",20,IF(C4370="Estágio",10,0))))),IF(C4370="Técnico III",SUMIFS($D:$D,$A:$A,$A4370,$B:$B,"&lt;&gt;Patrícia Karla de Sousa Araújo",$B:$B,"&lt;&gt;Lorena Dias de Araujo",$B:$B,"&lt;&gt;Lucas Luiz Romero")*(35/1083),IF(C4370="Técnico II",SUMIFS($D:$D,$A:$A,$A4370,$B:$B,"&lt;&gt;Patrícia Karla de Sousa Araújo",$B:$B,"&lt;&gt;Lorena Dias de Araujo",$B:$B,"&lt;&gt;Lucas Luiz Romero")*(28/1083),IF(C4370="Técnico I",SUMIFS($D:$D,$A:$A,$A4370,$B:$B,"&lt;&gt;Patrícia Karla de Sousa Araújo",$B:$B,"&lt;&gt;Lorena Dias de Araujo",$B:$B,"&lt;&gt;Lucas Luiz Romero")*(23/1083),IF(C4370="JR",SUMIFS($D:$D,$A:$A,$A4370,$B:$B,"&lt;&gt;Patrícia Karla de Sousa Araújo",$B:$B,"&lt;&gt;Lorena Dias de Araujo",$B:$B,"&lt;&gt;Lucas Luiz Romero")*(20/1083),IF(C4370="Estágio",SUMIFS($D:$D,$A:$A,$A4370,$B:$B,"&lt;&gt;Patrícia Karla de Sousa Araújo",$B:$B,"&lt;&gt;Lorena Dias de Araujo",$B:$B,"&lt;&gt;Lucas Luiz Romero")*(10/1083),0)))))),0)</f>
        <v>21</v>
      </c>
      <c r="K4370" s="3">
        <f>I4370-J4370</f>
        <v>9</v>
      </c>
      <c r="L4370" s="3" t="str">
        <f>IF(K4370&lt;-5,"CRÍTICO",IF(K4370&lt;0,"ATENÇÃO",IF(K4370&lt;=5,"OPORTUNO","MUITO BOM")))</f>
        <v>MUITO BOM</v>
      </c>
      <c r="M4370" s="3">
        <v>28</v>
      </c>
      <c r="N4370" s="3">
        <v>99.01</v>
      </c>
      <c r="O4370" s="3">
        <v>17.766497461928939</v>
      </c>
    </row>
    <row r="4371" spans="1:15" hidden="1" x14ac:dyDescent="0.25">
      <c r="A4371" s="7">
        <v>46162</v>
      </c>
      <c r="B4371" s="8" t="s">
        <v>53</v>
      </c>
      <c r="C4371" s="14" t="s">
        <v>48</v>
      </c>
      <c r="D4371" s="3">
        <v>0</v>
      </c>
      <c r="E4371" s="3">
        <v>0</v>
      </c>
      <c r="F4371" s="3">
        <v>0</v>
      </c>
      <c r="G4371" s="3">
        <v>0</v>
      </c>
      <c r="H4371" s="3">
        <v>0</v>
      </c>
      <c r="I4371" s="3">
        <f>E4371+G4371+H4371</f>
        <v>0</v>
      </c>
      <c r="J4371" s="3">
        <f>ROUND(MIN(IF(C4371="Técnico III",35,IF(C4371="Técnico II",28,IF(C4371="Técnico I",23,IF(C4371="JR",20,IF(C4371="Estágio",10,0))))),IF(C4371="Técnico III",SUMIFS($D:$D,$A:$A,$A4371,$B:$B,"&lt;&gt;Patrícia Karla de Sousa Araújo",$B:$B,"&lt;&gt;Lorena Dias de Araujo",$B:$B,"&lt;&gt;Lucas Luiz Romero")*(35/1083),IF(C4371="Técnico II",SUMIFS($D:$D,$A:$A,$A4371,$B:$B,"&lt;&gt;Patrícia Karla de Sousa Araújo",$B:$B,"&lt;&gt;Lorena Dias de Araujo",$B:$B,"&lt;&gt;Lucas Luiz Romero")*(28/1083),IF(C4371="Técnico I",SUMIFS($D:$D,$A:$A,$A4371,$B:$B,"&lt;&gt;Patrícia Karla de Sousa Araújo",$B:$B,"&lt;&gt;Lorena Dias de Araujo",$B:$B,"&lt;&gt;Lucas Luiz Romero")*(23/1083),IF(C4371="JR",SUMIFS($D:$D,$A:$A,$A4371,$B:$B,"&lt;&gt;Patrícia Karla de Sousa Araújo",$B:$B,"&lt;&gt;Lorena Dias de Araujo",$B:$B,"&lt;&gt;Lucas Luiz Romero")*(20/1083),IF(C4371="Estágio",SUMIFS($D:$D,$A:$A,$A4371,$B:$B,"&lt;&gt;Patrícia Karla de Sousa Araújo",$B:$B,"&lt;&gt;Lorena Dias de Araujo",$B:$B,"&lt;&gt;Lucas Luiz Romero")*(10/1083),0)))))),0)</f>
        <v>21</v>
      </c>
      <c r="K4371" s="3">
        <f>I4371-J4371</f>
        <v>-21</v>
      </c>
      <c r="L4371" s="3" t="str">
        <f>IF(K4371&lt;-5,"CRÍTICO",IF(K4371&lt;0,"ATENÇÃO",IF(K4371&lt;=5,"OPORTUNO","MUITO BOM")))</f>
        <v>CRÍTICO</v>
      </c>
      <c r="M4371" s="3">
        <v>0</v>
      </c>
      <c r="N4371" s="3">
        <v>100</v>
      </c>
      <c r="O4371" s="3">
        <v>17.241379310344829</v>
      </c>
    </row>
    <row r="4372" spans="1:15" hidden="1" x14ac:dyDescent="0.25">
      <c r="A4372" s="7">
        <v>46162</v>
      </c>
      <c r="B4372" s="8" t="s">
        <v>54</v>
      </c>
      <c r="C4372" s="14" t="s">
        <v>48</v>
      </c>
      <c r="D4372" s="3">
        <v>24</v>
      </c>
      <c r="E4372" s="3">
        <v>24</v>
      </c>
      <c r="F4372" s="3">
        <v>23.52</v>
      </c>
      <c r="G4372" s="3">
        <v>1</v>
      </c>
      <c r="H4372" s="3">
        <v>0</v>
      </c>
      <c r="I4372" s="3">
        <f>E4372+G4372+H4372</f>
        <v>25</v>
      </c>
      <c r="J4372" s="3">
        <f>ROUND(MIN(IF(C4372="Técnico III",35,IF(C4372="Técnico II",28,IF(C4372="Técnico I",23,IF(C4372="JR",20,IF(C4372="Estágio",10,0))))),IF(C4372="Técnico III",SUMIFS($D:$D,$A:$A,$A4372,$B:$B,"&lt;&gt;Patrícia Karla de Sousa Araújo",$B:$B,"&lt;&gt;Lorena Dias de Araujo",$B:$B,"&lt;&gt;Lucas Luiz Romero")*(35/1083),IF(C4372="Técnico II",SUMIFS($D:$D,$A:$A,$A4372,$B:$B,"&lt;&gt;Patrícia Karla de Sousa Araújo",$B:$B,"&lt;&gt;Lorena Dias de Araujo",$B:$B,"&lt;&gt;Lucas Luiz Romero")*(28/1083),IF(C4372="Técnico I",SUMIFS($D:$D,$A:$A,$A4372,$B:$B,"&lt;&gt;Patrícia Karla de Sousa Araújo",$B:$B,"&lt;&gt;Lorena Dias de Araujo",$B:$B,"&lt;&gt;Lucas Luiz Romero")*(23/1083),IF(C4372="JR",SUMIFS($D:$D,$A:$A,$A4372,$B:$B,"&lt;&gt;Patrícia Karla de Sousa Araújo",$B:$B,"&lt;&gt;Lorena Dias de Araujo",$B:$B,"&lt;&gt;Lucas Luiz Romero")*(20/1083),IF(C4372="Estágio",SUMIFS($D:$D,$A:$A,$A4372,$B:$B,"&lt;&gt;Patrícia Karla de Sousa Araújo",$B:$B,"&lt;&gt;Lorena Dias de Araujo",$B:$B,"&lt;&gt;Lucas Luiz Romero")*(10/1083),0)))))),0)</f>
        <v>21</v>
      </c>
      <c r="K4372" s="3">
        <f>I4372-J4372</f>
        <v>4</v>
      </c>
      <c r="L4372" s="3" t="str">
        <f>IF(K4372&lt;-5,"CRÍTICO",IF(K4372&lt;0,"ATENÇÃO",IF(K4372&lt;=5,"OPORTUNO","MUITO BOM")))</f>
        <v>OPORTUNO</v>
      </c>
      <c r="M4372" s="3">
        <v>22</v>
      </c>
      <c r="N4372" s="3">
        <v>98.98</v>
      </c>
      <c r="O4372" s="3">
        <v>19.35483870967742</v>
      </c>
    </row>
    <row r="4373" spans="1:15" hidden="1" x14ac:dyDescent="0.25">
      <c r="A4373" s="7">
        <v>46162</v>
      </c>
      <c r="B4373" s="8" t="s">
        <v>55</v>
      </c>
      <c r="C4373" s="14" t="s">
        <v>48</v>
      </c>
      <c r="D4373" s="3">
        <v>32</v>
      </c>
      <c r="E4373" s="3">
        <v>26</v>
      </c>
      <c r="F4373" s="3">
        <v>14.11</v>
      </c>
      <c r="G4373" s="3">
        <v>0</v>
      </c>
      <c r="H4373" s="3">
        <v>0</v>
      </c>
      <c r="I4373" s="3">
        <f>E4373+G4373+H4373</f>
        <v>26</v>
      </c>
      <c r="J4373" s="3">
        <f>ROUND(MIN(IF(C4373="Técnico III",35,IF(C4373="Técnico II",28,IF(C4373="Técnico I",23,IF(C4373="JR",20,IF(C4373="Estágio",10,0))))),IF(C4373="Técnico III",SUMIFS($D:$D,$A:$A,$A4373,$B:$B,"&lt;&gt;Patrícia Karla de Sousa Araújo",$B:$B,"&lt;&gt;Lorena Dias de Araujo",$B:$B,"&lt;&gt;Lucas Luiz Romero")*(35/1083),IF(C4373="Técnico II",SUMIFS($D:$D,$A:$A,$A4373,$B:$B,"&lt;&gt;Patrícia Karla de Sousa Araújo",$B:$B,"&lt;&gt;Lorena Dias de Araujo",$B:$B,"&lt;&gt;Lucas Luiz Romero")*(28/1083),IF(C4373="Técnico I",SUMIFS($D:$D,$A:$A,$A4373,$B:$B,"&lt;&gt;Patrícia Karla de Sousa Araújo",$B:$B,"&lt;&gt;Lorena Dias de Araujo",$B:$B,"&lt;&gt;Lucas Luiz Romero")*(23/1083),IF(C4373="JR",SUMIFS($D:$D,$A:$A,$A4373,$B:$B,"&lt;&gt;Patrícia Karla de Sousa Araújo",$B:$B,"&lt;&gt;Lorena Dias de Araujo",$B:$B,"&lt;&gt;Lucas Luiz Romero")*(20/1083),IF(C4373="Estágio",SUMIFS($D:$D,$A:$A,$A4373,$B:$B,"&lt;&gt;Patrícia Karla de Sousa Araújo",$B:$B,"&lt;&gt;Lorena Dias de Araujo",$B:$B,"&lt;&gt;Lucas Luiz Romero")*(10/1083),0)))))),0)</f>
        <v>21</v>
      </c>
      <c r="K4373" s="3">
        <f>I4373-J4373</f>
        <v>5</v>
      </c>
      <c r="L4373" s="3" t="str">
        <f>IF(K4373&lt;-5,"CRÍTICO",IF(K4373&lt;0,"ATENÇÃO",IF(K4373&lt;=5,"OPORTUNO","MUITO BOM")))</f>
        <v>OPORTUNO</v>
      </c>
      <c r="M4373" s="3">
        <v>23</v>
      </c>
      <c r="N4373" s="3">
        <v>98.94</v>
      </c>
      <c r="O4373" s="3">
        <v>21.270718232044199</v>
      </c>
    </row>
    <row r="4374" spans="1:15" hidden="1" x14ac:dyDescent="0.25">
      <c r="A4374" s="7">
        <v>46162</v>
      </c>
      <c r="B4374" s="8" t="s">
        <v>56</v>
      </c>
      <c r="C4374" s="14" t="s">
        <v>48</v>
      </c>
      <c r="D4374" s="3">
        <v>25</v>
      </c>
      <c r="E4374" s="3">
        <v>23</v>
      </c>
      <c r="F4374" s="3">
        <v>20.02</v>
      </c>
      <c r="G4374" s="3">
        <v>2</v>
      </c>
      <c r="H4374" s="3">
        <v>0</v>
      </c>
      <c r="I4374" s="3">
        <f>E4374+G4374+H4374</f>
        <v>25</v>
      </c>
      <c r="J4374" s="3">
        <f>ROUND(MIN(IF(C4374="Técnico III",35,IF(C4374="Técnico II",28,IF(C4374="Técnico I",23,IF(C4374="JR",20,IF(C4374="Estágio",10,0))))),IF(C4374="Técnico III",SUMIFS($D:$D,$A:$A,$A4374,$B:$B,"&lt;&gt;Patrícia Karla de Sousa Araújo",$B:$B,"&lt;&gt;Lorena Dias de Araujo",$B:$B,"&lt;&gt;Lucas Luiz Romero")*(35/1083),IF(C4374="Técnico II",SUMIFS($D:$D,$A:$A,$A4374,$B:$B,"&lt;&gt;Patrícia Karla de Sousa Araújo",$B:$B,"&lt;&gt;Lorena Dias de Araujo",$B:$B,"&lt;&gt;Lucas Luiz Romero")*(28/1083),IF(C4374="Técnico I",SUMIFS($D:$D,$A:$A,$A4374,$B:$B,"&lt;&gt;Patrícia Karla de Sousa Araújo",$B:$B,"&lt;&gt;Lorena Dias de Araujo",$B:$B,"&lt;&gt;Lucas Luiz Romero")*(23/1083),IF(C4374="JR",SUMIFS($D:$D,$A:$A,$A4374,$B:$B,"&lt;&gt;Patrícia Karla de Sousa Araújo",$B:$B,"&lt;&gt;Lorena Dias de Araujo",$B:$B,"&lt;&gt;Lucas Luiz Romero")*(20/1083),IF(C4374="Estágio",SUMIFS($D:$D,$A:$A,$A4374,$B:$B,"&lt;&gt;Patrícia Karla de Sousa Araújo",$B:$B,"&lt;&gt;Lorena Dias de Araujo",$B:$B,"&lt;&gt;Lucas Luiz Romero")*(10/1083),0)))))),0)</f>
        <v>21</v>
      </c>
      <c r="K4374" s="3">
        <f>I4374-J4374</f>
        <v>4</v>
      </c>
      <c r="L4374" s="3" t="str">
        <f>IF(K4374&lt;-5,"CRÍTICO",IF(K4374&lt;0,"ATENÇÃO",IF(K4374&lt;=5,"OPORTUNO","MUITO BOM")))</f>
        <v>OPORTUNO</v>
      </c>
      <c r="M4374" s="3">
        <v>19</v>
      </c>
      <c r="N4374" s="3">
        <v>99</v>
      </c>
      <c r="O4374" s="3">
        <v>22.010869565217391</v>
      </c>
    </row>
    <row r="4375" spans="1:15" hidden="1" x14ac:dyDescent="0.25">
      <c r="A4375" s="7">
        <v>46162</v>
      </c>
      <c r="B4375" s="8" t="s">
        <v>57</v>
      </c>
      <c r="C4375" s="14" t="s">
        <v>48</v>
      </c>
      <c r="D4375" s="3">
        <v>16</v>
      </c>
      <c r="E4375" s="3">
        <v>13</v>
      </c>
      <c r="F4375" s="3">
        <v>25.44</v>
      </c>
      <c r="G4375" s="3">
        <v>0</v>
      </c>
      <c r="H4375" s="3">
        <v>0</v>
      </c>
      <c r="I4375" s="3">
        <f>E4375+G4375+H4375</f>
        <v>13</v>
      </c>
      <c r="J4375" s="3">
        <f>ROUND(MIN(IF(C4375="Técnico III",35,IF(C4375="Técnico II",28,IF(C4375="Técnico I",23,IF(C4375="JR",20,IF(C4375="Estágio",10,0))))),IF(C4375="Técnico III",SUMIFS($D:$D,$A:$A,$A4375,$B:$B,"&lt;&gt;Patrícia Karla de Sousa Araújo",$B:$B,"&lt;&gt;Lorena Dias de Araujo",$B:$B,"&lt;&gt;Lucas Luiz Romero")*(35/1083),IF(C4375="Técnico II",SUMIFS($D:$D,$A:$A,$A4375,$B:$B,"&lt;&gt;Patrícia Karla de Sousa Araújo",$B:$B,"&lt;&gt;Lorena Dias de Araujo",$B:$B,"&lt;&gt;Lucas Luiz Romero")*(28/1083),IF(C4375="Técnico I",SUMIFS($D:$D,$A:$A,$A4375,$B:$B,"&lt;&gt;Patrícia Karla de Sousa Araújo",$B:$B,"&lt;&gt;Lorena Dias de Araujo",$B:$B,"&lt;&gt;Lucas Luiz Romero")*(23/1083),IF(C4375="JR",SUMIFS($D:$D,$A:$A,$A4375,$B:$B,"&lt;&gt;Patrícia Karla de Sousa Araújo",$B:$B,"&lt;&gt;Lorena Dias de Araujo",$B:$B,"&lt;&gt;Lucas Luiz Romero")*(20/1083),IF(C4375="Estágio",SUMIFS($D:$D,$A:$A,$A4375,$B:$B,"&lt;&gt;Patrícia Karla de Sousa Araújo",$B:$B,"&lt;&gt;Lorena Dias de Araujo",$B:$B,"&lt;&gt;Lucas Luiz Romero")*(10/1083),0)))))),0)</f>
        <v>21</v>
      </c>
      <c r="K4375" s="3">
        <f>I4375-J4375</f>
        <v>-8</v>
      </c>
      <c r="L4375" s="3" t="str">
        <f>IF(K4375&lt;-5,"CRÍTICO",IF(K4375&lt;0,"ATENÇÃO",IF(K4375&lt;=5,"OPORTUNO","MUITO BOM")))</f>
        <v>CRÍTICO</v>
      </c>
      <c r="M4375" s="3">
        <v>8</v>
      </c>
      <c r="N4375" s="3">
        <v>100</v>
      </c>
      <c r="O4375" s="3">
        <v>25</v>
      </c>
    </row>
    <row r="4376" spans="1:15" hidden="1" x14ac:dyDescent="0.25">
      <c r="A4376" s="7">
        <v>46162</v>
      </c>
      <c r="B4376" s="8" t="s">
        <v>58</v>
      </c>
      <c r="C4376" s="14" t="s">
        <v>48</v>
      </c>
      <c r="D4376" s="3">
        <v>0</v>
      </c>
      <c r="E4376" s="3">
        <v>0</v>
      </c>
      <c r="F4376" s="3">
        <v>0</v>
      </c>
      <c r="G4376" s="3">
        <v>0</v>
      </c>
      <c r="H4376" s="3">
        <v>0</v>
      </c>
      <c r="I4376" s="3">
        <f>E4376+G4376+H4376</f>
        <v>0</v>
      </c>
      <c r="J4376" s="3">
        <f>ROUND(MIN(IF(C4376="Técnico III",35,IF(C4376="Técnico II",28,IF(C4376="Técnico I",23,IF(C4376="JR",20,IF(C4376="Estágio",10,0))))),IF(C4376="Técnico III",SUMIFS($D:$D,$A:$A,$A4376,$B:$B,"&lt;&gt;Patrícia Karla de Sousa Araújo",$B:$B,"&lt;&gt;Lorena Dias de Araujo",$B:$B,"&lt;&gt;Lucas Luiz Romero")*(35/1083),IF(C4376="Técnico II",SUMIFS($D:$D,$A:$A,$A4376,$B:$B,"&lt;&gt;Patrícia Karla de Sousa Araújo",$B:$B,"&lt;&gt;Lorena Dias de Araujo",$B:$B,"&lt;&gt;Lucas Luiz Romero")*(28/1083),IF(C4376="Técnico I",SUMIFS($D:$D,$A:$A,$A4376,$B:$B,"&lt;&gt;Patrícia Karla de Sousa Araújo",$B:$B,"&lt;&gt;Lorena Dias de Araujo",$B:$B,"&lt;&gt;Lucas Luiz Romero")*(23/1083),IF(C4376="JR",SUMIFS($D:$D,$A:$A,$A4376,$B:$B,"&lt;&gt;Patrícia Karla de Sousa Araújo",$B:$B,"&lt;&gt;Lorena Dias de Araujo",$B:$B,"&lt;&gt;Lucas Luiz Romero")*(20/1083),IF(C4376="Estágio",SUMIFS($D:$D,$A:$A,$A4376,$B:$B,"&lt;&gt;Patrícia Karla de Sousa Araújo",$B:$B,"&lt;&gt;Lorena Dias de Araujo",$B:$B,"&lt;&gt;Lucas Luiz Romero")*(10/1083),0)))))),0)</f>
        <v>21</v>
      </c>
      <c r="K4376" s="3">
        <f>I4376-J4376</f>
        <v>-21</v>
      </c>
      <c r="L4376" s="3" t="str">
        <f>IF(K4376&lt;-5,"CRÍTICO",IF(K4376&lt;0,"ATENÇÃO",IF(K4376&lt;=5,"OPORTUNO","MUITO BOM")))</f>
        <v>CRÍTICO</v>
      </c>
      <c r="M4376" s="3">
        <v>0</v>
      </c>
      <c r="N4376" s="3">
        <v>100</v>
      </c>
      <c r="O4376" s="3">
        <v>20.183486238532112</v>
      </c>
    </row>
    <row r="4377" spans="1:15" hidden="1" x14ac:dyDescent="0.25">
      <c r="A4377" s="7">
        <v>46162</v>
      </c>
      <c r="B4377" s="8" t="s">
        <v>59</v>
      </c>
      <c r="C4377" s="14" t="s">
        <v>23</v>
      </c>
      <c r="D4377" s="3">
        <v>26</v>
      </c>
      <c r="E4377" s="3">
        <v>25</v>
      </c>
      <c r="F4377" s="3">
        <v>15.37</v>
      </c>
      <c r="G4377" s="3">
        <v>1</v>
      </c>
      <c r="H4377" s="3">
        <v>0</v>
      </c>
      <c r="I4377" s="3">
        <f>E4377+G4377+H4377</f>
        <v>26</v>
      </c>
      <c r="J4377" s="3">
        <f>ROUND(MIN(IF(C4377="Técnico III",35,IF(C4377="Técnico II",28,IF(C4377="Técnico I",23,IF(C4377="JR",20,IF(C4377="Estágio",10,0))))),IF(C4377="Técnico III",SUMIFS($D:$D,$A:$A,$A4377,$B:$B,"&lt;&gt;Patrícia Karla de Sousa Araújo",$B:$B,"&lt;&gt;Lorena Dias de Araujo",$B:$B,"&lt;&gt;Lucas Luiz Romero")*(35/1083),IF(C4377="Técnico II",SUMIFS($D:$D,$A:$A,$A4377,$B:$B,"&lt;&gt;Patrícia Karla de Sousa Araújo",$B:$B,"&lt;&gt;Lorena Dias de Araujo",$B:$B,"&lt;&gt;Lucas Luiz Romero")*(28/1083),IF(C4377="Técnico I",SUMIFS($D:$D,$A:$A,$A4377,$B:$B,"&lt;&gt;Patrícia Karla de Sousa Araújo",$B:$B,"&lt;&gt;Lorena Dias de Araujo",$B:$B,"&lt;&gt;Lucas Luiz Romero")*(23/1083),IF(C4377="JR",SUMIFS($D:$D,$A:$A,$A4377,$B:$B,"&lt;&gt;Patrícia Karla de Sousa Araújo",$B:$B,"&lt;&gt;Lorena Dias de Araujo",$B:$B,"&lt;&gt;Lucas Luiz Romero")*(20/1083),IF(C4377="Estágio",SUMIFS($D:$D,$A:$A,$A4377,$B:$B,"&lt;&gt;Patrícia Karla de Sousa Araújo",$B:$B,"&lt;&gt;Lorena Dias de Araujo",$B:$B,"&lt;&gt;Lucas Luiz Romero")*(10/1083),0)))))),0)</f>
        <v>17</v>
      </c>
      <c r="K4377" s="3">
        <f>I4377-J4377</f>
        <v>9</v>
      </c>
      <c r="L4377" s="3" t="str">
        <f>IF(K4377&lt;-5,"CRÍTICO",IF(K4377&lt;0,"ATENÇÃO",IF(K4377&lt;=5,"OPORTUNO","MUITO BOM")))</f>
        <v>MUITO BOM</v>
      </c>
      <c r="M4377" s="3">
        <v>27</v>
      </c>
      <c r="N4377" s="3">
        <v>96.25</v>
      </c>
      <c r="O4377" s="3">
        <v>25.586353944562902</v>
      </c>
    </row>
    <row r="4378" spans="1:15" hidden="1" x14ac:dyDescent="0.25">
      <c r="A4378" s="7">
        <v>46162</v>
      </c>
      <c r="B4378" s="8" t="s">
        <v>60</v>
      </c>
      <c r="C4378" s="14" t="s">
        <v>23</v>
      </c>
      <c r="D4378" s="3">
        <v>23</v>
      </c>
      <c r="E4378" s="3">
        <v>23</v>
      </c>
      <c r="F4378" s="3">
        <v>15.5</v>
      </c>
      <c r="G4378" s="3">
        <v>1</v>
      </c>
      <c r="H4378" s="3">
        <v>0</v>
      </c>
      <c r="I4378" s="3">
        <f>E4378+G4378+H4378</f>
        <v>24</v>
      </c>
      <c r="J4378" s="3">
        <f>ROUND(MIN(IF(C4378="Técnico III",35,IF(C4378="Técnico II",28,IF(C4378="Técnico I",23,IF(C4378="JR",20,IF(C4378="Estágio",10,0))))),IF(C4378="Técnico III",SUMIFS($D:$D,$A:$A,$A4378,$B:$B,"&lt;&gt;Patrícia Karla de Sousa Araújo",$B:$B,"&lt;&gt;Lorena Dias de Araujo",$B:$B,"&lt;&gt;Lucas Luiz Romero")*(35/1083),IF(C4378="Técnico II",SUMIFS($D:$D,$A:$A,$A4378,$B:$B,"&lt;&gt;Patrícia Karla de Sousa Araújo",$B:$B,"&lt;&gt;Lorena Dias de Araujo",$B:$B,"&lt;&gt;Lucas Luiz Romero")*(28/1083),IF(C4378="Técnico I",SUMIFS($D:$D,$A:$A,$A4378,$B:$B,"&lt;&gt;Patrícia Karla de Sousa Araújo",$B:$B,"&lt;&gt;Lorena Dias de Araujo",$B:$B,"&lt;&gt;Lucas Luiz Romero")*(23/1083),IF(C4378="JR",SUMIFS($D:$D,$A:$A,$A4378,$B:$B,"&lt;&gt;Patrícia Karla de Sousa Araújo",$B:$B,"&lt;&gt;Lorena Dias de Araujo",$B:$B,"&lt;&gt;Lucas Luiz Romero")*(20/1083),IF(C4378="Estágio",SUMIFS($D:$D,$A:$A,$A4378,$B:$B,"&lt;&gt;Patrícia Karla de Sousa Araújo",$B:$B,"&lt;&gt;Lorena Dias de Araujo",$B:$B,"&lt;&gt;Lucas Luiz Romero")*(10/1083),0)))))),0)</f>
        <v>17</v>
      </c>
      <c r="K4378" s="3">
        <f>I4378-J4378</f>
        <v>7</v>
      </c>
      <c r="L4378" s="3" t="str">
        <f>IF(K4378&lt;-5,"CRÍTICO",IF(K4378&lt;0,"ATENÇÃO",IF(K4378&lt;=5,"OPORTUNO","MUITO BOM")))</f>
        <v>MUITO BOM</v>
      </c>
      <c r="M4378" s="3">
        <v>22</v>
      </c>
      <c r="N4378" s="3">
        <v>97.48</v>
      </c>
      <c r="O4378" s="3">
        <v>22.99465240641711</v>
      </c>
    </row>
    <row r="4379" spans="1:15" hidden="1" x14ac:dyDescent="0.25">
      <c r="A4379" s="7">
        <v>46162</v>
      </c>
      <c r="B4379" s="8" t="s">
        <v>61</v>
      </c>
      <c r="C4379" s="14" t="s">
        <v>23</v>
      </c>
      <c r="D4379" s="3">
        <v>17</v>
      </c>
      <c r="E4379" s="3">
        <v>14</v>
      </c>
      <c r="F4379" s="3">
        <v>15.58</v>
      </c>
      <c r="G4379" s="3">
        <v>2</v>
      </c>
      <c r="H4379" s="3">
        <v>0</v>
      </c>
      <c r="I4379" s="3">
        <f>E4379+G4379+H4379</f>
        <v>16</v>
      </c>
      <c r="J4379" s="3">
        <f>ROUND(MIN(IF(C4379="Técnico III",35,IF(C4379="Técnico II",28,IF(C4379="Técnico I",23,IF(C4379="JR",20,IF(C4379="Estágio",10,0))))),IF(C4379="Técnico III",SUMIFS($D:$D,$A:$A,$A4379,$B:$B,"&lt;&gt;Patrícia Karla de Sousa Araújo",$B:$B,"&lt;&gt;Lorena Dias de Araujo",$B:$B,"&lt;&gt;Lucas Luiz Romero")*(35/1083),IF(C4379="Técnico II",SUMIFS($D:$D,$A:$A,$A4379,$B:$B,"&lt;&gt;Patrícia Karla de Sousa Araújo",$B:$B,"&lt;&gt;Lorena Dias de Araujo",$B:$B,"&lt;&gt;Lucas Luiz Romero")*(28/1083),IF(C4379="Técnico I",SUMIFS($D:$D,$A:$A,$A4379,$B:$B,"&lt;&gt;Patrícia Karla de Sousa Araújo",$B:$B,"&lt;&gt;Lorena Dias de Araujo",$B:$B,"&lt;&gt;Lucas Luiz Romero")*(23/1083),IF(C4379="JR",SUMIFS($D:$D,$A:$A,$A4379,$B:$B,"&lt;&gt;Patrícia Karla de Sousa Araújo",$B:$B,"&lt;&gt;Lorena Dias de Araujo",$B:$B,"&lt;&gt;Lucas Luiz Romero")*(20/1083),IF(C4379="Estágio",SUMIFS($D:$D,$A:$A,$A4379,$B:$B,"&lt;&gt;Patrícia Karla de Sousa Araújo",$B:$B,"&lt;&gt;Lorena Dias de Araujo",$B:$B,"&lt;&gt;Lucas Luiz Romero")*(10/1083),0)))))),0)</f>
        <v>17</v>
      </c>
      <c r="K4379" s="3">
        <f>I4379-J4379</f>
        <v>-1</v>
      </c>
      <c r="L4379" s="3" t="str">
        <f>IF(K4379&lt;-5,"CRÍTICO",IF(K4379&lt;0,"ATENÇÃO",IF(K4379&lt;=5,"OPORTUNO","MUITO BOM")))</f>
        <v>ATENÇÃO</v>
      </c>
      <c r="M4379" s="3">
        <v>13</v>
      </c>
      <c r="N4379" s="3">
        <v>100</v>
      </c>
      <c r="O4379" s="3">
        <v>20.788530465949819</v>
      </c>
    </row>
    <row r="4380" spans="1:15" hidden="1" x14ac:dyDescent="0.25">
      <c r="A4380" s="7">
        <v>46162</v>
      </c>
      <c r="B4380" s="8" t="s">
        <v>62</v>
      </c>
      <c r="C4380" s="14" t="s">
        <v>23</v>
      </c>
      <c r="D4380" s="3">
        <v>18</v>
      </c>
      <c r="E4380" s="3">
        <v>17</v>
      </c>
      <c r="F4380" s="3">
        <v>15.33</v>
      </c>
      <c r="G4380" s="3">
        <v>1</v>
      </c>
      <c r="H4380" s="3">
        <v>0</v>
      </c>
      <c r="I4380" s="3">
        <f>E4380+G4380+H4380</f>
        <v>18</v>
      </c>
      <c r="J4380" s="3">
        <f>ROUND(MIN(IF(C4380="Técnico III",35,IF(C4380="Técnico II",28,IF(C4380="Técnico I",23,IF(C4380="JR",20,IF(C4380="Estágio",10,0))))),IF(C4380="Técnico III",SUMIFS($D:$D,$A:$A,$A4380,$B:$B,"&lt;&gt;Patrícia Karla de Sousa Araújo",$B:$B,"&lt;&gt;Lorena Dias de Araujo",$B:$B,"&lt;&gt;Lucas Luiz Romero")*(35/1083),IF(C4380="Técnico II",SUMIFS($D:$D,$A:$A,$A4380,$B:$B,"&lt;&gt;Patrícia Karla de Sousa Araújo",$B:$B,"&lt;&gt;Lorena Dias de Araujo",$B:$B,"&lt;&gt;Lucas Luiz Romero")*(28/1083),IF(C4380="Técnico I",SUMIFS($D:$D,$A:$A,$A4380,$B:$B,"&lt;&gt;Patrícia Karla de Sousa Araújo",$B:$B,"&lt;&gt;Lorena Dias de Araujo",$B:$B,"&lt;&gt;Lucas Luiz Romero")*(23/1083),IF(C4380="JR",SUMIFS($D:$D,$A:$A,$A4380,$B:$B,"&lt;&gt;Patrícia Karla de Sousa Araújo",$B:$B,"&lt;&gt;Lorena Dias de Araujo",$B:$B,"&lt;&gt;Lucas Luiz Romero")*(20/1083),IF(C4380="Estágio",SUMIFS($D:$D,$A:$A,$A4380,$B:$B,"&lt;&gt;Patrícia Karla de Sousa Araújo",$B:$B,"&lt;&gt;Lorena Dias de Araujo",$B:$B,"&lt;&gt;Lucas Luiz Romero")*(10/1083),0)))))),0)</f>
        <v>17</v>
      </c>
      <c r="K4380" s="3">
        <f>I4380-J4380</f>
        <v>1</v>
      </c>
      <c r="L4380" s="3" t="str">
        <f>IF(K4380&lt;-5,"CRÍTICO",IF(K4380&lt;0,"ATENÇÃO",IF(K4380&lt;=5,"OPORTUNO","MUITO BOM")))</f>
        <v>OPORTUNO</v>
      </c>
      <c r="M4380" s="3">
        <v>16</v>
      </c>
      <c r="N4380" s="3">
        <v>94.55</v>
      </c>
      <c r="O4380" s="3">
        <v>23.450134770889491</v>
      </c>
    </row>
    <row r="4381" spans="1:15" hidden="1" x14ac:dyDescent="0.25">
      <c r="A4381" s="7">
        <v>46162</v>
      </c>
      <c r="B4381" s="8" t="s">
        <v>63</v>
      </c>
      <c r="C4381" s="14" t="s">
        <v>23</v>
      </c>
      <c r="D4381" s="3">
        <v>25</v>
      </c>
      <c r="E4381" s="3">
        <v>24</v>
      </c>
      <c r="F4381" s="3">
        <v>17.059999999999999</v>
      </c>
      <c r="G4381" s="3">
        <v>1</v>
      </c>
      <c r="H4381" s="3">
        <v>0</v>
      </c>
      <c r="I4381" s="3">
        <f>E4381+G4381+H4381</f>
        <v>25</v>
      </c>
      <c r="J4381" s="3">
        <f>ROUND(MIN(IF(C4381="Técnico III",35,IF(C4381="Técnico II",28,IF(C4381="Técnico I",23,IF(C4381="JR",20,IF(C4381="Estágio",10,0))))),IF(C4381="Técnico III",SUMIFS($D:$D,$A:$A,$A4381,$B:$B,"&lt;&gt;Patrícia Karla de Sousa Araújo",$B:$B,"&lt;&gt;Lorena Dias de Araujo",$B:$B,"&lt;&gt;Lucas Luiz Romero")*(35/1083),IF(C4381="Técnico II",SUMIFS($D:$D,$A:$A,$A4381,$B:$B,"&lt;&gt;Patrícia Karla de Sousa Araújo",$B:$B,"&lt;&gt;Lorena Dias de Araujo",$B:$B,"&lt;&gt;Lucas Luiz Romero")*(28/1083),IF(C4381="Técnico I",SUMIFS($D:$D,$A:$A,$A4381,$B:$B,"&lt;&gt;Patrícia Karla de Sousa Araújo",$B:$B,"&lt;&gt;Lorena Dias de Araujo",$B:$B,"&lt;&gt;Lucas Luiz Romero")*(23/1083),IF(C4381="JR",SUMIFS($D:$D,$A:$A,$A4381,$B:$B,"&lt;&gt;Patrícia Karla de Sousa Araújo",$B:$B,"&lt;&gt;Lorena Dias de Araujo",$B:$B,"&lt;&gt;Lucas Luiz Romero")*(20/1083),IF(C4381="Estágio",SUMIFS($D:$D,$A:$A,$A4381,$B:$B,"&lt;&gt;Patrícia Karla de Sousa Araújo",$B:$B,"&lt;&gt;Lorena Dias de Araujo",$B:$B,"&lt;&gt;Lucas Luiz Romero")*(10/1083),0)))))),0)</f>
        <v>17</v>
      </c>
      <c r="K4381" s="3">
        <f>I4381-J4381</f>
        <v>8</v>
      </c>
      <c r="L4381" s="3" t="str">
        <f>IF(K4381&lt;-5,"CRÍTICO",IF(K4381&lt;0,"ATENÇÃO",IF(K4381&lt;=5,"OPORTUNO","MUITO BOM")))</f>
        <v>MUITO BOM</v>
      </c>
      <c r="M4381" s="3">
        <v>18</v>
      </c>
      <c r="N4381" s="3">
        <v>98</v>
      </c>
      <c r="O4381" s="3">
        <v>20.73490813648294</v>
      </c>
    </row>
    <row r="4382" spans="1:15" hidden="1" x14ac:dyDescent="0.25">
      <c r="A4382" s="7">
        <v>46162</v>
      </c>
      <c r="B4382" s="8" t="s">
        <v>64</v>
      </c>
      <c r="C4382" s="14" t="s">
        <v>23</v>
      </c>
      <c r="D4382" s="3">
        <v>17</v>
      </c>
      <c r="E4382" s="3">
        <v>17</v>
      </c>
      <c r="F4382" s="3">
        <v>34.04</v>
      </c>
      <c r="G4382" s="3">
        <v>1</v>
      </c>
      <c r="H4382" s="3">
        <v>0</v>
      </c>
      <c r="I4382" s="3">
        <f>E4382+G4382+H4382</f>
        <v>18</v>
      </c>
      <c r="J4382" s="3">
        <f>ROUND(MIN(IF(C4382="Técnico III",35,IF(C4382="Técnico II",28,IF(C4382="Técnico I",23,IF(C4382="JR",20,IF(C4382="Estágio",10,0))))),IF(C4382="Técnico III",SUMIFS($D:$D,$A:$A,$A4382,$B:$B,"&lt;&gt;Patrícia Karla de Sousa Araújo",$B:$B,"&lt;&gt;Lorena Dias de Araujo",$B:$B,"&lt;&gt;Lucas Luiz Romero")*(35/1083),IF(C4382="Técnico II",SUMIFS($D:$D,$A:$A,$A4382,$B:$B,"&lt;&gt;Patrícia Karla de Sousa Araújo",$B:$B,"&lt;&gt;Lorena Dias de Araujo",$B:$B,"&lt;&gt;Lucas Luiz Romero")*(28/1083),IF(C4382="Técnico I",SUMIFS($D:$D,$A:$A,$A4382,$B:$B,"&lt;&gt;Patrícia Karla de Sousa Araújo",$B:$B,"&lt;&gt;Lorena Dias de Araujo",$B:$B,"&lt;&gt;Lucas Luiz Romero")*(23/1083),IF(C4382="JR",SUMIFS($D:$D,$A:$A,$A4382,$B:$B,"&lt;&gt;Patrícia Karla de Sousa Araújo",$B:$B,"&lt;&gt;Lorena Dias de Araujo",$B:$B,"&lt;&gt;Lucas Luiz Romero")*(20/1083),IF(C4382="Estágio",SUMIFS($D:$D,$A:$A,$A4382,$B:$B,"&lt;&gt;Patrícia Karla de Sousa Araújo",$B:$B,"&lt;&gt;Lorena Dias de Araujo",$B:$B,"&lt;&gt;Lucas Luiz Romero")*(10/1083),0)))))),0)</f>
        <v>17</v>
      </c>
      <c r="K4382" s="3">
        <f>I4382-J4382</f>
        <v>1</v>
      </c>
      <c r="L4382" s="3" t="str">
        <f>IF(K4382&lt;-5,"CRÍTICO",IF(K4382&lt;0,"ATENÇÃO",IF(K4382&lt;=5,"OPORTUNO","MUITO BOM")))</f>
        <v>OPORTUNO</v>
      </c>
      <c r="M4382" s="3">
        <v>14</v>
      </c>
      <c r="N4382" s="3">
        <v>100</v>
      </c>
      <c r="O4382" s="3">
        <v>18</v>
      </c>
    </row>
    <row r="4383" spans="1:15" hidden="1" x14ac:dyDescent="0.25">
      <c r="A4383" s="7">
        <v>46162</v>
      </c>
      <c r="B4383" s="8" t="s">
        <v>22</v>
      </c>
      <c r="C4383" s="14" t="s">
        <v>23</v>
      </c>
      <c r="D4383" s="3">
        <v>26</v>
      </c>
      <c r="E4383" s="3">
        <v>20</v>
      </c>
      <c r="F4383" s="3">
        <v>15.09</v>
      </c>
      <c r="G4383" s="3">
        <v>5</v>
      </c>
      <c r="H4383" s="3">
        <v>2</v>
      </c>
      <c r="I4383" s="3">
        <f>E4383+G4383+H4383</f>
        <v>27</v>
      </c>
      <c r="J4383" s="3">
        <f>ROUND(MIN(IF(C4383="Técnico III",35,IF(C4383="Técnico II",28,IF(C4383="Técnico I",23,IF(C4383="JR",20,IF(C4383="Estágio",10,0))))),IF(C4383="Técnico III",SUMIFS($D:$D,$A:$A,$A4383,$B:$B,"&lt;&gt;Patrícia Karla de Sousa Araújo",$B:$B,"&lt;&gt;Lorena Dias de Araujo",$B:$B,"&lt;&gt;Lucas Luiz Romero")*(35/1083),IF(C4383="Técnico II",SUMIFS($D:$D,$A:$A,$A4383,$B:$B,"&lt;&gt;Patrícia Karla de Sousa Araújo",$B:$B,"&lt;&gt;Lorena Dias de Araujo",$B:$B,"&lt;&gt;Lucas Luiz Romero")*(28/1083),IF(C4383="Técnico I",SUMIFS($D:$D,$A:$A,$A4383,$B:$B,"&lt;&gt;Patrícia Karla de Sousa Araújo",$B:$B,"&lt;&gt;Lorena Dias de Araujo",$B:$B,"&lt;&gt;Lucas Luiz Romero")*(23/1083),IF(C4383="JR",SUMIFS($D:$D,$A:$A,$A4383,$B:$B,"&lt;&gt;Patrícia Karla de Sousa Araújo",$B:$B,"&lt;&gt;Lorena Dias de Araujo",$B:$B,"&lt;&gt;Lucas Luiz Romero")*(20/1083),IF(C4383="Estágio",SUMIFS($D:$D,$A:$A,$A4383,$B:$B,"&lt;&gt;Patrícia Karla de Sousa Araújo",$B:$B,"&lt;&gt;Lorena Dias de Araujo",$B:$B,"&lt;&gt;Lucas Luiz Romero")*(10/1083),0)))))),0)</f>
        <v>17</v>
      </c>
      <c r="K4383" s="3">
        <f>I4383-J4383</f>
        <v>10</v>
      </c>
      <c r="L4383" s="3" t="str">
        <f>IF(K4383&lt;-5,"CRÍTICO",IF(K4383&lt;0,"ATENÇÃO",IF(K4383&lt;=5,"OPORTUNO","MUITO BOM")))</f>
        <v>MUITO BOM</v>
      </c>
      <c r="M4383" s="3">
        <v>21</v>
      </c>
      <c r="N4383" s="3">
        <v>99.06</v>
      </c>
      <c r="O4383" s="3">
        <v>19.417475728155338</v>
      </c>
    </row>
    <row r="4384" spans="1:15" hidden="1" x14ac:dyDescent="0.25">
      <c r="A4384" s="5">
        <v>46163</v>
      </c>
      <c r="B4384" s="6" t="s">
        <v>31</v>
      </c>
      <c r="C4384" s="1" t="s">
        <v>32</v>
      </c>
      <c r="D4384" s="3">
        <v>0</v>
      </c>
      <c r="E4384" s="3">
        <v>0</v>
      </c>
      <c r="F4384" s="3">
        <v>0</v>
      </c>
      <c r="G4384" s="3">
        <v>0</v>
      </c>
      <c r="H4384" s="3">
        <v>0</v>
      </c>
      <c r="I4384" s="3">
        <f>E4384+G4384+H4384</f>
        <v>0</v>
      </c>
      <c r="J4384" s="3">
        <f>ROUND(MIN(IF(C4384="Técnico III",35,IF(C4384="Técnico II",28,IF(C4384="Técnico I",23,IF(C4384="JR",20,IF(C4384="Estágio",10,0))))),IF(C4384="Técnico III",SUMIFS($D:$D,$A:$A,$A4384,$B:$B,"&lt;&gt;Patrícia Karla de Sousa Araújo",$B:$B,"&lt;&gt;Lorena Dias de Araujo",$B:$B,"&lt;&gt;Lucas Luiz Romero")*(35/1083),IF(C4384="Técnico II",SUMIFS($D:$D,$A:$A,$A4384,$B:$B,"&lt;&gt;Patrícia Karla de Sousa Araújo",$B:$B,"&lt;&gt;Lorena Dias de Araujo",$B:$B,"&lt;&gt;Lucas Luiz Romero")*(28/1083),IF(C4384="Técnico I",SUMIFS($D:$D,$A:$A,$A4384,$B:$B,"&lt;&gt;Patrícia Karla de Sousa Araújo",$B:$B,"&lt;&gt;Lorena Dias de Araujo",$B:$B,"&lt;&gt;Lucas Luiz Romero")*(23/1083),IF(C4384="JR",SUMIFS($D:$D,$A:$A,$A4384,$B:$B,"&lt;&gt;Patrícia Karla de Sousa Araújo",$B:$B,"&lt;&gt;Lorena Dias de Araujo",$B:$B,"&lt;&gt;Lucas Luiz Romero")*(20/1083),IF(C4384="Estágio",SUMIFS($D:$D,$A:$A,$A4384,$B:$B,"&lt;&gt;Patrícia Karla de Sousa Araújo",$B:$B,"&lt;&gt;Lorena Dias de Araujo",$B:$B,"&lt;&gt;Lucas Luiz Romero")*(10/1083),0)))))),0)</f>
        <v>22</v>
      </c>
      <c r="K4384" s="3">
        <f>I4384-J4384</f>
        <v>-22</v>
      </c>
      <c r="L4384" s="3" t="str">
        <f>IF(K4384&lt;-5,"CRÍTICO",IF(K4384&lt;0,"ATENÇÃO",IF(K4384&lt;=5,"OPORTUNO","MUITO BOM")))</f>
        <v>CRÍTICO</v>
      </c>
      <c r="M4384" s="3">
        <v>0</v>
      </c>
      <c r="N4384" s="3">
        <v>100</v>
      </c>
      <c r="O4384" s="3">
        <v>0</v>
      </c>
    </row>
    <row r="4385" spans="1:15" hidden="1" x14ac:dyDescent="0.25">
      <c r="A4385" s="5">
        <v>46163</v>
      </c>
      <c r="B4385" s="6" t="s">
        <v>33</v>
      </c>
      <c r="C4385" s="1" t="s">
        <v>32</v>
      </c>
      <c r="D4385" s="3">
        <v>17</v>
      </c>
      <c r="E4385" s="3">
        <v>15</v>
      </c>
      <c r="F4385" s="3">
        <v>20.239999999999998</v>
      </c>
      <c r="G4385" s="3">
        <v>0</v>
      </c>
      <c r="H4385" s="3">
        <v>0</v>
      </c>
      <c r="I4385" s="3">
        <f>E4385+G4385+H4385</f>
        <v>15</v>
      </c>
      <c r="J4385" s="3">
        <f>ROUND(MIN(IF(C4385="Técnico III",35,IF(C4385="Técnico II",28,IF(C4385="Técnico I",23,IF(C4385="JR",20,IF(C4385="Estágio",10,0))))),IF(C4385="Técnico III",SUMIFS($D:$D,$A:$A,$A4385,$B:$B,"&lt;&gt;Patrícia Karla de Sousa Araújo",$B:$B,"&lt;&gt;Lorena Dias de Araujo",$B:$B,"&lt;&gt;Lucas Luiz Romero")*(35/1083),IF(C4385="Técnico II",SUMIFS($D:$D,$A:$A,$A4385,$B:$B,"&lt;&gt;Patrícia Karla de Sousa Araújo",$B:$B,"&lt;&gt;Lorena Dias de Araujo",$B:$B,"&lt;&gt;Lucas Luiz Romero")*(28/1083),IF(C4385="Técnico I",SUMIFS($D:$D,$A:$A,$A4385,$B:$B,"&lt;&gt;Patrícia Karla de Sousa Araújo",$B:$B,"&lt;&gt;Lorena Dias de Araujo",$B:$B,"&lt;&gt;Lucas Luiz Romero")*(23/1083),IF(C4385="JR",SUMIFS($D:$D,$A:$A,$A4385,$B:$B,"&lt;&gt;Patrícia Karla de Sousa Araújo",$B:$B,"&lt;&gt;Lorena Dias de Araujo",$B:$B,"&lt;&gt;Lucas Luiz Romero")*(20/1083),IF(C4385="Estágio",SUMIFS($D:$D,$A:$A,$A4385,$B:$B,"&lt;&gt;Patrícia Karla de Sousa Araújo",$B:$B,"&lt;&gt;Lorena Dias de Araujo",$B:$B,"&lt;&gt;Lucas Luiz Romero")*(10/1083),0)))))),0)</f>
        <v>22</v>
      </c>
      <c r="K4385" s="3">
        <f>I4385-J4385</f>
        <v>-7</v>
      </c>
      <c r="L4385" s="3" t="str">
        <f>IF(K4385&lt;-5,"CRÍTICO",IF(K4385&lt;0,"ATENÇÃO",IF(K4385&lt;=5,"OPORTUNO","MUITO BOM")))</f>
        <v>CRÍTICO</v>
      </c>
      <c r="M4385" s="3">
        <v>13</v>
      </c>
      <c r="N4385" s="3">
        <v>96.94</v>
      </c>
      <c r="O4385" s="3">
        <v>19.613259668508292</v>
      </c>
    </row>
    <row r="4386" spans="1:15" hidden="1" x14ac:dyDescent="0.25">
      <c r="A4386" s="5">
        <v>46163</v>
      </c>
      <c r="B4386" s="6" t="s">
        <v>34</v>
      </c>
      <c r="C4386" s="1" t="s">
        <v>32</v>
      </c>
      <c r="D4386" s="3">
        <v>22</v>
      </c>
      <c r="E4386" s="3">
        <v>22</v>
      </c>
      <c r="F4386" s="3">
        <v>13.42</v>
      </c>
      <c r="G4386" s="3">
        <v>0</v>
      </c>
      <c r="H4386" s="3">
        <v>0</v>
      </c>
      <c r="I4386" s="3">
        <f>E4386+G4386+H4386</f>
        <v>22</v>
      </c>
      <c r="J4386" s="3">
        <f>ROUND(MIN(IF(C4386="Técnico III",35,IF(C4386="Técnico II",28,IF(C4386="Técnico I",23,IF(C4386="JR",20,IF(C4386="Estágio",10,0))))),IF(C4386="Técnico III",SUMIFS($D:$D,$A:$A,$A4386,$B:$B,"&lt;&gt;Patrícia Karla de Sousa Araújo",$B:$B,"&lt;&gt;Lorena Dias de Araujo",$B:$B,"&lt;&gt;Lucas Luiz Romero")*(35/1083),IF(C4386="Técnico II",SUMIFS($D:$D,$A:$A,$A4386,$B:$B,"&lt;&gt;Patrícia Karla de Sousa Araújo",$B:$B,"&lt;&gt;Lorena Dias de Araujo",$B:$B,"&lt;&gt;Lucas Luiz Romero")*(28/1083),IF(C4386="Técnico I",SUMIFS($D:$D,$A:$A,$A4386,$B:$B,"&lt;&gt;Patrícia Karla de Sousa Araújo",$B:$B,"&lt;&gt;Lorena Dias de Araujo",$B:$B,"&lt;&gt;Lucas Luiz Romero")*(23/1083),IF(C4386="JR",SUMIFS($D:$D,$A:$A,$A4386,$B:$B,"&lt;&gt;Patrícia Karla de Sousa Araújo",$B:$B,"&lt;&gt;Lorena Dias de Araujo",$B:$B,"&lt;&gt;Lucas Luiz Romero")*(20/1083),IF(C4386="Estágio",SUMIFS($D:$D,$A:$A,$A4386,$B:$B,"&lt;&gt;Patrícia Karla de Sousa Araújo",$B:$B,"&lt;&gt;Lorena Dias de Araujo",$B:$B,"&lt;&gt;Lucas Luiz Romero")*(10/1083),0)))))),0)</f>
        <v>22</v>
      </c>
      <c r="K4386" s="3">
        <f>I4386-J4386</f>
        <v>0</v>
      </c>
      <c r="L4386" s="3" t="str">
        <f>IF(K4386&lt;-5,"CRÍTICO",IF(K4386&lt;0,"ATENÇÃO",IF(K4386&lt;=5,"OPORTUNO","MUITO BOM")))</f>
        <v>OPORTUNO</v>
      </c>
      <c r="M4386" s="3">
        <v>20</v>
      </c>
      <c r="N4386" s="3">
        <v>92.81</v>
      </c>
      <c r="O4386" s="3">
        <v>25.477707006369432</v>
      </c>
    </row>
    <row r="4387" spans="1:15" hidden="1" x14ac:dyDescent="0.25">
      <c r="A4387" s="5">
        <v>46163</v>
      </c>
      <c r="B4387" s="6" t="s">
        <v>35</v>
      </c>
      <c r="C4387" s="1" t="s">
        <v>32</v>
      </c>
      <c r="D4387" s="3">
        <v>0</v>
      </c>
      <c r="E4387" s="3">
        <v>0</v>
      </c>
      <c r="F4387" s="3">
        <v>0</v>
      </c>
      <c r="G4387" s="3">
        <v>0</v>
      </c>
      <c r="H4387" s="3">
        <v>0</v>
      </c>
      <c r="I4387" s="3">
        <f>E4387+G4387+H4387</f>
        <v>0</v>
      </c>
      <c r="J4387" s="3">
        <f>ROUND(MIN(IF(C4387="Técnico III",35,IF(C4387="Técnico II",28,IF(C4387="Técnico I",23,IF(C4387="JR",20,IF(C4387="Estágio",10,0))))),IF(C4387="Técnico III",SUMIFS($D:$D,$A:$A,$A4387,$B:$B,"&lt;&gt;Patrícia Karla de Sousa Araújo",$B:$B,"&lt;&gt;Lorena Dias de Araujo",$B:$B,"&lt;&gt;Lucas Luiz Romero")*(35/1083),IF(C4387="Técnico II",SUMIFS($D:$D,$A:$A,$A4387,$B:$B,"&lt;&gt;Patrícia Karla de Sousa Araújo",$B:$B,"&lt;&gt;Lorena Dias de Araujo",$B:$B,"&lt;&gt;Lucas Luiz Romero")*(28/1083),IF(C4387="Técnico I",SUMIFS($D:$D,$A:$A,$A4387,$B:$B,"&lt;&gt;Patrícia Karla de Sousa Araújo",$B:$B,"&lt;&gt;Lorena Dias de Araujo",$B:$B,"&lt;&gt;Lucas Luiz Romero")*(23/1083),IF(C4387="JR",SUMIFS($D:$D,$A:$A,$A4387,$B:$B,"&lt;&gt;Patrícia Karla de Sousa Araújo",$B:$B,"&lt;&gt;Lorena Dias de Araujo",$B:$B,"&lt;&gt;Lucas Luiz Romero")*(20/1083),IF(C4387="Estágio",SUMIFS($D:$D,$A:$A,$A4387,$B:$B,"&lt;&gt;Patrícia Karla de Sousa Araújo",$B:$B,"&lt;&gt;Lorena Dias de Araujo",$B:$B,"&lt;&gt;Lucas Luiz Romero")*(10/1083),0)))))),0)</f>
        <v>22</v>
      </c>
      <c r="K4387" s="3">
        <f>I4387-J4387</f>
        <v>-22</v>
      </c>
      <c r="L4387" s="3" t="str">
        <f>IF(K4387&lt;-5,"CRÍTICO",IF(K4387&lt;0,"ATENÇÃO",IF(K4387&lt;=5,"OPORTUNO","MUITO BOM")))</f>
        <v>CRÍTICO</v>
      </c>
      <c r="M4387" s="3">
        <v>0</v>
      </c>
      <c r="N4387" s="3">
        <v>99.19</v>
      </c>
      <c r="O4387" s="3">
        <v>28.404669260700391</v>
      </c>
    </row>
    <row r="4388" spans="1:15" hidden="1" x14ac:dyDescent="0.25">
      <c r="A4388" s="5">
        <v>46163</v>
      </c>
      <c r="B4388" s="6" t="s">
        <v>36</v>
      </c>
      <c r="C4388" s="1" t="s">
        <v>32</v>
      </c>
      <c r="D4388" s="3">
        <v>0</v>
      </c>
      <c r="E4388" s="3">
        <v>0</v>
      </c>
      <c r="F4388" s="3">
        <v>0</v>
      </c>
      <c r="G4388" s="3">
        <v>0</v>
      </c>
      <c r="H4388" s="3">
        <v>0</v>
      </c>
      <c r="I4388" s="3">
        <f>E4388+G4388+H4388</f>
        <v>0</v>
      </c>
      <c r="J4388" s="3">
        <f>ROUND(MIN(IF(C4388="Técnico III",35,IF(C4388="Técnico II",28,IF(C4388="Técnico I",23,IF(C4388="JR",20,IF(C4388="Estágio",10,0))))),IF(C4388="Técnico III",SUMIFS($D:$D,$A:$A,$A4388,$B:$B,"&lt;&gt;Patrícia Karla de Sousa Araújo",$B:$B,"&lt;&gt;Lorena Dias de Araujo",$B:$B,"&lt;&gt;Lucas Luiz Romero")*(35/1083),IF(C4388="Técnico II",SUMIFS($D:$D,$A:$A,$A4388,$B:$B,"&lt;&gt;Patrícia Karla de Sousa Araújo",$B:$B,"&lt;&gt;Lorena Dias de Araujo",$B:$B,"&lt;&gt;Lucas Luiz Romero")*(28/1083),IF(C4388="Técnico I",SUMIFS($D:$D,$A:$A,$A4388,$B:$B,"&lt;&gt;Patrícia Karla de Sousa Araújo",$B:$B,"&lt;&gt;Lorena Dias de Araujo",$B:$B,"&lt;&gt;Lucas Luiz Romero")*(23/1083),IF(C4388="JR",SUMIFS($D:$D,$A:$A,$A4388,$B:$B,"&lt;&gt;Patrícia Karla de Sousa Araújo",$B:$B,"&lt;&gt;Lorena Dias de Araujo",$B:$B,"&lt;&gt;Lucas Luiz Romero")*(20/1083),IF(C4388="Estágio",SUMIFS($D:$D,$A:$A,$A4388,$B:$B,"&lt;&gt;Patrícia Karla de Sousa Araújo",$B:$B,"&lt;&gt;Lorena Dias de Araujo",$B:$B,"&lt;&gt;Lucas Luiz Romero")*(10/1083),0)))))),0)</f>
        <v>22</v>
      </c>
      <c r="K4388" s="3">
        <f>I4388-J4388</f>
        <v>-22</v>
      </c>
      <c r="L4388" s="3" t="str">
        <f>IF(K4388&lt;-5,"CRÍTICO",IF(K4388&lt;0,"ATENÇÃO",IF(K4388&lt;=5,"OPORTUNO","MUITO BOM")))</f>
        <v>CRÍTICO</v>
      </c>
      <c r="M4388" s="3">
        <v>0</v>
      </c>
      <c r="N4388" s="3">
        <v>100</v>
      </c>
      <c r="O4388" s="3">
        <v>13.51351351351351</v>
      </c>
    </row>
    <row r="4389" spans="1:15" hidden="1" x14ac:dyDescent="0.25">
      <c r="A4389" s="5">
        <v>46163</v>
      </c>
      <c r="B4389" s="6" t="s">
        <v>37</v>
      </c>
      <c r="C4389" s="1" t="s">
        <v>32</v>
      </c>
      <c r="D4389" s="3">
        <v>31</v>
      </c>
      <c r="E4389" s="3">
        <v>28</v>
      </c>
      <c r="F4389" s="3">
        <v>13.35</v>
      </c>
      <c r="G4389" s="3">
        <v>2</v>
      </c>
      <c r="H4389" s="3">
        <v>0</v>
      </c>
      <c r="I4389" s="3">
        <f>E4389+G4389+H4389</f>
        <v>30</v>
      </c>
      <c r="J4389" s="3">
        <f>ROUND(MIN(IF(C4389="Técnico III",35,IF(C4389="Técnico II",28,IF(C4389="Técnico I",23,IF(C4389="JR",20,IF(C4389="Estágio",10,0))))),IF(C4389="Técnico III",SUMIFS($D:$D,$A:$A,$A4389,$B:$B,"&lt;&gt;Patrícia Karla de Sousa Araújo",$B:$B,"&lt;&gt;Lorena Dias de Araujo",$B:$B,"&lt;&gt;Lucas Luiz Romero")*(35/1083),IF(C4389="Técnico II",SUMIFS($D:$D,$A:$A,$A4389,$B:$B,"&lt;&gt;Patrícia Karla de Sousa Araújo",$B:$B,"&lt;&gt;Lorena Dias de Araujo",$B:$B,"&lt;&gt;Lucas Luiz Romero")*(28/1083),IF(C4389="Técnico I",SUMIFS($D:$D,$A:$A,$A4389,$B:$B,"&lt;&gt;Patrícia Karla de Sousa Araújo",$B:$B,"&lt;&gt;Lorena Dias de Araujo",$B:$B,"&lt;&gt;Lucas Luiz Romero")*(23/1083),IF(C4389="JR",SUMIFS($D:$D,$A:$A,$A4389,$B:$B,"&lt;&gt;Patrícia Karla de Sousa Araújo",$B:$B,"&lt;&gt;Lorena Dias de Araujo",$B:$B,"&lt;&gt;Lucas Luiz Romero")*(20/1083),IF(C4389="Estágio",SUMIFS($D:$D,$A:$A,$A4389,$B:$B,"&lt;&gt;Patrícia Karla de Sousa Araújo",$B:$B,"&lt;&gt;Lorena Dias de Araujo",$B:$B,"&lt;&gt;Lucas Luiz Romero")*(10/1083),0)))))),0)</f>
        <v>22</v>
      </c>
      <c r="K4389" s="3">
        <f>I4389-J4389</f>
        <v>8</v>
      </c>
      <c r="L4389" s="3" t="str">
        <f>IF(K4389&lt;-5,"CRÍTICO",IF(K4389&lt;0,"ATENÇÃO",IF(K4389&lt;=5,"OPORTUNO","MUITO BOM")))</f>
        <v>MUITO BOM</v>
      </c>
      <c r="M4389" s="3">
        <v>28</v>
      </c>
      <c r="N4389" s="3">
        <v>99</v>
      </c>
      <c r="O4389" s="3">
        <v>22.27414330218069</v>
      </c>
    </row>
    <row r="4390" spans="1:15" hidden="1" x14ac:dyDescent="0.25">
      <c r="A4390" s="5">
        <v>46163</v>
      </c>
      <c r="B4390" s="6" t="s">
        <v>38</v>
      </c>
      <c r="C4390" s="1" t="s">
        <v>32</v>
      </c>
      <c r="D4390" s="3">
        <v>10</v>
      </c>
      <c r="E4390" s="3">
        <v>10</v>
      </c>
      <c r="F4390" s="3">
        <v>19.12</v>
      </c>
      <c r="G4390" s="3">
        <v>2</v>
      </c>
      <c r="H4390" s="3">
        <v>0</v>
      </c>
      <c r="I4390" s="3">
        <f>E4390+G4390+H4390</f>
        <v>12</v>
      </c>
      <c r="J4390" s="3">
        <f>ROUND(MIN(IF(C4390="Técnico III",35,IF(C4390="Técnico II",28,IF(C4390="Técnico I",23,IF(C4390="JR",20,IF(C4390="Estágio",10,0))))),IF(C4390="Técnico III",SUMIFS($D:$D,$A:$A,$A4390,$B:$B,"&lt;&gt;Patrícia Karla de Sousa Araújo",$B:$B,"&lt;&gt;Lorena Dias de Araujo",$B:$B,"&lt;&gt;Lucas Luiz Romero")*(35/1083),IF(C4390="Técnico II",SUMIFS($D:$D,$A:$A,$A4390,$B:$B,"&lt;&gt;Patrícia Karla de Sousa Araújo",$B:$B,"&lt;&gt;Lorena Dias de Araujo",$B:$B,"&lt;&gt;Lucas Luiz Romero")*(28/1083),IF(C4390="Técnico I",SUMIFS($D:$D,$A:$A,$A4390,$B:$B,"&lt;&gt;Patrícia Karla de Sousa Araújo",$B:$B,"&lt;&gt;Lorena Dias de Araujo",$B:$B,"&lt;&gt;Lucas Luiz Romero")*(23/1083),IF(C4390="JR",SUMIFS($D:$D,$A:$A,$A4390,$B:$B,"&lt;&gt;Patrícia Karla de Sousa Araújo",$B:$B,"&lt;&gt;Lorena Dias de Araujo",$B:$B,"&lt;&gt;Lucas Luiz Romero")*(20/1083),IF(C4390="Estágio",SUMIFS($D:$D,$A:$A,$A4390,$B:$B,"&lt;&gt;Patrícia Karla de Sousa Araújo",$B:$B,"&lt;&gt;Lorena Dias de Araujo",$B:$B,"&lt;&gt;Lucas Luiz Romero")*(10/1083),0)))))),0)</f>
        <v>22</v>
      </c>
      <c r="K4390" s="3">
        <f>I4390-J4390</f>
        <v>-10</v>
      </c>
      <c r="L4390" s="3" t="str">
        <f>IF(K4390&lt;-5,"CRÍTICO",IF(K4390&lt;0,"ATENÇÃO",IF(K4390&lt;=5,"OPORTUNO","MUITO BOM")))</f>
        <v>CRÍTICO</v>
      </c>
      <c r="M4390" s="3">
        <v>10</v>
      </c>
      <c r="N4390" s="3">
        <v>97.04</v>
      </c>
      <c r="O4390" s="3">
        <v>29.828850855745721</v>
      </c>
    </row>
    <row r="4391" spans="1:15" hidden="1" x14ac:dyDescent="0.25">
      <c r="A4391" s="5">
        <v>46163</v>
      </c>
      <c r="B4391" s="6" t="s">
        <v>39</v>
      </c>
      <c r="C4391" s="1" t="s">
        <v>32</v>
      </c>
      <c r="D4391" s="3">
        <v>0</v>
      </c>
      <c r="E4391" s="3">
        <v>0</v>
      </c>
      <c r="F4391" s="3">
        <v>0</v>
      </c>
      <c r="G4391" s="3">
        <v>0</v>
      </c>
      <c r="H4391" s="3">
        <v>0</v>
      </c>
      <c r="I4391" s="3">
        <f>E4391+G4391+H4391</f>
        <v>0</v>
      </c>
      <c r="J4391" s="3">
        <f>ROUND(MIN(IF(C4391="Técnico III",35,IF(C4391="Técnico II",28,IF(C4391="Técnico I",23,IF(C4391="JR",20,IF(C4391="Estágio",10,0))))),IF(C4391="Técnico III",SUMIFS($D:$D,$A:$A,$A4391,$B:$B,"&lt;&gt;Patrícia Karla de Sousa Araújo",$B:$B,"&lt;&gt;Lorena Dias de Araujo",$B:$B,"&lt;&gt;Lucas Luiz Romero")*(35/1083),IF(C4391="Técnico II",SUMIFS($D:$D,$A:$A,$A4391,$B:$B,"&lt;&gt;Patrícia Karla de Sousa Araújo",$B:$B,"&lt;&gt;Lorena Dias de Araujo",$B:$B,"&lt;&gt;Lucas Luiz Romero")*(28/1083),IF(C4391="Técnico I",SUMIFS($D:$D,$A:$A,$A4391,$B:$B,"&lt;&gt;Patrícia Karla de Sousa Araújo",$B:$B,"&lt;&gt;Lorena Dias de Araujo",$B:$B,"&lt;&gt;Lucas Luiz Romero")*(23/1083),IF(C4391="JR",SUMIFS($D:$D,$A:$A,$A4391,$B:$B,"&lt;&gt;Patrícia Karla de Sousa Araújo",$B:$B,"&lt;&gt;Lorena Dias de Araujo",$B:$B,"&lt;&gt;Lucas Luiz Romero")*(20/1083),IF(C4391="Estágio",SUMIFS($D:$D,$A:$A,$A4391,$B:$B,"&lt;&gt;Patrícia Karla de Sousa Araújo",$B:$B,"&lt;&gt;Lorena Dias de Araujo",$B:$B,"&lt;&gt;Lucas Luiz Romero")*(10/1083),0)))))),0)</f>
        <v>22</v>
      </c>
      <c r="K4391" s="3">
        <f>I4391-J4391</f>
        <v>-22</v>
      </c>
      <c r="L4391" s="3" t="str">
        <f>IF(K4391&lt;-5,"CRÍTICO",IF(K4391&lt;0,"ATENÇÃO",IF(K4391&lt;=5,"OPORTUNO","MUITO BOM")))</f>
        <v>CRÍTICO</v>
      </c>
      <c r="M4391" s="3">
        <v>0</v>
      </c>
      <c r="N4391" s="3">
        <v>0</v>
      </c>
      <c r="O4391" s="3">
        <v>0</v>
      </c>
    </row>
    <row r="4392" spans="1:15" hidden="1" x14ac:dyDescent="0.25">
      <c r="A4392" s="5">
        <v>46163</v>
      </c>
      <c r="B4392" s="6" t="s">
        <v>40</v>
      </c>
      <c r="C4392" s="1" t="s">
        <v>32</v>
      </c>
      <c r="D4392" s="3">
        <v>21</v>
      </c>
      <c r="E4392" s="3">
        <v>20</v>
      </c>
      <c r="F4392" s="3">
        <v>23.33</v>
      </c>
      <c r="G4392" s="3">
        <v>1</v>
      </c>
      <c r="H4392" s="3">
        <v>0</v>
      </c>
      <c r="I4392" s="3">
        <f>E4392+G4392+H4392</f>
        <v>21</v>
      </c>
      <c r="J4392" s="3">
        <f>ROUND(MIN(IF(C4392="Técnico III",35,IF(C4392="Técnico II",28,IF(C4392="Técnico I",23,IF(C4392="JR",20,IF(C4392="Estágio",10,0))))),IF(C4392="Técnico III",SUMIFS($D:$D,$A:$A,$A4392,$B:$B,"&lt;&gt;Patrícia Karla de Sousa Araújo",$B:$B,"&lt;&gt;Lorena Dias de Araujo",$B:$B,"&lt;&gt;Lucas Luiz Romero")*(35/1083),IF(C4392="Técnico II",SUMIFS($D:$D,$A:$A,$A4392,$B:$B,"&lt;&gt;Patrícia Karla de Sousa Araújo",$B:$B,"&lt;&gt;Lorena Dias de Araujo",$B:$B,"&lt;&gt;Lucas Luiz Romero")*(28/1083),IF(C4392="Técnico I",SUMIFS($D:$D,$A:$A,$A4392,$B:$B,"&lt;&gt;Patrícia Karla de Sousa Araújo",$B:$B,"&lt;&gt;Lorena Dias de Araujo",$B:$B,"&lt;&gt;Lucas Luiz Romero")*(23/1083),IF(C4392="JR",SUMIFS($D:$D,$A:$A,$A4392,$B:$B,"&lt;&gt;Patrícia Karla de Sousa Araújo",$B:$B,"&lt;&gt;Lorena Dias de Araujo",$B:$B,"&lt;&gt;Lucas Luiz Romero")*(20/1083),IF(C4392="Estágio",SUMIFS($D:$D,$A:$A,$A4392,$B:$B,"&lt;&gt;Patrícia Karla de Sousa Araújo",$B:$B,"&lt;&gt;Lorena Dias de Araujo",$B:$B,"&lt;&gt;Lucas Luiz Romero")*(10/1083),0)))))),0)</f>
        <v>22</v>
      </c>
      <c r="K4392" s="3">
        <f>I4392-J4392</f>
        <v>-1</v>
      </c>
      <c r="L4392" s="3" t="str">
        <f>IF(K4392&lt;-5,"CRÍTICO",IF(K4392&lt;0,"ATENÇÃO",IF(K4392&lt;=5,"OPORTUNO","MUITO BOM")))</f>
        <v>ATENÇÃO</v>
      </c>
      <c r="M4392" s="3">
        <v>21</v>
      </c>
      <c r="N4392" s="3">
        <v>96.84</v>
      </c>
      <c r="O4392" s="3">
        <v>16.338028169014081</v>
      </c>
    </row>
    <row r="4393" spans="1:15" hidden="1" x14ac:dyDescent="0.25">
      <c r="A4393" s="5">
        <v>46163</v>
      </c>
      <c r="B4393" s="6" t="s">
        <v>41</v>
      </c>
      <c r="C4393" s="1" t="s">
        <v>32</v>
      </c>
      <c r="D4393" s="3">
        <v>22</v>
      </c>
      <c r="E4393" s="3">
        <v>21</v>
      </c>
      <c r="F4393" s="3">
        <v>15.35</v>
      </c>
      <c r="G4393" s="3">
        <v>0</v>
      </c>
      <c r="H4393" s="3">
        <v>0</v>
      </c>
      <c r="I4393" s="3">
        <f>E4393+G4393+H4393</f>
        <v>21</v>
      </c>
      <c r="J4393" s="3">
        <f>ROUND(MIN(IF(C4393="Técnico III",35,IF(C4393="Técnico II",28,IF(C4393="Técnico I",23,IF(C4393="JR",20,IF(C4393="Estágio",10,0))))),IF(C4393="Técnico III",SUMIFS($D:$D,$A:$A,$A4393,$B:$B,"&lt;&gt;Patrícia Karla de Sousa Araújo",$B:$B,"&lt;&gt;Lorena Dias de Araujo",$B:$B,"&lt;&gt;Lucas Luiz Romero")*(35/1083),IF(C4393="Técnico II",SUMIFS($D:$D,$A:$A,$A4393,$B:$B,"&lt;&gt;Patrícia Karla de Sousa Araújo",$B:$B,"&lt;&gt;Lorena Dias de Araujo",$B:$B,"&lt;&gt;Lucas Luiz Romero")*(28/1083),IF(C4393="Técnico I",SUMIFS($D:$D,$A:$A,$A4393,$B:$B,"&lt;&gt;Patrícia Karla de Sousa Araújo",$B:$B,"&lt;&gt;Lorena Dias de Araujo",$B:$B,"&lt;&gt;Lucas Luiz Romero")*(23/1083),IF(C4393="JR",SUMIFS($D:$D,$A:$A,$A4393,$B:$B,"&lt;&gt;Patrícia Karla de Sousa Araújo",$B:$B,"&lt;&gt;Lorena Dias de Araujo",$B:$B,"&lt;&gt;Lucas Luiz Romero")*(20/1083),IF(C4393="Estágio",SUMIFS($D:$D,$A:$A,$A4393,$B:$B,"&lt;&gt;Patrícia Karla de Sousa Araújo",$B:$B,"&lt;&gt;Lorena Dias de Araujo",$B:$B,"&lt;&gt;Lucas Luiz Romero")*(10/1083),0)))))),0)</f>
        <v>22</v>
      </c>
      <c r="K4393" s="3">
        <f>I4393-J4393</f>
        <v>-1</v>
      </c>
      <c r="L4393" s="3" t="str">
        <f>IF(K4393&lt;-5,"CRÍTICO",IF(K4393&lt;0,"ATENÇÃO",IF(K4393&lt;=5,"OPORTUNO","MUITO BOM")))</f>
        <v>ATENÇÃO</v>
      </c>
      <c r="M4393" s="3">
        <v>19</v>
      </c>
      <c r="N4393" s="3">
        <v>100</v>
      </c>
      <c r="O4393" s="3">
        <v>18.244803695150122</v>
      </c>
    </row>
    <row r="4394" spans="1:15" hidden="1" x14ac:dyDescent="0.25">
      <c r="A4394" s="5">
        <v>46163</v>
      </c>
      <c r="B4394" s="6" t="s">
        <v>42</v>
      </c>
      <c r="C4394" s="1" t="s">
        <v>32</v>
      </c>
      <c r="D4394" s="3">
        <v>29</v>
      </c>
      <c r="E4394" s="3">
        <v>27</v>
      </c>
      <c r="F4394" s="3">
        <v>15.54</v>
      </c>
      <c r="G4394" s="3">
        <v>0</v>
      </c>
      <c r="H4394" s="3">
        <v>0</v>
      </c>
      <c r="I4394" s="3">
        <f>E4394+G4394+H4394</f>
        <v>27</v>
      </c>
      <c r="J4394" s="3">
        <f>ROUND(MIN(IF(C4394="Técnico III",35,IF(C4394="Técnico II",28,IF(C4394="Técnico I",23,IF(C4394="JR",20,IF(C4394="Estágio",10,0))))),IF(C4394="Técnico III",SUMIFS($D:$D,$A:$A,$A4394,$B:$B,"&lt;&gt;Patrícia Karla de Sousa Araújo",$B:$B,"&lt;&gt;Lorena Dias de Araujo",$B:$B,"&lt;&gt;Lucas Luiz Romero")*(35/1083),IF(C4394="Técnico II",SUMIFS($D:$D,$A:$A,$A4394,$B:$B,"&lt;&gt;Patrícia Karla de Sousa Araújo",$B:$B,"&lt;&gt;Lorena Dias de Araujo",$B:$B,"&lt;&gt;Lucas Luiz Romero")*(28/1083),IF(C4394="Técnico I",SUMIFS($D:$D,$A:$A,$A4394,$B:$B,"&lt;&gt;Patrícia Karla de Sousa Araújo",$B:$B,"&lt;&gt;Lorena Dias de Araujo",$B:$B,"&lt;&gt;Lucas Luiz Romero")*(23/1083),IF(C4394="JR",SUMIFS($D:$D,$A:$A,$A4394,$B:$B,"&lt;&gt;Patrícia Karla de Sousa Araújo",$B:$B,"&lt;&gt;Lorena Dias de Araujo",$B:$B,"&lt;&gt;Lucas Luiz Romero")*(20/1083),IF(C4394="Estágio",SUMIFS($D:$D,$A:$A,$A4394,$B:$B,"&lt;&gt;Patrícia Karla de Sousa Araújo",$B:$B,"&lt;&gt;Lorena Dias de Araujo",$B:$B,"&lt;&gt;Lucas Luiz Romero")*(10/1083),0)))))),0)</f>
        <v>22</v>
      </c>
      <c r="K4394" s="3">
        <f>I4394-J4394</f>
        <v>5</v>
      </c>
      <c r="L4394" s="3" t="str">
        <f>IF(K4394&lt;-5,"CRÍTICO",IF(K4394&lt;0,"ATENÇÃO",IF(K4394&lt;=5,"OPORTUNO","MUITO BOM")))</f>
        <v>OPORTUNO</v>
      </c>
      <c r="M4394" s="3">
        <v>18</v>
      </c>
      <c r="N4394" s="3">
        <v>100</v>
      </c>
      <c r="O4394" s="3">
        <v>15.789473684210529</v>
      </c>
    </row>
    <row r="4395" spans="1:15" x14ac:dyDescent="0.25">
      <c r="A4395" s="5">
        <v>46163</v>
      </c>
      <c r="B4395" s="6" t="s">
        <v>43</v>
      </c>
      <c r="C4395" s="1" t="s">
        <v>32</v>
      </c>
      <c r="D4395" s="3">
        <v>0</v>
      </c>
      <c r="E4395" s="3">
        <v>0</v>
      </c>
      <c r="F4395" s="3">
        <v>0</v>
      </c>
      <c r="G4395" s="3">
        <v>0</v>
      </c>
      <c r="H4395" s="3">
        <v>30</v>
      </c>
      <c r="I4395" s="3">
        <f>E4395+G4395+H4395</f>
        <v>30</v>
      </c>
      <c r="J4395" s="3">
        <f>ROUND(MIN(IF(C4395="Técnico III",35,IF(C4395="Técnico II",28,IF(C4395="Técnico I",23,IF(C4395="JR",20,IF(C4395="Estágio",10,0))))),IF(C4395="Técnico III",SUMIFS($D:$D,$A:$A,$A4395,$B:$B,"&lt;&gt;Patrícia Karla de Sousa Araújo",$B:$B,"&lt;&gt;Lorena Dias de Araujo",$B:$B,"&lt;&gt;Lucas Luiz Romero")*(35/1083),IF(C4395="Técnico II",SUMIFS($D:$D,$A:$A,$A4395,$B:$B,"&lt;&gt;Patrícia Karla de Sousa Araújo",$B:$B,"&lt;&gt;Lorena Dias de Araujo",$B:$B,"&lt;&gt;Lucas Luiz Romero")*(28/1083),IF(C4395="Técnico I",SUMIFS($D:$D,$A:$A,$A4395,$B:$B,"&lt;&gt;Patrícia Karla de Sousa Araújo",$B:$B,"&lt;&gt;Lorena Dias de Araujo",$B:$B,"&lt;&gt;Lucas Luiz Romero")*(23/1083),IF(C4395="JR",SUMIFS($D:$D,$A:$A,$A4395,$B:$B,"&lt;&gt;Patrícia Karla de Sousa Araújo",$B:$B,"&lt;&gt;Lorena Dias de Araujo",$B:$B,"&lt;&gt;Lucas Luiz Romero")*(20/1083),IF(C4395="Estágio",SUMIFS($D:$D,$A:$A,$A4395,$B:$B,"&lt;&gt;Patrícia Karla de Sousa Araújo",$B:$B,"&lt;&gt;Lorena Dias de Araujo",$B:$B,"&lt;&gt;Lucas Luiz Romero")*(10/1083),0)))))),0)</f>
        <v>22</v>
      </c>
      <c r="K4395" s="3">
        <f>I4395-J4395</f>
        <v>8</v>
      </c>
      <c r="L4395" s="3" t="str">
        <f>IF(K4395&lt;-5,"CRÍTICO",IF(K4395&lt;0,"ATENÇÃO",IF(K4395&lt;=5,"OPORTUNO","MUITO BOM")))</f>
        <v>MUITO BOM</v>
      </c>
      <c r="M4395" s="3">
        <v>15</v>
      </c>
      <c r="N4395" s="3">
        <v>98.39</v>
      </c>
      <c r="O4395" s="3">
        <v>8.7999999999999989</v>
      </c>
    </row>
    <row r="4396" spans="1:15" hidden="1" x14ac:dyDescent="0.25">
      <c r="A4396" s="5">
        <v>46163</v>
      </c>
      <c r="B4396" s="6" t="s">
        <v>44</v>
      </c>
      <c r="C4396" s="1" t="s">
        <v>32</v>
      </c>
      <c r="D4396" s="3">
        <v>27</v>
      </c>
      <c r="E4396" s="3">
        <v>22</v>
      </c>
      <c r="F4396" s="3">
        <v>15.16</v>
      </c>
      <c r="G4396" s="3">
        <v>3</v>
      </c>
      <c r="H4396" s="3">
        <v>0</v>
      </c>
      <c r="I4396" s="3">
        <f>E4396+G4396+H4396</f>
        <v>25</v>
      </c>
      <c r="J4396" s="3">
        <f>ROUND(MIN(IF(C4396="Técnico III",35,IF(C4396="Técnico II",28,IF(C4396="Técnico I",23,IF(C4396="JR",20,IF(C4396="Estágio",10,0))))),IF(C4396="Técnico III",SUMIFS($D:$D,$A:$A,$A4396,$B:$B,"&lt;&gt;Patrícia Karla de Sousa Araújo",$B:$B,"&lt;&gt;Lorena Dias de Araujo",$B:$B,"&lt;&gt;Lucas Luiz Romero")*(35/1083),IF(C4396="Técnico II",SUMIFS($D:$D,$A:$A,$A4396,$B:$B,"&lt;&gt;Patrícia Karla de Sousa Araújo",$B:$B,"&lt;&gt;Lorena Dias de Araujo",$B:$B,"&lt;&gt;Lucas Luiz Romero")*(28/1083),IF(C4396="Técnico I",SUMIFS($D:$D,$A:$A,$A4396,$B:$B,"&lt;&gt;Patrícia Karla de Sousa Araújo",$B:$B,"&lt;&gt;Lorena Dias de Araujo",$B:$B,"&lt;&gt;Lucas Luiz Romero")*(23/1083),IF(C4396="JR",SUMIFS($D:$D,$A:$A,$A4396,$B:$B,"&lt;&gt;Patrícia Karla de Sousa Araújo",$B:$B,"&lt;&gt;Lorena Dias de Araujo",$B:$B,"&lt;&gt;Lucas Luiz Romero")*(20/1083),IF(C4396="Estágio",SUMIFS($D:$D,$A:$A,$A4396,$B:$B,"&lt;&gt;Patrícia Karla de Sousa Araújo",$B:$B,"&lt;&gt;Lorena Dias de Araujo",$B:$B,"&lt;&gt;Lucas Luiz Romero")*(10/1083),0)))))),0)</f>
        <v>22</v>
      </c>
      <c r="K4396" s="3">
        <f>I4396-J4396</f>
        <v>3</v>
      </c>
      <c r="L4396" s="3" t="str">
        <f>IF(K4396&lt;-5,"CRÍTICO",IF(K4396&lt;0,"ATENÇÃO",IF(K4396&lt;=5,"OPORTUNO","MUITO BOM")))</f>
        <v>OPORTUNO</v>
      </c>
      <c r="M4396" s="3">
        <v>21</v>
      </c>
      <c r="N4396" s="3">
        <v>96.38</v>
      </c>
      <c r="O4396" s="3">
        <v>23.198198198198199</v>
      </c>
    </row>
    <row r="4397" spans="1:15" hidden="1" x14ac:dyDescent="0.25">
      <c r="A4397" s="5">
        <v>46163</v>
      </c>
      <c r="B4397" s="6" t="s">
        <v>45</v>
      </c>
      <c r="C4397" s="1" t="s">
        <v>32</v>
      </c>
      <c r="D4397" s="3">
        <v>35</v>
      </c>
      <c r="E4397" s="3">
        <v>31</v>
      </c>
      <c r="F4397" s="3">
        <v>8.3000000000000007</v>
      </c>
      <c r="G4397" s="3">
        <v>2</v>
      </c>
      <c r="H4397" s="3">
        <v>0</v>
      </c>
      <c r="I4397" s="3">
        <f>E4397+G4397+H4397</f>
        <v>33</v>
      </c>
      <c r="J4397" s="3">
        <f>ROUND(MIN(IF(C4397="Técnico III",35,IF(C4397="Técnico II",28,IF(C4397="Técnico I",23,IF(C4397="JR",20,IF(C4397="Estágio",10,0))))),IF(C4397="Técnico III",SUMIFS($D:$D,$A:$A,$A4397,$B:$B,"&lt;&gt;Patrícia Karla de Sousa Araújo",$B:$B,"&lt;&gt;Lorena Dias de Araujo",$B:$B,"&lt;&gt;Lucas Luiz Romero")*(35/1083),IF(C4397="Técnico II",SUMIFS($D:$D,$A:$A,$A4397,$B:$B,"&lt;&gt;Patrícia Karla de Sousa Araújo",$B:$B,"&lt;&gt;Lorena Dias de Araujo",$B:$B,"&lt;&gt;Lucas Luiz Romero")*(28/1083),IF(C4397="Técnico I",SUMIFS($D:$D,$A:$A,$A4397,$B:$B,"&lt;&gt;Patrícia Karla de Sousa Araújo",$B:$B,"&lt;&gt;Lorena Dias de Araujo",$B:$B,"&lt;&gt;Lucas Luiz Romero")*(23/1083),IF(C4397="JR",SUMIFS($D:$D,$A:$A,$A4397,$B:$B,"&lt;&gt;Patrícia Karla de Sousa Araújo",$B:$B,"&lt;&gt;Lorena Dias de Araujo",$B:$B,"&lt;&gt;Lucas Luiz Romero")*(20/1083),IF(C4397="Estágio",SUMIFS($D:$D,$A:$A,$A4397,$B:$B,"&lt;&gt;Patrícia Karla de Sousa Araújo",$B:$B,"&lt;&gt;Lorena Dias de Araujo",$B:$B,"&lt;&gt;Lucas Luiz Romero")*(10/1083),0)))))),0)</f>
        <v>22</v>
      </c>
      <c r="K4397" s="3">
        <f>I4397-J4397</f>
        <v>11</v>
      </c>
      <c r="L4397" s="3" t="str">
        <f>IF(K4397&lt;-5,"CRÍTICO",IF(K4397&lt;0,"ATENÇÃO",IF(K4397&lt;=5,"OPORTUNO","MUITO BOM")))</f>
        <v>MUITO BOM</v>
      </c>
      <c r="M4397" s="3">
        <v>22</v>
      </c>
      <c r="N4397" s="3">
        <v>99.39</v>
      </c>
      <c r="O4397" s="3">
        <v>25.203252032520329</v>
      </c>
    </row>
    <row r="4398" spans="1:15" hidden="1" x14ac:dyDescent="0.25">
      <c r="A4398" s="5">
        <v>46163</v>
      </c>
      <c r="B4398" s="6" t="s">
        <v>46</v>
      </c>
      <c r="C4398" s="1" t="s">
        <v>32</v>
      </c>
      <c r="D4398" s="3">
        <v>23</v>
      </c>
      <c r="E4398" s="3">
        <v>22</v>
      </c>
      <c r="F4398" s="3">
        <v>17.079999999999998</v>
      </c>
      <c r="G4398" s="3">
        <v>1</v>
      </c>
      <c r="H4398" s="3">
        <v>0</v>
      </c>
      <c r="I4398" s="3">
        <f>E4398+G4398+H4398</f>
        <v>23</v>
      </c>
      <c r="J4398" s="3">
        <f>ROUND(MIN(IF(C4398="Técnico III",35,IF(C4398="Técnico II",28,IF(C4398="Técnico I",23,IF(C4398="JR",20,IF(C4398="Estágio",10,0))))),IF(C4398="Técnico III",SUMIFS($D:$D,$A:$A,$A4398,$B:$B,"&lt;&gt;Patrícia Karla de Sousa Araújo",$B:$B,"&lt;&gt;Lorena Dias de Araujo",$B:$B,"&lt;&gt;Lucas Luiz Romero")*(35/1083),IF(C4398="Técnico II",SUMIFS($D:$D,$A:$A,$A4398,$B:$B,"&lt;&gt;Patrícia Karla de Sousa Araújo",$B:$B,"&lt;&gt;Lorena Dias de Araujo",$B:$B,"&lt;&gt;Lucas Luiz Romero")*(28/1083),IF(C4398="Técnico I",SUMIFS($D:$D,$A:$A,$A4398,$B:$B,"&lt;&gt;Patrícia Karla de Sousa Araújo",$B:$B,"&lt;&gt;Lorena Dias de Araujo",$B:$B,"&lt;&gt;Lucas Luiz Romero")*(23/1083),IF(C4398="JR",SUMIFS($D:$D,$A:$A,$A4398,$B:$B,"&lt;&gt;Patrícia Karla de Sousa Araújo",$B:$B,"&lt;&gt;Lorena Dias de Araujo",$B:$B,"&lt;&gt;Lucas Luiz Romero")*(20/1083),IF(C4398="Estágio",SUMIFS($D:$D,$A:$A,$A4398,$B:$B,"&lt;&gt;Patrícia Karla de Sousa Araújo",$B:$B,"&lt;&gt;Lorena Dias de Araujo",$B:$B,"&lt;&gt;Lucas Luiz Romero")*(10/1083),0)))))),0)</f>
        <v>22</v>
      </c>
      <c r="K4398" s="3">
        <f>I4398-J4398</f>
        <v>1</v>
      </c>
      <c r="L4398" s="3" t="str">
        <f>IF(K4398&lt;-5,"CRÍTICO",IF(K4398&lt;0,"ATENÇÃO",IF(K4398&lt;=5,"OPORTUNO","MUITO BOM")))</f>
        <v>OPORTUNO</v>
      </c>
      <c r="M4398" s="3">
        <v>21</v>
      </c>
      <c r="N4398" s="3">
        <v>97</v>
      </c>
      <c r="O4398" s="3">
        <v>20.325203252032519</v>
      </c>
    </row>
    <row r="4399" spans="1:15" hidden="1" x14ac:dyDescent="0.25">
      <c r="A4399" s="5">
        <v>46163</v>
      </c>
      <c r="B4399" s="6" t="s">
        <v>47</v>
      </c>
      <c r="C4399" s="1" t="s">
        <v>48</v>
      </c>
      <c r="D4399" s="3">
        <v>31</v>
      </c>
      <c r="E4399" s="3">
        <v>19</v>
      </c>
      <c r="F4399" s="3">
        <v>5.55</v>
      </c>
      <c r="G4399" s="3">
        <v>1</v>
      </c>
      <c r="H4399" s="3">
        <v>0</v>
      </c>
      <c r="I4399" s="3">
        <f>E4399+G4399+H4399</f>
        <v>20</v>
      </c>
      <c r="J4399" s="3">
        <f>ROUND(MIN(IF(C4399="Técnico III",35,IF(C4399="Técnico II",28,IF(C4399="Técnico I",23,IF(C4399="JR",20,IF(C4399="Estágio",10,0))))),IF(C4399="Técnico III",SUMIFS($D:$D,$A:$A,$A4399,$B:$B,"&lt;&gt;Patrícia Karla de Sousa Araújo",$B:$B,"&lt;&gt;Lorena Dias de Araujo",$B:$B,"&lt;&gt;Lucas Luiz Romero")*(35/1083),IF(C4399="Técnico II",SUMIFS($D:$D,$A:$A,$A4399,$B:$B,"&lt;&gt;Patrícia Karla de Sousa Araújo",$B:$B,"&lt;&gt;Lorena Dias de Araujo",$B:$B,"&lt;&gt;Lucas Luiz Romero")*(28/1083),IF(C4399="Técnico I",SUMIFS($D:$D,$A:$A,$A4399,$B:$B,"&lt;&gt;Patrícia Karla de Sousa Araújo",$B:$B,"&lt;&gt;Lorena Dias de Araujo",$B:$B,"&lt;&gt;Lucas Luiz Romero")*(23/1083),IF(C4399="JR",SUMIFS($D:$D,$A:$A,$A4399,$B:$B,"&lt;&gt;Patrícia Karla de Sousa Araújo",$B:$B,"&lt;&gt;Lorena Dias de Araujo",$B:$B,"&lt;&gt;Lucas Luiz Romero")*(20/1083),IF(C4399="Estágio",SUMIFS($D:$D,$A:$A,$A4399,$B:$B,"&lt;&gt;Patrícia Karla de Sousa Araújo",$B:$B,"&lt;&gt;Lorena Dias de Araujo",$B:$B,"&lt;&gt;Lucas Luiz Romero")*(10/1083),0)))))),0)</f>
        <v>18</v>
      </c>
      <c r="K4399" s="3">
        <f>I4399-J4399</f>
        <v>2</v>
      </c>
      <c r="L4399" s="3" t="str">
        <f>IF(K4399&lt;-5,"CRÍTICO",IF(K4399&lt;0,"ATENÇÃO",IF(K4399&lt;=5,"OPORTUNO","MUITO BOM")))</f>
        <v>OPORTUNO</v>
      </c>
      <c r="M4399" s="3">
        <v>17</v>
      </c>
      <c r="N4399" s="3">
        <v>99.18</v>
      </c>
      <c r="O4399" s="3">
        <v>24.501424501424498</v>
      </c>
    </row>
    <row r="4400" spans="1:15" hidden="1" x14ac:dyDescent="0.25">
      <c r="A4400" s="5">
        <v>46163</v>
      </c>
      <c r="B4400" s="6" t="s">
        <v>49</v>
      </c>
      <c r="C4400" s="1" t="s">
        <v>48</v>
      </c>
      <c r="D4400" s="3">
        <v>31</v>
      </c>
      <c r="E4400" s="3">
        <v>27</v>
      </c>
      <c r="F4400" s="3">
        <v>10.15</v>
      </c>
      <c r="G4400" s="3">
        <v>4</v>
      </c>
      <c r="H4400" s="3">
        <v>0</v>
      </c>
      <c r="I4400" s="3">
        <f>E4400+G4400+H4400</f>
        <v>31</v>
      </c>
      <c r="J4400" s="3">
        <f>ROUND(MIN(IF(C4400="Técnico III",35,IF(C4400="Técnico II",28,IF(C4400="Técnico I",23,IF(C4400="JR",20,IF(C4400="Estágio",10,0))))),IF(C4400="Técnico III",SUMIFS($D:$D,$A:$A,$A4400,$B:$B,"&lt;&gt;Patrícia Karla de Sousa Araújo",$B:$B,"&lt;&gt;Lorena Dias de Araujo",$B:$B,"&lt;&gt;Lucas Luiz Romero")*(35/1083),IF(C4400="Técnico II",SUMIFS($D:$D,$A:$A,$A4400,$B:$B,"&lt;&gt;Patrícia Karla de Sousa Araújo",$B:$B,"&lt;&gt;Lorena Dias de Araujo",$B:$B,"&lt;&gt;Lucas Luiz Romero")*(28/1083),IF(C4400="Técnico I",SUMIFS($D:$D,$A:$A,$A4400,$B:$B,"&lt;&gt;Patrícia Karla de Sousa Araújo",$B:$B,"&lt;&gt;Lorena Dias de Araujo",$B:$B,"&lt;&gt;Lucas Luiz Romero")*(23/1083),IF(C4400="JR",SUMIFS($D:$D,$A:$A,$A4400,$B:$B,"&lt;&gt;Patrícia Karla de Sousa Araújo",$B:$B,"&lt;&gt;Lorena Dias de Araujo",$B:$B,"&lt;&gt;Lucas Luiz Romero")*(20/1083),IF(C4400="Estágio",SUMIFS($D:$D,$A:$A,$A4400,$B:$B,"&lt;&gt;Patrícia Karla de Sousa Araújo",$B:$B,"&lt;&gt;Lorena Dias de Araujo",$B:$B,"&lt;&gt;Lucas Luiz Romero")*(10/1083),0)))))),0)</f>
        <v>18</v>
      </c>
      <c r="K4400" s="3">
        <f>I4400-J4400</f>
        <v>13</v>
      </c>
      <c r="L4400" s="3" t="str">
        <f>IF(K4400&lt;-5,"CRÍTICO",IF(K4400&lt;0,"ATENÇÃO",IF(K4400&lt;=5,"OPORTUNO","MUITO BOM")))</f>
        <v>MUITO BOM</v>
      </c>
      <c r="M4400" s="3">
        <v>28</v>
      </c>
      <c r="N4400" s="3">
        <v>99.35</v>
      </c>
      <c r="O4400" s="3">
        <v>19.852941176470591</v>
      </c>
    </row>
    <row r="4401" spans="1:15" hidden="1" x14ac:dyDescent="0.25">
      <c r="A4401" s="5">
        <v>46163</v>
      </c>
      <c r="B4401" s="6" t="s">
        <v>50</v>
      </c>
      <c r="C4401" s="1" t="s">
        <v>48</v>
      </c>
      <c r="D4401" s="3">
        <v>24</v>
      </c>
      <c r="E4401" s="3">
        <v>22</v>
      </c>
      <c r="F4401" s="3">
        <v>18.55</v>
      </c>
      <c r="G4401" s="3">
        <v>1</v>
      </c>
      <c r="H4401" s="3">
        <v>0</v>
      </c>
      <c r="I4401" s="3">
        <f>E4401+G4401+H4401</f>
        <v>23</v>
      </c>
      <c r="J4401" s="3">
        <f>ROUND(MIN(IF(C4401="Técnico III",35,IF(C4401="Técnico II",28,IF(C4401="Técnico I",23,IF(C4401="JR",20,IF(C4401="Estágio",10,0))))),IF(C4401="Técnico III",SUMIFS($D:$D,$A:$A,$A4401,$B:$B,"&lt;&gt;Patrícia Karla de Sousa Araújo",$B:$B,"&lt;&gt;Lorena Dias de Araujo",$B:$B,"&lt;&gt;Lucas Luiz Romero")*(35/1083),IF(C4401="Técnico II",SUMIFS($D:$D,$A:$A,$A4401,$B:$B,"&lt;&gt;Patrícia Karla de Sousa Araújo",$B:$B,"&lt;&gt;Lorena Dias de Araujo",$B:$B,"&lt;&gt;Lucas Luiz Romero")*(28/1083),IF(C4401="Técnico I",SUMIFS($D:$D,$A:$A,$A4401,$B:$B,"&lt;&gt;Patrícia Karla de Sousa Araújo",$B:$B,"&lt;&gt;Lorena Dias de Araujo",$B:$B,"&lt;&gt;Lucas Luiz Romero")*(23/1083),IF(C4401="JR",SUMIFS($D:$D,$A:$A,$A4401,$B:$B,"&lt;&gt;Patrícia Karla de Sousa Araújo",$B:$B,"&lt;&gt;Lorena Dias de Araujo",$B:$B,"&lt;&gt;Lucas Luiz Romero")*(20/1083),IF(C4401="Estágio",SUMIFS($D:$D,$A:$A,$A4401,$B:$B,"&lt;&gt;Patrícia Karla de Sousa Araújo",$B:$B,"&lt;&gt;Lorena Dias de Araujo",$B:$B,"&lt;&gt;Lucas Luiz Romero")*(10/1083),0)))))),0)</f>
        <v>18</v>
      </c>
      <c r="K4401" s="3">
        <f>I4401-J4401</f>
        <v>5</v>
      </c>
      <c r="L4401" s="3" t="str">
        <f>IF(K4401&lt;-5,"CRÍTICO",IF(K4401&lt;0,"ATENÇÃO",IF(K4401&lt;=5,"OPORTUNO","MUITO BOM")))</f>
        <v>OPORTUNO</v>
      </c>
      <c r="M4401" s="3">
        <v>21</v>
      </c>
      <c r="N4401" s="3">
        <v>99.07</v>
      </c>
      <c r="O4401" s="3">
        <v>20.098039215686271</v>
      </c>
    </row>
    <row r="4402" spans="1:15" hidden="1" x14ac:dyDescent="0.25">
      <c r="A4402" s="5">
        <v>46163</v>
      </c>
      <c r="B4402" s="6" t="s">
        <v>51</v>
      </c>
      <c r="C4402" s="1" t="s">
        <v>48</v>
      </c>
      <c r="D4402" s="3">
        <v>0</v>
      </c>
      <c r="E4402" s="3">
        <v>0</v>
      </c>
      <c r="F4402" s="3">
        <v>0</v>
      </c>
      <c r="G4402" s="3">
        <v>0</v>
      </c>
      <c r="H4402" s="3">
        <v>0</v>
      </c>
      <c r="I4402" s="3">
        <f>E4402+G4402+H4402</f>
        <v>0</v>
      </c>
      <c r="J4402" s="3">
        <f>ROUND(MIN(IF(C4402="Técnico III",35,IF(C4402="Técnico II",28,IF(C4402="Técnico I",23,IF(C4402="JR",20,IF(C4402="Estágio",10,0))))),IF(C4402="Técnico III",SUMIFS($D:$D,$A:$A,$A4402,$B:$B,"&lt;&gt;Patrícia Karla de Sousa Araújo",$B:$B,"&lt;&gt;Lorena Dias de Araujo",$B:$B,"&lt;&gt;Lucas Luiz Romero")*(35/1083),IF(C4402="Técnico II",SUMIFS($D:$D,$A:$A,$A4402,$B:$B,"&lt;&gt;Patrícia Karla de Sousa Araújo",$B:$B,"&lt;&gt;Lorena Dias de Araujo",$B:$B,"&lt;&gt;Lucas Luiz Romero")*(28/1083),IF(C4402="Técnico I",SUMIFS($D:$D,$A:$A,$A4402,$B:$B,"&lt;&gt;Patrícia Karla de Sousa Araújo",$B:$B,"&lt;&gt;Lorena Dias de Araujo",$B:$B,"&lt;&gt;Lucas Luiz Romero")*(23/1083),IF(C4402="JR",SUMIFS($D:$D,$A:$A,$A4402,$B:$B,"&lt;&gt;Patrícia Karla de Sousa Araújo",$B:$B,"&lt;&gt;Lorena Dias de Araujo",$B:$B,"&lt;&gt;Lucas Luiz Romero")*(20/1083),IF(C4402="Estágio",SUMIFS($D:$D,$A:$A,$A4402,$B:$B,"&lt;&gt;Patrícia Karla de Sousa Araújo",$B:$B,"&lt;&gt;Lorena Dias de Araujo",$B:$B,"&lt;&gt;Lucas Luiz Romero")*(10/1083),0)))))),0)</f>
        <v>18</v>
      </c>
      <c r="K4402" s="3">
        <f>I4402-J4402</f>
        <v>-18</v>
      </c>
      <c r="L4402" s="3" t="str">
        <f>IF(K4402&lt;-5,"CRÍTICO",IF(K4402&lt;0,"ATENÇÃO",IF(K4402&lt;=5,"OPORTUNO","MUITO BOM")))</f>
        <v>CRÍTICO</v>
      </c>
      <c r="M4402" s="3">
        <v>0</v>
      </c>
      <c r="N4402" s="3">
        <v>98.81</v>
      </c>
      <c r="O4402" s="3">
        <v>22.767857142857139</v>
      </c>
    </row>
    <row r="4403" spans="1:15" hidden="1" x14ac:dyDescent="0.25">
      <c r="A4403" s="5">
        <v>46163</v>
      </c>
      <c r="B4403" s="6" t="s">
        <v>52</v>
      </c>
      <c r="C4403" s="1" t="s">
        <v>48</v>
      </c>
      <c r="D4403" s="3">
        <v>28</v>
      </c>
      <c r="E4403" s="3">
        <v>23</v>
      </c>
      <c r="F4403" s="3">
        <v>9.02</v>
      </c>
      <c r="G4403" s="3">
        <v>3</v>
      </c>
      <c r="H4403" s="3">
        <v>0</v>
      </c>
      <c r="I4403" s="3">
        <f>E4403+G4403+H4403</f>
        <v>26</v>
      </c>
      <c r="J4403" s="3">
        <f>ROUND(MIN(IF(C4403="Técnico III",35,IF(C4403="Técnico II",28,IF(C4403="Técnico I",23,IF(C4403="JR",20,IF(C4403="Estágio",10,0))))),IF(C4403="Técnico III",SUMIFS($D:$D,$A:$A,$A4403,$B:$B,"&lt;&gt;Patrícia Karla de Sousa Araújo",$B:$B,"&lt;&gt;Lorena Dias de Araujo",$B:$B,"&lt;&gt;Lucas Luiz Romero")*(35/1083),IF(C4403="Técnico II",SUMIFS($D:$D,$A:$A,$A4403,$B:$B,"&lt;&gt;Patrícia Karla de Sousa Araújo",$B:$B,"&lt;&gt;Lorena Dias de Araujo",$B:$B,"&lt;&gt;Lucas Luiz Romero")*(28/1083),IF(C4403="Técnico I",SUMIFS($D:$D,$A:$A,$A4403,$B:$B,"&lt;&gt;Patrícia Karla de Sousa Araújo",$B:$B,"&lt;&gt;Lorena Dias de Araujo",$B:$B,"&lt;&gt;Lucas Luiz Romero")*(23/1083),IF(C4403="JR",SUMIFS($D:$D,$A:$A,$A4403,$B:$B,"&lt;&gt;Patrícia Karla de Sousa Araújo",$B:$B,"&lt;&gt;Lorena Dias de Araujo",$B:$B,"&lt;&gt;Lucas Luiz Romero")*(20/1083),IF(C4403="Estágio",SUMIFS($D:$D,$A:$A,$A4403,$B:$B,"&lt;&gt;Patrícia Karla de Sousa Araújo",$B:$B,"&lt;&gt;Lorena Dias de Araujo",$B:$B,"&lt;&gt;Lucas Luiz Romero")*(10/1083),0)))))),0)</f>
        <v>18</v>
      </c>
      <c r="K4403" s="3">
        <f>I4403-J4403</f>
        <v>8</v>
      </c>
      <c r="L4403" s="3" t="str">
        <f>IF(K4403&lt;-5,"CRÍTICO",IF(K4403&lt;0,"ATENÇÃO",IF(K4403&lt;=5,"OPORTUNO","MUITO BOM")))</f>
        <v>MUITO BOM</v>
      </c>
      <c r="M4403" s="3">
        <v>25</v>
      </c>
      <c r="N4403" s="3">
        <v>99.01</v>
      </c>
      <c r="O4403" s="3">
        <v>17.766497461928939</v>
      </c>
    </row>
    <row r="4404" spans="1:15" hidden="1" x14ac:dyDescent="0.25">
      <c r="A4404" s="5">
        <v>46163</v>
      </c>
      <c r="B4404" s="6" t="s">
        <v>53</v>
      </c>
      <c r="C4404" s="1" t="s">
        <v>48</v>
      </c>
      <c r="D4404" s="3">
        <v>0</v>
      </c>
      <c r="E4404" s="3">
        <v>0</v>
      </c>
      <c r="F4404" s="3">
        <v>0</v>
      </c>
      <c r="G4404" s="3">
        <v>0</v>
      </c>
      <c r="H4404" s="3">
        <v>0</v>
      </c>
      <c r="I4404" s="3">
        <f>E4404+G4404+H4404</f>
        <v>0</v>
      </c>
      <c r="J4404" s="3">
        <f>ROUND(MIN(IF(C4404="Técnico III",35,IF(C4404="Técnico II",28,IF(C4404="Técnico I",23,IF(C4404="JR",20,IF(C4404="Estágio",10,0))))),IF(C4404="Técnico III",SUMIFS($D:$D,$A:$A,$A4404,$B:$B,"&lt;&gt;Patrícia Karla de Sousa Araújo",$B:$B,"&lt;&gt;Lorena Dias de Araujo",$B:$B,"&lt;&gt;Lucas Luiz Romero")*(35/1083),IF(C4404="Técnico II",SUMIFS($D:$D,$A:$A,$A4404,$B:$B,"&lt;&gt;Patrícia Karla de Sousa Araújo",$B:$B,"&lt;&gt;Lorena Dias de Araujo",$B:$B,"&lt;&gt;Lucas Luiz Romero")*(28/1083),IF(C4404="Técnico I",SUMIFS($D:$D,$A:$A,$A4404,$B:$B,"&lt;&gt;Patrícia Karla de Sousa Araújo",$B:$B,"&lt;&gt;Lorena Dias de Araujo",$B:$B,"&lt;&gt;Lucas Luiz Romero")*(23/1083),IF(C4404="JR",SUMIFS($D:$D,$A:$A,$A4404,$B:$B,"&lt;&gt;Patrícia Karla de Sousa Araújo",$B:$B,"&lt;&gt;Lorena Dias de Araujo",$B:$B,"&lt;&gt;Lucas Luiz Romero")*(20/1083),IF(C4404="Estágio",SUMIFS($D:$D,$A:$A,$A4404,$B:$B,"&lt;&gt;Patrícia Karla de Sousa Araújo",$B:$B,"&lt;&gt;Lorena Dias de Araujo",$B:$B,"&lt;&gt;Lucas Luiz Romero")*(10/1083),0)))))),0)</f>
        <v>18</v>
      </c>
      <c r="K4404" s="3">
        <f>I4404-J4404</f>
        <v>-18</v>
      </c>
      <c r="L4404" s="3" t="str">
        <f>IF(K4404&lt;-5,"CRÍTICO",IF(K4404&lt;0,"ATENÇÃO",IF(K4404&lt;=5,"OPORTUNO","MUITO BOM")))</f>
        <v>CRÍTICO</v>
      </c>
      <c r="M4404" s="3">
        <v>0</v>
      </c>
      <c r="N4404" s="3">
        <v>100</v>
      </c>
      <c r="O4404" s="3">
        <v>17.241379310344829</v>
      </c>
    </row>
    <row r="4405" spans="1:15" hidden="1" x14ac:dyDescent="0.25">
      <c r="A4405" s="5">
        <v>46163</v>
      </c>
      <c r="B4405" s="6" t="s">
        <v>54</v>
      </c>
      <c r="C4405" s="1" t="s">
        <v>48</v>
      </c>
      <c r="D4405" s="3">
        <v>22</v>
      </c>
      <c r="E4405" s="3">
        <v>21</v>
      </c>
      <c r="F4405" s="3">
        <v>19.05</v>
      </c>
      <c r="G4405" s="3">
        <v>1</v>
      </c>
      <c r="H4405" s="3">
        <v>0</v>
      </c>
      <c r="I4405" s="3">
        <f>E4405+G4405+H4405</f>
        <v>22</v>
      </c>
      <c r="J4405" s="3">
        <f>ROUND(MIN(IF(C4405="Técnico III",35,IF(C4405="Técnico II",28,IF(C4405="Técnico I",23,IF(C4405="JR",20,IF(C4405="Estágio",10,0))))),IF(C4405="Técnico III",SUMIFS($D:$D,$A:$A,$A4405,$B:$B,"&lt;&gt;Patrícia Karla de Sousa Araújo",$B:$B,"&lt;&gt;Lorena Dias de Araujo",$B:$B,"&lt;&gt;Lucas Luiz Romero")*(35/1083),IF(C4405="Técnico II",SUMIFS($D:$D,$A:$A,$A4405,$B:$B,"&lt;&gt;Patrícia Karla de Sousa Araújo",$B:$B,"&lt;&gt;Lorena Dias de Araujo",$B:$B,"&lt;&gt;Lucas Luiz Romero")*(28/1083),IF(C4405="Técnico I",SUMIFS($D:$D,$A:$A,$A4405,$B:$B,"&lt;&gt;Patrícia Karla de Sousa Araújo",$B:$B,"&lt;&gt;Lorena Dias de Araujo",$B:$B,"&lt;&gt;Lucas Luiz Romero")*(23/1083),IF(C4405="JR",SUMIFS($D:$D,$A:$A,$A4405,$B:$B,"&lt;&gt;Patrícia Karla de Sousa Araújo",$B:$B,"&lt;&gt;Lorena Dias de Araujo",$B:$B,"&lt;&gt;Lucas Luiz Romero")*(20/1083),IF(C4405="Estágio",SUMIFS($D:$D,$A:$A,$A4405,$B:$B,"&lt;&gt;Patrícia Karla de Sousa Araújo",$B:$B,"&lt;&gt;Lorena Dias de Araujo",$B:$B,"&lt;&gt;Lucas Luiz Romero")*(10/1083),0)))))),0)</f>
        <v>18</v>
      </c>
      <c r="K4405" s="3">
        <f>I4405-J4405</f>
        <v>4</v>
      </c>
      <c r="L4405" s="3" t="str">
        <f>IF(K4405&lt;-5,"CRÍTICO",IF(K4405&lt;0,"ATENÇÃO",IF(K4405&lt;=5,"OPORTUNO","MUITO BOM")))</f>
        <v>OPORTUNO</v>
      </c>
      <c r="M4405" s="3">
        <v>19</v>
      </c>
      <c r="N4405" s="3">
        <v>98.98</v>
      </c>
      <c r="O4405" s="3">
        <v>19.35483870967742</v>
      </c>
    </row>
    <row r="4406" spans="1:15" hidden="1" x14ac:dyDescent="0.25">
      <c r="A4406" s="5">
        <v>46163</v>
      </c>
      <c r="B4406" s="6" t="s">
        <v>55</v>
      </c>
      <c r="C4406" s="1" t="s">
        <v>48</v>
      </c>
      <c r="D4406" s="3">
        <v>17</v>
      </c>
      <c r="E4406" s="3">
        <v>14</v>
      </c>
      <c r="F4406" s="3">
        <v>17.2</v>
      </c>
      <c r="G4406" s="3">
        <v>0</v>
      </c>
      <c r="H4406" s="3">
        <v>0</v>
      </c>
      <c r="I4406" s="3">
        <f>E4406+G4406+H4406</f>
        <v>14</v>
      </c>
      <c r="J4406" s="3">
        <f>ROUND(MIN(IF(C4406="Técnico III",35,IF(C4406="Técnico II",28,IF(C4406="Técnico I",23,IF(C4406="JR",20,IF(C4406="Estágio",10,0))))),IF(C4406="Técnico III",SUMIFS($D:$D,$A:$A,$A4406,$B:$B,"&lt;&gt;Patrícia Karla de Sousa Araújo",$B:$B,"&lt;&gt;Lorena Dias de Araujo",$B:$B,"&lt;&gt;Lucas Luiz Romero")*(35/1083),IF(C4406="Técnico II",SUMIFS($D:$D,$A:$A,$A4406,$B:$B,"&lt;&gt;Patrícia Karla de Sousa Araújo",$B:$B,"&lt;&gt;Lorena Dias de Araujo",$B:$B,"&lt;&gt;Lucas Luiz Romero")*(28/1083),IF(C4406="Técnico I",SUMIFS($D:$D,$A:$A,$A4406,$B:$B,"&lt;&gt;Patrícia Karla de Sousa Araújo",$B:$B,"&lt;&gt;Lorena Dias de Araujo",$B:$B,"&lt;&gt;Lucas Luiz Romero")*(23/1083),IF(C4406="JR",SUMIFS($D:$D,$A:$A,$A4406,$B:$B,"&lt;&gt;Patrícia Karla de Sousa Araújo",$B:$B,"&lt;&gt;Lorena Dias de Araujo",$B:$B,"&lt;&gt;Lucas Luiz Romero")*(20/1083),IF(C4406="Estágio",SUMIFS($D:$D,$A:$A,$A4406,$B:$B,"&lt;&gt;Patrícia Karla de Sousa Araújo",$B:$B,"&lt;&gt;Lorena Dias de Araujo",$B:$B,"&lt;&gt;Lucas Luiz Romero")*(10/1083),0)))))),0)</f>
        <v>18</v>
      </c>
      <c r="K4406" s="3">
        <f>I4406-J4406</f>
        <v>-4</v>
      </c>
      <c r="L4406" s="3" t="str">
        <f>IF(K4406&lt;-5,"CRÍTICO",IF(K4406&lt;0,"ATENÇÃO",IF(K4406&lt;=5,"OPORTUNO","MUITO BOM")))</f>
        <v>ATENÇÃO</v>
      </c>
      <c r="M4406" s="3">
        <v>14</v>
      </c>
      <c r="N4406" s="3">
        <v>98.94</v>
      </c>
      <c r="O4406" s="3">
        <v>21.270718232044199</v>
      </c>
    </row>
    <row r="4407" spans="1:15" hidden="1" x14ac:dyDescent="0.25">
      <c r="A4407" s="5">
        <v>46163</v>
      </c>
      <c r="B4407" s="6" t="s">
        <v>56</v>
      </c>
      <c r="C4407" s="1" t="s">
        <v>48</v>
      </c>
      <c r="D4407" s="3">
        <v>19</v>
      </c>
      <c r="E4407" s="3">
        <v>19</v>
      </c>
      <c r="F4407" s="3">
        <v>24.12</v>
      </c>
      <c r="G4407" s="3">
        <v>0</v>
      </c>
      <c r="H4407" s="3">
        <v>0</v>
      </c>
      <c r="I4407" s="3">
        <f>E4407+G4407+H4407</f>
        <v>19</v>
      </c>
      <c r="J4407" s="3">
        <f>ROUND(MIN(IF(C4407="Técnico III",35,IF(C4407="Técnico II",28,IF(C4407="Técnico I",23,IF(C4407="JR",20,IF(C4407="Estágio",10,0))))),IF(C4407="Técnico III",SUMIFS($D:$D,$A:$A,$A4407,$B:$B,"&lt;&gt;Patrícia Karla de Sousa Araújo",$B:$B,"&lt;&gt;Lorena Dias de Araujo",$B:$B,"&lt;&gt;Lucas Luiz Romero")*(35/1083),IF(C4407="Técnico II",SUMIFS($D:$D,$A:$A,$A4407,$B:$B,"&lt;&gt;Patrícia Karla de Sousa Araújo",$B:$B,"&lt;&gt;Lorena Dias de Araujo",$B:$B,"&lt;&gt;Lucas Luiz Romero")*(28/1083),IF(C4407="Técnico I",SUMIFS($D:$D,$A:$A,$A4407,$B:$B,"&lt;&gt;Patrícia Karla de Sousa Araújo",$B:$B,"&lt;&gt;Lorena Dias de Araujo",$B:$B,"&lt;&gt;Lucas Luiz Romero")*(23/1083),IF(C4407="JR",SUMIFS($D:$D,$A:$A,$A4407,$B:$B,"&lt;&gt;Patrícia Karla de Sousa Araújo",$B:$B,"&lt;&gt;Lorena Dias de Araujo",$B:$B,"&lt;&gt;Lucas Luiz Romero")*(20/1083),IF(C4407="Estágio",SUMIFS($D:$D,$A:$A,$A4407,$B:$B,"&lt;&gt;Patrícia Karla de Sousa Araújo",$B:$B,"&lt;&gt;Lorena Dias de Araujo",$B:$B,"&lt;&gt;Lucas Luiz Romero")*(10/1083),0)))))),0)</f>
        <v>18</v>
      </c>
      <c r="K4407" s="3">
        <f>I4407-J4407</f>
        <v>1</v>
      </c>
      <c r="L4407" s="3" t="str">
        <f>IF(K4407&lt;-5,"CRÍTICO",IF(K4407&lt;0,"ATENÇÃO",IF(K4407&lt;=5,"OPORTUNO","MUITO BOM")))</f>
        <v>OPORTUNO</v>
      </c>
      <c r="M4407" s="3">
        <v>17</v>
      </c>
      <c r="N4407" s="3">
        <v>99</v>
      </c>
      <c r="O4407" s="3">
        <v>22.010869565217391</v>
      </c>
    </row>
    <row r="4408" spans="1:15" hidden="1" x14ac:dyDescent="0.25">
      <c r="A4408" s="5">
        <v>46163</v>
      </c>
      <c r="B4408" s="6" t="s">
        <v>57</v>
      </c>
      <c r="C4408" s="1" t="s">
        <v>48</v>
      </c>
      <c r="D4408" s="3">
        <v>18</v>
      </c>
      <c r="E4408" s="3">
        <v>15</v>
      </c>
      <c r="F4408" s="3">
        <v>14.09</v>
      </c>
      <c r="G4408" s="3">
        <v>0</v>
      </c>
      <c r="H4408" s="3">
        <v>0</v>
      </c>
      <c r="I4408" s="3">
        <f>E4408+G4408+H4408</f>
        <v>15</v>
      </c>
      <c r="J4408" s="3">
        <f>ROUND(MIN(IF(C4408="Técnico III",35,IF(C4408="Técnico II",28,IF(C4408="Técnico I",23,IF(C4408="JR",20,IF(C4408="Estágio",10,0))))),IF(C4408="Técnico III",SUMIFS($D:$D,$A:$A,$A4408,$B:$B,"&lt;&gt;Patrícia Karla de Sousa Araújo",$B:$B,"&lt;&gt;Lorena Dias de Araujo",$B:$B,"&lt;&gt;Lucas Luiz Romero")*(35/1083),IF(C4408="Técnico II",SUMIFS($D:$D,$A:$A,$A4408,$B:$B,"&lt;&gt;Patrícia Karla de Sousa Araújo",$B:$B,"&lt;&gt;Lorena Dias de Araujo",$B:$B,"&lt;&gt;Lucas Luiz Romero")*(28/1083),IF(C4408="Técnico I",SUMIFS($D:$D,$A:$A,$A4408,$B:$B,"&lt;&gt;Patrícia Karla de Sousa Araújo",$B:$B,"&lt;&gt;Lorena Dias de Araujo",$B:$B,"&lt;&gt;Lucas Luiz Romero")*(23/1083),IF(C4408="JR",SUMIFS($D:$D,$A:$A,$A4408,$B:$B,"&lt;&gt;Patrícia Karla de Sousa Araújo",$B:$B,"&lt;&gt;Lorena Dias de Araujo",$B:$B,"&lt;&gt;Lucas Luiz Romero")*(20/1083),IF(C4408="Estágio",SUMIFS($D:$D,$A:$A,$A4408,$B:$B,"&lt;&gt;Patrícia Karla de Sousa Araújo",$B:$B,"&lt;&gt;Lorena Dias de Araujo",$B:$B,"&lt;&gt;Lucas Luiz Romero")*(10/1083),0)))))),0)</f>
        <v>18</v>
      </c>
      <c r="K4408" s="3">
        <f>I4408-J4408</f>
        <v>-3</v>
      </c>
      <c r="L4408" s="3" t="str">
        <f>IF(K4408&lt;-5,"CRÍTICO",IF(K4408&lt;0,"ATENÇÃO",IF(K4408&lt;=5,"OPORTUNO","MUITO BOM")))</f>
        <v>ATENÇÃO</v>
      </c>
      <c r="M4408" s="3">
        <v>15</v>
      </c>
      <c r="N4408" s="3">
        <v>100</v>
      </c>
      <c r="O4408" s="3">
        <v>25</v>
      </c>
    </row>
    <row r="4409" spans="1:15" hidden="1" x14ac:dyDescent="0.25">
      <c r="A4409" s="5">
        <v>46163</v>
      </c>
      <c r="B4409" s="6" t="s">
        <v>58</v>
      </c>
      <c r="C4409" s="1" t="s">
        <v>48</v>
      </c>
      <c r="D4409" s="3">
        <v>0</v>
      </c>
      <c r="E4409" s="3">
        <v>0</v>
      </c>
      <c r="F4409" s="3">
        <v>0</v>
      </c>
      <c r="G4409" s="3">
        <v>0</v>
      </c>
      <c r="H4409" s="3">
        <v>0</v>
      </c>
      <c r="I4409" s="3">
        <f>E4409+G4409+H4409</f>
        <v>0</v>
      </c>
      <c r="J4409" s="3">
        <f>ROUND(MIN(IF(C4409="Técnico III",35,IF(C4409="Técnico II",28,IF(C4409="Técnico I",23,IF(C4409="JR",20,IF(C4409="Estágio",10,0))))),IF(C4409="Técnico III",SUMIFS($D:$D,$A:$A,$A4409,$B:$B,"&lt;&gt;Patrícia Karla de Sousa Araújo",$B:$B,"&lt;&gt;Lorena Dias de Araujo",$B:$B,"&lt;&gt;Lucas Luiz Romero")*(35/1083),IF(C4409="Técnico II",SUMIFS($D:$D,$A:$A,$A4409,$B:$B,"&lt;&gt;Patrícia Karla de Sousa Araújo",$B:$B,"&lt;&gt;Lorena Dias de Araujo",$B:$B,"&lt;&gt;Lucas Luiz Romero")*(28/1083),IF(C4409="Técnico I",SUMIFS($D:$D,$A:$A,$A4409,$B:$B,"&lt;&gt;Patrícia Karla de Sousa Araújo",$B:$B,"&lt;&gt;Lorena Dias de Araujo",$B:$B,"&lt;&gt;Lucas Luiz Romero")*(23/1083),IF(C4409="JR",SUMIFS($D:$D,$A:$A,$A4409,$B:$B,"&lt;&gt;Patrícia Karla de Sousa Araújo",$B:$B,"&lt;&gt;Lorena Dias de Araujo",$B:$B,"&lt;&gt;Lucas Luiz Romero")*(20/1083),IF(C4409="Estágio",SUMIFS($D:$D,$A:$A,$A4409,$B:$B,"&lt;&gt;Patrícia Karla de Sousa Araújo",$B:$B,"&lt;&gt;Lorena Dias de Araujo",$B:$B,"&lt;&gt;Lucas Luiz Romero")*(10/1083),0)))))),0)</f>
        <v>18</v>
      </c>
      <c r="K4409" s="3">
        <f>I4409-J4409</f>
        <v>-18</v>
      </c>
      <c r="L4409" s="3" t="str">
        <f>IF(K4409&lt;-5,"CRÍTICO",IF(K4409&lt;0,"ATENÇÃO",IF(K4409&lt;=5,"OPORTUNO","MUITO BOM")))</f>
        <v>CRÍTICO</v>
      </c>
      <c r="M4409" s="3">
        <v>0</v>
      </c>
      <c r="N4409" s="3">
        <v>100</v>
      </c>
      <c r="O4409" s="3">
        <v>20.183486238532112</v>
      </c>
    </row>
    <row r="4410" spans="1:15" hidden="1" x14ac:dyDescent="0.25">
      <c r="A4410" s="5">
        <v>46163</v>
      </c>
      <c r="B4410" s="6" t="s">
        <v>59</v>
      </c>
      <c r="C4410" s="1" t="s">
        <v>23</v>
      </c>
      <c r="D4410" s="3">
        <v>24</v>
      </c>
      <c r="E4410" s="3">
        <v>23</v>
      </c>
      <c r="F4410" s="3">
        <v>17.07</v>
      </c>
      <c r="G4410" s="3">
        <v>0</v>
      </c>
      <c r="H4410" s="3">
        <v>0</v>
      </c>
      <c r="I4410" s="3">
        <f>E4410+G4410+H4410</f>
        <v>23</v>
      </c>
      <c r="J4410" s="3">
        <f>ROUND(MIN(IF(C4410="Técnico III",35,IF(C4410="Técnico II",28,IF(C4410="Técnico I",23,IF(C4410="JR",20,IF(C4410="Estágio",10,0))))),IF(C4410="Técnico III",SUMIFS($D:$D,$A:$A,$A4410,$B:$B,"&lt;&gt;Patrícia Karla de Sousa Araújo",$B:$B,"&lt;&gt;Lorena Dias de Araujo",$B:$B,"&lt;&gt;Lucas Luiz Romero")*(35/1083),IF(C4410="Técnico II",SUMIFS($D:$D,$A:$A,$A4410,$B:$B,"&lt;&gt;Patrícia Karla de Sousa Araújo",$B:$B,"&lt;&gt;Lorena Dias de Araujo",$B:$B,"&lt;&gt;Lucas Luiz Romero")*(28/1083),IF(C4410="Técnico I",SUMIFS($D:$D,$A:$A,$A4410,$B:$B,"&lt;&gt;Patrícia Karla de Sousa Araújo",$B:$B,"&lt;&gt;Lorena Dias de Araujo",$B:$B,"&lt;&gt;Lucas Luiz Romero")*(23/1083),IF(C4410="JR",SUMIFS($D:$D,$A:$A,$A4410,$B:$B,"&lt;&gt;Patrícia Karla de Sousa Araújo",$B:$B,"&lt;&gt;Lorena Dias de Araujo",$B:$B,"&lt;&gt;Lucas Luiz Romero")*(20/1083),IF(C4410="Estágio",SUMIFS($D:$D,$A:$A,$A4410,$B:$B,"&lt;&gt;Patrícia Karla de Sousa Araújo",$B:$B,"&lt;&gt;Lorena Dias de Araujo",$B:$B,"&lt;&gt;Lucas Luiz Romero")*(10/1083),0)))))),0)</f>
        <v>15</v>
      </c>
      <c r="K4410" s="3">
        <f>I4410-J4410</f>
        <v>8</v>
      </c>
      <c r="L4410" s="3" t="str">
        <f>IF(K4410&lt;-5,"CRÍTICO",IF(K4410&lt;0,"ATENÇÃO",IF(K4410&lt;=5,"OPORTUNO","MUITO BOM")))</f>
        <v>MUITO BOM</v>
      </c>
      <c r="M4410" s="3">
        <v>21</v>
      </c>
      <c r="N4410" s="3">
        <v>96.25</v>
      </c>
      <c r="O4410" s="3">
        <v>25.586353944562902</v>
      </c>
    </row>
    <row r="4411" spans="1:15" hidden="1" x14ac:dyDescent="0.25">
      <c r="A4411" s="5">
        <v>46163</v>
      </c>
      <c r="B4411" s="6" t="s">
        <v>60</v>
      </c>
      <c r="C4411" s="1" t="s">
        <v>23</v>
      </c>
      <c r="D4411" s="3">
        <v>23</v>
      </c>
      <c r="E4411" s="3">
        <v>22</v>
      </c>
      <c r="F4411" s="3">
        <v>17.079999999999998</v>
      </c>
      <c r="G4411" s="3">
        <v>0</v>
      </c>
      <c r="H4411" s="3">
        <v>0</v>
      </c>
      <c r="I4411" s="3">
        <f>E4411+G4411+H4411</f>
        <v>22</v>
      </c>
      <c r="J4411" s="3">
        <f>ROUND(MIN(IF(C4411="Técnico III",35,IF(C4411="Técnico II",28,IF(C4411="Técnico I",23,IF(C4411="JR",20,IF(C4411="Estágio",10,0))))),IF(C4411="Técnico III",SUMIFS($D:$D,$A:$A,$A4411,$B:$B,"&lt;&gt;Patrícia Karla de Sousa Araújo",$B:$B,"&lt;&gt;Lorena Dias de Araujo",$B:$B,"&lt;&gt;Lucas Luiz Romero")*(35/1083),IF(C4411="Técnico II",SUMIFS($D:$D,$A:$A,$A4411,$B:$B,"&lt;&gt;Patrícia Karla de Sousa Araújo",$B:$B,"&lt;&gt;Lorena Dias de Araujo",$B:$B,"&lt;&gt;Lucas Luiz Romero")*(28/1083),IF(C4411="Técnico I",SUMIFS($D:$D,$A:$A,$A4411,$B:$B,"&lt;&gt;Patrícia Karla de Sousa Araújo",$B:$B,"&lt;&gt;Lorena Dias de Araujo",$B:$B,"&lt;&gt;Lucas Luiz Romero")*(23/1083),IF(C4411="JR",SUMIFS($D:$D,$A:$A,$A4411,$B:$B,"&lt;&gt;Patrícia Karla de Sousa Araújo",$B:$B,"&lt;&gt;Lorena Dias de Araujo",$B:$B,"&lt;&gt;Lucas Luiz Romero")*(20/1083),IF(C4411="Estágio",SUMIFS($D:$D,$A:$A,$A4411,$B:$B,"&lt;&gt;Patrícia Karla de Sousa Araújo",$B:$B,"&lt;&gt;Lorena Dias de Araujo",$B:$B,"&lt;&gt;Lucas Luiz Romero")*(10/1083),0)))))),0)</f>
        <v>15</v>
      </c>
      <c r="K4411" s="3">
        <f>I4411-J4411</f>
        <v>7</v>
      </c>
      <c r="L4411" s="3" t="str">
        <f>IF(K4411&lt;-5,"CRÍTICO",IF(K4411&lt;0,"ATENÇÃO",IF(K4411&lt;=5,"OPORTUNO","MUITO BOM")))</f>
        <v>MUITO BOM</v>
      </c>
      <c r="M4411" s="3">
        <v>17</v>
      </c>
      <c r="N4411" s="3">
        <v>97.48</v>
      </c>
      <c r="O4411" s="3">
        <v>22.99465240641711</v>
      </c>
    </row>
    <row r="4412" spans="1:15" hidden="1" x14ac:dyDescent="0.25">
      <c r="A4412" s="5">
        <v>46163</v>
      </c>
      <c r="B4412" s="6" t="s">
        <v>61</v>
      </c>
      <c r="C4412" s="1" t="s">
        <v>23</v>
      </c>
      <c r="D4412" s="3">
        <v>16</v>
      </c>
      <c r="E4412" s="3">
        <v>16</v>
      </c>
      <c r="F4412" s="3">
        <v>26.5</v>
      </c>
      <c r="G4412" s="3">
        <v>0</v>
      </c>
      <c r="H4412" s="3">
        <v>0</v>
      </c>
      <c r="I4412" s="3">
        <f>E4412+G4412+H4412</f>
        <v>16</v>
      </c>
      <c r="J4412" s="3">
        <f>ROUND(MIN(IF(C4412="Técnico III",35,IF(C4412="Técnico II",28,IF(C4412="Técnico I",23,IF(C4412="JR",20,IF(C4412="Estágio",10,0))))),IF(C4412="Técnico III",SUMIFS($D:$D,$A:$A,$A4412,$B:$B,"&lt;&gt;Patrícia Karla de Sousa Araújo",$B:$B,"&lt;&gt;Lorena Dias de Araujo",$B:$B,"&lt;&gt;Lucas Luiz Romero")*(35/1083),IF(C4412="Técnico II",SUMIFS($D:$D,$A:$A,$A4412,$B:$B,"&lt;&gt;Patrícia Karla de Sousa Araújo",$B:$B,"&lt;&gt;Lorena Dias de Araujo",$B:$B,"&lt;&gt;Lucas Luiz Romero")*(28/1083),IF(C4412="Técnico I",SUMIFS($D:$D,$A:$A,$A4412,$B:$B,"&lt;&gt;Patrícia Karla de Sousa Araújo",$B:$B,"&lt;&gt;Lorena Dias de Araujo",$B:$B,"&lt;&gt;Lucas Luiz Romero")*(23/1083),IF(C4412="JR",SUMIFS($D:$D,$A:$A,$A4412,$B:$B,"&lt;&gt;Patrícia Karla de Sousa Araújo",$B:$B,"&lt;&gt;Lorena Dias de Araujo",$B:$B,"&lt;&gt;Lucas Luiz Romero")*(20/1083),IF(C4412="Estágio",SUMIFS($D:$D,$A:$A,$A4412,$B:$B,"&lt;&gt;Patrícia Karla de Sousa Araújo",$B:$B,"&lt;&gt;Lorena Dias de Araujo",$B:$B,"&lt;&gt;Lucas Luiz Romero")*(10/1083),0)))))),0)</f>
        <v>15</v>
      </c>
      <c r="K4412" s="3">
        <f>I4412-J4412</f>
        <v>1</v>
      </c>
      <c r="L4412" s="3" t="str">
        <f>IF(K4412&lt;-5,"CRÍTICO",IF(K4412&lt;0,"ATENÇÃO",IF(K4412&lt;=5,"OPORTUNO","MUITO BOM")))</f>
        <v>OPORTUNO</v>
      </c>
      <c r="M4412" s="3">
        <v>14</v>
      </c>
      <c r="N4412" s="3">
        <v>100</v>
      </c>
      <c r="O4412" s="3">
        <v>20.788530465949819</v>
      </c>
    </row>
    <row r="4413" spans="1:15" hidden="1" x14ac:dyDescent="0.25">
      <c r="A4413" s="5">
        <v>46163</v>
      </c>
      <c r="B4413" s="6" t="s">
        <v>62</v>
      </c>
      <c r="C4413" s="1" t="s">
        <v>23</v>
      </c>
      <c r="D4413" s="3">
        <v>22</v>
      </c>
      <c r="E4413" s="3">
        <v>20</v>
      </c>
      <c r="F4413" s="3">
        <v>19.059999999999999</v>
      </c>
      <c r="G4413" s="3">
        <v>0</v>
      </c>
      <c r="H4413" s="3">
        <v>0</v>
      </c>
      <c r="I4413" s="3">
        <f>E4413+G4413+H4413</f>
        <v>20</v>
      </c>
      <c r="J4413" s="3">
        <f>ROUND(MIN(IF(C4413="Técnico III",35,IF(C4413="Técnico II",28,IF(C4413="Técnico I",23,IF(C4413="JR",20,IF(C4413="Estágio",10,0))))),IF(C4413="Técnico III",SUMIFS($D:$D,$A:$A,$A4413,$B:$B,"&lt;&gt;Patrícia Karla de Sousa Araújo",$B:$B,"&lt;&gt;Lorena Dias de Araujo",$B:$B,"&lt;&gt;Lucas Luiz Romero")*(35/1083),IF(C4413="Técnico II",SUMIFS($D:$D,$A:$A,$A4413,$B:$B,"&lt;&gt;Patrícia Karla de Sousa Araújo",$B:$B,"&lt;&gt;Lorena Dias de Araujo",$B:$B,"&lt;&gt;Lucas Luiz Romero")*(28/1083),IF(C4413="Técnico I",SUMIFS($D:$D,$A:$A,$A4413,$B:$B,"&lt;&gt;Patrícia Karla de Sousa Araújo",$B:$B,"&lt;&gt;Lorena Dias de Araujo",$B:$B,"&lt;&gt;Lucas Luiz Romero")*(23/1083),IF(C4413="JR",SUMIFS($D:$D,$A:$A,$A4413,$B:$B,"&lt;&gt;Patrícia Karla de Sousa Araújo",$B:$B,"&lt;&gt;Lorena Dias de Araujo",$B:$B,"&lt;&gt;Lucas Luiz Romero")*(20/1083),IF(C4413="Estágio",SUMIFS($D:$D,$A:$A,$A4413,$B:$B,"&lt;&gt;Patrícia Karla de Sousa Araújo",$B:$B,"&lt;&gt;Lorena Dias de Araujo",$B:$B,"&lt;&gt;Lucas Luiz Romero")*(10/1083),0)))))),0)</f>
        <v>15</v>
      </c>
      <c r="K4413" s="3">
        <f>I4413-J4413</f>
        <v>5</v>
      </c>
      <c r="L4413" s="3" t="str">
        <f>IF(K4413&lt;-5,"CRÍTICO",IF(K4413&lt;0,"ATENÇÃO",IF(K4413&lt;=5,"OPORTUNO","MUITO BOM")))</f>
        <v>OPORTUNO</v>
      </c>
      <c r="M4413" s="3">
        <v>21</v>
      </c>
      <c r="N4413" s="3">
        <v>94.55</v>
      </c>
      <c r="O4413" s="3">
        <v>23.450134770889491</v>
      </c>
    </row>
    <row r="4414" spans="1:15" hidden="1" x14ac:dyDescent="0.25">
      <c r="A4414" s="5">
        <v>46163</v>
      </c>
      <c r="B4414" s="6" t="s">
        <v>63</v>
      </c>
      <c r="C4414" s="1" t="s">
        <v>23</v>
      </c>
      <c r="D4414" s="3">
        <v>27</v>
      </c>
      <c r="E4414" s="3">
        <v>27</v>
      </c>
      <c r="F4414" s="3">
        <v>15.1</v>
      </c>
      <c r="G4414" s="3">
        <v>0</v>
      </c>
      <c r="H4414" s="3">
        <v>0</v>
      </c>
      <c r="I4414" s="3">
        <f>E4414+G4414+H4414</f>
        <v>27</v>
      </c>
      <c r="J4414" s="3">
        <f>ROUND(MIN(IF(C4414="Técnico III",35,IF(C4414="Técnico II",28,IF(C4414="Técnico I",23,IF(C4414="JR",20,IF(C4414="Estágio",10,0))))),IF(C4414="Técnico III",SUMIFS($D:$D,$A:$A,$A4414,$B:$B,"&lt;&gt;Patrícia Karla de Sousa Araújo",$B:$B,"&lt;&gt;Lorena Dias de Araujo",$B:$B,"&lt;&gt;Lucas Luiz Romero")*(35/1083),IF(C4414="Técnico II",SUMIFS($D:$D,$A:$A,$A4414,$B:$B,"&lt;&gt;Patrícia Karla de Sousa Araújo",$B:$B,"&lt;&gt;Lorena Dias de Araujo",$B:$B,"&lt;&gt;Lucas Luiz Romero")*(28/1083),IF(C4414="Técnico I",SUMIFS($D:$D,$A:$A,$A4414,$B:$B,"&lt;&gt;Patrícia Karla de Sousa Araújo",$B:$B,"&lt;&gt;Lorena Dias de Araujo",$B:$B,"&lt;&gt;Lucas Luiz Romero")*(23/1083),IF(C4414="JR",SUMIFS($D:$D,$A:$A,$A4414,$B:$B,"&lt;&gt;Patrícia Karla de Sousa Araújo",$B:$B,"&lt;&gt;Lorena Dias de Araujo",$B:$B,"&lt;&gt;Lucas Luiz Romero")*(20/1083),IF(C4414="Estágio",SUMIFS($D:$D,$A:$A,$A4414,$B:$B,"&lt;&gt;Patrícia Karla de Sousa Araújo",$B:$B,"&lt;&gt;Lorena Dias de Araujo",$B:$B,"&lt;&gt;Lucas Luiz Romero")*(10/1083),0)))))),0)</f>
        <v>15</v>
      </c>
      <c r="K4414" s="3">
        <f>I4414-J4414</f>
        <v>12</v>
      </c>
      <c r="L4414" s="3" t="str">
        <f>IF(K4414&lt;-5,"CRÍTICO",IF(K4414&lt;0,"ATENÇÃO",IF(K4414&lt;=5,"OPORTUNO","MUITO BOM")))</f>
        <v>MUITO BOM</v>
      </c>
      <c r="M4414" s="3">
        <v>20</v>
      </c>
      <c r="N4414" s="3">
        <v>98</v>
      </c>
      <c r="O4414" s="3">
        <v>20.73490813648294</v>
      </c>
    </row>
    <row r="4415" spans="1:15" hidden="1" x14ac:dyDescent="0.25">
      <c r="A4415" s="5">
        <v>46163</v>
      </c>
      <c r="B4415" s="6" t="s">
        <v>64</v>
      </c>
      <c r="C4415" s="1" t="s">
        <v>23</v>
      </c>
      <c r="D4415" s="3">
        <v>12</v>
      </c>
      <c r="E4415" s="3">
        <v>12</v>
      </c>
      <c r="F4415" s="3">
        <v>44.02</v>
      </c>
      <c r="G4415" s="3">
        <v>0</v>
      </c>
      <c r="H4415" s="3">
        <v>0</v>
      </c>
      <c r="I4415" s="3">
        <f>E4415+G4415+H4415</f>
        <v>12</v>
      </c>
      <c r="J4415" s="3">
        <f>ROUND(MIN(IF(C4415="Técnico III",35,IF(C4415="Técnico II",28,IF(C4415="Técnico I",23,IF(C4415="JR",20,IF(C4415="Estágio",10,0))))),IF(C4415="Técnico III",SUMIFS($D:$D,$A:$A,$A4415,$B:$B,"&lt;&gt;Patrícia Karla de Sousa Araújo",$B:$B,"&lt;&gt;Lorena Dias de Araujo",$B:$B,"&lt;&gt;Lucas Luiz Romero")*(35/1083),IF(C4415="Técnico II",SUMIFS($D:$D,$A:$A,$A4415,$B:$B,"&lt;&gt;Patrícia Karla de Sousa Araújo",$B:$B,"&lt;&gt;Lorena Dias de Araujo",$B:$B,"&lt;&gt;Lucas Luiz Romero")*(28/1083),IF(C4415="Técnico I",SUMIFS($D:$D,$A:$A,$A4415,$B:$B,"&lt;&gt;Patrícia Karla de Sousa Araújo",$B:$B,"&lt;&gt;Lorena Dias de Araujo",$B:$B,"&lt;&gt;Lucas Luiz Romero")*(23/1083),IF(C4415="JR",SUMIFS($D:$D,$A:$A,$A4415,$B:$B,"&lt;&gt;Patrícia Karla de Sousa Araújo",$B:$B,"&lt;&gt;Lorena Dias de Araujo",$B:$B,"&lt;&gt;Lucas Luiz Romero")*(20/1083),IF(C4415="Estágio",SUMIFS($D:$D,$A:$A,$A4415,$B:$B,"&lt;&gt;Patrícia Karla de Sousa Araújo",$B:$B,"&lt;&gt;Lorena Dias de Araujo",$B:$B,"&lt;&gt;Lucas Luiz Romero")*(10/1083),0)))))),0)</f>
        <v>15</v>
      </c>
      <c r="K4415" s="3">
        <f>I4415-J4415</f>
        <v>-3</v>
      </c>
      <c r="L4415" s="3" t="str">
        <f>IF(K4415&lt;-5,"CRÍTICO",IF(K4415&lt;0,"ATENÇÃO",IF(K4415&lt;=5,"OPORTUNO","MUITO BOM")))</f>
        <v>ATENÇÃO</v>
      </c>
      <c r="M4415" s="3">
        <v>10</v>
      </c>
      <c r="N4415" s="3">
        <v>100</v>
      </c>
      <c r="O4415" s="3">
        <v>18</v>
      </c>
    </row>
    <row r="4416" spans="1:15" hidden="1" x14ac:dyDescent="0.25">
      <c r="A4416" s="5">
        <v>46163</v>
      </c>
      <c r="B4416" s="6" t="s">
        <v>22</v>
      </c>
      <c r="C4416" s="1" t="s">
        <v>23</v>
      </c>
      <c r="D4416" s="3">
        <v>16</v>
      </c>
      <c r="E4416" s="3">
        <v>15</v>
      </c>
      <c r="F4416" s="3">
        <v>25.07</v>
      </c>
      <c r="G4416" s="3">
        <v>3</v>
      </c>
      <c r="H4416" s="3">
        <v>0</v>
      </c>
      <c r="I4416" s="3">
        <f>E4416+G4416+H4416</f>
        <v>18</v>
      </c>
      <c r="J4416" s="3">
        <f>ROUND(MIN(IF(C4416="Técnico III",35,IF(C4416="Técnico II",28,IF(C4416="Técnico I",23,IF(C4416="JR",20,IF(C4416="Estágio",10,0))))),IF(C4416="Técnico III",SUMIFS($D:$D,$A:$A,$A4416,$B:$B,"&lt;&gt;Patrícia Karla de Sousa Araújo",$B:$B,"&lt;&gt;Lorena Dias de Araujo",$B:$B,"&lt;&gt;Lucas Luiz Romero")*(35/1083),IF(C4416="Técnico II",SUMIFS($D:$D,$A:$A,$A4416,$B:$B,"&lt;&gt;Patrícia Karla de Sousa Araújo",$B:$B,"&lt;&gt;Lorena Dias de Araujo",$B:$B,"&lt;&gt;Lucas Luiz Romero")*(28/1083),IF(C4416="Técnico I",SUMIFS($D:$D,$A:$A,$A4416,$B:$B,"&lt;&gt;Patrícia Karla de Sousa Araújo",$B:$B,"&lt;&gt;Lorena Dias de Araujo",$B:$B,"&lt;&gt;Lucas Luiz Romero")*(23/1083),IF(C4416="JR",SUMIFS($D:$D,$A:$A,$A4416,$B:$B,"&lt;&gt;Patrícia Karla de Sousa Araújo",$B:$B,"&lt;&gt;Lorena Dias de Araujo",$B:$B,"&lt;&gt;Lucas Luiz Romero")*(20/1083),IF(C4416="Estágio",SUMIFS($D:$D,$A:$A,$A4416,$B:$B,"&lt;&gt;Patrícia Karla de Sousa Araújo",$B:$B,"&lt;&gt;Lorena Dias de Araujo",$B:$B,"&lt;&gt;Lucas Luiz Romero")*(10/1083),0)))))),0)</f>
        <v>15</v>
      </c>
      <c r="K4416" s="3">
        <f>I4416-J4416</f>
        <v>3</v>
      </c>
      <c r="L4416" s="3" t="str">
        <f>IF(K4416&lt;-5,"CRÍTICO",IF(K4416&lt;0,"ATENÇÃO",IF(K4416&lt;=5,"OPORTUNO","MUITO BOM")))</f>
        <v>OPORTUNO</v>
      </c>
      <c r="M4416" s="3">
        <v>15</v>
      </c>
      <c r="N4416" s="3">
        <v>99.06</v>
      </c>
      <c r="O4416" s="3">
        <v>19.417475728155338</v>
      </c>
    </row>
    <row r="4417" spans="1:15" hidden="1" x14ac:dyDescent="0.25">
      <c r="A4417" s="10">
        <v>46164</v>
      </c>
      <c r="B4417" s="6" t="s">
        <v>31</v>
      </c>
      <c r="C4417" s="1" t="s">
        <v>32</v>
      </c>
      <c r="D4417" s="3">
        <v>0</v>
      </c>
      <c r="E4417" s="3">
        <v>0</v>
      </c>
      <c r="F4417" s="3">
        <v>0</v>
      </c>
      <c r="G4417" s="3">
        <v>0</v>
      </c>
      <c r="H4417" s="3">
        <v>0</v>
      </c>
      <c r="I4417" s="3">
        <f>E4417+G4417+H4417</f>
        <v>0</v>
      </c>
      <c r="J4417" s="3">
        <f>ROUND(MIN(IF(C4417="Técnico III",35,IF(C4417="Técnico II",28,IF(C4417="Técnico I",23,IF(C4417="JR",20,IF(C4417="Estágio",10,0))))),IF(C4417="Técnico III",SUMIFS($D:$D,$A:$A,$A4417,$B:$B,"&lt;&gt;Patrícia Karla de Sousa Araújo",$B:$B,"&lt;&gt;Lorena Dias de Araujo",$B:$B,"&lt;&gt;Lucas Luiz Romero")*(35/1083),IF(C4417="Técnico II",SUMIFS($D:$D,$A:$A,$A4417,$B:$B,"&lt;&gt;Patrícia Karla de Sousa Araújo",$B:$B,"&lt;&gt;Lorena Dias de Araujo",$B:$B,"&lt;&gt;Lucas Luiz Romero")*(28/1083),IF(C4417="Técnico I",SUMIFS($D:$D,$A:$A,$A4417,$B:$B,"&lt;&gt;Patrícia Karla de Sousa Araújo",$B:$B,"&lt;&gt;Lorena Dias de Araujo",$B:$B,"&lt;&gt;Lucas Luiz Romero")*(23/1083),IF(C4417="JR",SUMIFS($D:$D,$A:$A,$A4417,$B:$B,"&lt;&gt;Patrícia Karla de Sousa Araújo",$B:$B,"&lt;&gt;Lorena Dias de Araujo",$B:$B,"&lt;&gt;Lucas Luiz Romero")*(20/1083),IF(C4417="Estágio",SUMIFS($D:$D,$A:$A,$A4417,$B:$B,"&lt;&gt;Patrícia Karla de Sousa Araújo",$B:$B,"&lt;&gt;Lorena Dias de Araujo",$B:$B,"&lt;&gt;Lucas Luiz Romero")*(10/1083),0)))))),0)</f>
        <v>19</v>
      </c>
      <c r="K4417" s="3">
        <f>I4417-J4417</f>
        <v>-19</v>
      </c>
      <c r="L4417" s="3" t="str">
        <f>IF(K4417&lt;-5,"CRÍTICO",IF(K4417&lt;0,"ATENÇÃO",IF(K4417&lt;=5,"OPORTUNO","MUITO BOM")))</f>
        <v>CRÍTICO</v>
      </c>
      <c r="M4417" s="3">
        <v>0</v>
      </c>
      <c r="N4417" s="3">
        <v>100</v>
      </c>
      <c r="O4417" s="3">
        <v>0</v>
      </c>
    </row>
    <row r="4418" spans="1:15" hidden="1" x14ac:dyDescent="0.25">
      <c r="A4418" s="10">
        <v>46164</v>
      </c>
      <c r="B4418" s="6" t="s">
        <v>33</v>
      </c>
      <c r="C4418" s="1" t="s">
        <v>32</v>
      </c>
      <c r="D4418" s="3">
        <v>20</v>
      </c>
      <c r="E4418" s="3">
        <v>20</v>
      </c>
      <c r="F4418" s="3">
        <v>20.440000000000001</v>
      </c>
      <c r="G4418" s="3">
        <v>3</v>
      </c>
      <c r="H4418" s="3">
        <v>0</v>
      </c>
      <c r="I4418" s="3">
        <f>E4418+G4418+H4418</f>
        <v>23</v>
      </c>
      <c r="J4418" s="3">
        <f>ROUND(MIN(IF(C4418="Técnico III",35,IF(C4418="Técnico II",28,IF(C4418="Técnico I",23,IF(C4418="JR",20,IF(C4418="Estágio",10,0))))),IF(C4418="Técnico III",SUMIFS($D:$D,$A:$A,$A4418,$B:$B,"&lt;&gt;Patrícia Karla de Sousa Araújo",$B:$B,"&lt;&gt;Lorena Dias de Araujo",$B:$B,"&lt;&gt;Lucas Luiz Romero")*(35/1083),IF(C4418="Técnico II",SUMIFS($D:$D,$A:$A,$A4418,$B:$B,"&lt;&gt;Patrícia Karla de Sousa Araújo",$B:$B,"&lt;&gt;Lorena Dias de Araujo",$B:$B,"&lt;&gt;Lucas Luiz Romero")*(28/1083),IF(C4418="Técnico I",SUMIFS($D:$D,$A:$A,$A4418,$B:$B,"&lt;&gt;Patrícia Karla de Sousa Araújo",$B:$B,"&lt;&gt;Lorena Dias de Araujo",$B:$B,"&lt;&gt;Lucas Luiz Romero")*(23/1083),IF(C4418="JR",SUMIFS($D:$D,$A:$A,$A4418,$B:$B,"&lt;&gt;Patrícia Karla de Sousa Araújo",$B:$B,"&lt;&gt;Lorena Dias de Araujo",$B:$B,"&lt;&gt;Lucas Luiz Romero")*(20/1083),IF(C4418="Estágio",SUMIFS($D:$D,$A:$A,$A4418,$B:$B,"&lt;&gt;Patrícia Karla de Sousa Araújo",$B:$B,"&lt;&gt;Lorena Dias de Araujo",$B:$B,"&lt;&gt;Lucas Luiz Romero")*(10/1083),0)))))),0)</f>
        <v>19</v>
      </c>
      <c r="K4418" s="3">
        <f>I4418-J4418</f>
        <v>4</v>
      </c>
      <c r="L4418" s="3" t="str">
        <f>IF(K4418&lt;-5,"CRÍTICO",IF(K4418&lt;0,"ATENÇÃO",IF(K4418&lt;=5,"OPORTUNO","MUITO BOM")))</f>
        <v>OPORTUNO</v>
      </c>
      <c r="M4418" s="3">
        <v>16</v>
      </c>
      <c r="N4418" s="3">
        <v>96.94</v>
      </c>
      <c r="O4418" s="3">
        <v>19.613259668508292</v>
      </c>
    </row>
    <row r="4419" spans="1:15" hidden="1" x14ac:dyDescent="0.25">
      <c r="A4419" s="10">
        <v>46164</v>
      </c>
      <c r="B4419" s="6" t="s">
        <v>34</v>
      </c>
      <c r="C4419" s="1" t="s">
        <v>32</v>
      </c>
      <c r="D4419" s="3">
        <v>25</v>
      </c>
      <c r="E4419" s="3">
        <v>24</v>
      </c>
      <c r="F4419" s="3">
        <v>15.42</v>
      </c>
      <c r="G4419" s="3">
        <v>0</v>
      </c>
      <c r="H4419" s="3">
        <v>0</v>
      </c>
      <c r="I4419" s="3">
        <f>E4419+G4419+H4419</f>
        <v>24</v>
      </c>
      <c r="J4419" s="3">
        <f>ROUND(MIN(IF(C4419="Técnico III",35,IF(C4419="Técnico II",28,IF(C4419="Técnico I",23,IF(C4419="JR",20,IF(C4419="Estágio",10,0))))),IF(C4419="Técnico III",SUMIFS($D:$D,$A:$A,$A4419,$B:$B,"&lt;&gt;Patrícia Karla de Sousa Araújo",$B:$B,"&lt;&gt;Lorena Dias de Araujo",$B:$B,"&lt;&gt;Lucas Luiz Romero")*(35/1083),IF(C4419="Técnico II",SUMIFS($D:$D,$A:$A,$A4419,$B:$B,"&lt;&gt;Patrícia Karla de Sousa Araújo",$B:$B,"&lt;&gt;Lorena Dias de Araujo",$B:$B,"&lt;&gt;Lucas Luiz Romero")*(28/1083),IF(C4419="Técnico I",SUMIFS($D:$D,$A:$A,$A4419,$B:$B,"&lt;&gt;Patrícia Karla de Sousa Araújo",$B:$B,"&lt;&gt;Lorena Dias de Araujo",$B:$B,"&lt;&gt;Lucas Luiz Romero")*(23/1083),IF(C4419="JR",SUMIFS($D:$D,$A:$A,$A4419,$B:$B,"&lt;&gt;Patrícia Karla de Sousa Araújo",$B:$B,"&lt;&gt;Lorena Dias de Araujo",$B:$B,"&lt;&gt;Lucas Luiz Romero")*(20/1083),IF(C4419="Estágio",SUMIFS($D:$D,$A:$A,$A4419,$B:$B,"&lt;&gt;Patrícia Karla de Sousa Araújo",$B:$B,"&lt;&gt;Lorena Dias de Araujo",$B:$B,"&lt;&gt;Lucas Luiz Romero")*(10/1083),0)))))),0)</f>
        <v>19</v>
      </c>
      <c r="K4419" s="3">
        <f>I4419-J4419</f>
        <v>5</v>
      </c>
      <c r="L4419" s="3" t="str">
        <f>IF(K4419&lt;-5,"CRÍTICO",IF(K4419&lt;0,"ATENÇÃO",IF(K4419&lt;=5,"OPORTUNO","MUITO BOM")))</f>
        <v>OPORTUNO</v>
      </c>
      <c r="M4419" s="3">
        <v>22</v>
      </c>
      <c r="N4419" s="3">
        <v>92.81</v>
      </c>
      <c r="O4419" s="3">
        <v>25.477707006369432</v>
      </c>
    </row>
    <row r="4420" spans="1:15" hidden="1" x14ac:dyDescent="0.25">
      <c r="A4420" s="10">
        <v>46164</v>
      </c>
      <c r="B4420" s="6" t="s">
        <v>35</v>
      </c>
      <c r="C4420" s="1" t="s">
        <v>32</v>
      </c>
      <c r="D4420" s="3">
        <v>0</v>
      </c>
      <c r="E4420" s="3">
        <v>0</v>
      </c>
      <c r="F4420" s="3">
        <v>0</v>
      </c>
      <c r="G4420" s="3">
        <v>0</v>
      </c>
      <c r="H4420" s="3">
        <v>0</v>
      </c>
      <c r="I4420" s="3">
        <f>E4420+G4420+H4420</f>
        <v>0</v>
      </c>
      <c r="J4420" s="3">
        <f>ROUND(MIN(IF(C4420="Técnico III",35,IF(C4420="Técnico II",28,IF(C4420="Técnico I",23,IF(C4420="JR",20,IF(C4420="Estágio",10,0))))),IF(C4420="Técnico III",SUMIFS($D:$D,$A:$A,$A4420,$B:$B,"&lt;&gt;Patrícia Karla de Sousa Araújo",$B:$B,"&lt;&gt;Lorena Dias de Araujo",$B:$B,"&lt;&gt;Lucas Luiz Romero")*(35/1083),IF(C4420="Técnico II",SUMIFS($D:$D,$A:$A,$A4420,$B:$B,"&lt;&gt;Patrícia Karla de Sousa Araújo",$B:$B,"&lt;&gt;Lorena Dias de Araujo",$B:$B,"&lt;&gt;Lucas Luiz Romero")*(28/1083),IF(C4420="Técnico I",SUMIFS($D:$D,$A:$A,$A4420,$B:$B,"&lt;&gt;Patrícia Karla de Sousa Araújo",$B:$B,"&lt;&gt;Lorena Dias de Araujo",$B:$B,"&lt;&gt;Lucas Luiz Romero")*(23/1083),IF(C4420="JR",SUMIFS($D:$D,$A:$A,$A4420,$B:$B,"&lt;&gt;Patrícia Karla de Sousa Araújo",$B:$B,"&lt;&gt;Lorena Dias de Araujo",$B:$B,"&lt;&gt;Lucas Luiz Romero")*(20/1083),IF(C4420="Estágio",SUMIFS($D:$D,$A:$A,$A4420,$B:$B,"&lt;&gt;Patrícia Karla de Sousa Araújo",$B:$B,"&lt;&gt;Lorena Dias de Araujo",$B:$B,"&lt;&gt;Lucas Luiz Romero")*(10/1083),0)))))),0)</f>
        <v>19</v>
      </c>
      <c r="K4420" s="3">
        <f>I4420-J4420</f>
        <v>-19</v>
      </c>
      <c r="L4420" s="3" t="str">
        <f>IF(K4420&lt;-5,"CRÍTICO",IF(K4420&lt;0,"ATENÇÃO",IF(K4420&lt;=5,"OPORTUNO","MUITO BOM")))</f>
        <v>CRÍTICO</v>
      </c>
      <c r="M4420" s="3">
        <v>0</v>
      </c>
      <c r="N4420" s="3">
        <v>99.19</v>
      </c>
      <c r="O4420" s="3">
        <v>28.404669260700391</v>
      </c>
    </row>
    <row r="4421" spans="1:15" hidden="1" x14ac:dyDescent="0.25">
      <c r="A4421" s="10">
        <v>46164</v>
      </c>
      <c r="B4421" s="6" t="s">
        <v>36</v>
      </c>
      <c r="C4421" s="1" t="s">
        <v>32</v>
      </c>
      <c r="D4421" s="3">
        <v>12</v>
      </c>
      <c r="E4421" s="3">
        <v>11</v>
      </c>
      <c r="F4421" s="3">
        <v>12.15</v>
      </c>
      <c r="G4421" s="3">
        <v>1</v>
      </c>
      <c r="H4421" s="3">
        <v>0</v>
      </c>
      <c r="I4421" s="3">
        <f>E4421+G4421+H4421</f>
        <v>12</v>
      </c>
      <c r="J4421" s="3">
        <f>ROUND(MIN(IF(C4421="Técnico III",35,IF(C4421="Técnico II",28,IF(C4421="Técnico I",23,IF(C4421="JR",20,IF(C4421="Estágio",10,0))))),IF(C4421="Técnico III",SUMIFS($D:$D,$A:$A,$A4421,$B:$B,"&lt;&gt;Patrícia Karla de Sousa Araújo",$B:$B,"&lt;&gt;Lorena Dias de Araujo",$B:$B,"&lt;&gt;Lucas Luiz Romero")*(35/1083),IF(C4421="Técnico II",SUMIFS($D:$D,$A:$A,$A4421,$B:$B,"&lt;&gt;Patrícia Karla de Sousa Araújo",$B:$B,"&lt;&gt;Lorena Dias de Araujo",$B:$B,"&lt;&gt;Lucas Luiz Romero")*(28/1083),IF(C4421="Técnico I",SUMIFS($D:$D,$A:$A,$A4421,$B:$B,"&lt;&gt;Patrícia Karla de Sousa Araújo",$B:$B,"&lt;&gt;Lorena Dias de Araujo",$B:$B,"&lt;&gt;Lucas Luiz Romero")*(23/1083),IF(C4421="JR",SUMIFS($D:$D,$A:$A,$A4421,$B:$B,"&lt;&gt;Patrícia Karla de Sousa Araújo",$B:$B,"&lt;&gt;Lorena Dias de Araujo",$B:$B,"&lt;&gt;Lucas Luiz Romero")*(20/1083),IF(C4421="Estágio",SUMIFS($D:$D,$A:$A,$A4421,$B:$B,"&lt;&gt;Patrícia Karla de Sousa Araújo",$B:$B,"&lt;&gt;Lorena Dias de Araujo",$B:$B,"&lt;&gt;Lucas Luiz Romero")*(10/1083),0)))))),0)</f>
        <v>19</v>
      </c>
      <c r="K4421" s="3">
        <f>I4421-J4421</f>
        <v>-7</v>
      </c>
      <c r="L4421" s="3" t="str">
        <f>IF(K4421&lt;-5,"CRÍTICO",IF(K4421&lt;0,"ATENÇÃO",IF(K4421&lt;=5,"OPORTUNO","MUITO BOM")))</f>
        <v>CRÍTICO</v>
      </c>
      <c r="M4421" s="3">
        <v>10</v>
      </c>
      <c r="N4421" s="3">
        <v>100</v>
      </c>
      <c r="O4421" s="3">
        <v>13.51351351351351</v>
      </c>
    </row>
    <row r="4422" spans="1:15" hidden="1" x14ac:dyDescent="0.25">
      <c r="A4422" s="10">
        <v>46164</v>
      </c>
      <c r="B4422" s="6" t="s">
        <v>37</v>
      </c>
      <c r="C4422" s="1" t="s">
        <v>32</v>
      </c>
      <c r="D4422" s="3">
        <v>28</v>
      </c>
      <c r="E4422" s="3">
        <v>26</v>
      </c>
      <c r="F4422" s="3">
        <v>12.35</v>
      </c>
      <c r="G4422" s="3">
        <v>5</v>
      </c>
      <c r="H4422" s="3">
        <v>0</v>
      </c>
      <c r="I4422" s="3">
        <f>E4422+G4422+H4422</f>
        <v>31</v>
      </c>
      <c r="J4422" s="3">
        <f>ROUND(MIN(IF(C4422="Técnico III",35,IF(C4422="Técnico II",28,IF(C4422="Técnico I",23,IF(C4422="JR",20,IF(C4422="Estágio",10,0))))),IF(C4422="Técnico III",SUMIFS($D:$D,$A:$A,$A4422,$B:$B,"&lt;&gt;Patrícia Karla de Sousa Araújo",$B:$B,"&lt;&gt;Lorena Dias de Araujo",$B:$B,"&lt;&gt;Lucas Luiz Romero")*(35/1083),IF(C4422="Técnico II",SUMIFS($D:$D,$A:$A,$A4422,$B:$B,"&lt;&gt;Patrícia Karla de Sousa Araújo",$B:$B,"&lt;&gt;Lorena Dias de Araujo",$B:$B,"&lt;&gt;Lucas Luiz Romero")*(28/1083),IF(C4422="Técnico I",SUMIFS($D:$D,$A:$A,$A4422,$B:$B,"&lt;&gt;Patrícia Karla de Sousa Araújo",$B:$B,"&lt;&gt;Lorena Dias de Araujo",$B:$B,"&lt;&gt;Lucas Luiz Romero")*(23/1083),IF(C4422="JR",SUMIFS($D:$D,$A:$A,$A4422,$B:$B,"&lt;&gt;Patrícia Karla de Sousa Araújo",$B:$B,"&lt;&gt;Lorena Dias de Araujo",$B:$B,"&lt;&gt;Lucas Luiz Romero")*(20/1083),IF(C4422="Estágio",SUMIFS($D:$D,$A:$A,$A4422,$B:$B,"&lt;&gt;Patrícia Karla de Sousa Araújo",$B:$B,"&lt;&gt;Lorena Dias de Araujo",$B:$B,"&lt;&gt;Lucas Luiz Romero")*(10/1083),0)))))),0)</f>
        <v>19</v>
      </c>
      <c r="K4422" s="3">
        <f>I4422-J4422</f>
        <v>12</v>
      </c>
      <c r="L4422" s="3" t="str">
        <f>IF(K4422&lt;-5,"CRÍTICO",IF(K4422&lt;0,"ATENÇÃO",IF(K4422&lt;=5,"OPORTUNO","MUITO BOM")))</f>
        <v>MUITO BOM</v>
      </c>
      <c r="M4422" s="3">
        <v>23</v>
      </c>
      <c r="N4422" s="3">
        <v>99</v>
      </c>
      <c r="O4422" s="3">
        <v>22.27414330218069</v>
      </c>
    </row>
    <row r="4423" spans="1:15" hidden="1" x14ac:dyDescent="0.25">
      <c r="A4423" s="10">
        <v>46164</v>
      </c>
      <c r="B4423" s="6" t="s">
        <v>38</v>
      </c>
      <c r="C4423" s="1" t="s">
        <v>32</v>
      </c>
      <c r="D4423" s="3">
        <v>14</v>
      </c>
      <c r="E4423" s="3">
        <v>14</v>
      </c>
      <c r="F4423" s="3">
        <v>21.55</v>
      </c>
      <c r="G4423" s="3">
        <v>0</v>
      </c>
      <c r="H4423" s="3">
        <v>0</v>
      </c>
      <c r="I4423" s="3">
        <f>E4423+G4423+H4423</f>
        <v>14</v>
      </c>
      <c r="J4423" s="3">
        <f>ROUND(MIN(IF(C4423="Técnico III",35,IF(C4423="Técnico II",28,IF(C4423="Técnico I",23,IF(C4423="JR",20,IF(C4423="Estágio",10,0))))),IF(C4423="Técnico III",SUMIFS($D:$D,$A:$A,$A4423,$B:$B,"&lt;&gt;Patrícia Karla de Sousa Araújo",$B:$B,"&lt;&gt;Lorena Dias de Araujo",$B:$B,"&lt;&gt;Lucas Luiz Romero")*(35/1083),IF(C4423="Técnico II",SUMIFS($D:$D,$A:$A,$A4423,$B:$B,"&lt;&gt;Patrícia Karla de Sousa Araújo",$B:$B,"&lt;&gt;Lorena Dias de Araujo",$B:$B,"&lt;&gt;Lucas Luiz Romero")*(28/1083),IF(C4423="Técnico I",SUMIFS($D:$D,$A:$A,$A4423,$B:$B,"&lt;&gt;Patrícia Karla de Sousa Araújo",$B:$B,"&lt;&gt;Lorena Dias de Araujo",$B:$B,"&lt;&gt;Lucas Luiz Romero")*(23/1083),IF(C4423="JR",SUMIFS($D:$D,$A:$A,$A4423,$B:$B,"&lt;&gt;Patrícia Karla de Sousa Araújo",$B:$B,"&lt;&gt;Lorena Dias de Araujo",$B:$B,"&lt;&gt;Lucas Luiz Romero")*(20/1083),IF(C4423="Estágio",SUMIFS($D:$D,$A:$A,$A4423,$B:$B,"&lt;&gt;Patrícia Karla de Sousa Araújo",$B:$B,"&lt;&gt;Lorena Dias de Araujo",$B:$B,"&lt;&gt;Lucas Luiz Romero")*(10/1083),0)))))),0)</f>
        <v>19</v>
      </c>
      <c r="K4423" s="3">
        <f>I4423-J4423</f>
        <v>-5</v>
      </c>
      <c r="L4423" s="3" t="str">
        <f>IF(K4423&lt;-5,"CRÍTICO",IF(K4423&lt;0,"ATENÇÃO",IF(K4423&lt;=5,"OPORTUNO","MUITO BOM")))</f>
        <v>ATENÇÃO</v>
      </c>
      <c r="M4423" s="3">
        <v>14</v>
      </c>
      <c r="N4423" s="3">
        <v>97.04</v>
      </c>
      <c r="O4423" s="3">
        <v>29.828850855745721</v>
      </c>
    </row>
    <row r="4424" spans="1:15" hidden="1" x14ac:dyDescent="0.25">
      <c r="A4424" s="10">
        <v>46164</v>
      </c>
      <c r="B4424" s="6" t="s">
        <v>39</v>
      </c>
      <c r="C4424" s="1" t="s">
        <v>32</v>
      </c>
      <c r="D4424" s="3">
        <v>0</v>
      </c>
      <c r="E4424" s="3">
        <v>0</v>
      </c>
      <c r="F4424" s="3">
        <v>0</v>
      </c>
      <c r="G4424" s="3">
        <v>0</v>
      </c>
      <c r="H4424" s="3">
        <v>0</v>
      </c>
      <c r="I4424" s="3">
        <f>E4424+G4424+H4424</f>
        <v>0</v>
      </c>
      <c r="J4424" s="3">
        <f>ROUND(MIN(IF(C4424="Técnico III",35,IF(C4424="Técnico II",28,IF(C4424="Técnico I",23,IF(C4424="JR",20,IF(C4424="Estágio",10,0))))),IF(C4424="Técnico III",SUMIFS($D:$D,$A:$A,$A4424,$B:$B,"&lt;&gt;Patrícia Karla de Sousa Araújo",$B:$B,"&lt;&gt;Lorena Dias de Araujo",$B:$B,"&lt;&gt;Lucas Luiz Romero")*(35/1083),IF(C4424="Técnico II",SUMIFS($D:$D,$A:$A,$A4424,$B:$B,"&lt;&gt;Patrícia Karla de Sousa Araújo",$B:$B,"&lt;&gt;Lorena Dias de Araujo",$B:$B,"&lt;&gt;Lucas Luiz Romero")*(28/1083),IF(C4424="Técnico I",SUMIFS($D:$D,$A:$A,$A4424,$B:$B,"&lt;&gt;Patrícia Karla de Sousa Araújo",$B:$B,"&lt;&gt;Lorena Dias de Araujo",$B:$B,"&lt;&gt;Lucas Luiz Romero")*(23/1083),IF(C4424="JR",SUMIFS($D:$D,$A:$A,$A4424,$B:$B,"&lt;&gt;Patrícia Karla de Sousa Araújo",$B:$B,"&lt;&gt;Lorena Dias de Araujo",$B:$B,"&lt;&gt;Lucas Luiz Romero")*(20/1083),IF(C4424="Estágio",SUMIFS($D:$D,$A:$A,$A4424,$B:$B,"&lt;&gt;Patrícia Karla de Sousa Araújo",$B:$B,"&lt;&gt;Lorena Dias de Araujo",$B:$B,"&lt;&gt;Lucas Luiz Romero")*(10/1083),0)))))),0)</f>
        <v>19</v>
      </c>
      <c r="K4424" s="3">
        <f>I4424-J4424</f>
        <v>-19</v>
      </c>
      <c r="L4424" s="3" t="str">
        <f>IF(K4424&lt;-5,"CRÍTICO",IF(K4424&lt;0,"ATENÇÃO",IF(K4424&lt;=5,"OPORTUNO","MUITO BOM")))</f>
        <v>CRÍTICO</v>
      </c>
      <c r="M4424" s="3">
        <v>0</v>
      </c>
      <c r="N4424" s="3">
        <v>0</v>
      </c>
      <c r="O4424" s="3">
        <v>0</v>
      </c>
    </row>
    <row r="4425" spans="1:15" hidden="1" x14ac:dyDescent="0.25">
      <c r="A4425" s="10">
        <v>46164</v>
      </c>
      <c r="B4425" s="6" t="s">
        <v>40</v>
      </c>
      <c r="C4425" s="1" t="s">
        <v>32</v>
      </c>
      <c r="D4425" s="3">
        <v>19</v>
      </c>
      <c r="E4425" s="3">
        <v>19</v>
      </c>
      <c r="F4425" s="3">
        <v>16.57</v>
      </c>
      <c r="G4425" s="3">
        <v>0</v>
      </c>
      <c r="H4425" s="3">
        <v>0</v>
      </c>
      <c r="I4425" s="3">
        <f>E4425+G4425+H4425</f>
        <v>19</v>
      </c>
      <c r="J4425" s="3">
        <f>ROUND(MIN(IF(C4425="Técnico III",35,IF(C4425="Técnico II",28,IF(C4425="Técnico I",23,IF(C4425="JR",20,IF(C4425="Estágio",10,0))))),IF(C4425="Técnico III",SUMIFS($D:$D,$A:$A,$A4425,$B:$B,"&lt;&gt;Patrícia Karla de Sousa Araújo",$B:$B,"&lt;&gt;Lorena Dias de Araujo",$B:$B,"&lt;&gt;Lucas Luiz Romero")*(35/1083),IF(C4425="Técnico II",SUMIFS($D:$D,$A:$A,$A4425,$B:$B,"&lt;&gt;Patrícia Karla de Sousa Araújo",$B:$B,"&lt;&gt;Lorena Dias de Araujo",$B:$B,"&lt;&gt;Lucas Luiz Romero")*(28/1083),IF(C4425="Técnico I",SUMIFS($D:$D,$A:$A,$A4425,$B:$B,"&lt;&gt;Patrícia Karla de Sousa Araújo",$B:$B,"&lt;&gt;Lorena Dias de Araujo",$B:$B,"&lt;&gt;Lucas Luiz Romero")*(23/1083),IF(C4425="JR",SUMIFS($D:$D,$A:$A,$A4425,$B:$B,"&lt;&gt;Patrícia Karla de Sousa Araújo",$B:$B,"&lt;&gt;Lorena Dias de Araujo",$B:$B,"&lt;&gt;Lucas Luiz Romero")*(20/1083),IF(C4425="Estágio",SUMIFS($D:$D,$A:$A,$A4425,$B:$B,"&lt;&gt;Patrícia Karla de Sousa Araújo",$B:$B,"&lt;&gt;Lorena Dias de Araujo",$B:$B,"&lt;&gt;Lucas Luiz Romero")*(10/1083),0)))))),0)</f>
        <v>19</v>
      </c>
      <c r="K4425" s="3">
        <f>I4425-J4425</f>
        <v>0</v>
      </c>
      <c r="L4425" s="3" t="str">
        <f>IF(K4425&lt;-5,"CRÍTICO",IF(K4425&lt;0,"ATENÇÃO",IF(K4425&lt;=5,"OPORTUNO","MUITO BOM")))</f>
        <v>OPORTUNO</v>
      </c>
      <c r="M4425" s="3">
        <v>21</v>
      </c>
      <c r="N4425" s="3">
        <v>96.84</v>
      </c>
      <c r="O4425" s="3">
        <v>16.338028169014081</v>
      </c>
    </row>
    <row r="4426" spans="1:15" hidden="1" x14ac:dyDescent="0.25">
      <c r="A4426" s="10">
        <v>46164</v>
      </c>
      <c r="B4426" s="6" t="s">
        <v>41</v>
      </c>
      <c r="C4426" s="1" t="s">
        <v>32</v>
      </c>
      <c r="D4426" s="3">
        <v>21</v>
      </c>
      <c r="E4426" s="3">
        <v>20</v>
      </c>
      <c r="F4426" s="3">
        <v>16.59</v>
      </c>
      <c r="G4426" s="3">
        <v>0</v>
      </c>
      <c r="H4426" s="3">
        <v>0</v>
      </c>
      <c r="I4426" s="3">
        <f>E4426+G4426+H4426</f>
        <v>20</v>
      </c>
      <c r="J4426" s="3">
        <f>ROUND(MIN(IF(C4426="Técnico III",35,IF(C4426="Técnico II",28,IF(C4426="Técnico I",23,IF(C4426="JR",20,IF(C4426="Estágio",10,0))))),IF(C4426="Técnico III",SUMIFS($D:$D,$A:$A,$A4426,$B:$B,"&lt;&gt;Patrícia Karla de Sousa Araújo",$B:$B,"&lt;&gt;Lorena Dias de Araujo",$B:$B,"&lt;&gt;Lucas Luiz Romero")*(35/1083),IF(C4426="Técnico II",SUMIFS($D:$D,$A:$A,$A4426,$B:$B,"&lt;&gt;Patrícia Karla de Sousa Araújo",$B:$B,"&lt;&gt;Lorena Dias de Araujo",$B:$B,"&lt;&gt;Lucas Luiz Romero")*(28/1083),IF(C4426="Técnico I",SUMIFS($D:$D,$A:$A,$A4426,$B:$B,"&lt;&gt;Patrícia Karla de Sousa Araújo",$B:$B,"&lt;&gt;Lorena Dias de Araujo",$B:$B,"&lt;&gt;Lucas Luiz Romero")*(23/1083),IF(C4426="JR",SUMIFS($D:$D,$A:$A,$A4426,$B:$B,"&lt;&gt;Patrícia Karla de Sousa Araújo",$B:$B,"&lt;&gt;Lorena Dias de Araujo",$B:$B,"&lt;&gt;Lucas Luiz Romero")*(20/1083),IF(C4426="Estágio",SUMIFS($D:$D,$A:$A,$A4426,$B:$B,"&lt;&gt;Patrícia Karla de Sousa Araújo",$B:$B,"&lt;&gt;Lorena Dias de Araujo",$B:$B,"&lt;&gt;Lucas Luiz Romero")*(10/1083),0)))))),0)</f>
        <v>19</v>
      </c>
      <c r="K4426" s="3">
        <f>I4426-J4426</f>
        <v>1</v>
      </c>
      <c r="L4426" s="3" t="str">
        <f>IF(K4426&lt;-5,"CRÍTICO",IF(K4426&lt;0,"ATENÇÃO",IF(K4426&lt;=5,"OPORTUNO","MUITO BOM")))</f>
        <v>OPORTUNO</v>
      </c>
      <c r="M4426" s="3">
        <v>20</v>
      </c>
      <c r="N4426" s="3">
        <v>100</v>
      </c>
      <c r="O4426" s="3">
        <v>18.244803695150122</v>
      </c>
    </row>
    <row r="4427" spans="1:15" hidden="1" x14ac:dyDescent="0.25">
      <c r="A4427" s="10">
        <v>46164</v>
      </c>
      <c r="B4427" s="6" t="s">
        <v>42</v>
      </c>
      <c r="C4427" s="1" t="s">
        <v>32</v>
      </c>
      <c r="D4427" s="3">
        <v>26</v>
      </c>
      <c r="E4427" s="3">
        <v>19</v>
      </c>
      <c r="F4427" s="3">
        <v>12.11</v>
      </c>
      <c r="G4427" s="3">
        <v>0</v>
      </c>
      <c r="H4427" s="3">
        <v>0</v>
      </c>
      <c r="I4427" s="3">
        <f>E4427+G4427+H4427</f>
        <v>19</v>
      </c>
      <c r="J4427" s="3">
        <f>ROUND(MIN(IF(C4427="Técnico III",35,IF(C4427="Técnico II",28,IF(C4427="Técnico I",23,IF(C4427="JR",20,IF(C4427="Estágio",10,0))))),IF(C4427="Técnico III",SUMIFS($D:$D,$A:$A,$A4427,$B:$B,"&lt;&gt;Patrícia Karla de Sousa Araújo",$B:$B,"&lt;&gt;Lorena Dias de Araujo",$B:$B,"&lt;&gt;Lucas Luiz Romero")*(35/1083),IF(C4427="Técnico II",SUMIFS($D:$D,$A:$A,$A4427,$B:$B,"&lt;&gt;Patrícia Karla de Sousa Araújo",$B:$B,"&lt;&gt;Lorena Dias de Araujo",$B:$B,"&lt;&gt;Lucas Luiz Romero")*(28/1083),IF(C4427="Técnico I",SUMIFS($D:$D,$A:$A,$A4427,$B:$B,"&lt;&gt;Patrícia Karla de Sousa Araújo",$B:$B,"&lt;&gt;Lorena Dias de Araujo",$B:$B,"&lt;&gt;Lucas Luiz Romero")*(23/1083),IF(C4427="JR",SUMIFS($D:$D,$A:$A,$A4427,$B:$B,"&lt;&gt;Patrícia Karla de Sousa Araújo",$B:$B,"&lt;&gt;Lorena Dias de Araujo",$B:$B,"&lt;&gt;Lucas Luiz Romero")*(20/1083),IF(C4427="Estágio",SUMIFS($D:$D,$A:$A,$A4427,$B:$B,"&lt;&gt;Patrícia Karla de Sousa Araújo",$B:$B,"&lt;&gt;Lorena Dias de Araujo",$B:$B,"&lt;&gt;Lucas Luiz Romero")*(10/1083),0)))))),0)</f>
        <v>19</v>
      </c>
      <c r="K4427" s="3">
        <f>I4427-J4427</f>
        <v>0</v>
      </c>
      <c r="L4427" s="3" t="str">
        <f>IF(K4427&lt;-5,"CRÍTICO",IF(K4427&lt;0,"ATENÇÃO",IF(K4427&lt;=5,"OPORTUNO","MUITO BOM")))</f>
        <v>OPORTUNO</v>
      </c>
      <c r="M4427" s="3">
        <v>15</v>
      </c>
      <c r="N4427" s="3">
        <v>100</v>
      </c>
      <c r="O4427" s="3">
        <v>15.789473684210529</v>
      </c>
    </row>
    <row r="4428" spans="1:15" x14ac:dyDescent="0.25">
      <c r="A4428" s="10">
        <v>46164</v>
      </c>
      <c r="B4428" s="6" t="s">
        <v>43</v>
      </c>
      <c r="C4428" s="1" t="s">
        <v>32</v>
      </c>
      <c r="D4428" s="3">
        <v>0</v>
      </c>
      <c r="E4428" s="3">
        <v>0</v>
      </c>
      <c r="F4428" s="3">
        <v>0</v>
      </c>
      <c r="G4428" s="3">
        <v>0</v>
      </c>
      <c r="H4428" s="3">
        <v>25</v>
      </c>
      <c r="I4428" s="3">
        <f>E4428+G4428+H4428</f>
        <v>25</v>
      </c>
      <c r="J4428" s="3">
        <f>ROUND(MIN(IF(C4428="Técnico III",35,IF(C4428="Técnico II",28,IF(C4428="Técnico I",23,IF(C4428="JR",20,IF(C4428="Estágio",10,0))))),IF(C4428="Técnico III",SUMIFS($D:$D,$A:$A,$A4428,$B:$B,"&lt;&gt;Patrícia Karla de Sousa Araújo",$B:$B,"&lt;&gt;Lorena Dias de Araujo",$B:$B,"&lt;&gt;Lucas Luiz Romero")*(35/1083),IF(C4428="Técnico II",SUMIFS($D:$D,$A:$A,$A4428,$B:$B,"&lt;&gt;Patrícia Karla de Sousa Araújo",$B:$B,"&lt;&gt;Lorena Dias de Araujo",$B:$B,"&lt;&gt;Lucas Luiz Romero")*(28/1083),IF(C4428="Técnico I",SUMIFS($D:$D,$A:$A,$A4428,$B:$B,"&lt;&gt;Patrícia Karla de Sousa Araújo",$B:$B,"&lt;&gt;Lorena Dias de Araujo",$B:$B,"&lt;&gt;Lucas Luiz Romero")*(23/1083),IF(C4428="JR",SUMIFS($D:$D,$A:$A,$A4428,$B:$B,"&lt;&gt;Patrícia Karla de Sousa Araújo",$B:$B,"&lt;&gt;Lorena Dias de Araujo",$B:$B,"&lt;&gt;Lucas Luiz Romero")*(20/1083),IF(C4428="Estágio",SUMIFS($D:$D,$A:$A,$A4428,$B:$B,"&lt;&gt;Patrícia Karla de Sousa Araújo",$B:$B,"&lt;&gt;Lorena Dias de Araujo",$B:$B,"&lt;&gt;Lucas Luiz Romero")*(10/1083),0)))))),0)</f>
        <v>19</v>
      </c>
      <c r="K4428" s="3">
        <f>I4428-J4428</f>
        <v>6</v>
      </c>
      <c r="L4428" s="3" t="str">
        <f>IF(K4428&lt;-5,"CRÍTICO",IF(K4428&lt;0,"ATENÇÃO",IF(K4428&lt;=5,"OPORTUNO","MUITO BOM")))</f>
        <v>MUITO BOM</v>
      </c>
      <c r="M4428" s="3">
        <v>3</v>
      </c>
      <c r="N4428" s="3">
        <v>98.39</v>
      </c>
      <c r="O4428" s="3">
        <v>8.7999999999999989</v>
      </c>
    </row>
    <row r="4429" spans="1:15" hidden="1" x14ac:dyDescent="0.25">
      <c r="A4429" s="10">
        <v>46164</v>
      </c>
      <c r="B4429" s="6" t="s">
        <v>44</v>
      </c>
      <c r="C4429" s="1" t="s">
        <v>32</v>
      </c>
      <c r="D4429" s="3">
        <v>23</v>
      </c>
      <c r="E4429" s="3">
        <v>20</v>
      </c>
      <c r="F4429" s="3">
        <v>13.5</v>
      </c>
      <c r="G4429" s="3">
        <v>5</v>
      </c>
      <c r="H4429" s="3">
        <v>0</v>
      </c>
      <c r="I4429" s="3">
        <f>E4429+G4429+H4429</f>
        <v>25</v>
      </c>
      <c r="J4429" s="3">
        <f>ROUND(MIN(IF(C4429="Técnico III",35,IF(C4429="Técnico II",28,IF(C4429="Técnico I",23,IF(C4429="JR",20,IF(C4429="Estágio",10,0))))),IF(C4429="Técnico III",SUMIFS($D:$D,$A:$A,$A4429,$B:$B,"&lt;&gt;Patrícia Karla de Sousa Araújo",$B:$B,"&lt;&gt;Lorena Dias de Araujo",$B:$B,"&lt;&gt;Lucas Luiz Romero")*(35/1083),IF(C4429="Técnico II",SUMIFS($D:$D,$A:$A,$A4429,$B:$B,"&lt;&gt;Patrícia Karla de Sousa Araújo",$B:$B,"&lt;&gt;Lorena Dias de Araujo",$B:$B,"&lt;&gt;Lucas Luiz Romero")*(28/1083),IF(C4429="Técnico I",SUMIFS($D:$D,$A:$A,$A4429,$B:$B,"&lt;&gt;Patrícia Karla de Sousa Araújo",$B:$B,"&lt;&gt;Lorena Dias de Araujo",$B:$B,"&lt;&gt;Lucas Luiz Romero")*(23/1083),IF(C4429="JR",SUMIFS($D:$D,$A:$A,$A4429,$B:$B,"&lt;&gt;Patrícia Karla de Sousa Araújo",$B:$B,"&lt;&gt;Lorena Dias de Araujo",$B:$B,"&lt;&gt;Lucas Luiz Romero")*(20/1083),IF(C4429="Estágio",SUMIFS($D:$D,$A:$A,$A4429,$B:$B,"&lt;&gt;Patrícia Karla de Sousa Araújo",$B:$B,"&lt;&gt;Lorena Dias de Araujo",$B:$B,"&lt;&gt;Lucas Luiz Romero")*(10/1083),0)))))),0)</f>
        <v>19</v>
      </c>
      <c r="K4429" s="3">
        <f>I4429-J4429</f>
        <v>6</v>
      </c>
      <c r="L4429" s="3" t="str">
        <f>IF(K4429&lt;-5,"CRÍTICO",IF(K4429&lt;0,"ATENÇÃO",IF(K4429&lt;=5,"OPORTUNO","MUITO BOM")))</f>
        <v>MUITO BOM</v>
      </c>
      <c r="M4429" s="3">
        <v>16</v>
      </c>
      <c r="N4429" s="3">
        <v>96.38</v>
      </c>
      <c r="O4429" s="3">
        <v>23.198198198198199</v>
      </c>
    </row>
    <row r="4430" spans="1:15" hidden="1" x14ac:dyDescent="0.25">
      <c r="A4430" s="10">
        <v>46164</v>
      </c>
      <c r="B4430" s="6" t="s">
        <v>45</v>
      </c>
      <c r="C4430" s="1" t="s">
        <v>32</v>
      </c>
      <c r="D4430" s="3">
        <v>25</v>
      </c>
      <c r="E4430" s="3">
        <v>22</v>
      </c>
      <c r="F4430" s="3">
        <v>13.32</v>
      </c>
      <c r="G4430" s="3">
        <v>0</v>
      </c>
      <c r="H4430" s="3">
        <v>0</v>
      </c>
      <c r="I4430" s="3">
        <f>E4430+G4430+H4430</f>
        <v>22</v>
      </c>
      <c r="J4430" s="3">
        <f>ROUND(MIN(IF(C4430="Técnico III",35,IF(C4430="Técnico II",28,IF(C4430="Técnico I",23,IF(C4430="JR",20,IF(C4430="Estágio",10,0))))),IF(C4430="Técnico III",SUMIFS($D:$D,$A:$A,$A4430,$B:$B,"&lt;&gt;Patrícia Karla de Sousa Araújo",$B:$B,"&lt;&gt;Lorena Dias de Araujo",$B:$B,"&lt;&gt;Lucas Luiz Romero")*(35/1083),IF(C4430="Técnico II",SUMIFS($D:$D,$A:$A,$A4430,$B:$B,"&lt;&gt;Patrícia Karla de Sousa Araújo",$B:$B,"&lt;&gt;Lorena Dias de Araujo",$B:$B,"&lt;&gt;Lucas Luiz Romero")*(28/1083),IF(C4430="Técnico I",SUMIFS($D:$D,$A:$A,$A4430,$B:$B,"&lt;&gt;Patrícia Karla de Sousa Araújo",$B:$B,"&lt;&gt;Lorena Dias de Araujo",$B:$B,"&lt;&gt;Lucas Luiz Romero")*(23/1083),IF(C4430="JR",SUMIFS($D:$D,$A:$A,$A4430,$B:$B,"&lt;&gt;Patrícia Karla de Sousa Araújo",$B:$B,"&lt;&gt;Lorena Dias de Araujo",$B:$B,"&lt;&gt;Lucas Luiz Romero")*(20/1083),IF(C4430="Estágio",SUMIFS($D:$D,$A:$A,$A4430,$B:$B,"&lt;&gt;Patrícia Karla de Sousa Araújo",$B:$B,"&lt;&gt;Lorena Dias de Araujo",$B:$B,"&lt;&gt;Lucas Luiz Romero")*(10/1083),0)))))),0)</f>
        <v>19</v>
      </c>
      <c r="K4430" s="3">
        <f>I4430-J4430</f>
        <v>3</v>
      </c>
      <c r="L4430" s="3" t="str">
        <f>IF(K4430&lt;-5,"CRÍTICO",IF(K4430&lt;0,"ATENÇÃO",IF(K4430&lt;=5,"OPORTUNO","MUITO BOM")))</f>
        <v>OPORTUNO</v>
      </c>
      <c r="M4430" s="3">
        <v>18</v>
      </c>
      <c r="N4430" s="3">
        <v>99.39</v>
      </c>
      <c r="O4430" s="3">
        <v>25.203252032520329</v>
      </c>
    </row>
    <row r="4431" spans="1:15" hidden="1" x14ac:dyDescent="0.25">
      <c r="A4431" s="10">
        <v>46164</v>
      </c>
      <c r="B4431" s="6" t="s">
        <v>46</v>
      </c>
      <c r="C4431" s="1" t="s">
        <v>32</v>
      </c>
      <c r="D4431" s="3">
        <v>26</v>
      </c>
      <c r="E4431" s="3">
        <v>22</v>
      </c>
      <c r="F4431" s="3">
        <v>13.4</v>
      </c>
      <c r="G4431" s="3">
        <v>0</v>
      </c>
      <c r="H4431" s="3">
        <v>0</v>
      </c>
      <c r="I4431" s="3">
        <f>E4431+G4431+H4431</f>
        <v>22</v>
      </c>
      <c r="J4431" s="3">
        <f>ROUND(MIN(IF(C4431="Técnico III",35,IF(C4431="Técnico II",28,IF(C4431="Técnico I",23,IF(C4431="JR",20,IF(C4431="Estágio",10,0))))),IF(C4431="Técnico III",SUMIFS($D:$D,$A:$A,$A4431,$B:$B,"&lt;&gt;Patrícia Karla de Sousa Araújo",$B:$B,"&lt;&gt;Lorena Dias de Araujo",$B:$B,"&lt;&gt;Lucas Luiz Romero")*(35/1083),IF(C4431="Técnico II",SUMIFS($D:$D,$A:$A,$A4431,$B:$B,"&lt;&gt;Patrícia Karla de Sousa Araújo",$B:$B,"&lt;&gt;Lorena Dias de Araujo",$B:$B,"&lt;&gt;Lucas Luiz Romero")*(28/1083),IF(C4431="Técnico I",SUMIFS($D:$D,$A:$A,$A4431,$B:$B,"&lt;&gt;Patrícia Karla de Sousa Araújo",$B:$B,"&lt;&gt;Lorena Dias de Araujo",$B:$B,"&lt;&gt;Lucas Luiz Romero")*(23/1083),IF(C4431="JR",SUMIFS($D:$D,$A:$A,$A4431,$B:$B,"&lt;&gt;Patrícia Karla de Sousa Araújo",$B:$B,"&lt;&gt;Lorena Dias de Araujo",$B:$B,"&lt;&gt;Lucas Luiz Romero")*(20/1083),IF(C4431="Estágio",SUMIFS($D:$D,$A:$A,$A4431,$B:$B,"&lt;&gt;Patrícia Karla de Sousa Araújo",$B:$B,"&lt;&gt;Lorena Dias de Araujo",$B:$B,"&lt;&gt;Lucas Luiz Romero")*(10/1083),0)))))),0)</f>
        <v>19</v>
      </c>
      <c r="K4431" s="3">
        <f>I4431-J4431</f>
        <v>3</v>
      </c>
      <c r="L4431" s="3" t="str">
        <f>IF(K4431&lt;-5,"CRÍTICO",IF(K4431&lt;0,"ATENÇÃO",IF(K4431&lt;=5,"OPORTUNO","MUITO BOM")))</f>
        <v>OPORTUNO</v>
      </c>
      <c r="M4431" s="3">
        <v>17</v>
      </c>
      <c r="N4431" s="3">
        <v>97</v>
      </c>
      <c r="O4431" s="3">
        <v>20.325203252032519</v>
      </c>
    </row>
    <row r="4432" spans="1:15" hidden="1" x14ac:dyDescent="0.25">
      <c r="A4432" s="5">
        <v>46164</v>
      </c>
      <c r="B4432" s="6" t="s">
        <v>47</v>
      </c>
      <c r="C4432" s="1" t="s">
        <v>48</v>
      </c>
      <c r="D4432" s="3">
        <v>23</v>
      </c>
      <c r="E4432" s="3">
        <v>15</v>
      </c>
      <c r="F4432" s="3">
        <v>15.08</v>
      </c>
      <c r="G4432" s="3">
        <v>1</v>
      </c>
      <c r="H4432" s="3">
        <v>0</v>
      </c>
      <c r="I4432" s="3">
        <f>E4432+G4432+H4432</f>
        <v>16</v>
      </c>
      <c r="J4432" s="3">
        <f>ROUND(MIN(IF(C4432="Técnico III",35,IF(C4432="Técnico II",28,IF(C4432="Técnico I",23,IF(C4432="JR",20,IF(C4432="Estágio",10,0))))),IF(C4432="Técnico III",SUMIFS($D:$D,$A:$A,$A4432,$B:$B,"&lt;&gt;Patrícia Karla de Sousa Araújo",$B:$B,"&lt;&gt;Lorena Dias de Araujo",$B:$B,"&lt;&gt;Lucas Luiz Romero")*(35/1083),IF(C4432="Técnico II",SUMIFS($D:$D,$A:$A,$A4432,$B:$B,"&lt;&gt;Patrícia Karla de Sousa Araújo",$B:$B,"&lt;&gt;Lorena Dias de Araujo",$B:$B,"&lt;&gt;Lucas Luiz Romero")*(28/1083),IF(C4432="Técnico I",SUMIFS($D:$D,$A:$A,$A4432,$B:$B,"&lt;&gt;Patrícia Karla de Sousa Araújo",$B:$B,"&lt;&gt;Lorena Dias de Araujo",$B:$B,"&lt;&gt;Lucas Luiz Romero")*(23/1083),IF(C4432="JR",SUMIFS($D:$D,$A:$A,$A4432,$B:$B,"&lt;&gt;Patrícia Karla de Sousa Araújo",$B:$B,"&lt;&gt;Lorena Dias de Araujo",$B:$B,"&lt;&gt;Lucas Luiz Romero")*(20/1083),IF(C4432="Estágio",SUMIFS($D:$D,$A:$A,$A4432,$B:$B,"&lt;&gt;Patrícia Karla de Sousa Araújo",$B:$B,"&lt;&gt;Lorena Dias de Araujo",$B:$B,"&lt;&gt;Lucas Luiz Romero")*(10/1083),0)))))),0)</f>
        <v>15</v>
      </c>
      <c r="K4432" s="3">
        <f>I4432-J4432</f>
        <v>1</v>
      </c>
      <c r="L4432" s="3" t="str">
        <f>IF(K4432&lt;-5,"CRÍTICO",IF(K4432&lt;0,"ATENÇÃO",IF(K4432&lt;=5,"OPORTUNO","MUITO BOM")))</f>
        <v>OPORTUNO</v>
      </c>
      <c r="M4432" s="3">
        <v>11</v>
      </c>
      <c r="N4432" s="3">
        <v>99.18</v>
      </c>
      <c r="O4432" s="3">
        <v>24.501424501424498</v>
      </c>
    </row>
    <row r="4433" spans="1:15" hidden="1" x14ac:dyDescent="0.25">
      <c r="A4433" s="10">
        <v>46164</v>
      </c>
      <c r="B4433" s="6" t="s">
        <v>49</v>
      </c>
      <c r="C4433" s="1" t="s">
        <v>48</v>
      </c>
      <c r="D4433" s="3">
        <v>30</v>
      </c>
      <c r="E4433" s="3">
        <v>27</v>
      </c>
      <c r="F4433" s="3">
        <v>9.15</v>
      </c>
      <c r="G4433" s="3">
        <v>6</v>
      </c>
      <c r="H4433" s="3">
        <v>0</v>
      </c>
      <c r="I4433" s="3">
        <f>E4433+G4433+H4433</f>
        <v>33</v>
      </c>
      <c r="J4433" s="3">
        <f>ROUND(MIN(IF(C4433="Técnico III",35,IF(C4433="Técnico II",28,IF(C4433="Técnico I",23,IF(C4433="JR",20,IF(C4433="Estágio",10,0))))),IF(C4433="Técnico III",SUMIFS($D:$D,$A:$A,$A4433,$B:$B,"&lt;&gt;Patrícia Karla de Sousa Araújo",$B:$B,"&lt;&gt;Lorena Dias de Araujo",$B:$B,"&lt;&gt;Lucas Luiz Romero")*(35/1083),IF(C4433="Técnico II",SUMIFS($D:$D,$A:$A,$A4433,$B:$B,"&lt;&gt;Patrícia Karla de Sousa Araújo",$B:$B,"&lt;&gt;Lorena Dias de Araujo",$B:$B,"&lt;&gt;Lucas Luiz Romero")*(28/1083),IF(C4433="Técnico I",SUMIFS($D:$D,$A:$A,$A4433,$B:$B,"&lt;&gt;Patrícia Karla de Sousa Araújo",$B:$B,"&lt;&gt;Lorena Dias de Araujo",$B:$B,"&lt;&gt;Lucas Luiz Romero")*(23/1083),IF(C4433="JR",SUMIFS($D:$D,$A:$A,$A4433,$B:$B,"&lt;&gt;Patrícia Karla de Sousa Araújo",$B:$B,"&lt;&gt;Lorena Dias de Araujo",$B:$B,"&lt;&gt;Lucas Luiz Romero")*(20/1083),IF(C4433="Estágio",SUMIFS($D:$D,$A:$A,$A4433,$B:$B,"&lt;&gt;Patrícia Karla de Sousa Araújo",$B:$B,"&lt;&gt;Lorena Dias de Araujo",$B:$B,"&lt;&gt;Lucas Luiz Romero")*(10/1083),0)))))),0)</f>
        <v>15</v>
      </c>
      <c r="K4433" s="3">
        <f>I4433-J4433</f>
        <v>18</v>
      </c>
      <c r="L4433" s="3" t="str">
        <f>IF(K4433&lt;-5,"CRÍTICO",IF(K4433&lt;0,"ATENÇÃO",IF(K4433&lt;=5,"OPORTUNO","MUITO BOM")))</f>
        <v>MUITO BOM</v>
      </c>
      <c r="M4433" s="3">
        <v>24</v>
      </c>
      <c r="N4433" s="3">
        <v>99.35</v>
      </c>
      <c r="O4433" s="3">
        <v>19.852941176470591</v>
      </c>
    </row>
    <row r="4434" spans="1:15" hidden="1" x14ac:dyDescent="0.25">
      <c r="A4434" s="10">
        <v>46164</v>
      </c>
      <c r="B4434" s="6" t="s">
        <v>50</v>
      </c>
      <c r="C4434" s="1" t="s">
        <v>48</v>
      </c>
      <c r="D4434" s="3">
        <v>13</v>
      </c>
      <c r="E4434" s="3">
        <v>12</v>
      </c>
      <c r="F4434" s="3">
        <v>16.53</v>
      </c>
      <c r="G4434" s="3">
        <v>0</v>
      </c>
      <c r="H4434" s="3">
        <v>0</v>
      </c>
      <c r="I4434" s="3">
        <f>E4434+G4434+H4434</f>
        <v>12</v>
      </c>
      <c r="J4434" s="3">
        <f>ROUND(MIN(IF(C4434="Técnico III",35,IF(C4434="Técnico II",28,IF(C4434="Técnico I",23,IF(C4434="JR",20,IF(C4434="Estágio",10,0))))),IF(C4434="Técnico III",SUMIFS($D:$D,$A:$A,$A4434,$B:$B,"&lt;&gt;Patrícia Karla de Sousa Araújo",$B:$B,"&lt;&gt;Lorena Dias de Araujo",$B:$B,"&lt;&gt;Lucas Luiz Romero")*(35/1083),IF(C4434="Técnico II",SUMIFS($D:$D,$A:$A,$A4434,$B:$B,"&lt;&gt;Patrícia Karla de Sousa Araújo",$B:$B,"&lt;&gt;Lorena Dias de Araujo",$B:$B,"&lt;&gt;Lucas Luiz Romero")*(28/1083),IF(C4434="Técnico I",SUMIFS($D:$D,$A:$A,$A4434,$B:$B,"&lt;&gt;Patrícia Karla de Sousa Araújo",$B:$B,"&lt;&gt;Lorena Dias de Araujo",$B:$B,"&lt;&gt;Lucas Luiz Romero")*(23/1083),IF(C4434="JR",SUMIFS($D:$D,$A:$A,$A4434,$B:$B,"&lt;&gt;Patrícia Karla de Sousa Araújo",$B:$B,"&lt;&gt;Lorena Dias de Araujo",$B:$B,"&lt;&gt;Lucas Luiz Romero")*(20/1083),IF(C4434="Estágio",SUMIFS($D:$D,$A:$A,$A4434,$B:$B,"&lt;&gt;Patrícia Karla de Sousa Araújo",$B:$B,"&lt;&gt;Lorena Dias de Araujo",$B:$B,"&lt;&gt;Lucas Luiz Romero")*(10/1083),0)))))),0)</f>
        <v>15</v>
      </c>
      <c r="K4434" s="3">
        <f>I4434-J4434</f>
        <v>-3</v>
      </c>
      <c r="L4434" s="3" t="str">
        <f>IF(K4434&lt;-5,"CRÍTICO",IF(K4434&lt;0,"ATENÇÃO",IF(K4434&lt;=5,"OPORTUNO","MUITO BOM")))</f>
        <v>ATENÇÃO</v>
      </c>
      <c r="M4434" s="3">
        <v>12</v>
      </c>
      <c r="N4434" s="3">
        <v>99.07</v>
      </c>
      <c r="O4434" s="3">
        <v>20.098039215686271</v>
      </c>
    </row>
    <row r="4435" spans="1:15" hidden="1" x14ac:dyDescent="0.25">
      <c r="A4435" s="10">
        <v>46164</v>
      </c>
      <c r="B4435" s="6" t="s">
        <v>51</v>
      </c>
      <c r="C4435" s="1" t="s">
        <v>48</v>
      </c>
      <c r="D4435" s="3">
        <v>0</v>
      </c>
      <c r="E4435" s="3">
        <v>0</v>
      </c>
      <c r="F4435" s="3">
        <v>0</v>
      </c>
      <c r="G4435" s="3">
        <v>0</v>
      </c>
      <c r="H4435" s="3">
        <v>0</v>
      </c>
      <c r="I4435" s="3">
        <f>E4435+G4435+H4435</f>
        <v>0</v>
      </c>
      <c r="J4435" s="3">
        <f>ROUND(MIN(IF(C4435="Técnico III",35,IF(C4435="Técnico II",28,IF(C4435="Técnico I",23,IF(C4435="JR",20,IF(C4435="Estágio",10,0))))),IF(C4435="Técnico III",SUMIFS($D:$D,$A:$A,$A4435,$B:$B,"&lt;&gt;Patrícia Karla de Sousa Araújo",$B:$B,"&lt;&gt;Lorena Dias de Araujo",$B:$B,"&lt;&gt;Lucas Luiz Romero")*(35/1083),IF(C4435="Técnico II",SUMIFS($D:$D,$A:$A,$A4435,$B:$B,"&lt;&gt;Patrícia Karla de Sousa Araújo",$B:$B,"&lt;&gt;Lorena Dias de Araujo",$B:$B,"&lt;&gt;Lucas Luiz Romero")*(28/1083),IF(C4435="Técnico I",SUMIFS($D:$D,$A:$A,$A4435,$B:$B,"&lt;&gt;Patrícia Karla de Sousa Araújo",$B:$B,"&lt;&gt;Lorena Dias de Araujo",$B:$B,"&lt;&gt;Lucas Luiz Romero")*(23/1083),IF(C4435="JR",SUMIFS($D:$D,$A:$A,$A4435,$B:$B,"&lt;&gt;Patrícia Karla de Sousa Araújo",$B:$B,"&lt;&gt;Lorena Dias de Araujo",$B:$B,"&lt;&gt;Lucas Luiz Romero")*(20/1083),IF(C4435="Estágio",SUMIFS($D:$D,$A:$A,$A4435,$B:$B,"&lt;&gt;Patrícia Karla de Sousa Araújo",$B:$B,"&lt;&gt;Lorena Dias de Araujo",$B:$B,"&lt;&gt;Lucas Luiz Romero")*(10/1083),0)))))),0)</f>
        <v>15</v>
      </c>
      <c r="K4435" s="3">
        <f>I4435-J4435</f>
        <v>-15</v>
      </c>
      <c r="L4435" s="3" t="str">
        <f>IF(K4435&lt;-5,"CRÍTICO",IF(K4435&lt;0,"ATENÇÃO",IF(K4435&lt;=5,"OPORTUNO","MUITO BOM")))</f>
        <v>CRÍTICO</v>
      </c>
      <c r="M4435" s="3">
        <v>0</v>
      </c>
      <c r="N4435" s="3">
        <v>98.81</v>
      </c>
      <c r="O4435" s="3">
        <v>22.767857142857139</v>
      </c>
    </row>
    <row r="4436" spans="1:15" hidden="1" x14ac:dyDescent="0.25">
      <c r="A4436" s="10">
        <v>46164</v>
      </c>
      <c r="B4436" s="6" t="s">
        <v>52</v>
      </c>
      <c r="C4436" s="1" t="s">
        <v>48</v>
      </c>
      <c r="D4436" s="3">
        <v>17</v>
      </c>
      <c r="E4436" s="3">
        <v>14</v>
      </c>
      <c r="F4436" s="3">
        <v>13.23</v>
      </c>
      <c r="G4436" s="3">
        <v>1</v>
      </c>
      <c r="H4436" s="3">
        <v>0</v>
      </c>
      <c r="I4436" s="3">
        <f>E4436+G4436+H4436</f>
        <v>15</v>
      </c>
      <c r="J4436" s="3">
        <f>ROUND(MIN(IF(C4436="Técnico III",35,IF(C4436="Técnico II",28,IF(C4436="Técnico I",23,IF(C4436="JR",20,IF(C4436="Estágio",10,0))))),IF(C4436="Técnico III",SUMIFS($D:$D,$A:$A,$A4436,$B:$B,"&lt;&gt;Patrícia Karla de Sousa Araújo",$B:$B,"&lt;&gt;Lorena Dias de Araujo",$B:$B,"&lt;&gt;Lucas Luiz Romero")*(35/1083),IF(C4436="Técnico II",SUMIFS($D:$D,$A:$A,$A4436,$B:$B,"&lt;&gt;Patrícia Karla de Sousa Araújo",$B:$B,"&lt;&gt;Lorena Dias de Araujo",$B:$B,"&lt;&gt;Lucas Luiz Romero")*(28/1083),IF(C4436="Técnico I",SUMIFS($D:$D,$A:$A,$A4436,$B:$B,"&lt;&gt;Patrícia Karla de Sousa Araújo",$B:$B,"&lt;&gt;Lorena Dias de Araujo",$B:$B,"&lt;&gt;Lucas Luiz Romero")*(23/1083),IF(C4436="JR",SUMIFS($D:$D,$A:$A,$A4436,$B:$B,"&lt;&gt;Patrícia Karla de Sousa Araújo",$B:$B,"&lt;&gt;Lorena Dias de Araujo",$B:$B,"&lt;&gt;Lucas Luiz Romero")*(20/1083),IF(C4436="Estágio",SUMIFS($D:$D,$A:$A,$A4436,$B:$B,"&lt;&gt;Patrícia Karla de Sousa Araújo",$B:$B,"&lt;&gt;Lorena Dias de Araujo",$B:$B,"&lt;&gt;Lucas Luiz Romero")*(10/1083),0)))))),0)</f>
        <v>15</v>
      </c>
      <c r="K4436" s="3">
        <f>I4436-J4436</f>
        <v>0</v>
      </c>
      <c r="L4436" s="3" t="str">
        <f>IF(K4436&lt;-5,"CRÍTICO",IF(K4436&lt;0,"ATENÇÃO",IF(K4436&lt;=5,"OPORTUNO","MUITO BOM")))</f>
        <v>OPORTUNO</v>
      </c>
      <c r="M4436" s="3">
        <v>13</v>
      </c>
      <c r="N4436" s="3">
        <v>99.01</v>
      </c>
      <c r="O4436" s="3">
        <v>17.766497461928939</v>
      </c>
    </row>
    <row r="4437" spans="1:15" hidden="1" x14ac:dyDescent="0.25">
      <c r="A4437" s="10">
        <v>46164</v>
      </c>
      <c r="B4437" s="6" t="s">
        <v>53</v>
      </c>
      <c r="C4437" s="1" t="s">
        <v>48</v>
      </c>
      <c r="D4437" s="3">
        <v>0</v>
      </c>
      <c r="E4437" s="3">
        <v>0</v>
      </c>
      <c r="F4437" s="3">
        <v>0</v>
      </c>
      <c r="G4437" s="3">
        <v>0</v>
      </c>
      <c r="H4437" s="3">
        <v>0</v>
      </c>
      <c r="I4437" s="3">
        <f>E4437+G4437+H4437</f>
        <v>0</v>
      </c>
      <c r="J4437" s="3">
        <f>ROUND(MIN(IF(C4437="Técnico III",35,IF(C4437="Técnico II",28,IF(C4437="Técnico I",23,IF(C4437="JR",20,IF(C4437="Estágio",10,0))))),IF(C4437="Técnico III",SUMIFS($D:$D,$A:$A,$A4437,$B:$B,"&lt;&gt;Patrícia Karla de Sousa Araújo",$B:$B,"&lt;&gt;Lorena Dias de Araujo",$B:$B,"&lt;&gt;Lucas Luiz Romero")*(35/1083),IF(C4437="Técnico II",SUMIFS($D:$D,$A:$A,$A4437,$B:$B,"&lt;&gt;Patrícia Karla de Sousa Araújo",$B:$B,"&lt;&gt;Lorena Dias de Araujo",$B:$B,"&lt;&gt;Lucas Luiz Romero")*(28/1083),IF(C4437="Técnico I",SUMIFS($D:$D,$A:$A,$A4437,$B:$B,"&lt;&gt;Patrícia Karla de Sousa Araújo",$B:$B,"&lt;&gt;Lorena Dias de Araujo",$B:$B,"&lt;&gt;Lucas Luiz Romero")*(23/1083),IF(C4437="JR",SUMIFS($D:$D,$A:$A,$A4437,$B:$B,"&lt;&gt;Patrícia Karla de Sousa Araújo",$B:$B,"&lt;&gt;Lorena Dias de Araujo",$B:$B,"&lt;&gt;Lucas Luiz Romero")*(20/1083),IF(C4437="Estágio",SUMIFS($D:$D,$A:$A,$A4437,$B:$B,"&lt;&gt;Patrícia Karla de Sousa Araújo",$B:$B,"&lt;&gt;Lorena Dias de Araujo",$B:$B,"&lt;&gt;Lucas Luiz Romero")*(10/1083),0)))))),0)</f>
        <v>15</v>
      </c>
      <c r="K4437" s="3">
        <f>I4437-J4437</f>
        <v>-15</v>
      </c>
      <c r="L4437" s="3" t="str">
        <f>IF(K4437&lt;-5,"CRÍTICO",IF(K4437&lt;0,"ATENÇÃO",IF(K4437&lt;=5,"OPORTUNO","MUITO BOM")))</f>
        <v>CRÍTICO</v>
      </c>
      <c r="M4437" s="3">
        <v>0</v>
      </c>
      <c r="N4437" s="3">
        <v>100</v>
      </c>
      <c r="O4437" s="3">
        <v>17.241379310344829</v>
      </c>
    </row>
    <row r="4438" spans="1:15" hidden="1" x14ac:dyDescent="0.25">
      <c r="A4438" s="10">
        <v>46164</v>
      </c>
      <c r="B4438" s="6" t="s">
        <v>54</v>
      </c>
      <c r="C4438" s="1" t="s">
        <v>48</v>
      </c>
      <c r="D4438" s="3">
        <v>15</v>
      </c>
      <c r="E4438" s="3">
        <v>15</v>
      </c>
      <c r="F4438" s="3">
        <v>28.35</v>
      </c>
      <c r="G4438" s="3">
        <v>0</v>
      </c>
      <c r="H4438" s="3">
        <v>0</v>
      </c>
      <c r="I4438" s="3">
        <f>E4438+G4438+H4438</f>
        <v>15</v>
      </c>
      <c r="J4438" s="3">
        <f>ROUND(MIN(IF(C4438="Técnico III",35,IF(C4438="Técnico II",28,IF(C4438="Técnico I",23,IF(C4438="JR",20,IF(C4438="Estágio",10,0))))),IF(C4438="Técnico III",SUMIFS($D:$D,$A:$A,$A4438,$B:$B,"&lt;&gt;Patrícia Karla de Sousa Araújo",$B:$B,"&lt;&gt;Lorena Dias de Araujo",$B:$B,"&lt;&gt;Lucas Luiz Romero")*(35/1083),IF(C4438="Técnico II",SUMIFS($D:$D,$A:$A,$A4438,$B:$B,"&lt;&gt;Patrícia Karla de Sousa Araújo",$B:$B,"&lt;&gt;Lorena Dias de Araujo",$B:$B,"&lt;&gt;Lucas Luiz Romero")*(28/1083),IF(C4438="Técnico I",SUMIFS($D:$D,$A:$A,$A4438,$B:$B,"&lt;&gt;Patrícia Karla de Sousa Araújo",$B:$B,"&lt;&gt;Lorena Dias de Araujo",$B:$B,"&lt;&gt;Lucas Luiz Romero")*(23/1083),IF(C4438="JR",SUMIFS($D:$D,$A:$A,$A4438,$B:$B,"&lt;&gt;Patrícia Karla de Sousa Araújo",$B:$B,"&lt;&gt;Lorena Dias de Araujo",$B:$B,"&lt;&gt;Lucas Luiz Romero")*(20/1083),IF(C4438="Estágio",SUMIFS($D:$D,$A:$A,$A4438,$B:$B,"&lt;&gt;Patrícia Karla de Sousa Araújo",$B:$B,"&lt;&gt;Lorena Dias de Araujo",$B:$B,"&lt;&gt;Lucas Luiz Romero")*(10/1083),0)))))),0)</f>
        <v>15</v>
      </c>
      <c r="K4438" s="3">
        <f>I4438-J4438</f>
        <v>0</v>
      </c>
      <c r="L4438" s="3" t="str">
        <f>IF(K4438&lt;-5,"CRÍTICO",IF(K4438&lt;0,"ATENÇÃO",IF(K4438&lt;=5,"OPORTUNO","MUITO BOM")))</f>
        <v>OPORTUNO</v>
      </c>
      <c r="M4438" s="3">
        <v>13</v>
      </c>
      <c r="N4438" s="3">
        <v>98.98</v>
      </c>
      <c r="O4438" s="3">
        <v>19.35483870967742</v>
      </c>
    </row>
    <row r="4439" spans="1:15" hidden="1" x14ac:dyDescent="0.25">
      <c r="A4439" s="10">
        <v>46164</v>
      </c>
      <c r="B4439" s="6" t="s">
        <v>55</v>
      </c>
      <c r="C4439" s="1" t="s">
        <v>48</v>
      </c>
      <c r="D4439" s="3">
        <v>13</v>
      </c>
      <c r="E4439" s="3">
        <v>12</v>
      </c>
      <c r="F4439" s="3">
        <v>11.42</v>
      </c>
      <c r="G4439" s="3">
        <v>1</v>
      </c>
      <c r="H4439" s="3">
        <v>0</v>
      </c>
      <c r="I4439" s="3">
        <f>E4439+G4439+H4439</f>
        <v>13</v>
      </c>
      <c r="J4439" s="3">
        <f>ROUND(MIN(IF(C4439="Técnico III",35,IF(C4439="Técnico II",28,IF(C4439="Técnico I",23,IF(C4439="JR",20,IF(C4439="Estágio",10,0))))),IF(C4439="Técnico III",SUMIFS($D:$D,$A:$A,$A4439,$B:$B,"&lt;&gt;Patrícia Karla de Sousa Araújo",$B:$B,"&lt;&gt;Lorena Dias de Araujo",$B:$B,"&lt;&gt;Lucas Luiz Romero")*(35/1083),IF(C4439="Técnico II",SUMIFS($D:$D,$A:$A,$A4439,$B:$B,"&lt;&gt;Patrícia Karla de Sousa Araújo",$B:$B,"&lt;&gt;Lorena Dias de Araujo",$B:$B,"&lt;&gt;Lucas Luiz Romero")*(28/1083),IF(C4439="Técnico I",SUMIFS($D:$D,$A:$A,$A4439,$B:$B,"&lt;&gt;Patrícia Karla de Sousa Araújo",$B:$B,"&lt;&gt;Lorena Dias de Araujo",$B:$B,"&lt;&gt;Lucas Luiz Romero")*(23/1083),IF(C4439="JR",SUMIFS($D:$D,$A:$A,$A4439,$B:$B,"&lt;&gt;Patrícia Karla de Sousa Araújo",$B:$B,"&lt;&gt;Lorena Dias de Araujo",$B:$B,"&lt;&gt;Lucas Luiz Romero")*(20/1083),IF(C4439="Estágio",SUMIFS($D:$D,$A:$A,$A4439,$B:$B,"&lt;&gt;Patrícia Karla de Sousa Araújo",$B:$B,"&lt;&gt;Lorena Dias de Araujo",$B:$B,"&lt;&gt;Lucas Luiz Romero")*(10/1083),0)))))),0)</f>
        <v>15</v>
      </c>
      <c r="K4439" s="3">
        <f>I4439-J4439</f>
        <v>-2</v>
      </c>
      <c r="L4439" s="3" t="str">
        <f>IF(K4439&lt;-5,"CRÍTICO",IF(K4439&lt;0,"ATENÇÃO",IF(K4439&lt;=5,"OPORTUNO","MUITO BOM")))</f>
        <v>ATENÇÃO</v>
      </c>
      <c r="M4439" s="3">
        <v>10</v>
      </c>
      <c r="N4439" s="3">
        <v>98.94</v>
      </c>
      <c r="O4439" s="3">
        <v>21.270718232044199</v>
      </c>
    </row>
    <row r="4440" spans="1:15" hidden="1" x14ac:dyDescent="0.25">
      <c r="A4440" s="10">
        <v>46164</v>
      </c>
      <c r="B4440" s="6" t="s">
        <v>56</v>
      </c>
      <c r="C4440" s="1" t="s">
        <v>48</v>
      </c>
      <c r="D4440" s="3">
        <v>19</v>
      </c>
      <c r="E4440" s="3">
        <v>18</v>
      </c>
      <c r="F4440" s="3">
        <v>20.48</v>
      </c>
      <c r="G4440" s="3">
        <v>1</v>
      </c>
      <c r="H4440" s="3">
        <v>0</v>
      </c>
      <c r="I4440" s="3">
        <f>E4440+G4440+H4440</f>
        <v>19</v>
      </c>
      <c r="J4440" s="3">
        <f>ROUND(MIN(IF(C4440="Técnico III",35,IF(C4440="Técnico II",28,IF(C4440="Técnico I",23,IF(C4440="JR",20,IF(C4440="Estágio",10,0))))),IF(C4440="Técnico III",SUMIFS($D:$D,$A:$A,$A4440,$B:$B,"&lt;&gt;Patrícia Karla de Sousa Araújo",$B:$B,"&lt;&gt;Lorena Dias de Araujo",$B:$B,"&lt;&gt;Lucas Luiz Romero")*(35/1083),IF(C4440="Técnico II",SUMIFS($D:$D,$A:$A,$A4440,$B:$B,"&lt;&gt;Patrícia Karla de Sousa Araújo",$B:$B,"&lt;&gt;Lorena Dias de Araujo",$B:$B,"&lt;&gt;Lucas Luiz Romero")*(28/1083),IF(C4440="Técnico I",SUMIFS($D:$D,$A:$A,$A4440,$B:$B,"&lt;&gt;Patrícia Karla de Sousa Araújo",$B:$B,"&lt;&gt;Lorena Dias de Araujo",$B:$B,"&lt;&gt;Lucas Luiz Romero")*(23/1083),IF(C4440="JR",SUMIFS($D:$D,$A:$A,$A4440,$B:$B,"&lt;&gt;Patrícia Karla de Sousa Araújo",$B:$B,"&lt;&gt;Lorena Dias de Araujo",$B:$B,"&lt;&gt;Lucas Luiz Romero")*(20/1083),IF(C4440="Estágio",SUMIFS($D:$D,$A:$A,$A4440,$B:$B,"&lt;&gt;Patrícia Karla de Sousa Araújo",$B:$B,"&lt;&gt;Lorena Dias de Araujo",$B:$B,"&lt;&gt;Lucas Luiz Romero")*(10/1083),0)))))),0)</f>
        <v>15</v>
      </c>
      <c r="K4440" s="3">
        <f>I4440-J4440</f>
        <v>4</v>
      </c>
      <c r="L4440" s="3" t="str">
        <f>IF(K4440&lt;-5,"CRÍTICO",IF(K4440&lt;0,"ATENÇÃO",IF(K4440&lt;=5,"OPORTUNO","MUITO BOM")))</f>
        <v>OPORTUNO</v>
      </c>
      <c r="M4440" s="3">
        <v>18</v>
      </c>
      <c r="N4440" s="3">
        <v>99</v>
      </c>
      <c r="O4440" s="3">
        <v>22.010869565217391</v>
      </c>
    </row>
    <row r="4441" spans="1:15" hidden="1" x14ac:dyDescent="0.25">
      <c r="A4441" s="10">
        <v>46164</v>
      </c>
      <c r="B4441" s="6" t="s">
        <v>57</v>
      </c>
      <c r="C4441" s="1" t="s">
        <v>48</v>
      </c>
      <c r="D4441" s="3">
        <v>0</v>
      </c>
      <c r="E4441" s="3">
        <v>0</v>
      </c>
      <c r="F4441" s="3">
        <v>0</v>
      </c>
      <c r="G4441" s="3">
        <v>0</v>
      </c>
      <c r="H4441" s="3">
        <v>0</v>
      </c>
      <c r="I4441" s="3">
        <f>E4441+G4441+H4441</f>
        <v>0</v>
      </c>
      <c r="J4441" s="3">
        <f>ROUND(MIN(IF(C4441="Técnico III",35,IF(C4441="Técnico II",28,IF(C4441="Técnico I",23,IF(C4441="JR",20,IF(C4441="Estágio",10,0))))),IF(C4441="Técnico III",SUMIFS($D:$D,$A:$A,$A4441,$B:$B,"&lt;&gt;Patrícia Karla de Sousa Araújo",$B:$B,"&lt;&gt;Lorena Dias de Araujo",$B:$B,"&lt;&gt;Lucas Luiz Romero")*(35/1083),IF(C4441="Técnico II",SUMIFS($D:$D,$A:$A,$A4441,$B:$B,"&lt;&gt;Patrícia Karla de Sousa Araújo",$B:$B,"&lt;&gt;Lorena Dias de Araujo",$B:$B,"&lt;&gt;Lucas Luiz Romero")*(28/1083),IF(C4441="Técnico I",SUMIFS($D:$D,$A:$A,$A4441,$B:$B,"&lt;&gt;Patrícia Karla de Sousa Araújo",$B:$B,"&lt;&gt;Lorena Dias de Araujo",$B:$B,"&lt;&gt;Lucas Luiz Romero")*(23/1083),IF(C4441="JR",SUMIFS($D:$D,$A:$A,$A4441,$B:$B,"&lt;&gt;Patrícia Karla de Sousa Araújo",$B:$B,"&lt;&gt;Lorena Dias de Araujo",$B:$B,"&lt;&gt;Lucas Luiz Romero")*(20/1083),IF(C4441="Estágio",SUMIFS($D:$D,$A:$A,$A4441,$B:$B,"&lt;&gt;Patrícia Karla de Sousa Araújo",$B:$B,"&lt;&gt;Lorena Dias de Araujo",$B:$B,"&lt;&gt;Lucas Luiz Romero")*(10/1083),0)))))),0)</f>
        <v>15</v>
      </c>
      <c r="K4441" s="3">
        <f>I4441-J4441</f>
        <v>-15</v>
      </c>
      <c r="L4441" s="3" t="str">
        <f>IF(K4441&lt;-5,"CRÍTICO",IF(K4441&lt;0,"ATENÇÃO",IF(K4441&lt;=5,"OPORTUNO","MUITO BOM")))</f>
        <v>CRÍTICO</v>
      </c>
      <c r="M4441" s="3">
        <v>0</v>
      </c>
      <c r="N4441" s="3">
        <v>100</v>
      </c>
      <c r="O4441" s="3">
        <v>25</v>
      </c>
    </row>
    <row r="4442" spans="1:15" hidden="1" x14ac:dyDescent="0.25">
      <c r="A4442" s="10">
        <v>46164</v>
      </c>
      <c r="B4442" s="6" t="s">
        <v>58</v>
      </c>
      <c r="C4442" s="1" t="s">
        <v>48</v>
      </c>
      <c r="D4442" s="3">
        <v>17</v>
      </c>
      <c r="E4442" s="3">
        <v>17</v>
      </c>
      <c r="F4442" s="3">
        <v>22.2</v>
      </c>
      <c r="G4442" s="3">
        <v>0</v>
      </c>
      <c r="H4442" s="3">
        <v>0</v>
      </c>
      <c r="I4442" s="3">
        <f>E4442+G4442+H4442</f>
        <v>17</v>
      </c>
      <c r="J4442" s="3">
        <f>ROUND(MIN(IF(C4442="Técnico III",35,IF(C4442="Técnico II",28,IF(C4442="Técnico I",23,IF(C4442="JR",20,IF(C4442="Estágio",10,0))))),IF(C4442="Técnico III",SUMIFS($D:$D,$A:$A,$A4442,$B:$B,"&lt;&gt;Patrícia Karla de Sousa Araújo",$B:$B,"&lt;&gt;Lorena Dias de Araujo",$B:$B,"&lt;&gt;Lucas Luiz Romero")*(35/1083),IF(C4442="Técnico II",SUMIFS($D:$D,$A:$A,$A4442,$B:$B,"&lt;&gt;Patrícia Karla de Sousa Araújo",$B:$B,"&lt;&gt;Lorena Dias de Araujo",$B:$B,"&lt;&gt;Lucas Luiz Romero")*(28/1083),IF(C4442="Técnico I",SUMIFS($D:$D,$A:$A,$A4442,$B:$B,"&lt;&gt;Patrícia Karla de Sousa Araújo",$B:$B,"&lt;&gt;Lorena Dias de Araujo",$B:$B,"&lt;&gt;Lucas Luiz Romero")*(23/1083),IF(C4442="JR",SUMIFS($D:$D,$A:$A,$A4442,$B:$B,"&lt;&gt;Patrícia Karla de Sousa Araújo",$B:$B,"&lt;&gt;Lorena Dias de Araujo",$B:$B,"&lt;&gt;Lucas Luiz Romero")*(20/1083),IF(C4442="Estágio",SUMIFS($D:$D,$A:$A,$A4442,$B:$B,"&lt;&gt;Patrícia Karla de Sousa Araújo",$B:$B,"&lt;&gt;Lorena Dias de Araujo",$B:$B,"&lt;&gt;Lucas Luiz Romero")*(10/1083),0)))))),0)</f>
        <v>15</v>
      </c>
      <c r="K4442" s="3">
        <f>I4442-J4442</f>
        <v>2</v>
      </c>
      <c r="L4442" s="3" t="str">
        <f>IF(K4442&lt;-5,"CRÍTICO",IF(K4442&lt;0,"ATENÇÃO",IF(K4442&lt;=5,"OPORTUNO","MUITO BOM")))</f>
        <v>OPORTUNO</v>
      </c>
      <c r="M4442" s="3">
        <v>12</v>
      </c>
      <c r="N4442" s="3">
        <v>100</v>
      </c>
      <c r="O4442" s="3">
        <v>20.183486238532112</v>
      </c>
    </row>
    <row r="4443" spans="1:15" hidden="1" x14ac:dyDescent="0.25">
      <c r="A4443" s="10">
        <v>46164</v>
      </c>
      <c r="B4443" s="6" t="s">
        <v>59</v>
      </c>
      <c r="C4443" s="1" t="s">
        <v>23</v>
      </c>
      <c r="D4443" s="3">
        <v>11</v>
      </c>
      <c r="E4443" s="3">
        <v>9</v>
      </c>
      <c r="F4443" s="3">
        <v>15.17</v>
      </c>
      <c r="G4443" s="3">
        <v>3</v>
      </c>
      <c r="H4443" s="3">
        <v>0</v>
      </c>
      <c r="I4443" s="3">
        <f>E4443+G4443+H4443</f>
        <v>12</v>
      </c>
      <c r="J4443" s="3">
        <f>ROUND(MIN(IF(C4443="Técnico III",35,IF(C4443="Técnico II",28,IF(C4443="Técnico I",23,IF(C4443="JR",20,IF(C4443="Estágio",10,0))))),IF(C4443="Técnico III",SUMIFS($D:$D,$A:$A,$A4443,$B:$B,"&lt;&gt;Patrícia Karla de Sousa Araújo",$B:$B,"&lt;&gt;Lorena Dias de Araujo",$B:$B,"&lt;&gt;Lucas Luiz Romero")*(35/1083),IF(C4443="Técnico II",SUMIFS($D:$D,$A:$A,$A4443,$B:$B,"&lt;&gt;Patrícia Karla de Sousa Araújo",$B:$B,"&lt;&gt;Lorena Dias de Araujo",$B:$B,"&lt;&gt;Lucas Luiz Romero")*(28/1083),IF(C4443="Técnico I",SUMIFS($D:$D,$A:$A,$A4443,$B:$B,"&lt;&gt;Patrícia Karla de Sousa Araújo",$B:$B,"&lt;&gt;Lorena Dias de Araujo",$B:$B,"&lt;&gt;Lucas Luiz Romero")*(23/1083),IF(C4443="JR",SUMIFS($D:$D,$A:$A,$A4443,$B:$B,"&lt;&gt;Patrícia Karla de Sousa Araújo",$B:$B,"&lt;&gt;Lorena Dias de Araujo",$B:$B,"&lt;&gt;Lucas Luiz Romero")*(20/1083),IF(C4443="Estágio",SUMIFS($D:$D,$A:$A,$A4443,$B:$B,"&lt;&gt;Patrícia Karla de Sousa Araújo",$B:$B,"&lt;&gt;Lorena Dias de Araujo",$B:$B,"&lt;&gt;Lucas Luiz Romero")*(10/1083),0)))))),0)</f>
        <v>13</v>
      </c>
      <c r="K4443" s="3">
        <f>I4443-J4443</f>
        <v>-1</v>
      </c>
      <c r="L4443" s="3" t="str">
        <f>IF(K4443&lt;-5,"CRÍTICO",IF(K4443&lt;0,"ATENÇÃO",IF(K4443&lt;=5,"OPORTUNO","MUITO BOM")))</f>
        <v>ATENÇÃO</v>
      </c>
      <c r="M4443" s="3">
        <v>10</v>
      </c>
      <c r="N4443" s="3">
        <v>96.25</v>
      </c>
      <c r="O4443" s="3">
        <v>25.586353944562902</v>
      </c>
    </row>
    <row r="4444" spans="1:15" hidden="1" x14ac:dyDescent="0.25">
      <c r="A4444" s="10">
        <v>46164</v>
      </c>
      <c r="B4444" s="6" t="s">
        <v>60</v>
      </c>
      <c r="C4444" s="1" t="s">
        <v>23</v>
      </c>
      <c r="D4444" s="3">
        <v>15</v>
      </c>
      <c r="E4444" s="3">
        <v>14</v>
      </c>
      <c r="F4444" s="3">
        <v>12.06</v>
      </c>
      <c r="G4444" s="3">
        <v>0</v>
      </c>
      <c r="H4444" s="3">
        <v>0</v>
      </c>
      <c r="I4444" s="3">
        <f>E4444+G4444+H4444</f>
        <v>14</v>
      </c>
      <c r="J4444" s="3">
        <f>ROUND(MIN(IF(C4444="Técnico III",35,IF(C4444="Técnico II",28,IF(C4444="Técnico I",23,IF(C4444="JR",20,IF(C4444="Estágio",10,0))))),IF(C4444="Técnico III",SUMIFS($D:$D,$A:$A,$A4444,$B:$B,"&lt;&gt;Patrícia Karla de Sousa Araújo",$B:$B,"&lt;&gt;Lorena Dias de Araujo",$B:$B,"&lt;&gt;Lucas Luiz Romero")*(35/1083),IF(C4444="Técnico II",SUMIFS($D:$D,$A:$A,$A4444,$B:$B,"&lt;&gt;Patrícia Karla de Sousa Araújo",$B:$B,"&lt;&gt;Lorena Dias de Araujo",$B:$B,"&lt;&gt;Lucas Luiz Romero")*(28/1083),IF(C4444="Técnico I",SUMIFS($D:$D,$A:$A,$A4444,$B:$B,"&lt;&gt;Patrícia Karla de Sousa Araújo",$B:$B,"&lt;&gt;Lorena Dias de Araujo",$B:$B,"&lt;&gt;Lucas Luiz Romero")*(23/1083),IF(C4444="JR",SUMIFS($D:$D,$A:$A,$A4444,$B:$B,"&lt;&gt;Patrícia Karla de Sousa Araújo",$B:$B,"&lt;&gt;Lorena Dias de Araujo",$B:$B,"&lt;&gt;Lucas Luiz Romero")*(20/1083),IF(C4444="Estágio",SUMIFS($D:$D,$A:$A,$A4444,$B:$B,"&lt;&gt;Patrícia Karla de Sousa Araújo",$B:$B,"&lt;&gt;Lorena Dias de Araujo",$B:$B,"&lt;&gt;Lucas Luiz Romero")*(10/1083),0)))))),0)</f>
        <v>13</v>
      </c>
      <c r="K4444" s="3">
        <f>I4444-J4444</f>
        <v>1</v>
      </c>
      <c r="L4444" s="3" t="str">
        <f>IF(K4444&lt;-5,"CRÍTICO",IF(K4444&lt;0,"ATENÇÃO",IF(K4444&lt;=5,"OPORTUNO","MUITO BOM")))</f>
        <v>OPORTUNO</v>
      </c>
      <c r="M4444" s="3">
        <v>12</v>
      </c>
      <c r="N4444" s="3">
        <v>97.48</v>
      </c>
      <c r="O4444" s="3">
        <v>22.99465240641711</v>
      </c>
    </row>
    <row r="4445" spans="1:15" hidden="1" x14ac:dyDescent="0.25">
      <c r="A4445" s="10">
        <v>46164</v>
      </c>
      <c r="B4445" s="6" t="s">
        <v>61</v>
      </c>
      <c r="C4445" s="1" t="s">
        <v>23</v>
      </c>
      <c r="D4445" s="3">
        <v>24</v>
      </c>
      <c r="E4445" s="3">
        <v>23</v>
      </c>
      <c r="F4445" s="3">
        <v>10.35</v>
      </c>
      <c r="G4445" s="3">
        <v>0</v>
      </c>
      <c r="H4445" s="3">
        <v>0</v>
      </c>
      <c r="I4445" s="3">
        <f>E4445+G4445+H4445</f>
        <v>23</v>
      </c>
      <c r="J4445" s="3">
        <f>ROUND(MIN(IF(C4445="Técnico III",35,IF(C4445="Técnico II",28,IF(C4445="Técnico I",23,IF(C4445="JR",20,IF(C4445="Estágio",10,0))))),IF(C4445="Técnico III",SUMIFS($D:$D,$A:$A,$A4445,$B:$B,"&lt;&gt;Patrícia Karla de Sousa Araújo",$B:$B,"&lt;&gt;Lorena Dias de Araujo",$B:$B,"&lt;&gt;Lucas Luiz Romero")*(35/1083),IF(C4445="Técnico II",SUMIFS($D:$D,$A:$A,$A4445,$B:$B,"&lt;&gt;Patrícia Karla de Sousa Araújo",$B:$B,"&lt;&gt;Lorena Dias de Araujo",$B:$B,"&lt;&gt;Lucas Luiz Romero")*(28/1083),IF(C4445="Técnico I",SUMIFS($D:$D,$A:$A,$A4445,$B:$B,"&lt;&gt;Patrícia Karla de Sousa Araújo",$B:$B,"&lt;&gt;Lorena Dias de Araujo",$B:$B,"&lt;&gt;Lucas Luiz Romero")*(23/1083),IF(C4445="JR",SUMIFS($D:$D,$A:$A,$A4445,$B:$B,"&lt;&gt;Patrícia Karla de Sousa Araújo",$B:$B,"&lt;&gt;Lorena Dias de Araujo",$B:$B,"&lt;&gt;Lucas Luiz Romero")*(20/1083),IF(C4445="Estágio",SUMIFS($D:$D,$A:$A,$A4445,$B:$B,"&lt;&gt;Patrícia Karla de Sousa Araújo",$B:$B,"&lt;&gt;Lorena Dias de Araujo",$B:$B,"&lt;&gt;Lucas Luiz Romero")*(10/1083),0)))))),0)</f>
        <v>13</v>
      </c>
      <c r="K4445" s="3">
        <f>I4445-J4445</f>
        <v>10</v>
      </c>
      <c r="L4445" s="3" t="str">
        <f>IF(K4445&lt;-5,"CRÍTICO",IF(K4445&lt;0,"ATENÇÃO",IF(K4445&lt;=5,"OPORTUNO","MUITO BOM")))</f>
        <v>MUITO BOM</v>
      </c>
      <c r="M4445" s="3">
        <v>18</v>
      </c>
      <c r="N4445" s="3">
        <v>100</v>
      </c>
      <c r="O4445" s="3">
        <v>20.788530465949819</v>
      </c>
    </row>
    <row r="4446" spans="1:15" hidden="1" x14ac:dyDescent="0.25">
      <c r="A4446" s="10">
        <v>46164</v>
      </c>
      <c r="B4446" s="6" t="s">
        <v>62</v>
      </c>
      <c r="C4446" s="1" t="s">
        <v>23</v>
      </c>
      <c r="D4446" s="3">
        <v>8</v>
      </c>
      <c r="E4446" s="3">
        <v>8</v>
      </c>
      <c r="F4446" s="3">
        <v>32.369999999999997</v>
      </c>
      <c r="G4446" s="3">
        <v>0</v>
      </c>
      <c r="H4446" s="3">
        <v>0</v>
      </c>
      <c r="I4446" s="3">
        <f>E4446+G4446+H4446</f>
        <v>8</v>
      </c>
      <c r="J4446" s="3">
        <f>ROUND(MIN(IF(C4446="Técnico III",35,IF(C4446="Técnico II",28,IF(C4446="Técnico I",23,IF(C4446="JR",20,IF(C4446="Estágio",10,0))))),IF(C4446="Técnico III",SUMIFS($D:$D,$A:$A,$A4446,$B:$B,"&lt;&gt;Patrícia Karla de Sousa Araújo",$B:$B,"&lt;&gt;Lorena Dias de Araujo",$B:$B,"&lt;&gt;Lucas Luiz Romero")*(35/1083),IF(C4446="Técnico II",SUMIFS($D:$D,$A:$A,$A4446,$B:$B,"&lt;&gt;Patrícia Karla de Sousa Araújo",$B:$B,"&lt;&gt;Lorena Dias de Araujo",$B:$B,"&lt;&gt;Lucas Luiz Romero")*(28/1083),IF(C4446="Técnico I",SUMIFS($D:$D,$A:$A,$A4446,$B:$B,"&lt;&gt;Patrícia Karla de Sousa Araújo",$B:$B,"&lt;&gt;Lorena Dias de Araujo",$B:$B,"&lt;&gt;Lucas Luiz Romero")*(23/1083),IF(C4446="JR",SUMIFS($D:$D,$A:$A,$A4446,$B:$B,"&lt;&gt;Patrícia Karla de Sousa Araújo",$B:$B,"&lt;&gt;Lorena Dias de Araujo",$B:$B,"&lt;&gt;Lucas Luiz Romero")*(20/1083),IF(C4446="Estágio",SUMIFS($D:$D,$A:$A,$A4446,$B:$B,"&lt;&gt;Patrícia Karla de Sousa Araújo",$B:$B,"&lt;&gt;Lorena Dias de Araujo",$B:$B,"&lt;&gt;Lucas Luiz Romero")*(10/1083),0)))))),0)</f>
        <v>13</v>
      </c>
      <c r="K4446" s="3">
        <f>I4446-J4446</f>
        <v>-5</v>
      </c>
      <c r="L4446" s="3" t="str">
        <f>IF(K4446&lt;-5,"CRÍTICO",IF(K4446&lt;0,"ATENÇÃO",IF(K4446&lt;=5,"OPORTUNO","MUITO BOM")))</f>
        <v>ATENÇÃO</v>
      </c>
      <c r="M4446" s="3">
        <v>8</v>
      </c>
      <c r="N4446" s="3">
        <v>94.55</v>
      </c>
      <c r="O4446" s="3">
        <v>23.450134770889491</v>
      </c>
    </row>
    <row r="4447" spans="1:15" hidden="1" x14ac:dyDescent="0.25">
      <c r="A4447" s="10">
        <v>46164</v>
      </c>
      <c r="B4447" s="6" t="s">
        <v>63</v>
      </c>
      <c r="C4447" s="1" t="s">
        <v>23</v>
      </c>
      <c r="D4447" s="3">
        <v>18</v>
      </c>
      <c r="E4447" s="3">
        <v>18</v>
      </c>
      <c r="F4447" s="3">
        <v>20.45</v>
      </c>
      <c r="G4447" s="3">
        <v>2</v>
      </c>
      <c r="H4447" s="3">
        <v>0</v>
      </c>
      <c r="I4447" s="3">
        <f>E4447+G4447+H4447</f>
        <v>20</v>
      </c>
      <c r="J4447" s="3">
        <f>ROUND(MIN(IF(C4447="Técnico III",35,IF(C4447="Técnico II",28,IF(C4447="Técnico I",23,IF(C4447="JR",20,IF(C4447="Estágio",10,0))))),IF(C4447="Técnico III",SUMIFS($D:$D,$A:$A,$A4447,$B:$B,"&lt;&gt;Patrícia Karla de Sousa Araújo",$B:$B,"&lt;&gt;Lorena Dias de Araujo",$B:$B,"&lt;&gt;Lucas Luiz Romero")*(35/1083),IF(C4447="Técnico II",SUMIFS($D:$D,$A:$A,$A4447,$B:$B,"&lt;&gt;Patrícia Karla de Sousa Araújo",$B:$B,"&lt;&gt;Lorena Dias de Araujo",$B:$B,"&lt;&gt;Lucas Luiz Romero")*(28/1083),IF(C4447="Técnico I",SUMIFS($D:$D,$A:$A,$A4447,$B:$B,"&lt;&gt;Patrícia Karla de Sousa Araújo",$B:$B,"&lt;&gt;Lorena Dias de Araujo",$B:$B,"&lt;&gt;Lucas Luiz Romero")*(23/1083),IF(C4447="JR",SUMIFS($D:$D,$A:$A,$A4447,$B:$B,"&lt;&gt;Patrícia Karla de Sousa Araújo",$B:$B,"&lt;&gt;Lorena Dias de Araujo",$B:$B,"&lt;&gt;Lucas Luiz Romero")*(20/1083),IF(C4447="Estágio",SUMIFS($D:$D,$A:$A,$A4447,$B:$B,"&lt;&gt;Patrícia Karla de Sousa Araújo",$B:$B,"&lt;&gt;Lorena Dias de Araujo",$B:$B,"&lt;&gt;Lucas Luiz Romero")*(10/1083),0)))))),0)</f>
        <v>13</v>
      </c>
      <c r="K4447" s="3">
        <f>I4447-J4447</f>
        <v>7</v>
      </c>
      <c r="L4447" s="3" t="str">
        <f>IF(K4447&lt;-5,"CRÍTICO",IF(K4447&lt;0,"ATENÇÃO",IF(K4447&lt;=5,"OPORTUNO","MUITO BOM")))</f>
        <v>MUITO BOM</v>
      </c>
      <c r="M4447" s="3">
        <v>12</v>
      </c>
      <c r="N4447" s="3">
        <v>98</v>
      </c>
      <c r="O4447" s="3">
        <v>20.73490813648294</v>
      </c>
    </row>
    <row r="4448" spans="1:15" hidden="1" x14ac:dyDescent="0.25">
      <c r="A4448" s="10">
        <v>46164</v>
      </c>
      <c r="B4448" s="6" t="s">
        <v>64</v>
      </c>
      <c r="C4448" s="1" t="s">
        <v>23</v>
      </c>
      <c r="D4448" s="3">
        <v>17</v>
      </c>
      <c r="E4448" s="3">
        <v>16</v>
      </c>
      <c r="F4448" s="3">
        <v>20.55</v>
      </c>
      <c r="G4448" s="3">
        <v>1</v>
      </c>
      <c r="H4448" s="3">
        <v>0</v>
      </c>
      <c r="I4448" s="3">
        <f>E4448+G4448+H4448</f>
        <v>17</v>
      </c>
      <c r="J4448" s="3">
        <f>ROUND(MIN(IF(C4448="Técnico III",35,IF(C4448="Técnico II",28,IF(C4448="Técnico I",23,IF(C4448="JR",20,IF(C4448="Estágio",10,0))))),IF(C4448="Técnico III",SUMIFS($D:$D,$A:$A,$A4448,$B:$B,"&lt;&gt;Patrícia Karla de Sousa Araújo",$B:$B,"&lt;&gt;Lorena Dias de Araujo",$B:$B,"&lt;&gt;Lucas Luiz Romero")*(35/1083),IF(C4448="Técnico II",SUMIFS($D:$D,$A:$A,$A4448,$B:$B,"&lt;&gt;Patrícia Karla de Sousa Araújo",$B:$B,"&lt;&gt;Lorena Dias de Araujo",$B:$B,"&lt;&gt;Lucas Luiz Romero")*(28/1083),IF(C4448="Técnico I",SUMIFS($D:$D,$A:$A,$A4448,$B:$B,"&lt;&gt;Patrícia Karla de Sousa Araújo",$B:$B,"&lt;&gt;Lorena Dias de Araujo",$B:$B,"&lt;&gt;Lucas Luiz Romero")*(23/1083),IF(C4448="JR",SUMIFS($D:$D,$A:$A,$A4448,$B:$B,"&lt;&gt;Patrícia Karla de Sousa Araújo",$B:$B,"&lt;&gt;Lorena Dias de Araujo",$B:$B,"&lt;&gt;Lucas Luiz Romero")*(20/1083),IF(C4448="Estágio",SUMIFS($D:$D,$A:$A,$A4448,$B:$B,"&lt;&gt;Patrícia Karla de Sousa Araújo",$B:$B,"&lt;&gt;Lorena Dias de Araujo",$B:$B,"&lt;&gt;Lucas Luiz Romero")*(10/1083),0)))))),0)</f>
        <v>13</v>
      </c>
      <c r="K4448" s="3">
        <f>I4448-J4448</f>
        <v>4</v>
      </c>
      <c r="L4448" s="3" t="str">
        <f>IF(K4448&lt;-5,"CRÍTICO",IF(K4448&lt;0,"ATENÇÃO",IF(K4448&lt;=5,"OPORTUNO","MUITO BOM")))</f>
        <v>OPORTUNO</v>
      </c>
      <c r="M4448" s="3">
        <v>17</v>
      </c>
      <c r="N4448" s="3">
        <v>100</v>
      </c>
      <c r="O4448" s="3">
        <v>18</v>
      </c>
    </row>
    <row r="4449" spans="1:15" hidden="1" x14ac:dyDescent="0.25">
      <c r="A4449" s="10">
        <v>46164</v>
      </c>
      <c r="B4449" s="6" t="s">
        <v>22</v>
      </c>
      <c r="C4449" s="1" t="s">
        <v>23</v>
      </c>
      <c r="D4449" s="3">
        <v>8</v>
      </c>
      <c r="E4449" s="3">
        <v>7</v>
      </c>
      <c r="F4449" s="3">
        <v>18.34</v>
      </c>
      <c r="G4449" s="3">
        <v>0</v>
      </c>
      <c r="H4449" s="3">
        <v>0</v>
      </c>
      <c r="I4449" s="3">
        <f>E4449+G4449+H4449</f>
        <v>7</v>
      </c>
      <c r="J4449" s="3">
        <f>ROUND(MIN(IF(C4449="Técnico III",35,IF(C4449="Técnico II",28,IF(C4449="Técnico I",23,IF(C4449="JR",20,IF(C4449="Estágio",10,0))))),IF(C4449="Técnico III",SUMIFS($D:$D,$A:$A,$A4449,$B:$B,"&lt;&gt;Patrícia Karla de Sousa Araújo",$B:$B,"&lt;&gt;Lorena Dias de Araujo",$B:$B,"&lt;&gt;Lucas Luiz Romero")*(35/1083),IF(C4449="Técnico II",SUMIFS($D:$D,$A:$A,$A4449,$B:$B,"&lt;&gt;Patrícia Karla de Sousa Araújo",$B:$B,"&lt;&gt;Lorena Dias de Araujo",$B:$B,"&lt;&gt;Lucas Luiz Romero")*(28/1083),IF(C4449="Técnico I",SUMIFS($D:$D,$A:$A,$A4449,$B:$B,"&lt;&gt;Patrícia Karla de Sousa Araújo",$B:$B,"&lt;&gt;Lorena Dias de Araujo",$B:$B,"&lt;&gt;Lucas Luiz Romero")*(23/1083),IF(C4449="JR",SUMIFS($D:$D,$A:$A,$A4449,$B:$B,"&lt;&gt;Patrícia Karla de Sousa Araújo",$B:$B,"&lt;&gt;Lorena Dias de Araujo",$B:$B,"&lt;&gt;Lucas Luiz Romero")*(20/1083),IF(C4449="Estágio",SUMIFS($D:$D,$A:$A,$A4449,$B:$B,"&lt;&gt;Patrícia Karla de Sousa Araújo",$B:$B,"&lt;&gt;Lorena Dias de Araujo",$B:$B,"&lt;&gt;Lucas Luiz Romero")*(10/1083),0)))))),0)</f>
        <v>13</v>
      </c>
      <c r="K4449" s="3">
        <f>I4449-J4449</f>
        <v>-6</v>
      </c>
      <c r="L4449" s="3" t="str">
        <f>IF(K4449&lt;-5,"CRÍTICO",IF(K4449&lt;0,"ATENÇÃO",IF(K4449&lt;=5,"OPORTUNO","MUITO BOM")))</f>
        <v>CRÍTICO</v>
      </c>
      <c r="M4449" s="3">
        <v>7</v>
      </c>
      <c r="N4449" s="3">
        <v>99.06</v>
      </c>
      <c r="O4449" s="3">
        <v>19.417475728155338</v>
      </c>
    </row>
    <row r="4450" spans="1:15" hidden="1" x14ac:dyDescent="0.25">
      <c r="A4450" s="11">
        <v>46167</v>
      </c>
      <c r="B4450" t="s">
        <v>31</v>
      </c>
      <c r="C4450" s="15" t="s">
        <v>32</v>
      </c>
      <c r="D4450" s="3">
        <v>0</v>
      </c>
      <c r="E4450" s="3">
        <v>0</v>
      </c>
      <c r="F4450" s="3">
        <v>0</v>
      </c>
      <c r="G4450" s="3">
        <v>0</v>
      </c>
      <c r="H4450" s="3">
        <v>0</v>
      </c>
      <c r="I4450" s="3">
        <f>E4450+G4450+H4450</f>
        <v>0</v>
      </c>
      <c r="J4450" s="3">
        <f>ROUND(MIN(IF(C4450="Técnico III",35,IF(C4450="Técnico II",28,IF(C4450="Técnico I",23,IF(C4450="JR",20,IF(C4450="Estágio",10,0))))),IF(C4450="Técnico III",SUMIFS($D:$D,$A:$A,$A4450,$B:$B,"&lt;&gt;Patrícia Karla de Sousa Araújo",$B:$B,"&lt;&gt;Lorena Dias de Araujo",$B:$B,"&lt;&gt;Lucas Luiz Romero")*(35/1083),IF(C4450="Técnico II",SUMIFS($D:$D,$A:$A,$A4450,$B:$B,"&lt;&gt;Patrícia Karla de Sousa Araújo",$B:$B,"&lt;&gt;Lorena Dias de Araujo",$B:$B,"&lt;&gt;Lucas Luiz Romero")*(28/1083),IF(C4450="Técnico I",SUMIFS($D:$D,$A:$A,$A4450,$B:$B,"&lt;&gt;Patrícia Karla de Sousa Araújo",$B:$B,"&lt;&gt;Lorena Dias de Araujo",$B:$B,"&lt;&gt;Lucas Luiz Romero")*(23/1083),IF(C4450="JR",SUMIFS($D:$D,$A:$A,$A4450,$B:$B,"&lt;&gt;Patrícia Karla de Sousa Araújo",$B:$B,"&lt;&gt;Lorena Dias de Araujo",$B:$B,"&lt;&gt;Lucas Luiz Romero")*(20/1083),IF(C4450="Estágio",SUMIFS($D:$D,$A:$A,$A4450,$B:$B,"&lt;&gt;Patrícia Karla de Sousa Araújo",$B:$B,"&lt;&gt;Lorena Dias de Araujo",$B:$B,"&lt;&gt;Lucas Luiz Romero")*(10/1083),0)))))),0)</f>
        <v>23</v>
      </c>
      <c r="K4450" s="3">
        <f>I4450-J4450</f>
        <v>-23</v>
      </c>
      <c r="L4450" s="3" t="str">
        <f>IF(K4450&lt;-5,"CRÍTICO",IF(K4450&lt;0,"ATENÇÃO",IF(K4450&lt;=5,"OPORTUNO","MUITO BOM")))</f>
        <v>CRÍTICO</v>
      </c>
      <c r="M4450" s="3">
        <v>0</v>
      </c>
      <c r="N4450" s="3">
        <v>100</v>
      </c>
      <c r="O4450" s="3">
        <v>0</v>
      </c>
    </row>
    <row r="4451" spans="1:15" hidden="1" x14ac:dyDescent="0.25">
      <c r="A4451" s="11">
        <v>46167</v>
      </c>
      <c r="B4451" t="s">
        <v>33</v>
      </c>
      <c r="C4451" s="15" t="s">
        <v>32</v>
      </c>
      <c r="D4451" s="3">
        <v>27</v>
      </c>
      <c r="E4451" s="3">
        <v>23</v>
      </c>
      <c r="F4451" s="3">
        <v>13.5</v>
      </c>
      <c r="G4451" s="3">
        <v>0</v>
      </c>
      <c r="H4451" s="3">
        <v>0</v>
      </c>
      <c r="I4451" s="3">
        <f>E4451+G4451+H4451</f>
        <v>23</v>
      </c>
      <c r="J4451" s="3">
        <f>ROUND(MIN(IF(C4451="Técnico III",35,IF(C4451="Técnico II",28,IF(C4451="Técnico I",23,IF(C4451="JR",20,IF(C4451="Estágio",10,0))))),IF(C4451="Técnico III",SUMIFS($D:$D,$A:$A,$A4451,$B:$B,"&lt;&gt;Patrícia Karla de Sousa Araújo",$B:$B,"&lt;&gt;Lorena Dias de Araujo",$B:$B,"&lt;&gt;Lucas Luiz Romero")*(35/1083),IF(C4451="Técnico II",SUMIFS($D:$D,$A:$A,$A4451,$B:$B,"&lt;&gt;Patrícia Karla de Sousa Araújo",$B:$B,"&lt;&gt;Lorena Dias de Araujo",$B:$B,"&lt;&gt;Lucas Luiz Romero")*(28/1083),IF(C4451="Técnico I",SUMIFS($D:$D,$A:$A,$A4451,$B:$B,"&lt;&gt;Patrícia Karla de Sousa Araújo",$B:$B,"&lt;&gt;Lorena Dias de Araujo",$B:$B,"&lt;&gt;Lucas Luiz Romero")*(23/1083),IF(C4451="JR",SUMIFS($D:$D,$A:$A,$A4451,$B:$B,"&lt;&gt;Patrícia Karla de Sousa Araújo",$B:$B,"&lt;&gt;Lorena Dias de Araujo",$B:$B,"&lt;&gt;Lucas Luiz Romero")*(20/1083),IF(C4451="Estágio",SUMIFS($D:$D,$A:$A,$A4451,$B:$B,"&lt;&gt;Patrícia Karla de Sousa Araújo",$B:$B,"&lt;&gt;Lorena Dias de Araujo",$B:$B,"&lt;&gt;Lucas Luiz Romero")*(10/1083),0)))))),0)</f>
        <v>23</v>
      </c>
      <c r="K4451" s="3">
        <f>I4451-J4451</f>
        <v>0</v>
      </c>
      <c r="L4451" s="3" t="str">
        <f>IF(K4451&lt;-5,"CRÍTICO",IF(K4451&lt;0,"ATENÇÃO",IF(K4451&lt;=5,"OPORTUNO","MUITO BOM")))</f>
        <v>OPORTUNO</v>
      </c>
      <c r="M4451" s="3">
        <v>23</v>
      </c>
      <c r="N4451" s="3">
        <v>96.94</v>
      </c>
      <c r="O4451" s="3">
        <v>19.613259668508292</v>
      </c>
    </row>
    <row r="4452" spans="1:15" hidden="1" x14ac:dyDescent="0.25">
      <c r="A4452" s="11">
        <v>46167</v>
      </c>
      <c r="B4452" t="s">
        <v>34</v>
      </c>
      <c r="C4452" s="15" t="s">
        <v>32</v>
      </c>
      <c r="D4452" s="3">
        <v>25</v>
      </c>
      <c r="E4452" s="3">
        <v>22</v>
      </c>
      <c r="F4452" s="3">
        <v>12.25</v>
      </c>
      <c r="G4452" s="3">
        <v>0</v>
      </c>
      <c r="H4452" s="3">
        <v>0</v>
      </c>
      <c r="I4452" s="3">
        <f>E4452+G4452+H4452</f>
        <v>22</v>
      </c>
      <c r="J4452" s="3">
        <f>ROUND(MIN(IF(C4452="Técnico III",35,IF(C4452="Técnico II",28,IF(C4452="Técnico I",23,IF(C4452="JR",20,IF(C4452="Estágio",10,0))))),IF(C4452="Técnico III",SUMIFS($D:$D,$A:$A,$A4452,$B:$B,"&lt;&gt;Patrícia Karla de Sousa Araújo",$B:$B,"&lt;&gt;Lorena Dias de Araujo",$B:$B,"&lt;&gt;Lucas Luiz Romero")*(35/1083),IF(C4452="Técnico II",SUMIFS($D:$D,$A:$A,$A4452,$B:$B,"&lt;&gt;Patrícia Karla de Sousa Araújo",$B:$B,"&lt;&gt;Lorena Dias de Araujo",$B:$B,"&lt;&gt;Lucas Luiz Romero")*(28/1083),IF(C4452="Técnico I",SUMIFS($D:$D,$A:$A,$A4452,$B:$B,"&lt;&gt;Patrícia Karla de Sousa Araújo",$B:$B,"&lt;&gt;Lorena Dias de Araujo",$B:$B,"&lt;&gt;Lucas Luiz Romero")*(23/1083),IF(C4452="JR",SUMIFS($D:$D,$A:$A,$A4452,$B:$B,"&lt;&gt;Patrícia Karla de Sousa Araújo",$B:$B,"&lt;&gt;Lorena Dias de Araujo",$B:$B,"&lt;&gt;Lucas Luiz Romero")*(20/1083),IF(C4452="Estágio",SUMIFS($D:$D,$A:$A,$A4452,$B:$B,"&lt;&gt;Patrícia Karla de Sousa Araújo",$B:$B,"&lt;&gt;Lorena Dias de Araujo",$B:$B,"&lt;&gt;Lucas Luiz Romero")*(10/1083),0)))))),0)</f>
        <v>23</v>
      </c>
      <c r="K4452" s="3">
        <f>I4452-J4452</f>
        <v>-1</v>
      </c>
      <c r="L4452" s="3" t="str">
        <f>IF(K4452&lt;-5,"CRÍTICO",IF(K4452&lt;0,"ATENÇÃO",IF(K4452&lt;=5,"OPORTUNO","MUITO BOM")))</f>
        <v>ATENÇÃO</v>
      </c>
      <c r="M4452" s="3">
        <v>20</v>
      </c>
      <c r="N4452" s="3">
        <v>92.81</v>
      </c>
      <c r="O4452" s="3">
        <v>25.477707006369432</v>
      </c>
    </row>
    <row r="4453" spans="1:15" hidden="1" x14ac:dyDescent="0.25">
      <c r="A4453" s="11">
        <v>46167</v>
      </c>
      <c r="B4453" t="s">
        <v>35</v>
      </c>
      <c r="C4453" s="15" t="s">
        <v>32</v>
      </c>
      <c r="D4453" s="3">
        <v>0</v>
      </c>
      <c r="E4453" s="3">
        <v>0</v>
      </c>
      <c r="F4453" s="3">
        <v>0</v>
      </c>
      <c r="G4453" s="3">
        <v>0</v>
      </c>
      <c r="H4453" s="3">
        <v>0</v>
      </c>
      <c r="I4453" s="3">
        <f>E4453+G4453+H4453</f>
        <v>0</v>
      </c>
      <c r="J4453" s="3">
        <f>ROUND(MIN(IF(C4453="Técnico III",35,IF(C4453="Técnico II",28,IF(C4453="Técnico I",23,IF(C4453="JR",20,IF(C4453="Estágio",10,0))))),IF(C4453="Técnico III",SUMIFS($D:$D,$A:$A,$A4453,$B:$B,"&lt;&gt;Patrícia Karla de Sousa Araújo",$B:$B,"&lt;&gt;Lorena Dias de Araujo",$B:$B,"&lt;&gt;Lucas Luiz Romero")*(35/1083),IF(C4453="Técnico II",SUMIFS($D:$D,$A:$A,$A4453,$B:$B,"&lt;&gt;Patrícia Karla de Sousa Araújo",$B:$B,"&lt;&gt;Lorena Dias de Araujo",$B:$B,"&lt;&gt;Lucas Luiz Romero")*(28/1083),IF(C4453="Técnico I",SUMIFS($D:$D,$A:$A,$A4453,$B:$B,"&lt;&gt;Patrícia Karla de Sousa Araújo",$B:$B,"&lt;&gt;Lorena Dias de Araujo",$B:$B,"&lt;&gt;Lucas Luiz Romero")*(23/1083),IF(C4453="JR",SUMIFS($D:$D,$A:$A,$A4453,$B:$B,"&lt;&gt;Patrícia Karla de Sousa Araújo",$B:$B,"&lt;&gt;Lorena Dias de Araujo",$B:$B,"&lt;&gt;Lucas Luiz Romero")*(20/1083),IF(C4453="Estágio",SUMIFS($D:$D,$A:$A,$A4453,$B:$B,"&lt;&gt;Patrícia Karla de Sousa Araújo",$B:$B,"&lt;&gt;Lorena Dias de Araujo",$B:$B,"&lt;&gt;Lucas Luiz Romero")*(10/1083),0)))))),0)</f>
        <v>23</v>
      </c>
      <c r="K4453" s="3">
        <f>I4453-J4453</f>
        <v>-23</v>
      </c>
      <c r="L4453" s="3" t="str">
        <f>IF(K4453&lt;-5,"CRÍTICO",IF(K4453&lt;0,"ATENÇÃO",IF(K4453&lt;=5,"OPORTUNO","MUITO BOM")))</f>
        <v>CRÍTICO</v>
      </c>
      <c r="M4453" s="3">
        <v>0</v>
      </c>
      <c r="N4453" s="3">
        <v>99.19</v>
      </c>
      <c r="O4453" s="3">
        <v>28.404669260700391</v>
      </c>
    </row>
    <row r="4454" spans="1:15" hidden="1" x14ac:dyDescent="0.25">
      <c r="A4454" s="11">
        <v>46167</v>
      </c>
      <c r="B4454" t="s">
        <v>36</v>
      </c>
      <c r="C4454" s="15" t="s">
        <v>32</v>
      </c>
      <c r="D4454" s="3">
        <v>20</v>
      </c>
      <c r="E4454" s="3">
        <v>19</v>
      </c>
      <c r="F4454" s="3">
        <v>17.3</v>
      </c>
      <c r="G4454" s="3">
        <v>0</v>
      </c>
      <c r="H4454" s="3">
        <v>0</v>
      </c>
      <c r="I4454" s="3">
        <f>E4454+G4454+H4454</f>
        <v>19</v>
      </c>
      <c r="J4454" s="3">
        <f>ROUND(MIN(IF(C4454="Técnico III",35,IF(C4454="Técnico II",28,IF(C4454="Técnico I",23,IF(C4454="JR",20,IF(C4454="Estágio",10,0))))),IF(C4454="Técnico III",SUMIFS($D:$D,$A:$A,$A4454,$B:$B,"&lt;&gt;Patrícia Karla de Sousa Araújo",$B:$B,"&lt;&gt;Lorena Dias de Araujo",$B:$B,"&lt;&gt;Lucas Luiz Romero")*(35/1083),IF(C4454="Técnico II",SUMIFS($D:$D,$A:$A,$A4454,$B:$B,"&lt;&gt;Patrícia Karla de Sousa Araújo",$B:$B,"&lt;&gt;Lorena Dias de Araujo",$B:$B,"&lt;&gt;Lucas Luiz Romero")*(28/1083),IF(C4454="Técnico I",SUMIFS($D:$D,$A:$A,$A4454,$B:$B,"&lt;&gt;Patrícia Karla de Sousa Araújo",$B:$B,"&lt;&gt;Lorena Dias de Araujo",$B:$B,"&lt;&gt;Lucas Luiz Romero")*(23/1083),IF(C4454="JR",SUMIFS($D:$D,$A:$A,$A4454,$B:$B,"&lt;&gt;Patrícia Karla de Sousa Araújo",$B:$B,"&lt;&gt;Lorena Dias de Araujo",$B:$B,"&lt;&gt;Lucas Luiz Romero")*(20/1083),IF(C4454="Estágio",SUMIFS($D:$D,$A:$A,$A4454,$B:$B,"&lt;&gt;Patrícia Karla de Sousa Araújo",$B:$B,"&lt;&gt;Lorena Dias de Araujo",$B:$B,"&lt;&gt;Lucas Luiz Romero")*(10/1083),0)))))),0)</f>
        <v>23</v>
      </c>
      <c r="K4454" s="3">
        <f>I4454-J4454</f>
        <v>-4</v>
      </c>
      <c r="L4454" s="3" t="str">
        <f>IF(K4454&lt;-5,"CRÍTICO",IF(K4454&lt;0,"ATENÇÃO",IF(K4454&lt;=5,"OPORTUNO","MUITO BOM")))</f>
        <v>ATENÇÃO</v>
      </c>
      <c r="M4454" s="3">
        <v>19</v>
      </c>
      <c r="N4454" s="3">
        <v>100</v>
      </c>
      <c r="O4454" s="3">
        <v>13.51351351351351</v>
      </c>
    </row>
    <row r="4455" spans="1:15" hidden="1" x14ac:dyDescent="0.25">
      <c r="A4455" s="11">
        <v>46167</v>
      </c>
      <c r="B4455" t="s">
        <v>37</v>
      </c>
      <c r="C4455" s="15" t="s">
        <v>32</v>
      </c>
      <c r="D4455" s="3">
        <v>22</v>
      </c>
      <c r="E4455" s="3">
        <v>21</v>
      </c>
      <c r="F4455" s="3">
        <v>17.100000000000001</v>
      </c>
      <c r="G4455" s="3">
        <v>0</v>
      </c>
      <c r="H4455" s="3">
        <v>0</v>
      </c>
      <c r="I4455" s="3">
        <f>E4455+G4455+H4455</f>
        <v>21</v>
      </c>
      <c r="J4455" s="3">
        <f>ROUND(MIN(IF(C4455="Técnico III",35,IF(C4455="Técnico II",28,IF(C4455="Técnico I",23,IF(C4455="JR",20,IF(C4455="Estágio",10,0))))),IF(C4455="Técnico III",SUMIFS($D:$D,$A:$A,$A4455,$B:$B,"&lt;&gt;Patrícia Karla de Sousa Araújo",$B:$B,"&lt;&gt;Lorena Dias de Araujo",$B:$B,"&lt;&gt;Lucas Luiz Romero")*(35/1083),IF(C4455="Técnico II",SUMIFS($D:$D,$A:$A,$A4455,$B:$B,"&lt;&gt;Patrícia Karla de Sousa Araújo",$B:$B,"&lt;&gt;Lorena Dias de Araujo",$B:$B,"&lt;&gt;Lucas Luiz Romero")*(28/1083),IF(C4455="Técnico I",SUMIFS($D:$D,$A:$A,$A4455,$B:$B,"&lt;&gt;Patrícia Karla de Sousa Araújo",$B:$B,"&lt;&gt;Lorena Dias de Araujo",$B:$B,"&lt;&gt;Lucas Luiz Romero")*(23/1083),IF(C4455="JR",SUMIFS($D:$D,$A:$A,$A4455,$B:$B,"&lt;&gt;Patrícia Karla de Sousa Araújo",$B:$B,"&lt;&gt;Lorena Dias de Araujo",$B:$B,"&lt;&gt;Lucas Luiz Romero")*(20/1083),IF(C4455="Estágio",SUMIFS($D:$D,$A:$A,$A4455,$B:$B,"&lt;&gt;Patrícia Karla de Sousa Araújo",$B:$B,"&lt;&gt;Lorena Dias de Araujo",$B:$B,"&lt;&gt;Lucas Luiz Romero")*(10/1083),0)))))),0)</f>
        <v>23</v>
      </c>
      <c r="K4455" s="3">
        <f>I4455-J4455</f>
        <v>-2</v>
      </c>
      <c r="L4455" s="3" t="str">
        <f>IF(K4455&lt;-5,"CRÍTICO",IF(K4455&lt;0,"ATENÇÃO",IF(K4455&lt;=5,"OPORTUNO","MUITO BOM")))</f>
        <v>ATENÇÃO</v>
      </c>
      <c r="M4455" s="3">
        <v>20</v>
      </c>
      <c r="N4455" s="3">
        <v>99</v>
      </c>
      <c r="O4455" s="3">
        <v>22.27414330218069</v>
      </c>
    </row>
    <row r="4456" spans="1:15" hidden="1" x14ac:dyDescent="0.25">
      <c r="A4456" s="11">
        <v>46167</v>
      </c>
      <c r="B4456" t="s">
        <v>38</v>
      </c>
      <c r="C4456" s="15" t="s">
        <v>32</v>
      </c>
      <c r="D4456" s="3">
        <v>17</v>
      </c>
      <c r="E4456" s="3">
        <v>16</v>
      </c>
      <c r="F4456" s="3">
        <v>18.3</v>
      </c>
      <c r="G4456" s="3">
        <v>0</v>
      </c>
      <c r="H4456" s="3">
        <v>0</v>
      </c>
      <c r="I4456" s="3">
        <f>E4456+G4456+H4456</f>
        <v>16</v>
      </c>
      <c r="J4456" s="3">
        <f>ROUND(MIN(IF(C4456="Técnico III",35,IF(C4456="Técnico II",28,IF(C4456="Técnico I",23,IF(C4456="JR",20,IF(C4456="Estágio",10,0))))),IF(C4456="Técnico III",SUMIFS($D:$D,$A:$A,$A4456,$B:$B,"&lt;&gt;Patrícia Karla de Sousa Araújo",$B:$B,"&lt;&gt;Lorena Dias de Araujo",$B:$B,"&lt;&gt;Lucas Luiz Romero")*(35/1083),IF(C4456="Técnico II",SUMIFS($D:$D,$A:$A,$A4456,$B:$B,"&lt;&gt;Patrícia Karla de Sousa Araújo",$B:$B,"&lt;&gt;Lorena Dias de Araujo",$B:$B,"&lt;&gt;Lucas Luiz Romero")*(28/1083),IF(C4456="Técnico I",SUMIFS($D:$D,$A:$A,$A4456,$B:$B,"&lt;&gt;Patrícia Karla de Sousa Araújo",$B:$B,"&lt;&gt;Lorena Dias de Araujo",$B:$B,"&lt;&gt;Lucas Luiz Romero")*(23/1083),IF(C4456="JR",SUMIFS($D:$D,$A:$A,$A4456,$B:$B,"&lt;&gt;Patrícia Karla de Sousa Araújo",$B:$B,"&lt;&gt;Lorena Dias de Araujo",$B:$B,"&lt;&gt;Lucas Luiz Romero")*(20/1083),IF(C4456="Estágio",SUMIFS($D:$D,$A:$A,$A4456,$B:$B,"&lt;&gt;Patrícia Karla de Sousa Araújo",$B:$B,"&lt;&gt;Lorena Dias de Araujo",$B:$B,"&lt;&gt;Lucas Luiz Romero")*(10/1083),0)))))),0)</f>
        <v>23</v>
      </c>
      <c r="K4456" s="3">
        <f>I4456-J4456</f>
        <v>-7</v>
      </c>
      <c r="L4456" s="3" t="str">
        <f>IF(K4456&lt;-5,"CRÍTICO",IF(K4456&lt;0,"ATENÇÃO",IF(K4456&lt;=5,"OPORTUNO","MUITO BOM")))</f>
        <v>CRÍTICO</v>
      </c>
      <c r="M4456" s="3">
        <v>19</v>
      </c>
      <c r="N4456" s="3">
        <v>97.04</v>
      </c>
      <c r="O4456" s="3">
        <v>29.828850855745721</v>
      </c>
    </row>
    <row r="4457" spans="1:15" hidden="1" x14ac:dyDescent="0.25">
      <c r="A4457" s="11">
        <v>46167</v>
      </c>
      <c r="B4457" t="s">
        <v>39</v>
      </c>
      <c r="C4457" s="15" t="s">
        <v>32</v>
      </c>
      <c r="D4457" s="3">
        <v>0</v>
      </c>
      <c r="E4457" s="3">
        <v>0</v>
      </c>
      <c r="F4457" s="3">
        <v>0</v>
      </c>
      <c r="G4457" s="3">
        <v>0</v>
      </c>
      <c r="H4457" s="3">
        <v>0</v>
      </c>
      <c r="I4457" s="3">
        <f>E4457+G4457+H4457</f>
        <v>0</v>
      </c>
      <c r="J4457" s="3">
        <f>ROUND(MIN(IF(C4457="Técnico III",35,IF(C4457="Técnico II",28,IF(C4457="Técnico I",23,IF(C4457="JR",20,IF(C4457="Estágio",10,0))))),IF(C4457="Técnico III",SUMIFS($D:$D,$A:$A,$A4457,$B:$B,"&lt;&gt;Patrícia Karla de Sousa Araújo",$B:$B,"&lt;&gt;Lorena Dias de Araujo",$B:$B,"&lt;&gt;Lucas Luiz Romero")*(35/1083),IF(C4457="Técnico II",SUMIFS($D:$D,$A:$A,$A4457,$B:$B,"&lt;&gt;Patrícia Karla de Sousa Araújo",$B:$B,"&lt;&gt;Lorena Dias de Araujo",$B:$B,"&lt;&gt;Lucas Luiz Romero")*(28/1083),IF(C4457="Técnico I",SUMIFS($D:$D,$A:$A,$A4457,$B:$B,"&lt;&gt;Patrícia Karla de Sousa Araújo",$B:$B,"&lt;&gt;Lorena Dias de Araujo",$B:$B,"&lt;&gt;Lucas Luiz Romero")*(23/1083),IF(C4457="JR",SUMIFS($D:$D,$A:$A,$A4457,$B:$B,"&lt;&gt;Patrícia Karla de Sousa Araújo",$B:$B,"&lt;&gt;Lorena Dias de Araujo",$B:$B,"&lt;&gt;Lucas Luiz Romero")*(20/1083),IF(C4457="Estágio",SUMIFS($D:$D,$A:$A,$A4457,$B:$B,"&lt;&gt;Patrícia Karla de Sousa Araújo",$B:$B,"&lt;&gt;Lorena Dias de Araujo",$B:$B,"&lt;&gt;Lucas Luiz Romero")*(10/1083),0)))))),0)</f>
        <v>23</v>
      </c>
      <c r="K4457" s="3">
        <f>I4457-J4457</f>
        <v>-23</v>
      </c>
      <c r="L4457" s="3" t="str">
        <f>IF(K4457&lt;-5,"CRÍTICO",IF(K4457&lt;0,"ATENÇÃO",IF(K4457&lt;=5,"OPORTUNO","MUITO BOM")))</f>
        <v>CRÍTICO</v>
      </c>
      <c r="M4457" s="3">
        <v>0</v>
      </c>
      <c r="N4457" s="3">
        <v>0</v>
      </c>
      <c r="O4457" s="3">
        <v>0</v>
      </c>
    </row>
    <row r="4458" spans="1:15" hidden="1" x14ac:dyDescent="0.25">
      <c r="A4458" s="11">
        <v>46167</v>
      </c>
      <c r="B4458" t="s">
        <v>40</v>
      </c>
      <c r="C4458" s="15" t="s">
        <v>32</v>
      </c>
      <c r="D4458" s="3">
        <v>27</v>
      </c>
      <c r="E4458" s="3">
        <v>27</v>
      </c>
      <c r="F4458" s="3">
        <v>13.4</v>
      </c>
      <c r="G4458" s="3">
        <v>0</v>
      </c>
      <c r="H4458" s="3">
        <v>0</v>
      </c>
      <c r="I4458" s="3">
        <f>E4458+G4458+H4458</f>
        <v>27</v>
      </c>
      <c r="J4458" s="3">
        <f>ROUND(MIN(IF(C4458="Técnico III",35,IF(C4458="Técnico II",28,IF(C4458="Técnico I",23,IF(C4458="JR",20,IF(C4458="Estágio",10,0))))),IF(C4458="Técnico III",SUMIFS($D:$D,$A:$A,$A4458,$B:$B,"&lt;&gt;Patrícia Karla de Sousa Araújo",$B:$B,"&lt;&gt;Lorena Dias de Araujo",$B:$B,"&lt;&gt;Lucas Luiz Romero")*(35/1083),IF(C4458="Técnico II",SUMIFS($D:$D,$A:$A,$A4458,$B:$B,"&lt;&gt;Patrícia Karla de Sousa Araújo",$B:$B,"&lt;&gt;Lorena Dias de Araujo",$B:$B,"&lt;&gt;Lucas Luiz Romero")*(28/1083),IF(C4458="Técnico I",SUMIFS($D:$D,$A:$A,$A4458,$B:$B,"&lt;&gt;Patrícia Karla de Sousa Araújo",$B:$B,"&lt;&gt;Lorena Dias de Araujo",$B:$B,"&lt;&gt;Lucas Luiz Romero")*(23/1083),IF(C4458="JR",SUMIFS($D:$D,$A:$A,$A4458,$B:$B,"&lt;&gt;Patrícia Karla de Sousa Araújo",$B:$B,"&lt;&gt;Lorena Dias de Araujo",$B:$B,"&lt;&gt;Lucas Luiz Romero")*(20/1083),IF(C4458="Estágio",SUMIFS($D:$D,$A:$A,$A4458,$B:$B,"&lt;&gt;Patrícia Karla de Sousa Araújo",$B:$B,"&lt;&gt;Lorena Dias de Araujo",$B:$B,"&lt;&gt;Lucas Luiz Romero")*(10/1083),0)))))),0)</f>
        <v>23</v>
      </c>
      <c r="K4458" s="3">
        <f>I4458-J4458</f>
        <v>4</v>
      </c>
      <c r="L4458" s="3" t="str">
        <f>IF(K4458&lt;-5,"CRÍTICO",IF(K4458&lt;0,"ATENÇÃO",IF(K4458&lt;=5,"OPORTUNO","MUITO BOM")))</f>
        <v>OPORTUNO</v>
      </c>
      <c r="M4458" s="3">
        <v>28</v>
      </c>
      <c r="N4458" s="3">
        <v>96.84</v>
      </c>
      <c r="O4458" s="3">
        <v>16.338028169014081</v>
      </c>
    </row>
    <row r="4459" spans="1:15" hidden="1" x14ac:dyDescent="0.25">
      <c r="A4459" s="11">
        <v>46167</v>
      </c>
      <c r="B4459" t="s">
        <v>41</v>
      </c>
      <c r="C4459" s="15" t="s">
        <v>32</v>
      </c>
      <c r="D4459" s="3">
        <v>26</v>
      </c>
      <c r="E4459" s="3">
        <v>24</v>
      </c>
      <c r="F4459" s="3">
        <v>16.440000000000001</v>
      </c>
      <c r="G4459" s="3">
        <v>0</v>
      </c>
      <c r="H4459" s="3">
        <v>0</v>
      </c>
      <c r="I4459" s="3">
        <f>E4459+G4459+H4459</f>
        <v>24</v>
      </c>
      <c r="J4459" s="3">
        <f>ROUND(MIN(IF(C4459="Técnico III",35,IF(C4459="Técnico II",28,IF(C4459="Técnico I",23,IF(C4459="JR",20,IF(C4459="Estágio",10,0))))),IF(C4459="Técnico III",SUMIFS($D:$D,$A:$A,$A4459,$B:$B,"&lt;&gt;Patrícia Karla de Sousa Araújo",$B:$B,"&lt;&gt;Lorena Dias de Araujo",$B:$B,"&lt;&gt;Lucas Luiz Romero")*(35/1083),IF(C4459="Técnico II",SUMIFS($D:$D,$A:$A,$A4459,$B:$B,"&lt;&gt;Patrícia Karla de Sousa Araújo",$B:$B,"&lt;&gt;Lorena Dias de Araujo",$B:$B,"&lt;&gt;Lucas Luiz Romero")*(28/1083),IF(C4459="Técnico I",SUMIFS($D:$D,$A:$A,$A4459,$B:$B,"&lt;&gt;Patrícia Karla de Sousa Araújo",$B:$B,"&lt;&gt;Lorena Dias de Araujo",$B:$B,"&lt;&gt;Lucas Luiz Romero")*(23/1083),IF(C4459="JR",SUMIFS($D:$D,$A:$A,$A4459,$B:$B,"&lt;&gt;Patrícia Karla de Sousa Araújo",$B:$B,"&lt;&gt;Lorena Dias de Araujo",$B:$B,"&lt;&gt;Lucas Luiz Romero")*(20/1083),IF(C4459="Estágio",SUMIFS($D:$D,$A:$A,$A4459,$B:$B,"&lt;&gt;Patrícia Karla de Sousa Araújo",$B:$B,"&lt;&gt;Lorena Dias de Araujo",$B:$B,"&lt;&gt;Lucas Luiz Romero")*(10/1083),0)))))),0)</f>
        <v>23</v>
      </c>
      <c r="K4459" s="3">
        <f>I4459-J4459</f>
        <v>1</v>
      </c>
      <c r="L4459" s="3" t="str">
        <f>IF(K4459&lt;-5,"CRÍTICO",IF(K4459&lt;0,"ATENÇÃO",IF(K4459&lt;=5,"OPORTUNO","MUITO BOM")))</f>
        <v>OPORTUNO</v>
      </c>
      <c r="M4459" s="3">
        <v>25</v>
      </c>
      <c r="N4459" s="3">
        <v>100</v>
      </c>
      <c r="O4459" s="3">
        <v>18.244803695150122</v>
      </c>
    </row>
    <row r="4460" spans="1:15" hidden="1" x14ac:dyDescent="0.25">
      <c r="A4460" s="11">
        <v>46167</v>
      </c>
      <c r="B4460" t="s">
        <v>42</v>
      </c>
      <c r="C4460" s="15" t="s">
        <v>32</v>
      </c>
      <c r="D4460" s="3">
        <v>0</v>
      </c>
      <c r="E4460" s="3">
        <v>0</v>
      </c>
      <c r="F4460" s="3">
        <v>0</v>
      </c>
      <c r="G4460" s="3">
        <v>0</v>
      </c>
      <c r="H4460" s="3">
        <v>0</v>
      </c>
      <c r="I4460" s="3">
        <f>E4460+G4460+H4460</f>
        <v>0</v>
      </c>
      <c r="J4460" s="3">
        <f>ROUND(MIN(IF(C4460="Técnico III",35,IF(C4460="Técnico II",28,IF(C4460="Técnico I",23,IF(C4460="JR",20,IF(C4460="Estágio",10,0))))),IF(C4460="Técnico III",SUMIFS($D:$D,$A:$A,$A4460,$B:$B,"&lt;&gt;Patrícia Karla de Sousa Araújo",$B:$B,"&lt;&gt;Lorena Dias de Araujo",$B:$B,"&lt;&gt;Lucas Luiz Romero")*(35/1083),IF(C4460="Técnico II",SUMIFS($D:$D,$A:$A,$A4460,$B:$B,"&lt;&gt;Patrícia Karla de Sousa Araújo",$B:$B,"&lt;&gt;Lorena Dias de Araujo",$B:$B,"&lt;&gt;Lucas Luiz Romero")*(28/1083),IF(C4460="Técnico I",SUMIFS($D:$D,$A:$A,$A4460,$B:$B,"&lt;&gt;Patrícia Karla de Sousa Araújo",$B:$B,"&lt;&gt;Lorena Dias de Araujo",$B:$B,"&lt;&gt;Lucas Luiz Romero")*(23/1083),IF(C4460="JR",SUMIFS($D:$D,$A:$A,$A4460,$B:$B,"&lt;&gt;Patrícia Karla de Sousa Araújo",$B:$B,"&lt;&gt;Lorena Dias de Araujo",$B:$B,"&lt;&gt;Lucas Luiz Romero")*(20/1083),IF(C4460="Estágio",SUMIFS($D:$D,$A:$A,$A4460,$B:$B,"&lt;&gt;Patrícia Karla de Sousa Araújo",$B:$B,"&lt;&gt;Lorena Dias de Araujo",$B:$B,"&lt;&gt;Lucas Luiz Romero")*(10/1083),0)))))),0)</f>
        <v>23</v>
      </c>
      <c r="K4460" s="3">
        <f>I4460-J4460</f>
        <v>-23</v>
      </c>
      <c r="L4460" s="3" t="str">
        <f>IF(K4460&lt;-5,"CRÍTICO",IF(K4460&lt;0,"ATENÇÃO",IF(K4460&lt;=5,"OPORTUNO","MUITO BOM")))</f>
        <v>CRÍTICO</v>
      </c>
      <c r="M4460" s="3">
        <v>9</v>
      </c>
      <c r="N4460" s="3">
        <v>100</v>
      </c>
      <c r="O4460" s="3">
        <v>15.789473684210529</v>
      </c>
    </row>
    <row r="4461" spans="1:15" x14ac:dyDescent="0.25">
      <c r="A4461" s="11">
        <v>46167</v>
      </c>
      <c r="B4461" t="s">
        <v>43</v>
      </c>
      <c r="C4461" s="15" t="s">
        <v>32</v>
      </c>
      <c r="D4461" s="3">
        <v>0</v>
      </c>
      <c r="E4461" s="3">
        <v>0</v>
      </c>
      <c r="F4461" s="3">
        <v>0</v>
      </c>
      <c r="G4461" s="3">
        <v>0</v>
      </c>
      <c r="H4461" s="3">
        <v>41</v>
      </c>
      <c r="I4461" s="3">
        <f>E4461+G4461+H4461</f>
        <v>41</v>
      </c>
      <c r="J4461" s="3">
        <f>ROUND(MIN(IF(C4461="Técnico III",35,IF(C4461="Técnico II",28,IF(C4461="Técnico I",23,IF(C4461="JR",20,IF(C4461="Estágio",10,0))))),IF(C4461="Técnico III",SUMIFS($D:$D,$A:$A,$A4461,$B:$B,"&lt;&gt;Patrícia Karla de Sousa Araújo",$B:$B,"&lt;&gt;Lorena Dias de Araujo",$B:$B,"&lt;&gt;Lucas Luiz Romero")*(35/1083),IF(C4461="Técnico II",SUMIFS($D:$D,$A:$A,$A4461,$B:$B,"&lt;&gt;Patrícia Karla de Sousa Araújo",$B:$B,"&lt;&gt;Lorena Dias de Araujo",$B:$B,"&lt;&gt;Lucas Luiz Romero")*(28/1083),IF(C4461="Técnico I",SUMIFS($D:$D,$A:$A,$A4461,$B:$B,"&lt;&gt;Patrícia Karla de Sousa Araújo",$B:$B,"&lt;&gt;Lorena Dias de Araujo",$B:$B,"&lt;&gt;Lucas Luiz Romero")*(23/1083),IF(C4461="JR",SUMIFS($D:$D,$A:$A,$A4461,$B:$B,"&lt;&gt;Patrícia Karla de Sousa Araújo",$B:$B,"&lt;&gt;Lorena Dias de Araujo",$B:$B,"&lt;&gt;Lucas Luiz Romero")*(20/1083),IF(C4461="Estágio",SUMIFS($D:$D,$A:$A,$A4461,$B:$B,"&lt;&gt;Patrícia Karla de Sousa Araújo",$B:$B,"&lt;&gt;Lorena Dias de Araujo",$B:$B,"&lt;&gt;Lucas Luiz Romero")*(10/1083),0)))))),0)</f>
        <v>23</v>
      </c>
      <c r="K4461" s="3">
        <f>I4461-J4461</f>
        <v>18</v>
      </c>
      <c r="L4461" s="3" t="str">
        <f>IF(K4461&lt;-5,"CRÍTICO",IF(K4461&lt;0,"ATENÇÃO",IF(K4461&lt;=5,"OPORTUNO","MUITO BOM")))</f>
        <v>MUITO BOM</v>
      </c>
      <c r="M4461" s="3">
        <v>14</v>
      </c>
      <c r="N4461" s="3">
        <v>98.39</v>
      </c>
      <c r="O4461" s="3">
        <v>8.7999999999999989</v>
      </c>
    </row>
    <row r="4462" spans="1:15" hidden="1" x14ac:dyDescent="0.25">
      <c r="A4462" s="11">
        <v>46167</v>
      </c>
      <c r="B4462" t="s">
        <v>44</v>
      </c>
      <c r="C4462" s="15" t="s">
        <v>32</v>
      </c>
      <c r="D4462" s="3">
        <v>25</v>
      </c>
      <c r="E4462" s="3">
        <v>24</v>
      </c>
      <c r="F4462" s="3">
        <v>17.350000000000001</v>
      </c>
      <c r="G4462" s="3">
        <v>0</v>
      </c>
      <c r="H4462" s="3">
        <v>0</v>
      </c>
      <c r="I4462" s="3">
        <f>E4462+G4462+H4462</f>
        <v>24</v>
      </c>
      <c r="J4462" s="3">
        <f>ROUND(MIN(IF(C4462="Técnico III",35,IF(C4462="Técnico II",28,IF(C4462="Técnico I",23,IF(C4462="JR",20,IF(C4462="Estágio",10,0))))),IF(C4462="Técnico III",SUMIFS($D:$D,$A:$A,$A4462,$B:$B,"&lt;&gt;Patrícia Karla de Sousa Araújo",$B:$B,"&lt;&gt;Lorena Dias de Araujo",$B:$B,"&lt;&gt;Lucas Luiz Romero")*(35/1083),IF(C4462="Técnico II",SUMIFS($D:$D,$A:$A,$A4462,$B:$B,"&lt;&gt;Patrícia Karla de Sousa Araújo",$B:$B,"&lt;&gt;Lorena Dias de Araujo",$B:$B,"&lt;&gt;Lucas Luiz Romero")*(28/1083),IF(C4462="Técnico I",SUMIFS($D:$D,$A:$A,$A4462,$B:$B,"&lt;&gt;Patrícia Karla de Sousa Araújo",$B:$B,"&lt;&gt;Lorena Dias de Araujo",$B:$B,"&lt;&gt;Lucas Luiz Romero")*(23/1083),IF(C4462="JR",SUMIFS($D:$D,$A:$A,$A4462,$B:$B,"&lt;&gt;Patrícia Karla de Sousa Araújo",$B:$B,"&lt;&gt;Lorena Dias de Araujo",$B:$B,"&lt;&gt;Lucas Luiz Romero")*(20/1083),IF(C4462="Estágio",SUMIFS($D:$D,$A:$A,$A4462,$B:$B,"&lt;&gt;Patrícia Karla de Sousa Araújo",$B:$B,"&lt;&gt;Lorena Dias de Araujo",$B:$B,"&lt;&gt;Lucas Luiz Romero")*(10/1083),0)))))),0)</f>
        <v>23</v>
      </c>
      <c r="K4462" s="3">
        <f>I4462-J4462</f>
        <v>1</v>
      </c>
      <c r="L4462" s="3" t="str">
        <f>IF(K4462&lt;-5,"CRÍTICO",IF(K4462&lt;0,"ATENÇÃO",IF(K4462&lt;=5,"OPORTUNO","MUITO BOM")))</f>
        <v>OPORTUNO</v>
      </c>
      <c r="M4462" s="3">
        <v>22</v>
      </c>
      <c r="N4462" s="3">
        <v>96.38</v>
      </c>
      <c r="O4462" s="3">
        <v>23.198198198198199</v>
      </c>
    </row>
    <row r="4463" spans="1:15" hidden="1" x14ac:dyDescent="0.25">
      <c r="A4463" s="11">
        <v>46167</v>
      </c>
      <c r="B4463" t="s">
        <v>45</v>
      </c>
      <c r="C4463" s="15" t="s">
        <v>32</v>
      </c>
      <c r="D4463" s="3">
        <v>27</v>
      </c>
      <c r="E4463" s="3">
        <v>24</v>
      </c>
      <c r="F4463" s="3">
        <v>13.43</v>
      </c>
      <c r="G4463" s="3">
        <v>0</v>
      </c>
      <c r="H4463" s="3">
        <v>0</v>
      </c>
      <c r="I4463" s="3">
        <f>E4463+G4463+H4463</f>
        <v>24</v>
      </c>
      <c r="J4463" s="3">
        <f>ROUND(MIN(IF(C4463="Técnico III",35,IF(C4463="Técnico II",28,IF(C4463="Técnico I",23,IF(C4463="JR",20,IF(C4463="Estágio",10,0))))),IF(C4463="Técnico III",SUMIFS($D:$D,$A:$A,$A4463,$B:$B,"&lt;&gt;Patrícia Karla de Sousa Araújo",$B:$B,"&lt;&gt;Lorena Dias de Araujo",$B:$B,"&lt;&gt;Lucas Luiz Romero")*(35/1083),IF(C4463="Técnico II",SUMIFS($D:$D,$A:$A,$A4463,$B:$B,"&lt;&gt;Patrícia Karla de Sousa Araújo",$B:$B,"&lt;&gt;Lorena Dias de Araujo",$B:$B,"&lt;&gt;Lucas Luiz Romero")*(28/1083),IF(C4463="Técnico I",SUMIFS($D:$D,$A:$A,$A4463,$B:$B,"&lt;&gt;Patrícia Karla de Sousa Araújo",$B:$B,"&lt;&gt;Lorena Dias de Araujo",$B:$B,"&lt;&gt;Lucas Luiz Romero")*(23/1083),IF(C4463="JR",SUMIFS($D:$D,$A:$A,$A4463,$B:$B,"&lt;&gt;Patrícia Karla de Sousa Araújo",$B:$B,"&lt;&gt;Lorena Dias de Araujo",$B:$B,"&lt;&gt;Lucas Luiz Romero")*(20/1083),IF(C4463="Estágio",SUMIFS($D:$D,$A:$A,$A4463,$B:$B,"&lt;&gt;Patrícia Karla de Sousa Araújo",$B:$B,"&lt;&gt;Lorena Dias de Araujo",$B:$B,"&lt;&gt;Lucas Luiz Romero")*(10/1083),0)))))),0)</f>
        <v>23</v>
      </c>
      <c r="K4463" s="3">
        <f>I4463-J4463</f>
        <v>1</v>
      </c>
      <c r="L4463" s="3" t="str">
        <f>IF(K4463&lt;-5,"CRÍTICO",IF(K4463&lt;0,"ATENÇÃO",IF(K4463&lt;=5,"OPORTUNO","MUITO BOM")))</f>
        <v>OPORTUNO</v>
      </c>
      <c r="M4463" s="3">
        <v>19</v>
      </c>
      <c r="N4463" s="3">
        <v>99.39</v>
      </c>
      <c r="O4463" s="3">
        <v>25.203252032520329</v>
      </c>
    </row>
    <row r="4464" spans="1:15" hidden="1" x14ac:dyDescent="0.25">
      <c r="A4464" s="11">
        <v>46167</v>
      </c>
      <c r="B4464" t="s">
        <v>46</v>
      </c>
      <c r="C4464" s="15" t="s">
        <v>32</v>
      </c>
      <c r="D4464" s="3">
        <v>27</v>
      </c>
      <c r="E4464" s="3">
        <v>25</v>
      </c>
      <c r="F4464" s="3">
        <v>10.34</v>
      </c>
      <c r="G4464" s="3">
        <v>0</v>
      </c>
      <c r="H4464" s="3">
        <v>0</v>
      </c>
      <c r="I4464" s="3">
        <f>E4464+G4464+H4464</f>
        <v>25</v>
      </c>
      <c r="J4464" s="3">
        <f>ROUND(MIN(IF(C4464="Técnico III",35,IF(C4464="Técnico II",28,IF(C4464="Técnico I",23,IF(C4464="JR",20,IF(C4464="Estágio",10,0))))),IF(C4464="Técnico III",SUMIFS($D:$D,$A:$A,$A4464,$B:$B,"&lt;&gt;Patrícia Karla de Sousa Araújo",$B:$B,"&lt;&gt;Lorena Dias de Araujo",$B:$B,"&lt;&gt;Lucas Luiz Romero")*(35/1083),IF(C4464="Técnico II",SUMIFS($D:$D,$A:$A,$A4464,$B:$B,"&lt;&gt;Patrícia Karla de Sousa Araújo",$B:$B,"&lt;&gt;Lorena Dias de Araujo",$B:$B,"&lt;&gt;Lucas Luiz Romero")*(28/1083),IF(C4464="Técnico I",SUMIFS($D:$D,$A:$A,$A4464,$B:$B,"&lt;&gt;Patrícia Karla de Sousa Araújo",$B:$B,"&lt;&gt;Lorena Dias de Araujo",$B:$B,"&lt;&gt;Lucas Luiz Romero")*(23/1083),IF(C4464="JR",SUMIFS($D:$D,$A:$A,$A4464,$B:$B,"&lt;&gt;Patrícia Karla de Sousa Araújo",$B:$B,"&lt;&gt;Lorena Dias de Araujo",$B:$B,"&lt;&gt;Lucas Luiz Romero")*(20/1083),IF(C4464="Estágio",SUMIFS($D:$D,$A:$A,$A4464,$B:$B,"&lt;&gt;Patrícia Karla de Sousa Araújo",$B:$B,"&lt;&gt;Lorena Dias de Araujo",$B:$B,"&lt;&gt;Lucas Luiz Romero")*(10/1083),0)))))),0)</f>
        <v>23</v>
      </c>
      <c r="K4464" s="3">
        <f>I4464-J4464</f>
        <v>2</v>
      </c>
      <c r="L4464" s="3" t="str">
        <f>IF(K4464&lt;-5,"CRÍTICO",IF(K4464&lt;0,"ATENÇÃO",IF(K4464&lt;=5,"OPORTUNO","MUITO BOM")))</f>
        <v>OPORTUNO</v>
      </c>
      <c r="M4464" s="3">
        <v>23</v>
      </c>
      <c r="N4464" s="3">
        <v>97</v>
      </c>
      <c r="O4464" s="3">
        <v>20.325203252032519</v>
      </c>
    </row>
    <row r="4465" spans="1:15" hidden="1" x14ac:dyDescent="0.25">
      <c r="A4465" s="13">
        <v>46167</v>
      </c>
      <c r="B4465" t="s">
        <v>47</v>
      </c>
      <c r="C4465" s="15" t="s">
        <v>48</v>
      </c>
      <c r="D4465" s="3">
        <v>34</v>
      </c>
      <c r="E4465" s="3">
        <v>30</v>
      </c>
      <c r="F4465" s="3">
        <v>10.14</v>
      </c>
      <c r="G4465" s="3">
        <v>0</v>
      </c>
      <c r="H4465" s="3">
        <v>0</v>
      </c>
      <c r="I4465" s="3">
        <f>E4465+G4465+H4465</f>
        <v>30</v>
      </c>
      <c r="J4465" s="3">
        <f>ROUND(MIN(IF(C4465="Técnico III",35,IF(C4465="Técnico II",28,IF(C4465="Técnico I",23,IF(C4465="JR",20,IF(C4465="Estágio",10,0))))),IF(C4465="Técnico III",SUMIFS($D:$D,$A:$A,$A4465,$B:$B,"&lt;&gt;Patrícia Karla de Sousa Araújo",$B:$B,"&lt;&gt;Lorena Dias de Araujo",$B:$B,"&lt;&gt;Lucas Luiz Romero")*(35/1083),IF(C4465="Técnico II",SUMIFS($D:$D,$A:$A,$A4465,$B:$B,"&lt;&gt;Patrícia Karla de Sousa Araújo",$B:$B,"&lt;&gt;Lorena Dias de Araujo",$B:$B,"&lt;&gt;Lucas Luiz Romero")*(28/1083),IF(C4465="Técnico I",SUMIFS($D:$D,$A:$A,$A4465,$B:$B,"&lt;&gt;Patrícia Karla de Sousa Araújo",$B:$B,"&lt;&gt;Lorena Dias de Araujo",$B:$B,"&lt;&gt;Lucas Luiz Romero")*(23/1083),IF(C4465="JR",SUMIFS($D:$D,$A:$A,$A4465,$B:$B,"&lt;&gt;Patrícia Karla de Sousa Araújo",$B:$B,"&lt;&gt;Lorena Dias de Araujo",$B:$B,"&lt;&gt;Lucas Luiz Romero")*(20/1083),IF(C4465="Estágio",SUMIFS($D:$D,$A:$A,$A4465,$B:$B,"&lt;&gt;Patrícia Karla de Sousa Araújo",$B:$B,"&lt;&gt;Lorena Dias de Araujo",$B:$B,"&lt;&gt;Lucas Luiz Romero")*(10/1083),0)))))),0)</f>
        <v>18</v>
      </c>
      <c r="K4465" s="3">
        <f>I4465-J4465</f>
        <v>12</v>
      </c>
      <c r="L4465" s="3" t="str">
        <f>IF(K4465&lt;-5,"CRÍTICO",IF(K4465&lt;0,"ATENÇÃO",IF(K4465&lt;=5,"OPORTUNO","MUITO BOM")))</f>
        <v>MUITO BOM</v>
      </c>
      <c r="M4465" s="3">
        <v>23</v>
      </c>
      <c r="N4465" s="3">
        <v>99.18</v>
      </c>
      <c r="O4465" s="3">
        <v>24.501424501424498</v>
      </c>
    </row>
    <row r="4466" spans="1:15" hidden="1" x14ac:dyDescent="0.25">
      <c r="A4466" s="11">
        <v>46167</v>
      </c>
      <c r="B4466" t="s">
        <v>49</v>
      </c>
      <c r="C4466" s="15" t="s">
        <v>48</v>
      </c>
      <c r="D4466" s="3">
        <v>35</v>
      </c>
      <c r="E4466" s="3">
        <v>31</v>
      </c>
      <c r="F4466" s="3">
        <v>10.11</v>
      </c>
      <c r="G4466" s="3">
        <v>0</v>
      </c>
      <c r="H4466" s="3">
        <v>0</v>
      </c>
      <c r="I4466" s="3">
        <f>E4466+G4466+H4466</f>
        <v>31</v>
      </c>
      <c r="J4466" s="3">
        <f>ROUND(MIN(IF(C4466="Técnico III",35,IF(C4466="Técnico II",28,IF(C4466="Técnico I",23,IF(C4466="JR",20,IF(C4466="Estágio",10,0))))),IF(C4466="Técnico III",SUMIFS($D:$D,$A:$A,$A4466,$B:$B,"&lt;&gt;Patrícia Karla de Sousa Araújo",$B:$B,"&lt;&gt;Lorena Dias de Araujo",$B:$B,"&lt;&gt;Lucas Luiz Romero")*(35/1083),IF(C4466="Técnico II",SUMIFS($D:$D,$A:$A,$A4466,$B:$B,"&lt;&gt;Patrícia Karla de Sousa Araújo",$B:$B,"&lt;&gt;Lorena Dias de Araujo",$B:$B,"&lt;&gt;Lucas Luiz Romero")*(28/1083),IF(C4466="Técnico I",SUMIFS($D:$D,$A:$A,$A4466,$B:$B,"&lt;&gt;Patrícia Karla de Sousa Araújo",$B:$B,"&lt;&gt;Lorena Dias de Araujo",$B:$B,"&lt;&gt;Lucas Luiz Romero")*(23/1083),IF(C4466="JR",SUMIFS($D:$D,$A:$A,$A4466,$B:$B,"&lt;&gt;Patrícia Karla de Sousa Araújo",$B:$B,"&lt;&gt;Lorena Dias de Araujo",$B:$B,"&lt;&gt;Lucas Luiz Romero")*(20/1083),IF(C4466="Estágio",SUMIFS($D:$D,$A:$A,$A4466,$B:$B,"&lt;&gt;Patrícia Karla de Sousa Araújo",$B:$B,"&lt;&gt;Lorena Dias de Araujo",$B:$B,"&lt;&gt;Lucas Luiz Romero")*(10/1083),0)))))),0)</f>
        <v>18</v>
      </c>
      <c r="K4466" s="3">
        <f>I4466-J4466</f>
        <v>13</v>
      </c>
      <c r="L4466" s="3" t="str">
        <f>IF(K4466&lt;-5,"CRÍTICO",IF(K4466&lt;0,"ATENÇÃO",IF(K4466&lt;=5,"OPORTUNO","MUITO BOM")))</f>
        <v>MUITO BOM</v>
      </c>
      <c r="M4466" s="3">
        <v>30</v>
      </c>
      <c r="N4466" s="3">
        <v>99.35</v>
      </c>
      <c r="O4466" s="3">
        <v>19.852941176470591</v>
      </c>
    </row>
    <row r="4467" spans="1:15" hidden="1" x14ac:dyDescent="0.25">
      <c r="A4467" s="11">
        <v>46167</v>
      </c>
      <c r="B4467" t="s">
        <v>50</v>
      </c>
      <c r="C4467" s="15" t="s">
        <v>48</v>
      </c>
      <c r="D4467" s="3">
        <v>23</v>
      </c>
      <c r="E4467" s="3">
        <v>23</v>
      </c>
      <c r="F4467" s="3">
        <v>20.51</v>
      </c>
      <c r="G4467" s="3">
        <v>0</v>
      </c>
      <c r="H4467" s="3">
        <v>0</v>
      </c>
      <c r="I4467" s="3">
        <f>E4467+G4467+H4467</f>
        <v>23</v>
      </c>
      <c r="J4467" s="3">
        <f>ROUND(MIN(IF(C4467="Técnico III",35,IF(C4467="Técnico II",28,IF(C4467="Técnico I",23,IF(C4467="JR",20,IF(C4467="Estágio",10,0))))),IF(C4467="Técnico III",SUMIFS($D:$D,$A:$A,$A4467,$B:$B,"&lt;&gt;Patrícia Karla de Sousa Araújo",$B:$B,"&lt;&gt;Lorena Dias de Araujo",$B:$B,"&lt;&gt;Lucas Luiz Romero")*(35/1083),IF(C4467="Técnico II",SUMIFS($D:$D,$A:$A,$A4467,$B:$B,"&lt;&gt;Patrícia Karla de Sousa Araújo",$B:$B,"&lt;&gt;Lorena Dias de Araujo",$B:$B,"&lt;&gt;Lucas Luiz Romero")*(28/1083),IF(C4467="Técnico I",SUMIFS($D:$D,$A:$A,$A4467,$B:$B,"&lt;&gt;Patrícia Karla de Sousa Araújo",$B:$B,"&lt;&gt;Lorena Dias de Araujo",$B:$B,"&lt;&gt;Lucas Luiz Romero")*(23/1083),IF(C4467="JR",SUMIFS($D:$D,$A:$A,$A4467,$B:$B,"&lt;&gt;Patrícia Karla de Sousa Araújo",$B:$B,"&lt;&gt;Lorena Dias de Araujo",$B:$B,"&lt;&gt;Lucas Luiz Romero")*(20/1083),IF(C4467="Estágio",SUMIFS($D:$D,$A:$A,$A4467,$B:$B,"&lt;&gt;Patrícia Karla de Sousa Araújo",$B:$B,"&lt;&gt;Lorena Dias de Araujo",$B:$B,"&lt;&gt;Lucas Luiz Romero")*(10/1083),0)))))),0)</f>
        <v>18</v>
      </c>
      <c r="K4467" s="3">
        <f>I4467-J4467</f>
        <v>5</v>
      </c>
      <c r="L4467" s="3" t="str">
        <f>IF(K4467&lt;-5,"CRÍTICO",IF(K4467&lt;0,"ATENÇÃO",IF(K4467&lt;=5,"OPORTUNO","MUITO BOM")))</f>
        <v>OPORTUNO</v>
      </c>
      <c r="M4467" s="3">
        <v>20</v>
      </c>
      <c r="N4467" s="3">
        <v>99.07</v>
      </c>
      <c r="O4467" s="3">
        <v>20.098039215686271</v>
      </c>
    </row>
    <row r="4468" spans="1:15" hidden="1" x14ac:dyDescent="0.25">
      <c r="A4468" s="11">
        <v>46167</v>
      </c>
      <c r="B4468" t="s">
        <v>51</v>
      </c>
      <c r="C4468" s="15" t="s">
        <v>48</v>
      </c>
      <c r="D4468" s="3">
        <v>0</v>
      </c>
      <c r="E4468" s="3">
        <v>0</v>
      </c>
      <c r="F4468" s="3">
        <v>0</v>
      </c>
      <c r="G4468" s="3">
        <v>0</v>
      </c>
      <c r="H4468" s="3">
        <v>0</v>
      </c>
      <c r="I4468" s="3">
        <f>E4468+G4468+H4468</f>
        <v>0</v>
      </c>
      <c r="J4468" s="3">
        <f>ROUND(MIN(IF(C4468="Técnico III",35,IF(C4468="Técnico II",28,IF(C4468="Técnico I",23,IF(C4468="JR",20,IF(C4468="Estágio",10,0))))),IF(C4468="Técnico III",SUMIFS($D:$D,$A:$A,$A4468,$B:$B,"&lt;&gt;Patrícia Karla de Sousa Araújo",$B:$B,"&lt;&gt;Lorena Dias de Araujo",$B:$B,"&lt;&gt;Lucas Luiz Romero")*(35/1083),IF(C4468="Técnico II",SUMIFS($D:$D,$A:$A,$A4468,$B:$B,"&lt;&gt;Patrícia Karla de Sousa Araújo",$B:$B,"&lt;&gt;Lorena Dias de Araujo",$B:$B,"&lt;&gt;Lucas Luiz Romero")*(28/1083),IF(C4468="Técnico I",SUMIFS($D:$D,$A:$A,$A4468,$B:$B,"&lt;&gt;Patrícia Karla de Sousa Araújo",$B:$B,"&lt;&gt;Lorena Dias de Araujo",$B:$B,"&lt;&gt;Lucas Luiz Romero")*(23/1083),IF(C4468="JR",SUMIFS($D:$D,$A:$A,$A4468,$B:$B,"&lt;&gt;Patrícia Karla de Sousa Araújo",$B:$B,"&lt;&gt;Lorena Dias de Araujo",$B:$B,"&lt;&gt;Lucas Luiz Romero")*(20/1083),IF(C4468="Estágio",SUMIFS($D:$D,$A:$A,$A4468,$B:$B,"&lt;&gt;Patrícia Karla de Sousa Araújo",$B:$B,"&lt;&gt;Lorena Dias de Araujo",$B:$B,"&lt;&gt;Lucas Luiz Romero")*(10/1083),0)))))),0)</f>
        <v>18</v>
      </c>
      <c r="K4468" s="3">
        <f>I4468-J4468</f>
        <v>-18</v>
      </c>
      <c r="L4468" s="3" t="str">
        <f>IF(K4468&lt;-5,"CRÍTICO",IF(K4468&lt;0,"ATENÇÃO",IF(K4468&lt;=5,"OPORTUNO","MUITO BOM")))</f>
        <v>CRÍTICO</v>
      </c>
      <c r="M4468" s="3">
        <v>0</v>
      </c>
      <c r="N4468" s="3">
        <v>98.81</v>
      </c>
      <c r="O4468" s="3">
        <v>22.767857142857139</v>
      </c>
    </row>
    <row r="4469" spans="1:15" hidden="1" x14ac:dyDescent="0.25">
      <c r="A4469" s="11">
        <v>46167</v>
      </c>
      <c r="B4469" t="s">
        <v>52</v>
      </c>
      <c r="C4469" s="15" t="s">
        <v>48</v>
      </c>
      <c r="D4469" s="3">
        <v>23</v>
      </c>
      <c r="E4469" s="3">
        <v>21</v>
      </c>
      <c r="F4469" s="3">
        <v>13.4</v>
      </c>
      <c r="G4469" s="3">
        <v>0</v>
      </c>
      <c r="H4469" s="3">
        <v>0</v>
      </c>
      <c r="I4469" s="3">
        <f>E4469+G4469+H4469</f>
        <v>21</v>
      </c>
      <c r="J4469" s="3">
        <f>ROUND(MIN(IF(C4469="Técnico III",35,IF(C4469="Técnico II",28,IF(C4469="Técnico I",23,IF(C4469="JR",20,IF(C4469="Estágio",10,0))))),IF(C4469="Técnico III",SUMIFS($D:$D,$A:$A,$A4469,$B:$B,"&lt;&gt;Patrícia Karla de Sousa Araújo",$B:$B,"&lt;&gt;Lorena Dias de Araujo",$B:$B,"&lt;&gt;Lucas Luiz Romero")*(35/1083),IF(C4469="Técnico II",SUMIFS($D:$D,$A:$A,$A4469,$B:$B,"&lt;&gt;Patrícia Karla de Sousa Araújo",$B:$B,"&lt;&gt;Lorena Dias de Araujo",$B:$B,"&lt;&gt;Lucas Luiz Romero")*(28/1083),IF(C4469="Técnico I",SUMIFS($D:$D,$A:$A,$A4469,$B:$B,"&lt;&gt;Patrícia Karla de Sousa Araújo",$B:$B,"&lt;&gt;Lorena Dias de Araujo",$B:$B,"&lt;&gt;Lucas Luiz Romero")*(23/1083),IF(C4469="JR",SUMIFS($D:$D,$A:$A,$A4469,$B:$B,"&lt;&gt;Patrícia Karla de Sousa Araújo",$B:$B,"&lt;&gt;Lorena Dias de Araujo",$B:$B,"&lt;&gt;Lucas Luiz Romero")*(20/1083),IF(C4469="Estágio",SUMIFS($D:$D,$A:$A,$A4469,$B:$B,"&lt;&gt;Patrícia Karla de Sousa Araújo",$B:$B,"&lt;&gt;Lorena Dias de Araujo",$B:$B,"&lt;&gt;Lucas Luiz Romero")*(10/1083),0)))))),0)</f>
        <v>18</v>
      </c>
      <c r="K4469" s="3">
        <f>I4469-J4469</f>
        <v>3</v>
      </c>
      <c r="L4469" s="3" t="str">
        <f>IF(K4469&lt;-5,"CRÍTICO",IF(K4469&lt;0,"ATENÇÃO",IF(K4469&lt;=5,"OPORTUNO","MUITO BOM")))</f>
        <v>OPORTUNO</v>
      </c>
      <c r="M4469" s="3">
        <v>17</v>
      </c>
      <c r="N4469" s="3">
        <v>99.01</v>
      </c>
      <c r="O4469" s="3">
        <v>17.766497461928939</v>
      </c>
    </row>
    <row r="4470" spans="1:15" hidden="1" x14ac:dyDescent="0.25">
      <c r="A4470" s="11">
        <v>46167</v>
      </c>
      <c r="B4470" t="s">
        <v>53</v>
      </c>
      <c r="C4470" s="15" t="s">
        <v>48</v>
      </c>
      <c r="D4470" s="3">
        <v>0</v>
      </c>
      <c r="E4470" s="3">
        <v>0</v>
      </c>
      <c r="F4470" s="3">
        <v>0</v>
      </c>
      <c r="G4470" s="3">
        <v>0</v>
      </c>
      <c r="H4470" s="3">
        <v>0</v>
      </c>
      <c r="I4470" s="3">
        <f>E4470+G4470+H4470</f>
        <v>0</v>
      </c>
      <c r="J4470" s="3">
        <f>ROUND(MIN(IF(C4470="Técnico III",35,IF(C4470="Técnico II",28,IF(C4470="Técnico I",23,IF(C4470="JR",20,IF(C4470="Estágio",10,0))))),IF(C4470="Técnico III",SUMIFS($D:$D,$A:$A,$A4470,$B:$B,"&lt;&gt;Patrícia Karla de Sousa Araújo",$B:$B,"&lt;&gt;Lorena Dias de Araujo",$B:$B,"&lt;&gt;Lucas Luiz Romero")*(35/1083),IF(C4470="Técnico II",SUMIFS($D:$D,$A:$A,$A4470,$B:$B,"&lt;&gt;Patrícia Karla de Sousa Araújo",$B:$B,"&lt;&gt;Lorena Dias de Araujo",$B:$B,"&lt;&gt;Lucas Luiz Romero")*(28/1083),IF(C4470="Técnico I",SUMIFS($D:$D,$A:$A,$A4470,$B:$B,"&lt;&gt;Patrícia Karla de Sousa Araújo",$B:$B,"&lt;&gt;Lorena Dias de Araujo",$B:$B,"&lt;&gt;Lucas Luiz Romero")*(23/1083),IF(C4470="JR",SUMIFS($D:$D,$A:$A,$A4470,$B:$B,"&lt;&gt;Patrícia Karla de Sousa Araújo",$B:$B,"&lt;&gt;Lorena Dias de Araujo",$B:$B,"&lt;&gt;Lucas Luiz Romero")*(20/1083),IF(C4470="Estágio",SUMIFS($D:$D,$A:$A,$A4470,$B:$B,"&lt;&gt;Patrícia Karla de Sousa Araújo",$B:$B,"&lt;&gt;Lorena Dias de Araujo",$B:$B,"&lt;&gt;Lucas Luiz Romero")*(10/1083),0)))))),0)</f>
        <v>18</v>
      </c>
      <c r="K4470" s="3">
        <f>I4470-J4470</f>
        <v>-18</v>
      </c>
      <c r="L4470" s="3" t="str">
        <f>IF(K4470&lt;-5,"CRÍTICO",IF(K4470&lt;0,"ATENÇÃO",IF(K4470&lt;=5,"OPORTUNO","MUITO BOM")))</f>
        <v>CRÍTICO</v>
      </c>
      <c r="M4470" s="3">
        <v>0</v>
      </c>
      <c r="N4470" s="3">
        <v>100</v>
      </c>
      <c r="O4470" s="3">
        <v>17.241379310344829</v>
      </c>
    </row>
    <row r="4471" spans="1:15" hidden="1" x14ac:dyDescent="0.25">
      <c r="A4471" s="11">
        <v>46167</v>
      </c>
      <c r="B4471" t="s">
        <v>54</v>
      </c>
      <c r="C4471" s="15" t="s">
        <v>48</v>
      </c>
      <c r="D4471" s="3">
        <v>27</v>
      </c>
      <c r="E4471" s="3">
        <v>23</v>
      </c>
      <c r="F4471" s="3">
        <v>15.42</v>
      </c>
      <c r="G4471" s="3">
        <v>0</v>
      </c>
      <c r="H4471" s="3">
        <v>0</v>
      </c>
      <c r="I4471" s="3">
        <f>E4471+G4471+H4471</f>
        <v>23</v>
      </c>
      <c r="J4471" s="3">
        <f>ROUND(MIN(IF(C4471="Técnico III",35,IF(C4471="Técnico II",28,IF(C4471="Técnico I",23,IF(C4471="JR",20,IF(C4471="Estágio",10,0))))),IF(C4471="Técnico III",SUMIFS($D:$D,$A:$A,$A4471,$B:$B,"&lt;&gt;Patrícia Karla de Sousa Araújo",$B:$B,"&lt;&gt;Lorena Dias de Araujo",$B:$B,"&lt;&gt;Lucas Luiz Romero")*(35/1083),IF(C4471="Técnico II",SUMIFS($D:$D,$A:$A,$A4471,$B:$B,"&lt;&gt;Patrícia Karla de Sousa Araújo",$B:$B,"&lt;&gt;Lorena Dias de Araujo",$B:$B,"&lt;&gt;Lucas Luiz Romero")*(28/1083),IF(C4471="Técnico I",SUMIFS($D:$D,$A:$A,$A4471,$B:$B,"&lt;&gt;Patrícia Karla de Sousa Araújo",$B:$B,"&lt;&gt;Lorena Dias de Araujo",$B:$B,"&lt;&gt;Lucas Luiz Romero")*(23/1083),IF(C4471="JR",SUMIFS($D:$D,$A:$A,$A4471,$B:$B,"&lt;&gt;Patrícia Karla de Sousa Araújo",$B:$B,"&lt;&gt;Lorena Dias de Araujo",$B:$B,"&lt;&gt;Lucas Luiz Romero")*(20/1083),IF(C4471="Estágio",SUMIFS($D:$D,$A:$A,$A4471,$B:$B,"&lt;&gt;Patrícia Karla de Sousa Araújo",$B:$B,"&lt;&gt;Lorena Dias de Araujo",$B:$B,"&lt;&gt;Lucas Luiz Romero")*(10/1083),0)))))),0)</f>
        <v>18</v>
      </c>
      <c r="K4471" s="3">
        <f>I4471-J4471</f>
        <v>5</v>
      </c>
      <c r="L4471" s="3" t="str">
        <f>IF(K4471&lt;-5,"CRÍTICO",IF(K4471&lt;0,"ATENÇÃO",IF(K4471&lt;=5,"OPORTUNO","MUITO BOM")))</f>
        <v>OPORTUNO</v>
      </c>
      <c r="M4471" s="3">
        <v>23</v>
      </c>
      <c r="N4471" s="3">
        <v>98.98</v>
      </c>
      <c r="O4471" s="3">
        <v>19.35483870967742</v>
      </c>
    </row>
    <row r="4472" spans="1:15" hidden="1" x14ac:dyDescent="0.25">
      <c r="A4472" s="11">
        <v>46167</v>
      </c>
      <c r="B4472" t="s">
        <v>55</v>
      </c>
      <c r="C4472" s="15" t="s">
        <v>48</v>
      </c>
      <c r="D4472" s="3">
        <v>21</v>
      </c>
      <c r="E4472" s="3">
        <v>17</v>
      </c>
      <c r="F4472" s="3">
        <v>17.190000000000001</v>
      </c>
      <c r="G4472" s="3">
        <v>0</v>
      </c>
      <c r="H4472" s="3">
        <v>0</v>
      </c>
      <c r="I4472" s="3">
        <f>E4472+G4472+H4472</f>
        <v>17</v>
      </c>
      <c r="J4472" s="3">
        <f>ROUND(MIN(IF(C4472="Técnico III",35,IF(C4472="Técnico II",28,IF(C4472="Técnico I",23,IF(C4472="JR",20,IF(C4472="Estágio",10,0))))),IF(C4472="Técnico III",SUMIFS($D:$D,$A:$A,$A4472,$B:$B,"&lt;&gt;Patrícia Karla de Sousa Araújo",$B:$B,"&lt;&gt;Lorena Dias de Araujo",$B:$B,"&lt;&gt;Lucas Luiz Romero")*(35/1083),IF(C4472="Técnico II",SUMIFS($D:$D,$A:$A,$A4472,$B:$B,"&lt;&gt;Patrícia Karla de Sousa Araújo",$B:$B,"&lt;&gt;Lorena Dias de Araujo",$B:$B,"&lt;&gt;Lucas Luiz Romero")*(28/1083),IF(C4472="Técnico I",SUMIFS($D:$D,$A:$A,$A4472,$B:$B,"&lt;&gt;Patrícia Karla de Sousa Araújo",$B:$B,"&lt;&gt;Lorena Dias de Araujo",$B:$B,"&lt;&gt;Lucas Luiz Romero")*(23/1083),IF(C4472="JR",SUMIFS($D:$D,$A:$A,$A4472,$B:$B,"&lt;&gt;Patrícia Karla de Sousa Araújo",$B:$B,"&lt;&gt;Lorena Dias de Araujo",$B:$B,"&lt;&gt;Lucas Luiz Romero")*(20/1083),IF(C4472="Estágio",SUMIFS($D:$D,$A:$A,$A4472,$B:$B,"&lt;&gt;Patrícia Karla de Sousa Araújo",$B:$B,"&lt;&gt;Lorena Dias de Araujo",$B:$B,"&lt;&gt;Lucas Luiz Romero")*(10/1083),0)))))),0)</f>
        <v>18</v>
      </c>
      <c r="K4472" s="3">
        <f>I4472-J4472</f>
        <v>-1</v>
      </c>
      <c r="L4472" s="3" t="str">
        <f>IF(K4472&lt;-5,"CRÍTICO",IF(K4472&lt;0,"ATENÇÃO",IF(K4472&lt;=5,"OPORTUNO","MUITO BOM")))</f>
        <v>ATENÇÃO</v>
      </c>
      <c r="M4472" s="3">
        <v>17</v>
      </c>
      <c r="N4472" s="3">
        <v>98.94</v>
      </c>
      <c r="O4472" s="3">
        <v>21.270718232044199</v>
      </c>
    </row>
    <row r="4473" spans="1:15" hidden="1" x14ac:dyDescent="0.25">
      <c r="A4473" s="11">
        <v>46167</v>
      </c>
      <c r="B4473" t="s">
        <v>56</v>
      </c>
      <c r="C4473" s="15" t="s">
        <v>48</v>
      </c>
      <c r="D4473" s="3">
        <v>24</v>
      </c>
      <c r="E4473" s="3">
        <v>24</v>
      </c>
      <c r="F4473" s="3">
        <v>20.36</v>
      </c>
      <c r="G4473" s="3">
        <v>0</v>
      </c>
      <c r="H4473" s="3">
        <v>0</v>
      </c>
      <c r="I4473" s="3">
        <f>E4473+G4473+H4473</f>
        <v>24</v>
      </c>
      <c r="J4473" s="3">
        <f>ROUND(MIN(IF(C4473="Técnico III",35,IF(C4473="Técnico II",28,IF(C4473="Técnico I",23,IF(C4473="JR",20,IF(C4473="Estágio",10,0))))),IF(C4473="Técnico III",SUMIFS($D:$D,$A:$A,$A4473,$B:$B,"&lt;&gt;Patrícia Karla de Sousa Araújo",$B:$B,"&lt;&gt;Lorena Dias de Araujo",$B:$B,"&lt;&gt;Lucas Luiz Romero")*(35/1083),IF(C4473="Técnico II",SUMIFS($D:$D,$A:$A,$A4473,$B:$B,"&lt;&gt;Patrícia Karla de Sousa Araújo",$B:$B,"&lt;&gt;Lorena Dias de Araujo",$B:$B,"&lt;&gt;Lucas Luiz Romero")*(28/1083),IF(C4473="Técnico I",SUMIFS($D:$D,$A:$A,$A4473,$B:$B,"&lt;&gt;Patrícia Karla de Sousa Araújo",$B:$B,"&lt;&gt;Lorena Dias de Araujo",$B:$B,"&lt;&gt;Lucas Luiz Romero")*(23/1083),IF(C4473="JR",SUMIFS($D:$D,$A:$A,$A4473,$B:$B,"&lt;&gt;Patrícia Karla de Sousa Araújo",$B:$B,"&lt;&gt;Lorena Dias de Araujo",$B:$B,"&lt;&gt;Lucas Luiz Romero")*(20/1083),IF(C4473="Estágio",SUMIFS($D:$D,$A:$A,$A4473,$B:$B,"&lt;&gt;Patrícia Karla de Sousa Araújo",$B:$B,"&lt;&gt;Lorena Dias de Araujo",$B:$B,"&lt;&gt;Lucas Luiz Romero")*(10/1083),0)))))),0)</f>
        <v>18</v>
      </c>
      <c r="K4473" s="3">
        <f>I4473-J4473</f>
        <v>6</v>
      </c>
      <c r="L4473" s="3" t="str">
        <f>IF(K4473&lt;-5,"CRÍTICO",IF(K4473&lt;0,"ATENÇÃO",IF(K4473&lt;=5,"OPORTUNO","MUITO BOM")))</f>
        <v>MUITO BOM</v>
      </c>
      <c r="M4473" s="3">
        <v>18</v>
      </c>
      <c r="N4473" s="3">
        <v>99</v>
      </c>
      <c r="O4473" s="3">
        <v>22.010869565217391</v>
      </c>
    </row>
    <row r="4474" spans="1:15" hidden="1" x14ac:dyDescent="0.25">
      <c r="A4474" s="11">
        <v>46167</v>
      </c>
      <c r="B4474" t="s">
        <v>57</v>
      </c>
      <c r="C4474" s="15" t="s">
        <v>48</v>
      </c>
      <c r="D4474" s="3">
        <v>19</v>
      </c>
      <c r="E4474" s="3">
        <v>15</v>
      </c>
      <c r="F4474" s="3">
        <v>24.06</v>
      </c>
      <c r="G4474" s="3">
        <v>0</v>
      </c>
      <c r="H4474" s="3">
        <v>0</v>
      </c>
      <c r="I4474" s="3">
        <f>E4474+G4474+H4474</f>
        <v>15</v>
      </c>
      <c r="J4474" s="3">
        <f>ROUND(MIN(IF(C4474="Técnico III",35,IF(C4474="Técnico II",28,IF(C4474="Técnico I",23,IF(C4474="JR",20,IF(C4474="Estágio",10,0))))),IF(C4474="Técnico III",SUMIFS($D:$D,$A:$A,$A4474,$B:$B,"&lt;&gt;Patrícia Karla de Sousa Araújo",$B:$B,"&lt;&gt;Lorena Dias de Araujo",$B:$B,"&lt;&gt;Lucas Luiz Romero")*(35/1083),IF(C4474="Técnico II",SUMIFS($D:$D,$A:$A,$A4474,$B:$B,"&lt;&gt;Patrícia Karla de Sousa Araújo",$B:$B,"&lt;&gt;Lorena Dias de Araujo",$B:$B,"&lt;&gt;Lucas Luiz Romero")*(28/1083),IF(C4474="Técnico I",SUMIFS($D:$D,$A:$A,$A4474,$B:$B,"&lt;&gt;Patrícia Karla de Sousa Araújo",$B:$B,"&lt;&gt;Lorena Dias de Araujo",$B:$B,"&lt;&gt;Lucas Luiz Romero")*(23/1083),IF(C4474="JR",SUMIFS($D:$D,$A:$A,$A4474,$B:$B,"&lt;&gt;Patrícia Karla de Sousa Araújo",$B:$B,"&lt;&gt;Lorena Dias de Araujo",$B:$B,"&lt;&gt;Lucas Luiz Romero")*(20/1083),IF(C4474="Estágio",SUMIFS($D:$D,$A:$A,$A4474,$B:$B,"&lt;&gt;Patrícia Karla de Sousa Araújo",$B:$B,"&lt;&gt;Lorena Dias de Araujo",$B:$B,"&lt;&gt;Lucas Luiz Romero")*(10/1083),0)))))),0)</f>
        <v>18</v>
      </c>
      <c r="K4474" s="3">
        <f>I4474-J4474</f>
        <v>-3</v>
      </c>
      <c r="L4474" s="3" t="str">
        <f>IF(K4474&lt;-5,"CRÍTICO",IF(K4474&lt;0,"ATENÇÃO",IF(K4474&lt;=5,"OPORTUNO","MUITO BOM")))</f>
        <v>ATENÇÃO</v>
      </c>
      <c r="M4474" s="3">
        <v>16</v>
      </c>
      <c r="N4474" s="3">
        <v>100</v>
      </c>
      <c r="O4474" s="3">
        <v>25</v>
      </c>
    </row>
    <row r="4475" spans="1:15" hidden="1" x14ac:dyDescent="0.25">
      <c r="A4475" s="11">
        <v>46167</v>
      </c>
      <c r="B4475" t="s">
        <v>58</v>
      </c>
      <c r="C4475" s="15" t="s">
        <v>48</v>
      </c>
      <c r="D4475" s="3">
        <v>0</v>
      </c>
      <c r="E4475" s="3">
        <v>0</v>
      </c>
      <c r="F4475" s="3">
        <v>0</v>
      </c>
      <c r="G4475" s="3">
        <v>0</v>
      </c>
      <c r="H4475" s="3">
        <v>0</v>
      </c>
      <c r="I4475" s="3">
        <f>E4475+G4475+H4475</f>
        <v>0</v>
      </c>
      <c r="J4475" s="3">
        <f>ROUND(MIN(IF(C4475="Técnico III",35,IF(C4475="Técnico II",28,IF(C4475="Técnico I",23,IF(C4475="JR",20,IF(C4475="Estágio",10,0))))),IF(C4475="Técnico III",SUMIFS($D:$D,$A:$A,$A4475,$B:$B,"&lt;&gt;Patrícia Karla de Sousa Araújo",$B:$B,"&lt;&gt;Lorena Dias de Araujo",$B:$B,"&lt;&gt;Lucas Luiz Romero")*(35/1083),IF(C4475="Técnico II",SUMIFS($D:$D,$A:$A,$A4475,$B:$B,"&lt;&gt;Patrícia Karla de Sousa Araújo",$B:$B,"&lt;&gt;Lorena Dias de Araujo",$B:$B,"&lt;&gt;Lucas Luiz Romero")*(28/1083),IF(C4475="Técnico I",SUMIFS($D:$D,$A:$A,$A4475,$B:$B,"&lt;&gt;Patrícia Karla de Sousa Araújo",$B:$B,"&lt;&gt;Lorena Dias de Araujo",$B:$B,"&lt;&gt;Lucas Luiz Romero")*(23/1083),IF(C4475="JR",SUMIFS($D:$D,$A:$A,$A4475,$B:$B,"&lt;&gt;Patrícia Karla de Sousa Araújo",$B:$B,"&lt;&gt;Lorena Dias de Araujo",$B:$B,"&lt;&gt;Lucas Luiz Romero")*(20/1083),IF(C4475="Estágio",SUMIFS($D:$D,$A:$A,$A4475,$B:$B,"&lt;&gt;Patrícia Karla de Sousa Araújo",$B:$B,"&lt;&gt;Lorena Dias de Araujo",$B:$B,"&lt;&gt;Lucas Luiz Romero")*(10/1083),0)))))),0)</f>
        <v>18</v>
      </c>
      <c r="K4475" s="3">
        <f>I4475-J4475</f>
        <v>-18</v>
      </c>
      <c r="L4475" s="3" t="str">
        <f>IF(K4475&lt;-5,"CRÍTICO",IF(K4475&lt;0,"ATENÇÃO",IF(K4475&lt;=5,"OPORTUNO","MUITO BOM")))</f>
        <v>CRÍTICO</v>
      </c>
      <c r="M4475" s="3">
        <v>0</v>
      </c>
      <c r="N4475" s="3">
        <v>100</v>
      </c>
      <c r="O4475" s="3">
        <v>20.183486238532112</v>
      </c>
    </row>
    <row r="4476" spans="1:15" hidden="1" x14ac:dyDescent="0.25">
      <c r="A4476" s="11">
        <v>46167</v>
      </c>
      <c r="B4476" t="s">
        <v>59</v>
      </c>
      <c r="C4476" s="15" t="s">
        <v>23</v>
      </c>
      <c r="D4476" s="3">
        <v>25</v>
      </c>
      <c r="E4476" s="3">
        <v>24</v>
      </c>
      <c r="F4476" s="3">
        <v>15.25</v>
      </c>
      <c r="G4476" s="3">
        <v>0</v>
      </c>
      <c r="H4476" s="3">
        <v>0</v>
      </c>
      <c r="I4476" s="3">
        <f>E4476+G4476+H4476</f>
        <v>24</v>
      </c>
      <c r="J4476" s="3">
        <f>ROUND(MIN(IF(C4476="Técnico III",35,IF(C4476="Técnico II",28,IF(C4476="Técnico I",23,IF(C4476="JR",20,IF(C4476="Estágio",10,0))))),IF(C4476="Técnico III",SUMIFS($D:$D,$A:$A,$A4476,$B:$B,"&lt;&gt;Patrícia Karla de Sousa Araújo",$B:$B,"&lt;&gt;Lorena Dias de Araujo",$B:$B,"&lt;&gt;Lucas Luiz Romero")*(35/1083),IF(C4476="Técnico II",SUMIFS($D:$D,$A:$A,$A4476,$B:$B,"&lt;&gt;Patrícia Karla de Sousa Araújo",$B:$B,"&lt;&gt;Lorena Dias de Araujo",$B:$B,"&lt;&gt;Lucas Luiz Romero")*(28/1083),IF(C4476="Técnico I",SUMIFS($D:$D,$A:$A,$A4476,$B:$B,"&lt;&gt;Patrícia Karla de Sousa Araújo",$B:$B,"&lt;&gt;Lorena Dias de Araujo",$B:$B,"&lt;&gt;Lucas Luiz Romero")*(23/1083),IF(C4476="JR",SUMIFS($D:$D,$A:$A,$A4476,$B:$B,"&lt;&gt;Patrícia Karla de Sousa Araújo",$B:$B,"&lt;&gt;Lorena Dias de Araujo",$B:$B,"&lt;&gt;Lucas Luiz Romero")*(20/1083),IF(C4476="Estágio",SUMIFS($D:$D,$A:$A,$A4476,$B:$B,"&lt;&gt;Patrícia Karla de Sousa Araújo",$B:$B,"&lt;&gt;Lorena Dias de Araujo",$B:$B,"&lt;&gt;Lucas Luiz Romero")*(10/1083),0)))))),0)</f>
        <v>15</v>
      </c>
      <c r="K4476" s="3">
        <f>I4476-J4476</f>
        <v>9</v>
      </c>
      <c r="L4476" s="3" t="str">
        <f>IF(K4476&lt;-5,"CRÍTICO",IF(K4476&lt;0,"ATENÇÃO",IF(K4476&lt;=5,"OPORTUNO","MUITO BOM")))</f>
        <v>MUITO BOM</v>
      </c>
      <c r="M4476" s="3">
        <v>21</v>
      </c>
      <c r="N4476" s="3">
        <v>96.25</v>
      </c>
      <c r="O4476" s="3">
        <v>25.586353944562902</v>
      </c>
    </row>
    <row r="4477" spans="1:15" hidden="1" x14ac:dyDescent="0.25">
      <c r="A4477" s="11">
        <v>46167</v>
      </c>
      <c r="B4477" t="s">
        <v>60</v>
      </c>
      <c r="C4477" s="15" t="s">
        <v>23</v>
      </c>
      <c r="D4477" s="3">
        <v>11</v>
      </c>
      <c r="E4477" s="3">
        <v>11</v>
      </c>
      <c r="F4477" s="3">
        <v>15.57</v>
      </c>
      <c r="G4477" s="3">
        <v>0</v>
      </c>
      <c r="H4477" s="3">
        <v>0</v>
      </c>
      <c r="I4477" s="3">
        <f>E4477+G4477+H4477</f>
        <v>11</v>
      </c>
      <c r="J4477" s="3">
        <f>ROUND(MIN(IF(C4477="Técnico III",35,IF(C4477="Técnico II",28,IF(C4477="Técnico I",23,IF(C4477="JR",20,IF(C4477="Estágio",10,0))))),IF(C4477="Técnico III",SUMIFS($D:$D,$A:$A,$A4477,$B:$B,"&lt;&gt;Patrícia Karla de Sousa Araújo",$B:$B,"&lt;&gt;Lorena Dias de Araujo",$B:$B,"&lt;&gt;Lucas Luiz Romero")*(35/1083),IF(C4477="Técnico II",SUMIFS($D:$D,$A:$A,$A4477,$B:$B,"&lt;&gt;Patrícia Karla de Sousa Araújo",$B:$B,"&lt;&gt;Lorena Dias de Araujo",$B:$B,"&lt;&gt;Lucas Luiz Romero")*(28/1083),IF(C4477="Técnico I",SUMIFS($D:$D,$A:$A,$A4477,$B:$B,"&lt;&gt;Patrícia Karla de Sousa Araújo",$B:$B,"&lt;&gt;Lorena Dias de Araujo",$B:$B,"&lt;&gt;Lucas Luiz Romero")*(23/1083),IF(C4477="JR",SUMIFS($D:$D,$A:$A,$A4477,$B:$B,"&lt;&gt;Patrícia Karla de Sousa Araújo",$B:$B,"&lt;&gt;Lorena Dias de Araujo",$B:$B,"&lt;&gt;Lucas Luiz Romero")*(20/1083),IF(C4477="Estágio",SUMIFS($D:$D,$A:$A,$A4477,$B:$B,"&lt;&gt;Patrícia Karla de Sousa Araújo",$B:$B,"&lt;&gt;Lorena Dias de Araujo",$B:$B,"&lt;&gt;Lucas Luiz Romero")*(10/1083),0)))))),0)</f>
        <v>15</v>
      </c>
      <c r="K4477" s="3">
        <f>I4477-J4477</f>
        <v>-4</v>
      </c>
      <c r="L4477" s="3" t="str">
        <f>IF(K4477&lt;-5,"CRÍTICO",IF(K4477&lt;0,"ATENÇÃO",IF(K4477&lt;=5,"OPORTUNO","MUITO BOM")))</f>
        <v>ATENÇÃO</v>
      </c>
      <c r="M4477" s="3">
        <v>11</v>
      </c>
      <c r="N4477" s="3">
        <v>97.48</v>
      </c>
      <c r="O4477" s="3">
        <v>22.99465240641711</v>
      </c>
    </row>
    <row r="4478" spans="1:15" hidden="1" x14ac:dyDescent="0.25">
      <c r="A4478" s="11">
        <v>46167</v>
      </c>
      <c r="B4478" t="s">
        <v>61</v>
      </c>
      <c r="C4478" s="15" t="s">
        <v>23</v>
      </c>
      <c r="D4478" s="3">
        <v>28</v>
      </c>
      <c r="E4478" s="3">
        <v>25</v>
      </c>
      <c r="F4478" s="3">
        <v>13.29</v>
      </c>
      <c r="G4478" s="3">
        <v>0</v>
      </c>
      <c r="H4478" s="3">
        <v>0</v>
      </c>
      <c r="I4478" s="3">
        <f>E4478+G4478+H4478</f>
        <v>25</v>
      </c>
      <c r="J4478" s="3">
        <f>ROUND(MIN(IF(C4478="Técnico III",35,IF(C4478="Técnico II",28,IF(C4478="Técnico I",23,IF(C4478="JR",20,IF(C4478="Estágio",10,0))))),IF(C4478="Técnico III",SUMIFS($D:$D,$A:$A,$A4478,$B:$B,"&lt;&gt;Patrícia Karla de Sousa Araújo",$B:$B,"&lt;&gt;Lorena Dias de Araujo",$B:$B,"&lt;&gt;Lucas Luiz Romero")*(35/1083),IF(C4478="Técnico II",SUMIFS($D:$D,$A:$A,$A4478,$B:$B,"&lt;&gt;Patrícia Karla de Sousa Araújo",$B:$B,"&lt;&gt;Lorena Dias de Araujo",$B:$B,"&lt;&gt;Lucas Luiz Romero")*(28/1083),IF(C4478="Técnico I",SUMIFS($D:$D,$A:$A,$A4478,$B:$B,"&lt;&gt;Patrícia Karla de Sousa Araújo",$B:$B,"&lt;&gt;Lorena Dias de Araujo",$B:$B,"&lt;&gt;Lucas Luiz Romero")*(23/1083),IF(C4478="JR",SUMIFS($D:$D,$A:$A,$A4478,$B:$B,"&lt;&gt;Patrícia Karla de Sousa Araújo",$B:$B,"&lt;&gt;Lorena Dias de Araujo",$B:$B,"&lt;&gt;Lucas Luiz Romero")*(20/1083),IF(C4478="Estágio",SUMIFS($D:$D,$A:$A,$A4478,$B:$B,"&lt;&gt;Patrícia Karla de Sousa Araújo",$B:$B,"&lt;&gt;Lorena Dias de Araujo",$B:$B,"&lt;&gt;Lucas Luiz Romero")*(10/1083),0)))))),0)</f>
        <v>15</v>
      </c>
      <c r="K4478" s="3">
        <f>I4478-J4478</f>
        <v>10</v>
      </c>
      <c r="L4478" s="3" t="str">
        <f>IF(K4478&lt;-5,"CRÍTICO",IF(K4478&lt;0,"ATENÇÃO",IF(K4478&lt;=5,"OPORTUNO","MUITO BOM")))</f>
        <v>MUITO BOM</v>
      </c>
      <c r="M4478" s="3">
        <v>18</v>
      </c>
      <c r="N4478" s="3">
        <v>100</v>
      </c>
      <c r="O4478" s="3">
        <v>20.788530465949819</v>
      </c>
    </row>
    <row r="4479" spans="1:15" hidden="1" x14ac:dyDescent="0.25">
      <c r="A4479" s="11">
        <v>46167</v>
      </c>
      <c r="B4479" t="s">
        <v>62</v>
      </c>
      <c r="C4479" s="15" t="s">
        <v>23</v>
      </c>
      <c r="D4479" s="3">
        <v>14</v>
      </c>
      <c r="E4479" s="3">
        <v>14</v>
      </c>
      <c r="F4479" s="3">
        <v>28.35</v>
      </c>
      <c r="G4479" s="3">
        <v>0</v>
      </c>
      <c r="H4479" s="3">
        <v>0</v>
      </c>
      <c r="I4479" s="3">
        <f>E4479+G4479+H4479</f>
        <v>14</v>
      </c>
      <c r="J4479" s="3">
        <f>ROUND(MIN(IF(C4479="Técnico III",35,IF(C4479="Técnico II",28,IF(C4479="Técnico I",23,IF(C4479="JR",20,IF(C4479="Estágio",10,0))))),IF(C4479="Técnico III",SUMIFS($D:$D,$A:$A,$A4479,$B:$B,"&lt;&gt;Patrícia Karla de Sousa Araújo",$B:$B,"&lt;&gt;Lorena Dias de Araujo",$B:$B,"&lt;&gt;Lucas Luiz Romero")*(35/1083),IF(C4479="Técnico II",SUMIFS($D:$D,$A:$A,$A4479,$B:$B,"&lt;&gt;Patrícia Karla de Sousa Araújo",$B:$B,"&lt;&gt;Lorena Dias de Araujo",$B:$B,"&lt;&gt;Lucas Luiz Romero")*(28/1083),IF(C4479="Técnico I",SUMIFS($D:$D,$A:$A,$A4479,$B:$B,"&lt;&gt;Patrícia Karla de Sousa Araújo",$B:$B,"&lt;&gt;Lorena Dias de Araujo",$B:$B,"&lt;&gt;Lucas Luiz Romero")*(23/1083),IF(C4479="JR",SUMIFS($D:$D,$A:$A,$A4479,$B:$B,"&lt;&gt;Patrícia Karla de Sousa Araújo",$B:$B,"&lt;&gt;Lorena Dias de Araujo",$B:$B,"&lt;&gt;Lucas Luiz Romero")*(20/1083),IF(C4479="Estágio",SUMIFS($D:$D,$A:$A,$A4479,$B:$B,"&lt;&gt;Patrícia Karla de Sousa Araújo",$B:$B,"&lt;&gt;Lorena Dias de Araujo",$B:$B,"&lt;&gt;Lucas Luiz Romero")*(10/1083),0)))))),0)</f>
        <v>15</v>
      </c>
      <c r="K4479" s="3">
        <f>I4479-J4479</f>
        <v>-1</v>
      </c>
      <c r="L4479" s="3" t="str">
        <f>IF(K4479&lt;-5,"CRÍTICO",IF(K4479&lt;0,"ATENÇÃO",IF(K4479&lt;=5,"OPORTUNO","MUITO BOM")))</f>
        <v>ATENÇÃO</v>
      </c>
      <c r="M4479" s="3">
        <v>14</v>
      </c>
      <c r="N4479" s="3">
        <v>94.55</v>
      </c>
      <c r="O4479" s="3">
        <v>23.450134770889491</v>
      </c>
    </row>
    <row r="4480" spans="1:15" hidden="1" x14ac:dyDescent="0.25">
      <c r="A4480" s="11">
        <v>46167</v>
      </c>
      <c r="B4480" t="s">
        <v>63</v>
      </c>
      <c r="C4480" s="15" t="s">
        <v>23</v>
      </c>
      <c r="D4480" s="3">
        <v>28</v>
      </c>
      <c r="E4480" s="3">
        <v>26</v>
      </c>
      <c r="F4480" s="3">
        <v>15.04</v>
      </c>
      <c r="G4480" s="3">
        <v>0</v>
      </c>
      <c r="H4480" s="3">
        <v>0</v>
      </c>
      <c r="I4480" s="3">
        <f>E4480+G4480+H4480</f>
        <v>26</v>
      </c>
      <c r="J4480" s="3">
        <f>ROUND(MIN(IF(C4480="Técnico III",35,IF(C4480="Técnico II",28,IF(C4480="Técnico I",23,IF(C4480="JR",20,IF(C4480="Estágio",10,0))))),IF(C4480="Técnico III",SUMIFS($D:$D,$A:$A,$A4480,$B:$B,"&lt;&gt;Patrícia Karla de Sousa Araújo",$B:$B,"&lt;&gt;Lorena Dias de Araujo",$B:$B,"&lt;&gt;Lucas Luiz Romero")*(35/1083),IF(C4480="Técnico II",SUMIFS($D:$D,$A:$A,$A4480,$B:$B,"&lt;&gt;Patrícia Karla de Sousa Araújo",$B:$B,"&lt;&gt;Lorena Dias de Araujo",$B:$B,"&lt;&gt;Lucas Luiz Romero")*(28/1083),IF(C4480="Técnico I",SUMIFS($D:$D,$A:$A,$A4480,$B:$B,"&lt;&gt;Patrícia Karla de Sousa Araújo",$B:$B,"&lt;&gt;Lorena Dias de Araujo",$B:$B,"&lt;&gt;Lucas Luiz Romero")*(23/1083),IF(C4480="JR",SUMIFS($D:$D,$A:$A,$A4480,$B:$B,"&lt;&gt;Patrícia Karla de Sousa Araújo",$B:$B,"&lt;&gt;Lorena Dias de Araujo",$B:$B,"&lt;&gt;Lucas Luiz Romero")*(20/1083),IF(C4480="Estágio",SUMIFS($D:$D,$A:$A,$A4480,$B:$B,"&lt;&gt;Patrícia Karla de Sousa Araújo",$B:$B,"&lt;&gt;Lorena Dias de Araujo",$B:$B,"&lt;&gt;Lucas Luiz Romero")*(10/1083),0)))))),0)</f>
        <v>15</v>
      </c>
      <c r="K4480" s="3">
        <f>I4480-J4480</f>
        <v>11</v>
      </c>
      <c r="L4480" s="3" t="str">
        <f>IF(K4480&lt;-5,"CRÍTICO",IF(K4480&lt;0,"ATENÇÃO",IF(K4480&lt;=5,"OPORTUNO","MUITO BOM")))</f>
        <v>MUITO BOM</v>
      </c>
      <c r="M4480" s="3">
        <v>22</v>
      </c>
      <c r="N4480" s="3">
        <v>98</v>
      </c>
      <c r="O4480" s="3">
        <v>20.73490813648294</v>
      </c>
    </row>
    <row r="4481" spans="1:15" hidden="1" x14ac:dyDescent="0.25">
      <c r="A4481" s="11">
        <v>46167</v>
      </c>
      <c r="B4481" t="s">
        <v>64</v>
      </c>
      <c r="C4481" s="15" t="s">
        <v>23</v>
      </c>
      <c r="D4481" s="3">
        <v>17</v>
      </c>
      <c r="E4481" s="3">
        <v>17</v>
      </c>
      <c r="F4481" s="3">
        <v>25.3</v>
      </c>
      <c r="G4481" s="3">
        <v>0</v>
      </c>
      <c r="H4481" s="3">
        <v>0</v>
      </c>
      <c r="I4481" s="3">
        <f>E4481+G4481+H4481</f>
        <v>17</v>
      </c>
      <c r="J4481" s="3">
        <f>ROUND(MIN(IF(C4481="Técnico III",35,IF(C4481="Técnico II",28,IF(C4481="Técnico I",23,IF(C4481="JR",20,IF(C4481="Estágio",10,0))))),IF(C4481="Técnico III",SUMIFS($D:$D,$A:$A,$A4481,$B:$B,"&lt;&gt;Patrícia Karla de Sousa Araújo",$B:$B,"&lt;&gt;Lorena Dias de Araujo",$B:$B,"&lt;&gt;Lucas Luiz Romero")*(35/1083),IF(C4481="Técnico II",SUMIFS($D:$D,$A:$A,$A4481,$B:$B,"&lt;&gt;Patrícia Karla de Sousa Araújo",$B:$B,"&lt;&gt;Lorena Dias de Araujo",$B:$B,"&lt;&gt;Lucas Luiz Romero")*(28/1083),IF(C4481="Técnico I",SUMIFS($D:$D,$A:$A,$A4481,$B:$B,"&lt;&gt;Patrícia Karla de Sousa Araújo",$B:$B,"&lt;&gt;Lorena Dias de Araujo",$B:$B,"&lt;&gt;Lucas Luiz Romero")*(23/1083),IF(C4481="JR",SUMIFS($D:$D,$A:$A,$A4481,$B:$B,"&lt;&gt;Patrícia Karla de Sousa Araújo",$B:$B,"&lt;&gt;Lorena Dias de Araujo",$B:$B,"&lt;&gt;Lucas Luiz Romero")*(20/1083),IF(C4481="Estágio",SUMIFS($D:$D,$A:$A,$A4481,$B:$B,"&lt;&gt;Patrícia Karla de Sousa Araújo",$B:$B,"&lt;&gt;Lorena Dias de Araujo",$B:$B,"&lt;&gt;Lucas Luiz Romero")*(10/1083),0)))))),0)</f>
        <v>15</v>
      </c>
      <c r="K4481" s="3">
        <f>I4481-J4481</f>
        <v>2</v>
      </c>
      <c r="L4481" s="3" t="str">
        <f>IF(K4481&lt;-5,"CRÍTICO",IF(K4481&lt;0,"ATENÇÃO",IF(K4481&lt;=5,"OPORTUNO","MUITO BOM")))</f>
        <v>OPORTUNO</v>
      </c>
      <c r="M4481" s="3">
        <v>18</v>
      </c>
      <c r="N4481" s="3">
        <v>100</v>
      </c>
      <c r="O4481" s="3">
        <v>18</v>
      </c>
    </row>
    <row r="4482" spans="1:15" hidden="1" x14ac:dyDescent="0.25">
      <c r="A4482" s="11">
        <v>46167</v>
      </c>
      <c r="B4482" t="s">
        <v>22</v>
      </c>
      <c r="C4482" s="15" t="s">
        <v>23</v>
      </c>
      <c r="D4482" s="3">
        <v>25</v>
      </c>
      <c r="E4482" s="3">
        <v>25</v>
      </c>
      <c r="F4482" s="3">
        <v>12.33</v>
      </c>
      <c r="G4482" s="3">
        <v>0</v>
      </c>
      <c r="H4482" s="3">
        <v>0</v>
      </c>
      <c r="I4482" s="3">
        <f>E4482+G4482+H4482</f>
        <v>25</v>
      </c>
      <c r="J4482" s="3">
        <f>ROUND(MIN(IF(C4482="Técnico III",35,IF(C4482="Técnico II",28,IF(C4482="Técnico I",23,IF(C4482="JR",20,IF(C4482="Estágio",10,0))))),IF(C4482="Técnico III",SUMIFS($D:$D,$A:$A,$A4482,$B:$B,"&lt;&gt;Patrícia Karla de Sousa Araújo",$B:$B,"&lt;&gt;Lorena Dias de Araujo",$B:$B,"&lt;&gt;Lucas Luiz Romero")*(35/1083),IF(C4482="Técnico II",SUMIFS($D:$D,$A:$A,$A4482,$B:$B,"&lt;&gt;Patrícia Karla de Sousa Araújo",$B:$B,"&lt;&gt;Lorena Dias de Araujo",$B:$B,"&lt;&gt;Lucas Luiz Romero")*(28/1083),IF(C4482="Técnico I",SUMIFS($D:$D,$A:$A,$A4482,$B:$B,"&lt;&gt;Patrícia Karla de Sousa Araújo",$B:$B,"&lt;&gt;Lorena Dias de Araujo",$B:$B,"&lt;&gt;Lucas Luiz Romero")*(23/1083),IF(C4482="JR",SUMIFS($D:$D,$A:$A,$A4482,$B:$B,"&lt;&gt;Patrícia Karla de Sousa Araújo",$B:$B,"&lt;&gt;Lorena Dias de Araujo",$B:$B,"&lt;&gt;Lucas Luiz Romero")*(20/1083),IF(C4482="Estágio",SUMIFS($D:$D,$A:$A,$A4482,$B:$B,"&lt;&gt;Patrícia Karla de Sousa Araújo",$B:$B,"&lt;&gt;Lorena Dias de Araujo",$B:$B,"&lt;&gt;Lucas Luiz Romero")*(10/1083),0)))))),0)</f>
        <v>15</v>
      </c>
      <c r="K4482" s="3">
        <f>I4482-J4482</f>
        <v>10</v>
      </c>
      <c r="L4482" s="3" t="str">
        <f>IF(K4482&lt;-5,"CRÍTICO",IF(K4482&lt;0,"ATENÇÃO",IF(K4482&lt;=5,"OPORTUNO","MUITO BOM")))</f>
        <v>MUITO BOM</v>
      </c>
      <c r="M4482" s="3">
        <v>24</v>
      </c>
      <c r="N4482" s="3">
        <v>99.06</v>
      </c>
      <c r="O4482" s="3">
        <v>19.417475728155338</v>
      </c>
    </row>
    <row r="4483" spans="1:15" hidden="1" x14ac:dyDescent="0.25">
      <c r="A4483" s="11">
        <v>46168</v>
      </c>
      <c r="B4483" t="s">
        <v>31</v>
      </c>
      <c r="C4483" s="15" t="s">
        <v>32</v>
      </c>
      <c r="D4483" s="3">
        <v>0</v>
      </c>
      <c r="E4483" s="3">
        <v>0</v>
      </c>
      <c r="F4483" s="3">
        <v>0</v>
      </c>
      <c r="G4483" s="3">
        <v>0</v>
      </c>
      <c r="H4483" s="3">
        <v>0</v>
      </c>
      <c r="I4483" s="3">
        <v>0</v>
      </c>
      <c r="J4483" s="3">
        <v>0</v>
      </c>
      <c r="K4483" s="3">
        <v>0</v>
      </c>
      <c r="M4483" s="3">
        <v>0</v>
      </c>
      <c r="N4483" s="3">
        <v>100</v>
      </c>
      <c r="O4483" s="3">
        <v>0</v>
      </c>
    </row>
    <row r="4484" spans="1:15" hidden="1" x14ac:dyDescent="0.25">
      <c r="A4484" s="11">
        <v>46168</v>
      </c>
      <c r="B4484" t="s">
        <v>33</v>
      </c>
      <c r="C4484" s="15" t="s">
        <v>32</v>
      </c>
      <c r="D4484" s="3">
        <v>33</v>
      </c>
      <c r="E4484" s="3">
        <v>27</v>
      </c>
      <c r="F4484" s="3">
        <v>12.19</v>
      </c>
      <c r="G4484" s="3">
        <v>3</v>
      </c>
      <c r="I4484" s="3">
        <f>E4484+G4484+H4484</f>
        <v>30</v>
      </c>
      <c r="J4484" s="3">
        <f>ROUND(MIN(IF(C4484="Técnico III",35,IF(C4484="Técnico II",28,IF(C4484="Técnico I",23,IF(C4484="JR",20,IF(C4484="Estágio",10,0))))),IF(C4484="Técnico III",SUMIFS($D:$D,$A:$A,$A4484,$B:$B,"&lt;&gt;Patrícia Karla de Sousa Araújo",$B:$B,"&lt;&gt;Lorena Dias de Araujo",$B:$B,"&lt;&gt;Lucas Luiz Romero")*(35/1083),IF(C4484="Técnico II",SUMIFS($D:$D,$A:$A,$A4484,$B:$B,"&lt;&gt;Patrícia Karla de Sousa Araújo",$B:$B,"&lt;&gt;Lorena Dias de Araujo",$B:$B,"&lt;&gt;Lucas Luiz Romero")*(28/1083),IF(C4484="Técnico I",SUMIFS($D:$D,$A:$A,$A4484,$B:$B,"&lt;&gt;Patrícia Karla de Sousa Araújo",$B:$B,"&lt;&gt;Lorena Dias de Araujo",$B:$B,"&lt;&gt;Lucas Luiz Romero")*(23/1083),IF(C4484="JR",SUMIFS($D:$D,$A:$A,$A4484,$B:$B,"&lt;&gt;Patrícia Karla de Sousa Araújo",$B:$B,"&lt;&gt;Lorena Dias de Araujo",$B:$B,"&lt;&gt;Lucas Luiz Romero")*(20/1083),IF(C4484="Estágio",SUMIFS($D:$D,$A:$A,$A4484,$B:$B,"&lt;&gt;Patrícia Karla de Sousa Araújo",$B:$B,"&lt;&gt;Lorena Dias de Araujo",$B:$B,"&lt;&gt;Lucas Luiz Romero")*(10/1083),0)))))),0)</f>
        <v>27</v>
      </c>
      <c r="K4484" s="3">
        <f>I4484-J4484</f>
        <v>3</v>
      </c>
      <c r="L4484" s="3" t="str">
        <f>IF(K4484&lt;-5,"CRÍTICO",IF(K4484&lt;0,"ATENÇÃO",IF(K4484&lt;=5,"OPORTUNO","MUITO BOM")))</f>
        <v>OPORTUNO</v>
      </c>
      <c r="M4484" s="3">
        <v>26</v>
      </c>
      <c r="N4484" s="3">
        <v>96.94</v>
      </c>
      <c r="O4484" s="3">
        <v>21.546961325966851</v>
      </c>
    </row>
    <row r="4485" spans="1:15" hidden="1" x14ac:dyDescent="0.25">
      <c r="A4485" s="11">
        <v>46168</v>
      </c>
      <c r="B4485" t="s">
        <v>34</v>
      </c>
      <c r="C4485" s="15" t="s">
        <v>32</v>
      </c>
      <c r="D4485" s="3">
        <v>24</v>
      </c>
      <c r="E4485" s="3">
        <v>22</v>
      </c>
      <c r="F4485" s="3">
        <v>10.43</v>
      </c>
      <c r="G4485" s="3">
        <v>0</v>
      </c>
      <c r="I4485" s="3">
        <f>E4485+G4485+H4485</f>
        <v>22</v>
      </c>
      <c r="J4485" s="3">
        <f>ROUND(MIN(IF(C4485="Técnico III",35,IF(C4485="Técnico II",28,IF(C4485="Técnico I",23,IF(C4485="JR",20,IF(C4485="Estágio",10,0))))),IF(C4485="Técnico III",SUMIFS($D:$D,$A:$A,$A4485,$B:$B,"&lt;&gt;Patrícia Karla de Sousa Araújo",$B:$B,"&lt;&gt;Lorena Dias de Araujo",$B:$B,"&lt;&gt;Lucas Luiz Romero")*(35/1083),IF(C4485="Técnico II",SUMIFS($D:$D,$A:$A,$A4485,$B:$B,"&lt;&gt;Patrícia Karla de Sousa Araújo",$B:$B,"&lt;&gt;Lorena Dias de Araujo",$B:$B,"&lt;&gt;Lucas Luiz Romero")*(28/1083),IF(C4485="Técnico I",SUMIFS($D:$D,$A:$A,$A4485,$B:$B,"&lt;&gt;Patrícia Karla de Sousa Araújo",$B:$B,"&lt;&gt;Lorena Dias de Araujo",$B:$B,"&lt;&gt;Lucas Luiz Romero")*(23/1083),IF(C4485="JR",SUMIFS($D:$D,$A:$A,$A4485,$B:$B,"&lt;&gt;Patrícia Karla de Sousa Araújo",$B:$B,"&lt;&gt;Lorena Dias de Araujo",$B:$B,"&lt;&gt;Lucas Luiz Romero")*(20/1083),IF(C4485="Estágio",SUMIFS($D:$D,$A:$A,$A4485,$B:$B,"&lt;&gt;Patrícia Karla de Sousa Araújo",$B:$B,"&lt;&gt;Lorena Dias de Araujo",$B:$B,"&lt;&gt;Lucas Luiz Romero")*(10/1083),0)))))),0)</f>
        <v>27</v>
      </c>
      <c r="K4485" s="3">
        <f>I4485-J4485</f>
        <v>-5</v>
      </c>
      <c r="L4485" s="3" t="str">
        <f>IF(K4485&lt;-5,"CRÍTICO",IF(K4485&lt;0,"ATENÇÃO",IF(K4485&lt;=5,"OPORTUNO","MUITO BOM")))</f>
        <v>ATENÇÃO</v>
      </c>
      <c r="M4485" s="3">
        <v>15</v>
      </c>
      <c r="N4485" s="3">
        <v>92.81</v>
      </c>
      <c r="O4485" s="3">
        <v>26.114649681528661</v>
      </c>
    </row>
    <row r="4486" spans="1:15" hidden="1" x14ac:dyDescent="0.25">
      <c r="A4486" s="11">
        <v>46168</v>
      </c>
      <c r="B4486" t="s">
        <v>35</v>
      </c>
      <c r="C4486" s="15" t="s">
        <v>32</v>
      </c>
      <c r="D4486" s="3">
        <v>0</v>
      </c>
      <c r="E4486" s="3">
        <v>0</v>
      </c>
      <c r="F4486" s="3">
        <v>0</v>
      </c>
      <c r="G4486" s="3">
        <v>0</v>
      </c>
      <c r="H4486" s="3">
        <v>0</v>
      </c>
      <c r="I4486" s="3">
        <f>E4486+G4486+H4486</f>
        <v>0</v>
      </c>
      <c r="J4486" s="3">
        <f>ROUND(MIN(IF(C4486="Técnico III",35,IF(C4486="Técnico II",28,IF(C4486="Técnico I",23,IF(C4486="JR",20,IF(C4486="Estágio",10,0))))),IF(C4486="Técnico III",SUMIFS($D:$D,$A:$A,$A4486,$B:$B,"&lt;&gt;Patrícia Karla de Sousa Araújo",$B:$B,"&lt;&gt;Lorena Dias de Araujo",$B:$B,"&lt;&gt;Lucas Luiz Romero")*(35/1083),IF(C4486="Técnico II",SUMIFS($D:$D,$A:$A,$A4486,$B:$B,"&lt;&gt;Patrícia Karla de Sousa Araújo",$B:$B,"&lt;&gt;Lorena Dias de Araujo",$B:$B,"&lt;&gt;Lucas Luiz Romero")*(28/1083),IF(C4486="Técnico I",SUMIFS($D:$D,$A:$A,$A4486,$B:$B,"&lt;&gt;Patrícia Karla de Sousa Araújo",$B:$B,"&lt;&gt;Lorena Dias de Araujo",$B:$B,"&lt;&gt;Lucas Luiz Romero")*(23/1083),IF(C4486="JR",SUMIFS($D:$D,$A:$A,$A4486,$B:$B,"&lt;&gt;Patrícia Karla de Sousa Araújo",$B:$B,"&lt;&gt;Lorena Dias de Araujo",$B:$B,"&lt;&gt;Lucas Luiz Romero")*(20/1083),IF(C4486="Estágio",SUMIFS($D:$D,$A:$A,$A4486,$B:$B,"&lt;&gt;Patrícia Karla de Sousa Araújo",$B:$B,"&lt;&gt;Lorena Dias de Araujo",$B:$B,"&lt;&gt;Lucas Luiz Romero")*(10/1083),0)))))),0)</f>
        <v>27</v>
      </c>
      <c r="K4486" s="3">
        <f>I4486-J4486</f>
        <v>-27</v>
      </c>
      <c r="L4486" s="3" t="str">
        <f>IF(K4486&lt;-5,"CRÍTICO",IF(K4486&lt;0,"ATENÇÃO",IF(K4486&lt;=5,"OPORTUNO","MUITO BOM")))</f>
        <v>CRÍTICO</v>
      </c>
      <c r="M4486" s="3">
        <v>0</v>
      </c>
      <c r="N4486" s="3">
        <v>99.19</v>
      </c>
      <c r="O4486" s="3">
        <v>29.57198443579767</v>
      </c>
    </row>
    <row r="4487" spans="1:15" hidden="1" x14ac:dyDescent="0.25">
      <c r="A4487" s="11">
        <v>46168</v>
      </c>
      <c r="B4487" t="s">
        <v>36</v>
      </c>
      <c r="C4487" s="15" t="s">
        <v>32</v>
      </c>
      <c r="D4487" s="3">
        <v>38</v>
      </c>
      <c r="E4487" s="3">
        <v>35</v>
      </c>
      <c r="F4487" s="3">
        <v>12</v>
      </c>
      <c r="G4487" s="3">
        <v>3</v>
      </c>
      <c r="I4487" s="3">
        <f>E4487+G4487+H4487</f>
        <v>38</v>
      </c>
      <c r="J4487" s="3">
        <f>ROUND(MIN(IF(C4487="Técnico III",35,IF(C4487="Técnico II",28,IF(C4487="Técnico I",23,IF(C4487="JR",20,IF(C4487="Estágio",10,0))))),IF(C4487="Técnico III",SUMIFS($D:$D,$A:$A,$A4487,$B:$B,"&lt;&gt;Patrícia Karla de Sousa Araújo",$B:$B,"&lt;&gt;Lorena Dias de Araujo",$B:$B,"&lt;&gt;Lucas Luiz Romero")*(35/1083),IF(C4487="Técnico II",SUMIFS($D:$D,$A:$A,$A4487,$B:$B,"&lt;&gt;Patrícia Karla de Sousa Araújo",$B:$B,"&lt;&gt;Lorena Dias de Araujo",$B:$B,"&lt;&gt;Lucas Luiz Romero")*(28/1083),IF(C4487="Técnico I",SUMIFS($D:$D,$A:$A,$A4487,$B:$B,"&lt;&gt;Patrícia Karla de Sousa Araújo",$B:$B,"&lt;&gt;Lorena Dias de Araujo",$B:$B,"&lt;&gt;Lucas Luiz Romero")*(23/1083),IF(C4487="JR",SUMIFS($D:$D,$A:$A,$A4487,$B:$B,"&lt;&gt;Patrícia Karla de Sousa Araújo",$B:$B,"&lt;&gt;Lorena Dias de Araujo",$B:$B,"&lt;&gt;Lucas Luiz Romero")*(20/1083),IF(C4487="Estágio",SUMIFS($D:$D,$A:$A,$A4487,$B:$B,"&lt;&gt;Patrícia Karla de Sousa Araújo",$B:$B,"&lt;&gt;Lorena Dias de Araujo",$B:$B,"&lt;&gt;Lucas Luiz Romero")*(10/1083),0)))))),0)</f>
        <v>27</v>
      </c>
      <c r="K4487" s="3">
        <f>I4487-J4487</f>
        <v>11</v>
      </c>
      <c r="L4487" s="3" t="str">
        <f>IF(K4487&lt;-5,"CRÍTICO",IF(K4487&lt;0,"ATENÇÃO",IF(K4487&lt;=5,"OPORTUNO","MUITO BOM")))</f>
        <v>MUITO BOM</v>
      </c>
      <c r="M4487" s="3">
        <v>34</v>
      </c>
      <c r="N4487" s="3">
        <v>100</v>
      </c>
      <c r="O4487" s="3">
        <v>15.06849315068493</v>
      </c>
    </row>
    <row r="4488" spans="1:15" hidden="1" x14ac:dyDescent="0.25">
      <c r="A4488" s="11">
        <v>46168</v>
      </c>
      <c r="B4488" t="s">
        <v>37</v>
      </c>
      <c r="C4488" s="15" t="s">
        <v>32</v>
      </c>
      <c r="D4488" s="3">
        <v>38</v>
      </c>
      <c r="E4488" s="3">
        <v>35</v>
      </c>
      <c r="F4488" s="3">
        <v>13.38</v>
      </c>
      <c r="G4488" s="3">
        <v>5</v>
      </c>
      <c r="I4488" s="3">
        <f>E4488+G4488+H4488</f>
        <v>40</v>
      </c>
      <c r="J4488" s="3">
        <f>ROUND(MIN(IF(C4488="Técnico III",35,IF(C4488="Técnico II",28,IF(C4488="Técnico I",23,IF(C4488="JR",20,IF(C4488="Estágio",10,0))))),IF(C4488="Técnico III",SUMIFS($D:$D,$A:$A,$A4488,$B:$B,"&lt;&gt;Patrícia Karla de Sousa Araújo",$B:$B,"&lt;&gt;Lorena Dias de Araujo",$B:$B,"&lt;&gt;Lucas Luiz Romero")*(35/1083),IF(C4488="Técnico II",SUMIFS($D:$D,$A:$A,$A4488,$B:$B,"&lt;&gt;Patrícia Karla de Sousa Araújo",$B:$B,"&lt;&gt;Lorena Dias de Araujo",$B:$B,"&lt;&gt;Lucas Luiz Romero")*(28/1083),IF(C4488="Técnico I",SUMIFS($D:$D,$A:$A,$A4488,$B:$B,"&lt;&gt;Patrícia Karla de Sousa Araújo",$B:$B,"&lt;&gt;Lorena Dias de Araujo",$B:$B,"&lt;&gt;Lucas Luiz Romero")*(23/1083),IF(C4488="JR",SUMIFS($D:$D,$A:$A,$A4488,$B:$B,"&lt;&gt;Patrícia Karla de Sousa Araújo",$B:$B,"&lt;&gt;Lorena Dias de Araujo",$B:$B,"&lt;&gt;Lucas Luiz Romero")*(20/1083),IF(C4488="Estágio",SUMIFS($D:$D,$A:$A,$A4488,$B:$B,"&lt;&gt;Patrícia Karla de Sousa Araújo",$B:$B,"&lt;&gt;Lorena Dias de Araujo",$B:$B,"&lt;&gt;Lucas Luiz Romero")*(10/1083),0)))))),0)</f>
        <v>27</v>
      </c>
      <c r="K4488" s="3">
        <f>I4488-J4488</f>
        <v>13</v>
      </c>
      <c r="L4488" s="3" t="str">
        <f>IF(K4488&lt;-5,"CRÍTICO",IF(K4488&lt;0,"ATENÇÃO",IF(K4488&lt;=5,"OPORTUNO","MUITO BOM")))</f>
        <v>MUITO BOM</v>
      </c>
      <c r="M4488" s="3">
        <v>34</v>
      </c>
      <c r="N4488" s="3">
        <v>99</v>
      </c>
      <c r="O4488" s="3">
        <v>23.052959501557631</v>
      </c>
    </row>
    <row r="4489" spans="1:15" hidden="1" x14ac:dyDescent="0.25">
      <c r="A4489" s="11">
        <v>46168</v>
      </c>
      <c r="B4489" t="s">
        <v>38</v>
      </c>
      <c r="C4489" s="15" t="s">
        <v>32</v>
      </c>
      <c r="D4489" s="3">
        <v>18</v>
      </c>
      <c r="E4489" s="3">
        <v>16</v>
      </c>
      <c r="F4489" s="3">
        <v>10.14</v>
      </c>
      <c r="G4489" s="3">
        <v>4</v>
      </c>
      <c r="I4489" s="3">
        <f>E4489+G4489+H4489</f>
        <v>20</v>
      </c>
      <c r="J4489" s="3">
        <f>ROUND(MIN(IF(C4489="Técnico III",35,IF(C4489="Técnico II",28,IF(C4489="Técnico I",23,IF(C4489="JR",20,IF(C4489="Estágio",10,0))))),IF(C4489="Técnico III",SUMIFS($D:$D,$A:$A,$A4489,$B:$B,"&lt;&gt;Patrícia Karla de Sousa Araújo",$B:$B,"&lt;&gt;Lorena Dias de Araujo",$B:$B,"&lt;&gt;Lucas Luiz Romero")*(35/1083),IF(C4489="Técnico II",SUMIFS($D:$D,$A:$A,$A4489,$B:$B,"&lt;&gt;Patrícia Karla de Sousa Araújo",$B:$B,"&lt;&gt;Lorena Dias de Araujo",$B:$B,"&lt;&gt;Lucas Luiz Romero")*(28/1083),IF(C4489="Técnico I",SUMIFS($D:$D,$A:$A,$A4489,$B:$B,"&lt;&gt;Patrícia Karla de Sousa Araújo",$B:$B,"&lt;&gt;Lorena Dias de Araujo",$B:$B,"&lt;&gt;Lucas Luiz Romero")*(23/1083),IF(C4489="JR",SUMIFS($D:$D,$A:$A,$A4489,$B:$B,"&lt;&gt;Patrícia Karla de Sousa Araújo",$B:$B,"&lt;&gt;Lorena Dias de Araujo",$B:$B,"&lt;&gt;Lucas Luiz Romero")*(20/1083),IF(C4489="Estágio",SUMIFS($D:$D,$A:$A,$A4489,$B:$B,"&lt;&gt;Patrícia Karla de Sousa Araújo",$B:$B,"&lt;&gt;Lorena Dias de Araujo",$B:$B,"&lt;&gt;Lucas Luiz Romero")*(10/1083),0)))))),0)</f>
        <v>27</v>
      </c>
      <c r="K4489" s="3">
        <f>I4489-J4489</f>
        <v>-7</v>
      </c>
      <c r="L4489" s="3" t="str">
        <f>IF(K4489&lt;-5,"CRÍTICO",IF(K4489&lt;0,"ATENÇÃO",IF(K4489&lt;=5,"OPORTUNO","MUITO BOM")))</f>
        <v>CRÍTICO</v>
      </c>
      <c r="M4489" s="3">
        <v>15</v>
      </c>
      <c r="N4489" s="3">
        <v>97.04</v>
      </c>
      <c r="O4489" s="3">
        <v>34.718826405867972</v>
      </c>
    </row>
    <row r="4490" spans="1:15" hidden="1" x14ac:dyDescent="0.25">
      <c r="A4490" s="11">
        <v>46168</v>
      </c>
      <c r="B4490" t="s">
        <v>39</v>
      </c>
      <c r="C4490" s="15" t="s">
        <v>32</v>
      </c>
      <c r="D4490" s="3">
        <v>0</v>
      </c>
      <c r="E4490" s="3">
        <v>0</v>
      </c>
      <c r="F4490" s="3">
        <v>0</v>
      </c>
      <c r="G4490" s="3">
        <v>0</v>
      </c>
      <c r="H4490" s="3">
        <v>0</v>
      </c>
      <c r="I4490" s="3">
        <f>E4490+G4490+H4490</f>
        <v>0</v>
      </c>
      <c r="J4490" s="3">
        <f>ROUND(MIN(IF(C4490="Técnico III",35,IF(C4490="Técnico II",28,IF(C4490="Técnico I",23,IF(C4490="JR",20,IF(C4490="Estágio",10,0))))),IF(C4490="Técnico III",SUMIFS($D:$D,$A:$A,$A4490,$B:$B,"&lt;&gt;Patrícia Karla de Sousa Araújo",$B:$B,"&lt;&gt;Lorena Dias de Araujo",$B:$B,"&lt;&gt;Lucas Luiz Romero")*(35/1083),IF(C4490="Técnico II",SUMIFS($D:$D,$A:$A,$A4490,$B:$B,"&lt;&gt;Patrícia Karla de Sousa Araújo",$B:$B,"&lt;&gt;Lorena Dias de Araujo",$B:$B,"&lt;&gt;Lucas Luiz Romero")*(28/1083),IF(C4490="Técnico I",SUMIFS($D:$D,$A:$A,$A4490,$B:$B,"&lt;&gt;Patrícia Karla de Sousa Araújo",$B:$B,"&lt;&gt;Lorena Dias de Araujo",$B:$B,"&lt;&gt;Lucas Luiz Romero")*(23/1083),IF(C4490="JR",SUMIFS($D:$D,$A:$A,$A4490,$B:$B,"&lt;&gt;Patrícia Karla de Sousa Araújo",$B:$B,"&lt;&gt;Lorena Dias de Araujo",$B:$B,"&lt;&gt;Lucas Luiz Romero")*(20/1083),IF(C4490="Estágio",SUMIFS($D:$D,$A:$A,$A4490,$B:$B,"&lt;&gt;Patrícia Karla de Sousa Araújo",$B:$B,"&lt;&gt;Lorena Dias de Araujo",$B:$B,"&lt;&gt;Lucas Luiz Romero")*(10/1083),0)))))),0)</f>
        <v>27</v>
      </c>
      <c r="K4490" s="3">
        <f>I4490-J4490</f>
        <v>-27</v>
      </c>
      <c r="L4490" s="3" t="str">
        <f>IF(K4490&lt;-5,"CRÍTICO",IF(K4490&lt;0,"ATENÇÃO",IF(K4490&lt;=5,"OPORTUNO","MUITO BOM")))</f>
        <v>CRÍTICO</v>
      </c>
      <c r="M4490" s="3">
        <v>0</v>
      </c>
      <c r="N4490" s="3">
        <v>0</v>
      </c>
      <c r="O4490" s="3">
        <v>0</v>
      </c>
    </row>
    <row r="4491" spans="1:15" hidden="1" x14ac:dyDescent="0.25">
      <c r="A4491" s="11">
        <v>46168</v>
      </c>
      <c r="B4491" t="s">
        <v>40</v>
      </c>
      <c r="C4491" s="15" t="s">
        <v>32</v>
      </c>
      <c r="D4491" s="3">
        <v>30</v>
      </c>
      <c r="E4491" s="3">
        <v>29</v>
      </c>
      <c r="F4491" s="3">
        <v>15.33</v>
      </c>
      <c r="G4491" s="3">
        <v>2</v>
      </c>
      <c r="I4491" s="3">
        <f>E4491+G4491+H4491</f>
        <v>31</v>
      </c>
      <c r="J4491" s="3">
        <f>ROUND(MIN(IF(C4491="Técnico III",35,IF(C4491="Técnico II",28,IF(C4491="Técnico I",23,IF(C4491="JR",20,IF(C4491="Estágio",10,0))))),IF(C4491="Técnico III",SUMIFS($D:$D,$A:$A,$A4491,$B:$B,"&lt;&gt;Patrícia Karla de Sousa Araújo",$B:$B,"&lt;&gt;Lorena Dias de Araujo",$B:$B,"&lt;&gt;Lucas Luiz Romero")*(35/1083),IF(C4491="Técnico II",SUMIFS($D:$D,$A:$A,$A4491,$B:$B,"&lt;&gt;Patrícia Karla de Sousa Araújo",$B:$B,"&lt;&gt;Lorena Dias de Araujo",$B:$B,"&lt;&gt;Lucas Luiz Romero")*(28/1083),IF(C4491="Técnico I",SUMIFS($D:$D,$A:$A,$A4491,$B:$B,"&lt;&gt;Patrícia Karla de Sousa Araújo",$B:$B,"&lt;&gt;Lorena Dias de Araujo",$B:$B,"&lt;&gt;Lucas Luiz Romero")*(23/1083),IF(C4491="JR",SUMIFS($D:$D,$A:$A,$A4491,$B:$B,"&lt;&gt;Patrícia Karla de Sousa Araújo",$B:$B,"&lt;&gt;Lorena Dias de Araujo",$B:$B,"&lt;&gt;Lucas Luiz Romero")*(20/1083),IF(C4491="Estágio",SUMIFS($D:$D,$A:$A,$A4491,$B:$B,"&lt;&gt;Patrícia Karla de Sousa Araújo",$B:$B,"&lt;&gt;Lorena Dias de Araujo",$B:$B,"&lt;&gt;Lucas Luiz Romero")*(10/1083),0)))))),0)</f>
        <v>27</v>
      </c>
      <c r="K4491" s="3">
        <f>I4491-J4491</f>
        <v>4</v>
      </c>
      <c r="L4491" s="3" t="str">
        <f>IF(K4491&lt;-5,"CRÍTICO",IF(K4491&lt;0,"ATENÇÃO",IF(K4491&lt;=5,"OPORTUNO","MUITO BOM")))</f>
        <v>OPORTUNO</v>
      </c>
      <c r="M4491" s="3">
        <v>25</v>
      </c>
      <c r="N4491" s="3">
        <v>96.84</v>
      </c>
      <c r="O4491" s="3">
        <v>17.74647887323944</v>
      </c>
    </row>
    <row r="4492" spans="1:15" hidden="1" x14ac:dyDescent="0.25">
      <c r="A4492" s="11">
        <v>46168</v>
      </c>
      <c r="B4492" t="s">
        <v>41</v>
      </c>
      <c r="C4492" s="15" t="s">
        <v>32</v>
      </c>
      <c r="D4492" s="3">
        <v>29</v>
      </c>
      <c r="E4492" s="3">
        <v>26</v>
      </c>
      <c r="F4492" s="3">
        <v>15.05</v>
      </c>
      <c r="G4492" s="3">
        <v>0</v>
      </c>
      <c r="I4492" s="3">
        <f>E4492+G4492+H4492</f>
        <v>26</v>
      </c>
      <c r="J4492" s="3">
        <f>ROUND(MIN(IF(C4492="Técnico III",35,IF(C4492="Técnico II",28,IF(C4492="Técnico I",23,IF(C4492="JR",20,IF(C4492="Estágio",10,0))))),IF(C4492="Técnico III",SUMIFS($D:$D,$A:$A,$A4492,$B:$B,"&lt;&gt;Patrícia Karla de Sousa Araújo",$B:$B,"&lt;&gt;Lorena Dias de Araujo",$B:$B,"&lt;&gt;Lucas Luiz Romero")*(35/1083),IF(C4492="Técnico II",SUMIFS($D:$D,$A:$A,$A4492,$B:$B,"&lt;&gt;Patrícia Karla de Sousa Araújo",$B:$B,"&lt;&gt;Lorena Dias de Araujo",$B:$B,"&lt;&gt;Lucas Luiz Romero")*(28/1083),IF(C4492="Técnico I",SUMIFS($D:$D,$A:$A,$A4492,$B:$B,"&lt;&gt;Patrícia Karla de Sousa Araújo",$B:$B,"&lt;&gt;Lorena Dias de Araujo",$B:$B,"&lt;&gt;Lucas Luiz Romero")*(23/1083),IF(C4492="JR",SUMIFS($D:$D,$A:$A,$A4492,$B:$B,"&lt;&gt;Patrícia Karla de Sousa Araújo",$B:$B,"&lt;&gt;Lorena Dias de Araujo",$B:$B,"&lt;&gt;Lucas Luiz Romero")*(20/1083),IF(C4492="Estágio",SUMIFS($D:$D,$A:$A,$A4492,$B:$B,"&lt;&gt;Patrícia Karla de Sousa Araújo",$B:$B,"&lt;&gt;Lorena Dias de Araujo",$B:$B,"&lt;&gt;Lucas Luiz Romero")*(10/1083),0)))))),0)</f>
        <v>27</v>
      </c>
      <c r="K4492" s="3">
        <f>I4492-J4492</f>
        <v>-1</v>
      </c>
      <c r="L4492" s="3" t="str">
        <f>IF(K4492&lt;-5,"CRÍTICO",IF(K4492&lt;0,"ATENÇÃO",IF(K4492&lt;=5,"OPORTUNO","MUITO BOM")))</f>
        <v>ATENÇÃO</v>
      </c>
      <c r="M4492" s="3">
        <v>25</v>
      </c>
      <c r="N4492" s="3">
        <v>100</v>
      </c>
      <c r="O4492" s="3">
        <v>19.399538106235571</v>
      </c>
    </row>
    <row r="4493" spans="1:15" hidden="1" x14ac:dyDescent="0.25">
      <c r="A4493" s="11">
        <v>46168</v>
      </c>
      <c r="B4493" t="s">
        <v>42</v>
      </c>
      <c r="C4493" s="15" t="s">
        <v>32</v>
      </c>
      <c r="D4493" s="3">
        <v>0</v>
      </c>
      <c r="E4493" s="3">
        <v>0</v>
      </c>
      <c r="F4493" s="3">
        <v>0</v>
      </c>
      <c r="G4493" s="3">
        <v>0</v>
      </c>
      <c r="H4493" s="3">
        <v>0</v>
      </c>
      <c r="I4493" s="3">
        <f>E4493+G4493+H4493</f>
        <v>0</v>
      </c>
      <c r="J4493" s="3">
        <f>ROUND(MIN(IF(C4493="Técnico III",35,IF(C4493="Técnico II",28,IF(C4493="Técnico I",23,IF(C4493="JR",20,IF(C4493="Estágio",10,0))))),IF(C4493="Técnico III",SUMIFS($D:$D,$A:$A,$A4493,$B:$B,"&lt;&gt;Patrícia Karla de Sousa Araújo",$B:$B,"&lt;&gt;Lorena Dias de Araujo",$B:$B,"&lt;&gt;Lucas Luiz Romero")*(35/1083),IF(C4493="Técnico II",SUMIFS($D:$D,$A:$A,$A4493,$B:$B,"&lt;&gt;Patrícia Karla de Sousa Araújo",$B:$B,"&lt;&gt;Lorena Dias de Araujo",$B:$B,"&lt;&gt;Lucas Luiz Romero")*(28/1083),IF(C4493="Técnico I",SUMIFS($D:$D,$A:$A,$A4493,$B:$B,"&lt;&gt;Patrícia Karla de Sousa Araújo",$B:$B,"&lt;&gt;Lorena Dias de Araujo",$B:$B,"&lt;&gt;Lucas Luiz Romero")*(23/1083),IF(C4493="JR",SUMIFS($D:$D,$A:$A,$A4493,$B:$B,"&lt;&gt;Patrícia Karla de Sousa Araújo",$B:$B,"&lt;&gt;Lorena Dias de Araujo",$B:$B,"&lt;&gt;Lucas Luiz Romero")*(20/1083),IF(C4493="Estágio",SUMIFS($D:$D,$A:$A,$A4493,$B:$B,"&lt;&gt;Patrícia Karla de Sousa Araújo",$B:$B,"&lt;&gt;Lorena Dias de Araujo",$B:$B,"&lt;&gt;Lucas Luiz Romero")*(10/1083),0)))))),0)</f>
        <v>27</v>
      </c>
      <c r="K4493" s="3">
        <f>I4493-J4493</f>
        <v>-27</v>
      </c>
      <c r="L4493" s="3" t="str">
        <f>IF(K4493&lt;-5,"CRÍTICO",IF(K4493&lt;0,"ATENÇÃO",IF(K4493&lt;=5,"OPORTUNO","MUITO BOM")))</f>
        <v>CRÍTICO</v>
      </c>
      <c r="M4493" s="3">
        <v>16</v>
      </c>
      <c r="N4493" s="3">
        <v>100</v>
      </c>
      <c r="O4493" s="3">
        <v>21.276595744680851</v>
      </c>
    </row>
    <row r="4494" spans="1:15" x14ac:dyDescent="0.25">
      <c r="A4494" s="11">
        <v>46168</v>
      </c>
      <c r="B4494" t="s">
        <v>43</v>
      </c>
      <c r="C4494" s="15" t="s">
        <v>32</v>
      </c>
      <c r="D4494" s="3">
        <v>0</v>
      </c>
      <c r="E4494" s="3">
        <v>0</v>
      </c>
      <c r="F4494" s="3">
        <v>0</v>
      </c>
      <c r="G4494" s="3">
        <v>0</v>
      </c>
      <c r="H4494" s="3">
        <v>47</v>
      </c>
      <c r="I4494" s="3">
        <f>E4494+G4494+H4494</f>
        <v>47</v>
      </c>
      <c r="J4494" s="3">
        <f>ROUND(MIN(IF(C4494="Técnico III",35,IF(C4494="Técnico II",28,IF(C4494="Técnico I",23,IF(C4494="JR",20,IF(C4494="Estágio",10,0))))),IF(C4494="Técnico III",SUMIFS($D:$D,$A:$A,$A4494,$B:$B,"&lt;&gt;Patrícia Karla de Sousa Araújo",$B:$B,"&lt;&gt;Lorena Dias de Araujo",$B:$B,"&lt;&gt;Lucas Luiz Romero")*(35/1083),IF(C4494="Técnico II",SUMIFS($D:$D,$A:$A,$A4494,$B:$B,"&lt;&gt;Patrícia Karla de Sousa Araújo",$B:$B,"&lt;&gt;Lorena Dias de Araujo",$B:$B,"&lt;&gt;Lucas Luiz Romero")*(28/1083),IF(C4494="Técnico I",SUMIFS($D:$D,$A:$A,$A4494,$B:$B,"&lt;&gt;Patrícia Karla de Sousa Araújo",$B:$B,"&lt;&gt;Lorena Dias de Araujo",$B:$B,"&lt;&gt;Lucas Luiz Romero")*(23/1083),IF(C4494="JR",SUMIFS($D:$D,$A:$A,$A4494,$B:$B,"&lt;&gt;Patrícia Karla de Sousa Araújo",$B:$B,"&lt;&gt;Lorena Dias de Araujo",$B:$B,"&lt;&gt;Lucas Luiz Romero")*(20/1083),IF(C4494="Estágio",SUMIFS($D:$D,$A:$A,$A4494,$B:$B,"&lt;&gt;Patrícia Karla de Sousa Araújo",$B:$B,"&lt;&gt;Lorena Dias de Araujo",$B:$B,"&lt;&gt;Lucas Luiz Romero")*(10/1083),0)))))),0)</f>
        <v>27</v>
      </c>
      <c r="K4494" s="3">
        <f>I4494-J4494</f>
        <v>20</v>
      </c>
      <c r="L4494" s="3" t="str">
        <f>IF(K4494&lt;-5,"CRÍTICO",IF(K4494&lt;0,"ATENÇÃO",IF(K4494&lt;=5,"OPORTUNO","MUITO BOM")))</f>
        <v>MUITO BOM</v>
      </c>
      <c r="M4494" s="3">
        <v>18</v>
      </c>
      <c r="N4494" s="3">
        <v>98.39</v>
      </c>
      <c r="O4494" s="3">
        <v>9.0666666666666664</v>
      </c>
    </row>
    <row r="4495" spans="1:15" hidden="1" x14ac:dyDescent="0.25">
      <c r="A4495" s="11">
        <v>46168</v>
      </c>
      <c r="B4495" t="s">
        <v>44</v>
      </c>
      <c r="C4495" s="15" t="s">
        <v>32</v>
      </c>
      <c r="D4495" s="3">
        <v>33</v>
      </c>
      <c r="E4495" s="3">
        <v>30</v>
      </c>
      <c r="F4495" s="3">
        <v>10.1</v>
      </c>
      <c r="G4495" s="3">
        <v>2</v>
      </c>
      <c r="I4495" s="3">
        <f>E4495+G4495+H4495</f>
        <v>32</v>
      </c>
      <c r="J4495" s="3">
        <f>ROUND(MIN(IF(C4495="Técnico III",35,IF(C4495="Técnico II",28,IF(C4495="Técnico I",23,IF(C4495="JR",20,IF(C4495="Estágio",10,0))))),IF(C4495="Técnico III",SUMIFS($D:$D,$A:$A,$A4495,$B:$B,"&lt;&gt;Patrícia Karla de Sousa Araújo",$B:$B,"&lt;&gt;Lorena Dias de Araujo",$B:$B,"&lt;&gt;Lucas Luiz Romero")*(35/1083),IF(C4495="Técnico II",SUMIFS($D:$D,$A:$A,$A4495,$B:$B,"&lt;&gt;Patrícia Karla de Sousa Araújo",$B:$B,"&lt;&gt;Lorena Dias de Araujo",$B:$B,"&lt;&gt;Lucas Luiz Romero")*(28/1083),IF(C4495="Técnico I",SUMIFS($D:$D,$A:$A,$A4495,$B:$B,"&lt;&gt;Patrícia Karla de Sousa Araújo",$B:$B,"&lt;&gt;Lorena Dias de Araujo",$B:$B,"&lt;&gt;Lucas Luiz Romero")*(23/1083),IF(C4495="JR",SUMIFS($D:$D,$A:$A,$A4495,$B:$B,"&lt;&gt;Patrícia Karla de Sousa Araújo",$B:$B,"&lt;&gt;Lorena Dias de Araujo",$B:$B,"&lt;&gt;Lucas Luiz Romero")*(20/1083),IF(C4495="Estágio",SUMIFS($D:$D,$A:$A,$A4495,$B:$B,"&lt;&gt;Patrícia Karla de Sousa Araújo",$B:$B,"&lt;&gt;Lorena Dias de Araujo",$B:$B,"&lt;&gt;Lucas Luiz Romero")*(10/1083),0)))))),0)</f>
        <v>27</v>
      </c>
      <c r="K4495" s="3">
        <f>I4495-J4495</f>
        <v>5</v>
      </c>
      <c r="L4495" s="3" t="str">
        <f>IF(K4495&lt;-5,"CRÍTICO",IF(K4495&lt;0,"ATENÇÃO",IF(K4495&lt;=5,"OPORTUNO","MUITO BOM")))</f>
        <v>OPORTUNO</v>
      </c>
      <c r="M4495" s="3">
        <v>26</v>
      </c>
      <c r="N4495" s="3">
        <v>96.38</v>
      </c>
      <c r="O4495" s="3">
        <v>25.22522522522522</v>
      </c>
    </row>
    <row r="4496" spans="1:15" hidden="1" x14ac:dyDescent="0.25">
      <c r="A4496" s="11">
        <v>46168</v>
      </c>
      <c r="B4496" t="s">
        <v>45</v>
      </c>
      <c r="C4496" s="15" t="s">
        <v>32</v>
      </c>
      <c r="D4496" s="3">
        <v>37</v>
      </c>
      <c r="E4496" s="3">
        <v>33</v>
      </c>
      <c r="F4496" s="3">
        <v>11.48</v>
      </c>
      <c r="G4496" s="3">
        <v>0</v>
      </c>
      <c r="I4496" s="3">
        <f>E4496+G4496+H4496</f>
        <v>33</v>
      </c>
      <c r="J4496" s="3">
        <f>ROUND(MIN(IF(C4496="Técnico III",35,IF(C4496="Técnico II",28,IF(C4496="Técnico I",23,IF(C4496="JR",20,IF(C4496="Estágio",10,0))))),IF(C4496="Técnico III",SUMIFS($D:$D,$A:$A,$A4496,$B:$B,"&lt;&gt;Patrícia Karla de Sousa Araújo",$B:$B,"&lt;&gt;Lorena Dias de Araujo",$B:$B,"&lt;&gt;Lucas Luiz Romero")*(35/1083),IF(C4496="Técnico II",SUMIFS($D:$D,$A:$A,$A4496,$B:$B,"&lt;&gt;Patrícia Karla de Sousa Araújo",$B:$B,"&lt;&gt;Lorena Dias de Araujo",$B:$B,"&lt;&gt;Lucas Luiz Romero")*(28/1083),IF(C4496="Técnico I",SUMIFS($D:$D,$A:$A,$A4496,$B:$B,"&lt;&gt;Patrícia Karla de Sousa Araújo",$B:$B,"&lt;&gt;Lorena Dias de Araujo",$B:$B,"&lt;&gt;Lucas Luiz Romero")*(23/1083),IF(C4496="JR",SUMIFS($D:$D,$A:$A,$A4496,$B:$B,"&lt;&gt;Patrícia Karla de Sousa Araújo",$B:$B,"&lt;&gt;Lorena Dias de Araujo",$B:$B,"&lt;&gt;Lucas Luiz Romero")*(20/1083),IF(C4496="Estágio",SUMIFS($D:$D,$A:$A,$A4496,$B:$B,"&lt;&gt;Patrícia Karla de Sousa Araújo",$B:$B,"&lt;&gt;Lorena Dias de Araujo",$B:$B,"&lt;&gt;Lucas Luiz Romero")*(10/1083),0)))))),0)</f>
        <v>27</v>
      </c>
      <c r="K4496" s="3">
        <f>I4496-J4496</f>
        <v>6</v>
      </c>
      <c r="L4496" s="3" t="str">
        <f>IF(K4496&lt;-5,"CRÍTICO",IF(K4496&lt;0,"ATENÇÃO",IF(K4496&lt;=5,"OPORTUNO","MUITO BOM")))</f>
        <v>MUITO BOM</v>
      </c>
      <c r="M4496" s="3">
        <v>24</v>
      </c>
      <c r="N4496" s="3">
        <v>99.39</v>
      </c>
      <c r="O4496" s="3">
        <v>26.626016260162601</v>
      </c>
    </row>
    <row r="4497" spans="1:15" hidden="1" x14ac:dyDescent="0.25">
      <c r="A4497" s="11">
        <v>46168</v>
      </c>
      <c r="B4497" t="s">
        <v>46</v>
      </c>
      <c r="C4497" s="15" t="s">
        <v>32</v>
      </c>
      <c r="D4497" s="3">
        <v>24</v>
      </c>
      <c r="E4497" s="3">
        <v>22</v>
      </c>
      <c r="F4497" s="3">
        <v>15.22</v>
      </c>
      <c r="G4497" s="3">
        <v>0</v>
      </c>
      <c r="I4497" s="3">
        <f>E4497+G4497+H4497</f>
        <v>22</v>
      </c>
      <c r="J4497" s="3">
        <f>ROUND(MIN(IF(C4497="Técnico III",35,IF(C4497="Técnico II",28,IF(C4497="Técnico I",23,IF(C4497="JR",20,IF(C4497="Estágio",10,0))))),IF(C4497="Técnico III",SUMIFS($D:$D,$A:$A,$A4497,$B:$B,"&lt;&gt;Patrícia Karla de Sousa Araújo",$B:$B,"&lt;&gt;Lorena Dias de Araujo",$B:$B,"&lt;&gt;Lucas Luiz Romero")*(35/1083),IF(C4497="Técnico II",SUMIFS($D:$D,$A:$A,$A4497,$B:$B,"&lt;&gt;Patrícia Karla de Sousa Araújo",$B:$B,"&lt;&gt;Lorena Dias de Araujo",$B:$B,"&lt;&gt;Lucas Luiz Romero")*(28/1083),IF(C4497="Técnico I",SUMIFS($D:$D,$A:$A,$A4497,$B:$B,"&lt;&gt;Patrícia Karla de Sousa Araújo",$B:$B,"&lt;&gt;Lorena Dias de Araujo",$B:$B,"&lt;&gt;Lucas Luiz Romero")*(23/1083),IF(C4497="JR",SUMIFS($D:$D,$A:$A,$A4497,$B:$B,"&lt;&gt;Patrícia Karla de Sousa Araújo",$B:$B,"&lt;&gt;Lorena Dias de Araujo",$B:$B,"&lt;&gt;Lucas Luiz Romero")*(20/1083),IF(C4497="Estágio",SUMIFS($D:$D,$A:$A,$A4497,$B:$B,"&lt;&gt;Patrícia Karla de Sousa Araújo",$B:$B,"&lt;&gt;Lorena Dias de Araujo",$B:$B,"&lt;&gt;Lucas Luiz Romero")*(10/1083),0)))))),0)</f>
        <v>27</v>
      </c>
      <c r="K4497" s="3">
        <f>I4497-J4497</f>
        <v>-5</v>
      </c>
      <c r="L4497" s="3" t="str">
        <f>IF(K4497&lt;-5,"CRÍTICO",IF(K4497&lt;0,"ATENÇÃO",IF(K4497&lt;=5,"OPORTUNO","MUITO BOM")))</f>
        <v>ATENÇÃO</v>
      </c>
      <c r="M4497" s="3">
        <v>17</v>
      </c>
      <c r="N4497" s="3">
        <v>97</v>
      </c>
      <c r="O4497" s="3">
        <v>21.95121951219512</v>
      </c>
    </row>
    <row r="4498" spans="1:15" hidden="1" x14ac:dyDescent="0.25">
      <c r="A4498" s="11">
        <v>46168</v>
      </c>
      <c r="B4498" t="s">
        <v>49</v>
      </c>
      <c r="C4498" s="15" t="s">
        <v>48</v>
      </c>
      <c r="D4498" s="3">
        <v>27</v>
      </c>
      <c r="E4498" s="3">
        <v>22</v>
      </c>
      <c r="F4498" s="3">
        <v>14.06</v>
      </c>
      <c r="G4498" s="3">
        <v>4</v>
      </c>
      <c r="I4498" s="3">
        <f>E4498+G4498+H4498</f>
        <v>26</v>
      </c>
      <c r="J4498" s="3">
        <f>ROUND(MIN(IF(C4498="Técnico III",35,IF(C4498="Técnico II",28,IF(C4498="Técnico I",23,IF(C4498="JR",20,IF(C4498="Estágio",10,0))))),IF(C4498="Técnico III",SUMIFS($D:$D,$A:$A,$A4498,$B:$B,"&lt;&gt;Patrícia Karla de Sousa Araújo",$B:$B,"&lt;&gt;Lorena Dias de Araujo",$B:$B,"&lt;&gt;Lucas Luiz Romero")*(35/1083),IF(C4498="Técnico II",SUMIFS($D:$D,$A:$A,$A4498,$B:$B,"&lt;&gt;Patrícia Karla de Sousa Araújo",$B:$B,"&lt;&gt;Lorena Dias de Araujo",$B:$B,"&lt;&gt;Lucas Luiz Romero")*(28/1083),IF(C4498="Técnico I",SUMIFS($D:$D,$A:$A,$A4498,$B:$B,"&lt;&gt;Patrícia Karla de Sousa Araújo",$B:$B,"&lt;&gt;Lorena Dias de Araujo",$B:$B,"&lt;&gt;Lucas Luiz Romero")*(23/1083),IF(C4498="JR",SUMIFS($D:$D,$A:$A,$A4498,$B:$B,"&lt;&gt;Patrícia Karla de Sousa Araújo",$B:$B,"&lt;&gt;Lorena Dias de Araujo",$B:$B,"&lt;&gt;Lucas Luiz Romero")*(20/1083),IF(C4498="Estágio",SUMIFS($D:$D,$A:$A,$A4498,$B:$B,"&lt;&gt;Patrícia Karla de Sousa Araújo",$B:$B,"&lt;&gt;Lorena Dias de Araujo",$B:$B,"&lt;&gt;Lucas Luiz Romero")*(10/1083),0)))))),0)</f>
        <v>22</v>
      </c>
      <c r="K4498" s="3">
        <f>I4498-J4498</f>
        <v>4</v>
      </c>
      <c r="L4498" s="3" t="str">
        <f>IF(K4498&lt;-5,"CRÍTICO",IF(K4498&lt;0,"ATENÇÃO",IF(K4498&lt;=5,"OPORTUNO","MUITO BOM")))</f>
        <v>OPORTUNO</v>
      </c>
      <c r="M4498" s="3">
        <v>25</v>
      </c>
      <c r="N4498" s="3">
        <v>99.35</v>
      </c>
      <c r="O4498" s="3">
        <v>21.139705882352938</v>
      </c>
    </row>
    <row r="4499" spans="1:15" hidden="1" x14ac:dyDescent="0.25">
      <c r="A4499" s="11">
        <v>46168</v>
      </c>
      <c r="B4499" t="s">
        <v>50</v>
      </c>
      <c r="C4499" s="15" t="s">
        <v>48</v>
      </c>
      <c r="D4499" s="3">
        <v>28</v>
      </c>
      <c r="E4499" s="3">
        <v>26</v>
      </c>
      <c r="F4499" s="3">
        <v>20.21</v>
      </c>
      <c r="G4499" s="3">
        <v>2</v>
      </c>
      <c r="I4499" s="3">
        <f>E4499+G4499+H4499</f>
        <v>28</v>
      </c>
      <c r="J4499" s="3">
        <f>ROUND(MIN(IF(C4499="Técnico III",35,IF(C4499="Técnico II",28,IF(C4499="Técnico I",23,IF(C4499="JR",20,IF(C4499="Estágio",10,0))))),IF(C4499="Técnico III",SUMIFS($D:$D,$A:$A,$A4499,$B:$B,"&lt;&gt;Patrícia Karla de Sousa Araújo",$B:$B,"&lt;&gt;Lorena Dias de Araujo",$B:$B,"&lt;&gt;Lucas Luiz Romero")*(35/1083),IF(C4499="Técnico II",SUMIFS($D:$D,$A:$A,$A4499,$B:$B,"&lt;&gt;Patrícia Karla de Sousa Araújo",$B:$B,"&lt;&gt;Lorena Dias de Araujo",$B:$B,"&lt;&gt;Lucas Luiz Romero")*(28/1083),IF(C4499="Técnico I",SUMIFS($D:$D,$A:$A,$A4499,$B:$B,"&lt;&gt;Patrícia Karla de Sousa Araújo",$B:$B,"&lt;&gt;Lorena Dias de Araujo",$B:$B,"&lt;&gt;Lucas Luiz Romero")*(23/1083),IF(C4499="JR",SUMIFS($D:$D,$A:$A,$A4499,$B:$B,"&lt;&gt;Patrícia Karla de Sousa Araújo",$B:$B,"&lt;&gt;Lorena Dias de Araujo",$B:$B,"&lt;&gt;Lucas Luiz Romero")*(20/1083),IF(C4499="Estágio",SUMIFS($D:$D,$A:$A,$A4499,$B:$B,"&lt;&gt;Patrícia Karla de Sousa Araújo",$B:$B,"&lt;&gt;Lorena Dias de Araujo",$B:$B,"&lt;&gt;Lucas Luiz Romero")*(10/1083),0)))))),0)</f>
        <v>22</v>
      </c>
      <c r="K4499" s="3">
        <f>I4499-J4499</f>
        <v>6</v>
      </c>
      <c r="L4499" s="3" t="str">
        <f>IF(K4499&lt;-5,"CRÍTICO",IF(K4499&lt;0,"ATENÇÃO",IF(K4499&lt;=5,"OPORTUNO","MUITO BOM")))</f>
        <v>MUITO BOM</v>
      </c>
      <c r="M4499" s="3">
        <v>26</v>
      </c>
      <c r="N4499" s="3">
        <v>99.07</v>
      </c>
      <c r="O4499" s="3">
        <v>22.113022113022112</v>
      </c>
    </row>
    <row r="4500" spans="1:15" hidden="1" x14ac:dyDescent="0.25">
      <c r="A4500" s="11">
        <v>46168</v>
      </c>
      <c r="B4500" t="s">
        <v>51</v>
      </c>
      <c r="C4500" s="15" t="s">
        <v>48</v>
      </c>
      <c r="D4500" s="3">
        <v>0</v>
      </c>
      <c r="E4500" s="3">
        <v>0</v>
      </c>
      <c r="F4500" s="3">
        <v>0</v>
      </c>
      <c r="G4500" s="3">
        <v>0</v>
      </c>
      <c r="H4500" s="3">
        <v>0</v>
      </c>
      <c r="I4500" s="3">
        <f>E4500+G4500+H4500</f>
        <v>0</v>
      </c>
      <c r="J4500" s="3">
        <f>ROUND(MIN(IF(C4500="Técnico III",35,IF(C4500="Técnico II",28,IF(C4500="Técnico I",23,IF(C4500="JR",20,IF(C4500="Estágio",10,0))))),IF(C4500="Técnico III",SUMIFS($D:$D,$A:$A,$A4500,$B:$B,"&lt;&gt;Patrícia Karla de Sousa Araújo",$B:$B,"&lt;&gt;Lorena Dias de Araujo",$B:$B,"&lt;&gt;Lucas Luiz Romero")*(35/1083),IF(C4500="Técnico II",SUMIFS($D:$D,$A:$A,$A4500,$B:$B,"&lt;&gt;Patrícia Karla de Sousa Araújo",$B:$B,"&lt;&gt;Lorena Dias de Araujo",$B:$B,"&lt;&gt;Lucas Luiz Romero")*(28/1083),IF(C4500="Técnico I",SUMIFS($D:$D,$A:$A,$A4500,$B:$B,"&lt;&gt;Patrícia Karla de Sousa Araújo",$B:$B,"&lt;&gt;Lorena Dias de Araujo",$B:$B,"&lt;&gt;Lucas Luiz Romero")*(23/1083),IF(C4500="JR",SUMIFS($D:$D,$A:$A,$A4500,$B:$B,"&lt;&gt;Patrícia Karla de Sousa Araújo",$B:$B,"&lt;&gt;Lorena Dias de Araujo",$B:$B,"&lt;&gt;Lucas Luiz Romero")*(20/1083),IF(C4500="Estágio",SUMIFS($D:$D,$A:$A,$A4500,$B:$B,"&lt;&gt;Patrícia Karla de Sousa Araújo",$B:$B,"&lt;&gt;Lorena Dias de Araujo",$B:$B,"&lt;&gt;Lucas Luiz Romero")*(10/1083),0)))))),0)</f>
        <v>22</v>
      </c>
      <c r="K4500" s="3">
        <f>I4500-J4500</f>
        <v>-22</v>
      </c>
      <c r="L4500" s="3" t="str">
        <f>IF(K4500&lt;-5,"CRÍTICO",IF(K4500&lt;0,"ATENÇÃO",IF(K4500&lt;=5,"OPORTUNO","MUITO BOM")))</f>
        <v>CRÍTICO</v>
      </c>
      <c r="M4500" s="3">
        <v>0</v>
      </c>
      <c r="N4500" s="3">
        <v>98.81</v>
      </c>
      <c r="O4500" s="3">
        <v>25</v>
      </c>
    </row>
    <row r="4501" spans="1:15" hidden="1" x14ac:dyDescent="0.25">
      <c r="A4501" s="11">
        <v>46168</v>
      </c>
      <c r="B4501" t="s">
        <v>52</v>
      </c>
      <c r="C4501" s="15" t="s">
        <v>48</v>
      </c>
      <c r="D4501" s="3">
        <v>21</v>
      </c>
      <c r="E4501" s="3">
        <v>21</v>
      </c>
      <c r="F4501" s="3">
        <v>13.22</v>
      </c>
      <c r="G4501" s="3">
        <v>1</v>
      </c>
      <c r="I4501" s="3">
        <f>E4501+G4501+H4501</f>
        <v>22</v>
      </c>
      <c r="J4501" s="3">
        <f>ROUND(MIN(IF(C4501="Técnico III",35,IF(C4501="Técnico II",28,IF(C4501="Técnico I",23,IF(C4501="JR",20,IF(C4501="Estágio",10,0))))),IF(C4501="Técnico III",SUMIFS($D:$D,$A:$A,$A4501,$B:$B,"&lt;&gt;Patrícia Karla de Sousa Araújo",$B:$B,"&lt;&gt;Lorena Dias de Araujo",$B:$B,"&lt;&gt;Lucas Luiz Romero")*(35/1083),IF(C4501="Técnico II",SUMIFS($D:$D,$A:$A,$A4501,$B:$B,"&lt;&gt;Patrícia Karla de Sousa Araújo",$B:$B,"&lt;&gt;Lorena Dias de Araujo",$B:$B,"&lt;&gt;Lucas Luiz Romero")*(28/1083),IF(C4501="Técnico I",SUMIFS($D:$D,$A:$A,$A4501,$B:$B,"&lt;&gt;Patrícia Karla de Sousa Araújo",$B:$B,"&lt;&gt;Lorena Dias de Araujo",$B:$B,"&lt;&gt;Lucas Luiz Romero")*(23/1083),IF(C4501="JR",SUMIFS($D:$D,$A:$A,$A4501,$B:$B,"&lt;&gt;Patrícia Karla de Sousa Araújo",$B:$B,"&lt;&gt;Lorena Dias de Araujo",$B:$B,"&lt;&gt;Lucas Luiz Romero")*(20/1083),IF(C4501="Estágio",SUMIFS($D:$D,$A:$A,$A4501,$B:$B,"&lt;&gt;Patrícia Karla de Sousa Araújo",$B:$B,"&lt;&gt;Lorena Dias de Araujo",$B:$B,"&lt;&gt;Lucas Luiz Romero")*(10/1083),0)))))),0)</f>
        <v>22</v>
      </c>
      <c r="K4501" s="3">
        <f>I4501-J4501</f>
        <v>0</v>
      </c>
      <c r="L4501" s="3" t="str">
        <f>IF(K4501&lt;-5,"CRÍTICO",IF(K4501&lt;0,"ATENÇÃO",IF(K4501&lt;=5,"OPORTUNO","MUITO BOM")))</f>
        <v>OPORTUNO</v>
      </c>
      <c r="M4501" s="3">
        <v>17</v>
      </c>
      <c r="N4501" s="3">
        <v>99.01</v>
      </c>
      <c r="O4501" s="3">
        <v>19.54314720812183</v>
      </c>
    </row>
    <row r="4502" spans="1:15" hidden="1" x14ac:dyDescent="0.25">
      <c r="A4502" s="11">
        <v>46168</v>
      </c>
      <c r="B4502" t="s">
        <v>53</v>
      </c>
      <c r="C4502" s="15" t="s">
        <v>48</v>
      </c>
      <c r="D4502" s="3">
        <v>0</v>
      </c>
      <c r="E4502" s="3">
        <v>0</v>
      </c>
      <c r="F4502" s="3">
        <v>0</v>
      </c>
      <c r="G4502" s="3">
        <v>0</v>
      </c>
      <c r="H4502" s="3">
        <v>0</v>
      </c>
      <c r="I4502" s="3">
        <f>E4502+G4502+H4502</f>
        <v>0</v>
      </c>
      <c r="J4502" s="3">
        <f>ROUND(MIN(IF(C4502="Técnico III",35,IF(C4502="Técnico II",28,IF(C4502="Técnico I",23,IF(C4502="JR",20,IF(C4502="Estágio",10,0))))),IF(C4502="Técnico III",SUMIFS($D:$D,$A:$A,$A4502,$B:$B,"&lt;&gt;Patrícia Karla de Sousa Araújo",$B:$B,"&lt;&gt;Lorena Dias de Araujo",$B:$B,"&lt;&gt;Lucas Luiz Romero")*(35/1083),IF(C4502="Técnico II",SUMIFS($D:$D,$A:$A,$A4502,$B:$B,"&lt;&gt;Patrícia Karla de Sousa Araújo",$B:$B,"&lt;&gt;Lorena Dias de Araujo",$B:$B,"&lt;&gt;Lucas Luiz Romero")*(28/1083),IF(C4502="Técnico I",SUMIFS($D:$D,$A:$A,$A4502,$B:$B,"&lt;&gt;Patrícia Karla de Sousa Araújo",$B:$B,"&lt;&gt;Lorena Dias de Araujo",$B:$B,"&lt;&gt;Lucas Luiz Romero")*(23/1083),IF(C4502="JR",SUMIFS($D:$D,$A:$A,$A4502,$B:$B,"&lt;&gt;Patrícia Karla de Sousa Araújo",$B:$B,"&lt;&gt;Lorena Dias de Araujo",$B:$B,"&lt;&gt;Lucas Luiz Romero")*(20/1083),IF(C4502="Estágio",SUMIFS($D:$D,$A:$A,$A4502,$B:$B,"&lt;&gt;Patrícia Karla de Sousa Araújo",$B:$B,"&lt;&gt;Lorena Dias de Araujo",$B:$B,"&lt;&gt;Lucas Luiz Romero")*(10/1083),0)))))),0)</f>
        <v>22</v>
      </c>
      <c r="K4502" s="3">
        <f>I4502-J4502</f>
        <v>-22</v>
      </c>
      <c r="L4502" s="3" t="str">
        <f>IF(K4502&lt;-5,"CRÍTICO",IF(K4502&lt;0,"ATENÇÃO",IF(K4502&lt;=5,"OPORTUNO","MUITO BOM")))</f>
        <v>CRÍTICO</v>
      </c>
      <c r="M4502" s="3">
        <v>0</v>
      </c>
      <c r="N4502" s="3">
        <v>100</v>
      </c>
      <c r="O4502" s="3">
        <v>17.241379310344829</v>
      </c>
    </row>
    <row r="4503" spans="1:15" hidden="1" x14ac:dyDescent="0.25">
      <c r="A4503" s="11">
        <v>46168</v>
      </c>
      <c r="B4503" t="s">
        <v>54</v>
      </c>
      <c r="C4503" s="15" t="s">
        <v>48</v>
      </c>
      <c r="D4503" s="3">
        <v>24</v>
      </c>
      <c r="E4503" s="3">
        <v>23</v>
      </c>
      <c r="F4503" s="3">
        <v>15.03</v>
      </c>
      <c r="G4503" s="3">
        <v>1</v>
      </c>
      <c r="I4503" s="3">
        <f>E4503+G4503+H4503</f>
        <v>24</v>
      </c>
      <c r="J4503" s="3">
        <f>ROUND(MIN(IF(C4503="Técnico III",35,IF(C4503="Técnico II",28,IF(C4503="Técnico I",23,IF(C4503="JR",20,IF(C4503="Estágio",10,0))))),IF(C4503="Técnico III",SUMIFS($D:$D,$A:$A,$A4503,$B:$B,"&lt;&gt;Patrícia Karla de Sousa Araújo",$B:$B,"&lt;&gt;Lorena Dias de Araujo",$B:$B,"&lt;&gt;Lucas Luiz Romero")*(35/1083),IF(C4503="Técnico II",SUMIFS($D:$D,$A:$A,$A4503,$B:$B,"&lt;&gt;Patrícia Karla de Sousa Araújo",$B:$B,"&lt;&gt;Lorena Dias de Araujo",$B:$B,"&lt;&gt;Lucas Luiz Romero")*(28/1083),IF(C4503="Técnico I",SUMIFS($D:$D,$A:$A,$A4503,$B:$B,"&lt;&gt;Patrícia Karla de Sousa Araújo",$B:$B,"&lt;&gt;Lorena Dias de Araujo",$B:$B,"&lt;&gt;Lucas Luiz Romero")*(23/1083),IF(C4503="JR",SUMIFS($D:$D,$A:$A,$A4503,$B:$B,"&lt;&gt;Patrícia Karla de Sousa Araújo",$B:$B,"&lt;&gt;Lorena Dias de Araujo",$B:$B,"&lt;&gt;Lucas Luiz Romero")*(20/1083),IF(C4503="Estágio",SUMIFS($D:$D,$A:$A,$A4503,$B:$B,"&lt;&gt;Patrícia Karla de Sousa Araújo",$B:$B,"&lt;&gt;Lorena Dias de Araujo",$B:$B,"&lt;&gt;Lucas Luiz Romero")*(10/1083),0)))))),0)</f>
        <v>22</v>
      </c>
      <c r="K4503" s="3">
        <f>I4503-J4503</f>
        <v>2</v>
      </c>
      <c r="L4503" s="3" t="str">
        <f>IF(K4503&lt;-5,"CRÍTICO",IF(K4503&lt;0,"ATENÇÃO",IF(K4503&lt;=5,"OPORTUNO","MUITO BOM")))</f>
        <v>OPORTUNO</v>
      </c>
      <c r="M4503" s="3">
        <v>20</v>
      </c>
      <c r="N4503" s="3">
        <v>98.98</v>
      </c>
      <c r="O4503" s="3">
        <v>21.236559139784951</v>
      </c>
    </row>
    <row r="4504" spans="1:15" hidden="1" x14ac:dyDescent="0.25">
      <c r="A4504" s="11">
        <v>46168</v>
      </c>
      <c r="B4504" t="s">
        <v>55</v>
      </c>
      <c r="C4504" s="15" t="s">
        <v>48</v>
      </c>
      <c r="D4504" s="3">
        <v>34</v>
      </c>
      <c r="E4504" s="3">
        <v>20</v>
      </c>
      <c r="F4504" s="3">
        <v>7.25</v>
      </c>
      <c r="G4504" s="3">
        <v>0</v>
      </c>
      <c r="I4504" s="3">
        <f>E4504+G4504+H4504</f>
        <v>20</v>
      </c>
      <c r="J4504" s="3">
        <f>ROUND(MIN(IF(C4504="Técnico III",35,IF(C4504="Técnico II",28,IF(C4504="Técnico I",23,IF(C4504="JR",20,IF(C4504="Estágio",10,0))))),IF(C4504="Técnico III",SUMIFS($D:$D,$A:$A,$A4504,$B:$B,"&lt;&gt;Patrícia Karla de Sousa Araújo",$B:$B,"&lt;&gt;Lorena Dias de Araujo",$B:$B,"&lt;&gt;Lucas Luiz Romero")*(35/1083),IF(C4504="Técnico II",SUMIFS($D:$D,$A:$A,$A4504,$B:$B,"&lt;&gt;Patrícia Karla de Sousa Araújo",$B:$B,"&lt;&gt;Lorena Dias de Araujo",$B:$B,"&lt;&gt;Lucas Luiz Romero")*(28/1083),IF(C4504="Técnico I",SUMIFS($D:$D,$A:$A,$A4504,$B:$B,"&lt;&gt;Patrícia Karla de Sousa Araújo",$B:$B,"&lt;&gt;Lorena Dias de Araujo",$B:$B,"&lt;&gt;Lucas Luiz Romero")*(23/1083),IF(C4504="JR",SUMIFS($D:$D,$A:$A,$A4504,$B:$B,"&lt;&gt;Patrícia Karla de Sousa Araújo",$B:$B,"&lt;&gt;Lorena Dias de Araujo",$B:$B,"&lt;&gt;Lucas Luiz Romero")*(20/1083),IF(C4504="Estágio",SUMIFS($D:$D,$A:$A,$A4504,$B:$B,"&lt;&gt;Patrícia Karla de Sousa Araújo",$B:$B,"&lt;&gt;Lorena Dias de Araujo",$B:$B,"&lt;&gt;Lucas Luiz Romero")*(10/1083),0)))))),0)</f>
        <v>22</v>
      </c>
      <c r="K4504" s="3">
        <f>I4504-J4504</f>
        <v>-2</v>
      </c>
      <c r="L4504" s="3" t="str">
        <f>IF(K4504&lt;-5,"CRÍTICO",IF(K4504&lt;0,"ATENÇÃO",IF(K4504&lt;=5,"OPORTUNO","MUITO BOM")))</f>
        <v>ATENÇÃO</v>
      </c>
      <c r="M4504" s="3">
        <v>21</v>
      </c>
      <c r="N4504" s="3">
        <v>98.94</v>
      </c>
      <c r="O4504" s="3">
        <v>22.928176795580111</v>
      </c>
    </row>
    <row r="4505" spans="1:15" hidden="1" x14ac:dyDescent="0.25">
      <c r="A4505" s="11">
        <v>46168</v>
      </c>
      <c r="B4505" t="s">
        <v>56</v>
      </c>
      <c r="C4505" s="15" t="s">
        <v>48</v>
      </c>
      <c r="D4505" s="3">
        <v>21</v>
      </c>
      <c r="E4505" s="3">
        <v>20</v>
      </c>
      <c r="F4505" s="3">
        <v>20.39</v>
      </c>
      <c r="G4505" s="3">
        <v>0</v>
      </c>
      <c r="I4505" s="3">
        <f>E4505+G4505+H4505</f>
        <v>20</v>
      </c>
      <c r="J4505" s="3">
        <f>ROUND(MIN(IF(C4505="Técnico III",35,IF(C4505="Técnico II",28,IF(C4505="Técnico I",23,IF(C4505="JR",20,IF(C4505="Estágio",10,0))))),IF(C4505="Técnico III",SUMIFS($D:$D,$A:$A,$A4505,$B:$B,"&lt;&gt;Patrícia Karla de Sousa Araújo",$B:$B,"&lt;&gt;Lorena Dias de Araujo",$B:$B,"&lt;&gt;Lucas Luiz Romero")*(35/1083),IF(C4505="Técnico II",SUMIFS($D:$D,$A:$A,$A4505,$B:$B,"&lt;&gt;Patrícia Karla de Sousa Araújo",$B:$B,"&lt;&gt;Lorena Dias de Araujo",$B:$B,"&lt;&gt;Lucas Luiz Romero")*(28/1083),IF(C4505="Técnico I",SUMIFS($D:$D,$A:$A,$A4505,$B:$B,"&lt;&gt;Patrícia Karla de Sousa Araújo",$B:$B,"&lt;&gt;Lorena Dias de Araujo",$B:$B,"&lt;&gt;Lucas Luiz Romero")*(23/1083),IF(C4505="JR",SUMIFS($D:$D,$A:$A,$A4505,$B:$B,"&lt;&gt;Patrícia Karla de Sousa Araújo",$B:$B,"&lt;&gt;Lorena Dias de Araujo",$B:$B,"&lt;&gt;Lucas Luiz Romero")*(20/1083),IF(C4505="Estágio",SUMIFS($D:$D,$A:$A,$A4505,$B:$B,"&lt;&gt;Patrícia Karla de Sousa Araújo",$B:$B,"&lt;&gt;Lorena Dias de Araujo",$B:$B,"&lt;&gt;Lucas Luiz Romero")*(10/1083),0)))))),0)</f>
        <v>22</v>
      </c>
      <c r="K4505" s="3">
        <f>I4505-J4505</f>
        <v>-2</v>
      </c>
      <c r="L4505" s="3" t="str">
        <f>IF(K4505&lt;-5,"CRÍTICO",IF(K4505&lt;0,"ATENÇÃO",IF(K4505&lt;=5,"OPORTUNO","MUITO BOM")))</f>
        <v>ATENÇÃO</v>
      </c>
      <c r="M4505" s="3">
        <v>17</v>
      </c>
      <c r="N4505" s="3">
        <v>99</v>
      </c>
      <c r="O4505" s="3">
        <v>24.52316076294278</v>
      </c>
    </row>
    <row r="4506" spans="1:15" hidden="1" x14ac:dyDescent="0.25">
      <c r="A4506" s="11">
        <v>46168</v>
      </c>
      <c r="B4506" t="s">
        <v>57</v>
      </c>
      <c r="C4506" s="15" t="s">
        <v>48</v>
      </c>
      <c r="D4506" s="3">
        <v>18</v>
      </c>
      <c r="E4506" s="3">
        <v>17</v>
      </c>
      <c r="F4506" s="3">
        <v>22.25</v>
      </c>
      <c r="G4506" s="3">
        <v>0</v>
      </c>
      <c r="I4506" s="3">
        <f>E4506+G4506+H4506</f>
        <v>17</v>
      </c>
      <c r="J4506" s="3">
        <f>ROUND(MIN(IF(C4506="Técnico III",35,IF(C4506="Técnico II",28,IF(C4506="Técnico I",23,IF(C4506="JR",20,IF(C4506="Estágio",10,0))))),IF(C4506="Técnico III",SUMIFS($D:$D,$A:$A,$A4506,$B:$B,"&lt;&gt;Patrícia Karla de Sousa Araújo",$B:$B,"&lt;&gt;Lorena Dias de Araujo",$B:$B,"&lt;&gt;Lucas Luiz Romero")*(35/1083),IF(C4506="Técnico II",SUMIFS($D:$D,$A:$A,$A4506,$B:$B,"&lt;&gt;Patrícia Karla de Sousa Araújo",$B:$B,"&lt;&gt;Lorena Dias de Araujo",$B:$B,"&lt;&gt;Lucas Luiz Romero")*(28/1083),IF(C4506="Técnico I",SUMIFS($D:$D,$A:$A,$A4506,$B:$B,"&lt;&gt;Patrícia Karla de Sousa Araújo",$B:$B,"&lt;&gt;Lorena Dias de Araujo",$B:$B,"&lt;&gt;Lucas Luiz Romero")*(23/1083),IF(C4506="JR",SUMIFS($D:$D,$A:$A,$A4506,$B:$B,"&lt;&gt;Patrícia Karla de Sousa Araújo",$B:$B,"&lt;&gt;Lorena Dias de Araujo",$B:$B,"&lt;&gt;Lucas Luiz Romero")*(20/1083),IF(C4506="Estágio",SUMIFS($D:$D,$A:$A,$A4506,$B:$B,"&lt;&gt;Patrícia Karla de Sousa Araújo",$B:$B,"&lt;&gt;Lorena Dias de Araujo",$B:$B,"&lt;&gt;Lucas Luiz Romero")*(10/1083),0)))))),0)</f>
        <v>22</v>
      </c>
      <c r="K4506" s="3">
        <f>I4506-J4506</f>
        <v>-5</v>
      </c>
      <c r="L4506" s="3" t="str">
        <f>IF(K4506&lt;-5,"CRÍTICO",IF(K4506&lt;0,"ATENÇÃO",IF(K4506&lt;=5,"OPORTUNO","MUITO BOM")))</f>
        <v>ATENÇÃO</v>
      </c>
      <c r="M4506" s="3">
        <v>15</v>
      </c>
      <c r="N4506" s="3">
        <v>100</v>
      </c>
      <c r="O4506" s="3">
        <v>26.4367816091954</v>
      </c>
    </row>
    <row r="4507" spans="1:15" hidden="1" x14ac:dyDescent="0.25">
      <c r="A4507" s="11">
        <v>46168</v>
      </c>
      <c r="B4507" t="s">
        <v>58</v>
      </c>
      <c r="C4507" s="15" t="s">
        <v>48</v>
      </c>
      <c r="D4507" s="3">
        <v>0</v>
      </c>
      <c r="E4507" s="3">
        <v>0</v>
      </c>
      <c r="F4507" s="3">
        <v>0</v>
      </c>
      <c r="G4507" s="3">
        <v>0</v>
      </c>
      <c r="H4507" s="3">
        <v>0</v>
      </c>
      <c r="I4507" s="3">
        <f>E4507+G4507+H4507</f>
        <v>0</v>
      </c>
      <c r="J4507" s="3">
        <f>ROUND(MIN(IF(C4507="Técnico III",35,IF(C4507="Técnico II",28,IF(C4507="Técnico I",23,IF(C4507="JR",20,IF(C4507="Estágio",10,0))))),IF(C4507="Técnico III",SUMIFS($D:$D,$A:$A,$A4507,$B:$B,"&lt;&gt;Patrícia Karla de Sousa Araújo",$B:$B,"&lt;&gt;Lorena Dias de Araujo",$B:$B,"&lt;&gt;Lucas Luiz Romero")*(35/1083),IF(C4507="Técnico II",SUMIFS($D:$D,$A:$A,$A4507,$B:$B,"&lt;&gt;Patrícia Karla de Sousa Araújo",$B:$B,"&lt;&gt;Lorena Dias de Araujo",$B:$B,"&lt;&gt;Lucas Luiz Romero")*(28/1083),IF(C4507="Técnico I",SUMIFS($D:$D,$A:$A,$A4507,$B:$B,"&lt;&gt;Patrícia Karla de Sousa Araújo",$B:$B,"&lt;&gt;Lorena Dias de Araujo",$B:$B,"&lt;&gt;Lucas Luiz Romero")*(23/1083),IF(C4507="JR",SUMIFS($D:$D,$A:$A,$A4507,$B:$B,"&lt;&gt;Patrícia Karla de Sousa Araújo",$B:$B,"&lt;&gt;Lorena Dias de Araujo",$B:$B,"&lt;&gt;Lucas Luiz Romero")*(20/1083),IF(C4507="Estágio",SUMIFS($D:$D,$A:$A,$A4507,$B:$B,"&lt;&gt;Patrícia Karla de Sousa Araújo",$B:$B,"&lt;&gt;Lorena Dias de Araujo",$B:$B,"&lt;&gt;Lucas Luiz Romero")*(10/1083),0)))))),0)</f>
        <v>22</v>
      </c>
      <c r="K4507" s="3">
        <f>I4507-J4507</f>
        <v>-22</v>
      </c>
      <c r="L4507" s="3" t="str">
        <f>IF(K4507&lt;-5,"CRÍTICO",IF(K4507&lt;0,"ATENÇÃO",IF(K4507&lt;=5,"OPORTUNO","MUITO BOM")))</f>
        <v>CRÍTICO</v>
      </c>
      <c r="M4507" s="3">
        <v>0</v>
      </c>
      <c r="N4507" s="3">
        <v>100</v>
      </c>
      <c r="O4507" s="3">
        <v>21.100917431192659</v>
      </c>
    </row>
    <row r="4508" spans="1:15" hidden="1" x14ac:dyDescent="0.25">
      <c r="A4508" s="11">
        <v>46168</v>
      </c>
      <c r="B4508" t="s">
        <v>60</v>
      </c>
      <c r="C4508" s="15" t="s">
        <v>23</v>
      </c>
      <c r="D4508" s="3">
        <v>28</v>
      </c>
      <c r="E4508" s="3">
        <v>26</v>
      </c>
      <c r="F4508" s="3">
        <v>15.35</v>
      </c>
      <c r="G4508" s="3">
        <v>2</v>
      </c>
      <c r="I4508" s="3">
        <f>E4508+G4508+H4508</f>
        <v>28</v>
      </c>
      <c r="J4508" s="3">
        <f>ROUND(MIN(IF(C4508="Técnico III",35,IF(C4508="Técnico II",28,IF(C4508="Técnico I",23,IF(C4508="JR",20,IF(C4508="Estágio",10,0))))),IF(C4508="Técnico III",SUMIFS($D:$D,$A:$A,$A4508,$B:$B,"&lt;&gt;Patrícia Karla de Sousa Araújo",$B:$B,"&lt;&gt;Lorena Dias de Araujo",$B:$B,"&lt;&gt;Lucas Luiz Romero")*(35/1083),IF(C4508="Técnico II",SUMIFS($D:$D,$A:$A,$A4508,$B:$B,"&lt;&gt;Patrícia Karla de Sousa Araújo",$B:$B,"&lt;&gt;Lorena Dias de Araujo",$B:$B,"&lt;&gt;Lucas Luiz Romero")*(28/1083),IF(C4508="Técnico I",SUMIFS($D:$D,$A:$A,$A4508,$B:$B,"&lt;&gt;Patrícia Karla de Sousa Araújo",$B:$B,"&lt;&gt;Lorena Dias de Araujo",$B:$B,"&lt;&gt;Lucas Luiz Romero")*(23/1083),IF(C4508="JR",SUMIFS($D:$D,$A:$A,$A4508,$B:$B,"&lt;&gt;Patrícia Karla de Sousa Araújo",$B:$B,"&lt;&gt;Lorena Dias de Araujo",$B:$B,"&lt;&gt;Lucas Luiz Romero")*(20/1083),IF(C4508="Estágio",SUMIFS($D:$D,$A:$A,$A4508,$B:$B,"&lt;&gt;Patrícia Karla de Sousa Araújo",$B:$B,"&lt;&gt;Lorena Dias de Araujo",$B:$B,"&lt;&gt;Lucas Luiz Romero")*(10/1083),0)))))),0)</f>
        <v>18</v>
      </c>
      <c r="K4508" s="3">
        <f>I4508-J4508</f>
        <v>10</v>
      </c>
      <c r="L4508" s="3" t="str">
        <f>IF(K4508&lt;-5,"CRÍTICO",IF(K4508&lt;0,"ATENÇÃO",IF(K4508&lt;=5,"OPORTUNO","MUITO BOM")))</f>
        <v>MUITO BOM</v>
      </c>
      <c r="M4508" s="3">
        <v>25</v>
      </c>
      <c r="N4508" s="3">
        <v>97.48</v>
      </c>
      <c r="O4508" s="3">
        <v>25.401069518716579</v>
      </c>
    </row>
    <row r="4509" spans="1:15" hidden="1" x14ac:dyDescent="0.25">
      <c r="A4509" s="11">
        <v>46168</v>
      </c>
      <c r="B4509" t="s">
        <v>61</v>
      </c>
      <c r="C4509" s="15" t="s">
        <v>23</v>
      </c>
      <c r="D4509" s="3">
        <v>20</v>
      </c>
      <c r="E4509" s="3">
        <v>17</v>
      </c>
      <c r="F4509" s="3">
        <v>16.54</v>
      </c>
      <c r="G4509" s="3">
        <v>0</v>
      </c>
      <c r="I4509" s="3">
        <f>E4509+G4509+H4509</f>
        <v>17</v>
      </c>
      <c r="J4509" s="3">
        <f>ROUND(MIN(IF(C4509="Técnico III",35,IF(C4509="Técnico II",28,IF(C4509="Técnico I",23,IF(C4509="JR",20,IF(C4509="Estágio",10,0))))),IF(C4509="Técnico III",SUMIFS($D:$D,$A:$A,$A4509,$B:$B,"&lt;&gt;Patrícia Karla de Sousa Araújo",$B:$B,"&lt;&gt;Lorena Dias de Araujo",$B:$B,"&lt;&gt;Lucas Luiz Romero")*(35/1083),IF(C4509="Técnico II",SUMIFS($D:$D,$A:$A,$A4509,$B:$B,"&lt;&gt;Patrícia Karla de Sousa Araújo",$B:$B,"&lt;&gt;Lorena Dias de Araujo",$B:$B,"&lt;&gt;Lucas Luiz Romero")*(28/1083),IF(C4509="Técnico I",SUMIFS($D:$D,$A:$A,$A4509,$B:$B,"&lt;&gt;Patrícia Karla de Sousa Araújo",$B:$B,"&lt;&gt;Lorena Dias de Araujo",$B:$B,"&lt;&gt;Lucas Luiz Romero")*(23/1083),IF(C4509="JR",SUMIFS($D:$D,$A:$A,$A4509,$B:$B,"&lt;&gt;Patrícia Karla de Sousa Araújo",$B:$B,"&lt;&gt;Lorena Dias de Araujo",$B:$B,"&lt;&gt;Lucas Luiz Romero")*(20/1083),IF(C4509="Estágio",SUMIFS($D:$D,$A:$A,$A4509,$B:$B,"&lt;&gt;Patrícia Karla de Sousa Araújo",$B:$B,"&lt;&gt;Lorena Dias de Araujo",$B:$B,"&lt;&gt;Lucas Luiz Romero")*(10/1083),0)))))),0)</f>
        <v>18</v>
      </c>
      <c r="K4509" s="3">
        <f>I4509-J4509</f>
        <v>-1</v>
      </c>
      <c r="L4509" s="3" t="str">
        <f>IF(K4509&lt;-5,"CRÍTICO",IF(K4509&lt;0,"ATENÇÃO",IF(K4509&lt;=5,"OPORTUNO","MUITO BOM")))</f>
        <v>ATENÇÃO</v>
      </c>
      <c r="M4509" s="3">
        <v>13</v>
      </c>
      <c r="N4509" s="3">
        <v>100</v>
      </c>
      <c r="O4509" s="3">
        <v>22.58064516129032</v>
      </c>
    </row>
    <row r="4510" spans="1:15" hidden="1" x14ac:dyDescent="0.25">
      <c r="A4510" s="11">
        <v>46168</v>
      </c>
      <c r="B4510" t="s">
        <v>22</v>
      </c>
      <c r="C4510" s="15" t="s">
        <v>23</v>
      </c>
      <c r="D4510" s="3">
        <v>20</v>
      </c>
      <c r="E4510" s="3">
        <v>20</v>
      </c>
      <c r="F4510" s="3">
        <v>21.49</v>
      </c>
      <c r="G4510" s="3">
        <v>2</v>
      </c>
      <c r="I4510" s="3">
        <f>E4510+G4510+H4510</f>
        <v>22</v>
      </c>
      <c r="J4510" s="3">
        <f>ROUND(MIN(IF(C4510="Técnico III",35,IF(C4510="Técnico II",28,IF(C4510="Técnico I",23,IF(C4510="JR",20,IF(C4510="Estágio",10,0))))),IF(C4510="Técnico III",SUMIFS($D:$D,$A:$A,$A4510,$B:$B,"&lt;&gt;Patrícia Karla de Sousa Araújo",$B:$B,"&lt;&gt;Lorena Dias de Araujo",$B:$B,"&lt;&gt;Lucas Luiz Romero")*(35/1083),IF(C4510="Técnico II",SUMIFS($D:$D,$A:$A,$A4510,$B:$B,"&lt;&gt;Patrícia Karla de Sousa Araújo",$B:$B,"&lt;&gt;Lorena Dias de Araujo",$B:$B,"&lt;&gt;Lucas Luiz Romero")*(28/1083),IF(C4510="Técnico I",SUMIFS($D:$D,$A:$A,$A4510,$B:$B,"&lt;&gt;Patrícia Karla de Sousa Araújo",$B:$B,"&lt;&gt;Lorena Dias de Araujo",$B:$B,"&lt;&gt;Lucas Luiz Romero")*(23/1083),IF(C4510="JR",SUMIFS($D:$D,$A:$A,$A4510,$B:$B,"&lt;&gt;Patrícia Karla de Sousa Araújo",$B:$B,"&lt;&gt;Lorena Dias de Araujo",$B:$B,"&lt;&gt;Lucas Luiz Romero")*(20/1083),IF(C4510="Estágio",SUMIFS($D:$D,$A:$A,$A4510,$B:$B,"&lt;&gt;Patrícia Karla de Sousa Araújo",$B:$B,"&lt;&gt;Lorena Dias de Araujo",$B:$B,"&lt;&gt;Lucas Luiz Romero")*(10/1083),0)))))),0)</f>
        <v>18</v>
      </c>
      <c r="K4510" s="3">
        <f>I4510-J4510</f>
        <v>4</v>
      </c>
      <c r="L4510" s="3" t="str">
        <f>IF(K4510&lt;-5,"CRÍTICO",IF(K4510&lt;0,"ATENÇÃO",IF(K4510&lt;=5,"OPORTUNO","MUITO BOM")))</f>
        <v>OPORTUNO</v>
      </c>
      <c r="M4510" s="3">
        <v>19</v>
      </c>
      <c r="N4510" s="3">
        <v>99.06</v>
      </c>
      <c r="O4510" s="3">
        <v>22.33009708737864</v>
      </c>
    </row>
    <row r="4511" spans="1:15" hidden="1" x14ac:dyDescent="0.25">
      <c r="A4511" s="11">
        <v>46168</v>
      </c>
      <c r="B4511" t="s">
        <v>62</v>
      </c>
      <c r="C4511" s="15" t="s">
        <v>23</v>
      </c>
      <c r="D4511" s="3">
        <v>28</v>
      </c>
      <c r="E4511" s="3">
        <v>27</v>
      </c>
      <c r="F4511" s="3">
        <v>16.45</v>
      </c>
      <c r="G4511" s="3">
        <v>1</v>
      </c>
      <c r="I4511" s="3">
        <f>E4511+G4511+H4511</f>
        <v>28</v>
      </c>
      <c r="J4511" s="3">
        <f>ROUND(MIN(IF(C4511="Técnico III",35,IF(C4511="Técnico II",28,IF(C4511="Técnico I",23,IF(C4511="JR",20,IF(C4511="Estágio",10,0))))),IF(C4511="Técnico III",SUMIFS($D:$D,$A:$A,$A4511,$B:$B,"&lt;&gt;Patrícia Karla de Sousa Araújo",$B:$B,"&lt;&gt;Lorena Dias de Araujo",$B:$B,"&lt;&gt;Lucas Luiz Romero")*(35/1083),IF(C4511="Técnico II",SUMIFS($D:$D,$A:$A,$A4511,$B:$B,"&lt;&gt;Patrícia Karla de Sousa Araújo",$B:$B,"&lt;&gt;Lorena Dias de Araujo",$B:$B,"&lt;&gt;Lucas Luiz Romero")*(28/1083),IF(C4511="Técnico I",SUMIFS($D:$D,$A:$A,$A4511,$B:$B,"&lt;&gt;Patrícia Karla de Sousa Araújo",$B:$B,"&lt;&gt;Lorena Dias de Araujo",$B:$B,"&lt;&gt;Lucas Luiz Romero")*(23/1083),IF(C4511="JR",SUMIFS($D:$D,$A:$A,$A4511,$B:$B,"&lt;&gt;Patrícia Karla de Sousa Araújo",$B:$B,"&lt;&gt;Lorena Dias de Araujo",$B:$B,"&lt;&gt;Lucas Luiz Romero")*(20/1083),IF(C4511="Estágio",SUMIFS($D:$D,$A:$A,$A4511,$B:$B,"&lt;&gt;Patrícia Karla de Sousa Araújo",$B:$B,"&lt;&gt;Lorena Dias de Araujo",$B:$B,"&lt;&gt;Lucas Luiz Romero")*(10/1083),0)))))),0)</f>
        <v>18</v>
      </c>
      <c r="K4511" s="3">
        <f>I4511-J4511</f>
        <v>10</v>
      </c>
      <c r="L4511" s="3" t="str">
        <f>IF(K4511&lt;-5,"CRÍTICO",IF(K4511&lt;0,"ATENÇÃO",IF(K4511&lt;=5,"OPORTUNO","MUITO BOM")))</f>
        <v>MUITO BOM</v>
      </c>
      <c r="M4511" s="3">
        <v>26</v>
      </c>
      <c r="N4511" s="3">
        <v>94.55</v>
      </c>
      <c r="O4511" s="3">
        <v>24.258760107816709</v>
      </c>
    </row>
    <row r="4512" spans="1:15" hidden="1" x14ac:dyDescent="0.25">
      <c r="A4512" s="11">
        <v>46168</v>
      </c>
      <c r="B4512" t="s">
        <v>63</v>
      </c>
      <c r="C4512" s="15" t="s">
        <v>23</v>
      </c>
      <c r="D4512" s="3">
        <v>29</v>
      </c>
      <c r="E4512" s="3">
        <v>26</v>
      </c>
      <c r="F4512" s="3">
        <v>15.57</v>
      </c>
      <c r="G4512" s="3">
        <v>4</v>
      </c>
      <c r="I4512" s="3">
        <f>E4512+G4512+H4512</f>
        <v>30</v>
      </c>
      <c r="J4512" s="3">
        <f>ROUND(MIN(IF(C4512="Técnico III",35,IF(C4512="Técnico II",28,IF(C4512="Técnico I",23,IF(C4512="JR",20,IF(C4512="Estágio",10,0))))),IF(C4512="Técnico III",SUMIFS($D:$D,$A:$A,$A4512,$B:$B,"&lt;&gt;Patrícia Karla de Sousa Araújo",$B:$B,"&lt;&gt;Lorena Dias de Araujo",$B:$B,"&lt;&gt;Lucas Luiz Romero")*(35/1083),IF(C4512="Técnico II",SUMIFS($D:$D,$A:$A,$A4512,$B:$B,"&lt;&gt;Patrícia Karla de Sousa Araújo",$B:$B,"&lt;&gt;Lorena Dias de Araujo",$B:$B,"&lt;&gt;Lucas Luiz Romero")*(28/1083),IF(C4512="Técnico I",SUMIFS($D:$D,$A:$A,$A4512,$B:$B,"&lt;&gt;Patrícia Karla de Sousa Araújo",$B:$B,"&lt;&gt;Lorena Dias de Araujo",$B:$B,"&lt;&gt;Lucas Luiz Romero")*(23/1083),IF(C4512="JR",SUMIFS($D:$D,$A:$A,$A4512,$B:$B,"&lt;&gt;Patrícia Karla de Sousa Araújo",$B:$B,"&lt;&gt;Lorena Dias de Araujo",$B:$B,"&lt;&gt;Lucas Luiz Romero")*(20/1083),IF(C4512="Estágio",SUMIFS($D:$D,$A:$A,$A4512,$B:$B,"&lt;&gt;Patrícia Karla de Sousa Araújo",$B:$B,"&lt;&gt;Lorena Dias de Araujo",$B:$B,"&lt;&gt;Lucas Luiz Romero")*(10/1083),0)))))),0)</f>
        <v>18</v>
      </c>
      <c r="K4512" s="3">
        <f>I4512-J4512</f>
        <v>12</v>
      </c>
      <c r="L4512" s="3" t="str">
        <f>IF(K4512&lt;-5,"CRÍTICO",IF(K4512&lt;0,"ATENÇÃO",IF(K4512&lt;=5,"OPORTUNO","MUITO BOM")))</f>
        <v>MUITO BOM</v>
      </c>
      <c r="M4512" s="3">
        <v>22</v>
      </c>
      <c r="N4512" s="3">
        <v>98</v>
      </c>
      <c r="O4512" s="3">
        <v>22.57217847769029</v>
      </c>
    </row>
    <row r="4513" spans="1:15" hidden="1" x14ac:dyDescent="0.25">
      <c r="A4513" s="11">
        <v>46168</v>
      </c>
      <c r="B4513" t="s">
        <v>64</v>
      </c>
      <c r="C4513" s="15" t="s">
        <v>23</v>
      </c>
      <c r="D4513" s="3">
        <v>15</v>
      </c>
      <c r="E4513" s="3">
        <v>15</v>
      </c>
      <c r="F4513" s="3">
        <v>37</v>
      </c>
      <c r="G4513" s="3">
        <v>0</v>
      </c>
      <c r="I4513" s="3">
        <f>E4513+G4513+H4513</f>
        <v>15</v>
      </c>
      <c r="J4513" s="3">
        <f>ROUND(MIN(IF(C4513="Técnico III",35,IF(C4513="Técnico II",28,IF(C4513="Técnico I",23,IF(C4513="JR",20,IF(C4513="Estágio",10,0))))),IF(C4513="Técnico III",SUMIFS($D:$D,$A:$A,$A4513,$B:$B,"&lt;&gt;Patrícia Karla de Sousa Araújo",$B:$B,"&lt;&gt;Lorena Dias de Araujo",$B:$B,"&lt;&gt;Lucas Luiz Romero")*(35/1083),IF(C4513="Técnico II",SUMIFS($D:$D,$A:$A,$A4513,$B:$B,"&lt;&gt;Patrícia Karla de Sousa Araújo",$B:$B,"&lt;&gt;Lorena Dias de Araujo",$B:$B,"&lt;&gt;Lucas Luiz Romero")*(28/1083),IF(C4513="Técnico I",SUMIFS($D:$D,$A:$A,$A4513,$B:$B,"&lt;&gt;Patrícia Karla de Sousa Araújo",$B:$B,"&lt;&gt;Lorena Dias de Araujo",$B:$B,"&lt;&gt;Lucas Luiz Romero")*(23/1083),IF(C4513="JR",SUMIFS($D:$D,$A:$A,$A4513,$B:$B,"&lt;&gt;Patrícia Karla de Sousa Araújo",$B:$B,"&lt;&gt;Lorena Dias de Araujo",$B:$B,"&lt;&gt;Lucas Luiz Romero")*(20/1083),IF(C4513="Estágio",SUMIFS($D:$D,$A:$A,$A4513,$B:$B,"&lt;&gt;Patrícia Karla de Sousa Araújo",$B:$B,"&lt;&gt;Lorena Dias de Araujo",$B:$B,"&lt;&gt;Lucas Luiz Romero")*(10/1083),0)))))),0)</f>
        <v>18</v>
      </c>
      <c r="K4513" s="3">
        <f>I4513-J4513</f>
        <v>-3</v>
      </c>
      <c r="L4513" s="3" t="str">
        <f>IF(K4513&lt;-5,"CRÍTICO",IF(K4513&lt;0,"ATENÇÃO",IF(K4513&lt;=5,"OPORTUNO","MUITO BOM")))</f>
        <v>ATENÇÃO</v>
      </c>
      <c r="M4513" s="3">
        <v>14</v>
      </c>
      <c r="N4513" s="3">
        <v>100</v>
      </c>
      <c r="O4513" s="3">
        <v>19.35483870967742</v>
      </c>
    </row>
    <row r="4514" spans="1:15" hidden="1" x14ac:dyDescent="0.25">
      <c r="A4514" s="11">
        <v>46133</v>
      </c>
      <c r="B4514" t="s">
        <v>22</v>
      </c>
      <c r="C4514" t="s">
        <v>23</v>
      </c>
      <c r="D4514">
        <v>0</v>
      </c>
      <c r="E4514">
        <v>0</v>
      </c>
      <c r="F4514">
        <v>0</v>
      </c>
      <c r="G4514">
        <v>0</v>
      </c>
      <c r="H4514">
        <v>0</v>
      </c>
      <c r="I4514">
        <v>0</v>
      </c>
      <c r="J4514">
        <v>0</v>
      </c>
      <c r="K4514">
        <v>0</v>
      </c>
      <c r="M4514">
        <v>0</v>
      </c>
      <c r="N4514">
        <v>99.28</v>
      </c>
      <c r="O4514">
        <v>27.689243027888441</v>
      </c>
    </row>
    <row r="4515" spans="1:15" hidden="1" x14ac:dyDescent="0.25">
      <c r="A4515" s="11">
        <v>46133</v>
      </c>
      <c r="B4515" t="s">
        <v>47</v>
      </c>
      <c r="C4515" t="s">
        <v>48</v>
      </c>
      <c r="D4515">
        <v>0</v>
      </c>
      <c r="E4515">
        <v>0</v>
      </c>
      <c r="F4515">
        <v>0</v>
      </c>
      <c r="G4515">
        <v>0</v>
      </c>
      <c r="H4515">
        <v>0</v>
      </c>
      <c r="I4515">
        <v>0</v>
      </c>
      <c r="J4515">
        <v>0</v>
      </c>
      <c r="K4515">
        <v>0</v>
      </c>
      <c r="M4515">
        <v>0</v>
      </c>
      <c r="N4515">
        <v>100</v>
      </c>
      <c r="O4515">
        <v>32.764505119453922</v>
      </c>
    </row>
    <row r="4516" spans="1:15" hidden="1" x14ac:dyDescent="0.25">
      <c r="A4516" s="11">
        <v>46133</v>
      </c>
      <c r="B4516" t="s">
        <v>31</v>
      </c>
      <c r="C4516" t="s">
        <v>32</v>
      </c>
      <c r="D4516">
        <v>0</v>
      </c>
      <c r="E4516">
        <v>0</v>
      </c>
      <c r="F4516">
        <v>0</v>
      </c>
      <c r="G4516">
        <v>0</v>
      </c>
      <c r="H4516">
        <v>0</v>
      </c>
      <c r="I4516">
        <v>0</v>
      </c>
      <c r="J4516">
        <v>0</v>
      </c>
      <c r="K4516">
        <v>0</v>
      </c>
      <c r="M4516">
        <v>0</v>
      </c>
      <c r="N4516">
        <v>98.66</v>
      </c>
      <c r="O4516">
        <v>35.416666666666671</v>
      </c>
    </row>
    <row r="4517" spans="1:15" hidden="1" x14ac:dyDescent="0.25">
      <c r="A4517" s="11">
        <v>46133</v>
      </c>
      <c r="B4517" t="s">
        <v>59</v>
      </c>
      <c r="C4517" t="s">
        <v>23</v>
      </c>
      <c r="D4517">
        <v>0</v>
      </c>
      <c r="E4517">
        <v>0</v>
      </c>
      <c r="F4517">
        <v>0</v>
      </c>
      <c r="G4517">
        <v>0</v>
      </c>
      <c r="H4517">
        <v>0</v>
      </c>
      <c r="I4517">
        <v>0</v>
      </c>
      <c r="J4517">
        <v>0</v>
      </c>
      <c r="K4517">
        <v>0</v>
      </c>
      <c r="M4517">
        <v>0</v>
      </c>
      <c r="N4517">
        <v>99.32</v>
      </c>
      <c r="O4517">
        <v>30.648330058939099</v>
      </c>
    </row>
    <row r="4518" spans="1:15" hidden="1" x14ac:dyDescent="0.25">
      <c r="A4518" s="11">
        <v>46133</v>
      </c>
      <c r="B4518" t="s">
        <v>33</v>
      </c>
      <c r="C4518" t="s">
        <v>32</v>
      </c>
      <c r="D4518">
        <v>0</v>
      </c>
      <c r="E4518">
        <v>0</v>
      </c>
      <c r="F4518">
        <v>0</v>
      </c>
      <c r="G4518">
        <v>0</v>
      </c>
      <c r="H4518">
        <v>0</v>
      </c>
      <c r="I4518">
        <v>0</v>
      </c>
      <c r="J4518">
        <v>0</v>
      </c>
      <c r="K4518">
        <v>0</v>
      </c>
      <c r="M4518">
        <v>0</v>
      </c>
      <c r="N4518">
        <v>100</v>
      </c>
      <c r="O4518">
        <v>27.803738317757009</v>
      </c>
    </row>
    <row r="4519" spans="1:15" hidden="1" x14ac:dyDescent="0.25">
      <c r="A4519" s="11">
        <v>46133</v>
      </c>
      <c r="B4519" t="s">
        <v>15</v>
      </c>
      <c r="C4519" t="s">
        <v>16</v>
      </c>
      <c r="D4519">
        <v>0</v>
      </c>
      <c r="E4519">
        <v>0</v>
      </c>
      <c r="F4519">
        <v>0</v>
      </c>
      <c r="G4519">
        <v>0</v>
      </c>
      <c r="H4519">
        <v>0</v>
      </c>
      <c r="I4519">
        <v>0</v>
      </c>
      <c r="J4519">
        <v>0</v>
      </c>
      <c r="K4519">
        <v>0</v>
      </c>
      <c r="M4519">
        <v>0</v>
      </c>
      <c r="N4519">
        <v>96.74</v>
      </c>
      <c r="O4519">
        <v>28.67647058823529</v>
      </c>
    </row>
    <row r="4520" spans="1:15" hidden="1" x14ac:dyDescent="0.25">
      <c r="A4520" s="11">
        <v>46133</v>
      </c>
      <c r="B4520" t="s">
        <v>49</v>
      </c>
      <c r="C4520" t="s">
        <v>48</v>
      </c>
      <c r="D4520">
        <v>0</v>
      </c>
      <c r="E4520">
        <v>0</v>
      </c>
      <c r="F4520">
        <v>0</v>
      </c>
      <c r="G4520">
        <v>0</v>
      </c>
      <c r="H4520">
        <v>0</v>
      </c>
      <c r="I4520">
        <v>0</v>
      </c>
      <c r="J4520">
        <v>0</v>
      </c>
      <c r="K4520">
        <v>0</v>
      </c>
      <c r="M4520">
        <v>0</v>
      </c>
      <c r="N4520">
        <v>98.82</v>
      </c>
      <c r="O4520">
        <v>30.741410488245929</v>
      </c>
    </row>
    <row r="4521" spans="1:15" hidden="1" x14ac:dyDescent="0.25">
      <c r="A4521" s="11">
        <v>46133</v>
      </c>
      <c r="B4521" t="s">
        <v>50</v>
      </c>
      <c r="C4521" t="s">
        <v>48</v>
      </c>
      <c r="D4521">
        <v>0</v>
      </c>
      <c r="E4521">
        <v>0</v>
      </c>
      <c r="F4521">
        <v>0</v>
      </c>
      <c r="G4521">
        <v>0</v>
      </c>
      <c r="H4521">
        <v>0</v>
      </c>
      <c r="I4521">
        <v>0</v>
      </c>
      <c r="J4521">
        <v>0</v>
      </c>
      <c r="K4521">
        <v>0</v>
      </c>
      <c r="M4521">
        <v>0</v>
      </c>
      <c r="N4521">
        <v>98.2</v>
      </c>
      <c r="O4521">
        <v>27.170868347338931</v>
      </c>
    </row>
    <row r="4522" spans="1:15" hidden="1" x14ac:dyDescent="0.25">
      <c r="A4522" s="11">
        <v>46133</v>
      </c>
      <c r="B4522" t="s">
        <v>17</v>
      </c>
      <c r="C4522" t="s">
        <v>16</v>
      </c>
      <c r="D4522">
        <v>0</v>
      </c>
      <c r="E4522">
        <v>0</v>
      </c>
      <c r="F4522">
        <v>0</v>
      </c>
      <c r="G4522">
        <v>0</v>
      </c>
      <c r="H4522">
        <v>0</v>
      </c>
      <c r="I4522">
        <v>0</v>
      </c>
      <c r="J4522">
        <v>0</v>
      </c>
      <c r="K4522">
        <v>0</v>
      </c>
      <c r="M4522">
        <v>0</v>
      </c>
      <c r="N4522">
        <v>100</v>
      </c>
      <c r="O4522">
        <v>23.134328358208951</v>
      </c>
    </row>
    <row r="4523" spans="1:15" hidden="1" x14ac:dyDescent="0.25">
      <c r="A4523" s="11">
        <v>46133</v>
      </c>
      <c r="B4523" t="s">
        <v>60</v>
      </c>
      <c r="C4523" t="s">
        <v>23</v>
      </c>
      <c r="D4523">
        <v>0</v>
      </c>
      <c r="E4523">
        <v>0</v>
      </c>
      <c r="F4523">
        <v>0</v>
      </c>
      <c r="G4523">
        <v>0</v>
      </c>
      <c r="H4523">
        <v>0</v>
      </c>
      <c r="I4523">
        <v>0</v>
      </c>
      <c r="J4523">
        <v>0</v>
      </c>
      <c r="K4523">
        <v>0</v>
      </c>
      <c r="M4523">
        <v>0</v>
      </c>
      <c r="N4523">
        <v>96.3</v>
      </c>
      <c r="O4523">
        <v>32.219570405727922</v>
      </c>
    </row>
    <row r="4524" spans="1:15" hidden="1" x14ac:dyDescent="0.25">
      <c r="A4524" s="11">
        <v>46133</v>
      </c>
      <c r="B4524" t="s">
        <v>34</v>
      </c>
      <c r="C4524" t="s">
        <v>32</v>
      </c>
      <c r="D4524">
        <v>0</v>
      </c>
      <c r="E4524">
        <v>0</v>
      </c>
      <c r="F4524">
        <v>0</v>
      </c>
      <c r="G4524">
        <v>0</v>
      </c>
      <c r="H4524">
        <v>0</v>
      </c>
      <c r="I4524">
        <v>0</v>
      </c>
      <c r="J4524">
        <v>0</v>
      </c>
      <c r="K4524">
        <v>0</v>
      </c>
      <c r="M4524">
        <v>0</v>
      </c>
      <c r="N4524">
        <v>93.75</v>
      </c>
      <c r="O4524">
        <v>26.819923371647509</v>
      </c>
    </row>
    <row r="4525" spans="1:15" hidden="1" x14ac:dyDescent="0.25">
      <c r="A4525" s="11">
        <v>46133</v>
      </c>
      <c r="B4525" t="s">
        <v>51</v>
      </c>
      <c r="C4525" t="s">
        <v>48</v>
      </c>
      <c r="D4525">
        <v>0</v>
      </c>
      <c r="E4525">
        <v>0</v>
      </c>
      <c r="F4525">
        <v>0</v>
      </c>
      <c r="G4525">
        <v>0</v>
      </c>
      <c r="H4525">
        <v>0</v>
      </c>
      <c r="I4525">
        <v>0</v>
      </c>
      <c r="J4525">
        <v>0</v>
      </c>
      <c r="K4525">
        <v>0</v>
      </c>
      <c r="M4525">
        <v>0</v>
      </c>
      <c r="N4525">
        <v>97.86</v>
      </c>
      <c r="O4525">
        <v>31.018518518518519</v>
      </c>
    </row>
    <row r="4526" spans="1:15" hidden="1" x14ac:dyDescent="0.25">
      <c r="A4526" s="11">
        <v>46133</v>
      </c>
      <c r="B4526" t="s">
        <v>61</v>
      </c>
      <c r="C4526" t="s">
        <v>23</v>
      </c>
      <c r="D4526">
        <v>0</v>
      </c>
      <c r="E4526">
        <v>0</v>
      </c>
      <c r="F4526">
        <v>0</v>
      </c>
      <c r="G4526">
        <v>0</v>
      </c>
      <c r="H4526">
        <v>0</v>
      </c>
      <c r="I4526">
        <v>0</v>
      </c>
      <c r="J4526">
        <v>0</v>
      </c>
      <c r="K4526">
        <v>0</v>
      </c>
      <c r="M4526">
        <v>0</v>
      </c>
      <c r="N4526">
        <v>100</v>
      </c>
      <c r="O4526">
        <v>36.594202898550733</v>
      </c>
    </row>
    <row r="4527" spans="1:15" hidden="1" x14ac:dyDescent="0.25">
      <c r="A4527" s="11">
        <v>46133</v>
      </c>
      <c r="B4527" t="s">
        <v>35</v>
      </c>
      <c r="C4527" t="s">
        <v>32</v>
      </c>
      <c r="D4527">
        <v>0</v>
      </c>
      <c r="E4527">
        <v>0</v>
      </c>
      <c r="F4527">
        <v>0</v>
      </c>
      <c r="G4527">
        <v>0</v>
      </c>
      <c r="H4527">
        <v>0</v>
      </c>
      <c r="I4527">
        <v>0</v>
      </c>
      <c r="J4527">
        <v>0</v>
      </c>
      <c r="K4527">
        <v>0</v>
      </c>
      <c r="M4527">
        <v>0</v>
      </c>
      <c r="N4527">
        <v>100</v>
      </c>
      <c r="O4527">
        <v>38.653846153846153</v>
      </c>
    </row>
    <row r="4528" spans="1:15" hidden="1" x14ac:dyDescent="0.25">
      <c r="A4528" s="11">
        <v>46133</v>
      </c>
      <c r="B4528" t="s">
        <v>18</v>
      </c>
      <c r="C4528" t="s">
        <v>16</v>
      </c>
      <c r="D4528">
        <v>0</v>
      </c>
      <c r="E4528">
        <v>0</v>
      </c>
      <c r="F4528">
        <v>0</v>
      </c>
      <c r="G4528">
        <v>0</v>
      </c>
      <c r="H4528">
        <v>0</v>
      </c>
      <c r="I4528">
        <v>0</v>
      </c>
      <c r="J4528">
        <v>0</v>
      </c>
      <c r="K4528">
        <v>0</v>
      </c>
      <c r="M4528">
        <v>0</v>
      </c>
      <c r="N4528">
        <v>100</v>
      </c>
      <c r="O4528">
        <v>27.368421052631579</v>
      </c>
    </row>
    <row r="4529" spans="1:15" hidden="1" x14ac:dyDescent="0.25">
      <c r="A4529" s="11">
        <v>46133</v>
      </c>
      <c r="B4529" t="s">
        <v>52</v>
      </c>
      <c r="C4529" t="s">
        <v>48</v>
      </c>
      <c r="D4529">
        <v>0</v>
      </c>
      <c r="E4529">
        <v>0</v>
      </c>
      <c r="F4529">
        <v>0</v>
      </c>
      <c r="G4529">
        <v>0</v>
      </c>
      <c r="H4529">
        <v>0</v>
      </c>
      <c r="I4529">
        <v>0</v>
      </c>
      <c r="J4529">
        <v>0</v>
      </c>
      <c r="K4529">
        <v>0</v>
      </c>
      <c r="M4529">
        <v>0</v>
      </c>
      <c r="N4529">
        <v>97.83</v>
      </c>
      <c r="O4529">
        <v>28.35164835164835</v>
      </c>
    </row>
    <row r="4530" spans="1:15" hidden="1" x14ac:dyDescent="0.25">
      <c r="A4530" s="11">
        <v>46133</v>
      </c>
      <c r="B4530" t="s">
        <v>36</v>
      </c>
      <c r="C4530" t="s">
        <v>32</v>
      </c>
      <c r="D4530">
        <v>0</v>
      </c>
      <c r="E4530">
        <v>0</v>
      </c>
      <c r="F4530">
        <v>0</v>
      </c>
      <c r="G4530">
        <v>0</v>
      </c>
      <c r="H4530">
        <v>0</v>
      </c>
      <c r="I4530">
        <v>0</v>
      </c>
      <c r="J4530">
        <v>0</v>
      </c>
      <c r="K4530">
        <v>0</v>
      </c>
      <c r="M4530">
        <v>0</v>
      </c>
      <c r="N4530">
        <v>99.26</v>
      </c>
      <c r="O4530">
        <v>29.766536964980549</v>
      </c>
    </row>
    <row r="4531" spans="1:15" hidden="1" x14ac:dyDescent="0.25">
      <c r="A4531" s="11">
        <v>46133</v>
      </c>
      <c r="B4531" t="s">
        <v>53</v>
      </c>
      <c r="C4531" t="s">
        <v>48</v>
      </c>
      <c r="D4531">
        <v>0</v>
      </c>
      <c r="E4531">
        <v>0</v>
      </c>
      <c r="F4531">
        <v>0</v>
      </c>
      <c r="G4531">
        <v>0</v>
      </c>
      <c r="H4531">
        <v>0</v>
      </c>
      <c r="I4531">
        <v>0</v>
      </c>
      <c r="J4531">
        <v>0</v>
      </c>
      <c r="K4531">
        <v>0</v>
      </c>
      <c r="M4531">
        <v>0</v>
      </c>
      <c r="N4531">
        <v>99.19</v>
      </c>
      <c r="O4531">
        <v>29.462365591397852</v>
      </c>
    </row>
    <row r="4532" spans="1:15" hidden="1" x14ac:dyDescent="0.25">
      <c r="A4532" s="11">
        <v>46133</v>
      </c>
      <c r="B4532" t="s">
        <v>54</v>
      </c>
      <c r="C4532" t="s">
        <v>48</v>
      </c>
      <c r="D4532">
        <v>0</v>
      </c>
      <c r="E4532">
        <v>0</v>
      </c>
      <c r="F4532">
        <v>0</v>
      </c>
      <c r="G4532">
        <v>0</v>
      </c>
      <c r="H4532">
        <v>0</v>
      </c>
      <c r="I4532">
        <v>0</v>
      </c>
      <c r="J4532">
        <v>0</v>
      </c>
      <c r="K4532">
        <v>0</v>
      </c>
      <c r="M4532">
        <v>0</v>
      </c>
      <c r="N4532">
        <v>100</v>
      </c>
      <c r="O4532">
        <v>28.921568627450981</v>
      </c>
    </row>
    <row r="4533" spans="1:15" hidden="1" x14ac:dyDescent="0.25">
      <c r="A4533" s="11">
        <v>46133</v>
      </c>
      <c r="B4533" t="s">
        <v>37</v>
      </c>
      <c r="C4533" t="s">
        <v>32</v>
      </c>
      <c r="D4533">
        <v>0</v>
      </c>
      <c r="E4533">
        <v>0</v>
      </c>
      <c r="F4533">
        <v>0</v>
      </c>
      <c r="G4533">
        <v>0</v>
      </c>
      <c r="H4533">
        <v>0</v>
      </c>
      <c r="I4533">
        <v>0</v>
      </c>
      <c r="J4533">
        <v>0</v>
      </c>
      <c r="K4533">
        <v>0</v>
      </c>
      <c r="M4533">
        <v>0</v>
      </c>
      <c r="N4533">
        <v>99.57</v>
      </c>
      <c r="O4533">
        <v>30.635838150289018</v>
      </c>
    </row>
    <row r="4534" spans="1:15" hidden="1" x14ac:dyDescent="0.25">
      <c r="A4534" s="11">
        <v>46133</v>
      </c>
      <c r="B4534" t="s">
        <v>38</v>
      </c>
      <c r="C4534" t="s">
        <v>32</v>
      </c>
      <c r="D4534">
        <v>0</v>
      </c>
      <c r="E4534">
        <v>0</v>
      </c>
      <c r="F4534">
        <v>0</v>
      </c>
      <c r="G4534">
        <v>0</v>
      </c>
      <c r="H4534">
        <v>0</v>
      </c>
      <c r="I4534">
        <v>0</v>
      </c>
      <c r="J4534">
        <v>0</v>
      </c>
      <c r="K4534">
        <v>0</v>
      </c>
      <c r="M4534">
        <v>0</v>
      </c>
      <c r="N4534">
        <v>95.65</v>
      </c>
      <c r="O4534">
        <v>32.432432432432442</v>
      </c>
    </row>
    <row r="4535" spans="1:15" hidden="1" x14ac:dyDescent="0.25">
      <c r="A4535" s="11">
        <v>46133</v>
      </c>
      <c r="B4535" t="s">
        <v>55</v>
      </c>
      <c r="C4535" t="s">
        <v>48</v>
      </c>
      <c r="D4535">
        <v>0</v>
      </c>
      <c r="E4535">
        <v>0</v>
      </c>
      <c r="F4535">
        <v>0</v>
      </c>
      <c r="G4535">
        <v>0</v>
      </c>
      <c r="H4535">
        <v>0</v>
      </c>
      <c r="I4535">
        <v>0</v>
      </c>
      <c r="J4535">
        <v>0</v>
      </c>
      <c r="K4535">
        <v>0</v>
      </c>
      <c r="M4535">
        <v>0</v>
      </c>
      <c r="N4535">
        <v>98.81</v>
      </c>
      <c r="O4535">
        <v>26.256983240223459</v>
      </c>
    </row>
    <row r="4536" spans="1:15" hidden="1" x14ac:dyDescent="0.25">
      <c r="A4536" s="11">
        <v>46133</v>
      </c>
      <c r="B4536" t="s">
        <v>39</v>
      </c>
      <c r="C4536" t="s">
        <v>32</v>
      </c>
      <c r="D4536">
        <v>0</v>
      </c>
      <c r="E4536">
        <v>0</v>
      </c>
      <c r="F4536">
        <v>0</v>
      </c>
      <c r="G4536">
        <v>0</v>
      </c>
      <c r="H4536">
        <v>0</v>
      </c>
      <c r="I4536">
        <v>0</v>
      </c>
      <c r="J4536">
        <v>0</v>
      </c>
      <c r="K4536">
        <v>0</v>
      </c>
      <c r="M4536">
        <v>0</v>
      </c>
      <c r="N4536">
        <v>0</v>
      </c>
      <c r="O4536">
        <v>0</v>
      </c>
    </row>
    <row r="4537" spans="1:15" hidden="1" x14ac:dyDescent="0.25">
      <c r="A4537" s="11">
        <v>46133</v>
      </c>
      <c r="B4537" t="s">
        <v>25</v>
      </c>
      <c r="C4537" t="s">
        <v>26</v>
      </c>
      <c r="D4537">
        <v>0</v>
      </c>
      <c r="E4537">
        <v>0</v>
      </c>
      <c r="F4537">
        <v>0</v>
      </c>
      <c r="G4537">
        <v>0</v>
      </c>
      <c r="H4537">
        <v>0</v>
      </c>
      <c r="I4537">
        <v>0</v>
      </c>
      <c r="J4537">
        <v>0</v>
      </c>
      <c r="K4537">
        <v>0</v>
      </c>
      <c r="M4537">
        <v>0</v>
      </c>
      <c r="N4537">
        <v>97.17</v>
      </c>
      <c r="O4537">
        <v>28.81844380403458</v>
      </c>
    </row>
    <row r="4538" spans="1:15" hidden="1" x14ac:dyDescent="0.25">
      <c r="A4538" s="11">
        <v>46133</v>
      </c>
      <c r="B4538" t="s">
        <v>40</v>
      </c>
      <c r="C4538" t="s">
        <v>32</v>
      </c>
      <c r="D4538">
        <v>0</v>
      </c>
      <c r="E4538">
        <v>0</v>
      </c>
      <c r="F4538">
        <v>0</v>
      </c>
      <c r="G4538">
        <v>0</v>
      </c>
      <c r="H4538">
        <v>0</v>
      </c>
      <c r="I4538">
        <v>0</v>
      </c>
      <c r="J4538">
        <v>0</v>
      </c>
      <c r="K4538">
        <v>0</v>
      </c>
      <c r="M4538">
        <v>0</v>
      </c>
      <c r="N4538">
        <v>96.81</v>
      </c>
      <c r="O4538">
        <v>48.018648018648022</v>
      </c>
    </row>
    <row r="4539" spans="1:15" hidden="1" x14ac:dyDescent="0.25">
      <c r="A4539" s="11">
        <v>46133</v>
      </c>
      <c r="B4539" t="s">
        <v>27</v>
      </c>
      <c r="C4539" t="s">
        <v>26</v>
      </c>
      <c r="D4539">
        <v>0</v>
      </c>
      <c r="E4539">
        <v>0</v>
      </c>
      <c r="F4539">
        <v>0</v>
      </c>
      <c r="G4539">
        <v>0</v>
      </c>
      <c r="H4539">
        <v>0</v>
      </c>
      <c r="I4539">
        <v>0</v>
      </c>
      <c r="J4539">
        <v>0</v>
      </c>
      <c r="K4539">
        <v>0</v>
      </c>
      <c r="M4539">
        <v>0</v>
      </c>
      <c r="N4539">
        <v>98.15</v>
      </c>
      <c r="O4539">
        <v>27.1551724137931</v>
      </c>
    </row>
    <row r="4540" spans="1:15" hidden="1" x14ac:dyDescent="0.25">
      <c r="A4540" s="11">
        <v>46133</v>
      </c>
      <c r="B4540" t="s">
        <v>41</v>
      </c>
      <c r="C4540" t="s">
        <v>32</v>
      </c>
      <c r="D4540">
        <v>0</v>
      </c>
      <c r="E4540">
        <v>0</v>
      </c>
      <c r="F4540">
        <v>0</v>
      </c>
      <c r="G4540">
        <v>0</v>
      </c>
      <c r="H4540">
        <v>0</v>
      </c>
      <c r="I4540">
        <v>0</v>
      </c>
      <c r="J4540">
        <v>0</v>
      </c>
      <c r="K4540">
        <v>0</v>
      </c>
      <c r="M4540">
        <v>0</v>
      </c>
      <c r="N4540">
        <v>99.15</v>
      </c>
      <c r="O4540">
        <v>27.586206896551719</v>
      </c>
    </row>
    <row r="4541" spans="1:15" hidden="1" x14ac:dyDescent="0.25">
      <c r="A4541" s="11">
        <v>46133</v>
      </c>
      <c r="B4541" t="s">
        <v>56</v>
      </c>
      <c r="C4541" t="s">
        <v>48</v>
      </c>
      <c r="D4541">
        <v>0</v>
      </c>
      <c r="E4541">
        <v>0</v>
      </c>
      <c r="F4541">
        <v>0</v>
      </c>
      <c r="G4541">
        <v>0</v>
      </c>
      <c r="H4541">
        <v>0</v>
      </c>
      <c r="I4541">
        <v>0</v>
      </c>
      <c r="J4541">
        <v>0</v>
      </c>
      <c r="K4541">
        <v>0</v>
      </c>
      <c r="M4541">
        <v>0</v>
      </c>
      <c r="N4541">
        <v>99.17</v>
      </c>
      <c r="O4541">
        <v>29.75206611570248</v>
      </c>
    </row>
    <row r="4542" spans="1:15" hidden="1" x14ac:dyDescent="0.25">
      <c r="A4542" s="11">
        <v>46133</v>
      </c>
      <c r="B4542" t="s">
        <v>57</v>
      </c>
      <c r="C4542" t="s">
        <v>48</v>
      </c>
      <c r="D4542">
        <v>0</v>
      </c>
      <c r="E4542">
        <v>0</v>
      </c>
      <c r="F4542">
        <v>0</v>
      </c>
      <c r="G4542">
        <v>0</v>
      </c>
      <c r="H4542">
        <v>0</v>
      </c>
      <c r="I4542">
        <v>0</v>
      </c>
      <c r="J4542">
        <v>0</v>
      </c>
      <c r="K4542">
        <v>0</v>
      </c>
      <c r="M4542">
        <v>0</v>
      </c>
      <c r="N4542">
        <v>98.73</v>
      </c>
      <c r="O4542">
        <v>28.961748633879779</v>
      </c>
    </row>
    <row r="4543" spans="1:15" hidden="1" x14ac:dyDescent="0.25">
      <c r="A4543" s="11">
        <v>46133</v>
      </c>
      <c r="B4543" t="s">
        <v>42</v>
      </c>
      <c r="C4543" t="s">
        <v>32</v>
      </c>
      <c r="D4543">
        <v>0</v>
      </c>
      <c r="E4543">
        <v>0</v>
      </c>
      <c r="F4543">
        <v>0</v>
      </c>
      <c r="G4543">
        <v>0</v>
      </c>
      <c r="H4543">
        <v>0</v>
      </c>
      <c r="I4543">
        <v>0</v>
      </c>
      <c r="J4543">
        <v>0</v>
      </c>
      <c r="K4543">
        <v>0</v>
      </c>
      <c r="M4543">
        <v>0</v>
      </c>
      <c r="N4543">
        <v>88.68</v>
      </c>
      <c r="O4543">
        <v>22.03389830508474</v>
      </c>
    </row>
    <row r="4544" spans="1:15" hidden="1" x14ac:dyDescent="0.25">
      <c r="A4544" s="11">
        <v>46133</v>
      </c>
      <c r="B4544" t="s">
        <v>62</v>
      </c>
      <c r="C4544" t="s">
        <v>23</v>
      </c>
      <c r="D4544">
        <v>0</v>
      </c>
      <c r="E4544">
        <v>0</v>
      </c>
      <c r="F4544">
        <v>0</v>
      </c>
      <c r="G4544">
        <v>0</v>
      </c>
      <c r="H4544">
        <v>0</v>
      </c>
      <c r="I4544">
        <v>0</v>
      </c>
      <c r="J4544">
        <v>0</v>
      </c>
      <c r="K4544">
        <v>0</v>
      </c>
      <c r="M4544">
        <v>0</v>
      </c>
      <c r="N4544">
        <v>97.37</v>
      </c>
      <c r="O4544">
        <v>25.76530612244898</v>
      </c>
    </row>
    <row r="4545" spans="1:15" hidden="1" x14ac:dyDescent="0.25">
      <c r="A4545" s="11">
        <v>46133</v>
      </c>
      <c r="B4545" t="s">
        <v>19</v>
      </c>
      <c r="C4545" t="s">
        <v>16</v>
      </c>
      <c r="D4545">
        <v>0</v>
      </c>
      <c r="E4545">
        <v>0</v>
      </c>
      <c r="F4545">
        <v>0</v>
      </c>
      <c r="G4545">
        <v>0</v>
      </c>
      <c r="H4545">
        <v>0</v>
      </c>
      <c r="I4545">
        <v>0</v>
      </c>
      <c r="J4545">
        <v>0</v>
      </c>
      <c r="K4545">
        <v>0</v>
      </c>
      <c r="M4545">
        <v>0</v>
      </c>
      <c r="N4545">
        <v>100</v>
      </c>
      <c r="O4545">
        <v>25</v>
      </c>
    </row>
    <row r="4546" spans="1:15" hidden="1" x14ac:dyDescent="0.25">
      <c r="A4546" s="11">
        <v>46133</v>
      </c>
      <c r="B4546" t="s">
        <v>43</v>
      </c>
      <c r="C4546" t="s">
        <v>32</v>
      </c>
      <c r="D4546">
        <v>0</v>
      </c>
      <c r="E4546">
        <v>0</v>
      </c>
      <c r="F4546">
        <v>0</v>
      </c>
      <c r="G4546">
        <v>0</v>
      </c>
      <c r="H4546">
        <v>0</v>
      </c>
      <c r="I4546">
        <v>0</v>
      </c>
      <c r="J4546">
        <v>0</v>
      </c>
      <c r="K4546">
        <v>0</v>
      </c>
      <c r="M4546">
        <v>0</v>
      </c>
      <c r="N4546">
        <v>100</v>
      </c>
      <c r="O4546">
        <v>23.9870340356564</v>
      </c>
    </row>
    <row r="4547" spans="1:15" hidden="1" x14ac:dyDescent="0.25">
      <c r="A4547" s="11">
        <v>46133</v>
      </c>
      <c r="B4547" t="s">
        <v>44</v>
      </c>
      <c r="C4547" t="s">
        <v>32</v>
      </c>
      <c r="D4547">
        <v>0</v>
      </c>
      <c r="E4547">
        <v>0</v>
      </c>
      <c r="F4547">
        <v>0</v>
      </c>
      <c r="G4547">
        <v>0</v>
      </c>
      <c r="H4547">
        <v>0</v>
      </c>
      <c r="I4547">
        <v>0</v>
      </c>
      <c r="J4547">
        <v>0</v>
      </c>
      <c r="K4547">
        <v>0</v>
      </c>
      <c r="M4547">
        <v>0</v>
      </c>
      <c r="N4547">
        <v>95.49</v>
      </c>
      <c r="O4547">
        <v>28.370221327967808</v>
      </c>
    </row>
    <row r="4548" spans="1:15" hidden="1" x14ac:dyDescent="0.25">
      <c r="A4548" s="11">
        <v>46133</v>
      </c>
      <c r="B4548" t="s">
        <v>20</v>
      </c>
      <c r="C4548" t="s">
        <v>16</v>
      </c>
      <c r="D4548">
        <v>0</v>
      </c>
      <c r="E4548">
        <v>0</v>
      </c>
      <c r="F4548">
        <v>0</v>
      </c>
      <c r="G4548">
        <v>0</v>
      </c>
      <c r="H4548">
        <v>0</v>
      </c>
      <c r="I4548">
        <v>0</v>
      </c>
      <c r="J4548">
        <v>0</v>
      </c>
      <c r="K4548">
        <v>0</v>
      </c>
      <c r="M4548">
        <v>0</v>
      </c>
      <c r="N4548">
        <v>100</v>
      </c>
      <c r="O4548">
        <v>23.77622377622378</v>
      </c>
    </row>
    <row r="4549" spans="1:15" hidden="1" x14ac:dyDescent="0.25">
      <c r="A4549" s="11">
        <v>46133</v>
      </c>
      <c r="B4549" t="s">
        <v>28</v>
      </c>
      <c r="C4549" t="s">
        <v>26</v>
      </c>
      <c r="D4549">
        <v>0</v>
      </c>
      <c r="E4549">
        <v>0</v>
      </c>
      <c r="F4549">
        <v>0</v>
      </c>
      <c r="G4549">
        <v>0</v>
      </c>
      <c r="H4549">
        <v>0</v>
      </c>
      <c r="I4549">
        <v>0</v>
      </c>
      <c r="J4549">
        <v>0</v>
      </c>
      <c r="K4549">
        <v>0</v>
      </c>
      <c r="M4549">
        <v>0</v>
      </c>
      <c r="N4549">
        <v>96.15</v>
      </c>
      <c r="O4549">
        <v>24.045801526717561</v>
      </c>
    </row>
    <row r="4550" spans="1:15" hidden="1" x14ac:dyDescent="0.25">
      <c r="A4550" s="11">
        <v>46133</v>
      </c>
      <c r="B4550" t="s">
        <v>58</v>
      </c>
      <c r="C4550" t="s">
        <v>48</v>
      </c>
      <c r="D4550">
        <v>0</v>
      </c>
      <c r="E4550">
        <v>0</v>
      </c>
      <c r="F4550">
        <v>0</v>
      </c>
      <c r="G4550">
        <v>0</v>
      </c>
      <c r="H4550">
        <v>0</v>
      </c>
      <c r="I4550">
        <v>0</v>
      </c>
      <c r="J4550">
        <v>0</v>
      </c>
      <c r="K4550">
        <v>0</v>
      </c>
      <c r="M4550">
        <v>0</v>
      </c>
      <c r="N4550">
        <v>99.02</v>
      </c>
      <c r="O4550">
        <v>34.797297297297298</v>
      </c>
    </row>
    <row r="4551" spans="1:15" hidden="1" x14ac:dyDescent="0.25">
      <c r="A4551" s="11">
        <v>46133</v>
      </c>
      <c r="B4551" t="s">
        <v>29</v>
      </c>
      <c r="C4551" t="s">
        <v>26</v>
      </c>
      <c r="D4551">
        <v>0</v>
      </c>
      <c r="E4551">
        <v>0</v>
      </c>
      <c r="F4551">
        <v>0</v>
      </c>
      <c r="G4551">
        <v>0</v>
      </c>
      <c r="H4551">
        <v>0</v>
      </c>
      <c r="I4551">
        <v>0</v>
      </c>
      <c r="J4551">
        <v>0</v>
      </c>
      <c r="K4551">
        <v>0</v>
      </c>
      <c r="M4551">
        <v>0</v>
      </c>
      <c r="N4551">
        <v>98.84</v>
      </c>
      <c r="O4551">
        <v>31.868131868131869</v>
      </c>
    </row>
    <row r="4552" spans="1:15" hidden="1" x14ac:dyDescent="0.25">
      <c r="A4552" s="11">
        <v>46133</v>
      </c>
      <c r="B4552" t="s">
        <v>30</v>
      </c>
      <c r="C4552" t="s">
        <v>26</v>
      </c>
      <c r="D4552">
        <v>0</v>
      </c>
      <c r="E4552">
        <v>0</v>
      </c>
      <c r="F4552">
        <v>0</v>
      </c>
      <c r="G4552">
        <v>0</v>
      </c>
      <c r="H4552">
        <v>0</v>
      </c>
      <c r="I4552">
        <v>0</v>
      </c>
      <c r="J4552">
        <v>0</v>
      </c>
      <c r="K4552">
        <v>0</v>
      </c>
      <c r="M4552">
        <v>0</v>
      </c>
      <c r="N4552">
        <v>100</v>
      </c>
      <c r="O4552">
        <v>34.666666666666671</v>
      </c>
    </row>
    <row r="4553" spans="1:15" hidden="1" x14ac:dyDescent="0.25">
      <c r="A4553" s="11">
        <v>46133</v>
      </c>
      <c r="B4553" t="s">
        <v>21</v>
      </c>
      <c r="C4553" t="s">
        <v>16</v>
      </c>
      <c r="D4553">
        <v>0</v>
      </c>
      <c r="E4553">
        <v>0</v>
      </c>
      <c r="F4553">
        <v>0</v>
      </c>
      <c r="G4553">
        <v>0</v>
      </c>
      <c r="H4553">
        <v>0</v>
      </c>
      <c r="I4553">
        <v>0</v>
      </c>
      <c r="J4553">
        <v>0</v>
      </c>
      <c r="K4553">
        <v>0</v>
      </c>
      <c r="M4553">
        <v>0</v>
      </c>
      <c r="N4553">
        <v>94.12</v>
      </c>
      <c r="O4553">
        <v>32.799999999999997</v>
      </c>
    </row>
    <row r="4554" spans="1:15" hidden="1" x14ac:dyDescent="0.25">
      <c r="A4554" s="11">
        <v>46133</v>
      </c>
      <c r="B4554" t="s">
        <v>63</v>
      </c>
      <c r="C4554" t="s">
        <v>23</v>
      </c>
      <c r="D4554">
        <v>0</v>
      </c>
      <c r="E4554">
        <v>0</v>
      </c>
      <c r="F4554">
        <v>0</v>
      </c>
      <c r="G4554">
        <v>0</v>
      </c>
      <c r="H4554">
        <v>0</v>
      </c>
      <c r="I4554">
        <v>0</v>
      </c>
      <c r="J4554">
        <v>0</v>
      </c>
      <c r="K4554">
        <v>0</v>
      </c>
      <c r="M4554">
        <v>0</v>
      </c>
      <c r="N4554">
        <v>98.32</v>
      </c>
      <c r="O4554">
        <v>26.858513189448441</v>
      </c>
    </row>
    <row r="4555" spans="1:15" hidden="1" x14ac:dyDescent="0.25">
      <c r="A4555" s="11">
        <v>46133</v>
      </c>
      <c r="B4555" t="s">
        <v>45</v>
      </c>
      <c r="C4555" t="s">
        <v>32</v>
      </c>
      <c r="D4555">
        <v>0</v>
      </c>
      <c r="E4555">
        <v>0</v>
      </c>
      <c r="F4555">
        <v>0</v>
      </c>
      <c r="G4555">
        <v>0</v>
      </c>
      <c r="H4555">
        <v>0</v>
      </c>
      <c r="I4555">
        <v>0</v>
      </c>
      <c r="J4555">
        <v>0</v>
      </c>
      <c r="K4555">
        <v>0</v>
      </c>
      <c r="M4555">
        <v>0</v>
      </c>
      <c r="N4555">
        <v>100</v>
      </c>
      <c r="O4555">
        <v>31.135531135531139</v>
      </c>
    </row>
    <row r="4556" spans="1:15" hidden="1" x14ac:dyDescent="0.25">
      <c r="A4556" s="11">
        <v>46133</v>
      </c>
      <c r="B4556" t="s">
        <v>64</v>
      </c>
      <c r="C4556" t="s">
        <v>23</v>
      </c>
      <c r="D4556">
        <v>0</v>
      </c>
      <c r="E4556">
        <v>0</v>
      </c>
      <c r="F4556">
        <v>0</v>
      </c>
      <c r="G4556">
        <v>0</v>
      </c>
      <c r="H4556">
        <v>0</v>
      </c>
      <c r="I4556">
        <v>0</v>
      </c>
      <c r="J4556">
        <v>0</v>
      </c>
      <c r="K4556">
        <v>0</v>
      </c>
      <c r="M4556">
        <v>0</v>
      </c>
      <c r="N4556">
        <v>100</v>
      </c>
      <c r="O4556">
        <v>26.36986301369863</v>
      </c>
    </row>
    <row r="4557" spans="1:15" hidden="1" x14ac:dyDescent="0.25">
      <c r="A4557" s="11">
        <v>46133</v>
      </c>
      <c r="B4557" t="s">
        <v>46</v>
      </c>
      <c r="C4557" t="s">
        <v>32</v>
      </c>
      <c r="D4557">
        <v>0</v>
      </c>
      <c r="E4557">
        <v>0</v>
      </c>
      <c r="F4557">
        <v>0</v>
      </c>
      <c r="G4557">
        <v>0</v>
      </c>
      <c r="H4557">
        <v>0</v>
      </c>
      <c r="I4557">
        <v>0</v>
      </c>
      <c r="J4557">
        <v>0</v>
      </c>
      <c r="K4557">
        <v>0</v>
      </c>
      <c r="M4557">
        <v>0</v>
      </c>
      <c r="N4557">
        <v>99.21</v>
      </c>
      <c r="O4557">
        <v>25.188916876574311</v>
      </c>
    </row>
    <row r="4558" spans="1:15" hidden="1" x14ac:dyDescent="0.25">
      <c r="A4558" s="11">
        <v>46143</v>
      </c>
      <c r="B4558" t="s">
        <v>15</v>
      </c>
      <c r="C4558" t="s">
        <v>16</v>
      </c>
      <c r="D4558">
        <v>0</v>
      </c>
      <c r="E4558">
        <v>0</v>
      </c>
      <c r="F4558">
        <v>0</v>
      </c>
      <c r="G4558">
        <v>0</v>
      </c>
      <c r="H4558">
        <v>0</v>
      </c>
      <c r="I4558">
        <v>0</v>
      </c>
      <c r="J4558">
        <v>0</v>
      </c>
      <c r="K4558">
        <v>0</v>
      </c>
      <c r="M4558">
        <v>0</v>
      </c>
      <c r="N4558">
        <v>99.25</v>
      </c>
      <c r="O4558">
        <v>20.408163265306118</v>
      </c>
    </row>
    <row r="4559" spans="1:15" hidden="1" x14ac:dyDescent="0.25">
      <c r="A4559" s="11">
        <v>46143</v>
      </c>
      <c r="B4559" t="s">
        <v>17</v>
      </c>
      <c r="C4559" t="s">
        <v>16</v>
      </c>
      <c r="D4559">
        <v>0</v>
      </c>
      <c r="E4559">
        <v>0</v>
      </c>
      <c r="F4559">
        <v>0</v>
      </c>
      <c r="G4559">
        <v>0</v>
      </c>
      <c r="H4559">
        <v>0</v>
      </c>
      <c r="I4559">
        <v>0</v>
      </c>
      <c r="J4559">
        <v>0</v>
      </c>
      <c r="K4559">
        <v>0</v>
      </c>
      <c r="M4559">
        <v>0</v>
      </c>
      <c r="N4559">
        <v>97.14</v>
      </c>
      <c r="O4559">
        <v>24.761904761904759</v>
      </c>
    </row>
    <row r="4560" spans="1:15" hidden="1" x14ac:dyDescent="0.25">
      <c r="A4560" s="11">
        <v>46143</v>
      </c>
      <c r="B4560" t="s">
        <v>18</v>
      </c>
      <c r="C4560" t="s">
        <v>16</v>
      </c>
      <c r="D4560">
        <v>0</v>
      </c>
      <c r="E4560">
        <v>0</v>
      </c>
      <c r="F4560">
        <v>0</v>
      </c>
      <c r="G4560">
        <v>0</v>
      </c>
      <c r="H4560">
        <v>0</v>
      </c>
      <c r="I4560">
        <v>0</v>
      </c>
      <c r="J4560">
        <v>0</v>
      </c>
      <c r="K4560">
        <v>0</v>
      </c>
      <c r="M4560">
        <v>0</v>
      </c>
      <c r="N4560">
        <v>100</v>
      </c>
      <c r="O4560">
        <v>28.94736842105263</v>
      </c>
    </row>
    <row r="4561" spans="1:15" hidden="1" x14ac:dyDescent="0.25">
      <c r="A4561" s="11">
        <v>46143</v>
      </c>
      <c r="B4561" t="s">
        <v>19</v>
      </c>
      <c r="C4561" t="s">
        <v>16</v>
      </c>
      <c r="D4561">
        <v>0</v>
      </c>
      <c r="E4561">
        <v>0</v>
      </c>
      <c r="F4561">
        <v>0</v>
      </c>
      <c r="G4561">
        <v>0</v>
      </c>
      <c r="H4561">
        <v>0</v>
      </c>
      <c r="I4561">
        <v>0</v>
      </c>
      <c r="J4561">
        <v>0</v>
      </c>
      <c r="K4561">
        <v>0</v>
      </c>
      <c r="M4561">
        <v>0</v>
      </c>
      <c r="N4561">
        <v>100</v>
      </c>
      <c r="O4561">
        <v>12.941176470588241</v>
      </c>
    </row>
    <row r="4562" spans="1:15" hidden="1" x14ac:dyDescent="0.25">
      <c r="A4562" s="11">
        <v>46143</v>
      </c>
      <c r="B4562" t="s">
        <v>20</v>
      </c>
      <c r="C4562" t="s">
        <v>16</v>
      </c>
      <c r="D4562">
        <v>0</v>
      </c>
      <c r="E4562">
        <v>0</v>
      </c>
      <c r="F4562">
        <v>0</v>
      </c>
      <c r="G4562">
        <v>0</v>
      </c>
      <c r="H4562">
        <v>0</v>
      </c>
      <c r="I4562">
        <v>0</v>
      </c>
      <c r="J4562">
        <v>0</v>
      </c>
      <c r="K4562">
        <v>0</v>
      </c>
      <c r="M4562">
        <v>0</v>
      </c>
      <c r="N4562">
        <v>100</v>
      </c>
      <c r="O4562">
        <v>17.1875</v>
      </c>
    </row>
    <row r="4563" spans="1:15" hidden="1" x14ac:dyDescent="0.25">
      <c r="A4563" s="11">
        <v>46143</v>
      </c>
      <c r="B4563" t="s">
        <v>21</v>
      </c>
      <c r="C4563" t="s">
        <v>16</v>
      </c>
      <c r="D4563">
        <v>0</v>
      </c>
      <c r="E4563">
        <v>0</v>
      </c>
      <c r="F4563">
        <v>0</v>
      </c>
      <c r="G4563">
        <v>0</v>
      </c>
      <c r="H4563">
        <v>0</v>
      </c>
      <c r="I4563">
        <v>0</v>
      </c>
      <c r="J4563">
        <v>0</v>
      </c>
      <c r="K4563">
        <v>0</v>
      </c>
      <c r="M4563">
        <v>0</v>
      </c>
      <c r="N4563">
        <v>98.36</v>
      </c>
      <c r="O4563">
        <v>21.917808219178081</v>
      </c>
    </row>
    <row r="4564" spans="1:15" hidden="1" x14ac:dyDescent="0.25">
      <c r="A4564" s="11">
        <v>46143</v>
      </c>
      <c r="B4564" t="s">
        <v>25</v>
      </c>
      <c r="C4564" t="s">
        <v>26</v>
      </c>
      <c r="D4564">
        <v>0</v>
      </c>
      <c r="E4564">
        <v>0</v>
      </c>
      <c r="F4564">
        <v>0</v>
      </c>
      <c r="G4564">
        <v>0</v>
      </c>
      <c r="H4564">
        <v>0</v>
      </c>
      <c r="I4564">
        <v>0</v>
      </c>
      <c r="J4564">
        <v>0</v>
      </c>
      <c r="K4564">
        <v>0</v>
      </c>
      <c r="M4564">
        <v>0</v>
      </c>
      <c r="N4564">
        <v>97.62</v>
      </c>
      <c r="O4564">
        <v>17.82477341389728</v>
      </c>
    </row>
    <row r="4565" spans="1:15" hidden="1" x14ac:dyDescent="0.25">
      <c r="A4565" s="11">
        <v>46143</v>
      </c>
      <c r="B4565" t="s">
        <v>27</v>
      </c>
      <c r="C4565" t="s">
        <v>26</v>
      </c>
      <c r="D4565">
        <v>0</v>
      </c>
      <c r="E4565">
        <v>0</v>
      </c>
      <c r="F4565">
        <v>0</v>
      </c>
      <c r="G4565">
        <v>0</v>
      </c>
      <c r="H4565">
        <v>0</v>
      </c>
      <c r="I4565">
        <v>0</v>
      </c>
      <c r="J4565">
        <v>0</v>
      </c>
      <c r="K4565">
        <v>0</v>
      </c>
      <c r="M4565">
        <v>0</v>
      </c>
      <c r="N4565">
        <v>100</v>
      </c>
      <c r="O4565">
        <v>19.072164948453612</v>
      </c>
    </row>
    <row r="4566" spans="1:15" hidden="1" x14ac:dyDescent="0.25">
      <c r="A4566" s="11">
        <v>46143</v>
      </c>
      <c r="B4566" t="s">
        <v>28</v>
      </c>
      <c r="C4566" t="s">
        <v>26</v>
      </c>
      <c r="D4566">
        <v>0</v>
      </c>
      <c r="E4566">
        <v>0</v>
      </c>
      <c r="F4566">
        <v>0</v>
      </c>
      <c r="G4566">
        <v>0</v>
      </c>
      <c r="H4566">
        <v>0</v>
      </c>
      <c r="I4566">
        <v>0</v>
      </c>
      <c r="J4566">
        <v>0</v>
      </c>
      <c r="K4566">
        <v>0</v>
      </c>
      <c r="M4566">
        <v>0</v>
      </c>
      <c r="N4566">
        <v>96.83</v>
      </c>
      <c r="O4566">
        <v>20.94017094017094</v>
      </c>
    </row>
    <row r="4567" spans="1:15" hidden="1" x14ac:dyDescent="0.25">
      <c r="A4567" s="11">
        <v>46143</v>
      </c>
      <c r="B4567" t="s">
        <v>29</v>
      </c>
      <c r="C4567" t="s">
        <v>26</v>
      </c>
      <c r="D4567">
        <v>0</v>
      </c>
      <c r="E4567">
        <v>0</v>
      </c>
      <c r="F4567">
        <v>0</v>
      </c>
      <c r="G4567">
        <v>0</v>
      </c>
      <c r="H4567">
        <v>0</v>
      </c>
      <c r="I4567">
        <v>0</v>
      </c>
      <c r="J4567">
        <v>0</v>
      </c>
      <c r="K4567">
        <v>0</v>
      </c>
      <c r="M4567">
        <v>0</v>
      </c>
      <c r="N4567">
        <v>100</v>
      </c>
      <c r="O4567">
        <v>20.0836820083682</v>
      </c>
    </row>
    <row r="4568" spans="1:15" hidden="1" x14ac:dyDescent="0.25">
      <c r="A4568" s="11">
        <v>46143</v>
      </c>
      <c r="B4568" t="s">
        <v>30</v>
      </c>
      <c r="C4568" t="s">
        <v>26</v>
      </c>
      <c r="D4568">
        <v>0</v>
      </c>
      <c r="E4568">
        <v>0</v>
      </c>
      <c r="F4568">
        <v>0</v>
      </c>
      <c r="G4568">
        <v>0</v>
      </c>
      <c r="H4568">
        <v>0</v>
      </c>
      <c r="I4568">
        <v>0</v>
      </c>
      <c r="J4568">
        <v>0</v>
      </c>
      <c r="K4568">
        <v>0</v>
      </c>
      <c r="M4568">
        <v>0</v>
      </c>
      <c r="N4568">
        <v>100</v>
      </c>
      <c r="O4568">
        <v>16.34241245136187</v>
      </c>
    </row>
    <row r="4569" spans="1:15" hidden="1" x14ac:dyDescent="0.25">
      <c r="A4569" s="13">
        <v>46168</v>
      </c>
      <c r="B4569" t="s">
        <v>47</v>
      </c>
      <c r="C4569" s="15" t="s">
        <v>48</v>
      </c>
      <c r="D4569" s="3">
        <v>28</v>
      </c>
      <c r="E4569" s="3">
        <v>21</v>
      </c>
      <c r="F4569" s="3">
        <v>15.57</v>
      </c>
      <c r="G4569" s="3">
        <v>2</v>
      </c>
      <c r="H4569" s="3">
        <v>0</v>
      </c>
      <c r="I4569" s="3">
        <f>E4569+G4569+H4569</f>
        <v>23</v>
      </c>
      <c r="J4569" s="3">
        <f>ROUND(MIN(IF(C4569="Técnico III",35,IF(C4569="Técnico II",28,IF(C4569="Técnico I",23,IF(C4569="JR",20,IF(C4569="Estágio",10,0))))),IF(C4569="Técnico III",SUMIFS($D:$D,$A:$A,$A4569,$B:$B,"&lt;&gt;Patrícia Karla de Sousa Araújo",$B:$B,"&lt;&gt;Lorena Dias de Araujo",$B:$B,"&lt;&gt;Lucas Luiz Romero")*(35/1083),IF(C4569="Técnico II",SUMIFS($D:$D,$A:$A,$A4569,$B:$B,"&lt;&gt;Patrícia Karla de Sousa Araújo",$B:$B,"&lt;&gt;Lorena Dias de Araujo",$B:$B,"&lt;&gt;Lucas Luiz Romero")*(28/1083),IF(C4569="Técnico I",SUMIFS($D:$D,$A:$A,$A4569,$B:$B,"&lt;&gt;Patrícia Karla de Sousa Araújo",$B:$B,"&lt;&gt;Lorena Dias de Araujo",$B:$B,"&lt;&gt;Lucas Luiz Romero")*(23/1083),IF(C4569="JR",SUMIFS($D:$D,$A:$A,$A4569,$B:$B,"&lt;&gt;Patrícia Karla de Sousa Araújo",$B:$B,"&lt;&gt;Lorena Dias de Araujo",$B:$B,"&lt;&gt;Lucas Luiz Romero")*(20/1083),IF(C4569="Estágio",SUMIFS($D:$D,$A:$A,$A4569,$B:$B,"&lt;&gt;Patrícia Karla de Sousa Araújo",$B:$B,"&lt;&gt;Lorena Dias de Araujo",$B:$B,"&lt;&gt;Lucas Luiz Romero")*(10/1083),0)))))),0)</f>
        <v>22</v>
      </c>
      <c r="K4569" s="3">
        <f>I4569-J4569</f>
        <v>1</v>
      </c>
      <c r="L4569" s="3" t="str">
        <f>IF(K4569&lt;-5,"CRÍTICO",IF(K4569&lt;0,"ATENÇÃO",IF(K4569&lt;=5,"OPORTUNO","MUITO BOM")))</f>
        <v>OPORTUNO</v>
      </c>
      <c r="M4569" s="3">
        <v>17</v>
      </c>
      <c r="N4569" s="3">
        <v>99.18</v>
      </c>
      <c r="O4569" s="3">
        <v>25.641025641025639</v>
      </c>
    </row>
    <row r="4570" spans="1:15" hidden="1" x14ac:dyDescent="0.25">
      <c r="A4570" s="11">
        <v>46168</v>
      </c>
      <c r="B4570" t="s">
        <v>59</v>
      </c>
      <c r="C4570" s="15" t="s">
        <v>23</v>
      </c>
      <c r="D4570" s="3">
        <v>24</v>
      </c>
      <c r="E4570" s="3">
        <v>22</v>
      </c>
      <c r="F4570" s="3">
        <v>18.55</v>
      </c>
      <c r="G4570" s="3">
        <v>1</v>
      </c>
      <c r="I4570" s="3">
        <f>E4570+G4570+H4570</f>
        <v>23</v>
      </c>
      <c r="J4570" s="3">
        <f>ROUND(MIN(IF(C4570="Técnico III",35,IF(C4570="Técnico II",28,IF(C4570="Técnico I",23,IF(C4570="JR",20,IF(C4570="Estágio",10,0))))),IF(C4570="Técnico III",SUMIFS($D:$D,$A:$A,$A4570,$B:$B,"&lt;&gt;Patrícia Karla de Sousa Araújo",$B:$B,"&lt;&gt;Lorena Dias de Araujo",$B:$B,"&lt;&gt;Lucas Luiz Romero")*(35/1083),IF(C4570="Técnico II",SUMIFS($D:$D,$A:$A,$A4570,$B:$B,"&lt;&gt;Patrícia Karla de Sousa Araújo",$B:$B,"&lt;&gt;Lorena Dias de Araujo",$B:$B,"&lt;&gt;Lucas Luiz Romero")*(28/1083),IF(C4570="Técnico I",SUMIFS($D:$D,$A:$A,$A4570,$B:$B,"&lt;&gt;Patrícia Karla de Sousa Araújo",$B:$B,"&lt;&gt;Lorena Dias de Araujo",$B:$B,"&lt;&gt;Lucas Luiz Romero")*(23/1083),IF(C4570="JR",SUMIFS($D:$D,$A:$A,$A4570,$B:$B,"&lt;&gt;Patrícia Karla de Sousa Araújo",$B:$B,"&lt;&gt;Lorena Dias de Araujo",$B:$B,"&lt;&gt;Lucas Luiz Romero")*(20/1083),IF(C4570="Estágio",SUMIFS($D:$D,$A:$A,$A4570,$B:$B,"&lt;&gt;Patrícia Karla de Sousa Araújo",$B:$B,"&lt;&gt;Lorena Dias de Araujo",$B:$B,"&lt;&gt;Lucas Luiz Romero")*(10/1083),0)))))),0)</f>
        <v>18</v>
      </c>
      <c r="K4570" s="3">
        <f>I4570-J4570</f>
        <v>5</v>
      </c>
      <c r="L4570" s="3" t="str">
        <f>IF(K4570&lt;-5,"CRÍTICO",IF(K4570&lt;0,"ATENÇÃO",IF(K4570&lt;=5,"OPORTUNO","MUITO BOM")))</f>
        <v>OPORTUNO</v>
      </c>
      <c r="M4570" s="3">
        <v>21</v>
      </c>
      <c r="N4570" s="3">
        <v>96.25</v>
      </c>
      <c r="O4570" s="3">
        <v>27.292110874200429</v>
      </c>
    </row>
    <row r="4571" spans="1:15" hidden="1" x14ac:dyDescent="0.25">
      <c r="A4571" s="11">
        <v>46169</v>
      </c>
      <c r="B4571" t="s">
        <v>17</v>
      </c>
      <c r="C4571" t="s">
        <v>16</v>
      </c>
      <c r="D4571">
        <v>8</v>
      </c>
      <c r="E4571">
        <v>8</v>
      </c>
      <c r="F4571">
        <v>23.25</v>
      </c>
      <c r="G4571" s="12">
        <v>0</v>
      </c>
      <c r="H4571" s="12"/>
      <c r="I4571" s="12"/>
      <c r="J4571" s="12"/>
      <c r="K4571" s="12"/>
      <c r="L4571" s="12"/>
      <c r="M4571" s="12">
        <v>8</v>
      </c>
      <c r="N4571" s="12">
        <v>97.14</v>
      </c>
      <c r="O4571" s="12">
        <v>23.008849557522119</v>
      </c>
    </row>
    <row r="4572" spans="1:15" hidden="1" x14ac:dyDescent="0.25">
      <c r="A4572" s="11">
        <v>46169</v>
      </c>
      <c r="B4572" t="s">
        <v>18</v>
      </c>
      <c r="C4572" t="s">
        <v>16</v>
      </c>
      <c r="D4572">
        <v>5</v>
      </c>
      <c r="E4572">
        <v>5</v>
      </c>
      <c r="F4572">
        <v>57</v>
      </c>
      <c r="G4572" s="12">
        <v>0</v>
      </c>
      <c r="H4572" s="12"/>
      <c r="I4572" s="12"/>
      <c r="J4572" s="12"/>
      <c r="K4572" s="12"/>
      <c r="L4572" s="12"/>
      <c r="M4572" s="12">
        <v>5</v>
      </c>
      <c r="N4572" s="12">
        <v>100</v>
      </c>
      <c r="O4572" s="12">
        <v>30.232558139534881</v>
      </c>
    </row>
    <row r="4573" spans="1:15" hidden="1" x14ac:dyDescent="0.25">
      <c r="A4573" s="11">
        <v>46169</v>
      </c>
      <c r="B4573" t="s">
        <v>19</v>
      </c>
      <c r="C4573" t="s">
        <v>16</v>
      </c>
      <c r="D4573">
        <v>23</v>
      </c>
      <c r="E4573">
        <v>22</v>
      </c>
      <c r="F4573">
        <v>18.3</v>
      </c>
      <c r="G4573" s="12">
        <v>0</v>
      </c>
      <c r="H4573" s="12"/>
      <c r="I4573" s="12"/>
      <c r="J4573" s="12"/>
      <c r="K4573" s="12"/>
      <c r="L4573" s="12"/>
      <c r="M4573" s="12">
        <v>20</v>
      </c>
      <c r="N4573" s="12">
        <v>94.44</v>
      </c>
      <c r="O4573" s="12">
        <v>13.46153846153846</v>
      </c>
    </row>
    <row r="4574" spans="1:15" hidden="1" x14ac:dyDescent="0.25">
      <c r="A4574" s="11">
        <v>46169</v>
      </c>
      <c r="B4574" t="s">
        <v>20</v>
      </c>
      <c r="C4574" t="s">
        <v>16</v>
      </c>
      <c r="D4574">
        <v>17</v>
      </c>
      <c r="E4574">
        <v>16</v>
      </c>
      <c r="F4574">
        <v>27.24</v>
      </c>
      <c r="G4574" s="12">
        <v>0</v>
      </c>
      <c r="H4574" s="12"/>
      <c r="I4574" s="12"/>
      <c r="J4574" s="12"/>
      <c r="K4574" s="12"/>
      <c r="L4574" s="12"/>
      <c r="M4574" s="12">
        <v>11</v>
      </c>
      <c r="N4574" s="12">
        <v>100</v>
      </c>
      <c r="O4574" s="12">
        <v>16.546762589928061</v>
      </c>
    </row>
    <row r="4575" spans="1:15" hidden="1" x14ac:dyDescent="0.25">
      <c r="A4575" s="11">
        <v>46169</v>
      </c>
      <c r="B4575" t="s">
        <v>21</v>
      </c>
      <c r="C4575" t="s">
        <v>16</v>
      </c>
      <c r="D4575">
        <v>19</v>
      </c>
      <c r="E4575">
        <v>16</v>
      </c>
      <c r="F4575">
        <v>27.02</v>
      </c>
      <c r="G4575" s="12">
        <v>0</v>
      </c>
      <c r="H4575" s="12"/>
      <c r="I4575" s="12"/>
      <c r="J4575" s="12"/>
      <c r="K4575" s="12"/>
      <c r="L4575" s="12"/>
      <c r="M4575" s="12">
        <v>15</v>
      </c>
      <c r="N4575" s="12">
        <v>97.06</v>
      </c>
      <c r="O4575" s="12">
        <v>23.504273504273499</v>
      </c>
    </row>
    <row r="4576" spans="1:15" hidden="1" x14ac:dyDescent="0.25">
      <c r="A4576" s="11">
        <v>46169</v>
      </c>
      <c r="B4576" t="s">
        <v>24</v>
      </c>
      <c r="C4576" t="s">
        <v>16</v>
      </c>
      <c r="D4576">
        <v>7</v>
      </c>
      <c r="E4576">
        <v>7</v>
      </c>
      <c r="F4576">
        <v>46.44</v>
      </c>
      <c r="G4576" s="12">
        <v>0</v>
      </c>
      <c r="H4576" s="12"/>
      <c r="I4576" s="12"/>
      <c r="J4576" s="12"/>
      <c r="K4576" s="12"/>
      <c r="L4576" s="12"/>
      <c r="M4576" s="12">
        <v>7</v>
      </c>
      <c r="N4576" s="12">
        <v>100</v>
      </c>
      <c r="O4576" s="12">
        <v>27.27272727272727</v>
      </c>
    </row>
    <row r="4577" spans="1:15" hidden="1" x14ac:dyDescent="0.25">
      <c r="A4577" s="11">
        <v>46169</v>
      </c>
      <c r="B4577" t="s">
        <v>15</v>
      </c>
      <c r="C4577" t="s">
        <v>26</v>
      </c>
      <c r="D4577">
        <v>40</v>
      </c>
      <c r="E4577">
        <v>38</v>
      </c>
      <c r="F4577">
        <v>12.23</v>
      </c>
      <c r="G4577" s="12">
        <v>0</v>
      </c>
      <c r="H4577" s="12"/>
      <c r="I4577" s="12"/>
      <c r="J4577" s="12"/>
      <c r="K4577" s="12"/>
      <c r="L4577" s="12"/>
      <c r="M4577" s="12">
        <v>32</v>
      </c>
      <c r="N4577" s="12">
        <v>99.3</v>
      </c>
      <c r="O4577" s="12">
        <v>20.93023255813954</v>
      </c>
    </row>
    <row r="4578" spans="1:15" hidden="1" x14ac:dyDescent="0.25">
      <c r="A4578" s="11">
        <v>46169</v>
      </c>
      <c r="B4578" t="s">
        <v>25</v>
      </c>
      <c r="C4578" t="s">
        <v>26</v>
      </c>
      <c r="D4578">
        <v>17</v>
      </c>
      <c r="E4578">
        <v>17</v>
      </c>
      <c r="F4578">
        <v>22.23</v>
      </c>
      <c r="G4578" s="12">
        <v>0</v>
      </c>
      <c r="H4578" s="12"/>
      <c r="I4578" s="12"/>
      <c r="J4578" s="12"/>
      <c r="K4578" s="12"/>
      <c r="L4578" s="12"/>
      <c r="M4578" s="12">
        <v>17</v>
      </c>
      <c r="N4578" s="12">
        <v>97.83</v>
      </c>
      <c r="O4578" s="12">
        <v>19.25287356321839</v>
      </c>
    </row>
    <row r="4579" spans="1:15" hidden="1" x14ac:dyDescent="0.25">
      <c r="A4579" s="11">
        <v>46169</v>
      </c>
      <c r="B4579" t="s">
        <v>27</v>
      </c>
      <c r="C4579" t="s">
        <v>26</v>
      </c>
      <c r="D4579">
        <v>10</v>
      </c>
      <c r="E4579">
        <v>7</v>
      </c>
      <c r="F4579">
        <v>35.46</v>
      </c>
      <c r="G4579" s="12">
        <v>2</v>
      </c>
      <c r="H4579" s="12"/>
      <c r="I4579" s="12"/>
      <c r="J4579" s="12"/>
      <c r="K4579" s="12"/>
      <c r="L4579" s="12"/>
      <c r="M4579" s="12">
        <v>6</v>
      </c>
      <c r="N4579" s="12">
        <v>100</v>
      </c>
      <c r="O4579" s="12">
        <v>20.5</v>
      </c>
    </row>
    <row r="4580" spans="1:15" hidden="1" x14ac:dyDescent="0.25">
      <c r="A4580" s="11">
        <v>46169</v>
      </c>
      <c r="B4580" t="s">
        <v>28</v>
      </c>
      <c r="C4580" t="s">
        <v>26</v>
      </c>
      <c r="D4580">
        <v>30</v>
      </c>
      <c r="E4580">
        <v>20</v>
      </c>
      <c r="F4580">
        <v>8.57</v>
      </c>
      <c r="G4580" s="12">
        <v>1</v>
      </c>
      <c r="H4580" s="12"/>
      <c r="I4580" s="12"/>
      <c r="J4580" s="12"/>
      <c r="K4580" s="12"/>
      <c r="L4580" s="12"/>
      <c r="M4580" s="12">
        <v>18</v>
      </c>
      <c r="N4580" s="12">
        <v>97.22</v>
      </c>
      <c r="O4580" s="12">
        <v>23.015873015873019</v>
      </c>
    </row>
    <row r="4581" spans="1:15" hidden="1" x14ac:dyDescent="0.25">
      <c r="A4581" s="11">
        <v>46169</v>
      </c>
      <c r="B4581" t="s">
        <v>29</v>
      </c>
      <c r="C4581" t="s">
        <v>26</v>
      </c>
      <c r="D4581">
        <v>14</v>
      </c>
      <c r="E4581">
        <v>14</v>
      </c>
      <c r="F4581">
        <v>23.31</v>
      </c>
      <c r="G4581" s="12">
        <v>1</v>
      </c>
      <c r="H4581" s="12"/>
      <c r="I4581" s="12"/>
      <c r="J4581" s="12"/>
      <c r="K4581" s="12"/>
      <c r="L4581" s="12"/>
      <c r="M4581" s="12">
        <v>12</v>
      </c>
      <c r="N4581" s="12">
        <v>100</v>
      </c>
      <c r="O4581" s="12">
        <v>20.31872509960159</v>
      </c>
    </row>
    <row r="4582" spans="1:15" hidden="1" x14ac:dyDescent="0.25">
      <c r="A4582" s="11">
        <v>46169</v>
      </c>
      <c r="B4582" t="s">
        <v>30</v>
      </c>
      <c r="C4582" t="s">
        <v>26</v>
      </c>
      <c r="D4582">
        <v>21</v>
      </c>
      <c r="E4582">
        <v>19</v>
      </c>
      <c r="F4582">
        <v>15.53</v>
      </c>
      <c r="G4582" s="12">
        <v>2</v>
      </c>
      <c r="H4582" s="12"/>
      <c r="I4582" s="12"/>
      <c r="J4582" s="12"/>
      <c r="K4582" s="12"/>
      <c r="L4582" s="12"/>
      <c r="M4582" s="12">
        <v>17</v>
      </c>
      <c r="N4582" s="12">
        <v>100</v>
      </c>
      <c r="O4582" s="12">
        <v>18.248175182481749</v>
      </c>
    </row>
    <row r="4583" spans="1:15" hidden="1" x14ac:dyDescent="0.25">
      <c r="A4583" s="13">
        <v>46169</v>
      </c>
      <c r="B4583" t="s">
        <v>47</v>
      </c>
      <c r="C4583" s="15" t="s">
        <v>48</v>
      </c>
      <c r="D4583" s="3">
        <v>35</v>
      </c>
      <c r="E4583" s="3">
        <v>28</v>
      </c>
      <c r="F4583" s="3">
        <v>7.36</v>
      </c>
      <c r="G4583" s="3">
        <v>1</v>
      </c>
      <c r="H4583" s="3">
        <v>0</v>
      </c>
      <c r="I4583" s="3">
        <f>E4583+G4583+H4583</f>
        <v>29</v>
      </c>
      <c r="J4583" s="3">
        <f>ROUND(MIN(IF(C4583="Técnico III",35,IF(C4583="Técnico II",28,IF(C4583="Técnico I",23,IF(C4583="JR",20,IF(C4583="Estágio",10,0))))),IF(C4583="Técnico III",SUMIFS($D:$D,$A:$A,$A4583,$B:$B,"&lt;&gt;Patrícia Karla de Sousa Araújo",$B:$B,"&lt;&gt;Lorena Dias de Araujo",$B:$B,"&lt;&gt;Lucas Luiz Romero")*(35/1083),IF(C4583="Técnico II",SUMIFS($D:$D,$A:$A,$A4583,$B:$B,"&lt;&gt;Patrícia Karla de Sousa Araújo",$B:$B,"&lt;&gt;Lorena Dias de Araujo",$B:$B,"&lt;&gt;Lucas Luiz Romero")*(28/1083),IF(C4583="Técnico I",SUMIFS($D:$D,$A:$A,$A4583,$B:$B,"&lt;&gt;Patrícia Karla de Sousa Araújo",$B:$B,"&lt;&gt;Lorena Dias de Araujo",$B:$B,"&lt;&gt;Lucas Luiz Romero")*(23/1083),IF(C4583="JR",SUMIFS($D:$D,$A:$A,$A4583,$B:$B,"&lt;&gt;Patrícia Karla de Sousa Araújo",$B:$B,"&lt;&gt;Lorena Dias de Araujo",$B:$B,"&lt;&gt;Lucas Luiz Romero")*(20/1083),IF(C4583="Estágio",SUMIFS($D:$D,$A:$A,$A4583,$B:$B,"&lt;&gt;Patrícia Karla de Sousa Araújo",$B:$B,"&lt;&gt;Lorena Dias de Araujo",$B:$B,"&lt;&gt;Lucas Luiz Romero")*(10/1083),0)))))),0)</f>
        <v>22</v>
      </c>
      <c r="K4583" s="3">
        <f>I4583-J4583</f>
        <v>7</v>
      </c>
      <c r="L4583" s="3" t="str">
        <f>IF(K4583&lt;-5,"CRÍTICO",IF(K4583&lt;0,"ATENÇÃO",IF(K4583&lt;=5,"OPORTUNO","MUITO BOM")))</f>
        <v>MUITO BOM</v>
      </c>
      <c r="M4583" s="3">
        <v>24</v>
      </c>
      <c r="N4583" s="3">
        <v>99.22</v>
      </c>
      <c r="O4583" s="3">
        <v>24.266666666666669</v>
      </c>
    </row>
    <row r="4584" spans="1:15" hidden="1" x14ac:dyDescent="0.25">
      <c r="A4584" s="11">
        <v>46169</v>
      </c>
      <c r="B4584" t="s">
        <v>31</v>
      </c>
      <c r="C4584" s="15" t="s">
        <v>32</v>
      </c>
      <c r="D4584" s="3">
        <v>0</v>
      </c>
      <c r="E4584" s="3">
        <v>0</v>
      </c>
      <c r="F4584" s="3">
        <v>0</v>
      </c>
      <c r="G4584" s="3">
        <v>0</v>
      </c>
      <c r="H4584" s="3">
        <v>0</v>
      </c>
      <c r="I4584" s="3">
        <f>E4584+G4584+H4584</f>
        <v>0</v>
      </c>
      <c r="J4584" s="3">
        <f>ROUND(MIN(IF(C4584="Técnico III",35,IF(C4584="Técnico II",28,IF(C4584="Técnico I",23,IF(C4584="JR",20,IF(C4584="Estágio",10,0))))),IF(C4584="Técnico III",SUMIFS($D:$D,$A:$A,$A4584,$B:$B,"&lt;&gt;Patrícia Karla de Sousa Araújo",$B:$B,"&lt;&gt;Lorena Dias de Araujo",$B:$B,"&lt;&gt;Lucas Luiz Romero")*(35/1083),IF(C4584="Técnico II",SUMIFS($D:$D,$A:$A,$A4584,$B:$B,"&lt;&gt;Patrícia Karla de Sousa Araújo",$B:$B,"&lt;&gt;Lorena Dias de Araujo",$B:$B,"&lt;&gt;Lucas Luiz Romero")*(28/1083),IF(C4584="Técnico I",SUMIFS($D:$D,$A:$A,$A4584,$B:$B,"&lt;&gt;Patrícia Karla de Sousa Araújo",$B:$B,"&lt;&gt;Lorena Dias de Araujo",$B:$B,"&lt;&gt;Lucas Luiz Romero")*(23/1083),IF(C4584="JR",SUMIFS($D:$D,$A:$A,$A4584,$B:$B,"&lt;&gt;Patrícia Karla de Sousa Araújo",$B:$B,"&lt;&gt;Lorena Dias de Araujo",$B:$B,"&lt;&gt;Lucas Luiz Romero")*(20/1083),IF(C4584="Estágio",SUMIFS($D:$D,$A:$A,$A4584,$B:$B,"&lt;&gt;Patrícia Karla de Sousa Araújo",$B:$B,"&lt;&gt;Lorena Dias de Araujo",$B:$B,"&lt;&gt;Lucas Luiz Romero")*(10/1083),0)))))),0)</f>
        <v>28</v>
      </c>
      <c r="K4584" s="3">
        <f>I4584-J4584</f>
        <v>-28</v>
      </c>
      <c r="L4584" s="3" t="str">
        <f>IF(K4584&lt;-5,"CRÍTICO",IF(K4584&lt;0,"ATENÇÃO",IF(K4584&lt;=5,"OPORTUNO","MUITO BOM")))</f>
        <v>CRÍTICO</v>
      </c>
      <c r="M4584" s="3">
        <v>0</v>
      </c>
      <c r="N4584" s="3">
        <v>100</v>
      </c>
      <c r="O4584" s="3">
        <v>0</v>
      </c>
    </row>
    <row r="4585" spans="1:15" hidden="1" x14ac:dyDescent="0.25">
      <c r="A4585" s="11">
        <v>46169</v>
      </c>
      <c r="B4585" t="s">
        <v>59</v>
      </c>
      <c r="C4585" s="15" t="s">
        <v>23</v>
      </c>
      <c r="D4585" s="3">
        <v>24</v>
      </c>
      <c r="E4585" s="3">
        <v>24</v>
      </c>
      <c r="F4585" s="3">
        <v>17.36</v>
      </c>
      <c r="G4585" s="3">
        <v>2</v>
      </c>
      <c r="I4585" s="3">
        <f>E4585+G4585+H4585</f>
        <v>26</v>
      </c>
      <c r="J4585" s="3">
        <f>ROUND(MIN(IF(C4585="Técnico III",35,IF(C4585="Técnico II",28,IF(C4585="Técnico I",23,IF(C4585="JR",20,IF(C4585="Estágio",10,0))))),IF(C4585="Técnico III",SUMIFS($D:$D,$A:$A,$A4585,$B:$B,"&lt;&gt;Patrícia Karla de Sousa Araújo",$B:$B,"&lt;&gt;Lorena Dias de Araujo",$B:$B,"&lt;&gt;Lucas Luiz Romero")*(35/1083),IF(C4585="Técnico II",SUMIFS($D:$D,$A:$A,$A4585,$B:$B,"&lt;&gt;Patrícia Karla de Sousa Araújo",$B:$B,"&lt;&gt;Lorena Dias de Araujo",$B:$B,"&lt;&gt;Lucas Luiz Romero")*(28/1083),IF(C4585="Técnico I",SUMIFS($D:$D,$A:$A,$A4585,$B:$B,"&lt;&gt;Patrícia Karla de Sousa Araújo",$B:$B,"&lt;&gt;Lorena Dias de Araujo",$B:$B,"&lt;&gt;Lucas Luiz Romero")*(23/1083),IF(C4585="JR",SUMIFS($D:$D,$A:$A,$A4585,$B:$B,"&lt;&gt;Patrícia Karla de Sousa Araújo",$B:$B,"&lt;&gt;Lorena Dias de Araujo",$B:$B,"&lt;&gt;Lucas Luiz Romero")*(20/1083),IF(C4585="Estágio",SUMIFS($D:$D,$A:$A,$A4585,$B:$B,"&lt;&gt;Patrícia Karla de Sousa Araújo",$B:$B,"&lt;&gt;Lorena Dias de Araujo",$B:$B,"&lt;&gt;Lucas Luiz Romero")*(10/1083),0)))))),0)</f>
        <v>18</v>
      </c>
      <c r="K4585" s="3">
        <f>I4585-J4585</f>
        <v>8</v>
      </c>
      <c r="L4585" s="3" t="str">
        <f>IF(K4585&lt;-5,"CRÍTICO",IF(K4585&lt;0,"ATENÇÃO",IF(K4585&lt;=5,"OPORTUNO","MUITO BOM")))</f>
        <v>MUITO BOM</v>
      </c>
      <c r="M4585" s="3">
        <v>23</v>
      </c>
      <c r="N4585" s="3">
        <v>96.43</v>
      </c>
      <c r="O4585" s="3">
        <v>26.016260162601629</v>
      </c>
    </row>
    <row r="4586" spans="1:15" hidden="1" x14ac:dyDescent="0.25">
      <c r="A4586" s="11">
        <v>46169</v>
      </c>
      <c r="B4586" t="s">
        <v>33</v>
      </c>
      <c r="C4586" s="15" t="s">
        <v>32</v>
      </c>
      <c r="D4586" s="3">
        <v>34</v>
      </c>
      <c r="E4586" s="3">
        <v>33</v>
      </c>
      <c r="F4586" s="3">
        <v>12.31</v>
      </c>
      <c r="G4586" s="3">
        <v>4</v>
      </c>
      <c r="I4586" s="3">
        <f>E4586+G4586+H4586</f>
        <v>37</v>
      </c>
      <c r="J4586" s="3">
        <f>ROUND(MIN(IF(C4586="Técnico III",35,IF(C4586="Técnico II",28,IF(C4586="Técnico I",23,IF(C4586="JR",20,IF(C4586="Estágio",10,0))))),IF(C4586="Técnico III",SUMIFS($D:$D,$A:$A,$A4586,$B:$B,"&lt;&gt;Patrícia Karla de Sousa Araújo",$B:$B,"&lt;&gt;Lorena Dias de Araujo",$B:$B,"&lt;&gt;Lucas Luiz Romero")*(35/1083),IF(C4586="Técnico II",SUMIFS($D:$D,$A:$A,$A4586,$B:$B,"&lt;&gt;Patrícia Karla de Sousa Araújo",$B:$B,"&lt;&gt;Lorena Dias de Araujo",$B:$B,"&lt;&gt;Lucas Luiz Romero")*(28/1083),IF(C4586="Técnico I",SUMIFS($D:$D,$A:$A,$A4586,$B:$B,"&lt;&gt;Patrícia Karla de Sousa Araújo",$B:$B,"&lt;&gt;Lorena Dias de Araujo",$B:$B,"&lt;&gt;Lucas Luiz Romero")*(23/1083),IF(C4586="JR",SUMIFS($D:$D,$A:$A,$A4586,$B:$B,"&lt;&gt;Patrícia Karla de Sousa Araújo",$B:$B,"&lt;&gt;Lorena Dias de Araujo",$B:$B,"&lt;&gt;Lucas Luiz Romero")*(20/1083),IF(C4586="Estágio",SUMIFS($D:$D,$A:$A,$A4586,$B:$B,"&lt;&gt;Patrícia Karla de Sousa Araújo",$B:$B,"&lt;&gt;Lorena Dias de Araujo",$B:$B,"&lt;&gt;Lucas Luiz Romero")*(10/1083),0)))))),0)</f>
        <v>28</v>
      </c>
      <c r="K4586" s="3">
        <f>I4586-J4586</f>
        <v>9</v>
      </c>
      <c r="L4586" s="3" t="str">
        <f>IF(K4586&lt;-5,"CRÍTICO",IF(K4586&lt;0,"ATENÇÃO",IF(K4586&lt;=5,"OPORTUNO","MUITO BOM")))</f>
        <v>MUITO BOM</v>
      </c>
      <c r="M4586" s="3">
        <v>29</v>
      </c>
      <c r="N4586" s="3">
        <v>97.14</v>
      </c>
      <c r="O4586" s="3">
        <v>20</v>
      </c>
    </row>
    <row r="4587" spans="1:15" hidden="1" x14ac:dyDescent="0.25">
      <c r="A4587" s="11">
        <v>46169</v>
      </c>
      <c r="B4587" t="s">
        <v>49</v>
      </c>
      <c r="C4587" s="15" t="s">
        <v>48</v>
      </c>
      <c r="D4587" s="3">
        <v>28</v>
      </c>
      <c r="E4587" s="3">
        <v>27</v>
      </c>
      <c r="F4587" s="3">
        <v>15.42</v>
      </c>
      <c r="G4587" s="3">
        <v>4</v>
      </c>
      <c r="I4587" s="3">
        <f>E4587+G4587+H4587</f>
        <v>31</v>
      </c>
      <c r="J4587" s="3">
        <f>ROUND(MIN(IF(C4587="Técnico III",35,IF(C4587="Técnico II",28,IF(C4587="Técnico I",23,IF(C4587="JR",20,IF(C4587="Estágio",10,0))))),IF(C4587="Técnico III",SUMIFS($D:$D,$A:$A,$A4587,$B:$B,"&lt;&gt;Patrícia Karla de Sousa Araújo",$B:$B,"&lt;&gt;Lorena Dias de Araujo",$B:$B,"&lt;&gt;Lucas Luiz Romero")*(35/1083),IF(C4587="Técnico II",SUMIFS($D:$D,$A:$A,$A4587,$B:$B,"&lt;&gt;Patrícia Karla de Sousa Araújo",$B:$B,"&lt;&gt;Lorena Dias de Araujo",$B:$B,"&lt;&gt;Lucas Luiz Romero")*(28/1083),IF(C4587="Técnico I",SUMIFS($D:$D,$A:$A,$A4587,$B:$B,"&lt;&gt;Patrícia Karla de Sousa Araújo",$B:$B,"&lt;&gt;Lorena Dias de Araujo",$B:$B,"&lt;&gt;Lucas Luiz Romero")*(23/1083),IF(C4587="JR",SUMIFS($D:$D,$A:$A,$A4587,$B:$B,"&lt;&gt;Patrícia Karla de Sousa Araújo",$B:$B,"&lt;&gt;Lorena Dias de Araujo",$B:$B,"&lt;&gt;Lucas Luiz Romero")*(20/1083),IF(C4587="Estágio",SUMIFS($D:$D,$A:$A,$A4587,$B:$B,"&lt;&gt;Patrícia Karla de Sousa Araújo",$B:$B,"&lt;&gt;Lorena Dias de Araujo",$B:$B,"&lt;&gt;Lucas Luiz Romero")*(10/1083),0)))))),0)</f>
        <v>22</v>
      </c>
      <c r="K4587" s="3">
        <f>I4587-J4587</f>
        <v>9</v>
      </c>
      <c r="L4587" s="3" t="str">
        <f>IF(K4587&lt;-5,"CRÍTICO",IF(K4587&lt;0,"ATENÇÃO",IF(K4587&lt;=5,"OPORTUNO","MUITO BOM")))</f>
        <v>MUITO BOM</v>
      </c>
      <c r="M4587" s="3">
        <v>23</v>
      </c>
      <c r="N4587" s="3">
        <v>99.38</v>
      </c>
      <c r="O4587" s="3">
        <v>20.45855379188712</v>
      </c>
    </row>
    <row r="4588" spans="1:15" hidden="1" x14ac:dyDescent="0.25">
      <c r="A4588" s="11">
        <v>46169</v>
      </c>
      <c r="B4588" t="s">
        <v>50</v>
      </c>
      <c r="C4588" s="15" t="s">
        <v>48</v>
      </c>
      <c r="D4588" s="3">
        <v>29</v>
      </c>
      <c r="E4588" s="3">
        <v>28</v>
      </c>
      <c r="F4588" s="3">
        <v>17.260000000000002</v>
      </c>
      <c r="G4588" s="3">
        <v>0</v>
      </c>
      <c r="I4588" s="3">
        <f>E4588+G4588+H4588</f>
        <v>28</v>
      </c>
      <c r="J4588" s="3">
        <f>ROUND(MIN(IF(C4588="Técnico III",35,IF(C4588="Técnico II",28,IF(C4588="Técnico I",23,IF(C4588="JR",20,IF(C4588="Estágio",10,0))))),IF(C4588="Técnico III",SUMIFS($D:$D,$A:$A,$A4588,$B:$B,"&lt;&gt;Patrícia Karla de Sousa Araújo",$B:$B,"&lt;&gt;Lorena Dias de Araujo",$B:$B,"&lt;&gt;Lucas Luiz Romero")*(35/1083),IF(C4588="Técnico II",SUMIFS($D:$D,$A:$A,$A4588,$B:$B,"&lt;&gt;Patrícia Karla de Sousa Araújo",$B:$B,"&lt;&gt;Lorena Dias de Araujo",$B:$B,"&lt;&gt;Lucas Luiz Romero")*(28/1083),IF(C4588="Técnico I",SUMIFS($D:$D,$A:$A,$A4588,$B:$B,"&lt;&gt;Patrícia Karla de Sousa Araújo",$B:$B,"&lt;&gt;Lorena Dias de Araujo",$B:$B,"&lt;&gt;Lucas Luiz Romero")*(23/1083),IF(C4588="JR",SUMIFS($D:$D,$A:$A,$A4588,$B:$B,"&lt;&gt;Patrícia Karla de Sousa Araújo",$B:$B,"&lt;&gt;Lorena Dias de Araujo",$B:$B,"&lt;&gt;Lucas Luiz Romero")*(20/1083),IF(C4588="Estágio",SUMIFS($D:$D,$A:$A,$A4588,$B:$B,"&lt;&gt;Patrícia Karla de Sousa Araújo",$B:$B,"&lt;&gt;Lorena Dias de Araujo",$B:$B,"&lt;&gt;Lucas Luiz Romero")*(10/1083),0)))))),0)</f>
        <v>22</v>
      </c>
      <c r="K4588" s="3">
        <f>I4588-J4588</f>
        <v>6</v>
      </c>
      <c r="L4588" s="3" t="str">
        <f>IF(K4588&lt;-5,"CRÍTICO",IF(K4588&lt;0,"ATENÇÃO",IF(K4588&lt;=5,"OPORTUNO","MUITO BOM")))</f>
        <v>MUITO BOM</v>
      </c>
      <c r="M4588" s="3">
        <v>27</v>
      </c>
      <c r="N4588" s="3">
        <v>99.15</v>
      </c>
      <c r="O4588" s="3">
        <v>21.198156682027651</v>
      </c>
    </row>
    <row r="4589" spans="1:15" hidden="1" x14ac:dyDescent="0.25">
      <c r="A4589" s="11">
        <v>46169</v>
      </c>
      <c r="B4589" t="s">
        <v>60</v>
      </c>
      <c r="C4589" s="15" t="s">
        <v>23</v>
      </c>
      <c r="D4589" s="3">
        <v>19</v>
      </c>
      <c r="E4589" s="3">
        <v>17</v>
      </c>
      <c r="F4589" s="3">
        <v>18.579999999999998</v>
      </c>
      <c r="G4589" s="3">
        <v>2</v>
      </c>
      <c r="I4589" s="3">
        <f>E4589+G4589+H4589</f>
        <v>19</v>
      </c>
      <c r="J4589" s="3">
        <f>ROUND(MIN(IF(C4589="Técnico III",35,IF(C4589="Técnico II",28,IF(C4589="Técnico I",23,IF(C4589="JR",20,IF(C4589="Estágio",10,0))))),IF(C4589="Técnico III",SUMIFS($D:$D,$A:$A,$A4589,$B:$B,"&lt;&gt;Patrícia Karla de Sousa Araújo",$B:$B,"&lt;&gt;Lorena Dias de Araujo",$B:$B,"&lt;&gt;Lucas Luiz Romero")*(35/1083),IF(C4589="Técnico II",SUMIFS($D:$D,$A:$A,$A4589,$B:$B,"&lt;&gt;Patrícia Karla de Sousa Araújo",$B:$B,"&lt;&gt;Lorena Dias de Araujo",$B:$B,"&lt;&gt;Lucas Luiz Romero")*(28/1083),IF(C4589="Técnico I",SUMIFS($D:$D,$A:$A,$A4589,$B:$B,"&lt;&gt;Patrícia Karla de Sousa Araújo",$B:$B,"&lt;&gt;Lorena Dias de Araujo",$B:$B,"&lt;&gt;Lucas Luiz Romero")*(23/1083),IF(C4589="JR",SUMIFS($D:$D,$A:$A,$A4589,$B:$B,"&lt;&gt;Patrícia Karla de Sousa Araújo",$B:$B,"&lt;&gt;Lorena Dias de Araujo",$B:$B,"&lt;&gt;Lucas Luiz Romero")*(20/1083),IF(C4589="Estágio",SUMIFS($D:$D,$A:$A,$A4589,$B:$B,"&lt;&gt;Patrícia Karla de Sousa Araújo",$B:$B,"&lt;&gt;Lorena Dias de Araujo",$B:$B,"&lt;&gt;Lucas Luiz Romero")*(10/1083),0)))))),0)</f>
        <v>18</v>
      </c>
      <c r="K4589" s="3">
        <f>I4589-J4589</f>
        <v>1</v>
      </c>
      <c r="L4589" s="3" t="str">
        <f>IF(K4589&lt;-5,"CRÍTICO",IF(K4589&lt;0,"ATENÇÃO",IF(K4589&lt;=5,"OPORTUNO","MUITO BOM")))</f>
        <v>OPORTUNO</v>
      </c>
      <c r="M4589" s="3">
        <v>20</v>
      </c>
      <c r="N4589" s="3">
        <v>96.92</v>
      </c>
      <c r="O4589" s="3">
        <v>24.61928934010152</v>
      </c>
    </row>
    <row r="4590" spans="1:15" hidden="1" x14ac:dyDescent="0.25">
      <c r="A4590" s="11">
        <v>46169</v>
      </c>
      <c r="B4590" t="s">
        <v>34</v>
      </c>
      <c r="C4590" s="15" t="s">
        <v>32</v>
      </c>
      <c r="D4590" s="3">
        <v>31</v>
      </c>
      <c r="E4590" s="3">
        <v>23</v>
      </c>
      <c r="F4590" s="3">
        <v>10.119999999999999</v>
      </c>
      <c r="G4590" s="3">
        <v>0</v>
      </c>
      <c r="I4590" s="3">
        <f>E4590+G4590+H4590</f>
        <v>23</v>
      </c>
      <c r="J4590" s="3">
        <f>ROUND(MIN(IF(C4590="Técnico III",35,IF(C4590="Técnico II",28,IF(C4590="Técnico I",23,IF(C4590="JR",20,IF(C4590="Estágio",10,0))))),IF(C4590="Técnico III",SUMIFS($D:$D,$A:$A,$A4590,$B:$B,"&lt;&gt;Patrícia Karla de Sousa Araújo",$B:$B,"&lt;&gt;Lorena Dias de Araujo",$B:$B,"&lt;&gt;Lucas Luiz Romero")*(35/1083),IF(C4590="Técnico II",SUMIFS($D:$D,$A:$A,$A4590,$B:$B,"&lt;&gt;Patrícia Karla de Sousa Araújo",$B:$B,"&lt;&gt;Lorena Dias de Araujo",$B:$B,"&lt;&gt;Lucas Luiz Romero")*(28/1083),IF(C4590="Técnico I",SUMIFS($D:$D,$A:$A,$A4590,$B:$B,"&lt;&gt;Patrícia Karla de Sousa Araújo",$B:$B,"&lt;&gt;Lorena Dias de Araujo",$B:$B,"&lt;&gt;Lucas Luiz Romero")*(23/1083),IF(C4590="JR",SUMIFS($D:$D,$A:$A,$A4590,$B:$B,"&lt;&gt;Patrícia Karla de Sousa Araújo",$B:$B,"&lt;&gt;Lorena Dias de Araujo",$B:$B,"&lt;&gt;Lucas Luiz Romero")*(20/1083),IF(C4590="Estágio",SUMIFS($D:$D,$A:$A,$A4590,$B:$B,"&lt;&gt;Patrícia Karla de Sousa Araújo",$B:$B,"&lt;&gt;Lorena Dias de Araujo",$B:$B,"&lt;&gt;Lucas Luiz Romero")*(10/1083),0)))))),0)</f>
        <v>28</v>
      </c>
      <c r="K4590" s="3">
        <f>I4590-J4590</f>
        <v>-5</v>
      </c>
      <c r="L4590" s="3" t="str">
        <f>IF(K4590&lt;-5,"CRÍTICO",IF(K4590&lt;0,"ATENÇÃO",IF(K4590&lt;=5,"OPORTUNO","MUITO BOM")))</f>
        <v>ATENÇÃO</v>
      </c>
      <c r="M4590" s="3">
        <v>21</v>
      </c>
      <c r="N4590" s="3">
        <v>93.02</v>
      </c>
      <c r="O4590" s="3">
        <v>25.254582484725049</v>
      </c>
    </row>
    <row r="4591" spans="1:15" hidden="1" x14ac:dyDescent="0.25">
      <c r="A4591" s="11">
        <v>46169</v>
      </c>
      <c r="B4591" t="s">
        <v>51</v>
      </c>
      <c r="C4591" s="15" t="s">
        <v>48</v>
      </c>
      <c r="D4591" s="3">
        <v>0</v>
      </c>
      <c r="E4591" s="3">
        <v>0</v>
      </c>
      <c r="F4591" s="3">
        <v>0</v>
      </c>
      <c r="G4591" s="3">
        <v>0</v>
      </c>
      <c r="H4591" s="3">
        <v>0</v>
      </c>
      <c r="I4591" s="3">
        <f>E4591+G4591+H4591</f>
        <v>0</v>
      </c>
      <c r="J4591" s="3">
        <f>ROUND(MIN(IF(C4591="Técnico III",35,IF(C4591="Técnico II",28,IF(C4591="Técnico I",23,IF(C4591="JR",20,IF(C4591="Estágio",10,0))))),IF(C4591="Técnico III",SUMIFS($D:$D,$A:$A,$A4591,$B:$B,"&lt;&gt;Patrícia Karla de Sousa Araújo",$B:$B,"&lt;&gt;Lorena Dias de Araujo",$B:$B,"&lt;&gt;Lucas Luiz Romero")*(35/1083),IF(C4591="Técnico II",SUMIFS($D:$D,$A:$A,$A4591,$B:$B,"&lt;&gt;Patrícia Karla de Sousa Araújo",$B:$B,"&lt;&gt;Lorena Dias de Araujo",$B:$B,"&lt;&gt;Lucas Luiz Romero")*(28/1083),IF(C4591="Técnico I",SUMIFS($D:$D,$A:$A,$A4591,$B:$B,"&lt;&gt;Patrícia Karla de Sousa Araújo",$B:$B,"&lt;&gt;Lorena Dias de Araujo",$B:$B,"&lt;&gt;Lucas Luiz Romero")*(23/1083),IF(C4591="JR",SUMIFS($D:$D,$A:$A,$A4591,$B:$B,"&lt;&gt;Patrícia Karla de Sousa Araújo",$B:$B,"&lt;&gt;Lorena Dias de Araujo",$B:$B,"&lt;&gt;Lucas Luiz Romero")*(20/1083),IF(C4591="Estágio",SUMIFS($D:$D,$A:$A,$A4591,$B:$B,"&lt;&gt;Patrícia Karla de Sousa Araújo",$B:$B,"&lt;&gt;Lorena Dias de Araujo",$B:$B,"&lt;&gt;Lucas Luiz Romero")*(10/1083),0)))))),0)</f>
        <v>22</v>
      </c>
      <c r="K4591" s="3">
        <f>I4591-J4591</f>
        <v>-22</v>
      </c>
      <c r="L4591" s="3" t="str">
        <f>IF(K4591&lt;-5,"CRÍTICO",IF(K4591&lt;0,"ATENÇÃO",IF(K4591&lt;=5,"OPORTUNO","MUITO BOM")))</f>
        <v>CRÍTICO</v>
      </c>
      <c r="M4591" s="3">
        <v>0</v>
      </c>
      <c r="N4591" s="3">
        <v>98.88</v>
      </c>
      <c r="O4591" s="3">
        <v>25</v>
      </c>
    </row>
    <row r="4592" spans="1:15" hidden="1" x14ac:dyDescent="0.25">
      <c r="A4592" s="11">
        <v>46169</v>
      </c>
      <c r="B4592" t="s">
        <v>61</v>
      </c>
      <c r="C4592" s="15" t="s">
        <v>23</v>
      </c>
      <c r="D4592" s="3">
        <v>27</v>
      </c>
      <c r="E4592" s="3">
        <v>25</v>
      </c>
      <c r="F4592" s="3">
        <v>12.26</v>
      </c>
      <c r="G4592" s="3">
        <v>0</v>
      </c>
      <c r="I4592" s="3">
        <f>E4592+G4592+H4592</f>
        <v>25</v>
      </c>
      <c r="J4592" s="3">
        <f>ROUND(MIN(IF(C4592="Técnico III",35,IF(C4592="Técnico II",28,IF(C4592="Técnico I",23,IF(C4592="JR",20,IF(C4592="Estágio",10,0))))),IF(C4592="Técnico III",SUMIFS($D:$D,$A:$A,$A4592,$B:$B,"&lt;&gt;Patrícia Karla de Sousa Araújo",$B:$B,"&lt;&gt;Lorena Dias de Araujo",$B:$B,"&lt;&gt;Lucas Luiz Romero")*(35/1083),IF(C4592="Técnico II",SUMIFS($D:$D,$A:$A,$A4592,$B:$B,"&lt;&gt;Patrícia Karla de Sousa Araújo",$B:$B,"&lt;&gt;Lorena Dias de Araujo",$B:$B,"&lt;&gt;Lucas Luiz Romero")*(28/1083),IF(C4592="Técnico I",SUMIFS($D:$D,$A:$A,$A4592,$B:$B,"&lt;&gt;Patrícia Karla de Sousa Araújo",$B:$B,"&lt;&gt;Lorena Dias de Araujo",$B:$B,"&lt;&gt;Lucas Luiz Romero")*(23/1083),IF(C4592="JR",SUMIFS($D:$D,$A:$A,$A4592,$B:$B,"&lt;&gt;Patrícia Karla de Sousa Araújo",$B:$B,"&lt;&gt;Lorena Dias de Araujo",$B:$B,"&lt;&gt;Lucas Luiz Romero")*(20/1083),IF(C4592="Estágio",SUMIFS($D:$D,$A:$A,$A4592,$B:$B,"&lt;&gt;Patrícia Karla de Sousa Araújo",$B:$B,"&lt;&gt;Lorena Dias de Araujo",$B:$B,"&lt;&gt;Lucas Luiz Romero")*(10/1083),0)))))),0)</f>
        <v>18</v>
      </c>
      <c r="K4592" s="3">
        <f>I4592-J4592</f>
        <v>7</v>
      </c>
      <c r="L4592" s="3" t="str">
        <f>IF(K4592&lt;-5,"CRÍTICO",IF(K4592&lt;0,"ATENÇÃO",IF(K4592&lt;=5,"OPORTUNO","MUITO BOM")))</f>
        <v>MUITO BOM</v>
      </c>
      <c r="M4592" s="3">
        <v>17</v>
      </c>
      <c r="N4592" s="3">
        <v>100</v>
      </c>
      <c r="O4592" s="3">
        <v>22.297297297297298</v>
      </c>
    </row>
    <row r="4593" spans="1:15" hidden="1" x14ac:dyDescent="0.25">
      <c r="A4593" s="11">
        <v>46169</v>
      </c>
      <c r="B4593" t="s">
        <v>35</v>
      </c>
      <c r="C4593" s="15" t="s">
        <v>32</v>
      </c>
      <c r="D4593" s="3">
        <v>0</v>
      </c>
      <c r="E4593" s="3">
        <v>0</v>
      </c>
      <c r="F4593" s="3">
        <v>0</v>
      </c>
      <c r="G4593" s="3">
        <v>0</v>
      </c>
      <c r="H4593" s="3">
        <v>0</v>
      </c>
      <c r="I4593" s="3">
        <f>E4593+G4593+H4593</f>
        <v>0</v>
      </c>
      <c r="J4593" s="3">
        <f>ROUND(MIN(IF(C4593="Técnico III",35,IF(C4593="Técnico II",28,IF(C4593="Técnico I",23,IF(C4593="JR",20,IF(C4593="Estágio",10,0))))),IF(C4593="Técnico III",SUMIFS($D:$D,$A:$A,$A4593,$B:$B,"&lt;&gt;Patrícia Karla de Sousa Araújo",$B:$B,"&lt;&gt;Lorena Dias de Araujo",$B:$B,"&lt;&gt;Lucas Luiz Romero")*(35/1083),IF(C4593="Técnico II",SUMIFS($D:$D,$A:$A,$A4593,$B:$B,"&lt;&gt;Patrícia Karla de Sousa Araújo",$B:$B,"&lt;&gt;Lorena Dias de Araujo",$B:$B,"&lt;&gt;Lucas Luiz Romero")*(28/1083),IF(C4593="Técnico I",SUMIFS($D:$D,$A:$A,$A4593,$B:$B,"&lt;&gt;Patrícia Karla de Sousa Araújo",$B:$B,"&lt;&gt;Lorena Dias de Araujo",$B:$B,"&lt;&gt;Lucas Luiz Romero")*(23/1083),IF(C4593="JR",SUMIFS($D:$D,$A:$A,$A4593,$B:$B,"&lt;&gt;Patrícia Karla de Sousa Araújo",$B:$B,"&lt;&gt;Lorena Dias de Araujo",$B:$B,"&lt;&gt;Lucas Luiz Romero")*(20/1083),IF(C4593="Estágio",SUMIFS($D:$D,$A:$A,$A4593,$B:$B,"&lt;&gt;Patrícia Karla de Sousa Araújo",$B:$B,"&lt;&gt;Lorena Dias de Araujo",$B:$B,"&lt;&gt;Lucas Luiz Romero")*(10/1083),0)))))),0)</f>
        <v>28</v>
      </c>
      <c r="K4593" s="3">
        <f>I4593-J4593</f>
        <v>-28</v>
      </c>
      <c r="L4593" s="3" t="str">
        <f>IF(K4593&lt;-5,"CRÍTICO",IF(K4593&lt;0,"ATENÇÃO",IF(K4593&lt;=5,"OPORTUNO","MUITO BOM")))</f>
        <v>CRÍTICO</v>
      </c>
      <c r="M4593" s="3">
        <v>0</v>
      </c>
      <c r="N4593" s="3">
        <v>99.21</v>
      </c>
      <c r="O4593" s="3">
        <v>29.57198443579767</v>
      </c>
    </row>
    <row r="4594" spans="1:15" hidden="1" x14ac:dyDescent="0.25">
      <c r="A4594" s="11">
        <v>46169</v>
      </c>
      <c r="B4594" t="s">
        <v>52</v>
      </c>
      <c r="C4594" s="15" t="s">
        <v>48</v>
      </c>
      <c r="D4594" s="3">
        <v>32</v>
      </c>
      <c r="E4594" s="3">
        <v>31</v>
      </c>
      <c r="F4594" s="3">
        <v>17.239999999999998</v>
      </c>
      <c r="G4594" s="3">
        <v>2</v>
      </c>
      <c r="I4594" s="3">
        <f>E4594+G4594+H4594</f>
        <v>33</v>
      </c>
      <c r="J4594" s="3">
        <f>ROUND(MIN(IF(C4594="Técnico III",35,IF(C4594="Técnico II",28,IF(C4594="Técnico I",23,IF(C4594="JR",20,IF(C4594="Estágio",10,0))))),IF(C4594="Técnico III",SUMIFS($D:$D,$A:$A,$A4594,$B:$B,"&lt;&gt;Patrícia Karla de Sousa Araújo",$B:$B,"&lt;&gt;Lorena Dias de Araujo",$B:$B,"&lt;&gt;Lucas Luiz Romero")*(35/1083),IF(C4594="Técnico II",SUMIFS($D:$D,$A:$A,$A4594,$B:$B,"&lt;&gt;Patrícia Karla de Sousa Araújo",$B:$B,"&lt;&gt;Lorena Dias de Araujo",$B:$B,"&lt;&gt;Lucas Luiz Romero")*(28/1083),IF(C4594="Técnico I",SUMIFS($D:$D,$A:$A,$A4594,$B:$B,"&lt;&gt;Patrícia Karla de Sousa Araújo",$B:$B,"&lt;&gt;Lorena Dias de Araujo",$B:$B,"&lt;&gt;Lucas Luiz Romero")*(23/1083),IF(C4594="JR",SUMIFS($D:$D,$A:$A,$A4594,$B:$B,"&lt;&gt;Patrícia Karla de Sousa Araújo",$B:$B,"&lt;&gt;Lorena Dias de Araujo",$B:$B,"&lt;&gt;Lucas Luiz Romero")*(20/1083),IF(C4594="Estágio",SUMIFS($D:$D,$A:$A,$A4594,$B:$B,"&lt;&gt;Patrícia Karla de Sousa Araújo",$B:$B,"&lt;&gt;Lorena Dias de Araujo",$B:$B,"&lt;&gt;Lucas Luiz Romero")*(10/1083),0)))))),0)</f>
        <v>22</v>
      </c>
      <c r="K4594" s="3">
        <f>I4594-J4594</f>
        <v>11</v>
      </c>
      <c r="L4594" s="3" t="str">
        <f>IF(K4594&lt;-5,"CRÍTICO",IF(K4594&lt;0,"ATENÇÃO",IF(K4594&lt;=5,"OPORTUNO","MUITO BOM")))</f>
        <v>MUITO BOM</v>
      </c>
      <c r="M4594" s="3">
        <v>27</v>
      </c>
      <c r="N4594" s="3">
        <v>99.09</v>
      </c>
      <c r="O4594" s="3">
        <v>18.527315914489311</v>
      </c>
    </row>
    <row r="4595" spans="1:15" hidden="1" x14ac:dyDescent="0.25">
      <c r="A4595" s="11">
        <v>46169</v>
      </c>
      <c r="B4595" t="s">
        <v>36</v>
      </c>
      <c r="C4595" s="15" t="s">
        <v>32</v>
      </c>
      <c r="D4595" s="3">
        <v>32</v>
      </c>
      <c r="E4595" s="3">
        <v>31</v>
      </c>
      <c r="F4595" s="3">
        <v>14</v>
      </c>
      <c r="G4595" s="3">
        <v>3</v>
      </c>
      <c r="I4595" s="3">
        <f>E4595+G4595+H4595</f>
        <v>34</v>
      </c>
      <c r="J4595" s="3">
        <f>ROUND(MIN(IF(C4595="Técnico III",35,IF(C4595="Técnico II",28,IF(C4595="Técnico I",23,IF(C4595="JR",20,IF(C4595="Estágio",10,0))))),IF(C4595="Técnico III",SUMIFS($D:$D,$A:$A,$A4595,$B:$B,"&lt;&gt;Patrícia Karla de Sousa Araújo",$B:$B,"&lt;&gt;Lorena Dias de Araujo",$B:$B,"&lt;&gt;Lucas Luiz Romero")*(35/1083),IF(C4595="Técnico II",SUMIFS($D:$D,$A:$A,$A4595,$B:$B,"&lt;&gt;Patrícia Karla de Sousa Araújo",$B:$B,"&lt;&gt;Lorena Dias de Araujo",$B:$B,"&lt;&gt;Lucas Luiz Romero")*(28/1083),IF(C4595="Técnico I",SUMIFS($D:$D,$A:$A,$A4595,$B:$B,"&lt;&gt;Patrícia Karla de Sousa Araújo",$B:$B,"&lt;&gt;Lorena Dias de Araujo",$B:$B,"&lt;&gt;Lucas Luiz Romero")*(23/1083),IF(C4595="JR",SUMIFS($D:$D,$A:$A,$A4595,$B:$B,"&lt;&gt;Patrícia Karla de Sousa Araújo",$B:$B,"&lt;&gt;Lorena Dias de Araujo",$B:$B,"&lt;&gt;Lucas Luiz Romero")*(20/1083),IF(C4595="Estágio",SUMIFS($D:$D,$A:$A,$A4595,$B:$B,"&lt;&gt;Patrícia Karla de Sousa Araújo",$B:$B,"&lt;&gt;Lorena Dias de Araujo",$B:$B,"&lt;&gt;Lucas Luiz Romero")*(10/1083),0)))))),0)</f>
        <v>28</v>
      </c>
      <c r="K4595" s="3">
        <f>I4595-J4595</f>
        <v>6</v>
      </c>
      <c r="L4595" s="3" t="str">
        <f>IF(K4595&lt;-5,"CRÍTICO",IF(K4595&lt;0,"ATENÇÃO",IF(K4595&lt;=5,"OPORTUNO","MUITO BOM")))</f>
        <v>MUITO BOM</v>
      </c>
      <c r="M4595" s="3">
        <v>31</v>
      </c>
      <c r="N4595" s="3">
        <v>100</v>
      </c>
      <c r="O4595" s="3">
        <v>11.53846153846154</v>
      </c>
    </row>
    <row r="4596" spans="1:15" hidden="1" x14ac:dyDescent="0.25">
      <c r="A4596" s="11">
        <v>46169</v>
      </c>
      <c r="B4596" t="s">
        <v>53</v>
      </c>
      <c r="C4596" s="15" t="s">
        <v>48</v>
      </c>
      <c r="D4596" s="3">
        <v>0</v>
      </c>
      <c r="E4596" s="3">
        <v>0</v>
      </c>
      <c r="F4596" s="3">
        <v>0</v>
      </c>
      <c r="G4596" s="3">
        <v>0</v>
      </c>
      <c r="H4596" s="3">
        <v>0</v>
      </c>
      <c r="I4596" s="3">
        <f>E4596+G4596+H4596</f>
        <v>0</v>
      </c>
      <c r="J4596" s="3">
        <f>ROUND(MIN(IF(C4596="Técnico III",35,IF(C4596="Técnico II",28,IF(C4596="Técnico I",23,IF(C4596="JR",20,IF(C4596="Estágio",10,0))))),IF(C4596="Técnico III",SUMIFS($D:$D,$A:$A,$A4596,$B:$B,"&lt;&gt;Patrícia Karla de Sousa Araújo",$B:$B,"&lt;&gt;Lorena Dias de Araujo",$B:$B,"&lt;&gt;Lucas Luiz Romero")*(35/1083),IF(C4596="Técnico II",SUMIFS($D:$D,$A:$A,$A4596,$B:$B,"&lt;&gt;Patrícia Karla de Sousa Araújo",$B:$B,"&lt;&gt;Lorena Dias de Araujo",$B:$B,"&lt;&gt;Lucas Luiz Romero")*(28/1083),IF(C4596="Técnico I",SUMIFS($D:$D,$A:$A,$A4596,$B:$B,"&lt;&gt;Patrícia Karla de Sousa Araújo",$B:$B,"&lt;&gt;Lorena Dias de Araujo",$B:$B,"&lt;&gt;Lucas Luiz Romero")*(23/1083),IF(C4596="JR",SUMIFS($D:$D,$A:$A,$A4596,$B:$B,"&lt;&gt;Patrícia Karla de Sousa Araújo",$B:$B,"&lt;&gt;Lorena Dias de Araujo",$B:$B,"&lt;&gt;Lucas Luiz Romero")*(20/1083),IF(C4596="Estágio",SUMIFS($D:$D,$A:$A,$A4596,$B:$B,"&lt;&gt;Patrícia Karla de Sousa Araújo",$B:$B,"&lt;&gt;Lorena Dias de Araujo",$B:$B,"&lt;&gt;Lucas Luiz Romero")*(10/1083),0)))))),0)</f>
        <v>22</v>
      </c>
      <c r="K4596" s="3">
        <f>I4596-J4596</f>
        <v>-22</v>
      </c>
      <c r="L4596" s="3" t="str">
        <f>IF(K4596&lt;-5,"CRÍTICO",IF(K4596&lt;0,"ATENÇÃO",IF(K4596&lt;=5,"OPORTUNO","MUITO BOM")))</f>
        <v>CRÍTICO</v>
      </c>
      <c r="M4596" s="3">
        <v>0</v>
      </c>
      <c r="N4596" s="3">
        <v>100</v>
      </c>
      <c r="O4596" s="3">
        <v>17.241379310344829</v>
      </c>
    </row>
    <row r="4597" spans="1:15" hidden="1" x14ac:dyDescent="0.25">
      <c r="A4597" s="11">
        <v>46169</v>
      </c>
      <c r="B4597" t="s">
        <v>22</v>
      </c>
      <c r="C4597" s="15" t="s">
        <v>23</v>
      </c>
      <c r="D4597" s="3">
        <v>22</v>
      </c>
      <c r="E4597" s="3">
        <v>18</v>
      </c>
      <c r="F4597" s="3">
        <v>13.48</v>
      </c>
      <c r="G4597" s="3">
        <v>3</v>
      </c>
      <c r="I4597" s="3">
        <f>E4597+G4597+H4597</f>
        <v>21</v>
      </c>
      <c r="J4597" s="3">
        <f>ROUND(MIN(IF(C4597="Técnico III",35,IF(C4597="Técnico II",28,IF(C4597="Técnico I",23,IF(C4597="JR",20,IF(C4597="Estágio",10,0))))),IF(C4597="Técnico III",SUMIFS($D:$D,$A:$A,$A4597,$B:$B,"&lt;&gt;Patrícia Karla de Sousa Araújo",$B:$B,"&lt;&gt;Lorena Dias de Araujo",$B:$B,"&lt;&gt;Lucas Luiz Romero")*(35/1083),IF(C4597="Técnico II",SUMIFS($D:$D,$A:$A,$A4597,$B:$B,"&lt;&gt;Patrícia Karla de Sousa Araújo",$B:$B,"&lt;&gt;Lorena Dias de Araujo",$B:$B,"&lt;&gt;Lucas Luiz Romero")*(28/1083),IF(C4597="Técnico I",SUMIFS($D:$D,$A:$A,$A4597,$B:$B,"&lt;&gt;Patrícia Karla de Sousa Araújo",$B:$B,"&lt;&gt;Lorena Dias de Araujo",$B:$B,"&lt;&gt;Lucas Luiz Romero")*(23/1083),IF(C4597="JR",SUMIFS($D:$D,$A:$A,$A4597,$B:$B,"&lt;&gt;Patrícia Karla de Sousa Araújo",$B:$B,"&lt;&gt;Lorena Dias de Araujo",$B:$B,"&lt;&gt;Lucas Luiz Romero")*(20/1083),IF(C4597="Estágio",SUMIFS($D:$D,$A:$A,$A4597,$B:$B,"&lt;&gt;Patrícia Karla de Sousa Araújo",$B:$B,"&lt;&gt;Lorena Dias de Araujo",$B:$B,"&lt;&gt;Lucas Luiz Romero")*(10/1083),0)))))),0)</f>
        <v>18</v>
      </c>
      <c r="K4597" s="3">
        <f>I4597-J4597</f>
        <v>3</v>
      </c>
      <c r="L4597" s="3" t="str">
        <f>IF(K4597&lt;-5,"CRÍTICO",IF(K4597&lt;0,"ATENÇÃO",IF(K4597&lt;=5,"OPORTUNO","MUITO BOM")))</f>
        <v>OPORTUNO</v>
      </c>
      <c r="M4597" s="3">
        <v>20</v>
      </c>
      <c r="N4597" s="3">
        <v>99.14</v>
      </c>
      <c r="O4597" s="3">
        <v>21.276595744680851</v>
      </c>
    </row>
    <row r="4598" spans="1:15" hidden="1" x14ac:dyDescent="0.25">
      <c r="A4598" s="11">
        <v>46169</v>
      </c>
      <c r="B4598" t="s">
        <v>54</v>
      </c>
      <c r="C4598" s="15" t="s">
        <v>48</v>
      </c>
      <c r="D4598" s="3">
        <v>20</v>
      </c>
      <c r="E4598" s="3">
        <v>19</v>
      </c>
      <c r="F4598" s="3">
        <v>23.31</v>
      </c>
      <c r="G4598" s="3">
        <v>1</v>
      </c>
      <c r="I4598" s="3">
        <f>E4598+G4598+H4598</f>
        <v>20</v>
      </c>
      <c r="J4598" s="3">
        <f>ROUND(MIN(IF(C4598="Técnico III",35,IF(C4598="Técnico II",28,IF(C4598="Técnico I",23,IF(C4598="JR",20,IF(C4598="Estágio",10,0))))),IF(C4598="Técnico III",SUMIFS($D:$D,$A:$A,$A4598,$B:$B,"&lt;&gt;Patrícia Karla de Sousa Araújo",$B:$B,"&lt;&gt;Lorena Dias de Araujo",$B:$B,"&lt;&gt;Lucas Luiz Romero")*(35/1083),IF(C4598="Técnico II",SUMIFS($D:$D,$A:$A,$A4598,$B:$B,"&lt;&gt;Patrícia Karla de Sousa Araújo",$B:$B,"&lt;&gt;Lorena Dias de Araujo",$B:$B,"&lt;&gt;Lucas Luiz Romero")*(28/1083),IF(C4598="Técnico I",SUMIFS($D:$D,$A:$A,$A4598,$B:$B,"&lt;&gt;Patrícia Karla de Sousa Araújo",$B:$B,"&lt;&gt;Lorena Dias de Araujo",$B:$B,"&lt;&gt;Lucas Luiz Romero")*(23/1083),IF(C4598="JR",SUMIFS($D:$D,$A:$A,$A4598,$B:$B,"&lt;&gt;Patrícia Karla de Sousa Araújo",$B:$B,"&lt;&gt;Lorena Dias de Araujo",$B:$B,"&lt;&gt;Lucas Luiz Romero")*(20/1083),IF(C4598="Estágio",SUMIFS($D:$D,$A:$A,$A4598,$B:$B,"&lt;&gt;Patrícia Karla de Sousa Araújo",$B:$B,"&lt;&gt;Lorena Dias de Araujo",$B:$B,"&lt;&gt;Lucas Luiz Romero")*(10/1083),0)))))),0)</f>
        <v>22</v>
      </c>
      <c r="K4598" s="3">
        <f>I4598-J4598</f>
        <v>-2</v>
      </c>
      <c r="L4598" s="3" t="str">
        <f>IF(K4598&lt;-5,"CRÍTICO",IF(K4598&lt;0,"ATENÇÃO",IF(K4598&lt;=5,"OPORTUNO","MUITO BOM")))</f>
        <v>ATENÇÃO</v>
      </c>
      <c r="M4598" s="3">
        <v>18</v>
      </c>
      <c r="N4598" s="3">
        <v>99.07</v>
      </c>
      <c r="O4598" s="3">
        <v>20.512820512820511</v>
      </c>
    </row>
    <row r="4599" spans="1:15" hidden="1" x14ac:dyDescent="0.25">
      <c r="A4599" s="11">
        <v>46169</v>
      </c>
      <c r="B4599" t="s">
        <v>37</v>
      </c>
      <c r="C4599" s="15" t="s">
        <v>32</v>
      </c>
      <c r="D4599" s="3">
        <v>38</v>
      </c>
      <c r="E4599" s="3">
        <v>34</v>
      </c>
      <c r="F4599" s="3">
        <v>15</v>
      </c>
      <c r="G4599" s="3">
        <v>4</v>
      </c>
      <c r="I4599" s="3">
        <f>E4599+G4599+H4599</f>
        <v>38</v>
      </c>
      <c r="J4599" s="3">
        <f>ROUND(MIN(IF(C4599="Técnico III",35,IF(C4599="Técnico II",28,IF(C4599="Técnico I",23,IF(C4599="JR",20,IF(C4599="Estágio",10,0))))),IF(C4599="Técnico III",SUMIFS($D:$D,$A:$A,$A4599,$B:$B,"&lt;&gt;Patrícia Karla de Sousa Araújo",$B:$B,"&lt;&gt;Lorena Dias de Araujo",$B:$B,"&lt;&gt;Lucas Luiz Romero")*(35/1083),IF(C4599="Técnico II",SUMIFS($D:$D,$A:$A,$A4599,$B:$B,"&lt;&gt;Patrícia Karla de Sousa Araújo",$B:$B,"&lt;&gt;Lorena Dias de Araujo",$B:$B,"&lt;&gt;Lucas Luiz Romero")*(28/1083),IF(C4599="Técnico I",SUMIFS($D:$D,$A:$A,$A4599,$B:$B,"&lt;&gt;Patrícia Karla de Sousa Araújo",$B:$B,"&lt;&gt;Lorena Dias de Araujo",$B:$B,"&lt;&gt;Lucas Luiz Romero")*(23/1083),IF(C4599="JR",SUMIFS($D:$D,$A:$A,$A4599,$B:$B,"&lt;&gt;Patrícia Karla de Sousa Araújo",$B:$B,"&lt;&gt;Lorena Dias de Araujo",$B:$B,"&lt;&gt;Lucas Luiz Romero")*(20/1083),IF(C4599="Estágio",SUMIFS($D:$D,$A:$A,$A4599,$B:$B,"&lt;&gt;Patrícia Karla de Sousa Araújo",$B:$B,"&lt;&gt;Lorena Dias de Araujo",$B:$B,"&lt;&gt;Lucas Luiz Romero")*(10/1083),0)))))),0)</f>
        <v>28</v>
      </c>
      <c r="K4599" s="3">
        <f>I4599-J4599</f>
        <v>10</v>
      </c>
      <c r="L4599" s="3" t="str">
        <f>IF(K4599&lt;-5,"CRÍTICO",IF(K4599&lt;0,"ATENÇÃO",IF(K4599&lt;=5,"OPORTUNO","MUITO BOM")))</f>
        <v>MUITO BOM</v>
      </c>
      <c r="M4599" s="3">
        <v>35</v>
      </c>
      <c r="N4599" s="3">
        <v>99.05</v>
      </c>
      <c r="O4599" s="3">
        <v>22.156573116691291</v>
      </c>
    </row>
    <row r="4600" spans="1:15" hidden="1" x14ac:dyDescent="0.25">
      <c r="A4600" s="11">
        <v>46169</v>
      </c>
      <c r="B4600" t="s">
        <v>38</v>
      </c>
      <c r="C4600" s="15" t="s">
        <v>32</v>
      </c>
      <c r="D4600" s="3">
        <v>20</v>
      </c>
      <c r="E4600" s="3">
        <v>15</v>
      </c>
      <c r="F4600" s="3">
        <v>10.47</v>
      </c>
      <c r="G4600" s="3">
        <v>1</v>
      </c>
      <c r="I4600" s="3">
        <f>E4600+G4600+H4600</f>
        <v>16</v>
      </c>
      <c r="J4600" s="3">
        <f>ROUND(MIN(IF(C4600="Técnico III",35,IF(C4600="Técnico II",28,IF(C4600="Técnico I",23,IF(C4600="JR",20,IF(C4600="Estágio",10,0))))),IF(C4600="Técnico III",SUMIFS($D:$D,$A:$A,$A4600,$B:$B,"&lt;&gt;Patrícia Karla de Sousa Araújo",$B:$B,"&lt;&gt;Lorena Dias de Araujo",$B:$B,"&lt;&gt;Lucas Luiz Romero")*(35/1083),IF(C4600="Técnico II",SUMIFS($D:$D,$A:$A,$A4600,$B:$B,"&lt;&gt;Patrícia Karla de Sousa Araújo",$B:$B,"&lt;&gt;Lorena Dias de Araujo",$B:$B,"&lt;&gt;Lucas Luiz Romero")*(28/1083),IF(C4600="Técnico I",SUMIFS($D:$D,$A:$A,$A4600,$B:$B,"&lt;&gt;Patrícia Karla de Sousa Araújo",$B:$B,"&lt;&gt;Lorena Dias de Araujo",$B:$B,"&lt;&gt;Lucas Luiz Romero")*(23/1083),IF(C4600="JR",SUMIFS($D:$D,$A:$A,$A4600,$B:$B,"&lt;&gt;Patrícia Karla de Sousa Araújo",$B:$B,"&lt;&gt;Lorena Dias de Araujo",$B:$B,"&lt;&gt;Lucas Luiz Romero")*(20/1083),IF(C4600="Estágio",SUMIFS($D:$D,$A:$A,$A4600,$B:$B,"&lt;&gt;Patrícia Karla de Sousa Araújo",$B:$B,"&lt;&gt;Lorena Dias de Araujo",$B:$B,"&lt;&gt;Lucas Luiz Romero")*(10/1083),0)))))),0)</f>
        <v>28</v>
      </c>
      <c r="K4600" s="3">
        <f>I4600-J4600</f>
        <v>-12</v>
      </c>
      <c r="L4600" s="3" t="str">
        <f>IF(K4600&lt;-5,"CRÍTICO",IF(K4600&lt;0,"ATENÇÃO",IF(K4600&lt;=5,"OPORTUNO","MUITO BOM")))</f>
        <v>CRÍTICO</v>
      </c>
      <c r="M4600" s="3">
        <v>17</v>
      </c>
      <c r="N4600" s="3">
        <v>97.62</v>
      </c>
      <c r="O4600" s="3">
        <v>36.15023474178404</v>
      </c>
    </row>
    <row r="4601" spans="1:15" hidden="1" x14ac:dyDescent="0.25">
      <c r="A4601" s="11">
        <v>46169</v>
      </c>
      <c r="B4601" t="s">
        <v>55</v>
      </c>
      <c r="C4601" s="15" t="s">
        <v>48</v>
      </c>
      <c r="D4601" s="3">
        <v>8</v>
      </c>
      <c r="E4601" s="3">
        <v>5</v>
      </c>
      <c r="F4601" s="3">
        <v>12.02</v>
      </c>
      <c r="G4601" s="3">
        <v>0</v>
      </c>
      <c r="I4601" s="3">
        <f>E4601+G4601+H4601</f>
        <v>5</v>
      </c>
      <c r="J4601" s="3">
        <f>ROUND(MIN(IF(C4601="Técnico III",35,IF(C4601="Técnico II",28,IF(C4601="Técnico I",23,IF(C4601="JR",20,IF(C4601="Estágio",10,0))))),IF(C4601="Técnico III",SUMIFS($D:$D,$A:$A,$A4601,$B:$B,"&lt;&gt;Patrícia Karla de Sousa Araújo",$B:$B,"&lt;&gt;Lorena Dias de Araujo",$B:$B,"&lt;&gt;Lucas Luiz Romero")*(35/1083),IF(C4601="Técnico II",SUMIFS($D:$D,$A:$A,$A4601,$B:$B,"&lt;&gt;Patrícia Karla de Sousa Araújo",$B:$B,"&lt;&gt;Lorena Dias de Araujo",$B:$B,"&lt;&gt;Lucas Luiz Romero")*(28/1083),IF(C4601="Técnico I",SUMIFS($D:$D,$A:$A,$A4601,$B:$B,"&lt;&gt;Patrícia Karla de Sousa Araújo",$B:$B,"&lt;&gt;Lorena Dias de Araujo",$B:$B,"&lt;&gt;Lucas Luiz Romero")*(23/1083),IF(C4601="JR",SUMIFS($D:$D,$A:$A,$A4601,$B:$B,"&lt;&gt;Patrícia Karla de Sousa Araújo",$B:$B,"&lt;&gt;Lorena Dias de Araujo",$B:$B,"&lt;&gt;Lucas Luiz Romero")*(20/1083),IF(C4601="Estágio",SUMIFS($D:$D,$A:$A,$A4601,$B:$B,"&lt;&gt;Patrícia Karla de Sousa Araújo",$B:$B,"&lt;&gt;Lorena Dias de Araujo",$B:$B,"&lt;&gt;Lucas Luiz Romero")*(10/1083),0)))))),0)</f>
        <v>22</v>
      </c>
      <c r="K4601" s="3">
        <f>I4601-J4601</f>
        <v>-17</v>
      </c>
      <c r="L4601" s="3" t="str">
        <f>IF(K4601&lt;-5,"CRÍTICO",IF(K4601&lt;0,"ATENÇÃO",IF(K4601&lt;=5,"OPORTUNO","MUITO BOM")))</f>
        <v>CRÍTICO</v>
      </c>
      <c r="M4601" s="3">
        <v>5</v>
      </c>
      <c r="N4601" s="3">
        <v>99.02</v>
      </c>
      <c r="O4601" s="3">
        <v>22.888283378746589</v>
      </c>
    </row>
    <row r="4602" spans="1:15" hidden="1" x14ac:dyDescent="0.25">
      <c r="A4602" s="11">
        <v>46169</v>
      </c>
      <c r="B4602" t="s">
        <v>39</v>
      </c>
      <c r="C4602" s="15" t="s">
        <v>32</v>
      </c>
      <c r="D4602" s="3">
        <v>0</v>
      </c>
      <c r="E4602" s="3">
        <v>0</v>
      </c>
      <c r="F4602" s="3">
        <v>0</v>
      </c>
      <c r="G4602" s="3">
        <v>0</v>
      </c>
      <c r="H4602" s="3">
        <v>0</v>
      </c>
      <c r="I4602" s="3">
        <f>E4602+G4602+H4602</f>
        <v>0</v>
      </c>
      <c r="J4602" s="3">
        <f>ROUND(MIN(IF(C4602="Técnico III",35,IF(C4602="Técnico II",28,IF(C4602="Técnico I",23,IF(C4602="JR",20,IF(C4602="Estágio",10,0))))),IF(C4602="Técnico III",SUMIFS($D:$D,$A:$A,$A4602,$B:$B,"&lt;&gt;Patrícia Karla de Sousa Araújo",$B:$B,"&lt;&gt;Lorena Dias de Araujo",$B:$B,"&lt;&gt;Lucas Luiz Romero")*(35/1083),IF(C4602="Técnico II",SUMIFS($D:$D,$A:$A,$A4602,$B:$B,"&lt;&gt;Patrícia Karla de Sousa Araújo",$B:$B,"&lt;&gt;Lorena Dias de Araujo",$B:$B,"&lt;&gt;Lucas Luiz Romero")*(28/1083),IF(C4602="Técnico I",SUMIFS($D:$D,$A:$A,$A4602,$B:$B,"&lt;&gt;Patrícia Karla de Sousa Araújo",$B:$B,"&lt;&gt;Lorena Dias de Araujo",$B:$B,"&lt;&gt;Lucas Luiz Romero")*(23/1083),IF(C4602="JR",SUMIFS($D:$D,$A:$A,$A4602,$B:$B,"&lt;&gt;Patrícia Karla de Sousa Araújo",$B:$B,"&lt;&gt;Lorena Dias de Araujo",$B:$B,"&lt;&gt;Lucas Luiz Romero")*(20/1083),IF(C4602="Estágio",SUMIFS($D:$D,$A:$A,$A4602,$B:$B,"&lt;&gt;Patrícia Karla de Sousa Araújo",$B:$B,"&lt;&gt;Lorena Dias de Araujo",$B:$B,"&lt;&gt;Lucas Luiz Romero")*(10/1083),0)))))),0)</f>
        <v>28</v>
      </c>
      <c r="K4602" s="3">
        <f>I4602-J4602</f>
        <v>-28</v>
      </c>
      <c r="L4602" s="3" t="str">
        <f>IF(K4602&lt;-5,"CRÍTICO",IF(K4602&lt;0,"ATENÇÃO",IF(K4602&lt;=5,"OPORTUNO","MUITO BOM")))</f>
        <v>CRÍTICO</v>
      </c>
      <c r="M4602" s="3">
        <v>0</v>
      </c>
      <c r="N4602" s="3">
        <v>0</v>
      </c>
      <c r="O4602" s="3">
        <v>0</v>
      </c>
    </row>
    <row r="4603" spans="1:15" hidden="1" x14ac:dyDescent="0.25">
      <c r="A4603" s="11">
        <v>46169</v>
      </c>
      <c r="B4603" t="s">
        <v>40</v>
      </c>
      <c r="C4603" s="15" t="s">
        <v>32</v>
      </c>
      <c r="D4603" s="3">
        <v>26</v>
      </c>
      <c r="E4603" s="3">
        <v>26</v>
      </c>
      <c r="F4603" s="3">
        <v>16.55</v>
      </c>
      <c r="G4603" s="3">
        <v>0</v>
      </c>
      <c r="I4603" s="3">
        <f>E4603+G4603+H4603</f>
        <v>26</v>
      </c>
      <c r="J4603" s="3">
        <f>ROUND(MIN(IF(C4603="Técnico III",35,IF(C4603="Técnico II",28,IF(C4603="Técnico I",23,IF(C4603="JR",20,IF(C4603="Estágio",10,0))))),IF(C4603="Técnico III",SUMIFS($D:$D,$A:$A,$A4603,$B:$B,"&lt;&gt;Patrícia Karla de Sousa Araújo",$B:$B,"&lt;&gt;Lorena Dias de Araujo",$B:$B,"&lt;&gt;Lucas Luiz Romero")*(35/1083),IF(C4603="Técnico II",SUMIFS($D:$D,$A:$A,$A4603,$B:$B,"&lt;&gt;Patrícia Karla de Sousa Araújo",$B:$B,"&lt;&gt;Lorena Dias de Araujo",$B:$B,"&lt;&gt;Lucas Luiz Romero")*(28/1083),IF(C4603="Técnico I",SUMIFS($D:$D,$A:$A,$A4603,$B:$B,"&lt;&gt;Patrícia Karla de Sousa Araújo",$B:$B,"&lt;&gt;Lorena Dias de Araujo",$B:$B,"&lt;&gt;Lucas Luiz Romero")*(23/1083),IF(C4603="JR",SUMIFS($D:$D,$A:$A,$A4603,$B:$B,"&lt;&gt;Patrícia Karla de Sousa Araújo",$B:$B,"&lt;&gt;Lorena Dias de Araujo",$B:$B,"&lt;&gt;Lucas Luiz Romero")*(20/1083),IF(C4603="Estágio",SUMIFS($D:$D,$A:$A,$A4603,$B:$B,"&lt;&gt;Patrícia Karla de Sousa Araújo",$B:$B,"&lt;&gt;Lorena Dias de Araujo",$B:$B,"&lt;&gt;Lucas Luiz Romero")*(10/1083),0)))))),0)</f>
        <v>28</v>
      </c>
      <c r="K4603" s="3">
        <f>I4603-J4603</f>
        <v>-2</v>
      </c>
      <c r="L4603" s="3" t="str">
        <f>IF(K4603&lt;-5,"CRÍTICO",IF(K4603&lt;0,"ATENÇÃO",IF(K4603&lt;=5,"OPORTUNO","MUITO BOM")))</f>
        <v>ATENÇÃO</v>
      </c>
      <c r="M4603" s="3">
        <v>25</v>
      </c>
      <c r="N4603" s="3">
        <v>97.03</v>
      </c>
      <c r="O4603" s="3">
        <v>16.84210526315789</v>
      </c>
    </row>
    <row r="4604" spans="1:15" hidden="1" x14ac:dyDescent="0.25">
      <c r="A4604" s="11">
        <v>46169</v>
      </c>
      <c r="B4604" t="s">
        <v>41</v>
      </c>
      <c r="C4604" s="15" t="s">
        <v>32</v>
      </c>
      <c r="D4604" s="3">
        <v>28</v>
      </c>
      <c r="E4604" s="3">
        <v>27</v>
      </c>
      <c r="F4604" s="3">
        <v>18.32</v>
      </c>
      <c r="G4604" s="3">
        <v>0</v>
      </c>
      <c r="I4604" s="3">
        <f>E4604+G4604+H4604</f>
        <v>27</v>
      </c>
      <c r="J4604" s="3">
        <f>ROUND(MIN(IF(C4604="Técnico III",35,IF(C4604="Técnico II",28,IF(C4604="Técnico I",23,IF(C4604="JR",20,IF(C4604="Estágio",10,0))))),IF(C4604="Técnico III",SUMIFS($D:$D,$A:$A,$A4604,$B:$B,"&lt;&gt;Patrícia Karla de Sousa Araújo",$B:$B,"&lt;&gt;Lorena Dias de Araujo",$B:$B,"&lt;&gt;Lucas Luiz Romero")*(35/1083),IF(C4604="Técnico II",SUMIFS($D:$D,$A:$A,$A4604,$B:$B,"&lt;&gt;Patrícia Karla de Sousa Araújo",$B:$B,"&lt;&gt;Lorena Dias de Araujo",$B:$B,"&lt;&gt;Lucas Luiz Romero")*(28/1083),IF(C4604="Técnico I",SUMIFS($D:$D,$A:$A,$A4604,$B:$B,"&lt;&gt;Patrícia Karla de Sousa Araújo",$B:$B,"&lt;&gt;Lorena Dias de Araujo",$B:$B,"&lt;&gt;Lucas Luiz Romero")*(23/1083),IF(C4604="JR",SUMIFS($D:$D,$A:$A,$A4604,$B:$B,"&lt;&gt;Patrícia Karla de Sousa Araújo",$B:$B,"&lt;&gt;Lorena Dias de Araujo",$B:$B,"&lt;&gt;Lucas Luiz Romero")*(20/1083),IF(C4604="Estágio",SUMIFS($D:$D,$A:$A,$A4604,$B:$B,"&lt;&gt;Patrícia Karla de Sousa Araújo",$B:$B,"&lt;&gt;Lorena Dias de Araujo",$B:$B,"&lt;&gt;Lucas Luiz Romero")*(10/1083),0)))))),0)</f>
        <v>28</v>
      </c>
      <c r="K4604" s="3">
        <f>I4604-J4604</f>
        <v>-1</v>
      </c>
      <c r="L4604" s="3" t="str">
        <f>IF(K4604&lt;-5,"CRÍTICO",IF(K4604&lt;0,"ATENÇÃO",IF(K4604&lt;=5,"OPORTUNO","MUITO BOM")))</f>
        <v>ATENÇÃO</v>
      </c>
      <c r="M4604" s="3">
        <v>23</v>
      </c>
      <c r="N4604" s="3">
        <v>100</v>
      </c>
      <c r="O4604" s="3">
        <v>18.640350877192979</v>
      </c>
    </row>
    <row r="4605" spans="1:15" hidden="1" x14ac:dyDescent="0.25">
      <c r="A4605" s="11">
        <v>46169</v>
      </c>
      <c r="B4605" t="s">
        <v>56</v>
      </c>
      <c r="C4605" s="15" t="s">
        <v>48</v>
      </c>
      <c r="D4605" s="3">
        <v>27</v>
      </c>
      <c r="E4605" s="3">
        <v>25</v>
      </c>
      <c r="F4605" s="3">
        <v>18.3</v>
      </c>
      <c r="G4605" s="3">
        <v>5</v>
      </c>
      <c r="I4605" s="3">
        <f>E4605+G4605+H4605</f>
        <v>30</v>
      </c>
      <c r="J4605" s="3">
        <f>ROUND(MIN(IF(C4605="Técnico III",35,IF(C4605="Técnico II",28,IF(C4605="Técnico I",23,IF(C4605="JR",20,IF(C4605="Estágio",10,0))))),IF(C4605="Técnico III",SUMIFS($D:$D,$A:$A,$A4605,$B:$B,"&lt;&gt;Patrícia Karla de Sousa Araújo",$B:$B,"&lt;&gt;Lorena Dias de Araujo",$B:$B,"&lt;&gt;Lucas Luiz Romero")*(35/1083),IF(C4605="Técnico II",SUMIFS($D:$D,$A:$A,$A4605,$B:$B,"&lt;&gt;Patrícia Karla de Sousa Araújo",$B:$B,"&lt;&gt;Lorena Dias de Araujo",$B:$B,"&lt;&gt;Lucas Luiz Romero")*(28/1083),IF(C4605="Técnico I",SUMIFS($D:$D,$A:$A,$A4605,$B:$B,"&lt;&gt;Patrícia Karla de Sousa Araújo",$B:$B,"&lt;&gt;Lorena Dias de Araujo",$B:$B,"&lt;&gt;Lucas Luiz Romero")*(23/1083),IF(C4605="JR",SUMIFS($D:$D,$A:$A,$A4605,$B:$B,"&lt;&gt;Patrícia Karla de Sousa Araújo",$B:$B,"&lt;&gt;Lorena Dias de Araujo",$B:$B,"&lt;&gt;Lucas Luiz Romero")*(20/1083),IF(C4605="Estágio",SUMIFS($D:$D,$A:$A,$A4605,$B:$B,"&lt;&gt;Patrícia Karla de Sousa Araújo",$B:$B,"&lt;&gt;Lorena Dias de Araujo",$B:$B,"&lt;&gt;Lucas Luiz Romero")*(10/1083),0)))))),0)</f>
        <v>22</v>
      </c>
      <c r="K4605" s="3">
        <f>I4605-J4605</f>
        <v>8</v>
      </c>
      <c r="L4605" s="3" t="str">
        <f>IF(K4605&lt;-5,"CRÍTICO",IF(K4605&lt;0,"ATENÇÃO",IF(K4605&lt;=5,"OPORTUNO","MUITO BOM")))</f>
        <v>MUITO BOM</v>
      </c>
      <c r="M4605" s="3">
        <v>23</v>
      </c>
      <c r="N4605" s="3">
        <v>99.1</v>
      </c>
      <c r="O4605" s="3">
        <v>23.589743589743591</v>
      </c>
    </row>
    <row r="4606" spans="1:15" hidden="1" x14ac:dyDescent="0.25">
      <c r="A4606" s="11">
        <v>46169</v>
      </c>
      <c r="B4606" t="s">
        <v>57</v>
      </c>
      <c r="C4606" s="15" t="s">
        <v>48</v>
      </c>
      <c r="D4606" s="3">
        <v>26</v>
      </c>
      <c r="E4606" s="3">
        <v>23</v>
      </c>
      <c r="F4606" s="3">
        <v>15.44</v>
      </c>
      <c r="G4606" s="3">
        <v>0</v>
      </c>
      <c r="I4606" s="3">
        <f>E4606+G4606+H4606</f>
        <v>23</v>
      </c>
      <c r="J4606" s="3">
        <f>ROUND(MIN(IF(C4606="Técnico III",35,IF(C4606="Técnico II",28,IF(C4606="Técnico I",23,IF(C4606="JR",20,IF(C4606="Estágio",10,0))))),IF(C4606="Técnico III",SUMIFS($D:$D,$A:$A,$A4606,$B:$B,"&lt;&gt;Patrícia Karla de Sousa Araújo",$B:$B,"&lt;&gt;Lorena Dias de Araujo",$B:$B,"&lt;&gt;Lucas Luiz Romero")*(35/1083),IF(C4606="Técnico II",SUMIFS($D:$D,$A:$A,$A4606,$B:$B,"&lt;&gt;Patrícia Karla de Sousa Araújo",$B:$B,"&lt;&gt;Lorena Dias de Araujo",$B:$B,"&lt;&gt;Lucas Luiz Romero")*(28/1083),IF(C4606="Técnico I",SUMIFS($D:$D,$A:$A,$A4606,$B:$B,"&lt;&gt;Patrícia Karla de Sousa Araújo",$B:$B,"&lt;&gt;Lorena Dias de Araujo",$B:$B,"&lt;&gt;Lucas Luiz Romero")*(23/1083),IF(C4606="JR",SUMIFS($D:$D,$A:$A,$A4606,$B:$B,"&lt;&gt;Patrícia Karla de Sousa Araújo",$B:$B,"&lt;&gt;Lorena Dias de Araujo",$B:$B,"&lt;&gt;Lucas Luiz Romero")*(20/1083),IF(C4606="Estágio",SUMIFS($D:$D,$A:$A,$A4606,$B:$B,"&lt;&gt;Patrícia Karla de Sousa Araújo",$B:$B,"&lt;&gt;Lorena Dias de Araujo",$B:$B,"&lt;&gt;Lucas Luiz Romero")*(10/1083),0)))))),0)</f>
        <v>22</v>
      </c>
      <c r="K4606" s="3">
        <f>I4606-J4606</f>
        <v>1</v>
      </c>
      <c r="L4606" s="3" t="str">
        <f>IF(K4606&lt;-5,"CRÍTICO",IF(K4606&lt;0,"ATENÇÃO",IF(K4606&lt;=5,"OPORTUNO","MUITO BOM")))</f>
        <v>OPORTUNO</v>
      </c>
      <c r="M4606" s="3">
        <v>21</v>
      </c>
      <c r="N4606" s="3">
        <v>100</v>
      </c>
      <c r="O4606" s="3">
        <v>25.47425474254743</v>
      </c>
    </row>
    <row r="4607" spans="1:15" hidden="1" x14ac:dyDescent="0.25">
      <c r="A4607" s="11">
        <v>46169</v>
      </c>
      <c r="B4607" t="s">
        <v>42</v>
      </c>
      <c r="C4607" s="15" t="s">
        <v>32</v>
      </c>
      <c r="D4607" s="3">
        <v>0</v>
      </c>
      <c r="E4607" s="3">
        <v>0</v>
      </c>
      <c r="F4607" s="3">
        <v>0</v>
      </c>
      <c r="G4607" s="3">
        <v>0</v>
      </c>
      <c r="H4607" s="3">
        <v>0</v>
      </c>
      <c r="I4607" s="3">
        <f>E4607+G4607+H4607</f>
        <v>0</v>
      </c>
      <c r="J4607" s="3">
        <f>ROUND(MIN(IF(C4607="Técnico III",35,IF(C4607="Técnico II",28,IF(C4607="Técnico I",23,IF(C4607="JR",20,IF(C4607="Estágio",10,0))))),IF(C4607="Técnico III",SUMIFS($D:$D,$A:$A,$A4607,$B:$B,"&lt;&gt;Patrícia Karla de Sousa Araújo",$B:$B,"&lt;&gt;Lorena Dias de Araujo",$B:$B,"&lt;&gt;Lucas Luiz Romero")*(35/1083),IF(C4607="Técnico II",SUMIFS($D:$D,$A:$A,$A4607,$B:$B,"&lt;&gt;Patrícia Karla de Sousa Araújo",$B:$B,"&lt;&gt;Lorena Dias de Araujo",$B:$B,"&lt;&gt;Lucas Luiz Romero")*(28/1083),IF(C4607="Técnico I",SUMIFS($D:$D,$A:$A,$A4607,$B:$B,"&lt;&gt;Patrícia Karla de Sousa Araújo",$B:$B,"&lt;&gt;Lorena Dias de Araujo",$B:$B,"&lt;&gt;Lucas Luiz Romero")*(23/1083),IF(C4607="JR",SUMIFS($D:$D,$A:$A,$A4607,$B:$B,"&lt;&gt;Patrícia Karla de Sousa Araújo",$B:$B,"&lt;&gt;Lorena Dias de Araujo",$B:$B,"&lt;&gt;Lucas Luiz Romero")*(20/1083),IF(C4607="Estágio",SUMIFS($D:$D,$A:$A,$A4607,$B:$B,"&lt;&gt;Patrícia Karla de Sousa Araújo",$B:$B,"&lt;&gt;Lorena Dias de Araujo",$B:$B,"&lt;&gt;Lucas Luiz Romero")*(10/1083),0)))))),0)</f>
        <v>28</v>
      </c>
      <c r="K4607" s="3">
        <f>I4607-J4607</f>
        <v>-28</v>
      </c>
      <c r="L4607" s="3" t="str">
        <f>IF(K4607&lt;-5,"CRÍTICO",IF(K4607&lt;0,"ATENÇÃO",IF(K4607&lt;=5,"OPORTUNO","MUITO BOM")))</f>
        <v>CRÍTICO</v>
      </c>
      <c r="M4607" s="3">
        <v>2</v>
      </c>
      <c r="N4607" s="3">
        <v>100</v>
      </c>
      <c r="O4607" s="3">
        <v>22.916666666666661</v>
      </c>
    </row>
    <row r="4608" spans="1:15" hidden="1" x14ac:dyDescent="0.25">
      <c r="A4608" s="11">
        <v>46169</v>
      </c>
      <c r="B4608" t="s">
        <v>62</v>
      </c>
      <c r="C4608" s="15" t="s">
        <v>23</v>
      </c>
      <c r="D4608" s="3">
        <v>20</v>
      </c>
      <c r="E4608" s="3">
        <v>18</v>
      </c>
      <c r="F4608" s="3">
        <v>19.09</v>
      </c>
      <c r="G4608" s="3">
        <v>0</v>
      </c>
      <c r="I4608" s="3">
        <f>E4608+G4608+H4608</f>
        <v>18</v>
      </c>
      <c r="J4608" s="3">
        <f>ROUND(MIN(IF(C4608="Técnico III",35,IF(C4608="Técnico II",28,IF(C4608="Técnico I",23,IF(C4608="JR",20,IF(C4608="Estágio",10,0))))),IF(C4608="Técnico III",SUMIFS($D:$D,$A:$A,$A4608,$B:$B,"&lt;&gt;Patrícia Karla de Sousa Araújo",$B:$B,"&lt;&gt;Lorena Dias de Araujo",$B:$B,"&lt;&gt;Lucas Luiz Romero")*(35/1083),IF(C4608="Técnico II",SUMIFS($D:$D,$A:$A,$A4608,$B:$B,"&lt;&gt;Patrícia Karla de Sousa Araújo",$B:$B,"&lt;&gt;Lorena Dias de Araujo",$B:$B,"&lt;&gt;Lucas Luiz Romero")*(28/1083),IF(C4608="Técnico I",SUMIFS($D:$D,$A:$A,$A4608,$B:$B,"&lt;&gt;Patrícia Karla de Sousa Araújo",$B:$B,"&lt;&gt;Lorena Dias de Araujo",$B:$B,"&lt;&gt;Lucas Luiz Romero")*(23/1083),IF(C4608="JR",SUMIFS($D:$D,$A:$A,$A4608,$B:$B,"&lt;&gt;Patrícia Karla de Sousa Araújo",$B:$B,"&lt;&gt;Lorena Dias de Araujo",$B:$B,"&lt;&gt;Lucas Luiz Romero")*(20/1083),IF(C4608="Estágio",SUMIFS($D:$D,$A:$A,$A4608,$B:$B,"&lt;&gt;Patrícia Karla de Sousa Araújo",$B:$B,"&lt;&gt;Lorena Dias de Araujo",$B:$B,"&lt;&gt;Lucas Luiz Romero")*(10/1083),0)))))),0)</f>
        <v>18</v>
      </c>
      <c r="K4608" s="3">
        <f>I4608-J4608</f>
        <v>0</v>
      </c>
      <c r="L4608" s="3" t="str">
        <f>IF(K4608&lt;-5,"CRÍTICO",IF(K4608&lt;0,"ATENÇÃO",IF(K4608&lt;=5,"OPORTUNO","MUITO BOM")))</f>
        <v>OPORTUNO</v>
      </c>
      <c r="M4608" s="3">
        <v>21</v>
      </c>
      <c r="N4608" s="3">
        <v>94.83</v>
      </c>
      <c r="O4608" s="3">
        <v>23.72448979591837</v>
      </c>
    </row>
    <row r="4609" spans="1:15" x14ac:dyDescent="0.25">
      <c r="A4609" s="11">
        <v>46169</v>
      </c>
      <c r="B4609" t="s">
        <v>43</v>
      </c>
      <c r="C4609" s="15" t="s">
        <v>32</v>
      </c>
      <c r="D4609" s="3">
        <v>0</v>
      </c>
      <c r="E4609" s="3">
        <v>0</v>
      </c>
      <c r="F4609" s="3">
        <v>0</v>
      </c>
      <c r="G4609" s="3">
        <v>0</v>
      </c>
      <c r="H4609" s="3">
        <v>37</v>
      </c>
      <c r="I4609" s="3">
        <f>E4609+G4609+H4609</f>
        <v>37</v>
      </c>
      <c r="J4609" s="3">
        <f>ROUND(MIN(IF(C4609="Técnico III",35,IF(C4609="Técnico II",28,IF(C4609="Técnico I",23,IF(C4609="JR",20,IF(C4609="Estágio",10,0))))),IF(C4609="Técnico III",SUMIFS($D:$D,$A:$A,$A4609,$B:$B,"&lt;&gt;Patrícia Karla de Sousa Araújo",$B:$B,"&lt;&gt;Lorena Dias de Araujo",$B:$B,"&lt;&gt;Lucas Luiz Romero")*(35/1083),IF(C4609="Técnico II",SUMIFS($D:$D,$A:$A,$A4609,$B:$B,"&lt;&gt;Patrícia Karla de Sousa Araújo",$B:$B,"&lt;&gt;Lorena Dias de Araujo",$B:$B,"&lt;&gt;Lucas Luiz Romero")*(28/1083),IF(C4609="Técnico I",SUMIFS($D:$D,$A:$A,$A4609,$B:$B,"&lt;&gt;Patrícia Karla de Sousa Araújo",$B:$B,"&lt;&gt;Lorena Dias de Araujo",$B:$B,"&lt;&gt;Lucas Luiz Romero")*(23/1083),IF(C4609="JR",SUMIFS($D:$D,$A:$A,$A4609,$B:$B,"&lt;&gt;Patrícia Karla de Sousa Araújo",$B:$B,"&lt;&gt;Lorena Dias de Araujo",$B:$B,"&lt;&gt;Lucas Luiz Romero")*(20/1083),IF(C4609="Estágio",SUMIFS($D:$D,$A:$A,$A4609,$B:$B,"&lt;&gt;Patrícia Karla de Sousa Araújo",$B:$B,"&lt;&gt;Lorena Dias de Araujo",$B:$B,"&lt;&gt;Lucas Luiz Romero")*(10/1083),0)))))),0)</f>
        <v>28</v>
      </c>
      <c r="K4609" s="3">
        <f>I4609-J4609</f>
        <v>9</v>
      </c>
      <c r="L4609" s="3" t="str">
        <f>IF(K4609&lt;-5,"CRÍTICO",IF(K4609&lt;0,"ATENÇÃO",IF(K4609&lt;=5,"OPORTUNO","MUITO BOM")))</f>
        <v>MUITO BOM</v>
      </c>
      <c r="M4609" s="3">
        <v>23</v>
      </c>
      <c r="N4609" s="3">
        <v>98.44</v>
      </c>
      <c r="O4609" s="3">
        <v>8.5427135678391952</v>
      </c>
    </row>
    <row r="4610" spans="1:15" hidden="1" x14ac:dyDescent="0.25">
      <c r="A4610" s="11">
        <v>46169</v>
      </c>
      <c r="B4610" t="s">
        <v>44</v>
      </c>
      <c r="C4610" s="15" t="s">
        <v>32</v>
      </c>
      <c r="D4610" s="3">
        <v>36</v>
      </c>
      <c r="E4610" s="3">
        <v>29</v>
      </c>
      <c r="F4610" s="3">
        <v>10.09</v>
      </c>
      <c r="G4610" s="3">
        <v>7</v>
      </c>
      <c r="I4610" s="3">
        <f>E4610+G4610+H4610</f>
        <v>36</v>
      </c>
      <c r="J4610" s="3">
        <f>ROUND(MIN(IF(C4610="Técnico III",35,IF(C4610="Técnico II",28,IF(C4610="Técnico I",23,IF(C4610="JR",20,IF(C4610="Estágio",10,0))))),IF(C4610="Técnico III",SUMIFS($D:$D,$A:$A,$A4610,$B:$B,"&lt;&gt;Patrícia Karla de Sousa Araújo",$B:$B,"&lt;&gt;Lorena Dias de Araujo",$B:$B,"&lt;&gt;Lucas Luiz Romero")*(35/1083),IF(C4610="Técnico II",SUMIFS($D:$D,$A:$A,$A4610,$B:$B,"&lt;&gt;Patrícia Karla de Sousa Araújo",$B:$B,"&lt;&gt;Lorena Dias de Araujo",$B:$B,"&lt;&gt;Lucas Luiz Romero")*(28/1083),IF(C4610="Técnico I",SUMIFS($D:$D,$A:$A,$A4610,$B:$B,"&lt;&gt;Patrícia Karla de Sousa Araújo",$B:$B,"&lt;&gt;Lorena Dias de Araujo",$B:$B,"&lt;&gt;Lucas Luiz Romero")*(23/1083),IF(C4610="JR",SUMIFS($D:$D,$A:$A,$A4610,$B:$B,"&lt;&gt;Patrícia Karla de Sousa Araújo",$B:$B,"&lt;&gt;Lorena Dias de Araujo",$B:$B,"&lt;&gt;Lucas Luiz Romero")*(20/1083),IF(C4610="Estágio",SUMIFS($D:$D,$A:$A,$A4610,$B:$B,"&lt;&gt;Patrícia Karla de Sousa Araújo",$B:$B,"&lt;&gt;Lorena Dias de Araujo",$B:$B,"&lt;&gt;Lucas Luiz Romero")*(10/1083),0)))))),0)</f>
        <v>28</v>
      </c>
      <c r="K4610" s="3">
        <f>I4610-J4610</f>
        <v>8</v>
      </c>
      <c r="L4610" s="3" t="str">
        <f>IF(K4610&lt;-5,"CRÍTICO",IF(K4610&lt;0,"ATENÇÃO",IF(K4610&lt;=5,"OPORTUNO","MUITO BOM")))</f>
        <v>MUITO BOM</v>
      </c>
      <c r="M4610" s="3">
        <v>25</v>
      </c>
      <c r="N4610" s="3">
        <v>96.62</v>
      </c>
      <c r="O4610" s="3">
        <v>24.093816631130061</v>
      </c>
    </row>
    <row r="4611" spans="1:15" hidden="1" x14ac:dyDescent="0.25">
      <c r="A4611" s="11">
        <v>46169</v>
      </c>
      <c r="B4611" t="s">
        <v>58</v>
      </c>
      <c r="C4611" s="15" t="s">
        <v>48</v>
      </c>
      <c r="D4611" s="3">
        <v>0</v>
      </c>
      <c r="E4611" s="3">
        <v>0</v>
      </c>
      <c r="F4611" s="3">
        <v>0</v>
      </c>
      <c r="G4611" s="3">
        <v>0</v>
      </c>
      <c r="H4611" s="3">
        <v>0</v>
      </c>
      <c r="I4611" s="3">
        <f>E4611+G4611+H4611</f>
        <v>0</v>
      </c>
      <c r="J4611" s="3">
        <f>ROUND(MIN(IF(C4611="Técnico III",35,IF(C4611="Técnico II",28,IF(C4611="Técnico I",23,IF(C4611="JR",20,IF(C4611="Estágio",10,0))))),IF(C4611="Técnico III",SUMIFS($D:$D,$A:$A,$A4611,$B:$B,"&lt;&gt;Patrícia Karla de Sousa Araújo",$B:$B,"&lt;&gt;Lorena Dias de Araujo",$B:$B,"&lt;&gt;Lucas Luiz Romero")*(35/1083),IF(C4611="Técnico II",SUMIFS($D:$D,$A:$A,$A4611,$B:$B,"&lt;&gt;Patrícia Karla de Sousa Araújo",$B:$B,"&lt;&gt;Lorena Dias de Araujo",$B:$B,"&lt;&gt;Lucas Luiz Romero")*(28/1083),IF(C4611="Técnico I",SUMIFS($D:$D,$A:$A,$A4611,$B:$B,"&lt;&gt;Patrícia Karla de Sousa Araújo",$B:$B,"&lt;&gt;Lorena Dias de Araujo",$B:$B,"&lt;&gt;Lucas Luiz Romero")*(23/1083),IF(C4611="JR",SUMIFS($D:$D,$A:$A,$A4611,$B:$B,"&lt;&gt;Patrícia Karla de Sousa Araújo",$B:$B,"&lt;&gt;Lorena Dias de Araujo",$B:$B,"&lt;&gt;Lucas Luiz Romero")*(20/1083),IF(C4611="Estágio",SUMIFS($D:$D,$A:$A,$A4611,$B:$B,"&lt;&gt;Patrícia Karla de Sousa Araújo",$B:$B,"&lt;&gt;Lorena Dias de Araujo",$B:$B,"&lt;&gt;Lucas Luiz Romero")*(10/1083),0)))))),0)</f>
        <v>22</v>
      </c>
      <c r="K4611" s="3">
        <f>I4611-J4611</f>
        <v>-22</v>
      </c>
      <c r="L4611" s="3" t="str">
        <f>IF(K4611&lt;-5,"CRÍTICO",IF(K4611&lt;0,"ATENÇÃO",IF(K4611&lt;=5,"OPORTUNO","MUITO BOM")))</f>
        <v>CRÍTICO</v>
      </c>
      <c r="M4611" s="3">
        <v>0</v>
      </c>
      <c r="N4611" s="3">
        <v>100</v>
      </c>
      <c r="O4611" s="3">
        <v>21.100917431192659</v>
      </c>
    </row>
    <row r="4612" spans="1:15" hidden="1" x14ac:dyDescent="0.25">
      <c r="A4612" s="11">
        <v>46169</v>
      </c>
      <c r="B4612" t="s">
        <v>63</v>
      </c>
      <c r="C4612" s="15" t="s">
        <v>23</v>
      </c>
      <c r="D4612" s="3">
        <v>31</v>
      </c>
      <c r="E4612" s="3">
        <v>27</v>
      </c>
      <c r="F4612" s="3">
        <v>15.47</v>
      </c>
      <c r="G4612" s="3">
        <v>4</v>
      </c>
      <c r="I4612" s="3">
        <f>E4612+G4612+H4612</f>
        <v>31</v>
      </c>
      <c r="J4612" s="3">
        <f>ROUND(MIN(IF(C4612="Técnico III",35,IF(C4612="Técnico II",28,IF(C4612="Técnico I",23,IF(C4612="JR",20,IF(C4612="Estágio",10,0))))),IF(C4612="Técnico III",SUMIFS($D:$D,$A:$A,$A4612,$B:$B,"&lt;&gt;Patrícia Karla de Sousa Araújo",$B:$B,"&lt;&gt;Lorena Dias de Araujo",$B:$B,"&lt;&gt;Lucas Luiz Romero")*(35/1083),IF(C4612="Técnico II",SUMIFS($D:$D,$A:$A,$A4612,$B:$B,"&lt;&gt;Patrícia Karla de Sousa Araújo",$B:$B,"&lt;&gt;Lorena Dias de Araujo",$B:$B,"&lt;&gt;Lucas Luiz Romero")*(28/1083),IF(C4612="Técnico I",SUMIFS($D:$D,$A:$A,$A4612,$B:$B,"&lt;&gt;Patrícia Karla de Sousa Araújo",$B:$B,"&lt;&gt;Lorena Dias de Araujo",$B:$B,"&lt;&gt;Lucas Luiz Romero")*(23/1083),IF(C4612="JR",SUMIFS($D:$D,$A:$A,$A4612,$B:$B,"&lt;&gt;Patrícia Karla de Sousa Araújo",$B:$B,"&lt;&gt;Lorena Dias de Araujo",$B:$B,"&lt;&gt;Lucas Luiz Romero")*(20/1083),IF(C4612="Estágio",SUMIFS($D:$D,$A:$A,$A4612,$B:$B,"&lt;&gt;Patrícia Karla de Sousa Araújo",$B:$B,"&lt;&gt;Lorena Dias de Araujo",$B:$B,"&lt;&gt;Lucas Luiz Romero")*(10/1083),0)))))),0)</f>
        <v>18</v>
      </c>
      <c r="K4612" s="3">
        <f>I4612-J4612</f>
        <v>13</v>
      </c>
      <c r="L4612" s="3" t="str">
        <f>IF(K4612&lt;-5,"CRÍTICO",IF(K4612&lt;0,"ATENÇÃO",IF(K4612&lt;=5,"OPORTUNO","MUITO BOM")))</f>
        <v>MUITO BOM</v>
      </c>
      <c r="M4612" s="3">
        <v>23</v>
      </c>
      <c r="N4612" s="3">
        <v>98.25</v>
      </c>
      <c r="O4612" s="3">
        <v>22.524752475247521</v>
      </c>
    </row>
    <row r="4613" spans="1:15" hidden="1" x14ac:dyDescent="0.25">
      <c r="A4613" s="11">
        <v>46169</v>
      </c>
      <c r="B4613" t="s">
        <v>45</v>
      </c>
      <c r="C4613" s="15" t="s">
        <v>32</v>
      </c>
      <c r="D4613" s="3">
        <v>41</v>
      </c>
      <c r="E4613" s="3">
        <v>35</v>
      </c>
      <c r="F4613" s="3">
        <v>10.39</v>
      </c>
      <c r="G4613" s="3">
        <v>1</v>
      </c>
      <c r="I4613" s="3">
        <f>E4613+G4613+H4613</f>
        <v>36</v>
      </c>
      <c r="J4613" s="3">
        <f>ROUND(MIN(IF(C4613="Técnico III",35,IF(C4613="Técnico II",28,IF(C4613="Técnico I",23,IF(C4613="JR",20,IF(C4613="Estágio",10,0))))),IF(C4613="Técnico III",SUMIFS($D:$D,$A:$A,$A4613,$B:$B,"&lt;&gt;Patrícia Karla de Sousa Araújo",$B:$B,"&lt;&gt;Lorena Dias de Araujo",$B:$B,"&lt;&gt;Lucas Luiz Romero")*(35/1083),IF(C4613="Técnico II",SUMIFS($D:$D,$A:$A,$A4613,$B:$B,"&lt;&gt;Patrícia Karla de Sousa Araújo",$B:$B,"&lt;&gt;Lorena Dias de Araujo",$B:$B,"&lt;&gt;Lucas Luiz Romero")*(28/1083),IF(C4613="Técnico I",SUMIFS($D:$D,$A:$A,$A4613,$B:$B,"&lt;&gt;Patrícia Karla de Sousa Araújo",$B:$B,"&lt;&gt;Lorena Dias de Araujo",$B:$B,"&lt;&gt;Lucas Luiz Romero")*(23/1083),IF(C4613="JR",SUMIFS($D:$D,$A:$A,$A4613,$B:$B,"&lt;&gt;Patrícia Karla de Sousa Araújo",$B:$B,"&lt;&gt;Lorena Dias de Araujo",$B:$B,"&lt;&gt;Lucas Luiz Romero")*(20/1083),IF(C4613="Estágio",SUMIFS($D:$D,$A:$A,$A4613,$B:$B,"&lt;&gt;Patrícia Karla de Sousa Araújo",$B:$B,"&lt;&gt;Lorena Dias de Araujo",$B:$B,"&lt;&gt;Lucas Luiz Romero")*(10/1083),0)))))),0)</f>
        <v>28</v>
      </c>
      <c r="K4613" s="3">
        <f>I4613-J4613</f>
        <v>8</v>
      </c>
      <c r="L4613" s="3" t="str">
        <f>IF(K4613&lt;-5,"CRÍTICO",IF(K4613&lt;0,"ATENÇÃO",IF(K4613&lt;=5,"OPORTUNO","MUITO BOM")))</f>
        <v>MUITO BOM</v>
      </c>
      <c r="M4613" s="3">
        <v>27</v>
      </c>
      <c r="N4613" s="3">
        <v>99.43</v>
      </c>
      <c r="O4613" s="3">
        <v>26.01156069364162</v>
      </c>
    </row>
    <row r="4614" spans="1:15" hidden="1" x14ac:dyDescent="0.25">
      <c r="A4614" s="11">
        <v>46169</v>
      </c>
      <c r="B4614" t="s">
        <v>64</v>
      </c>
      <c r="C4614" s="15" t="s">
        <v>23</v>
      </c>
      <c r="D4614" s="3">
        <v>20</v>
      </c>
      <c r="E4614" s="3">
        <v>19</v>
      </c>
      <c r="F4614" s="3">
        <v>23.5</v>
      </c>
      <c r="G4614" s="3">
        <v>3</v>
      </c>
      <c r="I4614" s="3">
        <f>E4614+G4614+H4614</f>
        <v>22</v>
      </c>
      <c r="J4614" s="3">
        <f>ROUND(MIN(IF(C4614="Técnico III",35,IF(C4614="Técnico II",28,IF(C4614="Técnico I",23,IF(C4614="JR",20,IF(C4614="Estágio",10,0))))),IF(C4614="Técnico III",SUMIFS($D:$D,$A:$A,$A4614,$B:$B,"&lt;&gt;Patrícia Karla de Sousa Araújo",$B:$B,"&lt;&gt;Lorena Dias de Araujo",$B:$B,"&lt;&gt;Lucas Luiz Romero")*(35/1083),IF(C4614="Técnico II",SUMIFS($D:$D,$A:$A,$A4614,$B:$B,"&lt;&gt;Patrícia Karla de Sousa Araújo",$B:$B,"&lt;&gt;Lorena Dias de Araujo",$B:$B,"&lt;&gt;Lucas Luiz Romero")*(28/1083),IF(C4614="Técnico I",SUMIFS($D:$D,$A:$A,$A4614,$B:$B,"&lt;&gt;Patrícia Karla de Sousa Araújo",$B:$B,"&lt;&gt;Lorena Dias de Araujo",$B:$B,"&lt;&gt;Lucas Luiz Romero")*(23/1083),IF(C4614="JR",SUMIFS($D:$D,$A:$A,$A4614,$B:$B,"&lt;&gt;Patrícia Karla de Sousa Araújo",$B:$B,"&lt;&gt;Lorena Dias de Araujo",$B:$B,"&lt;&gt;Lucas Luiz Romero")*(20/1083),IF(C4614="Estágio",SUMIFS($D:$D,$A:$A,$A4614,$B:$B,"&lt;&gt;Patrícia Karla de Sousa Araújo",$B:$B,"&lt;&gt;Lorena Dias de Araujo",$B:$B,"&lt;&gt;Lucas Luiz Romero")*(10/1083),0)))))),0)</f>
        <v>18</v>
      </c>
      <c r="K4614" s="3">
        <f>I4614-J4614</f>
        <v>4</v>
      </c>
      <c r="L4614" s="3" t="str">
        <f>IF(K4614&lt;-5,"CRÍTICO",IF(K4614&lt;0,"ATENÇÃO",IF(K4614&lt;=5,"OPORTUNO","MUITO BOM")))</f>
        <v>OPORTUNO</v>
      </c>
      <c r="M4614" s="3">
        <v>16</v>
      </c>
      <c r="N4614" s="3">
        <v>100</v>
      </c>
      <c r="O4614" s="3">
        <v>19.31818181818182</v>
      </c>
    </row>
    <row r="4615" spans="1:15" hidden="1" x14ac:dyDescent="0.25">
      <c r="A4615" s="11">
        <v>46169</v>
      </c>
      <c r="B4615" t="s">
        <v>46</v>
      </c>
      <c r="C4615" s="15" t="s">
        <v>32</v>
      </c>
      <c r="D4615" s="3">
        <v>22</v>
      </c>
      <c r="E4615" s="3">
        <v>21</v>
      </c>
      <c r="F4615" s="3">
        <v>24.18</v>
      </c>
      <c r="G4615" s="3">
        <v>0</v>
      </c>
      <c r="I4615" s="3">
        <f>E4615+G4615+H4615</f>
        <v>21</v>
      </c>
      <c r="J4615" s="3">
        <f>ROUND(MIN(IF(C4615="Técnico III",35,IF(C4615="Técnico II",28,IF(C4615="Técnico I",23,IF(C4615="JR",20,IF(C4615="Estágio",10,0))))),IF(C4615="Técnico III",SUMIFS($D:$D,$A:$A,$A4615,$B:$B,"&lt;&gt;Patrícia Karla de Sousa Araújo",$B:$B,"&lt;&gt;Lorena Dias de Araujo",$B:$B,"&lt;&gt;Lucas Luiz Romero")*(35/1083),IF(C4615="Técnico II",SUMIFS($D:$D,$A:$A,$A4615,$B:$B,"&lt;&gt;Patrícia Karla de Sousa Araújo",$B:$B,"&lt;&gt;Lorena Dias de Araujo",$B:$B,"&lt;&gt;Lucas Luiz Romero")*(28/1083),IF(C4615="Técnico I",SUMIFS($D:$D,$A:$A,$A4615,$B:$B,"&lt;&gt;Patrícia Karla de Sousa Araújo",$B:$B,"&lt;&gt;Lorena Dias de Araujo",$B:$B,"&lt;&gt;Lucas Luiz Romero")*(23/1083),IF(C4615="JR",SUMIFS($D:$D,$A:$A,$A4615,$B:$B,"&lt;&gt;Patrícia Karla de Sousa Araújo",$B:$B,"&lt;&gt;Lorena Dias de Araujo",$B:$B,"&lt;&gt;Lucas Luiz Romero")*(20/1083),IF(C4615="Estágio",SUMIFS($D:$D,$A:$A,$A4615,$B:$B,"&lt;&gt;Patrícia Karla de Sousa Araújo",$B:$B,"&lt;&gt;Lorena Dias de Araujo",$B:$B,"&lt;&gt;Lucas Luiz Romero")*(10/1083),0)))))),0)</f>
        <v>28</v>
      </c>
      <c r="K4615" s="3">
        <f>I4615-J4615</f>
        <v>-7</v>
      </c>
      <c r="L4615" s="3" t="str">
        <f>IF(K4615&lt;-5,"CRÍTICO",IF(K4615&lt;0,"ATENÇÃO",IF(K4615&lt;=5,"OPORTUNO","MUITO BOM")))</f>
        <v>CRÍTICO</v>
      </c>
      <c r="M4615" s="3">
        <v>17</v>
      </c>
      <c r="N4615" s="3">
        <v>97.17</v>
      </c>
      <c r="O4615" s="3">
        <v>20.984455958549219</v>
      </c>
    </row>
    <row r="4616" spans="1:15" hidden="1" x14ac:dyDescent="0.25">
      <c r="A4616" s="11">
        <v>46170</v>
      </c>
      <c r="B4616" t="s">
        <v>17</v>
      </c>
      <c r="C4616" t="s">
        <v>16</v>
      </c>
      <c r="D4616">
        <v>0</v>
      </c>
      <c r="E4616">
        <v>0</v>
      </c>
      <c r="F4616">
        <v>0</v>
      </c>
      <c r="G4616">
        <v>0</v>
      </c>
      <c r="H4616">
        <v>0</v>
      </c>
      <c r="I4616">
        <v>0</v>
      </c>
      <c r="J4616">
        <v>0</v>
      </c>
      <c r="K4616">
        <v>0</v>
      </c>
      <c r="L4616" s="12"/>
      <c r="M4616" s="12"/>
      <c r="N4616" s="12"/>
      <c r="O4616" s="12"/>
    </row>
    <row r="4617" spans="1:15" hidden="1" x14ac:dyDescent="0.25">
      <c r="A4617" s="11">
        <v>46170</v>
      </c>
      <c r="B4617" t="s">
        <v>18</v>
      </c>
      <c r="C4617" t="s">
        <v>16</v>
      </c>
      <c r="D4617">
        <v>0</v>
      </c>
      <c r="E4617">
        <v>0</v>
      </c>
      <c r="F4617">
        <v>0</v>
      </c>
      <c r="G4617">
        <v>0</v>
      </c>
      <c r="H4617">
        <v>0</v>
      </c>
      <c r="I4617">
        <v>0</v>
      </c>
      <c r="J4617">
        <v>0</v>
      </c>
      <c r="K4617">
        <v>0</v>
      </c>
      <c r="L4617" s="12"/>
      <c r="M4617" s="12"/>
      <c r="N4617" s="12"/>
      <c r="O4617" s="12"/>
    </row>
    <row r="4618" spans="1:15" hidden="1" x14ac:dyDescent="0.25">
      <c r="A4618" s="11">
        <v>46170</v>
      </c>
      <c r="B4618" t="s">
        <v>19</v>
      </c>
      <c r="C4618" t="s">
        <v>16</v>
      </c>
      <c r="D4618">
        <v>0</v>
      </c>
      <c r="E4618">
        <v>0</v>
      </c>
      <c r="F4618">
        <v>0</v>
      </c>
      <c r="G4618">
        <v>0</v>
      </c>
      <c r="H4618">
        <v>0</v>
      </c>
      <c r="I4618">
        <v>0</v>
      </c>
      <c r="J4618">
        <v>0</v>
      </c>
      <c r="K4618">
        <v>0</v>
      </c>
      <c r="L4618" s="12"/>
      <c r="M4618" s="12"/>
      <c r="N4618" s="12"/>
      <c r="O4618" s="12"/>
    </row>
    <row r="4619" spans="1:15" hidden="1" x14ac:dyDescent="0.25">
      <c r="A4619" s="11">
        <v>46170</v>
      </c>
      <c r="B4619" t="s">
        <v>20</v>
      </c>
      <c r="C4619" t="s">
        <v>16</v>
      </c>
      <c r="D4619">
        <v>0</v>
      </c>
      <c r="E4619">
        <v>0</v>
      </c>
      <c r="F4619">
        <v>0</v>
      </c>
      <c r="G4619">
        <v>0</v>
      </c>
      <c r="H4619">
        <v>0</v>
      </c>
      <c r="I4619">
        <v>0</v>
      </c>
      <c r="J4619">
        <v>0</v>
      </c>
      <c r="K4619">
        <v>0</v>
      </c>
      <c r="L4619" s="12"/>
      <c r="M4619" s="12"/>
      <c r="N4619" s="12"/>
      <c r="O4619" s="12"/>
    </row>
    <row r="4620" spans="1:15" hidden="1" x14ac:dyDescent="0.25">
      <c r="A4620" s="11">
        <v>46170</v>
      </c>
      <c r="B4620" t="s">
        <v>21</v>
      </c>
      <c r="C4620" t="s">
        <v>16</v>
      </c>
      <c r="D4620">
        <v>0</v>
      </c>
      <c r="E4620">
        <v>0</v>
      </c>
      <c r="F4620">
        <v>0</v>
      </c>
      <c r="G4620">
        <v>0</v>
      </c>
      <c r="H4620">
        <v>0</v>
      </c>
      <c r="I4620">
        <v>0</v>
      </c>
      <c r="J4620">
        <v>0</v>
      </c>
      <c r="K4620">
        <v>0</v>
      </c>
      <c r="L4620" s="12"/>
      <c r="M4620" s="12"/>
      <c r="N4620" s="12"/>
      <c r="O4620" s="12"/>
    </row>
    <row r="4621" spans="1:15" hidden="1" x14ac:dyDescent="0.25">
      <c r="A4621" s="11">
        <v>46170</v>
      </c>
      <c r="B4621" t="s">
        <v>24</v>
      </c>
      <c r="C4621" t="s">
        <v>16</v>
      </c>
      <c r="D4621">
        <v>0</v>
      </c>
      <c r="E4621">
        <v>0</v>
      </c>
      <c r="F4621">
        <v>0</v>
      </c>
      <c r="G4621">
        <v>0</v>
      </c>
      <c r="H4621">
        <v>0</v>
      </c>
      <c r="I4621">
        <v>0</v>
      </c>
      <c r="J4621">
        <v>0</v>
      </c>
      <c r="K4621">
        <v>0</v>
      </c>
      <c r="L4621" s="12"/>
      <c r="M4621" s="12"/>
      <c r="N4621" s="12"/>
      <c r="O4621" s="12"/>
    </row>
    <row r="4622" spans="1:15" hidden="1" x14ac:dyDescent="0.25">
      <c r="A4622" s="11">
        <v>46170</v>
      </c>
      <c r="B4622" t="s">
        <v>15</v>
      </c>
      <c r="C4622" t="s">
        <v>26</v>
      </c>
      <c r="D4622">
        <v>0</v>
      </c>
      <c r="E4622">
        <v>0</v>
      </c>
      <c r="F4622">
        <v>0</v>
      </c>
      <c r="G4622">
        <v>0</v>
      </c>
      <c r="H4622">
        <v>0</v>
      </c>
      <c r="I4622">
        <v>0</v>
      </c>
      <c r="J4622">
        <v>0</v>
      </c>
      <c r="K4622">
        <v>0</v>
      </c>
      <c r="L4622" s="12"/>
      <c r="M4622" s="12"/>
      <c r="N4622" s="12"/>
      <c r="O4622" s="12"/>
    </row>
    <row r="4623" spans="1:15" hidden="1" x14ac:dyDescent="0.25">
      <c r="A4623" s="11">
        <v>46170</v>
      </c>
      <c r="B4623" t="s">
        <v>25</v>
      </c>
      <c r="C4623" t="s">
        <v>26</v>
      </c>
      <c r="D4623">
        <v>0</v>
      </c>
      <c r="E4623">
        <v>0</v>
      </c>
      <c r="F4623">
        <v>0</v>
      </c>
      <c r="G4623">
        <v>0</v>
      </c>
      <c r="H4623">
        <v>0</v>
      </c>
      <c r="I4623">
        <v>0</v>
      </c>
      <c r="J4623">
        <v>0</v>
      </c>
      <c r="K4623">
        <v>0</v>
      </c>
      <c r="L4623" s="12"/>
      <c r="M4623" s="12"/>
      <c r="N4623" s="12"/>
      <c r="O4623" s="12"/>
    </row>
    <row r="4624" spans="1:15" hidden="1" x14ac:dyDescent="0.25">
      <c r="A4624" s="11">
        <v>46170</v>
      </c>
      <c r="B4624" t="s">
        <v>27</v>
      </c>
      <c r="C4624" t="s">
        <v>26</v>
      </c>
      <c r="D4624">
        <v>0</v>
      </c>
      <c r="E4624">
        <v>0</v>
      </c>
      <c r="F4624">
        <v>0</v>
      </c>
      <c r="G4624">
        <v>0</v>
      </c>
      <c r="H4624">
        <v>0</v>
      </c>
      <c r="I4624">
        <v>0</v>
      </c>
      <c r="J4624">
        <v>0</v>
      </c>
      <c r="K4624">
        <v>0</v>
      </c>
      <c r="L4624" s="12"/>
      <c r="M4624" s="12"/>
      <c r="N4624" s="12"/>
      <c r="O4624" s="12"/>
    </row>
    <row r="4625" spans="1:15" hidden="1" x14ac:dyDescent="0.25">
      <c r="A4625" s="11">
        <v>46170</v>
      </c>
      <c r="B4625" t="s">
        <v>28</v>
      </c>
      <c r="C4625" t="s">
        <v>26</v>
      </c>
      <c r="D4625">
        <v>0</v>
      </c>
      <c r="E4625">
        <v>0</v>
      </c>
      <c r="F4625">
        <v>0</v>
      </c>
      <c r="G4625">
        <v>0</v>
      </c>
      <c r="H4625">
        <v>0</v>
      </c>
      <c r="I4625">
        <v>0</v>
      </c>
      <c r="J4625">
        <v>0</v>
      </c>
      <c r="K4625">
        <v>0</v>
      </c>
      <c r="L4625" s="12"/>
      <c r="M4625" s="12"/>
      <c r="N4625" s="12"/>
      <c r="O4625" s="12"/>
    </row>
    <row r="4626" spans="1:15" hidden="1" x14ac:dyDescent="0.25">
      <c r="A4626" s="11">
        <v>46170</v>
      </c>
      <c r="B4626" t="s">
        <v>29</v>
      </c>
      <c r="C4626" t="s">
        <v>26</v>
      </c>
      <c r="D4626">
        <v>0</v>
      </c>
      <c r="E4626">
        <v>0</v>
      </c>
      <c r="F4626">
        <v>0</v>
      </c>
      <c r="G4626">
        <v>0</v>
      </c>
      <c r="H4626">
        <v>0</v>
      </c>
      <c r="I4626">
        <v>0</v>
      </c>
      <c r="J4626">
        <v>0</v>
      </c>
      <c r="K4626">
        <v>0</v>
      </c>
      <c r="L4626" s="12"/>
      <c r="M4626" s="12"/>
      <c r="N4626" s="12"/>
      <c r="O4626" s="12"/>
    </row>
    <row r="4627" spans="1:15" hidden="1" x14ac:dyDescent="0.25">
      <c r="A4627" s="11">
        <v>46170</v>
      </c>
      <c r="B4627" t="s">
        <v>30</v>
      </c>
      <c r="C4627" t="s">
        <v>26</v>
      </c>
      <c r="D4627">
        <v>0</v>
      </c>
      <c r="E4627">
        <v>0</v>
      </c>
      <c r="F4627">
        <v>0</v>
      </c>
      <c r="G4627">
        <v>0</v>
      </c>
      <c r="H4627">
        <v>0</v>
      </c>
      <c r="I4627">
        <v>0</v>
      </c>
      <c r="J4627">
        <v>0</v>
      </c>
      <c r="K4627">
        <v>0</v>
      </c>
      <c r="L4627" s="12"/>
      <c r="M4627" s="12"/>
      <c r="N4627" s="12"/>
      <c r="O4627" s="12"/>
    </row>
    <row r="4628" spans="1:15" hidden="1" x14ac:dyDescent="0.25">
      <c r="A4628" s="11">
        <v>46170</v>
      </c>
      <c r="B4628" t="s">
        <v>47</v>
      </c>
      <c r="C4628" t="s">
        <v>48</v>
      </c>
      <c r="D4628">
        <v>0</v>
      </c>
      <c r="E4628">
        <v>0</v>
      </c>
      <c r="F4628">
        <v>0</v>
      </c>
      <c r="G4628">
        <v>0</v>
      </c>
      <c r="H4628">
        <v>0</v>
      </c>
      <c r="I4628">
        <v>0</v>
      </c>
      <c r="J4628">
        <v>0</v>
      </c>
      <c r="K4628">
        <v>0</v>
      </c>
      <c r="L4628" s="12"/>
      <c r="M4628" s="12"/>
      <c r="N4628" s="12"/>
      <c r="O4628" s="12"/>
    </row>
    <row r="4629" spans="1:15" hidden="1" x14ac:dyDescent="0.25">
      <c r="A4629" s="11">
        <v>46170</v>
      </c>
      <c r="B4629" t="s">
        <v>31</v>
      </c>
      <c r="C4629" t="s">
        <v>32</v>
      </c>
      <c r="D4629">
        <v>0</v>
      </c>
      <c r="E4629">
        <v>0</v>
      </c>
      <c r="F4629">
        <v>0</v>
      </c>
      <c r="G4629">
        <v>0</v>
      </c>
      <c r="H4629">
        <v>0</v>
      </c>
      <c r="I4629">
        <v>0</v>
      </c>
      <c r="J4629">
        <v>0</v>
      </c>
      <c r="K4629">
        <v>0</v>
      </c>
      <c r="L4629" s="12"/>
      <c r="M4629" s="12"/>
      <c r="N4629" s="12"/>
      <c r="O4629" s="12"/>
    </row>
    <row r="4630" spans="1:15" hidden="1" x14ac:dyDescent="0.25">
      <c r="A4630" s="11">
        <v>46170</v>
      </c>
      <c r="B4630" t="s">
        <v>59</v>
      </c>
      <c r="C4630" t="s">
        <v>23</v>
      </c>
      <c r="D4630">
        <v>0</v>
      </c>
      <c r="E4630">
        <v>0</v>
      </c>
      <c r="F4630">
        <v>0</v>
      </c>
      <c r="G4630">
        <v>0</v>
      </c>
      <c r="H4630">
        <v>0</v>
      </c>
      <c r="I4630">
        <v>0</v>
      </c>
      <c r="J4630">
        <v>0</v>
      </c>
      <c r="K4630">
        <v>0</v>
      </c>
      <c r="L4630" s="12"/>
      <c r="M4630" s="12"/>
      <c r="N4630" s="12"/>
      <c r="O4630" s="12"/>
    </row>
    <row r="4631" spans="1:15" hidden="1" x14ac:dyDescent="0.25">
      <c r="A4631" s="11">
        <v>46170</v>
      </c>
      <c r="B4631" t="s">
        <v>33</v>
      </c>
      <c r="C4631" t="s">
        <v>32</v>
      </c>
      <c r="D4631">
        <v>0</v>
      </c>
      <c r="E4631">
        <v>0</v>
      </c>
      <c r="F4631">
        <v>0</v>
      </c>
      <c r="G4631">
        <v>0</v>
      </c>
      <c r="H4631">
        <v>0</v>
      </c>
      <c r="I4631">
        <v>0</v>
      </c>
      <c r="J4631">
        <v>0</v>
      </c>
      <c r="K4631">
        <v>0</v>
      </c>
      <c r="L4631" s="12"/>
      <c r="M4631" s="12"/>
      <c r="N4631" s="12"/>
      <c r="O4631" s="12"/>
    </row>
    <row r="4632" spans="1:15" hidden="1" x14ac:dyDescent="0.25">
      <c r="A4632" s="11">
        <v>46170</v>
      </c>
      <c r="B4632" t="s">
        <v>49</v>
      </c>
      <c r="C4632" t="s">
        <v>48</v>
      </c>
      <c r="D4632">
        <v>0</v>
      </c>
      <c r="E4632">
        <v>0</v>
      </c>
      <c r="F4632">
        <v>0</v>
      </c>
      <c r="G4632">
        <v>0</v>
      </c>
      <c r="H4632">
        <v>0</v>
      </c>
      <c r="I4632">
        <v>0</v>
      </c>
      <c r="J4632">
        <v>0</v>
      </c>
      <c r="K4632">
        <v>0</v>
      </c>
      <c r="L4632" s="12"/>
      <c r="M4632" s="12"/>
      <c r="N4632" s="12"/>
      <c r="O4632" s="12"/>
    </row>
    <row r="4633" spans="1:15" hidden="1" x14ac:dyDescent="0.25">
      <c r="A4633" s="11">
        <v>46170</v>
      </c>
      <c r="B4633" t="s">
        <v>50</v>
      </c>
      <c r="C4633" t="s">
        <v>48</v>
      </c>
      <c r="D4633">
        <v>0</v>
      </c>
      <c r="E4633">
        <v>0</v>
      </c>
      <c r="F4633">
        <v>0</v>
      </c>
      <c r="G4633">
        <v>0</v>
      </c>
      <c r="H4633">
        <v>0</v>
      </c>
      <c r="I4633">
        <v>0</v>
      </c>
      <c r="J4633">
        <v>0</v>
      </c>
      <c r="K4633">
        <v>0</v>
      </c>
      <c r="L4633" s="12"/>
      <c r="M4633" s="12"/>
      <c r="N4633" s="12"/>
      <c r="O4633" s="12"/>
    </row>
    <row r="4634" spans="1:15" hidden="1" x14ac:dyDescent="0.25">
      <c r="A4634" s="11">
        <v>46170</v>
      </c>
      <c r="B4634" t="s">
        <v>60</v>
      </c>
      <c r="C4634" t="s">
        <v>23</v>
      </c>
      <c r="D4634">
        <v>0</v>
      </c>
      <c r="E4634">
        <v>0</v>
      </c>
      <c r="F4634">
        <v>0</v>
      </c>
      <c r="G4634">
        <v>0</v>
      </c>
      <c r="H4634">
        <v>0</v>
      </c>
      <c r="I4634">
        <v>0</v>
      </c>
      <c r="J4634">
        <v>0</v>
      </c>
      <c r="K4634">
        <v>0</v>
      </c>
      <c r="L4634" s="12"/>
      <c r="M4634" s="12"/>
      <c r="N4634" s="12"/>
      <c r="O4634" s="12"/>
    </row>
    <row r="4635" spans="1:15" hidden="1" x14ac:dyDescent="0.25">
      <c r="A4635" s="11">
        <v>46170</v>
      </c>
      <c r="B4635" t="s">
        <v>34</v>
      </c>
      <c r="C4635" t="s">
        <v>32</v>
      </c>
      <c r="D4635">
        <v>0</v>
      </c>
      <c r="E4635">
        <v>0</v>
      </c>
      <c r="F4635">
        <v>0</v>
      </c>
      <c r="G4635">
        <v>0</v>
      </c>
      <c r="H4635">
        <v>0</v>
      </c>
      <c r="I4635">
        <v>0</v>
      </c>
      <c r="J4635">
        <v>0</v>
      </c>
      <c r="K4635">
        <v>0</v>
      </c>
      <c r="L4635" s="12"/>
      <c r="M4635" s="12"/>
      <c r="N4635" s="12"/>
      <c r="O4635" s="12"/>
    </row>
    <row r="4636" spans="1:15" hidden="1" x14ac:dyDescent="0.25">
      <c r="A4636" s="11">
        <v>46170</v>
      </c>
      <c r="B4636" t="s">
        <v>51</v>
      </c>
      <c r="C4636" t="s">
        <v>48</v>
      </c>
      <c r="D4636">
        <v>0</v>
      </c>
      <c r="E4636">
        <v>0</v>
      </c>
      <c r="F4636">
        <v>0</v>
      </c>
      <c r="G4636">
        <v>0</v>
      </c>
      <c r="H4636">
        <v>0</v>
      </c>
      <c r="I4636">
        <v>0</v>
      </c>
      <c r="J4636">
        <v>0</v>
      </c>
      <c r="K4636">
        <v>0</v>
      </c>
      <c r="L4636" s="12"/>
      <c r="M4636" s="12"/>
      <c r="N4636" s="12"/>
      <c r="O4636" s="12"/>
    </row>
    <row r="4637" spans="1:15" hidden="1" x14ac:dyDescent="0.25">
      <c r="A4637" s="11">
        <v>46170</v>
      </c>
      <c r="B4637" t="s">
        <v>61</v>
      </c>
      <c r="C4637" t="s">
        <v>23</v>
      </c>
      <c r="D4637">
        <v>0</v>
      </c>
      <c r="E4637">
        <v>0</v>
      </c>
      <c r="F4637">
        <v>0</v>
      </c>
      <c r="G4637">
        <v>0</v>
      </c>
      <c r="H4637">
        <v>0</v>
      </c>
      <c r="I4637">
        <v>0</v>
      </c>
      <c r="J4637">
        <v>0</v>
      </c>
      <c r="K4637">
        <v>0</v>
      </c>
      <c r="L4637" s="12"/>
      <c r="M4637" s="12"/>
      <c r="N4637" s="12"/>
      <c r="O4637" s="12"/>
    </row>
    <row r="4638" spans="1:15" hidden="1" x14ac:dyDescent="0.25">
      <c r="A4638" s="11">
        <v>46170</v>
      </c>
      <c r="B4638" t="s">
        <v>35</v>
      </c>
      <c r="C4638" t="s">
        <v>32</v>
      </c>
      <c r="D4638">
        <v>0</v>
      </c>
      <c r="E4638">
        <v>0</v>
      </c>
      <c r="F4638">
        <v>0</v>
      </c>
      <c r="G4638">
        <v>0</v>
      </c>
      <c r="H4638">
        <v>0</v>
      </c>
      <c r="I4638">
        <v>0</v>
      </c>
      <c r="J4638">
        <v>0</v>
      </c>
      <c r="K4638">
        <v>0</v>
      </c>
      <c r="L4638" s="12"/>
      <c r="M4638" s="12"/>
      <c r="N4638" s="12"/>
      <c r="O4638" s="12"/>
    </row>
    <row r="4639" spans="1:15" hidden="1" x14ac:dyDescent="0.25">
      <c r="A4639" s="11">
        <v>46170</v>
      </c>
      <c r="B4639" t="s">
        <v>52</v>
      </c>
      <c r="C4639" t="s">
        <v>48</v>
      </c>
      <c r="D4639">
        <v>0</v>
      </c>
      <c r="E4639">
        <v>0</v>
      </c>
      <c r="F4639">
        <v>0</v>
      </c>
      <c r="G4639">
        <v>0</v>
      </c>
      <c r="H4639">
        <v>0</v>
      </c>
      <c r="I4639">
        <v>0</v>
      </c>
      <c r="J4639">
        <v>0</v>
      </c>
      <c r="K4639">
        <v>0</v>
      </c>
      <c r="L4639" s="12"/>
      <c r="M4639" s="12"/>
      <c r="N4639" s="12"/>
      <c r="O4639" s="12"/>
    </row>
    <row r="4640" spans="1:15" hidden="1" x14ac:dyDescent="0.25">
      <c r="A4640" s="11">
        <v>46170</v>
      </c>
      <c r="B4640" t="s">
        <v>36</v>
      </c>
      <c r="C4640" t="s">
        <v>32</v>
      </c>
      <c r="D4640">
        <v>0</v>
      </c>
      <c r="E4640">
        <v>0</v>
      </c>
      <c r="F4640">
        <v>0</v>
      </c>
      <c r="G4640">
        <v>0</v>
      </c>
      <c r="H4640">
        <v>0</v>
      </c>
      <c r="I4640">
        <v>0</v>
      </c>
      <c r="J4640">
        <v>0</v>
      </c>
      <c r="K4640">
        <v>0</v>
      </c>
      <c r="L4640" s="12"/>
      <c r="M4640" s="12"/>
      <c r="N4640" s="12"/>
      <c r="O4640" s="12"/>
    </row>
    <row r="4641" spans="1:15" hidden="1" x14ac:dyDescent="0.25">
      <c r="A4641" s="11">
        <v>46170</v>
      </c>
      <c r="B4641" t="s">
        <v>53</v>
      </c>
      <c r="C4641" t="s">
        <v>48</v>
      </c>
      <c r="D4641">
        <v>0</v>
      </c>
      <c r="E4641">
        <v>0</v>
      </c>
      <c r="F4641">
        <v>0</v>
      </c>
      <c r="G4641">
        <v>0</v>
      </c>
      <c r="H4641">
        <v>0</v>
      </c>
      <c r="I4641">
        <v>0</v>
      </c>
      <c r="J4641">
        <v>0</v>
      </c>
      <c r="K4641">
        <v>0</v>
      </c>
      <c r="L4641" s="12"/>
      <c r="M4641" s="12"/>
      <c r="N4641" s="12"/>
      <c r="O4641" s="12"/>
    </row>
    <row r="4642" spans="1:15" hidden="1" x14ac:dyDescent="0.25">
      <c r="A4642" s="11">
        <v>46170</v>
      </c>
      <c r="B4642" t="s">
        <v>22</v>
      </c>
      <c r="C4642" t="s">
        <v>23</v>
      </c>
      <c r="D4642">
        <v>0</v>
      </c>
      <c r="E4642">
        <v>0</v>
      </c>
      <c r="F4642">
        <v>0</v>
      </c>
      <c r="G4642">
        <v>0</v>
      </c>
      <c r="H4642">
        <v>0</v>
      </c>
      <c r="I4642">
        <v>0</v>
      </c>
      <c r="J4642">
        <v>0</v>
      </c>
      <c r="K4642">
        <v>0</v>
      </c>
      <c r="L4642" s="12"/>
      <c r="M4642" s="12"/>
      <c r="N4642" s="12"/>
      <c r="O4642" s="12"/>
    </row>
    <row r="4643" spans="1:15" hidden="1" x14ac:dyDescent="0.25">
      <c r="A4643" s="11">
        <v>46170</v>
      </c>
      <c r="B4643" t="s">
        <v>54</v>
      </c>
      <c r="C4643" t="s">
        <v>48</v>
      </c>
      <c r="D4643">
        <v>0</v>
      </c>
      <c r="E4643">
        <v>0</v>
      </c>
      <c r="F4643">
        <v>0</v>
      </c>
      <c r="G4643">
        <v>0</v>
      </c>
      <c r="H4643">
        <v>0</v>
      </c>
      <c r="I4643">
        <v>0</v>
      </c>
      <c r="J4643">
        <v>0</v>
      </c>
      <c r="K4643">
        <v>0</v>
      </c>
      <c r="L4643" s="12"/>
      <c r="M4643" s="12"/>
      <c r="N4643" s="12"/>
      <c r="O4643" s="12"/>
    </row>
    <row r="4644" spans="1:15" hidden="1" x14ac:dyDescent="0.25">
      <c r="A4644" s="11">
        <v>46170</v>
      </c>
      <c r="B4644" t="s">
        <v>37</v>
      </c>
      <c r="C4644" t="s">
        <v>32</v>
      </c>
      <c r="D4644">
        <v>0</v>
      </c>
      <c r="E4644">
        <v>0</v>
      </c>
      <c r="F4644">
        <v>0</v>
      </c>
      <c r="G4644">
        <v>0</v>
      </c>
      <c r="H4644">
        <v>0</v>
      </c>
      <c r="I4644">
        <v>0</v>
      </c>
      <c r="J4644">
        <v>0</v>
      </c>
      <c r="K4644">
        <v>0</v>
      </c>
      <c r="L4644" s="12"/>
      <c r="M4644" s="12"/>
      <c r="N4644" s="12"/>
      <c r="O4644" s="12"/>
    </row>
    <row r="4645" spans="1:15" hidden="1" x14ac:dyDescent="0.25">
      <c r="A4645" s="11">
        <v>46170</v>
      </c>
      <c r="B4645" t="s">
        <v>38</v>
      </c>
      <c r="C4645" t="s">
        <v>32</v>
      </c>
      <c r="D4645">
        <v>0</v>
      </c>
      <c r="E4645">
        <v>0</v>
      </c>
      <c r="F4645">
        <v>0</v>
      </c>
      <c r="G4645">
        <v>0</v>
      </c>
      <c r="H4645">
        <v>0</v>
      </c>
      <c r="I4645">
        <v>0</v>
      </c>
      <c r="J4645">
        <v>0</v>
      </c>
      <c r="K4645">
        <v>0</v>
      </c>
      <c r="L4645" s="12"/>
      <c r="M4645" s="12"/>
      <c r="N4645" s="12"/>
      <c r="O4645" s="12"/>
    </row>
    <row r="4646" spans="1:15" hidden="1" x14ac:dyDescent="0.25">
      <c r="A4646" s="11">
        <v>46170</v>
      </c>
      <c r="B4646" t="s">
        <v>55</v>
      </c>
      <c r="C4646" t="s">
        <v>48</v>
      </c>
      <c r="D4646">
        <v>0</v>
      </c>
      <c r="E4646">
        <v>0</v>
      </c>
      <c r="F4646">
        <v>0</v>
      </c>
      <c r="G4646">
        <v>0</v>
      </c>
      <c r="H4646">
        <v>0</v>
      </c>
      <c r="I4646">
        <v>0</v>
      </c>
      <c r="J4646">
        <v>0</v>
      </c>
      <c r="K4646">
        <v>0</v>
      </c>
      <c r="L4646" s="12"/>
      <c r="M4646" s="12"/>
      <c r="N4646" s="12"/>
      <c r="O4646" s="12"/>
    </row>
    <row r="4647" spans="1:15" hidden="1" x14ac:dyDescent="0.25">
      <c r="A4647" s="11">
        <v>46170</v>
      </c>
      <c r="B4647" t="s">
        <v>39</v>
      </c>
      <c r="C4647" t="s">
        <v>32</v>
      </c>
      <c r="D4647">
        <v>0</v>
      </c>
      <c r="E4647">
        <v>0</v>
      </c>
      <c r="F4647">
        <v>0</v>
      </c>
      <c r="G4647">
        <v>0</v>
      </c>
      <c r="H4647">
        <v>0</v>
      </c>
      <c r="I4647">
        <v>0</v>
      </c>
      <c r="J4647">
        <v>0</v>
      </c>
      <c r="K4647">
        <v>0</v>
      </c>
      <c r="L4647" s="12"/>
      <c r="M4647" s="12"/>
      <c r="N4647" s="12"/>
      <c r="O4647" s="12"/>
    </row>
    <row r="4648" spans="1:15" hidden="1" x14ac:dyDescent="0.25">
      <c r="A4648" s="11">
        <v>46170</v>
      </c>
      <c r="B4648" t="s">
        <v>40</v>
      </c>
      <c r="C4648" t="s">
        <v>32</v>
      </c>
      <c r="D4648">
        <v>0</v>
      </c>
      <c r="E4648">
        <v>0</v>
      </c>
      <c r="F4648">
        <v>0</v>
      </c>
      <c r="G4648">
        <v>0</v>
      </c>
      <c r="H4648">
        <v>0</v>
      </c>
      <c r="I4648">
        <v>0</v>
      </c>
      <c r="J4648">
        <v>0</v>
      </c>
      <c r="K4648">
        <v>0</v>
      </c>
      <c r="L4648" s="12"/>
      <c r="M4648" s="12"/>
      <c r="N4648" s="12"/>
      <c r="O4648" s="12"/>
    </row>
    <row r="4649" spans="1:15" hidden="1" x14ac:dyDescent="0.25">
      <c r="A4649" s="11">
        <v>46170</v>
      </c>
      <c r="B4649" t="s">
        <v>41</v>
      </c>
      <c r="C4649" t="s">
        <v>32</v>
      </c>
      <c r="D4649">
        <v>0</v>
      </c>
      <c r="E4649">
        <v>0</v>
      </c>
      <c r="F4649">
        <v>0</v>
      </c>
      <c r="G4649">
        <v>0</v>
      </c>
      <c r="H4649">
        <v>0</v>
      </c>
      <c r="I4649">
        <v>0</v>
      </c>
      <c r="J4649">
        <v>0</v>
      </c>
      <c r="K4649">
        <v>0</v>
      </c>
      <c r="L4649" s="12"/>
      <c r="M4649" s="12"/>
      <c r="N4649" s="12"/>
      <c r="O4649" s="12"/>
    </row>
    <row r="4650" spans="1:15" hidden="1" x14ac:dyDescent="0.25">
      <c r="A4650" s="11">
        <v>46170</v>
      </c>
      <c r="B4650" t="s">
        <v>56</v>
      </c>
      <c r="C4650" t="s">
        <v>48</v>
      </c>
      <c r="D4650">
        <v>0</v>
      </c>
      <c r="E4650">
        <v>0</v>
      </c>
      <c r="F4650">
        <v>0</v>
      </c>
      <c r="G4650">
        <v>0</v>
      </c>
      <c r="H4650">
        <v>0</v>
      </c>
      <c r="I4650">
        <v>0</v>
      </c>
      <c r="J4650">
        <v>0</v>
      </c>
      <c r="K4650">
        <v>0</v>
      </c>
      <c r="L4650" s="12"/>
      <c r="M4650" s="12"/>
      <c r="N4650" s="12"/>
      <c r="O4650" s="12"/>
    </row>
    <row r="4651" spans="1:15" hidden="1" x14ac:dyDescent="0.25">
      <c r="A4651" s="11">
        <v>46170</v>
      </c>
      <c r="B4651" t="s">
        <v>57</v>
      </c>
      <c r="C4651" t="s">
        <v>48</v>
      </c>
      <c r="D4651">
        <v>0</v>
      </c>
      <c r="E4651">
        <v>0</v>
      </c>
      <c r="F4651">
        <v>0</v>
      </c>
      <c r="G4651">
        <v>0</v>
      </c>
      <c r="H4651">
        <v>0</v>
      </c>
      <c r="I4651">
        <v>0</v>
      </c>
      <c r="J4651">
        <v>0</v>
      </c>
      <c r="K4651">
        <v>0</v>
      </c>
      <c r="L4651" s="12"/>
      <c r="M4651" s="12"/>
      <c r="N4651" s="12"/>
      <c r="O4651" s="12"/>
    </row>
    <row r="4652" spans="1:15" hidden="1" x14ac:dyDescent="0.25">
      <c r="A4652" s="11">
        <v>46170</v>
      </c>
      <c r="B4652" t="s">
        <v>42</v>
      </c>
      <c r="C4652" t="s">
        <v>32</v>
      </c>
      <c r="D4652">
        <v>0</v>
      </c>
      <c r="E4652">
        <v>0</v>
      </c>
      <c r="F4652">
        <v>0</v>
      </c>
      <c r="G4652">
        <v>0</v>
      </c>
      <c r="H4652">
        <v>0</v>
      </c>
      <c r="I4652">
        <v>0</v>
      </c>
      <c r="J4652">
        <v>0</v>
      </c>
      <c r="K4652">
        <v>0</v>
      </c>
      <c r="L4652" s="12"/>
      <c r="M4652" s="12"/>
      <c r="N4652" s="12"/>
      <c r="O4652" s="12"/>
    </row>
    <row r="4653" spans="1:15" hidden="1" x14ac:dyDescent="0.25">
      <c r="A4653" s="11">
        <v>46170</v>
      </c>
      <c r="B4653" t="s">
        <v>62</v>
      </c>
      <c r="C4653" t="s">
        <v>23</v>
      </c>
      <c r="D4653">
        <v>0</v>
      </c>
      <c r="E4653">
        <v>0</v>
      </c>
      <c r="F4653">
        <v>0</v>
      </c>
      <c r="G4653">
        <v>0</v>
      </c>
      <c r="H4653">
        <v>0</v>
      </c>
      <c r="I4653">
        <v>0</v>
      </c>
      <c r="J4653">
        <v>0</v>
      </c>
      <c r="K4653">
        <v>0</v>
      </c>
      <c r="L4653" s="12"/>
      <c r="M4653" s="12"/>
      <c r="N4653" s="12"/>
      <c r="O4653" s="12"/>
    </row>
    <row r="4654" spans="1:15" hidden="1" x14ac:dyDescent="0.25">
      <c r="A4654" s="11">
        <v>46170</v>
      </c>
      <c r="B4654" t="s">
        <v>43</v>
      </c>
      <c r="C4654" t="s">
        <v>32</v>
      </c>
      <c r="D4654">
        <v>0</v>
      </c>
      <c r="E4654">
        <v>0</v>
      </c>
      <c r="F4654">
        <v>0</v>
      </c>
      <c r="G4654">
        <v>0</v>
      </c>
      <c r="H4654">
        <v>0</v>
      </c>
      <c r="I4654">
        <v>0</v>
      </c>
      <c r="J4654">
        <v>0</v>
      </c>
      <c r="K4654">
        <v>0</v>
      </c>
      <c r="L4654" s="12"/>
      <c r="M4654" s="12"/>
      <c r="N4654" s="12"/>
      <c r="O4654" s="12"/>
    </row>
    <row r="4655" spans="1:15" hidden="1" x14ac:dyDescent="0.25">
      <c r="A4655" s="11">
        <v>46170</v>
      </c>
      <c r="B4655" t="s">
        <v>44</v>
      </c>
      <c r="C4655" t="s">
        <v>32</v>
      </c>
      <c r="D4655">
        <v>0</v>
      </c>
      <c r="E4655">
        <v>0</v>
      </c>
      <c r="F4655">
        <v>0</v>
      </c>
      <c r="G4655">
        <v>0</v>
      </c>
      <c r="H4655">
        <v>0</v>
      </c>
      <c r="I4655">
        <v>0</v>
      </c>
      <c r="J4655">
        <v>0</v>
      </c>
      <c r="K4655">
        <v>0</v>
      </c>
      <c r="L4655" s="12"/>
      <c r="M4655" s="12"/>
      <c r="N4655" s="12"/>
      <c r="O4655" s="12"/>
    </row>
    <row r="4656" spans="1:15" hidden="1" x14ac:dyDescent="0.25">
      <c r="A4656" s="11">
        <v>46170</v>
      </c>
      <c r="B4656" t="s">
        <v>58</v>
      </c>
      <c r="C4656" t="s">
        <v>48</v>
      </c>
      <c r="D4656">
        <v>0</v>
      </c>
      <c r="E4656">
        <v>0</v>
      </c>
      <c r="F4656">
        <v>0</v>
      </c>
      <c r="G4656">
        <v>0</v>
      </c>
      <c r="H4656">
        <v>0</v>
      </c>
      <c r="I4656">
        <v>0</v>
      </c>
      <c r="J4656">
        <v>0</v>
      </c>
      <c r="K4656">
        <v>0</v>
      </c>
      <c r="L4656" s="12"/>
      <c r="M4656" s="12"/>
      <c r="N4656" s="12"/>
      <c r="O4656" s="12"/>
    </row>
    <row r="4657" spans="1:15" hidden="1" x14ac:dyDescent="0.25">
      <c r="A4657" s="11">
        <v>46170</v>
      </c>
      <c r="B4657" t="s">
        <v>63</v>
      </c>
      <c r="C4657" t="s">
        <v>23</v>
      </c>
      <c r="D4657">
        <v>0</v>
      </c>
      <c r="E4657">
        <v>0</v>
      </c>
      <c r="F4657">
        <v>0</v>
      </c>
      <c r="G4657">
        <v>0</v>
      </c>
      <c r="H4657">
        <v>0</v>
      </c>
      <c r="I4657">
        <v>0</v>
      </c>
      <c r="J4657">
        <v>0</v>
      </c>
      <c r="K4657">
        <v>0</v>
      </c>
      <c r="L4657" s="12"/>
      <c r="M4657" s="12"/>
      <c r="N4657" s="12"/>
      <c r="O4657" s="12"/>
    </row>
    <row r="4658" spans="1:15" hidden="1" x14ac:dyDescent="0.25">
      <c r="A4658" s="11">
        <v>46170</v>
      </c>
      <c r="B4658" t="s">
        <v>45</v>
      </c>
      <c r="C4658" t="s">
        <v>32</v>
      </c>
      <c r="D4658">
        <v>0</v>
      </c>
      <c r="E4658">
        <v>0</v>
      </c>
      <c r="F4658">
        <v>0</v>
      </c>
      <c r="G4658">
        <v>0</v>
      </c>
      <c r="H4658">
        <v>0</v>
      </c>
      <c r="I4658">
        <v>0</v>
      </c>
      <c r="J4658">
        <v>0</v>
      </c>
      <c r="K4658">
        <v>0</v>
      </c>
      <c r="L4658" s="12"/>
      <c r="M4658" s="12"/>
      <c r="N4658" s="12"/>
      <c r="O4658" s="12"/>
    </row>
    <row r="4659" spans="1:15" hidden="1" x14ac:dyDescent="0.25">
      <c r="A4659" s="11">
        <v>46170</v>
      </c>
      <c r="B4659" t="s">
        <v>64</v>
      </c>
      <c r="C4659" t="s">
        <v>23</v>
      </c>
      <c r="D4659">
        <v>0</v>
      </c>
      <c r="E4659">
        <v>0</v>
      </c>
      <c r="F4659">
        <v>0</v>
      </c>
      <c r="G4659">
        <v>0</v>
      </c>
      <c r="H4659">
        <v>0</v>
      </c>
      <c r="I4659">
        <v>0</v>
      </c>
      <c r="J4659">
        <v>0</v>
      </c>
      <c r="K4659">
        <v>0</v>
      </c>
      <c r="L4659" s="12"/>
      <c r="M4659" s="12"/>
      <c r="N4659" s="12"/>
      <c r="O4659" s="12"/>
    </row>
    <row r="4660" spans="1:15" hidden="1" x14ac:dyDescent="0.25">
      <c r="A4660" s="11">
        <v>46170</v>
      </c>
      <c r="B4660" t="s">
        <v>46</v>
      </c>
      <c r="C4660" t="s">
        <v>32</v>
      </c>
      <c r="D4660">
        <v>0</v>
      </c>
      <c r="E4660">
        <v>0</v>
      </c>
      <c r="F4660">
        <v>0</v>
      </c>
      <c r="G4660">
        <v>0</v>
      </c>
      <c r="H4660">
        <v>0</v>
      </c>
      <c r="I4660">
        <v>0</v>
      </c>
      <c r="J4660">
        <v>0</v>
      </c>
      <c r="K4660">
        <v>0</v>
      </c>
      <c r="L4660" s="12"/>
      <c r="M4660" s="12"/>
      <c r="N4660" s="12"/>
      <c r="O4660" s="12"/>
    </row>
  </sheetData>
  <autoFilter ref="A1:O4660" xr:uid="{00000000-0009-0000-0000-000000000000}">
    <filterColumn colId="0">
      <filters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5" dateTimeGrouping="day"/>
        <dateGroupItem year="2026" month="5" day="26" dateTimeGrouping="day"/>
        <dateGroupItem year="2026" month="5" day="27" dateTimeGrouping="day"/>
      </filters>
    </filterColumn>
    <filterColumn colId="1">
      <filters>
        <filter val="Matheus Farias De Souza"/>
      </filters>
    </filterColumn>
    <filterColumn colId="2">
      <filters>
        <filter val="Técnico I"/>
        <filter val="Técnico II"/>
        <filter val="Técnico III"/>
      </filters>
    </filterColumn>
    <sortState xmlns:xlrd2="http://schemas.microsoft.com/office/spreadsheetml/2017/richdata2" ref="A237:O4615">
      <sortCondition ref="A1:A4660"/>
    </sortState>
  </autoFilter>
  <pageMargins left="0.511811024" right="0.511811024" top="0.78740157499999996" bottom="0.78740157499999996" header="0.31496062000000002" footer="0.31496062000000002"/>
  <pageSetup paperSize="9" orientation="portrait" horizontalDpi="10" verticalDpi="15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48"/>
  <sheetViews>
    <sheetView workbookViewId="0"/>
  </sheetViews>
  <sheetFormatPr defaultRowHeight="15" x14ac:dyDescent="0.25"/>
  <sheetData>
    <row r="1" spans="1:4" x14ac:dyDescent="0.25">
      <c r="A1" t="s">
        <v>65</v>
      </c>
      <c r="B1" t="s">
        <v>66</v>
      </c>
      <c r="C1" t="s">
        <v>67</v>
      </c>
      <c r="D1" t="s">
        <v>68</v>
      </c>
    </row>
    <row r="2" spans="1:4" x14ac:dyDescent="0.25">
      <c r="A2" t="s">
        <v>47</v>
      </c>
      <c r="B2" t="s">
        <v>69</v>
      </c>
      <c r="C2" t="s">
        <v>47</v>
      </c>
    </row>
    <row r="3" spans="1:4" x14ac:dyDescent="0.25">
      <c r="A3" t="s">
        <v>31</v>
      </c>
      <c r="B3" t="s">
        <v>70</v>
      </c>
      <c r="C3" t="s">
        <v>31</v>
      </c>
    </row>
    <row r="4" spans="1:4" x14ac:dyDescent="0.25">
      <c r="A4" t="s">
        <v>59</v>
      </c>
      <c r="B4" t="s">
        <v>71</v>
      </c>
      <c r="C4" t="s">
        <v>59</v>
      </c>
    </row>
    <row r="5" spans="1:4" x14ac:dyDescent="0.25">
      <c r="A5" t="s">
        <v>33</v>
      </c>
      <c r="B5" t="s">
        <v>72</v>
      </c>
      <c r="C5" t="s">
        <v>33</v>
      </c>
    </row>
    <row r="6" spans="1:4" x14ac:dyDescent="0.25">
      <c r="A6" t="s">
        <v>15</v>
      </c>
      <c r="B6" t="s">
        <v>73</v>
      </c>
      <c r="C6" t="s">
        <v>15</v>
      </c>
    </row>
    <row r="7" spans="1:4" x14ac:dyDescent="0.25">
      <c r="A7" t="s">
        <v>49</v>
      </c>
      <c r="B7" t="s">
        <v>74</v>
      </c>
      <c r="C7" t="s">
        <v>75</v>
      </c>
    </row>
    <row r="8" spans="1:4" x14ac:dyDescent="0.25">
      <c r="A8" t="s">
        <v>50</v>
      </c>
      <c r="B8" t="s">
        <v>76</v>
      </c>
      <c r="C8" t="s">
        <v>50</v>
      </c>
    </row>
    <row r="9" spans="1:4" x14ac:dyDescent="0.25">
      <c r="A9" t="s">
        <v>17</v>
      </c>
      <c r="B9" t="s">
        <v>77</v>
      </c>
      <c r="C9" t="s">
        <v>17</v>
      </c>
    </row>
    <row r="10" spans="1:4" x14ac:dyDescent="0.25">
      <c r="A10" t="s">
        <v>60</v>
      </c>
      <c r="B10" t="s">
        <v>78</v>
      </c>
      <c r="C10" t="s">
        <v>60</v>
      </c>
    </row>
    <row r="11" spans="1:4" x14ac:dyDescent="0.25">
      <c r="A11" t="s">
        <v>34</v>
      </c>
      <c r="B11" t="s">
        <v>79</v>
      </c>
      <c r="C11" t="s">
        <v>34</v>
      </c>
    </row>
    <row r="12" spans="1:4" x14ac:dyDescent="0.25">
      <c r="A12" t="s">
        <v>51</v>
      </c>
      <c r="B12" t="s">
        <v>80</v>
      </c>
      <c r="C12" t="s">
        <v>51</v>
      </c>
    </row>
    <row r="13" spans="1:4" x14ac:dyDescent="0.25">
      <c r="A13" t="s">
        <v>61</v>
      </c>
      <c r="B13" t="s">
        <v>81</v>
      </c>
      <c r="C13" t="s">
        <v>61</v>
      </c>
    </row>
    <row r="14" spans="1:4" x14ac:dyDescent="0.25">
      <c r="A14" t="s">
        <v>35</v>
      </c>
      <c r="B14" t="s">
        <v>82</v>
      </c>
      <c r="C14" t="s">
        <v>35</v>
      </c>
    </row>
    <row r="15" spans="1:4" x14ac:dyDescent="0.25">
      <c r="A15" t="s">
        <v>18</v>
      </c>
      <c r="B15" t="s">
        <v>83</v>
      </c>
      <c r="C15" t="s">
        <v>18</v>
      </c>
    </row>
    <row r="16" spans="1:4" x14ac:dyDescent="0.25">
      <c r="A16" t="s">
        <v>52</v>
      </c>
      <c r="B16" t="s">
        <v>84</v>
      </c>
      <c r="C16" t="s">
        <v>85</v>
      </c>
    </row>
    <row r="17" spans="1:3" x14ac:dyDescent="0.25">
      <c r="A17" t="s">
        <v>36</v>
      </c>
      <c r="B17" t="s">
        <v>86</v>
      </c>
      <c r="C17" t="s">
        <v>36</v>
      </c>
    </row>
    <row r="18" spans="1:3" x14ac:dyDescent="0.25">
      <c r="A18" t="s">
        <v>53</v>
      </c>
      <c r="B18" t="s">
        <v>87</v>
      </c>
      <c r="C18" t="s">
        <v>53</v>
      </c>
    </row>
    <row r="19" spans="1:3" x14ac:dyDescent="0.25">
      <c r="A19" t="s">
        <v>24</v>
      </c>
      <c r="B19" t="s">
        <v>88</v>
      </c>
      <c r="C19" t="s">
        <v>89</v>
      </c>
    </row>
    <row r="20" spans="1:3" x14ac:dyDescent="0.25">
      <c r="A20" t="s">
        <v>22</v>
      </c>
      <c r="B20" t="s">
        <v>90</v>
      </c>
      <c r="C20" t="s">
        <v>22</v>
      </c>
    </row>
    <row r="21" spans="1:3" x14ac:dyDescent="0.25">
      <c r="A21" t="s">
        <v>54</v>
      </c>
      <c r="B21" t="s">
        <v>91</v>
      </c>
      <c r="C21" t="s">
        <v>54</v>
      </c>
    </row>
    <row r="22" spans="1:3" x14ac:dyDescent="0.25">
      <c r="A22" t="s">
        <v>37</v>
      </c>
      <c r="B22" t="s">
        <v>92</v>
      </c>
      <c r="C22" t="s">
        <v>37</v>
      </c>
    </row>
    <row r="23" spans="1:3" x14ac:dyDescent="0.25">
      <c r="A23" t="s">
        <v>38</v>
      </c>
      <c r="B23" t="s">
        <v>93</v>
      </c>
      <c r="C23" t="s">
        <v>38</v>
      </c>
    </row>
    <row r="24" spans="1:3" x14ac:dyDescent="0.25">
      <c r="A24" t="s">
        <v>55</v>
      </c>
      <c r="B24" t="s">
        <v>94</v>
      </c>
      <c r="C24" t="s">
        <v>55</v>
      </c>
    </row>
    <row r="25" spans="1:3" x14ac:dyDescent="0.25">
      <c r="A25" t="s">
        <v>39</v>
      </c>
      <c r="B25" t="s">
        <v>95</v>
      </c>
      <c r="C25" t="s">
        <v>96</v>
      </c>
    </row>
    <row r="26" spans="1:3" x14ac:dyDescent="0.25">
      <c r="A26" t="s">
        <v>25</v>
      </c>
      <c r="B26" t="s">
        <v>97</v>
      </c>
      <c r="C26" t="s">
        <v>25</v>
      </c>
    </row>
    <row r="27" spans="1:3" x14ac:dyDescent="0.25">
      <c r="A27" t="s">
        <v>40</v>
      </c>
      <c r="B27" t="s">
        <v>98</v>
      </c>
      <c r="C27" t="s">
        <v>40</v>
      </c>
    </row>
    <row r="28" spans="1:3" x14ac:dyDescent="0.25">
      <c r="A28" t="s">
        <v>41</v>
      </c>
      <c r="B28" t="s">
        <v>99</v>
      </c>
      <c r="C28" t="s">
        <v>41</v>
      </c>
    </row>
    <row r="29" spans="1:3" x14ac:dyDescent="0.25">
      <c r="A29" t="s">
        <v>27</v>
      </c>
      <c r="B29" t="s">
        <v>100</v>
      </c>
      <c r="C29" t="s">
        <v>27</v>
      </c>
    </row>
    <row r="30" spans="1:3" x14ac:dyDescent="0.25">
      <c r="A30" t="s">
        <v>56</v>
      </c>
      <c r="B30" t="s">
        <v>101</v>
      </c>
      <c r="C30" t="s">
        <v>56</v>
      </c>
    </row>
    <row r="31" spans="1:3" x14ac:dyDescent="0.25">
      <c r="A31" t="s">
        <v>57</v>
      </c>
      <c r="B31" t="s">
        <v>102</v>
      </c>
      <c r="C31" t="s">
        <v>57</v>
      </c>
    </row>
    <row r="32" spans="1:3" x14ac:dyDescent="0.25">
      <c r="A32" t="s">
        <v>42</v>
      </c>
      <c r="B32" t="s">
        <v>103</v>
      </c>
      <c r="C32" t="s">
        <v>42</v>
      </c>
    </row>
    <row r="33" spans="1:3" x14ac:dyDescent="0.25">
      <c r="A33" t="s">
        <v>62</v>
      </c>
      <c r="B33" t="s">
        <v>104</v>
      </c>
      <c r="C33" t="s">
        <v>105</v>
      </c>
    </row>
    <row r="34" spans="1:3" x14ac:dyDescent="0.25">
      <c r="A34" t="s">
        <v>19</v>
      </c>
      <c r="B34" t="s">
        <v>106</v>
      </c>
      <c r="C34" t="s">
        <v>19</v>
      </c>
    </row>
    <row r="35" spans="1:3" x14ac:dyDescent="0.25">
      <c r="A35" t="s">
        <v>43</v>
      </c>
      <c r="B35" t="s">
        <v>107</v>
      </c>
      <c r="C35" t="s">
        <v>43</v>
      </c>
    </row>
    <row r="36" spans="1:3" x14ac:dyDescent="0.25">
      <c r="A36" t="s">
        <v>44</v>
      </c>
      <c r="B36" t="s">
        <v>108</v>
      </c>
      <c r="C36" t="s">
        <v>109</v>
      </c>
    </row>
    <row r="37" spans="1:3" x14ac:dyDescent="0.25">
      <c r="A37" t="s">
        <v>20</v>
      </c>
      <c r="B37" t="s">
        <v>110</v>
      </c>
      <c r="C37" t="s">
        <v>111</v>
      </c>
    </row>
    <row r="38" spans="1:3" x14ac:dyDescent="0.25">
      <c r="A38" t="s">
        <v>28</v>
      </c>
      <c r="B38" t="s">
        <v>28</v>
      </c>
      <c r="C38" t="s">
        <v>112</v>
      </c>
    </row>
    <row r="39" spans="1:3" x14ac:dyDescent="0.25">
      <c r="A39" t="s">
        <v>58</v>
      </c>
      <c r="B39" t="s">
        <v>113</v>
      </c>
      <c r="C39" t="s">
        <v>58</v>
      </c>
    </row>
    <row r="40" spans="1:3" x14ac:dyDescent="0.25">
      <c r="A40" t="s">
        <v>29</v>
      </c>
      <c r="B40" t="s">
        <v>114</v>
      </c>
      <c r="C40" t="s">
        <v>115</v>
      </c>
    </row>
    <row r="41" spans="1:3" x14ac:dyDescent="0.25">
      <c r="A41" t="s">
        <v>30</v>
      </c>
      <c r="B41" t="s">
        <v>116</v>
      </c>
      <c r="C41" t="s">
        <v>30</v>
      </c>
    </row>
    <row r="42" spans="1:3" x14ac:dyDescent="0.25">
      <c r="A42" t="s">
        <v>21</v>
      </c>
      <c r="B42" t="s">
        <v>117</v>
      </c>
      <c r="C42" t="s">
        <v>21</v>
      </c>
    </row>
    <row r="43" spans="1:3" x14ac:dyDescent="0.25">
      <c r="A43" t="s">
        <v>63</v>
      </c>
      <c r="B43" t="s">
        <v>118</v>
      </c>
      <c r="C43" t="s">
        <v>119</v>
      </c>
    </row>
    <row r="44" spans="1:3" x14ac:dyDescent="0.25">
      <c r="A44" t="s">
        <v>45</v>
      </c>
      <c r="B44" t="s">
        <v>120</v>
      </c>
      <c r="C44" t="s">
        <v>45</v>
      </c>
    </row>
    <row r="45" spans="1:3" x14ac:dyDescent="0.25">
      <c r="A45" t="s">
        <v>64</v>
      </c>
      <c r="B45" t="s">
        <v>121</v>
      </c>
      <c r="C45" t="s">
        <v>64</v>
      </c>
    </row>
    <row r="46" spans="1:3" x14ac:dyDescent="0.25">
      <c r="A46" t="s">
        <v>46</v>
      </c>
      <c r="B46" t="s">
        <v>122</v>
      </c>
      <c r="C46" t="s">
        <v>46</v>
      </c>
    </row>
    <row r="47" spans="1:3" x14ac:dyDescent="0.25">
      <c r="A47" t="s">
        <v>123</v>
      </c>
      <c r="B47" t="s">
        <v>95</v>
      </c>
    </row>
    <row r="48" spans="1:3" x14ac:dyDescent="0.25">
      <c r="A48" t="s">
        <v>124</v>
      </c>
      <c r="B48" t="s">
        <v>113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Produtividade</vt:lpstr>
      <vt:lpstr>Aliases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Esther Queiroz Supervisora Folha</dc:creator>
  <cp:lastModifiedBy>Esther Queiroz Supervisora Folha</cp:lastModifiedBy>
  <dcterms:created xsi:type="dcterms:W3CDTF">2026-05-19T17:56:40Z</dcterms:created>
  <dcterms:modified xsi:type="dcterms:W3CDTF">2026-05-28T16:58:49Z</dcterms:modified>
</cp:coreProperties>
</file>
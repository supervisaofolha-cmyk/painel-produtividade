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08D73FBF-AFAE-468B-82A6-E27455160078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Produtividade!$A$1:$O$665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2" i="1"/>
  <c r="K172" i="1"/>
  <c r="L172" i="1" s="1"/>
  <c r="I665" i="1"/>
  <c r="I664" i="1"/>
  <c r="I663" i="1"/>
  <c r="K663" i="1" s="1"/>
  <c r="L663" i="1" s="1"/>
  <c r="I662" i="1"/>
  <c r="K662" i="1" s="1"/>
  <c r="L662" i="1" s="1"/>
  <c r="I661" i="1"/>
  <c r="K661" i="1" s="1"/>
  <c r="L661" i="1" s="1"/>
  <c r="I660" i="1"/>
  <c r="K660" i="1" s="1"/>
  <c r="L660" i="1" s="1"/>
  <c r="I659" i="1"/>
  <c r="K659" i="1" s="1"/>
  <c r="L659" i="1" s="1"/>
  <c r="I658" i="1"/>
  <c r="K658" i="1" s="1"/>
  <c r="L658" i="1" s="1"/>
  <c r="I657" i="1"/>
  <c r="K657" i="1" s="1"/>
  <c r="L657" i="1" s="1"/>
  <c r="I656" i="1"/>
  <c r="K656" i="1" s="1"/>
  <c r="L656" i="1" s="1"/>
  <c r="I655" i="1"/>
  <c r="K655" i="1" s="1"/>
  <c r="L655" i="1" s="1"/>
  <c r="I654" i="1"/>
  <c r="K654" i="1" s="1"/>
  <c r="L654" i="1" s="1"/>
  <c r="I653" i="1"/>
  <c r="K653" i="1" s="1"/>
  <c r="L653" i="1" s="1"/>
  <c r="I652" i="1"/>
  <c r="K652" i="1" s="1"/>
  <c r="L652" i="1" s="1"/>
  <c r="I651" i="1"/>
  <c r="K651" i="1" s="1"/>
  <c r="L651" i="1" s="1"/>
  <c r="I650" i="1"/>
  <c r="K650" i="1" s="1"/>
  <c r="L650" i="1" s="1"/>
  <c r="I649" i="1"/>
  <c r="K649" i="1" s="1"/>
  <c r="L649" i="1" s="1"/>
  <c r="I648" i="1"/>
  <c r="K648" i="1" s="1"/>
  <c r="L648" i="1" s="1"/>
  <c r="I647" i="1"/>
  <c r="K647" i="1" s="1"/>
  <c r="L647" i="1" s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K587" i="1" s="1"/>
  <c r="L587" i="1" s="1"/>
  <c r="I586" i="1"/>
  <c r="K586" i="1" s="1"/>
  <c r="L586" i="1" s="1"/>
  <c r="I585" i="1"/>
  <c r="K585" i="1" s="1"/>
  <c r="L585" i="1" s="1"/>
  <c r="I584" i="1"/>
  <c r="K584" i="1" s="1"/>
  <c r="L584" i="1" s="1"/>
  <c r="I583" i="1"/>
  <c r="K583" i="1" s="1"/>
  <c r="L583" i="1" s="1"/>
  <c r="I582" i="1"/>
  <c r="K582" i="1" s="1"/>
  <c r="L582" i="1" s="1"/>
  <c r="I581" i="1"/>
  <c r="K581" i="1" s="1"/>
  <c r="L581" i="1" s="1"/>
  <c r="I580" i="1"/>
  <c r="K580" i="1" s="1"/>
  <c r="L580" i="1" s="1"/>
  <c r="I579" i="1"/>
  <c r="K579" i="1" s="1"/>
  <c r="L579" i="1" s="1"/>
  <c r="I578" i="1"/>
  <c r="I577" i="1"/>
  <c r="K577" i="1" s="1"/>
  <c r="L577" i="1" s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L509" i="1"/>
  <c r="I508" i="1"/>
  <c r="I507" i="1"/>
  <c r="I506" i="1"/>
  <c r="I505" i="1"/>
  <c r="I504" i="1"/>
  <c r="I503" i="1"/>
  <c r="L502" i="1"/>
  <c r="I501" i="1"/>
  <c r="I500" i="1"/>
  <c r="I499" i="1"/>
  <c r="L498" i="1"/>
  <c r="I497" i="1"/>
  <c r="L496" i="1"/>
  <c r="I495" i="1"/>
  <c r="I494" i="1"/>
  <c r="I493" i="1"/>
  <c r="I492" i="1"/>
  <c r="I491" i="1"/>
  <c r="I490" i="1"/>
  <c r="I489" i="1"/>
  <c r="I488" i="1"/>
  <c r="L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L468" i="1"/>
  <c r="I467" i="1"/>
  <c r="I466" i="1"/>
  <c r="I465" i="1"/>
  <c r="I464" i="1"/>
  <c r="I463" i="1"/>
  <c r="I462" i="1"/>
  <c r="L461" i="1"/>
  <c r="I460" i="1"/>
  <c r="I459" i="1"/>
  <c r="I458" i="1"/>
  <c r="I457" i="1"/>
  <c r="I456" i="1"/>
  <c r="L455" i="1"/>
  <c r="I454" i="1"/>
  <c r="L453" i="1"/>
  <c r="I452" i="1"/>
  <c r="L451" i="1"/>
  <c r="I450" i="1"/>
  <c r="I449" i="1"/>
  <c r="I448" i="1"/>
  <c r="I447" i="1"/>
  <c r="I446" i="1"/>
  <c r="L445" i="1"/>
  <c r="I444" i="1"/>
  <c r="L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L423" i="1"/>
  <c r="I422" i="1"/>
  <c r="I421" i="1"/>
  <c r="I420" i="1"/>
  <c r="I419" i="1"/>
  <c r="I418" i="1"/>
  <c r="L417" i="1"/>
  <c r="I416" i="1"/>
  <c r="I415" i="1"/>
  <c r="I414" i="1"/>
  <c r="I413" i="1"/>
  <c r="I412" i="1"/>
  <c r="L411" i="1"/>
  <c r="I410" i="1"/>
  <c r="I409" i="1"/>
  <c r="I408" i="1"/>
  <c r="I407" i="1"/>
  <c r="I406" i="1"/>
  <c r="I405" i="1"/>
  <c r="I404" i="1"/>
  <c r="I403" i="1"/>
  <c r="I402" i="1"/>
  <c r="I401" i="1"/>
  <c r="L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L381" i="1"/>
  <c r="I380" i="1"/>
  <c r="I379" i="1"/>
  <c r="I378" i="1"/>
  <c r="I377" i="1"/>
  <c r="I376" i="1"/>
  <c r="I375" i="1"/>
  <c r="L374" i="1"/>
  <c r="I373" i="1"/>
  <c r="I372" i="1"/>
  <c r="I371" i="1"/>
  <c r="I370" i="1"/>
  <c r="I369" i="1"/>
  <c r="L368" i="1"/>
  <c r="L367" i="1"/>
  <c r="I366" i="1"/>
  <c r="I365" i="1"/>
  <c r="I364" i="1"/>
  <c r="I363" i="1"/>
  <c r="I362" i="1"/>
  <c r="I361" i="1"/>
  <c r="I360" i="1"/>
  <c r="I359" i="1"/>
  <c r="I358" i="1"/>
  <c r="I357" i="1"/>
  <c r="L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L337" i="1"/>
  <c r="I336" i="1"/>
  <c r="I335" i="1"/>
  <c r="I334" i="1"/>
  <c r="L333" i="1"/>
  <c r="I332" i="1"/>
  <c r="I331" i="1"/>
  <c r="L330" i="1"/>
  <c r="I329" i="1"/>
  <c r="I328" i="1"/>
  <c r="I327" i="1"/>
  <c r="I326" i="1"/>
  <c r="I325" i="1"/>
  <c r="L324" i="1"/>
  <c r="L323" i="1"/>
  <c r="I322" i="1"/>
  <c r="I321" i="1"/>
  <c r="I320" i="1"/>
  <c r="I319" i="1"/>
  <c r="I318" i="1"/>
  <c r="I317" i="1"/>
  <c r="I316" i="1"/>
  <c r="I315" i="1"/>
  <c r="I314" i="1"/>
  <c r="I313" i="1"/>
  <c r="L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L294" i="1"/>
  <c r="I293" i="1"/>
  <c r="I292" i="1"/>
  <c r="I291" i="1"/>
  <c r="I290" i="1"/>
  <c r="I289" i="1"/>
  <c r="I288" i="1"/>
  <c r="L287" i="1"/>
  <c r="I286" i="1"/>
  <c r="I285" i="1"/>
  <c r="I284" i="1"/>
  <c r="I283" i="1"/>
  <c r="I282" i="1"/>
  <c r="I281" i="1"/>
  <c r="L280" i="1"/>
  <c r="L279" i="1"/>
  <c r="I278" i="1"/>
  <c r="I277" i="1"/>
  <c r="I276" i="1"/>
  <c r="I275" i="1"/>
  <c r="I274" i="1"/>
  <c r="I273" i="1"/>
  <c r="I272" i="1"/>
  <c r="I271" i="1"/>
  <c r="I270" i="1"/>
  <c r="I269" i="1"/>
  <c r="L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L255" i="1"/>
  <c r="I254" i="1"/>
  <c r="I253" i="1"/>
  <c r="I252" i="1"/>
  <c r="I251" i="1"/>
  <c r="I250" i="1"/>
  <c r="I249" i="1"/>
  <c r="L248" i="1"/>
  <c r="I247" i="1"/>
  <c r="I246" i="1"/>
  <c r="I245" i="1"/>
  <c r="I244" i="1"/>
  <c r="I243" i="1"/>
  <c r="I242" i="1"/>
  <c r="I241" i="1"/>
  <c r="I240" i="1"/>
  <c r="L239" i="1"/>
  <c r="L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L224" i="1"/>
  <c r="I223" i="1"/>
  <c r="I222" i="1"/>
  <c r="L221" i="1"/>
  <c r="I220" i="1"/>
  <c r="I219" i="1"/>
  <c r="I218" i="1"/>
  <c r="I217" i="1"/>
  <c r="I216" i="1"/>
  <c r="I215" i="1"/>
  <c r="I214" i="1"/>
  <c r="I213" i="1"/>
  <c r="I212" i="1"/>
  <c r="L211" i="1"/>
  <c r="I210" i="1"/>
  <c r="I209" i="1"/>
  <c r="I208" i="1"/>
  <c r="I207" i="1"/>
  <c r="I206" i="1"/>
  <c r="I205" i="1"/>
  <c r="L204" i="1"/>
  <c r="I203" i="1"/>
  <c r="I202" i="1"/>
  <c r="I201" i="1"/>
  <c r="I200" i="1"/>
  <c r="L199" i="1"/>
  <c r="L198" i="1"/>
  <c r="L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L179" i="1"/>
  <c r="I178" i="1"/>
  <c r="I177" i="1"/>
  <c r="I176" i="1"/>
  <c r="I175" i="1"/>
  <c r="I174" i="1"/>
  <c r="I173" i="1"/>
  <c r="I172" i="1"/>
  <c r="I171" i="1"/>
  <c r="L170" i="1"/>
  <c r="I169" i="1"/>
  <c r="I168" i="1"/>
  <c r="I167" i="1"/>
  <c r="L166" i="1"/>
  <c r="I165" i="1"/>
  <c r="I164" i="1"/>
  <c r="I163" i="1"/>
  <c r="I162" i="1"/>
  <c r="I161" i="1"/>
  <c r="I160" i="1"/>
  <c r="L159" i="1"/>
  <c r="I158" i="1"/>
  <c r="I157" i="1"/>
  <c r="I156" i="1"/>
  <c r="I155" i="1"/>
  <c r="I154" i="1"/>
  <c r="L153" i="1"/>
  <c r="L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L135" i="1"/>
  <c r="I134" i="1"/>
  <c r="I133" i="1"/>
  <c r="I132" i="1"/>
  <c r="I131" i="1"/>
  <c r="I130" i="1"/>
  <c r="I129" i="1"/>
  <c r="I128" i="1"/>
  <c r="I127" i="1"/>
  <c r="L126" i="1"/>
  <c r="I125" i="1"/>
  <c r="I124" i="1"/>
  <c r="I123" i="1"/>
  <c r="L122" i="1"/>
  <c r="I121" i="1"/>
  <c r="I120" i="1"/>
  <c r="I119" i="1"/>
  <c r="I118" i="1"/>
  <c r="I117" i="1"/>
  <c r="I116" i="1"/>
  <c r="L115" i="1"/>
  <c r="I114" i="1"/>
  <c r="I113" i="1"/>
  <c r="I112" i="1"/>
  <c r="I111" i="1"/>
  <c r="I110" i="1"/>
  <c r="L109" i="1"/>
  <c r="L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L91" i="1"/>
  <c r="I90" i="1"/>
  <c r="I89" i="1"/>
  <c r="I88" i="1"/>
  <c r="I87" i="1"/>
  <c r="I86" i="1"/>
  <c r="I85" i="1"/>
  <c r="I84" i="1"/>
  <c r="I83" i="1"/>
  <c r="I82" i="1"/>
  <c r="I81" i="1"/>
  <c r="I80" i="1"/>
  <c r="I79" i="1"/>
  <c r="L78" i="1"/>
  <c r="I77" i="1"/>
  <c r="I76" i="1"/>
  <c r="I75" i="1"/>
  <c r="I74" i="1"/>
  <c r="I73" i="1"/>
  <c r="I72" i="1"/>
  <c r="L71" i="1"/>
  <c r="I70" i="1"/>
  <c r="I69" i="1"/>
  <c r="I68" i="1"/>
  <c r="I67" i="1"/>
  <c r="I66" i="1"/>
  <c r="L65" i="1"/>
  <c r="L64" i="1"/>
  <c r="I63" i="1"/>
  <c r="I62" i="1"/>
  <c r="I61" i="1"/>
  <c r="I60" i="1"/>
  <c r="I59" i="1"/>
  <c r="I58" i="1"/>
  <c r="I57" i="1"/>
  <c r="I56" i="1"/>
  <c r="I55" i="1"/>
  <c r="I54" i="1"/>
  <c r="L53" i="1"/>
  <c r="I52" i="1"/>
  <c r="I51" i="1"/>
  <c r="I50" i="1"/>
  <c r="I49" i="1"/>
  <c r="I48" i="1"/>
  <c r="L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L31" i="1"/>
  <c r="I30" i="1"/>
  <c r="I29" i="1"/>
  <c r="I28" i="1"/>
  <c r="I27" i="1"/>
  <c r="I26" i="1"/>
  <c r="I25" i="1"/>
  <c r="L24" i="1"/>
  <c r="I23" i="1"/>
  <c r="I22" i="1"/>
  <c r="I21" i="1"/>
  <c r="I20" i="1"/>
  <c r="I19" i="1"/>
  <c r="I18" i="1"/>
  <c r="L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L3" i="1"/>
  <c r="I2" i="1"/>
  <c r="K646" i="1" l="1"/>
  <c r="L646" i="1" s="1"/>
  <c r="K645" i="1"/>
  <c r="L645" i="1" s="1"/>
  <c r="K644" i="1"/>
  <c r="L644" i="1" s="1"/>
  <c r="K643" i="1"/>
  <c r="L643" i="1" s="1"/>
  <c r="K642" i="1"/>
  <c r="L642" i="1" s="1"/>
  <c r="K641" i="1"/>
  <c r="L641" i="1" s="1"/>
  <c r="K640" i="1"/>
  <c r="L640" i="1" s="1"/>
  <c r="K639" i="1"/>
  <c r="L639" i="1" s="1"/>
  <c r="K638" i="1"/>
  <c r="L638" i="1" s="1"/>
  <c r="K637" i="1"/>
  <c r="L637" i="1" s="1"/>
  <c r="K636" i="1"/>
  <c r="L636" i="1" s="1"/>
  <c r="K635" i="1"/>
  <c r="L635" i="1" s="1"/>
  <c r="K634" i="1"/>
  <c r="L634" i="1" s="1"/>
  <c r="K633" i="1"/>
  <c r="L633" i="1" s="1"/>
  <c r="K632" i="1"/>
  <c r="L632" i="1" s="1"/>
  <c r="K631" i="1"/>
  <c r="L631" i="1" s="1"/>
  <c r="K630" i="1"/>
  <c r="L630" i="1" s="1"/>
  <c r="K629" i="1"/>
  <c r="L629" i="1" s="1"/>
  <c r="K628" i="1"/>
  <c r="L628" i="1" s="1"/>
  <c r="K627" i="1"/>
  <c r="L627" i="1" s="1"/>
  <c r="K626" i="1"/>
  <c r="L626" i="1" s="1"/>
  <c r="K625" i="1"/>
  <c r="L625" i="1" s="1"/>
  <c r="K624" i="1"/>
  <c r="L624" i="1" s="1"/>
  <c r="K623" i="1"/>
  <c r="L623" i="1" s="1"/>
  <c r="K622" i="1"/>
  <c r="L622" i="1" s="1"/>
  <c r="K621" i="1"/>
  <c r="L621" i="1" s="1"/>
  <c r="K620" i="1"/>
  <c r="L620" i="1" s="1"/>
  <c r="K619" i="1"/>
  <c r="L619" i="1" s="1"/>
  <c r="K618" i="1"/>
  <c r="L618" i="1" s="1"/>
  <c r="K617" i="1"/>
  <c r="L617" i="1" s="1"/>
  <c r="K616" i="1"/>
  <c r="L616" i="1" s="1"/>
  <c r="K615" i="1"/>
  <c r="L615" i="1" s="1"/>
  <c r="K614" i="1"/>
  <c r="L614" i="1" s="1"/>
  <c r="K613" i="1"/>
  <c r="L613" i="1" s="1"/>
  <c r="K612" i="1"/>
  <c r="L612" i="1" s="1"/>
  <c r="K611" i="1"/>
  <c r="L611" i="1" s="1"/>
  <c r="K610" i="1"/>
  <c r="L610" i="1" s="1"/>
  <c r="K609" i="1"/>
  <c r="L609" i="1" s="1"/>
  <c r="K608" i="1"/>
  <c r="L608" i="1" s="1"/>
  <c r="K607" i="1"/>
  <c r="L607" i="1" s="1"/>
  <c r="K606" i="1"/>
  <c r="L606" i="1" s="1"/>
  <c r="K605" i="1"/>
  <c r="L605" i="1" s="1"/>
  <c r="K604" i="1"/>
  <c r="L604" i="1" s="1"/>
  <c r="K603" i="1"/>
  <c r="L603" i="1" s="1"/>
  <c r="K602" i="1"/>
  <c r="L602" i="1" s="1"/>
  <c r="K601" i="1"/>
  <c r="L601" i="1" s="1"/>
  <c r="K600" i="1"/>
  <c r="L600" i="1" s="1"/>
  <c r="K599" i="1"/>
  <c r="L599" i="1" s="1"/>
  <c r="K598" i="1"/>
  <c r="L598" i="1" s="1"/>
  <c r="K597" i="1"/>
  <c r="L597" i="1" s="1"/>
  <c r="K596" i="1"/>
  <c r="L596" i="1" s="1"/>
  <c r="K595" i="1"/>
  <c r="L595" i="1" s="1"/>
  <c r="K594" i="1"/>
  <c r="L594" i="1" s="1"/>
  <c r="K593" i="1"/>
  <c r="L593" i="1" s="1"/>
  <c r="K592" i="1"/>
  <c r="L592" i="1" s="1"/>
  <c r="K591" i="1"/>
  <c r="L591" i="1" s="1"/>
  <c r="K590" i="1"/>
  <c r="L590" i="1" s="1"/>
  <c r="K589" i="1"/>
  <c r="L589" i="1" s="1"/>
  <c r="K588" i="1"/>
  <c r="L588" i="1" s="1"/>
  <c r="K571" i="1"/>
  <c r="L571" i="1" s="1"/>
  <c r="K570" i="1"/>
  <c r="L570" i="1" s="1"/>
  <c r="K565" i="1"/>
  <c r="L565" i="1" s="1"/>
  <c r="K564" i="1"/>
  <c r="L564" i="1" s="1"/>
  <c r="K563" i="1"/>
  <c r="L563" i="1" s="1"/>
  <c r="K562" i="1"/>
  <c r="L562" i="1" s="1"/>
  <c r="K561" i="1"/>
  <c r="L561" i="1" s="1"/>
  <c r="K560" i="1"/>
  <c r="L560" i="1" s="1"/>
  <c r="K559" i="1"/>
  <c r="L559" i="1" s="1"/>
  <c r="K558" i="1"/>
  <c r="L558" i="1" s="1"/>
  <c r="K557" i="1"/>
  <c r="L557" i="1" s="1"/>
  <c r="K556" i="1"/>
  <c r="L556" i="1" s="1"/>
  <c r="K80" i="1"/>
  <c r="L80" i="1" s="1"/>
  <c r="K79" i="1"/>
  <c r="L79" i="1" s="1"/>
  <c r="K77" i="1"/>
  <c r="L77" i="1" s="1"/>
  <c r="K76" i="1"/>
  <c r="L76" i="1" s="1"/>
  <c r="K75" i="1"/>
  <c r="L75" i="1" s="1"/>
  <c r="K74" i="1"/>
  <c r="L74" i="1" s="1"/>
  <c r="K73" i="1"/>
  <c r="L73" i="1" s="1"/>
  <c r="K72" i="1"/>
  <c r="L72" i="1" s="1"/>
  <c r="K70" i="1"/>
  <c r="L70" i="1" s="1"/>
  <c r="K69" i="1"/>
  <c r="L69" i="1" s="1"/>
  <c r="K68" i="1"/>
  <c r="L68" i="1" s="1"/>
  <c r="K67" i="1"/>
  <c r="L67" i="1" s="1"/>
  <c r="K66" i="1"/>
  <c r="L66" i="1" s="1"/>
  <c r="K63" i="1"/>
  <c r="L63" i="1" s="1"/>
  <c r="K62" i="1"/>
  <c r="L62" i="1" s="1"/>
  <c r="K61" i="1"/>
  <c r="L61" i="1" s="1"/>
  <c r="K60" i="1"/>
  <c r="L60" i="1" s="1"/>
  <c r="K59" i="1"/>
  <c r="L59" i="1" s="1"/>
  <c r="K58" i="1"/>
  <c r="L58" i="1" s="1"/>
  <c r="K57" i="1"/>
  <c r="L57" i="1" s="1"/>
  <c r="K56" i="1"/>
  <c r="L56" i="1" s="1"/>
  <c r="K55" i="1"/>
  <c r="L55" i="1" s="1"/>
  <c r="K54" i="1"/>
  <c r="L54" i="1" s="1"/>
  <c r="K52" i="1"/>
  <c r="L52" i="1" s="1"/>
  <c r="K51" i="1"/>
  <c r="L51" i="1" s="1"/>
  <c r="K50" i="1"/>
  <c r="L50" i="1" s="1"/>
  <c r="K49" i="1"/>
  <c r="L49" i="1" s="1"/>
  <c r="K48" i="1"/>
  <c r="L48" i="1" s="1"/>
  <c r="K46" i="1"/>
  <c r="L46" i="1" s="1"/>
  <c r="K45" i="1"/>
  <c r="L45" i="1" s="1"/>
  <c r="K44" i="1"/>
  <c r="L44" i="1" s="1"/>
  <c r="K43" i="1"/>
  <c r="L43" i="1" s="1"/>
  <c r="K42" i="1"/>
  <c r="L42" i="1" s="1"/>
  <c r="K41" i="1"/>
  <c r="L41" i="1" s="1"/>
  <c r="K40" i="1"/>
  <c r="L40" i="1" s="1"/>
  <c r="K39" i="1"/>
  <c r="L39" i="1" s="1"/>
  <c r="K38" i="1"/>
  <c r="L38" i="1" s="1"/>
  <c r="K37" i="1"/>
  <c r="L37" i="1" s="1"/>
  <c r="K36" i="1"/>
  <c r="L36" i="1" s="1"/>
  <c r="K35" i="1"/>
  <c r="L35" i="1" s="1"/>
  <c r="K34" i="1"/>
  <c r="L34" i="1" s="1"/>
  <c r="K33" i="1"/>
  <c r="L33" i="1" s="1"/>
  <c r="K32" i="1"/>
  <c r="L32" i="1" s="1"/>
  <c r="K30" i="1"/>
  <c r="L30" i="1" s="1"/>
  <c r="K29" i="1"/>
  <c r="L29" i="1" s="1"/>
  <c r="K28" i="1"/>
  <c r="L28" i="1" s="1"/>
  <c r="K27" i="1"/>
  <c r="L27" i="1" s="1"/>
  <c r="K26" i="1"/>
  <c r="L26" i="1" s="1"/>
  <c r="K25" i="1"/>
  <c r="L25" i="1" s="1"/>
  <c r="K23" i="1"/>
  <c r="L23" i="1" s="1"/>
  <c r="K22" i="1"/>
  <c r="L22" i="1" s="1"/>
  <c r="K21" i="1"/>
  <c r="L21" i="1" s="1"/>
  <c r="K20" i="1"/>
  <c r="L20" i="1" s="1"/>
  <c r="K19" i="1"/>
  <c r="L19" i="1" s="1"/>
  <c r="K18" i="1"/>
  <c r="L18" i="1" s="1"/>
  <c r="K16" i="1"/>
  <c r="L16" i="1" s="1"/>
  <c r="K15" i="1"/>
  <c r="L15" i="1" s="1"/>
  <c r="K14" i="1"/>
  <c r="L14" i="1" s="1"/>
  <c r="K13" i="1"/>
  <c r="L13" i="1" s="1"/>
  <c r="K12" i="1"/>
  <c r="L12" i="1" s="1"/>
  <c r="K11" i="1"/>
  <c r="L11" i="1" s="1"/>
  <c r="K10" i="1"/>
  <c r="L10" i="1" s="1"/>
  <c r="K9" i="1"/>
  <c r="L9" i="1" s="1"/>
  <c r="K8" i="1"/>
  <c r="L8" i="1" s="1"/>
  <c r="K7" i="1"/>
  <c r="L7" i="1" s="1"/>
  <c r="K6" i="1"/>
  <c r="L6" i="1" s="1"/>
  <c r="K5" i="1"/>
  <c r="L5" i="1" s="1"/>
  <c r="K4" i="1"/>
  <c r="L4" i="1" s="1"/>
  <c r="K2" i="1"/>
  <c r="L2" i="1" s="1"/>
  <c r="K555" i="1"/>
  <c r="L555" i="1" s="1"/>
  <c r="K554" i="1"/>
  <c r="L554" i="1" s="1"/>
  <c r="K553" i="1"/>
  <c r="L553" i="1" s="1"/>
  <c r="K552" i="1"/>
  <c r="L552" i="1" s="1"/>
  <c r="K551" i="1"/>
  <c r="L551" i="1" s="1"/>
  <c r="K550" i="1"/>
  <c r="L550" i="1" s="1"/>
  <c r="K549" i="1"/>
  <c r="L549" i="1" s="1"/>
  <c r="K548" i="1"/>
  <c r="L548" i="1" s="1"/>
  <c r="K547" i="1"/>
  <c r="L547" i="1" s="1"/>
  <c r="K546" i="1"/>
  <c r="L546" i="1" s="1"/>
  <c r="K545" i="1"/>
  <c r="L545" i="1" s="1"/>
  <c r="K544" i="1"/>
  <c r="L544" i="1" s="1"/>
  <c r="K543" i="1"/>
  <c r="L543" i="1" s="1"/>
  <c r="K542" i="1"/>
  <c r="L542" i="1" s="1"/>
  <c r="K541" i="1"/>
  <c r="L541" i="1" s="1"/>
  <c r="K540" i="1"/>
  <c r="L540" i="1" s="1"/>
  <c r="K539" i="1"/>
  <c r="L539" i="1" s="1"/>
  <c r="K538" i="1"/>
  <c r="L538" i="1" s="1"/>
  <c r="K537" i="1"/>
  <c r="L537" i="1" s="1"/>
  <c r="K536" i="1"/>
  <c r="L536" i="1" s="1"/>
  <c r="K535" i="1"/>
  <c r="L535" i="1" s="1"/>
  <c r="K534" i="1"/>
  <c r="L534" i="1" s="1"/>
  <c r="K532" i="1"/>
  <c r="L532" i="1" s="1"/>
  <c r="K522" i="1"/>
  <c r="L522" i="1" s="1"/>
  <c r="K521" i="1"/>
  <c r="L521" i="1" s="1"/>
  <c r="K520" i="1"/>
  <c r="L520" i="1" s="1"/>
  <c r="K519" i="1"/>
  <c r="L519" i="1" s="1"/>
  <c r="K518" i="1"/>
  <c r="L518" i="1" s="1"/>
  <c r="K517" i="1"/>
  <c r="L517" i="1" s="1"/>
  <c r="K516" i="1"/>
  <c r="L516" i="1" s="1"/>
  <c r="K515" i="1"/>
  <c r="L515" i="1" s="1"/>
  <c r="K514" i="1"/>
  <c r="L514" i="1" s="1"/>
  <c r="K513" i="1"/>
  <c r="L513" i="1" s="1"/>
  <c r="K508" i="1"/>
  <c r="L508" i="1" s="1"/>
  <c r="K507" i="1"/>
  <c r="L507" i="1" s="1"/>
  <c r="K506" i="1"/>
  <c r="L506" i="1" s="1"/>
  <c r="K503" i="1"/>
  <c r="L503" i="1" s="1"/>
  <c r="K501" i="1"/>
  <c r="L501" i="1" s="1"/>
  <c r="K500" i="1"/>
  <c r="L500" i="1" s="1"/>
  <c r="K499" i="1"/>
  <c r="L499" i="1" s="1"/>
  <c r="K495" i="1"/>
  <c r="L495" i="1" s="1"/>
  <c r="K494" i="1"/>
  <c r="L494" i="1" s="1"/>
  <c r="K493" i="1"/>
  <c r="L493" i="1" s="1"/>
  <c r="K492" i="1"/>
  <c r="L492" i="1" s="1"/>
  <c r="K489" i="1"/>
  <c r="L489" i="1" s="1"/>
  <c r="K488" i="1"/>
  <c r="L488" i="1" s="1"/>
  <c r="K481" i="1"/>
  <c r="L481" i="1" s="1"/>
  <c r="K480" i="1"/>
  <c r="L480" i="1" s="1"/>
  <c r="K479" i="1"/>
  <c r="L479" i="1" s="1"/>
  <c r="K478" i="1"/>
  <c r="L478" i="1" s="1"/>
  <c r="K477" i="1"/>
  <c r="L477" i="1" s="1"/>
  <c r="K476" i="1"/>
  <c r="L476" i="1" s="1"/>
  <c r="K475" i="1"/>
  <c r="L475" i="1" s="1"/>
  <c r="K474" i="1"/>
  <c r="L474" i="1" s="1"/>
  <c r="K471" i="1"/>
  <c r="L471" i="1" s="1"/>
  <c r="K470" i="1"/>
  <c r="L470" i="1" s="1"/>
  <c r="K469" i="1"/>
  <c r="L469" i="1" s="1"/>
  <c r="K467" i="1"/>
  <c r="L467" i="1" s="1"/>
  <c r="K466" i="1"/>
  <c r="L466" i="1" s="1"/>
  <c r="K465" i="1"/>
  <c r="L465" i="1" s="1"/>
  <c r="K464" i="1"/>
  <c r="L464" i="1" s="1"/>
  <c r="K463" i="1"/>
  <c r="L463" i="1" s="1"/>
  <c r="K460" i="1"/>
  <c r="L460" i="1" s="1"/>
  <c r="K459" i="1"/>
  <c r="L459" i="1" s="1"/>
  <c r="K458" i="1"/>
  <c r="L458" i="1" s="1"/>
  <c r="K457" i="1"/>
  <c r="L457" i="1" s="1"/>
  <c r="K456" i="1"/>
  <c r="L456" i="1" s="1"/>
  <c r="K452" i="1"/>
  <c r="L452" i="1" s="1"/>
  <c r="K450" i="1"/>
  <c r="L450" i="1" s="1"/>
  <c r="K449" i="1"/>
  <c r="L449" i="1" s="1"/>
  <c r="K448" i="1"/>
  <c r="L448" i="1" s="1"/>
  <c r="K447" i="1"/>
  <c r="L447" i="1" s="1"/>
  <c r="K446" i="1"/>
  <c r="L446" i="1" s="1"/>
  <c r="K441" i="1"/>
  <c r="L441" i="1" s="1"/>
  <c r="K440" i="1"/>
  <c r="L440" i="1" s="1"/>
  <c r="K439" i="1"/>
  <c r="L439" i="1" s="1"/>
  <c r="K438" i="1"/>
  <c r="L438" i="1" s="1"/>
  <c r="K437" i="1"/>
  <c r="L437" i="1" s="1"/>
  <c r="K436" i="1"/>
  <c r="L436" i="1" s="1"/>
  <c r="K435" i="1"/>
  <c r="L435" i="1" s="1"/>
  <c r="K434" i="1"/>
  <c r="L434" i="1" s="1"/>
  <c r="K433" i="1"/>
  <c r="L433" i="1" s="1"/>
  <c r="K432" i="1"/>
  <c r="L432" i="1" s="1"/>
  <c r="K431" i="1"/>
  <c r="L431" i="1" s="1"/>
  <c r="K430" i="1"/>
  <c r="L430" i="1" s="1"/>
  <c r="K429" i="1"/>
  <c r="L429" i="1" s="1"/>
  <c r="K428" i="1"/>
  <c r="L428" i="1" s="1"/>
  <c r="K427" i="1"/>
  <c r="L427" i="1" s="1"/>
  <c r="K426" i="1"/>
  <c r="L426" i="1" s="1"/>
  <c r="K425" i="1"/>
  <c r="L425" i="1" s="1"/>
  <c r="K424" i="1"/>
  <c r="L424" i="1" s="1"/>
  <c r="K422" i="1"/>
  <c r="L422" i="1" s="1"/>
  <c r="K421" i="1"/>
  <c r="L421" i="1" s="1"/>
  <c r="K420" i="1"/>
  <c r="L420" i="1" s="1"/>
  <c r="K419" i="1"/>
  <c r="L419" i="1" s="1"/>
  <c r="K418" i="1"/>
  <c r="L418" i="1" s="1"/>
  <c r="K416" i="1"/>
  <c r="L416" i="1" s="1"/>
  <c r="K415" i="1"/>
  <c r="L415" i="1" s="1"/>
  <c r="K414" i="1"/>
  <c r="L414" i="1" s="1"/>
  <c r="K413" i="1"/>
  <c r="L413" i="1" s="1"/>
  <c r="K412" i="1"/>
  <c r="L412" i="1" s="1"/>
  <c r="K410" i="1"/>
  <c r="L410" i="1" s="1"/>
  <c r="K409" i="1"/>
  <c r="L409" i="1" s="1"/>
  <c r="K406" i="1"/>
  <c r="L406" i="1" s="1"/>
  <c r="K405" i="1"/>
  <c r="L405" i="1" s="1"/>
  <c r="K404" i="1"/>
  <c r="L404" i="1" s="1"/>
  <c r="K403" i="1"/>
  <c r="L403" i="1" s="1"/>
  <c r="K402" i="1"/>
  <c r="L402" i="1" s="1"/>
  <c r="K401" i="1"/>
  <c r="L401" i="1" s="1"/>
  <c r="K396" i="1"/>
  <c r="L396" i="1" s="1"/>
  <c r="K395" i="1"/>
  <c r="L395" i="1" s="1"/>
  <c r="K394" i="1"/>
  <c r="L394" i="1" s="1"/>
  <c r="K393" i="1"/>
  <c r="L393" i="1" s="1"/>
  <c r="K391" i="1"/>
  <c r="L391" i="1" s="1"/>
  <c r="K390" i="1"/>
  <c r="L390" i="1" s="1"/>
  <c r="K389" i="1"/>
  <c r="L389" i="1" s="1"/>
  <c r="K388" i="1"/>
  <c r="L388" i="1" s="1"/>
  <c r="K387" i="1"/>
  <c r="L387" i="1" s="1"/>
  <c r="K386" i="1"/>
  <c r="L386" i="1" s="1"/>
  <c r="K385" i="1"/>
  <c r="L385" i="1" s="1"/>
  <c r="K384" i="1"/>
  <c r="L384" i="1" s="1"/>
  <c r="K383" i="1"/>
  <c r="L383" i="1" s="1"/>
  <c r="K382" i="1"/>
  <c r="L382" i="1" s="1"/>
  <c r="K380" i="1"/>
  <c r="L380" i="1" s="1"/>
  <c r="K379" i="1"/>
  <c r="L379" i="1" s="1"/>
  <c r="K378" i="1"/>
  <c r="L378" i="1" s="1"/>
  <c r="K377" i="1"/>
  <c r="L377" i="1" s="1"/>
  <c r="K376" i="1"/>
  <c r="L376" i="1" s="1"/>
  <c r="K375" i="1"/>
  <c r="L375" i="1" s="1"/>
  <c r="K366" i="1"/>
  <c r="L366" i="1" s="1"/>
  <c r="K365" i="1"/>
  <c r="L365" i="1" s="1"/>
  <c r="K362" i="1"/>
  <c r="L362" i="1" s="1"/>
  <c r="K361" i="1"/>
  <c r="L361" i="1" s="1"/>
  <c r="K360" i="1"/>
  <c r="L360" i="1" s="1"/>
  <c r="K359" i="1"/>
  <c r="L359" i="1" s="1"/>
  <c r="K358" i="1"/>
  <c r="L358" i="1" s="1"/>
  <c r="K357" i="1"/>
  <c r="L357" i="1" s="1"/>
  <c r="K355" i="1"/>
  <c r="L355" i="1" s="1"/>
  <c r="K354" i="1"/>
  <c r="L354" i="1" s="1"/>
  <c r="K353" i="1"/>
  <c r="L353" i="1" s="1"/>
  <c r="K352" i="1"/>
  <c r="L352" i="1" s="1"/>
  <c r="K351" i="1"/>
  <c r="L351" i="1" s="1"/>
  <c r="K350" i="1"/>
  <c r="L350" i="1" s="1"/>
  <c r="K349" i="1"/>
  <c r="L349" i="1" s="1"/>
  <c r="K348" i="1"/>
  <c r="L348" i="1" s="1"/>
  <c r="K347" i="1"/>
  <c r="L347" i="1" s="1"/>
  <c r="K346" i="1"/>
  <c r="L346" i="1" s="1"/>
  <c r="K345" i="1"/>
  <c r="L345" i="1" s="1"/>
  <c r="K344" i="1"/>
  <c r="L344" i="1" s="1"/>
  <c r="K343" i="1"/>
  <c r="L343" i="1" s="1"/>
  <c r="K342" i="1"/>
  <c r="L342" i="1" s="1"/>
  <c r="K341" i="1"/>
  <c r="L341" i="1" s="1"/>
  <c r="K340" i="1"/>
  <c r="L340" i="1" s="1"/>
  <c r="K339" i="1"/>
  <c r="L339" i="1" s="1"/>
  <c r="K338" i="1"/>
  <c r="L338" i="1" s="1"/>
  <c r="K336" i="1"/>
  <c r="L336" i="1" s="1"/>
  <c r="K335" i="1"/>
  <c r="L335" i="1" s="1"/>
  <c r="K334" i="1"/>
  <c r="L334" i="1" s="1"/>
  <c r="K332" i="1"/>
  <c r="L332" i="1" s="1"/>
  <c r="K331" i="1"/>
  <c r="L331" i="1" s="1"/>
  <c r="K329" i="1"/>
  <c r="L329" i="1" s="1"/>
  <c r="K328" i="1"/>
  <c r="L328" i="1" s="1"/>
  <c r="K327" i="1"/>
  <c r="L327" i="1" s="1"/>
  <c r="K326" i="1"/>
  <c r="L326" i="1" s="1"/>
  <c r="K325" i="1"/>
  <c r="L325" i="1" s="1"/>
  <c r="K322" i="1"/>
  <c r="L322" i="1" s="1"/>
  <c r="K321" i="1"/>
  <c r="L321" i="1" s="1"/>
  <c r="K320" i="1"/>
  <c r="L320" i="1" s="1"/>
  <c r="K319" i="1"/>
  <c r="L319" i="1" s="1"/>
  <c r="K318" i="1"/>
  <c r="L318" i="1" s="1"/>
  <c r="K317" i="1"/>
  <c r="L317" i="1" s="1"/>
  <c r="K316" i="1"/>
  <c r="L316" i="1" s="1"/>
  <c r="K315" i="1"/>
  <c r="L315" i="1" s="1"/>
  <c r="K314" i="1"/>
  <c r="L314" i="1" s="1"/>
  <c r="K306" i="1"/>
  <c r="L306" i="1" s="1"/>
  <c r="K293" i="1"/>
  <c r="L293" i="1" s="1"/>
  <c r="K291" i="1"/>
  <c r="L291" i="1" s="1"/>
  <c r="K285" i="1"/>
  <c r="L285" i="1" s="1"/>
  <c r="K277" i="1"/>
  <c r="L277" i="1" s="1"/>
  <c r="K274" i="1"/>
  <c r="L274" i="1" s="1"/>
  <c r="K272" i="1"/>
  <c r="L272" i="1" s="1"/>
  <c r="K254" i="1"/>
  <c r="L254" i="1" s="1"/>
  <c r="K252" i="1"/>
  <c r="L252" i="1" s="1"/>
  <c r="K233" i="1"/>
  <c r="L233" i="1" s="1"/>
  <c r="K226" i="1"/>
  <c r="L226" i="1" s="1"/>
  <c r="K222" i="1"/>
  <c r="L222" i="1" s="1"/>
  <c r="K220" i="1"/>
  <c r="L220" i="1" s="1"/>
  <c r="K215" i="1"/>
  <c r="L215" i="1" s="1"/>
  <c r="K214" i="1"/>
  <c r="L214" i="1" s="1"/>
  <c r="K213" i="1"/>
  <c r="L213" i="1" s="1"/>
  <c r="K212" i="1"/>
  <c r="L212" i="1" s="1"/>
  <c r="K210" i="1"/>
  <c r="L210" i="1" s="1"/>
  <c r="K206" i="1"/>
  <c r="L206" i="1" s="1"/>
  <c r="K203" i="1"/>
  <c r="L203" i="1" s="1"/>
  <c r="K202" i="1"/>
  <c r="L202" i="1" s="1"/>
  <c r="K201" i="1"/>
  <c r="L201" i="1" s="1"/>
  <c r="K178" i="1"/>
  <c r="L178" i="1" s="1"/>
  <c r="K177" i="1"/>
  <c r="L177" i="1" s="1"/>
  <c r="K176" i="1"/>
  <c r="L176" i="1" s="1"/>
  <c r="K169" i="1"/>
  <c r="L169" i="1" s="1"/>
  <c r="K168" i="1"/>
  <c r="L168" i="1" s="1"/>
  <c r="K167" i="1"/>
  <c r="L167" i="1" s="1"/>
  <c r="K165" i="1"/>
  <c r="L165" i="1" s="1"/>
  <c r="K164" i="1"/>
  <c r="L164" i="1" s="1"/>
  <c r="K163" i="1"/>
  <c r="L163" i="1" s="1"/>
  <c r="K162" i="1"/>
  <c r="L162" i="1" s="1"/>
  <c r="K161" i="1"/>
  <c r="L161" i="1" s="1"/>
  <c r="K160" i="1"/>
  <c r="L160" i="1" s="1"/>
  <c r="K158" i="1"/>
  <c r="L158" i="1" s="1"/>
  <c r="K157" i="1"/>
  <c r="L157" i="1" s="1"/>
  <c r="K156" i="1"/>
  <c r="L156" i="1" s="1"/>
  <c r="K155" i="1"/>
  <c r="L155" i="1" s="1"/>
  <c r="K154" i="1"/>
  <c r="L154" i="1" s="1"/>
  <c r="K151" i="1"/>
  <c r="L151" i="1" s="1"/>
  <c r="K150" i="1"/>
  <c r="L150" i="1" s="1"/>
  <c r="K149" i="1"/>
  <c r="L149" i="1" s="1"/>
  <c r="K148" i="1"/>
  <c r="L148" i="1" s="1"/>
  <c r="K147" i="1"/>
  <c r="L147" i="1" s="1"/>
  <c r="K146" i="1"/>
  <c r="L146" i="1" s="1"/>
  <c r="K145" i="1"/>
  <c r="L145" i="1" s="1"/>
  <c r="K144" i="1"/>
  <c r="L144" i="1" s="1"/>
  <c r="K143" i="1"/>
  <c r="L143" i="1" s="1"/>
  <c r="K142" i="1"/>
  <c r="L142" i="1" s="1"/>
  <c r="K141" i="1"/>
  <c r="L141" i="1" s="1"/>
  <c r="K140" i="1"/>
  <c r="L140" i="1" s="1"/>
  <c r="K139" i="1"/>
  <c r="L139" i="1" s="1"/>
  <c r="K138" i="1"/>
  <c r="L138" i="1" s="1"/>
  <c r="K137" i="1"/>
  <c r="L137" i="1" s="1"/>
  <c r="K136" i="1"/>
  <c r="L136" i="1" s="1"/>
  <c r="K134" i="1"/>
  <c r="L134" i="1" s="1"/>
  <c r="K133" i="1"/>
  <c r="L133" i="1" s="1"/>
  <c r="K132" i="1"/>
  <c r="L132" i="1" s="1"/>
  <c r="K131" i="1"/>
  <c r="L131" i="1" s="1"/>
  <c r="K130" i="1"/>
  <c r="L130" i="1" s="1"/>
  <c r="K129" i="1"/>
  <c r="L129" i="1" s="1"/>
  <c r="K128" i="1"/>
  <c r="L128" i="1" s="1"/>
  <c r="K127" i="1"/>
  <c r="L127" i="1" s="1"/>
  <c r="K125" i="1"/>
  <c r="L125" i="1" s="1"/>
  <c r="K124" i="1"/>
  <c r="L124" i="1" s="1"/>
  <c r="K123" i="1"/>
  <c r="L123" i="1" s="1"/>
  <c r="K121" i="1"/>
  <c r="L121" i="1" s="1"/>
  <c r="K120" i="1"/>
  <c r="L120" i="1" s="1"/>
  <c r="K119" i="1"/>
  <c r="L119" i="1" s="1"/>
  <c r="K118" i="1"/>
  <c r="L118" i="1" s="1"/>
  <c r="K117" i="1"/>
  <c r="L117" i="1" s="1"/>
  <c r="K116" i="1"/>
  <c r="L116" i="1" s="1"/>
  <c r="K114" i="1"/>
  <c r="L114" i="1" s="1"/>
  <c r="K113" i="1"/>
  <c r="L113" i="1" s="1"/>
  <c r="K112" i="1"/>
  <c r="L112" i="1" s="1"/>
  <c r="K111" i="1"/>
  <c r="L111" i="1" s="1"/>
  <c r="K110" i="1"/>
  <c r="L110" i="1" s="1"/>
  <c r="K107" i="1"/>
  <c r="L107" i="1" s="1"/>
  <c r="K106" i="1"/>
  <c r="L106" i="1" s="1"/>
  <c r="K105" i="1"/>
  <c r="L105" i="1" s="1"/>
  <c r="K104" i="1"/>
  <c r="L104" i="1" s="1"/>
  <c r="K103" i="1"/>
  <c r="L103" i="1" s="1"/>
  <c r="K102" i="1"/>
  <c r="L102" i="1" s="1"/>
  <c r="K101" i="1"/>
  <c r="L101" i="1" s="1"/>
  <c r="K100" i="1"/>
  <c r="L100" i="1" s="1"/>
  <c r="K99" i="1"/>
  <c r="L99" i="1" s="1"/>
  <c r="K98" i="1"/>
  <c r="L98" i="1" s="1"/>
  <c r="K97" i="1"/>
  <c r="L97" i="1" s="1"/>
  <c r="K96" i="1"/>
  <c r="L96" i="1" s="1"/>
  <c r="K95" i="1"/>
  <c r="L95" i="1" s="1"/>
  <c r="K94" i="1"/>
  <c r="L94" i="1" s="1"/>
  <c r="K93" i="1"/>
  <c r="L93" i="1" s="1"/>
  <c r="K92" i="1"/>
  <c r="L92" i="1" s="1"/>
  <c r="K90" i="1"/>
  <c r="L90" i="1" s="1"/>
  <c r="K89" i="1"/>
  <c r="L89" i="1" s="1"/>
  <c r="K88" i="1"/>
  <c r="L88" i="1" s="1"/>
  <c r="K87" i="1"/>
  <c r="L87" i="1" s="1"/>
  <c r="K86" i="1"/>
  <c r="L86" i="1" s="1"/>
  <c r="K85" i="1"/>
  <c r="L85" i="1" s="1"/>
  <c r="K84" i="1"/>
  <c r="L84" i="1" s="1"/>
  <c r="K83" i="1"/>
  <c r="L83" i="1" s="1"/>
  <c r="K82" i="1"/>
  <c r="L82" i="1" s="1"/>
  <c r="K81" i="1"/>
  <c r="L81" i="1" s="1"/>
  <c r="K575" i="1"/>
  <c r="L575" i="1" s="1"/>
  <c r="K574" i="1"/>
  <c r="L574" i="1" s="1"/>
  <c r="K569" i="1"/>
  <c r="L569" i="1" s="1"/>
  <c r="K568" i="1"/>
  <c r="L568" i="1" s="1"/>
  <c r="K566" i="1"/>
  <c r="L566" i="1" s="1"/>
  <c r="K530" i="1"/>
  <c r="L530" i="1" s="1"/>
  <c r="K528" i="1"/>
  <c r="L528" i="1" s="1"/>
  <c r="K526" i="1"/>
  <c r="L526" i="1" s="1"/>
  <c r="K524" i="1"/>
  <c r="L524" i="1" s="1"/>
  <c r="K511" i="1"/>
  <c r="L511" i="1" s="1"/>
  <c r="K504" i="1"/>
  <c r="L504" i="1" s="1"/>
  <c r="K491" i="1"/>
  <c r="L491" i="1" s="1"/>
  <c r="K490" i="1"/>
  <c r="L490" i="1" s="1"/>
  <c r="K485" i="1"/>
  <c r="L485" i="1" s="1"/>
  <c r="K483" i="1"/>
  <c r="L483" i="1" s="1"/>
  <c r="K482" i="1"/>
  <c r="L482" i="1" s="1"/>
  <c r="K408" i="1"/>
  <c r="L408" i="1" s="1"/>
  <c r="K398" i="1"/>
  <c r="L398" i="1" s="1"/>
  <c r="K392" i="1"/>
  <c r="L392" i="1" s="1"/>
  <c r="K372" i="1"/>
  <c r="L372" i="1" s="1"/>
  <c r="K371" i="1"/>
  <c r="L371" i="1" s="1"/>
  <c r="K369" i="1"/>
  <c r="L369" i="1" s="1"/>
  <c r="K363" i="1"/>
  <c r="L363" i="1" s="1"/>
  <c r="K313" i="1"/>
  <c r="L313" i="1" s="1"/>
  <c r="K300" i="1"/>
  <c r="L300" i="1" s="1"/>
  <c r="K299" i="1"/>
  <c r="L299" i="1" s="1"/>
  <c r="K298" i="1"/>
  <c r="L298" i="1" s="1"/>
  <c r="K297" i="1"/>
  <c r="L297" i="1" s="1"/>
  <c r="K296" i="1"/>
  <c r="L296" i="1" s="1"/>
  <c r="K286" i="1"/>
  <c r="L286" i="1" s="1"/>
  <c r="K283" i="1"/>
  <c r="L283" i="1" s="1"/>
  <c r="K282" i="1"/>
  <c r="L282" i="1" s="1"/>
  <c r="K281" i="1"/>
  <c r="L281" i="1" s="1"/>
  <c r="K276" i="1"/>
  <c r="L276" i="1" s="1"/>
  <c r="K271" i="1"/>
  <c r="L271" i="1" s="1"/>
  <c r="K269" i="1"/>
  <c r="L269" i="1" s="1"/>
  <c r="K259" i="1"/>
  <c r="L259" i="1" s="1"/>
  <c r="K251" i="1"/>
  <c r="L251" i="1" s="1"/>
  <c r="K249" i="1"/>
  <c r="L249" i="1" s="1"/>
  <c r="K232" i="1"/>
  <c r="L232" i="1" s="1"/>
  <c r="K230" i="1"/>
  <c r="L230" i="1" s="1"/>
  <c r="K229" i="1"/>
  <c r="L229" i="1" s="1"/>
  <c r="K228" i="1"/>
  <c r="L228" i="1" s="1"/>
  <c r="K227" i="1"/>
  <c r="L227" i="1" s="1"/>
  <c r="K218" i="1"/>
  <c r="L218" i="1" s="1"/>
  <c r="K217" i="1"/>
  <c r="L217" i="1" s="1"/>
  <c r="K216" i="1"/>
  <c r="L216" i="1" s="1"/>
  <c r="K209" i="1"/>
  <c r="L209" i="1" s="1"/>
  <c r="K207" i="1"/>
  <c r="L207" i="1" s="1"/>
  <c r="K190" i="1"/>
  <c r="L190" i="1" s="1"/>
  <c r="K189" i="1"/>
  <c r="L189" i="1" s="1"/>
  <c r="K188" i="1"/>
  <c r="L188" i="1" s="1"/>
  <c r="K185" i="1"/>
  <c r="L185" i="1" s="1"/>
  <c r="K181" i="1"/>
  <c r="L181" i="1" s="1"/>
  <c r="K180" i="1"/>
  <c r="L180" i="1" s="1"/>
  <c r="K174" i="1"/>
  <c r="L174" i="1" s="1"/>
  <c r="K510" i="1"/>
  <c r="L510" i="1" s="1"/>
  <c r="K307" i="1"/>
  <c r="L307" i="1" s="1"/>
  <c r="K304" i="1"/>
  <c r="L304" i="1" s="1"/>
  <c r="K303" i="1"/>
  <c r="L303" i="1" s="1"/>
  <c r="K302" i="1"/>
  <c r="L302" i="1" s="1"/>
  <c r="K301" i="1"/>
  <c r="L301" i="1" s="1"/>
  <c r="K295" i="1"/>
  <c r="L295" i="1" s="1"/>
  <c r="K292" i="1"/>
  <c r="L292" i="1" s="1"/>
  <c r="K289" i="1"/>
  <c r="L289" i="1" s="1"/>
  <c r="K288" i="1"/>
  <c r="L288" i="1" s="1"/>
  <c r="K278" i="1"/>
  <c r="L278" i="1" s="1"/>
  <c r="K275" i="1"/>
  <c r="L275" i="1" s="1"/>
  <c r="K265" i="1"/>
  <c r="L265" i="1" s="1"/>
  <c r="K264" i="1"/>
  <c r="L264" i="1" s="1"/>
  <c r="K263" i="1"/>
  <c r="L263" i="1" s="1"/>
  <c r="K262" i="1"/>
  <c r="L262" i="1" s="1"/>
  <c r="K261" i="1"/>
  <c r="L261" i="1" s="1"/>
  <c r="K260" i="1"/>
  <c r="L260" i="1" s="1"/>
  <c r="K258" i="1"/>
  <c r="L258" i="1" s="1"/>
  <c r="K257" i="1"/>
  <c r="L257" i="1" s="1"/>
  <c r="K256" i="1"/>
  <c r="L256" i="1" s="1"/>
  <c r="K247" i="1"/>
  <c r="L247" i="1" s="1"/>
  <c r="K246" i="1"/>
  <c r="L246" i="1" s="1"/>
  <c r="K243" i="1"/>
  <c r="L243" i="1" s="1"/>
  <c r="K242" i="1"/>
  <c r="L242" i="1" s="1"/>
  <c r="K241" i="1"/>
  <c r="L241" i="1" s="1"/>
  <c r="K240" i="1"/>
  <c r="L240" i="1" s="1"/>
  <c r="K231" i="1"/>
  <c r="L231" i="1" s="1"/>
  <c r="K223" i="1"/>
  <c r="L223" i="1" s="1"/>
  <c r="K219" i="1"/>
  <c r="L219" i="1" s="1"/>
  <c r="K208" i="1"/>
  <c r="L208" i="1" s="1"/>
  <c r="K205" i="1"/>
  <c r="L205" i="1" s="1"/>
  <c r="K196" i="1"/>
  <c r="L196" i="1" s="1"/>
  <c r="K195" i="1"/>
  <c r="L195" i="1" s="1"/>
  <c r="K194" i="1"/>
  <c r="L194" i="1" s="1"/>
  <c r="K187" i="1"/>
  <c r="L187" i="1" s="1"/>
  <c r="K186" i="1"/>
  <c r="L186" i="1" s="1"/>
  <c r="K184" i="1"/>
  <c r="L184" i="1" s="1"/>
  <c r="K183" i="1"/>
  <c r="L183" i="1" s="1"/>
  <c r="K182" i="1"/>
  <c r="L182" i="1" s="1"/>
  <c r="K173" i="1"/>
  <c r="L173" i="1" s="1"/>
  <c r="K171" i="1"/>
  <c r="L171" i="1" s="1"/>
  <c r="K573" i="1"/>
  <c r="L573" i="1" s="1"/>
  <c r="K572" i="1"/>
  <c r="L572" i="1" s="1"/>
  <c r="K567" i="1"/>
  <c r="L567" i="1" s="1"/>
  <c r="K533" i="1"/>
  <c r="L533" i="1" s="1"/>
  <c r="K531" i="1"/>
  <c r="L531" i="1" s="1"/>
  <c r="K529" i="1"/>
  <c r="L529" i="1" s="1"/>
  <c r="K527" i="1"/>
  <c r="L527" i="1" s="1"/>
  <c r="K525" i="1"/>
  <c r="L525" i="1" s="1"/>
  <c r="K523" i="1"/>
  <c r="L523" i="1" s="1"/>
  <c r="K512" i="1"/>
  <c r="L512" i="1" s="1"/>
  <c r="K505" i="1"/>
  <c r="L505" i="1" s="1"/>
  <c r="K497" i="1"/>
  <c r="L497" i="1" s="1"/>
  <c r="K486" i="1"/>
  <c r="L486" i="1" s="1"/>
  <c r="K484" i="1"/>
  <c r="L484" i="1" s="1"/>
  <c r="K473" i="1"/>
  <c r="L473" i="1" s="1"/>
  <c r="K472" i="1"/>
  <c r="L472" i="1" s="1"/>
  <c r="K462" i="1"/>
  <c r="L462" i="1" s="1"/>
  <c r="K454" i="1"/>
  <c r="L454" i="1" s="1"/>
  <c r="K444" i="1"/>
  <c r="L444" i="1" s="1"/>
  <c r="K442" i="1"/>
  <c r="L442" i="1" s="1"/>
  <c r="K407" i="1"/>
  <c r="L407" i="1" s="1"/>
  <c r="K399" i="1"/>
  <c r="L399" i="1" s="1"/>
  <c r="K397" i="1"/>
  <c r="L397" i="1" s="1"/>
  <c r="K373" i="1"/>
  <c r="L373" i="1" s="1"/>
  <c r="K370" i="1"/>
  <c r="L370" i="1" s="1"/>
  <c r="K364" i="1"/>
  <c r="L364" i="1" s="1"/>
  <c r="K311" i="1"/>
  <c r="L311" i="1" s="1"/>
  <c r="K310" i="1"/>
  <c r="L310" i="1" s="1"/>
  <c r="K309" i="1"/>
  <c r="L309" i="1" s="1"/>
  <c r="K308" i="1"/>
  <c r="L308" i="1" s="1"/>
  <c r="K305" i="1"/>
  <c r="L305" i="1" s="1"/>
  <c r="K290" i="1"/>
  <c r="L290" i="1" s="1"/>
  <c r="K284" i="1"/>
  <c r="L284" i="1" s="1"/>
  <c r="K273" i="1"/>
  <c r="L273" i="1" s="1"/>
  <c r="K270" i="1"/>
  <c r="L270" i="1" s="1"/>
  <c r="K267" i="1"/>
  <c r="L267" i="1" s="1"/>
  <c r="K266" i="1"/>
  <c r="L266" i="1" s="1"/>
  <c r="K253" i="1"/>
  <c r="L253" i="1" s="1"/>
  <c r="K250" i="1"/>
  <c r="L250" i="1" s="1"/>
  <c r="K245" i="1"/>
  <c r="L245" i="1" s="1"/>
  <c r="K244" i="1"/>
  <c r="L244" i="1" s="1"/>
  <c r="K237" i="1"/>
  <c r="L237" i="1" s="1"/>
  <c r="K236" i="1"/>
  <c r="L236" i="1" s="1"/>
  <c r="K235" i="1"/>
  <c r="L235" i="1" s="1"/>
  <c r="K234" i="1"/>
  <c r="L234" i="1" s="1"/>
  <c r="K225" i="1"/>
  <c r="L225" i="1" s="1"/>
  <c r="K200" i="1"/>
  <c r="L200" i="1" s="1"/>
  <c r="K193" i="1"/>
  <c r="L193" i="1" s="1"/>
  <c r="K192" i="1"/>
  <c r="L192" i="1" s="1"/>
  <c r="K191" i="1"/>
  <c r="L191" i="1" s="1"/>
  <c r="K175" i="1"/>
  <c r="L175" i="1" s="1"/>
  <c r="K665" i="1"/>
  <c r="L665" i="1" s="1"/>
  <c r="K664" i="1"/>
  <c r="L664" i="1" s="1"/>
  <c r="K578" i="1"/>
  <c r="L578" i="1" s="1"/>
  <c r="K576" i="1"/>
  <c r="L576" i="1" s="1"/>
</calcChain>
</file>

<file path=xl/sharedStrings.xml><?xml version="1.0" encoding="utf-8"?>
<sst xmlns="http://schemas.openxmlformats.org/spreadsheetml/2006/main" count="1479" uniqueCount="117">
  <si>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</si>
  <si>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</si>
  <si>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</si>
  <si>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</si>
  <si>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</si>
  <si>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</si>
  <si>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</si>
  <si>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</si>
  <si>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</si>
  <si>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</si>
  <si>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</si>
  <si>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</si>
  <si>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</si>
  <si>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</si>
  <si>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</si>
  <si>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Alisson de Freitas Silva</t>
  </si>
  <si>
    <t>Técnico II</t>
  </si>
  <si>
    <t>Amanda Moura Ferreira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</si>
  <si>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</si>
  <si>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</si>
  <si>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</si>
  <si>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</si>
  <si>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</si>
  <si>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</si>
  <si>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</si>
  <si>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</si>
  <si>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</si>
  <si>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</si>
  <si>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</si>
  <si>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</si>
  <si>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</si>
  <si>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</si>
  <si>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</si>
  <si>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</si>
  <si>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Francielson de Oliveira</t>
  </si>
  <si>
    <t>Francilene Ferreira de Jesus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</si>
  <si>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</si>
  <si>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</si>
  <si>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</si>
  <si>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</si>
  <si>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</si>
  <si>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Jéssica Fé Moura</t>
  </si>
  <si>
    <t>Karina Gonçalves Martins</t>
  </si>
  <si>
    <t>JR</t>
  </si>
  <si>
    <t>Kerollen Cristielly de Jesus Siqueira</t>
  </si>
  <si>
    <t>Leandro de Souza Silva</t>
  </si>
  <si>
    <t>Leandro Oliveira de Sousa</t>
  </si>
  <si>
    <t>Lizandra Gomes Duarte</t>
  </si>
  <si>
    <t>Lorena Dias de Araujo</t>
  </si>
  <si>
    <t>Lucas Luiz Romero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</si>
  <si>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</si>
  <si>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</si>
  <si>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</si>
  <si>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</si>
  <si>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</si>
  <si>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</si>
  <si>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</si>
  <si>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</si>
  <si>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</si>
  <si>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</si>
  <si>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</si>
  <si>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</si>
  <si>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</si>
  <si>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</si>
  <si>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Gabriel Alves</t>
  </si>
  <si>
    <t>Técnico Planilha</t>
  </si>
  <si>
    <t>Agente BI</t>
  </si>
  <si>
    <t>Agente SGD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</si>
  <si>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</si>
  <si>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</si>
  <si>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</si>
  <si>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</si>
  <si>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</si>
  <si>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</si>
  <si>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</si>
  <si>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</si>
  <si>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</si>
  <si>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</si>
  <si>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</si>
  <si>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Daniel Silva</t>
  </si>
  <si>
    <t>Emilly Caylane (Estagio)</t>
  </si>
  <si>
    <t>Emilly Miranda</t>
  </si>
  <si>
    <t>Emilly Kamilly Simão de Medeiros Miranda</t>
  </si>
  <si>
    <t>Francielson</t>
  </si>
  <si>
    <t>Gabriel Andrade</t>
  </si>
  <si>
    <t>Gabriel Alves de Andrade</t>
  </si>
  <si>
    <t>Isabella Borges</t>
  </si>
  <si>
    <t>Janaina Urany</t>
  </si>
  <si>
    <t>Jaqueline Evangelista</t>
  </si>
  <si>
    <t>Jessica Silveira</t>
  </si>
  <si>
    <t>Jessica</t>
  </si>
  <si>
    <t>Karina Martins</t>
  </si>
  <si>
    <t>Kerollen</t>
  </si>
  <si>
    <t>Leandro Sousa</t>
  </si>
  <si>
    <t>Leandro Silva</t>
  </si>
  <si>
    <t>Lizandra Duarte</t>
  </si>
  <si>
    <t>Lucas Romero</t>
  </si>
  <si>
    <t>Luiz Fernando</t>
  </si>
  <si>
    <t>Luiz Fernando de Carvalho Júnior</t>
  </si>
  <si>
    <t>Maria Eduarda (Estagio)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</si>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</sst>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29"/>
  <sheetViews>
    <sheetView tabSelected="1" topLeftCell="A649" zoomScale="85" zoomScaleNormal="85" workbookViewId="0">
      <selection activeCell="J665" sqref="J665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x14ac:dyDescent="0.25">
      <c r="A2" s="5">
        <v>46146</v>
      </c>
      <c r="B2" s="6" t="s">
        <v>15</v>
      </c>
      <c r="C2" s="3" t="s">
        <v>16</v>
      </c>
      <c r="D2" s="3">
        <v>40</v>
      </c>
      <c r="E2" s="3">
        <v>38</v>
      </c>
      <c r="F2" s="3">
        <v>8.3000000000000007</v>
      </c>
      <c r="G2" s="3">
        <v>4</v>
      </c>
      <c r="I2" s="3">
        <f>E2+G2+H2</f>
        <v>42</v>
      </c>
      <c r="J2" s="3">
        <f t="shared" ref="J2:J65" si="0"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28</v>
      </c>
      <c r="K2" s="3">
        <f>I2-J2</f>
        <v>14</v>
      </c>
      <c r="L2" s="3" t="str">
        <f t="shared" ref="L2:L65" si="1">IF(K2&lt;-5,"CRÍTICO",IF(K2&lt;0,"ATENÇÃO",IF(K2&lt;=5,"BOM","EXCELENTE")))</f>
        <v>EXCELENTE</v>
      </c>
      <c r="M2" s="9">
        <v>36</v>
      </c>
      <c r="N2" s="9">
        <v>98.94</v>
      </c>
      <c r="O2" s="9">
        <v>19.614147909967851</v>
      </c>
    </row>
    <row r="3" spans="1:16" x14ac:dyDescent="0.25">
      <c r="A3" s="5">
        <v>46146</v>
      </c>
      <c r="B3" s="6" t="s">
        <v>17</v>
      </c>
      <c r="C3" s="3" t="s">
        <v>18</v>
      </c>
      <c r="D3" s="3">
        <v>0</v>
      </c>
      <c r="E3" s="3">
        <v>0</v>
      </c>
      <c r="G3" s="3">
        <v>0</v>
      </c>
      <c r="H3" s="3">
        <v>0</v>
      </c>
      <c r="I3" s="3">
        <v>0</v>
      </c>
      <c r="J3" s="3">
        <f t="shared" si="0"/>
        <v>35</v>
      </c>
      <c r="K3" s="3">
        <v>0</v>
      </c>
      <c r="L3" s="3" t="str">
        <f t="shared" si="1"/>
        <v>BOM</v>
      </c>
      <c r="M3" s="9">
        <v>0</v>
      </c>
      <c r="N3" s="9">
        <v>100</v>
      </c>
      <c r="O3" s="9">
        <v>0</v>
      </c>
    </row>
    <row r="4" spans="1:16" x14ac:dyDescent="0.25">
      <c r="A4" s="5">
        <v>46146</v>
      </c>
      <c r="B4" s="6" t="s">
        <v>19</v>
      </c>
      <c r="C4" s="3" t="s">
        <v>20</v>
      </c>
      <c r="D4" s="3">
        <v>41</v>
      </c>
      <c r="E4" s="3">
        <v>39</v>
      </c>
      <c r="F4" s="3">
        <v>10.51</v>
      </c>
      <c r="G4" s="3">
        <v>1</v>
      </c>
      <c r="I4" s="3">
        <f t="shared" ref="I4:I16" si="2">E4+G4+H4</f>
        <v>40</v>
      </c>
      <c r="J4" s="3">
        <f t="shared" si="0"/>
        <v>23</v>
      </c>
      <c r="K4" s="3">
        <f t="shared" ref="K4:K16" si="3">I4-J4</f>
        <v>17</v>
      </c>
      <c r="L4" s="3" t="str">
        <f t="shared" si="1"/>
        <v>EXCELENTE</v>
      </c>
      <c r="M4" s="9">
        <v>35</v>
      </c>
      <c r="N4" s="9">
        <v>95.38</v>
      </c>
      <c r="O4" s="9">
        <v>21.5962441314554</v>
      </c>
    </row>
    <row r="5" spans="1:16" x14ac:dyDescent="0.25">
      <c r="A5" s="5">
        <v>46146</v>
      </c>
      <c r="B5" s="6" t="s">
        <v>21</v>
      </c>
      <c r="C5" s="9" t="s">
        <v>18</v>
      </c>
      <c r="D5" s="3">
        <v>30</v>
      </c>
      <c r="E5" s="3">
        <v>27</v>
      </c>
      <c r="F5" s="3">
        <v>10.4</v>
      </c>
      <c r="G5" s="3">
        <v>0</v>
      </c>
      <c r="I5" s="3">
        <f t="shared" si="2"/>
        <v>27</v>
      </c>
      <c r="J5" s="3">
        <f t="shared" si="0"/>
        <v>35</v>
      </c>
      <c r="K5" s="3">
        <f t="shared" si="3"/>
        <v>-8</v>
      </c>
      <c r="L5" s="3" t="str">
        <f t="shared" si="1"/>
        <v>CRÍTICO</v>
      </c>
      <c r="M5" s="9">
        <v>31</v>
      </c>
      <c r="N5" s="9">
        <v>96.34</v>
      </c>
      <c r="O5" s="9">
        <v>17.571884984025559</v>
      </c>
    </row>
    <row r="6" spans="1:16" x14ac:dyDescent="0.25">
      <c r="A6" s="5">
        <v>46146</v>
      </c>
      <c r="B6" s="6" t="s">
        <v>22</v>
      </c>
      <c r="C6" s="3" t="s">
        <v>23</v>
      </c>
      <c r="D6" s="3">
        <v>48</v>
      </c>
      <c r="E6" s="3">
        <v>36</v>
      </c>
      <c r="F6" s="3">
        <v>6.4</v>
      </c>
      <c r="G6" s="3">
        <v>0</v>
      </c>
      <c r="H6" s="3">
        <v>0</v>
      </c>
      <c r="I6" s="3">
        <f t="shared" si="2"/>
        <v>36</v>
      </c>
      <c r="J6" s="3">
        <f t="shared" si="0"/>
        <v>10</v>
      </c>
      <c r="K6" s="3">
        <f t="shared" si="3"/>
        <v>26</v>
      </c>
      <c r="L6" s="3" t="str">
        <f t="shared" si="1"/>
        <v>EXCELENTE</v>
      </c>
      <c r="M6" s="9">
        <v>29</v>
      </c>
      <c r="N6" s="9">
        <v>99.11</v>
      </c>
      <c r="O6" s="9">
        <v>17.721518987341771</v>
      </c>
    </row>
    <row r="7" spans="1:16" x14ac:dyDescent="0.25">
      <c r="A7" s="5">
        <v>46146</v>
      </c>
      <c r="B7" s="6" t="s">
        <v>24</v>
      </c>
      <c r="C7" s="3" t="s">
        <v>16</v>
      </c>
      <c r="D7" s="3">
        <v>41</v>
      </c>
      <c r="E7" s="3">
        <v>38</v>
      </c>
      <c r="F7" s="3">
        <v>7.04</v>
      </c>
      <c r="G7" s="3">
        <v>5</v>
      </c>
      <c r="I7" s="3">
        <f t="shared" si="2"/>
        <v>43</v>
      </c>
      <c r="J7" s="3">
        <f t="shared" si="0"/>
        <v>28</v>
      </c>
      <c r="K7" s="3">
        <f t="shared" si="3"/>
        <v>15</v>
      </c>
      <c r="L7" s="3" t="str">
        <f t="shared" si="1"/>
        <v>EXCELENTE</v>
      </c>
      <c r="M7" s="9">
        <v>43</v>
      </c>
      <c r="N7" s="9">
        <v>99.13</v>
      </c>
      <c r="O7" s="9">
        <v>14.7239263803681</v>
      </c>
    </row>
    <row r="8" spans="1:16" x14ac:dyDescent="0.25">
      <c r="A8" s="5">
        <v>46146</v>
      </c>
      <c r="B8" s="6" t="s">
        <v>25</v>
      </c>
      <c r="C8" s="9" t="s">
        <v>16</v>
      </c>
      <c r="D8" s="3">
        <v>31</v>
      </c>
      <c r="E8" s="3">
        <v>29</v>
      </c>
      <c r="F8" s="3">
        <v>12.3</v>
      </c>
      <c r="G8" s="3">
        <v>0</v>
      </c>
      <c r="I8" s="3">
        <f t="shared" si="2"/>
        <v>29</v>
      </c>
      <c r="J8" s="3">
        <f t="shared" si="0"/>
        <v>28</v>
      </c>
      <c r="K8" s="3">
        <f t="shared" si="3"/>
        <v>1</v>
      </c>
      <c r="L8" s="3" t="str">
        <f t="shared" si="1"/>
        <v>BOM</v>
      </c>
      <c r="M8" s="9">
        <v>28</v>
      </c>
      <c r="N8" s="9">
        <v>98.8</v>
      </c>
      <c r="O8" s="9">
        <v>16.897506925207761</v>
      </c>
    </row>
    <row r="9" spans="1:16" x14ac:dyDescent="0.25">
      <c r="A9" s="5">
        <v>46146</v>
      </c>
      <c r="B9" s="6" t="s">
        <v>26</v>
      </c>
      <c r="C9" s="3" t="s">
        <v>23</v>
      </c>
      <c r="D9" s="3">
        <v>8</v>
      </c>
      <c r="E9" s="3">
        <v>8</v>
      </c>
      <c r="F9" s="3">
        <v>15.3</v>
      </c>
      <c r="G9" s="3">
        <v>0</v>
      </c>
      <c r="I9" s="3">
        <f t="shared" si="2"/>
        <v>8</v>
      </c>
      <c r="J9" s="3">
        <f t="shared" si="0"/>
        <v>10</v>
      </c>
      <c r="K9" s="3">
        <f t="shared" si="3"/>
        <v>-2</v>
      </c>
      <c r="L9" s="3" t="str">
        <f t="shared" si="1"/>
        <v>ATENÇÃO</v>
      </c>
      <c r="M9" s="9">
        <v>7</v>
      </c>
      <c r="N9" s="9">
        <v>96.43</v>
      </c>
      <c r="O9" s="9">
        <v>20</v>
      </c>
    </row>
    <row r="10" spans="1:16" x14ac:dyDescent="0.25">
      <c r="A10" s="5">
        <v>46146</v>
      </c>
      <c r="B10" s="6" t="s">
        <v>27</v>
      </c>
      <c r="C10" s="3" t="s">
        <v>20</v>
      </c>
      <c r="D10" s="3">
        <v>32</v>
      </c>
      <c r="E10" s="3">
        <v>26</v>
      </c>
      <c r="F10" s="3">
        <v>9.1300000000000008</v>
      </c>
      <c r="G10" s="3">
        <v>6</v>
      </c>
      <c r="I10" s="3">
        <f t="shared" si="2"/>
        <v>32</v>
      </c>
      <c r="J10" s="3">
        <f t="shared" si="0"/>
        <v>23</v>
      </c>
      <c r="K10" s="3">
        <f t="shared" si="3"/>
        <v>9</v>
      </c>
      <c r="L10" s="3" t="str">
        <f t="shared" si="1"/>
        <v>EXCELENTE</v>
      </c>
      <c r="M10" s="9">
        <v>29</v>
      </c>
      <c r="N10" s="9">
        <v>96.88</v>
      </c>
      <c r="O10" s="9">
        <v>19.526627218934909</v>
      </c>
    </row>
    <row r="11" spans="1:16" x14ac:dyDescent="0.25">
      <c r="A11" s="5">
        <v>46146</v>
      </c>
      <c r="B11" s="6" t="s">
        <v>28</v>
      </c>
      <c r="C11" s="3" t="s">
        <v>18</v>
      </c>
      <c r="D11" s="3">
        <v>38</v>
      </c>
      <c r="E11" s="3">
        <v>37</v>
      </c>
      <c r="F11" s="3">
        <v>8.34</v>
      </c>
      <c r="G11" s="3">
        <v>1</v>
      </c>
      <c r="I11" s="3">
        <f t="shared" si="2"/>
        <v>38</v>
      </c>
      <c r="J11" s="3">
        <f t="shared" si="0"/>
        <v>35</v>
      </c>
      <c r="K11" s="3">
        <f t="shared" si="3"/>
        <v>3</v>
      </c>
      <c r="L11" s="3" t="str">
        <f t="shared" si="1"/>
        <v>BOM</v>
      </c>
      <c r="M11" s="9">
        <v>32</v>
      </c>
      <c r="N11" s="9">
        <v>91.85</v>
      </c>
      <c r="O11" s="9">
        <v>20.87155963302752</v>
      </c>
    </row>
    <row r="12" spans="1:16" x14ac:dyDescent="0.25">
      <c r="A12" s="5">
        <v>46146</v>
      </c>
      <c r="B12" s="6" t="s">
        <v>29</v>
      </c>
      <c r="C12" s="3" t="s">
        <v>16</v>
      </c>
      <c r="D12" s="3">
        <v>37</v>
      </c>
      <c r="E12" s="3">
        <v>30</v>
      </c>
      <c r="F12" s="3">
        <v>9.15</v>
      </c>
      <c r="G12" s="3">
        <v>1</v>
      </c>
      <c r="I12" s="3">
        <f t="shared" si="2"/>
        <v>31</v>
      </c>
      <c r="J12" s="3">
        <f t="shared" si="0"/>
        <v>28</v>
      </c>
      <c r="K12" s="3">
        <f t="shared" si="3"/>
        <v>3</v>
      </c>
      <c r="L12" s="3" t="str">
        <f t="shared" si="1"/>
        <v>BOM</v>
      </c>
      <c r="M12" s="9">
        <v>25</v>
      </c>
      <c r="N12" s="9">
        <v>98.63</v>
      </c>
      <c r="O12" s="9">
        <v>18.75</v>
      </c>
    </row>
    <row r="13" spans="1:16" x14ac:dyDescent="0.25">
      <c r="A13" s="5">
        <v>46146</v>
      </c>
      <c r="B13" s="6" t="s">
        <v>30</v>
      </c>
      <c r="C13" s="3" t="s">
        <v>20</v>
      </c>
      <c r="D13" s="3">
        <v>28</v>
      </c>
      <c r="E13" s="3">
        <v>27</v>
      </c>
      <c r="F13" s="3">
        <v>10.34</v>
      </c>
      <c r="G13" s="3">
        <v>0</v>
      </c>
      <c r="I13" s="3">
        <f t="shared" si="2"/>
        <v>27</v>
      </c>
      <c r="J13" s="3">
        <f t="shared" si="0"/>
        <v>23</v>
      </c>
      <c r="K13" s="3">
        <f t="shared" si="3"/>
        <v>4</v>
      </c>
      <c r="L13" s="3" t="str">
        <f t="shared" si="1"/>
        <v>BOM</v>
      </c>
      <c r="M13" s="9">
        <v>16</v>
      </c>
      <c r="N13" s="9">
        <v>100</v>
      </c>
      <c r="O13" s="9">
        <v>18.14516129032258</v>
      </c>
    </row>
    <row r="14" spans="1:16" x14ac:dyDescent="0.25">
      <c r="A14" s="5">
        <v>46146</v>
      </c>
      <c r="B14" s="6" t="s">
        <v>31</v>
      </c>
      <c r="C14" s="9" t="s">
        <v>18</v>
      </c>
      <c r="D14" s="3">
        <v>21</v>
      </c>
      <c r="E14" s="3">
        <v>20</v>
      </c>
      <c r="F14" s="3">
        <v>13</v>
      </c>
      <c r="G14" s="3">
        <v>4</v>
      </c>
      <c r="I14" s="3">
        <f t="shared" si="2"/>
        <v>24</v>
      </c>
      <c r="J14" s="3">
        <f t="shared" si="0"/>
        <v>35</v>
      </c>
      <c r="K14" s="3">
        <f t="shared" si="3"/>
        <v>-11</v>
      </c>
      <c r="L14" s="3" t="str">
        <f t="shared" si="1"/>
        <v>CRÍTICO</v>
      </c>
      <c r="M14" s="9">
        <v>25</v>
      </c>
      <c r="N14" s="9">
        <v>99.06</v>
      </c>
      <c r="O14" s="9">
        <v>22.95719844357977</v>
      </c>
    </row>
    <row r="15" spans="1:16" x14ac:dyDescent="0.25">
      <c r="A15" s="5">
        <v>46146</v>
      </c>
      <c r="B15" s="6" t="s">
        <v>32</v>
      </c>
      <c r="C15" s="3" t="s">
        <v>23</v>
      </c>
      <c r="D15" s="3">
        <v>8</v>
      </c>
      <c r="E15" s="3">
        <v>8</v>
      </c>
      <c r="F15" s="3">
        <v>23.25</v>
      </c>
      <c r="G15" s="3">
        <v>0</v>
      </c>
      <c r="I15" s="3">
        <f t="shared" si="2"/>
        <v>8</v>
      </c>
      <c r="J15" s="3">
        <f t="shared" si="0"/>
        <v>10</v>
      </c>
      <c r="K15" s="3">
        <f t="shared" si="3"/>
        <v>-2</v>
      </c>
      <c r="L15" s="3" t="str">
        <f t="shared" si="1"/>
        <v>ATENÇÃO</v>
      </c>
      <c r="M15" s="9">
        <v>8</v>
      </c>
      <c r="N15" s="9">
        <v>100</v>
      </c>
      <c r="O15" s="9">
        <v>29.032258064516132</v>
      </c>
    </row>
    <row r="16" spans="1:16" x14ac:dyDescent="0.25">
      <c r="A16" s="5">
        <v>46146</v>
      </c>
      <c r="B16" s="6" t="s">
        <v>33</v>
      </c>
      <c r="C16" s="3" t="s">
        <v>16</v>
      </c>
      <c r="D16" s="3">
        <v>31</v>
      </c>
      <c r="E16" s="3">
        <v>28</v>
      </c>
      <c r="F16" s="3">
        <v>9.09</v>
      </c>
      <c r="G16" s="3">
        <v>7</v>
      </c>
      <c r="I16" s="3">
        <f t="shared" si="2"/>
        <v>35</v>
      </c>
      <c r="J16" s="3">
        <f t="shared" si="0"/>
        <v>28</v>
      </c>
      <c r="K16" s="3">
        <f t="shared" si="3"/>
        <v>7</v>
      </c>
      <c r="L16" s="3" t="str">
        <f t="shared" si="1"/>
        <v>EXCELENTE</v>
      </c>
      <c r="M16" s="9">
        <v>29</v>
      </c>
      <c r="N16" s="9">
        <v>100</v>
      </c>
      <c r="O16" s="9">
        <v>13.8121546961326</v>
      </c>
    </row>
    <row r="17" spans="1:15" x14ac:dyDescent="0.25">
      <c r="A17" s="5">
        <v>46146</v>
      </c>
      <c r="B17" s="6" t="s">
        <v>34</v>
      </c>
      <c r="C17" s="9" t="s">
        <v>18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f t="shared" si="0"/>
        <v>35</v>
      </c>
      <c r="K17" s="3">
        <v>0</v>
      </c>
      <c r="L17" s="3" t="str">
        <f t="shared" si="1"/>
        <v>BOM</v>
      </c>
      <c r="M17" s="9">
        <v>0</v>
      </c>
      <c r="N17" s="9">
        <v>100</v>
      </c>
      <c r="O17" s="9">
        <v>9.5238095238095237</v>
      </c>
    </row>
    <row r="18" spans="1:15" x14ac:dyDescent="0.25">
      <c r="A18" s="5">
        <v>46146</v>
      </c>
      <c r="B18" s="6" t="s">
        <v>35</v>
      </c>
      <c r="C18" s="3" t="s">
        <v>16</v>
      </c>
      <c r="D18" s="3">
        <v>36</v>
      </c>
      <c r="E18" s="3">
        <v>33</v>
      </c>
      <c r="F18" s="3">
        <v>11.17</v>
      </c>
      <c r="G18" s="3">
        <v>0</v>
      </c>
      <c r="I18" s="3">
        <f t="shared" ref="I18:I23" si="4">E18+G18+H18</f>
        <v>33</v>
      </c>
      <c r="J18" s="3">
        <f t="shared" si="0"/>
        <v>28</v>
      </c>
      <c r="K18" s="3">
        <f t="shared" ref="K18:K23" si="5">I18-J18</f>
        <v>5</v>
      </c>
      <c r="L18" s="3" t="str">
        <f t="shared" si="1"/>
        <v>BOM</v>
      </c>
      <c r="M18" s="9">
        <v>29</v>
      </c>
      <c r="N18" s="9">
        <v>100</v>
      </c>
      <c r="O18" s="9">
        <v>17.241379310344829</v>
      </c>
    </row>
    <row r="19" spans="1:15" x14ac:dyDescent="0.25">
      <c r="A19" s="5">
        <v>46146</v>
      </c>
      <c r="B19" s="6" t="s">
        <v>36</v>
      </c>
      <c r="C19" s="3" t="s">
        <v>20</v>
      </c>
      <c r="D19" s="3">
        <v>24</v>
      </c>
      <c r="E19" s="3">
        <v>20</v>
      </c>
      <c r="F19" s="3">
        <v>13.05</v>
      </c>
      <c r="G19" s="3">
        <v>7</v>
      </c>
      <c r="I19" s="3">
        <f t="shared" si="4"/>
        <v>27</v>
      </c>
      <c r="J19" s="3">
        <f t="shared" si="0"/>
        <v>23</v>
      </c>
      <c r="K19" s="3">
        <f t="shared" si="5"/>
        <v>4</v>
      </c>
      <c r="L19" s="3" t="str">
        <f t="shared" si="1"/>
        <v>BOM</v>
      </c>
      <c r="M19" s="9">
        <v>22</v>
      </c>
      <c r="N19" s="9">
        <v>98.8</v>
      </c>
      <c r="O19" s="9">
        <v>15.41353383458646</v>
      </c>
    </row>
    <row r="20" spans="1:15" x14ac:dyDescent="0.25">
      <c r="A20" s="5">
        <v>46146</v>
      </c>
      <c r="B20" s="6" t="s">
        <v>37</v>
      </c>
      <c r="C20" s="9" t="s">
        <v>16</v>
      </c>
      <c r="D20" s="3">
        <v>36</v>
      </c>
      <c r="E20" s="3">
        <v>34</v>
      </c>
      <c r="F20" s="3">
        <v>8.51</v>
      </c>
      <c r="G20" s="3">
        <v>0</v>
      </c>
      <c r="I20" s="3">
        <f t="shared" si="4"/>
        <v>34</v>
      </c>
      <c r="J20" s="3">
        <f t="shared" si="0"/>
        <v>28</v>
      </c>
      <c r="K20" s="3">
        <f t="shared" si="5"/>
        <v>6</v>
      </c>
      <c r="L20" s="3" t="str">
        <f t="shared" si="1"/>
        <v>EXCELENTE</v>
      </c>
      <c r="M20" s="9">
        <v>33</v>
      </c>
      <c r="N20" s="9">
        <v>98.63</v>
      </c>
      <c r="O20" s="9">
        <v>15.75757575757576</v>
      </c>
    </row>
    <row r="21" spans="1:15" x14ac:dyDescent="0.25">
      <c r="A21" s="5">
        <v>46146</v>
      </c>
      <c r="B21" s="6" t="s">
        <v>38</v>
      </c>
      <c r="C21" s="3" t="s">
        <v>18</v>
      </c>
      <c r="D21" s="3">
        <v>47</v>
      </c>
      <c r="E21" s="3">
        <v>44</v>
      </c>
      <c r="F21" s="3">
        <v>7.38</v>
      </c>
      <c r="G21" s="3">
        <v>5</v>
      </c>
      <c r="I21" s="3">
        <f t="shared" si="4"/>
        <v>49</v>
      </c>
      <c r="J21" s="3">
        <f t="shared" si="0"/>
        <v>35</v>
      </c>
      <c r="K21" s="3">
        <f t="shared" si="5"/>
        <v>14</v>
      </c>
      <c r="L21" s="3" t="str">
        <f t="shared" si="1"/>
        <v>EXCELENTE</v>
      </c>
      <c r="M21" s="9">
        <v>46</v>
      </c>
      <c r="N21" s="9">
        <v>98.64</v>
      </c>
      <c r="O21" s="9">
        <v>16.638370118845501</v>
      </c>
    </row>
    <row r="22" spans="1:15" x14ac:dyDescent="0.25">
      <c r="A22" s="5">
        <v>46146</v>
      </c>
      <c r="B22" s="6" t="s">
        <v>39</v>
      </c>
      <c r="C22" s="3" t="s">
        <v>18</v>
      </c>
      <c r="D22" s="3">
        <v>11</v>
      </c>
      <c r="E22" s="3">
        <v>11</v>
      </c>
      <c r="F22" s="3">
        <v>13.2</v>
      </c>
      <c r="G22" s="3">
        <v>5</v>
      </c>
      <c r="I22" s="3">
        <f t="shared" si="4"/>
        <v>16</v>
      </c>
      <c r="J22" s="3">
        <f t="shared" si="0"/>
        <v>35</v>
      </c>
      <c r="K22" s="3">
        <f t="shared" si="5"/>
        <v>-19</v>
      </c>
      <c r="L22" s="3" t="str">
        <f t="shared" si="1"/>
        <v>CRÍTICO</v>
      </c>
      <c r="M22" s="9">
        <v>18</v>
      </c>
      <c r="N22" s="9">
        <v>95.4</v>
      </c>
      <c r="O22" s="9">
        <v>20.533333333333331</v>
      </c>
    </row>
    <row r="23" spans="1:15" x14ac:dyDescent="0.25">
      <c r="A23" s="5">
        <v>46146</v>
      </c>
      <c r="B23" s="6" t="s">
        <v>40</v>
      </c>
      <c r="C23" s="3" t="s">
        <v>16</v>
      </c>
      <c r="D23" s="3">
        <v>32</v>
      </c>
      <c r="E23" s="3">
        <v>28</v>
      </c>
      <c r="F23" s="3">
        <v>8.5500000000000007</v>
      </c>
      <c r="G23" s="3">
        <v>4</v>
      </c>
      <c r="I23" s="3">
        <f t="shared" si="4"/>
        <v>32</v>
      </c>
      <c r="J23" s="3">
        <f t="shared" si="0"/>
        <v>28</v>
      </c>
      <c r="K23" s="3">
        <f t="shared" si="5"/>
        <v>4</v>
      </c>
      <c r="L23" s="3" t="str">
        <f t="shared" si="1"/>
        <v>BOM</v>
      </c>
      <c r="M23" s="9">
        <v>31</v>
      </c>
      <c r="N23" s="9">
        <v>98.61</v>
      </c>
      <c r="O23" s="9">
        <v>16.97530864197531</v>
      </c>
    </row>
    <row r="24" spans="1:15" x14ac:dyDescent="0.25">
      <c r="A24" s="5">
        <v>46146</v>
      </c>
      <c r="B24" s="6" t="s">
        <v>41</v>
      </c>
      <c r="C24" s="3" t="s">
        <v>18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f t="shared" si="0"/>
        <v>35</v>
      </c>
      <c r="K24" s="3">
        <v>0</v>
      </c>
      <c r="L24" s="3" t="str">
        <f t="shared" si="1"/>
        <v>BOM</v>
      </c>
      <c r="M24" s="9">
        <v>0</v>
      </c>
      <c r="N24" s="9">
        <v>0</v>
      </c>
      <c r="O24" s="9">
        <v>0</v>
      </c>
    </row>
    <row r="25" spans="1:15" x14ac:dyDescent="0.25">
      <c r="A25" s="5">
        <v>46146</v>
      </c>
      <c r="B25" s="6" t="s">
        <v>42</v>
      </c>
      <c r="C25" s="3" t="s">
        <v>43</v>
      </c>
      <c r="D25" s="3">
        <v>24</v>
      </c>
      <c r="E25" s="3">
        <v>24</v>
      </c>
      <c r="F25" s="3">
        <v>11.31</v>
      </c>
      <c r="G25" s="3">
        <v>0</v>
      </c>
      <c r="I25" s="3">
        <f t="shared" ref="I25:I30" si="6">E25+G25+H25</f>
        <v>24</v>
      </c>
      <c r="J25" s="3">
        <f t="shared" si="0"/>
        <v>20</v>
      </c>
      <c r="K25" s="3">
        <f t="shared" ref="K25:K30" si="7">I25-J25</f>
        <v>4</v>
      </c>
      <c r="L25" s="3" t="str">
        <f t="shared" si="1"/>
        <v>BOM</v>
      </c>
      <c r="M25" s="9">
        <v>22</v>
      </c>
      <c r="N25" s="9">
        <v>97.01</v>
      </c>
      <c r="O25" s="9">
        <v>13.961038961038961</v>
      </c>
    </row>
    <row r="26" spans="1:15" x14ac:dyDescent="0.25">
      <c r="A26" s="5">
        <v>46146</v>
      </c>
      <c r="B26" s="6" t="s">
        <v>44</v>
      </c>
      <c r="C26" s="9" t="s">
        <v>18</v>
      </c>
      <c r="D26" s="3">
        <v>20</v>
      </c>
      <c r="E26" s="3">
        <v>20</v>
      </c>
      <c r="F26" s="3">
        <v>12.48</v>
      </c>
      <c r="G26" s="3">
        <v>0</v>
      </c>
      <c r="I26" s="3">
        <f t="shared" si="6"/>
        <v>20</v>
      </c>
      <c r="J26" s="3">
        <f t="shared" si="0"/>
        <v>35</v>
      </c>
      <c r="K26" s="3">
        <f t="shared" si="7"/>
        <v>-15</v>
      </c>
      <c r="L26" s="3" t="str">
        <f t="shared" si="1"/>
        <v>CRÍTICO</v>
      </c>
      <c r="M26" s="9">
        <v>20</v>
      </c>
      <c r="N26" s="9">
        <v>95.52</v>
      </c>
      <c r="O26" s="9">
        <v>10.561056105610559</v>
      </c>
    </row>
    <row r="27" spans="1:15" x14ac:dyDescent="0.25">
      <c r="A27" s="5">
        <v>46146</v>
      </c>
      <c r="B27" s="6" t="s">
        <v>45</v>
      </c>
      <c r="C27" s="3" t="s">
        <v>43</v>
      </c>
      <c r="D27" s="3">
        <v>12</v>
      </c>
      <c r="E27" s="3">
        <v>11</v>
      </c>
      <c r="F27" s="3">
        <v>15.03</v>
      </c>
      <c r="G27" s="3">
        <v>4</v>
      </c>
      <c r="I27" s="3">
        <f t="shared" si="6"/>
        <v>15</v>
      </c>
      <c r="J27" s="3">
        <f t="shared" si="0"/>
        <v>20</v>
      </c>
      <c r="K27" s="3">
        <f t="shared" si="7"/>
        <v>-5</v>
      </c>
      <c r="L27" s="3" t="str">
        <f t="shared" si="1"/>
        <v>ATENÇÃO</v>
      </c>
      <c r="M27" s="9">
        <v>15</v>
      </c>
      <c r="N27" s="9">
        <v>100</v>
      </c>
      <c r="O27" s="9">
        <v>16.959064327485379</v>
      </c>
    </row>
    <row r="28" spans="1:15" x14ac:dyDescent="0.25">
      <c r="A28" s="5">
        <v>46146</v>
      </c>
      <c r="B28" s="6" t="s">
        <v>46</v>
      </c>
      <c r="C28" s="9" t="s">
        <v>18</v>
      </c>
      <c r="D28" s="3">
        <v>32</v>
      </c>
      <c r="E28" s="3">
        <v>29</v>
      </c>
      <c r="F28" s="3">
        <v>9.44</v>
      </c>
      <c r="G28" s="3">
        <v>0</v>
      </c>
      <c r="I28" s="3">
        <f t="shared" si="6"/>
        <v>29</v>
      </c>
      <c r="J28" s="3">
        <f t="shared" si="0"/>
        <v>35</v>
      </c>
      <c r="K28" s="3">
        <f t="shared" si="7"/>
        <v>-6</v>
      </c>
      <c r="L28" s="3" t="str">
        <f t="shared" si="1"/>
        <v>CRÍTICO</v>
      </c>
      <c r="M28" s="9">
        <v>27</v>
      </c>
      <c r="N28" s="9">
        <v>100</v>
      </c>
      <c r="O28" s="9">
        <v>15.584415584415581</v>
      </c>
    </row>
    <row r="29" spans="1:15" x14ac:dyDescent="0.25">
      <c r="A29" s="5">
        <v>46146</v>
      </c>
      <c r="B29" s="6" t="s">
        <v>47</v>
      </c>
      <c r="C29" s="3" t="s">
        <v>16</v>
      </c>
      <c r="D29" s="3">
        <v>29</v>
      </c>
      <c r="E29" s="3">
        <v>26</v>
      </c>
      <c r="F29" s="3">
        <v>9.4700000000000006</v>
      </c>
      <c r="G29" s="3">
        <v>0</v>
      </c>
      <c r="I29" s="3">
        <f t="shared" si="6"/>
        <v>26</v>
      </c>
      <c r="J29" s="3">
        <f t="shared" si="0"/>
        <v>28</v>
      </c>
      <c r="K29" s="3">
        <f t="shared" si="7"/>
        <v>-2</v>
      </c>
      <c r="L29" s="3" t="str">
        <f t="shared" si="1"/>
        <v>ATENÇÃO</v>
      </c>
      <c r="M29" s="9">
        <v>15</v>
      </c>
      <c r="N29" s="9">
        <v>98.61</v>
      </c>
      <c r="O29" s="9">
        <v>16.867469879518069</v>
      </c>
    </row>
    <row r="30" spans="1:15" x14ac:dyDescent="0.25">
      <c r="A30" s="5">
        <v>46146</v>
      </c>
      <c r="B30" s="6" t="s">
        <v>48</v>
      </c>
      <c r="C30" s="3" t="s">
        <v>16</v>
      </c>
      <c r="D30" s="3">
        <v>41</v>
      </c>
      <c r="E30" s="3">
        <v>40</v>
      </c>
      <c r="F30" s="3">
        <v>9.1</v>
      </c>
      <c r="G30" s="3">
        <v>0</v>
      </c>
      <c r="I30" s="3">
        <f t="shared" si="6"/>
        <v>40</v>
      </c>
      <c r="J30" s="3">
        <f t="shared" si="0"/>
        <v>28</v>
      </c>
      <c r="K30" s="3">
        <f t="shared" si="7"/>
        <v>12</v>
      </c>
      <c r="L30" s="3" t="str">
        <f t="shared" si="1"/>
        <v>EXCELENTE</v>
      </c>
      <c r="M30" s="9">
        <v>31</v>
      </c>
      <c r="N30" s="9">
        <v>100</v>
      </c>
      <c r="O30" s="9">
        <v>20.820189274447952</v>
      </c>
    </row>
    <row r="31" spans="1:15" x14ac:dyDescent="0.25">
      <c r="A31" s="5">
        <v>46146</v>
      </c>
      <c r="B31" s="6" t="s">
        <v>49</v>
      </c>
      <c r="C31" s="3" t="s">
        <v>18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f t="shared" si="0"/>
        <v>35</v>
      </c>
      <c r="K31" s="3">
        <v>0</v>
      </c>
      <c r="L31" s="3" t="str">
        <f t="shared" si="1"/>
        <v>BOM</v>
      </c>
      <c r="M31" s="9">
        <v>0</v>
      </c>
      <c r="N31" s="9">
        <v>100</v>
      </c>
      <c r="O31" s="9">
        <v>4.3478260869565224</v>
      </c>
    </row>
    <row r="32" spans="1:15" x14ac:dyDescent="0.25">
      <c r="A32" s="5">
        <v>46146</v>
      </c>
      <c r="B32" s="6" t="s">
        <v>50</v>
      </c>
      <c r="C32" s="3" t="s">
        <v>20</v>
      </c>
      <c r="D32" s="3">
        <v>25</v>
      </c>
      <c r="E32" s="3">
        <v>21</v>
      </c>
      <c r="F32" s="3">
        <v>10.38</v>
      </c>
      <c r="G32" s="3">
        <v>4</v>
      </c>
      <c r="I32" s="3">
        <f t="shared" ref="I32:I46" si="8">E32+G32+H32</f>
        <v>25</v>
      </c>
      <c r="J32" s="3">
        <f t="shared" si="0"/>
        <v>23</v>
      </c>
      <c r="K32" s="3">
        <f t="shared" ref="K32:K46" si="9">I32-J32</f>
        <v>2</v>
      </c>
      <c r="L32" s="3" t="str">
        <f t="shared" si="1"/>
        <v>BOM</v>
      </c>
      <c r="M32" s="9">
        <v>26</v>
      </c>
      <c r="N32" s="9">
        <v>93.26</v>
      </c>
      <c r="O32" s="9">
        <v>19.93957703927493</v>
      </c>
    </row>
    <row r="33" spans="1:15" x14ac:dyDescent="0.25">
      <c r="A33" s="5">
        <v>46146</v>
      </c>
      <c r="B33" s="6" t="s">
        <v>51</v>
      </c>
      <c r="C33" s="3" t="s">
        <v>23</v>
      </c>
      <c r="D33" s="3">
        <v>47</v>
      </c>
      <c r="E33" s="3">
        <v>25</v>
      </c>
      <c r="F33" s="3">
        <v>2.37</v>
      </c>
      <c r="G33" s="3">
        <v>0</v>
      </c>
      <c r="H33" s="3">
        <v>0</v>
      </c>
      <c r="I33" s="3">
        <f t="shared" si="8"/>
        <v>25</v>
      </c>
      <c r="J33" s="3">
        <f t="shared" si="0"/>
        <v>10</v>
      </c>
      <c r="K33" s="3">
        <f t="shared" si="9"/>
        <v>15</v>
      </c>
      <c r="L33" s="3" t="str">
        <f t="shared" si="1"/>
        <v>EXCELENTE</v>
      </c>
      <c r="M33" s="9">
        <v>0</v>
      </c>
      <c r="N33" s="9">
        <v>100</v>
      </c>
      <c r="O33" s="9">
        <v>11.864406779661021</v>
      </c>
    </row>
    <row r="34" spans="1:15" x14ac:dyDescent="0.25">
      <c r="A34" s="5">
        <v>46146</v>
      </c>
      <c r="B34" s="6" t="s">
        <v>52</v>
      </c>
      <c r="C34" s="3" t="s">
        <v>18</v>
      </c>
      <c r="D34" s="3">
        <v>32</v>
      </c>
      <c r="E34" s="3">
        <v>31</v>
      </c>
      <c r="F34" s="3">
        <v>6.27</v>
      </c>
      <c r="G34" s="3">
        <v>1</v>
      </c>
      <c r="H34" s="3">
        <v>25</v>
      </c>
      <c r="I34" s="3">
        <f t="shared" si="8"/>
        <v>57</v>
      </c>
      <c r="J34" s="3">
        <f t="shared" si="0"/>
        <v>35</v>
      </c>
      <c r="K34" s="3">
        <f t="shared" si="9"/>
        <v>22</v>
      </c>
      <c r="L34" s="3" t="str">
        <f t="shared" si="1"/>
        <v>EXCELENTE</v>
      </c>
      <c r="M34" s="9">
        <v>36</v>
      </c>
      <c r="N34" s="9">
        <v>98.28</v>
      </c>
      <c r="O34" s="9">
        <v>9.037900874635568</v>
      </c>
    </row>
    <row r="35" spans="1:15" x14ac:dyDescent="0.25">
      <c r="A35" s="5">
        <v>46146</v>
      </c>
      <c r="B35" s="6" t="s">
        <v>53</v>
      </c>
      <c r="C35" s="3" t="s">
        <v>18</v>
      </c>
      <c r="D35" s="3">
        <v>40</v>
      </c>
      <c r="E35" s="3">
        <v>37</v>
      </c>
      <c r="F35" s="3">
        <v>6.48</v>
      </c>
      <c r="G35" s="3">
        <v>1</v>
      </c>
      <c r="I35" s="3">
        <f t="shared" si="8"/>
        <v>38</v>
      </c>
      <c r="J35" s="3">
        <f t="shared" si="0"/>
        <v>35</v>
      </c>
      <c r="K35" s="3">
        <f t="shared" si="9"/>
        <v>3</v>
      </c>
      <c r="L35" s="3" t="str">
        <f t="shared" si="1"/>
        <v>BOM</v>
      </c>
      <c r="M35" s="9">
        <v>33</v>
      </c>
      <c r="N35" s="9">
        <v>97.22</v>
      </c>
      <c r="O35" s="9">
        <v>19.095477386934672</v>
      </c>
    </row>
    <row r="36" spans="1:15" x14ac:dyDescent="0.25">
      <c r="A36" s="5">
        <v>46146</v>
      </c>
      <c r="B36" s="6" t="s">
        <v>54</v>
      </c>
      <c r="C36" s="3" t="s">
        <v>23</v>
      </c>
      <c r="D36" s="3">
        <v>8</v>
      </c>
      <c r="E36" s="3">
        <v>7</v>
      </c>
      <c r="F36" s="3">
        <v>14.1</v>
      </c>
      <c r="G36" s="3">
        <v>0</v>
      </c>
      <c r="I36" s="3">
        <f t="shared" si="8"/>
        <v>7</v>
      </c>
      <c r="J36" s="3">
        <f t="shared" si="0"/>
        <v>10</v>
      </c>
      <c r="K36" s="3">
        <f t="shared" si="9"/>
        <v>-3</v>
      </c>
      <c r="L36" s="3" t="str">
        <f t="shared" si="1"/>
        <v>ATENÇÃO</v>
      </c>
      <c r="M36" s="9">
        <v>4</v>
      </c>
      <c r="N36" s="9">
        <v>100</v>
      </c>
      <c r="O36" s="9">
        <v>16.814159292035399</v>
      </c>
    </row>
    <row r="37" spans="1:15" x14ac:dyDescent="0.25">
      <c r="A37" s="5">
        <v>46146</v>
      </c>
      <c r="B37" s="6" t="s">
        <v>55</v>
      </c>
      <c r="C37" s="3" t="s">
        <v>43</v>
      </c>
      <c r="D37" s="3">
        <v>42</v>
      </c>
      <c r="E37" s="3">
        <v>23</v>
      </c>
      <c r="F37" s="3">
        <v>5.14</v>
      </c>
      <c r="G37" s="3">
        <v>0</v>
      </c>
      <c r="I37" s="3">
        <f t="shared" si="8"/>
        <v>23</v>
      </c>
      <c r="J37" s="3">
        <f t="shared" si="0"/>
        <v>20</v>
      </c>
      <c r="K37" s="3">
        <f t="shared" si="9"/>
        <v>3</v>
      </c>
      <c r="L37" s="3" t="str">
        <f t="shared" si="1"/>
        <v>BOM</v>
      </c>
      <c r="M37" s="9">
        <v>19</v>
      </c>
      <c r="N37" s="9">
        <v>98</v>
      </c>
      <c r="O37" s="9">
        <v>16.43835616438356</v>
      </c>
    </row>
    <row r="38" spans="1:15" x14ac:dyDescent="0.25">
      <c r="A38" s="5">
        <v>46146</v>
      </c>
      <c r="B38" s="6" t="s">
        <v>56</v>
      </c>
      <c r="C38" s="3" t="s">
        <v>16</v>
      </c>
      <c r="D38" s="3">
        <v>20</v>
      </c>
      <c r="E38" s="3">
        <v>16</v>
      </c>
      <c r="F38" s="3">
        <v>10.11</v>
      </c>
      <c r="G38" s="3">
        <v>0</v>
      </c>
      <c r="I38" s="3">
        <f t="shared" si="8"/>
        <v>16</v>
      </c>
      <c r="J38" s="3">
        <f t="shared" si="0"/>
        <v>28</v>
      </c>
      <c r="K38" s="3">
        <f t="shared" si="9"/>
        <v>-12</v>
      </c>
      <c r="L38" s="3" t="str">
        <f t="shared" si="1"/>
        <v>CRÍTICO</v>
      </c>
      <c r="M38" s="9">
        <v>14</v>
      </c>
      <c r="N38" s="9">
        <v>100</v>
      </c>
      <c r="O38" s="9">
        <v>16.894977168949769</v>
      </c>
    </row>
    <row r="39" spans="1:15" x14ac:dyDescent="0.25">
      <c r="A39" s="5">
        <v>46146</v>
      </c>
      <c r="B39" s="6" t="s">
        <v>57</v>
      </c>
      <c r="C39" s="3" t="s">
        <v>43</v>
      </c>
      <c r="D39" s="3">
        <v>23</v>
      </c>
      <c r="E39" s="3">
        <v>23</v>
      </c>
      <c r="F39" s="3">
        <v>10.55</v>
      </c>
      <c r="G39" s="3">
        <v>0</v>
      </c>
      <c r="I39" s="3">
        <f t="shared" si="8"/>
        <v>23</v>
      </c>
      <c r="J39" s="3">
        <f t="shared" si="0"/>
        <v>20</v>
      </c>
      <c r="K39" s="3">
        <f t="shared" si="9"/>
        <v>3</v>
      </c>
      <c r="L39" s="3" t="str">
        <f t="shared" si="1"/>
        <v>BOM</v>
      </c>
      <c r="M39" s="9">
        <v>18</v>
      </c>
      <c r="N39" s="9">
        <v>100</v>
      </c>
      <c r="O39" s="9">
        <v>19.138755980861241</v>
      </c>
    </row>
    <row r="40" spans="1:15" x14ac:dyDescent="0.25">
      <c r="A40" s="5">
        <v>46146</v>
      </c>
      <c r="B40" s="6" t="s">
        <v>58</v>
      </c>
      <c r="C40" s="3" t="s">
        <v>43</v>
      </c>
      <c r="D40" s="3">
        <v>23</v>
      </c>
      <c r="E40" s="3">
        <v>21</v>
      </c>
      <c r="F40" s="3">
        <v>10.31</v>
      </c>
      <c r="G40" s="3">
        <v>0</v>
      </c>
      <c r="I40" s="3">
        <f t="shared" si="8"/>
        <v>21</v>
      </c>
      <c r="J40" s="3">
        <f t="shared" si="0"/>
        <v>20</v>
      </c>
      <c r="K40" s="3">
        <f t="shared" si="9"/>
        <v>1</v>
      </c>
      <c r="L40" s="3" t="str">
        <f t="shared" si="1"/>
        <v>BOM</v>
      </c>
      <c r="M40" s="9">
        <v>21</v>
      </c>
      <c r="N40" s="9">
        <v>100</v>
      </c>
      <c r="O40" s="9">
        <v>15.02145922746781</v>
      </c>
    </row>
    <row r="41" spans="1:15" x14ac:dyDescent="0.25">
      <c r="A41" s="5">
        <v>46146</v>
      </c>
      <c r="B41" s="6" t="s">
        <v>59</v>
      </c>
      <c r="C41" s="3" t="s">
        <v>23</v>
      </c>
      <c r="D41" s="3">
        <v>14</v>
      </c>
      <c r="E41" s="3">
        <v>14</v>
      </c>
      <c r="F41" s="3">
        <v>20.440000000000001</v>
      </c>
      <c r="G41" s="3">
        <v>1</v>
      </c>
      <c r="H41" s="3">
        <v>0</v>
      </c>
      <c r="I41" s="3">
        <f t="shared" si="8"/>
        <v>15</v>
      </c>
      <c r="J41" s="3">
        <f t="shared" si="0"/>
        <v>10</v>
      </c>
      <c r="K41" s="3">
        <f t="shared" si="9"/>
        <v>5</v>
      </c>
      <c r="L41" s="3" t="str">
        <f t="shared" si="1"/>
        <v>BOM</v>
      </c>
      <c r="M41" s="9">
        <v>12</v>
      </c>
      <c r="N41" s="9">
        <v>98.11</v>
      </c>
      <c r="O41" s="9">
        <v>20.408163265306118</v>
      </c>
    </row>
    <row r="42" spans="1:15" x14ac:dyDescent="0.25">
      <c r="A42" s="5">
        <v>46146</v>
      </c>
      <c r="B42" s="6" t="s">
        <v>60</v>
      </c>
      <c r="C42" s="3" t="s">
        <v>20</v>
      </c>
      <c r="D42" s="3">
        <v>27</v>
      </c>
      <c r="E42" s="3">
        <v>23</v>
      </c>
      <c r="F42" s="3">
        <v>8.4700000000000006</v>
      </c>
      <c r="G42" s="3">
        <v>4</v>
      </c>
      <c r="I42" s="3">
        <f t="shared" si="8"/>
        <v>27</v>
      </c>
      <c r="J42" s="3">
        <f t="shared" si="0"/>
        <v>23</v>
      </c>
      <c r="K42" s="3">
        <f t="shared" si="9"/>
        <v>4</v>
      </c>
      <c r="L42" s="3" t="str">
        <f t="shared" si="1"/>
        <v>BOM</v>
      </c>
      <c r="M42" s="9">
        <v>20</v>
      </c>
      <c r="N42" s="9">
        <v>97.56</v>
      </c>
      <c r="O42" s="9">
        <v>19.28783382789317</v>
      </c>
    </row>
    <row r="43" spans="1:15" x14ac:dyDescent="0.25">
      <c r="A43" s="5">
        <v>46146</v>
      </c>
      <c r="B43" s="6" t="s">
        <v>61</v>
      </c>
      <c r="C43" s="3" t="s">
        <v>18</v>
      </c>
      <c r="D43" s="3">
        <v>50</v>
      </c>
      <c r="E43" s="3">
        <v>46</v>
      </c>
      <c r="F43" s="3">
        <v>7.43</v>
      </c>
      <c r="G43" s="3">
        <v>1</v>
      </c>
      <c r="I43" s="3">
        <f t="shared" si="8"/>
        <v>47</v>
      </c>
      <c r="J43" s="3">
        <f t="shared" si="0"/>
        <v>35</v>
      </c>
      <c r="K43" s="3">
        <f t="shared" si="9"/>
        <v>12</v>
      </c>
      <c r="L43" s="3" t="str">
        <f t="shared" si="1"/>
        <v>EXCELENTE</v>
      </c>
      <c r="M43" s="9">
        <v>32</v>
      </c>
      <c r="N43" s="9">
        <v>99.29</v>
      </c>
      <c r="O43" s="9">
        <v>22.49443207126949</v>
      </c>
    </row>
    <row r="44" spans="1:15" x14ac:dyDescent="0.25">
      <c r="A44" s="5">
        <v>46146</v>
      </c>
      <c r="B44" s="6" t="s">
        <v>62</v>
      </c>
      <c r="C44" s="3" t="s">
        <v>20</v>
      </c>
      <c r="D44" s="3">
        <v>20</v>
      </c>
      <c r="E44" s="3">
        <v>20</v>
      </c>
      <c r="F44" s="3">
        <v>15.29</v>
      </c>
      <c r="G44" s="3">
        <v>0</v>
      </c>
      <c r="I44" s="3">
        <f t="shared" si="8"/>
        <v>20</v>
      </c>
      <c r="J44" s="3">
        <f t="shared" si="0"/>
        <v>23</v>
      </c>
      <c r="K44" s="3">
        <f t="shared" si="9"/>
        <v>-3</v>
      </c>
      <c r="L44" s="3" t="str">
        <f t="shared" si="1"/>
        <v>ATENÇÃO</v>
      </c>
      <c r="M44" s="9">
        <v>20</v>
      </c>
      <c r="N44" s="9">
        <v>100</v>
      </c>
      <c r="O44" s="9">
        <v>16.97247706422019</v>
      </c>
    </row>
    <row r="45" spans="1:15" x14ac:dyDescent="0.25">
      <c r="A45" s="5">
        <v>46146</v>
      </c>
      <c r="B45" s="6" t="s">
        <v>63</v>
      </c>
      <c r="C45" s="3" t="s">
        <v>18</v>
      </c>
      <c r="D45" s="3">
        <v>26</v>
      </c>
      <c r="E45" s="3">
        <v>25</v>
      </c>
      <c r="F45" s="3">
        <v>10.45</v>
      </c>
      <c r="G45" s="3">
        <v>4</v>
      </c>
      <c r="H45" s="3">
        <v>0</v>
      </c>
      <c r="I45" s="3">
        <f t="shared" si="8"/>
        <v>29</v>
      </c>
      <c r="J45" s="3">
        <f t="shared" si="0"/>
        <v>35</v>
      </c>
      <c r="K45" s="3">
        <f t="shared" si="9"/>
        <v>-6</v>
      </c>
      <c r="L45" s="3" t="str">
        <f t="shared" si="1"/>
        <v>CRÍTICO</v>
      </c>
      <c r="M45" s="9">
        <v>26</v>
      </c>
      <c r="N45" s="9">
        <v>97.33</v>
      </c>
      <c r="O45" s="9">
        <v>15.805471124620061</v>
      </c>
    </row>
    <row r="46" spans="1:15" x14ac:dyDescent="0.25">
      <c r="A46" s="5">
        <v>46147</v>
      </c>
      <c r="B46" s="6" t="s">
        <v>15</v>
      </c>
      <c r="C46" s="3" t="s">
        <v>16</v>
      </c>
      <c r="D46" s="3">
        <v>42</v>
      </c>
      <c r="E46" s="3">
        <v>37</v>
      </c>
      <c r="F46" s="3">
        <v>7.49</v>
      </c>
      <c r="G46" s="3">
        <v>4</v>
      </c>
      <c r="I46" s="3">
        <f t="shared" si="8"/>
        <v>41</v>
      </c>
      <c r="J46" s="3">
        <f t="shared" si="0"/>
        <v>28</v>
      </c>
      <c r="K46" s="3">
        <f t="shared" si="9"/>
        <v>13</v>
      </c>
      <c r="L46" s="3" t="str">
        <f t="shared" si="1"/>
        <v>EXCELENTE</v>
      </c>
      <c r="M46" s="3">
        <v>32</v>
      </c>
      <c r="N46" s="3">
        <v>98.94</v>
      </c>
      <c r="O46" s="3">
        <v>19.614147909967851</v>
      </c>
    </row>
    <row r="47" spans="1:15" x14ac:dyDescent="0.25">
      <c r="A47" s="5">
        <v>46147</v>
      </c>
      <c r="B47" s="6" t="s">
        <v>17</v>
      </c>
      <c r="C47" s="3" t="s">
        <v>18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f t="shared" si="0"/>
        <v>35</v>
      </c>
      <c r="K47" s="3">
        <v>0</v>
      </c>
      <c r="L47" s="3" t="str">
        <f t="shared" si="1"/>
        <v>BOM</v>
      </c>
      <c r="M47" s="9">
        <v>0</v>
      </c>
      <c r="N47" s="9">
        <v>100</v>
      </c>
      <c r="O47" s="9">
        <v>0</v>
      </c>
    </row>
    <row r="48" spans="1:15" x14ac:dyDescent="0.25">
      <c r="A48" s="5">
        <v>46147</v>
      </c>
      <c r="B48" t="s">
        <v>19</v>
      </c>
      <c r="C48" s="3" t="s">
        <v>20</v>
      </c>
      <c r="D48" s="3">
        <v>30</v>
      </c>
      <c r="E48" s="3">
        <v>30</v>
      </c>
      <c r="F48" s="3">
        <v>10.210000000000001</v>
      </c>
      <c r="G48" s="3">
        <v>7</v>
      </c>
      <c r="I48" s="3">
        <f>E48+G48+H48</f>
        <v>37</v>
      </c>
      <c r="J48" s="3">
        <f t="shared" si="0"/>
        <v>23</v>
      </c>
      <c r="K48" s="3">
        <f>I48-J48</f>
        <v>14</v>
      </c>
      <c r="L48" s="3" t="str">
        <f t="shared" si="1"/>
        <v>EXCELENTE</v>
      </c>
      <c r="M48" s="3">
        <v>36</v>
      </c>
      <c r="N48" s="3">
        <v>95.38</v>
      </c>
      <c r="O48" s="3">
        <v>21.5962441314554</v>
      </c>
    </row>
    <row r="49" spans="1:15" x14ac:dyDescent="0.25">
      <c r="A49" s="5">
        <v>46147</v>
      </c>
      <c r="B49" s="6" t="s">
        <v>21</v>
      </c>
      <c r="C49" s="9" t="s">
        <v>18</v>
      </c>
      <c r="D49" s="3">
        <v>30</v>
      </c>
      <c r="E49" s="3">
        <v>28</v>
      </c>
      <c r="F49" s="3">
        <v>11.21</v>
      </c>
      <c r="G49" s="3">
        <v>0</v>
      </c>
      <c r="I49" s="3">
        <f>E49+G49+H49</f>
        <v>28</v>
      </c>
      <c r="J49" s="3">
        <f t="shared" si="0"/>
        <v>35</v>
      </c>
      <c r="K49" s="3">
        <f>I49-J49</f>
        <v>-7</v>
      </c>
      <c r="L49" s="3" t="str">
        <f t="shared" si="1"/>
        <v>CRÍTICO</v>
      </c>
      <c r="M49" s="3">
        <v>26</v>
      </c>
      <c r="N49" s="3">
        <v>96.34</v>
      </c>
      <c r="O49" s="3">
        <v>17.571884984025559</v>
      </c>
    </row>
    <row r="50" spans="1:15" x14ac:dyDescent="0.25">
      <c r="A50" s="5">
        <v>46147</v>
      </c>
      <c r="B50" s="6" t="s">
        <v>22</v>
      </c>
      <c r="C50" s="3" t="s">
        <v>23</v>
      </c>
      <c r="D50" s="3">
        <v>36</v>
      </c>
      <c r="E50" s="3">
        <v>35</v>
      </c>
      <c r="F50" s="3">
        <v>10.49</v>
      </c>
      <c r="G50" s="3">
        <v>0</v>
      </c>
      <c r="H50" s="3">
        <v>0</v>
      </c>
      <c r="I50" s="3">
        <f>E50+G50+H50</f>
        <v>35</v>
      </c>
      <c r="J50" s="3">
        <f t="shared" si="0"/>
        <v>10</v>
      </c>
      <c r="K50" s="3">
        <f>I50-J50</f>
        <v>25</v>
      </c>
      <c r="L50" s="3" t="str">
        <f t="shared" si="1"/>
        <v>EXCELENTE</v>
      </c>
      <c r="M50" s="3">
        <v>33</v>
      </c>
      <c r="N50" s="3">
        <v>99.11</v>
      </c>
      <c r="O50" s="3">
        <v>17.721518987341771</v>
      </c>
    </row>
    <row r="51" spans="1:15" x14ac:dyDescent="0.25">
      <c r="A51" s="5">
        <v>46147</v>
      </c>
      <c r="B51" s="6" t="s">
        <v>26</v>
      </c>
      <c r="C51" s="3" t="s">
        <v>23</v>
      </c>
      <c r="D51" s="3">
        <v>10</v>
      </c>
      <c r="E51" s="3">
        <v>10</v>
      </c>
      <c r="F51" s="3">
        <v>8.32</v>
      </c>
      <c r="G51" s="3">
        <v>0</v>
      </c>
      <c r="I51" s="3">
        <f>E51+G51+H51</f>
        <v>10</v>
      </c>
      <c r="J51" s="3">
        <f t="shared" si="0"/>
        <v>10</v>
      </c>
      <c r="K51" s="3">
        <f>I51-J51</f>
        <v>0</v>
      </c>
      <c r="L51" s="3" t="str">
        <f t="shared" si="1"/>
        <v>BOM</v>
      </c>
      <c r="M51" s="3">
        <v>9</v>
      </c>
      <c r="N51" s="3">
        <v>96.43</v>
      </c>
      <c r="O51" s="3">
        <v>20</v>
      </c>
    </row>
    <row r="52" spans="1:15" x14ac:dyDescent="0.25">
      <c r="A52" s="5">
        <v>46147</v>
      </c>
      <c r="B52" s="6" t="s">
        <v>32</v>
      </c>
      <c r="C52" s="3" t="s">
        <v>23</v>
      </c>
      <c r="D52" s="3">
        <v>48</v>
      </c>
      <c r="E52" s="3">
        <v>32</v>
      </c>
      <c r="F52" s="3">
        <v>16.059999999999999</v>
      </c>
      <c r="G52" s="3">
        <v>0</v>
      </c>
      <c r="H52" s="3">
        <v>0</v>
      </c>
      <c r="I52" s="3">
        <f>E52+G52+H52</f>
        <v>32</v>
      </c>
      <c r="J52" s="3">
        <f t="shared" si="0"/>
        <v>10</v>
      </c>
      <c r="K52" s="3">
        <f>I52-J52</f>
        <v>22</v>
      </c>
      <c r="L52" s="3" t="str">
        <f t="shared" si="1"/>
        <v>EXCELENTE</v>
      </c>
      <c r="M52" s="3">
        <v>0</v>
      </c>
      <c r="N52" s="3">
        <v>100</v>
      </c>
      <c r="O52" s="3">
        <v>29.032258064516132</v>
      </c>
    </row>
    <row r="53" spans="1:15" x14ac:dyDescent="0.25">
      <c r="A53" s="5">
        <v>46147</v>
      </c>
      <c r="B53" s="6" t="s">
        <v>51</v>
      </c>
      <c r="C53" s="3" t="s">
        <v>23</v>
      </c>
      <c r="D53" s="3">
        <v>0</v>
      </c>
      <c r="E53" s="3">
        <v>0</v>
      </c>
      <c r="F53" s="3">
        <v>7.59</v>
      </c>
      <c r="G53" s="3">
        <v>0</v>
      </c>
      <c r="H53" s="3">
        <v>0</v>
      </c>
      <c r="I53" s="3">
        <v>0</v>
      </c>
      <c r="J53" s="3">
        <f t="shared" si="0"/>
        <v>10</v>
      </c>
      <c r="K53" s="3">
        <v>0</v>
      </c>
      <c r="L53" s="3" t="str">
        <f t="shared" si="1"/>
        <v>BOM</v>
      </c>
      <c r="M53" s="3">
        <v>0</v>
      </c>
      <c r="N53" s="3">
        <v>100</v>
      </c>
      <c r="O53" s="3">
        <v>11.864406779661021</v>
      </c>
    </row>
    <row r="54" spans="1:15" x14ac:dyDescent="0.25">
      <c r="A54" s="5">
        <v>46147</v>
      </c>
      <c r="B54" s="6" t="s">
        <v>24</v>
      </c>
      <c r="C54" s="3" t="s">
        <v>16</v>
      </c>
      <c r="D54" s="3">
        <v>45</v>
      </c>
      <c r="E54" s="3">
        <v>37</v>
      </c>
      <c r="F54" s="3">
        <v>2.27</v>
      </c>
      <c r="G54" s="3">
        <v>6</v>
      </c>
      <c r="I54" s="3">
        <f t="shared" ref="I54:I63" si="10">E54+G54+H54</f>
        <v>43</v>
      </c>
      <c r="J54" s="3">
        <f t="shared" si="0"/>
        <v>28</v>
      </c>
      <c r="K54" s="3">
        <f t="shared" ref="K54:K63" si="11">I54-J54</f>
        <v>15</v>
      </c>
      <c r="L54" s="3" t="str">
        <f t="shared" si="1"/>
        <v>EXCELENTE</v>
      </c>
      <c r="M54" s="3">
        <v>43</v>
      </c>
      <c r="N54" s="3">
        <v>99.13</v>
      </c>
      <c r="O54" s="3">
        <v>14.7239263803681</v>
      </c>
    </row>
    <row r="55" spans="1:15" x14ac:dyDescent="0.25">
      <c r="A55" s="5">
        <v>46147</v>
      </c>
      <c r="B55" s="6" t="s">
        <v>25</v>
      </c>
      <c r="C55" s="9" t="s">
        <v>16</v>
      </c>
      <c r="D55" s="3">
        <v>19</v>
      </c>
      <c r="E55" s="3">
        <v>18</v>
      </c>
      <c r="F55" s="3">
        <v>6.45</v>
      </c>
      <c r="G55" s="3">
        <v>9</v>
      </c>
      <c r="I55" s="3">
        <f t="shared" si="10"/>
        <v>27</v>
      </c>
      <c r="J55" s="3">
        <f t="shared" si="0"/>
        <v>28</v>
      </c>
      <c r="K55" s="3">
        <f t="shared" si="11"/>
        <v>-1</v>
      </c>
      <c r="L55" s="3" t="str">
        <f t="shared" si="1"/>
        <v>ATENÇÃO</v>
      </c>
      <c r="M55" s="3">
        <v>27</v>
      </c>
      <c r="N55" s="3">
        <v>98.8</v>
      </c>
      <c r="O55" s="3">
        <v>16.897506925207761</v>
      </c>
    </row>
    <row r="56" spans="1:15" x14ac:dyDescent="0.25">
      <c r="A56" s="5">
        <v>46147</v>
      </c>
      <c r="B56" s="6" t="s">
        <v>54</v>
      </c>
      <c r="C56" s="3" t="s">
        <v>23</v>
      </c>
      <c r="D56" s="3">
        <v>11</v>
      </c>
      <c r="E56" s="3">
        <v>11</v>
      </c>
      <c r="F56" s="3">
        <v>11.59</v>
      </c>
      <c r="G56" s="3">
        <v>0</v>
      </c>
      <c r="H56" s="3">
        <v>0</v>
      </c>
      <c r="I56" s="3">
        <f t="shared" si="10"/>
        <v>11</v>
      </c>
      <c r="J56" s="3">
        <f t="shared" si="0"/>
        <v>10</v>
      </c>
      <c r="K56" s="3">
        <f t="shared" si="11"/>
        <v>1</v>
      </c>
      <c r="L56" s="3" t="str">
        <f t="shared" si="1"/>
        <v>BOM</v>
      </c>
      <c r="M56" s="3">
        <v>10</v>
      </c>
      <c r="N56" s="3">
        <v>100</v>
      </c>
      <c r="O56" s="3">
        <v>16.814159292035399</v>
      </c>
    </row>
    <row r="57" spans="1:15" x14ac:dyDescent="0.25">
      <c r="A57" s="5">
        <v>46147</v>
      </c>
      <c r="B57" s="6" t="s">
        <v>59</v>
      </c>
      <c r="C57" s="3" t="s">
        <v>23</v>
      </c>
      <c r="D57" s="3">
        <v>22</v>
      </c>
      <c r="E57" s="3">
        <v>18</v>
      </c>
      <c r="F57" s="3">
        <v>17.05</v>
      </c>
      <c r="G57" s="3">
        <v>1</v>
      </c>
      <c r="H57" s="3">
        <v>0</v>
      </c>
      <c r="I57" s="3">
        <f t="shared" si="10"/>
        <v>19</v>
      </c>
      <c r="J57" s="3">
        <f t="shared" si="0"/>
        <v>10</v>
      </c>
      <c r="K57" s="3">
        <f t="shared" si="11"/>
        <v>9</v>
      </c>
      <c r="L57" s="3" t="str">
        <f t="shared" si="1"/>
        <v>EXCELENTE</v>
      </c>
      <c r="M57" s="3">
        <v>18</v>
      </c>
      <c r="N57" s="3">
        <v>98.11</v>
      </c>
      <c r="O57" s="3">
        <v>20.408163265306118</v>
      </c>
    </row>
    <row r="58" spans="1:15" x14ac:dyDescent="0.25">
      <c r="A58" s="5">
        <v>46147</v>
      </c>
      <c r="B58" s="6" t="s">
        <v>27</v>
      </c>
      <c r="C58" s="3" t="s">
        <v>20</v>
      </c>
      <c r="D58" s="3">
        <v>122</v>
      </c>
      <c r="E58" s="3">
        <v>28</v>
      </c>
      <c r="F58" s="3">
        <v>14.55</v>
      </c>
      <c r="G58" s="3">
        <v>1</v>
      </c>
      <c r="I58" s="3">
        <f t="shared" si="10"/>
        <v>29</v>
      </c>
      <c r="J58" s="3">
        <f t="shared" si="0"/>
        <v>23</v>
      </c>
      <c r="K58" s="3">
        <f t="shared" si="11"/>
        <v>6</v>
      </c>
      <c r="L58" s="3" t="str">
        <f t="shared" si="1"/>
        <v>EXCELENTE</v>
      </c>
      <c r="M58" s="3">
        <v>16</v>
      </c>
      <c r="N58" s="3">
        <v>96.88</v>
      </c>
      <c r="O58" s="3">
        <v>19.526627218934909</v>
      </c>
    </row>
    <row r="59" spans="1:15" x14ac:dyDescent="0.25">
      <c r="A59" s="5">
        <v>46147</v>
      </c>
      <c r="B59" s="6" t="s">
        <v>28</v>
      </c>
      <c r="C59" s="3" t="s">
        <v>18</v>
      </c>
      <c r="D59" s="3">
        <v>46</v>
      </c>
      <c r="E59" s="3">
        <v>39</v>
      </c>
      <c r="F59" s="3">
        <v>2.44</v>
      </c>
      <c r="G59" s="3">
        <v>8</v>
      </c>
      <c r="I59" s="3">
        <f t="shared" si="10"/>
        <v>47</v>
      </c>
      <c r="J59" s="3">
        <f t="shared" si="0"/>
        <v>35</v>
      </c>
      <c r="K59" s="3">
        <f t="shared" si="11"/>
        <v>12</v>
      </c>
      <c r="L59" s="3" t="str">
        <f t="shared" si="1"/>
        <v>EXCELENTE</v>
      </c>
      <c r="M59" s="3">
        <v>46</v>
      </c>
      <c r="N59" s="3">
        <v>91.85</v>
      </c>
      <c r="O59" s="3">
        <v>20.87155963302752</v>
      </c>
    </row>
    <row r="60" spans="1:15" x14ac:dyDescent="0.25">
      <c r="A60" s="5">
        <v>46147</v>
      </c>
      <c r="B60" s="6" t="s">
        <v>29</v>
      </c>
      <c r="C60" s="3" t="s">
        <v>16</v>
      </c>
      <c r="D60" s="3">
        <v>23</v>
      </c>
      <c r="E60" s="3">
        <v>21</v>
      </c>
      <c r="F60" s="3">
        <v>8.5500000000000007</v>
      </c>
      <c r="G60" s="3">
        <v>9</v>
      </c>
      <c r="I60" s="3">
        <f t="shared" si="10"/>
        <v>30</v>
      </c>
      <c r="J60" s="3">
        <f t="shared" si="0"/>
        <v>28</v>
      </c>
      <c r="K60" s="3">
        <f t="shared" si="11"/>
        <v>2</v>
      </c>
      <c r="L60" s="3" t="str">
        <f t="shared" si="1"/>
        <v>BOM</v>
      </c>
      <c r="M60" s="3">
        <v>26</v>
      </c>
      <c r="N60" s="3">
        <v>98.63</v>
      </c>
      <c r="O60" s="3">
        <v>18.75</v>
      </c>
    </row>
    <row r="61" spans="1:15" x14ac:dyDescent="0.25">
      <c r="A61" s="5">
        <v>46147</v>
      </c>
      <c r="B61" s="6" t="s">
        <v>30</v>
      </c>
      <c r="C61" s="3" t="s">
        <v>20</v>
      </c>
      <c r="D61" s="3">
        <v>12</v>
      </c>
      <c r="E61" s="3">
        <v>12</v>
      </c>
      <c r="F61" s="3">
        <v>0</v>
      </c>
      <c r="G61" s="3">
        <v>10</v>
      </c>
      <c r="I61" s="3">
        <f t="shared" si="10"/>
        <v>22</v>
      </c>
      <c r="J61" s="3">
        <f t="shared" si="0"/>
        <v>23</v>
      </c>
      <c r="K61" s="3">
        <f t="shared" si="11"/>
        <v>-1</v>
      </c>
      <c r="L61" s="3" t="str">
        <f t="shared" si="1"/>
        <v>ATENÇÃO</v>
      </c>
      <c r="M61" s="3">
        <v>18</v>
      </c>
      <c r="N61" s="3">
        <v>100</v>
      </c>
      <c r="O61" s="3">
        <v>18.14516129032258</v>
      </c>
    </row>
    <row r="62" spans="1:15" x14ac:dyDescent="0.25">
      <c r="A62" s="5">
        <v>46147</v>
      </c>
      <c r="B62" s="6" t="s">
        <v>31</v>
      </c>
      <c r="C62" s="9" t="s">
        <v>18</v>
      </c>
      <c r="D62" s="3">
        <v>27</v>
      </c>
      <c r="E62" s="3">
        <v>27</v>
      </c>
      <c r="F62" s="3">
        <v>0</v>
      </c>
      <c r="G62" s="3">
        <v>0</v>
      </c>
      <c r="I62" s="3">
        <f t="shared" si="10"/>
        <v>27</v>
      </c>
      <c r="J62" s="3">
        <f t="shared" si="0"/>
        <v>35</v>
      </c>
      <c r="K62" s="3">
        <f t="shared" si="11"/>
        <v>-8</v>
      </c>
      <c r="L62" s="3" t="str">
        <f t="shared" si="1"/>
        <v>CRÍTICO</v>
      </c>
      <c r="M62" s="3">
        <v>28</v>
      </c>
      <c r="N62" s="3">
        <v>99.06</v>
      </c>
      <c r="O62" s="3">
        <v>22.95719844357977</v>
      </c>
    </row>
    <row r="63" spans="1:15" x14ac:dyDescent="0.25">
      <c r="A63" s="5">
        <v>46147</v>
      </c>
      <c r="B63" s="6" t="s">
        <v>33</v>
      </c>
      <c r="C63" s="3" t="s">
        <v>16</v>
      </c>
      <c r="D63" s="3">
        <v>34</v>
      </c>
      <c r="E63" s="3">
        <v>31</v>
      </c>
      <c r="F63" s="3">
        <v>10.35</v>
      </c>
      <c r="G63" s="3">
        <v>3</v>
      </c>
      <c r="I63" s="3">
        <f t="shared" si="10"/>
        <v>34</v>
      </c>
      <c r="J63" s="3">
        <f t="shared" si="0"/>
        <v>28</v>
      </c>
      <c r="K63" s="3">
        <f t="shared" si="11"/>
        <v>6</v>
      </c>
      <c r="L63" s="3" t="str">
        <f t="shared" si="1"/>
        <v>EXCELENTE</v>
      </c>
      <c r="M63" s="3">
        <v>31</v>
      </c>
      <c r="N63" s="3">
        <v>100</v>
      </c>
      <c r="O63" s="3">
        <v>13.8121546961326</v>
      </c>
    </row>
    <row r="64" spans="1:15" x14ac:dyDescent="0.25">
      <c r="A64" s="5">
        <v>46147</v>
      </c>
      <c r="B64" s="6" t="s">
        <v>34</v>
      </c>
      <c r="C64" s="9" t="s">
        <v>18</v>
      </c>
      <c r="D64" s="3">
        <v>0</v>
      </c>
      <c r="E64" s="3">
        <v>0</v>
      </c>
      <c r="F64" s="3">
        <v>12.01</v>
      </c>
      <c r="G64" s="3">
        <v>0</v>
      </c>
      <c r="H64" s="3">
        <v>0</v>
      </c>
      <c r="I64" s="3">
        <v>0</v>
      </c>
      <c r="J64" s="3">
        <f t="shared" si="0"/>
        <v>35</v>
      </c>
      <c r="K64" s="3">
        <v>0</v>
      </c>
      <c r="L64" s="3" t="str">
        <f t="shared" si="1"/>
        <v>BOM</v>
      </c>
      <c r="M64" s="3">
        <v>0</v>
      </c>
      <c r="N64" s="3">
        <v>100</v>
      </c>
      <c r="O64" s="3">
        <v>9.5238095238095237</v>
      </c>
    </row>
    <row r="65" spans="1:15" x14ac:dyDescent="0.25">
      <c r="A65" s="5">
        <v>46147</v>
      </c>
      <c r="B65" s="6" t="s">
        <v>35</v>
      </c>
      <c r="C65" s="3" t="s">
        <v>16</v>
      </c>
      <c r="D65" s="3">
        <v>0</v>
      </c>
      <c r="E65" s="3">
        <v>0</v>
      </c>
      <c r="F65" s="3">
        <v>9.42</v>
      </c>
      <c r="G65" s="3">
        <v>0</v>
      </c>
      <c r="H65" s="3">
        <v>0</v>
      </c>
      <c r="I65" s="3">
        <v>0</v>
      </c>
      <c r="J65" s="3">
        <f t="shared" si="0"/>
        <v>28</v>
      </c>
      <c r="K65" s="3">
        <v>0</v>
      </c>
      <c r="L65" s="3" t="str">
        <f t="shared" si="1"/>
        <v>BOM</v>
      </c>
      <c r="M65" s="3">
        <v>0</v>
      </c>
      <c r="N65" s="3">
        <v>100</v>
      </c>
      <c r="O65" s="3">
        <v>17.241379310344829</v>
      </c>
    </row>
    <row r="66" spans="1:15" x14ac:dyDescent="0.25">
      <c r="A66" s="5">
        <v>46147</v>
      </c>
      <c r="B66" s="6" t="s">
        <v>36</v>
      </c>
      <c r="C66" s="3" t="s">
        <v>20</v>
      </c>
      <c r="D66" s="3">
        <v>13</v>
      </c>
      <c r="E66" s="3">
        <v>12</v>
      </c>
      <c r="F66" s="3">
        <v>8.06</v>
      </c>
      <c r="G66" s="3">
        <v>9</v>
      </c>
      <c r="I66" s="3">
        <f>E66+G66+H66</f>
        <v>21</v>
      </c>
      <c r="J66" s="3">
        <f t="shared" ref="J66:J129" si="12"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23</v>
      </c>
      <c r="K66" s="3">
        <f>I66-J66</f>
        <v>-2</v>
      </c>
      <c r="L66" s="3" t="str">
        <f t="shared" ref="L66:L129" si="13">IF(K66&lt;-5,"CRÍTICO",IF(K66&lt;0,"ATENÇÃO",IF(K66&lt;=5,"BOM","EXCELENTE")))</f>
        <v>ATENÇÃO</v>
      </c>
      <c r="M66" s="3">
        <v>12</v>
      </c>
      <c r="N66" s="3">
        <v>98.8</v>
      </c>
      <c r="O66" s="3">
        <v>15.41353383458646</v>
      </c>
    </row>
    <row r="67" spans="1:15" x14ac:dyDescent="0.25">
      <c r="A67" s="5">
        <v>46147</v>
      </c>
      <c r="B67" s="6" t="s">
        <v>37</v>
      </c>
      <c r="C67" s="9" t="s">
        <v>16</v>
      </c>
      <c r="D67" s="3">
        <v>26</v>
      </c>
      <c r="E67" s="3">
        <v>26</v>
      </c>
      <c r="F67" s="3">
        <v>8.5299999999999994</v>
      </c>
      <c r="G67" s="3">
        <v>1</v>
      </c>
      <c r="I67" s="3">
        <f>E67+G67+H67</f>
        <v>27</v>
      </c>
      <c r="J67" s="3">
        <f t="shared" si="12"/>
        <v>28</v>
      </c>
      <c r="K67" s="3">
        <f>I67-J67</f>
        <v>-1</v>
      </c>
      <c r="L67" s="3" t="str">
        <f t="shared" si="13"/>
        <v>ATENÇÃO</v>
      </c>
      <c r="M67" s="3">
        <v>31</v>
      </c>
      <c r="N67" s="3">
        <v>98.63</v>
      </c>
      <c r="O67" s="3">
        <v>15.75757575757576</v>
      </c>
    </row>
    <row r="68" spans="1:15" x14ac:dyDescent="0.25">
      <c r="A68" s="5">
        <v>46147</v>
      </c>
      <c r="B68" s="6" t="s">
        <v>38</v>
      </c>
      <c r="C68" s="3" t="s">
        <v>18</v>
      </c>
      <c r="D68" s="3">
        <v>40</v>
      </c>
      <c r="E68" s="3">
        <v>40</v>
      </c>
      <c r="F68" s="9">
        <v>0</v>
      </c>
      <c r="G68" s="3">
        <v>2</v>
      </c>
      <c r="I68" s="3">
        <f>E68+G68+H68</f>
        <v>42</v>
      </c>
      <c r="J68" s="3">
        <f t="shared" si="12"/>
        <v>35</v>
      </c>
      <c r="K68" s="3">
        <f>I68-J68</f>
        <v>7</v>
      </c>
      <c r="L68" s="3" t="str">
        <f t="shared" si="13"/>
        <v>EXCELENTE</v>
      </c>
      <c r="M68" s="3">
        <v>40</v>
      </c>
      <c r="N68" s="3">
        <v>98.64</v>
      </c>
      <c r="O68" s="3">
        <v>16.638370118845501</v>
      </c>
    </row>
    <row r="69" spans="1:15" x14ac:dyDescent="0.25">
      <c r="A69" s="5">
        <v>46147</v>
      </c>
      <c r="B69" s="6" t="s">
        <v>39</v>
      </c>
      <c r="C69" s="3" t="s">
        <v>18</v>
      </c>
      <c r="D69" s="3">
        <v>42</v>
      </c>
      <c r="E69" s="3">
        <v>41</v>
      </c>
      <c r="F69" s="3">
        <v>11.11</v>
      </c>
      <c r="G69" s="3">
        <v>2</v>
      </c>
      <c r="I69" s="3">
        <f>E69+G69+H69</f>
        <v>43</v>
      </c>
      <c r="J69" s="3">
        <f t="shared" si="12"/>
        <v>35</v>
      </c>
      <c r="K69" s="3">
        <f>I69-J69</f>
        <v>8</v>
      </c>
      <c r="L69" s="3" t="str">
        <f t="shared" si="13"/>
        <v>EXCELENTE</v>
      </c>
      <c r="M69" s="3">
        <v>41</v>
      </c>
      <c r="N69" s="3">
        <v>95.4</v>
      </c>
      <c r="O69" s="3">
        <v>20.533333333333331</v>
      </c>
    </row>
    <row r="70" spans="1:15" x14ac:dyDescent="0.25">
      <c r="A70" s="5">
        <v>46147</v>
      </c>
      <c r="B70" s="6" t="s">
        <v>40</v>
      </c>
      <c r="C70" s="3" t="s">
        <v>16</v>
      </c>
      <c r="D70" s="3">
        <v>39</v>
      </c>
      <c r="E70" s="3">
        <v>30</v>
      </c>
      <c r="F70" s="3">
        <v>11.22</v>
      </c>
      <c r="G70" s="3">
        <v>0</v>
      </c>
      <c r="I70" s="3">
        <f>E70+G70+H70</f>
        <v>30</v>
      </c>
      <c r="J70" s="3">
        <f t="shared" si="12"/>
        <v>28</v>
      </c>
      <c r="K70" s="3">
        <f>I70-J70</f>
        <v>2</v>
      </c>
      <c r="L70" s="3" t="str">
        <f t="shared" si="13"/>
        <v>BOM</v>
      </c>
      <c r="M70" s="3">
        <v>30</v>
      </c>
      <c r="N70" s="3">
        <v>98.61</v>
      </c>
      <c r="O70" s="3">
        <v>16.97530864197531</v>
      </c>
    </row>
    <row r="71" spans="1:15" x14ac:dyDescent="0.25">
      <c r="A71" s="5">
        <v>46147</v>
      </c>
      <c r="B71" s="6" t="s">
        <v>41</v>
      </c>
      <c r="C71" s="3" t="s">
        <v>18</v>
      </c>
      <c r="D71" s="3">
        <v>0</v>
      </c>
      <c r="E71" s="3">
        <v>0</v>
      </c>
      <c r="F71" s="3">
        <v>13.55</v>
      </c>
      <c r="G71" s="3">
        <v>0</v>
      </c>
      <c r="H71" s="3">
        <v>0</v>
      </c>
      <c r="I71" s="3">
        <v>0</v>
      </c>
      <c r="J71" s="3">
        <f t="shared" si="12"/>
        <v>35</v>
      </c>
      <c r="K71" s="3">
        <v>0</v>
      </c>
      <c r="L71" s="3" t="str">
        <f t="shared" si="13"/>
        <v>BOM</v>
      </c>
      <c r="M71" s="3">
        <v>0</v>
      </c>
      <c r="N71" s="3">
        <v>0</v>
      </c>
      <c r="O71" s="3">
        <v>0</v>
      </c>
    </row>
    <row r="72" spans="1:15" x14ac:dyDescent="0.25">
      <c r="A72" s="5">
        <v>46147</v>
      </c>
      <c r="B72" s="6" t="s">
        <v>42</v>
      </c>
      <c r="C72" s="3" t="s">
        <v>43</v>
      </c>
      <c r="D72" s="3">
        <v>25</v>
      </c>
      <c r="E72" s="3">
        <v>14</v>
      </c>
      <c r="F72" s="3">
        <v>10</v>
      </c>
      <c r="G72" s="3">
        <v>10</v>
      </c>
      <c r="I72" s="3">
        <f t="shared" ref="I72:I77" si="14">E72+G72+H72</f>
        <v>24</v>
      </c>
      <c r="J72" s="3">
        <f t="shared" si="12"/>
        <v>20</v>
      </c>
      <c r="K72" s="3">
        <f t="shared" ref="K72:K77" si="15">I72-J72</f>
        <v>4</v>
      </c>
      <c r="L72" s="3" t="str">
        <f t="shared" si="13"/>
        <v>BOM</v>
      </c>
      <c r="M72" s="3">
        <v>27</v>
      </c>
      <c r="N72" s="3">
        <v>97.01</v>
      </c>
      <c r="O72" s="3">
        <v>13.961038961038961</v>
      </c>
    </row>
    <row r="73" spans="1:15" x14ac:dyDescent="0.25">
      <c r="A73" s="5">
        <v>46147</v>
      </c>
      <c r="B73" s="6" t="s">
        <v>44</v>
      </c>
      <c r="C73" s="9" t="s">
        <v>18</v>
      </c>
      <c r="D73" s="3">
        <v>26</v>
      </c>
      <c r="E73" s="3">
        <v>26</v>
      </c>
      <c r="F73" s="3">
        <v>11.08</v>
      </c>
      <c r="G73" s="3">
        <v>1</v>
      </c>
      <c r="I73" s="3">
        <f t="shared" si="14"/>
        <v>27</v>
      </c>
      <c r="J73" s="3">
        <f t="shared" si="12"/>
        <v>35</v>
      </c>
      <c r="K73" s="3">
        <f t="shared" si="15"/>
        <v>-8</v>
      </c>
      <c r="L73" s="3" t="str">
        <f t="shared" si="13"/>
        <v>CRÍTICO</v>
      </c>
      <c r="M73" s="3">
        <v>22</v>
      </c>
      <c r="N73" s="3">
        <v>95.52</v>
      </c>
      <c r="O73" s="3">
        <v>10.561056105610559</v>
      </c>
    </row>
    <row r="74" spans="1:15" x14ac:dyDescent="0.25">
      <c r="A74" s="5">
        <v>46147</v>
      </c>
      <c r="B74" s="6" t="s">
        <v>45</v>
      </c>
      <c r="C74" s="3" t="s">
        <v>43</v>
      </c>
      <c r="D74" s="3">
        <v>17</v>
      </c>
      <c r="E74" s="3">
        <v>17</v>
      </c>
      <c r="F74" s="3">
        <v>9.27</v>
      </c>
      <c r="G74" s="3">
        <v>5</v>
      </c>
      <c r="I74" s="3">
        <f t="shared" si="14"/>
        <v>22</v>
      </c>
      <c r="J74" s="3">
        <f t="shared" si="12"/>
        <v>20</v>
      </c>
      <c r="K74" s="3">
        <f t="shared" si="15"/>
        <v>2</v>
      </c>
      <c r="L74" s="3" t="str">
        <f t="shared" si="13"/>
        <v>BOM</v>
      </c>
      <c r="M74" s="3">
        <v>16</v>
      </c>
      <c r="N74" s="3">
        <v>100</v>
      </c>
      <c r="O74" s="3">
        <v>16.959064327485379</v>
      </c>
    </row>
    <row r="75" spans="1:15" x14ac:dyDescent="0.25">
      <c r="A75" s="5">
        <v>46147</v>
      </c>
      <c r="B75" s="6" t="s">
        <v>46</v>
      </c>
      <c r="C75" s="9" t="s">
        <v>18</v>
      </c>
      <c r="D75" s="3">
        <v>29</v>
      </c>
      <c r="E75" s="3">
        <v>25</v>
      </c>
      <c r="F75" s="3">
        <v>0</v>
      </c>
      <c r="G75" s="3">
        <v>0</v>
      </c>
      <c r="I75" s="3">
        <f t="shared" si="14"/>
        <v>25</v>
      </c>
      <c r="J75" s="3">
        <f t="shared" si="12"/>
        <v>35</v>
      </c>
      <c r="K75" s="3">
        <f t="shared" si="15"/>
        <v>-10</v>
      </c>
      <c r="L75" s="3" t="str">
        <f t="shared" si="13"/>
        <v>CRÍTICO</v>
      </c>
      <c r="M75" s="3">
        <v>32</v>
      </c>
      <c r="N75" s="3">
        <v>100</v>
      </c>
      <c r="O75" s="3">
        <v>15.584415584415581</v>
      </c>
    </row>
    <row r="76" spans="1:15" x14ac:dyDescent="0.25">
      <c r="A76" s="5">
        <v>46147</v>
      </c>
      <c r="B76" s="6" t="s">
        <v>47</v>
      </c>
      <c r="C76" s="3" t="s">
        <v>16</v>
      </c>
      <c r="D76" s="3">
        <v>18</v>
      </c>
      <c r="E76" s="3">
        <v>18</v>
      </c>
      <c r="F76" s="3">
        <v>10.53</v>
      </c>
      <c r="G76" s="3">
        <v>4</v>
      </c>
      <c r="I76" s="3">
        <f t="shared" si="14"/>
        <v>22</v>
      </c>
      <c r="J76" s="3">
        <f t="shared" si="12"/>
        <v>28</v>
      </c>
      <c r="K76" s="3">
        <f t="shared" si="15"/>
        <v>-6</v>
      </c>
      <c r="L76" s="3" t="str">
        <f t="shared" si="13"/>
        <v>CRÍTICO</v>
      </c>
      <c r="M76" s="3">
        <v>25</v>
      </c>
      <c r="N76" s="3">
        <v>98.61</v>
      </c>
      <c r="O76" s="3">
        <v>16.867469879518069</v>
      </c>
    </row>
    <row r="77" spans="1:15" x14ac:dyDescent="0.25">
      <c r="A77" s="5">
        <v>46147</v>
      </c>
      <c r="B77" s="6" t="s">
        <v>48</v>
      </c>
      <c r="C77" s="3" t="s">
        <v>16</v>
      </c>
      <c r="D77" s="3">
        <v>37</v>
      </c>
      <c r="E77" s="3">
        <v>35</v>
      </c>
      <c r="F77" s="3">
        <v>0</v>
      </c>
      <c r="G77" s="3">
        <v>0</v>
      </c>
      <c r="I77" s="3">
        <f t="shared" si="14"/>
        <v>35</v>
      </c>
      <c r="J77" s="3">
        <f t="shared" si="12"/>
        <v>28</v>
      </c>
      <c r="K77" s="3">
        <f t="shared" si="15"/>
        <v>7</v>
      </c>
      <c r="L77" s="3" t="str">
        <f t="shared" si="13"/>
        <v>EXCELENTE</v>
      </c>
      <c r="M77" s="3">
        <v>37</v>
      </c>
      <c r="N77" s="3">
        <v>100</v>
      </c>
      <c r="O77" s="3">
        <v>20.820189274447952</v>
      </c>
    </row>
    <row r="78" spans="1:15" x14ac:dyDescent="0.25">
      <c r="A78" s="5">
        <v>46147</v>
      </c>
      <c r="B78" s="6" t="s">
        <v>49</v>
      </c>
      <c r="C78" s="3" t="s">
        <v>18</v>
      </c>
      <c r="D78" s="3">
        <v>0</v>
      </c>
      <c r="E78" s="3">
        <v>0</v>
      </c>
      <c r="F78" s="3">
        <v>9.35</v>
      </c>
      <c r="G78" s="3">
        <v>0</v>
      </c>
      <c r="H78" s="3">
        <v>0</v>
      </c>
      <c r="I78" s="3">
        <v>0</v>
      </c>
      <c r="J78" s="3">
        <f t="shared" si="12"/>
        <v>35</v>
      </c>
      <c r="K78" s="3">
        <v>0</v>
      </c>
      <c r="L78" s="3" t="str">
        <f t="shared" si="13"/>
        <v>BOM</v>
      </c>
      <c r="M78" s="3">
        <v>0</v>
      </c>
      <c r="N78" s="3">
        <v>100</v>
      </c>
      <c r="O78" s="3">
        <v>4.3478260869565224</v>
      </c>
    </row>
    <row r="79" spans="1:15" x14ac:dyDescent="0.25">
      <c r="A79" s="5">
        <v>46147</v>
      </c>
      <c r="B79" s="6" t="s">
        <v>50</v>
      </c>
      <c r="C79" s="3" t="s">
        <v>20</v>
      </c>
      <c r="D79" s="3">
        <v>31</v>
      </c>
      <c r="E79" s="3">
        <v>28</v>
      </c>
      <c r="F79" s="3">
        <v>9.0299999999999994</v>
      </c>
      <c r="G79" s="3">
        <v>1</v>
      </c>
      <c r="I79" s="3">
        <f t="shared" ref="I79:I90" si="16">E79+G79+H79</f>
        <v>29</v>
      </c>
      <c r="J79" s="3">
        <f t="shared" si="12"/>
        <v>23</v>
      </c>
      <c r="K79" s="3">
        <f t="shared" ref="K79:K90" si="17">I79-J79</f>
        <v>6</v>
      </c>
      <c r="L79" s="3" t="str">
        <f t="shared" si="13"/>
        <v>EXCELENTE</v>
      </c>
      <c r="M79" s="3">
        <v>30</v>
      </c>
      <c r="N79" s="3">
        <v>93.26</v>
      </c>
      <c r="O79" s="3">
        <v>19.93957703927493</v>
      </c>
    </row>
    <row r="80" spans="1:15" x14ac:dyDescent="0.25">
      <c r="A80" s="5">
        <v>46147</v>
      </c>
      <c r="B80" s="6" t="s">
        <v>52</v>
      </c>
      <c r="C80" s="3" t="s">
        <v>18</v>
      </c>
      <c r="D80" s="3">
        <v>14</v>
      </c>
      <c r="E80" s="3">
        <v>14</v>
      </c>
      <c r="F80" s="3">
        <v>25.26</v>
      </c>
      <c r="G80" s="3">
        <v>0</v>
      </c>
      <c r="H80" s="3">
        <v>21</v>
      </c>
      <c r="I80" s="3">
        <f t="shared" si="16"/>
        <v>35</v>
      </c>
      <c r="J80" s="3">
        <f t="shared" si="12"/>
        <v>35</v>
      </c>
      <c r="K80" s="3">
        <f t="shared" si="17"/>
        <v>0</v>
      </c>
      <c r="L80" s="3" t="str">
        <f t="shared" si="13"/>
        <v>BOM</v>
      </c>
      <c r="M80" s="3">
        <v>28</v>
      </c>
      <c r="N80" s="3">
        <v>98.28</v>
      </c>
      <c r="O80" s="3">
        <v>9.037900874635568</v>
      </c>
    </row>
    <row r="81" spans="1:15" x14ac:dyDescent="0.25">
      <c r="A81" s="5">
        <v>46147</v>
      </c>
      <c r="B81" s="6" t="s">
        <v>53</v>
      </c>
      <c r="C81" s="3" t="s">
        <v>18</v>
      </c>
      <c r="D81" s="3">
        <v>32</v>
      </c>
      <c r="E81" s="3">
        <v>30</v>
      </c>
      <c r="F81" s="3">
        <v>7.13</v>
      </c>
      <c r="G81" s="3">
        <v>10</v>
      </c>
      <c r="I81" s="3">
        <f t="shared" si="16"/>
        <v>40</v>
      </c>
      <c r="J81" s="3">
        <f t="shared" si="12"/>
        <v>35</v>
      </c>
      <c r="K81" s="3">
        <f t="shared" si="17"/>
        <v>5</v>
      </c>
      <c r="L81" s="3" t="str">
        <f t="shared" si="13"/>
        <v>BOM</v>
      </c>
      <c r="M81" s="3">
        <v>37</v>
      </c>
      <c r="N81" s="3">
        <v>97.22</v>
      </c>
      <c r="O81" s="3">
        <v>19.095477386934672</v>
      </c>
    </row>
    <row r="82" spans="1:15" x14ac:dyDescent="0.25">
      <c r="A82" s="5">
        <v>46147</v>
      </c>
      <c r="B82" s="6" t="s">
        <v>55</v>
      </c>
      <c r="C82" s="3" t="s">
        <v>43</v>
      </c>
      <c r="D82" s="3">
        <v>56</v>
      </c>
      <c r="E82" s="3">
        <v>34</v>
      </c>
      <c r="F82" s="3">
        <v>10.59</v>
      </c>
      <c r="G82" s="3">
        <v>0</v>
      </c>
      <c r="I82" s="3">
        <f t="shared" si="16"/>
        <v>34</v>
      </c>
      <c r="J82" s="3">
        <f t="shared" si="12"/>
        <v>20</v>
      </c>
      <c r="K82" s="3">
        <f t="shared" si="17"/>
        <v>14</v>
      </c>
      <c r="L82" s="3" t="str">
        <f t="shared" si="13"/>
        <v>EXCELENTE</v>
      </c>
      <c r="M82" s="3">
        <v>22</v>
      </c>
      <c r="N82" s="3">
        <v>98</v>
      </c>
      <c r="O82" s="3">
        <v>16.43835616438356</v>
      </c>
    </row>
    <row r="83" spans="1:15" x14ac:dyDescent="0.25">
      <c r="A83" s="5">
        <v>46147</v>
      </c>
      <c r="B83" s="6" t="s">
        <v>56</v>
      </c>
      <c r="C83" s="3" t="s">
        <v>16</v>
      </c>
      <c r="D83" s="3">
        <v>27</v>
      </c>
      <c r="E83" s="3">
        <v>25</v>
      </c>
      <c r="F83" s="3">
        <v>12.04</v>
      </c>
      <c r="G83" s="3">
        <v>0</v>
      </c>
      <c r="I83" s="3">
        <f t="shared" si="16"/>
        <v>25</v>
      </c>
      <c r="J83" s="3">
        <f t="shared" si="12"/>
        <v>28</v>
      </c>
      <c r="K83" s="3">
        <f t="shared" si="17"/>
        <v>-3</v>
      </c>
      <c r="L83" s="3" t="str">
        <f t="shared" si="13"/>
        <v>ATENÇÃO</v>
      </c>
      <c r="M83" s="3">
        <v>21</v>
      </c>
      <c r="N83" s="3">
        <v>100</v>
      </c>
      <c r="O83" s="3">
        <v>16.894977168949769</v>
      </c>
    </row>
    <row r="84" spans="1:15" x14ac:dyDescent="0.25">
      <c r="A84" s="5">
        <v>46147</v>
      </c>
      <c r="B84" s="6" t="s">
        <v>57</v>
      </c>
      <c r="C84" s="3" t="s">
        <v>43</v>
      </c>
      <c r="D84" s="3">
        <v>18</v>
      </c>
      <c r="E84" s="3">
        <v>17</v>
      </c>
      <c r="F84" s="3">
        <v>11.03</v>
      </c>
      <c r="G84" s="3">
        <v>0</v>
      </c>
      <c r="I84" s="3">
        <f t="shared" si="16"/>
        <v>17</v>
      </c>
      <c r="J84" s="3">
        <f t="shared" si="12"/>
        <v>20</v>
      </c>
      <c r="K84" s="3">
        <f t="shared" si="17"/>
        <v>-3</v>
      </c>
      <c r="L84" s="3" t="str">
        <f t="shared" si="13"/>
        <v>ATENÇÃO</v>
      </c>
      <c r="M84" s="3">
        <v>17</v>
      </c>
      <c r="N84" s="3">
        <v>100</v>
      </c>
      <c r="O84" s="3">
        <v>19.138755980861241</v>
      </c>
    </row>
    <row r="85" spans="1:15" x14ac:dyDescent="0.25">
      <c r="A85" s="5">
        <v>46147</v>
      </c>
      <c r="B85" s="6" t="s">
        <v>58</v>
      </c>
      <c r="C85" s="3" t="s">
        <v>43</v>
      </c>
      <c r="D85" s="3">
        <v>11</v>
      </c>
      <c r="E85" s="3">
        <v>11</v>
      </c>
      <c r="F85" s="3">
        <v>11.26</v>
      </c>
      <c r="G85" s="3">
        <v>9</v>
      </c>
      <c r="I85" s="3">
        <f t="shared" si="16"/>
        <v>20</v>
      </c>
      <c r="J85" s="3">
        <f t="shared" si="12"/>
        <v>20</v>
      </c>
      <c r="K85" s="3">
        <f t="shared" si="17"/>
        <v>0</v>
      </c>
      <c r="L85" s="3" t="str">
        <f t="shared" si="13"/>
        <v>BOM</v>
      </c>
      <c r="M85" s="3">
        <v>19</v>
      </c>
      <c r="N85" s="3">
        <v>100</v>
      </c>
      <c r="O85" s="3">
        <v>15.02145922746781</v>
      </c>
    </row>
    <row r="86" spans="1:15" x14ac:dyDescent="0.25">
      <c r="A86" s="5">
        <v>46147</v>
      </c>
      <c r="B86" s="6" t="s">
        <v>60</v>
      </c>
      <c r="C86" s="3" t="s">
        <v>20</v>
      </c>
      <c r="D86" s="3">
        <v>31</v>
      </c>
      <c r="E86" s="3">
        <v>26</v>
      </c>
      <c r="F86" s="3">
        <v>8.3000000000000007</v>
      </c>
      <c r="G86" s="3">
        <v>10</v>
      </c>
      <c r="I86" s="3">
        <f t="shared" si="16"/>
        <v>36</v>
      </c>
      <c r="J86" s="3">
        <f t="shared" si="12"/>
        <v>23</v>
      </c>
      <c r="K86" s="3">
        <f t="shared" si="17"/>
        <v>13</v>
      </c>
      <c r="L86" s="3" t="str">
        <f t="shared" si="13"/>
        <v>EXCELENTE</v>
      </c>
      <c r="M86" s="3">
        <v>21</v>
      </c>
      <c r="N86" s="3">
        <v>97.56</v>
      </c>
      <c r="O86" s="3">
        <v>19.28783382789317</v>
      </c>
    </row>
    <row r="87" spans="1:15" x14ac:dyDescent="0.25">
      <c r="A87" s="5">
        <v>46147</v>
      </c>
      <c r="B87" s="6" t="s">
        <v>61</v>
      </c>
      <c r="C87" s="3" t="s">
        <v>18</v>
      </c>
      <c r="D87" s="3">
        <v>49</v>
      </c>
      <c r="E87" s="3">
        <v>45</v>
      </c>
      <c r="F87" s="3">
        <v>6.46</v>
      </c>
      <c r="G87" s="3">
        <v>9</v>
      </c>
      <c r="I87" s="3">
        <f t="shared" si="16"/>
        <v>54</v>
      </c>
      <c r="J87" s="3">
        <f t="shared" si="12"/>
        <v>35</v>
      </c>
      <c r="K87" s="3">
        <f t="shared" si="17"/>
        <v>19</v>
      </c>
      <c r="L87" s="3" t="str">
        <f t="shared" si="13"/>
        <v>EXCELENTE</v>
      </c>
      <c r="M87" s="3">
        <v>49</v>
      </c>
      <c r="N87" s="3">
        <v>99.29</v>
      </c>
      <c r="O87" s="3">
        <v>22.49443207126949</v>
      </c>
    </row>
    <row r="88" spans="1:15" x14ac:dyDescent="0.25">
      <c r="A88" s="5">
        <v>46147</v>
      </c>
      <c r="B88" s="6" t="s">
        <v>62</v>
      </c>
      <c r="C88" s="3" t="s">
        <v>20</v>
      </c>
      <c r="D88" s="3">
        <v>14</v>
      </c>
      <c r="E88" s="3">
        <v>14</v>
      </c>
      <c r="F88" s="3">
        <v>21.53</v>
      </c>
      <c r="G88" s="3">
        <v>3</v>
      </c>
      <c r="I88" s="3">
        <f t="shared" si="16"/>
        <v>17</v>
      </c>
      <c r="J88" s="3">
        <f t="shared" si="12"/>
        <v>23</v>
      </c>
      <c r="K88" s="3">
        <f t="shared" si="17"/>
        <v>-6</v>
      </c>
      <c r="L88" s="3" t="str">
        <f t="shared" si="13"/>
        <v>CRÍTICO</v>
      </c>
      <c r="M88" s="3">
        <v>10</v>
      </c>
      <c r="N88" s="3">
        <v>100</v>
      </c>
      <c r="O88" s="3">
        <v>16.97247706422019</v>
      </c>
    </row>
    <row r="89" spans="1:15" x14ac:dyDescent="0.25">
      <c r="A89" s="5">
        <v>46147</v>
      </c>
      <c r="B89" s="6" t="s">
        <v>63</v>
      </c>
      <c r="C89" s="3" t="s">
        <v>18</v>
      </c>
      <c r="D89" s="3">
        <v>33</v>
      </c>
      <c r="E89" s="3">
        <v>32</v>
      </c>
      <c r="F89" s="3">
        <v>9.31</v>
      </c>
      <c r="G89" s="3">
        <v>0</v>
      </c>
      <c r="H89" s="3">
        <v>0</v>
      </c>
      <c r="I89" s="3">
        <f t="shared" si="16"/>
        <v>32</v>
      </c>
      <c r="J89" s="3">
        <f t="shared" si="12"/>
        <v>35</v>
      </c>
      <c r="K89" s="3">
        <f t="shared" si="17"/>
        <v>-3</v>
      </c>
      <c r="L89" s="3" t="str">
        <f t="shared" si="13"/>
        <v>ATENÇÃO</v>
      </c>
      <c r="M89" s="3">
        <v>28</v>
      </c>
      <c r="N89" s="3">
        <v>97.33</v>
      </c>
      <c r="O89" s="3">
        <v>15.805471124620061</v>
      </c>
    </row>
    <row r="90" spans="1:15" x14ac:dyDescent="0.25">
      <c r="A90" s="5">
        <v>46148</v>
      </c>
      <c r="B90" s="6" t="s">
        <v>15</v>
      </c>
      <c r="C90" s="3" t="s">
        <v>16</v>
      </c>
      <c r="D90" s="3">
        <v>35</v>
      </c>
      <c r="E90" s="3">
        <v>29</v>
      </c>
      <c r="G90" s="3">
        <v>11</v>
      </c>
      <c r="I90" s="3">
        <f t="shared" si="16"/>
        <v>40</v>
      </c>
      <c r="J90" s="3">
        <f t="shared" si="12"/>
        <v>28</v>
      </c>
      <c r="K90" s="3">
        <f t="shared" si="17"/>
        <v>12</v>
      </c>
      <c r="L90" s="3" t="str">
        <f t="shared" si="13"/>
        <v>EXCELENTE</v>
      </c>
      <c r="M90" s="3">
        <v>32</v>
      </c>
      <c r="N90" s="3">
        <v>98.94</v>
      </c>
      <c r="O90" s="3">
        <v>19.614147909967851</v>
      </c>
    </row>
    <row r="91" spans="1:15" x14ac:dyDescent="0.25">
      <c r="A91" s="5">
        <v>46148</v>
      </c>
      <c r="B91" s="6" t="s">
        <v>17</v>
      </c>
      <c r="C91" s="3" t="s">
        <v>18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f t="shared" si="12"/>
        <v>35</v>
      </c>
      <c r="K91" s="3">
        <v>0</v>
      </c>
      <c r="L91" s="3" t="str">
        <f t="shared" si="13"/>
        <v>BOM</v>
      </c>
      <c r="M91" s="9">
        <v>0</v>
      </c>
      <c r="N91" s="9">
        <v>100</v>
      </c>
      <c r="O91" s="9">
        <v>0</v>
      </c>
    </row>
    <row r="92" spans="1:15" x14ac:dyDescent="0.25">
      <c r="A92" s="5">
        <v>46148</v>
      </c>
      <c r="B92" s="6" t="s">
        <v>19</v>
      </c>
      <c r="C92" s="3" t="s">
        <v>20</v>
      </c>
      <c r="D92" s="3">
        <v>50</v>
      </c>
      <c r="E92" s="3">
        <v>43</v>
      </c>
      <c r="G92" s="3">
        <v>6</v>
      </c>
      <c r="I92" s="3">
        <f t="shared" ref="I92:I107" si="18">E92+G92+H92</f>
        <v>49</v>
      </c>
      <c r="J92" s="3">
        <f t="shared" si="12"/>
        <v>23</v>
      </c>
      <c r="K92" s="3">
        <f t="shared" ref="K92:K107" si="19">I92-J92</f>
        <v>26</v>
      </c>
      <c r="L92" s="3" t="str">
        <f t="shared" si="13"/>
        <v>EXCELENTE</v>
      </c>
      <c r="M92" s="3">
        <v>43</v>
      </c>
      <c r="N92" s="3">
        <v>95.38</v>
      </c>
      <c r="O92" s="3">
        <v>21.5962441314554</v>
      </c>
    </row>
    <row r="93" spans="1:15" x14ac:dyDescent="0.25">
      <c r="A93" s="5">
        <v>46148</v>
      </c>
      <c r="B93" s="6" t="s">
        <v>21</v>
      </c>
      <c r="C93" s="9" t="s">
        <v>18</v>
      </c>
      <c r="D93" s="3">
        <v>22</v>
      </c>
      <c r="E93" s="3">
        <v>20</v>
      </c>
      <c r="G93" s="3">
        <v>12</v>
      </c>
      <c r="I93" s="3">
        <f t="shared" si="18"/>
        <v>32</v>
      </c>
      <c r="J93" s="3">
        <f t="shared" si="12"/>
        <v>35</v>
      </c>
      <c r="K93" s="3">
        <f t="shared" si="19"/>
        <v>-3</v>
      </c>
      <c r="L93" s="3" t="str">
        <f t="shared" si="13"/>
        <v>ATENÇÃO</v>
      </c>
      <c r="M93" s="3">
        <v>30</v>
      </c>
      <c r="N93" s="3">
        <v>96.34</v>
      </c>
      <c r="O93" s="3">
        <v>17.571884984025559</v>
      </c>
    </row>
    <row r="94" spans="1:15" x14ac:dyDescent="0.25">
      <c r="A94" s="5">
        <v>46148</v>
      </c>
      <c r="B94" s="6" t="s">
        <v>24</v>
      </c>
      <c r="C94" s="3" t="s">
        <v>16</v>
      </c>
      <c r="D94" s="3">
        <v>31</v>
      </c>
      <c r="E94" s="3">
        <v>28</v>
      </c>
      <c r="G94" s="3">
        <v>9</v>
      </c>
      <c r="I94" s="3">
        <f t="shared" si="18"/>
        <v>37</v>
      </c>
      <c r="J94" s="3">
        <f t="shared" si="12"/>
        <v>28</v>
      </c>
      <c r="K94" s="3">
        <f t="shared" si="19"/>
        <v>9</v>
      </c>
      <c r="L94" s="3" t="str">
        <f t="shared" si="13"/>
        <v>EXCELENTE</v>
      </c>
      <c r="M94" s="3">
        <v>35</v>
      </c>
      <c r="N94" s="3">
        <v>99.13</v>
      </c>
      <c r="O94" s="3">
        <v>14.7239263803681</v>
      </c>
    </row>
    <row r="95" spans="1:15" x14ac:dyDescent="0.25">
      <c r="A95" s="5">
        <v>46148</v>
      </c>
      <c r="B95" s="6" t="s">
        <v>25</v>
      </c>
      <c r="C95" s="9" t="s">
        <v>16</v>
      </c>
      <c r="D95" s="3">
        <v>34</v>
      </c>
      <c r="E95" s="3">
        <v>32</v>
      </c>
      <c r="G95" s="3">
        <v>1</v>
      </c>
      <c r="I95" s="3">
        <f t="shared" si="18"/>
        <v>33</v>
      </c>
      <c r="J95" s="3">
        <f t="shared" si="12"/>
        <v>28</v>
      </c>
      <c r="K95" s="3">
        <f t="shared" si="19"/>
        <v>5</v>
      </c>
      <c r="L95" s="3" t="str">
        <f t="shared" si="13"/>
        <v>BOM</v>
      </c>
      <c r="M95" s="3">
        <v>31</v>
      </c>
      <c r="N95" s="3">
        <v>98.8</v>
      </c>
      <c r="O95" s="3">
        <v>16.897506925207761</v>
      </c>
    </row>
    <row r="96" spans="1:15" x14ac:dyDescent="0.25">
      <c r="A96" s="5">
        <v>46148</v>
      </c>
      <c r="B96" s="6" t="s">
        <v>22</v>
      </c>
      <c r="C96" s="3" t="s">
        <v>23</v>
      </c>
      <c r="D96" s="3">
        <v>27</v>
      </c>
      <c r="E96" s="3">
        <v>26</v>
      </c>
      <c r="G96" s="3">
        <v>0</v>
      </c>
      <c r="H96" s="3">
        <v>0</v>
      </c>
      <c r="I96" s="3">
        <f t="shared" si="18"/>
        <v>26</v>
      </c>
      <c r="J96" s="3">
        <f t="shared" si="12"/>
        <v>10</v>
      </c>
      <c r="K96" s="3">
        <f t="shared" si="19"/>
        <v>16</v>
      </c>
      <c r="L96" s="3" t="str">
        <f t="shared" si="13"/>
        <v>EXCELENTE</v>
      </c>
      <c r="M96" s="3">
        <v>25</v>
      </c>
      <c r="N96" s="3">
        <v>99.11</v>
      </c>
      <c r="O96" s="3">
        <v>17.721518987341771</v>
      </c>
    </row>
    <row r="97" spans="1:15" x14ac:dyDescent="0.25">
      <c r="A97" s="5">
        <v>46148</v>
      </c>
      <c r="B97" s="6" t="s">
        <v>26</v>
      </c>
      <c r="C97" s="3" t="s">
        <v>23</v>
      </c>
      <c r="D97" s="3">
        <v>13</v>
      </c>
      <c r="E97" s="3">
        <v>12</v>
      </c>
      <c r="G97" s="3">
        <v>0</v>
      </c>
      <c r="I97" s="3">
        <f t="shared" si="18"/>
        <v>12</v>
      </c>
      <c r="J97" s="3">
        <f t="shared" si="12"/>
        <v>10</v>
      </c>
      <c r="K97" s="3">
        <f t="shared" si="19"/>
        <v>2</v>
      </c>
      <c r="L97" s="3" t="str">
        <f t="shared" si="13"/>
        <v>BOM</v>
      </c>
      <c r="M97" s="3">
        <v>9</v>
      </c>
      <c r="N97" s="3">
        <v>96.43</v>
      </c>
      <c r="O97" s="3">
        <v>20</v>
      </c>
    </row>
    <row r="98" spans="1:15" x14ac:dyDescent="0.25">
      <c r="A98" s="5">
        <v>46148</v>
      </c>
      <c r="B98" s="6" t="s">
        <v>32</v>
      </c>
      <c r="C98" s="3" t="s">
        <v>23</v>
      </c>
      <c r="D98" s="3">
        <v>56</v>
      </c>
      <c r="E98" s="3">
        <v>43</v>
      </c>
      <c r="G98" s="3">
        <v>0</v>
      </c>
      <c r="H98" s="3">
        <v>0</v>
      </c>
      <c r="I98" s="3">
        <f t="shared" si="18"/>
        <v>43</v>
      </c>
      <c r="J98" s="3">
        <f t="shared" si="12"/>
        <v>10</v>
      </c>
      <c r="K98" s="3">
        <f t="shared" si="19"/>
        <v>33</v>
      </c>
      <c r="L98" s="3" t="str">
        <f t="shared" si="13"/>
        <v>EXCELENTE</v>
      </c>
      <c r="M98" s="3">
        <v>2</v>
      </c>
      <c r="N98" s="3">
        <v>100</v>
      </c>
      <c r="O98" s="3">
        <v>29.032258064516132</v>
      </c>
    </row>
    <row r="99" spans="1:15" x14ac:dyDescent="0.25">
      <c r="A99" s="5">
        <v>46148</v>
      </c>
      <c r="B99" s="6" t="s">
        <v>51</v>
      </c>
      <c r="C99" s="3" t="s">
        <v>23</v>
      </c>
      <c r="D99" s="3">
        <v>66</v>
      </c>
      <c r="E99" s="3">
        <v>38</v>
      </c>
      <c r="G99" s="3">
        <v>0</v>
      </c>
      <c r="I99" s="3">
        <f t="shared" si="18"/>
        <v>38</v>
      </c>
      <c r="J99" s="3">
        <f t="shared" si="12"/>
        <v>10</v>
      </c>
      <c r="K99" s="3">
        <f t="shared" si="19"/>
        <v>28</v>
      </c>
      <c r="L99" s="3" t="str">
        <f t="shared" si="13"/>
        <v>EXCELENTE</v>
      </c>
      <c r="M99" s="3">
        <v>3</v>
      </c>
      <c r="N99" s="3">
        <v>100</v>
      </c>
      <c r="O99" s="3">
        <v>11.864406779661021</v>
      </c>
    </row>
    <row r="100" spans="1:15" x14ac:dyDescent="0.25">
      <c r="A100" s="5">
        <v>46148</v>
      </c>
      <c r="B100" s="6" t="s">
        <v>54</v>
      </c>
      <c r="C100" s="3" t="s">
        <v>23</v>
      </c>
      <c r="D100" s="3">
        <v>9</v>
      </c>
      <c r="E100" s="3">
        <v>8</v>
      </c>
      <c r="G100" s="3">
        <v>0</v>
      </c>
      <c r="I100" s="3">
        <f t="shared" si="18"/>
        <v>8</v>
      </c>
      <c r="J100" s="3">
        <f t="shared" si="12"/>
        <v>10</v>
      </c>
      <c r="K100" s="3">
        <f t="shared" si="19"/>
        <v>-2</v>
      </c>
      <c r="L100" s="3" t="str">
        <f t="shared" si="13"/>
        <v>ATENÇÃO</v>
      </c>
      <c r="M100" s="3">
        <v>7</v>
      </c>
      <c r="N100" s="3">
        <v>100</v>
      </c>
      <c r="O100" s="3">
        <v>16.814159292035399</v>
      </c>
    </row>
    <row r="101" spans="1:15" x14ac:dyDescent="0.25">
      <c r="A101" s="5">
        <v>46148</v>
      </c>
      <c r="B101" s="6" t="s">
        <v>59</v>
      </c>
      <c r="C101" s="3" t="s">
        <v>23</v>
      </c>
      <c r="D101" s="3">
        <v>17</v>
      </c>
      <c r="E101" s="3">
        <v>15</v>
      </c>
      <c r="G101" s="3">
        <v>0</v>
      </c>
      <c r="I101" s="3">
        <f t="shared" si="18"/>
        <v>15</v>
      </c>
      <c r="J101" s="3">
        <f t="shared" si="12"/>
        <v>10</v>
      </c>
      <c r="K101" s="3">
        <f t="shared" si="19"/>
        <v>5</v>
      </c>
      <c r="L101" s="3" t="str">
        <f t="shared" si="13"/>
        <v>BOM</v>
      </c>
      <c r="M101" s="3">
        <v>14</v>
      </c>
      <c r="N101" s="3">
        <v>98.11</v>
      </c>
      <c r="O101" s="3">
        <v>20.408163265306118</v>
      </c>
    </row>
    <row r="102" spans="1:15" x14ac:dyDescent="0.25">
      <c r="A102" s="5">
        <v>46148</v>
      </c>
      <c r="B102" s="6" t="s">
        <v>27</v>
      </c>
      <c r="C102" s="3" t="s">
        <v>20</v>
      </c>
      <c r="D102" s="3">
        <v>24</v>
      </c>
      <c r="E102" s="3">
        <v>23</v>
      </c>
      <c r="G102" s="3">
        <v>9</v>
      </c>
      <c r="I102" s="3">
        <f t="shared" si="18"/>
        <v>32</v>
      </c>
      <c r="J102" s="3">
        <f t="shared" si="12"/>
        <v>23</v>
      </c>
      <c r="K102" s="3">
        <f t="shared" si="19"/>
        <v>9</v>
      </c>
      <c r="L102" s="3" t="str">
        <f t="shared" si="13"/>
        <v>EXCELENTE</v>
      </c>
      <c r="M102" s="3">
        <v>30</v>
      </c>
      <c r="N102" s="3">
        <v>96.88</v>
      </c>
      <c r="O102" s="3">
        <v>19.526627218934909</v>
      </c>
    </row>
    <row r="103" spans="1:15" x14ac:dyDescent="0.25">
      <c r="A103" s="5">
        <v>46148</v>
      </c>
      <c r="B103" s="6" t="s">
        <v>28</v>
      </c>
      <c r="C103" s="3" t="s">
        <v>18</v>
      </c>
      <c r="D103" s="3">
        <v>48</v>
      </c>
      <c r="E103" s="3">
        <v>44</v>
      </c>
      <c r="G103" s="3">
        <v>0</v>
      </c>
      <c r="I103" s="3">
        <f t="shared" si="18"/>
        <v>44</v>
      </c>
      <c r="J103" s="3">
        <f t="shared" si="12"/>
        <v>35</v>
      </c>
      <c r="K103" s="3">
        <f t="shared" si="19"/>
        <v>9</v>
      </c>
      <c r="L103" s="3" t="str">
        <f t="shared" si="13"/>
        <v>EXCELENTE</v>
      </c>
      <c r="M103" s="3">
        <v>41</v>
      </c>
      <c r="N103" s="3">
        <v>91.85</v>
      </c>
      <c r="O103" s="3">
        <v>20.87155963302752</v>
      </c>
    </row>
    <row r="104" spans="1:15" x14ac:dyDescent="0.25">
      <c r="A104" s="5">
        <v>46148</v>
      </c>
      <c r="B104" s="6" t="s">
        <v>29</v>
      </c>
      <c r="C104" s="3" t="s">
        <v>16</v>
      </c>
      <c r="D104" s="3">
        <v>40</v>
      </c>
      <c r="E104" s="3">
        <v>35</v>
      </c>
      <c r="G104" s="3">
        <v>1</v>
      </c>
      <c r="I104" s="3">
        <f t="shared" si="18"/>
        <v>36</v>
      </c>
      <c r="J104" s="3">
        <f t="shared" si="12"/>
        <v>28</v>
      </c>
      <c r="K104" s="3">
        <f t="shared" si="19"/>
        <v>8</v>
      </c>
      <c r="L104" s="3" t="str">
        <f t="shared" si="13"/>
        <v>EXCELENTE</v>
      </c>
      <c r="M104" s="3">
        <v>29</v>
      </c>
      <c r="N104" s="3">
        <v>98.63</v>
      </c>
      <c r="O104" s="3">
        <v>18.75</v>
      </c>
    </row>
    <row r="105" spans="1:15" x14ac:dyDescent="0.25">
      <c r="A105" s="5">
        <v>46148</v>
      </c>
      <c r="B105" s="6" t="s">
        <v>30</v>
      </c>
      <c r="C105" s="3" t="s">
        <v>20</v>
      </c>
      <c r="D105" s="3">
        <v>19</v>
      </c>
      <c r="E105" s="3">
        <v>16</v>
      </c>
      <c r="G105" s="3">
        <v>0</v>
      </c>
      <c r="I105" s="3">
        <f t="shared" si="18"/>
        <v>16</v>
      </c>
      <c r="J105" s="3">
        <f t="shared" si="12"/>
        <v>23</v>
      </c>
      <c r="K105" s="3">
        <f t="shared" si="19"/>
        <v>-7</v>
      </c>
      <c r="L105" s="3" t="str">
        <f t="shared" si="13"/>
        <v>CRÍTICO</v>
      </c>
      <c r="M105" s="3">
        <v>13</v>
      </c>
      <c r="N105" s="3">
        <v>100</v>
      </c>
      <c r="O105" s="3">
        <v>18.14516129032258</v>
      </c>
    </row>
    <row r="106" spans="1:15" x14ac:dyDescent="0.25">
      <c r="A106" s="5">
        <v>46148</v>
      </c>
      <c r="B106" s="6" t="s">
        <v>31</v>
      </c>
      <c r="C106" s="9" t="s">
        <v>18</v>
      </c>
      <c r="D106" s="3">
        <v>24</v>
      </c>
      <c r="E106" s="3">
        <v>22</v>
      </c>
      <c r="G106" s="3">
        <v>9</v>
      </c>
      <c r="I106" s="3">
        <f t="shared" si="18"/>
        <v>31</v>
      </c>
      <c r="J106" s="3">
        <f t="shared" si="12"/>
        <v>35</v>
      </c>
      <c r="K106" s="3">
        <f t="shared" si="19"/>
        <v>-4</v>
      </c>
      <c r="L106" s="3" t="str">
        <f t="shared" si="13"/>
        <v>ATENÇÃO</v>
      </c>
      <c r="M106" s="3">
        <v>32</v>
      </c>
      <c r="N106" s="3">
        <v>99.06</v>
      </c>
      <c r="O106" s="3">
        <v>22.95719844357977</v>
      </c>
    </row>
    <row r="107" spans="1:15" x14ac:dyDescent="0.25">
      <c r="A107" s="5">
        <v>46148</v>
      </c>
      <c r="B107" s="6" t="s">
        <v>33</v>
      </c>
      <c r="C107" s="3" t="s">
        <v>16</v>
      </c>
      <c r="D107" s="3">
        <v>15</v>
      </c>
      <c r="E107" s="3">
        <v>14</v>
      </c>
      <c r="G107" s="3">
        <v>9</v>
      </c>
      <c r="I107" s="3">
        <f t="shared" si="18"/>
        <v>23</v>
      </c>
      <c r="J107" s="3">
        <f t="shared" si="12"/>
        <v>28</v>
      </c>
      <c r="K107" s="3">
        <f t="shared" si="19"/>
        <v>-5</v>
      </c>
      <c r="L107" s="3" t="str">
        <f t="shared" si="13"/>
        <v>ATENÇÃO</v>
      </c>
      <c r="M107" s="3">
        <v>22</v>
      </c>
      <c r="N107" s="3">
        <v>100</v>
      </c>
      <c r="O107" s="3">
        <v>13.8121546961326</v>
      </c>
    </row>
    <row r="108" spans="1:15" x14ac:dyDescent="0.25">
      <c r="A108" s="5">
        <v>46148</v>
      </c>
      <c r="B108" s="6" t="s">
        <v>34</v>
      </c>
      <c r="C108" s="9" t="s">
        <v>18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f t="shared" si="12"/>
        <v>35</v>
      </c>
      <c r="K108" s="3">
        <v>0</v>
      </c>
      <c r="L108" s="3" t="str">
        <f t="shared" si="13"/>
        <v>BOM</v>
      </c>
      <c r="M108" s="3">
        <v>0</v>
      </c>
      <c r="N108" s="3">
        <v>100</v>
      </c>
      <c r="O108" s="3">
        <v>9.5238095238095237</v>
      </c>
    </row>
    <row r="109" spans="1:15" x14ac:dyDescent="0.25">
      <c r="A109" s="5">
        <v>46148</v>
      </c>
      <c r="B109" s="6" t="s">
        <v>35</v>
      </c>
      <c r="C109" s="3" t="s">
        <v>16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f t="shared" si="12"/>
        <v>28</v>
      </c>
      <c r="K109" s="3">
        <v>0</v>
      </c>
      <c r="L109" s="3" t="str">
        <f t="shared" si="13"/>
        <v>BOM</v>
      </c>
      <c r="M109" s="3">
        <v>0</v>
      </c>
      <c r="N109" s="3">
        <v>100</v>
      </c>
      <c r="O109" s="3">
        <v>17.241379310344829</v>
      </c>
    </row>
    <row r="110" spans="1:15" x14ac:dyDescent="0.25">
      <c r="A110" s="5">
        <v>46148</v>
      </c>
      <c r="B110" s="6" t="s">
        <v>36</v>
      </c>
      <c r="C110" s="3" t="s">
        <v>20</v>
      </c>
      <c r="D110" s="3">
        <v>23</v>
      </c>
      <c r="E110" s="3">
        <v>22</v>
      </c>
      <c r="G110" s="3">
        <v>9</v>
      </c>
      <c r="I110" s="3">
        <f>E110+G110+H110</f>
        <v>31</v>
      </c>
      <c r="J110" s="3">
        <f t="shared" si="12"/>
        <v>23</v>
      </c>
      <c r="K110" s="3">
        <f>I110-J110</f>
        <v>8</v>
      </c>
      <c r="L110" s="3" t="str">
        <f t="shared" si="13"/>
        <v>EXCELENTE</v>
      </c>
      <c r="M110" s="3">
        <v>24</v>
      </c>
      <c r="N110" s="3">
        <v>98.8</v>
      </c>
      <c r="O110" s="3">
        <v>15.41353383458646</v>
      </c>
    </row>
    <row r="111" spans="1:15" x14ac:dyDescent="0.25">
      <c r="A111" s="5">
        <v>46148</v>
      </c>
      <c r="B111" s="6" t="s">
        <v>37</v>
      </c>
      <c r="C111" s="9" t="s">
        <v>16</v>
      </c>
      <c r="D111" s="3">
        <v>33</v>
      </c>
      <c r="E111" s="3">
        <v>32</v>
      </c>
      <c r="G111" s="3">
        <v>9</v>
      </c>
      <c r="I111" s="3">
        <f>E111+G111+H111</f>
        <v>41</v>
      </c>
      <c r="J111" s="3">
        <f t="shared" si="12"/>
        <v>28</v>
      </c>
      <c r="K111" s="3">
        <f>I111-J111</f>
        <v>13</v>
      </c>
      <c r="L111" s="3" t="str">
        <f t="shared" si="13"/>
        <v>EXCELENTE</v>
      </c>
      <c r="M111" s="3">
        <v>30</v>
      </c>
      <c r="N111" s="3">
        <v>98.63</v>
      </c>
      <c r="O111" s="3">
        <v>15.75757575757576</v>
      </c>
    </row>
    <row r="112" spans="1:15" x14ac:dyDescent="0.25">
      <c r="A112" s="5">
        <v>46148</v>
      </c>
      <c r="B112" s="6" t="s">
        <v>38</v>
      </c>
      <c r="C112" s="3" t="s">
        <v>18</v>
      </c>
      <c r="D112" s="3">
        <v>52</v>
      </c>
      <c r="E112" s="3">
        <v>45</v>
      </c>
      <c r="G112" s="3">
        <v>23</v>
      </c>
      <c r="I112" s="3">
        <f>E112+G112+H112</f>
        <v>68</v>
      </c>
      <c r="J112" s="3">
        <f t="shared" si="12"/>
        <v>35</v>
      </c>
      <c r="K112" s="3">
        <f>I112-J112</f>
        <v>33</v>
      </c>
      <c r="L112" s="3" t="str">
        <f t="shared" si="13"/>
        <v>EXCELENTE</v>
      </c>
      <c r="M112" s="3">
        <v>55</v>
      </c>
      <c r="N112" s="3">
        <v>98.64</v>
      </c>
      <c r="O112" s="3">
        <v>16.638370118845501</v>
      </c>
    </row>
    <row r="113" spans="1:15" x14ac:dyDescent="0.25">
      <c r="A113" s="5">
        <v>46148</v>
      </c>
      <c r="B113" s="6" t="s">
        <v>39</v>
      </c>
      <c r="C113" s="3" t="s">
        <v>18</v>
      </c>
      <c r="D113" s="3">
        <v>27</v>
      </c>
      <c r="E113" s="3">
        <v>26</v>
      </c>
      <c r="G113" s="3">
        <v>7</v>
      </c>
      <c r="I113" s="3">
        <f>E113+G113+H113</f>
        <v>33</v>
      </c>
      <c r="J113" s="3">
        <f t="shared" si="12"/>
        <v>35</v>
      </c>
      <c r="K113" s="3">
        <f>I113-J113</f>
        <v>-2</v>
      </c>
      <c r="L113" s="3" t="str">
        <f t="shared" si="13"/>
        <v>ATENÇÃO</v>
      </c>
      <c r="M113" s="3">
        <v>26</v>
      </c>
      <c r="N113" s="3">
        <v>95.4</v>
      </c>
      <c r="O113" s="3">
        <v>20.533333333333331</v>
      </c>
    </row>
    <row r="114" spans="1:15" x14ac:dyDescent="0.25">
      <c r="A114" s="5">
        <v>46148</v>
      </c>
      <c r="B114" s="6" t="s">
        <v>40</v>
      </c>
      <c r="C114" s="3" t="s">
        <v>16</v>
      </c>
      <c r="D114" s="3">
        <v>29</v>
      </c>
      <c r="E114" s="3">
        <v>28</v>
      </c>
      <c r="G114" s="3">
        <v>7</v>
      </c>
      <c r="I114" s="3">
        <f>E114+G114+H114</f>
        <v>35</v>
      </c>
      <c r="J114" s="3">
        <f t="shared" si="12"/>
        <v>28</v>
      </c>
      <c r="K114" s="3">
        <f>I114-J114</f>
        <v>7</v>
      </c>
      <c r="L114" s="3" t="str">
        <f t="shared" si="13"/>
        <v>EXCELENTE</v>
      </c>
      <c r="M114" s="3">
        <v>34</v>
      </c>
      <c r="N114" s="3">
        <v>98.61</v>
      </c>
      <c r="O114" s="3">
        <v>16.97530864197531</v>
      </c>
    </row>
    <row r="115" spans="1:15" x14ac:dyDescent="0.25">
      <c r="A115" s="5">
        <v>46148</v>
      </c>
      <c r="B115" s="6" t="s">
        <v>41</v>
      </c>
      <c r="C115" s="3" t="s">
        <v>18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f t="shared" si="12"/>
        <v>35</v>
      </c>
      <c r="K115" s="3">
        <v>0</v>
      </c>
      <c r="L115" s="3" t="str">
        <f t="shared" si="13"/>
        <v>BOM</v>
      </c>
      <c r="M115" s="3">
        <v>0</v>
      </c>
      <c r="N115" s="3">
        <v>0</v>
      </c>
      <c r="O115" s="3">
        <v>0</v>
      </c>
    </row>
    <row r="116" spans="1:15" x14ac:dyDescent="0.25">
      <c r="A116" s="5">
        <v>46148</v>
      </c>
      <c r="B116" s="6" t="s">
        <v>42</v>
      </c>
      <c r="C116" s="3" t="s">
        <v>43</v>
      </c>
      <c r="D116" s="3">
        <v>22</v>
      </c>
      <c r="E116" s="3">
        <v>22</v>
      </c>
      <c r="G116" s="3">
        <v>1</v>
      </c>
      <c r="I116" s="3">
        <f t="shared" ref="I116:I121" si="20">E116+G116+H116</f>
        <v>23</v>
      </c>
      <c r="J116" s="3">
        <f t="shared" si="12"/>
        <v>20</v>
      </c>
      <c r="K116" s="3">
        <f t="shared" ref="K116:K121" si="21">I116-J116</f>
        <v>3</v>
      </c>
      <c r="L116" s="3" t="str">
        <f t="shared" si="13"/>
        <v>BOM</v>
      </c>
      <c r="M116" s="3">
        <v>22</v>
      </c>
      <c r="N116" s="3">
        <v>97.01</v>
      </c>
      <c r="O116" s="3">
        <v>13.961038961038961</v>
      </c>
    </row>
    <row r="117" spans="1:15" x14ac:dyDescent="0.25">
      <c r="A117" s="5">
        <v>46148</v>
      </c>
      <c r="B117" s="6" t="s">
        <v>44</v>
      </c>
      <c r="C117" s="9" t="s">
        <v>18</v>
      </c>
      <c r="D117" s="3">
        <v>27</v>
      </c>
      <c r="E117" s="3">
        <v>25</v>
      </c>
      <c r="G117" s="3">
        <v>1</v>
      </c>
      <c r="I117" s="3">
        <f t="shared" si="20"/>
        <v>26</v>
      </c>
      <c r="J117" s="3">
        <f t="shared" si="12"/>
        <v>35</v>
      </c>
      <c r="K117" s="3">
        <f t="shared" si="21"/>
        <v>-9</v>
      </c>
      <c r="L117" s="3" t="str">
        <f t="shared" si="13"/>
        <v>CRÍTICO</v>
      </c>
      <c r="M117" s="3">
        <v>26</v>
      </c>
      <c r="N117" s="3">
        <v>95.52</v>
      </c>
      <c r="O117" s="3">
        <v>10.561056105610559</v>
      </c>
    </row>
    <row r="118" spans="1:15" x14ac:dyDescent="0.25">
      <c r="A118" s="5">
        <v>46148</v>
      </c>
      <c r="B118" s="6" t="s">
        <v>45</v>
      </c>
      <c r="C118" s="3" t="s">
        <v>43</v>
      </c>
      <c r="D118" s="3">
        <v>13</v>
      </c>
      <c r="E118" s="3">
        <v>12</v>
      </c>
      <c r="G118" s="3">
        <v>12</v>
      </c>
      <c r="I118" s="3">
        <f t="shared" si="20"/>
        <v>24</v>
      </c>
      <c r="J118" s="3">
        <f t="shared" si="12"/>
        <v>20</v>
      </c>
      <c r="K118" s="3">
        <f t="shared" si="21"/>
        <v>4</v>
      </c>
      <c r="L118" s="3" t="str">
        <f t="shared" si="13"/>
        <v>BOM</v>
      </c>
      <c r="M118" s="3">
        <v>17</v>
      </c>
      <c r="N118" s="3">
        <v>100</v>
      </c>
      <c r="O118" s="3">
        <v>16.959064327485379</v>
      </c>
    </row>
    <row r="119" spans="1:15" x14ac:dyDescent="0.25">
      <c r="A119" s="5">
        <v>46148</v>
      </c>
      <c r="B119" s="6" t="s">
        <v>46</v>
      </c>
      <c r="C119" s="9" t="s">
        <v>18</v>
      </c>
      <c r="D119" s="3">
        <v>38</v>
      </c>
      <c r="E119" s="3">
        <v>38</v>
      </c>
      <c r="G119" s="3">
        <v>0</v>
      </c>
      <c r="I119" s="3">
        <f t="shared" si="20"/>
        <v>38</v>
      </c>
      <c r="J119" s="3">
        <f t="shared" si="12"/>
        <v>35</v>
      </c>
      <c r="K119" s="3">
        <f t="shared" si="21"/>
        <v>3</v>
      </c>
      <c r="L119" s="3" t="str">
        <f t="shared" si="13"/>
        <v>BOM</v>
      </c>
      <c r="M119" s="3">
        <v>36</v>
      </c>
      <c r="N119" s="3">
        <v>100</v>
      </c>
      <c r="O119" s="3">
        <v>15.584415584415581</v>
      </c>
    </row>
    <row r="120" spans="1:15" x14ac:dyDescent="0.25">
      <c r="A120" s="5">
        <v>46148</v>
      </c>
      <c r="B120" s="6" t="s">
        <v>47</v>
      </c>
      <c r="C120" s="3" t="s">
        <v>16</v>
      </c>
      <c r="D120" s="3">
        <v>38</v>
      </c>
      <c r="E120" s="3">
        <v>36</v>
      </c>
      <c r="G120" s="3">
        <v>2</v>
      </c>
      <c r="I120" s="3">
        <f t="shared" si="20"/>
        <v>38</v>
      </c>
      <c r="J120" s="3">
        <f t="shared" si="12"/>
        <v>28</v>
      </c>
      <c r="K120" s="3">
        <f t="shared" si="21"/>
        <v>10</v>
      </c>
      <c r="L120" s="3" t="str">
        <f t="shared" si="13"/>
        <v>EXCELENTE</v>
      </c>
      <c r="M120" s="3">
        <v>16</v>
      </c>
      <c r="N120" s="3">
        <v>98.61</v>
      </c>
      <c r="O120" s="3">
        <v>16.867469879518069</v>
      </c>
    </row>
    <row r="121" spans="1:15" x14ac:dyDescent="0.25">
      <c r="A121" s="5">
        <v>46148</v>
      </c>
      <c r="B121" s="6" t="s">
        <v>48</v>
      </c>
      <c r="C121" s="3" t="s">
        <v>16</v>
      </c>
      <c r="D121" s="3">
        <v>34</v>
      </c>
      <c r="E121" s="3">
        <v>31</v>
      </c>
      <c r="G121" s="3">
        <v>0</v>
      </c>
      <c r="I121" s="3">
        <f t="shared" si="20"/>
        <v>31</v>
      </c>
      <c r="J121" s="3">
        <f t="shared" si="12"/>
        <v>28</v>
      </c>
      <c r="K121" s="3">
        <f t="shared" si="21"/>
        <v>3</v>
      </c>
      <c r="L121" s="3" t="str">
        <f t="shared" si="13"/>
        <v>BOM</v>
      </c>
      <c r="M121" s="3">
        <v>28</v>
      </c>
      <c r="N121" s="3">
        <v>100</v>
      </c>
      <c r="O121" s="3">
        <v>20.820189274447952</v>
      </c>
    </row>
    <row r="122" spans="1:15" x14ac:dyDescent="0.25">
      <c r="A122" s="5">
        <v>46148</v>
      </c>
      <c r="B122" s="6" t="s">
        <v>49</v>
      </c>
      <c r="C122" s="3" t="s">
        <v>18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f t="shared" si="12"/>
        <v>35</v>
      </c>
      <c r="K122" s="3">
        <v>0</v>
      </c>
      <c r="L122" s="3" t="str">
        <f t="shared" si="13"/>
        <v>BOM</v>
      </c>
      <c r="M122" s="3">
        <v>0</v>
      </c>
      <c r="N122" s="3">
        <v>100</v>
      </c>
      <c r="O122" s="3">
        <v>4.3478260869565224</v>
      </c>
    </row>
    <row r="123" spans="1:15" x14ac:dyDescent="0.25">
      <c r="A123" s="5">
        <v>46148</v>
      </c>
      <c r="B123" s="6" t="s">
        <v>50</v>
      </c>
      <c r="C123" s="3" t="s">
        <v>20</v>
      </c>
      <c r="D123" s="3">
        <v>31</v>
      </c>
      <c r="E123" s="3">
        <v>30</v>
      </c>
      <c r="G123" s="3">
        <v>8</v>
      </c>
      <c r="I123" s="3">
        <f>E123+G123+H123</f>
        <v>38</v>
      </c>
      <c r="J123" s="3">
        <f t="shared" si="12"/>
        <v>23</v>
      </c>
      <c r="K123" s="3">
        <f>I123-J123</f>
        <v>15</v>
      </c>
      <c r="L123" s="3" t="str">
        <f t="shared" si="13"/>
        <v>EXCELENTE</v>
      </c>
      <c r="M123" s="3">
        <v>36</v>
      </c>
      <c r="N123" s="3">
        <v>93.26</v>
      </c>
      <c r="O123" s="3">
        <v>19.93957703927493</v>
      </c>
    </row>
    <row r="124" spans="1:15" x14ac:dyDescent="0.25">
      <c r="A124" s="5">
        <v>46148</v>
      </c>
      <c r="B124" s="6" t="s">
        <v>52</v>
      </c>
      <c r="C124" s="3" t="s">
        <v>18</v>
      </c>
      <c r="D124" s="3">
        <v>24</v>
      </c>
      <c r="E124" s="3">
        <v>24</v>
      </c>
      <c r="G124" s="3">
        <v>0</v>
      </c>
      <c r="H124" s="3">
        <v>17</v>
      </c>
      <c r="I124" s="3">
        <f>E124+G124+H124</f>
        <v>41</v>
      </c>
      <c r="J124" s="3">
        <f t="shared" si="12"/>
        <v>35</v>
      </c>
      <c r="K124" s="3">
        <f>I124-J124</f>
        <v>6</v>
      </c>
      <c r="L124" s="3" t="str">
        <f t="shared" si="13"/>
        <v>EXCELENTE</v>
      </c>
      <c r="M124" s="3">
        <v>31</v>
      </c>
      <c r="N124" s="3">
        <v>98.28</v>
      </c>
      <c r="O124" s="3">
        <v>9.037900874635568</v>
      </c>
    </row>
    <row r="125" spans="1:15" x14ac:dyDescent="0.25">
      <c r="A125" s="5">
        <v>46148</v>
      </c>
      <c r="B125" s="6" t="s">
        <v>53</v>
      </c>
      <c r="C125" s="3" t="s">
        <v>18</v>
      </c>
      <c r="D125" s="3">
        <v>32</v>
      </c>
      <c r="E125" s="3">
        <v>30</v>
      </c>
      <c r="G125" s="3">
        <v>1</v>
      </c>
      <c r="I125" s="3">
        <f>E125+G125+H125</f>
        <v>31</v>
      </c>
      <c r="J125" s="3">
        <f t="shared" si="12"/>
        <v>35</v>
      </c>
      <c r="K125" s="3">
        <f>I125-J125</f>
        <v>-4</v>
      </c>
      <c r="L125" s="3" t="str">
        <f t="shared" si="13"/>
        <v>ATENÇÃO</v>
      </c>
      <c r="M125" s="3">
        <v>31</v>
      </c>
      <c r="N125" s="3">
        <v>97.22</v>
      </c>
      <c r="O125" s="3">
        <v>19.095477386934672</v>
      </c>
    </row>
    <row r="126" spans="1:15" x14ac:dyDescent="0.25">
      <c r="A126" s="5">
        <v>46148</v>
      </c>
      <c r="B126" s="6" t="s">
        <v>55</v>
      </c>
      <c r="C126" s="3" t="s">
        <v>43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f t="shared" si="12"/>
        <v>20</v>
      </c>
      <c r="K126" s="3">
        <v>0</v>
      </c>
      <c r="L126" s="3" t="str">
        <f t="shared" si="13"/>
        <v>BOM</v>
      </c>
      <c r="M126" s="3">
        <v>0</v>
      </c>
      <c r="N126" s="3">
        <v>98</v>
      </c>
      <c r="O126" s="3">
        <v>16.43835616438356</v>
      </c>
    </row>
    <row r="127" spans="1:15" x14ac:dyDescent="0.25">
      <c r="A127" s="5">
        <v>46148</v>
      </c>
      <c r="B127" s="6" t="s">
        <v>56</v>
      </c>
      <c r="C127" s="3" t="s">
        <v>16</v>
      </c>
      <c r="D127" s="3">
        <v>35</v>
      </c>
      <c r="E127" s="3">
        <v>33</v>
      </c>
      <c r="G127" s="3">
        <v>0</v>
      </c>
      <c r="I127" s="3">
        <f t="shared" ref="I127:I134" si="22">E127+G127+H127</f>
        <v>33</v>
      </c>
      <c r="J127" s="3">
        <f t="shared" si="12"/>
        <v>28</v>
      </c>
      <c r="K127" s="3">
        <f t="shared" ref="K127:K134" si="23">I127-J127</f>
        <v>5</v>
      </c>
      <c r="L127" s="3" t="str">
        <f t="shared" si="13"/>
        <v>BOM</v>
      </c>
      <c r="M127" s="3">
        <v>30</v>
      </c>
      <c r="N127" s="3">
        <v>100</v>
      </c>
      <c r="O127" s="3">
        <v>16.894977168949769</v>
      </c>
    </row>
    <row r="128" spans="1:15" x14ac:dyDescent="0.25">
      <c r="A128" s="5">
        <v>46148</v>
      </c>
      <c r="B128" s="6" t="s">
        <v>57</v>
      </c>
      <c r="C128" s="3" t="s">
        <v>43</v>
      </c>
      <c r="D128" s="3">
        <v>17</v>
      </c>
      <c r="E128" s="3">
        <v>17</v>
      </c>
      <c r="G128" s="3">
        <v>0</v>
      </c>
      <c r="I128" s="3">
        <f t="shared" si="22"/>
        <v>17</v>
      </c>
      <c r="J128" s="3">
        <f t="shared" si="12"/>
        <v>20</v>
      </c>
      <c r="K128" s="3">
        <f t="shared" si="23"/>
        <v>-3</v>
      </c>
      <c r="L128" s="3" t="str">
        <f t="shared" si="13"/>
        <v>ATENÇÃO</v>
      </c>
      <c r="M128" s="3">
        <v>15</v>
      </c>
      <c r="N128" s="3">
        <v>100</v>
      </c>
      <c r="O128" s="3">
        <v>19.138755980861241</v>
      </c>
    </row>
    <row r="129" spans="1:15" x14ac:dyDescent="0.25">
      <c r="A129" s="5">
        <v>46148</v>
      </c>
      <c r="B129" s="6" t="s">
        <v>58</v>
      </c>
      <c r="C129" s="3" t="s">
        <v>43</v>
      </c>
      <c r="D129" s="3">
        <v>22</v>
      </c>
      <c r="E129" s="3">
        <v>21</v>
      </c>
      <c r="G129" s="3">
        <v>3</v>
      </c>
      <c r="I129" s="3">
        <f t="shared" si="22"/>
        <v>24</v>
      </c>
      <c r="J129" s="3">
        <f t="shared" si="12"/>
        <v>20</v>
      </c>
      <c r="K129" s="3">
        <f t="shared" si="23"/>
        <v>4</v>
      </c>
      <c r="L129" s="3" t="str">
        <f t="shared" si="13"/>
        <v>BOM</v>
      </c>
      <c r="M129" s="3">
        <v>18</v>
      </c>
      <c r="N129" s="3">
        <v>100</v>
      </c>
      <c r="O129" s="3">
        <v>15.02145922746781</v>
      </c>
    </row>
    <row r="130" spans="1:15" x14ac:dyDescent="0.25">
      <c r="A130" s="5">
        <v>46148</v>
      </c>
      <c r="B130" s="6" t="s">
        <v>60</v>
      </c>
      <c r="C130" s="3" t="s">
        <v>20</v>
      </c>
      <c r="D130" s="3">
        <v>34</v>
      </c>
      <c r="E130" s="3">
        <v>30</v>
      </c>
      <c r="G130" s="3">
        <v>5</v>
      </c>
      <c r="I130" s="3">
        <f t="shared" si="22"/>
        <v>35</v>
      </c>
      <c r="J130" s="3">
        <f t="shared" ref="J130:J193" si="24"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>23</v>
      </c>
      <c r="K130" s="3">
        <f t="shared" si="23"/>
        <v>12</v>
      </c>
      <c r="L130" s="3" t="str">
        <f t="shared" ref="L130:L193" si="25">IF(K130&lt;-5,"CRÍTICO",IF(K130&lt;0,"ATENÇÃO",IF(K130&lt;=5,"BOM","EXCELENTE")))</f>
        <v>EXCELENTE</v>
      </c>
      <c r="M130" s="3">
        <v>23</v>
      </c>
      <c r="N130" s="3">
        <v>97.56</v>
      </c>
      <c r="O130" s="3">
        <v>19.28783382789317</v>
      </c>
    </row>
    <row r="131" spans="1:15" x14ac:dyDescent="0.25">
      <c r="A131" s="5">
        <v>46148</v>
      </c>
      <c r="B131" s="6" t="s">
        <v>61</v>
      </c>
      <c r="C131" s="3" t="s">
        <v>18</v>
      </c>
      <c r="D131" s="3">
        <v>57</v>
      </c>
      <c r="E131" s="3">
        <v>51</v>
      </c>
      <c r="G131" s="3">
        <v>1</v>
      </c>
      <c r="I131" s="3">
        <f t="shared" si="22"/>
        <v>52</v>
      </c>
      <c r="J131" s="3">
        <f t="shared" si="24"/>
        <v>35</v>
      </c>
      <c r="K131" s="3">
        <f t="shared" si="23"/>
        <v>17</v>
      </c>
      <c r="L131" s="3" t="str">
        <f t="shared" si="25"/>
        <v>EXCELENTE</v>
      </c>
      <c r="M131" s="3">
        <v>37</v>
      </c>
      <c r="N131" s="3">
        <v>99.29</v>
      </c>
      <c r="O131" s="3">
        <v>22.49443207126949</v>
      </c>
    </row>
    <row r="132" spans="1:15" x14ac:dyDescent="0.25">
      <c r="A132" s="5">
        <v>46148</v>
      </c>
      <c r="B132" s="6" t="s">
        <v>62</v>
      </c>
      <c r="C132" s="3" t="s">
        <v>20</v>
      </c>
      <c r="D132" s="3">
        <v>19</v>
      </c>
      <c r="E132" s="3">
        <v>18</v>
      </c>
      <c r="G132" s="3">
        <v>1</v>
      </c>
      <c r="I132" s="3">
        <f t="shared" si="22"/>
        <v>19</v>
      </c>
      <c r="J132" s="3">
        <f t="shared" si="24"/>
        <v>23</v>
      </c>
      <c r="K132" s="3">
        <f t="shared" si="23"/>
        <v>-4</v>
      </c>
      <c r="L132" s="3" t="str">
        <f t="shared" si="25"/>
        <v>ATENÇÃO</v>
      </c>
      <c r="M132" s="3">
        <v>18</v>
      </c>
      <c r="N132" s="3">
        <v>100</v>
      </c>
      <c r="O132" s="3">
        <v>16.97247706422019</v>
      </c>
    </row>
    <row r="133" spans="1:15" x14ac:dyDescent="0.25">
      <c r="A133" s="5">
        <v>46148</v>
      </c>
      <c r="B133" s="6" t="s">
        <v>63</v>
      </c>
      <c r="C133" s="3" t="s">
        <v>18</v>
      </c>
      <c r="D133" s="3">
        <v>21</v>
      </c>
      <c r="E133" s="3">
        <v>20</v>
      </c>
      <c r="G133" s="3">
        <v>8</v>
      </c>
      <c r="I133" s="3">
        <f t="shared" si="22"/>
        <v>28</v>
      </c>
      <c r="J133" s="3">
        <f t="shared" si="24"/>
        <v>35</v>
      </c>
      <c r="K133" s="3">
        <f t="shared" si="23"/>
        <v>-7</v>
      </c>
      <c r="L133" s="3" t="str">
        <f t="shared" si="25"/>
        <v>CRÍTICO</v>
      </c>
      <c r="M133" s="3">
        <v>25</v>
      </c>
      <c r="N133" s="3">
        <v>97.33</v>
      </c>
      <c r="O133" s="3">
        <v>15.805471124620061</v>
      </c>
    </row>
    <row r="134" spans="1:15" x14ac:dyDescent="0.25">
      <c r="A134" s="5">
        <v>46149</v>
      </c>
      <c r="B134" s="6" t="s">
        <v>15</v>
      </c>
      <c r="C134" s="3" t="s">
        <v>16</v>
      </c>
      <c r="D134" s="3">
        <v>39</v>
      </c>
      <c r="E134" s="3">
        <v>34</v>
      </c>
      <c r="G134" s="3">
        <v>0</v>
      </c>
      <c r="I134" s="3">
        <f t="shared" si="22"/>
        <v>34</v>
      </c>
      <c r="J134" s="3">
        <f t="shared" si="24"/>
        <v>26</v>
      </c>
      <c r="K134" s="3">
        <f t="shared" si="23"/>
        <v>8</v>
      </c>
      <c r="L134" s="3" t="str">
        <f t="shared" si="25"/>
        <v>EXCELENTE</v>
      </c>
      <c r="M134" s="3">
        <v>19</v>
      </c>
      <c r="N134" s="3">
        <v>98.94</v>
      </c>
      <c r="O134" s="3">
        <v>19.614147909967851</v>
      </c>
    </row>
    <row r="135" spans="1:15" x14ac:dyDescent="0.25">
      <c r="A135" s="5">
        <v>46149</v>
      </c>
      <c r="B135" s="6" t="s">
        <v>17</v>
      </c>
      <c r="C135" s="3" t="s">
        <v>18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f t="shared" si="24"/>
        <v>33</v>
      </c>
      <c r="K135" s="3">
        <v>0</v>
      </c>
      <c r="L135" s="3" t="str">
        <f t="shared" si="25"/>
        <v>BOM</v>
      </c>
      <c r="M135" s="9">
        <v>0</v>
      </c>
      <c r="N135" s="9">
        <v>100</v>
      </c>
      <c r="O135" s="9">
        <v>0</v>
      </c>
    </row>
    <row r="136" spans="1:15" x14ac:dyDescent="0.25">
      <c r="A136" s="5">
        <v>46149</v>
      </c>
      <c r="B136" s="6" t="s">
        <v>19</v>
      </c>
      <c r="C136" s="3" t="s">
        <v>20</v>
      </c>
      <c r="D136" s="3">
        <v>31</v>
      </c>
      <c r="E136" s="3">
        <v>28</v>
      </c>
      <c r="G136" s="3">
        <v>10</v>
      </c>
      <c r="I136" s="3">
        <f t="shared" ref="I136:I151" si="26">E136+G136+H136</f>
        <v>38</v>
      </c>
      <c r="J136" s="3">
        <f t="shared" si="24"/>
        <v>22</v>
      </c>
      <c r="K136" s="3">
        <f t="shared" ref="K136:K151" si="27">I136-J136</f>
        <v>16</v>
      </c>
      <c r="L136" s="3" t="str">
        <f t="shared" si="25"/>
        <v>EXCELENTE</v>
      </c>
      <c r="M136" s="3">
        <v>36</v>
      </c>
      <c r="N136" s="3">
        <v>95.38</v>
      </c>
      <c r="O136" s="3">
        <v>21.5962441314554</v>
      </c>
    </row>
    <row r="137" spans="1:15" x14ac:dyDescent="0.25">
      <c r="A137" s="5">
        <v>46149</v>
      </c>
      <c r="B137" s="6" t="s">
        <v>21</v>
      </c>
      <c r="C137" s="9" t="s">
        <v>18</v>
      </c>
      <c r="D137" s="3">
        <v>32</v>
      </c>
      <c r="E137" s="3">
        <v>32</v>
      </c>
      <c r="G137" s="3">
        <v>0</v>
      </c>
      <c r="I137" s="3">
        <f t="shared" si="26"/>
        <v>32</v>
      </c>
      <c r="J137" s="3">
        <f t="shared" si="24"/>
        <v>33</v>
      </c>
      <c r="K137" s="3">
        <f t="shared" si="27"/>
        <v>-1</v>
      </c>
      <c r="L137" s="3" t="str">
        <f t="shared" si="25"/>
        <v>ATENÇÃO</v>
      </c>
      <c r="M137" s="3">
        <v>33</v>
      </c>
      <c r="N137" s="3">
        <v>96.34</v>
      </c>
      <c r="O137" s="3">
        <v>17.571884984025559</v>
      </c>
    </row>
    <row r="138" spans="1:15" x14ac:dyDescent="0.25">
      <c r="A138" s="5">
        <v>46149</v>
      </c>
      <c r="B138" s="6" t="s">
        <v>24</v>
      </c>
      <c r="C138" s="3" t="s">
        <v>16</v>
      </c>
      <c r="D138" s="3">
        <v>33</v>
      </c>
      <c r="E138" s="3">
        <v>29</v>
      </c>
      <c r="G138" s="3">
        <v>5</v>
      </c>
      <c r="I138" s="3">
        <f t="shared" si="26"/>
        <v>34</v>
      </c>
      <c r="J138" s="3">
        <f t="shared" si="24"/>
        <v>26</v>
      </c>
      <c r="K138" s="3">
        <f t="shared" si="27"/>
        <v>8</v>
      </c>
      <c r="L138" s="3" t="str">
        <f t="shared" si="25"/>
        <v>EXCELENTE</v>
      </c>
      <c r="M138" s="3">
        <v>31</v>
      </c>
      <c r="N138" s="3">
        <v>99.13</v>
      </c>
      <c r="O138" s="3">
        <v>14.7239263803681</v>
      </c>
    </row>
    <row r="139" spans="1:15" x14ac:dyDescent="0.25">
      <c r="A139" s="5">
        <v>46149</v>
      </c>
      <c r="B139" s="6" t="s">
        <v>25</v>
      </c>
      <c r="C139" s="9" t="s">
        <v>16</v>
      </c>
      <c r="D139" s="3">
        <v>24</v>
      </c>
      <c r="E139" s="3">
        <v>24</v>
      </c>
      <c r="G139" s="3">
        <v>5</v>
      </c>
      <c r="I139" s="3">
        <f t="shared" si="26"/>
        <v>29</v>
      </c>
      <c r="J139" s="3">
        <f t="shared" si="24"/>
        <v>26</v>
      </c>
      <c r="K139" s="3">
        <f t="shared" si="27"/>
        <v>3</v>
      </c>
      <c r="L139" s="3" t="str">
        <f t="shared" si="25"/>
        <v>BOM</v>
      </c>
      <c r="M139" s="3">
        <v>27</v>
      </c>
      <c r="N139" s="3">
        <v>98.8</v>
      </c>
      <c r="O139" s="3">
        <v>16.897506925207761</v>
      </c>
    </row>
    <row r="140" spans="1:15" x14ac:dyDescent="0.25">
      <c r="A140" s="5">
        <v>46149</v>
      </c>
      <c r="B140" s="6" t="s">
        <v>22</v>
      </c>
      <c r="C140" s="3" t="s">
        <v>23</v>
      </c>
      <c r="D140" s="3">
        <v>33</v>
      </c>
      <c r="E140" s="3">
        <v>32</v>
      </c>
      <c r="G140" s="3">
        <v>0</v>
      </c>
      <c r="H140" s="3">
        <v>0</v>
      </c>
      <c r="I140" s="3">
        <f t="shared" si="26"/>
        <v>32</v>
      </c>
      <c r="J140" s="3">
        <f t="shared" si="24"/>
        <v>9</v>
      </c>
      <c r="K140" s="3">
        <f t="shared" si="27"/>
        <v>23</v>
      </c>
      <c r="L140" s="3" t="str">
        <f t="shared" si="25"/>
        <v>EXCELENTE</v>
      </c>
      <c r="M140" s="3">
        <v>30</v>
      </c>
      <c r="N140" s="3">
        <v>99.11</v>
      </c>
      <c r="O140" s="3">
        <v>17.721518987341771</v>
      </c>
    </row>
    <row r="141" spans="1:15" x14ac:dyDescent="0.25">
      <c r="A141" s="5">
        <v>46149</v>
      </c>
      <c r="B141" s="6" t="s">
        <v>26</v>
      </c>
      <c r="C141" s="3" t="s">
        <v>23</v>
      </c>
      <c r="D141" s="3">
        <v>12</v>
      </c>
      <c r="E141" s="3">
        <v>12</v>
      </c>
      <c r="G141" s="3">
        <v>0</v>
      </c>
      <c r="I141" s="3">
        <f t="shared" si="26"/>
        <v>12</v>
      </c>
      <c r="J141" s="3">
        <f t="shared" si="24"/>
        <v>9</v>
      </c>
      <c r="K141" s="3">
        <f t="shared" si="27"/>
        <v>3</v>
      </c>
      <c r="L141" s="3" t="str">
        <f t="shared" si="25"/>
        <v>BOM</v>
      </c>
      <c r="M141" s="3">
        <v>9</v>
      </c>
      <c r="N141" s="3">
        <v>96.43</v>
      </c>
      <c r="O141" s="3">
        <v>20</v>
      </c>
    </row>
    <row r="142" spans="1:15" x14ac:dyDescent="0.25">
      <c r="A142" s="5">
        <v>46149</v>
      </c>
      <c r="B142" s="6" t="s">
        <v>32</v>
      </c>
      <c r="C142" s="3" t="s">
        <v>23</v>
      </c>
      <c r="D142" s="3">
        <v>51</v>
      </c>
      <c r="E142" s="3">
        <v>32</v>
      </c>
      <c r="G142" s="3">
        <v>0</v>
      </c>
      <c r="I142" s="3">
        <f t="shared" si="26"/>
        <v>32</v>
      </c>
      <c r="J142" s="3">
        <f t="shared" si="24"/>
        <v>9</v>
      </c>
      <c r="K142" s="3">
        <f t="shared" si="27"/>
        <v>23</v>
      </c>
      <c r="L142" s="3" t="str">
        <f t="shared" si="25"/>
        <v>EXCELENTE</v>
      </c>
      <c r="M142" s="3">
        <v>1</v>
      </c>
      <c r="N142" s="3">
        <v>100</v>
      </c>
      <c r="O142" s="3">
        <v>29.032258064516132</v>
      </c>
    </row>
    <row r="143" spans="1:15" x14ac:dyDescent="0.25">
      <c r="A143" s="5">
        <v>46149</v>
      </c>
      <c r="B143" s="6" t="s">
        <v>51</v>
      </c>
      <c r="C143" s="3" t="s">
        <v>23</v>
      </c>
      <c r="D143" s="3">
        <v>52</v>
      </c>
      <c r="E143" s="3">
        <v>37</v>
      </c>
      <c r="G143" s="3">
        <v>0</v>
      </c>
      <c r="H143" s="3">
        <v>0</v>
      </c>
      <c r="I143" s="3">
        <f t="shared" si="26"/>
        <v>37</v>
      </c>
      <c r="J143" s="3">
        <f t="shared" si="24"/>
        <v>9</v>
      </c>
      <c r="K143" s="3">
        <f t="shared" si="27"/>
        <v>28</v>
      </c>
      <c r="L143" s="3" t="str">
        <f t="shared" si="25"/>
        <v>EXCELENTE</v>
      </c>
      <c r="M143" s="3">
        <v>4</v>
      </c>
      <c r="N143" s="3">
        <v>100</v>
      </c>
      <c r="O143" s="3">
        <v>11.864406779661021</v>
      </c>
    </row>
    <row r="144" spans="1:15" x14ac:dyDescent="0.25">
      <c r="A144" s="5">
        <v>46149</v>
      </c>
      <c r="B144" s="6" t="s">
        <v>27</v>
      </c>
      <c r="C144" s="3" t="s">
        <v>20</v>
      </c>
      <c r="D144" s="3">
        <v>25</v>
      </c>
      <c r="E144" s="3">
        <v>23</v>
      </c>
      <c r="G144" s="3">
        <v>1</v>
      </c>
      <c r="I144" s="3">
        <f t="shared" si="26"/>
        <v>24</v>
      </c>
      <c r="J144" s="3">
        <f t="shared" si="24"/>
        <v>22</v>
      </c>
      <c r="K144" s="3">
        <f t="shared" si="27"/>
        <v>2</v>
      </c>
      <c r="L144" s="3" t="str">
        <f t="shared" si="25"/>
        <v>BOM</v>
      </c>
      <c r="M144" s="3">
        <v>22</v>
      </c>
      <c r="N144" s="3">
        <v>96.88</v>
      </c>
      <c r="O144" s="3">
        <v>19.526627218934909</v>
      </c>
    </row>
    <row r="145" spans="1:15" x14ac:dyDescent="0.25">
      <c r="A145" s="5">
        <v>46149</v>
      </c>
      <c r="B145" s="6" t="s">
        <v>28</v>
      </c>
      <c r="C145" s="3" t="s">
        <v>18</v>
      </c>
      <c r="D145" s="3">
        <v>47</v>
      </c>
      <c r="E145" s="3">
        <v>44</v>
      </c>
      <c r="G145" s="3">
        <v>0</v>
      </c>
      <c r="I145" s="3">
        <f t="shared" si="26"/>
        <v>44</v>
      </c>
      <c r="J145" s="3">
        <f t="shared" si="24"/>
        <v>33</v>
      </c>
      <c r="K145" s="3">
        <f t="shared" si="27"/>
        <v>11</v>
      </c>
      <c r="L145" s="3" t="str">
        <f t="shared" si="25"/>
        <v>EXCELENTE</v>
      </c>
      <c r="M145" s="3">
        <v>38</v>
      </c>
      <c r="N145" s="3">
        <v>91.85</v>
      </c>
      <c r="O145" s="3">
        <v>20.87155963302752</v>
      </c>
    </row>
    <row r="146" spans="1:15" x14ac:dyDescent="0.25">
      <c r="A146" s="5">
        <v>46149</v>
      </c>
      <c r="B146" s="6" t="s">
        <v>29</v>
      </c>
      <c r="C146" s="3" t="s">
        <v>16</v>
      </c>
      <c r="D146" s="3">
        <v>17</v>
      </c>
      <c r="E146" s="3">
        <v>16</v>
      </c>
      <c r="G146" s="3">
        <v>4</v>
      </c>
      <c r="I146" s="3">
        <f t="shared" si="26"/>
        <v>20</v>
      </c>
      <c r="J146" s="3">
        <f t="shared" si="24"/>
        <v>26</v>
      </c>
      <c r="K146" s="3">
        <f t="shared" si="27"/>
        <v>-6</v>
      </c>
      <c r="L146" s="3" t="str">
        <f t="shared" si="25"/>
        <v>CRÍTICO</v>
      </c>
      <c r="M146" s="3">
        <v>19</v>
      </c>
      <c r="N146" s="3">
        <v>98.63</v>
      </c>
      <c r="O146" s="3">
        <v>18.75</v>
      </c>
    </row>
    <row r="147" spans="1:15" x14ac:dyDescent="0.25">
      <c r="A147" s="5">
        <v>46149</v>
      </c>
      <c r="B147" s="6" t="s">
        <v>30</v>
      </c>
      <c r="C147" s="3" t="s">
        <v>20</v>
      </c>
      <c r="D147" s="3">
        <v>17</v>
      </c>
      <c r="E147" s="3">
        <v>17</v>
      </c>
      <c r="G147" s="3">
        <v>7</v>
      </c>
      <c r="I147" s="3">
        <f t="shared" si="26"/>
        <v>24</v>
      </c>
      <c r="J147" s="3">
        <f t="shared" si="24"/>
        <v>22</v>
      </c>
      <c r="K147" s="3">
        <f t="shared" si="27"/>
        <v>2</v>
      </c>
      <c r="L147" s="3" t="str">
        <f t="shared" si="25"/>
        <v>BOM</v>
      </c>
      <c r="M147" s="3">
        <v>19</v>
      </c>
      <c r="N147" s="3">
        <v>100</v>
      </c>
      <c r="O147" s="3">
        <v>18.14516129032258</v>
      </c>
    </row>
    <row r="148" spans="1:15" x14ac:dyDescent="0.25">
      <c r="A148" s="5">
        <v>46149</v>
      </c>
      <c r="B148" s="6" t="s">
        <v>31</v>
      </c>
      <c r="C148" s="9" t="s">
        <v>18</v>
      </c>
      <c r="D148" s="3">
        <v>31</v>
      </c>
      <c r="E148" s="3">
        <v>30</v>
      </c>
      <c r="G148" s="3">
        <v>0</v>
      </c>
      <c r="I148" s="3">
        <f t="shared" si="26"/>
        <v>30</v>
      </c>
      <c r="J148" s="3">
        <f t="shared" si="24"/>
        <v>33</v>
      </c>
      <c r="K148" s="3">
        <f t="shared" si="27"/>
        <v>-3</v>
      </c>
      <c r="L148" s="3" t="str">
        <f t="shared" si="25"/>
        <v>ATENÇÃO</v>
      </c>
      <c r="M148" s="3">
        <v>29</v>
      </c>
      <c r="N148" s="3">
        <v>99.06</v>
      </c>
      <c r="O148" s="3">
        <v>22.95719844357977</v>
      </c>
    </row>
    <row r="149" spans="1:15" x14ac:dyDescent="0.25">
      <c r="A149" s="5">
        <v>46149</v>
      </c>
      <c r="B149" s="6" t="s">
        <v>54</v>
      </c>
      <c r="C149" s="3" t="s">
        <v>23</v>
      </c>
      <c r="D149" s="3">
        <v>16</v>
      </c>
      <c r="E149" s="3">
        <v>15</v>
      </c>
      <c r="G149" s="3">
        <v>0</v>
      </c>
      <c r="I149" s="3">
        <f t="shared" si="26"/>
        <v>15</v>
      </c>
      <c r="J149" s="3">
        <f t="shared" si="24"/>
        <v>9</v>
      </c>
      <c r="K149" s="3">
        <f t="shared" si="27"/>
        <v>6</v>
      </c>
      <c r="L149" s="3" t="str">
        <f t="shared" si="25"/>
        <v>EXCELENTE</v>
      </c>
      <c r="M149" s="3">
        <v>13</v>
      </c>
      <c r="N149" s="3">
        <v>100</v>
      </c>
      <c r="O149" s="3">
        <v>16.814159292035399</v>
      </c>
    </row>
    <row r="150" spans="1:15" x14ac:dyDescent="0.25">
      <c r="A150" s="5">
        <v>46149</v>
      </c>
      <c r="B150" s="6" t="s">
        <v>59</v>
      </c>
      <c r="C150" s="3" t="s">
        <v>23</v>
      </c>
      <c r="D150" s="3">
        <v>15</v>
      </c>
      <c r="E150" s="3">
        <v>15</v>
      </c>
      <c r="G150" s="3">
        <v>0</v>
      </c>
      <c r="H150" s="3">
        <v>0</v>
      </c>
      <c r="I150" s="3">
        <f t="shared" si="26"/>
        <v>15</v>
      </c>
      <c r="J150" s="3">
        <f t="shared" si="24"/>
        <v>9</v>
      </c>
      <c r="K150" s="3">
        <f t="shared" si="27"/>
        <v>6</v>
      </c>
      <c r="L150" s="3" t="str">
        <f t="shared" si="25"/>
        <v>EXCELENTE</v>
      </c>
      <c r="M150" s="3">
        <v>13</v>
      </c>
      <c r="N150" s="3">
        <v>98.11</v>
      </c>
      <c r="O150" s="3">
        <v>20.408163265306118</v>
      </c>
    </row>
    <row r="151" spans="1:15" x14ac:dyDescent="0.25">
      <c r="A151" s="5">
        <v>46149</v>
      </c>
      <c r="B151" s="6" t="s">
        <v>33</v>
      </c>
      <c r="C151" s="3" t="s">
        <v>16</v>
      </c>
      <c r="D151" s="3">
        <v>30</v>
      </c>
      <c r="E151" s="3">
        <v>29</v>
      </c>
      <c r="G151" s="3">
        <v>2</v>
      </c>
      <c r="I151" s="3">
        <f t="shared" si="26"/>
        <v>31</v>
      </c>
      <c r="J151" s="3">
        <f t="shared" si="24"/>
        <v>26</v>
      </c>
      <c r="K151" s="3">
        <f t="shared" si="27"/>
        <v>5</v>
      </c>
      <c r="L151" s="3" t="str">
        <f t="shared" si="25"/>
        <v>BOM</v>
      </c>
      <c r="M151" s="3">
        <v>28</v>
      </c>
      <c r="N151" s="3">
        <v>100</v>
      </c>
      <c r="O151" s="3">
        <v>13.8121546961326</v>
      </c>
    </row>
    <row r="152" spans="1:15" x14ac:dyDescent="0.25">
      <c r="A152" s="5">
        <v>46149</v>
      </c>
      <c r="B152" s="6" t="s">
        <v>34</v>
      </c>
      <c r="C152" s="9" t="s">
        <v>18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f t="shared" si="24"/>
        <v>33</v>
      </c>
      <c r="K152" s="3">
        <v>0</v>
      </c>
      <c r="L152" s="3" t="str">
        <f t="shared" si="25"/>
        <v>BOM</v>
      </c>
      <c r="M152" s="3">
        <v>0</v>
      </c>
      <c r="N152" s="3">
        <v>100</v>
      </c>
      <c r="O152" s="3">
        <v>9.5238095238095237</v>
      </c>
    </row>
    <row r="153" spans="1:15" x14ac:dyDescent="0.25">
      <c r="A153" s="5">
        <v>46149</v>
      </c>
      <c r="B153" s="6" t="s">
        <v>35</v>
      </c>
      <c r="C153" s="3" t="s">
        <v>16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f t="shared" si="24"/>
        <v>26</v>
      </c>
      <c r="K153" s="3">
        <v>0</v>
      </c>
      <c r="L153" s="3" t="str">
        <f t="shared" si="25"/>
        <v>BOM</v>
      </c>
      <c r="M153" s="3">
        <v>0</v>
      </c>
      <c r="N153" s="3">
        <v>100</v>
      </c>
      <c r="O153" s="3">
        <v>17.241379310344829</v>
      </c>
    </row>
    <row r="154" spans="1:15" x14ac:dyDescent="0.25">
      <c r="A154" s="5">
        <v>46149</v>
      </c>
      <c r="B154" s="6" t="s">
        <v>36</v>
      </c>
      <c r="C154" s="3" t="s">
        <v>20</v>
      </c>
      <c r="D154" s="3">
        <v>26</v>
      </c>
      <c r="E154" s="3">
        <v>26</v>
      </c>
      <c r="G154" s="3">
        <v>2</v>
      </c>
      <c r="I154" s="3">
        <f>E154+G154+H154</f>
        <v>28</v>
      </c>
      <c r="J154" s="3">
        <f t="shared" si="24"/>
        <v>22</v>
      </c>
      <c r="K154" s="3">
        <f>I154-J154</f>
        <v>6</v>
      </c>
      <c r="L154" s="3" t="str">
        <f t="shared" si="25"/>
        <v>EXCELENTE</v>
      </c>
      <c r="M154" s="3">
        <v>24</v>
      </c>
      <c r="N154" s="3">
        <v>98.8</v>
      </c>
      <c r="O154" s="3">
        <v>15.41353383458646</v>
      </c>
    </row>
    <row r="155" spans="1:15" x14ac:dyDescent="0.25">
      <c r="A155" s="5">
        <v>46149</v>
      </c>
      <c r="B155" s="6" t="s">
        <v>37</v>
      </c>
      <c r="C155" s="9" t="s">
        <v>16</v>
      </c>
      <c r="D155" s="3">
        <v>25</v>
      </c>
      <c r="E155" s="3">
        <v>24</v>
      </c>
      <c r="G155" s="3">
        <v>0</v>
      </c>
      <c r="I155" s="3">
        <f>E155+G155+H155</f>
        <v>24</v>
      </c>
      <c r="J155" s="3">
        <f t="shared" si="24"/>
        <v>26</v>
      </c>
      <c r="K155" s="3">
        <f>I155-J155</f>
        <v>-2</v>
      </c>
      <c r="L155" s="3" t="str">
        <f t="shared" si="25"/>
        <v>ATENÇÃO</v>
      </c>
      <c r="M155" s="3">
        <v>22</v>
      </c>
      <c r="N155" s="3">
        <v>98.63</v>
      </c>
      <c r="O155" s="3">
        <v>15.75757575757576</v>
      </c>
    </row>
    <row r="156" spans="1:15" x14ac:dyDescent="0.25">
      <c r="A156" s="5">
        <v>46149</v>
      </c>
      <c r="B156" s="6" t="s">
        <v>38</v>
      </c>
      <c r="C156" s="3" t="s">
        <v>18</v>
      </c>
      <c r="D156" s="3">
        <v>56</v>
      </c>
      <c r="E156" s="3">
        <v>51</v>
      </c>
      <c r="G156" s="3">
        <v>9</v>
      </c>
      <c r="I156" s="3">
        <f>E156+G156+H156</f>
        <v>60</v>
      </c>
      <c r="J156" s="3">
        <f t="shared" si="24"/>
        <v>33</v>
      </c>
      <c r="K156" s="3">
        <f>I156-J156</f>
        <v>27</v>
      </c>
      <c r="L156" s="3" t="str">
        <f t="shared" si="25"/>
        <v>EXCELENTE</v>
      </c>
      <c r="M156" s="3">
        <v>49</v>
      </c>
      <c r="N156" s="3">
        <v>98.64</v>
      </c>
      <c r="O156" s="3">
        <v>16.638370118845501</v>
      </c>
    </row>
    <row r="157" spans="1:15" x14ac:dyDescent="0.25">
      <c r="A157" s="5">
        <v>46149</v>
      </c>
      <c r="B157" s="6" t="s">
        <v>39</v>
      </c>
      <c r="C157" s="3" t="s">
        <v>18</v>
      </c>
      <c r="D157" s="3">
        <v>48</v>
      </c>
      <c r="E157" s="3">
        <v>39</v>
      </c>
      <c r="G157" s="3">
        <v>6</v>
      </c>
      <c r="I157" s="3">
        <f>E157+G157+H157</f>
        <v>45</v>
      </c>
      <c r="J157" s="3">
        <f t="shared" si="24"/>
        <v>33</v>
      </c>
      <c r="K157" s="3">
        <f>I157-J157</f>
        <v>12</v>
      </c>
      <c r="L157" s="3" t="str">
        <f t="shared" si="25"/>
        <v>EXCELENTE</v>
      </c>
      <c r="M157" s="3">
        <v>41</v>
      </c>
      <c r="N157" s="3">
        <v>95.4</v>
      </c>
      <c r="O157" s="3">
        <v>20.533333333333331</v>
      </c>
    </row>
    <row r="158" spans="1:15" x14ac:dyDescent="0.25">
      <c r="A158" s="5">
        <v>46149</v>
      </c>
      <c r="B158" s="6" t="s">
        <v>40</v>
      </c>
      <c r="C158" s="3" t="s">
        <v>16</v>
      </c>
      <c r="D158" s="3">
        <v>34</v>
      </c>
      <c r="E158" s="3">
        <v>28</v>
      </c>
      <c r="G158" s="3">
        <v>0</v>
      </c>
      <c r="I158" s="3">
        <f>E158+G158+H158</f>
        <v>28</v>
      </c>
      <c r="J158" s="3">
        <f t="shared" si="24"/>
        <v>26</v>
      </c>
      <c r="K158" s="3">
        <f>I158-J158</f>
        <v>2</v>
      </c>
      <c r="L158" s="3" t="str">
        <f t="shared" si="25"/>
        <v>BOM</v>
      </c>
      <c r="M158" s="3">
        <v>26</v>
      </c>
      <c r="N158" s="3">
        <v>98.61</v>
      </c>
      <c r="O158" s="3">
        <v>16.97530864197531</v>
      </c>
    </row>
    <row r="159" spans="1:15" x14ac:dyDescent="0.25">
      <c r="A159" s="5">
        <v>46149</v>
      </c>
      <c r="B159" s="6" t="s">
        <v>41</v>
      </c>
      <c r="C159" s="3" t="s">
        <v>18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f t="shared" si="24"/>
        <v>33</v>
      </c>
      <c r="K159" s="3">
        <v>0</v>
      </c>
      <c r="L159" s="3" t="str">
        <f t="shared" si="25"/>
        <v>BOM</v>
      </c>
      <c r="M159" s="3">
        <v>0</v>
      </c>
      <c r="N159" s="3">
        <v>0</v>
      </c>
      <c r="O159" s="3">
        <v>0</v>
      </c>
    </row>
    <row r="160" spans="1:15" x14ac:dyDescent="0.25">
      <c r="A160" s="5">
        <v>46149</v>
      </c>
      <c r="B160" s="6" t="s">
        <v>42</v>
      </c>
      <c r="C160" s="3" t="s">
        <v>43</v>
      </c>
      <c r="D160" s="3">
        <v>18</v>
      </c>
      <c r="E160" s="3">
        <v>17</v>
      </c>
      <c r="G160" s="3">
        <v>9</v>
      </c>
      <c r="I160" s="3">
        <f t="shared" ref="I160:I165" si="28">E160+G160+H160</f>
        <v>26</v>
      </c>
      <c r="J160" s="3">
        <f t="shared" si="24"/>
        <v>19</v>
      </c>
      <c r="K160" s="3">
        <f t="shared" ref="K160:K165" si="29">I160-J160</f>
        <v>7</v>
      </c>
      <c r="L160" s="3" t="str">
        <f t="shared" si="25"/>
        <v>EXCELENTE</v>
      </c>
      <c r="M160" s="3">
        <v>22</v>
      </c>
      <c r="N160" s="3">
        <v>97.01</v>
      </c>
      <c r="O160" s="3">
        <v>13.961038961038961</v>
      </c>
    </row>
    <row r="161" spans="1:15" x14ac:dyDescent="0.25">
      <c r="A161" s="5">
        <v>46149</v>
      </c>
      <c r="B161" s="6" t="s">
        <v>44</v>
      </c>
      <c r="C161" s="9" t="s">
        <v>18</v>
      </c>
      <c r="D161" s="3">
        <v>20</v>
      </c>
      <c r="E161" s="3">
        <v>19</v>
      </c>
      <c r="G161" s="3">
        <v>4</v>
      </c>
      <c r="I161" s="3">
        <f t="shared" si="28"/>
        <v>23</v>
      </c>
      <c r="J161" s="3">
        <f t="shared" si="24"/>
        <v>33</v>
      </c>
      <c r="K161" s="3">
        <f t="shared" si="29"/>
        <v>-10</v>
      </c>
      <c r="L161" s="3" t="str">
        <f t="shared" si="25"/>
        <v>CRÍTICO</v>
      </c>
      <c r="M161" s="3">
        <v>23</v>
      </c>
      <c r="N161" s="3">
        <v>95.52</v>
      </c>
      <c r="O161" s="3">
        <v>10.561056105610559</v>
      </c>
    </row>
    <row r="162" spans="1:15" x14ac:dyDescent="0.25">
      <c r="A162" s="5">
        <v>46149</v>
      </c>
      <c r="B162" s="6" t="s">
        <v>45</v>
      </c>
      <c r="C162" s="3" t="s">
        <v>43</v>
      </c>
      <c r="D162" s="3">
        <v>12</v>
      </c>
      <c r="E162" s="3">
        <v>12</v>
      </c>
      <c r="G162" s="3">
        <v>4</v>
      </c>
      <c r="I162" s="3">
        <f t="shared" si="28"/>
        <v>16</v>
      </c>
      <c r="J162" s="3">
        <f t="shared" si="24"/>
        <v>19</v>
      </c>
      <c r="K162" s="3">
        <f t="shared" si="29"/>
        <v>-3</v>
      </c>
      <c r="L162" s="3" t="str">
        <f t="shared" si="25"/>
        <v>ATENÇÃO</v>
      </c>
      <c r="M162" s="3">
        <v>8</v>
      </c>
      <c r="N162" s="3">
        <v>100</v>
      </c>
      <c r="O162" s="3">
        <v>16.959064327485379</v>
      </c>
    </row>
    <row r="163" spans="1:15" x14ac:dyDescent="0.25">
      <c r="A163" s="5">
        <v>46149</v>
      </c>
      <c r="B163" s="6" t="s">
        <v>46</v>
      </c>
      <c r="C163" s="9" t="s">
        <v>18</v>
      </c>
      <c r="D163" s="3">
        <v>25</v>
      </c>
      <c r="E163" s="3">
        <v>23</v>
      </c>
      <c r="G163" s="3">
        <v>0</v>
      </c>
      <c r="I163" s="3">
        <f t="shared" si="28"/>
        <v>23</v>
      </c>
      <c r="J163" s="3">
        <f t="shared" si="24"/>
        <v>33</v>
      </c>
      <c r="K163" s="3">
        <f t="shared" si="29"/>
        <v>-10</v>
      </c>
      <c r="L163" s="3" t="str">
        <f t="shared" si="25"/>
        <v>CRÍTICO</v>
      </c>
      <c r="M163" s="3">
        <v>25</v>
      </c>
      <c r="N163" s="3">
        <v>100</v>
      </c>
      <c r="O163" s="3">
        <v>15.584415584415581</v>
      </c>
    </row>
    <row r="164" spans="1:15" x14ac:dyDescent="0.25">
      <c r="A164" s="5">
        <v>46149</v>
      </c>
      <c r="B164" s="6" t="s">
        <v>47</v>
      </c>
      <c r="C164" s="3" t="s">
        <v>16</v>
      </c>
      <c r="D164" s="3">
        <v>40</v>
      </c>
      <c r="E164" s="3">
        <v>37</v>
      </c>
      <c r="G164" s="3">
        <v>6</v>
      </c>
      <c r="I164" s="3">
        <f t="shared" si="28"/>
        <v>43</v>
      </c>
      <c r="J164" s="3">
        <f t="shared" si="24"/>
        <v>26</v>
      </c>
      <c r="K164" s="3">
        <f t="shared" si="29"/>
        <v>17</v>
      </c>
      <c r="L164" s="3" t="str">
        <f t="shared" si="25"/>
        <v>EXCELENTE</v>
      </c>
      <c r="M164" s="3">
        <v>51</v>
      </c>
      <c r="N164" s="3">
        <v>98.61</v>
      </c>
      <c r="O164" s="3">
        <v>16.867469879518069</v>
      </c>
    </row>
    <row r="165" spans="1:15" x14ac:dyDescent="0.25">
      <c r="A165" s="5">
        <v>46149</v>
      </c>
      <c r="B165" s="6" t="s">
        <v>48</v>
      </c>
      <c r="C165" s="3" t="s">
        <v>16</v>
      </c>
      <c r="D165" s="3">
        <v>26</v>
      </c>
      <c r="E165" s="3">
        <v>24</v>
      </c>
      <c r="G165" s="3">
        <v>3</v>
      </c>
      <c r="I165" s="3">
        <f t="shared" si="28"/>
        <v>27</v>
      </c>
      <c r="J165" s="3">
        <f t="shared" si="24"/>
        <v>26</v>
      </c>
      <c r="K165" s="3">
        <f t="shared" si="29"/>
        <v>1</v>
      </c>
      <c r="L165" s="3" t="str">
        <f t="shared" si="25"/>
        <v>BOM</v>
      </c>
      <c r="M165" s="3">
        <v>26</v>
      </c>
      <c r="N165" s="3">
        <v>100</v>
      </c>
      <c r="O165" s="3">
        <v>20.820189274447952</v>
      </c>
    </row>
    <row r="166" spans="1:15" x14ac:dyDescent="0.25">
      <c r="A166" s="5">
        <v>46149</v>
      </c>
      <c r="B166" s="6" t="s">
        <v>49</v>
      </c>
      <c r="C166" s="3" t="s">
        <v>18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f t="shared" si="24"/>
        <v>33</v>
      </c>
      <c r="K166" s="3">
        <v>0</v>
      </c>
      <c r="L166" s="3" t="str">
        <f t="shared" si="25"/>
        <v>BOM</v>
      </c>
      <c r="M166" s="3">
        <v>0</v>
      </c>
      <c r="N166" s="3">
        <v>100</v>
      </c>
      <c r="O166" s="3">
        <v>4.3478260869565224</v>
      </c>
    </row>
    <row r="167" spans="1:15" x14ac:dyDescent="0.25">
      <c r="A167" s="5">
        <v>46149</v>
      </c>
      <c r="B167" s="6" t="s">
        <v>50</v>
      </c>
      <c r="C167" s="3" t="s">
        <v>20</v>
      </c>
      <c r="D167" s="3">
        <v>25</v>
      </c>
      <c r="E167" s="3">
        <v>25</v>
      </c>
      <c r="G167" s="3">
        <v>1</v>
      </c>
      <c r="I167" s="3">
        <f>E167+G167+H167</f>
        <v>26</v>
      </c>
      <c r="J167" s="3">
        <f t="shared" si="24"/>
        <v>22</v>
      </c>
      <c r="K167" s="3">
        <f>I167-J167</f>
        <v>4</v>
      </c>
      <c r="L167" s="3" t="str">
        <f t="shared" si="25"/>
        <v>BOM</v>
      </c>
      <c r="M167" s="3">
        <v>25</v>
      </c>
      <c r="N167" s="3">
        <v>93.26</v>
      </c>
      <c r="O167" s="3">
        <v>19.93957703927493</v>
      </c>
    </row>
    <row r="168" spans="1:15" x14ac:dyDescent="0.25">
      <c r="A168" s="5">
        <v>46149</v>
      </c>
      <c r="B168" s="6" t="s">
        <v>52</v>
      </c>
      <c r="C168" s="3" t="s">
        <v>18</v>
      </c>
      <c r="D168" s="3">
        <v>15</v>
      </c>
      <c r="E168" s="3">
        <v>14</v>
      </c>
      <c r="G168" s="3">
        <v>0</v>
      </c>
      <c r="H168" s="3">
        <v>32</v>
      </c>
      <c r="I168" s="3">
        <f>E168+G168+H168</f>
        <v>46</v>
      </c>
      <c r="J168" s="3">
        <f t="shared" si="24"/>
        <v>33</v>
      </c>
      <c r="K168" s="3">
        <f>I168-J168</f>
        <v>13</v>
      </c>
      <c r="L168" s="3" t="str">
        <f t="shared" si="25"/>
        <v>EXCELENTE</v>
      </c>
      <c r="M168" s="3">
        <v>35</v>
      </c>
      <c r="N168" s="3">
        <v>98.28</v>
      </c>
      <c r="O168" s="3">
        <v>9.037900874635568</v>
      </c>
    </row>
    <row r="169" spans="1:15" x14ac:dyDescent="0.25">
      <c r="A169" s="5">
        <v>46149</v>
      </c>
      <c r="B169" s="6" t="s">
        <v>53</v>
      </c>
      <c r="C169" s="3" t="s">
        <v>18</v>
      </c>
      <c r="D169" s="3">
        <v>26</v>
      </c>
      <c r="E169" s="3">
        <v>23</v>
      </c>
      <c r="G169" s="3">
        <v>6</v>
      </c>
      <c r="I169" s="3">
        <f>E169+G169+H169</f>
        <v>29</v>
      </c>
      <c r="J169" s="3">
        <f t="shared" si="24"/>
        <v>33</v>
      </c>
      <c r="K169" s="3">
        <f>I169-J169</f>
        <v>-4</v>
      </c>
      <c r="L169" s="3" t="str">
        <f t="shared" si="25"/>
        <v>ATENÇÃO</v>
      </c>
      <c r="M169" s="3">
        <v>26</v>
      </c>
      <c r="N169" s="3">
        <v>97.22</v>
      </c>
      <c r="O169" s="3">
        <v>19.095477386934672</v>
      </c>
    </row>
    <row r="170" spans="1:15" x14ac:dyDescent="0.25">
      <c r="A170" s="5">
        <v>46149</v>
      </c>
      <c r="B170" s="6" t="s">
        <v>55</v>
      </c>
      <c r="C170" s="3" t="s">
        <v>43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f t="shared" si="24"/>
        <v>19</v>
      </c>
      <c r="K170" s="3">
        <v>0</v>
      </c>
      <c r="L170" s="3" t="str">
        <f t="shared" si="25"/>
        <v>BOM</v>
      </c>
      <c r="M170" s="3">
        <v>0</v>
      </c>
      <c r="N170" s="3">
        <v>98</v>
      </c>
      <c r="O170" s="3">
        <v>16.43835616438356</v>
      </c>
    </row>
    <row r="171" spans="1:15" x14ac:dyDescent="0.25">
      <c r="A171" s="5">
        <v>46149</v>
      </c>
      <c r="B171" s="6" t="s">
        <v>56</v>
      </c>
      <c r="C171" s="3" t="s">
        <v>16</v>
      </c>
      <c r="D171" s="3">
        <v>10</v>
      </c>
      <c r="E171" s="3">
        <v>10</v>
      </c>
      <c r="G171" s="3">
        <v>0</v>
      </c>
      <c r="I171" s="3">
        <f t="shared" ref="I171:I178" si="30">E171+G171+H171</f>
        <v>10</v>
      </c>
      <c r="J171" s="3">
        <f t="shared" si="24"/>
        <v>26</v>
      </c>
      <c r="K171" s="3">
        <f t="shared" ref="K171:K178" si="31">I171-J171</f>
        <v>-16</v>
      </c>
      <c r="L171" s="3" t="str">
        <f t="shared" si="25"/>
        <v>CRÍTICO</v>
      </c>
      <c r="M171" s="3">
        <v>9</v>
      </c>
      <c r="N171" s="3">
        <v>100</v>
      </c>
      <c r="O171" s="3">
        <v>16.894977168949769</v>
      </c>
    </row>
    <row r="172" spans="1:15" x14ac:dyDescent="0.25">
      <c r="A172" s="5">
        <v>46149</v>
      </c>
      <c r="B172" s="6" t="s">
        <v>57</v>
      </c>
      <c r="C172" s="3" t="s">
        <v>43</v>
      </c>
      <c r="D172" s="3">
        <v>16</v>
      </c>
      <c r="E172" s="3">
        <v>16</v>
      </c>
      <c r="G172" s="3">
        <v>8</v>
      </c>
      <c r="I172" s="3">
        <f t="shared" si="30"/>
        <v>24</v>
      </c>
      <c r="J172" s="3">
        <f t="shared" si="24"/>
        <v>19</v>
      </c>
      <c r="K172" s="3">
        <f t="shared" si="31"/>
        <v>5</v>
      </c>
      <c r="L172" s="3" t="str">
        <f t="shared" si="25"/>
        <v>BOM</v>
      </c>
      <c r="M172" s="3">
        <v>18</v>
      </c>
      <c r="N172" s="3">
        <v>100</v>
      </c>
      <c r="O172" s="3">
        <v>19.138755980861241</v>
      </c>
    </row>
    <row r="173" spans="1:15" x14ac:dyDescent="0.25">
      <c r="A173" s="5">
        <v>46149</v>
      </c>
      <c r="B173" s="6" t="s">
        <v>58</v>
      </c>
      <c r="C173" s="3" t="s">
        <v>43</v>
      </c>
      <c r="D173" s="3">
        <v>19</v>
      </c>
      <c r="E173" s="3">
        <v>19</v>
      </c>
      <c r="G173" s="3">
        <v>5</v>
      </c>
      <c r="I173" s="3">
        <f t="shared" si="30"/>
        <v>24</v>
      </c>
      <c r="J173" s="3">
        <f t="shared" si="24"/>
        <v>19</v>
      </c>
      <c r="K173" s="3">
        <f t="shared" si="31"/>
        <v>5</v>
      </c>
      <c r="L173" s="3" t="str">
        <f t="shared" si="25"/>
        <v>BOM</v>
      </c>
      <c r="M173" s="3">
        <v>25</v>
      </c>
      <c r="N173" s="3">
        <v>100</v>
      </c>
      <c r="O173" s="3">
        <v>15.02145922746781</v>
      </c>
    </row>
    <row r="174" spans="1:15" x14ac:dyDescent="0.25">
      <c r="A174" s="5">
        <v>46149</v>
      </c>
      <c r="B174" s="6" t="s">
        <v>60</v>
      </c>
      <c r="C174" s="3" t="s">
        <v>20</v>
      </c>
      <c r="D174" s="3">
        <v>31</v>
      </c>
      <c r="E174" s="3">
        <v>26</v>
      </c>
      <c r="G174" s="3">
        <v>14</v>
      </c>
      <c r="I174" s="3">
        <f t="shared" si="30"/>
        <v>40</v>
      </c>
      <c r="J174" s="3">
        <f t="shared" si="24"/>
        <v>22</v>
      </c>
      <c r="K174" s="3">
        <f t="shared" si="31"/>
        <v>18</v>
      </c>
      <c r="L174" s="3" t="str">
        <f t="shared" si="25"/>
        <v>EXCELENTE</v>
      </c>
      <c r="M174" s="3">
        <v>23</v>
      </c>
      <c r="N174" s="3">
        <v>97.56</v>
      </c>
      <c r="O174" s="3">
        <v>19.28783382789317</v>
      </c>
    </row>
    <row r="175" spans="1:15" x14ac:dyDescent="0.25">
      <c r="A175" s="5">
        <v>46149</v>
      </c>
      <c r="B175" s="6" t="s">
        <v>61</v>
      </c>
      <c r="C175" s="3" t="s">
        <v>18</v>
      </c>
      <c r="D175" s="3">
        <v>35</v>
      </c>
      <c r="E175" s="3">
        <v>30</v>
      </c>
      <c r="G175" s="3">
        <v>8</v>
      </c>
      <c r="I175" s="3">
        <f t="shared" si="30"/>
        <v>38</v>
      </c>
      <c r="J175" s="3">
        <f t="shared" si="24"/>
        <v>33</v>
      </c>
      <c r="K175" s="3">
        <f t="shared" si="31"/>
        <v>5</v>
      </c>
      <c r="L175" s="3" t="str">
        <f t="shared" si="25"/>
        <v>BOM</v>
      </c>
      <c r="M175" s="3">
        <v>37</v>
      </c>
      <c r="N175" s="3">
        <v>99.29</v>
      </c>
      <c r="O175" s="3">
        <v>22.49443207126949</v>
      </c>
    </row>
    <row r="176" spans="1:15" x14ac:dyDescent="0.25">
      <c r="A176" s="5">
        <v>46149</v>
      </c>
      <c r="B176" s="6" t="s">
        <v>62</v>
      </c>
      <c r="C176" s="3" t="s">
        <v>20</v>
      </c>
      <c r="D176" s="3">
        <v>14</v>
      </c>
      <c r="E176" s="3">
        <v>14</v>
      </c>
      <c r="G176" s="3">
        <v>6</v>
      </c>
      <c r="I176" s="3">
        <f t="shared" si="30"/>
        <v>20</v>
      </c>
      <c r="J176" s="3">
        <f t="shared" si="24"/>
        <v>22</v>
      </c>
      <c r="K176" s="3">
        <f t="shared" si="31"/>
        <v>-2</v>
      </c>
      <c r="L176" s="3" t="str">
        <f t="shared" si="25"/>
        <v>ATENÇÃO</v>
      </c>
      <c r="M176" s="3">
        <v>20</v>
      </c>
      <c r="N176" s="3">
        <v>100</v>
      </c>
      <c r="O176" s="3">
        <v>16.97247706422019</v>
      </c>
    </row>
    <row r="177" spans="1:15" x14ac:dyDescent="0.25">
      <c r="A177" s="5">
        <v>46149</v>
      </c>
      <c r="B177" s="6" t="s">
        <v>63</v>
      </c>
      <c r="C177" s="3" t="s">
        <v>18</v>
      </c>
      <c r="D177" s="3">
        <v>34</v>
      </c>
      <c r="E177" s="3">
        <v>31</v>
      </c>
      <c r="G177" s="3">
        <v>1</v>
      </c>
      <c r="H177" s="3">
        <v>0</v>
      </c>
      <c r="I177" s="3">
        <f t="shared" si="30"/>
        <v>32</v>
      </c>
      <c r="J177" s="3">
        <f t="shared" si="24"/>
        <v>33</v>
      </c>
      <c r="K177" s="3">
        <f t="shared" si="31"/>
        <v>-1</v>
      </c>
      <c r="L177" s="3" t="str">
        <f t="shared" si="25"/>
        <v>ATENÇÃO</v>
      </c>
      <c r="M177" s="3">
        <v>28</v>
      </c>
      <c r="N177" s="3">
        <v>97.33</v>
      </c>
      <c r="O177" s="3">
        <v>15.805471124620061</v>
      </c>
    </row>
    <row r="178" spans="1:15" x14ac:dyDescent="0.25">
      <c r="A178" s="5">
        <v>46150</v>
      </c>
      <c r="B178" s="6" t="s">
        <v>15</v>
      </c>
      <c r="C178" s="3" t="s">
        <v>16</v>
      </c>
      <c r="D178" s="3">
        <v>34</v>
      </c>
      <c r="E178" s="3">
        <v>30</v>
      </c>
      <c r="G178" s="3">
        <v>4</v>
      </c>
      <c r="H178" s="3">
        <v>0</v>
      </c>
      <c r="I178" s="3">
        <f t="shared" si="30"/>
        <v>34</v>
      </c>
      <c r="J178" s="3">
        <f t="shared" si="24"/>
        <v>23</v>
      </c>
      <c r="K178" s="3">
        <f t="shared" si="31"/>
        <v>11</v>
      </c>
      <c r="L178" s="3" t="str">
        <f t="shared" si="25"/>
        <v>EXCELENTE</v>
      </c>
      <c r="M178" s="3">
        <v>21</v>
      </c>
      <c r="N178" s="3">
        <v>98.94</v>
      </c>
      <c r="O178" s="3">
        <v>19.614147909967851</v>
      </c>
    </row>
    <row r="179" spans="1:15" x14ac:dyDescent="0.25">
      <c r="A179" s="5">
        <v>46150</v>
      </c>
      <c r="B179" s="6" t="s">
        <v>17</v>
      </c>
      <c r="C179" s="3" t="s">
        <v>18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f t="shared" si="24"/>
        <v>29</v>
      </c>
      <c r="K179" s="3">
        <v>0</v>
      </c>
      <c r="L179" s="3" t="str">
        <f t="shared" si="25"/>
        <v>BOM</v>
      </c>
      <c r="M179" s="9">
        <v>0</v>
      </c>
      <c r="N179" s="9">
        <v>100</v>
      </c>
      <c r="O179" s="9">
        <v>0</v>
      </c>
    </row>
    <row r="180" spans="1:15" x14ac:dyDescent="0.25">
      <c r="A180" s="5">
        <v>46150</v>
      </c>
      <c r="B180" s="6" t="s">
        <v>19</v>
      </c>
      <c r="C180" s="3" t="s">
        <v>20</v>
      </c>
      <c r="D180" s="3">
        <v>26</v>
      </c>
      <c r="E180" s="3">
        <v>25</v>
      </c>
      <c r="G180" s="3">
        <v>0</v>
      </c>
      <c r="H180" s="3">
        <v>0</v>
      </c>
      <c r="I180" s="3">
        <f t="shared" ref="I180:I196" si="32">E180+G180+H180</f>
        <v>25</v>
      </c>
      <c r="J180" s="3">
        <f t="shared" si="24"/>
        <v>19</v>
      </c>
      <c r="K180" s="3">
        <f t="shared" ref="K180:K196" si="33">I180-J180</f>
        <v>6</v>
      </c>
      <c r="L180" s="3" t="str">
        <f t="shared" si="25"/>
        <v>EXCELENTE</v>
      </c>
      <c r="M180" s="3">
        <v>24</v>
      </c>
      <c r="N180" s="3">
        <v>95.38</v>
      </c>
      <c r="O180" s="3">
        <v>21.5962441314554</v>
      </c>
    </row>
    <row r="181" spans="1:15" x14ac:dyDescent="0.25">
      <c r="A181" s="5">
        <v>46150</v>
      </c>
      <c r="B181" s="6" t="s">
        <v>21</v>
      </c>
      <c r="C181" s="9" t="s">
        <v>18</v>
      </c>
      <c r="D181" s="3">
        <v>22</v>
      </c>
      <c r="E181" s="3">
        <v>21</v>
      </c>
      <c r="G181" s="3">
        <v>3</v>
      </c>
      <c r="H181" s="3">
        <v>0</v>
      </c>
      <c r="I181" s="3">
        <f t="shared" si="32"/>
        <v>24</v>
      </c>
      <c r="J181" s="3">
        <f t="shared" si="24"/>
        <v>29</v>
      </c>
      <c r="K181" s="3">
        <f t="shared" si="33"/>
        <v>-5</v>
      </c>
      <c r="L181" s="3" t="str">
        <f t="shared" si="25"/>
        <v>ATENÇÃO</v>
      </c>
      <c r="M181">
        <v>20</v>
      </c>
      <c r="N181">
        <v>96.34</v>
      </c>
      <c r="O181">
        <v>17.571884984025559</v>
      </c>
    </row>
    <row r="182" spans="1:15" x14ac:dyDescent="0.25">
      <c r="A182" s="5">
        <v>46150</v>
      </c>
      <c r="B182" s="6" t="s">
        <v>24</v>
      </c>
      <c r="C182" s="3" t="s">
        <v>16</v>
      </c>
      <c r="D182" s="3">
        <v>31</v>
      </c>
      <c r="E182" s="3">
        <v>28</v>
      </c>
      <c r="G182" s="3">
        <v>4</v>
      </c>
      <c r="H182" s="3">
        <v>0</v>
      </c>
      <c r="I182" s="3">
        <f t="shared" si="32"/>
        <v>32</v>
      </c>
      <c r="J182" s="3">
        <f t="shared" si="24"/>
        <v>23</v>
      </c>
      <c r="K182" s="3">
        <f t="shared" si="33"/>
        <v>9</v>
      </c>
      <c r="L182" s="3" t="str">
        <f t="shared" si="25"/>
        <v>EXCELENTE</v>
      </c>
      <c r="M182">
        <v>35</v>
      </c>
      <c r="N182">
        <v>99.13</v>
      </c>
      <c r="O182">
        <v>14.7239263803681</v>
      </c>
    </row>
    <row r="183" spans="1:15" x14ac:dyDescent="0.25">
      <c r="A183" s="5">
        <v>46150</v>
      </c>
      <c r="B183" s="6" t="s">
        <v>25</v>
      </c>
      <c r="C183" s="9" t="s">
        <v>16</v>
      </c>
      <c r="D183" s="3">
        <v>12</v>
      </c>
      <c r="E183" s="3">
        <v>12</v>
      </c>
      <c r="G183" s="3">
        <v>0</v>
      </c>
      <c r="H183" s="3">
        <v>0</v>
      </c>
      <c r="I183" s="3">
        <f t="shared" si="32"/>
        <v>12</v>
      </c>
      <c r="J183" s="3">
        <f t="shared" si="24"/>
        <v>23</v>
      </c>
      <c r="K183" s="3">
        <f t="shared" si="33"/>
        <v>-11</v>
      </c>
      <c r="L183" s="3" t="str">
        <f t="shared" si="25"/>
        <v>CRÍTICO</v>
      </c>
      <c r="M183">
        <v>12</v>
      </c>
      <c r="N183">
        <v>98.8</v>
      </c>
      <c r="O183">
        <v>16.897506925207761</v>
      </c>
    </row>
    <row r="184" spans="1:15" x14ac:dyDescent="0.25">
      <c r="A184" s="5">
        <v>46150</v>
      </c>
      <c r="B184" s="6" t="s">
        <v>27</v>
      </c>
      <c r="C184" s="3" t="s">
        <v>20</v>
      </c>
      <c r="D184" s="3">
        <v>25</v>
      </c>
      <c r="E184" s="3">
        <v>24</v>
      </c>
      <c r="G184" s="3">
        <v>6</v>
      </c>
      <c r="H184" s="3">
        <v>0</v>
      </c>
      <c r="I184" s="3">
        <f t="shared" si="32"/>
        <v>30</v>
      </c>
      <c r="J184" s="3">
        <f t="shared" si="24"/>
        <v>19</v>
      </c>
      <c r="K184" s="3">
        <f t="shared" si="33"/>
        <v>11</v>
      </c>
      <c r="L184" s="3" t="str">
        <f t="shared" si="25"/>
        <v>EXCELENTE</v>
      </c>
      <c r="M184">
        <v>27</v>
      </c>
      <c r="N184">
        <v>96.88</v>
      </c>
      <c r="O184">
        <v>19.526627218934909</v>
      </c>
    </row>
    <row r="185" spans="1:15" x14ac:dyDescent="0.25">
      <c r="A185" s="5">
        <v>46150</v>
      </c>
      <c r="B185" s="6" t="s">
        <v>28</v>
      </c>
      <c r="C185" s="3" t="s">
        <v>18</v>
      </c>
      <c r="D185" s="3">
        <v>27</v>
      </c>
      <c r="E185" s="3">
        <v>26</v>
      </c>
      <c r="G185" s="3">
        <v>0</v>
      </c>
      <c r="H185" s="3">
        <v>0</v>
      </c>
      <c r="I185" s="3">
        <f t="shared" si="32"/>
        <v>26</v>
      </c>
      <c r="J185" s="3">
        <f t="shared" si="24"/>
        <v>29</v>
      </c>
      <c r="K185" s="3">
        <f t="shared" si="33"/>
        <v>-3</v>
      </c>
      <c r="L185" s="3" t="str">
        <f t="shared" si="25"/>
        <v>ATENÇÃO</v>
      </c>
      <c r="M185">
        <v>25</v>
      </c>
      <c r="N185">
        <v>91.85</v>
      </c>
      <c r="O185">
        <v>20.87155963302752</v>
      </c>
    </row>
    <row r="186" spans="1:15" x14ac:dyDescent="0.25">
      <c r="A186" s="5">
        <v>46150</v>
      </c>
      <c r="B186" s="6" t="s">
        <v>29</v>
      </c>
      <c r="C186" s="3" t="s">
        <v>16</v>
      </c>
      <c r="D186" s="3">
        <v>19</v>
      </c>
      <c r="E186" s="3">
        <v>17</v>
      </c>
      <c r="G186" s="3">
        <v>0</v>
      </c>
      <c r="H186" s="3">
        <v>0</v>
      </c>
      <c r="I186" s="3">
        <f t="shared" si="32"/>
        <v>17</v>
      </c>
      <c r="J186" s="3">
        <f t="shared" si="24"/>
        <v>23</v>
      </c>
      <c r="K186" s="3">
        <f t="shared" si="33"/>
        <v>-6</v>
      </c>
      <c r="L186" s="3" t="str">
        <f t="shared" si="25"/>
        <v>CRÍTICO</v>
      </c>
      <c r="M186">
        <v>16</v>
      </c>
      <c r="N186">
        <v>98.63</v>
      </c>
      <c r="O186">
        <v>18.75</v>
      </c>
    </row>
    <row r="187" spans="1:15" x14ac:dyDescent="0.25">
      <c r="A187" s="5">
        <v>46150</v>
      </c>
      <c r="B187" s="6" t="s">
        <v>30</v>
      </c>
      <c r="C187" s="3" t="s">
        <v>20</v>
      </c>
      <c r="D187" s="3">
        <v>16</v>
      </c>
      <c r="E187" s="3">
        <v>16</v>
      </c>
      <c r="G187" s="3">
        <v>0</v>
      </c>
      <c r="H187" s="3">
        <v>0</v>
      </c>
      <c r="I187" s="3">
        <f t="shared" si="32"/>
        <v>16</v>
      </c>
      <c r="J187" s="3">
        <f t="shared" si="24"/>
        <v>19</v>
      </c>
      <c r="K187" s="3">
        <f t="shared" si="33"/>
        <v>-3</v>
      </c>
      <c r="L187" s="3" t="str">
        <f t="shared" si="25"/>
        <v>ATENÇÃO</v>
      </c>
      <c r="M187">
        <v>11</v>
      </c>
      <c r="N187">
        <v>100</v>
      </c>
      <c r="O187">
        <v>18.14516129032258</v>
      </c>
    </row>
    <row r="188" spans="1:15" x14ac:dyDescent="0.25">
      <c r="A188" s="5">
        <v>46150</v>
      </c>
      <c r="B188" s="6" t="s">
        <v>31</v>
      </c>
      <c r="C188" s="9" t="s">
        <v>18</v>
      </c>
      <c r="D188" s="3">
        <v>17</v>
      </c>
      <c r="E188" s="3">
        <v>17</v>
      </c>
      <c r="G188" s="3">
        <v>5</v>
      </c>
      <c r="H188" s="3">
        <v>0</v>
      </c>
      <c r="I188" s="3">
        <f t="shared" si="32"/>
        <v>22</v>
      </c>
      <c r="J188" s="3">
        <f t="shared" si="24"/>
        <v>29</v>
      </c>
      <c r="K188" s="3">
        <f t="shared" si="33"/>
        <v>-7</v>
      </c>
      <c r="L188" s="3" t="str">
        <f t="shared" si="25"/>
        <v>CRÍTICO</v>
      </c>
      <c r="M188">
        <v>22</v>
      </c>
      <c r="N188">
        <v>99.06</v>
      </c>
      <c r="O188">
        <v>22.95719844357977</v>
      </c>
    </row>
    <row r="189" spans="1:15" x14ac:dyDescent="0.25">
      <c r="A189" s="5">
        <v>46150</v>
      </c>
      <c r="B189" s="6" t="s">
        <v>22</v>
      </c>
      <c r="C189" s="3" t="s">
        <v>23</v>
      </c>
      <c r="D189" s="3">
        <v>38</v>
      </c>
      <c r="E189" s="3">
        <v>35</v>
      </c>
      <c r="G189" s="3">
        <v>0</v>
      </c>
      <c r="H189" s="3">
        <v>0</v>
      </c>
      <c r="I189" s="3">
        <f t="shared" si="32"/>
        <v>35</v>
      </c>
      <c r="J189" s="3">
        <f t="shared" si="24"/>
        <v>8</v>
      </c>
      <c r="K189" s="3">
        <f t="shared" si="33"/>
        <v>27</v>
      </c>
      <c r="L189" s="3" t="str">
        <f t="shared" si="25"/>
        <v>EXCELENTE</v>
      </c>
      <c r="M189">
        <v>29</v>
      </c>
      <c r="N189">
        <v>99.11</v>
      </c>
      <c r="O189">
        <v>17.721518987341771</v>
      </c>
    </row>
    <row r="190" spans="1:15" x14ac:dyDescent="0.25">
      <c r="A190" s="5">
        <v>46150</v>
      </c>
      <c r="B190" s="6" t="s">
        <v>26</v>
      </c>
      <c r="C190" s="3" t="s">
        <v>23</v>
      </c>
      <c r="D190" s="3">
        <v>10</v>
      </c>
      <c r="E190" s="3">
        <v>9</v>
      </c>
      <c r="G190" s="3">
        <v>0</v>
      </c>
      <c r="H190" s="3">
        <v>0</v>
      </c>
      <c r="I190" s="3">
        <f t="shared" si="32"/>
        <v>9</v>
      </c>
      <c r="J190" s="3">
        <f t="shared" si="24"/>
        <v>8</v>
      </c>
      <c r="K190" s="3">
        <f t="shared" si="33"/>
        <v>1</v>
      </c>
      <c r="L190" s="3" t="str">
        <f t="shared" si="25"/>
        <v>BOM</v>
      </c>
      <c r="M190">
        <v>7</v>
      </c>
      <c r="N190">
        <v>96.43</v>
      </c>
      <c r="O190">
        <v>20</v>
      </c>
    </row>
    <row r="191" spans="1:15" x14ac:dyDescent="0.25">
      <c r="A191" s="5">
        <v>46150</v>
      </c>
      <c r="B191" s="6" t="s">
        <v>32</v>
      </c>
      <c r="C191" s="3" t="s">
        <v>23</v>
      </c>
      <c r="D191" s="3">
        <v>9</v>
      </c>
      <c r="E191" s="3">
        <v>8</v>
      </c>
      <c r="G191" s="3">
        <v>0</v>
      </c>
      <c r="H191" s="3">
        <v>0</v>
      </c>
      <c r="I191" s="3">
        <f t="shared" si="32"/>
        <v>8</v>
      </c>
      <c r="J191" s="3">
        <f t="shared" si="24"/>
        <v>8</v>
      </c>
      <c r="K191" s="3">
        <f t="shared" si="33"/>
        <v>0</v>
      </c>
      <c r="L191" s="3" t="str">
        <f t="shared" si="25"/>
        <v>BOM</v>
      </c>
      <c r="M191">
        <v>6</v>
      </c>
      <c r="N191">
        <v>100</v>
      </c>
      <c r="O191">
        <v>29.032258064516132</v>
      </c>
    </row>
    <row r="192" spans="1:15" x14ac:dyDescent="0.25">
      <c r="A192" s="5">
        <v>46150</v>
      </c>
      <c r="B192" s="6" t="s">
        <v>64</v>
      </c>
      <c r="C192" s="3" t="s">
        <v>23</v>
      </c>
      <c r="D192" s="3">
        <v>46</v>
      </c>
      <c r="E192" s="3">
        <v>42</v>
      </c>
      <c r="G192" s="3">
        <v>0</v>
      </c>
      <c r="H192" s="3">
        <v>0</v>
      </c>
      <c r="I192" s="3">
        <f t="shared" si="32"/>
        <v>42</v>
      </c>
      <c r="J192" s="3">
        <f t="shared" si="24"/>
        <v>8</v>
      </c>
      <c r="K192" s="3">
        <f t="shared" si="33"/>
        <v>34</v>
      </c>
      <c r="L192" s="3" t="str">
        <f t="shared" si="25"/>
        <v>EXCELENTE</v>
      </c>
      <c r="M192">
        <v>0</v>
      </c>
      <c r="N192">
        <v>100</v>
      </c>
      <c r="O192">
        <v>14.285714285714279</v>
      </c>
    </row>
    <row r="193" spans="1:15" x14ac:dyDescent="0.25">
      <c r="A193" s="5">
        <v>46150</v>
      </c>
      <c r="B193" s="6" t="s">
        <v>51</v>
      </c>
      <c r="C193" s="3" t="s">
        <v>23</v>
      </c>
      <c r="D193" s="3">
        <v>55</v>
      </c>
      <c r="E193" s="3">
        <v>34</v>
      </c>
      <c r="G193" s="3">
        <v>0</v>
      </c>
      <c r="H193" s="3">
        <v>0</v>
      </c>
      <c r="I193" s="3">
        <f t="shared" si="32"/>
        <v>34</v>
      </c>
      <c r="J193" s="3">
        <f t="shared" si="24"/>
        <v>8</v>
      </c>
      <c r="K193" s="3">
        <f t="shared" si="33"/>
        <v>26</v>
      </c>
      <c r="L193" s="3" t="str">
        <f t="shared" si="25"/>
        <v>EXCELENTE</v>
      </c>
      <c r="M193">
        <v>1</v>
      </c>
      <c r="N193">
        <v>100</v>
      </c>
      <c r="O193">
        <v>11.864406779661021</v>
      </c>
    </row>
    <row r="194" spans="1:15" x14ac:dyDescent="0.25">
      <c r="A194" s="5">
        <v>46150</v>
      </c>
      <c r="B194" s="6" t="s">
        <v>54</v>
      </c>
      <c r="C194" s="3" t="s">
        <v>23</v>
      </c>
      <c r="D194" s="3">
        <v>14</v>
      </c>
      <c r="E194" s="3">
        <v>13</v>
      </c>
      <c r="G194" s="3">
        <v>0</v>
      </c>
      <c r="H194" s="3">
        <v>0</v>
      </c>
      <c r="I194" s="3">
        <f t="shared" si="32"/>
        <v>13</v>
      </c>
      <c r="J194" s="3">
        <f t="shared" ref="J194:J257" si="34"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>8</v>
      </c>
      <c r="K194" s="3">
        <f t="shared" si="33"/>
        <v>5</v>
      </c>
      <c r="L194" s="3" t="str">
        <f t="shared" ref="L194:L257" si="35">IF(K194&lt;-5,"CRÍTICO",IF(K194&lt;0,"ATENÇÃO",IF(K194&lt;=5,"BOM","EXCELENTE")))</f>
        <v>BOM</v>
      </c>
      <c r="M194">
        <v>9</v>
      </c>
      <c r="N194">
        <v>100</v>
      </c>
      <c r="O194">
        <v>16.814159292035399</v>
      </c>
    </row>
    <row r="195" spans="1:15" x14ac:dyDescent="0.25">
      <c r="A195" s="5">
        <v>46150</v>
      </c>
      <c r="B195" s="6" t="s">
        <v>59</v>
      </c>
      <c r="C195" s="3" t="s">
        <v>23</v>
      </c>
      <c r="D195" s="3">
        <v>17</v>
      </c>
      <c r="E195" s="3">
        <v>17</v>
      </c>
      <c r="G195" s="3">
        <v>0</v>
      </c>
      <c r="H195" s="3">
        <v>0</v>
      </c>
      <c r="I195" s="3">
        <f t="shared" si="32"/>
        <v>17</v>
      </c>
      <c r="J195" s="3">
        <f t="shared" si="34"/>
        <v>8</v>
      </c>
      <c r="K195" s="3">
        <f t="shared" si="33"/>
        <v>9</v>
      </c>
      <c r="L195" s="3" t="str">
        <f t="shared" si="35"/>
        <v>EXCELENTE</v>
      </c>
      <c r="M195">
        <v>11</v>
      </c>
      <c r="N195">
        <v>98.11</v>
      </c>
      <c r="O195">
        <v>20.408163265306118</v>
      </c>
    </row>
    <row r="196" spans="1:15" x14ac:dyDescent="0.25">
      <c r="A196" s="5">
        <v>46150</v>
      </c>
      <c r="B196" s="6" t="s">
        <v>33</v>
      </c>
      <c r="C196" s="3" t="s">
        <v>16</v>
      </c>
      <c r="D196" s="3">
        <v>25</v>
      </c>
      <c r="E196" s="3">
        <v>23</v>
      </c>
      <c r="G196" s="3">
        <v>6</v>
      </c>
      <c r="H196" s="3">
        <v>0</v>
      </c>
      <c r="I196" s="3">
        <f t="shared" si="32"/>
        <v>29</v>
      </c>
      <c r="J196" s="3">
        <f t="shared" si="34"/>
        <v>23</v>
      </c>
      <c r="K196" s="3">
        <f t="shared" si="33"/>
        <v>6</v>
      </c>
      <c r="L196" s="3" t="str">
        <f t="shared" si="35"/>
        <v>EXCELENTE</v>
      </c>
      <c r="M196">
        <v>26</v>
      </c>
      <c r="N196">
        <v>100</v>
      </c>
      <c r="O196">
        <v>13.8121546961326</v>
      </c>
    </row>
    <row r="197" spans="1:15" x14ac:dyDescent="0.25">
      <c r="A197" s="5">
        <v>46150</v>
      </c>
      <c r="B197" s="6" t="s">
        <v>34</v>
      </c>
      <c r="C197" s="9" t="s">
        <v>18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f t="shared" si="34"/>
        <v>29</v>
      </c>
      <c r="K197" s="3">
        <v>0</v>
      </c>
      <c r="L197" s="3" t="str">
        <f t="shared" si="35"/>
        <v>BOM</v>
      </c>
      <c r="M197">
        <v>0</v>
      </c>
      <c r="N197">
        <v>100</v>
      </c>
      <c r="O197">
        <v>9.5238095238095237</v>
      </c>
    </row>
    <row r="198" spans="1:15" x14ac:dyDescent="0.25">
      <c r="A198" s="5">
        <v>46150</v>
      </c>
      <c r="B198" s="6" t="s">
        <v>35</v>
      </c>
      <c r="C198" s="3" t="s">
        <v>16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f t="shared" si="34"/>
        <v>23</v>
      </c>
      <c r="K198" s="3">
        <v>0</v>
      </c>
      <c r="L198" s="3" t="str">
        <f t="shared" si="35"/>
        <v>BOM</v>
      </c>
      <c r="M198">
        <v>0</v>
      </c>
      <c r="N198">
        <v>100</v>
      </c>
      <c r="O198">
        <v>17.241379310344829</v>
      </c>
    </row>
    <row r="199" spans="1:15" x14ac:dyDescent="0.25">
      <c r="A199" s="5">
        <v>46150</v>
      </c>
      <c r="B199" s="6" t="s">
        <v>36</v>
      </c>
      <c r="C199" s="3" t="s">
        <v>20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f t="shared" si="34"/>
        <v>19</v>
      </c>
      <c r="K199" s="3">
        <v>0</v>
      </c>
      <c r="L199" s="3" t="str">
        <f t="shared" si="35"/>
        <v>BOM</v>
      </c>
      <c r="M199">
        <v>0</v>
      </c>
      <c r="N199">
        <v>98.8</v>
      </c>
      <c r="O199">
        <v>15.41353383458646</v>
      </c>
    </row>
    <row r="200" spans="1:15" x14ac:dyDescent="0.25">
      <c r="A200" s="5">
        <v>46150</v>
      </c>
      <c r="B200" s="6" t="s">
        <v>37</v>
      </c>
      <c r="C200" s="9" t="s">
        <v>16</v>
      </c>
      <c r="D200" s="3">
        <v>30</v>
      </c>
      <c r="E200" s="3">
        <v>27</v>
      </c>
      <c r="G200" s="3">
        <v>0</v>
      </c>
      <c r="H200" s="3">
        <v>0</v>
      </c>
      <c r="I200" s="3">
        <f>E200+G200+H200</f>
        <v>27</v>
      </c>
      <c r="J200" s="3">
        <f t="shared" si="34"/>
        <v>23</v>
      </c>
      <c r="K200" s="3">
        <f>I200-J200</f>
        <v>4</v>
      </c>
      <c r="L200" s="3" t="str">
        <f t="shared" si="35"/>
        <v>BOM</v>
      </c>
      <c r="M200">
        <v>22</v>
      </c>
      <c r="N200">
        <v>98.63</v>
      </c>
      <c r="O200">
        <v>15.75757575757576</v>
      </c>
    </row>
    <row r="201" spans="1:15" x14ac:dyDescent="0.25">
      <c r="A201" s="5">
        <v>46150</v>
      </c>
      <c r="B201" s="6" t="s">
        <v>38</v>
      </c>
      <c r="C201" s="3" t="s">
        <v>18</v>
      </c>
      <c r="D201" s="3">
        <v>41</v>
      </c>
      <c r="E201" s="3">
        <v>37</v>
      </c>
      <c r="G201" s="3">
        <v>8</v>
      </c>
      <c r="H201" s="3">
        <v>0</v>
      </c>
      <c r="I201" s="3">
        <f>E201+G201+H201</f>
        <v>45</v>
      </c>
      <c r="J201" s="3">
        <f t="shared" si="34"/>
        <v>29</v>
      </c>
      <c r="K201" s="3">
        <f>I201-J201</f>
        <v>16</v>
      </c>
      <c r="L201" s="3" t="str">
        <f t="shared" si="35"/>
        <v>EXCELENTE</v>
      </c>
      <c r="M201">
        <v>41</v>
      </c>
      <c r="N201">
        <v>98.64</v>
      </c>
      <c r="O201">
        <v>16.638370118845501</v>
      </c>
    </row>
    <row r="202" spans="1:15" x14ac:dyDescent="0.25">
      <c r="A202" s="5">
        <v>46150</v>
      </c>
      <c r="B202" s="6" t="s">
        <v>39</v>
      </c>
      <c r="C202" s="3" t="s">
        <v>18</v>
      </c>
      <c r="D202" s="3">
        <v>20</v>
      </c>
      <c r="E202" s="3">
        <v>19</v>
      </c>
      <c r="G202" s="3">
        <v>5</v>
      </c>
      <c r="H202" s="3">
        <v>0</v>
      </c>
      <c r="I202" s="3">
        <f>E202+G202+H202</f>
        <v>24</v>
      </c>
      <c r="J202" s="3">
        <f t="shared" si="34"/>
        <v>29</v>
      </c>
      <c r="K202" s="3">
        <f>I202-J202</f>
        <v>-5</v>
      </c>
      <c r="L202" s="3" t="str">
        <f t="shared" si="35"/>
        <v>ATENÇÃO</v>
      </c>
      <c r="M202">
        <v>21</v>
      </c>
      <c r="N202">
        <v>95.4</v>
      </c>
      <c r="O202">
        <v>20.533333333333331</v>
      </c>
    </row>
    <row r="203" spans="1:15" x14ac:dyDescent="0.25">
      <c r="A203" s="5">
        <v>46150</v>
      </c>
      <c r="B203" s="6" t="s">
        <v>40</v>
      </c>
      <c r="C203" s="3" t="s">
        <v>16</v>
      </c>
      <c r="D203" s="3">
        <v>25</v>
      </c>
      <c r="E203" s="3">
        <v>20</v>
      </c>
      <c r="G203" s="3">
        <v>3</v>
      </c>
      <c r="H203" s="3">
        <v>0</v>
      </c>
      <c r="I203" s="3">
        <f>E203+G203+H203</f>
        <v>23</v>
      </c>
      <c r="J203" s="3">
        <f t="shared" si="34"/>
        <v>23</v>
      </c>
      <c r="K203" s="3">
        <f>I203-J203</f>
        <v>0</v>
      </c>
      <c r="L203" s="3" t="str">
        <f t="shared" si="35"/>
        <v>BOM</v>
      </c>
      <c r="M203">
        <v>24</v>
      </c>
      <c r="N203">
        <v>98.61</v>
      </c>
      <c r="O203">
        <v>16.97530864197531</v>
      </c>
    </row>
    <row r="204" spans="1:15" x14ac:dyDescent="0.25">
      <c r="A204" s="5">
        <v>46150</v>
      </c>
      <c r="B204" s="6" t="s">
        <v>41</v>
      </c>
      <c r="C204" s="3" t="s">
        <v>18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f t="shared" si="34"/>
        <v>29</v>
      </c>
      <c r="K204" s="3">
        <v>0</v>
      </c>
      <c r="L204" s="3" t="str">
        <f t="shared" si="35"/>
        <v>BOM</v>
      </c>
      <c r="M204">
        <v>0</v>
      </c>
      <c r="N204">
        <v>0</v>
      </c>
      <c r="O204">
        <v>0</v>
      </c>
    </row>
    <row r="205" spans="1:15" x14ac:dyDescent="0.25">
      <c r="A205" s="5">
        <v>46150</v>
      </c>
      <c r="B205" s="6" t="s">
        <v>42</v>
      </c>
      <c r="C205" s="3" t="s">
        <v>43</v>
      </c>
      <c r="D205" s="3">
        <v>21</v>
      </c>
      <c r="E205" s="3">
        <v>20</v>
      </c>
      <c r="G205" s="3">
        <v>1</v>
      </c>
      <c r="H205" s="3">
        <v>0</v>
      </c>
      <c r="I205" s="3">
        <f t="shared" ref="I205:I210" si="36">E205+G205+H205</f>
        <v>21</v>
      </c>
      <c r="J205" s="3">
        <f t="shared" si="34"/>
        <v>16</v>
      </c>
      <c r="K205" s="3">
        <f t="shared" ref="K205:K210" si="37">I205-J205</f>
        <v>5</v>
      </c>
      <c r="L205" s="3" t="str">
        <f t="shared" si="35"/>
        <v>BOM</v>
      </c>
      <c r="M205">
        <v>16</v>
      </c>
      <c r="N205">
        <v>97.01</v>
      </c>
      <c r="O205">
        <v>13.961038961038961</v>
      </c>
    </row>
    <row r="206" spans="1:15" x14ac:dyDescent="0.25">
      <c r="A206" s="5">
        <v>46150</v>
      </c>
      <c r="B206" s="6" t="s">
        <v>44</v>
      </c>
      <c r="C206" s="9" t="s">
        <v>18</v>
      </c>
      <c r="D206" s="3">
        <v>4</v>
      </c>
      <c r="E206" s="3">
        <v>4</v>
      </c>
      <c r="G206" s="3">
        <v>0</v>
      </c>
      <c r="H206" s="3">
        <v>0</v>
      </c>
      <c r="I206" s="3">
        <f t="shared" si="36"/>
        <v>4</v>
      </c>
      <c r="J206" s="3">
        <f t="shared" si="34"/>
        <v>29</v>
      </c>
      <c r="K206" s="3">
        <f t="shared" si="37"/>
        <v>-25</v>
      </c>
      <c r="L206" s="3" t="str">
        <f t="shared" si="35"/>
        <v>CRÍTICO</v>
      </c>
      <c r="M206">
        <v>4</v>
      </c>
      <c r="N206">
        <v>95.52</v>
      </c>
      <c r="O206">
        <v>10.561056105610559</v>
      </c>
    </row>
    <row r="207" spans="1:15" x14ac:dyDescent="0.25">
      <c r="A207" s="5">
        <v>46150</v>
      </c>
      <c r="B207" s="6" t="s">
        <v>45</v>
      </c>
      <c r="C207" s="3" t="s">
        <v>43</v>
      </c>
      <c r="D207" s="3">
        <v>11</v>
      </c>
      <c r="E207" s="3">
        <v>11</v>
      </c>
      <c r="G207" s="3">
        <v>4</v>
      </c>
      <c r="H207" s="3">
        <v>0</v>
      </c>
      <c r="I207" s="3">
        <f t="shared" si="36"/>
        <v>15</v>
      </c>
      <c r="J207" s="3">
        <f t="shared" si="34"/>
        <v>16</v>
      </c>
      <c r="K207" s="3">
        <f t="shared" si="37"/>
        <v>-1</v>
      </c>
      <c r="L207" s="3" t="str">
        <f t="shared" si="35"/>
        <v>ATENÇÃO</v>
      </c>
      <c r="M207">
        <v>14</v>
      </c>
      <c r="N207">
        <v>100</v>
      </c>
      <c r="O207">
        <v>16.959064327485379</v>
      </c>
    </row>
    <row r="208" spans="1:15" x14ac:dyDescent="0.25">
      <c r="A208" s="5">
        <v>46150</v>
      </c>
      <c r="B208" s="6" t="s">
        <v>46</v>
      </c>
      <c r="C208" s="9" t="s">
        <v>18</v>
      </c>
      <c r="D208" s="3">
        <v>29</v>
      </c>
      <c r="E208" s="3">
        <v>28</v>
      </c>
      <c r="G208" s="3">
        <v>0</v>
      </c>
      <c r="H208" s="3">
        <v>0</v>
      </c>
      <c r="I208" s="3">
        <f t="shared" si="36"/>
        <v>28</v>
      </c>
      <c r="J208" s="3">
        <f t="shared" si="34"/>
        <v>29</v>
      </c>
      <c r="K208" s="3">
        <f t="shared" si="37"/>
        <v>-1</v>
      </c>
      <c r="L208" s="3" t="str">
        <f t="shared" si="35"/>
        <v>ATENÇÃO</v>
      </c>
      <c r="M208">
        <v>24</v>
      </c>
      <c r="N208">
        <v>100</v>
      </c>
      <c r="O208">
        <v>15.584415584415581</v>
      </c>
    </row>
    <row r="209" spans="1:15" x14ac:dyDescent="0.25">
      <c r="A209" s="5">
        <v>46150</v>
      </c>
      <c r="B209" s="6" t="s">
        <v>47</v>
      </c>
      <c r="C209" s="3" t="s">
        <v>16</v>
      </c>
      <c r="D209" s="3">
        <v>22</v>
      </c>
      <c r="E209" s="3">
        <v>18</v>
      </c>
      <c r="G209" s="3">
        <v>3</v>
      </c>
      <c r="H209" s="3">
        <v>0</v>
      </c>
      <c r="I209" s="3">
        <f t="shared" si="36"/>
        <v>21</v>
      </c>
      <c r="J209" s="3">
        <f t="shared" si="34"/>
        <v>23</v>
      </c>
      <c r="K209" s="3">
        <f t="shared" si="37"/>
        <v>-2</v>
      </c>
      <c r="L209" s="3" t="str">
        <f t="shared" si="35"/>
        <v>ATENÇÃO</v>
      </c>
      <c r="M209">
        <v>18</v>
      </c>
      <c r="N209">
        <v>98.61</v>
      </c>
      <c r="O209">
        <v>16.867469879518069</v>
      </c>
    </row>
    <row r="210" spans="1:15" x14ac:dyDescent="0.25">
      <c r="A210" s="5">
        <v>46150</v>
      </c>
      <c r="B210" s="6" t="s">
        <v>48</v>
      </c>
      <c r="C210" s="3" t="s">
        <v>16</v>
      </c>
      <c r="D210" s="3">
        <v>26</v>
      </c>
      <c r="E210" s="3">
        <v>26</v>
      </c>
      <c r="G210" s="3">
        <v>0</v>
      </c>
      <c r="H210" s="3">
        <v>0</v>
      </c>
      <c r="I210" s="3">
        <f t="shared" si="36"/>
        <v>26</v>
      </c>
      <c r="J210" s="3">
        <f t="shared" si="34"/>
        <v>23</v>
      </c>
      <c r="K210" s="3">
        <f t="shared" si="37"/>
        <v>3</v>
      </c>
      <c r="L210" s="3" t="str">
        <f t="shared" si="35"/>
        <v>BOM</v>
      </c>
      <c r="M210">
        <v>21</v>
      </c>
      <c r="N210">
        <v>100</v>
      </c>
      <c r="O210">
        <v>20.820189274447952</v>
      </c>
    </row>
    <row r="211" spans="1:15" x14ac:dyDescent="0.25">
      <c r="A211" s="5">
        <v>46150</v>
      </c>
      <c r="B211" s="6" t="s">
        <v>49</v>
      </c>
      <c r="C211" s="3" t="s">
        <v>18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f t="shared" si="34"/>
        <v>29</v>
      </c>
      <c r="K211" s="3">
        <v>0</v>
      </c>
      <c r="L211" s="3" t="str">
        <f t="shared" si="35"/>
        <v>BOM</v>
      </c>
      <c r="M211">
        <v>0</v>
      </c>
      <c r="N211">
        <v>100</v>
      </c>
      <c r="O211">
        <v>4.3478260869565224</v>
      </c>
    </row>
    <row r="212" spans="1:15" x14ac:dyDescent="0.25">
      <c r="A212" s="5">
        <v>46150</v>
      </c>
      <c r="B212" s="6" t="s">
        <v>50</v>
      </c>
      <c r="C212" s="3" t="s">
        <v>20</v>
      </c>
      <c r="D212" s="3">
        <v>18</v>
      </c>
      <c r="E212" s="3">
        <v>17</v>
      </c>
      <c r="G212" s="3">
        <v>6</v>
      </c>
      <c r="H212" s="3">
        <v>0</v>
      </c>
      <c r="I212" s="3">
        <f t="shared" ref="I212:I220" si="38">E212+G212+H212</f>
        <v>23</v>
      </c>
      <c r="J212" s="3">
        <f t="shared" si="34"/>
        <v>19</v>
      </c>
      <c r="K212" s="3">
        <f t="shared" ref="K212:K220" si="39">I212-J212</f>
        <v>4</v>
      </c>
      <c r="L212" s="3" t="str">
        <f t="shared" si="35"/>
        <v>BOM</v>
      </c>
      <c r="M212">
        <v>23</v>
      </c>
      <c r="N212">
        <v>93.26</v>
      </c>
      <c r="O212">
        <v>19.93957703927493</v>
      </c>
    </row>
    <row r="213" spans="1:15" x14ac:dyDescent="0.25">
      <c r="A213" s="5">
        <v>46150</v>
      </c>
      <c r="B213" s="6" t="s">
        <v>52</v>
      </c>
      <c r="C213" s="3" t="s">
        <v>18</v>
      </c>
      <c r="D213" s="3">
        <v>0</v>
      </c>
      <c r="E213" s="3">
        <v>0</v>
      </c>
      <c r="G213" s="3">
        <v>0</v>
      </c>
      <c r="H213" s="3">
        <v>31</v>
      </c>
      <c r="I213" s="3">
        <f t="shared" si="38"/>
        <v>31</v>
      </c>
      <c r="J213" s="3">
        <f t="shared" si="34"/>
        <v>29</v>
      </c>
      <c r="K213" s="3">
        <f t="shared" si="39"/>
        <v>2</v>
      </c>
      <c r="L213" s="3" t="str">
        <f t="shared" si="35"/>
        <v>BOM</v>
      </c>
      <c r="M213">
        <v>21</v>
      </c>
      <c r="N213">
        <v>98.28</v>
      </c>
      <c r="O213">
        <v>9.037900874635568</v>
      </c>
    </row>
    <row r="214" spans="1:15" x14ac:dyDescent="0.25">
      <c r="A214" s="5">
        <v>46150</v>
      </c>
      <c r="B214" s="6" t="s">
        <v>53</v>
      </c>
      <c r="C214" s="3" t="s">
        <v>18</v>
      </c>
      <c r="D214" s="3">
        <v>30</v>
      </c>
      <c r="E214" s="3">
        <v>28</v>
      </c>
      <c r="G214" s="3">
        <v>1</v>
      </c>
      <c r="H214" s="3">
        <v>0</v>
      </c>
      <c r="I214" s="3">
        <f t="shared" si="38"/>
        <v>29</v>
      </c>
      <c r="J214" s="3">
        <f t="shared" si="34"/>
        <v>29</v>
      </c>
      <c r="K214" s="3">
        <f t="shared" si="39"/>
        <v>0</v>
      </c>
      <c r="L214" s="3" t="str">
        <f t="shared" si="35"/>
        <v>BOM</v>
      </c>
      <c r="M214">
        <v>23</v>
      </c>
      <c r="N214">
        <v>97.22</v>
      </c>
      <c r="O214">
        <v>19.095477386934672</v>
      </c>
    </row>
    <row r="215" spans="1:15" x14ac:dyDescent="0.25">
      <c r="A215" s="5">
        <v>46150</v>
      </c>
      <c r="B215" s="6" t="s">
        <v>55</v>
      </c>
      <c r="C215" s="3" t="s">
        <v>43</v>
      </c>
      <c r="D215" s="3">
        <v>53</v>
      </c>
      <c r="E215" s="3">
        <v>26</v>
      </c>
      <c r="G215" s="3">
        <v>0</v>
      </c>
      <c r="H215" s="3">
        <v>0</v>
      </c>
      <c r="I215" s="3">
        <f t="shared" si="38"/>
        <v>26</v>
      </c>
      <c r="J215" s="3">
        <f t="shared" si="34"/>
        <v>16</v>
      </c>
      <c r="K215" s="3">
        <f t="shared" si="39"/>
        <v>10</v>
      </c>
      <c r="L215" s="3" t="str">
        <f t="shared" si="35"/>
        <v>EXCELENTE</v>
      </c>
      <c r="M215">
        <v>20</v>
      </c>
      <c r="N215">
        <v>98</v>
      </c>
      <c r="O215">
        <v>16.43835616438356</v>
      </c>
    </row>
    <row r="216" spans="1:15" x14ac:dyDescent="0.25">
      <c r="A216" s="5">
        <v>46150</v>
      </c>
      <c r="B216" s="6" t="s">
        <v>56</v>
      </c>
      <c r="C216" s="3" t="s">
        <v>16</v>
      </c>
      <c r="D216" s="3">
        <v>19</v>
      </c>
      <c r="E216" s="3">
        <v>19</v>
      </c>
      <c r="G216" s="3">
        <v>0</v>
      </c>
      <c r="H216" s="3">
        <v>0</v>
      </c>
      <c r="I216" s="3">
        <f t="shared" si="38"/>
        <v>19</v>
      </c>
      <c r="J216" s="3">
        <f t="shared" si="34"/>
        <v>23</v>
      </c>
      <c r="K216" s="3">
        <f t="shared" si="39"/>
        <v>-4</v>
      </c>
      <c r="L216" s="3" t="str">
        <f t="shared" si="35"/>
        <v>ATENÇÃO</v>
      </c>
      <c r="M216">
        <v>17</v>
      </c>
      <c r="N216">
        <v>100</v>
      </c>
      <c r="O216">
        <v>16.894977168949769</v>
      </c>
    </row>
    <row r="217" spans="1:15" x14ac:dyDescent="0.25">
      <c r="A217" s="5">
        <v>46150</v>
      </c>
      <c r="B217" s="6" t="s">
        <v>57</v>
      </c>
      <c r="C217" s="3" t="s">
        <v>43</v>
      </c>
      <c r="D217" s="3">
        <v>14</v>
      </c>
      <c r="E217" s="3">
        <v>14</v>
      </c>
      <c r="G217" s="3">
        <v>0</v>
      </c>
      <c r="H217" s="3">
        <v>0</v>
      </c>
      <c r="I217" s="3">
        <f t="shared" si="38"/>
        <v>14</v>
      </c>
      <c r="J217" s="3">
        <f t="shared" si="34"/>
        <v>16</v>
      </c>
      <c r="K217" s="3">
        <f t="shared" si="39"/>
        <v>-2</v>
      </c>
      <c r="L217" s="3" t="str">
        <f t="shared" si="35"/>
        <v>ATENÇÃO</v>
      </c>
      <c r="M217">
        <v>14</v>
      </c>
      <c r="N217">
        <v>100</v>
      </c>
      <c r="O217">
        <v>19.138755980861241</v>
      </c>
    </row>
    <row r="218" spans="1:15" x14ac:dyDescent="0.25">
      <c r="A218" s="5">
        <v>46150</v>
      </c>
      <c r="B218" s="6" t="s">
        <v>58</v>
      </c>
      <c r="C218" s="3" t="s">
        <v>43</v>
      </c>
      <c r="D218" s="3">
        <v>18</v>
      </c>
      <c r="E218" s="3">
        <v>17</v>
      </c>
      <c r="G218" s="3">
        <v>0</v>
      </c>
      <c r="H218" s="3">
        <v>0</v>
      </c>
      <c r="I218" s="3">
        <f t="shared" si="38"/>
        <v>17</v>
      </c>
      <c r="J218" s="3">
        <f t="shared" si="34"/>
        <v>16</v>
      </c>
      <c r="K218" s="3">
        <f t="shared" si="39"/>
        <v>1</v>
      </c>
      <c r="L218" s="3" t="str">
        <f t="shared" si="35"/>
        <v>BOM</v>
      </c>
      <c r="M218">
        <v>16</v>
      </c>
      <c r="N218">
        <v>100</v>
      </c>
      <c r="O218">
        <v>15.02145922746781</v>
      </c>
    </row>
    <row r="219" spans="1:15" x14ac:dyDescent="0.25">
      <c r="A219" s="5">
        <v>46150</v>
      </c>
      <c r="B219" s="6" t="s">
        <v>60</v>
      </c>
      <c r="C219" s="3" t="s">
        <v>20</v>
      </c>
      <c r="D219" s="3">
        <v>39</v>
      </c>
      <c r="E219" s="3">
        <v>34</v>
      </c>
      <c r="G219" s="3">
        <v>2</v>
      </c>
      <c r="H219" s="3">
        <v>0</v>
      </c>
      <c r="I219" s="3">
        <f t="shared" si="38"/>
        <v>36</v>
      </c>
      <c r="J219" s="3">
        <f t="shared" si="34"/>
        <v>19</v>
      </c>
      <c r="K219" s="3">
        <f t="shared" si="39"/>
        <v>17</v>
      </c>
      <c r="L219" s="3" t="str">
        <f t="shared" si="35"/>
        <v>EXCELENTE</v>
      </c>
      <c r="M219">
        <v>32</v>
      </c>
      <c r="N219">
        <v>97.56</v>
      </c>
      <c r="O219">
        <v>19.28783382789317</v>
      </c>
    </row>
    <row r="220" spans="1:15" x14ac:dyDescent="0.25">
      <c r="A220" s="5">
        <v>46150</v>
      </c>
      <c r="B220" s="6" t="s">
        <v>61</v>
      </c>
      <c r="C220" s="3" t="s">
        <v>18</v>
      </c>
      <c r="D220" s="3">
        <v>44</v>
      </c>
      <c r="E220" s="3">
        <v>38</v>
      </c>
      <c r="G220" s="3">
        <v>0</v>
      </c>
      <c r="H220" s="3">
        <v>0</v>
      </c>
      <c r="I220" s="3">
        <f t="shared" si="38"/>
        <v>38</v>
      </c>
      <c r="J220" s="3">
        <f t="shared" si="34"/>
        <v>29</v>
      </c>
      <c r="K220" s="3">
        <f t="shared" si="39"/>
        <v>9</v>
      </c>
      <c r="L220" s="3" t="str">
        <f t="shared" si="35"/>
        <v>EXCELENTE</v>
      </c>
      <c r="M220">
        <v>26</v>
      </c>
      <c r="N220">
        <v>99.29</v>
      </c>
      <c r="O220">
        <v>22.49443207126949</v>
      </c>
    </row>
    <row r="221" spans="1:15" x14ac:dyDescent="0.25">
      <c r="A221" s="5">
        <v>46150</v>
      </c>
      <c r="B221" s="6" t="s">
        <v>62</v>
      </c>
      <c r="C221" s="3" t="s">
        <v>20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f t="shared" si="34"/>
        <v>19</v>
      </c>
      <c r="K221" s="3">
        <v>0</v>
      </c>
      <c r="L221" s="3" t="str">
        <f t="shared" si="35"/>
        <v>BOM</v>
      </c>
      <c r="M221">
        <v>0</v>
      </c>
      <c r="N221">
        <v>100</v>
      </c>
      <c r="O221">
        <v>16.97247706422019</v>
      </c>
    </row>
    <row r="222" spans="1:15" x14ac:dyDescent="0.25">
      <c r="A222" s="5">
        <v>46150</v>
      </c>
      <c r="B222" s="6" t="s">
        <v>63</v>
      </c>
      <c r="C222" s="3" t="s">
        <v>18</v>
      </c>
      <c r="D222" s="3">
        <v>22</v>
      </c>
      <c r="E222" s="3">
        <v>21</v>
      </c>
      <c r="G222" s="3">
        <v>5</v>
      </c>
      <c r="H222" s="3">
        <v>0</v>
      </c>
      <c r="I222" s="3">
        <f>E222+G222+H222</f>
        <v>26</v>
      </c>
      <c r="J222" s="3">
        <f t="shared" si="34"/>
        <v>29</v>
      </c>
      <c r="K222" s="3">
        <f>I222-J222</f>
        <v>-3</v>
      </c>
      <c r="L222" s="3" t="str">
        <f t="shared" si="35"/>
        <v>ATENÇÃO</v>
      </c>
      <c r="M222">
        <v>25</v>
      </c>
      <c r="N222">
        <v>97.33</v>
      </c>
      <c r="O222">
        <v>15.805471124620061</v>
      </c>
    </row>
    <row r="223" spans="1:15" x14ac:dyDescent="0.25">
      <c r="A223" s="5">
        <v>46153</v>
      </c>
      <c r="B223" s="6" t="s">
        <v>15</v>
      </c>
      <c r="C223" s="3" t="s">
        <v>16</v>
      </c>
      <c r="D223" s="3">
        <v>36</v>
      </c>
      <c r="E223" s="3">
        <v>29</v>
      </c>
      <c r="G223" s="3">
        <v>5</v>
      </c>
      <c r="I223" s="3">
        <f>E223+G223+H223</f>
        <v>34</v>
      </c>
      <c r="J223" s="3">
        <f t="shared" si="34"/>
        <v>24</v>
      </c>
      <c r="K223" s="3">
        <f>I223-J223</f>
        <v>10</v>
      </c>
      <c r="L223" s="3" t="str">
        <f t="shared" si="35"/>
        <v>EXCELENTE</v>
      </c>
      <c r="M223" s="3">
        <v>18</v>
      </c>
      <c r="N223" s="3">
        <v>98.94</v>
      </c>
      <c r="O223" s="3">
        <v>19.614147909967851</v>
      </c>
    </row>
    <row r="224" spans="1:15" x14ac:dyDescent="0.25">
      <c r="A224" s="5">
        <v>46153</v>
      </c>
      <c r="B224" s="6" t="s">
        <v>17</v>
      </c>
      <c r="C224" s="3" t="s">
        <v>18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f t="shared" si="34"/>
        <v>30</v>
      </c>
      <c r="K224" s="3">
        <v>0</v>
      </c>
      <c r="L224" s="3" t="str">
        <f t="shared" si="35"/>
        <v>BOM</v>
      </c>
      <c r="M224" s="9">
        <v>0</v>
      </c>
      <c r="N224" s="9">
        <v>100</v>
      </c>
      <c r="O224" s="9">
        <v>0</v>
      </c>
    </row>
    <row r="225" spans="1:15" x14ac:dyDescent="0.25">
      <c r="A225" s="5">
        <v>46153</v>
      </c>
      <c r="B225" s="6" t="s">
        <v>19</v>
      </c>
      <c r="C225" s="3" t="s">
        <v>20</v>
      </c>
      <c r="D225" s="3">
        <v>40</v>
      </c>
      <c r="E225" s="3">
        <v>38</v>
      </c>
      <c r="G225" s="3">
        <v>8</v>
      </c>
      <c r="I225" s="3">
        <f t="shared" ref="I225:I237" si="40">E225+G225+H225</f>
        <v>46</v>
      </c>
      <c r="J225" s="3">
        <f t="shared" si="34"/>
        <v>20</v>
      </c>
      <c r="K225" s="3">
        <f t="shared" ref="K225:K237" si="41">I225-J225</f>
        <v>26</v>
      </c>
      <c r="L225" s="3" t="str">
        <f t="shared" si="35"/>
        <v>EXCELENTE</v>
      </c>
      <c r="M225" s="3">
        <v>38</v>
      </c>
      <c r="N225" s="3">
        <v>95.38</v>
      </c>
      <c r="O225" s="3">
        <v>21.5962441314554</v>
      </c>
    </row>
    <row r="226" spans="1:15" x14ac:dyDescent="0.25">
      <c r="A226" s="5">
        <v>46153</v>
      </c>
      <c r="B226" s="6" t="s">
        <v>21</v>
      </c>
      <c r="C226" s="9" t="s">
        <v>18</v>
      </c>
      <c r="D226" s="3">
        <v>18</v>
      </c>
      <c r="E226" s="3">
        <v>16</v>
      </c>
      <c r="I226" s="3">
        <f t="shared" si="40"/>
        <v>16</v>
      </c>
      <c r="J226" s="3">
        <f t="shared" si="34"/>
        <v>30</v>
      </c>
      <c r="K226" s="3">
        <f t="shared" si="41"/>
        <v>-14</v>
      </c>
      <c r="L226" s="3" t="str">
        <f t="shared" si="35"/>
        <v>CRÍTICO</v>
      </c>
      <c r="M226">
        <v>13</v>
      </c>
      <c r="N226">
        <v>96.34</v>
      </c>
      <c r="O226">
        <v>17.571884984025559</v>
      </c>
    </row>
    <row r="227" spans="1:15" x14ac:dyDescent="0.25">
      <c r="A227" s="5">
        <v>46153</v>
      </c>
      <c r="B227" s="6" t="s">
        <v>24</v>
      </c>
      <c r="C227" s="3" t="s">
        <v>16</v>
      </c>
      <c r="D227" s="3">
        <v>31</v>
      </c>
      <c r="E227" s="3">
        <v>29</v>
      </c>
      <c r="G227" s="3">
        <v>1</v>
      </c>
      <c r="I227" s="3">
        <f t="shared" si="40"/>
        <v>30</v>
      </c>
      <c r="J227" s="3">
        <f t="shared" si="34"/>
        <v>24</v>
      </c>
      <c r="K227" s="3">
        <f t="shared" si="41"/>
        <v>6</v>
      </c>
      <c r="L227" s="3" t="str">
        <f t="shared" si="35"/>
        <v>EXCELENTE</v>
      </c>
      <c r="M227">
        <v>30</v>
      </c>
      <c r="N227">
        <v>99.13</v>
      </c>
      <c r="O227">
        <v>14.7239263803681</v>
      </c>
    </row>
    <row r="228" spans="1:15" x14ac:dyDescent="0.25">
      <c r="A228" s="5">
        <v>46153</v>
      </c>
      <c r="B228" s="6" t="s">
        <v>25</v>
      </c>
      <c r="C228" s="9" t="s">
        <v>16</v>
      </c>
      <c r="D228" s="3">
        <v>22</v>
      </c>
      <c r="E228" s="3">
        <v>22</v>
      </c>
      <c r="G228" s="3">
        <v>4</v>
      </c>
      <c r="I228" s="3">
        <f t="shared" si="40"/>
        <v>26</v>
      </c>
      <c r="J228" s="3">
        <f t="shared" si="34"/>
        <v>24</v>
      </c>
      <c r="K228" s="3">
        <f t="shared" si="41"/>
        <v>2</v>
      </c>
      <c r="L228" s="3" t="str">
        <f t="shared" si="35"/>
        <v>BOM</v>
      </c>
      <c r="M228">
        <v>26</v>
      </c>
      <c r="N228">
        <v>98.8</v>
      </c>
      <c r="O228">
        <v>16.897506925207761</v>
      </c>
    </row>
    <row r="229" spans="1:15" x14ac:dyDescent="0.25">
      <c r="A229" s="5">
        <v>46153</v>
      </c>
      <c r="B229" s="6" t="s">
        <v>27</v>
      </c>
      <c r="C229" s="3" t="s">
        <v>20</v>
      </c>
      <c r="D229" s="3">
        <v>24</v>
      </c>
      <c r="E229" s="3">
        <v>23</v>
      </c>
      <c r="G229" s="3">
        <v>2</v>
      </c>
      <c r="I229" s="3">
        <f t="shared" si="40"/>
        <v>25</v>
      </c>
      <c r="J229" s="3">
        <f t="shared" si="34"/>
        <v>20</v>
      </c>
      <c r="K229" s="3">
        <f t="shared" si="41"/>
        <v>5</v>
      </c>
      <c r="L229" s="3" t="str">
        <f t="shared" si="35"/>
        <v>BOM</v>
      </c>
      <c r="M229">
        <v>21</v>
      </c>
      <c r="N229">
        <v>96.88</v>
      </c>
      <c r="O229">
        <v>19.526627218934909</v>
      </c>
    </row>
    <row r="230" spans="1:15" x14ac:dyDescent="0.25">
      <c r="A230" s="5">
        <v>46153</v>
      </c>
      <c r="B230" s="6" t="s">
        <v>28</v>
      </c>
      <c r="C230" s="3" t="s">
        <v>18</v>
      </c>
      <c r="D230" s="3">
        <v>35</v>
      </c>
      <c r="E230" s="3">
        <v>35</v>
      </c>
      <c r="I230" s="3">
        <f t="shared" si="40"/>
        <v>35</v>
      </c>
      <c r="J230" s="3">
        <f t="shared" si="34"/>
        <v>30</v>
      </c>
      <c r="K230" s="3">
        <f t="shared" si="41"/>
        <v>5</v>
      </c>
      <c r="L230" s="3" t="str">
        <f t="shared" si="35"/>
        <v>BOM</v>
      </c>
      <c r="M230">
        <v>31</v>
      </c>
      <c r="N230">
        <v>91.85</v>
      </c>
      <c r="O230">
        <v>20.87155963302752</v>
      </c>
    </row>
    <row r="231" spans="1:15" x14ac:dyDescent="0.25">
      <c r="A231" s="5">
        <v>46153</v>
      </c>
      <c r="B231" s="6" t="s">
        <v>29</v>
      </c>
      <c r="C231" s="3" t="s">
        <v>16</v>
      </c>
      <c r="D231" s="3">
        <v>30</v>
      </c>
      <c r="E231" s="3">
        <v>27</v>
      </c>
      <c r="G231" s="3">
        <v>4</v>
      </c>
      <c r="I231" s="3">
        <f t="shared" si="40"/>
        <v>31</v>
      </c>
      <c r="J231" s="3">
        <f t="shared" si="34"/>
        <v>24</v>
      </c>
      <c r="K231" s="3">
        <f t="shared" si="41"/>
        <v>7</v>
      </c>
      <c r="L231" s="3" t="str">
        <f t="shared" si="35"/>
        <v>EXCELENTE</v>
      </c>
      <c r="M231">
        <v>22</v>
      </c>
      <c r="N231">
        <v>98.63</v>
      </c>
      <c r="O231">
        <v>18.75</v>
      </c>
    </row>
    <row r="232" spans="1:15" x14ac:dyDescent="0.25">
      <c r="A232" s="5">
        <v>46153</v>
      </c>
      <c r="B232" s="6" t="s">
        <v>30</v>
      </c>
      <c r="C232" s="3" t="s">
        <v>20</v>
      </c>
      <c r="D232" s="3">
        <v>24</v>
      </c>
      <c r="E232" s="3">
        <v>20</v>
      </c>
      <c r="G232" s="3">
        <v>2</v>
      </c>
      <c r="I232" s="3">
        <f t="shared" si="40"/>
        <v>22</v>
      </c>
      <c r="J232" s="3">
        <f t="shared" si="34"/>
        <v>20</v>
      </c>
      <c r="K232" s="3">
        <f t="shared" si="41"/>
        <v>2</v>
      </c>
      <c r="L232" s="3" t="str">
        <f t="shared" si="35"/>
        <v>BOM</v>
      </c>
      <c r="M232">
        <v>19</v>
      </c>
      <c r="N232">
        <v>100</v>
      </c>
      <c r="O232">
        <v>18.14516129032258</v>
      </c>
    </row>
    <row r="233" spans="1:15" x14ac:dyDescent="0.25">
      <c r="A233" s="5">
        <v>46153</v>
      </c>
      <c r="B233" s="6" t="s">
        <v>31</v>
      </c>
      <c r="C233" s="9" t="s">
        <v>18</v>
      </c>
      <c r="D233" s="3">
        <v>25</v>
      </c>
      <c r="E233" s="3">
        <v>25</v>
      </c>
      <c r="I233" s="3">
        <f t="shared" si="40"/>
        <v>25</v>
      </c>
      <c r="J233" s="3">
        <f t="shared" si="34"/>
        <v>30</v>
      </c>
      <c r="K233" s="3">
        <f t="shared" si="41"/>
        <v>-5</v>
      </c>
      <c r="L233" s="3" t="str">
        <f t="shared" si="35"/>
        <v>ATENÇÃO</v>
      </c>
      <c r="M233">
        <v>25</v>
      </c>
      <c r="N233">
        <v>99.06</v>
      </c>
      <c r="O233">
        <v>22.95719844357977</v>
      </c>
    </row>
    <row r="234" spans="1:15" x14ac:dyDescent="0.25">
      <c r="A234" s="5">
        <v>46153</v>
      </c>
      <c r="B234" s="6" t="s">
        <v>22</v>
      </c>
      <c r="C234" s="3" t="s">
        <v>23</v>
      </c>
      <c r="D234" s="3">
        <v>32</v>
      </c>
      <c r="E234" s="3">
        <v>32</v>
      </c>
      <c r="G234" s="3">
        <v>0</v>
      </c>
      <c r="H234" s="3">
        <v>0</v>
      </c>
      <c r="I234" s="3">
        <f t="shared" si="40"/>
        <v>32</v>
      </c>
      <c r="J234" s="3">
        <f t="shared" si="34"/>
        <v>9</v>
      </c>
      <c r="K234" s="3">
        <f t="shared" si="41"/>
        <v>23</v>
      </c>
      <c r="L234" s="3" t="str">
        <f t="shared" si="35"/>
        <v>EXCELENTE</v>
      </c>
      <c r="M234">
        <v>29</v>
      </c>
      <c r="N234">
        <v>99.11</v>
      </c>
      <c r="O234">
        <v>17.721518987341771</v>
      </c>
    </row>
    <row r="235" spans="1:15" x14ac:dyDescent="0.25">
      <c r="A235" s="5">
        <v>46153</v>
      </c>
      <c r="B235" s="6" t="s">
        <v>26</v>
      </c>
      <c r="C235" s="3" t="s">
        <v>23</v>
      </c>
      <c r="D235" s="3">
        <v>1</v>
      </c>
      <c r="E235" s="3">
        <v>1</v>
      </c>
      <c r="I235" s="3">
        <f t="shared" si="40"/>
        <v>1</v>
      </c>
      <c r="J235" s="3">
        <f t="shared" si="34"/>
        <v>9</v>
      </c>
      <c r="K235" s="3">
        <f t="shared" si="41"/>
        <v>-8</v>
      </c>
      <c r="L235" s="3" t="str">
        <f t="shared" si="35"/>
        <v>CRÍTICO</v>
      </c>
      <c r="M235">
        <v>1</v>
      </c>
      <c r="N235">
        <v>96.43</v>
      </c>
      <c r="O235">
        <v>20</v>
      </c>
    </row>
    <row r="236" spans="1:15" x14ac:dyDescent="0.25">
      <c r="A236" s="5">
        <v>46153</v>
      </c>
      <c r="B236" s="6" t="s">
        <v>32</v>
      </c>
      <c r="C236" s="3" t="s">
        <v>23</v>
      </c>
      <c r="D236" s="3">
        <v>8</v>
      </c>
      <c r="E236" s="3">
        <v>5</v>
      </c>
      <c r="I236" s="3">
        <f t="shared" si="40"/>
        <v>5</v>
      </c>
      <c r="J236" s="3">
        <f t="shared" si="34"/>
        <v>9</v>
      </c>
      <c r="K236" s="3">
        <f t="shared" si="41"/>
        <v>-4</v>
      </c>
      <c r="L236" s="3" t="str">
        <f t="shared" si="35"/>
        <v>ATENÇÃO</v>
      </c>
      <c r="M236">
        <v>2</v>
      </c>
      <c r="N236">
        <v>100</v>
      </c>
      <c r="O236">
        <v>29.032258064516132</v>
      </c>
    </row>
    <row r="237" spans="1:15" x14ac:dyDescent="0.25">
      <c r="A237" s="5">
        <v>46153</v>
      </c>
      <c r="B237" s="6" t="s">
        <v>33</v>
      </c>
      <c r="C237" s="3" t="s">
        <v>16</v>
      </c>
      <c r="D237" s="3">
        <v>28</v>
      </c>
      <c r="E237" s="3">
        <v>27</v>
      </c>
      <c r="G237" s="3">
        <v>4</v>
      </c>
      <c r="I237" s="3">
        <f t="shared" si="40"/>
        <v>31</v>
      </c>
      <c r="J237" s="3">
        <f t="shared" si="34"/>
        <v>24</v>
      </c>
      <c r="K237" s="3">
        <f t="shared" si="41"/>
        <v>7</v>
      </c>
      <c r="L237" s="3" t="str">
        <f t="shared" si="35"/>
        <v>EXCELENTE</v>
      </c>
      <c r="M237">
        <v>27</v>
      </c>
      <c r="N237">
        <v>100</v>
      </c>
      <c r="O237">
        <v>13.8121546961326</v>
      </c>
    </row>
    <row r="238" spans="1:15" x14ac:dyDescent="0.25">
      <c r="A238" s="5">
        <v>46153</v>
      </c>
      <c r="B238" s="6" t="s">
        <v>34</v>
      </c>
      <c r="C238" s="9" t="s">
        <v>18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f t="shared" si="34"/>
        <v>30</v>
      </c>
      <c r="K238" s="3">
        <v>0</v>
      </c>
      <c r="L238" s="3" t="str">
        <f t="shared" si="35"/>
        <v>BOM</v>
      </c>
      <c r="M238">
        <v>0</v>
      </c>
      <c r="N238">
        <v>100</v>
      </c>
      <c r="O238">
        <v>9.5238095238095237</v>
      </c>
    </row>
    <row r="239" spans="1:15" x14ac:dyDescent="0.25">
      <c r="A239" s="5">
        <v>46153</v>
      </c>
      <c r="B239" s="6" t="s">
        <v>35</v>
      </c>
      <c r="C239" s="3" t="s">
        <v>16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f t="shared" si="34"/>
        <v>24</v>
      </c>
      <c r="K239" s="3">
        <v>0</v>
      </c>
      <c r="L239" s="3" t="str">
        <f t="shared" si="35"/>
        <v>BOM</v>
      </c>
      <c r="M239">
        <v>0</v>
      </c>
      <c r="N239">
        <v>100</v>
      </c>
      <c r="O239">
        <v>17.241379310344829</v>
      </c>
    </row>
    <row r="240" spans="1:15" x14ac:dyDescent="0.25">
      <c r="A240" s="5">
        <v>46153</v>
      </c>
      <c r="B240" s="6" t="s">
        <v>51</v>
      </c>
      <c r="C240" s="3" t="s">
        <v>23</v>
      </c>
      <c r="D240" s="3">
        <v>52</v>
      </c>
      <c r="E240" s="3">
        <v>32</v>
      </c>
      <c r="G240" s="3">
        <v>0</v>
      </c>
      <c r="H240" s="3">
        <v>0</v>
      </c>
      <c r="I240" s="3">
        <f t="shared" ref="I240:I247" si="42">E240+G240+H240</f>
        <v>32</v>
      </c>
      <c r="J240" s="3">
        <f t="shared" si="34"/>
        <v>9</v>
      </c>
      <c r="K240" s="3">
        <f t="shared" ref="K240:K247" si="43">I240-J240</f>
        <v>23</v>
      </c>
      <c r="L240" s="3" t="str">
        <f t="shared" si="35"/>
        <v>EXCELENTE</v>
      </c>
      <c r="M240">
        <v>4</v>
      </c>
      <c r="N240">
        <v>100</v>
      </c>
      <c r="O240">
        <v>11.864406779661021</v>
      </c>
    </row>
    <row r="241" spans="1:15" x14ac:dyDescent="0.25">
      <c r="A241" s="5">
        <v>46153</v>
      </c>
      <c r="B241" s="6" t="s">
        <v>54</v>
      </c>
      <c r="C241" s="3" t="s">
        <v>23</v>
      </c>
      <c r="D241" s="3">
        <v>7</v>
      </c>
      <c r="E241" s="3">
        <v>7</v>
      </c>
      <c r="I241" s="3">
        <f t="shared" si="42"/>
        <v>7</v>
      </c>
      <c r="J241" s="3">
        <f t="shared" si="34"/>
        <v>9</v>
      </c>
      <c r="K241" s="3">
        <f t="shared" si="43"/>
        <v>-2</v>
      </c>
      <c r="L241" s="3" t="str">
        <f t="shared" si="35"/>
        <v>ATENÇÃO</v>
      </c>
      <c r="M241">
        <v>4</v>
      </c>
      <c r="N241">
        <v>100</v>
      </c>
      <c r="O241">
        <v>16.814159292035399</v>
      </c>
    </row>
    <row r="242" spans="1:15" x14ac:dyDescent="0.25">
      <c r="A242" s="5">
        <v>46153</v>
      </c>
      <c r="B242" s="6" t="s">
        <v>59</v>
      </c>
      <c r="C242" s="3" t="s">
        <v>23</v>
      </c>
      <c r="D242" s="3">
        <v>16</v>
      </c>
      <c r="E242" s="3">
        <v>16</v>
      </c>
      <c r="I242" s="3">
        <f t="shared" si="42"/>
        <v>16</v>
      </c>
      <c r="J242" s="3">
        <f t="shared" si="34"/>
        <v>9</v>
      </c>
      <c r="K242" s="3">
        <f t="shared" si="43"/>
        <v>7</v>
      </c>
      <c r="L242" s="3" t="str">
        <f t="shared" si="35"/>
        <v>EXCELENTE</v>
      </c>
      <c r="M242">
        <v>15</v>
      </c>
      <c r="N242">
        <v>98.11</v>
      </c>
      <c r="O242">
        <v>20.408163265306118</v>
      </c>
    </row>
    <row r="243" spans="1:15" x14ac:dyDescent="0.25">
      <c r="A243" s="5">
        <v>46153</v>
      </c>
      <c r="B243" s="6" t="s">
        <v>36</v>
      </c>
      <c r="C243" s="3" t="s">
        <v>20</v>
      </c>
      <c r="D243" s="3">
        <v>25</v>
      </c>
      <c r="E243" s="3">
        <v>22</v>
      </c>
      <c r="G243" s="3">
        <v>5</v>
      </c>
      <c r="I243" s="3">
        <f t="shared" si="42"/>
        <v>27</v>
      </c>
      <c r="J243" s="3">
        <f t="shared" si="34"/>
        <v>20</v>
      </c>
      <c r="K243" s="3">
        <f t="shared" si="43"/>
        <v>7</v>
      </c>
      <c r="L243" s="3" t="str">
        <f t="shared" si="35"/>
        <v>EXCELENTE</v>
      </c>
      <c r="M243">
        <v>23</v>
      </c>
      <c r="N243">
        <v>98.8</v>
      </c>
      <c r="O243">
        <v>15.41353383458646</v>
      </c>
    </row>
    <row r="244" spans="1:15" x14ac:dyDescent="0.25">
      <c r="A244" s="5">
        <v>46153</v>
      </c>
      <c r="B244" s="6" t="s">
        <v>37</v>
      </c>
      <c r="C244" s="9" t="s">
        <v>16</v>
      </c>
      <c r="D244" s="3">
        <v>26</v>
      </c>
      <c r="E244" s="3">
        <v>24</v>
      </c>
      <c r="I244" s="3">
        <f t="shared" si="42"/>
        <v>24</v>
      </c>
      <c r="J244" s="3">
        <f t="shared" si="34"/>
        <v>24</v>
      </c>
      <c r="K244" s="3">
        <f t="shared" si="43"/>
        <v>0</v>
      </c>
      <c r="L244" s="3" t="str">
        <f t="shared" si="35"/>
        <v>BOM</v>
      </c>
      <c r="M244">
        <v>23</v>
      </c>
      <c r="N244">
        <v>98.63</v>
      </c>
      <c r="O244">
        <v>15.75757575757576</v>
      </c>
    </row>
    <row r="245" spans="1:15" x14ac:dyDescent="0.25">
      <c r="A245" s="5">
        <v>46153</v>
      </c>
      <c r="B245" s="6" t="s">
        <v>38</v>
      </c>
      <c r="C245" s="3" t="s">
        <v>18</v>
      </c>
      <c r="D245" s="3">
        <v>53</v>
      </c>
      <c r="E245" s="3">
        <v>46</v>
      </c>
      <c r="G245" s="3">
        <v>3</v>
      </c>
      <c r="I245" s="3">
        <f t="shared" si="42"/>
        <v>49</v>
      </c>
      <c r="J245" s="3">
        <f t="shared" si="34"/>
        <v>30</v>
      </c>
      <c r="K245" s="3">
        <f t="shared" si="43"/>
        <v>19</v>
      </c>
      <c r="L245" s="3" t="str">
        <f t="shared" si="35"/>
        <v>EXCELENTE</v>
      </c>
      <c r="M245">
        <v>44</v>
      </c>
      <c r="N245">
        <v>98.64</v>
      </c>
      <c r="O245">
        <v>16.638370118845501</v>
      </c>
    </row>
    <row r="246" spans="1:15" x14ac:dyDescent="0.25">
      <c r="A246" s="5">
        <v>46153</v>
      </c>
      <c r="B246" s="6" t="s">
        <v>39</v>
      </c>
      <c r="C246" s="3" t="s">
        <v>18</v>
      </c>
      <c r="D246" s="3">
        <v>22</v>
      </c>
      <c r="E246" s="3">
        <v>20</v>
      </c>
      <c r="G246" s="3">
        <v>4</v>
      </c>
      <c r="I246" s="3">
        <f t="shared" si="42"/>
        <v>24</v>
      </c>
      <c r="J246" s="3">
        <f t="shared" si="34"/>
        <v>30</v>
      </c>
      <c r="K246" s="3">
        <f t="shared" si="43"/>
        <v>-6</v>
      </c>
      <c r="L246" s="3" t="str">
        <f t="shared" si="35"/>
        <v>CRÍTICO</v>
      </c>
      <c r="M246">
        <v>17</v>
      </c>
      <c r="N246">
        <v>95.4</v>
      </c>
      <c r="O246">
        <v>20.533333333333331</v>
      </c>
    </row>
    <row r="247" spans="1:15" x14ac:dyDescent="0.25">
      <c r="A247" s="5">
        <v>46153</v>
      </c>
      <c r="B247" s="6" t="s">
        <v>40</v>
      </c>
      <c r="C247" s="3" t="s">
        <v>16</v>
      </c>
      <c r="D247" s="3">
        <v>39</v>
      </c>
      <c r="E247" s="3">
        <v>31</v>
      </c>
      <c r="G247" s="3">
        <v>1</v>
      </c>
      <c r="I247" s="3">
        <f t="shared" si="42"/>
        <v>32</v>
      </c>
      <c r="J247" s="3">
        <f t="shared" si="34"/>
        <v>24</v>
      </c>
      <c r="K247" s="3">
        <f t="shared" si="43"/>
        <v>8</v>
      </c>
      <c r="L247" s="3" t="str">
        <f t="shared" si="35"/>
        <v>EXCELENTE</v>
      </c>
      <c r="M247">
        <v>25</v>
      </c>
      <c r="N247">
        <v>98.61</v>
      </c>
      <c r="O247">
        <v>16.97530864197531</v>
      </c>
    </row>
    <row r="248" spans="1:15" x14ac:dyDescent="0.25">
      <c r="A248" s="5">
        <v>46153</v>
      </c>
      <c r="B248" s="6" t="s">
        <v>41</v>
      </c>
      <c r="C248" s="3" t="s">
        <v>18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f t="shared" si="34"/>
        <v>30</v>
      </c>
      <c r="K248" s="3">
        <v>0</v>
      </c>
      <c r="L248" s="3" t="str">
        <f t="shared" si="35"/>
        <v>BOM</v>
      </c>
      <c r="M248">
        <v>0</v>
      </c>
      <c r="N248">
        <v>0</v>
      </c>
      <c r="O248">
        <v>0</v>
      </c>
    </row>
    <row r="249" spans="1:15" x14ac:dyDescent="0.25">
      <c r="A249" s="5">
        <v>46153</v>
      </c>
      <c r="B249" s="6" t="s">
        <v>42</v>
      </c>
      <c r="C249" s="3" t="s">
        <v>43</v>
      </c>
      <c r="D249" s="3">
        <v>17</v>
      </c>
      <c r="E249" s="3">
        <v>17</v>
      </c>
      <c r="G249" s="3">
        <v>2</v>
      </c>
      <c r="I249" s="3">
        <f t="shared" ref="I249:I254" si="44">E249+G249+H249</f>
        <v>19</v>
      </c>
      <c r="J249" s="3">
        <f t="shared" si="34"/>
        <v>17</v>
      </c>
      <c r="K249" s="3">
        <f t="shared" ref="K249:K254" si="45">I249-J249</f>
        <v>2</v>
      </c>
      <c r="L249" s="3" t="str">
        <f t="shared" si="35"/>
        <v>BOM</v>
      </c>
      <c r="M249">
        <v>18</v>
      </c>
      <c r="N249">
        <v>97.01</v>
      </c>
      <c r="O249">
        <v>13.961038961038961</v>
      </c>
    </row>
    <row r="250" spans="1:15" x14ac:dyDescent="0.25">
      <c r="A250" s="5">
        <v>46153</v>
      </c>
      <c r="B250" s="6" t="s">
        <v>44</v>
      </c>
      <c r="C250" s="9" t="s">
        <v>18</v>
      </c>
      <c r="D250" s="3">
        <v>24</v>
      </c>
      <c r="E250" s="3">
        <v>23</v>
      </c>
      <c r="G250" s="3">
        <v>1</v>
      </c>
      <c r="I250" s="3">
        <f t="shared" si="44"/>
        <v>24</v>
      </c>
      <c r="J250" s="3">
        <f t="shared" si="34"/>
        <v>30</v>
      </c>
      <c r="K250" s="3">
        <f t="shared" si="45"/>
        <v>-6</v>
      </c>
      <c r="L250" s="3" t="str">
        <f t="shared" si="35"/>
        <v>CRÍTICO</v>
      </c>
      <c r="M250">
        <v>23</v>
      </c>
      <c r="N250">
        <v>95.52</v>
      </c>
      <c r="O250">
        <v>10.561056105610559</v>
      </c>
    </row>
    <row r="251" spans="1:15" x14ac:dyDescent="0.25">
      <c r="A251" s="5">
        <v>46153</v>
      </c>
      <c r="B251" s="6" t="s">
        <v>45</v>
      </c>
      <c r="C251" s="3" t="s">
        <v>43</v>
      </c>
      <c r="D251" s="3">
        <v>12</v>
      </c>
      <c r="E251" s="3">
        <v>11</v>
      </c>
      <c r="G251" s="3">
        <v>1</v>
      </c>
      <c r="I251" s="3">
        <f t="shared" si="44"/>
        <v>12</v>
      </c>
      <c r="J251" s="3">
        <f t="shared" si="34"/>
        <v>17</v>
      </c>
      <c r="K251" s="3">
        <f t="shared" si="45"/>
        <v>-5</v>
      </c>
      <c r="L251" s="3" t="str">
        <f t="shared" si="35"/>
        <v>ATENÇÃO</v>
      </c>
      <c r="M251">
        <v>11</v>
      </c>
      <c r="N251">
        <v>100</v>
      </c>
      <c r="O251">
        <v>16.959064327485379</v>
      </c>
    </row>
    <row r="252" spans="1:15" x14ac:dyDescent="0.25">
      <c r="A252" s="5">
        <v>46153</v>
      </c>
      <c r="B252" s="6" t="s">
        <v>46</v>
      </c>
      <c r="C252" s="9" t="s">
        <v>18</v>
      </c>
      <c r="D252" s="3">
        <v>31</v>
      </c>
      <c r="E252" s="3">
        <v>29</v>
      </c>
      <c r="G252" s="3">
        <v>0</v>
      </c>
      <c r="I252" s="3">
        <f t="shared" si="44"/>
        <v>29</v>
      </c>
      <c r="J252" s="3">
        <f t="shared" si="34"/>
        <v>30</v>
      </c>
      <c r="K252" s="3">
        <f t="shared" si="45"/>
        <v>-1</v>
      </c>
      <c r="L252" s="3" t="str">
        <f t="shared" si="35"/>
        <v>ATENÇÃO</v>
      </c>
      <c r="M252">
        <v>29</v>
      </c>
      <c r="N252">
        <v>100</v>
      </c>
      <c r="O252">
        <v>15.584415584415581</v>
      </c>
    </row>
    <row r="253" spans="1:15" x14ac:dyDescent="0.25">
      <c r="A253" s="5">
        <v>46153</v>
      </c>
      <c r="B253" s="6" t="s">
        <v>47</v>
      </c>
      <c r="C253" s="3" t="s">
        <v>16</v>
      </c>
      <c r="D253" s="3">
        <v>25</v>
      </c>
      <c r="E253" s="3">
        <v>22</v>
      </c>
      <c r="G253" s="3">
        <v>2</v>
      </c>
      <c r="I253" s="3">
        <f t="shared" si="44"/>
        <v>24</v>
      </c>
      <c r="J253" s="3">
        <f t="shared" si="34"/>
        <v>24</v>
      </c>
      <c r="K253" s="3">
        <f t="shared" si="45"/>
        <v>0</v>
      </c>
      <c r="L253" s="3" t="str">
        <f t="shared" si="35"/>
        <v>BOM</v>
      </c>
      <c r="M253">
        <v>21</v>
      </c>
      <c r="N253">
        <v>98.61</v>
      </c>
      <c r="O253">
        <v>16.867469879518069</v>
      </c>
    </row>
    <row r="254" spans="1:15" x14ac:dyDescent="0.25">
      <c r="A254" s="5">
        <v>46153</v>
      </c>
      <c r="B254" s="6" t="s">
        <v>48</v>
      </c>
      <c r="C254" s="3" t="s">
        <v>16</v>
      </c>
      <c r="D254" s="3">
        <v>31</v>
      </c>
      <c r="E254" s="3">
        <v>30</v>
      </c>
      <c r="I254" s="3">
        <f t="shared" si="44"/>
        <v>30</v>
      </c>
      <c r="J254" s="3">
        <f t="shared" si="34"/>
        <v>24</v>
      </c>
      <c r="K254" s="3">
        <f t="shared" si="45"/>
        <v>6</v>
      </c>
      <c r="L254" s="3" t="str">
        <f t="shared" si="35"/>
        <v>EXCELENTE</v>
      </c>
      <c r="M254">
        <v>25</v>
      </c>
      <c r="N254">
        <v>100</v>
      </c>
      <c r="O254">
        <v>20.820189274447952</v>
      </c>
    </row>
    <row r="255" spans="1:15" x14ac:dyDescent="0.25">
      <c r="A255" s="5">
        <v>46153</v>
      </c>
      <c r="B255" s="6" t="s">
        <v>49</v>
      </c>
      <c r="C255" s="3" t="s">
        <v>18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f t="shared" si="34"/>
        <v>30</v>
      </c>
      <c r="K255" s="3">
        <v>0</v>
      </c>
      <c r="L255" s="3" t="str">
        <f t="shared" si="35"/>
        <v>BOM</v>
      </c>
      <c r="M255">
        <v>0</v>
      </c>
      <c r="N255">
        <v>100</v>
      </c>
      <c r="O255">
        <v>4.3478260869565224</v>
      </c>
    </row>
    <row r="256" spans="1:15" x14ac:dyDescent="0.25">
      <c r="A256" s="5">
        <v>46153</v>
      </c>
      <c r="B256" s="6" t="s">
        <v>50</v>
      </c>
      <c r="C256" s="3" t="s">
        <v>20</v>
      </c>
      <c r="D256" s="3">
        <v>24</v>
      </c>
      <c r="E256" s="3">
        <v>23</v>
      </c>
      <c r="G256" s="3">
        <v>1</v>
      </c>
      <c r="I256" s="3">
        <f t="shared" ref="I256:I267" si="46">E256+G256+H256</f>
        <v>24</v>
      </c>
      <c r="J256" s="3">
        <f t="shared" si="34"/>
        <v>20</v>
      </c>
      <c r="K256" s="3">
        <f t="shared" ref="K256:K267" si="47">I256-J256</f>
        <v>4</v>
      </c>
      <c r="L256" s="3" t="str">
        <f t="shared" si="35"/>
        <v>BOM</v>
      </c>
      <c r="M256">
        <v>25</v>
      </c>
      <c r="N256">
        <v>93.26</v>
      </c>
      <c r="O256">
        <v>19.93957703927493</v>
      </c>
    </row>
    <row r="257" spans="1:15" x14ac:dyDescent="0.25">
      <c r="A257" s="5">
        <v>46153</v>
      </c>
      <c r="B257" s="6" t="s">
        <v>52</v>
      </c>
      <c r="C257" s="3" t="s">
        <v>18</v>
      </c>
      <c r="D257" s="3">
        <v>0</v>
      </c>
      <c r="E257" s="3">
        <v>0</v>
      </c>
      <c r="H257" s="3">
        <v>46</v>
      </c>
      <c r="I257" s="3">
        <f t="shared" si="46"/>
        <v>46</v>
      </c>
      <c r="J257" s="3">
        <f t="shared" si="34"/>
        <v>30</v>
      </c>
      <c r="K257" s="3">
        <f t="shared" si="47"/>
        <v>16</v>
      </c>
      <c r="L257" s="3" t="str">
        <f t="shared" si="35"/>
        <v>EXCELENTE</v>
      </c>
      <c r="M257">
        <v>27</v>
      </c>
      <c r="N257">
        <v>98.28</v>
      </c>
      <c r="O257">
        <v>9.037900874635568</v>
      </c>
    </row>
    <row r="258" spans="1:15" x14ac:dyDescent="0.25">
      <c r="A258" s="5">
        <v>46153</v>
      </c>
      <c r="B258" s="6" t="s">
        <v>53</v>
      </c>
      <c r="C258" s="3" t="s">
        <v>18</v>
      </c>
      <c r="D258" s="3">
        <v>33</v>
      </c>
      <c r="E258" s="3">
        <v>24</v>
      </c>
      <c r="G258" s="3">
        <v>5</v>
      </c>
      <c r="I258" s="3">
        <f t="shared" si="46"/>
        <v>29</v>
      </c>
      <c r="J258" s="3">
        <f t="shared" ref="J258:J321" si="48"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>30</v>
      </c>
      <c r="K258" s="3">
        <f t="shared" si="47"/>
        <v>-1</v>
      </c>
      <c r="L258" s="3" t="str">
        <f t="shared" ref="L258:L321" si="49">IF(K258&lt;-5,"CRÍTICO",IF(K258&lt;0,"ATENÇÃO",IF(K258&lt;=5,"BOM","EXCELENTE")))</f>
        <v>ATENÇÃO</v>
      </c>
      <c r="M258">
        <v>26</v>
      </c>
      <c r="N258">
        <v>97.22</v>
      </c>
      <c r="O258">
        <v>19.095477386934672</v>
      </c>
    </row>
    <row r="259" spans="1:15" x14ac:dyDescent="0.25">
      <c r="A259" s="5">
        <v>46153</v>
      </c>
      <c r="B259" s="6" t="s">
        <v>55</v>
      </c>
      <c r="C259" s="3" t="s">
        <v>43</v>
      </c>
      <c r="D259" s="3">
        <v>44</v>
      </c>
      <c r="E259" s="3">
        <v>23</v>
      </c>
      <c r="I259" s="3">
        <f t="shared" si="46"/>
        <v>23</v>
      </c>
      <c r="J259" s="3">
        <f t="shared" si="48"/>
        <v>17</v>
      </c>
      <c r="K259" s="3">
        <f t="shared" si="47"/>
        <v>6</v>
      </c>
      <c r="L259" s="3" t="str">
        <f t="shared" si="49"/>
        <v>EXCELENTE</v>
      </c>
      <c r="M259">
        <v>13</v>
      </c>
      <c r="N259">
        <v>98</v>
      </c>
      <c r="O259">
        <v>16.43835616438356</v>
      </c>
    </row>
    <row r="260" spans="1:15" x14ac:dyDescent="0.25">
      <c r="A260" s="5">
        <v>46153</v>
      </c>
      <c r="B260" s="6" t="s">
        <v>56</v>
      </c>
      <c r="C260" s="3" t="s">
        <v>16</v>
      </c>
      <c r="D260" s="3">
        <v>9</v>
      </c>
      <c r="E260" s="3">
        <v>8</v>
      </c>
      <c r="I260" s="3">
        <f t="shared" si="46"/>
        <v>8</v>
      </c>
      <c r="J260" s="3">
        <f t="shared" si="48"/>
        <v>24</v>
      </c>
      <c r="K260" s="3">
        <f t="shared" si="47"/>
        <v>-16</v>
      </c>
      <c r="L260" s="3" t="str">
        <f t="shared" si="49"/>
        <v>CRÍTICO</v>
      </c>
      <c r="M260">
        <v>7</v>
      </c>
      <c r="N260">
        <v>100</v>
      </c>
      <c r="O260">
        <v>16.894977168949769</v>
      </c>
    </row>
    <row r="261" spans="1:15" x14ac:dyDescent="0.25">
      <c r="A261" s="5">
        <v>46153</v>
      </c>
      <c r="B261" s="6" t="s">
        <v>57</v>
      </c>
      <c r="C261" s="3" t="s">
        <v>43</v>
      </c>
      <c r="D261" s="3">
        <v>11</v>
      </c>
      <c r="E261" s="3">
        <v>11</v>
      </c>
      <c r="I261" s="3">
        <f t="shared" si="46"/>
        <v>11</v>
      </c>
      <c r="J261" s="3">
        <f t="shared" si="48"/>
        <v>17</v>
      </c>
      <c r="K261" s="3">
        <f t="shared" si="47"/>
        <v>-6</v>
      </c>
      <c r="L261" s="3" t="str">
        <f t="shared" si="49"/>
        <v>CRÍTICO</v>
      </c>
      <c r="M261">
        <v>12</v>
      </c>
      <c r="N261">
        <v>100</v>
      </c>
      <c r="O261">
        <v>19.138755980861241</v>
      </c>
    </row>
    <row r="262" spans="1:15" x14ac:dyDescent="0.25">
      <c r="A262" s="5">
        <v>46153</v>
      </c>
      <c r="B262" s="6" t="s">
        <v>58</v>
      </c>
      <c r="C262" s="3" t="s">
        <v>43</v>
      </c>
      <c r="D262" s="3">
        <v>17</v>
      </c>
      <c r="E262" s="3">
        <v>17</v>
      </c>
      <c r="G262" s="3">
        <v>3</v>
      </c>
      <c r="I262" s="3">
        <f t="shared" si="46"/>
        <v>20</v>
      </c>
      <c r="J262" s="3">
        <f t="shared" si="48"/>
        <v>17</v>
      </c>
      <c r="K262" s="3">
        <f t="shared" si="47"/>
        <v>3</v>
      </c>
      <c r="L262" s="3" t="str">
        <f t="shared" si="49"/>
        <v>BOM</v>
      </c>
      <c r="M262">
        <v>17</v>
      </c>
      <c r="N262">
        <v>100</v>
      </c>
      <c r="O262">
        <v>15.02145922746781</v>
      </c>
    </row>
    <row r="263" spans="1:15" x14ac:dyDescent="0.25">
      <c r="A263" s="5">
        <v>46153</v>
      </c>
      <c r="B263" s="6" t="s">
        <v>60</v>
      </c>
      <c r="C263" s="3" t="s">
        <v>20</v>
      </c>
      <c r="D263" s="3">
        <v>29</v>
      </c>
      <c r="E263" s="3">
        <v>25</v>
      </c>
      <c r="G263" s="3">
        <v>6</v>
      </c>
      <c r="I263" s="3">
        <f t="shared" si="46"/>
        <v>31</v>
      </c>
      <c r="J263" s="3">
        <f t="shared" si="48"/>
        <v>20</v>
      </c>
      <c r="K263" s="3">
        <f t="shared" si="47"/>
        <v>11</v>
      </c>
      <c r="L263" s="3" t="str">
        <f t="shared" si="49"/>
        <v>EXCELENTE</v>
      </c>
      <c r="M263">
        <v>24</v>
      </c>
      <c r="N263">
        <v>97.56</v>
      </c>
      <c r="O263">
        <v>19.28783382789317</v>
      </c>
    </row>
    <row r="264" spans="1:15" x14ac:dyDescent="0.25">
      <c r="A264" s="5">
        <v>46153</v>
      </c>
      <c r="B264" s="6" t="s">
        <v>61</v>
      </c>
      <c r="C264" s="3" t="s">
        <v>18</v>
      </c>
      <c r="D264" s="3">
        <v>23</v>
      </c>
      <c r="E264" s="3">
        <v>21</v>
      </c>
      <c r="G264" s="3">
        <v>2</v>
      </c>
      <c r="I264" s="3">
        <f t="shared" si="46"/>
        <v>23</v>
      </c>
      <c r="J264" s="3">
        <f t="shared" si="48"/>
        <v>30</v>
      </c>
      <c r="K264" s="3">
        <f t="shared" si="47"/>
        <v>-7</v>
      </c>
      <c r="L264" s="3" t="str">
        <f t="shared" si="49"/>
        <v>CRÍTICO</v>
      </c>
      <c r="M264">
        <v>17</v>
      </c>
      <c r="N264">
        <v>99.29</v>
      </c>
      <c r="O264">
        <v>22.49443207126949</v>
      </c>
    </row>
    <row r="265" spans="1:15" x14ac:dyDescent="0.25">
      <c r="A265" s="5">
        <v>46153</v>
      </c>
      <c r="B265" s="6" t="s">
        <v>62</v>
      </c>
      <c r="C265" s="3" t="s">
        <v>20</v>
      </c>
      <c r="D265" s="3">
        <v>16</v>
      </c>
      <c r="E265" s="3">
        <v>16</v>
      </c>
      <c r="G265" s="3">
        <v>1</v>
      </c>
      <c r="I265" s="3">
        <f t="shared" si="46"/>
        <v>17</v>
      </c>
      <c r="J265" s="3">
        <f t="shared" si="48"/>
        <v>20</v>
      </c>
      <c r="K265" s="3">
        <f t="shared" si="47"/>
        <v>-3</v>
      </c>
      <c r="L265" s="3" t="str">
        <f t="shared" si="49"/>
        <v>ATENÇÃO</v>
      </c>
      <c r="M265">
        <v>15</v>
      </c>
      <c r="N265">
        <v>100</v>
      </c>
      <c r="O265">
        <v>16.97247706422019</v>
      </c>
    </row>
    <row r="266" spans="1:15" x14ac:dyDescent="0.25">
      <c r="A266" s="5">
        <v>46153</v>
      </c>
      <c r="B266" s="6" t="s">
        <v>63</v>
      </c>
      <c r="C266" s="3" t="s">
        <v>18</v>
      </c>
      <c r="D266" s="3">
        <v>25</v>
      </c>
      <c r="E266" s="3">
        <v>21</v>
      </c>
      <c r="I266" s="3">
        <f t="shared" si="46"/>
        <v>21</v>
      </c>
      <c r="J266" s="3">
        <f t="shared" si="48"/>
        <v>30</v>
      </c>
      <c r="K266" s="3">
        <f t="shared" si="47"/>
        <v>-9</v>
      </c>
      <c r="L266" s="3" t="str">
        <f t="shared" si="49"/>
        <v>CRÍTICO</v>
      </c>
      <c r="M266">
        <v>16</v>
      </c>
      <c r="N266">
        <v>97.33</v>
      </c>
      <c r="O266">
        <v>15.805471124620061</v>
      </c>
    </row>
    <row r="267" spans="1:15" x14ac:dyDescent="0.25">
      <c r="A267" s="5">
        <v>46154</v>
      </c>
      <c r="B267" s="6" t="s">
        <v>15</v>
      </c>
      <c r="C267" s="3" t="s">
        <v>16</v>
      </c>
      <c r="D267" s="3">
        <v>25</v>
      </c>
      <c r="E267" s="3">
        <v>18</v>
      </c>
      <c r="G267" s="3">
        <v>8</v>
      </c>
      <c r="I267" s="3">
        <f t="shared" si="46"/>
        <v>26</v>
      </c>
      <c r="J267" s="3">
        <f t="shared" si="48"/>
        <v>25</v>
      </c>
      <c r="K267" s="3">
        <f t="shared" si="47"/>
        <v>1</v>
      </c>
      <c r="L267" s="3" t="str">
        <f t="shared" si="49"/>
        <v>BOM</v>
      </c>
      <c r="M267" s="3">
        <v>17</v>
      </c>
      <c r="N267" s="3">
        <v>98.94</v>
      </c>
      <c r="O267" s="3">
        <v>19.614147909967851</v>
      </c>
    </row>
    <row r="268" spans="1:15" x14ac:dyDescent="0.25">
      <c r="A268" s="5">
        <v>46154</v>
      </c>
      <c r="B268" s="6" t="s">
        <v>17</v>
      </c>
      <c r="C268" s="3" t="s">
        <v>18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f t="shared" si="48"/>
        <v>32</v>
      </c>
      <c r="K268" s="3">
        <v>0</v>
      </c>
      <c r="L268" s="3" t="str">
        <f t="shared" si="49"/>
        <v>BOM</v>
      </c>
      <c r="M268" s="9">
        <v>0</v>
      </c>
      <c r="N268" s="9">
        <v>100</v>
      </c>
      <c r="O268" s="9">
        <v>0</v>
      </c>
    </row>
    <row r="269" spans="1:15" x14ac:dyDescent="0.25">
      <c r="A269" s="5">
        <v>46154</v>
      </c>
      <c r="B269" s="6" t="s">
        <v>19</v>
      </c>
      <c r="C269" s="3" t="s">
        <v>20</v>
      </c>
      <c r="D269" s="3">
        <v>31</v>
      </c>
      <c r="E269" s="3">
        <v>29</v>
      </c>
      <c r="G269" s="3">
        <v>2</v>
      </c>
      <c r="I269" s="3">
        <f t="shared" ref="I269:I278" si="50">E269+G269+H269</f>
        <v>31</v>
      </c>
      <c r="J269" s="3">
        <f t="shared" si="48"/>
        <v>21</v>
      </c>
      <c r="K269" s="3">
        <f t="shared" ref="K269:K278" si="51">I269-J269</f>
        <v>10</v>
      </c>
      <c r="L269" s="3" t="str">
        <f t="shared" si="49"/>
        <v>EXCELENTE</v>
      </c>
      <c r="M269" s="3">
        <v>27</v>
      </c>
      <c r="N269" s="3">
        <v>95.38</v>
      </c>
      <c r="O269" s="3">
        <v>21.5962441314554</v>
      </c>
    </row>
    <row r="270" spans="1:15" x14ac:dyDescent="0.25">
      <c r="A270" s="5">
        <v>46154</v>
      </c>
      <c r="B270" s="6" t="s">
        <v>21</v>
      </c>
      <c r="C270" s="9" t="s">
        <v>18</v>
      </c>
      <c r="D270" s="3">
        <v>28</v>
      </c>
      <c r="E270" s="3">
        <v>24</v>
      </c>
      <c r="G270" s="3">
        <v>4</v>
      </c>
      <c r="I270" s="3">
        <f t="shared" si="50"/>
        <v>28</v>
      </c>
      <c r="J270" s="3">
        <f t="shared" si="48"/>
        <v>32</v>
      </c>
      <c r="K270" s="3">
        <f t="shared" si="51"/>
        <v>-4</v>
      </c>
      <c r="L270" s="3" t="str">
        <f t="shared" si="49"/>
        <v>ATENÇÃO</v>
      </c>
      <c r="M270">
        <v>25</v>
      </c>
      <c r="N270">
        <v>96.34</v>
      </c>
      <c r="O270">
        <v>17.571884984025559</v>
      </c>
    </row>
    <row r="271" spans="1:15" x14ac:dyDescent="0.25">
      <c r="A271" s="5">
        <v>46154</v>
      </c>
      <c r="B271" s="6" t="s">
        <v>24</v>
      </c>
      <c r="C271" s="3" t="s">
        <v>16</v>
      </c>
      <c r="D271" s="3">
        <v>38</v>
      </c>
      <c r="E271" s="3">
        <v>35</v>
      </c>
      <c r="G271" s="3">
        <v>3</v>
      </c>
      <c r="I271" s="3">
        <f t="shared" si="50"/>
        <v>38</v>
      </c>
      <c r="J271" s="3">
        <f t="shared" si="48"/>
        <v>25</v>
      </c>
      <c r="K271" s="3">
        <f t="shared" si="51"/>
        <v>13</v>
      </c>
      <c r="L271" s="3" t="str">
        <f t="shared" si="49"/>
        <v>EXCELENTE</v>
      </c>
      <c r="M271">
        <v>34</v>
      </c>
      <c r="N271">
        <v>99.13</v>
      </c>
      <c r="O271">
        <v>14.7239263803681</v>
      </c>
    </row>
    <row r="272" spans="1:15" x14ac:dyDescent="0.25">
      <c r="A272" s="5">
        <v>46154</v>
      </c>
      <c r="B272" s="6" t="s">
        <v>25</v>
      </c>
      <c r="C272" s="9" t="s">
        <v>16</v>
      </c>
      <c r="D272" s="3">
        <v>26</v>
      </c>
      <c r="E272" s="3">
        <v>26</v>
      </c>
      <c r="I272" s="3">
        <f t="shared" si="50"/>
        <v>26</v>
      </c>
      <c r="J272" s="3">
        <f t="shared" si="48"/>
        <v>25</v>
      </c>
      <c r="K272" s="3">
        <f t="shared" si="51"/>
        <v>1</v>
      </c>
      <c r="L272" s="3" t="str">
        <f t="shared" si="49"/>
        <v>BOM</v>
      </c>
      <c r="M272">
        <v>24</v>
      </c>
      <c r="N272">
        <v>98.8</v>
      </c>
      <c r="O272">
        <v>16.897506925207761</v>
      </c>
    </row>
    <row r="273" spans="1:15" x14ac:dyDescent="0.25">
      <c r="A273" s="5">
        <v>46154</v>
      </c>
      <c r="B273" s="6" t="s">
        <v>27</v>
      </c>
      <c r="C273" s="3" t="s">
        <v>20</v>
      </c>
      <c r="D273" s="3">
        <v>24</v>
      </c>
      <c r="E273" s="3">
        <v>23</v>
      </c>
      <c r="G273" s="3">
        <v>5</v>
      </c>
      <c r="I273" s="3">
        <f t="shared" si="50"/>
        <v>28</v>
      </c>
      <c r="J273" s="3">
        <f t="shared" si="48"/>
        <v>21</v>
      </c>
      <c r="K273" s="3">
        <f t="shared" si="51"/>
        <v>7</v>
      </c>
      <c r="L273" s="3" t="str">
        <f t="shared" si="49"/>
        <v>EXCELENTE</v>
      </c>
      <c r="M273">
        <v>25</v>
      </c>
      <c r="N273">
        <v>96.88</v>
      </c>
      <c r="O273">
        <v>19.526627218934909</v>
      </c>
    </row>
    <row r="274" spans="1:15" x14ac:dyDescent="0.25">
      <c r="A274" s="5">
        <v>46154</v>
      </c>
      <c r="B274" s="6" t="s">
        <v>28</v>
      </c>
      <c r="C274" s="3" t="s">
        <v>18</v>
      </c>
      <c r="D274" s="3">
        <v>41</v>
      </c>
      <c r="E274" s="3">
        <v>39</v>
      </c>
      <c r="I274" s="3">
        <f t="shared" si="50"/>
        <v>39</v>
      </c>
      <c r="J274" s="3">
        <f t="shared" si="48"/>
        <v>32</v>
      </c>
      <c r="K274" s="3">
        <f t="shared" si="51"/>
        <v>7</v>
      </c>
      <c r="L274" s="3" t="str">
        <f t="shared" si="49"/>
        <v>EXCELENTE</v>
      </c>
      <c r="M274">
        <v>33</v>
      </c>
      <c r="N274">
        <v>91.85</v>
      </c>
      <c r="O274">
        <v>20.87155963302752</v>
      </c>
    </row>
    <row r="275" spans="1:15" x14ac:dyDescent="0.25">
      <c r="A275" s="5">
        <v>46154</v>
      </c>
      <c r="B275" s="6" t="s">
        <v>29</v>
      </c>
      <c r="C275" s="3" t="s">
        <v>16</v>
      </c>
      <c r="D275" s="3">
        <v>37</v>
      </c>
      <c r="E275" s="3">
        <v>30</v>
      </c>
      <c r="I275" s="3">
        <f t="shared" si="50"/>
        <v>30</v>
      </c>
      <c r="J275" s="3">
        <f t="shared" si="48"/>
        <v>25</v>
      </c>
      <c r="K275" s="3">
        <f t="shared" si="51"/>
        <v>5</v>
      </c>
      <c r="L275" s="3" t="str">
        <f t="shared" si="49"/>
        <v>BOM</v>
      </c>
      <c r="M275">
        <v>27</v>
      </c>
      <c r="N275">
        <v>98.63</v>
      </c>
      <c r="O275">
        <v>18.75</v>
      </c>
    </row>
    <row r="276" spans="1:15" x14ac:dyDescent="0.25">
      <c r="A276" s="5">
        <v>46154</v>
      </c>
      <c r="B276" s="6" t="s">
        <v>30</v>
      </c>
      <c r="C276" s="3" t="s">
        <v>20</v>
      </c>
      <c r="D276" s="3">
        <v>28</v>
      </c>
      <c r="E276" s="3">
        <v>26</v>
      </c>
      <c r="I276" s="3">
        <f t="shared" si="50"/>
        <v>26</v>
      </c>
      <c r="J276" s="3">
        <f t="shared" si="48"/>
        <v>21</v>
      </c>
      <c r="K276" s="3">
        <f t="shared" si="51"/>
        <v>5</v>
      </c>
      <c r="L276" s="3" t="str">
        <f t="shared" si="49"/>
        <v>BOM</v>
      </c>
      <c r="M276">
        <v>17</v>
      </c>
      <c r="N276">
        <v>100</v>
      </c>
      <c r="O276">
        <v>18.14516129032258</v>
      </c>
    </row>
    <row r="277" spans="1:15" x14ac:dyDescent="0.25">
      <c r="A277" s="5">
        <v>46154</v>
      </c>
      <c r="B277" s="6" t="s">
        <v>31</v>
      </c>
      <c r="C277" s="9" t="s">
        <v>18</v>
      </c>
      <c r="D277" s="3">
        <v>23</v>
      </c>
      <c r="E277" s="3">
        <v>23</v>
      </c>
      <c r="G277" s="3">
        <v>2</v>
      </c>
      <c r="I277" s="3">
        <f t="shared" si="50"/>
        <v>25</v>
      </c>
      <c r="J277" s="3">
        <f t="shared" si="48"/>
        <v>32</v>
      </c>
      <c r="K277" s="3">
        <f t="shared" si="51"/>
        <v>-7</v>
      </c>
      <c r="L277" s="3" t="str">
        <f t="shared" si="49"/>
        <v>CRÍTICO</v>
      </c>
      <c r="M277">
        <v>27</v>
      </c>
      <c r="N277">
        <v>99.06</v>
      </c>
      <c r="O277">
        <v>22.95719844357977</v>
      </c>
    </row>
    <row r="278" spans="1:15" x14ac:dyDescent="0.25">
      <c r="A278" s="5">
        <v>46154</v>
      </c>
      <c r="B278" s="6" t="s">
        <v>33</v>
      </c>
      <c r="C278" s="3" t="s">
        <v>16</v>
      </c>
      <c r="D278" s="3">
        <v>25</v>
      </c>
      <c r="E278" s="3">
        <v>24</v>
      </c>
      <c r="G278" s="3">
        <v>5</v>
      </c>
      <c r="I278" s="3">
        <f t="shared" si="50"/>
        <v>29</v>
      </c>
      <c r="J278" s="3">
        <f t="shared" si="48"/>
        <v>25</v>
      </c>
      <c r="K278" s="3">
        <f t="shared" si="51"/>
        <v>4</v>
      </c>
      <c r="L278" s="3" t="str">
        <f t="shared" si="49"/>
        <v>BOM</v>
      </c>
      <c r="M278">
        <v>26</v>
      </c>
      <c r="N278">
        <v>100</v>
      </c>
      <c r="O278">
        <v>13.8121546961326</v>
      </c>
    </row>
    <row r="279" spans="1:15" x14ac:dyDescent="0.25">
      <c r="A279" s="5">
        <v>46154</v>
      </c>
      <c r="B279" s="6" t="s">
        <v>34</v>
      </c>
      <c r="C279" s="9" t="s">
        <v>18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f t="shared" si="48"/>
        <v>32</v>
      </c>
      <c r="K279" s="3">
        <v>0</v>
      </c>
      <c r="L279" s="3" t="str">
        <f t="shared" si="49"/>
        <v>BOM</v>
      </c>
      <c r="M279">
        <v>0</v>
      </c>
      <c r="N279">
        <v>100</v>
      </c>
      <c r="O279">
        <v>9.5238095238095237</v>
      </c>
    </row>
    <row r="280" spans="1:15" x14ac:dyDescent="0.25">
      <c r="A280" s="5">
        <v>46154</v>
      </c>
      <c r="B280" s="6" t="s">
        <v>35</v>
      </c>
      <c r="C280" s="3" t="s">
        <v>16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f t="shared" si="48"/>
        <v>25</v>
      </c>
      <c r="K280" s="3">
        <v>0</v>
      </c>
      <c r="L280" s="3" t="str">
        <f t="shared" si="49"/>
        <v>BOM</v>
      </c>
      <c r="M280">
        <v>0</v>
      </c>
      <c r="N280">
        <v>100</v>
      </c>
      <c r="O280">
        <v>17.241379310344829</v>
      </c>
    </row>
    <row r="281" spans="1:15" x14ac:dyDescent="0.25">
      <c r="A281" s="5">
        <v>46154</v>
      </c>
      <c r="B281" s="6" t="s">
        <v>22</v>
      </c>
      <c r="C281" s="3" t="s">
        <v>23</v>
      </c>
      <c r="D281" s="3">
        <v>25</v>
      </c>
      <c r="E281" s="3">
        <v>25</v>
      </c>
      <c r="I281" s="3">
        <f t="shared" ref="I281:I286" si="52">E281+G281+H281</f>
        <v>25</v>
      </c>
      <c r="J281" s="3">
        <f t="shared" si="48"/>
        <v>9</v>
      </c>
      <c r="K281" s="3">
        <f t="shared" ref="K281:K286" si="53">I281-J281</f>
        <v>16</v>
      </c>
      <c r="L281" s="3" t="str">
        <f t="shared" si="49"/>
        <v>EXCELENTE</v>
      </c>
      <c r="M281">
        <v>18</v>
      </c>
      <c r="N281">
        <v>99.11</v>
      </c>
      <c r="O281">
        <v>17.721518987341771</v>
      </c>
    </row>
    <row r="282" spans="1:15" x14ac:dyDescent="0.25">
      <c r="A282" s="5">
        <v>46154</v>
      </c>
      <c r="B282" s="6" t="s">
        <v>36</v>
      </c>
      <c r="C282" s="3" t="s">
        <v>20</v>
      </c>
      <c r="D282" s="3">
        <v>17</v>
      </c>
      <c r="E282" s="3">
        <v>17</v>
      </c>
      <c r="H282" s="3">
        <v>7</v>
      </c>
      <c r="I282" s="3">
        <f t="shared" si="52"/>
        <v>24</v>
      </c>
      <c r="J282" s="3">
        <f t="shared" si="48"/>
        <v>21</v>
      </c>
      <c r="K282" s="3">
        <f t="shared" si="53"/>
        <v>3</v>
      </c>
      <c r="L282" s="3" t="str">
        <f t="shared" si="49"/>
        <v>BOM</v>
      </c>
      <c r="M282">
        <v>24</v>
      </c>
      <c r="N282">
        <v>98.8</v>
      </c>
      <c r="O282">
        <v>15.41353383458646</v>
      </c>
    </row>
    <row r="283" spans="1:15" x14ac:dyDescent="0.25">
      <c r="A283" s="5">
        <v>46154</v>
      </c>
      <c r="B283" s="6" t="s">
        <v>37</v>
      </c>
      <c r="C283" s="9" t="s">
        <v>16</v>
      </c>
      <c r="D283" s="3">
        <v>26</v>
      </c>
      <c r="E283" s="3">
        <v>24</v>
      </c>
      <c r="I283" s="3">
        <f t="shared" si="52"/>
        <v>24</v>
      </c>
      <c r="J283" s="3">
        <f t="shared" si="48"/>
        <v>25</v>
      </c>
      <c r="K283" s="3">
        <f t="shared" si="53"/>
        <v>-1</v>
      </c>
      <c r="L283" s="3" t="str">
        <f t="shared" si="49"/>
        <v>ATENÇÃO</v>
      </c>
      <c r="M283">
        <v>18</v>
      </c>
      <c r="N283">
        <v>98.63</v>
      </c>
      <c r="O283">
        <v>15.75757575757576</v>
      </c>
    </row>
    <row r="284" spans="1:15" x14ac:dyDescent="0.25">
      <c r="A284" s="5">
        <v>46154</v>
      </c>
      <c r="B284" s="6" t="s">
        <v>38</v>
      </c>
      <c r="C284" s="3" t="s">
        <v>18</v>
      </c>
      <c r="D284" s="3">
        <v>47</v>
      </c>
      <c r="E284" s="3">
        <v>43</v>
      </c>
      <c r="G284" s="3">
        <v>8</v>
      </c>
      <c r="I284" s="3">
        <f t="shared" si="52"/>
        <v>51</v>
      </c>
      <c r="J284" s="3">
        <f t="shared" si="48"/>
        <v>32</v>
      </c>
      <c r="K284" s="3">
        <f t="shared" si="53"/>
        <v>19</v>
      </c>
      <c r="L284" s="3" t="str">
        <f t="shared" si="49"/>
        <v>EXCELENTE</v>
      </c>
      <c r="M284">
        <v>45</v>
      </c>
      <c r="N284">
        <v>98.64</v>
      </c>
      <c r="O284">
        <v>16.638370118845501</v>
      </c>
    </row>
    <row r="285" spans="1:15" x14ac:dyDescent="0.25">
      <c r="A285" s="5">
        <v>46154</v>
      </c>
      <c r="B285" s="6" t="s">
        <v>39</v>
      </c>
      <c r="C285" s="3" t="s">
        <v>18</v>
      </c>
      <c r="D285" s="3">
        <v>42</v>
      </c>
      <c r="E285" s="3">
        <v>37</v>
      </c>
      <c r="G285" s="3">
        <v>9</v>
      </c>
      <c r="I285" s="3">
        <f t="shared" si="52"/>
        <v>46</v>
      </c>
      <c r="J285" s="3">
        <f t="shared" si="48"/>
        <v>32</v>
      </c>
      <c r="K285" s="3">
        <f t="shared" si="53"/>
        <v>14</v>
      </c>
      <c r="L285" s="3" t="str">
        <f t="shared" si="49"/>
        <v>EXCELENTE</v>
      </c>
      <c r="M285">
        <v>37</v>
      </c>
      <c r="N285">
        <v>95.4</v>
      </c>
      <c r="O285">
        <v>20.533333333333331</v>
      </c>
    </row>
    <row r="286" spans="1:15" x14ac:dyDescent="0.25">
      <c r="A286" s="5">
        <v>46154</v>
      </c>
      <c r="B286" s="6" t="s">
        <v>40</v>
      </c>
      <c r="C286" s="3" t="s">
        <v>16</v>
      </c>
      <c r="D286" s="3">
        <v>29</v>
      </c>
      <c r="E286" s="3">
        <v>26</v>
      </c>
      <c r="G286" s="3">
        <v>5</v>
      </c>
      <c r="I286" s="3">
        <f t="shared" si="52"/>
        <v>31</v>
      </c>
      <c r="J286" s="3">
        <f t="shared" si="48"/>
        <v>25</v>
      </c>
      <c r="K286" s="3">
        <f t="shared" si="53"/>
        <v>6</v>
      </c>
      <c r="L286" s="3" t="str">
        <f t="shared" si="49"/>
        <v>EXCELENTE</v>
      </c>
      <c r="M286">
        <v>26</v>
      </c>
      <c r="N286">
        <v>98.61</v>
      </c>
      <c r="O286">
        <v>16.97530864197531</v>
      </c>
    </row>
    <row r="287" spans="1:15" x14ac:dyDescent="0.25">
      <c r="A287" s="5">
        <v>46154</v>
      </c>
      <c r="B287" s="6" t="s">
        <v>41</v>
      </c>
      <c r="C287" s="3" t="s">
        <v>18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f t="shared" si="48"/>
        <v>32</v>
      </c>
      <c r="K287" s="3">
        <v>0</v>
      </c>
      <c r="L287" s="3" t="str">
        <f t="shared" si="49"/>
        <v>BOM</v>
      </c>
      <c r="M287">
        <v>0</v>
      </c>
      <c r="N287">
        <v>0</v>
      </c>
      <c r="O287">
        <v>0</v>
      </c>
    </row>
    <row r="288" spans="1:15" x14ac:dyDescent="0.25">
      <c r="A288" s="5">
        <v>46154</v>
      </c>
      <c r="B288" s="6" t="s">
        <v>42</v>
      </c>
      <c r="C288" s="3" t="s">
        <v>43</v>
      </c>
      <c r="D288" s="3">
        <v>26</v>
      </c>
      <c r="E288" s="3">
        <v>22</v>
      </c>
      <c r="I288" s="3">
        <f t="shared" ref="I288:I293" si="54">E288+G288+H288</f>
        <v>22</v>
      </c>
      <c r="J288" s="3">
        <f t="shared" si="48"/>
        <v>18</v>
      </c>
      <c r="K288" s="3">
        <f t="shared" ref="K288:K293" si="55">I288-J288</f>
        <v>4</v>
      </c>
      <c r="L288" s="3" t="str">
        <f t="shared" si="49"/>
        <v>BOM</v>
      </c>
      <c r="M288">
        <v>22</v>
      </c>
      <c r="N288">
        <v>97.01</v>
      </c>
      <c r="O288">
        <v>13.961038961038961</v>
      </c>
    </row>
    <row r="289" spans="1:15" x14ac:dyDescent="0.25">
      <c r="A289" s="5">
        <v>46154</v>
      </c>
      <c r="B289" s="6" t="s">
        <v>44</v>
      </c>
      <c r="C289" s="9" t="s">
        <v>18</v>
      </c>
      <c r="D289" s="3">
        <v>19</v>
      </c>
      <c r="E289" s="3">
        <v>17</v>
      </c>
      <c r="G289" s="3">
        <v>1</v>
      </c>
      <c r="I289" s="3">
        <f t="shared" si="54"/>
        <v>18</v>
      </c>
      <c r="J289" s="3">
        <f t="shared" si="48"/>
        <v>32</v>
      </c>
      <c r="K289" s="3">
        <f t="shared" si="55"/>
        <v>-14</v>
      </c>
      <c r="L289" s="3" t="str">
        <f t="shared" si="49"/>
        <v>CRÍTICO</v>
      </c>
      <c r="M289">
        <v>18</v>
      </c>
      <c r="N289">
        <v>95.52</v>
      </c>
      <c r="O289">
        <v>10.561056105610559</v>
      </c>
    </row>
    <row r="290" spans="1:15" x14ac:dyDescent="0.25">
      <c r="A290" s="5">
        <v>46154</v>
      </c>
      <c r="B290" s="6" t="s">
        <v>45</v>
      </c>
      <c r="C290" s="3" t="s">
        <v>43</v>
      </c>
      <c r="D290" s="3">
        <v>10</v>
      </c>
      <c r="E290" s="3">
        <v>6</v>
      </c>
      <c r="G290" s="3">
        <v>7</v>
      </c>
      <c r="I290" s="3">
        <f t="shared" si="54"/>
        <v>13</v>
      </c>
      <c r="J290" s="3">
        <f t="shared" si="48"/>
        <v>18</v>
      </c>
      <c r="K290" s="3">
        <f t="shared" si="55"/>
        <v>-5</v>
      </c>
      <c r="L290" s="3" t="str">
        <f t="shared" si="49"/>
        <v>ATENÇÃO</v>
      </c>
      <c r="M290">
        <v>12</v>
      </c>
      <c r="N290">
        <v>100</v>
      </c>
      <c r="O290">
        <v>16.959064327485379</v>
      </c>
    </row>
    <row r="291" spans="1:15" x14ac:dyDescent="0.25">
      <c r="A291" s="5">
        <v>46154</v>
      </c>
      <c r="B291" s="6" t="s">
        <v>46</v>
      </c>
      <c r="C291" s="9" t="s">
        <v>18</v>
      </c>
      <c r="D291" s="3">
        <v>31</v>
      </c>
      <c r="E291" s="3">
        <v>25</v>
      </c>
      <c r="G291" s="3">
        <v>0</v>
      </c>
      <c r="I291" s="3">
        <f t="shared" si="54"/>
        <v>25</v>
      </c>
      <c r="J291" s="3">
        <f t="shared" si="48"/>
        <v>32</v>
      </c>
      <c r="K291" s="3">
        <f t="shared" si="55"/>
        <v>-7</v>
      </c>
      <c r="L291" s="3" t="str">
        <f t="shared" si="49"/>
        <v>CRÍTICO</v>
      </c>
      <c r="M291">
        <v>28</v>
      </c>
      <c r="N291">
        <v>100</v>
      </c>
      <c r="O291">
        <v>15.584415584415581</v>
      </c>
    </row>
    <row r="292" spans="1:15" x14ac:dyDescent="0.25">
      <c r="A292" s="5">
        <v>46154</v>
      </c>
      <c r="B292" s="6" t="s">
        <v>47</v>
      </c>
      <c r="C292" s="3" t="s">
        <v>16</v>
      </c>
      <c r="D292" s="3">
        <v>28</v>
      </c>
      <c r="E292" s="3">
        <v>26</v>
      </c>
      <c r="G292" s="3">
        <v>2</v>
      </c>
      <c r="I292" s="3">
        <f t="shared" si="54"/>
        <v>28</v>
      </c>
      <c r="J292" s="3">
        <f t="shared" si="48"/>
        <v>25</v>
      </c>
      <c r="K292" s="3">
        <f t="shared" si="55"/>
        <v>3</v>
      </c>
      <c r="L292" s="3" t="str">
        <f t="shared" si="49"/>
        <v>BOM</v>
      </c>
      <c r="M292">
        <v>22</v>
      </c>
      <c r="N292">
        <v>98.61</v>
      </c>
      <c r="O292">
        <v>16.867469879518069</v>
      </c>
    </row>
    <row r="293" spans="1:15" x14ac:dyDescent="0.25">
      <c r="A293" s="5">
        <v>46154</v>
      </c>
      <c r="B293" s="6" t="s">
        <v>48</v>
      </c>
      <c r="C293" s="3" t="s">
        <v>16</v>
      </c>
      <c r="D293" s="3">
        <v>25</v>
      </c>
      <c r="E293" s="3">
        <v>24</v>
      </c>
      <c r="I293" s="3">
        <f t="shared" si="54"/>
        <v>24</v>
      </c>
      <c r="J293" s="3">
        <f t="shared" si="48"/>
        <v>25</v>
      </c>
      <c r="K293" s="3">
        <f t="shared" si="55"/>
        <v>-1</v>
      </c>
      <c r="L293" s="3" t="str">
        <f t="shared" si="49"/>
        <v>ATENÇÃO</v>
      </c>
      <c r="M293">
        <v>19</v>
      </c>
      <c r="N293">
        <v>100</v>
      </c>
      <c r="O293">
        <v>20.820189274447952</v>
      </c>
    </row>
    <row r="294" spans="1:15" x14ac:dyDescent="0.25">
      <c r="A294" s="5">
        <v>46154</v>
      </c>
      <c r="B294" s="6" t="s">
        <v>49</v>
      </c>
      <c r="C294" s="3" t="s">
        <v>18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f t="shared" si="48"/>
        <v>32</v>
      </c>
      <c r="K294" s="3">
        <v>0</v>
      </c>
      <c r="L294" s="3" t="str">
        <f t="shared" si="49"/>
        <v>BOM</v>
      </c>
      <c r="M294">
        <v>0</v>
      </c>
      <c r="N294">
        <v>100</v>
      </c>
      <c r="O294">
        <v>4.3478260869565224</v>
      </c>
    </row>
    <row r="295" spans="1:15" x14ac:dyDescent="0.25">
      <c r="A295" s="5">
        <v>46154</v>
      </c>
      <c r="B295" s="6" t="s">
        <v>50</v>
      </c>
      <c r="C295" s="3" t="s">
        <v>20</v>
      </c>
      <c r="D295" s="3">
        <v>24</v>
      </c>
      <c r="E295" s="3">
        <v>20</v>
      </c>
      <c r="G295" s="3">
        <v>4</v>
      </c>
      <c r="I295" s="3">
        <f t="shared" ref="I295:I311" si="56">E295+G295+H295</f>
        <v>24</v>
      </c>
      <c r="J295" s="3">
        <f t="shared" si="48"/>
        <v>21</v>
      </c>
      <c r="K295" s="3">
        <f t="shared" ref="K295:K311" si="57">I295-J295</f>
        <v>3</v>
      </c>
      <c r="L295" s="3" t="str">
        <f t="shared" si="49"/>
        <v>BOM</v>
      </c>
      <c r="M295">
        <v>22</v>
      </c>
      <c r="N295">
        <v>93.26</v>
      </c>
      <c r="O295">
        <v>19.93957703927493</v>
      </c>
    </row>
    <row r="296" spans="1:15" x14ac:dyDescent="0.25">
      <c r="A296" s="5">
        <v>46154</v>
      </c>
      <c r="B296" s="6" t="s">
        <v>26</v>
      </c>
      <c r="C296" s="3" t="s">
        <v>23</v>
      </c>
      <c r="D296" s="3">
        <v>8</v>
      </c>
      <c r="E296" s="3">
        <v>7</v>
      </c>
      <c r="I296" s="3">
        <f t="shared" si="56"/>
        <v>7</v>
      </c>
      <c r="J296" s="3">
        <f t="shared" si="48"/>
        <v>9</v>
      </c>
      <c r="K296" s="3">
        <f t="shared" si="57"/>
        <v>-2</v>
      </c>
      <c r="L296" s="3" t="str">
        <f t="shared" si="49"/>
        <v>ATENÇÃO</v>
      </c>
      <c r="M296">
        <v>6</v>
      </c>
      <c r="N296">
        <v>96.43</v>
      </c>
      <c r="O296">
        <v>20</v>
      </c>
    </row>
    <row r="297" spans="1:15" x14ac:dyDescent="0.25">
      <c r="A297" s="5">
        <v>46154</v>
      </c>
      <c r="B297" s="6" t="s">
        <v>32</v>
      </c>
      <c r="C297" s="3" t="s">
        <v>23</v>
      </c>
      <c r="D297" s="3">
        <v>28</v>
      </c>
      <c r="E297" s="3">
        <v>16</v>
      </c>
      <c r="I297" s="3">
        <f t="shared" si="56"/>
        <v>16</v>
      </c>
      <c r="J297" s="3">
        <f t="shared" si="48"/>
        <v>9</v>
      </c>
      <c r="K297" s="3">
        <f t="shared" si="57"/>
        <v>7</v>
      </c>
      <c r="L297" s="3" t="str">
        <f t="shared" si="49"/>
        <v>EXCELENTE</v>
      </c>
      <c r="M297">
        <v>0</v>
      </c>
      <c r="N297">
        <v>100</v>
      </c>
      <c r="O297">
        <v>29.032258064516132</v>
      </c>
    </row>
    <row r="298" spans="1:15" x14ac:dyDescent="0.25">
      <c r="A298" s="5">
        <v>46154</v>
      </c>
      <c r="B298" s="6" t="s">
        <v>51</v>
      </c>
      <c r="C298" s="3" t="s">
        <v>23</v>
      </c>
      <c r="D298" s="3">
        <v>45</v>
      </c>
      <c r="E298" s="3">
        <v>27</v>
      </c>
      <c r="I298" s="3">
        <f t="shared" si="56"/>
        <v>27</v>
      </c>
      <c r="J298" s="3">
        <f t="shared" si="48"/>
        <v>9</v>
      </c>
      <c r="K298" s="3">
        <f t="shared" si="57"/>
        <v>18</v>
      </c>
      <c r="L298" s="3" t="str">
        <f t="shared" si="49"/>
        <v>EXCELENTE</v>
      </c>
      <c r="M298">
        <v>1</v>
      </c>
      <c r="N298">
        <v>100</v>
      </c>
      <c r="O298">
        <v>11.864406779661021</v>
      </c>
    </row>
    <row r="299" spans="1:15" x14ac:dyDescent="0.25">
      <c r="A299" s="5">
        <v>46154</v>
      </c>
      <c r="B299" s="6" t="s">
        <v>54</v>
      </c>
      <c r="C299" s="3" t="s">
        <v>23</v>
      </c>
      <c r="D299" s="3">
        <v>9</v>
      </c>
      <c r="E299" s="3">
        <v>7</v>
      </c>
      <c r="I299" s="3">
        <f t="shared" si="56"/>
        <v>7</v>
      </c>
      <c r="J299" s="3">
        <f t="shared" si="48"/>
        <v>9</v>
      </c>
      <c r="K299" s="3">
        <f t="shared" si="57"/>
        <v>-2</v>
      </c>
      <c r="L299" s="3" t="str">
        <f t="shared" si="49"/>
        <v>ATENÇÃO</v>
      </c>
      <c r="M299">
        <v>4</v>
      </c>
      <c r="N299">
        <v>100</v>
      </c>
      <c r="O299">
        <v>16.814159292035399</v>
      </c>
    </row>
    <row r="300" spans="1:15" x14ac:dyDescent="0.25">
      <c r="A300" s="5">
        <v>46154</v>
      </c>
      <c r="B300" s="6" t="s">
        <v>59</v>
      </c>
      <c r="C300" s="3" t="s">
        <v>23</v>
      </c>
      <c r="D300" s="3">
        <v>20</v>
      </c>
      <c r="E300" s="3">
        <v>17</v>
      </c>
      <c r="G300" s="3">
        <v>0</v>
      </c>
      <c r="H300" s="3">
        <v>0</v>
      </c>
      <c r="I300" s="3">
        <f t="shared" si="56"/>
        <v>17</v>
      </c>
      <c r="J300" s="3">
        <f t="shared" si="48"/>
        <v>9</v>
      </c>
      <c r="K300" s="3">
        <f t="shared" si="57"/>
        <v>8</v>
      </c>
      <c r="L300" s="3" t="str">
        <f t="shared" si="49"/>
        <v>EXCELENTE</v>
      </c>
      <c r="M300">
        <v>13</v>
      </c>
      <c r="N300">
        <v>98.11</v>
      </c>
      <c r="O300">
        <v>20.408163265306118</v>
      </c>
    </row>
    <row r="301" spans="1:15" x14ac:dyDescent="0.25">
      <c r="A301" s="5">
        <v>46154</v>
      </c>
      <c r="B301" s="6" t="s">
        <v>52</v>
      </c>
      <c r="C301" s="3" t="s">
        <v>18</v>
      </c>
      <c r="D301" s="3">
        <v>0</v>
      </c>
      <c r="E301" s="3">
        <v>0</v>
      </c>
      <c r="H301" s="3">
        <v>51</v>
      </c>
      <c r="I301" s="3">
        <f t="shared" si="56"/>
        <v>51</v>
      </c>
      <c r="J301" s="3">
        <f t="shared" si="48"/>
        <v>32</v>
      </c>
      <c r="K301" s="3">
        <f t="shared" si="57"/>
        <v>19</v>
      </c>
      <c r="L301" s="3" t="str">
        <f t="shared" si="49"/>
        <v>EXCELENTE</v>
      </c>
      <c r="M301">
        <v>25</v>
      </c>
      <c r="N301">
        <v>98.28</v>
      </c>
      <c r="O301">
        <v>9.037900874635568</v>
      </c>
    </row>
    <row r="302" spans="1:15" x14ac:dyDescent="0.25">
      <c r="A302" s="5">
        <v>46154</v>
      </c>
      <c r="B302" s="6" t="s">
        <v>53</v>
      </c>
      <c r="C302" s="3" t="s">
        <v>18</v>
      </c>
      <c r="D302" s="3">
        <v>36</v>
      </c>
      <c r="E302" s="3">
        <v>31</v>
      </c>
      <c r="G302" s="3">
        <v>2</v>
      </c>
      <c r="I302" s="3">
        <f t="shared" si="56"/>
        <v>33</v>
      </c>
      <c r="J302" s="3">
        <f t="shared" si="48"/>
        <v>32</v>
      </c>
      <c r="K302" s="3">
        <f t="shared" si="57"/>
        <v>1</v>
      </c>
      <c r="L302" s="3" t="str">
        <f t="shared" si="49"/>
        <v>BOM</v>
      </c>
      <c r="M302">
        <v>28</v>
      </c>
      <c r="N302">
        <v>97.22</v>
      </c>
      <c r="O302">
        <v>19.095477386934672</v>
      </c>
    </row>
    <row r="303" spans="1:15" x14ac:dyDescent="0.25">
      <c r="A303" s="5">
        <v>46154</v>
      </c>
      <c r="B303" s="6" t="s">
        <v>55</v>
      </c>
      <c r="C303" s="3" t="s">
        <v>43</v>
      </c>
      <c r="D303" s="3">
        <v>47</v>
      </c>
      <c r="E303" s="3">
        <v>23</v>
      </c>
      <c r="I303" s="3">
        <f t="shared" si="56"/>
        <v>23</v>
      </c>
      <c r="J303" s="3">
        <f t="shared" si="48"/>
        <v>18</v>
      </c>
      <c r="K303" s="3">
        <f t="shared" si="57"/>
        <v>5</v>
      </c>
      <c r="L303" s="3" t="str">
        <f t="shared" si="49"/>
        <v>BOM</v>
      </c>
      <c r="M303">
        <v>15</v>
      </c>
      <c r="N303">
        <v>98</v>
      </c>
      <c r="O303">
        <v>16.43835616438356</v>
      </c>
    </row>
    <row r="304" spans="1:15" x14ac:dyDescent="0.25">
      <c r="A304" s="5">
        <v>46154</v>
      </c>
      <c r="B304" s="6" t="s">
        <v>56</v>
      </c>
      <c r="C304" s="3" t="s">
        <v>16</v>
      </c>
      <c r="D304" s="3">
        <v>30</v>
      </c>
      <c r="E304" s="3">
        <v>26</v>
      </c>
      <c r="I304" s="3">
        <f t="shared" si="56"/>
        <v>26</v>
      </c>
      <c r="J304" s="3">
        <f t="shared" si="48"/>
        <v>25</v>
      </c>
      <c r="K304" s="3">
        <f t="shared" si="57"/>
        <v>1</v>
      </c>
      <c r="L304" s="3" t="str">
        <f t="shared" si="49"/>
        <v>BOM</v>
      </c>
      <c r="M304">
        <v>22</v>
      </c>
      <c r="N304">
        <v>100</v>
      </c>
      <c r="O304">
        <v>16.894977168949769</v>
      </c>
    </row>
    <row r="305" spans="1:15" x14ac:dyDescent="0.25">
      <c r="A305" s="5">
        <v>46154</v>
      </c>
      <c r="B305" s="6" t="s">
        <v>57</v>
      </c>
      <c r="C305" s="3" t="s">
        <v>43</v>
      </c>
      <c r="D305" s="3">
        <v>21</v>
      </c>
      <c r="E305" s="3">
        <v>21</v>
      </c>
      <c r="I305" s="3">
        <f t="shared" si="56"/>
        <v>21</v>
      </c>
      <c r="J305" s="3">
        <f t="shared" si="48"/>
        <v>18</v>
      </c>
      <c r="K305" s="3">
        <f t="shared" si="57"/>
        <v>3</v>
      </c>
      <c r="L305" s="3" t="str">
        <f t="shared" si="49"/>
        <v>BOM</v>
      </c>
      <c r="M305">
        <v>19</v>
      </c>
      <c r="N305">
        <v>100</v>
      </c>
      <c r="O305">
        <v>19.138755980861241</v>
      </c>
    </row>
    <row r="306" spans="1:15" x14ac:dyDescent="0.25">
      <c r="A306" s="5">
        <v>46154</v>
      </c>
      <c r="B306" s="6" t="s">
        <v>58</v>
      </c>
      <c r="C306" s="3" t="s">
        <v>43</v>
      </c>
      <c r="D306" s="3">
        <v>12</v>
      </c>
      <c r="E306" s="3">
        <v>12</v>
      </c>
      <c r="I306" s="3">
        <f t="shared" si="56"/>
        <v>12</v>
      </c>
      <c r="J306" s="3">
        <f t="shared" si="48"/>
        <v>18</v>
      </c>
      <c r="K306" s="3">
        <f t="shared" si="57"/>
        <v>-6</v>
      </c>
      <c r="L306" s="3" t="str">
        <f t="shared" si="49"/>
        <v>CRÍTICO</v>
      </c>
      <c r="M306">
        <v>9</v>
      </c>
      <c r="N306">
        <v>100</v>
      </c>
      <c r="O306">
        <v>15.02145922746781</v>
      </c>
    </row>
    <row r="307" spans="1:15" x14ac:dyDescent="0.25">
      <c r="A307" s="5">
        <v>46154</v>
      </c>
      <c r="B307" s="6" t="s">
        <v>60</v>
      </c>
      <c r="C307" s="3" t="s">
        <v>20</v>
      </c>
      <c r="D307" s="3">
        <v>27</v>
      </c>
      <c r="E307" s="3">
        <v>26</v>
      </c>
      <c r="G307" s="3">
        <v>1</v>
      </c>
      <c r="I307" s="3">
        <f t="shared" si="56"/>
        <v>27</v>
      </c>
      <c r="J307" s="3">
        <f t="shared" si="48"/>
        <v>21</v>
      </c>
      <c r="K307" s="3">
        <f t="shared" si="57"/>
        <v>6</v>
      </c>
      <c r="L307" s="3" t="str">
        <f t="shared" si="49"/>
        <v>EXCELENTE</v>
      </c>
      <c r="M307">
        <v>20</v>
      </c>
      <c r="N307">
        <v>97.56</v>
      </c>
      <c r="O307">
        <v>19.28783382789317</v>
      </c>
    </row>
    <row r="308" spans="1:15" x14ac:dyDescent="0.25">
      <c r="A308" s="5">
        <v>46154</v>
      </c>
      <c r="B308" s="6" t="s">
        <v>61</v>
      </c>
      <c r="C308" s="3" t="s">
        <v>18</v>
      </c>
      <c r="D308" s="3">
        <v>33</v>
      </c>
      <c r="E308" s="3">
        <v>28</v>
      </c>
      <c r="G308" s="3">
        <v>1</v>
      </c>
      <c r="I308" s="3">
        <f t="shared" si="56"/>
        <v>29</v>
      </c>
      <c r="J308" s="3">
        <f t="shared" si="48"/>
        <v>32</v>
      </c>
      <c r="K308" s="3">
        <f t="shared" si="57"/>
        <v>-3</v>
      </c>
      <c r="L308" s="3" t="str">
        <f t="shared" si="49"/>
        <v>ATENÇÃO</v>
      </c>
      <c r="M308">
        <v>22</v>
      </c>
      <c r="N308">
        <v>99.29</v>
      </c>
      <c r="O308">
        <v>22.49443207126949</v>
      </c>
    </row>
    <row r="309" spans="1:15" x14ac:dyDescent="0.25">
      <c r="A309" s="5">
        <v>46154</v>
      </c>
      <c r="B309" s="6" t="s">
        <v>62</v>
      </c>
      <c r="C309" s="3" t="s">
        <v>20</v>
      </c>
      <c r="D309" s="3">
        <v>19</v>
      </c>
      <c r="E309" s="3">
        <v>19</v>
      </c>
      <c r="I309" s="3">
        <f t="shared" si="56"/>
        <v>19</v>
      </c>
      <c r="J309" s="3">
        <f t="shared" si="48"/>
        <v>21</v>
      </c>
      <c r="K309" s="3">
        <f t="shared" si="57"/>
        <v>-2</v>
      </c>
      <c r="L309" s="3" t="str">
        <f t="shared" si="49"/>
        <v>ATENÇÃO</v>
      </c>
      <c r="M309">
        <v>19</v>
      </c>
      <c r="N309">
        <v>100</v>
      </c>
      <c r="O309">
        <v>16.97247706422019</v>
      </c>
    </row>
    <row r="310" spans="1:15" x14ac:dyDescent="0.25">
      <c r="A310" s="5">
        <v>46154</v>
      </c>
      <c r="B310" s="6" t="s">
        <v>63</v>
      </c>
      <c r="C310" s="3" t="s">
        <v>18</v>
      </c>
      <c r="D310" s="3">
        <v>29</v>
      </c>
      <c r="E310" s="3">
        <v>28</v>
      </c>
      <c r="G310" s="3">
        <v>4</v>
      </c>
      <c r="I310" s="3">
        <f t="shared" si="56"/>
        <v>32</v>
      </c>
      <c r="J310" s="3">
        <f t="shared" si="48"/>
        <v>32</v>
      </c>
      <c r="K310" s="3">
        <f t="shared" si="57"/>
        <v>0</v>
      </c>
      <c r="L310" s="3" t="str">
        <f t="shared" si="49"/>
        <v>BOM</v>
      </c>
      <c r="M310">
        <v>25</v>
      </c>
      <c r="N310">
        <v>97.33</v>
      </c>
      <c r="O310">
        <v>15.805471124620061</v>
      </c>
    </row>
    <row r="311" spans="1:15" x14ac:dyDescent="0.25">
      <c r="A311" s="5">
        <v>46155</v>
      </c>
      <c r="B311" s="6" t="s">
        <v>15</v>
      </c>
      <c r="C311" s="3" t="s">
        <v>16</v>
      </c>
      <c r="D311" s="3">
        <v>28</v>
      </c>
      <c r="E311" s="3">
        <v>21</v>
      </c>
      <c r="G311" s="3">
        <v>2</v>
      </c>
      <c r="I311" s="3">
        <f t="shared" si="56"/>
        <v>23</v>
      </c>
      <c r="J311" s="3">
        <f t="shared" si="48"/>
        <v>23</v>
      </c>
      <c r="K311" s="3">
        <f t="shared" si="57"/>
        <v>0</v>
      </c>
      <c r="L311" s="3" t="str">
        <f t="shared" si="49"/>
        <v>BOM</v>
      </c>
      <c r="M311" s="3">
        <v>17</v>
      </c>
      <c r="N311" s="3">
        <v>98.94</v>
      </c>
      <c r="O311" s="3">
        <v>19.614147909967851</v>
      </c>
    </row>
    <row r="312" spans="1:15" x14ac:dyDescent="0.25">
      <c r="A312" s="5">
        <v>46155</v>
      </c>
      <c r="B312" s="6" t="s">
        <v>17</v>
      </c>
      <c r="C312" s="3" t="s">
        <v>18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f t="shared" si="48"/>
        <v>29</v>
      </c>
      <c r="K312" s="3">
        <v>0</v>
      </c>
      <c r="L312" s="3" t="str">
        <f t="shared" si="49"/>
        <v>BOM</v>
      </c>
      <c r="M312" s="9">
        <v>0</v>
      </c>
      <c r="N312" s="9">
        <v>100</v>
      </c>
      <c r="O312" s="9">
        <v>0</v>
      </c>
    </row>
    <row r="313" spans="1:15" x14ac:dyDescent="0.25">
      <c r="A313" s="5">
        <v>46155</v>
      </c>
      <c r="B313" s="6" t="s">
        <v>19</v>
      </c>
      <c r="C313" s="3" t="s">
        <v>20</v>
      </c>
      <c r="D313" s="3">
        <v>25</v>
      </c>
      <c r="E313" s="3">
        <v>21</v>
      </c>
      <c r="G313" s="3">
        <v>7</v>
      </c>
      <c r="I313" s="3">
        <f t="shared" ref="I313:I322" si="58">E313+G313+H313</f>
        <v>28</v>
      </c>
      <c r="J313" s="3">
        <f t="shared" si="48"/>
        <v>19</v>
      </c>
      <c r="K313" s="3">
        <f t="shared" ref="K313:K322" si="59">I313-J313</f>
        <v>9</v>
      </c>
      <c r="L313" s="3" t="str">
        <f t="shared" si="49"/>
        <v>EXCELENTE</v>
      </c>
      <c r="M313" s="3">
        <v>26</v>
      </c>
      <c r="N313" s="3">
        <v>95.38</v>
      </c>
      <c r="O313" s="3">
        <v>21.5962441314554</v>
      </c>
    </row>
    <row r="314" spans="1:15" x14ac:dyDescent="0.25">
      <c r="A314" s="5">
        <v>46155</v>
      </c>
      <c r="B314" s="6" t="s">
        <v>21</v>
      </c>
      <c r="C314" s="9" t="s">
        <v>18</v>
      </c>
      <c r="D314" s="3">
        <v>26</v>
      </c>
      <c r="E314" s="3">
        <v>23</v>
      </c>
      <c r="I314" s="3">
        <f t="shared" si="58"/>
        <v>23</v>
      </c>
      <c r="J314" s="3">
        <f t="shared" si="48"/>
        <v>29</v>
      </c>
      <c r="K314" s="3">
        <f t="shared" si="59"/>
        <v>-6</v>
      </c>
      <c r="L314" s="3" t="str">
        <f t="shared" si="49"/>
        <v>CRÍTICO</v>
      </c>
      <c r="M314">
        <v>21</v>
      </c>
      <c r="N314">
        <v>96.34</v>
      </c>
      <c r="O314">
        <v>17.571884984025559</v>
      </c>
    </row>
    <row r="315" spans="1:15" x14ac:dyDescent="0.25">
      <c r="A315" s="5">
        <v>46155</v>
      </c>
      <c r="B315" s="6" t="s">
        <v>24</v>
      </c>
      <c r="C315" s="3" t="s">
        <v>16</v>
      </c>
      <c r="D315" s="3">
        <v>33</v>
      </c>
      <c r="E315" s="3">
        <v>29</v>
      </c>
      <c r="G315" s="3">
        <v>1</v>
      </c>
      <c r="I315" s="3">
        <f t="shared" si="58"/>
        <v>30</v>
      </c>
      <c r="J315" s="3">
        <f t="shared" si="48"/>
        <v>23</v>
      </c>
      <c r="K315" s="3">
        <f t="shared" si="59"/>
        <v>7</v>
      </c>
      <c r="L315" s="3" t="str">
        <f t="shared" si="49"/>
        <v>EXCELENTE</v>
      </c>
      <c r="M315">
        <v>30</v>
      </c>
      <c r="N315">
        <v>99.13</v>
      </c>
      <c r="O315">
        <v>14.7239263803681</v>
      </c>
    </row>
    <row r="316" spans="1:15" x14ac:dyDescent="0.25">
      <c r="A316" s="5">
        <v>46155</v>
      </c>
      <c r="B316" s="6" t="s">
        <v>25</v>
      </c>
      <c r="C316" s="9" t="s">
        <v>16</v>
      </c>
      <c r="D316" s="3">
        <v>17</v>
      </c>
      <c r="E316" s="3">
        <v>16</v>
      </c>
      <c r="G316" s="3">
        <v>5</v>
      </c>
      <c r="I316" s="3">
        <f t="shared" si="58"/>
        <v>21</v>
      </c>
      <c r="J316" s="3">
        <f t="shared" si="48"/>
        <v>23</v>
      </c>
      <c r="K316" s="3">
        <f t="shared" si="59"/>
        <v>-2</v>
      </c>
      <c r="L316" s="3" t="str">
        <f t="shared" si="49"/>
        <v>ATENÇÃO</v>
      </c>
      <c r="M316">
        <v>19</v>
      </c>
      <c r="N316">
        <v>98.8</v>
      </c>
      <c r="O316">
        <v>16.897506925207761</v>
      </c>
    </row>
    <row r="317" spans="1:15" x14ac:dyDescent="0.25">
      <c r="A317" s="5">
        <v>46155</v>
      </c>
      <c r="B317" s="6" t="s">
        <v>27</v>
      </c>
      <c r="C317" s="3" t="s">
        <v>20</v>
      </c>
      <c r="D317" s="3">
        <v>37</v>
      </c>
      <c r="E317" s="3">
        <v>32</v>
      </c>
      <c r="G317" s="3">
        <v>3</v>
      </c>
      <c r="I317" s="3">
        <f t="shared" si="58"/>
        <v>35</v>
      </c>
      <c r="J317" s="3">
        <f t="shared" si="48"/>
        <v>19</v>
      </c>
      <c r="K317" s="3">
        <f t="shared" si="59"/>
        <v>16</v>
      </c>
      <c r="L317" s="3" t="str">
        <f t="shared" si="49"/>
        <v>EXCELENTE</v>
      </c>
      <c r="M317">
        <v>26</v>
      </c>
      <c r="N317">
        <v>96.88</v>
      </c>
      <c r="O317">
        <v>19.526627218934909</v>
      </c>
    </row>
    <row r="318" spans="1:15" x14ac:dyDescent="0.25">
      <c r="A318" s="5">
        <v>46155</v>
      </c>
      <c r="B318" s="6" t="s">
        <v>28</v>
      </c>
      <c r="C318" s="3" t="s">
        <v>18</v>
      </c>
      <c r="D318" s="3">
        <v>34</v>
      </c>
      <c r="E318" s="3">
        <v>30</v>
      </c>
      <c r="I318" s="3">
        <f t="shared" si="58"/>
        <v>30</v>
      </c>
      <c r="J318" s="3">
        <f t="shared" si="48"/>
        <v>29</v>
      </c>
      <c r="K318" s="3">
        <f t="shared" si="59"/>
        <v>1</v>
      </c>
      <c r="L318" s="3" t="str">
        <f t="shared" si="49"/>
        <v>BOM</v>
      </c>
      <c r="M318">
        <v>31</v>
      </c>
      <c r="N318">
        <v>91.85</v>
      </c>
      <c r="O318">
        <v>20.87155963302752</v>
      </c>
    </row>
    <row r="319" spans="1:15" x14ac:dyDescent="0.25">
      <c r="A319" s="5">
        <v>46155</v>
      </c>
      <c r="B319" s="6" t="s">
        <v>29</v>
      </c>
      <c r="C319" s="3" t="s">
        <v>16</v>
      </c>
      <c r="D319" s="3">
        <v>12</v>
      </c>
      <c r="E319" s="3">
        <v>9</v>
      </c>
      <c r="G319" s="3">
        <v>4</v>
      </c>
      <c r="I319" s="3">
        <f t="shared" si="58"/>
        <v>13</v>
      </c>
      <c r="J319" s="3">
        <f t="shared" si="48"/>
        <v>23</v>
      </c>
      <c r="K319" s="3">
        <f t="shared" si="59"/>
        <v>-10</v>
      </c>
      <c r="L319" s="3" t="str">
        <f t="shared" si="49"/>
        <v>CRÍTICO</v>
      </c>
      <c r="M319">
        <v>13</v>
      </c>
      <c r="N319">
        <v>98.63</v>
      </c>
      <c r="O319">
        <v>18.75</v>
      </c>
    </row>
    <row r="320" spans="1:15" x14ac:dyDescent="0.25">
      <c r="A320" s="5">
        <v>46155</v>
      </c>
      <c r="B320" s="6" t="s">
        <v>30</v>
      </c>
      <c r="C320" s="3" t="s">
        <v>20</v>
      </c>
      <c r="D320" s="3">
        <v>17</v>
      </c>
      <c r="E320" s="3">
        <v>16</v>
      </c>
      <c r="G320" s="3">
        <v>5</v>
      </c>
      <c r="I320" s="3">
        <f t="shared" si="58"/>
        <v>21</v>
      </c>
      <c r="J320" s="3">
        <f t="shared" si="48"/>
        <v>19</v>
      </c>
      <c r="K320" s="3">
        <f t="shared" si="59"/>
        <v>2</v>
      </c>
      <c r="L320" s="3" t="str">
        <f t="shared" si="49"/>
        <v>BOM</v>
      </c>
      <c r="M320">
        <v>19</v>
      </c>
      <c r="N320">
        <v>100</v>
      </c>
      <c r="O320">
        <v>18.14516129032258</v>
      </c>
    </row>
    <row r="321" spans="1:15" x14ac:dyDescent="0.25">
      <c r="A321" s="5">
        <v>46155</v>
      </c>
      <c r="B321" s="6" t="s">
        <v>31</v>
      </c>
      <c r="C321" s="9" t="s">
        <v>18</v>
      </c>
      <c r="D321" s="3">
        <v>23</v>
      </c>
      <c r="E321" s="3">
        <v>23</v>
      </c>
      <c r="I321" s="3">
        <f t="shared" si="58"/>
        <v>23</v>
      </c>
      <c r="J321" s="3">
        <f t="shared" si="48"/>
        <v>29</v>
      </c>
      <c r="K321" s="3">
        <f t="shared" si="59"/>
        <v>-6</v>
      </c>
      <c r="L321" s="3" t="str">
        <f t="shared" si="49"/>
        <v>CRÍTICO</v>
      </c>
      <c r="M321">
        <v>21</v>
      </c>
      <c r="N321">
        <v>99.06</v>
      </c>
      <c r="O321">
        <v>22.95719844357977</v>
      </c>
    </row>
    <row r="322" spans="1:15" x14ac:dyDescent="0.25">
      <c r="A322" s="5">
        <v>46155</v>
      </c>
      <c r="B322" s="6" t="s">
        <v>33</v>
      </c>
      <c r="C322" s="3" t="s">
        <v>16</v>
      </c>
      <c r="D322" s="3">
        <v>28</v>
      </c>
      <c r="E322" s="3">
        <v>25</v>
      </c>
      <c r="G322" s="3">
        <v>2</v>
      </c>
      <c r="I322" s="3">
        <f t="shared" si="58"/>
        <v>27</v>
      </c>
      <c r="J322" s="3">
        <f t="shared" ref="J322:J385" si="60"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>23</v>
      </c>
      <c r="K322" s="3">
        <f t="shared" si="59"/>
        <v>4</v>
      </c>
      <c r="L322" s="3" t="str">
        <f t="shared" ref="L322:L385" si="61">IF(K322&lt;-5,"CRÍTICO",IF(K322&lt;0,"ATENÇÃO",IF(K322&lt;=5,"BOM","EXCELENTE")))</f>
        <v>BOM</v>
      </c>
      <c r="M322">
        <v>19</v>
      </c>
      <c r="N322">
        <v>100</v>
      </c>
      <c r="O322">
        <v>13.8121546961326</v>
      </c>
    </row>
    <row r="323" spans="1:15" x14ac:dyDescent="0.25">
      <c r="A323" s="5">
        <v>46155</v>
      </c>
      <c r="B323" s="6" t="s">
        <v>34</v>
      </c>
      <c r="C323" s="9" t="s">
        <v>18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f t="shared" si="60"/>
        <v>29</v>
      </c>
      <c r="K323" s="3">
        <v>0</v>
      </c>
      <c r="L323" s="3" t="str">
        <f t="shared" si="61"/>
        <v>BOM</v>
      </c>
      <c r="M323">
        <v>0</v>
      </c>
      <c r="N323">
        <v>100</v>
      </c>
      <c r="O323">
        <v>9.5238095238095237</v>
      </c>
    </row>
    <row r="324" spans="1:15" x14ac:dyDescent="0.25">
      <c r="A324" s="5">
        <v>46155</v>
      </c>
      <c r="B324" s="6" t="s">
        <v>35</v>
      </c>
      <c r="C324" s="3" t="s">
        <v>16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f t="shared" si="60"/>
        <v>23</v>
      </c>
      <c r="K324" s="3">
        <v>0</v>
      </c>
      <c r="L324" s="3" t="str">
        <f t="shared" si="61"/>
        <v>BOM</v>
      </c>
      <c r="M324">
        <v>0</v>
      </c>
      <c r="N324">
        <v>100</v>
      </c>
      <c r="O324">
        <v>17.241379310344829</v>
      </c>
    </row>
    <row r="325" spans="1:15" x14ac:dyDescent="0.25">
      <c r="A325" s="5">
        <v>46155</v>
      </c>
      <c r="B325" s="6" t="s">
        <v>36</v>
      </c>
      <c r="C325" s="3" t="s">
        <v>20</v>
      </c>
      <c r="D325" s="3">
        <v>20</v>
      </c>
      <c r="E325" s="3">
        <v>16</v>
      </c>
      <c r="G325" s="3">
        <v>11</v>
      </c>
      <c r="H325" s="3">
        <v>7</v>
      </c>
      <c r="I325" s="3">
        <f>E325+G325+H325</f>
        <v>34</v>
      </c>
      <c r="J325" s="3">
        <f t="shared" si="60"/>
        <v>19</v>
      </c>
      <c r="K325" s="3">
        <f>I325-J325</f>
        <v>15</v>
      </c>
      <c r="L325" s="3" t="str">
        <f t="shared" si="61"/>
        <v>EXCELENTE</v>
      </c>
      <c r="M325">
        <v>18</v>
      </c>
      <c r="N325">
        <v>98.8</v>
      </c>
      <c r="O325">
        <v>15.41353383458646</v>
      </c>
    </row>
    <row r="326" spans="1:15" x14ac:dyDescent="0.25">
      <c r="A326" s="5">
        <v>46155</v>
      </c>
      <c r="B326" s="6" t="s">
        <v>37</v>
      </c>
      <c r="C326" s="9" t="s">
        <v>16</v>
      </c>
      <c r="D326" s="3">
        <v>21</v>
      </c>
      <c r="E326" s="3">
        <v>21</v>
      </c>
      <c r="G326" s="3">
        <v>1</v>
      </c>
      <c r="I326" s="3">
        <f>E326+G326+H326</f>
        <v>22</v>
      </c>
      <c r="J326" s="3">
        <f t="shared" si="60"/>
        <v>23</v>
      </c>
      <c r="K326" s="3">
        <f>I326-J326</f>
        <v>-1</v>
      </c>
      <c r="L326" s="3" t="str">
        <f t="shared" si="61"/>
        <v>ATENÇÃO</v>
      </c>
      <c r="M326">
        <v>22</v>
      </c>
      <c r="N326">
        <v>98.63</v>
      </c>
      <c r="O326">
        <v>15.75757575757576</v>
      </c>
    </row>
    <row r="327" spans="1:15" x14ac:dyDescent="0.25">
      <c r="A327" s="5">
        <v>46155</v>
      </c>
      <c r="B327" s="6" t="s">
        <v>38</v>
      </c>
      <c r="C327" s="3" t="s">
        <v>18</v>
      </c>
      <c r="D327" s="3">
        <v>46</v>
      </c>
      <c r="E327" s="3">
        <v>40</v>
      </c>
      <c r="G327" s="3">
        <v>3</v>
      </c>
      <c r="I327" s="3">
        <f>E327+G327+H327</f>
        <v>43</v>
      </c>
      <c r="J327" s="3">
        <f t="shared" si="60"/>
        <v>29</v>
      </c>
      <c r="K327" s="3">
        <f>I327-J327</f>
        <v>14</v>
      </c>
      <c r="L327" s="3" t="str">
        <f t="shared" si="61"/>
        <v>EXCELENTE</v>
      </c>
      <c r="M327">
        <v>37</v>
      </c>
      <c r="N327">
        <v>98.64</v>
      </c>
      <c r="O327">
        <v>16.638370118845501</v>
      </c>
    </row>
    <row r="328" spans="1:15" x14ac:dyDescent="0.25">
      <c r="A328" s="5">
        <v>46155</v>
      </c>
      <c r="B328" s="6" t="s">
        <v>39</v>
      </c>
      <c r="C328" s="3" t="s">
        <v>18</v>
      </c>
      <c r="D328" s="3">
        <v>30</v>
      </c>
      <c r="E328" s="3">
        <v>29</v>
      </c>
      <c r="G328" s="3">
        <v>5</v>
      </c>
      <c r="I328" s="3">
        <f>E328+G328+H328</f>
        <v>34</v>
      </c>
      <c r="J328" s="3">
        <f t="shared" si="60"/>
        <v>29</v>
      </c>
      <c r="K328" s="3">
        <f>I328-J328</f>
        <v>5</v>
      </c>
      <c r="L328" s="3" t="str">
        <f t="shared" si="61"/>
        <v>BOM</v>
      </c>
      <c r="M328">
        <v>31</v>
      </c>
      <c r="N328">
        <v>95.4</v>
      </c>
      <c r="O328">
        <v>20.533333333333331</v>
      </c>
    </row>
    <row r="329" spans="1:15" x14ac:dyDescent="0.25">
      <c r="A329" s="5">
        <v>46155</v>
      </c>
      <c r="B329" s="6" t="s">
        <v>40</v>
      </c>
      <c r="C329" s="3" t="s">
        <v>16</v>
      </c>
      <c r="D329" s="3">
        <v>33</v>
      </c>
      <c r="E329" s="3">
        <v>27</v>
      </c>
      <c r="I329" s="3">
        <f>E329+G329+H329</f>
        <v>27</v>
      </c>
      <c r="J329" s="3">
        <f t="shared" si="60"/>
        <v>23</v>
      </c>
      <c r="K329" s="3">
        <f>I329-J329</f>
        <v>4</v>
      </c>
      <c r="L329" s="3" t="str">
        <f t="shared" si="61"/>
        <v>BOM</v>
      </c>
      <c r="M329">
        <v>23</v>
      </c>
      <c r="N329">
        <v>98.61</v>
      </c>
      <c r="O329">
        <v>16.97530864197531</v>
      </c>
    </row>
    <row r="330" spans="1:15" x14ac:dyDescent="0.25">
      <c r="A330" s="5">
        <v>46155</v>
      </c>
      <c r="B330" s="6" t="s">
        <v>41</v>
      </c>
      <c r="C330" s="3" t="s">
        <v>18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f t="shared" si="60"/>
        <v>29</v>
      </c>
      <c r="K330" s="3">
        <v>0</v>
      </c>
      <c r="L330" s="3" t="str">
        <f t="shared" si="61"/>
        <v>BOM</v>
      </c>
      <c r="M330">
        <v>0</v>
      </c>
      <c r="N330">
        <v>0</v>
      </c>
      <c r="O330">
        <v>0</v>
      </c>
    </row>
    <row r="331" spans="1:15" x14ac:dyDescent="0.25">
      <c r="A331" s="5">
        <v>46155</v>
      </c>
      <c r="B331" s="6" t="s">
        <v>42</v>
      </c>
      <c r="C331" s="3" t="s">
        <v>43</v>
      </c>
      <c r="D331" s="3">
        <v>17</v>
      </c>
      <c r="E331" s="3">
        <v>14</v>
      </c>
      <c r="G331" s="3">
        <v>6</v>
      </c>
      <c r="I331" s="3">
        <f>E331+G331+H331</f>
        <v>20</v>
      </c>
      <c r="J331" s="3">
        <f t="shared" si="60"/>
        <v>16</v>
      </c>
      <c r="K331" s="3">
        <f>I331-J331</f>
        <v>4</v>
      </c>
      <c r="L331" s="3" t="str">
        <f t="shared" si="61"/>
        <v>BOM</v>
      </c>
      <c r="M331">
        <v>18</v>
      </c>
      <c r="N331">
        <v>97.01</v>
      </c>
      <c r="O331">
        <v>13.961038961038961</v>
      </c>
    </row>
    <row r="332" spans="1:15" x14ac:dyDescent="0.25">
      <c r="A332" s="5">
        <v>46155</v>
      </c>
      <c r="B332" s="6" t="s">
        <v>44</v>
      </c>
      <c r="C332" s="9" t="s">
        <v>18</v>
      </c>
      <c r="D332" s="3">
        <v>27</v>
      </c>
      <c r="E332" s="3">
        <v>26</v>
      </c>
      <c r="I332" s="3">
        <f>E332+G332+H332</f>
        <v>26</v>
      </c>
      <c r="J332" s="3">
        <f t="shared" si="60"/>
        <v>29</v>
      </c>
      <c r="K332" s="3">
        <f>I332-J332</f>
        <v>-3</v>
      </c>
      <c r="L332" s="3" t="str">
        <f t="shared" si="61"/>
        <v>ATENÇÃO</v>
      </c>
      <c r="M332">
        <v>20</v>
      </c>
      <c r="N332">
        <v>95.52</v>
      </c>
      <c r="O332">
        <v>10.561056105610559</v>
      </c>
    </row>
    <row r="333" spans="1:15" x14ac:dyDescent="0.25">
      <c r="A333" s="5">
        <v>46155</v>
      </c>
      <c r="B333" s="6" t="s">
        <v>45</v>
      </c>
      <c r="C333" s="3" t="s">
        <v>43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f t="shared" si="60"/>
        <v>16</v>
      </c>
      <c r="K333" s="3">
        <v>0</v>
      </c>
      <c r="L333" s="3" t="str">
        <f t="shared" si="61"/>
        <v>BOM</v>
      </c>
      <c r="M333">
        <v>0</v>
      </c>
      <c r="N333">
        <v>100</v>
      </c>
      <c r="O333">
        <v>16.959064327485379</v>
      </c>
    </row>
    <row r="334" spans="1:15" x14ac:dyDescent="0.25">
      <c r="A334" s="5">
        <v>46155</v>
      </c>
      <c r="B334" s="6" t="s">
        <v>46</v>
      </c>
      <c r="C334" s="9" t="s">
        <v>18</v>
      </c>
      <c r="D334" s="3">
        <v>25</v>
      </c>
      <c r="E334" s="3">
        <v>24</v>
      </c>
      <c r="G334" s="3">
        <v>1</v>
      </c>
      <c r="I334" s="3">
        <f>E334+G334+H334</f>
        <v>25</v>
      </c>
      <c r="J334" s="3">
        <f t="shared" si="60"/>
        <v>29</v>
      </c>
      <c r="K334" s="3">
        <f>I334-J334</f>
        <v>-4</v>
      </c>
      <c r="L334" s="3" t="str">
        <f t="shared" si="61"/>
        <v>ATENÇÃO</v>
      </c>
      <c r="M334">
        <v>26</v>
      </c>
      <c r="N334">
        <v>100</v>
      </c>
      <c r="O334">
        <v>15.584415584415581</v>
      </c>
    </row>
    <row r="335" spans="1:15" x14ac:dyDescent="0.25">
      <c r="A335" s="5">
        <v>46155</v>
      </c>
      <c r="B335" s="6" t="s">
        <v>47</v>
      </c>
      <c r="C335" s="3" t="s">
        <v>16</v>
      </c>
      <c r="D335" s="3">
        <v>21</v>
      </c>
      <c r="E335" s="3">
        <v>20</v>
      </c>
      <c r="G335" s="3">
        <v>5</v>
      </c>
      <c r="I335" s="3">
        <f>E335+G335+H335</f>
        <v>25</v>
      </c>
      <c r="J335" s="3">
        <f t="shared" si="60"/>
        <v>23</v>
      </c>
      <c r="K335" s="3">
        <f>I335-J335</f>
        <v>2</v>
      </c>
      <c r="L335" s="3" t="str">
        <f t="shared" si="61"/>
        <v>BOM</v>
      </c>
      <c r="M335">
        <v>22</v>
      </c>
      <c r="N335">
        <v>98.61</v>
      </c>
      <c r="O335">
        <v>16.867469879518069</v>
      </c>
    </row>
    <row r="336" spans="1:15" x14ac:dyDescent="0.25">
      <c r="A336" s="5">
        <v>46155</v>
      </c>
      <c r="B336" s="6" t="s">
        <v>48</v>
      </c>
      <c r="C336" s="3" t="s">
        <v>16</v>
      </c>
      <c r="D336" s="3">
        <v>30</v>
      </c>
      <c r="E336" s="3">
        <v>29</v>
      </c>
      <c r="G336" s="3">
        <v>1</v>
      </c>
      <c r="I336" s="3">
        <f>E336+G336+H336</f>
        <v>30</v>
      </c>
      <c r="J336" s="3">
        <f t="shared" si="60"/>
        <v>23</v>
      </c>
      <c r="K336" s="3">
        <f>I336-J336</f>
        <v>7</v>
      </c>
      <c r="L336" s="3" t="str">
        <f t="shared" si="61"/>
        <v>EXCELENTE</v>
      </c>
      <c r="M336">
        <v>26</v>
      </c>
      <c r="N336">
        <v>100</v>
      </c>
      <c r="O336">
        <v>20.820189274447952</v>
      </c>
    </row>
    <row r="337" spans="1:15" x14ac:dyDescent="0.25">
      <c r="A337" s="5">
        <v>46155</v>
      </c>
      <c r="B337" s="6" t="s">
        <v>49</v>
      </c>
      <c r="C337" s="3" t="s">
        <v>18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f t="shared" si="60"/>
        <v>29</v>
      </c>
      <c r="K337" s="3">
        <v>0</v>
      </c>
      <c r="L337" s="3" t="str">
        <f t="shared" si="61"/>
        <v>BOM</v>
      </c>
      <c r="M337">
        <v>0</v>
      </c>
      <c r="N337">
        <v>100</v>
      </c>
      <c r="O337">
        <v>4.3478260869565224</v>
      </c>
    </row>
    <row r="338" spans="1:15" x14ac:dyDescent="0.25">
      <c r="A338" s="5">
        <v>46155</v>
      </c>
      <c r="B338" s="6" t="s">
        <v>50</v>
      </c>
      <c r="C338" s="3" t="s">
        <v>20</v>
      </c>
      <c r="D338" s="3">
        <v>24</v>
      </c>
      <c r="E338" s="3">
        <v>22</v>
      </c>
      <c r="G338" s="3">
        <v>1</v>
      </c>
      <c r="I338" s="3">
        <f t="shared" ref="I338:I355" si="62">E338+G338+H338</f>
        <v>23</v>
      </c>
      <c r="J338" s="3">
        <f t="shared" si="60"/>
        <v>19</v>
      </c>
      <c r="K338" s="3">
        <f t="shared" ref="K338:K355" si="63">I338-J338</f>
        <v>4</v>
      </c>
      <c r="L338" s="3" t="str">
        <f t="shared" si="61"/>
        <v>BOM</v>
      </c>
      <c r="M338">
        <v>22</v>
      </c>
      <c r="N338">
        <v>93.26</v>
      </c>
      <c r="O338">
        <v>19.93957703927493</v>
      </c>
    </row>
    <row r="339" spans="1:15" x14ac:dyDescent="0.25">
      <c r="A339" s="5">
        <v>46155</v>
      </c>
      <c r="B339" s="6" t="s">
        <v>22</v>
      </c>
      <c r="C339" s="3" t="s">
        <v>23</v>
      </c>
      <c r="D339" s="3">
        <v>23</v>
      </c>
      <c r="E339" s="3">
        <v>23</v>
      </c>
      <c r="G339" s="3">
        <v>0</v>
      </c>
      <c r="H339" s="3">
        <v>0</v>
      </c>
      <c r="I339" s="3">
        <f t="shared" si="62"/>
        <v>23</v>
      </c>
      <c r="J339" s="3">
        <f t="shared" si="60"/>
        <v>8</v>
      </c>
      <c r="K339" s="3">
        <f t="shared" si="63"/>
        <v>15</v>
      </c>
      <c r="L339" s="3" t="str">
        <f t="shared" si="61"/>
        <v>EXCELENTE</v>
      </c>
      <c r="M339">
        <v>18</v>
      </c>
      <c r="N339">
        <v>99.11</v>
      </c>
      <c r="O339">
        <v>17.721518987341771</v>
      </c>
    </row>
    <row r="340" spans="1:15" x14ac:dyDescent="0.25">
      <c r="A340" s="5">
        <v>46155</v>
      </c>
      <c r="B340" s="6" t="s">
        <v>26</v>
      </c>
      <c r="C340" s="3" t="s">
        <v>23</v>
      </c>
      <c r="D340" s="3">
        <v>5</v>
      </c>
      <c r="E340" s="3">
        <v>5</v>
      </c>
      <c r="I340" s="3">
        <f t="shared" si="62"/>
        <v>5</v>
      </c>
      <c r="J340" s="3">
        <f t="shared" si="60"/>
        <v>8</v>
      </c>
      <c r="K340" s="3">
        <f t="shared" si="63"/>
        <v>-3</v>
      </c>
      <c r="L340" s="3" t="str">
        <f t="shared" si="61"/>
        <v>ATENÇÃO</v>
      </c>
      <c r="M340">
        <v>5</v>
      </c>
      <c r="N340">
        <v>96.43</v>
      </c>
      <c r="O340">
        <v>20</v>
      </c>
    </row>
    <row r="341" spans="1:15" x14ac:dyDescent="0.25">
      <c r="A341" s="5">
        <v>46155</v>
      </c>
      <c r="B341" s="6" t="s">
        <v>32</v>
      </c>
      <c r="C341" s="3" t="s">
        <v>23</v>
      </c>
      <c r="D341" s="3">
        <v>60</v>
      </c>
      <c r="E341" s="3">
        <v>19</v>
      </c>
      <c r="I341" s="3">
        <f t="shared" si="62"/>
        <v>19</v>
      </c>
      <c r="J341" s="3">
        <f t="shared" si="60"/>
        <v>8</v>
      </c>
      <c r="K341" s="3">
        <f t="shared" si="63"/>
        <v>11</v>
      </c>
      <c r="L341" s="3" t="str">
        <f t="shared" si="61"/>
        <v>EXCELENTE</v>
      </c>
      <c r="M341">
        <v>0</v>
      </c>
      <c r="N341">
        <v>100</v>
      </c>
      <c r="O341">
        <v>29.032258064516132</v>
      </c>
    </row>
    <row r="342" spans="1:15" x14ac:dyDescent="0.25">
      <c r="A342" s="5">
        <v>46155</v>
      </c>
      <c r="B342" s="6" t="s">
        <v>51</v>
      </c>
      <c r="C342" s="3" t="s">
        <v>23</v>
      </c>
      <c r="D342" s="3">
        <v>37</v>
      </c>
      <c r="E342" s="3">
        <v>23</v>
      </c>
      <c r="G342" s="3">
        <v>0</v>
      </c>
      <c r="H342" s="3">
        <v>0</v>
      </c>
      <c r="I342" s="3">
        <f t="shared" si="62"/>
        <v>23</v>
      </c>
      <c r="J342" s="3">
        <f t="shared" si="60"/>
        <v>8</v>
      </c>
      <c r="K342" s="3">
        <f t="shared" si="63"/>
        <v>15</v>
      </c>
      <c r="L342" s="3" t="str">
        <f t="shared" si="61"/>
        <v>EXCELENTE</v>
      </c>
      <c r="M342">
        <v>1</v>
      </c>
      <c r="N342">
        <v>100</v>
      </c>
      <c r="O342">
        <v>11.864406779661021</v>
      </c>
    </row>
    <row r="343" spans="1:15" x14ac:dyDescent="0.25">
      <c r="A343" s="5">
        <v>46155</v>
      </c>
      <c r="B343" s="6" t="s">
        <v>54</v>
      </c>
      <c r="C343" s="3" t="s">
        <v>23</v>
      </c>
      <c r="D343" s="3">
        <v>6</v>
      </c>
      <c r="E343" s="3">
        <v>6</v>
      </c>
      <c r="I343" s="3">
        <f t="shared" si="62"/>
        <v>6</v>
      </c>
      <c r="J343" s="3">
        <f t="shared" si="60"/>
        <v>8</v>
      </c>
      <c r="K343" s="3">
        <f t="shared" si="63"/>
        <v>-2</v>
      </c>
      <c r="L343" s="3" t="str">
        <f t="shared" si="61"/>
        <v>ATENÇÃO</v>
      </c>
      <c r="M343">
        <v>5</v>
      </c>
      <c r="N343">
        <v>100</v>
      </c>
      <c r="O343">
        <v>16.814159292035399</v>
      </c>
    </row>
    <row r="344" spans="1:15" x14ac:dyDescent="0.25">
      <c r="A344" s="5">
        <v>46155</v>
      </c>
      <c r="B344" s="6" t="s">
        <v>59</v>
      </c>
      <c r="C344" s="3" t="s">
        <v>23</v>
      </c>
      <c r="D344" s="3">
        <v>19</v>
      </c>
      <c r="E344" s="3">
        <v>18</v>
      </c>
      <c r="I344" s="3">
        <f t="shared" si="62"/>
        <v>18</v>
      </c>
      <c r="J344" s="3">
        <f t="shared" si="60"/>
        <v>8</v>
      </c>
      <c r="K344" s="3">
        <f t="shared" si="63"/>
        <v>10</v>
      </c>
      <c r="L344" s="3" t="str">
        <f t="shared" si="61"/>
        <v>EXCELENTE</v>
      </c>
      <c r="M344">
        <v>13</v>
      </c>
      <c r="N344">
        <v>98.11</v>
      </c>
      <c r="O344">
        <v>20.408163265306118</v>
      </c>
    </row>
    <row r="345" spans="1:15" x14ac:dyDescent="0.25">
      <c r="A345" s="5">
        <v>46155</v>
      </c>
      <c r="B345" s="6" t="s">
        <v>52</v>
      </c>
      <c r="C345" s="3" t="s">
        <v>18</v>
      </c>
      <c r="D345" s="3">
        <v>0</v>
      </c>
      <c r="E345" s="3">
        <v>0</v>
      </c>
      <c r="G345" s="3">
        <v>0</v>
      </c>
      <c r="H345" s="3">
        <v>41</v>
      </c>
      <c r="I345" s="3">
        <f t="shared" si="62"/>
        <v>41</v>
      </c>
      <c r="J345" s="3">
        <f t="shared" si="60"/>
        <v>29</v>
      </c>
      <c r="K345" s="3">
        <f t="shared" si="63"/>
        <v>12</v>
      </c>
      <c r="L345" s="3" t="str">
        <f t="shared" si="61"/>
        <v>EXCELENTE</v>
      </c>
      <c r="M345">
        <v>28</v>
      </c>
      <c r="N345">
        <v>98.28</v>
      </c>
      <c r="O345">
        <v>9.037900874635568</v>
      </c>
    </row>
    <row r="346" spans="1:15" x14ac:dyDescent="0.25">
      <c r="A346" s="5">
        <v>46155</v>
      </c>
      <c r="B346" s="6" t="s">
        <v>53</v>
      </c>
      <c r="C346" s="3" t="s">
        <v>18</v>
      </c>
      <c r="D346" s="3">
        <v>36</v>
      </c>
      <c r="E346" s="3">
        <v>30</v>
      </c>
      <c r="G346" s="3">
        <v>4</v>
      </c>
      <c r="I346" s="3">
        <f t="shared" si="62"/>
        <v>34</v>
      </c>
      <c r="J346" s="3">
        <f t="shared" si="60"/>
        <v>29</v>
      </c>
      <c r="K346" s="3">
        <f t="shared" si="63"/>
        <v>5</v>
      </c>
      <c r="L346" s="3" t="str">
        <f t="shared" si="61"/>
        <v>BOM</v>
      </c>
      <c r="M346">
        <v>29</v>
      </c>
      <c r="N346">
        <v>97.22</v>
      </c>
      <c r="O346">
        <v>19.095477386934672</v>
      </c>
    </row>
    <row r="347" spans="1:15" x14ac:dyDescent="0.25">
      <c r="A347" s="5">
        <v>46155</v>
      </c>
      <c r="B347" s="6" t="s">
        <v>55</v>
      </c>
      <c r="C347" s="3" t="s">
        <v>43</v>
      </c>
      <c r="D347" s="3">
        <v>27</v>
      </c>
      <c r="E347" s="3">
        <v>24</v>
      </c>
      <c r="G347" s="3">
        <v>1</v>
      </c>
      <c r="I347" s="3">
        <f t="shared" si="62"/>
        <v>25</v>
      </c>
      <c r="J347" s="3">
        <f t="shared" si="60"/>
        <v>16</v>
      </c>
      <c r="K347" s="3">
        <f t="shared" si="63"/>
        <v>9</v>
      </c>
      <c r="L347" s="3" t="str">
        <f t="shared" si="61"/>
        <v>EXCELENTE</v>
      </c>
      <c r="M347">
        <v>18</v>
      </c>
      <c r="N347">
        <v>98</v>
      </c>
      <c r="O347">
        <v>16.43835616438356</v>
      </c>
    </row>
    <row r="348" spans="1:15" x14ac:dyDescent="0.25">
      <c r="A348" s="5">
        <v>46155</v>
      </c>
      <c r="B348" s="6" t="s">
        <v>56</v>
      </c>
      <c r="C348" s="3" t="s">
        <v>16</v>
      </c>
      <c r="D348" s="3">
        <v>24</v>
      </c>
      <c r="E348" s="3">
        <v>22</v>
      </c>
      <c r="I348" s="3">
        <f t="shared" si="62"/>
        <v>22</v>
      </c>
      <c r="J348" s="3">
        <f t="shared" si="60"/>
        <v>23</v>
      </c>
      <c r="K348" s="3">
        <f t="shared" si="63"/>
        <v>-1</v>
      </c>
      <c r="L348" s="3" t="str">
        <f t="shared" si="61"/>
        <v>ATENÇÃO</v>
      </c>
      <c r="M348">
        <v>18</v>
      </c>
      <c r="N348">
        <v>100</v>
      </c>
      <c r="O348">
        <v>16.894977168949769</v>
      </c>
    </row>
    <row r="349" spans="1:15" x14ac:dyDescent="0.25">
      <c r="A349" s="5">
        <v>46155</v>
      </c>
      <c r="B349" s="6" t="s">
        <v>57</v>
      </c>
      <c r="C349" s="3" t="s">
        <v>43</v>
      </c>
      <c r="D349" s="3">
        <v>12</v>
      </c>
      <c r="E349" s="3">
        <v>11</v>
      </c>
      <c r="I349" s="3">
        <f t="shared" si="62"/>
        <v>11</v>
      </c>
      <c r="J349" s="3">
        <f t="shared" si="60"/>
        <v>16</v>
      </c>
      <c r="K349" s="3">
        <f t="shared" si="63"/>
        <v>-5</v>
      </c>
      <c r="L349" s="3" t="str">
        <f t="shared" si="61"/>
        <v>ATENÇÃO</v>
      </c>
      <c r="M349">
        <v>14</v>
      </c>
      <c r="N349">
        <v>100</v>
      </c>
      <c r="O349">
        <v>19.138755980861241</v>
      </c>
    </row>
    <row r="350" spans="1:15" x14ac:dyDescent="0.25">
      <c r="A350" s="5">
        <v>46155</v>
      </c>
      <c r="B350" s="6" t="s">
        <v>58</v>
      </c>
      <c r="C350" s="3" t="s">
        <v>43</v>
      </c>
      <c r="D350" s="3">
        <v>15</v>
      </c>
      <c r="E350" s="3">
        <v>14</v>
      </c>
      <c r="G350" s="3">
        <v>4</v>
      </c>
      <c r="I350" s="3">
        <f t="shared" si="62"/>
        <v>18</v>
      </c>
      <c r="J350" s="3">
        <f t="shared" si="60"/>
        <v>16</v>
      </c>
      <c r="K350" s="3">
        <f t="shared" si="63"/>
        <v>2</v>
      </c>
      <c r="L350" s="3" t="str">
        <f t="shared" si="61"/>
        <v>BOM</v>
      </c>
      <c r="M350">
        <v>18</v>
      </c>
      <c r="N350">
        <v>100</v>
      </c>
      <c r="O350">
        <v>15.02145922746781</v>
      </c>
    </row>
    <row r="351" spans="1:15" x14ac:dyDescent="0.25">
      <c r="A351" s="5">
        <v>46155</v>
      </c>
      <c r="B351" s="6" t="s">
        <v>60</v>
      </c>
      <c r="C351" s="3" t="s">
        <v>20</v>
      </c>
      <c r="D351" s="3">
        <v>33</v>
      </c>
      <c r="E351" s="3">
        <v>31</v>
      </c>
      <c r="G351" s="3">
        <v>7</v>
      </c>
      <c r="I351" s="3">
        <f t="shared" si="62"/>
        <v>38</v>
      </c>
      <c r="J351" s="3">
        <f t="shared" si="60"/>
        <v>19</v>
      </c>
      <c r="K351" s="3">
        <f t="shared" si="63"/>
        <v>19</v>
      </c>
      <c r="L351" s="3" t="str">
        <f t="shared" si="61"/>
        <v>EXCELENTE</v>
      </c>
      <c r="M351">
        <v>31</v>
      </c>
      <c r="N351">
        <v>97.56</v>
      </c>
      <c r="O351">
        <v>19.28783382789317</v>
      </c>
    </row>
    <row r="352" spans="1:15" x14ac:dyDescent="0.25">
      <c r="A352" s="5">
        <v>46155</v>
      </c>
      <c r="B352" s="6" t="s">
        <v>61</v>
      </c>
      <c r="C352" s="3" t="s">
        <v>18</v>
      </c>
      <c r="D352" s="3">
        <v>36</v>
      </c>
      <c r="E352" s="3">
        <v>32</v>
      </c>
      <c r="G352" s="3">
        <v>5</v>
      </c>
      <c r="I352" s="3">
        <f t="shared" si="62"/>
        <v>37</v>
      </c>
      <c r="J352" s="3">
        <f t="shared" si="60"/>
        <v>29</v>
      </c>
      <c r="K352" s="3">
        <f t="shared" si="63"/>
        <v>8</v>
      </c>
      <c r="L352" s="3" t="str">
        <f t="shared" si="61"/>
        <v>EXCELENTE</v>
      </c>
      <c r="M352">
        <v>32</v>
      </c>
      <c r="N352">
        <v>99.29</v>
      </c>
      <c r="O352">
        <v>22.49443207126949</v>
      </c>
    </row>
    <row r="353" spans="1:15" x14ac:dyDescent="0.25">
      <c r="A353" s="5">
        <v>46155</v>
      </c>
      <c r="B353" s="6" t="s">
        <v>62</v>
      </c>
      <c r="C353" s="3" t="s">
        <v>20</v>
      </c>
      <c r="D353" s="3">
        <v>11</v>
      </c>
      <c r="E353" s="3">
        <v>10</v>
      </c>
      <c r="G353" s="3">
        <v>5</v>
      </c>
      <c r="I353" s="3">
        <f t="shared" si="62"/>
        <v>15</v>
      </c>
      <c r="J353" s="3">
        <f t="shared" si="60"/>
        <v>19</v>
      </c>
      <c r="K353" s="3">
        <f t="shared" si="63"/>
        <v>-4</v>
      </c>
      <c r="L353" s="3" t="str">
        <f t="shared" si="61"/>
        <v>ATENÇÃO</v>
      </c>
      <c r="M353">
        <v>16</v>
      </c>
      <c r="N353">
        <v>100</v>
      </c>
      <c r="O353">
        <v>16.97247706422019</v>
      </c>
    </row>
    <row r="354" spans="1:15" x14ac:dyDescent="0.25">
      <c r="A354" s="5">
        <v>46155</v>
      </c>
      <c r="B354" s="6" t="s">
        <v>63</v>
      </c>
      <c r="C354" s="3" t="s">
        <v>18</v>
      </c>
      <c r="D354" s="3">
        <v>25</v>
      </c>
      <c r="E354" s="3">
        <v>23</v>
      </c>
      <c r="I354" s="3">
        <f t="shared" si="62"/>
        <v>23</v>
      </c>
      <c r="J354" s="3">
        <f t="shared" si="60"/>
        <v>29</v>
      </c>
      <c r="K354" s="3">
        <f t="shared" si="63"/>
        <v>-6</v>
      </c>
      <c r="L354" s="3" t="str">
        <f t="shared" si="61"/>
        <v>CRÍTICO</v>
      </c>
      <c r="M354">
        <v>21</v>
      </c>
      <c r="N354">
        <v>97.33</v>
      </c>
      <c r="O354">
        <v>15.805471124620061</v>
      </c>
    </row>
    <row r="355" spans="1:15" x14ac:dyDescent="0.25">
      <c r="A355" s="5">
        <v>46156</v>
      </c>
      <c r="B355" s="6" t="s">
        <v>15</v>
      </c>
      <c r="C355" s="3" t="s">
        <v>16</v>
      </c>
      <c r="D355" s="3">
        <v>33</v>
      </c>
      <c r="E355" s="3">
        <v>28</v>
      </c>
      <c r="G355" s="3">
        <v>6</v>
      </c>
      <c r="H355" s="3">
        <v>0</v>
      </c>
      <c r="I355" s="3">
        <f t="shared" si="62"/>
        <v>34</v>
      </c>
      <c r="J355" s="3">
        <f t="shared" si="60"/>
        <v>23</v>
      </c>
      <c r="K355" s="3">
        <f t="shared" si="63"/>
        <v>11</v>
      </c>
      <c r="L355" s="3" t="str">
        <f t="shared" si="61"/>
        <v>EXCELENTE</v>
      </c>
      <c r="M355" s="3">
        <v>23</v>
      </c>
      <c r="N355" s="3">
        <v>98.94</v>
      </c>
      <c r="O355" s="3">
        <v>19.614147909967851</v>
      </c>
    </row>
    <row r="356" spans="1:15" x14ac:dyDescent="0.25">
      <c r="A356" s="5">
        <v>46156</v>
      </c>
      <c r="B356" s="6" t="s">
        <v>17</v>
      </c>
      <c r="C356" s="3" t="s">
        <v>18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f t="shared" si="60"/>
        <v>28</v>
      </c>
      <c r="K356" s="3">
        <v>0</v>
      </c>
      <c r="L356" s="3" t="str">
        <f t="shared" si="61"/>
        <v>BOM</v>
      </c>
      <c r="M356" s="9">
        <v>0</v>
      </c>
      <c r="N356" s="9">
        <v>100</v>
      </c>
      <c r="O356" s="9">
        <v>0</v>
      </c>
    </row>
    <row r="357" spans="1:15" x14ac:dyDescent="0.25">
      <c r="A357" s="5">
        <v>46156</v>
      </c>
      <c r="B357" s="6" t="s">
        <v>19</v>
      </c>
      <c r="C357" s="3" t="s">
        <v>20</v>
      </c>
      <c r="D357" s="3">
        <v>27</v>
      </c>
      <c r="E357" s="3">
        <v>25</v>
      </c>
      <c r="G357" s="3">
        <v>1</v>
      </c>
      <c r="H357" s="3">
        <v>0</v>
      </c>
      <c r="I357" s="3">
        <f t="shared" ref="I357:I366" si="64">E357+G357+H357</f>
        <v>26</v>
      </c>
      <c r="J357" s="3">
        <f t="shared" si="60"/>
        <v>19</v>
      </c>
      <c r="K357" s="3">
        <f t="shared" ref="K357:K366" si="65">I357-J357</f>
        <v>7</v>
      </c>
      <c r="L357" s="3" t="str">
        <f t="shared" si="61"/>
        <v>EXCELENTE</v>
      </c>
      <c r="M357" s="3">
        <v>23</v>
      </c>
      <c r="N357" s="3">
        <v>95.38</v>
      </c>
      <c r="O357" s="3">
        <v>21.5962441314554</v>
      </c>
    </row>
    <row r="358" spans="1:15" x14ac:dyDescent="0.25">
      <c r="A358" s="5">
        <v>46156</v>
      </c>
      <c r="B358" s="6" t="s">
        <v>21</v>
      </c>
      <c r="C358" s="9" t="s">
        <v>18</v>
      </c>
      <c r="D358" s="3">
        <v>25</v>
      </c>
      <c r="E358" s="3">
        <v>25</v>
      </c>
      <c r="G358" s="3">
        <v>5</v>
      </c>
      <c r="H358" s="3">
        <v>0</v>
      </c>
      <c r="I358" s="3">
        <f t="shared" si="64"/>
        <v>30</v>
      </c>
      <c r="J358" s="3">
        <f t="shared" si="60"/>
        <v>28</v>
      </c>
      <c r="K358" s="3">
        <f t="shared" si="65"/>
        <v>2</v>
      </c>
      <c r="L358" s="3" t="str">
        <f t="shared" si="61"/>
        <v>BOM</v>
      </c>
      <c r="M358">
        <v>27</v>
      </c>
      <c r="N358">
        <v>96.34</v>
      </c>
      <c r="O358">
        <v>17.571884984025559</v>
      </c>
    </row>
    <row r="359" spans="1:15" x14ac:dyDescent="0.25">
      <c r="A359" s="5">
        <v>46156</v>
      </c>
      <c r="B359" s="6" t="s">
        <v>24</v>
      </c>
      <c r="C359" s="3" t="s">
        <v>16</v>
      </c>
      <c r="D359" s="3">
        <v>29</v>
      </c>
      <c r="E359" s="3">
        <v>29</v>
      </c>
      <c r="G359" s="3">
        <v>4</v>
      </c>
      <c r="H359" s="3">
        <v>0</v>
      </c>
      <c r="I359" s="3">
        <f t="shared" si="64"/>
        <v>33</v>
      </c>
      <c r="J359" s="3">
        <f t="shared" si="60"/>
        <v>23</v>
      </c>
      <c r="K359" s="3">
        <f t="shared" si="65"/>
        <v>10</v>
      </c>
      <c r="L359" s="3" t="str">
        <f t="shared" si="61"/>
        <v>EXCELENTE</v>
      </c>
      <c r="M359">
        <v>33</v>
      </c>
      <c r="N359">
        <v>99.13</v>
      </c>
      <c r="O359">
        <v>14.7239263803681</v>
      </c>
    </row>
    <row r="360" spans="1:15" x14ac:dyDescent="0.25">
      <c r="A360" s="5">
        <v>46156</v>
      </c>
      <c r="B360" s="6" t="s">
        <v>25</v>
      </c>
      <c r="C360" s="9" t="s">
        <v>16</v>
      </c>
      <c r="D360" s="3">
        <v>25</v>
      </c>
      <c r="E360" s="3">
        <v>23</v>
      </c>
      <c r="G360" s="3">
        <v>4</v>
      </c>
      <c r="H360" s="3">
        <v>0</v>
      </c>
      <c r="I360" s="3">
        <f t="shared" si="64"/>
        <v>27</v>
      </c>
      <c r="J360" s="3">
        <f t="shared" si="60"/>
        <v>23</v>
      </c>
      <c r="K360" s="3">
        <f t="shared" si="65"/>
        <v>4</v>
      </c>
      <c r="L360" s="3" t="str">
        <f t="shared" si="61"/>
        <v>BOM</v>
      </c>
      <c r="M360">
        <v>25</v>
      </c>
      <c r="N360">
        <v>98.8</v>
      </c>
      <c r="O360">
        <v>16.897506925207761</v>
      </c>
    </row>
    <row r="361" spans="1:15" x14ac:dyDescent="0.25">
      <c r="A361" s="5">
        <v>46156</v>
      </c>
      <c r="B361" s="6" t="s">
        <v>27</v>
      </c>
      <c r="C361" s="3" t="s">
        <v>20</v>
      </c>
      <c r="D361" s="3">
        <v>33</v>
      </c>
      <c r="E361" s="3">
        <v>29</v>
      </c>
      <c r="G361" s="3">
        <v>7</v>
      </c>
      <c r="H361" s="3">
        <v>0</v>
      </c>
      <c r="I361" s="3">
        <f t="shared" si="64"/>
        <v>36</v>
      </c>
      <c r="J361" s="3">
        <f t="shared" si="60"/>
        <v>19</v>
      </c>
      <c r="K361" s="3">
        <f t="shared" si="65"/>
        <v>17</v>
      </c>
      <c r="L361" s="3" t="str">
        <f t="shared" si="61"/>
        <v>EXCELENTE</v>
      </c>
      <c r="M361">
        <v>30</v>
      </c>
      <c r="N361">
        <v>96.88</v>
      </c>
      <c r="O361">
        <v>19.526627218934909</v>
      </c>
    </row>
    <row r="362" spans="1:15" x14ac:dyDescent="0.25">
      <c r="A362" s="5">
        <v>46156</v>
      </c>
      <c r="B362" s="6" t="s">
        <v>28</v>
      </c>
      <c r="C362" s="3" t="s">
        <v>18</v>
      </c>
      <c r="D362" s="3">
        <v>22</v>
      </c>
      <c r="E362" s="3">
        <v>18</v>
      </c>
      <c r="G362" s="3">
        <v>0</v>
      </c>
      <c r="H362" s="3">
        <v>0</v>
      </c>
      <c r="I362" s="3">
        <f t="shared" si="64"/>
        <v>18</v>
      </c>
      <c r="J362" s="3">
        <f t="shared" si="60"/>
        <v>28</v>
      </c>
      <c r="K362" s="3">
        <f t="shared" si="65"/>
        <v>-10</v>
      </c>
      <c r="L362" s="3" t="str">
        <f t="shared" si="61"/>
        <v>CRÍTICO</v>
      </c>
      <c r="M362">
        <v>14</v>
      </c>
      <c r="N362">
        <v>91.85</v>
      </c>
      <c r="O362">
        <v>20.87155963302752</v>
      </c>
    </row>
    <row r="363" spans="1:15" x14ac:dyDescent="0.25">
      <c r="A363" s="5">
        <v>46156</v>
      </c>
      <c r="B363" s="6" t="s">
        <v>29</v>
      </c>
      <c r="C363" s="3" t="s">
        <v>16</v>
      </c>
      <c r="D363" s="3">
        <v>22</v>
      </c>
      <c r="E363" s="3">
        <v>18</v>
      </c>
      <c r="G363" s="3">
        <v>0</v>
      </c>
      <c r="H363" s="3">
        <v>0</v>
      </c>
      <c r="I363" s="3">
        <f t="shared" si="64"/>
        <v>18</v>
      </c>
      <c r="J363" s="3">
        <f t="shared" si="60"/>
        <v>23</v>
      </c>
      <c r="K363" s="3">
        <f t="shared" si="65"/>
        <v>-5</v>
      </c>
      <c r="L363" s="3" t="str">
        <f t="shared" si="61"/>
        <v>ATENÇÃO</v>
      </c>
      <c r="M363">
        <v>17</v>
      </c>
      <c r="N363">
        <v>98.63</v>
      </c>
      <c r="O363">
        <v>18.75</v>
      </c>
    </row>
    <row r="364" spans="1:15" x14ac:dyDescent="0.25">
      <c r="A364" s="5">
        <v>46156</v>
      </c>
      <c r="B364" s="6" t="s">
        <v>30</v>
      </c>
      <c r="C364" s="3" t="s">
        <v>20</v>
      </c>
      <c r="D364" s="3">
        <v>30</v>
      </c>
      <c r="E364" s="3">
        <v>28</v>
      </c>
      <c r="G364" s="3">
        <v>1</v>
      </c>
      <c r="H364" s="3">
        <v>0</v>
      </c>
      <c r="I364" s="3">
        <f t="shared" si="64"/>
        <v>29</v>
      </c>
      <c r="J364" s="3">
        <f t="shared" si="60"/>
        <v>19</v>
      </c>
      <c r="K364" s="3">
        <f t="shared" si="65"/>
        <v>10</v>
      </c>
      <c r="L364" s="3" t="str">
        <f t="shared" si="61"/>
        <v>EXCELENTE</v>
      </c>
      <c r="M364">
        <v>20</v>
      </c>
      <c r="N364">
        <v>100</v>
      </c>
      <c r="O364">
        <v>18.14516129032258</v>
      </c>
    </row>
    <row r="365" spans="1:15" x14ac:dyDescent="0.25">
      <c r="A365" s="5">
        <v>46156</v>
      </c>
      <c r="B365" s="6" t="s">
        <v>31</v>
      </c>
      <c r="C365" s="9" t="s">
        <v>18</v>
      </c>
      <c r="D365" s="3">
        <v>22</v>
      </c>
      <c r="E365" s="3">
        <v>21</v>
      </c>
      <c r="G365" s="3">
        <v>5</v>
      </c>
      <c r="H365" s="3">
        <v>0</v>
      </c>
      <c r="I365" s="3">
        <f t="shared" si="64"/>
        <v>26</v>
      </c>
      <c r="J365" s="3">
        <f t="shared" si="60"/>
        <v>28</v>
      </c>
      <c r="K365" s="3">
        <f t="shared" si="65"/>
        <v>-2</v>
      </c>
      <c r="L365" s="3" t="str">
        <f t="shared" si="61"/>
        <v>ATENÇÃO</v>
      </c>
      <c r="M365">
        <v>26</v>
      </c>
      <c r="N365">
        <v>99.06</v>
      </c>
      <c r="O365">
        <v>22.95719844357977</v>
      </c>
    </row>
    <row r="366" spans="1:15" x14ac:dyDescent="0.25">
      <c r="A366" s="5">
        <v>46156</v>
      </c>
      <c r="B366" s="6" t="s">
        <v>33</v>
      </c>
      <c r="C366" s="3" t="s">
        <v>16</v>
      </c>
      <c r="D366" s="3">
        <v>14</v>
      </c>
      <c r="E366" s="3">
        <v>13</v>
      </c>
      <c r="G366" s="3">
        <v>0</v>
      </c>
      <c r="H366" s="3">
        <v>0</v>
      </c>
      <c r="I366" s="3">
        <f t="shared" si="64"/>
        <v>13</v>
      </c>
      <c r="J366" s="3">
        <f t="shared" si="60"/>
        <v>23</v>
      </c>
      <c r="K366" s="3">
        <f t="shared" si="65"/>
        <v>-10</v>
      </c>
      <c r="L366" s="3" t="str">
        <f t="shared" si="61"/>
        <v>CRÍTICO</v>
      </c>
      <c r="M366">
        <v>18</v>
      </c>
      <c r="N366">
        <v>100</v>
      </c>
      <c r="O366">
        <v>13.8121546961326</v>
      </c>
    </row>
    <row r="367" spans="1:15" x14ac:dyDescent="0.25">
      <c r="A367" s="5">
        <v>46156</v>
      </c>
      <c r="B367" s="6" t="s">
        <v>34</v>
      </c>
      <c r="C367" s="9" t="s">
        <v>18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f t="shared" si="60"/>
        <v>28</v>
      </c>
      <c r="K367" s="3">
        <v>0</v>
      </c>
      <c r="L367" s="3" t="str">
        <f t="shared" si="61"/>
        <v>BOM</v>
      </c>
      <c r="M367">
        <v>0</v>
      </c>
      <c r="N367">
        <v>100</v>
      </c>
      <c r="O367">
        <v>9.5238095238095237</v>
      </c>
    </row>
    <row r="368" spans="1:15" x14ac:dyDescent="0.25">
      <c r="A368" s="5">
        <v>46156</v>
      </c>
      <c r="B368" s="6" t="s">
        <v>35</v>
      </c>
      <c r="C368" s="3" t="s">
        <v>16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f t="shared" si="60"/>
        <v>23</v>
      </c>
      <c r="K368" s="3">
        <v>0</v>
      </c>
      <c r="L368" s="3" t="str">
        <f t="shared" si="61"/>
        <v>BOM</v>
      </c>
      <c r="M368">
        <v>0</v>
      </c>
      <c r="N368">
        <v>100</v>
      </c>
      <c r="O368">
        <v>17.241379310344829</v>
      </c>
    </row>
    <row r="369" spans="1:15" x14ac:dyDescent="0.25">
      <c r="A369" s="5">
        <v>46156</v>
      </c>
      <c r="B369" s="6" t="s">
        <v>36</v>
      </c>
      <c r="C369" s="3" t="s">
        <v>20</v>
      </c>
      <c r="D369" s="3">
        <v>19</v>
      </c>
      <c r="E369" s="3">
        <v>18</v>
      </c>
      <c r="G369" s="3">
        <v>0</v>
      </c>
      <c r="H369" s="3">
        <v>5</v>
      </c>
      <c r="I369" s="3">
        <f>E369+G369+H369</f>
        <v>23</v>
      </c>
      <c r="J369" s="3">
        <f t="shared" si="60"/>
        <v>19</v>
      </c>
      <c r="K369" s="3">
        <f>I369-J369</f>
        <v>4</v>
      </c>
      <c r="L369" s="3" t="str">
        <f t="shared" si="61"/>
        <v>BOM</v>
      </c>
      <c r="M369">
        <v>23</v>
      </c>
      <c r="N369">
        <v>98.8</v>
      </c>
      <c r="O369">
        <v>15.41353383458646</v>
      </c>
    </row>
    <row r="370" spans="1:15" x14ac:dyDescent="0.25">
      <c r="A370" s="5">
        <v>46156</v>
      </c>
      <c r="B370" s="6" t="s">
        <v>37</v>
      </c>
      <c r="C370" s="9" t="s">
        <v>16</v>
      </c>
      <c r="D370" s="3">
        <v>17</v>
      </c>
      <c r="E370" s="3">
        <v>17</v>
      </c>
      <c r="G370" s="3">
        <v>0</v>
      </c>
      <c r="H370" s="3">
        <v>0</v>
      </c>
      <c r="I370" s="3">
        <f>E370+G370+H370</f>
        <v>17</v>
      </c>
      <c r="J370" s="3">
        <f t="shared" si="60"/>
        <v>23</v>
      </c>
      <c r="K370" s="3">
        <f>I370-J370</f>
        <v>-6</v>
      </c>
      <c r="L370" s="3" t="str">
        <f t="shared" si="61"/>
        <v>CRÍTICO</v>
      </c>
      <c r="M370">
        <v>13</v>
      </c>
      <c r="N370">
        <v>98.63</v>
      </c>
      <c r="O370">
        <v>15.75757575757576</v>
      </c>
    </row>
    <row r="371" spans="1:15" x14ac:dyDescent="0.25">
      <c r="A371" s="5">
        <v>46156</v>
      </c>
      <c r="B371" s="6" t="s">
        <v>38</v>
      </c>
      <c r="C371" s="3" t="s">
        <v>18</v>
      </c>
      <c r="D371" s="3">
        <v>35</v>
      </c>
      <c r="E371" s="3">
        <v>34</v>
      </c>
      <c r="G371" s="3">
        <v>6</v>
      </c>
      <c r="H371" s="3">
        <v>0</v>
      </c>
      <c r="I371" s="3">
        <f>E371+G371+H371</f>
        <v>40</v>
      </c>
      <c r="J371" s="3">
        <f t="shared" si="60"/>
        <v>28</v>
      </c>
      <c r="K371" s="3">
        <f>I371-J371</f>
        <v>12</v>
      </c>
      <c r="L371" s="3" t="str">
        <f t="shared" si="61"/>
        <v>EXCELENTE</v>
      </c>
      <c r="M371">
        <v>38</v>
      </c>
      <c r="N371">
        <v>98.64</v>
      </c>
      <c r="O371">
        <v>16.638370118845501</v>
      </c>
    </row>
    <row r="372" spans="1:15" x14ac:dyDescent="0.25">
      <c r="A372" s="5">
        <v>46156</v>
      </c>
      <c r="B372" s="6" t="s">
        <v>39</v>
      </c>
      <c r="C372" s="3" t="s">
        <v>18</v>
      </c>
      <c r="D372" s="3">
        <v>42</v>
      </c>
      <c r="E372" s="3">
        <v>40</v>
      </c>
      <c r="G372" s="3">
        <v>8</v>
      </c>
      <c r="H372" s="3">
        <v>0</v>
      </c>
      <c r="I372" s="3">
        <f>E372+G372+H372</f>
        <v>48</v>
      </c>
      <c r="J372" s="3">
        <f t="shared" si="60"/>
        <v>28</v>
      </c>
      <c r="K372" s="3">
        <f>I372-J372</f>
        <v>20</v>
      </c>
      <c r="L372" s="3" t="str">
        <f t="shared" si="61"/>
        <v>EXCELENTE</v>
      </c>
      <c r="M372">
        <v>44</v>
      </c>
      <c r="N372">
        <v>95.4</v>
      </c>
      <c r="O372">
        <v>20.533333333333331</v>
      </c>
    </row>
    <row r="373" spans="1:15" x14ac:dyDescent="0.25">
      <c r="A373" s="5">
        <v>46156</v>
      </c>
      <c r="B373" s="6" t="s">
        <v>40</v>
      </c>
      <c r="C373" s="3" t="s">
        <v>16</v>
      </c>
      <c r="D373" s="3">
        <v>9</v>
      </c>
      <c r="E373" s="3">
        <v>9</v>
      </c>
      <c r="G373" s="3">
        <v>1</v>
      </c>
      <c r="H373" s="3">
        <v>0</v>
      </c>
      <c r="I373" s="3">
        <f>E373+G373+H373</f>
        <v>10</v>
      </c>
      <c r="J373" s="3">
        <f t="shared" si="60"/>
        <v>23</v>
      </c>
      <c r="K373" s="3">
        <f>I373-J373</f>
        <v>-13</v>
      </c>
      <c r="L373" s="3" t="str">
        <f t="shared" si="61"/>
        <v>CRÍTICO</v>
      </c>
      <c r="M373">
        <v>9</v>
      </c>
      <c r="N373">
        <v>98.61</v>
      </c>
      <c r="O373">
        <v>16.97530864197531</v>
      </c>
    </row>
    <row r="374" spans="1:15" x14ac:dyDescent="0.25">
      <c r="A374" s="5">
        <v>46156</v>
      </c>
      <c r="B374" s="6" t="s">
        <v>41</v>
      </c>
      <c r="C374" s="3" t="s">
        <v>18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f t="shared" si="60"/>
        <v>28</v>
      </c>
      <c r="K374" s="3">
        <v>0</v>
      </c>
      <c r="L374" s="3" t="str">
        <f t="shared" si="61"/>
        <v>BOM</v>
      </c>
      <c r="M374">
        <v>0</v>
      </c>
      <c r="N374">
        <v>0</v>
      </c>
      <c r="O374">
        <v>0</v>
      </c>
    </row>
    <row r="375" spans="1:15" x14ac:dyDescent="0.25">
      <c r="A375" s="5">
        <v>46156</v>
      </c>
      <c r="B375" s="6" t="s">
        <v>42</v>
      </c>
      <c r="C375" s="3" t="s">
        <v>43</v>
      </c>
      <c r="D375" s="3">
        <v>23</v>
      </c>
      <c r="E375" s="3">
        <v>23</v>
      </c>
      <c r="G375" s="3">
        <v>0</v>
      </c>
      <c r="H375" s="3">
        <v>0</v>
      </c>
      <c r="I375" s="3">
        <f t="shared" ref="I375:I380" si="66">E375+G375+H375</f>
        <v>23</v>
      </c>
      <c r="J375" s="3">
        <f t="shared" si="60"/>
        <v>16</v>
      </c>
      <c r="K375" s="3">
        <f t="shared" ref="K375:K380" si="67">I375-J375</f>
        <v>7</v>
      </c>
      <c r="L375" s="3" t="str">
        <f t="shared" si="61"/>
        <v>EXCELENTE</v>
      </c>
      <c r="M375">
        <v>22</v>
      </c>
      <c r="N375">
        <v>97.01</v>
      </c>
      <c r="O375">
        <v>13.961038961038961</v>
      </c>
    </row>
    <row r="376" spans="1:15" x14ac:dyDescent="0.25">
      <c r="A376" s="5">
        <v>46156</v>
      </c>
      <c r="B376" s="6" t="s">
        <v>44</v>
      </c>
      <c r="C376" s="9" t="s">
        <v>18</v>
      </c>
      <c r="D376" s="3">
        <v>30</v>
      </c>
      <c r="E376" s="3">
        <v>29</v>
      </c>
      <c r="G376" s="3">
        <v>0</v>
      </c>
      <c r="H376" s="3">
        <v>0</v>
      </c>
      <c r="I376" s="3">
        <f t="shared" si="66"/>
        <v>29</v>
      </c>
      <c r="J376" s="3">
        <f t="shared" si="60"/>
        <v>28</v>
      </c>
      <c r="K376" s="3">
        <f t="shared" si="67"/>
        <v>1</v>
      </c>
      <c r="L376" s="3" t="str">
        <f t="shared" si="61"/>
        <v>BOM</v>
      </c>
      <c r="M376">
        <v>28</v>
      </c>
      <c r="N376">
        <v>95.52</v>
      </c>
      <c r="O376">
        <v>10.561056105610559</v>
      </c>
    </row>
    <row r="377" spans="1:15" x14ac:dyDescent="0.25">
      <c r="A377" s="5">
        <v>46156</v>
      </c>
      <c r="B377" s="6" t="s">
        <v>45</v>
      </c>
      <c r="C377" s="3" t="s">
        <v>43</v>
      </c>
      <c r="D377" s="3">
        <v>9</v>
      </c>
      <c r="E377" s="3">
        <v>7</v>
      </c>
      <c r="G377" s="3">
        <v>8</v>
      </c>
      <c r="H377" s="3">
        <v>0</v>
      </c>
      <c r="I377" s="3">
        <f t="shared" si="66"/>
        <v>15</v>
      </c>
      <c r="J377" s="3">
        <f t="shared" si="60"/>
        <v>16</v>
      </c>
      <c r="K377" s="3">
        <f t="shared" si="67"/>
        <v>-1</v>
      </c>
      <c r="L377" s="3" t="str">
        <f t="shared" si="61"/>
        <v>ATENÇÃO</v>
      </c>
      <c r="M377">
        <v>9</v>
      </c>
      <c r="N377">
        <v>100</v>
      </c>
      <c r="O377">
        <v>16.959064327485379</v>
      </c>
    </row>
    <row r="378" spans="1:15" x14ac:dyDescent="0.25">
      <c r="A378" s="5">
        <v>46156</v>
      </c>
      <c r="B378" s="6" t="s">
        <v>46</v>
      </c>
      <c r="C378" s="9" t="s">
        <v>18</v>
      </c>
      <c r="D378" s="3">
        <v>30</v>
      </c>
      <c r="E378" s="3">
        <v>27</v>
      </c>
      <c r="G378" s="3">
        <v>0</v>
      </c>
      <c r="H378" s="3">
        <v>0</v>
      </c>
      <c r="I378" s="3">
        <f t="shared" si="66"/>
        <v>27</v>
      </c>
      <c r="J378" s="3">
        <f t="shared" si="60"/>
        <v>28</v>
      </c>
      <c r="K378" s="3">
        <f t="shared" si="67"/>
        <v>-1</v>
      </c>
      <c r="L378" s="3" t="str">
        <f t="shared" si="61"/>
        <v>ATENÇÃO</v>
      </c>
      <c r="M378">
        <v>23</v>
      </c>
      <c r="N378">
        <v>100</v>
      </c>
      <c r="O378">
        <v>15.584415584415581</v>
      </c>
    </row>
    <row r="379" spans="1:15" x14ac:dyDescent="0.25">
      <c r="A379" s="5">
        <v>46156</v>
      </c>
      <c r="B379" s="6" t="s">
        <v>47</v>
      </c>
      <c r="C379" s="3" t="s">
        <v>16</v>
      </c>
      <c r="D379" s="3">
        <v>26</v>
      </c>
      <c r="E379" s="3">
        <v>24</v>
      </c>
      <c r="G379" s="3">
        <v>0</v>
      </c>
      <c r="H379" s="3">
        <v>0</v>
      </c>
      <c r="I379" s="3">
        <f t="shared" si="66"/>
        <v>24</v>
      </c>
      <c r="J379" s="3">
        <f t="shared" si="60"/>
        <v>23</v>
      </c>
      <c r="K379" s="3">
        <f t="shared" si="67"/>
        <v>1</v>
      </c>
      <c r="L379" s="3" t="str">
        <f t="shared" si="61"/>
        <v>BOM</v>
      </c>
      <c r="M379">
        <v>12</v>
      </c>
      <c r="N379">
        <v>98.61</v>
      </c>
      <c r="O379">
        <v>16.867469879518069</v>
      </c>
    </row>
    <row r="380" spans="1:15" x14ac:dyDescent="0.25">
      <c r="A380" s="5">
        <v>46156</v>
      </c>
      <c r="B380" s="6" t="s">
        <v>48</v>
      </c>
      <c r="C380" s="3" t="s">
        <v>16</v>
      </c>
      <c r="D380" s="3">
        <v>22</v>
      </c>
      <c r="E380" s="3">
        <v>18</v>
      </c>
      <c r="G380" s="3">
        <v>0</v>
      </c>
      <c r="H380" s="3">
        <v>0</v>
      </c>
      <c r="I380" s="3">
        <f t="shared" si="66"/>
        <v>18</v>
      </c>
      <c r="J380" s="3">
        <f t="shared" si="60"/>
        <v>23</v>
      </c>
      <c r="K380" s="3">
        <f t="shared" si="67"/>
        <v>-5</v>
      </c>
      <c r="L380" s="3" t="str">
        <f t="shared" si="61"/>
        <v>ATENÇÃO</v>
      </c>
      <c r="M380">
        <v>16</v>
      </c>
      <c r="N380">
        <v>100</v>
      </c>
      <c r="O380">
        <v>20.820189274447952</v>
      </c>
    </row>
    <row r="381" spans="1:15" x14ac:dyDescent="0.25">
      <c r="A381" s="5">
        <v>46156</v>
      </c>
      <c r="B381" s="6" t="s">
        <v>49</v>
      </c>
      <c r="C381" s="3" t="s">
        <v>18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f t="shared" si="60"/>
        <v>28</v>
      </c>
      <c r="K381" s="3">
        <v>0</v>
      </c>
      <c r="L381" s="3" t="str">
        <f t="shared" si="61"/>
        <v>BOM</v>
      </c>
      <c r="M381">
        <v>0</v>
      </c>
      <c r="N381">
        <v>100</v>
      </c>
      <c r="O381">
        <v>4.3478260869565224</v>
      </c>
    </row>
    <row r="382" spans="1:15" x14ac:dyDescent="0.25">
      <c r="A382" s="5">
        <v>46156</v>
      </c>
      <c r="B382" s="6" t="s">
        <v>50</v>
      </c>
      <c r="C382" s="3" t="s">
        <v>20</v>
      </c>
      <c r="D382" s="3">
        <v>11</v>
      </c>
      <c r="E382" s="3">
        <v>11</v>
      </c>
      <c r="G382" s="3">
        <v>4</v>
      </c>
      <c r="H382" s="3">
        <v>0</v>
      </c>
      <c r="I382" s="3">
        <f t="shared" ref="I382:I399" si="68">E382+G382+H382</f>
        <v>15</v>
      </c>
      <c r="J382" s="3">
        <f t="shared" si="60"/>
        <v>19</v>
      </c>
      <c r="K382" s="3">
        <f t="shared" ref="K382:K399" si="69">I382-J382</f>
        <v>-4</v>
      </c>
      <c r="L382" s="3" t="str">
        <f t="shared" si="61"/>
        <v>ATENÇÃO</v>
      </c>
      <c r="M382">
        <v>16</v>
      </c>
      <c r="N382">
        <v>93.26</v>
      </c>
      <c r="O382">
        <v>19.93957703927493</v>
      </c>
    </row>
    <row r="383" spans="1:15" x14ac:dyDescent="0.25">
      <c r="A383" s="5">
        <v>46156</v>
      </c>
      <c r="B383" s="6" t="s">
        <v>22</v>
      </c>
      <c r="C383" s="3" t="s">
        <v>23</v>
      </c>
      <c r="D383" s="3">
        <v>31</v>
      </c>
      <c r="E383" s="3">
        <v>29</v>
      </c>
      <c r="G383" s="3">
        <v>0</v>
      </c>
      <c r="H383" s="3">
        <v>0</v>
      </c>
      <c r="I383" s="3">
        <f t="shared" si="68"/>
        <v>29</v>
      </c>
      <c r="J383" s="3">
        <f t="shared" si="60"/>
        <v>8</v>
      </c>
      <c r="K383" s="3">
        <f t="shared" si="69"/>
        <v>21</v>
      </c>
      <c r="L383" s="3" t="str">
        <f t="shared" si="61"/>
        <v>EXCELENTE</v>
      </c>
      <c r="M383">
        <v>26</v>
      </c>
      <c r="N383">
        <v>99.11</v>
      </c>
      <c r="O383">
        <v>17.721518987341771</v>
      </c>
    </row>
    <row r="384" spans="1:15" x14ac:dyDescent="0.25">
      <c r="A384" s="5">
        <v>46156</v>
      </c>
      <c r="B384" s="6" t="s">
        <v>52</v>
      </c>
      <c r="C384" s="3" t="s">
        <v>18</v>
      </c>
      <c r="D384" s="3">
        <v>0</v>
      </c>
      <c r="E384" s="3">
        <v>0</v>
      </c>
      <c r="G384" s="3">
        <v>0</v>
      </c>
      <c r="H384" s="3">
        <v>52</v>
      </c>
      <c r="I384" s="3">
        <f t="shared" si="68"/>
        <v>52</v>
      </c>
      <c r="J384" s="3">
        <f t="shared" si="60"/>
        <v>28</v>
      </c>
      <c r="K384" s="3">
        <f t="shared" si="69"/>
        <v>24</v>
      </c>
      <c r="L384" s="3" t="str">
        <f t="shared" si="61"/>
        <v>EXCELENTE</v>
      </c>
      <c r="M384">
        <v>30</v>
      </c>
      <c r="N384">
        <v>98.28</v>
      </c>
      <c r="O384">
        <v>9.037900874635568</v>
      </c>
    </row>
    <row r="385" spans="1:15" x14ac:dyDescent="0.25">
      <c r="A385" s="5">
        <v>46156</v>
      </c>
      <c r="B385" s="6" t="s">
        <v>53</v>
      </c>
      <c r="C385" s="3" t="s">
        <v>18</v>
      </c>
      <c r="D385" s="3">
        <v>39</v>
      </c>
      <c r="E385" s="3">
        <v>32</v>
      </c>
      <c r="G385" s="3">
        <v>3</v>
      </c>
      <c r="H385" s="3">
        <v>0</v>
      </c>
      <c r="I385" s="3">
        <f t="shared" si="68"/>
        <v>35</v>
      </c>
      <c r="J385" s="3">
        <f t="shared" si="60"/>
        <v>28</v>
      </c>
      <c r="K385" s="3">
        <f t="shared" si="69"/>
        <v>7</v>
      </c>
      <c r="L385" s="3" t="str">
        <f t="shared" si="61"/>
        <v>EXCELENTE</v>
      </c>
      <c r="M385">
        <v>29</v>
      </c>
      <c r="N385">
        <v>97.22</v>
      </c>
      <c r="O385">
        <v>19.095477386934672</v>
      </c>
    </row>
    <row r="386" spans="1:15" x14ac:dyDescent="0.25">
      <c r="A386" s="5">
        <v>46156</v>
      </c>
      <c r="B386" s="6" t="s">
        <v>26</v>
      </c>
      <c r="C386" s="3" t="s">
        <v>23</v>
      </c>
      <c r="D386" s="3">
        <v>9</v>
      </c>
      <c r="E386" s="3">
        <v>9</v>
      </c>
      <c r="G386" s="3">
        <v>0</v>
      </c>
      <c r="H386" s="3">
        <v>0</v>
      </c>
      <c r="I386" s="3">
        <f t="shared" si="68"/>
        <v>9</v>
      </c>
      <c r="J386" s="3">
        <f t="shared" ref="J386:J449" si="70"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>8</v>
      </c>
      <c r="K386" s="3">
        <f t="shared" si="69"/>
        <v>1</v>
      </c>
      <c r="L386" s="3" t="str">
        <f t="shared" ref="L386:L449" si="71">IF(K386&lt;-5,"CRÍTICO",IF(K386&lt;0,"ATENÇÃO",IF(K386&lt;=5,"BOM","EXCELENTE")))</f>
        <v>BOM</v>
      </c>
      <c r="M386">
        <v>6</v>
      </c>
      <c r="N386">
        <v>96.43</v>
      </c>
      <c r="O386">
        <v>20</v>
      </c>
    </row>
    <row r="387" spans="1:15" x14ac:dyDescent="0.25">
      <c r="A387" s="5">
        <v>46156</v>
      </c>
      <c r="B387" s="6" t="s">
        <v>32</v>
      </c>
      <c r="C387" s="3" t="s">
        <v>23</v>
      </c>
      <c r="D387" s="3">
        <v>21</v>
      </c>
      <c r="E387" s="3">
        <v>10</v>
      </c>
      <c r="G387" s="3">
        <v>5</v>
      </c>
      <c r="H387" s="3">
        <v>0</v>
      </c>
      <c r="I387" s="3">
        <f t="shared" si="68"/>
        <v>15</v>
      </c>
      <c r="J387" s="3">
        <f t="shared" si="70"/>
        <v>8</v>
      </c>
      <c r="K387" s="3">
        <f t="shared" si="69"/>
        <v>7</v>
      </c>
      <c r="L387" s="3" t="str">
        <f t="shared" si="71"/>
        <v>EXCELENTE</v>
      </c>
      <c r="M387">
        <v>0</v>
      </c>
      <c r="N387">
        <v>100</v>
      </c>
      <c r="O387">
        <v>29.032258064516132</v>
      </c>
    </row>
    <row r="388" spans="1:15" x14ac:dyDescent="0.25">
      <c r="A388" s="5">
        <v>46156</v>
      </c>
      <c r="B388" s="6" t="s">
        <v>51</v>
      </c>
      <c r="C388" s="3" t="s">
        <v>23</v>
      </c>
      <c r="D388" s="3">
        <v>63</v>
      </c>
      <c r="E388" s="3">
        <v>43</v>
      </c>
      <c r="G388" s="3">
        <v>0</v>
      </c>
      <c r="H388" s="3">
        <v>0</v>
      </c>
      <c r="I388" s="3">
        <f t="shared" si="68"/>
        <v>43</v>
      </c>
      <c r="J388" s="3">
        <f t="shared" si="70"/>
        <v>8</v>
      </c>
      <c r="K388" s="3">
        <f t="shared" si="69"/>
        <v>35</v>
      </c>
      <c r="L388" s="3" t="str">
        <f t="shared" si="71"/>
        <v>EXCELENTE</v>
      </c>
      <c r="M388">
        <v>2</v>
      </c>
      <c r="N388">
        <v>100</v>
      </c>
      <c r="O388">
        <v>11.864406779661021</v>
      </c>
    </row>
    <row r="389" spans="1:15" x14ac:dyDescent="0.25">
      <c r="A389" s="5">
        <v>46156</v>
      </c>
      <c r="B389" s="6" t="s">
        <v>54</v>
      </c>
      <c r="C389" s="3" t="s">
        <v>23</v>
      </c>
      <c r="D389" s="3">
        <v>4</v>
      </c>
      <c r="E389" s="3">
        <v>4</v>
      </c>
      <c r="G389" s="3">
        <v>0</v>
      </c>
      <c r="H389" s="3">
        <v>0</v>
      </c>
      <c r="I389" s="3">
        <f t="shared" si="68"/>
        <v>4</v>
      </c>
      <c r="J389" s="3">
        <f t="shared" si="70"/>
        <v>8</v>
      </c>
      <c r="K389" s="3">
        <f t="shared" si="69"/>
        <v>-4</v>
      </c>
      <c r="L389" s="3" t="str">
        <f t="shared" si="71"/>
        <v>ATENÇÃO</v>
      </c>
      <c r="M389">
        <v>3</v>
      </c>
      <c r="N389">
        <v>100</v>
      </c>
      <c r="O389">
        <v>16.814159292035399</v>
      </c>
    </row>
    <row r="390" spans="1:15" x14ac:dyDescent="0.25">
      <c r="A390" s="5">
        <v>46156</v>
      </c>
      <c r="B390" s="6" t="s">
        <v>59</v>
      </c>
      <c r="C390" s="3" t="s">
        <v>23</v>
      </c>
      <c r="D390" s="3">
        <v>19</v>
      </c>
      <c r="E390" s="3">
        <v>18</v>
      </c>
      <c r="G390" s="3">
        <v>0</v>
      </c>
      <c r="H390" s="3">
        <v>0</v>
      </c>
      <c r="I390" s="3">
        <f t="shared" si="68"/>
        <v>18</v>
      </c>
      <c r="J390" s="3">
        <f t="shared" si="70"/>
        <v>8</v>
      </c>
      <c r="K390" s="3">
        <f t="shared" si="69"/>
        <v>10</v>
      </c>
      <c r="L390" s="3" t="str">
        <f t="shared" si="71"/>
        <v>EXCELENTE</v>
      </c>
      <c r="M390">
        <v>15</v>
      </c>
      <c r="N390">
        <v>98.11</v>
      </c>
      <c r="O390">
        <v>20.408163265306118</v>
      </c>
    </row>
    <row r="391" spans="1:15" x14ac:dyDescent="0.25">
      <c r="A391" s="5">
        <v>46156</v>
      </c>
      <c r="B391" s="6" t="s">
        <v>55</v>
      </c>
      <c r="C391" s="3" t="s">
        <v>43</v>
      </c>
      <c r="D391" s="3">
        <v>26</v>
      </c>
      <c r="E391" s="3">
        <v>19</v>
      </c>
      <c r="G391" s="3">
        <v>4</v>
      </c>
      <c r="H391" s="3">
        <v>0</v>
      </c>
      <c r="I391" s="3">
        <f t="shared" si="68"/>
        <v>23</v>
      </c>
      <c r="J391" s="3">
        <f t="shared" si="70"/>
        <v>16</v>
      </c>
      <c r="K391" s="3">
        <f t="shared" si="69"/>
        <v>7</v>
      </c>
      <c r="L391" s="3" t="str">
        <f t="shared" si="71"/>
        <v>EXCELENTE</v>
      </c>
      <c r="M391">
        <v>15</v>
      </c>
      <c r="N391">
        <v>98</v>
      </c>
      <c r="O391">
        <v>16.43835616438356</v>
      </c>
    </row>
    <row r="392" spans="1:15" x14ac:dyDescent="0.25">
      <c r="A392" s="5">
        <v>46156</v>
      </c>
      <c r="B392" s="6" t="s">
        <v>56</v>
      </c>
      <c r="C392" s="3" t="s">
        <v>16</v>
      </c>
      <c r="D392" s="3">
        <v>29</v>
      </c>
      <c r="E392" s="3">
        <v>26</v>
      </c>
      <c r="G392" s="3">
        <v>0</v>
      </c>
      <c r="H392" s="3">
        <v>0</v>
      </c>
      <c r="I392" s="3">
        <f t="shared" si="68"/>
        <v>26</v>
      </c>
      <c r="J392" s="3">
        <f t="shared" si="70"/>
        <v>23</v>
      </c>
      <c r="K392" s="3">
        <f t="shared" si="69"/>
        <v>3</v>
      </c>
      <c r="L392" s="3" t="str">
        <f t="shared" si="71"/>
        <v>BOM</v>
      </c>
      <c r="M392">
        <v>23</v>
      </c>
      <c r="N392">
        <v>100</v>
      </c>
      <c r="O392">
        <v>16.894977168949769</v>
      </c>
    </row>
    <row r="393" spans="1:15" x14ac:dyDescent="0.25">
      <c r="A393" s="5">
        <v>46156</v>
      </c>
      <c r="B393" s="6" t="s">
        <v>57</v>
      </c>
      <c r="C393" s="3" t="s">
        <v>43</v>
      </c>
      <c r="D393" s="3">
        <v>15</v>
      </c>
      <c r="E393" s="3">
        <v>15</v>
      </c>
      <c r="G393" s="3">
        <v>0</v>
      </c>
      <c r="H393" s="3">
        <v>0</v>
      </c>
      <c r="I393" s="3">
        <f t="shared" si="68"/>
        <v>15</v>
      </c>
      <c r="J393" s="3">
        <f t="shared" si="70"/>
        <v>16</v>
      </c>
      <c r="K393" s="3">
        <f t="shared" si="69"/>
        <v>-1</v>
      </c>
      <c r="L393" s="3" t="str">
        <f t="shared" si="71"/>
        <v>ATENÇÃO</v>
      </c>
      <c r="M393">
        <v>13</v>
      </c>
      <c r="N393">
        <v>100</v>
      </c>
      <c r="O393">
        <v>19.138755980861241</v>
      </c>
    </row>
    <row r="394" spans="1:15" x14ac:dyDescent="0.25">
      <c r="A394" s="5">
        <v>46156</v>
      </c>
      <c r="B394" s="6" t="s">
        <v>58</v>
      </c>
      <c r="C394" s="3" t="s">
        <v>43</v>
      </c>
      <c r="D394" s="3">
        <v>6</v>
      </c>
      <c r="E394" s="3">
        <v>6</v>
      </c>
      <c r="G394" s="3">
        <v>0</v>
      </c>
      <c r="H394" s="3">
        <v>0</v>
      </c>
      <c r="I394" s="3">
        <f t="shared" si="68"/>
        <v>6</v>
      </c>
      <c r="J394" s="3">
        <f t="shared" si="70"/>
        <v>16</v>
      </c>
      <c r="K394" s="3">
        <f t="shared" si="69"/>
        <v>-10</v>
      </c>
      <c r="L394" s="3" t="str">
        <f t="shared" si="71"/>
        <v>CRÍTICO</v>
      </c>
      <c r="M394">
        <v>5</v>
      </c>
      <c r="N394">
        <v>100</v>
      </c>
      <c r="O394">
        <v>15.02145922746781</v>
      </c>
    </row>
    <row r="395" spans="1:15" x14ac:dyDescent="0.25">
      <c r="A395" s="5">
        <v>46156</v>
      </c>
      <c r="B395" s="6" t="s">
        <v>60</v>
      </c>
      <c r="C395" s="3" t="s">
        <v>20</v>
      </c>
      <c r="D395" s="3">
        <v>26</v>
      </c>
      <c r="E395" s="3">
        <v>25</v>
      </c>
      <c r="G395" s="3">
        <v>1</v>
      </c>
      <c r="H395" s="3">
        <v>0</v>
      </c>
      <c r="I395" s="3">
        <f t="shared" si="68"/>
        <v>26</v>
      </c>
      <c r="J395" s="3">
        <f t="shared" si="70"/>
        <v>19</v>
      </c>
      <c r="K395" s="3">
        <f t="shared" si="69"/>
        <v>7</v>
      </c>
      <c r="L395" s="3" t="str">
        <f t="shared" si="71"/>
        <v>EXCELENTE</v>
      </c>
      <c r="M395">
        <v>24</v>
      </c>
      <c r="N395">
        <v>97.56</v>
      </c>
      <c r="O395">
        <v>19.28783382789317</v>
      </c>
    </row>
    <row r="396" spans="1:15" x14ac:dyDescent="0.25">
      <c r="A396" s="5">
        <v>46156</v>
      </c>
      <c r="B396" s="6" t="s">
        <v>61</v>
      </c>
      <c r="C396" s="3" t="s">
        <v>18</v>
      </c>
      <c r="D396" s="3">
        <v>38</v>
      </c>
      <c r="E396" s="3">
        <v>37</v>
      </c>
      <c r="G396" s="3">
        <v>0</v>
      </c>
      <c r="H396" s="3">
        <v>0</v>
      </c>
      <c r="I396" s="3">
        <f t="shared" si="68"/>
        <v>37</v>
      </c>
      <c r="J396" s="3">
        <f t="shared" si="70"/>
        <v>28</v>
      </c>
      <c r="K396" s="3">
        <f t="shared" si="69"/>
        <v>9</v>
      </c>
      <c r="L396" s="3" t="str">
        <f t="shared" si="71"/>
        <v>EXCELENTE</v>
      </c>
      <c r="M396">
        <v>40</v>
      </c>
      <c r="N396">
        <v>99.29</v>
      </c>
      <c r="O396">
        <v>22.49443207126949</v>
      </c>
    </row>
    <row r="397" spans="1:15" x14ac:dyDescent="0.25">
      <c r="A397" s="5">
        <v>46156</v>
      </c>
      <c r="B397" s="6" t="s">
        <v>62</v>
      </c>
      <c r="C397" s="3" t="s">
        <v>20</v>
      </c>
      <c r="D397" s="3">
        <v>20</v>
      </c>
      <c r="E397" s="3">
        <v>19</v>
      </c>
      <c r="G397" s="3">
        <v>0</v>
      </c>
      <c r="H397" s="3">
        <v>0</v>
      </c>
      <c r="I397" s="3">
        <f t="shared" si="68"/>
        <v>19</v>
      </c>
      <c r="J397" s="3">
        <f t="shared" si="70"/>
        <v>19</v>
      </c>
      <c r="K397" s="3">
        <f t="shared" si="69"/>
        <v>0</v>
      </c>
      <c r="L397" s="3" t="str">
        <f t="shared" si="71"/>
        <v>BOM</v>
      </c>
      <c r="M397">
        <v>17</v>
      </c>
      <c r="N397">
        <v>100</v>
      </c>
      <c r="O397">
        <v>16.97247706422019</v>
      </c>
    </row>
    <row r="398" spans="1:15" x14ac:dyDescent="0.25">
      <c r="A398" s="5">
        <v>46156</v>
      </c>
      <c r="B398" s="6" t="s">
        <v>63</v>
      </c>
      <c r="C398" s="3" t="s">
        <v>18</v>
      </c>
      <c r="D398" s="3">
        <v>22</v>
      </c>
      <c r="E398" s="3">
        <v>22</v>
      </c>
      <c r="G398" s="3">
        <v>5</v>
      </c>
      <c r="H398" s="3">
        <v>0</v>
      </c>
      <c r="I398" s="3">
        <f t="shared" si="68"/>
        <v>27</v>
      </c>
      <c r="J398" s="3">
        <f t="shared" si="70"/>
        <v>28</v>
      </c>
      <c r="K398" s="3">
        <f t="shared" si="69"/>
        <v>-1</v>
      </c>
      <c r="L398" s="3" t="str">
        <f t="shared" si="71"/>
        <v>ATENÇÃO</v>
      </c>
      <c r="M398">
        <v>21</v>
      </c>
      <c r="N398">
        <v>97.33</v>
      </c>
      <c r="O398">
        <v>15.805471124620061</v>
      </c>
    </row>
    <row r="399" spans="1:15" x14ac:dyDescent="0.25">
      <c r="A399" s="5">
        <v>46157</v>
      </c>
      <c r="B399" s="6" t="s">
        <v>15</v>
      </c>
      <c r="C399" s="3" t="s">
        <v>16</v>
      </c>
      <c r="D399" s="3">
        <v>20</v>
      </c>
      <c r="E399" s="3">
        <v>19</v>
      </c>
      <c r="G399" s="3">
        <v>1</v>
      </c>
      <c r="H399" s="3">
        <v>0</v>
      </c>
      <c r="I399" s="3">
        <f t="shared" si="68"/>
        <v>20</v>
      </c>
      <c r="J399" s="3">
        <f t="shared" si="70"/>
        <v>23</v>
      </c>
      <c r="K399" s="3">
        <f t="shared" si="69"/>
        <v>-3</v>
      </c>
      <c r="L399" s="3" t="str">
        <f t="shared" si="71"/>
        <v>ATENÇÃO</v>
      </c>
      <c r="M399" s="3">
        <v>12</v>
      </c>
      <c r="N399" s="3">
        <v>98.94</v>
      </c>
      <c r="O399" s="3">
        <v>19.614147909967851</v>
      </c>
    </row>
    <row r="400" spans="1:15" x14ac:dyDescent="0.25">
      <c r="A400" s="5">
        <v>46157</v>
      </c>
      <c r="B400" s="6" t="s">
        <v>17</v>
      </c>
      <c r="C400" s="3" t="s">
        <v>18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f t="shared" si="70"/>
        <v>29</v>
      </c>
      <c r="K400" s="3">
        <v>0</v>
      </c>
      <c r="L400" s="3" t="str">
        <f t="shared" si="71"/>
        <v>BOM</v>
      </c>
      <c r="M400" s="9">
        <v>0</v>
      </c>
      <c r="N400" s="9">
        <v>100</v>
      </c>
      <c r="O400" s="9">
        <v>0</v>
      </c>
    </row>
    <row r="401" spans="1:15" x14ac:dyDescent="0.25">
      <c r="A401" s="5">
        <v>46157</v>
      </c>
      <c r="B401" s="6" t="s">
        <v>19</v>
      </c>
      <c r="C401" s="3" t="s">
        <v>20</v>
      </c>
      <c r="D401" s="3">
        <v>40</v>
      </c>
      <c r="E401" s="3">
        <v>38</v>
      </c>
      <c r="G401" s="3">
        <v>5</v>
      </c>
      <c r="H401" s="3">
        <v>0</v>
      </c>
      <c r="I401" s="3">
        <f t="shared" ref="I401:I410" si="72">E401+G401+H401</f>
        <v>43</v>
      </c>
      <c r="J401" s="3">
        <f t="shared" si="70"/>
        <v>19</v>
      </c>
      <c r="K401" s="3">
        <f t="shared" ref="K401:K410" si="73">I401-J401</f>
        <v>24</v>
      </c>
      <c r="L401" s="3" t="str">
        <f t="shared" si="71"/>
        <v>EXCELENTE</v>
      </c>
      <c r="M401" s="3">
        <v>36</v>
      </c>
      <c r="N401" s="3">
        <v>95.38</v>
      </c>
      <c r="O401" s="3">
        <v>21.5962441314554</v>
      </c>
    </row>
    <row r="402" spans="1:15" x14ac:dyDescent="0.25">
      <c r="A402" s="5">
        <v>46157</v>
      </c>
      <c r="B402" s="6" t="s">
        <v>21</v>
      </c>
      <c r="C402" s="9" t="s">
        <v>18</v>
      </c>
      <c r="D402" s="3">
        <v>29</v>
      </c>
      <c r="E402" s="3">
        <v>28</v>
      </c>
      <c r="G402" s="3">
        <v>3</v>
      </c>
      <c r="H402" s="3">
        <v>0</v>
      </c>
      <c r="I402" s="3">
        <f t="shared" si="72"/>
        <v>31</v>
      </c>
      <c r="J402" s="3">
        <f t="shared" si="70"/>
        <v>29</v>
      </c>
      <c r="K402" s="3">
        <f t="shared" si="73"/>
        <v>2</v>
      </c>
      <c r="L402" s="3" t="str">
        <f t="shared" si="71"/>
        <v>BOM</v>
      </c>
      <c r="M402">
        <v>25</v>
      </c>
      <c r="N402">
        <v>96.34</v>
      </c>
      <c r="O402">
        <v>17.571884984025559</v>
      </c>
    </row>
    <row r="403" spans="1:15" x14ac:dyDescent="0.25">
      <c r="A403" s="5">
        <v>46157</v>
      </c>
      <c r="B403" s="6" t="s">
        <v>24</v>
      </c>
      <c r="C403" s="3" t="s">
        <v>16</v>
      </c>
      <c r="D403" s="3">
        <v>20</v>
      </c>
      <c r="E403" s="3">
        <v>19</v>
      </c>
      <c r="G403" s="3">
        <v>2</v>
      </c>
      <c r="H403" s="3">
        <v>0</v>
      </c>
      <c r="I403" s="3">
        <f t="shared" si="72"/>
        <v>21</v>
      </c>
      <c r="J403" s="3">
        <f t="shared" si="70"/>
        <v>23</v>
      </c>
      <c r="K403" s="3">
        <f t="shared" si="73"/>
        <v>-2</v>
      </c>
      <c r="L403" s="3" t="str">
        <f t="shared" si="71"/>
        <v>ATENÇÃO</v>
      </c>
      <c r="M403">
        <v>21</v>
      </c>
      <c r="N403">
        <v>99.13</v>
      </c>
      <c r="O403">
        <v>14.7239263803681</v>
      </c>
    </row>
    <row r="404" spans="1:15" x14ac:dyDescent="0.25">
      <c r="A404" s="5">
        <v>46157</v>
      </c>
      <c r="B404" s="6" t="s">
        <v>25</v>
      </c>
      <c r="C404" s="9" t="s">
        <v>16</v>
      </c>
      <c r="D404" s="3">
        <v>26</v>
      </c>
      <c r="E404" s="3">
        <v>26</v>
      </c>
      <c r="G404" s="3">
        <v>3</v>
      </c>
      <c r="H404" s="3">
        <v>0</v>
      </c>
      <c r="I404" s="3">
        <f t="shared" si="72"/>
        <v>29</v>
      </c>
      <c r="J404" s="3">
        <f t="shared" si="70"/>
        <v>23</v>
      </c>
      <c r="K404" s="3">
        <f t="shared" si="73"/>
        <v>6</v>
      </c>
      <c r="L404" s="3" t="str">
        <f t="shared" si="71"/>
        <v>EXCELENTE</v>
      </c>
      <c r="M404">
        <v>29</v>
      </c>
      <c r="N404">
        <v>98.8</v>
      </c>
      <c r="O404">
        <v>16.897506925207761</v>
      </c>
    </row>
    <row r="405" spans="1:15" x14ac:dyDescent="0.25">
      <c r="A405" s="5">
        <v>46157</v>
      </c>
      <c r="B405" s="6" t="s">
        <v>27</v>
      </c>
      <c r="C405" s="3" t="s">
        <v>20</v>
      </c>
      <c r="D405" s="3">
        <v>24</v>
      </c>
      <c r="E405" s="3">
        <v>20</v>
      </c>
      <c r="G405" s="3">
        <v>3</v>
      </c>
      <c r="H405" s="3">
        <v>0</v>
      </c>
      <c r="I405" s="3">
        <f t="shared" si="72"/>
        <v>23</v>
      </c>
      <c r="J405" s="3">
        <f t="shared" si="70"/>
        <v>19</v>
      </c>
      <c r="K405" s="3">
        <f t="shared" si="73"/>
        <v>4</v>
      </c>
      <c r="L405" s="3" t="str">
        <f t="shared" si="71"/>
        <v>BOM</v>
      </c>
      <c r="M405">
        <v>20</v>
      </c>
      <c r="N405">
        <v>96.88</v>
      </c>
      <c r="O405">
        <v>19.526627218934909</v>
      </c>
    </row>
    <row r="406" spans="1:15" x14ac:dyDescent="0.25">
      <c r="A406" s="5">
        <v>46157</v>
      </c>
      <c r="B406" s="6" t="s">
        <v>28</v>
      </c>
      <c r="C406" s="3" t="s">
        <v>18</v>
      </c>
      <c r="D406" s="3">
        <v>37</v>
      </c>
      <c r="E406" s="3">
        <v>31</v>
      </c>
      <c r="G406" s="3">
        <v>0</v>
      </c>
      <c r="H406" s="3">
        <v>0</v>
      </c>
      <c r="I406" s="3">
        <f t="shared" si="72"/>
        <v>31</v>
      </c>
      <c r="J406" s="3">
        <f t="shared" si="70"/>
        <v>29</v>
      </c>
      <c r="K406" s="3">
        <f t="shared" si="73"/>
        <v>2</v>
      </c>
      <c r="L406" s="3" t="str">
        <f t="shared" si="71"/>
        <v>BOM</v>
      </c>
      <c r="M406">
        <v>29</v>
      </c>
      <c r="N406">
        <v>91.85</v>
      </c>
      <c r="O406">
        <v>20.87155963302752</v>
      </c>
    </row>
    <row r="407" spans="1:15" x14ac:dyDescent="0.25">
      <c r="A407" s="5">
        <v>46157</v>
      </c>
      <c r="B407" s="6" t="s">
        <v>29</v>
      </c>
      <c r="C407" s="3" t="s">
        <v>16</v>
      </c>
      <c r="D407" s="3">
        <v>35</v>
      </c>
      <c r="E407" s="3">
        <v>31</v>
      </c>
      <c r="G407" s="3">
        <v>3</v>
      </c>
      <c r="H407" s="3">
        <v>0</v>
      </c>
      <c r="I407" s="3">
        <f t="shared" si="72"/>
        <v>34</v>
      </c>
      <c r="J407" s="3">
        <f t="shared" si="70"/>
        <v>23</v>
      </c>
      <c r="K407" s="3">
        <f t="shared" si="73"/>
        <v>11</v>
      </c>
      <c r="L407" s="3" t="str">
        <f t="shared" si="71"/>
        <v>EXCELENTE</v>
      </c>
      <c r="M407">
        <v>30</v>
      </c>
      <c r="N407">
        <v>98.63</v>
      </c>
      <c r="O407">
        <v>18.75</v>
      </c>
    </row>
    <row r="408" spans="1:15" x14ac:dyDescent="0.25">
      <c r="A408" s="5">
        <v>46157</v>
      </c>
      <c r="B408" s="6" t="s">
        <v>30</v>
      </c>
      <c r="C408" s="3" t="s">
        <v>20</v>
      </c>
      <c r="D408" s="3">
        <v>18</v>
      </c>
      <c r="E408" s="3">
        <v>18</v>
      </c>
      <c r="G408" s="3">
        <v>3</v>
      </c>
      <c r="H408" s="3">
        <v>0</v>
      </c>
      <c r="I408" s="3">
        <f t="shared" si="72"/>
        <v>21</v>
      </c>
      <c r="J408" s="3">
        <f t="shared" si="70"/>
        <v>19</v>
      </c>
      <c r="K408" s="3">
        <f t="shared" si="73"/>
        <v>2</v>
      </c>
      <c r="L408" s="3" t="str">
        <f t="shared" si="71"/>
        <v>BOM</v>
      </c>
      <c r="M408">
        <v>19</v>
      </c>
      <c r="N408">
        <v>100</v>
      </c>
      <c r="O408">
        <v>18.14516129032258</v>
      </c>
    </row>
    <row r="409" spans="1:15" x14ac:dyDescent="0.25">
      <c r="A409" s="5">
        <v>46157</v>
      </c>
      <c r="B409" s="6" t="s">
        <v>31</v>
      </c>
      <c r="C409" s="9" t="s">
        <v>18</v>
      </c>
      <c r="D409" s="3">
        <v>20</v>
      </c>
      <c r="E409" s="3">
        <v>20</v>
      </c>
      <c r="G409" s="3">
        <v>3</v>
      </c>
      <c r="H409" s="3">
        <v>0</v>
      </c>
      <c r="I409" s="3">
        <f t="shared" si="72"/>
        <v>23</v>
      </c>
      <c r="J409" s="3">
        <f t="shared" si="70"/>
        <v>29</v>
      </c>
      <c r="K409" s="3">
        <f t="shared" si="73"/>
        <v>-6</v>
      </c>
      <c r="L409" s="3" t="str">
        <f t="shared" si="71"/>
        <v>CRÍTICO</v>
      </c>
      <c r="M409">
        <v>23</v>
      </c>
      <c r="N409">
        <v>99.06</v>
      </c>
      <c r="O409">
        <v>22.95719844357977</v>
      </c>
    </row>
    <row r="410" spans="1:15" x14ac:dyDescent="0.25">
      <c r="A410" s="5">
        <v>46157</v>
      </c>
      <c r="B410" s="6" t="s">
        <v>33</v>
      </c>
      <c r="C410" s="3" t="s">
        <v>16</v>
      </c>
      <c r="D410" s="3">
        <v>27</v>
      </c>
      <c r="E410" s="3">
        <v>25</v>
      </c>
      <c r="G410" s="3">
        <v>2</v>
      </c>
      <c r="H410" s="3">
        <v>0</v>
      </c>
      <c r="I410" s="3">
        <f t="shared" si="72"/>
        <v>27</v>
      </c>
      <c r="J410" s="3">
        <f t="shared" si="70"/>
        <v>23</v>
      </c>
      <c r="K410" s="3">
        <f t="shared" si="73"/>
        <v>4</v>
      </c>
      <c r="L410" s="3" t="str">
        <f t="shared" si="71"/>
        <v>BOM</v>
      </c>
      <c r="M410">
        <v>23</v>
      </c>
      <c r="N410">
        <v>100</v>
      </c>
      <c r="O410">
        <v>13.8121546961326</v>
      </c>
    </row>
    <row r="411" spans="1:15" x14ac:dyDescent="0.25">
      <c r="A411" s="5">
        <v>46157</v>
      </c>
      <c r="B411" s="6" t="s">
        <v>35</v>
      </c>
      <c r="C411" s="3" t="s">
        <v>16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3">
        <f t="shared" si="70"/>
        <v>23</v>
      </c>
      <c r="K411" s="3">
        <v>0</v>
      </c>
      <c r="L411" s="3" t="str">
        <f t="shared" si="71"/>
        <v>BOM</v>
      </c>
      <c r="M411">
        <v>0</v>
      </c>
      <c r="N411">
        <v>100</v>
      </c>
      <c r="O411">
        <v>17.241379310344829</v>
      </c>
    </row>
    <row r="412" spans="1:15" x14ac:dyDescent="0.25">
      <c r="A412" s="5">
        <v>46157</v>
      </c>
      <c r="B412" s="6" t="s">
        <v>36</v>
      </c>
      <c r="C412" s="3" t="s">
        <v>20</v>
      </c>
      <c r="D412" s="3">
        <v>19</v>
      </c>
      <c r="E412" s="3">
        <v>16</v>
      </c>
      <c r="G412" s="3">
        <v>6</v>
      </c>
      <c r="H412" s="3">
        <v>1</v>
      </c>
      <c r="I412" s="3">
        <f>E412+G412+H412</f>
        <v>23</v>
      </c>
      <c r="J412" s="3">
        <f t="shared" si="70"/>
        <v>19</v>
      </c>
      <c r="K412" s="3">
        <f>I412-J412</f>
        <v>4</v>
      </c>
      <c r="L412" s="3" t="str">
        <f t="shared" si="71"/>
        <v>BOM</v>
      </c>
      <c r="M412">
        <v>15</v>
      </c>
      <c r="N412">
        <v>98.8</v>
      </c>
      <c r="O412">
        <v>15.41353383458646</v>
      </c>
    </row>
    <row r="413" spans="1:15" x14ac:dyDescent="0.25">
      <c r="A413" s="5">
        <v>46157</v>
      </c>
      <c r="B413" s="6" t="s">
        <v>37</v>
      </c>
      <c r="C413" s="9" t="s">
        <v>16</v>
      </c>
      <c r="D413" s="3">
        <v>28</v>
      </c>
      <c r="E413" s="3">
        <v>25</v>
      </c>
      <c r="G413" s="3">
        <v>0</v>
      </c>
      <c r="H413" s="3">
        <v>0</v>
      </c>
      <c r="I413" s="3">
        <f>E413+G413+H413</f>
        <v>25</v>
      </c>
      <c r="J413" s="3">
        <f t="shared" si="70"/>
        <v>23</v>
      </c>
      <c r="K413" s="3">
        <f>I413-J413</f>
        <v>2</v>
      </c>
      <c r="L413" s="3" t="str">
        <f t="shared" si="71"/>
        <v>BOM</v>
      </c>
      <c r="M413">
        <v>23</v>
      </c>
      <c r="N413">
        <v>98.63</v>
      </c>
      <c r="O413">
        <v>15.75757575757576</v>
      </c>
    </row>
    <row r="414" spans="1:15" x14ac:dyDescent="0.25">
      <c r="A414" s="5">
        <v>46157</v>
      </c>
      <c r="B414" s="6" t="s">
        <v>38</v>
      </c>
      <c r="C414" s="3" t="s">
        <v>18</v>
      </c>
      <c r="D414" s="3">
        <v>44</v>
      </c>
      <c r="E414" s="3">
        <v>38</v>
      </c>
      <c r="G414" s="3">
        <v>6</v>
      </c>
      <c r="H414" s="3">
        <v>0</v>
      </c>
      <c r="I414" s="3">
        <f>E414+G414+H414</f>
        <v>44</v>
      </c>
      <c r="J414" s="3">
        <f t="shared" si="70"/>
        <v>29</v>
      </c>
      <c r="K414" s="3">
        <f>I414-J414</f>
        <v>15</v>
      </c>
      <c r="L414" s="3" t="str">
        <f t="shared" si="71"/>
        <v>EXCELENTE</v>
      </c>
      <c r="M414">
        <v>39</v>
      </c>
      <c r="N414">
        <v>98.64</v>
      </c>
      <c r="O414">
        <v>16.638370118845501</v>
      </c>
    </row>
    <row r="415" spans="1:15" x14ac:dyDescent="0.25">
      <c r="A415" s="5">
        <v>46157</v>
      </c>
      <c r="B415" s="6" t="s">
        <v>39</v>
      </c>
      <c r="C415" s="3" t="s">
        <v>18</v>
      </c>
      <c r="D415" s="3">
        <v>30</v>
      </c>
      <c r="E415" s="3">
        <v>29</v>
      </c>
      <c r="G415" s="3">
        <v>5</v>
      </c>
      <c r="H415" s="3">
        <v>0</v>
      </c>
      <c r="I415" s="3">
        <f>E415+G415+H415</f>
        <v>34</v>
      </c>
      <c r="J415" s="3">
        <f t="shared" si="70"/>
        <v>29</v>
      </c>
      <c r="K415" s="3">
        <f>I415-J415</f>
        <v>5</v>
      </c>
      <c r="L415" s="3" t="str">
        <f t="shared" si="71"/>
        <v>BOM</v>
      </c>
      <c r="M415">
        <v>23</v>
      </c>
      <c r="N415">
        <v>95.4</v>
      </c>
      <c r="O415">
        <v>20.533333333333331</v>
      </c>
    </row>
    <row r="416" spans="1:15" x14ac:dyDescent="0.25">
      <c r="A416" s="5">
        <v>46157</v>
      </c>
      <c r="B416" s="6" t="s">
        <v>40</v>
      </c>
      <c r="C416" s="3" t="s">
        <v>16</v>
      </c>
      <c r="D416" s="3">
        <v>17</v>
      </c>
      <c r="E416" s="3">
        <v>14</v>
      </c>
      <c r="G416" s="3">
        <v>1</v>
      </c>
      <c r="H416" s="3">
        <v>0</v>
      </c>
      <c r="I416" s="3">
        <f>E416+G416+H416</f>
        <v>15</v>
      </c>
      <c r="J416" s="3">
        <f t="shared" si="70"/>
        <v>23</v>
      </c>
      <c r="K416" s="3">
        <f>I416-J416</f>
        <v>-8</v>
      </c>
      <c r="L416" s="3" t="str">
        <f t="shared" si="71"/>
        <v>CRÍTICO</v>
      </c>
      <c r="M416">
        <v>14</v>
      </c>
      <c r="N416">
        <v>98.61</v>
      </c>
      <c r="O416">
        <v>16.97530864197531</v>
      </c>
    </row>
    <row r="417" spans="1:15" x14ac:dyDescent="0.25">
      <c r="A417" s="5">
        <v>46157</v>
      </c>
      <c r="B417" s="6" t="s">
        <v>41</v>
      </c>
      <c r="C417" s="3" t="s">
        <v>18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f t="shared" si="70"/>
        <v>29</v>
      </c>
      <c r="K417" s="3">
        <v>0</v>
      </c>
      <c r="L417" s="3" t="str">
        <f t="shared" si="71"/>
        <v>BOM</v>
      </c>
      <c r="M417">
        <v>0</v>
      </c>
      <c r="N417">
        <v>0</v>
      </c>
      <c r="O417">
        <v>0</v>
      </c>
    </row>
    <row r="418" spans="1:15" x14ac:dyDescent="0.25">
      <c r="A418" s="5">
        <v>46157</v>
      </c>
      <c r="B418" s="6" t="s">
        <v>42</v>
      </c>
      <c r="C418" s="3" t="s">
        <v>43</v>
      </c>
      <c r="D418" s="3">
        <v>23</v>
      </c>
      <c r="E418" s="3">
        <v>20</v>
      </c>
      <c r="G418" s="3">
        <v>5</v>
      </c>
      <c r="H418" s="3">
        <v>0</v>
      </c>
      <c r="I418" s="3">
        <f>E418+G418+H418</f>
        <v>25</v>
      </c>
      <c r="J418" s="3">
        <f t="shared" si="70"/>
        <v>17</v>
      </c>
      <c r="K418" s="3">
        <f>I418-J418</f>
        <v>8</v>
      </c>
      <c r="L418" s="3" t="str">
        <f t="shared" si="71"/>
        <v>EXCELENTE</v>
      </c>
      <c r="M418">
        <v>23</v>
      </c>
      <c r="N418">
        <v>97.01</v>
      </c>
      <c r="O418">
        <v>13.961038961038961</v>
      </c>
    </row>
    <row r="419" spans="1:15" x14ac:dyDescent="0.25">
      <c r="A419" s="5">
        <v>46157</v>
      </c>
      <c r="B419" s="6" t="s">
        <v>45</v>
      </c>
      <c r="C419" s="3" t="s">
        <v>43</v>
      </c>
      <c r="D419" s="3">
        <v>15</v>
      </c>
      <c r="E419" s="3">
        <v>14</v>
      </c>
      <c r="G419" s="3">
        <v>2</v>
      </c>
      <c r="H419" s="3">
        <v>0</v>
      </c>
      <c r="I419" s="3">
        <f>E419+G419+H419</f>
        <v>16</v>
      </c>
      <c r="J419" s="3">
        <f t="shared" si="70"/>
        <v>17</v>
      </c>
      <c r="K419" s="3">
        <f>I419-J419</f>
        <v>-1</v>
      </c>
      <c r="L419" s="3" t="str">
        <f t="shared" si="71"/>
        <v>ATENÇÃO</v>
      </c>
      <c r="M419">
        <v>11</v>
      </c>
      <c r="N419">
        <v>100</v>
      </c>
      <c r="O419">
        <v>16.959064327485379</v>
      </c>
    </row>
    <row r="420" spans="1:15" x14ac:dyDescent="0.25">
      <c r="A420" s="5">
        <v>46157</v>
      </c>
      <c r="B420" s="6" t="s">
        <v>46</v>
      </c>
      <c r="C420" s="9" t="s">
        <v>18</v>
      </c>
      <c r="D420" s="3">
        <v>23</v>
      </c>
      <c r="E420" s="3">
        <v>22</v>
      </c>
      <c r="G420" s="3">
        <v>1</v>
      </c>
      <c r="H420" s="3">
        <v>0</v>
      </c>
      <c r="I420" s="3">
        <f>E420+G420+H420</f>
        <v>23</v>
      </c>
      <c r="J420" s="3">
        <f t="shared" si="70"/>
        <v>29</v>
      </c>
      <c r="K420" s="3">
        <f>I420-J420</f>
        <v>-6</v>
      </c>
      <c r="L420" s="3" t="str">
        <f t="shared" si="71"/>
        <v>CRÍTICO</v>
      </c>
      <c r="M420">
        <v>19</v>
      </c>
      <c r="N420">
        <v>100</v>
      </c>
      <c r="O420">
        <v>15.584415584415581</v>
      </c>
    </row>
    <row r="421" spans="1:15" x14ac:dyDescent="0.25">
      <c r="A421" s="5">
        <v>46157</v>
      </c>
      <c r="B421" s="6" t="s">
        <v>47</v>
      </c>
      <c r="C421" s="3" t="s">
        <v>16</v>
      </c>
      <c r="D421" s="3">
        <v>34</v>
      </c>
      <c r="E421" s="3">
        <v>32</v>
      </c>
      <c r="G421" s="3">
        <v>0</v>
      </c>
      <c r="H421" s="3">
        <v>0</v>
      </c>
      <c r="I421" s="3">
        <f>E421+G421+H421</f>
        <v>32</v>
      </c>
      <c r="J421" s="3">
        <f t="shared" si="70"/>
        <v>23</v>
      </c>
      <c r="K421" s="3">
        <f>I421-J421</f>
        <v>9</v>
      </c>
      <c r="L421" s="3" t="str">
        <f t="shared" si="71"/>
        <v>EXCELENTE</v>
      </c>
      <c r="M421">
        <v>13</v>
      </c>
      <c r="N421">
        <v>98.61</v>
      </c>
      <c r="O421">
        <v>16.867469879518069</v>
      </c>
    </row>
    <row r="422" spans="1:15" x14ac:dyDescent="0.25">
      <c r="A422" s="5">
        <v>46157</v>
      </c>
      <c r="B422" s="6" t="s">
        <v>48</v>
      </c>
      <c r="C422" s="3" t="s">
        <v>16</v>
      </c>
      <c r="D422" s="3">
        <v>28</v>
      </c>
      <c r="E422" s="3">
        <v>25</v>
      </c>
      <c r="G422" s="3">
        <v>0</v>
      </c>
      <c r="H422" s="3">
        <v>0</v>
      </c>
      <c r="I422" s="3">
        <f>E422+G422+H422</f>
        <v>25</v>
      </c>
      <c r="J422" s="3">
        <f t="shared" si="70"/>
        <v>23</v>
      </c>
      <c r="K422" s="3">
        <f>I422-J422</f>
        <v>2</v>
      </c>
      <c r="L422" s="3" t="str">
        <f t="shared" si="71"/>
        <v>BOM</v>
      </c>
      <c r="M422">
        <v>24</v>
      </c>
      <c r="N422">
        <v>100</v>
      </c>
      <c r="O422">
        <v>20.820189274447952</v>
      </c>
    </row>
    <row r="423" spans="1:15" x14ac:dyDescent="0.25">
      <c r="A423" s="5">
        <v>46157</v>
      </c>
      <c r="B423" s="6" t="s">
        <v>49</v>
      </c>
      <c r="C423" s="3" t="s">
        <v>18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f t="shared" si="70"/>
        <v>29</v>
      </c>
      <c r="K423" s="3">
        <v>0</v>
      </c>
      <c r="L423" s="3" t="str">
        <f t="shared" si="71"/>
        <v>BOM</v>
      </c>
      <c r="M423">
        <v>0</v>
      </c>
      <c r="N423">
        <v>100</v>
      </c>
      <c r="O423">
        <v>4.3478260869565224</v>
      </c>
    </row>
    <row r="424" spans="1:15" x14ac:dyDescent="0.25">
      <c r="A424" s="5">
        <v>46157</v>
      </c>
      <c r="B424" s="6" t="s">
        <v>50</v>
      </c>
      <c r="C424" s="3" t="s">
        <v>20</v>
      </c>
      <c r="D424" s="3">
        <v>24</v>
      </c>
      <c r="E424" s="3">
        <v>21</v>
      </c>
      <c r="G424" s="3">
        <v>2</v>
      </c>
      <c r="H424" s="3">
        <v>0</v>
      </c>
      <c r="I424" s="3">
        <f t="shared" ref="I424:I442" si="74">E424+G424+H424</f>
        <v>23</v>
      </c>
      <c r="J424" s="3">
        <f t="shared" si="70"/>
        <v>19</v>
      </c>
      <c r="K424" s="3">
        <f t="shared" ref="K424:K442" si="75">I424-J424</f>
        <v>4</v>
      </c>
      <c r="L424" s="3" t="str">
        <f t="shared" si="71"/>
        <v>BOM</v>
      </c>
      <c r="M424">
        <v>24</v>
      </c>
      <c r="N424">
        <v>93.26</v>
      </c>
      <c r="O424">
        <v>19.93957703927493</v>
      </c>
    </row>
    <row r="425" spans="1:15" x14ac:dyDescent="0.25">
      <c r="A425" s="5">
        <v>46157</v>
      </c>
      <c r="B425" s="6" t="s">
        <v>52</v>
      </c>
      <c r="C425" s="3" t="s">
        <v>18</v>
      </c>
      <c r="D425" s="3">
        <v>0</v>
      </c>
      <c r="E425" s="3">
        <v>0</v>
      </c>
      <c r="G425" s="3">
        <v>0</v>
      </c>
      <c r="H425" s="3">
        <v>31</v>
      </c>
      <c r="I425" s="3">
        <f t="shared" si="74"/>
        <v>31</v>
      </c>
      <c r="J425" s="3">
        <f t="shared" si="70"/>
        <v>29</v>
      </c>
      <c r="K425" s="3">
        <f t="shared" si="75"/>
        <v>2</v>
      </c>
      <c r="L425" s="3" t="str">
        <f t="shared" si="71"/>
        <v>BOM</v>
      </c>
      <c r="M425">
        <v>19</v>
      </c>
      <c r="N425">
        <v>98.28</v>
      </c>
      <c r="O425">
        <v>9.037900874635568</v>
      </c>
    </row>
    <row r="426" spans="1:15" x14ac:dyDescent="0.25">
      <c r="A426" s="5">
        <v>46157</v>
      </c>
      <c r="B426" s="6" t="s">
        <v>53</v>
      </c>
      <c r="C426" s="3" t="s">
        <v>18</v>
      </c>
      <c r="D426" s="3">
        <v>26</v>
      </c>
      <c r="E426" s="3">
        <v>24</v>
      </c>
      <c r="G426" s="3">
        <v>2</v>
      </c>
      <c r="H426" s="3">
        <v>0</v>
      </c>
      <c r="I426" s="3">
        <f t="shared" si="74"/>
        <v>26</v>
      </c>
      <c r="J426" s="3">
        <f t="shared" si="70"/>
        <v>29</v>
      </c>
      <c r="K426" s="3">
        <f t="shared" si="75"/>
        <v>-3</v>
      </c>
      <c r="L426" s="3" t="str">
        <f t="shared" si="71"/>
        <v>ATENÇÃO</v>
      </c>
      <c r="M426">
        <v>22</v>
      </c>
      <c r="N426">
        <v>97.22</v>
      </c>
      <c r="O426">
        <v>19.095477386934672</v>
      </c>
    </row>
    <row r="427" spans="1:15" x14ac:dyDescent="0.25">
      <c r="A427" s="5">
        <v>46157</v>
      </c>
      <c r="B427" s="6" t="s">
        <v>22</v>
      </c>
      <c r="C427" s="3" t="s">
        <v>23</v>
      </c>
      <c r="D427" s="3">
        <v>42</v>
      </c>
      <c r="E427" s="3">
        <v>40</v>
      </c>
      <c r="G427" s="3">
        <v>0</v>
      </c>
      <c r="H427" s="3">
        <v>0</v>
      </c>
      <c r="I427" s="3">
        <f t="shared" si="74"/>
        <v>40</v>
      </c>
      <c r="J427" s="3">
        <f t="shared" si="70"/>
        <v>8</v>
      </c>
      <c r="K427" s="3">
        <f t="shared" si="75"/>
        <v>32</v>
      </c>
      <c r="L427" s="3" t="str">
        <f t="shared" si="71"/>
        <v>EXCELENTE</v>
      </c>
      <c r="M427">
        <v>34</v>
      </c>
      <c r="N427">
        <v>99.11</v>
      </c>
      <c r="O427">
        <v>17.721518987341771</v>
      </c>
    </row>
    <row r="428" spans="1:15" x14ac:dyDescent="0.25">
      <c r="A428" s="5">
        <v>46157</v>
      </c>
      <c r="B428" s="6" t="s">
        <v>26</v>
      </c>
      <c r="C428" s="3" t="s">
        <v>23</v>
      </c>
      <c r="D428" s="3">
        <v>11</v>
      </c>
      <c r="E428" s="3">
        <v>10</v>
      </c>
      <c r="G428" s="3">
        <v>0</v>
      </c>
      <c r="H428" s="3">
        <v>0</v>
      </c>
      <c r="I428" s="3">
        <f t="shared" si="74"/>
        <v>10</v>
      </c>
      <c r="J428" s="3">
        <f t="shared" si="70"/>
        <v>8</v>
      </c>
      <c r="K428" s="3">
        <f t="shared" si="75"/>
        <v>2</v>
      </c>
      <c r="L428" s="3" t="str">
        <f t="shared" si="71"/>
        <v>BOM</v>
      </c>
      <c r="M428">
        <v>8</v>
      </c>
      <c r="N428">
        <v>96.43</v>
      </c>
      <c r="O428">
        <v>20</v>
      </c>
    </row>
    <row r="429" spans="1:15" x14ac:dyDescent="0.25">
      <c r="A429" s="5">
        <v>46157</v>
      </c>
      <c r="B429" s="6" t="s">
        <v>32</v>
      </c>
      <c r="C429" s="3" t="s">
        <v>23</v>
      </c>
      <c r="D429" s="3">
        <v>39</v>
      </c>
      <c r="E429" s="3">
        <v>24</v>
      </c>
      <c r="G429" s="3">
        <v>0</v>
      </c>
      <c r="H429" s="3">
        <v>0</v>
      </c>
      <c r="I429" s="3">
        <f t="shared" si="74"/>
        <v>24</v>
      </c>
      <c r="J429" s="3">
        <f t="shared" si="70"/>
        <v>8</v>
      </c>
      <c r="K429" s="3">
        <f t="shared" si="75"/>
        <v>16</v>
      </c>
      <c r="L429" s="3" t="str">
        <f t="shared" si="71"/>
        <v>EXCELENTE</v>
      </c>
      <c r="M429">
        <v>0</v>
      </c>
      <c r="N429">
        <v>100</v>
      </c>
      <c r="O429">
        <v>29.032258064516132</v>
      </c>
    </row>
    <row r="430" spans="1:15" x14ac:dyDescent="0.25">
      <c r="A430" s="5">
        <v>46157</v>
      </c>
      <c r="B430" s="6" t="s">
        <v>64</v>
      </c>
      <c r="C430" s="3" t="s">
        <v>23</v>
      </c>
      <c r="D430" s="3">
        <v>4</v>
      </c>
      <c r="E430" s="3">
        <v>4</v>
      </c>
      <c r="G430" s="3">
        <v>0</v>
      </c>
      <c r="H430" s="3">
        <v>0</v>
      </c>
      <c r="I430" s="3">
        <f t="shared" si="74"/>
        <v>4</v>
      </c>
      <c r="J430" s="3">
        <f t="shared" si="70"/>
        <v>8</v>
      </c>
      <c r="K430" s="3">
        <f t="shared" si="75"/>
        <v>-4</v>
      </c>
      <c r="L430" s="3" t="str">
        <f t="shared" si="71"/>
        <v>ATENÇÃO</v>
      </c>
      <c r="M430">
        <v>3</v>
      </c>
      <c r="N430">
        <v>100</v>
      </c>
      <c r="O430">
        <v>14.285714285714279</v>
      </c>
    </row>
    <row r="431" spans="1:15" x14ac:dyDescent="0.25">
      <c r="A431" s="5">
        <v>46157</v>
      </c>
      <c r="B431" s="6" t="s">
        <v>51</v>
      </c>
      <c r="C431" s="3" t="s">
        <v>23</v>
      </c>
      <c r="D431" s="3">
        <v>54</v>
      </c>
      <c r="E431" s="3">
        <v>32</v>
      </c>
      <c r="G431" s="3">
        <v>0</v>
      </c>
      <c r="H431" s="3">
        <v>0</v>
      </c>
      <c r="I431" s="3">
        <f t="shared" si="74"/>
        <v>32</v>
      </c>
      <c r="J431" s="3">
        <f t="shared" si="70"/>
        <v>8</v>
      </c>
      <c r="K431" s="3">
        <f t="shared" si="75"/>
        <v>24</v>
      </c>
      <c r="L431" s="3" t="str">
        <f t="shared" si="71"/>
        <v>EXCELENTE</v>
      </c>
      <c r="M431">
        <v>1</v>
      </c>
      <c r="N431">
        <v>100</v>
      </c>
      <c r="O431">
        <v>11.864406779661021</v>
      </c>
    </row>
    <row r="432" spans="1:15" x14ac:dyDescent="0.25">
      <c r="A432" s="5">
        <v>46157</v>
      </c>
      <c r="B432" s="6" t="s">
        <v>54</v>
      </c>
      <c r="C432" s="3" t="s">
        <v>23</v>
      </c>
      <c r="D432" s="3">
        <v>9</v>
      </c>
      <c r="E432" s="3">
        <v>8</v>
      </c>
      <c r="G432" s="3">
        <v>0</v>
      </c>
      <c r="H432" s="3">
        <v>0</v>
      </c>
      <c r="I432" s="3">
        <f t="shared" si="74"/>
        <v>8</v>
      </c>
      <c r="J432" s="3">
        <f t="shared" si="70"/>
        <v>8</v>
      </c>
      <c r="K432" s="3">
        <f t="shared" si="75"/>
        <v>0</v>
      </c>
      <c r="L432" s="3" t="str">
        <f t="shared" si="71"/>
        <v>BOM</v>
      </c>
      <c r="M432">
        <v>7</v>
      </c>
      <c r="N432">
        <v>100</v>
      </c>
      <c r="O432">
        <v>16.814159292035399</v>
      </c>
    </row>
    <row r="433" spans="1:15" x14ac:dyDescent="0.25">
      <c r="A433" s="5">
        <v>46157</v>
      </c>
      <c r="B433" s="6" t="s">
        <v>59</v>
      </c>
      <c r="C433" s="3" t="s">
        <v>23</v>
      </c>
      <c r="D433" s="3">
        <v>17</v>
      </c>
      <c r="E433" s="3">
        <v>15</v>
      </c>
      <c r="G433" s="3">
        <v>0</v>
      </c>
      <c r="H433" s="3">
        <v>0</v>
      </c>
      <c r="I433" s="3">
        <f t="shared" si="74"/>
        <v>15</v>
      </c>
      <c r="J433" s="3">
        <f t="shared" si="70"/>
        <v>8</v>
      </c>
      <c r="K433" s="3">
        <f t="shared" si="75"/>
        <v>7</v>
      </c>
      <c r="L433" s="3" t="str">
        <f t="shared" si="71"/>
        <v>EXCELENTE</v>
      </c>
      <c r="M433">
        <v>14</v>
      </c>
      <c r="N433">
        <v>98.11</v>
      </c>
      <c r="O433">
        <v>20.408163265306118</v>
      </c>
    </row>
    <row r="434" spans="1:15" x14ac:dyDescent="0.25">
      <c r="A434" s="5">
        <v>46157</v>
      </c>
      <c r="B434" s="6" t="s">
        <v>55</v>
      </c>
      <c r="C434" s="3" t="s">
        <v>43</v>
      </c>
      <c r="D434" s="3">
        <v>29</v>
      </c>
      <c r="E434" s="3">
        <v>21</v>
      </c>
      <c r="G434" s="3">
        <v>2</v>
      </c>
      <c r="H434" s="3">
        <v>0</v>
      </c>
      <c r="I434" s="3">
        <f t="shared" si="74"/>
        <v>23</v>
      </c>
      <c r="J434" s="3">
        <f t="shared" si="70"/>
        <v>17</v>
      </c>
      <c r="K434" s="3">
        <f t="shared" si="75"/>
        <v>6</v>
      </c>
      <c r="L434" s="3" t="str">
        <f t="shared" si="71"/>
        <v>EXCELENTE</v>
      </c>
      <c r="M434">
        <v>19</v>
      </c>
      <c r="N434">
        <v>98</v>
      </c>
      <c r="O434">
        <v>16.43835616438356</v>
      </c>
    </row>
    <row r="435" spans="1:15" x14ac:dyDescent="0.25">
      <c r="A435" s="5">
        <v>46157</v>
      </c>
      <c r="B435" s="6" t="s">
        <v>56</v>
      </c>
      <c r="C435" s="3" t="s">
        <v>16</v>
      </c>
      <c r="D435" s="3">
        <v>13</v>
      </c>
      <c r="E435" s="3">
        <v>13</v>
      </c>
      <c r="G435" s="3">
        <v>0</v>
      </c>
      <c r="H435" s="3">
        <v>0</v>
      </c>
      <c r="I435" s="3">
        <f t="shared" si="74"/>
        <v>13</v>
      </c>
      <c r="J435" s="3">
        <f t="shared" si="70"/>
        <v>23</v>
      </c>
      <c r="K435" s="3">
        <f t="shared" si="75"/>
        <v>-10</v>
      </c>
      <c r="L435" s="3" t="str">
        <f t="shared" si="71"/>
        <v>CRÍTICO</v>
      </c>
      <c r="M435">
        <v>12</v>
      </c>
      <c r="N435">
        <v>100</v>
      </c>
      <c r="O435">
        <v>16.894977168949769</v>
      </c>
    </row>
    <row r="436" spans="1:15" x14ac:dyDescent="0.25">
      <c r="A436" s="5">
        <v>46157</v>
      </c>
      <c r="B436" s="6" t="s">
        <v>57</v>
      </c>
      <c r="C436" s="3" t="s">
        <v>43</v>
      </c>
      <c r="D436" s="3">
        <v>13</v>
      </c>
      <c r="E436" s="3">
        <v>13</v>
      </c>
      <c r="G436" s="3">
        <v>0</v>
      </c>
      <c r="H436" s="3">
        <v>0</v>
      </c>
      <c r="I436" s="3">
        <f t="shared" si="74"/>
        <v>13</v>
      </c>
      <c r="J436" s="3">
        <f t="shared" si="70"/>
        <v>17</v>
      </c>
      <c r="K436" s="3">
        <f t="shared" si="75"/>
        <v>-4</v>
      </c>
      <c r="L436" s="3" t="str">
        <f t="shared" si="71"/>
        <v>ATENÇÃO</v>
      </c>
      <c r="M436">
        <v>14</v>
      </c>
      <c r="N436">
        <v>100</v>
      </c>
      <c r="O436">
        <v>19.138755980861241</v>
      </c>
    </row>
    <row r="437" spans="1:15" x14ac:dyDescent="0.25">
      <c r="A437" s="5">
        <v>46157</v>
      </c>
      <c r="B437" s="6" t="s">
        <v>58</v>
      </c>
      <c r="C437" s="3" t="s">
        <v>43</v>
      </c>
      <c r="D437" s="3">
        <v>14</v>
      </c>
      <c r="E437" s="3">
        <v>12</v>
      </c>
      <c r="G437" s="3">
        <v>2</v>
      </c>
      <c r="H437" s="3">
        <v>0</v>
      </c>
      <c r="I437" s="3">
        <f t="shared" si="74"/>
        <v>14</v>
      </c>
      <c r="J437" s="3">
        <f t="shared" si="70"/>
        <v>17</v>
      </c>
      <c r="K437" s="3">
        <f t="shared" si="75"/>
        <v>-3</v>
      </c>
      <c r="L437" s="3" t="str">
        <f t="shared" si="71"/>
        <v>ATENÇÃO</v>
      </c>
      <c r="M437">
        <v>15</v>
      </c>
      <c r="N437">
        <v>100</v>
      </c>
      <c r="O437">
        <v>15.02145922746781</v>
      </c>
    </row>
    <row r="438" spans="1:15" x14ac:dyDescent="0.25">
      <c r="A438" s="5">
        <v>46157</v>
      </c>
      <c r="B438" s="6" t="s">
        <v>60</v>
      </c>
      <c r="C438" s="3" t="s">
        <v>20</v>
      </c>
      <c r="D438" s="3">
        <v>28</v>
      </c>
      <c r="E438" s="3">
        <v>25</v>
      </c>
      <c r="G438" s="3">
        <v>5</v>
      </c>
      <c r="H438" s="3">
        <v>0</v>
      </c>
      <c r="I438" s="3">
        <f t="shared" si="74"/>
        <v>30</v>
      </c>
      <c r="J438" s="3">
        <f t="shared" si="70"/>
        <v>19</v>
      </c>
      <c r="K438" s="3">
        <f t="shared" si="75"/>
        <v>11</v>
      </c>
      <c r="L438" s="3" t="str">
        <f t="shared" si="71"/>
        <v>EXCELENTE</v>
      </c>
      <c r="M438">
        <v>23</v>
      </c>
      <c r="N438">
        <v>97.56</v>
      </c>
      <c r="O438">
        <v>19.28783382789317</v>
      </c>
    </row>
    <row r="439" spans="1:15" x14ac:dyDescent="0.25">
      <c r="A439" s="5">
        <v>46157</v>
      </c>
      <c r="B439" s="6" t="s">
        <v>61</v>
      </c>
      <c r="C439" s="3" t="s">
        <v>18</v>
      </c>
      <c r="D439" s="3">
        <v>31</v>
      </c>
      <c r="E439" s="3">
        <v>29</v>
      </c>
      <c r="G439" s="3">
        <v>2</v>
      </c>
      <c r="H439" s="3">
        <v>0</v>
      </c>
      <c r="I439" s="3">
        <f t="shared" si="74"/>
        <v>31</v>
      </c>
      <c r="J439" s="3">
        <f t="shared" si="70"/>
        <v>29</v>
      </c>
      <c r="K439" s="3">
        <f t="shared" si="75"/>
        <v>2</v>
      </c>
      <c r="L439" s="3" t="str">
        <f t="shared" si="71"/>
        <v>BOM</v>
      </c>
      <c r="M439">
        <v>29</v>
      </c>
      <c r="N439">
        <v>99.29</v>
      </c>
      <c r="O439">
        <v>22.49443207126949</v>
      </c>
    </row>
    <row r="440" spans="1:15" x14ac:dyDescent="0.25">
      <c r="A440" s="5">
        <v>46157</v>
      </c>
      <c r="B440" s="6" t="s">
        <v>62</v>
      </c>
      <c r="C440" s="3" t="s">
        <v>20</v>
      </c>
      <c r="D440" s="3">
        <v>18</v>
      </c>
      <c r="E440" s="3">
        <v>17</v>
      </c>
      <c r="G440" s="3">
        <v>3</v>
      </c>
      <c r="H440" s="3">
        <v>0</v>
      </c>
      <c r="I440" s="3">
        <f t="shared" si="74"/>
        <v>20</v>
      </c>
      <c r="J440" s="3">
        <f t="shared" si="70"/>
        <v>19</v>
      </c>
      <c r="K440" s="3">
        <f t="shared" si="75"/>
        <v>1</v>
      </c>
      <c r="L440" s="3" t="str">
        <f t="shared" si="71"/>
        <v>BOM</v>
      </c>
      <c r="M440">
        <v>14</v>
      </c>
      <c r="N440">
        <v>100</v>
      </c>
      <c r="O440">
        <v>16.97247706422019</v>
      </c>
    </row>
    <row r="441" spans="1:15" x14ac:dyDescent="0.25">
      <c r="A441" s="5">
        <v>46157</v>
      </c>
      <c r="B441" s="6" t="s">
        <v>63</v>
      </c>
      <c r="C441" s="3" t="s">
        <v>18</v>
      </c>
      <c r="D441" s="3">
        <v>20</v>
      </c>
      <c r="E441" s="3">
        <v>20</v>
      </c>
      <c r="G441" s="3">
        <v>1</v>
      </c>
      <c r="H441" s="3">
        <v>0</v>
      </c>
      <c r="I441" s="3">
        <f t="shared" si="74"/>
        <v>21</v>
      </c>
      <c r="J441" s="3">
        <f t="shared" si="70"/>
        <v>29</v>
      </c>
      <c r="K441" s="3">
        <f t="shared" si="75"/>
        <v>-8</v>
      </c>
      <c r="L441" s="3" t="str">
        <f t="shared" si="71"/>
        <v>CRÍTICO</v>
      </c>
      <c r="M441">
        <v>17</v>
      </c>
      <c r="N441">
        <v>97.33</v>
      </c>
      <c r="O441">
        <v>15.805471124620061</v>
      </c>
    </row>
    <row r="442" spans="1:15" x14ac:dyDescent="0.25">
      <c r="A442" s="5">
        <v>46160</v>
      </c>
      <c r="B442" s="6" t="s">
        <v>15</v>
      </c>
      <c r="C442" s="3" t="s">
        <v>16</v>
      </c>
      <c r="D442" s="3">
        <v>42</v>
      </c>
      <c r="E442" s="3">
        <v>27</v>
      </c>
      <c r="G442" s="3">
        <v>4</v>
      </c>
      <c r="H442" s="3">
        <v>0</v>
      </c>
      <c r="I442" s="3">
        <f t="shared" si="74"/>
        <v>31</v>
      </c>
      <c r="J442" s="3">
        <f t="shared" si="70"/>
        <v>22</v>
      </c>
      <c r="K442" s="3">
        <f t="shared" si="75"/>
        <v>9</v>
      </c>
      <c r="L442" s="3" t="str">
        <f t="shared" si="71"/>
        <v>EXCELENTE</v>
      </c>
      <c r="M442" s="3">
        <v>19</v>
      </c>
      <c r="N442" s="3">
        <v>98.94</v>
      </c>
      <c r="O442" s="3">
        <v>19.614147909967851</v>
      </c>
    </row>
    <row r="443" spans="1:15" x14ac:dyDescent="0.25">
      <c r="A443" s="5">
        <v>46160</v>
      </c>
      <c r="B443" s="6" t="s">
        <v>17</v>
      </c>
      <c r="C443" s="3" t="s">
        <v>18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v>0</v>
      </c>
      <c r="J443" s="3">
        <f t="shared" si="70"/>
        <v>27</v>
      </c>
      <c r="K443" s="3">
        <v>0</v>
      </c>
      <c r="L443" s="3" t="str">
        <f t="shared" si="71"/>
        <v>BOM</v>
      </c>
      <c r="M443" s="9">
        <v>0</v>
      </c>
      <c r="N443" s="9">
        <v>100</v>
      </c>
      <c r="O443" s="9">
        <v>0</v>
      </c>
    </row>
    <row r="444" spans="1:15" x14ac:dyDescent="0.25">
      <c r="A444" s="5">
        <v>46160</v>
      </c>
      <c r="B444" s="6" t="s">
        <v>19</v>
      </c>
      <c r="C444" s="3" t="s">
        <v>20</v>
      </c>
      <c r="D444" s="3">
        <v>18</v>
      </c>
      <c r="E444" s="3">
        <v>17</v>
      </c>
      <c r="G444" s="3">
        <v>2</v>
      </c>
      <c r="H444" s="3">
        <v>0</v>
      </c>
      <c r="I444" s="3">
        <f>E444+G444+H444</f>
        <v>19</v>
      </c>
      <c r="J444" s="3">
        <f t="shared" si="70"/>
        <v>18</v>
      </c>
      <c r="K444" s="3">
        <f>I444-J444</f>
        <v>1</v>
      </c>
      <c r="L444" s="3" t="str">
        <f t="shared" si="71"/>
        <v>BOM</v>
      </c>
      <c r="M444" s="3">
        <v>18</v>
      </c>
      <c r="N444" s="3">
        <v>95.38</v>
      </c>
      <c r="O444" s="3">
        <v>21.5962441314554</v>
      </c>
    </row>
    <row r="445" spans="1:15" x14ac:dyDescent="0.25">
      <c r="A445" s="5">
        <v>46160</v>
      </c>
      <c r="B445" s="6" t="s">
        <v>21</v>
      </c>
      <c r="C445" s="9" t="s">
        <v>18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f t="shared" si="70"/>
        <v>27</v>
      </c>
      <c r="K445" s="3">
        <v>0</v>
      </c>
      <c r="L445" s="3" t="str">
        <f t="shared" si="71"/>
        <v>BOM</v>
      </c>
      <c r="M445">
        <v>0</v>
      </c>
      <c r="N445">
        <v>96.34</v>
      </c>
      <c r="O445">
        <v>17.571884984025559</v>
      </c>
    </row>
    <row r="446" spans="1:15" x14ac:dyDescent="0.25">
      <c r="A446" s="5">
        <v>46160</v>
      </c>
      <c r="B446" s="6" t="s">
        <v>22</v>
      </c>
      <c r="C446" s="3" t="s">
        <v>43</v>
      </c>
      <c r="D446" s="3">
        <v>28</v>
      </c>
      <c r="E446" s="3">
        <v>27</v>
      </c>
      <c r="G446" s="3">
        <v>0</v>
      </c>
      <c r="H446" s="3">
        <v>0</v>
      </c>
      <c r="I446" s="3">
        <f>E446+G446+H446</f>
        <v>27</v>
      </c>
      <c r="J446" s="3">
        <f t="shared" si="70"/>
        <v>15</v>
      </c>
      <c r="K446" s="3">
        <f>I446-J446</f>
        <v>12</v>
      </c>
      <c r="L446" s="3" t="str">
        <f t="shared" si="71"/>
        <v>EXCELENTE</v>
      </c>
      <c r="M446">
        <v>28</v>
      </c>
      <c r="N446">
        <v>99.11</v>
      </c>
      <c r="O446">
        <v>17.721518987341771</v>
      </c>
    </row>
    <row r="447" spans="1:15" x14ac:dyDescent="0.25">
      <c r="A447" s="5">
        <v>46160</v>
      </c>
      <c r="B447" s="6" t="s">
        <v>24</v>
      </c>
      <c r="C447" s="3" t="s">
        <v>16</v>
      </c>
      <c r="D447" s="3">
        <v>46</v>
      </c>
      <c r="E447" s="3">
        <v>39</v>
      </c>
      <c r="G447" s="3">
        <v>7</v>
      </c>
      <c r="H447" s="3">
        <v>0</v>
      </c>
      <c r="I447" s="3">
        <f>E447+G447+H447</f>
        <v>46</v>
      </c>
      <c r="J447" s="3">
        <f t="shared" si="70"/>
        <v>22</v>
      </c>
      <c r="K447" s="3">
        <f>I447-J447</f>
        <v>24</v>
      </c>
      <c r="L447" s="3" t="str">
        <f t="shared" si="71"/>
        <v>EXCELENTE</v>
      </c>
      <c r="M447">
        <v>42</v>
      </c>
      <c r="N447">
        <v>99.13</v>
      </c>
      <c r="O447">
        <v>14.7239263803681</v>
      </c>
    </row>
    <row r="448" spans="1:15" x14ac:dyDescent="0.25">
      <c r="A448" s="5">
        <v>46160</v>
      </c>
      <c r="B448" s="6" t="s">
        <v>25</v>
      </c>
      <c r="C448" s="9" t="s">
        <v>16</v>
      </c>
      <c r="D448" s="3">
        <v>23</v>
      </c>
      <c r="E448" s="3">
        <v>23</v>
      </c>
      <c r="G448" s="3">
        <v>3</v>
      </c>
      <c r="H448" s="3">
        <v>0</v>
      </c>
      <c r="I448" s="3">
        <f>E448+G448+H448</f>
        <v>26</v>
      </c>
      <c r="J448" s="3">
        <f t="shared" si="70"/>
        <v>22</v>
      </c>
      <c r="K448" s="3">
        <f>I448-J448</f>
        <v>4</v>
      </c>
      <c r="L448" s="3" t="str">
        <f t="shared" si="71"/>
        <v>BOM</v>
      </c>
      <c r="M448">
        <v>26</v>
      </c>
      <c r="N448">
        <v>98.8</v>
      </c>
      <c r="O448">
        <v>16.897506925207761</v>
      </c>
    </row>
    <row r="449" spans="1:15" x14ac:dyDescent="0.25">
      <c r="A449" s="5">
        <v>46160</v>
      </c>
      <c r="B449" s="6" t="s">
        <v>27</v>
      </c>
      <c r="C449" s="3" t="s">
        <v>20</v>
      </c>
      <c r="D449" s="3">
        <v>22</v>
      </c>
      <c r="E449" s="3">
        <v>21</v>
      </c>
      <c r="G449" s="3">
        <v>3</v>
      </c>
      <c r="H449" s="3">
        <v>0</v>
      </c>
      <c r="I449" s="3">
        <f>E449+G449+H449</f>
        <v>24</v>
      </c>
      <c r="J449" s="3">
        <f t="shared" si="70"/>
        <v>18</v>
      </c>
      <c r="K449" s="3">
        <f>I449-J449</f>
        <v>6</v>
      </c>
      <c r="L449" s="3" t="str">
        <f t="shared" si="71"/>
        <v>EXCELENTE</v>
      </c>
      <c r="M449">
        <v>22</v>
      </c>
      <c r="N449">
        <v>96.88</v>
      </c>
      <c r="O449">
        <v>19.526627218934909</v>
      </c>
    </row>
    <row r="450" spans="1:15" x14ac:dyDescent="0.25">
      <c r="A450" s="5">
        <v>46160</v>
      </c>
      <c r="B450" s="6" t="s">
        <v>28</v>
      </c>
      <c r="C450" s="3" t="s">
        <v>18</v>
      </c>
      <c r="D450" s="3">
        <v>30</v>
      </c>
      <c r="E450" s="3">
        <v>27</v>
      </c>
      <c r="G450" s="3">
        <v>0</v>
      </c>
      <c r="H450" s="3">
        <v>0</v>
      </c>
      <c r="I450" s="3">
        <f>E450+G450+H450</f>
        <v>27</v>
      </c>
      <c r="J450" s="3">
        <f t="shared" ref="J450:J513" si="76"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27</v>
      </c>
      <c r="K450" s="3">
        <f>I450-J450</f>
        <v>0</v>
      </c>
      <c r="L450" s="3" t="str">
        <f t="shared" ref="L450:L513" si="77">IF(K450&lt;-5,"CRÍTICO",IF(K450&lt;0,"ATENÇÃO",IF(K450&lt;=5,"BOM","EXCELENTE")))</f>
        <v>BOM</v>
      </c>
      <c r="M450">
        <v>25</v>
      </c>
      <c r="N450">
        <v>91.85</v>
      </c>
      <c r="O450">
        <v>20.87155963302752</v>
      </c>
    </row>
    <row r="451" spans="1:15" x14ac:dyDescent="0.25">
      <c r="A451" s="5">
        <v>46160</v>
      </c>
      <c r="B451" s="6" t="s">
        <v>29</v>
      </c>
      <c r="C451" s="3" t="s">
        <v>16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f t="shared" si="76"/>
        <v>22</v>
      </c>
      <c r="K451" s="3">
        <v>0</v>
      </c>
      <c r="L451" s="3" t="str">
        <f t="shared" si="77"/>
        <v>BOM</v>
      </c>
      <c r="M451">
        <v>0</v>
      </c>
      <c r="N451">
        <v>98.63</v>
      </c>
      <c r="O451">
        <v>18.75</v>
      </c>
    </row>
    <row r="452" spans="1:15" x14ac:dyDescent="0.25">
      <c r="A452" s="5">
        <v>46160</v>
      </c>
      <c r="B452" s="6" t="s">
        <v>30</v>
      </c>
      <c r="C452" s="3" t="s">
        <v>20</v>
      </c>
      <c r="D452" s="3">
        <v>20</v>
      </c>
      <c r="E452" s="3">
        <v>19</v>
      </c>
      <c r="G452" s="3">
        <v>3</v>
      </c>
      <c r="H452" s="3">
        <v>0</v>
      </c>
      <c r="I452" s="3">
        <f>E452+G452+H452</f>
        <v>22</v>
      </c>
      <c r="J452" s="3">
        <f t="shared" si="76"/>
        <v>18</v>
      </c>
      <c r="K452" s="3">
        <f>I452-J452</f>
        <v>4</v>
      </c>
      <c r="L452" s="3" t="str">
        <f t="shared" si="77"/>
        <v>BOM</v>
      </c>
      <c r="M452">
        <v>18</v>
      </c>
      <c r="N452">
        <v>100</v>
      </c>
      <c r="O452">
        <v>18.14516129032258</v>
      </c>
    </row>
    <row r="453" spans="1:15" x14ac:dyDescent="0.25">
      <c r="A453" s="5">
        <v>46160</v>
      </c>
      <c r="B453" s="6" t="s">
        <v>31</v>
      </c>
      <c r="C453" s="9" t="s">
        <v>18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f t="shared" si="76"/>
        <v>27</v>
      </c>
      <c r="K453" s="3">
        <v>0</v>
      </c>
      <c r="L453" s="3" t="str">
        <f t="shared" si="77"/>
        <v>BOM</v>
      </c>
      <c r="M453">
        <v>0</v>
      </c>
      <c r="N453">
        <v>99.06</v>
      </c>
      <c r="O453">
        <v>22.95719844357977</v>
      </c>
    </row>
    <row r="454" spans="1:15" x14ac:dyDescent="0.25">
      <c r="A454" s="5">
        <v>46160</v>
      </c>
      <c r="B454" s="6" t="s">
        <v>33</v>
      </c>
      <c r="C454" s="3" t="s">
        <v>16</v>
      </c>
      <c r="D454" s="3">
        <v>29</v>
      </c>
      <c r="E454" s="3">
        <v>27</v>
      </c>
      <c r="G454" s="3">
        <v>3</v>
      </c>
      <c r="H454" s="3">
        <v>0</v>
      </c>
      <c r="I454" s="3">
        <f>E454+G454+H454</f>
        <v>30</v>
      </c>
      <c r="J454" s="3">
        <f t="shared" si="76"/>
        <v>22</v>
      </c>
      <c r="K454" s="3">
        <f>I454-J454</f>
        <v>8</v>
      </c>
      <c r="L454" s="3" t="str">
        <f t="shared" si="77"/>
        <v>EXCELENTE</v>
      </c>
      <c r="M454">
        <v>25</v>
      </c>
      <c r="N454">
        <v>100</v>
      </c>
      <c r="O454">
        <v>13.8121546961326</v>
      </c>
    </row>
    <row r="455" spans="1:15" x14ac:dyDescent="0.25">
      <c r="A455" s="5">
        <v>46160</v>
      </c>
      <c r="B455" s="6" t="s">
        <v>35</v>
      </c>
      <c r="C455" s="3" t="s">
        <v>16</v>
      </c>
      <c r="D455" s="3">
        <v>0</v>
      </c>
      <c r="E455" s="3">
        <v>0</v>
      </c>
      <c r="F455" s="3">
        <v>0</v>
      </c>
      <c r="G455" s="3">
        <v>0</v>
      </c>
      <c r="H455" s="3">
        <v>0</v>
      </c>
      <c r="I455" s="3">
        <v>0</v>
      </c>
      <c r="J455" s="3">
        <f t="shared" si="76"/>
        <v>22</v>
      </c>
      <c r="K455" s="3">
        <v>0</v>
      </c>
      <c r="L455" s="3" t="str">
        <f t="shared" si="77"/>
        <v>BOM</v>
      </c>
      <c r="M455">
        <v>0</v>
      </c>
      <c r="N455">
        <v>100</v>
      </c>
      <c r="O455">
        <v>17.241379310344829</v>
      </c>
    </row>
    <row r="456" spans="1:15" x14ac:dyDescent="0.25">
      <c r="A456" s="5">
        <v>46160</v>
      </c>
      <c r="B456" s="6" t="s">
        <v>36</v>
      </c>
      <c r="C456" s="3" t="s">
        <v>20</v>
      </c>
      <c r="D456" s="3">
        <v>21</v>
      </c>
      <c r="E456" s="3">
        <v>18</v>
      </c>
      <c r="G456" s="3">
        <v>6</v>
      </c>
      <c r="H456" s="3">
        <v>1</v>
      </c>
      <c r="I456" s="3">
        <f>E456+G456+H456</f>
        <v>25</v>
      </c>
      <c r="J456" s="3">
        <f t="shared" si="76"/>
        <v>18</v>
      </c>
      <c r="K456" s="3">
        <f>I456-J456</f>
        <v>7</v>
      </c>
      <c r="L456" s="3" t="str">
        <f t="shared" si="77"/>
        <v>EXCELENTE</v>
      </c>
      <c r="M456">
        <v>18</v>
      </c>
      <c r="N456">
        <v>98.8</v>
      </c>
      <c r="O456">
        <v>15.41353383458646</v>
      </c>
    </row>
    <row r="457" spans="1:15" x14ac:dyDescent="0.25">
      <c r="A457" s="5">
        <v>46160</v>
      </c>
      <c r="B457" s="6" t="s">
        <v>37</v>
      </c>
      <c r="C457" s="9" t="s">
        <v>16</v>
      </c>
      <c r="D457" s="3">
        <v>20</v>
      </c>
      <c r="E457" s="3">
        <v>20</v>
      </c>
      <c r="G457" s="3">
        <v>3</v>
      </c>
      <c r="H457" s="3">
        <v>0</v>
      </c>
      <c r="I457" s="3">
        <f>E457+G457+H457</f>
        <v>23</v>
      </c>
      <c r="J457" s="3">
        <f t="shared" si="76"/>
        <v>22</v>
      </c>
      <c r="K457" s="3">
        <f>I457-J457</f>
        <v>1</v>
      </c>
      <c r="L457" s="3" t="str">
        <f t="shared" si="77"/>
        <v>BOM</v>
      </c>
      <c r="M457">
        <v>21</v>
      </c>
      <c r="N457">
        <v>98.63</v>
      </c>
      <c r="O457">
        <v>15.75757575757576</v>
      </c>
    </row>
    <row r="458" spans="1:15" x14ac:dyDescent="0.25">
      <c r="A458" s="5">
        <v>46160</v>
      </c>
      <c r="B458" s="6" t="s">
        <v>38</v>
      </c>
      <c r="C458" s="3" t="s">
        <v>18</v>
      </c>
      <c r="D458" s="3">
        <v>37</v>
      </c>
      <c r="E458" s="3">
        <v>32</v>
      </c>
      <c r="G458" s="3">
        <v>5</v>
      </c>
      <c r="H458" s="3">
        <v>0</v>
      </c>
      <c r="I458" s="3">
        <f>E458+G458+H458</f>
        <v>37</v>
      </c>
      <c r="J458" s="3">
        <f t="shared" si="76"/>
        <v>27</v>
      </c>
      <c r="K458" s="3">
        <f>I458-J458</f>
        <v>10</v>
      </c>
      <c r="L458" s="3" t="str">
        <f t="shared" si="77"/>
        <v>EXCELENTE</v>
      </c>
      <c r="M458">
        <v>34</v>
      </c>
      <c r="N458">
        <v>98.64</v>
      </c>
      <c r="O458">
        <v>16.638370118845501</v>
      </c>
    </row>
    <row r="459" spans="1:15" x14ac:dyDescent="0.25">
      <c r="A459" s="5">
        <v>46160</v>
      </c>
      <c r="B459" s="6" t="s">
        <v>39</v>
      </c>
      <c r="C459" s="3" t="s">
        <v>18</v>
      </c>
      <c r="D459" s="3">
        <v>26</v>
      </c>
      <c r="E459" s="3">
        <v>25</v>
      </c>
      <c r="G459" s="3">
        <v>6</v>
      </c>
      <c r="H459" s="3">
        <v>0</v>
      </c>
      <c r="I459" s="3">
        <f>E459+G459+H459</f>
        <v>31</v>
      </c>
      <c r="J459" s="3">
        <f t="shared" si="76"/>
        <v>27</v>
      </c>
      <c r="K459" s="3">
        <f>I459-J459</f>
        <v>4</v>
      </c>
      <c r="L459" s="3" t="str">
        <f t="shared" si="77"/>
        <v>BOM</v>
      </c>
      <c r="M459">
        <v>23</v>
      </c>
      <c r="N459">
        <v>95.4</v>
      </c>
      <c r="O459">
        <v>20.533333333333331</v>
      </c>
    </row>
    <row r="460" spans="1:15" x14ac:dyDescent="0.25">
      <c r="A460" s="5">
        <v>46160</v>
      </c>
      <c r="B460" s="6" t="s">
        <v>40</v>
      </c>
      <c r="C460" s="3" t="s">
        <v>16</v>
      </c>
      <c r="D460" s="3">
        <v>28</v>
      </c>
      <c r="E460" s="3">
        <v>22</v>
      </c>
      <c r="G460" s="3">
        <v>0</v>
      </c>
      <c r="H460" s="3">
        <v>0</v>
      </c>
      <c r="I460" s="3">
        <f>E460+G460+H460</f>
        <v>22</v>
      </c>
      <c r="J460" s="3">
        <f t="shared" si="76"/>
        <v>22</v>
      </c>
      <c r="K460" s="3">
        <f>I460-J460</f>
        <v>0</v>
      </c>
      <c r="L460" s="3" t="str">
        <f t="shared" si="77"/>
        <v>BOM</v>
      </c>
      <c r="M460">
        <v>19</v>
      </c>
      <c r="N460">
        <v>98.61</v>
      </c>
      <c r="O460">
        <v>16.97530864197531</v>
      </c>
    </row>
    <row r="461" spans="1:15" x14ac:dyDescent="0.25">
      <c r="A461" s="5">
        <v>46160</v>
      </c>
      <c r="B461" s="6" t="s">
        <v>41</v>
      </c>
      <c r="C461" s="3" t="s">
        <v>18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f t="shared" si="76"/>
        <v>27</v>
      </c>
      <c r="K461" s="3">
        <v>0</v>
      </c>
      <c r="L461" s="3" t="str">
        <f t="shared" si="77"/>
        <v>BOM</v>
      </c>
      <c r="M461">
        <v>0</v>
      </c>
      <c r="N461">
        <v>0</v>
      </c>
      <c r="O461">
        <v>0</v>
      </c>
    </row>
    <row r="462" spans="1:15" x14ac:dyDescent="0.25">
      <c r="A462" s="5">
        <v>46160</v>
      </c>
      <c r="B462" s="6" t="s">
        <v>42</v>
      </c>
      <c r="C462" s="3" t="s">
        <v>43</v>
      </c>
      <c r="D462" s="3">
        <v>18</v>
      </c>
      <c r="E462" s="3">
        <v>17</v>
      </c>
      <c r="G462" s="3">
        <v>2</v>
      </c>
      <c r="H462" s="3">
        <v>0</v>
      </c>
      <c r="I462" s="3">
        <f t="shared" ref="I462:I467" si="78">E462+G462+H462</f>
        <v>19</v>
      </c>
      <c r="J462" s="3">
        <f t="shared" si="76"/>
        <v>15</v>
      </c>
      <c r="K462" s="3">
        <f t="shared" ref="K462:K467" si="79">I462-J462</f>
        <v>4</v>
      </c>
      <c r="L462" s="3" t="str">
        <f t="shared" si="77"/>
        <v>BOM</v>
      </c>
      <c r="M462">
        <v>21</v>
      </c>
      <c r="N462">
        <v>97.01</v>
      </c>
      <c r="O462">
        <v>13.961038961038961</v>
      </c>
    </row>
    <row r="463" spans="1:15" x14ac:dyDescent="0.25">
      <c r="A463" s="5">
        <v>46160</v>
      </c>
      <c r="B463" s="6" t="s">
        <v>44</v>
      </c>
      <c r="C463" s="9" t="s">
        <v>18</v>
      </c>
      <c r="D463" s="3">
        <v>25</v>
      </c>
      <c r="E463" s="3">
        <v>24</v>
      </c>
      <c r="G463" s="3">
        <v>0</v>
      </c>
      <c r="H463" s="3">
        <v>0</v>
      </c>
      <c r="I463" s="3">
        <f t="shared" si="78"/>
        <v>24</v>
      </c>
      <c r="J463" s="3">
        <f t="shared" si="76"/>
        <v>27</v>
      </c>
      <c r="K463" s="3">
        <f t="shared" si="79"/>
        <v>-3</v>
      </c>
      <c r="L463" s="3" t="str">
        <f t="shared" si="77"/>
        <v>ATENÇÃO</v>
      </c>
      <c r="M463">
        <v>21</v>
      </c>
      <c r="N463">
        <v>95.52</v>
      </c>
      <c r="O463">
        <v>10.561056105610559</v>
      </c>
    </row>
    <row r="464" spans="1:15" x14ac:dyDescent="0.25">
      <c r="A464" s="5">
        <v>46160</v>
      </c>
      <c r="B464" s="6" t="s">
        <v>45</v>
      </c>
      <c r="C464" s="3" t="s">
        <v>43</v>
      </c>
      <c r="D464" s="3">
        <v>16</v>
      </c>
      <c r="E464" s="3">
        <v>13</v>
      </c>
      <c r="G464" s="3">
        <v>4</v>
      </c>
      <c r="H464" s="3">
        <v>0</v>
      </c>
      <c r="I464" s="3">
        <f t="shared" si="78"/>
        <v>17</v>
      </c>
      <c r="J464" s="3">
        <f t="shared" si="76"/>
        <v>15</v>
      </c>
      <c r="K464" s="3">
        <f t="shared" si="79"/>
        <v>2</v>
      </c>
      <c r="L464" s="3" t="str">
        <f t="shared" si="77"/>
        <v>BOM</v>
      </c>
      <c r="M464">
        <v>14</v>
      </c>
      <c r="N464">
        <v>100</v>
      </c>
      <c r="O464">
        <v>16.959064327485379</v>
      </c>
    </row>
    <row r="465" spans="1:15" x14ac:dyDescent="0.25">
      <c r="A465" s="5">
        <v>46160</v>
      </c>
      <c r="B465" s="6" t="s">
        <v>46</v>
      </c>
      <c r="C465" s="9" t="s">
        <v>18</v>
      </c>
      <c r="D465" s="3">
        <v>28</v>
      </c>
      <c r="E465" s="3">
        <v>25</v>
      </c>
      <c r="G465" s="3">
        <v>0</v>
      </c>
      <c r="H465" s="3">
        <v>0</v>
      </c>
      <c r="I465" s="3">
        <f t="shared" si="78"/>
        <v>25</v>
      </c>
      <c r="J465" s="3">
        <f t="shared" si="76"/>
        <v>27</v>
      </c>
      <c r="K465" s="3">
        <f t="shared" si="79"/>
        <v>-2</v>
      </c>
      <c r="L465" s="3" t="str">
        <f t="shared" si="77"/>
        <v>ATENÇÃO</v>
      </c>
      <c r="M465">
        <v>25</v>
      </c>
      <c r="N465">
        <v>100</v>
      </c>
      <c r="O465">
        <v>15.584415584415581</v>
      </c>
    </row>
    <row r="466" spans="1:15" x14ac:dyDescent="0.25">
      <c r="A466" s="5">
        <v>46160</v>
      </c>
      <c r="B466" s="6" t="s">
        <v>47</v>
      </c>
      <c r="C466" s="3" t="s">
        <v>16</v>
      </c>
      <c r="D466" s="3">
        <v>25</v>
      </c>
      <c r="E466" s="3">
        <v>23</v>
      </c>
      <c r="G466" s="3">
        <v>2</v>
      </c>
      <c r="H466" s="3">
        <v>0</v>
      </c>
      <c r="I466" s="3">
        <f t="shared" si="78"/>
        <v>25</v>
      </c>
      <c r="J466" s="3">
        <f t="shared" si="76"/>
        <v>22</v>
      </c>
      <c r="K466" s="3">
        <f t="shared" si="79"/>
        <v>3</v>
      </c>
      <c r="L466" s="3" t="str">
        <f t="shared" si="77"/>
        <v>BOM</v>
      </c>
      <c r="M466">
        <v>20</v>
      </c>
      <c r="N466">
        <v>98.61</v>
      </c>
      <c r="O466">
        <v>16.867469879518069</v>
      </c>
    </row>
    <row r="467" spans="1:15" x14ac:dyDescent="0.25">
      <c r="A467" s="5">
        <v>46160</v>
      </c>
      <c r="B467" s="6" t="s">
        <v>48</v>
      </c>
      <c r="C467" s="3" t="s">
        <v>16</v>
      </c>
      <c r="D467" s="3">
        <v>28</v>
      </c>
      <c r="E467" s="3">
        <v>26</v>
      </c>
      <c r="G467" s="3">
        <v>0</v>
      </c>
      <c r="H467" s="3">
        <v>0</v>
      </c>
      <c r="I467" s="3">
        <f t="shared" si="78"/>
        <v>26</v>
      </c>
      <c r="J467" s="3">
        <f t="shared" si="76"/>
        <v>22</v>
      </c>
      <c r="K467" s="3">
        <f t="shared" si="79"/>
        <v>4</v>
      </c>
      <c r="L467" s="3" t="str">
        <f t="shared" si="77"/>
        <v>BOM</v>
      </c>
      <c r="M467">
        <v>23</v>
      </c>
      <c r="N467">
        <v>100</v>
      </c>
      <c r="O467">
        <v>20.820189274447952</v>
      </c>
    </row>
    <row r="468" spans="1:15" x14ac:dyDescent="0.25">
      <c r="A468" s="5">
        <v>46160</v>
      </c>
      <c r="B468" s="6" t="s">
        <v>49</v>
      </c>
      <c r="C468" s="3" t="s">
        <v>18</v>
      </c>
      <c r="D468" s="3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3">
        <f t="shared" si="76"/>
        <v>27</v>
      </c>
      <c r="K468" s="3">
        <v>0</v>
      </c>
      <c r="L468" s="3" t="str">
        <f t="shared" si="77"/>
        <v>BOM</v>
      </c>
      <c r="M468">
        <v>0</v>
      </c>
      <c r="N468">
        <v>100</v>
      </c>
      <c r="O468">
        <v>4.3478260869565224</v>
      </c>
    </row>
    <row r="469" spans="1:15" x14ac:dyDescent="0.25">
      <c r="A469" s="5">
        <v>46160</v>
      </c>
      <c r="B469" s="6" t="s">
        <v>50</v>
      </c>
      <c r="C469" s="3" t="s">
        <v>20</v>
      </c>
      <c r="D469" s="3">
        <v>21</v>
      </c>
      <c r="E469" s="3">
        <v>20</v>
      </c>
      <c r="G469" s="3">
        <v>2</v>
      </c>
      <c r="H469" s="3">
        <v>0</v>
      </c>
      <c r="I469" s="3">
        <f t="shared" ref="I469:I486" si="80">E469+G469+H469</f>
        <v>22</v>
      </c>
      <c r="J469" s="3">
        <f t="shared" si="76"/>
        <v>18</v>
      </c>
      <c r="K469" s="3">
        <f t="shared" ref="K469:K486" si="81">I469-J469</f>
        <v>4</v>
      </c>
      <c r="L469" s="3" t="str">
        <f t="shared" si="77"/>
        <v>BOM</v>
      </c>
      <c r="M469">
        <v>20</v>
      </c>
      <c r="N469">
        <v>93.26</v>
      </c>
      <c r="O469">
        <v>19.93957703927493</v>
      </c>
    </row>
    <row r="470" spans="1:15" x14ac:dyDescent="0.25">
      <c r="A470" s="5">
        <v>46160</v>
      </c>
      <c r="B470" s="6" t="s">
        <v>52</v>
      </c>
      <c r="C470" s="3" t="s">
        <v>18</v>
      </c>
      <c r="D470" s="3">
        <v>0</v>
      </c>
      <c r="E470" s="3">
        <v>0</v>
      </c>
      <c r="G470" s="3">
        <v>0</v>
      </c>
      <c r="H470" s="3">
        <v>32</v>
      </c>
      <c r="I470" s="3">
        <f t="shared" si="80"/>
        <v>32</v>
      </c>
      <c r="J470" s="3">
        <f t="shared" si="76"/>
        <v>27</v>
      </c>
      <c r="K470" s="3">
        <f t="shared" si="81"/>
        <v>5</v>
      </c>
      <c r="L470" s="3" t="str">
        <f t="shared" si="77"/>
        <v>BOM</v>
      </c>
      <c r="M470">
        <v>16</v>
      </c>
      <c r="N470">
        <v>98.28</v>
      </c>
      <c r="O470">
        <v>9.037900874635568</v>
      </c>
    </row>
    <row r="471" spans="1:15" x14ac:dyDescent="0.25">
      <c r="A471" s="5">
        <v>46160</v>
      </c>
      <c r="B471" s="6" t="s">
        <v>53</v>
      </c>
      <c r="C471" s="3" t="s">
        <v>18</v>
      </c>
      <c r="D471" s="3">
        <v>30</v>
      </c>
      <c r="E471" s="3">
        <v>27</v>
      </c>
      <c r="G471" s="3">
        <v>2</v>
      </c>
      <c r="H471" s="3">
        <v>0</v>
      </c>
      <c r="I471" s="3">
        <f t="shared" si="80"/>
        <v>29</v>
      </c>
      <c r="J471" s="3">
        <f t="shared" si="76"/>
        <v>27</v>
      </c>
      <c r="K471" s="3">
        <f t="shared" si="81"/>
        <v>2</v>
      </c>
      <c r="L471" s="3" t="str">
        <f t="shared" si="77"/>
        <v>BOM</v>
      </c>
      <c r="M471">
        <v>27</v>
      </c>
      <c r="N471">
        <v>97.22</v>
      </c>
      <c r="O471">
        <v>19.095477386934672</v>
      </c>
    </row>
    <row r="472" spans="1:15" x14ac:dyDescent="0.25">
      <c r="A472" s="5">
        <v>46160</v>
      </c>
      <c r="B472" s="6" t="s">
        <v>55</v>
      </c>
      <c r="C472" s="3" t="s">
        <v>43</v>
      </c>
      <c r="D472" s="3">
        <v>11</v>
      </c>
      <c r="E472" s="3">
        <v>9</v>
      </c>
      <c r="G472" s="3">
        <v>1</v>
      </c>
      <c r="H472" s="3">
        <v>0</v>
      </c>
      <c r="I472" s="3">
        <f t="shared" si="80"/>
        <v>10</v>
      </c>
      <c r="J472" s="3">
        <f t="shared" si="76"/>
        <v>15</v>
      </c>
      <c r="K472" s="3">
        <f t="shared" si="81"/>
        <v>-5</v>
      </c>
      <c r="L472" s="3" t="str">
        <f t="shared" si="77"/>
        <v>ATENÇÃO</v>
      </c>
      <c r="M472">
        <v>6</v>
      </c>
      <c r="N472">
        <v>98</v>
      </c>
      <c r="O472">
        <v>16.43835616438356</v>
      </c>
    </row>
    <row r="473" spans="1:15" x14ac:dyDescent="0.25">
      <c r="A473" s="5">
        <v>46160</v>
      </c>
      <c r="B473" s="6" t="s">
        <v>56</v>
      </c>
      <c r="C473" s="3" t="s">
        <v>16</v>
      </c>
      <c r="D473" s="3">
        <v>16</v>
      </c>
      <c r="E473" s="3">
        <v>15</v>
      </c>
      <c r="G473" s="3">
        <v>0</v>
      </c>
      <c r="H473" s="3">
        <v>0</v>
      </c>
      <c r="I473" s="3">
        <f t="shared" si="80"/>
        <v>15</v>
      </c>
      <c r="J473" s="3">
        <f t="shared" si="76"/>
        <v>22</v>
      </c>
      <c r="K473" s="3">
        <f t="shared" si="81"/>
        <v>-7</v>
      </c>
      <c r="L473" s="3" t="str">
        <f t="shared" si="77"/>
        <v>CRÍTICO</v>
      </c>
      <c r="M473">
        <v>13</v>
      </c>
      <c r="N473">
        <v>100</v>
      </c>
      <c r="O473">
        <v>16.894977168949769</v>
      </c>
    </row>
    <row r="474" spans="1:15" x14ac:dyDescent="0.25">
      <c r="A474" s="5">
        <v>46160</v>
      </c>
      <c r="B474" s="6" t="s">
        <v>57</v>
      </c>
      <c r="C474" s="3" t="s">
        <v>43</v>
      </c>
      <c r="D474" s="3">
        <v>11</v>
      </c>
      <c r="E474" s="3">
        <v>10</v>
      </c>
      <c r="G474" s="3">
        <v>0</v>
      </c>
      <c r="H474" s="3">
        <v>0</v>
      </c>
      <c r="I474" s="3">
        <f t="shared" si="80"/>
        <v>10</v>
      </c>
      <c r="J474" s="3">
        <f t="shared" si="76"/>
        <v>15</v>
      </c>
      <c r="K474" s="3">
        <f t="shared" si="81"/>
        <v>-5</v>
      </c>
      <c r="L474" s="3" t="str">
        <f t="shared" si="77"/>
        <v>ATENÇÃO</v>
      </c>
      <c r="M474">
        <v>11</v>
      </c>
      <c r="N474">
        <v>100</v>
      </c>
      <c r="O474">
        <v>19.138755980861241</v>
      </c>
    </row>
    <row r="475" spans="1:15" x14ac:dyDescent="0.25">
      <c r="A475" s="5">
        <v>46160</v>
      </c>
      <c r="B475" s="6" t="s">
        <v>58</v>
      </c>
      <c r="C475" s="3" t="s">
        <v>43</v>
      </c>
      <c r="D475" s="3">
        <v>14</v>
      </c>
      <c r="E475" s="3">
        <v>13</v>
      </c>
      <c r="G475" s="3">
        <v>2</v>
      </c>
      <c r="H475" s="3">
        <v>0</v>
      </c>
      <c r="I475" s="3">
        <f t="shared" si="80"/>
        <v>15</v>
      </c>
      <c r="J475" s="3">
        <f t="shared" si="76"/>
        <v>15</v>
      </c>
      <c r="K475" s="3">
        <f t="shared" si="81"/>
        <v>0</v>
      </c>
      <c r="L475" s="3" t="str">
        <f t="shared" si="77"/>
        <v>BOM</v>
      </c>
      <c r="M475">
        <v>14</v>
      </c>
      <c r="N475">
        <v>100</v>
      </c>
      <c r="O475">
        <v>15.02145922746781</v>
      </c>
    </row>
    <row r="476" spans="1:15" x14ac:dyDescent="0.25">
      <c r="A476" s="5">
        <v>46160</v>
      </c>
      <c r="B476" s="6" t="s">
        <v>26</v>
      </c>
      <c r="C476" s="3" t="s">
        <v>23</v>
      </c>
      <c r="D476" s="3">
        <v>6</v>
      </c>
      <c r="E476" s="3">
        <v>6</v>
      </c>
      <c r="G476" s="3">
        <v>0</v>
      </c>
      <c r="H476" s="3">
        <v>0</v>
      </c>
      <c r="I476" s="3">
        <f t="shared" si="80"/>
        <v>6</v>
      </c>
      <c r="J476" s="3">
        <f t="shared" si="76"/>
        <v>8</v>
      </c>
      <c r="K476" s="3">
        <f t="shared" si="81"/>
        <v>-2</v>
      </c>
      <c r="L476" s="3" t="str">
        <f t="shared" si="77"/>
        <v>ATENÇÃO</v>
      </c>
      <c r="M476">
        <v>6</v>
      </c>
      <c r="N476">
        <v>96.43</v>
      </c>
      <c r="O476">
        <v>20</v>
      </c>
    </row>
    <row r="477" spans="1:15" x14ac:dyDescent="0.25">
      <c r="A477" s="5">
        <v>46160</v>
      </c>
      <c r="B477" s="6" t="s">
        <v>32</v>
      </c>
      <c r="C477" s="3" t="s">
        <v>23</v>
      </c>
      <c r="D477" s="3">
        <v>32</v>
      </c>
      <c r="E477" s="3">
        <v>13</v>
      </c>
      <c r="G477" s="3">
        <v>0</v>
      </c>
      <c r="H477" s="3">
        <v>0</v>
      </c>
      <c r="I477" s="3">
        <f t="shared" si="80"/>
        <v>13</v>
      </c>
      <c r="J477" s="3">
        <f t="shared" si="76"/>
        <v>8</v>
      </c>
      <c r="K477" s="3">
        <f t="shared" si="81"/>
        <v>5</v>
      </c>
      <c r="L477" s="3" t="str">
        <f t="shared" si="77"/>
        <v>BOM</v>
      </c>
      <c r="M477">
        <v>0</v>
      </c>
      <c r="N477">
        <v>100</v>
      </c>
      <c r="O477">
        <v>29.032258064516132</v>
      </c>
    </row>
    <row r="478" spans="1:15" x14ac:dyDescent="0.25">
      <c r="A478" s="5">
        <v>46160</v>
      </c>
      <c r="B478" s="6" t="s">
        <v>64</v>
      </c>
      <c r="C478" s="3" t="s">
        <v>23</v>
      </c>
      <c r="D478" s="3">
        <v>2</v>
      </c>
      <c r="E478" s="3">
        <v>2</v>
      </c>
      <c r="G478" s="3">
        <v>0</v>
      </c>
      <c r="H478" s="3">
        <v>0</v>
      </c>
      <c r="I478" s="3">
        <f t="shared" si="80"/>
        <v>2</v>
      </c>
      <c r="J478" s="3">
        <f t="shared" si="76"/>
        <v>8</v>
      </c>
      <c r="K478" s="3">
        <f t="shared" si="81"/>
        <v>-6</v>
      </c>
      <c r="L478" s="3" t="str">
        <f t="shared" si="77"/>
        <v>CRÍTICO</v>
      </c>
      <c r="M478">
        <v>2</v>
      </c>
      <c r="N478">
        <v>100</v>
      </c>
      <c r="O478">
        <v>14.285714285714279</v>
      </c>
    </row>
    <row r="479" spans="1:15" x14ac:dyDescent="0.25">
      <c r="A479" s="5">
        <v>46160</v>
      </c>
      <c r="B479" s="6" t="s">
        <v>51</v>
      </c>
      <c r="C479" s="3" t="s">
        <v>23</v>
      </c>
      <c r="D479" s="3">
        <v>72</v>
      </c>
      <c r="E479" s="3">
        <v>45</v>
      </c>
      <c r="G479" s="3">
        <v>0</v>
      </c>
      <c r="H479" s="3">
        <v>0</v>
      </c>
      <c r="I479" s="3">
        <f t="shared" si="80"/>
        <v>45</v>
      </c>
      <c r="J479" s="3">
        <f t="shared" si="76"/>
        <v>8</v>
      </c>
      <c r="K479" s="3">
        <f t="shared" si="81"/>
        <v>37</v>
      </c>
      <c r="L479" s="3" t="str">
        <f t="shared" si="77"/>
        <v>EXCELENTE</v>
      </c>
      <c r="M479">
        <v>11</v>
      </c>
      <c r="N479">
        <v>100</v>
      </c>
      <c r="O479">
        <v>11.864406779661021</v>
      </c>
    </row>
    <row r="480" spans="1:15" x14ac:dyDescent="0.25">
      <c r="A480" s="5">
        <v>46160</v>
      </c>
      <c r="B480" s="6" t="s">
        <v>54</v>
      </c>
      <c r="C480" s="3" t="s">
        <v>23</v>
      </c>
      <c r="D480" s="3">
        <v>7</v>
      </c>
      <c r="E480" s="3">
        <v>7</v>
      </c>
      <c r="G480" s="3">
        <v>0</v>
      </c>
      <c r="H480" s="3">
        <v>0</v>
      </c>
      <c r="I480" s="3">
        <f t="shared" si="80"/>
        <v>7</v>
      </c>
      <c r="J480" s="3">
        <f t="shared" si="76"/>
        <v>8</v>
      </c>
      <c r="K480" s="3">
        <f t="shared" si="81"/>
        <v>-1</v>
      </c>
      <c r="L480" s="3" t="str">
        <f t="shared" si="77"/>
        <v>ATENÇÃO</v>
      </c>
      <c r="M480">
        <v>6</v>
      </c>
      <c r="N480">
        <v>100</v>
      </c>
      <c r="O480">
        <v>16.814159292035399</v>
      </c>
    </row>
    <row r="481" spans="1:15" x14ac:dyDescent="0.25">
      <c r="A481" s="5">
        <v>46160</v>
      </c>
      <c r="B481" s="6" t="s">
        <v>59</v>
      </c>
      <c r="C481" s="3" t="s">
        <v>23</v>
      </c>
      <c r="D481" s="3">
        <v>14</v>
      </c>
      <c r="E481" s="3">
        <v>13</v>
      </c>
      <c r="G481" s="3">
        <v>0</v>
      </c>
      <c r="H481" s="3">
        <v>0</v>
      </c>
      <c r="I481" s="3">
        <f t="shared" si="80"/>
        <v>13</v>
      </c>
      <c r="J481" s="3">
        <f t="shared" si="76"/>
        <v>8</v>
      </c>
      <c r="K481" s="3">
        <f t="shared" si="81"/>
        <v>5</v>
      </c>
      <c r="L481" s="3" t="str">
        <f t="shared" si="77"/>
        <v>BOM</v>
      </c>
      <c r="M481">
        <v>9</v>
      </c>
      <c r="N481">
        <v>98.11</v>
      </c>
      <c r="O481">
        <v>20.408163265306118</v>
      </c>
    </row>
    <row r="482" spans="1:15" x14ac:dyDescent="0.25">
      <c r="A482" s="5">
        <v>46160</v>
      </c>
      <c r="B482" s="6" t="s">
        <v>60</v>
      </c>
      <c r="C482" s="3" t="s">
        <v>20</v>
      </c>
      <c r="D482" s="3">
        <v>28</v>
      </c>
      <c r="E482" s="3">
        <v>25</v>
      </c>
      <c r="G482" s="3">
        <v>1</v>
      </c>
      <c r="H482" s="3">
        <v>0</v>
      </c>
      <c r="I482" s="3">
        <f t="shared" si="80"/>
        <v>26</v>
      </c>
      <c r="J482" s="3">
        <f t="shared" si="76"/>
        <v>18</v>
      </c>
      <c r="K482" s="3">
        <f t="shared" si="81"/>
        <v>8</v>
      </c>
      <c r="L482" s="3" t="str">
        <f t="shared" si="77"/>
        <v>EXCELENTE</v>
      </c>
      <c r="M482">
        <v>20</v>
      </c>
      <c r="N482">
        <v>97.56</v>
      </c>
      <c r="O482">
        <v>19.28783382789317</v>
      </c>
    </row>
    <row r="483" spans="1:15" x14ac:dyDescent="0.25">
      <c r="A483" s="5">
        <v>46160</v>
      </c>
      <c r="B483" s="6" t="s">
        <v>61</v>
      </c>
      <c r="C483" s="3" t="s">
        <v>18</v>
      </c>
      <c r="D483" s="3">
        <v>34</v>
      </c>
      <c r="E483" s="3">
        <v>28</v>
      </c>
      <c r="G483" s="3">
        <v>3</v>
      </c>
      <c r="H483" s="3">
        <v>0</v>
      </c>
      <c r="I483" s="3">
        <f t="shared" si="80"/>
        <v>31</v>
      </c>
      <c r="J483" s="3">
        <f t="shared" si="76"/>
        <v>27</v>
      </c>
      <c r="K483" s="3">
        <f t="shared" si="81"/>
        <v>4</v>
      </c>
      <c r="L483" s="3" t="str">
        <f t="shared" si="77"/>
        <v>BOM</v>
      </c>
      <c r="M483">
        <v>26</v>
      </c>
      <c r="N483">
        <v>99.29</v>
      </c>
      <c r="O483">
        <v>22.49443207126949</v>
      </c>
    </row>
    <row r="484" spans="1:15" x14ac:dyDescent="0.25">
      <c r="A484" s="5">
        <v>46160</v>
      </c>
      <c r="B484" s="6" t="s">
        <v>62</v>
      </c>
      <c r="C484" s="3" t="s">
        <v>20</v>
      </c>
      <c r="D484" s="3">
        <v>23</v>
      </c>
      <c r="E484" s="3">
        <v>19</v>
      </c>
      <c r="G484" s="3">
        <v>3</v>
      </c>
      <c r="H484" s="3">
        <v>0</v>
      </c>
      <c r="I484" s="3">
        <f t="shared" si="80"/>
        <v>22</v>
      </c>
      <c r="J484" s="3">
        <f t="shared" si="76"/>
        <v>18</v>
      </c>
      <c r="K484" s="3">
        <f t="shared" si="81"/>
        <v>4</v>
      </c>
      <c r="L484" s="3" t="str">
        <f t="shared" si="77"/>
        <v>BOM</v>
      </c>
      <c r="M484">
        <v>18</v>
      </c>
      <c r="N484">
        <v>100</v>
      </c>
      <c r="O484">
        <v>16.97247706422019</v>
      </c>
    </row>
    <row r="485" spans="1:15" x14ac:dyDescent="0.25">
      <c r="A485" s="5">
        <v>46160</v>
      </c>
      <c r="B485" s="6" t="s">
        <v>63</v>
      </c>
      <c r="C485" s="3" t="s">
        <v>18</v>
      </c>
      <c r="D485" s="3">
        <v>25</v>
      </c>
      <c r="E485" s="3">
        <v>22</v>
      </c>
      <c r="G485" s="3">
        <v>4</v>
      </c>
      <c r="H485" s="3">
        <v>0</v>
      </c>
      <c r="I485" s="3">
        <f t="shared" si="80"/>
        <v>26</v>
      </c>
      <c r="J485" s="3">
        <f t="shared" si="76"/>
        <v>27</v>
      </c>
      <c r="K485" s="3">
        <f t="shared" si="81"/>
        <v>-1</v>
      </c>
      <c r="L485" s="3" t="str">
        <f t="shared" si="77"/>
        <v>ATENÇÃO</v>
      </c>
      <c r="M485">
        <v>21</v>
      </c>
      <c r="N485">
        <v>97.33</v>
      </c>
      <c r="O485">
        <v>15.805471124620061</v>
      </c>
    </row>
    <row r="486" spans="1:15" x14ac:dyDescent="0.25">
      <c r="A486" s="7">
        <v>46161</v>
      </c>
      <c r="B486" s="8" t="s">
        <v>15</v>
      </c>
      <c r="C486" s="9" t="s">
        <v>16</v>
      </c>
      <c r="D486" s="3">
        <v>38</v>
      </c>
      <c r="E486" s="3">
        <v>33</v>
      </c>
      <c r="G486" s="3">
        <v>1</v>
      </c>
      <c r="H486" s="3">
        <v>0</v>
      </c>
      <c r="I486" s="3">
        <f t="shared" si="80"/>
        <v>34</v>
      </c>
      <c r="J486" s="3">
        <f t="shared" si="76"/>
        <v>23</v>
      </c>
      <c r="K486" s="3">
        <f t="shared" si="81"/>
        <v>11</v>
      </c>
      <c r="L486" s="3" t="str">
        <f t="shared" si="77"/>
        <v>EXCELENTE</v>
      </c>
      <c r="M486" s="3">
        <v>17</v>
      </c>
      <c r="N486" s="3">
        <v>98.94</v>
      </c>
      <c r="O486" s="3">
        <v>19.614147909967851</v>
      </c>
    </row>
    <row r="487" spans="1:15" x14ac:dyDescent="0.25">
      <c r="A487" s="7">
        <v>46161</v>
      </c>
      <c r="B487" s="8" t="s">
        <v>17</v>
      </c>
      <c r="C487" s="9" t="s">
        <v>18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f t="shared" si="76"/>
        <v>29</v>
      </c>
      <c r="K487" s="3">
        <v>0</v>
      </c>
      <c r="L487" s="3" t="str">
        <f t="shared" si="77"/>
        <v>BOM</v>
      </c>
      <c r="M487" s="9">
        <v>0</v>
      </c>
      <c r="N487" s="9">
        <v>100</v>
      </c>
      <c r="O487" s="9">
        <v>0</v>
      </c>
    </row>
    <row r="488" spans="1:15" x14ac:dyDescent="0.25">
      <c r="A488" s="7">
        <v>46161</v>
      </c>
      <c r="B488" s="8" t="s">
        <v>19</v>
      </c>
      <c r="C488" s="9" t="s">
        <v>20</v>
      </c>
      <c r="D488" s="3">
        <v>30</v>
      </c>
      <c r="E488" s="3">
        <v>29</v>
      </c>
      <c r="G488" s="3">
        <v>1</v>
      </c>
      <c r="H488" s="3">
        <v>0</v>
      </c>
      <c r="I488" s="3">
        <f t="shared" ref="I488:I495" si="82">E488+G488+H488</f>
        <v>30</v>
      </c>
      <c r="J488" s="3">
        <f t="shared" si="76"/>
        <v>19</v>
      </c>
      <c r="K488" s="3">
        <f t="shared" ref="K488:K495" si="83">I488-J488</f>
        <v>11</v>
      </c>
      <c r="L488" s="3" t="str">
        <f t="shared" si="77"/>
        <v>EXCELENTE</v>
      </c>
      <c r="M488" s="3">
        <v>29</v>
      </c>
      <c r="N488" s="3">
        <v>95.38</v>
      </c>
      <c r="O488" s="3">
        <v>21.5962441314554</v>
      </c>
    </row>
    <row r="489" spans="1:15" x14ac:dyDescent="0.25">
      <c r="A489" s="7">
        <v>46161</v>
      </c>
      <c r="B489" s="8" t="s">
        <v>21</v>
      </c>
      <c r="C489" s="9" t="s">
        <v>18</v>
      </c>
      <c r="D489" s="3">
        <v>22</v>
      </c>
      <c r="E489" s="3">
        <v>19</v>
      </c>
      <c r="G489" s="3">
        <v>1</v>
      </c>
      <c r="H489" s="3">
        <v>0</v>
      </c>
      <c r="I489" s="3">
        <f t="shared" si="82"/>
        <v>20</v>
      </c>
      <c r="J489" s="3">
        <f t="shared" si="76"/>
        <v>29</v>
      </c>
      <c r="K489" s="3">
        <f t="shared" si="83"/>
        <v>-9</v>
      </c>
      <c r="L489" s="3" t="str">
        <f t="shared" si="77"/>
        <v>CRÍTICO</v>
      </c>
      <c r="M489" s="3">
        <v>16</v>
      </c>
      <c r="N489" s="3">
        <v>96.34</v>
      </c>
      <c r="O489" s="3">
        <v>17.571884984025559</v>
      </c>
    </row>
    <row r="490" spans="1:15" x14ac:dyDescent="0.25">
      <c r="A490" s="7">
        <v>46161</v>
      </c>
      <c r="B490" s="8" t="s">
        <v>22</v>
      </c>
      <c r="C490" s="9" t="s">
        <v>43</v>
      </c>
      <c r="D490" s="3">
        <v>30</v>
      </c>
      <c r="E490" s="3">
        <v>29</v>
      </c>
      <c r="G490" s="3">
        <v>0</v>
      </c>
      <c r="H490" s="3">
        <v>0</v>
      </c>
      <c r="I490" s="3">
        <f t="shared" si="82"/>
        <v>29</v>
      </c>
      <c r="J490" s="3">
        <f t="shared" si="76"/>
        <v>17</v>
      </c>
      <c r="K490" s="3">
        <f t="shared" si="83"/>
        <v>12</v>
      </c>
      <c r="L490" s="3" t="str">
        <f t="shared" si="77"/>
        <v>EXCELENTE</v>
      </c>
      <c r="M490">
        <v>28</v>
      </c>
      <c r="N490">
        <v>99.11</v>
      </c>
      <c r="O490">
        <v>17.721518987341771</v>
      </c>
    </row>
    <row r="491" spans="1:15" x14ac:dyDescent="0.25">
      <c r="A491" s="7">
        <v>46161</v>
      </c>
      <c r="B491" s="8" t="s">
        <v>24</v>
      </c>
      <c r="C491" s="9" t="s">
        <v>16</v>
      </c>
      <c r="D491" s="3">
        <v>33</v>
      </c>
      <c r="E491" s="3">
        <v>31</v>
      </c>
      <c r="G491" s="3">
        <v>3</v>
      </c>
      <c r="H491" s="3">
        <v>0</v>
      </c>
      <c r="I491" s="3">
        <f t="shared" si="82"/>
        <v>34</v>
      </c>
      <c r="J491" s="3">
        <f t="shared" si="76"/>
        <v>23</v>
      </c>
      <c r="K491" s="3">
        <f t="shared" si="83"/>
        <v>11</v>
      </c>
      <c r="L491" s="3" t="str">
        <f t="shared" si="77"/>
        <v>EXCELENTE</v>
      </c>
      <c r="M491">
        <v>33</v>
      </c>
      <c r="N491">
        <v>99.13</v>
      </c>
      <c r="O491">
        <v>14.7239263803681</v>
      </c>
    </row>
    <row r="492" spans="1:15" x14ac:dyDescent="0.25">
      <c r="A492" s="7">
        <v>46161</v>
      </c>
      <c r="B492" s="8" t="s">
        <v>25</v>
      </c>
      <c r="C492" s="9" t="s">
        <v>16</v>
      </c>
      <c r="D492" s="3">
        <v>33</v>
      </c>
      <c r="E492" s="3">
        <v>32</v>
      </c>
      <c r="G492" s="3">
        <v>2</v>
      </c>
      <c r="H492" s="3">
        <v>0</v>
      </c>
      <c r="I492" s="3">
        <f t="shared" si="82"/>
        <v>34</v>
      </c>
      <c r="J492" s="3">
        <f t="shared" si="76"/>
        <v>23</v>
      </c>
      <c r="K492" s="3">
        <f t="shared" si="83"/>
        <v>11</v>
      </c>
      <c r="L492" s="3" t="str">
        <f t="shared" si="77"/>
        <v>EXCELENTE</v>
      </c>
      <c r="M492">
        <v>29</v>
      </c>
      <c r="N492">
        <v>98.8</v>
      </c>
      <c r="O492">
        <v>16.897506925207761</v>
      </c>
    </row>
    <row r="493" spans="1:15" x14ac:dyDescent="0.25">
      <c r="A493" s="7">
        <v>46161</v>
      </c>
      <c r="B493" s="8" t="s">
        <v>26</v>
      </c>
      <c r="C493" s="9" t="s">
        <v>23</v>
      </c>
      <c r="D493" s="3">
        <v>9</v>
      </c>
      <c r="E493" s="3">
        <v>9</v>
      </c>
      <c r="G493" s="3">
        <v>0</v>
      </c>
      <c r="H493" s="3">
        <v>0</v>
      </c>
      <c r="I493" s="3">
        <f t="shared" si="82"/>
        <v>9</v>
      </c>
      <c r="J493" s="3">
        <f t="shared" si="76"/>
        <v>8</v>
      </c>
      <c r="K493" s="3">
        <f t="shared" si="83"/>
        <v>1</v>
      </c>
      <c r="L493" s="3" t="str">
        <f t="shared" si="77"/>
        <v>BOM</v>
      </c>
      <c r="M493">
        <v>7</v>
      </c>
      <c r="N493">
        <v>96.43</v>
      </c>
      <c r="O493">
        <v>20</v>
      </c>
    </row>
    <row r="494" spans="1:15" x14ac:dyDescent="0.25">
      <c r="A494" s="7">
        <v>46161</v>
      </c>
      <c r="B494" s="8" t="s">
        <v>27</v>
      </c>
      <c r="C494" s="9" t="s">
        <v>20</v>
      </c>
      <c r="D494" s="3">
        <v>26</v>
      </c>
      <c r="E494" s="3">
        <v>25</v>
      </c>
      <c r="G494" s="3">
        <v>1</v>
      </c>
      <c r="H494" s="3">
        <v>0</v>
      </c>
      <c r="I494" s="3">
        <f t="shared" si="82"/>
        <v>26</v>
      </c>
      <c r="J494" s="3">
        <f t="shared" si="76"/>
        <v>19</v>
      </c>
      <c r="K494" s="3">
        <f t="shared" si="83"/>
        <v>7</v>
      </c>
      <c r="L494" s="3" t="str">
        <f t="shared" si="77"/>
        <v>EXCELENTE</v>
      </c>
      <c r="M494">
        <v>19</v>
      </c>
      <c r="N494">
        <v>96.88</v>
      </c>
      <c r="O494">
        <v>19.526627218934909</v>
      </c>
    </row>
    <row r="495" spans="1:15" x14ac:dyDescent="0.25">
      <c r="A495" s="7">
        <v>46161</v>
      </c>
      <c r="B495" s="8" t="s">
        <v>28</v>
      </c>
      <c r="C495" s="9" t="s">
        <v>18</v>
      </c>
      <c r="D495" s="3">
        <v>33</v>
      </c>
      <c r="E495" s="3">
        <v>30</v>
      </c>
      <c r="G495" s="3">
        <v>0</v>
      </c>
      <c r="H495" s="3">
        <v>0</v>
      </c>
      <c r="I495" s="3">
        <f t="shared" si="82"/>
        <v>30</v>
      </c>
      <c r="J495" s="3">
        <f t="shared" si="76"/>
        <v>29</v>
      </c>
      <c r="K495" s="3">
        <f t="shared" si="83"/>
        <v>1</v>
      </c>
      <c r="L495" s="3" t="str">
        <f t="shared" si="77"/>
        <v>BOM</v>
      </c>
      <c r="M495">
        <v>30</v>
      </c>
      <c r="N495">
        <v>91.85</v>
      </c>
      <c r="O495">
        <v>20.87155963302752</v>
      </c>
    </row>
    <row r="496" spans="1:15" x14ac:dyDescent="0.25">
      <c r="A496" s="7">
        <v>46161</v>
      </c>
      <c r="B496" s="8" t="s">
        <v>29</v>
      </c>
      <c r="C496" s="9" t="s">
        <v>16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f t="shared" si="76"/>
        <v>23</v>
      </c>
      <c r="K496" s="3">
        <v>0</v>
      </c>
      <c r="L496" s="3" t="str">
        <f t="shared" si="77"/>
        <v>BOM</v>
      </c>
      <c r="M496">
        <v>0</v>
      </c>
      <c r="N496">
        <v>98.63</v>
      </c>
      <c r="O496">
        <v>18.75</v>
      </c>
    </row>
    <row r="497" spans="1:15" x14ac:dyDescent="0.25">
      <c r="A497" s="7">
        <v>46161</v>
      </c>
      <c r="B497" s="8" t="s">
        <v>30</v>
      </c>
      <c r="C497" s="9" t="s">
        <v>20</v>
      </c>
      <c r="D497" s="3">
        <v>21</v>
      </c>
      <c r="E497" s="3">
        <v>20</v>
      </c>
      <c r="G497" s="3">
        <v>1</v>
      </c>
      <c r="H497" s="3">
        <v>0</v>
      </c>
      <c r="I497" s="3">
        <f>E497+G497+H497</f>
        <v>21</v>
      </c>
      <c r="J497" s="3">
        <f t="shared" si="76"/>
        <v>19</v>
      </c>
      <c r="K497" s="3">
        <f>I497-J497</f>
        <v>2</v>
      </c>
      <c r="L497" s="3" t="str">
        <f t="shared" si="77"/>
        <v>BOM</v>
      </c>
      <c r="M497">
        <v>15</v>
      </c>
      <c r="N497">
        <v>100</v>
      </c>
      <c r="O497">
        <v>18.14516129032258</v>
      </c>
    </row>
    <row r="498" spans="1:15" x14ac:dyDescent="0.25">
      <c r="A498" s="7">
        <v>46161</v>
      </c>
      <c r="B498" s="8" t="s">
        <v>31</v>
      </c>
      <c r="C498" s="9" t="s">
        <v>18</v>
      </c>
      <c r="D498" s="3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3">
        <f t="shared" si="76"/>
        <v>29</v>
      </c>
      <c r="K498" s="3">
        <v>0</v>
      </c>
      <c r="L498" s="3" t="str">
        <f t="shared" si="77"/>
        <v>BOM</v>
      </c>
      <c r="M498">
        <v>0</v>
      </c>
      <c r="N498">
        <v>99.06</v>
      </c>
      <c r="O498">
        <v>22.95719844357977</v>
      </c>
    </row>
    <row r="499" spans="1:15" x14ac:dyDescent="0.25">
      <c r="A499" s="7">
        <v>46161</v>
      </c>
      <c r="B499" s="8" t="s">
        <v>32</v>
      </c>
      <c r="C499" s="9" t="s">
        <v>23</v>
      </c>
      <c r="D499" s="3">
        <v>17</v>
      </c>
      <c r="E499" s="3">
        <v>5</v>
      </c>
      <c r="G499" s="3">
        <v>0</v>
      </c>
      <c r="H499" s="3">
        <v>0</v>
      </c>
      <c r="I499" s="3">
        <f>E499+G499+H499</f>
        <v>5</v>
      </c>
      <c r="J499" s="3">
        <f t="shared" si="76"/>
        <v>8</v>
      </c>
      <c r="K499" s="3">
        <f>I499-J499</f>
        <v>-3</v>
      </c>
      <c r="L499" s="3" t="str">
        <f t="shared" si="77"/>
        <v>ATENÇÃO</v>
      </c>
      <c r="M499">
        <v>0</v>
      </c>
      <c r="N499">
        <v>100</v>
      </c>
      <c r="O499">
        <v>29.032258064516132</v>
      </c>
    </row>
    <row r="500" spans="1:15" x14ac:dyDescent="0.25">
      <c r="A500" s="7">
        <v>46161</v>
      </c>
      <c r="B500" s="8" t="s">
        <v>33</v>
      </c>
      <c r="C500" s="9" t="s">
        <v>16</v>
      </c>
      <c r="D500" s="3">
        <v>23</v>
      </c>
      <c r="E500" s="3">
        <v>22</v>
      </c>
      <c r="G500" s="3">
        <v>2</v>
      </c>
      <c r="H500" s="3">
        <v>0</v>
      </c>
      <c r="I500" s="3">
        <f>E500+G500+H500</f>
        <v>24</v>
      </c>
      <c r="J500" s="3">
        <f t="shared" si="76"/>
        <v>23</v>
      </c>
      <c r="K500" s="3">
        <f>I500-J500</f>
        <v>1</v>
      </c>
      <c r="L500" s="3" t="str">
        <f t="shared" si="77"/>
        <v>BOM</v>
      </c>
      <c r="M500">
        <v>23</v>
      </c>
      <c r="N500">
        <v>100</v>
      </c>
      <c r="O500">
        <v>13.8121546961326</v>
      </c>
    </row>
    <row r="501" spans="1:15" x14ac:dyDescent="0.25">
      <c r="A501" s="7">
        <v>46161</v>
      </c>
      <c r="B501" s="8" t="s">
        <v>34</v>
      </c>
      <c r="C501" s="9" t="s">
        <v>18</v>
      </c>
      <c r="D501" s="3">
        <v>12</v>
      </c>
      <c r="E501" s="3">
        <v>12</v>
      </c>
      <c r="G501" s="3">
        <v>0</v>
      </c>
      <c r="H501" s="3">
        <v>0</v>
      </c>
      <c r="I501" s="3">
        <f>E501+G501+H501</f>
        <v>12</v>
      </c>
      <c r="J501" s="3">
        <f t="shared" si="76"/>
        <v>29</v>
      </c>
      <c r="K501" s="3">
        <f>I501-J501</f>
        <v>-17</v>
      </c>
      <c r="L501" s="3" t="str">
        <f t="shared" si="77"/>
        <v>CRÍTICO</v>
      </c>
      <c r="M501">
        <v>11</v>
      </c>
      <c r="N501">
        <v>100</v>
      </c>
      <c r="O501">
        <v>9.5238095238095237</v>
      </c>
    </row>
    <row r="502" spans="1:15" x14ac:dyDescent="0.25">
      <c r="A502" s="7">
        <v>46161</v>
      </c>
      <c r="B502" s="8" t="s">
        <v>35</v>
      </c>
      <c r="C502" s="9" t="s">
        <v>16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3">
        <f t="shared" si="76"/>
        <v>23</v>
      </c>
      <c r="K502" s="3">
        <v>0</v>
      </c>
      <c r="L502" s="3" t="str">
        <f t="shared" si="77"/>
        <v>BOM</v>
      </c>
      <c r="M502">
        <v>0</v>
      </c>
      <c r="N502">
        <v>100</v>
      </c>
      <c r="O502">
        <v>17.241379310344829</v>
      </c>
    </row>
    <row r="503" spans="1:15" x14ac:dyDescent="0.25">
      <c r="A503" s="7">
        <v>46161</v>
      </c>
      <c r="B503" s="8" t="s">
        <v>64</v>
      </c>
      <c r="C503" s="9" t="s">
        <v>23</v>
      </c>
      <c r="D503" s="3">
        <v>4</v>
      </c>
      <c r="E503" s="3">
        <v>4</v>
      </c>
      <c r="G503" s="3">
        <v>0</v>
      </c>
      <c r="H503" s="3">
        <v>0</v>
      </c>
      <c r="I503" s="3">
        <f t="shared" ref="I503:I508" si="84">E503+G503+H503</f>
        <v>4</v>
      </c>
      <c r="J503" s="3">
        <f t="shared" si="76"/>
        <v>8</v>
      </c>
      <c r="K503" s="3">
        <f t="shared" ref="K503:K508" si="85">I503-J503</f>
        <v>-4</v>
      </c>
      <c r="L503" s="3" t="str">
        <f t="shared" si="77"/>
        <v>ATENÇÃO</v>
      </c>
      <c r="M503">
        <v>3</v>
      </c>
      <c r="N503">
        <v>100</v>
      </c>
      <c r="O503">
        <v>14.285714285714279</v>
      </c>
    </row>
    <row r="504" spans="1:15" x14ac:dyDescent="0.25">
      <c r="A504" s="7">
        <v>46161</v>
      </c>
      <c r="B504" s="8" t="s">
        <v>36</v>
      </c>
      <c r="C504" s="9" t="s">
        <v>20</v>
      </c>
      <c r="D504" s="3">
        <v>19</v>
      </c>
      <c r="E504" s="3">
        <v>18</v>
      </c>
      <c r="G504" s="3">
        <v>3</v>
      </c>
      <c r="H504" s="3">
        <v>3</v>
      </c>
      <c r="I504" s="3">
        <f t="shared" si="84"/>
        <v>24</v>
      </c>
      <c r="J504" s="3">
        <f t="shared" si="76"/>
        <v>19</v>
      </c>
      <c r="K504" s="3">
        <f t="shared" si="85"/>
        <v>5</v>
      </c>
      <c r="L504" s="3" t="str">
        <f t="shared" si="77"/>
        <v>BOM</v>
      </c>
      <c r="M504">
        <v>20</v>
      </c>
      <c r="N504">
        <v>98.8</v>
      </c>
      <c r="O504">
        <v>15.41353383458646</v>
      </c>
    </row>
    <row r="505" spans="1:15" x14ac:dyDescent="0.25">
      <c r="A505" s="7">
        <v>46161</v>
      </c>
      <c r="B505" s="8" t="s">
        <v>37</v>
      </c>
      <c r="C505" s="9" t="s">
        <v>16</v>
      </c>
      <c r="D505" s="3">
        <v>28</v>
      </c>
      <c r="E505" s="3">
        <v>25</v>
      </c>
      <c r="G505" s="3">
        <v>0</v>
      </c>
      <c r="H505" s="3">
        <v>0</v>
      </c>
      <c r="I505" s="3">
        <f t="shared" si="84"/>
        <v>25</v>
      </c>
      <c r="J505" s="3">
        <f t="shared" si="76"/>
        <v>23</v>
      </c>
      <c r="K505" s="3">
        <f t="shared" si="85"/>
        <v>2</v>
      </c>
      <c r="L505" s="3" t="str">
        <f t="shared" si="77"/>
        <v>BOM</v>
      </c>
      <c r="M505">
        <v>22</v>
      </c>
      <c r="N505">
        <v>98.63</v>
      </c>
      <c r="O505">
        <v>15.75757575757576</v>
      </c>
    </row>
    <row r="506" spans="1:15" x14ac:dyDescent="0.25">
      <c r="A506" s="7">
        <v>46161</v>
      </c>
      <c r="B506" s="8" t="s">
        <v>38</v>
      </c>
      <c r="C506" s="9" t="s">
        <v>18</v>
      </c>
      <c r="D506" s="3">
        <v>43</v>
      </c>
      <c r="E506" s="3">
        <v>39</v>
      </c>
      <c r="G506" s="3">
        <v>3</v>
      </c>
      <c r="H506" s="3">
        <v>0</v>
      </c>
      <c r="I506" s="3">
        <f t="shared" si="84"/>
        <v>42</v>
      </c>
      <c r="J506" s="3">
        <f t="shared" si="76"/>
        <v>29</v>
      </c>
      <c r="K506" s="3">
        <f t="shared" si="85"/>
        <v>13</v>
      </c>
      <c r="L506" s="3" t="str">
        <f t="shared" si="77"/>
        <v>EXCELENTE</v>
      </c>
      <c r="M506">
        <v>40</v>
      </c>
      <c r="N506">
        <v>98.64</v>
      </c>
      <c r="O506">
        <v>16.638370118845501</v>
      </c>
    </row>
    <row r="507" spans="1:15" x14ac:dyDescent="0.25">
      <c r="A507" s="7">
        <v>46161</v>
      </c>
      <c r="B507" s="8" t="s">
        <v>39</v>
      </c>
      <c r="C507" s="9" t="s">
        <v>18</v>
      </c>
      <c r="D507" s="3">
        <v>11</v>
      </c>
      <c r="E507" s="3">
        <v>10</v>
      </c>
      <c r="G507" s="3">
        <v>4</v>
      </c>
      <c r="H507" s="3">
        <v>0</v>
      </c>
      <c r="I507" s="3">
        <f t="shared" si="84"/>
        <v>14</v>
      </c>
      <c r="J507" s="3">
        <f t="shared" si="76"/>
        <v>29</v>
      </c>
      <c r="K507" s="3">
        <f t="shared" si="85"/>
        <v>-15</v>
      </c>
      <c r="L507" s="3" t="str">
        <f t="shared" si="77"/>
        <v>CRÍTICO</v>
      </c>
      <c r="M507">
        <v>12</v>
      </c>
      <c r="N507">
        <v>95.4</v>
      </c>
      <c r="O507">
        <v>20.533333333333331</v>
      </c>
    </row>
    <row r="508" spans="1:15" x14ac:dyDescent="0.25">
      <c r="A508" s="7">
        <v>46161</v>
      </c>
      <c r="B508" s="8" t="s">
        <v>40</v>
      </c>
      <c r="C508" s="9" t="s">
        <v>16</v>
      </c>
      <c r="D508" s="3">
        <v>24</v>
      </c>
      <c r="E508" s="3">
        <v>20</v>
      </c>
      <c r="G508" s="3">
        <v>2</v>
      </c>
      <c r="H508" s="3">
        <v>0</v>
      </c>
      <c r="I508" s="3">
        <f t="shared" si="84"/>
        <v>22</v>
      </c>
      <c r="J508" s="3">
        <f t="shared" si="76"/>
        <v>23</v>
      </c>
      <c r="K508" s="3">
        <f t="shared" si="85"/>
        <v>-1</v>
      </c>
      <c r="L508" s="3" t="str">
        <f t="shared" si="77"/>
        <v>ATENÇÃO</v>
      </c>
      <c r="M508">
        <v>16</v>
      </c>
      <c r="N508">
        <v>98.61</v>
      </c>
      <c r="O508">
        <v>16.97530864197531</v>
      </c>
    </row>
    <row r="509" spans="1:15" x14ac:dyDescent="0.25">
      <c r="A509" s="7">
        <v>46161</v>
      </c>
      <c r="B509" s="8" t="s">
        <v>41</v>
      </c>
      <c r="C509" s="9" t="s">
        <v>18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f t="shared" si="76"/>
        <v>29</v>
      </c>
      <c r="K509" s="3">
        <v>0</v>
      </c>
      <c r="L509" s="3" t="str">
        <f t="shared" si="77"/>
        <v>BOM</v>
      </c>
      <c r="M509">
        <v>0</v>
      </c>
      <c r="N509">
        <v>0</v>
      </c>
      <c r="O509">
        <v>0</v>
      </c>
    </row>
    <row r="510" spans="1:15" x14ac:dyDescent="0.25">
      <c r="A510" s="7">
        <v>46161</v>
      </c>
      <c r="B510" s="8" t="s">
        <v>42</v>
      </c>
      <c r="C510" s="9" t="s">
        <v>43</v>
      </c>
      <c r="D510" s="3">
        <v>20</v>
      </c>
      <c r="E510" s="3">
        <v>19</v>
      </c>
      <c r="G510" s="3">
        <v>2</v>
      </c>
      <c r="H510" s="3">
        <v>0</v>
      </c>
      <c r="I510" s="3">
        <f t="shared" ref="I510:I541" si="86">E510+G510+H510</f>
        <v>21</v>
      </c>
      <c r="J510" s="3">
        <f t="shared" si="76"/>
        <v>17</v>
      </c>
      <c r="K510" s="3">
        <f t="shared" ref="K510:K541" si="87">I510-J510</f>
        <v>4</v>
      </c>
      <c r="L510" s="3" t="str">
        <f t="shared" si="77"/>
        <v>BOM</v>
      </c>
      <c r="M510">
        <v>20</v>
      </c>
      <c r="N510">
        <v>97.01</v>
      </c>
      <c r="O510">
        <v>13.961038961038961</v>
      </c>
    </row>
    <row r="511" spans="1:15" x14ac:dyDescent="0.25">
      <c r="A511" s="7">
        <v>46161</v>
      </c>
      <c r="B511" s="8" t="s">
        <v>44</v>
      </c>
      <c r="C511" s="9" t="s">
        <v>18</v>
      </c>
      <c r="D511" s="3">
        <v>32</v>
      </c>
      <c r="E511" s="3">
        <v>32</v>
      </c>
      <c r="G511" s="3">
        <v>0</v>
      </c>
      <c r="H511" s="3">
        <v>0</v>
      </c>
      <c r="I511" s="3">
        <f t="shared" si="86"/>
        <v>32</v>
      </c>
      <c r="J511" s="3">
        <f t="shared" si="76"/>
        <v>29</v>
      </c>
      <c r="K511" s="3">
        <f t="shared" si="87"/>
        <v>3</v>
      </c>
      <c r="L511" s="3" t="str">
        <f t="shared" si="77"/>
        <v>BOM</v>
      </c>
      <c r="M511">
        <v>28</v>
      </c>
      <c r="N511">
        <v>95.52</v>
      </c>
      <c r="O511">
        <v>10.561056105610559</v>
      </c>
    </row>
    <row r="512" spans="1:15" x14ac:dyDescent="0.25">
      <c r="A512" s="7">
        <v>46161</v>
      </c>
      <c r="B512" s="8" t="s">
        <v>45</v>
      </c>
      <c r="C512" s="9" t="s">
        <v>43</v>
      </c>
      <c r="D512" s="3">
        <v>19</v>
      </c>
      <c r="E512" s="3">
        <v>17</v>
      </c>
      <c r="G512" s="3">
        <v>1</v>
      </c>
      <c r="H512" s="3">
        <v>0</v>
      </c>
      <c r="I512" s="3">
        <f t="shared" si="86"/>
        <v>18</v>
      </c>
      <c r="J512" s="3">
        <f t="shared" si="76"/>
        <v>17</v>
      </c>
      <c r="K512" s="3">
        <f t="shared" si="87"/>
        <v>1</v>
      </c>
      <c r="L512" s="3" t="str">
        <f t="shared" si="77"/>
        <v>BOM</v>
      </c>
      <c r="M512">
        <v>15</v>
      </c>
      <c r="N512">
        <v>100</v>
      </c>
      <c r="O512">
        <v>16.959064327485379</v>
      </c>
    </row>
    <row r="513" spans="1:15" x14ac:dyDescent="0.25">
      <c r="A513" s="7">
        <v>46161</v>
      </c>
      <c r="B513" s="8" t="s">
        <v>46</v>
      </c>
      <c r="C513" s="9" t="s">
        <v>18</v>
      </c>
      <c r="D513" s="3">
        <v>27</v>
      </c>
      <c r="E513" s="3">
        <v>26</v>
      </c>
      <c r="G513" s="3">
        <v>0</v>
      </c>
      <c r="H513" s="3">
        <v>0</v>
      </c>
      <c r="I513" s="3">
        <f t="shared" si="86"/>
        <v>26</v>
      </c>
      <c r="J513" s="3">
        <f t="shared" si="76"/>
        <v>29</v>
      </c>
      <c r="K513" s="3">
        <f t="shared" si="87"/>
        <v>-3</v>
      </c>
      <c r="L513" s="3" t="str">
        <f t="shared" si="77"/>
        <v>ATENÇÃO</v>
      </c>
      <c r="M513">
        <v>24</v>
      </c>
      <c r="N513">
        <v>100</v>
      </c>
      <c r="O513">
        <v>15.584415584415581</v>
      </c>
    </row>
    <row r="514" spans="1:15" x14ac:dyDescent="0.25">
      <c r="A514" s="7">
        <v>46161</v>
      </c>
      <c r="B514" s="8" t="s">
        <v>47</v>
      </c>
      <c r="C514" s="9" t="s">
        <v>16</v>
      </c>
      <c r="D514" s="3">
        <v>28</v>
      </c>
      <c r="E514" s="3">
        <v>25</v>
      </c>
      <c r="G514" s="3">
        <v>3</v>
      </c>
      <c r="H514" s="3">
        <v>0</v>
      </c>
      <c r="I514" s="3">
        <f t="shared" si="86"/>
        <v>28</v>
      </c>
      <c r="J514" s="3">
        <f t="shared" ref="J514:J577" si="88"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>23</v>
      </c>
      <c r="K514" s="3">
        <f t="shared" si="87"/>
        <v>5</v>
      </c>
      <c r="L514" s="3" t="str">
        <f t="shared" ref="L514:L530" si="89">IF(K514&lt;-5,"CRÍTICO",IF(K514&lt;0,"ATENÇÃO",IF(K514&lt;=5,"BOM","EXCELENTE")))</f>
        <v>BOM</v>
      </c>
      <c r="M514">
        <v>45</v>
      </c>
      <c r="N514">
        <v>98.61</v>
      </c>
      <c r="O514">
        <v>16.867469879518069</v>
      </c>
    </row>
    <row r="515" spans="1:15" x14ac:dyDescent="0.25">
      <c r="A515" s="7">
        <v>46161</v>
      </c>
      <c r="B515" s="8" t="s">
        <v>48</v>
      </c>
      <c r="C515" s="9" t="s">
        <v>16</v>
      </c>
      <c r="D515" s="3">
        <v>22</v>
      </c>
      <c r="E515" s="3">
        <v>21</v>
      </c>
      <c r="G515" s="3">
        <v>1</v>
      </c>
      <c r="H515" s="3">
        <v>0</v>
      </c>
      <c r="I515" s="3">
        <f t="shared" si="86"/>
        <v>22</v>
      </c>
      <c r="J515" s="3">
        <f t="shared" si="88"/>
        <v>23</v>
      </c>
      <c r="K515" s="3">
        <f t="shared" si="87"/>
        <v>-1</v>
      </c>
      <c r="L515" s="3" t="str">
        <f t="shared" si="89"/>
        <v>ATENÇÃO</v>
      </c>
      <c r="M515">
        <v>19</v>
      </c>
      <c r="N515">
        <v>100</v>
      </c>
      <c r="O515">
        <v>20.820189274447952</v>
      </c>
    </row>
    <row r="516" spans="1:15" x14ac:dyDescent="0.25">
      <c r="A516" s="7">
        <v>46161</v>
      </c>
      <c r="B516" s="8" t="s">
        <v>49</v>
      </c>
      <c r="C516" s="9" t="s">
        <v>18</v>
      </c>
      <c r="D516" s="3">
        <v>22</v>
      </c>
      <c r="E516" s="3">
        <v>20</v>
      </c>
      <c r="G516" s="3">
        <v>0</v>
      </c>
      <c r="H516" s="3">
        <v>0</v>
      </c>
      <c r="I516" s="3">
        <f t="shared" si="86"/>
        <v>20</v>
      </c>
      <c r="J516" s="3">
        <f t="shared" si="88"/>
        <v>29</v>
      </c>
      <c r="K516" s="3">
        <f t="shared" si="87"/>
        <v>-9</v>
      </c>
      <c r="L516" s="3" t="str">
        <f t="shared" si="89"/>
        <v>CRÍTICO</v>
      </c>
      <c r="M516">
        <v>18</v>
      </c>
      <c r="N516">
        <v>100</v>
      </c>
      <c r="O516">
        <v>4.3478260869565224</v>
      </c>
    </row>
    <row r="517" spans="1:15" x14ac:dyDescent="0.25">
      <c r="A517" s="7">
        <v>46161</v>
      </c>
      <c r="B517" s="8" t="s">
        <v>50</v>
      </c>
      <c r="C517" s="9" t="s">
        <v>20</v>
      </c>
      <c r="D517" s="3">
        <v>18</v>
      </c>
      <c r="E517" s="3">
        <v>17</v>
      </c>
      <c r="G517" s="3">
        <v>2</v>
      </c>
      <c r="H517" s="3">
        <v>0</v>
      </c>
      <c r="I517" s="3">
        <f t="shared" si="86"/>
        <v>19</v>
      </c>
      <c r="J517" s="3">
        <f t="shared" si="88"/>
        <v>19</v>
      </c>
      <c r="K517" s="3">
        <f t="shared" si="87"/>
        <v>0</v>
      </c>
      <c r="L517" s="3" t="str">
        <f t="shared" si="89"/>
        <v>BOM</v>
      </c>
      <c r="M517">
        <v>18</v>
      </c>
      <c r="N517">
        <v>93.26</v>
      </c>
      <c r="O517">
        <v>19.93957703927493</v>
      </c>
    </row>
    <row r="518" spans="1:15" x14ac:dyDescent="0.25">
      <c r="A518" s="7">
        <v>46161</v>
      </c>
      <c r="B518" s="8" t="s">
        <v>51</v>
      </c>
      <c r="C518" s="9" t="s">
        <v>23</v>
      </c>
      <c r="D518" s="3">
        <v>36</v>
      </c>
      <c r="E518" s="3">
        <v>24</v>
      </c>
      <c r="G518" s="3">
        <v>0</v>
      </c>
      <c r="H518" s="3">
        <v>0</v>
      </c>
      <c r="I518" s="3">
        <f t="shared" si="86"/>
        <v>24</v>
      </c>
      <c r="J518" s="3">
        <f t="shared" si="88"/>
        <v>8</v>
      </c>
      <c r="K518" s="3">
        <f t="shared" si="87"/>
        <v>16</v>
      </c>
      <c r="L518" s="3" t="str">
        <f t="shared" si="89"/>
        <v>EXCELENTE</v>
      </c>
      <c r="M518">
        <v>12</v>
      </c>
      <c r="N518">
        <v>100</v>
      </c>
      <c r="O518">
        <v>11.864406779661021</v>
      </c>
    </row>
    <row r="519" spans="1:15" x14ac:dyDescent="0.25">
      <c r="A519" s="7">
        <v>46161</v>
      </c>
      <c r="B519" s="8" t="s">
        <v>52</v>
      </c>
      <c r="C519" s="9" t="s">
        <v>18</v>
      </c>
      <c r="D519" s="3">
        <v>0</v>
      </c>
      <c r="E519" s="3">
        <v>0</v>
      </c>
      <c r="G519" s="3">
        <v>0</v>
      </c>
      <c r="H519" s="3">
        <v>33</v>
      </c>
      <c r="I519" s="3">
        <f t="shared" si="86"/>
        <v>33</v>
      </c>
      <c r="J519" s="3">
        <f t="shared" si="88"/>
        <v>29</v>
      </c>
      <c r="K519" s="3">
        <f t="shared" si="87"/>
        <v>4</v>
      </c>
      <c r="L519" s="3" t="str">
        <f t="shared" si="89"/>
        <v>BOM</v>
      </c>
      <c r="M519">
        <v>14</v>
      </c>
      <c r="N519">
        <v>98.28</v>
      </c>
      <c r="O519">
        <v>9.037900874635568</v>
      </c>
    </row>
    <row r="520" spans="1:15" x14ac:dyDescent="0.25">
      <c r="A520" s="7">
        <v>46161</v>
      </c>
      <c r="B520" s="8" t="s">
        <v>53</v>
      </c>
      <c r="C520" s="9" t="s">
        <v>18</v>
      </c>
      <c r="D520" s="3">
        <v>35</v>
      </c>
      <c r="E520" s="3">
        <v>31</v>
      </c>
      <c r="G520" s="3">
        <v>4</v>
      </c>
      <c r="H520" s="3">
        <v>0</v>
      </c>
      <c r="I520" s="3">
        <f t="shared" si="86"/>
        <v>35</v>
      </c>
      <c r="J520" s="3">
        <f t="shared" si="88"/>
        <v>29</v>
      </c>
      <c r="K520" s="3">
        <f t="shared" si="87"/>
        <v>6</v>
      </c>
      <c r="L520" s="3" t="str">
        <f t="shared" si="89"/>
        <v>EXCELENTE</v>
      </c>
      <c r="M520">
        <v>30</v>
      </c>
      <c r="N520">
        <v>97.22</v>
      </c>
      <c r="O520">
        <v>19.095477386934672</v>
      </c>
    </row>
    <row r="521" spans="1:15" x14ac:dyDescent="0.25">
      <c r="A521" s="7">
        <v>46161</v>
      </c>
      <c r="B521" s="8" t="s">
        <v>54</v>
      </c>
      <c r="C521" s="9" t="s">
        <v>23</v>
      </c>
      <c r="D521" s="3">
        <v>15</v>
      </c>
      <c r="E521" s="3">
        <v>13</v>
      </c>
      <c r="G521" s="3">
        <v>0</v>
      </c>
      <c r="H521" s="3">
        <v>0</v>
      </c>
      <c r="I521" s="3">
        <f t="shared" si="86"/>
        <v>13</v>
      </c>
      <c r="J521" s="3">
        <f t="shared" si="88"/>
        <v>8</v>
      </c>
      <c r="K521" s="3">
        <f t="shared" si="87"/>
        <v>5</v>
      </c>
      <c r="L521" s="3" t="str">
        <f t="shared" si="89"/>
        <v>BOM</v>
      </c>
      <c r="M521">
        <v>9</v>
      </c>
      <c r="N521">
        <v>100</v>
      </c>
      <c r="O521">
        <v>16.814159292035399</v>
      </c>
    </row>
    <row r="522" spans="1:15" x14ac:dyDescent="0.25">
      <c r="A522" s="7">
        <v>46161</v>
      </c>
      <c r="B522" s="8" t="s">
        <v>55</v>
      </c>
      <c r="C522" s="9" t="s">
        <v>43</v>
      </c>
      <c r="D522" s="3">
        <v>42</v>
      </c>
      <c r="E522" s="3">
        <v>23</v>
      </c>
      <c r="G522" s="3">
        <v>0</v>
      </c>
      <c r="H522" s="3">
        <v>0</v>
      </c>
      <c r="I522" s="3">
        <f t="shared" si="86"/>
        <v>23</v>
      </c>
      <c r="J522" s="3">
        <f t="shared" si="88"/>
        <v>17</v>
      </c>
      <c r="K522" s="3">
        <f t="shared" si="87"/>
        <v>6</v>
      </c>
      <c r="L522" s="3" t="str">
        <f t="shared" si="89"/>
        <v>EXCELENTE</v>
      </c>
      <c r="M522">
        <v>22</v>
      </c>
      <c r="N522">
        <v>98</v>
      </c>
      <c r="O522">
        <v>16.43835616438356</v>
      </c>
    </row>
    <row r="523" spans="1:15" x14ac:dyDescent="0.25">
      <c r="A523" s="7">
        <v>46161</v>
      </c>
      <c r="B523" s="8" t="s">
        <v>56</v>
      </c>
      <c r="C523" s="9" t="s">
        <v>16</v>
      </c>
      <c r="D523" s="3">
        <v>25</v>
      </c>
      <c r="E523" s="3">
        <v>23</v>
      </c>
      <c r="G523" s="3">
        <v>0</v>
      </c>
      <c r="H523" s="3">
        <v>0</v>
      </c>
      <c r="I523" s="3">
        <f t="shared" si="86"/>
        <v>23</v>
      </c>
      <c r="J523" s="3">
        <f t="shared" si="88"/>
        <v>23</v>
      </c>
      <c r="K523" s="3">
        <f t="shared" si="87"/>
        <v>0</v>
      </c>
      <c r="L523" s="3" t="str">
        <f t="shared" si="89"/>
        <v>BOM</v>
      </c>
      <c r="M523">
        <v>22</v>
      </c>
      <c r="N523">
        <v>100</v>
      </c>
      <c r="O523">
        <v>16.894977168949769</v>
      </c>
    </row>
    <row r="524" spans="1:15" x14ac:dyDescent="0.25">
      <c r="A524" s="7">
        <v>46161</v>
      </c>
      <c r="B524" s="8" t="s">
        <v>57</v>
      </c>
      <c r="C524" s="9" t="s">
        <v>43</v>
      </c>
      <c r="D524" s="3">
        <v>13</v>
      </c>
      <c r="E524" s="3">
        <v>13</v>
      </c>
      <c r="G524" s="3">
        <v>0</v>
      </c>
      <c r="H524" s="3">
        <v>0</v>
      </c>
      <c r="I524" s="3">
        <f t="shared" si="86"/>
        <v>13</v>
      </c>
      <c r="J524" s="3">
        <f t="shared" si="88"/>
        <v>17</v>
      </c>
      <c r="K524" s="3">
        <f t="shared" si="87"/>
        <v>-4</v>
      </c>
      <c r="L524" s="3" t="str">
        <f t="shared" si="89"/>
        <v>ATENÇÃO</v>
      </c>
      <c r="M524">
        <v>12</v>
      </c>
      <c r="N524">
        <v>100</v>
      </c>
      <c r="O524">
        <v>19.138755980861241</v>
      </c>
    </row>
    <row r="525" spans="1:15" x14ac:dyDescent="0.25">
      <c r="A525" s="7">
        <v>46161</v>
      </c>
      <c r="B525" s="8" t="s">
        <v>58</v>
      </c>
      <c r="C525" s="9" t="s">
        <v>43</v>
      </c>
      <c r="D525" s="3">
        <v>17</v>
      </c>
      <c r="E525" s="3">
        <v>17</v>
      </c>
      <c r="G525" s="3">
        <v>0</v>
      </c>
      <c r="H525" s="3">
        <v>0</v>
      </c>
      <c r="I525" s="3">
        <f t="shared" si="86"/>
        <v>17</v>
      </c>
      <c r="J525" s="3">
        <f t="shared" si="88"/>
        <v>17</v>
      </c>
      <c r="K525" s="3">
        <f t="shared" si="87"/>
        <v>0</v>
      </c>
      <c r="L525" s="3" t="str">
        <f t="shared" si="89"/>
        <v>BOM</v>
      </c>
      <c r="M525">
        <v>15</v>
      </c>
      <c r="N525">
        <v>100</v>
      </c>
      <c r="O525">
        <v>15.02145922746781</v>
      </c>
    </row>
    <row r="526" spans="1:15" x14ac:dyDescent="0.25">
      <c r="A526" s="7">
        <v>46161</v>
      </c>
      <c r="B526" s="8" t="s">
        <v>59</v>
      </c>
      <c r="C526" s="9" t="s">
        <v>23</v>
      </c>
      <c r="D526" s="3">
        <v>20</v>
      </c>
      <c r="E526" s="3">
        <v>19</v>
      </c>
      <c r="G526" s="3">
        <v>0</v>
      </c>
      <c r="H526" s="3">
        <v>0</v>
      </c>
      <c r="I526" s="3">
        <f t="shared" si="86"/>
        <v>19</v>
      </c>
      <c r="J526" s="3">
        <f t="shared" si="88"/>
        <v>8</v>
      </c>
      <c r="K526" s="3">
        <f t="shared" si="87"/>
        <v>11</v>
      </c>
      <c r="L526" s="3" t="str">
        <f t="shared" si="89"/>
        <v>EXCELENTE</v>
      </c>
      <c r="M526">
        <v>16</v>
      </c>
      <c r="N526">
        <v>98.11</v>
      </c>
      <c r="O526">
        <v>20.408163265306118</v>
      </c>
    </row>
    <row r="527" spans="1:15" x14ac:dyDescent="0.25">
      <c r="A527" s="7">
        <v>46161</v>
      </c>
      <c r="B527" s="8" t="s">
        <v>60</v>
      </c>
      <c r="C527" s="9" t="s">
        <v>20</v>
      </c>
      <c r="D527" s="3">
        <v>35</v>
      </c>
      <c r="E527" s="3">
        <v>31</v>
      </c>
      <c r="G527" s="3">
        <v>2</v>
      </c>
      <c r="H527" s="3">
        <v>0</v>
      </c>
      <c r="I527" s="3">
        <f t="shared" si="86"/>
        <v>33</v>
      </c>
      <c r="J527" s="3">
        <f t="shared" si="88"/>
        <v>19</v>
      </c>
      <c r="K527" s="3">
        <f t="shared" si="87"/>
        <v>14</v>
      </c>
      <c r="L527" s="3" t="str">
        <f t="shared" si="89"/>
        <v>EXCELENTE</v>
      </c>
      <c r="M527">
        <v>26</v>
      </c>
      <c r="N527">
        <v>97.56</v>
      </c>
      <c r="O527">
        <v>19.28783382789317</v>
      </c>
    </row>
    <row r="528" spans="1:15" x14ac:dyDescent="0.25">
      <c r="A528" s="7">
        <v>46161</v>
      </c>
      <c r="B528" s="8" t="s">
        <v>61</v>
      </c>
      <c r="C528" s="9" t="s">
        <v>18</v>
      </c>
      <c r="D528" s="3">
        <v>39</v>
      </c>
      <c r="E528" s="3">
        <v>35</v>
      </c>
      <c r="G528" s="3">
        <v>3</v>
      </c>
      <c r="H528" s="3">
        <v>0</v>
      </c>
      <c r="I528" s="3">
        <f t="shared" si="86"/>
        <v>38</v>
      </c>
      <c r="J528" s="3">
        <f t="shared" si="88"/>
        <v>29</v>
      </c>
      <c r="K528" s="3">
        <f t="shared" si="87"/>
        <v>9</v>
      </c>
      <c r="L528" s="3" t="str">
        <f t="shared" si="89"/>
        <v>EXCELENTE</v>
      </c>
      <c r="M528">
        <v>34</v>
      </c>
      <c r="N528">
        <v>99.29</v>
      </c>
      <c r="O528">
        <v>22.49443207126949</v>
      </c>
    </row>
    <row r="529" spans="1:15" x14ac:dyDescent="0.25">
      <c r="A529" s="7">
        <v>46161</v>
      </c>
      <c r="B529" s="8" t="s">
        <v>62</v>
      </c>
      <c r="C529" s="9" t="s">
        <v>20</v>
      </c>
      <c r="D529" s="3">
        <v>18</v>
      </c>
      <c r="E529" s="3">
        <v>18</v>
      </c>
      <c r="G529" s="3">
        <v>0</v>
      </c>
      <c r="H529" s="3">
        <v>0</v>
      </c>
      <c r="I529" s="3">
        <f t="shared" si="86"/>
        <v>18</v>
      </c>
      <c r="J529" s="3">
        <f t="shared" si="88"/>
        <v>19</v>
      </c>
      <c r="K529" s="3">
        <f t="shared" si="87"/>
        <v>-1</v>
      </c>
      <c r="L529" s="3" t="str">
        <f t="shared" si="89"/>
        <v>ATENÇÃO</v>
      </c>
      <c r="M529">
        <v>17</v>
      </c>
      <c r="N529">
        <v>100</v>
      </c>
      <c r="O529">
        <v>16.97247706422019</v>
      </c>
    </row>
    <row r="530" spans="1:15" x14ac:dyDescent="0.25">
      <c r="A530" s="7">
        <v>46161</v>
      </c>
      <c r="B530" s="8" t="s">
        <v>63</v>
      </c>
      <c r="C530" s="9" t="s">
        <v>18</v>
      </c>
      <c r="D530" s="3">
        <v>25</v>
      </c>
      <c r="E530" s="3">
        <v>24</v>
      </c>
      <c r="G530" s="3">
        <v>3</v>
      </c>
      <c r="H530" s="3">
        <v>0</v>
      </c>
      <c r="I530" s="3">
        <f t="shared" si="86"/>
        <v>27</v>
      </c>
      <c r="J530" s="3">
        <f t="shared" si="88"/>
        <v>29</v>
      </c>
      <c r="K530" s="3">
        <f t="shared" si="87"/>
        <v>-2</v>
      </c>
      <c r="L530" s="3" t="str">
        <f t="shared" si="89"/>
        <v>ATENÇÃO</v>
      </c>
      <c r="M530">
        <v>21</v>
      </c>
      <c r="N530">
        <v>97.33</v>
      </c>
      <c r="O530">
        <v>15.805471124620061</v>
      </c>
    </row>
    <row r="531" spans="1:15" x14ac:dyDescent="0.25">
      <c r="A531" s="7">
        <v>46162</v>
      </c>
      <c r="B531" s="8" t="s">
        <v>15</v>
      </c>
      <c r="C531" s="9" t="s">
        <v>16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 t="shared" si="86"/>
        <v>31</v>
      </c>
      <c r="J531" s="3">
        <f t="shared" si="88"/>
        <v>21</v>
      </c>
      <c r="K531" s="3">
        <f t="shared" si="87"/>
        <v>10</v>
      </c>
      <c r="L531" s="3" t="str">
        <f t="shared" ref="L531:L562" si="90">IF(K531&lt;-5,"CRÍTICO",IF(K531&lt;0,"ATENÇÃO",IF(K531&lt;=5,"OPORTUNO","MUITO BOM")))</f>
        <v>MUITO BOM</v>
      </c>
      <c r="M531" s="3">
        <v>20</v>
      </c>
      <c r="N531" s="3">
        <v>98.94</v>
      </c>
      <c r="O531" s="3">
        <v>19.614147909967851</v>
      </c>
    </row>
    <row r="532" spans="1:15" x14ac:dyDescent="0.25">
      <c r="A532" s="7">
        <v>46162</v>
      </c>
      <c r="B532" s="8" t="s">
        <v>17</v>
      </c>
      <c r="C532" s="9" t="s">
        <v>18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f t="shared" si="86"/>
        <v>0</v>
      </c>
      <c r="J532" s="3">
        <f t="shared" si="88"/>
        <v>26</v>
      </c>
      <c r="K532" s="3">
        <f t="shared" si="87"/>
        <v>-26</v>
      </c>
      <c r="L532" s="3" t="str">
        <f t="shared" si="90"/>
        <v>CRÍTICO</v>
      </c>
      <c r="M532" s="9">
        <v>0</v>
      </c>
      <c r="N532" s="9">
        <v>100</v>
      </c>
      <c r="O532" s="9">
        <v>0</v>
      </c>
    </row>
    <row r="533" spans="1:15" x14ac:dyDescent="0.25">
      <c r="A533" s="7">
        <v>46162</v>
      </c>
      <c r="B533" s="8" t="s">
        <v>19</v>
      </c>
      <c r="C533" s="9" t="s">
        <v>20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 t="shared" si="86"/>
        <v>26</v>
      </c>
      <c r="J533" s="3">
        <f t="shared" si="88"/>
        <v>17</v>
      </c>
      <c r="K533" s="3">
        <f t="shared" si="87"/>
        <v>9</v>
      </c>
      <c r="L533" s="3" t="str">
        <f t="shared" si="90"/>
        <v>MUITO BOM</v>
      </c>
      <c r="M533" s="9">
        <v>26</v>
      </c>
      <c r="N533" s="9">
        <v>95.38</v>
      </c>
      <c r="O533" s="9">
        <v>21.5962441314554</v>
      </c>
    </row>
    <row r="534" spans="1:15" x14ac:dyDescent="0.25">
      <c r="A534" s="7">
        <v>46162</v>
      </c>
      <c r="B534" s="8" t="s">
        <v>21</v>
      </c>
      <c r="C534" s="9" t="s">
        <v>18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 t="shared" si="86"/>
        <v>22</v>
      </c>
      <c r="J534" s="3">
        <f t="shared" si="88"/>
        <v>26</v>
      </c>
      <c r="K534" s="3">
        <f t="shared" si="87"/>
        <v>-4</v>
      </c>
      <c r="L534" s="3" t="str">
        <f t="shared" si="90"/>
        <v>ATENÇÃO</v>
      </c>
      <c r="M534" s="9">
        <v>18</v>
      </c>
      <c r="N534" s="9">
        <v>96.34</v>
      </c>
      <c r="O534" s="9">
        <v>17.571884984025559</v>
      </c>
    </row>
    <row r="535" spans="1:15" x14ac:dyDescent="0.25">
      <c r="A535" s="7">
        <v>46162</v>
      </c>
      <c r="B535" s="8" t="s">
        <v>22</v>
      </c>
      <c r="C535" s="9" t="s">
        <v>43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 t="shared" si="86"/>
        <v>33</v>
      </c>
      <c r="J535" s="3">
        <f t="shared" si="88"/>
        <v>15</v>
      </c>
      <c r="K535" s="3">
        <f t="shared" si="87"/>
        <v>18</v>
      </c>
      <c r="L535" s="3" t="str">
        <f t="shared" si="90"/>
        <v>MUITO BOM</v>
      </c>
      <c r="M535" s="9">
        <v>32</v>
      </c>
      <c r="N535" s="9">
        <v>99.11</v>
      </c>
      <c r="O535" s="9">
        <v>17.721518987341771</v>
      </c>
    </row>
    <row r="536" spans="1:15" x14ac:dyDescent="0.25">
      <c r="A536" s="7">
        <v>46162</v>
      </c>
      <c r="B536" s="8" t="s">
        <v>24</v>
      </c>
      <c r="C536" s="9" t="s">
        <v>16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 t="shared" si="86"/>
        <v>25</v>
      </c>
      <c r="J536" s="3">
        <f t="shared" si="88"/>
        <v>21</v>
      </c>
      <c r="K536" s="3">
        <f t="shared" si="87"/>
        <v>4</v>
      </c>
      <c r="L536" s="3" t="str">
        <f t="shared" si="90"/>
        <v>OPORTUNO</v>
      </c>
      <c r="M536" s="9">
        <v>29</v>
      </c>
      <c r="N536" s="9">
        <v>99.13</v>
      </c>
      <c r="O536" s="9">
        <v>14.7239263803681</v>
      </c>
    </row>
    <row r="537" spans="1:15" x14ac:dyDescent="0.25">
      <c r="A537" s="7">
        <v>46162</v>
      </c>
      <c r="B537" s="8" t="s">
        <v>25</v>
      </c>
      <c r="C537" s="9" t="s">
        <v>16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 t="shared" si="86"/>
        <v>27</v>
      </c>
      <c r="J537" s="3">
        <f t="shared" si="88"/>
        <v>21</v>
      </c>
      <c r="K537" s="3">
        <f t="shared" si="87"/>
        <v>6</v>
      </c>
      <c r="L537" s="3" t="str">
        <f t="shared" si="90"/>
        <v>MUITO BOM</v>
      </c>
      <c r="M537" s="9">
        <v>25</v>
      </c>
      <c r="N537" s="9">
        <v>98.8</v>
      </c>
      <c r="O537" s="9">
        <v>16.897506925207761</v>
      </c>
    </row>
    <row r="538" spans="1:15" x14ac:dyDescent="0.25">
      <c r="A538" s="7">
        <v>46162</v>
      </c>
      <c r="B538" s="8" t="s">
        <v>26</v>
      </c>
      <c r="C538" s="9" t="s">
        <v>23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 t="shared" si="86"/>
        <v>10</v>
      </c>
      <c r="J538" s="3">
        <f t="shared" si="88"/>
        <v>7</v>
      </c>
      <c r="K538" s="3">
        <f t="shared" si="87"/>
        <v>3</v>
      </c>
      <c r="L538" s="3" t="str">
        <f t="shared" si="90"/>
        <v>OPORTUNO</v>
      </c>
      <c r="M538" s="9">
        <v>8</v>
      </c>
      <c r="N538" s="9">
        <v>96.43</v>
      </c>
      <c r="O538" s="9">
        <v>20</v>
      </c>
    </row>
    <row r="539" spans="1:15" x14ac:dyDescent="0.25">
      <c r="A539" s="7">
        <v>46162</v>
      </c>
      <c r="B539" s="8" t="s">
        <v>27</v>
      </c>
      <c r="C539" s="9" t="s">
        <v>20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 t="shared" si="86"/>
        <v>24</v>
      </c>
      <c r="J539" s="3">
        <f t="shared" si="88"/>
        <v>17</v>
      </c>
      <c r="K539" s="3">
        <f t="shared" si="87"/>
        <v>7</v>
      </c>
      <c r="L539" s="3" t="str">
        <f t="shared" si="90"/>
        <v>MUITO BOM</v>
      </c>
      <c r="M539" s="9">
        <v>22</v>
      </c>
      <c r="N539" s="9">
        <v>96.88</v>
      </c>
      <c r="O539" s="9">
        <v>19.526627218934909</v>
      </c>
    </row>
    <row r="540" spans="1:15" x14ac:dyDescent="0.25">
      <c r="A540" s="7">
        <v>46162</v>
      </c>
      <c r="B540" s="8" t="s">
        <v>28</v>
      </c>
      <c r="C540" s="9" t="s">
        <v>18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 t="shared" si="86"/>
        <v>26</v>
      </c>
      <c r="J540" s="3">
        <f t="shared" si="88"/>
        <v>26</v>
      </c>
      <c r="K540" s="3">
        <f t="shared" si="87"/>
        <v>0</v>
      </c>
      <c r="L540" s="3" t="str">
        <f t="shared" si="90"/>
        <v>OPORTUNO</v>
      </c>
      <c r="M540" s="9">
        <v>21</v>
      </c>
      <c r="N540" s="9">
        <v>91.85</v>
      </c>
      <c r="O540" s="9">
        <v>20.87155963302752</v>
      </c>
    </row>
    <row r="541" spans="1:15" x14ac:dyDescent="0.25">
      <c r="A541" s="7">
        <v>46162</v>
      </c>
      <c r="B541" s="8" t="s">
        <v>29</v>
      </c>
      <c r="C541" s="9" t="s">
        <v>16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f t="shared" si="86"/>
        <v>0</v>
      </c>
      <c r="J541" s="3">
        <f t="shared" si="88"/>
        <v>21</v>
      </c>
      <c r="K541" s="3">
        <f t="shared" si="87"/>
        <v>-21</v>
      </c>
      <c r="L541" s="3" t="str">
        <f t="shared" si="90"/>
        <v>CRÍTICO</v>
      </c>
      <c r="M541" s="9">
        <v>0</v>
      </c>
      <c r="N541" s="9">
        <v>98.63</v>
      </c>
      <c r="O541" s="9">
        <v>18.75</v>
      </c>
    </row>
    <row r="542" spans="1:15" x14ac:dyDescent="0.25">
      <c r="A542" s="7">
        <v>46162</v>
      </c>
      <c r="B542" s="8" t="s">
        <v>30</v>
      </c>
      <c r="C542" s="9" t="s">
        <v>20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 t="shared" ref="I542:I573" si="91">E542+G542+H542</f>
        <v>16</v>
      </c>
      <c r="J542" s="3">
        <f t="shared" si="88"/>
        <v>17</v>
      </c>
      <c r="K542" s="3">
        <f t="shared" ref="K542:K573" si="92">I542-J542</f>
        <v>-1</v>
      </c>
      <c r="L542" s="3" t="str">
        <f t="shared" si="90"/>
        <v>ATENÇÃO</v>
      </c>
      <c r="M542" s="9">
        <v>13</v>
      </c>
      <c r="N542" s="9">
        <v>100</v>
      </c>
      <c r="O542" s="9">
        <v>18.14516129032258</v>
      </c>
    </row>
    <row r="543" spans="1:15" x14ac:dyDescent="0.25">
      <c r="A543" s="7">
        <v>46162</v>
      </c>
      <c r="B543" s="8" t="s">
        <v>31</v>
      </c>
      <c r="C543" s="9" t="s">
        <v>18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f t="shared" si="91"/>
        <v>0</v>
      </c>
      <c r="J543" s="3">
        <f t="shared" si="88"/>
        <v>26</v>
      </c>
      <c r="K543" s="3">
        <f t="shared" si="92"/>
        <v>-26</v>
      </c>
      <c r="L543" s="3" t="str">
        <f t="shared" si="90"/>
        <v>CRÍTICO</v>
      </c>
      <c r="M543" s="9">
        <v>0</v>
      </c>
      <c r="N543" s="9">
        <v>99.06</v>
      </c>
      <c r="O543" s="9">
        <v>22.95719844357977</v>
      </c>
    </row>
    <row r="544" spans="1:15" x14ac:dyDescent="0.25">
      <c r="A544" s="7">
        <v>46162</v>
      </c>
      <c r="B544" s="8" t="s">
        <v>32</v>
      </c>
      <c r="C544" s="9" t="s">
        <v>23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 t="shared" si="91"/>
        <v>4</v>
      </c>
      <c r="J544" s="3">
        <f t="shared" si="88"/>
        <v>7</v>
      </c>
      <c r="K544" s="3">
        <f t="shared" si="92"/>
        <v>-3</v>
      </c>
      <c r="L544" s="3" t="str">
        <f t="shared" si="90"/>
        <v>ATENÇÃO</v>
      </c>
      <c r="M544" s="9">
        <v>0</v>
      </c>
      <c r="N544" s="9">
        <v>100</v>
      </c>
      <c r="O544" s="9">
        <v>29.032258064516132</v>
      </c>
    </row>
    <row r="545" spans="1:15" x14ac:dyDescent="0.25">
      <c r="A545" s="7">
        <v>46162</v>
      </c>
      <c r="B545" s="8" t="s">
        <v>33</v>
      </c>
      <c r="C545" s="9" t="s">
        <v>16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 t="shared" si="91"/>
        <v>30</v>
      </c>
      <c r="J545" s="3">
        <f t="shared" si="88"/>
        <v>21</v>
      </c>
      <c r="K545" s="3">
        <f t="shared" si="92"/>
        <v>9</v>
      </c>
      <c r="L545" s="3" t="str">
        <f t="shared" si="90"/>
        <v>MUITO BOM</v>
      </c>
      <c r="M545" s="9">
        <v>28</v>
      </c>
      <c r="N545" s="9">
        <v>100</v>
      </c>
      <c r="O545" s="9">
        <v>13.8121546961326</v>
      </c>
    </row>
    <row r="546" spans="1:15" x14ac:dyDescent="0.25">
      <c r="A546" s="7">
        <v>46162</v>
      </c>
      <c r="B546" s="8" t="s">
        <v>34</v>
      </c>
      <c r="C546" s="9" t="s">
        <v>18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f t="shared" si="91"/>
        <v>0</v>
      </c>
      <c r="J546" s="3">
        <f t="shared" si="88"/>
        <v>26</v>
      </c>
      <c r="K546" s="3">
        <f t="shared" si="92"/>
        <v>-26</v>
      </c>
      <c r="L546" s="3" t="str">
        <f t="shared" si="90"/>
        <v>CRÍTICO</v>
      </c>
      <c r="M546" s="9">
        <v>0</v>
      </c>
      <c r="N546" s="9">
        <v>100</v>
      </c>
      <c r="O546" s="9">
        <v>9.5238095238095237</v>
      </c>
    </row>
    <row r="547" spans="1:15" x14ac:dyDescent="0.25">
      <c r="A547" s="7">
        <v>46162</v>
      </c>
      <c r="B547" s="8" t="s">
        <v>35</v>
      </c>
      <c r="C547" s="9" t="s">
        <v>16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f t="shared" si="91"/>
        <v>0</v>
      </c>
      <c r="J547" s="3">
        <f t="shared" si="88"/>
        <v>21</v>
      </c>
      <c r="K547" s="3">
        <f t="shared" si="92"/>
        <v>-21</v>
      </c>
      <c r="L547" s="3" t="str">
        <f t="shared" si="90"/>
        <v>CRÍTICO</v>
      </c>
      <c r="M547" s="9">
        <v>0</v>
      </c>
      <c r="N547" s="9">
        <v>100</v>
      </c>
      <c r="O547" s="9">
        <v>17.241379310344829</v>
      </c>
    </row>
    <row r="548" spans="1:15" x14ac:dyDescent="0.25">
      <c r="A548" s="7">
        <v>46162</v>
      </c>
      <c r="B548" s="8" t="s">
        <v>64</v>
      </c>
      <c r="C548" s="9" t="s">
        <v>23</v>
      </c>
      <c r="D548" s="3">
        <v>7</v>
      </c>
      <c r="E548" s="3">
        <v>7</v>
      </c>
      <c r="F548" s="3">
        <v>22.26</v>
      </c>
      <c r="G548" s="3">
        <v>0</v>
      </c>
      <c r="H548" s="3">
        <v>0</v>
      </c>
      <c r="I548" s="3">
        <f t="shared" si="91"/>
        <v>7</v>
      </c>
      <c r="J548" s="3">
        <f t="shared" si="88"/>
        <v>7</v>
      </c>
      <c r="K548" s="3">
        <f t="shared" si="92"/>
        <v>0</v>
      </c>
      <c r="L548" s="3" t="str">
        <f t="shared" si="90"/>
        <v>OPORTUNO</v>
      </c>
      <c r="M548" s="9">
        <v>6</v>
      </c>
      <c r="N548" s="9">
        <v>100</v>
      </c>
      <c r="O548" s="9">
        <v>14.285714285714279</v>
      </c>
    </row>
    <row r="549" spans="1:15" x14ac:dyDescent="0.25">
      <c r="A549" s="7">
        <v>46162</v>
      </c>
      <c r="B549" s="8" t="s">
        <v>36</v>
      </c>
      <c r="C549" s="9" t="s">
        <v>20</v>
      </c>
      <c r="D549" s="3">
        <v>26</v>
      </c>
      <c r="E549" s="3">
        <v>20</v>
      </c>
      <c r="F549" s="3">
        <v>9.09</v>
      </c>
      <c r="G549" s="3">
        <v>5</v>
      </c>
      <c r="H549" s="3">
        <v>2</v>
      </c>
      <c r="I549" s="3">
        <f t="shared" si="91"/>
        <v>27</v>
      </c>
      <c r="J549" s="3">
        <f t="shared" si="88"/>
        <v>17</v>
      </c>
      <c r="K549" s="3">
        <f t="shared" si="92"/>
        <v>10</v>
      </c>
      <c r="L549" s="3" t="str">
        <f t="shared" si="90"/>
        <v>MUITO BOM</v>
      </c>
      <c r="M549" s="9">
        <v>21</v>
      </c>
      <c r="N549" s="9">
        <v>98.8</v>
      </c>
      <c r="O549" s="9">
        <v>15.41353383458646</v>
      </c>
    </row>
    <row r="550" spans="1:15" x14ac:dyDescent="0.25">
      <c r="A550" s="7">
        <v>46162</v>
      </c>
      <c r="B550" s="8" t="s">
        <v>37</v>
      </c>
      <c r="C550" s="9" t="s">
        <v>16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 t="shared" si="91"/>
        <v>25</v>
      </c>
      <c r="J550" s="3">
        <f t="shared" si="88"/>
        <v>21</v>
      </c>
      <c r="K550" s="3">
        <f t="shared" si="92"/>
        <v>4</v>
      </c>
      <c r="L550" s="3" t="str">
        <f t="shared" si="90"/>
        <v>OPORTUNO</v>
      </c>
      <c r="M550" s="9">
        <v>22</v>
      </c>
      <c r="N550" s="9">
        <v>98.63</v>
      </c>
      <c r="O550" s="9">
        <v>15.75757575757576</v>
      </c>
    </row>
    <row r="551" spans="1:15" x14ac:dyDescent="0.25">
      <c r="A551" s="7">
        <v>46162</v>
      </c>
      <c r="B551" s="8" t="s">
        <v>38</v>
      </c>
      <c r="C551" s="9" t="s">
        <v>18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 t="shared" si="91"/>
        <v>38</v>
      </c>
      <c r="J551" s="3">
        <f t="shared" si="88"/>
        <v>26</v>
      </c>
      <c r="K551" s="3">
        <f t="shared" si="92"/>
        <v>12</v>
      </c>
      <c r="L551" s="3" t="str">
        <f t="shared" si="90"/>
        <v>MUITO BOM</v>
      </c>
      <c r="M551" s="9">
        <v>34</v>
      </c>
      <c r="N551" s="9">
        <v>98.64</v>
      </c>
      <c r="O551" s="9">
        <v>16.638370118845501</v>
      </c>
    </row>
    <row r="552" spans="1:15" x14ac:dyDescent="0.25">
      <c r="A552" s="7">
        <v>46162</v>
      </c>
      <c r="B552" s="8" t="s">
        <v>39</v>
      </c>
      <c r="C552" s="9" t="s">
        <v>18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 t="shared" si="91"/>
        <v>23</v>
      </c>
      <c r="J552" s="3">
        <f t="shared" si="88"/>
        <v>26</v>
      </c>
      <c r="K552" s="3">
        <f t="shared" si="92"/>
        <v>-3</v>
      </c>
      <c r="L552" s="3" t="str">
        <f t="shared" si="90"/>
        <v>ATENÇÃO</v>
      </c>
      <c r="M552" s="9">
        <v>19</v>
      </c>
      <c r="N552" s="9">
        <v>95.4</v>
      </c>
      <c r="O552" s="9">
        <v>20.533333333333331</v>
      </c>
    </row>
    <row r="553" spans="1:15" x14ac:dyDescent="0.25">
      <c r="A553" s="7">
        <v>46162</v>
      </c>
      <c r="B553" s="8" t="s">
        <v>40</v>
      </c>
      <c r="C553" s="9" t="s">
        <v>16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 t="shared" si="91"/>
        <v>26</v>
      </c>
      <c r="J553" s="3">
        <f t="shared" si="88"/>
        <v>21</v>
      </c>
      <c r="K553" s="3">
        <f t="shared" si="92"/>
        <v>5</v>
      </c>
      <c r="L553" s="3" t="str">
        <f t="shared" si="90"/>
        <v>OPORTUNO</v>
      </c>
      <c r="M553" s="9">
        <v>23</v>
      </c>
      <c r="N553" s="9">
        <v>98.61</v>
      </c>
      <c r="O553" s="9">
        <v>16.97530864197531</v>
      </c>
    </row>
    <row r="554" spans="1:15" x14ac:dyDescent="0.25">
      <c r="A554" s="7">
        <v>46162</v>
      </c>
      <c r="B554" s="8" t="s">
        <v>41</v>
      </c>
      <c r="C554" s="9" t="s">
        <v>18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f t="shared" si="91"/>
        <v>0</v>
      </c>
      <c r="J554" s="3">
        <f t="shared" si="88"/>
        <v>26</v>
      </c>
      <c r="K554" s="3">
        <f t="shared" si="92"/>
        <v>-26</v>
      </c>
      <c r="L554" s="3" t="str">
        <f t="shared" si="90"/>
        <v>CRÍTICO</v>
      </c>
      <c r="M554" s="9">
        <v>0</v>
      </c>
      <c r="N554" s="9">
        <v>0</v>
      </c>
      <c r="O554" s="9">
        <v>0</v>
      </c>
    </row>
    <row r="555" spans="1:15" x14ac:dyDescent="0.25">
      <c r="A555" s="7">
        <v>46162</v>
      </c>
      <c r="B555" s="8" t="s">
        <v>42</v>
      </c>
      <c r="C555" s="9" t="s">
        <v>43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 t="shared" si="91"/>
        <v>20</v>
      </c>
      <c r="J555" s="3">
        <f t="shared" si="88"/>
        <v>15</v>
      </c>
      <c r="K555" s="3">
        <f t="shared" si="92"/>
        <v>5</v>
      </c>
      <c r="L555" s="3" t="str">
        <f t="shared" si="90"/>
        <v>OPORTUNO</v>
      </c>
      <c r="M555" s="9">
        <v>20</v>
      </c>
      <c r="N555" s="9">
        <v>97.01</v>
      </c>
      <c r="O555" s="9">
        <v>13.961038961038961</v>
      </c>
    </row>
    <row r="556" spans="1:15" x14ac:dyDescent="0.25">
      <c r="A556" s="7">
        <v>46162</v>
      </c>
      <c r="B556" s="8" t="s">
        <v>44</v>
      </c>
      <c r="C556" s="9" t="s">
        <v>18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 t="shared" si="91"/>
        <v>17</v>
      </c>
      <c r="J556" s="3">
        <f t="shared" si="88"/>
        <v>26</v>
      </c>
      <c r="K556" s="3">
        <f t="shared" si="92"/>
        <v>-9</v>
      </c>
      <c r="L556" s="3" t="str">
        <f t="shared" si="90"/>
        <v>CRÍTICO</v>
      </c>
      <c r="M556" s="9">
        <v>18</v>
      </c>
      <c r="N556" s="9">
        <v>95.52</v>
      </c>
      <c r="O556" s="9">
        <v>10.561056105610559</v>
      </c>
    </row>
    <row r="557" spans="1:15" x14ac:dyDescent="0.25">
      <c r="A557" s="7">
        <v>46162</v>
      </c>
      <c r="B557" s="8" t="s">
        <v>45</v>
      </c>
      <c r="C557" s="9" t="s">
        <v>43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 t="shared" si="91"/>
        <v>12</v>
      </c>
      <c r="J557" s="3">
        <f t="shared" si="88"/>
        <v>15</v>
      </c>
      <c r="K557" s="3">
        <f t="shared" si="92"/>
        <v>-3</v>
      </c>
      <c r="L557" s="3" t="str">
        <f t="shared" si="90"/>
        <v>ATENÇÃO</v>
      </c>
      <c r="M557" s="9">
        <v>12</v>
      </c>
      <c r="N557" s="9">
        <v>100</v>
      </c>
      <c r="O557" s="9">
        <v>16.959064327485379</v>
      </c>
    </row>
    <row r="558" spans="1:15" x14ac:dyDescent="0.25">
      <c r="A558" s="7">
        <v>46162</v>
      </c>
      <c r="B558" s="8" t="s">
        <v>46</v>
      </c>
      <c r="C558" s="9" t="s">
        <v>18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 t="shared" si="91"/>
        <v>29</v>
      </c>
      <c r="J558" s="3">
        <f t="shared" si="88"/>
        <v>26</v>
      </c>
      <c r="K558" s="3">
        <f t="shared" si="92"/>
        <v>3</v>
      </c>
      <c r="L558" s="3" t="str">
        <f t="shared" si="90"/>
        <v>OPORTUNO</v>
      </c>
      <c r="M558" s="9">
        <v>28</v>
      </c>
      <c r="N558" s="9">
        <v>100</v>
      </c>
      <c r="O558" s="9">
        <v>15.584415584415581</v>
      </c>
    </row>
    <row r="559" spans="1:15" x14ac:dyDescent="0.25">
      <c r="A559" s="7">
        <v>46162</v>
      </c>
      <c r="B559" s="8" t="s">
        <v>47</v>
      </c>
      <c r="C559" s="9" t="s">
        <v>16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 t="shared" si="91"/>
        <v>25</v>
      </c>
      <c r="J559" s="3">
        <f t="shared" si="88"/>
        <v>21</v>
      </c>
      <c r="K559" s="3">
        <f t="shared" si="92"/>
        <v>4</v>
      </c>
      <c r="L559" s="3" t="str">
        <f t="shared" si="90"/>
        <v>OPORTUNO</v>
      </c>
      <c r="M559" s="9">
        <v>19</v>
      </c>
      <c r="N559" s="9">
        <v>98.61</v>
      </c>
      <c r="O559" s="9">
        <v>16.867469879518069</v>
      </c>
    </row>
    <row r="560" spans="1:15" x14ac:dyDescent="0.25">
      <c r="A560" s="7">
        <v>46162</v>
      </c>
      <c r="B560" s="8" t="s">
        <v>48</v>
      </c>
      <c r="C560" s="9" t="s">
        <v>16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 t="shared" si="91"/>
        <v>13</v>
      </c>
      <c r="J560" s="3">
        <f t="shared" si="88"/>
        <v>21</v>
      </c>
      <c r="K560" s="3">
        <f t="shared" si="92"/>
        <v>-8</v>
      </c>
      <c r="L560" s="3" t="str">
        <f t="shared" si="90"/>
        <v>CRÍTICO</v>
      </c>
      <c r="M560" s="9">
        <v>8</v>
      </c>
      <c r="N560" s="9">
        <v>100</v>
      </c>
      <c r="O560" s="9">
        <v>20.820189274447952</v>
      </c>
    </row>
    <row r="561" spans="1:15" x14ac:dyDescent="0.25">
      <c r="A561" s="7">
        <v>46162</v>
      </c>
      <c r="B561" s="8" t="s">
        <v>49</v>
      </c>
      <c r="C561" s="9" t="s">
        <v>18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 t="shared" si="91"/>
        <v>21</v>
      </c>
      <c r="J561" s="3">
        <f t="shared" si="88"/>
        <v>26</v>
      </c>
      <c r="K561" s="3">
        <f t="shared" si="92"/>
        <v>-5</v>
      </c>
      <c r="L561" s="3" t="str">
        <f t="shared" si="90"/>
        <v>ATENÇÃO</v>
      </c>
      <c r="M561" s="9">
        <v>18</v>
      </c>
      <c r="N561" s="9">
        <v>100</v>
      </c>
      <c r="O561" s="9">
        <v>4.3478260869565224</v>
      </c>
    </row>
    <row r="562" spans="1:15" x14ac:dyDescent="0.25">
      <c r="A562" s="7">
        <v>46162</v>
      </c>
      <c r="B562" s="8" t="s">
        <v>50</v>
      </c>
      <c r="C562" s="9" t="s">
        <v>20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 t="shared" si="91"/>
        <v>18</v>
      </c>
      <c r="J562" s="3">
        <f t="shared" si="88"/>
        <v>17</v>
      </c>
      <c r="K562" s="3">
        <f t="shared" si="92"/>
        <v>1</v>
      </c>
      <c r="L562" s="3" t="str">
        <f t="shared" si="90"/>
        <v>OPORTUNO</v>
      </c>
      <c r="M562" s="9">
        <v>16</v>
      </c>
      <c r="N562" s="9">
        <v>93.26</v>
      </c>
      <c r="O562" s="9">
        <v>19.93957703927493</v>
      </c>
    </row>
    <row r="563" spans="1:15" x14ac:dyDescent="0.25">
      <c r="A563" s="7">
        <v>46162</v>
      </c>
      <c r="B563" s="8" t="s">
        <v>51</v>
      </c>
      <c r="C563" s="9" t="s">
        <v>23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 t="shared" si="91"/>
        <v>10</v>
      </c>
      <c r="J563" s="3">
        <f t="shared" si="88"/>
        <v>7</v>
      </c>
      <c r="K563" s="3">
        <f t="shared" si="92"/>
        <v>3</v>
      </c>
      <c r="L563" s="3" t="str">
        <f t="shared" ref="L563:L594" si="93">IF(K563&lt;-5,"CRÍTICO",IF(K563&lt;0,"ATENÇÃO",IF(K563&lt;=5,"OPORTUNO","MUITO BOM")))</f>
        <v>OPORTUNO</v>
      </c>
      <c r="M563" s="9">
        <v>5</v>
      </c>
      <c r="N563" s="9">
        <v>100</v>
      </c>
      <c r="O563" s="9">
        <v>11.864406779661021</v>
      </c>
    </row>
    <row r="564" spans="1:15" x14ac:dyDescent="0.25">
      <c r="A564" s="7">
        <v>46162</v>
      </c>
      <c r="B564" s="8" t="s">
        <v>52</v>
      </c>
      <c r="C564" s="9" t="s">
        <v>18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 t="shared" si="91"/>
        <v>25</v>
      </c>
      <c r="J564" s="3">
        <f t="shared" si="88"/>
        <v>26</v>
      </c>
      <c r="K564" s="3">
        <f t="shared" si="92"/>
        <v>-1</v>
      </c>
      <c r="L564" s="3" t="str">
        <f t="shared" si="93"/>
        <v>ATENÇÃO</v>
      </c>
      <c r="M564" s="9">
        <v>16</v>
      </c>
      <c r="N564" s="9">
        <v>98.28</v>
      </c>
      <c r="O564" s="9">
        <v>9.037900874635568</v>
      </c>
    </row>
    <row r="565" spans="1:15" x14ac:dyDescent="0.25">
      <c r="A565" s="7">
        <v>46162</v>
      </c>
      <c r="B565" s="8" t="s">
        <v>53</v>
      </c>
      <c r="C565" s="9" t="s">
        <v>18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 t="shared" si="91"/>
        <v>27</v>
      </c>
      <c r="J565" s="3">
        <f t="shared" si="88"/>
        <v>26</v>
      </c>
      <c r="K565" s="3">
        <f t="shared" si="92"/>
        <v>1</v>
      </c>
      <c r="L565" s="3" t="str">
        <f t="shared" si="93"/>
        <v>OPORTUNO</v>
      </c>
      <c r="M565" s="9">
        <v>23</v>
      </c>
      <c r="N565" s="9">
        <v>97.22</v>
      </c>
      <c r="O565" s="9">
        <v>19.095477386934672</v>
      </c>
    </row>
    <row r="566" spans="1:15" x14ac:dyDescent="0.25">
      <c r="A566" s="7">
        <v>46162</v>
      </c>
      <c r="B566" s="8" t="s">
        <v>54</v>
      </c>
      <c r="C566" s="9" t="s">
        <v>23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 t="shared" si="91"/>
        <v>17</v>
      </c>
      <c r="J566" s="3">
        <f t="shared" si="88"/>
        <v>7</v>
      </c>
      <c r="K566" s="3">
        <f t="shared" si="92"/>
        <v>10</v>
      </c>
      <c r="L566" s="3" t="str">
        <f t="shared" si="93"/>
        <v>MUITO BOM</v>
      </c>
      <c r="M566" s="9">
        <v>14</v>
      </c>
      <c r="N566" s="9">
        <v>100</v>
      </c>
      <c r="O566" s="9">
        <v>16.814159292035399</v>
      </c>
    </row>
    <row r="567" spans="1:15" x14ac:dyDescent="0.25">
      <c r="A567" s="7">
        <v>46162</v>
      </c>
      <c r="B567" s="8" t="s">
        <v>55</v>
      </c>
      <c r="C567" s="9" t="s">
        <v>43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 t="shared" si="91"/>
        <v>21</v>
      </c>
      <c r="J567" s="3">
        <f t="shared" si="88"/>
        <v>15</v>
      </c>
      <c r="K567" s="3">
        <f t="shared" si="92"/>
        <v>6</v>
      </c>
      <c r="L567" s="3" t="str">
        <f t="shared" si="93"/>
        <v>MUITO BOM</v>
      </c>
      <c r="M567" s="9">
        <v>19</v>
      </c>
      <c r="N567" s="9">
        <v>98</v>
      </c>
      <c r="O567" s="9">
        <v>16.43835616438356</v>
      </c>
    </row>
    <row r="568" spans="1:15" x14ac:dyDescent="0.25">
      <c r="A568" s="7">
        <v>46162</v>
      </c>
      <c r="B568" s="8" t="s">
        <v>56</v>
      </c>
      <c r="C568" s="9" t="s">
        <v>16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f t="shared" si="91"/>
        <v>0</v>
      </c>
      <c r="J568" s="3">
        <f t="shared" si="88"/>
        <v>21</v>
      </c>
      <c r="K568" s="3">
        <f t="shared" si="92"/>
        <v>-21</v>
      </c>
      <c r="L568" s="3" t="str">
        <f t="shared" si="93"/>
        <v>CRÍTICO</v>
      </c>
      <c r="M568" s="9">
        <v>0</v>
      </c>
      <c r="N568" s="9">
        <v>100</v>
      </c>
      <c r="O568" s="9">
        <v>16.894977168949769</v>
      </c>
    </row>
    <row r="569" spans="1:15" x14ac:dyDescent="0.25">
      <c r="A569" s="7">
        <v>46162</v>
      </c>
      <c r="B569" s="8" t="s">
        <v>57</v>
      </c>
      <c r="C569" s="9" t="s">
        <v>43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 t="shared" si="91"/>
        <v>14</v>
      </c>
      <c r="J569" s="3">
        <f t="shared" si="88"/>
        <v>15</v>
      </c>
      <c r="K569" s="3">
        <f t="shared" si="92"/>
        <v>-1</v>
      </c>
      <c r="L569" s="3" t="str">
        <f t="shared" si="93"/>
        <v>ATENÇÃO</v>
      </c>
      <c r="M569" s="9">
        <v>11</v>
      </c>
      <c r="N569" s="9">
        <v>100</v>
      </c>
      <c r="O569" s="9">
        <v>19.138755980861241</v>
      </c>
    </row>
    <row r="570" spans="1:15" x14ac:dyDescent="0.25">
      <c r="A570" s="7">
        <v>46162</v>
      </c>
      <c r="B570" s="8" t="s">
        <v>58</v>
      </c>
      <c r="C570" s="9" t="s">
        <v>43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 t="shared" si="91"/>
        <v>15</v>
      </c>
      <c r="J570" s="3">
        <f t="shared" si="88"/>
        <v>15</v>
      </c>
      <c r="K570" s="3">
        <f t="shared" si="92"/>
        <v>0</v>
      </c>
      <c r="L570" s="3" t="str">
        <f t="shared" si="93"/>
        <v>OPORTUNO</v>
      </c>
      <c r="M570" s="9">
        <v>15</v>
      </c>
      <c r="N570" s="9">
        <v>100</v>
      </c>
      <c r="O570" s="9">
        <v>15.02145922746781</v>
      </c>
    </row>
    <row r="571" spans="1:15" x14ac:dyDescent="0.25">
      <c r="A571" s="7">
        <v>46162</v>
      </c>
      <c r="B571" s="8" t="s">
        <v>59</v>
      </c>
      <c r="C571" s="9" t="s">
        <v>23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 t="shared" si="91"/>
        <v>15</v>
      </c>
      <c r="J571" s="3">
        <f t="shared" si="88"/>
        <v>7</v>
      </c>
      <c r="K571" s="3">
        <f t="shared" si="92"/>
        <v>8</v>
      </c>
      <c r="L571" s="3" t="str">
        <f t="shared" si="93"/>
        <v>MUITO BOM</v>
      </c>
      <c r="M571" s="9">
        <v>13</v>
      </c>
      <c r="N571" s="9">
        <v>98.11</v>
      </c>
      <c r="O571" s="9">
        <v>20.408163265306118</v>
      </c>
    </row>
    <row r="572" spans="1:15" x14ac:dyDescent="0.25">
      <c r="A572" s="7">
        <v>46162</v>
      </c>
      <c r="B572" s="8" t="s">
        <v>60</v>
      </c>
      <c r="C572" s="9" t="s">
        <v>20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 t="shared" si="91"/>
        <v>25</v>
      </c>
      <c r="J572" s="3">
        <f t="shared" si="88"/>
        <v>17</v>
      </c>
      <c r="K572" s="3">
        <f t="shared" si="92"/>
        <v>8</v>
      </c>
      <c r="L572" s="3" t="str">
        <f t="shared" si="93"/>
        <v>MUITO BOM</v>
      </c>
      <c r="M572" s="9">
        <v>18</v>
      </c>
      <c r="N572" s="9">
        <v>97.56</v>
      </c>
      <c r="O572" s="9">
        <v>19.28783382789317</v>
      </c>
    </row>
    <row r="573" spans="1:15" x14ac:dyDescent="0.25">
      <c r="A573" s="7">
        <v>46162</v>
      </c>
      <c r="B573" s="8" t="s">
        <v>61</v>
      </c>
      <c r="C573" s="9" t="s">
        <v>18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 t="shared" si="91"/>
        <v>33</v>
      </c>
      <c r="J573" s="3">
        <f t="shared" si="88"/>
        <v>26</v>
      </c>
      <c r="K573" s="3">
        <f t="shared" si="92"/>
        <v>7</v>
      </c>
      <c r="L573" s="3" t="str">
        <f t="shared" si="93"/>
        <v>MUITO BOM</v>
      </c>
      <c r="M573" s="9">
        <v>28</v>
      </c>
      <c r="N573" s="9">
        <v>99.29</v>
      </c>
      <c r="O573" s="9">
        <v>22.49443207126949</v>
      </c>
    </row>
    <row r="574" spans="1:15" x14ac:dyDescent="0.25">
      <c r="A574" s="7">
        <v>46162</v>
      </c>
      <c r="B574" s="8" t="s">
        <v>62</v>
      </c>
      <c r="C574" s="9" t="s">
        <v>20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 t="shared" ref="I574:I605" si="94">E574+G574+H574</f>
        <v>18</v>
      </c>
      <c r="J574" s="3">
        <f t="shared" si="88"/>
        <v>17</v>
      </c>
      <c r="K574" s="3">
        <f t="shared" ref="K574:K605" si="95">I574-J574</f>
        <v>1</v>
      </c>
      <c r="L574" s="3" t="str">
        <f t="shared" si="93"/>
        <v>OPORTUNO</v>
      </c>
      <c r="M574" s="9">
        <v>14</v>
      </c>
      <c r="N574" s="9">
        <v>100</v>
      </c>
      <c r="O574" s="9">
        <v>16.97247706422019</v>
      </c>
    </row>
    <row r="575" spans="1:15" x14ac:dyDescent="0.25">
      <c r="A575" s="7">
        <v>46162</v>
      </c>
      <c r="B575" s="8" t="s">
        <v>63</v>
      </c>
      <c r="C575" s="9" t="s">
        <v>18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 t="shared" si="94"/>
        <v>24</v>
      </c>
      <c r="J575" s="3">
        <f t="shared" si="88"/>
        <v>26</v>
      </c>
      <c r="K575" s="3">
        <f t="shared" si="95"/>
        <v>-2</v>
      </c>
      <c r="L575" s="3" t="str">
        <f t="shared" si="93"/>
        <v>ATENÇÃO</v>
      </c>
      <c r="M575" s="9">
        <v>21</v>
      </c>
      <c r="N575" s="9">
        <v>97.33</v>
      </c>
      <c r="O575" s="9">
        <v>15.805471124620061</v>
      </c>
    </row>
    <row r="576" spans="1:15" x14ac:dyDescent="0.25">
      <c r="A576" s="5">
        <v>46163</v>
      </c>
      <c r="B576" s="6" t="s">
        <v>15</v>
      </c>
      <c r="C576" s="3" t="s">
        <v>16</v>
      </c>
      <c r="D576" s="3">
        <v>31</v>
      </c>
      <c r="E576" s="3">
        <v>19</v>
      </c>
      <c r="F576" s="3">
        <v>5.55</v>
      </c>
      <c r="G576" s="3">
        <v>1</v>
      </c>
      <c r="H576" s="3">
        <v>0</v>
      </c>
      <c r="I576" s="3">
        <f t="shared" si="94"/>
        <v>20</v>
      </c>
      <c r="J576" s="3">
        <f t="shared" si="88"/>
        <v>18</v>
      </c>
      <c r="K576" s="3">
        <f t="shared" si="95"/>
        <v>2</v>
      </c>
      <c r="L576" s="3" t="str">
        <f t="shared" si="93"/>
        <v>OPORTUNO</v>
      </c>
      <c r="M576" s="3">
        <v>17</v>
      </c>
      <c r="N576" s="3">
        <v>98.94</v>
      </c>
      <c r="O576" s="3">
        <v>19.614147909967851</v>
      </c>
    </row>
    <row r="577" spans="1:15" x14ac:dyDescent="0.25">
      <c r="A577" s="5">
        <v>46163</v>
      </c>
      <c r="B577" s="6" t="s">
        <v>17</v>
      </c>
      <c r="C577" s="3" t="s">
        <v>18</v>
      </c>
      <c r="D577" s="3">
        <v>4</v>
      </c>
      <c r="E577" s="3">
        <v>4</v>
      </c>
      <c r="F577" s="3">
        <v>12.1</v>
      </c>
      <c r="G577" s="3">
        <v>0</v>
      </c>
      <c r="H577" s="3">
        <v>0</v>
      </c>
      <c r="I577" s="3">
        <f t="shared" si="94"/>
        <v>4</v>
      </c>
      <c r="J577" s="3">
        <f t="shared" si="88"/>
        <v>22</v>
      </c>
      <c r="K577" s="3">
        <f t="shared" si="95"/>
        <v>-18</v>
      </c>
      <c r="L577" s="3" t="str">
        <f t="shared" si="93"/>
        <v>CRÍTICO</v>
      </c>
      <c r="M577" s="3">
        <v>0</v>
      </c>
      <c r="N577" s="3">
        <v>100</v>
      </c>
      <c r="O577" s="3">
        <v>0</v>
      </c>
    </row>
    <row r="578" spans="1:15" x14ac:dyDescent="0.25">
      <c r="A578" s="5">
        <v>46163</v>
      </c>
      <c r="B578" s="6" t="s">
        <v>19</v>
      </c>
      <c r="C578" s="3" t="s">
        <v>20</v>
      </c>
      <c r="D578" s="3">
        <v>24</v>
      </c>
      <c r="E578" s="3">
        <v>23</v>
      </c>
      <c r="F578" s="3">
        <v>10.27</v>
      </c>
      <c r="G578" s="3">
        <v>0</v>
      </c>
      <c r="H578" s="3">
        <v>0</v>
      </c>
      <c r="I578" s="3">
        <f t="shared" si="94"/>
        <v>23</v>
      </c>
      <c r="J578" s="3">
        <f t="shared" ref="J578:J641" si="96"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>15</v>
      </c>
      <c r="K578" s="3">
        <f t="shared" si="95"/>
        <v>8</v>
      </c>
      <c r="L578" s="3" t="str">
        <f t="shared" si="93"/>
        <v>MUITO BOM</v>
      </c>
      <c r="M578" s="3">
        <v>21</v>
      </c>
      <c r="N578" s="3">
        <v>95.38</v>
      </c>
      <c r="O578" s="3">
        <v>21.5962441314554</v>
      </c>
    </row>
    <row r="579" spans="1:15" x14ac:dyDescent="0.25">
      <c r="A579" s="5">
        <v>46163</v>
      </c>
      <c r="B579" s="6" t="s">
        <v>21</v>
      </c>
      <c r="C579" s="3" t="s">
        <v>18</v>
      </c>
      <c r="D579" s="3">
        <v>17</v>
      </c>
      <c r="E579" s="3">
        <v>15</v>
      </c>
      <c r="F579" s="3">
        <v>20.239999999999998</v>
      </c>
      <c r="G579" s="3">
        <v>0</v>
      </c>
      <c r="H579" s="3">
        <v>0</v>
      </c>
      <c r="I579" s="3">
        <f t="shared" si="94"/>
        <v>15</v>
      </c>
      <c r="J579" s="3">
        <f t="shared" si="96"/>
        <v>22</v>
      </c>
      <c r="K579" s="3">
        <f t="shared" si="95"/>
        <v>-7</v>
      </c>
      <c r="L579" s="3" t="str">
        <f t="shared" si="93"/>
        <v>CRÍTICO</v>
      </c>
      <c r="M579" s="3">
        <v>13</v>
      </c>
      <c r="N579" s="3">
        <v>96.34</v>
      </c>
      <c r="O579" s="3">
        <v>17.571884984025559</v>
      </c>
    </row>
    <row r="580" spans="1:15" x14ac:dyDescent="0.25">
      <c r="A580" s="5">
        <v>46163</v>
      </c>
      <c r="B580" s="6" t="s">
        <v>22</v>
      </c>
      <c r="C580" s="3" t="s">
        <v>43</v>
      </c>
      <c r="D580" s="3">
        <v>24</v>
      </c>
      <c r="E580" s="3">
        <v>22</v>
      </c>
      <c r="F580" s="3">
        <v>9.57</v>
      </c>
      <c r="G580" s="3">
        <v>0</v>
      </c>
      <c r="H580" s="3">
        <v>0</v>
      </c>
      <c r="I580" s="3">
        <f t="shared" si="94"/>
        <v>22</v>
      </c>
      <c r="J580" s="3">
        <f t="shared" si="96"/>
        <v>13</v>
      </c>
      <c r="K580" s="3">
        <f t="shared" si="95"/>
        <v>9</v>
      </c>
      <c r="L580" s="3" t="str">
        <f t="shared" si="93"/>
        <v>MUITO BOM</v>
      </c>
      <c r="M580" s="3">
        <v>20</v>
      </c>
      <c r="N580" s="3">
        <v>99.11</v>
      </c>
      <c r="O580" s="3">
        <v>17.721518987341771</v>
      </c>
    </row>
    <row r="581" spans="1:15" x14ac:dyDescent="0.25">
      <c r="A581" s="5">
        <v>46163</v>
      </c>
      <c r="B581" s="6" t="s">
        <v>24</v>
      </c>
      <c r="C581" s="3" t="s">
        <v>16</v>
      </c>
      <c r="D581" s="3">
        <v>31</v>
      </c>
      <c r="E581" s="3">
        <v>27</v>
      </c>
      <c r="F581" s="3">
        <v>6.15</v>
      </c>
      <c r="G581" s="3">
        <v>4</v>
      </c>
      <c r="H581" s="3">
        <v>0</v>
      </c>
      <c r="I581" s="3">
        <f t="shared" si="94"/>
        <v>31</v>
      </c>
      <c r="J581" s="3">
        <f t="shared" si="96"/>
        <v>18</v>
      </c>
      <c r="K581" s="3">
        <f t="shared" si="95"/>
        <v>13</v>
      </c>
      <c r="L581" s="3" t="str">
        <f t="shared" si="93"/>
        <v>MUITO BOM</v>
      </c>
      <c r="M581" s="3">
        <v>28</v>
      </c>
      <c r="N581" s="3">
        <v>99.13</v>
      </c>
      <c r="O581" s="3">
        <v>14.7239263803681</v>
      </c>
    </row>
    <row r="582" spans="1:15" x14ac:dyDescent="0.25">
      <c r="A582" s="5">
        <v>46163</v>
      </c>
      <c r="B582" s="6" t="s">
        <v>25</v>
      </c>
      <c r="C582" s="3" t="s">
        <v>16</v>
      </c>
      <c r="D582" s="3">
        <v>24</v>
      </c>
      <c r="E582" s="3">
        <v>22</v>
      </c>
      <c r="F582" s="3">
        <v>11.35</v>
      </c>
      <c r="G582" s="3">
        <v>1</v>
      </c>
      <c r="H582" s="3">
        <v>0</v>
      </c>
      <c r="I582" s="3">
        <f t="shared" si="94"/>
        <v>23</v>
      </c>
      <c r="J582" s="3">
        <f t="shared" si="96"/>
        <v>18</v>
      </c>
      <c r="K582" s="3">
        <f t="shared" si="95"/>
        <v>5</v>
      </c>
      <c r="L582" s="3" t="str">
        <f t="shared" si="93"/>
        <v>OPORTUNO</v>
      </c>
      <c r="M582" s="3">
        <v>21</v>
      </c>
      <c r="N582" s="3">
        <v>98.8</v>
      </c>
      <c r="O582" s="3">
        <v>16.897506925207761</v>
      </c>
    </row>
    <row r="583" spans="1:15" x14ac:dyDescent="0.25">
      <c r="A583" s="5">
        <v>46163</v>
      </c>
      <c r="B583" s="6" t="s">
        <v>26</v>
      </c>
      <c r="C583" s="3" t="s">
        <v>23</v>
      </c>
      <c r="D583" s="3">
        <v>7</v>
      </c>
      <c r="E583" s="3">
        <v>6</v>
      </c>
      <c r="F583" s="3">
        <v>16.34</v>
      </c>
      <c r="G583" s="3">
        <v>0</v>
      </c>
      <c r="H583" s="3">
        <v>0</v>
      </c>
      <c r="I583" s="3">
        <f t="shared" si="94"/>
        <v>6</v>
      </c>
      <c r="J583" s="3">
        <f t="shared" si="96"/>
        <v>6</v>
      </c>
      <c r="K583" s="3">
        <f t="shared" si="95"/>
        <v>0</v>
      </c>
      <c r="L583" s="3" t="str">
        <f t="shared" si="93"/>
        <v>OPORTUNO</v>
      </c>
      <c r="M583" s="3">
        <v>4</v>
      </c>
      <c r="N583" s="3">
        <v>96.43</v>
      </c>
      <c r="O583" s="3">
        <v>20</v>
      </c>
    </row>
    <row r="584" spans="1:15" x14ac:dyDescent="0.25">
      <c r="A584" s="5">
        <v>46163</v>
      </c>
      <c r="B584" s="6" t="s">
        <v>27</v>
      </c>
      <c r="C584" s="3" t="s">
        <v>20</v>
      </c>
      <c r="D584" s="3">
        <v>23</v>
      </c>
      <c r="E584" s="3">
        <v>22</v>
      </c>
      <c r="F584" s="3">
        <v>17.079999999999998</v>
      </c>
      <c r="G584" s="3">
        <v>0</v>
      </c>
      <c r="H584" s="3">
        <v>0</v>
      </c>
      <c r="I584" s="3">
        <f t="shared" si="94"/>
        <v>22</v>
      </c>
      <c r="J584" s="3">
        <f t="shared" si="96"/>
        <v>15</v>
      </c>
      <c r="K584" s="3">
        <f t="shared" si="95"/>
        <v>7</v>
      </c>
      <c r="L584" s="3" t="str">
        <f t="shared" si="93"/>
        <v>MUITO BOM</v>
      </c>
      <c r="M584" s="3">
        <v>17</v>
      </c>
      <c r="N584" s="3">
        <v>96.88</v>
      </c>
      <c r="O584" s="3">
        <v>19.526627218934909</v>
      </c>
    </row>
    <row r="585" spans="1:15" x14ac:dyDescent="0.25">
      <c r="A585" s="5">
        <v>46163</v>
      </c>
      <c r="B585" s="6" t="s">
        <v>28</v>
      </c>
      <c r="C585" s="3" t="s">
        <v>18</v>
      </c>
      <c r="D585" s="3">
        <v>22</v>
      </c>
      <c r="E585" s="3">
        <v>22</v>
      </c>
      <c r="F585" s="3">
        <v>8.2200000000000006</v>
      </c>
      <c r="G585" s="3">
        <v>0</v>
      </c>
      <c r="H585" s="3">
        <v>0</v>
      </c>
      <c r="I585" s="3">
        <f t="shared" si="94"/>
        <v>22</v>
      </c>
      <c r="J585" s="3">
        <f t="shared" si="96"/>
        <v>22</v>
      </c>
      <c r="K585" s="3">
        <f t="shared" si="95"/>
        <v>0</v>
      </c>
      <c r="L585" s="3" t="str">
        <f t="shared" si="93"/>
        <v>OPORTUNO</v>
      </c>
      <c r="M585" s="3">
        <v>20</v>
      </c>
      <c r="N585" s="3">
        <v>91.85</v>
      </c>
      <c r="O585" s="3">
        <v>20.87155963302752</v>
      </c>
    </row>
    <row r="586" spans="1:15" x14ac:dyDescent="0.25">
      <c r="A586" s="5">
        <v>46163</v>
      </c>
      <c r="B586" s="6" t="s">
        <v>29</v>
      </c>
      <c r="C586" s="3" t="s">
        <v>16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f t="shared" si="94"/>
        <v>0</v>
      </c>
      <c r="J586" s="3">
        <f t="shared" si="96"/>
        <v>18</v>
      </c>
      <c r="K586" s="3">
        <f t="shared" si="95"/>
        <v>-18</v>
      </c>
      <c r="L586" s="3" t="str">
        <f t="shared" si="93"/>
        <v>CRÍTICO</v>
      </c>
      <c r="M586" s="3">
        <v>0</v>
      </c>
      <c r="N586" s="3">
        <v>98.63</v>
      </c>
      <c r="O586" s="3">
        <v>18.75</v>
      </c>
    </row>
    <row r="587" spans="1:15" x14ac:dyDescent="0.25">
      <c r="A587" s="5">
        <v>46163</v>
      </c>
      <c r="B587" s="6" t="s">
        <v>30</v>
      </c>
      <c r="C587" s="3" t="s">
        <v>20</v>
      </c>
      <c r="D587" s="3">
        <v>16</v>
      </c>
      <c r="E587" s="3">
        <v>16</v>
      </c>
      <c r="F587" s="3">
        <v>26.5</v>
      </c>
      <c r="G587" s="3">
        <v>0</v>
      </c>
      <c r="H587" s="3">
        <v>0</v>
      </c>
      <c r="I587" s="3">
        <f t="shared" si="94"/>
        <v>16</v>
      </c>
      <c r="J587" s="3">
        <f t="shared" si="96"/>
        <v>15</v>
      </c>
      <c r="K587" s="3">
        <f t="shared" si="95"/>
        <v>1</v>
      </c>
      <c r="L587" s="3" t="str">
        <f t="shared" si="93"/>
        <v>OPORTUNO</v>
      </c>
      <c r="M587" s="3">
        <v>14</v>
      </c>
      <c r="N587" s="3">
        <v>100</v>
      </c>
      <c r="O587" s="3">
        <v>18.14516129032258</v>
      </c>
    </row>
    <row r="588" spans="1:15" x14ac:dyDescent="0.25">
      <c r="A588" s="5">
        <v>46163</v>
      </c>
      <c r="B588" s="6" t="s">
        <v>31</v>
      </c>
      <c r="C588" s="3" t="s">
        <v>18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f t="shared" si="94"/>
        <v>0</v>
      </c>
      <c r="J588" s="3">
        <f t="shared" si="96"/>
        <v>22</v>
      </c>
      <c r="K588" s="3">
        <f t="shared" si="95"/>
        <v>-22</v>
      </c>
      <c r="L588" s="3" t="str">
        <f t="shared" si="93"/>
        <v>CRÍTICO</v>
      </c>
      <c r="M588" s="3">
        <v>0</v>
      </c>
      <c r="N588" s="3">
        <v>99.06</v>
      </c>
      <c r="O588" s="3">
        <v>22.95719844357977</v>
      </c>
    </row>
    <row r="589" spans="1:15" x14ac:dyDescent="0.25">
      <c r="A589" s="5">
        <v>46163</v>
      </c>
      <c r="B589" s="6" t="s">
        <v>32</v>
      </c>
      <c r="C589" s="3" t="s">
        <v>23</v>
      </c>
      <c r="D589" s="3">
        <v>9</v>
      </c>
      <c r="E589" s="3">
        <v>8</v>
      </c>
      <c r="F589" s="3">
        <v>23.57</v>
      </c>
      <c r="G589" s="3">
        <v>0</v>
      </c>
      <c r="H589" s="3">
        <v>0</v>
      </c>
      <c r="I589" s="3">
        <f t="shared" si="94"/>
        <v>8</v>
      </c>
      <c r="J589" s="3">
        <f t="shared" si="96"/>
        <v>6</v>
      </c>
      <c r="K589" s="3">
        <f t="shared" si="95"/>
        <v>2</v>
      </c>
      <c r="L589" s="3" t="str">
        <f t="shared" si="93"/>
        <v>OPORTUNO</v>
      </c>
      <c r="M589" s="3">
        <v>6</v>
      </c>
      <c r="N589" s="3">
        <v>100</v>
      </c>
      <c r="O589" s="3">
        <v>29.032258064516132</v>
      </c>
    </row>
    <row r="590" spans="1:15" x14ac:dyDescent="0.25">
      <c r="A590" s="5">
        <v>46163</v>
      </c>
      <c r="B590" s="6" t="s">
        <v>33</v>
      </c>
      <c r="C590" s="3" t="s">
        <v>16</v>
      </c>
      <c r="D590" s="3">
        <v>28</v>
      </c>
      <c r="E590" s="3">
        <v>23</v>
      </c>
      <c r="F590" s="3">
        <v>5.42</v>
      </c>
      <c r="G590" s="3">
        <v>3</v>
      </c>
      <c r="H590" s="3">
        <v>0</v>
      </c>
      <c r="I590" s="3">
        <f t="shared" si="94"/>
        <v>26</v>
      </c>
      <c r="J590" s="3">
        <f t="shared" si="96"/>
        <v>18</v>
      </c>
      <c r="K590" s="3">
        <f t="shared" si="95"/>
        <v>8</v>
      </c>
      <c r="L590" s="3" t="str">
        <f t="shared" si="93"/>
        <v>MUITO BOM</v>
      </c>
      <c r="M590" s="3">
        <v>25</v>
      </c>
      <c r="N590" s="3">
        <v>100</v>
      </c>
      <c r="O590" s="3">
        <v>13.8121546961326</v>
      </c>
    </row>
    <row r="591" spans="1:15" x14ac:dyDescent="0.25">
      <c r="A591" s="5">
        <v>46163</v>
      </c>
      <c r="B591" s="6" t="s">
        <v>34</v>
      </c>
      <c r="C591" s="3" t="s">
        <v>18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f t="shared" si="94"/>
        <v>0</v>
      </c>
      <c r="J591" s="3">
        <f t="shared" si="96"/>
        <v>22</v>
      </c>
      <c r="K591" s="3">
        <f t="shared" si="95"/>
        <v>-22</v>
      </c>
      <c r="L591" s="3" t="str">
        <f t="shared" si="93"/>
        <v>CRÍTICO</v>
      </c>
      <c r="M591" s="3">
        <v>0</v>
      </c>
      <c r="N591" s="3">
        <v>100</v>
      </c>
      <c r="O591" s="3">
        <v>9.5238095238095237</v>
      </c>
    </row>
    <row r="592" spans="1:15" x14ac:dyDescent="0.25">
      <c r="A592" s="5">
        <v>46163</v>
      </c>
      <c r="B592" s="6" t="s">
        <v>35</v>
      </c>
      <c r="C592" s="3" t="s">
        <v>16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f t="shared" si="94"/>
        <v>0</v>
      </c>
      <c r="J592" s="3">
        <f t="shared" si="96"/>
        <v>18</v>
      </c>
      <c r="K592" s="3">
        <f t="shared" si="95"/>
        <v>-18</v>
      </c>
      <c r="L592" s="3" t="str">
        <f t="shared" si="93"/>
        <v>CRÍTICO</v>
      </c>
      <c r="M592" s="3">
        <v>0</v>
      </c>
      <c r="N592" s="3">
        <v>100</v>
      </c>
      <c r="O592" s="3">
        <v>17.241379310344829</v>
      </c>
    </row>
    <row r="593" spans="1:15" x14ac:dyDescent="0.25">
      <c r="A593" s="5">
        <v>46163</v>
      </c>
      <c r="B593" s="6" t="s">
        <v>64</v>
      </c>
      <c r="C593" s="3" t="s">
        <v>23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f t="shared" si="94"/>
        <v>0</v>
      </c>
      <c r="J593" s="3">
        <f t="shared" si="96"/>
        <v>6</v>
      </c>
      <c r="K593" s="3">
        <f t="shared" si="95"/>
        <v>-6</v>
      </c>
      <c r="L593" s="3" t="str">
        <f t="shared" si="93"/>
        <v>CRÍTICO</v>
      </c>
      <c r="M593" s="3">
        <v>0</v>
      </c>
      <c r="N593" s="3">
        <v>100</v>
      </c>
      <c r="O593" s="3">
        <v>14.285714285714279</v>
      </c>
    </row>
    <row r="594" spans="1:15" x14ac:dyDescent="0.25">
      <c r="A594" s="5">
        <v>46163</v>
      </c>
      <c r="B594" s="6" t="s">
        <v>36</v>
      </c>
      <c r="C594" s="3" t="s">
        <v>20</v>
      </c>
      <c r="D594" s="3">
        <v>16</v>
      </c>
      <c r="E594" s="3">
        <v>15</v>
      </c>
      <c r="F594" s="3">
        <v>25.07</v>
      </c>
      <c r="G594" s="3">
        <v>3</v>
      </c>
      <c r="H594" s="3">
        <v>0</v>
      </c>
      <c r="I594" s="3">
        <f t="shared" si="94"/>
        <v>18</v>
      </c>
      <c r="J594" s="3">
        <f t="shared" si="96"/>
        <v>15</v>
      </c>
      <c r="K594" s="3">
        <f t="shared" si="95"/>
        <v>3</v>
      </c>
      <c r="L594" s="3" t="str">
        <f t="shared" si="93"/>
        <v>OPORTUNO</v>
      </c>
      <c r="M594" s="3">
        <v>15</v>
      </c>
      <c r="N594" s="3">
        <v>98.8</v>
      </c>
      <c r="O594" s="3">
        <v>15.41353383458646</v>
      </c>
    </row>
    <row r="595" spans="1:15" x14ac:dyDescent="0.25">
      <c r="A595" s="5">
        <v>46163</v>
      </c>
      <c r="B595" s="6" t="s">
        <v>37</v>
      </c>
      <c r="C595" s="3" t="s">
        <v>16</v>
      </c>
      <c r="D595" s="3">
        <v>22</v>
      </c>
      <c r="E595" s="3">
        <v>21</v>
      </c>
      <c r="F595" s="3">
        <v>19.05</v>
      </c>
      <c r="G595" s="3">
        <v>1</v>
      </c>
      <c r="H595" s="3">
        <v>0</v>
      </c>
      <c r="I595" s="3">
        <f t="shared" si="94"/>
        <v>22</v>
      </c>
      <c r="J595" s="3">
        <f t="shared" si="96"/>
        <v>18</v>
      </c>
      <c r="K595" s="3">
        <f t="shared" si="95"/>
        <v>4</v>
      </c>
      <c r="L595" s="3" t="str">
        <f t="shared" ref="L595:L626" si="97">IF(K595&lt;-5,"CRÍTICO",IF(K595&lt;0,"ATENÇÃO",IF(K595&lt;=5,"OPORTUNO","MUITO BOM")))</f>
        <v>OPORTUNO</v>
      </c>
      <c r="M595" s="3">
        <v>19</v>
      </c>
      <c r="N595" s="3">
        <v>98.63</v>
      </c>
      <c r="O595" s="3">
        <v>15.75757575757576</v>
      </c>
    </row>
    <row r="596" spans="1:15" x14ac:dyDescent="0.25">
      <c r="A596" s="5">
        <v>46163</v>
      </c>
      <c r="B596" s="6" t="s">
        <v>38</v>
      </c>
      <c r="C596" s="3" t="s">
        <v>18</v>
      </c>
      <c r="D596" s="3">
        <v>31</v>
      </c>
      <c r="E596" s="3">
        <v>28</v>
      </c>
      <c r="F596" s="3">
        <v>13.35</v>
      </c>
      <c r="G596" s="3">
        <v>2</v>
      </c>
      <c r="H596" s="3">
        <v>0</v>
      </c>
      <c r="I596" s="3">
        <f t="shared" si="94"/>
        <v>30</v>
      </c>
      <c r="J596" s="3">
        <f t="shared" si="96"/>
        <v>22</v>
      </c>
      <c r="K596" s="3">
        <f t="shared" si="95"/>
        <v>8</v>
      </c>
      <c r="L596" s="3" t="str">
        <f t="shared" si="97"/>
        <v>MUITO BOM</v>
      </c>
      <c r="M596" s="3">
        <v>28</v>
      </c>
      <c r="N596" s="3">
        <v>98.64</v>
      </c>
      <c r="O596" s="3">
        <v>16.638370118845501</v>
      </c>
    </row>
    <row r="597" spans="1:15" x14ac:dyDescent="0.25">
      <c r="A597" s="5">
        <v>46163</v>
      </c>
      <c r="B597" s="6" t="s">
        <v>39</v>
      </c>
      <c r="C597" s="3" t="s">
        <v>18</v>
      </c>
      <c r="D597" s="3">
        <v>10</v>
      </c>
      <c r="E597" s="3">
        <v>10</v>
      </c>
      <c r="F597" s="3">
        <v>19.12</v>
      </c>
      <c r="G597" s="3">
        <v>2</v>
      </c>
      <c r="H597" s="3">
        <v>0</v>
      </c>
      <c r="I597" s="3">
        <f t="shared" si="94"/>
        <v>12</v>
      </c>
      <c r="J597" s="3">
        <f t="shared" si="96"/>
        <v>22</v>
      </c>
      <c r="K597" s="3">
        <f t="shared" si="95"/>
        <v>-10</v>
      </c>
      <c r="L597" s="3" t="str">
        <f t="shared" si="97"/>
        <v>CRÍTICO</v>
      </c>
      <c r="M597" s="3">
        <v>10</v>
      </c>
      <c r="N597" s="3">
        <v>95.4</v>
      </c>
      <c r="O597" s="3">
        <v>20.533333333333331</v>
      </c>
    </row>
    <row r="598" spans="1:15" x14ac:dyDescent="0.25">
      <c r="A598" s="5">
        <v>46163</v>
      </c>
      <c r="B598" s="6" t="s">
        <v>40</v>
      </c>
      <c r="C598" s="3" t="s">
        <v>16</v>
      </c>
      <c r="D598" s="3">
        <v>17</v>
      </c>
      <c r="E598" s="3">
        <v>14</v>
      </c>
      <c r="F598" s="3">
        <v>17.2</v>
      </c>
      <c r="G598" s="3">
        <v>0</v>
      </c>
      <c r="H598" s="3">
        <v>0</v>
      </c>
      <c r="I598" s="3">
        <f t="shared" si="94"/>
        <v>14</v>
      </c>
      <c r="J598" s="3">
        <f t="shared" si="96"/>
        <v>18</v>
      </c>
      <c r="K598" s="3">
        <f t="shared" si="95"/>
        <v>-4</v>
      </c>
      <c r="L598" s="3" t="str">
        <f t="shared" si="97"/>
        <v>ATENÇÃO</v>
      </c>
      <c r="M598" s="3">
        <v>14</v>
      </c>
      <c r="N598" s="3">
        <v>98.61</v>
      </c>
      <c r="O598" s="3">
        <v>16.97530864197531</v>
      </c>
    </row>
    <row r="599" spans="1:15" x14ac:dyDescent="0.25">
      <c r="A599" s="5">
        <v>46163</v>
      </c>
      <c r="B599" s="6" t="s">
        <v>41</v>
      </c>
      <c r="C599" s="3" t="s">
        <v>18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f t="shared" si="94"/>
        <v>0</v>
      </c>
      <c r="J599" s="3">
        <f t="shared" si="96"/>
        <v>22</v>
      </c>
      <c r="K599" s="3">
        <f t="shared" si="95"/>
        <v>-22</v>
      </c>
      <c r="L599" s="3" t="str">
        <f t="shared" si="97"/>
        <v>CRÍTICO</v>
      </c>
      <c r="M599" s="3">
        <v>0</v>
      </c>
      <c r="N599" s="3">
        <v>0</v>
      </c>
      <c r="O599" s="3">
        <v>0</v>
      </c>
    </row>
    <row r="600" spans="1:15" x14ac:dyDescent="0.25">
      <c r="A600" s="5">
        <v>46163</v>
      </c>
      <c r="B600" s="6" t="s">
        <v>42</v>
      </c>
      <c r="C600" s="3" t="s">
        <v>43</v>
      </c>
      <c r="D600" s="3">
        <v>15</v>
      </c>
      <c r="E600" s="3">
        <v>13</v>
      </c>
      <c r="F600" s="3">
        <v>20.57</v>
      </c>
      <c r="G600" s="3">
        <v>1</v>
      </c>
      <c r="H600" s="3">
        <v>0</v>
      </c>
      <c r="I600" s="3">
        <f t="shared" si="94"/>
        <v>14</v>
      </c>
      <c r="J600" s="3">
        <f t="shared" si="96"/>
        <v>13</v>
      </c>
      <c r="K600" s="3">
        <f t="shared" si="95"/>
        <v>1</v>
      </c>
      <c r="L600" s="3" t="str">
        <f t="shared" si="97"/>
        <v>OPORTUNO</v>
      </c>
      <c r="M600" s="3">
        <v>15</v>
      </c>
      <c r="N600" s="3">
        <v>97.01</v>
      </c>
      <c r="O600" s="3">
        <v>13.961038961038961</v>
      </c>
    </row>
    <row r="601" spans="1:15" x14ac:dyDescent="0.25">
      <c r="A601" s="5">
        <v>46163</v>
      </c>
      <c r="B601" s="6" t="s">
        <v>44</v>
      </c>
      <c r="C601" s="3" t="s">
        <v>18</v>
      </c>
      <c r="D601" s="3">
        <v>21</v>
      </c>
      <c r="E601" s="3">
        <v>20</v>
      </c>
      <c r="F601" s="3">
        <v>14.13</v>
      </c>
      <c r="G601" s="3">
        <v>1</v>
      </c>
      <c r="H601" s="3">
        <v>0</v>
      </c>
      <c r="I601" s="3">
        <f t="shared" si="94"/>
        <v>21</v>
      </c>
      <c r="J601" s="3">
        <f t="shared" si="96"/>
        <v>22</v>
      </c>
      <c r="K601" s="3">
        <f t="shared" si="95"/>
        <v>-1</v>
      </c>
      <c r="L601" s="3" t="str">
        <f t="shared" si="97"/>
        <v>ATENÇÃO</v>
      </c>
      <c r="M601" s="3">
        <v>21</v>
      </c>
      <c r="N601" s="3">
        <v>95.52</v>
      </c>
      <c r="O601" s="3">
        <v>10.561056105610559</v>
      </c>
    </row>
    <row r="602" spans="1:15" x14ac:dyDescent="0.25">
      <c r="A602" s="5">
        <v>46163</v>
      </c>
      <c r="B602" s="6" t="s">
        <v>45</v>
      </c>
      <c r="C602" s="3" t="s">
        <v>43</v>
      </c>
      <c r="D602" s="3">
        <v>13</v>
      </c>
      <c r="E602" s="3">
        <v>11</v>
      </c>
      <c r="F602" s="3">
        <v>20.49</v>
      </c>
      <c r="G602" s="3">
        <v>1</v>
      </c>
      <c r="H602" s="3">
        <v>0</v>
      </c>
      <c r="I602" s="3">
        <f t="shared" si="94"/>
        <v>12</v>
      </c>
      <c r="J602" s="3">
        <f t="shared" si="96"/>
        <v>13</v>
      </c>
      <c r="K602" s="3">
        <f t="shared" si="95"/>
        <v>-1</v>
      </c>
      <c r="L602" s="3" t="str">
        <f t="shared" si="97"/>
        <v>ATENÇÃO</v>
      </c>
      <c r="M602" s="3">
        <v>10</v>
      </c>
      <c r="N602" s="3">
        <v>100</v>
      </c>
      <c r="O602" s="3">
        <v>16.959064327485379</v>
      </c>
    </row>
    <row r="603" spans="1:15" x14ac:dyDescent="0.25">
      <c r="A603" s="5">
        <v>46163</v>
      </c>
      <c r="B603" s="6" t="s">
        <v>46</v>
      </c>
      <c r="C603" s="3" t="s">
        <v>18</v>
      </c>
      <c r="D603" s="3">
        <v>22</v>
      </c>
      <c r="E603" s="3">
        <v>21</v>
      </c>
      <c r="F603" s="3">
        <v>15.35</v>
      </c>
      <c r="G603" s="3">
        <v>0</v>
      </c>
      <c r="H603" s="3">
        <v>0</v>
      </c>
      <c r="I603" s="3">
        <f t="shared" si="94"/>
        <v>21</v>
      </c>
      <c r="J603" s="3">
        <f t="shared" si="96"/>
        <v>22</v>
      </c>
      <c r="K603" s="3">
        <f t="shared" si="95"/>
        <v>-1</v>
      </c>
      <c r="L603" s="3" t="str">
        <f t="shared" si="97"/>
        <v>ATENÇÃO</v>
      </c>
      <c r="M603" s="3">
        <v>20</v>
      </c>
      <c r="N603" s="3">
        <v>100</v>
      </c>
      <c r="O603" s="3">
        <v>15.584415584415581</v>
      </c>
    </row>
    <row r="604" spans="1:15" x14ac:dyDescent="0.25">
      <c r="A604" s="5">
        <v>46163</v>
      </c>
      <c r="B604" s="6" t="s">
        <v>47</v>
      </c>
      <c r="C604" s="3" t="s">
        <v>16</v>
      </c>
      <c r="D604" s="3">
        <v>19</v>
      </c>
      <c r="E604" s="3">
        <v>19</v>
      </c>
      <c r="F604" s="3">
        <v>24.12</v>
      </c>
      <c r="G604" s="3">
        <v>0</v>
      </c>
      <c r="H604" s="3">
        <v>0</v>
      </c>
      <c r="I604" s="3">
        <f t="shared" si="94"/>
        <v>19</v>
      </c>
      <c r="J604" s="3">
        <f t="shared" si="96"/>
        <v>18</v>
      </c>
      <c r="K604" s="3">
        <f t="shared" si="95"/>
        <v>1</v>
      </c>
      <c r="L604" s="3" t="str">
        <f t="shared" si="97"/>
        <v>OPORTUNO</v>
      </c>
      <c r="M604" s="3">
        <v>17</v>
      </c>
      <c r="N604" s="3">
        <v>98.61</v>
      </c>
      <c r="O604" s="3">
        <v>16.867469879518069</v>
      </c>
    </row>
    <row r="605" spans="1:15" x14ac:dyDescent="0.25">
      <c r="A605" s="5">
        <v>46163</v>
      </c>
      <c r="B605" s="6" t="s">
        <v>48</v>
      </c>
      <c r="C605" s="3" t="s">
        <v>16</v>
      </c>
      <c r="D605" s="3">
        <v>18</v>
      </c>
      <c r="E605" s="3">
        <v>15</v>
      </c>
      <c r="F605" s="3">
        <v>8.49</v>
      </c>
      <c r="G605" s="3">
        <v>0</v>
      </c>
      <c r="H605" s="3">
        <v>0</v>
      </c>
      <c r="I605" s="3">
        <f t="shared" si="94"/>
        <v>15</v>
      </c>
      <c r="J605" s="3">
        <f t="shared" si="96"/>
        <v>18</v>
      </c>
      <c r="K605" s="3">
        <f t="shared" si="95"/>
        <v>-3</v>
      </c>
      <c r="L605" s="3" t="str">
        <f t="shared" si="97"/>
        <v>ATENÇÃO</v>
      </c>
      <c r="M605" s="3">
        <v>15</v>
      </c>
      <c r="N605" s="3">
        <v>100</v>
      </c>
      <c r="O605" s="3">
        <v>20.820189274447952</v>
      </c>
    </row>
    <row r="606" spans="1:15" x14ac:dyDescent="0.25">
      <c r="A606" s="5">
        <v>46163</v>
      </c>
      <c r="B606" s="6" t="s">
        <v>49</v>
      </c>
      <c r="C606" s="3" t="s">
        <v>18</v>
      </c>
      <c r="D606" s="3">
        <v>29</v>
      </c>
      <c r="E606" s="3">
        <v>27</v>
      </c>
      <c r="F606" s="3">
        <v>15.54</v>
      </c>
      <c r="G606" s="3">
        <v>0</v>
      </c>
      <c r="H606" s="3">
        <v>0</v>
      </c>
      <c r="I606" s="3">
        <f t="shared" ref="I606:I637" si="98">E606+G606+H606</f>
        <v>27</v>
      </c>
      <c r="J606" s="3">
        <f t="shared" si="96"/>
        <v>22</v>
      </c>
      <c r="K606" s="3">
        <f t="shared" ref="K606:K637" si="99">I606-J606</f>
        <v>5</v>
      </c>
      <c r="L606" s="3" t="str">
        <f t="shared" si="97"/>
        <v>OPORTUNO</v>
      </c>
      <c r="M606" s="3">
        <v>18</v>
      </c>
      <c r="N606" s="3">
        <v>100</v>
      </c>
      <c r="O606" s="3">
        <v>4.3478260869565224</v>
      </c>
    </row>
    <row r="607" spans="1:15" x14ac:dyDescent="0.25">
      <c r="A607" s="5">
        <v>46163</v>
      </c>
      <c r="B607" s="6" t="s">
        <v>50</v>
      </c>
      <c r="C607" s="3" t="s">
        <v>20</v>
      </c>
      <c r="D607" s="3">
        <v>22</v>
      </c>
      <c r="E607" s="3">
        <v>20</v>
      </c>
      <c r="F607" s="3">
        <v>11.46</v>
      </c>
      <c r="G607" s="3">
        <v>0</v>
      </c>
      <c r="H607" s="3">
        <v>0</v>
      </c>
      <c r="I607" s="3">
        <f t="shared" si="98"/>
        <v>20</v>
      </c>
      <c r="J607" s="3">
        <f t="shared" si="96"/>
        <v>15</v>
      </c>
      <c r="K607" s="3">
        <f t="shared" si="99"/>
        <v>5</v>
      </c>
      <c r="L607" s="3" t="str">
        <f t="shared" si="97"/>
        <v>OPORTUNO</v>
      </c>
      <c r="M607" s="3">
        <v>21</v>
      </c>
      <c r="N607" s="3">
        <v>93.26</v>
      </c>
      <c r="O607" s="3">
        <v>19.93957703927493</v>
      </c>
    </row>
    <row r="608" spans="1:15" x14ac:dyDescent="0.25">
      <c r="A608" s="5">
        <v>46163</v>
      </c>
      <c r="B608" s="6" t="s">
        <v>51</v>
      </c>
      <c r="C608" s="3" t="s">
        <v>23</v>
      </c>
      <c r="D608" s="3">
        <v>12</v>
      </c>
      <c r="E608" s="3">
        <v>12</v>
      </c>
      <c r="F608" s="3">
        <v>13.03</v>
      </c>
      <c r="G608" s="3">
        <v>0</v>
      </c>
      <c r="H608" s="3">
        <v>0</v>
      </c>
      <c r="I608" s="3">
        <f t="shared" si="98"/>
        <v>12</v>
      </c>
      <c r="J608" s="3">
        <f t="shared" si="96"/>
        <v>6</v>
      </c>
      <c r="K608" s="3">
        <f t="shared" si="99"/>
        <v>6</v>
      </c>
      <c r="L608" s="3" t="str">
        <f t="shared" si="97"/>
        <v>MUITO BOM</v>
      </c>
      <c r="M608" s="3">
        <v>8</v>
      </c>
      <c r="N608" s="3">
        <v>100</v>
      </c>
      <c r="O608" s="3">
        <v>11.864406779661021</v>
      </c>
    </row>
    <row r="609" spans="1:15" x14ac:dyDescent="0.25">
      <c r="A609" s="5">
        <v>46163</v>
      </c>
      <c r="B609" s="6" t="s">
        <v>52</v>
      </c>
      <c r="C609" s="3" t="s">
        <v>18</v>
      </c>
      <c r="D609" s="3">
        <v>0</v>
      </c>
      <c r="E609" s="3">
        <v>0</v>
      </c>
      <c r="F609" s="3">
        <v>0</v>
      </c>
      <c r="G609" s="3">
        <v>0</v>
      </c>
      <c r="H609" s="3">
        <v>30</v>
      </c>
      <c r="I609" s="3">
        <f t="shared" si="98"/>
        <v>30</v>
      </c>
      <c r="J609" s="3">
        <f t="shared" si="96"/>
        <v>22</v>
      </c>
      <c r="K609" s="3">
        <f t="shared" si="99"/>
        <v>8</v>
      </c>
      <c r="L609" s="3" t="str">
        <f t="shared" si="97"/>
        <v>MUITO BOM</v>
      </c>
      <c r="M609" s="3">
        <v>15</v>
      </c>
      <c r="N609" s="3">
        <v>98.28</v>
      </c>
      <c r="O609" s="3">
        <v>9.037900874635568</v>
      </c>
    </row>
    <row r="610" spans="1:15" x14ac:dyDescent="0.25">
      <c r="A610" s="5">
        <v>46163</v>
      </c>
      <c r="B610" s="6" t="s">
        <v>53</v>
      </c>
      <c r="C610" s="3" t="s">
        <v>18</v>
      </c>
      <c r="D610" s="3">
        <v>27</v>
      </c>
      <c r="E610" s="3">
        <v>22</v>
      </c>
      <c r="F610" s="3">
        <v>9.16</v>
      </c>
      <c r="G610" s="3">
        <v>3</v>
      </c>
      <c r="H610" s="3">
        <v>0</v>
      </c>
      <c r="I610" s="3">
        <f t="shared" si="98"/>
        <v>25</v>
      </c>
      <c r="J610" s="3">
        <f t="shared" si="96"/>
        <v>22</v>
      </c>
      <c r="K610" s="3">
        <f t="shared" si="99"/>
        <v>3</v>
      </c>
      <c r="L610" s="3" t="str">
        <f t="shared" si="97"/>
        <v>OPORTUNO</v>
      </c>
      <c r="M610" s="3">
        <v>21</v>
      </c>
      <c r="N610" s="3">
        <v>97.22</v>
      </c>
      <c r="O610" s="3">
        <v>19.095477386934672</v>
      </c>
    </row>
    <row r="611" spans="1:15" x14ac:dyDescent="0.25">
      <c r="A611" s="5">
        <v>46163</v>
      </c>
      <c r="B611" s="6" t="s">
        <v>54</v>
      </c>
      <c r="C611" s="3" t="s">
        <v>23</v>
      </c>
      <c r="D611" s="3">
        <v>14</v>
      </c>
      <c r="E611" s="3">
        <v>13</v>
      </c>
      <c r="F611" s="3">
        <v>20.34</v>
      </c>
      <c r="G611" s="3">
        <v>0</v>
      </c>
      <c r="H611" s="3">
        <v>0</v>
      </c>
      <c r="I611" s="3">
        <f t="shared" si="98"/>
        <v>13</v>
      </c>
      <c r="J611" s="3">
        <f t="shared" si="96"/>
        <v>6</v>
      </c>
      <c r="K611" s="3">
        <f t="shared" si="99"/>
        <v>7</v>
      </c>
      <c r="L611" s="3" t="str">
        <f t="shared" si="97"/>
        <v>MUITO BOM</v>
      </c>
      <c r="M611" s="3">
        <v>8</v>
      </c>
      <c r="N611" s="3">
        <v>100</v>
      </c>
      <c r="O611" s="3">
        <v>16.814159292035399</v>
      </c>
    </row>
    <row r="612" spans="1:15" x14ac:dyDescent="0.25">
      <c r="A612" s="5">
        <v>46163</v>
      </c>
      <c r="B612" s="6" t="s">
        <v>55</v>
      </c>
      <c r="C612" s="3" t="s">
        <v>43</v>
      </c>
      <c r="D612" s="3">
        <v>26</v>
      </c>
      <c r="E612" s="3">
        <v>18</v>
      </c>
      <c r="F612" s="3">
        <v>12.17</v>
      </c>
      <c r="G612" s="3">
        <v>0</v>
      </c>
      <c r="H612" s="3">
        <v>0</v>
      </c>
      <c r="I612" s="3">
        <f t="shared" si="98"/>
        <v>18</v>
      </c>
      <c r="J612" s="3">
        <f t="shared" si="96"/>
        <v>13</v>
      </c>
      <c r="K612" s="3">
        <f t="shared" si="99"/>
        <v>5</v>
      </c>
      <c r="L612" s="3" t="str">
        <f t="shared" si="97"/>
        <v>OPORTUNO</v>
      </c>
      <c r="M612" s="3">
        <v>16</v>
      </c>
      <c r="N612" s="3">
        <v>98</v>
      </c>
      <c r="O612" s="3">
        <v>16.43835616438356</v>
      </c>
    </row>
    <row r="613" spans="1:15" x14ac:dyDescent="0.25">
      <c r="A613" s="5">
        <v>46163</v>
      </c>
      <c r="B613" s="6" t="s">
        <v>56</v>
      </c>
      <c r="C613" s="3" t="s">
        <v>16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f t="shared" si="98"/>
        <v>0</v>
      </c>
      <c r="J613" s="3">
        <f t="shared" si="96"/>
        <v>18</v>
      </c>
      <c r="K613" s="3">
        <f t="shared" si="99"/>
        <v>-18</v>
      </c>
      <c r="L613" s="3" t="str">
        <f t="shared" si="97"/>
        <v>CRÍTICO</v>
      </c>
      <c r="M613" s="3">
        <v>0</v>
      </c>
      <c r="N613" s="3">
        <v>100</v>
      </c>
      <c r="O613" s="3">
        <v>16.894977168949769</v>
      </c>
    </row>
    <row r="614" spans="1:15" x14ac:dyDescent="0.25">
      <c r="A614" s="5">
        <v>46163</v>
      </c>
      <c r="B614" s="6" t="s">
        <v>57</v>
      </c>
      <c r="C614" s="3" t="s">
        <v>43</v>
      </c>
      <c r="D614" s="3">
        <v>10</v>
      </c>
      <c r="E614" s="3">
        <v>10</v>
      </c>
      <c r="F614" s="3">
        <v>20.18</v>
      </c>
      <c r="G614" s="3">
        <v>0</v>
      </c>
      <c r="H614" s="3">
        <v>0</v>
      </c>
      <c r="I614" s="3">
        <f t="shared" si="98"/>
        <v>10</v>
      </c>
      <c r="J614" s="3">
        <f t="shared" si="96"/>
        <v>13</v>
      </c>
      <c r="K614" s="3">
        <f t="shared" si="99"/>
        <v>-3</v>
      </c>
      <c r="L614" s="3" t="str">
        <f t="shared" si="97"/>
        <v>ATENÇÃO</v>
      </c>
      <c r="M614" s="3">
        <v>12</v>
      </c>
      <c r="N614" s="3">
        <v>100</v>
      </c>
      <c r="O614" s="3">
        <v>19.138755980861241</v>
      </c>
    </row>
    <row r="615" spans="1:15" x14ac:dyDescent="0.25">
      <c r="A615" s="5">
        <v>46163</v>
      </c>
      <c r="B615" s="6" t="s">
        <v>58</v>
      </c>
      <c r="C615" s="3" t="s">
        <v>43</v>
      </c>
      <c r="D615" s="3">
        <v>16</v>
      </c>
      <c r="E615" s="3">
        <v>14</v>
      </c>
      <c r="F615" s="3">
        <v>23.22</v>
      </c>
      <c r="G615" s="3">
        <v>0</v>
      </c>
      <c r="H615" s="3">
        <v>0</v>
      </c>
      <c r="I615" s="3">
        <f t="shared" si="98"/>
        <v>14</v>
      </c>
      <c r="J615" s="3">
        <f t="shared" si="96"/>
        <v>13</v>
      </c>
      <c r="K615" s="3">
        <f t="shared" si="99"/>
        <v>1</v>
      </c>
      <c r="L615" s="3" t="str">
        <f t="shared" si="97"/>
        <v>OPORTUNO</v>
      </c>
      <c r="M615" s="3">
        <v>12</v>
      </c>
      <c r="N615" s="3">
        <v>100</v>
      </c>
      <c r="O615" s="3">
        <v>15.02145922746781</v>
      </c>
    </row>
    <row r="616" spans="1:15" x14ac:dyDescent="0.25">
      <c r="A616" s="5">
        <v>46163</v>
      </c>
      <c r="B616" s="6" t="s">
        <v>59</v>
      </c>
      <c r="C616" s="3" t="s">
        <v>23</v>
      </c>
      <c r="D616" s="3">
        <v>20</v>
      </c>
      <c r="E616" s="3">
        <v>18</v>
      </c>
      <c r="F616" s="3">
        <v>10.09</v>
      </c>
      <c r="G616" s="3">
        <v>0</v>
      </c>
      <c r="H616" s="3">
        <v>0</v>
      </c>
      <c r="I616" s="3">
        <f t="shared" si="98"/>
        <v>18</v>
      </c>
      <c r="J616" s="3">
        <f t="shared" si="96"/>
        <v>6</v>
      </c>
      <c r="K616" s="3">
        <f t="shared" si="99"/>
        <v>12</v>
      </c>
      <c r="L616" s="3" t="str">
        <f t="shared" si="97"/>
        <v>MUITO BOM</v>
      </c>
      <c r="M616" s="3">
        <v>13</v>
      </c>
      <c r="N616" s="3">
        <v>98.11</v>
      </c>
      <c r="O616" s="3">
        <v>20.408163265306118</v>
      </c>
    </row>
    <row r="617" spans="1:15" x14ac:dyDescent="0.25">
      <c r="A617" s="5">
        <v>46163</v>
      </c>
      <c r="B617" s="6" t="s">
        <v>60</v>
      </c>
      <c r="C617" s="3" t="s">
        <v>20</v>
      </c>
      <c r="D617" s="3">
        <v>27</v>
      </c>
      <c r="E617" s="3">
        <v>27</v>
      </c>
      <c r="F617" s="3">
        <v>15.1</v>
      </c>
      <c r="G617" s="3">
        <v>0</v>
      </c>
      <c r="H617" s="3">
        <v>0</v>
      </c>
      <c r="I617" s="3">
        <f t="shared" si="98"/>
        <v>27</v>
      </c>
      <c r="J617" s="3">
        <f t="shared" si="96"/>
        <v>15</v>
      </c>
      <c r="K617" s="3">
        <f t="shared" si="99"/>
        <v>12</v>
      </c>
      <c r="L617" s="3" t="str">
        <f t="shared" si="97"/>
        <v>MUITO BOM</v>
      </c>
      <c r="M617" s="3">
        <v>20</v>
      </c>
      <c r="N617" s="3">
        <v>97.56</v>
      </c>
      <c r="O617" s="3">
        <v>19.28783382789317</v>
      </c>
    </row>
    <row r="618" spans="1:15" x14ac:dyDescent="0.25">
      <c r="A618" s="5">
        <v>46163</v>
      </c>
      <c r="B618" s="6" t="s">
        <v>61</v>
      </c>
      <c r="C618" s="3" t="s">
        <v>18</v>
      </c>
      <c r="D618" s="3">
        <v>35</v>
      </c>
      <c r="E618" s="3">
        <v>31</v>
      </c>
      <c r="F618" s="3">
        <v>8.3000000000000007</v>
      </c>
      <c r="G618" s="3">
        <v>2</v>
      </c>
      <c r="H618" s="3">
        <v>0</v>
      </c>
      <c r="I618" s="3">
        <f t="shared" si="98"/>
        <v>33</v>
      </c>
      <c r="J618" s="3">
        <f t="shared" si="96"/>
        <v>22</v>
      </c>
      <c r="K618" s="3">
        <f t="shared" si="99"/>
        <v>11</v>
      </c>
      <c r="L618" s="3" t="str">
        <f t="shared" si="97"/>
        <v>MUITO BOM</v>
      </c>
      <c r="M618" s="3">
        <v>22</v>
      </c>
      <c r="N618" s="3">
        <v>99.29</v>
      </c>
      <c r="O618" s="3">
        <v>22.49443207126949</v>
      </c>
    </row>
    <row r="619" spans="1:15" x14ac:dyDescent="0.25">
      <c r="A619" s="5">
        <v>46163</v>
      </c>
      <c r="B619" s="6" t="s">
        <v>62</v>
      </c>
      <c r="C619" s="3" t="s">
        <v>20</v>
      </c>
      <c r="D619" s="3">
        <v>12</v>
      </c>
      <c r="E619" s="3">
        <v>12</v>
      </c>
      <c r="F619" s="3">
        <v>26.42</v>
      </c>
      <c r="G619" s="3">
        <v>0</v>
      </c>
      <c r="H619" s="3">
        <v>0</v>
      </c>
      <c r="I619" s="3">
        <f t="shared" si="98"/>
        <v>12</v>
      </c>
      <c r="J619" s="3">
        <f t="shared" si="96"/>
        <v>15</v>
      </c>
      <c r="K619" s="3">
        <f t="shared" si="99"/>
        <v>-3</v>
      </c>
      <c r="L619" s="3" t="str">
        <f t="shared" si="97"/>
        <v>ATENÇÃO</v>
      </c>
      <c r="M619" s="3">
        <v>10</v>
      </c>
      <c r="N619" s="3">
        <v>100</v>
      </c>
      <c r="O619" s="3">
        <v>16.97247706422019</v>
      </c>
    </row>
    <row r="620" spans="1:15" x14ac:dyDescent="0.25">
      <c r="A620" s="5">
        <v>46163</v>
      </c>
      <c r="B620" s="6" t="s">
        <v>63</v>
      </c>
      <c r="C620" s="3" t="s">
        <v>18</v>
      </c>
      <c r="D620" s="3">
        <v>23</v>
      </c>
      <c r="E620" s="3">
        <v>22</v>
      </c>
      <c r="F620" s="3">
        <v>10.28</v>
      </c>
      <c r="G620" s="3">
        <v>1</v>
      </c>
      <c r="H620" s="3">
        <v>0</v>
      </c>
      <c r="I620" s="3">
        <f t="shared" si="98"/>
        <v>23</v>
      </c>
      <c r="J620" s="3">
        <f t="shared" si="96"/>
        <v>22</v>
      </c>
      <c r="K620" s="3">
        <f t="shared" si="99"/>
        <v>1</v>
      </c>
      <c r="L620" s="3" t="str">
        <f t="shared" si="97"/>
        <v>OPORTUNO</v>
      </c>
      <c r="M620" s="3">
        <v>21</v>
      </c>
      <c r="N620" s="3">
        <v>97.33</v>
      </c>
      <c r="O620" s="3">
        <v>15.805471124620061</v>
      </c>
    </row>
    <row r="621" spans="1:15" x14ac:dyDescent="0.25">
      <c r="A621" s="10">
        <v>46164</v>
      </c>
      <c r="B621" s="6" t="s">
        <v>15</v>
      </c>
      <c r="C621" s="3" t="s">
        <v>16</v>
      </c>
      <c r="D621" s="3">
        <v>23</v>
      </c>
      <c r="E621" s="3">
        <v>15</v>
      </c>
      <c r="F621" s="3">
        <v>15.08</v>
      </c>
      <c r="G621" s="3">
        <v>1</v>
      </c>
      <c r="I621" s="3">
        <f t="shared" si="98"/>
        <v>16</v>
      </c>
      <c r="J621" s="3">
        <f t="shared" si="96"/>
        <v>17</v>
      </c>
      <c r="K621" s="3">
        <f t="shared" si="99"/>
        <v>-1</v>
      </c>
      <c r="L621" s="3" t="str">
        <f t="shared" si="97"/>
        <v>ATENÇÃO</v>
      </c>
      <c r="M621" s="3">
        <v>11</v>
      </c>
      <c r="N621" s="3">
        <v>98.94</v>
      </c>
      <c r="O621" s="3">
        <v>19.614147909967851</v>
      </c>
    </row>
    <row r="622" spans="1:15" x14ac:dyDescent="0.25">
      <c r="A622" s="10">
        <v>46164</v>
      </c>
      <c r="B622" s="6" t="s">
        <v>17</v>
      </c>
      <c r="C622" s="3" t="s">
        <v>18</v>
      </c>
      <c r="D622" s="3">
        <v>3</v>
      </c>
      <c r="E622" s="3">
        <v>3</v>
      </c>
      <c r="F622" s="3">
        <v>20.14</v>
      </c>
      <c r="G622" s="3">
        <v>0</v>
      </c>
      <c r="I622" s="3">
        <f t="shared" si="98"/>
        <v>3</v>
      </c>
      <c r="J622" s="3">
        <f t="shared" si="96"/>
        <v>21</v>
      </c>
      <c r="K622" s="3">
        <f t="shared" si="99"/>
        <v>-18</v>
      </c>
      <c r="L622" s="3" t="str">
        <f t="shared" si="97"/>
        <v>CRÍTICO</v>
      </c>
      <c r="M622" s="3">
        <v>0</v>
      </c>
      <c r="N622" s="3">
        <v>100</v>
      </c>
      <c r="O622" s="3">
        <v>0</v>
      </c>
    </row>
    <row r="623" spans="1:15" x14ac:dyDescent="0.25">
      <c r="A623" s="10">
        <v>46164</v>
      </c>
      <c r="B623" s="6" t="s">
        <v>19</v>
      </c>
      <c r="C623" s="3" t="s">
        <v>20</v>
      </c>
      <c r="D623" s="3">
        <v>11</v>
      </c>
      <c r="E623" s="3">
        <v>9</v>
      </c>
      <c r="F623" s="3">
        <v>15.17</v>
      </c>
      <c r="G623" s="3">
        <v>3</v>
      </c>
      <c r="I623" s="3">
        <f t="shared" si="98"/>
        <v>12</v>
      </c>
      <c r="J623" s="3">
        <f t="shared" si="96"/>
        <v>14</v>
      </c>
      <c r="K623" s="3">
        <f t="shared" si="99"/>
        <v>-2</v>
      </c>
      <c r="L623" s="3" t="str">
        <f t="shared" si="97"/>
        <v>ATENÇÃO</v>
      </c>
      <c r="M623" s="3">
        <v>10</v>
      </c>
      <c r="N623" s="3">
        <v>95.38</v>
      </c>
      <c r="O623" s="3">
        <v>21.5962441314554</v>
      </c>
    </row>
    <row r="624" spans="1:15" x14ac:dyDescent="0.25">
      <c r="A624" s="10">
        <v>46164</v>
      </c>
      <c r="B624" s="6" t="s">
        <v>21</v>
      </c>
      <c r="C624" s="3" t="s">
        <v>18</v>
      </c>
      <c r="D624" s="3">
        <v>20</v>
      </c>
      <c r="E624" s="3">
        <v>20</v>
      </c>
      <c r="F624" s="3">
        <v>20.440000000000001</v>
      </c>
      <c r="G624" s="3">
        <v>3</v>
      </c>
      <c r="I624" s="3">
        <f t="shared" si="98"/>
        <v>23</v>
      </c>
      <c r="J624" s="3">
        <f t="shared" si="96"/>
        <v>21</v>
      </c>
      <c r="K624" s="3">
        <f t="shared" si="99"/>
        <v>2</v>
      </c>
      <c r="L624" s="3" t="str">
        <f t="shared" si="97"/>
        <v>OPORTUNO</v>
      </c>
      <c r="M624" s="3">
        <v>16</v>
      </c>
      <c r="N624" s="3">
        <v>96.34</v>
      </c>
      <c r="O624" s="3">
        <v>17.571884984025559</v>
      </c>
    </row>
    <row r="625" spans="1:15" x14ac:dyDescent="0.25">
      <c r="A625" s="10">
        <v>46164</v>
      </c>
      <c r="B625" s="6" t="s">
        <v>22</v>
      </c>
      <c r="C625" s="3" t="s">
        <v>43</v>
      </c>
      <c r="D625" s="3">
        <v>20</v>
      </c>
      <c r="E625" s="3">
        <v>19</v>
      </c>
      <c r="F625" s="3">
        <v>22.07</v>
      </c>
      <c r="G625" s="3">
        <v>0</v>
      </c>
      <c r="I625" s="3">
        <f t="shared" si="98"/>
        <v>19</v>
      </c>
      <c r="J625" s="3">
        <f t="shared" si="96"/>
        <v>12</v>
      </c>
      <c r="K625" s="3">
        <f t="shared" si="99"/>
        <v>7</v>
      </c>
      <c r="L625" s="3" t="str">
        <f t="shared" si="97"/>
        <v>MUITO BOM</v>
      </c>
      <c r="M625" s="3">
        <v>18</v>
      </c>
      <c r="N625" s="3">
        <v>99.11</v>
      </c>
      <c r="O625" s="3">
        <v>17.721518987341771</v>
      </c>
    </row>
    <row r="626" spans="1:15" x14ac:dyDescent="0.25">
      <c r="A626" s="10">
        <v>46164</v>
      </c>
      <c r="B626" s="6" t="s">
        <v>24</v>
      </c>
      <c r="C626" s="3" t="s">
        <v>16</v>
      </c>
      <c r="D626" s="3">
        <v>30</v>
      </c>
      <c r="E626" s="3">
        <v>27</v>
      </c>
      <c r="F626" s="3">
        <v>9.15</v>
      </c>
      <c r="G626" s="3">
        <v>6</v>
      </c>
      <c r="I626" s="3">
        <f t="shared" si="98"/>
        <v>33</v>
      </c>
      <c r="J626" s="3">
        <f t="shared" si="96"/>
        <v>17</v>
      </c>
      <c r="K626" s="3">
        <f t="shared" si="99"/>
        <v>16</v>
      </c>
      <c r="L626" s="3" t="str">
        <f t="shared" si="97"/>
        <v>MUITO BOM</v>
      </c>
      <c r="M626" s="3">
        <v>24</v>
      </c>
      <c r="N626" s="3">
        <v>99.13</v>
      </c>
      <c r="O626" s="3">
        <v>14.7239263803681</v>
      </c>
    </row>
    <row r="627" spans="1:15" x14ac:dyDescent="0.25">
      <c r="A627" s="10">
        <v>46164</v>
      </c>
      <c r="B627" s="6" t="s">
        <v>25</v>
      </c>
      <c r="C627" s="3" t="s">
        <v>16</v>
      </c>
      <c r="D627" s="3">
        <v>13</v>
      </c>
      <c r="E627" s="3">
        <v>12</v>
      </c>
      <c r="F627" s="3">
        <v>16.53</v>
      </c>
      <c r="G627" s="3">
        <v>0</v>
      </c>
      <c r="I627" s="3">
        <f t="shared" si="98"/>
        <v>12</v>
      </c>
      <c r="J627" s="3">
        <f t="shared" si="96"/>
        <v>17</v>
      </c>
      <c r="K627" s="3">
        <f t="shared" si="99"/>
        <v>-5</v>
      </c>
      <c r="L627" s="3" t="str">
        <f t="shared" ref="L627:L658" si="100">IF(K627&lt;-5,"CRÍTICO",IF(K627&lt;0,"ATENÇÃO",IF(K627&lt;=5,"OPORTUNO","MUITO BOM")))</f>
        <v>ATENÇÃO</v>
      </c>
      <c r="M627" s="3">
        <v>12</v>
      </c>
      <c r="N627" s="3">
        <v>98.8</v>
      </c>
      <c r="O627" s="3">
        <v>16.897506925207761</v>
      </c>
    </row>
    <row r="628" spans="1:15" x14ac:dyDescent="0.25">
      <c r="A628" s="10">
        <v>46164</v>
      </c>
      <c r="B628" s="6" t="s">
        <v>26</v>
      </c>
      <c r="C628" s="3" t="s">
        <v>23</v>
      </c>
      <c r="D628" s="3">
        <v>7</v>
      </c>
      <c r="E628" s="3">
        <v>7</v>
      </c>
      <c r="F628" s="3">
        <v>22.38</v>
      </c>
      <c r="G628" s="3">
        <v>0</v>
      </c>
      <c r="I628" s="3">
        <f t="shared" si="98"/>
        <v>7</v>
      </c>
      <c r="J628" s="3">
        <f t="shared" si="96"/>
        <v>6</v>
      </c>
      <c r="K628" s="3">
        <f t="shared" si="99"/>
        <v>1</v>
      </c>
      <c r="L628" s="3" t="str">
        <f t="shared" si="100"/>
        <v>OPORTUNO</v>
      </c>
      <c r="M628" s="3">
        <v>3</v>
      </c>
      <c r="N628" s="3">
        <v>96.43</v>
      </c>
      <c r="O628" s="3">
        <v>20</v>
      </c>
    </row>
    <row r="629" spans="1:15" x14ac:dyDescent="0.25">
      <c r="A629" s="10">
        <v>46164</v>
      </c>
      <c r="B629" s="6" t="s">
        <v>27</v>
      </c>
      <c r="C629" s="3" t="s">
        <v>20</v>
      </c>
      <c r="D629" s="3">
        <v>15</v>
      </c>
      <c r="E629" s="3">
        <v>14</v>
      </c>
      <c r="F629" s="3">
        <v>12.06</v>
      </c>
      <c r="G629" s="3">
        <v>0</v>
      </c>
      <c r="I629" s="3">
        <f t="shared" si="98"/>
        <v>14</v>
      </c>
      <c r="J629" s="3">
        <f t="shared" si="96"/>
        <v>14</v>
      </c>
      <c r="K629" s="3">
        <f t="shared" si="99"/>
        <v>0</v>
      </c>
      <c r="L629" s="3" t="str">
        <f t="shared" si="100"/>
        <v>OPORTUNO</v>
      </c>
      <c r="M629" s="3">
        <v>12</v>
      </c>
      <c r="N629" s="3">
        <v>96.88</v>
      </c>
      <c r="O629" s="3">
        <v>19.526627218934909</v>
      </c>
    </row>
    <row r="630" spans="1:15" x14ac:dyDescent="0.25">
      <c r="A630" s="10">
        <v>46164</v>
      </c>
      <c r="B630" s="6" t="s">
        <v>28</v>
      </c>
      <c r="C630" s="3" t="s">
        <v>18</v>
      </c>
      <c r="D630" s="3">
        <v>25</v>
      </c>
      <c r="E630" s="3">
        <v>24</v>
      </c>
      <c r="F630" s="3">
        <v>15.42</v>
      </c>
      <c r="G630" s="3">
        <v>0</v>
      </c>
      <c r="I630" s="3">
        <f t="shared" si="98"/>
        <v>24</v>
      </c>
      <c r="J630" s="3">
        <f t="shared" si="96"/>
        <v>21</v>
      </c>
      <c r="K630" s="3">
        <f t="shared" si="99"/>
        <v>3</v>
      </c>
      <c r="L630" s="3" t="str">
        <f t="shared" si="100"/>
        <v>OPORTUNO</v>
      </c>
      <c r="M630" s="3">
        <v>22</v>
      </c>
      <c r="N630" s="3">
        <v>91.85</v>
      </c>
      <c r="O630" s="3">
        <v>20.87155963302752</v>
      </c>
    </row>
    <row r="631" spans="1:15" x14ac:dyDescent="0.25">
      <c r="A631" s="10">
        <v>46164</v>
      </c>
      <c r="B631" s="6" t="s">
        <v>29</v>
      </c>
      <c r="C631" s="3" t="s">
        <v>16</v>
      </c>
      <c r="D631" s="3">
        <v>0</v>
      </c>
      <c r="E631" s="3">
        <v>0</v>
      </c>
      <c r="F631" s="3">
        <v>0</v>
      </c>
      <c r="G631" s="3">
        <v>0</v>
      </c>
      <c r="I631" s="3">
        <f t="shared" si="98"/>
        <v>0</v>
      </c>
      <c r="J631" s="3">
        <f t="shared" si="96"/>
        <v>17</v>
      </c>
      <c r="K631" s="3">
        <f t="shared" si="99"/>
        <v>-17</v>
      </c>
      <c r="L631" s="3" t="str">
        <f t="shared" si="100"/>
        <v>CRÍTICO</v>
      </c>
      <c r="M631" s="3">
        <v>0</v>
      </c>
      <c r="N631" s="3">
        <v>98.63</v>
      </c>
      <c r="O631" s="3">
        <v>18.75</v>
      </c>
    </row>
    <row r="632" spans="1:15" x14ac:dyDescent="0.25">
      <c r="A632" s="10">
        <v>46164</v>
      </c>
      <c r="B632" s="6" t="s">
        <v>30</v>
      </c>
      <c r="C632" s="3" t="s">
        <v>20</v>
      </c>
      <c r="D632" s="3">
        <v>24</v>
      </c>
      <c r="E632" s="3">
        <v>23</v>
      </c>
      <c r="F632" s="3">
        <v>10.35</v>
      </c>
      <c r="G632" s="3">
        <v>0</v>
      </c>
      <c r="I632" s="3">
        <f t="shared" si="98"/>
        <v>23</v>
      </c>
      <c r="J632" s="3">
        <f t="shared" si="96"/>
        <v>14</v>
      </c>
      <c r="K632" s="3">
        <f t="shared" si="99"/>
        <v>9</v>
      </c>
      <c r="L632" s="3" t="str">
        <f t="shared" si="100"/>
        <v>MUITO BOM</v>
      </c>
      <c r="M632" s="3">
        <v>18</v>
      </c>
      <c r="N632" s="3">
        <v>100</v>
      </c>
      <c r="O632" s="3">
        <v>18.14516129032258</v>
      </c>
    </row>
    <row r="633" spans="1:15" x14ac:dyDescent="0.25">
      <c r="A633" s="10">
        <v>46164</v>
      </c>
      <c r="B633" s="6" t="s">
        <v>31</v>
      </c>
      <c r="C633" s="3" t="s">
        <v>18</v>
      </c>
      <c r="D633" s="3">
        <v>0</v>
      </c>
      <c r="E633" s="3">
        <v>0</v>
      </c>
      <c r="F633" s="3">
        <v>0</v>
      </c>
      <c r="G633" s="3">
        <v>0</v>
      </c>
      <c r="I633" s="3">
        <f t="shared" si="98"/>
        <v>0</v>
      </c>
      <c r="J633" s="3">
        <f t="shared" si="96"/>
        <v>21</v>
      </c>
      <c r="K633" s="3">
        <f t="shared" si="99"/>
        <v>-21</v>
      </c>
      <c r="L633" s="3" t="str">
        <f t="shared" si="100"/>
        <v>CRÍTICO</v>
      </c>
      <c r="M633" s="3">
        <v>0</v>
      </c>
      <c r="N633" s="3">
        <v>99.06</v>
      </c>
      <c r="O633" s="3">
        <v>22.95719844357977</v>
      </c>
    </row>
    <row r="634" spans="1:15" x14ac:dyDescent="0.25">
      <c r="A634" s="10">
        <v>46164</v>
      </c>
      <c r="B634" s="6" t="s">
        <v>32</v>
      </c>
      <c r="C634" s="3" t="s">
        <v>23</v>
      </c>
      <c r="D634" s="3">
        <v>6</v>
      </c>
      <c r="E634" s="3">
        <v>6</v>
      </c>
      <c r="F634" s="3">
        <v>36.58</v>
      </c>
      <c r="G634" s="3">
        <v>0</v>
      </c>
      <c r="I634" s="3">
        <f t="shared" si="98"/>
        <v>6</v>
      </c>
      <c r="J634" s="3">
        <f t="shared" si="96"/>
        <v>6</v>
      </c>
      <c r="K634" s="3">
        <f t="shared" si="99"/>
        <v>0</v>
      </c>
      <c r="L634" s="3" t="str">
        <f t="shared" si="100"/>
        <v>OPORTUNO</v>
      </c>
      <c r="M634" s="3">
        <v>6</v>
      </c>
      <c r="N634" s="3">
        <v>100</v>
      </c>
      <c r="O634" s="3">
        <v>29.032258064516132</v>
      </c>
    </row>
    <row r="635" spans="1:15" x14ac:dyDescent="0.25">
      <c r="A635" s="10">
        <v>46164</v>
      </c>
      <c r="B635" s="6" t="s">
        <v>33</v>
      </c>
      <c r="C635" s="3" t="s">
        <v>16</v>
      </c>
      <c r="D635" s="3">
        <v>17</v>
      </c>
      <c r="E635" s="3">
        <v>14</v>
      </c>
      <c r="F635" s="3">
        <v>13.23</v>
      </c>
      <c r="G635" s="3">
        <v>1</v>
      </c>
      <c r="I635" s="3">
        <f t="shared" si="98"/>
        <v>15</v>
      </c>
      <c r="J635" s="3">
        <f t="shared" si="96"/>
        <v>17</v>
      </c>
      <c r="K635" s="3">
        <f t="shared" si="99"/>
        <v>-2</v>
      </c>
      <c r="L635" s="3" t="str">
        <f t="shared" si="100"/>
        <v>ATENÇÃO</v>
      </c>
      <c r="M635" s="3">
        <v>15</v>
      </c>
      <c r="N635" s="3">
        <v>100</v>
      </c>
      <c r="O635" s="3">
        <v>13.8121546961326</v>
      </c>
    </row>
    <row r="636" spans="1:15" x14ac:dyDescent="0.25">
      <c r="A636" s="10">
        <v>46164</v>
      </c>
      <c r="B636" s="6" t="s">
        <v>34</v>
      </c>
      <c r="C636" s="3" t="s">
        <v>18</v>
      </c>
      <c r="D636" s="3">
        <v>12</v>
      </c>
      <c r="E636" s="3">
        <v>11</v>
      </c>
      <c r="F636" s="3">
        <v>12.15</v>
      </c>
      <c r="G636" s="3">
        <v>1</v>
      </c>
      <c r="I636" s="3">
        <f t="shared" si="98"/>
        <v>12</v>
      </c>
      <c r="J636" s="3">
        <f t="shared" si="96"/>
        <v>21</v>
      </c>
      <c r="K636" s="3">
        <f t="shared" si="99"/>
        <v>-9</v>
      </c>
      <c r="L636" s="3" t="str">
        <f t="shared" si="100"/>
        <v>CRÍTICO</v>
      </c>
      <c r="M636" s="3">
        <v>10</v>
      </c>
      <c r="N636" s="3">
        <v>100</v>
      </c>
      <c r="O636" s="3">
        <v>9.5238095238095237</v>
      </c>
    </row>
    <row r="637" spans="1:15" x14ac:dyDescent="0.25">
      <c r="A637" s="10">
        <v>46164</v>
      </c>
      <c r="B637" s="6" t="s">
        <v>35</v>
      </c>
      <c r="C637" s="3" t="s">
        <v>16</v>
      </c>
      <c r="D637" s="3">
        <v>0</v>
      </c>
      <c r="E637" s="3">
        <v>0</v>
      </c>
      <c r="F637" s="3">
        <v>0</v>
      </c>
      <c r="G637" s="3">
        <v>0</v>
      </c>
      <c r="I637" s="3">
        <f t="shared" si="98"/>
        <v>0</v>
      </c>
      <c r="J637" s="3">
        <f t="shared" si="96"/>
        <v>17</v>
      </c>
      <c r="K637" s="3">
        <f t="shared" si="99"/>
        <v>-17</v>
      </c>
      <c r="L637" s="3" t="str">
        <f t="shared" si="100"/>
        <v>CRÍTICO</v>
      </c>
      <c r="M637" s="3">
        <v>0</v>
      </c>
      <c r="N637" s="3">
        <v>100</v>
      </c>
      <c r="O637" s="3">
        <v>17.241379310344829</v>
      </c>
    </row>
    <row r="638" spans="1:15" x14ac:dyDescent="0.25">
      <c r="A638" s="10">
        <v>46164</v>
      </c>
      <c r="B638" s="6" t="s">
        <v>64</v>
      </c>
      <c r="C638" s="3" t="s">
        <v>23</v>
      </c>
      <c r="D638" s="3">
        <v>8</v>
      </c>
      <c r="E638" s="3">
        <v>7</v>
      </c>
      <c r="F638" s="3">
        <v>18.34</v>
      </c>
      <c r="G638" s="3">
        <v>0</v>
      </c>
      <c r="I638" s="3">
        <f t="shared" ref="I638:I665" si="101">E638+G638+H638</f>
        <v>7</v>
      </c>
      <c r="J638" s="3">
        <f t="shared" si="96"/>
        <v>6</v>
      </c>
      <c r="K638" s="3">
        <f t="shared" ref="K638:K665" si="102">I638-J638</f>
        <v>1</v>
      </c>
      <c r="L638" s="3" t="str">
        <f t="shared" si="100"/>
        <v>OPORTUNO</v>
      </c>
      <c r="M638" s="3">
        <v>0</v>
      </c>
      <c r="N638" s="3">
        <v>100</v>
      </c>
      <c r="O638" s="3">
        <v>14.285714285714279</v>
      </c>
    </row>
    <row r="639" spans="1:15" x14ac:dyDescent="0.25">
      <c r="A639" s="10">
        <v>46164</v>
      </c>
      <c r="B639" s="6" t="s">
        <v>36</v>
      </c>
      <c r="C639" s="3" t="s">
        <v>20</v>
      </c>
      <c r="D639" s="3">
        <v>8</v>
      </c>
      <c r="E639" s="3">
        <v>7</v>
      </c>
      <c r="F639" s="3">
        <v>18.34</v>
      </c>
      <c r="G639" s="3">
        <v>0</v>
      </c>
      <c r="I639" s="3">
        <f t="shared" si="101"/>
        <v>7</v>
      </c>
      <c r="J639" s="3">
        <f t="shared" si="96"/>
        <v>14</v>
      </c>
      <c r="K639" s="3">
        <f t="shared" si="102"/>
        <v>-7</v>
      </c>
      <c r="L639" s="3" t="str">
        <f t="shared" si="100"/>
        <v>CRÍTICO</v>
      </c>
      <c r="M639" s="3">
        <v>7</v>
      </c>
      <c r="N639" s="3">
        <v>98.8</v>
      </c>
      <c r="O639" s="3">
        <v>15.41353383458646</v>
      </c>
    </row>
    <row r="640" spans="1:15" x14ac:dyDescent="0.25">
      <c r="A640" s="10">
        <v>46164</v>
      </c>
      <c r="B640" s="6" t="s">
        <v>37</v>
      </c>
      <c r="C640" s="3" t="s">
        <v>16</v>
      </c>
      <c r="D640" s="3">
        <v>15</v>
      </c>
      <c r="E640" s="3">
        <v>15</v>
      </c>
      <c r="F640" s="3">
        <v>28.35</v>
      </c>
      <c r="G640" s="3">
        <v>0</v>
      </c>
      <c r="I640" s="3">
        <f t="shared" si="101"/>
        <v>15</v>
      </c>
      <c r="J640" s="3">
        <f t="shared" si="96"/>
        <v>17</v>
      </c>
      <c r="K640" s="3">
        <f t="shared" si="102"/>
        <v>-2</v>
      </c>
      <c r="L640" s="3" t="str">
        <f t="shared" si="100"/>
        <v>ATENÇÃO</v>
      </c>
      <c r="M640" s="3">
        <v>14</v>
      </c>
      <c r="N640" s="3">
        <v>98.63</v>
      </c>
      <c r="O640" s="3">
        <v>15.75757575757576</v>
      </c>
    </row>
    <row r="641" spans="1:15" x14ac:dyDescent="0.25">
      <c r="A641" s="10">
        <v>46164</v>
      </c>
      <c r="B641" s="6" t="s">
        <v>38</v>
      </c>
      <c r="C641" s="3" t="s">
        <v>18</v>
      </c>
      <c r="D641" s="3">
        <v>28</v>
      </c>
      <c r="E641" s="3">
        <v>26</v>
      </c>
      <c r="F641" s="3">
        <v>12.35</v>
      </c>
      <c r="G641" s="3">
        <v>5</v>
      </c>
      <c r="I641" s="3">
        <f t="shared" si="101"/>
        <v>31</v>
      </c>
      <c r="J641" s="3">
        <f t="shared" si="96"/>
        <v>21</v>
      </c>
      <c r="K641" s="3">
        <f t="shared" si="102"/>
        <v>10</v>
      </c>
      <c r="L641" s="3" t="str">
        <f t="shared" si="100"/>
        <v>MUITO BOM</v>
      </c>
      <c r="M641" s="3">
        <v>23</v>
      </c>
      <c r="N641" s="3">
        <v>98.64</v>
      </c>
      <c r="O641" s="3">
        <v>16.638370118845501</v>
      </c>
    </row>
    <row r="642" spans="1:15" x14ac:dyDescent="0.25">
      <c r="A642" s="10">
        <v>46164</v>
      </c>
      <c r="B642" s="6" t="s">
        <v>39</v>
      </c>
      <c r="C642" s="3" t="s">
        <v>18</v>
      </c>
      <c r="D642" s="3">
        <v>14</v>
      </c>
      <c r="E642" s="3">
        <v>14</v>
      </c>
      <c r="F642" s="3">
        <v>21.55</v>
      </c>
      <c r="G642" s="3">
        <v>0</v>
      </c>
      <c r="I642" s="3">
        <f t="shared" si="101"/>
        <v>14</v>
      </c>
      <c r="J642" s="3">
        <f t="shared" ref="J642:J705" si="103"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>21</v>
      </c>
      <c r="K642" s="3">
        <f t="shared" si="102"/>
        <v>-7</v>
      </c>
      <c r="L642" s="3" t="str">
        <f t="shared" si="100"/>
        <v>CRÍTICO</v>
      </c>
      <c r="M642" s="3">
        <v>14</v>
      </c>
      <c r="N642" s="3">
        <v>95.4</v>
      </c>
      <c r="O642" s="3">
        <v>20.533333333333331</v>
      </c>
    </row>
    <row r="643" spans="1:15" x14ac:dyDescent="0.25">
      <c r="A643" s="10">
        <v>46164</v>
      </c>
      <c r="B643" s="6" t="s">
        <v>40</v>
      </c>
      <c r="C643" s="3" t="s">
        <v>16</v>
      </c>
      <c r="D643" s="3">
        <v>13</v>
      </c>
      <c r="E643" s="3">
        <v>12</v>
      </c>
      <c r="F643" s="3">
        <v>11.42</v>
      </c>
      <c r="G643" s="3">
        <v>1</v>
      </c>
      <c r="I643" s="3">
        <f t="shared" si="101"/>
        <v>13</v>
      </c>
      <c r="J643" s="3">
        <f t="shared" si="103"/>
        <v>17</v>
      </c>
      <c r="K643" s="3">
        <f t="shared" si="102"/>
        <v>-4</v>
      </c>
      <c r="L643" s="3" t="str">
        <f t="shared" si="100"/>
        <v>ATENÇÃO</v>
      </c>
      <c r="M643" s="3">
        <v>10</v>
      </c>
      <c r="N643" s="3">
        <v>98.61</v>
      </c>
      <c r="O643" s="3">
        <v>16.97530864197531</v>
      </c>
    </row>
    <row r="644" spans="1:15" x14ac:dyDescent="0.25">
      <c r="A644" s="10">
        <v>46164</v>
      </c>
      <c r="B644" s="6" t="s">
        <v>41</v>
      </c>
      <c r="C644" s="3" t="s">
        <v>18</v>
      </c>
      <c r="D644" s="3">
        <v>38</v>
      </c>
      <c r="E644" s="3">
        <v>36</v>
      </c>
      <c r="F644" s="3">
        <v>20.2</v>
      </c>
      <c r="G644" s="3">
        <v>0</v>
      </c>
      <c r="I644" s="3">
        <f t="shared" si="101"/>
        <v>36</v>
      </c>
      <c r="J644" s="3">
        <f t="shared" si="103"/>
        <v>21</v>
      </c>
      <c r="K644" s="3">
        <f t="shared" si="102"/>
        <v>15</v>
      </c>
      <c r="L644" s="3" t="str">
        <f t="shared" si="100"/>
        <v>MUITO BOM</v>
      </c>
      <c r="M644" s="3">
        <v>0</v>
      </c>
      <c r="N644" s="3">
        <v>0</v>
      </c>
      <c r="O644" s="3">
        <v>0</v>
      </c>
    </row>
    <row r="645" spans="1:15" x14ac:dyDescent="0.25">
      <c r="A645" s="10">
        <v>46164</v>
      </c>
      <c r="B645" s="6" t="s">
        <v>42</v>
      </c>
      <c r="C645" s="3" t="s">
        <v>43</v>
      </c>
      <c r="D645" s="3">
        <v>19</v>
      </c>
      <c r="E645" s="3">
        <v>19</v>
      </c>
      <c r="F645" s="3">
        <v>21.43</v>
      </c>
      <c r="G645" s="3">
        <v>0</v>
      </c>
      <c r="I645" s="3">
        <f t="shared" si="101"/>
        <v>19</v>
      </c>
      <c r="J645" s="3">
        <f t="shared" si="103"/>
        <v>12</v>
      </c>
      <c r="K645" s="3">
        <f t="shared" si="102"/>
        <v>7</v>
      </c>
      <c r="L645" s="3" t="str">
        <f t="shared" si="100"/>
        <v>MUITO BOM</v>
      </c>
      <c r="M645" s="3">
        <v>20</v>
      </c>
      <c r="N645" s="3">
        <v>97.01</v>
      </c>
      <c r="O645" s="3">
        <v>13.961038961038961</v>
      </c>
    </row>
    <row r="646" spans="1:15" x14ac:dyDescent="0.25">
      <c r="A646" s="10">
        <v>46164</v>
      </c>
      <c r="B646" s="6" t="s">
        <v>44</v>
      </c>
      <c r="C646" s="3" t="s">
        <v>18</v>
      </c>
      <c r="D646" s="3">
        <v>19</v>
      </c>
      <c r="E646" s="3">
        <v>19</v>
      </c>
      <c r="F646" s="3">
        <v>16.57</v>
      </c>
      <c r="G646" s="3">
        <v>0</v>
      </c>
      <c r="I646" s="3">
        <f t="shared" si="101"/>
        <v>19</v>
      </c>
      <c r="J646" s="3">
        <f t="shared" si="103"/>
        <v>21</v>
      </c>
      <c r="K646" s="3">
        <f t="shared" si="102"/>
        <v>-2</v>
      </c>
      <c r="L646" s="3" t="str">
        <f t="shared" si="100"/>
        <v>ATENÇÃO</v>
      </c>
      <c r="M646" s="3">
        <v>21</v>
      </c>
      <c r="N646" s="3">
        <v>95.52</v>
      </c>
      <c r="O646" s="3">
        <v>10.561056105610559</v>
      </c>
    </row>
    <row r="647" spans="1:15" x14ac:dyDescent="0.25">
      <c r="A647" s="10">
        <v>46164</v>
      </c>
      <c r="B647" s="6" t="s">
        <v>45</v>
      </c>
      <c r="C647" s="3" t="s">
        <v>43</v>
      </c>
      <c r="D647" s="3">
        <v>10</v>
      </c>
      <c r="E647" s="3">
        <v>10</v>
      </c>
      <c r="F647" s="3">
        <v>27.18</v>
      </c>
      <c r="G647" s="3">
        <v>2</v>
      </c>
      <c r="I647" s="3">
        <f t="shared" si="101"/>
        <v>12</v>
      </c>
      <c r="J647" s="3">
        <f t="shared" si="103"/>
        <v>12</v>
      </c>
      <c r="K647" s="3">
        <f t="shared" si="102"/>
        <v>0</v>
      </c>
      <c r="L647" s="3" t="str">
        <f t="shared" si="100"/>
        <v>OPORTUNO</v>
      </c>
      <c r="M647" s="3">
        <v>8</v>
      </c>
      <c r="N647" s="3">
        <v>100</v>
      </c>
      <c r="O647" s="3">
        <v>16.959064327485379</v>
      </c>
    </row>
    <row r="648" spans="1:15" x14ac:dyDescent="0.25">
      <c r="A648" s="10">
        <v>46164</v>
      </c>
      <c r="B648" s="6" t="s">
        <v>46</v>
      </c>
      <c r="C648" s="3" t="s">
        <v>18</v>
      </c>
      <c r="D648" s="3">
        <v>21</v>
      </c>
      <c r="E648" s="3">
        <v>20</v>
      </c>
      <c r="F648" s="3">
        <v>16.59</v>
      </c>
      <c r="G648" s="3">
        <v>0</v>
      </c>
      <c r="I648" s="3">
        <f t="shared" si="101"/>
        <v>20</v>
      </c>
      <c r="J648" s="3">
        <f t="shared" si="103"/>
        <v>21</v>
      </c>
      <c r="K648" s="3">
        <f t="shared" si="102"/>
        <v>-1</v>
      </c>
      <c r="L648" s="3" t="str">
        <f t="shared" si="100"/>
        <v>ATENÇÃO</v>
      </c>
      <c r="M648" s="3">
        <v>20</v>
      </c>
      <c r="N648" s="3">
        <v>100</v>
      </c>
      <c r="O648" s="3">
        <v>15.584415584415581</v>
      </c>
    </row>
    <row r="649" spans="1:15" x14ac:dyDescent="0.25">
      <c r="A649" s="10">
        <v>46164</v>
      </c>
      <c r="B649" s="6" t="s">
        <v>47</v>
      </c>
      <c r="C649" s="3" t="s">
        <v>16</v>
      </c>
      <c r="D649" s="3">
        <v>19</v>
      </c>
      <c r="E649" s="3">
        <v>18</v>
      </c>
      <c r="F649" s="3">
        <v>20.48</v>
      </c>
      <c r="G649" s="3">
        <v>1</v>
      </c>
      <c r="I649" s="3">
        <f t="shared" si="101"/>
        <v>19</v>
      </c>
      <c r="J649" s="3">
        <f t="shared" si="103"/>
        <v>17</v>
      </c>
      <c r="K649" s="3">
        <f t="shared" si="102"/>
        <v>2</v>
      </c>
      <c r="L649" s="3" t="str">
        <f t="shared" si="100"/>
        <v>OPORTUNO</v>
      </c>
      <c r="M649" s="3">
        <v>18</v>
      </c>
      <c r="N649" s="3">
        <v>98.61</v>
      </c>
      <c r="O649" s="3">
        <v>16.867469879518069</v>
      </c>
    </row>
    <row r="650" spans="1:15" x14ac:dyDescent="0.25">
      <c r="A650" s="10">
        <v>46164</v>
      </c>
      <c r="B650" s="6" t="s">
        <v>48</v>
      </c>
      <c r="C650" s="3" t="s">
        <v>16</v>
      </c>
      <c r="D650" s="3">
        <v>0</v>
      </c>
      <c r="E650" s="3">
        <v>0</v>
      </c>
      <c r="F650" s="3">
        <v>0</v>
      </c>
      <c r="G650" s="3">
        <v>0</v>
      </c>
      <c r="I650" s="3">
        <f t="shared" si="101"/>
        <v>0</v>
      </c>
      <c r="J650" s="3">
        <f t="shared" si="103"/>
        <v>17</v>
      </c>
      <c r="K650" s="3">
        <f t="shared" si="102"/>
        <v>-17</v>
      </c>
      <c r="L650" s="3" t="str">
        <f t="shared" si="100"/>
        <v>CRÍTICO</v>
      </c>
      <c r="M650" s="3">
        <v>0</v>
      </c>
      <c r="N650" s="3">
        <v>100</v>
      </c>
      <c r="O650" s="3">
        <v>20.820189274447952</v>
      </c>
    </row>
    <row r="651" spans="1:15" x14ac:dyDescent="0.25">
      <c r="A651" s="10">
        <v>46164</v>
      </c>
      <c r="B651" s="6" t="s">
        <v>49</v>
      </c>
      <c r="C651" s="3" t="s">
        <v>18</v>
      </c>
      <c r="D651" s="3">
        <v>26</v>
      </c>
      <c r="E651" s="3">
        <v>19</v>
      </c>
      <c r="F651" s="3">
        <v>12.11</v>
      </c>
      <c r="G651" s="3">
        <v>0</v>
      </c>
      <c r="I651" s="3">
        <f t="shared" si="101"/>
        <v>19</v>
      </c>
      <c r="J651" s="3">
        <f t="shared" si="103"/>
        <v>21</v>
      </c>
      <c r="K651" s="3">
        <f t="shared" si="102"/>
        <v>-2</v>
      </c>
      <c r="L651" s="3" t="str">
        <f t="shared" si="100"/>
        <v>ATENÇÃO</v>
      </c>
      <c r="M651" s="3">
        <v>15</v>
      </c>
      <c r="N651" s="3">
        <v>100</v>
      </c>
      <c r="O651" s="3">
        <v>4.3478260869565224</v>
      </c>
    </row>
    <row r="652" spans="1:15" x14ac:dyDescent="0.25">
      <c r="A652" s="10">
        <v>46164</v>
      </c>
      <c r="B652" s="6" t="s">
        <v>50</v>
      </c>
      <c r="C652" s="3" t="s">
        <v>20</v>
      </c>
      <c r="D652" s="3">
        <v>8</v>
      </c>
      <c r="E652" s="3">
        <v>8</v>
      </c>
      <c r="F652" s="3">
        <v>32.369999999999997</v>
      </c>
      <c r="G652" s="3">
        <v>0</v>
      </c>
      <c r="I652" s="3">
        <f t="shared" si="101"/>
        <v>8</v>
      </c>
      <c r="J652" s="3">
        <f t="shared" si="103"/>
        <v>14</v>
      </c>
      <c r="K652" s="3">
        <f t="shared" si="102"/>
        <v>-6</v>
      </c>
      <c r="L652" s="3" t="str">
        <f t="shared" si="100"/>
        <v>CRÍTICO</v>
      </c>
      <c r="M652" s="3">
        <v>8</v>
      </c>
      <c r="N652" s="3">
        <v>93.26</v>
      </c>
      <c r="O652" s="3">
        <v>19.93957703927493</v>
      </c>
    </row>
    <row r="653" spans="1:15" x14ac:dyDescent="0.25">
      <c r="A653" s="10">
        <v>46164</v>
      </c>
      <c r="B653" s="6" t="s">
        <v>51</v>
      </c>
      <c r="C653" s="3" t="s">
        <v>23</v>
      </c>
      <c r="D653" s="3">
        <v>8</v>
      </c>
      <c r="E653" s="3">
        <v>8</v>
      </c>
      <c r="F653" s="3">
        <v>20.010000000000002</v>
      </c>
      <c r="G653" s="3">
        <v>0</v>
      </c>
      <c r="I653" s="3">
        <f t="shared" si="101"/>
        <v>8</v>
      </c>
      <c r="J653" s="3">
        <f t="shared" si="103"/>
        <v>6</v>
      </c>
      <c r="K653" s="3">
        <f t="shared" si="102"/>
        <v>2</v>
      </c>
      <c r="L653" s="3" t="str">
        <f t="shared" si="100"/>
        <v>OPORTUNO</v>
      </c>
      <c r="M653" s="3">
        <v>6</v>
      </c>
      <c r="N653" s="3">
        <v>100</v>
      </c>
      <c r="O653" s="3">
        <v>11.864406779661021</v>
      </c>
    </row>
    <row r="654" spans="1:15" x14ac:dyDescent="0.25">
      <c r="A654" s="10">
        <v>46164</v>
      </c>
      <c r="B654" s="6" t="s">
        <v>52</v>
      </c>
      <c r="C654" s="3" t="s">
        <v>18</v>
      </c>
      <c r="D654" s="3">
        <v>0</v>
      </c>
      <c r="E654" s="3">
        <v>0</v>
      </c>
      <c r="F654" s="3">
        <v>0</v>
      </c>
      <c r="G654" s="3">
        <v>0</v>
      </c>
      <c r="I654" s="3">
        <f t="shared" si="101"/>
        <v>0</v>
      </c>
      <c r="J654" s="3">
        <f t="shared" si="103"/>
        <v>21</v>
      </c>
      <c r="K654" s="3">
        <f t="shared" si="102"/>
        <v>-21</v>
      </c>
      <c r="L654" s="3" t="str">
        <f t="shared" si="100"/>
        <v>CRÍTICO</v>
      </c>
      <c r="M654" s="3">
        <v>3</v>
      </c>
      <c r="N654" s="3">
        <v>98.28</v>
      </c>
      <c r="O654" s="3">
        <v>9.037900874635568</v>
      </c>
    </row>
    <row r="655" spans="1:15" x14ac:dyDescent="0.25">
      <c r="A655" s="10">
        <v>46164</v>
      </c>
      <c r="B655" s="6" t="s">
        <v>53</v>
      </c>
      <c r="C655" s="3" t="s">
        <v>18</v>
      </c>
      <c r="D655" s="3">
        <v>23</v>
      </c>
      <c r="E655" s="3">
        <v>20</v>
      </c>
      <c r="F655" s="3">
        <v>13.5</v>
      </c>
      <c r="G655" s="3">
        <v>5</v>
      </c>
      <c r="I655" s="3">
        <f t="shared" si="101"/>
        <v>25</v>
      </c>
      <c r="J655" s="3">
        <f t="shared" si="103"/>
        <v>21</v>
      </c>
      <c r="K655" s="3">
        <f t="shared" si="102"/>
        <v>4</v>
      </c>
      <c r="L655" s="3" t="str">
        <f t="shared" si="100"/>
        <v>OPORTUNO</v>
      </c>
      <c r="M655" s="3">
        <v>16</v>
      </c>
      <c r="N655" s="3">
        <v>97.22</v>
      </c>
      <c r="O655" s="3">
        <v>19.095477386934672</v>
      </c>
    </row>
    <row r="656" spans="1:15" x14ac:dyDescent="0.25">
      <c r="A656" s="10">
        <v>46164</v>
      </c>
      <c r="B656" s="6" t="s">
        <v>54</v>
      </c>
      <c r="C656" s="3" t="s">
        <v>23</v>
      </c>
      <c r="D656" s="3">
        <v>15</v>
      </c>
      <c r="E656" s="3">
        <v>14</v>
      </c>
      <c r="F656" s="3">
        <v>31.4</v>
      </c>
      <c r="G656" s="3">
        <v>0</v>
      </c>
      <c r="I656" s="3">
        <f t="shared" si="101"/>
        <v>14</v>
      </c>
      <c r="J656" s="3">
        <f t="shared" si="103"/>
        <v>6</v>
      </c>
      <c r="K656" s="3">
        <f t="shared" si="102"/>
        <v>8</v>
      </c>
      <c r="L656" s="3" t="str">
        <f t="shared" si="100"/>
        <v>MUITO BOM</v>
      </c>
      <c r="M656" s="3">
        <v>11</v>
      </c>
      <c r="N656" s="3">
        <v>100</v>
      </c>
      <c r="O656" s="3">
        <v>16.814159292035399</v>
      </c>
    </row>
    <row r="657" spans="1:15" x14ac:dyDescent="0.25">
      <c r="A657" s="10">
        <v>46164</v>
      </c>
      <c r="B657" s="6" t="s">
        <v>55</v>
      </c>
      <c r="C657" s="3" t="s">
        <v>43</v>
      </c>
      <c r="D657" s="3">
        <v>21</v>
      </c>
      <c r="E657" s="3">
        <v>18</v>
      </c>
      <c r="F657" s="3">
        <v>13.49</v>
      </c>
      <c r="G657" s="3">
        <v>0</v>
      </c>
      <c r="I657" s="3">
        <f t="shared" si="101"/>
        <v>18</v>
      </c>
      <c r="J657" s="3">
        <f t="shared" si="103"/>
        <v>12</v>
      </c>
      <c r="K657" s="3">
        <f t="shared" si="102"/>
        <v>6</v>
      </c>
      <c r="L657" s="3" t="str">
        <f t="shared" si="100"/>
        <v>MUITO BOM</v>
      </c>
      <c r="M657" s="3">
        <v>16</v>
      </c>
      <c r="N657" s="3">
        <v>98</v>
      </c>
      <c r="O657" s="3">
        <v>16.43835616438356</v>
      </c>
    </row>
    <row r="658" spans="1:15" x14ac:dyDescent="0.25">
      <c r="A658" s="10">
        <v>46164</v>
      </c>
      <c r="B658" s="6" t="s">
        <v>56</v>
      </c>
      <c r="C658" s="3" t="s">
        <v>16</v>
      </c>
      <c r="D658" s="3">
        <v>17</v>
      </c>
      <c r="E658" s="3">
        <v>17</v>
      </c>
      <c r="F658" s="3">
        <v>22.2</v>
      </c>
      <c r="G658" s="3">
        <v>0</v>
      </c>
      <c r="I658" s="3">
        <f t="shared" si="101"/>
        <v>17</v>
      </c>
      <c r="J658" s="3">
        <f t="shared" si="103"/>
        <v>17</v>
      </c>
      <c r="K658" s="3">
        <f t="shared" si="102"/>
        <v>0</v>
      </c>
      <c r="L658" s="3" t="str">
        <f t="shared" si="100"/>
        <v>OPORTUNO</v>
      </c>
      <c r="M658" s="3">
        <v>12</v>
      </c>
      <c r="N658" s="3">
        <v>100</v>
      </c>
      <c r="O658" s="3">
        <v>16.894977168949769</v>
      </c>
    </row>
    <row r="659" spans="1:15" x14ac:dyDescent="0.25">
      <c r="A659" s="10">
        <v>46164</v>
      </c>
      <c r="B659" s="6" t="s">
        <v>57</v>
      </c>
      <c r="C659" s="3" t="s">
        <v>43</v>
      </c>
      <c r="D659" s="3">
        <v>13</v>
      </c>
      <c r="E659" s="3">
        <v>13</v>
      </c>
      <c r="F659" s="3">
        <v>27</v>
      </c>
      <c r="G659" s="3">
        <v>4</v>
      </c>
      <c r="I659" s="3">
        <f t="shared" si="101"/>
        <v>17</v>
      </c>
      <c r="J659" s="3">
        <f t="shared" si="103"/>
        <v>12</v>
      </c>
      <c r="K659" s="3">
        <f t="shared" si="102"/>
        <v>5</v>
      </c>
      <c r="L659" s="3" t="str">
        <f t="shared" ref="L659:L665" si="104">IF(K659&lt;-5,"CRÍTICO",IF(K659&lt;0,"ATENÇÃO",IF(K659&lt;=5,"OPORTUNO","MUITO BOM")))</f>
        <v>OPORTUNO</v>
      </c>
      <c r="M659" s="3">
        <v>9</v>
      </c>
      <c r="N659" s="3">
        <v>100</v>
      </c>
      <c r="O659" s="3">
        <v>19.138755980861241</v>
      </c>
    </row>
    <row r="660" spans="1:15" x14ac:dyDescent="0.25">
      <c r="A660" s="10">
        <v>46164</v>
      </c>
      <c r="B660" s="6" t="s">
        <v>58</v>
      </c>
      <c r="C660" s="3" t="s">
        <v>43</v>
      </c>
      <c r="D660" s="3">
        <v>17</v>
      </c>
      <c r="E660" s="3">
        <v>17</v>
      </c>
      <c r="F660" s="3">
        <v>17.239999999999998</v>
      </c>
      <c r="G660" s="3">
        <v>2</v>
      </c>
      <c r="I660" s="3">
        <f t="shared" si="101"/>
        <v>19</v>
      </c>
      <c r="J660" s="3">
        <f t="shared" si="103"/>
        <v>12</v>
      </c>
      <c r="K660" s="3">
        <f t="shared" si="102"/>
        <v>7</v>
      </c>
      <c r="L660" s="3" t="str">
        <f t="shared" si="104"/>
        <v>MUITO BOM</v>
      </c>
      <c r="M660" s="3">
        <v>15</v>
      </c>
      <c r="N660" s="3">
        <v>100</v>
      </c>
      <c r="O660" s="3">
        <v>15.02145922746781</v>
      </c>
    </row>
    <row r="661" spans="1:15" x14ac:dyDescent="0.25">
      <c r="A661" s="10">
        <v>46164</v>
      </c>
      <c r="B661" s="6" t="s">
        <v>59</v>
      </c>
      <c r="C661" s="3" t="s">
        <v>23</v>
      </c>
      <c r="D661" s="3">
        <v>17</v>
      </c>
      <c r="E661" s="3">
        <v>15</v>
      </c>
      <c r="F661" s="3">
        <v>25.36</v>
      </c>
      <c r="G661" s="3">
        <v>0</v>
      </c>
      <c r="I661" s="3">
        <f t="shared" si="101"/>
        <v>15</v>
      </c>
      <c r="J661" s="3">
        <f t="shared" si="103"/>
        <v>6</v>
      </c>
      <c r="K661" s="3">
        <f t="shared" si="102"/>
        <v>9</v>
      </c>
      <c r="L661" s="3" t="str">
        <f t="shared" si="104"/>
        <v>MUITO BOM</v>
      </c>
      <c r="M661" s="3">
        <v>9</v>
      </c>
      <c r="N661" s="3">
        <v>98.11</v>
      </c>
      <c r="O661" s="3">
        <v>20.408163265306118</v>
      </c>
    </row>
    <row r="662" spans="1:15" x14ac:dyDescent="0.25">
      <c r="A662" s="10">
        <v>46164</v>
      </c>
      <c r="B662" s="6" t="s">
        <v>60</v>
      </c>
      <c r="C662" s="3" t="s">
        <v>20</v>
      </c>
      <c r="D662" s="3">
        <v>18</v>
      </c>
      <c r="E662" s="3">
        <v>18</v>
      </c>
      <c r="F662" s="3">
        <v>20.45</v>
      </c>
      <c r="G662" s="3">
        <v>2</v>
      </c>
      <c r="I662" s="3">
        <f t="shared" si="101"/>
        <v>20</v>
      </c>
      <c r="J662" s="3">
        <f t="shared" si="103"/>
        <v>14</v>
      </c>
      <c r="K662" s="3">
        <f t="shared" si="102"/>
        <v>6</v>
      </c>
      <c r="L662" s="3" t="str">
        <f t="shared" si="104"/>
        <v>MUITO BOM</v>
      </c>
      <c r="M662" s="3">
        <v>12</v>
      </c>
      <c r="N662" s="3">
        <v>97.56</v>
      </c>
      <c r="O662" s="3">
        <v>19.28783382789317</v>
      </c>
    </row>
    <row r="663" spans="1:15" x14ac:dyDescent="0.25">
      <c r="A663" s="10">
        <v>46164</v>
      </c>
      <c r="B663" s="6" t="s">
        <v>61</v>
      </c>
      <c r="C663" s="3" t="s">
        <v>18</v>
      </c>
      <c r="D663" s="3">
        <v>25</v>
      </c>
      <c r="E663" s="3">
        <v>22</v>
      </c>
      <c r="F663" s="3">
        <v>13.32</v>
      </c>
      <c r="G663" s="3">
        <v>0</v>
      </c>
      <c r="I663" s="3">
        <f t="shared" si="101"/>
        <v>22</v>
      </c>
      <c r="J663" s="3">
        <f t="shared" si="103"/>
        <v>21</v>
      </c>
      <c r="K663" s="3">
        <f t="shared" si="102"/>
        <v>1</v>
      </c>
      <c r="L663" s="3" t="str">
        <f t="shared" si="104"/>
        <v>OPORTUNO</v>
      </c>
      <c r="M663" s="3">
        <v>18</v>
      </c>
      <c r="N663" s="3">
        <v>99.29</v>
      </c>
      <c r="O663" s="3">
        <v>22.49443207126949</v>
      </c>
    </row>
    <row r="664" spans="1:15" x14ac:dyDescent="0.25">
      <c r="A664" s="10">
        <v>46164</v>
      </c>
      <c r="B664" s="6" t="s">
        <v>62</v>
      </c>
      <c r="C664" s="3" t="s">
        <v>20</v>
      </c>
      <c r="D664" s="3">
        <v>17</v>
      </c>
      <c r="E664" s="3">
        <v>16</v>
      </c>
      <c r="F664" s="3">
        <v>20.55</v>
      </c>
      <c r="G664" s="3">
        <v>1</v>
      </c>
      <c r="I664" s="3">
        <f t="shared" si="101"/>
        <v>17</v>
      </c>
      <c r="J664" s="3">
        <f t="shared" si="103"/>
        <v>14</v>
      </c>
      <c r="K664" s="3">
        <f t="shared" si="102"/>
        <v>3</v>
      </c>
      <c r="L664" s="3" t="str">
        <f t="shared" si="104"/>
        <v>OPORTUNO</v>
      </c>
      <c r="M664" s="3">
        <v>17</v>
      </c>
      <c r="N664" s="3">
        <v>100</v>
      </c>
      <c r="O664" s="3">
        <v>16.97247706422019</v>
      </c>
    </row>
    <row r="665" spans="1:15" x14ac:dyDescent="0.25">
      <c r="A665" s="10">
        <v>46164</v>
      </c>
      <c r="B665" s="6" t="s">
        <v>63</v>
      </c>
      <c r="C665" s="3" t="s">
        <v>18</v>
      </c>
      <c r="D665" s="3">
        <v>26</v>
      </c>
      <c r="E665" s="3">
        <v>22</v>
      </c>
      <c r="F665" s="3">
        <v>13.4</v>
      </c>
      <c r="G665" s="3">
        <v>0</v>
      </c>
      <c r="I665" s="3">
        <f t="shared" si="101"/>
        <v>22</v>
      </c>
      <c r="J665" s="3">
        <f t="shared" si="103"/>
        <v>21</v>
      </c>
      <c r="K665" s="3">
        <f t="shared" si="102"/>
        <v>1</v>
      </c>
      <c r="L665" s="3" t="str">
        <f t="shared" si="104"/>
        <v>OPORTUNO</v>
      </c>
      <c r="M665" s="3">
        <v>17</v>
      </c>
      <c r="N665" s="3">
        <v>97.33</v>
      </c>
      <c r="O665" s="3">
        <v>15.805471124620061</v>
      </c>
    </row>
    <row r="666" spans="1:15" x14ac:dyDescent="0.25">
      <c r="J666" s="3">
        <f t="shared" si="103"/>
        <v>0</v>
      </c>
    </row>
    <row r="667" spans="1:15" x14ac:dyDescent="0.25">
      <c r="J667" s="3">
        <f t="shared" si="103"/>
        <v>0</v>
      </c>
    </row>
    <row r="668" spans="1:15" x14ac:dyDescent="0.25">
      <c r="J668" s="3">
        <f t="shared" si="103"/>
        <v>0</v>
      </c>
    </row>
    <row r="669" spans="1:15" x14ac:dyDescent="0.25">
      <c r="J669" s="3">
        <f t="shared" si="103"/>
        <v>0</v>
      </c>
    </row>
    <row r="670" spans="1:15" x14ac:dyDescent="0.25">
      <c r="J670" s="3">
        <f t="shared" si="103"/>
        <v>0</v>
      </c>
    </row>
    <row r="671" spans="1:15" x14ac:dyDescent="0.25">
      <c r="J671" s="3">
        <f t="shared" si="103"/>
        <v>0</v>
      </c>
    </row>
    <row r="672" spans="1:15" x14ac:dyDescent="0.25">
      <c r="J672" s="3">
        <f t="shared" si="103"/>
        <v>0</v>
      </c>
    </row>
    <row r="673" spans="10:10" x14ac:dyDescent="0.25">
      <c r="J673" s="3">
        <f t="shared" si="103"/>
        <v>0</v>
      </c>
    </row>
    <row r="674" spans="10:10" x14ac:dyDescent="0.25">
      <c r="J674" s="3">
        <f t="shared" si="103"/>
        <v>0</v>
      </c>
    </row>
    <row r="675" spans="10:10" x14ac:dyDescent="0.25">
      <c r="J675" s="3">
        <f t="shared" si="103"/>
        <v>0</v>
      </c>
    </row>
    <row r="676" spans="10:10" x14ac:dyDescent="0.25">
      <c r="J676" s="3">
        <f t="shared" si="103"/>
        <v>0</v>
      </c>
    </row>
    <row r="677" spans="10:10" x14ac:dyDescent="0.25">
      <c r="J677" s="3">
        <f t="shared" si="103"/>
        <v>0</v>
      </c>
    </row>
    <row r="678" spans="10:10" x14ac:dyDescent="0.25">
      <c r="J678" s="3">
        <f t="shared" si="103"/>
        <v>0</v>
      </c>
    </row>
    <row r="679" spans="10:10" x14ac:dyDescent="0.25">
      <c r="J679" s="3">
        <f t="shared" si="103"/>
        <v>0</v>
      </c>
    </row>
    <row r="680" spans="10:10" x14ac:dyDescent="0.25">
      <c r="J680" s="3">
        <f t="shared" si="103"/>
        <v>0</v>
      </c>
    </row>
    <row r="681" spans="10:10" x14ac:dyDescent="0.25">
      <c r="J681" s="3">
        <f t="shared" si="103"/>
        <v>0</v>
      </c>
    </row>
    <row r="682" spans="10:10" x14ac:dyDescent="0.25">
      <c r="J682" s="3">
        <f t="shared" si="103"/>
        <v>0</v>
      </c>
    </row>
    <row r="683" spans="10:10" x14ac:dyDescent="0.25">
      <c r="J683" s="3">
        <f t="shared" si="103"/>
        <v>0</v>
      </c>
    </row>
    <row r="684" spans="10:10" x14ac:dyDescent="0.25">
      <c r="J684" s="3">
        <f t="shared" si="103"/>
        <v>0</v>
      </c>
    </row>
    <row r="685" spans="10:10" x14ac:dyDescent="0.25">
      <c r="J685" s="3">
        <f t="shared" si="103"/>
        <v>0</v>
      </c>
    </row>
    <row r="686" spans="10:10" x14ac:dyDescent="0.25">
      <c r="J686" s="3">
        <f t="shared" si="103"/>
        <v>0</v>
      </c>
    </row>
    <row r="687" spans="10:10" x14ac:dyDescent="0.25">
      <c r="J687" s="3">
        <f t="shared" si="103"/>
        <v>0</v>
      </c>
    </row>
    <row r="688" spans="10:10" x14ac:dyDescent="0.25">
      <c r="J688" s="3">
        <f t="shared" si="103"/>
        <v>0</v>
      </c>
    </row>
    <row r="689" spans="10:10" x14ac:dyDescent="0.25">
      <c r="J689" s="3">
        <f t="shared" si="103"/>
        <v>0</v>
      </c>
    </row>
    <row r="690" spans="10:10" x14ac:dyDescent="0.25">
      <c r="J690" s="3">
        <f t="shared" si="103"/>
        <v>0</v>
      </c>
    </row>
    <row r="691" spans="10:10" x14ac:dyDescent="0.25">
      <c r="J691" s="3">
        <f t="shared" si="103"/>
        <v>0</v>
      </c>
    </row>
    <row r="692" spans="10:10" x14ac:dyDescent="0.25">
      <c r="J692" s="3">
        <f t="shared" si="103"/>
        <v>0</v>
      </c>
    </row>
    <row r="693" spans="10:10" x14ac:dyDescent="0.25">
      <c r="J693" s="3">
        <f t="shared" si="103"/>
        <v>0</v>
      </c>
    </row>
    <row r="694" spans="10:10" x14ac:dyDescent="0.25">
      <c r="J694" s="3">
        <f t="shared" si="103"/>
        <v>0</v>
      </c>
    </row>
    <row r="695" spans="10:10" x14ac:dyDescent="0.25">
      <c r="J695" s="3">
        <f t="shared" si="103"/>
        <v>0</v>
      </c>
    </row>
    <row r="696" spans="10:10" x14ac:dyDescent="0.25">
      <c r="J696" s="3">
        <f t="shared" si="103"/>
        <v>0</v>
      </c>
    </row>
    <row r="697" spans="10:10" x14ac:dyDescent="0.25">
      <c r="J697" s="3">
        <f t="shared" si="103"/>
        <v>0</v>
      </c>
    </row>
    <row r="698" spans="10:10" x14ac:dyDescent="0.25">
      <c r="J698" s="3">
        <f t="shared" si="103"/>
        <v>0</v>
      </c>
    </row>
    <row r="699" spans="10:10" x14ac:dyDescent="0.25">
      <c r="J699" s="3">
        <f t="shared" si="103"/>
        <v>0</v>
      </c>
    </row>
    <row r="700" spans="10:10" x14ac:dyDescent="0.25">
      <c r="J700" s="3">
        <f t="shared" si="103"/>
        <v>0</v>
      </c>
    </row>
    <row r="701" spans="10:10" x14ac:dyDescent="0.25">
      <c r="J701" s="3">
        <f t="shared" si="103"/>
        <v>0</v>
      </c>
    </row>
    <row r="702" spans="10:10" x14ac:dyDescent="0.25">
      <c r="J702" s="3">
        <f t="shared" si="103"/>
        <v>0</v>
      </c>
    </row>
    <row r="703" spans="10:10" x14ac:dyDescent="0.25">
      <c r="J703" s="3">
        <f t="shared" si="103"/>
        <v>0</v>
      </c>
    </row>
    <row r="704" spans="10:10" x14ac:dyDescent="0.25">
      <c r="J704" s="3">
        <f t="shared" si="103"/>
        <v>0</v>
      </c>
    </row>
    <row r="705" spans="10:10" x14ac:dyDescent="0.25">
      <c r="J705" s="3">
        <f t="shared" si="103"/>
        <v>0</v>
      </c>
    </row>
    <row r="706" spans="10:10" x14ac:dyDescent="0.25">
      <c r="J706" s="3">
        <f t="shared" ref="J706:J729" si="105">ROUND(MIN(IF(C706="Técnico III",35,IF(C706="Técnico II",28,IF(C706="Técnico I",23,IF(C706="JR",20,IF(C706="Estágio",10,0))))),IF(C706="Técnico III",SUMIFS($D:$D,$A:$A,$A706,$B:$B,"&lt;&gt;Patrícia Karla de Sousa Araújo",$B:$B,"&lt;&gt;Lorena Dias de Araujo",$B:$B,"&lt;&gt;Lucas Luiz Romero")*(35/1083),IF(C706="Técnico II",SUMIFS($D:$D,$A:$A,$A706,$B:$B,"&lt;&gt;Patrícia Karla de Sousa Araújo",$B:$B,"&lt;&gt;Lorena Dias de Araujo",$B:$B,"&lt;&gt;Lucas Luiz Romero")*(28/1083),IF(C706="Técnico I",SUMIFS($D:$D,$A:$A,$A706,$B:$B,"&lt;&gt;Patrícia Karla de Sousa Araújo",$B:$B,"&lt;&gt;Lorena Dias de Araujo",$B:$B,"&lt;&gt;Lucas Luiz Romero")*(23/1083),IF(C706="JR",SUMIFS($D:$D,$A:$A,$A706,$B:$B,"&lt;&gt;Patrícia Karla de Sousa Araújo",$B:$B,"&lt;&gt;Lorena Dias de Araujo",$B:$B,"&lt;&gt;Lucas Luiz Romero")*(20/1083),IF(C706="Estágio",SUMIFS($D:$D,$A:$A,$A706,$B:$B,"&lt;&gt;Patrícia Karla de Sousa Araújo",$B:$B,"&lt;&gt;Lorena Dias de Araujo",$B:$B,"&lt;&gt;Lucas Luiz Romero")*(10/1083),0)))))),0)</f>
        <v>0</v>
      </c>
    </row>
    <row r="707" spans="10:10" x14ac:dyDescent="0.25">
      <c r="J707" s="3">
        <f t="shared" si="105"/>
        <v>0</v>
      </c>
    </row>
    <row r="708" spans="10:10" x14ac:dyDescent="0.25">
      <c r="J708" s="3">
        <f t="shared" si="105"/>
        <v>0</v>
      </c>
    </row>
    <row r="709" spans="10:10" x14ac:dyDescent="0.25">
      <c r="J709" s="3">
        <f t="shared" si="105"/>
        <v>0</v>
      </c>
    </row>
    <row r="710" spans="10:10" x14ac:dyDescent="0.25">
      <c r="J710" s="3">
        <f t="shared" si="105"/>
        <v>0</v>
      </c>
    </row>
    <row r="711" spans="10:10" x14ac:dyDescent="0.25">
      <c r="J711" s="3">
        <f t="shared" si="105"/>
        <v>0</v>
      </c>
    </row>
    <row r="712" spans="10:10" x14ac:dyDescent="0.25">
      <c r="J712" s="3">
        <f t="shared" si="105"/>
        <v>0</v>
      </c>
    </row>
    <row r="713" spans="10:10" x14ac:dyDescent="0.25">
      <c r="J713" s="3">
        <f t="shared" si="105"/>
        <v>0</v>
      </c>
    </row>
    <row r="714" spans="10:10" x14ac:dyDescent="0.25">
      <c r="J714" s="3">
        <f t="shared" si="105"/>
        <v>0</v>
      </c>
    </row>
    <row r="715" spans="10:10" x14ac:dyDescent="0.25">
      <c r="J715" s="3">
        <f t="shared" si="105"/>
        <v>0</v>
      </c>
    </row>
    <row r="716" spans="10:10" x14ac:dyDescent="0.25">
      <c r="J716" s="3">
        <f t="shared" si="105"/>
        <v>0</v>
      </c>
    </row>
    <row r="717" spans="10:10" x14ac:dyDescent="0.25">
      <c r="J717" s="3">
        <f t="shared" si="105"/>
        <v>0</v>
      </c>
    </row>
    <row r="718" spans="10:10" x14ac:dyDescent="0.25">
      <c r="J718" s="3">
        <f t="shared" si="105"/>
        <v>0</v>
      </c>
    </row>
    <row r="719" spans="10:10" x14ac:dyDescent="0.25">
      <c r="J719" s="3">
        <f t="shared" si="105"/>
        <v>0</v>
      </c>
    </row>
    <row r="720" spans="10:10" x14ac:dyDescent="0.25">
      <c r="J720" s="3">
        <f t="shared" si="105"/>
        <v>0</v>
      </c>
    </row>
    <row r="721" spans="10:10" x14ac:dyDescent="0.25">
      <c r="J721" s="3">
        <f t="shared" si="105"/>
        <v>0</v>
      </c>
    </row>
    <row r="722" spans="10:10" x14ac:dyDescent="0.25">
      <c r="J722" s="3">
        <f t="shared" si="105"/>
        <v>0</v>
      </c>
    </row>
    <row r="723" spans="10:10" x14ac:dyDescent="0.25">
      <c r="J723" s="3">
        <f t="shared" si="105"/>
        <v>0</v>
      </c>
    </row>
    <row r="724" spans="10:10" x14ac:dyDescent="0.25">
      <c r="J724" s="3">
        <f t="shared" si="105"/>
        <v>0</v>
      </c>
    </row>
    <row r="725" spans="10:10" x14ac:dyDescent="0.25">
      <c r="J725" s="3">
        <f t="shared" si="105"/>
        <v>0</v>
      </c>
    </row>
    <row r="726" spans="10:10" x14ac:dyDescent="0.25">
      <c r="J726" s="3">
        <f t="shared" si="105"/>
        <v>0</v>
      </c>
    </row>
    <row r="727" spans="10:10" x14ac:dyDescent="0.25">
      <c r="J727" s="3">
        <f t="shared" si="105"/>
        <v>0</v>
      </c>
    </row>
    <row r="728" spans="10:10" x14ac:dyDescent="0.25">
      <c r="J728" s="3">
        <f t="shared" si="105"/>
        <v>0</v>
      </c>
    </row>
    <row r="729" spans="10:10" x14ac:dyDescent="0.25">
      <c r="J729" s="3">
        <f t="shared" si="105"/>
        <v>0</v>
      </c>
    </row>
  </sheetData>
  <autoFilter ref="A1:O665" xr:uid="{00000000-0009-0000-0000-000000000000}">
    <sortState xmlns:xlrd2="http://schemas.microsoft.com/office/spreadsheetml/2017/richdata2" ref="A590:O590">
      <sortCondition ref="B1:B620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workbookViewId="0"/>
  </sheetViews>
  <sheetFormatPr defaultRowHeight="15" x14ac:dyDescent="0.25"/>
  <sheetData>
    <row r="1" spans="1:3" x14ac:dyDescent="0.25">
      <c r="A1" t="s">
        <v>65</v>
      </c>
      <c r="B1" t="s">
        <v>66</v>
      </c>
      <c r="C1" t="s">
        <v>67</v>
      </c>
    </row>
    <row r="2" spans="1:3" x14ac:dyDescent="0.25">
      <c r="A2" t="s">
        <v>15</v>
      </c>
      <c r="B2" t="s">
        <v>68</v>
      </c>
      <c r="C2" t="s">
        <v>15</v>
      </c>
    </row>
    <row r="3" spans="1:3" x14ac:dyDescent="0.25">
      <c r="A3" t="s">
        <v>17</v>
      </c>
      <c r="B3" t="s">
        <v>69</v>
      </c>
      <c r="C3" t="s">
        <v>17</v>
      </c>
    </row>
    <row r="4" spans="1:3" x14ac:dyDescent="0.25">
      <c r="A4" t="s">
        <v>19</v>
      </c>
      <c r="B4" t="s">
        <v>70</v>
      </c>
      <c r="C4" t="s">
        <v>19</v>
      </c>
    </row>
    <row r="5" spans="1:3" x14ac:dyDescent="0.25">
      <c r="A5" t="s">
        <v>21</v>
      </c>
      <c r="B5" t="s">
        <v>71</v>
      </c>
      <c r="C5" t="s">
        <v>21</v>
      </c>
    </row>
    <row r="6" spans="1:3" x14ac:dyDescent="0.25">
      <c r="A6" t="s">
        <v>22</v>
      </c>
      <c r="B6" t="s">
        <v>72</v>
      </c>
      <c r="C6" t="s">
        <v>22</v>
      </c>
    </row>
    <row r="7" spans="1:3" x14ac:dyDescent="0.25">
      <c r="A7" t="s">
        <v>24</v>
      </c>
      <c r="B7" t="s">
        <v>73</v>
      </c>
      <c r="C7" t="s">
        <v>74</v>
      </c>
    </row>
    <row r="8" spans="1:3" x14ac:dyDescent="0.25">
      <c r="A8" t="s">
        <v>25</v>
      </c>
      <c r="B8" t="s">
        <v>75</v>
      </c>
      <c r="C8" t="s">
        <v>25</v>
      </c>
    </row>
    <row r="9" spans="1:3" x14ac:dyDescent="0.25">
      <c r="A9" t="s">
        <v>26</v>
      </c>
      <c r="B9" t="s">
        <v>76</v>
      </c>
      <c r="C9" t="s">
        <v>26</v>
      </c>
    </row>
    <row r="10" spans="1:3" x14ac:dyDescent="0.25">
      <c r="A10" t="s">
        <v>27</v>
      </c>
      <c r="B10" t="s">
        <v>77</v>
      </c>
      <c r="C10" t="s">
        <v>27</v>
      </c>
    </row>
    <row r="11" spans="1:3" x14ac:dyDescent="0.25">
      <c r="A11" t="s">
        <v>28</v>
      </c>
      <c r="B11" t="s">
        <v>78</v>
      </c>
      <c r="C11" t="s">
        <v>28</v>
      </c>
    </row>
    <row r="12" spans="1:3" x14ac:dyDescent="0.25">
      <c r="A12" t="s">
        <v>29</v>
      </c>
      <c r="C12" t="s">
        <v>29</v>
      </c>
    </row>
    <row r="13" spans="1:3" x14ac:dyDescent="0.25">
      <c r="A13" t="s">
        <v>30</v>
      </c>
      <c r="B13" t="s">
        <v>79</v>
      </c>
      <c r="C13" t="s">
        <v>30</v>
      </c>
    </row>
    <row r="14" spans="1:3" x14ac:dyDescent="0.25">
      <c r="A14" t="s">
        <v>31</v>
      </c>
      <c r="C14" t="s">
        <v>31</v>
      </c>
    </row>
    <row r="15" spans="1:3" x14ac:dyDescent="0.25">
      <c r="A15" t="s">
        <v>32</v>
      </c>
      <c r="B15" t="s">
        <v>80</v>
      </c>
      <c r="C15" t="s">
        <v>32</v>
      </c>
    </row>
    <row r="16" spans="1:3" x14ac:dyDescent="0.25">
      <c r="A16" t="s">
        <v>33</v>
      </c>
      <c r="B16" t="s">
        <v>81</v>
      </c>
      <c r="C16" t="s">
        <v>82</v>
      </c>
    </row>
    <row r="17" spans="1:3" x14ac:dyDescent="0.25">
      <c r="A17" t="s">
        <v>34</v>
      </c>
      <c r="B17" t="s">
        <v>83</v>
      </c>
      <c r="C17" t="s">
        <v>34</v>
      </c>
    </row>
    <row r="18" spans="1:3" x14ac:dyDescent="0.25">
      <c r="A18" t="s">
        <v>35</v>
      </c>
      <c r="C18" t="s">
        <v>35</v>
      </c>
    </row>
    <row r="19" spans="1:3" x14ac:dyDescent="0.25">
      <c r="A19" t="s">
        <v>64</v>
      </c>
      <c r="B19" t="s">
        <v>84</v>
      </c>
      <c r="C19" t="s">
        <v>85</v>
      </c>
    </row>
    <row r="20" spans="1:3" x14ac:dyDescent="0.25">
      <c r="A20" t="s">
        <v>36</v>
      </c>
      <c r="B20" t="s">
        <v>84</v>
      </c>
      <c r="C20" t="s">
        <v>36</v>
      </c>
    </row>
    <row r="21" spans="1:3" x14ac:dyDescent="0.25">
      <c r="A21" t="s">
        <v>37</v>
      </c>
      <c r="B21" t="s">
        <v>86</v>
      </c>
      <c r="C21" t="s">
        <v>37</v>
      </c>
    </row>
    <row r="22" spans="1:3" x14ac:dyDescent="0.25">
      <c r="A22" t="s">
        <v>38</v>
      </c>
      <c r="B22" t="s">
        <v>87</v>
      </c>
      <c r="C22" t="s">
        <v>38</v>
      </c>
    </row>
    <row r="23" spans="1:3" x14ac:dyDescent="0.25">
      <c r="A23" t="s">
        <v>39</v>
      </c>
      <c r="B23" t="s">
        <v>88</v>
      </c>
      <c r="C23" t="s">
        <v>39</v>
      </c>
    </row>
    <row r="24" spans="1:3" x14ac:dyDescent="0.25">
      <c r="A24" t="s">
        <v>40</v>
      </c>
      <c r="B24" t="s">
        <v>89</v>
      </c>
      <c r="C24" t="s">
        <v>40</v>
      </c>
    </row>
    <row r="25" spans="1:3" x14ac:dyDescent="0.25">
      <c r="A25" t="s">
        <v>41</v>
      </c>
      <c r="B25" t="s">
        <v>90</v>
      </c>
    </row>
    <row r="26" spans="1:3" x14ac:dyDescent="0.25">
      <c r="A26" t="s">
        <v>42</v>
      </c>
      <c r="B26" t="s">
        <v>91</v>
      </c>
      <c r="C26" t="s">
        <v>42</v>
      </c>
    </row>
    <row r="27" spans="1:3" x14ac:dyDescent="0.25">
      <c r="A27" t="s">
        <v>44</v>
      </c>
      <c r="B27" t="s">
        <v>92</v>
      </c>
      <c r="C27" t="s">
        <v>44</v>
      </c>
    </row>
    <row r="28" spans="1:3" x14ac:dyDescent="0.25">
      <c r="A28" t="s">
        <v>46</v>
      </c>
      <c r="B28" t="s">
        <v>93</v>
      </c>
      <c r="C28" t="s">
        <v>46</v>
      </c>
    </row>
    <row r="29" spans="1:3" x14ac:dyDescent="0.25">
      <c r="A29" t="s">
        <v>45</v>
      </c>
      <c r="B29" t="s">
        <v>94</v>
      </c>
      <c r="C29" t="s">
        <v>45</v>
      </c>
    </row>
    <row r="30" spans="1:3" x14ac:dyDescent="0.25">
      <c r="A30" t="s">
        <v>47</v>
      </c>
      <c r="B30" t="s">
        <v>95</v>
      </c>
      <c r="C30" t="s">
        <v>47</v>
      </c>
    </row>
    <row r="31" spans="1:3" x14ac:dyDescent="0.25">
      <c r="A31" t="s">
        <v>48</v>
      </c>
      <c r="C31" t="s">
        <v>48</v>
      </c>
    </row>
    <row r="32" spans="1:3" x14ac:dyDescent="0.25">
      <c r="A32" t="s">
        <v>49</v>
      </c>
      <c r="B32" t="s">
        <v>96</v>
      </c>
      <c r="C32" t="s">
        <v>49</v>
      </c>
    </row>
    <row r="33" spans="1:3" x14ac:dyDescent="0.25">
      <c r="A33" t="s">
        <v>50</v>
      </c>
      <c r="B33" t="s">
        <v>97</v>
      </c>
      <c r="C33" t="s">
        <v>98</v>
      </c>
    </row>
    <row r="34" spans="1:3" x14ac:dyDescent="0.25">
      <c r="A34" t="s">
        <v>51</v>
      </c>
      <c r="B34" t="s">
        <v>99</v>
      </c>
      <c r="C34" t="s">
        <v>51</v>
      </c>
    </row>
    <row r="35" spans="1:3" x14ac:dyDescent="0.25">
      <c r="A35" t="s">
        <v>52</v>
      </c>
      <c r="C35" t="s">
        <v>52</v>
      </c>
    </row>
    <row r="36" spans="1:3" x14ac:dyDescent="0.25">
      <c r="A36" t="s">
        <v>53</v>
      </c>
      <c r="B36" t="s">
        <v>100</v>
      </c>
      <c r="C36" t="s">
        <v>101</v>
      </c>
    </row>
    <row r="37" spans="1:3" x14ac:dyDescent="0.25">
      <c r="A37" t="s">
        <v>54</v>
      </c>
      <c r="B37" t="s">
        <v>102</v>
      </c>
      <c r="C37" t="s">
        <v>103</v>
      </c>
    </row>
    <row r="38" spans="1:3" x14ac:dyDescent="0.25">
      <c r="A38" t="s">
        <v>55</v>
      </c>
      <c r="B38" t="s">
        <v>55</v>
      </c>
      <c r="C38" t="s">
        <v>104</v>
      </c>
    </row>
    <row r="39" spans="1:3" x14ac:dyDescent="0.25">
      <c r="A39" t="s">
        <v>56</v>
      </c>
      <c r="B39" t="s">
        <v>105</v>
      </c>
      <c r="C39" t="s">
        <v>56</v>
      </c>
    </row>
    <row r="40" spans="1:3" x14ac:dyDescent="0.25">
      <c r="A40" t="s">
        <v>57</v>
      </c>
      <c r="B40" t="s">
        <v>106</v>
      </c>
      <c r="C40" t="s">
        <v>107</v>
      </c>
    </row>
    <row r="41" spans="1:3" x14ac:dyDescent="0.25">
      <c r="A41" t="s">
        <v>58</v>
      </c>
      <c r="B41" t="s">
        <v>108</v>
      </c>
      <c r="C41" t="s">
        <v>58</v>
      </c>
    </row>
    <row r="42" spans="1:3" x14ac:dyDescent="0.25">
      <c r="A42" t="s">
        <v>59</v>
      </c>
      <c r="B42" t="s">
        <v>109</v>
      </c>
      <c r="C42" t="s">
        <v>59</v>
      </c>
    </row>
    <row r="43" spans="1:3" x14ac:dyDescent="0.25">
      <c r="A43" t="s">
        <v>60</v>
      </c>
      <c r="B43" t="s">
        <v>110</v>
      </c>
      <c r="C43" t="s">
        <v>111</v>
      </c>
    </row>
    <row r="44" spans="1:3" x14ac:dyDescent="0.25">
      <c r="A44" t="s">
        <v>61</v>
      </c>
      <c r="B44" t="s">
        <v>112</v>
      </c>
      <c r="C44" t="s">
        <v>61</v>
      </c>
    </row>
    <row r="45" spans="1:3" x14ac:dyDescent="0.25">
      <c r="A45" t="s">
        <v>62</v>
      </c>
      <c r="B45" t="s">
        <v>113</v>
      </c>
      <c r="C45" t="s">
        <v>62</v>
      </c>
    </row>
    <row r="46" spans="1:3" x14ac:dyDescent="0.25">
      <c r="A46" t="s">
        <v>63</v>
      </c>
      <c r="B46" t="s">
        <v>114</v>
      </c>
      <c r="C46" t="s">
        <v>63</v>
      </c>
    </row>
    <row r="47" spans="1:3" x14ac:dyDescent="0.25">
      <c r="A47" t="s">
        <v>115</v>
      </c>
      <c r="B47" t="s">
        <v>90</v>
      </c>
    </row>
    <row r="48" spans="1:3" x14ac:dyDescent="0.25">
      <c r="A48" t="s">
        <v>116</v>
      </c>
      <c r="B48" t="s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2026-05-25T18:29:07Z</dcterms:modified>
</cp:coreProperties>
</file>
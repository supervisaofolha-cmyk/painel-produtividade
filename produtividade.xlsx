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D7D51CBA-2C38-4C69-9789-838F8F547CAC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L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L599" i="1"/>
  <c r="J598" i="1"/>
  <c r="I598" i="1"/>
  <c r="J597" i="1"/>
  <c r="I597" i="1"/>
  <c r="J596" i="1"/>
  <c r="I596" i="1"/>
  <c r="J595" i="1"/>
  <c r="I595" i="1"/>
  <c r="J594" i="1"/>
  <c r="I594" i="1"/>
  <c r="L593" i="1"/>
  <c r="L592" i="1"/>
  <c r="L591" i="1"/>
  <c r="J590" i="1"/>
  <c r="I590" i="1"/>
  <c r="J589" i="1"/>
  <c r="I589" i="1"/>
  <c r="L588" i="1"/>
  <c r="J587" i="1"/>
  <c r="I587" i="1"/>
  <c r="L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I577" i="1"/>
  <c r="K577" i="1" s="1"/>
  <c r="L577" i="1" s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L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K454" i="1" s="1"/>
  <c r="L454" i="1" s="1"/>
  <c r="L453" i="1"/>
  <c r="J452" i="1"/>
  <c r="I452" i="1"/>
  <c r="K452" i="1" s="1"/>
  <c r="L452" i="1" s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J412" i="1"/>
  <c r="I412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L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L374" i="1"/>
  <c r="J373" i="1"/>
  <c r="I373" i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J328" i="1"/>
  <c r="I328" i="1"/>
  <c r="K328" i="1" s="1"/>
  <c r="L328" i="1" s="1"/>
  <c r="J327" i="1"/>
  <c r="I327" i="1"/>
  <c r="J326" i="1"/>
  <c r="I326" i="1"/>
  <c r="K326" i="1" s="1"/>
  <c r="L326" i="1" s="1"/>
  <c r="J325" i="1"/>
  <c r="I325" i="1"/>
  <c r="L324" i="1"/>
  <c r="L323" i="1"/>
  <c r="J322" i="1"/>
  <c r="I322" i="1"/>
  <c r="K322" i="1" s="1"/>
  <c r="L322" i="1" s="1"/>
  <c r="J321" i="1"/>
  <c r="I321" i="1"/>
  <c r="J320" i="1"/>
  <c r="I320" i="1"/>
  <c r="J319" i="1"/>
  <c r="I319" i="1"/>
  <c r="J318" i="1"/>
  <c r="I318" i="1"/>
  <c r="K318" i="1" s="1"/>
  <c r="L318" i="1" s="1"/>
  <c r="J317" i="1"/>
  <c r="I317" i="1"/>
  <c r="J316" i="1"/>
  <c r="I316" i="1"/>
  <c r="K316" i="1" s="1"/>
  <c r="L316" i="1" s="1"/>
  <c r="J315" i="1"/>
  <c r="I315" i="1"/>
  <c r="J314" i="1"/>
  <c r="I314" i="1"/>
  <c r="K314" i="1" s="1"/>
  <c r="L314" i="1" s="1"/>
  <c r="J313" i="1"/>
  <c r="I313" i="1"/>
  <c r="L312" i="1"/>
  <c r="J311" i="1"/>
  <c r="I311" i="1"/>
  <c r="K311" i="1" s="1"/>
  <c r="L311" i="1" s="1"/>
  <c r="J310" i="1"/>
  <c r="I310" i="1"/>
  <c r="J309" i="1"/>
  <c r="I309" i="1"/>
  <c r="K309" i="1" s="1"/>
  <c r="L309" i="1" s="1"/>
  <c r="J308" i="1"/>
  <c r="I308" i="1"/>
  <c r="J307" i="1"/>
  <c r="I307" i="1"/>
  <c r="K307" i="1" s="1"/>
  <c r="L307" i="1" s="1"/>
  <c r="J306" i="1"/>
  <c r="I306" i="1"/>
  <c r="J305" i="1"/>
  <c r="I305" i="1"/>
  <c r="K305" i="1" s="1"/>
  <c r="L305" i="1" s="1"/>
  <c r="J304" i="1"/>
  <c r="I304" i="1"/>
  <c r="J303" i="1"/>
  <c r="I303" i="1"/>
  <c r="K303" i="1" s="1"/>
  <c r="L303" i="1" s="1"/>
  <c r="J302" i="1"/>
  <c r="I302" i="1"/>
  <c r="J301" i="1"/>
  <c r="I301" i="1"/>
  <c r="K301" i="1" s="1"/>
  <c r="L301" i="1" s="1"/>
  <c r="J300" i="1"/>
  <c r="I300" i="1"/>
  <c r="J299" i="1"/>
  <c r="I299" i="1"/>
  <c r="K299" i="1" s="1"/>
  <c r="L299" i="1" s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L287" i="1"/>
  <c r="J286" i="1"/>
  <c r="I286" i="1"/>
  <c r="J285" i="1"/>
  <c r="I285" i="1"/>
  <c r="J284" i="1"/>
  <c r="I284" i="1"/>
  <c r="J283" i="1"/>
  <c r="I283" i="1"/>
  <c r="K283" i="1" s="1"/>
  <c r="L283" i="1" s="1"/>
  <c r="J282" i="1"/>
  <c r="I282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L159" i="1"/>
  <c r="J158" i="1"/>
  <c r="I158" i="1"/>
  <c r="J157" i="1"/>
  <c r="I157" i="1"/>
  <c r="J156" i="1"/>
  <c r="I156" i="1"/>
  <c r="J155" i="1"/>
  <c r="I155" i="1"/>
  <c r="J154" i="1"/>
  <c r="I154" i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L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L126" i="1"/>
  <c r="J125" i="1"/>
  <c r="I125" i="1"/>
  <c r="J124" i="1"/>
  <c r="I124" i="1"/>
  <c r="J123" i="1"/>
  <c r="I123" i="1"/>
  <c r="L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J110" i="1"/>
  <c r="I110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J66" i="1"/>
  <c r="I66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297" i="1" l="1"/>
  <c r="L297" i="1" s="1"/>
  <c r="K292" i="1"/>
  <c r="L292" i="1" s="1"/>
  <c r="K295" i="1"/>
  <c r="L295" i="1" s="1"/>
  <c r="K293" i="1"/>
  <c r="L293" i="1" s="1"/>
  <c r="K289" i="1"/>
  <c r="L289" i="1" s="1"/>
  <c r="K329" i="1"/>
  <c r="L329" i="1" s="1"/>
  <c r="K327" i="1"/>
  <c r="L327" i="1" s="1"/>
  <c r="K325" i="1"/>
  <c r="L325" i="1" s="1"/>
  <c r="K321" i="1"/>
  <c r="L321" i="1" s="1"/>
  <c r="K319" i="1"/>
  <c r="L319" i="1" s="1"/>
  <c r="K317" i="1"/>
  <c r="L317" i="1" s="1"/>
  <c r="K315" i="1"/>
  <c r="L315" i="1" s="1"/>
  <c r="K313" i="1"/>
  <c r="L313" i="1" s="1"/>
  <c r="K308" i="1"/>
  <c r="L308" i="1" s="1"/>
  <c r="K306" i="1"/>
  <c r="L306" i="1" s="1"/>
  <c r="K304" i="1"/>
  <c r="L304" i="1" s="1"/>
  <c r="K302" i="1"/>
  <c r="L302" i="1" s="1"/>
  <c r="K300" i="1"/>
  <c r="L300" i="1" s="1"/>
  <c r="K291" i="1"/>
  <c r="L291" i="1" s="1"/>
  <c r="K288" i="1"/>
  <c r="L288" i="1" s="1"/>
  <c r="K286" i="1"/>
  <c r="L286" i="1" s="1"/>
  <c r="K320" i="1"/>
  <c r="L320" i="1" s="1"/>
  <c r="K310" i="1"/>
  <c r="L310" i="1" s="1"/>
  <c r="K298" i="1"/>
  <c r="L298" i="1" s="1"/>
  <c r="K296" i="1"/>
  <c r="L296" i="1" s="1"/>
  <c r="K290" i="1"/>
  <c r="L290" i="1" s="1"/>
  <c r="K285" i="1"/>
  <c r="L285" i="1" s="1"/>
  <c r="K284" i="1"/>
  <c r="L284" i="1" s="1"/>
  <c r="K282" i="1"/>
  <c r="L282" i="1" s="1"/>
  <c r="K426" i="1"/>
  <c r="L426" i="1" s="1"/>
  <c r="K424" i="1"/>
  <c r="L424" i="1" s="1"/>
  <c r="K421" i="1"/>
  <c r="L421" i="1" s="1"/>
  <c r="K419" i="1"/>
  <c r="L419" i="1" s="1"/>
  <c r="K416" i="1"/>
  <c r="L416" i="1" s="1"/>
  <c r="K414" i="1"/>
  <c r="L414" i="1" s="1"/>
  <c r="K412" i="1"/>
  <c r="L412" i="1" s="1"/>
  <c r="K409" i="1"/>
  <c r="L409" i="1" s="1"/>
  <c r="K407" i="1"/>
  <c r="L407" i="1" s="1"/>
  <c r="K379" i="1"/>
  <c r="L379" i="1" s="1"/>
  <c r="K377" i="1"/>
  <c r="L377" i="1" s="1"/>
  <c r="K375" i="1"/>
  <c r="L375" i="1" s="1"/>
  <c r="K168" i="1"/>
  <c r="L168" i="1" s="1"/>
  <c r="K145" i="1"/>
  <c r="L145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378" i="1"/>
  <c r="L378" i="1" s="1"/>
  <c r="K376" i="1"/>
  <c r="L376" i="1" s="1"/>
  <c r="K373" i="1"/>
  <c r="L373" i="1" s="1"/>
  <c r="K142" i="1"/>
  <c r="L142" i="1" s="1"/>
  <c r="K148" i="1"/>
  <c r="L148" i="1" s="1"/>
  <c r="K136" i="1"/>
  <c r="L136" i="1" s="1"/>
  <c r="K162" i="1"/>
  <c r="L162" i="1" s="1"/>
  <c r="K191" i="1"/>
  <c r="L191" i="1" s="1"/>
  <c r="K178" i="1"/>
  <c r="L178" i="1" s="1"/>
  <c r="K177" i="1"/>
  <c r="L177" i="1" s="1"/>
  <c r="K172" i="1"/>
  <c r="L172" i="1" s="1"/>
  <c r="K158" i="1"/>
  <c r="L158" i="1" s="1"/>
  <c r="K151" i="1"/>
  <c r="L151" i="1" s="1"/>
  <c r="K150" i="1"/>
  <c r="L150" i="1" s="1"/>
  <c r="K146" i="1"/>
  <c r="L146" i="1" s="1"/>
  <c r="K143" i="1"/>
  <c r="L143" i="1" s="1"/>
  <c r="K141" i="1"/>
  <c r="L141" i="1" s="1"/>
  <c r="K139" i="1"/>
  <c r="L139" i="1" s="1"/>
  <c r="K138" i="1"/>
  <c r="L138" i="1" s="1"/>
  <c r="K137" i="1"/>
  <c r="L137" i="1" s="1"/>
  <c r="K133" i="1"/>
  <c r="L133" i="1" s="1"/>
  <c r="K127" i="1"/>
  <c r="L127" i="1" s="1"/>
  <c r="K123" i="1"/>
  <c r="L123" i="1" s="1"/>
  <c r="K119" i="1"/>
  <c r="L119" i="1" s="1"/>
  <c r="K118" i="1"/>
  <c r="L118" i="1" s="1"/>
  <c r="K192" i="1"/>
  <c r="L192" i="1" s="1"/>
  <c r="K190" i="1"/>
  <c r="L190" i="1" s="1"/>
  <c r="K188" i="1"/>
  <c r="L188" i="1" s="1"/>
  <c r="K187" i="1"/>
  <c r="L187" i="1" s="1"/>
  <c r="K185" i="1"/>
  <c r="L185" i="1" s="1"/>
  <c r="K184" i="1"/>
  <c r="L184" i="1" s="1"/>
  <c r="K182" i="1"/>
  <c r="L182" i="1" s="1"/>
  <c r="K181" i="1"/>
  <c r="L181" i="1" s="1"/>
  <c r="K175" i="1"/>
  <c r="L175" i="1" s="1"/>
  <c r="K174" i="1"/>
  <c r="L174" i="1" s="1"/>
  <c r="K171" i="1"/>
  <c r="L171" i="1" s="1"/>
  <c r="K164" i="1"/>
  <c r="L164" i="1" s="1"/>
  <c r="K163" i="1"/>
  <c r="L163" i="1" s="1"/>
  <c r="K161" i="1"/>
  <c r="L161" i="1" s="1"/>
  <c r="K157" i="1"/>
  <c r="L157" i="1" s="1"/>
  <c r="K154" i="1"/>
  <c r="L154" i="1" s="1"/>
  <c r="K149" i="1"/>
  <c r="L149" i="1" s="1"/>
  <c r="K147" i="1"/>
  <c r="L147" i="1" s="1"/>
  <c r="K144" i="1"/>
  <c r="L144" i="1" s="1"/>
  <c r="K140" i="1"/>
  <c r="L140" i="1" s="1"/>
  <c r="K134" i="1"/>
  <c r="L134" i="1" s="1"/>
  <c r="K132" i="1"/>
  <c r="L132" i="1" s="1"/>
  <c r="K130" i="1"/>
  <c r="L130" i="1" s="1"/>
  <c r="K129" i="1"/>
  <c r="L129" i="1" s="1"/>
  <c r="K125" i="1"/>
  <c r="L125" i="1" s="1"/>
  <c r="K121" i="1"/>
  <c r="L121" i="1" s="1"/>
  <c r="K116" i="1"/>
  <c r="L116" i="1" s="1"/>
  <c r="K189" i="1"/>
  <c r="L189" i="1" s="1"/>
  <c r="K186" i="1"/>
  <c r="L186" i="1" s="1"/>
  <c r="K183" i="1"/>
  <c r="L183" i="1" s="1"/>
  <c r="K180" i="1"/>
  <c r="L180" i="1" s="1"/>
  <c r="K176" i="1"/>
  <c r="L176" i="1" s="1"/>
  <c r="K173" i="1"/>
  <c r="L173" i="1" s="1"/>
  <c r="K167" i="1"/>
  <c r="L167" i="1" s="1"/>
  <c r="K165" i="1"/>
  <c r="L165" i="1" s="1"/>
  <c r="K160" i="1"/>
  <c r="L160" i="1" s="1"/>
  <c r="K156" i="1"/>
  <c r="L156" i="1" s="1"/>
  <c r="K155" i="1"/>
  <c r="L155" i="1" s="1"/>
  <c r="K131" i="1"/>
  <c r="L131" i="1" s="1"/>
  <c r="K128" i="1"/>
  <c r="L128" i="1" s="1"/>
  <c r="K124" i="1"/>
  <c r="L124" i="1" s="1"/>
  <c r="K120" i="1"/>
  <c r="L120" i="1" s="1"/>
  <c r="K117" i="1"/>
  <c r="L117" i="1" s="1"/>
  <c r="K612" i="1"/>
  <c r="L612" i="1" s="1"/>
  <c r="K608" i="1"/>
  <c r="L608" i="1" s="1"/>
  <c r="K604" i="1"/>
  <c r="L604" i="1" s="1"/>
  <c r="K600" i="1"/>
  <c r="L600" i="1" s="1"/>
  <c r="K595" i="1"/>
  <c r="L595" i="1" s="1"/>
  <c r="K587" i="1"/>
  <c r="L587" i="1" s="1"/>
  <c r="K582" i="1"/>
  <c r="L582" i="1" s="1"/>
  <c r="K578" i="1"/>
  <c r="L578" i="1" s="1"/>
  <c r="K573" i="1"/>
  <c r="L573" i="1" s="1"/>
  <c r="K569" i="1"/>
  <c r="L569" i="1" s="1"/>
  <c r="K564" i="1"/>
  <c r="L564" i="1" s="1"/>
  <c r="K560" i="1"/>
  <c r="L560" i="1" s="1"/>
  <c r="K557" i="1"/>
  <c r="L557" i="1" s="1"/>
  <c r="K556" i="1"/>
  <c r="L556" i="1" s="1"/>
  <c r="K552" i="1"/>
  <c r="L552" i="1" s="1"/>
  <c r="K551" i="1"/>
  <c r="L551" i="1" s="1"/>
  <c r="K548" i="1"/>
  <c r="L548" i="1" s="1"/>
  <c r="K540" i="1"/>
  <c r="L540" i="1" s="1"/>
  <c r="K536" i="1"/>
  <c r="L536" i="1" s="1"/>
  <c r="K531" i="1"/>
  <c r="L531" i="1" s="1"/>
  <c r="K527" i="1"/>
  <c r="L527" i="1" s="1"/>
  <c r="K526" i="1"/>
  <c r="L526" i="1" s="1"/>
  <c r="K610" i="1"/>
  <c r="L610" i="1" s="1"/>
  <c r="K606" i="1"/>
  <c r="L606" i="1" s="1"/>
  <c r="K602" i="1"/>
  <c r="L602" i="1" s="1"/>
  <c r="K597" i="1"/>
  <c r="L597" i="1" s="1"/>
  <c r="K585" i="1"/>
  <c r="L585" i="1" s="1"/>
  <c r="K584" i="1"/>
  <c r="L584" i="1" s="1"/>
  <c r="K576" i="1"/>
  <c r="L576" i="1" s="1"/>
  <c r="K575" i="1"/>
  <c r="L575" i="1" s="1"/>
  <c r="K574" i="1"/>
  <c r="L574" i="1" s="1"/>
  <c r="K567" i="1"/>
  <c r="L567" i="1" s="1"/>
  <c r="K566" i="1"/>
  <c r="L566" i="1" s="1"/>
  <c r="K565" i="1"/>
  <c r="L565" i="1" s="1"/>
  <c r="K559" i="1"/>
  <c r="L559" i="1" s="1"/>
  <c r="K555" i="1"/>
  <c r="L555" i="1" s="1"/>
  <c r="K550" i="1"/>
  <c r="L550" i="1" s="1"/>
  <c r="K544" i="1"/>
  <c r="L544" i="1" s="1"/>
  <c r="K538" i="1"/>
  <c r="L538" i="1" s="1"/>
  <c r="K534" i="1"/>
  <c r="L534" i="1" s="1"/>
  <c r="K529" i="1"/>
  <c r="L529" i="1" s="1"/>
  <c r="K611" i="1"/>
  <c r="L611" i="1" s="1"/>
  <c r="K607" i="1"/>
  <c r="L607" i="1" s="1"/>
  <c r="K603" i="1"/>
  <c r="L603" i="1" s="1"/>
  <c r="K598" i="1"/>
  <c r="L598" i="1" s="1"/>
  <c r="K594" i="1"/>
  <c r="L594" i="1" s="1"/>
  <c r="K581" i="1"/>
  <c r="L581" i="1" s="1"/>
  <c r="K558" i="1"/>
  <c r="L558" i="1" s="1"/>
  <c r="K553" i="1"/>
  <c r="L553" i="1" s="1"/>
  <c r="K545" i="1"/>
  <c r="L545" i="1" s="1"/>
  <c r="K539" i="1"/>
  <c r="L539" i="1" s="1"/>
  <c r="K535" i="1"/>
  <c r="L535" i="1" s="1"/>
  <c r="K530" i="1"/>
  <c r="L530" i="1" s="1"/>
  <c r="K614" i="1"/>
  <c r="L614" i="1" s="1"/>
  <c r="K609" i="1"/>
  <c r="L609" i="1" s="1"/>
  <c r="K605" i="1"/>
  <c r="L605" i="1" s="1"/>
  <c r="K601" i="1"/>
  <c r="L601" i="1" s="1"/>
  <c r="K596" i="1"/>
  <c r="L596" i="1" s="1"/>
  <c r="K590" i="1"/>
  <c r="L590" i="1" s="1"/>
  <c r="K589" i="1"/>
  <c r="L589" i="1" s="1"/>
  <c r="K583" i="1"/>
  <c r="L583" i="1" s="1"/>
  <c r="K580" i="1"/>
  <c r="L580" i="1" s="1"/>
  <c r="K579" i="1"/>
  <c r="L579" i="1" s="1"/>
  <c r="K572" i="1"/>
  <c r="L572" i="1" s="1"/>
  <c r="K571" i="1"/>
  <c r="L571" i="1" s="1"/>
  <c r="K570" i="1"/>
  <c r="L570" i="1" s="1"/>
  <c r="K563" i="1"/>
  <c r="L563" i="1" s="1"/>
  <c r="K562" i="1"/>
  <c r="L562" i="1" s="1"/>
  <c r="K561" i="1"/>
  <c r="L561" i="1" s="1"/>
  <c r="K549" i="1"/>
  <c r="L549" i="1" s="1"/>
  <c r="K542" i="1"/>
  <c r="L542" i="1" s="1"/>
  <c r="K537" i="1"/>
  <c r="L537" i="1" s="1"/>
  <c r="K533" i="1"/>
  <c r="L533" i="1" s="1"/>
  <c r="K528" i="1"/>
  <c r="L528" i="1" s="1"/>
  <c r="K405" i="1"/>
  <c r="L405" i="1" s="1"/>
  <c r="K403" i="1"/>
  <c r="L403" i="1" s="1"/>
  <c r="K401" i="1"/>
  <c r="L401" i="1" s="1"/>
  <c r="K398" i="1"/>
  <c r="L398" i="1" s="1"/>
  <c r="K396" i="1"/>
  <c r="L396" i="1" s="1"/>
  <c r="K394" i="1"/>
  <c r="L394" i="1" s="1"/>
  <c r="K392" i="1"/>
  <c r="L392" i="1" s="1"/>
  <c r="K390" i="1"/>
  <c r="L390" i="1" s="1"/>
  <c r="K388" i="1"/>
  <c r="L388" i="1" s="1"/>
  <c r="K386" i="1"/>
  <c r="L386" i="1" s="1"/>
  <c r="K384" i="1"/>
  <c r="L384" i="1" s="1"/>
  <c r="K382" i="1"/>
  <c r="L382" i="1" s="1"/>
  <c r="K110" i="1"/>
  <c r="L110" i="1" s="1"/>
  <c r="K104" i="1"/>
  <c r="L104" i="1" s="1"/>
  <c r="K97" i="1"/>
  <c r="L97" i="1" s="1"/>
  <c r="K500" i="1"/>
  <c r="L500" i="1" s="1"/>
  <c r="K404" i="1"/>
  <c r="L404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385" i="1"/>
  <c r="L385" i="1" s="1"/>
  <c r="K383" i="1"/>
  <c r="L383" i="1" s="1"/>
  <c r="K380" i="1"/>
  <c r="L380" i="1" s="1"/>
  <c r="K113" i="1"/>
  <c r="L113" i="1" s="1"/>
  <c r="K107" i="1"/>
  <c r="L107" i="1" s="1"/>
  <c r="K335" i="1"/>
  <c r="L335" i="1" s="1"/>
  <c r="K106" i="1"/>
  <c r="L106" i="1" s="1"/>
  <c r="K101" i="1"/>
  <c r="L101" i="1" s="1"/>
  <c r="K100" i="1"/>
  <c r="L100" i="1" s="1"/>
  <c r="K112" i="1"/>
  <c r="L112" i="1" s="1"/>
  <c r="K111" i="1"/>
  <c r="L111" i="1" s="1"/>
  <c r="K102" i="1"/>
  <c r="L102" i="1" s="1"/>
  <c r="K193" i="1"/>
  <c r="L193" i="1" s="1"/>
  <c r="K278" i="1"/>
  <c r="L278" i="1" s="1"/>
  <c r="K275" i="1"/>
  <c r="L275" i="1" s="1"/>
  <c r="K272" i="1"/>
  <c r="L272" i="1" s="1"/>
  <c r="K269" i="1"/>
  <c r="L269" i="1" s="1"/>
  <c r="K265" i="1"/>
  <c r="L265" i="1" s="1"/>
  <c r="K262" i="1"/>
  <c r="L262" i="1" s="1"/>
  <c r="K259" i="1"/>
  <c r="L259" i="1" s="1"/>
  <c r="K256" i="1"/>
  <c r="L256" i="1" s="1"/>
  <c r="K252" i="1"/>
  <c r="L252" i="1" s="1"/>
  <c r="K249" i="1"/>
  <c r="L249" i="1" s="1"/>
  <c r="K245" i="1"/>
  <c r="L245" i="1" s="1"/>
  <c r="K242" i="1"/>
  <c r="L242" i="1" s="1"/>
  <c r="K237" i="1"/>
  <c r="L237" i="1" s="1"/>
  <c r="K234" i="1"/>
  <c r="L234" i="1" s="1"/>
  <c r="K231" i="1"/>
  <c r="L231" i="1" s="1"/>
  <c r="K228" i="1"/>
  <c r="L228" i="1" s="1"/>
  <c r="K225" i="1"/>
  <c r="L225" i="1" s="1"/>
  <c r="K220" i="1"/>
  <c r="L220" i="1" s="1"/>
  <c r="K217" i="1"/>
  <c r="L217" i="1" s="1"/>
  <c r="K214" i="1"/>
  <c r="L214" i="1" s="1"/>
  <c r="K210" i="1"/>
  <c r="L210" i="1" s="1"/>
  <c r="K87" i="1"/>
  <c r="L87" i="1" s="1"/>
  <c r="K281" i="1"/>
  <c r="L281" i="1" s="1"/>
  <c r="K276" i="1"/>
  <c r="L276" i="1" s="1"/>
  <c r="K273" i="1"/>
  <c r="L273" i="1" s="1"/>
  <c r="K270" i="1"/>
  <c r="L270" i="1" s="1"/>
  <c r="K266" i="1"/>
  <c r="L266" i="1" s="1"/>
  <c r="K263" i="1"/>
  <c r="L263" i="1" s="1"/>
  <c r="K254" i="1"/>
  <c r="L254" i="1" s="1"/>
  <c r="K251" i="1"/>
  <c r="L251" i="1" s="1"/>
  <c r="K247" i="1"/>
  <c r="L247" i="1" s="1"/>
  <c r="K244" i="1"/>
  <c r="L244" i="1" s="1"/>
  <c r="K236" i="1"/>
  <c r="L236" i="1" s="1"/>
  <c r="K235" i="1"/>
  <c r="L235" i="1" s="1"/>
  <c r="K233" i="1"/>
  <c r="L233" i="1" s="1"/>
  <c r="K230" i="1"/>
  <c r="L230" i="1" s="1"/>
  <c r="K229" i="1"/>
  <c r="L229" i="1" s="1"/>
  <c r="K227" i="1"/>
  <c r="L227" i="1" s="1"/>
  <c r="K226" i="1"/>
  <c r="L226" i="1" s="1"/>
  <c r="K219" i="1"/>
  <c r="L219" i="1" s="1"/>
  <c r="K218" i="1"/>
  <c r="L218" i="1" s="1"/>
  <c r="K213" i="1"/>
  <c r="L213" i="1" s="1"/>
  <c r="K212" i="1"/>
  <c r="L212" i="1" s="1"/>
  <c r="K209" i="1"/>
  <c r="L209" i="1" s="1"/>
  <c r="K208" i="1"/>
  <c r="L208" i="1" s="1"/>
  <c r="K93" i="1"/>
  <c r="L93" i="1" s="1"/>
  <c r="K80" i="1"/>
  <c r="L80" i="1" s="1"/>
  <c r="K75" i="1"/>
  <c r="L75" i="1" s="1"/>
  <c r="K70" i="1"/>
  <c r="L70" i="1" s="1"/>
  <c r="K277" i="1"/>
  <c r="L277" i="1" s="1"/>
  <c r="K274" i="1"/>
  <c r="L274" i="1" s="1"/>
  <c r="K271" i="1"/>
  <c r="L271" i="1" s="1"/>
  <c r="K267" i="1"/>
  <c r="L267" i="1" s="1"/>
  <c r="K264" i="1"/>
  <c r="L264" i="1" s="1"/>
  <c r="K261" i="1"/>
  <c r="L261" i="1" s="1"/>
  <c r="K260" i="1"/>
  <c r="L260" i="1" s="1"/>
  <c r="K258" i="1"/>
  <c r="L258" i="1" s="1"/>
  <c r="K257" i="1"/>
  <c r="L257" i="1" s="1"/>
  <c r="K253" i="1"/>
  <c r="L253" i="1" s="1"/>
  <c r="K250" i="1"/>
  <c r="L250" i="1" s="1"/>
  <c r="K246" i="1"/>
  <c r="L246" i="1" s="1"/>
  <c r="K243" i="1"/>
  <c r="L243" i="1" s="1"/>
  <c r="K241" i="1"/>
  <c r="L241" i="1" s="1"/>
  <c r="K240" i="1"/>
  <c r="L240" i="1" s="1"/>
  <c r="K232" i="1"/>
  <c r="L232" i="1" s="1"/>
  <c r="K223" i="1"/>
  <c r="L223" i="1" s="1"/>
  <c r="K222" i="1"/>
  <c r="L222" i="1" s="1"/>
  <c r="K216" i="1"/>
  <c r="L216" i="1" s="1"/>
  <c r="K215" i="1"/>
  <c r="L215" i="1" s="1"/>
  <c r="K77" i="1"/>
  <c r="L77" i="1" s="1"/>
  <c r="K73" i="1"/>
  <c r="L73" i="1" s="1"/>
  <c r="K11" i="1"/>
  <c r="L11" i="1" s="1"/>
  <c r="K7" i="1"/>
  <c r="L7" i="1" s="1"/>
  <c r="K207" i="1"/>
  <c r="L207" i="1" s="1"/>
  <c r="K205" i="1"/>
  <c r="L205" i="1" s="1"/>
  <c r="K202" i="1"/>
  <c r="L202" i="1" s="1"/>
  <c r="K200" i="1"/>
  <c r="L200" i="1" s="1"/>
  <c r="K195" i="1"/>
  <c r="L195" i="1" s="1"/>
  <c r="K56" i="1"/>
  <c r="L56" i="1" s="1"/>
  <c r="K40" i="1"/>
  <c r="L40" i="1" s="1"/>
  <c r="K36" i="1"/>
  <c r="L36" i="1" s="1"/>
  <c r="K18" i="1"/>
  <c r="L18" i="1" s="1"/>
  <c r="K352" i="1"/>
  <c r="L352" i="1" s="1"/>
  <c r="K206" i="1"/>
  <c r="L206" i="1" s="1"/>
  <c r="K203" i="1"/>
  <c r="L203" i="1" s="1"/>
  <c r="K201" i="1"/>
  <c r="L201" i="1" s="1"/>
  <c r="K196" i="1"/>
  <c r="L196" i="1" s="1"/>
  <c r="K194" i="1"/>
  <c r="L194" i="1" s="1"/>
  <c r="K58" i="1"/>
  <c r="L58" i="1" s="1"/>
  <c r="K44" i="1"/>
  <c r="L44" i="1" s="1"/>
  <c r="K32" i="1"/>
  <c r="L32" i="1" s="1"/>
  <c r="K9" i="1"/>
  <c r="L9" i="1" s="1"/>
  <c r="K5" i="1"/>
  <c r="L5" i="1" s="1"/>
  <c r="K60" i="1"/>
  <c r="L60" i="1" s="1"/>
  <c r="K46" i="1"/>
  <c r="L46" i="1" s="1"/>
  <c r="K42" i="1"/>
  <c r="L42" i="1" s="1"/>
  <c r="K34" i="1"/>
  <c r="L34" i="1" s="1"/>
  <c r="K15" i="1"/>
  <c r="L15" i="1" s="1"/>
  <c r="K105" i="1"/>
  <c r="L105" i="1" s="1"/>
  <c r="K103" i="1"/>
  <c r="L103" i="1" s="1"/>
  <c r="K98" i="1"/>
  <c r="L98" i="1" s="1"/>
  <c r="K96" i="1"/>
  <c r="L96" i="1" s="1"/>
  <c r="K94" i="1"/>
  <c r="L94" i="1" s="1"/>
  <c r="K90" i="1"/>
  <c r="L90" i="1" s="1"/>
  <c r="K88" i="1"/>
  <c r="L88" i="1" s="1"/>
  <c r="K85" i="1"/>
  <c r="L85" i="1" s="1"/>
  <c r="K83" i="1"/>
  <c r="L83" i="1" s="1"/>
  <c r="K81" i="1"/>
  <c r="L81" i="1" s="1"/>
  <c r="K76" i="1"/>
  <c r="L76" i="1" s="1"/>
  <c r="K74" i="1"/>
  <c r="L74" i="1" s="1"/>
  <c r="K72" i="1"/>
  <c r="L72" i="1" s="1"/>
  <c r="K68" i="1"/>
  <c r="L68" i="1" s="1"/>
  <c r="K66" i="1"/>
  <c r="L66" i="1" s="1"/>
  <c r="K62" i="1"/>
  <c r="L62" i="1" s="1"/>
  <c r="K57" i="1"/>
  <c r="L57" i="1" s="1"/>
  <c r="K55" i="1"/>
  <c r="L55" i="1" s="1"/>
  <c r="K52" i="1"/>
  <c r="L52" i="1" s="1"/>
  <c r="K50" i="1"/>
  <c r="L50" i="1" s="1"/>
  <c r="K48" i="1"/>
  <c r="L48" i="1" s="1"/>
  <c r="K41" i="1"/>
  <c r="L41" i="1" s="1"/>
  <c r="K38" i="1"/>
  <c r="L38" i="1" s="1"/>
  <c r="K29" i="1"/>
  <c r="L29" i="1" s="1"/>
  <c r="K27" i="1"/>
  <c r="L27" i="1" s="1"/>
  <c r="K25" i="1"/>
  <c r="L25" i="1" s="1"/>
  <c r="K22" i="1"/>
  <c r="L22" i="1" s="1"/>
  <c r="K20" i="1"/>
  <c r="L20" i="1" s="1"/>
  <c r="K19" i="1"/>
  <c r="L19" i="1" s="1"/>
  <c r="K16" i="1"/>
  <c r="L16" i="1" s="1"/>
  <c r="K14" i="1"/>
  <c r="L14" i="1" s="1"/>
  <c r="K12" i="1"/>
  <c r="L12" i="1" s="1"/>
  <c r="K10" i="1"/>
  <c r="L10" i="1" s="1"/>
  <c r="K8" i="1"/>
  <c r="L8" i="1" s="1"/>
  <c r="K6" i="1"/>
  <c r="L6" i="1" s="1"/>
  <c r="K4" i="1"/>
  <c r="L4" i="1" s="1"/>
  <c r="K169" i="1"/>
  <c r="L169" i="1" s="1"/>
  <c r="K114" i="1"/>
  <c r="L114" i="1" s="1"/>
  <c r="K95" i="1"/>
  <c r="L95" i="1" s="1"/>
  <c r="K92" i="1"/>
  <c r="L92" i="1" s="1"/>
  <c r="K89" i="1"/>
  <c r="L89" i="1" s="1"/>
  <c r="K86" i="1"/>
  <c r="L86" i="1" s="1"/>
  <c r="K84" i="1"/>
  <c r="L84" i="1" s="1"/>
  <c r="K82" i="1"/>
  <c r="L82" i="1" s="1"/>
  <c r="K79" i="1"/>
  <c r="L79" i="1" s="1"/>
  <c r="K69" i="1"/>
  <c r="L69" i="1" s="1"/>
  <c r="K67" i="1"/>
  <c r="L67" i="1" s="1"/>
  <c r="K63" i="1"/>
  <c r="L63" i="1" s="1"/>
  <c r="K61" i="1"/>
  <c r="L61" i="1" s="1"/>
  <c r="K59" i="1"/>
  <c r="L59" i="1" s="1"/>
  <c r="K54" i="1"/>
  <c r="L54" i="1" s="1"/>
  <c r="K51" i="1"/>
  <c r="L51" i="1" s="1"/>
  <c r="K49" i="1"/>
  <c r="L49" i="1" s="1"/>
  <c r="K45" i="1"/>
  <c r="L45" i="1" s="1"/>
  <c r="K43" i="1"/>
  <c r="L43" i="1" s="1"/>
  <c r="K39" i="1"/>
  <c r="L39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13" i="1"/>
  <c r="L13" i="1" s="1"/>
  <c r="K2" i="1"/>
  <c r="L2" i="1" s="1"/>
  <c r="K99" i="1"/>
  <c r="L99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<sst xmlns="http://schemas.openxmlformats.org/spreadsheetml/2006/main" count="1479" uniqueCount="117">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</sst>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0"/>
  <sheetViews>
    <sheetView tabSelected="1" zoomScale="85" zoomScaleNormal="85" workbookViewId="0">
      <selection activeCell="G230" sqref="G230:G354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 t="shared" ref="J4:J16" si="2"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4">E18+G18+H18</f>
        <v>33</v>
      </c>
      <c r="J18" s="3">
        <f t="shared" ref="J18:J23" si="5"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H19" s="3">
        <v>0</v>
      </c>
      <c r="I19" s="3">
        <f t="shared" si="4"/>
        <v>27</v>
      </c>
      <c r="J19" s="3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 t="shared" si="4"/>
        <v>34</v>
      </c>
      <c r="J20" s="3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 t="shared" si="4"/>
        <v>49</v>
      </c>
      <c r="J21" s="3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 t="shared" si="4"/>
        <v>16</v>
      </c>
      <c r="J22" s="3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 t="shared" si="4"/>
        <v>32</v>
      </c>
      <c r="J23" s="3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 t="shared" ref="I25:I30" si="7">E25+G25+H25</f>
        <v>24</v>
      </c>
      <c r="J25" s="3">
        <f t="shared" ref="J25:J30" si="8"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 t="shared" si="7"/>
        <v>20</v>
      </c>
      <c r="J26" s="3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 t="shared" si="7"/>
        <v>15</v>
      </c>
      <c r="J27" s="3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 t="shared" si="7"/>
        <v>29</v>
      </c>
      <c r="J28" s="3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 t="shared" si="7"/>
        <v>26</v>
      </c>
      <c r="J29" s="3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 t="shared" si="7"/>
        <v>40</v>
      </c>
      <c r="J30" s="3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 t="shared" ref="I32:I46" si="10">E32+G32+H32</f>
        <v>25</v>
      </c>
      <c r="J32" s="3">
        <f t="shared" ref="J32:J46" si="11"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 t="shared" si="10"/>
        <v>38</v>
      </c>
      <c r="J35" s="3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 t="shared" si="10"/>
        <v>7</v>
      </c>
      <c r="J36" s="3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 t="shared" si="10"/>
        <v>23</v>
      </c>
      <c r="J37" s="3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 t="shared" si="10"/>
        <v>16</v>
      </c>
      <c r="J38" s="3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 t="shared" si="10"/>
        <v>23</v>
      </c>
      <c r="J39" s="3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 t="shared" si="10"/>
        <v>21</v>
      </c>
      <c r="J40" s="3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 t="shared" si="10"/>
        <v>27</v>
      </c>
      <c r="J42" s="3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 t="shared" si="10"/>
        <v>47</v>
      </c>
      <c r="J43" s="3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 t="shared" si="10"/>
        <v>20</v>
      </c>
      <c r="J44" s="3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 t="shared" si="10"/>
        <v>41</v>
      </c>
      <c r="J46" s="3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 t="shared" ref="I54:I63" si="13">E54+G54+H54</f>
        <v>43</v>
      </c>
      <c r="J54" s="3">
        <f t="shared" ref="J54:J63" si="14"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 t="shared" si="13"/>
        <v>27</v>
      </c>
      <c r="J55" s="3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 t="shared" si="13"/>
        <v>29</v>
      </c>
      <c r="J58" s="3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 t="shared" si="13"/>
        <v>47</v>
      </c>
      <c r="J59" s="3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 t="shared" si="13"/>
        <v>30</v>
      </c>
      <c r="J60" s="3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 t="shared" si="13"/>
        <v>22</v>
      </c>
      <c r="J61" s="3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 t="shared" si="13"/>
        <v>27</v>
      </c>
      <c r="J62" s="3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 t="shared" si="13"/>
        <v>34</v>
      </c>
      <c r="J63" s="3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H66" s="3">
        <v>0</v>
      </c>
      <c r="I66" s="3">
        <f>E66+G66+H66</f>
        <v>21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 t="shared" ref="I72:I77" si="17">E72+G72+H72</f>
        <v>24</v>
      </c>
      <c r="J72" s="3">
        <f t="shared" ref="J72:J77" si="18"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 t="shared" si="17"/>
        <v>27</v>
      </c>
      <c r="J73" s="3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 t="shared" si="17"/>
        <v>22</v>
      </c>
      <c r="J74" s="3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 t="shared" si="17"/>
        <v>25</v>
      </c>
      <c r="J75" s="3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 t="shared" si="17"/>
        <v>22</v>
      </c>
      <c r="J76" s="3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 t="shared" si="17"/>
        <v>35</v>
      </c>
      <c r="J77" s="3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 t="shared" ref="I79:I90" si="20">E79+G79+H79</f>
        <v>29</v>
      </c>
      <c r="J79" s="3">
        <f t="shared" ref="J79:J90" si="21"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 t="shared" si="20"/>
        <v>40</v>
      </c>
      <c r="J81" s="3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 t="shared" si="20"/>
        <v>34</v>
      </c>
      <c r="J82" s="3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 t="shared" si="20"/>
        <v>25</v>
      </c>
      <c r="J83" s="3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 t="shared" si="20"/>
        <v>17</v>
      </c>
      <c r="J84" s="3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 t="shared" si="20"/>
        <v>20</v>
      </c>
      <c r="J85" s="3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 t="shared" si="20"/>
        <v>36</v>
      </c>
      <c r="J86" s="3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 t="shared" si="20"/>
        <v>54</v>
      </c>
      <c r="J87" s="3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 t="shared" si="20"/>
        <v>17</v>
      </c>
      <c r="J88" s="3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 t="shared" si="20"/>
        <v>40</v>
      </c>
      <c r="J90" s="3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 t="shared" ref="I92:I107" si="23">E92+G92+H92</f>
        <v>49</v>
      </c>
      <c r="J92" s="3">
        <f t="shared" ref="J92:J107" si="24"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 t="shared" si="23"/>
        <v>32</v>
      </c>
      <c r="J93" s="3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 t="shared" si="23"/>
        <v>37</v>
      </c>
      <c r="J94" s="3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 t="shared" si="23"/>
        <v>33</v>
      </c>
      <c r="J95" s="3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 t="shared" si="23"/>
        <v>12</v>
      </c>
      <c r="J97" s="3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 t="shared" si="23"/>
        <v>38</v>
      </c>
      <c r="J99" s="3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 t="shared" si="23"/>
        <v>8</v>
      </c>
      <c r="J100" s="3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 t="shared" si="23"/>
        <v>15</v>
      </c>
      <c r="J101" s="3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 t="shared" si="23"/>
        <v>32</v>
      </c>
      <c r="J102" s="3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 t="shared" si="23"/>
        <v>44</v>
      </c>
      <c r="J103" s="3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 t="shared" si="23"/>
        <v>36</v>
      </c>
      <c r="J104" s="3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 t="shared" si="23"/>
        <v>16</v>
      </c>
      <c r="J105" s="3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 t="shared" si="23"/>
        <v>31</v>
      </c>
      <c r="J106" s="3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 t="shared" si="23"/>
        <v>23</v>
      </c>
      <c r="J107" s="3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H110" s="3">
        <v>0</v>
      </c>
      <c r="I110" s="3">
        <f>E110+G110+H110</f>
        <v>31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 t="shared" ref="I116:I121" si="26">E116+G116+H116</f>
        <v>23</v>
      </c>
      <c r="J116" s="3">
        <f t="shared" ref="J116:J121" si="27"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 t="shared" si="26"/>
        <v>26</v>
      </c>
      <c r="J117" s="3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 t="shared" si="26"/>
        <v>24</v>
      </c>
      <c r="J118" s="3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 t="shared" si="26"/>
        <v>38</v>
      </c>
      <c r="J119" s="3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 t="shared" si="26"/>
        <v>38</v>
      </c>
      <c r="J120" s="3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 t="shared" si="26"/>
        <v>31</v>
      </c>
      <c r="J121" s="3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 t="shared" ref="I127:I134" si="29">E127+G127+H127</f>
        <v>33</v>
      </c>
      <c r="J127" s="3">
        <f t="shared" ref="J127:J134" si="30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 t="shared" si="29"/>
        <v>17</v>
      </c>
      <c r="J128" s="3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 t="shared" si="29"/>
        <v>24</v>
      </c>
      <c r="J129" s="3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 t="shared" si="29"/>
        <v>35</v>
      </c>
      <c r="J130" s="3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 t="shared" si="29"/>
        <v>52</v>
      </c>
      <c r="J131" s="3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 t="shared" si="29"/>
        <v>19</v>
      </c>
      <c r="J132" s="3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 t="shared" si="29"/>
        <v>28</v>
      </c>
      <c r="J133" s="3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 t="shared" si="29"/>
        <v>34</v>
      </c>
      <c r="J134" s="3">
        <f t="shared" si="30"/>
        <v>26</v>
      </c>
      <c r="K134" s="3">
        <f t="shared" si="31"/>
        <v>8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 t="shared" ref="I136:I151" si="33">E136+G136+H136</f>
        <v>38</v>
      </c>
      <c r="J136" s="3">
        <f t="shared" ref="J136:J151" si="34"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 t="shared" ref="K136:K151" si="35">I136-J136</f>
        <v>16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 t="shared" si="33"/>
        <v>32</v>
      </c>
      <c r="J137" s="3">
        <f t="shared" si="34"/>
        <v>33</v>
      </c>
      <c r="K137" s="3">
        <f t="shared" si="35"/>
        <v>-1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 t="shared" si="33"/>
        <v>34</v>
      </c>
      <c r="J138" s="3">
        <f t="shared" si="34"/>
        <v>26</v>
      </c>
      <c r="K138" s="3">
        <f t="shared" si="35"/>
        <v>8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 t="shared" si="33"/>
        <v>29</v>
      </c>
      <c r="J139" s="3">
        <f t="shared" si="34"/>
        <v>26</v>
      </c>
      <c r="K139" s="3">
        <f t="shared" si="35"/>
        <v>3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>
        <f t="shared" si="34"/>
        <v>9</v>
      </c>
      <c r="K140" s="3">
        <f t="shared" si="35"/>
        <v>23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 t="shared" si="33"/>
        <v>12</v>
      </c>
      <c r="J141" s="3">
        <f t="shared" si="34"/>
        <v>9</v>
      </c>
      <c r="K141" s="3">
        <f t="shared" si="35"/>
        <v>3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 t="shared" si="33"/>
        <v>32</v>
      </c>
      <c r="J142" s="3">
        <f t="shared" si="34"/>
        <v>9</v>
      </c>
      <c r="K142" s="3">
        <f t="shared" si="35"/>
        <v>23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>
        <f t="shared" si="34"/>
        <v>9</v>
      </c>
      <c r="K143" s="3">
        <f t="shared" si="35"/>
        <v>28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 t="shared" si="33"/>
        <v>24</v>
      </c>
      <c r="J144" s="3">
        <f t="shared" si="34"/>
        <v>22</v>
      </c>
      <c r="K144" s="3">
        <f t="shared" si="35"/>
        <v>2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 t="shared" si="33"/>
        <v>44</v>
      </c>
      <c r="J145" s="3">
        <f t="shared" si="34"/>
        <v>33</v>
      </c>
      <c r="K145" s="3">
        <f t="shared" si="35"/>
        <v>11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 t="shared" si="33"/>
        <v>20</v>
      </c>
      <c r="J146" s="3">
        <f t="shared" si="34"/>
        <v>26</v>
      </c>
      <c r="K146" s="3">
        <f t="shared" si="35"/>
        <v>-6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 t="shared" si="33"/>
        <v>24</v>
      </c>
      <c r="J147" s="3">
        <f t="shared" si="34"/>
        <v>22</v>
      </c>
      <c r="K147" s="3">
        <f t="shared" si="35"/>
        <v>2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 t="shared" si="33"/>
        <v>30</v>
      </c>
      <c r="J148" s="3">
        <f t="shared" si="34"/>
        <v>33</v>
      </c>
      <c r="K148" s="3">
        <f t="shared" si="35"/>
        <v>-3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 t="shared" si="33"/>
        <v>15</v>
      </c>
      <c r="J149" s="3">
        <f t="shared" si="34"/>
        <v>9</v>
      </c>
      <c r="K149" s="3">
        <f t="shared" si="35"/>
        <v>6</v>
      </c>
      <c r="L149" s="3" t="str">
        <f t="shared" si="32"/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>
        <f t="shared" si="34"/>
        <v>9</v>
      </c>
      <c r="K150" s="3">
        <f t="shared" si="35"/>
        <v>6</v>
      </c>
      <c r="L150" s="3" t="str">
        <f t="shared" si="32"/>
        <v>EXCELENTE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 t="shared" si="33"/>
        <v>31</v>
      </c>
      <c r="J151" s="3">
        <f t="shared" si="34"/>
        <v>26</v>
      </c>
      <c r="K151" s="3">
        <f t="shared" si="35"/>
        <v>5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H154" s="3">
        <v>0</v>
      </c>
      <c r="I154" s="3">
        <f>E154+G154+H154</f>
        <v>28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22</v>
      </c>
      <c r="K154" s="3">
        <f>I154-J154</f>
        <v>6</v>
      </c>
      <c r="L154" s="3" t="str">
        <f t="shared" si="32"/>
        <v>EXCELENTE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 t="shared" ref="I160:I165" si="36">E160+G160+H160</f>
        <v>26</v>
      </c>
      <c r="J160" s="3">
        <f t="shared" ref="J160:J165" si="37"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 t="shared" ref="K160:K165" si="38">I160-J160</f>
        <v>7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 t="shared" si="36"/>
        <v>23</v>
      </c>
      <c r="J161" s="3">
        <f t="shared" si="37"/>
        <v>33</v>
      </c>
      <c r="K161" s="3">
        <f t="shared" si="38"/>
        <v>-10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 t="shared" si="36"/>
        <v>16</v>
      </c>
      <c r="J162" s="3">
        <f t="shared" si="37"/>
        <v>19</v>
      </c>
      <c r="K162" s="3">
        <f t="shared" si="38"/>
        <v>-3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 t="shared" si="36"/>
        <v>23</v>
      </c>
      <c r="J163" s="3">
        <f t="shared" si="37"/>
        <v>33</v>
      </c>
      <c r="K163" s="3">
        <f t="shared" si="38"/>
        <v>-10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 t="shared" si="36"/>
        <v>43</v>
      </c>
      <c r="J164" s="3">
        <f t="shared" si="37"/>
        <v>26</v>
      </c>
      <c r="K164" s="3">
        <f t="shared" si="38"/>
        <v>17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 t="shared" si="36"/>
        <v>27</v>
      </c>
      <c r="J165" s="3">
        <f t="shared" si="37"/>
        <v>26</v>
      </c>
      <c r="K165" s="3">
        <f t="shared" si="38"/>
        <v>1</v>
      </c>
      <c r="L165" s="3" t="str">
        <f t="shared" si="32"/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 t="shared" si="32"/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 t="shared" ref="I171:I178" si="39">E171+G171+H171</f>
        <v>10</v>
      </c>
      <c r="J171" s="3">
        <f t="shared" ref="J171:J178" si="40"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 t="shared" ref="K171:K178" si="41">I171-J171</f>
        <v>-16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 t="shared" si="39"/>
        <v>24</v>
      </c>
      <c r="J172" s="3">
        <f t="shared" si="40"/>
        <v>19</v>
      </c>
      <c r="K172" s="3">
        <f t="shared" si="41"/>
        <v>5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 t="shared" si="39"/>
        <v>24</v>
      </c>
      <c r="J173" s="3">
        <f t="shared" si="40"/>
        <v>19</v>
      </c>
      <c r="K173" s="3">
        <f t="shared" si="41"/>
        <v>5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 t="shared" si="39"/>
        <v>40</v>
      </c>
      <c r="J174" s="3">
        <f t="shared" si="40"/>
        <v>22</v>
      </c>
      <c r="K174" s="3">
        <f t="shared" si="41"/>
        <v>18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 t="shared" si="39"/>
        <v>38</v>
      </c>
      <c r="J175" s="3">
        <f t="shared" si="40"/>
        <v>33</v>
      </c>
      <c r="K175" s="3">
        <f t="shared" si="41"/>
        <v>5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 t="shared" si="39"/>
        <v>20</v>
      </c>
      <c r="J176" s="3">
        <f t="shared" si="40"/>
        <v>22</v>
      </c>
      <c r="K176" s="3">
        <f t="shared" si="41"/>
        <v>-2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>
        <f t="shared" si="40"/>
        <v>33</v>
      </c>
      <c r="K177" s="3">
        <f t="shared" si="41"/>
        <v>-1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>
        <f t="shared" si="40"/>
        <v>23</v>
      </c>
      <c r="K178" s="3">
        <f t="shared" si="41"/>
        <v>11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>
        <f t="shared" ref="J180:J196" si="43"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 t="shared" ref="K180:K196" si="44">I180-J180</f>
        <v>6</v>
      </c>
      <c r="L180" s="3" t="str">
        <f t="shared" si="32"/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>
        <f t="shared" si="43"/>
        <v>29</v>
      </c>
      <c r="K181" s="3">
        <f t="shared" si="44"/>
        <v>-5</v>
      </c>
      <c r="L181" s="3" t="str">
        <f t="shared" si="32"/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>
        <f t="shared" si="43"/>
        <v>23</v>
      </c>
      <c r="K182" s="3">
        <f t="shared" si="44"/>
        <v>9</v>
      </c>
      <c r="L182" s="3" t="str">
        <f t="shared" si="32"/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>
        <f t="shared" si="43"/>
        <v>23</v>
      </c>
      <c r="K183" s="3">
        <f t="shared" si="44"/>
        <v>-11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>
        <f t="shared" si="43"/>
        <v>19</v>
      </c>
      <c r="K184" s="3">
        <f t="shared" si="44"/>
        <v>11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>
        <f t="shared" si="43"/>
        <v>29</v>
      </c>
      <c r="K185" s="3">
        <f t="shared" si="44"/>
        <v>-3</v>
      </c>
      <c r="L185" s="3" t="str">
        <f t="shared" si="32"/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>
        <f t="shared" si="43"/>
        <v>23</v>
      </c>
      <c r="K186" s="3">
        <f t="shared" si="44"/>
        <v>-6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>
        <f t="shared" si="43"/>
        <v>19</v>
      </c>
      <c r="K187" s="3">
        <f t="shared" si="44"/>
        <v>-3</v>
      </c>
      <c r="L187" s="3" t="str">
        <f t="shared" si="32"/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>
        <f t="shared" si="43"/>
        <v>29</v>
      </c>
      <c r="K188" s="3">
        <f t="shared" si="44"/>
        <v>-7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>
        <f t="shared" si="43"/>
        <v>8</v>
      </c>
      <c r="K189" s="3">
        <f t="shared" si="44"/>
        <v>27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>
        <f t="shared" si="43"/>
        <v>8</v>
      </c>
      <c r="K190" s="3">
        <f t="shared" si="44"/>
        <v>1</v>
      </c>
      <c r="L190" s="3" t="str">
        <f t="shared" si="32"/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>
        <f t="shared" si="43"/>
        <v>8</v>
      </c>
      <c r="K191" s="3">
        <f t="shared" si="44"/>
        <v>0</v>
      </c>
      <c r="L191" s="3" t="str">
        <f t="shared" si="32"/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>
        <f t="shared" si="43"/>
        <v>8</v>
      </c>
      <c r="K192" s="3">
        <f t="shared" si="44"/>
        <v>34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>
        <f t="shared" si="43"/>
        <v>8</v>
      </c>
      <c r="K193" s="3">
        <f t="shared" si="44"/>
        <v>26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>
        <f t="shared" si="43"/>
        <v>8</v>
      </c>
      <c r="K194" s="3">
        <f t="shared" si="44"/>
        <v>5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>
        <f t="shared" si="43"/>
        <v>8</v>
      </c>
      <c r="K195" s="3">
        <f t="shared" si="44"/>
        <v>9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>
        <f t="shared" si="43"/>
        <v>23</v>
      </c>
      <c r="K196" s="3">
        <f t="shared" si="44"/>
        <v>6</v>
      </c>
      <c r="L196" s="3" t="str">
        <f t="shared" si="45"/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 s="9">
        <v>0</v>
      </c>
      <c r="N197" s="9">
        <v>100</v>
      </c>
      <c r="O197" s="9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 s="9">
        <v>0</v>
      </c>
      <c r="N198" s="9">
        <v>100</v>
      </c>
      <c r="O198" s="9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 s="9">
        <v>0</v>
      </c>
      <c r="N199" s="9">
        <v>98.8</v>
      </c>
      <c r="O199" s="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 t="shared" si="45"/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 t="shared" si="45"/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 t="shared" si="45"/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 s="9">
        <v>0</v>
      </c>
      <c r="N204" s="9">
        <v>0</v>
      </c>
      <c r="O204" s="9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>
        <f t="shared" ref="J205:J210" si="47"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 t="shared" ref="K205:K210" si="48">I205-J205</f>
        <v>5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>
        <f t="shared" si="47"/>
        <v>29</v>
      </c>
      <c r="K206" s="3">
        <f t="shared" si="48"/>
        <v>-25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>
        <f t="shared" si="47"/>
        <v>16</v>
      </c>
      <c r="K207" s="3">
        <f t="shared" si="48"/>
        <v>-1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>
        <f t="shared" si="47"/>
        <v>29</v>
      </c>
      <c r="K208" s="3">
        <f t="shared" si="48"/>
        <v>-1</v>
      </c>
      <c r="L208" s="3" t="str">
        <f t="shared" si="45"/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>
        <f t="shared" si="47"/>
        <v>23</v>
      </c>
      <c r="K209" s="3">
        <f t="shared" si="48"/>
        <v>-2</v>
      </c>
      <c r="L209" s="3" t="str">
        <f t="shared" si="45"/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>
        <f t="shared" si="47"/>
        <v>23</v>
      </c>
      <c r="K210" s="3">
        <f t="shared" si="48"/>
        <v>3</v>
      </c>
      <c r="L210" s="3" t="str">
        <f t="shared" si="45"/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 s="9">
        <v>0</v>
      </c>
      <c r="N211" s="9">
        <v>100</v>
      </c>
      <c r="O211" s="9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>
        <f t="shared" ref="J212:J220" si="50"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 t="shared" ref="K212:K220" si="51">I212-J212</f>
        <v>4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>
        <f t="shared" si="50"/>
        <v>29</v>
      </c>
      <c r="K213" s="3">
        <f t="shared" si="51"/>
        <v>2</v>
      </c>
      <c r="L213" s="3" t="str">
        <f t="shared" si="45"/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>
        <f t="shared" si="50"/>
        <v>29</v>
      </c>
      <c r="K214" s="3">
        <f t="shared" si="51"/>
        <v>0</v>
      </c>
      <c r="L214" s="3" t="str">
        <f t="shared" si="45"/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>
        <f t="shared" si="50"/>
        <v>16</v>
      </c>
      <c r="K215" s="3">
        <f t="shared" si="51"/>
        <v>10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>
        <f t="shared" si="50"/>
        <v>23</v>
      </c>
      <c r="K216" s="3">
        <f t="shared" si="51"/>
        <v>-4</v>
      </c>
      <c r="L216" s="3" t="str">
        <f t="shared" si="45"/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>
        <f t="shared" si="50"/>
        <v>16</v>
      </c>
      <c r="K217" s="3">
        <f t="shared" si="51"/>
        <v>-2</v>
      </c>
      <c r="L217" s="3" t="str">
        <f t="shared" si="45"/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>
        <f t="shared" si="50"/>
        <v>16</v>
      </c>
      <c r="K218" s="3">
        <f t="shared" si="51"/>
        <v>1</v>
      </c>
      <c r="L218" s="3" t="str">
        <f t="shared" si="45"/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>
        <f t="shared" si="50"/>
        <v>19</v>
      </c>
      <c r="K219" s="3">
        <f t="shared" si="51"/>
        <v>17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>
        <f t="shared" si="50"/>
        <v>29</v>
      </c>
      <c r="K220" s="3">
        <f t="shared" si="51"/>
        <v>9</v>
      </c>
      <c r="L220" s="3" t="str">
        <f t="shared" si="45"/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 s="9">
        <v>0</v>
      </c>
      <c r="N221" s="9">
        <v>100</v>
      </c>
      <c r="O221" s="9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 t="shared" si="45"/>
        <v>ATENÇÃO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 t="shared" ref="I225:I237" si="52">E225+G225+H225</f>
        <v>46</v>
      </c>
      <c r="J225" s="3">
        <f t="shared" ref="J225:J237" si="53"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ref="K225:K237" si="54">I225-J225</f>
        <v>26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G226" s="3">
        <v>0</v>
      </c>
      <c r="H226" s="3">
        <v>0</v>
      </c>
      <c r="I226" s="3">
        <f t="shared" si="52"/>
        <v>16</v>
      </c>
      <c r="J226" s="3">
        <f t="shared" si="53"/>
        <v>30</v>
      </c>
      <c r="K226" s="3">
        <f t="shared" si="54"/>
        <v>-14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 t="shared" si="52"/>
        <v>30</v>
      </c>
      <c r="J227" s="3">
        <f t="shared" si="53"/>
        <v>24</v>
      </c>
      <c r="K227" s="3">
        <f t="shared" si="54"/>
        <v>6</v>
      </c>
      <c r="L227" s="3" t="str">
        <f t="shared" si="45"/>
        <v>EXCELENTE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 t="shared" si="52"/>
        <v>26</v>
      </c>
      <c r="J228" s="3">
        <f t="shared" si="53"/>
        <v>24</v>
      </c>
      <c r="K228" s="3">
        <f t="shared" si="54"/>
        <v>2</v>
      </c>
      <c r="L228" s="3" t="str">
        <f t="shared" si="45"/>
        <v>BOM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 t="shared" si="52"/>
        <v>25</v>
      </c>
      <c r="J229" s="3">
        <f t="shared" si="53"/>
        <v>20</v>
      </c>
      <c r="K229" s="3">
        <f t="shared" si="54"/>
        <v>5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G230" s="3">
        <v>0</v>
      </c>
      <c r="H230" s="3">
        <v>0</v>
      </c>
      <c r="I230" s="3">
        <f t="shared" si="52"/>
        <v>35</v>
      </c>
      <c r="J230" s="3">
        <f t="shared" si="53"/>
        <v>30</v>
      </c>
      <c r="K230" s="3">
        <f t="shared" si="54"/>
        <v>5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 t="shared" si="52"/>
        <v>31</v>
      </c>
      <c r="J231" s="3">
        <f t="shared" si="53"/>
        <v>24</v>
      </c>
      <c r="K231" s="3">
        <f t="shared" si="54"/>
        <v>7</v>
      </c>
      <c r="L231" s="3" t="str">
        <f t="shared" si="45"/>
        <v>EXCELENTE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 t="shared" si="52"/>
        <v>22</v>
      </c>
      <c r="J232" s="3">
        <f t="shared" si="53"/>
        <v>20</v>
      </c>
      <c r="K232" s="3">
        <f t="shared" si="54"/>
        <v>2</v>
      </c>
      <c r="L232" s="3" t="str">
        <f t="shared" si="45"/>
        <v>BOM</v>
      </c>
      <c r="M232">
        <v>19</v>
      </c>
      <c r="N232">
        <v>100</v>
      </c>
      <c r="O232">
        <v>18.14516129032258</v>
      </c>
    </row>
    <row r="233" spans="1:15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G233" s="3">
        <v>0</v>
      </c>
      <c r="H233" s="3">
        <v>0</v>
      </c>
      <c r="I233" s="3">
        <f t="shared" si="52"/>
        <v>25</v>
      </c>
      <c r="J233" s="3">
        <f t="shared" si="53"/>
        <v>30</v>
      </c>
      <c r="K233" s="3">
        <f t="shared" si="54"/>
        <v>-5</v>
      </c>
      <c r="L233" s="3" t="str">
        <f t="shared" si="45"/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>
        <f t="shared" si="53"/>
        <v>9</v>
      </c>
      <c r="K234" s="3">
        <f t="shared" si="54"/>
        <v>23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G235" s="3">
        <v>0</v>
      </c>
      <c r="H235" s="3">
        <v>0</v>
      </c>
      <c r="I235" s="3">
        <f t="shared" si="52"/>
        <v>1</v>
      </c>
      <c r="J235" s="3">
        <f t="shared" si="53"/>
        <v>9</v>
      </c>
      <c r="K235" s="3">
        <f t="shared" si="54"/>
        <v>-8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G236" s="3">
        <v>0</v>
      </c>
      <c r="H236" s="3">
        <v>0</v>
      </c>
      <c r="I236" s="3">
        <f t="shared" si="52"/>
        <v>5</v>
      </c>
      <c r="J236" s="3">
        <f t="shared" si="53"/>
        <v>9</v>
      </c>
      <c r="K236" s="3">
        <f t="shared" si="54"/>
        <v>-4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 t="shared" si="52"/>
        <v>31</v>
      </c>
      <c r="J237" s="3">
        <f t="shared" si="53"/>
        <v>24</v>
      </c>
      <c r="K237" s="3">
        <f t="shared" si="54"/>
        <v>7</v>
      </c>
      <c r="L237" s="3" t="str">
        <f t="shared" si="45"/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 s="9">
        <v>0</v>
      </c>
      <c r="N238" s="9">
        <v>100</v>
      </c>
      <c r="O238" s="9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 s="9">
        <v>0</v>
      </c>
      <c r="N239" s="9">
        <v>100</v>
      </c>
      <c r="O239" s="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>
        <f t="shared" ref="J240:J247" si="56"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 t="shared" ref="K240:K247" si="57">I240-J240</f>
        <v>23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G241" s="3">
        <v>0</v>
      </c>
      <c r="H241" s="3">
        <v>0</v>
      </c>
      <c r="I241" s="3">
        <f t="shared" si="55"/>
        <v>7</v>
      </c>
      <c r="J241" s="3">
        <f t="shared" si="56"/>
        <v>9</v>
      </c>
      <c r="K241" s="3">
        <f t="shared" si="57"/>
        <v>-2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G242" s="3">
        <v>0</v>
      </c>
      <c r="H242" s="3">
        <v>0</v>
      </c>
      <c r="I242" s="3">
        <f t="shared" si="55"/>
        <v>16</v>
      </c>
      <c r="J242" s="3">
        <f t="shared" si="56"/>
        <v>9</v>
      </c>
      <c r="K242" s="3">
        <f t="shared" si="57"/>
        <v>7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H243" s="3">
        <v>0</v>
      </c>
      <c r="I243" s="3">
        <f t="shared" si="55"/>
        <v>27</v>
      </c>
      <c r="J243" s="3">
        <f t="shared" si="56"/>
        <v>20</v>
      </c>
      <c r="K243" s="3">
        <f t="shared" si="57"/>
        <v>7</v>
      </c>
      <c r="L243" s="3" t="str">
        <f t="shared" si="45"/>
        <v>EXCELENTE</v>
      </c>
      <c r="M243">
        <v>23</v>
      </c>
      <c r="N243">
        <v>98.8</v>
      </c>
      <c r="O243">
        <v>15.41353383458646</v>
      </c>
    </row>
    <row r="244" spans="1:15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G244" s="3">
        <v>0</v>
      </c>
      <c r="H244" s="3">
        <v>0</v>
      </c>
      <c r="I244" s="3">
        <f t="shared" si="55"/>
        <v>24</v>
      </c>
      <c r="J244" s="3">
        <f t="shared" si="56"/>
        <v>24</v>
      </c>
      <c r="K244" s="3">
        <f t="shared" si="57"/>
        <v>0</v>
      </c>
      <c r="L244" s="3" t="str">
        <f t="shared" si="45"/>
        <v>BOM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 t="shared" si="55"/>
        <v>49</v>
      </c>
      <c r="J245" s="3">
        <f t="shared" si="56"/>
        <v>30</v>
      </c>
      <c r="K245" s="3">
        <f t="shared" si="57"/>
        <v>19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 t="shared" si="55"/>
        <v>24</v>
      </c>
      <c r="J246" s="3">
        <f t="shared" si="56"/>
        <v>30</v>
      </c>
      <c r="K246" s="3">
        <f t="shared" si="57"/>
        <v>-6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 t="shared" si="55"/>
        <v>32</v>
      </c>
      <c r="J247" s="3">
        <f t="shared" si="56"/>
        <v>24</v>
      </c>
      <c r="K247" s="3">
        <f t="shared" si="57"/>
        <v>8</v>
      </c>
      <c r="L247" s="3" t="str">
        <f t="shared" si="45"/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 s="9">
        <v>0</v>
      </c>
      <c r="N248" s="9">
        <v>0</v>
      </c>
      <c r="O248" s="9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 t="shared" ref="I249:I254" si="58">E249+G249+H249</f>
        <v>19</v>
      </c>
      <c r="J249" s="3">
        <f t="shared" ref="J249:J254" si="59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 t="shared" ref="K249:K254" si="60">I249-J249</f>
        <v>2</v>
      </c>
      <c r="L249" s="3" t="str">
        <f t="shared" si="45"/>
        <v>BOM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 t="shared" si="58"/>
        <v>24</v>
      </c>
      <c r="J250" s="3">
        <f t="shared" si="59"/>
        <v>30</v>
      </c>
      <c r="K250" s="3">
        <f t="shared" si="60"/>
        <v>-6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 t="shared" si="58"/>
        <v>12</v>
      </c>
      <c r="J251" s="3">
        <f t="shared" si="59"/>
        <v>17</v>
      </c>
      <c r="K251" s="3">
        <f t="shared" si="60"/>
        <v>-5</v>
      </c>
      <c r="L251" s="3" t="str">
        <f t="shared" si="45"/>
        <v>ATENÇÃO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 t="shared" si="58"/>
        <v>29</v>
      </c>
      <c r="J252" s="3">
        <f t="shared" si="59"/>
        <v>30</v>
      </c>
      <c r="K252" s="3">
        <f t="shared" si="60"/>
        <v>-1</v>
      </c>
      <c r="L252" s="3" t="str">
        <f t="shared" si="45"/>
        <v>ATENÇÃO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 t="shared" si="58"/>
        <v>24</v>
      </c>
      <c r="J253" s="3">
        <f t="shared" si="59"/>
        <v>24</v>
      </c>
      <c r="K253" s="3">
        <f t="shared" si="60"/>
        <v>0</v>
      </c>
      <c r="L253" s="3" t="str">
        <f t="shared" si="45"/>
        <v>BOM</v>
      </c>
      <c r="M253">
        <v>21</v>
      </c>
      <c r="N253">
        <v>98.61</v>
      </c>
      <c r="O253">
        <v>16.867469879518069</v>
      </c>
    </row>
    <row r="254" spans="1:15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G254" s="3">
        <v>0</v>
      </c>
      <c r="H254" s="3">
        <v>0</v>
      </c>
      <c r="I254" s="3">
        <f t="shared" si="58"/>
        <v>30</v>
      </c>
      <c r="J254" s="3">
        <f t="shared" si="59"/>
        <v>24</v>
      </c>
      <c r="K254" s="3">
        <f t="shared" si="60"/>
        <v>6</v>
      </c>
      <c r="L254" s="3" t="str">
        <f t="shared" si="45"/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 s="9">
        <v>0</v>
      </c>
      <c r="N255" s="9">
        <v>100</v>
      </c>
      <c r="O255" s="9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 t="shared" ref="I256:I267" si="61">E256+G256+H256</f>
        <v>24</v>
      </c>
      <c r="J256" s="3">
        <f t="shared" ref="J256:J267" si="62"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 t="shared" ref="K256:K267" si="63">I256-J256</f>
        <v>4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>
        <f t="shared" si="62"/>
        <v>30</v>
      </c>
      <c r="K257" s="3">
        <f t="shared" si="63"/>
        <v>16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 t="shared" si="61"/>
        <v>29</v>
      </c>
      <c r="J258" s="3">
        <f t="shared" si="62"/>
        <v>30</v>
      </c>
      <c r="K258" s="3">
        <f t="shared" si="63"/>
        <v>-1</v>
      </c>
      <c r="L258" s="3" t="str">
        <f t="shared" ref="L258:L321" si="64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G259" s="3">
        <v>0</v>
      </c>
      <c r="H259" s="3">
        <v>0</v>
      </c>
      <c r="I259" s="3">
        <f t="shared" si="61"/>
        <v>23</v>
      </c>
      <c r="J259" s="3">
        <f t="shared" si="62"/>
        <v>17</v>
      </c>
      <c r="K259" s="3">
        <f t="shared" si="63"/>
        <v>6</v>
      </c>
      <c r="L259" s="3" t="str">
        <f t="shared" si="64"/>
        <v>EXCELENTE</v>
      </c>
      <c r="M259">
        <v>13</v>
      </c>
      <c r="N259">
        <v>98</v>
      </c>
      <c r="O259">
        <v>16.43835616438356</v>
      </c>
    </row>
    <row r="260" spans="1:15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G260" s="3">
        <v>0</v>
      </c>
      <c r="H260" s="3">
        <v>0</v>
      </c>
      <c r="I260" s="3">
        <f t="shared" si="61"/>
        <v>8</v>
      </c>
      <c r="J260" s="3">
        <f t="shared" si="62"/>
        <v>24</v>
      </c>
      <c r="K260" s="3">
        <f t="shared" si="63"/>
        <v>-16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G261" s="3">
        <v>0</v>
      </c>
      <c r="H261" s="3">
        <v>0</v>
      </c>
      <c r="I261" s="3">
        <f t="shared" si="61"/>
        <v>11</v>
      </c>
      <c r="J261" s="3">
        <f t="shared" si="62"/>
        <v>17</v>
      </c>
      <c r="K261" s="3">
        <f t="shared" si="63"/>
        <v>-6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 t="shared" si="61"/>
        <v>20</v>
      </c>
      <c r="J262" s="3">
        <f t="shared" si="62"/>
        <v>17</v>
      </c>
      <c r="K262" s="3">
        <f t="shared" si="63"/>
        <v>3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 t="shared" si="61"/>
        <v>31</v>
      </c>
      <c r="J263" s="3">
        <f t="shared" si="62"/>
        <v>20</v>
      </c>
      <c r="K263" s="3">
        <f t="shared" si="63"/>
        <v>11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 t="shared" si="61"/>
        <v>23</v>
      </c>
      <c r="J264" s="3">
        <f t="shared" si="62"/>
        <v>30</v>
      </c>
      <c r="K264" s="3">
        <f t="shared" si="63"/>
        <v>-7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 t="shared" si="61"/>
        <v>17</v>
      </c>
      <c r="J265" s="3">
        <f t="shared" si="62"/>
        <v>20</v>
      </c>
      <c r="K265" s="3">
        <f t="shared" si="63"/>
        <v>-3</v>
      </c>
      <c r="L265" s="3" t="str">
        <f t="shared" si="64"/>
        <v>ATENÇÃO</v>
      </c>
      <c r="M265">
        <v>15</v>
      </c>
      <c r="N265">
        <v>100</v>
      </c>
      <c r="O265">
        <v>16.97247706422019</v>
      </c>
    </row>
    <row r="266" spans="1:15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G266" s="3">
        <v>0</v>
      </c>
      <c r="H266" s="3">
        <v>0</v>
      </c>
      <c r="I266" s="3">
        <f t="shared" si="61"/>
        <v>21</v>
      </c>
      <c r="J266" s="3">
        <f t="shared" si="62"/>
        <v>30</v>
      </c>
      <c r="K266" s="3">
        <f t="shared" si="63"/>
        <v>-9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 t="shared" si="61"/>
        <v>26</v>
      </c>
      <c r="J267" s="3">
        <f t="shared" si="62"/>
        <v>25</v>
      </c>
      <c r="K267" s="3">
        <f t="shared" si="63"/>
        <v>1</v>
      </c>
      <c r="L267" s="3" t="str">
        <f t="shared" si="64"/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 t="shared" ref="I269:I278" si="65">E269+G269+H269</f>
        <v>31</v>
      </c>
      <c r="J269" s="3">
        <f t="shared" ref="J269:J278" si="66"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 t="shared" ref="K269:K278" si="67">I269-J269</f>
        <v>10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 t="shared" si="65"/>
        <v>28</v>
      </c>
      <c r="J270" s="3">
        <f t="shared" si="66"/>
        <v>32</v>
      </c>
      <c r="K270" s="3">
        <f t="shared" si="67"/>
        <v>-4</v>
      </c>
      <c r="L270" s="3" t="str">
        <f t="shared" si="64"/>
        <v>ATENÇÃO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 t="shared" si="65"/>
        <v>38</v>
      </c>
      <c r="J271" s="3">
        <f t="shared" si="66"/>
        <v>25</v>
      </c>
      <c r="K271" s="3">
        <f t="shared" si="67"/>
        <v>13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G272" s="3">
        <v>0</v>
      </c>
      <c r="H272" s="3">
        <v>0</v>
      </c>
      <c r="I272" s="3">
        <f t="shared" si="65"/>
        <v>26</v>
      </c>
      <c r="J272" s="3">
        <f t="shared" si="66"/>
        <v>25</v>
      </c>
      <c r="K272" s="3">
        <f t="shared" si="67"/>
        <v>1</v>
      </c>
      <c r="L272" s="3" t="str">
        <f t="shared" si="64"/>
        <v>BOM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 t="shared" si="65"/>
        <v>28</v>
      </c>
      <c r="J273" s="3">
        <f t="shared" si="66"/>
        <v>21</v>
      </c>
      <c r="K273" s="3">
        <f t="shared" si="67"/>
        <v>7</v>
      </c>
      <c r="L273" s="3" t="str">
        <f t="shared" si="64"/>
        <v>EXCELENTE</v>
      </c>
      <c r="M273">
        <v>25</v>
      </c>
      <c r="N273">
        <v>96.88</v>
      </c>
      <c r="O273">
        <v>19.526627218934909</v>
      </c>
    </row>
    <row r="274" spans="1:15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G274" s="3">
        <v>0</v>
      </c>
      <c r="H274" s="3">
        <v>0</v>
      </c>
      <c r="I274" s="3">
        <f t="shared" si="65"/>
        <v>39</v>
      </c>
      <c r="J274" s="3">
        <f t="shared" si="66"/>
        <v>32</v>
      </c>
      <c r="K274" s="3">
        <f t="shared" si="67"/>
        <v>7</v>
      </c>
      <c r="L274" s="3" t="str">
        <f t="shared" si="64"/>
        <v>EXCELENTE</v>
      </c>
      <c r="M274">
        <v>33</v>
      </c>
      <c r="N274">
        <v>91.85</v>
      </c>
      <c r="O274">
        <v>20.87155963302752</v>
      </c>
    </row>
    <row r="275" spans="1:15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G275" s="3">
        <v>0</v>
      </c>
      <c r="H275" s="3">
        <v>0</v>
      </c>
      <c r="I275" s="3">
        <f t="shared" si="65"/>
        <v>30</v>
      </c>
      <c r="J275" s="3">
        <f t="shared" si="66"/>
        <v>25</v>
      </c>
      <c r="K275" s="3">
        <f t="shared" si="67"/>
        <v>5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G276" s="3">
        <v>0</v>
      </c>
      <c r="H276" s="3">
        <v>0</v>
      </c>
      <c r="I276" s="3">
        <f t="shared" si="65"/>
        <v>26</v>
      </c>
      <c r="J276" s="3">
        <f t="shared" si="66"/>
        <v>21</v>
      </c>
      <c r="K276" s="3">
        <f t="shared" si="67"/>
        <v>5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 t="shared" si="65"/>
        <v>25</v>
      </c>
      <c r="J277" s="3">
        <f t="shared" si="66"/>
        <v>32</v>
      </c>
      <c r="K277" s="3">
        <f t="shared" si="67"/>
        <v>-7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 t="shared" si="65"/>
        <v>29</v>
      </c>
      <c r="J278" s="3">
        <f t="shared" si="66"/>
        <v>25</v>
      </c>
      <c r="K278" s="3">
        <f t="shared" si="67"/>
        <v>4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 s="9">
        <v>0</v>
      </c>
      <c r="N279" s="9">
        <v>100</v>
      </c>
      <c r="O279" s="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 s="9">
        <v>0</v>
      </c>
      <c r="N280" s="9">
        <v>100</v>
      </c>
      <c r="O280" s="9">
        <v>17.241379310344829</v>
      </c>
    </row>
    <row r="281" spans="1:15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G281" s="3">
        <v>0</v>
      </c>
      <c r="H281" s="3">
        <v>0</v>
      </c>
      <c r="I281" s="3">
        <f t="shared" ref="I281:I286" si="68">E281+G281+H281</f>
        <v>25</v>
      </c>
      <c r="J281" s="3">
        <f t="shared" ref="J281:J286" si="69"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 t="shared" ref="K281:K286" si="70">I281-J281</f>
        <v>16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>
        <f t="shared" si="69"/>
        <v>21</v>
      </c>
      <c r="K282" s="3">
        <f t="shared" si="70"/>
        <v>3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G283" s="3">
        <v>0</v>
      </c>
      <c r="H283" s="3">
        <v>0</v>
      </c>
      <c r="I283" s="3">
        <f t="shared" si="68"/>
        <v>24</v>
      </c>
      <c r="J283" s="3">
        <f t="shared" si="69"/>
        <v>25</v>
      </c>
      <c r="K283" s="3">
        <f t="shared" si="70"/>
        <v>-1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 t="shared" si="68"/>
        <v>51</v>
      </c>
      <c r="J284" s="3">
        <f t="shared" si="69"/>
        <v>32</v>
      </c>
      <c r="K284" s="3">
        <f t="shared" si="70"/>
        <v>19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 t="shared" si="68"/>
        <v>46</v>
      </c>
      <c r="J285" s="3">
        <f t="shared" si="69"/>
        <v>32</v>
      </c>
      <c r="K285" s="3">
        <f t="shared" si="70"/>
        <v>14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 t="shared" si="68"/>
        <v>31</v>
      </c>
      <c r="J286" s="3">
        <f t="shared" si="69"/>
        <v>25</v>
      </c>
      <c r="K286" s="3">
        <f t="shared" si="70"/>
        <v>6</v>
      </c>
      <c r="L286" s="3" t="str">
        <f t="shared" si="64"/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 s="9">
        <v>0</v>
      </c>
      <c r="N287" s="9">
        <v>0</v>
      </c>
      <c r="O287" s="9">
        <v>0</v>
      </c>
    </row>
    <row r="288" spans="1:15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G288" s="3">
        <v>0</v>
      </c>
      <c r="H288" s="3">
        <v>0</v>
      </c>
      <c r="I288" s="3">
        <f t="shared" ref="I288:I293" si="71">E288+G288+H288</f>
        <v>22</v>
      </c>
      <c r="J288" s="3">
        <f t="shared" ref="J288:J293" si="72"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 t="shared" ref="K288:K293" si="73">I288-J288</f>
        <v>4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 t="shared" si="71"/>
        <v>18</v>
      </c>
      <c r="J289" s="3">
        <f t="shared" si="72"/>
        <v>32</v>
      </c>
      <c r="K289" s="3">
        <f t="shared" si="73"/>
        <v>-14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 t="shared" si="71"/>
        <v>13</v>
      </c>
      <c r="J290" s="3">
        <f t="shared" si="72"/>
        <v>18</v>
      </c>
      <c r="K290" s="3">
        <f t="shared" si="73"/>
        <v>-5</v>
      </c>
      <c r="L290" s="3" t="str">
        <f t="shared" si="64"/>
        <v>ATENÇÃO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 t="shared" si="71"/>
        <v>25</v>
      </c>
      <c r="J291" s="3">
        <f t="shared" si="72"/>
        <v>32</v>
      </c>
      <c r="K291" s="3">
        <f t="shared" si="73"/>
        <v>-7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 t="shared" si="71"/>
        <v>28</v>
      </c>
      <c r="J292" s="3">
        <f t="shared" si="72"/>
        <v>25</v>
      </c>
      <c r="K292" s="3">
        <f t="shared" si="73"/>
        <v>3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G293" s="3">
        <v>0</v>
      </c>
      <c r="H293" s="3">
        <v>0</v>
      </c>
      <c r="I293" s="3">
        <f t="shared" si="71"/>
        <v>24</v>
      </c>
      <c r="J293" s="3">
        <f t="shared" si="72"/>
        <v>25</v>
      </c>
      <c r="K293" s="3">
        <f t="shared" si="73"/>
        <v>-1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 s="9">
        <v>0</v>
      </c>
      <c r="N294" s="9">
        <v>100</v>
      </c>
      <c r="O294" s="9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 t="shared" ref="I295:I311" si="74">E295+G295+H295</f>
        <v>24</v>
      </c>
      <c r="J295" s="3">
        <f t="shared" ref="J295:J311" si="75"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 t="shared" ref="K295:K311" si="76">I295-J295</f>
        <v>3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G296" s="3">
        <v>0</v>
      </c>
      <c r="H296" s="3">
        <v>0</v>
      </c>
      <c r="I296" s="3">
        <f t="shared" si="74"/>
        <v>7</v>
      </c>
      <c r="J296" s="3">
        <f t="shared" si="75"/>
        <v>9</v>
      </c>
      <c r="K296" s="3">
        <f t="shared" si="76"/>
        <v>-2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G297" s="3">
        <v>0</v>
      </c>
      <c r="H297" s="3">
        <v>0</v>
      </c>
      <c r="I297" s="3">
        <f t="shared" si="74"/>
        <v>16</v>
      </c>
      <c r="J297" s="3">
        <f t="shared" si="75"/>
        <v>9</v>
      </c>
      <c r="K297" s="3">
        <f t="shared" si="76"/>
        <v>7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G298" s="3">
        <v>0</v>
      </c>
      <c r="H298" s="3">
        <v>0</v>
      </c>
      <c r="I298" s="3">
        <f t="shared" si="74"/>
        <v>27</v>
      </c>
      <c r="J298" s="3">
        <f t="shared" si="75"/>
        <v>9</v>
      </c>
      <c r="K298" s="3">
        <f t="shared" si="76"/>
        <v>18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G299" s="3">
        <v>0</v>
      </c>
      <c r="H299" s="3">
        <v>0</v>
      </c>
      <c r="I299" s="3">
        <f t="shared" si="74"/>
        <v>7</v>
      </c>
      <c r="J299" s="3">
        <f t="shared" si="75"/>
        <v>9</v>
      </c>
      <c r="K299" s="3">
        <f t="shared" si="76"/>
        <v>-2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>
        <f t="shared" si="75"/>
        <v>9</v>
      </c>
      <c r="K300" s="3">
        <f t="shared" si="76"/>
        <v>8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>
        <f t="shared" si="75"/>
        <v>32</v>
      </c>
      <c r="K301" s="3">
        <f t="shared" si="76"/>
        <v>19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 t="shared" si="74"/>
        <v>33</v>
      </c>
      <c r="J302" s="3">
        <f t="shared" si="75"/>
        <v>32</v>
      </c>
      <c r="K302" s="3">
        <f t="shared" si="76"/>
        <v>1</v>
      </c>
      <c r="L302" s="3" t="str">
        <f t="shared" si="64"/>
        <v>BOM</v>
      </c>
      <c r="M302">
        <v>28</v>
      </c>
      <c r="N302">
        <v>97.22</v>
      </c>
      <c r="O302">
        <v>19.095477386934672</v>
      </c>
    </row>
    <row r="303" spans="1:15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G303" s="3">
        <v>0</v>
      </c>
      <c r="H303" s="3">
        <v>0</v>
      </c>
      <c r="I303" s="3">
        <f t="shared" si="74"/>
        <v>23</v>
      </c>
      <c r="J303" s="3">
        <f t="shared" si="75"/>
        <v>18</v>
      </c>
      <c r="K303" s="3">
        <f t="shared" si="76"/>
        <v>5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G304" s="3">
        <v>0</v>
      </c>
      <c r="H304" s="3">
        <v>0</v>
      </c>
      <c r="I304" s="3">
        <f t="shared" si="74"/>
        <v>26</v>
      </c>
      <c r="J304" s="3">
        <f t="shared" si="75"/>
        <v>25</v>
      </c>
      <c r="K304" s="3">
        <f t="shared" si="76"/>
        <v>1</v>
      </c>
      <c r="L304" s="3" t="str">
        <f t="shared" si="64"/>
        <v>BOM</v>
      </c>
      <c r="M304">
        <v>22</v>
      </c>
      <c r="N304">
        <v>100</v>
      </c>
      <c r="O304">
        <v>16.894977168949769</v>
      </c>
    </row>
    <row r="305" spans="1:15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G305" s="3">
        <v>0</v>
      </c>
      <c r="H305" s="3">
        <v>0</v>
      </c>
      <c r="I305" s="3">
        <f t="shared" si="74"/>
        <v>21</v>
      </c>
      <c r="J305" s="3">
        <f t="shared" si="75"/>
        <v>18</v>
      </c>
      <c r="K305" s="3">
        <f t="shared" si="76"/>
        <v>3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G306" s="3">
        <v>0</v>
      </c>
      <c r="H306" s="3">
        <v>0</v>
      </c>
      <c r="I306" s="3">
        <f t="shared" si="74"/>
        <v>12</v>
      </c>
      <c r="J306" s="3">
        <f t="shared" si="75"/>
        <v>18</v>
      </c>
      <c r="K306" s="3">
        <f t="shared" si="76"/>
        <v>-6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 t="shared" si="74"/>
        <v>27</v>
      </c>
      <c r="J307" s="3">
        <f t="shared" si="75"/>
        <v>21</v>
      </c>
      <c r="K307" s="3">
        <f t="shared" si="76"/>
        <v>6</v>
      </c>
      <c r="L307" s="3" t="str">
        <f t="shared" si="64"/>
        <v>EXCELENTE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 t="shared" si="74"/>
        <v>29</v>
      </c>
      <c r="J308" s="3">
        <f t="shared" si="75"/>
        <v>32</v>
      </c>
      <c r="K308" s="3">
        <f t="shared" si="76"/>
        <v>-3</v>
      </c>
      <c r="L308" s="3" t="str">
        <f t="shared" si="64"/>
        <v>ATENÇÃO</v>
      </c>
      <c r="M308">
        <v>22</v>
      </c>
      <c r="N308">
        <v>99.29</v>
      </c>
      <c r="O308">
        <v>22.49443207126949</v>
      </c>
    </row>
    <row r="309" spans="1:15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G309" s="3">
        <v>0</v>
      </c>
      <c r="H309" s="3">
        <v>0</v>
      </c>
      <c r="I309" s="3">
        <f t="shared" si="74"/>
        <v>19</v>
      </c>
      <c r="J309" s="3">
        <f t="shared" si="75"/>
        <v>21</v>
      </c>
      <c r="K309" s="3">
        <f t="shared" si="76"/>
        <v>-2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 t="shared" si="74"/>
        <v>32</v>
      </c>
      <c r="J310" s="3">
        <f t="shared" si="75"/>
        <v>32</v>
      </c>
      <c r="K310" s="3">
        <f t="shared" si="76"/>
        <v>0</v>
      </c>
      <c r="L310" s="3" t="str">
        <f t="shared" si="64"/>
        <v>BOM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 t="shared" si="74"/>
        <v>23</v>
      </c>
      <c r="J311" s="3">
        <f t="shared" si="75"/>
        <v>23</v>
      </c>
      <c r="K311" s="3">
        <f t="shared" si="76"/>
        <v>0</v>
      </c>
      <c r="L311" s="3" t="str">
        <f t="shared" si="64"/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 t="shared" ref="I313:I322" si="77">E313+G313+H313</f>
        <v>28</v>
      </c>
      <c r="J313" s="3">
        <f t="shared" ref="J313:J322" si="78"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 t="shared" ref="K313:K322" si="79">I313-J313</f>
        <v>9</v>
      </c>
      <c r="L313" s="3" t="str">
        <f t="shared" si="64"/>
        <v>EXCELENTE</v>
      </c>
      <c r="M313" s="3">
        <v>26</v>
      </c>
      <c r="N313" s="3">
        <v>95.38</v>
      </c>
      <c r="O313" s="3">
        <v>21.5962441314554</v>
      </c>
    </row>
    <row r="314" spans="1:15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G314" s="3">
        <v>0</v>
      </c>
      <c r="H314" s="3">
        <v>0</v>
      </c>
      <c r="I314" s="3">
        <f t="shared" si="77"/>
        <v>23</v>
      </c>
      <c r="J314" s="3">
        <f t="shared" si="78"/>
        <v>29</v>
      </c>
      <c r="K314" s="3">
        <f t="shared" si="79"/>
        <v>-6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 t="shared" si="77"/>
        <v>30</v>
      </c>
      <c r="J315" s="3">
        <f t="shared" si="78"/>
        <v>23</v>
      </c>
      <c r="K315" s="3">
        <f t="shared" si="79"/>
        <v>7</v>
      </c>
      <c r="L315" s="3" t="str">
        <f t="shared" si="64"/>
        <v>EXCELENTE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 t="shared" si="77"/>
        <v>21</v>
      </c>
      <c r="J316" s="3">
        <f t="shared" si="78"/>
        <v>23</v>
      </c>
      <c r="K316" s="3">
        <f t="shared" si="79"/>
        <v>-2</v>
      </c>
      <c r="L316" s="3" t="str">
        <f t="shared" si="64"/>
        <v>ATENÇÃO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 t="shared" si="77"/>
        <v>35</v>
      </c>
      <c r="J317" s="3">
        <f t="shared" si="78"/>
        <v>19</v>
      </c>
      <c r="K317" s="3">
        <f t="shared" si="79"/>
        <v>16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G318" s="3">
        <v>0</v>
      </c>
      <c r="H318" s="3">
        <v>0</v>
      </c>
      <c r="I318" s="3">
        <f t="shared" si="77"/>
        <v>30</v>
      </c>
      <c r="J318" s="3">
        <f t="shared" si="78"/>
        <v>29</v>
      </c>
      <c r="K318" s="3">
        <f t="shared" si="79"/>
        <v>1</v>
      </c>
      <c r="L318" s="3" t="str">
        <f t="shared" si="64"/>
        <v>BOM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 t="shared" si="77"/>
        <v>13</v>
      </c>
      <c r="J319" s="3">
        <f t="shared" si="78"/>
        <v>23</v>
      </c>
      <c r="K319" s="3">
        <f t="shared" si="79"/>
        <v>-10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 t="shared" si="77"/>
        <v>21</v>
      </c>
      <c r="J320" s="3">
        <f t="shared" si="78"/>
        <v>19</v>
      </c>
      <c r="K320" s="3">
        <f t="shared" si="79"/>
        <v>2</v>
      </c>
      <c r="L320" s="3" t="str">
        <f t="shared" si="64"/>
        <v>BOM</v>
      </c>
      <c r="M320">
        <v>19</v>
      </c>
      <c r="N320">
        <v>100</v>
      </c>
      <c r="O320">
        <v>18.14516129032258</v>
      </c>
    </row>
    <row r="321" spans="1:15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G321" s="3">
        <v>0</v>
      </c>
      <c r="H321" s="3">
        <v>0</v>
      </c>
      <c r="I321" s="3">
        <f t="shared" si="77"/>
        <v>23</v>
      </c>
      <c r="J321" s="3">
        <f t="shared" si="78"/>
        <v>29</v>
      </c>
      <c r="K321" s="3">
        <f t="shared" si="79"/>
        <v>-6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 t="shared" si="77"/>
        <v>27</v>
      </c>
      <c r="J322" s="3">
        <f t="shared" si="78"/>
        <v>23</v>
      </c>
      <c r="K322" s="3">
        <f t="shared" si="79"/>
        <v>4</v>
      </c>
      <c r="L322" s="3" t="str">
        <f t="shared" ref="L322:L385" si="80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 s="9">
        <v>0</v>
      </c>
      <c r="N323" s="9">
        <v>100</v>
      </c>
      <c r="O323" s="9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 s="9">
        <v>0</v>
      </c>
      <c r="N324" s="9">
        <v>100</v>
      </c>
      <c r="O324" s="9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19</v>
      </c>
      <c r="K325" s="3">
        <f>I325-J325</f>
        <v>15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 t="shared" si="80"/>
        <v>ATENÇÃO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 t="shared" si="80"/>
        <v>BOM</v>
      </c>
      <c r="M328">
        <v>31</v>
      </c>
      <c r="N328">
        <v>95.4</v>
      </c>
      <c r="O328">
        <v>20.533333333333331</v>
      </c>
    </row>
    <row r="329" spans="1:15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G329" s="3">
        <v>0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 t="shared" si="80"/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 s="9">
        <v>0</v>
      </c>
      <c r="N330" s="9">
        <v>0</v>
      </c>
      <c r="O330" s="9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G332" s="3">
        <v>0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 t="shared" si="80"/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 s="9">
        <v>0</v>
      </c>
      <c r="N333" s="9">
        <v>100</v>
      </c>
      <c r="O333" s="9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 t="shared" si="80"/>
        <v>ATENÇÃO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 t="shared" si="80"/>
        <v>BOM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 t="shared" si="80"/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 s="9">
        <v>0</v>
      </c>
      <c r="N337" s="9">
        <v>100</v>
      </c>
      <c r="O337" s="9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 t="shared" ref="I338:I355" si="81">E338+G338+H338</f>
        <v>23</v>
      </c>
      <c r="J338" s="3">
        <f t="shared" ref="J338:J355" si="82"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 t="shared" ref="K338:K355" si="83">I338-J338</f>
        <v>4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>
        <f t="shared" si="82"/>
        <v>8</v>
      </c>
      <c r="K339" s="3">
        <f t="shared" si="83"/>
        <v>15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G340" s="3">
        <v>0</v>
      </c>
      <c r="H340" s="3">
        <v>0</v>
      </c>
      <c r="I340" s="3">
        <f t="shared" si="81"/>
        <v>5</v>
      </c>
      <c r="J340" s="3">
        <f t="shared" si="82"/>
        <v>8</v>
      </c>
      <c r="K340" s="3">
        <f t="shared" si="83"/>
        <v>-3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G341" s="3">
        <v>0</v>
      </c>
      <c r="H341" s="3">
        <v>0</v>
      </c>
      <c r="I341" s="3">
        <f t="shared" si="81"/>
        <v>19</v>
      </c>
      <c r="J341" s="3">
        <f t="shared" si="82"/>
        <v>8</v>
      </c>
      <c r="K341" s="3">
        <f t="shared" si="83"/>
        <v>11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>
        <f t="shared" si="82"/>
        <v>8</v>
      </c>
      <c r="K342" s="3">
        <f t="shared" si="83"/>
        <v>15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G343" s="3">
        <v>0</v>
      </c>
      <c r="H343" s="3">
        <v>0</v>
      </c>
      <c r="I343" s="3">
        <f t="shared" si="81"/>
        <v>6</v>
      </c>
      <c r="J343" s="3">
        <f t="shared" si="82"/>
        <v>8</v>
      </c>
      <c r="K343" s="3">
        <f t="shared" si="83"/>
        <v>-2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G344" s="3">
        <v>0</v>
      </c>
      <c r="H344" s="3">
        <v>0</v>
      </c>
      <c r="I344" s="3">
        <f t="shared" si="81"/>
        <v>18</v>
      </c>
      <c r="J344" s="3">
        <f t="shared" si="82"/>
        <v>8</v>
      </c>
      <c r="K344" s="3">
        <f t="shared" si="83"/>
        <v>10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>
        <f t="shared" si="82"/>
        <v>29</v>
      </c>
      <c r="K345" s="3">
        <f t="shared" si="83"/>
        <v>12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 t="shared" si="81"/>
        <v>34</v>
      </c>
      <c r="J346" s="3">
        <f t="shared" si="82"/>
        <v>29</v>
      </c>
      <c r="K346" s="3">
        <f t="shared" si="83"/>
        <v>5</v>
      </c>
      <c r="L346" s="3" t="str">
        <f t="shared" si="80"/>
        <v>BOM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 t="shared" si="81"/>
        <v>25</v>
      </c>
      <c r="J347" s="3">
        <f t="shared" si="82"/>
        <v>16</v>
      </c>
      <c r="K347" s="3">
        <f t="shared" si="83"/>
        <v>9</v>
      </c>
      <c r="L347" s="3" t="str">
        <f t="shared" si="80"/>
        <v>EXCELENTE</v>
      </c>
      <c r="M347">
        <v>18</v>
      </c>
      <c r="N347">
        <v>98</v>
      </c>
      <c r="O347">
        <v>16.43835616438356</v>
      </c>
    </row>
    <row r="348" spans="1:15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G348" s="3">
        <v>0</v>
      </c>
      <c r="H348" s="3">
        <v>0</v>
      </c>
      <c r="I348" s="3">
        <f t="shared" si="81"/>
        <v>22</v>
      </c>
      <c r="J348" s="3">
        <f t="shared" si="82"/>
        <v>23</v>
      </c>
      <c r="K348" s="3">
        <f t="shared" si="83"/>
        <v>-1</v>
      </c>
      <c r="L348" s="3" t="str">
        <f t="shared" si="80"/>
        <v>ATENÇÃO</v>
      </c>
      <c r="M348">
        <v>18</v>
      </c>
      <c r="N348">
        <v>100</v>
      </c>
      <c r="O348">
        <v>16.894977168949769</v>
      </c>
    </row>
    <row r="349" spans="1:15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G349" s="3">
        <v>0</v>
      </c>
      <c r="H349" s="3">
        <v>0</v>
      </c>
      <c r="I349" s="3">
        <f t="shared" si="81"/>
        <v>11</v>
      </c>
      <c r="J349" s="3">
        <f t="shared" si="82"/>
        <v>16</v>
      </c>
      <c r="K349" s="3">
        <f t="shared" si="83"/>
        <v>-5</v>
      </c>
      <c r="L349" s="3" t="str">
        <f t="shared" si="80"/>
        <v>ATENÇÃO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 t="shared" si="81"/>
        <v>18</v>
      </c>
      <c r="J350" s="3">
        <f t="shared" si="82"/>
        <v>16</v>
      </c>
      <c r="K350" s="3">
        <f t="shared" si="83"/>
        <v>2</v>
      </c>
      <c r="L350" s="3" t="str">
        <f t="shared" si="80"/>
        <v>BOM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 t="shared" si="81"/>
        <v>38</v>
      </c>
      <c r="J351" s="3">
        <f t="shared" si="82"/>
        <v>19</v>
      </c>
      <c r="K351" s="3">
        <f t="shared" si="83"/>
        <v>19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 t="shared" si="81"/>
        <v>37</v>
      </c>
      <c r="J352" s="3">
        <f t="shared" si="82"/>
        <v>29</v>
      </c>
      <c r="K352" s="3">
        <f t="shared" si="83"/>
        <v>8</v>
      </c>
      <c r="L352" s="3" t="str">
        <f t="shared" si="80"/>
        <v>EXCELENTE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 t="shared" si="81"/>
        <v>15</v>
      </c>
      <c r="J353" s="3">
        <f t="shared" si="82"/>
        <v>19</v>
      </c>
      <c r="K353" s="3">
        <f t="shared" si="83"/>
        <v>-4</v>
      </c>
      <c r="L353" s="3" t="str">
        <f t="shared" si="80"/>
        <v>ATENÇÃO</v>
      </c>
      <c r="M353">
        <v>16</v>
      </c>
      <c r="N353">
        <v>100</v>
      </c>
      <c r="O353">
        <v>16.97247706422019</v>
      </c>
    </row>
    <row r="354" spans="1:15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G354" s="3">
        <v>0</v>
      </c>
      <c r="H354" s="3">
        <v>0</v>
      </c>
      <c r="I354" s="3">
        <f t="shared" si="81"/>
        <v>23</v>
      </c>
      <c r="J354" s="3">
        <f t="shared" si="82"/>
        <v>29</v>
      </c>
      <c r="K354" s="3">
        <f t="shared" si="83"/>
        <v>-6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>
        <f t="shared" si="82"/>
        <v>23</v>
      </c>
      <c r="K355" s="3">
        <f t="shared" si="83"/>
        <v>11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>
        <f t="shared" ref="J357:J366" si="85"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 t="shared" ref="K357:K366" si="86">I357-J357</f>
        <v>7</v>
      </c>
      <c r="L357" s="3" t="str">
        <f t="shared" si="80"/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>
        <f t="shared" si="85"/>
        <v>28</v>
      </c>
      <c r="K358" s="3">
        <f t="shared" si="86"/>
        <v>2</v>
      </c>
      <c r="L358" s="3" t="str">
        <f t="shared" si="80"/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>
        <f t="shared" si="85"/>
        <v>23</v>
      </c>
      <c r="K359" s="3">
        <f t="shared" si="86"/>
        <v>10</v>
      </c>
      <c r="L359" s="3" t="str">
        <f t="shared" si="80"/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>
        <f t="shared" si="85"/>
        <v>23</v>
      </c>
      <c r="K360" s="3">
        <f t="shared" si="86"/>
        <v>4</v>
      </c>
      <c r="L360" s="3" t="str">
        <f t="shared" si="80"/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>
        <f t="shared" si="85"/>
        <v>19</v>
      </c>
      <c r="K361" s="3">
        <f t="shared" si="86"/>
        <v>17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>
        <f t="shared" si="85"/>
        <v>28</v>
      </c>
      <c r="K362" s="3">
        <f t="shared" si="86"/>
        <v>-10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>
        <f t="shared" si="85"/>
        <v>23</v>
      </c>
      <c r="K363" s="3">
        <f t="shared" si="86"/>
        <v>-5</v>
      </c>
      <c r="L363" s="3" t="str">
        <f t="shared" si="80"/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>
        <f t="shared" si="85"/>
        <v>19</v>
      </c>
      <c r="K364" s="3">
        <f t="shared" si="86"/>
        <v>10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>
        <f t="shared" si="85"/>
        <v>28</v>
      </c>
      <c r="K365" s="3">
        <f t="shared" si="86"/>
        <v>-2</v>
      </c>
      <c r="L365" s="3" t="str">
        <f t="shared" si="80"/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>
        <f t="shared" si="85"/>
        <v>23</v>
      </c>
      <c r="K366" s="3">
        <f t="shared" si="86"/>
        <v>-10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 s="9">
        <v>0</v>
      </c>
      <c r="N367" s="9">
        <v>100</v>
      </c>
      <c r="O367" s="9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 s="9">
        <v>0</v>
      </c>
      <c r="N368" s="9">
        <v>100</v>
      </c>
      <c r="O368" s="9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19</v>
      </c>
      <c r="K369" s="3">
        <f>I369-J369</f>
        <v>4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 t="shared" si="80"/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 s="9">
        <v>0</v>
      </c>
      <c r="N374" s="9">
        <v>0</v>
      </c>
      <c r="O374" s="9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>
        <f t="shared" ref="J375:J380" si="88"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 t="shared" ref="K375:K380" si="89">I375-J375</f>
        <v>7</v>
      </c>
      <c r="L375" s="3" t="str">
        <f t="shared" si="80"/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>
        <f t="shared" si="88"/>
        <v>28</v>
      </c>
      <c r="K376" s="3">
        <f t="shared" si="89"/>
        <v>1</v>
      </c>
      <c r="L376" s="3" t="str">
        <f t="shared" si="80"/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>
        <f t="shared" si="88"/>
        <v>16</v>
      </c>
      <c r="K377" s="3">
        <f t="shared" si="89"/>
        <v>-1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>
        <f t="shared" si="88"/>
        <v>28</v>
      </c>
      <c r="K378" s="3">
        <f t="shared" si="89"/>
        <v>-1</v>
      </c>
      <c r="L378" s="3" t="str">
        <f t="shared" si="80"/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>
        <f t="shared" si="88"/>
        <v>23</v>
      </c>
      <c r="K379" s="3">
        <f t="shared" si="89"/>
        <v>1</v>
      </c>
      <c r="L379" s="3" t="str">
        <f t="shared" si="80"/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>
        <f t="shared" si="88"/>
        <v>23</v>
      </c>
      <c r="K380" s="3">
        <f t="shared" si="89"/>
        <v>-5</v>
      </c>
      <c r="L380" s="3" t="str">
        <f t="shared" si="80"/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 s="9">
        <v>0</v>
      </c>
      <c r="N381" s="9">
        <v>100</v>
      </c>
      <c r="O381" s="9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>
        <f t="shared" ref="J382:J399" si="91"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 t="shared" ref="K382:K399" si="92">I382-J382</f>
        <v>-4</v>
      </c>
      <c r="L382" s="3" t="str">
        <f t="shared" si="80"/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>
        <f t="shared" si="91"/>
        <v>8</v>
      </c>
      <c r="K383" s="3">
        <f t="shared" si="92"/>
        <v>21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>
        <f t="shared" si="91"/>
        <v>28</v>
      </c>
      <c r="K384" s="3">
        <f t="shared" si="92"/>
        <v>24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>
        <f t="shared" si="91"/>
        <v>28</v>
      </c>
      <c r="K385" s="3">
        <f t="shared" si="92"/>
        <v>7</v>
      </c>
      <c r="L385" s="3" t="str">
        <f t="shared" si="80"/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>
        <f t="shared" si="91"/>
        <v>8</v>
      </c>
      <c r="K386" s="3">
        <f t="shared" si="92"/>
        <v>1</v>
      </c>
      <c r="L386" s="3" t="str">
        <f t="shared" ref="L386:L449" si="93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>
        <f t="shared" si="91"/>
        <v>8</v>
      </c>
      <c r="K387" s="3">
        <f t="shared" si="92"/>
        <v>7</v>
      </c>
      <c r="L387" s="3" t="str">
        <f t="shared" si="93"/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>
        <f t="shared" si="91"/>
        <v>8</v>
      </c>
      <c r="K388" s="3">
        <f t="shared" si="92"/>
        <v>35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>
        <f t="shared" si="91"/>
        <v>8</v>
      </c>
      <c r="K389" s="3">
        <f t="shared" si="92"/>
        <v>-4</v>
      </c>
      <c r="L389" s="3" t="str">
        <f t="shared" si="93"/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>
        <f t="shared" si="91"/>
        <v>8</v>
      </c>
      <c r="K390" s="3">
        <f t="shared" si="92"/>
        <v>10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>
        <f t="shared" si="91"/>
        <v>16</v>
      </c>
      <c r="K391" s="3">
        <f t="shared" si="92"/>
        <v>7</v>
      </c>
      <c r="L391" s="3" t="str">
        <f t="shared" si="93"/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>
        <f t="shared" si="91"/>
        <v>23</v>
      </c>
      <c r="K392" s="3">
        <f t="shared" si="92"/>
        <v>3</v>
      </c>
      <c r="L392" s="3" t="str">
        <f t="shared" si="93"/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>
        <f t="shared" si="91"/>
        <v>16</v>
      </c>
      <c r="K393" s="3">
        <f t="shared" si="92"/>
        <v>-1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>
        <f t="shared" si="91"/>
        <v>16</v>
      </c>
      <c r="K394" s="3">
        <f t="shared" si="92"/>
        <v>-10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>
        <f t="shared" si="91"/>
        <v>19</v>
      </c>
      <c r="K395" s="3">
        <f t="shared" si="92"/>
        <v>7</v>
      </c>
      <c r="L395" s="3" t="str">
        <f t="shared" si="93"/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>
        <f t="shared" si="91"/>
        <v>28</v>
      </c>
      <c r="K396" s="3">
        <f t="shared" si="92"/>
        <v>9</v>
      </c>
      <c r="L396" s="3" t="str">
        <f t="shared" si="93"/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>
        <f t="shared" si="91"/>
        <v>19</v>
      </c>
      <c r="K397" s="3">
        <f t="shared" si="92"/>
        <v>0</v>
      </c>
      <c r="L397" s="3" t="str">
        <f t="shared" si="93"/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>
        <f t="shared" si="91"/>
        <v>28</v>
      </c>
      <c r="K398" s="3">
        <f t="shared" si="92"/>
        <v>-1</v>
      </c>
      <c r="L398" s="3" t="str">
        <f t="shared" si="93"/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>
        <f t="shared" si="91"/>
        <v>23</v>
      </c>
      <c r="K399" s="3">
        <f t="shared" si="92"/>
        <v>-3</v>
      </c>
      <c r="L399" s="3" t="str">
        <f t="shared" si="93"/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>
        <f t="shared" ref="J401:J410" si="95"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 t="shared" ref="K401:K410" si="96">I401-J401</f>
        <v>24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>
        <f t="shared" si="95"/>
        <v>29</v>
      </c>
      <c r="K402" s="3">
        <f t="shared" si="96"/>
        <v>2</v>
      </c>
      <c r="L402" s="3" t="str">
        <f t="shared" si="93"/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>
        <f t="shared" si="95"/>
        <v>23</v>
      </c>
      <c r="K403" s="3">
        <f t="shared" si="96"/>
        <v>-2</v>
      </c>
      <c r="L403" s="3" t="str">
        <f t="shared" si="93"/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>
        <f t="shared" si="95"/>
        <v>23</v>
      </c>
      <c r="K404" s="3">
        <f t="shared" si="96"/>
        <v>6</v>
      </c>
      <c r="L404" s="3" t="str">
        <f t="shared" si="93"/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>
        <f t="shared" si="95"/>
        <v>19</v>
      </c>
      <c r="K405" s="3">
        <f t="shared" si="96"/>
        <v>4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>
        <f t="shared" si="95"/>
        <v>29</v>
      </c>
      <c r="K406" s="3">
        <f t="shared" si="96"/>
        <v>2</v>
      </c>
      <c r="L406" s="3" t="str">
        <f t="shared" si="93"/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>
        <f t="shared" si="95"/>
        <v>23</v>
      </c>
      <c r="K407" s="3">
        <f t="shared" si="96"/>
        <v>11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>
        <f t="shared" si="95"/>
        <v>19</v>
      </c>
      <c r="K408" s="3">
        <f t="shared" si="96"/>
        <v>2</v>
      </c>
      <c r="L408" s="3" t="str">
        <f t="shared" si="93"/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>
        <f t="shared" si="95"/>
        <v>29</v>
      </c>
      <c r="K409" s="3">
        <f t="shared" si="96"/>
        <v>-6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>
        <f t="shared" si="95"/>
        <v>23</v>
      </c>
      <c r="K410" s="3">
        <f t="shared" si="96"/>
        <v>4</v>
      </c>
      <c r="L410" s="3" t="str">
        <f t="shared" si="93"/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 s="9">
        <v>0</v>
      </c>
      <c r="N411" s="9">
        <v>100</v>
      </c>
      <c r="O411" s="9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19</v>
      </c>
      <c r="K412" s="3">
        <f>I412-J412</f>
        <v>4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 t="shared" si="93"/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 t="shared" si="93"/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 s="9">
        <v>0</v>
      </c>
      <c r="N417" s="9">
        <v>0</v>
      </c>
      <c r="O417" s="9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 t="shared" si="93"/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 t="shared" si="93"/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 t="shared" si="93"/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 s="9">
        <v>0</v>
      </c>
      <c r="N423" s="9">
        <v>100</v>
      </c>
      <c r="O423" s="9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>
        <f t="shared" ref="J424:J442" si="98"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 t="shared" ref="K424:K442" si="99">I424-J424</f>
        <v>4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>
        <f t="shared" si="98"/>
        <v>29</v>
      </c>
      <c r="K425" s="3">
        <f t="shared" si="99"/>
        <v>2</v>
      </c>
      <c r="L425" s="3" t="str">
        <f t="shared" si="93"/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>
        <f t="shared" si="98"/>
        <v>29</v>
      </c>
      <c r="K426" s="3">
        <f t="shared" si="99"/>
        <v>-3</v>
      </c>
      <c r="L426" s="3" t="str">
        <f t="shared" si="93"/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>
        <f t="shared" si="98"/>
        <v>8</v>
      </c>
      <c r="K427" s="3">
        <f t="shared" si="99"/>
        <v>32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>
        <f t="shared" si="98"/>
        <v>8</v>
      </c>
      <c r="K428" s="3">
        <f t="shared" si="99"/>
        <v>2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>
        <f t="shared" si="98"/>
        <v>8</v>
      </c>
      <c r="K429" s="3">
        <f t="shared" si="99"/>
        <v>16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>
        <f t="shared" si="98"/>
        <v>8</v>
      </c>
      <c r="K430" s="3">
        <f t="shared" si="99"/>
        <v>-4</v>
      </c>
      <c r="L430" s="3" t="str">
        <f t="shared" si="93"/>
        <v>ATENÇÃO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>
        <f t="shared" si="98"/>
        <v>8</v>
      </c>
      <c r="K431" s="3">
        <f t="shared" si="99"/>
        <v>24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>
        <f t="shared" si="98"/>
        <v>8</v>
      </c>
      <c r="K432" s="3">
        <f t="shared" si="99"/>
        <v>0</v>
      </c>
      <c r="L432" s="3" t="str">
        <f t="shared" si="93"/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>
        <f t="shared" si="98"/>
        <v>8</v>
      </c>
      <c r="K433" s="3">
        <f t="shared" si="99"/>
        <v>7</v>
      </c>
      <c r="L433" s="3" t="str">
        <f t="shared" si="93"/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>
        <f t="shared" si="98"/>
        <v>17</v>
      </c>
      <c r="K434" s="3">
        <f t="shared" si="99"/>
        <v>6</v>
      </c>
      <c r="L434" s="3" t="str">
        <f t="shared" si="93"/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>
        <f t="shared" si="98"/>
        <v>23</v>
      </c>
      <c r="K435" s="3">
        <f t="shared" si="99"/>
        <v>-10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>
        <f t="shared" si="98"/>
        <v>17</v>
      </c>
      <c r="K436" s="3">
        <f t="shared" si="99"/>
        <v>-4</v>
      </c>
      <c r="L436" s="3" t="str">
        <f t="shared" si="93"/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>
        <f t="shared" si="98"/>
        <v>17</v>
      </c>
      <c r="K437" s="3">
        <f t="shared" si="99"/>
        <v>-3</v>
      </c>
      <c r="L437" s="3" t="str">
        <f t="shared" si="93"/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>
        <f t="shared" si="98"/>
        <v>19</v>
      </c>
      <c r="K438" s="3">
        <f t="shared" si="99"/>
        <v>11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>
        <f t="shared" si="98"/>
        <v>29</v>
      </c>
      <c r="K439" s="3">
        <f t="shared" si="99"/>
        <v>2</v>
      </c>
      <c r="L439" s="3" t="str">
        <f t="shared" si="93"/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>
        <f t="shared" si="98"/>
        <v>19</v>
      </c>
      <c r="K440" s="3">
        <f t="shared" si="99"/>
        <v>1</v>
      </c>
      <c r="L440" s="3" t="str">
        <f t="shared" si="93"/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>
        <f t="shared" si="98"/>
        <v>29</v>
      </c>
      <c r="K441" s="3">
        <f t="shared" si="99"/>
        <v>-8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>
        <f t="shared" si="98"/>
        <v>22</v>
      </c>
      <c r="K442" s="3">
        <f t="shared" si="99"/>
        <v>9</v>
      </c>
      <c r="L442" s="3" t="str">
        <f t="shared" si="93"/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 t="shared" si="93"/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 s="9">
        <v>0</v>
      </c>
      <c r="N445" s="9">
        <v>96.34</v>
      </c>
      <c r="O445" s="9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 t="shared" si="93"/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 t="shared" si="93"/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100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 s="9">
        <v>0</v>
      </c>
      <c r="N451" s="9">
        <v>98.63</v>
      </c>
      <c r="O451" s="9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 t="shared" si="100"/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 s="9">
        <v>0</v>
      </c>
      <c r="N453" s="9">
        <v>99.06</v>
      </c>
      <c r="O453" s="9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 t="shared" si="100"/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 s="9">
        <v>0</v>
      </c>
      <c r="N455" s="9">
        <v>100</v>
      </c>
      <c r="O455" s="9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18</v>
      </c>
      <c r="K456" s="3">
        <f>I456-J456</f>
        <v>7</v>
      </c>
      <c r="L456" s="3" t="str">
        <f t="shared" si="100"/>
        <v>EXCELENTE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 t="shared" si="100"/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 t="shared" si="100"/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 t="shared" si="100"/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 t="shared" si="100"/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 s="9">
        <v>0</v>
      </c>
      <c r="N461" s="9">
        <v>0</v>
      </c>
      <c r="O461" s="9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>
        <f t="shared" ref="J462:J467" si="102"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 t="shared" ref="K462:K467" si="103">I462-J462</f>
        <v>4</v>
      </c>
      <c r="L462" s="3" t="str">
        <f t="shared" si="100"/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>
        <f t="shared" si="102"/>
        <v>27</v>
      </c>
      <c r="K463" s="3">
        <f t="shared" si="103"/>
        <v>-3</v>
      </c>
      <c r="L463" s="3" t="str">
        <f t="shared" si="100"/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>
        <f t="shared" si="102"/>
        <v>15</v>
      </c>
      <c r="K464" s="3">
        <f t="shared" si="103"/>
        <v>2</v>
      </c>
      <c r="L464" s="3" t="str">
        <f t="shared" si="100"/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>
        <f t="shared" si="102"/>
        <v>27</v>
      </c>
      <c r="K465" s="3">
        <f t="shared" si="103"/>
        <v>-2</v>
      </c>
      <c r="L465" s="3" t="str">
        <f t="shared" si="100"/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>
        <f t="shared" si="102"/>
        <v>22</v>
      </c>
      <c r="K466" s="3">
        <f t="shared" si="103"/>
        <v>3</v>
      </c>
      <c r="L466" s="3" t="str">
        <f t="shared" si="100"/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>
        <f t="shared" si="102"/>
        <v>22</v>
      </c>
      <c r="K467" s="3">
        <f t="shared" si="103"/>
        <v>4</v>
      </c>
      <c r="L467" s="3" t="str">
        <f t="shared" si="100"/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 s="9">
        <v>0</v>
      </c>
      <c r="N468" s="9">
        <v>100</v>
      </c>
      <c r="O468" s="9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>
        <f t="shared" ref="J469:J486" si="105"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 t="shared" ref="K469:K486" si="106">I469-J469</f>
        <v>4</v>
      </c>
      <c r="L469" s="3" t="str">
        <f t="shared" si="100"/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>
        <f t="shared" si="105"/>
        <v>27</v>
      </c>
      <c r="K470" s="3">
        <f t="shared" si="106"/>
        <v>5</v>
      </c>
      <c r="L470" s="3" t="str">
        <f t="shared" si="100"/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>
        <f t="shared" si="105"/>
        <v>27</v>
      </c>
      <c r="K471" s="3">
        <f t="shared" si="106"/>
        <v>2</v>
      </c>
      <c r="L471" s="3" t="str">
        <f t="shared" si="100"/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>
        <f t="shared" si="105"/>
        <v>15</v>
      </c>
      <c r="K472" s="3">
        <f t="shared" si="106"/>
        <v>-5</v>
      </c>
      <c r="L472" s="3" t="str">
        <f t="shared" si="100"/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>
        <f t="shared" si="105"/>
        <v>22</v>
      </c>
      <c r="K473" s="3">
        <f t="shared" si="106"/>
        <v>-7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>
        <f t="shared" si="105"/>
        <v>15</v>
      </c>
      <c r="K474" s="3">
        <f t="shared" si="106"/>
        <v>-5</v>
      </c>
      <c r="L474" s="3" t="str">
        <f t="shared" si="100"/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>
        <f t="shared" si="105"/>
        <v>15</v>
      </c>
      <c r="K475" s="3">
        <f t="shared" si="106"/>
        <v>0</v>
      </c>
      <c r="L475" s="3" t="str">
        <f t="shared" si="100"/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>
        <f t="shared" si="105"/>
        <v>8</v>
      </c>
      <c r="K476" s="3">
        <f t="shared" si="106"/>
        <v>-2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>
        <f t="shared" si="105"/>
        <v>8</v>
      </c>
      <c r="K477" s="3">
        <f t="shared" si="106"/>
        <v>5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>
        <f t="shared" si="105"/>
        <v>8</v>
      </c>
      <c r="K478" s="3">
        <f t="shared" si="106"/>
        <v>-6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>
        <f t="shared" si="105"/>
        <v>8</v>
      </c>
      <c r="K479" s="3">
        <f t="shared" si="106"/>
        <v>37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>
        <f t="shared" si="105"/>
        <v>8</v>
      </c>
      <c r="K480" s="3">
        <f t="shared" si="106"/>
        <v>-1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>
        <f t="shared" si="105"/>
        <v>8</v>
      </c>
      <c r="K481" s="3">
        <f t="shared" si="106"/>
        <v>5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>
        <f t="shared" si="105"/>
        <v>18</v>
      </c>
      <c r="K482" s="3">
        <f t="shared" si="106"/>
        <v>8</v>
      </c>
      <c r="L482" s="3" t="str">
        <f t="shared" si="100"/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>
        <f t="shared" si="105"/>
        <v>27</v>
      </c>
      <c r="K483" s="3">
        <f t="shared" si="106"/>
        <v>4</v>
      </c>
      <c r="L483" s="3" t="str">
        <f t="shared" si="100"/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>
        <f t="shared" si="105"/>
        <v>18</v>
      </c>
      <c r="K484" s="3">
        <f t="shared" si="106"/>
        <v>4</v>
      </c>
      <c r="L484" s="3" t="str">
        <f t="shared" si="100"/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>
        <f t="shared" si="105"/>
        <v>27</v>
      </c>
      <c r="K485" s="3">
        <f t="shared" si="106"/>
        <v>-1</v>
      </c>
      <c r="L485" s="3" t="str">
        <f t="shared" si="100"/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>
        <f t="shared" si="105"/>
        <v>23</v>
      </c>
      <c r="K486" s="3">
        <f t="shared" si="106"/>
        <v>11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>
        <f t="shared" ref="J488:J495" si="108"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 t="shared" ref="K488:K495" si="109">I488-J488</f>
        <v>11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>
        <f t="shared" si="108"/>
        <v>29</v>
      </c>
      <c r="K489" s="3">
        <f t="shared" si="109"/>
        <v>-9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>
        <f t="shared" si="108"/>
        <v>17</v>
      </c>
      <c r="K490" s="3">
        <f t="shared" si="109"/>
        <v>12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>
        <f t="shared" si="108"/>
        <v>23</v>
      </c>
      <c r="K491" s="3">
        <f t="shared" si="109"/>
        <v>11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>
        <f t="shared" si="108"/>
        <v>23</v>
      </c>
      <c r="K492" s="3">
        <f t="shared" si="109"/>
        <v>11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>
        <f t="shared" si="108"/>
        <v>8</v>
      </c>
      <c r="K493" s="3">
        <f t="shared" si="109"/>
        <v>1</v>
      </c>
      <c r="L493" s="3" t="str">
        <f t="shared" si="100"/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>
        <f t="shared" si="108"/>
        <v>19</v>
      </c>
      <c r="K494" s="3">
        <f t="shared" si="109"/>
        <v>7</v>
      </c>
      <c r="L494" s="3" t="str">
        <f t="shared" si="100"/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>
        <f t="shared" si="108"/>
        <v>29</v>
      </c>
      <c r="K495" s="3">
        <f t="shared" si="109"/>
        <v>1</v>
      </c>
      <c r="L495" s="3" t="str">
        <f t="shared" si="100"/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 s="9">
        <v>0</v>
      </c>
      <c r="N496" s="9">
        <v>98.63</v>
      </c>
      <c r="O496" s="9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 t="shared" si="100"/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 s="9">
        <v>0</v>
      </c>
      <c r="N498" s="9">
        <v>99.06</v>
      </c>
      <c r="O498" s="9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 t="shared" si="100"/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 s="9">
        <v>0</v>
      </c>
      <c r="N502" s="9">
        <v>100</v>
      </c>
      <c r="O502" s="9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>
        <f t="shared" ref="J503:J508" si="111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8</v>
      </c>
      <c r="K503" s="3">
        <f t="shared" ref="K503:K508" si="112">I503-J503</f>
        <v>-4</v>
      </c>
      <c r="L503" s="3" t="str">
        <f t="shared" si="100"/>
        <v>ATENÇÃO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>
        <f t="shared" si="111"/>
        <v>19</v>
      </c>
      <c r="K504" s="3">
        <f t="shared" si="112"/>
        <v>5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>
        <f t="shared" si="111"/>
        <v>23</v>
      </c>
      <c r="K505" s="3">
        <f t="shared" si="112"/>
        <v>2</v>
      </c>
      <c r="L505" s="3" t="str">
        <f t="shared" si="100"/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>
        <f t="shared" si="111"/>
        <v>29</v>
      </c>
      <c r="K506" s="3">
        <f t="shared" si="112"/>
        <v>13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>
        <f t="shared" si="111"/>
        <v>29</v>
      </c>
      <c r="K507" s="3">
        <f t="shared" si="112"/>
        <v>-15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>
        <f t="shared" si="111"/>
        <v>23</v>
      </c>
      <c r="K508" s="3">
        <f t="shared" si="112"/>
        <v>-1</v>
      </c>
      <c r="L508" s="3" t="str">
        <f t="shared" si="100"/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 s="9">
        <v>0</v>
      </c>
      <c r="N509" s="9">
        <v>0</v>
      </c>
      <c r="O509" s="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31" si="113">E510+G510+H510</f>
        <v>21</v>
      </c>
      <c r="J510" s="3">
        <f t="shared" ref="J510:J531" si="114"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 t="shared" ref="K510:K531" si="115">I510-J510</f>
        <v>4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>
        <f t="shared" si="114"/>
        <v>29</v>
      </c>
      <c r="K511" s="3">
        <f t="shared" si="115"/>
        <v>3</v>
      </c>
      <c r="L511" s="3" t="str">
        <f t="shared" si="100"/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>
        <f t="shared" si="114"/>
        <v>17</v>
      </c>
      <c r="K512" s="3">
        <f t="shared" si="115"/>
        <v>1</v>
      </c>
      <c r="L512" s="3" t="str">
        <f t="shared" si="100"/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>
        <f t="shared" si="114"/>
        <v>29</v>
      </c>
      <c r="K513" s="3">
        <f t="shared" si="115"/>
        <v>-3</v>
      </c>
      <c r="L513" s="3" t="str">
        <f t="shared" si="100"/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>
        <f t="shared" si="114"/>
        <v>23</v>
      </c>
      <c r="K514" s="3">
        <f t="shared" si="115"/>
        <v>5</v>
      </c>
      <c r="L514" s="3" t="str">
        <f t="shared" ref="L514:L530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>
        <f t="shared" si="114"/>
        <v>23</v>
      </c>
      <c r="K515" s="3">
        <f t="shared" si="115"/>
        <v>-1</v>
      </c>
      <c r="L515" s="3" t="str">
        <f t="shared" si="116"/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>
        <f t="shared" si="114"/>
        <v>29</v>
      </c>
      <c r="K516" s="3">
        <f t="shared" si="115"/>
        <v>-9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>
        <f t="shared" si="114"/>
        <v>19</v>
      </c>
      <c r="K517" s="3">
        <f t="shared" si="115"/>
        <v>0</v>
      </c>
      <c r="L517" s="3" t="str">
        <f t="shared" si="116"/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>
        <f t="shared" si="114"/>
        <v>8</v>
      </c>
      <c r="K518" s="3">
        <f t="shared" si="115"/>
        <v>16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>
        <f t="shared" si="114"/>
        <v>29</v>
      </c>
      <c r="K519" s="3">
        <f t="shared" si="115"/>
        <v>4</v>
      </c>
      <c r="L519" s="3" t="str">
        <f t="shared" si="116"/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>
        <f t="shared" si="114"/>
        <v>29</v>
      </c>
      <c r="K520" s="3">
        <f t="shared" si="115"/>
        <v>6</v>
      </c>
      <c r="L520" s="3" t="str">
        <f t="shared" si="116"/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>
        <f t="shared" si="114"/>
        <v>8</v>
      </c>
      <c r="K521" s="3">
        <f t="shared" si="115"/>
        <v>5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>
        <f t="shared" si="114"/>
        <v>17</v>
      </c>
      <c r="K522" s="3">
        <f t="shared" si="115"/>
        <v>6</v>
      </c>
      <c r="L522" s="3" t="str">
        <f t="shared" si="116"/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>
        <f t="shared" si="114"/>
        <v>23</v>
      </c>
      <c r="K523" s="3">
        <f t="shared" si="115"/>
        <v>0</v>
      </c>
      <c r="L523" s="3" t="str">
        <f t="shared" si="116"/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>
        <f t="shared" si="114"/>
        <v>17</v>
      </c>
      <c r="K524" s="3">
        <f t="shared" si="115"/>
        <v>-4</v>
      </c>
      <c r="L524" s="3" t="str">
        <f t="shared" si="116"/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>
        <f t="shared" si="114"/>
        <v>17</v>
      </c>
      <c r="K525" s="3">
        <f t="shared" si="115"/>
        <v>0</v>
      </c>
      <c r="L525" s="3" t="str">
        <f t="shared" si="116"/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>
        <f t="shared" si="114"/>
        <v>8</v>
      </c>
      <c r="K526" s="3">
        <f t="shared" si="115"/>
        <v>11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>
        <f t="shared" si="114"/>
        <v>19</v>
      </c>
      <c r="K527" s="3">
        <f t="shared" si="115"/>
        <v>14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>
        <f t="shared" si="114"/>
        <v>29</v>
      </c>
      <c r="K528" s="3">
        <f t="shared" si="115"/>
        <v>9</v>
      </c>
      <c r="L528" s="3" t="str">
        <f t="shared" si="116"/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>
        <f t="shared" si="114"/>
        <v>19</v>
      </c>
      <c r="K529" s="3">
        <f t="shared" si="115"/>
        <v>-1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>
        <f t="shared" si="114"/>
        <v>29</v>
      </c>
      <c r="K530" s="3">
        <f t="shared" si="115"/>
        <v>-2</v>
      </c>
      <c r="L530" s="3" t="str">
        <f t="shared" si="116"/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3">
        <f t="shared" si="114"/>
        <v>21</v>
      </c>
      <c r="K531" s="3">
        <f t="shared" si="115"/>
        <v>10</v>
      </c>
      <c r="L531" s="3" t="str">
        <f t="shared" ref="L531:L562" si="117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ref="I533:I540" si="118">E533+G533+H533</f>
        <v>26</v>
      </c>
      <c r="J533" s="3">
        <f t="shared" ref="J533:J540" si="119"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 t="shared" ref="K533:K540" si="120">I533-J533</f>
        <v>9</v>
      </c>
      <c r="L533" s="3" t="str">
        <f t="shared" si="117"/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8"/>
        <v>22</v>
      </c>
      <c r="J534" s="3">
        <f t="shared" si="119"/>
        <v>26</v>
      </c>
      <c r="K534" s="3">
        <f t="shared" si="120"/>
        <v>-4</v>
      </c>
      <c r="L534" s="3" t="str">
        <f t="shared" si="117"/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8"/>
        <v>33</v>
      </c>
      <c r="J535" s="3">
        <f t="shared" si="119"/>
        <v>15</v>
      </c>
      <c r="K535" s="3">
        <f t="shared" si="120"/>
        <v>18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8"/>
        <v>25</v>
      </c>
      <c r="J536" s="3">
        <f t="shared" si="119"/>
        <v>21</v>
      </c>
      <c r="K536" s="3">
        <f t="shared" si="120"/>
        <v>4</v>
      </c>
      <c r="L536" s="3" t="str">
        <f t="shared" si="117"/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8"/>
        <v>27</v>
      </c>
      <c r="J537" s="3">
        <f t="shared" si="119"/>
        <v>21</v>
      </c>
      <c r="K537" s="3">
        <f t="shared" si="120"/>
        <v>6</v>
      </c>
      <c r="L537" s="3" t="str">
        <f t="shared" si="117"/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8"/>
        <v>10</v>
      </c>
      <c r="J538" s="3">
        <f t="shared" si="119"/>
        <v>7</v>
      </c>
      <c r="K538" s="3">
        <f t="shared" si="120"/>
        <v>3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8"/>
        <v>24</v>
      </c>
      <c r="J539" s="3">
        <f t="shared" si="119"/>
        <v>17</v>
      </c>
      <c r="K539" s="3">
        <f t="shared" si="120"/>
        <v>7</v>
      </c>
      <c r="L539" s="3" t="str">
        <f t="shared" si="117"/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8"/>
        <v>26</v>
      </c>
      <c r="J540" s="3">
        <f t="shared" si="119"/>
        <v>26</v>
      </c>
      <c r="K540" s="3">
        <f t="shared" si="120"/>
        <v>0</v>
      </c>
      <c r="L540" s="3" t="str">
        <f t="shared" si="117"/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 t="shared" si="117"/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 t="shared" si="117"/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 t="shared" si="117"/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 t="shared" si="117"/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 t="shared" si="117"/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 t="shared" si="117"/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117"/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ref="I548:I553" si="121">E548+G548+H548</f>
        <v>7</v>
      </c>
      <c r="J548" s="3">
        <f t="shared" ref="J548:J553" si="12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7</v>
      </c>
      <c r="K548" s="3">
        <f t="shared" ref="K548:K553" si="123">I548-J548</f>
        <v>0</v>
      </c>
      <c r="L548" s="3" t="str">
        <f t="shared" si="117"/>
        <v>OPORTUNO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21"/>
        <v>27</v>
      </c>
      <c r="J549" s="3">
        <f t="shared" si="122"/>
        <v>17</v>
      </c>
      <c r="K549" s="3">
        <f t="shared" si="123"/>
        <v>10</v>
      </c>
      <c r="L549" s="3" t="str">
        <f t="shared" si="117"/>
        <v>MUITO BOM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21"/>
        <v>25</v>
      </c>
      <c r="J550" s="3">
        <f t="shared" si="122"/>
        <v>21</v>
      </c>
      <c r="K550" s="3">
        <f t="shared" si="123"/>
        <v>4</v>
      </c>
      <c r="L550" s="3" t="str">
        <f t="shared" si="117"/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21"/>
        <v>38</v>
      </c>
      <c r="J551" s="3">
        <f t="shared" si="122"/>
        <v>26</v>
      </c>
      <c r="K551" s="3">
        <f t="shared" si="123"/>
        <v>12</v>
      </c>
      <c r="L551" s="3" t="str">
        <f t="shared" si="117"/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21"/>
        <v>23</v>
      </c>
      <c r="J552" s="3">
        <f t="shared" si="122"/>
        <v>26</v>
      </c>
      <c r="K552" s="3">
        <f t="shared" si="123"/>
        <v>-3</v>
      </c>
      <c r="L552" s="3" t="str">
        <f t="shared" si="117"/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21"/>
        <v>26</v>
      </c>
      <c r="J553" s="3">
        <f t="shared" si="122"/>
        <v>21</v>
      </c>
      <c r="K553" s="3">
        <f t="shared" si="123"/>
        <v>5</v>
      </c>
      <c r="L553" s="3" t="str">
        <f t="shared" si="117"/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 t="shared" si="117"/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ref="I555:I567" si="124">E555+G555+H555</f>
        <v>20</v>
      </c>
      <c r="J555" s="3">
        <f t="shared" ref="J555:J567" si="125"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 t="shared" ref="K555:K567" si="126">I555-J555</f>
        <v>5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24"/>
        <v>17</v>
      </c>
      <c r="J556" s="3">
        <f t="shared" si="125"/>
        <v>26</v>
      </c>
      <c r="K556" s="3">
        <f t="shared" si="126"/>
        <v>-9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24"/>
        <v>12</v>
      </c>
      <c r="J557" s="3">
        <f t="shared" si="125"/>
        <v>15</v>
      </c>
      <c r="K557" s="3">
        <f t="shared" si="126"/>
        <v>-3</v>
      </c>
      <c r="L557" s="3" t="str">
        <f t="shared" si="117"/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24"/>
        <v>29</v>
      </c>
      <c r="J558" s="3">
        <f t="shared" si="125"/>
        <v>26</v>
      </c>
      <c r="K558" s="3">
        <f t="shared" si="126"/>
        <v>3</v>
      </c>
      <c r="L558" s="3" t="str">
        <f t="shared" si="117"/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24"/>
        <v>25</v>
      </c>
      <c r="J559" s="3">
        <f t="shared" si="125"/>
        <v>21</v>
      </c>
      <c r="K559" s="3">
        <f t="shared" si="126"/>
        <v>4</v>
      </c>
      <c r="L559" s="3" t="str">
        <f t="shared" si="117"/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24"/>
        <v>13</v>
      </c>
      <c r="J560" s="3">
        <f t="shared" si="125"/>
        <v>21</v>
      </c>
      <c r="K560" s="3">
        <f t="shared" si="126"/>
        <v>-8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24"/>
        <v>21</v>
      </c>
      <c r="J561" s="3">
        <f t="shared" si="125"/>
        <v>26</v>
      </c>
      <c r="K561" s="3">
        <f t="shared" si="126"/>
        <v>-5</v>
      </c>
      <c r="L561" s="3" t="str">
        <f t="shared" si="117"/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24"/>
        <v>18</v>
      </c>
      <c r="J562" s="3">
        <f t="shared" si="125"/>
        <v>17</v>
      </c>
      <c r="K562" s="3">
        <f t="shared" si="126"/>
        <v>1</v>
      </c>
      <c r="L562" s="3" t="str">
        <f t="shared" si="117"/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24"/>
        <v>10</v>
      </c>
      <c r="J563" s="3">
        <f t="shared" si="125"/>
        <v>7</v>
      </c>
      <c r="K563" s="3">
        <f t="shared" si="126"/>
        <v>3</v>
      </c>
      <c r="L563" s="3" t="str">
        <f t="shared" ref="L563:L594" si="127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24"/>
        <v>25</v>
      </c>
      <c r="J564" s="3">
        <f t="shared" si="125"/>
        <v>26</v>
      </c>
      <c r="K564" s="3">
        <f t="shared" si="126"/>
        <v>-1</v>
      </c>
      <c r="L564" s="3" t="str">
        <f t="shared" si="127"/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24"/>
        <v>27</v>
      </c>
      <c r="J565" s="3">
        <f t="shared" si="125"/>
        <v>26</v>
      </c>
      <c r="K565" s="3">
        <f t="shared" si="126"/>
        <v>1</v>
      </c>
      <c r="L565" s="3" t="str">
        <f t="shared" si="127"/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24"/>
        <v>17</v>
      </c>
      <c r="J566" s="3">
        <f t="shared" si="125"/>
        <v>7</v>
      </c>
      <c r="K566" s="3">
        <f t="shared" si="126"/>
        <v>10</v>
      </c>
      <c r="L566" s="3" t="str">
        <f t="shared" si="127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24"/>
        <v>21</v>
      </c>
      <c r="J567" s="3">
        <f t="shared" si="125"/>
        <v>15</v>
      </c>
      <c r="K567" s="3">
        <f t="shared" si="126"/>
        <v>6</v>
      </c>
      <c r="L567" s="3" t="str">
        <f t="shared" si="127"/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127"/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ref="I569:I585" si="128">E569+G569+H569</f>
        <v>14</v>
      </c>
      <c r="J569" s="3">
        <f t="shared" ref="J569:J585" si="129"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 t="shared" ref="K569:K585" si="130">I569-J569</f>
        <v>-1</v>
      </c>
      <c r="L569" s="3" t="str">
        <f t="shared" si="127"/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28"/>
        <v>15</v>
      </c>
      <c r="J570" s="3">
        <f t="shared" si="129"/>
        <v>15</v>
      </c>
      <c r="K570" s="3">
        <f t="shared" si="130"/>
        <v>0</v>
      </c>
      <c r="L570" s="3" t="str">
        <f t="shared" si="127"/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28"/>
        <v>15</v>
      </c>
      <c r="J571" s="3">
        <f t="shared" si="129"/>
        <v>7</v>
      </c>
      <c r="K571" s="3">
        <f t="shared" si="130"/>
        <v>8</v>
      </c>
      <c r="L571" s="3" t="str">
        <f t="shared" si="127"/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28"/>
        <v>25</v>
      </c>
      <c r="J572" s="3">
        <f t="shared" si="129"/>
        <v>17</v>
      </c>
      <c r="K572" s="3">
        <f t="shared" si="130"/>
        <v>8</v>
      </c>
      <c r="L572" s="3" t="str">
        <f t="shared" si="127"/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28"/>
        <v>33</v>
      </c>
      <c r="J573" s="3">
        <f t="shared" si="129"/>
        <v>26</v>
      </c>
      <c r="K573" s="3">
        <f t="shared" si="130"/>
        <v>7</v>
      </c>
      <c r="L573" s="3" t="str">
        <f t="shared" si="127"/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128"/>
        <v>18</v>
      </c>
      <c r="J574" s="3">
        <f t="shared" si="129"/>
        <v>17</v>
      </c>
      <c r="K574" s="3">
        <f t="shared" si="130"/>
        <v>1</v>
      </c>
      <c r="L574" s="3" t="str">
        <f t="shared" si="127"/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8"/>
        <v>24</v>
      </c>
      <c r="J575" s="3">
        <f t="shared" si="129"/>
        <v>26</v>
      </c>
      <c r="K575" s="3">
        <f t="shared" si="130"/>
        <v>-2</v>
      </c>
      <c r="L575" s="3" t="str">
        <f t="shared" si="127"/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8"/>
        <v>20</v>
      </c>
      <c r="J576" s="3">
        <f t="shared" si="129"/>
        <v>18</v>
      </c>
      <c r="K576" s="3">
        <f t="shared" si="130"/>
        <v>2</v>
      </c>
      <c r="L576" s="3" t="str">
        <f t="shared" si="127"/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28"/>
        <v>0</v>
      </c>
      <c r="J577" s="3">
        <v>0</v>
      </c>
      <c r="K577" s="3">
        <f t="shared" si="130"/>
        <v>0</v>
      </c>
      <c r="L577" s="3" t="str">
        <f t="shared" si="127"/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8"/>
        <v>23</v>
      </c>
      <c r="J578" s="3">
        <f t="shared" si="129"/>
        <v>15</v>
      </c>
      <c r="K578" s="3">
        <f t="shared" si="130"/>
        <v>8</v>
      </c>
      <c r="L578" s="3" t="str">
        <f t="shared" si="127"/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8"/>
        <v>15</v>
      </c>
      <c r="J579" s="3">
        <f t="shared" si="129"/>
        <v>22</v>
      </c>
      <c r="K579" s="3">
        <f t="shared" si="130"/>
        <v>-7</v>
      </c>
      <c r="L579" s="3" t="str">
        <f t="shared" si="127"/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8"/>
        <v>22</v>
      </c>
      <c r="J580" s="3">
        <f t="shared" si="129"/>
        <v>13</v>
      </c>
      <c r="K580" s="3">
        <f t="shared" si="130"/>
        <v>9</v>
      </c>
      <c r="L580" s="3" t="str">
        <f t="shared" si="127"/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8"/>
        <v>31</v>
      </c>
      <c r="J581" s="3">
        <f t="shared" si="129"/>
        <v>18</v>
      </c>
      <c r="K581" s="3">
        <f t="shared" si="130"/>
        <v>13</v>
      </c>
      <c r="L581" s="3" t="str">
        <f t="shared" si="127"/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8"/>
        <v>23</v>
      </c>
      <c r="J582" s="3">
        <f t="shared" si="129"/>
        <v>18</v>
      </c>
      <c r="K582" s="3">
        <f t="shared" si="130"/>
        <v>5</v>
      </c>
      <c r="L582" s="3" t="str">
        <f t="shared" si="127"/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8"/>
        <v>6</v>
      </c>
      <c r="J583" s="3">
        <f t="shared" si="129"/>
        <v>6</v>
      </c>
      <c r="K583" s="3">
        <f t="shared" si="130"/>
        <v>0</v>
      </c>
      <c r="L583" s="3" t="str">
        <f t="shared" si="127"/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8"/>
        <v>22</v>
      </c>
      <c r="J584" s="3">
        <f t="shared" si="129"/>
        <v>15</v>
      </c>
      <c r="K584" s="3">
        <f t="shared" si="130"/>
        <v>7</v>
      </c>
      <c r="L584" s="3" t="str">
        <f t="shared" si="127"/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8"/>
        <v>22</v>
      </c>
      <c r="J585" s="3">
        <f t="shared" si="129"/>
        <v>22</v>
      </c>
      <c r="K585" s="3">
        <f t="shared" si="130"/>
        <v>0</v>
      </c>
      <c r="L585" s="3" t="str">
        <f t="shared" si="127"/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127"/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 t="shared" si="127"/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127"/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 t="shared" si="127"/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 t="shared" si="127"/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 t="shared" si="127"/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 t="shared" si="127"/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 t="shared" si="127"/>
        <v>OPORTUNO</v>
      </c>
      <c r="M593" s="3">
        <v>0</v>
      </c>
      <c r="N593" s="3">
        <v>100</v>
      </c>
      <c r="O593" s="3">
        <v>14.285714285714279</v>
      </c>
    </row>
    <row r="594" spans="1:15" hidden="1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>E594+G594+H594</f>
        <v>18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15</v>
      </c>
      <c r="K594" s="3">
        <f>I594-J594</f>
        <v>3</v>
      </c>
      <c r="L594" s="3" t="str">
        <f t="shared" si="127"/>
        <v>OPORTUNO</v>
      </c>
      <c r="M594" s="3">
        <v>15</v>
      </c>
      <c r="N594" s="3">
        <v>98.8</v>
      </c>
      <c r="O594" s="3">
        <v>15.41353383458646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 t="shared" ref="L595:L626" si="131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 t="shared" si="131"/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 t="shared" si="131"/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 t="shared" si="131"/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 t="shared" si="131"/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ref="I600:I612" si="132">E600+G600+H600</f>
        <v>14</v>
      </c>
      <c r="J600" s="3">
        <f t="shared" ref="J600:J612" si="133"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 t="shared" ref="K600:K612" si="134">I600-J600</f>
        <v>1</v>
      </c>
      <c r="L600" s="3" t="str">
        <f t="shared" si="131"/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32"/>
        <v>21</v>
      </c>
      <c r="J601" s="3">
        <f t="shared" si="133"/>
        <v>22</v>
      </c>
      <c r="K601" s="3">
        <f t="shared" si="134"/>
        <v>-1</v>
      </c>
      <c r="L601" s="3" t="str">
        <f t="shared" si="131"/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32"/>
        <v>12</v>
      </c>
      <c r="J602" s="3">
        <f t="shared" si="133"/>
        <v>13</v>
      </c>
      <c r="K602" s="3">
        <f t="shared" si="134"/>
        <v>-1</v>
      </c>
      <c r="L602" s="3" t="str">
        <f t="shared" si="131"/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32"/>
        <v>21</v>
      </c>
      <c r="J603" s="3">
        <f t="shared" si="133"/>
        <v>22</v>
      </c>
      <c r="K603" s="3">
        <f t="shared" si="134"/>
        <v>-1</v>
      </c>
      <c r="L603" s="3" t="str">
        <f t="shared" si="131"/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32"/>
        <v>19</v>
      </c>
      <c r="J604" s="3">
        <f t="shared" si="133"/>
        <v>18</v>
      </c>
      <c r="K604" s="3">
        <f t="shared" si="134"/>
        <v>1</v>
      </c>
      <c r="L604" s="3" t="str">
        <f t="shared" si="131"/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32"/>
        <v>15</v>
      </c>
      <c r="J605" s="3">
        <f t="shared" si="133"/>
        <v>18</v>
      </c>
      <c r="K605" s="3">
        <f t="shared" si="134"/>
        <v>-3</v>
      </c>
      <c r="L605" s="3" t="str">
        <f t="shared" si="131"/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si="132"/>
        <v>27</v>
      </c>
      <c r="J606" s="3">
        <f t="shared" si="133"/>
        <v>22</v>
      </c>
      <c r="K606" s="3">
        <f t="shared" si="134"/>
        <v>5</v>
      </c>
      <c r="L606" s="3" t="str">
        <f t="shared" si="131"/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32"/>
        <v>20</v>
      </c>
      <c r="J607" s="3">
        <f t="shared" si="133"/>
        <v>15</v>
      </c>
      <c r="K607" s="3">
        <f t="shared" si="134"/>
        <v>5</v>
      </c>
      <c r="L607" s="3" t="str">
        <f t="shared" si="131"/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32"/>
        <v>12</v>
      </c>
      <c r="J608" s="3">
        <f t="shared" si="133"/>
        <v>6</v>
      </c>
      <c r="K608" s="3">
        <f t="shared" si="134"/>
        <v>6</v>
      </c>
      <c r="L608" s="3" t="str">
        <f t="shared" si="131"/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32"/>
        <v>30</v>
      </c>
      <c r="J609" s="3">
        <f t="shared" si="133"/>
        <v>22</v>
      </c>
      <c r="K609" s="3">
        <f t="shared" si="134"/>
        <v>8</v>
      </c>
      <c r="L609" s="3" t="str">
        <f t="shared" si="131"/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32"/>
        <v>25</v>
      </c>
      <c r="J610" s="3">
        <f t="shared" si="133"/>
        <v>22</v>
      </c>
      <c r="K610" s="3">
        <f t="shared" si="134"/>
        <v>3</v>
      </c>
      <c r="L610" s="3" t="str">
        <f t="shared" si="131"/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32"/>
        <v>13</v>
      </c>
      <c r="J611" s="3">
        <f t="shared" si="133"/>
        <v>6</v>
      </c>
      <c r="K611" s="3">
        <f t="shared" si="134"/>
        <v>7</v>
      </c>
      <c r="L611" s="3" t="str">
        <f t="shared" si="131"/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32"/>
        <v>18</v>
      </c>
      <c r="J612" s="3">
        <f t="shared" si="133"/>
        <v>13</v>
      </c>
      <c r="K612" s="3">
        <f t="shared" si="134"/>
        <v>5</v>
      </c>
      <c r="L612" s="3" t="str">
        <f t="shared" si="131"/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 t="shared" si="131"/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ref="I614:I630" si="135">E614+G614+H614</f>
        <v>10</v>
      </c>
      <c r="J614" s="3">
        <f t="shared" ref="J614:J630" si="136"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 t="shared" ref="K614:K630" si="137">I614-J614</f>
        <v>-3</v>
      </c>
      <c r="L614" s="3" t="str">
        <f t="shared" si="131"/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35"/>
        <v>14</v>
      </c>
      <c r="J615" s="3">
        <f t="shared" si="136"/>
        <v>13</v>
      </c>
      <c r="K615" s="3">
        <f t="shared" si="137"/>
        <v>1</v>
      </c>
      <c r="L615" s="3" t="str">
        <f t="shared" si="131"/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35"/>
        <v>18</v>
      </c>
      <c r="J616" s="3">
        <f t="shared" si="136"/>
        <v>6</v>
      </c>
      <c r="K616" s="3">
        <f t="shared" si="137"/>
        <v>12</v>
      </c>
      <c r="L616" s="3" t="str">
        <f t="shared" si="131"/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35"/>
        <v>27</v>
      </c>
      <c r="J617" s="3">
        <f t="shared" si="136"/>
        <v>15</v>
      </c>
      <c r="K617" s="3">
        <f t="shared" si="137"/>
        <v>12</v>
      </c>
      <c r="L617" s="3" t="str">
        <f t="shared" si="131"/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35"/>
        <v>33</v>
      </c>
      <c r="J618" s="3">
        <f t="shared" si="136"/>
        <v>22</v>
      </c>
      <c r="K618" s="3">
        <f t="shared" si="137"/>
        <v>11</v>
      </c>
      <c r="L618" s="3" t="str">
        <f t="shared" si="131"/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35"/>
        <v>12</v>
      </c>
      <c r="J619" s="3">
        <f t="shared" si="136"/>
        <v>15</v>
      </c>
      <c r="K619" s="3">
        <f t="shared" si="137"/>
        <v>-3</v>
      </c>
      <c r="L619" s="3" t="str">
        <f t="shared" si="131"/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35"/>
        <v>23</v>
      </c>
      <c r="J620" s="3">
        <f t="shared" si="136"/>
        <v>22</v>
      </c>
      <c r="K620" s="3">
        <f t="shared" si="137"/>
        <v>1</v>
      </c>
      <c r="L620" s="3" t="str">
        <f t="shared" si="131"/>
        <v>OPORTUNO</v>
      </c>
      <c r="M620" s="3">
        <v>21</v>
      </c>
      <c r="N620" s="3">
        <v>97.33</v>
      </c>
      <c r="O620" s="3">
        <v>15.805471124620061</v>
      </c>
    </row>
    <row r="621" spans="1:15" hidden="1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 t="shared" si="135"/>
        <v>16</v>
      </c>
      <c r="J621" s="3">
        <f t="shared" si="136"/>
        <v>17</v>
      </c>
      <c r="K621" s="3">
        <f t="shared" si="137"/>
        <v>-1</v>
      </c>
      <c r="L621" s="3" t="str">
        <f t="shared" si="131"/>
        <v>ATENÇÃO</v>
      </c>
      <c r="M621" s="3">
        <v>11</v>
      </c>
      <c r="N621" s="3">
        <v>98.94</v>
      </c>
      <c r="O621" s="3">
        <v>19.614147909967851</v>
      </c>
    </row>
    <row r="622" spans="1:15" hidden="1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f t="shared" si="135"/>
        <v>0</v>
      </c>
      <c r="J622" s="3">
        <v>0</v>
      </c>
      <c r="K622" s="3">
        <f t="shared" si="137"/>
        <v>0</v>
      </c>
      <c r="L622" s="3" t="str">
        <f t="shared" si="131"/>
        <v>OPORTUNO</v>
      </c>
      <c r="M622" s="3">
        <v>0</v>
      </c>
      <c r="N622" s="3">
        <v>100</v>
      </c>
      <c r="O622" s="3">
        <v>0</v>
      </c>
    </row>
    <row r="623" spans="1:15" hidden="1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 t="shared" si="135"/>
        <v>12</v>
      </c>
      <c r="J623" s="3">
        <f t="shared" si="136"/>
        <v>14</v>
      </c>
      <c r="K623" s="3">
        <f t="shared" si="137"/>
        <v>-2</v>
      </c>
      <c r="L623" s="3" t="str">
        <f t="shared" si="131"/>
        <v>ATENÇÃO</v>
      </c>
      <c r="M623" s="3">
        <v>10</v>
      </c>
      <c r="N623" s="3">
        <v>95.38</v>
      </c>
      <c r="O623" s="3">
        <v>21.5962441314554</v>
      </c>
    </row>
    <row r="624" spans="1:15" hidden="1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 t="shared" si="135"/>
        <v>23</v>
      </c>
      <c r="J624" s="3">
        <f t="shared" si="136"/>
        <v>21</v>
      </c>
      <c r="K624" s="3">
        <f t="shared" si="137"/>
        <v>2</v>
      </c>
      <c r="L624" s="3" t="str">
        <f t="shared" si="131"/>
        <v>OPORTUNO</v>
      </c>
      <c r="M624" s="3">
        <v>16</v>
      </c>
      <c r="N624" s="3">
        <v>96.34</v>
      </c>
      <c r="O624" s="3">
        <v>17.571884984025559</v>
      </c>
    </row>
    <row r="625" spans="1:15" hidden="1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 t="shared" si="135"/>
        <v>19</v>
      </c>
      <c r="J625" s="3">
        <f t="shared" si="136"/>
        <v>12</v>
      </c>
      <c r="K625" s="3">
        <f t="shared" si="137"/>
        <v>7</v>
      </c>
      <c r="L625" s="3" t="str">
        <f t="shared" si="131"/>
        <v>MUITO BOM</v>
      </c>
      <c r="M625" s="3">
        <v>18</v>
      </c>
      <c r="N625" s="3">
        <v>99.11</v>
      </c>
      <c r="O625" s="3">
        <v>17.721518987341771</v>
      </c>
    </row>
    <row r="626" spans="1:15" hidden="1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 t="shared" si="135"/>
        <v>33</v>
      </c>
      <c r="J626" s="3">
        <f t="shared" si="136"/>
        <v>17</v>
      </c>
      <c r="K626" s="3">
        <f t="shared" si="137"/>
        <v>16</v>
      </c>
      <c r="L626" s="3" t="str">
        <f t="shared" si="131"/>
        <v>MUITO BOM</v>
      </c>
      <c r="M626" s="3">
        <v>24</v>
      </c>
      <c r="N626" s="3">
        <v>99.13</v>
      </c>
      <c r="O626" s="3">
        <v>14.7239263803681</v>
      </c>
    </row>
    <row r="627" spans="1:15" hidden="1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 t="shared" si="135"/>
        <v>12</v>
      </c>
      <c r="J627" s="3">
        <f t="shared" si="136"/>
        <v>17</v>
      </c>
      <c r="K627" s="3">
        <f t="shared" si="137"/>
        <v>-5</v>
      </c>
      <c r="L627" s="3" t="str">
        <f t="shared" ref="L627:L658" si="138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hidden="1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 t="shared" si="135"/>
        <v>7</v>
      </c>
      <c r="J628" s="3">
        <f t="shared" si="136"/>
        <v>6</v>
      </c>
      <c r="K628" s="3">
        <f t="shared" si="137"/>
        <v>1</v>
      </c>
      <c r="L628" s="3" t="str">
        <f t="shared" si="138"/>
        <v>OPORTUNO</v>
      </c>
      <c r="M628" s="3">
        <v>3</v>
      </c>
      <c r="N628" s="3">
        <v>96.43</v>
      </c>
      <c r="O628" s="3">
        <v>20</v>
      </c>
    </row>
    <row r="629" spans="1:15" hidden="1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 t="shared" si="135"/>
        <v>14</v>
      </c>
      <c r="J629" s="3">
        <f t="shared" si="136"/>
        <v>14</v>
      </c>
      <c r="K629" s="3">
        <f t="shared" si="137"/>
        <v>0</v>
      </c>
      <c r="L629" s="3" t="str">
        <f t="shared" si="138"/>
        <v>OPORTUNO</v>
      </c>
      <c r="M629" s="3">
        <v>12</v>
      </c>
      <c r="N629" s="3">
        <v>96.88</v>
      </c>
      <c r="O629" s="3">
        <v>19.526627218934909</v>
      </c>
    </row>
    <row r="630" spans="1:15" hidden="1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 t="shared" si="135"/>
        <v>24</v>
      </c>
      <c r="J630" s="3">
        <f t="shared" si="136"/>
        <v>21</v>
      </c>
      <c r="K630" s="3">
        <f t="shared" si="137"/>
        <v>3</v>
      </c>
      <c r="L630" s="3" t="str">
        <f t="shared" si="138"/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 t="shared" si="138"/>
        <v>OPORTUNO</v>
      </c>
      <c r="M631" s="3">
        <v>0</v>
      </c>
      <c r="N631" s="3">
        <v>98.63</v>
      </c>
      <c r="O631" s="3">
        <v>18.75</v>
      </c>
    </row>
    <row r="632" spans="1:15" hidden="1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14</v>
      </c>
      <c r="K632" s="3">
        <f>I632-J632</f>
        <v>9</v>
      </c>
      <c r="L632" s="3" t="str">
        <f t="shared" si="138"/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 t="shared" si="138"/>
        <v>OPORTUNO</v>
      </c>
      <c r="M633" s="3">
        <v>0</v>
      </c>
      <c r="N633" s="3">
        <v>99.06</v>
      </c>
      <c r="O633" s="3">
        <v>22.95719844357977</v>
      </c>
    </row>
    <row r="634" spans="1:15" hidden="1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 t="shared" si="138"/>
        <v>OPORTUNO</v>
      </c>
      <c r="M634" s="3">
        <v>6</v>
      </c>
      <c r="N634" s="3">
        <v>100</v>
      </c>
      <c r="O634" s="3">
        <v>29.032258064516132</v>
      </c>
    </row>
    <row r="635" spans="1:15" hidden="1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17</v>
      </c>
      <c r="K635" s="3">
        <f>I635-J635</f>
        <v>-2</v>
      </c>
      <c r="L635" s="3" t="str">
        <f t="shared" si="138"/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 t="shared" si="138"/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 t="shared" si="138"/>
        <v>OPORTUNO</v>
      </c>
      <c r="M637" s="3">
        <v>0</v>
      </c>
      <c r="N637" s="3">
        <v>100</v>
      </c>
      <c r="O637" s="3">
        <v>17.241379310344829</v>
      </c>
    </row>
    <row r="638" spans="1:15" hidden="1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H638" s="3">
        <v>0</v>
      </c>
      <c r="I638" s="3">
        <f t="shared" ref="I638:I649" si="139">E638+G638+H638</f>
        <v>7</v>
      </c>
      <c r="J638" s="3">
        <f t="shared" ref="J638:J649" si="140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6</v>
      </c>
      <c r="K638" s="3">
        <f t="shared" ref="K638:K649" si="141">I638-J638</f>
        <v>1</v>
      </c>
      <c r="L638" s="3" t="str">
        <f t="shared" si="138"/>
        <v>OPORTUNO</v>
      </c>
      <c r="M638" s="3">
        <v>0</v>
      </c>
      <c r="N638" s="3">
        <v>100</v>
      </c>
      <c r="O638" s="3">
        <v>14.285714285714279</v>
      </c>
    </row>
    <row r="639" spans="1:15" hidden="1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H639" s="3">
        <v>0</v>
      </c>
      <c r="I639" s="3">
        <f t="shared" si="139"/>
        <v>7</v>
      </c>
      <c r="J639" s="3">
        <f t="shared" si="140"/>
        <v>14</v>
      </c>
      <c r="K639" s="3">
        <f t="shared" si="141"/>
        <v>-7</v>
      </c>
      <c r="L639" s="3" t="str">
        <f t="shared" si="138"/>
        <v>CRÍTICO</v>
      </c>
      <c r="M639" s="3">
        <v>7</v>
      </c>
      <c r="N639" s="3">
        <v>98.8</v>
      </c>
      <c r="O639" s="3">
        <v>15.41353383458646</v>
      </c>
    </row>
    <row r="640" spans="1:15" hidden="1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 t="shared" si="139"/>
        <v>15</v>
      </c>
      <c r="J640" s="3">
        <f t="shared" si="140"/>
        <v>17</v>
      </c>
      <c r="K640" s="3">
        <f t="shared" si="141"/>
        <v>-2</v>
      </c>
      <c r="L640" s="3" t="str">
        <f t="shared" si="138"/>
        <v>ATENÇÃO</v>
      </c>
      <c r="M640" s="3">
        <v>14</v>
      </c>
      <c r="N640" s="3">
        <v>98.63</v>
      </c>
      <c r="O640" s="3">
        <v>15.75757575757576</v>
      </c>
    </row>
    <row r="641" spans="1:15" hidden="1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 t="shared" si="139"/>
        <v>31</v>
      </c>
      <c r="J641" s="3">
        <f t="shared" si="140"/>
        <v>21</v>
      </c>
      <c r="K641" s="3">
        <f t="shared" si="141"/>
        <v>10</v>
      </c>
      <c r="L641" s="3" t="str">
        <f t="shared" si="138"/>
        <v>MUITO BOM</v>
      </c>
      <c r="M641" s="3">
        <v>23</v>
      </c>
      <c r="N641" s="3">
        <v>98.64</v>
      </c>
      <c r="O641" s="3">
        <v>16.638370118845501</v>
      </c>
    </row>
    <row r="642" spans="1:15" hidden="1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 t="shared" si="139"/>
        <v>14</v>
      </c>
      <c r="J642" s="3">
        <f t="shared" si="140"/>
        <v>21</v>
      </c>
      <c r="K642" s="3">
        <f t="shared" si="141"/>
        <v>-7</v>
      </c>
      <c r="L642" s="3" t="str">
        <f t="shared" si="138"/>
        <v>CRÍTICO</v>
      </c>
      <c r="M642" s="3">
        <v>14</v>
      </c>
      <c r="N642" s="3">
        <v>95.4</v>
      </c>
      <c r="O642" s="3">
        <v>20.533333333333331</v>
      </c>
    </row>
    <row r="643" spans="1:15" hidden="1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 t="shared" si="139"/>
        <v>13</v>
      </c>
      <c r="J643" s="3">
        <f t="shared" si="140"/>
        <v>17</v>
      </c>
      <c r="K643" s="3">
        <f t="shared" si="141"/>
        <v>-4</v>
      </c>
      <c r="L643" s="3" t="str">
        <f t="shared" si="138"/>
        <v>ATENÇÃO</v>
      </c>
      <c r="M643" s="3">
        <v>10</v>
      </c>
      <c r="N643" s="3">
        <v>98.61</v>
      </c>
      <c r="O643" s="3">
        <v>16.97530864197531</v>
      </c>
    </row>
    <row r="644" spans="1:15" hidden="1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 t="shared" si="139"/>
        <v>36</v>
      </c>
      <c r="J644" s="3">
        <f t="shared" si="140"/>
        <v>21</v>
      </c>
      <c r="K644" s="3">
        <f t="shared" si="141"/>
        <v>15</v>
      </c>
      <c r="L644" s="3" t="str">
        <f t="shared" si="138"/>
        <v>MUITO BOM</v>
      </c>
      <c r="M644" s="3">
        <v>0</v>
      </c>
      <c r="N644" s="3">
        <v>0</v>
      </c>
      <c r="O644" s="3">
        <v>0</v>
      </c>
    </row>
    <row r="645" spans="1:15" hidden="1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 t="shared" si="139"/>
        <v>19</v>
      </c>
      <c r="J645" s="3">
        <f t="shared" si="140"/>
        <v>12</v>
      </c>
      <c r="K645" s="3">
        <f t="shared" si="141"/>
        <v>7</v>
      </c>
      <c r="L645" s="3" t="str">
        <f t="shared" si="138"/>
        <v>MUITO BOM</v>
      </c>
      <c r="M645" s="3">
        <v>20</v>
      </c>
      <c r="N645" s="3">
        <v>97.01</v>
      </c>
      <c r="O645" s="3">
        <v>13.961038961038961</v>
      </c>
    </row>
    <row r="646" spans="1:15" hidden="1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 t="shared" si="139"/>
        <v>19</v>
      </c>
      <c r="J646" s="3">
        <f t="shared" si="140"/>
        <v>21</v>
      </c>
      <c r="K646" s="3">
        <f t="shared" si="141"/>
        <v>-2</v>
      </c>
      <c r="L646" s="3" t="str">
        <f t="shared" si="138"/>
        <v>ATENÇÃO</v>
      </c>
      <c r="M646" s="3">
        <v>21</v>
      </c>
      <c r="N646" s="3">
        <v>95.52</v>
      </c>
      <c r="O646" s="3">
        <v>10.561056105610559</v>
      </c>
    </row>
    <row r="647" spans="1:15" hidden="1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 t="shared" si="139"/>
        <v>12</v>
      </c>
      <c r="J647" s="3">
        <f t="shared" si="140"/>
        <v>12</v>
      </c>
      <c r="K647" s="3">
        <f t="shared" si="141"/>
        <v>0</v>
      </c>
      <c r="L647" s="3" t="str">
        <f t="shared" si="138"/>
        <v>OPORTUNO</v>
      </c>
      <c r="M647" s="3">
        <v>8</v>
      </c>
      <c r="N647" s="3">
        <v>100</v>
      </c>
      <c r="O647" s="3">
        <v>16.959064327485379</v>
      </c>
    </row>
    <row r="648" spans="1:15" hidden="1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 t="shared" si="139"/>
        <v>20</v>
      </c>
      <c r="J648" s="3">
        <f t="shared" si="140"/>
        <v>21</v>
      </c>
      <c r="K648" s="3">
        <f t="shared" si="141"/>
        <v>-1</v>
      </c>
      <c r="L648" s="3" t="str">
        <f t="shared" si="138"/>
        <v>ATENÇÃO</v>
      </c>
      <c r="M648" s="3">
        <v>20</v>
      </c>
      <c r="N648" s="3">
        <v>100</v>
      </c>
      <c r="O648" s="3">
        <v>15.584415584415581</v>
      </c>
    </row>
    <row r="649" spans="1:15" hidden="1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 t="shared" si="139"/>
        <v>19</v>
      </c>
      <c r="J649" s="3">
        <f t="shared" si="140"/>
        <v>17</v>
      </c>
      <c r="K649" s="3">
        <f t="shared" si="141"/>
        <v>2</v>
      </c>
      <c r="L649" s="3" t="str">
        <f t="shared" si="138"/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 t="shared" si="138"/>
        <v>OPORTUNO</v>
      </c>
      <c r="M650" s="3">
        <v>0</v>
      </c>
      <c r="N650" s="3">
        <v>100</v>
      </c>
      <c r="O650" s="3">
        <v>20.820189274447952</v>
      </c>
    </row>
    <row r="651" spans="1:15" hidden="1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 t="shared" si="138"/>
        <v>ATENÇÃO</v>
      </c>
      <c r="M651" s="3">
        <v>15</v>
      </c>
      <c r="N651" s="3">
        <v>100</v>
      </c>
      <c r="O651" s="3">
        <v>4.3478260869565224</v>
      </c>
    </row>
    <row r="652" spans="1:15" hidden="1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14</v>
      </c>
      <c r="K652" s="3">
        <f>I652-J652</f>
        <v>-6</v>
      </c>
      <c r="L652" s="3" t="str">
        <f t="shared" si="138"/>
        <v>CRÍTICO</v>
      </c>
      <c r="M652" s="3">
        <v>8</v>
      </c>
      <c r="N652" s="3">
        <v>93.26</v>
      </c>
      <c r="O652" s="3">
        <v>19.93957703927493</v>
      </c>
    </row>
    <row r="653" spans="1:15" hidden="1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 t="shared" si="138"/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138"/>
        <v>OPORTUNO</v>
      </c>
      <c r="M654" s="3">
        <v>3</v>
      </c>
      <c r="N654" s="3">
        <v>98.28</v>
      </c>
      <c r="O654" s="3">
        <v>9.037900874635568</v>
      </c>
    </row>
    <row r="655" spans="1:15" hidden="1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 t="shared" ref="I655:I665" si="142">E655+G655+H655</f>
        <v>25</v>
      </c>
      <c r="J655" s="3">
        <f t="shared" ref="J655:J665" si="143"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 t="shared" ref="K655:K665" si="144">I655-J655</f>
        <v>4</v>
      </c>
      <c r="L655" s="3" t="str">
        <f t="shared" si="138"/>
        <v>OPORTUNO</v>
      </c>
      <c r="M655" s="3">
        <v>16</v>
      </c>
      <c r="N655" s="3">
        <v>97.22</v>
      </c>
      <c r="O655" s="3">
        <v>19.095477386934672</v>
      </c>
    </row>
    <row r="656" spans="1:15" hidden="1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 t="shared" si="142"/>
        <v>14</v>
      </c>
      <c r="J656" s="3">
        <f t="shared" si="143"/>
        <v>6</v>
      </c>
      <c r="K656" s="3">
        <f t="shared" si="144"/>
        <v>8</v>
      </c>
      <c r="L656" s="3" t="str">
        <f t="shared" si="138"/>
        <v>MUITO BOM</v>
      </c>
      <c r="M656" s="3">
        <v>11</v>
      </c>
      <c r="N656" s="3">
        <v>100</v>
      </c>
      <c r="O656" s="3">
        <v>16.814159292035399</v>
      </c>
    </row>
    <row r="657" spans="1:15" hidden="1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 t="shared" si="142"/>
        <v>18</v>
      </c>
      <c r="J657" s="3">
        <f t="shared" si="143"/>
        <v>12</v>
      </c>
      <c r="K657" s="3">
        <f t="shared" si="144"/>
        <v>6</v>
      </c>
      <c r="L657" s="3" t="str">
        <f t="shared" si="138"/>
        <v>MUITO BOM</v>
      </c>
      <c r="M657" s="3">
        <v>16</v>
      </c>
      <c r="N657" s="3">
        <v>98</v>
      </c>
      <c r="O657" s="3">
        <v>16.43835616438356</v>
      </c>
    </row>
    <row r="658" spans="1:15" hidden="1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 t="shared" si="142"/>
        <v>17</v>
      </c>
      <c r="J658" s="3">
        <f t="shared" si="143"/>
        <v>17</v>
      </c>
      <c r="K658" s="3">
        <f t="shared" si="144"/>
        <v>0</v>
      </c>
      <c r="L658" s="3" t="str">
        <f t="shared" si="138"/>
        <v>OPORTUNO</v>
      </c>
      <c r="M658" s="3">
        <v>12</v>
      </c>
      <c r="N658" s="3">
        <v>100</v>
      </c>
      <c r="O658" s="3">
        <v>16.894977168949769</v>
      </c>
    </row>
    <row r="659" spans="1:15" hidden="1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 t="shared" si="142"/>
        <v>17</v>
      </c>
      <c r="J659" s="3">
        <f t="shared" si="143"/>
        <v>12</v>
      </c>
      <c r="K659" s="3">
        <f t="shared" si="144"/>
        <v>5</v>
      </c>
      <c r="L659" s="3" t="str">
        <f t="shared" ref="L659:L665" si="145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hidden="1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 t="shared" si="142"/>
        <v>19</v>
      </c>
      <c r="J660" s="3">
        <f t="shared" si="143"/>
        <v>12</v>
      </c>
      <c r="K660" s="3">
        <f t="shared" si="144"/>
        <v>7</v>
      </c>
      <c r="L660" s="3" t="str">
        <f t="shared" si="145"/>
        <v>MUITO BOM</v>
      </c>
      <c r="M660" s="3">
        <v>15</v>
      </c>
      <c r="N660" s="3">
        <v>100</v>
      </c>
      <c r="O660" s="3">
        <v>15.02145922746781</v>
      </c>
    </row>
    <row r="661" spans="1:15" hidden="1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 t="shared" si="142"/>
        <v>15</v>
      </c>
      <c r="J661" s="3">
        <f t="shared" si="143"/>
        <v>6</v>
      </c>
      <c r="K661" s="3">
        <f t="shared" si="144"/>
        <v>9</v>
      </c>
      <c r="L661" s="3" t="str">
        <f t="shared" si="145"/>
        <v>MUITO BOM</v>
      </c>
      <c r="M661" s="3">
        <v>9</v>
      </c>
      <c r="N661" s="3">
        <v>98.11</v>
      </c>
      <c r="O661" s="3">
        <v>20.408163265306118</v>
      </c>
    </row>
    <row r="662" spans="1:15" hidden="1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 t="shared" si="142"/>
        <v>20</v>
      </c>
      <c r="J662" s="3">
        <f t="shared" si="143"/>
        <v>14</v>
      </c>
      <c r="K662" s="3">
        <f t="shared" si="144"/>
        <v>6</v>
      </c>
      <c r="L662" s="3" t="str">
        <f t="shared" si="145"/>
        <v>MUITO BOM</v>
      </c>
      <c r="M662" s="3">
        <v>12</v>
      </c>
      <c r="N662" s="3">
        <v>97.56</v>
      </c>
      <c r="O662" s="3">
        <v>19.28783382789317</v>
      </c>
    </row>
    <row r="663" spans="1:15" hidden="1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 t="shared" si="142"/>
        <v>22</v>
      </c>
      <c r="J663" s="3">
        <f t="shared" si="143"/>
        <v>21</v>
      </c>
      <c r="K663" s="3">
        <f t="shared" si="144"/>
        <v>1</v>
      </c>
      <c r="L663" s="3" t="str">
        <f t="shared" si="145"/>
        <v>OPORTUNO</v>
      </c>
      <c r="M663" s="3">
        <v>18</v>
      </c>
      <c r="N663" s="3">
        <v>99.29</v>
      </c>
      <c r="O663" s="3">
        <v>22.49443207126949</v>
      </c>
    </row>
    <row r="664" spans="1:15" hidden="1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 t="shared" si="142"/>
        <v>17</v>
      </c>
      <c r="J664" s="3">
        <f t="shared" si="143"/>
        <v>14</v>
      </c>
      <c r="K664" s="3">
        <f t="shared" si="144"/>
        <v>3</v>
      </c>
      <c r="L664" s="3" t="str">
        <f t="shared" si="145"/>
        <v>OPORTUNO</v>
      </c>
      <c r="M664" s="3">
        <v>17</v>
      </c>
      <c r="N664" s="3">
        <v>100</v>
      </c>
      <c r="O664" s="3">
        <v>16.97247706422019</v>
      </c>
    </row>
    <row r="665" spans="1:15" hidden="1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 t="shared" si="142"/>
        <v>22</v>
      </c>
      <c r="J665" s="3">
        <f t="shared" si="143"/>
        <v>21</v>
      </c>
      <c r="K665" s="3">
        <f t="shared" si="144"/>
        <v>1</v>
      </c>
      <c r="L665" s="3" t="str">
        <f t="shared" si="145"/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4:11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4:11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4:11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4:11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4:11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4:11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4:11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4:11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4:11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4:11" x14ac:dyDescent="0.25">
      <c r="D730" s="3">
        <v>0</v>
      </c>
    </row>
  </sheetData>
  <autoFilter ref="A1:O729" xr:uid="{00000000-0009-0000-0000-000000000000}">
    <filterColumn colId="6">
      <filters blank="1"/>
    </filterColumn>
    <filterColumn colId="7">
      <filters blank="1"/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2026-05-25T19:07:15Z</dcterms:modified>
</cp:coreProperties>
</file>
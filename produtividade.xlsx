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'Produtividade'!$A$1:$O$729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775"/>
  <sheetViews>
    <sheetView tabSelected="1" zoomScale="85" zoomScaleNormal="85" workbookViewId="0">
      <selection activeCell="G639" sqref="G639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H19" s="3" t="n">
        <v>0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22</v>
      </c>
      <c r="N19" s="9" t="n">
        <v>98.8</v>
      </c>
      <c r="O19" s="9" t="n">
        <v>15.41353383458646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12</v>
      </c>
      <c r="N66" s="3" t="n">
        <v>98.8</v>
      </c>
      <c r="O66" s="3" t="n">
        <v>15.41353383458646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24</v>
      </c>
      <c r="N110" s="3" t="n">
        <v>98.8</v>
      </c>
      <c r="O110" s="3" t="n">
        <v>15.41353383458646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24</v>
      </c>
      <c r="N154" s="3" t="n">
        <v>98.8</v>
      </c>
      <c r="O154" s="3" t="n">
        <v>15.41353383458646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0</v>
      </c>
      <c r="N192" t="n">
        <v>100</v>
      </c>
      <c r="O192" t="n">
        <v>14.28571428571428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  <c r="M199" s="9" t="n">
        <v>0</v>
      </c>
      <c r="N199" s="9" t="n">
        <v>98.8</v>
      </c>
      <c r="O199" s="9" t="n">
        <v>15.41353383458646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H231" s="3" t="n">
        <v>0</v>
      </c>
      <c r="I231" s="3">
        <f>E231+G231+H231</f>
        <v/>
      </c>
      <c r="J231" s="3">
        <f>ROUND(MIN(IF(C231="Técnico III",35,IF(C231="Técnico II",28,IF(C231="Técnico I",23,IF(C231="JR",20,IF(C231="Estágio",10,0))))),IF(C231="Técnico III",SUMIFS($D:$D,$A:$A,$A231,$B:$B,"&lt;&gt;Patrícia Karla de Sousa Araújo",$B:$B,"&lt;&gt;Lorena Dias de Araujo",$B:$B,"&lt;&gt;Lucas Luiz Romero")*(35/1083),IF(C231="Técnico II",SUMIFS($D:$D,$A:$A,$A231,$B:$B,"&lt;&gt;Patrícia Karla de Sousa Araújo",$B:$B,"&lt;&gt;Lorena Dias de Araujo",$B:$B,"&lt;&gt;Lucas Luiz Romero")*(28/1083),IF(C231="Técnico I",SUMIFS($D:$D,$A:$A,$A231,$B:$B,"&lt;&gt;Patrícia Karla de Sousa Araújo",$B:$B,"&lt;&gt;Lorena Dias de Araujo",$B:$B,"&lt;&gt;Lucas Luiz Romero")*(23/1083),IF(C231="JR",SUMIFS($D:$D,$A:$A,$A231,$B:$B,"&lt;&gt;Patrícia Karla de Sousa Araújo",$B:$B,"&lt;&gt;Lorena Dias de Araujo",$B:$B,"&lt;&gt;Lucas Luiz Romero")*(20/1083),IF(C231="Estágio",SUMIFS($D:$D,$A:$A,$A231,$B:$B,"&lt;&gt;Patrícia Karla de Sousa Araújo",$B:$B,"&lt;&gt;Lorena Dias de Araujo",$B:$B,"&lt;&gt;Lucas Luiz Romero")*(10/1083),0)))))),0)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G233" s="3" t="n">
        <v>0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23</v>
      </c>
      <c r="N243" t="n">
        <v>98.8</v>
      </c>
      <c r="O243" t="n">
        <v>15.41353383458646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24</v>
      </c>
      <c r="N282" t="n">
        <v>98.8</v>
      </c>
      <c r="O282" t="n">
        <v>15.41353383458646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18</v>
      </c>
      <c r="N325" t="n">
        <v>98.8</v>
      </c>
      <c r="O325" t="n">
        <v>15.41353383458646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23</v>
      </c>
      <c r="N369" t="n">
        <v>98.8</v>
      </c>
      <c r="O369" t="n">
        <v>15.41353383458646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15</v>
      </c>
      <c r="N412" t="n">
        <v>98.8</v>
      </c>
      <c r="O412" t="n">
        <v>15.41353383458646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3</v>
      </c>
      <c r="N430" t="n">
        <v>100</v>
      </c>
      <c r="O430" t="n">
        <v>14.28571428571428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18</v>
      </c>
      <c r="N456" t="n">
        <v>98.8</v>
      </c>
      <c r="O456" t="n">
        <v>15.41353383458646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2</v>
      </c>
      <c r="N478" t="n">
        <v>100</v>
      </c>
      <c r="O478" t="n">
        <v>14.28571428571428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0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3</v>
      </c>
      <c r="N503" t="n">
        <v>100</v>
      </c>
      <c r="O503" t="n">
        <v>14.28571428571428</v>
      </c>
    </row>
    <row r="504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20</v>
      </c>
      <c r="N504" t="n">
        <v>98.8</v>
      </c>
      <c r="O504" t="n">
        <v>15.41353383458646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6</v>
      </c>
      <c r="N548" s="9" t="n">
        <v>100</v>
      </c>
      <c r="O548" s="9" t="n">
        <v>14.28571428571428</v>
      </c>
    </row>
    <row r="549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98.8</v>
      </c>
      <c r="O549" s="9" t="n">
        <v>15.41353383458646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5" t="n">
        <v>46163</v>
      </c>
      <c r="B593" s="6" t="inlineStr">
        <is>
          <t>Gabriel Alves</t>
        </is>
      </c>
      <c r="C593" s="3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IF(K593&lt;-5,"CRÍTICO",IF(K593&lt;0,"ATENÇÃO",IF(K593&lt;=5,"OPORTUNO","MUITO BOM")))</f>
        <v/>
      </c>
      <c r="M593" s="3" t="n">
        <v>0</v>
      </c>
      <c r="N593" s="3" t="n">
        <v>100</v>
      </c>
      <c r="O593" s="3" t="n">
        <v>14.28571428571428</v>
      </c>
    </row>
    <row r="594">
      <c r="A594" s="5" t="n">
        <v>46163</v>
      </c>
      <c r="B594" s="6" t="inlineStr">
        <is>
          <t>Gabriel Gomes de Andrade</t>
        </is>
      </c>
      <c r="C594" s="3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98.8</v>
      </c>
      <c r="O594" s="3" t="n">
        <v>15.41353383458646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0" t="n">
        <v>46164</v>
      </c>
      <c r="B638" s="6" t="inlineStr">
        <is>
          <t>Gabriel Alves</t>
        </is>
      </c>
      <c r="C638" s="3" t="inlineStr">
        <is>
          <t>Estágio</t>
        </is>
      </c>
      <c r="D638" s="3" t="n">
        <v>0</v>
      </c>
      <c r="E638" s="3" t="n">
        <v>0</v>
      </c>
      <c r="F638" s="3" t="n">
        <v>0</v>
      </c>
      <c r="G638" s="3" t="n">
        <v>0</v>
      </c>
      <c r="H638" s="3" t="n">
        <v>0</v>
      </c>
      <c r="I638" s="3" t="n">
        <v>0</v>
      </c>
      <c r="J638" s="3" t="n">
        <v>0</v>
      </c>
      <c r="K638" s="3" t="n">
        <v>0</v>
      </c>
      <c r="L638" s="3">
        <f>IF(K638&lt;-5,"CRÍTICO",IF(K638&lt;0,"ATENÇÃO",IF(K638&lt;=5,"OPORTUNO","MUITO BOM")))</f>
        <v/>
      </c>
      <c r="M638" s="3" t="n">
        <v>0</v>
      </c>
      <c r="N638" s="3" t="n">
        <v>100</v>
      </c>
      <c r="O638" s="3" t="n">
        <v>14.28571428571428</v>
      </c>
    </row>
    <row r="639">
      <c r="A639" s="10" t="n">
        <v>46164</v>
      </c>
      <c r="B639" s="6" t="inlineStr">
        <is>
          <t>Gabriel Gomes de Andrade</t>
        </is>
      </c>
      <c r="C639" s="3" t="inlineStr">
        <is>
          <t>Técnico I</t>
        </is>
      </c>
      <c r="D639" s="3" t="n">
        <v>8</v>
      </c>
      <c r="E639" s="3" t="n">
        <v>7</v>
      </c>
      <c r="F639" s="3" t="n">
        <v>18.34</v>
      </c>
      <c r="G639" s="3" t="n">
        <v>0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7</v>
      </c>
      <c r="N639" s="3" t="n">
        <v>98.8</v>
      </c>
      <c r="O639" s="3" t="n">
        <v>15.41353383458646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38</v>
      </c>
      <c r="E644" s="3" t="n">
        <v>36</v>
      </c>
      <c r="F644" s="3" t="n">
        <v>20.2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>
      <c r="D730" s="3" t="n">
        <v>0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</row>
    <row r="731">
      <c r="A731" s="11" t="n">
        <v>46167</v>
      </c>
      <c r="B731" t="inlineStr">
        <is>
          <t>Alisson de Freitas Silva</t>
        </is>
      </c>
      <c r="C731" t="inlineStr">
        <is>
          <t>Técnico 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</row>
    <row r="732">
      <c r="A732" s="11" t="n">
        <v>46167</v>
      </c>
      <c r="B732" t="inlineStr">
        <is>
          <t>Amanda Moura Ferreira</t>
        </is>
      </c>
      <c r="C732" t="inlineStr">
        <is>
          <t>Técnico III</t>
        </is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</row>
    <row r="733">
      <c r="A733" s="11" t="n">
        <v>46167</v>
      </c>
      <c r="B733" t="inlineStr">
        <is>
          <t>Ana Karollyne Souza Faria</t>
        </is>
      </c>
      <c r="C733" t="inlineStr">
        <is>
          <t>Técnico I</t>
        </is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</row>
    <row r="734">
      <c r="A734" s="11" t="n">
        <v>46167</v>
      </c>
      <c r="B734" t="inlineStr">
        <is>
          <t>Ana Paula Da Luz Silva Aleixo</t>
        </is>
      </c>
      <c r="C734" t="inlineStr">
        <is>
          <t>Técnico III</t>
        </is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</row>
    <row r="735">
      <c r="A735" s="11" t="n">
        <v>46167</v>
      </c>
      <c r="B735" t="inlineStr">
        <is>
          <t>Anna Luiza Rezende Tavares</t>
        </is>
      </c>
      <c r="C735" t="inlineStr">
        <is>
          <t>JR</t>
        </is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</row>
    <row r="736">
      <c r="A736" s="11" t="n">
        <v>46167</v>
      </c>
      <c r="B736" t="inlineStr">
        <is>
          <t>Brenda de Menezes Silva</t>
        </is>
      </c>
      <c r="C736" t="inlineStr">
        <is>
          <t>Técnico II</t>
        </is>
      </c>
      <c r="D736" t="n">
        <v>0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</row>
    <row r="737">
      <c r="A737" s="11" t="n">
        <v>46167</v>
      </c>
      <c r="B737" t="inlineStr">
        <is>
          <t>Carlos Mateus Cassimiro Nunes</t>
        </is>
      </c>
      <c r="C737" t="inlineStr">
        <is>
          <t>Técnico II</t>
        </is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</row>
    <row r="738">
      <c r="A738" s="11" t="n">
        <v>46167</v>
      </c>
      <c r="B738" t="inlineStr">
        <is>
          <t>Claudio de Sousa Velasco Filho</t>
        </is>
      </c>
      <c r="C738" t="inlineStr">
        <is>
          <t>Estágio</t>
        </is>
      </c>
      <c r="D738" t="n">
        <v>0</v>
      </c>
      <c r="E738" t="n">
        <v>0</v>
      </c>
      <c r="F738" t="n">
        <v>0</v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</row>
    <row r="739">
      <c r="A739" s="11" t="n">
        <v>46167</v>
      </c>
      <c r="B739" t="inlineStr">
        <is>
          <t>Clessiane Pereira dos Santos</t>
        </is>
      </c>
      <c r="C739" t="inlineStr">
        <is>
          <t>Técnico I</t>
        </is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</row>
    <row r="740">
      <c r="A740" s="11" t="n">
        <v>46167</v>
      </c>
      <c r="B740" t="inlineStr">
        <is>
          <t>Cristiane Ramos da Silva Rocha</t>
        </is>
      </c>
      <c r="C740" t="inlineStr">
        <is>
          <t>Técnico III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</row>
    <row r="741">
      <c r="A741" s="11" t="n">
        <v>46167</v>
      </c>
      <c r="B741" t="inlineStr">
        <is>
          <t>Damyllis Lorraine de Oliveira Gonçalves</t>
        </is>
      </c>
      <c r="C741" t="inlineStr">
        <is>
          <t>Técnico II</t>
        </is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</row>
    <row r="742">
      <c r="A742" s="11" t="n">
        <v>46167</v>
      </c>
      <c r="B742" t="inlineStr">
        <is>
          <t>Daniel Gomes da Silva</t>
        </is>
      </c>
      <c r="C742" t="inlineStr">
        <is>
          <t>Técnico 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</row>
    <row r="743">
      <c r="A743" s="11" t="n">
        <v>46167</v>
      </c>
      <c r="B743" t="inlineStr">
        <is>
          <t>Davylla Rodrigues Freitas Silva</t>
        </is>
      </c>
      <c r="C743" t="inlineStr">
        <is>
          <t>Técnico III</t>
        </is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</row>
    <row r="744">
      <c r="A744" s="11" t="n">
        <v>46167</v>
      </c>
      <c r="B744" t="inlineStr">
        <is>
          <t>Emilly Caylane Costa</t>
        </is>
      </c>
      <c r="C744" t="inlineStr">
        <is>
          <t>Estágio</t>
        </is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</row>
    <row r="745">
      <c r="A745" s="11" t="n">
        <v>46167</v>
      </c>
      <c r="B745" t="inlineStr">
        <is>
          <t>Emilly Kamilly Medeiros Miranda</t>
        </is>
      </c>
      <c r="C745" t="inlineStr">
        <is>
          <t>Técnico II</t>
        </is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</row>
    <row r="746">
      <c r="A746" s="11" t="n">
        <v>46167</v>
      </c>
      <c r="B746" t="inlineStr">
        <is>
          <t>Francielson de Oliveira</t>
        </is>
      </c>
      <c r="C746" t="inlineStr">
        <is>
          <t>Técnico III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</row>
    <row r="747">
      <c r="A747" s="11" t="n">
        <v>46167</v>
      </c>
      <c r="B747" t="inlineStr">
        <is>
          <t>Francilene Ferreira de Jesus</t>
        </is>
      </c>
      <c r="C747" t="inlineStr">
        <is>
          <t>Técnico II</t>
        </is>
      </c>
      <c r="D747" t="n">
        <v>0</v>
      </c>
      <c r="E747" t="n">
        <v>0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</row>
    <row r="748">
      <c r="A748" s="11" t="n">
        <v>46167</v>
      </c>
      <c r="B748" t="inlineStr">
        <is>
          <t>Gabriel Alves</t>
        </is>
      </c>
      <c r="C748" t="inlineStr">
        <is>
          <t>Estágio</t>
        </is>
      </c>
      <c r="D748" t="n">
        <v>0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</row>
    <row r="749">
      <c r="A749" s="11" t="n">
        <v>46167</v>
      </c>
      <c r="B749" t="inlineStr">
        <is>
          <t>Gabriel Gomes de Andrade</t>
        </is>
      </c>
      <c r="C749" t="inlineStr">
        <is>
          <t>Técnico I</t>
        </is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</row>
    <row r="750">
      <c r="A750" s="11" t="n">
        <v>46167</v>
      </c>
      <c r="B750" t="inlineStr">
        <is>
          <t>Isabella Borges de Oliveira</t>
        </is>
      </c>
      <c r="C750" t="inlineStr">
        <is>
          <t>Técnico II</t>
        </is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</row>
    <row r="751">
      <c r="A751" s="11" t="n">
        <v>46167</v>
      </c>
      <c r="B751" t="inlineStr">
        <is>
          <t>Janaina Lima dos Reis Urany</t>
        </is>
      </c>
      <c r="C751" t="inlineStr">
        <is>
          <t>Técnico III</t>
        </is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</row>
    <row r="752">
      <c r="A752" s="11" t="n">
        <v>46167</v>
      </c>
      <c r="B752" t="inlineStr">
        <is>
          <t>Jaqueline Evangelista da Silva Martins</t>
        </is>
      </c>
      <c r="C752" t="inlineStr">
        <is>
          <t>Técnico III</t>
        </is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</row>
    <row r="753">
      <c r="A753" s="11" t="n">
        <v>46167</v>
      </c>
      <c r="B753" t="inlineStr">
        <is>
          <t>Jessica Faria da Silveira</t>
        </is>
      </c>
      <c r="C753" t="inlineStr">
        <is>
          <t>Técnico 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</row>
    <row r="754">
      <c r="A754" s="11" t="n">
        <v>46167</v>
      </c>
      <c r="B754" t="inlineStr">
        <is>
          <t>Jéssica Fé Moura</t>
        </is>
      </c>
      <c r="C754" t="inlineStr">
        <is>
          <t>Técnico III</t>
        </is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</row>
    <row r="755">
      <c r="A755" s="11" t="n">
        <v>46167</v>
      </c>
      <c r="B755" t="inlineStr">
        <is>
          <t>Karina Gonçalves Martins</t>
        </is>
      </c>
      <c r="C755" t="inlineStr">
        <is>
          <t>JR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</row>
    <row r="756">
      <c r="A756" s="11" t="n">
        <v>46167</v>
      </c>
      <c r="B756" t="inlineStr">
        <is>
          <t>Kerollen Cristielly de Jesus Siqueira</t>
        </is>
      </c>
      <c r="C756" t="inlineStr">
        <is>
          <t>Técnico III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</row>
    <row r="757">
      <c r="A757" s="11" t="n">
        <v>46167</v>
      </c>
      <c r="B757" t="inlineStr">
        <is>
          <t>Leandro de Souza Silva</t>
        </is>
      </c>
      <c r="C757" t="inlineStr">
        <is>
          <t>JR</t>
        </is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</row>
    <row r="758">
      <c r="A758" s="11" t="n">
        <v>46167</v>
      </c>
      <c r="B758" t="inlineStr">
        <is>
          <t>Leandro Oliveira de Sousa</t>
        </is>
      </c>
      <c r="C758" t="inlineStr">
        <is>
          <t>Técnico III</t>
        </is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</row>
    <row r="759">
      <c r="A759" s="11" t="n">
        <v>46167</v>
      </c>
      <c r="B759" t="inlineStr">
        <is>
          <t>Lizandra Gomes Duarte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</row>
    <row r="760">
      <c r="A760" s="11" t="n">
        <v>46167</v>
      </c>
      <c r="B760" t="inlineStr">
        <is>
          <t>Lorena Dias de Araujo</t>
        </is>
      </c>
      <c r="C760" t="inlineStr">
        <is>
          <t>Técnico 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</row>
    <row r="761">
      <c r="A761" s="11" t="n">
        <v>46167</v>
      </c>
      <c r="B761" t="inlineStr">
        <is>
          <t>Lucas Luiz Romero</t>
        </is>
      </c>
      <c r="C761" t="inlineStr">
        <is>
          <t>Técnico III</t>
        </is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</row>
    <row r="762">
      <c r="A762" s="11" t="n">
        <v>46167</v>
      </c>
      <c r="B762" t="inlineStr">
        <is>
          <t>Luiz Fernando de Carvalho Junior</t>
        </is>
      </c>
      <c r="C762" t="inlineStr">
        <is>
          <t>Técnico I</t>
        </is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</row>
    <row r="763">
      <c r="A763" s="11" t="n">
        <v>46167</v>
      </c>
      <c r="B763" t="inlineStr">
        <is>
          <t>Maria Eduarda Sousa Costa</t>
        </is>
      </c>
      <c r="C763" t="inlineStr">
        <is>
          <t>Estágio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</row>
    <row r="764">
      <c r="A764" s="11" t="n">
        <v>46167</v>
      </c>
      <c r="B764" t="inlineStr">
        <is>
          <t>Matheus Farias De Souza</t>
        </is>
      </c>
      <c r="C764" t="inlineStr">
        <is>
          <t>Técnico III</t>
        </is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</row>
    <row r="765">
      <c r="A765" s="11" t="n">
        <v>46167</v>
      </c>
      <c r="B765" t="inlineStr">
        <is>
          <t>Maysa Victoria Dias Moura</t>
        </is>
      </c>
      <c r="C765" t="inlineStr">
        <is>
          <t>Técnico III</t>
        </is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</row>
    <row r="766">
      <c r="A766" s="11" t="n">
        <v>46167</v>
      </c>
      <c r="B766" t="inlineStr">
        <is>
          <t>Michelle G Santos</t>
        </is>
      </c>
      <c r="C766" t="inlineStr">
        <is>
          <t>Estágio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</row>
    <row r="767">
      <c r="A767" s="11" t="n">
        <v>46167</v>
      </c>
      <c r="B767" t="inlineStr">
        <is>
          <t>Milena Sales</t>
        </is>
      </c>
      <c r="C767" t="inlineStr">
        <is>
          <t>JR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</row>
    <row r="768">
      <c r="A768" s="11" t="n">
        <v>46167</v>
      </c>
      <c r="B768" t="inlineStr">
        <is>
          <t>Patrícia Karla de Sousa Araújo</t>
        </is>
      </c>
      <c r="C768" t="inlineStr">
        <is>
          <t>Técnico II</t>
        </is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</row>
    <row r="769">
      <c r="A769" s="11" t="n">
        <v>46167</v>
      </c>
      <c r="B769" t="inlineStr">
        <is>
          <t>Paulo Ricardo Santos</t>
        </is>
      </c>
      <c r="C769" t="inlineStr">
        <is>
          <t>JR</t>
        </is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</row>
    <row r="770">
      <c r="A770" s="11" t="n">
        <v>46167</v>
      </c>
      <c r="B770" t="inlineStr">
        <is>
          <t>Pedro Luiz Mota Sousa</t>
        </is>
      </c>
      <c r="C770" t="inlineStr">
        <is>
          <t>JR</t>
        </is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</row>
    <row r="771">
      <c r="A771" s="11" t="n">
        <v>46167</v>
      </c>
      <c r="B771" t="inlineStr">
        <is>
          <t>Quirino Diogo Leite Torres</t>
        </is>
      </c>
      <c r="C771" t="inlineStr">
        <is>
          <t>Estágio</t>
        </is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</row>
    <row r="772">
      <c r="A772" s="11" t="n">
        <v>46167</v>
      </c>
      <c r="B772" t="inlineStr">
        <is>
          <t>Raane Batista Matos</t>
        </is>
      </c>
      <c r="C772" t="inlineStr">
        <is>
          <t>Técnico I</t>
        </is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</row>
    <row r="773">
      <c r="A773" s="11" t="n">
        <v>46167</v>
      </c>
      <c r="B773" t="inlineStr">
        <is>
          <t>Rafael Gomes de Morais</t>
        </is>
      </c>
      <c r="C773" t="inlineStr">
        <is>
          <t>Técnico III</t>
        </is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</row>
    <row r="774">
      <c r="A774" s="11" t="n">
        <v>46167</v>
      </c>
      <c r="B774" t="inlineStr">
        <is>
          <t>Sara Maria Monteiro Lopes</t>
        </is>
      </c>
      <c r="C774" t="inlineStr">
        <is>
          <t>Técnico I</t>
        </is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</row>
    <row r="775">
      <c r="A775" s="11" t="n">
        <v>46167</v>
      </c>
      <c r="B775" t="inlineStr">
        <is>
          <t>Sarah Steffanie de Lima Borges</t>
        </is>
      </c>
      <c r="C775" t="inlineStr">
        <is>
          <t>Técnico III</t>
        </is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</row>
  </sheetData>
  <autoFilter ref="A1:O729">
    <filterColumn colId="1" hiddenButton="0" showButton="1">
      <filters>
        <filter val="Gabriel Alves"/>
        <filter val="Gabriel Gomes de Andrade"/>
      </filters>
    </filterColumn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/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/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/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2026-05-26T17:35:57Z</dcterms:modified>
  <cp:lastModifiedBy>Esther Queiroz Supervisora Folha</cp:lastModifiedBy>
</cp:coreProperties>
</file>